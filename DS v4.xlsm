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hidePivotFieldList="1" defaultThemeVersion="124226"/>
  <mc:AlternateContent xmlns:mc="http://schemas.openxmlformats.org/markup-compatibility/2006">
    <mc:Choice Requires="x15">
      <x15ac:absPath xmlns:x15ac="http://schemas.microsoft.com/office/spreadsheetml/2010/11/ac" url="C:\Users\JAH\Desktop\"/>
    </mc:Choice>
  </mc:AlternateContent>
  <xr:revisionPtr revIDLastSave="0" documentId="13_ncr:1_{DAF6A8DF-018B-43FD-A04B-854816388F76}" xr6:coauthVersionLast="43" xr6:coauthVersionMax="43" xr10:uidLastSave="{00000000-0000-0000-0000-000000000000}"/>
  <bookViews>
    <workbookView showHorizontalScroll="0" showVerticalScroll="0" xWindow="-108" yWindow="-108" windowWidth="23256" windowHeight="12576" xr2:uid="{00000000-000D-0000-FFFF-FFFF00000000}"/>
  </bookViews>
  <sheets>
    <sheet name="Info" sheetId="9" r:id="rId1"/>
    <sheet name="Dashboard" sheetId="2" state="veryHidden" r:id="rId2"/>
    <sheet name="Tabla" sheetId="10" state="veryHidden" r:id="rId3"/>
    <sheet name="Data" sheetId="1" state="veryHidden" r:id="rId4"/>
    <sheet name="Cálculos" sheetId="3" state="veryHidden" r:id="rId5"/>
    <sheet name="Leyenda" sheetId="8" state="veryHidden" r:id="rId6"/>
  </sheets>
  <functionGroups builtInGroupCount="19"/>
  <externalReferences>
    <externalReference r:id="rId7"/>
  </externalReferences>
  <definedNames>
    <definedName name="Año">Data!$E$21</definedName>
    <definedName name="ClOrd">Data!$D$10</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FiltroAño1">Tabla!$C$5</definedName>
    <definedName name="FiltroAño2">Tabla!$H$4</definedName>
    <definedName name="FiltroAño3">Tabla!$U$6</definedName>
    <definedName name="FiltroMes1">Tabla!$H$6</definedName>
    <definedName name="Mes">Data!$E$22</definedName>
    <definedName name="orderfld">Data!$F$26</definedName>
    <definedName name="ranrowgrid">Dashboard!$E$12:$AB$12</definedName>
    <definedName name="valRowGrid">Data!$C$32</definedName>
    <definedName name="valSelOption" localSheetId="0">[1]Cálculos!$C$2</definedName>
    <definedName name="valSelOption">Data!$C$31</definedName>
    <definedName name="wrn.CONV.." hidden="1">{#N/A,#N/A,FALSE,"PWS#1";#N/A,#N/A,FALSE,"WS#3";#N/A,#N/A,FALSE,"PWS#4";#N/A,#N/A,FALSE,"WS#4";#N/A,#N/A,FALSE,"PWS#5&amp;6";#N/A,#N/A,FALSE,"PWS#7";#N/A,#N/A,FALSE,"PWS#8";#N/A,#N/A,FALSE,"PWS#9";#N/A,#N/A,FALSE,"PWS#9a";#N/A,#N/A,FALSE,"PWS#10";#N/A,#N/A,FALSE,"PWS#11";#N/A,#N/A,FALSE,"PWS#12";#N/A,#N/A,FALSE,"PWS#13";#N/A,#N/A,FALSE,"PWS#14"}</definedName>
  </definedNames>
  <calcPr calcId="191029"/>
  <pivotCaches>
    <pivotCache cacheId="0" r:id="rId8"/>
    <pivotCache cacheId="1" r:id="rId9"/>
    <pivotCache cacheId="2" r:id="rId10"/>
    <pivotCache cacheId="3" r:id="rId11"/>
    <pivotCache cacheId="4" r:id="rId12"/>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U10" i="10" l="1"/>
  <c r="U11" i="10"/>
  <c r="U12" i="10"/>
  <c r="U13" i="10"/>
  <c r="U14" i="10"/>
  <c r="U15" i="10"/>
  <c r="U16" i="10"/>
  <c r="U17" i="10"/>
  <c r="U18" i="10"/>
  <c r="U19" i="10"/>
  <c r="U20" i="10"/>
  <c r="U9" i="10"/>
  <c r="E22" i="1" s="1"/>
  <c r="M12" i="2"/>
  <c r="O11" i="10" l="1"/>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108"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6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O200"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O230" i="10"/>
  <c r="O231" i="10"/>
  <c r="O232" i="10"/>
  <c r="O233" i="10"/>
  <c r="O234" i="10"/>
  <c r="O235" i="10"/>
  <c r="O236" i="10"/>
  <c r="O237" i="10"/>
  <c r="O238" i="10"/>
  <c r="O239" i="10"/>
  <c r="O240" i="10"/>
  <c r="O241" i="10"/>
  <c r="O242" i="10"/>
  <c r="O243" i="10"/>
  <c r="O244" i="10"/>
  <c r="O245" i="10"/>
  <c r="O246" i="10"/>
  <c r="O247" i="10"/>
  <c r="O248" i="10"/>
  <c r="O249" i="10"/>
  <c r="O250" i="10"/>
  <c r="O251" i="10"/>
  <c r="O252" i="10"/>
  <c r="O253" i="10"/>
  <c r="O254" i="10"/>
  <c r="O255" i="10"/>
  <c r="O256" i="10"/>
  <c r="O257" i="10"/>
  <c r="O258" i="10"/>
  <c r="O259" i="10"/>
  <c r="O260" i="10"/>
  <c r="O26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O291"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O322" i="10"/>
  <c r="O323" i="10"/>
  <c r="O324" i="10"/>
  <c r="O325" i="10"/>
  <c r="O326" i="10"/>
  <c r="O327" i="10"/>
  <c r="O328" i="10"/>
  <c r="O329" i="10"/>
  <c r="O330" i="10"/>
  <c r="O331" i="10"/>
  <c r="O332" i="10"/>
  <c r="O333" i="10"/>
  <c r="O334" i="10"/>
  <c r="O335" i="10"/>
  <c r="O336" i="10"/>
  <c r="O337" i="10"/>
  <c r="O338" i="10"/>
  <c r="O339" i="10"/>
  <c r="O340" i="10"/>
  <c r="O341" i="10"/>
  <c r="O342" i="10"/>
  <c r="O343" i="10"/>
  <c r="O344" i="10"/>
  <c r="O345" i="10"/>
  <c r="O346" i="10"/>
  <c r="O347" i="10"/>
  <c r="O348" i="10"/>
  <c r="O349" i="10"/>
  <c r="O350" i="10"/>
  <c r="O351" i="10"/>
  <c r="O352" i="10"/>
  <c r="O353" i="10"/>
  <c r="O354" i="10"/>
  <c r="O355" i="10"/>
  <c r="O356" i="10"/>
  <c r="O357" i="10"/>
  <c r="O358" i="10"/>
  <c r="O359" i="10"/>
  <c r="O360" i="10"/>
  <c r="O361" i="10"/>
  <c r="O362" i="10"/>
  <c r="O363" i="10"/>
  <c r="O364" i="10"/>
  <c r="O365" i="10"/>
  <c r="O366" i="10"/>
  <c r="O367" i="10"/>
  <c r="O368" i="10"/>
  <c r="O369" i="10"/>
  <c r="O370" i="10"/>
  <c r="O371" i="10"/>
  <c r="O372" i="10"/>
  <c r="O373" i="10"/>
  <c r="O374" i="10"/>
  <c r="O375" i="10"/>
  <c r="O376" i="10"/>
  <c r="O377" i="10"/>
  <c r="O378" i="10"/>
  <c r="O379" i="10"/>
  <c r="O380" i="10"/>
  <c r="O381" i="10"/>
  <c r="O382" i="10"/>
  <c r="O383" i="10"/>
  <c r="O384" i="10"/>
  <c r="O385" i="10"/>
  <c r="O386" i="10"/>
  <c r="O387" i="10"/>
  <c r="O388" i="10"/>
  <c r="O389" i="10"/>
  <c r="O390" i="10"/>
  <c r="O391" i="10"/>
  <c r="O392" i="10"/>
  <c r="O393" i="10"/>
  <c r="O394" i="10"/>
  <c r="O395" i="10"/>
  <c r="O396" i="10"/>
  <c r="O397" i="10"/>
  <c r="O398" i="10"/>
  <c r="O399" i="10"/>
  <c r="O400" i="10"/>
  <c r="O401" i="10"/>
  <c r="O402" i="10"/>
  <c r="O403" i="10"/>
  <c r="O404" i="10"/>
  <c r="O405" i="10"/>
  <c r="O406" i="10"/>
  <c r="O407" i="10"/>
  <c r="O408" i="10"/>
  <c r="O409" i="10"/>
  <c r="O410" i="10"/>
  <c r="O411" i="10"/>
  <c r="O412" i="10"/>
  <c r="O413" i="10"/>
  <c r="O414" i="10"/>
  <c r="O415" i="10"/>
  <c r="O416" i="10"/>
  <c r="O417" i="10"/>
  <c r="O418" i="10"/>
  <c r="O419" i="10"/>
  <c r="O420" i="10"/>
  <c r="O421" i="10"/>
  <c r="O422" i="10"/>
  <c r="O423" i="10"/>
  <c r="O424" i="10"/>
  <c r="O425" i="10"/>
  <c r="O426" i="10"/>
  <c r="O427" i="10"/>
  <c r="O428" i="10"/>
  <c r="O429" i="10"/>
  <c r="O430" i="10"/>
  <c r="O431" i="10"/>
  <c r="O432" i="10"/>
  <c r="O433" i="10"/>
  <c r="O434" i="10"/>
  <c r="O435" i="10"/>
  <c r="O436" i="10"/>
  <c r="O437" i="10"/>
  <c r="O438" i="10"/>
  <c r="O439" i="10"/>
  <c r="O440" i="10"/>
  <c r="O441" i="10"/>
  <c r="O442" i="10"/>
  <c r="O443" i="10"/>
  <c r="O444" i="10"/>
  <c r="O445" i="10"/>
  <c r="O446" i="10"/>
  <c r="O447" i="10"/>
  <c r="O448" i="10"/>
  <c r="O449" i="10"/>
  <c r="O450" i="10"/>
  <c r="O451" i="10"/>
  <c r="O452" i="10"/>
  <c r="O453" i="10"/>
  <c r="O454" i="10"/>
  <c r="O455" i="10"/>
  <c r="O456" i="10"/>
  <c r="O457" i="10"/>
  <c r="O458" i="10"/>
  <c r="O459" i="10"/>
  <c r="O460" i="10"/>
  <c r="O461" i="10"/>
  <c r="O462" i="10"/>
  <c r="O463" i="10"/>
  <c r="O464" i="10"/>
  <c r="O465" i="10"/>
  <c r="O466" i="10"/>
  <c r="O467" i="10"/>
  <c r="O468" i="10"/>
  <c r="O469" i="10"/>
  <c r="O470" i="10"/>
  <c r="O471" i="10"/>
  <c r="O472" i="10"/>
  <c r="O473" i="10"/>
  <c r="O474" i="10"/>
  <c r="O475" i="10"/>
  <c r="O476" i="10"/>
  <c r="O477" i="10"/>
  <c r="O478" i="10"/>
  <c r="O479" i="10"/>
  <c r="O480" i="10"/>
  <c r="O481" i="10"/>
  <c r="O482" i="10"/>
  <c r="O483" i="10"/>
  <c r="O484" i="10"/>
  <c r="O485" i="10"/>
  <c r="O486" i="10"/>
  <c r="O487" i="10"/>
  <c r="O488" i="10"/>
  <c r="O489" i="10"/>
  <c r="O490" i="10"/>
  <c r="O491" i="10"/>
  <c r="O492" i="10"/>
  <c r="O493" i="10"/>
  <c r="O494" i="10"/>
  <c r="O495" i="10"/>
  <c r="O496" i="10"/>
  <c r="O497" i="10"/>
  <c r="O498" i="10"/>
  <c r="O499" i="10"/>
  <c r="O500" i="10"/>
  <c r="O501" i="10"/>
  <c r="O502" i="10"/>
  <c r="O503" i="10"/>
  <c r="O504" i="10"/>
  <c r="O505" i="10"/>
  <c r="O506" i="10"/>
  <c r="O507" i="10"/>
  <c r="O508" i="10"/>
  <c r="O509" i="10"/>
  <c r="O510" i="10"/>
  <c r="O511" i="10"/>
  <c r="O512" i="10"/>
  <c r="O513" i="10"/>
  <c r="O514" i="10"/>
  <c r="O515" i="10"/>
  <c r="O516" i="10"/>
  <c r="O517" i="10"/>
  <c r="O518" i="10"/>
  <c r="O519" i="10"/>
  <c r="O520" i="10"/>
  <c r="O521" i="10"/>
  <c r="O522" i="10"/>
  <c r="O523" i="10"/>
  <c r="O524" i="10"/>
  <c r="O525" i="10"/>
  <c r="O526" i="10"/>
  <c r="O527" i="10"/>
  <c r="O528" i="10"/>
  <c r="O529" i="10"/>
  <c r="O530" i="10"/>
  <c r="O531" i="10"/>
  <c r="O532" i="10"/>
  <c r="O533" i="10"/>
  <c r="O534" i="10"/>
  <c r="O535" i="10"/>
  <c r="O536" i="10"/>
  <c r="O537" i="10"/>
  <c r="O538" i="10"/>
  <c r="O539" i="10"/>
  <c r="O540" i="10"/>
  <c r="O541" i="10"/>
  <c r="O542" i="10"/>
  <c r="O543" i="10"/>
  <c r="O544" i="10"/>
  <c r="O545" i="10"/>
  <c r="O546" i="10"/>
  <c r="O547" i="10"/>
  <c r="O548" i="10"/>
  <c r="O549" i="10"/>
  <c r="O550" i="10"/>
  <c r="O551" i="10"/>
  <c r="O552" i="10"/>
  <c r="O553" i="10"/>
  <c r="O554" i="10"/>
  <c r="O555" i="10"/>
  <c r="O556" i="10"/>
  <c r="O557" i="10"/>
  <c r="O558" i="10"/>
  <c r="O559" i="10"/>
  <c r="O560" i="10"/>
  <c r="O561" i="10"/>
  <c r="O562" i="10"/>
  <c r="O563" i="10"/>
  <c r="O564" i="10"/>
  <c r="O565" i="10"/>
  <c r="O566" i="10"/>
  <c r="O567" i="10"/>
  <c r="O568" i="10"/>
  <c r="O569" i="10"/>
  <c r="O570" i="10"/>
  <c r="O571" i="10"/>
  <c r="O572" i="10"/>
  <c r="O573" i="10"/>
  <c r="O574" i="10"/>
  <c r="O575" i="10"/>
  <c r="O576" i="10"/>
  <c r="O577" i="10"/>
  <c r="O578" i="10"/>
  <c r="O579" i="10"/>
  <c r="O580" i="10"/>
  <c r="O581" i="10"/>
  <c r="O582" i="10"/>
  <c r="O583" i="10"/>
  <c r="O584" i="10"/>
  <c r="O585" i="10"/>
  <c r="O586" i="10"/>
  <c r="O587" i="10"/>
  <c r="O588" i="10"/>
  <c r="O589" i="10"/>
  <c r="O590" i="10"/>
  <c r="O591" i="10"/>
  <c r="O592" i="10"/>
  <c r="O593" i="10"/>
  <c r="O594" i="10"/>
  <c r="O595" i="10"/>
  <c r="O596" i="10"/>
  <c r="O597" i="10"/>
  <c r="O598" i="10"/>
  <c r="O599" i="10"/>
  <c r="O600" i="10"/>
  <c r="O601" i="10"/>
  <c r="O602" i="10"/>
  <c r="O603" i="10"/>
  <c r="O604" i="10"/>
  <c r="O605" i="10"/>
  <c r="O606" i="10"/>
  <c r="O607" i="10"/>
  <c r="O608" i="10"/>
  <c r="O609" i="10"/>
  <c r="O610" i="10"/>
  <c r="O611" i="10"/>
  <c r="O612" i="10"/>
  <c r="O613" i="10"/>
  <c r="O614" i="10"/>
  <c r="O615" i="10"/>
  <c r="O616" i="10"/>
  <c r="O617" i="10"/>
  <c r="O618" i="10"/>
  <c r="O619" i="10"/>
  <c r="O620" i="10"/>
  <c r="O621" i="10"/>
  <c r="O622" i="10"/>
  <c r="O623" i="10"/>
  <c r="O624" i="10"/>
  <c r="O625" i="10"/>
  <c r="O626" i="10"/>
  <c r="O627" i="10"/>
  <c r="O628" i="10"/>
  <c r="O629" i="10"/>
  <c r="O630" i="10"/>
  <c r="O631" i="10"/>
  <c r="O632" i="10"/>
  <c r="O633" i="10"/>
  <c r="O634" i="10"/>
  <c r="O635" i="10"/>
  <c r="O636" i="10"/>
  <c r="O637" i="10"/>
  <c r="O638" i="10"/>
  <c r="O639" i="10"/>
  <c r="O640" i="10"/>
  <c r="O641" i="10"/>
  <c r="O642" i="10"/>
  <c r="O643" i="10"/>
  <c r="O644" i="10"/>
  <c r="O645" i="10"/>
  <c r="O646" i="10"/>
  <c r="O647" i="10"/>
  <c r="O648" i="10"/>
  <c r="O649" i="10"/>
  <c r="O650" i="10"/>
  <c r="O651" i="10"/>
  <c r="O652" i="10"/>
  <c r="O653" i="10"/>
  <c r="O654" i="10"/>
  <c r="O655" i="10"/>
  <c r="O656" i="10"/>
  <c r="O657" i="10"/>
  <c r="O658" i="10"/>
  <c r="O659" i="10"/>
  <c r="O660" i="10"/>
  <c r="O661" i="10"/>
  <c r="O662" i="10"/>
  <c r="O663" i="10"/>
  <c r="O664" i="10"/>
  <c r="O665" i="10"/>
  <c r="O666" i="10"/>
  <c r="O667" i="10"/>
  <c r="O668" i="10"/>
  <c r="O669" i="10"/>
  <c r="O670" i="10"/>
  <c r="O671" i="10"/>
  <c r="O672" i="10"/>
  <c r="O673" i="10"/>
  <c r="O674" i="10"/>
  <c r="O675" i="10"/>
  <c r="O676" i="10"/>
  <c r="O677" i="10"/>
  <c r="O678" i="10"/>
  <c r="O679" i="10"/>
  <c r="O680" i="10"/>
  <c r="O681" i="10"/>
  <c r="O682" i="10"/>
  <c r="O683" i="10"/>
  <c r="O684" i="10"/>
  <c r="O685" i="10"/>
  <c r="O686" i="10"/>
  <c r="O687" i="10"/>
  <c r="O688" i="10"/>
  <c r="O689" i="10"/>
  <c r="O690" i="10"/>
  <c r="O691" i="10"/>
  <c r="O692" i="10"/>
  <c r="O693" i="10"/>
  <c r="O694" i="10"/>
  <c r="O695" i="10"/>
  <c r="O696" i="10"/>
  <c r="O697" i="10"/>
  <c r="O698" i="10"/>
  <c r="O699" i="10"/>
  <c r="O700" i="10"/>
  <c r="O701" i="10"/>
  <c r="O702" i="10"/>
  <c r="O703" i="10"/>
  <c r="O704" i="10"/>
  <c r="O705" i="10"/>
  <c r="O706" i="10"/>
  <c r="O707" i="10"/>
  <c r="O708" i="10"/>
  <c r="O709" i="10"/>
  <c r="O710" i="10"/>
  <c r="O711" i="10"/>
  <c r="O712" i="10"/>
  <c r="O713" i="10"/>
  <c r="O714" i="10"/>
  <c r="O715" i="10"/>
  <c r="O716" i="10"/>
  <c r="O717" i="10"/>
  <c r="O718" i="10"/>
  <c r="O719" i="10"/>
  <c r="O720" i="10"/>
  <c r="O721" i="10"/>
  <c r="O722" i="10"/>
  <c r="O723" i="10"/>
  <c r="O724" i="10"/>
  <c r="O725" i="10"/>
  <c r="O726" i="10"/>
  <c r="O727" i="10"/>
  <c r="O728" i="10"/>
  <c r="O729" i="10"/>
  <c r="O730" i="10"/>
  <c r="O731" i="10"/>
  <c r="O732" i="10"/>
  <c r="O733" i="10"/>
  <c r="O734" i="10"/>
  <c r="O735" i="10"/>
  <c r="O736" i="10"/>
  <c r="O737" i="10"/>
  <c r="O738" i="10"/>
  <c r="O739" i="10"/>
  <c r="O740" i="10"/>
  <c r="O741" i="10"/>
  <c r="O742" i="10"/>
  <c r="O743" i="10"/>
  <c r="O744" i="10"/>
  <c r="O745" i="10"/>
  <c r="O746" i="10"/>
  <c r="O747" i="10"/>
  <c r="O748" i="10"/>
  <c r="O749" i="10"/>
  <c r="O750" i="10"/>
  <c r="O751" i="10"/>
  <c r="O752" i="10"/>
  <c r="O753" i="10"/>
  <c r="O754" i="10"/>
  <c r="O755" i="10"/>
  <c r="O756" i="10"/>
  <c r="O757" i="10"/>
  <c r="O758" i="10"/>
  <c r="O759" i="10"/>
  <c r="O760" i="10"/>
  <c r="O761" i="10"/>
  <c r="O762" i="10"/>
  <c r="O763" i="10"/>
  <c r="O764" i="10"/>
  <c r="O765" i="10"/>
  <c r="O766" i="10"/>
  <c r="O767" i="10"/>
  <c r="O768" i="10"/>
  <c r="O769" i="10"/>
  <c r="O770" i="10"/>
  <c r="O771" i="10"/>
  <c r="O772" i="10"/>
  <c r="O773" i="10"/>
  <c r="O774" i="10"/>
  <c r="O775" i="10"/>
  <c r="O776" i="10"/>
  <c r="O777" i="10"/>
  <c r="O778" i="10"/>
  <c r="O779" i="10"/>
  <c r="O780" i="10"/>
  <c r="O781" i="10"/>
  <c r="O782" i="10"/>
  <c r="O783" i="10"/>
  <c r="O784" i="10"/>
  <c r="O785" i="10"/>
  <c r="O786" i="10"/>
  <c r="O787" i="10"/>
  <c r="O788" i="10"/>
  <c r="O789" i="10"/>
  <c r="O790" i="10"/>
  <c r="O791" i="10"/>
  <c r="O792" i="10"/>
  <c r="O793" i="10"/>
  <c r="O794" i="10"/>
  <c r="O795" i="10"/>
  <c r="O796" i="10"/>
  <c r="O797" i="10"/>
  <c r="O798" i="10"/>
  <c r="O799" i="10"/>
  <c r="O800" i="10"/>
  <c r="O801" i="10"/>
  <c r="O802" i="10"/>
  <c r="O803" i="10"/>
  <c r="O804" i="10"/>
  <c r="O805" i="10"/>
  <c r="O806" i="10"/>
  <c r="O807" i="10"/>
  <c r="O808" i="10"/>
  <c r="O809" i="10"/>
  <c r="O810" i="10"/>
  <c r="O811" i="10"/>
  <c r="O812" i="10"/>
  <c r="O813" i="10"/>
  <c r="O814" i="10"/>
  <c r="O815" i="10"/>
  <c r="O816" i="10"/>
  <c r="O817" i="10"/>
  <c r="O818" i="10"/>
  <c r="O819" i="10"/>
  <c r="O820" i="10"/>
  <c r="O821" i="10"/>
  <c r="O822" i="10"/>
  <c r="O823" i="10"/>
  <c r="O824" i="10"/>
  <c r="O825" i="10"/>
  <c r="O826" i="10"/>
  <c r="O827" i="10"/>
  <c r="O828" i="10"/>
  <c r="O829" i="10"/>
  <c r="O830" i="10"/>
  <c r="O831" i="10"/>
  <c r="O832" i="10"/>
  <c r="O833" i="10"/>
  <c r="O834" i="10"/>
  <c r="O835" i="10"/>
  <c r="O836" i="10"/>
  <c r="O837" i="10"/>
  <c r="O838" i="10"/>
  <c r="O839" i="10"/>
  <c r="O840" i="10"/>
  <c r="O841" i="10"/>
  <c r="O842" i="10"/>
  <c r="O843" i="10"/>
  <c r="O844" i="10"/>
  <c r="O845" i="10"/>
  <c r="O846" i="10"/>
  <c r="O847" i="10"/>
  <c r="O848" i="10"/>
  <c r="O849" i="10"/>
  <c r="O850" i="10"/>
  <c r="O851" i="10"/>
  <c r="O852" i="10"/>
  <c r="O853" i="10"/>
  <c r="O854" i="10"/>
  <c r="O855" i="10"/>
  <c r="O856" i="10"/>
  <c r="O857" i="10"/>
  <c r="O858" i="10"/>
  <c r="O859" i="10"/>
  <c r="O860" i="10"/>
  <c r="O861" i="10"/>
  <c r="O862" i="10"/>
  <c r="O863" i="10"/>
  <c r="O864" i="10"/>
  <c r="O865" i="10"/>
  <c r="O866" i="10"/>
  <c r="O867" i="10"/>
  <c r="O868" i="10"/>
  <c r="O869" i="10"/>
  <c r="O870" i="10"/>
  <c r="O871" i="10"/>
  <c r="O872" i="10"/>
  <c r="O873" i="10"/>
  <c r="O874" i="10"/>
  <c r="O875" i="10"/>
  <c r="O876" i="10"/>
  <c r="O877" i="10"/>
  <c r="O878" i="10"/>
  <c r="O879" i="10"/>
  <c r="O880" i="10"/>
  <c r="O881" i="10"/>
  <c r="O882" i="10"/>
  <c r="O883" i="10"/>
  <c r="O884" i="10"/>
  <c r="O885" i="10"/>
  <c r="O886" i="10"/>
  <c r="O887" i="10"/>
  <c r="O888" i="10"/>
  <c r="O889" i="10"/>
  <c r="O890" i="10"/>
  <c r="O891" i="10"/>
  <c r="O892" i="10"/>
  <c r="O893" i="10"/>
  <c r="O894" i="10"/>
  <c r="O895" i="10"/>
  <c r="O896" i="10"/>
  <c r="O897" i="10"/>
  <c r="O898" i="10"/>
  <c r="O899" i="10"/>
  <c r="O900" i="10"/>
  <c r="O901" i="10"/>
  <c r="O902" i="10"/>
  <c r="O903" i="10"/>
  <c r="O904" i="10"/>
  <c r="O905" i="10"/>
  <c r="O906" i="10"/>
  <c r="O907" i="10"/>
  <c r="O908" i="10"/>
  <c r="O909" i="10"/>
  <c r="O910" i="10"/>
  <c r="O911" i="10"/>
  <c r="O912" i="10"/>
  <c r="O913" i="10"/>
  <c r="O914" i="10"/>
  <c r="O915" i="10"/>
  <c r="O916" i="10"/>
  <c r="O917" i="10"/>
  <c r="O918" i="10"/>
  <c r="O919" i="10"/>
  <c r="O920" i="10"/>
  <c r="O921" i="10"/>
  <c r="O922" i="10"/>
  <c r="O923" i="10"/>
  <c r="O924" i="10"/>
  <c r="O925" i="10"/>
  <c r="O926" i="10"/>
  <c r="O927" i="10"/>
  <c r="O928" i="10"/>
  <c r="O929" i="10"/>
  <c r="O930" i="10"/>
  <c r="O931" i="10"/>
  <c r="O932" i="10"/>
  <c r="O933" i="10"/>
  <c r="O934" i="10"/>
  <c r="O935" i="10"/>
  <c r="O936" i="10"/>
  <c r="O937" i="10"/>
  <c r="O938" i="10"/>
  <c r="O939" i="10"/>
  <c r="O940" i="10"/>
  <c r="O941" i="10"/>
  <c r="O942" i="10"/>
  <c r="O943" i="10"/>
  <c r="O944" i="10"/>
  <c r="O945" i="10"/>
  <c r="O946" i="10"/>
  <c r="O947" i="10"/>
  <c r="O948" i="10"/>
  <c r="O949" i="10"/>
  <c r="O950" i="10"/>
  <c r="O951" i="10"/>
  <c r="O952" i="10"/>
  <c r="O953" i="10"/>
  <c r="O954" i="10"/>
  <c r="O955" i="10"/>
  <c r="O956" i="10"/>
  <c r="O957" i="10"/>
  <c r="O958" i="10"/>
  <c r="O959" i="10"/>
  <c r="O960" i="10"/>
  <c r="O961" i="10"/>
  <c r="O962" i="10"/>
  <c r="O963" i="10"/>
  <c r="O964" i="10"/>
  <c r="O965" i="10"/>
  <c r="O966" i="10"/>
  <c r="O967" i="10"/>
  <c r="O968" i="10"/>
  <c r="O969" i="10"/>
  <c r="O970" i="10"/>
  <c r="O971" i="10"/>
  <c r="O972" i="10"/>
  <c r="O973" i="10"/>
  <c r="O974" i="10"/>
  <c r="O975" i="10"/>
  <c r="O976" i="10"/>
  <c r="O977" i="10"/>
  <c r="O978" i="10"/>
  <c r="O979" i="10"/>
  <c r="O980" i="10"/>
  <c r="O981" i="10"/>
  <c r="O982" i="10"/>
  <c r="O983" i="10"/>
  <c r="O984" i="10"/>
  <c r="O985" i="10"/>
  <c r="O986" i="10"/>
  <c r="O987" i="10"/>
  <c r="O988" i="10"/>
  <c r="O989" i="10"/>
  <c r="O990" i="10"/>
  <c r="O991" i="10"/>
  <c r="O992" i="10"/>
  <c r="O993" i="10"/>
  <c r="O994" i="10"/>
  <c r="O995" i="10"/>
  <c r="O996" i="10"/>
  <c r="O997" i="10"/>
  <c r="O998" i="10"/>
  <c r="O999" i="10"/>
  <c r="O1000" i="10"/>
  <c r="O1001" i="10"/>
  <c r="O1002" i="10"/>
  <c r="O1003" i="10"/>
  <c r="O1004" i="10"/>
  <c r="O1005" i="10"/>
  <c r="O1006" i="10"/>
  <c r="O1007" i="10"/>
  <c r="O1008" i="10"/>
  <c r="O1009" i="10"/>
  <c r="O1010" i="10"/>
  <c r="O1011" i="10"/>
  <c r="O1012" i="10"/>
  <c r="O1013" i="10"/>
  <c r="O1014" i="10"/>
  <c r="O1015" i="10"/>
  <c r="O1016" i="10"/>
  <c r="O1017" i="10"/>
  <c r="O1018" i="10"/>
  <c r="O1019" i="10"/>
  <c r="O1020" i="10"/>
  <c r="O1021" i="10"/>
  <c r="O1022" i="10"/>
  <c r="O1023" i="10"/>
  <c r="O1024" i="10"/>
  <c r="O1025" i="10"/>
  <c r="O1026" i="10"/>
  <c r="O1027" i="10"/>
  <c r="O1028" i="10"/>
  <c r="O1029" i="10"/>
  <c r="O1030" i="10"/>
  <c r="O1031" i="10"/>
  <c r="O1032" i="10"/>
  <c r="O1033" i="10"/>
  <c r="O1034" i="10"/>
  <c r="O1035" i="10"/>
  <c r="O1036" i="10"/>
  <c r="O1037" i="10"/>
  <c r="O1038" i="10"/>
  <c r="O1039" i="10"/>
  <c r="O1040" i="10"/>
  <c r="O1041" i="10"/>
  <c r="O1042" i="10"/>
  <c r="O1043" i="10"/>
  <c r="O1044" i="10"/>
  <c r="O1045" i="10"/>
  <c r="O1046" i="10"/>
  <c r="O1047" i="10"/>
  <c r="O1048" i="10"/>
  <c r="O1049" i="10"/>
  <c r="O1050" i="10"/>
  <c r="O1051" i="10"/>
  <c r="O1052" i="10"/>
  <c r="O1053" i="10"/>
  <c r="O1054" i="10"/>
  <c r="O1055" i="10"/>
  <c r="O1056" i="10"/>
  <c r="O1057" i="10"/>
  <c r="O1058" i="10"/>
  <c r="O1059" i="10"/>
  <c r="O1060" i="10"/>
  <c r="O1061" i="10"/>
  <c r="O1062" i="10"/>
  <c r="O1063" i="10"/>
  <c r="O1064" i="10"/>
  <c r="O1065" i="10"/>
  <c r="O1066" i="10"/>
  <c r="O1067" i="10"/>
  <c r="O1068" i="10"/>
  <c r="O1069" i="10"/>
  <c r="O1070" i="10"/>
  <c r="O1071" i="10"/>
  <c r="O1072" i="10"/>
  <c r="O1073" i="10"/>
  <c r="O1074" i="10"/>
  <c r="O1075" i="10"/>
  <c r="O1076" i="10"/>
  <c r="O1077" i="10"/>
  <c r="O1078" i="10"/>
  <c r="O1079" i="10"/>
  <c r="O1080" i="10"/>
  <c r="O1081" i="10"/>
  <c r="O1082" i="10"/>
  <c r="O1083" i="10"/>
  <c r="O1084" i="10"/>
  <c r="O1085" i="10"/>
  <c r="O1086" i="10"/>
  <c r="O1087" i="10"/>
  <c r="O1088" i="10"/>
  <c r="O1089" i="10"/>
  <c r="O1090" i="10"/>
  <c r="O1091" i="10"/>
  <c r="O1092" i="10"/>
  <c r="O1093" i="10"/>
  <c r="O1094" i="10"/>
  <c r="O1095" i="10"/>
  <c r="O1096" i="10"/>
  <c r="O1097" i="10"/>
  <c r="O1098" i="10"/>
  <c r="O1099" i="10"/>
  <c r="O1100" i="10"/>
  <c r="O1101" i="10"/>
  <c r="O1102" i="10"/>
  <c r="O1103" i="10"/>
  <c r="O1104" i="10"/>
  <c r="O1105" i="10"/>
  <c r="O1106" i="10"/>
  <c r="O1107" i="10"/>
  <c r="O1108" i="10"/>
  <c r="O1109" i="10"/>
  <c r="O1110" i="10"/>
  <c r="O1111" i="10"/>
  <c r="O1112" i="10"/>
  <c r="O1113" i="10"/>
  <c r="O1114" i="10"/>
  <c r="O1115" i="10"/>
  <c r="O1116" i="10"/>
  <c r="O1117" i="10"/>
  <c r="O1118" i="10"/>
  <c r="O1119" i="10"/>
  <c r="O1120" i="10"/>
  <c r="O1121" i="10"/>
  <c r="O1122" i="10"/>
  <c r="O1123" i="10"/>
  <c r="O1124" i="10"/>
  <c r="O1125" i="10"/>
  <c r="O1126" i="10"/>
  <c r="O1127" i="10"/>
  <c r="O1128" i="10"/>
  <c r="O1129" i="10"/>
  <c r="O1130" i="10"/>
  <c r="O1131" i="10"/>
  <c r="O1132" i="10"/>
  <c r="O1133" i="10"/>
  <c r="O1134" i="10"/>
  <c r="O1135" i="10"/>
  <c r="O1136" i="10"/>
  <c r="O1137" i="10"/>
  <c r="O1138" i="10"/>
  <c r="O1139" i="10"/>
  <c r="O1140" i="10"/>
  <c r="O1141" i="10"/>
  <c r="O1142" i="10"/>
  <c r="O1143" i="10"/>
  <c r="O1144" i="10"/>
  <c r="O1145" i="10"/>
  <c r="O1146" i="10"/>
  <c r="O1147" i="10"/>
  <c r="O1148" i="10"/>
  <c r="O1149" i="10"/>
  <c r="O1150" i="10"/>
  <c r="O1151" i="10"/>
  <c r="O1152" i="10"/>
  <c r="O1153" i="10"/>
  <c r="O1154" i="10"/>
  <c r="O1155" i="10"/>
  <c r="O1156" i="10"/>
  <c r="O1157" i="10"/>
  <c r="O1158" i="10"/>
  <c r="O1159" i="10"/>
  <c r="O1160" i="10"/>
  <c r="O1161" i="10"/>
  <c r="O1162" i="10"/>
  <c r="O1163" i="10"/>
  <c r="O1164" i="10"/>
  <c r="O1165" i="10"/>
  <c r="O1166" i="10"/>
  <c r="O1167" i="10"/>
  <c r="O1168" i="10"/>
  <c r="O1169" i="10"/>
  <c r="O1170" i="10"/>
  <c r="O1171" i="10"/>
  <c r="O1172" i="10"/>
  <c r="O1173" i="10"/>
  <c r="O1174" i="10"/>
  <c r="O1175" i="10"/>
  <c r="O1176" i="10"/>
  <c r="O1177" i="10"/>
  <c r="O1178" i="10"/>
  <c r="O1179" i="10"/>
  <c r="O1180" i="10"/>
  <c r="O1181" i="10"/>
  <c r="O1182" i="10"/>
  <c r="O1183" i="10"/>
  <c r="O1184" i="10"/>
  <c r="O1185" i="10"/>
  <c r="O1186" i="10"/>
  <c r="O1187" i="10"/>
  <c r="O1188" i="10"/>
  <c r="O1189" i="10"/>
  <c r="O1190" i="10"/>
  <c r="O1191" i="10"/>
  <c r="O1192" i="10"/>
  <c r="O1193" i="10"/>
  <c r="O1194" i="10"/>
  <c r="O1195" i="10"/>
  <c r="O1196" i="10"/>
  <c r="O1197" i="10"/>
  <c r="O1198" i="10"/>
  <c r="O1199" i="10"/>
  <c r="O1200" i="10"/>
  <c r="O1201" i="10"/>
  <c r="O1202" i="10"/>
  <c r="O1203" i="10"/>
  <c r="O1204" i="10"/>
  <c r="O1205" i="10"/>
  <c r="O1206" i="10"/>
  <c r="O1207" i="10"/>
  <c r="O1208" i="10"/>
  <c r="O1209" i="10"/>
  <c r="O1210" i="10"/>
  <c r="O1211" i="10"/>
  <c r="O1212" i="10"/>
  <c r="O1213" i="10"/>
  <c r="O1214" i="10"/>
  <c r="O1215" i="10"/>
  <c r="O1216" i="10"/>
  <c r="O1217" i="10"/>
  <c r="O1218" i="10"/>
  <c r="O1219" i="10"/>
  <c r="O1220" i="10"/>
  <c r="O1221" i="10"/>
  <c r="O1222" i="10"/>
  <c r="O1223" i="10"/>
  <c r="O1224" i="10"/>
  <c r="O1225" i="10"/>
  <c r="O1226" i="10"/>
  <c r="O1227" i="10"/>
  <c r="O1228" i="10"/>
  <c r="O1229" i="10"/>
  <c r="O1230" i="10"/>
  <c r="O1231" i="10"/>
  <c r="O1232" i="10"/>
  <c r="O1233" i="10"/>
  <c r="O1234" i="10"/>
  <c r="O1235" i="10"/>
  <c r="O1236" i="10"/>
  <c r="O1237" i="10"/>
  <c r="O1238" i="10"/>
  <c r="O1239" i="10"/>
  <c r="O1240" i="10"/>
  <c r="O1241" i="10"/>
  <c r="O1242" i="10"/>
  <c r="O1243" i="10"/>
  <c r="O1244" i="10"/>
  <c r="O1245" i="10"/>
  <c r="O1246" i="10"/>
  <c r="O1247" i="10"/>
  <c r="O1248" i="10"/>
  <c r="O1249" i="10"/>
  <c r="O1250" i="10"/>
  <c r="O1251" i="10"/>
  <c r="O1252" i="10"/>
  <c r="O1253" i="10"/>
  <c r="O1254" i="10"/>
  <c r="O1255" i="10"/>
  <c r="O1256" i="10"/>
  <c r="O1257" i="10"/>
  <c r="O1258" i="10"/>
  <c r="O1259" i="10"/>
  <c r="O1260" i="10"/>
  <c r="O1261" i="10"/>
  <c r="O1262" i="10"/>
  <c r="O1263" i="10"/>
  <c r="O1264" i="10"/>
  <c r="O1265" i="10"/>
  <c r="O1266" i="10"/>
  <c r="O1267" i="10"/>
  <c r="O1268" i="10"/>
  <c r="O1269" i="10"/>
  <c r="O1270" i="10"/>
  <c r="O1271" i="10"/>
  <c r="O1272" i="10"/>
  <c r="O1273" i="10"/>
  <c r="O1274" i="10"/>
  <c r="O1275" i="10"/>
  <c r="O1276" i="10"/>
  <c r="O1277" i="10"/>
  <c r="O1278" i="10"/>
  <c r="O1279" i="10"/>
  <c r="O1280" i="10"/>
  <c r="O1281" i="10"/>
  <c r="O1282" i="10"/>
  <c r="O1283" i="10"/>
  <c r="O1284" i="10"/>
  <c r="O1285" i="10"/>
  <c r="O1286" i="10"/>
  <c r="O1287" i="10"/>
  <c r="O1288" i="10"/>
  <c r="O1289" i="10"/>
  <c r="O1290" i="10"/>
  <c r="O1291" i="10"/>
  <c r="O1292" i="10"/>
  <c r="O1293" i="10"/>
  <c r="O1294" i="10"/>
  <c r="O1295" i="10"/>
  <c r="O1296" i="10"/>
  <c r="O1297" i="10"/>
  <c r="O1298" i="10"/>
  <c r="O1299" i="10"/>
  <c r="O1300" i="10"/>
  <c r="O1301" i="10"/>
  <c r="O1302" i="10"/>
  <c r="O1303" i="10"/>
  <c r="O1304" i="10"/>
  <c r="O1305" i="10"/>
  <c r="O1306" i="10"/>
  <c r="O1307" i="10"/>
  <c r="O1308" i="10"/>
  <c r="O1309" i="10"/>
  <c r="O1310" i="10"/>
  <c r="O1311" i="10"/>
  <c r="O1312" i="10"/>
  <c r="O1313" i="10"/>
  <c r="O1314" i="10"/>
  <c r="O1315" i="10"/>
  <c r="O1316" i="10"/>
  <c r="O1317" i="10"/>
  <c r="O1318" i="10"/>
  <c r="O1319" i="10"/>
  <c r="O1320" i="10"/>
  <c r="O1321" i="10"/>
  <c r="O1322" i="10"/>
  <c r="O1323" i="10"/>
  <c r="O1324" i="10"/>
  <c r="O1325" i="10"/>
  <c r="O1326" i="10"/>
  <c r="O1327" i="10"/>
  <c r="O1328" i="10"/>
  <c r="O1329" i="10"/>
  <c r="O1330" i="10"/>
  <c r="O1331" i="10"/>
  <c r="O1332" i="10"/>
  <c r="O1333" i="10"/>
  <c r="O1334" i="10"/>
  <c r="O1335" i="10"/>
  <c r="O1336" i="10"/>
  <c r="O1337" i="10"/>
  <c r="O1338" i="10"/>
  <c r="O1339" i="10"/>
  <c r="O1340" i="10"/>
  <c r="O1341" i="10"/>
  <c r="O1342" i="10"/>
  <c r="O1343" i="10"/>
  <c r="O1344" i="10"/>
  <c r="O1345" i="10"/>
  <c r="O1346" i="10"/>
  <c r="O1347" i="10"/>
  <c r="O1348" i="10"/>
  <c r="O1349" i="10"/>
  <c r="O1350" i="10"/>
  <c r="O1351" i="10"/>
  <c r="O1352" i="10"/>
  <c r="O1353" i="10"/>
  <c r="O1354" i="10"/>
  <c r="O1355" i="10"/>
  <c r="O1356" i="10"/>
  <c r="O1357" i="10"/>
  <c r="O1358" i="10"/>
  <c r="O1359" i="10"/>
  <c r="O1360" i="10"/>
  <c r="O1361" i="10"/>
  <c r="O1362" i="10"/>
  <c r="O1363" i="10"/>
  <c r="O1364" i="10"/>
  <c r="O1365" i="10"/>
  <c r="O1366" i="10"/>
  <c r="O1367" i="10"/>
  <c r="O1368" i="10"/>
  <c r="O1369" i="10"/>
  <c r="O1370" i="10"/>
  <c r="O1371" i="10"/>
  <c r="O1372" i="10"/>
  <c r="O1373" i="10"/>
  <c r="O1374" i="10"/>
  <c r="O1375" i="10"/>
  <c r="O1376" i="10"/>
  <c r="O1377" i="10"/>
  <c r="O1378" i="10"/>
  <c r="O1379" i="10"/>
  <c r="O1380" i="10"/>
  <c r="O1381" i="10"/>
  <c r="O1382" i="10"/>
  <c r="O1383" i="10"/>
  <c r="O1384" i="10"/>
  <c r="O1385" i="10"/>
  <c r="O1386" i="10"/>
  <c r="O1387" i="10"/>
  <c r="O1388" i="10"/>
  <c r="O1389" i="10"/>
  <c r="O1390" i="10"/>
  <c r="O1391" i="10"/>
  <c r="O1392" i="10"/>
  <c r="O1393" i="10"/>
  <c r="O1394" i="10"/>
  <c r="O1395" i="10"/>
  <c r="O1396" i="10"/>
  <c r="O1397" i="10"/>
  <c r="O1398" i="10"/>
  <c r="O1399" i="10"/>
  <c r="O1400" i="10"/>
  <c r="O1401" i="10"/>
  <c r="O1402" i="10"/>
  <c r="O1403" i="10"/>
  <c r="O1404" i="10"/>
  <c r="O1405" i="10"/>
  <c r="O1406" i="10"/>
  <c r="O1407" i="10"/>
  <c r="O1408" i="10"/>
  <c r="O1409" i="10"/>
  <c r="O1410" i="10"/>
  <c r="O1411" i="10"/>
  <c r="O1412" i="10"/>
  <c r="O1413" i="10"/>
  <c r="O1414" i="10"/>
  <c r="O1415" i="10"/>
  <c r="O1416" i="10"/>
  <c r="O1417" i="10"/>
  <c r="O1418" i="10"/>
  <c r="O1419" i="10"/>
  <c r="O1420" i="10"/>
  <c r="O1421" i="10"/>
  <c r="O1422" i="10"/>
  <c r="O1423" i="10"/>
  <c r="O1424" i="10"/>
  <c r="O1425" i="10"/>
  <c r="O1426" i="10"/>
  <c r="O1427" i="10"/>
  <c r="O1428" i="10"/>
  <c r="O1429" i="10"/>
  <c r="O1430" i="10"/>
  <c r="O1431" i="10"/>
  <c r="O1432" i="10"/>
  <c r="O1433" i="10"/>
  <c r="O1434" i="10"/>
  <c r="O1435" i="10"/>
  <c r="O1436" i="10"/>
  <c r="O1437" i="10"/>
  <c r="O1438" i="10"/>
  <c r="O1439" i="10"/>
  <c r="O1440" i="10"/>
  <c r="O1441" i="10"/>
  <c r="O1442" i="10"/>
  <c r="O1443" i="10"/>
  <c r="O1444" i="10"/>
  <c r="O1445" i="10"/>
  <c r="O1446" i="10"/>
  <c r="O1447" i="10"/>
  <c r="O1448" i="10"/>
  <c r="O1449" i="10"/>
  <c r="O1450" i="10"/>
  <c r="O1451" i="10"/>
  <c r="O1452" i="10"/>
  <c r="O1453" i="10"/>
  <c r="O1454" i="10"/>
  <c r="O1455" i="10"/>
  <c r="O1456" i="10"/>
  <c r="O1457" i="10"/>
  <c r="O1458" i="10"/>
  <c r="O1459" i="10"/>
  <c r="O1460" i="10"/>
  <c r="O1461" i="10"/>
  <c r="O1462" i="10"/>
  <c r="O1463" i="10"/>
  <c r="O1464" i="10"/>
  <c r="O1465" i="10"/>
  <c r="O1466" i="10"/>
  <c r="O1467" i="10"/>
  <c r="O1468" i="10"/>
  <c r="O1469" i="10"/>
  <c r="O1470" i="10"/>
  <c r="O1471" i="10"/>
  <c r="O1472" i="10"/>
  <c r="O1473" i="10"/>
  <c r="O1474" i="10"/>
  <c r="O1475" i="10"/>
  <c r="O1476" i="10"/>
  <c r="O1477" i="10"/>
  <c r="O1478" i="10"/>
  <c r="O1479" i="10"/>
  <c r="O1480" i="10"/>
  <c r="O1481" i="10"/>
  <c r="O1482" i="10"/>
  <c r="O1483" i="10"/>
  <c r="O1484" i="10"/>
  <c r="O1485" i="10"/>
  <c r="O1486" i="10"/>
  <c r="O1487" i="10"/>
  <c r="O1488" i="10"/>
  <c r="O1489" i="10"/>
  <c r="O1490" i="10"/>
  <c r="O1491" i="10"/>
  <c r="O1492" i="10"/>
  <c r="O1493" i="10"/>
  <c r="O1494" i="10"/>
  <c r="O1495" i="10"/>
  <c r="O1496" i="10"/>
  <c r="O1497" i="10"/>
  <c r="O1498" i="10"/>
  <c r="O1499" i="10"/>
  <c r="O1500" i="10"/>
  <c r="O1501" i="10"/>
  <c r="O1502" i="10"/>
  <c r="O1503" i="10"/>
  <c r="O1504" i="10"/>
  <c r="O1505" i="10"/>
  <c r="O1506" i="10"/>
  <c r="O1507" i="10"/>
  <c r="O1508" i="10"/>
  <c r="O1509" i="10"/>
  <c r="O1510" i="10"/>
  <c r="O1511" i="10"/>
  <c r="O1512" i="10"/>
  <c r="O1513" i="10"/>
  <c r="O1514" i="10"/>
  <c r="O1515" i="10"/>
  <c r="O1516" i="10"/>
  <c r="O1517" i="10"/>
  <c r="O1518" i="10"/>
  <c r="O1519" i="10"/>
  <c r="O1520" i="10"/>
  <c r="O1521" i="10"/>
  <c r="O1522" i="10"/>
  <c r="O1523" i="10"/>
  <c r="O1524" i="10"/>
  <c r="O1525" i="10"/>
  <c r="O1526" i="10"/>
  <c r="O1527" i="10"/>
  <c r="O1528" i="10"/>
  <c r="O1529" i="10"/>
  <c r="O1530" i="10"/>
  <c r="O1531" i="10"/>
  <c r="O1532" i="10"/>
  <c r="O1533" i="10"/>
  <c r="O1534" i="10"/>
  <c r="O1535" i="10"/>
  <c r="O1536" i="10"/>
  <c r="O1537" i="10"/>
  <c r="O1538" i="10"/>
  <c r="O1539" i="10"/>
  <c r="O1540" i="10"/>
  <c r="O1541" i="10"/>
  <c r="O1542" i="10"/>
  <c r="O1543" i="10"/>
  <c r="O1544" i="10"/>
  <c r="O1545" i="10"/>
  <c r="O1546" i="10"/>
  <c r="O1547" i="10"/>
  <c r="O1548" i="10"/>
  <c r="O1549" i="10"/>
  <c r="O1550" i="10"/>
  <c r="O1551" i="10"/>
  <c r="O1552" i="10"/>
  <c r="O1553" i="10"/>
  <c r="O1554" i="10"/>
  <c r="O1555" i="10"/>
  <c r="O1556" i="10"/>
  <c r="O1557" i="10"/>
  <c r="O1558" i="10"/>
  <c r="O1559" i="10"/>
  <c r="O1560" i="10"/>
  <c r="O1561" i="10"/>
  <c r="O1562" i="10"/>
  <c r="O1563" i="10"/>
  <c r="O1564" i="10"/>
  <c r="O1565" i="10"/>
  <c r="O1566" i="10"/>
  <c r="O1567" i="10"/>
  <c r="O1568" i="10"/>
  <c r="O1569" i="10"/>
  <c r="O1570" i="10"/>
  <c r="O1571" i="10"/>
  <c r="O1572" i="10"/>
  <c r="O1573" i="10"/>
  <c r="O1574" i="10"/>
  <c r="O1575" i="10"/>
  <c r="O1576" i="10"/>
  <c r="O1577" i="10"/>
  <c r="O1578" i="10"/>
  <c r="O1579" i="10"/>
  <c r="O1580" i="10"/>
  <c r="O1581" i="10"/>
  <c r="O1582" i="10"/>
  <c r="O1583" i="10"/>
  <c r="O1584" i="10"/>
  <c r="O1585" i="10"/>
  <c r="O1586" i="10"/>
  <c r="O1587" i="10"/>
  <c r="O1588" i="10"/>
  <c r="O1589" i="10"/>
  <c r="O1590" i="10"/>
  <c r="O1591" i="10"/>
  <c r="O1592" i="10"/>
  <c r="O1593" i="10"/>
  <c r="O1594" i="10"/>
  <c r="O1595" i="10"/>
  <c r="O1596" i="10"/>
  <c r="O1597" i="10"/>
  <c r="O1598" i="10"/>
  <c r="O1599" i="10"/>
  <c r="O1600" i="10"/>
  <c r="O1601" i="10"/>
  <c r="O1602" i="10"/>
  <c r="O1603" i="10"/>
  <c r="O1604" i="10"/>
  <c r="O1605" i="10"/>
  <c r="O1606" i="10"/>
  <c r="O1607" i="10"/>
  <c r="O1608" i="10"/>
  <c r="O1609" i="10"/>
  <c r="O1610" i="10"/>
  <c r="O1611" i="10"/>
  <c r="O1612" i="10"/>
  <c r="O1613" i="10"/>
  <c r="O1614" i="10"/>
  <c r="O1615" i="10"/>
  <c r="O1616" i="10"/>
  <c r="O1617" i="10"/>
  <c r="O1618" i="10"/>
  <c r="O1619" i="10"/>
  <c r="O1620" i="10"/>
  <c r="O1621" i="10"/>
  <c r="O1622" i="10"/>
  <c r="O1623" i="10"/>
  <c r="O1624" i="10"/>
  <c r="O1625" i="10"/>
  <c r="O1626" i="10"/>
  <c r="O1627" i="10"/>
  <c r="O1628" i="10"/>
  <c r="O1629" i="10"/>
  <c r="O1630" i="10"/>
  <c r="O1631" i="10"/>
  <c r="O1632" i="10"/>
  <c r="O1633" i="10"/>
  <c r="O1634" i="10"/>
  <c r="O1635" i="10"/>
  <c r="O1636" i="10"/>
  <c r="O1637" i="10"/>
  <c r="O1638" i="10"/>
  <c r="O1639" i="10"/>
  <c r="O1640" i="10"/>
  <c r="O1641" i="10"/>
  <c r="O1642" i="10"/>
  <c r="O1643" i="10"/>
  <c r="O1644" i="10"/>
  <c r="O1645" i="10"/>
  <c r="O1646" i="10"/>
  <c r="O1647" i="10"/>
  <c r="O1648" i="10"/>
  <c r="O1649" i="10"/>
  <c r="O1650" i="10"/>
  <c r="O1651" i="10"/>
  <c r="O1652" i="10"/>
  <c r="O1653" i="10"/>
  <c r="O1654" i="10"/>
  <c r="O1655" i="10"/>
  <c r="O1656" i="10"/>
  <c r="O1657" i="10"/>
  <c r="O1658" i="10"/>
  <c r="O1659" i="10"/>
  <c r="O1660" i="10"/>
  <c r="O1661" i="10"/>
  <c r="O1662" i="10"/>
  <c r="O1663" i="10"/>
  <c r="O1664" i="10"/>
  <c r="O1665" i="10"/>
  <c r="O1666" i="10"/>
  <c r="O1667" i="10"/>
  <c r="O1668" i="10"/>
  <c r="O1669" i="10"/>
  <c r="O1670" i="10"/>
  <c r="O1671" i="10"/>
  <c r="O1672" i="10"/>
  <c r="O1673" i="10"/>
  <c r="O1674" i="10"/>
  <c r="O1675" i="10"/>
  <c r="O1676" i="10"/>
  <c r="O1677" i="10"/>
  <c r="O1678" i="10"/>
  <c r="O1679" i="10"/>
  <c r="O1680" i="10"/>
  <c r="O1681" i="10"/>
  <c r="O1682" i="10"/>
  <c r="O1683" i="10"/>
  <c r="O1684" i="10"/>
  <c r="O1685" i="10"/>
  <c r="O1686" i="10"/>
  <c r="O1687" i="10"/>
  <c r="O1688" i="10"/>
  <c r="O1689" i="10"/>
  <c r="O1690" i="10"/>
  <c r="O1691" i="10"/>
  <c r="O1692" i="10"/>
  <c r="O1693" i="10"/>
  <c r="O1694" i="10"/>
  <c r="O1695" i="10"/>
  <c r="O1696" i="10"/>
  <c r="O1697" i="10"/>
  <c r="O1698" i="10"/>
  <c r="O1699" i="10"/>
  <c r="O1700" i="10"/>
  <c r="O1701" i="10"/>
  <c r="O1702" i="10"/>
  <c r="O1703" i="10"/>
  <c r="O1704" i="10"/>
  <c r="O1705" i="10"/>
  <c r="O1706" i="10"/>
  <c r="O1707" i="10"/>
  <c r="O1708" i="10"/>
  <c r="O1709" i="10"/>
  <c r="O1710" i="10"/>
  <c r="O1711" i="10"/>
  <c r="O1712" i="10"/>
  <c r="O1713" i="10"/>
  <c r="O1714" i="10"/>
  <c r="O1715" i="10"/>
  <c r="O1716" i="10"/>
  <c r="O1717" i="10"/>
  <c r="O1718" i="10"/>
  <c r="O1719" i="10"/>
  <c r="O1720" i="10"/>
  <c r="O1721" i="10"/>
  <c r="O1722" i="10"/>
  <c r="O1723" i="10"/>
  <c r="O1724" i="10"/>
  <c r="O1725" i="10"/>
  <c r="O1726" i="10"/>
  <c r="O1727" i="10"/>
  <c r="O1728" i="10"/>
  <c r="O1729" i="10"/>
  <c r="O1730" i="10"/>
  <c r="O1731" i="10"/>
  <c r="O1732" i="10"/>
  <c r="O1733" i="10"/>
  <c r="O1734" i="10"/>
  <c r="O1735" i="10"/>
  <c r="O1736" i="10"/>
  <c r="O1737" i="10"/>
  <c r="O1738" i="10"/>
  <c r="O1739" i="10"/>
  <c r="O1740" i="10"/>
  <c r="O1741" i="10"/>
  <c r="O1742" i="10"/>
  <c r="O1743" i="10"/>
  <c r="O1744" i="10"/>
  <c r="O1745" i="10"/>
  <c r="O1746" i="10"/>
  <c r="O1747" i="10"/>
  <c r="O1748" i="10"/>
  <c r="O1749" i="10"/>
  <c r="O1750" i="10"/>
  <c r="O1751" i="10"/>
  <c r="O1752" i="10"/>
  <c r="O1753" i="10"/>
  <c r="O1754" i="10"/>
  <c r="O1755" i="10"/>
  <c r="O1756" i="10"/>
  <c r="O1757" i="10"/>
  <c r="O1758" i="10"/>
  <c r="O1759" i="10"/>
  <c r="O1760" i="10"/>
  <c r="O1761" i="10"/>
  <c r="O1762" i="10"/>
  <c r="O1763" i="10"/>
  <c r="O1764" i="10"/>
  <c r="O1765" i="10"/>
  <c r="O1766" i="10"/>
  <c r="O1767" i="10"/>
  <c r="O1768" i="10"/>
  <c r="O1769" i="10"/>
  <c r="O1770" i="10"/>
  <c r="O1771" i="10"/>
  <c r="O1772" i="10"/>
  <c r="O1773" i="10"/>
  <c r="O1774" i="10"/>
  <c r="O1775" i="10"/>
  <c r="O1776" i="10"/>
  <c r="O1777" i="10"/>
  <c r="O1778" i="10"/>
  <c r="O1779" i="10"/>
  <c r="O1780" i="10"/>
  <c r="O1781" i="10"/>
  <c r="O1782" i="10"/>
  <c r="O1783" i="10"/>
  <c r="O1784" i="10"/>
  <c r="O1785" i="10"/>
  <c r="O1786" i="10"/>
  <c r="O1787" i="10"/>
  <c r="O1788" i="10"/>
  <c r="O1789" i="10"/>
  <c r="O1790" i="10"/>
  <c r="O1791" i="10"/>
  <c r="O1792" i="10"/>
  <c r="O1793" i="10"/>
  <c r="O1794" i="10"/>
  <c r="O1795" i="10"/>
  <c r="O1796" i="10"/>
  <c r="O1797" i="10"/>
  <c r="O1798" i="10"/>
  <c r="O1799" i="10"/>
  <c r="O1800" i="10"/>
  <c r="O1801" i="10"/>
  <c r="O1802" i="10"/>
  <c r="O1803" i="10"/>
  <c r="O1804" i="10"/>
  <c r="O1805" i="10"/>
  <c r="O1806" i="10"/>
  <c r="O1807" i="10"/>
  <c r="O1808" i="10"/>
  <c r="O1809" i="10"/>
  <c r="O1810" i="10"/>
  <c r="O1811" i="10"/>
  <c r="O1812" i="10"/>
  <c r="O1813" i="10"/>
  <c r="O1814" i="10"/>
  <c r="O1815" i="10"/>
  <c r="O1816" i="10"/>
  <c r="O1817" i="10"/>
  <c r="O1818" i="10"/>
  <c r="O1819" i="10"/>
  <c r="O1820" i="10"/>
  <c r="O1821" i="10"/>
  <c r="O1822" i="10"/>
  <c r="O1823" i="10"/>
  <c r="O1824" i="10"/>
  <c r="O1825" i="10"/>
  <c r="O1826" i="10"/>
  <c r="O1827" i="10"/>
  <c r="O1828" i="10"/>
  <c r="O1829" i="10"/>
  <c r="O1830" i="10"/>
  <c r="O1831" i="10"/>
  <c r="O1832" i="10"/>
  <c r="O1833" i="10"/>
  <c r="O1834" i="10"/>
  <c r="O1835" i="10"/>
  <c r="O1836" i="10"/>
  <c r="O1837" i="10"/>
  <c r="O1838" i="10"/>
  <c r="O1839" i="10"/>
  <c r="O1840" i="10"/>
  <c r="O1841" i="10"/>
  <c r="O1842" i="10"/>
  <c r="O1843" i="10"/>
  <c r="O1844" i="10"/>
  <c r="O1845" i="10"/>
  <c r="O1846" i="10"/>
  <c r="O1847" i="10"/>
  <c r="O1848" i="10"/>
  <c r="O1849" i="10"/>
  <c r="O1850" i="10"/>
  <c r="O1851" i="10"/>
  <c r="O1852" i="10"/>
  <c r="O1853" i="10"/>
  <c r="O1854" i="10"/>
  <c r="O1855" i="10"/>
  <c r="O1856" i="10"/>
  <c r="O1857" i="10"/>
  <c r="O1858" i="10"/>
  <c r="O1859" i="10"/>
  <c r="O1860" i="10"/>
  <c r="O1861" i="10"/>
  <c r="O1862" i="10"/>
  <c r="O1863" i="10"/>
  <c r="O1864" i="10"/>
  <c r="O1865" i="10"/>
  <c r="O1866" i="10"/>
  <c r="O1867" i="10"/>
  <c r="O1868" i="10"/>
  <c r="O1869" i="10"/>
  <c r="O1870" i="10"/>
  <c r="O1871" i="10"/>
  <c r="O1872" i="10"/>
  <c r="O1873" i="10"/>
  <c r="O1874" i="10"/>
  <c r="O1875" i="10"/>
  <c r="O1876" i="10"/>
  <c r="O1877" i="10"/>
  <c r="O1878" i="10"/>
  <c r="O1879" i="10"/>
  <c r="O1880" i="10"/>
  <c r="O1881" i="10"/>
  <c r="O1882" i="10"/>
  <c r="O1883" i="10"/>
  <c r="O1884" i="10"/>
  <c r="O1885" i="10"/>
  <c r="O1886" i="10"/>
  <c r="O1887" i="10"/>
  <c r="O1888" i="10"/>
  <c r="O1889" i="10"/>
  <c r="O1890" i="10"/>
  <c r="O1891" i="10"/>
  <c r="O1892" i="10"/>
  <c r="O1893" i="10"/>
  <c r="O1894" i="10"/>
  <c r="O1895" i="10"/>
  <c r="O1896" i="10"/>
  <c r="O1897" i="10"/>
  <c r="O1898" i="10"/>
  <c r="O1899" i="10"/>
  <c r="O1900" i="10"/>
  <c r="O1901" i="10"/>
  <c r="O1902" i="10"/>
  <c r="O1903" i="10"/>
  <c r="O1904" i="10"/>
  <c r="O1905" i="10"/>
  <c r="O1906" i="10"/>
  <c r="O1907" i="10"/>
  <c r="O1908" i="10"/>
  <c r="O1909" i="10"/>
  <c r="O1910" i="10"/>
  <c r="O1911" i="10"/>
  <c r="O1912" i="10"/>
  <c r="O1913" i="10"/>
  <c r="O1914" i="10"/>
  <c r="O1915" i="10"/>
  <c r="O1916" i="10"/>
  <c r="O1917" i="10"/>
  <c r="O1918" i="10"/>
  <c r="O1919" i="10"/>
  <c r="O1920" i="10"/>
  <c r="O1921" i="10"/>
  <c r="O1922" i="10"/>
  <c r="O1923" i="10"/>
  <c r="O1924" i="10"/>
  <c r="O1925" i="10"/>
  <c r="O1926" i="10"/>
  <c r="O1927" i="10"/>
  <c r="O1928" i="10"/>
  <c r="O1929" i="10"/>
  <c r="O1930" i="10"/>
  <c r="O1931" i="10"/>
  <c r="O1932" i="10"/>
  <c r="O1933" i="10"/>
  <c r="O1934" i="10"/>
  <c r="O1935" i="10"/>
  <c r="O1936" i="10"/>
  <c r="O1937" i="10"/>
  <c r="O1938" i="10"/>
  <c r="O1939" i="10"/>
  <c r="O1940" i="10"/>
  <c r="O1941" i="10"/>
  <c r="O1942" i="10"/>
  <c r="O1943" i="10"/>
  <c r="O1944" i="10"/>
  <c r="O1945" i="10"/>
  <c r="O1946" i="10"/>
  <c r="O1947" i="10"/>
  <c r="O1948" i="10"/>
  <c r="O1949" i="10"/>
  <c r="O1950" i="10"/>
  <c r="O1951" i="10"/>
  <c r="O1952" i="10"/>
  <c r="O1953" i="10"/>
  <c r="O1954" i="10"/>
  <c r="O1955" i="10"/>
  <c r="O1956" i="10"/>
  <c r="O1957" i="10"/>
  <c r="O1958" i="10"/>
  <c r="O1959" i="10"/>
  <c r="O1960" i="10"/>
  <c r="O1961" i="10"/>
  <c r="O1962" i="10"/>
  <c r="O1963" i="10"/>
  <c r="O1964" i="10"/>
  <c r="O1965" i="10"/>
  <c r="O1966" i="10"/>
  <c r="O1967" i="10"/>
  <c r="O1968" i="10"/>
  <c r="O1969" i="10"/>
  <c r="O1970" i="10"/>
  <c r="O1971" i="10"/>
  <c r="O1972" i="10"/>
  <c r="O1973" i="10"/>
  <c r="O1974" i="10"/>
  <c r="O1975" i="10"/>
  <c r="O1976" i="10"/>
  <c r="O1977" i="10"/>
  <c r="O1978" i="10"/>
  <c r="O1979" i="10"/>
  <c r="O1980" i="10"/>
  <c r="O1981" i="10"/>
  <c r="O1982" i="10"/>
  <c r="O1983" i="10"/>
  <c r="O1984" i="10"/>
  <c r="O1985" i="10"/>
  <c r="O1986" i="10"/>
  <c r="O1987" i="10"/>
  <c r="O1988" i="10"/>
  <c r="O1989" i="10"/>
  <c r="O1990" i="10"/>
  <c r="O1991" i="10"/>
  <c r="O1992" i="10"/>
  <c r="O1993" i="10"/>
  <c r="O1994" i="10"/>
  <c r="O1995" i="10"/>
  <c r="O1996" i="10"/>
  <c r="O1997" i="10"/>
  <c r="O1998" i="10"/>
  <c r="O1999" i="10"/>
  <c r="O2000" i="10"/>
  <c r="O2001" i="10"/>
  <c r="O2002" i="10"/>
  <c r="O2003" i="10"/>
  <c r="O2004" i="10"/>
  <c r="O2005" i="10"/>
  <c r="O2006" i="10"/>
  <c r="O2007" i="10"/>
  <c r="O2008" i="10"/>
  <c r="O2009" i="10"/>
  <c r="O2010" i="10"/>
  <c r="O2011" i="10"/>
  <c r="O2012" i="10"/>
  <c r="O2013" i="10"/>
  <c r="O2014" i="10"/>
  <c r="O2015" i="10"/>
  <c r="O2016" i="10"/>
  <c r="O2017" i="10"/>
  <c r="O2018" i="10"/>
  <c r="O2019" i="10"/>
  <c r="O2020" i="10"/>
  <c r="O2021" i="10"/>
  <c r="O2022" i="10"/>
  <c r="O2023" i="10"/>
  <c r="O2024" i="10"/>
  <c r="O2025" i="10"/>
  <c r="O2026" i="10"/>
  <c r="O2027" i="10"/>
  <c r="O2028" i="10"/>
  <c r="O2029" i="10"/>
  <c r="O2030" i="10"/>
  <c r="O2031" i="10"/>
  <c r="O2032" i="10"/>
  <c r="O2033" i="10"/>
  <c r="O2034" i="10"/>
  <c r="O2035" i="10"/>
  <c r="O2036" i="10"/>
  <c r="O2037" i="10"/>
  <c r="O2038" i="10"/>
  <c r="O2039" i="10"/>
  <c r="O2040" i="10"/>
  <c r="O2041" i="10"/>
  <c r="O2042" i="10"/>
  <c r="O2043" i="10"/>
  <c r="O2044" i="10"/>
  <c r="O2045" i="10"/>
  <c r="O2046" i="10"/>
  <c r="O2047" i="10"/>
  <c r="O2048" i="10"/>
  <c r="O2049" i="10"/>
  <c r="O2050" i="10"/>
  <c r="O2051" i="10"/>
  <c r="O2052" i="10"/>
  <c r="O2053" i="10"/>
  <c r="O2054" i="10"/>
  <c r="O2055" i="10"/>
  <c r="O2056" i="10"/>
  <c r="O2057" i="10"/>
  <c r="O2058" i="10"/>
  <c r="O2059" i="10"/>
  <c r="O2060" i="10"/>
  <c r="O2061" i="10"/>
  <c r="O2062" i="10"/>
  <c r="O2063" i="10"/>
  <c r="O2064" i="10"/>
  <c r="O2065" i="10"/>
  <c r="O2066" i="10"/>
  <c r="O2067" i="10"/>
  <c r="O2068" i="10"/>
  <c r="O2069" i="10"/>
  <c r="O2070" i="10"/>
  <c r="O2071" i="10"/>
  <c r="O2072" i="10"/>
  <c r="O2073" i="10"/>
  <c r="O2074" i="10"/>
  <c r="O2075" i="10"/>
  <c r="O2076" i="10"/>
  <c r="O2077" i="10"/>
  <c r="O2078" i="10"/>
  <c r="O2079" i="10"/>
  <c r="O2080" i="10"/>
  <c r="O2081" i="10"/>
  <c r="O2082" i="10"/>
  <c r="O2083" i="10"/>
  <c r="O2084" i="10"/>
  <c r="O2085" i="10"/>
  <c r="O2086" i="10"/>
  <c r="O2087" i="10"/>
  <c r="O2088" i="10"/>
  <c r="O2089" i="10"/>
  <c r="O2090" i="10"/>
  <c r="O2091" i="10"/>
  <c r="O2092" i="10"/>
  <c r="O2093" i="10"/>
  <c r="O2094" i="10"/>
  <c r="O2095" i="10"/>
  <c r="O2096" i="10"/>
  <c r="O2097" i="10"/>
  <c r="O2098" i="10"/>
  <c r="O2099" i="10"/>
  <c r="O2100" i="10"/>
  <c r="O2101" i="10"/>
  <c r="O2102" i="10"/>
  <c r="O2103" i="10"/>
  <c r="O2104" i="10"/>
  <c r="O2105" i="10"/>
  <c r="O2106" i="10"/>
  <c r="O2107" i="10"/>
  <c r="O2108" i="10"/>
  <c r="O2109" i="10"/>
  <c r="O2110" i="10"/>
  <c r="O2111" i="10"/>
  <c r="O2112" i="10"/>
  <c r="O2113" i="10"/>
  <c r="O2114" i="10"/>
  <c r="O2115" i="10"/>
  <c r="O2116" i="10"/>
  <c r="O2117" i="10"/>
  <c r="O2118" i="10"/>
  <c r="O2119" i="10"/>
  <c r="O2120" i="10"/>
  <c r="O2121" i="10"/>
  <c r="O2122" i="10"/>
  <c r="O2123" i="10"/>
  <c r="O2124" i="10"/>
  <c r="O2125" i="10"/>
  <c r="O2126" i="10"/>
  <c r="O2127" i="10"/>
  <c r="O2128" i="10"/>
  <c r="O2129" i="10"/>
  <c r="O2130" i="10"/>
  <c r="O2131" i="10"/>
  <c r="O2132" i="10"/>
  <c r="O2133" i="10"/>
  <c r="O2134" i="10"/>
  <c r="O2135" i="10"/>
  <c r="O2136" i="10"/>
  <c r="O2137" i="10"/>
  <c r="O2138" i="10"/>
  <c r="O2139" i="10"/>
  <c r="O2140" i="10"/>
  <c r="O2141" i="10"/>
  <c r="O2142" i="10"/>
  <c r="O2143" i="10"/>
  <c r="O2144" i="10"/>
  <c r="O2145" i="10"/>
  <c r="O2146" i="10"/>
  <c r="O2147" i="10"/>
  <c r="O2148" i="10"/>
  <c r="O2149" i="10"/>
  <c r="O2150" i="10"/>
  <c r="O2151" i="10"/>
  <c r="O2152" i="10"/>
  <c r="O2153" i="10"/>
  <c r="O2154" i="10"/>
  <c r="O2155" i="10"/>
  <c r="O2156" i="10"/>
  <c r="O2157" i="10"/>
  <c r="O2158" i="10"/>
  <c r="O2159" i="10"/>
  <c r="O2160" i="10"/>
  <c r="O2161" i="10"/>
  <c r="O2162" i="10"/>
  <c r="O2163" i="10"/>
  <c r="O2164" i="10"/>
  <c r="O2165" i="10"/>
  <c r="O2166" i="10"/>
  <c r="O2167" i="10"/>
  <c r="O2168" i="10"/>
  <c r="O2169" i="10"/>
  <c r="O2170" i="10"/>
  <c r="O2171" i="10"/>
  <c r="O2172" i="10"/>
  <c r="O2173" i="10"/>
  <c r="O2174" i="10"/>
  <c r="O2175" i="10"/>
  <c r="O2176" i="10"/>
  <c r="O2177" i="10"/>
  <c r="O2178" i="10"/>
  <c r="O2179" i="10"/>
  <c r="O2180" i="10"/>
  <c r="O2181" i="10"/>
  <c r="O2182" i="10"/>
  <c r="O2183" i="10"/>
  <c r="O2184" i="10"/>
  <c r="O2185" i="10"/>
  <c r="O2186" i="10"/>
  <c r="O2187" i="10"/>
  <c r="O2188" i="10"/>
  <c r="O2189" i="10"/>
  <c r="O2190" i="10"/>
  <c r="O2191" i="10"/>
  <c r="O2192" i="10"/>
  <c r="O2193" i="10"/>
  <c r="O2194" i="10"/>
  <c r="O2195" i="10"/>
  <c r="O2196" i="10"/>
  <c r="O2197" i="10"/>
  <c r="O2198" i="10"/>
  <c r="O2199" i="10"/>
  <c r="O2200" i="10"/>
  <c r="O2201" i="10"/>
  <c r="O2202" i="10"/>
  <c r="O2203" i="10"/>
  <c r="O2204" i="10"/>
  <c r="O2205" i="10"/>
  <c r="O2206" i="10"/>
  <c r="O2207" i="10"/>
  <c r="O2208" i="10"/>
  <c r="O2209" i="10"/>
  <c r="O2210" i="10"/>
  <c r="O2211" i="10"/>
  <c r="O2212" i="10"/>
  <c r="O2213" i="10"/>
  <c r="O2214" i="10"/>
  <c r="O2215" i="10"/>
  <c r="O2216" i="10"/>
  <c r="O2217" i="10"/>
  <c r="O2218" i="10"/>
  <c r="O2219" i="10"/>
  <c r="O2220" i="10"/>
  <c r="O2221" i="10"/>
  <c r="O2222" i="10"/>
  <c r="O2223" i="10"/>
  <c r="O2224" i="10"/>
  <c r="O2225" i="10"/>
  <c r="O2226" i="10"/>
  <c r="O2227" i="10"/>
  <c r="O2228" i="10"/>
  <c r="O2229" i="10"/>
  <c r="O2230" i="10"/>
  <c r="O2231" i="10"/>
  <c r="O2232" i="10"/>
  <c r="O2233" i="10"/>
  <c r="O2234" i="10"/>
  <c r="O2235" i="10"/>
  <c r="O2236" i="10"/>
  <c r="O2237" i="10"/>
  <c r="O2238" i="10"/>
  <c r="O2239" i="10"/>
  <c r="O2240" i="10"/>
  <c r="O2241" i="10"/>
  <c r="O2242" i="10"/>
  <c r="O2243" i="10"/>
  <c r="O2244" i="10"/>
  <c r="O2245" i="10"/>
  <c r="O2246" i="10"/>
  <c r="O2247" i="10"/>
  <c r="O2248" i="10"/>
  <c r="O2249" i="10"/>
  <c r="O2250" i="10"/>
  <c r="O2251" i="10"/>
  <c r="O2252" i="10"/>
  <c r="O2253" i="10"/>
  <c r="O2254" i="10"/>
  <c r="O2255" i="10"/>
  <c r="O2256" i="10"/>
  <c r="O2257" i="10"/>
  <c r="O2258" i="10"/>
  <c r="O2259" i="10"/>
  <c r="O2260" i="10"/>
  <c r="O2261" i="10"/>
  <c r="O2262" i="10"/>
  <c r="O2263" i="10"/>
  <c r="O2264" i="10"/>
  <c r="O2265" i="10"/>
  <c r="O2266" i="10"/>
  <c r="O2267" i="10"/>
  <c r="O2268" i="10"/>
  <c r="O2269" i="10"/>
  <c r="O2270" i="10"/>
  <c r="O2271" i="10"/>
  <c r="O2272" i="10"/>
  <c r="O2273" i="10"/>
  <c r="O2274" i="10"/>
  <c r="O2275" i="10"/>
  <c r="O2276" i="10"/>
  <c r="O2277" i="10"/>
  <c r="O2278" i="10"/>
  <c r="O2279" i="10"/>
  <c r="O2280" i="10"/>
  <c r="O2281" i="10"/>
  <c r="O2282" i="10"/>
  <c r="O2283" i="10"/>
  <c r="O2284" i="10"/>
  <c r="O2285" i="10"/>
  <c r="O2286" i="10"/>
  <c r="O2287" i="10"/>
  <c r="O2288" i="10"/>
  <c r="O2289" i="10"/>
  <c r="O2290" i="10"/>
  <c r="O2291" i="10"/>
  <c r="O2292" i="10"/>
  <c r="O2293" i="10"/>
  <c r="O2294" i="10"/>
  <c r="O2295" i="10"/>
  <c r="O2296" i="10"/>
  <c r="O2297" i="10"/>
  <c r="O2298" i="10"/>
  <c r="O2299" i="10"/>
  <c r="O2300" i="10"/>
  <c r="O2301" i="10"/>
  <c r="O2302" i="10"/>
  <c r="O2303" i="10"/>
  <c r="O2304" i="10"/>
  <c r="O2305" i="10"/>
  <c r="O2306" i="10"/>
  <c r="O2307" i="10"/>
  <c r="O2308" i="10"/>
  <c r="O2309" i="10"/>
  <c r="O2310" i="10"/>
  <c r="O2311" i="10"/>
  <c r="O2312" i="10"/>
  <c r="O2313" i="10"/>
  <c r="O2314" i="10"/>
  <c r="O2315" i="10"/>
  <c r="O2316" i="10"/>
  <c r="O2317" i="10"/>
  <c r="O2318" i="10"/>
  <c r="O2319" i="10"/>
  <c r="O2320" i="10"/>
  <c r="O2321" i="10"/>
  <c r="O2322" i="10"/>
  <c r="O2323" i="10"/>
  <c r="O2324" i="10"/>
  <c r="O2325" i="10"/>
  <c r="O2326" i="10"/>
  <c r="O2327" i="10"/>
  <c r="O2328" i="10"/>
  <c r="O2329" i="10"/>
  <c r="O2330" i="10"/>
  <c r="O2331" i="10"/>
  <c r="O2332" i="10"/>
  <c r="O2333" i="10"/>
  <c r="O2334" i="10"/>
  <c r="O2335" i="10"/>
  <c r="O2336" i="10"/>
  <c r="O2337" i="10"/>
  <c r="O2338" i="10"/>
  <c r="O2339" i="10"/>
  <c r="O2340" i="10"/>
  <c r="O2341" i="10"/>
  <c r="O2342" i="10"/>
  <c r="O2343" i="10"/>
  <c r="O2344" i="10"/>
  <c r="O2345" i="10"/>
  <c r="O2346" i="10"/>
  <c r="O2347" i="10"/>
  <c r="O2348" i="10"/>
  <c r="O2349" i="10"/>
  <c r="O2350" i="10"/>
  <c r="O2351" i="10"/>
  <c r="O2352" i="10"/>
  <c r="O2353" i="10"/>
  <c r="O2354" i="10"/>
  <c r="O2355" i="10"/>
  <c r="O2356" i="10"/>
  <c r="O2357" i="10"/>
  <c r="O2358" i="10"/>
  <c r="O2359" i="10"/>
  <c r="O2360" i="10"/>
  <c r="O2361" i="10"/>
  <c r="O2362" i="10"/>
  <c r="O2363" i="10"/>
  <c r="O2364" i="10"/>
  <c r="O2365" i="10"/>
  <c r="O2366" i="10"/>
  <c r="O2367" i="10"/>
  <c r="O2368" i="10"/>
  <c r="O2369" i="10"/>
  <c r="O2370" i="10"/>
  <c r="O2371" i="10"/>
  <c r="O2372" i="10"/>
  <c r="O2373" i="10"/>
  <c r="O2374" i="10"/>
  <c r="O2375" i="10"/>
  <c r="O2376" i="10"/>
  <c r="O2377" i="10"/>
  <c r="O2378" i="10"/>
  <c r="O2379" i="10"/>
  <c r="O2380" i="10"/>
  <c r="O2381" i="10"/>
  <c r="O2382" i="10"/>
  <c r="O2383" i="10"/>
  <c r="O2384" i="10"/>
  <c r="O2385" i="10"/>
  <c r="O2386" i="10"/>
  <c r="O2387" i="10"/>
  <c r="O2388" i="10"/>
  <c r="O2389" i="10"/>
  <c r="O2390" i="10"/>
  <c r="O2391" i="10"/>
  <c r="O2392" i="10"/>
  <c r="O2393" i="10"/>
  <c r="O2394" i="10"/>
  <c r="O2395" i="10"/>
  <c r="O2396" i="10"/>
  <c r="O2397" i="10"/>
  <c r="O2398" i="10"/>
  <c r="O2399" i="10"/>
  <c r="O2400" i="10"/>
  <c r="O2401" i="10"/>
  <c r="O2402" i="10"/>
  <c r="O2403" i="10"/>
  <c r="O2404" i="10"/>
  <c r="O2405" i="10"/>
  <c r="O2406" i="10"/>
  <c r="O2407" i="10"/>
  <c r="O2408" i="10"/>
  <c r="O2409" i="10"/>
  <c r="O2410" i="10"/>
  <c r="O2411" i="10"/>
  <c r="O2412" i="10"/>
  <c r="O2413" i="10"/>
  <c r="O2414" i="10"/>
  <c r="O2415" i="10"/>
  <c r="O2416" i="10"/>
  <c r="O2417" i="10"/>
  <c r="O2418" i="10"/>
  <c r="O2419" i="10"/>
  <c r="O2420" i="10"/>
  <c r="O2421" i="10"/>
  <c r="O2422" i="10"/>
  <c r="O2423" i="10"/>
  <c r="O2424" i="10"/>
  <c r="O2425" i="10"/>
  <c r="O2426" i="10"/>
  <c r="O2427" i="10"/>
  <c r="O2428" i="10"/>
  <c r="O2429" i="10"/>
  <c r="O2430" i="10"/>
  <c r="O2431" i="10"/>
  <c r="O2432" i="10"/>
  <c r="O2433" i="10"/>
  <c r="O2434" i="10"/>
  <c r="O2435" i="10"/>
  <c r="O2436" i="10"/>
  <c r="O2437" i="10"/>
  <c r="O2438" i="10"/>
  <c r="O2439" i="10"/>
  <c r="O2440" i="10"/>
  <c r="O2441" i="10"/>
  <c r="O2442" i="10"/>
  <c r="O2443" i="10"/>
  <c r="O2444" i="10"/>
  <c r="O2445" i="10"/>
  <c r="O2446" i="10"/>
  <c r="O2447" i="10"/>
  <c r="O2448" i="10"/>
  <c r="O2449" i="10"/>
  <c r="O2450" i="10"/>
  <c r="O2451" i="10"/>
  <c r="O2452" i="10"/>
  <c r="O2453" i="10"/>
  <c r="O2454" i="10"/>
  <c r="O2455" i="10"/>
  <c r="O2456" i="10"/>
  <c r="O2457" i="10"/>
  <c r="O2458" i="10"/>
  <c r="O2459" i="10"/>
  <c r="O2460" i="10"/>
  <c r="O2461" i="10"/>
  <c r="O2462" i="10"/>
  <c r="O2463" i="10"/>
  <c r="O2464" i="10"/>
  <c r="O2465" i="10"/>
  <c r="O2466" i="10"/>
  <c r="O2467" i="10"/>
  <c r="O2468" i="10"/>
  <c r="O2469" i="10"/>
  <c r="O2470" i="10"/>
  <c r="O2471" i="10"/>
  <c r="O2472" i="10"/>
  <c r="O2473" i="10"/>
  <c r="O2474" i="10"/>
  <c r="O2475" i="10"/>
  <c r="O2476" i="10"/>
  <c r="O2477" i="10"/>
  <c r="O2478" i="10"/>
  <c r="O2479" i="10"/>
  <c r="O2480" i="10"/>
  <c r="O2481" i="10"/>
  <c r="O2482" i="10"/>
  <c r="O2483" i="10"/>
  <c r="O2484" i="10"/>
  <c r="O2485" i="10"/>
  <c r="O2486" i="10"/>
  <c r="O2487" i="10"/>
  <c r="O2488" i="10"/>
  <c r="O2489" i="10"/>
  <c r="O2490" i="10"/>
  <c r="O2491" i="10"/>
  <c r="O2492" i="10"/>
  <c r="O2493" i="10"/>
  <c r="O2494" i="10"/>
  <c r="O2495" i="10"/>
  <c r="O2496" i="10"/>
  <c r="O2497" i="10"/>
  <c r="O2498" i="10"/>
  <c r="O2499" i="10"/>
  <c r="O2500" i="10"/>
  <c r="O2501" i="10"/>
  <c r="O2502" i="10"/>
  <c r="O2503" i="10"/>
  <c r="O2504" i="10"/>
  <c r="O2505" i="10"/>
  <c r="O2506" i="10"/>
  <c r="O2507" i="10"/>
  <c r="O2508" i="10"/>
  <c r="O2509" i="10"/>
  <c r="O2510" i="10"/>
  <c r="O2511" i="10"/>
  <c r="O2512" i="10"/>
  <c r="O2513" i="10"/>
  <c r="O2514" i="10"/>
  <c r="O2515" i="10"/>
  <c r="O2516" i="10"/>
  <c r="O2517" i="10"/>
  <c r="O2518" i="10"/>
  <c r="O2519" i="10"/>
  <c r="O2520" i="10"/>
  <c r="O2521" i="10"/>
  <c r="O2522" i="10"/>
  <c r="O2523" i="10"/>
  <c r="O2524" i="10"/>
  <c r="O2525" i="10"/>
  <c r="O2526" i="10"/>
  <c r="O2527" i="10"/>
  <c r="O2528" i="10"/>
  <c r="O2529" i="10"/>
  <c r="O2530" i="10"/>
  <c r="O2531" i="10"/>
  <c r="O2532" i="10"/>
  <c r="O2533" i="10"/>
  <c r="O2534" i="10"/>
  <c r="O2535" i="10"/>
  <c r="O2536" i="10"/>
  <c r="O2537" i="10"/>
  <c r="O2538" i="10"/>
  <c r="O2539" i="10"/>
  <c r="O2540" i="10"/>
  <c r="O2541" i="10"/>
  <c r="O2542" i="10"/>
  <c r="O2543" i="10"/>
  <c r="O2544" i="10"/>
  <c r="O2545" i="10"/>
  <c r="O2546" i="10"/>
  <c r="O2547" i="10"/>
  <c r="O2548" i="10"/>
  <c r="O2549" i="10"/>
  <c r="O2550" i="10"/>
  <c r="O2551" i="10"/>
  <c r="O2552" i="10"/>
  <c r="O2553" i="10"/>
  <c r="O2554" i="10"/>
  <c r="O2555" i="10"/>
  <c r="O2556" i="10"/>
  <c r="O2557" i="10"/>
  <c r="O2558" i="10"/>
  <c r="O2559" i="10"/>
  <c r="O2560" i="10"/>
  <c r="O2561" i="10"/>
  <c r="O2562" i="10"/>
  <c r="O2563" i="10"/>
  <c r="O2564" i="10"/>
  <c r="O2565" i="10"/>
  <c r="O2566" i="10"/>
  <c r="O2567" i="10"/>
  <c r="O2568" i="10"/>
  <c r="O2569" i="10"/>
  <c r="O2570" i="10"/>
  <c r="O2571" i="10"/>
  <c r="O2572" i="10"/>
  <c r="O2573" i="10"/>
  <c r="O2574" i="10"/>
  <c r="O2575" i="10"/>
  <c r="O2576" i="10"/>
  <c r="O2577" i="10"/>
  <c r="O2578" i="10"/>
  <c r="O2579" i="10"/>
  <c r="O2580" i="10"/>
  <c r="O2581" i="10"/>
  <c r="O2582" i="10"/>
  <c r="O2583" i="10"/>
  <c r="O2584" i="10"/>
  <c r="O2585" i="10"/>
  <c r="O2586" i="10"/>
  <c r="O2587" i="10"/>
  <c r="O2588" i="10"/>
  <c r="O2589" i="10"/>
  <c r="O2590" i="10"/>
  <c r="O2591" i="10"/>
  <c r="O2592" i="10"/>
  <c r="O2593" i="10"/>
  <c r="O2594" i="10"/>
  <c r="O2595" i="10"/>
  <c r="O2596" i="10"/>
  <c r="O2597" i="10"/>
  <c r="O2598" i="10"/>
  <c r="O2599" i="10"/>
  <c r="O2600" i="10"/>
  <c r="O2601" i="10"/>
  <c r="O2602" i="10"/>
  <c r="O2603" i="10"/>
  <c r="O2604" i="10"/>
  <c r="O2605" i="10"/>
  <c r="O2606" i="10"/>
  <c r="O2607" i="10"/>
  <c r="O2608" i="10"/>
  <c r="O2609" i="10"/>
  <c r="O2610" i="10"/>
  <c r="O2611" i="10"/>
  <c r="O2612" i="10"/>
  <c r="O2613" i="10"/>
  <c r="O2614" i="10"/>
  <c r="O2615" i="10"/>
  <c r="O2616" i="10"/>
  <c r="O2617" i="10"/>
  <c r="O2618" i="10"/>
  <c r="O2619" i="10"/>
  <c r="O2620" i="10"/>
  <c r="O2621" i="10"/>
  <c r="O2622" i="10"/>
  <c r="O2623" i="10"/>
  <c r="O2624" i="10"/>
  <c r="O2625" i="10"/>
  <c r="O2626" i="10"/>
  <c r="O2627" i="10"/>
  <c r="O2628" i="10"/>
  <c r="O2629" i="10"/>
  <c r="O2630" i="10"/>
  <c r="O2631" i="10"/>
  <c r="O2632" i="10"/>
  <c r="O2633" i="10"/>
  <c r="O2634" i="10"/>
  <c r="O2635" i="10"/>
  <c r="O2636" i="10"/>
  <c r="O2637" i="10"/>
  <c r="O2638" i="10"/>
  <c r="O2639" i="10"/>
  <c r="O2640" i="10"/>
  <c r="O2641" i="10"/>
  <c r="O2642" i="10"/>
  <c r="O2643" i="10"/>
  <c r="O2644" i="10"/>
  <c r="O2645" i="10"/>
  <c r="O2646" i="10"/>
  <c r="O2647" i="10"/>
  <c r="O2648" i="10"/>
  <c r="O2649" i="10"/>
  <c r="O2650" i="10"/>
  <c r="O2651" i="10"/>
  <c r="O2652" i="10"/>
  <c r="O2653" i="10"/>
  <c r="O2654" i="10"/>
  <c r="O2655" i="10"/>
  <c r="O2656" i="10"/>
  <c r="O2657" i="10"/>
  <c r="O2658" i="10"/>
  <c r="O2659" i="10"/>
  <c r="O2660" i="10"/>
  <c r="O2661" i="10"/>
  <c r="O2662" i="10"/>
  <c r="O2663" i="10"/>
  <c r="O2664" i="10"/>
  <c r="O2665" i="10"/>
  <c r="O2666" i="10"/>
  <c r="O2667" i="10"/>
  <c r="O2668" i="10"/>
  <c r="O2669" i="10"/>
  <c r="O2670" i="10"/>
  <c r="O2671" i="10"/>
  <c r="O2672" i="10"/>
  <c r="O2673" i="10"/>
  <c r="O2674" i="10"/>
  <c r="O2675" i="10"/>
  <c r="O2676" i="10"/>
  <c r="O2677" i="10"/>
  <c r="O2678" i="10"/>
  <c r="O2679" i="10"/>
  <c r="O2680" i="10"/>
  <c r="O2681" i="10"/>
  <c r="O2682" i="10"/>
  <c r="O2683" i="10"/>
  <c r="O2684" i="10"/>
  <c r="O2685" i="10"/>
  <c r="O2686" i="10"/>
  <c r="O2687" i="10"/>
  <c r="O2688" i="10"/>
  <c r="O2689" i="10"/>
  <c r="O2690" i="10"/>
  <c r="O2691" i="10"/>
  <c r="O2692" i="10"/>
  <c r="O2693" i="10"/>
  <c r="O2694" i="10"/>
  <c r="O2695" i="10"/>
  <c r="O2696" i="10"/>
  <c r="O2697" i="10"/>
  <c r="O2698" i="10"/>
  <c r="O2699" i="10"/>
  <c r="O2700" i="10"/>
  <c r="O2701" i="10"/>
  <c r="O2702" i="10"/>
  <c r="O2703" i="10"/>
  <c r="O2704" i="10"/>
  <c r="O2705" i="10"/>
  <c r="O2706" i="10"/>
  <c r="O2707" i="10"/>
  <c r="O2708" i="10"/>
  <c r="O2709" i="10"/>
  <c r="O2710" i="10"/>
  <c r="O2711" i="10"/>
  <c r="O2712" i="10"/>
  <c r="O2713" i="10"/>
  <c r="O2714" i="10"/>
  <c r="O2715" i="10"/>
  <c r="O2716" i="10"/>
  <c r="O2717" i="10"/>
  <c r="O2718" i="10"/>
  <c r="O2719" i="10"/>
  <c r="O2720" i="10"/>
  <c r="O2721" i="10"/>
  <c r="O2722" i="10"/>
  <c r="O2723" i="10"/>
  <c r="O2724" i="10"/>
  <c r="O2725" i="10"/>
  <c r="O2726" i="10"/>
  <c r="O2727" i="10"/>
  <c r="O2728" i="10"/>
  <c r="O2729" i="10"/>
  <c r="O2730" i="10"/>
  <c r="O2731" i="10"/>
  <c r="O2732" i="10"/>
  <c r="O2733" i="10"/>
  <c r="O2734" i="10"/>
  <c r="O2735" i="10"/>
  <c r="O2736" i="10"/>
  <c r="O2737" i="10"/>
  <c r="O2738" i="10"/>
  <c r="O2739" i="10"/>
  <c r="O2740" i="10"/>
  <c r="O2741" i="10"/>
  <c r="O2742" i="10"/>
  <c r="O2743" i="10"/>
  <c r="O2744" i="10"/>
  <c r="O2745" i="10"/>
  <c r="O2746" i="10"/>
  <c r="O2747" i="10"/>
  <c r="O2748" i="10"/>
  <c r="O2749" i="10"/>
  <c r="O2750" i="10"/>
  <c r="O2751" i="10"/>
  <c r="O2752" i="10"/>
  <c r="O2753" i="10"/>
  <c r="O2754" i="10"/>
  <c r="O2755" i="10"/>
  <c r="O2756" i="10"/>
  <c r="O2757" i="10"/>
  <c r="O2758" i="10"/>
  <c r="O2759" i="10"/>
  <c r="O2760" i="10"/>
  <c r="O2761" i="10"/>
  <c r="O2762" i="10"/>
  <c r="O2763" i="10"/>
  <c r="O2764" i="10"/>
  <c r="O2765" i="10"/>
  <c r="O2766" i="10"/>
  <c r="O2767" i="10"/>
  <c r="O2768" i="10"/>
  <c r="O2769" i="10"/>
  <c r="O2770" i="10"/>
  <c r="O2771" i="10"/>
  <c r="O2772" i="10"/>
  <c r="O2773" i="10"/>
  <c r="O2774" i="10"/>
  <c r="O2775" i="10"/>
  <c r="O2776" i="10"/>
  <c r="O2777" i="10"/>
  <c r="O2778" i="10"/>
  <c r="O2779" i="10"/>
  <c r="O2780" i="10"/>
  <c r="O2781" i="10"/>
  <c r="O2782" i="10"/>
  <c r="O2783" i="10"/>
  <c r="O2784" i="10"/>
  <c r="O2785" i="10"/>
  <c r="O2786" i="10"/>
  <c r="O2787" i="10"/>
  <c r="O2788" i="10"/>
  <c r="O2789" i="10"/>
  <c r="O2790" i="10"/>
  <c r="O2791" i="10"/>
  <c r="O2792" i="10"/>
  <c r="O2793" i="10"/>
  <c r="O2794" i="10"/>
  <c r="O2795" i="10"/>
  <c r="O2796" i="10"/>
  <c r="O2797" i="10"/>
  <c r="O2798" i="10"/>
  <c r="O2799" i="10"/>
  <c r="O2800" i="10"/>
  <c r="O2801" i="10"/>
  <c r="O2802" i="10"/>
  <c r="O2803" i="10"/>
  <c r="O2804" i="10"/>
  <c r="O2805" i="10"/>
  <c r="O2806" i="10"/>
  <c r="O2807" i="10"/>
  <c r="O2808" i="10"/>
  <c r="O2809" i="10"/>
  <c r="O2810" i="10"/>
  <c r="O2811" i="10"/>
  <c r="O2812" i="10"/>
  <c r="O2813" i="10"/>
  <c r="O2814" i="10"/>
  <c r="O2815" i="10"/>
  <c r="O2816" i="10"/>
  <c r="O2817" i="10"/>
  <c r="O2818" i="10"/>
  <c r="O2819" i="10"/>
  <c r="O2820" i="10"/>
  <c r="O2821" i="10"/>
  <c r="O2822" i="10"/>
  <c r="O2823" i="10"/>
  <c r="O2824" i="10"/>
  <c r="O2825" i="10"/>
  <c r="O2826" i="10"/>
  <c r="O2827" i="10"/>
  <c r="O2828" i="10"/>
  <c r="O2829" i="10"/>
  <c r="O2830" i="10"/>
  <c r="O2831" i="10"/>
  <c r="O2832" i="10"/>
  <c r="O2833" i="10"/>
  <c r="O2834" i="10"/>
  <c r="O2835" i="10"/>
  <c r="O2836" i="10"/>
  <c r="O2837" i="10"/>
  <c r="O2838" i="10"/>
  <c r="O2839" i="10"/>
  <c r="O2840" i="10"/>
  <c r="O2841" i="10"/>
  <c r="O2842" i="10"/>
  <c r="O2843" i="10"/>
  <c r="O2844" i="10"/>
  <c r="O2845" i="10"/>
  <c r="O2846" i="10"/>
  <c r="O2847" i="10"/>
  <c r="O2848" i="10"/>
  <c r="O2849" i="10"/>
  <c r="O2850" i="10"/>
  <c r="O2851" i="10"/>
  <c r="O2852" i="10"/>
  <c r="O2853" i="10"/>
  <c r="O2854" i="10"/>
  <c r="O2855" i="10"/>
  <c r="O2856" i="10"/>
  <c r="O2857" i="10"/>
  <c r="O2858" i="10"/>
  <c r="O2859" i="10"/>
  <c r="O2860" i="10"/>
  <c r="O2861" i="10"/>
  <c r="O2862" i="10"/>
  <c r="O2863" i="10"/>
  <c r="O2864" i="10"/>
  <c r="O2865" i="10"/>
  <c r="O2866" i="10"/>
  <c r="O2867" i="10"/>
  <c r="O2868" i="10"/>
  <c r="O2869" i="10"/>
  <c r="O2870" i="10"/>
  <c r="O2871" i="10"/>
  <c r="O2872" i="10"/>
  <c r="O2873" i="10"/>
  <c r="O2874" i="10"/>
  <c r="O2875" i="10"/>
  <c r="O2876" i="10"/>
  <c r="O2877" i="10"/>
  <c r="O2878" i="10"/>
  <c r="O2879" i="10"/>
  <c r="O2880" i="10"/>
  <c r="O2881" i="10"/>
  <c r="O2882" i="10"/>
  <c r="O2883" i="10"/>
  <c r="O2884" i="10"/>
  <c r="O2885" i="10"/>
  <c r="O2886" i="10"/>
  <c r="O2887" i="10"/>
  <c r="O2888" i="10"/>
  <c r="O2889" i="10"/>
  <c r="O2890" i="10"/>
  <c r="O2891" i="10"/>
  <c r="O2892" i="10"/>
  <c r="O2893" i="10"/>
  <c r="O2894" i="10"/>
  <c r="O2895" i="10"/>
  <c r="O2896" i="10"/>
  <c r="O2897" i="10"/>
  <c r="O2898" i="10"/>
  <c r="O2899" i="10"/>
  <c r="O2900" i="10"/>
  <c r="O2901" i="10"/>
  <c r="O2902" i="10"/>
  <c r="O2903" i="10"/>
  <c r="O2904" i="10"/>
  <c r="O2905" i="10"/>
  <c r="O2906" i="10"/>
  <c r="O2907" i="10"/>
  <c r="O2908" i="10"/>
  <c r="O2909" i="10"/>
  <c r="O2910" i="10"/>
  <c r="O2911" i="10"/>
  <c r="O2912" i="10"/>
  <c r="O2913" i="10"/>
  <c r="O2914" i="10"/>
  <c r="O2915" i="10"/>
  <c r="O2916" i="10"/>
  <c r="O2917" i="10"/>
  <c r="O2918" i="10"/>
  <c r="O2919" i="10"/>
  <c r="O2920" i="10"/>
  <c r="O2921" i="10"/>
  <c r="O2922" i="10"/>
  <c r="O2923" i="10"/>
  <c r="O2924" i="10"/>
  <c r="O2925" i="10"/>
  <c r="O2926" i="10"/>
  <c r="O2927" i="10"/>
  <c r="O2928" i="10"/>
  <c r="O2929" i="10"/>
  <c r="O2930" i="10"/>
  <c r="O2931" i="10"/>
  <c r="O2932" i="10"/>
  <c r="O2933" i="10"/>
  <c r="O2934" i="10"/>
  <c r="O2935" i="10"/>
  <c r="O2936" i="10"/>
  <c r="O2937" i="10"/>
  <c r="O2938" i="10"/>
  <c r="O2939" i="10"/>
  <c r="O2940" i="10"/>
  <c r="O2941" i="10"/>
  <c r="O2942" i="10"/>
  <c r="O2943" i="10"/>
  <c r="O2944" i="10"/>
  <c r="O2945" i="10"/>
  <c r="O2946" i="10"/>
  <c r="O2947" i="10"/>
  <c r="O2948" i="10"/>
  <c r="O2949" i="10"/>
  <c r="O2950" i="10"/>
  <c r="O2951" i="10"/>
  <c r="O2952" i="10"/>
  <c r="O2953" i="10"/>
  <c r="O2954" i="10"/>
  <c r="O2955" i="10"/>
  <c r="O2956" i="10"/>
  <c r="O2957" i="10"/>
  <c r="O2958" i="10"/>
  <c r="O2959" i="10"/>
  <c r="O2960" i="10"/>
  <c r="O2961" i="10"/>
  <c r="O2962" i="10"/>
  <c r="O2963" i="10"/>
  <c r="O2964" i="10"/>
  <c r="O2965" i="10"/>
  <c r="O2966" i="10"/>
  <c r="O2967" i="10"/>
  <c r="O2968" i="10"/>
  <c r="O2969" i="10"/>
  <c r="O2970" i="10"/>
  <c r="O2971" i="10"/>
  <c r="O2972" i="10"/>
  <c r="O2973" i="10"/>
  <c r="O2974" i="10"/>
  <c r="O2975" i="10"/>
  <c r="O2976" i="10"/>
  <c r="O2977" i="10"/>
  <c r="O2978" i="10"/>
  <c r="O2979" i="10"/>
  <c r="O2980" i="10"/>
  <c r="O2981" i="10"/>
  <c r="O2982" i="10"/>
  <c r="O2983" i="10"/>
  <c r="O2984" i="10"/>
  <c r="O2985" i="10"/>
  <c r="O2986" i="10"/>
  <c r="O2987" i="10"/>
  <c r="O2988" i="10"/>
  <c r="O2989" i="10"/>
  <c r="O2990" i="10"/>
  <c r="O2991" i="10"/>
  <c r="O2992" i="10"/>
  <c r="O2993" i="10"/>
  <c r="O2994" i="10"/>
  <c r="O2995" i="10"/>
  <c r="O2996" i="10"/>
  <c r="O2997" i="10"/>
  <c r="O2998" i="10"/>
  <c r="O2999" i="10"/>
  <c r="O3000" i="10"/>
  <c r="O3001" i="10"/>
  <c r="O3002" i="10"/>
  <c r="O3003" i="10"/>
  <c r="O3004" i="10"/>
  <c r="O3005" i="10"/>
  <c r="O3006" i="10"/>
  <c r="O3007" i="10"/>
  <c r="O3008" i="10"/>
  <c r="O3009" i="10"/>
  <c r="O3010" i="10"/>
  <c r="O3011" i="10"/>
  <c r="O3012" i="10"/>
  <c r="O3013" i="10"/>
  <c r="O3014" i="10"/>
  <c r="O3015" i="10"/>
  <c r="O3016" i="10"/>
  <c r="O3017" i="10"/>
  <c r="O3018" i="10"/>
  <c r="O3019" i="10"/>
  <c r="O3020" i="10"/>
  <c r="O3021" i="10"/>
  <c r="O3022" i="10"/>
  <c r="O3023" i="10"/>
  <c r="O3024" i="10"/>
  <c r="O3025" i="10"/>
  <c r="O3026" i="10"/>
  <c r="O3027" i="10"/>
  <c r="O3028" i="10"/>
  <c r="O3029" i="10"/>
  <c r="O3030" i="10"/>
  <c r="O3031" i="10"/>
  <c r="O3032" i="10"/>
  <c r="O3033" i="10"/>
  <c r="O3034" i="10"/>
  <c r="O3035" i="10"/>
  <c r="O3036" i="10"/>
  <c r="O3037" i="10"/>
  <c r="O3038" i="10"/>
  <c r="O3039" i="10"/>
  <c r="O3040" i="10"/>
  <c r="O3041" i="10"/>
  <c r="O3042" i="10"/>
  <c r="O3043" i="10"/>
  <c r="O3044" i="10"/>
  <c r="O3045" i="10"/>
  <c r="O3046" i="10"/>
  <c r="O3047" i="10"/>
  <c r="O3048" i="10"/>
  <c r="O3049" i="10"/>
  <c r="O3050" i="10"/>
  <c r="O3051" i="10"/>
  <c r="O3052" i="10"/>
  <c r="O3053" i="10"/>
  <c r="O3054" i="10"/>
  <c r="O3055" i="10"/>
  <c r="O3056" i="10"/>
  <c r="O3057" i="10"/>
  <c r="O3058" i="10"/>
  <c r="O3059" i="10"/>
  <c r="O3060" i="10"/>
  <c r="O3061" i="10"/>
  <c r="O3062" i="10"/>
  <c r="O3063" i="10"/>
  <c r="O3064" i="10"/>
  <c r="O3065" i="10"/>
  <c r="O3066" i="10"/>
  <c r="O3067" i="10"/>
  <c r="O3068" i="10"/>
  <c r="O3069" i="10"/>
  <c r="O3070" i="10"/>
  <c r="O3071" i="10"/>
  <c r="O3072" i="10"/>
  <c r="O3073" i="10"/>
  <c r="O3074" i="10"/>
  <c r="O3075" i="10"/>
  <c r="O3076" i="10"/>
  <c r="O3077" i="10"/>
  <c r="O3078" i="10"/>
  <c r="O3079" i="10"/>
  <c r="O3080" i="10"/>
  <c r="O3081" i="10"/>
  <c r="O3082" i="10"/>
  <c r="O3083" i="10"/>
  <c r="O3084" i="10"/>
  <c r="O3085" i="10"/>
  <c r="O3086" i="10"/>
  <c r="O3087" i="10"/>
  <c r="O3088" i="10"/>
  <c r="O3089" i="10"/>
  <c r="O3090" i="10"/>
  <c r="O3091" i="10"/>
  <c r="O3092" i="10"/>
  <c r="O3093" i="10"/>
  <c r="O3094" i="10"/>
  <c r="O3095" i="10"/>
  <c r="O3096" i="10"/>
  <c r="O3097" i="10"/>
  <c r="O3098" i="10"/>
  <c r="O3099" i="10"/>
  <c r="O3100" i="10"/>
  <c r="O3101" i="10"/>
  <c r="O3102" i="10"/>
  <c r="O3103" i="10"/>
  <c r="O3104" i="10"/>
  <c r="O3105" i="10"/>
  <c r="O3106" i="10"/>
  <c r="O3107" i="10"/>
  <c r="O3108" i="10"/>
  <c r="O3109" i="10"/>
  <c r="O3110" i="10"/>
  <c r="O3111" i="10"/>
  <c r="O3112" i="10"/>
  <c r="O3113" i="10"/>
  <c r="O3114" i="10"/>
  <c r="O3115" i="10"/>
  <c r="O3116" i="10"/>
  <c r="O3117" i="10"/>
  <c r="O3118" i="10"/>
  <c r="O3119" i="10"/>
  <c r="O3120" i="10"/>
  <c r="O3121" i="10"/>
  <c r="O3122" i="10"/>
  <c r="O3123" i="10"/>
  <c r="O3124" i="10"/>
  <c r="O3125" i="10"/>
  <c r="O3126" i="10"/>
  <c r="O3127" i="10"/>
  <c r="O3128" i="10"/>
  <c r="O3129" i="10"/>
  <c r="O3130" i="10"/>
  <c r="O3131" i="10"/>
  <c r="O3132" i="10"/>
  <c r="O3133" i="10"/>
  <c r="O3134" i="10"/>
  <c r="O3135" i="10"/>
  <c r="O3136" i="10"/>
  <c r="O3137" i="10"/>
  <c r="O3138" i="10"/>
  <c r="O3139" i="10"/>
  <c r="O3140" i="10"/>
  <c r="O3141" i="10"/>
  <c r="O3142" i="10"/>
  <c r="O3143" i="10"/>
  <c r="O3144" i="10"/>
  <c r="O3145" i="10"/>
  <c r="O3146" i="10"/>
  <c r="O3147" i="10"/>
  <c r="O3148" i="10"/>
  <c r="O3149" i="10"/>
  <c r="O3150" i="10"/>
  <c r="O3151" i="10"/>
  <c r="O3152" i="10"/>
  <c r="O3153" i="10"/>
  <c r="O3154" i="10"/>
  <c r="O3155" i="10"/>
  <c r="O3156" i="10"/>
  <c r="O3157" i="10"/>
  <c r="O3158" i="10"/>
  <c r="O3159" i="10"/>
  <c r="O3160" i="10"/>
  <c r="O3161" i="10"/>
  <c r="O3162" i="10"/>
  <c r="O3163" i="10"/>
  <c r="O3164" i="10"/>
  <c r="O3165" i="10"/>
  <c r="O3166" i="10"/>
  <c r="O3167" i="10"/>
  <c r="O3168" i="10"/>
  <c r="O3169" i="10"/>
  <c r="O3170" i="10"/>
  <c r="O3171" i="10"/>
  <c r="O3172" i="10"/>
  <c r="O3173" i="10"/>
  <c r="O3174" i="10"/>
  <c r="O3175" i="10"/>
  <c r="O3176" i="10"/>
  <c r="O3177" i="10"/>
  <c r="O3178" i="10"/>
  <c r="O3179" i="10"/>
  <c r="O3180" i="10"/>
  <c r="O3181" i="10"/>
  <c r="O3182" i="10"/>
  <c r="O3183" i="10"/>
  <c r="O3184" i="10"/>
  <c r="O3185" i="10"/>
  <c r="O3186" i="10"/>
  <c r="O3187" i="10"/>
  <c r="O3188" i="10"/>
  <c r="O3189" i="10"/>
  <c r="O3190" i="10"/>
  <c r="O3191" i="10"/>
  <c r="O3192" i="10"/>
  <c r="O3193" i="10"/>
  <c r="O3194" i="10"/>
  <c r="O3195" i="10"/>
  <c r="O3196" i="10"/>
  <c r="O3197" i="10"/>
  <c r="O3198" i="10"/>
  <c r="O3199" i="10"/>
  <c r="O3200" i="10"/>
  <c r="O3201" i="10"/>
  <c r="O3202" i="10"/>
  <c r="O3203" i="10"/>
  <c r="O3204" i="10"/>
  <c r="O3205" i="10"/>
  <c r="O3206" i="10"/>
  <c r="O3207" i="10"/>
  <c r="O3208" i="10"/>
  <c r="O3209" i="10"/>
  <c r="O3210" i="10"/>
  <c r="O3211" i="10"/>
  <c r="O3212" i="10"/>
  <c r="O3213" i="10"/>
  <c r="O3214" i="10"/>
  <c r="O3215" i="10"/>
  <c r="O3216" i="10"/>
  <c r="O3217" i="10"/>
  <c r="O3218" i="10"/>
  <c r="O3219" i="10"/>
  <c r="O3220" i="10"/>
  <c r="O3221" i="10"/>
  <c r="O3222" i="10"/>
  <c r="O3223" i="10"/>
  <c r="O3224" i="10"/>
  <c r="O3225" i="10"/>
  <c r="O3226" i="10"/>
  <c r="O3227" i="10"/>
  <c r="O3228" i="10"/>
  <c r="O3229" i="10"/>
  <c r="O3230" i="10"/>
  <c r="O3231" i="10"/>
  <c r="O3232" i="10"/>
  <c r="O3233" i="10"/>
  <c r="O3234" i="10"/>
  <c r="O3235" i="10"/>
  <c r="O3236" i="10"/>
  <c r="O3237" i="10"/>
  <c r="O3238" i="10"/>
  <c r="O3239" i="10"/>
  <c r="O3240" i="10"/>
  <c r="O3241" i="10"/>
  <c r="O3242" i="10"/>
  <c r="O3243" i="10"/>
  <c r="O3244" i="10"/>
  <c r="O3245" i="10"/>
  <c r="O3246" i="10"/>
  <c r="O3247" i="10"/>
  <c r="O3248" i="10"/>
  <c r="O3249" i="10"/>
  <c r="O3250" i="10"/>
  <c r="O3251" i="10"/>
  <c r="O3252" i="10"/>
  <c r="O3253" i="10"/>
  <c r="O3254" i="10"/>
  <c r="O3255" i="10"/>
  <c r="O3256" i="10"/>
  <c r="O3257" i="10"/>
  <c r="O3258" i="10"/>
  <c r="O3259" i="10"/>
  <c r="O3260" i="10"/>
  <c r="O3261" i="10"/>
  <c r="O3262" i="10"/>
  <c r="O3263" i="10"/>
  <c r="O3264" i="10"/>
  <c r="O3265" i="10"/>
  <c r="O3266" i="10"/>
  <c r="O3267" i="10"/>
  <c r="O3268" i="10"/>
  <c r="O3269" i="10"/>
  <c r="O3270" i="10"/>
  <c r="O3271" i="10"/>
  <c r="O3272" i="10"/>
  <c r="O3273" i="10"/>
  <c r="O3274" i="10"/>
  <c r="O3275" i="10"/>
  <c r="O3276" i="10"/>
  <c r="O3277" i="10"/>
  <c r="O3278" i="10"/>
  <c r="O3279" i="10"/>
  <c r="O3280" i="10"/>
  <c r="O3281" i="10"/>
  <c r="O3282" i="10"/>
  <c r="O3283" i="10"/>
  <c r="O3284" i="10"/>
  <c r="O3285" i="10"/>
  <c r="O3286" i="10"/>
  <c r="O3287" i="10"/>
  <c r="O3288" i="10"/>
  <c r="O3289" i="10"/>
  <c r="O3290" i="10"/>
  <c r="O3291" i="10"/>
  <c r="O3292" i="10"/>
  <c r="O3293" i="10"/>
  <c r="O3294" i="10"/>
  <c r="O3295" i="10"/>
  <c r="O3296" i="10"/>
  <c r="O3297" i="10"/>
  <c r="O3298" i="10"/>
  <c r="O3299" i="10"/>
  <c r="O3300" i="10"/>
  <c r="O3301" i="10"/>
  <c r="O3302" i="10"/>
  <c r="O3303" i="10"/>
  <c r="O3304" i="10"/>
  <c r="O3305" i="10"/>
  <c r="O3306" i="10"/>
  <c r="O3307" i="10"/>
  <c r="O3308" i="10"/>
  <c r="O3309" i="10"/>
  <c r="O3310" i="10"/>
  <c r="O3311" i="10"/>
  <c r="O3312" i="10"/>
  <c r="O3313" i="10"/>
  <c r="O3314" i="10"/>
  <c r="O3315" i="10"/>
  <c r="O3316" i="10"/>
  <c r="O3317" i="10"/>
  <c r="O3318" i="10"/>
  <c r="O3319" i="10"/>
  <c r="O3320" i="10"/>
  <c r="O3321" i="10"/>
  <c r="O3322" i="10"/>
  <c r="O3323" i="10"/>
  <c r="O3324" i="10"/>
  <c r="O3325" i="10"/>
  <c r="O3326" i="10"/>
  <c r="O3327" i="10"/>
  <c r="O3328" i="10"/>
  <c r="O3329" i="10"/>
  <c r="O3330" i="10"/>
  <c r="O3331" i="10"/>
  <c r="O3332" i="10"/>
  <c r="O3333" i="10"/>
  <c r="O3334" i="10"/>
  <c r="O3335" i="10"/>
  <c r="O3336" i="10"/>
  <c r="O3337" i="10"/>
  <c r="O3338" i="10"/>
  <c r="O3339" i="10"/>
  <c r="O3340" i="10"/>
  <c r="O3341" i="10"/>
  <c r="O3342" i="10"/>
  <c r="O3343" i="10"/>
  <c r="O3344" i="10"/>
  <c r="O3345" i="10"/>
  <c r="O3346" i="10"/>
  <c r="O3347" i="10"/>
  <c r="O3348" i="10"/>
  <c r="O3349" i="10"/>
  <c r="O3350" i="10"/>
  <c r="O3351" i="10"/>
  <c r="O3352" i="10"/>
  <c r="O3353" i="10"/>
  <c r="O3354" i="10"/>
  <c r="O3355" i="10"/>
  <c r="O3356" i="10"/>
  <c r="O3357" i="10"/>
  <c r="O3358" i="10"/>
  <c r="O3359" i="10"/>
  <c r="O3360" i="10"/>
  <c r="O3361" i="10"/>
  <c r="O3362" i="10"/>
  <c r="O3363" i="10"/>
  <c r="O3364" i="10"/>
  <c r="O3365" i="10"/>
  <c r="O3366" i="10"/>
  <c r="O3367" i="10"/>
  <c r="O3368" i="10"/>
  <c r="O3369" i="10"/>
  <c r="O3370" i="10"/>
  <c r="O3371" i="10"/>
  <c r="O3372" i="10"/>
  <c r="O3373" i="10"/>
  <c r="O3374" i="10"/>
  <c r="O3375" i="10"/>
  <c r="O3376" i="10"/>
  <c r="O3377" i="10"/>
  <c r="O3378" i="10"/>
  <c r="O3379" i="10"/>
  <c r="O3380" i="10"/>
  <c r="O3381" i="10"/>
  <c r="O3382" i="10"/>
  <c r="O3383" i="10"/>
  <c r="O3384" i="10"/>
  <c r="O3385" i="10"/>
  <c r="O3386" i="10"/>
  <c r="O3387" i="10"/>
  <c r="O3388" i="10"/>
  <c r="O3389" i="10"/>
  <c r="O3390" i="10"/>
  <c r="O3391" i="10"/>
  <c r="O3392" i="10"/>
  <c r="O3393" i="10"/>
  <c r="O3394" i="10"/>
  <c r="O3395" i="10"/>
  <c r="O3396" i="10"/>
  <c r="O3397" i="10"/>
  <c r="O3398" i="10"/>
  <c r="O3399" i="10"/>
  <c r="O3400" i="10"/>
  <c r="O3401" i="10"/>
  <c r="O3402" i="10"/>
  <c r="O3403" i="10"/>
  <c r="O3404" i="10"/>
  <c r="O3405" i="10"/>
  <c r="O3406" i="10"/>
  <c r="O3407" i="10"/>
  <c r="O3408" i="10"/>
  <c r="O3409" i="10"/>
  <c r="O3410" i="10"/>
  <c r="O3411" i="10"/>
  <c r="O3412" i="10"/>
  <c r="O3413" i="10"/>
  <c r="O3414" i="10"/>
  <c r="O3415" i="10"/>
  <c r="O3416" i="10"/>
  <c r="O3417" i="10"/>
  <c r="O3418" i="10"/>
  <c r="O3419" i="10"/>
  <c r="O3420" i="10"/>
  <c r="O3421" i="10"/>
  <c r="O3422" i="10"/>
  <c r="O3423" i="10"/>
  <c r="O3424" i="10"/>
  <c r="O3425" i="10"/>
  <c r="O3426" i="10"/>
  <c r="O3427" i="10"/>
  <c r="O3428" i="10"/>
  <c r="O3429" i="10"/>
  <c r="O3430" i="10"/>
  <c r="O3431" i="10"/>
  <c r="O3432" i="10"/>
  <c r="O3433" i="10"/>
  <c r="O3434" i="10"/>
  <c r="O3435" i="10"/>
  <c r="O3436" i="10"/>
  <c r="O3437" i="10"/>
  <c r="O3438" i="10"/>
  <c r="O3439" i="10"/>
  <c r="O3440" i="10"/>
  <c r="O3441" i="10"/>
  <c r="O3442" i="10"/>
  <c r="O3443" i="10"/>
  <c r="O3444" i="10"/>
  <c r="O3445" i="10"/>
  <c r="O3446" i="10"/>
  <c r="O3447" i="10"/>
  <c r="O3448" i="10"/>
  <c r="O3449" i="10"/>
  <c r="O3450" i="10"/>
  <c r="O3451" i="10"/>
  <c r="O3452" i="10"/>
  <c r="O3453" i="10"/>
  <c r="O3454" i="10"/>
  <c r="O3455" i="10"/>
  <c r="O3456" i="10"/>
  <c r="O3457" i="10"/>
  <c r="O3458" i="10"/>
  <c r="O3459" i="10"/>
  <c r="O3460" i="10"/>
  <c r="O3461" i="10"/>
  <c r="O3462" i="10"/>
  <c r="O3463" i="10"/>
  <c r="O3464" i="10"/>
  <c r="O3465" i="10"/>
  <c r="O3466" i="10"/>
  <c r="O3467" i="10"/>
  <c r="O3468" i="10"/>
  <c r="O3469" i="10"/>
  <c r="O3470" i="10"/>
  <c r="O3471" i="10"/>
  <c r="O3472" i="10"/>
  <c r="O3473" i="10"/>
  <c r="O3474" i="10"/>
  <c r="O3475" i="10"/>
  <c r="O3476" i="10"/>
  <c r="O3477" i="10"/>
  <c r="O3478" i="10"/>
  <c r="O3479" i="10"/>
  <c r="O3480" i="10"/>
  <c r="O3481" i="10"/>
  <c r="O3482" i="10"/>
  <c r="O3483" i="10"/>
  <c r="O3484" i="10"/>
  <c r="O3485" i="10"/>
  <c r="O3486" i="10"/>
  <c r="O3487" i="10"/>
  <c r="O3488" i="10"/>
  <c r="O3489" i="10"/>
  <c r="O3490" i="10"/>
  <c r="O3491" i="10"/>
  <c r="O3492" i="10"/>
  <c r="O3493" i="10"/>
  <c r="O3494" i="10"/>
  <c r="O3495" i="10"/>
  <c r="O3496" i="10"/>
  <c r="O3497" i="10"/>
  <c r="O3498" i="10"/>
  <c r="O3499" i="10"/>
  <c r="O3500" i="10"/>
  <c r="O3501" i="10"/>
  <c r="O3502" i="10"/>
  <c r="O3503" i="10"/>
  <c r="O3504" i="10"/>
  <c r="O3505" i="10"/>
  <c r="O3506" i="10"/>
  <c r="O3507" i="10"/>
  <c r="O3508" i="10"/>
  <c r="O3509" i="10"/>
  <c r="O3510" i="10"/>
  <c r="O3511" i="10"/>
  <c r="O3512" i="10"/>
  <c r="O3513" i="10"/>
  <c r="O3514" i="10"/>
  <c r="O3515" i="10"/>
  <c r="O3516" i="10"/>
  <c r="O3517" i="10"/>
  <c r="O3518" i="10"/>
  <c r="O3519" i="10"/>
  <c r="O3520" i="10"/>
  <c r="O3521" i="10"/>
  <c r="O3522" i="10"/>
  <c r="O3523" i="10"/>
  <c r="O3524" i="10"/>
  <c r="O3525" i="10"/>
  <c r="O3526" i="10"/>
  <c r="O3527" i="10"/>
  <c r="O3528" i="10"/>
  <c r="O3529" i="10"/>
  <c r="O3530" i="10"/>
  <c r="O3531" i="10"/>
  <c r="O3532" i="10"/>
  <c r="O3533" i="10"/>
  <c r="O3534" i="10"/>
  <c r="O3535" i="10"/>
  <c r="O3536" i="10"/>
  <c r="O3537" i="10"/>
  <c r="O3538" i="10"/>
  <c r="O3539" i="10"/>
  <c r="O3540" i="10"/>
  <c r="O3541" i="10"/>
  <c r="O3542" i="10"/>
  <c r="O3543" i="10"/>
  <c r="O3544" i="10"/>
  <c r="O3545" i="10"/>
  <c r="O3546" i="10"/>
  <c r="O3547" i="10"/>
  <c r="O3548" i="10"/>
  <c r="O3549" i="10"/>
  <c r="O3550" i="10"/>
  <c r="O3551" i="10"/>
  <c r="O3552" i="10"/>
  <c r="O3553" i="10"/>
  <c r="O3554" i="10"/>
  <c r="O3555" i="10"/>
  <c r="O3556" i="10"/>
  <c r="O3557" i="10"/>
  <c r="O3558" i="10"/>
  <c r="O3559" i="10"/>
  <c r="O3560" i="10"/>
  <c r="O3561" i="10"/>
  <c r="O3562" i="10"/>
  <c r="O3563" i="10"/>
  <c r="O3564" i="10"/>
  <c r="O3565" i="10"/>
  <c r="O3566" i="10"/>
  <c r="O3567" i="10"/>
  <c r="O3568" i="10"/>
  <c r="O3569" i="10"/>
  <c r="O3570" i="10"/>
  <c r="O3571" i="10"/>
  <c r="O3572" i="10"/>
  <c r="O3573" i="10"/>
  <c r="O3574" i="10"/>
  <c r="O3575" i="10"/>
  <c r="O3576" i="10"/>
  <c r="O3577" i="10"/>
  <c r="O3578" i="10"/>
  <c r="O3579" i="10"/>
  <c r="O3580" i="10"/>
  <c r="O3581" i="10"/>
  <c r="O3582" i="10"/>
  <c r="O3583" i="10"/>
  <c r="O3584" i="10"/>
  <c r="O3585" i="10"/>
  <c r="O3586" i="10"/>
  <c r="O3587" i="10"/>
  <c r="O3588" i="10"/>
  <c r="O3589" i="10"/>
  <c r="O3590" i="10"/>
  <c r="O3591" i="10"/>
  <c r="O3592" i="10"/>
  <c r="O3593" i="10"/>
  <c r="O3594" i="10"/>
  <c r="O3595" i="10"/>
  <c r="O3596" i="10"/>
  <c r="O3597" i="10"/>
  <c r="O3598" i="10"/>
  <c r="O3599" i="10"/>
  <c r="O3600" i="10"/>
  <c r="O3601" i="10"/>
  <c r="O3602" i="10"/>
  <c r="O3603" i="10"/>
  <c r="O3604" i="10"/>
  <c r="O3605" i="10"/>
  <c r="O3606" i="10"/>
  <c r="O3607" i="10"/>
  <c r="O3608" i="10"/>
  <c r="O3609" i="10"/>
  <c r="O3610" i="10"/>
  <c r="O3611" i="10"/>
  <c r="O3612" i="10"/>
  <c r="O3613" i="10"/>
  <c r="O3614" i="10"/>
  <c r="O3615" i="10"/>
  <c r="O3616" i="10"/>
  <c r="O3617" i="10"/>
  <c r="O3618" i="10"/>
  <c r="O3619" i="10"/>
  <c r="O3620" i="10"/>
  <c r="O3621" i="10"/>
  <c r="O3622" i="10"/>
  <c r="O3623" i="10"/>
  <c r="O3624" i="10"/>
  <c r="O3625" i="10"/>
  <c r="O3626" i="10"/>
  <c r="O3627" i="10"/>
  <c r="O3628" i="10"/>
  <c r="O3629" i="10"/>
  <c r="O3630" i="10"/>
  <c r="O3631" i="10"/>
  <c r="O3632" i="10"/>
  <c r="O3633" i="10"/>
  <c r="O3634" i="10"/>
  <c r="O3635" i="10"/>
  <c r="O3636" i="10"/>
  <c r="O3637" i="10"/>
  <c r="O3638" i="10"/>
  <c r="O3639" i="10"/>
  <c r="O3640" i="10"/>
  <c r="O3641" i="10"/>
  <c r="O3642" i="10"/>
  <c r="O3643" i="10"/>
  <c r="O3644" i="10"/>
  <c r="O3645" i="10"/>
  <c r="O3646" i="10"/>
  <c r="O3647" i="10"/>
  <c r="O3648" i="10"/>
  <c r="O3649" i="10"/>
  <c r="O3650" i="10"/>
  <c r="O3651" i="10"/>
  <c r="O3652" i="10"/>
  <c r="O3653" i="10"/>
  <c r="O3654" i="10"/>
  <c r="O3655" i="10"/>
  <c r="O3656" i="10"/>
  <c r="O3657" i="10"/>
  <c r="O3658" i="10"/>
  <c r="O3659" i="10"/>
  <c r="O3660" i="10"/>
  <c r="O3661" i="10"/>
  <c r="O3662" i="10"/>
  <c r="O3663" i="10"/>
  <c r="O3664" i="10"/>
  <c r="O3665" i="10"/>
  <c r="O3666" i="10"/>
  <c r="O3667" i="10"/>
  <c r="O3668" i="10"/>
  <c r="O3669" i="10"/>
  <c r="O3670" i="10"/>
  <c r="O3671" i="10"/>
  <c r="O3672" i="10"/>
  <c r="O3673" i="10"/>
  <c r="O3674" i="10"/>
  <c r="O3675" i="10"/>
  <c r="O3676" i="10"/>
  <c r="O3677" i="10"/>
  <c r="O3678" i="10"/>
  <c r="O3679" i="10"/>
  <c r="O3680" i="10"/>
  <c r="O3681" i="10"/>
  <c r="O3682" i="10"/>
  <c r="O3683" i="10"/>
  <c r="O3684" i="10"/>
  <c r="O3685" i="10"/>
  <c r="O3686" i="10"/>
  <c r="O3687" i="10"/>
  <c r="O3688" i="10"/>
  <c r="O3689" i="10"/>
  <c r="O3690" i="10"/>
  <c r="O3691" i="10"/>
  <c r="O3692" i="10"/>
  <c r="O3693" i="10"/>
  <c r="O3694" i="10"/>
  <c r="O3695" i="10"/>
  <c r="O3696" i="10"/>
  <c r="O3697" i="10"/>
  <c r="O3698" i="10"/>
  <c r="O3699" i="10"/>
  <c r="O3700" i="10"/>
  <c r="O3701" i="10"/>
  <c r="O3702" i="10"/>
  <c r="O3703" i="10"/>
  <c r="O3704" i="10"/>
  <c r="O3705" i="10"/>
  <c r="O3706" i="10"/>
  <c r="O3707" i="10"/>
  <c r="O3708" i="10"/>
  <c r="O3709" i="10"/>
  <c r="O3710" i="10"/>
  <c r="O3711" i="10"/>
  <c r="O3712" i="10"/>
  <c r="O3713" i="10"/>
  <c r="O3714" i="10"/>
  <c r="O3715" i="10"/>
  <c r="O3716" i="10"/>
  <c r="O3717" i="10"/>
  <c r="O3718" i="10"/>
  <c r="O3719" i="10"/>
  <c r="O3720" i="10"/>
  <c r="O3721" i="10"/>
  <c r="O3722" i="10"/>
  <c r="O3723" i="10"/>
  <c r="O3724" i="10"/>
  <c r="O3725" i="10"/>
  <c r="O3726" i="10"/>
  <c r="O3727" i="10"/>
  <c r="O3728" i="10"/>
  <c r="O3729" i="10"/>
  <c r="O3730" i="10"/>
  <c r="O3731" i="10"/>
  <c r="O3732" i="10"/>
  <c r="O3733" i="10"/>
  <c r="O3734" i="10"/>
  <c r="O3735" i="10"/>
  <c r="O3736" i="10"/>
  <c r="O3737" i="10"/>
  <c r="O3738" i="10"/>
  <c r="O3739" i="10"/>
  <c r="O3740" i="10"/>
  <c r="O3741" i="10"/>
  <c r="O3742" i="10"/>
  <c r="O3743" i="10"/>
  <c r="O3744" i="10"/>
  <c r="O3745" i="10"/>
  <c r="O3746" i="10"/>
  <c r="O3747" i="10"/>
  <c r="O3748" i="10"/>
  <c r="O3749" i="10"/>
  <c r="O3750" i="10"/>
  <c r="O3751" i="10"/>
  <c r="O3752" i="10"/>
  <c r="O3753" i="10"/>
  <c r="O3754" i="10"/>
  <c r="O3755" i="10"/>
  <c r="O3756" i="10"/>
  <c r="O3757" i="10"/>
  <c r="O3758" i="10"/>
  <c r="O3759" i="10"/>
  <c r="O3760" i="10"/>
  <c r="O3761" i="10"/>
  <c r="O3762" i="10"/>
  <c r="O3763" i="10"/>
  <c r="O3764" i="10"/>
  <c r="O3765" i="10"/>
  <c r="O3766" i="10"/>
  <c r="O3767" i="10"/>
  <c r="O3768" i="10"/>
  <c r="O3769" i="10"/>
  <c r="O3770" i="10"/>
  <c r="O3771" i="10"/>
  <c r="O3772" i="10"/>
  <c r="O3773" i="10"/>
  <c r="O3774" i="10"/>
  <c r="O3775" i="10"/>
  <c r="O3776" i="10"/>
  <c r="O3777" i="10"/>
  <c r="O3778" i="10"/>
  <c r="O3779" i="10"/>
  <c r="O3780" i="10"/>
  <c r="O3781" i="10"/>
  <c r="O3782" i="10"/>
  <c r="O3783" i="10"/>
  <c r="O3784" i="10"/>
  <c r="O3785" i="10"/>
  <c r="O3786" i="10"/>
  <c r="O3787" i="10"/>
  <c r="O3788" i="10"/>
  <c r="O3789" i="10"/>
  <c r="O3790" i="10"/>
  <c r="O3791" i="10"/>
  <c r="O3792" i="10"/>
  <c r="O3793" i="10"/>
  <c r="O3794" i="10"/>
  <c r="O3795" i="10"/>
  <c r="O3796" i="10"/>
  <c r="O3797" i="10"/>
  <c r="O3798" i="10"/>
  <c r="O3799" i="10"/>
  <c r="O3800" i="10"/>
  <c r="O3801" i="10"/>
  <c r="O3802" i="10"/>
  <c r="O3803" i="10"/>
  <c r="O3804" i="10"/>
  <c r="O3805" i="10"/>
  <c r="O3806" i="10"/>
  <c r="O3807" i="10"/>
  <c r="O3808" i="10"/>
  <c r="O3809" i="10"/>
  <c r="O3810" i="10"/>
  <c r="O3811" i="10"/>
  <c r="O3812" i="10"/>
  <c r="O3813" i="10"/>
  <c r="O3814" i="10"/>
  <c r="O3815" i="10"/>
  <c r="O3816" i="10"/>
  <c r="O3817" i="10"/>
  <c r="O3818" i="10"/>
  <c r="O3819" i="10"/>
  <c r="O3820" i="10"/>
  <c r="O3821" i="10"/>
  <c r="O3822" i="10"/>
  <c r="O3823" i="10"/>
  <c r="O3824" i="10"/>
  <c r="O3825" i="10"/>
  <c r="O3826" i="10"/>
  <c r="O3827" i="10"/>
  <c r="O3828" i="10"/>
  <c r="O3829" i="10"/>
  <c r="O3830" i="10"/>
  <c r="O3831" i="10"/>
  <c r="O3832" i="10"/>
  <c r="O3833" i="10"/>
  <c r="O3834" i="10"/>
  <c r="O3835" i="10"/>
  <c r="O3836" i="10"/>
  <c r="O3837" i="10"/>
  <c r="O3838" i="10"/>
  <c r="O3839" i="10"/>
  <c r="O3840" i="10"/>
  <c r="O3841" i="10"/>
  <c r="O3842" i="10"/>
  <c r="O3843" i="10"/>
  <c r="O3844" i="10"/>
  <c r="O3845" i="10"/>
  <c r="O3846" i="10"/>
  <c r="O3847" i="10"/>
  <c r="O3848" i="10"/>
  <c r="O3849" i="10"/>
  <c r="O3850" i="10"/>
  <c r="O3851" i="10"/>
  <c r="O3852" i="10"/>
  <c r="O3853" i="10"/>
  <c r="O3854" i="10"/>
  <c r="O3855" i="10"/>
  <c r="O3856" i="10"/>
  <c r="O3857" i="10"/>
  <c r="O3858" i="10"/>
  <c r="O3859" i="10"/>
  <c r="O3860" i="10"/>
  <c r="O3861" i="10"/>
  <c r="O3862" i="10"/>
  <c r="O3863" i="10"/>
  <c r="O3864" i="10"/>
  <c r="O3865" i="10"/>
  <c r="O3866" i="10"/>
  <c r="O3867" i="10"/>
  <c r="O3868" i="10"/>
  <c r="O3869" i="10"/>
  <c r="O3870" i="10"/>
  <c r="O3871" i="10"/>
  <c r="O3872" i="10"/>
  <c r="O3873" i="10"/>
  <c r="O3874" i="10"/>
  <c r="O3875" i="10"/>
  <c r="O3876" i="10"/>
  <c r="O3877" i="10"/>
  <c r="O3878" i="10"/>
  <c r="O3879" i="10"/>
  <c r="O3880" i="10"/>
  <c r="O3881" i="10"/>
  <c r="O3882" i="10"/>
  <c r="O3883" i="10"/>
  <c r="O3884" i="10"/>
  <c r="O3885" i="10"/>
  <c r="O3886" i="10"/>
  <c r="O3887" i="10"/>
  <c r="O3888" i="10"/>
  <c r="O3889" i="10"/>
  <c r="O3890" i="10"/>
  <c r="O3891" i="10"/>
  <c r="O3892" i="10"/>
  <c r="O3893" i="10"/>
  <c r="O3894" i="10"/>
  <c r="O3895" i="10"/>
  <c r="O3896" i="10"/>
  <c r="O3897" i="10"/>
  <c r="O3898" i="10"/>
  <c r="O3899" i="10"/>
  <c r="O3900" i="10"/>
  <c r="O3901" i="10"/>
  <c r="O3902" i="10"/>
  <c r="O3903" i="10"/>
  <c r="O3904" i="10"/>
  <c r="O3905" i="10"/>
  <c r="O3906" i="10"/>
  <c r="O3907" i="10"/>
  <c r="O3908" i="10"/>
  <c r="O3909" i="10"/>
  <c r="O3910" i="10"/>
  <c r="O3911" i="10"/>
  <c r="O3912" i="10"/>
  <c r="O3913" i="10"/>
  <c r="O3914" i="10"/>
  <c r="O3915" i="10"/>
  <c r="O3916" i="10"/>
  <c r="O3917" i="10"/>
  <c r="O3918" i="10"/>
  <c r="O3919" i="10"/>
  <c r="O3920" i="10"/>
  <c r="O3921" i="10"/>
  <c r="O3922" i="10"/>
  <c r="O3923" i="10"/>
  <c r="O3924" i="10"/>
  <c r="O3925" i="10"/>
  <c r="O3926" i="10"/>
  <c r="O3927" i="10"/>
  <c r="O3928" i="10"/>
  <c r="O3929" i="10"/>
  <c r="O3930" i="10"/>
  <c r="O3931" i="10"/>
  <c r="O3932" i="10"/>
  <c r="O3933" i="10"/>
  <c r="O3934" i="10"/>
  <c r="O3935" i="10"/>
  <c r="O3936" i="10"/>
  <c r="O3937" i="10"/>
  <c r="O3938" i="10"/>
  <c r="O3939" i="10"/>
  <c r="O3940" i="10"/>
  <c r="O3941" i="10"/>
  <c r="O3942" i="10"/>
  <c r="O3943" i="10"/>
  <c r="O3944" i="10"/>
  <c r="O3945" i="10"/>
  <c r="O3946" i="10"/>
  <c r="O3947" i="10"/>
  <c r="O3948" i="10"/>
  <c r="O3949" i="10"/>
  <c r="O3950" i="10"/>
  <c r="O3951" i="10"/>
  <c r="O3952" i="10"/>
  <c r="O3953" i="10"/>
  <c r="O3954" i="10"/>
  <c r="O3955" i="10"/>
  <c r="O3956" i="10"/>
  <c r="O3957" i="10"/>
  <c r="O3958" i="10"/>
  <c r="O3959" i="10"/>
  <c r="O3960" i="10"/>
  <c r="O3961" i="10"/>
  <c r="O3962" i="10"/>
  <c r="O3963" i="10"/>
  <c r="O3964" i="10"/>
  <c r="O3965" i="10"/>
  <c r="O3966" i="10"/>
  <c r="O3967" i="10"/>
  <c r="O3968" i="10"/>
  <c r="O3969" i="10"/>
  <c r="O3970" i="10"/>
  <c r="O3971" i="10"/>
  <c r="O3972" i="10"/>
  <c r="O3973" i="10"/>
  <c r="O3974" i="10"/>
  <c r="O3975" i="10"/>
  <c r="O3976" i="10"/>
  <c r="O3977" i="10"/>
  <c r="O3978" i="10"/>
  <c r="O3979" i="10"/>
  <c r="O3980" i="10"/>
  <c r="O3981" i="10"/>
  <c r="O3982" i="10"/>
  <c r="O3983" i="10"/>
  <c r="O3984" i="10"/>
  <c r="O3985" i="10"/>
  <c r="O3986" i="10"/>
  <c r="O3987" i="10"/>
  <c r="O3988" i="10"/>
  <c r="O3989" i="10"/>
  <c r="O3990" i="10"/>
  <c r="O3991" i="10"/>
  <c r="O3992" i="10"/>
  <c r="O3993" i="10"/>
  <c r="O3994" i="10"/>
  <c r="O3995" i="10"/>
  <c r="O3996" i="10"/>
  <c r="O3997" i="10"/>
  <c r="O3998" i="10"/>
  <c r="O3999" i="10"/>
  <c r="O4000" i="10"/>
  <c r="O4001" i="10"/>
  <c r="O4002" i="10"/>
  <c r="O4003" i="10"/>
  <c r="O4004" i="10"/>
  <c r="O4005" i="10"/>
  <c r="O4006" i="10"/>
  <c r="O4007" i="10"/>
  <c r="O4008" i="10"/>
  <c r="O4009" i="10"/>
  <c r="O4010" i="10"/>
  <c r="O4011" i="10"/>
  <c r="O4012" i="10"/>
  <c r="O4013" i="10"/>
  <c r="O4014" i="10"/>
  <c r="O4015" i="10"/>
  <c r="O4016" i="10"/>
  <c r="O4017" i="10"/>
  <c r="O4018" i="10"/>
  <c r="O4019" i="10"/>
  <c r="O4020" i="10"/>
  <c r="O4021" i="10"/>
  <c r="O4022" i="10"/>
  <c r="O4023" i="10"/>
  <c r="O4024" i="10"/>
  <c r="O4025" i="10"/>
  <c r="O4026" i="10"/>
  <c r="O4027" i="10"/>
  <c r="O4028" i="10"/>
  <c r="O4029" i="10"/>
  <c r="O4030" i="10"/>
  <c r="O4031" i="10"/>
  <c r="O4032" i="10"/>
  <c r="O4033" i="10"/>
  <c r="O4034" i="10"/>
  <c r="O4035" i="10"/>
  <c r="O4036" i="10"/>
  <c r="O4037" i="10"/>
  <c r="O4038" i="10"/>
  <c r="O4039" i="10"/>
  <c r="O4040" i="10"/>
  <c r="O4041" i="10"/>
  <c r="O4042" i="10"/>
  <c r="O4043" i="10"/>
  <c r="O4044" i="10"/>
  <c r="O4045" i="10"/>
  <c r="O4046" i="10"/>
  <c r="O4047" i="10"/>
  <c r="O4048" i="10"/>
  <c r="O4049" i="10"/>
  <c r="O4050" i="10"/>
  <c r="O4051" i="10"/>
  <c r="O4052" i="10"/>
  <c r="O4053" i="10"/>
  <c r="O4054" i="10"/>
  <c r="O4055" i="10"/>
  <c r="O4056" i="10"/>
  <c r="O4057" i="10"/>
  <c r="O4058" i="10"/>
  <c r="O4059" i="10"/>
  <c r="O4060" i="10"/>
  <c r="O4061" i="10"/>
  <c r="O4062" i="10"/>
  <c r="O4063" i="10"/>
  <c r="O4064" i="10"/>
  <c r="O4065" i="10"/>
  <c r="O4066" i="10"/>
  <c r="O4067" i="10"/>
  <c r="O4068" i="10"/>
  <c r="O4069" i="10"/>
  <c r="O4070" i="10"/>
  <c r="O4071" i="10"/>
  <c r="O4072" i="10"/>
  <c r="O4073" i="10"/>
  <c r="O4074" i="10"/>
  <c r="O4075" i="10"/>
  <c r="O4076" i="10"/>
  <c r="O4077" i="10"/>
  <c r="O4078" i="10"/>
  <c r="O4079" i="10"/>
  <c r="O4080" i="10"/>
  <c r="O4081" i="10"/>
  <c r="O4082" i="10"/>
  <c r="O4083" i="10"/>
  <c r="O4084" i="10"/>
  <c r="O4085" i="10"/>
  <c r="O4086" i="10"/>
  <c r="O4087" i="10"/>
  <c r="O4088" i="10"/>
  <c r="O4089" i="10"/>
  <c r="O4090" i="10"/>
  <c r="O4091" i="10"/>
  <c r="O4092" i="10"/>
  <c r="O4093" i="10"/>
  <c r="O4094" i="10"/>
  <c r="O4095" i="10"/>
  <c r="O4096" i="10"/>
  <c r="O4097" i="10"/>
  <c r="O4098" i="10"/>
  <c r="O4099" i="10"/>
  <c r="O4100" i="10"/>
  <c r="O4101" i="10"/>
  <c r="O4102" i="10"/>
  <c r="O4103" i="10"/>
  <c r="O4104" i="10"/>
  <c r="O4105" i="10"/>
  <c r="O4106" i="10"/>
  <c r="O4107" i="10"/>
  <c r="O4108" i="10"/>
  <c r="O4109" i="10"/>
  <c r="O4110" i="10"/>
  <c r="O4111" i="10"/>
  <c r="O4112" i="10"/>
  <c r="O4113" i="10"/>
  <c r="O4114" i="10"/>
  <c r="O4115" i="10"/>
  <c r="O4116" i="10"/>
  <c r="O4117" i="10"/>
  <c r="O4118" i="10"/>
  <c r="O4119" i="10"/>
  <c r="O4120" i="10"/>
  <c r="O4121" i="10"/>
  <c r="O4122" i="10"/>
  <c r="O4123" i="10"/>
  <c r="O4124" i="10"/>
  <c r="O4125" i="10"/>
  <c r="O4126" i="10"/>
  <c r="O4127" i="10"/>
  <c r="O4128" i="10"/>
  <c r="O4129" i="10"/>
  <c r="O4130" i="10"/>
  <c r="O4131" i="10"/>
  <c r="O4132" i="10"/>
  <c r="O4133" i="10"/>
  <c r="O4134" i="10"/>
  <c r="O4135" i="10"/>
  <c r="O4136" i="10"/>
  <c r="O4137" i="10"/>
  <c r="O4138" i="10"/>
  <c r="O4139" i="10"/>
  <c r="O4140" i="10"/>
  <c r="O4141" i="10"/>
  <c r="O4142" i="10"/>
  <c r="O4143" i="10"/>
  <c r="O4144" i="10"/>
  <c r="O4145" i="10"/>
  <c r="O4146" i="10"/>
  <c r="O4147" i="10"/>
  <c r="O4148" i="10"/>
  <c r="O4149" i="10"/>
  <c r="O4150" i="10"/>
  <c r="O4151" i="10"/>
  <c r="O4152" i="10"/>
  <c r="O4153" i="10"/>
  <c r="O4154" i="10"/>
  <c r="O4155" i="10"/>
  <c r="O4156" i="10"/>
  <c r="O4157" i="10"/>
  <c r="O4158" i="10"/>
  <c r="O4159" i="10"/>
  <c r="O4160" i="10"/>
  <c r="O4161" i="10"/>
  <c r="O4162" i="10"/>
  <c r="O4163" i="10"/>
  <c r="O4164" i="10"/>
  <c r="O4165" i="10"/>
  <c r="O4166" i="10"/>
  <c r="O4167" i="10"/>
  <c r="O4168" i="10"/>
  <c r="O4169" i="10"/>
  <c r="O4170" i="10"/>
  <c r="O4171" i="10"/>
  <c r="O4172" i="10"/>
  <c r="O4173" i="10"/>
  <c r="O4174" i="10"/>
  <c r="O4175" i="10"/>
  <c r="O4176" i="10"/>
  <c r="O4177" i="10"/>
  <c r="O4178" i="10"/>
  <c r="O4179" i="10"/>
  <c r="O4180" i="10"/>
  <c r="O4181" i="10"/>
  <c r="O4182" i="10"/>
  <c r="O4183" i="10"/>
  <c r="O4184" i="10"/>
  <c r="O4185" i="10"/>
  <c r="O4186" i="10"/>
  <c r="O4187" i="10"/>
  <c r="O4188" i="10"/>
  <c r="O4189" i="10"/>
  <c r="O4190" i="10"/>
  <c r="O4191" i="10"/>
  <c r="O4192" i="10"/>
  <c r="O4193" i="10"/>
  <c r="O4194" i="10"/>
  <c r="O4195" i="10"/>
  <c r="O4196" i="10"/>
  <c r="O4197" i="10"/>
  <c r="O4198" i="10"/>
  <c r="O4199" i="10"/>
  <c r="O4200" i="10"/>
  <c r="O4201" i="10"/>
  <c r="O4202" i="10"/>
  <c r="O4203" i="10"/>
  <c r="O4204" i="10"/>
  <c r="O4205" i="10"/>
  <c r="O4206" i="10"/>
  <c r="O4207" i="10"/>
  <c r="O4208" i="10"/>
  <c r="O4209" i="10"/>
  <c r="O4210" i="10"/>
  <c r="O4211" i="10"/>
  <c r="O4212" i="10"/>
  <c r="O4213" i="10"/>
  <c r="O4214" i="10"/>
  <c r="O4215" i="10"/>
  <c r="O4216" i="10"/>
  <c r="O4217" i="10"/>
  <c r="O4218" i="10"/>
  <c r="O4219" i="10"/>
  <c r="O4220" i="10"/>
  <c r="O4221" i="10"/>
  <c r="O4222" i="10"/>
  <c r="O4223" i="10"/>
  <c r="O4224" i="10"/>
  <c r="O4225" i="10"/>
  <c r="O4226" i="10"/>
  <c r="O4227" i="10"/>
  <c r="O4228" i="10"/>
  <c r="O4229" i="10"/>
  <c r="O4230" i="10"/>
  <c r="O4231" i="10"/>
  <c r="O4232" i="10"/>
  <c r="O4233" i="10"/>
  <c r="O4234" i="10"/>
  <c r="O4235" i="10"/>
  <c r="O4236" i="10"/>
  <c r="O4237" i="10"/>
  <c r="O4238" i="10"/>
  <c r="O4239" i="10"/>
  <c r="O4240" i="10"/>
  <c r="O4241" i="10"/>
  <c r="O4242" i="10"/>
  <c r="O4243" i="10"/>
  <c r="O4244" i="10"/>
  <c r="O4245" i="10"/>
  <c r="O4246" i="10"/>
  <c r="O4247" i="10"/>
  <c r="O4248" i="10"/>
  <c r="O4249" i="10"/>
  <c r="O4250" i="10"/>
  <c r="O4251" i="10"/>
  <c r="O4252" i="10"/>
  <c r="O4253" i="10"/>
  <c r="O4254" i="10"/>
  <c r="O4255" i="10"/>
  <c r="O4256" i="10"/>
  <c r="O4257" i="10"/>
  <c r="O4258" i="10"/>
  <c r="O4259" i="10"/>
  <c r="O4260" i="10"/>
  <c r="O4261" i="10"/>
  <c r="O4262" i="10"/>
  <c r="O4263" i="10"/>
  <c r="O4264" i="10"/>
  <c r="O4265" i="10"/>
  <c r="O4266" i="10"/>
  <c r="O4267" i="10"/>
  <c r="O4268" i="10"/>
  <c r="O4269" i="10"/>
  <c r="O4270" i="10"/>
  <c r="O4271" i="10"/>
  <c r="O4272" i="10"/>
  <c r="O4273" i="10"/>
  <c r="O4274" i="10"/>
  <c r="O4275" i="10"/>
  <c r="O4276" i="10"/>
  <c r="O4277" i="10"/>
  <c r="O4278" i="10"/>
  <c r="O4279" i="10"/>
  <c r="O4280" i="10"/>
  <c r="O4281" i="10"/>
  <c r="O4282" i="10"/>
  <c r="O4283" i="10"/>
  <c r="O4284" i="10"/>
  <c r="O4285" i="10"/>
  <c r="O4286" i="10"/>
  <c r="O4287" i="10"/>
  <c r="O4288" i="10"/>
  <c r="O4289" i="10"/>
  <c r="O4290" i="10"/>
  <c r="O4291" i="10"/>
  <c r="O4292" i="10"/>
  <c r="O4293" i="10"/>
  <c r="O4294" i="10"/>
  <c r="O4295" i="10"/>
  <c r="O4296" i="10"/>
  <c r="O4297" i="10"/>
  <c r="O4298" i="10"/>
  <c r="O4299" i="10"/>
  <c r="O4300" i="10"/>
  <c r="O4301" i="10"/>
  <c r="O4302" i="10"/>
  <c r="O4303" i="10"/>
  <c r="O4304" i="10"/>
  <c r="O4305" i="10"/>
  <c r="O4306" i="10"/>
  <c r="O4307" i="10"/>
  <c r="O4308" i="10"/>
  <c r="O4309" i="10"/>
  <c r="O4310" i="10"/>
  <c r="O4311" i="10"/>
  <c r="O4312" i="10"/>
  <c r="O4313" i="10"/>
  <c r="O4314" i="10"/>
  <c r="O4315" i="10"/>
  <c r="O4316" i="10"/>
  <c r="O4317" i="10"/>
  <c r="O4318" i="10"/>
  <c r="O4319" i="10"/>
  <c r="O4320" i="10"/>
  <c r="O4321" i="10"/>
  <c r="O4322" i="10"/>
  <c r="O4323" i="10"/>
  <c r="O4324" i="10"/>
  <c r="O4325" i="10"/>
  <c r="O4326" i="10"/>
  <c r="O4327" i="10"/>
  <c r="O4328" i="10"/>
  <c r="O4329" i="10"/>
  <c r="O4330" i="10"/>
  <c r="O4331" i="10"/>
  <c r="O4332" i="10"/>
  <c r="O4333" i="10"/>
  <c r="O4334" i="10"/>
  <c r="O4335" i="10"/>
  <c r="O4336" i="10"/>
  <c r="O4337" i="10"/>
  <c r="O4338" i="10"/>
  <c r="O4339" i="10"/>
  <c r="O4340" i="10"/>
  <c r="O4341" i="10"/>
  <c r="O4342" i="10"/>
  <c r="O4343" i="10"/>
  <c r="O4344" i="10"/>
  <c r="O4345" i="10"/>
  <c r="O4346" i="10"/>
  <c r="O4347" i="10"/>
  <c r="O4348" i="10"/>
  <c r="O4349" i="10"/>
  <c r="O4350" i="10"/>
  <c r="O4351" i="10"/>
  <c r="O4352" i="10"/>
  <c r="O4353" i="10"/>
  <c r="O4354" i="10"/>
  <c r="O4355" i="10"/>
  <c r="O4356" i="10"/>
  <c r="O4357" i="10"/>
  <c r="O4358" i="10"/>
  <c r="O4359" i="10"/>
  <c r="O4360" i="10"/>
  <c r="O4361" i="10"/>
  <c r="O4362" i="10"/>
  <c r="O4363" i="10"/>
  <c r="O4364" i="10"/>
  <c r="O4365" i="10"/>
  <c r="O4366" i="10"/>
  <c r="O4367" i="10"/>
  <c r="O4368" i="10"/>
  <c r="O4369" i="10"/>
  <c r="O4370" i="10"/>
  <c r="O4371" i="10"/>
  <c r="O4372" i="10"/>
  <c r="O4373" i="10"/>
  <c r="O4374" i="10"/>
  <c r="O4375" i="10"/>
  <c r="O4376" i="10"/>
  <c r="O4377" i="10"/>
  <c r="O4378" i="10"/>
  <c r="O4379" i="10"/>
  <c r="O4380" i="10"/>
  <c r="O4381" i="10"/>
  <c r="O4382" i="10"/>
  <c r="O4383" i="10"/>
  <c r="O4384" i="10"/>
  <c r="O4385" i="10"/>
  <c r="O4386" i="10"/>
  <c r="O4387" i="10"/>
  <c r="O4388" i="10"/>
  <c r="O4389" i="10"/>
  <c r="O4390" i="10"/>
  <c r="O4391" i="10"/>
  <c r="O4392" i="10"/>
  <c r="O4393" i="10"/>
  <c r="O4394" i="10"/>
  <c r="O4395" i="10"/>
  <c r="O4396" i="10"/>
  <c r="O4397" i="10"/>
  <c r="O4398" i="10"/>
  <c r="O4399" i="10"/>
  <c r="O4400" i="10"/>
  <c r="O4401" i="10"/>
  <c r="O4402" i="10"/>
  <c r="O4403" i="10"/>
  <c r="O4404" i="10"/>
  <c r="O4405" i="10"/>
  <c r="O4406" i="10"/>
  <c r="O4407" i="10"/>
  <c r="O4408" i="10"/>
  <c r="O4409" i="10"/>
  <c r="O4410" i="10"/>
  <c r="O4411" i="10"/>
  <c r="O4412" i="10"/>
  <c r="O4413" i="10"/>
  <c r="O4414" i="10"/>
  <c r="O4415" i="10"/>
  <c r="O4416" i="10"/>
  <c r="O4417" i="10"/>
  <c r="O4418" i="10"/>
  <c r="O4419" i="10"/>
  <c r="O4420" i="10"/>
  <c r="O4421" i="10"/>
  <c r="O4422" i="10"/>
  <c r="O4423" i="10"/>
  <c r="O4424" i="10"/>
  <c r="O4425" i="10"/>
  <c r="O4426" i="10"/>
  <c r="O4427" i="10"/>
  <c r="O4428" i="10"/>
  <c r="O4429" i="10"/>
  <c r="O4430" i="10"/>
  <c r="O4431" i="10"/>
  <c r="O4432" i="10"/>
  <c r="O4433" i="10"/>
  <c r="O4434" i="10"/>
  <c r="O4435" i="10"/>
  <c r="O4436" i="10"/>
  <c r="O4437" i="10"/>
  <c r="O4438" i="10"/>
  <c r="O4439" i="10"/>
  <c r="O4440" i="10"/>
  <c r="O4441" i="10"/>
  <c r="O4442" i="10"/>
  <c r="O4443" i="10"/>
  <c r="O4444" i="10"/>
  <c r="O4445" i="10"/>
  <c r="O4446" i="10"/>
  <c r="O4447" i="10"/>
  <c r="O4448" i="10"/>
  <c r="O4449" i="10"/>
  <c r="O4450" i="10"/>
  <c r="O4451" i="10"/>
  <c r="O4452" i="10"/>
  <c r="O4453" i="10"/>
  <c r="O4454" i="10"/>
  <c r="O4455" i="10"/>
  <c r="O4456" i="10"/>
  <c r="O4457" i="10"/>
  <c r="O4458" i="10"/>
  <c r="O4459" i="10"/>
  <c r="O4460" i="10"/>
  <c r="O4461" i="10"/>
  <c r="O4462" i="10"/>
  <c r="O4463" i="10"/>
  <c r="O4464" i="10"/>
  <c r="O4465" i="10"/>
  <c r="O4466" i="10"/>
  <c r="O4467" i="10"/>
  <c r="O4468" i="10"/>
  <c r="O4469" i="10"/>
  <c r="O4470" i="10"/>
  <c r="O4471" i="10"/>
  <c r="O4472" i="10"/>
  <c r="O4473" i="10"/>
  <c r="O4474" i="10"/>
  <c r="O4475" i="10"/>
  <c r="O4476" i="10"/>
  <c r="O4477" i="10"/>
  <c r="O4478" i="10"/>
  <c r="O4479" i="10"/>
  <c r="O4480" i="10"/>
  <c r="O4481" i="10"/>
  <c r="O4482" i="10"/>
  <c r="O4483" i="10"/>
  <c r="O4484" i="10"/>
  <c r="O4485" i="10"/>
  <c r="O4486" i="10"/>
  <c r="O4487" i="10"/>
  <c r="O4488" i="10"/>
  <c r="O4489" i="10"/>
  <c r="O4490" i="10"/>
  <c r="O4491" i="10"/>
  <c r="O4492" i="10"/>
  <c r="O4493" i="10"/>
  <c r="O4494" i="10"/>
  <c r="O4495" i="10"/>
  <c r="O4496" i="10"/>
  <c r="O4497" i="10"/>
  <c r="O4498" i="10"/>
  <c r="O4499" i="10"/>
  <c r="O4500" i="10"/>
  <c r="O4501" i="10"/>
  <c r="O4502" i="10"/>
  <c r="O4503" i="10"/>
  <c r="O4504" i="10"/>
  <c r="O4505" i="10"/>
  <c r="O4506" i="10"/>
  <c r="O4507" i="10"/>
  <c r="O4508" i="10"/>
  <c r="O4509" i="10"/>
  <c r="O4510" i="10"/>
  <c r="O4511" i="10"/>
  <c r="O4512" i="10"/>
  <c r="O4513" i="10"/>
  <c r="O4514" i="10"/>
  <c r="O4515" i="10"/>
  <c r="O4516" i="10"/>
  <c r="O4517" i="10"/>
  <c r="O4518" i="10"/>
  <c r="O4519" i="10"/>
  <c r="O4520" i="10"/>
  <c r="O4521" i="10"/>
  <c r="O4522" i="10"/>
  <c r="O4523" i="10"/>
  <c r="O4524" i="10"/>
  <c r="O4525" i="10"/>
  <c r="O4526" i="10"/>
  <c r="O4527" i="10"/>
  <c r="O4528" i="10"/>
  <c r="O4529" i="10"/>
  <c r="O4530" i="10"/>
  <c r="O4531" i="10"/>
  <c r="O4532" i="10"/>
  <c r="O4533" i="10"/>
  <c r="O4534" i="10"/>
  <c r="O4535" i="10"/>
  <c r="O4536" i="10"/>
  <c r="O4537" i="10"/>
  <c r="O4538" i="10"/>
  <c r="O4539" i="10"/>
  <c r="O4540" i="10"/>
  <c r="O4541" i="10"/>
  <c r="O4542" i="10"/>
  <c r="O4543" i="10"/>
  <c r="O4544" i="10"/>
  <c r="O4545" i="10"/>
  <c r="O4546" i="10"/>
  <c r="O4547" i="10"/>
  <c r="O4548" i="10"/>
  <c r="O4549" i="10"/>
  <c r="O4550" i="10"/>
  <c r="O4551" i="10"/>
  <c r="O4552" i="10"/>
  <c r="O4553" i="10"/>
  <c r="O4554" i="10"/>
  <c r="O4555" i="10"/>
  <c r="O4556" i="10"/>
  <c r="O4557" i="10"/>
  <c r="O4558" i="10"/>
  <c r="O4559" i="10"/>
  <c r="O4560" i="10"/>
  <c r="O4561" i="10"/>
  <c r="O4562" i="10"/>
  <c r="O4563" i="10"/>
  <c r="O4564" i="10"/>
  <c r="O4565" i="10"/>
  <c r="O4566" i="10"/>
  <c r="O4567" i="10"/>
  <c r="O4568" i="10"/>
  <c r="O4569" i="10"/>
  <c r="O4570" i="10"/>
  <c r="O4571" i="10"/>
  <c r="O4572" i="10"/>
  <c r="O4573" i="10"/>
  <c r="O4574" i="10"/>
  <c r="O4575" i="10"/>
  <c r="O4576" i="10"/>
  <c r="O4577" i="10"/>
  <c r="O4578" i="10"/>
  <c r="O4579" i="10"/>
  <c r="O4580" i="10"/>
  <c r="O4581" i="10"/>
  <c r="O4582" i="10"/>
  <c r="O4583" i="10"/>
  <c r="O4584" i="10"/>
  <c r="O4585" i="10"/>
  <c r="O4586" i="10"/>
  <c r="O4587" i="10"/>
  <c r="O4588" i="10"/>
  <c r="O4589" i="10"/>
  <c r="O4590" i="10"/>
  <c r="O4591" i="10"/>
  <c r="O4592" i="10"/>
  <c r="O4593" i="10"/>
  <c r="O4594" i="10"/>
  <c r="O4595" i="10"/>
  <c r="O4596" i="10"/>
  <c r="O4597" i="10"/>
  <c r="O4598" i="10"/>
  <c r="O4599" i="10"/>
  <c r="O4600" i="10"/>
  <c r="O4601" i="10"/>
  <c r="O4602" i="10"/>
  <c r="O4603" i="10"/>
  <c r="O4604" i="10"/>
  <c r="O4605" i="10"/>
  <c r="O4606" i="10"/>
  <c r="O4607" i="10"/>
  <c r="O4608" i="10"/>
  <c r="O4609" i="10"/>
  <c r="O4610" i="10"/>
  <c r="O4611" i="10"/>
  <c r="O4612" i="10"/>
  <c r="O4613" i="10"/>
  <c r="O4614" i="10"/>
  <c r="O4615" i="10"/>
  <c r="O4616" i="10"/>
  <c r="O4617" i="10"/>
  <c r="O4618" i="10"/>
  <c r="O4619" i="10"/>
  <c r="O4620" i="10"/>
  <c r="O4621" i="10"/>
  <c r="O4622" i="10"/>
  <c r="O4623" i="10"/>
  <c r="O4624" i="10"/>
  <c r="O4625" i="10"/>
  <c r="O4626" i="10"/>
  <c r="O4627" i="10"/>
  <c r="O4628" i="10"/>
  <c r="O4629" i="10"/>
  <c r="O4630" i="10"/>
  <c r="O4631" i="10"/>
  <c r="O4632" i="10"/>
  <c r="O4633" i="10"/>
  <c r="O4634" i="10"/>
  <c r="O4635" i="10"/>
  <c r="O4636" i="10"/>
  <c r="O4637" i="10"/>
  <c r="O4638" i="10"/>
  <c r="O4639" i="10"/>
  <c r="O4640" i="10"/>
  <c r="O4641" i="10"/>
  <c r="O4642" i="10"/>
  <c r="O4643" i="10"/>
  <c r="O4644" i="10"/>
  <c r="O4645" i="10"/>
  <c r="O4646" i="10"/>
  <c r="O4647" i="10"/>
  <c r="O4648" i="10"/>
  <c r="O4649" i="10"/>
  <c r="O4650" i="10"/>
  <c r="O4651" i="10"/>
  <c r="O4652" i="10"/>
  <c r="O4653" i="10"/>
  <c r="O4654" i="10"/>
  <c r="O4655" i="10"/>
  <c r="O4656" i="10"/>
  <c r="O4657" i="10"/>
  <c r="O4658" i="10"/>
  <c r="O4659" i="10"/>
  <c r="O4660" i="10"/>
  <c r="O4661" i="10"/>
  <c r="O4662" i="10"/>
  <c r="O4663" i="10"/>
  <c r="O4664" i="10"/>
  <c r="O4665" i="10"/>
  <c r="O4666" i="10"/>
  <c r="O4667" i="10"/>
  <c r="O4668" i="10"/>
  <c r="O4669" i="10"/>
  <c r="O4670" i="10"/>
  <c r="O4671" i="10"/>
  <c r="O4672" i="10"/>
  <c r="O4673" i="10"/>
  <c r="O4674" i="10"/>
  <c r="O4675" i="10"/>
  <c r="O4676" i="10"/>
  <c r="O4677" i="10"/>
  <c r="O4678" i="10"/>
  <c r="O4679" i="10"/>
  <c r="O4680" i="10"/>
  <c r="O4681" i="10"/>
  <c r="O4682" i="10"/>
  <c r="O4683" i="10"/>
  <c r="O4684" i="10"/>
  <c r="O4685" i="10"/>
  <c r="O4686" i="10"/>
  <c r="O4687" i="10"/>
  <c r="O4688" i="10"/>
  <c r="O4689" i="10"/>
  <c r="O4690" i="10"/>
  <c r="O4691" i="10"/>
  <c r="O4692" i="10"/>
  <c r="O4693" i="10"/>
  <c r="O4694" i="10"/>
  <c r="O4695" i="10"/>
  <c r="O4696" i="10"/>
  <c r="O4697" i="10"/>
  <c r="O4698" i="10"/>
  <c r="O4699" i="10"/>
  <c r="O4700" i="10"/>
  <c r="O4701" i="10"/>
  <c r="O4702" i="10"/>
  <c r="O4703" i="10"/>
  <c r="O4704" i="10"/>
  <c r="O4705" i="10"/>
  <c r="O4706" i="10"/>
  <c r="O4707" i="10"/>
  <c r="O4708" i="10"/>
  <c r="O4709" i="10"/>
  <c r="O4710" i="10"/>
  <c r="O4711" i="10"/>
  <c r="O4712" i="10"/>
  <c r="O4713" i="10"/>
  <c r="O4714" i="10"/>
  <c r="O4715" i="10"/>
  <c r="O4716" i="10"/>
  <c r="O4717" i="10"/>
  <c r="O4718" i="10"/>
  <c r="O4719" i="10"/>
  <c r="O4720" i="10"/>
  <c r="O4721" i="10"/>
  <c r="O4722" i="10"/>
  <c r="O4723" i="10"/>
  <c r="O4724" i="10"/>
  <c r="O4725" i="10"/>
  <c r="O4726" i="10"/>
  <c r="O4727" i="10"/>
  <c r="O4728" i="10"/>
  <c r="O4729" i="10"/>
  <c r="O4730" i="10"/>
  <c r="O4731" i="10"/>
  <c r="O4732" i="10"/>
  <c r="O4733" i="10"/>
  <c r="O4734" i="10"/>
  <c r="O4735" i="10"/>
  <c r="O4736" i="10"/>
  <c r="O4737" i="10"/>
  <c r="O4738" i="10"/>
  <c r="O4739" i="10"/>
  <c r="O4740" i="10"/>
  <c r="O4741" i="10"/>
  <c r="O4742" i="10"/>
  <c r="O4743" i="10"/>
  <c r="O4744" i="10"/>
  <c r="O4745" i="10"/>
  <c r="O4746" i="10"/>
  <c r="O4747" i="10"/>
  <c r="O4748" i="10"/>
  <c r="O4749" i="10"/>
  <c r="O4750" i="10"/>
  <c r="O4751" i="10"/>
  <c r="O4752" i="10"/>
  <c r="O4753" i="10"/>
  <c r="O4754" i="10"/>
  <c r="O4755" i="10"/>
  <c r="O4756" i="10"/>
  <c r="O4757" i="10"/>
  <c r="O4758" i="10"/>
  <c r="O4759" i="10"/>
  <c r="O4760" i="10"/>
  <c r="O4761" i="10"/>
  <c r="O4762" i="10"/>
  <c r="O4763" i="10"/>
  <c r="O4764" i="10"/>
  <c r="O4765" i="10"/>
  <c r="O4766" i="10"/>
  <c r="O4767" i="10"/>
  <c r="O4768" i="10"/>
  <c r="O4769" i="10"/>
  <c r="O4770" i="10"/>
  <c r="O4771" i="10"/>
  <c r="O4772" i="10"/>
  <c r="O4773" i="10"/>
  <c r="O4774" i="10"/>
  <c r="O4775" i="10"/>
  <c r="O4776" i="10"/>
  <c r="O4777" i="10"/>
  <c r="O4778" i="10"/>
  <c r="O4779" i="10"/>
  <c r="O4780" i="10"/>
  <c r="O4781" i="10"/>
  <c r="O4782" i="10"/>
  <c r="O4783" i="10"/>
  <c r="O4784" i="10"/>
  <c r="O4785" i="10"/>
  <c r="O4786" i="10"/>
  <c r="O4787" i="10"/>
  <c r="O4788" i="10"/>
  <c r="O4789" i="10"/>
  <c r="O4790" i="10"/>
  <c r="O4791" i="10"/>
  <c r="O4792" i="10"/>
  <c r="O4793" i="10"/>
  <c r="O4794" i="10"/>
  <c r="O4795" i="10"/>
  <c r="O4796" i="10"/>
  <c r="O4797" i="10"/>
  <c r="O4798" i="10"/>
  <c r="O4799" i="10"/>
  <c r="O4800" i="10"/>
  <c r="O4801" i="10"/>
  <c r="O4802" i="10"/>
  <c r="O4803" i="10"/>
  <c r="O4804" i="10"/>
  <c r="O4805" i="10"/>
  <c r="O4806" i="10"/>
  <c r="O4807" i="10"/>
  <c r="O4808" i="10"/>
  <c r="O4809" i="10"/>
  <c r="O4810" i="10"/>
  <c r="O4811" i="10"/>
  <c r="O4812" i="10"/>
  <c r="O4813" i="10"/>
  <c r="O4814" i="10"/>
  <c r="O4815" i="10"/>
  <c r="O4816" i="10"/>
  <c r="O4817" i="10"/>
  <c r="O4818" i="10"/>
  <c r="O4819" i="10"/>
  <c r="O4820" i="10"/>
  <c r="O4821" i="10"/>
  <c r="O4822" i="10"/>
  <c r="O4823" i="10"/>
  <c r="O4824" i="10"/>
  <c r="O4825" i="10"/>
  <c r="O4826" i="10"/>
  <c r="O4827" i="10"/>
  <c r="O4828" i="10"/>
  <c r="O4829" i="10"/>
  <c r="O4830" i="10"/>
  <c r="O4831" i="10"/>
  <c r="O4832" i="10"/>
  <c r="O4833" i="10"/>
  <c r="O4834" i="10"/>
  <c r="O4835" i="10"/>
  <c r="O4836" i="10"/>
  <c r="O4837" i="10"/>
  <c r="O4838" i="10"/>
  <c r="O4839" i="10"/>
  <c r="O4840" i="10"/>
  <c r="O4841" i="10"/>
  <c r="O4842" i="10"/>
  <c r="O4843" i="10"/>
  <c r="O4844" i="10"/>
  <c r="O4845" i="10"/>
  <c r="O4846" i="10"/>
  <c r="O4847" i="10"/>
  <c r="O4848" i="10"/>
  <c r="O4849" i="10"/>
  <c r="O4850" i="10"/>
  <c r="O4851" i="10"/>
  <c r="O4852" i="10"/>
  <c r="O4853" i="10"/>
  <c r="O4854" i="10"/>
  <c r="O4855" i="10"/>
  <c r="O4856" i="10"/>
  <c r="O4857" i="10"/>
  <c r="O4858" i="10"/>
  <c r="O4859" i="10"/>
  <c r="O4860" i="10"/>
  <c r="O4861" i="10"/>
  <c r="O4862" i="10"/>
  <c r="O4863" i="10"/>
  <c r="O4864" i="10"/>
  <c r="O4865" i="10"/>
  <c r="O4866" i="10"/>
  <c r="O4867" i="10"/>
  <c r="O4868" i="10"/>
  <c r="O4869" i="10"/>
  <c r="O4870" i="10"/>
  <c r="O4871" i="10"/>
  <c r="O4872" i="10"/>
  <c r="O4873" i="10"/>
  <c r="O4874" i="10"/>
  <c r="O4875" i="10"/>
  <c r="O4876" i="10"/>
  <c r="O4877" i="10"/>
  <c r="O4878" i="10"/>
  <c r="O4879" i="10"/>
  <c r="O4880" i="10"/>
  <c r="O4881" i="10"/>
  <c r="O4882" i="10"/>
  <c r="O4883" i="10"/>
  <c r="O4884" i="10"/>
  <c r="O4885" i="10"/>
  <c r="O4886" i="10"/>
  <c r="O4887" i="10"/>
  <c r="O4888" i="10"/>
  <c r="O4889" i="10"/>
  <c r="O4890" i="10"/>
  <c r="O4891" i="10"/>
  <c r="O4892" i="10"/>
  <c r="O4893" i="10"/>
  <c r="O4894" i="10"/>
  <c r="O4895" i="10"/>
  <c r="O4896" i="10"/>
  <c r="O4897" i="10"/>
  <c r="O4898" i="10"/>
  <c r="O4899" i="10"/>
  <c r="O4900" i="10"/>
  <c r="O4901" i="10"/>
  <c r="O4902" i="10"/>
  <c r="O4903" i="10"/>
  <c r="O4904" i="10"/>
  <c r="O4905" i="10"/>
  <c r="O4906" i="10"/>
  <c r="O4907" i="10"/>
  <c r="O4908" i="10"/>
  <c r="O4909" i="10"/>
  <c r="O4910" i="10"/>
  <c r="O4911" i="10"/>
  <c r="O4912" i="10"/>
  <c r="O4913" i="10"/>
  <c r="O4914" i="10"/>
  <c r="O4915" i="10"/>
  <c r="O4916" i="10"/>
  <c r="O4917" i="10"/>
  <c r="O4918" i="10"/>
  <c r="O4919" i="10"/>
  <c r="O4920" i="10"/>
  <c r="O4921" i="10"/>
  <c r="O4922" i="10"/>
  <c r="O4923" i="10"/>
  <c r="O4924" i="10"/>
  <c r="O4925" i="10"/>
  <c r="O4926" i="10"/>
  <c r="O4927" i="10"/>
  <c r="O4928" i="10"/>
  <c r="O4929" i="10"/>
  <c r="O4930" i="10"/>
  <c r="O4931" i="10"/>
  <c r="O4932" i="10"/>
  <c r="O4933" i="10"/>
  <c r="O4934" i="10"/>
  <c r="O4935" i="10"/>
  <c r="O4936" i="10"/>
  <c r="O4937" i="10"/>
  <c r="O4938" i="10"/>
  <c r="O4939" i="10"/>
  <c r="O4940" i="10"/>
  <c r="O4941" i="10"/>
  <c r="O4942" i="10"/>
  <c r="O4943" i="10"/>
  <c r="O4944" i="10"/>
  <c r="O4945" i="10"/>
  <c r="O4946" i="10"/>
  <c r="O4947" i="10"/>
  <c r="O4948" i="10"/>
  <c r="O4949" i="10"/>
  <c r="O4950" i="10"/>
  <c r="O4951" i="10"/>
  <c r="O4952" i="10"/>
  <c r="O4953" i="10"/>
  <c r="O4954" i="10"/>
  <c r="O4955" i="10"/>
  <c r="O4956" i="10"/>
  <c r="O4957" i="10"/>
  <c r="O4958" i="10"/>
  <c r="O4959" i="10"/>
  <c r="O4960" i="10"/>
  <c r="O4961" i="10"/>
  <c r="O4962" i="10"/>
  <c r="O4963" i="10"/>
  <c r="O4964" i="10"/>
  <c r="O4965" i="10"/>
  <c r="O4966" i="10"/>
  <c r="O4967" i="10"/>
  <c r="O4968" i="10"/>
  <c r="O4969" i="10"/>
  <c r="O4970" i="10"/>
  <c r="O4971" i="10"/>
  <c r="O4972" i="10"/>
  <c r="O4973" i="10"/>
  <c r="O4974" i="10"/>
  <c r="O4975" i="10"/>
  <c r="O4976" i="10"/>
  <c r="O4977" i="10"/>
  <c r="O4978" i="10"/>
  <c r="O4979" i="10"/>
  <c r="O4980" i="10"/>
  <c r="O4981" i="10"/>
  <c r="O4982" i="10"/>
  <c r="O4983" i="10"/>
  <c r="O4984" i="10"/>
  <c r="O4985" i="10"/>
  <c r="O4986" i="10"/>
  <c r="O4987" i="10"/>
  <c r="O4988" i="10"/>
  <c r="O4989" i="10"/>
  <c r="O4990" i="10"/>
  <c r="O4991" i="10"/>
  <c r="O4992" i="10"/>
  <c r="O4993" i="10"/>
  <c r="O4994" i="10"/>
  <c r="O4995" i="10"/>
  <c r="O4996" i="10"/>
  <c r="O4997" i="10"/>
  <c r="O4998" i="10"/>
  <c r="O4999" i="10"/>
  <c r="O5000" i="10"/>
  <c r="O5001" i="10"/>
  <c r="O5002" i="10"/>
  <c r="O5003" i="10"/>
  <c r="O5004" i="10"/>
  <c r="O5005" i="10"/>
  <c r="O5006" i="10"/>
  <c r="O5007" i="10"/>
  <c r="O5008" i="10"/>
  <c r="O5009" i="10"/>
  <c r="O5010" i="10"/>
  <c r="O5011" i="10"/>
  <c r="O5012" i="10"/>
  <c r="O5013" i="10"/>
  <c r="O5014" i="10"/>
  <c r="O5015" i="10"/>
  <c r="O5016" i="10"/>
  <c r="O5017" i="10"/>
  <c r="O5018" i="10"/>
  <c r="O5019" i="10"/>
  <c r="O5020" i="10"/>
  <c r="O5021" i="10"/>
  <c r="O5022" i="10"/>
  <c r="O5023" i="10"/>
  <c r="O5024" i="10"/>
  <c r="O5025" i="10"/>
  <c r="O5026" i="10"/>
  <c r="O5027" i="10"/>
  <c r="O5028" i="10"/>
  <c r="O5029" i="10"/>
  <c r="O5030" i="10"/>
  <c r="O5031" i="10"/>
  <c r="O5032" i="10"/>
  <c r="O5033" i="10"/>
  <c r="O5034" i="10"/>
  <c r="O5035" i="10"/>
  <c r="O5036" i="10"/>
  <c r="O5037" i="10"/>
  <c r="O5038" i="10"/>
  <c r="O5039" i="10"/>
  <c r="O5040" i="10"/>
  <c r="O5041" i="10"/>
  <c r="O5042" i="10"/>
  <c r="O5043" i="10"/>
  <c r="O5044" i="10"/>
  <c r="O5045" i="10"/>
  <c r="O5046" i="10"/>
  <c r="O5047" i="10"/>
  <c r="O5048" i="10"/>
  <c r="O5049" i="10"/>
  <c r="O5050" i="10"/>
  <c r="O5051" i="10"/>
  <c r="O5052" i="10"/>
  <c r="O5053" i="10"/>
  <c r="O5054" i="10"/>
  <c r="O5055" i="10"/>
  <c r="O5056" i="10"/>
  <c r="O5057" i="10"/>
  <c r="O5058" i="10"/>
  <c r="O5059" i="10"/>
  <c r="O5060" i="10"/>
  <c r="O5061" i="10"/>
  <c r="O5062" i="10"/>
  <c r="O5063" i="10"/>
  <c r="O5064" i="10"/>
  <c r="O5065" i="10"/>
  <c r="O5066" i="10"/>
  <c r="O5067" i="10"/>
  <c r="O5068" i="10"/>
  <c r="O5069" i="10"/>
  <c r="O5070" i="10"/>
  <c r="O5071" i="10"/>
  <c r="O5072" i="10"/>
  <c r="O5073" i="10"/>
  <c r="O5074" i="10"/>
  <c r="O5075" i="10"/>
  <c r="O5076" i="10"/>
  <c r="O5077" i="10"/>
  <c r="O5078" i="10"/>
  <c r="O5079" i="10"/>
  <c r="O5080" i="10"/>
  <c r="O5081" i="10"/>
  <c r="O5082" i="10"/>
  <c r="O5083" i="10"/>
  <c r="O5084" i="10"/>
  <c r="O5085" i="10"/>
  <c r="O5086" i="10"/>
  <c r="O5087" i="10"/>
  <c r="O5088" i="10"/>
  <c r="O5089" i="10"/>
  <c r="O5090" i="10"/>
  <c r="O5091" i="10"/>
  <c r="O5092" i="10"/>
  <c r="O5093" i="10"/>
  <c r="O5094" i="10"/>
  <c r="O5095" i="10"/>
  <c r="O5096" i="10"/>
  <c r="O5097" i="10"/>
  <c r="O5098" i="10"/>
  <c r="O5099" i="10"/>
  <c r="O5100" i="10"/>
  <c r="O5101" i="10"/>
  <c r="O5102" i="10"/>
  <c r="O5103" i="10"/>
  <c r="O5104" i="10"/>
  <c r="O5105" i="10"/>
  <c r="O5106" i="10"/>
  <c r="O5107" i="10"/>
  <c r="O5108" i="10"/>
  <c r="O5109" i="10"/>
  <c r="O5110" i="10"/>
  <c r="O5111" i="10"/>
  <c r="O5112" i="10"/>
  <c r="O5113" i="10"/>
  <c r="O5114" i="10"/>
  <c r="O5115" i="10"/>
  <c r="O5116" i="10"/>
  <c r="O5117" i="10"/>
  <c r="O5118" i="10"/>
  <c r="O5119" i="10"/>
  <c r="O5120" i="10"/>
  <c r="O5121" i="10"/>
  <c r="O5122" i="10"/>
  <c r="O5123" i="10"/>
  <c r="O5124" i="10"/>
  <c r="O5125" i="10"/>
  <c r="O5126" i="10"/>
  <c r="O5127" i="10"/>
  <c r="O5128" i="10"/>
  <c r="O5129" i="10"/>
  <c r="O5130" i="10"/>
  <c r="O5131" i="10"/>
  <c r="O5132" i="10"/>
  <c r="O5133" i="10"/>
  <c r="O5134" i="10"/>
  <c r="O5135" i="10"/>
  <c r="O5136" i="10"/>
  <c r="O5137" i="10"/>
  <c r="O5138" i="10"/>
  <c r="O5139" i="10"/>
  <c r="O5140" i="10"/>
  <c r="O5141" i="10"/>
  <c r="O5142" i="10"/>
  <c r="O5143" i="10"/>
  <c r="O5144" i="10"/>
  <c r="O5145" i="10"/>
  <c r="O5146" i="10"/>
  <c r="O5147" i="10"/>
  <c r="O5148" i="10"/>
  <c r="O5149" i="10"/>
  <c r="O5150" i="10"/>
  <c r="O5151" i="10"/>
  <c r="O5152" i="10"/>
  <c r="O5153" i="10"/>
  <c r="O5154" i="10"/>
  <c r="O5155" i="10"/>
  <c r="O5156" i="10"/>
  <c r="O5157" i="10"/>
  <c r="O5158" i="10"/>
  <c r="O5159" i="10"/>
  <c r="O5160" i="10"/>
  <c r="O5161" i="10"/>
  <c r="O5162" i="10"/>
  <c r="O5163" i="10"/>
  <c r="O5164" i="10"/>
  <c r="O5165" i="10"/>
  <c r="O5166" i="10"/>
  <c r="O5167" i="10"/>
  <c r="O5168" i="10"/>
  <c r="O5169" i="10"/>
  <c r="O5170" i="10"/>
  <c r="O5171" i="10"/>
  <c r="O5172" i="10"/>
  <c r="O5173" i="10"/>
  <c r="O5174" i="10"/>
  <c r="O5175" i="10"/>
  <c r="O5176" i="10"/>
  <c r="O5177" i="10"/>
  <c r="O5178" i="10"/>
  <c r="O5179" i="10"/>
  <c r="O5180" i="10"/>
  <c r="O5181" i="10"/>
  <c r="O5182" i="10"/>
  <c r="O5183" i="10"/>
  <c r="O5184" i="10"/>
  <c r="O5185" i="10"/>
  <c r="O5186" i="10"/>
  <c r="O5187" i="10"/>
  <c r="O5188" i="10"/>
  <c r="O5189" i="10"/>
  <c r="O5190" i="10"/>
  <c r="O5191" i="10"/>
  <c r="O5192" i="10"/>
  <c r="O5193" i="10"/>
  <c r="O5194" i="10"/>
  <c r="O5195" i="10"/>
  <c r="O5196" i="10"/>
  <c r="O5197" i="10"/>
  <c r="O5198" i="10"/>
  <c r="O5199" i="10"/>
  <c r="O5200" i="10"/>
  <c r="O5201" i="10"/>
  <c r="O5202" i="10"/>
  <c r="O5203" i="10"/>
  <c r="O5204" i="10"/>
  <c r="O5205" i="10"/>
  <c r="O5206" i="10"/>
  <c r="O5207" i="10"/>
  <c r="O5208" i="10"/>
  <c r="O5209" i="10"/>
  <c r="O5210" i="10"/>
  <c r="O5211" i="10"/>
  <c r="O5212" i="10"/>
  <c r="O5213" i="10"/>
  <c r="O5214" i="10"/>
  <c r="O5215" i="10"/>
  <c r="O5216" i="10"/>
  <c r="O5217" i="10"/>
  <c r="O5218" i="10"/>
  <c r="O5219" i="10"/>
  <c r="O5220" i="10"/>
  <c r="O5221" i="10"/>
  <c r="O5222" i="10"/>
  <c r="O5223" i="10"/>
  <c r="O5224" i="10"/>
  <c r="O5225" i="10"/>
  <c r="O5226" i="10"/>
  <c r="O5227" i="10"/>
  <c r="O5228" i="10"/>
  <c r="O5229" i="10"/>
  <c r="O5230" i="10"/>
  <c r="O5231" i="10"/>
  <c r="O5232" i="10"/>
  <c r="O5233" i="10"/>
  <c r="O5234" i="10"/>
  <c r="O5235" i="10"/>
  <c r="O5236" i="10"/>
  <c r="O5237" i="10"/>
  <c r="O5238" i="10"/>
  <c r="O5239" i="10"/>
  <c r="O5240" i="10"/>
  <c r="O5241" i="10"/>
  <c r="O5242" i="10"/>
  <c r="O5243" i="10"/>
  <c r="O5244" i="10"/>
  <c r="O5245" i="10"/>
  <c r="O5246" i="10"/>
  <c r="O5247" i="10"/>
  <c r="O5248" i="10"/>
  <c r="O5249" i="10"/>
  <c r="O5250" i="10"/>
  <c r="O5251" i="10"/>
  <c r="O5252" i="10"/>
  <c r="O5253" i="10"/>
  <c r="O5254" i="10"/>
  <c r="O5255" i="10"/>
  <c r="O5256" i="10"/>
  <c r="O5257" i="10"/>
  <c r="O5258" i="10"/>
  <c r="O5259" i="10"/>
  <c r="O5260" i="10"/>
  <c r="O5261" i="10"/>
  <c r="O5262" i="10"/>
  <c r="O5263" i="10"/>
  <c r="O5264" i="10"/>
  <c r="O5265" i="10"/>
  <c r="O5266" i="10"/>
  <c r="O5267" i="10"/>
  <c r="O5268" i="10"/>
  <c r="O5269" i="10"/>
  <c r="O5270" i="10"/>
  <c r="O5271" i="10"/>
  <c r="O5272" i="10"/>
  <c r="O5273" i="10"/>
  <c r="O5274" i="10"/>
  <c r="O5275" i="10"/>
  <c r="O5276" i="10"/>
  <c r="O5277" i="10"/>
  <c r="O5278" i="10"/>
  <c r="O5279" i="10"/>
  <c r="O5280" i="10"/>
  <c r="O5281" i="10"/>
  <c r="O5282" i="10"/>
  <c r="O5283" i="10"/>
  <c r="O5284" i="10"/>
  <c r="O5285" i="10"/>
  <c r="O5286" i="10"/>
  <c r="O5287" i="10"/>
  <c r="O5288" i="10"/>
  <c r="O5289" i="10"/>
  <c r="O5290" i="10"/>
  <c r="O5291" i="10"/>
  <c r="O5292" i="10"/>
  <c r="O5293" i="10"/>
  <c r="O5294" i="10"/>
  <c r="O5295" i="10"/>
  <c r="O5296" i="10"/>
  <c r="O5297" i="10"/>
  <c r="O5298" i="10"/>
  <c r="O5299" i="10"/>
  <c r="O5300" i="10"/>
  <c r="O5301" i="10"/>
  <c r="O5302" i="10"/>
  <c r="O5303" i="10"/>
  <c r="O5304" i="10"/>
  <c r="O5305" i="10"/>
  <c r="O5306" i="10"/>
  <c r="O5307" i="10"/>
  <c r="O5308" i="10"/>
  <c r="O5309" i="10"/>
  <c r="O5310" i="10"/>
  <c r="O5311" i="10"/>
  <c r="O5312" i="10"/>
  <c r="O5313" i="10"/>
  <c r="O5314" i="10"/>
  <c r="O5315" i="10"/>
  <c r="O5316" i="10"/>
  <c r="O5317" i="10"/>
  <c r="O5318" i="10"/>
  <c r="O5319" i="10"/>
  <c r="O5320" i="10"/>
  <c r="O5321" i="10"/>
  <c r="O5322" i="10"/>
  <c r="O5323" i="10"/>
  <c r="O5324" i="10"/>
  <c r="O5325" i="10"/>
  <c r="O5326" i="10"/>
  <c r="O5327" i="10"/>
  <c r="O5328" i="10"/>
  <c r="O5329" i="10"/>
  <c r="O5330" i="10"/>
  <c r="O5331" i="10"/>
  <c r="O5332" i="10"/>
  <c r="O5333" i="10"/>
  <c r="O5334" i="10"/>
  <c r="O5335" i="10"/>
  <c r="O5336" i="10"/>
  <c r="O5337" i="10"/>
  <c r="O5338" i="10"/>
  <c r="O5339" i="10"/>
  <c r="O5340" i="10"/>
  <c r="O5341" i="10"/>
  <c r="O5342" i="10"/>
  <c r="O5343" i="10"/>
  <c r="O5344" i="10"/>
  <c r="O5345" i="10"/>
  <c r="O5346" i="10"/>
  <c r="O5347" i="10"/>
  <c r="O5348" i="10"/>
  <c r="O5349" i="10"/>
  <c r="O5350" i="10"/>
  <c r="O5351" i="10"/>
  <c r="O5352" i="10"/>
  <c r="O5353" i="10"/>
  <c r="O5354" i="10"/>
  <c r="O5355" i="10"/>
  <c r="O5356" i="10"/>
  <c r="O5357" i="10"/>
  <c r="O5358" i="10"/>
  <c r="O5359" i="10"/>
  <c r="O5360" i="10"/>
  <c r="O5361" i="10"/>
  <c r="O5362" i="10"/>
  <c r="O5363" i="10"/>
  <c r="O5364" i="10"/>
  <c r="O5365" i="10"/>
  <c r="O5366" i="10"/>
  <c r="O5367" i="10"/>
  <c r="O5368" i="10"/>
  <c r="O5369" i="10"/>
  <c r="O5370" i="10"/>
  <c r="O5371" i="10"/>
  <c r="O5372" i="10"/>
  <c r="O5373" i="10"/>
  <c r="O5374" i="10"/>
  <c r="O5375" i="10"/>
  <c r="O5376" i="10"/>
  <c r="O5377" i="10"/>
  <c r="O5378" i="10"/>
  <c r="O5379" i="10"/>
  <c r="O5380" i="10"/>
  <c r="O5381" i="10"/>
  <c r="O5382" i="10"/>
  <c r="O5383" i="10"/>
  <c r="O5384" i="10"/>
  <c r="O5385" i="10"/>
  <c r="O5386" i="10"/>
  <c r="O5387" i="10"/>
  <c r="O5388" i="10"/>
  <c r="O5389" i="10"/>
  <c r="O5390" i="10"/>
  <c r="O5391" i="10"/>
  <c r="O5392" i="10"/>
  <c r="O5393" i="10"/>
  <c r="O5394" i="10"/>
  <c r="O5395" i="10"/>
  <c r="O5396" i="10"/>
  <c r="O5397" i="10"/>
  <c r="O5398" i="10"/>
  <c r="O5399" i="10"/>
  <c r="O5400" i="10"/>
  <c r="O5401" i="10"/>
  <c r="O5402" i="10"/>
  <c r="O5403" i="10"/>
  <c r="O5404" i="10"/>
  <c r="O5405" i="10"/>
  <c r="O5406" i="10"/>
  <c r="O5407" i="10"/>
  <c r="O5408" i="10"/>
  <c r="O5409" i="10"/>
  <c r="O5410" i="10"/>
  <c r="O5411" i="10"/>
  <c r="O5412" i="10"/>
  <c r="O5413" i="10"/>
  <c r="O5414" i="10"/>
  <c r="O5415" i="10"/>
  <c r="O5416" i="10"/>
  <c r="O5417" i="10"/>
  <c r="O5418" i="10"/>
  <c r="O5419" i="10"/>
  <c r="O5420" i="10"/>
  <c r="O5421" i="10"/>
  <c r="O5422" i="10"/>
  <c r="O5423" i="10"/>
  <c r="O5424" i="10"/>
  <c r="O5425" i="10"/>
  <c r="O5426" i="10"/>
  <c r="O5427" i="10"/>
  <c r="O5428" i="10"/>
  <c r="O5429" i="10"/>
  <c r="O5430" i="10"/>
  <c r="O5431" i="10"/>
  <c r="O5432" i="10"/>
  <c r="O5433" i="10"/>
  <c r="O5434" i="10"/>
  <c r="O5435" i="10"/>
  <c r="O5436" i="10"/>
  <c r="O5437" i="10"/>
  <c r="O5438" i="10"/>
  <c r="O5439" i="10"/>
  <c r="O5440" i="10"/>
  <c r="O5441" i="10"/>
  <c r="O5442" i="10"/>
  <c r="O5443" i="10"/>
  <c r="O5444" i="10"/>
  <c r="O5445" i="10"/>
  <c r="O5446" i="10"/>
  <c r="O5447" i="10"/>
  <c r="O5448" i="10"/>
  <c r="O5449" i="10"/>
  <c r="O5450" i="10"/>
  <c r="O5451" i="10"/>
  <c r="O5452" i="10"/>
  <c r="O5453" i="10"/>
  <c r="O5454" i="10"/>
  <c r="O5455" i="10"/>
  <c r="O5456" i="10"/>
  <c r="O5457" i="10"/>
  <c r="O5458" i="10"/>
  <c r="O5459" i="10"/>
  <c r="O5460" i="10"/>
  <c r="O5461" i="10"/>
  <c r="O5462" i="10"/>
  <c r="O5463" i="10"/>
  <c r="O5464" i="10"/>
  <c r="O5465" i="10"/>
  <c r="O5466" i="10"/>
  <c r="O5467" i="10"/>
  <c r="O5468" i="10"/>
  <c r="O5469" i="10"/>
  <c r="O5470" i="10"/>
  <c r="O5471" i="10"/>
  <c r="O5472" i="10"/>
  <c r="O5473" i="10"/>
  <c r="O5474" i="10"/>
  <c r="O5475" i="10"/>
  <c r="O5476" i="10"/>
  <c r="O5477" i="10"/>
  <c r="O5478" i="10"/>
  <c r="O5479" i="10"/>
  <c r="O5480" i="10"/>
  <c r="O5481" i="10"/>
  <c r="O5482" i="10"/>
  <c r="O5483" i="10"/>
  <c r="O5484" i="10"/>
  <c r="O5485" i="10"/>
  <c r="O5486" i="10"/>
  <c r="O5487" i="10"/>
  <c r="O5488" i="10"/>
  <c r="O5489" i="10"/>
  <c r="O5490" i="10"/>
  <c r="O5491" i="10"/>
  <c r="O5492" i="10"/>
  <c r="O5493" i="10"/>
  <c r="O5494" i="10"/>
  <c r="O5495" i="10"/>
  <c r="O5496" i="10"/>
  <c r="O5497" i="10"/>
  <c r="O5498" i="10"/>
  <c r="O5499" i="10"/>
  <c r="O5500" i="10"/>
  <c r="O5501" i="10"/>
  <c r="O5502" i="10"/>
  <c r="O5503" i="10"/>
  <c r="O5504" i="10"/>
  <c r="O5505" i="10"/>
  <c r="O5506" i="10"/>
  <c r="O5507" i="10"/>
  <c r="O5508" i="10"/>
  <c r="O5509" i="10"/>
  <c r="O5510" i="10"/>
  <c r="O5511" i="10"/>
  <c r="O5512" i="10"/>
  <c r="O5513" i="10"/>
  <c r="O5514" i="10"/>
  <c r="O5515" i="10"/>
  <c r="O5516" i="10"/>
  <c r="O5517" i="10"/>
  <c r="O5518" i="10"/>
  <c r="O5519" i="10"/>
  <c r="O5520" i="10"/>
  <c r="O5521" i="10"/>
  <c r="O5522" i="10"/>
  <c r="O5523" i="10"/>
  <c r="O5524" i="10"/>
  <c r="O5525" i="10"/>
  <c r="O5526" i="10"/>
  <c r="O5527" i="10"/>
  <c r="O5528" i="10"/>
  <c r="O5529" i="10"/>
  <c r="O5530" i="10"/>
  <c r="O5531" i="10"/>
  <c r="O5532" i="10"/>
  <c r="O5533" i="10"/>
  <c r="O5534" i="10"/>
  <c r="O5535" i="10"/>
  <c r="O5536" i="10"/>
  <c r="O5537" i="10"/>
  <c r="O5538" i="10"/>
  <c r="O5539" i="10"/>
  <c r="O5540" i="10"/>
  <c r="O5541" i="10"/>
  <c r="O5542" i="10"/>
  <c r="O5543" i="10"/>
  <c r="O5544" i="10"/>
  <c r="O5545" i="10"/>
  <c r="O5546" i="10"/>
  <c r="O5547" i="10"/>
  <c r="O5548" i="10"/>
  <c r="O5549" i="10"/>
  <c r="O5550" i="10"/>
  <c r="O5551" i="10"/>
  <c r="O5552" i="10"/>
  <c r="O5553" i="10"/>
  <c r="O5554" i="10"/>
  <c r="O5555" i="10"/>
  <c r="O5556" i="10"/>
  <c r="O5557" i="10"/>
  <c r="O5558" i="10"/>
  <c r="O5559" i="10"/>
  <c r="O5560" i="10"/>
  <c r="O5561" i="10"/>
  <c r="O5562" i="10"/>
  <c r="O5563" i="10"/>
  <c r="O5564" i="10"/>
  <c r="O5565" i="10"/>
  <c r="O5566" i="10"/>
  <c r="O5567" i="10"/>
  <c r="O5568" i="10"/>
  <c r="O5569" i="10"/>
  <c r="O5570" i="10"/>
  <c r="O5571" i="10"/>
  <c r="O5572" i="10"/>
  <c r="O5573" i="10"/>
  <c r="O5574" i="10"/>
  <c r="O5575" i="10"/>
  <c r="O5576" i="10"/>
  <c r="O5577" i="10"/>
  <c r="O5578" i="10"/>
  <c r="O5579" i="10"/>
  <c r="O5580" i="10"/>
  <c r="O5581" i="10"/>
  <c r="O5582" i="10"/>
  <c r="O5583" i="10"/>
  <c r="O5584" i="10"/>
  <c r="O5585" i="10"/>
  <c r="O5586" i="10"/>
  <c r="O5587" i="10"/>
  <c r="O5588" i="10"/>
  <c r="O5589" i="10"/>
  <c r="O5590" i="10"/>
  <c r="O5591" i="10"/>
  <c r="O5592" i="10"/>
  <c r="O5593" i="10"/>
  <c r="O5594" i="10"/>
  <c r="O5595" i="10"/>
  <c r="O5596" i="10"/>
  <c r="O5597" i="10"/>
  <c r="O5598" i="10"/>
  <c r="O5599" i="10"/>
  <c r="O5600" i="10"/>
  <c r="O5601" i="10"/>
  <c r="O5602" i="10"/>
  <c r="O5603" i="10"/>
  <c r="O5604" i="10"/>
  <c r="O5605" i="10"/>
  <c r="O5606" i="10"/>
  <c r="O5607" i="10"/>
  <c r="O5608" i="10"/>
  <c r="O5609" i="10"/>
  <c r="O5610" i="10"/>
  <c r="O5611" i="10"/>
  <c r="O5612" i="10"/>
  <c r="O5613" i="10"/>
  <c r="O5614" i="10"/>
  <c r="O5615" i="10"/>
  <c r="O5616" i="10"/>
  <c r="O5617" i="10"/>
  <c r="O5618" i="10"/>
  <c r="O5619" i="10"/>
  <c r="O5620" i="10"/>
  <c r="O5621" i="10"/>
  <c r="O5622" i="10"/>
  <c r="O5623" i="10"/>
  <c r="O5624" i="10"/>
  <c r="O5625" i="10"/>
  <c r="O5626" i="10"/>
  <c r="O5627" i="10"/>
  <c r="O5628" i="10"/>
  <c r="O5629" i="10"/>
  <c r="O5630" i="10"/>
  <c r="O5631" i="10"/>
  <c r="O5632" i="10"/>
  <c r="O5633" i="10"/>
  <c r="O5634" i="10"/>
  <c r="O5635" i="10"/>
  <c r="O5636" i="10"/>
  <c r="O5637" i="10"/>
  <c r="O5638" i="10"/>
  <c r="O5639" i="10"/>
  <c r="O5640" i="10"/>
  <c r="O5641" i="10"/>
  <c r="O5642" i="10"/>
  <c r="O5643" i="10"/>
  <c r="O5644" i="10"/>
  <c r="O5645" i="10"/>
  <c r="O5646" i="10"/>
  <c r="O5647" i="10"/>
  <c r="O5648" i="10"/>
  <c r="O5649" i="10"/>
  <c r="O5650" i="10"/>
  <c r="O5651" i="10"/>
  <c r="O5652" i="10"/>
  <c r="O5653" i="10"/>
  <c r="O5654" i="10"/>
  <c r="O5655" i="10"/>
  <c r="O5656" i="10"/>
  <c r="O5657" i="10"/>
  <c r="O5658" i="10"/>
  <c r="O5659" i="10"/>
  <c r="O5660" i="10"/>
  <c r="O5661" i="10"/>
  <c r="O5662" i="10"/>
  <c r="O5663" i="10"/>
  <c r="O5664" i="10"/>
  <c r="O5665" i="10"/>
  <c r="O5666" i="10"/>
  <c r="O5667" i="10"/>
  <c r="O5668" i="10"/>
  <c r="O5669" i="10"/>
  <c r="O5670" i="10"/>
  <c r="O5671" i="10"/>
  <c r="O5672" i="10"/>
  <c r="O5673" i="10"/>
  <c r="O5674" i="10"/>
  <c r="O5675" i="10"/>
  <c r="O5676" i="10"/>
  <c r="O5677" i="10"/>
  <c r="O5678" i="10"/>
  <c r="O5679" i="10"/>
  <c r="O5680" i="10"/>
  <c r="O5681" i="10"/>
  <c r="O5682" i="10"/>
  <c r="O5683" i="10"/>
  <c r="O5684" i="10"/>
  <c r="O5685" i="10"/>
  <c r="O5686" i="10"/>
  <c r="O5687" i="10"/>
  <c r="O5688" i="10"/>
  <c r="O5689" i="10"/>
  <c r="O5690" i="10"/>
  <c r="O5691" i="10"/>
  <c r="O5692" i="10"/>
  <c r="O5693" i="10"/>
  <c r="O5694" i="10"/>
  <c r="O5695" i="10"/>
  <c r="O5696" i="10"/>
  <c r="O5697" i="10"/>
  <c r="O5698" i="10"/>
  <c r="O5699" i="10"/>
  <c r="O5700" i="10"/>
  <c r="O5701" i="10"/>
  <c r="O5702" i="10"/>
  <c r="O5703" i="10"/>
  <c r="O5704" i="10"/>
  <c r="O5705" i="10"/>
  <c r="O5706" i="10"/>
  <c r="O5707" i="10"/>
  <c r="O5708" i="10"/>
  <c r="O5709" i="10"/>
  <c r="O5710" i="10"/>
  <c r="O5711" i="10"/>
  <c r="O5712" i="10"/>
  <c r="O5713" i="10"/>
  <c r="O5714" i="10"/>
  <c r="O5715" i="10"/>
  <c r="O5716" i="10"/>
  <c r="O5717" i="10"/>
  <c r="O5718" i="10"/>
  <c r="O5719" i="10"/>
  <c r="O5720" i="10"/>
  <c r="O5721" i="10"/>
  <c r="O5722" i="10"/>
  <c r="O5723" i="10"/>
  <c r="O5724" i="10"/>
  <c r="O5725" i="10"/>
  <c r="O5726" i="10"/>
  <c r="O5727" i="10"/>
  <c r="O5728" i="10"/>
  <c r="O5729" i="10"/>
  <c r="O5730" i="10"/>
  <c r="O5731" i="10"/>
  <c r="O5732" i="10"/>
  <c r="O5733" i="10"/>
  <c r="O5734" i="10"/>
  <c r="O5735" i="10"/>
  <c r="O5736" i="10"/>
  <c r="O5737" i="10"/>
  <c r="O5738" i="10"/>
  <c r="O5739" i="10"/>
  <c r="O5740" i="10"/>
  <c r="O5741" i="10"/>
  <c r="O5742" i="10"/>
  <c r="O5743" i="10"/>
  <c r="O5744" i="10"/>
  <c r="O5745" i="10"/>
  <c r="O5746" i="10"/>
  <c r="O5747" i="10"/>
  <c r="O5748" i="10"/>
  <c r="O5749" i="10"/>
  <c r="O5750" i="10"/>
  <c r="O5751" i="10"/>
  <c r="O5752" i="10"/>
  <c r="O5753" i="10"/>
  <c r="O5754" i="10"/>
  <c r="O5755" i="10"/>
  <c r="O5756" i="10"/>
  <c r="O5757" i="10"/>
  <c r="O5758" i="10"/>
  <c r="O5759" i="10"/>
  <c r="O5760" i="10"/>
  <c r="O5761" i="10"/>
  <c r="O5762" i="10"/>
  <c r="O5763" i="10"/>
  <c r="O5764" i="10"/>
  <c r="O5765" i="10"/>
  <c r="O5766" i="10"/>
  <c r="O5767" i="10"/>
  <c r="O5768" i="10"/>
  <c r="O5769" i="10"/>
  <c r="O5770" i="10"/>
  <c r="O5771" i="10"/>
  <c r="O5772" i="10"/>
  <c r="O5773" i="10"/>
  <c r="O5774" i="10"/>
  <c r="O5775" i="10"/>
  <c r="O5776" i="10"/>
  <c r="O5777" i="10"/>
  <c r="O5778" i="10"/>
  <c r="O5779" i="10"/>
  <c r="O5780" i="10"/>
  <c r="O5781" i="10"/>
  <c r="O5782" i="10"/>
  <c r="O5783" i="10"/>
  <c r="O5784" i="10"/>
  <c r="O5785" i="10"/>
  <c r="O5786" i="10"/>
  <c r="O5787" i="10"/>
  <c r="O5788" i="10"/>
  <c r="O5789" i="10"/>
  <c r="O5790" i="10"/>
  <c r="O5791" i="10"/>
  <c r="O5792" i="10"/>
  <c r="O5793" i="10"/>
  <c r="O5794" i="10"/>
  <c r="O5795" i="10"/>
  <c r="O5796" i="10"/>
  <c r="O5797" i="10"/>
  <c r="O5798" i="10"/>
  <c r="O5799" i="10"/>
  <c r="O5800" i="10"/>
  <c r="O5801" i="10"/>
  <c r="O5802" i="10"/>
  <c r="O5803" i="10"/>
  <c r="O5804" i="10"/>
  <c r="O5805" i="10"/>
  <c r="O5806" i="10"/>
  <c r="O5807" i="10"/>
  <c r="O5808" i="10"/>
  <c r="O5809" i="10"/>
  <c r="O5810" i="10"/>
  <c r="O5811" i="10"/>
  <c r="O5812" i="10"/>
  <c r="O5813" i="10"/>
  <c r="O5814" i="10"/>
  <c r="O5815" i="10"/>
  <c r="O5816" i="10"/>
  <c r="O5817" i="10"/>
  <c r="O5818" i="10"/>
  <c r="O5819" i="10"/>
  <c r="O5820" i="10"/>
  <c r="O5821" i="10"/>
  <c r="O5822" i="10"/>
  <c r="O5823" i="10"/>
  <c r="O5824" i="10"/>
  <c r="O5825" i="10"/>
  <c r="O5826" i="10"/>
  <c r="O5827" i="10"/>
  <c r="O5828" i="10"/>
  <c r="O5829" i="10"/>
  <c r="O5830" i="10"/>
  <c r="O5831" i="10"/>
  <c r="O5832" i="10"/>
  <c r="O5833" i="10"/>
  <c r="O5834" i="10"/>
  <c r="O5835" i="10"/>
  <c r="O5836" i="10"/>
  <c r="O5837" i="10"/>
  <c r="O5838" i="10"/>
  <c r="O5839" i="10"/>
  <c r="O5840" i="10"/>
  <c r="O5841" i="10"/>
  <c r="O5842" i="10"/>
  <c r="O5843" i="10"/>
  <c r="O5844" i="10"/>
  <c r="O5845" i="10"/>
  <c r="O5846" i="10"/>
  <c r="O5847" i="10"/>
  <c r="O5848" i="10"/>
  <c r="O5849" i="10"/>
  <c r="O5850" i="10"/>
  <c r="O5851" i="10"/>
  <c r="O5852" i="10"/>
  <c r="O5853" i="10"/>
  <c r="O5854" i="10"/>
  <c r="O5855" i="10"/>
  <c r="O5856" i="10"/>
  <c r="O5857" i="10"/>
  <c r="O5858" i="10"/>
  <c r="O5859" i="10"/>
  <c r="O5860" i="10"/>
  <c r="O5861" i="10"/>
  <c r="O5862" i="10"/>
  <c r="O5863" i="10"/>
  <c r="O5864" i="10"/>
  <c r="O5865" i="10"/>
  <c r="O5866" i="10"/>
  <c r="O5867" i="10"/>
  <c r="O5868" i="10"/>
  <c r="O5869" i="10"/>
  <c r="O5870" i="10"/>
  <c r="O5871" i="10"/>
  <c r="O5872" i="10"/>
  <c r="O5873" i="10"/>
  <c r="O5874" i="10"/>
  <c r="O5875" i="10"/>
  <c r="O5876" i="10"/>
  <c r="O5877" i="10"/>
  <c r="O5878" i="10"/>
  <c r="O5879" i="10"/>
  <c r="O5880" i="10"/>
  <c r="O5881" i="10"/>
  <c r="O5882" i="10"/>
  <c r="O5883" i="10"/>
  <c r="O5884" i="10"/>
  <c r="O5885" i="10"/>
  <c r="O5886" i="10"/>
  <c r="O5887" i="10"/>
  <c r="O5888" i="10"/>
  <c r="O5889" i="10"/>
  <c r="O5890" i="10"/>
  <c r="O5891" i="10"/>
  <c r="O5892" i="10"/>
  <c r="O5893" i="10"/>
  <c r="O5894" i="10"/>
  <c r="O5895" i="10"/>
  <c r="O5896" i="10"/>
  <c r="O5897" i="10"/>
  <c r="O5898" i="10"/>
  <c r="O5899" i="10"/>
  <c r="O5900" i="10"/>
  <c r="O5901" i="10"/>
  <c r="O5902" i="10"/>
  <c r="O5903" i="10"/>
  <c r="O5904" i="10"/>
  <c r="O5905" i="10"/>
  <c r="O5906" i="10"/>
  <c r="O5907" i="10"/>
  <c r="O5908" i="10"/>
  <c r="O5909" i="10"/>
  <c r="O5910" i="10"/>
  <c r="O5911" i="10"/>
  <c r="O5912" i="10"/>
  <c r="O5913" i="10"/>
  <c r="O5914" i="10"/>
  <c r="O5915" i="10"/>
  <c r="O5916" i="10"/>
  <c r="O5917" i="10"/>
  <c r="O5918" i="10"/>
  <c r="O5919" i="10"/>
  <c r="O5920" i="10"/>
  <c r="O5921" i="10"/>
  <c r="O5922" i="10"/>
  <c r="O5923" i="10"/>
  <c r="O5924" i="10"/>
  <c r="O5925" i="10"/>
  <c r="O5926" i="10"/>
  <c r="O5927" i="10"/>
  <c r="O5928" i="10"/>
  <c r="O5929" i="10"/>
  <c r="O5930" i="10"/>
  <c r="O5931" i="10"/>
  <c r="O5932" i="10"/>
  <c r="O5933" i="10"/>
  <c r="O5934" i="10"/>
  <c r="O5935" i="10"/>
  <c r="O5936" i="10"/>
  <c r="O5937" i="10"/>
  <c r="O5938" i="10"/>
  <c r="O5939" i="10"/>
  <c r="O5940" i="10"/>
  <c r="O5941" i="10"/>
  <c r="O5942" i="10"/>
  <c r="O5943" i="10"/>
  <c r="O5944" i="10"/>
  <c r="O5945" i="10"/>
  <c r="O5946" i="10"/>
  <c r="O5947" i="10"/>
  <c r="O5948" i="10"/>
  <c r="O5949" i="10"/>
  <c r="O5950" i="10"/>
  <c r="O5951" i="10"/>
  <c r="O5952" i="10"/>
  <c r="O5953" i="10"/>
  <c r="O5954" i="10"/>
  <c r="O5955" i="10"/>
  <c r="O5956" i="10"/>
  <c r="O5957" i="10"/>
  <c r="O5958" i="10"/>
  <c r="O5959" i="10"/>
  <c r="O5960" i="10"/>
  <c r="O5961" i="10"/>
  <c r="O5962" i="10"/>
  <c r="O5963" i="10"/>
  <c r="O5964" i="10"/>
  <c r="O5965" i="10"/>
  <c r="O5966" i="10"/>
  <c r="O5967" i="10"/>
  <c r="O5968" i="10"/>
  <c r="O5969" i="10"/>
  <c r="O5970" i="10"/>
  <c r="O5971" i="10"/>
  <c r="O5972" i="10"/>
  <c r="O5973" i="10"/>
  <c r="O5974" i="10"/>
  <c r="O5975" i="10"/>
  <c r="O5976" i="10"/>
  <c r="O5977" i="10"/>
  <c r="O5978" i="10"/>
  <c r="O5979" i="10"/>
  <c r="O5980" i="10"/>
  <c r="O5981" i="10"/>
  <c r="O5982" i="10"/>
  <c r="O5983" i="10"/>
  <c r="O5984" i="10"/>
  <c r="O5985" i="10"/>
  <c r="O5986" i="10"/>
  <c r="O5987" i="10"/>
  <c r="O5988" i="10"/>
  <c r="O5989" i="10"/>
  <c r="O5990" i="10"/>
  <c r="O5991" i="10"/>
  <c r="O5992" i="10"/>
  <c r="O5993" i="10"/>
  <c r="O5994" i="10"/>
  <c r="O5995" i="10"/>
  <c r="O5996" i="10"/>
  <c r="O5997" i="10"/>
  <c r="O5998" i="10"/>
  <c r="O5999" i="10"/>
  <c r="O6000" i="10"/>
  <c r="O6001" i="10"/>
  <c r="O6002" i="10"/>
  <c r="O6003" i="10"/>
  <c r="O6004" i="10"/>
  <c r="O6005" i="10"/>
  <c r="O6006" i="10"/>
  <c r="O6007" i="10"/>
  <c r="O6008" i="10"/>
  <c r="O6009" i="10"/>
  <c r="O6010" i="10"/>
  <c r="O6011" i="10"/>
  <c r="O6012" i="10"/>
  <c r="O6013" i="10"/>
  <c r="O6014" i="10"/>
  <c r="O6015" i="10"/>
  <c r="O6016" i="10"/>
  <c r="O6017" i="10"/>
  <c r="O6018" i="10"/>
  <c r="O6019" i="10"/>
  <c r="O6020" i="10"/>
  <c r="O6021" i="10"/>
  <c r="O6022" i="10"/>
  <c r="O6023" i="10"/>
  <c r="O6024" i="10"/>
  <c r="O6025" i="10"/>
  <c r="O6026" i="10"/>
  <c r="O6027" i="10"/>
  <c r="O6028" i="10"/>
  <c r="O6029" i="10"/>
  <c r="O6030" i="10"/>
  <c r="O6031" i="10"/>
  <c r="O6032" i="10"/>
  <c r="O6033" i="10"/>
  <c r="O6034" i="10"/>
  <c r="O6035" i="10"/>
  <c r="O6036" i="10"/>
  <c r="O6037" i="10"/>
  <c r="O6038" i="10"/>
  <c r="O6039" i="10"/>
  <c r="O6040" i="10"/>
  <c r="O6041" i="10"/>
  <c r="O6042" i="10"/>
  <c r="O6043" i="10"/>
  <c r="O6044" i="10"/>
  <c r="O6045" i="10"/>
  <c r="O6046" i="10"/>
  <c r="O6047" i="10"/>
  <c r="O6048" i="10"/>
  <c r="O6049" i="10"/>
  <c r="O6050" i="10"/>
  <c r="O6051" i="10"/>
  <c r="O6052" i="10"/>
  <c r="O6053" i="10"/>
  <c r="O6054" i="10"/>
  <c r="O6055" i="10"/>
  <c r="O6056" i="10"/>
  <c r="O6057" i="10"/>
  <c r="O6058" i="10"/>
  <c r="O6059" i="10"/>
  <c r="O6060" i="10"/>
  <c r="O6061" i="10"/>
  <c r="O6062" i="10"/>
  <c r="O6063" i="10"/>
  <c r="O6064" i="10"/>
  <c r="O6065" i="10"/>
  <c r="O6066" i="10"/>
  <c r="O6067" i="10"/>
  <c r="O6068" i="10"/>
  <c r="O6069" i="10"/>
  <c r="O6070" i="10"/>
  <c r="O6071" i="10"/>
  <c r="O6072" i="10"/>
  <c r="O6073" i="10"/>
  <c r="O6074" i="10"/>
  <c r="O6075" i="10"/>
  <c r="O6076" i="10"/>
  <c r="O6077" i="10"/>
  <c r="O6078" i="10"/>
  <c r="O6079" i="10"/>
  <c r="O6080" i="10"/>
  <c r="O6081" i="10"/>
  <c r="O6082" i="10"/>
  <c r="O6083" i="10"/>
  <c r="O6084" i="10"/>
  <c r="O6085" i="10"/>
  <c r="O6086" i="10"/>
  <c r="O6087" i="10"/>
  <c r="O6088" i="10"/>
  <c r="O6089" i="10"/>
  <c r="O6090" i="10"/>
  <c r="O6091" i="10"/>
  <c r="O6092" i="10"/>
  <c r="O6093" i="10"/>
  <c r="O6094" i="10"/>
  <c r="O6095" i="10"/>
  <c r="O6096" i="10"/>
  <c r="O6097" i="10"/>
  <c r="O6098" i="10"/>
  <c r="O6099" i="10"/>
  <c r="O6100" i="10"/>
  <c r="O6101" i="10"/>
  <c r="O6102" i="10"/>
  <c r="O6103" i="10"/>
  <c r="O6104" i="10"/>
  <c r="O6105" i="10"/>
  <c r="O6106" i="10"/>
  <c r="O6107" i="10"/>
  <c r="O6108" i="10"/>
  <c r="O6109" i="10"/>
  <c r="O6110" i="10"/>
  <c r="O6111" i="10"/>
  <c r="O6112" i="10"/>
  <c r="O6113" i="10"/>
  <c r="O6114" i="10"/>
  <c r="O6115" i="10"/>
  <c r="O6116" i="10"/>
  <c r="O6117" i="10"/>
  <c r="O6118" i="10"/>
  <c r="O6119" i="10"/>
  <c r="O6120" i="10"/>
  <c r="O6121" i="10"/>
  <c r="O6122" i="10"/>
  <c r="O6123" i="10"/>
  <c r="O6124" i="10"/>
  <c r="O6125" i="10"/>
  <c r="O6126" i="10"/>
  <c r="O6127" i="10"/>
  <c r="O6128" i="10"/>
  <c r="O6129" i="10"/>
  <c r="O6130" i="10"/>
  <c r="O6131" i="10"/>
  <c r="O6132" i="10"/>
  <c r="O6133" i="10"/>
  <c r="O6134" i="10"/>
  <c r="O6135" i="10"/>
  <c r="O6136" i="10"/>
  <c r="O6137" i="10"/>
  <c r="O6138" i="10"/>
  <c r="O6139" i="10"/>
  <c r="O6140" i="10"/>
  <c r="O6141" i="10"/>
  <c r="O6142" i="10"/>
  <c r="O6143" i="10"/>
  <c r="O6144" i="10"/>
  <c r="O6145" i="10"/>
  <c r="O6146" i="10"/>
  <c r="O6147" i="10"/>
  <c r="O6148" i="10"/>
  <c r="O6149" i="10"/>
  <c r="O6150" i="10"/>
  <c r="O6151" i="10"/>
  <c r="O6152" i="10"/>
  <c r="O6153" i="10"/>
  <c r="O6154" i="10"/>
  <c r="O6155" i="10"/>
  <c r="O6156" i="10"/>
  <c r="O6157" i="10"/>
  <c r="O6158" i="10"/>
  <c r="O6159" i="10"/>
  <c r="O6160" i="10"/>
  <c r="O6161" i="10"/>
  <c r="O6162" i="10"/>
  <c r="O6163" i="10"/>
  <c r="O6164" i="10"/>
  <c r="O6165" i="10"/>
  <c r="O6166" i="10"/>
  <c r="O6167" i="10"/>
  <c r="O6168" i="10"/>
  <c r="O6169" i="10"/>
  <c r="O6170" i="10"/>
  <c r="O6171" i="10"/>
  <c r="O6172" i="10"/>
  <c r="O6173" i="10"/>
  <c r="O6174" i="10"/>
  <c r="O6175" i="10"/>
  <c r="O6176" i="10"/>
  <c r="O6177" i="10"/>
  <c r="O6178" i="10"/>
  <c r="O6179" i="10"/>
  <c r="O6180" i="10"/>
  <c r="O6181" i="10"/>
  <c r="O6182" i="10"/>
  <c r="O6183" i="10"/>
  <c r="O6184" i="10"/>
  <c r="O6185" i="10"/>
  <c r="O6186" i="10"/>
  <c r="O6187" i="10"/>
  <c r="O6188" i="10"/>
  <c r="O6189" i="10"/>
  <c r="O6190" i="10"/>
  <c r="O6191" i="10"/>
  <c r="O6192" i="10"/>
  <c r="O6193" i="10"/>
  <c r="O6194" i="10"/>
  <c r="O6195" i="10"/>
  <c r="O6196" i="10"/>
  <c r="O6197" i="10"/>
  <c r="O6198" i="10"/>
  <c r="O6199" i="10"/>
  <c r="O6200" i="10"/>
  <c r="O6201" i="10"/>
  <c r="O6202" i="10"/>
  <c r="O6203" i="10"/>
  <c r="O6204" i="10"/>
  <c r="O6205" i="10"/>
  <c r="O6206" i="10"/>
  <c r="O6207" i="10"/>
  <c r="O6208" i="10"/>
  <c r="O6209" i="10"/>
  <c r="O6210" i="10"/>
  <c r="O6211" i="10"/>
  <c r="O6212" i="10"/>
  <c r="O6213" i="10"/>
  <c r="O6214" i="10"/>
  <c r="O6215" i="10"/>
  <c r="O6216" i="10"/>
  <c r="O6217" i="10"/>
  <c r="O6218" i="10"/>
  <c r="O6219" i="10"/>
  <c r="O6220" i="10"/>
  <c r="O6221" i="10"/>
  <c r="O6222" i="10"/>
  <c r="O6223" i="10"/>
  <c r="O6224" i="10"/>
  <c r="O6225" i="10"/>
  <c r="O6226" i="10"/>
  <c r="O6227" i="10"/>
  <c r="O6228" i="10"/>
  <c r="O6229" i="10"/>
  <c r="O6230" i="10"/>
  <c r="O6231" i="10"/>
  <c r="O6232" i="10"/>
  <c r="O6233" i="10"/>
  <c r="O6234" i="10"/>
  <c r="O6235" i="10"/>
  <c r="O6236" i="10"/>
  <c r="O6237" i="10"/>
  <c r="O6238" i="10"/>
  <c r="O6239" i="10"/>
  <c r="O6240" i="10"/>
  <c r="O6241" i="10"/>
  <c r="O6242" i="10"/>
  <c r="O6243" i="10"/>
  <c r="O6244" i="10"/>
  <c r="O6245" i="10"/>
  <c r="O6246" i="10"/>
  <c r="O6247" i="10"/>
  <c r="O6248" i="10"/>
  <c r="O6249" i="10"/>
  <c r="O6250" i="10"/>
  <c r="O6251" i="10"/>
  <c r="O6252" i="10"/>
  <c r="O6253" i="10"/>
  <c r="O6254" i="10"/>
  <c r="O6255" i="10"/>
  <c r="O6256" i="10"/>
  <c r="O6257" i="10"/>
  <c r="O6258" i="10"/>
  <c r="O6259" i="10"/>
  <c r="O6260" i="10"/>
  <c r="O6261" i="10"/>
  <c r="O6262" i="10"/>
  <c r="O6263" i="10"/>
  <c r="O6264" i="10"/>
  <c r="O6265" i="10"/>
  <c r="O6266" i="10"/>
  <c r="O6267" i="10"/>
  <c r="O6268" i="10"/>
  <c r="O6269" i="10"/>
  <c r="O6270" i="10"/>
  <c r="O6271" i="10"/>
  <c r="O6272" i="10"/>
  <c r="O6273" i="10"/>
  <c r="O6274" i="10"/>
  <c r="O6275" i="10"/>
  <c r="O6276" i="10"/>
  <c r="O6277" i="10"/>
  <c r="O6278" i="10"/>
  <c r="O6279" i="10"/>
  <c r="O6280" i="10"/>
  <c r="O6281" i="10"/>
  <c r="O6282" i="10"/>
  <c r="O6283" i="10"/>
  <c r="O6284" i="10"/>
  <c r="O6285" i="10"/>
  <c r="O6286" i="10"/>
  <c r="O6287" i="10"/>
  <c r="O6288" i="10"/>
  <c r="O6289" i="10"/>
  <c r="O6290" i="10"/>
  <c r="O6291" i="10"/>
  <c r="O6292" i="10"/>
  <c r="O6293" i="10"/>
  <c r="O6294" i="10"/>
  <c r="O6295" i="10"/>
  <c r="O6296" i="10"/>
  <c r="O6297" i="10"/>
  <c r="O6298" i="10"/>
  <c r="O6299" i="10"/>
  <c r="O6300" i="10"/>
  <c r="O6301" i="10"/>
  <c r="O6302" i="10"/>
  <c r="O6303" i="10"/>
  <c r="O6304" i="10"/>
  <c r="O6305" i="10"/>
  <c r="O6306" i="10"/>
  <c r="O6307" i="10"/>
  <c r="O6308" i="10"/>
  <c r="O6309" i="10"/>
  <c r="O6310" i="10"/>
  <c r="O6311" i="10"/>
  <c r="O6312" i="10"/>
  <c r="O6313" i="10"/>
  <c r="O6314" i="10"/>
  <c r="O6315" i="10"/>
  <c r="O6316" i="10"/>
  <c r="O6317" i="10"/>
  <c r="O6318" i="10"/>
  <c r="O6319" i="10"/>
  <c r="O6320" i="10"/>
  <c r="O6321" i="10"/>
  <c r="O6322" i="10"/>
  <c r="O6323" i="10"/>
  <c r="O6324" i="10"/>
  <c r="O6325" i="10"/>
  <c r="O6326" i="10"/>
  <c r="O6327" i="10"/>
  <c r="O6328" i="10"/>
  <c r="O6329" i="10"/>
  <c r="O6330" i="10"/>
  <c r="O6331" i="10"/>
  <c r="O6332" i="10"/>
  <c r="O6333" i="10"/>
  <c r="O6334" i="10"/>
  <c r="O6335" i="10"/>
  <c r="O6336" i="10"/>
  <c r="O6337" i="10"/>
  <c r="O6338" i="10"/>
  <c r="O6339" i="10"/>
  <c r="O6340" i="10"/>
  <c r="O6341" i="10"/>
  <c r="O6342" i="10"/>
  <c r="O6343" i="10"/>
  <c r="O6344" i="10"/>
  <c r="O6345" i="10"/>
  <c r="O6346" i="10"/>
  <c r="O6347" i="10"/>
  <c r="O6348" i="10"/>
  <c r="O6349" i="10"/>
  <c r="O6350" i="10"/>
  <c r="O6351" i="10"/>
  <c r="O6352" i="10"/>
  <c r="O6353" i="10"/>
  <c r="O6354" i="10"/>
  <c r="O6355" i="10"/>
  <c r="O6356" i="10"/>
  <c r="O6357" i="10"/>
  <c r="O6358" i="10"/>
  <c r="O6359" i="10"/>
  <c r="O6360" i="10"/>
  <c r="O6361" i="10"/>
  <c r="O6362" i="10"/>
  <c r="O6363" i="10"/>
  <c r="O6364" i="10"/>
  <c r="O6365" i="10"/>
  <c r="O6366" i="10"/>
  <c r="O6367" i="10"/>
  <c r="O6368" i="10"/>
  <c r="O6369" i="10"/>
  <c r="O6370" i="10"/>
  <c r="O6371" i="10"/>
  <c r="O6372" i="10"/>
  <c r="O6373" i="10"/>
  <c r="O6374" i="10"/>
  <c r="O6375" i="10"/>
  <c r="O6376" i="10"/>
  <c r="O6377" i="10"/>
  <c r="O6378" i="10"/>
  <c r="O6379" i="10"/>
  <c r="O6380" i="10"/>
  <c r="O6381" i="10"/>
  <c r="O6382" i="10"/>
  <c r="O6383" i="10"/>
  <c r="O6384" i="10"/>
  <c r="O6385" i="10"/>
  <c r="O6386" i="10"/>
  <c r="O6387" i="10"/>
  <c r="O6388" i="10"/>
  <c r="O6389" i="10"/>
  <c r="O6390" i="10"/>
  <c r="O6391" i="10"/>
  <c r="O6392" i="10"/>
  <c r="O6393" i="10"/>
  <c r="O6394" i="10"/>
  <c r="O6395" i="10"/>
  <c r="O6396" i="10"/>
  <c r="O6397" i="10"/>
  <c r="O6398" i="10"/>
  <c r="O6399" i="10"/>
  <c r="O6400" i="10"/>
  <c r="O6401" i="10"/>
  <c r="O6402" i="10"/>
  <c r="O6403" i="10"/>
  <c r="O6404" i="10"/>
  <c r="O6405" i="10"/>
  <c r="O6406" i="10"/>
  <c r="O6407" i="10"/>
  <c r="O6408" i="10"/>
  <c r="O6409" i="10"/>
  <c r="O6410" i="10"/>
  <c r="O6411" i="10"/>
  <c r="O6412" i="10"/>
  <c r="O6413" i="10"/>
  <c r="O6414" i="10"/>
  <c r="O6415" i="10"/>
  <c r="O6416" i="10"/>
  <c r="O6417" i="10"/>
  <c r="O6418" i="10"/>
  <c r="O6419" i="10"/>
  <c r="O6420" i="10"/>
  <c r="O6421" i="10"/>
  <c r="O6422" i="10"/>
  <c r="O6423" i="10"/>
  <c r="O6424" i="10"/>
  <c r="O6425" i="10"/>
  <c r="O6426" i="10"/>
  <c r="O6427" i="10"/>
  <c r="O6428" i="10"/>
  <c r="O6429" i="10"/>
  <c r="O6430" i="10"/>
  <c r="O6431" i="10"/>
  <c r="O6432" i="10"/>
  <c r="O6433" i="10"/>
  <c r="O6434" i="10"/>
  <c r="O6435" i="10"/>
  <c r="O6436" i="10"/>
  <c r="O6437" i="10"/>
  <c r="O6438" i="10"/>
  <c r="O6439" i="10"/>
  <c r="O6440" i="10"/>
  <c r="O6441" i="10"/>
  <c r="O6442" i="10"/>
  <c r="O6443" i="10"/>
  <c r="O6444" i="10"/>
  <c r="O6445" i="10"/>
  <c r="O6446" i="10"/>
  <c r="O6447" i="10"/>
  <c r="O6448" i="10"/>
  <c r="O6449" i="10"/>
  <c r="O6450" i="10"/>
  <c r="O6451" i="10"/>
  <c r="O6452" i="10"/>
  <c r="O6453" i="10"/>
  <c r="O6454" i="10"/>
  <c r="O6455" i="10"/>
  <c r="O6456" i="10"/>
  <c r="O6457" i="10"/>
  <c r="O6458" i="10"/>
  <c r="O6459" i="10"/>
  <c r="O6460" i="10"/>
  <c r="O6461" i="10"/>
  <c r="O6462" i="10"/>
  <c r="O6463" i="10"/>
  <c r="O6464" i="10"/>
  <c r="O6465" i="10"/>
  <c r="O6466" i="10"/>
  <c r="O6467" i="10"/>
  <c r="O6468" i="10"/>
  <c r="O6469" i="10"/>
  <c r="O6470" i="10"/>
  <c r="O6471" i="10"/>
  <c r="O6472" i="10"/>
  <c r="O6473" i="10"/>
  <c r="O6474" i="10"/>
  <c r="O6475" i="10"/>
  <c r="O6476" i="10"/>
  <c r="O6477" i="10"/>
  <c r="O6478" i="10"/>
  <c r="O6479" i="10"/>
  <c r="O6480" i="10"/>
  <c r="O6481" i="10"/>
  <c r="O6482" i="10"/>
  <c r="O6483" i="10"/>
  <c r="O6484" i="10"/>
  <c r="O6485" i="10"/>
  <c r="O6486" i="10"/>
  <c r="O6487" i="10"/>
  <c r="O6488" i="10"/>
  <c r="O6489" i="10"/>
  <c r="O6490" i="10"/>
  <c r="O6491" i="10"/>
  <c r="O6492" i="10"/>
  <c r="O6493" i="10"/>
  <c r="O6494" i="10"/>
  <c r="O6495" i="10"/>
  <c r="O6496" i="10"/>
  <c r="O6497" i="10"/>
  <c r="O6498" i="10"/>
  <c r="O6499" i="10"/>
  <c r="O6500" i="10"/>
  <c r="O6501" i="10"/>
  <c r="O6502" i="10"/>
  <c r="O6503" i="10"/>
  <c r="O6504" i="10"/>
  <c r="O6505" i="10"/>
  <c r="O6506" i="10"/>
  <c r="O6507" i="10"/>
  <c r="O6508" i="10"/>
  <c r="O6509" i="10"/>
  <c r="O6510" i="10"/>
  <c r="O6511" i="10"/>
  <c r="O6512" i="10"/>
  <c r="O6513" i="10"/>
  <c r="O6514" i="10"/>
  <c r="O6515" i="10"/>
  <c r="O6516" i="10"/>
  <c r="O6517" i="10"/>
  <c r="O6518" i="10"/>
  <c r="O6519" i="10"/>
  <c r="O6520" i="10"/>
  <c r="O6521" i="10"/>
  <c r="O6522" i="10"/>
  <c r="O6523" i="10"/>
  <c r="O6524" i="10"/>
  <c r="O6525" i="10"/>
  <c r="O6526" i="10"/>
  <c r="O6527" i="10"/>
  <c r="O6528" i="10"/>
  <c r="O6529" i="10"/>
  <c r="O6530" i="10"/>
  <c r="O6531" i="10"/>
  <c r="O6532" i="10"/>
  <c r="O6533" i="10"/>
  <c r="O6534" i="10"/>
  <c r="O6535" i="10"/>
  <c r="O6536" i="10"/>
  <c r="O6537" i="10"/>
  <c r="O6538" i="10"/>
  <c r="O6539" i="10"/>
  <c r="O6540" i="10"/>
  <c r="O6541" i="10"/>
  <c r="O6542" i="10"/>
  <c r="O6543" i="10"/>
  <c r="O6544" i="10"/>
  <c r="O6545" i="10"/>
  <c r="O6546" i="10"/>
  <c r="O6547" i="10"/>
  <c r="O6548" i="10"/>
  <c r="O6549" i="10"/>
  <c r="O6550" i="10"/>
  <c r="O6551" i="10"/>
  <c r="O6552" i="10"/>
  <c r="O6553" i="10"/>
  <c r="O6554" i="10"/>
  <c r="O6555" i="10"/>
  <c r="O6556" i="10"/>
  <c r="O6557" i="10"/>
  <c r="O6558" i="10"/>
  <c r="O6559" i="10"/>
  <c r="O6560" i="10"/>
  <c r="O6561" i="10"/>
  <c r="O6562" i="10"/>
  <c r="O6563" i="10"/>
  <c r="O6564" i="10"/>
  <c r="O6565" i="10"/>
  <c r="O6566" i="10"/>
  <c r="O6567" i="10"/>
  <c r="O6568" i="10"/>
  <c r="O6569" i="10"/>
  <c r="O6570" i="10"/>
  <c r="O6571" i="10"/>
  <c r="O6572" i="10"/>
  <c r="O6573" i="10"/>
  <c r="O6574" i="10"/>
  <c r="O6575" i="10"/>
  <c r="O6576" i="10"/>
  <c r="O6577" i="10"/>
  <c r="O6578" i="10"/>
  <c r="O6579" i="10"/>
  <c r="O6580" i="10"/>
  <c r="O6581" i="10"/>
  <c r="O6582" i="10"/>
  <c r="O6583" i="10"/>
  <c r="O6584" i="10"/>
  <c r="O6585" i="10"/>
  <c r="O6586" i="10"/>
  <c r="O6587" i="10"/>
  <c r="O6588" i="10"/>
  <c r="O6589" i="10"/>
  <c r="O6590" i="10"/>
  <c r="O6591" i="10"/>
  <c r="O6592" i="10"/>
  <c r="O6593" i="10"/>
  <c r="O6594" i="10"/>
  <c r="O6595" i="10"/>
  <c r="O6596" i="10"/>
  <c r="O6597" i="10"/>
  <c r="O6598" i="10"/>
  <c r="O6599" i="10"/>
  <c r="O6600" i="10"/>
  <c r="O6601" i="10"/>
  <c r="O6602" i="10"/>
  <c r="O6603" i="10"/>
  <c r="O6604" i="10"/>
  <c r="O6605" i="10"/>
  <c r="O6606" i="10"/>
  <c r="O6607" i="10"/>
  <c r="O6608" i="10"/>
  <c r="O6609" i="10"/>
  <c r="O6610" i="10"/>
  <c r="O6611" i="10"/>
  <c r="O6612" i="10"/>
  <c r="O6613" i="10"/>
  <c r="O6614" i="10"/>
  <c r="O6615" i="10"/>
  <c r="O6616" i="10"/>
  <c r="O6617" i="10"/>
  <c r="O6618" i="10"/>
  <c r="O6619" i="10"/>
  <c r="O6620" i="10"/>
  <c r="O6621" i="10"/>
  <c r="O6622" i="10"/>
  <c r="O6623" i="10"/>
  <c r="O6624" i="10"/>
  <c r="O6625" i="10"/>
  <c r="O6626" i="10"/>
  <c r="O6627" i="10"/>
  <c r="O6628" i="10"/>
  <c r="O6629" i="10"/>
  <c r="O6630" i="10"/>
  <c r="O6631" i="10"/>
  <c r="O6632" i="10"/>
  <c r="O6633" i="10"/>
  <c r="O6634" i="10"/>
  <c r="O6635" i="10"/>
  <c r="O6636" i="10"/>
  <c r="O6637" i="10"/>
  <c r="O6638" i="10"/>
  <c r="O6639" i="10"/>
  <c r="O6640" i="10"/>
  <c r="O6641" i="10"/>
  <c r="O6642" i="10"/>
  <c r="O6643" i="10"/>
  <c r="O6644" i="10"/>
  <c r="O6645" i="10"/>
  <c r="O6646" i="10"/>
  <c r="O6647" i="10"/>
  <c r="O6648" i="10"/>
  <c r="O6649" i="10"/>
  <c r="O6650" i="10"/>
  <c r="O6651" i="10"/>
  <c r="O6652" i="10"/>
  <c r="O6653" i="10"/>
  <c r="O6654" i="10"/>
  <c r="O6655" i="10"/>
  <c r="O6656" i="10"/>
  <c r="O6657" i="10"/>
  <c r="O6658" i="10"/>
  <c r="O6659" i="10"/>
  <c r="O6660" i="10"/>
  <c r="O6661" i="10"/>
  <c r="O6662" i="10"/>
  <c r="O6663" i="10"/>
  <c r="O6664" i="10"/>
  <c r="O6665" i="10"/>
  <c r="O6666" i="10"/>
  <c r="O6667" i="10"/>
  <c r="O6668" i="10"/>
  <c r="O6669" i="10"/>
  <c r="O6670" i="10"/>
  <c r="O6671" i="10"/>
  <c r="O6672" i="10"/>
  <c r="O6673" i="10"/>
  <c r="O6674" i="10"/>
  <c r="O6675" i="10"/>
  <c r="O6676" i="10"/>
  <c r="O6677" i="10"/>
  <c r="O6678" i="10"/>
  <c r="O6679" i="10"/>
  <c r="O6680" i="10"/>
  <c r="O6681" i="10"/>
  <c r="O6682" i="10"/>
  <c r="O6683" i="10"/>
  <c r="O6684" i="10"/>
  <c r="O6685" i="10"/>
  <c r="O6686" i="10"/>
  <c r="O6687" i="10"/>
  <c r="O6688" i="10"/>
  <c r="O6689" i="10"/>
  <c r="O6690" i="10"/>
  <c r="O6691" i="10"/>
  <c r="O6692" i="10"/>
  <c r="O6693" i="10"/>
  <c r="O6694" i="10"/>
  <c r="O6695" i="10"/>
  <c r="O6696" i="10"/>
  <c r="O6697" i="10"/>
  <c r="O6698" i="10"/>
  <c r="O6699" i="10"/>
  <c r="O6700" i="10"/>
  <c r="O6701" i="10"/>
  <c r="O6702" i="10"/>
  <c r="O6703" i="10"/>
  <c r="O6704" i="10"/>
  <c r="O6705" i="10"/>
  <c r="O6706" i="10"/>
  <c r="O6707" i="10"/>
  <c r="O6708" i="10"/>
  <c r="O6709" i="10"/>
  <c r="O6710" i="10"/>
  <c r="O6711" i="10"/>
  <c r="O6712" i="10"/>
  <c r="O6713" i="10"/>
  <c r="O6714" i="10"/>
  <c r="O6715" i="10"/>
  <c r="O6716" i="10"/>
  <c r="O6717" i="10"/>
  <c r="O6718" i="10"/>
  <c r="O6719" i="10"/>
  <c r="O6720" i="10"/>
  <c r="O6721" i="10"/>
  <c r="O6722" i="10"/>
  <c r="O6723" i="10"/>
  <c r="O6724" i="10"/>
  <c r="O6725" i="10"/>
  <c r="O6726" i="10"/>
  <c r="O6727" i="10"/>
  <c r="O6728" i="10"/>
  <c r="O6729" i="10"/>
  <c r="O6730" i="10"/>
  <c r="O6731" i="10"/>
  <c r="O6732" i="10"/>
  <c r="O6733" i="10"/>
  <c r="O6734" i="10"/>
  <c r="O6735" i="10"/>
  <c r="O6736" i="10"/>
  <c r="O6737" i="10"/>
  <c r="O6738" i="10"/>
  <c r="O6739" i="10"/>
  <c r="O6740" i="10"/>
  <c r="O6741" i="10"/>
  <c r="O6742" i="10"/>
  <c r="O6743" i="10"/>
  <c r="O6744" i="10"/>
  <c r="O6745" i="10"/>
  <c r="O6746" i="10"/>
  <c r="O6747" i="10"/>
  <c r="O6748" i="10"/>
  <c r="O6749" i="10"/>
  <c r="O6750" i="10"/>
  <c r="O6751" i="10"/>
  <c r="O6752" i="10"/>
  <c r="O6753" i="10"/>
  <c r="O6754" i="10"/>
  <c r="O6755" i="10"/>
  <c r="O6756" i="10"/>
  <c r="O6757" i="10"/>
  <c r="O6758" i="10"/>
  <c r="O6759" i="10"/>
  <c r="O6760" i="10"/>
  <c r="O6761" i="10"/>
  <c r="O6762" i="10"/>
  <c r="O6763" i="10"/>
  <c r="O6764" i="10"/>
  <c r="O6765" i="10"/>
  <c r="O6766" i="10"/>
  <c r="O6767" i="10"/>
  <c r="O6768" i="10"/>
  <c r="O6769" i="10"/>
  <c r="O6770" i="10"/>
  <c r="O6771" i="10"/>
  <c r="O6772" i="10"/>
  <c r="O6773" i="10"/>
  <c r="O6774" i="10"/>
  <c r="O6775" i="10"/>
  <c r="O6776" i="10"/>
  <c r="O6777" i="10"/>
  <c r="O6778" i="10"/>
  <c r="O6779" i="10"/>
  <c r="O6780" i="10"/>
  <c r="O6781" i="10"/>
  <c r="O6782" i="10"/>
  <c r="O6783" i="10"/>
  <c r="O6784" i="10"/>
  <c r="O6785" i="10"/>
  <c r="O6786" i="10"/>
  <c r="O6787" i="10"/>
  <c r="O6788" i="10"/>
  <c r="O6789" i="10"/>
  <c r="O6790" i="10"/>
  <c r="O6791" i="10"/>
  <c r="O6792" i="10"/>
  <c r="O6793" i="10"/>
  <c r="O6794" i="10"/>
  <c r="O6795" i="10"/>
  <c r="O6796" i="10"/>
  <c r="O6797" i="10"/>
  <c r="O6798" i="10"/>
  <c r="O6799" i="10"/>
  <c r="O6800" i="10"/>
  <c r="O6801" i="10"/>
  <c r="O6802" i="10"/>
  <c r="O6803" i="10"/>
  <c r="O6804" i="10"/>
  <c r="O6805" i="10"/>
  <c r="O6806" i="10"/>
  <c r="O6807" i="10"/>
  <c r="O6808" i="10"/>
  <c r="O6809" i="10"/>
  <c r="O6810" i="10"/>
  <c r="O6811" i="10"/>
  <c r="O6812" i="10"/>
  <c r="O6813" i="10"/>
  <c r="O6814" i="10"/>
  <c r="O6815" i="10"/>
  <c r="O6816" i="10"/>
  <c r="O6817" i="10"/>
  <c r="O6818" i="10"/>
  <c r="O6819" i="10"/>
  <c r="O6820" i="10"/>
  <c r="O6821" i="10"/>
  <c r="O6822" i="10"/>
  <c r="O6823" i="10"/>
  <c r="O6824" i="10"/>
  <c r="O6825" i="10"/>
  <c r="O6826" i="10"/>
  <c r="O6827" i="10"/>
  <c r="O6828" i="10"/>
  <c r="O6829" i="10"/>
  <c r="O6830" i="10"/>
  <c r="O6831" i="10"/>
  <c r="O6832" i="10"/>
  <c r="O6833" i="10"/>
  <c r="O6834" i="10"/>
  <c r="O6835" i="10"/>
  <c r="O6836" i="10"/>
  <c r="O6837" i="10"/>
  <c r="O6838" i="10"/>
  <c r="O6839" i="10"/>
  <c r="O6840" i="10"/>
  <c r="O6841" i="10"/>
  <c r="O6842" i="10"/>
  <c r="O6843" i="10"/>
  <c r="O6844" i="10"/>
  <c r="O6845" i="10"/>
  <c r="O6846" i="10"/>
  <c r="O6847" i="10"/>
  <c r="O6848" i="10"/>
  <c r="O6849" i="10"/>
  <c r="O6850" i="10"/>
  <c r="O6851" i="10"/>
  <c r="O6852" i="10"/>
  <c r="O6853" i="10"/>
  <c r="O6854" i="10"/>
  <c r="O6855" i="10"/>
  <c r="O6856" i="10"/>
  <c r="O6857" i="10"/>
  <c r="O6858" i="10"/>
  <c r="O6859" i="10"/>
  <c r="O6860" i="10"/>
  <c r="O6861" i="10"/>
  <c r="O6862" i="10"/>
  <c r="O6863" i="10"/>
  <c r="O6864" i="10"/>
  <c r="O6865" i="10"/>
  <c r="O6866" i="10"/>
  <c r="O6867" i="10"/>
  <c r="O6868" i="10"/>
  <c r="O6869" i="10"/>
  <c r="O6870" i="10"/>
  <c r="O6871" i="10"/>
  <c r="O6872" i="10"/>
  <c r="O6873" i="10"/>
  <c r="O6874" i="10"/>
  <c r="O6875" i="10"/>
  <c r="O6876" i="10"/>
  <c r="O6877" i="10"/>
  <c r="O6878" i="10"/>
  <c r="O6879" i="10"/>
  <c r="O6880" i="10"/>
  <c r="O6881" i="10"/>
  <c r="O6882" i="10"/>
  <c r="O6883" i="10"/>
  <c r="O6884" i="10"/>
  <c r="O6885" i="10"/>
  <c r="O6886" i="10"/>
  <c r="O6887" i="10"/>
  <c r="O6888" i="10"/>
  <c r="O6889" i="10"/>
  <c r="O6890" i="10"/>
  <c r="O6891" i="10"/>
  <c r="O6892" i="10"/>
  <c r="O6893" i="10"/>
  <c r="O6894" i="10"/>
  <c r="O6895" i="10"/>
  <c r="O6896" i="10"/>
  <c r="O6897" i="10"/>
  <c r="O6898" i="10"/>
  <c r="O6899" i="10"/>
  <c r="O6900" i="10"/>
  <c r="O6901" i="10"/>
  <c r="O6902" i="10"/>
  <c r="O6903" i="10"/>
  <c r="O6904" i="10"/>
  <c r="O6905" i="10"/>
  <c r="O6906" i="10"/>
  <c r="O6907" i="10"/>
  <c r="O6908" i="10"/>
  <c r="O6909" i="10"/>
  <c r="O6910" i="10"/>
  <c r="O6911" i="10"/>
  <c r="O6912" i="10"/>
  <c r="O6913" i="10"/>
  <c r="O6914" i="10"/>
  <c r="O6915" i="10"/>
  <c r="O6916" i="10"/>
  <c r="O6917" i="10"/>
  <c r="O6918" i="10"/>
  <c r="O6919" i="10"/>
  <c r="O6920" i="10"/>
  <c r="O6921" i="10"/>
  <c r="O6922" i="10"/>
  <c r="O6923" i="10"/>
  <c r="O6924" i="10"/>
  <c r="O6925" i="10"/>
  <c r="O6926" i="10"/>
  <c r="O6927" i="10"/>
  <c r="O6928" i="10"/>
  <c r="O6929" i="10"/>
  <c r="O6930" i="10"/>
  <c r="O6931" i="10"/>
  <c r="O6932" i="10"/>
  <c r="O6933" i="10"/>
  <c r="O6934" i="10"/>
  <c r="O6935" i="10"/>
  <c r="O6936" i="10"/>
  <c r="O6937" i="10"/>
  <c r="O6938" i="10"/>
  <c r="O6939" i="10"/>
  <c r="O6940" i="10"/>
  <c r="O6941" i="10"/>
  <c r="O6942" i="10"/>
  <c r="O6943" i="10"/>
  <c r="O6944" i="10"/>
  <c r="O6945" i="10"/>
  <c r="O6946" i="10"/>
  <c r="O6947" i="10"/>
  <c r="O6948" i="10"/>
  <c r="O6949" i="10"/>
  <c r="O6950" i="10"/>
  <c r="O6951" i="10"/>
  <c r="O6952" i="10"/>
  <c r="O6953" i="10"/>
  <c r="O6954" i="10"/>
  <c r="O6955" i="10"/>
  <c r="O6956" i="10"/>
  <c r="O6957" i="10"/>
  <c r="O6958" i="10"/>
  <c r="O6959" i="10"/>
  <c r="O6960" i="10"/>
  <c r="O6961" i="10"/>
  <c r="O6962" i="10"/>
  <c r="O6963" i="10"/>
  <c r="O6964" i="10"/>
  <c r="O6965" i="10"/>
  <c r="O6966" i="10"/>
  <c r="O6967" i="10"/>
  <c r="O6968" i="10"/>
  <c r="O6969" i="10"/>
  <c r="O6970" i="10"/>
  <c r="O6971" i="10"/>
  <c r="O6972" i="10"/>
  <c r="O6973" i="10"/>
  <c r="O6974" i="10"/>
  <c r="O6975" i="10"/>
  <c r="O6976" i="10"/>
  <c r="O6977" i="10"/>
  <c r="O6978" i="10"/>
  <c r="O6979" i="10"/>
  <c r="O6980" i="10"/>
  <c r="O6981" i="10"/>
  <c r="O6982" i="10"/>
  <c r="O6983" i="10"/>
  <c r="O6984" i="10"/>
  <c r="O6985" i="10"/>
  <c r="O6986" i="10"/>
  <c r="O6987" i="10"/>
  <c r="O6988" i="10"/>
  <c r="O6989" i="10"/>
  <c r="O6990" i="10"/>
  <c r="O6991" i="10"/>
  <c r="O6992" i="10"/>
  <c r="O6993" i="10"/>
  <c r="O6994" i="10"/>
  <c r="O6995" i="10"/>
  <c r="O6996" i="10"/>
  <c r="O6997" i="10"/>
  <c r="O6998" i="10"/>
  <c r="O6999" i="10"/>
  <c r="O7000" i="10"/>
  <c r="O7001" i="10"/>
  <c r="O7002" i="10"/>
  <c r="O7003" i="10"/>
  <c r="O7004" i="10"/>
  <c r="O7005" i="10"/>
  <c r="O7006" i="10"/>
  <c r="O7007" i="10"/>
  <c r="O7008" i="10"/>
  <c r="O7009" i="10"/>
  <c r="O7010" i="10"/>
  <c r="O7011" i="10"/>
  <c r="O7012" i="10"/>
  <c r="O7013" i="10"/>
  <c r="O7014" i="10"/>
  <c r="O7015" i="10"/>
  <c r="O7016" i="10"/>
  <c r="O7017" i="10"/>
  <c r="O7018" i="10"/>
  <c r="O7019" i="10"/>
  <c r="O7020" i="10"/>
  <c r="O7021" i="10"/>
  <c r="O7022" i="10"/>
  <c r="O7023" i="10"/>
  <c r="O7024" i="10"/>
  <c r="O7025" i="10"/>
  <c r="O7026" i="10"/>
  <c r="O7027" i="10"/>
  <c r="O7028" i="10"/>
  <c r="O7029" i="10"/>
  <c r="O7030" i="10"/>
  <c r="O7031" i="10"/>
  <c r="O7032" i="10"/>
  <c r="O7033" i="10"/>
  <c r="O7034" i="10"/>
  <c r="O7035" i="10"/>
  <c r="O7036" i="10"/>
  <c r="O7037" i="10"/>
  <c r="O7038" i="10"/>
  <c r="O7039" i="10"/>
  <c r="O7040" i="10"/>
  <c r="O7041" i="10"/>
  <c r="O7042" i="10"/>
  <c r="O7043" i="10"/>
  <c r="O7044" i="10"/>
  <c r="O7045" i="10"/>
  <c r="O7046" i="10"/>
  <c r="O7047" i="10"/>
  <c r="O7048" i="10"/>
  <c r="O7049" i="10"/>
  <c r="O7050" i="10"/>
  <c r="O7051" i="10"/>
  <c r="O7052" i="10"/>
  <c r="O7053" i="10"/>
  <c r="O7054" i="10"/>
  <c r="O7055" i="10"/>
  <c r="O7056" i="10"/>
  <c r="O7057" i="10"/>
  <c r="O7058" i="10"/>
  <c r="O7059" i="10"/>
  <c r="O7060" i="10"/>
  <c r="O7061" i="10"/>
  <c r="O7062" i="10"/>
  <c r="O7063" i="10"/>
  <c r="O7064" i="10"/>
  <c r="O7065" i="10"/>
  <c r="O7066" i="10"/>
  <c r="O7067" i="10"/>
  <c r="O7068" i="10"/>
  <c r="O7069" i="10"/>
  <c r="O7070" i="10"/>
  <c r="O7071" i="10"/>
  <c r="O7072" i="10"/>
  <c r="O7073" i="10"/>
  <c r="O7074" i="10"/>
  <c r="O7075" i="10"/>
  <c r="O7076" i="10"/>
  <c r="O7077" i="10"/>
  <c r="O7078" i="10"/>
  <c r="O7079" i="10"/>
  <c r="O7080" i="10"/>
  <c r="O7081" i="10"/>
  <c r="O7082" i="10"/>
  <c r="O7083" i="10"/>
  <c r="O7084" i="10"/>
  <c r="O7085" i="10"/>
  <c r="O7086" i="10"/>
  <c r="O7087" i="10"/>
  <c r="O7088" i="10"/>
  <c r="O7089" i="10"/>
  <c r="O7090" i="10"/>
  <c r="O7091" i="10"/>
  <c r="O7092" i="10"/>
  <c r="O7093" i="10"/>
  <c r="O7094" i="10"/>
  <c r="O7095" i="10"/>
  <c r="O7096" i="10"/>
  <c r="O7097" i="10"/>
  <c r="O7098" i="10"/>
  <c r="O7099" i="10"/>
  <c r="O7100" i="10"/>
  <c r="O7101" i="10"/>
  <c r="O7102" i="10"/>
  <c r="O7103" i="10"/>
  <c r="O7104" i="10"/>
  <c r="O7105" i="10"/>
  <c r="O7106" i="10"/>
  <c r="O7107" i="10"/>
  <c r="O7108" i="10"/>
  <c r="O7109" i="10"/>
  <c r="O7110" i="10"/>
  <c r="O7111" i="10"/>
  <c r="O7112" i="10"/>
  <c r="O7113" i="10"/>
  <c r="O7114" i="10"/>
  <c r="O7115" i="10"/>
  <c r="O7116" i="10"/>
  <c r="O7117" i="10"/>
  <c r="O7118" i="10"/>
  <c r="O7119" i="10"/>
  <c r="O7120" i="10"/>
  <c r="O7121" i="10"/>
  <c r="O7122" i="10"/>
  <c r="O7123" i="10"/>
  <c r="O7124" i="10"/>
  <c r="O7125" i="10"/>
  <c r="O7126" i="10"/>
  <c r="O7127" i="10"/>
  <c r="O7128" i="10"/>
  <c r="O7129" i="10"/>
  <c r="O7130" i="10"/>
  <c r="O7131" i="10"/>
  <c r="O7132" i="10"/>
  <c r="O7133" i="10"/>
  <c r="O7134" i="10"/>
  <c r="O7135" i="10"/>
  <c r="O7136" i="10"/>
  <c r="O7137" i="10"/>
  <c r="O7138" i="10"/>
  <c r="O7139" i="10"/>
  <c r="O7140" i="10"/>
  <c r="O7141" i="10"/>
  <c r="O7142" i="10"/>
  <c r="O7143" i="10"/>
  <c r="O7144" i="10"/>
  <c r="O7145" i="10"/>
  <c r="O7146" i="10"/>
  <c r="O7147" i="10"/>
  <c r="O7148" i="10"/>
  <c r="O7149" i="10"/>
  <c r="O7150" i="10"/>
  <c r="O7151" i="10"/>
  <c r="O7152" i="10"/>
  <c r="O7153" i="10"/>
  <c r="O7154" i="10"/>
  <c r="O7155" i="10"/>
  <c r="O7156" i="10"/>
  <c r="O7157" i="10"/>
  <c r="O7158" i="10"/>
  <c r="O7159" i="10"/>
  <c r="O7160" i="10"/>
  <c r="O7161" i="10"/>
  <c r="O7162" i="10"/>
  <c r="O7163" i="10"/>
  <c r="O7164" i="10"/>
  <c r="O7165" i="10"/>
  <c r="O7166" i="10"/>
  <c r="O7167" i="10"/>
  <c r="O7168" i="10"/>
  <c r="O7169" i="10"/>
  <c r="O7170" i="10"/>
  <c r="O7171" i="10"/>
  <c r="O7172" i="10"/>
  <c r="O7173" i="10"/>
  <c r="O7174" i="10"/>
  <c r="O7175" i="10"/>
  <c r="O7176" i="10"/>
  <c r="O7177" i="10"/>
  <c r="O7178" i="10"/>
  <c r="O7179" i="10"/>
  <c r="O7180" i="10"/>
  <c r="O7181" i="10"/>
  <c r="O7182" i="10"/>
  <c r="O7183" i="10"/>
  <c r="O7184" i="10"/>
  <c r="O7185" i="10"/>
  <c r="O7186" i="10"/>
  <c r="O7187" i="10"/>
  <c r="O7188" i="10"/>
  <c r="O7189" i="10"/>
  <c r="O7190" i="10"/>
  <c r="O7191" i="10"/>
  <c r="O7192" i="10"/>
  <c r="O7193" i="10"/>
  <c r="O7194" i="10"/>
  <c r="O7195" i="10"/>
  <c r="O7196" i="10"/>
  <c r="O7197" i="10"/>
  <c r="O7198" i="10"/>
  <c r="O7199" i="10"/>
  <c r="O7200" i="10"/>
  <c r="O7201" i="10"/>
  <c r="O7202" i="10"/>
  <c r="O7203" i="10"/>
  <c r="O7204" i="10"/>
  <c r="O7205" i="10"/>
  <c r="O7206" i="10"/>
  <c r="O7207" i="10"/>
  <c r="O7208" i="10"/>
  <c r="O7209" i="10"/>
  <c r="O7210" i="10"/>
  <c r="O7211" i="10"/>
  <c r="O7212" i="10"/>
  <c r="O7213" i="10"/>
  <c r="O7214" i="10"/>
  <c r="O7215" i="10"/>
  <c r="O7216" i="10"/>
  <c r="O7217" i="10"/>
  <c r="O7218" i="10"/>
  <c r="O7219" i="10"/>
  <c r="O7220" i="10"/>
  <c r="O7221" i="10"/>
  <c r="O7222" i="10"/>
  <c r="O7223" i="10"/>
  <c r="O7224" i="10"/>
  <c r="O7225" i="10"/>
  <c r="O7226" i="10"/>
  <c r="O7227" i="10"/>
  <c r="O7228" i="10"/>
  <c r="O7229" i="10"/>
  <c r="O7230" i="10"/>
  <c r="O7231" i="10"/>
  <c r="O7232" i="10"/>
  <c r="O7233" i="10"/>
  <c r="O7234" i="10"/>
  <c r="O7235" i="10"/>
  <c r="O7236" i="10"/>
  <c r="O7237" i="10"/>
  <c r="O7238" i="10"/>
  <c r="O7239" i="10"/>
  <c r="O7240" i="10"/>
  <c r="O7241" i="10"/>
  <c r="O7242" i="10"/>
  <c r="O7243" i="10"/>
  <c r="O7244" i="10"/>
  <c r="O7245" i="10"/>
  <c r="O7246" i="10"/>
  <c r="O7247" i="10"/>
  <c r="O7248" i="10"/>
  <c r="O7249" i="10"/>
  <c r="O7250" i="10"/>
  <c r="O7251" i="10"/>
  <c r="O7252" i="10"/>
  <c r="O7253" i="10"/>
  <c r="O7254" i="10"/>
  <c r="O7255" i="10"/>
  <c r="O7256" i="10"/>
  <c r="O7257" i="10"/>
  <c r="O7258" i="10"/>
  <c r="O7259" i="10"/>
  <c r="O7260" i="10"/>
  <c r="O7261" i="10"/>
  <c r="O7262" i="10"/>
  <c r="O7263" i="10"/>
  <c r="O7264" i="10"/>
  <c r="O7265" i="10"/>
  <c r="O7266" i="10"/>
  <c r="O7267" i="10"/>
  <c r="O7268" i="10"/>
  <c r="O7269" i="10"/>
  <c r="O7270" i="10"/>
  <c r="O7271" i="10"/>
  <c r="O7272" i="10"/>
  <c r="O7273" i="10"/>
  <c r="O7274" i="10"/>
  <c r="O7275" i="10"/>
  <c r="O7276" i="10"/>
  <c r="O7277" i="10"/>
  <c r="O7278" i="10"/>
  <c r="O7279" i="10"/>
  <c r="O7280" i="10"/>
  <c r="O7281" i="10"/>
  <c r="O7282" i="10"/>
  <c r="O7283" i="10"/>
  <c r="O7284" i="10"/>
  <c r="O7285" i="10"/>
  <c r="O7286" i="10"/>
  <c r="O7287" i="10"/>
  <c r="O7288" i="10"/>
  <c r="O7289" i="10"/>
  <c r="O7290" i="10"/>
  <c r="O7291" i="10"/>
  <c r="O7292" i="10"/>
  <c r="O7293" i="10"/>
  <c r="O7294" i="10"/>
  <c r="O7295" i="10"/>
  <c r="O7296" i="10"/>
  <c r="O7297" i="10"/>
  <c r="O7298" i="10"/>
  <c r="O7299" i="10"/>
  <c r="O7300" i="10"/>
  <c r="O7301" i="10"/>
  <c r="O7302" i="10"/>
  <c r="O7303" i="10"/>
  <c r="O7304" i="10"/>
  <c r="O7305" i="10"/>
  <c r="O7306" i="10"/>
  <c r="O7307" i="10"/>
  <c r="O7308" i="10"/>
  <c r="O7309" i="10"/>
  <c r="O7310" i="10"/>
  <c r="O7311" i="10"/>
  <c r="O7312" i="10"/>
  <c r="O7313" i="10"/>
  <c r="O7314" i="10"/>
  <c r="O7315" i="10"/>
  <c r="O7316" i="10"/>
  <c r="O7317" i="10"/>
  <c r="O7318" i="10"/>
  <c r="O7319" i="10"/>
  <c r="O7320" i="10"/>
  <c r="O7321" i="10"/>
  <c r="O7322" i="10"/>
  <c r="O7323" i="10"/>
  <c r="O7324" i="10"/>
  <c r="O7325" i="10"/>
  <c r="O7326" i="10"/>
  <c r="O7327" i="10"/>
  <c r="O7328" i="10"/>
  <c r="O7329" i="10"/>
  <c r="O7330" i="10"/>
  <c r="O7331" i="10"/>
  <c r="O7332" i="10"/>
  <c r="O7333" i="10"/>
  <c r="O7334" i="10"/>
  <c r="O7335" i="10"/>
  <c r="O7336" i="10"/>
  <c r="O7337" i="10"/>
  <c r="O7338" i="10"/>
  <c r="O7339" i="10"/>
  <c r="O7340" i="10"/>
  <c r="O7341" i="10"/>
  <c r="O7342" i="10"/>
  <c r="O7343" i="10"/>
  <c r="O7344" i="10"/>
  <c r="O7345" i="10"/>
  <c r="O7346" i="10"/>
  <c r="O7347" i="10"/>
  <c r="O7348" i="10"/>
  <c r="O7349" i="10"/>
  <c r="O7350" i="10"/>
  <c r="O7351" i="10"/>
  <c r="O7352" i="10"/>
  <c r="O7353" i="10"/>
  <c r="O7354" i="10"/>
  <c r="O7355" i="10"/>
  <c r="O7356" i="10"/>
  <c r="O7357" i="10"/>
  <c r="O7358" i="10"/>
  <c r="O7359" i="10"/>
  <c r="O7360" i="10"/>
  <c r="O7361" i="10"/>
  <c r="O7362" i="10"/>
  <c r="O7363" i="10"/>
  <c r="O7364" i="10"/>
  <c r="O7365" i="10"/>
  <c r="O7366" i="10"/>
  <c r="O7367" i="10"/>
  <c r="O7368" i="10"/>
  <c r="O7369" i="10"/>
  <c r="O7370" i="10"/>
  <c r="O7371" i="10"/>
  <c r="O7372" i="10"/>
  <c r="O7373" i="10"/>
  <c r="O7374" i="10"/>
  <c r="O7375" i="10"/>
  <c r="O7376" i="10"/>
  <c r="O7377" i="10"/>
  <c r="O7378" i="10"/>
  <c r="O7379" i="10"/>
  <c r="O7380" i="10"/>
  <c r="O7381" i="10"/>
  <c r="O7382" i="10"/>
  <c r="O7383" i="10"/>
  <c r="O7384" i="10"/>
  <c r="O7385" i="10"/>
  <c r="O7386" i="10"/>
  <c r="O7387" i="10"/>
  <c r="O7388" i="10"/>
  <c r="O7389" i="10"/>
  <c r="O7390" i="10"/>
  <c r="O7391" i="10"/>
  <c r="O7392" i="10"/>
  <c r="O7393" i="10"/>
  <c r="O7394" i="10"/>
  <c r="O7395" i="10"/>
  <c r="O7396" i="10"/>
  <c r="O7397" i="10"/>
  <c r="O7398" i="10"/>
  <c r="O7399" i="10"/>
  <c r="O7400" i="10"/>
  <c r="O7401" i="10"/>
  <c r="O7402" i="10"/>
  <c r="O7403" i="10"/>
  <c r="O7404" i="10"/>
  <c r="O7405" i="10"/>
  <c r="O7406" i="10"/>
  <c r="O7407" i="10"/>
  <c r="O7408" i="10"/>
  <c r="O7409" i="10"/>
  <c r="O7410" i="10"/>
  <c r="O7411" i="10"/>
  <c r="O7412" i="10"/>
  <c r="O7413" i="10"/>
  <c r="O7414" i="10"/>
  <c r="O7415" i="10"/>
  <c r="O7416" i="10"/>
  <c r="O7417" i="10"/>
  <c r="O7418" i="10"/>
  <c r="O7419" i="10"/>
  <c r="O7420" i="10"/>
  <c r="O7421" i="10"/>
  <c r="O7422" i="10"/>
  <c r="O7423" i="10"/>
  <c r="O7424" i="10"/>
  <c r="O7425" i="10"/>
  <c r="O7426" i="10"/>
  <c r="O7427" i="10"/>
  <c r="O7428" i="10"/>
  <c r="O7429" i="10"/>
  <c r="O7430" i="10"/>
  <c r="O7431" i="10"/>
  <c r="O7432" i="10"/>
  <c r="O7433" i="10"/>
  <c r="O7434" i="10"/>
  <c r="O7435" i="10"/>
  <c r="O7436" i="10"/>
  <c r="O7437" i="10"/>
  <c r="O7438" i="10"/>
  <c r="O7439" i="10"/>
  <c r="O7440" i="10"/>
  <c r="O7441" i="10"/>
  <c r="O7442" i="10"/>
  <c r="O7443" i="10"/>
  <c r="O7444" i="10"/>
  <c r="O7445" i="10"/>
  <c r="O7446" i="10"/>
  <c r="O7447" i="10"/>
  <c r="O7448" i="10"/>
  <c r="O7449" i="10"/>
  <c r="O7450" i="10"/>
  <c r="O7451" i="10"/>
  <c r="O7452" i="10"/>
  <c r="O7453" i="10"/>
  <c r="O7454" i="10"/>
  <c r="O7455" i="10"/>
  <c r="O7456" i="10"/>
  <c r="O7457" i="10"/>
  <c r="O7458" i="10"/>
  <c r="O7459" i="10"/>
  <c r="O7460" i="10"/>
  <c r="O7461" i="10"/>
  <c r="O7462" i="10"/>
  <c r="O7463" i="10"/>
  <c r="O7464" i="10"/>
  <c r="O7465" i="10"/>
  <c r="O7466" i="10"/>
  <c r="O7467" i="10"/>
  <c r="O7468" i="10"/>
  <c r="O7469" i="10"/>
  <c r="O7470" i="10"/>
  <c r="O7471" i="10"/>
  <c r="O7472" i="10"/>
  <c r="O7473" i="10"/>
  <c r="O7474" i="10"/>
  <c r="O7475" i="10"/>
  <c r="O7476" i="10"/>
  <c r="O7477" i="10"/>
  <c r="O7478" i="10"/>
  <c r="O7479" i="10"/>
  <c r="O7480" i="10"/>
  <c r="O7481" i="10"/>
  <c r="O7482" i="10"/>
  <c r="O7483" i="10"/>
  <c r="O7484" i="10"/>
  <c r="O7485" i="10"/>
  <c r="O7486" i="10"/>
  <c r="O7487" i="10"/>
  <c r="O7488" i="10"/>
  <c r="O7489" i="10"/>
  <c r="O7490" i="10"/>
  <c r="O7491" i="10"/>
  <c r="O7492" i="10"/>
  <c r="O7493" i="10"/>
  <c r="O7494" i="10"/>
  <c r="O7495" i="10"/>
  <c r="O7496" i="10"/>
  <c r="O7497" i="10"/>
  <c r="O7498" i="10"/>
  <c r="O7499" i="10"/>
  <c r="O7500" i="10"/>
  <c r="O10" i="10"/>
  <c r="E21" i="1" s="1"/>
  <c r="D22" i="1" l="1"/>
  <c r="D21" i="1"/>
  <c r="Z27" i="2" l="1"/>
  <c r="Z28" i="2"/>
  <c r="Z29" i="2"/>
  <c r="Z30" i="2"/>
  <c r="Z26" i="2"/>
  <c r="X26" i="2"/>
  <c r="J27" i="2"/>
  <c r="J28" i="2"/>
  <c r="J29" i="2"/>
  <c r="J30" i="2"/>
  <c r="P27" i="2"/>
  <c r="P28" i="2"/>
  <c r="P29" i="2"/>
  <c r="P30" i="2"/>
  <c r="X27" i="2"/>
  <c r="X28" i="2"/>
  <c r="X29" i="2"/>
  <c r="X30" i="2"/>
  <c r="P26" i="2"/>
  <c r="J26" i="2"/>
  <c r="E27" i="2"/>
  <c r="E28" i="2"/>
  <c r="E29" i="2"/>
  <c r="E30" i="2"/>
  <c r="E26" i="2"/>
  <c r="C26" i="2"/>
  <c r="C30" i="2"/>
  <c r="C29" i="2"/>
  <c r="C28" i="2"/>
  <c r="C27" i="2"/>
  <c r="R14" i="2"/>
  <c r="N14" i="2"/>
  <c r="R15" i="2"/>
  <c r="N15" i="2"/>
  <c r="Z15" i="2"/>
  <c r="F15" i="2"/>
  <c r="V15" i="2"/>
  <c r="J14" i="2"/>
  <c r="F14" i="2"/>
  <c r="V14" i="2"/>
  <c r="J15" i="2"/>
  <c r="Z14" i="2"/>
  <c r="D20" i="1" l="1"/>
  <c r="N2" i="9" l="1"/>
  <c r="B7" i="9"/>
  <c r="E14" i="1" l="1" a="1"/>
  <c r="E14" i="1" s="1"/>
  <c r="F26" i="1"/>
  <c r="E17" i="1" l="1"/>
  <c r="E16" i="1"/>
  <c r="E19" i="1"/>
  <c r="E15" i="1"/>
  <c r="E18" i="1"/>
  <c r="D10" i="1" l="1"/>
  <c r="B30" i="2"/>
  <c r="B29" i="2"/>
  <c r="B28" i="2"/>
  <c r="B27" i="2"/>
  <c r="B26" i="2"/>
  <c r="D15" i="1" l="1"/>
  <c r="D16" i="1"/>
  <c r="D17" i="1"/>
  <c r="D18" i="1"/>
  <c r="D19" i="1"/>
  <c r="D14" i="1"/>
  <c r="C10" i="1" l="1"/>
  <c r="C3" i="1" l="1" a="1"/>
  <c r="C3" i="1" s="1"/>
  <c r="H3" i="1" l="1"/>
  <c r="F3" i="1"/>
  <c r="E3" i="1"/>
  <c r="D3" i="1"/>
  <c r="G3" i="1"/>
  <c r="Y19" i="2" l="1"/>
  <c r="U19" i="2"/>
  <c r="M19" i="2"/>
  <c r="I19" i="2"/>
  <c r="E19" i="2"/>
  <c r="Q19" i="2"/>
  <c r="C6" i="8" l="1"/>
  <c r="Z9" i="2" l="1"/>
  <c r="AA9" i="2" s="1"/>
  <c r="AB9" i="2" s="1"/>
  <c r="V9" i="2"/>
  <c r="W9" i="2" s="1"/>
  <c r="X9" i="2" s="1"/>
  <c r="R9" i="2"/>
  <c r="S9" i="2" s="1"/>
  <c r="T9" i="2" s="1"/>
  <c r="N9" i="2"/>
  <c r="O9" i="2" s="1"/>
  <c r="P9" i="2" s="1"/>
  <c r="J9" i="2"/>
  <c r="K9" i="2" s="1"/>
  <c r="L9" i="2" s="1"/>
  <c r="F9" i="2"/>
  <c r="G9" i="2" s="1"/>
  <c r="H9" i="2" s="1"/>
  <c r="Z17" i="2" l="1"/>
  <c r="Z16" i="2" s="1"/>
  <c r="V17" i="2"/>
  <c r="V16" i="2" s="1"/>
  <c r="F4" i="1" s="1"/>
  <c r="R17" i="2"/>
  <c r="R16" i="2" s="1"/>
  <c r="N17" i="2"/>
  <c r="N16" i="2" s="1"/>
  <c r="J17" i="2"/>
  <c r="J16" i="2" s="1"/>
  <c r="F5" i="1" l="1"/>
  <c r="F6" i="1"/>
  <c r="J18" i="2"/>
  <c r="C4" i="1"/>
  <c r="C6" i="1" s="1"/>
  <c r="Z18" i="2"/>
  <c r="G4" i="1"/>
  <c r="R18" i="2"/>
  <c r="E4" i="1"/>
  <c r="N18" i="2"/>
  <c r="D4" i="1"/>
  <c r="G5" i="1" l="1"/>
  <c r="G6" i="1"/>
  <c r="E5" i="1"/>
  <c r="E6" i="1"/>
  <c r="D5" i="1"/>
  <c r="D6" i="1"/>
  <c r="Y12" i="2"/>
  <c r="E12" i="2"/>
  <c r="C5" i="1" l="1"/>
  <c r="I12" i="2"/>
  <c r="Q12" i="2"/>
  <c r="U12" i="2"/>
  <c r="F17" i="2" l="1"/>
  <c r="F16" i="2" s="1"/>
  <c r="E18" i="2" l="1"/>
  <c r="H4" i="1"/>
  <c r="H5" i="1" l="1"/>
  <c r="H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sourceFile="\\negocios\canales tradicionales\Medicion Financiera\SVR_MEDFIN\PROYECTOS\CUENTAS CAPITAL HUMANO\Capital Humano.accdb" keepAlive="1" name="Capital Humano"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Resumen" commandType="3"/>
  </connection>
  <connection id="2" xr16:uid="{00000000-0015-0000-FFFF-FFFF01000000}" sourceFile="\\negocios\canales tradicionales\Medicion Financiera\SVR_MEDFIN\PROYECTOS\CUENTAS CAPITAL HUMANO\Capital Humano.accdb" keepAlive="1" name="Capital Humano1" type="5" refreshedVersion="5" saveData="1">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3" xr16:uid="{00000000-0015-0000-FFFF-FFFF02000000}" sourceFile="\\negocios\canales tradicionales\Medicion Financiera\SVR_MEDFIN\PROYECTOS\CUENTAS CAPITAL HUMANO\Capital Humano.accdb" keepAlive="1" name="Capital Humano2" type="5" refreshedVersion="5">
    <dbPr connection="Provider=Microsoft.ACE.OLEDB.12.0;User ID=Admin;Data Source=\\negocios\canales tradicionales\Medicion Financiera\SVR_MEDFIN\PROYECTOS\CUENTAS CAPITAL HUMANO\Capital Humano.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etalle" commandType="3"/>
  </connection>
  <connection id="4" xr16:uid="{00000000-0015-0000-FFFF-FFFF03000000}" name="CAPITAL_HUMANO" type="1" refreshedVersion="5" saveData="1">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RESUMEN`"/>
  </connection>
  <connection id="5" xr16:uid="{00000000-0015-0000-FFFF-FFFF04000000}" odcFile="\\negocios\canales tradicionales\Medicion Financiera\SVR_MEDFIN\OLAP_CUBES\CTAS_CH\DETALLE.dsn" name="DETALLE" type="1" refreshedVersion="5">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CAPITAL_HUMANO`"/>
  </connection>
</connections>
</file>

<file path=xl/sharedStrings.xml><?xml version="1.0" encoding="utf-8"?>
<sst xmlns="http://schemas.openxmlformats.org/spreadsheetml/2006/main" count="1825" uniqueCount="219">
  <si>
    <t>valSelOption</t>
  </si>
  <si>
    <t>Horas extras</t>
  </si>
  <si>
    <t>Alimentación</t>
  </si>
  <si>
    <t>Viáticos</t>
  </si>
  <si>
    <t>Reconocimientos</t>
  </si>
  <si>
    <t>Celebraciones</t>
  </si>
  <si>
    <t>Plan Anual</t>
  </si>
  <si>
    <t>Balance YTM</t>
  </si>
  <si>
    <t>$Disponible</t>
  </si>
  <si>
    <t>%Disponible</t>
  </si>
  <si>
    <t xml:space="preserve">Viáticos </t>
  </si>
  <si>
    <t>Reconocimientos y Celebraciones</t>
  </si>
  <si>
    <t>Entrega de Chorrito (Dic)</t>
  </si>
  <si>
    <t>Brindis de entrega de Participación de Utilidades</t>
  </si>
  <si>
    <t xml:space="preserve">Actividades destinadas a compartir con el equipo de trabajo como cumpleaños, nacimientos, despedidas, brindis, etc. </t>
  </si>
  <si>
    <t>Premios, certificados de regalo, obsequios, etc. que se utilicen para reconocer conductas positivas de los colaboradores o el mérito en el cumplimiento con éxito de una actividad o tarea de manera sobresaliente.</t>
  </si>
  <si>
    <t>Fecha</t>
  </si>
  <si>
    <t>Comprobante</t>
  </si>
  <si>
    <t>Asiento</t>
  </si>
  <si>
    <t>Débito</t>
  </si>
  <si>
    <t>Crédito</t>
  </si>
  <si>
    <t>Gastos de movilización, hospedaje, alimentación en que incurra el colaborador por desplazamiento no recurrente, realizados a consecuencia del desempeño de sus labores. Aplica para viajes locales, internacionales y movimientos dentro de Panamá.
Se exceptúan todos los gastos cuya naturaleza sea capacitación  o Proyectos.</t>
  </si>
  <si>
    <t>Brindis participación</t>
  </si>
  <si>
    <t>a) Por permanecer laborando más de 3 horas despúes de finalizada la jornada regular de trabajo y la hora de salida sea despúes de las 7:00 pm.
b) Que por motivos de contingencia no puedan tomar el tiempo de almuerzo.
c) Almuerzos de trabajo. 
d) Reuniones de trabajo fuera de jornada laboral.
Se exceptúan todos los gastos cuya naturaleza sea capacitación  o Proyectos.</t>
  </si>
  <si>
    <t>CAJA</t>
  </si>
  <si>
    <t>SERVICIOS PERSONALES</t>
  </si>
  <si>
    <t>ADMINISTRACION DE SUCURSALES</t>
  </si>
  <si>
    <t>Área</t>
  </si>
  <si>
    <t>Disponible</t>
  </si>
  <si>
    <t>Gastado#1</t>
  </si>
  <si>
    <t>Gastado#2</t>
  </si>
  <si>
    <t>ASCENDENTEMENTE</t>
  </si>
  <si>
    <t>DESCENDENTEMENTE</t>
  </si>
  <si>
    <t>SELECT &gt;&gt;</t>
  </si>
  <si>
    <t>valRowGrid</t>
  </si>
  <si>
    <t>as_oficina_dest</t>
  </si>
  <si>
    <t>as_oficina</t>
  </si>
  <si>
    <t>Etiquetas de fila</t>
  </si>
  <si>
    <t>ALIMENTACIÓN</t>
  </si>
  <si>
    <t>HORAS EXTRAS</t>
  </si>
  <si>
    <t>VIATICOS</t>
  </si>
  <si>
    <t>Suma de PLAN</t>
  </si>
  <si>
    <t>Suma de BALANCE</t>
  </si>
  <si>
    <t>VIÁTICOS</t>
  </si>
  <si>
    <t>RECONOCIMIENTOS</t>
  </si>
  <si>
    <t>CELEBRACIONES</t>
  </si>
  <si>
    <t>BRINDIS PARTICIPACIÓN</t>
  </si>
  <si>
    <t>as_año</t>
  </si>
  <si>
    <t>2018</t>
  </si>
  <si>
    <t>Años</t>
  </si>
  <si>
    <t>07-ago</t>
  </si>
  <si>
    <t>08-ago</t>
  </si>
  <si>
    <t>10-ago</t>
  </si>
  <si>
    <t>13-ago</t>
  </si>
  <si>
    <t>14-ago</t>
  </si>
  <si>
    <t>24-ago</t>
  </si>
  <si>
    <t>25-ago</t>
  </si>
  <si>
    <t>27-ago</t>
  </si>
  <si>
    <t>as_fecha_tran</t>
  </si>
  <si>
    <t>ar_descripcion</t>
  </si>
  <si>
    <t>as_concepto</t>
  </si>
  <si>
    <t>ALIMENTACION DE EMPLEADOS CTA NUEVA</t>
  </si>
  <si>
    <t>PAGO NOMINA QUINCENA 1 AGOSTO 2018</t>
  </si>
  <si>
    <t>PAGO NOMINA QUINCENA 2 AGOSTO 2018</t>
  </si>
  <si>
    <t>OTROS EGRESOS 18</t>
  </si>
  <si>
    <t>co_descripcion</t>
  </si>
  <si>
    <t>TRANSACCIONES DEL DIA 08/07/2018SPYRAL - GESTION ADMINISTRATIVA</t>
  </si>
  <si>
    <t>TRANSACCIONES DEL DIA 08/08/2018SPYRAL - GESTION ADMINISTRATIVA</t>
  </si>
  <si>
    <t>TRANSACCIONES DEL DIA 08/10/2018 RECURSOS HUMANOS</t>
  </si>
  <si>
    <t>TRANSACCIONES DEL DIA 08/13/2018SPYRAL - GESTION ADMINISTRATIVA</t>
  </si>
  <si>
    <t>TRANSACCIONES DEL DIA 08/14/2018SPYRAL - GESTION ADMINISTRATIVA</t>
  </si>
  <si>
    <t>TRANSACCIONES DEL DIA 08/24/2018SPYRAL - GESTION ADMINISTRATIVA</t>
  </si>
  <si>
    <t>TRANSACCIONES DEL DIA 08/25/2018 RECURSOS HUMANOS</t>
  </si>
  <si>
    <t>OTROS EGRESOS 1.P.O (OR:38/DES:38 TRN:86 PERF:300086 CAU: 18</t>
  </si>
  <si>
    <t>Suma de as_debito</t>
  </si>
  <si>
    <t>Suma de as_credito</t>
  </si>
  <si>
    <t>as_asiento</t>
  </si>
  <si>
    <t>mostrado abajo haga clic en la opción "Habilitar Macros" y podrá iniciar.</t>
  </si>
  <si>
    <t>seguridad y habilitar las Macros y las Conecciones de Datos para iniciar.</t>
  </si>
  <si>
    <t xml:space="preserve">Favor cerrar el libro e intente abrirlo nuevamente, al aparecer el mensaje </t>
  </si>
  <si>
    <t xml:space="preserve">Hacer clic en el botón "Opciones…" ubicado en la barra de advertencia de </t>
  </si>
  <si>
    <t>Usuarios de Office Excel 97-2003</t>
  </si>
  <si>
    <t>Usuarios de Office Excel 2007 o superior</t>
  </si>
  <si>
    <t>Verifique su versión de Microsoft Office Excel de acuerdo al mensaje mostrado a continuación y siga uno de los pasos descritos abajo para poder utilizar el tablero:</t>
  </si>
  <si>
    <t xml:space="preserve">Este archivo no tendrá funcionalidad alguna hasta que todo el contenido del libro sea habilitado. </t>
  </si>
  <si>
    <t>Favor lea las siguientes instrucciones detenidamente:</t>
  </si>
  <si>
    <t>Versión:</t>
  </si>
  <si>
    <t>Medición Financiera - Canales Tradicionales</t>
  </si>
  <si>
    <t>BRINDIS DE PARTICIPACIÓN</t>
  </si>
  <si>
    <t xml:space="preserve">CELEBRACIONES </t>
  </si>
  <si>
    <t xml:space="preserve">RECONOCIMIENTO </t>
  </si>
  <si>
    <t>Suma de Plan</t>
  </si>
  <si>
    <t>Oficina</t>
  </si>
  <si>
    <t>(Todas)</t>
  </si>
  <si>
    <t>Año</t>
  </si>
  <si>
    <t>Suma de Balance</t>
  </si>
  <si>
    <t>OTROS EGRESOS 1.P.O (OR:71/DES:71 TRN:86 PERF:300086 CAU: 18</t>
  </si>
  <si>
    <t>NC ALIMENTACION DE EMPLEADOS NVA</t>
  </si>
  <si>
    <t>OTROS EGRESOS 1.P.O (OR:196/DES:196 TRN:86 PERF:300086 CAU: 18</t>
  </si>
  <si>
    <t>OTROS EGRESOS 1.P.O (OR:23/DES:23 TRN:86 PERF:300086 CAU: 18</t>
  </si>
  <si>
    <t>OTROS EGRESOS 1.P.O (OR:43/DES:43 TRN:86 PERF:300086 CAU: 18</t>
  </si>
  <si>
    <t>OTROS EGRESOS 1.P.O (OR:73/DES:73 TRN:86 PERF:300086 CAU: 18</t>
  </si>
  <si>
    <t>OTROS EGRESOS 1.P.O (OR:3/DES:3 TRN:86 PERF:300086 CAU: 18</t>
  </si>
  <si>
    <t>OTROS EGRESOS 1.P.O (OR:53/DES:53 TRN:86 PERF:300086 CAU: 18</t>
  </si>
  <si>
    <t>OTROS EGRESOS 1.P.O (OR:164/DES:164 TRN:86 PERF:300086 CAU: 18</t>
  </si>
  <si>
    <t>NC GASTO NO DEDUCIBLES</t>
  </si>
  <si>
    <t>GASTOS NO DEDUCIBLES</t>
  </si>
  <si>
    <t>VIATICOS 2</t>
  </si>
  <si>
    <t>NC VIATICOS</t>
  </si>
  <si>
    <t>NC  RECONOCIMIENTOS</t>
  </si>
  <si>
    <t>ATENCION A CLIENTES</t>
  </si>
  <si>
    <t>ATM</t>
  </si>
  <si>
    <t>BANCA COMERCIAL PERIFERIA</t>
  </si>
  <si>
    <t>FUERZAS DE VENTAS PANAMA</t>
  </si>
  <si>
    <t>HIPOTECAS</t>
  </si>
  <si>
    <t>IMAGEN CORPORATIVA</t>
  </si>
  <si>
    <t>INTERINOS</t>
  </si>
  <si>
    <t>BANCA COMERCIAL CENTRO</t>
  </si>
  <si>
    <t>CANALES DE DISTRIBUCION</t>
  </si>
  <si>
    <t>FUERZA DE VENTAS AUTOS</t>
  </si>
  <si>
    <t>DESARROLLO DE PRODUCTOS</t>
  </si>
  <si>
    <t>TELEMERCADEO</t>
  </si>
  <si>
    <t>CENTRO DE TARJETAS</t>
  </si>
  <si>
    <t>GESTION HIPOTECARIA</t>
  </si>
  <si>
    <t>BANCA COMERCIAL</t>
  </si>
  <si>
    <t>BANCA COMERCIAL INTERIOR</t>
  </si>
  <si>
    <t>BANCA PRIVADA</t>
  </si>
  <si>
    <t>VENTAS CONSUMO</t>
  </si>
  <si>
    <t>ZONA LIBRE</t>
  </si>
  <si>
    <t>BANCA CORPORATIVA</t>
  </si>
  <si>
    <t>BANCA DE CONSUMO</t>
  </si>
  <si>
    <t>OTROS EGRESOS 1.P.O (OR:97/DES:97 TRN:86 PERF:300086 CAU: 18</t>
  </si>
  <si>
    <t>OTROS EGRESOS 1.P.O (OR:47/DES:47 TRN:86 PERF:300086 CAU: 18</t>
  </si>
  <si>
    <t>OTROS EGRESOS 1.P.O (OR:79/DES:79 TRN:86 PERF:300086 CAU: 18</t>
  </si>
  <si>
    <t>Mes</t>
  </si>
  <si>
    <t>Credito</t>
  </si>
  <si>
    <t>Debito</t>
  </si>
  <si>
    <t>Area</t>
  </si>
  <si>
    <t>MesNum</t>
  </si>
  <si>
    <t>junio</t>
  </si>
  <si>
    <t>julio</t>
  </si>
  <si>
    <t>enero</t>
  </si>
  <si>
    <t>febrero</t>
  </si>
  <si>
    <t>marzo</t>
  </si>
  <si>
    <t>abril</t>
  </si>
  <si>
    <t>mayo</t>
  </si>
  <si>
    <t>Barra</t>
  </si>
  <si>
    <t>Todos los meses…</t>
  </si>
  <si>
    <t>2019</t>
  </si>
  <si>
    <t>agosto</t>
  </si>
  <si>
    <t>septiembre</t>
  </si>
  <si>
    <t>octubre</t>
  </si>
  <si>
    <t>noviembre</t>
  </si>
  <si>
    <t>diciembre</t>
  </si>
  <si>
    <t>Sheets("Formulario").Shapes("ListBox").ControlFormat.List(Sheets("Formulario").Shapes("ListBox").ControlFormat.ListIndex) &amp; vbNewLine</t>
  </si>
  <si>
    <t>OTROS EGRESOS 1.P.O (OR:32/DES:32 TRN:86 PERF:300086 CAU: 18</t>
  </si>
  <si>
    <t>RECONOCIMIENTO</t>
  </si>
  <si>
    <t>OTROS EGRESOS 1.P.O (OR:125/DES:125 TRN:86 PERF:300086 CAU: 18</t>
  </si>
  <si>
    <t>OTROS EGRESOS 1.P.O (OR:66/DES:66 TRN:86 PERF:300086 CAU: 18</t>
  </si>
  <si>
    <t>SEGMENTO DE NEGOCIOS</t>
  </si>
  <si>
    <t>OTROS EGRESOS 1.P.O (OR:48/DES:48 TRN:86 PERF:300086 CAU: 18</t>
  </si>
  <si>
    <t>CANALES ALTERNOS</t>
  </si>
  <si>
    <t>OTROS EGRESOS 1.P.O (OR:33/DES:33 TRN:86 PERF:300086 CAU: 18</t>
  </si>
  <si>
    <t>OTROS EGRESOS 1.P.O (OR:76/DES:76 TRN:86 PERF:300086 CAU: 18</t>
  </si>
  <si>
    <t>OTROS EGRESOS 1.P.O (OR:1/DES:1 TRN:86 PERF:300086 CAU: 18</t>
  </si>
  <si>
    <t>OTROS EGRESOS 1.P.O (OR:19/DES:19 TRN:86 PERF:300086 CAU: 18</t>
  </si>
  <si>
    <t>OTROS EGRESOS 1.P.O (OR:165/DES:165 TRN:86 PERF:300086 CAU: 18</t>
  </si>
  <si>
    <t>OTROS EGRESOS 1.P.O (OR:35/DES:35 TRN:86 PERF:300086 CAU: 18</t>
  </si>
  <si>
    <t>OTROS EGRESOS 1.P.O (OR:13/DES:13 TRN:86 PERF:300086 CAU: 18</t>
  </si>
  <si>
    <t>MERCADEO Y PUBLICIDAD</t>
  </si>
  <si>
    <t>OTROS EGRESOS 1.P.O (OR:6/DES:6 TRN:86 PERF:300086 CAU: 18</t>
  </si>
  <si>
    <t>OTROS EGRESOS 1.P.O (OR:21/DES:21 TRN:86 PERF:300086 CAU: 18</t>
  </si>
  <si>
    <t>OTROS EGRESOS 1.P.O (OR:20/DES:20 TRN:86 PERF:300086 CAU: 18</t>
  </si>
  <si>
    <t>REVERSION PROVISION CUENTA DE RECONOCIMIENTOS</t>
  </si>
  <si>
    <t>OTROS EGRESOS 1.P.O (OR:69/DES:69 TRN:86 PERF:300086 CAU: 18</t>
  </si>
  <si>
    <t>OTROS EGRESOS 1.P.O (OR:51/DES:51 TRN:86 PERF:300086 CAU: 18</t>
  </si>
  <si>
    <t>MERCADEO</t>
  </si>
  <si>
    <t>OTROS EGRESOS 1.P.O (OR:4/DES:4 TRN:86 PERF:300086 CAU: 18</t>
  </si>
  <si>
    <t>OTROS EGRESOS 17</t>
  </si>
  <si>
    <t>OTROS EGRESOS 1.P.O (OR:54/DES:54 TRN:86 PERF:300086 CAU: 17</t>
  </si>
  <si>
    <t>SERVICIOS AL CLIENTE</t>
  </si>
  <si>
    <t>OTROS EGRESOS 1.P.O (OR:41/DES:41 TRN:86 PERF:300086 CAU: 18</t>
  </si>
  <si>
    <t>EMISOR DE TARJETAS</t>
  </si>
  <si>
    <t>TRANSACCIONES DEL DIA 05/02/2019SPYRAL - GESTION ADMINISTRATIVA</t>
  </si>
  <si>
    <t>TRANSACCIONES DEL DIA 05/03/2019SPYRAL - GESTION ADMINISTRATIVA</t>
  </si>
  <si>
    <t>TRANSACCIONES DEL DIA 05/04/2019SPYRAL - GESTION ADMINISTRATIVA</t>
  </si>
  <si>
    <t>TRANSACCIONES DEL DIA 05/06/2019SPYRAL - GESTION ADMINISTRATIVA</t>
  </si>
  <si>
    <t>TRANSACCIONES DEL DIA 05/07/2019SPYRAL - GESTION ADMINISTRATIVA</t>
  </si>
  <si>
    <t>PLANILLAS DE LIQUIDACIONES MAY 2019</t>
  </si>
  <si>
    <t>TRANSACCIONES DEL DIA 05/07/2019 RECURSOS HUMANOS</t>
  </si>
  <si>
    <t>TRANSACCIONES DEL DIA 05/08/2019SPYRAL - GESTION ADMINISTRATIVA</t>
  </si>
  <si>
    <t>TRANSACCIONES DEL DIA 05/09/2019SPYRAL - GESTION ADMINISTRATIVA</t>
  </si>
  <si>
    <t>TRANSACCIONES DEL DIA 05/10/2019SPYRAL - GESTION ADMINISTRATIVA</t>
  </si>
  <si>
    <t>PAGO NOMINA QUINCENA 1 MAYO 2019</t>
  </si>
  <si>
    <t>TRANSACCIONES DEL DIA 05/10/2019 RECURSOS HUMANOS</t>
  </si>
  <si>
    <t>TRANSACCIONES DEL DIA 05/13/2019SPYRAL - GESTION ADMINISTRATIVA</t>
  </si>
  <si>
    <t>TRANSACCIONES DEL DIA 05/14/2019SPYRAL - GESTION ADMINISTRATIVA</t>
  </si>
  <si>
    <t>TRANSACCIONES DEL DIA 05/15/2019SPYRAL - GESTION ADMINISTRATIVA</t>
  </si>
  <si>
    <t>TRANSACCIONES DEL DIA 05/16/2019SPYRAL - GESTION ADMINISTRATIVA</t>
  </si>
  <si>
    <t>TRANSACCIONES DEL DIA 05/17/2019SPYRAL - GESTION ADMINISTRATIVA</t>
  </si>
  <si>
    <t>TRANSACCIONES DEL DIA 05/17/2019 RECURSOS HUMANOS</t>
  </si>
  <si>
    <t>TRANSACCIONES DEL DIA 05/18/2019SPYRAL - GESTION ADMINISTRATIVA</t>
  </si>
  <si>
    <t>TRANSACCIONES DEL DIA 05/20/2019SPYRAL - GESTION ADMINISTRATIVA</t>
  </si>
  <si>
    <t>TRANSACCIONES DEL DIA 05/21/2019SPYRAL - GESTION ADMINISTRATIVA</t>
  </si>
  <si>
    <t>TRANSACCIONES DEL DIA 05/22/2019SPYRAL - GESTION ADMINISTRATIVA</t>
  </si>
  <si>
    <t>TRANSACCIONES DEL DIA 05/23/2019SPYRAL - GESTION ADMINISTRATIVA</t>
  </si>
  <si>
    <t>TRANSACCIONES DEL DIA 05/24/2019SPYRAL - GESTION ADMINISTRATIVA</t>
  </si>
  <si>
    <t>PAGO NOMINA QUINCENA 2 MAYO 2019</t>
  </si>
  <si>
    <t>TRANSACCIONES DEL DIA 05/25/2019 RECURSOS HUMANOS</t>
  </si>
  <si>
    <t>TRANSACCIONES DEL DIA 05/25/2019SPYRAL - GESTION ADMINISTRATIVA</t>
  </si>
  <si>
    <t>TRANSACCIONES DEL DIA 05/27/2019SPYRAL - GESTION ADMINISTRATIVA</t>
  </si>
  <si>
    <t>TRANSACCIONES DEL DIA 05/28/2019SPYRAL - GESTION ADMINISTRATIVA</t>
  </si>
  <si>
    <t>TRANSACCIONES DEL DIA 05/29/2019SPYRAL - GESTION ADMINISTRATIVA</t>
  </si>
  <si>
    <t>REVERSION MAYO 2019</t>
  </si>
  <si>
    <t>TRANSACCIONES DEL DIA 05/30/2019SPYRAL - GESTION ADMINISTRATIVA</t>
  </si>
  <si>
    <t>OTROS EGRESOS 1.P.O (OR:98/DES:98 TRN:86 PERF:300086 CAU: 18</t>
  </si>
  <si>
    <t>Área Contable</t>
  </si>
  <si>
    <t>Asiento Contable</t>
  </si>
  <si>
    <t>Comprobante Contable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</si>
</sst>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quot;$&quot;#,##0_);\(&quot;$&quot;#,##0\)"/>
    <numFmt numFmtId="165" formatCode="&quot;$&quot;#,##0_);[Red]\(&quot;$&quot;#,##0\)"/>
    <numFmt numFmtId="166" formatCode="_(* #,##0.00_);_(* \(#,##0.00\);_(* &quot;-&quot;??_);_(@_)"/>
    <numFmt numFmtId="167" formatCode=";;;"/>
    <numFmt numFmtId="168" formatCode="0.0%"/>
    <numFmt numFmtId="169" formatCode="d/m/yy;"/>
    <numFmt numFmtId="170" formatCode="0.0"/>
    <numFmt numFmtId="171" formatCode="&quot;$&quot;#,##0.00;[Red]&quot;$&quot;#,##0.00"/>
    <numFmt numFmtId="172" formatCode="&quot;B/.&quot;#,##0.00;[Red]&quot;B/.&quot;#,##0.00"/>
    <numFmt numFmtId="173" formatCode="&quot;B/.&quot;#,##0.00"/>
  </numFmts>
  <fonts count="38" x14ac:knownFonts="1">
    <font>
      <sz val="11"/>
      <color theme="1"/>
      <name val="Calibri"/>
      <family val="2"/>
      <scheme val="minor"/>
    </font>
    <font>
      <sz val="11"/>
      <color theme="1"/>
      <name val="Calibri"/>
      <family val="2"/>
      <scheme val="minor"/>
    </font>
    <font>
      <b/>
      <sz val="11"/>
      <color theme="1"/>
      <name val="Calibri"/>
      <family val="2"/>
      <scheme val="minor"/>
    </font>
    <font>
      <sz val="16"/>
      <color theme="1"/>
      <name val="Calibri"/>
      <family val="2"/>
      <scheme val="minor"/>
    </font>
    <font>
      <sz val="11"/>
      <color theme="1" tint="0.14999847407452621"/>
      <name val="Calibri"/>
      <family val="2"/>
      <scheme val="minor"/>
    </font>
    <font>
      <b/>
      <sz val="20"/>
      <color theme="1" tint="0.14999847407452621"/>
      <name val="Bookman Old Style"/>
      <family val="1"/>
    </font>
    <font>
      <b/>
      <sz val="18"/>
      <color theme="1"/>
      <name val="Calibri"/>
      <family val="2"/>
    </font>
    <font>
      <sz val="10"/>
      <name val="Calibri"/>
      <family val="2"/>
      <scheme val="minor"/>
    </font>
    <font>
      <sz val="13"/>
      <color theme="1"/>
      <name val="Calibri"/>
      <family val="2"/>
      <scheme val="minor"/>
    </font>
    <font>
      <sz val="13"/>
      <color theme="4" tint="0.79998168889431442"/>
      <name val="Calibri"/>
      <family val="2"/>
      <scheme val="minor"/>
    </font>
    <font>
      <sz val="12"/>
      <name val="Arial Narrow"/>
      <family val="2"/>
    </font>
    <font>
      <b/>
      <sz val="14"/>
      <color theme="1"/>
      <name val="Webdings"/>
      <family val="1"/>
      <charset val="2"/>
    </font>
    <font>
      <b/>
      <sz val="20"/>
      <color theme="1"/>
      <name val="Calibri"/>
      <family val="2"/>
      <scheme val="minor"/>
    </font>
    <font>
      <sz val="14"/>
      <color theme="1"/>
      <name val="Calibri"/>
      <family val="2"/>
      <scheme val="minor"/>
    </font>
    <font>
      <b/>
      <sz val="11"/>
      <color theme="0"/>
      <name val="Calibri"/>
      <family val="2"/>
      <scheme val="minor"/>
    </font>
    <font>
      <b/>
      <sz val="20"/>
      <color theme="0"/>
      <name val="Calibri"/>
      <family val="2"/>
      <scheme val="minor"/>
    </font>
    <font>
      <b/>
      <sz val="11"/>
      <color theme="1"/>
      <name val="Arial"/>
      <family val="2"/>
    </font>
    <font>
      <sz val="13"/>
      <name val="Arial"/>
      <family val="2"/>
    </font>
    <font>
      <b/>
      <sz val="10"/>
      <color theme="1"/>
      <name val="Calibri"/>
      <family val="2"/>
      <scheme val="minor"/>
    </font>
    <font>
      <sz val="10"/>
      <color theme="1"/>
      <name val="Calibri"/>
      <family val="2"/>
      <scheme val="minor"/>
    </font>
    <font>
      <b/>
      <sz val="17"/>
      <color theme="1"/>
      <name val="Webdings"/>
      <family val="1"/>
      <charset val="2"/>
    </font>
    <font>
      <b/>
      <sz val="16"/>
      <color theme="1" tint="0.34998626667073579"/>
      <name val="Webdings"/>
      <family val="1"/>
      <charset val="2"/>
    </font>
    <font>
      <sz val="14"/>
      <color theme="1" tint="0.249977111117893"/>
      <name val="Arial"/>
      <family val="2"/>
    </font>
    <font>
      <sz val="13"/>
      <color theme="1" tint="0.249977111117893"/>
      <name val="Arial"/>
      <family val="2"/>
    </font>
    <font>
      <b/>
      <sz val="18"/>
      <color theme="1" tint="0.34998626667073579"/>
      <name val="Arial"/>
      <family val="2"/>
    </font>
    <font>
      <sz val="18"/>
      <color theme="1" tint="0.34998626667073579"/>
      <name val="Arial"/>
      <family val="2"/>
    </font>
    <font>
      <sz val="11"/>
      <color rgb="FFFF0000"/>
      <name val="Calibri"/>
      <family val="2"/>
      <scheme val="minor"/>
    </font>
    <font>
      <sz val="15"/>
      <color theme="1" tint="0.34998626667073579"/>
      <name val="Arial"/>
      <family val="2"/>
    </font>
    <font>
      <sz val="11"/>
      <name val="Calibri"/>
      <family val="2"/>
      <scheme val="minor"/>
    </font>
    <font>
      <sz val="11"/>
      <color rgb="FF00B0F0"/>
      <name val="Webdings"/>
      <family val="1"/>
      <charset val="2"/>
    </font>
    <font>
      <sz val="10"/>
      <name val="Arial"/>
      <family val="2"/>
    </font>
    <font>
      <sz val="7"/>
      <color indexed="14"/>
      <name val="Verdana"/>
      <family val="2"/>
    </font>
    <font>
      <sz val="11"/>
      <name val="Tahoma"/>
      <family val="2"/>
    </font>
    <font>
      <b/>
      <sz val="11"/>
      <name val="Tahoma"/>
      <family val="2"/>
    </font>
    <font>
      <sz val="10"/>
      <color theme="3"/>
      <name val="Arial"/>
      <family val="2"/>
    </font>
    <font>
      <b/>
      <sz val="11"/>
      <color theme="3"/>
      <name val="Tahoma"/>
      <family val="2"/>
    </font>
    <font>
      <sz val="13"/>
      <name val="Tahoma"/>
      <family val="2"/>
    </font>
    <font>
      <b/>
      <sz val="20"/>
      <color theme="4" tint="-0.499984740745262"/>
      <name val="Calibri"/>
      <family val="2"/>
      <scheme val="minor"/>
    </font>
  </fonts>
  <fills count="9">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0"/>
        <bgColor indexed="64"/>
      </patternFill>
    </fill>
    <fill>
      <patternFill patternType="solid">
        <fgColor indexed="2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rgb="FFF9F8F5"/>
        <bgColor indexed="64"/>
      </patternFill>
    </fill>
  </fills>
  <borders count="22">
    <border>
      <left/>
      <right/>
      <top/>
      <bottom/>
      <diagonal/>
    </border>
    <border>
      <left style="thin">
        <color theme="4" tint="0.79998168889431442"/>
      </left>
      <right/>
      <top/>
      <bottom/>
      <diagonal/>
    </border>
    <border>
      <left style="dotted">
        <color auto="1"/>
      </left>
      <right style="dotted">
        <color auto="1"/>
      </right>
      <top style="dotted">
        <color auto="1"/>
      </top>
      <bottom style="dotted">
        <color auto="1"/>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right style="medium">
        <color theme="0" tint="-0.34998626667073579"/>
      </right>
      <top style="medium">
        <color theme="0" tint="-0.34998626667073579"/>
      </top>
      <bottom/>
      <diagonal/>
    </border>
    <border>
      <left style="medium">
        <color theme="0" tint="-0.34998626667073579"/>
      </left>
      <right/>
      <top/>
      <bottom/>
      <diagonal/>
    </border>
    <border>
      <left/>
      <right style="medium">
        <color theme="0" tint="-0.34998626667073579"/>
      </right>
      <top/>
      <bottom/>
      <diagonal/>
    </border>
    <border>
      <left style="medium">
        <color theme="0" tint="-0.34998626667073579"/>
      </left>
      <right/>
      <top/>
      <bottom style="medium">
        <color theme="0" tint="-0.34998626667073579"/>
      </bottom>
      <diagonal/>
    </border>
    <border>
      <left/>
      <right/>
      <top/>
      <bottom style="medium">
        <color theme="0" tint="-0.34998626667073579"/>
      </bottom>
      <diagonal/>
    </border>
    <border>
      <left/>
      <right style="medium">
        <color theme="0" tint="-0.34998626667073579"/>
      </right>
      <top/>
      <bottom style="medium">
        <color theme="0" tint="-0.34998626667073579"/>
      </bottom>
      <diagonal/>
    </border>
  </borders>
  <cellStyleXfs count="6">
    <xf numFmtId="0" fontId="0" fillId="0" borderId="0"/>
    <xf numFmtId="9" fontId="1" fillId="0" borderId="0" applyFont="0" applyFill="0" applyBorder="0" applyAlignment="0" applyProtection="0"/>
    <xf numFmtId="0" fontId="7" fillId="0" borderId="0"/>
    <xf numFmtId="166" fontId="1" fillId="0" borderId="0" applyFont="0" applyFill="0" applyBorder="0" applyAlignment="0" applyProtection="0"/>
    <xf numFmtId="0" fontId="10" fillId="0" borderId="0"/>
    <xf numFmtId="0" fontId="30" fillId="0" borderId="0"/>
  </cellStyleXfs>
  <cellXfs count="154">
    <xf numFmtId="0" fontId="0" fillId="0" borderId="0" xfId="0"/>
    <xf numFmtId="0" fontId="0" fillId="0" borderId="0" xfId="0" applyAlignment="1">
      <alignment horizontal="left"/>
    </xf>
    <xf numFmtId="0" fontId="0" fillId="2" borderId="0" xfId="0" applyFill="1"/>
    <xf numFmtId="0" fontId="0" fillId="0" borderId="0" xfId="0" applyAlignment="1">
      <alignment horizontal="center"/>
    </xf>
    <xf numFmtId="0" fontId="0" fillId="0" borderId="0" xfId="0" applyAlignment="1">
      <alignment vertical="center"/>
    </xf>
    <xf numFmtId="167" fontId="0" fillId="0" borderId="0" xfId="0" applyNumberFormat="1" applyProtection="1">
      <protection locked="0"/>
    </xf>
    <xf numFmtId="0" fontId="4" fillId="0" borderId="0" xfId="0" applyFont="1" applyFill="1" applyAlignment="1">
      <alignment vertical="center"/>
    </xf>
    <xf numFmtId="0" fontId="5" fillId="0" borderId="0" xfId="0" applyFont="1" applyFill="1" applyAlignment="1">
      <alignment vertical="center"/>
    </xf>
    <xf numFmtId="0" fontId="0" fillId="3" borderId="0" xfId="0" applyFill="1"/>
    <xf numFmtId="0" fontId="0" fillId="0" borderId="0" xfId="0" applyFill="1"/>
    <xf numFmtId="4" fontId="0" fillId="0" borderId="0" xfId="0" applyNumberFormat="1" applyFill="1"/>
    <xf numFmtId="0" fontId="0" fillId="0" borderId="0" xfId="0" applyFill="1" applyProtection="1"/>
    <xf numFmtId="0" fontId="0" fillId="0" borderId="0" xfId="0" applyBorder="1" applyAlignment="1">
      <alignment horizontal="center"/>
    </xf>
    <xf numFmtId="0" fontId="0" fillId="0" borderId="0" xfId="0" applyBorder="1"/>
    <xf numFmtId="0" fontId="0" fillId="0" borderId="0" xfId="0" applyBorder="1" applyAlignment="1">
      <alignment horizontal="right"/>
    </xf>
    <xf numFmtId="0" fontId="0" fillId="0" borderId="0" xfId="0" applyBorder="1" applyAlignment="1">
      <alignment horizontal="left"/>
    </xf>
    <xf numFmtId="0" fontId="2" fillId="0" borderId="0" xfId="0" applyFont="1" applyBorder="1"/>
    <xf numFmtId="0" fontId="0" fillId="2" borderId="0" xfId="0" applyFill="1" applyBorder="1"/>
    <xf numFmtId="9" fontId="0" fillId="0" borderId="0" xfId="1" applyFont="1" applyBorder="1" applyAlignment="1">
      <alignment horizontal="right"/>
    </xf>
    <xf numFmtId="9" fontId="0" fillId="0" borderId="0" xfId="1" applyFont="1" applyBorder="1" applyAlignment="1">
      <alignment horizontal="center"/>
    </xf>
    <xf numFmtId="9" fontId="0" fillId="0" borderId="0" xfId="0" applyNumberFormat="1" applyBorder="1"/>
    <xf numFmtId="1" fontId="0" fillId="0" borderId="0" xfId="0" applyNumberFormat="1" applyFill="1" applyBorder="1" applyAlignment="1">
      <alignment horizontal="right"/>
    </xf>
    <xf numFmtId="9" fontId="0" fillId="0" borderId="0" xfId="1" applyFont="1" applyFill="1" applyBorder="1" applyAlignment="1">
      <alignment horizontal="right"/>
    </xf>
    <xf numFmtId="1" fontId="0" fillId="0" borderId="0" xfId="1" applyNumberFormat="1" applyFont="1" applyFill="1" applyBorder="1" applyAlignment="1">
      <alignment horizontal="center"/>
    </xf>
    <xf numFmtId="1" fontId="0" fillId="0" borderId="0" xfId="0" applyNumberFormat="1" applyBorder="1"/>
    <xf numFmtId="0" fontId="2" fillId="0" borderId="0" xfId="0" applyFont="1" applyBorder="1" applyAlignment="1">
      <alignment horizontal="left"/>
    </xf>
    <xf numFmtId="0" fontId="2" fillId="0" borderId="0" xfId="0" applyFont="1" applyBorder="1" applyAlignment="1">
      <alignment horizontal="right"/>
    </xf>
    <xf numFmtId="0" fontId="2" fillId="0" borderId="0" xfId="0" applyFont="1" applyBorder="1" applyAlignment="1">
      <alignment horizontal="center"/>
    </xf>
    <xf numFmtId="1" fontId="0" fillId="0" borderId="0" xfId="0" applyNumberFormat="1" applyBorder="1" applyAlignment="1">
      <alignment horizontal="right"/>
    </xf>
    <xf numFmtId="2" fontId="0" fillId="0" borderId="0" xfId="0" applyNumberFormat="1" applyBorder="1" applyAlignment="1">
      <alignment horizontal="right"/>
    </xf>
    <xf numFmtId="0" fontId="0" fillId="0" borderId="0" xfId="0" applyFill="1" applyAlignment="1">
      <alignment vertical="center"/>
    </xf>
    <xf numFmtId="0" fontId="23" fillId="2" borderId="1" xfId="0" applyFont="1" applyFill="1" applyBorder="1" applyAlignment="1" applyProtection="1">
      <alignment horizontal="left" vertical="center" indent="1"/>
    </xf>
    <xf numFmtId="0" fontId="22" fillId="2" borderId="0" xfId="0" applyFont="1" applyFill="1" applyBorder="1" applyAlignment="1" applyProtection="1">
      <alignment horizontal="center" vertical="center"/>
    </xf>
    <xf numFmtId="0" fontId="23" fillId="2" borderId="0" xfId="0" applyFont="1" applyFill="1" applyBorder="1" applyAlignment="1" applyProtection="1">
      <alignment horizontal="left" vertical="center" indent="1"/>
    </xf>
    <xf numFmtId="0" fontId="22" fillId="2" borderId="0" xfId="0" applyFont="1" applyFill="1" applyBorder="1" applyAlignment="1" applyProtection="1">
      <alignment vertical="center"/>
    </xf>
    <xf numFmtId="0" fontId="20" fillId="4" borderId="0" xfId="0" applyFont="1" applyFill="1" applyBorder="1" applyAlignment="1" applyProtection="1">
      <alignment horizontal="center" vertical="center"/>
    </xf>
    <xf numFmtId="0" fontId="0" fillId="4" borderId="0" xfId="0" applyFill="1"/>
    <xf numFmtId="0" fontId="2" fillId="4" borderId="0" xfId="0" applyFont="1" applyFill="1" applyAlignment="1" applyProtection="1">
      <alignment horizontal="left" vertical="center" indent="1"/>
    </xf>
    <xf numFmtId="0" fontId="11" fillId="4" borderId="0" xfId="0" applyFont="1" applyFill="1" applyBorder="1" applyAlignment="1" applyProtection="1">
      <alignment horizontal="center" vertical="center"/>
    </xf>
    <xf numFmtId="0" fontId="0" fillId="4" borderId="0" xfId="0" applyFill="1" applyProtection="1"/>
    <xf numFmtId="4" fontId="0" fillId="0" borderId="3" xfId="0" applyNumberFormat="1" applyFill="1" applyBorder="1"/>
    <xf numFmtId="0" fontId="0" fillId="0" borderId="3" xfId="0" applyFill="1" applyBorder="1"/>
    <xf numFmtId="4" fontId="0" fillId="0" borderId="3" xfId="0" applyNumberFormat="1" applyBorder="1"/>
    <xf numFmtId="4" fontId="0" fillId="0" borderId="3" xfId="0" applyNumberFormat="1" applyFill="1" applyBorder="1" applyAlignment="1">
      <alignment horizontal="center"/>
    </xf>
    <xf numFmtId="0" fontId="0" fillId="0" borderId="3" xfId="0" applyFill="1" applyBorder="1" applyAlignment="1">
      <alignment horizontal="center"/>
    </xf>
    <xf numFmtId="0" fontId="17" fillId="0" borderId="0" xfId="0" applyFont="1" applyFill="1" applyBorder="1" applyAlignment="1">
      <alignment vertical="center" wrapText="1"/>
    </xf>
    <xf numFmtId="0" fontId="0" fillId="0" borderId="0" xfId="0" pivotButton="1"/>
    <xf numFmtId="0" fontId="26" fillId="3" borderId="0" xfId="0" applyFont="1" applyFill="1" applyBorder="1" applyAlignment="1">
      <alignment horizontal="center"/>
    </xf>
    <xf numFmtId="0" fontId="0" fillId="0" borderId="0" xfId="0" applyNumberFormat="1"/>
    <xf numFmtId="169" fontId="0" fillId="0" borderId="0" xfId="0" applyNumberFormat="1"/>
    <xf numFmtId="0" fontId="30" fillId="0" borderId="0" xfId="5"/>
    <xf numFmtId="0" fontId="30" fillId="0" borderId="4" xfId="5" applyBorder="1"/>
    <xf numFmtId="0" fontId="30" fillId="0" borderId="5" xfId="5" applyBorder="1"/>
    <xf numFmtId="0" fontId="30" fillId="0" borderId="6" xfId="5" applyBorder="1"/>
    <xf numFmtId="0" fontId="30" fillId="0" borderId="7" xfId="5" applyBorder="1"/>
    <xf numFmtId="0" fontId="30" fillId="0" borderId="0" xfId="5" applyBorder="1"/>
    <xf numFmtId="0" fontId="30" fillId="0" borderId="8" xfId="5" applyBorder="1"/>
    <xf numFmtId="0" fontId="31" fillId="0" borderId="0" xfId="5" applyFont="1" applyBorder="1"/>
    <xf numFmtId="0" fontId="32" fillId="0" borderId="8" xfId="5" applyFont="1" applyBorder="1" applyAlignment="1">
      <alignment horizontal="left" indent="1"/>
    </xf>
    <xf numFmtId="0" fontId="32" fillId="0" borderId="9" xfId="5" applyFont="1" applyBorder="1" applyAlignment="1">
      <alignment horizontal="left" indent="1"/>
    </xf>
    <xf numFmtId="0" fontId="30" fillId="0" borderId="10" xfId="5" applyBorder="1"/>
    <xf numFmtId="0" fontId="32" fillId="0" borderId="8" xfId="5" applyFont="1" applyBorder="1" applyAlignment="1"/>
    <xf numFmtId="0" fontId="33" fillId="0" borderId="0" xfId="5" applyFont="1" applyAlignment="1"/>
    <xf numFmtId="0" fontId="32" fillId="0" borderId="0" xfId="5" applyFont="1" applyAlignment="1">
      <alignment horizontal="left" indent="1"/>
    </xf>
    <xf numFmtId="0" fontId="32" fillId="0" borderId="0" xfId="5" applyFont="1" applyAlignment="1"/>
    <xf numFmtId="0" fontId="34" fillId="0" borderId="0" xfId="5" applyFont="1"/>
    <xf numFmtId="0" fontId="35" fillId="0" borderId="0" xfId="5" applyFont="1" applyAlignment="1"/>
    <xf numFmtId="170" fontId="33" fillId="0" borderId="0" xfId="5" applyNumberFormat="1" applyFont="1" applyAlignment="1">
      <alignment horizontal="left"/>
    </xf>
    <xf numFmtId="0" fontId="33" fillId="0" borderId="0" xfId="5" applyFont="1" applyAlignment="1">
      <alignment horizontal="right"/>
    </xf>
    <xf numFmtId="0" fontId="36" fillId="0" borderId="0" xfId="5" applyFont="1" applyAlignment="1">
      <alignment horizontal="left" indent="5"/>
    </xf>
    <xf numFmtId="0" fontId="0" fillId="7" borderId="0" xfId="0" applyFill="1" applyProtection="1"/>
    <xf numFmtId="0" fontId="0" fillId="7" borderId="0" xfId="0" applyFill="1"/>
    <xf numFmtId="0" fontId="2" fillId="6" borderId="0" xfId="0" applyFont="1" applyFill="1" applyAlignment="1" applyProtection="1">
      <alignment horizontal="left" vertical="center" indent="1"/>
    </xf>
    <xf numFmtId="0" fontId="11" fillId="6" borderId="0" xfId="0" applyFont="1" applyFill="1" applyBorder="1" applyAlignment="1" applyProtection="1">
      <alignment horizontal="center" vertical="center"/>
    </xf>
    <xf numFmtId="0" fontId="20" fillId="6" borderId="0" xfId="0" applyFont="1" applyFill="1" applyBorder="1" applyAlignment="1" applyProtection="1">
      <alignment horizontal="center" vertical="center"/>
    </xf>
    <xf numFmtId="0" fontId="0" fillId="6" borderId="0" xfId="0" applyFill="1" applyProtection="1"/>
    <xf numFmtId="167" fontId="3" fillId="0" borderId="0" xfId="0" applyNumberFormat="1" applyFont="1" applyFill="1" applyAlignment="1">
      <alignment horizontal="left" vertical="center"/>
    </xf>
    <xf numFmtId="167" fontId="0" fillId="0" borderId="0" xfId="0" applyNumberFormat="1" applyFill="1" applyAlignment="1">
      <alignment horizontal="left"/>
    </xf>
    <xf numFmtId="0" fontId="3" fillId="0" borderId="0" xfId="0" applyFont="1" applyFill="1" applyAlignment="1">
      <alignment horizontal="center" vertical="center"/>
    </xf>
    <xf numFmtId="0" fontId="2" fillId="0" borderId="0" xfId="0" applyFont="1" applyFill="1" applyBorder="1" applyAlignment="1" applyProtection="1">
      <alignment horizontal="left" vertical="center" indent="1"/>
    </xf>
    <xf numFmtId="167" fontId="9" fillId="0" borderId="0" xfId="0" applyNumberFormat="1" applyFont="1" applyFill="1" applyBorder="1" applyAlignment="1" applyProtection="1"/>
    <xf numFmtId="167" fontId="8" fillId="0" borderId="0" xfId="0" applyNumberFormat="1" applyFont="1" applyFill="1" applyBorder="1" applyAlignment="1" applyProtection="1"/>
    <xf numFmtId="0" fontId="2" fillId="0" borderId="0" xfId="0" applyFont="1" applyFill="1" applyAlignment="1" applyProtection="1">
      <alignment horizontal="left" vertical="center" indent="1"/>
    </xf>
    <xf numFmtId="0" fontId="11" fillId="0" borderId="0" xfId="0" applyFont="1" applyFill="1" applyBorder="1" applyAlignment="1" applyProtection="1">
      <alignment horizontal="center" vertical="center"/>
    </xf>
    <xf numFmtId="0" fontId="6" fillId="0" borderId="0" xfId="0" applyFont="1" applyFill="1" applyAlignment="1">
      <alignment horizontal="center" vertical="center"/>
    </xf>
    <xf numFmtId="0" fontId="20" fillId="0" borderId="0" xfId="0" applyFont="1" applyFill="1" applyBorder="1" applyAlignment="1" applyProtection="1">
      <alignment horizontal="center" vertical="center"/>
    </xf>
    <xf numFmtId="0" fontId="6" fillId="0" borderId="0" xfId="0" applyFont="1" applyFill="1" applyAlignment="1" applyProtection="1">
      <alignment horizontal="center" vertical="center"/>
    </xf>
    <xf numFmtId="0" fontId="0" fillId="0" borderId="0" xfId="0" applyFill="1" applyBorder="1"/>
    <xf numFmtId="0" fontId="0" fillId="0" borderId="0" xfId="0" applyFill="1" applyAlignment="1">
      <alignment horizontal="center"/>
    </xf>
    <xf numFmtId="0" fontId="0" fillId="0" borderId="0" xfId="0" applyFill="1" applyBorder="1" applyAlignment="1"/>
    <xf numFmtId="0" fontId="29" fillId="0" borderId="0" xfId="0" applyFont="1" applyFill="1" applyBorder="1" applyAlignment="1">
      <alignment horizontal="center" vertical="center"/>
    </xf>
    <xf numFmtId="0" fontId="29" fillId="0" borderId="0" xfId="0" applyFont="1" applyFill="1" applyBorder="1" applyAlignment="1">
      <alignment vertical="center"/>
    </xf>
    <xf numFmtId="0" fontId="11" fillId="2" borderId="0" xfId="0" applyFont="1" applyFill="1" applyBorder="1" applyAlignment="1" applyProtection="1">
      <alignment horizontal="center" vertical="center"/>
    </xf>
    <xf numFmtId="14" fontId="0" fillId="0" borderId="0" xfId="0" applyNumberFormat="1"/>
    <xf numFmtId="171" fontId="0" fillId="0" borderId="0" xfId="0" applyNumberFormat="1"/>
    <xf numFmtId="2" fontId="0" fillId="0" borderId="0" xfId="0" applyNumberFormat="1"/>
    <xf numFmtId="0" fontId="24" fillId="8" borderId="0" xfId="0" applyFont="1" applyFill="1" applyBorder="1" applyAlignment="1" applyProtection="1">
      <alignment vertical="center"/>
    </xf>
    <xf numFmtId="0" fontId="2" fillId="8" borderId="0" xfId="0" applyFont="1" applyFill="1" applyBorder="1" applyAlignment="1" applyProtection="1">
      <alignment vertical="center"/>
    </xf>
    <xf numFmtId="0" fontId="25" fillId="8" borderId="0" xfId="0" applyFont="1" applyFill="1" applyBorder="1" applyAlignment="1" applyProtection="1">
      <alignment vertical="center"/>
    </xf>
    <xf numFmtId="168" fontId="25" fillId="8" borderId="0" xfId="0" applyNumberFormat="1" applyFont="1" applyFill="1" applyBorder="1" applyAlignment="1" applyProtection="1">
      <alignment vertical="center"/>
    </xf>
    <xf numFmtId="164" fontId="25" fillId="8" borderId="0" xfId="0" applyNumberFormat="1" applyFont="1" applyFill="1" applyBorder="1" applyAlignment="1" applyProtection="1">
      <alignment vertical="center"/>
    </xf>
    <xf numFmtId="167" fontId="2" fillId="8" borderId="0" xfId="0" applyNumberFormat="1" applyFont="1" applyFill="1" applyBorder="1" applyAlignment="1" applyProtection="1">
      <alignment vertical="center"/>
    </xf>
    <xf numFmtId="0" fontId="16" fillId="8" borderId="0" xfId="0" applyFont="1" applyFill="1" applyBorder="1" applyAlignment="1" applyProtection="1">
      <alignment vertical="center"/>
    </xf>
    <xf numFmtId="167" fontId="15" fillId="8" borderId="0" xfId="0" applyNumberFormat="1" applyFont="1" applyFill="1" applyBorder="1" applyAlignment="1" applyProtection="1">
      <alignment vertical="center"/>
    </xf>
    <xf numFmtId="167" fontId="12" fillId="8" borderId="0" xfId="0" applyNumberFormat="1" applyFont="1" applyFill="1" applyBorder="1" applyAlignment="1" applyProtection="1">
      <alignment vertical="center"/>
    </xf>
    <xf numFmtId="4" fontId="0" fillId="0" borderId="0" xfId="0" applyNumberFormat="1" applyFill="1" applyBorder="1" applyAlignment="1">
      <alignment horizontal="center"/>
    </xf>
    <xf numFmtId="0" fontId="0" fillId="0" borderId="0" xfId="0" applyFill="1" applyBorder="1" applyAlignment="1">
      <alignment horizontal="center"/>
    </xf>
    <xf numFmtId="0" fontId="33" fillId="5" borderId="12" xfId="5" applyFont="1" applyFill="1" applyBorder="1" applyAlignment="1">
      <alignment horizontal="center"/>
    </xf>
    <xf numFmtId="0" fontId="33" fillId="5" borderId="11" xfId="5" applyFont="1" applyFill="1" applyBorder="1" applyAlignment="1">
      <alignment horizontal="center"/>
    </xf>
    <xf numFmtId="0" fontId="33" fillId="5" borderId="13" xfId="5" applyFont="1" applyFill="1" applyBorder="1" applyAlignment="1">
      <alignment horizontal="center"/>
    </xf>
    <xf numFmtId="0" fontId="13" fillId="8" borderId="0" xfId="0" applyFont="1" applyFill="1" applyBorder="1" applyAlignment="1">
      <alignment horizontal="left" vertical="center"/>
    </xf>
    <xf numFmtId="14" fontId="13" fillId="8" borderId="0" xfId="0" applyNumberFormat="1" applyFont="1" applyFill="1" applyBorder="1" applyAlignment="1">
      <alignment horizontal="center" vertical="center"/>
    </xf>
    <xf numFmtId="0" fontId="13" fillId="2" borderId="0" xfId="0" applyFont="1" applyFill="1" applyBorder="1" applyAlignment="1" applyProtection="1">
      <alignment horizontal="center" vertical="center"/>
    </xf>
    <xf numFmtId="0" fontId="11" fillId="0" borderId="0" xfId="0" applyFont="1" applyFill="1" applyBorder="1" applyAlignment="1" applyProtection="1">
      <alignment horizontal="center" vertical="center"/>
    </xf>
    <xf numFmtId="0" fontId="20" fillId="0" borderId="0" xfId="0" applyFont="1" applyFill="1" applyBorder="1" applyAlignment="1" applyProtection="1">
      <alignment horizontal="center" vertical="center"/>
    </xf>
    <xf numFmtId="0" fontId="11" fillId="2" borderId="0" xfId="0" applyFont="1" applyFill="1" applyBorder="1" applyAlignment="1" applyProtection="1">
      <alignment horizontal="center" vertical="center"/>
    </xf>
    <xf numFmtId="0" fontId="20" fillId="8" borderId="0" xfId="0" applyFont="1" applyFill="1" applyBorder="1" applyAlignment="1" applyProtection="1">
      <alignment horizontal="center" vertical="center"/>
    </xf>
    <xf numFmtId="167" fontId="14" fillId="8" borderId="0" xfId="0" applyNumberFormat="1" applyFont="1" applyFill="1" applyBorder="1" applyAlignment="1" applyProtection="1">
      <alignment horizontal="center" vertical="center"/>
    </xf>
    <xf numFmtId="0" fontId="3" fillId="0" borderId="0" xfId="0" applyFont="1" applyAlignment="1">
      <alignment horizontal="center" vertical="center"/>
    </xf>
    <xf numFmtId="0" fontId="21" fillId="2" borderId="0" xfId="0" applyFont="1" applyFill="1" applyBorder="1" applyAlignment="1" applyProtection="1">
      <alignment horizontal="center" vertical="center"/>
    </xf>
    <xf numFmtId="165" fontId="24" fillId="8" borderId="0" xfId="0" applyNumberFormat="1" applyFont="1" applyFill="1" applyBorder="1" applyAlignment="1" applyProtection="1">
      <alignment horizontal="center" vertical="center"/>
    </xf>
    <xf numFmtId="165" fontId="25" fillId="8" borderId="0" xfId="0" applyNumberFormat="1" applyFont="1" applyFill="1" applyBorder="1" applyAlignment="1" applyProtection="1">
      <alignment horizontal="center" vertical="center"/>
    </xf>
    <xf numFmtId="167" fontId="26" fillId="0" borderId="0" xfId="0" applyNumberFormat="1" applyFont="1" applyFill="1" applyAlignment="1">
      <alignment horizontal="center"/>
    </xf>
    <xf numFmtId="168" fontId="25" fillId="8" borderId="0" xfId="0" applyNumberFormat="1" applyFont="1" applyFill="1" applyBorder="1" applyAlignment="1" applyProtection="1">
      <alignment horizontal="center" vertical="center"/>
    </xf>
    <xf numFmtId="4" fontId="27" fillId="2" borderId="0" xfId="0" applyNumberFormat="1" applyFont="1" applyFill="1" applyBorder="1" applyAlignment="1" applyProtection="1">
      <alignment horizontal="center" vertical="center"/>
    </xf>
    <xf numFmtId="0" fontId="27" fillId="2" borderId="0" xfId="0" applyNumberFormat="1" applyFont="1" applyFill="1" applyBorder="1" applyAlignment="1" applyProtection="1">
      <alignment horizontal="center" vertical="center"/>
    </xf>
    <xf numFmtId="164" fontId="25" fillId="8" borderId="0" xfId="0" applyNumberFormat="1" applyFont="1" applyFill="1" applyBorder="1" applyAlignment="1" applyProtection="1">
      <alignment horizontal="center" vertical="center"/>
    </xf>
    <xf numFmtId="173" fontId="13" fillId="8" borderId="0" xfId="0" applyNumberFormat="1" applyFont="1" applyFill="1" applyBorder="1" applyAlignment="1">
      <alignment horizontal="center" vertical="center"/>
    </xf>
    <xf numFmtId="172" fontId="13" fillId="8" borderId="0" xfId="0" applyNumberFormat="1" applyFont="1" applyFill="1" applyBorder="1" applyAlignment="1">
      <alignment horizontal="center" vertical="center"/>
    </xf>
    <xf numFmtId="167" fontId="0" fillId="0" borderId="0" xfId="0" applyNumberFormat="1" applyFill="1" applyAlignment="1">
      <alignment horizontal="center"/>
    </xf>
    <xf numFmtId="0" fontId="0" fillId="0" borderId="0" xfId="0" applyFill="1" applyAlignment="1">
      <alignment horizontal="center"/>
    </xf>
    <xf numFmtId="167" fontId="28" fillId="0" borderId="0" xfId="0" applyNumberFormat="1" applyFont="1" applyFill="1" applyAlignment="1">
      <alignment horizontal="center"/>
    </xf>
    <xf numFmtId="0" fontId="18" fillId="0" borderId="2" xfId="0" applyFont="1" applyBorder="1" applyAlignment="1">
      <alignment horizontal="left" vertical="center"/>
    </xf>
    <xf numFmtId="0" fontId="19" fillId="0" borderId="2" xfId="0" applyFont="1" applyBorder="1" applyAlignment="1">
      <alignment vertical="center" wrapText="1"/>
    </xf>
    <xf numFmtId="0" fontId="19" fillId="0" borderId="2" xfId="0" applyFont="1" applyBorder="1" applyAlignment="1">
      <alignment horizontal="left" vertical="center" wrapText="1"/>
    </xf>
    <xf numFmtId="14" fontId="13" fillId="8" borderId="17" xfId="0" applyNumberFormat="1" applyFont="1" applyFill="1" applyBorder="1" applyAlignment="1">
      <alignment horizontal="center" vertical="center"/>
    </xf>
    <xf numFmtId="172" fontId="13" fillId="8" borderId="18" xfId="0" applyNumberFormat="1" applyFont="1" applyFill="1" applyBorder="1" applyAlignment="1">
      <alignment horizontal="center" vertical="center"/>
    </xf>
    <xf numFmtId="14" fontId="13" fillId="8" borderId="19" xfId="0" applyNumberFormat="1" applyFont="1" applyFill="1" applyBorder="1" applyAlignment="1">
      <alignment horizontal="center" vertical="center"/>
    </xf>
    <xf numFmtId="14" fontId="13" fillId="8" borderId="20" xfId="0" applyNumberFormat="1" applyFont="1" applyFill="1" applyBorder="1" applyAlignment="1">
      <alignment horizontal="center" vertical="center"/>
    </xf>
    <xf numFmtId="0" fontId="13" fillId="8" borderId="20" xfId="0" applyFont="1" applyFill="1" applyBorder="1" applyAlignment="1">
      <alignment horizontal="left" vertical="center"/>
    </xf>
    <xf numFmtId="173" fontId="13" fillId="8" borderId="20" xfId="0" applyNumberFormat="1" applyFont="1" applyFill="1" applyBorder="1" applyAlignment="1">
      <alignment horizontal="center" vertical="center"/>
    </xf>
    <xf numFmtId="172" fontId="13" fillId="8" borderId="20" xfId="0" applyNumberFormat="1" applyFont="1" applyFill="1" applyBorder="1" applyAlignment="1">
      <alignment horizontal="center" vertical="center"/>
    </xf>
    <xf numFmtId="172" fontId="13" fillId="8" borderId="21" xfId="0" applyNumberFormat="1" applyFont="1" applyFill="1" applyBorder="1" applyAlignment="1">
      <alignment horizontal="center" vertical="center"/>
    </xf>
    <xf numFmtId="0" fontId="13" fillId="8" borderId="17" xfId="0" applyFont="1" applyFill="1" applyBorder="1" applyAlignment="1">
      <alignment horizontal="left" vertical="center"/>
    </xf>
    <xf numFmtId="173" fontId="13" fillId="8" borderId="18" xfId="0" applyNumberFormat="1" applyFont="1" applyFill="1" applyBorder="1" applyAlignment="1">
      <alignment horizontal="center" vertical="center"/>
    </xf>
    <xf numFmtId="0" fontId="13" fillId="8" borderId="19" xfId="0" applyFont="1" applyFill="1" applyBorder="1" applyAlignment="1">
      <alignment horizontal="left" vertical="center"/>
    </xf>
    <xf numFmtId="173" fontId="13" fillId="8" borderId="21" xfId="0" applyNumberFormat="1" applyFont="1" applyFill="1" applyBorder="1" applyAlignment="1">
      <alignment horizontal="center" vertical="center"/>
    </xf>
    <xf numFmtId="0" fontId="13" fillId="8" borderId="18" xfId="0" applyFont="1" applyFill="1" applyBorder="1" applyAlignment="1">
      <alignment horizontal="left" vertical="center"/>
    </xf>
    <xf numFmtId="0" fontId="13" fillId="8" borderId="21" xfId="0" applyFont="1" applyFill="1" applyBorder="1" applyAlignment="1">
      <alignment horizontal="left" vertical="center"/>
    </xf>
    <xf numFmtId="0" fontId="37" fillId="2" borderId="14" xfId="0" applyFont="1" applyFill="1" applyBorder="1" applyAlignment="1">
      <alignment horizontal="center" vertical="center" wrapText="1"/>
    </xf>
    <xf numFmtId="0" fontId="37" fillId="2" borderId="15" xfId="0" applyFont="1" applyFill="1" applyBorder="1" applyAlignment="1">
      <alignment horizontal="center" vertical="center" wrapText="1"/>
    </xf>
    <xf numFmtId="0" fontId="37" fillId="2" borderId="16" xfId="0" applyFont="1" applyFill="1" applyBorder="1" applyAlignment="1">
      <alignment horizontal="center" vertical="center" wrapText="1"/>
    </xf>
    <xf numFmtId="0" fontId="37" fillId="2" borderId="15" xfId="0" applyFont="1" applyFill="1" applyBorder="1" applyAlignment="1">
      <alignment horizontal="center" vertical="center"/>
    </xf>
    <xf numFmtId="0" fontId="37" fillId="2" borderId="16" xfId="0" applyFont="1" applyFill="1" applyBorder="1" applyAlignment="1">
      <alignment horizontal="center" vertical="center"/>
    </xf>
  </cellXfs>
  <cellStyles count="6">
    <cellStyle name="Millares 2" xfId="3" xr:uid="{00000000-0005-0000-0000-000000000000}"/>
    <cellStyle name="Normal" xfId="0" builtinId="0"/>
    <cellStyle name="Normal 2" xfId="2" xr:uid="{00000000-0005-0000-0000-000002000000}"/>
    <cellStyle name="Normal 2 2" xfId="4" xr:uid="{00000000-0005-0000-0000-000003000000}"/>
    <cellStyle name="Normal 2 3" xfId="5" xr:uid="{00000000-0005-0000-0000-000004000000}"/>
    <cellStyle name="Porcentaje" xfId="1" builtinId="5"/>
  </cellStyles>
  <dxfs count="13">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bgColor rgb="FF00B0F0"/>
        </patternFill>
      </fill>
    </dxf>
    <dxf>
      <font>
        <color theme="0"/>
      </font>
      <fill>
        <patternFill>
          <bgColor rgb="FF00B0F0"/>
        </patternFill>
      </fill>
    </dxf>
    <dxf>
      <font>
        <b/>
        <i val="0"/>
        <color theme="4" tint="-0.499984740745262"/>
      </font>
      <fill>
        <patternFill patternType="solid">
          <bgColor theme="9" tint="0.79998168889431442"/>
        </patternFill>
      </fill>
    </dxf>
    <dxf>
      <font>
        <b/>
        <i val="0"/>
        <color theme="4" tint="-0.499984740745262"/>
      </font>
      <fill>
        <patternFill patternType="solid">
          <bgColor theme="9" tint="0.79998168889431442"/>
        </patternFill>
      </fill>
    </dxf>
    <dxf>
      <font>
        <color theme="4" tint="-0.499984740745262"/>
      </font>
      <fill>
        <patternFill>
          <bgColor theme="9" tint="0.79998168889431442"/>
        </patternFill>
      </fill>
      <border>
        <left/>
        <right/>
        <top/>
        <bottom/>
      </border>
    </dxf>
    <dxf>
      <font>
        <b/>
        <i val="0"/>
        <color theme="4" tint="-0.499984740745262"/>
      </font>
      <fill>
        <patternFill patternType="solid">
          <bgColor theme="9" tint="0.79998168889431442"/>
        </patternFill>
      </fill>
    </dxf>
    <dxf>
      <font>
        <color theme="0"/>
      </font>
      <fill>
        <patternFill>
          <bgColor theme="3"/>
        </patternFill>
      </fill>
    </dxf>
    <dxf>
      <font>
        <color theme="0"/>
      </font>
      <fill>
        <patternFill>
          <bgColor theme="3"/>
        </patternFill>
      </fill>
    </dxf>
  </dxfs>
  <tableStyles count="0" defaultTableStyle="TableStyleMedium9" defaultPivotStyle="PivotStyleLight16"/>
  <colors>
    <mruColors>
      <color rgb="FFF9F8F5"/>
      <color rgb="FFEDEBDF"/>
      <color rgb="FFFEF1E6"/>
      <color rgb="FFFFF5EB"/>
      <color rgb="FFFFF3E7"/>
      <color rgb="FFFEE4CA"/>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pivotCacheDefinition" Target="pivotCache/pivotCacheDefinition5.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3.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AD42-45B1-AE87-34BAB3F7B958}"/>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AD42-45B1-AE87-34BAB3F7B958}"/>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AD42-45B1-AE87-34BAB3F7B958}"/>
              </c:ext>
            </c:extLst>
          </c:dPt>
          <c:val>
            <c:numRef>
              <c:f>(Data!$C$4,Data!$C$5,Data!$C$6)</c:f>
              <c:numCache>
                <c:formatCode>#,##0.00</c:formatCode>
                <c:ptCount val="3"/>
                <c:pt idx="0">
                  <c:v>0.88396293394500636</c:v>
                </c:pt>
                <c:pt idx="1">
                  <c:v>0.11603706605499364</c:v>
                </c:pt>
                <c:pt idx="2">
                  <c:v>0</c:v>
                </c:pt>
              </c:numCache>
            </c:numRef>
          </c:val>
          <c:extLst>
            <c:ext xmlns:c16="http://schemas.microsoft.com/office/drawing/2014/chart" uri="{C3380CC4-5D6E-409C-BE32-E72D297353CC}">
              <c16:uniqueId val="{00000006-AD42-45B1-AE87-34BAB3F7B95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39C6-4B53-80A0-93C689379BBD}"/>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39C6-4B53-80A0-93C689379BBD}"/>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39C6-4B53-80A0-93C689379BBD}"/>
              </c:ext>
            </c:extLst>
          </c:dPt>
          <c:val>
            <c:numRef>
              <c:f>(Data!$H$4,Data!$H$5,Data!$H$6)</c:f>
              <c:numCache>
                <c:formatCode>#,##0.00</c:formatCode>
                <c:ptCount val="3"/>
                <c:pt idx="0">
                  <c:v>0.910602610214994</c:v>
                </c:pt>
                <c:pt idx="1">
                  <c:v>8.9397389785005998E-2</c:v>
                </c:pt>
                <c:pt idx="2">
                  <c:v>0</c:v>
                </c:pt>
              </c:numCache>
            </c:numRef>
          </c:val>
          <c:extLst>
            <c:ext xmlns:c16="http://schemas.microsoft.com/office/drawing/2014/chart" uri="{C3380CC4-5D6E-409C-BE32-E72D297353CC}">
              <c16:uniqueId val="{00000006-39C6-4B53-80A0-93C689379BB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4E59-40FC-B0BB-8161960AC5D0}"/>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4E59-40FC-B0BB-8161960AC5D0}"/>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4E59-40FC-B0BB-8161960AC5D0}"/>
              </c:ext>
            </c:extLst>
          </c:dPt>
          <c:val>
            <c:numRef>
              <c:f>(Data!$F$4,Data!$F$5,Data!$F$6)</c:f>
              <c:numCache>
                <c:formatCode>#,##0.00</c:formatCode>
                <c:ptCount val="3"/>
                <c:pt idx="0">
                  <c:v>0.90218803749569998</c:v>
                </c:pt>
                <c:pt idx="1">
                  <c:v>9.7811962504300021E-2</c:v>
                </c:pt>
                <c:pt idx="2">
                  <c:v>0</c:v>
                </c:pt>
              </c:numCache>
            </c:numRef>
          </c:val>
          <c:extLst>
            <c:ext xmlns:c16="http://schemas.microsoft.com/office/drawing/2014/chart" uri="{C3380CC4-5D6E-409C-BE32-E72D297353CC}">
              <c16:uniqueId val="{00000006-4E59-40FC-B0BB-8161960AC5D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B79D-484E-B548-A9543F2E8DD6}"/>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B79D-484E-B548-A9543F2E8DD6}"/>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B79D-484E-B548-A9543F2E8DD6}"/>
              </c:ext>
            </c:extLst>
          </c:dPt>
          <c:val>
            <c:numRef>
              <c:f>(Data!$D$4,Data!$D$5,Data!$D$6)</c:f>
              <c:numCache>
                <c:formatCode>#,##0.00</c:formatCode>
                <c:ptCount val="3"/>
                <c:pt idx="0">
                  <c:v>0.84403337919883492</c:v>
                </c:pt>
                <c:pt idx="1">
                  <c:v>0.15596662080116508</c:v>
                </c:pt>
                <c:pt idx="2">
                  <c:v>0</c:v>
                </c:pt>
              </c:numCache>
            </c:numRef>
          </c:val>
          <c:extLst>
            <c:ext xmlns:c16="http://schemas.microsoft.com/office/drawing/2014/chart" uri="{C3380CC4-5D6E-409C-BE32-E72D297353CC}">
              <c16:uniqueId val="{00000006-B79D-484E-B548-A9543F2E8DD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F246-4BF9-BD51-F9B8F927140B}"/>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F246-4BF9-BD51-F9B8F927140B}"/>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F246-4BF9-BD51-F9B8F927140B}"/>
              </c:ext>
            </c:extLst>
          </c:dPt>
          <c:val>
            <c:numRef>
              <c:f>(Data!$E$4,Data!$E$5,Data!$E$6)</c:f>
              <c:numCache>
                <c:formatCode>#,##0.00</c:formatCode>
                <c:ptCount val="3"/>
                <c:pt idx="0">
                  <c:v>0.99584486373165626</c:v>
                </c:pt>
                <c:pt idx="1">
                  <c:v>4.1551362683437398E-3</c:v>
                </c:pt>
                <c:pt idx="2">
                  <c:v>0</c:v>
                </c:pt>
              </c:numCache>
            </c:numRef>
          </c:val>
          <c:extLst>
            <c:ext xmlns:c16="http://schemas.microsoft.com/office/drawing/2014/chart" uri="{C3380CC4-5D6E-409C-BE32-E72D297353CC}">
              <c16:uniqueId val="{00000006-F246-4BF9-BD51-F9B8F927140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7820-4325-B83B-60EA755C9FA7}"/>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3-7820-4325-B83B-60EA755C9FA7}"/>
              </c:ext>
            </c:extLst>
          </c:dPt>
          <c:dPt>
            <c:idx val="2"/>
            <c:bubble3D val="0"/>
            <c:spPr>
              <a:solidFill>
                <a:srgbClr val="00B0F0"/>
              </a:solidFill>
              <a:ln w="19050">
                <a:solidFill>
                  <a:schemeClr val="lt1"/>
                </a:solidFill>
              </a:ln>
              <a:effectLst/>
            </c:spPr>
            <c:extLst>
              <c:ext xmlns:c16="http://schemas.microsoft.com/office/drawing/2014/chart" uri="{C3380CC4-5D6E-409C-BE32-E72D297353CC}">
                <c16:uniqueId val="{00000005-7820-4325-B83B-60EA755C9FA7}"/>
              </c:ext>
            </c:extLst>
          </c:dPt>
          <c:val>
            <c:numRef>
              <c:f>(Data!$G$4,Data!$G$5,Data!$G$6)</c:f>
              <c:numCache>
                <c:formatCode>#,##0.00</c:formatCode>
                <c:ptCount val="3"/>
                <c:pt idx="0">
                  <c:v>1</c:v>
                </c:pt>
                <c:pt idx="1">
                  <c:v>0</c:v>
                </c:pt>
                <c:pt idx="2">
                  <c:v>0</c:v>
                </c:pt>
              </c:numCache>
            </c:numRef>
          </c:val>
          <c:extLst>
            <c:ext xmlns:c16="http://schemas.microsoft.com/office/drawing/2014/chart" uri="{C3380CC4-5D6E-409C-BE32-E72D297353CC}">
              <c16:uniqueId val="{00000006-7820-4325-B83B-60EA755C9FA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AB$25" max="30000" min="1" page="5"/>
</file>

<file path=xl/ctrlProps/ctrlProp2.xml><?xml version="1.0" encoding="utf-8"?>
<formControlPr xmlns="http://schemas.microsoft.com/office/spreadsheetml/2009/9/main" objectType="Drop" dropLines="4" dropStyle="combo" dx="16" fmlaLink="Data!$C$21" fmlaRange="Tabla!$P$9:$P$10" noThreeD="1" sel="2" val="0"/>
</file>

<file path=xl/ctrlProps/ctrlProp3.xml><?xml version="1.0" encoding="utf-8"?>
<formControlPr xmlns="http://schemas.microsoft.com/office/spreadsheetml/2009/9/main" objectType="Radio" firstButton="1" fmlaLink="Data!$B$10"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checked="Checked"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List" dx="22" fmlaLink="Data!$E$26" fmlaRange="Data!$B$26:$B$27" sel="1" val="0"/>
</file>

<file path=xl/ctrlProps/ctrlProp10.xml><?xml version="1.0" encoding="utf-8"?>
<formControlPr xmlns="http://schemas.microsoft.com/office/spreadsheetml/2009/9/main" objectType="Drop" dropLines="4" dropStyle="combo" dx="16" fmlaLink="Data!$C$22" fmlaRange="Tabla!$T$9:$T$20" noThreeD="1" sel="5" val="3"/>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161925</xdr:colOff>
      <xdr:row>12</xdr:row>
      <xdr:rowOff>114300</xdr:rowOff>
    </xdr:from>
    <xdr:to>
      <xdr:col>7</xdr:col>
      <xdr:colOff>323850</xdr:colOff>
      <xdr:row>15</xdr:row>
      <xdr:rowOff>28575</xdr:rowOff>
    </xdr:to>
    <xdr:grpSp>
      <xdr:nvGrpSpPr>
        <xdr:cNvPr id="2" name="7 Grupo">
          <a:extLst>
            <a:ext uri="{FF2B5EF4-FFF2-40B4-BE49-F238E27FC236}">
              <a16:creationId xmlns:a16="http://schemas.microsoft.com/office/drawing/2014/main" id="{00000000-0008-0000-0000-000002000000}"/>
            </a:ext>
          </a:extLst>
        </xdr:cNvPr>
        <xdr:cNvGrpSpPr>
          <a:grpSpLocks/>
        </xdr:cNvGrpSpPr>
      </xdr:nvGrpSpPr>
      <xdr:grpSpPr bwMode="auto">
        <a:xfrm>
          <a:off x="261316" y="2519570"/>
          <a:ext cx="4853195" cy="411231"/>
          <a:chOff x="266700" y="400050"/>
          <a:chExt cx="5781675" cy="400050"/>
        </a:xfrm>
      </xdr:grpSpPr>
      <xdr:pic>
        <xdr:nvPicPr>
          <xdr:cNvPr id="3" name="Picture 3">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8124" r="52579" b="77000"/>
          <a:stretch>
            <a:fillRect/>
          </a:stretch>
        </xdr:blipFill>
        <xdr:spPr bwMode="auto">
          <a:xfrm>
            <a:off x="266700" y="428625"/>
            <a:ext cx="57816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4" name="3 Rectángulo">
            <a:extLst>
              <a:ext uri="{FF2B5EF4-FFF2-40B4-BE49-F238E27FC236}">
                <a16:creationId xmlns:a16="http://schemas.microsoft.com/office/drawing/2014/main" id="{00000000-0008-0000-0000-000004000000}"/>
              </a:ext>
            </a:extLst>
          </xdr:cNvPr>
          <xdr:cNvSpPr/>
        </xdr:nvSpPr>
        <xdr:spPr>
          <a:xfrm>
            <a:off x="4361568" y="400050"/>
            <a:ext cx="1058617" cy="3905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xdr:from>
      <xdr:col>1</xdr:col>
      <xdr:colOff>171450</xdr:colOff>
      <xdr:row>16</xdr:row>
      <xdr:rowOff>57150</xdr:rowOff>
    </xdr:from>
    <xdr:to>
      <xdr:col>7</xdr:col>
      <xdr:colOff>295275</xdr:colOff>
      <xdr:row>37</xdr:row>
      <xdr:rowOff>57150</xdr:rowOff>
    </xdr:to>
    <xdr:grpSp>
      <xdr:nvGrpSpPr>
        <xdr:cNvPr id="5" name="6 Grupo">
          <a:extLst>
            <a:ext uri="{FF2B5EF4-FFF2-40B4-BE49-F238E27FC236}">
              <a16:creationId xmlns:a16="http://schemas.microsoft.com/office/drawing/2014/main" id="{00000000-0008-0000-0000-000005000000}"/>
            </a:ext>
          </a:extLst>
        </xdr:cNvPr>
        <xdr:cNvGrpSpPr>
          <a:grpSpLocks/>
        </xdr:cNvGrpSpPr>
      </xdr:nvGrpSpPr>
      <xdr:grpSpPr bwMode="auto">
        <a:xfrm>
          <a:off x="270841" y="3125028"/>
          <a:ext cx="4815095" cy="3478696"/>
          <a:chOff x="4019550" y="1285875"/>
          <a:chExt cx="5391150" cy="4229100"/>
        </a:xfrm>
      </xdr:grpSpPr>
      <xdr:pic>
        <xdr:nvPicPr>
          <xdr:cNvPr id="6" name="Picture 2">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31172" t="21500" r="24609" b="23000"/>
          <a:stretch>
            <a:fillRect/>
          </a:stretch>
        </xdr:blipFill>
        <xdr:spPr bwMode="auto">
          <a:xfrm>
            <a:off x="4019550" y="1285875"/>
            <a:ext cx="5391150"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7" name="6 Rectángulo">
            <a:extLst>
              <a:ext uri="{FF2B5EF4-FFF2-40B4-BE49-F238E27FC236}">
                <a16:creationId xmlns:a16="http://schemas.microsoft.com/office/drawing/2014/main" id="{00000000-0008-0000-0000-000007000000}"/>
              </a:ext>
            </a:extLst>
          </xdr:cNvPr>
          <xdr:cNvSpPr/>
        </xdr:nvSpPr>
        <xdr:spPr>
          <a:xfrm>
            <a:off x="4292935" y="3607734"/>
            <a:ext cx="1530955" cy="1776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sp macro="" textlink="">
        <xdr:nvSpPr>
          <xdr:cNvPr id="8" name="7 Rectángulo">
            <a:extLst>
              <a:ext uri="{FF2B5EF4-FFF2-40B4-BE49-F238E27FC236}">
                <a16:creationId xmlns:a16="http://schemas.microsoft.com/office/drawing/2014/main" id="{00000000-0008-0000-0000-000008000000}"/>
              </a:ext>
            </a:extLst>
          </xdr:cNvPr>
          <xdr:cNvSpPr/>
        </xdr:nvSpPr>
        <xdr:spPr>
          <a:xfrm>
            <a:off x="4325741" y="4851587"/>
            <a:ext cx="1530955" cy="165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oneCellAnchor>
    <xdr:from>
      <xdr:col>1</xdr:col>
      <xdr:colOff>9525</xdr:colOff>
      <xdr:row>0</xdr:row>
      <xdr:rowOff>38100</xdr:rowOff>
    </xdr:from>
    <xdr:ext cx="2085975" cy="441877"/>
    <xdr:pic>
      <xdr:nvPicPr>
        <xdr:cNvPr id="9" name="webImgShrinked" descr="Imagen">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l="3523" t="14122" b="11342"/>
        <a:stretch>
          <a:fillRect/>
        </a:stretch>
      </xdr:blipFill>
      <xdr:spPr bwMode="auto">
        <a:xfrm>
          <a:off x="771525" y="38100"/>
          <a:ext cx="2085975" cy="4418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8</xdr:col>
      <xdr:colOff>419100</xdr:colOff>
      <xdr:row>17</xdr:row>
      <xdr:rowOff>47625</xdr:rowOff>
    </xdr:from>
    <xdr:to>
      <xdr:col>13</xdr:col>
      <xdr:colOff>400050</xdr:colOff>
      <xdr:row>28</xdr:row>
      <xdr:rowOff>104775</xdr:rowOff>
    </xdr:to>
    <xdr:grpSp>
      <xdr:nvGrpSpPr>
        <xdr:cNvPr id="10" name="11 Grupo">
          <a:extLst>
            <a:ext uri="{FF2B5EF4-FFF2-40B4-BE49-F238E27FC236}">
              <a16:creationId xmlns:a16="http://schemas.microsoft.com/office/drawing/2014/main" id="{00000000-0008-0000-0000-00000A000000}"/>
            </a:ext>
          </a:extLst>
        </xdr:cNvPr>
        <xdr:cNvGrpSpPr>
          <a:grpSpLocks/>
        </xdr:cNvGrpSpPr>
      </xdr:nvGrpSpPr>
      <xdr:grpSpPr bwMode="auto">
        <a:xfrm>
          <a:off x="5991639" y="3281155"/>
          <a:ext cx="3890341" cy="1879324"/>
          <a:chOff x="5753100" y="2305050"/>
          <a:chExt cx="3790950" cy="1838325"/>
        </a:xfrm>
      </xdr:grpSpPr>
      <xdr:pic>
        <xdr:nvPicPr>
          <xdr:cNvPr id="11" name="Picture 839">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9357" t="36719" r="51855" b="38152"/>
          <a:stretch>
            <a:fillRect/>
          </a:stretch>
        </xdr:blipFill>
        <xdr:spPr bwMode="auto">
          <a:xfrm>
            <a:off x="5753100" y="2305050"/>
            <a:ext cx="3790950"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 name="11 Rectángulo">
            <a:extLst>
              <a:ext uri="{FF2B5EF4-FFF2-40B4-BE49-F238E27FC236}">
                <a16:creationId xmlns:a16="http://schemas.microsoft.com/office/drawing/2014/main" id="{00000000-0008-0000-0000-00000C000000}"/>
              </a:ext>
            </a:extLst>
          </xdr:cNvPr>
          <xdr:cNvSpPr/>
        </xdr:nvSpPr>
        <xdr:spPr>
          <a:xfrm>
            <a:off x="7048500" y="3743325"/>
            <a:ext cx="1228725" cy="381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22</xdr:row>
      <xdr:rowOff>54428</xdr:rowOff>
    </xdr:from>
    <xdr:to>
      <xdr:col>28</xdr:col>
      <xdr:colOff>228918</xdr:colOff>
      <xdr:row>31</xdr:row>
      <xdr:rowOff>365793</xdr:rowOff>
    </xdr:to>
    <xdr:sp macro="" textlink="">
      <xdr:nvSpPr>
        <xdr:cNvPr id="35" name="Rounded Rectangle 5">
          <a:extLst>
            <a:ext uri="{FF2B5EF4-FFF2-40B4-BE49-F238E27FC236}">
              <a16:creationId xmlns:a16="http://schemas.microsoft.com/office/drawing/2014/main" id="{00000000-0008-0000-0100-000023000000}"/>
            </a:ext>
          </a:extLst>
        </xdr:cNvPr>
        <xdr:cNvSpPr/>
      </xdr:nvSpPr>
      <xdr:spPr>
        <a:xfrm>
          <a:off x="176893" y="5578928"/>
          <a:ext cx="13563918" cy="4420722"/>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57149</xdr:colOff>
      <xdr:row>0</xdr:row>
      <xdr:rowOff>68037</xdr:rowOff>
    </xdr:from>
    <xdr:ext cx="5298622" cy="745918"/>
    <xdr:sp macro="" textlink="">
      <xdr:nvSpPr>
        <xdr:cNvPr id="18" name="TextBox 14">
          <a:extLst>
            <a:ext uri="{FF2B5EF4-FFF2-40B4-BE49-F238E27FC236}">
              <a16:creationId xmlns:a16="http://schemas.microsoft.com/office/drawing/2014/main" id="{00000000-0008-0000-0100-000012000000}"/>
            </a:ext>
          </a:extLst>
        </xdr:cNvPr>
        <xdr:cNvSpPr txBox="1"/>
      </xdr:nvSpPr>
      <xdr:spPr>
        <a:xfrm>
          <a:off x="57149" y="68037"/>
          <a:ext cx="5298622" cy="7459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2800" b="1">
              <a:ln w="3175">
                <a:noFill/>
              </a:ln>
              <a:solidFill>
                <a:schemeClr val="bg1"/>
              </a:solidFill>
              <a:effectLst/>
              <a:latin typeface="Arial" panose="020B0604020202020204" pitchFamily="34" charset="0"/>
              <a:cs typeface="Arial" panose="020B0604020202020204" pitchFamily="34" charset="0"/>
            </a:rPr>
            <a:t>Balance de </a:t>
          </a:r>
          <a:r>
            <a:rPr lang="en-US" sz="3200" b="1">
              <a:ln w="3175">
                <a:noFill/>
              </a:ln>
              <a:solidFill>
                <a:schemeClr val="bg1"/>
              </a:solidFill>
              <a:effectLst/>
              <a:latin typeface="Arial" panose="020B0604020202020204" pitchFamily="34" charset="0"/>
              <a:cs typeface="Arial" panose="020B0604020202020204" pitchFamily="34" charset="0"/>
            </a:rPr>
            <a:t>cuentas</a:t>
          </a:r>
          <a:r>
            <a:rPr lang="en-US" sz="2800" b="1">
              <a:ln w="3175">
                <a:noFill/>
              </a:ln>
              <a:solidFill>
                <a:schemeClr val="bg1"/>
              </a:solidFill>
              <a:effectLst/>
              <a:latin typeface="Arial" panose="020B0604020202020204" pitchFamily="34" charset="0"/>
              <a:cs typeface="Arial" panose="020B0604020202020204" pitchFamily="34" charset="0"/>
            </a:rPr>
            <a:t> de gasto</a:t>
          </a:r>
        </a:p>
      </xdr:txBody>
    </xdr:sp>
    <xdr:clientData/>
  </xdr:oneCellAnchor>
  <xdr:twoCellAnchor>
    <xdr:from>
      <xdr:col>1</xdr:col>
      <xdr:colOff>0</xdr:colOff>
      <xdr:row>6</xdr:row>
      <xdr:rowOff>56028</xdr:rowOff>
    </xdr:from>
    <xdr:to>
      <xdr:col>29</xdr:col>
      <xdr:colOff>11205</xdr:colOff>
      <xdr:row>21</xdr:row>
      <xdr:rowOff>0</xdr:rowOff>
    </xdr:to>
    <xdr:sp macro="" textlink="">
      <xdr:nvSpPr>
        <xdr:cNvPr id="21" name="Rounded Rectangle 5">
          <a:extLst>
            <a:ext uri="{FF2B5EF4-FFF2-40B4-BE49-F238E27FC236}">
              <a16:creationId xmlns:a16="http://schemas.microsoft.com/office/drawing/2014/main" id="{00000000-0008-0000-0100-000015000000}"/>
            </a:ext>
          </a:extLst>
        </xdr:cNvPr>
        <xdr:cNvSpPr/>
      </xdr:nvSpPr>
      <xdr:spPr>
        <a:xfrm>
          <a:off x="168088" y="661146"/>
          <a:ext cx="13570323" cy="4448736"/>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6</xdr:row>
      <xdr:rowOff>57150</xdr:rowOff>
    </xdr:from>
    <xdr:to>
      <xdr:col>29</xdr:col>
      <xdr:colOff>9525</xdr:colOff>
      <xdr:row>8</xdr:row>
      <xdr:rowOff>11206</xdr:rowOff>
    </xdr:to>
    <xdr:sp macro="" textlink="">
      <xdr:nvSpPr>
        <xdr:cNvPr id="20" name="Round Same Side Corner Rectangle 8">
          <a:extLst>
            <a:ext uri="{FF2B5EF4-FFF2-40B4-BE49-F238E27FC236}">
              <a16:creationId xmlns:a16="http://schemas.microsoft.com/office/drawing/2014/main" id="{00000000-0008-0000-0100-000014000000}"/>
            </a:ext>
          </a:extLst>
        </xdr:cNvPr>
        <xdr:cNvSpPr/>
      </xdr:nvSpPr>
      <xdr:spPr>
        <a:xfrm>
          <a:off x="168088" y="662268"/>
          <a:ext cx="13568643" cy="424703"/>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chemeClr val="bg1"/>
              </a:solidFill>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9</xdr:col>
      <xdr:colOff>134471</xdr:colOff>
      <xdr:row>16</xdr:row>
      <xdr:rowOff>324971</xdr:rowOff>
    </xdr:from>
    <xdr:to>
      <xdr:col>10</xdr:col>
      <xdr:colOff>437030</xdr:colOff>
      <xdr:row>18</xdr:row>
      <xdr:rowOff>33618</xdr:rowOff>
    </xdr:to>
    <xdr:graphicFrame macro="">
      <xdr:nvGraphicFramePr>
        <xdr:cNvPr id="16" name="Gráfico 15">
          <a:extLst>
            <a:ext uri="{FF2B5EF4-FFF2-40B4-BE49-F238E27FC236}">
              <a16:creationId xmlns:a16="http://schemas.microsoft.com/office/drawing/2014/main" id="{00000000-0008-0000-0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112058</xdr:colOff>
      <xdr:row>16</xdr:row>
      <xdr:rowOff>324971</xdr:rowOff>
    </xdr:from>
    <xdr:to>
      <xdr:col>6</xdr:col>
      <xdr:colOff>414617</xdr:colOff>
      <xdr:row>18</xdr:row>
      <xdr:rowOff>33618</xdr:rowOff>
    </xdr:to>
    <xdr:graphicFrame macro="">
      <xdr:nvGraphicFramePr>
        <xdr:cNvPr id="17" name="Gráfico 16">
          <a:extLst>
            <a:ext uri="{FF2B5EF4-FFF2-40B4-BE49-F238E27FC236}">
              <a16:creationId xmlns:a16="http://schemas.microsoft.com/office/drawing/2014/main" id="{00000000-0008-0000-0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145676</xdr:colOff>
      <xdr:row>16</xdr:row>
      <xdr:rowOff>324971</xdr:rowOff>
    </xdr:from>
    <xdr:to>
      <xdr:col>22</xdr:col>
      <xdr:colOff>448235</xdr:colOff>
      <xdr:row>18</xdr:row>
      <xdr:rowOff>33618</xdr:rowOff>
    </xdr:to>
    <xdr:graphicFrame macro="">
      <xdr:nvGraphicFramePr>
        <xdr:cNvPr id="22" name="Gráfico 21">
          <a:extLst>
            <a:ext uri="{FF2B5EF4-FFF2-40B4-BE49-F238E27FC236}">
              <a16:creationId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123265</xdr:colOff>
      <xdr:row>16</xdr:row>
      <xdr:rowOff>324971</xdr:rowOff>
    </xdr:from>
    <xdr:to>
      <xdr:col>14</xdr:col>
      <xdr:colOff>425824</xdr:colOff>
      <xdr:row>18</xdr:row>
      <xdr:rowOff>33618</xdr:rowOff>
    </xdr:to>
    <xdr:graphicFrame macro="">
      <xdr:nvGraphicFramePr>
        <xdr:cNvPr id="23" name="Gráfico 22">
          <a:extLst>
            <a:ext uri="{FF2B5EF4-FFF2-40B4-BE49-F238E27FC236}">
              <a16:creationId xmlns:a16="http://schemas.microsoft.com/office/drawing/2014/main"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123264</xdr:colOff>
      <xdr:row>16</xdr:row>
      <xdr:rowOff>324971</xdr:rowOff>
    </xdr:from>
    <xdr:to>
      <xdr:col>18</xdr:col>
      <xdr:colOff>425823</xdr:colOff>
      <xdr:row>18</xdr:row>
      <xdr:rowOff>33618</xdr:rowOff>
    </xdr:to>
    <xdr:graphicFrame macro="">
      <xdr:nvGraphicFramePr>
        <xdr:cNvPr id="24" name="Gráfico 23">
          <a:extLst>
            <a:ext uri="{FF2B5EF4-FFF2-40B4-BE49-F238E27FC236}">
              <a16:creationId xmlns:a16="http://schemas.microsoft.com/office/drawing/2014/main" id="{00000000-0008-0000-0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168088</xdr:colOff>
      <xdr:row>16</xdr:row>
      <xdr:rowOff>324971</xdr:rowOff>
    </xdr:from>
    <xdr:to>
      <xdr:col>26</xdr:col>
      <xdr:colOff>470647</xdr:colOff>
      <xdr:row>18</xdr:row>
      <xdr:rowOff>33618</xdr:rowOff>
    </xdr:to>
    <xdr:graphicFrame macro="">
      <xdr:nvGraphicFramePr>
        <xdr:cNvPr id="25" name="Gráfico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419542</xdr:colOff>
      <xdr:row>17</xdr:row>
      <xdr:rowOff>216634</xdr:rowOff>
    </xdr:from>
    <xdr:to>
      <xdr:col>3</xdr:col>
      <xdr:colOff>182907</xdr:colOff>
      <xdr:row>17</xdr:row>
      <xdr:rowOff>537882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7"/>
        <a:stretch>
          <a:fillRect/>
        </a:stretch>
      </xdr:blipFill>
      <xdr:spPr>
        <a:xfrm>
          <a:off x="811748" y="3768899"/>
          <a:ext cx="324940" cy="321248"/>
        </a:xfrm>
        <a:prstGeom prst="rect">
          <a:avLst/>
        </a:prstGeom>
      </xdr:spPr>
    </xdr:pic>
    <xdr:clientData/>
  </xdr:twoCellAnchor>
  <xdr:twoCellAnchor editAs="absolute">
    <xdr:from>
      <xdr:col>0</xdr:col>
      <xdr:colOff>168087</xdr:colOff>
      <xdr:row>21</xdr:row>
      <xdr:rowOff>126176</xdr:rowOff>
    </xdr:from>
    <xdr:to>
      <xdr:col>29</xdr:col>
      <xdr:colOff>27215</xdr:colOff>
      <xdr:row>23</xdr:row>
      <xdr:rowOff>153390</xdr:rowOff>
    </xdr:to>
    <xdr:sp macro="" textlink="">
      <xdr:nvSpPr>
        <xdr:cNvPr id="19" name="Round Same Side Corner Rectangle 8">
          <a:extLst>
            <a:ext uri="{FF2B5EF4-FFF2-40B4-BE49-F238E27FC236}">
              <a16:creationId xmlns:a16="http://schemas.microsoft.com/office/drawing/2014/main" id="{00000000-0008-0000-0100-000013000000}"/>
            </a:ext>
          </a:extLst>
        </xdr:cNvPr>
        <xdr:cNvSpPr/>
      </xdr:nvSpPr>
      <xdr:spPr>
        <a:xfrm>
          <a:off x="168087" y="5320393"/>
          <a:ext cx="13711199" cy="489857"/>
        </a:xfrm>
        <a:prstGeom prst="round2SameRect">
          <a:avLst/>
        </a:prstGeom>
        <a:solidFill>
          <a:schemeClr val="accent1">
            <a:lumMod val="50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a:solidFill>
                <a:schemeClr val="bg1"/>
              </a:solidFill>
              <a:effectLst/>
              <a:latin typeface="Arial" panose="020B0604020202020204" pitchFamily="34" charset="0"/>
              <a:cs typeface="Arial" panose="020B0604020202020204" pitchFamily="34" charset="0"/>
            </a:rPr>
            <a:t>Detalle de asientos y comprobantes contables</a:t>
          </a:r>
        </a:p>
      </xdr:txBody>
    </xdr:sp>
    <xdr:clientData/>
  </xdr:twoCellAnchor>
  <mc:AlternateContent xmlns:mc="http://schemas.openxmlformats.org/markup-compatibility/2006">
    <mc:Choice xmlns:a14="http://schemas.microsoft.com/office/drawing/2010/main" Requires="a14">
      <xdr:twoCellAnchor editAs="oneCell">
        <xdr:from>
          <xdr:col>27</xdr:col>
          <xdr:colOff>21770</xdr:colOff>
          <xdr:row>23</xdr:row>
          <xdr:rowOff>182880</xdr:rowOff>
        </xdr:from>
        <xdr:to>
          <xdr:col>28</xdr:col>
          <xdr:colOff>30479</xdr:colOff>
          <xdr:row>30</xdr:row>
          <xdr:rowOff>22860</xdr:rowOff>
        </xdr:to>
        <xdr:sp macro="" textlink="">
          <xdr:nvSpPr>
            <xdr:cNvPr id="2050" name="Scroll Bar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1</xdr:row>
          <xdr:rowOff>160020</xdr:rowOff>
        </xdr:from>
        <xdr:to>
          <xdr:col>28</xdr:col>
          <xdr:colOff>45720</xdr:colOff>
          <xdr:row>3</xdr:row>
          <xdr:rowOff>121920</xdr:rowOff>
        </xdr:to>
        <xdr:sp macro="" textlink="">
          <xdr:nvSpPr>
            <xdr:cNvPr id="2053" name="Drop Dow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447433</xdr:colOff>
      <xdr:row>1</xdr:row>
      <xdr:rowOff>25613</xdr:rowOff>
    </xdr:from>
    <xdr:to>
      <xdr:col>24</xdr:col>
      <xdr:colOff>356987</xdr:colOff>
      <xdr:row>4</xdr:row>
      <xdr:rowOff>30095</xdr:rowOff>
    </xdr:to>
    <xdr:sp macro="" textlink="">
      <xdr:nvSpPr>
        <xdr:cNvPr id="3" name="CuadroTexto 2">
          <a:extLst>
            <a:ext uri="{FF2B5EF4-FFF2-40B4-BE49-F238E27FC236}">
              <a16:creationId xmlns:a16="http://schemas.microsoft.com/office/drawing/2014/main" id="{00000000-0008-0000-0100-000003000000}"/>
            </a:ext>
          </a:extLst>
        </xdr:cNvPr>
        <xdr:cNvSpPr txBox="1"/>
      </xdr:nvSpPr>
      <xdr:spPr>
        <a:xfrm>
          <a:off x="10530326" y="120863"/>
          <a:ext cx="1433554" cy="766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solidFill>
                <a:schemeClr val="bg1"/>
              </a:solidFill>
              <a:latin typeface="Arial" panose="020B0604020202020204" pitchFamily="34" charset="0"/>
              <a:cs typeface="Arial" panose="020B0604020202020204" pitchFamily="34" charset="0"/>
            </a:rPr>
            <a:t>Filtrar</a:t>
          </a:r>
          <a:r>
            <a:rPr lang="es-PA" sz="1100" baseline="0">
              <a:solidFill>
                <a:schemeClr val="bg1"/>
              </a:solidFill>
              <a:latin typeface="Arial" panose="020B0604020202020204" pitchFamily="34" charset="0"/>
              <a:cs typeface="Arial" panose="020B0604020202020204" pitchFamily="34" charset="0"/>
            </a:rPr>
            <a:t> </a:t>
          </a:r>
          <a:r>
            <a:rPr lang="es-PA" sz="1100">
              <a:solidFill>
                <a:schemeClr val="bg1"/>
              </a:solidFill>
              <a:latin typeface="Arial" panose="020B0604020202020204" pitchFamily="34" charset="0"/>
              <a:cs typeface="Arial" panose="020B0604020202020204" pitchFamily="34" charset="0"/>
            </a:rPr>
            <a:t>por año:</a:t>
          </a:r>
        </a:p>
      </xdr:txBody>
    </xdr:sp>
    <xdr:clientData/>
  </xdr:twoCellAnchor>
  <mc:AlternateContent xmlns:mc="http://schemas.openxmlformats.org/markup-compatibility/2006">
    <mc:Choice xmlns:a14="http://schemas.microsoft.com/office/drawing/2010/main" Requires="a14">
      <xdr:twoCellAnchor>
        <xdr:from>
          <xdr:col>3</xdr:col>
          <xdr:colOff>492417</xdr:colOff>
          <xdr:row>36</xdr:row>
          <xdr:rowOff>69316</xdr:rowOff>
        </xdr:from>
        <xdr:to>
          <xdr:col>27</xdr:col>
          <xdr:colOff>218034</xdr:colOff>
          <xdr:row>37</xdr:row>
          <xdr:rowOff>118622</xdr:rowOff>
        </xdr:to>
        <xdr:grpSp>
          <xdr:nvGrpSpPr>
            <xdr:cNvPr id="4" name="Grupo 3">
              <a:extLst>
                <a:ext uri="{FF2B5EF4-FFF2-40B4-BE49-F238E27FC236}">
                  <a16:creationId xmlns:a16="http://schemas.microsoft.com/office/drawing/2014/main" id="{00000000-0008-0000-0100-000004000000}"/>
                </a:ext>
              </a:extLst>
            </xdr:cNvPr>
            <xdr:cNvGrpSpPr/>
          </xdr:nvGrpSpPr>
          <xdr:grpSpPr>
            <a:xfrm>
              <a:off x="1483017" y="9255649"/>
              <a:ext cx="12281684" cy="235573"/>
              <a:chOff x="462802" y="6022041"/>
              <a:chExt cx="11819962" cy="239806"/>
            </a:xfrm>
          </xdr:grpSpPr>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4177553" y="6024843"/>
                <a:ext cx="304800" cy="2370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7" name="Option 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7177368"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8" name="Option 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11065809"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9" name="Option 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11973482"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0" name="Option 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1612527" y="6028204"/>
                <a:ext cx="304800" cy="2336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1" name="Option 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462802" y="6022041"/>
                <a:ext cx="307041"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137160</xdr:colOff>
          <xdr:row>21</xdr:row>
          <xdr:rowOff>220980</xdr:rowOff>
        </xdr:from>
        <xdr:to>
          <xdr:col>19</xdr:col>
          <xdr:colOff>137160</xdr:colOff>
          <xdr:row>23</xdr:row>
          <xdr:rowOff>68580</xdr:rowOff>
        </xdr:to>
        <xdr:sp macro="" textlink="">
          <xdr:nvSpPr>
            <xdr:cNvPr id="2063" name="List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13</xdr:col>
      <xdr:colOff>185698</xdr:colOff>
      <xdr:row>21</xdr:row>
      <xdr:rowOff>213712</xdr:rowOff>
    </xdr:from>
    <xdr:to>
      <xdr:col>15</xdr:col>
      <xdr:colOff>308165</xdr:colOff>
      <xdr:row>22</xdr:row>
      <xdr:rowOff>202505</xdr:rowOff>
    </xdr:to>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6213662" y="5384426"/>
          <a:ext cx="1183824" cy="220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a:latin typeface="Arial" panose="020B0604020202020204" pitchFamily="34" charset="0"/>
              <a:cs typeface="Arial" panose="020B0604020202020204" pitchFamily="34" charset="0"/>
            </a:rPr>
            <a:t>Ordenar</a:t>
          </a:r>
          <a:r>
            <a:rPr lang="es-PA" sz="1200" baseline="0">
              <a:latin typeface="Arial" panose="020B0604020202020204" pitchFamily="34" charset="0"/>
              <a:cs typeface="Arial" panose="020B0604020202020204" pitchFamily="34" charset="0"/>
            </a:rPr>
            <a:t> datos</a:t>
          </a:r>
          <a:endParaRPr lang="es-PA" sz="1200">
            <a:latin typeface="Arial" panose="020B0604020202020204" pitchFamily="34" charset="0"/>
            <a:cs typeface="Arial" panose="020B0604020202020204" pitchFamily="34" charset="0"/>
          </a:endParaRPr>
        </a:p>
      </xdr:txBody>
    </xdr:sp>
    <xdr:clientData/>
  </xdr:twoCellAnchor>
  <xdr:twoCellAnchor>
    <xdr:from>
      <xdr:col>2</xdr:col>
      <xdr:colOff>128067</xdr:colOff>
      <xdr:row>30</xdr:row>
      <xdr:rowOff>96850</xdr:rowOff>
    </xdr:from>
    <xdr:to>
      <xdr:col>4</xdr:col>
      <xdr:colOff>394607</xdr:colOff>
      <xdr:row>31</xdr:row>
      <xdr:rowOff>260935</xdr:rowOff>
    </xdr:to>
    <xdr:sp macro="" textlink="">
      <xdr:nvSpPr>
        <xdr:cNvPr id="6" name="Rectángulo redondeado 5">
          <a:extLst>
            <a:ext uri="{FF2B5EF4-FFF2-40B4-BE49-F238E27FC236}">
              <a16:creationId xmlns:a16="http://schemas.microsoft.com/office/drawing/2014/main" id="{00000000-0008-0000-0100-000006000000}"/>
            </a:ext>
          </a:extLst>
        </xdr:cNvPr>
        <xdr:cNvSpPr/>
      </xdr:nvSpPr>
      <xdr:spPr>
        <a:xfrm>
          <a:off x="536281" y="10234171"/>
          <a:ext cx="1450362" cy="354585"/>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Exportar</a:t>
          </a:r>
        </a:p>
      </xdr:txBody>
    </xdr:sp>
    <xdr:clientData/>
  </xdr:twoCellAnchor>
  <mc:AlternateContent xmlns:mc="http://schemas.openxmlformats.org/markup-compatibility/2006">
    <mc:Choice xmlns:a14="http://schemas.microsoft.com/office/drawing/2010/main" Requires="a14">
      <xdr:twoCellAnchor editAs="oneCell">
        <xdr:from>
          <xdr:col>24</xdr:col>
          <xdr:colOff>22860</xdr:colOff>
          <xdr:row>22</xdr:row>
          <xdr:rowOff>7620</xdr:rowOff>
        </xdr:from>
        <xdr:to>
          <xdr:col>27</xdr:col>
          <xdr:colOff>106680</xdr:colOff>
          <xdr:row>23</xdr:row>
          <xdr:rowOff>38100</xdr:rowOff>
        </xdr:to>
        <xdr:sp macro="" textlink="">
          <xdr:nvSpPr>
            <xdr:cNvPr id="2064" name="Drop Dow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20</xdr:col>
      <xdr:colOff>409015</xdr:colOff>
      <xdr:row>21</xdr:row>
      <xdr:rowOff>205708</xdr:rowOff>
    </xdr:from>
    <xdr:to>
      <xdr:col>23</xdr:col>
      <xdr:colOff>318568</xdr:colOff>
      <xdr:row>23</xdr:row>
      <xdr:rowOff>97651</xdr:rowOff>
    </xdr:to>
    <xdr:sp macro="" textlink="">
      <xdr:nvSpPr>
        <xdr:cNvPr id="29" name="CuadroTexto 28">
          <a:extLst>
            <a:ext uri="{FF2B5EF4-FFF2-40B4-BE49-F238E27FC236}">
              <a16:creationId xmlns:a16="http://schemas.microsoft.com/office/drawing/2014/main" id="{00000000-0008-0000-0100-00001D000000}"/>
            </a:ext>
          </a:extLst>
        </xdr:cNvPr>
        <xdr:cNvSpPr txBox="1"/>
      </xdr:nvSpPr>
      <xdr:spPr>
        <a:xfrm>
          <a:off x="9947622" y="5376422"/>
          <a:ext cx="1433553" cy="354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200">
              <a:solidFill>
                <a:schemeClr val="bg1"/>
              </a:solidFill>
              <a:latin typeface="Arial" panose="020B0604020202020204" pitchFamily="34" charset="0"/>
              <a:cs typeface="Arial" panose="020B0604020202020204" pitchFamily="34" charset="0"/>
            </a:rPr>
            <a:t>Filtrar por mes:</a:t>
          </a:r>
        </a:p>
      </xdr:txBody>
    </xdr:sp>
    <xdr:clientData/>
  </xdr:twoCellAnchor>
  <xdr:twoCellAnchor>
    <xdr:from>
      <xdr:col>2</xdr:col>
      <xdr:colOff>58428</xdr:colOff>
      <xdr:row>37</xdr:row>
      <xdr:rowOff>37460</xdr:rowOff>
    </xdr:from>
    <xdr:to>
      <xdr:col>3</xdr:col>
      <xdr:colOff>148075</xdr:colOff>
      <xdr:row>39</xdr:row>
      <xdr:rowOff>17450</xdr:rowOff>
    </xdr:to>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466642" y="10882353"/>
          <a:ext cx="688362"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Fecha</a:t>
          </a:r>
        </a:p>
      </xdr:txBody>
    </xdr:sp>
    <xdr:clientData/>
  </xdr:twoCellAnchor>
  <xdr:twoCellAnchor>
    <xdr:from>
      <xdr:col>5</xdr:col>
      <xdr:colOff>400529</xdr:colOff>
      <xdr:row>33</xdr:row>
      <xdr:rowOff>146316</xdr:rowOff>
    </xdr:from>
    <xdr:to>
      <xdr:col>8</xdr:col>
      <xdr:colOff>315365</xdr:colOff>
      <xdr:row>35</xdr:row>
      <xdr:rowOff>126306</xdr:rowOff>
    </xdr:to>
    <xdr:sp macro="" textlink="">
      <xdr:nvSpPr>
        <xdr:cNvPr id="30" name="CuadroTexto 29">
          <a:extLst>
            <a:ext uri="{FF2B5EF4-FFF2-40B4-BE49-F238E27FC236}">
              <a16:creationId xmlns:a16="http://schemas.microsoft.com/office/drawing/2014/main" id="{00000000-0008-0000-0100-00001E000000}"/>
            </a:ext>
          </a:extLst>
        </xdr:cNvPr>
        <xdr:cNvSpPr txBox="1"/>
      </xdr:nvSpPr>
      <xdr:spPr>
        <a:xfrm>
          <a:off x="2414386" y="8868495"/>
          <a:ext cx="1561300"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Área contable</a:t>
          </a:r>
        </a:p>
      </xdr:txBody>
    </xdr:sp>
    <xdr:clientData/>
  </xdr:twoCellAnchor>
  <xdr:twoCellAnchor>
    <xdr:from>
      <xdr:col>9</xdr:col>
      <xdr:colOff>134309</xdr:colOff>
      <xdr:row>34</xdr:row>
      <xdr:rowOff>10245</xdr:rowOff>
    </xdr:from>
    <xdr:to>
      <xdr:col>12</xdr:col>
      <xdr:colOff>49146</xdr:colOff>
      <xdr:row>35</xdr:row>
      <xdr:rowOff>180735</xdr:rowOff>
    </xdr:to>
    <xdr:sp macro="" textlink="">
      <xdr:nvSpPr>
        <xdr:cNvPr id="31" name="CuadroTexto 30">
          <a:extLst>
            <a:ext uri="{FF2B5EF4-FFF2-40B4-BE49-F238E27FC236}">
              <a16:creationId xmlns:a16="http://schemas.microsoft.com/office/drawing/2014/main" id="{00000000-0008-0000-0100-00001F000000}"/>
            </a:ext>
          </a:extLst>
        </xdr:cNvPr>
        <xdr:cNvSpPr txBox="1"/>
      </xdr:nvSpPr>
      <xdr:spPr>
        <a:xfrm>
          <a:off x="4175630" y="10283638"/>
          <a:ext cx="1438837"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Asiento contable</a:t>
          </a:r>
        </a:p>
      </xdr:txBody>
    </xdr:sp>
    <xdr:clientData/>
  </xdr:twoCellAnchor>
  <xdr:twoCellAnchor>
    <xdr:from>
      <xdr:col>14</xdr:col>
      <xdr:colOff>329932</xdr:colOff>
      <xdr:row>34</xdr:row>
      <xdr:rowOff>78282</xdr:rowOff>
    </xdr:from>
    <xdr:to>
      <xdr:col>18</xdr:col>
      <xdr:colOff>489057</xdr:colOff>
      <xdr:row>36</xdr:row>
      <xdr:rowOff>58272</xdr:rowOff>
    </xdr:to>
    <xdr:sp macro="" textlink="">
      <xdr:nvSpPr>
        <xdr:cNvPr id="32" name="CuadroTexto 31">
          <a:extLst>
            <a:ext uri="{FF2B5EF4-FFF2-40B4-BE49-F238E27FC236}">
              <a16:creationId xmlns:a16="http://schemas.microsoft.com/office/drawing/2014/main" id="{00000000-0008-0000-0100-000020000000}"/>
            </a:ext>
          </a:extLst>
        </xdr:cNvPr>
        <xdr:cNvSpPr txBox="1"/>
      </xdr:nvSpPr>
      <xdr:spPr>
        <a:xfrm>
          <a:off x="6888575" y="10351675"/>
          <a:ext cx="2145768"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Comprobante contable</a:t>
          </a:r>
        </a:p>
      </xdr:txBody>
    </xdr:sp>
    <xdr:clientData/>
  </xdr:twoCellAnchor>
  <xdr:twoCellAnchor>
    <xdr:from>
      <xdr:col>23</xdr:col>
      <xdr:colOff>128068</xdr:colOff>
      <xdr:row>34</xdr:row>
      <xdr:rowOff>132709</xdr:rowOff>
    </xdr:from>
    <xdr:to>
      <xdr:col>24</xdr:col>
      <xdr:colOff>94449</xdr:colOff>
      <xdr:row>36</xdr:row>
      <xdr:rowOff>112699</xdr:rowOff>
    </xdr:to>
    <xdr:sp macro="" textlink="">
      <xdr:nvSpPr>
        <xdr:cNvPr id="33" name="CuadroTexto 32">
          <a:extLst>
            <a:ext uri="{FF2B5EF4-FFF2-40B4-BE49-F238E27FC236}">
              <a16:creationId xmlns:a16="http://schemas.microsoft.com/office/drawing/2014/main" id="{00000000-0008-0000-0100-000021000000}"/>
            </a:ext>
          </a:extLst>
        </xdr:cNvPr>
        <xdr:cNvSpPr txBox="1"/>
      </xdr:nvSpPr>
      <xdr:spPr>
        <a:xfrm>
          <a:off x="11190675" y="10406102"/>
          <a:ext cx="429024" cy="3609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200" b="1">
              <a:solidFill>
                <a:srgbClr val="FF0000"/>
              </a:solidFill>
              <a:latin typeface="Arial" panose="020B0604020202020204" pitchFamily="34" charset="0"/>
              <a:cs typeface="Arial" panose="020B0604020202020204" pitchFamily="34" charset="0"/>
            </a:rPr>
            <a:t>DB</a:t>
          </a:r>
        </a:p>
      </xdr:txBody>
    </xdr:sp>
    <xdr:clientData/>
  </xdr:twoCellAnchor>
  <xdr:twoCellAnchor>
    <xdr:from>
      <xdr:col>25</xdr:col>
      <xdr:colOff>89643</xdr:colOff>
      <xdr:row>35</xdr:row>
      <xdr:rowOff>12648</xdr:rowOff>
    </xdr:from>
    <xdr:to>
      <xdr:col>25</xdr:col>
      <xdr:colOff>515470</xdr:colOff>
      <xdr:row>36</xdr:row>
      <xdr:rowOff>77642</xdr:rowOff>
    </xdr:to>
    <xdr:sp macro="" textlink="">
      <xdr:nvSpPr>
        <xdr:cNvPr id="34" name="CuadroTexto 33">
          <a:extLst>
            <a:ext uri="{FF2B5EF4-FFF2-40B4-BE49-F238E27FC236}">
              <a16:creationId xmlns:a16="http://schemas.microsoft.com/office/drawing/2014/main" id="{00000000-0008-0000-0100-000022000000}"/>
            </a:ext>
          </a:extLst>
        </xdr:cNvPr>
        <xdr:cNvSpPr txBox="1"/>
      </xdr:nvSpPr>
      <xdr:spPr>
        <a:xfrm>
          <a:off x="12077536" y="10476541"/>
          <a:ext cx="425827" cy="255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rgbClr val="FF0000"/>
              </a:solidFill>
              <a:latin typeface="Arial" panose="020B0604020202020204" pitchFamily="34" charset="0"/>
              <a:cs typeface="Arial" panose="020B0604020202020204" pitchFamily="34" charset="0"/>
            </a:rPr>
            <a:t>CR</a:t>
          </a:r>
        </a:p>
      </xdr:txBody>
    </xdr:sp>
    <xdr:clientData/>
  </xdr:twoCellAnchor>
  <xdr:twoCellAnchor>
    <xdr:from>
      <xdr:col>2</xdr:col>
      <xdr:colOff>1282</xdr:colOff>
      <xdr:row>24</xdr:row>
      <xdr:rowOff>0</xdr:rowOff>
    </xdr:from>
    <xdr:to>
      <xdr:col>4</xdr:col>
      <xdr:colOff>3087</xdr:colOff>
      <xdr:row>25</xdr:row>
      <xdr:rowOff>2601</xdr:rowOff>
    </xdr:to>
    <xdr:sp macro="" textlink="">
      <xdr:nvSpPr>
        <xdr:cNvPr id="8" name="Rectángulo 7">
          <a:extLst>
            <a:ext uri="{FF2B5EF4-FFF2-40B4-BE49-F238E27FC236}">
              <a16:creationId xmlns:a16="http://schemas.microsoft.com/office/drawing/2014/main" id="{FC878D1E-BF1A-4432-BCE5-7E71E4F52C1C}"/>
            </a:ext>
          </a:extLst>
        </xdr:cNvPr>
        <xdr:cNvSpPr/>
      </xdr:nvSpPr>
      <xdr:spPr>
        <a:xfrm>
          <a:off x="416149" y="5748867"/>
          <a:ext cx="1187138" cy="392067"/>
        </a:xfrm>
        <a:prstGeom prst="rect">
          <a:avLst/>
        </a:prstGeom>
        <a:solidFill>
          <a:schemeClr val="accent1">
            <a:alpha val="0"/>
          </a:schemeClr>
        </a:solidFill>
        <a:ln>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PA"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gocios\canales%20tradicionales\Medicion%20Financiera\SVR_MEDFIN\PROYECTOS\CUENTAS%20CAPITAL%20HUMANO\Dep\D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Dashboard"/>
      <sheetName val="Data"/>
      <sheetName val="Leyenda"/>
      <sheetName val="Cálculos"/>
    </sheetNames>
    <sheetDataSet>
      <sheetData sheetId="0"/>
      <sheetData sheetId="1"/>
      <sheetData sheetId="2"/>
      <sheetData sheetId="3"/>
      <sheetData sheetId="4">
        <row r="2">
          <cell r="C2" t="str">
            <v>Alimentación</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reyes" refreshedDate="43426.554992476849" createdVersion="5" refreshedVersion="5" minRefreshableVersion="3" recordCount="456" xr:uid="{00000000-000A-0000-FFFF-FFFF00000000}">
  <cacheSource type="external" connectionId="4"/>
  <cacheFields count="6">
    <cacheField name="as_oficina" numFmtId="0" sqlType="8">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as_cuenta" numFmtId="0" sqlType="8">
      <sharedItems containsSemiMixedTypes="0" containsString="0" containsNumber="1" containsInteger="1" minValue="1" maxValue="504012201" count="6">
        <n v="1"/>
        <n v="5040102"/>
        <n v="5040113"/>
        <n v="5041001"/>
        <n v="504012001"/>
        <n v="504012201"/>
      </sharedItems>
    </cacheField>
    <cacheField name="DESCRIPCION" numFmtId="0" sqlType="-9">
      <sharedItems count="6">
        <s v="BRINDIS DE PARTICIPACIÓN"/>
        <s v="HORAS EXTRAS"/>
        <s v="VIATICOS"/>
        <s v="CELEBRACIONES "/>
        <s v="ALIMENTACIÓN"/>
        <s v="RECONOCIMIENTO "/>
      </sharedItems>
    </cacheField>
    <cacheField name="BALANCE" numFmtId="0" sqlType="8">
      <sharedItems containsString="0" containsBlank="1" containsNumber="1" minValue="0" maxValue="2909.6400000000003"/>
    </cacheField>
    <cacheField name="PLAN" numFmtId="0" sqlType="2">
      <sharedItems containsSemiMixedTypes="0" containsString="0" containsNumber="1" minValue="0" maxValue="25711.073100000001"/>
    </cacheField>
    <cacheField name="as_año" numFmtId="0" sqlType="8">
      <sharedItems containsSemiMixedTypes="0" containsString="0" containsNumber="1" containsInteger="1" minValue="2018" maxValue="2018" count="1">
        <n v="201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reyes" refreshedDate="43426.563854398148" createdVersion="5" refreshedVersion="5" minRefreshableVersion="3" recordCount="412" xr:uid="{00000000-000A-0000-FFFF-FFFF01000000}">
  <cacheSource type="external" connectionId="5"/>
  <cacheFields count="15">
    <cacheField name="as_fecha_tran" numFmtId="0" sqlType="11">
      <sharedItems containsSemiMixedTypes="0" containsNonDate="0" containsDate="1" containsString="0" minDate="2018-08-01T00:00:00" maxDate="2018-08-31T00:00:00" count="26">
        <d v="2018-08-25T00:00:00"/>
        <d v="2018-08-10T00:00:00"/>
        <d v="2018-08-15T00:00:00"/>
        <d v="2018-08-07T00:00:00"/>
        <d v="2018-08-02T00:00:00"/>
        <d v="2018-08-13T00:00:00"/>
        <d v="2018-08-27T00:00:00"/>
        <d v="2018-08-17T00:00:00"/>
        <d v="2018-08-29T00:00:00"/>
        <d v="2018-08-06T00:00:00"/>
        <d v="2018-08-24T00:00:00"/>
        <d v="2018-08-08T00:00:00"/>
        <d v="2018-08-21T00:00:00"/>
        <d v="2018-08-11T00:00:00"/>
        <d v="2018-08-01T00:00:00"/>
        <d v="2018-08-20T00:00:00"/>
        <d v="2018-08-23T00:00:00"/>
        <d v="2018-08-28T00:00:00"/>
        <d v="2018-08-18T00:00:00"/>
        <d v="2018-08-30T00:00:00"/>
        <d v="2018-08-09T00:00:00"/>
        <d v="2018-08-16T00:00:00"/>
        <d v="2018-08-04T00:00:00"/>
        <d v="2018-08-14T00:00:00"/>
        <d v="2018-08-03T00:00:00"/>
        <d v="2018-08-22T00:00:00"/>
      </sharedItems>
      <fieldGroup par="14" base="0">
        <rangePr groupBy="days" startDate="2018-08-01T00:00:00" endDate="2018-08-31T00:00:00"/>
        <groupItems count="368">
          <s v="&lt;08/01/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8/31/2018"/>
        </groupItems>
      </fieldGroup>
    </cacheField>
    <cacheField name="as_comprobante" numFmtId="0" sqlType="4">
      <sharedItems containsSemiMixedTypes="0" containsString="0" containsNumber="1" containsInteger="1" minValue="175575701" maxValue="177008095"/>
    </cacheField>
    <cacheField name="as_asiento" numFmtId="0" sqlType="4">
      <sharedItems containsSemiMixedTypes="0" containsString="0" containsNumber="1" containsInteger="1" minValue="1" maxValue="2042" count="242">
        <n v="13"/>
        <n v="19"/>
        <n v="24"/>
        <n v="26"/>
        <n v="43"/>
        <n v="73"/>
        <n v="76"/>
        <n v="82"/>
        <n v="88"/>
        <n v="95"/>
        <n v="125"/>
        <n v="142"/>
        <n v="153"/>
        <n v="159"/>
        <n v="165"/>
        <n v="181"/>
        <n v="188"/>
        <n v="193"/>
        <n v="194"/>
        <n v="199"/>
        <n v="252"/>
        <n v="257"/>
        <n v="269"/>
        <n v="274"/>
        <n v="285"/>
        <n v="290"/>
        <n v="333"/>
        <n v="338"/>
        <n v="339"/>
        <n v="350"/>
        <n v="354"/>
        <n v="356"/>
        <n v="1"/>
        <n v="362"/>
        <n v="365"/>
        <n v="369"/>
        <n v="372"/>
        <n v="375"/>
        <n v="378"/>
        <n v="418"/>
        <n v="421"/>
        <n v="424"/>
        <n v="2"/>
        <n v="436"/>
        <n v="438"/>
        <n v="459"/>
        <n v="482"/>
        <n v="485"/>
        <n v="488"/>
        <n v="494"/>
        <n v="532"/>
        <n v="533"/>
        <n v="538"/>
        <n v="549"/>
        <n v="580"/>
        <n v="612"/>
        <n v="7"/>
        <n v="618"/>
        <n v="624"/>
        <n v="623"/>
        <n v="631"/>
        <n v="630"/>
        <n v="637"/>
        <n v="664"/>
        <n v="662"/>
        <n v="668"/>
        <n v="696"/>
        <n v="695"/>
        <n v="712"/>
        <n v="711"/>
        <n v="718"/>
        <n v="724"/>
        <n v="731"/>
        <n v="728"/>
        <n v="737"/>
        <n v="794"/>
        <n v="790"/>
        <n v="831"/>
        <n v="837"/>
        <n v="859"/>
        <n v="868"/>
        <n v="875"/>
        <n v="871"/>
        <n v="881"/>
        <n v="887"/>
        <n v="923"/>
        <n v="917"/>
        <n v="970"/>
        <n v="964"/>
        <n v="976"/>
        <n v="985"/>
        <n v="1878"/>
        <n v="1875"/>
        <n v="1884"/>
        <n v="1881"/>
        <n v="1896"/>
        <n v="1893"/>
        <n v="1902"/>
        <n v="1899"/>
        <n v="1944"/>
        <n v="1941"/>
        <n v="2034"/>
        <n v="2042"/>
        <n v="29"/>
        <n v="58"/>
        <n v="42"/>
        <n v="48"/>
        <n v="104"/>
        <n v="32"/>
        <n v="33"/>
        <n v="108"/>
        <n v="56"/>
        <n v="81"/>
        <n v="130"/>
        <n v="87"/>
        <n v="139"/>
        <n v="84"/>
        <n v="111"/>
        <n v="54"/>
        <n v="250"/>
        <n v="1532"/>
        <n v="12"/>
        <n v="3"/>
        <n v="38"/>
        <n v="20"/>
        <n v="21"/>
        <n v="9"/>
        <n v="22"/>
        <n v="46"/>
        <n v="44"/>
        <n v="91"/>
        <n v="15"/>
        <n v="72"/>
        <n v="70"/>
        <n v="83"/>
        <n v="148"/>
        <n v="28"/>
        <n v="16"/>
        <n v="8"/>
        <n v="75"/>
        <n v="101"/>
        <n v="39"/>
        <n v="30"/>
        <n v="31"/>
        <n v="79"/>
        <n v="117"/>
        <n v="112"/>
        <n v="123"/>
        <n v="249"/>
        <n v="90"/>
        <n v="296"/>
        <n v="11"/>
        <n v="307"/>
        <n v="309"/>
        <n v="191"/>
        <n v="68"/>
        <n v="66"/>
        <n v="403"/>
        <n v="232"/>
        <n v="52"/>
        <n v="196"/>
        <n v="184"/>
        <n v="200"/>
        <n v="417"/>
        <n v="197"/>
        <n v="27"/>
        <n v="251"/>
        <n v="61"/>
        <n v="202"/>
        <n v="74"/>
        <n v="47"/>
        <n v="258"/>
        <n v="127"/>
        <n v="207"/>
        <n v="131"/>
        <n v="59"/>
        <n v="135"/>
        <n v="180"/>
        <n v="225"/>
        <n v="484"/>
        <n v="67"/>
        <n v="136"/>
        <n v="63"/>
        <n v="241"/>
        <n v="508"/>
        <n v="248"/>
        <n v="254"/>
        <n v="551"/>
        <n v="216"/>
        <n v="36"/>
        <n v="166"/>
        <n v="221"/>
        <n v="292"/>
        <n v="596"/>
        <n v="219"/>
        <n v="598"/>
        <n v="220"/>
        <n v="37"/>
        <n v="171"/>
        <n v="173"/>
        <n v="295"/>
        <n v="304"/>
        <n v="89"/>
        <n v="297"/>
        <n v="65"/>
        <n v="299"/>
        <n v="341"/>
        <n v="782"/>
        <n v="412"/>
        <n v="331"/>
        <n v="503"/>
        <n v="593"/>
        <n v="616"/>
        <n v="671"/>
        <n v="1519"/>
        <n v="287"/>
        <n v="222"/>
        <n v="201"/>
        <n v="363"/>
        <n v="672"/>
        <n v="1521"/>
        <n v="5"/>
        <n v="106"/>
        <n v="77"/>
        <n v="14"/>
        <n v="18"/>
        <n v="71"/>
        <n v="17"/>
        <n v="25"/>
        <n v="226"/>
        <n v="134"/>
        <n v="253"/>
        <n v="190"/>
        <n v="34"/>
        <n v="575"/>
        <n v="23"/>
        <n v="64"/>
        <n v="329"/>
        <n v="499"/>
        <n v="203"/>
        <n v="10"/>
        <n v="45"/>
      </sharedItems>
    </cacheField>
    <cacheField name="as_cuenta" numFmtId="0" sqlType="8">
      <sharedItems containsSemiMixedTypes="0" containsString="0" containsNumber="1" containsInteger="1" minValue="5040102" maxValue="504012201" count="5">
        <n v="5040102"/>
        <n v="5040113"/>
        <n v="504012001"/>
        <n v="504012201"/>
        <n v="5041001"/>
      </sharedItems>
    </cacheField>
    <cacheField name="as_oficina_dest" numFmtId="0" sqlType="8">
      <sharedItems containsSemiMixedTypes="0" containsString="0" containsNumber="1" containsInteger="1" minValue="1" maxValue="196" count="66">
        <n v="1"/>
        <n v="2"/>
        <n v="3"/>
        <n v="5"/>
        <n v="6"/>
        <n v="8"/>
        <n v="9"/>
        <n v="10"/>
        <n v="13"/>
        <n v="17"/>
        <n v="18"/>
        <n v="19"/>
        <n v="22"/>
        <n v="23"/>
        <n v="26"/>
        <n v="29"/>
        <n v="30"/>
        <n v="32"/>
        <n v="34"/>
        <n v="35"/>
        <n v="38"/>
        <n v="39"/>
        <n v="41"/>
        <n v="43"/>
        <n v="44"/>
        <n v="46"/>
        <n v="48"/>
        <n v="49"/>
        <n v="51"/>
        <n v="68"/>
        <n v="70"/>
        <n v="71"/>
        <n v="72"/>
        <n v="73"/>
        <n v="74"/>
        <n v="77"/>
        <n v="80"/>
        <n v="89"/>
        <n v="95"/>
        <n v="97"/>
        <n v="101"/>
        <n v="162"/>
        <n v="4"/>
        <n v="7"/>
        <n v="15"/>
        <n v="20"/>
        <n v="27"/>
        <n v="28"/>
        <n v="33"/>
        <n v="37"/>
        <n v="40"/>
        <n v="53"/>
        <n v="54"/>
        <n v="78"/>
        <n v="99"/>
        <n v="102"/>
        <n v="125"/>
        <n v="131"/>
        <n v="157"/>
        <n v="164"/>
        <n v="196"/>
        <n v="69"/>
        <n v="76"/>
        <n v="98"/>
        <n v="14"/>
        <n v="103"/>
      </sharedItems>
    </cacheField>
    <cacheField name="as_area_dest" numFmtId="0" sqlType="4">
      <sharedItems containsSemiMixedTypes="0" containsString="0" containsNumber="1" containsInteger="1" minValue="216020401" maxValue="216020403" count="3">
        <n v="216020403"/>
        <n v="216020401"/>
        <n v="216020402"/>
      </sharedItems>
    </cacheField>
    <cacheField name="as_credito" numFmtId="0" sqlType="8">
      <sharedItems containsSemiMixedTypes="0" containsString="0" containsNumber="1" minValue="0" maxValue="1500" count="7">
        <n v="0"/>
        <n v="1100"/>
        <n v="1500"/>
        <n v="22"/>
        <n v="1200"/>
        <n v="6.85"/>
        <n v="0.01"/>
      </sharedItems>
    </cacheField>
    <cacheField name="as_debito" numFmtId="0" sqlType="8">
      <sharedItems containsSemiMixedTypes="0" containsString="0" containsNumber="1" minValue="0" maxValue="1520.74"/>
    </cacheField>
    <cacheField name="as_concepto" numFmtId="0" sqlType="-9">
      <sharedItems count="21">
        <s v="PAGO NOMINA QUINCENA 2 AGOSTO 2018"/>
        <s v="PAGO NOMINA QUINCENA 1 AGOSTO 2018"/>
        <s v="PLANILLAS DE LIQUIDACIONES AGO 2018"/>
        <s v="OTROS EGRESOS 18"/>
        <s v="VIATICOS"/>
        <s v="CORREGIMOS ENTRADA DEL 20 DE AGOSTO POR ERROR EN CAUSA. SE DEBIO"/>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O/ING. EFECTIVO 18"/>
        <s v="CORRIGE DIFERENCIA EN RECHAZO MODULO DE CONTABILIDAD"/>
        <s v="INGRESO DE PAGO DE VIATICO DEL 27 DE AGOSTO DE 2018"/>
        <s v="NC ALIMENTACION DE EMPLEADOS NVA"/>
        <s v="ALIMENTACION DE EMPLEADOS CTA NUEVA"/>
        <s v="RECONOCIMIENTO"/>
        <s v="NC  RECONOCIMIENTOS"/>
        <s v="NC GASTO NO DEDUCIBLES"/>
        <s v="GASTOS NO DEDUCIBLES"/>
      </sharedItems>
    </cacheField>
    <cacheField name="of_nombre" numFmtId="0" sqlType="-9">
      <sharedItems/>
    </cacheField>
    <cacheField name="cu_nombre" numFmtId="0" sqlType="-9">
      <sharedItems count="5">
        <s v="HORAS EXTRAS"/>
        <s v="VIATICOS"/>
        <s v="ALIMENTACION DE EMPLEADOS"/>
        <s v="RECONOCIMIENTOS"/>
        <s v="GASTOS NO DEDUCIBLES"/>
      </sharedItems>
    </cacheField>
    <cacheField name="co_descripcion" numFmtId="0" sqlType="-9">
      <sharedItems count="73">
        <s v="TRANSACCIONES DEL DIA 08/25/2018 RECURSOS HUMANOS"/>
        <s v="TRANSACCIONES DEL DIA 08/10/2018 RECURSOS HUMANOS"/>
        <s v="TRANSACCIONES DEL DIA 08/15/2018 RECURSOS HUMANOS"/>
        <s v="TRANSACCIONES DEL DIA 08/07/2018 RECURSOS HUMANOS"/>
        <s v="OTROS EGRESOS 1.P.O (OR:1/DES:1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OTROS EGRESOS 1.P.O (OR:9/DES:9 TRN:86 PERF:300086 CAU: 18"/>
        <s v="OTROS EGRESOS 1.P.O (OR:10/DES:10 TRN:86 PERF:300086 CAU: 18"/>
        <s v="OTROS EGRESOS 1.P.O (OR:13/DES:13 TRN:86 PERF:300086 CAU: 18"/>
        <s v="OTROS EGRESOS 1.P.O (OR:15/DES:15 TRN:86 PERF:300086 CAU: 18"/>
        <s v="TRANSACCIONES DEL DIA 08/13/2018SPYRAL - GESTION ADMINISTRATIVA"/>
        <s v="OTROS EGRESOS 1.P.O (OR:19/DES:19 TRN:86 PERF:300086 CAU: 18"/>
        <s v="OTROS EGRESOS 1.P.O (OR:20/DES:20 TRN:86 PERF:300086 CAU: 18"/>
        <s v="REGISTRO DE ENTRADA DE CAJA"/>
        <s v="OTROS EGRESOS 1.P.O (OR:22/DES:22 TRN:86 PERF:300086 CAU: 18"/>
        <s v="OTROS EGRESOS 1.P.O (OR:23/DES:23 TRN:86 PERF:300086 CAU: 18"/>
        <s v="TRANSACCIONES DEL DIA 08/08/2018SPYRAL - GESTION ADMINISTRATIVA"/>
        <s v="OTROS EGRESOS 1.P.O (OR:27/DES:27 TRN:86 PERF:300086 CAU: 18"/>
        <s v="REGISTRO DE ENTRADA DE ADMINISTRACION"/>
        <s v="OTROS EGRESOS 1.P.O (OR:28/DES:28 TRN:86 PERF:300086 CAU: 18"/>
        <s v="TRANSACCIONES DEL DIA 08/07/2018SPYRAL - GESTION ADMINISTRATIVA"/>
        <s v="TRANSACCIONES DEL DIA 08/09/2018SPYRAL - GESTION ADMINISTRATIVA"/>
        <s v="OTROS EGRESOS 1.P.O (OR:32/DES:32 TRN:86 PERF:300086 CAU: 18"/>
        <s v="OTROS EGRESOS 1.P.O (OR:33/DES:33 TRN:86 PERF:300086 CAU: 18"/>
        <s v="TRANSACCIONES DEL DIA 08/17/2018SPYRAL - GESTION ADMINISTRATIVA"/>
        <s v="TRANSACCIONES DEL DIA 08/16/2018SPYRAL - GESTION ADMINISTRATIVA"/>
        <s v="OTROS EGRESOS 1.P.O (OR:34/DES:34 TRN:86 PERF:300086 CAU: 18"/>
        <s v="OTROS EGRESOS 1.P.O (OR:35/DES:35 TRN:86 PERF:300086 CAU: 18"/>
        <s v="OTROS EGRESOS 1.P.O (OR:37/DES:37 TRN:86 PERF:300086 CAU: 18"/>
        <s v="OTROS EGRESOS 1.P.O (OR:38/DES:38 TRN:86 PERF:300086 CAU: 18"/>
        <s v="OTROS EGRESOS 1.P.O (OR:39/DES:39 TRN:86 PERF:300086 CAU: 18"/>
        <s v="OTROS EGRESOS 1.P.O (OR:40/DES:40 TRN:86 PERF:300086 CAU: 18"/>
        <s v="OTROS EGRESOS 1.P.O (OR:41/DES:41 TRN:86 PERF:300086 CAU: 18"/>
        <s v="OTROS EGRESOS 1.P.O (OR:43/DES:43 TRN:86 PERF:300086 CAU: 18"/>
        <s v="TRANSACCIONES DEL DIA 08/02/2018SPYRAL - GESTION ADMINISTRATIVA"/>
        <s v="OTROS EGRESOS 1.P.O (OR:48/DES:48 TRN:86 PERF:300086 CAU: 18"/>
        <s v="TRANSACCIONES DEL DIA 08/28/2018SPYRAL - GESTION ADMINISTRATIVA"/>
        <s v="OTROS EGRESOS 1.P.O (OR:51/DES:51 TRN:86 PERF:300086 CAU: 18"/>
        <s v="OTROS EGRESOS 1.P.O (OR:53/DES:53 TRN:86 PERF:300086 CAU: 18"/>
        <s v="TRANSACCIONES DEL DIA 08/10/2018SPYRAL - GESTION ADMINISTRATIVA"/>
        <s v="TRANSACCIONES DEL DIA 08/21/2018SPYRAL - GESTION ADMINISTRATIVA"/>
        <s v="OTROS EGRESOS 1.P.O (OR:70/DES:70 TRN:86 PERF:300086 CAU: 18"/>
        <s v="OTROS EGRESOS 1.P.O (OR:71/DES:71 TRN:86 PERF:300086 CAU: 18"/>
        <s v="OTROS EGRESOS 1.P.O (OR:72/DES:72 TRN:86 PERF:300086 CAU: 18"/>
        <s v="OTROS EGRESOS 1.P.O (OR:73/DES:73 TRN:86 PERF:300086 CAU: 18"/>
        <s v="OTROS EGRESOS 1.P.O (OR:74/DES:74 TRN:86 PERF:300086 CAU: 18"/>
        <s v="OTROS EGRESOS 1.P.O (OR:78/DES:78 TRN:86 PERF:300086 CAU: 18"/>
        <s v="TRANSACCIONES DEL DIA 08/24/2018SPYRAL - GESTION ADMINISTRATIVA"/>
        <s v="OTROS EGRESOS 1.P.O (OR:101/DES:101 TRN:86 PERF:300086 CAU: 18"/>
        <s v="OTROS EGRESOS 1.P.O (OR:102/DES:102 TRN:86 PERF:300086 CAU: 18"/>
        <s v="TRANSACCIONES DEL DIA 08/14/2018SPYRAL - GESTION ADMINISTRATIVA"/>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96/DES:196 TRN:86 PERF:300086 CAU: 18"/>
        <s v="TRANSACCIONES DEL DIA 08/23/2018SPYRAL - GESTION ADMINISTRATIVA"/>
        <s v="TRANSACCIONES DEL DIA 08/22/2018SPYRAL - GESTION ADMINISTRATIVA"/>
        <s v="TRANSACCIONES DEL DIA 08/25/2018SPYRAL - GESTION ADMINISTRATIVA"/>
        <s v="TRANSACCIONES DEL DIA 08/06/2018SPYRAL - GESTION ADMINISTRATIVA"/>
        <s v="TRANSACCIONES DEL DIA 08/20/2018SPYRAL - GESTION ADMINISTRATIVA"/>
        <s v="TRANSACCIONES DEL DIA 08/27/2018SPYRAL - GESTION ADMINISTRATIVA"/>
        <s v="TRANSACCIONES DEL DIA 08/03/2018SPYRAL - GESTION ADMINISTRATIVA"/>
        <s v="TRANSACCIONES DEL DIA 08/15/2018SPYRAL - GESTION ADMINISTRATIVA"/>
        <s v="TRANSACCIONES DEL DIA 08/29/2018SPYRAL - GESTION ADMINISTRATIVA"/>
        <s v="TRANSACCIONES DEL DIA 08/01/2018SPYRAL - GESTION ADMINISTRATIVA"/>
      </sharedItems>
    </cacheField>
    <cacheField name="ar_area" numFmtId="0" sqlType="4">
      <sharedItems containsSemiMixedTypes="0" containsString="0" containsNumber="1" containsInteger="1" minValue="216020401" maxValue="216020403" count="3">
        <n v="216020403"/>
        <n v="216020401"/>
        <n v="216020402"/>
      </sharedItems>
    </cacheField>
    <cacheField name="ar_descripcion" numFmtId="0" sqlType="-9">
      <sharedItems count="3">
        <s v="SERVICIOS PERSONALES"/>
        <s v="ADMINISTRACION DE SUCURSALES"/>
        <s v="CAJA"/>
      </sharedItems>
    </cacheField>
    <cacheField name="Años" numFmtId="0" databaseField="0">
      <fieldGroup base="0">
        <rangePr groupBy="years" startDate="2018-08-01T00:00:00" endDate="2018-08-31T00:00:00"/>
        <groupItems count="3">
          <s v="&lt;08/01/2018"/>
          <s v="2018"/>
          <s v="&gt;08/31/2018"/>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xel Amaya" refreshedDate="43703.683186111113" createdVersion="5" refreshedVersion="5" minRefreshableVersion="3" recordCount="8161" xr:uid="{00000000-000A-0000-FFFF-FFFF02000000}">
  <cacheSource type="external" connectionId="2"/>
  <cacheFields count="12">
    <cacheField name="Oficina" numFmtId="0">
      <sharedItems containsSemiMixedTypes="0" containsString="0" containsNumber="1" containsInteger="1" minValue="1" maxValue="196" count="79">
        <n v="1"/>
        <n v="2"/>
        <n v="3"/>
        <n v="4"/>
        <n v="5"/>
        <n v="6"/>
        <n v="7"/>
        <n v="8"/>
        <n v="9"/>
        <n v="10"/>
        <n v="13"/>
        <n v="14"/>
        <n v="15"/>
        <n v="16"/>
        <n v="17"/>
        <n v="18"/>
        <n v="19"/>
        <n v="20"/>
        <n v="21"/>
        <n v="22"/>
        <n v="23"/>
        <n v="26"/>
        <n v="28"/>
        <n v="29"/>
        <n v="30"/>
        <n v="32"/>
        <n v="33"/>
        <n v="34"/>
        <n v="35"/>
        <n v="38"/>
        <n v="39"/>
        <n v="40"/>
        <n v="41"/>
        <n v="42"/>
        <n v="43"/>
        <n v="44"/>
        <n v="46"/>
        <n v="47"/>
        <n v="48"/>
        <n v="49"/>
        <n v="51"/>
        <n v="66"/>
        <n v="68"/>
        <n v="69"/>
        <n v="70"/>
        <n v="71"/>
        <n v="72"/>
        <n v="73"/>
        <n v="74"/>
        <n v="76"/>
        <n v="77"/>
        <n v="78"/>
        <n v="79"/>
        <n v="80"/>
        <n v="89"/>
        <n v="91"/>
        <n v="95"/>
        <n v="97"/>
        <n v="98"/>
        <n v="99"/>
        <n v="101"/>
        <n v="102"/>
        <n v="103"/>
        <n v="125"/>
        <n v="131"/>
        <n v="157"/>
        <n v="162"/>
        <n v="164"/>
        <n v="165"/>
        <n v="196"/>
        <n v="11"/>
        <n v="12"/>
        <n v="27"/>
        <n v="37"/>
        <n v="53"/>
        <n v="54"/>
        <n v="36"/>
        <n v="45"/>
        <n v="154"/>
      </sharedItems>
    </cacheField>
    <cacheField name="Fecha" numFmtId="0">
      <sharedItems containsSemiMixedTypes="0" containsNonDate="0" containsDate="1" containsString="0" minDate="2018-06-01T00:00:00" maxDate="2019-08-01T00:00:00" count="341">
        <d v="2018-10-10T00:00:00"/>
        <d v="2018-12-31T00:00:00"/>
        <d v="2018-06-25T00:00:00"/>
        <d v="2018-08-25T00:00:00"/>
        <d v="2018-09-25T00:00:00"/>
        <d v="2018-10-25T00:00:00"/>
        <d v="2018-11-24T00:00:00"/>
        <d v="2018-06-09T00:00:00"/>
        <d v="2018-12-19T00:00:00"/>
        <d v="2018-07-10T00:00:00"/>
        <d v="2018-08-10T00:00:00"/>
        <d v="2018-07-25T00:00:00"/>
        <d v="2018-09-10T00:00:00"/>
        <d v="2018-11-09T00:00:00"/>
        <d v="2018-12-10T00:00:00"/>
        <d v="2018-07-19T00:00:00"/>
        <d v="2018-06-05T00:00:00"/>
        <d v="2018-06-27T00:00:00"/>
        <d v="2018-08-15T00:00:00"/>
        <d v="2018-08-07T00:00:00"/>
        <d v="2018-11-29T00:00:00"/>
        <d v="2018-07-26T00:00:00"/>
        <d v="2018-12-14T00:00:00"/>
        <d v="2018-08-03T00:00:00"/>
        <d v="2018-06-14T00:00:00"/>
        <d v="2018-06-19T00:00:00"/>
        <d v="2018-08-02T00:00:00"/>
        <d v="2018-08-13T00:00:00"/>
        <d v="2018-08-27T00:00:00"/>
        <d v="2018-09-12T00:00:00"/>
        <d v="2018-09-17T00:00:00"/>
        <d v="2018-09-24T00:00:00"/>
        <d v="2018-11-01T00:00:00"/>
        <d v="2018-12-20T00:00:00"/>
        <d v="2018-11-15T00:00:00"/>
        <d v="2018-06-22T00:00:00"/>
        <d v="2018-07-06T00:00:00"/>
        <d v="2018-07-31T00:00:00"/>
        <d v="2018-09-21T00:00:00"/>
        <d v="2018-09-28T00:00:00"/>
        <d v="2018-12-04T00:00:00"/>
        <d v="2018-12-12T00:00:00"/>
        <d v="2018-12-17T00:00:00"/>
        <d v="2018-08-17T00:00:00"/>
        <d v="2018-08-29T00:00:00"/>
        <d v="2018-10-18T00:00:00"/>
        <d v="2018-10-19T00:00:00"/>
        <d v="2018-06-08T00:00:00"/>
        <d v="2018-06-30T00:00:00"/>
        <d v="2018-08-06T00:00:00"/>
        <d v="2018-09-11T00:00:00"/>
        <d v="2018-09-27T00:00:00"/>
        <d v="2018-10-05T00:00:00"/>
        <d v="2018-10-17T00:00:00"/>
        <d v="2018-11-26T00:00:00"/>
        <d v="2018-12-26T00:00:00"/>
        <d v="2018-08-24T00:00:00"/>
        <d v="2018-10-04T00:00:00"/>
        <d v="2018-12-01T00:00:00"/>
        <d v="2018-07-11T00:00:00"/>
        <d v="2018-08-08T00:00:00"/>
        <d v="2018-08-21T00:00:00"/>
        <d v="2018-09-20T00:00:00"/>
        <d v="2018-11-20T00:00:00"/>
        <d v="2018-06-07T00:00:00"/>
        <d v="2018-07-04T00:00:00"/>
        <d v="2018-09-13T00:00:00"/>
        <d v="2018-07-28T00:00:00"/>
        <d v="2018-09-03T00:00:00"/>
        <d v="2018-08-11T00:00:00"/>
        <d v="2018-06-01T00:00:00"/>
        <d v="2018-07-12T00:00:00"/>
        <d v="2018-11-12T00:00:00"/>
        <d v="2018-12-18T00:00:00"/>
        <d v="2018-08-01T00:00:00"/>
        <d v="2018-08-20T00:00:00"/>
        <d v="2018-11-02T00:00:00"/>
        <d v="2018-11-16T00:00:00"/>
        <d v="2018-09-26T00:00:00"/>
        <d v="2018-08-23T00:00:00"/>
        <d v="2018-09-01T00:00:00"/>
        <d v="2018-09-05T00:00:00"/>
        <d v="2018-10-13T00:00:00"/>
        <d v="2018-12-03T00:00:00"/>
        <d v="2018-06-21T00:00:00"/>
        <d v="2018-06-11T00:00:00"/>
        <d v="2018-07-02T00:00:00"/>
        <d v="2018-07-09T00:00:00"/>
        <d v="2018-07-18T00:00:00"/>
        <d v="2018-09-14T00:00:00"/>
        <d v="2018-10-01T00:00:00"/>
        <d v="2018-10-11T00:00:00"/>
        <d v="2018-10-22T00:00:00"/>
        <d v="2018-10-30T00:00:00"/>
        <d v="2018-10-31T00:00:00"/>
        <d v="2018-12-06T00:00:00"/>
        <d v="2018-07-27T00:00:00"/>
        <d v="2018-11-07T00:00:00"/>
        <d v="2018-12-27T00:00:00"/>
        <d v="2018-08-28T00:00:00"/>
        <d v="2018-10-15T00:00:00"/>
        <d v="2018-12-21T00:00:00"/>
        <d v="2018-07-17T00:00:00"/>
        <d v="2018-08-18T00:00:00"/>
        <d v="2018-08-30T00:00:00"/>
        <d v="2018-12-29T00:00:00"/>
        <d v="2018-06-06T00:00:00"/>
        <d v="2018-06-15T00:00:00"/>
        <d v="2018-08-09T00:00:00"/>
        <d v="2018-12-22T00:00:00"/>
        <d v="2018-06-26T00:00:00"/>
        <d v="2018-06-29T00:00:00"/>
        <d v="2018-06-18T00:00:00"/>
        <d v="2018-07-20T00:00:00"/>
        <d v="2018-08-16T00:00:00"/>
        <d v="2018-11-06T00:00:00"/>
        <d v="2018-10-03T00:00:00"/>
        <d v="2018-10-23T00:00:00"/>
        <d v="2018-06-13T00:00:00"/>
        <d v="2018-10-08T00:00:00"/>
        <d v="2018-10-09T00:00:00"/>
        <d v="2018-10-12T00:00:00"/>
        <d v="2018-10-27T00:00:00"/>
        <d v="2018-11-22T00:00:00"/>
        <d v="2018-11-30T00:00:00"/>
        <d v="2018-11-13T00:00:00"/>
        <d v="2018-09-22T00:00:00"/>
        <d v="2018-12-13T00:00:00"/>
        <d v="2018-12-28T00:00:00"/>
        <d v="2018-06-28T00:00:00"/>
        <d v="2018-08-04T00:00:00"/>
        <d v="2018-08-31T00:00:00"/>
        <d v="2018-09-07T00:00:00"/>
        <d v="2018-06-23T00:00:00"/>
        <d v="2018-07-21T00:00:00"/>
        <d v="2018-08-14T00:00:00"/>
        <d v="2018-10-26T00:00:00"/>
        <d v="2018-07-30T00:00:00"/>
        <d v="2018-10-06T00:00:00"/>
        <d v="2018-11-19T00:00:00"/>
        <d v="2018-09-04T00:00:00"/>
        <d v="2018-11-21T00:00:00"/>
        <d v="2018-10-24T00:00:00"/>
        <d v="2018-06-12T00:00:00"/>
        <d v="2018-06-20T00:00:00"/>
        <d v="2018-11-08T00:00:00"/>
        <d v="2018-07-03T00:00:00"/>
        <d v="2018-07-24T00:00:00"/>
        <d v="2018-08-22T00:00:00"/>
        <d v="2018-07-13T00:00:00"/>
        <d v="2018-11-27T00:00:00"/>
        <d v="2018-12-11T00:00:00"/>
        <d v="2018-12-24T00:00:00"/>
        <d v="2018-11-23T00:00:00"/>
        <d v="2018-09-18T00:00:00"/>
        <d v="2018-12-07T00:00:00"/>
        <d v="2018-09-06T00:00:00"/>
        <d v="2018-06-16T00:00:00"/>
        <d v="2018-06-02T00:00:00"/>
        <d v="2018-10-02T00:00:00"/>
        <d v="2018-10-16T00:00:00"/>
        <d v="2018-12-05T00:00:00"/>
        <d v="2018-09-08T00:00:00"/>
        <d v="2018-07-14T00:00:00"/>
        <d v="2018-07-23T00:00:00"/>
        <d v="2018-09-19T00:00:00"/>
        <d v="2018-10-29T00:00:00"/>
        <d v="2018-07-05T00:00:00"/>
        <d v="2018-11-14T00:00:00"/>
        <d v="2018-07-16T00:00:00"/>
        <d v="2018-06-04T00:00:00"/>
        <d v="2019-01-25T00:00:00"/>
        <d v="2019-02-09T00:00:00"/>
        <d v="2019-02-25T00:00:00"/>
        <d v="2019-07-25T00:00:00"/>
        <d v="2019-03-09T00:00:00"/>
        <d v="2019-04-25T00:00:00"/>
        <d v="2019-05-10T00:00:00"/>
        <d v="2019-03-25T00:00:00"/>
        <d v="2019-01-10T00:00:00"/>
        <d v="2019-04-10T00:00:00"/>
        <d v="2019-05-25T00:00:00"/>
        <d v="2019-06-10T00:00:00"/>
        <d v="2019-06-25T00:00:00"/>
        <d v="2019-07-10T00:00:00"/>
        <d v="2019-02-27T00:00:00"/>
        <d v="2019-04-16T00:00:00"/>
        <d v="2019-05-07T00:00:00"/>
        <d v="2019-07-19T00:00:00"/>
        <d v="2019-04-29T00:00:00"/>
        <d v="2019-07-29T00:00:00"/>
        <d v="2019-07-30T00:00:00"/>
        <d v="2019-02-04T00:00:00"/>
        <d v="2019-05-17T00:00:00"/>
        <d v="2019-03-12T00:00:00"/>
        <d v="2019-02-14T00:00:00"/>
        <d v="2019-02-20T00:00:00"/>
        <d v="2019-03-18T00:00:00"/>
        <d v="2019-04-01T00:00:00"/>
        <d v="2019-04-26T00:00:00"/>
        <d v="2019-05-03T00:00:00"/>
        <d v="2019-05-13T00:00:00"/>
        <d v="2019-05-21T00:00:00"/>
        <d v="2019-07-15T00:00:00"/>
        <d v="2019-07-16T00:00:00"/>
        <d v="2019-01-16T00:00:00"/>
        <d v="2019-01-18T00:00:00"/>
        <d v="2019-02-19T00:00:00"/>
        <d v="2019-02-22T00:00:00"/>
        <d v="2019-01-21T00:00:00"/>
        <d v="2019-01-30T00:00:00"/>
        <d v="2019-03-20T00:00:00"/>
        <d v="2019-04-04T00:00:00"/>
        <d v="2019-05-14T00:00:00"/>
        <d v="2019-05-27T00:00:00"/>
        <d v="2019-06-04T00:00:00"/>
        <d v="2019-06-14T00:00:00"/>
        <d v="2019-07-05T00:00:00"/>
        <d v="2019-07-22T00:00:00"/>
        <d v="2019-03-23T00:00:00"/>
        <d v="2019-05-09T00:00:00"/>
        <d v="2019-06-06T00:00:00"/>
        <d v="2019-06-08T00:00:00"/>
        <d v="2019-06-19T00:00:00"/>
        <d v="2019-06-24T00:00:00"/>
        <d v="2019-01-14T00:00:00"/>
        <d v="2019-02-21T00:00:00"/>
        <d v="2019-03-07T00:00:00"/>
        <d v="2019-03-30T00:00:00"/>
        <d v="2019-07-26T00:00:00"/>
        <d v="2019-03-29T00:00:00"/>
        <d v="2019-04-08T00:00:00"/>
        <d v="2019-04-15T00:00:00"/>
        <d v="2019-04-24T00:00:00"/>
        <d v="2019-05-31T00:00:00"/>
        <d v="2019-06-26T00:00:00"/>
        <d v="2019-07-18T00:00:00"/>
        <d v="2019-01-29T00:00:00"/>
        <d v="2019-03-15T00:00:00"/>
        <d v="2019-04-09T00:00:00"/>
        <d v="2019-06-17T00:00:00"/>
        <d v="2019-07-27T00:00:00"/>
        <d v="2019-03-19T00:00:00"/>
        <d v="2019-04-11T00:00:00"/>
        <d v="2019-04-23T00:00:00"/>
        <d v="2019-02-18T00:00:00"/>
        <d v="2019-06-27T00:00:00"/>
        <d v="2019-02-05T00:00:00"/>
        <d v="2019-04-22T00:00:00"/>
        <d v="2019-05-15T00:00:00"/>
        <d v="2019-06-29T00:00:00"/>
        <d v="2019-02-01T00:00:00"/>
        <d v="2019-01-17T00:00:00"/>
        <d v="2019-01-24T00:00:00"/>
        <d v="2019-02-08T00:00:00"/>
        <d v="2019-03-27T00:00:00"/>
        <d v="2019-05-20T00:00:00"/>
        <d v="2019-06-18T00:00:00"/>
        <d v="2019-01-08T00:00:00"/>
        <d v="2019-01-11T00:00:00"/>
        <d v="2019-01-28T00:00:00"/>
        <d v="2019-02-13T00:00:00"/>
        <d v="2019-03-22T00:00:00"/>
        <d v="2019-04-03T00:00:00"/>
        <d v="2019-07-02T00:00:00"/>
        <d v="2019-07-08T00:00:00"/>
        <d v="2019-07-12T00:00:00"/>
        <d v="2019-02-16T00:00:00"/>
        <d v="2019-04-12T00:00:00"/>
        <d v="2019-05-02T00:00:00"/>
        <d v="2019-06-13T00:00:00"/>
        <d v="2019-07-24T00:00:00"/>
        <d v="2019-05-08T00:00:00"/>
        <d v="2019-05-22T00:00:00"/>
        <d v="2019-05-28T00:00:00"/>
        <d v="2019-05-29T00:00:00"/>
        <d v="2019-06-21T00:00:00"/>
        <d v="2019-01-03T00:00:00"/>
        <d v="2019-01-05T00:00:00"/>
        <d v="2019-01-31T00:00:00"/>
        <d v="2019-06-15T00:00:00"/>
        <d v="2019-07-03T00:00:00"/>
        <d v="2019-05-06T00:00:00"/>
        <d v="2019-05-11T00:00:00"/>
        <d v="2019-06-07T00:00:00"/>
        <d v="2019-07-04T00:00:00"/>
        <d v="2019-04-02T00:00:00"/>
        <d v="2019-04-27T00:00:00"/>
        <d v="2019-01-07T00:00:00"/>
        <d v="2019-02-06T00:00:00"/>
        <d v="2019-03-13T00:00:00"/>
        <d v="2019-03-28T00:00:00"/>
        <d v="2019-03-08T00:00:00"/>
        <d v="2019-03-14T00:00:00"/>
        <d v="2019-05-30T00:00:00"/>
        <d v="2019-06-11T00:00:00"/>
        <d v="2019-07-13T00:00:00"/>
        <d v="2019-07-17T00:00:00"/>
        <d v="2019-04-30T00:00:00"/>
        <d v="2019-05-16T00:00:00"/>
        <d v="2019-06-01T00:00:00"/>
        <d v="2019-03-02T00:00:00"/>
        <d v="2019-05-18T00:00:00"/>
        <d v="2019-03-11T00:00:00"/>
        <d v="2019-06-22T00:00:00"/>
        <d v="2019-07-09T00:00:00"/>
        <d v="2019-03-01T00:00:00"/>
        <d v="2019-06-12T00:00:00"/>
        <d v="2019-01-02T00:00:00"/>
        <d v="2019-01-15T00:00:00"/>
        <d v="2019-04-05T00:00:00"/>
        <d v="2019-05-23T00:00:00"/>
        <d v="2019-06-28T00:00:00"/>
        <d v="2019-07-20T00:00:00"/>
        <d v="2019-07-11T00:00:00"/>
        <d v="2019-06-03T00:00:00"/>
        <d v="2019-06-20T00:00:00"/>
        <d v="2019-04-06T00:00:00"/>
        <d v="2019-02-12T00:00:00"/>
        <d v="2019-02-26T00:00:00"/>
        <d v="2019-02-11T00:00:00"/>
        <d v="2019-02-02T00:00:00"/>
        <d v="2019-01-23T00:00:00"/>
        <d v="2019-02-15T00:00:00"/>
        <d v="2019-07-31T00:00:00"/>
        <d v="2019-05-04T00:00:00"/>
        <d v="2019-02-07T00:00:00"/>
        <d v="2019-01-04T00:00:00"/>
        <d v="2019-01-19T00:00:00"/>
        <d v="2019-04-17T00:00:00"/>
        <d v="2019-05-24T00:00:00"/>
        <d v="2019-03-26T00:00:00"/>
        <d v="2019-01-22T00:00:00"/>
        <d v="2019-03-16T00:00:00"/>
        <d v="2019-06-05T00:00:00"/>
        <d v="2019-07-23T00:00:00"/>
        <d v="2019-04-13T00:00:00"/>
        <d v="2019-03-06T00:00:00"/>
        <d v="2019-03-21T00:00:00"/>
        <d v="2019-04-18T00:00:00"/>
        <d v="2019-02-28T00:00:00"/>
      </sharedItems>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ount="41">
        <s v="CAJA"/>
        <s v="SERVICIOS PERSONALES"/>
        <s v="ADMINISTRACION DE SUCURSALES"/>
        <s v="HIPOTECAS"/>
        <s v="GESTION HIPOTECARIA"/>
        <s v="BANCA DE CONSUMO"/>
        <s v="CANALES DE DISTRIBUCION"/>
        <s v="CENTRO DE TARJETAS"/>
        <s v="CANALES ALTERNOS"/>
        <s v="TELEMERCADEO"/>
        <s v="ATM"/>
        <s v="ATENCION A CLIENTES"/>
        <s v="DESARROLLO DE PRODUCTOS"/>
        <s v="VENTAS CONSUMO"/>
        <s v="FUERZAS DE VENTAS PANAMA"/>
        <s v="FUERZA DE VENTAS AUTOS"/>
        <s v="CAMPAðA"/>
        <s v="BANCA COMERCIAL INTERIOR"/>
        <s v="IMAGEN CORPORATIVA"/>
        <s v="NEGOCIOS"/>
        <s v="BANCA CORPORATIVA"/>
        <s v="INTERINOS"/>
        <s v="CUENTAS CORPORATIVAS"/>
        <s v="ZONA LIBRE"/>
        <s v="CANALES EXTERNOS HIP"/>
        <s v="AUTOS"/>
        <s v="BANCA EN LINEA"/>
        <s v="FUERZA DE VENTAS INTERIOR"/>
        <s v="SEGMENTO DE NEGOCIOS"/>
        <s v="BANCA PRIVADA"/>
        <s v="BANCA COMERCIAL"/>
        <s v="BANCA COMERCIAL CENTRO"/>
        <s v="BANCA COMERCIAL PERIFERIA"/>
        <s v="MERCADEO"/>
        <s v="SERVICIOS AL CLIENTE"/>
        <s v="EMISOR DE TARJETAS"/>
        <s v="GESTION Y CONTROL CANALES ALTERNOS"/>
        <s v="MERCADEO Y PUBLICIDAD"/>
        <s v="PERSONALES"/>
        <s v="AFILIACIONES DE COMERCIOS"/>
        <s v="OPERACIONES DE CENTRO DE TARJETAS"/>
      </sharedItems>
    </cacheField>
    <cacheField name="Asiento" numFmtId="0">
      <sharedItems count="69">
        <s v="PAGO NOMINA QUINCENA 1 OCTUBRE 2018"/>
        <s v="CIERRE DE ANIO FISCAL"/>
        <s v="PAGO NOMINA QUINCENA 2 JUNIO 2018"/>
        <s v="PAGO NOMINA QUINCENA 2 AGOSTO 2018"/>
        <s v="PAGO NOMINA QUINCENA 2 SEPTIEMBRE 2018"/>
        <s v="PAGO NOMINA QUINCENA 2 OCTUBRE 2018"/>
        <s v="PAGO NOMINA QUINCENA 2 NOVIEMBRE 2018"/>
        <s v="PAGO NOMINA QUINCENA 1 JUNIO 2018"/>
        <s v="PAGO NOMINA QUINCENA 2 DICIEMBRE 2018"/>
        <s v="PAGO NOMINA QUINCENA 1 JULIO 2018"/>
        <s v="PAGO NOMINA QUINCENA 1 AGOSTO 2018"/>
        <s v="PAGO NOMINA QUINCENA 2 JULIO 2018"/>
        <s v="PAGO NOMINA QUINCENA 1 SEPTIEMBRE 2018"/>
        <s v="PAGO NOMINA QUINCENA 1 NOVIEMBRE 2018"/>
        <s v="PAGO NOMINA QUINCENA 1 DICIEMBRE 2018"/>
        <s v="PLANILLAS DE LIQUIDACIONES JUL 2018"/>
        <s v="PLANILLAS DE LIQUIDACIONES JUN 2018"/>
        <s v="PLANILLAS DE LIQUIDACIONES AGO 2018"/>
        <s v="PLANILLAS DE LIQUIDACIONES NOV 2018"/>
        <s v="PLANILLAS DE LIQUIDACIONES DIC 2018"/>
        <s v="OTROS EGRESOS 18"/>
        <s v="VIATICOS"/>
        <s v="CORREGIMOS ENTRADA DEL 20 DE AGOSTO POR ERROR EN CAUSA. SE DEBIO"/>
        <s v="O/ING. EFECTIVO 18"/>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CORRIGE DIFERENCIA EN RECHAZO MODULO DE CONTABILIDAD"/>
        <s v="INGRESO DE PAGO DE VIATICO DEL 27 DE AGOSTO DE 2018"/>
        <s v="NC ALIMENTACION DE EMPLEADOS NVA"/>
        <s v="ALIMENTACION DE EMPLEADOS CTA NUEVA"/>
        <s v="OTROS EGRESOS 17"/>
        <s v="ALIMENTACION DE EMPLEADOS"/>
        <s v="CORRECCION REG.20/07/2018 CENA"/>
        <s v="NC  RECONOCIMIENTOS"/>
        <s v="RECONOCIMIENTO"/>
        <s v="NC GASTO NO DEDUCIBLES"/>
        <s v="GASTOS NO DEDUCIBLES"/>
        <s v="PAGO NOMINA QUINCENA 2 ENERO 2019"/>
        <s v="PAGO NOMINA QUINCENA 1 FEBRERO 2019"/>
        <s v="PAGO NOMINA QUINCENA 2 FEBRERO 2019"/>
        <s v="PAGO NOMINA QUINCENA 2 JULIO 2019"/>
        <s v="PAGO NOMINA QUINCENA 1 MARZO 2019"/>
        <s v="PAGO NOMINA QUINCENA 2 ABRIL 2019"/>
        <s v="PAGO NOMINA QUINCENA 1 MAYO 2019"/>
        <s v="PAGO NOMINA QUINCENA 2 MARZO 2019"/>
        <s v="PAGO NOMINA QUINCENA 1 ENERO 2019"/>
        <s v="PAGO NOMINA QUINCENA 1 ABRIL 2019"/>
        <s v="PAGO NOMINA QUINCENA 2 MAYO 2019"/>
        <s v="PAGO NOMINA QUINCENA 1 JUNIO 2019"/>
        <s v="PAGO NOMINA QUINCENA 2 JUNIO 2019"/>
        <s v="PAGO NOMINA QUINCENA 1 JULIO 2019"/>
        <s v="PLANILLAS DE LIQUIDACIONES FEB 2019"/>
        <s v="PLANILLAS DE LIQUIDACIONES ABR 2019"/>
        <s v="PLANILLAS DE LIQUIDACIONES MAY 2019"/>
        <s v="PLANILLAS DE LIQUIDACIONES JUL 2019"/>
        <s v="PLANILLAS DE LIQUIDACIONES MAR 2019"/>
        <s v="CORRRECCION DEL 21/03/2019 POR CAUSA DE REGISTRO DE VIATICO MAL"/>
        <s v="CORRIGE  RECHAZO 05-JUNIO-2019"/>
        <s v="CORRECCION DE RECHAZO REG. 08/06/2019"/>
        <s v="CORRIGE RECHAZO 05/JUNIO/2019"/>
        <s v="ALIMENTACION DE EMPLEADOS [EMPL]"/>
        <s v="PROVISION DEL MES ENERO 2019"/>
        <s v="REVERSI╦N - FEBRERO 2019"/>
        <s v="REVERSION - ABRIL 2019"/>
        <s v="REVERSION MAYO 2019"/>
      </sharedItems>
    </cacheField>
    <cacheField name="Comprobante" numFmtId="0">
      <sharedItems count="457">
        <s v="TRANSACCIONES DEL DIA 10/10/2018 RECURSOS HUMANOS"/>
        <s v="CIERRE_DE_CTAS_NOMINALES"/>
        <s v="TRANSACCIONES DEL DIA 06/25/2018 RECURSOS HUMANOS"/>
        <s v="TRANSACCIONES DEL DIA 08/25/2018 RECURSOS HUMANOS"/>
        <s v="TRANSACCIONES DEL DIA 09/25/2018 RECURSOS HUMANOS"/>
        <s v="TRANSACCIONES DEL DIA 10/25/2018 RECURSOS HUMANOS"/>
        <s v="TRANSACCIONES DEL DIA 11/24/2018 RECURSOS HUMANOS"/>
        <s v="TRANSACCIONES DEL DIA 06/09/2018 RECURSOS HUMANOS"/>
        <s v="TRANSACCIONES DEL DIA 12/19/2018 RECURSOS HUMANOS"/>
        <s v="TRANSACCIONES DEL DIA 07/10/2018 RECURSOS HUMANOS"/>
        <s v="TRANSACCIONES DEL DIA 08/10/2018 RECURSOS HUMANOS"/>
        <s v="TRANSACCIONES DEL DIA 07/25/2018 RECURSOS HUMANOS"/>
        <s v="TRANSACCIONES DEL DIA 09/10/2018 RECURSOS HUMANOS"/>
        <s v="TRANSACCIONES DEL DIA 11/09/2018 RECURSOS HUMANOS"/>
        <s v="TRANSACCIONES DEL DIA 12/10/2018 RECURSOS HUMANOS"/>
        <s v="TRANSACCIONES DEL DIA 07/19/2018 RECURSOS HUMANOS"/>
        <s v="TRANSACCIONES DEL DIA 06/05/2018 RECURSOS HUMANOS"/>
        <s v="TRANSACCIONES DEL DIA 06/27/2018 RECURSOS HUMANOS"/>
        <s v="TRANSACCIONES DEL DIA 08/15/2018 RECURSOS HUMANOS"/>
        <s v="TRANSACCIONES DEL DIA 08/07/2018 RECURSOS HUMANOS"/>
        <s v="TRANSACCIONES DEL DIA 11/29/2018 RECURSOS HUMANOS"/>
        <s v="TRANSACCIONES DEL DIA 07/26/2018 RECURSOS HUMANOS"/>
        <s v="TRANSACCIONES DEL DIA 12/14/2018 RECURSOS HUMANOS"/>
        <s v="TRANSACCIONES DEL DIA 08/03/2018 RECURSOS HUMANOS"/>
        <s v="OTROS EGRESOS 1.P.O (OR:1/DES:1 TRN:86 PERF:300086 CAU: 18"/>
        <s v="OTROS EGRESOS 1.P.O (OR:2/DES:2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TRANSACCIONES DEL DIA 07/28/2018SPYRAL - GESTION ADMINISTRATIVA"/>
        <s v="OTROS EGRESOS 1.P.O (OR:9/DES:9 TRN:86 PERF:300086 CAU: 18"/>
        <s v="TRANSACCIONES DEL DIA 09/27/2018SPYRAL - GESTION ADMINISTRATIVA"/>
        <s v="OTROS EGRESOS 1.P.O (OR:10/DES:10 TRN:86 PERF:300086 CAU: 18"/>
        <s v="TRANSACCIONES DEL DIA 06/01/2018SPYRAL - GESTION ADMINISTRATIVA"/>
        <s v="TRANSACCIONES DEL DIA 07/12/2018SPYRAL - GESTION ADMINISTRATIVA"/>
        <s v="TRANSACCIONES DEL DIA 11/12/2018SPYRAL - GESTION ADMINISTRATIVA"/>
        <s v="TRANSACCIONES DEL DIA 12/18/2018SPYRAL - GESTION ADMINISTRATIVA"/>
        <s v="OTROS EGRESOS 1.P.O (OR:13/DES:13 TRN:86 PERF:300086 CAU: 18"/>
        <s v="OTROS EGRESOS 1.P.O (OR:14/DES:14 TRN:86 PERF:300086 CAU: 18"/>
        <s v="OTROS EGRESOS 1.P.O (OR:15/DES:15 TRN:86 PERF:300086 CAU: 18"/>
        <s v="TRANSACCIONES DEL DIA 08/13/2018SPYRAL - GESTION ADMINISTRATIVA"/>
        <s v="TRANSACCIONES DEL DIA 10/04/2018SPYRAL - GESTION ADMINISTRATIVA"/>
        <s v="TRANSACCIONES DEL DIA 11/29/2018SPYRAL - GESTION ADMINISTRATIVA"/>
        <s v="OTROS EGRESOS 1.P.O (OR:16/DES:16 TRN:86 PERF:300086 CAU: 18"/>
        <s v="OTROS EGRESOS 1.P.O (OR:17/DES:17 TRN:86 PERF:300086 CAU: 18"/>
        <s v="OTROS EGRESOS 1.P.O (OR:18/DES:18 TRN:86 PERF:300086 CAU: 18"/>
        <s v="OTROS EGRESOS 1.P.O (OR:19/DES:19 TRN:86 PERF:300086 CAU: 18"/>
        <s v="OTROS EGRESOS 1.P.O (OR:20/DES:20 TRN:86 PERF:300086 CAU: 18"/>
        <s v="REGISTRO DE ENTRADA DE CAJA"/>
        <s v="OTROS EGRESOS 1.P.O (OR:21/DES:21 TRN:86 PERF:300086 CAU: 18"/>
        <s v="OTROS EGRESOS 1.P.O (OR:22/DES:22 TRN:86 PERF:300086 CAU: 18"/>
        <s v="OTROS EGRESOS 1.P.O (OR:23/DES:23 TRN:86 PERF:300086 CAU: 18"/>
        <s v="OTROS EGRESOS 1.P.O (OR:26/DES:26 TRN:86 PERF:300086 CAU: 18"/>
        <s v="O/ING. EFECTIVO 1.P.O (OR:26/DES:26 TRN:32 PERF:300032E CAU: 18"/>
        <s v="TRANSACCIONES DEL DIA 08/08/2018SPYRAL - GESTION ADMINISTRATIVA"/>
        <s v="OTROS EGRESOS 1.P.O (OR:27/DES:27 TRN:86 PERF:300086 CAU: 18"/>
        <s v="REGISTRO DE ENTRADA DE ADMINISTRACION"/>
        <s v="OTROS EGRESOS 1.P.O (OR:28/DES:28 TRN:86 PERF:300086 CAU: 18"/>
        <s v="OTROS EGRESOS 1.P.O (OR:29/DES:29 TRN:86 PERF:300086 CAU: 18"/>
        <s v="TRANSACCIONES DEL DIA 08/07/2018SPYRAL - GESTION ADMINISTRATIVA"/>
        <s v="TRANSACCIONES DEL DIA 08/09/2018SPYRAL - GESTION ADMINISTRATIVA"/>
        <s v="TRANSACCIONES DEL DIA 10/03/2018SPYRAL - GESTION ADMINISTRATIVA"/>
        <s v="TRANSACCIONES DEL DIA 10/23/2018SPYRAL - GESTION ADMINISTRATIVA"/>
        <s v="OTROS EGRESOS 1.P.O (OR:32/DES:32 TRN:86 PERF:300086 CAU: 18"/>
        <s v="OTROS EGRESOS 1.P.O (OR:33/DES:33 TRN:86 PERF:300086 CAU: 18"/>
        <s v="TRANSACCIONES DEL DIA 06/08/2018SPYRAL - GESTION ADMINISTRATIVA"/>
        <s v="TRANSACCIONES DEL DIA 06/13/2018SPYRAL - GESTION ADMINISTRATIVA"/>
        <s v="TRANSACCIONES DEL DIA 07/26/2018SPYRAL - GESTION ADMINISTRATIVA"/>
        <s v="TRANSACCIONES DEL DIA 08/17/2018SPYRAL - GESTION ADMINISTRATIVA"/>
        <s v="TRANSACCIONES DEL DIA 09/24/2018SPYRAL - GESTION ADMINISTRATIVA"/>
        <s v="TRANSACCIONES DEL DIA 10/15/2018SPYRAL - GESTION ADMINISTRATIVA"/>
        <s v="TRANSACCIONES DEL DIA 11/22/2018SPYRAL - GESTION ADMINISTRATIVA"/>
        <s v="TRANSACCIONES DEL DIA 06/29/2018SPYRAL - GESTION ADMINISTRATIVA"/>
        <s v="TRANSACCIONES DEL DIA 08/16/2018SPYRAL - GESTION ADMINISTRATIVA"/>
        <s v="TRANSACCIONES DEL DIA 09/11/2018SPYRAL - GESTION ADMINISTRATIVA"/>
        <s v="TRANSACCIONES DEL DIA 09/13/2018SPYRAL - GESTION ADMINISTRATIVA"/>
        <s v="TRANSACCIONES DEL DIA 10/01/2018SPYRAL - GESTION ADMINISTRATIVA"/>
        <s v="TRANSACCIONES DEL DIA 10/12/2018SPYRAL - GESTION ADMINISTRATIVA"/>
        <s v="TRANSACCIONES DEL DIA 11/01/2018SPYRAL - GESTION ADMINISTRATIVA"/>
        <s v="TRANSACCIONES DEL DIA 11/13/2018SPYRAL - GESTION ADMINISTRATIVA"/>
        <s v="TRANSACCIONES DEL DIA 09/22/2018SPYRAL - GESTION ADMINISTRATIVA"/>
        <s v="TRANSACCIONES DEL DIA 12/01/2018SPYRAL - GESTION ADMINISTRATIVA"/>
        <s v="TRANSACCIONES DEL DIA 12/13/2018SPYRAL - GESTION ADMINISTRATIVA"/>
        <s v="OTROS EGRESOS 1.P.O (OR:34/DES:34 TRN:86 PERF:300086 CAU: 18"/>
        <s v="OTROS EGRESOS 1.P.O (OR:35/DES:35 TRN:86 PERF:300086 CAU: 18"/>
        <s v="OTROS EGRESOS 1.P.O (OR:37/DES:37 TRN:86 PERF:300086 CAU: 18"/>
        <s v="TRANSACCIONES DEL DIA 07/20/2018SPYRAL - GESTION ADMINISTRATIVA"/>
        <s v="TRANSACCIONES DEL DIA 09/01/2018SPYRAL - GESTION ADMINISTRATIVA"/>
        <s v="TRANSACCIONES DEL DIA 07/25/2018SPYRAL - GESTION ADMINISTRATIVA"/>
        <s v="OTROS EGRESOS 1.P.O (OR:38/DES:38 TRN:86 PERF:300086 CAU: 18"/>
        <s v="TRANSACCIONES DEL DIA 06/05/2018SPYRAL - GESTION ADMINISTRATIVA"/>
        <s v="TRANSACCIONES DEL DIA 07/06/2018SPYRAL - GESTION ADMINISTRATIVA"/>
        <s v="TRANSACCIONES DEL DIA 09/07/2018SPYRAL - GESTION ADMINISTRATIVA"/>
        <s v="TRANSACCIONES DEL DIA 10/08/2018SPYRAL - GESTION ADMINISTRATIVA"/>
        <s v="TRANSACCIONES DEL DIA 12/06/2018SPYRAL - GESTION ADMINISTRATIVA"/>
        <s v="OTROS EGRESOS 1.P.O (OR:39/DES:39 TRN:86 PERF:300086 CAU: 18"/>
        <s v="OTROS EGRESOS 1.P.O (OR:40/DES:40 TRN:86 PERF:300086 CAU: 18"/>
        <s v="TRANSACCIONES DEL DIA 10/26/2018SPYRAL - GESTION ADMINISTRATIVA"/>
        <s v="OTROS EGRESOS 1.P.O (OR:41/DES:41 TRN:86 PERF:300086 CAU: 18"/>
        <s v="TRANSACCIONES DEL DIA 07/30/2018SPYRAL - GESTION ADMINISTRATIVA"/>
        <s v="OTROS EGRESOS 1.P.O (OR:43/DES:43 TRN:86 PERF:300086 CAU: 18"/>
        <s v="OTROS EGRESOS 1.P.O (OR:44/DES:44 TRN:86 PERF:300086 CAU: 18"/>
        <s v="OTROS EGRESOS 1.P.O (OR:46/DES:46 TRN:86 PERF:300086 CAU: 18"/>
        <s v="TRANSACCIONES DEL DIA 09/21/2018SPYRAL - GESTION ADMINISTRATIVA"/>
        <s v="TRANSACCIONES DEL DIA 10/05/2018SPYRAL - GESTION ADMINISTRATIVA"/>
        <s v="OTROS EGRESOS 1.P.O (OR:47/DES:47 TRN:86 PERF:300086 CAU: 18"/>
        <s v="TRANSACCIONES DEL DIA 10/22/2018SPYRAL - GESTION ADMINISTRATIVA"/>
        <s v="TRANSACCIONES DEL DIA 11/19/2018SPYRAL - GESTION ADMINISTRATIVA"/>
        <s v="TRANSACCIONES DEL DIA 11/20/2018SPYRAL - GESTION ADMINISTRATIVA"/>
        <s v="TRANSACCIONES DEL DIA 12/10/2018SPYRAL - GESTION ADMINISTRATIVA"/>
        <s v="TRANSACCIONES DEL DIA 12/12/2018SPYRAL - GESTION ADMINISTRATIVA"/>
        <s v="OTROS EGRESOS 1.P.O (OR:48/DES:48 TRN:86 PERF:300086 CAU: 18"/>
        <s v="TRANSACCIONES DEL DIA 08/02/2018SPYRAL - GESTION ADMINISTRATIVA"/>
        <s v="TRANSACCIONES DEL DIA 08/28/2018SPYRAL - GESTION ADMINISTRATIVA"/>
        <s v="TRANSACCIONES DEL DIA 09/04/2018SPYRAL - GESTION ADMINISTRATIVA"/>
        <s v="TRANSACCIONES DEL DIA 10/11/2018SPYRAL - GESTION ADMINISTRATIVA"/>
        <s v="TRANSACCIONES DEL DIA 10/24/2018SPYRAL - GESTION ADMINISTRATIVA"/>
        <s v="TRANSACCIONES DEL DIA 11/09/2018SPYRAL - GESTION ADMINISTRATIVA"/>
        <s v="OTROS EGRESOS 1.P.O (OR:51/DES:51 TRN:86 PERF:300086 CAU: 18"/>
        <s v="OTROS EGRESOS 1.P.O (OR:53/DES:53 TRN:86 PERF:300086 CAU: 18"/>
        <s v="TRANSACCIONES DEL DIA 08/10/2018SPYRAL - GESTION ADMINISTRATIVA"/>
        <s v="TRANSACCIONES DEL DIA 11/08/2018SPYRAL - GESTION ADMINISTRATIVA"/>
        <s v="TRANSACCIONES DEL DIA 12/04/2018SPYRAL - GESTION ADMINISTRATIVA"/>
        <s v="TRANSACCIONES DEL DIA 08/21/2018SPYRAL - GESTION ADMINISTRATIVA"/>
        <s v="OTROS EGRESOS 1.P.O (OR:69/DES:69 TRN:86 PERF:300086 CAU: 18"/>
        <s v="OTROS EGRESOS 1.P.O (OR:70/DES:70 TRN:86 PERF:300086 CAU: 18"/>
        <s v="OTROS EGRESOS 1.P.O (OR:71/DES:71 TRN:86 PERF:300086 CAU: 18"/>
        <s v="OTROS EGRESOS 1.P.O (OR:72/DES:72 TRN:86 PERF:300086 CAU: 18"/>
        <s v="OTROS EGRESOS 1.P.O (OR:73/DES:73 TRN:86 PERF:300086 CAU: 18"/>
        <s v="TRANSACCIONES DEL DIA 07/24/2018SPYRAL - GESTION ADMINISTRATIVA"/>
        <s v="OTROS EGRESOS 1.P.O (OR:74/DES:74 TRN:86 PERF:300086 CAU: 18"/>
        <s v="OTROS EGRESOS 1.P.O (OR:76/DES:76 TRN:86 PERF:300086 CAU: 18"/>
        <s v="OTROS EGRESOS 1.P.O (OR:77/DES:77 TRN:86 PERF:300086 CAU: 18"/>
        <s v="OTROS EGRESOS 1.P.O (OR:78/DES:78 TRN:86 PERF:300086 CAU: 18"/>
        <s v="OTROS EGRESOS 1.P.O (OR:79/DES:79 TRN:86 PERF:300086 CAU: 18"/>
        <s v="OTROS EGRESOS 1.P.O (OR:89/DES:89 TRN:86 PERF:300086 CAU: 18"/>
        <s v="TRANSACCIONES DEL DIA 06/07/2018SPYRAL - GESTION ADMINISTRATIVA"/>
        <s v="TRANSACCIONES DEL DIA 06/25/2018SPYRAL - GESTION ADMINISTRATIVA"/>
        <s v="TRANSACCIONES DEL DIA 07/17/2018SPYRAL - GESTION ADMINISTRATIVA"/>
        <s v="TRANSACCIONES DEL DIA 08/23/2018SPYRAL - GESTION ADMINISTRATIVA"/>
        <s v="TRANSACCIONES DEL DIA 09/18/2018SPYRAL - GESTION ADMINISTRATIVA"/>
        <s v="TRANSACCIONES DEL DIA 10/17/2018SPYRAL - GESTION ADMINISTRATIVA"/>
        <s v="TRANSACCIONES DEL DIA 12/07/2018SPYRAL - GESTION ADMINISTRATIVA"/>
        <s v="TRANSACCIONES DEL DIA 09/06/2018SPYRAL - GESTION ADMINISTRATIVA"/>
        <s v="TRANSACCIONES DEL DIA 06/16/2018SPYRAL - GESTION ADMINISTRATIVA"/>
        <s v="TRANSACCIONES DEL DIA 07/13/2018SPYRAL - GESTION ADMINISTRATIVA"/>
        <s v="TRANSACCIONES DEL DIA 08/14/2018SPYRAL - GESTION ADMINISTRATIVA"/>
        <s v="TRANSACCIONES DEL DIA 06/27/2018SPYRAL - GESTION ADMINISTRATIVA"/>
        <s v="TRANSACCIONES DEL DIA 08/01/2018SPYRAL - GESTION ADMINISTRATIVA"/>
        <s v="TRANSACCIONES DEL DIA 08/11/2018SPYRAL - GESTION ADMINISTRATIVA"/>
        <s v="TRANSACCIONES DEL DIA 08/24/2018SPYRAL - GESTION ADMINISTRATIVA"/>
        <s v="TRANSACCIONES DEL DIA 09/14/2018SPYRAL - GESTION ADMINISTRATIVA"/>
        <s v="TRANSACCIONES DEL DIA 10/19/2018SPYRAL - GESTION ADMINISTRATIVA"/>
        <s v="TRANSACCIONES DEL DIA 11/16/2018SPYRAL - GESTION ADMINISTRATIVA"/>
        <s v="TRANSACCIONES DEL DIA 11/23/2018SPYRAL - GESTION ADMINISTRATIVA"/>
        <s v="TRANSACCIONES DEL DIA 06/15/2018SPYRAL - GESTION ADMINISTRATIVA"/>
        <s v="TRANSACCIONES DEL DIA 09/17/2018SPYRAL - GESTION ADMINISTRATIVA"/>
        <s v="TRANSACCIONES DEL DIA 09/26/2018SPYRAL - GESTION ADMINISTRATIVA"/>
        <s v="TRANSACCIONES DEL DIA 06/11/2018SPYRAL - GESTION ADMINISTRATIVA"/>
        <s v="TRANSACCIONES DEL DIA 06/20/2018SPYRAL - GESTION ADMINISTRATIVA"/>
        <s v="TRANSACCIONES DEL DIA 08/31/2018SPYRAL - GESTION ADMINISTRATIVA"/>
        <s v="TRANSACCIONES DEL DIA 12/28/2018SPYRAL - GESTION ADMINISTRATIVA"/>
        <s v="TRANSACCIONES DEL DIA 07/27/2018SPYRAL - GESTION ADMINISTRATIVA"/>
        <s v="TRANSACCIONES DEL DIA 12/11/2018SPYRAL - GESTION ADMINISTRATIVA"/>
        <s v="TRANSACCIONES DEL DIA 12/17/2018SPYRAL - GESTION ADMINISTRATIVA"/>
        <s v="TRANSACCIONES DEL DIA 06/02/2018SPYRAL - GESTION ADMINISTRATIVA"/>
        <s v="TRANSACCIONES DEL DIA 06/19/2018SPYRAL - GESTION ADMINISTRATIVA"/>
        <s v="TRANSACCIONES DEL DIA 06/22/2018SPYRAL - GESTION ADMINISTRATIVA"/>
        <s v="TRANSACCIONES DEL DIA 06/26/2018SPYRAL - GESTION ADMINISTRATIVA"/>
        <s v="TRANSACCIONES DEL DIA 07/03/2018SPYRAL - GESTION ADMINISTRATIVA"/>
        <s v="TRANSACCIONES DEL DIA 08/18/2018SPYRAL - GESTION ADMINISTRATIVA"/>
        <s v="TRANSACCIONES DEL DIA 08/22/2018SPYRAL - GESTION ADMINISTRATIVA"/>
        <s v="TRANSACCIONES DEL DIA 09/05/2018SPYRAL - GESTION ADMINISTRATIVA"/>
        <s v="TRANSACCIONES DEL DIA 09/20/2018SPYRAL - GESTION ADMINISTRATIVA"/>
        <s v="TRANSACCIONES DEL DIA 10/02/2018SPYRAL - GESTION ADMINISTRATIVA"/>
        <s v="TRANSACCIONES DEL DIA 10/13/2018SPYRAL - GESTION ADMINISTRATIVA"/>
        <s v="TRANSACCIONES DEL DIA 10/16/2018SPYRAL - GESTION ADMINISTRATIVA"/>
        <s v="TRANSACCIONES DEL DIA 10/18/2018SPYRAL - GESTION ADMINISTRATIVA"/>
        <s v="TRANSACCIONES DEL DIA 10/27/2018SPYRAL - GESTION ADMINISTRATIVA"/>
        <s v="TRANSACCIONES DEL DIA 11/02/2018SPYRAL - GESTION ADMINISTRATIVA"/>
        <s v="TRANSACCIONES DEL DIA 11/07/2018SPYRAL - GESTION ADMINISTRATIVA"/>
        <s v="TRANSACCIONES DEL DIA 11/15/2018SPYRAL - GESTION ADMINISTRATIVA"/>
        <s v="TRANSACCIONES DEL DIA 11/21/2018SPYRAL - GESTION ADMINISTRATIVA"/>
        <s v="TRANSACCIONES DEL DIA 12/05/2018SPYRAL - GESTION ADMINISTRATIVA"/>
        <s v="TRANSACCIONES DEL DIA 12/19/2018SPYRAL - GESTION ADMINISTRATIVA"/>
        <s v="TRANSACCIONES DEL DIA 12/26/2018SPYRAL - GESTION ADMINISTRATIVA"/>
        <s v="TRANSACCIONES DEL DIA 07/09/2018SPYRAL - GESTION ADMINISTRATIVA"/>
        <s v="TRANSACCIONES DEL DIA 07/04/2018SPYRAL - GESTION ADMINISTRATIVA"/>
        <s v="TRANSACCIONES DEL DIA 08/29/2018SPYRAL - GESTION ADMINISTRATIVA"/>
        <s v="TRANSACCIONES DEL DIA 09/08/2018SPYRAL - GESTION ADMINISTRATIVA"/>
        <s v="TRANSACCIONES DEL DIA 11/24/2018SPYRAL - GESTION ADMINISTRATIVA"/>
        <s v="TRANSACCIONES DEL DIA 12/24/2018SPYRAL - GESTION ADMINISTRATIVA"/>
        <s v="TRANSACCIONES DEL DIA 07/14/2018SPYRAL - GESTION ADMINISTRATIVA"/>
        <s v="TRANSACCIONES DEL DIA 08/30/2018SPYRAL - GESTION ADMINISTRATIVA"/>
        <s v="TRANSACCIONES DEL DIA 10/10/2018SPYRAL - GESTION ADMINISTRATIVA"/>
        <s v="TRANSACCIONES DEL DIA 12/27/2018SPYRAL - GESTION ADMINISTRATIVA"/>
        <s v="TRANSACCIONES DEL DIA 09/25/2018SPYRAL - GESTION ADMINISTRATIVA"/>
        <s v="TRANSACCIONES DEL DIA 07/23/2018SPYRAL - GESTION ADMINISTRATIVA"/>
        <s v="TRANSACCIONES DEL DIA 06/12/2018SPYRAL - GESTION ADMINISTRATIVA"/>
        <s v="TRANSACCIONES DEL DIA 06/14/2018SPYRAL - GESTION ADMINISTRATIVA"/>
        <s v="TRANSACCIONES DEL DIA 06/21/2018SPYRAL - GESTION ADMINISTRATIVA"/>
        <s v="TRANSACCIONES DEL DIA 06/28/2018SPYRAL - GESTION ADMINISTRATIVA"/>
        <s v="TRANSACCIONES DEL DIA 09/19/2018SPYRAL - GESTION ADMINISTRATIVA"/>
        <s v="TRANSACCIONES DEL DIA 11/30/2018SPYRAL - GESTION ADMINISTRATIVA"/>
        <s v="TRANSACCIONES DEL DIA 12/21/2018SPYRAL - GESTION ADMINISTRATIVA"/>
        <s v="TRANSACCIONES DEL DIA 12/22/2018SPYRAL - GESTION ADMINISTRATIVA"/>
        <s v="TRANSACCIONES DEL DIA 06/18/2018SPYRAL - GESTION ADMINISTRATIVA"/>
        <s v="TRANSACCIONES DEL DIA 09/28/2018SPYRAL - GESTION ADMINISTRATIVA"/>
        <s v="TRANSACCIONES DEL DIA 12/14/2018SPYRAL - GESTION ADMINISTRATIVA"/>
        <s v="TRANSACCIONES DEL DIA 10/09/2018SPYRAL - GESTION ADMINISTRATIVA"/>
        <s v="TRANSACCIONES DEL DIA 11/06/2018SPYRAL - GESTION ADMINISTRATIVA"/>
        <s v="TRANSACCIONES DEL DIA 11/27/2018SPYRAL - GESTION ADMINISTRATIVA"/>
        <s v="TRANSACCIONES DEL DIA 12/03/2018SPYRAL - GESTION ADMINISTRATIVA"/>
        <s v="TRANSACCIONES DEL DIA 07/19/2018SPYRAL - GESTION ADMINISTRATIVA"/>
        <s v="TRANSACCIONES DEL DIA 10/29/2018SPYRAL - GESTION ADMINISTRATIVA"/>
        <s v="TRANSACCIONES DEL DIA 07/05/2018SPYRAL - GESTION ADMINISTRATIVA"/>
        <s v="TRANSACCIONES DEL DIA 08/15/2018SPYRAL - GESTION ADMINISTRATIVA"/>
        <s v="TRANSACCIONES DEL DIA 08/20/2018SPYRAL - GESTION ADMINISTRATIVA"/>
        <s v="TRANSACCIONES DEL DIA 08/03/2018SPYRAL - GESTION ADMINISTRATIVA"/>
        <s v="TRANSACCIONES DEL DIA 09/03/2018SPYRAL - GESTION ADMINISTRATIVA"/>
        <s v="TRANSACCIONES DEL DIA 06/06/2018SPYRAL - GESTION ADMINISTRATIVA"/>
        <s v="TRANSACCIONES DEL DIA 07/02/2018SPYRAL - GESTION ADMINISTRATIVA"/>
        <s v="TRANSACCIONES DEL DIA 11/14/2018SPYRAL - GESTION ADMINISTRATIVA"/>
        <s v="TRANSACCIONES DEL DIA 07/21/2018SPYRAL - GESTION ADMINISTRATIVA"/>
        <s v="OTROS EGRESOS 1.P.O (OR:95/DES:95 TRN:86 PERF:300086 CAU: 18"/>
        <s v="OTROS EGRESOS 1.P.O (OR:97/DES:97 TRN:86 PERF:300086 CAU: 18"/>
        <s v="OTROS EGRESOS 1.P.O (OR:99/DES:99 TRN:86 PERF:300086 CAU: 18"/>
        <s v="OTROS EGRESOS 1.P.O (OR:101/DES:101 TRN:86 PERF:300086 CAU: 18"/>
        <s v="OTROS EGRESOS 1.P.O (OR:102/DES:102 TRN:86 PERF:300086 CAU: 18"/>
        <s v="OTROS EGRESOS 1.P.O (OR:103/DES:103 TRN:86 PERF:300086 CAU: 18"/>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65/DES:165 TRN:86 PERF:300086 CAU: 18"/>
        <s v="OTROS EGRESOS 1.P.O (OR:196/DES:196 TRN:86 PERF:300086 CAU: 18"/>
        <s v="TRANSACCIONES DEL DIA 12/20/2018SPYRAL - GESTION ADMINISTRATIVA"/>
        <s v="TRANSACCIONES DEL DIA 07/18/2018SPYRAL - GESTION ADMINISTRATIVA"/>
        <s v="TRANSACCIONES DEL DIA 08/25/2018SPYRAL - GESTION ADMINISTRATIVA"/>
        <s v="TRANSACCIONES DEL DIA 08/06/2018SPYRAL - GESTION ADMINISTRATIVA"/>
        <s v="TRANSACCIONES DEL DIA 08/27/2018SPYRAL - GESTION ADMINISTRATIVA"/>
        <s v="TRANSACCIONES DEL DIA 11/26/2018SPYRAL - GESTION ADMINISTRATIVA"/>
        <s v="TRANSACCIONES DEL DIA 09/10/2018SPYRAL - GESTION ADMINISTRATIVA"/>
        <s v="TRANSACCIONES DEL DIA 09/12/2018SPYRAL - GESTION ADMINISTRATIVA"/>
        <s v="TRANSACCIONES DEL DIA 07/16/2018SPYRAL - GESTION ADMINISTRATIVA"/>
        <s v="TRANSACCIONES DEL DIA 07/31/2018SPYRAL - GESTION ADMINISTRATIVA"/>
        <s v="OTROS EGRESOS 1.P.O (OR:53/DES:53 TRN:86 PERF:300086 CAU: 17"/>
        <s v="TRANSACCIONES DEL DIA 06/04/2018SPYRAL - GESTION ADMINISTRATIVA"/>
        <s v="CORRECCION REG.20/07/2018 CENA"/>
        <s v="TRANSACCIONES DEL DIA 06/23/2018SPYRAL - GESTION ADMINISTRATIVA"/>
        <s v="TRANSACCIONES DEL DIA 07/10/2018SPYRAL - GESTION ADMINISTRATIVA"/>
        <s v="TRANSACCIONES DEL DIA 07/11/2018SPYRAL - GESTION ADMINISTRATIVA"/>
        <s v="TRANSACCIONES DEL DIA 01/25/2019 RECURSOS HUMANOS"/>
        <s v="TRANSACCIONES DEL DIA 02/09/2019 RECURSOS HUMANOS"/>
        <s v="TRANSACCIONES DEL DIA 02/25/2019 RECURSOS HUMANOS"/>
        <s v="TRANSACCIONES DEL DIA 07/25/2019 RECURSOS HUMANOS"/>
        <s v="TRANSACCIONES DEL DIA 03/09/2019 RECURSOS HUMANOS"/>
        <s v="TRANSACCIONES DEL DIA 04/25/2019 RECURSOS HUMANOS"/>
        <s v="TRANSACCIONES DEL DIA 05/10/2019 RECURSOS HUMANOS"/>
        <s v="TRANSACCIONES DEL DIA 03/25/2019 RECURSOS HUMANOS"/>
        <s v="TRANSACCIONES DEL DIA 01/10/2019 RECURSOS HUMANOS"/>
        <s v="TRANSACCIONES DEL DIA 04/10/2019 RECURSOS HUMANOS"/>
        <s v="TRANSACCIONES DEL DIA 05/25/2019 RECURSOS HUMANOS"/>
        <s v="TRANSACCIONES DEL DIA 06/10/2019 RECURSOS HUMANOS"/>
        <s v="TRANSACCIONES DEL DIA 06/25/2019 RECURSOS HUMANOS"/>
        <s v="TRANSACCIONES DEL DIA 07/10/2019 RECURSOS HUMANOS"/>
        <s v="TRANSACCIONES DEL DIA 02/27/2019 RECURSOS HUMANOS"/>
        <s v="TRANSACCIONES DEL DIA 04/16/2019 RECURSOS HUMANOS"/>
        <s v="TRANSACCIONES DEL DIA 05/07/2019 RECURSOS HUMANOS"/>
        <s v="TRANSACCIONES DEL DIA 07/19/2019 RECURSOS HUMANOS"/>
        <s v="TRANSACCIONES DEL DIA 04/29/2019 RECURSOS HUMANOS"/>
        <s v="TRANSACCIONES DEL DIA 07/29/2019 RECURSOS HUMANOS"/>
        <s v="TRANSACCIONES DEL DIA 07/30/2019 RECURSOS HUMANOS"/>
        <s v="TRANSACCIONES DEL DIA 02/04/2019 RECURSOS HUMANOS"/>
        <s v="TRANSACCIONES DEL DIA 05/17/2019 RECURSOS HUMANOS"/>
        <s v="TRANSACCIONES DEL DIA 03/12/2019 RECURSOS HUMANOS"/>
        <s v="TRANSACCIONES DEL DIA 07/26/2019SPYRAL - GESTION ADMINISTRATIVA"/>
        <s v="TRANSACCIONES DEL DIA 07/25/2019SPYRAL - GESTION ADMINISTRATIVA"/>
        <s v="TRANSACCIONES DEL DIA 03/29/2019SPYRAL - GESTION ADMINISTRATIVA"/>
        <s v="TRANSACCIONES DEL DIA 01/18/2019SPYRAL - GESTION ADMINISTRATIVA"/>
        <s v="TRANSACCIONES DEL DIA 02/18/2019SPYRAL - GESTION ADMINISTRATIVA"/>
        <s v="TRANSACCIONES DEL DIA 03/20/2019SPYRAL - GESTION ADMINISTRATIVA"/>
        <s v="TRANSACCIONES DEL DIA 06/27/2019SPYRAL - GESTION ADMINISTRATIVA"/>
        <s v="TRANSACCIONES DEL DIA 07/15/2019SPYRAL - GESTION ADMINISTRATIVA"/>
        <s v="TRANSACCIONES DEL DIA 02/05/2019SPYRAL - GESTION ADMINISTRATIVA"/>
        <s v="TRANSACCIONES DEL DIA 04/15/2019SPYRAL - GESTION ADMINISTRATIVA"/>
        <s v="TRANSACCIONES DEL DIA 02/01/2019SPYRAL - GESTION ADMINISTRATIVA"/>
        <s v="TRANSACCIONES DEL DIA 01/24/2019SPYRAL - GESTION ADMINISTRATIVA"/>
        <s v="TRANSACCIONES DEL DIA 03/27/2019SPYRAL - GESTION ADMINISTRATIVA"/>
        <s v="TRANSACCIONES DEL DIA 05/20/2019SPYRAL - GESTION ADMINISTRATIVA"/>
        <s v="TRANSACCIONES DEL DIA 06/15/2019SPYRAL - GESTION ADMINISTRATIVA"/>
        <s v="TRANSACCIONES DEL DIA 02/27/2019SPYRAL - GESTION ADMINISTRATIVA"/>
        <s v="TRANSACCIONES DEL DIA 04/02/2019SPYRAL - GESTION ADMINISTRATIVA"/>
        <s v="TRANSACCIONES DEL DIA 04/26/2019SPYRAL - GESTION ADMINISTRATIVA"/>
        <s v="TRANSACCIONES DEL DIA 01/16/2019SPYRAL - GESTION ADMINISTRATIVA"/>
        <s v="TRANSACCIONES DEL DIA 02/04/2019SPYRAL - GESTION ADMINISTRATIVA"/>
        <s v="TRANSACCIONES DEL DIA 02/06/2019SPYRAL - GESTION ADMINISTRATIVA"/>
        <s v="TRANSACCIONES DEL DIA 03/13/2019SPYRAL - GESTION ADMINISTRATIVA"/>
        <s v="TRANSACCIONES DEL DIA 03/28/2019SPYRAL - GESTION ADMINISTRATIVA"/>
        <s v="TRANSACCIONES DEL DIA 04/22/2019SPYRAL - GESTION ADMINISTRATIVA"/>
        <s v="TRANSACCIONES DEL DIA 05/21/2019SPYRAL - GESTION ADMINISTRATIVA"/>
        <s v="TRANSACCIONES DEL DIA 05/27/2019SPYRAL - GESTION ADMINISTRATIVA"/>
        <s v="TRANSACCIONES DEL DIA 05/29/2019SPYRAL - GESTION ADMINISTRATIVA"/>
        <s v="TRANSACCIONES DEL DIA 03/23/2019SPYRAL - GESTION ADMINISTRATIVA"/>
        <s v="TRANSACCIONES DEL DIA 05/09/2019SPYRAL - GESTION ADMINISTRATIVA"/>
        <s v="TRANSACCIONES DEL DIA 06/11/2019SPYRAL - GESTION ADMINISTRATIVA"/>
        <s v="TRANSACCIONES DEL DIA 07/02/2019SPYRAL - GESTION ADMINISTRATIVA"/>
        <s v="TRANSACCIONES DEL DIA 07/13/2019SPYRAL - GESTION ADMINISTRATIVA"/>
        <s v="TRANSACCIONES DEL DIA 07/17/2019SPYRAL - GESTION ADMINISTRATIVA"/>
        <s v="TRANSACCIONES DEL DIA 04/30/2019SPYRAL - GESTION ADMINISTRATIVA"/>
        <s v="TRANSACCIONES DEL DIA 05/16/2019SPYRAL - GESTION ADMINISTRATIVA"/>
        <s v="TRANSACCIONES DEL DIA 06/01/2019SPYRAL - GESTION ADMINISTRATIVA"/>
        <s v="TRANSACCIONES DEL DIA 07/16/2019SPYRAL - GESTION ADMINISTRATIVA"/>
        <s v="TRANSACCIONES DEL DIA 07/30/2019SPYRAL - GESTION ADMINISTRATIVA"/>
        <s v="TRANSACCIONES DEL DIA 04/04/2019SPYRAL - GESTION ADMINISTRATIVA"/>
        <s v="TRANSACCIONES DEL DIA 02/13/2019SPYRAL - GESTION ADMINISTRATIVA"/>
        <s v="TRANSACCIONES DEL DIA 04/16/2019SPYRAL - GESTION ADMINISTRATIVA"/>
        <s v="TRANSACCIONES DEL DIA 06/04/2019SPYRAL - GESTION ADMINISTRATIVA"/>
        <s v="TRANSACCIONES DEL DIA 07/05/2019SPYRAL - GESTION ADMINISTRATIVA"/>
        <s v="TRANSACCIONES DEL DIA 05/18/2019SPYRAL - GESTION ADMINISTRATIVA"/>
        <s v="TRANSACCIONES DEL DIA 01/03/2019SPYRAL - GESTION ADMINISTRATIVA"/>
        <s v="TRANSACCIONES DEL DIA 02/08/2019SPYRAL - GESTION ADMINISTRATIVA"/>
        <s v="TRANSACCIONES DEL DIA 03/11/2019SPYRAL - GESTION ADMINISTRATIVA"/>
        <s v="TRANSACCIONES DEL DIA 05/07/2019SPYRAL - GESTION ADMINISTRATIVA"/>
        <s v="TRANSACCIONES DEL DIA 06/22/2019SPYRAL - GESTION ADMINISTRATIVA"/>
        <s v="TRANSACCIONES DEL DIA 06/25/2019SPYRAL - GESTION ADMINISTRATIVA"/>
        <s v="TRANSACCIONES DEL DIA 07/09/2019SPYRAL - GESTION ADMINISTRATIVA"/>
        <s v="TRANSACCIONES DEL DIA 06/14/2019SPYRAL - GESTION ADMINISTRATIVA"/>
        <s v="TRANSACCIONES DEL DIA 01/02/2019SPYRAL - GESTION ADMINISTRATIVA"/>
        <s v="TRANSACCIONES DEL DIA 01/15/2019SPYRAL - GESTION ADMINISTRATIVA"/>
        <s v="TRANSACCIONES DEL DIA 04/05/2019SPYRAL - GESTION ADMINISTRATIVA"/>
        <s v="TRANSACCIONES DEL DIA 03/01/2019SPYRAL - GESTION ADMINISTRATIVA"/>
        <s v="TRANSACCIONES DEL DIA 03/14/2019SPYRAL - GESTION ADMINISTRATIVA"/>
        <s v="TRANSACCIONES DEL DIA 04/01/2019SPYRAL - GESTION ADMINISTRATIVA"/>
        <s v="TRANSACCIONES DEL DIA 04/12/2019SPYRAL - GESTION ADMINISTRATIVA"/>
        <s v="OTROS EGRESOS 1.P.O (OR:42/DES:42 TRN:86 PERF:300086 CAU: 18"/>
        <s v="TRANSACCIONES DEL DIA 07/20/2019SPYRAL - GESTION ADMINISTRATIVA"/>
        <s v="TRANSACCIONES DEL DIA 07/29/2019SPYRAL - GESTION ADMINISTRATIVA"/>
        <s v="OTROS EGRESOS 1.P.O (OR:45/DES:45 TRN:86 PERF:300086 CAU: 18"/>
        <s v="TRANSACCIONES DEL DIA 04/24/2019SPYRAL - GESTION ADMINISTRATIVA"/>
        <s v="TRANSACCIONES DEL DIA 04/29/2019SPYRAL - GESTION ADMINISTRATIVA"/>
        <s v="TRANSACCIONES DEL DIA 05/10/2019SPYRAL - GESTION ADMINISTRATIVA"/>
        <s v="TRANSACCIONES DEL DIA 06/06/2019SPYRAL - GESTION ADMINISTRATIVA"/>
        <s v="TRANSACCIONES DEL DIA 06/20/2019SPYRAL - GESTION ADMINISTRATIVA"/>
        <s v="TRANSACCIONES DEL DIA 01/08/2019SPYRAL - GESTION ADMINISTRATIVA"/>
        <s v="TRANSACCIONES DEL DIA 02/26/2019SPYRAL - GESTION ADMINISTRATIVA"/>
        <s v="TRANSACCIONES DEL DIA 05/03/2019SPYRAL - GESTION ADMINISTRATIVA"/>
        <s v="TRANSACCIONES DEL DIA 03/08/2019SPYRAL - GESTION ADMINISTRATIVA"/>
        <s v="TRANSACCIONES DEL DIA 03/25/2019SPYRAL - GESTION ADMINISTRATIVA"/>
        <s v="TRANSACCIONES DEL DIA 05/22/2019SPYRAL - GESTION ADMINISTRATIVA"/>
        <s v="TRANSACCIONES DEL DIA 01/11/2019SPYRAL - GESTION ADMINISTRATIVA"/>
        <s v="OTROS EGRESOS 1.P.O (OR:66/DES:66 TRN:86 PERF:300086 CAU: 18"/>
        <s v="OTROS EGRESOS 1.P.O (OR:68/DES:68 TRN:86 PERF:300086 CAU: 18"/>
        <s v="TRANSACCIONES DEL DIA 05/06/2019SPYRAL - GESTION ADMINISTRATIVA"/>
        <s v="TRANSACCIONES DEL DIA 05/15/2019SPYRAL - GESTION ADMINISTRATIVA"/>
        <s v="TRANSACCIONES DEL DIA 05/08/2019SPYRAL - GESTION ADMINISTRATIVA"/>
        <s v="TRANSACCIONES DEL DIA 05/14/2019SPYRAL - GESTION ADMINISTRATIVA"/>
        <s v="TRANSACCIONES DEL DIA 05/25/2019SPYRAL - GESTION ADMINISTRATIVA"/>
        <s v="TRANSACCIONES DEL DIA 06/13/2019SPYRAL - GESTION ADMINISTRATIVA"/>
        <s v="OTROS EGRESOS 1.P.O (OR:80/DES:80 TRN:86 PERF:300086 CAU: 18"/>
        <s v="CORRECCION DE REGISTRO DE VIATICO MAL POSTEADO"/>
        <s v="TRANSACCIONES DEL DIA 01/19/2019SPYRAL - GESTION ADMINISTRATIVA"/>
        <s v="TRANSACCIONES DEL DIA 02/15/2019SPYRAL - GESTION ADMINISTRATIVA"/>
        <s v="TRANSACCIONES DEL DIA 03/22/2019SPYRAL - GESTION ADMINISTRATIVA"/>
        <s v="TRANSACCIONES DEL DIA 05/17/2019SPYRAL - GESTION ADMINISTRATIVA"/>
        <s v="TRANSACCIONES DEL DIA 07/12/2019SPYRAL - GESTION ADMINISTRATIVA"/>
        <s v="TRANSACCIONES DEL DIA 07/18/2019SPYRAL - GESTION ADMINISTRATIVA"/>
        <s v="TRANSACCIONES DEL DIA 07/11/2019SPYRAL - GESTION ADMINISTRATIVA"/>
        <s v="TRANSACCIONES DEL DIA 02/14/2019SPYRAL - GESTION ADMINISTRATIVA"/>
        <s v="TRANSACCIONES DEL DIA 02/19/2019SPYRAL - GESTION ADMINISTRATIVA"/>
        <s v="TRANSACCIONES DEL DIA 02/20/2019SPYRAL - GESTION ADMINISTRATIVA"/>
        <s v="TRANSACCIONES DEL DIA 02/21/2019SPYRAL - GESTION ADMINISTRATIVA"/>
        <s v="TRANSACCIONES DEL DIA 02/22/2019SPYRAL - GESTION ADMINISTRATIVA"/>
        <s v="TRANSACCIONES DEL DIA 02/25/2019SPYRAL - GESTION ADMINISTRATIVA"/>
        <s v="TRANSACCIONES DEL DIA 03/15/2019SPYRAL - GESTION ADMINISTRATIVA"/>
        <s v="TRANSACCIONES DEL DIA 04/17/2019SPYRAL - GESTION ADMINISTRATIVA"/>
        <s v="TRANSACCIONES DEL DIA 05/24/2019SPYRAL - GESTION ADMINISTRATIVA"/>
        <s v="TRANSACCIONES DEL DIA 05/30/2019SPYRAL - GESTION ADMINISTRATIVA"/>
        <s v="TRANSACCIONES DEL DIA 06/07/2019SPYRAL - GESTION ADMINISTRATIVA"/>
        <s v="TRANSACCIONES DEL DIA 06/08/2019SPYRAL - GESTION ADMINISTRATIVA"/>
        <s v="TRANSACCIONES DEL DIA 06/21/2019SPYRAL - GESTION ADMINISTRATIVA"/>
        <s v="TRANSACCIONES DEL DIA 07/08/2019SPYRAL - GESTION ADMINISTRATIVA"/>
        <s v="TRANSACCIONES DEL DIA 01/04/2019SPYRAL - GESTION ADMINISTRATIVA"/>
        <s v="TRANSACCIONES DEL DIA 02/12/2019SPYRAL - GESTION ADMINISTRATIVA"/>
        <s v="TRANSACCIONES DEL DIA 03/09/2019SPYRAL - GESTION ADMINISTRATIVA"/>
        <s v="TRANSACCIONES DEL DIA 03/12/2019SPYRAL - GESTION ADMINISTRATIVA"/>
        <s v="TRANSACCIONES DEL DIA 03/26/2019SPYRAL - GESTION ADMINISTRATIVA"/>
        <s v="TRANSACCIONES DEL DIA 06/10/2019SPYRAL - GESTION ADMINISTRATIVA"/>
        <s v="TRANSACCIONES DEL DIA 06/26/2019SPYRAL - GESTION ADMINISTRATIVA"/>
        <s v="TRANSACCIONES DEL DIA 06/28/2019SPYRAL - GESTION ADMINISTRATIVA"/>
        <s v="TRANSACCIONES DEL DIA 07/03/2019SPYRAL - GESTION ADMINISTRATIVA"/>
        <s v="TRANSACCIONES DEL DIA 01/17/2019SPYRAL - GESTION ADMINISTRATIVA"/>
        <s v="TRANSACCIONES DEL DIA 01/22/2019SPYRAL - GESTION ADMINISTRATIVA"/>
        <s v="TRANSACCIONES DEL DIA 02/11/2019SPYRAL - GESTION ADMINISTRATIVA"/>
        <s v="TRANSACCIONES DEL DIA 03/07/2019SPYRAL - GESTION ADMINISTRATIVA"/>
        <s v="TRANSACCIONES DEL DIA 03/16/2019SPYRAL - GESTION ADMINISTRATIVA"/>
        <s v="TRANSACCIONES DEL DIA 04/06/2019SPYRAL - GESTION ADMINISTRATIVA"/>
        <s v="TRANSACCIONES DEL DIA 04/08/2019SPYRAL - GESTION ADMINISTRATIVA"/>
        <s v="TRANSACCIONES DEL DIA 05/02/2019SPYRAL - GESTION ADMINISTRATIVA"/>
        <s v="TRANSACCIONES DEL DIA 05/28/2019SPYRAL - GESTION ADMINISTRATIVA"/>
        <s v="TRANSACCIONES DEL DIA 06/03/2019SPYRAL - GESTION ADMINISTRATIVA"/>
        <s v="TRANSACCIONES DEL DIA 06/05/2019SPYRAL - GESTION ADMINISTRATIVA"/>
        <s v="TRANSACCIONES DEL DIA 07/19/2019SPYRAL - GESTION ADMINISTRATIVA"/>
        <s v="TRANSACCIONES DEL DIA 07/23/2019SPYRAL - GESTION ADMINISTRATIVA"/>
        <s v="TRANSACCIONES DEL DIA 07/04/2019SPYRAL - GESTION ADMINISTRATIVA"/>
        <s v="TRANSACCIONES DEL DIA 06/18/2019SPYRAL - GESTION ADMINISTRATIVA"/>
        <s v="TRANSACCIONES DEL DIA 04/11/2019SPYRAL - GESTION ADMINISTRATIVA"/>
        <s v="TRANSACCIONES DEL DIA 04/25/2019SPYRAL - GESTION ADMINISTRATIVA"/>
        <s v="TRANSACCIONES DEL DIA 07/10/2019SPYRAL - GESTION ADMINISTRATIVA"/>
        <s v="TRANSACCIONES DEL DIA 06/24/2019SPYRAL - GESTION ADMINISTRATIVA"/>
        <s v="TRANSACCIONES DEL DIA 01/10/2019SPYRAL - GESTION ADMINISTRATIVA"/>
        <s v="TRANSACCIONES DEL DIA 01/14/2019SPYRAL - GESTION ADMINISTRATIVA"/>
        <s v="TRANSACCIONES DEL DIA 01/29/2019SPYRAL - GESTION ADMINISTRATIVA"/>
        <s v="TRANSACCIONES DEL DIA 01/30/2019SPYRAL - GESTION ADMINISTRATIVA"/>
        <s v="TRANSACCIONES DEL DIA 04/09/2019SPYRAL - GESTION ADMINISTRATIVA"/>
        <s v="TRANSACCIONES DEL DIA 04/13/2019SPYRAL - GESTION ADMINISTRATIVA"/>
        <s v="TRANSACCIONES DEL DIA 05/04/2019SPYRAL - GESTION ADMINISTRATIVA"/>
        <s v="TRANSACCIONES DEL DIA 05/13/2019SPYRAL - GESTION ADMINISTRATIVA"/>
        <s v="TRANSACCIONES DEL DIA 02/07/2019SPYRAL - GESTION ADMINISTRATIVA"/>
        <s v="TRANSACCIONES DEL DIA 03/06/2019SPYRAL - GESTION ADMINISTRATIVA"/>
        <s v="TRANSACCIONES DEL DIA 03/21/2019SPYRAL - GESTION ADMINISTRATIVA"/>
        <s v="TRANSACCIONES DEL DIA 07/24/2019SPYRAL - GESTION ADMINISTRATIVA"/>
        <s v="TRANSACCIONES DEL DIA 04/18/2019SPYRAL - GESTION ADMINISTRATIVA"/>
        <s v="TRANSACCIONES DEL DIA 01/21/2019SPYRAL - GESTION ADMINISTRATIVA"/>
        <s v="TRANSACCIONES DEL DIA 01/25/2019SPYRAL - GESTION ADMINISTRATIVA"/>
        <s v="TRANSACCIONES DEL DIA 02/02/2019SPYRAL - GESTION ADMINISTRATIVA"/>
        <s v="TRANSACCIONES DEL DIA 02/09/2019SPYRAL - GESTION ADMINISTRATIVA"/>
        <s v="TRANSACCIONES DEL DIA 03/18/2019SPYRAL - GESTION ADMINISTRATIVA"/>
        <s v="TRANSACCIONES DEL DIA 04/23/2019SPYRAL - GESTION ADMINISTRATIVA"/>
        <s v="TRANSACCIONES DEL DIA 06/19/2019SPYRAL - GESTION ADMINISTRATIVA"/>
        <s v="TRANSACCIONES DEL DIA 03/19/2019SPYRAL - GESTION ADMINISTRATIVA"/>
        <s v="TRANSACCIONES DEL DIA 04/03/2019SPYRAL - GESTION ADMINISTRATIVA"/>
        <s v="TRANSACCIONES DEL DIA 01/28/2019SPYRAL - GESTION ADMINISTRATIVA"/>
        <s v="TRANSACCIONES DEL DIA 02/16/2019SPYRAL - GESTION ADMINISTRATIVA"/>
        <s v="TRANSACCIONES DEL DIA 01/07/2019SPYRAL - GESTION ADMINISTRATIVA"/>
        <s v="TRANSACCIONES DEL DIA 05/23/2019SPYRAL - GESTION ADMINISTRATIVA"/>
        <s v="TRANSACCIONES DEL DIA 06/12/2019SPYRAL - GESTION ADMINISTRATIVA"/>
        <s v="TRANSACCIONES DEL DIA 06/17/2019SPYRAL - GESTION ADMINISTRATIVA"/>
        <s v="OTROS EGRESOS 1.P.O (OR:98/DES:98 TRN:86 PERF:300086 CAU: 18"/>
        <s v="OTROS EGRESOS 1.P.O (OR:154/DES:154 TRN:86 PERF:300086 CAU: 18"/>
        <s v="OTROS EGRESOS 1.P.O (OR:157/DES:157 TRN:86 PERF:300086 CAU: 18"/>
        <s v="CORRECCION DE RECHAZOS EN LA INTERFAZ CONTABLE"/>
        <s v="TRANSACCIONES DEL DIA 07/27/2019SPYRAL - GESTION ADMINISTRATIVA"/>
        <s v="TRANSACCIONES DEL DIA 01/23/2019SPYRAL - GESTION ADMINISTRATIVA"/>
        <s v="TRANSACCIONES DEL DIA 01/31/2019SPYRAL - GESTION ADMINISTRATIVA"/>
        <s v="TRANSACCIONES DEL DIA 01/05/2019SPYRAL - GESTION ADMINISTRATIVA"/>
        <s v="TRANSACCIONES DEL DIA 07/22/2019SPYRAL - GESTION ADMINISTRATIVA"/>
        <s v="TRANSACCIONES DEL DIA 04/10/2019SPYRAL - GESTION ADMINISTRATIVA"/>
        <s v="OTROS EGRESOS 1.P.O (OR:54/DES:54 TRN:86 PERF:300086 CAU: 17"/>
        <s v="OTROS EGRESOS 1.P.O (OR:162/DES:162 TRN:86 PERF:300086 CAU: 17"/>
        <s v="PROVISION CUENTA DE RECONOCIMIENTOS"/>
        <s v="REVERSION PROVISION CUENTA DE RECONOCIMIENTOS"/>
      </sharedItems>
    </cacheField>
    <cacheField name="Debito" numFmtId="0">
      <sharedItems containsSemiMixedTypes="0" containsString="0" containsNumber="1" minValue="0" maxValue="48000" count="3565">
        <n v="15.46"/>
        <n v="0"/>
        <n v="24.18"/>
        <n v="55.37"/>
        <n v="26.82"/>
        <n v="83.96"/>
        <n v="81.67"/>
        <n v="54.12"/>
        <n v="73.349999999999994"/>
        <n v="71.12"/>
        <n v="150.84"/>
        <n v="23.77"/>
        <n v="25.11"/>
        <n v="12.79"/>
        <n v="31.39"/>
        <n v="23.9"/>
        <n v="38.840000000000003"/>
        <n v="60.69"/>
        <n v="83.09"/>
        <n v="29.39"/>
        <n v="101.33"/>
        <n v="45.24"/>
        <n v="268.72000000000003"/>
        <n v="439.17"/>
        <n v="15.88"/>
        <n v="83.42"/>
        <n v="138.41"/>
        <n v="941.68"/>
        <n v="927.86"/>
        <n v="717.88"/>
        <n v="679.01"/>
        <n v="639.87"/>
        <n v="938.84"/>
        <n v="751.63"/>
        <n v="1220.46"/>
        <n v="686.59"/>
        <n v="578.47"/>
        <n v="940.44"/>
        <n v="784.57"/>
        <n v="492.62"/>
        <n v="728.85"/>
        <n v="31.74"/>
        <n v="33.28"/>
        <n v="6.31"/>
        <n v="30.92"/>
        <n v="58.09"/>
        <n v="12.87"/>
        <n v="15.84"/>
        <n v="13.67"/>
        <n v="6.94"/>
        <n v="49.82"/>
        <n v="25.14"/>
        <n v="53.39"/>
        <n v="17"/>
        <n v="18.77"/>
        <n v="17.649999999999999"/>
        <n v="21.74"/>
        <n v="52.73"/>
        <n v="39.39"/>
        <n v="6.66"/>
        <n v="49.41"/>
        <n v="52.52"/>
        <n v="8.6199999999999992"/>
        <n v="13.79"/>
        <n v="19.079999999999998"/>
        <n v="6.79"/>
        <n v="7.95"/>
        <n v="32.06"/>
        <n v="356.87"/>
        <n v="374.44"/>
        <n v="272.77"/>
        <n v="21.79"/>
        <n v="281.14"/>
        <n v="234.75"/>
        <n v="281.75"/>
        <n v="337.57"/>
        <n v="295.95"/>
        <n v="170.87"/>
        <n v="466.63"/>
        <n v="210.68"/>
        <n v="341.38"/>
        <n v="176.55"/>
        <n v="381.53"/>
        <n v="57.73"/>
        <n v="43.81"/>
        <n v="88.76"/>
        <n v="13.38"/>
        <n v="44.52"/>
        <n v="24.12"/>
        <n v="53.34"/>
        <n v="72.33"/>
        <n v="92.26"/>
        <n v="42.42"/>
        <n v="23.76"/>
        <n v="636.30999999999995"/>
        <n v="598.84"/>
        <n v="560.16999999999996"/>
        <n v="548.05999999999995"/>
        <n v="316.97000000000003"/>
        <n v="867.93"/>
        <n v="821.4"/>
        <n v="1086.4000000000001"/>
        <n v="502.17"/>
        <n v="581.75"/>
        <n v="722.42"/>
        <n v="564.22"/>
        <n v="348.54"/>
        <n v="816.62"/>
        <n v="8.57"/>
        <n v="80.14"/>
        <n v="49"/>
        <n v="121.69"/>
        <n v="49.7"/>
        <n v="50.95"/>
        <n v="27.72"/>
        <n v="13.61"/>
        <n v="28.09"/>
        <n v="41.72"/>
        <n v="48.91"/>
        <n v="55.5"/>
        <n v="36.590000000000003"/>
        <n v="15.09"/>
        <n v="59.61"/>
        <n v="14.73"/>
        <n v="36.61"/>
        <n v="66.27"/>
        <n v="10.68"/>
        <n v="24.85"/>
        <n v="214.05"/>
        <n v="52.41"/>
        <n v="523.71"/>
        <n v="254.33"/>
        <n v="429.05"/>
        <n v="339.08"/>
        <n v="339.37"/>
        <n v="403.79"/>
        <n v="224.35"/>
        <n v="120.64"/>
        <n v="450.39"/>
        <n v="261.58999999999997"/>
        <n v="302.99"/>
        <n v="384.79"/>
        <n v="204.94"/>
        <n v="174.44"/>
        <n v="14.79"/>
        <n v="46.15"/>
        <n v="24"/>
        <n v="39.19"/>
        <n v="111.78"/>
        <n v="1317.94"/>
        <n v="1283.47"/>
        <n v="16.38"/>
        <n v="1749.39"/>
        <n v="1542.51"/>
        <n v="1520.74"/>
        <n v="1388.9"/>
        <n v="1534.32"/>
        <n v="1092.69"/>
        <n v="861.99"/>
        <n v="512.05999999999995"/>
        <n v="713.18"/>
        <n v="1129.82"/>
        <n v="1421.56"/>
        <n v="1708.76"/>
        <n v="23.46"/>
        <n v="36.14"/>
        <n v="32.4"/>
        <n v="28.76"/>
        <n v="35.549999999999997"/>
        <n v="24.55"/>
        <n v="38.090000000000003"/>
        <n v="29.9"/>
        <n v="4.6399999999999997"/>
        <n v="441.03"/>
        <n v="193.81"/>
        <n v="178.36"/>
        <n v="288.79000000000002"/>
        <n v="164.81"/>
        <n v="327.9"/>
        <n v="620.96"/>
        <n v="653.11"/>
        <n v="415.3"/>
        <n v="421.31"/>
        <n v="563.80999999999995"/>
        <n v="524.77"/>
        <n v="853.72"/>
        <n v="823.91"/>
        <n v="28"/>
        <n v="23.27"/>
        <n v="5.63"/>
        <n v="7.73"/>
        <n v="4.2"/>
        <n v="11.02"/>
        <n v="41.65"/>
        <n v="415.06"/>
        <n v="493.74"/>
        <n v="383.97"/>
        <n v="469.33"/>
        <n v="362.75"/>
        <n v="471.52"/>
        <n v="882.86"/>
        <n v="1197.99"/>
        <n v="523.47"/>
        <n v="332.9"/>
        <n v="460.64"/>
        <n v="580.74"/>
        <n v="525.66"/>
        <n v="438.4"/>
        <n v="27.87"/>
        <n v="13.33"/>
        <n v="15.81"/>
        <n v="44.34"/>
        <n v="28.7"/>
        <n v="131.9"/>
        <n v="12.26"/>
        <n v="11.99"/>
        <n v="48.24"/>
        <n v="33.58"/>
        <n v="34.42"/>
        <n v="21.04"/>
        <n v="40.35"/>
        <n v="21.44"/>
        <n v="38.81"/>
        <n v="556.64"/>
        <n v="98.72"/>
        <n v="298.81"/>
        <n v="496.79"/>
        <n v="1473.5"/>
        <n v="446.09"/>
        <n v="607.30999999999995"/>
        <n v="503.22"/>
        <n v="389.72"/>
        <n v="508.37"/>
        <n v="631.69000000000005"/>
        <n v="292.58"/>
        <n v="685.88"/>
        <n v="88.67"/>
        <n v="52.49"/>
        <n v="23.08"/>
        <n v="85.08"/>
        <n v="25.68"/>
        <n v="36.28"/>
        <n v="27.64"/>
        <n v="66.94"/>
        <n v="24.25"/>
        <n v="31.72"/>
        <n v="52.32"/>
        <n v="41.48"/>
        <n v="80.37"/>
        <n v="27.29"/>
        <n v="39.61"/>
        <n v="14.97"/>
        <n v="14.42"/>
        <n v="21.15"/>
        <n v="54.75"/>
        <n v="86.75"/>
        <n v="34.28"/>
        <n v="8.85"/>
        <n v="20.13"/>
        <n v="17.36"/>
        <n v="37.049999999999997"/>
        <n v="55.36"/>
        <n v="17.47"/>
        <n v="571.73"/>
        <n v="420.53"/>
        <n v="541.79999999999995"/>
        <n v="649.70000000000005"/>
        <n v="61.02"/>
        <n v="244"/>
        <n v="465.27"/>
        <n v="492.88"/>
        <n v="297.5"/>
        <n v="401.01"/>
        <n v="434.25"/>
        <n v="444.88"/>
        <n v="657.63"/>
        <n v="855.44"/>
        <n v="659.88"/>
        <n v="148.30000000000001"/>
        <n v="144.5"/>
        <n v="21.29"/>
        <n v="99.04"/>
        <n v="69.900000000000006"/>
        <n v="102.33"/>
        <n v="24.92"/>
        <n v="209.41"/>
        <n v="54.42"/>
        <n v="29.29"/>
        <n v="33.96"/>
        <n v="17.63"/>
        <n v="26.81"/>
        <n v="24.09"/>
        <n v="404.26"/>
        <n v="481.94"/>
        <n v="380.09"/>
        <n v="417.96"/>
        <n v="365.79"/>
        <n v="451.51"/>
        <n v="540.01"/>
        <n v="591.12"/>
        <n v="322.37"/>
        <n v="359.5"/>
        <n v="467.29"/>
        <n v="563.71"/>
        <n v="15.62"/>
        <n v="284.25"/>
        <n v="410.5"/>
        <n v="17.350000000000001"/>
        <n v="15.68"/>
        <n v="45.96"/>
        <n v="34.340000000000003"/>
        <n v="17.829999999999998"/>
        <n v="30.17"/>
        <n v="33.92"/>
        <n v="17.760000000000002"/>
        <n v="53.28"/>
        <n v="64.58"/>
        <n v="74.66"/>
        <n v="15.55"/>
        <n v="68.88"/>
        <n v="29.22"/>
        <n v="96.53"/>
        <n v="40.72"/>
        <n v="51.66"/>
        <n v="14.23"/>
        <n v="26.86"/>
        <n v="26.62"/>
        <n v="28.41"/>
        <n v="88.07"/>
        <n v="70.97"/>
        <n v="211.01"/>
        <n v="30.02"/>
        <n v="83.43"/>
        <n v="100.66"/>
        <n v="190.22"/>
        <n v="108.73"/>
        <n v="133.29"/>
        <n v="78.69"/>
        <n v="236.28"/>
        <n v="24.74"/>
        <n v="132.25"/>
        <n v="31.42"/>
        <n v="63.84"/>
        <n v="22.58"/>
        <n v="147.52000000000001"/>
        <n v="94.97"/>
        <n v="33.25"/>
        <n v="123.9"/>
        <n v="86.54"/>
        <n v="323.60000000000002"/>
        <n v="128.56"/>
        <n v="396.15"/>
        <n v="210.3"/>
        <n v="221.42"/>
        <n v="93.58"/>
        <n v="253.1"/>
        <n v="233.35"/>
        <n v="195.92"/>
        <n v="58.8"/>
        <n v="31.05"/>
        <n v="32.17"/>
        <n v="39.01"/>
        <n v="57.12"/>
        <n v="8.17"/>
        <n v="24.02"/>
        <n v="39.130000000000003"/>
        <n v="29.5"/>
        <n v="51.73"/>
        <n v="16.12"/>
        <n v="299.97000000000003"/>
        <n v="439.82"/>
        <n v="387.3"/>
        <n v="418.53"/>
        <n v="338.3"/>
        <n v="79.02"/>
        <n v="235.92"/>
        <n v="516.44000000000005"/>
        <n v="465.99"/>
        <n v="379.72"/>
        <n v="203.3"/>
        <n v="214.21"/>
        <n v="263.73"/>
        <n v="224.67"/>
        <n v="420.08"/>
        <n v="28.57"/>
        <n v="28.78"/>
        <n v="59.19"/>
        <n v="43.57"/>
        <n v="41.23"/>
        <n v="29.14"/>
        <n v="31.68"/>
        <n v="66.569999999999993"/>
        <n v="55.58"/>
        <n v="51.1"/>
        <n v="28.22"/>
        <n v="37.04"/>
        <n v="28.4"/>
        <n v="46.7"/>
        <n v="165.96"/>
        <n v="102.96"/>
        <n v="125.74"/>
        <n v="174.24"/>
        <n v="51.02"/>
        <n v="301.62"/>
        <n v="110.13"/>
        <n v="111.56"/>
        <n v="124.99"/>
        <n v="247.59"/>
        <n v="209.54"/>
        <n v="228.43"/>
        <n v="164.05"/>
        <n v="151.01"/>
        <n v="72.03"/>
        <n v="30.26"/>
        <n v="33.15"/>
        <n v="59.5"/>
        <n v="22.78"/>
        <n v="24.9"/>
        <n v="42.85"/>
        <n v="49.33"/>
        <n v="109.68"/>
        <n v="68.73"/>
        <n v="133.16999999999999"/>
        <n v="219.43"/>
        <n v="46.95"/>
        <n v="145.5"/>
        <n v="246.81"/>
        <n v="389.07"/>
        <n v="278.27"/>
        <n v="196.6"/>
        <n v="191.55"/>
        <n v="319.35000000000002"/>
        <n v="322.63"/>
        <n v="318.16000000000003"/>
        <n v="283.88"/>
        <n v="28.84"/>
        <n v="24.94"/>
        <n v="154.03"/>
        <n v="25.26"/>
        <n v="13.86"/>
        <n v="58.52"/>
        <n v="50.06"/>
        <n v="28.51"/>
        <n v="18.29"/>
        <n v="72.040000000000006"/>
        <n v="30.9"/>
        <n v="15.38"/>
        <n v="30.14"/>
        <n v="45.75"/>
        <n v="162.99"/>
        <n v="69.8"/>
        <n v="40.1"/>
        <n v="217.67"/>
        <n v="233.51"/>
        <n v="172.65"/>
        <n v="158.68"/>
        <n v="138.18"/>
        <n v="229.55"/>
        <n v="148.88999999999999"/>
        <n v="251.59"/>
        <n v="250"/>
        <n v="224.28"/>
        <n v="160.21"/>
        <n v="26.27"/>
        <n v="30.87"/>
        <n v="36.020000000000003"/>
        <n v="62.37"/>
        <n v="224.45"/>
        <n v="221.32"/>
        <n v="210.16"/>
        <n v="252.54"/>
        <n v="228.39"/>
        <n v="306.07"/>
        <n v="262.12"/>
        <n v="298.35000000000002"/>
        <n v="236.68"/>
        <n v="277.51"/>
        <n v="329.37"/>
        <n v="265.14999999999998"/>
        <n v="332.19"/>
        <n v="414.55"/>
        <n v="74.63"/>
        <n v="29.74"/>
        <n v="14.38"/>
        <n v="169.99"/>
        <n v="27.07"/>
        <n v="10.86"/>
        <n v="84.37"/>
        <n v="16.13"/>
        <n v="50.1"/>
        <n v="45.5"/>
        <n v="53.14"/>
        <n v="35.75"/>
        <n v="23.96"/>
        <n v="116.28"/>
        <n v="33.85"/>
        <n v="11.54"/>
        <n v="9.59"/>
        <n v="33.21"/>
        <n v="67.930000000000007"/>
        <n v="77.28"/>
        <n v="26.26"/>
        <n v="25.91"/>
        <n v="69.349999999999994"/>
        <n v="61.01"/>
        <n v="45.54"/>
        <n v="17.34"/>
        <n v="153.78"/>
        <n v="43.44"/>
        <n v="113.23"/>
        <n v="1082.95"/>
        <n v="945.08"/>
        <n v="873.47"/>
        <n v="978.46"/>
        <n v="549.44000000000005"/>
        <n v="1066.53"/>
        <n v="952.83"/>
        <n v="852.46"/>
        <n v="580.63"/>
        <n v="665.7"/>
        <n v="653.28"/>
        <n v="763.6"/>
        <n v="1091.8399999999999"/>
        <n v="780.23"/>
        <n v="84.76"/>
        <n v="28.28"/>
        <n v="14.06"/>
        <n v="31.75"/>
        <n v="94.73"/>
        <n v="185.43"/>
        <n v="32.549999999999997"/>
        <n v="43.34"/>
        <n v="29.88"/>
        <n v="14.1"/>
        <n v="51.17"/>
        <n v="12.89"/>
        <n v="41.1"/>
        <n v="25.82"/>
        <n v="197.67"/>
        <n v="134.44999999999999"/>
        <n v="170.92"/>
        <n v="195.78"/>
        <n v="143.71"/>
        <n v="281.07"/>
        <n v="188.36"/>
        <n v="42.03"/>
        <n v="110.17"/>
        <n v="133.07"/>
        <n v="154.83000000000001"/>
        <n v="189.44"/>
        <n v="198.07"/>
        <n v="244.87"/>
        <n v="13.4"/>
        <n v="12.88"/>
        <n v="27.45"/>
        <n v="13.48"/>
        <n v="14.5"/>
        <n v="161.36000000000001"/>
        <n v="30.44"/>
        <n v="28.06"/>
        <n v="164.44"/>
        <n v="343.2"/>
        <n v="144.66999999999999"/>
        <n v="64.55"/>
        <n v="120.7"/>
        <n v="257.27999999999997"/>
        <n v="437.8"/>
        <n v="2622.92"/>
        <n v="145.36000000000001"/>
        <n v="127.94"/>
        <n v="1091.26"/>
        <n v="783.85"/>
        <n v="980.2"/>
        <n v="467.52"/>
        <n v="77.819999999999993"/>
        <n v="313.26"/>
        <n v="1356.16"/>
        <n v="278.75"/>
        <n v="571.72"/>
        <n v="117.52"/>
        <n v="231.17"/>
        <n v="340.7"/>
        <n v="873.71"/>
        <n v="1744.43"/>
        <n v="114.84"/>
        <n v="8.99"/>
        <n v="43.71"/>
        <n v="35.08"/>
        <n v="21.39"/>
        <n v="31.19"/>
        <n v="64.95"/>
        <n v="35.71"/>
        <n v="35.32"/>
        <n v="49.45"/>
        <n v="570.05999999999995"/>
        <n v="116.6"/>
        <n v="117.78"/>
        <n v="90.61"/>
        <n v="68.5"/>
        <n v="549.17999999999995"/>
        <n v="488.12"/>
        <n v="76.7"/>
        <n v="59.34"/>
        <n v="171.88"/>
        <n v="97"/>
        <n v="93.43"/>
        <n v="128.75"/>
        <n v="14.22"/>
        <n v="86.85"/>
        <n v="66.36"/>
        <n v="16.79"/>
        <n v="10.58"/>
        <n v="367.27"/>
        <n v="2620.46"/>
        <n v="311.67"/>
        <n v="4.22"/>
        <n v="512.62"/>
        <n v="514.69000000000005"/>
        <n v="1091"/>
        <n v="343.02"/>
        <n v="344.36"/>
        <n v="513.04999999999995"/>
        <n v="757.98"/>
        <n v="858.47"/>
        <n v="986.6"/>
        <n v="415.81"/>
        <n v="5973.76"/>
        <n v="3585"/>
        <n v="535.44000000000005"/>
        <n v="283.48"/>
        <n v="447.54"/>
        <n v="833.5"/>
        <n v="167.5"/>
        <n v="205.24"/>
        <n v="2846.89"/>
        <n v="5485.2"/>
        <n v="2715.03"/>
        <n v="1367.19"/>
        <n v="7.84"/>
        <n v="3292.47"/>
        <n v="3012.69"/>
        <n v="8498.83"/>
        <n v="3781.53"/>
        <n v="19187.669999999998"/>
        <n v="2912.65"/>
        <n v="2032.34"/>
        <n v="2595.87"/>
        <n v="9024.7000000000007"/>
        <n v="8494.94"/>
        <n v="480.62"/>
        <n v="951.08"/>
        <n v="52.88"/>
        <n v="435.82"/>
        <n v="610.65"/>
        <n v="1650.01"/>
        <n v="380.73"/>
        <n v="3783.38"/>
        <n v="3298.03"/>
        <n v="96.97"/>
        <n v="74.11"/>
        <n v="33.51"/>
        <n v="111.6"/>
        <n v="43.04"/>
        <n v="88.55"/>
        <n v="13.57"/>
        <n v="106.23"/>
        <n v="53.95"/>
        <n v="69.489999999999995"/>
        <n v="64.41"/>
        <n v="157.83000000000001"/>
        <n v="118.76"/>
        <n v="152.76"/>
        <n v="406.42"/>
        <n v="26.02"/>
        <n v="268.98"/>
        <n v="21.26"/>
        <n v="13.04"/>
        <n v="30.27"/>
        <n v="29.35"/>
        <n v="30.67"/>
        <n v="25.59"/>
        <n v="77.98"/>
        <n v="25.94"/>
        <n v="426.16"/>
        <n v="422.74"/>
        <n v="413.49"/>
        <n v="578.76"/>
        <n v="503.99"/>
        <n v="661.6"/>
        <n v="602.92999999999995"/>
        <n v="566.08000000000004"/>
        <n v="609.58000000000004"/>
        <n v="422.93"/>
        <n v="590.33000000000004"/>
        <n v="745.07"/>
        <n v="628.98"/>
        <n v="498.38"/>
        <n v="112.18"/>
        <n v="92"/>
        <n v="49.79"/>
        <n v="15.39"/>
        <n v="29.04"/>
        <n v="44.56"/>
        <n v="29.17"/>
        <n v="87.19"/>
        <n v="41.82"/>
        <n v="14.52"/>
        <n v="8.0500000000000007"/>
        <n v="37.19"/>
        <n v="12.65"/>
        <n v="51.51"/>
        <n v="190.33"/>
        <n v="26.11"/>
        <n v="16.46"/>
        <n v="34.29"/>
        <n v="10.94"/>
        <n v="16.670000000000002"/>
        <n v="266.67"/>
        <n v="7.36"/>
        <n v="50.21"/>
        <n v="19.489999999999998"/>
        <n v="48.04"/>
        <n v="69.010000000000005"/>
        <n v="39.04"/>
        <n v="119.59"/>
        <n v="39.68"/>
        <n v="179.88"/>
        <n v="75.209999999999994"/>
        <n v="86.35"/>
        <n v="73.16"/>
        <n v="26.47"/>
        <n v="60.4"/>
        <n v="38.729999999999997"/>
        <n v="56.68"/>
        <n v="14.18"/>
        <n v="5"/>
        <n v="10"/>
        <n v="2.4"/>
        <n v="5.55"/>
        <n v="6"/>
        <n v="4"/>
        <n v="2"/>
        <n v="3"/>
        <n v="3.5"/>
        <n v="1.8"/>
        <n v="9.1999999999999993"/>
        <n v="18.399999999999999"/>
        <n v="3.6"/>
        <n v="2.25"/>
        <n v="5.4"/>
        <n v="2.7"/>
        <n v="6.5"/>
        <n v="14.7"/>
        <n v="9.5500000000000007"/>
        <n v="3.15"/>
        <n v="2.1"/>
        <n v="3.7"/>
        <n v="12.1"/>
        <n v="115"/>
        <n v="16"/>
        <n v="35.200000000000003"/>
        <n v="130"/>
        <n v="2.65"/>
        <n v="10.25"/>
        <n v="39"/>
        <n v="32"/>
        <n v="51.6"/>
        <n v="86.8"/>
        <n v="10.7"/>
        <n v="19"/>
        <n v="9"/>
        <n v="4.5"/>
        <n v="38"/>
        <n v="12.75"/>
        <n v="8.4"/>
        <n v="6.75"/>
        <n v="6.85"/>
        <n v="4.75"/>
        <n v="2.9"/>
        <n v="7"/>
        <n v="1100"/>
        <n v="11.5"/>
        <n v="30"/>
        <n v="27.4"/>
        <n v="8.6999999999999993"/>
        <n v="14"/>
        <n v="7.4"/>
        <n v="7.3"/>
        <n v="64.400000000000006"/>
        <n v="36.799999999999997"/>
        <n v="41.6"/>
        <n v="1500"/>
        <n v="62.6"/>
        <n v="1.3"/>
        <n v="1.45"/>
        <n v="6.4"/>
        <n v="24.34"/>
        <n v="176"/>
        <n v="45"/>
        <n v="14.55"/>
        <n v="26"/>
        <n v="104"/>
        <n v="364"/>
        <n v="338"/>
        <n v="34"/>
        <n v="13"/>
        <n v="30.4"/>
        <n v="312"/>
        <n v="67.599999999999994"/>
        <n v="62.4"/>
        <n v="90"/>
        <n v="108"/>
        <n v="286"/>
        <n v="11.3"/>
        <n v="12"/>
        <n v="15"/>
        <n v="25"/>
        <n v="1.25"/>
        <n v="124"/>
        <n v="234"/>
        <n v="5.5"/>
        <n v="252"/>
        <n v="216"/>
        <n v="126"/>
        <n v="180"/>
        <n v="136.5"/>
        <n v="17.399999999999999"/>
        <n v="113.1"/>
        <n v="147.9"/>
        <n v="165.3"/>
        <n v="95.7"/>
        <n v="43.5"/>
        <n v="221"/>
        <n v="22.8"/>
        <n v="16.5"/>
        <n v="42"/>
        <n v="154"/>
        <n v="27.84"/>
        <n v="91"/>
        <n v="182"/>
        <n v="168"/>
        <n v="14.35"/>
        <n v="7.35"/>
        <n v="132"/>
        <n v="178"/>
        <n v="11.25"/>
        <n v="245.24"/>
        <n v="65"/>
        <n v="88"/>
        <n v="22.5"/>
        <n v="185.85"/>
        <n v="183.93"/>
        <n v="22"/>
        <n v="136.61000000000001"/>
        <n v="6.95"/>
        <n v="10.8"/>
        <n v="6.3"/>
        <n v="6.6"/>
        <n v="18"/>
        <n v="72"/>
        <n v="91.5"/>
        <n v="149.5"/>
        <n v="264"/>
        <n v="208.8"/>
        <n v="176.8"/>
        <n v="47"/>
        <n v="183.8"/>
        <n v="190.4"/>
        <n v="163.19999999999999"/>
        <n v="88.6"/>
        <n v="6.83"/>
        <n v="1.5"/>
        <n v="13.3"/>
        <n v="10.5"/>
        <n v="8"/>
        <n v="514.79999999999995"/>
        <n v="9.4499999999999993"/>
        <n v="1200"/>
        <n v="620.70000000000005"/>
        <n v="13.8"/>
        <n v="41.4"/>
        <n v="23"/>
        <n v="50.75"/>
        <n v="112.2"/>
        <n v="91.6"/>
        <n v="98"/>
        <n v="139.44999999999999"/>
        <n v="82.6"/>
        <n v="92.95"/>
        <n v="125.7"/>
        <n v="138.80000000000001"/>
        <n v="60"/>
        <n v="217.6"/>
        <n v="156.66"/>
        <n v="133"/>
        <n v="1020"/>
        <n v="37"/>
        <n v="108.4"/>
        <n v="114"/>
        <n v="40"/>
        <n v="50"/>
        <n v="49.6"/>
        <n v="2166"/>
        <n v="43.2"/>
        <n v="101.6"/>
        <n v="35"/>
        <n v="137.63999999999999"/>
        <n v="85"/>
        <n v="20.5"/>
        <n v="70"/>
        <n v="135"/>
        <n v="20"/>
        <n v="0.96"/>
        <n v="6.63"/>
        <n v="7.99"/>
        <n v="17.899999999999999"/>
        <n v="35.299999999999997"/>
        <n v="50.47"/>
        <n v="25.3"/>
        <n v="13.52"/>
        <n v="23.55"/>
        <n v="689.98"/>
        <n v="3354.82"/>
        <n v="1185.1500000000001"/>
        <n v="240.29"/>
        <n v="150"/>
        <n v="722.68"/>
        <n v="326.42"/>
        <n v="940.61"/>
        <n v="185.5"/>
        <n v="62.7"/>
        <n v="1067.8800000000001"/>
        <n v="409.83"/>
        <n v="128"/>
        <n v="56"/>
        <n v="1197.1400000000001"/>
        <n v="76"/>
        <n v="58.75"/>
        <n v="301"/>
        <n v="1166.69"/>
        <n v="131.68"/>
        <n v="236"/>
        <n v="549.85"/>
        <n v="168.3"/>
        <n v="287"/>
        <n v="141"/>
        <n v="170.6"/>
        <n v="54.15"/>
        <n v="342.04"/>
        <n v="180.2"/>
        <n v="327.18"/>
        <n v="120"/>
        <n v="80"/>
        <n v="1026.1199999999999"/>
        <n v="362.32"/>
        <n v="1169.25"/>
        <n v="340"/>
        <n v="167.26"/>
        <n v="196.71"/>
        <n v="114.23"/>
        <n v="200.5"/>
        <n v="1734.36"/>
        <n v="1172.83"/>
        <n v="13.25"/>
        <n v="45.35"/>
        <n v="1930.91"/>
        <n v="29.4"/>
        <n v="42.9"/>
        <n v="158.69"/>
        <n v="1400.56"/>
        <n v="23.4"/>
        <n v="36.15"/>
        <n v="48.3"/>
        <n v="29.6"/>
        <n v="237.9"/>
        <n v="27.6"/>
        <n v="33.799999999999997"/>
        <n v="34.299999999999997"/>
        <n v="10.74"/>
        <n v="35.6"/>
        <n v="8.94"/>
        <n v="371"/>
        <n v="96"/>
        <n v="134"/>
        <n v="166"/>
        <n v="7.14"/>
        <n v="3.53"/>
        <n v="16.440000000000001"/>
        <n v="175"/>
        <n v="1.04"/>
        <n v="26.78"/>
        <n v="638.95000000000005"/>
        <n v="805.4"/>
        <n v="15.73"/>
        <n v="677.55"/>
        <n v="607.75"/>
        <n v="10.029999999999999"/>
        <n v="612.1"/>
        <n v="551.15"/>
        <n v="12.6"/>
        <n v="507.6"/>
        <n v="77.8"/>
        <n v="122.2"/>
        <n v="370.5"/>
        <n v="39.200000000000003"/>
        <n v="62"/>
        <n v="15.65"/>
        <n v="205.8"/>
        <n v="22.92"/>
        <n v="27.05"/>
        <n v="9.43"/>
        <n v="139.4"/>
        <n v="96.21"/>
        <n v="14.6"/>
        <n v="19.239999999999998"/>
        <n v="63.8"/>
        <n v="232.15"/>
        <n v="34.33"/>
        <n v="1.57"/>
        <n v="24.6"/>
        <n v="12.45"/>
        <n v="106"/>
        <n v="232.5"/>
        <n v="44.35"/>
        <n v="70.23"/>
        <n v="222.6"/>
        <n v="5.35"/>
        <n v="5.79"/>
        <n v="137.44"/>
        <n v="208.6"/>
        <n v="71.7"/>
        <n v="324.14999999999998"/>
        <n v="34.6"/>
        <n v="5.2"/>
        <n v="4.87"/>
        <n v="28.37"/>
        <n v="794.05"/>
        <n v="37.94"/>
        <n v="915.4"/>
        <n v="814.45"/>
        <n v="884.55"/>
        <n v="214.34"/>
        <n v="713.5"/>
        <n v="741.65"/>
        <n v="617.29999999999995"/>
        <n v="100.6"/>
        <n v="9.5"/>
        <n v="1127.92"/>
        <n v="70.7"/>
        <n v="225.5"/>
        <n v="700.28"/>
        <n v="57.9"/>
        <n v="57.55"/>
        <n v="10.27"/>
        <n v="71.3"/>
        <n v="197"/>
        <n v="642.15"/>
        <n v="51.7"/>
        <n v="681.65"/>
        <n v="549.04999999999995"/>
        <n v="639.4"/>
        <n v="75"/>
        <n v="619.5"/>
        <n v="100.4"/>
        <n v="443.8"/>
        <n v="32.33"/>
        <n v="553.25"/>
        <n v="170"/>
        <n v="654.45000000000005"/>
        <n v="113.34"/>
        <n v="256.83999999999997"/>
        <n v="2700"/>
        <n v="116.82"/>
        <n v="26.1"/>
        <n v="177.6"/>
        <n v="27.22"/>
        <n v="37.06"/>
        <n v="10.28"/>
        <n v="15.16"/>
        <n v="10.71"/>
        <n v="26.64"/>
        <n v="107.95"/>
        <n v="10.45"/>
        <n v="3.47"/>
        <n v="33.770000000000003"/>
        <n v="27.7"/>
        <n v="150.08000000000001"/>
        <n v="2550"/>
        <n v="19.37"/>
        <n v="17.61"/>
        <n v="27.28"/>
        <n v="20.11"/>
        <n v="15.64"/>
        <n v="39.700000000000003"/>
        <n v="2400"/>
        <n v="10.07"/>
        <n v="177.5"/>
        <n v="38.08"/>
        <n v="10.85"/>
        <n v="29.83"/>
        <n v="10.67"/>
        <n v="9.98"/>
        <n v="19.71"/>
        <n v="37.01"/>
        <n v="2100"/>
        <n v="21.98"/>
        <n v="9.81"/>
        <n v="27.54"/>
        <n v="29.46"/>
        <n v="14.03"/>
        <n v="186.89"/>
        <n v="5.25"/>
        <n v="2250"/>
        <n v="4.37"/>
        <n v="16.28"/>
        <n v="22.45"/>
        <n v="14.17"/>
        <n v="9.34"/>
        <n v="11.44"/>
        <n v="20.100000000000001"/>
        <n v="360"/>
        <n v="210"/>
        <n v="24.03"/>
        <n v="11.03"/>
        <n v="10.49"/>
        <n v="38.799999999999997"/>
        <n v="300"/>
        <n v="46.33"/>
        <n v="145"/>
        <n v="57"/>
        <n v="126.96"/>
        <n v="52.8"/>
        <n v="64"/>
        <n v="851.9"/>
        <n v="82"/>
        <n v="3198.1"/>
        <n v="196"/>
        <n v="280"/>
        <n v="195"/>
        <n v="27.9"/>
        <n v="7.2"/>
        <n v="99.54"/>
        <n v="152.5"/>
        <n v="22.6"/>
        <n v="21.37"/>
        <n v="148"/>
        <n v="212.39"/>
        <n v="1385.75"/>
        <n v="89.45"/>
        <n v="287.39999999999998"/>
        <n v="9.0500000000000007"/>
        <n v="356"/>
        <n v="12.84"/>
        <n v="17.09"/>
        <n v="50.73"/>
        <n v="94"/>
        <n v="95"/>
        <n v="27"/>
        <n v="202"/>
        <n v="239"/>
        <n v="227"/>
        <n v="94.65"/>
        <n v="3.34"/>
        <n v="513.05999999999995"/>
        <n v="99.55"/>
        <n v="21"/>
        <n v="58.35"/>
        <n v="160.46"/>
        <n v="82.55"/>
        <n v="130.16"/>
        <n v="51.5"/>
        <n v="89.7"/>
        <n v="589.76"/>
        <n v="204.22"/>
        <n v="365.74"/>
        <n v="67.430000000000007"/>
        <n v="125"/>
        <n v="403.6"/>
        <n v="93.37"/>
        <n v="115.43"/>
        <n v="87.73"/>
        <n v="1027.55"/>
        <n v="48"/>
        <n v="46"/>
        <n v="321.10000000000002"/>
        <n v="45.59"/>
        <n v="102.36"/>
        <n v="106.09"/>
        <n v="599.70000000000005"/>
        <n v="188.98"/>
        <n v="410.32"/>
        <n v="211.02"/>
        <n v="141.15"/>
        <n v="73.680000000000007"/>
        <n v="43"/>
        <n v="122.77"/>
        <n v="1411"/>
        <n v="106.36"/>
        <n v="121.63"/>
        <n v="255.81"/>
        <n v="68"/>
        <n v="497.56"/>
        <n v="66"/>
        <n v="55"/>
        <n v="131.15"/>
        <n v="146.56"/>
        <n v="211.95"/>
        <n v="70.069999999999993"/>
        <n v="152.05000000000001"/>
        <n v="154.43"/>
        <n v="667.23"/>
        <n v="112.79"/>
        <n v="33"/>
        <n v="87.84"/>
        <n v="171.02"/>
        <n v="112"/>
        <n v="124.27"/>
        <n v="37.25"/>
        <n v="97.74"/>
        <n v="83"/>
        <n v="107"/>
        <n v="44.15"/>
        <n v="89"/>
        <n v="121.68"/>
        <n v="122.01"/>
        <n v="93.15"/>
        <n v="158.59"/>
        <n v="83.01"/>
        <n v="80.5"/>
        <n v="159.38999999999999"/>
        <n v="82.01"/>
        <n v="138"/>
        <n v="110.57"/>
        <n v="215.17"/>
        <n v="167.82"/>
        <n v="82.5"/>
        <n v="48.5"/>
        <n v="56.8"/>
        <n v="103.2"/>
        <n v="174.7"/>
        <n v="53.65"/>
        <n v="127"/>
        <n v="41"/>
        <n v="46.3"/>
        <n v="75.7"/>
        <n v="172.7"/>
        <n v="136.02000000000001"/>
        <n v="33.4"/>
        <n v="323.38"/>
        <n v="54.4"/>
        <n v="256.27999999999997"/>
        <n v="243.6"/>
        <n v="70.650000000000006"/>
        <n v="363.7"/>
        <n v="96.94"/>
        <n v="68.22"/>
        <n v="212.77"/>
        <n v="711.35"/>
        <n v="192.67"/>
        <n v="67.48"/>
        <n v="52.3"/>
        <n v="622.37"/>
        <n v="48.18"/>
        <n v="99.01"/>
        <n v="209.84"/>
        <n v="87.6"/>
        <n v="81.3"/>
        <n v="110.95"/>
        <n v="98.86"/>
        <n v="198.85"/>
        <n v="384.98"/>
        <n v="188.4"/>
        <n v="152.30000000000001"/>
        <n v="439.52"/>
        <n v="54.34"/>
        <n v="280.37"/>
        <n v="16.600000000000001"/>
        <n v="22.05"/>
        <n v="69.400000000000006"/>
        <n v="6.12"/>
        <n v="37.299999999999997"/>
        <n v="127.7"/>
        <n v="19.95"/>
        <n v="152"/>
        <n v="104.6"/>
        <n v="392.89"/>
        <n v="13.99"/>
        <n v="43.49"/>
        <n v="62.73"/>
        <n v="21.65"/>
        <n v="8.31"/>
        <n v="80.66"/>
        <n v="17.149999999999999"/>
        <n v="1.1000000000000001"/>
        <n v="30.24"/>
        <n v="137.5"/>
        <n v="42.84"/>
        <n v="16.649999999999999"/>
        <n v="22.2"/>
        <n v="5.9"/>
        <n v="9.75"/>
        <n v="16.399999999999999"/>
        <n v="19.5"/>
        <n v="36"/>
        <n v="18.75"/>
        <n v="63.13"/>
        <n v="71.31"/>
        <n v="113.93"/>
        <n v="113"/>
        <n v="117.91"/>
        <n v="99.5"/>
        <n v="27.98"/>
        <n v="60.1"/>
        <n v="39.479999999999997"/>
        <n v="47.54"/>
        <n v="184"/>
        <n v="81.47"/>
        <n v="50.33"/>
        <n v="21.89"/>
        <n v="143.16999999999999"/>
        <n v="58.97"/>
        <n v="48.07"/>
        <n v="22.99"/>
        <n v="26.77"/>
        <n v="51.04"/>
        <n v="34.76"/>
        <n v="137.53"/>
        <n v="97.25"/>
        <n v="171.2"/>
        <n v="97.9"/>
        <n v="51.45"/>
        <n v="23.99"/>
        <n v="25.99"/>
        <n v="25.19"/>
        <n v="11.21"/>
        <n v="21.2"/>
        <n v="26.16"/>
        <n v="17.98"/>
        <n v="42.97"/>
        <n v="24.48"/>
        <n v="69.28"/>
        <n v="104.5"/>
        <n v="110"/>
        <n v="17.96"/>
        <n v="14.25"/>
        <n v="13.6"/>
        <n v="8.5"/>
        <n v="16.3"/>
        <n v="123.62"/>
        <n v="161.53"/>
        <n v="97.84"/>
        <n v="35.36"/>
        <n v="27.85"/>
        <n v="27.47"/>
        <n v="47.58"/>
        <n v="4.8"/>
        <n v="14.65"/>
        <n v="24.62"/>
        <n v="27.8"/>
        <n v="26.12"/>
        <n v="61.64"/>
        <n v="30.85"/>
        <n v="76.75"/>
        <n v="55.06"/>
        <n v="86.97"/>
        <n v="160"/>
        <n v="39.979999999999997"/>
        <n v="14.45"/>
        <n v="29.75"/>
        <n v="25.8"/>
        <n v="31.6"/>
        <n v="14.19"/>
        <n v="70.099999999999994"/>
        <n v="40.47"/>
        <n v="43.32"/>
        <n v="30.3"/>
        <n v="15.76"/>
        <n v="20.329999999999998"/>
        <n v="54.5"/>
        <n v="32.9"/>
        <n v="77.900000000000006"/>
        <n v="10.75"/>
        <n v="51.75"/>
        <n v="23.75"/>
        <n v="64.099999999999994"/>
        <n v="49.5"/>
        <n v="45.7"/>
        <n v="100.8"/>
        <n v="41.69"/>
        <n v="297.57"/>
        <n v="52.7"/>
        <n v="47.85"/>
        <n v="1073.46"/>
        <n v="40.340000000000003"/>
        <n v="15.1"/>
        <n v="21.45"/>
        <n v="120.18"/>
        <n v="496.11"/>
        <n v="11.38"/>
        <n v="25.4"/>
        <n v="535.41"/>
        <n v="127.57"/>
        <n v="76.5"/>
        <n v="38.5"/>
        <n v="479.83"/>
        <n v="333.89"/>
        <n v="6.28"/>
        <n v="62.42"/>
        <n v="44.68"/>
        <n v="36.479999999999997"/>
        <n v="13.7"/>
        <n v="153.04"/>
        <n v="60.95"/>
        <n v="79.8"/>
        <n v="52.55"/>
        <n v="137.13999999999999"/>
        <n v="35.26"/>
        <n v="47.99"/>
        <n v="14.24"/>
        <n v="9.1300000000000008"/>
        <n v="171.22"/>
        <n v="88.9"/>
        <n v="11.49"/>
        <n v="118.93"/>
        <n v="44.97"/>
        <n v="555.41"/>
        <n v="186.25"/>
        <n v="37.18"/>
        <n v="59.73"/>
        <n v="319.06"/>
        <n v="125.2"/>
        <n v="23.89"/>
        <n v="18.079999999999998"/>
        <n v="453.48"/>
        <n v="17.2"/>
        <n v="41.74"/>
        <n v="29.42"/>
        <n v="70.75"/>
        <n v="243.88"/>
        <n v="118.18"/>
        <n v="226.21"/>
        <n v="172"/>
        <n v="228.5"/>
        <n v="246.37"/>
        <n v="51.97"/>
        <n v="51.31"/>
        <n v="64.900000000000006"/>
        <n v="59.97"/>
        <n v="116.49"/>
        <n v="38.950000000000003"/>
        <n v="39.340000000000003"/>
        <n v="28.2"/>
        <n v="22.59"/>
        <n v="86.21"/>
        <n v="42.98"/>
        <n v="24.65"/>
        <n v="243.82"/>
        <n v="14.39"/>
        <n v="46.03"/>
        <n v="68.2"/>
        <n v="35.909999999999997"/>
        <n v="204.83"/>
        <n v="32.729999999999997"/>
        <n v="133.57"/>
        <n v="312.82"/>
        <n v="77.7"/>
        <n v="130.66"/>
        <n v="78.25"/>
        <n v="78.650000000000006"/>
        <n v="111.91"/>
        <n v="26.65"/>
        <n v="34.24"/>
        <n v="173.26"/>
        <n v="376.16"/>
        <n v="61.38"/>
        <n v="1252.82"/>
        <n v="341.81"/>
        <n v="331"/>
        <n v="94.88"/>
        <n v="83.97"/>
        <n v="23.94"/>
        <n v="40.25"/>
        <n v="28.97"/>
        <n v="490"/>
        <n v="32.049999999999997"/>
        <n v="27.55"/>
        <n v="219.25"/>
        <n v="112.77"/>
        <n v="8.9"/>
        <n v="182.22"/>
        <n v="26.23"/>
        <n v="816.22"/>
        <n v="42.94"/>
        <n v="53.82"/>
        <n v="166.14"/>
        <n v="16.510000000000002"/>
        <n v="130.75"/>
        <n v="22.28"/>
        <n v="25.28"/>
        <n v="16.75"/>
        <n v="19.649999999999999"/>
        <n v="177.7"/>
        <n v="86.3"/>
        <n v="116.25"/>
        <n v="47.25"/>
        <n v="20.75"/>
        <n v="324.01"/>
        <n v="34.47"/>
        <n v="376.61"/>
        <n v="33.549999999999997"/>
        <n v="195.56"/>
        <n v="10.46"/>
        <n v="154.13"/>
        <n v="112.62"/>
        <n v="54.63"/>
        <n v="264.52"/>
        <n v="374.62"/>
        <n v="194.17"/>
        <n v="131.99"/>
        <n v="47.75"/>
        <n v="53.85"/>
        <n v="202.75"/>
        <n v="132.62"/>
        <n v="163.9"/>
        <n v="22.74"/>
        <n v="61.6"/>
        <n v="27.24"/>
        <n v="28.5"/>
        <n v="32.299999999999997"/>
        <n v="27.48"/>
        <n v="33.76"/>
        <n v="27.95"/>
        <n v="25.67"/>
        <n v="29.98"/>
        <n v="85.93"/>
        <n v="36.950000000000003"/>
        <n v="77.040000000000006"/>
        <n v="7.7"/>
        <n v="23.53"/>
        <n v="26.97"/>
        <n v="24.42"/>
        <n v="44.85"/>
        <n v="40.450000000000003"/>
        <n v="25.39"/>
        <n v="45.45"/>
        <n v="22.48"/>
        <n v="26.98"/>
        <n v="19.96"/>
        <n v="11.9"/>
        <n v="35.96"/>
        <n v="48.48"/>
        <n v="64.92"/>
        <n v="70.819999999999993"/>
        <n v="81.260000000000005"/>
        <n v="73.790000000000006"/>
        <n v="51.35"/>
        <n v="68.459999999999994"/>
        <n v="46.98"/>
        <n v="59.16"/>
        <n v="74.680000000000007"/>
        <n v="17.5"/>
        <n v="49.98"/>
        <n v="21.21"/>
        <n v="37.47"/>
        <n v="31.98"/>
        <n v="400"/>
        <n v="32.97"/>
        <n v="41.71"/>
        <n v="91.13"/>
        <n v="10360"/>
        <n v="75.94"/>
        <n v="500"/>
        <n v="46100"/>
        <n v="1618.93"/>
        <n v="363.8"/>
        <n v="200"/>
        <n v="89.5"/>
        <n v="124.53"/>
        <n v="69.930000000000007"/>
        <n v="135.12"/>
        <n v="11"/>
        <n v="254.35"/>
        <n v="0.01"/>
        <n v="24.28"/>
        <n v="162.5"/>
        <n v="101.44"/>
        <n v="24.95"/>
        <n v="56.49"/>
        <n v="84"/>
        <n v="390"/>
        <n v="134.82"/>
        <n v="80.06"/>
        <n v="201.99"/>
        <n v="308.68"/>
        <n v="22.89"/>
        <n v="26.25"/>
        <n v="100"/>
        <n v="413"/>
        <n v="1254.5"/>
        <n v="203.77"/>
        <n v="396"/>
        <n v="106.12"/>
        <n v="95.96"/>
        <n v="71.97"/>
        <n v="76.98"/>
        <n v="279.51"/>
        <n v="133.30000000000001"/>
        <n v="5.99"/>
        <n v="49.2"/>
        <n v="29.37"/>
        <n v="42.13"/>
        <n v="86.47"/>
        <n v="78.8"/>
        <n v="57.76"/>
        <n v="60.31"/>
        <n v="99.56"/>
        <n v="107.4"/>
        <n v="40.68"/>
        <n v="48.2"/>
        <n v="47.95"/>
        <n v="88.43"/>
        <n v="50.37"/>
        <n v="187.5"/>
        <n v="202.5"/>
        <n v="9.99"/>
        <n v="203"/>
        <n v="53.41"/>
        <n v="40.19"/>
        <n v="45.62"/>
        <n v="49.32"/>
        <n v="49.58"/>
        <n v="47.35"/>
        <n v="36.11"/>
        <n v="211"/>
        <n v="170.48"/>
        <n v="86"/>
        <n v="140.30000000000001"/>
        <n v="63.77"/>
        <n v="263.25"/>
        <n v="30.84"/>
        <n v="34.99"/>
        <n v="15.95"/>
        <n v="20.99"/>
        <n v="16.149999999999999"/>
        <n v="19.100000000000001"/>
        <n v="25.02"/>
        <n v="128.04"/>
        <n v="125.21"/>
        <n v="12.93"/>
        <n v="197.14"/>
        <n v="145.18"/>
        <n v="88.74"/>
        <n v="151.84"/>
        <n v="88.19"/>
        <n v="86.74"/>
        <n v="65.22"/>
        <n v="152.08000000000001"/>
        <n v="89.33"/>
        <n v="103.39"/>
        <n v="91.81"/>
        <n v="84.26"/>
        <n v="17.05"/>
        <n v="79.73"/>
        <n v="102.39"/>
        <n v="64.069999999999993"/>
        <n v="28.82"/>
        <n v="389"/>
        <n v="55.35"/>
        <n v="95.63"/>
        <n v="40.89"/>
        <n v="45.65"/>
        <n v="49.46"/>
        <n v="35.119999999999997"/>
        <n v="34.54"/>
        <n v="152.75"/>
        <n v="27.75"/>
        <n v="126.25"/>
        <n v="77.349999999999994"/>
        <n v="43.7"/>
        <n v="184.05"/>
        <n v="145.59"/>
        <n v="305.58999999999997"/>
        <n v="29.96"/>
        <n v="31.9"/>
        <n v="130.5"/>
        <n v="110.69"/>
        <n v="285.70999999999998"/>
        <n v="98.21"/>
        <n v="148.26"/>
        <n v="113.68"/>
        <n v="64.2"/>
        <n v="142.33000000000001"/>
        <n v="84.6"/>
        <n v="75.599999999999994"/>
        <n v="44.6"/>
        <n v="215.6"/>
        <n v="169.85"/>
        <n v="5.89"/>
        <n v="79.75"/>
        <n v="246.72"/>
        <n v="87.91"/>
        <n v="197.93"/>
        <n v="38.18"/>
        <n v="85.12"/>
        <n v="87.62"/>
        <n v="40.119999999999997"/>
        <n v="71.92"/>
        <n v="57.08"/>
        <n v="79.14"/>
        <n v="45.48"/>
        <n v="89.85"/>
        <n v="88.95"/>
        <n v="118"/>
        <n v="90.4"/>
        <n v="9.3000000000000007"/>
        <n v="329.8"/>
        <n v="373"/>
        <n v="42.38"/>
        <n v="38.32"/>
        <n v="38.119999999999997"/>
        <n v="58.95"/>
        <n v="8.3800000000000008"/>
        <n v="15.98"/>
        <n v="20.94"/>
        <n v="22.54"/>
        <n v="88.75"/>
        <n v="105.75"/>
        <n v="132.9"/>
        <n v="163.36000000000001"/>
        <n v="48.05"/>
        <n v="36.380000000000003"/>
        <n v="154.26"/>
        <n v="195.75"/>
        <n v="85.02"/>
        <n v="9.2899999999999991"/>
        <n v="70.739999999999995"/>
        <n v="71"/>
        <n v="22.75"/>
        <n v="70.86"/>
        <n v="7.89"/>
        <n v="88.65"/>
        <n v="18.27"/>
        <n v="13.53"/>
        <n v="28.77"/>
        <n v="52.5"/>
        <n v="52.89"/>
        <n v="58.3"/>
        <n v="55.87"/>
        <n v="35.04"/>
        <n v="207"/>
        <n v="76.13"/>
        <n v="93.92"/>
        <n v="49.95"/>
        <n v="86.92"/>
        <n v="16.850000000000001"/>
        <n v="47.98"/>
        <n v="13.92"/>
        <n v="29.77"/>
        <n v="54.04"/>
        <n v="41.19"/>
        <n v="22.49"/>
        <n v="52.18"/>
        <n v="20.36"/>
        <n v="149.85"/>
        <n v="10.92"/>
        <n v="72.569999999999993"/>
        <n v="16.64"/>
        <n v="61.83"/>
        <n v="45.4"/>
        <n v="65.489999999999995"/>
        <n v="34.049999999999997"/>
        <n v="83.55"/>
        <n v="65.3"/>
        <n v="67.23"/>
        <n v="187.14"/>
        <n v="162.25"/>
        <n v="39.99"/>
        <n v="270"/>
        <n v="188.37"/>
        <n v="86.93"/>
        <n v="16.82"/>
        <n v="47.09"/>
        <n v="26.24"/>
        <n v="20.82"/>
        <n v="19.75"/>
        <n v="107.59"/>
        <n v="66.97"/>
        <n v="31.02"/>
        <n v="46.56"/>
        <n v="102.84"/>
        <n v="48.01"/>
        <n v="175.13"/>
        <n v="48.56"/>
        <n v="43.05"/>
        <n v="13.26"/>
        <n v="14.3"/>
        <n v="35.880000000000003"/>
        <n v="24.57"/>
        <n v="29.33"/>
        <n v="23.03"/>
        <n v="26.49"/>
        <n v="35.39"/>
        <n v="40.299999999999997"/>
        <n v="35.659999999999997"/>
        <n v="37.799999999999997"/>
        <n v="54.2"/>
        <n v="37.700000000000003"/>
        <n v="31.38"/>
        <n v="187.25"/>
        <n v="120.4"/>
        <n v="83.51"/>
        <n v="124.78"/>
        <n v="129.9"/>
        <n v="69.209999999999994"/>
        <n v="47.06"/>
        <n v="28.75"/>
        <n v="37.75"/>
        <n v="35.92"/>
        <n v="42.54"/>
        <n v="123"/>
        <n v="20.54"/>
        <n v="144.53"/>
        <n v="18.95"/>
        <n v="18.34"/>
        <n v="121.45"/>
        <n v="134.71"/>
        <n v="75.099999999999994"/>
        <n v="83.29"/>
        <n v="78.66"/>
        <n v="81.2"/>
        <n v="41.68"/>
        <n v="160.63"/>
        <n v="40.18"/>
        <n v="115.38"/>
        <n v="24.86"/>
        <n v="29.09"/>
        <n v="24.5"/>
        <n v="82.16"/>
        <n v="51.8"/>
        <n v="44.02"/>
        <n v="28.26"/>
        <n v="47.57"/>
        <n v="42.34"/>
        <n v="30.65"/>
        <n v="28.18"/>
        <n v="27.96"/>
        <n v="107.45"/>
        <n v="1876.36"/>
        <n v="684.29"/>
        <n v="52"/>
        <n v="39.5"/>
        <n v="283.58"/>
        <n v="46.99"/>
        <n v="153.57"/>
        <n v="237.6"/>
        <n v="232.73"/>
        <n v="56.06"/>
        <n v="53.55"/>
        <n v="339.5"/>
        <n v="365.04"/>
        <n v="391.87"/>
        <n v="252.9"/>
        <n v="376.89"/>
        <n v="61.5"/>
        <n v="42.69"/>
        <n v="64.849999999999994"/>
        <n v="25.95"/>
        <n v="19.32"/>
        <n v="27.5"/>
        <n v="102.25"/>
        <n v="112.11"/>
        <n v="440"/>
        <n v="154.21"/>
        <n v="34.229999999999997"/>
        <n v="36.75"/>
        <n v="578.27"/>
        <n v="555.79999999999995"/>
        <n v="1233.6400000000001"/>
        <n v="603.97"/>
        <n v="81.86"/>
        <n v="269.86"/>
        <n v="693.93"/>
        <n v="983.06"/>
        <n v="103.74"/>
        <n v="54.1"/>
        <n v="1719.06"/>
        <n v="592.47"/>
        <n v="394.99"/>
        <n v="629.41"/>
        <n v="140.93"/>
        <n v="114.97"/>
        <n v="135.55000000000001"/>
        <n v="53.93"/>
        <n v="420.14"/>
        <n v="2.5"/>
        <n v="2.14"/>
        <n v="146.36000000000001"/>
        <n v="36.35"/>
        <n v="178.7"/>
        <n v="65.86"/>
        <n v="96.8"/>
        <n v="69.790000000000006"/>
        <n v="424.76"/>
        <n v="139.69"/>
        <n v="75.260000000000005"/>
        <n v="281.54000000000002"/>
        <n v="129"/>
        <n v="20.95"/>
        <n v="37.29"/>
        <n v="79.48"/>
        <n v="329.94"/>
        <n v="11.8"/>
        <n v="51.92"/>
        <n v="12.64"/>
        <n v="54.79"/>
        <n v="41.08"/>
        <n v="81.099999999999994"/>
        <n v="54.66"/>
        <n v="282.94"/>
        <n v="80.25"/>
        <n v="221.25"/>
        <n v="138.66"/>
        <n v="56.5"/>
        <n v="498"/>
        <n v="66.86"/>
        <n v="475"/>
        <n v="101.26"/>
        <n v="75.900000000000006"/>
        <n v="67.5"/>
        <n v="7696.4"/>
        <n v="22.7"/>
        <n v="136"/>
        <n v="140.19999999999999"/>
        <n v="146.9"/>
        <n v="99.47"/>
        <n v="115.5"/>
        <n v="1008.31"/>
        <n v="30.53"/>
        <n v="436.59"/>
        <n v="44.62"/>
        <n v="99.89"/>
        <n v="17.28"/>
        <n v="15.75"/>
        <n v="351.69"/>
        <n v="99.43"/>
        <n v="1329.68"/>
        <n v="362.5"/>
        <n v="113.14"/>
        <n v="826.3"/>
        <n v="474"/>
        <n v="184.87"/>
        <n v="144"/>
        <n v="7.06"/>
        <n v="245"/>
        <n v="160.5"/>
        <n v="2200"/>
        <n v="363.13"/>
        <n v="86.5"/>
        <n v="2693.42"/>
        <n v="29.85"/>
        <n v="64.61"/>
        <n v="319.27"/>
        <n v="156.84"/>
        <n v="448.21"/>
        <n v="1020.63"/>
        <n v="1287"/>
        <n v="625"/>
        <n v="44.58"/>
        <n v="92.32"/>
        <n v="131.24"/>
        <n v="118.45"/>
        <n v="273.39999999999998"/>
        <n v="253.24"/>
        <n v="347.88"/>
        <n v="331.86"/>
        <n v="293.02"/>
        <n v="107.5"/>
        <n v="125.24"/>
        <n v="60.26"/>
        <n v="78.319999999999993"/>
        <n v="63.22"/>
        <n v="91.71"/>
        <n v="61.3"/>
        <n v="55.52"/>
        <n v="92.24"/>
        <n v="99.83"/>
        <n v="105.28"/>
        <n v="176.12"/>
        <n v="333.62"/>
        <n v="34.07"/>
        <n v="40.86"/>
        <n v="30.23"/>
        <n v="55.05"/>
        <n v="45.94"/>
        <n v="34.549999999999997"/>
        <n v="31.15"/>
        <n v="24.98"/>
        <n v="22.47"/>
        <n v="165.4"/>
        <n v="20.8"/>
        <n v="62.44"/>
        <n v="21.19"/>
        <n v="21.57"/>
        <n v="23.38"/>
        <n v="52.26"/>
        <n v="91.99"/>
        <n v="22.95"/>
        <n v="30.8"/>
        <n v="242.83"/>
        <n v="8.89"/>
        <n v="27.65"/>
        <n v="22.51"/>
        <n v="24.11"/>
        <n v="58.05"/>
        <n v="155.51"/>
        <n v="44"/>
        <n v="33.090000000000003"/>
        <n v="15.41"/>
        <n v="9.35"/>
        <n v="61.42"/>
        <n v="85.2"/>
        <n v="35.94"/>
        <n v="232.38"/>
        <n v="104.68"/>
        <n v="25.53"/>
        <n v="23.54"/>
        <n v="39.119999999999997"/>
        <n v="14.86"/>
        <n v="28.99"/>
        <n v="159.63"/>
        <n v="27.42"/>
        <n v="37.57"/>
        <n v="38.03"/>
        <n v="34.630000000000003"/>
        <n v="30.38"/>
        <n v="35.85"/>
        <n v="67.34"/>
        <n v="72.31"/>
        <n v="16.78"/>
        <n v="65.59"/>
        <n v="34.770000000000003"/>
        <n v="12.59"/>
        <n v="23.39"/>
        <n v="60.62"/>
        <n v="61"/>
        <n v="447.12"/>
        <n v="341.28"/>
        <n v="642.38"/>
        <n v="128.72"/>
        <n v="138.13"/>
        <n v="733.55"/>
        <n v="665.62"/>
        <n v="969.56"/>
        <n v="646.41"/>
        <n v="1181.26"/>
        <n v="471.73"/>
        <n v="484.74"/>
        <n v="618.82000000000005"/>
        <n v="681.89"/>
        <n v="637.09"/>
        <n v="860.35"/>
        <n v="879.61"/>
        <n v="839.9"/>
        <n v="873.5"/>
        <n v="32.01"/>
        <n v="48.99"/>
        <n v="31.77"/>
        <n v="23.73"/>
        <n v="13.14"/>
        <n v="96.22"/>
        <n v="7.26"/>
        <n v="81.55"/>
        <n v="13.32"/>
        <n v="21.92"/>
        <n v="66.95"/>
        <n v="458.67"/>
        <n v="414.52"/>
        <n v="307.33999999999997"/>
        <n v="371.65"/>
        <n v="59.91"/>
        <n v="488.85"/>
        <n v="298.99"/>
        <n v="290.17"/>
        <n v="360.46"/>
        <n v="473.77"/>
        <n v="307.27999999999997"/>
        <n v="351.43"/>
        <n v="475.27"/>
        <n v="11.08"/>
        <n v="48.03"/>
        <n v="29.15"/>
        <n v="27.99"/>
        <n v="45.08"/>
        <n v="43.11"/>
        <n v="81.08"/>
        <n v="47.78"/>
        <n v="83.57"/>
        <n v="723.12"/>
        <n v="544.92999999999995"/>
        <n v="714.31"/>
        <n v="739.91"/>
        <n v="75.819999999999993"/>
        <n v="1090.04"/>
        <n v="906.64"/>
        <n v="745.21"/>
        <n v="504.84"/>
        <n v="597.71"/>
        <n v="1045.49"/>
        <n v="1177.53"/>
        <n v="1192.95"/>
        <n v="757.32"/>
        <n v="566.5"/>
        <n v="52.04"/>
        <n v="27.18"/>
        <n v="38.9"/>
        <n v="48.4"/>
        <n v="29.05"/>
        <n v="19.899999999999999"/>
        <n v="60.7"/>
        <n v="18.510000000000002"/>
        <n v="37.36"/>
        <n v="29.64"/>
        <n v="16.88"/>
        <n v="24.81"/>
        <n v="70.28"/>
        <n v="29.99"/>
        <n v="88.26"/>
        <n v="527.12"/>
        <n v="296.87"/>
        <n v="200.77"/>
        <n v="162.05000000000001"/>
        <n v="256.25"/>
        <n v="238"/>
        <n v="349.69"/>
        <n v="486.85"/>
        <n v="368.43"/>
        <n v="250.08"/>
        <n v="518.83000000000004"/>
        <n v="635.95000000000005"/>
        <n v="453.9"/>
        <n v="423.51"/>
        <n v="14.12"/>
        <n v="44.01"/>
        <n v="44.84"/>
        <n v="48.33"/>
        <n v="1470.44"/>
        <n v="1046.49"/>
        <n v="859.78"/>
        <n v="717.11"/>
        <n v="976.58"/>
        <n v="523.55999999999995"/>
        <n v="743.95"/>
        <n v="430.92"/>
        <n v="1143.8499999999999"/>
        <n v="1334.36"/>
        <n v="1708.41"/>
        <n v="1424.84"/>
        <n v="1660.09"/>
        <n v="1098.96"/>
        <n v="34.21"/>
        <n v="77.290000000000006"/>
        <n v="21.76"/>
        <n v="26.84"/>
        <n v="82.95"/>
        <n v="98.4"/>
        <n v="60.14"/>
        <n v="150.13"/>
        <n v="48.98"/>
        <n v="122.52"/>
        <n v="85.88"/>
        <n v="112.16"/>
        <n v="135.44"/>
        <n v="112.93"/>
        <n v="9.8000000000000007"/>
        <n v="26.33"/>
        <n v="409.39"/>
        <n v="1011.2"/>
        <n v="947.29"/>
        <n v="812.98"/>
        <n v="287.85000000000002"/>
        <n v="371.73"/>
        <n v="523.57000000000005"/>
        <n v="409.61"/>
        <n v="384.42"/>
        <n v="571.58000000000004"/>
        <n v="703.22"/>
        <n v="1072.24"/>
        <n v="684.15"/>
        <n v="339.11"/>
        <n v="492.39"/>
        <n v="6.74"/>
        <n v="33.229999999999997"/>
        <n v="199.9"/>
        <n v="61.08"/>
        <n v="25.32"/>
        <n v="105.95"/>
        <n v="42.15"/>
        <n v="73.2"/>
        <n v="481.58"/>
        <n v="256.69"/>
        <n v="414.19"/>
        <n v="308.57"/>
        <n v="261.7"/>
        <n v="260.81"/>
        <n v="454.53"/>
        <n v="427.96"/>
        <n v="440.66"/>
        <n v="554.16"/>
        <n v="695.86"/>
        <n v="507.4"/>
        <n v="706.08"/>
        <n v="635.51"/>
        <n v="19.25"/>
        <n v="26.38"/>
        <n v="27.06"/>
        <n v="58.42"/>
        <n v="19.38"/>
        <n v="21.27"/>
        <n v="74.62"/>
        <n v="627.95000000000005"/>
        <n v="351.07"/>
        <n v="478.22"/>
        <n v="395.45"/>
        <n v="199.74"/>
        <n v="294.52"/>
        <n v="684.66"/>
        <n v="644.11"/>
        <n v="365.42"/>
        <n v="808.05"/>
        <n v="336.32"/>
        <n v="583.38"/>
        <n v="575.63"/>
        <n v="430.45"/>
        <n v="14.14"/>
        <n v="26.35"/>
        <n v="42.8"/>
        <n v="28.31"/>
        <n v="13.43"/>
        <n v="132.22"/>
        <n v="10.29"/>
        <n v="31.65"/>
        <n v="14.46"/>
        <n v="45.85"/>
        <n v="19.39"/>
        <n v="12.27"/>
        <n v="13.64"/>
        <n v="28.12"/>
        <n v="20.25"/>
        <n v="61.93"/>
        <n v="147.4"/>
        <n v="77.08"/>
        <n v="127.17"/>
        <n v="69.34"/>
        <n v="30.08"/>
        <n v="52.97"/>
        <n v="101.66"/>
        <n v="68.180000000000007"/>
        <n v="792.61"/>
        <n v="1065.3599999999999"/>
        <n v="983.14"/>
        <n v="536.64"/>
        <n v="708.43"/>
        <n v="369.72"/>
        <n v="560.6"/>
        <n v="59.78"/>
        <n v="396.19"/>
        <n v="597.52"/>
        <n v="936.65"/>
        <n v="683.32"/>
        <n v="478.91"/>
        <n v="551.41"/>
        <n v="402.95"/>
        <n v="12.8"/>
        <n v="10.6"/>
        <n v="17.7"/>
        <n v="72.849999999999994"/>
        <n v="22.19"/>
        <n v="130.29"/>
        <n v="17.510000000000002"/>
        <n v="23.57"/>
        <n v="21.09"/>
        <n v="67.13"/>
        <n v="91.9"/>
        <n v="27.14"/>
        <n v="20.86"/>
        <n v="303.73"/>
        <n v="263.83999999999997"/>
        <n v="387.82"/>
        <n v="231.33"/>
        <n v="480.58"/>
        <n v="456.32"/>
        <n v="443.45"/>
        <n v="379.26"/>
        <n v="355.04"/>
        <n v="365.4"/>
        <n v="513.57000000000005"/>
        <n v="617.16"/>
        <n v="531.46"/>
        <n v="540.30999999999995"/>
        <n v="46.57"/>
        <n v="143.35"/>
        <n v="76.97"/>
        <n v="55.92"/>
        <n v="17.600000000000001"/>
        <n v="63.64"/>
        <n v="28.72"/>
        <n v="32.130000000000003"/>
        <n v="77.209999999999994"/>
        <n v="103.76"/>
        <n v="84.8"/>
        <n v="99.42"/>
        <n v="131.81"/>
        <n v="82.59"/>
        <n v="152.47999999999999"/>
        <n v="20.72"/>
        <n v="56.89"/>
        <n v="88.69"/>
        <n v="122.35"/>
        <n v="203.87"/>
        <n v="123.55"/>
        <n v="132.77000000000001"/>
        <n v="173.93"/>
        <n v="77.61"/>
        <n v="12.49"/>
        <n v="25.48"/>
        <n v="60.19"/>
        <n v="558.33000000000004"/>
        <n v="456.75"/>
        <n v="123.44"/>
        <n v="140.37"/>
        <n v="277.94"/>
        <n v="165.12"/>
        <n v="277.35000000000002"/>
        <n v="138.5"/>
        <n v="125.81"/>
        <n v="250.17"/>
        <n v="391.96"/>
        <n v="414.36"/>
        <n v="253.81"/>
        <n v="40.99"/>
        <n v="61.62"/>
        <n v="64.510000000000005"/>
        <n v="37.83"/>
        <n v="30.68"/>
        <n v="20.170000000000002"/>
        <n v="107.83"/>
        <n v="17.45"/>
        <n v="193.97"/>
        <n v="324.77"/>
        <n v="41.31"/>
        <n v="138.09"/>
        <n v="85.85"/>
        <n v="567.08000000000004"/>
        <n v="246.08"/>
        <n v="209.59"/>
        <n v="319.01"/>
        <n v="258.82"/>
        <n v="231.75"/>
        <n v="247.25"/>
        <n v="330.37"/>
        <n v="114.74"/>
        <n v="252.32"/>
        <n v="213.47"/>
        <n v="292.72000000000003"/>
        <n v="318.88"/>
        <n v="16.68"/>
        <n v="250.81"/>
        <n v="108.28"/>
        <n v="77.64"/>
        <n v="30.16"/>
        <n v="32.380000000000003"/>
        <n v="22.88"/>
        <n v="119.39"/>
        <n v="54.25"/>
        <n v="46.01"/>
        <n v="58.94"/>
        <n v="384.96"/>
        <n v="397.34"/>
        <n v="295.97000000000003"/>
        <n v="127.85"/>
        <n v="87.89"/>
        <n v="214.42"/>
        <n v="149.43"/>
        <n v="215.34"/>
        <n v="305.62"/>
        <n v="329.75"/>
        <n v="330.73"/>
        <n v="170.64"/>
        <n v="246.93"/>
        <n v="90.79"/>
        <n v="37.630000000000003"/>
        <n v="25.63"/>
        <n v="38.42"/>
        <n v="91.09"/>
        <n v="95.62"/>
        <n v="52.96"/>
        <n v="386.75"/>
        <n v="455.83"/>
        <n v="264.37"/>
        <n v="215.46"/>
        <n v="181.12"/>
        <n v="242.02"/>
        <n v="322.91000000000003"/>
        <n v="321.02999999999997"/>
        <n v="259.92"/>
        <n v="486.39"/>
        <n v="216.64"/>
        <n v="318.58999999999997"/>
        <n v="217.88"/>
        <n v="257.58"/>
        <n v="26.94"/>
        <n v="15.93"/>
        <n v="39.42"/>
        <n v="69.680000000000007"/>
        <n v="40.04"/>
        <n v="73.849999999999994"/>
        <n v="33.020000000000003"/>
        <n v="80.47"/>
        <n v="63.58"/>
        <n v="35.520000000000003"/>
        <n v="449.4"/>
        <n v="95.48"/>
        <n v="39.020000000000003"/>
        <n v="132.91"/>
        <n v="155.74"/>
        <n v="226.17"/>
        <n v="168.11"/>
        <n v="183.98"/>
        <n v="226.28"/>
        <n v="208.07"/>
        <n v="241.12"/>
        <n v="477.64"/>
        <n v="812.13"/>
        <n v="18.760000000000002"/>
        <n v="31.22"/>
        <n v="36.82"/>
        <n v="42.17"/>
        <n v="85.06"/>
        <n v="514.46"/>
        <n v="65.680000000000007"/>
        <n v="212.88"/>
        <n v="243.25"/>
        <n v="247.68"/>
        <n v="397.66"/>
        <n v="163.58000000000001"/>
        <n v="204.36"/>
        <n v="303.57"/>
        <n v="210.56"/>
        <n v="306.8"/>
        <n v="402.87"/>
        <n v="392.27"/>
        <n v="287.68"/>
        <n v="55.12"/>
        <n v="49.31"/>
        <n v="24.36"/>
        <n v="77.55"/>
        <n v="108.33"/>
        <n v="107.54"/>
        <n v="12.91"/>
        <n v="12.15"/>
        <n v="26.03"/>
        <n v="5.6"/>
        <n v="39.33"/>
        <n v="85.58"/>
        <n v="50.11"/>
        <n v="24.96"/>
        <n v="75.709999999999994"/>
        <n v="45.01"/>
        <n v="79.08"/>
        <n v="37.64"/>
        <n v="18.420000000000002"/>
        <n v="9.89"/>
        <n v="34.840000000000003"/>
        <n v="93.66"/>
        <n v="51.37"/>
        <n v="41.44"/>
        <n v="50.49"/>
        <n v="83.32"/>
        <n v="88.18"/>
        <n v="86.68"/>
        <n v="62.72"/>
        <n v="57.16"/>
        <n v="1342.37"/>
        <n v="1172.44"/>
        <n v="725.25"/>
        <n v="639.91999999999996"/>
        <n v="827.43"/>
        <n v="562.41"/>
        <n v="557.19000000000005"/>
        <n v="539.51"/>
        <n v="671.12"/>
        <n v="980.37"/>
        <n v="985.64"/>
        <n v="1352.47"/>
        <n v="828.89"/>
        <n v="834.96"/>
        <n v="57.39"/>
        <n v="114.95"/>
        <n v="60.58"/>
        <n v="61.2"/>
        <n v="72.62"/>
        <n v="123.33"/>
        <n v="130.63999999999999"/>
        <n v="108.19"/>
        <n v="269.23"/>
        <n v="137.13"/>
        <n v="275.07"/>
        <n v="117.15"/>
        <n v="410.35"/>
        <n v="27.34"/>
        <n v="26.83"/>
        <n v="19.329999999999998"/>
        <n v="45.98"/>
        <n v="9.67"/>
        <n v="17.62"/>
        <n v="103.86"/>
        <n v="166.93"/>
        <n v="83.16"/>
        <n v="10.050000000000001"/>
        <n v="29.34"/>
        <n v="13.77"/>
        <n v="28.02"/>
        <n v="23.72"/>
        <n v="25.31"/>
        <n v="254.22"/>
        <n v="134.93"/>
        <n v="85.49"/>
        <n v="101.38"/>
        <n v="105.88"/>
        <n v="105.12"/>
        <n v="229.69"/>
        <n v="132.81"/>
        <n v="159.69999999999999"/>
        <n v="140"/>
        <n v="149.97999999999999"/>
        <n v="121.62"/>
        <n v="83.18"/>
        <n v="42.78"/>
        <n v="87.46"/>
        <n v="13.02"/>
        <n v="38.590000000000003"/>
        <n v="68.19"/>
        <n v="105.16"/>
        <n v="318.22000000000003"/>
        <n v="259.77"/>
        <n v="1189.81"/>
        <n v="518.6"/>
        <n v="542.38"/>
        <n v="328.77"/>
        <n v="312.97000000000003"/>
        <n v="683.57"/>
        <n v="254.94"/>
        <n v="249.64"/>
        <n v="344.62"/>
        <n v="616.58000000000004"/>
        <n v="111.49"/>
        <n v="7.31"/>
        <n v="767.82"/>
        <n v="10767.85"/>
        <n v="691.7"/>
        <n v="2484.4899999999998"/>
        <n v="519.55999999999995"/>
        <n v="1499.58"/>
        <n v="273.02999999999997"/>
        <n v="26.43"/>
        <n v="51.85"/>
        <n v="90.45"/>
        <n v="147.93"/>
        <n v="49.9"/>
        <n v="22.38"/>
        <n v="24.26"/>
        <n v="94.12"/>
        <n v="132.47"/>
        <n v="9.9600000000000009"/>
        <n v="20.9"/>
        <n v="123.3"/>
        <n v="327.85"/>
        <n v="164.7"/>
        <n v="150.58000000000001"/>
        <n v="99.97"/>
        <n v="18.37"/>
        <n v="13.97"/>
        <n v="23.05"/>
        <n v="30.39"/>
        <n v="50.79"/>
        <n v="2823.18"/>
        <n v="838"/>
        <n v="4.68"/>
        <n v="5620.07"/>
        <n v="983.17"/>
        <n v="1232.6199999999999"/>
        <n v="1283.31"/>
        <n v="2980.22"/>
        <n v="61.81"/>
        <n v="1738.68"/>
        <n v="1065.6300000000001"/>
        <n v="2.27"/>
        <n v="653.96"/>
        <n v="3294.23"/>
        <n v="944.15"/>
        <n v="804.21"/>
        <n v="1408.96"/>
        <n v="1290.4100000000001"/>
        <n v="27.2"/>
        <n v="516.86"/>
        <n v="83.12"/>
        <n v="673.32"/>
        <n v="151.41"/>
        <n v="506.95"/>
        <n v="156.97"/>
        <n v="444.29"/>
        <n v="16088.95"/>
        <n v="2256.5"/>
        <n v="2309.17"/>
        <n v="11432.58"/>
        <n v="537.59"/>
        <n v="910.15"/>
        <n v="930.71"/>
        <n v="1142.21"/>
        <n v="123.45"/>
        <n v="1127.55"/>
        <n v="191.12"/>
        <n v="305.36"/>
        <n v="158.78"/>
        <n v="519.46"/>
        <n v="537.95000000000005"/>
        <n v="1368.34"/>
        <n v="329.69"/>
        <n v="1553.8"/>
        <n v="163.72"/>
        <n v="39.43"/>
        <n v="271.64999999999998"/>
        <n v="37.49"/>
        <n v="181.36"/>
        <n v="29.16"/>
        <n v="47.61"/>
        <n v="111.83"/>
        <n v="13.68"/>
        <n v="50.38"/>
        <n v="42.39"/>
        <n v="159.55000000000001"/>
        <n v="173.16"/>
        <n v="219.83"/>
        <n v="129.44999999999999"/>
        <n v="98.19"/>
        <n v="142.01"/>
        <n v="206.84"/>
        <n v="233.45"/>
        <n v="365.3"/>
        <n v="32.5"/>
        <n v="173.81"/>
        <n v="42.2"/>
        <n v="50.62"/>
        <n v="24.4"/>
        <n v="56.43"/>
        <n v="12.62"/>
        <n v="81.11"/>
        <n v="32.450000000000003"/>
        <n v="64.22"/>
        <n v="65.63"/>
        <n v="543.25"/>
        <n v="358.78"/>
        <n v="411.2"/>
        <n v="486.58"/>
        <n v="474.74"/>
        <n v="516.62"/>
        <n v="414.01"/>
        <n v="391.03"/>
        <n v="448.2"/>
        <n v="522.20000000000005"/>
        <n v="401.95"/>
        <n v="594.01"/>
        <n v="562.02"/>
        <n v="481.35"/>
        <n v="6.56"/>
        <n v="412.97"/>
        <n v="71.099999999999994"/>
        <n v="59.35"/>
        <n v="16.690000000000001"/>
        <n v="7.42"/>
        <n v="9.66"/>
        <n v="334.93"/>
        <n v="83.6"/>
        <n v="22.42"/>
        <n v="37.5"/>
        <n v="20.239999999999998"/>
        <n v="106.5"/>
        <n v="182.59"/>
        <n v="186.05"/>
        <n v="262.45"/>
        <n v="36.630000000000003"/>
        <n v="17.670000000000002"/>
        <n v="57.69"/>
        <n v="144.43"/>
        <n v="28.91"/>
        <n v="27.71"/>
        <n v="80.13"/>
        <n v="31.11"/>
        <n v="44.13"/>
        <n v="100.79"/>
        <n v="23.25"/>
        <n v="8.35"/>
        <n v="7.15"/>
        <n v="7.6"/>
        <n v="3.95"/>
        <n v="122"/>
        <n v="46.4"/>
        <n v="44.4"/>
        <n v="25.9"/>
        <n v="12.08"/>
        <n v="7.45"/>
        <n v="51.2"/>
        <n v="21.6"/>
        <n v="359"/>
        <n v="143"/>
        <n v="43.4"/>
        <n v="11.15"/>
        <n v="9.65"/>
        <n v="536.4"/>
        <n v="33.65"/>
        <n v="30.77"/>
        <n v="31.3"/>
        <n v="16.350000000000001"/>
        <n v="676"/>
        <n v="432"/>
        <n v="572"/>
        <n v="110.5"/>
        <n v="2.75"/>
        <n v="306"/>
        <n v="52.2"/>
        <n v="34.799999999999997"/>
        <n v="139.19999999999999"/>
        <n v="69.599999999999994"/>
        <n v="131"/>
        <n v="77"/>
        <n v="266"/>
        <n v="242"/>
        <n v="359.78"/>
        <n v="193"/>
        <n v="171.6"/>
        <n v="187.2"/>
        <n v="8.9499999999999993"/>
        <n v="3.25"/>
        <n v="126.5"/>
        <n v="59.3"/>
        <n v="16.7"/>
        <n v="7.65"/>
        <n v="380"/>
        <n v="117"/>
        <n v="4.05"/>
        <n v="0.3"/>
        <n v="23.85"/>
        <n v="32.200000000000003"/>
        <n v="14.95"/>
        <n v="383.94"/>
        <n v="7.28"/>
        <n v="4.5999999999999996"/>
        <n v="6.9"/>
        <n v="4902.58"/>
        <n v="77.650000000000006"/>
        <n v="114.25"/>
        <n v="102.8"/>
        <n v="121.75"/>
        <n v="184.2"/>
        <n v="150.44999999999999"/>
        <n v="86.05"/>
        <n v="73"/>
        <n v="1539.2"/>
        <n v="353.6"/>
        <n v="74.400000000000006"/>
        <n v="1451.8"/>
        <n v="63.2"/>
        <n v="22.17"/>
        <n v="9.6"/>
        <n v="28.95"/>
        <n v="796.6"/>
        <n v="412.62"/>
        <n v="20.67"/>
        <n v="190"/>
        <n v="220"/>
        <n v="303.89999999999998"/>
        <n v="796.5"/>
        <n v="382.02"/>
        <n v="120.6"/>
        <n v="675.9"/>
        <n v="140.46"/>
        <n v="40.4"/>
        <n v="139.03"/>
        <n v="2549.17"/>
        <n v="2322.9"/>
        <n v="719.83"/>
        <n v="1578.84"/>
        <n v="1050.5999999999999"/>
        <n v="39.9"/>
        <n v="366.01"/>
        <n v="56.9"/>
        <n v="195.57"/>
        <n v="293.3"/>
        <n v="90.01"/>
        <n v="235.9"/>
        <n v="1083.51"/>
        <n v="19.399999999999999"/>
        <n v="919"/>
        <n v="1322.7"/>
        <n v="235"/>
        <n v="167.3"/>
        <n v="59"/>
        <n v="4.28"/>
        <n v="263.01"/>
        <n v="1059.9000000000001"/>
        <n v="1170"/>
        <n v="1086.1400000000001"/>
        <n v="224"/>
        <n v="450"/>
        <n v="47.45"/>
        <n v="260"/>
        <n v="1872.76"/>
        <n v="882.45"/>
        <n v="609"/>
        <n v="1789.9"/>
        <n v="2723.68"/>
        <n v="261"/>
        <n v="37.479999999999997"/>
        <n v="21.4"/>
        <n v="418.1"/>
        <n v="200.88"/>
        <n v="26.2"/>
        <n v="2023.13"/>
        <n v="247"/>
        <n v="130.18"/>
        <n v="13.91"/>
        <n v="442"/>
        <n v="448.15"/>
        <n v="444.3"/>
        <n v="17.12"/>
        <n v="51.99"/>
        <n v="26.13"/>
        <n v="349.8"/>
        <n v="684.6"/>
        <n v="16.05"/>
        <n v="395.2"/>
        <n v="37.450000000000003"/>
        <n v="344.25"/>
        <n v="102.06"/>
        <n v="269.14999999999998"/>
        <n v="12.3"/>
        <n v="193.8"/>
        <n v="22.3"/>
        <n v="147.19999999999999"/>
        <n v="4.78"/>
        <n v="14.05"/>
        <n v="17.68"/>
        <n v="20.22"/>
        <n v="383.8"/>
        <n v="30.35"/>
        <n v="15.35"/>
        <n v="73.53"/>
        <n v="187.45"/>
        <n v="9.9"/>
        <n v="223.1"/>
        <n v="96.05"/>
        <n v="109"/>
        <n v="603.04999999999995"/>
        <n v="524.4"/>
        <n v="552.95000000000005"/>
        <n v="571.54999999999995"/>
        <n v="1228.8"/>
        <n v="1227.23"/>
        <n v="743.3"/>
        <n v="771.1"/>
        <n v="246.2"/>
        <n v="517.79"/>
        <n v="12.9"/>
        <n v="9.85"/>
        <n v="42.5"/>
        <n v="436"/>
        <n v="32.65"/>
        <n v="393.11"/>
        <n v="662.4"/>
        <n v="435"/>
        <n v="20.85"/>
        <n v="265"/>
        <n v="532.04999999999995"/>
        <n v="622.45000000000005"/>
        <n v="157.69999999999999"/>
        <n v="386.65"/>
        <n v="19.420000000000002"/>
        <n v="297.27999999999997"/>
        <n v="95.6"/>
        <n v="125.68"/>
        <n v="18.68"/>
        <n v="43.86"/>
        <n v="88.61"/>
        <n v="21.1"/>
        <n v="6.25"/>
        <n v="37.14"/>
        <n v="10.57"/>
        <n v="20.51"/>
        <n v="154.85"/>
        <n v="20.69"/>
        <n v="5.96"/>
        <n v="293"/>
        <n v="1950"/>
        <n v="21.24"/>
        <n v="5.22"/>
        <n v="17.27"/>
        <n v="11.36"/>
        <n v="10.54"/>
        <n v="24.93"/>
        <n v="53.35"/>
        <n v="7.62"/>
        <n v="29.3"/>
        <n v="23.86"/>
        <n v="21.05"/>
        <n v="7.78"/>
        <n v="4.93"/>
        <n v="1957.19"/>
        <n v="8.82"/>
        <n v="71.489999999999995"/>
        <n v="3.13"/>
        <n v="4.25"/>
        <n v="9.3800000000000008"/>
        <n v="8.52"/>
        <n v="2017"/>
        <n v="205.5"/>
        <n v="425"/>
        <n v="81"/>
        <n v="13.15"/>
        <n v="95.9"/>
        <n v="93"/>
        <n v="53"/>
        <n v="513.4"/>
        <n v="103.5"/>
        <n v="25.2"/>
        <n v="50.5"/>
        <n v="1320"/>
        <n v="26.56"/>
        <n v="8.92"/>
        <n v="46.1"/>
        <n v="18.149999999999999"/>
        <n v="152.36000000000001"/>
        <n v="64.33"/>
        <n v="35.1"/>
        <n v="31.5"/>
        <n v="63.75"/>
        <n v="1.2"/>
        <n v="649.29999999999995"/>
        <n v="225.46"/>
        <n v="419.77"/>
        <n v="175.85"/>
        <n v="91.18"/>
        <n v="259.26"/>
        <n v="85.51"/>
        <n v="584.82000000000005"/>
        <n v="1496"/>
        <n v="1060.6500000000001"/>
        <n v="187.8"/>
        <n v="1418.66"/>
        <n v="888.12"/>
        <n v="228"/>
        <n v="1330.46"/>
        <n v="197.95"/>
        <n v="514.4"/>
        <n v="120.41"/>
        <n v="57.25"/>
        <n v="1304.44"/>
        <n v="174.78"/>
        <n v="349.6"/>
        <n v="97.37"/>
        <n v="130.16999999999999"/>
        <n v="606.51"/>
        <n v="1363.47"/>
        <n v="544.79999999999995"/>
        <n v="79"/>
        <n v="522.36"/>
        <n v="190.52"/>
        <n v="869.85"/>
        <n v="179.24"/>
        <n v="149.46"/>
        <n v="367.45"/>
        <n v="47.11"/>
        <n v="631.71"/>
        <n v="204.35"/>
        <n v="37.270000000000003"/>
        <n v="484.22"/>
        <n v="87"/>
        <n v="94.85"/>
        <n v="398.73"/>
        <n v="127.12"/>
        <n v="67"/>
        <n v="12.39"/>
        <n v="270.98"/>
        <n v="56.55"/>
        <n v="68.680000000000007"/>
        <n v="855.52"/>
        <n v="87.75"/>
        <n v="56.25"/>
        <n v="196.4"/>
        <n v="93.11"/>
        <n v="60.85"/>
        <n v="70.239999999999995"/>
        <n v="46.02"/>
        <n v="138.07"/>
        <n v="117.7"/>
        <n v="44.22"/>
        <n v="379.7"/>
        <n v="76.349999999999994"/>
        <n v="212.87"/>
        <n v="136.99"/>
        <n v="72.989999999999995"/>
        <n v="187.65"/>
        <n v="80.849999999999994"/>
        <n v="54.29"/>
        <n v="181.33"/>
        <n v="112.22"/>
        <n v="117.85"/>
        <n v="334.41"/>
        <n v="47.6"/>
        <n v="156.4"/>
        <n v="232.86"/>
        <n v="161.44999999999999"/>
        <n v="98.1"/>
        <n v="100.15"/>
        <n v="115.25"/>
        <n v="61.92"/>
        <n v="166.26"/>
        <n v="47.1"/>
        <n v="145.25"/>
        <n v="31.93"/>
        <n v="160.51"/>
        <n v="50.6"/>
        <n v="38.200000000000003"/>
        <n v="213.19"/>
        <n v="360.16"/>
        <n v="55.75"/>
        <n v="226.93"/>
        <n v="112.6"/>
        <n v="295.16000000000003"/>
        <n v="59.6"/>
        <n v="56.16"/>
        <n v="368.12"/>
        <n v="34.65"/>
        <n v="42.6"/>
        <n v="213.7"/>
        <n v="70.3"/>
        <n v="99.66"/>
        <n v="343.33"/>
        <n v="1.03"/>
        <n v="393.28"/>
        <n v="401"/>
        <n v="50.25"/>
        <n v="1436.31"/>
        <n v="421.36"/>
        <n v="72.48"/>
        <n v="261.10000000000002"/>
        <n v="417.29"/>
        <n v="831.18"/>
        <n v="258.66000000000003"/>
        <n v="66.900000000000006"/>
        <n v="51.55"/>
        <n v="119"/>
        <n v="407"/>
        <n v="256.42"/>
        <n v="28.17"/>
        <n v="181"/>
        <n v="101"/>
        <n v="27.1"/>
        <n v="477.97"/>
        <n v="12.07"/>
        <n v="163.91"/>
        <n v="1350"/>
        <n v="11.2"/>
        <n v="14.9"/>
        <n v="516"/>
        <n v="110.45"/>
        <n v="16.95"/>
        <n v="21.9"/>
        <n v="115.77"/>
        <n v="83.03"/>
        <n v="157.56"/>
        <n v="118.89"/>
        <n v="100.96"/>
        <n v="25.25"/>
        <n v="10.199999999999999"/>
        <n v="7.47"/>
        <n v="45.02"/>
        <n v="272"/>
        <n v="56.66"/>
        <n v="35.979999999999997"/>
        <n v="30.95"/>
        <n v="32.799999999999997"/>
        <n v="149.80000000000001"/>
        <n v="116"/>
        <n v="55.64"/>
        <n v="67.16"/>
        <n v="57.27"/>
        <n v="24.07"/>
        <n v="40.75"/>
        <n v="15.66"/>
        <n v="53.96"/>
        <n v="115.45"/>
        <n v="124.33"/>
        <n v="160.66"/>
        <n v="12.99"/>
        <n v="16.21"/>
        <n v="83.24"/>
        <n v="17.989999999999998"/>
        <n v="26.91"/>
        <n v="138.56"/>
        <n v="41.3"/>
        <n v="25.66"/>
        <n v="30.25"/>
        <n v="147.55000000000001"/>
        <n v="25.98"/>
        <n v="23.95"/>
        <n v="46.2"/>
        <n v="12.55"/>
        <n v="86.16"/>
        <n v="89.6"/>
        <n v="158.94999999999999"/>
        <n v="74.099999999999994"/>
        <n v="46.25"/>
        <n v="7.44"/>
        <n v="27.57"/>
        <n v="98.88"/>
        <n v="45.13"/>
        <n v="32.96"/>
        <n v="12.5"/>
        <n v="18.190000000000001"/>
        <n v="62.39"/>
        <n v="7.33"/>
        <n v="70.09"/>
        <n v="21.06"/>
        <n v="9.08"/>
        <n v="294.75"/>
        <n v="58.5"/>
        <n v="574.17999999999995"/>
        <n v="139.08000000000001"/>
        <n v="25.6"/>
        <n v="23.61"/>
        <n v="66.59"/>
        <n v="136.85"/>
        <n v="46.28"/>
        <n v="522.97"/>
        <n v="80.02"/>
        <n v="64.650000000000006"/>
        <n v="94.5"/>
        <n v="57.86"/>
        <n v="105.34"/>
        <n v="13.76"/>
        <n v="24.16"/>
        <n v="10.1"/>
        <n v="339.18"/>
        <n v="131.61000000000001"/>
        <n v="96.2"/>
        <n v="299"/>
        <n v="68.53"/>
        <n v="12.48"/>
        <n v="138.59"/>
        <n v="159.80000000000001"/>
        <n v="54.57"/>
        <n v="39.950000000000003"/>
        <n v="145.74"/>
        <n v="119.9"/>
        <n v="39.619999999999997"/>
        <n v="325.32"/>
        <n v="103.6"/>
        <n v="62.65"/>
        <n v="75.5"/>
        <n v="94.21"/>
        <n v="22.1"/>
        <n v="81.349999999999994"/>
        <n v="159.9"/>
        <n v="728.97"/>
        <n v="264.39999999999998"/>
        <n v="104.05"/>
        <n v="29.56"/>
        <n v="77.97"/>
        <n v="75.48"/>
        <n v="19.45"/>
        <n v="59.8"/>
        <n v="66.099999999999994"/>
        <n v="158.16999999999999"/>
        <n v="41.16"/>
        <n v="142.87"/>
        <n v="80.489999999999995"/>
        <n v="38.159999999999997"/>
        <n v="18.690000000000001"/>
        <n v="153.85"/>
        <n v="117.45"/>
        <n v="84.12"/>
        <n v="297.3"/>
        <n v="64.86"/>
        <n v="173.06"/>
        <n v="22.86"/>
        <n v="39.96"/>
        <n v="49.97"/>
        <n v="98.08"/>
        <n v="38.96"/>
        <n v="73.75"/>
        <n v="5.16"/>
        <n v="65.12"/>
        <n v="137.63"/>
        <n v="158.47999999999999"/>
        <n v="121.95"/>
        <n v="62.75"/>
        <n v="21.58"/>
        <n v="103"/>
        <n v="153.63999999999999"/>
        <n v="113.39"/>
        <n v="50.36"/>
        <n v="144.99"/>
        <n v="16.260000000000002"/>
        <n v="171.21"/>
        <n v="57.09"/>
        <n v="52.95"/>
        <n v="87.63"/>
        <n v="14.75"/>
        <n v="22.07"/>
        <n v="15.91"/>
        <n v="15.08"/>
        <n v="40.5"/>
        <n v="37.979999999999997"/>
        <n v="40.49"/>
        <n v="73.319999999999993"/>
        <n v="22.26"/>
        <n v="41.84"/>
        <n v="13.08"/>
        <n v="35.950000000000003"/>
        <n v="24.2"/>
        <n v="10.91"/>
        <n v="38.340000000000003"/>
        <n v="56.18"/>
        <n v="39.25"/>
        <n v="40.229999999999997"/>
        <n v="9.7799999999999994"/>
        <n v="52.99"/>
        <n v="32.1"/>
        <n v="17.11"/>
        <n v="117.49"/>
        <n v="18.600000000000001"/>
        <n v="1396.4"/>
        <n v="1000"/>
        <n v="67.95"/>
        <n v="49.1"/>
        <n v="48000"/>
        <n v="13570"/>
        <n v="4850"/>
        <n v="20320"/>
        <n v="15.5"/>
        <n v="81.84"/>
        <n v="53.73"/>
        <n v="132.72"/>
        <n v="281.52999999999997"/>
        <n v="90.05"/>
        <n v="4413.76"/>
        <n v="84.53"/>
        <n v="63.57"/>
        <n v="12.83"/>
        <n v="44.99"/>
        <n v="63.01"/>
        <n v="42.45"/>
        <n v="53.37"/>
        <n v="47.15"/>
        <n v="121.01"/>
        <n v="37.68"/>
        <n v="41.83"/>
        <n v="221.05"/>
        <n v="71.94"/>
        <n v="137.11000000000001"/>
        <n v="78.95"/>
        <n v="38.520000000000003"/>
        <n v="35.5"/>
        <n v="82.83"/>
        <n v="34.86"/>
        <n v="24.08"/>
        <n v="19.350000000000001"/>
        <n v="354.12"/>
        <n v="60.87"/>
        <n v="51.46"/>
        <n v="84.51"/>
        <n v="142.96"/>
        <n v="188.88"/>
        <n v="73.5"/>
        <n v="95.71"/>
        <n v="236.39"/>
        <n v="140.03"/>
        <n v="107.29"/>
        <n v="102.77"/>
        <n v="65.94"/>
        <n v="59.15"/>
        <n v="50.45"/>
        <n v="128.6"/>
        <n v="94.69"/>
        <n v="116.42"/>
        <n v="170.2"/>
        <n v="96.89"/>
        <n v="31.71"/>
        <n v="71.84"/>
        <n v="71.5"/>
        <n v="33.86"/>
        <n v="142.61000000000001"/>
        <n v="79.55"/>
        <n v="42.92"/>
        <n v="26.75"/>
        <n v="65.099999999999994"/>
        <n v="31.14"/>
        <n v="41.97"/>
        <n v="73.510000000000005"/>
        <n v="57.78"/>
        <n v="100.68"/>
        <n v="62.27"/>
        <n v="31.03"/>
        <n v="43.73"/>
        <n v="35.06"/>
        <n v="297.8"/>
        <n v="76.81"/>
        <n v="79.86"/>
        <n v="213.44"/>
        <n v="52.02"/>
        <n v="80.03"/>
        <n v="0.27"/>
        <n v="102.76"/>
        <n v="30.04"/>
        <n v="53.9"/>
        <n v="155"/>
        <n v="189.2"/>
        <n v="114.05"/>
        <n v="245.96"/>
        <n v="85.13"/>
        <n v="86.12"/>
        <n v="89.56"/>
        <n v="66.81"/>
        <n v="93.56"/>
        <n v="94.23"/>
        <n v="101.68"/>
        <n v="84.3"/>
        <n v="94.47"/>
        <n v="75.75"/>
        <n v="59.88"/>
        <n v="58.85"/>
        <n v="63.7"/>
        <n v="85.82"/>
        <n v="73.05"/>
        <n v="41.2"/>
        <n v="37.159999999999997"/>
        <n v="63.06"/>
        <n v="78"/>
        <n v="107.63"/>
        <n v="34.880000000000003"/>
        <n v="27.76"/>
        <n v="21.3"/>
        <n v="10.69"/>
        <n v="97.75"/>
        <n v="37.520000000000003"/>
        <n v="10.99"/>
        <n v="17.190000000000001"/>
        <n v="21.88"/>
        <n v="35.47"/>
        <n v="17.02"/>
        <n v="237"/>
        <n v="182.25"/>
        <n v="22.27"/>
        <n v="112.85"/>
        <n v="33.44"/>
        <n v="129.52000000000001"/>
        <n v="23.98"/>
        <n v="29.65"/>
        <n v="22.65"/>
        <n v="46.97"/>
        <n v="75.97"/>
        <n v="40.130000000000003"/>
        <n v="69.55"/>
        <n v="72.760000000000005"/>
        <n v="67.3"/>
        <n v="66.45"/>
        <n v="43.39"/>
        <n v="49.83"/>
        <n v="66.959999999999994"/>
        <n v="64.31"/>
        <n v="56.62"/>
        <n v="82.21"/>
        <n v="31.13"/>
        <n v="26.15"/>
        <n v="32.75"/>
        <n v="2.95"/>
        <n v="72.459999999999994"/>
        <n v="52.06"/>
        <n v="13.5"/>
        <n v="81.069999999999993"/>
        <n v="50.97"/>
        <n v="35.409999999999997"/>
        <n v="26.08"/>
        <n v="25.97"/>
        <n v="65.44"/>
        <n v="67.069999999999993"/>
        <n v="45.28"/>
        <n v="60.45"/>
        <n v="200.79"/>
        <n v="36.450000000000003"/>
        <n v="46.18"/>
        <n v="48.62"/>
        <n v="48.16"/>
        <n v="60.5"/>
        <n v="17.66"/>
        <n v="39.86"/>
        <n v="32.82"/>
        <n v="81.83"/>
        <n v="82.43"/>
        <n v="15.92"/>
        <n v="24.7"/>
        <n v="21.95"/>
        <n v="27.81"/>
        <n v="122.34"/>
        <n v="75.739999999999995"/>
        <n v="41.14"/>
        <n v="42.14"/>
        <n v="40.26"/>
        <n v="36.659999999999997"/>
        <n v="7.1"/>
        <n v="29.24"/>
        <n v="15.36"/>
        <n v="10.43"/>
        <n v="103.25"/>
        <n v="88.8"/>
        <n v="98.66"/>
        <n v="34.56"/>
        <n v="24.82"/>
        <n v="27.08"/>
        <n v="13.12"/>
        <n v="28.07"/>
        <n v="18.88"/>
        <n v="19.29"/>
        <n v="28.39"/>
        <n v="23.32"/>
        <n v="38.1"/>
        <n v="81.03"/>
        <n v="20.45"/>
        <n v="29.69"/>
        <n v="23.29"/>
        <n v="15.25"/>
        <n v="85.7"/>
        <n v="186.42"/>
        <n v="148.85"/>
        <n v="3909"/>
        <n v="147.5"/>
        <n v="131.35"/>
        <n v="56.75"/>
        <n v="3.35"/>
        <n v="23.26"/>
        <n v="23.19"/>
        <n v="65.75"/>
        <n v="32.68"/>
        <n v="11.26"/>
        <n v="29.95"/>
        <n v="5100"/>
        <n v="141.36000000000001"/>
        <n v="34.22"/>
        <n v="282.70999999999998"/>
        <n v="2544.39"/>
        <n v="29.86"/>
        <n v="462.62"/>
        <n v="505.25"/>
        <n v="1379.52"/>
        <n v="249.75"/>
        <n v="571.85"/>
        <n v="600"/>
        <n v="111.79"/>
        <n v="4047.41"/>
        <n v="990"/>
        <n v="58.47"/>
        <n v="19.559999999999999"/>
        <n v="69.45"/>
        <n v="185.06"/>
        <n v="68.41"/>
        <n v="764.79"/>
        <n v="5.08"/>
        <n v="59.68"/>
        <n v="129.75"/>
        <n v="96.45"/>
        <n v="136.80000000000001"/>
        <n v="106.93"/>
        <n v="91.91"/>
        <n v="126.3"/>
        <n v="57.94"/>
        <n v="41.95"/>
        <n v="400.7"/>
        <n v="40.74"/>
        <n v="46.13"/>
        <n v="181.06"/>
        <n v="44.94"/>
        <n v="74.849999999999994"/>
        <n v="70.42"/>
        <n v="96.25"/>
        <n v="30.75"/>
        <n v="156.19999999999999"/>
        <n v="101.25"/>
        <n v="70.900000000000006"/>
        <n v="63.46"/>
        <n v="225.98"/>
        <n v="59.38"/>
        <n v="157.21"/>
        <n v="256.23"/>
        <n v="8.8000000000000007"/>
        <n v="182.15"/>
        <n v="113.89"/>
        <n v="47.52"/>
        <n v="167.84"/>
        <n v="12.95"/>
        <n v="294.31"/>
        <n v="36.85"/>
        <n v="112.92"/>
        <n v="81.73"/>
        <n v="183.19"/>
        <n v="318.62"/>
        <n v="101.65"/>
        <n v="5.0599999999999996"/>
        <n v="526.63"/>
        <n v="77.95"/>
        <n v="1024.77"/>
        <n v="1076.46"/>
        <n v="1501.66"/>
        <n v="297.89"/>
        <n v="262.48"/>
        <n v="255.93"/>
        <n v="347.34"/>
        <n v="292.12"/>
        <n v="342.22"/>
        <n v="455.09"/>
        <n v="104.61"/>
        <n v="152.85"/>
        <n v="92.79"/>
        <n v="99.22"/>
        <n v="72.489999999999995"/>
        <n v="163.47999999999999"/>
        <n v="66.55"/>
        <n v="66.849999999999994"/>
        <n v="41.59"/>
        <n v="39.44"/>
        <n v="49.11"/>
        <n v="32.61"/>
        <n v="36.979999999999997"/>
        <n v="25.06"/>
        <n v="75.12"/>
        <n v="23.62"/>
        <n v="24.15"/>
        <n v="99.51"/>
        <n v="19.02"/>
        <n v="14.51"/>
        <n v="25.57"/>
        <n v="16.59"/>
        <n v="31.99"/>
        <n v="37.31"/>
        <n v="71.349999999999994"/>
        <n v="130.54"/>
        <n v="17.55"/>
        <n v="17.07"/>
        <n v="40.92"/>
        <n v="23.78"/>
        <n v="44.91"/>
        <n v="35.369999999999997"/>
        <n v="38.64"/>
        <n v="31.55"/>
        <n v="43.38"/>
        <n v="25.47"/>
      </sharedItems>
    </cacheField>
    <cacheField name="Credito" numFmtId="0">
      <sharedItems containsSemiMixedTypes="0" containsString="0" containsNumber="1" minValue="0" maxValue="138667.6" count="612">
        <n v="0"/>
        <n v="275.62"/>
        <n v="298.82"/>
        <n v="981.18"/>
        <n v="142.80000000000001"/>
        <n v="23.32"/>
        <n v="667.86"/>
        <n v="29.35"/>
        <n v="243.28"/>
        <n v="27.32"/>
        <n v="1938.67"/>
        <n v="18084.27"/>
        <n v="221.6"/>
        <n v="49.82"/>
        <n v="219.53"/>
        <n v="26.49"/>
        <n v="53.39"/>
        <n v="221.7"/>
        <n v="17.649999999999999"/>
        <n v="703.1"/>
        <n v="121.12"/>
        <n v="92.12"/>
        <n v="117.21"/>
        <n v="69.81"/>
        <n v="117.66"/>
        <n v="7742.17"/>
        <n v="378.31"/>
        <n v="604.91999999999996"/>
        <n v="13776.33"/>
        <n v="839.97"/>
        <n v="468.25"/>
        <n v="146.65"/>
        <n v="741.73"/>
        <n v="59.61"/>
        <n v="295.66000000000003"/>
        <n v="66.27"/>
        <n v="446.24"/>
        <n v="52.41"/>
        <n v="8299.23"/>
        <n v="116.79"/>
        <n v="63.19"/>
        <n v="28914.81"/>
        <n v="285.3"/>
        <n v="492.05"/>
        <n v="183.42"/>
        <n v="600.89"/>
        <n v="27.46"/>
        <n v="10469.540000000001"/>
        <n v="2827.76"/>
        <n v="108.09"/>
        <n v="11572.06"/>
        <n v="384.59"/>
        <n v="369.1"/>
        <n v="10220.83"/>
        <n v="450.79"/>
        <n v="147.72"/>
        <n v="435.52"/>
        <n v="96.29"/>
        <n v="835.33"/>
        <n v="14128.72"/>
        <n v="3667.4"/>
        <n v="12.37"/>
        <n v="24.92"/>
        <n v="175.7"/>
        <n v="909.37"/>
        <n v="449.02"/>
        <n v="50.9"/>
        <n v="9547.69"/>
        <n v="648.05999999999995"/>
        <n v="68.88"/>
        <n v="596.84"/>
        <n v="307.38"/>
        <n v="2899.26"/>
        <n v="186.53"/>
        <n v="71.959999999999994"/>
        <n v="4838.25"/>
        <n v="339.32"/>
        <n v="153.74"/>
        <n v="554.63"/>
        <n v="81.23"/>
        <n v="16.12"/>
        <n v="87.59"/>
        <n v="8514.23"/>
        <n v="453.02"/>
        <n v="353.33"/>
        <n v="4525.3100000000004"/>
        <n v="509.7"/>
        <n v="183.12"/>
        <n v="4652.25"/>
        <n v="943.52"/>
        <n v="291.97000000000003"/>
        <n v="210.62"/>
        <n v="135.25"/>
        <n v="3718.37"/>
        <n v="57.14"/>
        <n v="98.39"/>
        <n v="6432.96"/>
        <n v="472.53"/>
        <n v="43.87"/>
        <n v="279.20999999999998"/>
        <n v="182.56"/>
        <n v="58.52"/>
        <n v="57.29"/>
        <n v="318.02"/>
        <n v="133.38"/>
        <n v="195.85"/>
        <n v="155.13"/>
        <n v="986.22"/>
        <n v="20550.37"/>
        <n v="860.31"/>
        <n v="43.34"/>
        <n v="234.56"/>
        <n v="25.04"/>
        <n v="29.88"/>
        <n v="72.040000000000006"/>
        <n v="137.41999999999999"/>
        <n v="26.94"/>
        <n v="195.11"/>
        <n v="381.27"/>
        <n v="4185.47"/>
        <n v="190.91"/>
        <n v="34.42"/>
        <n v="409.17"/>
        <n v="228.07"/>
        <n v="372.01"/>
        <n v="16889.43"/>
        <n v="2828.04"/>
        <n v="19323.77"/>
        <n v="1386.2"/>
        <n v="693.29"/>
        <n v="2496.35"/>
        <n v="562.07000000000005"/>
        <n v="29631.119999999999"/>
        <n v="818.92"/>
        <n v="3084.31"/>
        <n v="125050.55"/>
        <n v="18232.189999999999"/>
        <n v="51.99"/>
        <n v="546.02"/>
        <n v="1254.9000000000001"/>
        <n v="61.05"/>
        <n v="3668.11"/>
        <n v="313.83"/>
        <n v="25.94"/>
        <n v="12275.05"/>
        <n v="716.46"/>
        <n v="22.57"/>
        <n v="25.11"/>
        <n v="417.98"/>
        <n v="300.58999999999997"/>
        <n v="107.12"/>
        <n v="22.22"/>
        <n v="411.44"/>
        <n v="15.11"/>
        <n v="286.37"/>
        <n v="44.69"/>
        <n v="13.41"/>
        <n v="282.49"/>
        <n v="136.54"/>
        <n v="901.93"/>
        <n v="241.59"/>
        <n v="129.09"/>
        <n v="60.4"/>
        <n v="95.41"/>
        <n v="26.52"/>
        <n v="14.18"/>
        <n v="67"/>
        <n v="3.15"/>
        <n v="13.25"/>
        <n v="97.05"/>
        <n v="33.1"/>
        <n v="110.8"/>
        <n v="41.95"/>
        <n v="89.6"/>
        <n v="55.15"/>
        <n v="343.85"/>
        <n v="30.75"/>
        <n v="340.5"/>
        <n v="9.1999999999999993"/>
        <n v="117.6"/>
        <n v="13.2"/>
        <n v="123.6"/>
        <n v="247.85"/>
        <n v="38"/>
        <n v="87.57"/>
        <n v="118.25"/>
        <n v="96.05"/>
        <n v="163.19999999999999"/>
        <n v="1100"/>
        <n v="61.9"/>
        <n v="16.149999999999999"/>
        <n v="294.36"/>
        <n v="1224"/>
        <n v="73.45"/>
        <n v="171.25"/>
        <n v="8.4"/>
        <n v="1500"/>
        <n v="213.4"/>
        <n v="104.2"/>
        <n v="74"/>
        <n v="29.7"/>
        <n v="300.33999999999997"/>
        <n v="38.119999999999997"/>
        <n v="32"/>
        <n v="24.1"/>
        <n v="2746.9"/>
        <n v="2252"/>
        <n v="1144"/>
        <n v="78.78"/>
        <n v="452.75"/>
        <n v="436.8"/>
        <n v="1620"/>
        <n v="586.5"/>
        <n v="240.13"/>
        <n v="1487.7"/>
        <n v="84.25"/>
        <n v="8"/>
        <n v="654.14"/>
        <n v="221"/>
        <n v="718"/>
        <n v="48"/>
        <n v="25"/>
        <n v="78.5"/>
        <n v="46.55"/>
        <n v="99.8"/>
        <n v="11.3"/>
        <n v="122.62"/>
        <n v="1544.15"/>
        <n v="22"/>
        <n v="1698.61"/>
        <n v="968"/>
        <n v="550"/>
        <n v="20"/>
        <n v="47.4"/>
        <n v="27.2"/>
        <n v="73.349999999999994"/>
        <n v="23"/>
        <n v="96"/>
        <n v="1544.52"/>
        <n v="346.5"/>
        <n v="584"/>
        <n v="626"/>
        <n v="6.6"/>
        <n v="34.68"/>
        <n v="43.65"/>
        <n v="58.15"/>
        <n v="213"/>
        <n v="522.79999999999995"/>
        <n v="28.35"/>
        <n v="72.5"/>
        <n v="4.2"/>
        <n v="1200"/>
        <n v="72.95"/>
        <n v="15.8"/>
        <n v="11.6"/>
        <n v="60.95"/>
        <n v="6332.8"/>
        <n v="453.63"/>
        <n v="70.75"/>
        <n v="77"/>
        <n v="1629.28"/>
        <n v="24"/>
        <n v="5"/>
        <n v="13255.55"/>
        <n v="23.89"/>
        <n v="50.47"/>
        <n v="334.16"/>
        <n v="7034.18"/>
        <n v="287"/>
        <n v="27734.080000000002"/>
        <n v="772.75"/>
        <n v="114.23"/>
        <n v="200.5"/>
        <n v="1734.36"/>
        <n v="1400.56"/>
        <n v="3913.88"/>
        <n v="1970.01"/>
        <n v="6820.24"/>
        <n v="2223.9299999999998"/>
        <n v="6113.41"/>
        <n v="214.34"/>
        <n v="9430.4"/>
        <n v="1765.77"/>
        <n v="1127.92"/>
        <n v="152.5"/>
        <n v="700.28"/>
        <n v="1208.8699999999999"/>
        <n v="8435.5400000000009"/>
        <n v="34721.699999999997"/>
        <n v="150"/>
        <n v="10217.549999999999"/>
        <n v="520"/>
        <n v="3380.35"/>
        <n v="170"/>
        <n v="8974.73"/>
        <n v="15218.68"/>
        <n v="7747.65"/>
        <n v="4956.46"/>
        <n v="10945.81"/>
        <n v="883.11"/>
        <n v="299.12"/>
        <n v="8574.39"/>
        <n v="62.7"/>
        <n v="113.1"/>
        <n v="59.7"/>
        <n v="869.69"/>
        <n v="54"/>
        <n v="2.5"/>
        <n v="96.1"/>
        <n v="489.8"/>
        <n v="182"/>
        <n v="20.45"/>
        <n v="160.5"/>
        <n v="71.75"/>
        <n v="6.85"/>
        <n v="195"/>
        <n v="243.4"/>
        <n v="253"/>
        <n v="641.25"/>
        <n v="14.35"/>
        <n v="71.25"/>
        <n v="213.96"/>
        <n v="232"/>
        <n v="12.69"/>
        <n v="721.17"/>
        <n v="608"/>
        <n v="27.98"/>
        <n v="1560.09"/>
        <n v="38.97"/>
        <n v="218.73"/>
        <n v="280"/>
        <n v="43.29"/>
        <n v="226.14"/>
        <n v="2776"/>
        <n v="208.82"/>
        <n v="894.71"/>
        <n v="960"/>
        <n v="4232"/>
        <n v="128"/>
        <n v="51.45"/>
        <n v="63.97"/>
        <n v="592"/>
        <n v="80"/>
        <n v="1792"/>
        <n v="184"/>
        <n v="25.99"/>
        <n v="45.97"/>
        <n v="15"/>
        <n v="1416"/>
        <n v="16"/>
        <n v="287.55"/>
        <n v="348.31"/>
        <n v="299.77999999999997"/>
        <n v="66.92"/>
        <n v="210.85"/>
        <n v="40"/>
        <n v="824.94"/>
        <n v="1152"/>
        <n v="192"/>
        <n v="28.5"/>
        <n v="42.85"/>
        <n v="400"/>
        <n v="168"/>
        <n v="127.21"/>
        <n v="1424"/>
        <n v="104"/>
        <n v="123.05"/>
        <n v="240"/>
        <n v="856"/>
        <n v="112"/>
        <n v="45.43"/>
        <n v="24.62"/>
        <n v="64"/>
        <n v="2364"/>
        <n v="80.87"/>
        <n v="41.49"/>
        <n v="591.85"/>
        <n v="3600"/>
        <n v="352"/>
        <n v="39.979999999999997"/>
        <n v="104.35"/>
        <n v="214.26"/>
        <n v="43.32"/>
        <n v="712"/>
        <n v="653.6"/>
        <n v="353.47"/>
        <n v="654.17999999999995"/>
        <n v="195.02"/>
        <n v="395.85"/>
        <n v="201.26"/>
        <n v="70"/>
        <n v="686.36"/>
        <n v="297.57"/>
        <n v="4035.26"/>
        <n v="1066.3399999999999"/>
        <n v="6.28"/>
        <n v="880.25"/>
        <n v="5347.21"/>
        <n v="1293.83"/>
        <n v="640.76"/>
        <n v="3039.58"/>
        <n v="130.24"/>
        <n v="2868.43"/>
        <n v="178.85"/>
        <n v="824.96"/>
        <n v="335.59"/>
        <n v="3806"/>
        <n v="32.049999999999997"/>
        <n v="306.87"/>
        <n v="2933.98"/>
        <n v="47.56"/>
        <n v="918.99"/>
        <n v="3533.74"/>
        <n v="12.78"/>
        <n v="909.75"/>
        <n v="203.9"/>
        <n v="101.74"/>
        <n v="247.66"/>
        <n v="840"/>
        <n v="3872"/>
        <n v="30"/>
        <n v="55.74"/>
        <n v="230.08"/>
        <n v="47"/>
        <n v="332.67"/>
        <n v="154.49"/>
        <n v="311.75"/>
        <n v="11.9"/>
        <n v="35.96"/>
        <n v="48.48"/>
        <n v="74.2"/>
        <n v="64.92"/>
        <n v="70.819999999999993"/>
        <n v="29.26"/>
        <n v="81.260000000000005"/>
        <n v="73.790000000000006"/>
        <n v="119.81"/>
        <n v="46.98"/>
        <n v="60"/>
        <n v="133.84"/>
        <n v="60.47"/>
        <n v="247.61"/>
        <n v="16.05"/>
        <n v="49.98"/>
        <n v="21.21"/>
        <n v="37.47"/>
        <n v="31.98"/>
        <n v="50"/>
        <n v="432.97"/>
        <n v="200"/>
        <n v="41.71"/>
        <n v="6415.82"/>
        <n v="138667.6"/>
        <n v="308.68"/>
        <n v="0.01"/>
        <n v="278.63"/>
        <n v="263.94"/>
        <n v="1304.6199999999999"/>
        <n v="4127"/>
        <n v="348.89"/>
        <n v="806.87"/>
        <n v="333.68"/>
        <n v="2498.0100000000002"/>
        <n v="75"/>
        <n v="420"/>
        <n v="2315.27"/>
        <n v="33.46"/>
        <n v="106.12"/>
        <n v="167.93"/>
        <n v="76.98"/>
        <n v="375.47"/>
        <n v="358.92"/>
        <n v="313.3"/>
        <n v="55.19"/>
        <n v="29.37"/>
        <n v="760.82"/>
        <n v="389.15"/>
        <n v="1392.64"/>
        <n v="321.58"/>
        <n v="1022.8"/>
        <n v="467.32"/>
        <n v="263.70999999999998"/>
        <n v="251.37"/>
        <n v="737.23"/>
        <n v="710.15"/>
        <n v="449.62"/>
        <n v="1634.07"/>
        <n v="359.06"/>
        <n v="599.23"/>
        <n v="591.87"/>
        <n v="248.26"/>
        <n v="582.41"/>
        <n v="801.28"/>
        <n v="325.76"/>
        <n v="571.4"/>
        <n v="446.58"/>
        <n v="835.37"/>
        <n v="1266.1099999999999"/>
        <n v="737.42"/>
        <n v="191.99"/>
        <n v="660.28"/>
        <n v="751.78"/>
        <n v="299.69"/>
        <n v="291.83"/>
        <n v="853.49"/>
        <n v="245.94"/>
        <n v="1003.81"/>
        <n v="489.3"/>
        <n v="136"/>
        <n v="402.31"/>
        <n v="488"/>
        <n v="338.72"/>
        <n v="685.47"/>
        <n v="314.81"/>
        <n v="842.72"/>
        <n v="250.78"/>
        <n v="34.64"/>
        <n v="1026.32"/>
        <n v="828.22"/>
        <n v="564.02"/>
        <n v="521.47"/>
        <n v="207.06"/>
        <n v="421.1"/>
        <n v="388.61"/>
        <n v="315.25"/>
        <n v="803.33"/>
        <n v="655.20000000000005"/>
        <n v="405.23"/>
        <n v="407.49"/>
        <n v="389.26"/>
        <n v="554.47"/>
        <n v="388"/>
        <n v="460.74"/>
        <n v="428.77"/>
        <n v="65.94"/>
        <n v="2785.65"/>
        <n v="52"/>
        <n v="292.89"/>
        <n v="706.98"/>
        <n v="2024.77"/>
        <n v="807.13"/>
        <n v="2116.38"/>
        <n v="555.79999999999995"/>
        <n v="7170.13"/>
        <n v="3530.96"/>
        <n v="4275.12"/>
        <n v="1027.56"/>
        <n v="979.14"/>
        <n v="2262.7600000000002"/>
        <n v="1250.5"/>
        <n v="8748.9599999999991"/>
        <n v="4787.0600000000004"/>
        <n v="5238.29"/>
        <n v="547.37"/>
        <n v="772.87"/>
        <n v="2880.13"/>
        <n v="2918.42"/>
        <n v="1616.16"/>
        <n v="287.02"/>
        <n v="1032.75"/>
        <n v="6997.73"/>
        <n v="97.08"/>
        <n v="131.24"/>
        <n v="3166.57"/>
        <n v="1151"/>
        <n v="569.9"/>
        <n v="454.99"/>
        <n v="269.43"/>
        <n v="659.3"/>
        <n v="109.7"/>
        <n v="247.67"/>
        <n v="645.97"/>
        <n v="220.13"/>
        <n v="395.86"/>
        <n v="248.23"/>
        <n v="643.86"/>
        <n v="74.75"/>
        <n v="223.74"/>
        <n v="30.77"/>
        <n v="25.5"/>
        <n v="36"/>
        <n v="220"/>
        <n v="183.93"/>
        <n v="57"/>
        <n v="92.1"/>
        <n v="2.4"/>
        <n v="382.02"/>
        <n v="2723.68"/>
        <n v="342.3"/>
        <n v="191.9"/>
        <n v="614.4"/>
        <n v="26.78"/>
        <n v="0.6"/>
        <n v="719.44"/>
        <n v="14"/>
        <n v="297.8"/>
        <n v="61.6"/>
        <n v="93.15"/>
        <n v="10"/>
        <n v="33.36"/>
        <n v="119.9"/>
        <n v="129.9"/>
        <n v="20.25"/>
        <n v="21.98"/>
        <n v="68.680000000000007"/>
        <n v="13600"/>
        <n v="6000"/>
        <n v="10400"/>
        <n v="0.17"/>
        <n v="2550"/>
        <n v="990"/>
        <n v="16.59"/>
      </sharedItems>
    </cacheField>
    <cacheField name="Sucursal" numFmtId="0">
      <sharedItems count="79">
        <s v="CASA MATRIZ"/>
        <s v="PAITILLA"/>
        <s v="EL DORADO"/>
        <s v="VIA ARGENTINA"/>
        <s v="VIA PORRAS"/>
        <s v="EL INGENIO"/>
        <s v="CHANIS"/>
        <s v="PLAZA TOCUMEN"/>
        <s v="SANTIAGO"/>
        <s v="OBARRIO"/>
        <s v="HATO PINTADO"/>
        <s v="RIO ABAJO"/>
        <s v="LA CHORRERA"/>
        <s v="AVENIDA CENTRAL"/>
        <s v="LOS ANGELES"/>
        <s v="VILLA LUCRE"/>
        <s v="LOS ANDES"/>
        <s v="VIA ESPANA"/>
        <s v="AVENIDA CUBA"/>
        <s v="CHITRE"/>
        <s v="LOS PUEBLOS"/>
        <s v="TRANSISTMICA"/>
        <s v="PLAZA GALAPAGO"/>
        <s v="PARQUE LEFEVRE"/>
        <s v="DAVID"/>
        <s v="PLAZA LAS AMERICAS"/>
        <s v="CORONADO"/>
        <s v="ALBROOK MALL"/>
        <s v="PANAMA PACIFICO"/>
        <s v="ALBROOK"/>
        <s v="SUCURSAL DE VISTA ALEGRE"/>
        <s v="LAS TABLAS"/>
        <s v="24 DE DICIEMBRE"/>
        <s v="DAVID - TERRONAL"/>
        <s v="COSTA DEL ESTE"/>
        <s v="MULTI PLAZA"/>
        <s v="TERMINAL DE ALBROOK"/>
        <s v="CONCEPCION"/>
        <s v="BOQUETE"/>
        <s v="BRISAS DEL GOLF"/>
        <s v="PUENTE CENTENARIO"/>
        <s v="METROMALL"/>
        <s v="ALTOS DE PANAMA"/>
        <s v="VERSALLES"/>
        <s v="BUSINESS PARK"/>
        <s v="SAN FRANCISCO"/>
        <s v="PLAZA BANCO GENERAL"/>
        <s v="LA CHORRERA - PARQUE 10 DE NOV."/>
        <s v="COSTA DEL ESTE - CENTENARIO"/>
        <s v="CLAYTON"/>
        <s v="MARBELLA"/>
        <s v="PLAZA CAROLINA"/>
        <s v="PLAZA CORDOBA"/>
        <s v="VIA SIMON BOLIVAR"/>
        <s v="JUSTO AROSEMENA"/>
        <s v="NEGOCIOS"/>
        <s v="BOULEVARD EL DORADO"/>
        <s v="SAN SEBASTIAN"/>
        <s v="SANTIAGO INTERAMERICANA"/>
        <s v="CIUDAD DEL SABER"/>
        <s v="VILLA ZAITA"/>
        <s v="AZUERO TERMINAL PLAZA"/>
        <s v="TOWN CENTER COSTA DEL ESTE"/>
        <s v="COSTA VERDE"/>
        <s v="PLAZA LOS ANGELES"/>
        <s v="SAN MATEO"/>
        <s v="BRISAS DEL GOLF ARRAIJAN"/>
        <s v="PASEO ARRAIJAN"/>
        <s v="PLAZA NUEVO TOCUMEN"/>
        <s v="SANTA MARIA"/>
        <s v="COLON"/>
        <s v="AUTOBANCO SAN FRANCISCO"/>
        <s v="ZONA LIBRE"/>
        <s v="PENONOME"/>
        <s v="AGUADULCE"/>
        <s v="SABANITAS"/>
        <s v="AUTOBANCO VIA PORRAS 2"/>
        <s v="HOSPITAL PUNTA PACIFICA"/>
        <s v="CASCO VIEJO"/>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xel Amaya" refreshedDate="43704.464467361111" createdVersion="5" refreshedVersion="5" minRefreshableVersion="3" recordCount="8161" xr:uid="{00000000-000A-0000-FFFF-FFFF03000000}">
  <cacheSource type="external" connectionId="3"/>
  <cacheFields count="12">
    <cacheField name="Oficina" numFmtId="0">
      <sharedItems containsSemiMixedTypes="0" containsString="0" containsNumber="1" containsInteger="1" minValue="1" maxValue="196"/>
    </cacheField>
    <cacheField name="Fecha" numFmtId="0">
      <sharedItems containsSemiMixedTypes="0" containsNonDate="0" containsDate="1" containsString="0" minDate="2018-06-01T00:00:00" maxDate="2019-08-01T00:00:00"/>
    </cacheField>
    <cacheField name="MesNum" numFmtId="0">
      <sharedItems containsSemiMixedTypes="0" containsString="0" containsNumber="1" containsInteger="1" minValue="1" maxValue="12" count="12">
        <n v="10"/>
        <n v="12"/>
        <n v="6"/>
        <n v="8"/>
        <n v="9"/>
        <n v="11"/>
        <n v="7"/>
        <n v="1"/>
        <n v="2"/>
        <n v="3"/>
        <n v="4"/>
        <n v="5"/>
      </sharedItems>
    </cacheField>
    <cacheField name="Mes" numFmtId="0">
      <sharedItems count="12">
        <s v="octubre"/>
        <s v="diciembre"/>
        <s v="junio"/>
        <s v="agosto"/>
        <s v="septiembre"/>
        <s v="noviembre"/>
        <s v="julio"/>
        <s v="enero"/>
        <s v="febrero"/>
        <s v="marzo"/>
        <s v="abril"/>
        <s v="mayo"/>
      </sharedItems>
    </cacheField>
    <cacheField name="Año" numFmtId="0">
      <sharedItems containsSemiMixedTypes="0" containsString="0" containsNumber="1" containsInteger="1" minValue="2018" maxValue="2019" count="2">
        <n v="2018"/>
        <n v="2019"/>
      </sharedItems>
    </cacheField>
    <cacheField name="Area" numFmtId="0">
      <sharedItems/>
    </cacheField>
    <cacheField name="Asiento" numFmtId="0">
      <sharedItems/>
    </cacheField>
    <cacheField name="Comprobante" numFmtId="0">
      <sharedItems/>
    </cacheField>
    <cacheField name="Debito" numFmtId="0">
      <sharedItems containsSemiMixedTypes="0" containsString="0" containsNumber="1" minValue="0" maxValue="48000"/>
    </cacheField>
    <cacheField name="Credito" numFmtId="0">
      <sharedItems containsSemiMixedTypes="0" containsString="0" containsNumber="1" minValue="0" maxValue="138667.6"/>
    </cacheField>
    <cacheField name="Sucursal" numFmtId="0">
      <sharedItems/>
    </cacheField>
    <cacheField name="Cuenta" numFmtId="0">
      <sharedItems count="5">
        <s v="HORAS EXTRAS"/>
        <s v="VIATICOS"/>
        <s v="ALIMENTACION DE EMPLEADOS"/>
        <s v="RECONOCIMIENTOS"/>
        <s v="GASTOS NO DEDUCIBLES"/>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xel Amaya" refreshedDate="43704.507143634262" createdVersion="5" refreshedVersion="5" minRefreshableVersion="3" recordCount="912" xr:uid="{00000000-000A-0000-FFFF-FFFF04000000}">
  <cacheSource type="external" connectionId="1"/>
  <cacheFields count="6">
    <cacheField name="Oficina" numFmtId="0">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Cuenta" numFmtId="0">
      <sharedItems containsSemiMixedTypes="0" containsString="0" containsNumber="1" containsInteger="1" minValue="1" maxValue="504012201" count="6">
        <n v="1"/>
        <n v="5040102"/>
        <n v="5040113"/>
        <n v="5041001"/>
        <n v="504012001"/>
        <n v="504012201"/>
      </sharedItems>
    </cacheField>
    <cacheField name="Descripcion" numFmtId="0">
      <sharedItems count="6">
        <s v="BRINDIS DE PARTICIPACIÓN"/>
        <s v="HORAS EXTRAS"/>
        <s v="VIATICOS"/>
        <s v="CELEBRACIONES "/>
        <s v="ALIMENTACIÓN"/>
        <s v="RECONOCIMIENTO "/>
      </sharedItems>
    </cacheField>
    <cacheField name="Balance" numFmtId="0">
      <sharedItems containsString="0" containsBlank="1" containsNumber="1" minValue="-1075.98" maxValue="6513.8500000000076"/>
    </cacheField>
    <cacheField name="Plan" numFmtId="0">
      <sharedItems containsSemiMixedTypes="0" containsString="0" containsNumber="1" minValue="0" maxValue="51422.146200000003"/>
    </cacheField>
    <cacheField name="Año" numFmtId="0">
      <sharedItems containsSemiMixedTypes="0" containsString="0" containsNumber="1" containsInteger="1" minValue="2018" maxValue="2019" count="2">
        <n v="2018"/>
        <n v="201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6">
  <r>
    <x v="0"/>
    <x v="0"/>
    <x v="0"/>
    <m/>
    <n v="170"/>
    <x v="0"/>
  </r>
  <r>
    <x v="0"/>
    <x v="1"/>
    <x v="1"/>
    <n v="55.37"/>
    <n v="85.441999999999993"/>
    <x v="0"/>
  </r>
  <r>
    <x v="0"/>
    <x v="2"/>
    <x v="2"/>
    <n v="10.35"/>
    <n v="103.2723"/>
    <x v="0"/>
  </r>
  <r>
    <x v="0"/>
    <x v="3"/>
    <x v="3"/>
    <n v="136.56"/>
    <n v="900"/>
    <x v="0"/>
  </r>
  <r>
    <x v="0"/>
    <x v="4"/>
    <x v="4"/>
    <n v="111.13"/>
    <n v="666.78700000000003"/>
    <x v="0"/>
  </r>
  <r>
    <x v="0"/>
    <x v="5"/>
    <x v="5"/>
    <m/>
    <n v="50"/>
    <x v="0"/>
  </r>
  <r>
    <x v="1"/>
    <x v="0"/>
    <x v="0"/>
    <m/>
    <n v="116"/>
    <x v="0"/>
  </r>
  <r>
    <x v="1"/>
    <x v="1"/>
    <x v="1"/>
    <n v="111.25"/>
    <n v="959.08249999999998"/>
    <x v="0"/>
  </r>
  <r>
    <x v="1"/>
    <x v="2"/>
    <x v="2"/>
    <m/>
    <n v="17.222200000000001"/>
    <x v="0"/>
  </r>
  <r>
    <x v="1"/>
    <x v="3"/>
    <x v="3"/>
    <m/>
    <n v="612"/>
    <x v="0"/>
  </r>
  <r>
    <x v="1"/>
    <x v="4"/>
    <x v="4"/>
    <n v="16"/>
    <n v="341.464"/>
    <x v="0"/>
  </r>
  <r>
    <x v="1"/>
    <x v="5"/>
    <x v="5"/>
    <m/>
    <n v="50"/>
    <x v="0"/>
  </r>
  <r>
    <x v="2"/>
    <x v="0"/>
    <x v="0"/>
    <m/>
    <n v="184"/>
    <x v="0"/>
  </r>
  <r>
    <x v="2"/>
    <x v="1"/>
    <x v="1"/>
    <n v="60.69"/>
    <n v="356.85210000000001"/>
    <x v="0"/>
  </r>
  <r>
    <x v="2"/>
    <x v="2"/>
    <x v="2"/>
    <n v="9.1999999999999993"/>
    <n v="82.199299999999994"/>
    <x v="0"/>
  </r>
  <r>
    <x v="2"/>
    <x v="3"/>
    <x v="3"/>
    <n v="202.5"/>
    <n v="972"/>
    <x v="0"/>
  </r>
  <r>
    <x v="2"/>
    <x v="4"/>
    <x v="4"/>
    <m/>
    <n v="813.77380000000005"/>
    <x v="0"/>
  </r>
  <r>
    <x v="2"/>
    <x v="5"/>
    <x v="5"/>
    <m/>
    <n v="132"/>
    <x v="0"/>
  </r>
  <r>
    <x v="3"/>
    <x v="0"/>
    <x v="0"/>
    <m/>
    <n v="123"/>
    <x v="0"/>
  </r>
  <r>
    <x v="3"/>
    <x v="1"/>
    <x v="1"/>
    <m/>
    <n v="300.6003"/>
    <x v="0"/>
  </r>
  <r>
    <x v="3"/>
    <x v="2"/>
    <x v="2"/>
    <n v="4.2"/>
    <n v="20.626000000000001"/>
    <x v="0"/>
  </r>
  <r>
    <x v="3"/>
    <x v="3"/>
    <x v="3"/>
    <m/>
    <n v="648"/>
    <x v="0"/>
  </r>
  <r>
    <x v="3"/>
    <x v="4"/>
    <x v="4"/>
    <m/>
    <n v="17.971800000000002"/>
    <x v="0"/>
  </r>
  <r>
    <x v="3"/>
    <x v="5"/>
    <x v="5"/>
    <m/>
    <n v="50"/>
    <x v="0"/>
  </r>
  <r>
    <x v="4"/>
    <x v="0"/>
    <x v="0"/>
    <m/>
    <n v="333"/>
    <x v="0"/>
  </r>
  <r>
    <x v="4"/>
    <x v="1"/>
    <x v="1"/>
    <n v="1609.63"/>
    <n v="25629.205399999999"/>
    <x v="0"/>
  </r>
  <r>
    <x v="4"/>
    <x v="2"/>
    <x v="2"/>
    <n v="20.2"/>
    <n v="121.7748"/>
    <x v="0"/>
  </r>
  <r>
    <x v="4"/>
    <x v="3"/>
    <x v="3"/>
    <n v="211"/>
    <n v="1764"/>
    <x v="0"/>
  </r>
  <r>
    <x v="4"/>
    <x v="4"/>
    <x v="4"/>
    <n v="185"/>
    <n v="1174.5012999999999"/>
    <x v="0"/>
  </r>
  <r>
    <x v="4"/>
    <x v="5"/>
    <x v="5"/>
    <m/>
    <n v="210"/>
    <x v="0"/>
  </r>
  <r>
    <x v="5"/>
    <x v="0"/>
    <x v="0"/>
    <m/>
    <n v="89"/>
    <x v="0"/>
  </r>
  <r>
    <x v="5"/>
    <x v="1"/>
    <x v="1"/>
    <n v="74.960000000000008"/>
    <n v="202.70830000000001"/>
    <x v="0"/>
  </r>
  <r>
    <x v="5"/>
    <x v="2"/>
    <x v="2"/>
    <n v="18.399999999999999"/>
    <n v="46.535600000000002"/>
    <x v="0"/>
  </r>
  <r>
    <x v="5"/>
    <x v="3"/>
    <x v="3"/>
    <n v="63.77"/>
    <n v="468"/>
    <x v="0"/>
  </r>
  <r>
    <x v="5"/>
    <x v="4"/>
    <x v="4"/>
    <n v="8"/>
    <n v="8.9859000000000009"/>
    <x v="0"/>
  </r>
  <r>
    <x v="5"/>
    <x v="5"/>
    <x v="5"/>
    <m/>
    <n v="50"/>
    <x v="0"/>
  </r>
  <r>
    <x v="6"/>
    <x v="0"/>
    <x v="0"/>
    <m/>
    <n v="68"/>
    <x v="0"/>
  </r>
  <r>
    <x v="6"/>
    <x v="1"/>
    <x v="1"/>
    <m/>
    <n v="528.49220000000003"/>
    <x v="0"/>
  </r>
  <r>
    <x v="6"/>
    <x v="2"/>
    <x v="2"/>
    <n v="21.2"/>
    <n v="61.37"/>
    <x v="0"/>
  </r>
  <r>
    <x v="6"/>
    <x v="3"/>
    <x v="3"/>
    <m/>
    <n v="360"/>
    <x v="0"/>
  </r>
  <r>
    <x v="6"/>
    <x v="4"/>
    <x v="4"/>
    <m/>
    <n v="158.99420000000001"/>
    <x v="0"/>
  </r>
  <r>
    <x v="6"/>
    <x v="5"/>
    <x v="5"/>
    <m/>
    <n v="50"/>
    <x v="0"/>
  </r>
  <r>
    <x v="7"/>
    <x v="0"/>
    <x v="0"/>
    <m/>
    <n v="109"/>
    <x v="0"/>
  </r>
  <r>
    <x v="7"/>
    <x v="1"/>
    <x v="1"/>
    <n v="52.73"/>
    <n v="105.6508"/>
    <x v="0"/>
  </r>
  <r>
    <x v="7"/>
    <x v="2"/>
    <x v="2"/>
    <n v="2.1"/>
    <n v="56.086500000000001"/>
    <x v="0"/>
  </r>
  <r>
    <x v="7"/>
    <x v="3"/>
    <x v="3"/>
    <n v="14.25"/>
    <n v="576"/>
    <x v="0"/>
  </r>
  <r>
    <x v="7"/>
    <x v="4"/>
    <x v="4"/>
    <n v="104"/>
    <n v="1377.8633"/>
    <x v="0"/>
  </r>
  <r>
    <x v="7"/>
    <x v="5"/>
    <x v="5"/>
    <m/>
    <n v="50"/>
    <x v="0"/>
  </r>
  <r>
    <x v="8"/>
    <x v="0"/>
    <x v="0"/>
    <m/>
    <n v="150"/>
    <x v="0"/>
  </r>
  <r>
    <x v="8"/>
    <x v="1"/>
    <x v="1"/>
    <n v="6.66"/>
    <n v="701.10500000000002"/>
    <x v="0"/>
  </r>
  <r>
    <x v="8"/>
    <x v="2"/>
    <x v="2"/>
    <n v="16"/>
    <n v="837.33510000000001"/>
    <x v="0"/>
  </r>
  <r>
    <x v="8"/>
    <x v="3"/>
    <x v="3"/>
    <n v="218.04"/>
    <n v="792"/>
    <x v="0"/>
  </r>
  <r>
    <x v="8"/>
    <x v="4"/>
    <x v="4"/>
    <m/>
    <n v="34.191299999999998"/>
    <x v="0"/>
  </r>
  <r>
    <x v="8"/>
    <x v="5"/>
    <x v="5"/>
    <m/>
    <n v="50"/>
    <x v="0"/>
  </r>
  <r>
    <x v="9"/>
    <x v="0"/>
    <x v="0"/>
    <m/>
    <n v="191"/>
    <x v="0"/>
  </r>
  <r>
    <x v="9"/>
    <x v="1"/>
    <x v="1"/>
    <n v="618.04"/>
    <n v="7640.5749999999998"/>
    <x v="0"/>
  </r>
  <r>
    <x v="9"/>
    <x v="2"/>
    <x v="2"/>
    <n v="10.25"/>
    <n v="17.831900000000001"/>
    <x v="0"/>
  </r>
  <r>
    <x v="9"/>
    <x v="3"/>
    <x v="3"/>
    <m/>
    <n v="1008"/>
    <x v="0"/>
  </r>
  <r>
    <x v="9"/>
    <x v="4"/>
    <x v="4"/>
    <n v="40"/>
    <n v="548.1395"/>
    <x v="0"/>
  </r>
  <r>
    <x v="9"/>
    <x v="5"/>
    <x v="5"/>
    <m/>
    <n v="50"/>
    <x v="0"/>
  </r>
  <r>
    <x v="10"/>
    <x v="0"/>
    <x v="0"/>
    <m/>
    <n v="123"/>
    <x v="0"/>
  </r>
  <r>
    <x v="10"/>
    <x v="1"/>
    <x v="1"/>
    <m/>
    <n v="0"/>
    <x v="0"/>
  </r>
  <r>
    <x v="10"/>
    <x v="2"/>
    <x v="2"/>
    <m/>
    <n v="58.829900000000002"/>
    <x v="0"/>
  </r>
  <r>
    <x v="10"/>
    <x v="3"/>
    <x v="3"/>
    <m/>
    <n v="648"/>
    <x v="0"/>
  </r>
  <r>
    <x v="10"/>
    <x v="4"/>
    <x v="4"/>
    <m/>
    <n v="700.89970000000005"/>
    <x v="0"/>
  </r>
  <r>
    <x v="10"/>
    <x v="5"/>
    <x v="5"/>
    <m/>
    <n v="50"/>
    <x v="0"/>
  </r>
  <r>
    <x v="11"/>
    <x v="0"/>
    <x v="0"/>
    <m/>
    <n v="191"/>
    <x v="0"/>
  </r>
  <r>
    <x v="11"/>
    <x v="1"/>
    <x v="1"/>
    <n v="1448.55"/>
    <n v="20399.734899999999"/>
    <x v="0"/>
  </r>
  <r>
    <x v="11"/>
    <x v="2"/>
    <x v="2"/>
    <n v="13.1"/>
    <n v="95.560500000000005"/>
    <x v="0"/>
  </r>
  <r>
    <x v="11"/>
    <x v="3"/>
    <x v="3"/>
    <n v="152.08000000000001"/>
    <n v="1008"/>
    <x v="0"/>
  </r>
  <r>
    <x v="11"/>
    <x v="4"/>
    <x v="4"/>
    <n v="408"/>
    <n v="4319.2208000000001"/>
    <x v="0"/>
  </r>
  <r>
    <x v="11"/>
    <x v="5"/>
    <x v="5"/>
    <m/>
    <n v="50"/>
    <x v="0"/>
  </r>
  <r>
    <x v="12"/>
    <x v="0"/>
    <x v="0"/>
    <m/>
    <n v="82"/>
    <x v="0"/>
  </r>
  <r>
    <x v="12"/>
    <x v="1"/>
    <x v="1"/>
    <m/>
    <n v="481.5992"/>
    <x v="0"/>
  </r>
  <r>
    <x v="12"/>
    <x v="2"/>
    <x v="2"/>
    <m/>
    <n v="18.238299999999999"/>
    <x v="0"/>
  </r>
  <r>
    <x v="12"/>
    <x v="3"/>
    <x v="3"/>
    <n v="102.39"/>
    <n v="432"/>
    <x v="0"/>
  </r>
  <r>
    <x v="12"/>
    <x v="4"/>
    <x v="4"/>
    <m/>
    <n v="8.9859000000000009"/>
    <x v="0"/>
  </r>
  <r>
    <x v="12"/>
    <x v="5"/>
    <x v="5"/>
    <m/>
    <n v="50"/>
    <x v="0"/>
  </r>
  <r>
    <x v="13"/>
    <x v="0"/>
    <x v="0"/>
    <m/>
    <n v="96"/>
    <x v="0"/>
  </r>
  <r>
    <x v="13"/>
    <x v="1"/>
    <x v="1"/>
    <m/>
    <n v="444.05349999999999"/>
    <x v="0"/>
  </r>
  <r>
    <x v="13"/>
    <x v="2"/>
    <x v="2"/>
    <n v="47"/>
    <n v="186.19300000000001"/>
    <x v="0"/>
  </r>
  <r>
    <x v="13"/>
    <x v="3"/>
    <x v="3"/>
    <n v="28.82"/>
    <n v="504"/>
    <x v="0"/>
  </r>
  <r>
    <x v="13"/>
    <x v="4"/>
    <x v="4"/>
    <n v="48.07"/>
    <n v="211.50550000000001"/>
    <x v="0"/>
  </r>
  <r>
    <x v="13"/>
    <x v="5"/>
    <x v="5"/>
    <m/>
    <n v="50"/>
    <x v="0"/>
  </r>
  <r>
    <x v="14"/>
    <x v="0"/>
    <x v="0"/>
    <m/>
    <n v="96"/>
    <x v="0"/>
  </r>
  <r>
    <x v="14"/>
    <x v="1"/>
    <x v="1"/>
    <m/>
    <n v="299.28480000000002"/>
    <x v="0"/>
  </r>
  <r>
    <x v="14"/>
    <x v="2"/>
    <x v="2"/>
    <m/>
    <n v="60.252400000000002"/>
    <x v="0"/>
  </r>
  <r>
    <x v="14"/>
    <x v="3"/>
    <x v="3"/>
    <m/>
    <n v="504"/>
    <x v="0"/>
  </r>
  <r>
    <x v="14"/>
    <x v="4"/>
    <x v="4"/>
    <m/>
    <n v="71.887200000000007"/>
    <x v="0"/>
  </r>
  <r>
    <x v="14"/>
    <x v="5"/>
    <x v="5"/>
    <m/>
    <n v="50"/>
    <x v="0"/>
  </r>
  <r>
    <x v="15"/>
    <x v="0"/>
    <x v="0"/>
    <m/>
    <n v="96"/>
    <x v="0"/>
  </r>
  <r>
    <x v="15"/>
    <x v="1"/>
    <x v="1"/>
    <n v="35.53"/>
    <n v="761.41790000000003"/>
    <x v="0"/>
  </r>
  <r>
    <x v="15"/>
    <x v="2"/>
    <x v="2"/>
    <m/>
    <n v="105.5686"/>
    <x v="0"/>
  </r>
  <r>
    <x v="15"/>
    <x v="3"/>
    <x v="3"/>
    <n v="49.46"/>
    <n v="504"/>
    <x v="0"/>
  </r>
  <r>
    <x v="15"/>
    <x v="4"/>
    <x v="4"/>
    <m/>
    <n v="119.3888"/>
    <x v="0"/>
  </r>
  <r>
    <x v="15"/>
    <x v="5"/>
    <x v="5"/>
    <m/>
    <n v="60"/>
    <x v="0"/>
  </r>
  <r>
    <x v="16"/>
    <x v="0"/>
    <x v="0"/>
    <m/>
    <n v="204"/>
    <x v="0"/>
  </r>
  <r>
    <x v="16"/>
    <x v="1"/>
    <x v="1"/>
    <n v="743.16000000000008"/>
    <n v="13544.5077"/>
    <x v="0"/>
  </r>
  <r>
    <x v="16"/>
    <x v="2"/>
    <x v="2"/>
    <m/>
    <n v="97.389399999999995"/>
    <x v="0"/>
  </r>
  <r>
    <x v="16"/>
    <x v="3"/>
    <x v="3"/>
    <n v="126.25"/>
    <n v="1080"/>
    <x v="0"/>
  </r>
  <r>
    <x v="16"/>
    <x v="4"/>
    <x v="4"/>
    <n v="155.04"/>
    <n v="2541.9746"/>
    <x v="0"/>
  </r>
  <r>
    <x v="16"/>
    <x v="5"/>
    <x v="5"/>
    <m/>
    <n v="144"/>
    <x v="0"/>
  </r>
  <r>
    <x v="17"/>
    <x v="0"/>
    <x v="0"/>
    <m/>
    <n v="197"/>
    <x v="0"/>
  </r>
  <r>
    <x v="17"/>
    <x v="1"/>
    <x v="1"/>
    <n v="2909.6400000000003"/>
    <n v="25711.073100000001"/>
    <x v="0"/>
  </r>
  <r>
    <x v="17"/>
    <x v="2"/>
    <x v="2"/>
    <n v="5.55"/>
    <n v="96.779700000000005"/>
    <x v="0"/>
  </r>
  <r>
    <x v="17"/>
    <x v="3"/>
    <x v="3"/>
    <m/>
    <n v="1044"/>
    <x v="0"/>
  </r>
  <r>
    <x v="17"/>
    <x v="4"/>
    <x v="4"/>
    <n v="504"/>
    <n v="3404.5691000000002"/>
    <x v="0"/>
  </r>
  <r>
    <x v="17"/>
    <x v="5"/>
    <x v="5"/>
    <m/>
    <n v="132"/>
    <x v="0"/>
  </r>
  <r>
    <x v="18"/>
    <x v="0"/>
    <x v="0"/>
    <m/>
    <n v="109"/>
    <x v="0"/>
  </r>
  <r>
    <x v="18"/>
    <x v="1"/>
    <x v="1"/>
    <m/>
    <n v="446.2167"/>
    <x v="0"/>
  </r>
  <r>
    <x v="18"/>
    <x v="2"/>
    <x v="2"/>
    <n v="11.5"/>
    <n v="60.506399999999999"/>
    <x v="0"/>
  </r>
  <r>
    <x v="18"/>
    <x v="3"/>
    <x v="3"/>
    <n v="29.96"/>
    <n v="576"/>
    <x v="0"/>
  </r>
  <r>
    <x v="18"/>
    <x v="4"/>
    <x v="4"/>
    <m/>
    <n v="18.275099999999998"/>
    <x v="0"/>
  </r>
  <r>
    <x v="18"/>
    <x v="5"/>
    <x v="5"/>
    <m/>
    <n v="84"/>
    <x v="0"/>
  </r>
  <r>
    <x v="19"/>
    <x v="0"/>
    <x v="0"/>
    <m/>
    <n v="109"/>
    <x v="0"/>
  </r>
  <r>
    <x v="19"/>
    <x v="1"/>
    <x v="1"/>
    <m/>
    <n v="596.98389999999995"/>
    <x v="0"/>
  </r>
  <r>
    <x v="19"/>
    <x v="2"/>
    <x v="2"/>
    <m/>
    <n v="25.401499999999999"/>
    <x v="0"/>
  </r>
  <r>
    <x v="19"/>
    <x v="3"/>
    <x v="3"/>
    <m/>
    <n v="576"/>
    <x v="0"/>
  </r>
  <r>
    <x v="19"/>
    <x v="4"/>
    <x v="4"/>
    <m/>
    <n v="195.83629999999999"/>
    <x v="0"/>
  </r>
  <r>
    <x v="19"/>
    <x v="5"/>
    <x v="5"/>
    <m/>
    <n v="96"/>
    <x v="0"/>
  </r>
  <r>
    <x v="20"/>
    <x v="0"/>
    <x v="0"/>
    <m/>
    <n v="177"/>
    <x v="0"/>
  </r>
  <r>
    <x v="20"/>
    <x v="1"/>
    <x v="1"/>
    <n v="520.71"/>
    <n v="3598.1161000000002"/>
    <x v="0"/>
  </r>
  <r>
    <x v="20"/>
    <x v="2"/>
    <x v="2"/>
    <n v="36.099999999999994"/>
    <n v="3191.4650999999999"/>
    <x v="0"/>
  </r>
  <r>
    <x v="20"/>
    <x v="3"/>
    <x v="3"/>
    <m/>
    <n v="936"/>
    <x v="0"/>
  </r>
  <r>
    <x v="20"/>
    <x v="4"/>
    <x v="4"/>
    <m/>
    <n v="110.13339999999999"/>
    <x v="0"/>
  </r>
  <r>
    <x v="20"/>
    <x v="5"/>
    <x v="5"/>
    <m/>
    <n v="120"/>
    <x v="0"/>
  </r>
  <r>
    <x v="21"/>
    <x v="0"/>
    <x v="0"/>
    <m/>
    <n v="231"/>
    <x v="0"/>
  </r>
  <r>
    <x v="21"/>
    <x v="1"/>
    <x v="1"/>
    <n v="863.41"/>
    <n v="12516.1867"/>
    <x v="0"/>
  </r>
  <r>
    <x v="21"/>
    <x v="2"/>
    <x v="2"/>
    <n v="11.100000000000001"/>
    <n v="88.651200000000003"/>
    <x v="0"/>
  </r>
  <r>
    <x v="21"/>
    <x v="3"/>
    <x v="3"/>
    <n v="84.6"/>
    <n v="1224"/>
    <x v="0"/>
  </r>
  <r>
    <x v="21"/>
    <x v="4"/>
    <x v="4"/>
    <n v="80"/>
    <n v="203.22720000000001"/>
    <x v="0"/>
  </r>
  <r>
    <x v="21"/>
    <x v="5"/>
    <x v="5"/>
    <m/>
    <n v="168"/>
    <x v="0"/>
  </r>
  <r>
    <x v="22"/>
    <x v="0"/>
    <x v="0"/>
    <m/>
    <n v="0"/>
    <x v="0"/>
  </r>
  <r>
    <x v="22"/>
    <x v="1"/>
    <x v="1"/>
    <m/>
    <n v="0"/>
    <x v="0"/>
  </r>
  <r>
    <x v="22"/>
    <x v="2"/>
    <x v="2"/>
    <m/>
    <n v="0"/>
    <x v="0"/>
  </r>
  <r>
    <x v="22"/>
    <x v="3"/>
    <x v="3"/>
    <m/>
    <n v="0"/>
    <x v="0"/>
  </r>
  <r>
    <x v="22"/>
    <x v="4"/>
    <x v="4"/>
    <m/>
    <n v="0"/>
    <x v="0"/>
  </r>
  <r>
    <x v="22"/>
    <x v="5"/>
    <x v="5"/>
    <m/>
    <n v="0"/>
    <x v="0"/>
  </r>
  <r>
    <x v="23"/>
    <x v="0"/>
    <x v="0"/>
    <m/>
    <n v="204"/>
    <x v="0"/>
  </r>
  <r>
    <x v="23"/>
    <x v="1"/>
    <x v="1"/>
    <n v="2179.4499999999998"/>
    <n v="6660.4917999999998"/>
    <x v="0"/>
  </r>
  <r>
    <x v="23"/>
    <x v="2"/>
    <x v="2"/>
    <m/>
    <n v="35.003300000000003"/>
    <x v="0"/>
  </r>
  <r>
    <x v="23"/>
    <x v="3"/>
    <x v="3"/>
    <n v="169.85"/>
    <n v="1080"/>
    <x v="0"/>
  </r>
  <r>
    <x v="23"/>
    <x v="4"/>
    <x v="4"/>
    <n v="224"/>
    <n v="1275.9969000000001"/>
    <x v="0"/>
  </r>
  <r>
    <x v="23"/>
    <x v="5"/>
    <x v="5"/>
    <m/>
    <n v="50"/>
    <x v="0"/>
  </r>
  <r>
    <x v="24"/>
    <x v="0"/>
    <x v="0"/>
    <m/>
    <n v="116"/>
    <x v="0"/>
  </r>
  <r>
    <x v="24"/>
    <x v="1"/>
    <x v="1"/>
    <m/>
    <n v="126.6735"/>
    <x v="0"/>
  </r>
  <r>
    <x v="24"/>
    <x v="2"/>
    <x v="2"/>
    <n v="41.599999999999909"/>
    <n v="176.1848"/>
    <x v="0"/>
  </r>
  <r>
    <x v="24"/>
    <x v="3"/>
    <x v="3"/>
    <n v="85.12"/>
    <n v="612"/>
    <x v="0"/>
  </r>
  <r>
    <x v="24"/>
    <x v="4"/>
    <x v="4"/>
    <m/>
    <n v="52.792099999999998"/>
    <x v="0"/>
  </r>
  <r>
    <x v="24"/>
    <x v="5"/>
    <x v="5"/>
    <m/>
    <n v="50"/>
    <x v="0"/>
  </r>
  <r>
    <x v="25"/>
    <x v="0"/>
    <x v="0"/>
    <m/>
    <n v="62"/>
    <x v="0"/>
  </r>
  <r>
    <x v="25"/>
    <x v="1"/>
    <x v="1"/>
    <m/>
    <n v="314.78210000000001"/>
    <x v="0"/>
  </r>
  <r>
    <x v="25"/>
    <x v="2"/>
    <x v="2"/>
    <n v="10.75"/>
    <n v="89.565700000000007"/>
    <x v="0"/>
  </r>
  <r>
    <x v="25"/>
    <x v="3"/>
    <x v="3"/>
    <n v="71.92"/>
    <n v="324"/>
    <x v="0"/>
  </r>
  <r>
    <x v="25"/>
    <x v="4"/>
    <x v="4"/>
    <m/>
    <n v="17.612400000000001"/>
    <x v="0"/>
  </r>
  <r>
    <x v="25"/>
    <x v="5"/>
    <x v="5"/>
    <m/>
    <n v="24"/>
    <x v="0"/>
  </r>
  <r>
    <x v="26"/>
    <x v="0"/>
    <x v="0"/>
    <m/>
    <n v="109"/>
    <x v="0"/>
  </r>
  <r>
    <x v="26"/>
    <x v="1"/>
    <x v="1"/>
    <n v="161.45999999999998"/>
    <n v="230.2878"/>
    <x v="0"/>
  </r>
  <r>
    <x v="26"/>
    <x v="2"/>
    <x v="2"/>
    <m/>
    <n v="213.22020000000001"/>
    <x v="0"/>
  </r>
  <r>
    <x v="26"/>
    <x v="3"/>
    <x v="3"/>
    <n v="45.48"/>
    <n v="576"/>
    <x v="0"/>
  </r>
  <r>
    <x v="26"/>
    <x v="4"/>
    <x v="4"/>
    <m/>
    <n v="24.688700000000001"/>
    <x v="0"/>
  </r>
  <r>
    <x v="26"/>
    <x v="5"/>
    <x v="5"/>
    <m/>
    <n v="72"/>
    <x v="0"/>
  </r>
  <r>
    <x v="27"/>
    <x v="0"/>
    <x v="0"/>
    <m/>
    <n v="306"/>
    <x v="0"/>
  </r>
  <r>
    <x v="27"/>
    <x v="1"/>
    <x v="1"/>
    <n v="770.29"/>
    <n v="21334.706099999999"/>
    <x v="0"/>
  </r>
  <r>
    <x v="27"/>
    <x v="2"/>
    <x v="2"/>
    <n v="200.34"/>
    <n v="250.49950000000001"/>
    <x v="0"/>
  </r>
  <r>
    <x v="27"/>
    <x v="3"/>
    <x v="3"/>
    <m/>
    <n v="1620"/>
    <x v="0"/>
  </r>
  <r>
    <x v="27"/>
    <x v="4"/>
    <x v="4"/>
    <n v="32"/>
    <n v="3431.4881999999998"/>
    <x v="0"/>
  </r>
  <r>
    <x v="27"/>
    <x v="5"/>
    <x v="5"/>
    <m/>
    <n v="50"/>
    <x v="0"/>
  </r>
  <r>
    <x v="28"/>
    <x v="0"/>
    <x v="0"/>
    <m/>
    <n v="96"/>
    <x v="0"/>
  </r>
  <r>
    <x v="28"/>
    <x v="1"/>
    <x v="1"/>
    <n v="24.92"/>
    <n v="389.57319999999999"/>
    <x v="0"/>
  </r>
  <r>
    <x v="28"/>
    <x v="2"/>
    <x v="2"/>
    <n v="9.5500000000000007"/>
    <n v="10.2622"/>
    <x v="0"/>
  </r>
  <r>
    <x v="28"/>
    <x v="3"/>
    <x v="3"/>
    <m/>
    <n v="504"/>
    <x v="0"/>
  </r>
  <r>
    <x v="28"/>
    <x v="4"/>
    <x v="4"/>
    <m/>
    <n v="356.78489999999999"/>
    <x v="0"/>
  </r>
  <r>
    <x v="28"/>
    <x v="5"/>
    <x v="5"/>
    <m/>
    <n v="50"/>
    <x v="0"/>
  </r>
  <r>
    <x v="29"/>
    <x v="0"/>
    <x v="0"/>
    <m/>
    <n v="48"/>
    <x v="0"/>
  </r>
  <r>
    <x v="29"/>
    <x v="1"/>
    <x v="1"/>
    <m/>
    <n v="1327.4957999999999"/>
    <x v="0"/>
  </r>
  <r>
    <x v="29"/>
    <x v="2"/>
    <x v="2"/>
    <n v="715"/>
    <n v="7617.3010000000004"/>
    <x v="0"/>
  </r>
  <r>
    <x v="29"/>
    <x v="3"/>
    <x v="3"/>
    <n v="15.98"/>
    <n v="252"/>
    <x v="0"/>
  </r>
  <r>
    <x v="29"/>
    <x v="4"/>
    <x v="4"/>
    <m/>
    <n v="79.671199999999999"/>
    <x v="0"/>
  </r>
  <r>
    <x v="29"/>
    <x v="5"/>
    <x v="5"/>
    <m/>
    <n v="48"/>
    <x v="0"/>
  </r>
  <r>
    <x v="30"/>
    <x v="0"/>
    <x v="0"/>
    <m/>
    <n v="136"/>
    <x v="0"/>
  </r>
  <r>
    <x v="30"/>
    <x v="1"/>
    <x v="1"/>
    <n v="835.13"/>
    <n v="13491.2176"/>
    <x v="0"/>
  </r>
  <r>
    <x v="30"/>
    <x v="2"/>
    <x v="2"/>
    <n v="25.1"/>
    <n v="106.9606"/>
    <x v="0"/>
  </r>
  <r>
    <x v="30"/>
    <x v="3"/>
    <x v="3"/>
    <m/>
    <n v="720"/>
    <x v="0"/>
  </r>
  <r>
    <x v="30"/>
    <x v="4"/>
    <x v="4"/>
    <m/>
    <n v="381.10300000000001"/>
    <x v="0"/>
  </r>
  <r>
    <x v="30"/>
    <x v="5"/>
    <x v="5"/>
    <m/>
    <n v="50"/>
    <x v="0"/>
  </r>
  <r>
    <x v="31"/>
    <x v="0"/>
    <x v="0"/>
    <m/>
    <n v="41"/>
    <x v="0"/>
  </r>
  <r>
    <x v="31"/>
    <x v="1"/>
    <x v="1"/>
    <n v="68.88"/>
    <n v="676.92399999999998"/>
    <x v="0"/>
  </r>
  <r>
    <x v="31"/>
    <x v="2"/>
    <x v="2"/>
    <n v="40"/>
    <n v="568.99369999999999"/>
    <x v="0"/>
  </r>
  <r>
    <x v="31"/>
    <x v="3"/>
    <x v="3"/>
    <m/>
    <n v="216"/>
    <x v="0"/>
  </r>
  <r>
    <x v="31"/>
    <x v="4"/>
    <x v="4"/>
    <m/>
    <n v="55.712499999999999"/>
    <x v="0"/>
  </r>
  <r>
    <x v="31"/>
    <x v="5"/>
    <x v="5"/>
    <m/>
    <n v="24"/>
    <x v="0"/>
  </r>
  <r>
    <x v="32"/>
    <x v="0"/>
    <x v="0"/>
    <m/>
    <n v="96"/>
    <x v="0"/>
  </r>
  <r>
    <x v="32"/>
    <x v="1"/>
    <x v="1"/>
    <m/>
    <n v="95.731899999999996"/>
    <x v="0"/>
  </r>
  <r>
    <x v="32"/>
    <x v="2"/>
    <x v="2"/>
    <n v="128.1"/>
    <n v="2094.4555"/>
    <x v="0"/>
  </r>
  <r>
    <x v="32"/>
    <x v="3"/>
    <x v="3"/>
    <m/>
    <n v="504"/>
    <x v="0"/>
  </r>
  <r>
    <x v="32"/>
    <x v="4"/>
    <x v="4"/>
    <n v="22.75"/>
    <n v="339.98129999999998"/>
    <x v="0"/>
  </r>
  <r>
    <x v="32"/>
    <x v="5"/>
    <x v="5"/>
    <m/>
    <n v="48"/>
    <x v="0"/>
  </r>
  <r>
    <x v="33"/>
    <x v="0"/>
    <x v="0"/>
    <m/>
    <n v="197"/>
    <x v="0"/>
  </r>
  <r>
    <x v="33"/>
    <x v="1"/>
    <x v="1"/>
    <n v="136.03"/>
    <n v="2706.8566999999998"/>
    <x v="0"/>
  </r>
  <r>
    <x v="33"/>
    <x v="2"/>
    <x v="2"/>
    <n v="165.3"/>
    <n v="1391.5451"/>
    <x v="0"/>
  </r>
  <r>
    <x v="33"/>
    <x v="3"/>
    <x v="3"/>
    <m/>
    <n v="1044"/>
    <x v="0"/>
  </r>
  <r>
    <x v="33"/>
    <x v="4"/>
    <x v="4"/>
    <n v="32"/>
    <n v="206.6756"/>
    <x v="0"/>
  </r>
  <r>
    <x v="33"/>
    <x v="5"/>
    <x v="5"/>
    <m/>
    <n v="50"/>
    <x v="0"/>
  </r>
  <r>
    <x v="34"/>
    <x v="0"/>
    <x v="0"/>
    <m/>
    <n v="177"/>
    <x v="0"/>
  </r>
  <r>
    <x v="34"/>
    <x v="1"/>
    <x v="1"/>
    <n v="410.14000000000004"/>
    <n v="6671.7578999999996"/>
    <x v="0"/>
  </r>
  <r>
    <x v="34"/>
    <x v="2"/>
    <x v="2"/>
    <n v="4.5"/>
    <n v="334.5378"/>
    <x v="0"/>
  </r>
  <r>
    <x v="34"/>
    <x v="3"/>
    <x v="3"/>
    <m/>
    <n v="936"/>
    <x v="0"/>
  </r>
  <r>
    <x v="34"/>
    <x v="4"/>
    <x v="4"/>
    <n v="168"/>
    <n v="2588.8809000000001"/>
    <x v="0"/>
  </r>
  <r>
    <x v="34"/>
    <x v="5"/>
    <x v="5"/>
    <m/>
    <n v="96"/>
    <x v="0"/>
  </r>
  <r>
    <x v="35"/>
    <x v="0"/>
    <x v="0"/>
    <m/>
    <n v="62"/>
    <x v="0"/>
  </r>
  <r>
    <x v="35"/>
    <x v="1"/>
    <x v="1"/>
    <m/>
    <n v="16.057500000000001"/>
    <x v="0"/>
  </r>
  <r>
    <x v="35"/>
    <x v="2"/>
    <x v="2"/>
    <n v="255"/>
    <n v="3961.8724000000002"/>
    <x v="0"/>
  </r>
  <r>
    <x v="35"/>
    <x v="3"/>
    <x v="3"/>
    <m/>
    <n v="324"/>
    <x v="0"/>
  </r>
  <r>
    <x v="35"/>
    <x v="4"/>
    <x v="4"/>
    <m/>
    <n v="9.8844999999999992"/>
    <x v="0"/>
  </r>
  <r>
    <x v="35"/>
    <x v="5"/>
    <x v="5"/>
    <m/>
    <n v="60"/>
    <x v="0"/>
  </r>
  <r>
    <x v="36"/>
    <x v="0"/>
    <x v="0"/>
    <m/>
    <n v="96"/>
    <x v="0"/>
  </r>
  <r>
    <x v="36"/>
    <x v="1"/>
    <x v="1"/>
    <n v="81.22999999999999"/>
    <n v="21.6585"/>
    <x v="0"/>
  </r>
  <r>
    <x v="36"/>
    <x v="2"/>
    <x v="2"/>
    <n v="9.5500000000000007"/>
    <n v="17.4254"/>
    <x v="0"/>
  </r>
  <r>
    <x v="36"/>
    <x v="3"/>
    <x v="3"/>
    <m/>
    <n v="504"/>
    <x v="0"/>
  </r>
  <r>
    <x v="36"/>
    <x v="4"/>
    <x v="4"/>
    <n v="42.85"/>
    <n v="173.8546"/>
    <x v="0"/>
  </r>
  <r>
    <x v="36"/>
    <x v="5"/>
    <x v="5"/>
    <m/>
    <n v="84"/>
    <x v="0"/>
  </r>
  <r>
    <x v="37"/>
    <x v="0"/>
    <x v="0"/>
    <m/>
    <n v="89"/>
    <x v="0"/>
  </r>
  <r>
    <x v="37"/>
    <x v="1"/>
    <x v="1"/>
    <m/>
    <n v="498.65159999999997"/>
    <x v="0"/>
  </r>
  <r>
    <x v="37"/>
    <x v="2"/>
    <x v="2"/>
    <m/>
    <n v="30.4818"/>
    <x v="0"/>
  </r>
  <r>
    <x v="37"/>
    <x v="3"/>
    <x v="3"/>
    <m/>
    <n v="468"/>
    <x v="0"/>
  </r>
  <r>
    <x v="37"/>
    <x v="4"/>
    <x v="4"/>
    <m/>
    <n v="153.88339999999999"/>
    <x v="0"/>
  </r>
  <r>
    <x v="37"/>
    <x v="5"/>
    <x v="5"/>
    <m/>
    <n v="60"/>
    <x v="0"/>
  </r>
  <r>
    <x v="38"/>
    <x v="0"/>
    <x v="0"/>
    <m/>
    <n v="204"/>
    <x v="0"/>
  </r>
  <r>
    <x v="38"/>
    <x v="1"/>
    <x v="1"/>
    <n v="682.02"/>
    <n v="13394.651900000001"/>
    <x v="0"/>
  </r>
  <r>
    <x v="38"/>
    <x v="2"/>
    <x v="2"/>
    <n v="7.35"/>
    <n v="67.415599999999998"/>
    <x v="0"/>
  </r>
  <r>
    <x v="38"/>
    <x v="3"/>
    <x v="3"/>
    <n v="47"/>
    <n v="1080"/>
    <x v="0"/>
  </r>
  <r>
    <x v="38"/>
    <x v="4"/>
    <x v="4"/>
    <n v="64"/>
    <n v="561.84299999999996"/>
    <x v="0"/>
  </r>
  <r>
    <x v="38"/>
    <x v="5"/>
    <x v="5"/>
    <m/>
    <n v="50"/>
    <x v="0"/>
  </r>
  <r>
    <x v="39"/>
    <x v="0"/>
    <x v="0"/>
    <m/>
    <n v="109"/>
    <x v="0"/>
  </r>
  <r>
    <x v="39"/>
    <x v="1"/>
    <x v="1"/>
    <n v="465.11"/>
    <n v="6925.3455000000004"/>
    <x v="0"/>
  </r>
  <r>
    <x v="39"/>
    <x v="2"/>
    <x v="2"/>
    <m/>
    <n v="2.4384999999999999"/>
    <x v="0"/>
  </r>
  <r>
    <x v="39"/>
    <x v="3"/>
    <x v="3"/>
    <n v="52.89"/>
    <n v="576"/>
    <x v="0"/>
  </r>
  <r>
    <x v="39"/>
    <x v="4"/>
    <x v="4"/>
    <n v="104"/>
    <n v="2350.4065000000001"/>
    <x v="0"/>
  </r>
  <r>
    <x v="39"/>
    <x v="5"/>
    <x v="5"/>
    <m/>
    <n v="60"/>
    <x v="0"/>
  </r>
  <r>
    <x v="40"/>
    <x v="0"/>
    <x v="0"/>
    <m/>
    <n v="48"/>
    <x v="0"/>
  </r>
  <r>
    <x v="40"/>
    <x v="1"/>
    <x v="1"/>
    <m/>
    <n v="155.28229999999999"/>
    <x v="0"/>
  </r>
  <r>
    <x v="40"/>
    <x v="2"/>
    <x v="2"/>
    <m/>
    <n v="4.8771000000000004"/>
    <x v="0"/>
  </r>
  <r>
    <x v="40"/>
    <x v="3"/>
    <x v="3"/>
    <m/>
    <n v="252"/>
    <x v="0"/>
  </r>
  <r>
    <x v="40"/>
    <x v="4"/>
    <x v="4"/>
    <m/>
    <n v="49.703200000000002"/>
    <x v="0"/>
  </r>
  <r>
    <x v="40"/>
    <x v="5"/>
    <x v="5"/>
    <m/>
    <n v="60"/>
    <x v="0"/>
  </r>
  <r>
    <x v="41"/>
    <x v="0"/>
    <x v="0"/>
    <m/>
    <n v="150"/>
    <x v="0"/>
  </r>
  <r>
    <x v="41"/>
    <x v="1"/>
    <x v="1"/>
    <n v="406.17"/>
    <n v="2262.0223999999998"/>
    <x v="0"/>
  </r>
  <r>
    <x v="41"/>
    <x v="2"/>
    <x v="2"/>
    <n v="12"/>
    <n v="18.289100000000001"/>
    <x v="0"/>
  </r>
  <r>
    <x v="41"/>
    <x v="3"/>
    <x v="3"/>
    <n v="43.69"/>
    <n v="792"/>
    <x v="0"/>
  </r>
  <r>
    <x v="41"/>
    <x v="4"/>
    <x v="4"/>
    <n v="235.47"/>
    <n v="1189.0921000000001"/>
    <x v="0"/>
  </r>
  <r>
    <x v="41"/>
    <x v="5"/>
    <x v="5"/>
    <m/>
    <n v="60"/>
    <x v="0"/>
  </r>
  <r>
    <x v="42"/>
    <x v="0"/>
    <x v="0"/>
    <m/>
    <n v="55"/>
    <x v="0"/>
  </r>
  <r>
    <x v="42"/>
    <x v="1"/>
    <x v="1"/>
    <m/>
    <n v="272.34199999999998"/>
    <x v="0"/>
  </r>
  <r>
    <x v="42"/>
    <x v="2"/>
    <x v="2"/>
    <m/>
    <n v="175.80889999999999"/>
    <x v="0"/>
  </r>
  <r>
    <x v="42"/>
    <x v="3"/>
    <x v="3"/>
    <m/>
    <n v="288"/>
    <x v="0"/>
  </r>
  <r>
    <x v="42"/>
    <x v="4"/>
    <x v="4"/>
    <m/>
    <n v="0"/>
    <x v="0"/>
  </r>
  <r>
    <x v="42"/>
    <x v="5"/>
    <x v="5"/>
    <m/>
    <n v="60"/>
    <x v="0"/>
  </r>
  <r>
    <x v="43"/>
    <x v="0"/>
    <x v="0"/>
    <m/>
    <n v="55"/>
    <x v="0"/>
  </r>
  <r>
    <x v="43"/>
    <x v="1"/>
    <x v="1"/>
    <n v="75.89"/>
    <n v="20.113"/>
    <x v="0"/>
  </r>
  <r>
    <x v="43"/>
    <x v="2"/>
    <x v="2"/>
    <n v="444.61"/>
    <n v="3135.277"/>
    <x v="0"/>
  </r>
  <r>
    <x v="43"/>
    <x v="3"/>
    <x v="3"/>
    <m/>
    <n v="288"/>
    <x v="0"/>
  </r>
  <r>
    <x v="43"/>
    <x v="4"/>
    <x v="4"/>
    <m/>
    <n v="0"/>
    <x v="0"/>
  </r>
  <r>
    <x v="43"/>
    <x v="5"/>
    <x v="5"/>
    <m/>
    <n v="60"/>
    <x v="0"/>
  </r>
  <r>
    <x v="44"/>
    <x v="0"/>
    <x v="0"/>
    <m/>
    <n v="184"/>
    <x v="0"/>
  </r>
  <r>
    <x v="44"/>
    <x v="1"/>
    <x v="1"/>
    <n v="437.03"/>
    <n v="3289.3627999999999"/>
    <x v="0"/>
  </r>
  <r>
    <x v="44"/>
    <x v="2"/>
    <x v="2"/>
    <m/>
    <n v="72.292699999999996"/>
    <x v="0"/>
  </r>
  <r>
    <x v="44"/>
    <x v="3"/>
    <x v="3"/>
    <n v="65.489999999999995"/>
    <n v="972"/>
    <x v="0"/>
  </r>
  <r>
    <x v="44"/>
    <x v="4"/>
    <x v="4"/>
    <n v="80"/>
    <n v="376.82350000000002"/>
    <x v="0"/>
  </r>
  <r>
    <x v="44"/>
    <x v="5"/>
    <x v="5"/>
    <m/>
    <n v="96"/>
    <x v="0"/>
  </r>
  <r>
    <x v="45"/>
    <x v="0"/>
    <x v="0"/>
    <m/>
    <n v="191"/>
    <x v="0"/>
  </r>
  <r>
    <x v="45"/>
    <x v="1"/>
    <x v="1"/>
    <n v="766.81999999999994"/>
    <n v="3801.8164000000002"/>
    <x v="0"/>
  </r>
  <r>
    <x v="45"/>
    <x v="2"/>
    <x v="2"/>
    <n v="6.85"/>
    <n v="28.6021"/>
    <x v="0"/>
  </r>
  <r>
    <x v="45"/>
    <x v="3"/>
    <x v="3"/>
    <m/>
    <n v="1008"/>
    <x v="0"/>
  </r>
  <r>
    <x v="45"/>
    <x v="4"/>
    <x v="4"/>
    <n v="96"/>
    <n v="323.49220000000003"/>
    <x v="0"/>
  </r>
  <r>
    <x v="45"/>
    <x v="5"/>
    <x v="5"/>
    <m/>
    <n v="96"/>
    <x v="0"/>
  </r>
  <r>
    <x v="46"/>
    <x v="0"/>
    <x v="0"/>
    <m/>
    <n v="55"/>
    <x v="0"/>
  </r>
  <r>
    <x v="46"/>
    <x v="1"/>
    <x v="1"/>
    <m/>
    <n v="1559.5181"/>
    <x v="0"/>
  </r>
  <r>
    <x v="46"/>
    <x v="2"/>
    <x v="2"/>
    <n v="318"/>
    <n v="3138.8737999999998"/>
    <x v="0"/>
  </r>
  <r>
    <x v="46"/>
    <x v="3"/>
    <x v="3"/>
    <n v="103.75"/>
    <n v="288"/>
    <x v="0"/>
  </r>
  <r>
    <x v="46"/>
    <x v="4"/>
    <x v="4"/>
    <m/>
    <n v="69.505899999999997"/>
    <x v="0"/>
  </r>
  <r>
    <x v="46"/>
    <x v="5"/>
    <x v="5"/>
    <m/>
    <n v="36"/>
    <x v="0"/>
  </r>
  <r>
    <x v="47"/>
    <x v="0"/>
    <x v="0"/>
    <m/>
    <n v="75"/>
    <x v="0"/>
  </r>
  <r>
    <x v="47"/>
    <x v="1"/>
    <x v="1"/>
    <m/>
    <n v="153.1328"/>
    <x v="0"/>
  </r>
  <r>
    <x v="47"/>
    <x v="2"/>
    <x v="2"/>
    <n v="229.4"/>
    <n v="143.06129999999999"/>
    <x v="0"/>
  </r>
  <r>
    <x v="47"/>
    <x v="3"/>
    <x v="3"/>
    <m/>
    <n v="396"/>
    <x v="0"/>
  </r>
  <r>
    <x v="47"/>
    <x v="4"/>
    <x v="4"/>
    <n v="24.62"/>
    <n v="31.450600000000001"/>
    <x v="0"/>
  </r>
  <r>
    <x v="47"/>
    <x v="5"/>
    <x v="5"/>
    <m/>
    <n v="48"/>
    <x v="0"/>
  </r>
  <r>
    <x v="48"/>
    <x v="0"/>
    <x v="0"/>
    <m/>
    <n v="82"/>
    <x v="0"/>
  </r>
  <r>
    <x v="48"/>
    <x v="1"/>
    <x v="1"/>
    <m/>
    <n v="145.97540000000001"/>
    <x v="0"/>
  </r>
  <r>
    <x v="48"/>
    <x v="2"/>
    <x v="2"/>
    <m/>
    <n v="22.4041"/>
    <x v="0"/>
  </r>
  <r>
    <x v="48"/>
    <x v="3"/>
    <x v="3"/>
    <m/>
    <n v="432"/>
    <x v="0"/>
  </r>
  <r>
    <x v="48"/>
    <x v="4"/>
    <x v="4"/>
    <m/>
    <n v="15.1637"/>
    <x v="0"/>
  </r>
  <r>
    <x v="48"/>
    <x v="5"/>
    <x v="5"/>
    <m/>
    <n v="60"/>
    <x v="0"/>
  </r>
  <r>
    <x v="49"/>
    <x v="0"/>
    <x v="0"/>
    <m/>
    <n v="62"/>
    <x v="0"/>
  </r>
  <r>
    <x v="49"/>
    <x v="1"/>
    <x v="1"/>
    <n v="95.6"/>
    <n v="224.0899"/>
    <x v="0"/>
  </r>
  <r>
    <x v="49"/>
    <x v="2"/>
    <x v="2"/>
    <m/>
    <n v="9.6525999999999996"/>
    <x v="0"/>
  </r>
  <r>
    <x v="49"/>
    <x v="3"/>
    <x v="3"/>
    <m/>
    <n v="324"/>
    <x v="0"/>
  </r>
  <r>
    <x v="49"/>
    <x v="4"/>
    <x v="4"/>
    <n v="8"/>
    <n v="314.50630000000001"/>
    <x v="0"/>
  </r>
  <r>
    <x v="49"/>
    <x v="5"/>
    <x v="5"/>
    <m/>
    <n v="36"/>
    <x v="0"/>
  </r>
  <r>
    <x v="50"/>
    <x v="0"/>
    <x v="0"/>
    <m/>
    <n v="102"/>
    <x v="0"/>
  </r>
  <r>
    <x v="50"/>
    <x v="1"/>
    <x v="1"/>
    <m/>
    <n v="345.98660000000001"/>
    <x v="0"/>
  </r>
  <r>
    <x v="50"/>
    <x v="2"/>
    <x v="2"/>
    <m/>
    <n v="38.610300000000002"/>
    <x v="0"/>
  </r>
  <r>
    <x v="50"/>
    <x v="3"/>
    <x v="3"/>
    <m/>
    <n v="540"/>
    <x v="0"/>
  </r>
  <r>
    <x v="50"/>
    <x v="4"/>
    <x v="4"/>
    <n v="216"/>
    <n v="2394.7406999999998"/>
    <x v="0"/>
  </r>
  <r>
    <x v="50"/>
    <x v="5"/>
    <x v="5"/>
    <m/>
    <n v="72"/>
    <x v="0"/>
  </r>
  <r>
    <x v="51"/>
    <x v="0"/>
    <x v="0"/>
    <m/>
    <n v="75"/>
    <x v="0"/>
  </r>
  <r>
    <x v="51"/>
    <x v="1"/>
    <x v="1"/>
    <n v="45.75"/>
    <n v="524.94200000000001"/>
    <x v="0"/>
  </r>
  <r>
    <x v="51"/>
    <x v="2"/>
    <x v="2"/>
    <n v="4.2"/>
    <n v="27.332000000000001"/>
    <x v="0"/>
  </r>
  <r>
    <x v="51"/>
    <x v="3"/>
    <x v="3"/>
    <n v="70"/>
    <n v="396"/>
    <x v="0"/>
  </r>
  <r>
    <x v="51"/>
    <x v="4"/>
    <x v="4"/>
    <m/>
    <n v="145.0436"/>
    <x v="0"/>
  </r>
  <r>
    <x v="51"/>
    <x v="5"/>
    <x v="5"/>
    <m/>
    <n v="60"/>
    <x v="0"/>
  </r>
  <r>
    <x v="52"/>
    <x v="0"/>
    <x v="0"/>
    <m/>
    <n v="123"/>
    <x v="0"/>
  </r>
  <r>
    <x v="52"/>
    <x v="1"/>
    <x v="1"/>
    <n v="9.59"/>
    <n v="171.66739999999999"/>
    <x v="0"/>
  </r>
  <r>
    <x v="52"/>
    <x v="2"/>
    <x v="2"/>
    <n v="3"/>
    <n v="86.669899999999998"/>
    <x v="0"/>
  </r>
  <r>
    <x v="52"/>
    <x v="3"/>
    <x v="3"/>
    <n v="29.33"/>
    <n v="648"/>
    <x v="0"/>
  </r>
  <r>
    <x v="52"/>
    <x v="4"/>
    <x v="4"/>
    <n v="27.8"/>
    <n v="67.596400000000003"/>
    <x v="0"/>
  </r>
  <r>
    <x v="52"/>
    <x v="5"/>
    <x v="5"/>
    <n v="10.7"/>
    <n v="108"/>
    <x v="0"/>
  </r>
  <r>
    <x v="53"/>
    <x v="0"/>
    <x v="0"/>
    <m/>
    <n v="136"/>
    <x v="0"/>
  </r>
  <r>
    <x v="53"/>
    <x v="1"/>
    <x v="1"/>
    <n v="77.28"/>
    <n v="309.3818"/>
    <x v="0"/>
  </r>
  <r>
    <x v="53"/>
    <x v="2"/>
    <x v="2"/>
    <n v="17.5"/>
    <n v="87.533600000000007"/>
    <x v="0"/>
  </r>
  <r>
    <x v="53"/>
    <x v="3"/>
    <x v="3"/>
    <n v="75.959999999999994"/>
    <n v="720"/>
    <x v="0"/>
  </r>
  <r>
    <x v="53"/>
    <x v="4"/>
    <x v="4"/>
    <n v="8"/>
    <n v="45.479900000000001"/>
    <x v="0"/>
  </r>
  <r>
    <x v="53"/>
    <x v="5"/>
    <x v="5"/>
    <m/>
    <n v="84"/>
    <x v="0"/>
  </r>
  <r>
    <x v="54"/>
    <x v="0"/>
    <x v="0"/>
    <m/>
    <n v="211"/>
    <x v="0"/>
  </r>
  <r>
    <x v="54"/>
    <x v="1"/>
    <x v="1"/>
    <n v="1693.26"/>
    <n v="18526.6486"/>
    <x v="0"/>
  </r>
  <r>
    <x v="54"/>
    <x v="2"/>
    <x v="2"/>
    <n v="9"/>
    <n v="536.47969999999998"/>
    <x v="0"/>
  </r>
  <r>
    <x v="54"/>
    <x v="3"/>
    <x v="3"/>
    <m/>
    <n v="1116"/>
    <x v="0"/>
  </r>
  <r>
    <x v="54"/>
    <x v="4"/>
    <x v="4"/>
    <n v="352"/>
    <n v="4025.5167999999999"/>
    <x v="0"/>
  </r>
  <r>
    <x v="54"/>
    <x v="5"/>
    <x v="5"/>
    <m/>
    <n v="108"/>
    <x v="0"/>
  </r>
  <r>
    <x v="55"/>
    <x v="0"/>
    <x v="0"/>
    <m/>
    <n v="123"/>
    <x v="0"/>
  </r>
  <r>
    <x v="55"/>
    <x v="1"/>
    <x v="1"/>
    <n v="43.34"/>
    <n v="91.813900000000004"/>
    <x v="0"/>
  </r>
  <r>
    <x v="55"/>
    <x v="2"/>
    <x v="2"/>
    <n v="9.6"/>
    <n v="29.922999999999998"/>
    <x v="0"/>
  </r>
  <r>
    <x v="55"/>
    <x v="3"/>
    <x v="3"/>
    <m/>
    <n v="648"/>
    <x v="0"/>
  </r>
  <r>
    <x v="55"/>
    <x v="4"/>
    <x v="4"/>
    <n v="39.979999999999997"/>
    <n v="31.225999999999999"/>
    <x v="0"/>
  </r>
  <r>
    <x v="55"/>
    <x v="5"/>
    <x v="5"/>
    <m/>
    <n v="60"/>
    <x v="0"/>
  </r>
  <r>
    <x v="56"/>
    <x v="0"/>
    <x v="0"/>
    <m/>
    <n v="62"/>
    <x v="0"/>
  </r>
  <r>
    <x v="56"/>
    <x v="1"/>
    <x v="1"/>
    <m/>
    <n v="371.4513"/>
    <x v="0"/>
  </r>
  <r>
    <x v="56"/>
    <x v="2"/>
    <x v="2"/>
    <m/>
    <n v="47.754800000000003"/>
    <x v="0"/>
  </r>
  <r>
    <x v="56"/>
    <x v="3"/>
    <x v="3"/>
    <m/>
    <n v="324"/>
    <x v="0"/>
  </r>
  <r>
    <x v="56"/>
    <x v="4"/>
    <x v="4"/>
    <n v="38.450000000000003"/>
    <n v="177.84209999999999"/>
    <x v="0"/>
  </r>
  <r>
    <x v="56"/>
    <x v="5"/>
    <x v="5"/>
    <m/>
    <n v="60"/>
    <x v="0"/>
  </r>
  <r>
    <x v="57"/>
    <x v="0"/>
    <x v="0"/>
    <m/>
    <n v="96"/>
    <x v="0"/>
  </r>
  <r>
    <x v="57"/>
    <x v="1"/>
    <x v="1"/>
    <n v="65.27"/>
    <n v="590.07249999999999"/>
    <x v="0"/>
  </r>
  <r>
    <x v="57"/>
    <x v="2"/>
    <x v="2"/>
    <m/>
    <n v="34.8001"/>
    <x v="0"/>
  </r>
  <r>
    <x v="57"/>
    <x v="3"/>
    <x v="3"/>
    <m/>
    <n v="504"/>
    <x v="0"/>
  </r>
  <r>
    <x v="57"/>
    <x v="4"/>
    <x v="4"/>
    <n v="31.6"/>
    <n v="64.698400000000007"/>
    <x v="0"/>
  </r>
  <r>
    <x v="57"/>
    <x v="5"/>
    <x v="5"/>
    <m/>
    <n v="60"/>
    <x v="0"/>
  </r>
  <r>
    <x v="58"/>
    <x v="0"/>
    <x v="0"/>
    <m/>
    <n v="89"/>
    <x v="0"/>
  </r>
  <r>
    <x v="58"/>
    <x v="1"/>
    <x v="1"/>
    <m/>
    <n v="207.9914"/>
    <x v="0"/>
  </r>
  <r>
    <x v="58"/>
    <x v="2"/>
    <x v="2"/>
    <n v="21.049999999999955"/>
    <n v="65.231099999999998"/>
    <x v="0"/>
  </r>
  <r>
    <x v="58"/>
    <x v="3"/>
    <x v="3"/>
    <n v="81.2"/>
    <n v="468"/>
    <x v="0"/>
  </r>
  <r>
    <x v="58"/>
    <x v="4"/>
    <x v="4"/>
    <m/>
    <n v="0"/>
    <x v="0"/>
  </r>
  <r>
    <x v="58"/>
    <x v="5"/>
    <x v="5"/>
    <m/>
    <n v="60"/>
    <x v="0"/>
  </r>
  <r>
    <x v="59"/>
    <x v="0"/>
    <x v="0"/>
    <m/>
    <n v="62"/>
    <x v="0"/>
  </r>
  <r>
    <x v="59"/>
    <x v="1"/>
    <x v="1"/>
    <m/>
    <n v="85.011700000000005"/>
    <x v="0"/>
  </r>
  <r>
    <x v="59"/>
    <x v="2"/>
    <x v="2"/>
    <m/>
    <n v="40.845599999999997"/>
    <x v="0"/>
  </r>
  <r>
    <x v="59"/>
    <x v="3"/>
    <x v="3"/>
    <m/>
    <n v="324"/>
    <x v="0"/>
  </r>
  <r>
    <x v="59"/>
    <x v="4"/>
    <x v="4"/>
    <m/>
    <n v="37.066800000000001"/>
    <x v="0"/>
  </r>
  <r>
    <x v="59"/>
    <x v="5"/>
    <x v="5"/>
    <m/>
    <n v="48"/>
    <x v="0"/>
  </r>
  <r>
    <x v="60"/>
    <x v="0"/>
    <x v="0"/>
    <m/>
    <n v="177"/>
    <x v="0"/>
  </r>
  <r>
    <x v="60"/>
    <x v="1"/>
    <x v="1"/>
    <n v="437.65999999999997"/>
    <n v="4378.9534999999996"/>
    <x v="0"/>
  </r>
  <r>
    <x v="60"/>
    <x v="2"/>
    <x v="2"/>
    <m/>
    <n v="35.765300000000003"/>
    <x v="0"/>
  </r>
  <r>
    <x v="60"/>
    <x v="3"/>
    <x v="3"/>
    <n v="24.5"/>
    <n v="936"/>
    <x v="0"/>
  </r>
  <r>
    <x v="60"/>
    <x v="4"/>
    <x v="4"/>
    <n v="104"/>
    <n v="844.67399999999998"/>
    <x v="0"/>
  </r>
  <r>
    <x v="60"/>
    <x v="5"/>
    <x v="5"/>
    <m/>
    <n v="68"/>
    <x v="0"/>
  </r>
  <r>
    <x v="61"/>
    <x v="0"/>
    <x v="0"/>
    <m/>
    <n v="102"/>
    <x v="0"/>
  </r>
  <r>
    <x v="61"/>
    <x v="1"/>
    <x v="1"/>
    <n v="28.06"/>
    <n v="237.58430000000001"/>
    <x v="0"/>
  </r>
  <r>
    <x v="61"/>
    <x v="2"/>
    <x v="2"/>
    <m/>
    <n v="46.332299999999996"/>
    <x v="0"/>
  </r>
  <r>
    <x v="61"/>
    <x v="3"/>
    <x v="3"/>
    <n v="47.57"/>
    <n v="540"/>
    <x v="0"/>
  </r>
  <r>
    <x v="61"/>
    <x v="4"/>
    <x v="4"/>
    <m/>
    <n v="48.2879"/>
    <x v="0"/>
  </r>
  <r>
    <x v="61"/>
    <x v="5"/>
    <x v="5"/>
    <m/>
    <n v="60"/>
    <x v="0"/>
  </r>
  <r>
    <x v="62"/>
    <x v="0"/>
    <x v="0"/>
    <m/>
    <n v="245"/>
    <x v="0"/>
  </r>
  <r>
    <x v="62"/>
    <x v="1"/>
    <x v="1"/>
    <n v="219.8"/>
    <n v="2041.492"/>
    <x v="0"/>
  </r>
  <r>
    <x v="62"/>
    <x v="2"/>
    <x v="2"/>
    <m/>
    <n v="191.32409999999999"/>
    <x v="0"/>
  </r>
  <r>
    <x v="62"/>
    <x v="3"/>
    <x v="3"/>
    <n v="93.22"/>
    <n v="1296"/>
    <x v="0"/>
  </r>
  <r>
    <x v="62"/>
    <x v="4"/>
    <x v="4"/>
    <n v="16"/>
    <n v="707.0326"/>
    <x v="0"/>
  </r>
  <r>
    <x v="62"/>
    <x v="5"/>
    <x v="5"/>
    <m/>
    <n v="108"/>
    <x v="0"/>
  </r>
  <r>
    <x v="63"/>
    <x v="0"/>
    <x v="0"/>
    <m/>
    <n v="191"/>
    <x v="0"/>
  </r>
  <r>
    <x v="63"/>
    <x v="1"/>
    <x v="1"/>
    <n v="1230.7700000000002"/>
    <n v="13918.9046"/>
    <x v="0"/>
  </r>
  <r>
    <x v="63"/>
    <x v="2"/>
    <x v="2"/>
    <m/>
    <n v="86.669899999999998"/>
    <x v="0"/>
  </r>
  <r>
    <x v="63"/>
    <x v="3"/>
    <x v="3"/>
    <m/>
    <n v="1008"/>
    <x v="0"/>
  </r>
  <r>
    <x v="63"/>
    <x v="4"/>
    <x v="4"/>
    <n v="408"/>
    <n v="4384.0315000000001"/>
    <x v="0"/>
  </r>
  <r>
    <x v="63"/>
    <x v="5"/>
    <x v="5"/>
    <m/>
    <n v="84"/>
    <x v="0"/>
  </r>
  <r>
    <x v="64"/>
    <x v="0"/>
    <x v="0"/>
    <m/>
    <n v="96"/>
    <x v="0"/>
  </r>
  <r>
    <x v="64"/>
    <x v="1"/>
    <x v="1"/>
    <m/>
    <n v="82.6113"/>
    <x v="0"/>
  </r>
  <r>
    <x v="64"/>
    <x v="2"/>
    <x v="2"/>
    <m/>
    <n v="1465.4635000000001"/>
    <x v="0"/>
  </r>
  <r>
    <x v="64"/>
    <x v="3"/>
    <x v="3"/>
    <n v="40.86"/>
    <n v="504"/>
    <x v="0"/>
  </r>
  <r>
    <x v="64"/>
    <x v="4"/>
    <x v="4"/>
    <m/>
    <n v="91.117000000000004"/>
    <x v="0"/>
  </r>
  <r>
    <x v="64"/>
    <x v="5"/>
    <x v="5"/>
    <n v="5.99"/>
    <n v="72"/>
    <x v="0"/>
  </r>
  <r>
    <x v="65"/>
    <x v="0"/>
    <x v="0"/>
    <m/>
    <n v="41"/>
    <x v="0"/>
  </r>
  <r>
    <x v="65"/>
    <x v="1"/>
    <x v="1"/>
    <m/>
    <n v="54.475000000000001"/>
    <x v="0"/>
  </r>
  <r>
    <x v="65"/>
    <x v="2"/>
    <x v="2"/>
    <n v="12"/>
    <n v="21.7897"/>
    <x v="0"/>
  </r>
  <r>
    <x v="65"/>
    <x v="3"/>
    <x v="3"/>
    <m/>
    <n v="216"/>
    <x v="0"/>
  </r>
  <r>
    <x v="65"/>
    <x v="4"/>
    <x v="4"/>
    <m/>
    <n v="0"/>
    <x v="0"/>
  </r>
  <r>
    <x v="65"/>
    <x v="5"/>
    <x v="5"/>
    <m/>
    <n v="36"/>
    <x v="0"/>
  </r>
  <r>
    <x v="66"/>
    <x v="0"/>
    <x v="0"/>
    <m/>
    <n v="89"/>
    <x v="0"/>
  </r>
  <r>
    <x v="66"/>
    <x v="1"/>
    <x v="1"/>
    <n v="49.839999999999996"/>
    <n v="575.94579999999996"/>
    <x v="0"/>
  </r>
  <r>
    <x v="66"/>
    <x v="2"/>
    <x v="2"/>
    <n v="12"/>
    <n v="117.47199999999999"/>
    <x v="0"/>
  </r>
  <r>
    <x v="66"/>
    <x v="3"/>
    <x v="3"/>
    <n v="34.549999999999997"/>
    <n v="468"/>
    <x v="0"/>
  </r>
  <r>
    <x v="66"/>
    <x v="4"/>
    <x v="4"/>
    <m/>
    <n v="37.061999999999998"/>
    <x v="0"/>
  </r>
  <r>
    <x v="66"/>
    <x v="5"/>
    <x v="5"/>
    <m/>
    <n v="36"/>
    <x v="0"/>
  </r>
  <r>
    <x v="67"/>
    <x v="0"/>
    <x v="0"/>
    <m/>
    <n v="55"/>
    <x v="0"/>
  </r>
  <r>
    <x v="67"/>
    <x v="1"/>
    <x v="1"/>
    <m/>
    <n v="61.7639"/>
    <x v="0"/>
  </r>
  <r>
    <x v="67"/>
    <x v="2"/>
    <x v="2"/>
    <n v="0"/>
    <n v="629.95730000000003"/>
    <x v="0"/>
  </r>
  <r>
    <x v="67"/>
    <x v="3"/>
    <x v="3"/>
    <n v="15.95"/>
    <n v="288"/>
    <x v="0"/>
  </r>
  <r>
    <x v="67"/>
    <x v="4"/>
    <x v="4"/>
    <m/>
    <n v="35"/>
    <x v="0"/>
  </r>
  <r>
    <x v="67"/>
    <x v="5"/>
    <x v="5"/>
    <m/>
    <n v="36"/>
    <x v="0"/>
  </r>
  <r>
    <x v="68"/>
    <x v="0"/>
    <x v="0"/>
    <m/>
    <n v="0"/>
    <x v="0"/>
  </r>
  <r>
    <x v="68"/>
    <x v="1"/>
    <x v="1"/>
    <m/>
    <n v="0"/>
    <x v="0"/>
  </r>
  <r>
    <x v="68"/>
    <x v="2"/>
    <x v="2"/>
    <m/>
    <n v="0"/>
    <x v="0"/>
  </r>
  <r>
    <x v="68"/>
    <x v="3"/>
    <x v="3"/>
    <n v="21.57"/>
    <n v="0"/>
    <x v="0"/>
  </r>
  <r>
    <x v="68"/>
    <x v="4"/>
    <x v="4"/>
    <m/>
    <n v="0"/>
    <x v="0"/>
  </r>
  <r>
    <x v="68"/>
    <x v="5"/>
    <x v="5"/>
    <m/>
    <n v="0"/>
    <x v="0"/>
  </r>
  <r>
    <x v="69"/>
    <x v="0"/>
    <x v="0"/>
    <m/>
    <n v="68"/>
    <x v="0"/>
  </r>
  <r>
    <x v="69"/>
    <x v="1"/>
    <x v="1"/>
    <m/>
    <n v="0"/>
    <x v="0"/>
  </r>
  <r>
    <x v="69"/>
    <x v="2"/>
    <x v="2"/>
    <n v="14"/>
    <n v="204.4821"/>
    <x v="0"/>
  </r>
  <r>
    <x v="69"/>
    <x v="3"/>
    <x v="3"/>
    <n v="91.99"/>
    <n v="360"/>
    <x v="0"/>
  </r>
  <r>
    <x v="69"/>
    <x v="4"/>
    <x v="4"/>
    <n v="61.239999999999995"/>
    <n v="263.4776"/>
    <x v="0"/>
  </r>
  <r>
    <x v="69"/>
    <x v="5"/>
    <x v="5"/>
    <m/>
    <n v="36"/>
    <x v="0"/>
  </r>
  <r>
    <x v="70"/>
    <x v="0"/>
    <x v="0"/>
    <m/>
    <n v="62"/>
    <x v="0"/>
  </r>
  <r>
    <x v="70"/>
    <x v="1"/>
    <x v="1"/>
    <m/>
    <n v="472.71570000000003"/>
    <x v="0"/>
  </r>
  <r>
    <x v="70"/>
    <x v="2"/>
    <x v="2"/>
    <n v="8.65"/>
    <n v="63.656199999999998"/>
    <x v="0"/>
  </r>
  <r>
    <x v="70"/>
    <x v="3"/>
    <x v="3"/>
    <m/>
    <n v="324"/>
    <x v="0"/>
  </r>
  <r>
    <x v="70"/>
    <x v="4"/>
    <x v="4"/>
    <m/>
    <n v="185"/>
    <x v="0"/>
  </r>
  <r>
    <x v="70"/>
    <x v="5"/>
    <x v="5"/>
    <m/>
    <n v="36"/>
    <x v="0"/>
  </r>
  <r>
    <x v="71"/>
    <x v="0"/>
    <x v="0"/>
    <m/>
    <n v="75"/>
    <x v="0"/>
  </r>
  <r>
    <x v="71"/>
    <x v="1"/>
    <x v="1"/>
    <m/>
    <n v="818.41809999999998"/>
    <x v="0"/>
  </r>
  <r>
    <x v="71"/>
    <x v="2"/>
    <x v="2"/>
    <n v="70"/>
    <n v="446.84289999999999"/>
    <x v="0"/>
  </r>
  <r>
    <x v="71"/>
    <x v="3"/>
    <x v="3"/>
    <n v="58.05"/>
    <n v="396"/>
    <x v="0"/>
  </r>
  <r>
    <x v="71"/>
    <x v="4"/>
    <x v="4"/>
    <n v="59.96"/>
    <n v="1385.242"/>
    <x v="0"/>
  </r>
  <r>
    <x v="71"/>
    <x v="5"/>
    <x v="5"/>
    <m/>
    <n v="36"/>
    <x v="0"/>
  </r>
  <r>
    <x v="72"/>
    <x v="0"/>
    <x v="0"/>
    <m/>
    <n v="41"/>
    <x v="0"/>
  </r>
  <r>
    <x v="72"/>
    <x v="1"/>
    <x v="1"/>
    <n v="205.94"/>
    <n v="1252.5023000000001"/>
    <x v="0"/>
  </r>
  <r>
    <x v="72"/>
    <x v="2"/>
    <x v="2"/>
    <n v="4.5"/>
    <n v="117.47199999999999"/>
    <x v="0"/>
  </r>
  <r>
    <x v="72"/>
    <x v="3"/>
    <x v="3"/>
    <m/>
    <n v="216"/>
    <x v="0"/>
  </r>
  <r>
    <x v="72"/>
    <x v="4"/>
    <x v="4"/>
    <n v="13.99"/>
    <n v="53.4773"/>
    <x v="0"/>
  </r>
  <r>
    <x v="72"/>
    <x v="5"/>
    <x v="5"/>
    <m/>
    <n v="36"/>
    <x v="0"/>
  </r>
  <r>
    <x v="73"/>
    <x v="0"/>
    <x v="0"/>
    <m/>
    <n v="82"/>
    <x v="0"/>
  </r>
  <r>
    <x v="73"/>
    <x v="1"/>
    <x v="1"/>
    <m/>
    <n v="1499.8046999999999"/>
    <x v="0"/>
  </r>
  <r>
    <x v="73"/>
    <x v="2"/>
    <x v="2"/>
    <n v="13"/>
    <n v="489.46660000000003"/>
    <x v="0"/>
  </r>
  <r>
    <x v="73"/>
    <x v="3"/>
    <x v="3"/>
    <n v="33"/>
    <n v="432"/>
    <x v="0"/>
  </r>
  <r>
    <x v="73"/>
    <x v="4"/>
    <x v="4"/>
    <n v="85.300000000000011"/>
    <n v="81.232500000000002"/>
    <x v="0"/>
  </r>
  <r>
    <x v="73"/>
    <x v="5"/>
    <x v="5"/>
    <m/>
    <n v="36"/>
    <x v="0"/>
  </r>
  <r>
    <x v="74"/>
    <x v="0"/>
    <x v="0"/>
    <m/>
    <n v="0"/>
    <x v="0"/>
  </r>
  <r>
    <x v="74"/>
    <x v="1"/>
    <x v="1"/>
    <m/>
    <n v="0"/>
    <x v="0"/>
  </r>
  <r>
    <x v="74"/>
    <x v="2"/>
    <x v="2"/>
    <m/>
    <n v="0"/>
    <x v="0"/>
  </r>
  <r>
    <x v="74"/>
    <x v="3"/>
    <x v="3"/>
    <m/>
    <n v="0"/>
    <x v="0"/>
  </r>
  <r>
    <x v="74"/>
    <x v="4"/>
    <x v="4"/>
    <m/>
    <n v="0"/>
    <x v="0"/>
  </r>
  <r>
    <x v="74"/>
    <x v="5"/>
    <x v="5"/>
    <m/>
    <n v="0"/>
    <x v="0"/>
  </r>
  <r>
    <x v="75"/>
    <x v="0"/>
    <x v="0"/>
    <m/>
    <n v="62"/>
    <x v="0"/>
  </r>
  <r>
    <x v="75"/>
    <x v="1"/>
    <x v="1"/>
    <m/>
    <n v="356.63709999999998"/>
    <x v="0"/>
  </r>
  <r>
    <x v="75"/>
    <x v="2"/>
    <x v="2"/>
    <n v="7.2"/>
    <n v="97.893299999999996"/>
    <x v="0"/>
  </r>
  <r>
    <x v="75"/>
    <x v="3"/>
    <x v="3"/>
    <m/>
    <n v="324"/>
    <x v="0"/>
  </r>
  <r>
    <x v="75"/>
    <x v="4"/>
    <x v="4"/>
    <m/>
    <n v="31.290099999999999"/>
    <x v="0"/>
  </r>
  <r>
    <x v="75"/>
    <x v="5"/>
    <x v="5"/>
    <m/>
    <n v="36"/>
    <x v="0"/>
  </r>
</pivotCacheRecords>
</file>

<file path=xl/pivotCache/pivotCacheRecords2.xml><?xml version="1.0" encoding="utf-8"?>
<pivotCacheRecords xmlns="http://schemas.openxmlformats.org/spreadsheetml/2006/main" xmlns:r="http://schemas.openxmlformats.org/officeDocument/2006/relationships" count="412">
  <r>
    <x v="0"/>
    <n v="176818302"/>
    <x v="0"/>
    <x v="0"/>
    <x v="0"/>
    <x v="0"/>
    <x v="0"/>
    <n v="55.37"/>
    <x v="0"/>
    <s v="CASA MATRIZ"/>
    <x v="0"/>
    <x v="0"/>
    <x v="0"/>
    <x v="0"/>
  </r>
  <r>
    <x v="0"/>
    <n v="176818302"/>
    <x v="1"/>
    <x v="0"/>
    <x v="1"/>
    <x v="1"/>
    <x v="0"/>
    <n v="73.349999999999994"/>
    <x v="0"/>
    <s v="PAITILLA"/>
    <x v="0"/>
    <x v="0"/>
    <x v="1"/>
    <x v="1"/>
  </r>
  <r>
    <x v="1"/>
    <n v="176093323"/>
    <x v="2"/>
    <x v="0"/>
    <x v="1"/>
    <x v="2"/>
    <x v="0"/>
    <n v="25.11"/>
    <x v="1"/>
    <s v="PAITILLA"/>
    <x v="0"/>
    <x v="1"/>
    <x v="2"/>
    <x v="2"/>
  </r>
  <r>
    <x v="0"/>
    <n v="176818302"/>
    <x v="3"/>
    <x v="0"/>
    <x v="1"/>
    <x v="2"/>
    <x v="0"/>
    <n v="12.79"/>
    <x v="0"/>
    <s v="PAITILLA"/>
    <x v="0"/>
    <x v="0"/>
    <x v="2"/>
    <x v="2"/>
  </r>
  <r>
    <x v="0"/>
    <n v="176818302"/>
    <x v="4"/>
    <x v="0"/>
    <x v="2"/>
    <x v="2"/>
    <x v="0"/>
    <n v="60.69"/>
    <x v="0"/>
    <s v="EL DORADO"/>
    <x v="0"/>
    <x v="0"/>
    <x v="2"/>
    <x v="2"/>
  </r>
  <r>
    <x v="1"/>
    <n v="176093323"/>
    <x v="5"/>
    <x v="0"/>
    <x v="3"/>
    <x v="2"/>
    <x v="0"/>
    <n v="639.87"/>
    <x v="1"/>
    <s v="VIA PORRAS"/>
    <x v="0"/>
    <x v="1"/>
    <x v="2"/>
    <x v="2"/>
  </r>
  <r>
    <x v="0"/>
    <n v="176818302"/>
    <x v="6"/>
    <x v="0"/>
    <x v="3"/>
    <x v="2"/>
    <x v="0"/>
    <n v="938.84"/>
    <x v="0"/>
    <s v="VIA PORRAS"/>
    <x v="0"/>
    <x v="0"/>
    <x v="2"/>
    <x v="2"/>
  </r>
  <r>
    <x v="0"/>
    <n v="176818302"/>
    <x v="7"/>
    <x v="0"/>
    <x v="3"/>
    <x v="0"/>
    <x v="0"/>
    <n v="30.92"/>
    <x v="0"/>
    <s v="VIA PORRAS"/>
    <x v="0"/>
    <x v="0"/>
    <x v="0"/>
    <x v="0"/>
  </r>
  <r>
    <x v="0"/>
    <n v="176818302"/>
    <x v="8"/>
    <x v="0"/>
    <x v="4"/>
    <x v="1"/>
    <x v="0"/>
    <n v="49.82"/>
    <x v="0"/>
    <s v="EL INGENIO"/>
    <x v="0"/>
    <x v="0"/>
    <x v="1"/>
    <x v="1"/>
  </r>
  <r>
    <x v="0"/>
    <n v="176818302"/>
    <x v="9"/>
    <x v="0"/>
    <x v="4"/>
    <x v="2"/>
    <x v="0"/>
    <n v="25.14"/>
    <x v="0"/>
    <s v="EL INGENIO"/>
    <x v="0"/>
    <x v="0"/>
    <x v="2"/>
    <x v="2"/>
  </r>
  <r>
    <x v="1"/>
    <n v="176093323"/>
    <x v="10"/>
    <x v="0"/>
    <x v="5"/>
    <x v="0"/>
    <x v="0"/>
    <n v="52.73"/>
    <x v="1"/>
    <s v="PLAZA TOCUMEN"/>
    <x v="0"/>
    <x v="1"/>
    <x v="0"/>
    <x v="0"/>
  </r>
  <r>
    <x v="0"/>
    <n v="176818302"/>
    <x v="11"/>
    <x v="0"/>
    <x v="6"/>
    <x v="2"/>
    <x v="0"/>
    <n v="6.66"/>
    <x v="0"/>
    <s v="SANTIAGO"/>
    <x v="0"/>
    <x v="0"/>
    <x v="2"/>
    <x v="2"/>
  </r>
  <r>
    <x v="1"/>
    <n v="176093323"/>
    <x v="12"/>
    <x v="0"/>
    <x v="7"/>
    <x v="2"/>
    <x v="0"/>
    <n v="234.75"/>
    <x v="1"/>
    <s v="OBARRIO"/>
    <x v="0"/>
    <x v="1"/>
    <x v="2"/>
    <x v="2"/>
  </r>
  <r>
    <x v="0"/>
    <n v="176818302"/>
    <x v="13"/>
    <x v="0"/>
    <x v="7"/>
    <x v="2"/>
    <x v="0"/>
    <n v="281.75"/>
    <x v="0"/>
    <s v="OBARRIO"/>
    <x v="0"/>
    <x v="0"/>
    <x v="2"/>
    <x v="2"/>
  </r>
  <r>
    <x v="1"/>
    <n v="176093323"/>
    <x v="13"/>
    <x v="0"/>
    <x v="7"/>
    <x v="0"/>
    <x v="0"/>
    <n v="57.73"/>
    <x v="1"/>
    <s v="OBARRIO"/>
    <x v="0"/>
    <x v="1"/>
    <x v="0"/>
    <x v="0"/>
  </r>
  <r>
    <x v="0"/>
    <n v="176818302"/>
    <x v="14"/>
    <x v="0"/>
    <x v="7"/>
    <x v="0"/>
    <x v="0"/>
    <n v="43.81"/>
    <x v="0"/>
    <s v="OBARRIO"/>
    <x v="0"/>
    <x v="0"/>
    <x v="0"/>
    <x v="0"/>
  </r>
  <r>
    <x v="1"/>
    <n v="176093323"/>
    <x v="15"/>
    <x v="0"/>
    <x v="8"/>
    <x v="1"/>
    <x v="0"/>
    <n v="92.26"/>
    <x v="1"/>
    <s v="HATO PINTADO"/>
    <x v="0"/>
    <x v="1"/>
    <x v="1"/>
    <x v="1"/>
  </r>
  <r>
    <x v="1"/>
    <n v="176093323"/>
    <x v="16"/>
    <x v="0"/>
    <x v="8"/>
    <x v="2"/>
    <x v="0"/>
    <n v="316.97000000000003"/>
    <x v="1"/>
    <s v="HATO PINTADO"/>
    <x v="0"/>
    <x v="1"/>
    <x v="2"/>
    <x v="2"/>
  </r>
  <r>
    <x v="0"/>
    <n v="176818302"/>
    <x v="17"/>
    <x v="0"/>
    <x v="8"/>
    <x v="2"/>
    <x v="0"/>
    <n v="867.93"/>
    <x v="0"/>
    <s v="HATO PINTADO"/>
    <x v="0"/>
    <x v="0"/>
    <x v="2"/>
    <x v="2"/>
  </r>
  <r>
    <x v="1"/>
    <n v="176093323"/>
    <x v="18"/>
    <x v="0"/>
    <x v="8"/>
    <x v="0"/>
    <x v="0"/>
    <n v="121.69"/>
    <x v="1"/>
    <s v="HATO PINTADO"/>
    <x v="0"/>
    <x v="1"/>
    <x v="0"/>
    <x v="0"/>
  </r>
  <r>
    <x v="0"/>
    <n v="176818302"/>
    <x v="19"/>
    <x v="0"/>
    <x v="8"/>
    <x v="0"/>
    <x v="0"/>
    <n v="49.7"/>
    <x v="0"/>
    <s v="HATO PINTADO"/>
    <x v="0"/>
    <x v="0"/>
    <x v="0"/>
    <x v="0"/>
  </r>
  <r>
    <x v="1"/>
    <n v="176093323"/>
    <x v="20"/>
    <x v="0"/>
    <x v="9"/>
    <x v="2"/>
    <x v="0"/>
    <n v="10.68"/>
    <x v="1"/>
    <s v="LOS ANGELES"/>
    <x v="0"/>
    <x v="1"/>
    <x v="2"/>
    <x v="2"/>
  </r>
  <r>
    <x v="0"/>
    <n v="176818302"/>
    <x v="21"/>
    <x v="0"/>
    <x v="9"/>
    <x v="2"/>
    <x v="0"/>
    <n v="24.85"/>
    <x v="0"/>
    <s v="LOS ANGELES"/>
    <x v="0"/>
    <x v="0"/>
    <x v="2"/>
    <x v="2"/>
  </r>
  <r>
    <x v="1"/>
    <n v="176093323"/>
    <x v="22"/>
    <x v="0"/>
    <x v="10"/>
    <x v="2"/>
    <x v="0"/>
    <n v="339.37"/>
    <x v="1"/>
    <s v="VILLA LUCRE"/>
    <x v="0"/>
    <x v="1"/>
    <x v="2"/>
    <x v="2"/>
  </r>
  <r>
    <x v="0"/>
    <n v="176818302"/>
    <x v="23"/>
    <x v="0"/>
    <x v="10"/>
    <x v="2"/>
    <x v="0"/>
    <n v="403.79"/>
    <x v="0"/>
    <s v="VILLA LUCRE"/>
    <x v="0"/>
    <x v="0"/>
    <x v="2"/>
    <x v="2"/>
  </r>
  <r>
    <x v="1"/>
    <n v="176093323"/>
    <x v="24"/>
    <x v="0"/>
    <x v="11"/>
    <x v="2"/>
    <x v="0"/>
    <n v="1520.74"/>
    <x v="1"/>
    <s v="LOS ANDES"/>
    <x v="0"/>
    <x v="1"/>
    <x v="2"/>
    <x v="2"/>
  </r>
  <r>
    <x v="0"/>
    <n v="176818302"/>
    <x v="25"/>
    <x v="0"/>
    <x v="11"/>
    <x v="2"/>
    <x v="0"/>
    <n v="1388.9"/>
    <x v="0"/>
    <s v="LOS ANDES"/>
    <x v="0"/>
    <x v="0"/>
    <x v="2"/>
    <x v="2"/>
  </r>
  <r>
    <x v="1"/>
    <n v="176093323"/>
    <x v="26"/>
    <x v="0"/>
    <x v="12"/>
    <x v="2"/>
    <x v="0"/>
    <n v="164.81"/>
    <x v="1"/>
    <s v="CHITRE"/>
    <x v="0"/>
    <x v="1"/>
    <x v="2"/>
    <x v="2"/>
  </r>
  <r>
    <x v="0"/>
    <n v="176818302"/>
    <x v="27"/>
    <x v="0"/>
    <x v="12"/>
    <x v="2"/>
    <x v="0"/>
    <n v="327.9"/>
    <x v="0"/>
    <s v="CHITRE"/>
    <x v="0"/>
    <x v="0"/>
    <x v="2"/>
    <x v="2"/>
  </r>
  <r>
    <x v="1"/>
    <n v="176093323"/>
    <x v="28"/>
    <x v="0"/>
    <x v="12"/>
    <x v="0"/>
    <x v="0"/>
    <n v="28"/>
    <x v="1"/>
    <s v="CHITRE"/>
    <x v="0"/>
    <x v="1"/>
    <x v="0"/>
    <x v="0"/>
  </r>
  <r>
    <x v="1"/>
    <n v="176093323"/>
    <x v="29"/>
    <x v="0"/>
    <x v="13"/>
    <x v="2"/>
    <x v="0"/>
    <n v="362.75"/>
    <x v="1"/>
    <s v="LOS PUEBLOS"/>
    <x v="0"/>
    <x v="1"/>
    <x v="2"/>
    <x v="2"/>
  </r>
  <r>
    <x v="0"/>
    <n v="176818302"/>
    <x v="30"/>
    <x v="0"/>
    <x v="13"/>
    <x v="2"/>
    <x v="0"/>
    <n v="471.52"/>
    <x v="0"/>
    <s v="LOS PUEBLOS"/>
    <x v="0"/>
    <x v="0"/>
    <x v="2"/>
    <x v="2"/>
  </r>
  <r>
    <x v="1"/>
    <n v="176093323"/>
    <x v="31"/>
    <x v="0"/>
    <x v="13"/>
    <x v="0"/>
    <x v="0"/>
    <n v="13.33"/>
    <x v="1"/>
    <s v="LOS PUEBLOS"/>
    <x v="0"/>
    <x v="1"/>
    <x v="0"/>
    <x v="0"/>
  </r>
  <r>
    <x v="2"/>
    <n v="176326174"/>
    <x v="32"/>
    <x v="0"/>
    <x v="13"/>
    <x v="0"/>
    <x v="0"/>
    <n v="15.81"/>
    <x v="2"/>
    <s v="LOS PUEBLOS"/>
    <x v="0"/>
    <x v="2"/>
    <x v="0"/>
    <x v="0"/>
  </r>
  <r>
    <x v="1"/>
    <n v="176093323"/>
    <x v="33"/>
    <x v="0"/>
    <x v="14"/>
    <x v="1"/>
    <x v="0"/>
    <n v="33.58"/>
    <x v="1"/>
    <s v="TRANSISTMICA"/>
    <x v="0"/>
    <x v="1"/>
    <x v="1"/>
    <x v="1"/>
  </r>
  <r>
    <x v="0"/>
    <n v="176818302"/>
    <x v="34"/>
    <x v="0"/>
    <x v="14"/>
    <x v="1"/>
    <x v="0"/>
    <n v="34.42"/>
    <x v="0"/>
    <s v="TRANSISTMICA"/>
    <x v="0"/>
    <x v="0"/>
    <x v="1"/>
    <x v="1"/>
  </r>
  <r>
    <x v="1"/>
    <n v="176093323"/>
    <x v="35"/>
    <x v="0"/>
    <x v="14"/>
    <x v="2"/>
    <x v="0"/>
    <n v="496.79"/>
    <x v="1"/>
    <s v="TRANSISTMICA"/>
    <x v="0"/>
    <x v="1"/>
    <x v="2"/>
    <x v="2"/>
  </r>
  <r>
    <x v="0"/>
    <n v="176818302"/>
    <x v="36"/>
    <x v="0"/>
    <x v="14"/>
    <x v="2"/>
    <x v="0"/>
    <n v="1473.5"/>
    <x v="0"/>
    <s v="TRANSISTMICA"/>
    <x v="0"/>
    <x v="0"/>
    <x v="2"/>
    <x v="2"/>
  </r>
  <r>
    <x v="1"/>
    <n v="176093323"/>
    <x v="37"/>
    <x v="0"/>
    <x v="14"/>
    <x v="0"/>
    <x v="0"/>
    <n v="88.67"/>
    <x v="1"/>
    <s v="TRANSISTMICA"/>
    <x v="0"/>
    <x v="1"/>
    <x v="0"/>
    <x v="0"/>
  </r>
  <r>
    <x v="0"/>
    <n v="176818302"/>
    <x v="38"/>
    <x v="0"/>
    <x v="14"/>
    <x v="0"/>
    <x v="0"/>
    <n v="52.49"/>
    <x v="0"/>
    <s v="TRANSISTMICA"/>
    <x v="0"/>
    <x v="0"/>
    <x v="0"/>
    <x v="0"/>
  </r>
  <r>
    <x v="1"/>
    <n v="176093323"/>
    <x v="39"/>
    <x v="0"/>
    <x v="15"/>
    <x v="2"/>
    <x v="0"/>
    <n v="41.48"/>
    <x v="1"/>
    <s v="PARQUE LEFEVRE"/>
    <x v="0"/>
    <x v="1"/>
    <x v="2"/>
    <x v="2"/>
  </r>
  <r>
    <x v="0"/>
    <n v="176818302"/>
    <x v="40"/>
    <x v="0"/>
    <x v="15"/>
    <x v="2"/>
    <x v="0"/>
    <n v="80.37"/>
    <x v="0"/>
    <s v="PARQUE LEFEVRE"/>
    <x v="0"/>
    <x v="0"/>
    <x v="2"/>
    <x v="2"/>
  </r>
  <r>
    <x v="1"/>
    <n v="176093323"/>
    <x v="41"/>
    <x v="0"/>
    <x v="15"/>
    <x v="0"/>
    <x v="0"/>
    <n v="39.61"/>
    <x v="1"/>
    <s v="PARQUE LEFEVRE"/>
    <x v="0"/>
    <x v="1"/>
    <x v="0"/>
    <x v="0"/>
  </r>
  <r>
    <x v="3"/>
    <n v="175921689"/>
    <x v="42"/>
    <x v="0"/>
    <x v="16"/>
    <x v="2"/>
    <x v="0"/>
    <n v="61.02"/>
    <x v="2"/>
    <s v="DAVID"/>
    <x v="0"/>
    <x v="3"/>
    <x v="2"/>
    <x v="2"/>
  </r>
  <r>
    <x v="1"/>
    <n v="176093323"/>
    <x v="43"/>
    <x v="0"/>
    <x v="16"/>
    <x v="2"/>
    <x v="0"/>
    <n v="244"/>
    <x v="1"/>
    <s v="DAVID"/>
    <x v="0"/>
    <x v="1"/>
    <x v="2"/>
    <x v="2"/>
  </r>
  <r>
    <x v="0"/>
    <n v="176818302"/>
    <x v="44"/>
    <x v="0"/>
    <x v="16"/>
    <x v="2"/>
    <x v="0"/>
    <n v="465.27"/>
    <x v="0"/>
    <s v="DAVID"/>
    <x v="0"/>
    <x v="0"/>
    <x v="2"/>
    <x v="2"/>
  </r>
  <r>
    <x v="0"/>
    <n v="176818302"/>
    <x v="45"/>
    <x v="0"/>
    <x v="17"/>
    <x v="0"/>
    <x v="0"/>
    <n v="24.92"/>
    <x v="0"/>
    <s v="PLAZA LAS AMERICAS"/>
    <x v="0"/>
    <x v="0"/>
    <x v="0"/>
    <x v="0"/>
  </r>
  <r>
    <x v="1"/>
    <n v="176093323"/>
    <x v="46"/>
    <x v="0"/>
    <x v="18"/>
    <x v="2"/>
    <x v="0"/>
    <n v="365.79"/>
    <x v="1"/>
    <s v="ALBROOK MALL"/>
    <x v="0"/>
    <x v="1"/>
    <x v="2"/>
    <x v="2"/>
  </r>
  <r>
    <x v="0"/>
    <n v="176818302"/>
    <x v="47"/>
    <x v="0"/>
    <x v="18"/>
    <x v="2"/>
    <x v="0"/>
    <n v="451.51"/>
    <x v="0"/>
    <s v="ALBROOK MALL"/>
    <x v="0"/>
    <x v="0"/>
    <x v="2"/>
    <x v="2"/>
  </r>
  <r>
    <x v="1"/>
    <n v="176093323"/>
    <x v="48"/>
    <x v="0"/>
    <x v="18"/>
    <x v="0"/>
    <x v="0"/>
    <n v="17.829999999999998"/>
    <x v="1"/>
    <s v="ALBROOK MALL"/>
    <x v="0"/>
    <x v="1"/>
    <x v="0"/>
    <x v="0"/>
  </r>
  <r>
    <x v="1"/>
    <n v="176093323"/>
    <x v="49"/>
    <x v="0"/>
    <x v="19"/>
    <x v="1"/>
    <x v="0"/>
    <n v="68.88"/>
    <x v="1"/>
    <s v="PANAMA PACIFICO"/>
    <x v="0"/>
    <x v="1"/>
    <x v="1"/>
    <x v="1"/>
  </r>
  <r>
    <x v="1"/>
    <n v="176093323"/>
    <x v="50"/>
    <x v="0"/>
    <x v="20"/>
    <x v="2"/>
    <x v="0"/>
    <n v="30.02"/>
    <x v="1"/>
    <s v="ALBROOK"/>
    <x v="0"/>
    <x v="1"/>
    <x v="2"/>
    <x v="2"/>
  </r>
  <r>
    <x v="0"/>
    <n v="176818302"/>
    <x v="51"/>
    <x v="0"/>
    <x v="20"/>
    <x v="2"/>
    <x v="0"/>
    <n v="83.43"/>
    <x v="0"/>
    <s v="ALBROOK"/>
    <x v="0"/>
    <x v="0"/>
    <x v="2"/>
    <x v="2"/>
  </r>
  <r>
    <x v="1"/>
    <n v="176093323"/>
    <x v="52"/>
    <x v="0"/>
    <x v="20"/>
    <x v="0"/>
    <x v="0"/>
    <n v="22.58"/>
    <x v="1"/>
    <s v="ALBROOK"/>
    <x v="0"/>
    <x v="1"/>
    <x v="0"/>
    <x v="0"/>
  </r>
  <r>
    <x v="1"/>
    <n v="176093323"/>
    <x v="53"/>
    <x v="0"/>
    <x v="21"/>
    <x v="2"/>
    <x v="0"/>
    <n v="86.54"/>
    <x v="1"/>
    <s v="SUCURSAL DE VISTA ALEGRE"/>
    <x v="0"/>
    <x v="1"/>
    <x v="2"/>
    <x v="2"/>
  </r>
  <r>
    <x v="0"/>
    <n v="176818302"/>
    <x v="53"/>
    <x v="0"/>
    <x v="21"/>
    <x v="2"/>
    <x v="0"/>
    <n v="323.60000000000002"/>
    <x v="0"/>
    <s v="SUCURSAL DE VISTA ALEGRE"/>
    <x v="0"/>
    <x v="0"/>
    <x v="2"/>
    <x v="2"/>
  </r>
  <r>
    <x v="1"/>
    <n v="176093323"/>
    <x v="54"/>
    <x v="0"/>
    <x v="22"/>
    <x v="2"/>
    <x v="0"/>
    <n v="29.5"/>
    <x v="1"/>
    <s v="24 DE DICIEMBRE"/>
    <x v="0"/>
    <x v="1"/>
    <x v="2"/>
    <x v="2"/>
  </r>
  <r>
    <x v="0"/>
    <n v="176818302"/>
    <x v="54"/>
    <x v="0"/>
    <x v="22"/>
    <x v="2"/>
    <x v="0"/>
    <n v="51.73"/>
    <x v="0"/>
    <s v="24 DE DICIEMBRE"/>
    <x v="0"/>
    <x v="0"/>
    <x v="2"/>
    <x v="2"/>
  </r>
  <r>
    <x v="1"/>
    <n v="176093323"/>
    <x v="55"/>
    <x v="0"/>
    <x v="23"/>
    <x v="2"/>
    <x v="0"/>
    <n v="338.3"/>
    <x v="1"/>
    <s v="COSTA DEL ESTE"/>
    <x v="0"/>
    <x v="1"/>
    <x v="2"/>
    <x v="2"/>
  </r>
  <r>
    <x v="2"/>
    <n v="176326174"/>
    <x v="56"/>
    <x v="0"/>
    <x v="23"/>
    <x v="2"/>
    <x v="0"/>
    <n v="79.02"/>
    <x v="2"/>
    <s v="COSTA DEL ESTE"/>
    <x v="0"/>
    <x v="2"/>
    <x v="2"/>
    <x v="2"/>
  </r>
  <r>
    <x v="0"/>
    <n v="176818302"/>
    <x v="55"/>
    <x v="0"/>
    <x v="23"/>
    <x v="2"/>
    <x v="0"/>
    <n v="235.92"/>
    <x v="0"/>
    <s v="COSTA DEL ESTE"/>
    <x v="0"/>
    <x v="0"/>
    <x v="2"/>
    <x v="2"/>
  </r>
  <r>
    <x v="1"/>
    <n v="176093323"/>
    <x v="57"/>
    <x v="0"/>
    <x v="23"/>
    <x v="0"/>
    <x v="0"/>
    <n v="28.78"/>
    <x v="1"/>
    <s v="COSTA DEL ESTE"/>
    <x v="0"/>
    <x v="1"/>
    <x v="0"/>
    <x v="0"/>
  </r>
  <r>
    <x v="1"/>
    <n v="176093323"/>
    <x v="58"/>
    <x v="0"/>
    <x v="24"/>
    <x v="1"/>
    <x v="0"/>
    <n v="51.1"/>
    <x v="1"/>
    <s v="MULTI PLAZA"/>
    <x v="0"/>
    <x v="1"/>
    <x v="1"/>
    <x v="1"/>
  </r>
  <r>
    <x v="0"/>
    <n v="176818302"/>
    <x v="59"/>
    <x v="0"/>
    <x v="24"/>
    <x v="1"/>
    <x v="0"/>
    <n v="28.22"/>
    <x v="0"/>
    <s v="MULTI PLAZA"/>
    <x v="0"/>
    <x v="0"/>
    <x v="1"/>
    <x v="1"/>
  </r>
  <r>
    <x v="1"/>
    <n v="176093323"/>
    <x v="60"/>
    <x v="0"/>
    <x v="24"/>
    <x v="2"/>
    <x v="0"/>
    <n v="51.02"/>
    <x v="1"/>
    <s v="MULTI PLAZA"/>
    <x v="0"/>
    <x v="1"/>
    <x v="2"/>
    <x v="2"/>
  </r>
  <r>
    <x v="0"/>
    <n v="176818302"/>
    <x v="61"/>
    <x v="0"/>
    <x v="24"/>
    <x v="2"/>
    <x v="0"/>
    <n v="301.62"/>
    <x v="0"/>
    <s v="MULTI PLAZA"/>
    <x v="0"/>
    <x v="0"/>
    <x v="2"/>
    <x v="2"/>
  </r>
  <r>
    <x v="1"/>
    <n v="176093323"/>
    <x v="62"/>
    <x v="0"/>
    <x v="24"/>
    <x v="0"/>
    <x v="0"/>
    <n v="33.15"/>
    <x v="1"/>
    <s v="MULTI PLAZA"/>
    <x v="0"/>
    <x v="1"/>
    <x v="0"/>
    <x v="0"/>
  </r>
  <r>
    <x v="1"/>
    <n v="176093323"/>
    <x v="63"/>
    <x v="0"/>
    <x v="25"/>
    <x v="2"/>
    <x v="0"/>
    <n v="145.5"/>
    <x v="1"/>
    <s v="TERMINAL DE ALBROOK"/>
    <x v="0"/>
    <x v="1"/>
    <x v="2"/>
    <x v="2"/>
  </r>
  <r>
    <x v="0"/>
    <n v="176818302"/>
    <x v="64"/>
    <x v="0"/>
    <x v="25"/>
    <x v="2"/>
    <x v="0"/>
    <n v="246.81"/>
    <x v="0"/>
    <s v="TERMINAL DE ALBROOK"/>
    <x v="0"/>
    <x v="0"/>
    <x v="2"/>
    <x v="2"/>
  </r>
  <r>
    <x v="0"/>
    <n v="176818302"/>
    <x v="65"/>
    <x v="0"/>
    <x v="25"/>
    <x v="0"/>
    <x v="0"/>
    <n v="13.86"/>
    <x v="0"/>
    <s v="TERMINAL DE ALBROOK"/>
    <x v="0"/>
    <x v="0"/>
    <x v="0"/>
    <x v="0"/>
  </r>
  <r>
    <x v="1"/>
    <n v="176093323"/>
    <x v="66"/>
    <x v="0"/>
    <x v="26"/>
    <x v="2"/>
    <x v="0"/>
    <n v="30.14"/>
    <x v="1"/>
    <s v="BOQUETE"/>
    <x v="0"/>
    <x v="1"/>
    <x v="2"/>
    <x v="2"/>
  </r>
  <r>
    <x v="0"/>
    <n v="176818302"/>
    <x v="67"/>
    <x v="0"/>
    <x v="26"/>
    <x v="2"/>
    <x v="0"/>
    <n v="45.75"/>
    <x v="0"/>
    <s v="BOQUETE"/>
    <x v="0"/>
    <x v="0"/>
    <x v="2"/>
    <x v="2"/>
  </r>
  <r>
    <x v="1"/>
    <n v="176093323"/>
    <x v="68"/>
    <x v="0"/>
    <x v="27"/>
    <x v="2"/>
    <x v="0"/>
    <n v="233.51"/>
    <x v="1"/>
    <s v="BRISAS DEL GOLF"/>
    <x v="0"/>
    <x v="1"/>
    <x v="2"/>
    <x v="2"/>
  </r>
  <r>
    <x v="0"/>
    <n v="176818302"/>
    <x v="69"/>
    <x v="0"/>
    <x v="27"/>
    <x v="2"/>
    <x v="0"/>
    <n v="172.65"/>
    <x v="0"/>
    <s v="BRISAS DEL GOLF"/>
    <x v="0"/>
    <x v="0"/>
    <x v="2"/>
    <x v="2"/>
  </r>
  <r>
    <x v="1"/>
    <n v="176093323"/>
    <x v="70"/>
    <x v="0"/>
    <x v="27"/>
    <x v="0"/>
    <x v="0"/>
    <n v="30.87"/>
    <x v="1"/>
    <s v="BRISAS DEL GOLF"/>
    <x v="0"/>
    <x v="1"/>
    <x v="0"/>
    <x v="0"/>
  </r>
  <r>
    <x v="1"/>
    <n v="176093323"/>
    <x v="71"/>
    <x v="0"/>
    <x v="28"/>
    <x v="1"/>
    <x v="0"/>
    <n v="62.37"/>
    <x v="1"/>
    <s v="PUENTE CENTENARIO"/>
    <x v="0"/>
    <x v="1"/>
    <x v="1"/>
    <x v="1"/>
  </r>
  <r>
    <x v="1"/>
    <n v="176093323"/>
    <x v="72"/>
    <x v="0"/>
    <x v="28"/>
    <x v="2"/>
    <x v="0"/>
    <n v="228.39"/>
    <x v="1"/>
    <s v="PUENTE CENTENARIO"/>
    <x v="0"/>
    <x v="1"/>
    <x v="2"/>
    <x v="2"/>
  </r>
  <r>
    <x v="0"/>
    <n v="176818302"/>
    <x v="73"/>
    <x v="0"/>
    <x v="28"/>
    <x v="2"/>
    <x v="0"/>
    <n v="306.07"/>
    <x v="0"/>
    <s v="PUENTE CENTENARIO"/>
    <x v="0"/>
    <x v="0"/>
    <x v="2"/>
    <x v="2"/>
  </r>
  <r>
    <x v="1"/>
    <n v="176093323"/>
    <x v="74"/>
    <x v="0"/>
    <x v="28"/>
    <x v="0"/>
    <x v="0"/>
    <n v="169.99"/>
    <x v="1"/>
    <s v="PUENTE CENTENARIO"/>
    <x v="0"/>
    <x v="1"/>
    <x v="0"/>
    <x v="0"/>
  </r>
  <r>
    <x v="1"/>
    <n v="176093323"/>
    <x v="75"/>
    <x v="0"/>
    <x v="29"/>
    <x v="2"/>
    <x v="0"/>
    <n v="50.1"/>
    <x v="1"/>
    <s v="ALTOS DE PANAMA"/>
    <x v="0"/>
    <x v="1"/>
    <x v="2"/>
    <x v="2"/>
  </r>
  <r>
    <x v="0"/>
    <n v="176818302"/>
    <x v="76"/>
    <x v="0"/>
    <x v="29"/>
    <x v="2"/>
    <x v="0"/>
    <n v="45.5"/>
    <x v="0"/>
    <s v="ALTOS DE PANAMA"/>
    <x v="0"/>
    <x v="0"/>
    <x v="2"/>
    <x v="2"/>
  </r>
  <r>
    <x v="1"/>
    <n v="176093323"/>
    <x v="77"/>
    <x v="0"/>
    <x v="30"/>
    <x v="0"/>
    <x v="0"/>
    <n v="45.75"/>
    <x v="1"/>
    <s v="BUSINESS PARK"/>
    <x v="0"/>
    <x v="1"/>
    <x v="0"/>
    <x v="0"/>
  </r>
  <r>
    <x v="0"/>
    <n v="176818302"/>
    <x v="78"/>
    <x v="0"/>
    <x v="31"/>
    <x v="2"/>
    <x v="0"/>
    <n v="9.59"/>
    <x v="0"/>
    <s v="SAN FRANCISCO"/>
    <x v="0"/>
    <x v="0"/>
    <x v="2"/>
    <x v="2"/>
  </r>
  <r>
    <x v="0"/>
    <n v="176818302"/>
    <x v="79"/>
    <x v="0"/>
    <x v="32"/>
    <x v="0"/>
    <x v="0"/>
    <n v="77.28"/>
    <x v="0"/>
    <s v="PLAZA BANCO GENERAL"/>
    <x v="0"/>
    <x v="0"/>
    <x v="0"/>
    <x v="0"/>
  </r>
  <r>
    <x v="1"/>
    <n v="176093323"/>
    <x v="80"/>
    <x v="0"/>
    <x v="33"/>
    <x v="1"/>
    <x v="0"/>
    <n v="45.54"/>
    <x v="1"/>
    <s v="LA CHORRERA - PARQUE 10 DE NOV."/>
    <x v="0"/>
    <x v="1"/>
    <x v="1"/>
    <x v="1"/>
  </r>
  <r>
    <x v="1"/>
    <n v="176093323"/>
    <x v="81"/>
    <x v="0"/>
    <x v="33"/>
    <x v="2"/>
    <x v="0"/>
    <n v="549.44000000000005"/>
    <x v="1"/>
    <s v="LA CHORRERA - PARQUE 10 DE NOV."/>
    <x v="0"/>
    <x v="1"/>
    <x v="2"/>
    <x v="2"/>
  </r>
  <r>
    <x v="0"/>
    <n v="176818302"/>
    <x v="82"/>
    <x v="0"/>
    <x v="33"/>
    <x v="2"/>
    <x v="0"/>
    <n v="1066.53"/>
    <x v="0"/>
    <s v="LA CHORRERA - PARQUE 10 DE NOV."/>
    <x v="0"/>
    <x v="0"/>
    <x v="2"/>
    <x v="2"/>
  </r>
  <r>
    <x v="1"/>
    <n v="176093323"/>
    <x v="83"/>
    <x v="0"/>
    <x v="33"/>
    <x v="0"/>
    <x v="0"/>
    <n v="31.75"/>
    <x v="1"/>
    <s v="LA CHORRERA - PARQUE 10 DE NOV."/>
    <x v="0"/>
    <x v="1"/>
    <x v="0"/>
    <x v="0"/>
  </r>
  <r>
    <x v="1"/>
    <n v="176093323"/>
    <x v="84"/>
    <x v="0"/>
    <x v="34"/>
    <x v="1"/>
    <x v="0"/>
    <n v="43.34"/>
    <x v="1"/>
    <s v="COSTA DEL ESTE - CENTENARIO"/>
    <x v="0"/>
    <x v="1"/>
    <x v="1"/>
    <x v="1"/>
  </r>
  <r>
    <x v="1"/>
    <n v="176093323"/>
    <x v="85"/>
    <x v="0"/>
    <x v="35"/>
    <x v="2"/>
    <x v="0"/>
    <n v="14.1"/>
    <x v="1"/>
    <s v="MARBELLA"/>
    <x v="0"/>
    <x v="1"/>
    <x v="2"/>
    <x v="2"/>
  </r>
  <r>
    <x v="0"/>
    <n v="176818302"/>
    <x v="86"/>
    <x v="0"/>
    <x v="35"/>
    <x v="2"/>
    <x v="0"/>
    <n v="51.17"/>
    <x v="0"/>
    <s v="MARBELLA"/>
    <x v="0"/>
    <x v="0"/>
    <x v="2"/>
    <x v="2"/>
  </r>
  <r>
    <x v="1"/>
    <n v="176093323"/>
    <x v="87"/>
    <x v="0"/>
    <x v="36"/>
    <x v="2"/>
    <x v="0"/>
    <n v="143.71"/>
    <x v="1"/>
    <s v="VIA SIMON BOLIVAR"/>
    <x v="0"/>
    <x v="1"/>
    <x v="2"/>
    <x v="2"/>
  </r>
  <r>
    <x v="0"/>
    <n v="176818302"/>
    <x v="88"/>
    <x v="0"/>
    <x v="36"/>
    <x v="2"/>
    <x v="0"/>
    <n v="281.07"/>
    <x v="0"/>
    <s v="VIA SIMON BOLIVAR"/>
    <x v="0"/>
    <x v="0"/>
    <x v="2"/>
    <x v="2"/>
  </r>
  <r>
    <x v="1"/>
    <n v="176093323"/>
    <x v="89"/>
    <x v="0"/>
    <x v="36"/>
    <x v="0"/>
    <x v="0"/>
    <n v="12.88"/>
    <x v="1"/>
    <s v="VIA SIMON BOLIVAR"/>
    <x v="0"/>
    <x v="1"/>
    <x v="0"/>
    <x v="0"/>
  </r>
  <r>
    <x v="0"/>
    <n v="176818302"/>
    <x v="90"/>
    <x v="0"/>
    <x v="37"/>
    <x v="0"/>
    <x v="0"/>
    <n v="28.06"/>
    <x v="0"/>
    <s v="JUSTO AROSEMENA"/>
    <x v="0"/>
    <x v="0"/>
    <x v="0"/>
    <x v="0"/>
  </r>
  <r>
    <x v="1"/>
    <n v="176093323"/>
    <x v="91"/>
    <x v="0"/>
    <x v="38"/>
    <x v="2"/>
    <x v="0"/>
    <n v="106.23"/>
    <x v="1"/>
    <s v="BOULEVARD EL DORADO"/>
    <x v="0"/>
    <x v="1"/>
    <x v="2"/>
    <x v="2"/>
  </r>
  <r>
    <x v="0"/>
    <n v="176818302"/>
    <x v="92"/>
    <x v="0"/>
    <x v="38"/>
    <x v="2"/>
    <x v="0"/>
    <n v="53.95"/>
    <x v="0"/>
    <s v="BOULEVARD EL DORADO"/>
    <x v="0"/>
    <x v="0"/>
    <x v="2"/>
    <x v="2"/>
  </r>
  <r>
    <x v="1"/>
    <n v="176093323"/>
    <x v="93"/>
    <x v="0"/>
    <x v="38"/>
    <x v="0"/>
    <x v="0"/>
    <n v="30.27"/>
    <x v="1"/>
    <s v="BOULEVARD EL DORADO"/>
    <x v="0"/>
    <x v="1"/>
    <x v="0"/>
    <x v="0"/>
  </r>
  <r>
    <x v="0"/>
    <n v="176818302"/>
    <x v="94"/>
    <x v="0"/>
    <x v="38"/>
    <x v="0"/>
    <x v="0"/>
    <n v="29.35"/>
    <x v="0"/>
    <s v="BOULEVARD EL DORADO"/>
    <x v="0"/>
    <x v="0"/>
    <x v="0"/>
    <x v="0"/>
  </r>
  <r>
    <x v="1"/>
    <n v="176093323"/>
    <x v="95"/>
    <x v="0"/>
    <x v="39"/>
    <x v="2"/>
    <x v="0"/>
    <n v="503.99"/>
    <x v="1"/>
    <s v="SAN SEBASTIAN"/>
    <x v="0"/>
    <x v="1"/>
    <x v="2"/>
    <x v="2"/>
  </r>
  <r>
    <x v="0"/>
    <n v="176818302"/>
    <x v="96"/>
    <x v="0"/>
    <x v="39"/>
    <x v="2"/>
    <x v="0"/>
    <n v="661.6"/>
    <x v="0"/>
    <s v="SAN SEBASTIAN"/>
    <x v="0"/>
    <x v="0"/>
    <x v="2"/>
    <x v="2"/>
  </r>
  <r>
    <x v="1"/>
    <n v="176093323"/>
    <x v="97"/>
    <x v="0"/>
    <x v="39"/>
    <x v="0"/>
    <x v="0"/>
    <n v="49.79"/>
    <x v="1"/>
    <s v="SAN SEBASTIAN"/>
    <x v="0"/>
    <x v="1"/>
    <x v="0"/>
    <x v="0"/>
  </r>
  <r>
    <x v="0"/>
    <n v="176818302"/>
    <x v="98"/>
    <x v="0"/>
    <x v="39"/>
    <x v="0"/>
    <x v="0"/>
    <n v="15.39"/>
    <x v="0"/>
    <s v="SAN SEBASTIAN"/>
    <x v="0"/>
    <x v="0"/>
    <x v="0"/>
    <x v="0"/>
  </r>
  <r>
    <x v="1"/>
    <n v="176093323"/>
    <x v="99"/>
    <x v="0"/>
    <x v="40"/>
    <x v="2"/>
    <x v="0"/>
    <n v="37.19"/>
    <x v="1"/>
    <s v="VILLA ZAITA"/>
    <x v="0"/>
    <x v="1"/>
    <x v="2"/>
    <x v="2"/>
  </r>
  <r>
    <x v="0"/>
    <n v="176818302"/>
    <x v="100"/>
    <x v="0"/>
    <x v="40"/>
    <x v="2"/>
    <x v="0"/>
    <n v="12.65"/>
    <x v="0"/>
    <s v="VILLA ZAITA"/>
    <x v="0"/>
    <x v="0"/>
    <x v="2"/>
    <x v="2"/>
  </r>
  <r>
    <x v="0"/>
    <n v="176818302"/>
    <x v="101"/>
    <x v="0"/>
    <x v="41"/>
    <x v="2"/>
    <x v="0"/>
    <n v="119.59"/>
    <x v="0"/>
    <s v="BRISAS DEL GOLF ARRAIJAN"/>
    <x v="0"/>
    <x v="0"/>
    <x v="2"/>
    <x v="2"/>
  </r>
  <r>
    <x v="1"/>
    <n v="176093323"/>
    <x v="102"/>
    <x v="0"/>
    <x v="41"/>
    <x v="0"/>
    <x v="0"/>
    <n v="86.35"/>
    <x v="1"/>
    <s v="BRISAS DEL GOLF ARRAIJAN"/>
    <x v="0"/>
    <x v="1"/>
    <x v="0"/>
    <x v="0"/>
  </r>
  <r>
    <x v="4"/>
    <n v="175636909"/>
    <x v="32"/>
    <x v="1"/>
    <x v="0"/>
    <x v="1"/>
    <x v="0"/>
    <n v="2.4"/>
    <x v="3"/>
    <s v="CASA MATRIZ"/>
    <x v="1"/>
    <x v="4"/>
    <x v="1"/>
    <x v="1"/>
  </r>
  <r>
    <x v="5"/>
    <n v="176134839"/>
    <x v="32"/>
    <x v="1"/>
    <x v="0"/>
    <x v="1"/>
    <x v="0"/>
    <n v="5.55"/>
    <x v="3"/>
    <s v="CASA MATRIZ"/>
    <x v="1"/>
    <x v="4"/>
    <x v="1"/>
    <x v="1"/>
  </r>
  <r>
    <x v="6"/>
    <n v="176818772"/>
    <x v="32"/>
    <x v="1"/>
    <x v="0"/>
    <x v="1"/>
    <x v="0"/>
    <n v="2.4"/>
    <x v="3"/>
    <s v="CASA MATRIZ"/>
    <x v="1"/>
    <x v="4"/>
    <x v="1"/>
    <x v="1"/>
  </r>
  <r>
    <x v="3"/>
    <n v="175864711"/>
    <x v="32"/>
    <x v="1"/>
    <x v="2"/>
    <x v="1"/>
    <x v="0"/>
    <n v="9.1999999999999993"/>
    <x v="3"/>
    <s v="EL DORADO"/>
    <x v="1"/>
    <x v="5"/>
    <x v="1"/>
    <x v="1"/>
  </r>
  <r>
    <x v="7"/>
    <n v="176391455"/>
    <x v="32"/>
    <x v="1"/>
    <x v="42"/>
    <x v="1"/>
    <x v="0"/>
    <n v="2.4"/>
    <x v="3"/>
    <s v="VIA ARGENTINA"/>
    <x v="1"/>
    <x v="6"/>
    <x v="1"/>
    <x v="1"/>
  </r>
  <r>
    <x v="8"/>
    <n v="176941062"/>
    <x v="32"/>
    <x v="1"/>
    <x v="42"/>
    <x v="1"/>
    <x v="0"/>
    <n v="1.8"/>
    <x v="3"/>
    <s v="VIA ARGENTINA"/>
    <x v="1"/>
    <x v="6"/>
    <x v="1"/>
    <x v="1"/>
  </r>
  <r>
    <x v="9"/>
    <n v="175802453"/>
    <x v="32"/>
    <x v="1"/>
    <x v="3"/>
    <x v="1"/>
    <x v="0"/>
    <n v="9.1999999999999993"/>
    <x v="3"/>
    <s v="VIA PORRAS"/>
    <x v="1"/>
    <x v="7"/>
    <x v="1"/>
    <x v="1"/>
  </r>
  <r>
    <x v="3"/>
    <n v="175865455"/>
    <x v="32"/>
    <x v="1"/>
    <x v="3"/>
    <x v="1"/>
    <x v="0"/>
    <n v="9.1999999999999993"/>
    <x v="3"/>
    <s v="VIA PORRAS"/>
    <x v="1"/>
    <x v="7"/>
    <x v="1"/>
    <x v="1"/>
  </r>
  <r>
    <x v="1"/>
    <n v="176035024"/>
    <x v="32"/>
    <x v="1"/>
    <x v="3"/>
    <x v="1"/>
    <x v="0"/>
    <n v="1.8"/>
    <x v="3"/>
    <s v="VIA PORRAS"/>
    <x v="1"/>
    <x v="7"/>
    <x v="1"/>
    <x v="1"/>
  </r>
  <r>
    <x v="10"/>
    <n v="176721494"/>
    <x v="32"/>
    <x v="1"/>
    <x v="4"/>
    <x v="1"/>
    <x v="0"/>
    <n v="18.399999999999999"/>
    <x v="3"/>
    <s v="EL INGENIO"/>
    <x v="1"/>
    <x v="8"/>
    <x v="1"/>
    <x v="1"/>
  </r>
  <r>
    <x v="11"/>
    <n v="175924036"/>
    <x v="32"/>
    <x v="1"/>
    <x v="43"/>
    <x v="1"/>
    <x v="0"/>
    <n v="14.7"/>
    <x v="3"/>
    <s v="CHANIS"/>
    <x v="1"/>
    <x v="9"/>
    <x v="1"/>
    <x v="1"/>
  </r>
  <r>
    <x v="12"/>
    <n v="176557274"/>
    <x v="32"/>
    <x v="1"/>
    <x v="43"/>
    <x v="1"/>
    <x v="0"/>
    <n v="6.5"/>
    <x v="3"/>
    <s v="CHANIS"/>
    <x v="1"/>
    <x v="9"/>
    <x v="1"/>
    <x v="1"/>
  </r>
  <r>
    <x v="11"/>
    <n v="175924258"/>
    <x v="32"/>
    <x v="1"/>
    <x v="5"/>
    <x v="1"/>
    <x v="0"/>
    <n v="2.1"/>
    <x v="3"/>
    <s v="PLAZA TOCUMEN"/>
    <x v="1"/>
    <x v="10"/>
    <x v="1"/>
    <x v="1"/>
  </r>
  <r>
    <x v="4"/>
    <n v="175639207"/>
    <x v="32"/>
    <x v="1"/>
    <x v="6"/>
    <x v="1"/>
    <x v="0"/>
    <n v="16"/>
    <x v="3"/>
    <s v="SANTIAGO"/>
    <x v="1"/>
    <x v="11"/>
    <x v="1"/>
    <x v="1"/>
  </r>
  <r>
    <x v="13"/>
    <n v="176095467"/>
    <x v="32"/>
    <x v="1"/>
    <x v="7"/>
    <x v="1"/>
    <x v="0"/>
    <n v="10.25"/>
    <x v="3"/>
    <s v="OBARRIO"/>
    <x v="1"/>
    <x v="12"/>
    <x v="1"/>
    <x v="1"/>
  </r>
  <r>
    <x v="14"/>
    <n v="175575701"/>
    <x v="32"/>
    <x v="1"/>
    <x v="8"/>
    <x v="1"/>
    <x v="0"/>
    <n v="2.4"/>
    <x v="3"/>
    <s v="HATO PINTADO"/>
    <x v="1"/>
    <x v="13"/>
    <x v="1"/>
    <x v="1"/>
  </r>
  <r>
    <x v="15"/>
    <n v="176497092"/>
    <x v="32"/>
    <x v="1"/>
    <x v="8"/>
    <x v="1"/>
    <x v="0"/>
    <n v="10.7"/>
    <x v="3"/>
    <s v="HATO PINTADO"/>
    <x v="1"/>
    <x v="13"/>
    <x v="1"/>
    <x v="1"/>
  </r>
  <r>
    <x v="11"/>
    <n v="175926148"/>
    <x v="32"/>
    <x v="1"/>
    <x v="44"/>
    <x v="1"/>
    <x v="0"/>
    <n v="4.5"/>
    <x v="3"/>
    <s v="LA CHORRERA"/>
    <x v="1"/>
    <x v="14"/>
    <x v="1"/>
    <x v="1"/>
  </r>
  <r>
    <x v="5"/>
    <n v="176196481"/>
    <x v="103"/>
    <x v="1"/>
    <x v="44"/>
    <x v="1"/>
    <x v="0"/>
    <n v="38"/>
    <x v="4"/>
    <s v="LA CHORRERA"/>
    <x v="1"/>
    <x v="15"/>
    <x v="1"/>
    <x v="1"/>
  </r>
  <r>
    <x v="16"/>
    <n v="176669497"/>
    <x v="32"/>
    <x v="1"/>
    <x v="44"/>
    <x v="1"/>
    <x v="0"/>
    <n v="4.5"/>
    <x v="3"/>
    <s v="LA CHORRERA"/>
    <x v="1"/>
    <x v="14"/>
    <x v="1"/>
    <x v="1"/>
  </r>
  <r>
    <x v="12"/>
    <n v="176560454"/>
    <x v="32"/>
    <x v="1"/>
    <x v="11"/>
    <x v="1"/>
    <x v="0"/>
    <n v="5.55"/>
    <x v="3"/>
    <s v="LOS ANDES"/>
    <x v="1"/>
    <x v="16"/>
    <x v="1"/>
    <x v="1"/>
  </r>
  <r>
    <x v="15"/>
    <n v="176498886"/>
    <x v="32"/>
    <x v="1"/>
    <x v="45"/>
    <x v="1"/>
    <x v="0"/>
    <n v="1100"/>
    <x v="3"/>
    <s v="VIA ESPANA"/>
    <x v="1"/>
    <x v="17"/>
    <x v="1"/>
    <x v="1"/>
  </r>
  <r>
    <x v="10"/>
    <n v="176719534"/>
    <x v="42"/>
    <x v="1"/>
    <x v="45"/>
    <x v="1"/>
    <x v="1"/>
    <n v="0"/>
    <x v="5"/>
    <s v="VIA ESPANA"/>
    <x v="1"/>
    <x v="18"/>
    <x v="1"/>
    <x v="1"/>
  </r>
  <r>
    <x v="17"/>
    <n v="176886481"/>
    <x v="32"/>
    <x v="1"/>
    <x v="45"/>
    <x v="1"/>
    <x v="0"/>
    <n v="11.5"/>
    <x v="3"/>
    <s v="VIA ESPANA"/>
    <x v="1"/>
    <x v="17"/>
    <x v="1"/>
    <x v="1"/>
  </r>
  <r>
    <x v="18"/>
    <n v="176456296"/>
    <x v="32"/>
    <x v="1"/>
    <x v="12"/>
    <x v="1"/>
    <x v="0"/>
    <n v="27.4"/>
    <x v="3"/>
    <s v="CHITRE"/>
    <x v="1"/>
    <x v="19"/>
    <x v="1"/>
    <x v="1"/>
  </r>
  <r>
    <x v="19"/>
    <n v="177008095"/>
    <x v="32"/>
    <x v="1"/>
    <x v="12"/>
    <x v="1"/>
    <x v="0"/>
    <n v="8.6999999999999993"/>
    <x v="3"/>
    <s v="CHITRE"/>
    <x v="1"/>
    <x v="19"/>
    <x v="1"/>
    <x v="1"/>
  </r>
  <r>
    <x v="20"/>
    <n v="175984238"/>
    <x v="32"/>
    <x v="1"/>
    <x v="13"/>
    <x v="1"/>
    <x v="0"/>
    <n v="7.4"/>
    <x v="3"/>
    <s v="LOS PUEBLOS"/>
    <x v="1"/>
    <x v="20"/>
    <x v="1"/>
    <x v="1"/>
  </r>
  <r>
    <x v="2"/>
    <n v="176267023"/>
    <x v="32"/>
    <x v="1"/>
    <x v="13"/>
    <x v="1"/>
    <x v="0"/>
    <n v="3.7"/>
    <x v="3"/>
    <s v="LOS PUEBLOS"/>
    <x v="1"/>
    <x v="20"/>
    <x v="1"/>
    <x v="1"/>
  </r>
  <r>
    <x v="11"/>
    <n v="175977772"/>
    <x v="104"/>
    <x v="1"/>
    <x v="46"/>
    <x v="1"/>
    <x v="0"/>
    <n v="41.6"/>
    <x v="4"/>
    <s v="ZONA LIBRE"/>
    <x v="1"/>
    <x v="21"/>
    <x v="1"/>
    <x v="1"/>
  </r>
  <r>
    <x v="12"/>
    <n v="176562290"/>
    <x v="32"/>
    <x v="1"/>
    <x v="46"/>
    <x v="1"/>
    <x v="0"/>
    <n v="1500"/>
    <x v="3"/>
    <s v="ZONA LIBRE"/>
    <x v="1"/>
    <x v="22"/>
    <x v="1"/>
    <x v="1"/>
  </r>
  <r>
    <x v="10"/>
    <n v="176719538"/>
    <x v="42"/>
    <x v="1"/>
    <x v="46"/>
    <x v="1"/>
    <x v="2"/>
    <n v="0"/>
    <x v="6"/>
    <s v="ZONA LIBRE"/>
    <x v="1"/>
    <x v="23"/>
    <x v="1"/>
    <x v="1"/>
  </r>
  <r>
    <x v="11"/>
    <n v="175929174"/>
    <x v="32"/>
    <x v="1"/>
    <x v="47"/>
    <x v="1"/>
    <x v="0"/>
    <n v="2.9"/>
    <x v="3"/>
    <s v="PLAZA GALAPAGO"/>
    <x v="1"/>
    <x v="24"/>
    <x v="1"/>
    <x v="1"/>
  </r>
  <r>
    <x v="21"/>
    <n v="176334455"/>
    <x v="32"/>
    <x v="1"/>
    <x v="47"/>
    <x v="1"/>
    <x v="0"/>
    <n v="1.45"/>
    <x v="3"/>
    <s v="PLAZA GALAPAGO"/>
    <x v="1"/>
    <x v="24"/>
    <x v="1"/>
    <x v="1"/>
  </r>
  <r>
    <x v="15"/>
    <n v="176500813"/>
    <x v="32"/>
    <x v="1"/>
    <x v="47"/>
    <x v="1"/>
    <x v="0"/>
    <n v="6.4"/>
    <x v="3"/>
    <s v="PLAZA GALAPAGO"/>
    <x v="1"/>
    <x v="24"/>
    <x v="1"/>
    <x v="1"/>
  </r>
  <r>
    <x v="3"/>
    <n v="175921690"/>
    <x v="105"/>
    <x v="1"/>
    <x v="16"/>
    <x v="1"/>
    <x v="0"/>
    <n v="24.34"/>
    <x v="4"/>
    <s v="DAVID"/>
    <x v="1"/>
    <x v="25"/>
    <x v="1"/>
    <x v="1"/>
  </r>
  <r>
    <x v="20"/>
    <n v="176033141"/>
    <x v="106"/>
    <x v="1"/>
    <x v="16"/>
    <x v="1"/>
    <x v="0"/>
    <n v="176"/>
    <x v="7"/>
    <s v="DAVID"/>
    <x v="1"/>
    <x v="26"/>
    <x v="1"/>
    <x v="1"/>
  </r>
  <r>
    <x v="8"/>
    <n v="176948714"/>
    <x v="32"/>
    <x v="1"/>
    <x v="17"/>
    <x v="1"/>
    <x v="0"/>
    <n v="9.5500000000000007"/>
    <x v="3"/>
    <s v="PLAZA LAS AMERICAS"/>
    <x v="1"/>
    <x v="27"/>
    <x v="1"/>
    <x v="1"/>
  </r>
  <r>
    <x v="14"/>
    <n v="175580852"/>
    <x v="32"/>
    <x v="1"/>
    <x v="48"/>
    <x v="1"/>
    <x v="0"/>
    <n v="26"/>
    <x v="3"/>
    <s v="CORONADO"/>
    <x v="1"/>
    <x v="28"/>
    <x v="1"/>
    <x v="1"/>
  </r>
  <r>
    <x v="4"/>
    <n v="175645459"/>
    <x v="32"/>
    <x v="1"/>
    <x v="48"/>
    <x v="1"/>
    <x v="0"/>
    <n v="13"/>
    <x v="3"/>
    <s v="CORONADO"/>
    <x v="1"/>
    <x v="28"/>
    <x v="1"/>
    <x v="1"/>
  </r>
  <r>
    <x v="7"/>
    <n v="176451890"/>
    <x v="107"/>
    <x v="1"/>
    <x v="48"/>
    <x v="1"/>
    <x v="0"/>
    <n v="26"/>
    <x v="4"/>
    <s v="CORONADO"/>
    <x v="1"/>
    <x v="29"/>
    <x v="1"/>
    <x v="1"/>
  </r>
  <r>
    <x v="21"/>
    <n v="176389998"/>
    <x v="108"/>
    <x v="1"/>
    <x v="48"/>
    <x v="2"/>
    <x v="0"/>
    <n v="312"/>
    <x v="4"/>
    <s v="CORONADO"/>
    <x v="1"/>
    <x v="30"/>
    <x v="2"/>
    <x v="2"/>
  </r>
  <r>
    <x v="21"/>
    <n v="176389998"/>
    <x v="109"/>
    <x v="1"/>
    <x v="48"/>
    <x v="0"/>
    <x v="0"/>
    <n v="338"/>
    <x v="4"/>
    <s v="CORONADO"/>
    <x v="1"/>
    <x v="30"/>
    <x v="0"/>
    <x v="0"/>
  </r>
  <r>
    <x v="9"/>
    <n v="175810026"/>
    <x v="32"/>
    <x v="1"/>
    <x v="18"/>
    <x v="1"/>
    <x v="0"/>
    <n v="1.8"/>
    <x v="3"/>
    <s v="ALBROOK MALL"/>
    <x v="1"/>
    <x v="31"/>
    <x v="1"/>
    <x v="1"/>
  </r>
  <r>
    <x v="3"/>
    <n v="175872871"/>
    <x v="32"/>
    <x v="1"/>
    <x v="18"/>
    <x v="1"/>
    <x v="0"/>
    <n v="11.3"/>
    <x v="3"/>
    <s v="ALBROOK MALL"/>
    <x v="1"/>
    <x v="31"/>
    <x v="1"/>
    <x v="1"/>
  </r>
  <r>
    <x v="7"/>
    <n v="176451890"/>
    <x v="110"/>
    <x v="1"/>
    <x v="18"/>
    <x v="1"/>
    <x v="0"/>
    <n v="12"/>
    <x v="4"/>
    <s v="ALBROOK MALL"/>
    <x v="1"/>
    <x v="29"/>
    <x v="1"/>
    <x v="1"/>
  </r>
  <r>
    <x v="22"/>
    <n v="175764582"/>
    <x v="32"/>
    <x v="1"/>
    <x v="19"/>
    <x v="1"/>
    <x v="0"/>
    <n v="25"/>
    <x v="3"/>
    <s v="PANAMA PACIFICO"/>
    <x v="1"/>
    <x v="32"/>
    <x v="1"/>
    <x v="1"/>
  </r>
  <r>
    <x v="17"/>
    <n v="176889851"/>
    <x v="32"/>
    <x v="1"/>
    <x v="19"/>
    <x v="1"/>
    <x v="0"/>
    <n v="15"/>
    <x v="3"/>
    <s v="PANAMA PACIFICO"/>
    <x v="1"/>
    <x v="32"/>
    <x v="1"/>
    <x v="1"/>
  </r>
  <r>
    <x v="5"/>
    <n v="176144230"/>
    <x v="32"/>
    <x v="1"/>
    <x v="49"/>
    <x v="1"/>
    <x v="0"/>
    <n v="2.1"/>
    <x v="3"/>
    <s v="PENONOME"/>
    <x v="1"/>
    <x v="33"/>
    <x v="1"/>
    <x v="1"/>
  </r>
  <r>
    <x v="20"/>
    <n v="176033141"/>
    <x v="111"/>
    <x v="1"/>
    <x v="49"/>
    <x v="2"/>
    <x v="0"/>
    <n v="126"/>
    <x v="4"/>
    <s v="PENONOME"/>
    <x v="1"/>
    <x v="26"/>
    <x v="2"/>
    <x v="2"/>
  </r>
  <r>
    <x v="6"/>
    <n v="176828272"/>
    <x v="32"/>
    <x v="1"/>
    <x v="20"/>
    <x v="1"/>
    <x v="0"/>
    <n v="17.399999999999999"/>
    <x v="3"/>
    <s v="ALBROOK"/>
    <x v="1"/>
    <x v="34"/>
    <x v="1"/>
    <x v="1"/>
  </r>
  <r>
    <x v="11"/>
    <n v="175977772"/>
    <x v="112"/>
    <x v="1"/>
    <x v="20"/>
    <x v="2"/>
    <x v="0"/>
    <n v="147.9"/>
    <x v="4"/>
    <s v="ALBROOK"/>
    <x v="1"/>
    <x v="21"/>
    <x v="2"/>
    <x v="2"/>
  </r>
  <r>
    <x v="20"/>
    <n v="175987480"/>
    <x v="32"/>
    <x v="1"/>
    <x v="21"/>
    <x v="1"/>
    <x v="0"/>
    <n v="4.5"/>
    <x v="3"/>
    <s v="SUCURSAL DE VISTA ALEGRE"/>
    <x v="1"/>
    <x v="35"/>
    <x v="1"/>
    <x v="1"/>
  </r>
  <r>
    <x v="22"/>
    <n v="175765343"/>
    <x v="32"/>
    <x v="1"/>
    <x v="50"/>
    <x v="1"/>
    <x v="0"/>
    <n v="42"/>
    <x v="3"/>
    <s v="LAS TABLAS"/>
    <x v="1"/>
    <x v="36"/>
    <x v="1"/>
    <x v="1"/>
  </r>
  <r>
    <x v="23"/>
    <n v="176207518"/>
    <x v="32"/>
    <x v="1"/>
    <x v="50"/>
    <x v="1"/>
    <x v="0"/>
    <n v="3"/>
    <x v="3"/>
    <s v="LAS TABLAS"/>
    <x v="1"/>
    <x v="36"/>
    <x v="1"/>
    <x v="1"/>
  </r>
  <r>
    <x v="15"/>
    <n v="176503593"/>
    <x v="32"/>
    <x v="1"/>
    <x v="50"/>
    <x v="1"/>
    <x v="0"/>
    <n v="14"/>
    <x v="3"/>
    <s v="LAS TABLAS"/>
    <x v="1"/>
    <x v="36"/>
    <x v="1"/>
    <x v="1"/>
  </r>
  <r>
    <x v="0"/>
    <n v="176784482"/>
    <x v="32"/>
    <x v="1"/>
    <x v="50"/>
    <x v="1"/>
    <x v="0"/>
    <n v="14"/>
    <x v="3"/>
    <s v="LAS TABLAS"/>
    <x v="1"/>
    <x v="36"/>
    <x v="1"/>
    <x v="1"/>
  </r>
  <r>
    <x v="21"/>
    <n v="176389998"/>
    <x v="105"/>
    <x v="1"/>
    <x v="50"/>
    <x v="0"/>
    <x v="0"/>
    <n v="182"/>
    <x v="4"/>
    <s v="LAS TABLAS"/>
    <x v="1"/>
    <x v="30"/>
    <x v="0"/>
    <x v="0"/>
  </r>
  <r>
    <x v="11"/>
    <n v="175931940"/>
    <x v="32"/>
    <x v="1"/>
    <x v="22"/>
    <x v="1"/>
    <x v="0"/>
    <n v="9.5500000000000007"/>
    <x v="3"/>
    <s v="24 DE DICIEMBRE"/>
    <x v="1"/>
    <x v="37"/>
    <x v="1"/>
    <x v="1"/>
  </r>
  <r>
    <x v="2"/>
    <n v="176271799"/>
    <x v="32"/>
    <x v="1"/>
    <x v="23"/>
    <x v="1"/>
    <x v="0"/>
    <n v="7.35"/>
    <x v="3"/>
    <s v="COSTA DEL ESTE"/>
    <x v="1"/>
    <x v="38"/>
    <x v="1"/>
    <x v="1"/>
  </r>
  <r>
    <x v="7"/>
    <n v="176451890"/>
    <x v="113"/>
    <x v="1"/>
    <x v="25"/>
    <x v="1"/>
    <x v="0"/>
    <n v="12"/>
    <x v="4"/>
    <s v="TERMINAL DE ALBROOK"/>
    <x v="1"/>
    <x v="29"/>
    <x v="1"/>
    <x v="1"/>
  </r>
  <r>
    <x v="4"/>
    <n v="175696740"/>
    <x v="114"/>
    <x v="1"/>
    <x v="26"/>
    <x v="1"/>
    <x v="0"/>
    <n v="286"/>
    <x v="4"/>
    <s v="BOQUETE"/>
    <x v="1"/>
    <x v="39"/>
    <x v="1"/>
    <x v="1"/>
  </r>
  <r>
    <x v="24"/>
    <n v="175709476"/>
    <x v="32"/>
    <x v="1"/>
    <x v="26"/>
    <x v="1"/>
    <x v="0"/>
    <n v="22"/>
    <x v="3"/>
    <s v="BOQUETE"/>
    <x v="1"/>
    <x v="40"/>
    <x v="1"/>
    <x v="1"/>
  </r>
  <r>
    <x v="22"/>
    <n v="175766494"/>
    <x v="32"/>
    <x v="1"/>
    <x v="26"/>
    <x v="1"/>
    <x v="0"/>
    <n v="22"/>
    <x v="3"/>
    <s v="BOQUETE"/>
    <x v="1"/>
    <x v="40"/>
    <x v="1"/>
    <x v="1"/>
  </r>
  <r>
    <x v="7"/>
    <n v="176451890"/>
    <x v="115"/>
    <x v="1"/>
    <x v="26"/>
    <x v="1"/>
    <x v="0"/>
    <n v="136.61000000000001"/>
    <x v="8"/>
    <s v="BOQUETE"/>
    <x v="1"/>
    <x v="29"/>
    <x v="1"/>
    <x v="1"/>
  </r>
  <r>
    <x v="17"/>
    <n v="176939618"/>
    <x v="116"/>
    <x v="1"/>
    <x v="26"/>
    <x v="1"/>
    <x v="3"/>
    <n v="0"/>
    <x v="8"/>
    <s v="BOQUETE"/>
    <x v="1"/>
    <x v="41"/>
    <x v="1"/>
    <x v="1"/>
  </r>
  <r>
    <x v="14"/>
    <n v="175585079"/>
    <x v="32"/>
    <x v="1"/>
    <x v="28"/>
    <x v="1"/>
    <x v="0"/>
    <n v="3.7"/>
    <x v="3"/>
    <s v="PUENTE CENTENARIO"/>
    <x v="1"/>
    <x v="42"/>
    <x v="1"/>
    <x v="1"/>
  </r>
  <r>
    <x v="9"/>
    <n v="175813895"/>
    <x v="32"/>
    <x v="1"/>
    <x v="28"/>
    <x v="1"/>
    <x v="0"/>
    <n v="3.15"/>
    <x v="3"/>
    <s v="PUENTE CENTENARIO"/>
    <x v="1"/>
    <x v="42"/>
    <x v="1"/>
    <x v="1"/>
  </r>
  <r>
    <x v="9"/>
    <n v="175814153"/>
    <x v="32"/>
    <x v="1"/>
    <x v="51"/>
    <x v="1"/>
    <x v="0"/>
    <n v="18"/>
    <x v="3"/>
    <s v="AGUADULCE"/>
    <x v="1"/>
    <x v="43"/>
    <x v="1"/>
    <x v="1"/>
  </r>
  <r>
    <x v="3"/>
    <n v="175876921"/>
    <x v="32"/>
    <x v="1"/>
    <x v="51"/>
    <x v="1"/>
    <x v="0"/>
    <n v="72"/>
    <x v="3"/>
    <s v="AGUADULCE"/>
    <x v="1"/>
    <x v="43"/>
    <x v="1"/>
    <x v="1"/>
  </r>
  <r>
    <x v="1"/>
    <n v="176093324"/>
    <x v="117"/>
    <x v="1"/>
    <x v="51"/>
    <x v="1"/>
    <x v="0"/>
    <n v="91.5"/>
    <x v="4"/>
    <s v="AGUADULCE"/>
    <x v="1"/>
    <x v="44"/>
    <x v="1"/>
    <x v="1"/>
  </r>
  <r>
    <x v="21"/>
    <n v="176389998"/>
    <x v="118"/>
    <x v="1"/>
    <x v="51"/>
    <x v="0"/>
    <x v="0"/>
    <n v="136.5"/>
    <x v="4"/>
    <s v="AGUADULCE"/>
    <x v="1"/>
    <x v="30"/>
    <x v="0"/>
    <x v="0"/>
  </r>
  <r>
    <x v="12"/>
    <n v="176611219"/>
    <x v="119"/>
    <x v="1"/>
    <x v="52"/>
    <x v="1"/>
    <x v="0"/>
    <n v="39"/>
    <x v="4"/>
    <s v="SABANITAS"/>
    <x v="1"/>
    <x v="45"/>
    <x v="1"/>
    <x v="1"/>
  </r>
  <r>
    <x v="21"/>
    <n v="176389998"/>
    <x v="111"/>
    <x v="1"/>
    <x v="52"/>
    <x v="0"/>
    <x v="0"/>
    <n v="190.4"/>
    <x v="4"/>
    <s v="SABANITAS"/>
    <x v="1"/>
    <x v="30"/>
    <x v="0"/>
    <x v="0"/>
  </r>
  <r>
    <x v="7"/>
    <n v="176404780"/>
    <x v="32"/>
    <x v="1"/>
    <x v="30"/>
    <x v="1"/>
    <x v="0"/>
    <n v="2.4"/>
    <x v="3"/>
    <s v="BUSINESS PARK"/>
    <x v="1"/>
    <x v="46"/>
    <x v="1"/>
    <x v="1"/>
  </r>
  <r>
    <x v="17"/>
    <n v="176894640"/>
    <x v="32"/>
    <x v="1"/>
    <x v="30"/>
    <x v="1"/>
    <x v="0"/>
    <n v="1.8"/>
    <x v="3"/>
    <s v="BUSINESS PARK"/>
    <x v="1"/>
    <x v="46"/>
    <x v="1"/>
    <x v="1"/>
  </r>
  <r>
    <x v="14"/>
    <n v="175586610"/>
    <x v="32"/>
    <x v="1"/>
    <x v="31"/>
    <x v="1"/>
    <x v="0"/>
    <n v="1500"/>
    <x v="3"/>
    <s v="SAN FRANCISCO"/>
    <x v="1"/>
    <x v="47"/>
    <x v="1"/>
    <x v="1"/>
  </r>
  <r>
    <x v="10"/>
    <n v="176719401"/>
    <x v="42"/>
    <x v="1"/>
    <x v="31"/>
    <x v="1"/>
    <x v="2"/>
    <n v="0"/>
    <x v="9"/>
    <s v="SAN FRANCISCO"/>
    <x v="1"/>
    <x v="23"/>
    <x v="1"/>
    <x v="1"/>
  </r>
  <r>
    <x v="17"/>
    <n v="176894914"/>
    <x v="32"/>
    <x v="1"/>
    <x v="31"/>
    <x v="1"/>
    <x v="0"/>
    <n v="1.5"/>
    <x v="3"/>
    <s v="SAN FRANCISCO"/>
    <x v="1"/>
    <x v="47"/>
    <x v="1"/>
    <x v="1"/>
  </r>
  <r>
    <x v="8"/>
    <n v="176954483"/>
    <x v="32"/>
    <x v="1"/>
    <x v="31"/>
    <x v="1"/>
    <x v="0"/>
    <n v="1.5"/>
    <x v="3"/>
    <s v="SAN FRANCISCO"/>
    <x v="1"/>
    <x v="47"/>
    <x v="1"/>
    <x v="1"/>
  </r>
  <r>
    <x v="24"/>
    <n v="175712007"/>
    <x v="32"/>
    <x v="1"/>
    <x v="32"/>
    <x v="1"/>
    <x v="0"/>
    <n v="1.8"/>
    <x v="3"/>
    <s v="PLAZA BANCO GENERAL"/>
    <x v="1"/>
    <x v="48"/>
    <x v="1"/>
    <x v="1"/>
  </r>
  <r>
    <x v="25"/>
    <n v="176624734"/>
    <x v="32"/>
    <x v="1"/>
    <x v="32"/>
    <x v="1"/>
    <x v="0"/>
    <n v="13.3"/>
    <x v="3"/>
    <s v="PLAZA BANCO GENERAL"/>
    <x v="1"/>
    <x v="48"/>
    <x v="1"/>
    <x v="1"/>
  </r>
  <r>
    <x v="6"/>
    <n v="176833107"/>
    <x v="32"/>
    <x v="1"/>
    <x v="32"/>
    <x v="1"/>
    <x v="0"/>
    <n v="2.4"/>
    <x v="3"/>
    <s v="PLAZA BANCO GENERAL"/>
    <x v="1"/>
    <x v="48"/>
    <x v="1"/>
    <x v="1"/>
  </r>
  <r>
    <x v="20"/>
    <n v="175991940"/>
    <x v="32"/>
    <x v="1"/>
    <x v="33"/>
    <x v="1"/>
    <x v="0"/>
    <n v="9"/>
    <x v="3"/>
    <s v="LA CHORRERA - PARQUE 10 DE NOV."/>
    <x v="1"/>
    <x v="49"/>
    <x v="1"/>
    <x v="1"/>
  </r>
  <r>
    <x v="11"/>
    <n v="175936458"/>
    <x v="32"/>
    <x v="1"/>
    <x v="34"/>
    <x v="1"/>
    <x v="0"/>
    <n v="7.35"/>
    <x v="3"/>
    <s v="COSTA DEL ESTE - CENTENARIO"/>
    <x v="1"/>
    <x v="50"/>
    <x v="1"/>
    <x v="1"/>
  </r>
  <r>
    <x v="23"/>
    <n v="176212851"/>
    <x v="32"/>
    <x v="1"/>
    <x v="34"/>
    <x v="1"/>
    <x v="0"/>
    <n v="2.25"/>
    <x v="3"/>
    <s v="COSTA DEL ESTE - CENTENARIO"/>
    <x v="1"/>
    <x v="50"/>
    <x v="1"/>
    <x v="1"/>
  </r>
  <r>
    <x v="5"/>
    <n v="176150814"/>
    <x v="32"/>
    <x v="1"/>
    <x v="53"/>
    <x v="1"/>
    <x v="0"/>
    <n v="1200"/>
    <x v="3"/>
    <s v="PLAZA CAROLINA"/>
    <x v="1"/>
    <x v="51"/>
    <x v="1"/>
    <x v="1"/>
  </r>
  <r>
    <x v="16"/>
    <n v="176679812"/>
    <x v="32"/>
    <x v="1"/>
    <x v="53"/>
    <x v="1"/>
    <x v="0"/>
    <n v="6.5"/>
    <x v="3"/>
    <s v="PLAZA CAROLINA"/>
    <x v="1"/>
    <x v="51"/>
    <x v="1"/>
    <x v="1"/>
  </r>
  <r>
    <x v="10"/>
    <n v="176719533"/>
    <x v="42"/>
    <x v="1"/>
    <x v="53"/>
    <x v="1"/>
    <x v="4"/>
    <n v="0"/>
    <x v="10"/>
    <s v="PLAZA CAROLINA"/>
    <x v="1"/>
    <x v="23"/>
    <x v="1"/>
    <x v="1"/>
  </r>
  <r>
    <x v="0"/>
    <n v="176787908"/>
    <x v="32"/>
    <x v="1"/>
    <x v="53"/>
    <x v="1"/>
    <x v="0"/>
    <n v="14.55"/>
    <x v="3"/>
    <s v="PLAZA CAROLINA"/>
    <x v="1"/>
    <x v="51"/>
    <x v="1"/>
    <x v="1"/>
  </r>
  <r>
    <x v="10"/>
    <n v="176777716"/>
    <x v="120"/>
    <x v="1"/>
    <x v="54"/>
    <x v="1"/>
    <x v="0"/>
    <n v="12"/>
    <x v="4"/>
    <s v="CIUDAD DEL SABER"/>
    <x v="1"/>
    <x v="52"/>
    <x v="1"/>
    <x v="1"/>
  </r>
  <r>
    <x v="20"/>
    <n v="176003726"/>
    <x v="32"/>
    <x v="1"/>
    <x v="40"/>
    <x v="1"/>
    <x v="0"/>
    <n v="12"/>
    <x v="3"/>
    <s v="VILLA ZAITA"/>
    <x v="1"/>
    <x v="53"/>
    <x v="1"/>
    <x v="1"/>
  </r>
  <r>
    <x v="12"/>
    <n v="176581447"/>
    <x v="32"/>
    <x v="1"/>
    <x v="55"/>
    <x v="1"/>
    <x v="0"/>
    <n v="1100"/>
    <x v="3"/>
    <s v="AZUERO TERMINAL PLAZA"/>
    <x v="1"/>
    <x v="54"/>
    <x v="1"/>
    <x v="1"/>
  </r>
  <r>
    <x v="10"/>
    <n v="176719536"/>
    <x v="42"/>
    <x v="1"/>
    <x v="55"/>
    <x v="1"/>
    <x v="1"/>
    <n v="0"/>
    <x v="11"/>
    <s v="AZUERO TERMINAL PLAZA"/>
    <x v="1"/>
    <x v="18"/>
    <x v="1"/>
    <x v="1"/>
  </r>
  <r>
    <x v="23"/>
    <n v="176259407"/>
    <x v="121"/>
    <x v="1"/>
    <x v="56"/>
    <x v="1"/>
    <x v="0"/>
    <n v="9.5"/>
    <x v="4"/>
    <s v="COSTA VERDE"/>
    <x v="1"/>
    <x v="55"/>
    <x v="1"/>
    <x v="1"/>
  </r>
  <r>
    <x v="21"/>
    <n v="176355488"/>
    <x v="32"/>
    <x v="1"/>
    <x v="56"/>
    <x v="1"/>
    <x v="0"/>
    <n v="4.5"/>
    <x v="3"/>
    <s v="COSTA VERDE"/>
    <x v="1"/>
    <x v="56"/>
    <x v="1"/>
    <x v="1"/>
  </r>
  <r>
    <x v="16"/>
    <n v="176690865"/>
    <x v="32"/>
    <x v="1"/>
    <x v="57"/>
    <x v="1"/>
    <x v="0"/>
    <n v="1.8"/>
    <x v="3"/>
    <s v="PLAZA LOS ANGELES"/>
    <x v="1"/>
    <x v="57"/>
    <x v="1"/>
    <x v="1"/>
  </r>
  <r>
    <x v="6"/>
    <n v="176846900"/>
    <x v="42"/>
    <x v="1"/>
    <x v="57"/>
    <x v="2"/>
    <x v="5"/>
    <n v="0"/>
    <x v="12"/>
    <s v="PLAZA LOS ANGELES"/>
    <x v="1"/>
    <x v="58"/>
    <x v="2"/>
    <x v="2"/>
  </r>
  <r>
    <x v="8"/>
    <n v="176939858"/>
    <x v="32"/>
    <x v="1"/>
    <x v="57"/>
    <x v="2"/>
    <x v="0"/>
    <n v="6.85"/>
    <x v="13"/>
    <s v="PLAZA LOS ANGELES"/>
    <x v="1"/>
    <x v="59"/>
    <x v="2"/>
    <x v="2"/>
  </r>
  <r>
    <x v="8"/>
    <n v="176939858"/>
    <x v="122"/>
    <x v="1"/>
    <x v="57"/>
    <x v="2"/>
    <x v="0"/>
    <n v="6.85"/>
    <x v="14"/>
    <s v="PLAZA LOS ANGELES"/>
    <x v="1"/>
    <x v="59"/>
    <x v="2"/>
    <x v="2"/>
  </r>
  <r>
    <x v="1"/>
    <n v="176093324"/>
    <x v="123"/>
    <x v="1"/>
    <x v="58"/>
    <x v="1"/>
    <x v="0"/>
    <n v="70"/>
    <x v="4"/>
    <s v="SAN MATEO"/>
    <x v="1"/>
    <x v="44"/>
    <x v="1"/>
    <x v="1"/>
  </r>
  <r>
    <x v="14"/>
    <n v="175601425"/>
    <x v="32"/>
    <x v="1"/>
    <x v="41"/>
    <x v="1"/>
    <x v="0"/>
    <n v="4.5"/>
    <x v="3"/>
    <s v="BRISAS DEL GOLF ARRAIJAN"/>
    <x v="1"/>
    <x v="60"/>
    <x v="1"/>
    <x v="1"/>
  </r>
  <r>
    <x v="9"/>
    <n v="175830502"/>
    <x v="32"/>
    <x v="1"/>
    <x v="59"/>
    <x v="1"/>
    <x v="0"/>
    <n v="13"/>
    <x v="3"/>
    <s v="PASEO ARRAIJAN"/>
    <x v="1"/>
    <x v="61"/>
    <x v="1"/>
    <x v="1"/>
  </r>
  <r>
    <x v="4"/>
    <n v="175665315"/>
    <x v="32"/>
    <x v="1"/>
    <x v="60"/>
    <x v="1"/>
    <x v="0"/>
    <n v="3.6"/>
    <x v="3"/>
    <s v="SANTA MARIA"/>
    <x v="1"/>
    <x v="62"/>
    <x v="1"/>
    <x v="1"/>
  </r>
  <r>
    <x v="25"/>
    <n v="176637475"/>
    <x v="32"/>
    <x v="1"/>
    <x v="60"/>
    <x v="1"/>
    <x v="0"/>
    <n v="3.6"/>
    <x v="3"/>
    <s v="SANTA MARIA"/>
    <x v="1"/>
    <x v="62"/>
    <x v="1"/>
    <x v="1"/>
  </r>
  <r>
    <x v="16"/>
    <n v="176719325"/>
    <x v="32"/>
    <x v="2"/>
    <x v="0"/>
    <x v="1"/>
    <x v="0"/>
    <n v="63.13"/>
    <x v="15"/>
    <s v="CASA MATRIZ"/>
    <x v="2"/>
    <x v="63"/>
    <x v="1"/>
    <x v="1"/>
  </r>
  <r>
    <x v="25"/>
    <n v="176665182"/>
    <x v="122"/>
    <x v="2"/>
    <x v="0"/>
    <x v="2"/>
    <x v="0"/>
    <n v="48"/>
    <x v="16"/>
    <s v="CASA MATRIZ"/>
    <x v="2"/>
    <x v="64"/>
    <x v="2"/>
    <x v="2"/>
  </r>
  <r>
    <x v="1"/>
    <n v="176093324"/>
    <x v="42"/>
    <x v="2"/>
    <x v="1"/>
    <x v="1"/>
    <x v="0"/>
    <n v="8"/>
    <x v="16"/>
    <s v="PAITILLA"/>
    <x v="2"/>
    <x v="44"/>
    <x v="1"/>
    <x v="1"/>
  </r>
  <r>
    <x v="3"/>
    <n v="175921690"/>
    <x v="122"/>
    <x v="2"/>
    <x v="1"/>
    <x v="2"/>
    <x v="0"/>
    <n v="8"/>
    <x v="16"/>
    <s v="PAITILLA"/>
    <x v="2"/>
    <x v="25"/>
    <x v="2"/>
    <x v="2"/>
  </r>
  <r>
    <x v="16"/>
    <n v="176719325"/>
    <x v="124"/>
    <x v="2"/>
    <x v="3"/>
    <x v="1"/>
    <x v="0"/>
    <n v="113"/>
    <x v="15"/>
    <s v="VIA PORRAS"/>
    <x v="2"/>
    <x v="63"/>
    <x v="1"/>
    <x v="1"/>
  </r>
  <r>
    <x v="16"/>
    <n v="176719325"/>
    <x v="125"/>
    <x v="2"/>
    <x v="3"/>
    <x v="1"/>
    <x v="0"/>
    <n v="16"/>
    <x v="16"/>
    <s v="VIA PORRAS"/>
    <x v="2"/>
    <x v="63"/>
    <x v="1"/>
    <x v="1"/>
  </r>
  <r>
    <x v="3"/>
    <n v="175921690"/>
    <x v="126"/>
    <x v="2"/>
    <x v="3"/>
    <x v="2"/>
    <x v="0"/>
    <n v="8"/>
    <x v="16"/>
    <s v="VIA PORRAS"/>
    <x v="2"/>
    <x v="25"/>
    <x v="2"/>
    <x v="2"/>
  </r>
  <r>
    <x v="25"/>
    <n v="176665182"/>
    <x v="127"/>
    <x v="2"/>
    <x v="3"/>
    <x v="2"/>
    <x v="0"/>
    <n v="40"/>
    <x v="16"/>
    <s v="VIA PORRAS"/>
    <x v="2"/>
    <x v="64"/>
    <x v="2"/>
    <x v="2"/>
  </r>
  <r>
    <x v="21"/>
    <n v="176389998"/>
    <x v="122"/>
    <x v="2"/>
    <x v="3"/>
    <x v="0"/>
    <x v="0"/>
    <n v="8"/>
    <x v="16"/>
    <s v="VIA PORRAS"/>
    <x v="2"/>
    <x v="30"/>
    <x v="0"/>
    <x v="0"/>
  </r>
  <r>
    <x v="3"/>
    <n v="175921690"/>
    <x v="121"/>
    <x v="2"/>
    <x v="4"/>
    <x v="2"/>
    <x v="0"/>
    <n v="8"/>
    <x v="16"/>
    <s v="EL INGENIO"/>
    <x v="2"/>
    <x v="25"/>
    <x v="2"/>
    <x v="2"/>
  </r>
  <r>
    <x v="0"/>
    <n v="176818303"/>
    <x v="127"/>
    <x v="2"/>
    <x v="5"/>
    <x v="1"/>
    <x v="0"/>
    <n v="104"/>
    <x v="15"/>
    <s v="PLAZA TOCUMEN"/>
    <x v="2"/>
    <x v="65"/>
    <x v="1"/>
    <x v="1"/>
  </r>
  <r>
    <x v="12"/>
    <n v="176611219"/>
    <x v="128"/>
    <x v="2"/>
    <x v="7"/>
    <x v="2"/>
    <x v="0"/>
    <n v="8"/>
    <x v="16"/>
    <s v="OBARRIO"/>
    <x v="2"/>
    <x v="45"/>
    <x v="2"/>
    <x v="2"/>
  </r>
  <r>
    <x v="9"/>
    <n v="175863582"/>
    <x v="111"/>
    <x v="2"/>
    <x v="7"/>
    <x v="0"/>
    <x v="0"/>
    <n v="8"/>
    <x v="16"/>
    <s v="OBARRIO"/>
    <x v="2"/>
    <x v="66"/>
    <x v="0"/>
    <x v="0"/>
  </r>
  <r>
    <x v="15"/>
    <n v="176554951"/>
    <x v="129"/>
    <x v="2"/>
    <x v="7"/>
    <x v="0"/>
    <x v="0"/>
    <n v="24"/>
    <x v="16"/>
    <s v="OBARRIO"/>
    <x v="2"/>
    <x v="67"/>
    <x v="0"/>
    <x v="0"/>
  </r>
  <r>
    <x v="4"/>
    <n v="175696740"/>
    <x v="127"/>
    <x v="2"/>
    <x v="8"/>
    <x v="2"/>
    <x v="0"/>
    <n v="16"/>
    <x v="16"/>
    <s v="HATO PINTADO"/>
    <x v="2"/>
    <x v="39"/>
    <x v="2"/>
    <x v="2"/>
  </r>
  <r>
    <x v="9"/>
    <n v="175863582"/>
    <x v="130"/>
    <x v="2"/>
    <x v="8"/>
    <x v="2"/>
    <x v="0"/>
    <n v="16"/>
    <x v="16"/>
    <s v="HATO PINTADO"/>
    <x v="2"/>
    <x v="66"/>
    <x v="2"/>
    <x v="2"/>
  </r>
  <r>
    <x v="20"/>
    <n v="176033141"/>
    <x v="131"/>
    <x v="2"/>
    <x v="8"/>
    <x v="2"/>
    <x v="0"/>
    <n v="112"/>
    <x v="16"/>
    <s v="HATO PINTADO"/>
    <x v="2"/>
    <x v="26"/>
    <x v="2"/>
    <x v="2"/>
  </r>
  <r>
    <x v="5"/>
    <n v="176196481"/>
    <x v="3"/>
    <x v="2"/>
    <x v="8"/>
    <x v="2"/>
    <x v="0"/>
    <n v="16"/>
    <x v="16"/>
    <s v="HATO PINTADO"/>
    <x v="2"/>
    <x v="15"/>
    <x v="2"/>
    <x v="2"/>
  </r>
  <r>
    <x v="7"/>
    <n v="176451890"/>
    <x v="106"/>
    <x v="2"/>
    <x v="8"/>
    <x v="2"/>
    <x v="0"/>
    <n v="24"/>
    <x v="16"/>
    <s v="HATO PINTADO"/>
    <x v="2"/>
    <x v="29"/>
    <x v="2"/>
    <x v="2"/>
  </r>
  <r>
    <x v="15"/>
    <n v="176554951"/>
    <x v="132"/>
    <x v="2"/>
    <x v="8"/>
    <x v="2"/>
    <x v="0"/>
    <n v="16"/>
    <x v="16"/>
    <s v="HATO PINTADO"/>
    <x v="2"/>
    <x v="67"/>
    <x v="2"/>
    <x v="2"/>
  </r>
  <r>
    <x v="25"/>
    <n v="176665182"/>
    <x v="133"/>
    <x v="2"/>
    <x v="8"/>
    <x v="2"/>
    <x v="0"/>
    <n v="72"/>
    <x v="16"/>
    <s v="HATO PINTADO"/>
    <x v="2"/>
    <x v="64"/>
    <x v="2"/>
    <x v="2"/>
  </r>
  <r>
    <x v="16"/>
    <n v="176719325"/>
    <x v="134"/>
    <x v="2"/>
    <x v="8"/>
    <x v="2"/>
    <x v="0"/>
    <n v="48"/>
    <x v="16"/>
    <s v="HATO PINTADO"/>
    <x v="2"/>
    <x v="63"/>
    <x v="2"/>
    <x v="2"/>
  </r>
  <r>
    <x v="10"/>
    <n v="176777716"/>
    <x v="135"/>
    <x v="2"/>
    <x v="8"/>
    <x v="2"/>
    <x v="0"/>
    <n v="32"/>
    <x v="16"/>
    <s v="HATO PINTADO"/>
    <x v="2"/>
    <x v="52"/>
    <x v="2"/>
    <x v="2"/>
  </r>
  <r>
    <x v="6"/>
    <n v="176880462"/>
    <x v="104"/>
    <x v="2"/>
    <x v="8"/>
    <x v="2"/>
    <x v="0"/>
    <n v="8"/>
    <x v="16"/>
    <s v="HATO PINTADO"/>
    <x v="2"/>
    <x v="68"/>
    <x v="2"/>
    <x v="2"/>
  </r>
  <r>
    <x v="17"/>
    <n v="176939618"/>
    <x v="136"/>
    <x v="2"/>
    <x v="8"/>
    <x v="2"/>
    <x v="0"/>
    <n v="32"/>
    <x v="16"/>
    <s v="HATO PINTADO"/>
    <x v="2"/>
    <x v="41"/>
    <x v="2"/>
    <x v="2"/>
  </r>
  <r>
    <x v="20"/>
    <n v="176033141"/>
    <x v="137"/>
    <x v="2"/>
    <x v="8"/>
    <x v="0"/>
    <x v="0"/>
    <n v="16"/>
    <x v="16"/>
    <s v="HATO PINTADO"/>
    <x v="2"/>
    <x v="26"/>
    <x v="0"/>
    <x v="0"/>
  </r>
  <r>
    <x v="7"/>
    <n v="176451890"/>
    <x v="118"/>
    <x v="2"/>
    <x v="44"/>
    <x v="1"/>
    <x v="0"/>
    <n v="48.07"/>
    <x v="15"/>
    <s v="LA CHORRERA"/>
    <x v="2"/>
    <x v="29"/>
    <x v="1"/>
    <x v="1"/>
  </r>
  <r>
    <x v="23"/>
    <n v="176259407"/>
    <x v="137"/>
    <x v="2"/>
    <x v="10"/>
    <x v="1"/>
    <x v="0"/>
    <n v="51.04"/>
    <x v="15"/>
    <s v="VILLA LUCRE"/>
    <x v="2"/>
    <x v="55"/>
    <x v="1"/>
    <x v="1"/>
  </r>
  <r>
    <x v="24"/>
    <n v="175758174"/>
    <x v="138"/>
    <x v="2"/>
    <x v="10"/>
    <x v="2"/>
    <x v="0"/>
    <n v="32"/>
    <x v="16"/>
    <s v="VILLA LUCRE"/>
    <x v="2"/>
    <x v="69"/>
    <x v="2"/>
    <x v="2"/>
  </r>
  <r>
    <x v="9"/>
    <n v="175863582"/>
    <x v="115"/>
    <x v="2"/>
    <x v="10"/>
    <x v="2"/>
    <x v="0"/>
    <n v="8"/>
    <x v="16"/>
    <s v="VILLA LUCRE"/>
    <x v="2"/>
    <x v="66"/>
    <x v="2"/>
    <x v="2"/>
  </r>
  <r>
    <x v="7"/>
    <n v="176451890"/>
    <x v="139"/>
    <x v="2"/>
    <x v="10"/>
    <x v="2"/>
    <x v="0"/>
    <n v="16"/>
    <x v="16"/>
    <s v="VILLA LUCRE"/>
    <x v="2"/>
    <x v="29"/>
    <x v="2"/>
    <x v="2"/>
  </r>
  <r>
    <x v="15"/>
    <n v="176554951"/>
    <x v="140"/>
    <x v="2"/>
    <x v="10"/>
    <x v="2"/>
    <x v="0"/>
    <n v="48"/>
    <x v="16"/>
    <s v="VILLA LUCRE"/>
    <x v="2"/>
    <x v="67"/>
    <x v="2"/>
    <x v="2"/>
  </r>
  <r>
    <x v="4"/>
    <n v="175696740"/>
    <x v="141"/>
    <x v="2"/>
    <x v="11"/>
    <x v="2"/>
    <x v="0"/>
    <n v="24"/>
    <x v="16"/>
    <s v="LOS ANDES"/>
    <x v="2"/>
    <x v="39"/>
    <x v="2"/>
    <x v="2"/>
  </r>
  <r>
    <x v="24"/>
    <n v="175758174"/>
    <x v="126"/>
    <x v="2"/>
    <x v="11"/>
    <x v="2"/>
    <x v="0"/>
    <n v="72"/>
    <x v="16"/>
    <s v="LOS ANDES"/>
    <x v="2"/>
    <x v="69"/>
    <x v="2"/>
    <x v="2"/>
  </r>
  <r>
    <x v="3"/>
    <n v="175921690"/>
    <x v="142"/>
    <x v="2"/>
    <x v="11"/>
    <x v="2"/>
    <x v="0"/>
    <n v="32"/>
    <x v="16"/>
    <s v="LOS ANDES"/>
    <x v="2"/>
    <x v="25"/>
    <x v="2"/>
    <x v="2"/>
  </r>
  <r>
    <x v="20"/>
    <n v="176033141"/>
    <x v="143"/>
    <x v="2"/>
    <x v="11"/>
    <x v="2"/>
    <x v="0"/>
    <n v="80"/>
    <x v="16"/>
    <s v="LOS ANDES"/>
    <x v="2"/>
    <x v="26"/>
    <x v="2"/>
    <x v="2"/>
  </r>
  <r>
    <x v="5"/>
    <n v="176196481"/>
    <x v="105"/>
    <x v="2"/>
    <x v="11"/>
    <x v="2"/>
    <x v="0"/>
    <n v="32"/>
    <x v="16"/>
    <s v="LOS ANDES"/>
    <x v="2"/>
    <x v="15"/>
    <x v="2"/>
    <x v="2"/>
  </r>
  <r>
    <x v="21"/>
    <n v="176389998"/>
    <x v="1"/>
    <x v="2"/>
    <x v="11"/>
    <x v="2"/>
    <x v="0"/>
    <n v="64"/>
    <x v="16"/>
    <s v="LOS ANDES"/>
    <x v="2"/>
    <x v="30"/>
    <x v="2"/>
    <x v="2"/>
  </r>
  <r>
    <x v="7"/>
    <n v="176451890"/>
    <x v="144"/>
    <x v="2"/>
    <x v="11"/>
    <x v="2"/>
    <x v="0"/>
    <n v="80"/>
    <x v="16"/>
    <s v="LOS ANDES"/>
    <x v="2"/>
    <x v="29"/>
    <x v="2"/>
    <x v="2"/>
  </r>
  <r>
    <x v="12"/>
    <n v="176611219"/>
    <x v="145"/>
    <x v="2"/>
    <x v="11"/>
    <x v="2"/>
    <x v="0"/>
    <n v="40"/>
    <x v="16"/>
    <s v="LOS ANDES"/>
    <x v="2"/>
    <x v="45"/>
    <x v="2"/>
    <x v="2"/>
  </r>
  <r>
    <x v="25"/>
    <n v="176665182"/>
    <x v="146"/>
    <x v="2"/>
    <x v="11"/>
    <x v="2"/>
    <x v="0"/>
    <n v="8"/>
    <x v="16"/>
    <s v="LOS ANDES"/>
    <x v="2"/>
    <x v="64"/>
    <x v="2"/>
    <x v="2"/>
  </r>
  <r>
    <x v="16"/>
    <n v="176719325"/>
    <x v="147"/>
    <x v="2"/>
    <x v="11"/>
    <x v="2"/>
    <x v="0"/>
    <n v="48"/>
    <x v="16"/>
    <s v="LOS ANDES"/>
    <x v="2"/>
    <x v="63"/>
    <x v="2"/>
    <x v="2"/>
  </r>
  <r>
    <x v="10"/>
    <n v="176777716"/>
    <x v="148"/>
    <x v="2"/>
    <x v="11"/>
    <x v="2"/>
    <x v="0"/>
    <n v="16"/>
    <x v="16"/>
    <s v="LOS ANDES"/>
    <x v="2"/>
    <x v="52"/>
    <x v="2"/>
    <x v="2"/>
  </r>
  <r>
    <x v="6"/>
    <n v="176880462"/>
    <x v="149"/>
    <x v="2"/>
    <x v="11"/>
    <x v="2"/>
    <x v="0"/>
    <n v="8"/>
    <x v="16"/>
    <s v="LOS ANDES"/>
    <x v="2"/>
    <x v="68"/>
    <x v="2"/>
    <x v="2"/>
  </r>
  <r>
    <x v="3"/>
    <n v="175921690"/>
    <x v="123"/>
    <x v="2"/>
    <x v="13"/>
    <x v="2"/>
    <x v="0"/>
    <n v="16"/>
    <x v="16"/>
    <s v="LOS PUEBLOS"/>
    <x v="2"/>
    <x v="25"/>
    <x v="2"/>
    <x v="2"/>
  </r>
  <r>
    <x v="10"/>
    <n v="176777716"/>
    <x v="150"/>
    <x v="2"/>
    <x v="13"/>
    <x v="2"/>
    <x v="0"/>
    <n v="64"/>
    <x v="16"/>
    <s v="LOS PUEBLOS"/>
    <x v="2"/>
    <x v="52"/>
    <x v="2"/>
    <x v="2"/>
  </r>
  <r>
    <x v="24"/>
    <n v="175758174"/>
    <x v="151"/>
    <x v="2"/>
    <x v="14"/>
    <x v="2"/>
    <x v="0"/>
    <n v="80"/>
    <x v="16"/>
    <s v="TRANSISTMICA"/>
    <x v="2"/>
    <x v="69"/>
    <x v="2"/>
    <x v="2"/>
  </r>
  <r>
    <x v="10"/>
    <n v="176777716"/>
    <x v="152"/>
    <x v="2"/>
    <x v="14"/>
    <x v="2"/>
    <x v="0"/>
    <n v="112"/>
    <x v="16"/>
    <s v="TRANSISTMICA"/>
    <x v="2"/>
    <x v="52"/>
    <x v="2"/>
    <x v="2"/>
  </r>
  <r>
    <x v="24"/>
    <n v="175758174"/>
    <x v="121"/>
    <x v="2"/>
    <x v="14"/>
    <x v="0"/>
    <x v="0"/>
    <n v="24"/>
    <x v="16"/>
    <s v="TRANSISTMICA"/>
    <x v="2"/>
    <x v="69"/>
    <x v="0"/>
    <x v="0"/>
  </r>
  <r>
    <x v="10"/>
    <n v="176777716"/>
    <x v="153"/>
    <x v="2"/>
    <x v="14"/>
    <x v="0"/>
    <x v="0"/>
    <n v="8"/>
    <x v="16"/>
    <s v="TRANSISTMICA"/>
    <x v="2"/>
    <x v="52"/>
    <x v="0"/>
    <x v="0"/>
  </r>
  <r>
    <x v="9"/>
    <n v="175863582"/>
    <x v="154"/>
    <x v="2"/>
    <x v="16"/>
    <x v="2"/>
    <x v="0"/>
    <n v="24"/>
    <x v="16"/>
    <s v="DAVID"/>
    <x v="2"/>
    <x v="66"/>
    <x v="2"/>
    <x v="2"/>
  </r>
  <r>
    <x v="11"/>
    <n v="175977772"/>
    <x v="155"/>
    <x v="2"/>
    <x v="16"/>
    <x v="2"/>
    <x v="0"/>
    <n v="8"/>
    <x v="16"/>
    <s v="DAVID"/>
    <x v="2"/>
    <x v="21"/>
    <x v="2"/>
    <x v="2"/>
  </r>
  <r>
    <x v="20"/>
    <n v="176033141"/>
    <x v="118"/>
    <x v="2"/>
    <x v="49"/>
    <x v="1"/>
    <x v="0"/>
    <n v="8.5"/>
    <x v="15"/>
    <s v="PENONOME"/>
    <x v="2"/>
    <x v="26"/>
    <x v="1"/>
    <x v="1"/>
  </r>
  <r>
    <x v="16"/>
    <n v="176719325"/>
    <x v="16"/>
    <x v="2"/>
    <x v="49"/>
    <x v="1"/>
    <x v="0"/>
    <n v="14.25"/>
    <x v="15"/>
    <s v="PENONOME"/>
    <x v="2"/>
    <x v="63"/>
    <x v="1"/>
    <x v="1"/>
  </r>
  <r>
    <x v="3"/>
    <n v="175921690"/>
    <x v="106"/>
    <x v="2"/>
    <x v="20"/>
    <x v="2"/>
    <x v="0"/>
    <n v="8"/>
    <x v="16"/>
    <s v="ALBROOK"/>
    <x v="2"/>
    <x v="25"/>
    <x v="2"/>
    <x v="2"/>
  </r>
  <r>
    <x v="5"/>
    <n v="176196481"/>
    <x v="156"/>
    <x v="2"/>
    <x v="20"/>
    <x v="2"/>
    <x v="0"/>
    <n v="8"/>
    <x v="16"/>
    <s v="ALBROOK"/>
    <x v="2"/>
    <x v="15"/>
    <x v="2"/>
    <x v="2"/>
  </r>
  <r>
    <x v="23"/>
    <n v="176259407"/>
    <x v="3"/>
    <x v="2"/>
    <x v="20"/>
    <x v="2"/>
    <x v="0"/>
    <n v="8"/>
    <x v="16"/>
    <s v="ALBROOK"/>
    <x v="2"/>
    <x v="55"/>
    <x v="2"/>
    <x v="2"/>
  </r>
  <r>
    <x v="10"/>
    <n v="176777716"/>
    <x v="157"/>
    <x v="2"/>
    <x v="20"/>
    <x v="2"/>
    <x v="0"/>
    <n v="8"/>
    <x v="16"/>
    <s v="ALBROOK"/>
    <x v="2"/>
    <x v="52"/>
    <x v="2"/>
    <x v="2"/>
  </r>
  <r>
    <x v="4"/>
    <n v="175696740"/>
    <x v="133"/>
    <x v="2"/>
    <x v="21"/>
    <x v="2"/>
    <x v="0"/>
    <n v="24"/>
    <x v="16"/>
    <s v="SUCURSAL DE VISTA ALEGRE"/>
    <x v="2"/>
    <x v="39"/>
    <x v="2"/>
    <x v="2"/>
  </r>
  <r>
    <x v="9"/>
    <n v="175863582"/>
    <x v="158"/>
    <x v="2"/>
    <x v="21"/>
    <x v="2"/>
    <x v="0"/>
    <n v="32"/>
    <x v="16"/>
    <s v="SUCURSAL DE VISTA ALEGRE"/>
    <x v="2"/>
    <x v="66"/>
    <x v="2"/>
    <x v="2"/>
  </r>
  <r>
    <x v="3"/>
    <n v="175921690"/>
    <x v="159"/>
    <x v="2"/>
    <x v="21"/>
    <x v="2"/>
    <x v="0"/>
    <n v="8"/>
    <x v="16"/>
    <s v="SUCURSAL DE VISTA ALEGRE"/>
    <x v="2"/>
    <x v="25"/>
    <x v="2"/>
    <x v="2"/>
  </r>
  <r>
    <x v="2"/>
    <n v="176326175"/>
    <x v="116"/>
    <x v="2"/>
    <x v="21"/>
    <x v="2"/>
    <x v="0"/>
    <n v="16"/>
    <x v="16"/>
    <s v="SUCURSAL DE VISTA ALEGRE"/>
    <x v="2"/>
    <x v="70"/>
    <x v="2"/>
    <x v="2"/>
  </r>
  <r>
    <x v="21"/>
    <n v="176389998"/>
    <x v="141"/>
    <x v="2"/>
    <x v="21"/>
    <x v="2"/>
    <x v="0"/>
    <n v="8"/>
    <x v="16"/>
    <s v="SUCURSAL DE VISTA ALEGRE"/>
    <x v="2"/>
    <x v="30"/>
    <x v="2"/>
    <x v="2"/>
  </r>
  <r>
    <x v="12"/>
    <n v="176611219"/>
    <x v="160"/>
    <x v="2"/>
    <x v="21"/>
    <x v="2"/>
    <x v="0"/>
    <n v="8"/>
    <x v="16"/>
    <s v="SUCURSAL DE VISTA ALEGRE"/>
    <x v="2"/>
    <x v="45"/>
    <x v="2"/>
    <x v="2"/>
  </r>
  <r>
    <x v="25"/>
    <n v="176665182"/>
    <x v="161"/>
    <x v="2"/>
    <x v="21"/>
    <x v="2"/>
    <x v="0"/>
    <n v="16"/>
    <x v="16"/>
    <s v="SUCURSAL DE VISTA ALEGRE"/>
    <x v="2"/>
    <x v="64"/>
    <x v="2"/>
    <x v="2"/>
  </r>
  <r>
    <x v="16"/>
    <n v="176719325"/>
    <x v="162"/>
    <x v="2"/>
    <x v="21"/>
    <x v="2"/>
    <x v="0"/>
    <n v="16"/>
    <x v="16"/>
    <s v="SUCURSAL DE VISTA ALEGRE"/>
    <x v="2"/>
    <x v="63"/>
    <x v="2"/>
    <x v="2"/>
  </r>
  <r>
    <x v="10"/>
    <n v="176777716"/>
    <x v="163"/>
    <x v="2"/>
    <x v="21"/>
    <x v="2"/>
    <x v="0"/>
    <n v="24"/>
    <x v="16"/>
    <s v="SUCURSAL DE VISTA ALEGRE"/>
    <x v="2"/>
    <x v="52"/>
    <x v="2"/>
    <x v="2"/>
  </r>
  <r>
    <x v="5"/>
    <n v="176196481"/>
    <x v="155"/>
    <x v="2"/>
    <x v="21"/>
    <x v="0"/>
    <x v="0"/>
    <n v="8"/>
    <x v="16"/>
    <s v="SUCURSAL DE VISTA ALEGRE"/>
    <x v="2"/>
    <x v="15"/>
    <x v="0"/>
    <x v="0"/>
  </r>
  <r>
    <x v="12"/>
    <n v="176611219"/>
    <x v="164"/>
    <x v="2"/>
    <x v="21"/>
    <x v="0"/>
    <x v="0"/>
    <n v="8"/>
    <x v="16"/>
    <s v="SUCURSAL DE VISTA ALEGRE"/>
    <x v="2"/>
    <x v="45"/>
    <x v="0"/>
    <x v="0"/>
  </r>
  <r>
    <x v="23"/>
    <n v="176259407"/>
    <x v="165"/>
    <x v="2"/>
    <x v="22"/>
    <x v="1"/>
    <x v="0"/>
    <n v="42.85"/>
    <x v="15"/>
    <s v="24 DE DICIEMBRE"/>
    <x v="2"/>
    <x v="55"/>
    <x v="1"/>
    <x v="1"/>
  </r>
  <r>
    <x v="9"/>
    <n v="175863582"/>
    <x v="166"/>
    <x v="2"/>
    <x v="23"/>
    <x v="2"/>
    <x v="0"/>
    <n v="8"/>
    <x v="16"/>
    <s v="COSTA DEL ESTE"/>
    <x v="2"/>
    <x v="66"/>
    <x v="2"/>
    <x v="2"/>
  </r>
  <r>
    <x v="20"/>
    <n v="176033141"/>
    <x v="167"/>
    <x v="2"/>
    <x v="23"/>
    <x v="2"/>
    <x v="0"/>
    <n v="16"/>
    <x v="16"/>
    <s v="COSTA DEL ESTE"/>
    <x v="2"/>
    <x v="26"/>
    <x v="2"/>
    <x v="2"/>
  </r>
  <r>
    <x v="25"/>
    <n v="176665182"/>
    <x v="168"/>
    <x v="2"/>
    <x v="23"/>
    <x v="2"/>
    <x v="0"/>
    <n v="24"/>
    <x v="16"/>
    <s v="COSTA DEL ESTE"/>
    <x v="2"/>
    <x v="64"/>
    <x v="2"/>
    <x v="2"/>
  </r>
  <r>
    <x v="21"/>
    <n v="176389998"/>
    <x v="128"/>
    <x v="2"/>
    <x v="23"/>
    <x v="0"/>
    <x v="0"/>
    <n v="8"/>
    <x v="16"/>
    <s v="COSTA DEL ESTE"/>
    <x v="2"/>
    <x v="30"/>
    <x v="0"/>
    <x v="0"/>
  </r>
  <r>
    <x v="17"/>
    <n v="176939618"/>
    <x v="169"/>
    <x v="2"/>
    <x v="23"/>
    <x v="0"/>
    <x v="0"/>
    <n v="8"/>
    <x v="16"/>
    <s v="COSTA DEL ESTE"/>
    <x v="2"/>
    <x v="41"/>
    <x v="0"/>
    <x v="0"/>
  </r>
  <r>
    <x v="21"/>
    <n v="176389998"/>
    <x v="170"/>
    <x v="2"/>
    <x v="24"/>
    <x v="1"/>
    <x v="0"/>
    <n v="8"/>
    <x v="16"/>
    <s v="MULTI PLAZA"/>
    <x v="2"/>
    <x v="30"/>
    <x v="1"/>
    <x v="1"/>
  </r>
  <r>
    <x v="4"/>
    <n v="175696740"/>
    <x v="112"/>
    <x v="2"/>
    <x v="24"/>
    <x v="2"/>
    <x v="0"/>
    <n v="8"/>
    <x v="16"/>
    <s v="MULTI PLAZA"/>
    <x v="2"/>
    <x v="39"/>
    <x v="2"/>
    <x v="2"/>
  </r>
  <r>
    <x v="9"/>
    <n v="175863582"/>
    <x v="171"/>
    <x v="2"/>
    <x v="24"/>
    <x v="2"/>
    <x v="0"/>
    <n v="48"/>
    <x v="16"/>
    <s v="MULTI PLAZA"/>
    <x v="2"/>
    <x v="66"/>
    <x v="2"/>
    <x v="2"/>
  </r>
  <r>
    <x v="7"/>
    <n v="176451890"/>
    <x v="172"/>
    <x v="2"/>
    <x v="24"/>
    <x v="2"/>
    <x v="0"/>
    <n v="16"/>
    <x v="16"/>
    <s v="MULTI PLAZA"/>
    <x v="2"/>
    <x v="29"/>
    <x v="2"/>
    <x v="2"/>
  </r>
  <r>
    <x v="25"/>
    <n v="176665182"/>
    <x v="173"/>
    <x v="2"/>
    <x v="24"/>
    <x v="2"/>
    <x v="0"/>
    <n v="16"/>
    <x v="16"/>
    <s v="MULTI PLAZA"/>
    <x v="2"/>
    <x v="64"/>
    <x v="2"/>
    <x v="2"/>
  </r>
  <r>
    <x v="17"/>
    <n v="176939618"/>
    <x v="6"/>
    <x v="2"/>
    <x v="24"/>
    <x v="2"/>
    <x v="0"/>
    <n v="8"/>
    <x v="16"/>
    <s v="MULTI PLAZA"/>
    <x v="2"/>
    <x v="41"/>
    <x v="2"/>
    <x v="2"/>
  </r>
  <r>
    <x v="7"/>
    <n v="176451890"/>
    <x v="174"/>
    <x v="2"/>
    <x v="25"/>
    <x v="1"/>
    <x v="0"/>
    <n v="27.47"/>
    <x v="15"/>
    <s v="TERMINAL DE ALBROOK"/>
    <x v="2"/>
    <x v="29"/>
    <x v="1"/>
    <x v="1"/>
  </r>
  <r>
    <x v="3"/>
    <n v="175921690"/>
    <x v="175"/>
    <x v="2"/>
    <x v="25"/>
    <x v="2"/>
    <x v="0"/>
    <n v="56"/>
    <x v="16"/>
    <s v="TERMINAL DE ALBROOK"/>
    <x v="2"/>
    <x v="25"/>
    <x v="2"/>
    <x v="2"/>
  </r>
  <r>
    <x v="20"/>
    <n v="176033141"/>
    <x v="156"/>
    <x v="2"/>
    <x v="25"/>
    <x v="2"/>
    <x v="0"/>
    <n v="16"/>
    <x v="16"/>
    <s v="TERMINAL DE ALBROOK"/>
    <x v="2"/>
    <x v="26"/>
    <x v="2"/>
    <x v="2"/>
  </r>
  <r>
    <x v="7"/>
    <n v="176451890"/>
    <x v="176"/>
    <x v="2"/>
    <x v="25"/>
    <x v="2"/>
    <x v="0"/>
    <n v="48"/>
    <x v="16"/>
    <s v="TERMINAL DE ALBROOK"/>
    <x v="2"/>
    <x v="29"/>
    <x v="2"/>
    <x v="2"/>
  </r>
  <r>
    <x v="15"/>
    <n v="176554951"/>
    <x v="177"/>
    <x v="2"/>
    <x v="25"/>
    <x v="2"/>
    <x v="0"/>
    <n v="32"/>
    <x v="16"/>
    <s v="TERMINAL DE ALBROOK"/>
    <x v="2"/>
    <x v="67"/>
    <x v="2"/>
    <x v="2"/>
  </r>
  <r>
    <x v="12"/>
    <n v="176611219"/>
    <x v="178"/>
    <x v="2"/>
    <x v="25"/>
    <x v="2"/>
    <x v="0"/>
    <n v="8"/>
    <x v="16"/>
    <s v="TERMINAL DE ALBROOK"/>
    <x v="2"/>
    <x v="45"/>
    <x v="2"/>
    <x v="2"/>
  </r>
  <r>
    <x v="16"/>
    <n v="176719325"/>
    <x v="158"/>
    <x v="2"/>
    <x v="25"/>
    <x v="2"/>
    <x v="0"/>
    <n v="8"/>
    <x v="16"/>
    <s v="TERMINAL DE ALBROOK"/>
    <x v="2"/>
    <x v="63"/>
    <x v="2"/>
    <x v="2"/>
  </r>
  <r>
    <x v="10"/>
    <n v="176777716"/>
    <x v="179"/>
    <x v="2"/>
    <x v="25"/>
    <x v="2"/>
    <x v="0"/>
    <n v="16"/>
    <x v="16"/>
    <s v="TERMINAL DE ALBROOK"/>
    <x v="2"/>
    <x v="52"/>
    <x v="2"/>
    <x v="2"/>
  </r>
  <r>
    <x v="20"/>
    <n v="176033141"/>
    <x v="180"/>
    <x v="2"/>
    <x v="25"/>
    <x v="0"/>
    <x v="0"/>
    <n v="8"/>
    <x v="16"/>
    <s v="TERMINAL DE ALBROOK"/>
    <x v="2"/>
    <x v="26"/>
    <x v="0"/>
    <x v="0"/>
  </r>
  <r>
    <x v="7"/>
    <n v="176451890"/>
    <x v="181"/>
    <x v="2"/>
    <x v="25"/>
    <x v="0"/>
    <x v="0"/>
    <n v="8"/>
    <x v="16"/>
    <s v="TERMINAL DE ALBROOK"/>
    <x v="2"/>
    <x v="29"/>
    <x v="0"/>
    <x v="0"/>
  </r>
  <r>
    <x v="8"/>
    <n v="177000559"/>
    <x v="106"/>
    <x v="2"/>
    <x v="25"/>
    <x v="0"/>
    <x v="0"/>
    <n v="8"/>
    <x v="16"/>
    <s v="TERMINAL DE ALBROOK"/>
    <x v="2"/>
    <x v="71"/>
    <x v="0"/>
    <x v="0"/>
  </r>
  <r>
    <x v="3"/>
    <n v="175921690"/>
    <x v="182"/>
    <x v="2"/>
    <x v="27"/>
    <x v="2"/>
    <x v="0"/>
    <n v="24"/>
    <x v="16"/>
    <s v="BRISAS DEL GOLF"/>
    <x v="2"/>
    <x v="25"/>
    <x v="2"/>
    <x v="2"/>
  </r>
  <r>
    <x v="5"/>
    <n v="176196481"/>
    <x v="144"/>
    <x v="2"/>
    <x v="27"/>
    <x v="2"/>
    <x v="0"/>
    <n v="8"/>
    <x v="16"/>
    <s v="BRISAS DEL GOLF"/>
    <x v="2"/>
    <x v="15"/>
    <x v="2"/>
    <x v="2"/>
  </r>
  <r>
    <x v="12"/>
    <n v="176611219"/>
    <x v="183"/>
    <x v="2"/>
    <x v="27"/>
    <x v="2"/>
    <x v="0"/>
    <n v="24"/>
    <x v="16"/>
    <s v="BRISAS DEL GOLF"/>
    <x v="2"/>
    <x v="45"/>
    <x v="2"/>
    <x v="2"/>
  </r>
  <r>
    <x v="10"/>
    <n v="176777716"/>
    <x v="184"/>
    <x v="2"/>
    <x v="27"/>
    <x v="2"/>
    <x v="0"/>
    <n v="24"/>
    <x v="16"/>
    <s v="BRISAS DEL GOLF"/>
    <x v="2"/>
    <x v="52"/>
    <x v="2"/>
    <x v="2"/>
  </r>
  <r>
    <x v="25"/>
    <n v="176665182"/>
    <x v="158"/>
    <x v="2"/>
    <x v="28"/>
    <x v="2"/>
    <x v="0"/>
    <n v="88"/>
    <x v="16"/>
    <s v="PUENTE CENTENARIO"/>
    <x v="2"/>
    <x v="64"/>
    <x v="2"/>
    <x v="2"/>
  </r>
  <r>
    <x v="16"/>
    <n v="176719325"/>
    <x v="185"/>
    <x v="2"/>
    <x v="28"/>
    <x v="2"/>
    <x v="0"/>
    <n v="8"/>
    <x v="16"/>
    <s v="PUENTE CENTENARIO"/>
    <x v="2"/>
    <x v="63"/>
    <x v="2"/>
    <x v="2"/>
  </r>
  <r>
    <x v="16"/>
    <n v="176719325"/>
    <x v="186"/>
    <x v="2"/>
    <x v="52"/>
    <x v="1"/>
    <x v="0"/>
    <n v="24.62"/>
    <x v="15"/>
    <s v="SABANITAS"/>
    <x v="2"/>
    <x v="63"/>
    <x v="1"/>
    <x v="1"/>
  </r>
  <r>
    <x v="10"/>
    <n v="176777716"/>
    <x v="187"/>
    <x v="2"/>
    <x v="29"/>
    <x v="0"/>
    <x v="0"/>
    <n v="8"/>
    <x v="16"/>
    <s v="ALTOS DE PANAMA"/>
    <x v="2"/>
    <x v="52"/>
    <x v="0"/>
    <x v="0"/>
  </r>
  <r>
    <x v="14"/>
    <n v="175636411"/>
    <x v="118"/>
    <x v="2"/>
    <x v="61"/>
    <x v="1"/>
    <x v="0"/>
    <n v="104"/>
    <x v="15"/>
    <s v="VERSALLES"/>
    <x v="2"/>
    <x v="72"/>
    <x v="1"/>
    <x v="1"/>
  </r>
  <r>
    <x v="21"/>
    <n v="176389998"/>
    <x v="104"/>
    <x v="2"/>
    <x v="61"/>
    <x v="1"/>
    <x v="0"/>
    <n v="112"/>
    <x v="15"/>
    <s v="VERSALLES"/>
    <x v="2"/>
    <x v="30"/>
    <x v="1"/>
    <x v="1"/>
  </r>
  <r>
    <x v="20"/>
    <n v="176033141"/>
    <x v="6"/>
    <x v="2"/>
    <x v="31"/>
    <x v="1"/>
    <x v="0"/>
    <n v="27.8"/>
    <x v="15"/>
    <s v="SAN FRANCISCO"/>
    <x v="2"/>
    <x v="26"/>
    <x v="1"/>
    <x v="1"/>
  </r>
  <r>
    <x v="6"/>
    <n v="176880462"/>
    <x v="188"/>
    <x v="2"/>
    <x v="32"/>
    <x v="2"/>
    <x v="0"/>
    <n v="8"/>
    <x v="16"/>
    <s v="PLAZA BANCO GENERAL"/>
    <x v="2"/>
    <x v="68"/>
    <x v="2"/>
    <x v="2"/>
  </r>
  <r>
    <x v="24"/>
    <n v="175758174"/>
    <x v="124"/>
    <x v="2"/>
    <x v="33"/>
    <x v="2"/>
    <x v="0"/>
    <n v="80"/>
    <x v="16"/>
    <s v="LA CHORRERA - PARQUE 10 DE NOV."/>
    <x v="2"/>
    <x v="69"/>
    <x v="2"/>
    <x v="2"/>
  </r>
  <r>
    <x v="20"/>
    <n v="176033141"/>
    <x v="134"/>
    <x v="2"/>
    <x v="33"/>
    <x v="2"/>
    <x v="0"/>
    <n v="72"/>
    <x v="16"/>
    <s v="LA CHORRERA - PARQUE 10 DE NOV."/>
    <x v="2"/>
    <x v="26"/>
    <x v="2"/>
    <x v="2"/>
  </r>
  <r>
    <x v="23"/>
    <n v="176259407"/>
    <x v="189"/>
    <x v="2"/>
    <x v="33"/>
    <x v="2"/>
    <x v="0"/>
    <n v="24"/>
    <x v="16"/>
    <s v="LA CHORRERA - PARQUE 10 DE NOV."/>
    <x v="2"/>
    <x v="55"/>
    <x v="2"/>
    <x v="2"/>
  </r>
  <r>
    <x v="7"/>
    <n v="176451890"/>
    <x v="190"/>
    <x v="2"/>
    <x v="33"/>
    <x v="2"/>
    <x v="0"/>
    <n v="16"/>
    <x v="16"/>
    <s v="LA CHORRERA - PARQUE 10 DE NOV."/>
    <x v="2"/>
    <x v="29"/>
    <x v="2"/>
    <x v="2"/>
  </r>
  <r>
    <x v="15"/>
    <n v="176554951"/>
    <x v="191"/>
    <x v="2"/>
    <x v="33"/>
    <x v="2"/>
    <x v="0"/>
    <n v="40"/>
    <x v="16"/>
    <s v="LA CHORRERA - PARQUE 10 DE NOV."/>
    <x v="2"/>
    <x v="67"/>
    <x v="2"/>
    <x v="2"/>
  </r>
  <r>
    <x v="12"/>
    <n v="176611219"/>
    <x v="24"/>
    <x v="2"/>
    <x v="33"/>
    <x v="2"/>
    <x v="0"/>
    <n v="8"/>
    <x v="16"/>
    <s v="LA CHORRERA - PARQUE 10 DE NOV."/>
    <x v="2"/>
    <x v="45"/>
    <x v="2"/>
    <x v="2"/>
  </r>
  <r>
    <x v="25"/>
    <n v="176665182"/>
    <x v="22"/>
    <x v="2"/>
    <x v="33"/>
    <x v="2"/>
    <x v="0"/>
    <n v="48"/>
    <x v="16"/>
    <s v="LA CHORRERA - PARQUE 10 DE NOV."/>
    <x v="2"/>
    <x v="64"/>
    <x v="2"/>
    <x v="2"/>
  </r>
  <r>
    <x v="16"/>
    <n v="176719325"/>
    <x v="192"/>
    <x v="2"/>
    <x v="33"/>
    <x v="2"/>
    <x v="0"/>
    <n v="8"/>
    <x v="16"/>
    <s v="LA CHORRERA - PARQUE 10 DE NOV."/>
    <x v="2"/>
    <x v="63"/>
    <x v="2"/>
    <x v="2"/>
  </r>
  <r>
    <x v="10"/>
    <n v="176777716"/>
    <x v="193"/>
    <x v="2"/>
    <x v="33"/>
    <x v="2"/>
    <x v="0"/>
    <n v="16"/>
    <x v="16"/>
    <s v="LA CHORRERA - PARQUE 10 DE NOV."/>
    <x v="2"/>
    <x v="52"/>
    <x v="2"/>
    <x v="2"/>
  </r>
  <r>
    <x v="6"/>
    <n v="176880462"/>
    <x v="194"/>
    <x v="2"/>
    <x v="33"/>
    <x v="2"/>
    <x v="0"/>
    <n v="16"/>
    <x v="16"/>
    <s v="LA CHORRERA - PARQUE 10 DE NOV."/>
    <x v="2"/>
    <x v="68"/>
    <x v="2"/>
    <x v="2"/>
  </r>
  <r>
    <x v="5"/>
    <n v="176196481"/>
    <x v="9"/>
    <x v="2"/>
    <x v="33"/>
    <x v="0"/>
    <x v="0"/>
    <n v="8"/>
    <x v="16"/>
    <s v="LA CHORRERA - PARQUE 10 DE NOV."/>
    <x v="2"/>
    <x v="15"/>
    <x v="0"/>
    <x v="0"/>
  </r>
  <r>
    <x v="10"/>
    <n v="176777716"/>
    <x v="195"/>
    <x v="2"/>
    <x v="33"/>
    <x v="0"/>
    <x v="0"/>
    <n v="8"/>
    <x v="16"/>
    <s v="LA CHORRERA - PARQUE 10 DE NOV."/>
    <x v="2"/>
    <x v="52"/>
    <x v="0"/>
    <x v="0"/>
  </r>
  <r>
    <x v="6"/>
    <n v="176880462"/>
    <x v="196"/>
    <x v="2"/>
    <x v="33"/>
    <x v="0"/>
    <x v="0"/>
    <n v="8"/>
    <x v="16"/>
    <s v="LA CHORRERA - PARQUE 10 DE NOV."/>
    <x v="2"/>
    <x v="68"/>
    <x v="0"/>
    <x v="0"/>
  </r>
  <r>
    <x v="23"/>
    <n v="176259407"/>
    <x v="197"/>
    <x v="2"/>
    <x v="34"/>
    <x v="1"/>
    <x v="0"/>
    <n v="39.979999999999997"/>
    <x v="15"/>
    <s v="COSTA DEL ESTE - CENTENARIO"/>
    <x v="2"/>
    <x v="55"/>
    <x v="1"/>
    <x v="1"/>
  </r>
  <r>
    <x v="7"/>
    <n v="176451890"/>
    <x v="198"/>
    <x v="2"/>
    <x v="62"/>
    <x v="1"/>
    <x v="0"/>
    <n v="14.45"/>
    <x v="15"/>
    <s v="CLAYTON"/>
    <x v="2"/>
    <x v="29"/>
    <x v="1"/>
    <x v="1"/>
  </r>
  <r>
    <x v="7"/>
    <n v="176451890"/>
    <x v="199"/>
    <x v="2"/>
    <x v="62"/>
    <x v="2"/>
    <x v="0"/>
    <n v="16"/>
    <x v="16"/>
    <s v="CLAYTON"/>
    <x v="2"/>
    <x v="29"/>
    <x v="2"/>
    <x v="2"/>
  </r>
  <r>
    <x v="12"/>
    <n v="176611219"/>
    <x v="200"/>
    <x v="2"/>
    <x v="62"/>
    <x v="2"/>
    <x v="0"/>
    <n v="8"/>
    <x v="16"/>
    <s v="CLAYTON"/>
    <x v="2"/>
    <x v="45"/>
    <x v="2"/>
    <x v="2"/>
  </r>
  <r>
    <x v="16"/>
    <n v="176719325"/>
    <x v="201"/>
    <x v="2"/>
    <x v="35"/>
    <x v="1"/>
    <x v="0"/>
    <n v="31.6"/>
    <x v="15"/>
    <s v="MARBELLA"/>
    <x v="2"/>
    <x v="63"/>
    <x v="1"/>
    <x v="1"/>
  </r>
  <r>
    <x v="20"/>
    <n v="176033141"/>
    <x v="202"/>
    <x v="2"/>
    <x v="36"/>
    <x v="2"/>
    <x v="0"/>
    <n v="48"/>
    <x v="16"/>
    <s v="VIA SIMON BOLIVAR"/>
    <x v="2"/>
    <x v="26"/>
    <x v="2"/>
    <x v="2"/>
  </r>
  <r>
    <x v="23"/>
    <n v="176259407"/>
    <x v="141"/>
    <x v="2"/>
    <x v="36"/>
    <x v="2"/>
    <x v="0"/>
    <n v="16"/>
    <x v="16"/>
    <s v="VIA SIMON BOLIVAR"/>
    <x v="2"/>
    <x v="55"/>
    <x v="2"/>
    <x v="2"/>
  </r>
  <r>
    <x v="25"/>
    <n v="176665182"/>
    <x v="203"/>
    <x v="2"/>
    <x v="36"/>
    <x v="2"/>
    <x v="0"/>
    <n v="24"/>
    <x v="16"/>
    <s v="VIA SIMON BOLIVAR"/>
    <x v="2"/>
    <x v="64"/>
    <x v="2"/>
    <x v="2"/>
  </r>
  <r>
    <x v="8"/>
    <n v="177000559"/>
    <x v="204"/>
    <x v="2"/>
    <x v="36"/>
    <x v="2"/>
    <x v="0"/>
    <n v="8"/>
    <x v="16"/>
    <s v="VIA SIMON BOLIVAR"/>
    <x v="2"/>
    <x v="71"/>
    <x v="2"/>
    <x v="2"/>
  </r>
  <r>
    <x v="25"/>
    <n v="176665182"/>
    <x v="205"/>
    <x v="2"/>
    <x v="36"/>
    <x v="0"/>
    <x v="0"/>
    <n v="8"/>
    <x v="16"/>
    <s v="VIA SIMON BOLIVAR"/>
    <x v="2"/>
    <x v="64"/>
    <x v="0"/>
    <x v="0"/>
  </r>
  <r>
    <x v="17"/>
    <n v="176939618"/>
    <x v="24"/>
    <x v="2"/>
    <x v="38"/>
    <x v="2"/>
    <x v="0"/>
    <n v="16"/>
    <x v="16"/>
    <s v="BOULEVARD EL DORADO"/>
    <x v="2"/>
    <x v="41"/>
    <x v="2"/>
    <x v="2"/>
  </r>
  <r>
    <x v="4"/>
    <n v="175696740"/>
    <x v="206"/>
    <x v="2"/>
    <x v="39"/>
    <x v="2"/>
    <x v="0"/>
    <n v="56"/>
    <x v="16"/>
    <s v="SAN SEBASTIAN"/>
    <x v="2"/>
    <x v="39"/>
    <x v="2"/>
    <x v="2"/>
  </r>
  <r>
    <x v="24"/>
    <n v="175758174"/>
    <x v="162"/>
    <x v="2"/>
    <x v="39"/>
    <x v="2"/>
    <x v="0"/>
    <n v="8"/>
    <x v="16"/>
    <s v="SAN SEBASTIAN"/>
    <x v="2"/>
    <x v="69"/>
    <x v="2"/>
    <x v="2"/>
  </r>
  <r>
    <x v="9"/>
    <n v="175863582"/>
    <x v="207"/>
    <x v="2"/>
    <x v="39"/>
    <x v="2"/>
    <x v="0"/>
    <n v="24"/>
    <x v="16"/>
    <s v="SAN SEBASTIAN"/>
    <x v="2"/>
    <x v="66"/>
    <x v="2"/>
    <x v="2"/>
  </r>
  <r>
    <x v="3"/>
    <n v="175921690"/>
    <x v="33"/>
    <x v="2"/>
    <x v="39"/>
    <x v="2"/>
    <x v="0"/>
    <n v="16"/>
    <x v="16"/>
    <s v="SAN SEBASTIAN"/>
    <x v="2"/>
    <x v="25"/>
    <x v="2"/>
    <x v="2"/>
  </r>
  <r>
    <x v="20"/>
    <n v="176033141"/>
    <x v="208"/>
    <x v="2"/>
    <x v="39"/>
    <x v="2"/>
    <x v="0"/>
    <n v="16"/>
    <x v="16"/>
    <s v="SAN SEBASTIAN"/>
    <x v="2"/>
    <x v="26"/>
    <x v="2"/>
    <x v="2"/>
  </r>
  <r>
    <x v="1"/>
    <n v="176093324"/>
    <x v="40"/>
    <x v="2"/>
    <x v="39"/>
    <x v="2"/>
    <x v="0"/>
    <n v="24"/>
    <x v="16"/>
    <s v="SAN SEBASTIAN"/>
    <x v="2"/>
    <x v="44"/>
    <x v="2"/>
    <x v="2"/>
  </r>
  <r>
    <x v="23"/>
    <n v="176259407"/>
    <x v="209"/>
    <x v="2"/>
    <x v="39"/>
    <x v="2"/>
    <x v="0"/>
    <n v="32"/>
    <x v="16"/>
    <s v="SAN SEBASTIAN"/>
    <x v="2"/>
    <x v="55"/>
    <x v="2"/>
    <x v="2"/>
  </r>
  <r>
    <x v="7"/>
    <n v="176451890"/>
    <x v="210"/>
    <x v="2"/>
    <x v="39"/>
    <x v="2"/>
    <x v="0"/>
    <n v="8"/>
    <x v="16"/>
    <s v="SAN SEBASTIAN"/>
    <x v="2"/>
    <x v="29"/>
    <x v="2"/>
    <x v="2"/>
  </r>
  <r>
    <x v="15"/>
    <n v="176554951"/>
    <x v="211"/>
    <x v="2"/>
    <x v="39"/>
    <x v="2"/>
    <x v="0"/>
    <n v="112"/>
    <x v="16"/>
    <s v="SAN SEBASTIAN"/>
    <x v="2"/>
    <x v="67"/>
    <x v="2"/>
    <x v="2"/>
  </r>
  <r>
    <x v="25"/>
    <n v="176665182"/>
    <x v="212"/>
    <x v="2"/>
    <x v="39"/>
    <x v="2"/>
    <x v="0"/>
    <n v="8"/>
    <x v="16"/>
    <s v="SAN SEBASTIAN"/>
    <x v="2"/>
    <x v="64"/>
    <x v="2"/>
    <x v="2"/>
  </r>
  <r>
    <x v="16"/>
    <n v="176719325"/>
    <x v="213"/>
    <x v="2"/>
    <x v="39"/>
    <x v="2"/>
    <x v="0"/>
    <n v="16"/>
    <x v="16"/>
    <s v="SAN SEBASTIAN"/>
    <x v="2"/>
    <x v="63"/>
    <x v="2"/>
    <x v="2"/>
  </r>
  <r>
    <x v="10"/>
    <n v="176777716"/>
    <x v="214"/>
    <x v="2"/>
    <x v="39"/>
    <x v="2"/>
    <x v="0"/>
    <n v="32"/>
    <x v="16"/>
    <s v="SAN SEBASTIAN"/>
    <x v="2"/>
    <x v="52"/>
    <x v="2"/>
    <x v="2"/>
  </r>
  <r>
    <x v="17"/>
    <n v="176939618"/>
    <x v="215"/>
    <x v="2"/>
    <x v="39"/>
    <x v="2"/>
    <x v="0"/>
    <n v="16"/>
    <x v="16"/>
    <s v="SAN SEBASTIAN"/>
    <x v="2"/>
    <x v="41"/>
    <x v="2"/>
    <x v="2"/>
  </r>
  <r>
    <x v="8"/>
    <n v="177000559"/>
    <x v="216"/>
    <x v="2"/>
    <x v="39"/>
    <x v="2"/>
    <x v="0"/>
    <n v="8"/>
    <x v="16"/>
    <s v="SAN SEBASTIAN"/>
    <x v="2"/>
    <x v="71"/>
    <x v="2"/>
    <x v="2"/>
  </r>
  <r>
    <x v="24"/>
    <n v="175758174"/>
    <x v="217"/>
    <x v="2"/>
    <x v="39"/>
    <x v="0"/>
    <x v="0"/>
    <n v="8"/>
    <x v="16"/>
    <s v="SAN SEBASTIAN"/>
    <x v="2"/>
    <x v="69"/>
    <x v="0"/>
    <x v="0"/>
  </r>
  <r>
    <x v="3"/>
    <n v="175921690"/>
    <x v="218"/>
    <x v="2"/>
    <x v="39"/>
    <x v="0"/>
    <x v="0"/>
    <n v="8"/>
    <x v="16"/>
    <s v="SAN SEBASTIAN"/>
    <x v="2"/>
    <x v="25"/>
    <x v="0"/>
    <x v="0"/>
  </r>
  <r>
    <x v="16"/>
    <n v="176719325"/>
    <x v="219"/>
    <x v="2"/>
    <x v="39"/>
    <x v="0"/>
    <x v="0"/>
    <n v="8"/>
    <x v="16"/>
    <s v="SAN SEBASTIAN"/>
    <x v="2"/>
    <x v="63"/>
    <x v="0"/>
    <x v="0"/>
  </r>
  <r>
    <x v="10"/>
    <n v="176777716"/>
    <x v="220"/>
    <x v="2"/>
    <x v="39"/>
    <x v="0"/>
    <x v="0"/>
    <n v="8"/>
    <x v="16"/>
    <s v="SAN SEBASTIAN"/>
    <x v="2"/>
    <x v="52"/>
    <x v="0"/>
    <x v="0"/>
  </r>
  <r>
    <x v="24"/>
    <n v="175758174"/>
    <x v="221"/>
    <x v="2"/>
    <x v="56"/>
    <x v="1"/>
    <x v="0"/>
    <n v="27.48"/>
    <x v="15"/>
    <s v="COSTA VERDE"/>
    <x v="2"/>
    <x v="69"/>
    <x v="1"/>
    <x v="1"/>
  </r>
  <r>
    <x v="7"/>
    <n v="176451890"/>
    <x v="105"/>
    <x v="2"/>
    <x v="56"/>
    <x v="1"/>
    <x v="0"/>
    <n v="33.76"/>
    <x v="15"/>
    <s v="COSTA VERDE"/>
    <x v="2"/>
    <x v="29"/>
    <x v="1"/>
    <x v="1"/>
  </r>
  <r>
    <x v="1"/>
    <n v="176093324"/>
    <x v="141"/>
    <x v="2"/>
    <x v="58"/>
    <x v="1"/>
    <x v="0"/>
    <n v="29.98"/>
    <x v="16"/>
    <s v="SAN MATEO"/>
    <x v="2"/>
    <x v="44"/>
    <x v="1"/>
    <x v="1"/>
  </r>
  <r>
    <x v="23"/>
    <n v="176259407"/>
    <x v="0"/>
    <x v="2"/>
    <x v="58"/>
    <x v="1"/>
    <x v="0"/>
    <n v="29.98"/>
    <x v="15"/>
    <s v="SAN MATEO"/>
    <x v="2"/>
    <x v="55"/>
    <x v="1"/>
    <x v="1"/>
  </r>
  <r>
    <x v="7"/>
    <n v="176451890"/>
    <x v="182"/>
    <x v="2"/>
    <x v="41"/>
    <x v="1"/>
    <x v="0"/>
    <n v="13.99"/>
    <x v="15"/>
    <s v="BRISAS DEL GOLF ARRAIJAN"/>
    <x v="2"/>
    <x v="29"/>
    <x v="1"/>
    <x v="1"/>
  </r>
  <r>
    <x v="20"/>
    <n v="176033141"/>
    <x v="2"/>
    <x v="2"/>
    <x v="59"/>
    <x v="1"/>
    <x v="0"/>
    <n v="44.85"/>
    <x v="15"/>
    <s v="PASEO ARRAIJAN"/>
    <x v="2"/>
    <x v="26"/>
    <x v="1"/>
    <x v="1"/>
  </r>
  <r>
    <x v="16"/>
    <n v="176719325"/>
    <x v="222"/>
    <x v="2"/>
    <x v="59"/>
    <x v="1"/>
    <x v="0"/>
    <n v="40.450000000000003"/>
    <x v="15"/>
    <s v="PASEO ARRAIJAN"/>
    <x v="2"/>
    <x v="63"/>
    <x v="1"/>
    <x v="1"/>
  </r>
  <r>
    <x v="20"/>
    <n v="176033141"/>
    <x v="223"/>
    <x v="3"/>
    <x v="31"/>
    <x v="1"/>
    <x v="0"/>
    <n v="10.7"/>
    <x v="17"/>
    <s v="SAN FRANCISCO"/>
    <x v="3"/>
    <x v="26"/>
    <x v="1"/>
    <x v="1"/>
  </r>
  <r>
    <x v="24"/>
    <n v="175758174"/>
    <x v="168"/>
    <x v="3"/>
    <x v="63"/>
    <x v="1"/>
    <x v="0"/>
    <n v="5.99"/>
    <x v="18"/>
    <s v="SANTIAGO INTERAMERICANA"/>
    <x v="3"/>
    <x v="69"/>
    <x v="1"/>
    <x v="1"/>
  </r>
  <r>
    <x v="20"/>
    <n v="176033141"/>
    <x v="122"/>
    <x v="4"/>
    <x v="0"/>
    <x v="1"/>
    <x v="0"/>
    <n v="78.8"/>
    <x v="19"/>
    <s v="CASA MATRIZ"/>
    <x v="4"/>
    <x v="26"/>
    <x v="1"/>
    <x v="1"/>
  </r>
  <r>
    <x v="23"/>
    <n v="176259407"/>
    <x v="42"/>
    <x v="4"/>
    <x v="0"/>
    <x v="1"/>
    <x v="0"/>
    <n v="57.76"/>
    <x v="19"/>
    <s v="CASA MATRIZ"/>
    <x v="4"/>
    <x v="55"/>
    <x v="1"/>
    <x v="1"/>
  </r>
  <r>
    <x v="15"/>
    <n v="176554951"/>
    <x v="224"/>
    <x v="4"/>
    <x v="2"/>
    <x v="1"/>
    <x v="0"/>
    <n v="202.5"/>
    <x v="20"/>
    <s v="EL DORADO"/>
    <x v="4"/>
    <x v="67"/>
    <x v="1"/>
    <x v="1"/>
  </r>
  <r>
    <x v="16"/>
    <n v="176719325"/>
    <x v="165"/>
    <x v="4"/>
    <x v="3"/>
    <x v="1"/>
    <x v="0"/>
    <n v="211"/>
    <x v="19"/>
    <s v="VIA PORRAS"/>
    <x v="4"/>
    <x v="63"/>
    <x v="1"/>
    <x v="1"/>
  </r>
  <r>
    <x v="16"/>
    <n v="176719325"/>
    <x v="108"/>
    <x v="4"/>
    <x v="4"/>
    <x v="1"/>
    <x v="0"/>
    <n v="63.77"/>
    <x v="19"/>
    <s v="EL INGENIO"/>
    <x v="4"/>
    <x v="63"/>
    <x v="1"/>
    <x v="1"/>
  </r>
  <r>
    <x v="23"/>
    <n v="176259407"/>
    <x v="221"/>
    <x v="4"/>
    <x v="5"/>
    <x v="1"/>
    <x v="0"/>
    <n v="14.25"/>
    <x v="19"/>
    <s v="PLAZA TOCUMEN"/>
    <x v="4"/>
    <x v="55"/>
    <x v="1"/>
    <x v="1"/>
  </r>
  <r>
    <x v="24"/>
    <n v="175758174"/>
    <x v="122"/>
    <x v="4"/>
    <x v="6"/>
    <x v="1"/>
    <x v="0"/>
    <n v="90"/>
    <x v="19"/>
    <s v="SANTIAGO"/>
    <x v="4"/>
    <x v="69"/>
    <x v="1"/>
    <x v="1"/>
  </r>
  <r>
    <x v="16"/>
    <n v="176719325"/>
    <x v="170"/>
    <x v="4"/>
    <x v="6"/>
    <x v="1"/>
    <x v="0"/>
    <n v="128.04"/>
    <x v="19"/>
    <s v="SANTIAGO"/>
    <x v="4"/>
    <x v="63"/>
    <x v="1"/>
    <x v="1"/>
  </r>
  <r>
    <x v="20"/>
    <n v="176033141"/>
    <x v="224"/>
    <x v="4"/>
    <x v="8"/>
    <x v="1"/>
    <x v="0"/>
    <n v="152.08000000000001"/>
    <x v="19"/>
    <s v="HATO PINTADO"/>
    <x v="4"/>
    <x v="26"/>
    <x v="1"/>
    <x v="1"/>
  </r>
  <r>
    <x v="20"/>
    <n v="176033141"/>
    <x v="225"/>
    <x v="4"/>
    <x v="64"/>
    <x v="1"/>
    <x v="0"/>
    <n v="102.39"/>
    <x v="19"/>
    <s v="RIO ABAJO"/>
    <x v="4"/>
    <x v="26"/>
    <x v="1"/>
    <x v="1"/>
  </r>
  <r>
    <x v="20"/>
    <n v="176033141"/>
    <x v="124"/>
    <x v="4"/>
    <x v="44"/>
    <x v="1"/>
    <x v="0"/>
    <n v="28.82"/>
    <x v="19"/>
    <s v="LA CHORRERA"/>
    <x v="4"/>
    <x v="26"/>
    <x v="1"/>
    <x v="1"/>
  </r>
  <r>
    <x v="7"/>
    <n v="176451890"/>
    <x v="226"/>
    <x v="4"/>
    <x v="9"/>
    <x v="1"/>
    <x v="0"/>
    <n v="49.46"/>
    <x v="19"/>
    <s v="LOS ANGELES"/>
    <x v="4"/>
    <x v="29"/>
    <x v="1"/>
    <x v="1"/>
  </r>
  <r>
    <x v="23"/>
    <n v="176259407"/>
    <x v="227"/>
    <x v="4"/>
    <x v="10"/>
    <x v="1"/>
    <x v="0"/>
    <n v="126.25"/>
    <x v="19"/>
    <s v="VILLA LUCRE"/>
    <x v="4"/>
    <x v="55"/>
    <x v="1"/>
    <x v="1"/>
  </r>
  <r>
    <x v="16"/>
    <n v="176719325"/>
    <x v="113"/>
    <x v="4"/>
    <x v="45"/>
    <x v="1"/>
    <x v="0"/>
    <n v="29.96"/>
    <x v="19"/>
    <s v="VIA ESPANA"/>
    <x v="4"/>
    <x v="63"/>
    <x v="1"/>
    <x v="1"/>
  </r>
  <r>
    <x v="23"/>
    <n v="176259407"/>
    <x v="225"/>
    <x v="4"/>
    <x v="13"/>
    <x v="1"/>
    <x v="0"/>
    <n v="84.6"/>
    <x v="19"/>
    <s v="LOS PUEBLOS"/>
    <x v="4"/>
    <x v="55"/>
    <x v="1"/>
    <x v="1"/>
  </r>
  <r>
    <x v="8"/>
    <n v="177000559"/>
    <x v="165"/>
    <x v="4"/>
    <x v="14"/>
    <x v="1"/>
    <x v="0"/>
    <n v="169.85"/>
    <x v="20"/>
    <s v="TRANSISTMICA"/>
    <x v="4"/>
    <x v="71"/>
    <x v="1"/>
    <x v="1"/>
  </r>
  <r>
    <x v="24"/>
    <n v="175758174"/>
    <x v="224"/>
    <x v="4"/>
    <x v="46"/>
    <x v="1"/>
    <x v="0"/>
    <n v="85.12"/>
    <x v="19"/>
    <s v="ZONA LIBRE"/>
    <x v="4"/>
    <x v="69"/>
    <x v="1"/>
    <x v="1"/>
  </r>
  <r>
    <x v="23"/>
    <n v="176259407"/>
    <x v="125"/>
    <x v="4"/>
    <x v="47"/>
    <x v="1"/>
    <x v="0"/>
    <n v="71.92"/>
    <x v="19"/>
    <s v="PLAZA GALAPAGO"/>
    <x v="4"/>
    <x v="55"/>
    <x v="1"/>
    <x v="1"/>
  </r>
  <r>
    <x v="20"/>
    <n v="176033141"/>
    <x v="170"/>
    <x v="4"/>
    <x v="15"/>
    <x v="1"/>
    <x v="0"/>
    <n v="45.48"/>
    <x v="19"/>
    <s v="PARQUE LEFEVRE"/>
    <x v="4"/>
    <x v="26"/>
    <x v="1"/>
    <x v="1"/>
  </r>
  <r>
    <x v="23"/>
    <n v="176259407"/>
    <x v="228"/>
    <x v="4"/>
    <x v="48"/>
    <x v="1"/>
    <x v="0"/>
    <n v="15.98"/>
    <x v="19"/>
    <s v="CORONADO"/>
    <x v="4"/>
    <x v="55"/>
    <x v="1"/>
    <x v="1"/>
  </r>
  <r>
    <x v="16"/>
    <n v="176719325"/>
    <x v="196"/>
    <x v="4"/>
    <x v="23"/>
    <x v="1"/>
    <x v="0"/>
    <n v="47"/>
    <x v="19"/>
    <s v="COSTA DEL ESTE"/>
    <x v="4"/>
    <x v="63"/>
    <x v="1"/>
    <x v="1"/>
  </r>
  <r>
    <x v="16"/>
    <n v="176719325"/>
    <x v="178"/>
    <x v="4"/>
    <x v="24"/>
    <x v="1"/>
    <x v="0"/>
    <n v="0.01"/>
    <x v="19"/>
    <s v="MULTI PLAZA"/>
    <x v="4"/>
    <x v="63"/>
    <x v="1"/>
    <x v="1"/>
  </r>
  <r>
    <x v="16"/>
    <n v="176719325"/>
    <x v="229"/>
    <x v="4"/>
    <x v="24"/>
    <x v="1"/>
    <x v="6"/>
    <n v="0"/>
    <x v="19"/>
    <s v="MULTI PLAZA"/>
    <x v="4"/>
    <x v="63"/>
    <x v="1"/>
    <x v="1"/>
  </r>
  <r>
    <x v="8"/>
    <n v="177000559"/>
    <x v="129"/>
    <x v="4"/>
    <x v="24"/>
    <x v="1"/>
    <x v="0"/>
    <n v="52.89"/>
    <x v="19"/>
    <s v="MULTI PLAZA"/>
    <x v="4"/>
    <x v="71"/>
    <x v="1"/>
    <x v="1"/>
  </r>
  <r>
    <x v="20"/>
    <n v="176033141"/>
    <x v="204"/>
    <x v="4"/>
    <x v="25"/>
    <x v="1"/>
    <x v="0"/>
    <n v="13.92"/>
    <x v="20"/>
    <s v="TERMINAL DE ALBROOK"/>
    <x v="4"/>
    <x v="26"/>
    <x v="1"/>
    <x v="1"/>
  </r>
  <r>
    <x v="7"/>
    <n v="176451890"/>
    <x v="230"/>
    <x v="4"/>
    <x v="25"/>
    <x v="1"/>
    <x v="0"/>
    <n v="29.77"/>
    <x v="19"/>
    <s v="TERMINAL DE ALBROOK"/>
    <x v="4"/>
    <x v="29"/>
    <x v="1"/>
    <x v="1"/>
  </r>
  <r>
    <x v="23"/>
    <n v="176259407"/>
    <x v="142"/>
    <x v="4"/>
    <x v="27"/>
    <x v="1"/>
    <x v="0"/>
    <n v="65.489999999999995"/>
    <x v="19"/>
    <s v="BRISAS DEL GOLF"/>
    <x v="4"/>
    <x v="55"/>
    <x v="1"/>
    <x v="1"/>
  </r>
  <r>
    <x v="16"/>
    <n v="176719325"/>
    <x v="231"/>
    <x v="4"/>
    <x v="51"/>
    <x v="1"/>
    <x v="0"/>
    <n v="86.93"/>
    <x v="19"/>
    <s v="AGUADULCE"/>
    <x v="4"/>
    <x v="63"/>
    <x v="1"/>
    <x v="1"/>
  </r>
  <r>
    <x v="6"/>
    <n v="176880462"/>
    <x v="232"/>
    <x v="4"/>
    <x v="51"/>
    <x v="1"/>
    <x v="0"/>
    <n v="16.82"/>
    <x v="20"/>
    <s v="AGUADULCE"/>
    <x v="4"/>
    <x v="68"/>
    <x v="1"/>
    <x v="1"/>
  </r>
  <r>
    <x v="24"/>
    <n v="175758174"/>
    <x v="1"/>
    <x v="4"/>
    <x v="30"/>
    <x v="1"/>
    <x v="0"/>
    <n v="45"/>
    <x v="19"/>
    <s v="BUSINESS PARK"/>
    <x v="4"/>
    <x v="69"/>
    <x v="1"/>
    <x v="1"/>
  </r>
  <r>
    <x v="23"/>
    <n v="176259407"/>
    <x v="233"/>
    <x v="4"/>
    <x v="30"/>
    <x v="1"/>
    <x v="0"/>
    <n v="25"/>
    <x v="19"/>
    <s v="BUSINESS PARK"/>
    <x v="4"/>
    <x v="55"/>
    <x v="1"/>
    <x v="1"/>
  </r>
  <r>
    <x v="10"/>
    <n v="176777716"/>
    <x v="234"/>
    <x v="4"/>
    <x v="31"/>
    <x v="1"/>
    <x v="0"/>
    <n v="29.33"/>
    <x v="20"/>
    <s v="SAN FRANCISCO"/>
    <x v="4"/>
    <x v="52"/>
    <x v="1"/>
    <x v="1"/>
  </r>
  <r>
    <x v="20"/>
    <n v="176033141"/>
    <x v="112"/>
    <x v="4"/>
    <x v="32"/>
    <x v="1"/>
    <x v="0"/>
    <n v="40.299999999999997"/>
    <x v="19"/>
    <s v="PLAZA BANCO GENERAL"/>
    <x v="4"/>
    <x v="26"/>
    <x v="1"/>
    <x v="1"/>
  </r>
  <r>
    <x v="16"/>
    <n v="176719325"/>
    <x v="215"/>
    <x v="4"/>
    <x v="32"/>
    <x v="1"/>
    <x v="0"/>
    <n v="35.659999999999997"/>
    <x v="19"/>
    <s v="PLAZA BANCO GENERAL"/>
    <x v="4"/>
    <x v="63"/>
    <x v="1"/>
    <x v="1"/>
  </r>
  <r>
    <x v="24"/>
    <n v="175758174"/>
    <x v="235"/>
    <x v="4"/>
    <x v="53"/>
    <x v="1"/>
    <x v="0"/>
    <n v="81.2"/>
    <x v="19"/>
    <s v="PLAZA CAROLINA"/>
    <x v="4"/>
    <x v="69"/>
    <x v="1"/>
    <x v="1"/>
  </r>
  <r>
    <x v="20"/>
    <n v="176033141"/>
    <x v="8"/>
    <x v="4"/>
    <x v="36"/>
    <x v="1"/>
    <x v="0"/>
    <n v="24.5"/>
    <x v="19"/>
    <s v="VIA SIMON BOLIVAR"/>
    <x v="4"/>
    <x v="26"/>
    <x v="1"/>
    <x v="1"/>
  </r>
  <r>
    <x v="21"/>
    <n v="176389998"/>
    <x v="236"/>
    <x v="4"/>
    <x v="37"/>
    <x v="1"/>
    <x v="0"/>
    <n v="47.57"/>
    <x v="20"/>
    <s v="JUSTO AROSEMENA"/>
    <x v="4"/>
    <x v="30"/>
    <x v="1"/>
    <x v="1"/>
  </r>
  <r>
    <x v="23"/>
    <n v="176259407"/>
    <x v="237"/>
    <x v="4"/>
    <x v="38"/>
    <x v="1"/>
    <x v="0"/>
    <n v="63.22"/>
    <x v="19"/>
    <s v="BOULEVARD EL DORADO"/>
    <x v="4"/>
    <x v="55"/>
    <x v="1"/>
    <x v="1"/>
  </r>
  <r>
    <x v="7"/>
    <n v="176451890"/>
    <x v="238"/>
    <x v="4"/>
    <x v="38"/>
    <x v="1"/>
    <x v="0"/>
    <n v="30"/>
    <x v="20"/>
    <s v="BOULEVARD EL DORADO"/>
    <x v="4"/>
    <x v="29"/>
    <x v="1"/>
    <x v="1"/>
  </r>
  <r>
    <x v="24"/>
    <n v="175758174"/>
    <x v="239"/>
    <x v="4"/>
    <x v="63"/>
    <x v="1"/>
    <x v="0"/>
    <n v="40.86"/>
    <x v="19"/>
    <s v="SANTIAGO INTERAMERICANA"/>
    <x v="4"/>
    <x v="69"/>
    <x v="1"/>
    <x v="1"/>
  </r>
  <r>
    <x v="11"/>
    <n v="175977772"/>
    <x v="1"/>
    <x v="4"/>
    <x v="40"/>
    <x v="1"/>
    <x v="0"/>
    <n v="34.549999999999997"/>
    <x v="20"/>
    <s v="VILLA ZAITA"/>
    <x v="4"/>
    <x v="21"/>
    <x v="1"/>
    <x v="1"/>
  </r>
  <r>
    <x v="16"/>
    <n v="176719325"/>
    <x v="167"/>
    <x v="4"/>
    <x v="55"/>
    <x v="1"/>
    <x v="0"/>
    <n v="15.95"/>
    <x v="19"/>
    <s v="AZUERO TERMINAL PLAZA"/>
    <x v="4"/>
    <x v="63"/>
    <x v="1"/>
    <x v="1"/>
  </r>
  <r>
    <x v="23"/>
    <n v="176259407"/>
    <x v="240"/>
    <x v="4"/>
    <x v="65"/>
    <x v="1"/>
    <x v="0"/>
    <n v="21.57"/>
    <x v="19"/>
    <s v="TOWN CENTER COSTA DEL ESTE"/>
    <x v="4"/>
    <x v="55"/>
    <x v="1"/>
    <x v="1"/>
  </r>
  <r>
    <x v="7"/>
    <n v="176451890"/>
    <x v="241"/>
    <x v="4"/>
    <x v="56"/>
    <x v="1"/>
    <x v="0"/>
    <n v="91.99"/>
    <x v="19"/>
    <s v="COSTA VERDE"/>
    <x v="4"/>
    <x v="29"/>
    <x v="1"/>
    <x v="1"/>
  </r>
  <r>
    <x v="23"/>
    <n v="176259407"/>
    <x v="131"/>
    <x v="4"/>
    <x v="58"/>
    <x v="1"/>
    <x v="0"/>
    <n v="58.05"/>
    <x v="19"/>
    <s v="SAN MATEO"/>
    <x v="4"/>
    <x v="55"/>
    <x v="1"/>
    <x v="1"/>
  </r>
  <r>
    <x v="20"/>
    <n v="176033141"/>
    <x v="228"/>
    <x v="4"/>
    <x v="59"/>
    <x v="1"/>
    <x v="0"/>
    <n v="33"/>
    <x v="19"/>
    <s v="PASEO ARRAIJAN"/>
    <x v="4"/>
    <x v="26"/>
    <x v="1"/>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61">
  <r>
    <x v="0"/>
    <x v="0"/>
    <x v="0"/>
    <x v="0"/>
    <x v="0"/>
    <x v="0"/>
    <x v="0"/>
    <x v="0"/>
    <x v="0"/>
    <x v="0"/>
    <x v="0"/>
    <x v="0"/>
  </r>
  <r>
    <x v="0"/>
    <x v="1"/>
    <x v="1"/>
    <x v="1"/>
    <x v="0"/>
    <x v="0"/>
    <x v="1"/>
    <x v="1"/>
    <x v="1"/>
    <x v="1"/>
    <x v="0"/>
    <x v="0"/>
  </r>
  <r>
    <x v="0"/>
    <x v="2"/>
    <x v="2"/>
    <x v="2"/>
    <x v="0"/>
    <x v="1"/>
    <x v="2"/>
    <x v="2"/>
    <x v="2"/>
    <x v="0"/>
    <x v="0"/>
    <x v="0"/>
  </r>
  <r>
    <x v="0"/>
    <x v="3"/>
    <x v="3"/>
    <x v="3"/>
    <x v="0"/>
    <x v="1"/>
    <x v="3"/>
    <x v="3"/>
    <x v="3"/>
    <x v="0"/>
    <x v="0"/>
    <x v="0"/>
  </r>
  <r>
    <x v="0"/>
    <x v="4"/>
    <x v="4"/>
    <x v="4"/>
    <x v="0"/>
    <x v="1"/>
    <x v="4"/>
    <x v="4"/>
    <x v="4"/>
    <x v="0"/>
    <x v="0"/>
    <x v="0"/>
  </r>
  <r>
    <x v="0"/>
    <x v="0"/>
    <x v="0"/>
    <x v="0"/>
    <x v="0"/>
    <x v="1"/>
    <x v="0"/>
    <x v="0"/>
    <x v="4"/>
    <x v="0"/>
    <x v="0"/>
    <x v="0"/>
  </r>
  <r>
    <x v="0"/>
    <x v="5"/>
    <x v="0"/>
    <x v="0"/>
    <x v="0"/>
    <x v="1"/>
    <x v="5"/>
    <x v="5"/>
    <x v="5"/>
    <x v="0"/>
    <x v="0"/>
    <x v="0"/>
  </r>
  <r>
    <x v="0"/>
    <x v="6"/>
    <x v="5"/>
    <x v="5"/>
    <x v="0"/>
    <x v="1"/>
    <x v="6"/>
    <x v="6"/>
    <x v="6"/>
    <x v="0"/>
    <x v="0"/>
    <x v="0"/>
  </r>
  <r>
    <x v="0"/>
    <x v="1"/>
    <x v="1"/>
    <x v="1"/>
    <x v="0"/>
    <x v="1"/>
    <x v="1"/>
    <x v="1"/>
    <x v="1"/>
    <x v="2"/>
    <x v="0"/>
    <x v="0"/>
  </r>
  <r>
    <x v="1"/>
    <x v="7"/>
    <x v="2"/>
    <x v="2"/>
    <x v="0"/>
    <x v="2"/>
    <x v="7"/>
    <x v="7"/>
    <x v="7"/>
    <x v="0"/>
    <x v="1"/>
    <x v="0"/>
  </r>
  <r>
    <x v="1"/>
    <x v="3"/>
    <x v="3"/>
    <x v="3"/>
    <x v="0"/>
    <x v="2"/>
    <x v="3"/>
    <x v="3"/>
    <x v="8"/>
    <x v="0"/>
    <x v="1"/>
    <x v="0"/>
  </r>
  <r>
    <x v="1"/>
    <x v="5"/>
    <x v="0"/>
    <x v="0"/>
    <x v="0"/>
    <x v="2"/>
    <x v="5"/>
    <x v="5"/>
    <x v="9"/>
    <x v="0"/>
    <x v="1"/>
    <x v="0"/>
  </r>
  <r>
    <x v="1"/>
    <x v="8"/>
    <x v="1"/>
    <x v="1"/>
    <x v="0"/>
    <x v="2"/>
    <x v="8"/>
    <x v="8"/>
    <x v="10"/>
    <x v="0"/>
    <x v="1"/>
    <x v="0"/>
  </r>
  <r>
    <x v="1"/>
    <x v="1"/>
    <x v="1"/>
    <x v="1"/>
    <x v="0"/>
    <x v="2"/>
    <x v="1"/>
    <x v="1"/>
    <x v="1"/>
    <x v="3"/>
    <x v="1"/>
    <x v="0"/>
  </r>
  <r>
    <x v="1"/>
    <x v="9"/>
    <x v="6"/>
    <x v="6"/>
    <x v="0"/>
    <x v="0"/>
    <x v="9"/>
    <x v="9"/>
    <x v="11"/>
    <x v="0"/>
    <x v="1"/>
    <x v="0"/>
  </r>
  <r>
    <x v="1"/>
    <x v="10"/>
    <x v="3"/>
    <x v="3"/>
    <x v="0"/>
    <x v="0"/>
    <x v="10"/>
    <x v="10"/>
    <x v="12"/>
    <x v="0"/>
    <x v="1"/>
    <x v="0"/>
  </r>
  <r>
    <x v="1"/>
    <x v="3"/>
    <x v="3"/>
    <x v="3"/>
    <x v="0"/>
    <x v="0"/>
    <x v="3"/>
    <x v="3"/>
    <x v="13"/>
    <x v="0"/>
    <x v="1"/>
    <x v="0"/>
  </r>
  <r>
    <x v="1"/>
    <x v="4"/>
    <x v="4"/>
    <x v="4"/>
    <x v="0"/>
    <x v="0"/>
    <x v="4"/>
    <x v="4"/>
    <x v="14"/>
    <x v="0"/>
    <x v="1"/>
    <x v="0"/>
  </r>
  <r>
    <x v="1"/>
    <x v="0"/>
    <x v="0"/>
    <x v="0"/>
    <x v="0"/>
    <x v="0"/>
    <x v="0"/>
    <x v="0"/>
    <x v="15"/>
    <x v="0"/>
    <x v="1"/>
    <x v="0"/>
  </r>
  <r>
    <x v="1"/>
    <x v="1"/>
    <x v="1"/>
    <x v="1"/>
    <x v="0"/>
    <x v="0"/>
    <x v="1"/>
    <x v="1"/>
    <x v="1"/>
    <x v="4"/>
    <x v="1"/>
    <x v="0"/>
  </r>
  <r>
    <x v="1"/>
    <x v="1"/>
    <x v="1"/>
    <x v="1"/>
    <x v="0"/>
    <x v="1"/>
    <x v="1"/>
    <x v="1"/>
    <x v="1"/>
    <x v="5"/>
    <x v="1"/>
    <x v="0"/>
  </r>
  <r>
    <x v="2"/>
    <x v="11"/>
    <x v="6"/>
    <x v="6"/>
    <x v="0"/>
    <x v="0"/>
    <x v="11"/>
    <x v="11"/>
    <x v="16"/>
    <x v="0"/>
    <x v="2"/>
    <x v="0"/>
  </r>
  <r>
    <x v="2"/>
    <x v="3"/>
    <x v="3"/>
    <x v="3"/>
    <x v="0"/>
    <x v="0"/>
    <x v="3"/>
    <x v="3"/>
    <x v="17"/>
    <x v="0"/>
    <x v="2"/>
    <x v="0"/>
  </r>
  <r>
    <x v="2"/>
    <x v="4"/>
    <x v="4"/>
    <x v="4"/>
    <x v="0"/>
    <x v="0"/>
    <x v="4"/>
    <x v="4"/>
    <x v="18"/>
    <x v="0"/>
    <x v="2"/>
    <x v="0"/>
  </r>
  <r>
    <x v="2"/>
    <x v="5"/>
    <x v="0"/>
    <x v="0"/>
    <x v="0"/>
    <x v="0"/>
    <x v="5"/>
    <x v="5"/>
    <x v="19"/>
    <x v="0"/>
    <x v="2"/>
    <x v="0"/>
  </r>
  <r>
    <x v="2"/>
    <x v="1"/>
    <x v="1"/>
    <x v="1"/>
    <x v="0"/>
    <x v="0"/>
    <x v="1"/>
    <x v="1"/>
    <x v="1"/>
    <x v="6"/>
    <x v="2"/>
    <x v="0"/>
  </r>
  <r>
    <x v="2"/>
    <x v="1"/>
    <x v="1"/>
    <x v="1"/>
    <x v="0"/>
    <x v="1"/>
    <x v="1"/>
    <x v="1"/>
    <x v="1"/>
    <x v="7"/>
    <x v="2"/>
    <x v="0"/>
  </r>
  <r>
    <x v="3"/>
    <x v="1"/>
    <x v="1"/>
    <x v="1"/>
    <x v="0"/>
    <x v="0"/>
    <x v="1"/>
    <x v="1"/>
    <x v="1"/>
    <x v="8"/>
    <x v="3"/>
    <x v="0"/>
  </r>
  <r>
    <x v="3"/>
    <x v="1"/>
    <x v="1"/>
    <x v="1"/>
    <x v="0"/>
    <x v="1"/>
    <x v="1"/>
    <x v="1"/>
    <x v="1"/>
    <x v="9"/>
    <x v="3"/>
    <x v="0"/>
  </r>
  <r>
    <x v="4"/>
    <x v="2"/>
    <x v="2"/>
    <x v="2"/>
    <x v="0"/>
    <x v="2"/>
    <x v="2"/>
    <x v="2"/>
    <x v="20"/>
    <x v="0"/>
    <x v="4"/>
    <x v="0"/>
  </r>
  <r>
    <x v="4"/>
    <x v="11"/>
    <x v="6"/>
    <x v="6"/>
    <x v="0"/>
    <x v="2"/>
    <x v="11"/>
    <x v="11"/>
    <x v="21"/>
    <x v="0"/>
    <x v="4"/>
    <x v="0"/>
  </r>
  <r>
    <x v="4"/>
    <x v="12"/>
    <x v="4"/>
    <x v="4"/>
    <x v="0"/>
    <x v="2"/>
    <x v="12"/>
    <x v="12"/>
    <x v="22"/>
    <x v="0"/>
    <x v="4"/>
    <x v="0"/>
  </r>
  <r>
    <x v="4"/>
    <x v="0"/>
    <x v="0"/>
    <x v="0"/>
    <x v="0"/>
    <x v="2"/>
    <x v="0"/>
    <x v="0"/>
    <x v="23"/>
    <x v="0"/>
    <x v="4"/>
    <x v="0"/>
  </r>
  <r>
    <x v="4"/>
    <x v="13"/>
    <x v="5"/>
    <x v="5"/>
    <x v="0"/>
    <x v="2"/>
    <x v="13"/>
    <x v="13"/>
    <x v="24"/>
    <x v="0"/>
    <x v="4"/>
    <x v="0"/>
  </r>
  <r>
    <x v="4"/>
    <x v="6"/>
    <x v="5"/>
    <x v="5"/>
    <x v="0"/>
    <x v="2"/>
    <x v="6"/>
    <x v="6"/>
    <x v="25"/>
    <x v="0"/>
    <x v="4"/>
    <x v="0"/>
  </r>
  <r>
    <x v="4"/>
    <x v="14"/>
    <x v="1"/>
    <x v="1"/>
    <x v="0"/>
    <x v="2"/>
    <x v="14"/>
    <x v="14"/>
    <x v="26"/>
    <x v="0"/>
    <x v="4"/>
    <x v="0"/>
  </r>
  <r>
    <x v="4"/>
    <x v="1"/>
    <x v="1"/>
    <x v="1"/>
    <x v="0"/>
    <x v="2"/>
    <x v="1"/>
    <x v="1"/>
    <x v="1"/>
    <x v="10"/>
    <x v="4"/>
    <x v="0"/>
  </r>
  <r>
    <x v="4"/>
    <x v="7"/>
    <x v="2"/>
    <x v="2"/>
    <x v="0"/>
    <x v="0"/>
    <x v="7"/>
    <x v="7"/>
    <x v="27"/>
    <x v="0"/>
    <x v="4"/>
    <x v="0"/>
  </r>
  <r>
    <x v="4"/>
    <x v="2"/>
    <x v="2"/>
    <x v="2"/>
    <x v="0"/>
    <x v="0"/>
    <x v="2"/>
    <x v="2"/>
    <x v="28"/>
    <x v="0"/>
    <x v="4"/>
    <x v="0"/>
  </r>
  <r>
    <x v="4"/>
    <x v="9"/>
    <x v="6"/>
    <x v="6"/>
    <x v="0"/>
    <x v="0"/>
    <x v="9"/>
    <x v="9"/>
    <x v="29"/>
    <x v="0"/>
    <x v="4"/>
    <x v="0"/>
  </r>
  <r>
    <x v="4"/>
    <x v="11"/>
    <x v="6"/>
    <x v="6"/>
    <x v="0"/>
    <x v="0"/>
    <x v="11"/>
    <x v="11"/>
    <x v="30"/>
    <x v="0"/>
    <x v="4"/>
    <x v="0"/>
  </r>
  <r>
    <x v="4"/>
    <x v="10"/>
    <x v="3"/>
    <x v="3"/>
    <x v="0"/>
    <x v="0"/>
    <x v="10"/>
    <x v="10"/>
    <x v="31"/>
    <x v="0"/>
    <x v="4"/>
    <x v="0"/>
  </r>
  <r>
    <x v="4"/>
    <x v="3"/>
    <x v="3"/>
    <x v="3"/>
    <x v="0"/>
    <x v="0"/>
    <x v="3"/>
    <x v="3"/>
    <x v="32"/>
    <x v="0"/>
    <x v="4"/>
    <x v="0"/>
  </r>
  <r>
    <x v="4"/>
    <x v="12"/>
    <x v="4"/>
    <x v="4"/>
    <x v="0"/>
    <x v="0"/>
    <x v="12"/>
    <x v="12"/>
    <x v="33"/>
    <x v="0"/>
    <x v="4"/>
    <x v="0"/>
  </r>
  <r>
    <x v="4"/>
    <x v="4"/>
    <x v="4"/>
    <x v="4"/>
    <x v="0"/>
    <x v="0"/>
    <x v="4"/>
    <x v="4"/>
    <x v="34"/>
    <x v="0"/>
    <x v="4"/>
    <x v="0"/>
  </r>
  <r>
    <x v="4"/>
    <x v="0"/>
    <x v="0"/>
    <x v="0"/>
    <x v="0"/>
    <x v="0"/>
    <x v="0"/>
    <x v="0"/>
    <x v="35"/>
    <x v="0"/>
    <x v="4"/>
    <x v="0"/>
  </r>
  <r>
    <x v="4"/>
    <x v="5"/>
    <x v="0"/>
    <x v="0"/>
    <x v="0"/>
    <x v="0"/>
    <x v="5"/>
    <x v="5"/>
    <x v="36"/>
    <x v="0"/>
    <x v="4"/>
    <x v="0"/>
  </r>
  <r>
    <x v="4"/>
    <x v="13"/>
    <x v="5"/>
    <x v="5"/>
    <x v="0"/>
    <x v="0"/>
    <x v="13"/>
    <x v="13"/>
    <x v="37"/>
    <x v="0"/>
    <x v="4"/>
    <x v="0"/>
  </r>
  <r>
    <x v="4"/>
    <x v="6"/>
    <x v="5"/>
    <x v="5"/>
    <x v="0"/>
    <x v="0"/>
    <x v="6"/>
    <x v="6"/>
    <x v="38"/>
    <x v="0"/>
    <x v="4"/>
    <x v="0"/>
  </r>
  <r>
    <x v="4"/>
    <x v="14"/>
    <x v="1"/>
    <x v="1"/>
    <x v="0"/>
    <x v="0"/>
    <x v="14"/>
    <x v="14"/>
    <x v="39"/>
    <x v="0"/>
    <x v="4"/>
    <x v="0"/>
  </r>
  <r>
    <x v="4"/>
    <x v="8"/>
    <x v="1"/>
    <x v="1"/>
    <x v="0"/>
    <x v="0"/>
    <x v="8"/>
    <x v="8"/>
    <x v="40"/>
    <x v="0"/>
    <x v="4"/>
    <x v="0"/>
  </r>
  <r>
    <x v="4"/>
    <x v="1"/>
    <x v="1"/>
    <x v="1"/>
    <x v="0"/>
    <x v="0"/>
    <x v="1"/>
    <x v="1"/>
    <x v="1"/>
    <x v="11"/>
    <x v="4"/>
    <x v="0"/>
  </r>
  <r>
    <x v="4"/>
    <x v="7"/>
    <x v="2"/>
    <x v="2"/>
    <x v="0"/>
    <x v="1"/>
    <x v="7"/>
    <x v="7"/>
    <x v="41"/>
    <x v="0"/>
    <x v="4"/>
    <x v="0"/>
  </r>
  <r>
    <x v="4"/>
    <x v="2"/>
    <x v="2"/>
    <x v="2"/>
    <x v="0"/>
    <x v="1"/>
    <x v="2"/>
    <x v="2"/>
    <x v="42"/>
    <x v="0"/>
    <x v="4"/>
    <x v="0"/>
  </r>
  <r>
    <x v="4"/>
    <x v="11"/>
    <x v="6"/>
    <x v="6"/>
    <x v="0"/>
    <x v="1"/>
    <x v="11"/>
    <x v="11"/>
    <x v="43"/>
    <x v="0"/>
    <x v="4"/>
    <x v="0"/>
  </r>
  <r>
    <x v="4"/>
    <x v="3"/>
    <x v="3"/>
    <x v="3"/>
    <x v="0"/>
    <x v="1"/>
    <x v="3"/>
    <x v="3"/>
    <x v="44"/>
    <x v="0"/>
    <x v="4"/>
    <x v="0"/>
  </r>
  <r>
    <x v="4"/>
    <x v="12"/>
    <x v="4"/>
    <x v="4"/>
    <x v="0"/>
    <x v="1"/>
    <x v="12"/>
    <x v="12"/>
    <x v="45"/>
    <x v="0"/>
    <x v="4"/>
    <x v="0"/>
  </r>
  <r>
    <x v="4"/>
    <x v="4"/>
    <x v="4"/>
    <x v="4"/>
    <x v="0"/>
    <x v="1"/>
    <x v="4"/>
    <x v="4"/>
    <x v="46"/>
    <x v="0"/>
    <x v="4"/>
    <x v="0"/>
  </r>
  <r>
    <x v="4"/>
    <x v="13"/>
    <x v="5"/>
    <x v="5"/>
    <x v="0"/>
    <x v="1"/>
    <x v="13"/>
    <x v="13"/>
    <x v="47"/>
    <x v="0"/>
    <x v="4"/>
    <x v="0"/>
  </r>
  <r>
    <x v="4"/>
    <x v="6"/>
    <x v="5"/>
    <x v="5"/>
    <x v="0"/>
    <x v="1"/>
    <x v="6"/>
    <x v="6"/>
    <x v="48"/>
    <x v="0"/>
    <x v="4"/>
    <x v="0"/>
  </r>
  <r>
    <x v="4"/>
    <x v="14"/>
    <x v="1"/>
    <x v="1"/>
    <x v="0"/>
    <x v="1"/>
    <x v="14"/>
    <x v="14"/>
    <x v="49"/>
    <x v="0"/>
    <x v="4"/>
    <x v="0"/>
  </r>
  <r>
    <x v="4"/>
    <x v="1"/>
    <x v="1"/>
    <x v="1"/>
    <x v="0"/>
    <x v="1"/>
    <x v="1"/>
    <x v="1"/>
    <x v="1"/>
    <x v="12"/>
    <x v="4"/>
    <x v="0"/>
  </r>
  <r>
    <x v="5"/>
    <x v="3"/>
    <x v="3"/>
    <x v="3"/>
    <x v="0"/>
    <x v="2"/>
    <x v="3"/>
    <x v="3"/>
    <x v="50"/>
    <x v="0"/>
    <x v="5"/>
    <x v="0"/>
  </r>
  <r>
    <x v="5"/>
    <x v="1"/>
    <x v="1"/>
    <x v="1"/>
    <x v="0"/>
    <x v="2"/>
    <x v="1"/>
    <x v="1"/>
    <x v="1"/>
    <x v="13"/>
    <x v="5"/>
    <x v="0"/>
  </r>
  <r>
    <x v="5"/>
    <x v="3"/>
    <x v="3"/>
    <x v="3"/>
    <x v="0"/>
    <x v="0"/>
    <x v="3"/>
    <x v="3"/>
    <x v="51"/>
    <x v="0"/>
    <x v="5"/>
    <x v="0"/>
  </r>
  <r>
    <x v="5"/>
    <x v="1"/>
    <x v="1"/>
    <x v="1"/>
    <x v="0"/>
    <x v="0"/>
    <x v="1"/>
    <x v="1"/>
    <x v="1"/>
    <x v="14"/>
    <x v="5"/>
    <x v="0"/>
  </r>
  <r>
    <x v="5"/>
    <x v="1"/>
    <x v="1"/>
    <x v="1"/>
    <x v="0"/>
    <x v="1"/>
    <x v="1"/>
    <x v="1"/>
    <x v="1"/>
    <x v="15"/>
    <x v="5"/>
    <x v="0"/>
  </r>
  <r>
    <x v="6"/>
    <x v="5"/>
    <x v="0"/>
    <x v="0"/>
    <x v="0"/>
    <x v="2"/>
    <x v="5"/>
    <x v="5"/>
    <x v="52"/>
    <x v="0"/>
    <x v="6"/>
    <x v="0"/>
  </r>
  <r>
    <x v="6"/>
    <x v="1"/>
    <x v="1"/>
    <x v="1"/>
    <x v="0"/>
    <x v="2"/>
    <x v="1"/>
    <x v="1"/>
    <x v="1"/>
    <x v="16"/>
    <x v="6"/>
    <x v="0"/>
  </r>
  <r>
    <x v="6"/>
    <x v="4"/>
    <x v="4"/>
    <x v="4"/>
    <x v="0"/>
    <x v="0"/>
    <x v="4"/>
    <x v="4"/>
    <x v="53"/>
    <x v="0"/>
    <x v="6"/>
    <x v="0"/>
  </r>
  <r>
    <x v="6"/>
    <x v="8"/>
    <x v="1"/>
    <x v="1"/>
    <x v="0"/>
    <x v="0"/>
    <x v="8"/>
    <x v="8"/>
    <x v="54"/>
    <x v="0"/>
    <x v="6"/>
    <x v="0"/>
  </r>
  <r>
    <x v="6"/>
    <x v="1"/>
    <x v="1"/>
    <x v="1"/>
    <x v="0"/>
    <x v="0"/>
    <x v="1"/>
    <x v="1"/>
    <x v="1"/>
    <x v="17"/>
    <x v="6"/>
    <x v="0"/>
  </r>
  <r>
    <x v="6"/>
    <x v="11"/>
    <x v="6"/>
    <x v="6"/>
    <x v="0"/>
    <x v="1"/>
    <x v="11"/>
    <x v="11"/>
    <x v="55"/>
    <x v="0"/>
    <x v="6"/>
    <x v="0"/>
  </r>
  <r>
    <x v="6"/>
    <x v="1"/>
    <x v="1"/>
    <x v="1"/>
    <x v="0"/>
    <x v="1"/>
    <x v="1"/>
    <x v="1"/>
    <x v="1"/>
    <x v="18"/>
    <x v="6"/>
    <x v="0"/>
  </r>
  <r>
    <x v="7"/>
    <x v="1"/>
    <x v="1"/>
    <x v="1"/>
    <x v="0"/>
    <x v="2"/>
    <x v="1"/>
    <x v="1"/>
    <x v="1"/>
    <x v="19"/>
    <x v="7"/>
    <x v="0"/>
  </r>
  <r>
    <x v="7"/>
    <x v="2"/>
    <x v="2"/>
    <x v="2"/>
    <x v="0"/>
    <x v="0"/>
    <x v="2"/>
    <x v="2"/>
    <x v="56"/>
    <x v="0"/>
    <x v="7"/>
    <x v="0"/>
  </r>
  <r>
    <x v="7"/>
    <x v="1"/>
    <x v="1"/>
    <x v="1"/>
    <x v="0"/>
    <x v="0"/>
    <x v="1"/>
    <x v="1"/>
    <x v="1"/>
    <x v="20"/>
    <x v="7"/>
    <x v="0"/>
  </r>
  <r>
    <x v="7"/>
    <x v="10"/>
    <x v="3"/>
    <x v="3"/>
    <x v="0"/>
    <x v="1"/>
    <x v="10"/>
    <x v="10"/>
    <x v="57"/>
    <x v="0"/>
    <x v="7"/>
    <x v="0"/>
  </r>
  <r>
    <x v="7"/>
    <x v="0"/>
    <x v="0"/>
    <x v="0"/>
    <x v="0"/>
    <x v="1"/>
    <x v="0"/>
    <x v="0"/>
    <x v="58"/>
    <x v="0"/>
    <x v="7"/>
    <x v="0"/>
  </r>
  <r>
    <x v="7"/>
    <x v="1"/>
    <x v="1"/>
    <x v="1"/>
    <x v="0"/>
    <x v="1"/>
    <x v="1"/>
    <x v="1"/>
    <x v="1"/>
    <x v="21"/>
    <x v="7"/>
    <x v="0"/>
  </r>
  <r>
    <x v="8"/>
    <x v="3"/>
    <x v="3"/>
    <x v="3"/>
    <x v="0"/>
    <x v="0"/>
    <x v="3"/>
    <x v="3"/>
    <x v="59"/>
    <x v="0"/>
    <x v="8"/>
    <x v="0"/>
  </r>
  <r>
    <x v="8"/>
    <x v="0"/>
    <x v="0"/>
    <x v="0"/>
    <x v="0"/>
    <x v="0"/>
    <x v="0"/>
    <x v="0"/>
    <x v="60"/>
    <x v="0"/>
    <x v="8"/>
    <x v="0"/>
  </r>
  <r>
    <x v="8"/>
    <x v="5"/>
    <x v="0"/>
    <x v="0"/>
    <x v="0"/>
    <x v="0"/>
    <x v="5"/>
    <x v="5"/>
    <x v="61"/>
    <x v="0"/>
    <x v="8"/>
    <x v="0"/>
  </r>
  <r>
    <x v="8"/>
    <x v="13"/>
    <x v="5"/>
    <x v="5"/>
    <x v="0"/>
    <x v="0"/>
    <x v="13"/>
    <x v="13"/>
    <x v="62"/>
    <x v="0"/>
    <x v="8"/>
    <x v="0"/>
  </r>
  <r>
    <x v="8"/>
    <x v="1"/>
    <x v="1"/>
    <x v="1"/>
    <x v="0"/>
    <x v="0"/>
    <x v="1"/>
    <x v="1"/>
    <x v="1"/>
    <x v="22"/>
    <x v="8"/>
    <x v="0"/>
  </r>
  <r>
    <x v="8"/>
    <x v="11"/>
    <x v="6"/>
    <x v="6"/>
    <x v="0"/>
    <x v="1"/>
    <x v="11"/>
    <x v="11"/>
    <x v="63"/>
    <x v="0"/>
    <x v="8"/>
    <x v="0"/>
  </r>
  <r>
    <x v="8"/>
    <x v="12"/>
    <x v="4"/>
    <x v="4"/>
    <x v="0"/>
    <x v="1"/>
    <x v="12"/>
    <x v="12"/>
    <x v="64"/>
    <x v="0"/>
    <x v="8"/>
    <x v="0"/>
  </r>
  <r>
    <x v="8"/>
    <x v="0"/>
    <x v="0"/>
    <x v="0"/>
    <x v="0"/>
    <x v="1"/>
    <x v="0"/>
    <x v="0"/>
    <x v="65"/>
    <x v="0"/>
    <x v="8"/>
    <x v="0"/>
  </r>
  <r>
    <x v="8"/>
    <x v="5"/>
    <x v="0"/>
    <x v="0"/>
    <x v="0"/>
    <x v="1"/>
    <x v="5"/>
    <x v="5"/>
    <x v="66"/>
    <x v="0"/>
    <x v="8"/>
    <x v="0"/>
  </r>
  <r>
    <x v="8"/>
    <x v="1"/>
    <x v="1"/>
    <x v="1"/>
    <x v="0"/>
    <x v="1"/>
    <x v="1"/>
    <x v="1"/>
    <x v="1"/>
    <x v="23"/>
    <x v="8"/>
    <x v="0"/>
  </r>
  <r>
    <x v="9"/>
    <x v="13"/>
    <x v="5"/>
    <x v="5"/>
    <x v="0"/>
    <x v="2"/>
    <x v="13"/>
    <x v="13"/>
    <x v="67"/>
    <x v="0"/>
    <x v="9"/>
    <x v="0"/>
  </r>
  <r>
    <x v="9"/>
    <x v="1"/>
    <x v="1"/>
    <x v="1"/>
    <x v="0"/>
    <x v="2"/>
    <x v="1"/>
    <x v="1"/>
    <x v="1"/>
    <x v="24"/>
    <x v="9"/>
    <x v="0"/>
  </r>
  <r>
    <x v="9"/>
    <x v="7"/>
    <x v="2"/>
    <x v="2"/>
    <x v="0"/>
    <x v="0"/>
    <x v="7"/>
    <x v="7"/>
    <x v="68"/>
    <x v="0"/>
    <x v="9"/>
    <x v="0"/>
  </r>
  <r>
    <x v="9"/>
    <x v="2"/>
    <x v="2"/>
    <x v="2"/>
    <x v="0"/>
    <x v="0"/>
    <x v="2"/>
    <x v="2"/>
    <x v="69"/>
    <x v="0"/>
    <x v="9"/>
    <x v="0"/>
  </r>
  <r>
    <x v="9"/>
    <x v="9"/>
    <x v="6"/>
    <x v="6"/>
    <x v="0"/>
    <x v="0"/>
    <x v="9"/>
    <x v="9"/>
    <x v="70"/>
    <x v="0"/>
    <x v="9"/>
    <x v="0"/>
  </r>
  <r>
    <x v="9"/>
    <x v="15"/>
    <x v="6"/>
    <x v="6"/>
    <x v="0"/>
    <x v="0"/>
    <x v="15"/>
    <x v="15"/>
    <x v="71"/>
    <x v="0"/>
    <x v="9"/>
    <x v="0"/>
  </r>
  <r>
    <x v="9"/>
    <x v="11"/>
    <x v="6"/>
    <x v="6"/>
    <x v="0"/>
    <x v="0"/>
    <x v="11"/>
    <x v="11"/>
    <x v="72"/>
    <x v="0"/>
    <x v="9"/>
    <x v="0"/>
  </r>
  <r>
    <x v="9"/>
    <x v="10"/>
    <x v="3"/>
    <x v="3"/>
    <x v="0"/>
    <x v="0"/>
    <x v="10"/>
    <x v="10"/>
    <x v="73"/>
    <x v="0"/>
    <x v="9"/>
    <x v="0"/>
  </r>
  <r>
    <x v="9"/>
    <x v="3"/>
    <x v="3"/>
    <x v="3"/>
    <x v="0"/>
    <x v="0"/>
    <x v="3"/>
    <x v="3"/>
    <x v="74"/>
    <x v="0"/>
    <x v="9"/>
    <x v="0"/>
  </r>
  <r>
    <x v="9"/>
    <x v="12"/>
    <x v="4"/>
    <x v="4"/>
    <x v="0"/>
    <x v="0"/>
    <x v="12"/>
    <x v="12"/>
    <x v="75"/>
    <x v="0"/>
    <x v="9"/>
    <x v="0"/>
  </r>
  <r>
    <x v="9"/>
    <x v="4"/>
    <x v="4"/>
    <x v="4"/>
    <x v="0"/>
    <x v="0"/>
    <x v="4"/>
    <x v="4"/>
    <x v="76"/>
    <x v="0"/>
    <x v="9"/>
    <x v="0"/>
  </r>
  <r>
    <x v="9"/>
    <x v="0"/>
    <x v="0"/>
    <x v="0"/>
    <x v="0"/>
    <x v="0"/>
    <x v="0"/>
    <x v="0"/>
    <x v="77"/>
    <x v="0"/>
    <x v="9"/>
    <x v="0"/>
  </r>
  <r>
    <x v="9"/>
    <x v="5"/>
    <x v="0"/>
    <x v="0"/>
    <x v="0"/>
    <x v="0"/>
    <x v="5"/>
    <x v="5"/>
    <x v="78"/>
    <x v="0"/>
    <x v="9"/>
    <x v="0"/>
  </r>
  <r>
    <x v="9"/>
    <x v="13"/>
    <x v="5"/>
    <x v="5"/>
    <x v="0"/>
    <x v="0"/>
    <x v="13"/>
    <x v="13"/>
    <x v="79"/>
    <x v="0"/>
    <x v="9"/>
    <x v="0"/>
  </r>
  <r>
    <x v="9"/>
    <x v="6"/>
    <x v="5"/>
    <x v="5"/>
    <x v="0"/>
    <x v="0"/>
    <x v="6"/>
    <x v="6"/>
    <x v="80"/>
    <x v="0"/>
    <x v="9"/>
    <x v="0"/>
  </r>
  <r>
    <x v="9"/>
    <x v="14"/>
    <x v="1"/>
    <x v="1"/>
    <x v="0"/>
    <x v="0"/>
    <x v="14"/>
    <x v="14"/>
    <x v="81"/>
    <x v="0"/>
    <x v="9"/>
    <x v="0"/>
  </r>
  <r>
    <x v="9"/>
    <x v="8"/>
    <x v="1"/>
    <x v="1"/>
    <x v="0"/>
    <x v="0"/>
    <x v="8"/>
    <x v="8"/>
    <x v="82"/>
    <x v="0"/>
    <x v="9"/>
    <x v="0"/>
  </r>
  <r>
    <x v="9"/>
    <x v="1"/>
    <x v="1"/>
    <x v="1"/>
    <x v="0"/>
    <x v="0"/>
    <x v="1"/>
    <x v="1"/>
    <x v="1"/>
    <x v="25"/>
    <x v="9"/>
    <x v="0"/>
  </r>
  <r>
    <x v="9"/>
    <x v="10"/>
    <x v="3"/>
    <x v="3"/>
    <x v="0"/>
    <x v="1"/>
    <x v="10"/>
    <x v="10"/>
    <x v="83"/>
    <x v="0"/>
    <x v="9"/>
    <x v="0"/>
  </r>
  <r>
    <x v="9"/>
    <x v="3"/>
    <x v="3"/>
    <x v="3"/>
    <x v="0"/>
    <x v="1"/>
    <x v="3"/>
    <x v="3"/>
    <x v="84"/>
    <x v="0"/>
    <x v="9"/>
    <x v="0"/>
  </r>
  <r>
    <x v="9"/>
    <x v="12"/>
    <x v="4"/>
    <x v="4"/>
    <x v="0"/>
    <x v="1"/>
    <x v="12"/>
    <x v="12"/>
    <x v="85"/>
    <x v="0"/>
    <x v="9"/>
    <x v="0"/>
  </r>
  <r>
    <x v="9"/>
    <x v="4"/>
    <x v="4"/>
    <x v="4"/>
    <x v="0"/>
    <x v="1"/>
    <x v="4"/>
    <x v="4"/>
    <x v="86"/>
    <x v="0"/>
    <x v="9"/>
    <x v="0"/>
  </r>
  <r>
    <x v="9"/>
    <x v="0"/>
    <x v="0"/>
    <x v="0"/>
    <x v="0"/>
    <x v="1"/>
    <x v="0"/>
    <x v="0"/>
    <x v="87"/>
    <x v="0"/>
    <x v="9"/>
    <x v="0"/>
  </r>
  <r>
    <x v="9"/>
    <x v="13"/>
    <x v="5"/>
    <x v="5"/>
    <x v="0"/>
    <x v="1"/>
    <x v="13"/>
    <x v="13"/>
    <x v="88"/>
    <x v="0"/>
    <x v="9"/>
    <x v="0"/>
  </r>
  <r>
    <x v="9"/>
    <x v="6"/>
    <x v="5"/>
    <x v="5"/>
    <x v="0"/>
    <x v="1"/>
    <x v="6"/>
    <x v="6"/>
    <x v="86"/>
    <x v="0"/>
    <x v="9"/>
    <x v="0"/>
  </r>
  <r>
    <x v="9"/>
    <x v="8"/>
    <x v="1"/>
    <x v="1"/>
    <x v="0"/>
    <x v="1"/>
    <x v="8"/>
    <x v="8"/>
    <x v="89"/>
    <x v="0"/>
    <x v="9"/>
    <x v="0"/>
  </r>
  <r>
    <x v="9"/>
    <x v="1"/>
    <x v="1"/>
    <x v="1"/>
    <x v="0"/>
    <x v="1"/>
    <x v="1"/>
    <x v="1"/>
    <x v="1"/>
    <x v="26"/>
    <x v="9"/>
    <x v="0"/>
  </r>
  <r>
    <x v="10"/>
    <x v="7"/>
    <x v="2"/>
    <x v="2"/>
    <x v="0"/>
    <x v="2"/>
    <x v="7"/>
    <x v="7"/>
    <x v="90"/>
    <x v="0"/>
    <x v="10"/>
    <x v="0"/>
  </r>
  <r>
    <x v="10"/>
    <x v="10"/>
    <x v="3"/>
    <x v="3"/>
    <x v="0"/>
    <x v="2"/>
    <x v="10"/>
    <x v="10"/>
    <x v="91"/>
    <x v="0"/>
    <x v="10"/>
    <x v="0"/>
  </r>
  <r>
    <x v="10"/>
    <x v="14"/>
    <x v="1"/>
    <x v="1"/>
    <x v="0"/>
    <x v="2"/>
    <x v="14"/>
    <x v="14"/>
    <x v="92"/>
    <x v="0"/>
    <x v="10"/>
    <x v="0"/>
  </r>
  <r>
    <x v="10"/>
    <x v="8"/>
    <x v="1"/>
    <x v="1"/>
    <x v="0"/>
    <x v="2"/>
    <x v="8"/>
    <x v="8"/>
    <x v="93"/>
    <x v="0"/>
    <x v="10"/>
    <x v="0"/>
  </r>
  <r>
    <x v="10"/>
    <x v="1"/>
    <x v="1"/>
    <x v="1"/>
    <x v="0"/>
    <x v="2"/>
    <x v="1"/>
    <x v="1"/>
    <x v="1"/>
    <x v="27"/>
    <x v="10"/>
    <x v="0"/>
  </r>
  <r>
    <x v="10"/>
    <x v="7"/>
    <x v="2"/>
    <x v="2"/>
    <x v="0"/>
    <x v="0"/>
    <x v="7"/>
    <x v="7"/>
    <x v="94"/>
    <x v="0"/>
    <x v="10"/>
    <x v="0"/>
  </r>
  <r>
    <x v="10"/>
    <x v="2"/>
    <x v="2"/>
    <x v="2"/>
    <x v="0"/>
    <x v="0"/>
    <x v="2"/>
    <x v="2"/>
    <x v="95"/>
    <x v="0"/>
    <x v="10"/>
    <x v="0"/>
  </r>
  <r>
    <x v="10"/>
    <x v="9"/>
    <x v="6"/>
    <x v="6"/>
    <x v="0"/>
    <x v="0"/>
    <x v="9"/>
    <x v="9"/>
    <x v="96"/>
    <x v="0"/>
    <x v="10"/>
    <x v="0"/>
  </r>
  <r>
    <x v="10"/>
    <x v="11"/>
    <x v="6"/>
    <x v="6"/>
    <x v="0"/>
    <x v="0"/>
    <x v="11"/>
    <x v="11"/>
    <x v="97"/>
    <x v="0"/>
    <x v="10"/>
    <x v="0"/>
  </r>
  <r>
    <x v="10"/>
    <x v="10"/>
    <x v="3"/>
    <x v="3"/>
    <x v="0"/>
    <x v="0"/>
    <x v="10"/>
    <x v="10"/>
    <x v="98"/>
    <x v="0"/>
    <x v="10"/>
    <x v="0"/>
  </r>
  <r>
    <x v="10"/>
    <x v="3"/>
    <x v="3"/>
    <x v="3"/>
    <x v="0"/>
    <x v="0"/>
    <x v="3"/>
    <x v="3"/>
    <x v="99"/>
    <x v="0"/>
    <x v="10"/>
    <x v="0"/>
  </r>
  <r>
    <x v="10"/>
    <x v="12"/>
    <x v="4"/>
    <x v="4"/>
    <x v="0"/>
    <x v="0"/>
    <x v="12"/>
    <x v="12"/>
    <x v="100"/>
    <x v="0"/>
    <x v="10"/>
    <x v="0"/>
  </r>
  <r>
    <x v="10"/>
    <x v="4"/>
    <x v="4"/>
    <x v="4"/>
    <x v="0"/>
    <x v="0"/>
    <x v="4"/>
    <x v="4"/>
    <x v="101"/>
    <x v="0"/>
    <x v="10"/>
    <x v="0"/>
  </r>
  <r>
    <x v="10"/>
    <x v="0"/>
    <x v="0"/>
    <x v="0"/>
    <x v="0"/>
    <x v="0"/>
    <x v="0"/>
    <x v="0"/>
    <x v="102"/>
    <x v="0"/>
    <x v="10"/>
    <x v="0"/>
  </r>
  <r>
    <x v="10"/>
    <x v="5"/>
    <x v="0"/>
    <x v="0"/>
    <x v="0"/>
    <x v="0"/>
    <x v="5"/>
    <x v="5"/>
    <x v="103"/>
    <x v="0"/>
    <x v="10"/>
    <x v="0"/>
  </r>
  <r>
    <x v="10"/>
    <x v="13"/>
    <x v="5"/>
    <x v="5"/>
    <x v="0"/>
    <x v="0"/>
    <x v="13"/>
    <x v="13"/>
    <x v="104"/>
    <x v="0"/>
    <x v="10"/>
    <x v="0"/>
  </r>
  <r>
    <x v="10"/>
    <x v="6"/>
    <x v="5"/>
    <x v="5"/>
    <x v="0"/>
    <x v="0"/>
    <x v="6"/>
    <x v="6"/>
    <x v="105"/>
    <x v="0"/>
    <x v="10"/>
    <x v="0"/>
  </r>
  <r>
    <x v="10"/>
    <x v="14"/>
    <x v="1"/>
    <x v="1"/>
    <x v="0"/>
    <x v="0"/>
    <x v="14"/>
    <x v="14"/>
    <x v="106"/>
    <x v="0"/>
    <x v="10"/>
    <x v="0"/>
  </r>
  <r>
    <x v="10"/>
    <x v="8"/>
    <x v="1"/>
    <x v="1"/>
    <x v="0"/>
    <x v="0"/>
    <x v="8"/>
    <x v="8"/>
    <x v="107"/>
    <x v="0"/>
    <x v="10"/>
    <x v="0"/>
  </r>
  <r>
    <x v="10"/>
    <x v="1"/>
    <x v="1"/>
    <x v="1"/>
    <x v="0"/>
    <x v="0"/>
    <x v="1"/>
    <x v="1"/>
    <x v="1"/>
    <x v="28"/>
    <x v="10"/>
    <x v="0"/>
  </r>
  <r>
    <x v="10"/>
    <x v="2"/>
    <x v="2"/>
    <x v="2"/>
    <x v="0"/>
    <x v="1"/>
    <x v="2"/>
    <x v="2"/>
    <x v="108"/>
    <x v="0"/>
    <x v="10"/>
    <x v="0"/>
  </r>
  <r>
    <x v="10"/>
    <x v="9"/>
    <x v="6"/>
    <x v="6"/>
    <x v="0"/>
    <x v="1"/>
    <x v="9"/>
    <x v="9"/>
    <x v="109"/>
    <x v="0"/>
    <x v="10"/>
    <x v="0"/>
  </r>
  <r>
    <x v="10"/>
    <x v="11"/>
    <x v="6"/>
    <x v="6"/>
    <x v="0"/>
    <x v="1"/>
    <x v="11"/>
    <x v="11"/>
    <x v="110"/>
    <x v="0"/>
    <x v="10"/>
    <x v="0"/>
  </r>
  <r>
    <x v="10"/>
    <x v="10"/>
    <x v="3"/>
    <x v="3"/>
    <x v="0"/>
    <x v="1"/>
    <x v="10"/>
    <x v="10"/>
    <x v="111"/>
    <x v="0"/>
    <x v="10"/>
    <x v="0"/>
  </r>
  <r>
    <x v="10"/>
    <x v="3"/>
    <x v="3"/>
    <x v="3"/>
    <x v="0"/>
    <x v="1"/>
    <x v="3"/>
    <x v="3"/>
    <x v="112"/>
    <x v="0"/>
    <x v="10"/>
    <x v="0"/>
  </r>
  <r>
    <x v="10"/>
    <x v="0"/>
    <x v="0"/>
    <x v="0"/>
    <x v="0"/>
    <x v="1"/>
    <x v="0"/>
    <x v="0"/>
    <x v="2"/>
    <x v="0"/>
    <x v="10"/>
    <x v="0"/>
  </r>
  <r>
    <x v="10"/>
    <x v="5"/>
    <x v="0"/>
    <x v="0"/>
    <x v="0"/>
    <x v="1"/>
    <x v="5"/>
    <x v="5"/>
    <x v="113"/>
    <x v="0"/>
    <x v="10"/>
    <x v="0"/>
  </r>
  <r>
    <x v="10"/>
    <x v="13"/>
    <x v="5"/>
    <x v="5"/>
    <x v="0"/>
    <x v="1"/>
    <x v="13"/>
    <x v="13"/>
    <x v="114"/>
    <x v="0"/>
    <x v="10"/>
    <x v="0"/>
  </r>
  <r>
    <x v="10"/>
    <x v="6"/>
    <x v="5"/>
    <x v="5"/>
    <x v="0"/>
    <x v="1"/>
    <x v="6"/>
    <x v="6"/>
    <x v="115"/>
    <x v="0"/>
    <x v="10"/>
    <x v="0"/>
  </r>
  <r>
    <x v="10"/>
    <x v="8"/>
    <x v="1"/>
    <x v="1"/>
    <x v="0"/>
    <x v="1"/>
    <x v="8"/>
    <x v="8"/>
    <x v="114"/>
    <x v="0"/>
    <x v="10"/>
    <x v="0"/>
  </r>
  <r>
    <x v="10"/>
    <x v="1"/>
    <x v="1"/>
    <x v="1"/>
    <x v="0"/>
    <x v="1"/>
    <x v="1"/>
    <x v="1"/>
    <x v="1"/>
    <x v="29"/>
    <x v="10"/>
    <x v="0"/>
  </r>
  <r>
    <x v="11"/>
    <x v="4"/>
    <x v="4"/>
    <x v="4"/>
    <x v="0"/>
    <x v="0"/>
    <x v="4"/>
    <x v="4"/>
    <x v="116"/>
    <x v="0"/>
    <x v="11"/>
    <x v="0"/>
  </r>
  <r>
    <x v="11"/>
    <x v="5"/>
    <x v="0"/>
    <x v="0"/>
    <x v="0"/>
    <x v="0"/>
    <x v="5"/>
    <x v="5"/>
    <x v="117"/>
    <x v="0"/>
    <x v="11"/>
    <x v="0"/>
  </r>
  <r>
    <x v="11"/>
    <x v="1"/>
    <x v="1"/>
    <x v="1"/>
    <x v="0"/>
    <x v="0"/>
    <x v="1"/>
    <x v="1"/>
    <x v="1"/>
    <x v="30"/>
    <x v="11"/>
    <x v="0"/>
  </r>
  <r>
    <x v="12"/>
    <x v="1"/>
    <x v="1"/>
    <x v="1"/>
    <x v="0"/>
    <x v="2"/>
    <x v="1"/>
    <x v="1"/>
    <x v="1"/>
    <x v="31"/>
    <x v="12"/>
    <x v="0"/>
  </r>
  <r>
    <x v="12"/>
    <x v="11"/>
    <x v="6"/>
    <x v="6"/>
    <x v="0"/>
    <x v="0"/>
    <x v="11"/>
    <x v="11"/>
    <x v="118"/>
    <x v="0"/>
    <x v="12"/>
    <x v="0"/>
  </r>
  <r>
    <x v="12"/>
    <x v="12"/>
    <x v="4"/>
    <x v="4"/>
    <x v="0"/>
    <x v="0"/>
    <x v="12"/>
    <x v="12"/>
    <x v="119"/>
    <x v="0"/>
    <x v="12"/>
    <x v="0"/>
  </r>
  <r>
    <x v="12"/>
    <x v="4"/>
    <x v="4"/>
    <x v="4"/>
    <x v="0"/>
    <x v="0"/>
    <x v="4"/>
    <x v="4"/>
    <x v="120"/>
    <x v="0"/>
    <x v="12"/>
    <x v="0"/>
  </r>
  <r>
    <x v="12"/>
    <x v="0"/>
    <x v="0"/>
    <x v="0"/>
    <x v="0"/>
    <x v="0"/>
    <x v="0"/>
    <x v="0"/>
    <x v="121"/>
    <x v="0"/>
    <x v="12"/>
    <x v="0"/>
  </r>
  <r>
    <x v="12"/>
    <x v="1"/>
    <x v="1"/>
    <x v="1"/>
    <x v="0"/>
    <x v="0"/>
    <x v="1"/>
    <x v="1"/>
    <x v="1"/>
    <x v="32"/>
    <x v="12"/>
    <x v="0"/>
  </r>
  <r>
    <x v="12"/>
    <x v="7"/>
    <x v="2"/>
    <x v="2"/>
    <x v="0"/>
    <x v="1"/>
    <x v="7"/>
    <x v="7"/>
    <x v="122"/>
    <x v="0"/>
    <x v="12"/>
    <x v="0"/>
  </r>
  <r>
    <x v="12"/>
    <x v="1"/>
    <x v="1"/>
    <x v="1"/>
    <x v="0"/>
    <x v="1"/>
    <x v="1"/>
    <x v="1"/>
    <x v="1"/>
    <x v="33"/>
    <x v="12"/>
    <x v="0"/>
  </r>
  <r>
    <x v="13"/>
    <x v="11"/>
    <x v="6"/>
    <x v="6"/>
    <x v="0"/>
    <x v="0"/>
    <x v="11"/>
    <x v="11"/>
    <x v="123"/>
    <x v="0"/>
    <x v="13"/>
    <x v="0"/>
  </r>
  <r>
    <x v="13"/>
    <x v="6"/>
    <x v="5"/>
    <x v="5"/>
    <x v="0"/>
    <x v="0"/>
    <x v="6"/>
    <x v="6"/>
    <x v="124"/>
    <x v="0"/>
    <x v="13"/>
    <x v="0"/>
  </r>
  <r>
    <x v="13"/>
    <x v="1"/>
    <x v="1"/>
    <x v="1"/>
    <x v="0"/>
    <x v="0"/>
    <x v="1"/>
    <x v="1"/>
    <x v="1"/>
    <x v="34"/>
    <x v="13"/>
    <x v="0"/>
  </r>
  <r>
    <x v="14"/>
    <x v="5"/>
    <x v="0"/>
    <x v="0"/>
    <x v="0"/>
    <x v="2"/>
    <x v="5"/>
    <x v="5"/>
    <x v="125"/>
    <x v="0"/>
    <x v="14"/>
    <x v="0"/>
  </r>
  <r>
    <x v="14"/>
    <x v="1"/>
    <x v="1"/>
    <x v="1"/>
    <x v="0"/>
    <x v="2"/>
    <x v="1"/>
    <x v="1"/>
    <x v="1"/>
    <x v="35"/>
    <x v="14"/>
    <x v="0"/>
  </r>
  <r>
    <x v="14"/>
    <x v="10"/>
    <x v="3"/>
    <x v="3"/>
    <x v="0"/>
    <x v="0"/>
    <x v="10"/>
    <x v="10"/>
    <x v="126"/>
    <x v="0"/>
    <x v="14"/>
    <x v="0"/>
  </r>
  <r>
    <x v="14"/>
    <x v="3"/>
    <x v="3"/>
    <x v="3"/>
    <x v="0"/>
    <x v="0"/>
    <x v="3"/>
    <x v="3"/>
    <x v="127"/>
    <x v="0"/>
    <x v="14"/>
    <x v="0"/>
  </r>
  <r>
    <x v="14"/>
    <x v="5"/>
    <x v="0"/>
    <x v="0"/>
    <x v="0"/>
    <x v="0"/>
    <x v="5"/>
    <x v="5"/>
    <x v="128"/>
    <x v="0"/>
    <x v="14"/>
    <x v="0"/>
  </r>
  <r>
    <x v="14"/>
    <x v="1"/>
    <x v="1"/>
    <x v="1"/>
    <x v="0"/>
    <x v="0"/>
    <x v="1"/>
    <x v="1"/>
    <x v="1"/>
    <x v="36"/>
    <x v="14"/>
    <x v="0"/>
  </r>
  <r>
    <x v="15"/>
    <x v="11"/>
    <x v="6"/>
    <x v="6"/>
    <x v="0"/>
    <x v="2"/>
    <x v="11"/>
    <x v="11"/>
    <x v="129"/>
    <x v="0"/>
    <x v="15"/>
    <x v="0"/>
  </r>
  <r>
    <x v="15"/>
    <x v="1"/>
    <x v="1"/>
    <x v="1"/>
    <x v="0"/>
    <x v="2"/>
    <x v="1"/>
    <x v="1"/>
    <x v="1"/>
    <x v="37"/>
    <x v="15"/>
    <x v="0"/>
  </r>
  <r>
    <x v="15"/>
    <x v="7"/>
    <x v="2"/>
    <x v="2"/>
    <x v="0"/>
    <x v="0"/>
    <x v="7"/>
    <x v="7"/>
    <x v="130"/>
    <x v="0"/>
    <x v="15"/>
    <x v="0"/>
  </r>
  <r>
    <x v="15"/>
    <x v="2"/>
    <x v="2"/>
    <x v="2"/>
    <x v="0"/>
    <x v="0"/>
    <x v="2"/>
    <x v="2"/>
    <x v="131"/>
    <x v="0"/>
    <x v="15"/>
    <x v="0"/>
  </r>
  <r>
    <x v="15"/>
    <x v="9"/>
    <x v="6"/>
    <x v="6"/>
    <x v="0"/>
    <x v="0"/>
    <x v="9"/>
    <x v="9"/>
    <x v="132"/>
    <x v="0"/>
    <x v="15"/>
    <x v="0"/>
  </r>
  <r>
    <x v="15"/>
    <x v="11"/>
    <x v="6"/>
    <x v="6"/>
    <x v="0"/>
    <x v="0"/>
    <x v="11"/>
    <x v="11"/>
    <x v="133"/>
    <x v="0"/>
    <x v="15"/>
    <x v="0"/>
  </r>
  <r>
    <x v="15"/>
    <x v="10"/>
    <x v="3"/>
    <x v="3"/>
    <x v="0"/>
    <x v="0"/>
    <x v="10"/>
    <x v="10"/>
    <x v="134"/>
    <x v="0"/>
    <x v="15"/>
    <x v="0"/>
  </r>
  <r>
    <x v="15"/>
    <x v="3"/>
    <x v="3"/>
    <x v="3"/>
    <x v="0"/>
    <x v="0"/>
    <x v="3"/>
    <x v="3"/>
    <x v="135"/>
    <x v="0"/>
    <x v="15"/>
    <x v="0"/>
  </r>
  <r>
    <x v="15"/>
    <x v="12"/>
    <x v="4"/>
    <x v="4"/>
    <x v="0"/>
    <x v="0"/>
    <x v="12"/>
    <x v="12"/>
    <x v="136"/>
    <x v="0"/>
    <x v="15"/>
    <x v="0"/>
  </r>
  <r>
    <x v="15"/>
    <x v="4"/>
    <x v="4"/>
    <x v="4"/>
    <x v="0"/>
    <x v="0"/>
    <x v="4"/>
    <x v="4"/>
    <x v="137"/>
    <x v="0"/>
    <x v="15"/>
    <x v="0"/>
  </r>
  <r>
    <x v="15"/>
    <x v="0"/>
    <x v="0"/>
    <x v="0"/>
    <x v="0"/>
    <x v="0"/>
    <x v="0"/>
    <x v="0"/>
    <x v="138"/>
    <x v="0"/>
    <x v="15"/>
    <x v="0"/>
  </r>
  <r>
    <x v="15"/>
    <x v="5"/>
    <x v="0"/>
    <x v="0"/>
    <x v="0"/>
    <x v="0"/>
    <x v="5"/>
    <x v="5"/>
    <x v="139"/>
    <x v="0"/>
    <x v="15"/>
    <x v="0"/>
  </r>
  <r>
    <x v="15"/>
    <x v="13"/>
    <x v="5"/>
    <x v="5"/>
    <x v="0"/>
    <x v="0"/>
    <x v="13"/>
    <x v="13"/>
    <x v="140"/>
    <x v="0"/>
    <x v="15"/>
    <x v="0"/>
  </r>
  <r>
    <x v="15"/>
    <x v="6"/>
    <x v="5"/>
    <x v="5"/>
    <x v="0"/>
    <x v="0"/>
    <x v="6"/>
    <x v="6"/>
    <x v="141"/>
    <x v="0"/>
    <x v="15"/>
    <x v="0"/>
  </r>
  <r>
    <x v="15"/>
    <x v="14"/>
    <x v="1"/>
    <x v="1"/>
    <x v="0"/>
    <x v="0"/>
    <x v="14"/>
    <x v="14"/>
    <x v="142"/>
    <x v="0"/>
    <x v="15"/>
    <x v="0"/>
  </r>
  <r>
    <x v="15"/>
    <x v="8"/>
    <x v="1"/>
    <x v="1"/>
    <x v="0"/>
    <x v="0"/>
    <x v="8"/>
    <x v="8"/>
    <x v="143"/>
    <x v="0"/>
    <x v="15"/>
    <x v="0"/>
  </r>
  <r>
    <x v="15"/>
    <x v="1"/>
    <x v="1"/>
    <x v="1"/>
    <x v="0"/>
    <x v="0"/>
    <x v="1"/>
    <x v="1"/>
    <x v="1"/>
    <x v="38"/>
    <x v="15"/>
    <x v="0"/>
  </r>
  <r>
    <x v="15"/>
    <x v="7"/>
    <x v="2"/>
    <x v="2"/>
    <x v="0"/>
    <x v="1"/>
    <x v="7"/>
    <x v="7"/>
    <x v="56"/>
    <x v="0"/>
    <x v="15"/>
    <x v="0"/>
  </r>
  <r>
    <x v="15"/>
    <x v="11"/>
    <x v="6"/>
    <x v="6"/>
    <x v="0"/>
    <x v="1"/>
    <x v="11"/>
    <x v="11"/>
    <x v="144"/>
    <x v="0"/>
    <x v="15"/>
    <x v="0"/>
  </r>
  <r>
    <x v="15"/>
    <x v="13"/>
    <x v="5"/>
    <x v="5"/>
    <x v="0"/>
    <x v="1"/>
    <x v="13"/>
    <x v="13"/>
    <x v="145"/>
    <x v="0"/>
    <x v="15"/>
    <x v="0"/>
  </r>
  <r>
    <x v="15"/>
    <x v="1"/>
    <x v="1"/>
    <x v="1"/>
    <x v="0"/>
    <x v="1"/>
    <x v="1"/>
    <x v="1"/>
    <x v="1"/>
    <x v="39"/>
    <x v="15"/>
    <x v="0"/>
  </r>
  <r>
    <x v="16"/>
    <x v="7"/>
    <x v="2"/>
    <x v="2"/>
    <x v="0"/>
    <x v="2"/>
    <x v="7"/>
    <x v="7"/>
    <x v="146"/>
    <x v="0"/>
    <x v="16"/>
    <x v="0"/>
  </r>
  <r>
    <x v="16"/>
    <x v="5"/>
    <x v="0"/>
    <x v="0"/>
    <x v="0"/>
    <x v="2"/>
    <x v="5"/>
    <x v="5"/>
    <x v="147"/>
    <x v="0"/>
    <x v="16"/>
    <x v="0"/>
  </r>
  <r>
    <x v="16"/>
    <x v="1"/>
    <x v="1"/>
    <x v="1"/>
    <x v="0"/>
    <x v="2"/>
    <x v="1"/>
    <x v="1"/>
    <x v="1"/>
    <x v="40"/>
    <x v="16"/>
    <x v="0"/>
  </r>
  <r>
    <x v="16"/>
    <x v="16"/>
    <x v="2"/>
    <x v="2"/>
    <x v="0"/>
    <x v="0"/>
    <x v="16"/>
    <x v="16"/>
    <x v="148"/>
    <x v="0"/>
    <x v="16"/>
    <x v="0"/>
  </r>
  <r>
    <x v="16"/>
    <x v="7"/>
    <x v="2"/>
    <x v="2"/>
    <x v="0"/>
    <x v="0"/>
    <x v="7"/>
    <x v="7"/>
    <x v="149"/>
    <x v="0"/>
    <x v="16"/>
    <x v="0"/>
  </r>
  <r>
    <x v="16"/>
    <x v="2"/>
    <x v="2"/>
    <x v="2"/>
    <x v="0"/>
    <x v="0"/>
    <x v="2"/>
    <x v="2"/>
    <x v="150"/>
    <x v="0"/>
    <x v="16"/>
    <x v="0"/>
  </r>
  <r>
    <x v="16"/>
    <x v="17"/>
    <x v="2"/>
    <x v="2"/>
    <x v="0"/>
    <x v="0"/>
    <x v="16"/>
    <x v="17"/>
    <x v="151"/>
    <x v="0"/>
    <x v="16"/>
    <x v="0"/>
  </r>
  <r>
    <x v="16"/>
    <x v="9"/>
    <x v="6"/>
    <x v="6"/>
    <x v="0"/>
    <x v="0"/>
    <x v="9"/>
    <x v="9"/>
    <x v="152"/>
    <x v="0"/>
    <x v="16"/>
    <x v="0"/>
  </r>
  <r>
    <x v="16"/>
    <x v="11"/>
    <x v="6"/>
    <x v="6"/>
    <x v="0"/>
    <x v="0"/>
    <x v="11"/>
    <x v="11"/>
    <x v="153"/>
    <x v="0"/>
    <x v="16"/>
    <x v="0"/>
  </r>
  <r>
    <x v="16"/>
    <x v="10"/>
    <x v="3"/>
    <x v="3"/>
    <x v="0"/>
    <x v="0"/>
    <x v="10"/>
    <x v="10"/>
    <x v="154"/>
    <x v="0"/>
    <x v="16"/>
    <x v="0"/>
  </r>
  <r>
    <x v="16"/>
    <x v="3"/>
    <x v="3"/>
    <x v="3"/>
    <x v="0"/>
    <x v="0"/>
    <x v="3"/>
    <x v="3"/>
    <x v="155"/>
    <x v="0"/>
    <x v="16"/>
    <x v="0"/>
  </r>
  <r>
    <x v="16"/>
    <x v="12"/>
    <x v="4"/>
    <x v="4"/>
    <x v="0"/>
    <x v="0"/>
    <x v="12"/>
    <x v="12"/>
    <x v="156"/>
    <x v="0"/>
    <x v="16"/>
    <x v="0"/>
  </r>
  <r>
    <x v="16"/>
    <x v="4"/>
    <x v="4"/>
    <x v="4"/>
    <x v="0"/>
    <x v="0"/>
    <x v="4"/>
    <x v="4"/>
    <x v="157"/>
    <x v="0"/>
    <x v="16"/>
    <x v="0"/>
  </r>
  <r>
    <x v="16"/>
    <x v="0"/>
    <x v="0"/>
    <x v="0"/>
    <x v="0"/>
    <x v="0"/>
    <x v="0"/>
    <x v="0"/>
    <x v="158"/>
    <x v="0"/>
    <x v="16"/>
    <x v="0"/>
  </r>
  <r>
    <x v="16"/>
    <x v="5"/>
    <x v="0"/>
    <x v="0"/>
    <x v="0"/>
    <x v="0"/>
    <x v="5"/>
    <x v="5"/>
    <x v="159"/>
    <x v="0"/>
    <x v="16"/>
    <x v="0"/>
  </r>
  <r>
    <x v="16"/>
    <x v="13"/>
    <x v="5"/>
    <x v="5"/>
    <x v="0"/>
    <x v="0"/>
    <x v="13"/>
    <x v="13"/>
    <x v="160"/>
    <x v="0"/>
    <x v="16"/>
    <x v="0"/>
  </r>
  <r>
    <x v="16"/>
    <x v="6"/>
    <x v="5"/>
    <x v="5"/>
    <x v="0"/>
    <x v="0"/>
    <x v="6"/>
    <x v="6"/>
    <x v="161"/>
    <x v="0"/>
    <x v="16"/>
    <x v="0"/>
  </r>
  <r>
    <x v="16"/>
    <x v="14"/>
    <x v="1"/>
    <x v="1"/>
    <x v="0"/>
    <x v="0"/>
    <x v="14"/>
    <x v="14"/>
    <x v="162"/>
    <x v="0"/>
    <x v="16"/>
    <x v="0"/>
  </r>
  <r>
    <x v="16"/>
    <x v="8"/>
    <x v="1"/>
    <x v="1"/>
    <x v="0"/>
    <x v="0"/>
    <x v="8"/>
    <x v="8"/>
    <x v="163"/>
    <x v="0"/>
    <x v="16"/>
    <x v="0"/>
  </r>
  <r>
    <x v="16"/>
    <x v="1"/>
    <x v="1"/>
    <x v="1"/>
    <x v="0"/>
    <x v="0"/>
    <x v="1"/>
    <x v="1"/>
    <x v="1"/>
    <x v="41"/>
    <x v="16"/>
    <x v="0"/>
  </r>
  <r>
    <x v="16"/>
    <x v="7"/>
    <x v="2"/>
    <x v="2"/>
    <x v="0"/>
    <x v="1"/>
    <x v="7"/>
    <x v="7"/>
    <x v="87"/>
    <x v="0"/>
    <x v="16"/>
    <x v="0"/>
  </r>
  <r>
    <x v="16"/>
    <x v="12"/>
    <x v="4"/>
    <x v="4"/>
    <x v="0"/>
    <x v="1"/>
    <x v="12"/>
    <x v="12"/>
    <x v="164"/>
    <x v="0"/>
    <x v="16"/>
    <x v="0"/>
  </r>
  <r>
    <x v="16"/>
    <x v="5"/>
    <x v="0"/>
    <x v="0"/>
    <x v="0"/>
    <x v="1"/>
    <x v="5"/>
    <x v="5"/>
    <x v="165"/>
    <x v="0"/>
    <x v="16"/>
    <x v="0"/>
  </r>
  <r>
    <x v="16"/>
    <x v="6"/>
    <x v="5"/>
    <x v="5"/>
    <x v="0"/>
    <x v="1"/>
    <x v="6"/>
    <x v="6"/>
    <x v="166"/>
    <x v="0"/>
    <x v="16"/>
    <x v="0"/>
  </r>
  <r>
    <x v="16"/>
    <x v="1"/>
    <x v="1"/>
    <x v="1"/>
    <x v="0"/>
    <x v="1"/>
    <x v="1"/>
    <x v="1"/>
    <x v="1"/>
    <x v="42"/>
    <x v="16"/>
    <x v="0"/>
  </r>
  <r>
    <x v="17"/>
    <x v="13"/>
    <x v="5"/>
    <x v="5"/>
    <x v="0"/>
    <x v="0"/>
    <x v="13"/>
    <x v="13"/>
    <x v="167"/>
    <x v="0"/>
    <x v="17"/>
    <x v="0"/>
  </r>
  <r>
    <x v="17"/>
    <x v="1"/>
    <x v="1"/>
    <x v="1"/>
    <x v="0"/>
    <x v="0"/>
    <x v="1"/>
    <x v="1"/>
    <x v="1"/>
    <x v="43"/>
    <x v="17"/>
    <x v="0"/>
  </r>
  <r>
    <x v="18"/>
    <x v="12"/>
    <x v="4"/>
    <x v="4"/>
    <x v="0"/>
    <x v="0"/>
    <x v="12"/>
    <x v="12"/>
    <x v="168"/>
    <x v="0"/>
    <x v="18"/>
    <x v="0"/>
  </r>
  <r>
    <x v="18"/>
    <x v="0"/>
    <x v="0"/>
    <x v="0"/>
    <x v="0"/>
    <x v="0"/>
    <x v="0"/>
    <x v="0"/>
    <x v="169"/>
    <x v="0"/>
    <x v="18"/>
    <x v="0"/>
  </r>
  <r>
    <x v="18"/>
    <x v="5"/>
    <x v="0"/>
    <x v="0"/>
    <x v="0"/>
    <x v="0"/>
    <x v="5"/>
    <x v="5"/>
    <x v="170"/>
    <x v="0"/>
    <x v="18"/>
    <x v="0"/>
  </r>
  <r>
    <x v="18"/>
    <x v="1"/>
    <x v="1"/>
    <x v="1"/>
    <x v="0"/>
    <x v="0"/>
    <x v="1"/>
    <x v="1"/>
    <x v="1"/>
    <x v="44"/>
    <x v="18"/>
    <x v="0"/>
  </r>
  <r>
    <x v="18"/>
    <x v="13"/>
    <x v="5"/>
    <x v="5"/>
    <x v="0"/>
    <x v="1"/>
    <x v="13"/>
    <x v="13"/>
    <x v="171"/>
    <x v="0"/>
    <x v="18"/>
    <x v="0"/>
  </r>
  <r>
    <x v="18"/>
    <x v="1"/>
    <x v="1"/>
    <x v="1"/>
    <x v="0"/>
    <x v="1"/>
    <x v="1"/>
    <x v="1"/>
    <x v="1"/>
    <x v="45"/>
    <x v="18"/>
    <x v="0"/>
  </r>
  <r>
    <x v="19"/>
    <x v="4"/>
    <x v="4"/>
    <x v="4"/>
    <x v="0"/>
    <x v="2"/>
    <x v="4"/>
    <x v="4"/>
    <x v="172"/>
    <x v="0"/>
    <x v="19"/>
    <x v="0"/>
  </r>
  <r>
    <x v="19"/>
    <x v="1"/>
    <x v="1"/>
    <x v="1"/>
    <x v="0"/>
    <x v="2"/>
    <x v="1"/>
    <x v="1"/>
    <x v="1"/>
    <x v="46"/>
    <x v="19"/>
    <x v="0"/>
  </r>
  <r>
    <x v="19"/>
    <x v="7"/>
    <x v="2"/>
    <x v="2"/>
    <x v="0"/>
    <x v="0"/>
    <x v="7"/>
    <x v="7"/>
    <x v="173"/>
    <x v="0"/>
    <x v="19"/>
    <x v="0"/>
  </r>
  <r>
    <x v="19"/>
    <x v="2"/>
    <x v="2"/>
    <x v="2"/>
    <x v="0"/>
    <x v="0"/>
    <x v="2"/>
    <x v="2"/>
    <x v="174"/>
    <x v="0"/>
    <x v="19"/>
    <x v="0"/>
  </r>
  <r>
    <x v="19"/>
    <x v="9"/>
    <x v="6"/>
    <x v="6"/>
    <x v="0"/>
    <x v="0"/>
    <x v="9"/>
    <x v="9"/>
    <x v="175"/>
    <x v="0"/>
    <x v="19"/>
    <x v="0"/>
  </r>
  <r>
    <x v="19"/>
    <x v="11"/>
    <x v="6"/>
    <x v="6"/>
    <x v="0"/>
    <x v="0"/>
    <x v="11"/>
    <x v="11"/>
    <x v="176"/>
    <x v="0"/>
    <x v="19"/>
    <x v="0"/>
  </r>
  <r>
    <x v="19"/>
    <x v="10"/>
    <x v="3"/>
    <x v="3"/>
    <x v="0"/>
    <x v="0"/>
    <x v="10"/>
    <x v="10"/>
    <x v="177"/>
    <x v="0"/>
    <x v="19"/>
    <x v="0"/>
  </r>
  <r>
    <x v="19"/>
    <x v="3"/>
    <x v="3"/>
    <x v="3"/>
    <x v="0"/>
    <x v="0"/>
    <x v="3"/>
    <x v="3"/>
    <x v="178"/>
    <x v="0"/>
    <x v="19"/>
    <x v="0"/>
  </r>
  <r>
    <x v="19"/>
    <x v="12"/>
    <x v="4"/>
    <x v="4"/>
    <x v="0"/>
    <x v="0"/>
    <x v="12"/>
    <x v="12"/>
    <x v="179"/>
    <x v="0"/>
    <x v="19"/>
    <x v="0"/>
  </r>
  <r>
    <x v="19"/>
    <x v="4"/>
    <x v="4"/>
    <x v="4"/>
    <x v="0"/>
    <x v="0"/>
    <x v="4"/>
    <x v="4"/>
    <x v="180"/>
    <x v="0"/>
    <x v="19"/>
    <x v="0"/>
  </r>
  <r>
    <x v="19"/>
    <x v="0"/>
    <x v="0"/>
    <x v="0"/>
    <x v="0"/>
    <x v="0"/>
    <x v="0"/>
    <x v="0"/>
    <x v="181"/>
    <x v="0"/>
    <x v="19"/>
    <x v="0"/>
  </r>
  <r>
    <x v="19"/>
    <x v="5"/>
    <x v="0"/>
    <x v="0"/>
    <x v="0"/>
    <x v="0"/>
    <x v="5"/>
    <x v="5"/>
    <x v="182"/>
    <x v="0"/>
    <x v="19"/>
    <x v="0"/>
  </r>
  <r>
    <x v="19"/>
    <x v="13"/>
    <x v="5"/>
    <x v="5"/>
    <x v="0"/>
    <x v="0"/>
    <x v="13"/>
    <x v="13"/>
    <x v="183"/>
    <x v="0"/>
    <x v="19"/>
    <x v="0"/>
  </r>
  <r>
    <x v="19"/>
    <x v="6"/>
    <x v="5"/>
    <x v="5"/>
    <x v="0"/>
    <x v="0"/>
    <x v="6"/>
    <x v="6"/>
    <x v="184"/>
    <x v="0"/>
    <x v="19"/>
    <x v="0"/>
  </r>
  <r>
    <x v="19"/>
    <x v="14"/>
    <x v="1"/>
    <x v="1"/>
    <x v="0"/>
    <x v="0"/>
    <x v="14"/>
    <x v="14"/>
    <x v="185"/>
    <x v="0"/>
    <x v="19"/>
    <x v="0"/>
  </r>
  <r>
    <x v="19"/>
    <x v="8"/>
    <x v="1"/>
    <x v="1"/>
    <x v="0"/>
    <x v="0"/>
    <x v="8"/>
    <x v="8"/>
    <x v="186"/>
    <x v="0"/>
    <x v="19"/>
    <x v="0"/>
  </r>
  <r>
    <x v="19"/>
    <x v="1"/>
    <x v="1"/>
    <x v="1"/>
    <x v="0"/>
    <x v="0"/>
    <x v="1"/>
    <x v="1"/>
    <x v="1"/>
    <x v="47"/>
    <x v="19"/>
    <x v="0"/>
  </r>
  <r>
    <x v="19"/>
    <x v="10"/>
    <x v="3"/>
    <x v="3"/>
    <x v="0"/>
    <x v="1"/>
    <x v="10"/>
    <x v="10"/>
    <x v="187"/>
    <x v="0"/>
    <x v="19"/>
    <x v="0"/>
  </r>
  <r>
    <x v="19"/>
    <x v="12"/>
    <x v="4"/>
    <x v="4"/>
    <x v="0"/>
    <x v="1"/>
    <x v="12"/>
    <x v="12"/>
    <x v="188"/>
    <x v="0"/>
    <x v="19"/>
    <x v="0"/>
  </r>
  <r>
    <x v="19"/>
    <x v="4"/>
    <x v="4"/>
    <x v="4"/>
    <x v="0"/>
    <x v="1"/>
    <x v="4"/>
    <x v="4"/>
    <x v="189"/>
    <x v="0"/>
    <x v="19"/>
    <x v="0"/>
  </r>
  <r>
    <x v="19"/>
    <x v="0"/>
    <x v="0"/>
    <x v="0"/>
    <x v="0"/>
    <x v="1"/>
    <x v="0"/>
    <x v="0"/>
    <x v="190"/>
    <x v="0"/>
    <x v="19"/>
    <x v="0"/>
  </r>
  <r>
    <x v="19"/>
    <x v="5"/>
    <x v="0"/>
    <x v="0"/>
    <x v="0"/>
    <x v="1"/>
    <x v="5"/>
    <x v="5"/>
    <x v="191"/>
    <x v="0"/>
    <x v="19"/>
    <x v="0"/>
  </r>
  <r>
    <x v="19"/>
    <x v="6"/>
    <x v="5"/>
    <x v="5"/>
    <x v="0"/>
    <x v="1"/>
    <x v="6"/>
    <x v="6"/>
    <x v="192"/>
    <x v="0"/>
    <x v="19"/>
    <x v="0"/>
  </r>
  <r>
    <x v="19"/>
    <x v="1"/>
    <x v="1"/>
    <x v="1"/>
    <x v="0"/>
    <x v="1"/>
    <x v="1"/>
    <x v="1"/>
    <x v="1"/>
    <x v="48"/>
    <x v="19"/>
    <x v="0"/>
  </r>
  <r>
    <x v="20"/>
    <x v="5"/>
    <x v="0"/>
    <x v="0"/>
    <x v="0"/>
    <x v="2"/>
    <x v="5"/>
    <x v="5"/>
    <x v="193"/>
    <x v="0"/>
    <x v="20"/>
    <x v="0"/>
  </r>
  <r>
    <x v="20"/>
    <x v="1"/>
    <x v="1"/>
    <x v="1"/>
    <x v="0"/>
    <x v="2"/>
    <x v="1"/>
    <x v="1"/>
    <x v="1"/>
    <x v="49"/>
    <x v="20"/>
    <x v="0"/>
  </r>
  <r>
    <x v="20"/>
    <x v="7"/>
    <x v="2"/>
    <x v="2"/>
    <x v="0"/>
    <x v="0"/>
    <x v="7"/>
    <x v="7"/>
    <x v="194"/>
    <x v="0"/>
    <x v="20"/>
    <x v="0"/>
  </r>
  <r>
    <x v="20"/>
    <x v="2"/>
    <x v="2"/>
    <x v="2"/>
    <x v="0"/>
    <x v="0"/>
    <x v="2"/>
    <x v="2"/>
    <x v="195"/>
    <x v="0"/>
    <x v="20"/>
    <x v="0"/>
  </r>
  <r>
    <x v="20"/>
    <x v="9"/>
    <x v="6"/>
    <x v="6"/>
    <x v="0"/>
    <x v="0"/>
    <x v="9"/>
    <x v="9"/>
    <x v="196"/>
    <x v="0"/>
    <x v="20"/>
    <x v="0"/>
  </r>
  <r>
    <x v="20"/>
    <x v="11"/>
    <x v="6"/>
    <x v="6"/>
    <x v="0"/>
    <x v="0"/>
    <x v="11"/>
    <x v="11"/>
    <x v="197"/>
    <x v="0"/>
    <x v="20"/>
    <x v="0"/>
  </r>
  <r>
    <x v="20"/>
    <x v="10"/>
    <x v="3"/>
    <x v="3"/>
    <x v="0"/>
    <x v="0"/>
    <x v="10"/>
    <x v="10"/>
    <x v="198"/>
    <x v="0"/>
    <x v="20"/>
    <x v="0"/>
  </r>
  <r>
    <x v="20"/>
    <x v="3"/>
    <x v="3"/>
    <x v="3"/>
    <x v="0"/>
    <x v="0"/>
    <x v="3"/>
    <x v="3"/>
    <x v="199"/>
    <x v="0"/>
    <x v="20"/>
    <x v="0"/>
  </r>
  <r>
    <x v="20"/>
    <x v="12"/>
    <x v="4"/>
    <x v="4"/>
    <x v="0"/>
    <x v="0"/>
    <x v="12"/>
    <x v="12"/>
    <x v="200"/>
    <x v="0"/>
    <x v="20"/>
    <x v="0"/>
  </r>
  <r>
    <x v="20"/>
    <x v="4"/>
    <x v="4"/>
    <x v="4"/>
    <x v="0"/>
    <x v="0"/>
    <x v="4"/>
    <x v="4"/>
    <x v="201"/>
    <x v="0"/>
    <x v="20"/>
    <x v="0"/>
  </r>
  <r>
    <x v="20"/>
    <x v="0"/>
    <x v="0"/>
    <x v="0"/>
    <x v="0"/>
    <x v="0"/>
    <x v="0"/>
    <x v="0"/>
    <x v="202"/>
    <x v="0"/>
    <x v="20"/>
    <x v="0"/>
  </r>
  <r>
    <x v="20"/>
    <x v="5"/>
    <x v="0"/>
    <x v="0"/>
    <x v="0"/>
    <x v="0"/>
    <x v="5"/>
    <x v="5"/>
    <x v="203"/>
    <x v="0"/>
    <x v="20"/>
    <x v="0"/>
  </r>
  <r>
    <x v="20"/>
    <x v="13"/>
    <x v="5"/>
    <x v="5"/>
    <x v="0"/>
    <x v="0"/>
    <x v="13"/>
    <x v="13"/>
    <x v="204"/>
    <x v="0"/>
    <x v="20"/>
    <x v="0"/>
  </r>
  <r>
    <x v="20"/>
    <x v="6"/>
    <x v="5"/>
    <x v="5"/>
    <x v="0"/>
    <x v="0"/>
    <x v="6"/>
    <x v="6"/>
    <x v="205"/>
    <x v="0"/>
    <x v="20"/>
    <x v="0"/>
  </r>
  <r>
    <x v="20"/>
    <x v="14"/>
    <x v="1"/>
    <x v="1"/>
    <x v="0"/>
    <x v="0"/>
    <x v="14"/>
    <x v="14"/>
    <x v="206"/>
    <x v="0"/>
    <x v="20"/>
    <x v="0"/>
  </r>
  <r>
    <x v="20"/>
    <x v="8"/>
    <x v="1"/>
    <x v="1"/>
    <x v="0"/>
    <x v="0"/>
    <x v="8"/>
    <x v="8"/>
    <x v="207"/>
    <x v="0"/>
    <x v="20"/>
    <x v="0"/>
  </r>
  <r>
    <x v="20"/>
    <x v="1"/>
    <x v="1"/>
    <x v="1"/>
    <x v="0"/>
    <x v="0"/>
    <x v="1"/>
    <x v="1"/>
    <x v="1"/>
    <x v="50"/>
    <x v="20"/>
    <x v="0"/>
  </r>
  <r>
    <x v="20"/>
    <x v="2"/>
    <x v="2"/>
    <x v="2"/>
    <x v="0"/>
    <x v="1"/>
    <x v="2"/>
    <x v="2"/>
    <x v="208"/>
    <x v="0"/>
    <x v="20"/>
    <x v="0"/>
  </r>
  <r>
    <x v="20"/>
    <x v="10"/>
    <x v="3"/>
    <x v="3"/>
    <x v="0"/>
    <x v="1"/>
    <x v="10"/>
    <x v="10"/>
    <x v="209"/>
    <x v="0"/>
    <x v="20"/>
    <x v="0"/>
  </r>
  <r>
    <x v="20"/>
    <x v="18"/>
    <x v="3"/>
    <x v="3"/>
    <x v="0"/>
    <x v="1"/>
    <x v="17"/>
    <x v="18"/>
    <x v="210"/>
    <x v="0"/>
    <x v="20"/>
    <x v="0"/>
  </r>
  <r>
    <x v="20"/>
    <x v="12"/>
    <x v="4"/>
    <x v="4"/>
    <x v="0"/>
    <x v="1"/>
    <x v="12"/>
    <x v="12"/>
    <x v="211"/>
    <x v="0"/>
    <x v="20"/>
    <x v="0"/>
  </r>
  <r>
    <x v="20"/>
    <x v="4"/>
    <x v="4"/>
    <x v="4"/>
    <x v="0"/>
    <x v="1"/>
    <x v="4"/>
    <x v="4"/>
    <x v="212"/>
    <x v="0"/>
    <x v="20"/>
    <x v="0"/>
  </r>
  <r>
    <x v="20"/>
    <x v="5"/>
    <x v="0"/>
    <x v="0"/>
    <x v="0"/>
    <x v="1"/>
    <x v="5"/>
    <x v="5"/>
    <x v="213"/>
    <x v="0"/>
    <x v="20"/>
    <x v="0"/>
  </r>
  <r>
    <x v="20"/>
    <x v="13"/>
    <x v="5"/>
    <x v="5"/>
    <x v="0"/>
    <x v="1"/>
    <x v="13"/>
    <x v="13"/>
    <x v="214"/>
    <x v="0"/>
    <x v="20"/>
    <x v="0"/>
  </r>
  <r>
    <x v="20"/>
    <x v="8"/>
    <x v="1"/>
    <x v="1"/>
    <x v="0"/>
    <x v="1"/>
    <x v="8"/>
    <x v="8"/>
    <x v="215"/>
    <x v="0"/>
    <x v="20"/>
    <x v="0"/>
  </r>
  <r>
    <x v="20"/>
    <x v="1"/>
    <x v="1"/>
    <x v="1"/>
    <x v="0"/>
    <x v="1"/>
    <x v="1"/>
    <x v="1"/>
    <x v="1"/>
    <x v="51"/>
    <x v="20"/>
    <x v="0"/>
  </r>
  <r>
    <x v="21"/>
    <x v="7"/>
    <x v="2"/>
    <x v="2"/>
    <x v="0"/>
    <x v="2"/>
    <x v="7"/>
    <x v="7"/>
    <x v="216"/>
    <x v="0"/>
    <x v="21"/>
    <x v="0"/>
  </r>
  <r>
    <x v="21"/>
    <x v="11"/>
    <x v="6"/>
    <x v="6"/>
    <x v="0"/>
    <x v="2"/>
    <x v="11"/>
    <x v="11"/>
    <x v="121"/>
    <x v="0"/>
    <x v="21"/>
    <x v="0"/>
  </r>
  <r>
    <x v="21"/>
    <x v="10"/>
    <x v="3"/>
    <x v="3"/>
    <x v="0"/>
    <x v="2"/>
    <x v="10"/>
    <x v="10"/>
    <x v="217"/>
    <x v="0"/>
    <x v="21"/>
    <x v="0"/>
  </r>
  <r>
    <x v="21"/>
    <x v="3"/>
    <x v="3"/>
    <x v="3"/>
    <x v="0"/>
    <x v="2"/>
    <x v="3"/>
    <x v="3"/>
    <x v="218"/>
    <x v="0"/>
    <x v="21"/>
    <x v="0"/>
  </r>
  <r>
    <x v="21"/>
    <x v="12"/>
    <x v="4"/>
    <x v="4"/>
    <x v="0"/>
    <x v="2"/>
    <x v="12"/>
    <x v="12"/>
    <x v="219"/>
    <x v="0"/>
    <x v="21"/>
    <x v="0"/>
  </r>
  <r>
    <x v="21"/>
    <x v="0"/>
    <x v="0"/>
    <x v="0"/>
    <x v="0"/>
    <x v="2"/>
    <x v="0"/>
    <x v="0"/>
    <x v="220"/>
    <x v="0"/>
    <x v="21"/>
    <x v="0"/>
  </r>
  <r>
    <x v="21"/>
    <x v="5"/>
    <x v="0"/>
    <x v="0"/>
    <x v="0"/>
    <x v="2"/>
    <x v="5"/>
    <x v="5"/>
    <x v="221"/>
    <x v="0"/>
    <x v="21"/>
    <x v="0"/>
  </r>
  <r>
    <x v="21"/>
    <x v="13"/>
    <x v="5"/>
    <x v="5"/>
    <x v="0"/>
    <x v="2"/>
    <x v="13"/>
    <x v="13"/>
    <x v="222"/>
    <x v="0"/>
    <x v="21"/>
    <x v="0"/>
  </r>
  <r>
    <x v="21"/>
    <x v="6"/>
    <x v="5"/>
    <x v="5"/>
    <x v="0"/>
    <x v="2"/>
    <x v="6"/>
    <x v="6"/>
    <x v="222"/>
    <x v="0"/>
    <x v="21"/>
    <x v="0"/>
  </r>
  <r>
    <x v="21"/>
    <x v="1"/>
    <x v="1"/>
    <x v="1"/>
    <x v="0"/>
    <x v="2"/>
    <x v="1"/>
    <x v="1"/>
    <x v="1"/>
    <x v="52"/>
    <x v="21"/>
    <x v="0"/>
  </r>
  <r>
    <x v="21"/>
    <x v="7"/>
    <x v="2"/>
    <x v="2"/>
    <x v="0"/>
    <x v="0"/>
    <x v="7"/>
    <x v="7"/>
    <x v="223"/>
    <x v="0"/>
    <x v="21"/>
    <x v="0"/>
  </r>
  <r>
    <x v="21"/>
    <x v="2"/>
    <x v="2"/>
    <x v="2"/>
    <x v="0"/>
    <x v="0"/>
    <x v="2"/>
    <x v="2"/>
    <x v="224"/>
    <x v="0"/>
    <x v="21"/>
    <x v="0"/>
  </r>
  <r>
    <x v="21"/>
    <x v="9"/>
    <x v="6"/>
    <x v="6"/>
    <x v="0"/>
    <x v="0"/>
    <x v="9"/>
    <x v="9"/>
    <x v="88"/>
    <x v="0"/>
    <x v="21"/>
    <x v="0"/>
  </r>
  <r>
    <x v="21"/>
    <x v="11"/>
    <x v="6"/>
    <x v="6"/>
    <x v="0"/>
    <x v="0"/>
    <x v="11"/>
    <x v="11"/>
    <x v="225"/>
    <x v="0"/>
    <x v="21"/>
    <x v="0"/>
  </r>
  <r>
    <x v="21"/>
    <x v="10"/>
    <x v="3"/>
    <x v="3"/>
    <x v="0"/>
    <x v="0"/>
    <x v="10"/>
    <x v="10"/>
    <x v="226"/>
    <x v="0"/>
    <x v="21"/>
    <x v="0"/>
  </r>
  <r>
    <x v="21"/>
    <x v="3"/>
    <x v="3"/>
    <x v="3"/>
    <x v="0"/>
    <x v="0"/>
    <x v="3"/>
    <x v="3"/>
    <x v="227"/>
    <x v="0"/>
    <x v="21"/>
    <x v="0"/>
  </r>
  <r>
    <x v="21"/>
    <x v="12"/>
    <x v="4"/>
    <x v="4"/>
    <x v="0"/>
    <x v="0"/>
    <x v="12"/>
    <x v="12"/>
    <x v="228"/>
    <x v="0"/>
    <x v="21"/>
    <x v="0"/>
  </r>
  <r>
    <x v="21"/>
    <x v="4"/>
    <x v="4"/>
    <x v="4"/>
    <x v="0"/>
    <x v="0"/>
    <x v="4"/>
    <x v="4"/>
    <x v="229"/>
    <x v="0"/>
    <x v="21"/>
    <x v="0"/>
  </r>
  <r>
    <x v="21"/>
    <x v="0"/>
    <x v="0"/>
    <x v="0"/>
    <x v="0"/>
    <x v="0"/>
    <x v="0"/>
    <x v="0"/>
    <x v="230"/>
    <x v="0"/>
    <x v="21"/>
    <x v="0"/>
  </r>
  <r>
    <x v="21"/>
    <x v="5"/>
    <x v="0"/>
    <x v="0"/>
    <x v="0"/>
    <x v="0"/>
    <x v="5"/>
    <x v="5"/>
    <x v="231"/>
    <x v="0"/>
    <x v="21"/>
    <x v="0"/>
  </r>
  <r>
    <x v="21"/>
    <x v="13"/>
    <x v="5"/>
    <x v="5"/>
    <x v="0"/>
    <x v="0"/>
    <x v="13"/>
    <x v="13"/>
    <x v="232"/>
    <x v="0"/>
    <x v="21"/>
    <x v="0"/>
  </r>
  <r>
    <x v="21"/>
    <x v="6"/>
    <x v="5"/>
    <x v="5"/>
    <x v="0"/>
    <x v="0"/>
    <x v="6"/>
    <x v="6"/>
    <x v="233"/>
    <x v="0"/>
    <x v="21"/>
    <x v="0"/>
  </r>
  <r>
    <x v="21"/>
    <x v="14"/>
    <x v="1"/>
    <x v="1"/>
    <x v="0"/>
    <x v="0"/>
    <x v="14"/>
    <x v="14"/>
    <x v="234"/>
    <x v="0"/>
    <x v="21"/>
    <x v="0"/>
  </r>
  <r>
    <x v="21"/>
    <x v="8"/>
    <x v="1"/>
    <x v="1"/>
    <x v="0"/>
    <x v="0"/>
    <x v="8"/>
    <x v="8"/>
    <x v="235"/>
    <x v="0"/>
    <x v="21"/>
    <x v="0"/>
  </r>
  <r>
    <x v="21"/>
    <x v="1"/>
    <x v="1"/>
    <x v="1"/>
    <x v="0"/>
    <x v="0"/>
    <x v="1"/>
    <x v="1"/>
    <x v="1"/>
    <x v="53"/>
    <x v="21"/>
    <x v="0"/>
  </r>
  <r>
    <x v="21"/>
    <x v="10"/>
    <x v="3"/>
    <x v="3"/>
    <x v="0"/>
    <x v="1"/>
    <x v="10"/>
    <x v="10"/>
    <x v="236"/>
    <x v="0"/>
    <x v="21"/>
    <x v="0"/>
  </r>
  <r>
    <x v="21"/>
    <x v="3"/>
    <x v="3"/>
    <x v="3"/>
    <x v="0"/>
    <x v="1"/>
    <x v="3"/>
    <x v="3"/>
    <x v="237"/>
    <x v="0"/>
    <x v="21"/>
    <x v="0"/>
  </r>
  <r>
    <x v="21"/>
    <x v="4"/>
    <x v="4"/>
    <x v="4"/>
    <x v="0"/>
    <x v="1"/>
    <x v="4"/>
    <x v="4"/>
    <x v="238"/>
    <x v="0"/>
    <x v="21"/>
    <x v="0"/>
  </r>
  <r>
    <x v="21"/>
    <x v="0"/>
    <x v="0"/>
    <x v="0"/>
    <x v="0"/>
    <x v="1"/>
    <x v="0"/>
    <x v="0"/>
    <x v="239"/>
    <x v="0"/>
    <x v="21"/>
    <x v="0"/>
  </r>
  <r>
    <x v="21"/>
    <x v="5"/>
    <x v="0"/>
    <x v="0"/>
    <x v="0"/>
    <x v="1"/>
    <x v="5"/>
    <x v="5"/>
    <x v="240"/>
    <x v="0"/>
    <x v="21"/>
    <x v="0"/>
  </r>
  <r>
    <x v="21"/>
    <x v="13"/>
    <x v="5"/>
    <x v="5"/>
    <x v="0"/>
    <x v="1"/>
    <x v="13"/>
    <x v="13"/>
    <x v="241"/>
    <x v="0"/>
    <x v="21"/>
    <x v="0"/>
  </r>
  <r>
    <x v="21"/>
    <x v="14"/>
    <x v="1"/>
    <x v="1"/>
    <x v="0"/>
    <x v="1"/>
    <x v="14"/>
    <x v="14"/>
    <x v="242"/>
    <x v="0"/>
    <x v="21"/>
    <x v="0"/>
  </r>
  <r>
    <x v="21"/>
    <x v="8"/>
    <x v="1"/>
    <x v="1"/>
    <x v="0"/>
    <x v="1"/>
    <x v="8"/>
    <x v="8"/>
    <x v="243"/>
    <x v="0"/>
    <x v="21"/>
    <x v="0"/>
  </r>
  <r>
    <x v="21"/>
    <x v="1"/>
    <x v="1"/>
    <x v="1"/>
    <x v="0"/>
    <x v="1"/>
    <x v="1"/>
    <x v="1"/>
    <x v="1"/>
    <x v="54"/>
    <x v="21"/>
    <x v="0"/>
  </r>
  <r>
    <x v="22"/>
    <x v="4"/>
    <x v="4"/>
    <x v="4"/>
    <x v="0"/>
    <x v="0"/>
    <x v="4"/>
    <x v="4"/>
    <x v="244"/>
    <x v="0"/>
    <x v="22"/>
    <x v="0"/>
  </r>
  <r>
    <x v="22"/>
    <x v="0"/>
    <x v="0"/>
    <x v="0"/>
    <x v="0"/>
    <x v="0"/>
    <x v="0"/>
    <x v="0"/>
    <x v="245"/>
    <x v="0"/>
    <x v="22"/>
    <x v="0"/>
  </r>
  <r>
    <x v="22"/>
    <x v="5"/>
    <x v="0"/>
    <x v="0"/>
    <x v="0"/>
    <x v="0"/>
    <x v="5"/>
    <x v="5"/>
    <x v="246"/>
    <x v="0"/>
    <x v="22"/>
    <x v="0"/>
  </r>
  <r>
    <x v="22"/>
    <x v="1"/>
    <x v="1"/>
    <x v="1"/>
    <x v="0"/>
    <x v="0"/>
    <x v="1"/>
    <x v="1"/>
    <x v="1"/>
    <x v="55"/>
    <x v="22"/>
    <x v="0"/>
  </r>
  <r>
    <x v="23"/>
    <x v="10"/>
    <x v="3"/>
    <x v="3"/>
    <x v="0"/>
    <x v="0"/>
    <x v="10"/>
    <x v="10"/>
    <x v="247"/>
    <x v="0"/>
    <x v="23"/>
    <x v="0"/>
  </r>
  <r>
    <x v="23"/>
    <x v="3"/>
    <x v="3"/>
    <x v="3"/>
    <x v="0"/>
    <x v="0"/>
    <x v="3"/>
    <x v="3"/>
    <x v="248"/>
    <x v="0"/>
    <x v="23"/>
    <x v="0"/>
  </r>
  <r>
    <x v="23"/>
    <x v="1"/>
    <x v="1"/>
    <x v="1"/>
    <x v="0"/>
    <x v="0"/>
    <x v="1"/>
    <x v="1"/>
    <x v="1"/>
    <x v="56"/>
    <x v="23"/>
    <x v="0"/>
  </r>
  <r>
    <x v="23"/>
    <x v="11"/>
    <x v="6"/>
    <x v="6"/>
    <x v="0"/>
    <x v="1"/>
    <x v="11"/>
    <x v="11"/>
    <x v="249"/>
    <x v="0"/>
    <x v="23"/>
    <x v="0"/>
  </r>
  <r>
    <x v="23"/>
    <x v="10"/>
    <x v="3"/>
    <x v="3"/>
    <x v="0"/>
    <x v="1"/>
    <x v="10"/>
    <x v="10"/>
    <x v="250"/>
    <x v="0"/>
    <x v="23"/>
    <x v="0"/>
  </r>
  <r>
    <x v="23"/>
    <x v="0"/>
    <x v="0"/>
    <x v="0"/>
    <x v="0"/>
    <x v="1"/>
    <x v="0"/>
    <x v="0"/>
    <x v="251"/>
    <x v="0"/>
    <x v="23"/>
    <x v="0"/>
  </r>
  <r>
    <x v="23"/>
    <x v="5"/>
    <x v="0"/>
    <x v="0"/>
    <x v="0"/>
    <x v="1"/>
    <x v="5"/>
    <x v="5"/>
    <x v="252"/>
    <x v="0"/>
    <x v="23"/>
    <x v="0"/>
  </r>
  <r>
    <x v="23"/>
    <x v="1"/>
    <x v="1"/>
    <x v="1"/>
    <x v="0"/>
    <x v="1"/>
    <x v="1"/>
    <x v="1"/>
    <x v="1"/>
    <x v="57"/>
    <x v="23"/>
    <x v="0"/>
  </r>
  <r>
    <x v="24"/>
    <x v="7"/>
    <x v="2"/>
    <x v="2"/>
    <x v="0"/>
    <x v="2"/>
    <x v="7"/>
    <x v="7"/>
    <x v="253"/>
    <x v="0"/>
    <x v="24"/>
    <x v="0"/>
  </r>
  <r>
    <x v="24"/>
    <x v="9"/>
    <x v="6"/>
    <x v="6"/>
    <x v="0"/>
    <x v="2"/>
    <x v="9"/>
    <x v="9"/>
    <x v="254"/>
    <x v="0"/>
    <x v="24"/>
    <x v="0"/>
  </r>
  <r>
    <x v="24"/>
    <x v="11"/>
    <x v="6"/>
    <x v="6"/>
    <x v="0"/>
    <x v="2"/>
    <x v="11"/>
    <x v="11"/>
    <x v="255"/>
    <x v="0"/>
    <x v="24"/>
    <x v="0"/>
  </r>
  <r>
    <x v="24"/>
    <x v="12"/>
    <x v="4"/>
    <x v="4"/>
    <x v="0"/>
    <x v="2"/>
    <x v="12"/>
    <x v="12"/>
    <x v="256"/>
    <x v="0"/>
    <x v="24"/>
    <x v="0"/>
  </r>
  <r>
    <x v="24"/>
    <x v="0"/>
    <x v="0"/>
    <x v="0"/>
    <x v="0"/>
    <x v="2"/>
    <x v="0"/>
    <x v="0"/>
    <x v="257"/>
    <x v="0"/>
    <x v="24"/>
    <x v="0"/>
  </r>
  <r>
    <x v="24"/>
    <x v="5"/>
    <x v="0"/>
    <x v="0"/>
    <x v="0"/>
    <x v="2"/>
    <x v="5"/>
    <x v="5"/>
    <x v="258"/>
    <x v="0"/>
    <x v="24"/>
    <x v="0"/>
  </r>
  <r>
    <x v="24"/>
    <x v="13"/>
    <x v="5"/>
    <x v="5"/>
    <x v="0"/>
    <x v="2"/>
    <x v="13"/>
    <x v="13"/>
    <x v="259"/>
    <x v="0"/>
    <x v="24"/>
    <x v="0"/>
  </r>
  <r>
    <x v="24"/>
    <x v="6"/>
    <x v="5"/>
    <x v="5"/>
    <x v="0"/>
    <x v="2"/>
    <x v="6"/>
    <x v="6"/>
    <x v="260"/>
    <x v="0"/>
    <x v="24"/>
    <x v="0"/>
  </r>
  <r>
    <x v="24"/>
    <x v="14"/>
    <x v="1"/>
    <x v="1"/>
    <x v="0"/>
    <x v="2"/>
    <x v="14"/>
    <x v="14"/>
    <x v="261"/>
    <x v="0"/>
    <x v="24"/>
    <x v="0"/>
  </r>
  <r>
    <x v="24"/>
    <x v="8"/>
    <x v="1"/>
    <x v="1"/>
    <x v="0"/>
    <x v="2"/>
    <x v="8"/>
    <x v="8"/>
    <x v="262"/>
    <x v="0"/>
    <x v="24"/>
    <x v="0"/>
  </r>
  <r>
    <x v="24"/>
    <x v="1"/>
    <x v="1"/>
    <x v="1"/>
    <x v="0"/>
    <x v="2"/>
    <x v="1"/>
    <x v="1"/>
    <x v="1"/>
    <x v="58"/>
    <x v="24"/>
    <x v="0"/>
  </r>
  <r>
    <x v="24"/>
    <x v="7"/>
    <x v="2"/>
    <x v="2"/>
    <x v="0"/>
    <x v="0"/>
    <x v="7"/>
    <x v="7"/>
    <x v="263"/>
    <x v="0"/>
    <x v="24"/>
    <x v="0"/>
  </r>
  <r>
    <x v="24"/>
    <x v="2"/>
    <x v="2"/>
    <x v="2"/>
    <x v="0"/>
    <x v="0"/>
    <x v="2"/>
    <x v="2"/>
    <x v="264"/>
    <x v="0"/>
    <x v="24"/>
    <x v="0"/>
  </r>
  <r>
    <x v="24"/>
    <x v="9"/>
    <x v="6"/>
    <x v="6"/>
    <x v="0"/>
    <x v="0"/>
    <x v="9"/>
    <x v="9"/>
    <x v="265"/>
    <x v="0"/>
    <x v="24"/>
    <x v="0"/>
  </r>
  <r>
    <x v="24"/>
    <x v="11"/>
    <x v="6"/>
    <x v="6"/>
    <x v="0"/>
    <x v="0"/>
    <x v="11"/>
    <x v="11"/>
    <x v="266"/>
    <x v="0"/>
    <x v="24"/>
    <x v="0"/>
  </r>
  <r>
    <x v="24"/>
    <x v="19"/>
    <x v="3"/>
    <x v="3"/>
    <x v="0"/>
    <x v="0"/>
    <x v="17"/>
    <x v="19"/>
    <x v="267"/>
    <x v="0"/>
    <x v="24"/>
    <x v="0"/>
  </r>
  <r>
    <x v="24"/>
    <x v="10"/>
    <x v="3"/>
    <x v="3"/>
    <x v="0"/>
    <x v="0"/>
    <x v="10"/>
    <x v="10"/>
    <x v="268"/>
    <x v="0"/>
    <x v="24"/>
    <x v="0"/>
  </r>
  <r>
    <x v="24"/>
    <x v="3"/>
    <x v="3"/>
    <x v="3"/>
    <x v="0"/>
    <x v="0"/>
    <x v="3"/>
    <x v="3"/>
    <x v="269"/>
    <x v="0"/>
    <x v="24"/>
    <x v="0"/>
  </r>
  <r>
    <x v="24"/>
    <x v="12"/>
    <x v="4"/>
    <x v="4"/>
    <x v="0"/>
    <x v="0"/>
    <x v="12"/>
    <x v="12"/>
    <x v="270"/>
    <x v="0"/>
    <x v="24"/>
    <x v="0"/>
  </r>
  <r>
    <x v="24"/>
    <x v="4"/>
    <x v="4"/>
    <x v="4"/>
    <x v="0"/>
    <x v="0"/>
    <x v="4"/>
    <x v="4"/>
    <x v="271"/>
    <x v="0"/>
    <x v="24"/>
    <x v="0"/>
  </r>
  <r>
    <x v="24"/>
    <x v="0"/>
    <x v="0"/>
    <x v="0"/>
    <x v="0"/>
    <x v="0"/>
    <x v="0"/>
    <x v="0"/>
    <x v="272"/>
    <x v="0"/>
    <x v="24"/>
    <x v="0"/>
  </r>
  <r>
    <x v="24"/>
    <x v="5"/>
    <x v="0"/>
    <x v="0"/>
    <x v="0"/>
    <x v="0"/>
    <x v="5"/>
    <x v="5"/>
    <x v="273"/>
    <x v="0"/>
    <x v="24"/>
    <x v="0"/>
  </r>
  <r>
    <x v="24"/>
    <x v="13"/>
    <x v="5"/>
    <x v="5"/>
    <x v="0"/>
    <x v="0"/>
    <x v="13"/>
    <x v="13"/>
    <x v="274"/>
    <x v="0"/>
    <x v="24"/>
    <x v="0"/>
  </r>
  <r>
    <x v="24"/>
    <x v="6"/>
    <x v="5"/>
    <x v="5"/>
    <x v="0"/>
    <x v="0"/>
    <x v="6"/>
    <x v="6"/>
    <x v="275"/>
    <x v="0"/>
    <x v="24"/>
    <x v="0"/>
  </r>
  <r>
    <x v="24"/>
    <x v="14"/>
    <x v="1"/>
    <x v="1"/>
    <x v="0"/>
    <x v="0"/>
    <x v="14"/>
    <x v="14"/>
    <x v="276"/>
    <x v="0"/>
    <x v="24"/>
    <x v="0"/>
  </r>
  <r>
    <x v="24"/>
    <x v="8"/>
    <x v="1"/>
    <x v="1"/>
    <x v="0"/>
    <x v="0"/>
    <x v="8"/>
    <x v="8"/>
    <x v="277"/>
    <x v="0"/>
    <x v="24"/>
    <x v="0"/>
  </r>
  <r>
    <x v="24"/>
    <x v="1"/>
    <x v="1"/>
    <x v="1"/>
    <x v="0"/>
    <x v="0"/>
    <x v="1"/>
    <x v="1"/>
    <x v="1"/>
    <x v="59"/>
    <x v="24"/>
    <x v="0"/>
  </r>
  <r>
    <x v="24"/>
    <x v="9"/>
    <x v="6"/>
    <x v="6"/>
    <x v="0"/>
    <x v="1"/>
    <x v="9"/>
    <x v="9"/>
    <x v="278"/>
    <x v="0"/>
    <x v="24"/>
    <x v="0"/>
  </r>
  <r>
    <x v="24"/>
    <x v="11"/>
    <x v="6"/>
    <x v="6"/>
    <x v="0"/>
    <x v="1"/>
    <x v="11"/>
    <x v="11"/>
    <x v="279"/>
    <x v="0"/>
    <x v="24"/>
    <x v="0"/>
  </r>
  <r>
    <x v="24"/>
    <x v="5"/>
    <x v="0"/>
    <x v="0"/>
    <x v="0"/>
    <x v="1"/>
    <x v="5"/>
    <x v="5"/>
    <x v="280"/>
    <x v="0"/>
    <x v="24"/>
    <x v="0"/>
  </r>
  <r>
    <x v="24"/>
    <x v="13"/>
    <x v="5"/>
    <x v="5"/>
    <x v="0"/>
    <x v="1"/>
    <x v="13"/>
    <x v="13"/>
    <x v="281"/>
    <x v="0"/>
    <x v="24"/>
    <x v="0"/>
  </r>
  <r>
    <x v="24"/>
    <x v="6"/>
    <x v="5"/>
    <x v="5"/>
    <x v="0"/>
    <x v="1"/>
    <x v="6"/>
    <x v="6"/>
    <x v="282"/>
    <x v="0"/>
    <x v="24"/>
    <x v="0"/>
  </r>
  <r>
    <x v="24"/>
    <x v="8"/>
    <x v="1"/>
    <x v="1"/>
    <x v="0"/>
    <x v="1"/>
    <x v="8"/>
    <x v="8"/>
    <x v="283"/>
    <x v="0"/>
    <x v="24"/>
    <x v="0"/>
  </r>
  <r>
    <x v="24"/>
    <x v="1"/>
    <x v="1"/>
    <x v="1"/>
    <x v="0"/>
    <x v="1"/>
    <x v="1"/>
    <x v="1"/>
    <x v="1"/>
    <x v="60"/>
    <x v="24"/>
    <x v="0"/>
  </r>
  <r>
    <x v="25"/>
    <x v="1"/>
    <x v="1"/>
    <x v="1"/>
    <x v="0"/>
    <x v="0"/>
    <x v="1"/>
    <x v="1"/>
    <x v="1"/>
    <x v="61"/>
    <x v="25"/>
    <x v="0"/>
  </r>
  <r>
    <x v="25"/>
    <x v="3"/>
    <x v="3"/>
    <x v="3"/>
    <x v="0"/>
    <x v="1"/>
    <x v="3"/>
    <x v="3"/>
    <x v="284"/>
    <x v="0"/>
    <x v="25"/>
    <x v="0"/>
  </r>
  <r>
    <x v="25"/>
    <x v="1"/>
    <x v="1"/>
    <x v="1"/>
    <x v="0"/>
    <x v="1"/>
    <x v="1"/>
    <x v="1"/>
    <x v="1"/>
    <x v="62"/>
    <x v="25"/>
    <x v="0"/>
  </r>
  <r>
    <x v="26"/>
    <x v="1"/>
    <x v="1"/>
    <x v="1"/>
    <x v="0"/>
    <x v="2"/>
    <x v="1"/>
    <x v="1"/>
    <x v="1"/>
    <x v="63"/>
    <x v="26"/>
    <x v="0"/>
  </r>
  <r>
    <x v="26"/>
    <x v="13"/>
    <x v="5"/>
    <x v="5"/>
    <x v="0"/>
    <x v="0"/>
    <x v="13"/>
    <x v="13"/>
    <x v="285"/>
    <x v="0"/>
    <x v="26"/>
    <x v="0"/>
  </r>
  <r>
    <x v="26"/>
    <x v="6"/>
    <x v="5"/>
    <x v="5"/>
    <x v="0"/>
    <x v="0"/>
    <x v="6"/>
    <x v="6"/>
    <x v="286"/>
    <x v="0"/>
    <x v="26"/>
    <x v="0"/>
  </r>
  <r>
    <x v="26"/>
    <x v="14"/>
    <x v="1"/>
    <x v="1"/>
    <x v="0"/>
    <x v="0"/>
    <x v="14"/>
    <x v="14"/>
    <x v="287"/>
    <x v="0"/>
    <x v="26"/>
    <x v="0"/>
  </r>
  <r>
    <x v="26"/>
    <x v="1"/>
    <x v="1"/>
    <x v="1"/>
    <x v="0"/>
    <x v="0"/>
    <x v="1"/>
    <x v="1"/>
    <x v="1"/>
    <x v="64"/>
    <x v="26"/>
    <x v="0"/>
  </r>
  <r>
    <x v="26"/>
    <x v="5"/>
    <x v="0"/>
    <x v="0"/>
    <x v="0"/>
    <x v="1"/>
    <x v="5"/>
    <x v="5"/>
    <x v="288"/>
    <x v="0"/>
    <x v="26"/>
    <x v="0"/>
  </r>
  <r>
    <x v="26"/>
    <x v="8"/>
    <x v="1"/>
    <x v="1"/>
    <x v="0"/>
    <x v="1"/>
    <x v="8"/>
    <x v="8"/>
    <x v="289"/>
    <x v="0"/>
    <x v="26"/>
    <x v="0"/>
  </r>
  <r>
    <x v="26"/>
    <x v="1"/>
    <x v="1"/>
    <x v="1"/>
    <x v="0"/>
    <x v="1"/>
    <x v="1"/>
    <x v="1"/>
    <x v="1"/>
    <x v="65"/>
    <x v="26"/>
    <x v="0"/>
  </r>
  <r>
    <x v="27"/>
    <x v="12"/>
    <x v="4"/>
    <x v="4"/>
    <x v="0"/>
    <x v="2"/>
    <x v="12"/>
    <x v="12"/>
    <x v="290"/>
    <x v="0"/>
    <x v="27"/>
    <x v="0"/>
  </r>
  <r>
    <x v="27"/>
    <x v="13"/>
    <x v="5"/>
    <x v="5"/>
    <x v="0"/>
    <x v="2"/>
    <x v="13"/>
    <x v="13"/>
    <x v="291"/>
    <x v="0"/>
    <x v="27"/>
    <x v="0"/>
  </r>
  <r>
    <x v="27"/>
    <x v="1"/>
    <x v="1"/>
    <x v="1"/>
    <x v="0"/>
    <x v="2"/>
    <x v="1"/>
    <x v="1"/>
    <x v="1"/>
    <x v="66"/>
    <x v="27"/>
    <x v="0"/>
  </r>
  <r>
    <x v="27"/>
    <x v="7"/>
    <x v="2"/>
    <x v="2"/>
    <x v="0"/>
    <x v="0"/>
    <x v="7"/>
    <x v="7"/>
    <x v="292"/>
    <x v="0"/>
    <x v="27"/>
    <x v="0"/>
  </r>
  <r>
    <x v="27"/>
    <x v="2"/>
    <x v="2"/>
    <x v="2"/>
    <x v="0"/>
    <x v="0"/>
    <x v="2"/>
    <x v="2"/>
    <x v="293"/>
    <x v="0"/>
    <x v="27"/>
    <x v="0"/>
  </r>
  <r>
    <x v="27"/>
    <x v="9"/>
    <x v="6"/>
    <x v="6"/>
    <x v="0"/>
    <x v="0"/>
    <x v="9"/>
    <x v="9"/>
    <x v="294"/>
    <x v="0"/>
    <x v="27"/>
    <x v="0"/>
  </r>
  <r>
    <x v="27"/>
    <x v="11"/>
    <x v="6"/>
    <x v="6"/>
    <x v="0"/>
    <x v="0"/>
    <x v="11"/>
    <x v="11"/>
    <x v="295"/>
    <x v="0"/>
    <x v="27"/>
    <x v="0"/>
  </r>
  <r>
    <x v="27"/>
    <x v="10"/>
    <x v="3"/>
    <x v="3"/>
    <x v="0"/>
    <x v="0"/>
    <x v="10"/>
    <x v="10"/>
    <x v="296"/>
    <x v="0"/>
    <x v="27"/>
    <x v="0"/>
  </r>
  <r>
    <x v="27"/>
    <x v="3"/>
    <x v="3"/>
    <x v="3"/>
    <x v="0"/>
    <x v="0"/>
    <x v="3"/>
    <x v="3"/>
    <x v="297"/>
    <x v="0"/>
    <x v="27"/>
    <x v="0"/>
  </r>
  <r>
    <x v="27"/>
    <x v="12"/>
    <x v="4"/>
    <x v="4"/>
    <x v="0"/>
    <x v="0"/>
    <x v="12"/>
    <x v="12"/>
    <x v="298"/>
    <x v="0"/>
    <x v="27"/>
    <x v="0"/>
  </r>
  <r>
    <x v="27"/>
    <x v="4"/>
    <x v="4"/>
    <x v="4"/>
    <x v="0"/>
    <x v="0"/>
    <x v="4"/>
    <x v="4"/>
    <x v="299"/>
    <x v="0"/>
    <x v="27"/>
    <x v="0"/>
  </r>
  <r>
    <x v="27"/>
    <x v="0"/>
    <x v="0"/>
    <x v="0"/>
    <x v="0"/>
    <x v="0"/>
    <x v="0"/>
    <x v="0"/>
    <x v="300"/>
    <x v="0"/>
    <x v="27"/>
    <x v="0"/>
  </r>
  <r>
    <x v="27"/>
    <x v="5"/>
    <x v="0"/>
    <x v="0"/>
    <x v="0"/>
    <x v="0"/>
    <x v="5"/>
    <x v="5"/>
    <x v="301"/>
    <x v="0"/>
    <x v="27"/>
    <x v="0"/>
  </r>
  <r>
    <x v="27"/>
    <x v="13"/>
    <x v="5"/>
    <x v="5"/>
    <x v="0"/>
    <x v="0"/>
    <x v="13"/>
    <x v="13"/>
    <x v="302"/>
    <x v="0"/>
    <x v="27"/>
    <x v="0"/>
  </r>
  <r>
    <x v="27"/>
    <x v="6"/>
    <x v="5"/>
    <x v="5"/>
    <x v="0"/>
    <x v="0"/>
    <x v="6"/>
    <x v="6"/>
    <x v="303"/>
    <x v="0"/>
    <x v="27"/>
    <x v="0"/>
  </r>
  <r>
    <x v="27"/>
    <x v="20"/>
    <x v="5"/>
    <x v="5"/>
    <x v="0"/>
    <x v="0"/>
    <x v="18"/>
    <x v="20"/>
    <x v="304"/>
    <x v="0"/>
    <x v="27"/>
    <x v="0"/>
  </r>
  <r>
    <x v="27"/>
    <x v="14"/>
    <x v="1"/>
    <x v="1"/>
    <x v="0"/>
    <x v="0"/>
    <x v="14"/>
    <x v="14"/>
    <x v="305"/>
    <x v="0"/>
    <x v="27"/>
    <x v="0"/>
  </r>
  <r>
    <x v="27"/>
    <x v="8"/>
    <x v="1"/>
    <x v="1"/>
    <x v="0"/>
    <x v="0"/>
    <x v="8"/>
    <x v="8"/>
    <x v="306"/>
    <x v="0"/>
    <x v="27"/>
    <x v="0"/>
  </r>
  <r>
    <x v="27"/>
    <x v="1"/>
    <x v="1"/>
    <x v="1"/>
    <x v="0"/>
    <x v="0"/>
    <x v="1"/>
    <x v="1"/>
    <x v="1"/>
    <x v="67"/>
    <x v="27"/>
    <x v="0"/>
  </r>
  <r>
    <x v="27"/>
    <x v="7"/>
    <x v="2"/>
    <x v="2"/>
    <x v="0"/>
    <x v="1"/>
    <x v="7"/>
    <x v="7"/>
    <x v="307"/>
    <x v="0"/>
    <x v="27"/>
    <x v="0"/>
  </r>
  <r>
    <x v="27"/>
    <x v="2"/>
    <x v="2"/>
    <x v="2"/>
    <x v="0"/>
    <x v="1"/>
    <x v="2"/>
    <x v="2"/>
    <x v="308"/>
    <x v="0"/>
    <x v="27"/>
    <x v="0"/>
  </r>
  <r>
    <x v="27"/>
    <x v="9"/>
    <x v="6"/>
    <x v="6"/>
    <x v="0"/>
    <x v="1"/>
    <x v="9"/>
    <x v="9"/>
    <x v="309"/>
    <x v="0"/>
    <x v="27"/>
    <x v="0"/>
  </r>
  <r>
    <x v="27"/>
    <x v="11"/>
    <x v="6"/>
    <x v="6"/>
    <x v="0"/>
    <x v="1"/>
    <x v="11"/>
    <x v="11"/>
    <x v="310"/>
    <x v="0"/>
    <x v="27"/>
    <x v="0"/>
  </r>
  <r>
    <x v="27"/>
    <x v="10"/>
    <x v="3"/>
    <x v="3"/>
    <x v="0"/>
    <x v="1"/>
    <x v="10"/>
    <x v="10"/>
    <x v="311"/>
    <x v="0"/>
    <x v="27"/>
    <x v="0"/>
  </r>
  <r>
    <x v="27"/>
    <x v="12"/>
    <x v="4"/>
    <x v="4"/>
    <x v="0"/>
    <x v="1"/>
    <x v="12"/>
    <x v="12"/>
    <x v="312"/>
    <x v="0"/>
    <x v="27"/>
    <x v="0"/>
  </r>
  <r>
    <x v="27"/>
    <x v="4"/>
    <x v="4"/>
    <x v="4"/>
    <x v="0"/>
    <x v="1"/>
    <x v="4"/>
    <x v="4"/>
    <x v="313"/>
    <x v="0"/>
    <x v="27"/>
    <x v="0"/>
  </r>
  <r>
    <x v="27"/>
    <x v="0"/>
    <x v="0"/>
    <x v="0"/>
    <x v="0"/>
    <x v="1"/>
    <x v="0"/>
    <x v="0"/>
    <x v="314"/>
    <x v="0"/>
    <x v="27"/>
    <x v="0"/>
  </r>
  <r>
    <x v="27"/>
    <x v="5"/>
    <x v="0"/>
    <x v="0"/>
    <x v="0"/>
    <x v="1"/>
    <x v="5"/>
    <x v="5"/>
    <x v="315"/>
    <x v="0"/>
    <x v="27"/>
    <x v="0"/>
  </r>
  <r>
    <x v="27"/>
    <x v="13"/>
    <x v="5"/>
    <x v="5"/>
    <x v="0"/>
    <x v="1"/>
    <x v="13"/>
    <x v="13"/>
    <x v="316"/>
    <x v="0"/>
    <x v="27"/>
    <x v="0"/>
  </r>
  <r>
    <x v="27"/>
    <x v="6"/>
    <x v="5"/>
    <x v="5"/>
    <x v="0"/>
    <x v="1"/>
    <x v="6"/>
    <x v="6"/>
    <x v="16"/>
    <x v="0"/>
    <x v="27"/>
    <x v="0"/>
  </r>
  <r>
    <x v="27"/>
    <x v="14"/>
    <x v="1"/>
    <x v="1"/>
    <x v="0"/>
    <x v="1"/>
    <x v="14"/>
    <x v="14"/>
    <x v="317"/>
    <x v="0"/>
    <x v="27"/>
    <x v="0"/>
  </r>
  <r>
    <x v="27"/>
    <x v="8"/>
    <x v="1"/>
    <x v="1"/>
    <x v="0"/>
    <x v="1"/>
    <x v="8"/>
    <x v="8"/>
    <x v="318"/>
    <x v="0"/>
    <x v="27"/>
    <x v="0"/>
  </r>
  <r>
    <x v="27"/>
    <x v="1"/>
    <x v="1"/>
    <x v="1"/>
    <x v="0"/>
    <x v="1"/>
    <x v="1"/>
    <x v="1"/>
    <x v="1"/>
    <x v="68"/>
    <x v="27"/>
    <x v="0"/>
  </r>
  <r>
    <x v="28"/>
    <x v="10"/>
    <x v="3"/>
    <x v="3"/>
    <x v="0"/>
    <x v="2"/>
    <x v="10"/>
    <x v="10"/>
    <x v="319"/>
    <x v="0"/>
    <x v="28"/>
    <x v="0"/>
  </r>
  <r>
    <x v="28"/>
    <x v="1"/>
    <x v="1"/>
    <x v="1"/>
    <x v="0"/>
    <x v="2"/>
    <x v="1"/>
    <x v="1"/>
    <x v="1"/>
    <x v="69"/>
    <x v="28"/>
    <x v="0"/>
  </r>
  <r>
    <x v="28"/>
    <x v="11"/>
    <x v="6"/>
    <x v="6"/>
    <x v="0"/>
    <x v="0"/>
    <x v="11"/>
    <x v="11"/>
    <x v="320"/>
    <x v="0"/>
    <x v="28"/>
    <x v="0"/>
  </r>
  <r>
    <x v="28"/>
    <x v="0"/>
    <x v="0"/>
    <x v="0"/>
    <x v="0"/>
    <x v="0"/>
    <x v="0"/>
    <x v="0"/>
    <x v="321"/>
    <x v="0"/>
    <x v="28"/>
    <x v="0"/>
  </r>
  <r>
    <x v="28"/>
    <x v="14"/>
    <x v="1"/>
    <x v="1"/>
    <x v="0"/>
    <x v="0"/>
    <x v="14"/>
    <x v="14"/>
    <x v="322"/>
    <x v="0"/>
    <x v="28"/>
    <x v="0"/>
  </r>
  <r>
    <x v="28"/>
    <x v="1"/>
    <x v="1"/>
    <x v="1"/>
    <x v="0"/>
    <x v="0"/>
    <x v="1"/>
    <x v="1"/>
    <x v="1"/>
    <x v="70"/>
    <x v="28"/>
    <x v="0"/>
  </r>
  <r>
    <x v="28"/>
    <x v="7"/>
    <x v="2"/>
    <x v="2"/>
    <x v="0"/>
    <x v="1"/>
    <x v="7"/>
    <x v="7"/>
    <x v="323"/>
    <x v="0"/>
    <x v="28"/>
    <x v="0"/>
  </r>
  <r>
    <x v="28"/>
    <x v="12"/>
    <x v="4"/>
    <x v="4"/>
    <x v="0"/>
    <x v="1"/>
    <x v="12"/>
    <x v="12"/>
    <x v="324"/>
    <x v="0"/>
    <x v="28"/>
    <x v="0"/>
  </r>
  <r>
    <x v="28"/>
    <x v="4"/>
    <x v="4"/>
    <x v="4"/>
    <x v="0"/>
    <x v="1"/>
    <x v="4"/>
    <x v="4"/>
    <x v="325"/>
    <x v="0"/>
    <x v="28"/>
    <x v="0"/>
  </r>
  <r>
    <x v="28"/>
    <x v="0"/>
    <x v="0"/>
    <x v="0"/>
    <x v="0"/>
    <x v="1"/>
    <x v="0"/>
    <x v="0"/>
    <x v="326"/>
    <x v="0"/>
    <x v="28"/>
    <x v="0"/>
  </r>
  <r>
    <x v="28"/>
    <x v="14"/>
    <x v="1"/>
    <x v="1"/>
    <x v="0"/>
    <x v="1"/>
    <x v="14"/>
    <x v="14"/>
    <x v="327"/>
    <x v="0"/>
    <x v="28"/>
    <x v="0"/>
  </r>
  <r>
    <x v="28"/>
    <x v="8"/>
    <x v="1"/>
    <x v="1"/>
    <x v="0"/>
    <x v="1"/>
    <x v="8"/>
    <x v="8"/>
    <x v="326"/>
    <x v="0"/>
    <x v="28"/>
    <x v="0"/>
  </r>
  <r>
    <x v="28"/>
    <x v="1"/>
    <x v="1"/>
    <x v="1"/>
    <x v="0"/>
    <x v="1"/>
    <x v="1"/>
    <x v="1"/>
    <x v="1"/>
    <x v="71"/>
    <x v="28"/>
    <x v="0"/>
  </r>
  <r>
    <x v="29"/>
    <x v="2"/>
    <x v="2"/>
    <x v="2"/>
    <x v="0"/>
    <x v="0"/>
    <x v="2"/>
    <x v="2"/>
    <x v="328"/>
    <x v="0"/>
    <x v="29"/>
    <x v="0"/>
  </r>
  <r>
    <x v="29"/>
    <x v="9"/>
    <x v="6"/>
    <x v="6"/>
    <x v="0"/>
    <x v="0"/>
    <x v="9"/>
    <x v="9"/>
    <x v="329"/>
    <x v="0"/>
    <x v="29"/>
    <x v="0"/>
  </r>
  <r>
    <x v="29"/>
    <x v="11"/>
    <x v="6"/>
    <x v="6"/>
    <x v="0"/>
    <x v="0"/>
    <x v="11"/>
    <x v="11"/>
    <x v="330"/>
    <x v="0"/>
    <x v="29"/>
    <x v="0"/>
  </r>
  <r>
    <x v="29"/>
    <x v="10"/>
    <x v="3"/>
    <x v="3"/>
    <x v="0"/>
    <x v="0"/>
    <x v="10"/>
    <x v="10"/>
    <x v="331"/>
    <x v="0"/>
    <x v="29"/>
    <x v="0"/>
  </r>
  <r>
    <x v="29"/>
    <x v="3"/>
    <x v="3"/>
    <x v="3"/>
    <x v="0"/>
    <x v="0"/>
    <x v="3"/>
    <x v="3"/>
    <x v="332"/>
    <x v="0"/>
    <x v="29"/>
    <x v="0"/>
  </r>
  <r>
    <x v="29"/>
    <x v="12"/>
    <x v="4"/>
    <x v="4"/>
    <x v="0"/>
    <x v="0"/>
    <x v="12"/>
    <x v="12"/>
    <x v="333"/>
    <x v="0"/>
    <x v="29"/>
    <x v="0"/>
  </r>
  <r>
    <x v="29"/>
    <x v="4"/>
    <x v="4"/>
    <x v="4"/>
    <x v="0"/>
    <x v="0"/>
    <x v="4"/>
    <x v="4"/>
    <x v="334"/>
    <x v="0"/>
    <x v="29"/>
    <x v="0"/>
  </r>
  <r>
    <x v="29"/>
    <x v="0"/>
    <x v="0"/>
    <x v="0"/>
    <x v="0"/>
    <x v="0"/>
    <x v="0"/>
    <x v="0"/>
    <x v="335"/>
    <x v="0"/>
    <x v="29"/>
    <x v="0"/>
  </r>
  <r>
    <x v="29"/>
    <x v="5"/>
    <x v="0"/>
    <x v="0"/>
    <x v="0"/>
    <x v="0"/>
    <x v="5"/>
    <x v="5"/>
    <x v="336"/>
    <x v="0"/>
    <x v="29"/>
    <x v="0"/>
  </r>
  <r>
    <x v="29"/>
    <x v="13"/>
    <x v="5"/>
    <x v="5"/>
    <x v="0"/>
    <x v="0"/>
    <x v="13"/>
    <x v="13"/>
    <x v="337"/>
    <x v="0"/>
    <x v="29"/>
    <x v="0"/>
  </r>
  <r>
    <x v="29"/>
    <x v="6"/>
    <x v="5"/>
    <x v="5"/>
    <x v="0"/>
    <x v="0"/>
    <x v="6"/>
    <x v="6"/>
    <x v="338"/>
    <x v="0"/>
    <x v="29"/>
    <x v="0"/>
  </r>
  <r>
    <x v="29"/>
    <x v="14"/>
    <x v="1"/>
    <x v="1"/>
    <x v="0"/>
    <x v="0"/>
    <x v="14"/>
    <x v="14"/>
    <x v="339"/>
    <x v="0"/>
    <x v="29"/>
    <x v="0"/>
  </r>
  <r>
    <x v="29"/>
    <x v="8"/>
    <x v="1"/>
    <x v="1"/>
    <x v="0"/>
    <x v="0"/>
    <x v="8"/>
    <x v="8"/>
    <x v="340"/>
    <x v="0"/>
    <x v="29"/>
    <x v="0"/>
  </r>
  <r>
    <x v="29"/>
    <x v="1"/>
    <x v="1"/>
    <x v="1"/>
    <x v="0"/>
    <x v="0"/>
    <x v="1"/>
    <x v="1"/>
    <x v="1"/>
    <x v="72"/>
    <x v="29"/>
    <x v="0"/>
  </r>
  <r>
    <x v="29"/>
    <x v="9"/>
    <x v="6"/>
    <x v="6"/>
    <x v="0"/>
    <x v="1"/>
    <x v="9"/>
    <x v="9"/>
    <x v="341"/>
    <x v="0"/>
    <x v="29"/>
    <x v="0"/>
  </r>
  <r>
    <x v="29"/>
    <x v="11"/>
    <x v="6"/>
    <x v="6"/>
    <x v="0"/>
    <x v="1"/>
    <x v="11"/>
    <x v="11"/>
    <x v="342"/>
    <x v="0"/>
    <x v="29"/>
    <x v="0"/>
  </r>
  <r>
    <x v="29"/>
    <x v="10"/>
    <x v="3"/>
    <x v="3"/>
    <x v="0"/>
    <x v="1"/>
    <x v="10"/>
    <x v="10"/>
    <x v="343"/>
    <x v="0"/>
    <x v="29"/>
    <x v="0"/>
  </r>
  <r>
    <x v="29"/>
    <x v="1"/>
    <x v="1"/>
    <x v="1"/>
    <x v="0"/>
    <x v="1"/>
    <x v="1"/>
    <x v="1"/>
    <x v="1"/>
    <x v="73"/>
    <x v="29"/>
    <x v="0"/>
  </r>
  <r>
    <x v="30"/>
    <x v="1"/>
    <x v="1"/>
    <x v="1"/>
    <x v="0"/>
    <x v="2"/>
    <x v="1"/>
    <x v="1"/>
    <x v="1"/>
    <x v="74"/>
    <x v="30"/>
    <x v="0"/>
  </r>
  <r>
    <x v="30"/>
    <x v="7"/>
    <x v="2"/>
    <x v="2"/>
    <x v="0"/>
    <x v="0"/>
    <x v="7"/>
    <x v="7"/>
    <x v="344"/>
    <x v="0"/>
    <x v="30"/>
    <x v="0"/>
  </r>
  <r>
    <x v="30"/>
    <x v="2"/>
    <x v="2"/>
    <x v="2"/>
    <x v="0"/>
    <x v="0"/>
    <x v="2"/>
    <x v="2"/>
    <x v="345"/>
    <x v="0"/>
    <x v="30"/>
    <x v="0"/>
  </r>
  <r>
    <x v="30"/>
    <x v="9"/>
    <x v="6"/>
    <x v="6"/>
    <x v="0"/>
    <x v="0"/>
    <x v="9"/>
    <x v="9"/>
    <x v="346"/>
    <x v="0"/>
    <x v="30"/>
    <x v="0"/>
  </r>
  <r>
    <x v="30"/>
    <x v="11"/>
    <x v="6"/>
    <x v="6"/>
    <x v="0"/>
    <x v="0"/>
    <x v="11"/>
    <x v="11"/>
    <x v="347"/>
    <x v="0"/>
    <x v="30"/>
    <x v="0"/>
  </r>
  <r>
    <x v="30"/>
    <x v="10"/>
    <x v="3"/>
    <x v="3"/>
    <x v="0"/>
    <x v="0"/>
    <x v="10"/>
    <x v="10"/>
    <x v="348"/>
    <x v="0"/>
    <x v="30"/>
    <x v="0"/>
  </r>
  <r>
    <x v="30"/>
    <x v="3"/>
    <x v="3"/>
    <x v="3"/>
    <x v="0"/>
    <x v="0"/>
    <x v="3"/>
    <x v="3"/>
    <x v="349"/>
    <x v="0"/>
    <x v="30"/>
    <x v="0"/>
  </r>
  <r>
    <x v="30"/>
    <x v="12"/>
    <x v="4"/>
    <x v="4"/>
    <x v="0"/>
    <x v="0"/>
    <x v="12"/>
    <x v="12"/>
    <x v="350"/>
    <x v="0"/>
    <x v="30"/>
    <x v="0"/>
  </r>
  <r>
    <x v="30"/>
    <x v="4"/>
    <x v="4"/>
    <x v="4"/>
    <x v="0"/>
    <x v="0"/>
    <x v="4"/>
    <x v="4"/>
    <x v="351"/>
    <x v="0"/>
    <x v="30"/>
    <x v="0"/>
  </r>
  <r>
    <x v="30"/>
    <x v="0"/>
    <x v="0"/>
    <x v="0"/>
    <x v="0"/>
    <x v="0"/>
    <x v="0"/>
    <x v="0"/>
    <x v="352"/>
    <x v="0"/>
    <x v="30"/>
    <x v="0"/>
  </r>
  <r>
    <x v="30"/>
    <x v="5"/>
    <x v="0"/>
    <x v="0"/>
    <x v="0"/>
    <x v="0"/>
    <x v="5"/>
    <x v="5"/>
    <x v="353"/>
    <x v="0"/>
    <x v="30"/>
    <x v="0"/>
  </r>
  <r>
    <x v="30"/>
    <x v="13"/>
    <x v="5"/>
    <x v="5"/>
    <x v="0"/>
    <x v="0"/>
    <x v="13"/>
    <x v="13"/>
    <x v="354"/>
    <x v="0"/>
    <x v="30"/>
    <x v="0"/>
  </r>
  <r>
    <x v="30"/>
    <x v="6"/>
    <x v="5"/>
    <x v="5"/>
    <x v="0"/>
    <x v="0"/>
    <x v="6"/>
    <x v="6"/>
    <x v="355"/>
    <x v="0"/>
    <x v="30"/>
    <x v="0"/>
  </r>
  <r>
    <x v="30"/>
    <x v="14"/>
    <x v="1"/>
    <x v="1"/>
    <x v="0"/>
    <x v="0"/>
    <x v="14"/>
    <x v="14"/>
    <x v="356"/>
    <x v="0"/>
    <x v="30"/>
    <x v="0"/>
  </r>
  <r>
    <x v="30"/>
    <x v="8"/>
    <x v="1"/>
    <x v="1"/>
    <x v="0"/>
    <x v="0"/>
    <x v="8"/>
    <x v="8"/>
    <x v="357"/>
    <x v="0"/>
    <x v="30"/>
    <x v="0"/>
  </r>
  <r>
    <x v="30"/>
    <x v="1"/>
    <x v="1"/>
    <x v="1"/>
    <x v="0"/>
    <x v="0"/>
    <x v="1"/>
    <x v="1"/>
    <x v="1"/>
    <x v="75"/>
    <x v="30"/>
    <x v="0"/>
  </r>
  <r>
    <x v="30"/>
    <x v="2"/>
    <x v="2"/>
    <x v="2"/>
    <x v="0"/>
    <x v="1"/>
    <x v="2"/>
    <x v="2"/>
    <x v="358"/>
    <x v="0"/>
    <x v="30"/>
    <x v="0"/>
  </r>
  <r>
    <x v="30"/>
    <x v="12"/>
    <x v="4"/>
    <x v="4"/>
    <x v="0"/>
    <x v="1"/>
    <x v="12"/>
    <x v="12"/>
    <x v="359"/>
    <x v="0"/>
    <x v="30"/>
    <x v="0"/>
  </r>
  <r>
    <x v="30"/>
    <x v="4"/>
    <x v="4"/>
    <x v="4"/>
    <x v="0"/>
    <x v="1"/>
    <x v="4"/>
    <x v="4"/>
    <x v="360"/>
    <x v="0"/>
    <x v="30"/>
    <x v="0"/>
  </r>
  <r>
    <x v="30"/>
    <x v="13"/>
    <x v="5"/>
    <x v="5"/>
    <x v="0"/>
    <x v="1"/>
    <x v="13"/>
    <x v="13"/>
    <x v="361"/>
    <x v="0"/>
    <x v="30"/>
    <x v="0"/>
  </r>
  <r>
    <x v="30"/>
    <x v="6"/>
    <x v="5"/>
    <x v="5"/>
    <x v="0"/>
    <x v="1"/>
    <x v="6"/>
    <x v="6"/>
    <x v="362"/>
    <x v="0"/>
    <x v="30"/>
    <x v="0"/>
  </r>
  <r>
    <x v="30"/>
    <x v="8"/>
    <x v="1"/>
    <x v="1"/>
    <x v="0"/>
    <x v="1"/>
    <x v="8"/>
    <x v="8"/>
    <x v="363"/>
    <x v="0"/>
    <x v="30"/>
    <x v="0"/>
  </r>
  <r>
    <x v="30"/>
    <x v="1"/>
    <x v="1"/>
    <x v="1"/>
    <x v="0"/>
    <x v="1"/>
    <x v="1"/>
    <x v="1"/>
    <x v="1"/>
    <x v="76"/>
    <x v="30"/>
    <x v="0"/>
  </r>
  <r>
    <x v="31"/>
    <x v="0"/>
    <x v="0"/>
    <x v="0"/>
    <x v="0"/>
    <x v="0"/>
    <x v="0"/>
    <x v="0"/>
    <x v="364"/>
    <x v="0"/>
    <x v="31"/>
    <x v="0"/>
  </r>
  <r>
    <x v="31"/>
    <x v="5"/>
    <x v="0"/>
    <x v="0"/>
    <x v="0"/>
    <x v="0"/>
    <x v="5"/>
    <x v="5"/>
    <x v="365"/>
    <x v="0"/>
    <x v="31"/>
    <x v="0"/>
  </r>
  <r>
    <x v="31"/>
    <x v="1"/>
    <x v="1"/>
    <x v="1"/>
    <x v="0"/>
    <x v="0"/>
    <x v="1"/>
    <x v="1"/>
    <x v="1"/>
    <x v="77"/>
    <x v="31"/>
    <x v="0"/>
  </r>
  <r>
    <x v="31"/>
    <x v="1"/>
    <x v="1"/>
    <x v="1"/>
    <x v="0"/>
    <x v="1"/>
    <x v="1"/>
    <x v="1"/>
    <x v="1"/>
    <x v="78"/>
    <x v="31"/>
    <x v="0"/>
  </r>
  <r>
    <x v="32"/>
    <x v="10"/>
    <x v="3"/>
    <x v="3"/>
    <x v="0"/>
    <x v="0"/>
    <x v="10"/>
    <x v="10"/>
    <x v="366"/>
    <x v="0"/>
    <x v="32"/>
    <x v="0"/>
  </r>
  <r>
    <x v="32"/>
    <x v="3"/>
    <x v="3"/>
    <x v="3"/>
    <x v="0"/>
    <x v="0"/>
    <x v="3"/>
    <x v="3"/>
    <x v="367"/>
    <x v="0"/>
    <x v="32"/>
    <x v="0"/>
  </r>
  <r>
    <x v="32"/>
    <x v="1"/>
    <x v="1"/>
    <x v="1"/>
    <x v="0"/>
    <x v="0"/>
    <x v="1"/>
    <x v="1"/>
    <x v="1"/>
    <x v="79"/>
    <x v="32"/>
    <x v="0"/>
  </r>
  <r>
    <x v="33"/>
    <x v="6"/>
    <x v="5"/>
    <x v="5"/>
    <x v="0"/>
    <x v="0"/>
    <x v="6"/>
    <x v="6"/>
    <x v="368"/>
    <x v="0"/>
    <x v="33"/>
    <x v="0"/>
  </r>
  <r>
    <x v="33"/>
    <x v="1"/>
    <x v="1"/>
    <x v="1"/>
    <x v="0"/>
    <x v="0"/>
    <x v="1"/>
    <x v="1"/>
    <x v="1"/>
    <x v="80"/>
    <x v="33"/>
    <x v="0"/>
  </r>
  <r>
    <x v="34"/>
    <x v="1"/>
    <x v="1"/>
    <x v="1"/>
    <x v="0"/>
    <x v="2"/>
    <x v="1"/>
    <x v="1"/>
    <x v="1"/>
    <x v="81"/>
    <x v="34"/>
    <x v="0"/>
  </r>
  <r>
    <x v="34"/>
    <x v="7"/>
    <x v="2"/>
    <x v="2"/>
    <x v="0"/>
    <x v="0"/>
    <x v="7"/>
    <x v="7"/>
    <x v="369"/>
    <x v="0"/>
    <x v="34"/>
    <x v="0"/>
  </r>
  <r>
    <x v="34"/>
    <x v="2"/>
    <x v="2"/>
    <x v="2"/>
    <x v="0"/>
    <x v="0"/>
    <x v="2"/>
    <x v="2"/>
    <x v="370"/>
    <x v="0"/>
    <x v="34"/>
    <x v="0"/>
  </r>
  <r>
    <x v="34"/>
    <x v="9"/>
    <x v="6"/>
    <x v="6"/>
    <x v="0"/>
    <x v="0"/>
    <x v="9"/>
    <x v="9"/>
    <x v="371"/>
    <x v="0"/>
    <x v="34"/>
    <x v="0"/>
  </r>
  <r>
    <x v="34"/>
    <x v="11"/>
    <x v="6"/>
    <x v="6"/>
    <x v="0"/>
    <x v="0"/>
    <x v="11"/>
    <x v="11"/>
    <x v="372"/>
    <x v="0"/>
    <x v="34"/>
    <x v="0"/>
  </r>
  <r>
    <x v="34"/>
    <x v="10"/>
    <x v="3"/>
    <x v="3"/>
    <x v="0"/>
    <x v="0"/>
    <x v="10"/>
    <x v="10"/>
    <x v="373"/>
    <x v="0"/>
    <x v="34"/>
    <x v="0"/>
  </r>
  <r>
    <x v="34"/>
    <x v="18"/>
    <x v="3"/>
    <x v="3"/>
    <x v="0"/>
    <x v="0"/>
    <x v="17"/>
    <x v="18"/>
    <x v="374"/>
    <x v="0"/>
    <x v="34"/>
    <x v="0"/>
  </r>
  <r>
    <x v="34"/>
    <x v="3"/>
    <x v="3"/>
    <x v="3"/>
    <x v="0"/>
    <x v="0"/>
    <x v="3"/>
    <x v="3"/>
    <x v="375"/>
    <x v="0"/>
    <x v="34"/>
    <x v="0"/>
  </r>
  <r>
    <x v="34"/>
    <x v="12"/>
    <x v="4"/>
    <x v="4"/>
    <x v="0"/>
    <x v="0"/>
    <x v="12"/>
    <x v="12"/>
    <x v="376"/>
    <x v="0"/>
    <x v="34"/>
    <x v="0"/>
  </r>
  <r>
    <x v="34"/>
    <x v="4"/>
    <x v="4"/>
    <x v="4"/>
    <x v="0"/>
    <x v="0"/>
    <x v="4"/>
    <x v="4"/>
    <x v="377"/>
    <x v="0"/>
    <x v="34"/>
    <x v="0"/>
  </r>
  <r>
    <x v="34"/>
    <x v="0"/>
    <x v="0"/>
    <x v="0"/>
    <x v="0"/>
    <x v="0"/>
    <x v="0"/>
    <x v="0"/>
    <x v="378"/>
    <x v="0"/>
    <x v="34"/>
    <x v="0"/>
  </r>
  <r>
    <x v="34"/>
    <x v="5"/>
    <x v="0"/>
    <x v="0"/>
    <x v="0"/>
    <x v="0"/>
    <x v="5"/>
    <x v="5"/>
    <x v="379"/>
    <x v="0"/>
    <x v="34"/>
    <x v="0"/>
  </r>
  <r>
    <x v="34"/>
    <x v="13"/>
    <x v="5"/>
    <x v="5"/>
    <x v="0"/>
    <x v="0"/>
    <x v="13"/>
    <x v="13"/>
    <x v="380"/>
    <x v="0"/>
    <x v="34"/>
    <x v="0"/>
  </r>
  <r>
    <x v="34"/>
    <x v="6"/>
    <x v="5"/>
    <x v="5"/>
    <x v="0"/>
    <x v="0"/>
    <x v="6"/>
    <x v="6"/>
    <x v="381"/>
    <x v="0"/>
    <x v="34"/>
    <x v="0"/>
  </r>
  <r>
    <x v="34"/>
    <x v="14"/>
    <x v="1"/>
    <x v="1"/>
    <x v="0"/>
    <x v="0"/>
    <x v="14"/>
    <x v="14"/>
    <x v="382"/>
    <x v="0"/>
    <x v="34"/>
    <x v="0"/>
  </r>
  <r>
    <x v="34"/>
    <x v="8"/>
    <x v="1"/>
    <x v="1"/>
    <x v="0"/>
    <x v="0"/>
    <x v="8"/>
    <x v="8"/>
    <x v="383"/>
    <x v="0"/>
    <x v="34"/>
    <x v="0"/>
  </r>
  <r>
    <x v="34"/>
    <x v="1"/>
    <x v="1"/>
    <x v="1"/>
    <x v="0"/>
    <x v="0"/>
    <x v="1"/>
    <x v="1"/>
    <x v="1"/>
    <x v="82"/>
    <x v="34"/>
    <x v="0"/>
  </r>
  <r>
    <x v="34"/>
    <x v="7"/>
    <x v="2"/>
    <x v="2"/>
    <x v="0"/>
    <x v="1"/>
    <x v="7"/>
    <x v="7"/>
    <x v="384"/>
    <x v="0"/>
    <x v="34"/>
    <x v="0"/>
  </r>
  <r>
    <x v="34"/>
    <x v="2"/>
    <x v="2"/>
    <x v="2"/>
    <x v="0"/>
    <x v="1"/>
    <x v="2"/>
    <x v="2"/>
    <x v="384"/>
    <x v="0"/>
    <x v="34"/>
    <x v="0"/>
  </r>
  <r>
    <x v="34"/>
    <x v="10"/>
    <x v="3"/>
    <x v="3"/>
    <x v="0"/>
    <x v="1"/>
    <x v="10"/>
    <x v="10"/>
    <x v="385"/>
    <x v="0"/>
    <x v="34"/>
    <x v="0"/>
  </r>
  <r>
    <x v="34"/>
    <x v="12"/>
    <x v="4"/>
    <x v="4"/>
    <x v="0"/>
    <x v="1"/>
    <x v="12"/>
    <x v="12"/>
    <x v="386"/>
    <x v="0"/>
    <x v="34"/>
    <x v="0"/>
  </r>
  <r>
    <x v="34"/>
    <x v="4"/>
    <x v="4"/>
    <x v="4"/>
    <x v="0"/>
    <x v="1"/>
    <x v="4"/>
    <x v="4"/>
    <x v="385"/>
    <x v="0"/>
    <x v="34"/>
    <x v="0"/>
  </r>
  <r>
    <x v="34"/>
    <x v="0"/>
    <x v="0"/>
    <x v="0"/>
    <x v="0"/>
    <x v="1"/>
    <x v="0"/>
    <x v="0"/>
    <x v="387"/>
    <x v="0"/>
    <x v="34"/>
    <x v="0"/>
  </r>
  <r>
    <x v="34"/>
    <x v="5"/>
    <x v="0"/>
    <x v="0"/>
    <x v="0"/>
    <x v="1"/>
    <x v="5"/>
    <x v="5"/>
    <x v="388"/>
    <x v="0"/>
    <x v="34"/>
    <x v="0"/>
  </r>
  <r>
    <x v="34"/>
    <x v="6"/>
    <x v="5"/>
    <x v="5"/>
    <x v="0"/>
    <x v="1"/>
    <x v="6"/>
    <x v="6"/>
    <x v="389"/>
    <x v="0"/>
    <x v="34"/>
    <x v="0"/>
  </r>
  <r>
    <x v="34"/>
    <x v="8"/>
    <x v="1"/>
    <x v="1"/>
    <x v="0"/>
    <x v="1"/>
    <x v="8"/>
    <x v="8"/>
    <x v="390"/>
    <x v="0"/>
    <x v="34"/>
    <x v="0"/>
  </r>
  <r>
    <x v="34"/>
    <x v="1"/>
    <x v="1"/>
    <x v="1"/>
    <x v="0"/>
    <x v="1"/>
    <x v="1"/>
    <x v="1"/>
    <x v="1"/>
    <x v="83"/>
    <x v="34"/>
    <x v="0"/>
  </r>
  <r>
    <x v="35"/>
    <x v="7"/>
    <x v="2"/>
    <x v="2"/>
    <x v="0"/>
    <x v="2"/>
    <x v="7"/>
    <x v="7"/>
    <x v="391"/>
    <x v="0"/>
    <x v="35"/>
    <x v="0"/>
  </r>
  <r>
    <x v="35"/>
    <x v="9"/>
    <x v="6"/>
    <x v="6"/>
    <x v="0"/>
    <x v="2"/>
    <x v="9"/>
    <x v="9"/>
    <x v="392"/>
    <x v="0"/>
    <x v="35"/>
    <x v="0"/>
  </r>
  <r>
    <x v="35"/>
    <x v="10"/>
    <x v="3"/>
    <x v="3"/>
    <x v="0"/>
    <x v="2"/>
    <x v="10"/>
    <x v="10"/>
    <x v="393"/>
    <x v="0"/>
    <x v="35"/>
    <x v="0"/>
  </r>
  <r>
    <x v="35"/>
    <x v="3"/>
    <x v="3"/>
    <x v="3"/>
    <x v="0"/>
    <x v="2"/>
    <x v="3"/>
    <x v="3"/>
    <x v="394"/>
    <x v="0"/>
    <x v="35"/>
    <x v="0"/>
  </r>
  <r>
    <x v="35"/>
    <x v="12"/>
    <x v="4"/>
    <x v="4"/>
    <x v="0"/>
    <x v="2"/>
    <x v="12"/>
    <x v="12"/>
    <x v="395"/>
    <x v="0"/>
    <x v="35"/>
    <x v="0"/>
  </r>
  <r>
    <x v="35"/>
    <x v="13"/>
    <x v="5"/>
    <x v="5"/>
    <x v="0"/>
    <x v="2"/>
    <x v="13"/>
    <x v="13"/>
    <x v="396"/>
    <x v="0"/>
    <x v="35"/>
    <x v="0"/>
  </r>
  <r>
    <x v="35"/>
    <x v="14"/>
    <x v="1"/>
    <x v="1"/>
    <x v="0"/>
    <x v="2"/>
    <x v="14"/>
    <x v="14"/>
    <x v="397"/>
    <x v="0"/>
    <x v="35"/>
    <x v="0"/>
  </r>
  <r>
    <x v="35"/>
    <x v="1"/>
    <x v="1"/>
    <x v="1"/>
    <x v="0"/>
    <x v="2"/>
    <x v="1"/>
    <x v="1"/>
    <x v="1"/>
    <x v="84"/>
    <x v="35"/>
    <x v="0"/>
  </r>
  <r>
    <x v="35"/>
    <x v="7"/>
    <x v="2"/>
    <x v="2"/>
    <x v="0"/>
    <x v="0"/>
    <x v="7"/>
    <x v="7"/>
    <x v="398"/>
    <x v="0"/>
    <x v="35"/>
    <x v="0"/>
  </r>
  <r>
    <x v="35"/>
    <x v="2"/>
    <x v="2"/>
    <x v="2"/>
    <x v="0"/>
    <x v="0"/>
    <x v="2"/>
    <x v="2"/>
    <x v="399"/>
    <x v="0"/>
    <x v="35"/>
    <x v="0"/>
  </r>
  <r>
    <x v="35"/>
    <x v="9"/>
    <x v="6"/>
    <x v="6"/>
    <x v="0"/>
    <x v="0"/>
    <x v="9"/>
    <x v="9"/>
    <x v="400"/>
    <x v="0"/>
    <x v="35"/>
    <x v="0"/>
  </r>
  <r>
    <x v="35"/>
    <x v="11"/>
    <x v="6"/>
    <x v="6"/>
    <x v="0"/>
    <x v="0"/>
    <x v="11"/>
    <x v="11"/>
    <x v="401"/>
    <x v="0"/>
    <x v="35"/>
    <x v="0"/>
  </r>
  <r>
    <x v="35"/>
    <x v="10"/>
    <x v="3"/>
    <x v="3"/>
    <x v="0"/>
    <x v="0"/>
    <x v="10"/>
    <x v="10"/>
    <x v="402"/>
    <x v="0"/>
    <x v="35"/>
    <x v="0"/>
  </r>
  <r>
    <x v="35"/>
    <x v="3"/>
    <x v="3"/>
    <x v="3"/>
    <x v="0"/>
    <x v="0"/>
    <x v="3"/>
    <x v="3"/>
    <x v="403"/>
    <x v="0"/>
    <x v="35"/>
    <x v="0"/>
  </r>
  <r>
    <x v="35"/>
    <x v="12"/>
    <x v="4"/>
    <x v="4"/>
    <x v="0"/>
    <x v="0"/>
    <x v="12"/>
    <x v="12"/>
    <x v="404"/>
    <x v="0"/>
    <x v="35"/>
    <x v="0"/>
  </r>
  <r>
    <x v="35"/>
    <x v="4"/>
    <x v="4"/>
    <x v="4"/>
    <x v="0"/>
    <x v="0"/>
    <x v="4"/>
    <x v="4"/>
    <x v="405"/>
    <x v="0"/>
    <x v="35"/>
    <x v="0"/>
  </r>
  <r>
    <x v="35"/>
    <x v="0"/>
    <x v="0"/>
    <x v="0"/>
    <x v="0"/>
    <x v="0"/>
    <x v="0"/>
    <x v="0"/>
    <x v="406"/>
    <x v="0"/>
    <x v="35"/>
    <x v="0"/>
  </r>
  <r>
    <x v="35"/>
    <x v="5"/>
    <x v="0"/>
    <x v="0"/>
    <x v="0"/>
    <x v="0"/>
    <x v="5"/>
    <x v="5"/>
    <x v="407"/>
    <x v="0"/>
    <x v="35"/>
    <x v="0"/>
  </r>
  <r>
    <x v="35"/>
    <x v="13"/>
    <x v="5"/>
    <x v="5"/>
    <x v="0"/>
    <x v="0"/>
    <x v="13"/>
    <x v="13"/>
    <x v="408"/>
    <x v="0"/>
    <x v="35"/>
    <x v="0"/>
  </r>
  <r>
    <x v="35"/>
    <x v="6"/>
    <x v="5"/>
    <x v="5"/>
    <x v="0"/>
    <x v="0"/>
    <x v="6"/>
    <x v="6"/>
    <x v="409"/>
    <x v="0"/>
    <x v="35"/>
    <x v="0"/>
  </r>
  <r>
    <x v="35"/>
    <x v="14"/>
    <x v="1"/>
    <x v="1"/>
    <x v="0"/>
    <x v="0"/>
    <x v="14"/>
    <x v="14"/>
    <x v="410"/>
    <x v="0"/>
    <x v="35"/>
    <x v="0"/>
  </r>
  <r>
    <x v="35"/>
    <x v="8"/>
    <x v="1"/>
    <x v="1"/>
    <x v="0"/>
    <x v="0"/>
    <x v="8"/>
    <x v="8"/>
    <x v="411"/>
    <x v="0"/>
    <x v="35"/>
    <x v="0"/>
  </r>
  <r>
    <x v="35"/>
    <x v="1"/>
    <x v="1"/>
    <x v="1"/>
    <x v="0"/>
    <x v="0"/>
    <x v="1"/>
    <x v="1"/>
    <x v="1"/>
    <x v="85"/>
    <x v="35"/>
    <x v="0"/>
  </r>
  <r>
    <x v="35"/>
    <x v="7"/>
    <x v="2"/>
    <x v="2"/>
    <x v="0"/>
    <x v="1"/>
    <x v="7"/>
    <x v="7"/>
    <x v="412"/>
    <x v="0"/>
    <x v="35"/>
    <x v="0"/>
  </r>
  <r>
    <x v="35"/>
    <x v="11"/>
    <x v="6"/>
    <x v="6"/>
    <x v="0"/>
    <x v="1"/>
    <x v="11"/>
    <x v="11"/>
    <x v="413"/>
    <x v="0"/>
    <x v="35"/>
    <x v="0"/>
  </r>
  <r>
    <x v="35"/>
    <x v="10"/>
    <x v="3"/>
    <x v="3"/>
    <x v="0"/>
    <x v="1"/>
    <x v="10"/>
    <x v="10"/>
    <x v="414"/>
    <x v="0"/>
    <x v="35"/>
    <x v="0"/>
  </r>
  <r>
    <x v="35"/>
    <x v="13"/>
    <x v="5"/>
    <x v="5"/>
    <x v="0"/>
    <x v="1"/>
    <x v="13"/>
    <x v="13"/>
    <x v="415"/>
    <x v="0"/>
    <x v="35"/>
    <x v="0"/>
  </r>
  <r>
    <x v="35"/>
    <x v="6"/>
    <x v="5"/>
    <x v="5"/>
    <x v="0"/>
    <x v="1"/>
    <x v="6"/>
    <x v="6"/>
    <x v="416"/>
    <x v="0"/>
    <x v="35"/>
    <x v="0"/>
  </r>
  <r>
    <x v="35"/>
    <x v="8"/>
    <x v="1"/>
    <x v="1"/>
    <x v="0"/>
    <x v="1"/>
    <x v="8"/>
    <x v="8"/>
    <x v="417"/>
    <x v="0"/>
    <x v="35"/>
    <x v="0"/>
  </r>
  <r>
    <x v="35"/>
    <x v="1"/>
    <x v="1"/>
    <x v="1"/>
    <x v="0"/>
    <x v="1"/>
    <x v="1"/>
    <x v="1"/>
    <x v="1"/>
    <x v="86"/>
    <x v="35"/>
    <x v="0"/>
  </r>
  <r>
    <x v="36"/>
    <x v="7"/>
    <x v="2"/>
    <x v="2"/>
    <x v="0"/>
    <x v="2"/>
    <x v="7"/>
    <x v="7"/>
    <x v="418"/>
    <x v="0"/>
    <x v="36"/>
    <x v="0"/>
  </r>
  <r>
    <x v="36"/>
    <x v="5"/>
    <x v="0"/>
    <x v="0"/>
    <x v="0"/>
    <x v="2"/>
    <x v="5"/>
    <x v="5"/>
    <x v="419"/>
    <x v="0"/>
    <x v="36"/>
    <x v="0"/>
  </r>
  <r>
    <x v="36"/>
    <x v="1"/>
    <x v="1"/>
    <x v="1"/>
    <x v="0"/>
    <x v="2"/>
    <x v="1"/>
    <x v="1"/>
    <x v="1"/>
    <x v="87"/>
    <x v="36"/>
    <x v="0"/>
  </r>
  <r>
    <x v="36"/>
    <x v="7"/>
    <x v="2"/>
    <x v="2"/>
    <x v="0"/>
    <x v="0"/>
    <x v="7"/>
    <x v="7"/>
    <x v="420"/>
    <x v="0"/>
    <x v="36"/>
    <x v="0"/>
  </r>
  <r>
    <x v="36"/>
    <x v="2"/>
    <x v="2"/>
    <x v="2"/>
    <x v="0"/>
    <x v="0"/>
    <x v="2"/>
    <x v="2"/>
    <x v="421"/>
    <x v="0"/>
    <x v="36"/>
    <x v="0"/>
  </r>
  <r>
    <x v="36"/>
    <x v="9"/>
    <x v="6"/>
    <x v="6"/>
    <x v="0"/>
    <x v="0"/>
    <x v="9"/>
    <x v="9"/>
    <x v="422"/>
    <x v="0"/>
    <x v="36"/>
    <x v="0"/>
  </r>
  <r>
    <x v="36"/>
    <x v="11"/>
    <x v="6"/>
    <x v="6"/>
    <x v="0"/>
    <x v="0"/>
    <x v="11"/>
    <x v="11"/>
    <x v="423"/>
    <x v="0"/>
    <x v="36"/>
    <x v="0"/>
  </r>
  <r>
    <x v="36"/>
    <x v="21"/>
    <x v="6"/>
    <x v="6"/>
    <x v="0"/>
    <x v="0"/>
    <x v="15"/>
    <x v="21"/>
    <x v="424"/>
    <x v="0"/>
    <x v="36"/>
    <x v="0"/>
  </r>
  <r>
    <x v="36"/>
    <x v="10"/>
    <x v="3"/>
    <x v="3"/>
    <x v="0"/>
    <x v="0"/>
    <x v="10"/>
    <x v="10"/>
    <x v="425"/>
    <x v="0"/>
    <x v="36"/>
    <x v="0"/>
  </r>
  <r>
    <x v="36"/>
    <x v="3"/>
    <x v="3"/>
    <x v="3"/>
    <x v="0"/>
    <x v="0"/>
    <x v="3"/>
    <x v="3"/>
    <x v="426"/>
    <x v="0"/>
    <x v="36"/>
    <x v="0"/>
  </r>
  <r>
    <x v="36"/>
    <x v="12"/>
    <x v="4"/>
    <x v="4"/>
    <x v="0"/>
    <x v="0"/>
    <x v="12"/>
    <x v="12"/>
    <x v="427"/>
    <x v="0"/>
    <x v="36"/>
    <x v="0"/>
  </r>
  <r>
    <x v="36"/>
    <x v="4"/>
    <x v="4"/>
    <x v="4"/>
    <x v="0"/>
    <x v="0"/>
    <x v="4"/>
    <x v="4"/>
    <x v="428"/>
    <x v="0"/>
    <x v="36"/>
    <x v="0"/>
  </r>
  <r>
    <x v="36"/>
    <x v="0"/>
    <x v="0"/>
    <x v="0"/>
    <x v="0"/>
    <x v="0"/>
    <x v="0"/>
    <x v="0"/>
    <x v="429"/>
    <x v="0"/>
    <x v="36"/>
    <x v="0"/>
  </r>
  <r>
    <x v="36"/>
    <x v="5"/>
    <x v="0"/>
    <x v="0"/>
    <x v="0"/>
    <x v="0"/>
    <x v="5"/>
    <x v="5"/>
    <x v="430"/>
    <x v="0"/>
    <x v="36"/>
    <x v="0"/>
  </r>
  <r>
    <x v="36"/>
    <x v="13"/>
    <x v="5"/>
    <x v="5"/>
    <x v="0"/>
    <x v="0"/>
    <x v="13"/>
    <x v="13"/>
    <x v="431"/>
    <x v="0"/>
    <x v="36"/>
    <x v="0"/>
  </r>
  <r>
    <x v="36"/>
    <x v="6"/>
    <x v="5"/>
    <x v="5"/>
    <x v="0"/>
    <x v="0"/>
    <x v="6"/>
    <x v="6"/>
    <x v="432"/>
    <x v="0"/>
    <x v="36"/>
    <x v="0"/>
  </r>
  <r>
    <x v="36"/>
    <x v="14"/>
    <x v="1"/>
    <x v="1"/>
    <x v="0"/>
    <x v="0"/>
    <x v="14"/>
    <x v="14"/>
    <x v="433"/>
    <x v="0"/>
    <x v="36"/>
    <x v="0"/>
  </r>
  <r>
    <x v="36"/>
    <x v="8"/>
    <x v="1"/>
    <x v="1"/>
    <x v="0"/>
    <x v="0"/>
    <x v="8"/>
    <x v="8"/>
    <x v="434"/>
    <x v="0"/>
    <x v="36"/>
    <x v="0"/>
  </r>
  <r>
    <x v="36"/>
    <x v="1"/>
    <x v="1"/>
    <x v="1"/>
    <x v="0"/>
    <x v="0"/>
    <x v="1"/>
    <x v="1"/>
    <x v="1"/>
    <x v="88"/>
    <x v="36"/>
    <x v="0"/>
  </r>
  <r>
    <x v="36"/>
    <x v="7"/>
    <x v="2"/>
    <x v="2"/>
    <x v="0"/>
    <x v="1"/>
    <x v="7"/>
    <x v="7"/>
    <x v="435"/>
    <x v="0"/>
    <x v="36"/>
    <x v="0"/>
  </r>
  <r>
    <x v="36"/>
    <x v="2"/>
    <x v="2"/>
    <x v="2"/>
    <x v="0"/>
    <x v="1"/>
    <x v="2"/>
    <x v="2"/>
    <x v="436"/>
    <x v="0"/>
    <x v="36"/>
    <x v="0"/>
  </r>
  <r>
    <x v="36"/>
    <x v="9"/>
    <x v="6"/>
    <x v="6"/>
    <x v="0"/>
    <x v="1"/>
    <x v="9"/>
    <x v="9"/>
    <x v="437"/>
    <x v="0"/>
    <x v="36"/>
    <x v="0"/>
  </r>
  <r>
    <x v="36"/>
    <x v="11"/>
    <x v="6"/>
    <x v="6"/>
    <x v="0"/>
    <x v="1"/>
    <x v="11"/>
    <x v="11"/>
    <x v="438"/>
    <x v="0"/>
    <x v="36"/>
    <x v="0"/>
  </r>
  <r>
    <x v="36"/>
    <x v="3"/>
    <x v="3"/>
    <x v="3"/>
    <x v="0"/>
    <x v="1"/>
    <x v="3"/>
    <x v="3"/>
    <x v="439"/>
    <x v="0"/>
    <x v="36"/>
    <x v="0"/>
  </r>
  <r>
    <x v="36"/>
    <x v="12"/>
    <x v="4"/>
    <x v="4"/>
    <x v="0"/>
    <x v="1"/>
    <x v="12"/>
    <x v="12"/>
    <x v="440"/>
    <x v="0"/>
    <x v="36"/>
    <x v="0"/>
  </r>
  <r>
    <x v="36"/>
    <x v="4"/>
    <x v="4"/>
    <x v="4"/>
    <x v="0"/>
    <x v="1"/>
    <x v="4"/>
    <x v="4"/>
    <x v="441"/>
    <x v="0"/>
    <x v="36"/>
    <x v="0"/>
  </r>
  <r>
    <x v="36"/>
    <x v="0"/>
    <x v="0"/>
    <x v="0"/>
    <x v="0"/>
    <x v="1"/>
    <x v="0"/>
    <x v="0"/>
    <x v="442"/>
    <x v="0"/>
    <x v="36"/>
    <x v="0"/>
  </r>
  <r>
    <x v="36"/>
    <x v="13"/>
    <x v="5"/>
    <x v="5"/>
    <x v="0"/>
    <x v="1"/>
    <x v="13"/>
    <x v="13"/>
    <x v="443"/>
    <x v="0"/>
    <x v="36"/>
    <x v="0"/>
  </r>
  <r>
    <x v="36"/>
    <x v="6"/>
    <x v="5"/>
    <x v="5"/>
    <x v="0"/>
    <x v="1"/>
    <x v="6"/>
    <x v="6"/>
    <x v="444"/>
    <x v="0"/>
    <x v="36"/>
    <x v="0"/>
  </r>
  <r>
    <x v="36"/>
    <x v="14"/>
    <x v="1"/>
    <x v="1"/>
    <x v="0"/>
    <x v="1"/>
    <x v="14"/>
    <x v="14"/>
    <x v="445"/>
    <x v="0"/>
    <x v="36"/>
    <x v="0"/>
  </r>
  <r>
    <x v="36"/>
    <x v="8"/>
    <x v="1"/>
    <x v="1"/>
    <x v="0"/>
    <x v="1"/>
    <x v="8"/>
    <x v="8"/>
    <x v="446"/>
    <x v="0"/>
    <x v="36"/>
    <x v="0"/>
  </r>
  <r>
    <x v="36"/>
    <x v="1"/>
    <x v="1"/>
    <x v="1"/>
    <x v="0"/>
    <x v="1"/>
    <x v="1"/>
    <x v="1"/>
    <x v="1"/>
    <x v="89"/>
    <x v="36"/>
    <x v="0"/>
  </r>
  <r>
    <x v="37"/>
    <x v="1"/>
    <x v="1"/>
    <x v="1"/>
    <x v="0"/>
    <x v="2"/>
    <x v="1"/>
    <x v="1"/>
    <x v="1"/>
    <x v="90"/>
    <x v="37"/>
    <x v="0"/>
  </r>
  <r>
    <x v="37"/>
    <x v="1"/>
    <x v="1"/>
    <x v="1"/>
    <x v="0"/>
    <x v="0"/>
    <x v="1"/>
    <x v="1"/>
    <x v="1"/>
    <x v="91"/>
    <x v="37"/>
    <x v="0"/>
  </r>
  <r>
    <x v="38"/>
    <x v="10"/>
    <x v="3"/>
    <x v="3"/>
    <x v="0"/>
    <x v="0"/>
    <x v="10"/>
    <x v="10"/>
    <x v="447"/>
    <x v="0"/>
    <x v="38"/>
    <x v="0"/>
  </r>
  <r>
    <x v="38"/>
    <x v="3"/>
    <x v="3"/>
    <x v="3"/>
    <x v="0"/>
    <x v="0"/>
    <x v="3"/>
    <x v="3"/>
    <x v="448"/>
    <x v="0"/>
    <x v="38"/>
    <x v="0"/>
  </r>
  <r>
    <x v="38"/>
    <x v="1"/>
    <x v="1"/>
    <x v="1"/>
    <x v="0"/>
    <x v="0"/>
    <x v="1"/>
    <x v="1"/>
    <x v="1"/>
    <x v="92"/>
    <x v="38"/>
    <x v="0"/>
  </r>
  <r>
    <x v="39"/>
    <x v="7"/>
    <x v="2"/>
    <x v="2"/>
    <x v="0"/>
    <x v="0"/>
    <x v="7"/>
    <x v="7"/>
    <x v="449"/>
    <x v="0"/>
    <x v="39"/>
    <x v="0"/>
  </r>
  <r>
    <x v="39"/>
    <x v="2"/>
    <x v="2"/>
    <x v="2"/>
    <x v="0"/>
    <x v="0"/>
    <x v="2"/>
    <x v="2"/>
    <x v="450"/>
    <x v="0"/>
    <x v="39"/>
    <x v="0"/>
  </r>
  <r>
    <x v="39"/>
    <x v="9"/>
    <x v="6"/>
    <x v="6"/>
    <x v="0"/>
    <x v="0"/>
    <x v="9"/>
    <x v="9"/>
    <x v="451"/>
    <x v="0"/>
    <x v="39"/>
    <x v="0"/>
  </r>
  <r>
    <x v="39"/>
    <x v="11"/>
    <x v="6"/>
    <x v="6"/>
    <x v="0"/>
    <x v="0"/>
    <x v="11"/>
    <x v="11"/>
    <x v="452"/>
    <x v="0"/>
    <x v="39"/>
    <x v="0"/>
  </r>
  <r>
    <x v="39"/>
    <x v="10"/>
    <x v="3"/>
    <x v="3"/>
    <x v="0"/>
    <x v="0"/>
    <x v="10"/>
    <x v="10"/>
    <x v="453"/>
    <x v="0"/>
    <x v="39"/>
    <x v="0"/>
  </r>
  <r>
    <x v="39"/>
    <x v="3"/>
    <x v="3"/>
    <x v="3"/>
    <x v="0"/>
    <x v="0"/>
    <x v="3"/>
    <x v="3"/>
    <x v="454"/>
    <x v="0"/>
    <x v="39"/>
    <x v="0"/>
  </r>
  <r>
    <x v="39"/>
    <x v="12"/>
    <x v="4"/>
    <x v="4"/>
    <x v="0"/>
    <x v="0"/>
    <x v="12"/>
    <x v="12"/>
    <x v="455"/>
    <x v="0"/>
    <x v="39"/>
    <x v="0"/>
  </r>
  <r>
    <x v="39"/>
    <x v="4"/>
    <x v="4"/>
    <x v="4"/>
    <x v="0"/>
    <x v="0"/>
    <x v="4"/>
    <x v="4"/>
    <x v="456"/>
    <x v="0"/>
    <x v="39"/>
    <x v="0"/>
  </r>
  <r>
    <x v="39"/>
    <x v="0"/>
    <x v="0"/>
    <x v="0"/>
    <x v="0"/>
    <x v="0"/>
    <x v="0"/>
    <x v="0"/>
    <x v="457"/>
    <x v="0"/>
    <x v="39"/>
    <x v="0"/>
  </r>
  <r>
    <x v="39"/>
    <x v="5"/>
    <x v="0"/>
    <x v="0"/>
    <x v="0"/>
    <x v="0"/>
    <x v="5"/>
    <x v="5"/>
    <x v="458"/>
    <x v="0"/>
    <x v="39"/>
    <x v="0"/>
  </r>
  <r>
    <x v="39"/>
    <x v="13"/>
    <x v="5"/>
    <x v="5"/>
    <x v="0"/>
    <x v="0"/>
    <x v="13"/>
    <x v="13"/>
    <x v="459"/>
    <x v="0"/>
    <x v="39"/>
    <x v="0"/>
  </r>
  <r>
    <x v="39"/>
    <x v="6"/>
    <x v="5"/>
    <x v="5"/>
    <x v="0"/>
    <x v="0"/>
    <x v="6"/>
    <x v="6"/>
    <x v="460"/>
    <x v="0"/>
    <x v="39"/>
    <x v="0"/>
  </r>
  <r>
    <x v="39"/>
    <x v="14"/>
    <x v="1"/>
    <x v="1"/>
    <x v="0"/>
    <x v="0"/>
    <x v="14"/>
    <x v="14"/>
    <x v="461"/>
    <x v="0"/>
    <x v="39"/>
    <x v="0"/>
  </r>
  <r>
    <x v="39"/>
    <x v="8"/>
    <x v="1"/>
    <x v="1"/>
    <x v="0"/>
    <x v="0"/>
    <x v="8"/>
    <x v="8"/>
    <x v="462"/>
    <x v="0"/>
    <x v="39"/>
    <x v="0"/>
  </r>
  <r>
    <x v="39"/>
    <x v="1"/>
    <x v="1"/>
    <x v="1"/>
    <x v="0"/>
    <x v="0"/>
    <x v="1"/>
    <x v="1"/>
    <x v="1"/>
    <x v="93"/>
    <x v="39"/>
    <x v="0"/>
  </r>
  <r>
    <x v="39"/>
    <x v="7"/>
    <x v="2"/>
    <x v="2"/>
    <x v="0"/>
    <x v="1"/>
    <x v="7"/>
    <x v="7"/>
    <x v="463"/>
    <x v="0"/>
    <x v="39"/>
    <x v="0"/>
  </r>
  <r>
    <x v="39"/>
    <x v="10"/>
    <x v="3"/>
    <x v="3"/>
    <x v="0"/>
    <x v="1"/>
    <x v="10"/>
    <x v="10"/>
    <x v="464"/>
    <x v="0"/>
    <x v="39"/>
    <x v="0"/>
  </r>
  <r>
    <x v="39"/>
    <x v="1"/>
    <x v="1"/>
    <x v="1"/>
    <x v="0"/>
    <x v="1"/>
    <x v="1"/>
    <x v="1"/>
    <x v="1"/>
    <x v="94"/>
    <x v="39"/>
    <x v="0"/>
  </r>
  <r>
    <x v="40"/>
    <x v="7"/>
    <x v="2"/>
    <x v="2"/>
    <x v="0"/>
    <x v="2"/>
    <x v="7"/>
    <x v="7"/>
    <x v="465"/>
    <x v="0"/>
    <x v="40"/>
    <x v="0"/>
  </r>
  <r>
    <x v="40"/>
    <x v="10"/>
    <x v="3"/>
    <x v="3"/>
    <x v="0"/>
    <x v="2"/>
    <x v="10"/>
    <x v="10"/>
    <x v="466"/>
    <x v="0"/>
    <x v="40"/>
    <x v="0"/>
  </r>
  <r>
    <x v="40"/>
    <x v="1"/>
    <x v="1"/>
    <x v="1"/>
    <x v="0"/>
    <x v="2"/>
    <x v="1"/>
    <x v="1"/>
    <x v="1"/>
    <x v="95"/>
    <x v="40"/>
    <x v="0"/>
  </r>
  <r>
    <x v="40"/>
    <x v="7"/>
    <x v="2"/>
    <x v="2"/>
    <x v="0"/>
    <x v="0"/>
    <x v="7"/>
    <x v="7"/>
    <x v="467"/>
    <x v="0"/>
    <x v="40"/>
    <x v="0"/>
  </r>
  <r>
    <x v="40"/>
    <x v="2"/>
    <x v="2"/>
    <x v="2"/>
    <x v="0"/>
    <x v="0"/>
    <x v="2"/>
    <x v="2"/>
    <x v="468"/>
    <x v="0"/>
    <x v="40"/>
    <x v="0"/>
  </r>
  <r>
    <x v="40"/>
    <x v="9"/>
    <x v="6"/>
    <x v="6"/>
    <x v="0"/>
    <x v="0"/>
    <x v="9"/>
    <x v="9"/>
    <x v="469"/>
    <x v="0"/>
    <x v="40"/>
    <x v="0"/>
  </r>
  <r>
    <x v="40"/>
    <x v="11"/>
    <x v="6"/>
    <x v="6"/>
    <x v="0"/>
    <x v="0"/>
    <x v="11"/>
    <x v="11"/>
    <x v="470"/>
    <x v="0"/>
    <x v="40"/>
    <x v="0"/>
  </r>
  <r>
    <x v="40"/>
    <x v="10"/>
    <x v="3"/>
    <x v="3"/>
    <x v="0"/>
    <x v="0"/>
    <x v="10"/>
    <x v="10"/>
    <x v="471"/>
    <x v="0"/>
    <x v="40"/>
    <x v="0"/>
  </r>
  <r>
    <x v="40"/>
    <x v="3"/>
    <x v="3"/>
    <x v="3"/>
    <x v="0"/>
    <x v="0"/>
    <x v="3"/>
    <x v="3"/>
    <x v="472"/>
    <x v="0"/>
    <x v="40"/>
    <x v="0"/>
  </r>
  <r>
    <x v="40"/>
    <x v="12"/>
    <x v="4"/>
    <x v="4"/>
    <x v="0"/>
    <x v="0"/>
    <x v="12"/>
    <x v="12"/>
    <x v="473"/>
    <x v="0"/>
    <x v="40"/>
    <x v="0"/>
  </r>
  <r>
    <x v="40"/>
    <x v="4"/>
    <x v="4"/>
    <x v="4"/>
    <x v="0"/>
    <x v="0"/>
    <x v="4"/>
    <x v="4"/>
    <x v="474"/>
    <x v="0"/>
    <x v="40"/>
    <x v="0"/>
  </r>
  <r>
    <x v="40"/>
    <x v="0"/>
    <x v="0"/>
    <x v="0"/>
    <x v="0"/>
    <x v="0"/>
    <x v="0"/>
    <x v="0"/>
    <x v="475"/>
    <x v="0"/>
    <x v="40"/>
    <x v="0"/>
  </r>
  <r>
    <x v="40"/>
    <x v="5"/>
    <x v="0"/>
    <x v="0"/>
    <x v="0"/>
    <x v="0"/>
    <x v="5"/>
    <x v="5"/>
    <x v="476"/>
    <x v="0"/>
    <x v="40"/>
    <x v="0"/>
  </r>
  <r>
    <x v="40"/>
    <x v="13"/>
    <x v="5"/>
    <x v="5"/>
    <x v="0"/>
    <x v="0"/>
    <x v="13"/>
    <x v="13"/>
    <x v="477"/>
    <x v="0"/>
    <x v="40"/>
    <x v="0"/>
  </r>
  <r>
    <x v="40"/>
    <x v="6"/>
    <x v="5"/>
    <x v="5"/>
    <x v="0"/>
    <x v="0"/>
    <x v="6"/>
    <x v="6"/>
    <x v="478"/>
    <x v="0"/>
    <x v="40"/>
    <x v="0"/>
  </r>
  <r>
    <x v="40"/>
    <x v="14"/>
    <x v="1"/>
    <x v="1"/>
    <x v="0"/>
    <x v="0"/>
    <x v="14"/>
    <x v="14"/>
    <x v="479"/>
    <x v="0"/>
    <x v="40"/>
    <x v="0"/>
  </r>
  <r>
    <x v="40"/>
    <x v="8"/>
    <x v="1"/>
    <x v="1"/>
    <x v="0"/>
    <x v="0"/>
    <x v="8"/>
    <x v="8"/>
    <x v="480"/>
    <x v="0"/>
    <x v="40"/>
    <x v="0"/>
  </r>
  <r>
    <x v="40"/>
    <x v="1"/>
    <x v="1"/>
    <x v="1"/>
    <x v="0"/>
    <x v="0"/>
    <x v="1"/>
    <x v="1"/>
    <x v="1"/>
    <x v="96"/>
    <x v="40"/>
    <x v="0"/>
  </r>
  <r>
    <x v="40"/>
    <x v="7"/>
    <x v="2"/>
    <x v="2"/>
    <x v="0"/>
    <x v="1"/>
    <x v="7"/>
    <x v="7"/>
    <x v="481"/>
    <x v="0"/>
    <x v="40"/>
    <x v="0"/>
  </r>
  <r>
    <x v="40"/>
    <x v="9"/>
    <x v="6"/>
    <x v="6"/>
    <x v="0"/>
    <x v="1"/>
    <x v="9"/>
    <x v="9"/>
    <x v="482"/>
    <x v="0"/>
    <x v="40"/>
    <x v="0"/>
  </r>
  <r>
    <x v="40"/>
    <x v="11"/>
    <x v="6"/>
    <x v="6"/>
    <x v="0"/>
    <x v="1"/>
    <x v="11"/>
    <x v="11"/>
    <x v="483"/>
    <x v="0"/>
    <x v="40"/>
    <x v="0"/>
  </r>
  <r>
    <x v="40"/>
    <x v="10"/>
    <x v="3"/>
    <x v="3"/>
    <x v="0"/>
    <x v="1"/>
    <x v="10"/>
    <x v="10"/>
    <x v="484"/>
    <x v="0"/>
    <x v="40"/>
    <x v="0"/>
  </r>
  <r>
    <x v="40"/>
    <x v="12"/>
    <x v="4"/>
    <x v="4"/>
    <x v="0"/>
    <x v="1"/>
    <x v="12"/>
    <x v="12"/>
    <x v="485"/>
    <x v="0"/>
    <x v="40"/>
    <x v="0"/>
  </r>
  <r>
    <x v="40"/>
    <x v="0"/>
    <x v="0"/>
    <x v="0"/>
    <x v="0"/>
    <x v="1"/>
    <x v="0"/>
    <x v="0"/>
    <x v="486"/>
    <x v="0"/>
    <x v="40"/>
    <x v="0"/>
  </r>
  <r>
    <x v="40"/>
    <x v="6"/>
    <x v="5"/>
    <x v="5"/>
    <x v="0"/>
    <x v="1"/>
    <x v="6"/>
    <x v="6"/>
    <x v="487"/>
    <x v="0"/>
    <x v="40"/>
    <x v="0"/>
  </r>
  <r>
    <x v="40"/>
    <x v="8"/>
    <x v="1"/>
    <x v="1"/>
    <x v="0"/>
    <x v="1"/>
    <x v="8"/>
    <x v="8"/>
    <x v="488"/>
    <x v="0"/>
    <x v="40"/>
    <x v="0"/>
  </r>
  <r>
    <x v="40"/>
    <x v="1"/>
    <x v="1"/>
    <x v="1"/>
    <x v="0"/>
    <x v="1"/>
    <x v="1"/>
    <x v="1"/>
    <x v="1"/>
    <x v="97"/>
    <x v="40"/>
    <x v="0"/>
  </r>
  <r>
    <x v="41"/>
    <x v="1"/>
    <x v="1"/>
    <x v="1"/>
    <x v="0"/>
    <x v="0"/>
    <x v="1"/>
    <x v="1"/>
    <x v="1"/>
    <x v="98"/>
    <x v="41"/>
    <x v="0"/>
  </r>
  <r>
    <x v="42"/>
    <x v="11"/>
    <x v="6"/>
    <x v="6"/>
    <x v="0"/>
    <x v="0"/>
    <x v="11"/>
    <x v="11"/>
    <x v="252"/>
    <x v="0"/>
    <x v="42"/>
    <x v="0"/>
  </r>
  <r>
    <x v="42"/>
    <x v="10"/>
    <x v="3"/>
    <x v="3"/>
    <x v="0"/>
    <x v="0"/>
    <x v="10"/>
    <x v="10"/>
    <x v="489"/>
    <x v="0"/>
    <x v="42"/>
    <x v="0"/>
  </r>
  <r>
    <x v="42"/>
    <x v="3"/>
    <x v="3"/>
    <x v="3"/>
    <x v="0"/>
    <x v="0"/>
    <x v="3"/>
    <x v="3"/>
    <x v="490"/>
    <x v="0"/>
    <x v="42"/>
    <x v="0"/>
  </r>
  <r>
    <x v="42"/>
    <x v="12"/>
    <x v="4"/>
    <x v="4"/>
    <x v="0"/>
    <x v="0"/>
    <x v="12"/>
    <x v="12"/>
    <x v="491"/>
    <x v="0"/>
    <x v="42"/>
    <x v="0"/>
  </r>
  <r>
    <x v="42"/>
    <x v="4"/>
    <x v="4"/>
    <x v="4"/>
    <x v="0"/>
    <x v="0"/>
    <x v="4"/>
    <x v="4"/>
    <x v="492"/>
    <x v="0"/>
    <x v="42"/>
    <x v="0"/>
  </r>
  <r>
    <x v="42"/>
    <x v="1"/>
    <x v="1"/>
    <x v="1"/>
    <x v="0"/>
    <x v="0"/>
    <x v="1"/>
    <x v="1"/>
    <x v="1"/>
    <x v="99"/>
    <x v="42"/>
    <x v="0"/>
  </r>
  <r>
    <x v="43"/>
    <x v="4"/>
    <x v="4"/>
    <x v="4"/>
    <x v="0"/>
    <x v="0"/>
    <x v="4"/>
    <x v="4"/>
    <x v="493"/>
    <x v="0"/>
    <x v="43"/>
    <x v="0"/>
  </r>
  <r>
    <x v="43"/>
    <x v="8"/>
    <x v="1"/>
    <x v="1"/>
    <x v="0"/>
    <x v="0"/>
    <x v="8"/>
    <x v="8"/>
    <x v="494"/>
    <x v="0"/>
    <x v="43"/>
    <x v="0"/>
  </r>
  <r>
    <x v="43"/>
    <x v="1"/>
    <x v="1"/>
    <x v="1"/>
    <x v="0"/>
    <x v="0"/>
    <x v="1"/>
    <x v="1"/>
    <x v="1"/>
    <x v="100"/>
    <x v="43"/>
    <x v="0"/>
  </r>
  <r>
    <x v="44"/>
    <x v="12"/>
    <x v="4"/>
    <x v="4"/>
    <x v="0"/>
    <x v="0"/>
    <x v="12"/>
    <x v="12"/>
    <x v="495"/>
    <x v="0"/>
    <x v="44"/>
    <x v="0"/>
  </r>
  <r>
    <x v="44"/>
    <x v="1"/>
    <x v="1"/>
    <x v="1"/>
    <x v="0"/>
    <x v="0"/>
    <x v="1"/>
    <x v="1"/>
    <x v="1"/>
    <x v="101"/>
    <x v="44"/>
    <x v="0"/>
  </r>
  <r>
    <x v="44"/>
    <x v="10"/>
    <x v="3"/>
    <x v="3"/>
    <x v="0"/>
    <x v="1"/>
    <x v="10"/>
    <x v="10"/>
    <x v="448"/>
    <x v="0"/>
    <x v="44"/>
    <x v="0"/>
  </r>
  <r>
    <x v="44"/>
    <x v="13"/>
    <x v="5"/>
    <x v="5"/>
    <x v="0"/>
    <x v="1"/>
    <x v="13"/>
    <x v="13"/>
    <x v="496"/>
    <x v="0"/>
    <x v="44"/>
    <x v="0"/>
  </r>
  <r>
    <x v="44"/>
    <x v="1"/>
    <x v="1"/>
    <x v="1"/>
    <x v="0"/>
    <x v="1"/>
    <x v="1"/>
    <x v="1"/>
    <x v="1"/>
    <x v="102"/>
    <x v="44"/>
    <x v="0"/>
  </r>
  <r>
    <x v="45"/>
    <x v="3"/>
    <x v="3"/>
    <x v="3"/>
    <x v="0"/>
    <x v="0"/>
    <x v="3"/>
    <x v="3"/>
    <x v="497"/>
    <x v="0"/>
    <x v="45"/>
    <x v="0"/>
  </r>
  <r>
    <x v="45"/>
    <x v="1"/>
    <x v="1"/>
    <x v="1"/>
    <x v="0"/>
    <x v="0"/>
    <x v="1"/>
    <x v="1"/>
    <x v="1"/>
    <x v="103"/>
    <x v="45"/>
    <x v="0"/>
  </r>
  <r>
    <x v="46"/>
    <x v="4"/>
    <x v="4"/>
    <x v="4"/>
    <x v="0"/>
    <x v="2"/>
    <x v="4"/>
    <x v="4"/>
    <x v="498"/>
    <x v="0"/>
    <x v="46"/>
    <x v="0"/>
  </r>
  <r>
    <x v="46"/>
    <x v="5"/>
    <x v="0"/>
    <x v="0"/>
    <x v="0"/>
    <x v="2"/>
    <x v="5"/>
    <x v="5"/>
    <x v="499"/>
    <x v="0"/>
    <x v="46"/>
    <x v="0"/>
  </r>
  <r>
    <x v="46"/>
    <x v="1"/>
    <x v="1"/>
    <x v="1"/>
    <x v="0"/>
    <x v="2"/>
    <x v="1"/>
    <x v="1"/>
    <x v="1"/>
    <x v="104"/>
    <x v="46"/>
    <x v="0"/>
  </r>
  <r>
    <x v="46"/>
    <x v="1"/>
    <x v="1"/>
    <x v="1"/>
    <x v="0"/>
    <x v="0"/>
    <x v="1"/>
    <x v="1"/>
    <x v="1"/>
    <x v="105"/>
    <x v="46"/>
    <x v="0"/>
  </r>
  <r>
    <x v="46"/>
    <x v="3"/>
    <x v="3"/>
    <x v="3"/>
    <x v="0"/>
    <x v="1"/>
    <x v="3"/>
    <x v="3"/>
    <x v="500"/>
    <x v="0"/>
    <x v="46"/>
    <x v="0"/>
  </r>
  <r>
    <x v="46"/>
    <x v="12"/>
    <x v="4"/>
    <x v="4"/>
    <x v="0"/>
    <x v="1"/>
    <x v="12"/>
    <x v="12"/>
    <x v="501"/>
    <x v="0"/>
    <x v="46"/>
    <x v="0"/>
  </r>
  <r>
    <x v="46"/>
    <x v="4"/>
    <x v="4"/>
    <x v="4"/>
    <x v="0"/>
    <x v="1"/>
    <x v="4"/>
    <x v="4"/>
    <x v="502"/>
    <x v="0"/>
    <x v="46"/>
    <x v="0"/>
  </r>
  <r>
    <x v="46"/>
    <x v="14"/>
    <x v="1"/>
    <x v="1"/>
    <x v="0"/>
    <x v="1"/>
    <x v="14"/>
    <x v="14"/>
    <x v="240"/>
    <x v="0"/>
    <x v="46"/>
    <x v="0"/>
  </r>
  <r>
    <x v="46"/>
    <x v="1"/>
    <x v="1"/>
    <x v="1"/>
    <x v="0"/>
    <x v="1"/>
    <x v="1"/>
    <x v="1"/>
    <x v="1"/>
    <x v="106"/>
    <x v="46"/>
    <x v="0"/>
  </r>
  <r>
    <x v="47"/>
    <x v="7"/>
    <x v="2"/>
    <x v="2"/>
    <x v="0"/>
    <x v="2"/>
    <x v="7"/>
    <x v="7"/>
    <x v="503"/>
    <x v="0"/>
    <x v="47"/>
    <x v="0"/>
  </r>
  <r>
    <x v="47"/>
    <x v="11"/>
    <x v="6"/>
    <x v="6"/>
    <x v="0"/>
    <x v="2"/>
    <x v="11"/>
    <x v="11"/>
    <x v="504"/>
    <x v="0"/>
    <x v="47"/>
    <x v="0"/>
  </r>
  <r>
    <x v="47"/>
    <x v="10"/>
    <x v="3"/>
    <x v="3"/>
    <x v="0"/>
    <x v="2"/>
    <x v="10"/>
    <x v="10"/>
    <x v="505"/>
    <x v="0"/>
    <x v="47"/>
    <x v="0"/>
  </r>
  <r>
    <x v="47"/>
    <x v="12"/>
    <x v="4"/>
    <x v="4"/>
    <x v="0"/>
    <x v="2"/>
    <x v="12"/>
    <x v="12"/>
    <x v="506"/>
    <x v="0"/>
    <x v="47"/>
    <x v="0"/>
  </r>
  <r>
    <x v="47"/>
    <x v="4"/>
    <x v="4"/>
    <x v="4"/>
    <x v="0"/>
    <x v="2"/>
    <x v="4"/>
    <x v="4"/>
    <x v="507"/>
    <x v="0"/>
    <x v="47"/>
    <x v="0"/>
  </r>
  <r>
    <x v="47"/>
    <x v="5"/>
    <x v="0"/>
    <x v="0"/>
    <x v="0"/>
    <x v="2"/>
    <x v="5"/>
    <x v="5"/>
    <x v="508"/>
    <x v="0"/>
    <x v="47"/>
    <x v="0"/>
  </r>
  <r>
    <x v="47"/>
    <x v="13"/>
    <x v="5"/>
    <x v="5"/>
    <x v="0"/>
    <x v="2"/>
    <x v="13"/>
    <x v="13"/>
    <x v="509"/>
    <x v="0"/>
    <x v="47"/>
    <x v="0"/>
  </r>
  <r>
    <x v="47"/>
    <x v="1"/>
    <x v="1"/>
    <x v="1"/>
    <x v="0"/>
    <x v="2"/>
    <x v="1"/>
    <x v="1"/>
    <x v="1"/>
    <x v="107"/>
    <x v="47"/>
    <x v="0"/>
  </r>
  <r>
    <x v="47"/>
    <x v="7"/>
    <x v="2"/>
    <x v="2"/>
    <x v="0"/>
    <x v="0"/>
    <x v="7"/>
    <x v="7"/>
    <x v="510"/>
    <x v="0"/>
    <x v="47"/>
    <x v="0"/>
  </r>
  <r>
    <x v="47"/>
    <x v="2"/>
    <x v="2"/>
    <x v="2"/>
    <x v="0"/>
    <x v="0"/>
    <x v="2"/>
    <x v="2"/>
    <x v="511"/>
    <x v="0"/>
    <x v="47"/>
    <x v="0"/>
  </r>
  <r>
    <x v="47"/>
    <x v="9"/>
    <x v="6"/>
    <x v="6"/>
    <x v="0"/>
    <x v="0"/>
    <x v="9"/>
    <x v="9"/>
    <x v="512"/>
    <x v="0"/>
    <x v="47"/>
    <x v="0"/>
  </r>
  <r>
    <x v="47"/>
    <x v="11"/>
    <x v="6"/>
    <x v="6"/>
    <x v="0"/>
    <x v="0"/>
    <x v="11"/>
    <x v="11"/>
    <x v="513"/>
    <x v="0"/>
    <x v="47"/>
    <x v="0"/>
  </r>
  <r>
    <x v="47"/>
    <x v="10"/>
    <x v="3"/>
    <x v="3"/>
    <x v="0"/>
    <x v="0"/>
    <x v="10"/>
    <x v="10"/>
    <x v="514"/>
    <x v="0"/>
    <x v="47"/>
    <x v="0"/>
  </r>
  <r>
    <x v="47"/>
    <x v="3"/>
    <x v="3"/>
    <x v="3"/>
    <x v="0"/>
    <x v="0"/>
    <x v="3"/>
    <x v="3"/>
    <x v="515"/>
    <x v="0"/>
    <x v="47"/>
    <x v="0"/>
  </r>
  <r>
    <x v="47"/>
    <x v="12"/>
    <x v="4"/>
    <x v="4"/>
    <x v="0"/>
    <x v="0"/>
    <x v="12"/>
    <x v="12"/>
    <x v="516"/>
    <x v="0"/>
    <x v="47"/>
    <x v="0"/>
  </r>
  <r>
    <x v="47"/>
    <x v="4"/>
    <x v="4"/>
    <x v="4"/>
    <x v="0"/>
    <x v="0"/>
    <x v="4"/>
    <x v="4"/>
    <x v="517"/>
    <x v="0"/>
    <x v="47"/>
    <x v="0"/>
  </r>
  <r>
    <x v="47"/>
    <x v="0"/>
    <x v="0"/>
    <x v="0"/>
    <x v="0"/>
    <x v="0"/>
    <x v="0"/>
    <x v="0"/>
    <x v="518"/>
    <x v="0"/>
    <x v="47"/>
    <x v="0"/>
  </r>
  <r>
    <x v="47"/>
    <x v="5"/>
    <x v="0"/>
    <x v="0"/>
    <x v="0"/>
    <x v="0"/>
    <x v="5"/>
    <x v="5"/>
    <x v="519"/>
    <x v="0"/>
    <x v="47"/>
    <x v="0"/>
  </r>
  <r>
    <x v="47"/>
    <x v="13"/>
    <x v="5"/>
    <x v="5"/>
    <x v="0"/>
    <x v="0"/>
    <x v="13"/>
    <x v="13"/>
    <x v="520"/>
    <x v="0"/>
    <x v="47"/>
    <x v="0"/>
  </r>
  <r>
    <x v="47"/>
    <x v="6"/>
    <x v="5"/>
    <x v="5"/>
    <x v="0"/>
    <x v="0"/>
    <x v="6"/>
    <x v="6"/>
    <x v="521"/>
    <x v="0"/>
    <x v="47"/>
    <x v="0"/>
  </r>
  <r>
    <x v="47"/>
    <x v="14"/>
    <x v="1"/>
    <x v="1"/>
    <x v="0"/>
    <x v="0"/>
    <x v="14"/>
    <x v="14"/>
    <x v="522"/>
    <x v="0"/>
    <x v="47"/>
    <x v="0"/>
  </r>
  <r>
    <x v="47"/>
    <x v="8"/>
    <x v="1"/>
    <x v="1"/>
    <x v="0"/>
    <x v="0"/>
    <x v="8"/>
    <x v="8"/>
    <x v="523"/>
    <x v="0"/>
    <x v="47"/>
    <x v="0"/>
  </r>
  <r>
    <x v="47"/>
    <x v="1"/>
    <x v="1"/>
    <x v="1"/>
    <x v="0"/>
    <x v="0"/>
    <x v="1"/>
    <x v="1"/>
    <x v="1"/>
    <x v="108"/>
    <x v="47"/>
    <x v="0"/>
  </r>
  <r>
    <x v="47"/>
    <x v="7"/>
    <x v="2"/>
    <x v="2"/>
    <x v="0"/>
    <x v="1"/>
    <x v="7"/>
    <x v="7"/>
    <x v="524"/>
    <x v="0"/>
    <x v="47"/>
    <x v="0"/>
  </r>
  <r>
    <x v="47"/>
    <x v="2"/>
    <x v="2"/>
    <x v="2"/>
    <x v="0"/>
    <x v="1"/>
    <x v="2"/>
    <x v="2"/>
    <x v="525"/>
    <x v="0"/>
    <x v="47"/>
    <x v="0"/>
  </r>
  <r>
    <x v="47"/>
    <x v="9"/>
    <x v="6"/>
    <x v="6"/>
    <x v="0"/>
    <x v="1"/>
    <x v="9"/>
    <x v="9"/>
    <x v="526"/>
    <x v="0"/>
    <x v="47"/>
    <x v="0"/>
  </r>
  <r>
    <x v="47"/>
    <x v="10"/>
    <x v="3"/>
    <x v="3"/>
    <x v="0"/>
    <x v="1"/>
    <x v="10"/>
    <x v="10"/>
    <x v="527"/>
    <x v="0"/>
    <x v="47"/>
    <x v="0"/>
  </r>
  <r>
    <x v="47"/>
    <x v="4"/>
    <x v="4"/>
    <x v="4"/>
    <x v="0"/>
    <x v="1"/>
    <x v="4"/>
    <x v="4"/>
    <x v="528"/>
    <x v="0"/>
    <x v="47"/>
    <x v="0"/>
  </r>
  <r>
    <x v="47"/>
    <x v="0"/>
    <x v="0"/>
    <x v="0"/>
    <x v="0"/>
    <x v="1"/>
    <x v="0"/>
    <x v="0"/>
    <x v="249"/>
    <x v="0"/>
    <x v="47"/>
    <x v="0"/>
  </r>
  <r>
    <x v="47"/>
    <x v="13"/>
    <x v="5"/>
    <x v="5"/>
    <x v="0"/>
    <x v="1"/>
    <x v="13"/>
    <x v="13"/>
    <x v="529"/>
    <x v="0"/>
    <x v="47"/>
    <x v="0"/>
  </r>
  <r>
    <x v="47"/>
    <x v="6"/>
    <x v="5"/>
    <x v="5"/>
    <x v="0"/>
    <x v="1"/>
    <x v="6"/>
    <x v="6"/>
    <x v="530"/>
    <x v="0"/>
    <x v="47"/>
    <x v="0"/>
  </r>
  <r>
    <x v="47"/>
    <x v="1"/>
    <x v="1"/>
    <x v="1"/>
    <x v="0"/>
    <x v="1"/>
    <x v="1"/>
    <x v="1"/>
    <x v="1"/>
    <x v="109"/>
    <x v="47"/>
    <x v="0"/>
  </r>
  <r>
    <x v="48"/>
    <x v="10"/>
    <x v="3"/>
    <x v="3"/>
    <x v="0"/>
    <x v="2"/>
    <x v="10"/>
    <x v="10"/>
    <x v="531"/>
    <x v="0"/>
    <x v="48"/>
    <x v="0"/>
  </r>
  <r>
    <x v="48"/>
    <x v="1"/>
    <x v="1"/>
    <x v="1"/>
    <x v="0"/>
    <x v="2"/>
    <x v="1"/>
    <x v="1"/>
    <x v="1"/>
    <x v="110"/>
    <x v="48"/>
    <x v="0"/>
  </r>
  <r>
    <x v="48"/>
    <x v="1"/>
    <x v="1"/>
    <x v="1"/>
    <x v="0"/>
    <x v="0"/>
    <x v="1"/>
    <x v="1"/>
    <x v="1"/>
    <x v="111"/>
    <x v="48"/>
    <x v="0"/>
  </r>
  <r>
    <x v="48"/>
    <x v="1"/>
    <x v="1"/>
    <x v="1"/>
    <x v="0"/>
    <x v="1"/>
    <x v="1"/>
    <x v="1"/>
    <x v="1"/>
    <x v="112"/>
    <x v="48"/>
    <x v="0"/>
  </r>
  <r>
    <x v="49"/>
    <x v="14"/>
    <x v="1"/>
    <x v="1"/>
    <x v="0"/>
    <x v="1"/>
    <x v="14"/>
    <x v="14"/>
    <x v="532"/>
    <x v="0"/>
    <x v="49"/>
    <x v="0"/>
  </r>
  <r>
    <x v="49"/>
    <x v="1"/>
    <x v="1"/>
    <x v="1"/>
    <x v="0"/>
    <x v="1"/>
    <x v="1"/>
    <x v="1"/>
    <x v="1"/>
    <x v="113"/>
    <x v="49"/>
    <x v="0"/>
  </r>
  <r>
    <x v="50"/>
    <x v="2"/>
    <x v="2"/>
    <x v="2"/>
    <x v="0"/>
    <x v="2"/>
    <x v="2"/>
    <x v="2"/>
    <x v="444"/>
    <x v="0"/>
    <x v="50"/>
    <x v="0"/>
  </r>
  <r>
    <x v="50"/>
    <x v="1"/>
    <x v="1"/>
    <x v="1"/>
    <x v="0"/>
    <x v="2"/>
    <x v="1"/>
    <x v="1"/>
    <x v="1"/>
    <x v="114"/>
    <x v="50"/>
    <x v="0"/>
  </r>
  <r>
    <x v="50"/>
    <x v="10"/>
    <x v="3"/>
    <x v="3"/>
    <x v="0"/>
    <x v="0"/>
    <x v="10"/>
    <x v="10"/>
    <x v="533"/>
    <x v="0"/>
    <x v="50"/>
    <x v="0"/>
  </r>
  <r>
    <x v="50"/>
    <x v="3"/>
    <x v="3"/>
    <x v="3"/>
    <x v="0"/>
    <x v="0"/>
    <x v="3"/>
    <x v="3"/>
    <x v="534"/>
    <x v="0"/>
    <x v="50"/>
    <x v="0"/>
  </r>
  <r>
    <x v="50"/>
    <x v="1"/>
    <x v="1"/>
    <x v="1"/>
    <x v="0"/>
    <x v="0"/>
    <x v="1"/>
    <x v="1"/>
    <x v="1"/>
    <x v="115"/>
    <x v="50"/>
    <x v="0"/>
  </r>
  <r>
    <x v="51"/>
    <x v="1"/>
    <x v="1"/>
    <x v="1"/>
    <x v="0"/>
    <x v="2"/>
    <x v="1"/>
    <x v="1"/>
    <x v="1"/>
    <x v="116"/>
    <x v="51"/>
    <x v="0"/>
  </r>
  <r>
    <x v="51"/>
    <x v="6"/>
    <x v="5"/>
    <x v="5"/>
    <x v="0"/>
    <x v="0"/>
    <x v="6"/>
    <x v="6"/>
    <x v="535"/>
    <x v="0"/>
    <x v="51"/>
    <x v="0"/>
  </r>
  <r>
    <x v="51"/>
    <x v="1"/>
    <x v="1"/>
    <x v="1"/>
    <x v="0"/>
    <x v="0"/>
    <x v="1"/>
    <x v="1"/>
    <x v="1"/>
    <x v="117"/>
    <x v="51"/>
    <x v="0"/>
  </r>
  <r>
    <x v="52"/>
    <x v="0"/>
    <x v="0"/>
    <x v="0"/>
    <x v="0"/>
    <x v="0"/>
    <x v="0"/>
    <x v="0"/>
    <x v="536"/>
    <x v="0"/>
    <x v="52"/>
    <x v="0"/>
  </r>
  <r>
    <x v="52"/>
    <x v="14"/>
    <x v="1"/>
    <x v="1"/>
    <x v="0"/>
    <x v="0"/>
    <x v="14"/>
    <x v="14"/>
    <x v="537"/>
    <x v="0"/>
    <x v="52"/>
    <x v="0"/>
  </r>
  <r>
    <x v="52"/>
    <x v="1"/>
    <x v="1"/>
    <x v="1"/>
    <x v="0"/>
    <x v="0"/>
    <x v="1"/>
    <x v="1"/>
    <x v="1"/>
    <x v="118"/>
    <x v="52"/>
    <x v="0"/>
  </r>
  <r>
    <x v="53"/>
    <x v="7"/>
    <x v="2"/>
    <x v="2"/>
    <x v="0"/>
    <x v="0"/>
    <x v="7"/>
    <x v="7"/>
    <x v="538"/>
    <x v="0"/>
    <x v="53"/>
    <x v="0"/>
  </r>
  <r>
    <x v="53"/>
    <x v="2"/>
    <x v="2"/>
    <x v="2"/>
    <x v="0"/>
    <x v="0"/>
    <x v="2"/>
    <x v="2"/>
    <x v="539"/>
    <x v="0"/>
    <x v="53"/>
    <x v="0"/>
  </r>
  <r>
    <x v="53"/>
    <x v="9"/>
    <x v="6"/>
    <x v="6"/>
    <x v="0"/>
    <x v="0"/>
    <x v="9"/>
    <x v="9"/>
    <x v="540"/>
    <x v="0"/>
    <x v="53"/>
    <x v="0"/>
  </r>
  <r>
    <x v="53"/>
    <x v="11"/>
    <x v="6"/>
    <x v="6"/>
    <x v="0"/>
    <x v="0"/>
    <x v="11"/>
    <x v="11"/>
    <x v="541"/>
    <x v="0"/>
    <x v="53"/>
    <x v="0"/>
  </r>
  <r>
    <x v="53"/>
    <x v="10"/>
    <x v="3"/>
    <x v="3"/>
    <x v="0"/>
    <x v="0"/>
    <x v="10"/>
    <x v="10"/>
    <x v="542"/>
    <x v="0"/>
    <x v="53"/>
    <x v="0"/>
  </r>
  <r>
    <x v="53"/>
    <x v="3"/>
    <x v="3"/>
    <x v="3"/>
    <x v="0"/>
    <x v="0"/>
    <x v="3"/>
    <x v="3"/>
    <x v="543"/>
    <x v="0"/>
    <x v="53"/>
    <x v="0"/>
  </r>
  <r>
    <x v="53"/>
    <x v="12"/>
    <x v="4"/>
    <x v="4"/>
    <x v="0"/>
    <x v="0"/>
    <x v="12"/>
    <x v="12"/>
    <x v="544"/>
    <x v="0"/>
    <x v="53"/>
    <x v="0"/>
  </r>
  <r>
    <x v="53"/>
    <x v="4"/>
    <x v="4"/>
    <x v="4"/>
    <x v="0"/>
    <x v="0"/>
    <x v="4"/>
    <x v="4"/>
    <x v="545"/>
    <x v="0"/>
    <x v="53"/>
    <x v="0"/>
  </r>
  <r>
    <x v="53"/>
    <x v="0"/>
    <x v="0"/>
    <x v="0"/>
    <x v="0"/>
    <x v="0"/>
    <x v="0"/>
    <x v="0"/>
    <x v="546"/>
    <x v="0"/>
    <x v="53"/>
    <x v="0"/>
  </r>
  <r>
    <x v="53"/>
    <x v="5"/>
    <x v="0"/>
    <x v="0"/>
    <x v="0"/>
    <x v="0"/>
    <x v="5"/>
    <x v="5"/>
    <x v="547"/>
    <x v="0"/>
    <x v="53"/>
    <x v="0"/>
  </r>
  <r>
    <x v="53"/>
    <x v="13"/>
    <x v="5"/>
    <x v="5"/>
    <x v="0"/>
    <x v="0"/>
    <x v="13"/>
    <x v="13"/>
    <x v="548"/>
    <x v="0"/>
    <x v="53"/>
    <x v="0"/>
  </r>
  <r>
    <x v="53"/>
    <x v="6"/>
    <x v="5"/>
    <x v="5"/>
    <x v="0"/>
    <x v="0"/>
    <x v="6"/>
    <x v="6"/>
    <x v="549"/>
    <x v="0"/>
    <x v="53"/>
    <x v="0"/>
  </r>
  <r>
    <x v="53"/>
    <x v="14"/>
    <x v="1"/>
    <x v="1"/>
    <x v="0"/>
    <x v="0"/>
    <x v="14"/>
    <x v="14"/>
    <x v="550"/>
    <x v="0"/>
    <x v="53"/>
    <x v="0"/>
  </r>
  <r>
    <x v="53"/>
    <x v="8"/>
    <x v="1"/>
    <x v="1"/>
    <x v="0"/>
    <x v="0"/>
    <x v="8"/>
    <x v="8"/>
    <x v="551"/>
    <x v="0"/>
    <x v="53"/>
    <x v="0"/>
  </r>
  <r>
    <x v="53"/>
    <x v="1"/>
    <x v="1"/>
    <x v="1"/>
    <x v="0"/>
    <x v="0"/>
    <x v="1"/>
    <x v="1"/>
    <x v="1"/>
    <x v="119"/>
    <x v="53"/>
    <x v="0"/>
  </r>
  <r>
    <x v="53"/>
    <x v="2"/>
    <x v="2"/>
    <x v="2"/>
    <x v="0"/>
    <x v="1"/>
    <x v="2"/>
    <x v="2"/>
    <x v="552"/>
    <x v="0"/>
    <x v="53"/>
    <x v="0"/>
  </r>
  <r>
    <x v="53"/>
    <x v="10"/>
    <x v="3"/>
    <x v="3"/>
    <x v="0"/>
    <x v="1"/>
    <x v="10"/>
    <x v="10"/>
    <x v="553"/>
    <x v="0"/>
    <x v="53"/>
    <x v="0"/>
  </r>
  <r>
    <x v="53"/>
    <x v="4"/>
    <x v="4"/>
    <x v="4"/>
    <x v="0"/>
    <x v="1"/>
    <x v="4"/>
    <x v="4"/>
    <x v="554"/>
    <x v="0"/>
    <x v="53"/>
    <x v="0"/>
  </r>
  <r>
    <x v="53"/>
    <x v="13"/>
    <x v="5"/>
    <x v="5"/>
    <x v="0"/>
    <x v="1"/>
    <x v="13"/>
    <x v="13"/>
    <x v="555"/>
    <x v="0"/>
    <x v="53"/>
    <x v="0"/>
  </r>
  <r>
    <x v="53"/>
    <x v="14"/>
    <x v="1"/>
    <x v="1"/>
    <x v="0"/>
    <x v="1"/>
    <x v="14"/>
    <x v="14"/>
    <x v="556"/>
    <x v="0"/>
    <x v="53"/>
    <x v="0"/>
  </r>
  <r>
    <x v="53"/>
    <x v="1"/>
    <x v="1"/>
    <x v="1"/>
    <x v="0"/>
    <x v="1"/>
    <x v="1"/>
    <x v="1"/>
    <x v="1"/>
    <x v="120"/>
    <x v="53"/>
    <x v="0"/>
  </r>
  <r>
    <x v="54"/>
    <x v="1"/>
    <x v="1"/>
    <x v="1"/>
    <x v="0"/>
    <x v="2"/>
    <x v="1"/>
    <x v="1"/>
    <x v="1"/>
    <x v="121"/>
    <x v="54"/>
    <x v="0"/>
  </r>
  <r>
    <x v="54"/>
    <x v="9"/>
    <x v="6"/>
    <x v="6"/>
    <x v="0"/>
    <x v="0"/>
    <x v="9"/>
    <x v="9"/>
    <x v="553"/>
    <x v="0"/>
    <x v="54"/>
    <x v="0"/>
  </r>
  <r>
    <x v="54"/>
    <x v="11"/>
    <x v="6"/>
    <x v="6"/>
    <x v="0"/>
    <x v="0"/>
    <x v="11"/>
    <x v="11"/>
    <x v="557"/>
    <x v="0"/>
    <x v="54"/>
    <x v="0"/>
  </r>
  <r>
    <x v="54"/>
    <x v="1"/>
    <x v="1"/>
    <x v="1"/>
    <x v="0"/>
    <x v="0"/>
    <x v="1"/>
    <x v="1"/>
    <x v="1"/>
    <x v="122"/>
    <x v="54"/>
    <x v="0"/>
  </r>
  <r>
    <x v="54"/>
    <x v="9"/>
    <x v="6"/>
    <x v="6"/>
    <x v="0"/>
    <x v="1"/>
    <x v="9"/>
    <x v="9"/>
    <x v="558"/>
    <x v="0"/>
    <x v="54"/>
    <x v="0"/>
  </r>
  <r>
    <x v="54"/>
    <x v="3"/>
    <x v="3"/>
    <x v="3"/>
    <x v="0"/>
    <x v="1"/>
    <x v="3"/>
    <x v="3"/>
    <x v="559"/>
    <x v="0"/>
    <x v="54"/>
    <x v="0"/>
  </r>
  <r>
    <x v="54"/>
    <x v="1"/>
    <x v="1"/>
    <x v="1"/>
    <x v="0"/>
    <x v="1"/>
    <x v="1"/>
    <x v="1"/>
    <x v="1"/>
    <x v="123"/>
    <x v="54"/>
    <x v="0"/>
  </r>
  <r>
    <x v="55"/>
    <x v="1"/>
    <x v="1"/>
    <x v="1"/>
    <x v="0"/>
    <x v="3"/>
    <x v="1"/>
    <x v="1"/>
    <x v="1"/>
    <x v="124"/>
    <x v="55"/>
    <x v="0"/>
  </r>
  <r>
    <x v="55"/>
    <x v="7"/>
    <x v="2"/>
    <x v="2"/>
    <x v="0"/>
    <x v="4"/>
    <x v="7"/>
    <x v="7"/>
    <x v="560"/>
    <x v="0"/>
    <x v="55"/>
    <x v="0"/>
  </r>
  <r>
    <x v="55"/>
    <x v="2"/>
    <x v="2"/>
    <x v="2"/>
    <x v="0"/>
    <x v="4"/>
    <x v="2"/>
    <x v="2"/>
    <x v="561"/>
    <x v="0"/>
    <x v="55"/>
    <x v="0"/>
  </r>
  <r>
    <x v="55"/>
    <x v="9"/>
    <x v="6"/>
    <x v="6"/>
    <x v="0"/>
    <x v="4"/>
    <x v="9"/>
    <x v="9"/>
    <x v="562"/>
    <x v="0"/>
    <x v="55"/>
    <x v="0"/>
  </r>
  <r>
    <x v="55"/>
    <x v="10"/>
    <x v="3"/>
    <x v="3"/>
    <x v="0"/>
    <x v="4"/>
    <x v="10"/>
    <x v="10"/>
    <x v="563"/>
    <x v="0"/>
    <x v="55"/>
    <x v="0"/>
  </r>
  <r>
    <x v="55"/>
    <x v="3"/>
    <x v="3"/>
    <x v="3"/>
    <x v="0"/>
    <x v="4"/>
    <x v="3"/>
    <x v="3"/>
    <x v="564"/>
    <x v="0"/>
    <x v="55"/>
    <x v="0"/>
  </r>
  <r>
    <x v="55"/>
    <x v="12"/>
    <x v="4"/>
    <x v="4"/>
    <x v="0"/>
    <x v="4"/>
    <x v="12"/>
    <x v="12"/>
    <x v="565"/>
    <x v="0"/>
    <x v="55"/>
    <x v="0"/>
  </r>
  <r>
    <x v="55"/>
    <x v="4"/>
    <x v="4"/>
    <x v="4"/>
    <x v="0"/>
    <x v="4"/>
    <x v="4"/>
    <x v="4"/>
    <x v="566"/>
    <x v="0"/>
    <x v="55"/>
    <x v="0"/>
  </r>
  <r>
    <x v="55"/>
    <x v="0"/>
    <x v="0"/>
    <x v="0"/>
    <x v="0"/>
    <x v="4"/>
    <x v="0"/>
    <x v="0"/>
    <x v="567"/>
    <x v="0"/>
    <x v="55"/>
    <x v="0"/>
  </r>
  <r>
    <x v="55"/>
    <x v="5"/>
    <x v="0"/>
    <x v="0"/>
    <x v="0"/>
    <x v="4"/>
    <x v="5"/>
    <x v="5"/>
    <x v="562"/>
    <x v="0"/>
    <x v="55"/>
    <x v="0"/>
  </r>
  <r>
    <x v="55"/>
    <x v="13"/>
    <x v="5"/>
    <x v="5"/>
    <x v="0"/>
    <x v="4"/>
    <x v="13"/>
    <x v="13"/>
    <x v="568"/>
    <x v="0"/>
    <x v="55"/>
    <x v="0"/>
  </r>
  <r>
    <x v="55"/>
    <x v="6"/>
    <x v="5"/>
    <x v="5"/>
    <x v="0"/>
    <x v="4"/>
    <x v="6"/>
    <x v="6"/>
    <x v="569"/>
    <x v="0"/>
    <x v="55"/>
    <x v="0"/>
  </r>
  <r>
    <x v="55"/>
    <x v="14"/>
    <x v="1"/>
    <x v="1"/>
    <x v="0"/>
    <x v="4"/>
    <x v="14"/>
    <x v="14"/>
    <x v="570"/>
    <x v="0"/>
    <x v="55"/>
    <x v="0"/>
  </r>
  <r>
    <x v="55"/>
    <x v="8"/>
    <x v="1"/>
    <x v="1"/>
    <x v="0"/>
    <x v="4"/>
    <x v="8"/>
    <x v="8"/>
    <x v="571"/>
    <x v="0"/>
    <x v="55"/>
    <x v="0"/>
  </r>
  <r>
    <x v="55"/>
    <x v="1"/>
    <x v="1"/>
    <x v="1"/>
    <x v="0"/>
    <x v="4"/>
    <x v="1"/>
    <x v="1"/>
    <x v="1"/>
    <x v="125"/>
    <x v="55"/>
    <x v="0"/>
  </r>
  <r>
    <x v="55"/>
    <x v="14"/>
    <x v="1"/>
    <x v="1"/>
    <x v="0"/>
    <x v="5"/>
    <x v="14"/>
    <x v="14"/>
    <x v="572"/>
    <x v="0"/>
    <x v="55"/>
    <x v="0"/>
  </r>
  <r>
    <x v="55"/>
    <x v="8"/>
    <x v="1"/>
    <x v="1"/>
    <x v="0"/>
    <x v="5"/>
    <x v="8"/>
    <x v="8"/>
    <x v="573"/>
    <x v="0"/>
    <x v="55"/>
    <x v="0"/>
  </r>
  <r>
    <x v="55"/>
    <x v="1"/>
    <x v="1"/>
    <x v="1"/>
    <x v="0"/>
    <x v="5"/>
    <x v="1"/>
    <x v="1"/>
    <x v="1"/>
    <x v="126"/>
    <x v="55"/>
    <x v="0"/>
  </r>
  <r>
    <x v="55"/>
    <x v="7"/>
    <x v="2"/>
    <x v="2"/>
    <x v="0"/>
    <x v="6"/>
    <x v="7"/>
    <x v="7"/>
    <x v="574"/>
    <x v="0"/>
    <x v="55"/>
    <x v="0"/>
  </r>
  <r>
    <x v="55"/>
    <x v="2"/>
    <x v="2"/>
    <x v="2"/>
    <x v="0"/>
    <x v="6"/>
    <x v="2"/>
    <x v="2"/>
    <x v="575"/>
    <x v="0"/>
    <x v="55"/>
    <x v="0"/>
  </r>
  <r>
    <x v="55"/>
    <x v="10"/>
    <x v="3"/>
    <x v="3"/>
    <x v="0"/>
    <x v="6"/>
    <x v="10"/>
    <x v="10"/>
    <x v="576"/>
    <x v="0"/>
    <x v="55"/>
    <x v="0"/>
  </r>
  <r>
    <x v="55"/>
    <x v="12"/>
    <x v="4"/>
    <x v="4"/>
    <x v="0"/>
    <x v="6"/>
    <x v="12"/>
    <x v="12"/>
    <x v="577"/>
    <x v="0"/>
    <x v="55"/>
    <x v="0"/>
  </r>
  <r>
    <x v="55"/>
    <x v="4"/>
    <x v="4"/>
    <x v="4"/>
    <x v="0"/>
    <x v="6"/>
    <x v="4"/>
    <x v="4"/>
    <x v="578"/>
    <x v="0"/>
    <x v="55"/>
    <x v="0"/>
  </r>
  <r>
    <x v="55"/>
    <x v="5"/>
    <x v="0"/>
    <x v="0"/>
    <x v="0"/>
    <x v="6"/>
    <x v="5"/>
    <x v="5"/>
    <x v="579"/>
    <x v="0"/>
    <x v="55"/>
    <x v="0"/>
  </r>
  <r>
    <x v="55"/>
    <x v="13"/>
    <x v="5"/>
    <x v="5"/>
    <x v="0"/>
    <x v="6"/>
    <x v="13"/>
    <x v="13"/>
    <x v="580"/>
    <x v="0"/>
    <x v="55"/>
    <x v="0"/>
  </r>
  <r>
    <x v="55"/>
    <x v="6"/>
    <x v="5"/>
    <x v="5"/>
    <x v="0"/>
    <x v="6"/>
    <x v="6"/>
    <x v="6"/>
    <x v="581"/>
    <x v="0"/>
    <x v="55"/>
    <x v="0"/>
  </r>
  <r>
    <x v="55"/>
    <x v="14"/>
    <x v="1"/>
    <x v="1"/>
    <x v="0"/>
    <x v="6"/>
    <x v="14"/>
    <x v="14"/>
    <x v="582"/>
    <x v="0"/>
    <x v="55"/>
    <x v="0"/>
  </r>
  <r>
    <x v="55"/>
    <x v="8"/>
    <x v="1"/>
    <x v="1"/>
    <x v="0"/>
    <x v="6"/>
    <x v="8"/>
    <x v="8"/>
    <x v="583"/>
    <x v="0"/>
    <x v="55"/>
    <x v="0"/>
  </r>
  <r>
    <x v="55"/>
    <x v="1"/>
    <x v="1"/>
    <x v="1"/>
    <x v="0"/>
    <x v="6"/>
    <x v="1"/>
    <x v="1"/>
    <x v="1"/>
    <x v="127"/>
    <x v="55"/>
    <x v="0"/>
  </r>
  <r>
    <x v="55"/>
    <x v="7"/>
    <x v="2"/>
    <x v="2"/>
    <x v="0"/>
    <x v="7"/>
    <x v="7"/>
    <x v="7"/>
    <x v="584"/>
    <x v="0"/>
    <x v="55"/>
    <x v="0"/>
  </r>
  <r>
    <x v="55"/>
    <x v="2"/>
    <x v="2"/>
    <x v="2"/>
    <x v="0"/>
    <x v="7"/>
    <x v="2"/>
    <x v="2"/>
    <x v="585"/>
    <x v="0"/>
    <x v="55"/>
    <x v="0"/>
  </r>
  <r>
    <x v="55"/>
    <x v="9"/>
    <x v="6"/>
    <x v="6"/>
    <x v="0"/>
    <x v="7"/>
    <x v="9"/>
    <x v="9"/>
    <x v="586"/>
    <x v="0"/>
    <x v="55"/>
    <x v="0"/>
  </r>
  <r>
    <x v="55"/>
    <x v="10"/>
    <x v="3"/>
    <x v="3"/>
    <x v="0"/>
    <x v="7"/>
    <x v="10"/>
    <x v="10"/>
    <x v="587"/>
    <x v="0"/>
    <x v="55"/>
    <x v="0"/>
  </r>
  <r>
    <x v="55"/>
    <x v="3"/>
    <x v="3"/>
    <x v="3"/>
    <x v="0"/>
    <x v="7"/>
    <x v="3"/>
    <x v="3"/>
    <x v="588"/>
    <x v="0"/>
    <x v="55"/>
    <x v="0"/>
  </r>
  <r>
    <x v="55"/>
    <x v="12"/>
    <x v="4"/>
    <x v="4"/>
    <x v="0"/>
    <x v="7"/>
    <x v="12"/>
    <x v="12"/>
    <x v="589"/>
    <x v="0"/>
    <x v="55"/>
    <x v="0"/>
  </r>
  <r>
    <x v="55"/>
    <x v="4"/>
    <x v="4"/>
    <x v="4"/>
    <x v="0"/>
    <x v="7"/>
    <x v="4"/>
    <x v="4"/>
    <x v="590"/>
    <x v="0"/>
    <x v="55"/>
    <x v="0"/>
  </r>
  <r>
    <x v="55"/>
    <x v="0"/>
    <x v="0"/>
    <x v="0"/>
    <x v="0"/>
    <x v="7"/>
    <x v="0"/>
    <x v="0"/>
    <x v="591"/>
    <x v="0"/>
    <x v="55"/>
    <x v="0"/>
  </r>
  <r>
    <x v="55"/>
    <x v="5"/>
    <x v="0"/>
    <x v="0"/>
    <x v="0"/>
    <x v="7"/>
    <x v="5"/>
    <x v="5"/>
    <x v="592"/>
    <x v="0"/>
    <x v="55"/>
    <x v="0"/>
  </r>
  <r>
    <x v="55"/>
    <x v="13"/>
    <x v="5"/>
    <x v="5"/>
    <x v="0"/>
    <x v="7"/>
    <x v="13"/>
    <x v="13"/>
    <x v="593"/>
    <x v="0"/>
    <x v="55"/>
    <x v="0"/>
  </r>
  <r>
    <x v="55"/>
    <x v="6"/>
    <x v="5"/>
    <x v="5"/>
    <x v="0"/>
    <x v="7"/>
    <x v="6"/>
    <x v="6"/>
    <x v="594"/>
    <x v="0"/>
    <x v="55"/>
    <x v="0"/>
  </r>
  <r>
    <x v="55"/>
    <x v="14"/>
    <x v="1"/>
    <x v="1"/>
    <x v="0"/>
    <x v="7"/>
    <x v="14"/>
    <x v="14"/>
    <x v="595"/>
    <x v="0"/>
    <x v="55"/>
    <x v="0"/>
  </r>
  <r>
    <x v="55"/>
    <x v="8"/>
    <x v="1"/>
    <x v="1"/>
    <x v="0"/>
    <x v="7"/>
    <x v="8"/>
    <x v="8"/>
    <x v="596"/>
    <x v="0"/>
    <x v="55"/>
    <x v="0"/>
  </r>
  <r>
    <x v="55"/>
    <x v="1"/>
    <x v="1"/>
    <x v="1"/>
    <x v="0"/>
    <x v="7"/>
    <x v="1"/>
    <x v="1"/>
    <x v="1"/>
    <x v="128"/>
    <x v="55"/>
    <x v="0"/>
  </r>
  <r>
    <x v="55"/>
    <x v="14"/>
    <x v="1"/>
    <x v="1"/>
    <x v="0"/>
    <x v="8"/>
    <x v="14"/>
    <x v="14"/>
    <x v="597"/>
    <x v="0"/>
    <x v="55"/>
    <x v="0"/>
  </r>
  <r>
    <x v="55"/>
    <x v="22"/>
    <x v="1"/>
    <x v="1"/>
    <x v="0"/>
    <x v="8"/>
    <x v="19"/>
    <x v="22"/>
    <x v="598"/>
    <x v="0"/>
    <x v="55"/>
    <x v="0"/>
  </r>
  <r>
    <x v="55"/>
    <x v="1"/>
    <x v="1"/>
    <x v="1"/>
    <x v="0"/>
    <x v="8"/>
    <x v="1"/>
    <x v="1"/>
    <x v="1"/>
    <x v="129"/>
    <x v="55"/>
    <x v="0"/>
  </r>
  <r>
    <x v="55"/>
    <x v="10"/>
    <x v="3"/>
    <x v="3"/>
    <x v="0"/>
    <x v="9"/>
    <x v="10"/>
    <x v="10"/>
    <x v="599"/>
    <x v="0"/>
    <x v="55"/>
    <x v="0"/>
  </r>
  <r>
    <x v="55"/>
    <x v="3"/>
    <x v="3"/>
    <x v="3"/>
    <x v="0"/>
    <x v="9"/>
    <x v="3"/>
    <x v="3"/>
    <x v="600"/>
    <x v="0"/>
    <x v="55"/>
    <x v="0"/>
  </r>
  <r>
    <x v="55"/>
    <x v="12"/>
    <x v="4"/>
    <x v="4"/>
    <x v="0"/>
    <x v="9"/>
    <x v="12"/>
    <x v="12"/>
    <x v="601"/>
    <x v="0"/>
    <x v="55"/>
    <x v="0"/>
  </r>
  <r>
    <x v="55"/>
    <x v="4"/>
    <x v="4"/>
    <x v="4"/>
    <x v="0"/>
    <x v="9"/>
    <x v="4"/>
    <x v="4"/>
    <x v="602"/>
    <x v="0"/>
    <x v="55"/>
    <x v="0"/>
  </r>
  <r>
    <x v="55"/>
    <x v="0"/>
    <x v="0"/>
    <x v="0"/>
    <x v="0"/>
    <x v="9"/>
    <x v="0"/>
    <x v="0"/>
    <x v="603"/>
    <x v="0"/>
    <x v="55"/>
    <x v="0"/>
  </r>
  <r>
    <x v="55"/>
    <x v="5"/>
    <x v="0"/>
    <x v="0"/>
    <x v="0"/>
    <x v="9"/>
    <x v="5"/>
    <x v="5"/>
    <x v="604"/>
    <x v="0"/>
    <x v="55"/>
    <x v="0"/>
  </r>
  <r>
    <x v="55"/>
    <x v="14"/>
    <x v="1"/>
    <x v="1"/>
    <x v="0"/>
    <x v="9"/>
    <x v="14"/>
    <x v="14"/>
    <x v="605"/>
    <x v="0"/>
    <x v="55"/>
    <x v="0"/>
  </r>
  <r>
    <x v="55"/>
    <x v="8"/>
    <x v="1"/>
    <x v="1"/>
    <x v="0"/>
    <x v="9"/>
    <x v="8"/>
    <x v="8"/>
    <x v="606"/>
    <x v="0"/>
    <x v="55"/>
    <x v="0"/>
  </r>
  <r>
    <x v="55"/>
    <x v="1"/>
    <x v="1"/>
    <x v="1"/>
    <x v="0"/>
    <x v="9"/>
    <x v="1"/>
    <x v="1"/>
    <x v="1"/>
    <x v="130"/>
    <x v="55"/>
    <x v="0"/>
  </r>
  <r>
    <x v="55"/>
    <x v="3"/>
    <x v="3"/>
    <x v="3"/>
    <x v="0"/>
    <x v="10"/>
    <x v="3"/>
    <x v="3"/>
    <x v="607"/>
    <x v="0"/>
    <x v="55"/>
    <x v="0"/>
  </r>
  <r>
    <x v="55"/>
    <x v="12"/>
    <x v="4"/>
    <x v="4"/>
    <x v="0"/>
    <x v="10"/>
    <x v="12"/>
    <x v="12"/>
    <x v="608"/>
    <x v="0"/>
    <x v="55"/>
    <x v="0"/>
  </r>
  <r>
    <x v="55"/>
    <x v="4"/>
    <x v="4"/>
    <x v="4"/>
    <x v="0"/>
    <x v="10"/>
    <x v="4"/>
    <x v="4"/>
    <x v="609"/>
    <x v="0"/>
    <x v="55"/>
    <x v="0"/>
  </r>
  <r>
    <x v="55"/>
    <x v="5"/>
    <x v="0"/>
    <x v="0"/>
    <x v="0"/>
    <x v="10"/>
    <x v="5"/>
    <x v="5"/>
    <x v="610"/>
    <x v="0"/>
    <x v="55"/>
    <x v="0"/>
  </r>
  <r>
    <x v="55"/>
    <x v="13"/>
    <x v="5"/>
    <x v="5"/>
    <x v="0"/>
    <x v="10"/>
    <x v="13"/>
    <x v="13"/>
    <x v="611"/>
    <x v="0"/>
    <x v="55"/>
    <x v="0"/>
  </r>
  <r>
    <x v="55"/>
    <x v="14"/>
    <x v="1"/>
    <x v="1"/>
    <x v="0"/>
    <x v="10"/>
    <x v="14"/>
    <x v="14"/>
    <x v="612"/>
    <x v="0"/>
    <x v="55"/>
    <x v="0"/>
  </r>
  <r>
    <x v="55"/>
    <x v="1"/>
    <x v="1"/>
    <x v="1"/>
    <x v="0"/>
    <x v="10"/>
    <x v="1"/>
    <x v="1"/>
    <x v="1"/>
    <x v="131"/>
    <x v="55"/>
    <x v="0"/>
  </r>
  <r>
    <x v="55"/>
    <x v="7"/>
    <x v="2"/>
    <x v="2"/>
    <x v="0"/>
    <x v="11"/>
    <x v="7"/>
    <x v="7"/>
    <x v="613"/>
    <x v="0"/>
    <x v="55"/>
    <x v="0"/>
  </r>
  <r>
    <x v="55"/>
    <x v="2"/>
    <x v="2"/>
    <x v="2"/>
    <x v="0"/>
    <x v="11"/>
    <x v="2"/>
    <x v="2"/>
    <x v="614"/>
    <x v="0"/>
    <x v="55"/>
    <x v="0"/>
  </r>
  <r>
    <x v="55"/>
    <x v="17"/>
    <x v="2"/>
    <x v="2"/>
    <x v="0"/>
    <x v="11"/>
    <x v="16"/>
    <x v="17"/>
    <x v="615"/>
    <x v="0"/>
    <x v="55"/>
    <x v="0"/>
  </r>
  <r>
    <x v="55"/>
    <x v="9"/>
    <x v="6"/>
    <x v="6"/>
    <x v="0"/>
    <x v="11"/>
    <x v="9"/>
    <x v="9"/>
    <x v="616"/>
    <x v="0"/>
    <x v="55"/>
    <x v="0"/>
  </r>
  <r>
    <x v="55"/>
    <x v="11"/>
    <x v="6"/>
    <x v="6"/>
    <x v="0"/>
    <x v="11"/>
    <x v="11"/>
    <x v="11"/>
    <x v="617"/>
    <x v="0"/>
    <x v="55"/>
    <x v="0"/>
  </r>
  <r>
    <x v="55"/>
    <x v="10"/>
    <x v="3"/>
    <x v="3"/>
    <x v="0"/>
    <x v="11"/>
    <x v="10"/>
    <x v="10"/>
    <x v="618"/>
    <x v="0"/>
    <x v="55"/>
    <x v="0"/>
  </r>
  <r>
    <x v="55"/>
    <x v="3"/>
    <x v="3"/>
    <x v="3"/>
    <x v="0"/>
    <x v="11"/>
    <x v="3"/>
    <x v="3"/>
    <x v="619"/>
    <x v="0"/>
    <x v="55"/>
    <x v="0"/>
  </r>
  <r>
    <x v="55"/>
    <x v="12"/>
    <x v="4"/>
    <x v="4"/>
    <x v="0"/>
    <x v="11"/>
    <x v="12"/>
    <x v="12"/>
    <x v="620"/>
    <x v="0"/>
    <x v="55"/>
    <x v="0"/>
  </r>
  <r>
    <x v="55"/>
    <x v="4"/>
    <x v="4"/>
    <x v="4"/>
    <x v="0"/>
    <x v="11"/>
    <x v="4"/>
    <x v="4"/>
    <x v="621"/>
    <x v="0"/>
    <x v="55"/>
    <x v="0"/>
  </r>
  <r>
    <x v="55"/>
    <x v="0"/>
    <x v="0"/>
    <x v="0"/>
    <x v="0"/>
    <x v="11"/>
    <x v="0"/>
    <x v="0"/>
    <x v="622"/>
    <x v="0"/>
    <x v="55"/>
    <x v="0"/>
  </r>
  <r>
    <x v="55"/>
    <x v="5"/>
    <x v="0"/>
    <x v="0"/>
    <x v="0"/>
    <x v="11"/>
    <x v="5"/>
    <x v="5"/>
    <x v="623"/>
    <x v="0"/>
    <x v="55"/>
    <x v="0"/>
  </r>
  <r>
    <x v="55"/>
    <x v="13"/>
    <x v="5"/>
    <x v="5"/>
    <x v="0"/>
    <x v="11"/>
    <x v="13"/>
    <x v="13"/>
    <x v="624"/>
    <x v="0"/>
    <x v="55"/>
    <x v="0"/>
  </r>
  <r>
    <x v="55"/>
    <x v="6"/>
    <x v="5"/>
    <x v="5"/>
    <x v="0"/>
    <x v="11"/>
    <x v="6"/>
    <x v="6"/>
    <x v="625"/>
    <x v="0"/>
    <x v="55"/>
    <x v="0"/>
  </r>
  <r>
    <x v="55"/>
    <x v="14"/>
    <x v="1"/>
    <x v="1"/>
    <x v="0"/>
    <x v="11"/>
    <x v="14"/>
    <x v="14"/>
    <x v="626"/>
    <x v="0"/>
    <x v="55"/>
    <x v="0"/>
  </r>
  <r>
    <x v="55"/>
    <x v="8"/>
    <x v="1"/>
    <x v="1"/>
    <x v="0"/>
    <x v="11"/>
    <x v="8"/>
    <x v="8"/>
    <x v="627"/>
    <x v="0"/>
    <x v="55"/>
    <x v="0"/>
  </r>
  <r>
    <x v="55"/>
    <x v="1"/>
    <x v="1"/>
    <x v="1"/>
    <x v="0"/>
    <x v="11"/>
    <x v="1"/>
    <x v="1"/>
    <x v="1"/>
    <x v="132"/>
    <x v="55"/>
    <x v="0"/>
  </r>
  <r>
    <x v="55"/>
    <x v="12"/>
    <x v="4"/>
    <x v="4"/>
    <x v="0"/>
    <x v="12"/>
    <x v="12"/>
    <x v="12"/>
    <x v="628"/>
    <x v="0"/>
    <x v="55"/>
    <x v="0"/>
  </r>
  <r>
    <x v="55"/>
    <x v="4"/>
    <x v="4"/>
    <x v="4"/>
    <x v="0"/>
    <x v="12"/>
    <x v="4"/>
    <x v="4"/>
    <x v="629"/>
    <x v="0"/>
    <x v="55"/>
    <x v="0"/>
  </r>
  <r>
    <x v="55"/>
    <x v="1"/>
    <x v="1"/>
    <x v="1"/>
    <x v="0"/>
    <x v="12"/>
    <x v="1"/>
    <x v="1"/>
    <x v="1"/>
    <x v="133"/>
    <x v="55"/>
    <x v="0"/>
  </r>
  <r>
    <x v="55"/>
    <x v="12"/>
    <x v="4"/>
    <x v="4"/>
    <x v="0"/>
    <x v="13"/>
    <x v="12"/>
    <x v="12"/>
    <x v="630"/>
    <x v="0"/>
    <x v="55"/>
    <x v="0"/>
  </r>
  <r>
    <x v="55"/>
    <x v="0"/>
    <x v="0"/>
    <x v="0"/>
    <x v="0"/>
    <x v="13"/>
    <x v="0"/>
    <x v="0"/>
    <x v="631"/>
    <x v="0"/>
    <x v="55"/>
    <x v="0"/>
  </r>
  <r>
    <x v="55"/>
    <x v="14"/>
    <x v="1"/>
    <x v="1"/>
    <x v="0"/>
    <x v="13"/>
    <x v="14"/>
    <x v="14"/>
    <x v="632"/>
    <x v="0"/>
    <x v="55"/>
    <x v="0"/>
  </r>
  <r>
    <x v="55"/>
    <x v="8"/>
    <x v="1"/>
    <x v="1"/>
    <x v="0"/>
    <x v="13"/>
    <x v="8"/>
    <x v="8"/>
    <x v="633"/>
    <x v="0"/>
    <x v="55"/>
    <x v="0"/>
  </r>
  <r>
    <x v="55"/>
    <x v="1"/>
    <x v="1"/>
    <x v="1"/>
    <x v="0"/>
    <x v="13"/>
    <x v="1"/>
    <x v="1"/>
    <x v="1"/>
    <x v="134"/>
    <x v="55"/>
    <x v="0"/>
  </r>
  <r>
    <x v="55"/>
    <x v="7"/>
    <x v="2"/>
    <x v="2"/>
    <x v="0"/>
    <x v="14"/>
    <x v="7"/>
    <x v="7"/>
    <x v="634"/>
    <x v="0"/>
    <x v="55"/>
    <x v="0"/>
  </r>
  <r>
    <x v="55"/>
    <x v="2"/>
    <x v="2"/>
    <x v="2"/>
    <x v="0"/>
    <x v="14"/>
    <x v="2"/>
    <x v="2"/>
    <x v="635"/>
    <x v="0"/>
    <x v="55"/>
    <x v="0"/>
  </r>
  <r>
    <x v="55"/>
    <x v="9"/>
    <x v="6"/>
    <x v="6"/>
    <x v="0"/>
    <x v="14"/>
    <x v="9"/>
    <x v="9"/>
    <x v="636"/>
    <x v="0"/>
    <x v="55"/>
    <x v="0"/>
  </r>
  <r>
    <x v="55"/>
    <x v="11"/>
    <x v="6"/>
    <x v="6"/>
    <x v="0"/>
    <x v="14"/>
    <x v="11"/>
    <x v="11"/>
    <x v="637"/>
    <x v="0"/>
    <x v="55"/>
    <x v="0"/>
  </r>
  <r>
    <x v="55"/>
    <x v="23"/>
    <x v="3"/>
    <x v="3"/>
    <x v="0"/>
    <x v="14"/>
    <x v="17"/>
    <x v="23"/>
    <x v="638"/>
    <x v="0"/>
    <x v="55"/>
    <x v="0"/>
  </r>
  <r>
    <x v="55"/>
    <x v="10"/>
    <x v="3"/>
    <x v="3"/>
    <x v="0"/>
    <x v="14"/>
    <x v="10"/>
    <x v="10"/>
    <x v="639"/>
    <x v="0"/>
    <x v="55"/>
    <x v="0"/>
  </r>
  <r>
    <x v="55"/>
    <x v="3"/>
    <x v="3"/>
    <x v="3"/>
    <x v="0"/>
    <x v="14"/>
    <x v="3"/>
    <x v="3"/>
    <x v="640"/>
    <x v="0"/>
    <x v="55"/>
    <x v="0"/>
  </r>
  <r>
    <x v="55"/>
    <x v="12"/>
    <x v="4"/>
    <x v="4"/>
    <x v="0"/>
    <x v="14"/>
    <x v="12"/>
    <x v="12"/>
    <x v="641"/>
    <x v="0"/>
    <x v="55"/>
    <x v="0"/>
  </r>
  <r>
    <x v="55"/>
    <x v="4"/>
    <x v="4"/>
    <x v="4"/>
    <x v="0"/>
    <x v="14"/>
    <x v="4"/>
    <x v="4"/>
    <x v="642"/>
    <x v="0"/>
    <x v="55"/>
    <x v="0"/>
  </r>
  <r>
    <x v="55"/>
    <x v="0"/>
    <x v="0"/>
    <x v="0"/>
    <x v="0"/>
    <x v="14"/>
    <x v="0"/>
    <x v="0"/>
    <x v="643"/>
    <x v="0"/>
    <x v="55"/>
    <x v="0"/>
  </r>
  <r>
    <x v="55"/>
    <x v="5"/>
    <x v="0"/>
    <x v="0"/>
    <x v="0"/>
    <x v="14"/>
    <x v="5"/>
    <x v="5"/>
    <x v="644"/>
    <x v="0"/>
    <x v="55"/>
    <x v="0"/>
  </r>
  <r>
    <x v="55"/>
    <x v="13"/>
    <x v="5"/>
    <x v="5"/>
    <x v="0"/>
    <x v="14"/>
    <x v="13"/>
    <x v="13"/>
    <x v="645"/>
    <x v="0"/>
    <x v="55"/>
    <x v="0"/>
  </r>
  <r>
    <x v="55"/>
    <x v="6"/>
    <x v="5"/>
    <x v="5"/>
    <x v="0"/>
    <x v="14"/>
    <x v="6"/>
    <x v="6"/>
    <x v="646"/>
    <x v="0"/>
    <x v="55"/>
    <x v="0"/>
  </r>
  <r>
    <x v="55"/>
    <x v="14"/>
    <x v="1"/>
    <x v="1"/>
    <x v="0"/>
    <x v="14"/>
    <x v="14"/>
    <x v="14"/>
    <x v="647"/>
    <x v="0"/>
    <x v="55"/>
    <x v="0"/>
  </r>
  <r>
    <x v="55"/>
    <x v="8"/>
    <x v="1"/>
    <x v="1"/>
    <x v="0"/>
    <x v="14"/>
    <x v="8"/>
    <x v="8"/>
    <x v="648"/>
    <x v="0"/>
    <x v="55"/>
    <x v="0"/>
  </r>
  <r>
    <x v="55"/>
    <x v="1"/>
    <x v="1"/>
    <x v="1"/>
    <x v="0"/>
    <x v="14"/>
    <x v="1"/>
    <x v="1"/>
    <x v="1"/>
    <x v="135"/>
    <x v="55"/>
    <x v="0"/>
  </r>
  <r>
    <x v="55"/>
    <x v="7"/>
    <x v="2"/>
    <x v="2"/>
    <x v="0"/>
    <x v="15"/>
    <x v="7"/>
    <x v="7"/>
    <x v="649"/>
    <x v="0"/>
    <x v="55"/>
    <x v="0"/>
  </r>
  <r>
    <x v="55"/>
    <x v="2"/>
    <x v="2"/>
    <x v="2"/>
    <x v="0"/>
    <x v="15"/>
    <x v="2"/>
    <x v="2"/>
    <x v="650"/>
    <x v="0"/>
    <x v="55"/>
    <x v="0"/>
  </r>
  <r>
    <x v="55"/>
    <x v="9"/>
    <x v="6"/>
    <x v="6"/>
    <x v="0"/>
    <x v="15"/>
    <x v="9"/>
    <x v="9"/>
    <x v="651"/>
    <x v="0"/>
    <x v="55"/>
    <x v="0"/>
  </r>
  <r>
    <x v="55"/>
    <x v="10"/>
    <x v="3"/>
    <x v="3"/>
    <x v="0"/>
    <x v="15"/>
    <x v="10"/>
    <x v="10"/>
    <x v="652"/>
    <x v="0"/>
    <x v="55"/>
    <x v="0"/>
  </r>
  <r>
    <x v="55"/>
    <x v="12"/>
    <x v="4"/>
    <x v="4"/>
    <x v="0"/>
    <x v="15"/>
    <x v="12"/>
    <x v="12"/>
    <x v="653"/>
    <x v="0"/>
    <x v="55"/>
    <x v="0"/>
  </r>
  <r>
    <x v="55"/>
    <x v="4"/>
    <x v="4"/>
    <x v="4"/>
    <x v="0"/>
    <x v="15"/>
    <x v="4"/>
    <x v="4"/>
    <x v="654"/>
    <x v="0"/>
    <x v="55"/>
    <x v="0"/>
  </r>
  <r>
    <x v="55"/>
    <x v="13"/>
    <x v="5"/>
    <x v="5"/>
    <x v="0"/>
    <x v="15"/>
    <x v="13"/>
    <x v="13"/>
    <x v="655"/>
    <x v="0"/>
    <x v="55"/>
    <x v="0"/>
  </r>
  <r>
    <x v="55"/>
    <x v="14"/>
    <x v="1"/>
    <x v="1"/>
    <x v="0"/>
    <x v="15"/>
    <x v="14"/>
    <x v="14"/>
    <x v="656"/>
    <x v="0"/>
    <x v="55"/>
    <x v="0"/>
  </r>
  <r>
    <x v="55"/>
    <x v="8"/>
    <x v="1"/>
    <x v="1"/>
    <x v="0"/>
    <x v="15"/>
    <x v="8"/>
    <x v="8"/>
    <x v="657"/>
    <x v="0"/>
    <x v="55"/>
    <x v="0"/>
  </r>
  <r>
    <x v="55"/>
    <x v="1"/>
    <x v="1"/>
    <x v="1"/>
    <x v="0"/>
    <x v="15"/>
    <x v="1"/>
    <x v="1"/>
    <x v="1"/>
    <x v="136"/>
    <x v="55"/>
    <x v="0"/>
  </r>
  <r>
    <x v="55"/>
    <x v="1"/>
    <x v="1"/>
    <x v="1"/>
    <x v="0"/>
    <x v="16"/>
    <x v="1"/>
    <x v="1"/>
    <x v="1"/>
    <x v="137"/>
    <x v="55"/>
    <x v="0"/>
  </r>
  <r>
    <x v="55"/>
    <x v="1"/>
    <x v="1"/>
    <x v="1"/>
    <x v="0"/>
    <x v="17"/>
    <x v="1"/>
    <x v="1"/>
    <x v="1"/>
    <x v="138"/>
    <x v="55"/>
    <x v="0"/>
  </r>
  <r>
    <x v="55"/>
    <x v="11"/>
    <x v="6"/>
    <x v="6"/>
    <x v="0"/>
    <x v="18"/>
    <x v="11"/>
    <x v="11"/>
    <x v="658"/>
    <x v="0"/>
    <x v="55"/>
    <x v="0"/>
  </r>
  <r>
    <x v="55"/>
    <x v="12"/>
    <x v="4"/>
    <x v="4"/>
    <x v="0"/>
    <x v="18"/>
    <x v="12"/>
    <x v="12"/>
    <x v="659"/>
    <x v="0"/>
    <x v="55"/>
    <x v="0"/>
  </r>
  <r>
    <x v="55"/>
    <x v="1"/>
    <x v="1"/>
    <x v="1"/>
    <x v="0"/>
    <x v="18"/>
    <x v="1"/>
    <x v="1"/>
    <x v="1"/>
    <x v="139"/>
    <x v="55"/>
    <x v="0"/>
  </r>
  <r>
    <x v="56"/>
    <x v="7"/>
    <x v="2"/>
    <x v="2"/>
    <x v="0"/>
    <x v="2"/>
    <x v="7"/>
    <x v="7"/>
    <x v="660"/>
    <x v="0"/>
    <x v="56"/>
    <x v="0"/>
  </r>
  <r>
    <x v="56"/>
    <x v="1"/>
    <x v="1"/>
    <x v="1"/>
    <x v="0"/>
    <x v="2"/>
    <x v="1"/>
    <x v="1"/>
    <x v="1"/>
    <x v="140"/>
    <x v="56"/>
    <x v="0"/>
  </r>
  <r>
    <x v="56"/>
    <x v="7"/>
    <x v="2"/>
    <x v="2"/>
    <x v="0"/>
    <x v="0"/>
    <x v="7"/>
    <x v="7"/>
    <x v="661"/>
    <x v="0"/>
    <x v="56"/>
    <x v="0"/>
  </r>
  <r>
    <x v="56"/>
    <x v="2"/>
    <x v="2"/>
    <x v="2"/>
    <x v="0"/>
    <x v="0"/>
    <x v="2"/>
    <x v="2"/>
    <x v="662"/>
    <x v="0"/>
    <x v="56"/>
    <x v="0"/>
  </r>
  <r>
    <x v="56"/>
    <x v="9"/>
    <x v="6"/>
    <x v="6"/>
    <x v="0"/>
    <x v="0"/>
    <x v="9"/>
    <x v="9"/>
    <x v="663"/>
    <x v="0"/>
    <x v="56"/>
    <x v="0"/>
  </r>
  <r>
    <x v="56"/>
    <x v="11"/>
    <x v="6"/>
    <x v="6"/>
    <x v="0"/>
    <x v="0"/>
    <x v="11"/>
    <x v="11"/>
    <x v="664"/>
    <x v="0"/>
    <x v="56"/>
    <x v="0"/>
  </r>
  <r>
    <x v="56"/>
    <x v="10"/>
    <x v="3"/>
    <x v="3"/>
    <x v="0"/>
    <x v="0"/>
    <x v="10"/>
    <x v="10"/>
    <x v="665"/>
    <x v="0"/>
    <x v="56"/>
    <x v="0"/>
  </r>
  <r>
    <x v="56"/>
    <x v="3"/>
    <x v="3"/>
    <x v="3"/>
    <x v="0"/>
    <x v="0"/>
    <x v="3"/>
    <x v="3"/>
    <x v="666"/>
    <x v="0"/>
    <x v="56"/>
    <x v="0"/>
  </r>
  <r>
    <x v="56"/>
    <x v="12"/>
    <x v="4"/>
    <x v="4"/>
    <x v="0"/>
    <x v="0"/>
    <x v="12"/>
    <x v="12"/>
    <x v="667"/>
    <x v="0"/>
    <x v="56"/>
    <x v="0"/>
  </r>
  <r>
    <x v="56"/>
    <x v="4"/>
    <x v="4"/>
    <x v="4"/>
    <x v="0"/>
    <x v="0"/>
    <x v="4"/>
    <x v="4"/>
    <x v="668"/>
    <x v="0"/>
    <x v="56"/>
    <x v="0"/>
  </r>
  <r>
    <x v="56"/>
    <x v="0"/>
    <x v="0"/>
    <x v="0"/>
    <x v="0"/>
    <x v="0"/>
    <x v="0"/>
    <x v="0"/>
    <x v="669"/>
    <x v="0"/>
    <x v="56"/>
    <x v="0"/>
  </r>
  <r>
    <x v="56"/>
    <x v="5"/>
    <x v="0"/>
    <x v="0"/>
    <x v="0"/>
    <x v="0"/>
    <x v="5"/>
    <x v="5"/>
    <x v="670"/>
    <x v="0"/>
    <x v="56"/>
    <x v="0"/>
  </r>
  <r>
    <x v="56"/>
    <x v="13"/>
    <x v="5"/>
    <x v="5"/>
    <x v="0"/>
    <x v="0"/>
    <x v="13"/>
    <x v="13"/>
    <x v="671"/>
    <x v="0"/>
    <x v="56"/>
    <x v="0"/>
  </r>
  <r>
    <x v="56"/>
    <x v="6"/>
    <x v="5"/>
    <x v="5"/>
    <x v="0"/>
    <x v="0"/>
    <x v="6"/>
    <x v="6"/>
    <x v="672"/>
    <x v="0"/>
    <x v="56"/>
    <x v="0"/>
  </r>
  <r>
    <x v="56"/>
    <x v="14"/>
    <x v="1"/>
    <x v="1"/>
    <x v="0"/>
    <x v="0"/>
    <x v="14"/>
    <x v="14"/>
    <x v="673"/>
    <x v="0"/>
    <x v="56"/>
    <x v="0"/>
  </r>
  <r>
    <x v="56"/>
    <x v="8"/>
    <x v="1"/>
    <x v="1"/>
    <x v="0"/>
    <x v="0"/>
    <x v="8"/>
    <x v="8"/>
    <x v="674"/>
    <x v="0"/>
    <x v="56"/>
    <x v="0"/>
  </r>
  <r>
    <x v="56"/>
    <x v="1"/>
    <x v="1"/>
    <x v="1"/>
    <x v="0"/>
    <x v="0"/>
    <x v="1"/>
    <x v="1"/>
    <x v="1"/>
    <x v="141"/>
    <x v="56"/>
    <x v="0"/>
  </r>
  <r>
    <x v="56"/>
    <x v="7"/>
    <x v="2"/>
    <x v="2"/>
    <x v="0"/>
    <x v="1"/>
    <x v="7"/>
    <x v="7"/>
    <x v="675"/>
    <x v="0"/>
    <x v="56"/>
    <x v="0"/>
  </r>
  <r>
    <x v="56"/>
    <x v="2"/>
    <x v="2"/>
    <x v="2"/>
    <x v="0"/>
    <x v="1"/>
    <x v="2"/>
    <x v="2"/>
    <x v="676"/>
    <x v="0"/>
    <x v="56"/>
    <x v="0"/>
  </r>
  <r>
    <x v="56"/>
    <x v="10"/>
    <x v="3"/>
    <x v="3"/>
    <x v="0"/>
    <x v="1"/>
    <x v="10"/>
    <x v="10"/>
    <x v="677"/>
    <x v="0"/>
    <x v="56"/>
    <x v="0"/>
  </r>
  <r>
    <x v="56"/>
    <x v="3"/>
    <x v="3"/>
    <x v="3"/>
    <x v="0"/>
    <x v="1"/>
    <x v="3"/>
    <x v="3"/>
    <x v="678"/>
    <x v="0"/>
    <x v="56"/>
    <x v="0"/>
  </r>
  <r>
    <x v="56"/>
    <x v="0"/>
    <x v="0"/>
    <x v="0"/>
    <x v="0"/>
    <x v="1"/>
    <x v="0"/>
    <x v="0"/>
    <x v="284"/>
    <x v="0"/>
    <x v="56"/>
    <x v="0"/>
  </r>
  <r>
    <x v="56"/>
    <x v="5"/>
    <x v="0"/>
    <x v="0"/>
    <x v="0"/>
    <x v="1"/>
    <x v="5"/>
    <x v="5"/>
    <x v="679"/>
    <x v="0"/>
    <x v="56"/>
    <x v="0"/>
  </r>
  <r>
    <x v="56"/>
    <x v="13"/>
    <x v="5"/>
    <x v="5"/>
    <x v="0"/>
    <x v="1"/>
    <x v="13"/>
    <x v="13"/>
    <x v="680"/>
    <x v="0"/>
    <x v="56"/>
    <x v="0"/>
  </r>
  <r>
    <x v="56"/>
    <x v="6"/>
    <x v="5"/>
    <x v="5"/>
    <x v="0"/>
    <x v="1"/>
    <x v="6"/>
    <x v="6"/>
    <x v="681"/>
    <x v="0"/>
    <x v="56"/>
    <x v="0"/>
  </r>
  <r>
    <x v="56"/>
    <x v="1"/>
    <x v="1"/>
    <x v="1"/>
    <x v="0"/>
    <x v="1"/>
    <x v="1"/>
    <x v="1"/>
    <x v="1"/>
    <x v="142"/>
    <x v="56"/>
    <x v="0"/>
  </r>
  <r>
    <x v="57"/>
    <x v="11"/>
    <x v="6"/>
    <x v="6"/>
    <x v="0"/>
    <x v="2"/>
    <x v="11"/>
    <x v="11"/>
    <x v="682"/>
    <x v="0"/>
    <x v="57"/>
    <x v="0"/>
  </r>
  <r>
    <x v="57"/>
    <x v="1"/>
    <x v="1"/>
    <x v="1"/>
    <x v="0"/>
    <x v="2"/>
    <x v="1"/>
    <x v="1"/>
    <x v="1"/>
    <x v="143"/>
    <x v="57"/>
    <x v="0"/>
  </r>
  <r>
    <x v="57"/>
    <x v="7"/>
    <x v="2"/>
    <x v="2"/>
    <x v="0"/>
    <x v="0"/>
    <x v="7"/>
    <x v="7"/>
    <x v="683"/>
    <x v="0"/>
    <x v="57"/>
    <x v="0"/>
  </r>
  <r>
    <x v="57"/>
    <x v="2"/>
    <x v="2"/>
    <x v="2"/>
    <x v="0"/>
    <x v="0"/>
    <x v="2"/>
    <x v="2"/>
    <x v="684"/>
    <x v="0"/>
    <x v="57"/>
    <x v="0"/>
  </r>
  <r>
    <x v="57"/>
    <x v="9"/>
    <x v="6"/>
    <x v="6"/>
    <x v="0"/>
    <x v="0"/>
    <x v="9"/>
    <x v="9"/>
    <x v="685"/>
    <x v="0"/>
    <x v="57"/>
    <x v="0"/>
  </r>
  <r>
    <x v="57"/>
    <x v="11"/>
    <x v="6"/>
    <x v="6"/>
    <x v="0"/>
    <x v="0"/>
    <x v="11"/>
    <x v="11"/>
    <x v="686"/>
    <x v="0"/>
    <x v="57"/>
    <x v="0"/>
  </r>
  <r>
    <x v="57"/>
    <x v="10"/>
    <x v="3"/>
    <x v="3"/>
    <x v="0"/>
    <x v="0"/>
    <x v="10"/>
    <x v="10"/>
    <x v="687"/>
    <x v="0"/>
    <x v="57"/>
    <x v="0"/>
  </r>
  <r>
    <x v="57"/>
    <x v="3"/>
    <x v="3"/>
    <x v="3"/>
    <x v="0"/>
    <x v="0"/>
    <x v="3"/>
    <x v="3"/>
    <x v="688"/>
    <x v="0"/>
    <x v="57"/>
    <x v="0"/>
  </r>
  <r>
    <x v="57"/>
    <x v="12"/>
    <x v="4"/>
    <x v="4"/>
    <x v="0"/>
    <x v="0"/>
    <x v="12"/>
    <x v="12"/>
    <x v="689"/>
    <x v="0"/>
    <x v="57"/>
    <x v="0"/>
  </r>
  <r>
    <x v="57"/>
    <x v="4"/>
    <x v="4"/>
    <x v="4"/>
    <x v="0"/>
    <x v="0"/>
    <x v="4"/>
    <x v="4"/>
    <x v="690"/>
    <x v="0"/>
    <x v="57"/>
    <x v="0"/>
  </r>
  <r>
    <x v="57"/>
    <x v="0"/>
    <x v="0"/>
    <x v="0"/>
    <x v="0"/>
    <x v="0"/>
    <x v="0"/>
    <x v="0"/>
    <x v="691"/>
    <x v="0"/>
    <x v="57"/>
    <x v="0"/>
  </r>
  <r>
    <x v="57"/>
    <x v="5"/>
    <x v="0"/>
    <x v="0"/>
    <x v="0"/>
    <x v="0"/>
    <x v="5"/>
    <x v="5"/>
    <x v="692"/>
    <x v="0"/>
    <x v="57"/>
    <x v="0"/>
  </r>
  <r>
    <x v="57"/>
    <x v="13"/>
    <x v="5"/>
    <x v="5"/>
    <x v="0"/>
    <x v="0"/>
    <x v="13"/>
    <x v="13"/>
    <x v="693"/>
    <x v="0"/>
    <x v="57"/>
    <x v="0"/>
  </r>
  <r>
    <x v="57"/>
    <x v="6"/>
    <x v="5"/>
    <x v="5"/>
    <x v="0"/>
    <x v="0"/>
    <x v="6"/>
    <x v="6"/>
    <x v="694"/>
    <x v="0"/>
    <x v="57"/>
    <x v="0"/>
  </r>
  <r>
    <x v="57"/>
    <x v="14"/>
    <x v="1"/>
    <x v="1"/>
    <x v="0"/>
    <x v="0"/>
    <x v="14"/>
    <x v="14"/>
    <x v="695"/>
    <x v="0"/>
    <x v="57"/>
    <x v="0"/>
  </r>
  <r>
    <x v="57"/>
    <x v="8"/>
    <x v="1"/>
    <x v="1"/>
    <x v="0"/>
    <x v="0"/>
    <x v="8"/>
    <x v="8"/>
    <x v="696"/>
    <x v="0"/>
    <x v="57"/>
    <x v="0"/>
  </r>
  <r>
    <x v="57"/>
    <x v="1"/>
    <x v="1"/>
    <x v="1"/>
    <x v="0"/>
    <x v="0"/>
    <x v="1"/>
    <x v="1"/>
    <x v="1"/>
    <x v="144"/>
    <x v="57"/>
    <x v="0"/>
  </r>
  <r>
    <x v="57"/>
    <x v="9"/>
    <x v="6"/>
    <x v="6"/>
    <x v="0"/>
    <x v="1"/>
    <x v="9"/>
    <x v="9"/>
    <x v="697"/>
    <x v="0"/>
    <x v="57"/>
    <x v="0"/>
  </r>
  <r>
    <x v="57"/>
    <x v="11"/>
    <x v="6"/>
    <x v="6"/>
    <x v="0"/>
    <x v="1"/>
    <x v="11"/>
    <x v="11"/>
    <x v="698"/>
    <x v="0"/>
    <x v="57"/>
    <x v="0"/>
  </r>
  <r>
    <x v="57"/>
    <x v="10"/>
    <x v="3"/>
    <x v="3"/>
    <x v="0"/>
    <x v="1"/>
    <x v="10"/>
    <x v="10"/>
    <x v="699"/>
    <x v="0"/>
    <x v="57"/>
    <x v="0"/>
  </r>
  <r>
    <x v="57"/>
    <x v="3"/>
    <x v="3"/>
    <x v="3"/>
    <x v="0"/>
    <x v="1"/>
    <x v="3"/>
    <x v="3"/>
    <x v="700"/>
    <x v="0"/>
    <x v="57"/>
    <x v="0"/>
  </r>
  <r>
    <x v="57"/>
    <x v="12"/>
    <x v="4"/>
    <x v="4"/>
    <x v="0"/>
    <x v="1"/>
    <x v="12"/>
    <x v="12"/>
    <x v="701"/>
    <x v="0"/>
    <x v="57"/>
    <x v="0"/>
  </r>
  <r>
    <x v="57"/>
    <x v="4"/>
    <x v="4"/>
    <x v="4"/>
    <x v="0"/>
    <x v="1"/>
    <x v="4"/>
    <x v="4"/>
    <x v="702"/>
    <x v="0"/>
    <x v="57"/>
    <x v="0"/>
  </r>
  <r>
    <x v="57"/>
    <x v="13"/>
    <x v="5"/>
    <x v="5"/>
    <x v="0"/>
    <x v="1"/>
    <x v="13"/>
    <x v="13"/>
    <x v="703"/>
    <x v="0"/>
    <x v="57"/>
    <x v="0"/>
  </r>
  <r>
    <x v="57"/>
    <x v="6"/>
    <x v="5"/>
    <x v="5"/>
    <x v="0"/>
    <x v="1"/>
    <x v="6"/>
    <x v="6"/>
    <x v="704"/>
    <x v="0"/>
    <x v="57"/>
    <x v="0"/>
  </r>
  <r>
    <x v="57"/>
    <x v="8"/>
    <x v="1"/>
    <x v="1"/>
    <x v="0"/>
    <x v="1"/>
    <x v="8"/>
    <x v="8"/>
    <x v="705"/>
    <x v="0"/>
    <x v="57"/>
    <x v="0"/>
  </r>
  <r>
    <x v="57"/>
    <x v="1"/>
    <x v="1"/>
    <x v="1"/>
    <x v="0"/>
    <x v="1"/>
    <x v="1"/>
    <x v="1"/>
    <x v="1"/>
    <x v="145"/>
    <x v="57"/>
    <x v="0"/>
  </r>
  <r>
    <x v="58"/>
    <x v="4"/>
    <x v="4"/>
    <x v="4"/>
    <x v="0"/>
    <x v="0"/>
    <x v="4"/>
    <x v="4"/>
    <x v="706"/>
    <x v="0"/>
    <x v="58"/>
    <x v="0"/>
  </r>
  <r>
    <x v="58"/>
    <x v="0"/>
    <x v="0"/>
    <x v="0"/>
    <x v="0"/>
    <x v="0"/>
    <x v="0"/>
    <x v="0"/>
    <x v="707"/>
    <x v="0"/>
    <x v="58"/>
    <x v="0"/>
  </r>
  <r>
    <x v="58"/>
    <x v="1"/>
    <x v="1"/>
    <x v="1"/>
    <x v="0"/>
    <x v="0"/>
    <x v="1"/>
    <x v="1"/>
    <x v="1"/>
    <x v="146"/>
    <x v="58"/>
    <x v="0"/>
  </r>
  <r>
    <x v="59"/>
    <x v="0"/>
    <x v="0"/>
    <x v="0"/>
    <x v="0"/>
    <x v="0"/>
    <x v="0"/>
    <x v="0"/>
    <x v="12"/>
    <x v="0"/>
    <x v="59"/>
    <x v="0"/>
  </r>
  <r>
    <x v="59"/>
    <x v="1"/>
    <x v="1"/>
    <x v="1"/>
    <x v="0"/>
    <x v="0"/>
    <x v="1"/>
    <x v="1"/>
    <x v="1"/>
    <x v="147"/>
    <x v="59"/>
    <x v="0"/>
  </r>
  <r>
    <x v="60"/>
    <x v="10"/>
    <x v="3"/>
    <x v="3"/>
    <x v="0"/>
    <x v="0"/>
    <x v="10"/>
    <x v="10"/>
    <x v="708"/>
    <x v="0"/>
    <x v="60"/>
    <x v="0"/>
  </r>
  <r>
    <x v="60"/>
    <x v="3"/>
    <x v="3"/>
    <x v="3"/>
    <x v="0"/>
    <x v="0"/>
    <x v="3"/>
    <x v="3"/>
    <x v="709"/>
    <x v="0"/>
    <x v="60"/>
    <x v="0"/>
  </r>
  <r>
    <x v="60"/>
    <x v="1"/>
    <x v="1"/>
    <x v="1"/>
    <x v="0"/>
    <x v="0"/>
    <x v="1"/>
    <x v="1"/>
    <x v="1"/>
    <x v="148"/>
    <x v="60"/>
    <x v="0"/>
  </r>
  <r>
    <x v="60"/>
    <x v="2"/>
    <x v="2"/>
    <x v="2"/>
    <x v="0"/>
    <x v="1"/>
    <x v="2"/>
    <x v="2"/>
    <x v="710"/>
    <x v="0"/>
    <x v="60"/>
    <x v="0"/>
  </r>
  <r>
    <x v="60"/>
    <x v="9"/>
    <x v="6"/>
    <x v="6"/>
    <x v="0"/>
    <x v="1"/>
    <x v="9"/>
    <x v="9"/>
    <x v="711"/>
    <x v="0"/>
    <x v="60"/>
    <x v="0"/>
  </r>
  <r>
    <x v="60"/>
    <x v="11"/>
    <x v="6"/>
    <x v="6"/>
    <x v="0"/>
    <x v="1"/>
    <x v="11"/>
    <x v="11"/>
    <x v="712"/>
    <x v="0"/>
    <x v="60"/>
    <x v="0"/>
  </r>
  <r>
    <x v="60"/>
    <x v="1"/>
    <x v="1"/>
    <x v="1"/>
    <x v="0"/>
    <x v="1"/>
    <x v="1"/>
    <x v="1"/>
    <x v="1"/>
    <x v="149"/>
    <x v="60"/>
    <x v="0"/>
  </r>
  <r>
    <x v="61"/>
    <x v="4"/>
    <x v="4"/>
    <x v="4"/>
    <x v="0"/>
    <x v="0"/>
    <x v="4"/>
    <x v="4"/>
    <x v="713"/>
    <x v="0"/>
    <x v="61"/>
    <x v="0"/>
  </r>
  <r>
    <x v="61"/>
    <x v="13"/>
    <x v="5"/>
    <x v="5"/>
    <x v="0"/>
    <x v="0"/>
    <x v="13"/>
    <x v="13"/>
    <x v="714"/>
    <x v="0"/>
    <x v="61"/>
    <x v="0"/>
  </r>
  <r>
    <x v="61"/>
    <x v="1"/>
    <x v="1"/>
    <x v="1"/>
    <x v="0"/>
    <x v="0"/>
    <x v="1"/>
    <x v="1"/>
    <x v="1"/>
    <x v="150"/>
    <x v="61"/>
    <x v="0"/>
  </r>
  <r>
    <x v="62"/>
    <x v="9"/>
    <x v="6"/>
    <x v="6"/>
    <x v="0"/>
    <x v="2"/>
    <x v="9"/>
    <x v="9"/>
    <x v="715"/>
    <x v="0"/>
    <x v="62"/>
    <x v="0"/>
  </r>
  <r>
    <x v="62"/>
    <x v="1"/>
    <x v="1"/>
    <x v="1"/>
    <x v="0"/>
    <x v="2"/>
    <x v="1"/>
    <x v="1"/>
    <x v="1"/>
    <x v="151"/>
    <x v="62"/>
    <x v="0"/>
  </r>
  <r>
    <x v="62"/>
    <x v="9"/>
    <x v="6"/>
    <x v="6"/>
    <x v="0"/>
    <x v="0"/>
    <x v="9"/>
    <x v="9"/>
    <x v="716"/>
    <x v="0"/>
    <x v="62"/>
    <x v="0"/>
  </r>
  <r>
    <x v="62"/>
    <x v="6"/>
    <x v="5"/>
    <x v="5"/>
    <x v="0"/>
    <x v="0"/>
    <x v="6"/>
    <x v="6"/>
    <x v="717"/>
    <x v="0"/>
    <x v="62"/>
    <x v="0"/>
  </r>
  <r>
    <x v="62"/>
    <x v="1"/>
    <x v="1"/>
    <x v="1"/>
    <x v="0"/>
    <x v="0"/>
    <x v="1"/>
    <x v="1"/>
    <x v="1"/>
    <x v="152"/>
    <x v="62"/>
    <x v="0"/>
  </r>
  <r>
    <x v="62"/>
    <x v="9"/>
    <x v="6"/>
    <x v="6"/>
    <x v="0"/>
    <x v="1"/>
    <x v="9"/>
    <x v="9"/>
    <x v="718"/>
    <x v="0"/>
    <x v="62"/>
    <x v="0"/>
  </r>
  <r>
    <x v="62"/>
    <x v="1"/>
    <x v="1"/>
    <x v="1"/>
    <x v="0"/>
    <x v="1"/>
    <x v="1"/>
    <x v="1"/>
    <x v="1"/>
    <x v="153"/>
    <x v="62"/>
    <x v="0"/>
  </r>
  <r>
    <x v="63"/>
    <x v="4"/>
    <x v="4"/>
    <x v="4"/>
    <x v="0"/>
    <x v="0"/>
    <x v="4"/>
    <x v="4"/>
    <x v="719"/>
    <x v="0"/>
    <x v="63"/>
    <x v="0"/>
  </r>
  <r>
    <x v="63"/>
    <x v="1"/>
    <x v="1"/>
    <x v="1"/>
    <x v="0"/>
    <x v="0"/>
    <x v="1"/>
    <x v="1"/>
    <x v="1"/>
    <x v="154"/>
    <x v="63"/>
    <x v="0"/>
  </r>
  <r>
    <x v="63"/>
    <x v="1"/>
    <x v="1"/>
    <x v="1"/>
    <x v="0"/>
    <x v="1"/>
    <x v="1"/>
    <x v="1"/>
    <x v="1"/>
    <x v="155"/>
    <x v="63"/>
    <x v="0"/>
  </r>
  <r>
    <x v="64"/>
    <x v="1"/>
    <x v="1"/>
    <x v="1"/>
    <x v="0"/>
    <x v="0"/>
    <x v="1"/>
    <x v="1"/>
    <x v="1"/>
    <x v="156"/>
    <x v="64"/>
    <x v="0"/>
  </r>
  <r>
    <x v="65"/>
    <x v="1"/>
    <x v="1"/>
    <x v="1"/>
    <x v="0"/>
    <x v="2"/>
    <x v="1"/>
    <x v="1"/>
    <x v="1"/>
    <x v="157"/>
    <x v="65"/>
    <x v="0"/>
  </r>
  <r>
    <x v="65"/>
    <x v="12"/>
    <x v="4"/>
    <x v="4"/>
    <x v="0"/>
    <x v="0"/>
    <x v="12"/>
    <x v="12"/>
    <x v="720"/>
    <x v="0"/>
    <x v="65"/>
    <x v="0"/>
  </r>
  <r>
    <x v="65"/>
    <x v="0"/>
    <x v="0"/>
    <x v="0"/>
    <x v="0"/>
    <x v="0"/>
    <x v="0"/>
    <x v="0"/>
    <x v="721"/>
    <x v="0"/>
    <x v="65"/>
    <x v="0"/>
  </r>
  <r>
    <x v="65"/>
    <x v="5"/>
    <x v="0"/>
    <x v="0"/>
    <x v="0"/>
    <x v="0"/>
    <x v="5"/>
    <x v="5"/>
    <x v="722"/>
    <x v="0"/>
    <x v="65"/>
    <x v="0"/>
  </r>
  <r>
    <x v="65"/>
    <x v="1"/>
    <x v="1"/>
    <x v="1"/>
    <x v="0"/>
    <x v="0"/>
    <x v="1"/>
    <x v="1"/>
    <x v="1"/>
    <x v="158"/>
    <x v="65"/>
    <x v="0"/>
  </r>
  <r>
    <x v="66"/>
    <x v="11"/>
    <x v="6"/>
    <x v="6"/>
    <x v="0"/>
    <x v="0"/>
    <x v="11"/>
    <x v="11"/>
    <x v="723"/>
    <x v="0"/>
    <x v="66"/>
    <x v="0"/>
  </r>
  <r>
    <x v="66"/>
    <x v="3"/>
    <x v="3"/>
    <x v="3"/>
    <x v="0"/>
    <x v="0"/>
    <x v="3"/>
    <x v="3"/>
    <x v="724"/>
    <x v="0"/>
    <x v="66"/>
    <x v="0"/>
  </r>
  <r>
    <x v="66"/>
    <x v="4"/>
    <x v="4"/>
    <x v="4"/>
    <x v="0"/>
    <x v="0"/>
    <x v="4"/>
    <x v="4"/>
    <x v="725"/>
    <x v="0"/>
    <x v="66"/>
    <x v="0"/>
  </r>
  <r>
    <x v="66"/>
    <x v="5"/>
    <x v="0"/>
    <x v="0"/>
    <x v="0"/>
    <x v="0"/>
    <x v="5"/>
    <x v="5"/>
    <x v="725"/>
    <x v="0"/>
    <x v="66"/>
    <x v="0"/>
  </r>
  <r>
    <x v="66"/>
    <x v="13"/>
    <x v="5"/>
    <x v="5"/>
    <x v="0"/>
    <x v="0"/>
    <x v="13"/>
    <x v="13"/>
    <x v="726"/>
    <x v="0"/>
    <x v="66"/>
    <x v="0"/>
  </r>
  <r>
    <x v="66"/>
    <x v="1"/>
    <x v="1"/>
    <x v="1"/>
    <x v="0"/>
    <x v="0"/>
    <x v="1"/>
    <x v="1"/>
    <x v="1"/>
    <x v="159"/>
    <x v="66"/>
    <x v="0"/>
  </r>
  <r>
    <x v="66"/>
    <x v="7"/>
    <x v="2"/>
    <x v="2"/>
    <x v="0"/>
    <x v="1"/>
    <x v="7"/>
    <x v="7"/>
    <x v="727"/>
    <x v="0"/>
    <x v="66"/>
    <x v="0"/>
  </r>
  <r>
    <x v="66"/>
    <x v="10"/>
    <x v="3"/>
    <x v="3"/>
    <x v="0"/>
    <x v="1"/>
    <x v="10"/>
    <x v="10"/>
    <x v="728"/>
    <x v="0"/>
    <x v="66"/>
    <x v="0"/>
  </r>
  <r>
    <x v="66"/>
    <x v="1"/>
    <x v="1"/>
    <x v="1"/>
    <x v="0"/>
    <x v="1"/>
    <x v="1"/>
    <x v="1"/>
    <x v="1"/>
    <x v="160"/>
    <x v="66"/>
    <x v="0"/>
  </r>
  <r>
    <x v="67"/>
    <x v="9"/>
    <x v="6"/>
    <x v="6"/>
    <x v="0"/>
    <x v="0"/>
    <x v="9"/>
    <x v="9"/>
    <x v="729"/>
    <x v="0"/>
    <x v="67"/>
    <x v="0"/>
  </r>
  <r>
    <x v="67"/>
    <x v="12"/>
    <x v="4"/>
    <x v="4"/>
    <x v="0"/>
    <x v="0"/>
    <x v="12"/>
    <x v="12"/>
    <x v="730"/>
    <x v="0"/>
    <x v="67"/>
    <x v="0"/>
  </r>
  <r>
    <x v="67"/>
    <x v="1"/>
    <x v="1"/>
    <x v="1"/>
    <x v="0"/>
    <x v="0"/>
    <x v="1"/>
    <x v="1"/>
    <x v="1"/>
    <x v="161"/>
    <x v="67"/>
    <x v="0"/>
  </r>
  <r>
    <x v="67"/>
    <x v="9"/>
    <x v="6"/>
    <x v="6"/>
    <x v="0"/>
    <x v="1"/>
    <x v="9"/>
    <x v="9"/>
    <x v="284"/>
    <x v="0"/>
    <x v="67"/>
    <x v="0"/>
  </r>
  <r>
    <x v="67"/>
    <x v="1"/>
    <x v="1"/>
    <x v="1"/>
    <x v="0"/>
    <x v="1"/>
    <x v="1"/>
    <x v="1"/>
    <x v="1"/>
    <x v="62"/>
    <x v="67"/>
    <x v="0"/>
  </r>
  <r>
    <x v="68"/>
    <x v="0"/>
    <x v="0"/>
    <x v="0"/>
    <x v="0"/>
    <x v="0"/>
    <x v="0"/>
    <x v="0"/>
    <x v="731"/>
    <x v="0"/>
    <x v="68"/>
    <x v="0"/>
  </r>
  <r>
    <x v="68"/>
    <x v="1"/>
    <x v="1"/>
    <x v="1"/>
    <x v="0"/>
    <x v="0"/>
    <x v="1"/>
    <x v="1"/>
    <x v="1"/>
    <x v="162"/>
    <x v="68"/>
    <x v="0"/>
  </r>
  <r>
    <x v="69"/>
    <x v="11"/>
    <x v="6"/>
    <x v="6"/>
    <x v="0"/>
    <x v="2"/>
    <x v="11"/>
    <x v="11"/>
    <x v="732"/>
    <x v="0"/>
    <x v="69"/>
    <x v="0"/>
  </r>
  <r>
    <x v="69"/>
    <x v="5"/>
    <x v="0"/>
    <x v="0"/>
    <x v="0"/>
    <x v="2"/>
    <x v="5"/>
    <x v="5"/>
    <x v="733"/>
    <x v="0"/>
    <x v="69"/>
    <x v="0"/>
  </r>
  <r>
    <x v="69"/>
    <x v="1"/>
    <x v="1"/>
    <x v="1"/>
    <x v="0"/>
    <x v="2"/>
    <x v="1"/>
    <x v="1"/>
    <x v="1"/>
    <x v="163"/>
    <x v="69"/>
    <x v="0"/>
  </r>
  <r>
    <x v="69"/>
    <x v="1"/>
    <x v="1"/>
    <x v="1"/>
    <x v="0"/>
    <x v="0"/>
    <x v="1"/>
    <x v="1"/>
    <x v="1"/>
    <x v="164"/>
    <x v="69"/>
    <x v="0"/>
  </r>
  <r>
    <x v="69"/>
    <x v="2"/>
    <x v="2"/>
    <x v="2"/>
    <x v="0"/>
    <x v="1"/>
    <x v="2"/>
    <x v="2"/>
    <x v="734"/>
    <x v="0"/>
    <x v="69"/>
    <x v="0"/>
  </r>
  <r>
    <x v="69"/>
    <x v="1"/>
    <x v="1"/>
    <x v="1"/>
    <x v="0"/>
    <x v="1"/>
    <x v="1"/>
    <x v="1"/>
    <x v="1"/>
    <x v="165"/>
    <x v="69"/>
    <x v="0"/>
  </r>
  <r>
    <x v="0"/>
    <x v="24"/>
    <x v="2"/>
    <x v="2"/>
    <x v="0"/>
    <x v="2"/>
    <x v="20"/>
    <x v="24"/>
    <x v="735"/>
    <x v="0"/>
    <x v="0"/>
    <x v="1"/>
  </r>
  <r>
    <x v="0"/>
    <x v="25"/>
    <x v="2"/>
    <x v="2"/>
    <x v="0"/>
    <x v="2"/>
    <x v="20"/>
    <x v="24"/>
    <x v="736"/>
    <x v="0"/>
    <x v="0"/>
    <x v="1"/>
  </r>
  <r>
    <x v="0"/>
    <x v="26"/>
    <x v="3"/>
    <x v="3"/>
    <x v="0"/>
    <x v="2"/>
    <x v="20"/>
    <x v="24"/>
    <x v="737"/>
    <x v="0"/>
    <x v="0"/>
    <x v="1"/>
  </r>
  <r>
    <x v="0"/>
    <x v="27"/>
    <x v="3"/>
    <x v="3"/>
    <x v="0"/>
    <x v="2"/>
    <x v="20"/>
    <x v="24"/>
    <x v="738"/>
    <x v="0"/>
    <x v="0"/>
    <x v="1"/>
  </r>
  <r>
    <x v="0"/>
    <x v="28"/>
    <x v="3"/>
    <x v="3"/>
    <x v="0"/>
    <x v="2"/>
    <x v="20"/>
    <x v="24"/>
    <x v="737"/>
    <x v="0"/>
    <x v="0"/>
    <x v="1"/>
  </r>
  <r>
    <x v="0"/>
    <x v="29"/>
    <x v="4"/>
    <x v="4"/>
    <x v="0"/>
    <x v="2"/>
    <x v="20"/>
    <x v="24"/>
    <x v="739"/>
    <x v="0"/>
    <x v="0"/>
    <x v="1"/>
  </r>
  <r>
    <x v="0"/>
    <x v="30"/>
    <x v="4"/>
    <x v="4"/>
    <x v="0"/>
    <x v="2"/>
    <x v="20"/>
    <x v="24"/>
    <x v="740"/>
    <x v="0"/>
    <x v="0"/>
    <x v="1"/>
  </r>
  <r>
    <x v="0"/>
    <x v="31"/>
    <x v="4"/>
    <x v="4"/>
    <x v="0"/>
    <x v="2"/>
    <x v="20"/>
    <x v="24"/>
    <x v="737"/>
    <x v="0"/>
    <x v="0"/>
    <x v="1"/>
  </r>
  <r>
    <x v="0"/>
    <x v="32"/>
    <x v="5"/>
    <x v="5"/>
    <x v="0"/>
    <x v="2"/>
    <x v="20"/>
    <x v="24"/>
    <x v="737"/>
    <x v="0"/>
    <x v="0"/>
    <x v="1"/>
  </r>
  <r>
    <x v="0"/>
    <x v="33"/>
    <x v="1"/>
    <x v="1"/>
    <x v="0"/>
    <x v="2"/>
    <x v="20"/>
    <x v="24"/>
    <x v="741"/>
    <x v="0"/>
    <x v="0"/>
    <x v="1"/>
  </r>
  <r>
    <x v="0"/>
    <x v="1"/>
    <x v="1"/>
    <x v="1"/>
    <x v="0"/>
    <x v="2"/>
    <x v="1"/>
    <x v="1"/>
    <x v="1"/>
    <x v="166"/>
    <x v="0"/>
    <x v="1"/>
  </r>
  <r>
    <x v="0"/>
    <x v="1"/>
    <x v="1"/>
    <x v="1"/>
    <x v="0"/>
    <x v="1"/>
    <x v="1"/>
    <x v="1"/>
    <x v="1"/>
    <x v="167"/>
    <x v="0"/>
    <x v="1"/>
  </r>
  <r>
    <x v="1"/>
    <x v="34"/>
    <x v="5"/>
    <x v="5"/>
    <x v="0"/>
    <x v="2"/>
    <x v="20"/>
    <x v="25"/>
    <x v="742"/>
    <x v="0"/>
    <x v="1"/>
    <x v="1"/>
  </r>
  <r>
    <x v="1"/>
    <x v="1"/>
    <x v="1"/>
    <x v="1"/>
    <x v="0"/>
    <x v="2"/>
    <x v="1"/>
    <x v="1"/>
    <x v="1"/>
    <x v="168"/>
    <x v="1"/>
    <x v="1"/>
  </r>
  <r>
    <x v="2"/>
    <x v="35"/>
    <x v="2"/>
    <x v="2"/>
    <x v="0"/>
    <x v="2"/>
    <x v="20"/>
    <x v="26"/>
    <x v="743"/>
    <x v="0"/>
    <x v="2"/>
    <x v="1"/>
  </r>
  <r>
    <x v="2"/>
    <x v="36"/>
    <x v="6"/>
    <x v="6"/>
    <x v="0"/>
    <x v="2"/>
    <x v="20"/>
    <x v="26"/>
    <x v="744"/>
    <x v="0"/>
    <x v="2"/>
    <x v="1"/>
  </r>
  <r>
    <x v="2"/>
    <x v="15"/>
    <x v="6"/>
    <x v="6"/>
    <x v="0"/>
    <x v="2"/>
    <x v="20"/>
    <x v="26"/>
    <x v="737"/>
    <x v="0"/>
    <x v="2"/>
    <x v="1"/>
  </r>
  <r>
    <x v="2"/>
    <x v="37"/>
    <x v="6"/>
    <x v="6"/>
    <x v="0"/>
    <x v="2"/>
    <x v="20"/>
    <x v="26"/>
    <x v="745"/>
    <x v="0"/>
    <x v="2"/>
    <x v="1"/>
  </r>
  <r>
    <x v="2"/>
    <x v="19"/>
    <x v="3"/>
    <x v="3"/>
    <x v="0"/>
    <x v="2"/>
    <x v="20"/>
    <x v="26"/>
    <x v="745"/>
    <x v="0"/>
    <x v="2"/>
    <x v="1"/>
  </r>
  <r>
    <x v="2"/>
    <x v="38"/>
    <x v="4"/>
    <x v="4"/>
    <x v="0"/>
    <x v="2"/>
    <x v="20"/>
    <x v="26"/>
    <x v="742"/>
    <x v="0"/>
    <x v="2"/>
    <x v="1"/>
  </r>
  <r>
    <x v="2"/>
    <x v="31"/>
    <x v="4"/>
    <x v="4"/>
    <x v="0"/>
    <x v="2"/>
    <x v="20"/>
    <x v="26"/>
    <x v="742"/>
    <x v="0"/>
    <x v="2"/>
    <x v="1"/>
  </r>
  <r>
    <x v="2"/>
    <x v="39"/>
    <x v="4"/>
    <x v="4"/>
    <x v="0"/>
    <x v="2"/>
    <x v="20"/>
    <x v="26"/>
    <x v="737"/>
    <x v="0"/>
    <x v="2"/>
    <x v="1"/>
  </r>
  <r>
    <x v="2"/>
    <x v="40"/>
    <x v="1"/>
    <x v="1"/>
    <x v="0"/>
    <x v="2"/>
    <x v="20"/>
    <x v="26"/>
    <x v="744"/>
    <x v="0"/>
    <x v="2"/>
    <x v="1"/>
  </r>
  <r>
    <x v="2"/>
    <x v="41"/>
    <x v="1"/>
    <x v="1"/>
    <x v="0"/>
    <x v="2"/>
    <x v="20"/>
    <x v="26"/>
    <x v="737"/>
    <x v="0"/>
    <x v="2"/>
    <x v="1"/>
  </r>
  <r>
    <x v="2"/>
    <x v="42"/>
    <x v="1"/>
    <x v="1"/>
    <x v="0"/>
    <x v="2"/>
    <x v="20"/>
    <x v="26"/>
    <x v="742"/>
    <x v="0"/>
    <x v="2"/>
    <x v="1"/>
  </r>
  <r>
    <x v="2"/>
    <x v="1"/>
    <x v="1"/>
    <x v="1"/>
    <x v="0"/>
    <x v="2"/>
    <x v="1"/>
    <x v="1"/>
    <x v="1"/>
    <x v="169"/>
    <x v="2"/>
    <x v="1"/>
  </r>
  <r>
    <x v="3"/>
    <x v="43"/>
    <x v="3"/>
    <x v="3"/>
    <x v="0"/>
    <x v="2"/>
    <x v="20"/>
    <x v="27"/>
    <x v="737"/>
    <x v="0"/>
    <x v="3"/>
    <x v="1"/>
  </r>
  <r>
    <x v="3"/>
    <x v="44"/>
    <x v="3"/>
    <x v="3"/>
    <x v="0"/>
    <x v="2"/>
    <x v="20"/>
    <x v="27"/>
    <x v="744"/>
    <x v="0"/>
    <x v="3"/>
    <x v="1"/>
  </r>
  <r>
    <x v="3"/>
    <x v="45"/>
    <x v="0"/>
    <x v="0"/>
    <x v="0"/>
    <x v="2"/>
    <x v="20"/>
    <x v="27"/>
    <x v="744"/>
    <x v="0"/>
    <x v="3"/>
    <x v="1"/>
  </r>
  <r>
    <x v="3"/>
    <x v="46"/>
    <x v="0"/>
    <x v="0"/>
    <x v="0"/>
    <x v="2"/>
    <x v="20"/>
    <x v="27"/>
    <x v="744"/>
    <x v="0"/>
    <x v="3"/>
    <x v="1"/>
  </r>
  <r>
    <x v="3"/>
    <x v="1"/>
    <x v="1"/>
    <x v="1"/>
    <x v="0"/>
    <x v="2"/>
    <x v="1"/>
    <x v="1"/>
    <x v="1"/>
    <x v="170"/>
    <x v="3"/>
    <x v="1"/>
  </r>
  <r>
    <x v="4"/>
    <x v="47"/>
    <x v="2"/>
    <x v="2"/>
    <x v="0"/>
    <x v="2"/>
    <x v="20"/>
    <x v="28"/>
    <x v="745"/>
    <x v="0"/>
    <x v="4"/>
    <x v="1"/>
  </r>
  <r>
    <x v="4"/>
    <x v="48"/>
    <x v="2"/>
    <x v="2"/>
    <x v="0"/>
    <x v="2"/>
    <x v="20"/>
    <x v="28"/>
    <x v="744"/>
    <x v="0"/>
    <x v="4"/>
    <x v="1"/>
  </r>
  <r>
    <x v="4"/>
    <x v="36"/>
    <x v="6"/>
    <x v="6"/>
    <x v="0"/>
    <x v="2"/>
    <x v="20"/>
    <x v="28"/>
    <x v="737"/>
    <x v="0"/>
    <x v="4"/>
    <x v="1"/>
  </r>
  <r>
    <x v="4"/>
    <x v="21"/>
    <x v="6"/>
    <x v="6"/>
    <x v="0"/>
    <x v="2"/>
    <x v="20"/>
    <x v="28"/>
    <x v="746"/>
    <x v="0"/>
    <x v="4"/>
    <x v="1"/>
  </r>
  <r>
    <x v="4"/>
    <x v="49"/>
    <x v="3"/>
    <x v="3"/>
    <x v="0"/>
    <x v="2"/>
    <x v="20"/>
    <x v="28"/>
    <x v="745"/>
    <x v="0"/>
    <x v="4"/>
    <x v="1"/>
  </r>
  <r>
    <x v="4"/>
    <x v="19"/>
    <x v="3"/>
    <x v="3"/>
    <x v="0"/>
    <x v="2"/>
    <x v="20"/>
    <x v="28"/>
    <x v="745"/>
    <x v="0"/>
    <x v="4"/>
    <x v="1"/>
  </r>
  <r>
    <x v="4"/>
    <x v="10"/>
    <x v="3"/>
    <x v="3"/>
    <x v="0"/>
    <x v="2"/>
    <x v="20"/>
    <x v="28"/>
    <x v="744"/>
    <x v="0"/>
    <x v="4"/>
    <x v="1"/>
  </r>
  <r>
    <x v="4"/>
    <x v="50"/>
    <x v="4"/>
    <x v="4"/>
    <x v="0"/>
    <x v="2"/>
    <x v="20"/>
    <x v="28"/>
    <x v="744"/>
    <x v="0"/>
    <x v="4"/>
    <x v="1"/>
  </r>
  <r>
    <x v="4"/>
    <x v="51"/>
    <x v="4"/>
    <x v="4"/>
    <x v="0"/>
    <x v="2"/>
    <x v="20"/>
    <x v="28"/>
    <x v="747"/>
    <x v="0"/>
    <x v="4"/>
    <x v="1"/>
  </r>
  <r>
    <x v="4"/>
    <x v="52"/>
    <x v="0"/>
    <x v="0"/>
    <x v="0"/>
    <x v="2"/>
    <x v="20"/>
    <x v="28"/>
    <x v="746"/>
    <x v="0"/>
    <x v="4"/>
    <x v="1"/>
  </r>
  <r>
    <x v="4"/>
    <x v="53"/>
    <x v="0"/>
    <x v="0"/>
    <x v="0"/>
    <x v="2"/>
    <x v="20"/>
    <x v="28"/>
    <x v="737"/>
    <x v="0"/>
    <x v="4"/>
    <x v="1"/>
  </r>
  <r>
    <x v="4"/>
    <x v="54"/>
    <x v="5"/>
    <x v="5"/>
    <x v="0"/>
    <x v="2"/>
    <x v="20"/>
    <x v="28"/>
    <x v="744"/>
    <x v="0"/>
    <x v="4"/>
    <x v="1"/>
  </r>
  <r>
    <x v="4"/>
    <x v="55"/>
    <x v="1"/>
    <x v="1"/>
    <x v="0"/>
    <x v="2"/>
    <x v="20"/>
    <x v="28"/>
    <x v="744"/>
    <x v="0"/>
    <x v="4"/>
    <x v="1"/>
  </r>
  <r>
    <x v="4"/>
    <x v="1"/>
    <x v="1"/>
    <x v="1"/>
    <x v="0"/>
    <x v="2"/>
    <x v="20"/>
    <x v="28"/>
    <x v="744"/>
    <x v="0"/>
    <x v="4"/>
    <x v="1"/>
  </r>
  <r>
    <x v="4"/>
    <x v="1"/>
    <x v="1"/>
    <x v="1"/>
    <x v="0"/>
    <x v="2"/>
    <x v="1"/>
    <x v="1"/>
    <x v="1"/>
    <x v="171"/>
    <x v="4"/>
    <x v="1"/>
  </r>
  <r>
    <x v="5"/>
    <x v="56"/>
    <x v="3"/>
    <x v="3"/>
    <x v="0"/>
    <x v="2"/>
    <x v="20"/>
    <x v="29"/>
    <x v="746"/>
    <x v="0"/>
    <x v="5"/>
    <x v="1"/>
  </r>
  <r>
    <x v="5"/>
    <x v="12"/>
    <x v="4"/>
    <x v="4"/>
    <x v="0"/>
    <x v="2"/>
    <x v="20"/>
    <x v="29"/>
    <x v="748"/>
    <x v="0"/>
    <x v="5"/>
    <x v="1"/>
  </r>
  <r>
    <x v="5"/>
    <x v="30"/>
    <x v="4"/>
    <x v="4"/>
    <x v="0"/>
    <x v="2"/>
    <x v="20"/>
    <x v="29"/>
    <x v="749"/>
    <x v="0"/>
    <x v="5"/>
    <x v="1"/>
  </r>
  <r>
    <x v="5"/>
    <x v="57"/>
    <x v="0"/>
    <x v="0"/>
    <x v="0"/>
    <x v="2"/>
    <x v="20"/>
    <x v="29"/>
    <x v="750"/>
    <x v="0"/>
    <x v="5"/>
    <x v="1"/>
  </r>
  <r>
    <x v="5"/>
    <x v="58"/>
    <x v="1"/>
    <x v="1"/>
    <x v="0"/>
    <x v="2"/>
    <x v="20"/>
    <x v="29"/>
    <x v="742"/>
    <x v="0"/>
    <x v="5"/>
    <x v="1"/>
  </r>
  <r>
    <x v="5"/>
    <x v="1"/>
    <x v="1"/>
    <x v="1"/>
    <x v="0"/>
    <x v="2"/>
    <x v="1"/>
    <x v="1"/>
    <x v="1"/>
    <x v="172"/>
    <x v="5"/>
    <x v="1"/>
  </r>
  <r>
    <x v="6"/>
    <x v="35"/>
    <x v="2"/>
    <x v="2"/>
    <x v="0"/>
    <x v="2"/>
    <x v="20"/>
    <x v="30"/>
    <x v="751"/>
    <x v="0"/>
    <x v="6"/>
    <x v="1"/>
  </r>
  <r>
    <x v="6"/>
    <x v="59"/>
    <x v="6"/>
    <x v="6"/>
    <x v="0"/>
    <x v="2"/>
    <x v="20"/>
    <x v="30"/>
    <x v="737"/>
    <x v="0"/>
    <x v="6"/>
    <x v="1"/>
  </r>
  <r>
    <x v="6"/>
    <x v="60"/>
    <x v="3"/>
    <x v="3"/>
    <x v="0"/>
    <x v="2"/>
    <x v="20"/>
    <x v="30"/>
    <x v="752"/>
    <x v="0"/>
    <x v="6"/>
    <x v="1"/>
  </r>
  <r>
    <x v="6"/>
    <x v="61"/>
    <x v="3"/>
    <x v="3"/>
    <x v="0"/>
    <x v="2"/>
    <x v="20"/>
    <x v="30"/>
    <x v="751"/>
    <x v="0"/>
    <x v="6"/>
    <x v="1"/>
  </r>
  <r>
    <x v="6"/>
    <x v="62"/>
    <x v="4"/>
    <x v="4"/>
    <x v="0"/>
    <x v="2"/>
    <x v="20"/>
    <x v="30"/>
    <x v="742"/>
    <x v="0"/>
    <x v="6"/>
    <x v="1"/>
  </r>
  <r>
    <x v="6"/>
    <x v="4"/>
    <x v="4"/>
    <x v="4"/>
    <x v="0"/>
    <x v="2"/>
    <x v="20"/>
    <x v="30"/>
    <x v="748"/>
    <x v="0"/>
    <x v="6"/>
    <x v="1"/>
  </r>
  <r>
    <x v="6"/>
    <x v="63"/>
    <x v="5"/>
    <x v="5"/>
    <x v="0"/>
    <x v="2"/>
    <x v="20"/>
    <x v="30"/>
    <x v="751"/>
    <x v="0"/>
    <x v="6"/>
    <x v="1"/>
  </r>
  <r>
    <x v="6"/>
    <x v="1"/>
    <x v="1"/>
    <x v="1"/>
    <x v="0"/>
    <x v="2"/>
    <x v="1"/>
    <x v="1"/>
    <x v="1"/>
    <x v="173"/>
    <x v="6"/>
    <x v="1"/>
  </r>
  <r>
    <x v="7"/>
    <x v="64"/>
    <x v="2"/>
    <x v="2"/>
    <x v="0"/>
    <x v="2"/>
    <x v="20"/>
    <x v="31"/>
    <x v="753"/>
    <x v="0"/>
    <x v="7"/>
    <x v="1"/>
  </r>
  <r>
    <x v="7"/>
    <x v="65"/>
    <x v="6"/>
    <x v="6"/>
    <x v="0"/>
    <x v="2"/>
    <x v="20"/>
    <x v="31"/>
    <x v="754"/>
    <x v="0"/>
    <x v="7"/>
    <x v="1"/>
  </r>
  <r>
    <x v="7"/>
    <x v="60"/>
    <x v="3"/>
    <x v="3"/>
    <x v="0"/>
    <x v="2"/>
    <x v="20"/>
    <x v="31"/>
    <x v="755"/>
    <x v="0"/>
    <x v="7"/>
    <x v="1"/>
  </r>
  <r>
    <x v="7"/>
    <x v="29"/>
    <x v="4"/>
    <x v="4"/>
    <x v="0"/>
    <x v="2"/>
    <x v="20"/>
    <x v="31"/>
    <x v="756"/>
    <x v="0"/>
    <x v="7"/>
    <x v="1"/>
  </r>
  <r>
    <x v="7"/>
    <x v="66"/>
    <x v="4"/>
    <x v="4"/>
    <x v="0"/>
    <x v="2"/>
    <x v="20"/>
    <x v="31"/>
    <x v="756"/>
    <x v="0"/>
    <x v="7"/>
    <x v="1"/>
  </r>
  <r>
    <x v="7"/>
    <x v="13"/>
    <x v="5"/>
    <x v="5"/>
    <x v="0"/>
    <x v="2"/>
    <x v="20"/>
    <x v="31"/>
    <x v="757"/>
    <x v="0"/>
    <x v="7"/>
    <x v="1"/>
  </r>
  <r>
    <x v="7"/>
    <x v="1"/>
    <x v="1"/>
    <x v="1"/>
    <x v="0"/>
    <x v="2"/>
    <x v="1"/>
    <x v="1"/>
    <x v="1"/>
    <x v="174"/>
    <x v="7"/>
    <x v="1"/>
  </r>
  <r>
    <x v="8"/>
    <x v="67"/>
    <x v="6"/>
    <x v="6"/>
    <x v="0"/>
    <x v="2"/>
    <x v="21"/>
    <x v="32"/>
    <x v="758"/>
    <x v="0"/>
    <x v="8"/>
    <x v="1"/>
  </r>
  <r>
    <x v="8"/>
    <x v="26"/>
    <x v="3"/>
    <x v="3"/>
    <x v="0"/>
    <x v="2"/>
    <x v="20"/>
    <x v="33"/>
    <x v="759"/>
    <x v="0"/>
    <x v="8"/>
    <x v="1"/>
  </r>
  <r>
    <x v="8"/>
    <x v="68"/>
    <x v="4"/>
    <x v="4"/>
    <x v="0"/>
    <x v="2"/>
    <x v="20"/>
    <x v="33"/>
    <x v="760"/>
    <x v="0"/>
    <x v="8"/>
    <x v="1"/>
  </r>
  <r>
    <x v="8"/>
    <x v="51"/>
    <x v="4"/>
    <x v="4"/>
    <x v="0"/>
    <x v="2"/>
    <x v="21"/>
    <x v="34"/>
    <x v="761"/>
    <x v="0"/>
    <x v="8"/>
    <x v="1"/>
  </r>
  <r>
    <x v="8"/>
    <x v="39"/>
    <x v="4"/>
    <x v="4"/>
    <x v="0"/>
    <x v="2"/>
    <x v="20"/>
    <x v="33"/>
    <x v="762"/>
    <x v="0"/>
    <x v="8"/>
    <x v="1"/>
  </r>
  <r>
    <x v="8"/>
    <x v="1"/>
    <x v="1"/>
    <x v="1"/>
    <x v="0"/>
    <x v="2"/>
    <x v="1"/>
    <x v="1"/>
    <x v="1"/>
    <x v="175"/>
    <x v="8"/>
    <x v="1"/>
  </r>
  <r>
    <x v="9"/>
    <x v="69"/>
    <x v="3"/>
    <x v="3"/>
    <x v="0"/>
    <x v="2"/>
    <x v="20"/>
    <x v="35"/>
    <x v="763"/>
    <x v="0"/>
    <x v="9"/>
    <x v="1"/>
  </r>
  <r>
    <x v="9"/>
    <x v="1"/>
    <x v="1"/>
    <x v="1"/>
    <x v="0"/>
    <x v="2"/>
    <x v="1"/>
    <x v="1"/>
    <x v="1"/>
    <x v="176"/>
    <x v="9"/>
    <x v="1"/>
  </r>
  <r>
    <x v="70"/>
    <x v="70"/>
    <x v="2"/>
    <x v="2"/>
    <x v="0"/>
    <x v="2"/>
    <x v="21"/>
    <x v="36"/>
    <x v="764"/>
    <x v="0"/>
    <x v="70"/>
    <x v="1"/>
  </r>
  <r>
    <x v="70"/>
    <x v="71"/>
    <x v="6"/>
    <x v="6"/>
    <x v="0"/>
    <x v="2"/>
    <x v="21"/>
    <x v="37"/>
    <x v="765"/>
    <x v="0"/>
    <x v="70"/>
    <x v="1"/>
  </r>
  <r>
    <x v="70"/>
    <x v="72"/>
    <x v="5"/>
    <x v="5"/>
    <x v="0"/>
    <x v="2"/>
    <x v="21"/>
    <x v="38"/>
    <x v="766"/>
    <x v="0"/>
    <x v="70"/>
    <x v="1"/>
  </r>
  <r>
    <x v="70"/>
    <x v="73"/>
    <x v="1"/>
    <x v="1"/>
    <x v="0"/>
    <x v="2"/>
    <x v="21"/>
    <x v="39"/>
    <x v="767"/>
    <x v="0"/>
    <x v="70"/>
    <x v="1"/>
  </r>
  <r>
    <x v="70"/>
    <x v="1"/>
    <x v="1"/>
    <x v="1"/>
    <x v="0"/>
    <x v="2"/>
    <x v="1"/>
    <x v="1"/>
    <x v="1"/>
    <x v="177"/>
    <x v="70"/>
    <x v="1"/>
  </r>
  <r>
    <x v="71"/>
    <x v="1"/>
    <x v="1"/>
    <x v="1"/>
    <x v="0"/>
    <x v="2"/>
    <x v="1"/>
    <x v="1"/>
    <x v="1"/>
    <x v="178"/>
    <x v="71"/>
    <x v="1"/>
  </r>
  <r>
    <x v="10"/>
    <x v="74"/>
    <x v="3"/>
    <x v="3"/>
    <x v="0"/>
    <x v="2"/>
    <x v="20"/>
    <x v="40"/>
    <x v="737"/>
    <x v="0"/>
    <x v="10"/>
    <x v="1"/>
  </r>
  <r>
    <x v="10"/>
    <x v="75"/>
    <x v="3"/>
    <x v="3"/>
    <x v="0"/>
    <x v="2"/>
    <x v="20"/>
    <x v="40"/>
    <x v="768"/>
    <x v="0"/>
    <x v="10"/>
    <x v="1"/>
  </r>
  <r>
    <x v="10"/>
    <x v="76"/>
    <x v="5"/>
    <x v="5"/>
    <x v="0"/>
    <x v="2"/>
    <x v="20"/>
    <x v="40"/>
    <x v="737"/>
    <x v="0"/>
    <x v="10"/>
    <x v="1"/>
  </r>
  <r>
    <x v="10"/>
    <x v="77"/>
    <x v="5"/>
    <x v="5"/>
    <x v="0"/>
    <x v="2"/>
    <x v="20"/>
    <x v="40"/>
    <x v="737"/>
    <x v="0"/>
    <x v="10"/>
    <x v="1"/>
  </r>
  <r>
    <x v="10"/>
    <x v="54"/>
    <x v="5"/>
    <x v="5"/>
    <x v="0"/>
    <x v="2"/>
    <x v="20"/>
    <x v="40"/>
    <x v="750"/>
    <x v="0"/>
    <x v="10"/>
    <x v="1"/>
  </r>
  <r>
    <x v="10"/>
    <x v="1"/>
    <x v="1"/>
    <x v="1"/>
    <x v="0"/>
    <x v="2"/>
    <x v="1"/>
    <x v="1"/>
    <x v="1"/>
    <x v="179"/>
    <x v="10"/>
    <x v="1"/>
  </r>
  <r>
    <x v="11"/>
    <x v="78"/>
    <x v="4"/>
    <x v="4"/>
    <x v="0"/>
    <x v="2"/>
    <x v="20"/>
    <x v="41"/>
    <x v="737"/>
    <x v="0"/>
    <x v="11"/>
    <x v="1"/>
  </r>
  <r>
    <x v="11"/>
    <x v="73"/>
    <x v="1"/>
    <x v="1"/>
    <x v="0"/>
    <x v="2"/>
    <x v="20"/>
    <x v="41"/>
    <x v="737"/>
    <x v="0"/>
    <x v="11"/>
    <x v="1"/>
  </r>
  <r>
    <x v="11"/>
    <x v="1"/>
    <x v="1"/>
    <x v="1"/>
    <x v="0"/>
    <x v="2"/>
    <x v="1"/>
    <x v="1"/>
    <x v="1"/>
    <x v="180"/>
    <x v="11"/>
    <x v="1"/>
  </r>
  <r>
    <x v="11"/>
    <x v="1"/>
    <x v="1"/>
    <x v="1"/>
    <x v="0"/>
    <x v="0"/>
    <x v="1"/>
    <x v="1"/>
    <x v="1"/>
    <x v="181"/>
    <x v="11"/>
    <x v="1"/>
  </r>
  <r>
    <x v="12"/>
    <x v="70"/>
    <x v="2"/>
    <x v="2"/>
    <x v="0"/>
    <x v="2"/>
    <x v="21"/>
    <x v="36"/>
    <x v="769"/>
    <x v="0"/>
    <x v="12"/>
    <x v="1"/>
  </r>
  <r>
    <x v="12"/>
    <x v="25"/>
    <x v="2"/>
    <x v="2"/>
    <x v="0"/>
    <x v="2"/>
    <x v="20"/>
    <x v="42"/>
    <x v="748"/>
    <x v="0"/>
    <x v="12"/>
    <x v="1"/>
  </r>
  <r>
    <x v="12"/>
    <x v="9"/>
    <x v="6"/>
    <x v="6"/>
    <x v="0"/>
    <x v="2"/>
    <x v="20"/>
    <x v="42"/>
    <x v="770"/>
    <x v="0"/>
    <x v="12"/>
    <x v="1"/>
  </r>
  <r>
    <x v="12"/>
    <x v="60"/>
    <x v="3"/>
    <x v="3"/>
    <x v="0"/>
    <x v="2"/>
    <x v="20"/>
    <x v="42"/>
    <x v="771"/>
    <x v="0"/>
    <x v="12"/>
    <x v="1"/>
  </r>
  <r>
    <x v="12"/>
    <x v="27"/>
    <x v="3"/>
    <x v="3"/>
    <x v="0"/>
    <x v="2"/>
    <x v="21"/>
    <x v="43"/>
    <x v="772"/>
    <x v="0"/>
    <x v="12"/>
    <x v="1"/>
  </r>
  <r>
    <x v="12"/>
    <x v="79"/>
    <x v="3"/>
    <x v="3"/>
    <x v="0"/>
    <x v="2"/>
    <x v="20"/>
    <x v="42"/>
    <x v="771"/>
    <x v="0"/>
    <x v="12"/>
    <x v="1"/>
  </r>
  <r>
    <x v="12"/>
    <x v="80"/>
    <x v="4"/>
    <x v="4"/>
    <x v="0"/>
    <x v="2"/>
    <x v="20"/>
    <x v="42"/>
    <x v="770"/>
    <x v="0"/>
    <x v="12"/>
    <x v="1"/>
  </r>
  <r>
    <x v="12"/>
    <x v="81"/>
    <x v="4"/>
    <x v="4"/>
    <x v="0"/>
    <x v="2"/>
    <x v="20"/>
    <x v="42"/>
    <x v="748"/>
    <x v="0"/>
    <x v="12"/>
    <x v="1"/>
  </r>
  <r>
    <x v="12"/>
    <x v="31"/>
    <x v="4"/>
    <x v="4"/>
    <x v="0"/>
    <x v="2"/>
    <x v="20"/>
    <x v="42"/>
    <x v="748"/>
    <x v="0"/>
    <x v="12"/>
    <x v="1"/>
  </r>
  <r>
    <x v="12"/>
    <x v="57"/>
    <x v="0"/>
    <x v="0"/>
    <x v="0"/>
    <x v="2"/>
    <x v="21"/>
    <x v="44"/>
    <x v="769"/>
    <x v="0"/>
    <x v="12"/>
    <x v="1"/>
  </r>
  <r>
    <x v="12"/>
    <x v="82"/>
    <x v="0"/>
    <x v="0"/>
    <x v="0"/>
    <x v="2"/>
    <x v="20"/>
    <x v="42"/>
    <x v="773"/>
    <x v="0"/>
    <x v="12"/>
    <x v="1"/>
  </r>
  <r>
    <x v="12"/>
    <x v="20"/>
    <x v="5"/>
    <x v="5"/>
    <x v="0"/>
    <x v="2"/>
    <x v="21"/>
    <x v="45"/>
    <x v="769"/>
    <x v="0"/>
    <x v="12"/>
    <x v="1"/>
  </r>
  <r>
    <x v="12"/>
    <x v="58"/>
    <x v="1"/>
    <x v="1"/>
    <x v="0"/>
    <x v="2"/>
    <x v="20"/>
    <x v="42"/>
    <x v="748"/>
    <x v="0"/>
    <x v="12"/>
    <x v="1"/>
  </r>
  <r>
    <x v="12"/>
    <x v="83"/>
    <x v="1"/>
    <x v="1"/>
    <x v="0"/>
    <x v="2"/>
    <x v="20"/>
    <x v="42"/>
    <x v="770"/>
    <x v="0"/>
    <x v="12"/>
    <x v="1"/>
  </r>
  <r>
    <x v="12"/>
    <x v="22"/>
    <x v="1"/>
    <x v="1"/>
    <x v="0"/>
    <x v="2"/>
    <x v="20"/>
    <x v="42"/>
    <x v="748"/>
    <x v="0"/>
    <x v="12"/>
    <x v="1"/>
  </r>
  <r>
    <x v="12"/>
    <x v="33"/>
    <x v="1"/>
    <x v="1"/>
    <x v="0"/>
    <x v="2"/>
    <x v="20"/>
    <x v="42"/>
    <x v="748"/>
    <x v="0"/>
    <x v="12"/>
    <x v="1"/>
  </r>
  <r>
    <x v="12"/>
    <x v="1"/>
    <x v="1"/>
    <x v="1"/>
    <x v="0"/>
    <x v="2"/>
    <x v="1"/>
    <x v="1"/>
    <x v="1"/>
    <x v="182"/>
    <x v="12"/>
    <x v="1"/>
  </r>
  <r>
    <x v="12"/>
    <x v="1"/>
    <x v="1"/>
    <x v="1"/>
    <x v="0"/>
    <x v="1"/>
    <x v="1"/>
    <x v="1"/>
    <x v="1"/>
    <x v="183"/>
    <x v="12"/>
    <x v="1"/>
  </r>
  <r>
    <x v="13"/>
    <x v="84"/>
    <x v="2"/>
    <x v="2"/>
    <x v="0"/>
    <x v="2"/>
    <x v="20"/>
    <x v="46"/>
    <x v="774"/>
    <x v="0"/>
    <x v="13"/>
    <x v="1"/>
  </r>
  <r>
    <x v="13"/>
    <x v="30"/>
    <x v="4"/>
    <x v="4"/>
    <x v="0"/>
    <x v="2"/>
    <x v="20"/>
    <x v="46"/>
    <x v="774"/>
    <x v="0"/>
    <x v="13"/>
    <x v="1"/>
  </r>
  <r>
    <x v="13"/>
    <x v="1"/>
    <x v="1"/>
    <x v="1"/>
    <x v="0"/>
    <x v="2"/>
    <x v="1"/>
    <x v="1"/>
    <x v="1"/>
    <x v="184"/>
    <x v="13"/>
    <x v="1"/>
  </r>
  <r>
    <x v="14"/>
    <x v="85"/>
    <x v="2"/>
    <x v="2"/>
    <x v="0"/>
    <x v="2"/>
    <x v="20"/>
    <x v="47"/>
    <x v="754"/>
    <x v="0"/>
    <x v="14"/>
    <x v="1"/>
  </r>
  <r>
    <x v="14"/>
    <x v="86"/>
    <x v="6"/>
    <x v="6"/>
    <x v="0"/>
    <x v="2"/>
    <x v="20"/>
    <x v="47"/>
    <x v="747"/>
    <x v="0"/>
    <x v="14"/>
    <x v="1"/>
  </r>
  <r>
    <x v="14"/>
    <x v="87"/>
    <x v="6"/>
    <x v="6"/>
    <x v="0"/>
    <x v="2"/>
    <x v="20"/>
    <x v="47"/>
    <x v="742"/>
    <x v="0"/>
    <x v="14"/>
    <x v="1"/>
  </r>
  <r>
    <x v="14"/>
    <x v="88"/>
    <x v="6"/>
    <x v="6"/>
    <x v="0"/>
    <x v="2"/>
    <x v="20"/>
    <x v="47"/>
    <x v="744"/>
    <x v="0"/>
    <x v="14"/>
    <x v="1"/>
  </r>
  <r>
    <x v="14"/>
    <x v="67"/>
    <x v="6"/>
    <x v="6"/>
    <x v="0"/>
    <x v="2"/>
    <x v="20"/>
    <x v="47"/>
    <x v="745"/>
    <x v="0"/>
    <x v="14"/>
    <x v="1"/>
  </r>
  <r>
    <x v="14"/>
    <x v="89"/>
    <x v="4"/>
    <x v="4"/>
    <x v="0"/>
    <x v="2"/>
    <x v="20"/>
    <x v="47"/>
    <x v="748"/>
    <x v="0"/>
    <x v="14"/>
    <x v="1"/>
  </r>
  <r>
    <x v="14"/>
    <x v="4"/>
    <x v="4"/>
    <x v="4"/>
    <x v="0"/>
    <x v="2"/>
    <x v="20"/>
    <x v="47"/>
    <x v="748"/>
    <x v="0"/>
    <x v="14"/>
    <x v="1"/>
  </r>
  <r>
    <x v="14"/>
    <x v="90"/>
    <x v="0"/>
    <x v="0"/>
    <x v="0"/>
    <x v="2"/>
    <x v="20"/>
    <x v="47"/>
    <x v="742"/>
    <x v="0"/>
    <x v="14"/>
    <x v="1"/>
  </r>
  <r>
    <x v="14"/>
    <x v="0"/>
    <x v="0"/>
    <x v="0"/>
    <x v="0"/>
    <x v="2"/>
    <x v="20"/>
    <x v="47"/>
    <x v="737"/>
    <x v="0"/>
    <x v="14"/>
    <x v="1"/>
  </r>
  <r>
    <x v="14"/>
    <x v="91"/>
    <x v="0"/>
    <x v="0"/>
    <x v="0"/>
    <x v="2"/>
    <x v="20"/>
    <x v="47"/>
    <x v="747"/>
    <x v="0"/>
    <x v="14"/>
    <x v="1"/>
  </r>
  <r>
    <x v="14"/>
    <x v="92"/>
    <x v="0"/>
    <x v="0"/>
    <x v="0"/>
    <x v="2"/>
    <x v="20"/>
    <x v="47"/>
    <x v="737"/>
    <x v="0"/>
    <x v="14"/>
    <x v="1"/>
  </r>
  <r>
    <x v="14"/>
    <x v="93"/>
    <x v="0"/>
    <x v="0"/>
    <x v="0"/>
    <x v="2"/>
    <x v="20"/>
    <x v="47"/>
    <x v="737"/>
    <x v="0"/>
    <x v="14"/>
    <x v="1"/>
  </r>
  <r>
    <x v="14"/>
    <x v="94"/>
    <x v="0"/>
    <x v="0"/>
    <x v="0"/>
    <x v="2"/>
    <x v="20"/>
    <x v="47"/>
    <x v="775"/>
    <x v="0"/>
    <x v="14"/>
    <x v="1"/>
  </r>
  <r>
    <x v="14"/>
    <x v="72"/>
    <x v="5"/>
    <x v="5"/>
    <x v="0"/>
    <x v="2"/>
    <x v="20"/>
    <x v="47"/>
    <x v="776"/>
    <x v="0"/>
    <x v="14"/>
    <x v="1"/>
  </r>
  <r>
    <x v="14"/>
    <x v="95"/>
    <x v="1"/>
    <x v="1"/>
    <x v="0"/>
    <x v="2"/>
    <x v="20"/>
    <x v="47"/>
    <x v="748"/>
    <x v="0"/>
    <x v="14"/>
    <x v="1"/>
  </r>
  <r>
    <x v="14"/>
    <x v="41"/>
    <x v="1"/>
    <x v="1"/>
    <x v="0"/>
    <x v="2"/>
    <x v="20"/>
    <x v="47"/>
    <x v="744"/>
    <x v="0"/>
    <x v="14"/>
    <x v="1"/>
  </r>
  <r>
    <x v="14"/>
    <x v="42"/>
    <x v="1"/>
    <x v="1"/>
    <x v="0"/>
    <x v="2"/>
    <x v="20"/>
    <x v="47"/>
    <x v="776"/>
    <x v="0"/>
    <x v="14"/>
    <x v="1"/>
  </r>
  <r>
    <x v="14"/>
    <x v="8"/>
    <x v="1"/>
    <x v="1"/>
    <x v="0"/>
    <x v="2"/>
    <x v="20"/>
    <x v="47"/>
    <x v="776"/>
    <x v="0"/>
    <x v="14"/>
    <x v="1"/>
  </r>
  <r>
    <x v="14"/>
    <x v="1"/>
    <x v="1"/>
    <x v="1"/>
    <x v="0"/>
    <x v="2"/>
    <x v="1"/>
    <x v="1"/>
    <x v="1"/>
    <x v="185"/>
    <x v="14"/>
    <x v="1"/>
  </r>
  <r>
    <x v="15"/>
    <x v="70"/>
    <x v="2"/>
    <x v="2"/>
    <x v="0"/>
    <x v="2"/>
    <x v="20"/>
    <x v="48"/>
    <x v="777"/>
    <x v="0"/>
    <x v="15"/>
    <x v="1"/>
  </r>
  <r>
    <x v="15"/>
    <x v="88"/>
    <x v="6"/>
    <x v="6"/>
    <x v="0"/>
    <x v="2"/>
    <x v="20"/>
    <x v="48"/>
    <x v="755"/>
    <x v="0"/>
    <x v="15"/>
    <x v="1"/>
  </r>
  <r>
    <x v="15"/>
    <x v="96"/>
    <x v="6"/>
    <x v="6"/>
    <x v="0"/>
    <x v="2"/>
    <x v="20"/>
    <x v="48"/>
    <x v="778"/>
    <x v="0"/>
    <x v="15"/>
    <x v="1"/>
  </r>
  <r>
    <x v="15"/>
    <x v="97"/>
    <x v="5"/>
    <x v="5"/>
    <x v="0"/>
    <x v="2"/>
    <x v="20"/>
    <x v="48"/>
    <x v="756"/>
    <x v="0"/>
    <x v="15"/>
    <x v="1"/>
  </r>
  <r>
    <x v="15"/>
    <x v="8"/>
    <x v="1"/>
    <x v="1"/>
    <x v="0"/>
    <x v="2"/>
    <x v="20"/>
    <x v="48"/>
    <x v="778"/>
    <x v="0"/>
    <x v="15"/>
    <x v="1"/>
  </r>
  <r>
    <x v="15"/>
    <x v="98"/>
    <x v="1"/>
    <x v="1"/>
    <x v="0"/>
    <x v="2"/>
    <x v="20"/>
    <x v="48"/>
    <x v="755"/>
    <x v="0"/>
    <x v="15"/>
    <x v="1"/>
  </r>
  <r>
    <x v="15"/>
    <x v="1"/>
    <x v="1"/>
    <x v="1"/>
    <x v="0"/>
    <x v="2"/>
    <x v="1"/>
    <x v="1"/>
    <x v="1"/>
    <x v="186"/>
    <x v="15"/>
    <x v="1"/>
  </r>
  <r>
    <x v="16"/>
    <x v="96"/>
    <x v="6"/>
    <x v="6"/>
    <x v="0"/>
    <x v="2"/>
    <x v="20"/>
    <x v="49"/>
    <x v="779"/>
    <x v="0"/>
    <x v="16"/>
    <x v="1"/>
  </r>
  <r>
    <x v="16"/>
    <x v="61"/>
    <x v="3"/>
    <x v="3"/>
    <x v="0"/>
    <x v="2"/>
    <x v="20"/>
    <x v="49"/>
    <x v="738"/>
    <x v="0"/>
    <x v="16"/>
    <x v="1"/>
  </r>
  <r>
    <x v="16"/>
    <x v="30"/>
    <x v="4"/>
    <x v="4"/>
    <x v="0"/>
    <x v="2"/>
    <x v="20"/>
    <x v="49"/>
    <x v="738"/>
    <x v="0"/>
    <x v="16"/>
    <x v="1"/>
  </r>
  <r>
    <x v="16"/>
    <x v="1"/>
    <x v="1"/>
    <x v="1"/>
    <x v="0"/>
    <x v="2"/>
    <x v="1"/>
    <x v="1"/>
    <x v="1"/>
    <x v="187"/>
    <x v="16"/>
    <x v="1"/>
  </r>
  <r>
    <x v="17"/>
    <x v="75"/>
    <x v="3"/>
    <x v="3"/>
    <x v="0"/>
    <x v="2"/>
    <x v="20"/>
    <x v="50"/>
    <x v="780"/>
    <x v="0"/>
    <x v="17"/>
    <x v="1"/>
  </r>
  <r>
    <x v="17"/>
    <x v="56"/>
    <x v="3"/>
    <x v="3"/>
    <x v="0"/>
    <x v="2"/>
    <x v="22"/>
    <x v="51"/>
    <x v="1"/>
    <x v="188"/>
    <x v="17"/>
    <x v="1"/>
  </r>
  <r>
    <x v="17"/>
    <x v="99"/>
    <x v="3"/>
    <x v="3"/>
    <x v="0"/>
    <x v="2"/>
    <x v="20"/>
    <x v="50"/>
    <x v="781"/>
    <x v="0"/>
    <x v="17"/>
    <x v="1"/>
  </r>
  <r>
    <x v="17"/>
    <x v="89"/>
    <x v="4"/>
    <x v="4"/>
    <x v="0"/>
    <x v="2"/>
    <x v="20"/>
    <x v="50"/>
    <x v="737"/>
    <x v="0"/>
    <x v="17"/>
    <x v="1"/>
  </r>
  <r>
    <x v="17"/>
    <x v="100"/>
    <x v="0"/>
    <x v="0"/>
    <x v="0"/>
    <x v="2"/>
    <x v="20"/>
    <x v="50"/>
    <x v="738"/>
    <x v="0"/>
    <x v="17"/>
    <x v="1"/>
  </r>
  <r>
    <x v="17"/>
    <x v="34"/>
    <x v="5"/>
    <x v="5"/>
    <x v="0"/>
    <x v="2"/>
    <x v="20"/>
    <x v="50"/>
    <x v="744"/>
    <x v="0"/>
    <x v="17"/>
    <x v="1"/>
  </r>
  <r>
    <x v="17"/>
    <x v="101"/>
    <x v="1"/>
    <x v="1"/>
    <x v="0"/>
    <x v="2"/>
    <x v="20"/>
    <x v="50"/>
    <x v="737"/>
    <x v="0"/>
    <x v="17"/>
    <x v="1"/>
  </r>
  <r>
    <x v="17"/>
    <x v="1"/>
    <x v="1"/>
    <x v="1"/>
    <x v="0"/>
    <x v="2"/>
    <x v="1"/>
    <x v="1"/>
    <x v="1"/>
    <x v="189"/>
    <x v="17"/>
    <x v="1"/>
  </r>
  <r>
    <x v="18"/>
    <x v="102"/>
    <x v="6"/>
    <x v="6"/>
    <x v="0"/>
    <x v="2"/>
    <x v="20"/>
    <x v="52"/>
    <x v="747"/>
    <x v="0"/>
    <x v="18"/>
    <x v="1"/>
  </r>
  <r>
    <x v="18"/>
    <x v="1"/>
    <x v="1"/>
    <x v="1"/>
    <x v="0"/>
    <x v="2"/>
    <x v="1"/>
    <x v="1"/>
    <x v="1"/>
    <x v="190"/>
    <x v="18"/>
    <x v="1"/>
  </r>
  <r>
    <x v="19"/>
    <x v="70"/>
    <x v="2"/>
    <x v="2"/>
    <x v="0"/>
    <x v="2"/>
    <x v="21"/>
    <x v="36"/>
    <x v="782"/>
    <x v="0"/>
    <x v="19"/>
    <x v="1"/>
  </r>
  <r>
    <x v="19"/>
    <x v="103"/>
    <x v="3"/>
    <x v="3"/>
    <x v="0"/>
    <x v="2"/>
    <x v="20"/>
    <x v="53"/>
    <x v="783"/>
    <x v="0"/>
    <x v="19"/>
    <x v="1"/>
  </r>
  <r>
    <x v="19"/>
    <x v="104"/>
    <x v="3"/>
    <x v="3"/>
    <x v="0"/>
    <x v="2"/>
    <x v="20"/>
    <x v="53"/>
    <x v="784"/>
    <x v="0"/>
    <x v="19"/>
    <x v="1"/>
  </r>
  <r>
    <x v="19"/>
    <x v="0"/>
    <x v="0"/>
    <x v="0"/>
    <x v="0"/>
    <x v="2"/>
    <x v="20"/>
    <x v="53"/>
    <x v="741"/>
    <x v="0"/>
    <x v="19"/>
    <x v="1"/>
  </r>
  <r>
    <x v="19"/>
    <x v="63"/>
    <x v="5"/>
    <x v="5"/>
    <x v="0"/>
    <x v="2"/>
    <x v="20"/>
    <x v="53"/>
    <x v="785"/>
    <x v="0"/>
    <x v="19"/>
    <x v="1"/>
  </r>
  <r>
    <x v="19"/>
    <x v="83"/>
    <x v="1"/>
    <x v="1"/>
    <x v="0"/>
    <x v="2"/>
    <x v="20"/>
    <x v="53"/>
    <x v="740"/>
    <x v="0"/>
    <x v="19"/>
    <x v="1"/>
  </r>
  <r>
    <x v="19"/>
    <x v="101"/>
    <x v="1"/>
    <x v="1"/>
    <x v="0"/>
    <x v="2"/>
    <x v="20"/>
    <x v="53"/>
    <x v="736"/>
    <x v="0"/>
    <x v="19"/>
    <x v="1"/>
  </r>
  <r>
    <x v="19"/>
    <x v="105"/>
    <x v="1"/>
    <x v="1"/>
    <x v="0"/>
    <x v="2"/>
    <x v="20"/>
    <x v="53"/>
    <x v="782"/>
    <x v="0"/>
    <x v="19"/>
    <x v="1"/>
  </r>
  <r>
    <x v="19"/>
    <x v="1"/>
    <x v="1"/>
    <x v="1"/>
    <x v="0"/>
    <x v="2"/>
    <x v="1"/>
    <x v="1"/>
    <x v="1"/>
    <x v="191"/>
    <x v="19"/>
    <x v="1"/>
  </r>
  <r>
    <x v="19"/>
    <x v="1"/>
    <x v="1"/>
    <x v="1"/>
    <x v="0"/>
    <x v="1"/>
    <x v="1"/>
    <x v="1"/>
    <x v="1"/>
    <x v="192"/>
    <x v="19"/>
    <x v="1"/>
  </r>
  <r>
    <x v="20"/>
    <x v="106"/>
    <x v="2"/>
    <x v="2"/>
    <x v="0"/>
    <x v="2"/>
    <x v="20"/>
    <x v="54"/>
    <x v="756"/>
    <x v="0"/>
    <x v="20"/>
    <x v="1"/>
  </r>
  <r>
    <x v="20"/>
    <x v="107"/>
    <x v="2"/>
    <x v="2"/>
    <x v="0"/>
    <x v="2"/>
    <x v="20"/>
    <x v="54"/>
    <x v="756"/>
    <x v="0"/>
    <x v="20"/>
    <x v="1"/>
  </r>
  <r>
    <x v="20"/>
    <x v="108"/>
    <x v="3"/>
    <x v="3"/>
    <x v="0"/>
    <x v="2"/>
    <x v="20"/>
    <x v="54"/>
    <x v="786"/>
    <x v="0"/>
    <x v="20"/>
    <x v="1"/>
  </r>
  <r>
    <x v="20"/>
    <x v="18"/>
    <x v="3"/>
    <x v="3"/>
    <x v="0"/>
    <x v="2"/>
    <x v="20"/>
    <x v="54"/>
    <x v="756"/>
    <x v="0"/>
    <x v="20"/>
    <x v="1"/>
  </r>
  <r>
    <x v="20"/>
    <x v="78"/>
    <x v="4"/>
    <x v="4"/>
    <x v="0"/>
    <x v="2"/>
    <x v="20"/>
    <x v="54"/>
    <x v="754"/>
    <x v="0"/>
    <x v="20"/>
    <x v="1"/>
  </r>
  <r>
    <x v="20"/>
    <x v="77"/>
    <x v="5"/>
    <x v="5"/>
    <x v="0"/>
    <x v="2"/>
    <x v="20"/>
    <x v="54"/>
    <x v="756"/>
    <x v="0"/>
    <x v="20"/>
    <x v="1"/>
  </r>
  <r>
    <x v="20"/>
    <x v="63"/>
    <x v="5"/>
    <x v="5"/>
    <x v="0"/>
    <x v="2"/>
    <x v="20"/>
    <x v="54"/>
    <x v="787"/>
    <x v="0"/>
    <x v="20"/>
    <x v="1"/>
  </r>
  <r>
    <x v="20"/>
    <x v="95"/>
    <x v="1"/>
    <x v="1"/>
    <x v="0"/>
    <x v="2"/>
    <x v="20"/>
    <x v="54"/>
    <x v="754"/>
    <x v="0"/>
    <x v="20"/>
    <x v="1"/>
  </r>
  <r>
    <x v="20"/>
    <x v="109"/>
    <x v="1"/>
    <x v="1"/>
    <x v="0"/>
    <x v="2"/>
    <x v="20"/>
    <x v="54"/>
    <x v="754"/>
    <x v="0"/>
    <x v="20"/>
    <x v="1"/>
  </r>
  <r>
    <x v="20"/>
    <x v="1"/>
    <x v="1"/>
    <x v="1"/>
    <x v="0"/>
    <x v="2"/>
    <x v="1"/>
    <x v="1"/>
    <x v="1"/>
    <x v="193"/>
    <x v="20"/>
    <x v="1"/>
  </r>
  <r>
    <x v="21"/>
    <x v="24"/>
    <x v="2"/>
    <x v="2"/>
    <x v="0"/>
    <x v="2"/>
    <x v="20"/>
    <x v="55"/>
    <x v="788"/>
    <x v="0"/>
    <x v="21"/>
    <x v="1"/>
  </r>
  <r>
    <x v="21"/>
    <x v="107"/>
    <x v="2"/>
    <x v="2"/>
    <x v="0"/>
    <x v="2"/>
    <x v="20"/>
    <x v="55"/>
    <x v="789"/>
    <x v="0"/>
    <x v="21"/>
    <x v="1"/>
  </r>
  <r>
    <x v="21"/>
    <x v="2"/>
    <x v="2"/>
    <x v="2"/>
    <x v="0"/>
    <x v="2"/>
    <x v="20"/>
    <x v="55"/>
    <x v="746"/>
    <x v="0"/>
    <x v="21"/>
    <x v="1"/>
  </r>
  <r>
    <x v="21"/>
    <x v="110"/>
    <x v="2"/>
    <x v="2"/>
    <x v="0"/>
    <x v="2"/>
    <x v="20"/>
    <x v="55"/>
    <x v="745"/>
    <x v="0"/>
    <x v="21"/>
    <x v="1"/>
  </r>
  <r>
    <x v="21"/>
    <x v="111"/>
    <x v="2"/>
    <x v="2"/>
    <x v="0"/>
    <x v="2"/>
    <x v="20"/>
    <x v="55"/>
    <x v="748"/>
    <x v="0"/>
    <x v="21"/>
    <x v="1"/>
  </r>
  <r>
    <x v="21"/>
    <x v="86"/>
    <x v="6"/>
    <x v="6"/>
    <x v="0"/>
    <x v="2"/>
    <x v="20"/>
    <x v="55"/>
    <x v="746"/>
    <x v="0"/>
    <x v="21"/>
    <x v="1"/>
  </r>
  <r>
    <x v="21"/>
    <x v="95"/>
    <x v="1"/>
    <x v="1"/>
    <x v="0"/>
    <x v="2"/>
    <x v="20"/>
    <x v="55"/>
    <x v="737"/>
    <x v="0"/>
    <x v="21"/>
    <x v="1"/>
  </r>
  <r>
    <x v="21"/>
    <x v="22"/>
    <x v="1"/>
    <x v="1"/>
    <x v="0"/>
    <x v="2"/>
    <x v="20"/>
    <x v="55"/>
    <x v="737"/>
    <x v="0"/>
    <x v="21"/>
    <x v="1"/>
  </r>
  <r>
    <x v="21"/>
    <x v="1"/>
    <x v="1"/>
    <x v="1"/>
    <x v="0"/>
    <x v="2"/>
    <x v="1"/>
    <x v="1"/>
    <x v="1"/>
    <x v="194"/>
    <x v="21"/>
    <x v="1"/>
  </r>
  <r>
    <x v="21"/>
    <x v="112"/>
    <x v="2"/>
    <x v="2"/>
    <x v="0"/>
    <x v="0"/>
    <x v="23"/>
    <x v="56"/>
    <x v="1"/>
    <x v="195"/>
    <x v="21"/>
    <x v="1"/>
  </r>
  <r>
    <x v="21"/>
    <x v="1"/>
    <x v="1"/>
    <x v="1"/>
    <x v="0"/>
    <x v="0"/>
    <x v="1"/>
    <x v="1"/>
    <x v="774"/>
    <x v="0"/>
    <x v="21"/>
    <x v="1"/>
  </r>
  <r>
    <x v="72"/>
    <x v="60"/>
    <x v="3"/>
    <x v="3"/>
    <x v="0"/>
    <x v="2"/>
    <x v="21"/>
    <x v="57"/>
    <x v="790"/>
    <x v="0"/>
    <x v="72"/>
    <x v="1"/>
  </r>
  <r>
    <x v="72"/>
    <x v="61"/>
    <x v="3"/>
    <x v="3"/>
    <x v="0"/>
    <x v="2"/>
    <x v="20"/>
    <x v="58"/>
    <x v="791"/>
    <x v="0"/>
    <x v="72"/>
    <x v="1"/>
  </r>
  <r>
    <x v="72"/>
    <x v="56"/>
    <x v="3"/>
    <x v="3"/>
    <x v="0"/>
    <x v="2"/>
    <x v="24"/>
    <x v="59"/>
    <x v="1"/>
    <x v="196"/>
    <x v="72"/>
    <x v="1"/>
  </r>
  <r>
    <x v="72"/>
    <x v="73"/>
    <x v="1"/>
    <x v="1"/>
    <x v="0"/>
    <x v="2"/>
    <x v="21"/>
    <x v="39"/>
    <x v="790"/>
    <x v="0"/>
    <x v="72"/>
    <x v="1"/>
  </r>
  <r>
    <x v="72"/>
    <x v="1"/>
    <x v="1"/>
    <x v="1"/>
    <x v="0"/>
    <x v="2"/>
    <x v="1"/>
    <x v="1"/>
    <x v="1"/>
    <x v="197"/>
    <x v="72"/>
    <x v="1"/>
  </r>
  <r>
    <x v="72"/>
    <x v="72"/>
    <x v="5"/>
    <x v="5"/>
    <x v="0"/>
    <x v="0"/>
    <x v="21"/>
    <x v="38"/>
    <x v="792"/>
    <x v="0"/>
    <x v="72"/>
    <x v="1"/>
  </r>
  <r>
    <x v="72"/>
    <x v="1"/>
    <x v="1"/>
    <x v="1"/>
    <x v="0"/>
    <x v="0"/>
    <x v="1"/>
    <x v="1"/>
    <x v="1"/>
    <x v="198"/>
    <x v="72"/>
    <x v="1"/>
  </r>
  <r>
    <x v="22"/>
    <x v="113"/>
    <x v="6"/>
    <x v="6"/>
    <x v="0"/>
    <x v="2"/>
    <x v="20"/>
    <x v="60"/>
    <x v="793"/>
    <x v="0"/>
    <x v="22"/>
    <x v="1"/>
  </r>
  <r>
    <x v="22"/>
    <x v="60"/>
    <x v="3"/>
    <x v="3"/>
    <x v="0"/>
    <x v="2"/>
    <x v="20"/>
    <x v="60"/>
    <x v="778"/>
    <x v="0"/>
    <x v="22"/>
    <x v="1"/>
  </r>
  <r>
    <x v="22"/>
    <x v="114"/>
    <x v="3"/>
    <x v="3"/>
    <x v="0"/>
    <x v="2"/>
    <x v="20"/>
    <x v="60"/>
    <x v="794"/>
    <x v="0"/>
    <x v="22"/>
    <x v="1"/>
  </r>
  <r>
    <x v="22"/>
    <x v="75"/>
    <x v="3"/>
    <x v="3"/>
    <x v="0"/>
    <x v="2"/>
    <x v="20"/>
    <x v="60"/>
    <x v="795"/>
    <x v="0"/>
    <x v="22"/>
    <x v="1"/>
  </r>
  <r>
    <x v="22"/>
    <x v="1"/>
    <x v="1"/>
    <x v="1"/>
    <x v="0"/>
    <x v="2"/>
    <x v="1"/>
    <x v="1"/>
    <x v="1"/>
    <x v="199"/>
    <x v="22"/>
    <x v="1"/>
  </r>
  <r>
    <x v="23"/>
    <x v="48"/>
    <x v="2"/>
    <x v="2"/>
    <x v="0"/>
    <x v="2"/>
    <x v="20"/>
    <x v="61"/>
    <x v="787"/>
    <x v="0"/>
    <x v="23"/>
    <x v="1"/>
  </r>
  <r>
    <x v="23"/>
    <x v="102"/>
    <x v="6"/>
    <x v="6"/>
    <x v="0"/>
    <x v="2"/>
    <x v="20"/>
    <x v="61"/>
    <x v="756"/>
    <x v="0"/>
    <x v="23"/>
    <x v="1"/>
  </r>
  <r>
    <x v="23"/>
    <x v="113"/>
    <x v="6"/>
    <x v="6"/>
    <x v="0"/>
    <x v="2"/>
    <x v="20"/>
    <x v="61"/>
    <x v="756"/>
    <x v="0"/>
    <x v="23"/>
    <x v="1"/>
  </r>
  <r>
    <x v="23"/>
    <x v="38"/>
    <x v="4"/>
    <x v="4"/>
    <x v="0"/>
    <x v="2"/>
    <x v="20"/>
    <x v="61"/>
    <x v="191"/>
    <x v="0"/>
    <x v="23"/>
    <x v="1"/>
  </r>
  <r>
    <x v="23"/>
    <x v="115"/>
    <x v="5"/>
    <x v="5"/>
    <x v="0"/>
    <x v="2"/>
    <x v="20"/>
    <x v="61"/>
    <x v="737"/>
    <x v="0"/>
    <x v="23"/>
    <x v="1"/>
  </r>
  <r>
    <x v="23"/>
    <x v="1"/>
    <x v="1"/>
    <x v="1"/>
    <x v="0"/>
    <x v="2"/>
    <x v="1"/>
    <x v="1"/>
    <x v="1"/>
    <x v="200"/>
    <x v="23"/>
    <x v="1"/>
  </r>
  <r>
    <x v="24"/>
    <x v="19"/>
    <x v="3"/>
    <x v="3"/>
    <x v="0"/>
    <x v="2"/>
    <x v="21"/>
    <x v="62"/>
    <x v="796"/>
    <x v="0"/>
    <x v="24"/>
    <x v="1"/>
  </r>
  <r>
    <x v="24"/>
    <x v="108"/>
    <x v="3"/>
    <x v="3"/>
    <x v="0"/>
    <x v="2"/>
    <x v="25"/>
    <x v="63"/>
    <x v="797"/>
    <x v="0"/>
    <x v="24"/>
    <x v="1"/>
  </r>
  <r>
    <x v="24"/>
    <x v="116"/>
    <x v="0"/>
    <x v="0"/>
    <x v="0"/>
    <x v="2"/>
    <x v="21"/>
    <x v="64"/>
    <x v="798"/>
    <x v="0"/>
    <x v="24"/>
    <x v="1"/>
  </r>
  <r>
    <x v="24"/>
    <x v="1"/>
    <x v="1"/>
    <x v="1"/>
    <x v="0"/>
    <x v="2"/>
    <x v="1"/>
    <x v="1"/>
    <x v="1"/>
    <x v="201"/>
    <x v="24"/>
    <x v="1"/>
  </r>
  <r>
    <x v="24"/>
    <x v="1"/>
    <x v="1"/>
    <x v="1"/>
    <x v="0"/>
    <x v="0"/>
    <x v="1"/>
    <x v="1"/>
    <x v="1"/>
    <x v="202"/>
    <x v="24"/>
    <x v="1"/>
  </r>
  <r>
    <x v="24"/>
    <x v="117"/>
    <x v="0"/>
    <x v="0"/>
    <x v="0"/>
    <x v="1"/>
    <x v="21"/>
    <x v="65"/>
    <x v="765"/>
    <x v="0"/>
    <x v="24"/>
    <x v="1"/>
  </r>
  <r>
    <x v="24"/>
    <x v="1"/>
    <x v="1"/>
    <x v="1"/>
    <x v="0"/>
    <x v="1"/>
    <x v="1"/>
    <x v="1"/>
    <x v="1"/>
    <x v="203"/>
    <x v="24"/>
    <x v="1"/>
  </r>
  <r>
    <x v="25"/>
    <x v="44"/>
    <x v="3"/>
    <x v="3"/>
    <x v="0"/>
    <x v="2"/>
    <x v="20"/>
    <x v="66"/>
    <x v="753"/>
    <x v="0"/>
    <x v="25"/>
    <x v="1"/>
  </r>
  <r>
    <x v="25"/>
    <x v="33"/>
    <x v="1"/>
    <x v="1"/>
    <x v="0"/>
    <x v="2"/>
    <x v="20"/>
    <x v="66"/>
    <x v="799"/>
    <x v="0"/>
    <x v="25"/>
    <x v="1"/>
  </r>
  <r>
    <x v="25"/>
    <x v="1"/>
    <x v="1"/>
    <x v="1"/>
    <x v="0"/>
    <x v="2"/>
    <x v="1"/>
    <x v="1"/>
    <x v="1"/>
    <x v="204"/>
    <x v="25"/>
    <x v="1"/>
  </r>
  <r>
    <x v="26"/>
    <x v="70"/>
    <x v="2"/>
    <x v="2"/>
    <x v="0"/>
    <x v="2"/>
    <x v="20"/>
    <x v="67"/>
    <x v="800"/>
    <x v="0"/>
    <x v="26"/>
    <x v="1"/>
  </r>
  <r>
    <x v="26"/>
    <x v="70"/>
    <x v="2"/>
    <x v="2"/>
    <x v="0"/>
    <x v="2"/>
    <x v="21"/>
    <x v="36"/>
    <x v="801"/>
    <x v="0"/>
    <x v="26"/>
    <x v="1"/>
  </r>
  <r>
    <x v="26"/>
    <x v="47"/>
    <x v="2"/>
    <x v="2"/>
    <x v="0"/>
    <x v="2"/>
    <x v="21"/>
    <x v="68"/>
    <x v="769"/>
    <x v="0"/>
    <x v="26"/>
    <x v="1"/>
  </r>
  <r>
    <x v="26"/>
    <x v="118"/>
    <x v="2"/>
    <x v="2"/>
    <x v="0"/>
    <x v="2"/>
    <x v="21"/>
    <x v="69"/>
    <x v="802"/>
    <x v="0"/>
    <x v="26"/>
    <x v="1"/>
  </r>
  <r>
    <x v="26"/>
    <x v="71"/>
    <x v="6"/>
    <x v="6"/>
    <x v="0"/>
    <x v="2"/>
    <x v="21"/>
    <x v="37"/>
    <x v="803"/>
    <x v="0"/>
    <x v="26"/>
    <x v="1"/>
  </r>
  <r>
    <x v="26"/>
    <x v="21"/>
    <x v="6"/>
    <x v="6"/>
    <x v="0"/>
    <x v="2"/>
    <x v="20"/>
    <x v="67"/>
    <x v="800"/>
    <x v="0"/>
    <x v="26"/>
    <x v="1"/>
  </r>
  <r>
    <x v="26"/>
    <x v="21"/>
    <x v="6"/>
    <x v="6"/>
    <x v="0"/>
    <x v="2"/>
    <x v="21"/>
    <x v="70"/>
    <x v="804"/>
    <x v="0"/>
    <x v="26"/>
    <x v="1"/>
  </r>
  <r>
    <x v="26"/>
    <x v="74"/>
    <x v="3"/>
    <x v="3"/>
    <x v="0"/>
    <x v="2"/>
    <x v="20"/>
    <x v="67"/>
    <x v="800"/>
    <x v="0"/>
    <x v="26"/>
    <x v="1"/>
  </r>
  <r>
    <x v="26"/>
    <x v="26"/>
    <x v="3"/>
    <x v="3"/>
    <x v="0"/>
    <x v="2"/>
    <x v="20"/>
    <x v="67"/>
    <x v="805"/>
    <x v="0"/>
    <x v="26"/>
    <x v="1"/>
  </r>
  <r>
    <x v="26"/>
    <x v="43"/>
    <x v="3"/>
    <x v="3"/>
    <x v="0"/>
    <x v="2"/>
    <x v="21"/>
    <x v="71"/>
    <x v="800"/>
    <x v="0"/>
    <x v="26"/>
    <x v="1"/>
  </r>
  <r>
    <x v="26"/>
    <x v="31"/>
    <x v="4"/>
    <x v="4"/>
    <x v="0"/>
    <x v="2"/>
    <x v="21"/>
    <x v="72"/>
    <x v="804"/>
    <x v="0"/>
    <x v="26"/>
    <x v="1"/>
  </r>
  <r>
    <x v="26"/>
    <x v="51"/>
    <x v="4"/>
    <x v="4"/>
    <x v="0"/>
    <x v="2"/>
    <x v="20"/>
    <x v="67"/>
    <x v="779"/>
    <x v="0"/>
    <x v="26"/>
    <x v="1"/>
  </r>
  <r>
    <x v="26"/>
    <x v="119"/>
    <x v="0"/>
    <x v="0"/>
    <x v="0"/>
    <x v="2"/>
    <x v="20"/>
    <x v="67"/>
    <x v="770"/>
    <x v="0"/>
    <x v="26"/>
    <x v="1"/>
  </r>
  <r>
    <x v="26"/>
    <x v="120"/>
    <x v="0"/>
    <x v="0"/>
    <x v="0"/>
    <x v="2"/>
    <x v="20"/>
    <x v="67"/>
    <x v="770"/>
    <x v="0"/>
    <x v="26"/>
    <x v="1"/>
  </r>
  <r>
    <x v="26"/>
    <x v="121"/>
    <x v="0"/>
    <x v="0"/>
    <x v="0"/>
    <x v="2"/>
    <x v="20"/>
    <x v="67"/>
    <x v="800"/>
    <x v="0"/>
    <x v="26"/>
    <x v="1"/>
  </r>
  <r>
    <x v="26"/>
    <x v="100"/>
    <x v="0"/>
    <x v="0"/>
    <x v="0"/>
    <x v="2"/>
    <x v="21"/>
    <x v="73"/>
    <x v="806"/>
    <x v="0"/>
    <x v="26"/>
    <x v="1"/>
  </r>
  <r>
    <x v="26"/>
    <x v="122"/>
    <x v="0"/>
    <x v="0"/>
    <x v="0"/>
    <x v="2"/>
    <x v="20"/>
    <x v="67"/>
    <x v="779"/>
    <x v="0"/>
    <x v="26"/>
    <x v="1"/>
  </r>
  <r>
    <x v="26"/>
    <x v="32"/>
    <x v="5"/>
    <x v="5"/>
    <x v="0"/>
    <x v="2"/>
    <x v="20"/>
    <x v="67"/>
    <x v="779"/>
    <x v="0"/>
    <x v="26"/>
    <x v="1"/>
  </r>
  <r>
    <x v="26"/>
    <x v="97"/>
    <x v="5"/>
    <x v="5"/>
    <x v="0"/>
    <x v="2"/>
    <x v="20"/>
    <x v="67"/>
    <x v="800"/>
    <x v="0"/>
    <x v="26"/>
    <x v="1"/>
  </r>
  <r>
    <x v="26"/>
    <x v="123"/>
    <x v="5"/>
    <x v="5"/>
    <x v="0"/>
    <x v="2"/>
    <x v="21"/>
    <x v="74"/>
    <x v="804"/>
    <x v="0"/>
    <x v="26"/>
    <x v="1"/>
  </r>
  <r>
    <x v="26"/>
    <x v="124"/>
    <x v="5"/>
    <x v="5"/>
    <x v="0"/>
    <x v="2"/>
    <x v="20"/>
    <x v="67"/>
    <x v="770"/>
    <x v="0"/>
    <x v="26"/>
    <x v="1"/>
  </r>
  <r>
    <x v="26"/>
    <x v="83"/>
    <x v="1"/>
    <x v="1"/>
    <x v="0"/>
    <x v="2"/>
    <x v="20"/>
    <x v="67"/>
    <x v="771"/>
    <x v="0"/>
    <x v="26"/>
    <x v="1"/>
  </r>
  <r>
    <x v="26"/>
    <x v="109"/>
    <x v="1"/>
    <x v="1"/>
    <x v="0"/>
    <x v="2"/>
    <x v="20"/>
    <x v="67"/>
    <x v="801"/>
    <x v="0"/>
    <x v="26"/>
    <x v="1"/>
  </r>
  <r>
    <x v="26"/>
    <x v="1"/>
    <x v="1"/>
    <x v="1"/>
    <x v="0"/>
    <x v="2"/>
    <x v="1"/>
    <x v="1"/>
    <x v="1"/>
    <x v="205"/>
    <x v="26"/>
    <x v="1"/>
  </r>
  <r>
    <x v="26"/>
    <x v="70"/>
    <x v="2"/>
    <x v="2"/>
    <x v="0"/>
    <x v="0"/>
    <x v="21"/>
    <x v="36"/>
    <x v="802"/>
    <x v="0"/>
    <x v="26"/>
    <x v="1"/>
  </r>
  <r>
    <x v="26"/>
    <x v="118"/>
    <x v="2"/>
    <x v="2"/>
    <x v="0"/>
    <x v="0"/>
    <x v="21"/>
    <x v="69"/>
    <x v="807"/>
    <x v="0"/>
    <x v="26"/>
    <x v="1"/>
  </r>
  <r>
    <x v="26"/>
    <x v="111"/>
    <x v="2"/>
    <x v="2"/>
    <x v="0"/>
    <x v="0"/>
    <x v="21"/>
    <x v="75"/>
    <x v="803"/>
    <x v="0"/>
    <x v="26"/>
    <x v="1"/>
  </r>
  <r>
    <x v="26"/>
    <x v="114"/>
    <x v="3"/>
    <x v="3"/>
    <x v="0"/>
    <x v="0"/>
    <x v="21"/>
    <x v="76"/>
    <x v="807"/>
    <x v="0"/>
    <x v="26"/>
    <x v="1"/>
  </r>
  <r>
    <x v="26"/>
    <x v="50"/>
    <x v="4"/>
    <x v="4"/>
    <x v="0"/>
    <x v="0"/>
    <x v="21"/>
    <x v="77"/>
    <x v="761"/>
    <x v="0"/>
    <x v="26"/>
    <x v="1"/>
  </r>
  <r>
    <x v="26"/>
    <x v="66"/>
    <x v="4"/>
    <x v="4"/>
    <x v="0"/>
    <x v="0"/>
    <x v="21"/>
    <x v="78"/>
    <x v="761"/>
    <x v="0"/>
    <x v="26"/>
    <x v="1"/>
  </r>
  <r>
    <x v="26"/>
    <x v="90"/>
    <x v="0"/>
    <x v="0"/>
    <x v="0"/>
    <x v="0"/>
    <x v="21"/>
    <x v="79"/>
    <x v="808"/>
    <x v="0"/>
    <x v="26"/>
    <x v="1"/>
  </r>
  <r>
    <x v="26"/>
    <x v="121"/>
    <x v="0"/>
    <x v="0"/>
    <x v="0"/>
    <x v="0"/>
    <x v="21"/>
    <x v="80"/>
    <x v="809"/>
    <x v="0"/>
    <x v="26"/>
    <x v="1"/>
  </r>
  <r>
    <x v="26"/>
    <x v="32"/>
    <x v="5"/>
    <x v="5"/>
    <x v="0"/>
    <x v="0"/>
    <x v="21"/>
    <x v="81"/>
    <x v="810"/>
    <x v="0"/>
    <x v="26"/>
    <x v="1"/>
  </r>
  <r>
    <x v="26"/>
    <x v="125"/>
    <x v="5"/>
    <x v="5"/>
    <x v="0"/>
    <x v="0"/>
    <x v="21"/>
    <x v="82"/>
    <x v="811"/>
    <x v="0"/>
    <x v="26"/>
    <x v="1"/>
  </r>
  <r>
    <x v="26"/>
    <x v="1"/>
    <x v="1"/>
    <x v="1"/>
    <x v="0"/>
    <x v="0"/>
    <x v="1"/>
    <x v="1"/>
    <x v="1"/>
    <x v="206"/>
    <x v="26"/>
    <x v="1"/>
  </r>
  <r>
    <x v="26"/>
    <x v="114"/>
    <x v="3"/>
    <x v="3"/>
    <x v="0"/>
    <x v="1"/>
    <x v="21"/>
    <x v="76"/>
    <x v="803"/>
    <x v="0"/>
    <x v="26"/>
    <x v="1"/>
  </r>
  <r>
    <x v="26"/>
    <x v="126"/>
    <x v="4"/>
    <x v="4"/>
    <x v="0"/>
    <x v="1"/>
    <x v="21"/>
    <x v="83"/>
    <x v="761"/>
    <x v="0"/>
    <x v="26"/>
    <x v="1"/>
  </r>
  <r>
    <x v="26"/>
    <x v="58"/>
    <x v="1"/>
    <x v="1"/>
    <x v="0"/>
    <x v="1"/>
    <x v="21"/>
    <x v="84"/>
    <x v="807"/>
    <x v="0"/>
    <x v="26"/>
    <x v="1"/>
  </r>
  <r>
    <x v="26"/>
    <x v="127"/>
    <x v="1"/>
    <x v="1"/>
    <x v="0"/>
    <x v="1"/>
    <x v="21"/>
    <x v="85"/>
    <x v="812"/>
    <x v="0"/>
    <x v="26"/>
    <x v="1"/>
  </r>
  <r>
    <x v="26"/>
    <x v="1"/>
    <x v="1"/>
    <x v="1"/>
    <x v="0"/>
    <x v="1"/>
    <x v="1"/>
    <x v="1"/>
    <x v="1"/>
    <x v="207"/>
    <x v="26"/>
    <x v="1"/>
  </r>
  <r>
    <x v="27"/>
    <x v="49"/>
    <x v="3"/>
    <x v="3"/>
    <x v="0"/>
    <x v="2"/>
    <x v="20"/>
    <x v="86"/>
    <x v="744"/>
    <x v="0"/>
    <x v="27"/>
    <x v="1"/>
  </r>
  <r>
    <x v="27"/>
    <x v="19"/>
    <x v="3"/>
    <x v="3"/>
    <x v="0"/>
    <x v="2"/>
    <x v="20"/>
    <x v="86"/>
    <x v="813"/>
    <x v="0"/>
    <x v="27"/>
    <x v="1"/>
  </r>
  <r>
    <x v="27"/>
    <x v="43"/>
    <x v="3"/>
    <x v="3"/>
    <x v="0"/>
    <x v="2"/>
    <x v="21"/>
    <x v="71"/>
    <x v="814"/>
    <x v="0"/>
    <x v="27"/>
    <x v="1"/>
  </r>
  <r>
    <x v="27"/>
    <x v="100"/>
    <x v="0"/>
    <x v="0"/>
    <x v="0"/>
    <x v="2"/>
    <x v="20"/>
    <x v="86"/>
    <x v="742"/>
    <x v="0"/>
    <x v="27"/>
    <x v="1"/>
  </r>
  <r>
    <x v="27"/>
    <x v="128"/>
    <x v="1"/>
    <x v="1"/>
    <x v="0"/>
    <x v="2"/>
    <x v="20"/>
    <x v="86"/>
    <x v="737"/>
    <x v="0"/>
    <x v="27"/>
    <x v="1"/>
  </r>
  <r>
    <x v="27"/>
    <x v="1"/>
    <x v="1"/>
    <x v="1"/>
    <x v="0"/>
    <x v="2"/>
    <x v="1"/>
    <x v="1"/>
    <x v="1"/>
    <x v="208"/>
    <x v="27"/>
    <x v="1"/>
  </r>
  <r>
    <x v="28"/>
    <x v="129"/>
    <x v="2"/>
    <x v="2"/>
    <x v="0"/>
    <x v="2"/>
    <x v="20"/>
    <x v="87"/>
    <x v="739"/>
    <x v="0"/>
    <x v="28"/>
    <x v="1"/>
  </r>
  <r>
    <x v="28"/>
    <x v="65"/>
    <x v="6"/>
    <x v="6"/>
    <x v="0"/>
    <x v="2"/>
    <x v="20"/>
    <x v="87"/>
    <x v="815"/>
    <x v="0"/>
    <x v="28"/>
    <x v="1"/>
  </r>
  <r>
    <x v="28"/>
    <x v="71"/>
    <x v="6"/>
    <x v="6"/>
    <x v="0"/>
    <x v="2"/>
    <x v="20"/>
    <x v="87"/>
    <x v="815"/>
    <x v="0"/>
    <x v="28"/>
    <x v="1"/>
  </r>
  <r>
    <x v="28"/>
    <x v="21"/>
    <x v="6"/>
    <x v="6"/>
    <x v="0"/>
    <x v="2"/>
    <x v="20"/>
    <x v="87"/>
    <x v="739"/>
    <x v="0"/>
    <x v="28"/>
    <x v="1"/>
  </r>
  <r>
    <x v="28"/>
    <x v="130"/>
    <x v="3"/>
    <x v="3"/>
    <x v="0"/>
    <x v="2"/>
    <x v="20"/>
    <x v="87"/>
    <x v="816"/>
    <x v="0"/>
    <x v="28"/>
    <x v="1"/>
  </r>
  <r>
    <x v="28"/>
    <x v="99"/>
    <x v="3"/>
    <x v="3"/>
    <x v="0"/>
    <x v="2"/>
    <x v="20"/>
    <x v="87"/>
    <x v="815"/>
    <x v="0"/>
    <x v="28"/>
    <x v="1"/>
  </r>
  <r>
    <x v="28"/>
    <x v="29"/>
    <x v="4"/>
    <x v="4"/>
    <x v="0"/>
    <x v="2"/>
    <x v="20"/>
    <x v="87"/>
    <x v="816"/>
    <x v="0"/>
    <x v="28"/>
    <x v="1"/>
  </r>
  <r>
    <x v="28"/>
    <x v="57"/>
    <x v="0"/>
    <x v="0"/>
    <x v="0"/>
    <x v="2"/>
    <x v="21"/>
    <x v="44"/>
    <x v="772"/>
    <x v="0"/>
    <x v="28"/>
    <x v="1"/>
  </r>
  <r>
    <x v="28"/>
    <x v="120"/>
    <x v="0"/>
    <x v="0"/>
    <x v="0"/>
    <x v="2"/>
    <x v="20"/>
    <x v="87"/>
    <x v="739"/>
    <x v="0"/>
    <x v="28"/>
    <x v="1"/>
  </r>
  <r>
    <x v="28"/>
    <x v="32"/>
    <x v="5"/>
    <x v="5"/>
    <x v="0"/>
    <x v="2"/>
    <x v="20"/>
    <x v="87"/>
    <x v="816"/>
    <x v="0"/>
    <x v="28"/>
    <x v="1"/>
  </r>
  <r>
    <x v="28"/>
    <x v="13"/>
    <x v="5"/>
    <x v="5"/>
    <x v="0"/>
    <x v="2"/>
    <x v="20"/>
    <x v="87"/>
    <x v="815"/>
    <x v="0"/>
    <x v="28"/>
    <x v="1"/>
  </r>
  <r>
    <x v="28"/>
    <x v="124"/>
    <x v="5"/>
    <x v="5"/>
    <x v="0"/>
    <x v="2"/>
    <x v="20"/>
    <x v="87"/>
    <x v="816"/>
    <x v="0"/>
    <x v="28"/>
    <x v="1"/>
  </r>
  <r>
    <x v="28"/>
    <x v="8"/>
    <x v="1"/>
    <x v="1"/>
    <x v="0"/>
    <x v="2"/>
    <x v="20"/>
    <x v="87"/>
    <x v="815"/>
    <x v="0"/>
    <x v="28"/>
    <x v="1"/>
  </r>
  <r>
    <x v="28"/>
    <x v="1"/>
    <x v="1"/>
    <x v="1"/>
    <x v="0"/>
    <x v="2"/>
    <x v="1"/>
    <x v="1"/>
    <x v="1"/>
    <x v="209"/>
    <x v="28"/>
    <x v="1"/>
  </r>
  <r>
    <x v="73"/>
    <x v="16"/>
    <x v="2"/>
    <x v="2"/>
    <x v="0"/>
    <x v="2"/>
    <x v="20"/>
    <x v="88"/>
    <x v="817"/>
    <x v="0"/>
    <x v="73"/>
    <x v="1"/>
  </r>
  <r>
    <x v="73"/>
    <x v="47"/>
    <x v="2"/>
    <x v="2"/>
    <x v="0"/>
    <x v="2"/>
    <x v="20"/>
    <x v="88"/>
    <x v="748"/>
    <x v="0"/>
    <x v="73"/>
    <x v="1"/>
  </r>
  <r>
    <x v="73"/>
    <x v="113"/>
    <x v="6"/>
    <x v="6"/>
    <x v="0"/>
    <x v="2"/>
    <x v="21"/>
    <x v="89"/>
    <x v="818"/>
    <x v="0"/>
    <x v="73"/>
    <x v="1"/>
  </r>
  <r>
    <x v="73"/>
    <x v="27"/>
    <x v="3"/>
    <x v="3"/>
    <x v="0"/>
    <x v="2"/>
    <x v="20"/>
    <x v="88"/>
    <x v="755"/>
    <x v="0"/>
    <x v="73"/>
    <x v="1"/>
  </r>
  <r>
    <x v="73"/>
    <x v="80"/>
    <x v="4"/>
    <x v="4"/>
    <x v="0"/>
    <x v="2"/>
    <x v="21"/>
    <x v="90"/>
    <x v="819"/>
    <x v="0"/>
    <x v="73"/>
    <x v="1"/>
  </r>
  <r>
    <x v="73"/>
    <x v="5"/>
    <x v="0"/>
    <x v="0"/>
    <x v="0"/>
    <x v="2"/>
    <x v="20"/>
    <x v="88"/>
    <x v="820"/>
    <x v="0"/>
    <x v="73"/>
    <x v="1"/>
  </r>
  <r>
    <x v="73"/>
    <x v="1"/>
    <x v="1"/>
    <x v="1"/>
    <x v="0"/>
    <x v="2"/>
    <x v="1"/>
    <x v="1"/>
    <x v="1"/>
    <x v="210"/>
    <x v="73"/>
    <x v="1"/>
  </r>
  <r>
    <x v="73"/>
    <x v="70"/>
    <x v="2"/>
    <x v="2"/>
    <x v="0"/>
    <x v="0"/>
    <x v="21"/>
    <x v="36"/>
    <x v="821"/>
    <x v="0"/>
    <x v="73"/>
    <x v="1"/>
  </r>
  <r>
    <x v="73"/>
    <x v="118"/>
    <x v="2"/>
    <x v="2"/>
    <x v="0"/>
    <x v="0"/>
    <x v="21"/>
    <x v="69"/>
    <x v="822"/>
    <x v="0"/>
    <x v="73"/>
    <x v="1"/>
  </r>
  <r>
    <x v="73"/>
    <x v="108"/>
    <x v="3"/>
    <x v="3"/>
    <x v="0"/>
    <x v="0"/>
    <x v="21"/>
    <x v="63"/>
    <x v="823"/>
    <x v="0"/>
    <x v="73"/>
    <x v="1"/>
  </r>
  <r>
    <x v="73"/>
    <x v="66"/>
    <x v="4"/>
    <x v="4"/>
    <x v="0"/>
    <x v="0"/>
    <x v="21"/>
    <x v="78"/>
    <x v="822"/>
    <x v="0"/>
    <x v="73"/>
    <x v="1"/>
  </r>
  <r>
    <x v="73"/>
    <x v="32"/>
    <x v="5"/>
    <x v="5"/>
    <x v="0"/>
    <x v="0"/>
    <x v="21"/>
    <x v="81"/>
    <x v="824"/>
    <x v="0"/>
    <x v="73"/>
    <x v="1"/>
  </r>
  <r>
    <x v="73"/>
    <x v="125"/>
    <x v="5"/>
    <x v="5"/>
    <x v="0"/>
    <x v="0"/>
    <x v="21"/>
    <x v="82"/>
    <x v="822"/>
    <x v="0"/>
    <x v="73"/>
    <x v="1"/>
  </r>
  <r>
    <x v="73"/>
    <x v="1"/>
    <x v="1"/>
    <x v="1"/>
    <x v="0"/>
    <x v="0"/>
    <x v="1"/>
    <x v="1"/>
    <x v="1"/>
    <x v="211"/>
    <x v="73"/>
    <x v="1"/>
  </r>
  <r>
    <x v="73"/>
    <x v="11"/>
    <x v="6"/>
    <x v="6"/>
    <x v="0"/>
    <x v="1"/>
    <x v="21"/>
    <x v="91"/>
    <x v="825"/>
    <x v="0"/>
    <x v="73"/>
    <x v="1"/>
  </r>
  <r>
    <x v="73"/>
    <x v="1"/>
    <x v="1"/>
    <x v="1"/>
    <x v="0"/>
    <x v="1"/>
    <x v="1"/>
    <x v="1"/>
    <x v="1"/>
    <x v="212"/>
    <x v="73"/>
    <x v="1"/>
  </r>
  <r>
    <x v="29"/>
    <x v="17"/>
    <x v="2"/>
    <x v="2"/>
    <x v="0"/>
    <x v="2"/>
    <x v="20"/>
    <x v="92"/>
    <x v="826"/>
    <x v="0"/>
    <x v="29"/>
    <x v="1"/>
  </r>
  <r>
    <x v="29"/>
    <x v="9"/>
    <x v="6"/>
    <x v="6"/>
    <x v="0"/>
    <x v="2"/>
    <x v="20"/>
    <x v="92"/>
    <x v="189"/>
    <x v="0"/>
    <x v="29"/>
    <x v="1"/>
  </r>
  <r>
    <x v="29"/>
    <x v="11"/>
    <x v="6"/>
    <x v="6"/>
    <x v="0"/>
    <x v="2"/>
    <x v="20"/>
    <x v="92"/>
    <x v="826"/>
    <x v="0"/>
    <x v="29"/>
    <x v="1"/>
  </r>
  <r>
    <x v="29"/>
    <x v="96"/>
    <x v="6"/>
    <x v="6"/>
    <x v="0"/>
    <x v="2"/>
    <x v="20"/>
    <x v="92"/>
    <x v="742"/>
    <x v="0"/>
    <x v="29"/>
    <x v="1"/>
  </r>
  <r>
    <x v="29"/>
    <x v="28"/>
    <x v="3"/>
    <x v="3"/>
    <x v="0"/>
    <x v="2"/>
    <x v="20"/>
    <x v="92"/>
    <x v="826"/>
    <x v="0"/>
    <x v="29"/>
    <x v="1"/>
  </r>
  <r>
    <x v="29"/>
    <x v="131"/>
    <x v="3"/>
    <x v="3"/>
    <x v="0"/>
    <x v="2"/>
    <x v="20"/>
    <x v="92"/>
    <x v="744"/>
    <x v="0"/>
    <x v="29"/>
    <x v="1"/>
  </r>
  <r>
    <x v="29"/>
    <x v="38"/>
    <x v="4"/>
    <x v="4"/>
    <x v="0"/>
    <x v="2"/>
    <x v="20"/>
    <x v="92"/>
    <x v="826"/>
    <x v="0"/>
    <x v="29"/>
    <x v="1"/>
  </r>
  <r>
    <x v="29"/>
    <x v="1"/>
    <x v="1"/>
    <x v="1"/>
    <x v="0"/>
    <x v="2"/>
    <x v="20"/>
    <x v="92"/>
    <x v="784"/>
    <x v="0"/>
    <x v="29"/>
    <x v="1"/>
  </r>
  <r>
    <x v="29"/>
    <x v="1"/>
    <x v="1"/>
    <x v="1"/>
    <x v="0"/>
    <x v="2"/>
    <x v="1"/>
    <x v="1"/>
    <x v="1"/>
    <x v="213"/>
    <x v="29"/>
    <x v="1"/>
  </r>
  <r>
    <x v="29"/>
    <x v="16"/>
    <x v="2"/>
    <x v="2"/>
    <x v="0"/>
    <x v="0"/>
    <x v="21"/>
    <x v="93"/>
    <x v="827"/>
    <x v="0"/>
    <x v="29"/>
    <x v="1"/>
  </r>
  <r>
    <x v="29"/>
    <x v="36"/>
    <x v="6"/>
    <x v="6"/>
    <x v="0"/>
    <x v="0"/>
    <x v="21"/>
    <x v="94"/>
    <x v="828"/>
    <x v="0"/>
    <x v="29"/>
    <x v="1"/>
  </r>
  <r>
    <x v="29"/>
    <x v="60"/>
    <x v="3"/>
    <x v="3"/>
    <x v="0"/>
    <x v="0"/>
    <x v="21"/>
    <x v="57"/>
    <x v="828"/>
    <x v="0"/>
    <x v="29"/>
    <x v="1"/>
  </r>
  <r>
    <x v="29"/>
    <x v="132"/>
    <x v="4"/>
    <x v="4"/>
    <x v="0"/>
    <x v="0"/>
    <x v="21"/>
    <x v="95"/>
    <x v="829"/>
    <x v="0"/>
    <x v="29"/>
    <x v="1"/>
  </r>
  <r>
    <x v="29"/>
    <x v="57"/>
    <x v="0"/>
    <x v="0"/>
    <x v="0"/>
    <x v="0"/>
    <x v="21"/>
    <x v="44"/>
    <x v="830"/>
    <x v="0"/>
    <x v="29"/>
    <x v="1"/>
  </r>
  <r>
    <x v="29"/>
    <x v="119"/>
    <x v="0"/>
    <x v="0"/>
    <x v="0"/>
    <x v="0"/>
    <x v="21"/>
    <x v="96"/>
    <x v="831"/>
    <x v="0"/>
    <x v="29"/>
    <x v="1"/>
  </r>
  <r>
    <x v="29"/>
    <x v="72"/>
    <x v="5"/>
    <x v="5"/>
    <x v="0"/>
    <x v="0"/>
    <x v="21"/>
    <x v="38"/>
    <x v="829"/>
    <x v="0"/>
    <x v="29"/>
    <x v="1"/>
  </r>
  <r>
    <x v="29"/>
    <x v="95"/>
    <x v="1"/>
    <x v="1"/>
    <x v="0"/>
    <x v="0"/>
    <x v="21"/>
    <x v="97"/>
    <x v="828"/>
    <x v="0"/>
    <x v="29"/>
    <x v="1"/>
  </r>
  <r>
    <x v="29"/>
    <x v="1"/>
    <x v="1"/>
    <x v="1"/>
    <x v="0"/>
    <x v="0"/>
    <x v="1"/>
    <x v="1"/>
    <x v="1"/>
    <x v="214"/>
    <x v="29"/>
    <x v="1"/>
  </r>
  <r>
    <x v="30"/>
    <x v="15"/>
    <x v="6"/>
    <x v="6"/>
    <x v="0"/>
    <x v="2"/>
    <x v="20"/>
    <x v="98"/>
    <x v="735"/>
    <x v="0"/>
    <x v="30"/>
    <x v="1"/>
  </r>
  <r>
    <x v="30"/>
    <x v="108"/>
    <x v="3"/>
    <x v="3"/>
    <x v="0"/>
    <x v="2"/>
    <x v="20"/>
    <x v="98"/>
    <x v="771"/>
    <x v="0"/>
    <x v="30"/>
    <x v="1"/>
  </r>
  <r>
    <x v="30"/>
    <x v="126"/>
    <x v="4"/>
    <x v="4"/>
    <x v="0"/>
    <x v="2"/>
    <x v="20"/>
    <x v="98"/>
    <x v="739"/>
    <x v="0"/>
    <x v="30"/>
    <x v="1"/>
  </r>
  <r>
    <x v="30"/>
    <x v="31"/>
    <x v="4"/>
    <x v="4"/>
    <x v="0"/>
    <x v="2"/>
    <x v="20"/>
    <x v="98"/>
    <x v="743"/>
    <x v="0"/>
    <x v="30"/>
    <x v="1"/>
  </r>
  <r>
    <x v="30"/>
    <x v="92"/>
    <x v="0"/>
    <x v="0"/>
    <x v="0"/>
    <x v="2"/>
    <x v="20"/>
    <x v="98"/>
    <x v="735"/>
    <x v="0"/>
    <x v="30"/>
    <x v="1"/>
  </r>
  <r>
    <x v="30"/>
    <x v="1"/>
    <x v="1"/>
    <x v="1"/>
    <x v="0"/>
    <x v="2"/>
    <x v="1"/>
    <x v="1"/>
    <x v="1"/>
    <x v="215"/>
    <x v="30"/>
    <x v="1"/>
  </r>
  <r>
    <x v="30"/>
    <x v="1"/>
    <x v="1"/>
    <x v="1"/>
    <x v="0"/>
    <x v="1"/>
    <x v="1"/>
    <x v="1"/>
    <x v="1"/>
    <x v="216"/>
    <x v="30"/>
    <x v="1"/>
  </r>
  <r>
    <x v="31"/>
    <x v="133"/>
    <x v="2"/>
    <x v="2"/>
    <x v="0"/>
    <x v="2"/>
    <x v="20"/>
    <x v="99"/>
    <x v="785"/>
    <x v="0"/>
    <x v="31"/>
    <x v="1"/>
  </r>
  <r>
    <x v="31"/>
    <x v="71"/>
    <x v="6"/>
    <x v="6"/>
    <x v="0"/>
    <x v="2"/>
    <x v="21"/>
    <x v="37"/>
    <x v="832"/>
    <x v="0"/>
    <x v="31"/>
    <x v="1"/>
  </r>
  <r>
    <x v="31"/>
    <x v="88"/>
    <x v="6"/>
    <x v="6"/>
    <x v="0"/>
    <x v="2"/>
    <x v="20"/>
    <x v="99"/>
    <x v="833"/>
    <x v="0"/>
    <x v="31"/>
    <x v="1"/>
  </r>
  <r>
    <x v="31"/>
    <x v="134"/>
    <x v="6"/>
    <x v="6"/>
    <x v="0"/>
    <x v="2"/>
    <x v="20"/>
    <x v="99"/>
    <x v="834"/>
    <x v="0"/>
    <x v="31"/>
    <x v="1"/>
  </r>
  <r>
    <x v="31"/>
    <x v="37"/>
    <x v="6"/>
    <x v="6"/>
    <x v="0"/>
    <x v="2"/>
    <x v="20"/>
    <x v="99"/>
    <x v="805"/>
    <x v="0"/>
    <x v="31"/>
    <x v="1"/>
  </r>
  <r>
    <x v="31"/>
    <x v="130"/>
    <x v="3"/>
    <x v="3"/>
    <x v="0"/>
    <x v="2"/>
    <x v="20"/>
    <x v="99"/>
    <x v="835"/>
    <x v="0"/>
    <x v="31"/>
    <x v="1"/>
  </r>
  <r>
    <x v="31"/>
    <x v="135"/>
    <x v="3"/>
    <x v="3"/>
    <x v="0"/>
    <x v="2"/>
    <x v="20"/>
    <x v="99"/>
    <x v="742"/>
    <x v="0"/>
    <x v="31"/>
    <x v="1"/>
  </r>
  <r>
    <x v="31"/>
    <x v="75"/>
    <x v="3"/>
    <x v="3"/>
    <x v="0"/>
    <x v="2"/>
    <x v="20"/>
    <x v="99"/>
    <x v="785"/>
    <x v="0"/>
    <x v="31"/>
    <x v="1"/>
  </r>
  <r>
    <x v="31"/>
    <x v="3"/>
    <x v="3"/>
    <x v="3"/>
    <x v="0"/>
    <x v="2"/>
    <x v="20"/>
    <x v="99"/>
    <x v="785"/>
    <x v="0"/>
    <x v="31"/>
    <x v="1"/>
  </r>
  <r>
    <x v="31"/>
    <x v="80"/>
    <x v="4"/>
    <x v="4"/>
    <x v="0"/>
    <x v="2"/>
    <x v="21"/>
    <x v="90"/>
    <x v="836"/>
    <x v="0"/>
    <x v="31"/>
    <x v="1"/>
  </r>
  <r>
    <x v="31"/>
    <x v="136"/>
    <x v="0"/>
    <x v="0"/>
    <x v="0"/>
    <x v="2"/>
    <x v="21"/>
    <x v="100"/>
    <x v="837"/>
    <x v="0"/>
    <x v="31"/>
    <x v="1"/>
  </r>
  <r>
    <x v="31"/>
    <x v="1"/>
    <x v="1"/>
    <x v="1"/>
    <x v="0"/>
    <x v="2"/>
    <x v="1"/>
    <x v="1"/>
    <x v="1"/>
    <x v="217"/>
    <x v="31"/>
    <x v="1"/>
  </r>
  <r>
    <x v="31"/>
    <x v="111"/>
    <x v="2"/>
    <x v="2"/>
    <x v="0"/>
    <x v="0"/>
    <x v="21"/>
    <x v="75"/>
    <x v="764"/>
    <x v="0"/>
    <x v="31"/>
    <x v="1"/>
  </r>
  <r>
    <x v="31"/>
    <x v="57"/>
    <x v="0"/>
    <x v="0"/>
    <x v="0"/>
    <x v="0"/>
    <x v="21"/>
    <x v="44"/>
    <x v="838"/>
    <x v="0"/>
    <x v="31"/>
    <x v="1"/>
  </r>
  <r>
    <x v="31"/>
    <x v="117"/>
    <x v="0"/>
    <x v="0"/>
    <x v="0"/>
    <x v="0"/>
    <x v="21"/>
    <x v="65"/>
    <x v="838"/>
    <x v="0"/>
    <x v="31"/>
    <x v="1"/>
  </r>
  <r>
    <x v="31"/>
    <x v="1"/>
    <x v="1"/>
    <x v="1"/>
    <x v="0"/>
    <x v="0"/>
    <x v="1"/>
    <x v="1"/>
    <x v="1"/>
    <x v="218"/>
    <x v="31"/>
    <x v="1"/>
  </r>
  <r>
    <x v="31"/>
    <x v="111"/>
    <x v="2"/>
    <x v="2"/>
    <x v="0"/>
    <x v="1"/>
    <x v="21"/>
    <x v="75"/>
    <x v="839"/>
    <x v="0"/>
    <x v="31"/>
    <x v="1"/>
  </r>
  <r>
    <x v="31"/>
    <x v="114"/>
    <x v="3"/>
    <x v="3"/>
    <x v="0"/>
    <x v="1"/>
    <x v="21"/>
    <x v="76"/>
    <x v="839"/>
    <x v="0"/>
    <x v="31"/>
    <x v="1"/>
  </r>
  <r>
    <x v="31"/>
    <x v="66"/>
    <x v="4"/>
    <x v="4"/>
    <x v="0"/>
    <x v="1"/>
    <x v="21"/>
    <x v="78"/>
    <x v="840"/>
    <x v="0"/>
    <x v="31"/>
    <x v="1"/>
  </r>
  <r>
    <x v="31"/>
    <x v="1"/>
    <x v="1"/>
    <x v="1"/>
    <x v="0"/>
    <x v="1"/>
    <x v="1"/>
    <x v="1"/>
    <x v="1"/>
    <x v="219"/>
    <x v="31"/>
    <x v="1"/>
  </r>
  <r>
    <x v="32"/>
    <x v="60"/>
    <x v="3"/>
    <x v="3"/>
    <x v="0"/>
    <x v="2"/>
    <x v="20"/>
    <x v="101"/>
    <x v="753"/>
    <x v="0"/>
    <x v="32"/>
    <x v="1"/>
  </r>
  <r>
    <x v="32"/>
    <x v="131"/>
    <x v="3"/>
    <x v="3"/>
    <x v="0"/>
    <x v="2"/>
    <x v="20"/>
    <x v="101"/>
    <x v="799"/>
    <x v="0"/>
    <x v="32"/>
    <x v="1"/>
  </r>
  <r>
    <x v="32"/>
    <x v="120"/>
    <x v="0"/>
    <x v="0"/>
    <x v="0"/>
    <x v="2"/>
    <x v="20"/>
    <x v="101"/>
    <x v="841"/>
    <x v="0"/>
    <x v="32"/>
    <x v="1"/>
  </r>
  <r>
    <x v="32"/>
    <x v="1"/>
    <x v="1"/>
    <x v="1"/>
    <x v="0"/>
    <x v="2"/>
    <x v="1"/>
    <x v="1"/>
    <x v="1"/>
    <x v="220"/>
    <x v="32"/>
    <x v="1"/>
  </r>
  <r>
    <x v="33"/>
    <x v="137"/>
    <x v="6"/>
    <x v="6"/>
    <x v="0"/>
    <x v="2"/>
    <x v="21"/>
    <x v="102"/>
    <x v="816"/>
    <x v="0"/>
    <x v="33"/>
    <x v="1"/>
  </r>
  <r>
    <x v="33"/>
    <x v="1"/>
    <x v="1"/>
    <x v="1"/>
    <x v="0"/>
    <x v="2"/>
    <x v="1"/>
    <x v="1"/>
    <x v="1"/>
    <x v="221"/>
    <x v="33"/>
    <x v="1"/>
  </r>
  <r>
    <x v="34"/>
    <x v="59"/>
    <x v="6"/>
    <x v="6"/>
    <x v="0"/>
    <x v="2"/>
    <x v="20"/>
    <x v="103"/>
    <x v="744"/>
    <x v="0"/>
    <x v="34"/>
    <x v="1"/>
  </r>
  <r>
    <x v="34"/>
    <x v="18"/>
    <x v="3"/>
    <x v="3"/>
    <x v="0"/>
    <x v="2"/>
    <x v="20"/>
    <x v="103"/>
    <x v="842"/>
    <x v="0"/>
    <x v="34"/>
    <x v="1"/>
  </r>
  <r>
    <x v="34"/>
    <x v="50"/>
    <x v="4"/>
    <x v="4"/>
    <x v="0"/>
    <x v="2"/>
    <x v="20"/>
    <x v="103"/>
    <x v="842"/>
    <x v="0"/>
    <x v="34"/>
    <x v="1"/>
  </r>
  <r>
    <x v="34"/>
    <x v="95"/>
    <x v="1"/>
    <x v="1"/>
    <x v="0"/>
    <x v="2"/>
    <x v="20"/>
    <x v="103"/>
    <x v="776"/>
    <x v="0"/>
    <x v="34"/>
    <x v="1"/>
  </r>
  <r>
    <x v="34"/>
    <x v="14"/>
    <x v="1"/>
    <x v="1"/>
    <x v="0"/>
    <x v="2"/>
    <x v="20"/>
    <x v="103"/>
    <x v="776"/>
    <x v="0"/>
    <x v="34"/>
    <x v="1"/>
  </r>
  <r>
    <x v="34"/>
    <x v="1"/>
    <x v="1"/>
    <x v="1"/>
    <x v="0"/>
    <x v="2"/>
    <x v="1"/>
    <x v="1"/>
    <x v="1"/>
    <x v="222"/>
    <x v="34"/>
    <x v="1"/>
  </r>
  <r>
    <x v="35"/>
    <x v="117"/>
    <x v="0"/>
    <x v="0"/>
    <x v="0"/>
    <x v="2"/>
    <x v="20"/>
    <x v="104"/>
    <x v="745"/>
    <x v="0"/>
    <x v="35"/>
    <x v="1"/>
  </r>
  <r>
    <x v="35"/>
    <x v="1"/>
    <x v="1"/>
    <x v="1"/>
    <x v="0"/>
    <x v="2"/>
    <x v="1"/>
    <x v="1"/>
    <x v="1"/>
    <x v="223"/>
    <x v="35"/>
    <x v="1"/>
  </r>
  <r>
    <x v="36"/>
    <x v="43"/>
    <x v="3"/>
    <x v="3"/>
    <x v="0"/>
    <x v="2"/>
    <x v="21"/>
    <x v="71"/>
    <x v="814"/>
    <x v="0"/>
    <x v="36"/>
    <x v="1"/>
  </r>
  <r>
    <x v="36"/>
    <x v="97"/>
    <x v="5"/>
    <x v="5"/>
    <x v="0"/>
    <x v="2"/>
    <x v="20"/>
    <x v="105"/>
    <x v="784"/>
    <x v="0"/>
    <x v="36"/>
    <x v="1"/>
  </r>
  <r>
    <x v="36"/>
    <x v="1"/>
    <x v="1"/>
    <x v="1"/>
    <x v="0"/>
    <x v="2"/>
    <x v="1"/>
    <x v="1"/>
    <x v="1"/>
    <x v="224"/>
    <x v="36"/>
    <x v="1"/>
  </r>
  <r>
    <x v="36"/>
    <x v="1"/>
    <x v="1"/>
    <x v="1"/>
    <x v="0"/>
    <x v="1"/>
    <x v="1"/>
    <x v="1"/>
    <x v="1"/>
    <x v="225"/>
    <x v="36"/>
    <x v="1"/>
  </r>
  <r>
    <x v="37"/>
    <x v="38"/>
    <x v="4"/>
    <x v="4"/>
    <x v="0"/>
    <x v="2"/>
    <x v="21"/>
    <x v="106"/>
    <x v="843"/>
    <x v="0"/>
    <x v="37"/>
    <x v="1"/>
  </r>
  <r>
    <x v="37"/>
    <x v="52"/>
    <x v="0"/>
    <x v="0"/>
    <x v="0"/>
    <x v="2"/>
    <x v="25"/>
    <x v="107"/>
    <x v="844"/>
    <x v="0"/>
    <x v="37"/>
    <x v="1"/>
  </r>
  <r>
    <x v="37"/>
    <x v="138"/>
    <x v="0"/>
    <x v="0"/>
    <x v="0"/>
    <x v="2"/>
    <x v="20"/>
    <x v="108"/>
    <x v="845"/>
    <x v="0"/>
    <x v="37"/>
    <x v="1"/>
  </r>
  <r>
    <x v="37"/>
    <x v="92"/>
    <x v="0"/>
    <x v="0"/>
    <x v="0"/>
    <x v="2"/>
    <x v="21"/>
    <x v="109"/>
    <x v="846"/>
    <x v="0"/>
    <x v="37"/>
    <x v="1"/>
  </r>
  <r>
    <x v="37"/>
    <x v="92"/>
    <x v="0"/>
    <x v="0"/>
    <x v="0"/>
    <x v="2"/>
    <x v="26"/>
    <x v="109"/>
    <x v="1"/>
    <x v="226"/>
    <x v="37"/>
    <x v="1"/>
  </r>
  <r>
    <x v="37"/>
    <x v="139"/>
    <x v="5"/>
    <x v="5"/>
    <x v="0"/>
    <x v="2"/>
    <x v="21"/>
    <x v="110"/>
    <x v="847"/>
    <x v="0"/>
    <x v="37"/>
    <x v="1"/>
  </r>
  <r>
    <x v="37"/>
    <x v="63"/>
    <x v="5"/>
    <x v="5"/>
    <x v="0"/>
    <x v="2"/>
    <x v="21"/>
    <x v="111"/>
    <x v="848"/>
    <x v="0"/>
    <x v="37"/>
    <x v="1"/>
  </r>
  <r>
    <x v="37"/>
    <x v="20"/>
    <x v="5"/>
    <x v="5"/>
    <x v="0"/>
    <x v="2"/>
    <x v="20"/>
    <x v="108"/>
    <x v="849"/>
    <x v="0"/>
    <x v="37"/>
    <x v="1"/>
  </r>
  <r>
    <x v="37"/>
    <x v="14"/>
    <x v="1"/>
    <x v="1"/>
    <x v="0"/>
    <x v="2"/>
    <x v="25"/>
    <x v="112"/>
    <x v="850"/>
    <x v="0"/>
    <x v="37"/>
    <x v="1"/>
  </r>
  <r>
    <x v="37"/>
    <x v="41"/>
    <x v="1"/>
    <x v="1"/>
    <x v="0"/>
    <x v="2"/>
    <x v="21"/>
    <x v="113"/>
    <x v="851"/>
    <x v="0"/>
    <x v="37"/>
    <x v="1"/>
  </r>
  <r>
    <x v="37"/>
    <x v="1"/>
    <x v="1"/>
    <x v="1"/>
    <x v="0"/>
    <x v="2"/>
    <x v="1"/>
    <x v="1"/>
    <x v="1"/>
    <x v="227"/>
    <x v="37"/>
    <x v="1"/>
  </r>
  <r>
    <x v="38"/>
    <x v="25"/>
    <x v="2"/>
    <x v="2"/>
    <x v="0"/>
    <x v="2"/>
    <x v="20"/>
    <x v="114"/>
    <x v="852"/>
    <x v="0"/>
    <x v="38"/>
    <x v="1"/>
  </r>
  <r>
    <x v="38"/>
    <x v="84"/>
    <x v="2"/>
    <x v="2"/>
    <x v="0"/>
    <x v="2"/>
    <x v="20"/>
    <x v="114"/>
    <x v="852"/>
    <x v="0"/>
    <x v="38"/>
    <x v="1"/>
  </r>
  <r>
    <x v="38"/>
    <x v="17"/>
    <x v="2"/>
    <x v="2"/>
    <x v="0"/>
    <x v="2"/>
    <x v="20"/>
    <x v="114"/>
    <x v="852"/>
    <x v="0"/>
    <x v="38"/>
    <x v="1"/>
  </r>
  <r>
    <x v="38"/>
    <x v="26"/>
    <x v="3"/>
    <x v="3"/>
    <x v="0"/>
    <x v="2"/>
    <x v="21"/>
    <x v="115"/>
    <x v="812"/>
    <x v="0"/>
    <x v="38"/>
    <x v="1"/>
  </r>
  <r>
    <x v="38"/>
    <x v="23"/>
    <x v="3"/>
    <x v="3"/>
    <x v="0"/>
    <x v="2"/>
    <x v="20"/>
    <x v="114"/>
    <x v="852"/>
    <x v="0"/>
    <x v="38"/>
    <x v="1"/>
  </r>
  <r>
    <x v="38"/>
    <x v="130"/>
    <x v="3"/>
    <x v="3"/>
    <x v="0"/>
    <x v="2"/>
    <x v="20"/>
    <x v="114"/>
    <x v="852"/>
    <x v="0"/>
    <x v="38"/>
    <x v="1"/>
  </r>
  <r>
    <x v="38"/>
    <x v="43"/>
    <x v="3"/>
    <x v="3"/>
    <x v="0"/>
    <x v="2"/>
    <x v="26"/>
    <x v="71"/>
    <x v="853"/>
    <x v="0"/>
    <x v="38"/>
    <x v="1"/>
  </r>
  <r>
    <x v="38"/>
    <x v="99"/>
    <x v="3"/>
    <x v="3"/>
    <x v="0"/>
    <x v="2"/>
    <x v="26"/>
    <x v="116"/>
    <x v="1"/>
    <x v="228"/>
    <x v="38"/>
    <x v="1"/>
  </r>
  <r>
    <x v="38"/>
    <x v="140"/>
    <x v="4"/>
    <x v="4"/>
    <x v="0"/>
    <x v="2"/>
    <x v="21"/>
    <x v="117"/>
    <x v="812"/>
    <x v="0"/>
    <x v="38"/>
    <x v="1"/>
  </r>
  <r>
    <x v="38"/>
    <x v="90"/>
    <x v="0"/>
    <x v="0"/>
    <x v="0"/>
    <x v="2"/>
    <x v="21"/>
    <x v="79"/>
    <x v="812"/>
    <x v="0"/>
    <x v="38"/>
    <x v="1"/>
  </r>
  <r>
    <x v="38"/>
    <x v="91"/>
    <x v="0"/>
    <x v="0"/>
    <x v="0"/>
    <x v="2"/>
    <x v="21"/>
    <x v="118"/>
    <x v="843"/>
    <x v="0"/>
    <x v="38"/>
    <x v="1"/>
  </r>
  <r>
    <x v="38"/>
    <x v="93"/>
    <x v="0"/>
    <x v="0"/>
    <x v="0"/>
    <x v="2"/>
    <x v="20"/>
    <x v="114"/>
    <x v="852"/>
    <x v="0"/>
    <x v="38"/>
    <x v="1"/>
  </r>
  <r>
    <x v="38"/>
    <x v="141"/>
    <x v="5"/>
    <x v="5"/>
    <x v="0"/>
    <x v="2"/>
    <x v="20"/>
    <x v="114"/>
    <x v="852"/>
    <x v="0"/>
    <x v="38"/>
    <x v="1"/>
  </r>
  <r>
    <x v="38"/>
    <x v="41"/>
    <x v="1"/>
    <x v="1"/>
    <x v="0"/>
    <x v="2"/>
    <x v="20"/>
    <x v="114"/>
    <x v="852"/>
    <x v="0"/>
    <x v="38"/>
    <x v="1"/>
  </r>
  <r>
    <x v="38"/>
    <x v="22"/>
    <x v="1"/>
    <x v="1"/>
    <x v="0"/>
    <x v="2"/>
    <x v="20"/>
    <x v="114"/>
    <x v="852"/>
    <x v="0"/>
    <x v="38"/>
    <x v="1"/>
  </r>
  <r>
    <x v="38"/>
    <x v="1"/>
    <x v="1"/>
    <x v="1"/>
    <x v="0"/>
    <x v="2"/>
    <x v="1"/>
    <x v="1"/>
    <x v="1"/>
    <x v="229"/>
    <x v="38"/>
    <x v="1"/>
  </r>
  <r>
    <x v="38"/>
    <x v="1"/>
    <x v="1"/>
    <x v="1"/>
    <x v="0"/>
    <x v="0"/>
    <x v="1"/>
    <x v="1"/>
    <x v="1"/>
    <x v="230"/>
    <x v="38"/>
    <x v="1"/>
  </r>
  <r>
    <x v="38"/>
    <x v="1"/>
    <x v="1"/>
    <x v="1"/>
    <x v="0"/>
    <x v="1"/>
    <x v="1"/>
    <x v="1"/>
    <x v="1"/>
    <x v="231"/>
    <x v="38"/>
    <x v="1"/>
  </r>
  <r>
    <x v="39"/>
    <x v="41"/>
    <x v="1"/>
    <x v="1"/>
    <x v="0"/>
    <x v="2"/>
    <x v="21"/>
    <x v="113"/>
    <x v="754"/>
    <x v="0"/>
    <x v="39"/>
    <x v="1"/>
  </r>
  <r>
    <x v="39"/>
    <x v="1"/>
    <x v="1"/>
    <x v="1"/>
    <x v="0"/>
    <x v="2"/>
    <x v="1"/>
    <x v="1"/>
    <x v="1"/>
    <x v="232"/>
    <x v="39"/>
    <x v="1"/>
  </r>
  <r>
    <x v="39"/>
    <x v="1"/>
    <x v="1"/>
    <x v="1"/>
    <x v="0"/>
    <x v="0"/>
    <x v="1"/>
    <x v="1"/>
    <x v="1"/>
    <x v="233"/>
    <x v="39"/>
    <x v="1"/>
  </r>
  <r>
    <x v="39"/>
    <x v="119"/>
    <x v="0"/>
    <x v="0"/>
    <x v="0"/>
    <x v="1"/>
    <x v="21"/>
    <x v="96"/>
    <x v="854"/>
    <x v="0"/>
    <x v="39"/>
    <x v="1"/>
  </r>
  <r>
    <x v="39"/>
    <x v="142"/>
    <x v="0"/>
    <x v="0"/>
    <x v="0"/>
    <x v="1"/>
    <x v="21"/>
    <x v="119"/>
    <x v="855"/>
    <x v="0"/>
    <x v="39"/>
    <x v="1"/>
  </r>
  <r>
    <x v="39"/>
    <x v="13"/>
    <x v="5"/>
    <x v="5"/>
    <x v="0"/>
    <x v="1"/>
    <x v="21"/>
    <x v="120"/>
    <x v="856"/>
    <x v="0"/>
    <x v="39"/>
    <x v="1"/>
  </r>
  <r>
    <x v="39"/>
    <x v="95"/>
    <x v="1"/>
    <x v="1"/>
    <x v="0"/>
    <x v="1"/>
    <x v="21"/>
    <x v="97"/>
    <x v="754"/>
    <x v="0"/>
    <x v="39"/>
    <x v="1"/>
  </r>
  <r>
    <x v="39"/>
    <x v="1"/>
    <x v="1"/>
    <x v="1"/>
    <x v="0"/>
    <x v="1"/>
    <x v="1"/>
    <x v="1"/>
    <x v="1"/>
    <x v="234"/>
    <x v="39"/>
    <x v="1"/>
  </r>
  <r>
    <x v="40"/>
    <x v="47"/>
    <x v="2"/>
    <x v="2"/>
    <x v="0"/>
    <x v="2"/>
    <x v="20"/>
    <x v="121"/>
    <x v="857"/>
    <x v="0"/>
    <x v="40"/>
    <x v="1"/>
  </r>
  <r>
    <x v="40"/>
    <x v="143"/>
    <x v="2"/>
    <x v="2"/>
    <x v="0"/>
    <x v="2"/>
    <x v="20"/>
    <x v="121"/>
    <x v="754"/>
    <x v="0"/>
    <x v="40"/>
    <x v="1"/>
  </r>
  <r>
    <x v="40"/>
    <x v="24"/>
    <x v="2"/>
    <x v="2"/>
    <x v="0"/>
    <x v="2"/>
    <x v="20"/>
    <x v="121"/>
    <x v="777"/>
    <x v="0"/>
    <x v="40"/>
    <x v="1"/>
  </r>
  <r>
    <x v="40"/>
    <x v="111"/>
    <x v="2"/>
    <x v="2"/>
    <x v="0"/>
    <x v="2"/>
    <x v="20"/>
    <x v="121"/>
    <x v="756"/>
    <x v="0"/>
    <x v="40"/>
    <x v="1"/>
  </r>
  <r>
    <x v="40"/>
    <x v="74"/>
    <x v="3"/>
    <x v="3"/>
    <x v="0"/>
    <x v="2"/>
    <x v="20"/>
    <x v="121"/>
    <x v="756"/>
    <x v="0"/>
    <x v="40"/>
    <x v="1"/>
  </r>
  <r>
    <x v="40"/>
    <x v="49"/>
    <x v="3"/>
    <x v="3"/>
    <x v="0"/>
    <x v="2"/>
    <x v="20"/>
    <x v="121"/>
    <x v="754"/>
    <x v="0"/>
    <x v="40"/>
    <x v="1"/>
  </r>
  <r>
    <x v="40"/>
    <x v="132"/>
    <x v="4"/>
    <x v="4"/>
    <x v="0"/>
    <x v="2"/>
    <x v="20"/>
    <x v="121"/>
    <x v="754"/>
    <x v="0"/>
    <x v="40"/>
    <x v="1"/>
  </r>
  <r>
    <x v="40"/>
    <x v="119"/>
    <x v="0"/>
    <x v="0"/>
    <x v="0"/>
    <x v="2"/>
    <x v="20"/>
    <x v="121"/>
    <x v="754"/>
    <x v="0"/>
    <x v="40"/>
    <x v="1"/>
  </r>
  <r>
    <x v="40"/>
    <x v="100"/>
    <x v="0"/>
    <x v="0"/>
    <x v="0"/>
    <x v="2"/>
    <x v="20"/>
    <x v="121"/>
    <x v="754"/>
    <x v="0"/>
    <x v="40"/>
    <x v="1"/>
  </r>
  <r>
    <x v="40"/>
    <x v="142"/>
    <x v="0"/>
    <x v="0"/>
    <x v="0"/>
    <x v="2"/>
    <x v="20"/>
    <x v="121"/>
    <x v="856"/>
    <x v="0"/>
    <x v="40"/>
    <x v="1"/>
  </r>
  <r>
    <x v="40"/>
    <x v="141"/>
    <x v="5"/>
    <x v="5"/>
    <x v="0"/>
    <x v="2"/>
    <x v="20"/>
    <x v="121"/>
    <x v="777"/>
    <x v="0"/>
    <x v="40"/>
    <x v="1"/>
  </r>
  <r>
    <x v="40"/>
    <x v="83"/>
    <x v="1"/>
    <x v="1"/>
    <x v="0"/>
    <x v="2"/>
    <x v="20"/>
    <x v="121"/>
    <x v="754"/>
    <x v="0"/>
    <x v="40"/>
    <x v="1"/>
  </r>
  <r>
    <x v="40"/>
    <x v="41"/>
    <x v="1"/>
    <x v="1"/>
    <x v="0"/>
    <x v="2"/>
    <x v="20"/>
    <x v="121"/>
    <x v="754"/>
    <x v="0"/>
    <x v="40"/>
    <x v="1"/>
  </r>
  <r>
    <x v="40"/>
    <x v="1"/>
    <x v="1"/>
    <x v="1"/>
    <x v="0"/>
    <x v="2"/>
    <x v="1"/>
    <x v="1"/>
    <x v="1"/>
    <x v="235"/>
    <x v="40"/>
    <x v="1"/>
  </r>
  <r>
    <x v="74"/>
    <x v="144"/>
    <x v="2"/>
    <x v="2"/>
    <x v="0"/>
    <x v="2"/>
    <x v="20"/>
    <x v="122"/>
    <x v="858"/>
    <x v="0"/>
    <x v="74"/>
    <x v="1"/>
  </r>
  <r>
    <x v="74"/>
    <x v="110"/>
    <x v="2"/>
    <x v="2"/>
    <x v="0"/>
    <x v="2"/>
    <x v="20"/>
    <x v="122"/>
    <x v="858"/>
    <x v="0"/>
    <x v="74"/>
    <x v="1"/>
  </r>
  <r>
    <x v="74"/>
    <x v="49"/>
    <x v="3"/>
    <x v="3"/>
    <x v="0"/>
    <x v="2"/>
    <x v="20"/>
    <x v="122"/>
    <x v="858"/>
    <x v="0"/>
    <x v="74"/>
    <x v="1"/>
  </r>
  <r>
    <x v="74"/>
    <x v="19"/>
    <x v="3"/>
    <x v="3"/>
    <x v="0"/>
    <x v="2"/>
    <x v="20"/>
    <x v="122"/>
    <x v="859"/>
    <x v="0"/>
    <x v="74"/>
    <x v="1"/>
  </r>
  <r>
    <x v="74"/>
    <x v="10"/>
    <x v="3"/>
    <x v="3"/>
    <x v="0"/>
    <x v="2"/>
    <x v="21"/>
    <x v="123"/>
    <x v="860"/>
    <x v="0"/>
    <x v="74"/>
    <x v="1"/>
  </r>
  <r>
    <x v="74"/>
    <x v="80"/>
    <x v="4"/>
    <x v="4"/>
    <x v="0"/>
    <x v="2"/>
    <x v="21"/>
    <x v="90"/>
    <x v="861"/>
    <x v="0"/>
    <x v="74"/>
    <x v="1"/>
  </r>
  <r>
    <x v="74"/>
    <x v="31"/>
    <x v="4"/>
    <x v="4"/>
    <x v="0"/>
    <x v="2"/>
    <x v="26"/>
    <x v="72"/>
    <x v="1"/>
    <x v="236"/>
    <x v="74"/>
    <x v="1"/>
  </r>
  <r>
    <x v="74"/>
    <x v="39"/>
    <x v="4"/>
    <x v="4"/>
    <x v="0"/>
    <x v="2"/>
    <x v="20"/>
    <x v="122"/>
    <x v="740"/>
    <x v="0"/>
    <x v="74"/>
    <x v="1"/>
  </r>
  <r>
    <x v="74"/>
    <x v="90"/>
    <x v="0"/>
    <x v="0"/>
    <x v="0"/>
    <x v="2"/>
    <x v="21"/>
    <x v="79"/>
    <x v="862"/>
    <x v="0"/>
    <x v="74"/>
    <x v="1"/>
  </r>
  <r>
    <x v="74"/>
    <x v="91"/>
    <x v="0"/>
    <x v="0"/>
    <x v="0"/>
    <x v="2"/>
    <x v="20"/>
    <x v="122"/>
    <x v="735"/>
    <x v="0"/>
    <x v="74"/>
    <x v="1"/>
  </r>
  <r>
    <x v="74"/>
    <x v="117"/>
    <x v="0"/>
    <x v="0"/>
    <x v="0"/>
    <x v="2"/>
    <x v="20"/>
    <x v="122"/>
    <x v="858"/>
    <x v="0"/>
    <x v="74"/>
    <x v="1"/>
  </r>
  <r>
    <x v="74"/>
    <x v="5"/>
    <x v="0"/>
    <x v="0"/>
    <x v="0"/>
    <x v="2"/>
    <x v="20"/>
    <x v="122"/>
    <x v="858"/>
    <x v="0"/>
    <x v="74"/>
    <x v="1"/>
  </r>
  <r>
    <x v="74"/>
    <x v="76"/>
    <x v="5"/>
    <x v="5"/>
    <x v="0"/>
    <x v="2"/>
    <x v="20"/>
    <x v="122"/>
    <x v="858"/>
    <x v="0"/>
    <x v="74"/>
    <x v="1"/>
  </r>
  <r>
    <x v="74"/>
    <x v="145"/>
    <x v="5"/>
    <x v="5"/>
    <x v="0"/>
    <x v="2"/>
    <x v="26"/>
    <x v="124"/>
    <x v="1"/>
    <x v="237"/>
    <x v="74"/>
    <x v="1"/>
  </r>
  <r>
    <x v="74"/>
    <x v="40"/>
    <x v="1"/>
    <x v="1"/>
    <x v="0"/>
    <x v="2"/>
    <x v="21"/>
    <x v="125"/>
    <x v="862"/>
    <x v="0"/>
    <x v="74"/>
    <x v="1"/>
  </r>
  <r>
    <x v="74"/>
    <x v="41"/>
    <x v="1"/>
    <x v="1"/>
    <x v="0"/>
    <x v="2"/>
    <x v="20"/>
    <x v="122"/>
    <x v="739"/>
    <x v="0"/>
    <x v="74"/>
    <x v="1"/>
  </r>
  <r>
    <x v="74"/>
    <x v="42"/>
    <x v="1"/>
    <x v="1"/>
    <x v="0"/>
    <x v="2"/>
    <x v="20"/>
    <x v="122"/>
    <x v="858"/>
    <x v="0"/>
    <x v="74"/>
    <x v="1"/>
  </r>
  <r>
    <x v="74"/>
    <x v="101"/>
    <x v="1"/>
    <x v="1"/>
    <x v="0"/>
    <x v="2"/>
    <x v="20"/>
    <x v="122"/>
    <x v="146"/>
    <x v="0"/>
    <x v="74"/>
    <x v="1"/>
  </r>
  <r>
    <x v="74"/>
    <x v="1"/>
    <x v="1"/>
    <x v="1"/>
    <x v="0"/>
    <x v="2"/>
    <x v="1"/>
    <x v="1"/>
    <x v="1"/>
    <x v="238"/>
    <x v="74"/>
    <x v="1"/>
  </r>
  <r>
    <x v="74"/>
    <x v="114"/>
    <x v="3"/>
    <x v="3"/>
    <x v="0"/>
    <x v="1"/>
    <x v="21"/>
    <x v="76"/>
    <x v="825"/>
    <x v="0"/>
    <x v="74"/>
    <x v="1"/>
  </r>
  <r>
    <x v="74"/>
    <x v="1"/>
    <x v="1"/>
    <x v="1"/>
    <x v="0"/>
    <x v="1"/>
    <x v="1"/>
    <x v="1"/>
    <x v="1"/>
    <x v="239"/>
    <x v="74"/>
    <x v="1"/>
  </r>
  <r>
    <x v="75"/>
    <x v="71"/>
    <x v="6"/>
    <x v="6"/>
    <x v="0"/>
    <x v="2"/>
    <x v="21"/>
    <x v="37"/>
    <x v="863"/>
    <x v="0"/>
    <x v="75"/>
    <x v="1"/>
  </r>
  <r>
    <x v="75"/>
    <x v="61"/>
    <x v="3"/>
    <x v="3"/>
    <x v="0"/>
    <x v="2"/>
    <x v="21"/>
    <x v="126"/>
    <x v="764"/>
    <x v="0"/>
    <x v="75"/>
    <x v="1"/>
  </r>
  <r>
    <x v="75"/>
    <x v="80"/>
    <x v="4"/>
    <x v="4"/>
    <x v="0"/>
    <x v="2"/>
    <x v="21"/>
    <x v="90"/>
    <x v="864"/>
    <x v="0"/>
    <x v="75"/>
    <x v="1"/>
  </r>
  <r>
    <x v="75"/>
    <x v="136"/>
    <x v="0"/>
    <x v="0"/>
    <x v="0"/>
    <x v="2"/>
    <x v="21"/>
    <x v="100"/>
    <x v="865"/>
    <x v="0"/>
    <x v="75"/>
    <x v="1"/>
  </r>
  <r>
    <x v="75"/>
    <x v="1"/>
    <x v="1"/>
    <x v="1"/>
    <x v="0"/>
    <x v="2"/>
    <x v="1"/>
    <x v="1"/>
    <x v="1"/>
    <x v="240"/>
    <x v="75"/>
    <x v="1"/>
  </r>
  <r>
    <x v="75"/>
    <x v="111"/>
    <x v="2"/>
    <x v="2"/>
    <x v="0"/>
    <x v="1"/>
    <x v="21"/>
    <x v="75"/>
    <x v="866"/>
    <x v="0"/>
    <x v="75"/>
    <x v="1"/>
  </r>
  <r>
    <x v="75"/>
    <x v="114"/>
    <x v="3"/>
    <x v="3"/>
    <x v="0"/>
    <x v="1"/>
    <x v="21"/>
    <x v="76"/>
    <x v="867"/>
    <x v="0"/>
    <x v="75"/>
    <x v="1"/>
  </r>
  <r>
    <x v="75"/>
    <x v="66"/>
    <x v="4"/>
    <x v="4"/>
    <x v="0"/>
    <x v="1"/>
    <x v="21"/>
    <x v="78"/>
    <x v="868"/>
    <x v="0"/>
    <x v="75"/>
    <x v="1"/>
  </r>
  <r>
    <x v="75"/>
    <x v="90"/>
    <x v="0"/>
    <x v="0"/>
    <x v="0"/>
    <x v="1"/>
    <x v="21"/>
    <x v="79"/>
    <x v="869"/>
    <x v="0"/>
    <x v="75"/>
    <x v="1"/>
  </r>
  <r>
    <x v="75"/>
    <x v="1"/>
    <x v="1"/>
    <x v="1"/>
    <x v="0"/>
    <x v="1"/>
    <x v="1"/>
    <x v="1"/>
    <x v="1"/>
    <x v="241"/>
    <x v="75"/>
    <x v="1"/>
  </r>
  <r>
    <x v="42"/>
    <x v="1"/>
    <x v="1"/>
    <x v="1"/>
    <x v="0"/>
    <x v="2"/>
    <x v="1"/>
    <x v="1"/>
    <x v="1"/>
    <x v="242"/>
    <x v="42"/>
    <x v="1"/>
  </r>
  <r>
    <x v="43"/>
    <x v="90"/>
    <x v="0"/>
    <x v="0"/>
    <x v="0"/>
    <x v="2"/>
    <x v="20"/>
    <x v="127"/>
    <x v="870"/>
    <x v="0"/>
    <x v="43"/>
    <x v="1"/>
  </r>
  <r>
    <x v="43"/>
    <x v="1"/>
    <x v="1"/>
    <x v="1"/>
    <x v="0"/>
    <x v="2"/>
    <x v="1"/>
    <x v="1"/>
    <x v="1"/>
    <x v="243"/>
    <x v="43"/>
    <x v="1"/>
  </r>
  <r>
    <x v="44"/>
    <x v="146"/>
    <x v="6"/>
    <x v="6"/>
    <x v="0"/>
    <x v="2"/>
    <x v="20"/>
    <x v="128"/>
    <x v="776"/>
    <x v="0"/>
    <x v="44"/>
    <x v="1"/>
  </r>
  <r>
    <x v="44"/>
    <x v="102"/>
    <x v="6"/>
    <x v="6"/>
    <x v="0"/>
    <x v="2"/>
    <x v="20"/>
    <x v="128"/>
    <x v="748"/>
    <x v="0"/>
    <x v="44"/>
    <x v="1"/>
  </r>
  <r>
    <x v="44"/>
    <x v="43"/>
    <x v="3"/>
    <x v="3"/>
    <x v="0"/>
    <x v="2"/>
    <x v="20"/>
    <x v="128"/>
    <x v="737"/>
    <x v="0"/>
    <x v="44"/>
    <x v="1"/>
  </r>
  <r>
    <x v="44"/>
    <x v="99"/>
    <x v="3"/>
    <x v="3"/>
    <x v="0"/>
    <x v="2"/>
    <x v="20"/>
    <x v="128"/>
    <x v="744"/>
    <x v="0"/>
    <x v="44"/>
    <x v="1"/>
  </r>
  <r>
    <x v="44"/>
    <x v="82"/>
    <x v="0"/>
    <x v="0"/>
    <x v="0"/>
    <x v="2"/>
    <x v="20"/>
    <x v="128"/>
    <x v="744"/>
    <x v="0"/>
    <x v="44"/>
    <x v="1"/>
  </r>
  <r>
    <x v="44"/>
    <x v="92"/>
    <x v="0"/>
    <x v="0"/>
    <x v="0"/>
    <x v="2"/>
    <x v="20"/>
    <x v="128"/>
    <x v="737"/>
    <x v="0"/>
    <x v="44"/>
    <x v="1"/>
  </r>
  <r>
    <x v="44"/>
    <x v="77"/>
    <x v="5"/>
    <x v="5"/>
    <x v="0"/>
    <x v="2"/>
    <x v="20"/>
    <x v="128"/>
    <x v="748"/>
    <x v="0"/>
    <x v="44"/>
    <x v="1"/>
  </r>
  <r>
    <x v="44"/>
    <x v="123"/>
    <x v="5"/>
    <x v="5"/>
    <x v="0"/>
    <x v="2"/>
    <x v="20"/>
    <x v="128"/>
    <x v="748"/>
    <x v="0"/>
    <x v="44"/>
    <x v="1"/>
  </r>
  <r>
    <x v="44"/>
    <x v="1"/>
    <x v="1"/>
    <x v="1"/>
    <x v="0"/>
    <x v="2"/>
    <x v="1"/>
    <x v="1"/>
    <x v="1"/>
    <x v="7"/>
    <x v="44"/>
    <x v="1"/>
  </r>
  <r>
    <x v="45"/>
    <x v="36"/>
    <x v="6"/>
    <x v="6"/>
    <x v="0"/>
    <x v="2"/>
    <x v="20"/>
    <x v="129"/>
    <x v="745"/>
    <x v="0"/>
    <x v="45"/>
    <x v="1"/>
  </r>
  <r>
    <x v="45"/>
    <x v="87"/>
    <x v="6"/>
    <x v="6"/>
    <x v="0"/>
    <x v="2"/>
    <x v="20"/>
    <x v="129"/>
    <x v="737"/>
    <x v="0"/>
    <x v="45"/>
    <x v="1"/>
  </r>
  <r>
    <x v="45"/>
    <x v="113"/>
    <x v="6"/>
    <x v="6"/>
    <x v="0"/>
    <x v="2"/>
    <x v="20"/>
    <x v="129"/>
    <x v="744"/>
    <x v="0"/>
    <x v="45"/>
    <x v="1"/>
  </r>
  <r>
    <x v="45"/>
    <x v="74"/>
    <x v="3"/>
    <x v="3"/>
    <x v="0"/>
    <x v="2"/>
    <x v="20"/>
    <x v="129"/>
    <x v="791"/>
    <x v="0"/>
    <x v="45"/>
    <x v="1"/>
  </r>
  <r>
    <x v="45"/>
    <x v="56"/>
    <x v="3"/>
    <x v="3"/>
    <x v="0"/>
    <x v="2"/>
    <x v="27"/>
    <x v="59"/>
    <x v="1"/>
    <x v="196"/>
    <x v="45"/>
    <x v="1"/>
  </r>
  <r>
    <x v="45"/>
    <x v="99"/>
    <x v="3"/>
    <x v="3"/>
    <x v="0"/>
    <x v="2"/>
    <x v="20"/>
    <x v="129"/>
    <x v="871"/>
    <x v="0"/>
    <x v="45"/>
    <x v="1"/>
  </r>
  <r>
    <x v="45"/>
    <x v="44"/>
    <x v="3"/>
    <x v="3"/>
    <x v="0"/>
    <x v="2"/>
    <x v="20"/>
    <x v="129"/>
    <x v="871"/>
    <x v="0"/>
    <x v="45"/>
    <x v="1"/>
  </r>
  <r>
    <x v="45"/>
    <x v="92"/>
    <x v="0"/>
    <x v="0"/>
    <x v="0"/>
    <x v="2"/>
    <x v="20"/>
    <x v="129"/>
    <x v="745"/>
    <x v="0"/>
    <x v="45"/>
    <x v="1"/>
  </r>
  <r>
    <x v="45"/>
    <x v="13"/>
    <x v="5"/>
    <x v="5"/>
    <x v="0"/>
    <x v="2"/>
    <x v="20"/>
    <x v="129"/>
    <x v="750"/>
    <x v="0"/>
    <x v="45"/>
    <x v="1"/>
  </r>
  <r>
    <x v="45"/>
    <x v="125"/>
    <x v="5"/>
    <x v="5"/>
    <x v="0"/>
    <x v="2"/>
    <x v="20"/>
    <x v="129"/>
    <x v="742"/>
    <x v="0"/>
    <x v="45"/>
    <x v="1"/>
  </r>
  <r>
    <x v="45"/>
    <x v="1"/>
    <x v="1"/>
    <x v="1"/>
    <x v="0"/>
    <x v="2"/>
    <x v="1"/>
    <x v="1"/>
    <x v="1"/>
    <x v="244"/>
    <x v="45"/>
    <x v="1"/>
  </r>
  <r>
    <x v="46"/>
    <x v="88"/>
    <x v="6"/>
    <x v="6"/>
    <x v="0"/>
    <x v="2"/>
    <x v="20"/>
    <x v="130"/>
    <x v="744"/>
    <x v="0"/>
    <x v="46"/>
    <x v="1"/>
  </r>
  <r>
    <x v="46"/>
    <x v="147"/>
    <x v="6"/>
    <x v="6"/>
    <x v="0"/>
    <x v="2"/>
    <x v="20"/>
    <x v="130"/>
    <x v="744"/>
    <x v="0"/>
    <x v="46"/>
    <x v="1"/>
  </r>
  <r>
    <x v="46"/>
    <x v="11"/>
    <x v="6"/>
    <x v="6"/>
    <x v="0"/>
    <x v="2"/>
    <x v="20"/>
    <x v="130"/>
    <x v="737"/>
    <x v="0"/>
    <x v="46"/>
    <x v="1"/>
  </r>
  <r>
    <x v="46"/>
    <x v="96"/>
    <x v="6"/>
    <x v="6"/>
    <x v="0"/>
    <x v="2"/>
    <x v="20"/>
    <x v="130"/>
    <x v="744"/>
    <x v="0"/>
    <x v="46"/>
    <x v="1"/>
  </r>
  <r>
    <x v="46"/>
    <x v="23"/>
    <x v="3"/>
    <x v="3"/>
    <x v="0"/>
    <x v="2"/>
    <x v="20"/>
    <x v="130"/>
    <x v="744"/>
    <x v="0"/>
    <x v="46"/>
    <x v="1"/>
  </r>
  <r>
    <x v="46"/>
    <x v="148"/>
    <x v="3"/>
    <x v="3"/>
    <x v="0"/>
    <x v="2"/>
    <x v="20"/>
    <x v="130"/>
    <x v="872"/>
    <x v="0"/>
    <x v="46"/>
    <x v="1"/>
  </r>
  <r>
    <x v="46"/>
    <x v="28"/>
    <x v="3"/>
    <x v="3"/>
    <x v="0"/>
    <x v="2"/>
    <x v="20"/>
    <x v="130"/>
    <x v="737"/>
    <x v="0"/>
    <x v="46"/>
    <x v="1"/>
  </r>
  <r>
    <x v="46"/>
    <x v="4"/>
    <x v="4"/>
    <x v="4"/>
    <x v="0"/>
    <x v="2"/>
    <x v="20"/>
    <x v="130"/>
    <x v="744"/>
    <x v="0"/>
    <x v="46"/>
    <x v="1"/>
  </r>
  <r>
    <x v="46"/>
    <x v="51"/>
    <x v="4"/>
    <x v="4"/>
    <x v="0"/>
    <x v="2"/>
    <x v="20"/>
    <x v="130"/>
    <x v="744"/>
    <x v="0"/>
    <x v="46"/>
    <x v="1"/>
  </r>
  <r>
    <x v="46"/>
    <x v="145"/>
    <x v="5"/>
    <x v="5"/>
    <x v="0"/>
    <x v="2"/>
    <x v="20"/>
    <x v="130"/>
    <x v="744"/>
    <x v="0"/>
    <x v="46"/>
    <x v="1"/>
  </r>
  <r>
    <x v="46"/>
    <x v="1"/>
    <x v="1"/>
    <x v="1"/>
    <x v="0"/>
    <x v="2"/>
    <x v="1"/>
    <x v="1"/>
    <x v="1"/>
    <x v="245"/>
    <x v="46"/>
    <x v="1"/>
  </r>
  <r>
    <x v="47"/>
    <x v="111"/>
    <x v="2"/>
    <x v="2"/>
    <x v="0"/>
    <x v="2"/>
    <x v="20"/>
    <x v="131"/>
    <x v="771"/>
    <x v="0"/>
    <x v="47"/>
    <x v="1"/>
  </r>
  <r>
    <x v="47"/>
    <x v="9"/>
    <x v="6"/>
    <x v="6"/>
    <x v="0"/>
    <x v="2"/>
    <x v="20"/>
    <x v="131"/>
    <x v="816"/>
    <x v="0"/>
    <x v="47"/>
    <x v="1"/>
  </r>
  <r>
    <x v="47"/>
    <x v="59"/>
    <x v="6"/>
    <x v="6"/>
    <x v="0"/>
    <x v="2"/>
    <x v="20"/>
    <x v="131"/>
    <x v="770"/>
    <x v="0"/>
    <x v="47"/>
    <x v="1"/>
  </r>
  <r>
    <x v="47"/>
    <x v="149"/>
    <x v="6"/>
    <x v="6"/>
    <x v="0"/>
    <x v="2"/>
    <x v="20"/>
    <x v="131"/>
    <x v="771"/>
    <x v="0"/>
    <x v="47"/>
    <x v="1"/>
  </r>
  <r>
    <x v="47"/>
    <x v="37"/>
    <x v="6"/>
    <x v="6"/>
    <x v="0"/>
    <x v="2"/>
    <x v="20"/>
    <x v="131"/>
    <x v="748"/>
    <x v="0"/>
    <x v="47"/>
    <x v="1"/>
  </r>
  <r>
    <x v="47"/>
    <x v="108"/>
    <x v="3"/>
    <x v="3"/>
    <x v="0"/>
    <x v="2"/>
    <x v="20"/>
    <x v="131"/>
    <x v="770"/>
    <x v="0"/>
    <x v="47"/>
    <x v="1"/>
  </r>
  <r>
    <x v="47"/>
    <x v="131"/>
    <x v="3"/>
    <x v="3"/>
    <x v="0"/>
    <x v="2"/>
    <x v="20"/>
    <x v="131"/>
    <x v="770"/>
    <x v="0"/>
    <x v="47"/>
    <x v="1"/>
  </r>
  <r>
    <x v="47"/>
    <x v="119"/>
    <x v="0"/>
    <x v="0"/>
    <x v="0"/>
    <x v="2"/>
    <x v="20"/>
    <x v="131"/>
    <x v="770"/>
    <x v="0"/>
    <x v="47"/>
    <x v="1"/>
  </r>
  <r>
    <x v="47"/>
    <x v="93"/>
    <x v="0"/>
    <x v="0"/>
    <x v="0"/>
    <x v="2"/>
    <x v="20"/>
    <x v="131"/>
    <x v="873"/>
    <x v="0"/>
    <x v="47"/>
    <x v="1"/>
  </r>
  <r>
    <x v="47"/>
    <x v="125"/>
    <x v="5"/>
    <x v="5"/>
    <x v="0"/>
    <x v="2"/>
    <x v="20"/>
    <x v="131"/>
    <x v="748"/>
    <x v="0"/>
    <x v="47"/>
    <x v="1"/>
  </r>
  <r>
    <x v="47"/>
    <x v="150"/>
    <x v="5"/>
    <x v="5"/>
    <x v="0"/>
    <x v="2"/>
    <x v="20"/>
    <x v="131"/>
    <x v="748"/>
    <x v="0"/>
    <x v="47"/>
    <x v="1"/>
  </r>
  <r>
    <x v="47"/>
    <x v="14"/>
    <x v="1"/>
    <x v="1"/>
    <x v="0"/>
    <x v="2"/>
    <x v="20"/>
    <x v="131"/>
    <x v="748"/>
    <x v="0"/>
    <x v="47"/>
    <x v="1"/>
  </r>
  <r>
    <x v="47"/>
    <x v="151"/>
    <x v="1"/>
    <x v="1"/>
    <x v="0"/>
    <x v="2"/>
    <x v="20"/>
    <x v="131"/>
    <x v="771"/>
    <x v="0"/>
    <x v="47"/>
    <x v="1"/>
  </r>
  <r>
    <x v="47"/>
    <x v="1"/>
    <x v="1"/>
    <x v="1"/>
    <x v="0"/>
    <x v="2"/>
    <x v="1"/>
    <x v="1"/>
    <x v="1"/>
    <x v="246"/>
    <x v="47"/>
    <x v="1"/>
  </r>
  <r>
    <x v="47"/>
    <x v="147"/>
    <x v="6"/>
    <x v="6"/>
    <x v="0"/>
    <x v="0"/>
    <x v="21"/>
    <x v="132"/>
    <x v="874"/>
    <x v="0"/>
    <x v="47"/>
    <x v="1"/>
  </r>
  <r>
    <x v="47"/>
    <x v="1"/>
    <x v="1"/>
    <x v="1"/>
    <x v="0"/>
    <x v="0"/>
    <x v="1"/>
    <x v="1"/>
    <x v="1"/>
    <x v="216"/>
    <x v="47"/>
    <x v="1"/>
  </r>
  <r>
    <x v="47"/>
    <x v="11"/>
    <x v="6"/>
    <x v="6"/>
    <x v="0"/>
    <x v="1"/>
    <x v="21"/>
    <x v="91"/>
    <x v="875"/>
    <x v="0"/>
    <x v="47"/>
    <x v="1"/>
  </r>
  <r>
    <x v="47"/>
    <x v="1"/>
    <x v="1"/>
    <x v="1"/>
    <x v="0"/>
    <x v="1"/>
    <x v="1"/>
    <x v="1"/>
    <x v="1"/>
    <x v="247"/>
    <x v="47"/>
    <x v="1"/>
  </r>
  <r>
    <x v="48"/>
    <x v="107"/>
    <x v="2"/>
    <x v="2"/>
    <x v="0"/>
    <x v="2"/>
    <x v="20"/>
    <x v="133"/>
    <x v="748"/>
    <x v="0"/>
    <x v="48"/>
    <x v="1"/>
  </r>
  <r>
    <x v="48"/>
    <x v="36"/>
    <x v="6"/>
    <x v="6"/>
    <x v="0"/>
    <x v="2"/>
    <x v="20"/>
    <x v="133"/>
    <x v="842"/>
    <x v="0"/>
    <x v="48"/>
    <x v="1"/>
  </r>
  <r>
    <x v="48"/>
    <x v="60"/>
    <x v="3"/>
    <x v="3"/>
    <x v="0"/>
    <x v="2"/>
    <x v="20"/>
    <x v="133"/>
    <x v="842"/>
    <x v="0"/>
    <x v="48"/>
    <x v="1"/>
  </r>
  <r>
    <x v="48"/>
    <x v="135"/>
    <x v="3"/>
    <x v="3"/>
    <x v="0"/>
    <x v="2"/>
    <x v="20"/>
    <x v="133"/>
    <x v="748"/>
    <x v="0"/>
    <x v="48"/>
    <x v="1"/>
  </r>
  <r>
    <x v="48"/>
    <x v="76"/>
    <x v="5"/>
    <x v="5"/>
    <x v="0"/>
    <x v="2"/>
    <x v="20"/>
    <x v="133"/>
    <x v="744"/>
    <x v="0"/>
    <x v="48"/>
    <x v="1"/>
  </r>
  <r>
    <x v="48"/>
    <x v="1"/>
    <x v="1"/>
    <x v="1"/>
    <x v="0"/>
    <x v="2"/>
    <x v="1"/>
    <x v="1"/>
    <x v="1"/>
    <x v="248"/>
    <x v="48"/>
    <x v="1"/>
  </r>
  <r>
    <x v="49"/>
    <x v="112"/>
    <x v="2"/>
    <x v="2"/>
    <x v="0"/>
    <x v="2"/>
    <x v="20"/>
    <x v="134"/>
    <x v="876"/>
    <x v="0"/>
    <x v="49"/>
    <x v="1"/>
  </r>
  <r>
    <x v="49"/>
    <x v="145"/>
    <x v="5"/>
    <x v="5"/>
    <x v="0"/>
    <x v="2"/>
    <x v="20"/>
    <x v="134"/>
    <x v="784"/>
    <x v="0"/>
    <x v="49"/>
    <x v="1"/>
  </r>
  <r>
    <x v="49"/>
    <x v="1"/>
    <x v="1"/>
    <x v="1"/>
    <x v="0"/>
    <x v="2"/>
    <x v="1"/>
    <x v="1"/>
    <x v="1"/>
    <x v="249"/>
    <x v="49"/>
    <x v="1"/>
  </r>
  <r>
    <x v="50"/>
    <x v="2"/>
    <x v="2"/>
    <x v="2"/>
    <x v="0"/>
    <x v="2"/>
    <x v="20"/>
    <x v="135"/>
    <x v="744"/>
    <x v="0"/>
    <x v="50"/>
    <x v="1"/>
  </r>
  <r>
    <x v="50"/>
    <x v="124"/>
    <x v="5"/>
    <x v="5"/>
    <x v="0"/>
    <x v="2"/>
    <x v="20"/>
    <x v="135"/>
    <x v="737"/>
    <x v="0"/>
    <x v="50"/>
    <x v="1"/>
  </r>
  <r>
    <x v="50"/>
    <x v="1"/>
    <x v="1"/>
    <x v="1"/>
    <x v="0"/>
    <x v="2"/>
    <x v="1"/>
    <x v="1"/>
    <x v="1"/>
    <x v="250"/>
    <x v="50"/>
    <x v="1"/>
  </r>
  <r>
    <x v="51"/>
    <x v="107"/>
    <x v="2"/>
    <x v="2"/>
    <x v="0"/>
    <x v="2"/>
    <x v="20"/>
    <x v="136"/>
    <x v="748"/>
    <x v="0"/>
    <x v="51"/>
    <x v="1"/>
  </r>
  <r>
    <x v="51"/>
    <x v="27"/>
    <x v="3"/>
    <x v="3"/>
    <x v="0"/>
    <x v="2"/>
    <x v="20"/>
    <x v="136"/>
    <x v="877"/>
    <x v="0"/>
    <x v="51"/>
    <x v="1"/>
  </r>
  <r>
    <x v="51"/>
    <x v="79"/>
    <x v="3"/>
    <x v="3"/>
    <x v="0"/>
    <x v="2"/>
    <x v="20"/>
    <x v="136"/>
    <x v="751"/>
    <x v="0"/>
    <x v="51"/>
    <x v="1"/>
  </r>
  <r>
    <x v="51"/>
    <x v="56"/>
    <x v="3"/>
    <x v="3"/>
    <x v="0"/>
    <x v="2"/>
    <x v="28"/>
    <x v="59"/>
    <x v="1"/>
    <x v="251"/>
    <x v="51"/>
    <x v="1"/>
  </r>
  <r>
    <x v="51"/>
    <x v="3"/>
    <x v="3"/>
    <x v="3"/>
    <x v="0"/>
    <x v="2"/>
    <x v="20"/>
    <x v="136"/>
    <x v="799"/>
    <x v="0"/>
    <x v="51"/>
    <x v="1"/>
  </r>
  <r>
    <x v="51"/>
    <x v="8"/>
    <x v="1"/>
    <x v="1"/>
    <x v="0"/>
    <x v="2"/>
    <x v="20"/>
    <x v="136"/>
    <x v="799"/>
    <x v="0"/>
    <x v="51"/>
    <x v="1"/>
  </r>
  <r>
    <x v="51"/>
    <x v="152"/>
    <x v="1"/>
    <x v="1"/>
    <x v="0"/>
    <x v="2"/>
    <x v="20"/>
    <x v="136"/>
    <x v="816"/>
    <x v="0"/>
    <x v="51"/>
    <x v="1"/>
  </r>
  <r>
    <x v="51"/>
    <x v="55"/>
    <x v="1"/>
    <x v="1"/>
    <x v="0"/>
    <x v="2"/>
    <x v="20"/>
    <x v="136"/>
    <x v="747"/>
    <x v="0"/>
    <x v="51"/>
    <x v="1"/>
  </r>
  <r>
    <x v="51"/>
    <x v="1"/>
    <x v="1"/>
    <x v="1"/>
    <x v="0"/>
    <x v="2"/>
    <x v="1"/>
    <x v="1"/>
    <x v="1"/>
    <x v="252"/>
    <x v="51"/>
    <x v="1"/>
  </r>
  <r>
    <x v="52"/>
    <x v="145"/>
    <x v="5"/>
    <x v="5"/>
    <x v="0"/>
    <x v="2"/>
    <x v="20"/>
    <x v="137"/>
    <x v="744"/>
    <x v="0"/>
    <x v="52"/>
    <x v="1"/>
  </r>
  <r>
    <x v="52"/>
    <x v="153"/>
    <x v="5"/>
    <x v="5"/>
    <x v="0"/>
    <x v="2"/>
    <x v="20"/>
    <x v="137"/>
    <x v="785"/>
    <x v="0"/>
    <x v="52"/>
    <x v="1"/>
  </r>
  <r>
    <x v="52"/>
    <x v="1"/>
    <x v="1"/>
    <x v="1"/>
    <x v="0"/>
    <x v="2"/>
    <x v="1"/>
    <x v="1"/>
    <x v="1"/>
    <x v="253"/>
    <x v="52"/>
    <x v="1"/>
  </r>
  <r>
    <x v="53"/>
    <x v="1"/>
    <x v="1"/>
    <x v="1"/>
    <x v="0"/>
    <x v="2"/>
    <x v="1"/>
    <x v="1"/>
    <x v="1"/>
    <x v="254"/>
    <x v="53"/>
    <x v="1"/>
  </r>
  <r>
    <x v="54"/>
    <x v="107"/>
    <x v="2"/>
    <x v="2"/>
    <x v="0"/>
    <x v="2"/>
    <x v="20"/>
    <x v="138"/>
    <x v="744"/>
    <x v="0"/>
    <x v="54"/>
    <x v="1"/>
  </r>
  <r>
    <x v="54"/>
    <x v="147"/>
    <x v="6"/>
    <x v="6"/>
    <x v="0"/>
    <x v="2"/>
    <x v="20"/>
    <x v="138"/>
    <x v="744"/>
    <x v="0"/>
    <x v="54"/>
    <x v="1"/>
  </r>
  <r>
    <x v="54"/>
    <x v="119"/>
    <x v="0"/>
    <x v="0"/>
    <x v="0"/>
    <x v="2"/>
    <x v="20"/>
    <x v="138"/>
    <x v="744"/>
    <x v="0"/>
    <x v="54"/>
    <x v="1"/>
  </r>
  <r>
    <x v="54"/>
    <x v="1"/>
    <x v="1"/>
    <x v="1"/>
    <x v="0"/>
    <x v="2"/>
    <x v="1"/>
    <x v="1"/>
    <x v="1"/>
    <x v="255"/>
    <x v="54"/>
    <x v="1"/>
  </r>
  <r>
    <x v="55"/>
    <x v="64"/>
    <x v="2"/>
    <x v="2"/>
    <x v="0"/>
    <x v="19"/>
    <x v="25"/>
    <x v="139"/>
    <x v="878"/>
    <x v="0"/>
    <x v="55"/>
    <x v="1"/>
  </r>
  <r>
    <x v="55"/>
    <x v="1"/>
    <x v="1"/>
    <x v="1"/>
    <x v="0"/>
    <x v="19"/>
    <x v="1"/>
    <x v="1"/>
    <x v="1"/>
    <x v="256"/>
    <x v="55"/>
    <x v="1"/>
  </r>
  <r>
    <x v="55"/>
    <x v="2"/>
    <x v="2"/>
    <x v="2"/>
    <x v="0"/>
    <x v="20"/>
    <x v="26"/>
    <x v="140"/>
    <x v="879"/>
    <x v="0"/>
    <x v="55"/>
    <x v="1"/>
  </r>
  <r>
    <x v="55"/>
    <x v="102"/>
    <x v="6"/>
    <x v="6"/>
    <x v="0"/>
    <x v="20"/>
    <x v="26"/>
    <x v="141"/>
    <x v="880"/>
    <x v="0"/>
    <x v="55"/>
    <x v="1"/>
  </r>
  <r>
    <x v="55"/>
    <x v="79"/>
    <x v="3"/>
    <x v="3"/>
    <x v="0"/>
    <x v="20"/>
    <x v="26"/>
    <x v="142"/>
    <x v="879"/>
    <x v="0"/>
    <x v="55"/>
    <x v="1"/>
  </r>
  <r>
    <x v="55"/>
    <x v="154"/>
    <x v="4"/>
    <x v="4"/>
    <x v="0"/>
    <x v="20"/>
    <x v="26"/>
    <x v="143"/>
    <x v="881"/>
    <x v="0"/>
    <x v="55"/>
    <x v="1"/>
  </r>
  <r>
    <x v="55"/>
    <x v="31"/>
    <x v="4"/>
    <x v="4"/>
    <x v="0"/>
    <x v="20"/>
    <x v="26"/>
    <x v="72"/>
    <x v="781"/>
    <x v="0"/>
    <x v="55"/>
    <x v="1"/>
  </r>
  <r>
    <x v="55"/>
    <x v="53"/>
    <x v="0"/>
    <x v="0"/>
    <x v="0"/>
    <x v="20"/>
    <x v="26"/>
    <x v="144"/>
    <x v="789"/>
    <x v="0"/>
    <x v="55"/>
    <x v="1"/>
  </r>
  <r>
    <x v="55"/>
    <x v="63"/>
    <x v="5"/>
    <x v="5"/>
    <x v="0"/>
    <x v="20"/>
    <x v="26"/>
    <x v="111"/>
    <x v="746"/>
    <x v="0"/>
    <x v="55"/>
    <x v="1"/>
  </r>
  <r>
    <x v="55"/>
    <x v="155"/>
    <x v="1"/>
    <x v="1"/>
    <x v="0"/>
    <x v="20"/>
    <x v="26"/>
    <x v="145"/>
    <x v="881"/>
    <x v="0"/>
    <x v="55"/>
    <x v="1"/>
  </r>
  <r>
    <x v="55"/>
    <x v="1"/>
    <x v="1"/>
    <x v="1"/>
    <x v="0"/>
    <x v="20"/>
    <x v="1"/>
    <x v="1"/>
    <x v="1"/>
    <x v="257"/>
    <x v="55"/>
    <x v="1"/>
  </r>
  <r>
    <x v="55"/>
    <x v="156"/>
    <x v="4"/>
    <x v="4"/>
    <x v="0"/>
    <x v="21"/>
    <x v="21"/>
    <x v="146"/>
    <x v="882"/>
    <x v="0"/>
    <x v="55"/>
    <x v="1"/>
  </r>
  <r>
    <x v="55"/>
    <x v="1"/>
    <x v="1"/>
    <x v="1"/>
    <x v="0"/>
    <x v="21"/>
    <x v="1"/>
    <x v="1"/>
    <x v="1"/>
    <x v="258"/>
    <x v="55"/>
    <x v="1"/>
  </r>
  <r>
    <x v="55"/>
    <x v="1"/>
    <x v="1"/>
    <x v="1"/>
    <x v="0"/>
    <x v="22"/>
    <x v="1"/>
    <x v="1"/>
    <x v="1"/>
    <x v="259"/>
    <x v="55"/>
    <x v="1"/>
  </r>
  <r>
    <x v="55"/>
    <x v="157"/>
    <x v="2"/>
    <x v="2"/>
    <x v="0"/>
    <x v="23"/>
    <x v="26"/>
    <x v="147"/>
    <x v="883"/>
    <x v="0"/>
    <x v="55"/>
    <x v="1"/>
  </r>
  <r>
    <x v="55"/>
    <x v="149"/>
    <x v="6"/>
    <x v="6"/>
    <x v="0"/>
    <x v="23"/>
    <x v="26"/>
    <x v="148"/>
    <x v="884"/>
    <x v="0"/>
    <x v="55"/>
    <x v="1"/>
  </r>
  <r>
    <x v="55"/>
    <x v="135"/>
    <x v="3"/>
    <x v="3"/>
    <x v="0"/>
    <x v="23"/>
    <x v="26"/>
    <x v="149"/>
    <x v="885"/>
    <x v="0"/>
    <x v="55"/>
    <x v="1"/>
  </r>
  <r>
    <x v="55"/>
    <x v="154"/>
    <x v="4"/>
    <x v="4"/>
    <x v="0"/>
    <x v="23"/>
    <x v="26"/>
    <x v="143"/>
    <x v="886"/>
    <x v="0"/>
    <x v="55"/>
    <x v="1"/>
  </r>
  <r>
    <x v="55"/>
    <x v="119"/>
    <x v="0"/>
    <x v="0"/>
    <x v="0"/>
    <x v="23"/>
    <x v="21"/>
    <x v="96"/>
    <x v="887"/>
    <x v="0"/>
    <x v="55"/>
    <x v="1"/>
  </r>
  <r>
    <x v="55"/>
    <x v="53"/>
    <x v="0"/>
    <x v="0"/>
    <x v="0"/>
    <x v="23"/>
    <x v="26"/>
    <x v="144"/>
    <x v="888"/>
    <x v="0"/>
    <x v="55"/>
    <x v="1"/>
  </r>
  <r>
    <x v="55"/>
    <x v="63"/>
    <x v="5"/>
    <x v="5"/>
    <x v="0"/>
    <x v="23"/>
    <x v="26"/>
    <x v="111"/>
    <x v="889"/>
    <x v="0"/>
    <x v="55"/>
    <x v="1"/>
  </r>
  <r>
    <x v="55"/>
    <x v="155"/>
    <x v="1"/>
    <x v="1"/>
    <x v="0"/>
    <x v="23"/>
    <x v="26"/>
    <x v="145"/>
    <x v="890"/>
    <x v="0"/>
    <x v="55"/>
    <x v="1"/>
  </r>
  <r>
    <x v="55"/>
    <x v="1"/>
    <x v="1"/>
    <x v="1"/>
    <x v="0"/>
    <x v="23"/>
    <x v="1"/>
    <x v="1"/>
    <x v="1"/>
    <x v="260"/>
    <x v="55"/>
    <x v="1"/>
  </r>
  <r>
    <x v="55"/>
    <x v="70"/>
    <x v="2"/>
    <x v="2"/>
    <x v="0"/>
    <x v="3"/>
    <x v="25"/>
    <x v="36"/>
    <x v="891"/>
    <x v="0"/>
    <x v="55"/>
    <x v="1"/>
  </r>
  <r>
    <x v="55"/>
    <x v="64"/>
    <x v="2"/>
    <x v="2"/>
    <x v="0"/>
    <x v="3"/>
    <x v="21"/>
    <x v="139"/>
    <x v="891"/>
    <x v="0"/>
    <x v="55"/>
    <x v="1"/>
  </r>
  <r>
    <x v="55"/>
    <x v="17"/>
    <x v="2"/>
    <x v="2"/>
    <x v="0"/>
    <x v="3"/>
    <x v="25"/>
    <x v="150"/>
    <x v="810"/>
    <x v="0"/>
    <x v="55"/>
    <x v="1"/>
  </r>
  <r>
    <x v="55"/>
    <x v="17"/>
    <x v="2"/>
    <x v="2"/>
    <x v="0"/>
    <x v="3"/>
    <x v="21"/>
    <x v="150"/>
    <x v="736"/>
    <x v="0"/>
    <x v="55"/>
    <x v="1"/>
  </r>
  <r>
    <x v="55"/>
    <x v="36"/>
    <x v="6"/>
    <x v="6"/>
    <x v="0"/>
    <x v="3"/>
    <x v="25"/>
    <x v="94"/>
    <x v="892"/>
    <x v="0"/>
    <x v="55"/>
    <x v="1"/>
  </r>
  <r>
    <x v="55"/>
    <x v="36"/>
    <x v="6"/>
    <x v="6"/>
    <x v="0"/>
    <x v="3"/>
    <x v="21"/>
    <x v="94"/>
    <x v="893"/>
    <x v="0"/>
    <x v="55"/>
    <x v="1"/>
  </r>
  <r>
    <x v="55"/>
    <x v="149"/>
    <x v="6"/>
    <x v="6"/>
    <x v="0"/>
    <x v="3"/>
    <x v="21"/>
    <x v="148"/>
    <x v="782"/>
    <x v="0"/>
    <x v="55"/>
    <x v="1"/>
  </r>
  <r>
    <x v="55"/>
    <x v="113"/>
    <x v="6"/>
    <x v="6"/>
    <x v="0"/>
    <x v="3"/>
    <x v="21"/>
    <x v="89"/>
    <x v="894"/>
    <x v="0"/>
    <x v="55"/>
    <x v="1"/>
  </r>
  <r>
    <x v="55"/>
    <x v="74"/>
    <x v="3"/>
    <x v="3"/>
    <x v="0"/>
    <x v="3"/>
    <x v="25"/>
    <x v="151"/>
    <x v="895"/>
    <x v="0"/>
    <x v="55"/>
    <x v="1"/>
  </r>
  <r>
    <x v="55"/>
    <x v="26"/>
    <x v="3"/>
    <x v="3"/>
    <x v="0"/>
    <x v="3"/>
    <x v="21"/>
    <x v="115"/>
    <x v="896"/>
    <x v="0"/>
    <x v="55"/>
    <x v="1"/>
  </r>
  <r>
    <x v="55"/>
    <x v="10"/>
    <x v="3"/>
    <x v="3"/>
    <x v="0"/>
    <x v="3"/>
    <x v="25"/>
    <x v="123"/>
    <x v="897"/>
    <x v="0"/>
    <x v="55"/>
    <x v="1"/>
  </r>
  <r>
    <x v="55"/>
    <x v="69"/>
    <x v="3"/>
    <x v="3"/>
    <x v="0"/>
    <x v="3"/>
    <x v="21"/>
    <x v="152"/>
    <x v="146"/>
    <x v="0"/>
    <x v="55"/>
    <x v="1"/>
  </r>
  <r>
    <x v="55"/>
    <x v="43"/>
    <x v="3"/>
    <x v="3"/>
    <x v="0"/>
    <x v="3"/>
    <x v="25"/>
    <x v="71"/>
    <x v="898"/>
    <x v="0"/>
    <x v="55"/>
    <x v="1"/>
  </r>
  <r>
    <x v="55"/>
    <x v="56"/>
    <x v="3"/>
    <x v="3"/>
    <x v="0"/>
    <x v="3"/>
    <x v="25"/>
    <x v="153"/>
    <x v="899"/>
    <x v="0"/>
    <x v="55"/>
    <x v="1"/>
  </r>
  <r>
    <x v="55"/>
    <x v="80"/>
    <x v="4"/>
    <x v="4"/>
    <x v="0"/>
    <x v="3"/>
    <x v="21"/>
    <x v="90"/>
    <x v="900"/>
    <x v="0"/>
    <x v="55"/>
    <x v="1"/>
  </r>
  <r>
    <x v="55"/>
    <x v="140"/>
    <x v="4"/>
    <x v="4"/>
    <x v="0"/>
    <x v="3"/>
    <x v="21"/>
    <x v="117"/>
    <x v="901"/>
    <x v="0"/>
    <x v="55"/>
    <x v="1"/>
  </r>
  <r>
    <x v="55"/>
    <x v="140"/>
    <x v="4"/>
    <x v="4"/>
    <x v="0"/>
    <x v="3"/>
    <x v="25"/>
    <x v="117"/>
    <x v="902"/>
    <x v="0"/>
    <x v="55"/>
    <x v="1"/>
  </r>
  <r>
    <x v="55"/>
    <x v="156"/>
    <x v="4"/>
    <x v="4"/>
    <x v="0"/>
    <x v="3"/>
    <x v="21"/>
    <x v="146"/>
    <x v="808"/>
    <x v="0"/>
    <x v="55"/>
    <x v="1"/>
  </r>
  <r>
    <x v="55"/>
    <x v="156"/>
    <x v="4"/>
    <x v="4"/>
    <x v="0"/>
    <x v="3"/>
    <x v="26"/>
    <x v="146"/>
    <x v="1"/>
    <x v="261"/>
    <x v="55"/>
    <x v="1"/>
  </r>
  <r>
    <x v="55"/>
    <x v="132"/>
    <x v="4"/>
    <x v="4"/>
    <x v="0"/>
    <x v="3"/>
    <x v="21"/>
    <x v="95"/>
    <x v="759"/>
    <x v="0"/>
    <x v="55"/>
    <x v="1"/>
  </r>
  <r>
    <x v="55"/>
    <x v="50"/>
    <x v="4"/>
    <x v="4"/>
    <x v="0"/>
    <x v="3"/>
    <x v="21"/>
    <x v="77"/>
    <x v="903"/>
    <x v="0"/>
    <x v="55"/>
    <x v="1"/>
  </r>
  <r>
    <x v="55"/>
    <x v="89"/>
    <x v="4"/>
    <x v="4"/>
    <x v="0"/>
    <x v="3"/>
    <x v="25"/>
    <x v="154"/>
    <x v="904"/>
    <x v="0"/>
    <x v="55"/>
    <x v="1"/>
  </r>
  <r>
    <x v="55"/>
    <x v="89"/>
    <x v="4"/>
    <x v="4"/>
    <x v="0"/>
    <x v="3"/>
    <x v="26"/>
    <x v="154"/>
    <x v="1"/>
    <x v="203"/>
    <x v="55"/>
    <x v="1"/>
  </r>
  <r>
    <x v="55"/>
    <x v="38"/>
    <x v="4"/>
    <x v="4"/>
    <x v="0"/>
    <x v="3"/>
    <x v="25"/>
    <x v="106"/>
    <x v="905"/>
    <x v="0"/>
    <x v="55"/>
    <x v="1"/>
  </r>
  <r>
    <x v="55"/>
    <x v="51"/>
    <x v="4"/>
    <x v="4"/>
    <x v="0"/>
    <x v="3"/>
    <x v="25"/>
    <x v="34"/>
    <x v="847"/>
    <x v="0"/>
    <x v="55"/>
    <x v="1"/>
  </r>
  <r>
    <x v="55"/>
    <x v="116"/>
    <x v="0"/>
    <x v="0"/>
    <x v="0"/>
    <x v="3"/>
    <x v="21"/>
    <x v="64"/>
    <x v="146"/>
    <x v="0"/>
    <x v="55"/>
    <x v="1"/>
  </r>
  <r>
    <x v="55"/>
    <x v="57"/>
    <x v="0"/>
    <x v="0"/>
    <x v="0"/>
    <x v="3"/>
    <x v="25"/>
    <x v="44"/>
    <x v="899"/>
    <x v="0"/>
    <x v="55"/>
    <x v="1"/>
  </r>
  <r>
    <x v="55"/>
    <x v="52"/>
    <x v="0"/>
    <x v="0"/>
    <x v="0"/>
    <x v="3"/>
    <x v="21"/>
    <x v="107"/>
    <x v="906"/>
    <x v="0"/>
    <x v="55"/>
    <x v="1"/>
  </r>
  <r>
    <x v="55"/>
    <x v="91"/>
    <x v="0"/>
    <x v="0"/>
    <x v="0"/>
    <x v="3"/>
    <x v="25"/>
    <x v="118"/>
    <x v="907"/>
    <x v="0"/>
    <x v="55"/>
    <x v="1"/>
  </r>
  <r>
    <x v="55"/>
    <x v="91"/>
    <x v="0"/>
    <x v="0"/>
    <x v="0"/>
    <x v="3"/>
    <x v="21"/>
    <x v="118"/>
    <x v="908"/>
    <x v="0"/>
    <x v="55"/>
    <x v="1"/>
  </r>
  <r>
    <x v="55"/>
    <x v="46"/>
    <x v="0"/>
    <x v="0"/>
    <x v="0"/>
    <x v="3"/>
    <x v="25"/>
    <x v="155"/>
    <x v="909"/>
    <x v="0"/>
    <x v="55"/>
    <x v="1"/>
  </r>
  <r>
    <x v="55"/>
    <x v="136"/>
    <x v="0"/>
    <x v="0"/>
    <x v="0"/>
    <x v="3"/>
    <x v="25"/>
    <x v="100"/>
    <x v="909"/>
    <x v="0"/>
    <x v="55"/>
    <x v="1"/>
  </r>
  <r>
    <x v="55"/>
    <x v="77"/>
    <x v="5"/>
    <x v="5"/>
    <x v="0"/>
    <x v="3"/>
    <x v="25"/>
    <x v="156"/>
    <x v="798"/>
    <x v="0"/>
    <x v="55"/>
    <x v="1"/>
  </r>
  <r>
    <x v="55"/>
    <x v="153"/>
    <x v="5"/>
    <x v="5"/>
    <x v="0"/>
    <x v="3"/>
    <x v="25"/>
    <x v="157"/>
    <x v="905"/>
    <x v="0"/>
    <x v="55"/>
    <x v="1"/>
  </r>
  <r>
    <x v="55"/>
    <x v="58"/>
    <x v="1"/>
    <x v="1"/>
    <x v="0"/>
    <x v="3"/>
    <x v="25"/>
    <x v="84"/>
    <x v="905"/>
    <x v="0"/>
    <x v="55"/>
    <x v="1"/>
  </r>
  <r>
    <x v="55"/>
    <x v="40"/>
    <x v="1"/>
    <x v="1"/>
    <x v="0"/>
    <x v="3"/>
    <x v="21"/>
    <x v="125"/>
    <x v="910"/>
    <x v="0"/>
    <x v="55"/>
    <x v="1"/>
  </r>
  <r>
    <x v="55"/>
    <x v="95"/>
    <x v="1"/>
    <x v="1"/>
    <x v="0"/>
    <x v="3"/>
    <x v="26"/>
    <x v="97"/>
    <x v="1"/>
    <x v="262"/>
    <x v="55"/>
    <x v="1"/>
  </r>
  <r>
    <x v="55"/>
    <x v="127"/>
    <x v="1"/>
    <x v="1"/>
    <x v="0"/>
    <x v="3"/>
    <x v="21"/>
    <x v="85"/>
    <x v="911"/>
    <x v="0"/>
    <x v="55"/>
    <x v="1"/>
  </r>
  <r>
    <x v="55"/>
    <x v="1"/>
    <x v="1"/>
    <x v="1"/>
    <x v="0"/>
    <x v="3"/>
    <x v="1"/>
    <x v="1"/>
    <x v="1"/>
    <x v="263"/>
    <x v="55"/>
    <x v="1"/>
  </r>
  <r>
    <x v="55"/>
    <x v="16"/>
    <x v="2"/>
    <x v="2"/>
    <x v="0"/>
    <x v="24"/>
    <x v="21"/>
    <x v="93"/>
    <x v="912"/>
    <x v="0"/>
    <x v="55"/>
    <x v="1"/>
  </r>
  <r>
    <x v="55"/>
    <x v="107"/>
    <x v="2"/>
    <x v="2"/>
    <x v="0"/>
    <x v="24"/>
    <x v="21"/>
    <x v="158"/>
    <x v="735"/>
    <x v="0"/>
    <x v="55"/>
    <x v="1"/>
  </r>
  <r>
    <x v="55"/>
    <x v="30"/>
    <x v="4"/>
    <x v="4"/>
    <x v="0"/>
    <x v="24"/>
    <x v="21"/>
    <x v="159"/>
    <x v="736"/>
    <x v="0"/>
    <x v="55"/>
    <x v="1"/>
  </r>
  <r>
    <x v="55"/>
    <x v="78"/>
    <x v="4"/>
    <x v="4"/>
    <x v="0"/>
    <x v="24"/>
    <x v="21"/>
    <x v="160"/>
    <x v="793"/>
    <x v="0"/>
    <x v="55"/>
    <x v="1"/>
  </r>
  <r>
    <x v="55"/>
    <x v="77"/>
    <x v="5"/>
    <x v="5"/>
    <x v="0"/>
    <x v="24"/>
    <x v="21"/>
    <x v="156"/>
    <x v="913"/>
    <x v="0"/>
    <x v="55"/>
    <x v="1"/>
  </r>
  <r>
    <x v="55"/>
    <x v="1"/>
    <x v="1"/>
    <x v="1"/>
    <x v="0"/>
    <x v="24"/>
    <x v="1"/>
    <x v="1"/>
    <x v="1"/>
    <x v="264"/>
    <x v="55"/>
    <x v="1"/>
  </r>
  <r>
    <x v="55"/>
    <x v="85"/>
    <x v="2"/>
    <x v="2"/>
    <x v="0"/>
    <x v="4"/>
    <x v="21"/>
    <x v="161"/>
    <x v="858"/>
    <x v="0"/>
    <x v="55"/>
    <x v="1"/>
  </r>
  <r>
    <x v="55"/>
    <x v="107"/>
    <x v="2"/>
    <x v="2"/>
    <x v="0"/>
    <x v="4"/>
    <x v="21"/>
    <x v="158"/>
    <x v="814"/>
    <x v="0"/>
    <x v="55"/>
    <x v="1"/>
  </r>
  <r>
    <x v="55"/>
    <x v="144"/>
    <x v="2"/>
    <x v="2"/>
    <x v="0"/>
    <x v="4"/>
    <x v="21"/>
    <x v="162"/>
    <x v="914"/>
    <x v="0"/>
    <x v="55"/>
    <x v="1"/>
  </r>
  <r>
    <x v="55"/>
    <x v="111"/>
    <x v="2"/>
    <x v="2"/>
    <x v="0"/>
    <x v="4"/>
    <x v="21"/>
    <x v="75"/>
    <x v="915"/>
    <x v="0"/>
    <x v="55"/>
    <x v="1"/>
  </r>
  <r>
    <x v="55"/>
    <x v="26"/>
    <x v="3"/>
    <x v="3"/>
    <x v="0"/>
    <x v="4"/>
    <x v="21"/>
    <x v="115"/>
    <x v="739"/>
    <x v="0"/>
    <x v="55"/>
    <x v="1"/>
  </r>
  <r>
    <x v="55"/>
    <x v="108"/>
    <x v="3"/>
    <x v="3"/>
    <x v="0"/>
    <x v="4"/>
    <x v="21"/>
    <x v="63"/>
    <x v="814"/>
    <x v="0"/>
    <x v="55"/>
    <x v="1"/>
  </r>
  <r>
    <x v="55"/>
    <x v="131"/>
    <x v="3"/>
    <x v="3"/>
    <x v="0"/>
    <x v="4"/>
    <x v="21"/>
    <x v="163"/>
    <x v="916"/>
    <x v="0"/>
    <x v="55"/>
    <x v="1"/>
  </r>
  <r>
    <x v="55"/>
    <x v="51"/>
    <x v="4"/>
    <x v="4"/>
    <x v="0"/>
    <x v="4"/>
    <x v="21"/>
    <x v="34"/>
    <x v="917"/>
    <x v="0"/>
    <x v="55"/>
    <x v="1"/>
  </r>
  <r>
    <x v="55"/>
    <x v="92"/>
    <x v="0"/>
    <x v="0"/>
    <x v="0"/>
    <x v="4"/>
    <x v="26"/>
    <x v="109"/>
    <x v="1"/>
    <x v="265"/>
    <x v="55"/>
    <x v="1"/>
  </r>
  <r>
    <x v="55"/>
    <x v="32"/>
    <x v="5"/>
    <x v="5"/>
    <x v="0"/>
    <x v="4"/>
    <x v="21"/>
    <x v="81"/>
    <x v="918"/>
    <x v="0"/>
    <x v="55"/>
    <x v="1"/>
  </r>
  <r>
    <x v="55"/>
    <x v="73"/>
    <x v="1"/>
    <x v="1"/>
    <x v="0"/>
    <x v="4"/>
    <x v="21"/>
    <x v="39"/>
    <x v="919"/>
    <x v="0"/>
    <x v="55"/>
    <x v="1"/>
  </r>
  <r>
    <x v="55"/>
    <x v="128"/>
    <x v="1"/>
    <x v="1"/>
    <x v="0"/>
    <x v="4"/>
    <x v="21"/>
    <x v="164"/>
    <x v="920"/>
    <x v="0"/>
    <x v="55"/>
    <x v="1"/>
  </r>
  <r>
    <x v="55"/>
    <x v="1"/>
    <x v="1"/>
    <x v="1"/>
    <x v="0"/>
    <x v="4"/>
    <x v="1"/>
    <x v="1"/>
    <x v="1"/>
    <x v="266"/>
    <x v="55"/>
    <x v="1"/>
  </r>
  <r>
    <x v="55"/>
    <x v="96"/>
    <x v="6"/>
    <x v="6"/>
    <x v="0"/>
    <x v="5"/>
    <x v="21"/>
    <x v="165"/>
    <x v="921"/>
    <x v="0"/>
    <x v="55"/>
    <x v="1"/>
  </r>
  <r>
    <x v="55"/>
    <x v="20"/>
    <x v="5"/>
    <x v="5"/>
    <x v="0"/>
    <x v="5"/>
    <x v="26"/>
    <x v="45"/>
    <x v="922"/>
    <x v="0"/>
    <x v="55"/>
    <x v="1"/>
  </r>
  <r>
    <x v="55"/>
    <x v="151"/>
    <x v="1"/>
    <x v="1"/>
    <x v="0"/>
    <x v="5"/>
    <x v="25"/>
    <x v="166"/>
    <x v="923"/>
    <x v="0"/>
    <x v="55"/>
    <x v="1"/>
  </r>
  <r>
    <x v="55"/>
    <x v="42"/>
    <x v="1"/>
    <x v="1"/>
    <x v="0"/>
    <x v="5"/>
    <x v="21"/>
    <x v="167"/>
    <x v="924"/>
    <x v="0"/>
    <x v="55"/>
    <x v="1"/>
  </r>
  <r>
    <x v="55"/>
    <x v="1"/>
    <x v="1"/>
    <x v="1"/>
    <x v="0"/>
    <x v="5"/>
    <x v="1"/>
    <x v="1"/>
    <x v="1"/>
    <x v="267"/>
    <x v="55"/>
    <x v="1"/>
  </r>
  <r>
    <x v="55"/>
    <x v="158"/>
    <x v="2"/>
    <x v="2"/>
    <x v="0"/>
    <x v="6"/>
    <x v="25"/>
    <x v="168"/>
    <x v="925"/>
    <x v="0"/>
    <x v="55"/>
    <x v="1"/>
  </r>
  <r>
    <x v="55"/>
    <x v="64"/>
    <x v="2"/>
    <x v="2"/>
    <x v="0"/>
    <x v="6"/>
    <x v="25"/>
    <x v="139"/>
    <x v="926"/>
    <x v="0"/>
    <x v="55"/>
    <x v="1"/>
  </r>
  <r>
    <x v="55"/>
    <x v="25"/>
    <x v="2"/>
    <x v="2"/>
    <x v="0"/>
    <x v="6"/>
    <x v="21"/>
    <x v="169"/>
    <x v="146"/>
    <x v="0"/>
    <x v="55"/>
    <x v="1"/>
  </r>
  <r>
    <x v="55"/>
    <x v="35"/>
    <x v="2"/>
    <x v="2"/>
    <x v="0"/>
    <x v="6"/>
    <x v="21"/>
    <x v="170"/>
    <x v="927"/>
    <x v="0"/>
    <x v="55"/>
    <x v="1"/>
  </r>
  <r>
    <x v="55"/>
    <x v="110"/>
    <x v="2"/>
    <x v="2"/>
    <x v="0"/>
    <x v="6"/>
    <x v="25"/>
    <x v="171"/>
    <x v="928"/>
    <x v="0"/>
    <x v="55"/>
    <x v="1"/>
  </r>
  <r>
    <x v="55"/>
    <x v="146"/>
    <x v="6"/>
    <x v="6"/>
    <x v="0"/>
    <x v="6"/>
    <x v="25"/>
    <x v="172"/>
    <x v="925"/>
    <x v="0"/>
    <x v="55"/>
    <x v="1"/>
  </r>
  <r>
    <x v="55"/>
    <x v="36"/>
    <x v="6"/>
    <x v="6"/>
    <x v="0"/>
    <x v="6"/>
    <x v="25"/>
    <x v="94"/>
    <x v="929"/>
    <x v="0"/>
    <x v="55"/>
    <x v="1"/>
  </r>
  <r>
    <x v="55"/>
    <x v="36"/>
    <x v="6"/>
    <x v="6"/>
    <x v="0"/>
    <x v="6"/>
    <x v="21"/>
    <x v="94"/>
    <x v="930"/>
    <x v="0"/>
    <x v="55"/>
    <x v="1"/>
  </r>
  <r>
    <x v="55"/>
    <x v="26"/>
    <x v="3"/>
    <x v="3"/>
    <x v="0"/>
    <x v="6"/>
    <x v="25"/>
    <x v="115"/>
    <x v="925"/>
    <x v="0"/>
    <x v="55"/>
    <x v="1"/>
  </r>
  <r>
    <x v="55"/>
    <x v="19"/>
    <x v="3"/>
    <x v="3"/>
    <x v="0"/>
    <x v="6"/>
    <x v="21"/>
    <x v="62"/>
    <x v="816"/>
    <x v="0"/>
    <x v="55"/>
    <x v="1"/>
  </r>
  <r>
    <x v="55"/>
    <x v="108"/>
    <x v="3"/>
    <x v="3"/>
    <x v="0"/>
    <x v="6"/>
    <x v="25"/>
    <x v="63"/>
    <x v="931"/>
    <x v="0"/>
    <x v="55"/>
    <x v="1"/>
  </r>
  <r>
    <x v="55"/>
    <x v="43"/>
    <x v="3"/>
    <x v="3"/>
    <x v="0"/>
    <x v="6"/>
    <x v="26"/>
    <x v="71"/>
    <x v="932"/>
    <x v="0"/>
    <x v="55"/>
    <x v="1"/>
  </r>
  <r>
    <x v="55"/>
    <x v="103"/>
    <x v="3"/>
    <x v="3"/>
    <x v="0"/>
    <x v="6"/>
    <x v="21"/>
    <x v="173"/>
    <x v="772"/>
    <x v="0"/>
    <x v="55"/>
    <x v="1"/>
  </r>
  <r>
    <x v="55"/>
    <x v="148"/>
    <x v="3"/>
    <x v="3"/>
    <x v="0"/>
    <x v="6"/>
    <x v="21"/>
    <x v="174"/>
    <x v="933"/>
    <x v="0"/>
    <x v="55"/>
    <x v="1"/>
  </r>
  <r>
    <x v="55"/>
    <x v="79"/>
    <x v="3"/>
    <x v="3"/>
    <x v="0"/>
    <x v="6"/>
    <x v="21"/>
    <x v="142"/>
    <x v="934"/>
    <x v="0"/>
    <x v="55"/>
    <x v="1"/>
  </r>
  <r>
    <x v="55"/>
    <x v="80"/>
    <x v="4"/>
    <x v="4"/>
    <x v="0"/>
    <x v="6"/>
    <x v="25"/>
    <x v="90"/>
    <x v="935"/>
    <x v="0"/>
    <x v="55"/>
    <x v="1"/>
  </r>
  <r>
    <x v="55"/>
    <x v="140"/>
    <x v="4"/>
    <x v="4"/>
    <x v="0"/>
    <x v="6"/>
    <x v="25"/>
    <x v="117"/>
    <x v="925"/>
    <x v="0"/>
    <x v="55"/>
    <x v="1"/>
  </r>
  <r>
    <x v="55"/>
    <x v="81"/>
    <x v="4"/>
    <x v="4"/>
    <x v="0"/>
    <x v="6"/>
    <x v="21"/>
    <x v="175"/>
    <x v="110"/>
    <x v="0"/>
    <x v="55"/>
    <x v="1"/>
  </r>
  <r>
    <x v="55"/>
    <x v="132"/>
    <x v="4"/>
    <x v="4"/>
    <x v="0"/>
    <x v="6"/>
    <x v="21"/>
    <x v="95"/>
    <x v="936"/>
    <x v="0"/>
    <x v="55"/>
    <x v="1"/>
  </r>
  <r>
    <x v="55"/>
    <x v="50"/>
    <x v="4"/>
    <x v="4"/>
    <x v="0"/>
    <x v="6"/>
    <x v="21"/>
    <x v="77"/>
    <x v="736"/>
    <x v="0"/>
    <x v="55"/>
    <x v="1"/>
  </r>
  <r>
    <x v="55"/>
    <x v="62"/>
    <x v="4"/>
    <x v="4"/>
    <x v="0"/>
    <x v="6"/>
    <x v="21"/>
    <x v="176"/>
    <x v="936"/>
    <x v="0"/>
    <x v="55"/>
    <x v="1"/>
  </r>
  <r>
    <x v="55"/>
    <x v="90"/>
    <x v="0"/>
    <x v="0"/>
    <x v="0"/>
    <x v="6"/>
    <x v="21"/>
    <x v="79"/>
    <x v="937"/>
    <x v="0"/>
    <x v="55"/>
    <x v="1"/>
  </r>
  <r>
    <x v="55"/>
    <x v="159"/>
    <x v="0"/>
    <x v="0"/>
    <x v="0"/>
    <x v="6"/>
    <x v="25"/>
    <x v="177"/>
    <x v="925"/>
    <x v="0"/>
    <x v="55"/>
    <x v="1"/>
  </r>
  <r>
    <x v="55"/>
    <x v="116"/>
    <x v="0"/>
    <x v="0"/>
    <x v="0"/>
    <x v="6"/>
    <x v="21"/>
    <x v="64"/>
    <x v="938"/>
    <x v="0"/>
    <x v="55"/>
    <x v="1"/>
  </r>
  <r>
    <x v="55"/>
    <x v="57"/>
    <x v="0"/>
    <x v="0"/>
    <x v="0"/>
    <x v="6"/>
    <x v="25"/>
    <x v="44"/>
    <x v="939"/>
    <x v="0"/>
    <x v="55"/>
    <x v="1"/>
  </r>
  <r>
    <x v="55"/>
    <x v="52"/>
    <x v="0"/>
    <x v="0"/>
    <x v="0"/>
    <x v="6"/>
    <x v="25"/>
    <x v="107"/>
    <x v="940"/>
    <x v="0"/>
    <x v="55"/>
    <x v="1"/>
  </r>
  <r>
    <x v="55"/>
    <x v="52"/>
    <x v="0"/>
    <x v="0"/>
    <x v="0"/>
    <x v="6"/>
    <x v="21"/>
    <x v="107"/>
    <x v="941"/>
    <x v="0"/>
    <x v="55"/>
    <x v="1"/>
  </r>
  <r>
    <x v="55"/>
    <x v="91"/>
    <x v="0"/>
    <x v="0"/>
    <x v="0"/>
    <x v="6"/>
    <x v="21"/>
    <x v="118"/>
    <x v="942"/>
    <x v="0"/>
    <x v="55"/>
    <x v="1"/>
  </r>
  <r>
    <x v="55"/>
    <x v="82"/>
    <x v="0"/>
    <x v="0"/>
    <x v="0"/>
    <x v="6"/>
    <x v="21"/>
    <x v="178"/>
    <x v="772"/>
    <x v="0"/>
    <x v="55"/>
    <x v="1"/>
  </r>
  <r>
    <x v="55"/>
    <x v="100"/>
    <x v="0"/>
    <x v="0"/>
    <x v="0"/>
    <x v="6"/>
    <x v="21"/>
    <x v="73"/>
    <x v="943"/>
    <x v="0"/>
    <x v="55"/>
    <x v="1"/>
  </r>
  <r>
    <x v="55"/>
    <x v="160"/>
    <x v="0"/>
    <x v="0"/>
    <x v="0"/>
    <x v="6"/>
    <x v="21"/>
    <x v="179"/>
    <x v="835"/>
    <x v="0"/>
    <x v="55"/>
    <x v="1"/>
  </r>
  <r>
    <x v="55"/>
    <x v="53"/>
    <x v="0"/>
    <x v="0"/>
    <x v="0"/>
    <x v="6"/>
    <x v="21"/>
    <x v="144"/>
    <x v="110"/>
    <x v="0"/>
    <x v="55"/>
    <x v="1"/>
  </r>
  <r>
    <x v="55"/>
    <x v="45"/>
    <x v="0"/>
    <x v="0"/>
    <x v="0"/>
    <x v="6"/>
    <x v="25"/>
    <x v="180"/>
    <x v="928"/>
    <x v="0"/>
    <x v="55"/>
    <x v="1"/>
  </r>
  <r>
    <x v="55"/>
    <x v="46"/>
    <x v="0"/>
    <x v="0"/>
    <x v="0"/>
    <x v="6"/>
    <x v="21"/>
    <x v="155"/>
    <x v="944"/>
    <x v="0"/>
    <x v="55"/>
    <x v="1"/>
  </r>
  <r>
    <x v="55"/>
    <x v="117"/>
    <x v="0"/>
    <x v="0"/>
    <x v="0"/>
    <x v="6"/>
    <x v="21"/>
    <x v="65"/>
    <x v="765"/>
    <x v="0"/>
    <x v="55"/>
    <x v="1"/>
  </r>
  <r>
    <x v="55"/>
    <x v="122"/>
    <x v="0"/>
    <x v="0"/>
    <x v="0"/>
    <x v="6"/>
    <x v="21"/>
    <x v="181"/>
    <x v="945"/>
    <x v="0"/>
    <x v="55"/>
    <x v="1"/>
  </r>
  <r>
    <x v="55"/>
    <x v="32"/>
    <x v="5"/>
    <x v="5"/>
    <x v="0"/>
    <x v="6"/>
    <x v="21"/>
    <x v="81"/>
    <x v="946"/>
    <x v="0"/>
    <x v="55"/>
    <x v="1"/>
  </r>
  <r>
    <x v="55"/>
    <x v="76"/>
    <x v="5"/>
    <x v="5"/>
    <x v="0"/>
    <x v="6"/>
    <x v="25"/>
    <x v="182"/>
    <x v="925"/>
    <x v="0"/>
    <x v="55"/>
    <x v="1"/>
  </r>
  <r>
    <x v="55"/>
    <x v="97"/>
    <x v="5"/>
    <x v="5"/>
    <x v="0"/>
    <x v="6"/>
    <x v="21"/>
    <x v="183"/>
    <x v="947"/>
    <x v="0"/>
    <x v="55"/>
    <x v="1"/>
  </r>
  <r>
    <x v="55"/>
    <x v="145"/>
    <x v="5"/>
    <x v="5"/>
    <x v="0"/>
    <x v="6"/>
    <x v="25"/>
    <x v="124"/>
    <x v="948"/>
    <x v="0"/>
    <x v="55"/>
    <x v="1"/>
  </r>
  <r>
    <x v="55"/>
    <x v="145"/>
    <x v="5"/>
    <x v="5"/>
    <x v="0"/>
    <x v="6"/>
    <x v="26"/>
    <x v="124"/>
    <x v="1"/>
    <x v="268"/>
    <x v="55"/>
    <x v="1"/>
  </r>
  <r>
    <x v="55"/>
    <x v="34"/>
    <x v="5"/>
    <x v="5"/>
    <x v="0"/>
    <x v="6"/>
    <x v="25"/>
    <x v="184"/>
    <x v="949"/>
    <x v="0"/>
    <x v="55"/>
    <x v="1"/>
  </r>
  <r>
    <x v="55"/>
    <x v="77"/>
    <x v="5"/>
    <x v="5"/>
    <x v="0"/>
    <x v="6"/>
    <x v="25"/>
    <x v="156"/>
    <x v="950"/>
    <x v="0"/>
    <x v="55"/>
    <x v="1"/>
  </r>
  <r>
    <x v="55"/>
    <x v="141"/>
    <x v="5"/>
    <x v="5"/>
    <x v="0"/>
    <x v="6"/>
    <x v="21"/>
    <x v="185"/>
    <x v="891"/>
    <x v="0"/>
    <x v="55"/>
    <x v="1"/>
  </r>
  <r>
    <x v="55"/>
    <x v="123"/>
    <x v="5"/>
    <x v="5"/>
    <x v="0"/>
    <x v="6"/>
    <x v="21"/>
    <x v="74"/>
    <x v="951"/>
    <x v="0"/>
    <x v="55"/>
    <x v="1"/>
  </r>
  <r>
    <x v="55"/>
    <x v="40"/>
    <x v="1"/>
    <x v="1"/>
    <x v="0"/>
    <x v="6"/>
    <x v="25"/>
    <x v="125"/>
    <x v="925"/>
    <x v="0"/>
    <x v="55"/>
    <x v="1"/>
  </r>
  <r>
    <x v="55"/>
    <x v="161"/>
    <x v="1"/>
    <x v="1"/>
    <x v="0"/>
    <x v="6"/>
    <x v="21"/>
    <x v="186"/>
    <x v="952"/>
    <x v="0"/>
    <x v="55"/>
    <x v="1"/>
  </r>
  <r>
    <x v="55"/>
    <x v="95"/>
    <x v="1"/>
    <x v="1"/>
    <x v="0"/>
    <x v="6"/>
    <x v="25"/>
    <x v="97"/>
    <x v="953"/>
    <x v="0"/>
    <x v="55"/>
    <x v="1"/>
  </r>
  <r>
    <x v="55"/>
    <x v="155"/>
    <x v="1"/>
    <x v="1"/>
    <x v="0"/>
    <x v="6"/>
    <x v="21"/>
    <x v="145"/>
    <x v="954"/>
    <x v="0"/>
    <x v="55"/>
    <x v="1"/>
  </r>
  <r>
    <x v="55"/>
    <x v="14"/>
    <x v="1"/>
    <x v="1"/>
    <x v="0"/>
    <x v="6"/>
    <x v="25"/>
    <x v="112"/>
    <x v="955"/>
    <x v="0"/>
    <x v="55"/>
    <x v="1"/>
  </r>
  <r>
    <x v="55"/>
    <x v="14"/>
    <x v="1"/>
    <x v="1"/>
    <x v="0"/>
    <x v="6"/>
    <x v="21"/>
    <x v="112"/>
    <x v="944"/>
    <x v="0"/>
    <x v="55"/>
    <x v="1"/>
  </r>
  <r>
    <x v="55"/>
    <x v="8"/>
    <x v="1"/>
    <x v="1"/>
    <x v="0"/>
    <x v="6"/>
    <x v="21"/>
    <x v="187"/>
    <x v="907"/>
    <x v="0"/>
    <x v="55"/>
    <x v="1"/>
  </r>
  <r>
    <x v="55"/>
    <x v="55"/>
    <x v="1"/>
    <x v="1"/>
    <x v="0"/>
    <x v="6"/>
    <x v="21"/>
    <x v="188"/>
    <x v="956"/>
    <x v="0"/>
    <x v="55"/>
    <x v="1"/>
  </r>
  <r>
    <x v="55"/>
    <x v="1"/>
    <x v="1"/>
    <x v="1"/>
    <x v="0"/>
    <x v="6"/>
    <x v="1"/>
    <x v="1"/>
    <x v="1"/>
    <x v="269"/>
    <x v="55"/>
    <x v="1"/>
  </r>
  <r>
    <x v="55"/>
    <x v="56"/>
    <x v="3"/>
    <x v="3"/>
    <x v="0"/>
    <x v="2"/>
    <x v="21"/>
    <x v="153"/>
    <x v="957"/>
    <x v="0"/>
    <x v="55"/>
    <x v="1"/>
  </r>
  <r>
    <x v="55"/>
    <x v="100"/>
    <x v="0"/>
    <x v="0"/>
    <x v="0"/>
    <x v="2"/>
    <x v="21"/>
    <x v="73"/>
    <x v="958"/>
    <x v="0"/>
    <x v="55"/>
    <x v="1"/>
  </r>
  <r>
    <x v="55"/>
    <x v="1"/>
    <x v="1"/>
    <x v="1"/>
    <x v="0"/>
    <x v="2"/>
    <x v="1"/>
    <x v="1"/>
    <x v="1"/>
    <x v="270"/>
    <x v="55"/>
    <x v="1"/>
  </r>
  <r>
    <x v="55"/>
    <x v="2"/>
    <x v="2"/>
    <x v="2"/>
    <x v="0"/>
    <x v="25"/>
    <x v="21"/>
    <x v="140"/>
    <x v="959"/>
    <x v="0"/>
    <x v="55"/>
    <x v="1"/>
  </r>
  <r>
    <x v="55"/>
    <x v="87"/>
    <x v="6"/>
    <x v="6"/>
    <x v="0"/>
    <x v="25"/>
    <x v="26"/>
    <x v="189"/>
    <x v="1"/>
    <x v="271"/>
    <x v="55"/>
    <x v="1"/>
  </r>
  <r>
    <x v="55"/>
    <x v="108"/>
    <x v="3"/>
    <x v="3"/>
    <x v="0"/>
    <x v="25"/>
    <x v="25"/>
    <x v="63"/>
    <x v="960"/>
    <x v="0"/>
    <x v="55"/>
    <x v="1"/>
  </r>
  <r>
    <x v="55"/>
    <x v="1"/>
    <x v="1"/>
    <x v="1"/>
    <x v="0"/>
    <x v="25"/>
    <x v="1"/>
    <x v="1"/>
    <x v="1"/>
    <x v="272"/>
    <x v="55"/>
    <x v="1"/>
  </r>
  <r>
    <x v="55"/>
    <x v="64"/>
    <x v="2"/>
    <x v="2"/>
    <x v="0"/>
    <x v="7"/>
    <x v="26"/>
    <x v="139"/>
    <x v="961"/>
    <x v="0"/>
    <x v="55"/>
    <x v="1"/>
  </r>
  <r>
    <x v="55"/>
    <x v="85"/>
    <x v="2"/>
    <x v="2"/>
    <x v="0"/>
    <x v="7"/>
    <x v="26"/>
    <x v="161"/>
    <x v="962"/>
    <x v="0"/>
    <x v="55"/>
    <x v="1"/>
  </r>
  <r>
    <x v="55"/>
    <x v="118"/>
    <x v="2"/>
    <x v="2"/>
    <x v="0"/>
    <x v="7"/>
    <x v="21"/>
    <x v="69"/>
    <x v="963"/>
    <x v="0"/>
    <x v="55"/>
    <x v="1"/>
  </r>
  <r>
    <x v="55"/>
    <x v="146"/>
    <x v="6"/>
    <x v="6"/>
    <x v="0"/>
    <x v="7"/>
    <x v="21"/>
    <x v="172"/>
    <x v="964"/>
    <x v="0"/>
    <x v="55"/>
    <x v="1"/>
  </r>
  <r>
    <x v="55"/>
    <x v="65"/>
    <x v="6"/>
    <x v="6"/>
    <x v="0"/>
    <x v="7"/>
    <x v="26"/>
    <x v="190"/>
    <x v="965"/>
    <x v="0"/>
    <x v="55"/>
    <x v="1"/>
  </r>
  <r>
    <x v="55"/>
    <x v="87"/>
    <x v="6"/>
    <x v="6"/>
    <x v="0"/>
    <x v="7"/>
    <x v="21"/>
    <x v="189"/>
    <x v="533"/>
    <x v="0"/>
    <x v="55"/>
    <x v="1"/>
  </r>
  <r>
    <x v="55"/>
    <x v="137"/>
    <x v="6"/>
    <x v="6"/>
    <x v="0"/>
    <x v="7"/>
    <x v="21"/>
    <x v="102"/>
    <x v="966"/>
    <x v="0"/>
    <x v="55"/>
    <x v="1"/>
  </r>
  <r>
    <x v="55"/>
    <x v="137"/>
    <x v="6"/>
    <x v="6"/>
    <x v="0"/>
    <x v="7"/>
    <x v="26"/>
    <x v="102"/>
    <x v="1"/>
    <x v="273"/>
    <x v="55"/>
    <x v="1"/>
  </r>
  <r>
    <x v="55"/>
    <x v="26"/>
    <x v="3"/>
    <x v="3"/>
    <x v="0"/>
    <x v="7"/>
    <x v="21"/>
    <x v="115"/>
    <x v="967"/>
    <x v="0"/>
    <x v="55"/>
    <x v="1"/>
  </r>
  <r>
    <x v="55"/>
    <x v="19"/>
    <x v="3"/>
    <x v="3"/>
    <x v="0"/>
    <x v="7"/>
    <x v="21"/>
    <x v="62"/>
    <x v="968"/>
    <x v="0"/>
    <x v="55"/>
    <x v="1"/>
  </r>
  <r>
    <x v="55"/>
    <x v="108"/>
    <x v="3"/>
    <x v="3"/>
    <x v="0"/>
    <x v="7"/>
    <x v="26"/>
    <x v="63"/>
    <x v="969"/>
    <x v="0"/>
    <x v="55"/>
    <x v="1"/>
  </r>
  <r>
    <x v="55"/>
    <x v="44"/>
    <x v="3"/>
    <x v="3"/>
    <x v="0"/>
    <x v="7"/>
    <x v="21"/>
    <x v="191"/>
    <x v="970"/>
    <x v="0"/>
    <x v="55"/>
    <x v="1"/>
  </r>
  <r>
    <x v="55"/>
    <x v="162"/>
    <x v="4"/>
    <x v="4"/>
    <x v="0"/>
    <x v="7"/>
    <x v="21"/>
    <x v="192"/>
    <x v="971"/>
    <x v="0"/>
    <x v="55"/>
    <x v="1"/>
  </r>
  <r>
    <x v="55"/>
    <x v="50"/>
    <x v="4"/>
    <x v="4"/>
    <x v="0"/>
    <x v="7"/>
    <x v="21"/>
    <x v="77"/>
    <x v="972"/>
    <x v="0"/>
    <x v="55"/>
    <x v="1"/>
  </r>
  <r>
    <x v="55"/>
    <x v="89"/>
    <x v="4"/>
    <x v="4"/>
    <x v="0"/>
    <x v="7"/>
    <x v="21"/>
    <x v="154"/>
    <x v="973"/>
    <x v="0"/>
    <x v="55"/>
    <x v="1"/>
  </r>
  <r>
    <x v="55"/>
    <x v="159"/>
    <x v="0"/>
    <x v="0"/>
    <x v="0"/>
    <x v="7"/>
    <x v="26"/>
    <x v="177"/>
    <x v="974"/>
    <x v="0"/>
    <x v="55"/>
    <x v="1"/>
  </r>
  <r>
    <x v="55"/>
    <x v="141"/>
    <x v="5"/>
    <x v="5"/>
    <x v="0"/>
    <x v="7"/>
    <x v="21"/>
    <x v="185"/>
    <x v="975"/>
    <x v="0"/>
    <x v="55"/>
    <x v="1"/>
  </r>
  <r>
    <x v="55"/>
    <x v="153"/>
    <x v="5"/>
    <x v="5"/>
    <x v="0"/>
    <x v="7"/>
    <x v="21"/>
    <x v="157"/>
    <x v="976"/>
    <x v="0"/>
    <x v="55"/>
    <x v="1"/>
  </r>
  <r>
    <x v="55"/>
    <x v="6"/>
    <x v="5"/>
    <x v="5"/>
    <x v="0"/>
    <x v="7"/>
    <x v="21"/>
    <x v="193"/>
    <x v="908"/>
    <x v="0"/>
    <x v="55"/>
    <x v="1"/>
  </r>
  <r>
    <x v="55"/>
    <x v="20"/>
    <x v="5"/>
    <x v="5"/>
    <x v="0"/>
    <x v="7"/>
    <x v="21"/>
    <x v="45"/>
    <x v="856"/>
    <x v="0"/>
    <x v="55"/>
    <x v="1"/>
  </r>
  <r>
    <x v="55"/>
    <x v="40"/>
    <x v="1"/>
    <x v="1"/>
    <x v="0"/>
    <x v="7"/>
    <x v="21"/>
    <x v="125"/>
    <x v="977"/>
    <x v="0"/>
    <x v="55"/>
    <x v="1"/>
  </r>
  <r>
    <x v="55"/>
    <x v="152"/>
    <x v="1"/>
    <x v="1"/>
    <x v="0"/>
    <x v="7"/>
    <x v="26"/>
    <x v="194"/>
    <x v="1"/>
    <x v="274"/>
    <x v="55"/>
    <x v="1"/>
  </r>
  <r>
    <x v="55"/>
    <x v="1"/>
    <x v="1"/>
    <x v="1"/>
    <x v="0"/>
    <x v="7"/>
    <x v="1"/>
    <x v="1"/>
    <x v="1"/>
    <x v="275"/>
    <x v="55"/>
    <x v="1"/>
  </r>
  <r>
    <x v="55"/>
    <x v="107"/>
    <x v="2"/>
    <x v="2"/>
    <x v="0"/>
    <x v="8"/>
    <x v="21"/>
    <x v="158"/>
    <x v="978"/>
    <x v="0"/>
    <x v="55"/>
    <x v="1"/>
  </r>
  <r>
    <x v="55"/>
    <x v="163"/>
    <x v="6"/>
    <x v="6"/>
    <x v="0"/>
    <x v="8"/>
    <x v="21"/>
    <x v="195"/>
    <x v="979"/>
    <x v="0"/>
    <x v="55"/>
    <x v="1"/>
  </r>
  <r>
    <x v="55"/>
    <x v="19"/>
    <x v="3"/>
    <x v="3"/>
    <x v="0"/>
    <x v="8"/>
    <x v="21"/>
    <x v="62"/>
    <x v="192"/>
    <x v="0"/>
    <x v="55"/>
    <x v="1"/>
  </r>
  <r>
    <x v="55"/>
    <x v="79"/>
    <x v="3"/>
    <x v="3"/>
    <x v="0"/>
    <x v="8"/>
    <x v="21"/>
    <x v="142"/>
    <x v="980"/>
    <x v="0"/>
    <x v="55"/>
    <x v="1"/>
  </r>
  <r>
    <x v="55"/>
    <x v="104"/>
    <x v="3"/>
    <x v="3"/>
    <x v="0"/>
    <x v="8"/>
    <x v="21"/>
    <x v="196"/>
    <x v="736"/>
    <x v="0"/>
    <x v="55"/>
    <x v="1"/>
  </r>
  <r>
    <x v="55"/>
    <x v="50"/>
    <x v="4"/>
    <x v="4"/>
    <x v="0"/>
    <x v="8"/>
    <x v="25"/>
    <x v="77"/>
    <x v="960"/>
    <x v="0"/>
    <x v="55"/>
    <x v="1"/>
  </r>
  <r>
    <x v="55"/>
    <x v="38"/>
    <x v="4"/>
    <x v="4"/>
    <x v="0"/>
    <x v="8"/>
    <x v="21"/>
    <x v="106"/>
    <x v="981"/>
    <x v="0"/>
    <x v="55"/>
    <x v="1"/>
  </r>
  <r>
    <x v="55"/>
    <x v="51"/>
    <x v="4"/>
    <x v="4"/>
    <x v="0"/>
    <x v="8"/>
    <x v="21"/>
    <x v="34"/>
    <x v="982"/>
    <x v="0"/>
    <x v="55"/>
    <x v="1"/>
  </r>
  <r>
    <x v="55"/>
    <x v="57"/>
    <x v="0"/>
    <x v="0"/>
    <x v="0"/>
    <x v="8"/>
    <x v="21"/>
    <x v="44"/>
    <x v="983"/>
    <x v="0"/>
    <x v="55"/>
    <x v="1"/>
  </r>
  <r>
    <x v="55"/>
    <x v="52"/>
    <x v="0"/>
    <x v="0"/>
    <x v="0"/>
    <x v="8"/>
    <x v="21"/>
    <x v="107"/>
    <x v="984"/>
    <x v="0"/>
    <x v="55"/>
    <x v="1"/>
  </r>
  <r>
    <x v="55"/>
    <x v="0"/>
    <x v="0"/>
    <x v="0"/>
    <x v="0"/>
    <x v="8"/>
    <x v="21"/>
    <x v="197"/>
    <x v="985"/>
    <x v="0"/>
    <x v="55"/>
    <x v="1"/>
  </r>
  <r>
    <x v="55"/>
    <x v="91"/>
    <x v="0"/>
    <x v="0"/>
    <x v="0"/>
    <x v="8"/>
    <x v="21"/>
    <x v="118"/>
    <x v="857"/>
    <x v="0"/>
    <x v="55"/>
    <x v="1"/>
  </r>
  <r>
    <x v="55"/>
    <x v="121"/>
    <x v="0"/>
    <x v="0"/>
    <x v="0"/>
    <x v="8"/>
    <x v="21"/>
    <x v="80"/>
    <x v="984"/>
    <x v="0"/>
    <x v="55"/>
    <x v="1"/>
  </r>
  <r>
    <x v="55"/>
    <x v="53"/>
    <x v="0"/>
    <x v="0"/>
    <x v="0"/>
    <x v="8"/>
    <x v="21"/>
    <x v="144"/>
    <x v="986"/>
    <x v="0"/>
    <x v="55"/>
    <x v="1"/>
  </r>
  <r>
    <x v="55"/>
    <x v="92"/>
    <x v="0"/>
    <x v="0"/>
    <x v="0"/>
    <x v="8"/>
    <x v="21"/>
    <x v="109"/>
    <x v="987"/>
    <x v="0"/>
    <x v="55"/>
    <x v="1"/>
  </r>
  <r>
    <x v="55"/>
    <x v="122"/>
    <x v="0"/>
    <x v="0"/>
    <x v="0"/>
    <x v="8"/>
    <x v="21"/>
    <x v="181"/>
    <x v="765"/>
    <x v="0"/>
    <x v="55"/>
    <x v="1"/>
  </r>
  <r>
    <x v="55"/>
    <x v="6"/>
    <x v="5"/>
    <x v="5"/>
    <x v="0"/>
    <x v="8"/>
    <x v="21"/>
    <x v="193"/>
    <x v="736"/>
    <x v="0"/>
    <x v="55"/>
    <x v="1"/>
  </r>
  <r>
    <x v="55"/>
    <x v="161"/>
    <x v="1"/>
    <x v="1"/>
    <x v="0"/>
    <x v="8"/>
    <x v="21"/>
    <x v="186"/>
    <x v="988"/>
    <x v="0"/>
    <x v="55"/>
    <x v="1"/>
  </r>
  <r>
    <x v="55"/>
    <x v="127"/>
    <x v="1"/>
    <x v="1"/>
    <x v="0"/>
    <x v="8"/>
    <x v="21"/>
    <x v="85"/>
    <x v="989"/>
    <x v="0"/>
    <x v="55"/>
    <x v="1"/>
  </r>
  <r>
    <x v="55"/>
    <x v="98"/>
    <x v="1"/>
    <x v="1"/>
    <x v="0"/>
    <x v="8"/>
    <x v="21"/>
    <x v="198"/>
    <x v="990"/>
    <x v="0"/>
    <x v="55"/>
    <x v="1"/>
  </r>
  <r>
    <x v="55"/>
    <x v="1"/>
    <x v="1"/>
    <x v="1"/>
    <x v="0"/>
    <x v="8"/>
    <x v="1"/>
    <x v="1"/>
    <x v="1"/>
    <x v="276"/>
    <x v="55"/>
    <x v="1"/>
  </r>
  <r>
    <x v="55"/>
    <x v="157"/>
    <x v="2"/>
    <x v="2"/>
    <x v="0"/>
    <x v="9"/>
    <x v="26"/>
    <x v="147"/>
    <x v="991"/>
    <x v="0"/>
    <x v="55"/>
    <x v="1"/>
  </r>
  <r>
    <x v="55"/>
    <x v="149"/>
    <x v="6"/>
    <x v="6"/>
    <x v="0"/>
    <x v="9"/>
    <x v="26"/>
    <x v="148"/>
    <x v="992"/>
    <x v="0"/>
    <x v="55"/>
    <x v="1"/>
  </r>
  <r>
    <x v="55"/>
    <x v="96"/>
    <x v="6"/>
    <x v="6"/>
    <x v="0"/>
    <x v="9"/>
    <x v="21"/>
    <x v="165"/>
    <x v="993"/>
    <x v="0"/>
    <x v="55"/>
    <x v="1"/>
  </r>
  <r>
    <x v="55"/>
    <x v="135"/>
    <x v="3"/>
    <x v="3"/>
    <x v="0"/>
    <x v="9"/>
    <x v="26"/>
    <x v="149"/>
    <x v="994"/>
    <x v="0"/>
    <x v="55"/>
    <x v="1"/>
  </r>
  <r>
    <x v="55"/>
    <x v="154"/>
    <x v="4"/>
    <x v="4"/>
    <x v="0"/>
    <x v="9"/>
    <x v="26"/>
    <x v="143"/>
    <x v="995"/>
    <x v="0"/>
    <x v="55"/>
    <x v="1"/>
  </r>
  <r>
    <x v="55"/>
    <x v="4"/>
    <x v="4"/>
    <x v="4"/>
    <x v="0"/>
    <x v="9"/>
    <x v="21"/>
    <x v="199"/>
    <x v="996"/>
    <x v="0"/>
    <x v="55"/>
    <x v="1"/>
  </r>
  <r>
    <x v="55"/>
    <x v="57"/>
    <x v="0"/>
    <x v="0"/>
    <x v="0"/>
    <x v="9"/>
    <x v="21"/>
    <x v="44"/>
    <x v="751"/>
    <x v="0"/>
    <x v="55"/>
    <x v="1"/>
  </r>
  <r>
    <x v="55"/>
    <x v="53"/>
    <x v="0"/>
    <x v="0"/>
    <x v="0"/>
    <x v="9"/>
    <x v="26"/>
    <x v="144"/>
    <x v="997"/>
    <x v="0"/>
    <x v="55"/>
    <x v="1"/>
  </r>
  <r>
    <x v="55"/>
    <x v="63"/>
    <x v="5"/>
    <x v="5"/>
    <x v="0"/>
    <x v="9"/>
    <x v="26"/>
    <x v="111"/>
    <x v="998"/>
    <x v="0"/>
    <x v="55"/>
    <x v="1"/>
  </r>
  <r>
    <x v="55"/>
    <x v="141"/>
    <x v="5"/>
    <x v="5"/>
    <x v="0"/>
    <x v="9"/>
    <x v="21"/>
    <x v="185"/>
    <x v="999"/>
    <x v="0"/>
    <x v="55"/>
    <x v="1"/>
  </r>
  <r>
    <x v="55"/>
    <x v="155"/>
    <x v="1"/>
    <x v="1"/>
    <x v="0"/>
    <x v="9"/>
    <x v="26"/>
    <x v="145"/>
    <x v="1000"/>
    <x v="0"/>
    <x v="55"/>
    <x v="1"/>
  </r>
  <r>
    <x v="55"/>
    <x v="1"/>
    <x v="1"/>
    <x v="1"/>
    <x v="0"/>
    <x v="9"/>
    <x v="1"/>
    <x v="1"/>
    <x v="1"/>
    <x v="277"/>
    <x v="55"/>
    <x v="1"/>
  </r>
  <r>
    <x v="55"/>
    <x v="146"/>
    <x v="6"/>
    <x v="6"/>
    <x v="0"/>
    <x v="26"/>
    <x v="21"/>
    <x v="172"/>
    <x v="1001"/>
    <x v="0"/>
    <x v="55"/>
    <x v="1"/>
  </r>
  <r>
    <x v="55"/>
    <x v="65"/>
    <x v="6"/>
    <x v="6"/>
    <x v="0"/>
    <x v="26"/>
    <x v="21"/>
    <x v="190"/>
    <x v="1002"/>
    <x v="0"/>
    <x v="55"/>
    <x v="1"/>
  </r>
  <r>
    <x v="55"/>
    <x v="164"/>
    <x v="6"/>
    <x v="6"/>
    <x v="0"/>
    <x v="26"/>
    <x v="21"/>
    <x v="200"/>
    <x v="1003"/>
    <x v="0"/>
    <x v="55"/>
    <x v="1"/>
  </r>
  <r>
    <x v="55"/>
    <x v="21"/>
    <x v="6"/>
    <x v="6"/>
    <x v="0"/>
    <x v="26"/>
    <x v="21"/>
    <x v="70"/>
    <x v="1004"/>
    <x v="0"/>
    <x v="55"/>
    <x v="1"/>
  </r>
  <r>
    <x v="55"/>
    <x v="69"/>
    <x v="3"/>
    <x v="3"/>
    <x v="0"/>
    <x v="26"/>
    <x v="21"/>
    <x v="152"/>
    <x v="1005"/>
    <x v="0"/>
    <x v="55"/>
    <x v="1"/>
  </r>
  <r>
    <x v="55"/>
    <x v="27"/>
    <x v="3"/>
    <x v="3"/>
    <x v="0"/>
    <x v="26"/>
    <x v="21"/>
    <x v="43"/>
    <x v="343"/>
    <x v="0"/>
    <x v="55"/>
    <x v="1"/>
  </r>
  <r>
    <x v="55"/>
    <x v="135"/>
    <x v="3"/>
    <x v="3"/>
    <x v="0"/>
    <x v="26"/>
    <x v="21"/>
    <x v="149"/>
    <x v="1006"/>
    <x v="0"/>
    <x v="55"/>
    <x v="1"/>
  </r>
  <r>
    <x v="55"/>
    <x v="1"/>
    <x v="1"/>
    <x v="1"/>
    <x v="0"/>
    <x v="26"/>
    <x v="1"/>
    <x v="1"/>
    <x v="1"/>
    <x v="278"/>
    <x v="55"/>
    <x v="1"/>
  </r>
  <r>
    <x v="55"/>
    <x v="70"/>
    <x v="2"/>
    <x v="2"/>
    <x v="0"/>
    <x v="10"/>
    <x v="21"/>
    <x v="36"/>
    <x v="736"/>
    <x v="0"/>
    <x v="55"/>
    <x v="1"/>
  </r>
  <r>
    <x v="55"/>
    <x v="158"/>
    <x v="2"/>
    <x v="2"/>
    <x v="0"/>
    <x v="10"/>
    <x v="21"/>
    <x v="168"/>
    <x v="736"/>
    <x v="0"/>
    <x v="55"/>
    <x v="1"/>
  </r>
  <r>
    <x v="55"/>
    <x v="64"/>
    <x v="2"/>
    <x v="2"/>
    <x v="0"/>
    <x v="10"/>
    <x v="25"/>
    <x v="139"/>
    <x v="1007"/>
    <x v="0"/>
    <x v="55"/>
    <x v="1"/>
  </r>
  <r>
    <x v="55"/>
    <x v="47"/>
    <x v="2"/>
    <x v="2"/>
    <x v="0"/>
    <x v="10"/>
    <x v="21"/>
    <x v="68"/>
    <x v="1008"/>
    <x v="0"/>
    <x v="55"/>
    <x v="1"/>
  </r>
  <r>
    <x v="55"/>
    <x v="85"/>
    <x v="2"/>
    <x v="2"/>
    <x v="0"/>
    <x v="10"/>
    <x v="21"/>
    <x v="161"/>
    <x v="736"/>
    <x v="0"/>
    <x v="55"/>
    <x v="1"/>
  </r>
  <r>
    <x v="55"/>
    <x v="143"/>
    <x v="2"/>
    <x v="2"/>
    <x v="0"/>
    <x v="10"/>
    <x v="21"/>
    <x v="201"/>
    <x v="852"/>
    <x v="0"/>
    <x v="55"/>
    <x v="1"/>
  </r>
  <r>
    <x v="55"/>
    <x v="118"/>
    <x v="2"/>
    <x v="2"/>
    <x v="0"/>
    <x v="10"/>
    <x v="21"/>
    <x v="69"/>
    <x v="1009"/>
    <x v="0"/>
    <x v="55"/>
    <x v="1"/>
  </r>
  <r>
    <x v="55"/>
    <x v="24"/>
    <x v="2"/>
    <x v="2"/>
    <x v="0"/>
    <x v="10"/>
    <x v="21"/>
    <x v="202"/>
    <x v="735"/>
    <x v="0"/>
    <x v="55"/>
    <x v="1"/>
  </r>
  <r>
    <x v="55"/>
    <x v="144"/>
    <x v="2"/>
    <x v="2"/>
    <x v="0"/>
    <x v="10"/>
    <x v="21"/>
    <x v="162"/>
    <x v="1010"/>
    <x v="0"/>
    <x v="55"/>
    <x v="1"/>
  </r>
  <r>
    <x v="55"/>
    <x v="84"/>
    <x v="2"/>
    <x v="2"/>
    <x v="0"/>
    <x v="10"/>
    <x v="21"/>
    <x v="203"/>
    <x v="852"/>
    <x v="0"/>
    <x v="55"/>
    <x v="1"/>
  </r>
  <r>
    <x v="55"/>
    <x v="35"/>
    <x v="2"/>
    <x v="2"/>
    <x v="0"/>
    <x v="10"/>
    <x v="21"/>
    <x v="170"/>
    <x v="1011"/>
    <x v="0"/>
    <x v="55"/>
    <x v="1"/>
  </r>
  <r>
    <x v="55"/>
    <x v="110"/>
    <x v="2"/>
    <x v="2"/>
    <x v="0"/>
    <x v="10"/>
    <x v="21"/>
    <x v="171"/>
    <x v="1012"/>
    <x v="0"/>
    <x v="55"/>
    <x v="1"/>
  </r>
  <r>
    <x v="55"/>
    <x v="129"/>
    <x v="2"/>
    <x v="2"/>
    <x v="0"/>
    <x v="10"/>
    <x v="21"/>
    <x v="204"/>
    <x v="736"/>
    <x v="0"/>
    <x v="55"/>
    <x v="1"/>
  </r>
  <r>
    <x v="55"/>
    <x v="146"/>
    <x v="6"/>
    <x v="6"/>
    <x v="0"/>
    <x v="10"/>
    <x v="21"/>
    <x v="172"/>
    <x v="1013"/>
    <x v="0"/>
    <x v="55"/>
    <x v="1"/>
  </r>
  <r>
    <x v="55"/>
    <x v="36"/>
    <x v="6"/>
    <x v="6"/>
    <x v="0"/>
    <x v="10"/>
    <x v="21"/>
    <x v="94"/>
    <x v="1014"/>
    <x v="0"/>
    <x v="55"/>
    <x v="1"/>
  </r>
  <r>
    <x v="55"/>
    <x v="71"/>
    <x v="6"/>
    <x v="6"/>
    <x v="0"/>
    <x v="10"/>
    <x v="21"/>
    <x v="37"/>
    <x v="815"/>
    <x v="0"/>
    <x v="55"/>
    <x v="1"/>
  </r>
  <r>
    <x v="55"/>
    <x v="149"/>
    <x v="6"/>
    <x v="6"/>
    <x v="0"/>
    <x v="10"/>
    <x v="21"/>
    <x v="148"/>
    <x v="736"/>
    <x v="0"/>
    <x v="55"/>
    <x v="1"/>
  </r>
  <r>
    <x v="55"/>
    <x v="149"/>
    <x v="6"/>
    <x v="6"/>
    <x v="0"/>
    <x v="10"/>
    <x v="26"/>
    <x v="148"/>
    <x v="1015"/>
    <x v="0"/>
    <x v="55"/>
    <x v="1"/>
  </r>
  <r>
    <x v="55"/>
    <x v="163"/>
    <x v="6"/>
    <x v="6"/>
    <x v="0"/>
    <x v="10"/>
    <x v="21"/>
    <x v="195"/>
    <x v="748"/>
    <x v="0"/>
    <x v="55"/>
    <x v="1"/>
  </r>
  <r>
    <x v="55"/>
    <x v="113"/>
    <x v="6"/>
    <x v="6"/>
    <x v="0"/>
    <x v="10"/>
    <x v="21"/>
    <x v="89"/>
    <x v="782"/>
    <x v="0"/>
    <x v="55"/>
    <x v="1"/>
  </r>
  <r>
    <x v="55"/>
    <x v="67"/>
    <x v="6"/>
    <x v="6"/>
    <x v="0"/>
    <x v="10"/>
    <x v="21"/>
    <x v="32"/>
    <x v="735"/>
    <x v="0"/>
    <x v="55"/>
    <x v="1"/>
  </r>
  <r>
    <x v="55"/>
    <x v="108"/>
    <x v="3"/>
    <x v="3"/>
    <x v="0"/>
    <x v="10"/>
    <x v="21"/>
    <x v="63"/>
    <x v="736"/>
    <x v="0"/>
    <x v="55"/>
    <x v="1"/>
  </r>
  <r>
    <x v="55"/>
    <x v="108"/>
    <x v="3"/>
    <x v="3"/>
    <x v="0"/>
    <x v="10"/>
    <x v="25"/>
    <x v="63"/>
    <x v="929"/>
    <x v="0"/>
    <x v="55"/>
    <x v="1"/>
  </r>
  <r>
    <x v="55"/>
    <x v="135"/>
    <x v="3"/>
    <x v="3"/>
    <x v="0"/>
    <x v="10"/>
    <x v="26"/>
    <x v="149"/>
    <x v="1016"/>
    <x v="0"/>
    <x v="55"/>
    <x v="1"/>
  </r>
  <r>
    <x v="55"/>
    <x v="148"/>
    <x v="3"/>
    <x v="3"/>
    <x v="0"/>
    <x v="10"/>
    <x v="21"/>
    <x v="174"/>
    <x v="736"/>
    <x v="0"/>
    <x v="55"/>
    <x v="1"/>
  </r>
  <r>
    <x v="55"/>
    <x v="148"/>
    <x v="3"/>
    <x v="3"/>
    <x v="0"/>
    <x v="10"/>
    <x v="25"/>
    <x v="174"/>
    <x v="907"/>
    <x v="0"/>
    <x v="55"/>
    <x v="1"/>
  </r>
  <r>
    <x v="55"/>
    <x v="56"/>
    <x v="3"/>
    <x v="3"/>
    <x v="0"/>
    <x v="10"/>
    <x v="21"/>
    <x v="153"/>
    <x v="1017"/>
    <x v="0"/>
    <x v="55"/>
    <x v="1"/>
  </r>
  <r>
    <x v="55"/>
    <x v="156"/>
    <x v="4"/>
    <x v="4"/>
    <x v="0"/>
    <x v="10"/>
    <x v="21"/>
    <x v="146"/>
    <x v="1018"/>
    <x v="0"/>
    <x v="55"/>
    <x v="1"/>
  </r>
  <r>
    <x v="55"/>
    <x v="132"/>
    <x v="4"/>
    <x v="4"/>
    <x v="0"/>
    <x v="10"/>
    <x v="21"/>
    <x v="95"/>
    <x v="1019"/>
    <x v="0"/>
    <x v="55"/>
    <x v="1"/>
  </r>
  <r>
    <x v="55"/>
    <x v="50"/>
    <x v="4"/>
    <x v="4"/>
    <x v="0"/>
    <x v="10"/>
    <x v="21"/>
    <x v="77"/>
    <x v="1020"/>
    <x v="0"/>
    <x v="55"/>
    <x v="1"/>
  </r>
  <r>
    <x v="55"/>
    <x v="30"/>
    <x v="4"/>
    <x v="4"/>
    <x v="0"/>
    <x v="10"/>
    <x v="21"/>
    <x v="159"/>
    <x v="1021"/>
    <x v="0"/>
    <x v="55"/>
    <x v="1"/>
  </r>
  <r>
    <x v="55"/>
    <x v="154"/>
    <x v="4"/>
    <x v="4"/>
    <x v="0"/>
    <x v="10"/>
    <x v="26"/>
    <x v="143"/>
    <x v="1022"/>
    <x v="0"/>
    <x v="55"/>
    <x v="1"/>
  </r>
  <r>
    <x v="55"/>
    <x v="165"/>
    <x v="4"/>
    <x v="4"/>
    <x v="0"/>
    <x v="10"/>
    <x v="21"/>
    <x v="205"/>
    <x v="1019"/>
    <x v="0"/>
    <x v="55"/>
    <x v="1"/>
  </r>
  <r>
    <x v="55"/>
    <x v="90"/>
    <x v="0"/>
    <x v="0"/>
    <x v="0"/>
    <x v="10"/>
    <x v="21"/>
    <x v="79"/>
    <x v="1023"/>
    <x v="0"/>
    <x v="55"/>
    <x v="1"/>
  </r>
  <r>
    <x v="55"/>
    <x v="159"/>
    <x v="0"/>
    <x v="0"/>
    <x v="0"/>
    <x v="10"/>
    <x v="21"/>
    <x v="177"/>
    <x v="1019"/>
    <x v="0"/>
    <x v="55"/>
    <x v="1"/>
  </r>
  <r>
    <x v="55"/>
    <x v="116"/>
    <x v="0"/>
    <x v="0"/>
    <x v="0"/>
    <x v="10"/>
    <x v="21"/>
    <x v="64"/>
    <x v="736"/>
    <x v="0"/>
    <x v="55"/>
    <x v="1"/>
  </r>
  <r>
    <x v="55"/>
    <x v="119"/>
    <x v="0"/>
    <x v="0"/>
    <x v="0"/>
    <x v="10"/>
    <x v="21"/>
    <x v="96"/>
    <x v="736"/>
    <x v="0"/>
    <x v="55"/>
    <x v="1"/>
  </r>
  <r>
    <x v="55"/>
    <x v="121"/>
    <x v="0"/>
    <x v="0"/>
    <x v="0"/>
    <x v="10"/>
    <x v="21"/>
    <x v="80"/>
    <x v="736"/>
    <x v="0"/>
    <x v="55"/>
    <x v="1"/>
  </r>
  <r>
    <x v="55"/>
    <x v="100"/>
    <x v="0"/>
    <x v="0"/>
    <x v="0"/>
    <x v="10"/>
    <x v="21"/>
    <x v="73"/>
    <x v="1024"/>
    <x v="0"/>
    <x v="55"/>
    <x v="1"/>
  </r>
  <r>
    <x v="55"/>
    <x v="53"/>
    <x v="0"/>
    <x v="0"/>
    <x v="0"/>
    <x v="10"/>
    <x v="26"/>
    <x v="144"/>
    <x v="1025"/>
    <x v="0"/>
    <x v="55"/>
    <x v="1"/>
  </r>
  <r>
    <x v="55"/>
    <x v="46"/>
    <x v="0"/>
    <x v="0"/>
    <x v="0"/>
    <x v="10"/>
    <x v="21"/>
    <x v="155"/>
    <x v="736"/>
    <x v="0"/>
    <x v="55"/>
    <x v="1"/>
  </r>
  <r>
    <x v="55"/>
    <x v="142"/>
    <x v="0"/>
    <x v="0"/>
    <x v="0"/>
    <x v="10"/>
    <x v="21"/>
    <x v="119"/>
    <x v="53"/>
    <x v="0"/>
    <x v="55"/>
    <x v="1"/>
  </r>
  <r>
    <x v="55"/>
    <x v="136"/>
    <x v="0"/>
    <x v="0"/>
    <x v="0"/>
    <x v="10"/>
    <x v="21"/>
    <x v="100"/>
    <x v="1019"/>
    <x v="0"/>
    <x v="55"/>
    <x v="1"/>
  </r>
  <r>
    <x v="55"/>
    <x v="32"/>
    <x v="5"/>
    <x v="5"/>
    <x v="0"/>
    <x v="10"/>
    <x v="21"/>
    <x v="81"/>
    <x v="1026"/>
    <x v="0"/>
    <x v="55"/>
    <x v="1"/>
  </r>
  <r>
    <x v="55"/>
    <x v="76"/>
    <x v="5"/>
    <x v="5"/>
    <x v="0"/>
    <x v="10"/>
    <x v="21"/>
    <x v="182"/>
    <x v="1027"/>
    <x v="0"/>
    <x v="55"/>
    <x v="1"/>
  </r>
  <r>
    <x v="55"/>
    <x v="13"/>
    <x v="5"/>
    <x v="5"/>
    <x v="0"/>
    <x v="10"/>
    <x v="21"/>
    <x v="120"/>
    <x v="736"/>
    <x v="0"/>
    <x v="55"/>
    <x v="1"/>
  </r>
  <r>
    <x v="55"/>
    <x v="77"/>
    <x v="5"/>
    <x v="5"/>
    <x v="0"/>
    <x v="10"/>
    <x v="21"/>
    <x v="156"/>
    <x v="1028"/>
    <x v="0"/>
    <x v="55"/>
    <x v="1"/>
  </r>
  <r>
    <x v="55"/>
    <x v="63"/>
    <x v="5"/>
    <x v="5"/>
    <x v="0"/>
    <x v="10"/>
    <x v="21"/>
    <x v="111"/>
    <x v="852"/>
    <x v="0"/>
    <x v="55"/>
    <x v="1"/>
  </r>
  <r>
    <x v="55"/>
    <x v="63"/>
    <x v="5"/>
    <x v="5"/>
    <x v="0"/>
    <x v="10"/>
    <x v="26"/>
    <x v="111"/>
    <x v="1029"/>
    <x v="0"/>
    <x v="55"/>
    <x v="1"/>
  </r>
  <r>
    <x v="55"/>
    <x v="153"/>
    <x v="5"/>
    <x v="5"/>
    <x v="0"/>
    <x v="10"/>
    <x v="21"/>
    <x v="157"/>
    <x v="736"/>
    <x v="0"/>
    <x v="55"/>
    <x v="1"/>
  </r>
  <r>
    <x v="55"/>
    <x v="124"/>
    <x v="5"/>
    <x v="5"/>
    <x v="0"/>
    <x v="10"/>
    <x v="21"/>
    <x v="206"/>
    <x v="1030"/>
    <x v="0"/>
    <x v="55"/>
    <x v="1"/>
  </r>
  <r>
    <x v="55"/>
    <x v="40"/>
    <x v="1"/>
    <x v="1"/>
    <x v="0"/>
    <x v="10"/>
    <x v="21"/>
    <x v="125"/>
    <x v="835"/>
    <x v="0"/>
    <x v="55"/>
    <x v="1"/>
  </r>
  <r>
    <x v="55"/>
    <x v="161"/>
    <x v="1"/>
    <x v="1"/>
    <x v="0"/>
    <x v="10"/>
    <x v="21"/>
    <x v="186"/>
    <x v="661"/>
    <x v="0"/>
    <x v="55"/>
    <x v="1"/>
  </r>
  <r>
    <x v="55"/>
    <x v="155"/>
    <x v="1"/>
    <x v="1"/>
    <x v="0"/>
    <x v="10"/>
    <x v="26"/>
    <x v="145"/>
    <x v="1031"/>
    <x v="0"/>
    <x v="55"/>
    <x v="1"/>
  </r>
  <r>
    <x v="55"/>
    <x v="127"/>
    <x v="1"/>
    <x v="1"/>
    <x v="0"/>
    <x v="10"/>
    <x v="21"/>
    <x v="85"/>
    <x v="1032"/>
    <x v="0"/>
    <x v="55"/>
    <x v="1"/>
  </r>
  <r>
    <x v="55"/>
    <x v="73"/>
    <x v="1"/>
    <x v="1"/>
    <x v="0"/>
    <x v="10"/>
    <x v="21"/>
    <x v="39"/>
    <x v="1033"/>
    <x v="0"/>
    <x v="55"/>
    <x v="1"/>
  </r>
  <r>
    <x v="55"/>
    <x v="8"/>
    <x v="1"/>
    <x v="1"/>
    <x v="0"/>
    <x v="10"/>
    <x v="21"/>
    <x v="187"/>
    <x v="1013"/>
    <x v="0"/>
    <x v="55"/>
    <x v="1"/>
  </r>
  <r>
    <x v="55"/>
    <x v="101"/>
    <x v="1"/>
    <x v="1"/>
    <x v="0"/>
    <x v="10"/>
    <x v="21"/>
    <x v="207"/>
    <x v="1013"/>
    <x v="0"/>
    <x v="55"/>
    <x v="1"/>
  </r>
  <r>
    <x v="55"/>
    <x v="109"/>
    <x v="1"/>
    <x v="1"/>
    <x v="0"/>
    <x v="10"/>
    <x v="21"/>
    <x v="208"/>
    <x v="736"/>
    <x v="0"/>
    <x v="55"/>
    <x v="1"/>
  </r>
  <r>
    <x v="55"/>
    <x v="1"/>
    <x v="1"/>
    <x v="1"/>
    <x v="0"/>
    <x v="10"/>
    <x v="1"/>
    <x v="1"/>
    <x v="1"/>
    <x v="279"/>
    <x v="55"/>
    <x v="1"/>
  </r>
  <r>
    <x v="55"/>
    <x v="158"/>
    <x v="2"/>
    <x v="2"/>
    <x v="0"/>
    <x v="11"/>
    <x v="21"/>
    <x v="168"/>
    <x v="1034"/>
    <x v="0"/>
    <x v="55"/>
    <x v="1"/>
  </r>
  <r>
    <x v="55"/>
    <x v="85"/>
    <x v="2"/>
    <x v="2"/>
    <x v="0"/>
    <x v="11"/>
    <x v="21"/>
    <x v="161"/>
    <x v="1035"/>
    <x v="0"/>
    <x v="55"/>
    <x v="1"/>
  </r>
  <r>
    <x v="55"/>
    <x v="157"/>
    <x v="2"/>
    <x v="2"/>
    <x v="0"/>
    <x v="11"/>
    <x v="26"/>
    <x v="147"/>
    <x v="1036"/>
    <x v="0"/>
    <x v="55"/>
    <x v="1"/>
  </r>
  <r>
    <x v="55"/>
    <x v="65"/>
    <x v="6"/>
    <x v="6"/>
    <x v="0"/>
    <x v="11"/>
    <x v="21"/>
    <x v="190"/>
    <x v="1037"/>
    <x v="0"/>
    <x v="55"/>
    <x v="1"/>
  </r>
  <r>
    <x v="55"/>
    <x v="71"/>
    <x v="6"/>
    <x v="6"/>
    <x v="0"/>
    <x v="11"/>
    <x v="21"/>
    <x v="37"/>
    <x v="1013"/>
    <x v="0"/>
    <x v="55"/>
    <x v="1"/>
  </r>
  <r>
    <x v="55"/>
    <x v="149"/>
    <x v="6"/>
    <x v="6"/>
    <x v="0"/>
    <x v="11"/>
    <x v="26"/>
    <x v="148"/>
    <x v="1038"/>
    <x v="0"/>
    <x v="55"/>
    <x v="1"/>
  </r>
  <r>
    <x v="55"/>
    <x v="113"/>
    <x v="6"/>
    <x v="6"/>
    <x v="0"/>
    <x v="11"/>
    <x v="21"/>
    <x v="89"/>
    <x v="735"/>
    <x v="0"/>
    <x v="55"/>
    <x v="1"/>
  </r>
  <r>
    <x v="55"/>
    <x v="135"/>
    <x v="3"/>
    <x v="3"/>
    <x v="0"/>
    <x v="11"/>
    <x v="26"/>
    <x v="149"/>
    <x v="1039"/>
    <x v="0"/>
    <x v="55"/>
    <x v="1"/>
  </r>
  <r>
    <x v="55"/>
    <x v="154"/>
    <x v="4"/>
    <x v="4"/>
    <x v="0"/>
    <x v="11"/>
    <x v="26"/>
    <x v="143"/>
    <x v="1040"/>
    <x v="0"/>
    <x v="55"/>
    <x v="1"/>
  </r>
  <r>
    <x v="55"/>
    <x v="53"/>
    <x v="0"/>
    <x v="0"/>
    <x v="0"/>
    <x v="11"/>
    <x v="21"/>
    <x v="144"/>
    <x v="1041"/>
    <x v="0"/>
    <x v="55"/>
    <x v="1"/>
  </r>
  <r>
    <x v="55"/>
    <x v="53"/>
    <x v="0"/>
    <x v="0"/>
    <x v="0"/>
    <x v="11"/>
    <x v="26"/>
    <x v="144"/>
    <x v="1042"/>
    <x v="0"/>
    <x v="55"/>
    <x v="1"/>
  </r>
  <r>
    <x v="55"/>
    <x v="63"/>
    <x v="5"/>
    <x v="5"/>
    <x v="0"/>
    <x v="11"/>
    <x v="26"/>
    <x v="111"/>
    <x v="1043"/>
    <x v="0"/>
    <x v="55"/>
    <x v="1"/>
  </r>
  <r>
    <x v="55"/>
    <x v="124"/>
    <x v="5"/>
    <x v="5"/>
    <x v="0"/>
    <x v="11"/>
    <x v="26"/>
    <x v="206"/>
    <x v="1"/>
    <x v="280"/>
    <x v="55"/>
    <x v="1"/>
  </r>
  <r>
    <x v="55"/>
    <x v="155"/>
    <x v="1"/>
    <x v="1"/>
    <x v="0"/>
    <x v="11"/>
    <x v="26"/>
    <x v="145"/>
    <x v="1044"/>
    <x v="0"/>
    <x v="55"/>
    <x v="1"/>
  </r>
  <r>
    <x v="55"/>
    <x v="1"/>
    <x v="1"/>
    <x v="1"/>
    <x v="0"/>
    <x v="11"/>
    <x v="1"/>
    <x v="1"/>
    <x v="1"/>
    <x v="281"/>
    <x v="55"/>
    <x v="1"/>
  </r>
  <r>
    <x v="55"/>
    <x v="47"/>
    <x v="2"/>
    <x v="2"/>
    <x v="0"/>
    <x v="12"/>
    <x v="21"/>
    <x v="68"/>
    <x v="1045"/>
    <x v="0"/>
    <x v="55"/>
    <x v="1"/>
  </r>
  <r>
    <x v="55"/>
    <x v="112"/>
    <x v="2"/>
    <x v="2"/>
    <x v="0"/>
    <x v="12"/>
    <x v="26"/>
    <x v="209"/>
    <x v="1"/>
    <x v="282"/>
    <x v="55"/>
    <x v="1"/>
  </r>
  <r>
    <x v="55"/>
    <x v="129"/>
    <x v="2"/>
    <x v="2"/>
    <x v="0"/>
    <x v="12"/>
    <x v="21"/>
    <x v="204"/>
    <x v="1046"/>
    <x v="0"/>
    <x v="55"/>
    <x v="1"/>
  </r>
  <r>
    <x v="55"/>
    <x v="111"/>
    <x v="2"/>
    <x v="2"/>
    <x v="0"/>
    <x v="12"/>
    <x v="21"/>
    <x v="75"/>
    <x v="1047"/>
    <x v="0"/>
    <x v="55"/>
    <x v="1"/>
  </r>
  <r>
    <x v="55"/>
    <x v="65"/>
    <x v="6"/>
    <x v="6"/>
    <x v="0"/>
    <x v="12"/>
    <x v="21"/>
    <x v="190"/>
    <x v="1048"/>
    <x v="0"/>
    <x v="55"/>
    <x v="1"/>
  </r>
  <r>
    <x v="55"/>
    <x v="87"/>
    <x v="6"/>
    <x v="6"/>
    <x v="0"/>
    <x v="12"/>
    <x v="21"/>
    <x v="189"/>
    <x v="366"/>
    <x v="0"/>
    <x v="55"/>
    <x v="1"/>
  </r>
  <r>
    <x v="55"/>
    <x v="163"/>
    <x v="6"/>
    <x v="6"/>
    <x v="0"/>
    <x v="12"/>
    <x v="21"/>
    <x v="195"/>
    <x v="146"/>
    <x v="0"/>
    <x v="55"/>
    <x v="1"/>
  </r>
  <r>
    <x v="55"/>
    <x v="102"/>
    <x v="6"/>
    <x v="6"/>
    <x v="0"/>
    <x v="12"/>
    <x v="21"/>
    <x v="141"/>
    <x v="1049"/>
    <x v="0"/>
    <x v="55"/>
    <x v="1"/>
  </r>
  <r>
    <x v="55"/>
    <x v="102"/>
    <x v="6"/>
    <x v="6"/>
    <x v="0"/>
    <x v="12"/>
    <x v="26"/>
    <x v="141"/>
    <x v="1050"/>
    <x v="0"/>
    <x v="55"/>
    <x v="1"/>
  </r>
  <r>
    <x v="55"/>
    <x v="137"/>
    <x v="6"/>
    <x v="6"/>
    <x v="0"/>
    <x v="12"/>
    <x v="26"/>
    <x v="102"/>
    <x v="1"/>
    <x v="283"/>
    <x v="55"/>
    <x v="1"/>
  </r>
  <r>
    <x v="55"/>
    <x v="156"/>
    <x v="4"/>
    <x v="4"/>
    <x v="0"/>
    <x v="12"/>
    <x v="21"/>
    <x v="146"/>
    <x v="1051"/>
    <x v="0"/>
    <x v="55"/>
    <x v="1"/>
  </r>
  <r>
    <x v="55"/>
    <x v="39"/>
    <x v="4"/>
    <x v="4"/>
    <x v="0"/>
    <x v="12"/>
    <x v="26"/>
    <x v="210"/>
    <x v="1"/>
    <x v="284"/>
    <x v="55"/>
    <x v="1"/>
  </r>
  <r>
    <x v="55"/>
    <x v="92"/>
    <x v="0"/>
    <x v="0"/>
    <x v="0"/>
    <x v="12"/>
    <x v="21"/>
    <x v="109"/>
    <x v="905"/>
    <x v="0"/>
    <x v="55"/>
    <x v="1"/>
  </r>
  <r>
    <x v="55"/>
    <x v="136"/>
    <x v="0"/>
    <x v="0"/>
    <x v="0"/>
    <x v="12"/>
    <x v="21"/>
    <x v="100"/>
    <x v="1052"/>
    <x v="0"/>
    <x v="55"/>
    <x v="1"/>
  </r>
  <r>
    <x v="55"/>
    <x v="136"/>
    <x v="0"/>
    <x v="0"/>
    <x v="0"/>
    <x v="12"/>
    <x v="26"/>
    <x v="100"/>
    <x v="1"/>
    <x v="285"/>
    <x v="55"/>
    <x v="1"/>
  </r>
  <r>
    <x v="55"/>
    <x v="13"/>
    <x v="5"/>
    <x v="5"/>
    <x v="0"/>
    <x v="12"/>
    <x v="21"/>
    <x v="120"/>
    <x v="1053"/>
    <x v="0"/>
    <x v="55"/>
    <x v="1"/>
  </r>
  <r>
    <x v="55"/>
    <x v="125"/>
    <x v="5"/>
    <x v="5"/>
    <x v="0"/>
    <x v="12"/>
    <x v="21"/>
    <x v="82"/>
    <x v="1054"/>
    <x v="0"/>
    <x v="55"/>
    <x v="1"/>
  </r>
  <r>
    <x v="55"/>
    <x v="95"/>
    <x v="1"/>
    <x v="1"/>
    <x v="0"/>
    <x v="12"/>
    <x v="21"/>
    <x v="97"/>
    <x v="779"/>
    <x v="0"/>
    <x v="55"/>
    <x v="1"/>
  </r>
  <r>
    <x v="55"/>
    <x v="155"/>
    <x v="1"/>
    <x v="1"/>
    <x v="0"/>
    <x v="12"/>
    <x v="21"/>
    <x v="145"/>
    <x v="1055"/>
    <x v="0"/>
    <x v="55"/>
    <x v="1"/>
  </r>
  <r>
    <x v="55"/>
    <x v="1"/>
    <x v="1"/>
    <x v="1"/>
    <x v="0"/>
    <x v="12"/>
    <x v="1"/>
    <x v="1"/>
    <x v="1"/>
    <x v="286"/>
    <x v="55"/>
    <x v="1"/>
  </r>
  <r>
    <x v="55"/>
    <x v="157"/>
    <x v="2"/>
    <x v="2"/>
    <x v="0"/>
    <x v="13"/>
    <x v="26"/>
    <x v="147"/>
    <x v="1056"/>
    <x v="0"/>
    <x v="55"/>
    <x v="1"/>
  </r>
  <r>
    <x v="55"/>
    <x v="110"/>
    <x v="2"/>
    <x v="2"/>
    <x v="0"/>
    <x v="13"/>
    <x v="21"/>
    <x v="171"/>
    <x v="1057"/>
    <x v="0"/>
    <x v="55"/>
    <x v="1"/>
  </r>
  <r>
    <x v="55"/>
    <x v="149"/>
    <x v="6"/>
    <x v="6"/>
    <x v="0"/>
    <x v="13"/>
    <x v="26"/>
    <x v="148"/>
    <x v="1058"/>
    <x v="0"/>
    <x v="55"/>
    <x v="1"/>
  </r>
  <r>
    <x v="55"/>
    <x v="10"/>
    <x v="3"/>
    <x v="3"/>
    <x v="0"/>
    <x v="13"/>
    <x v="21"/>
    <x v="123"/>
    <x v="763"/>
    <x v="0"/>
    <x v="55"/>
    <x v="1"/>
  </r>
  <r>
    <x v="55"/>
    <x v="135"/>
    <x v="3"/>
    <x v="3"/>
    <x v="0"/>
    <x v="13"/>
    <x v="26"/>
    <x v="149"/>
    <x v="1059"/>
    <x v="0"/>
    <x v="55"/>
    <x v="1"/>
  </r>
  <r>
    <x v="55"/>
    <x v="79"/>
    <x v="3"/>
    <x v="3"/>
    <x v="0"/>
    <x v="13"/>
    <x v="21"/>
    <x v="142"/>
    <x v="1024"/>
    <x v="0"/>
    <x v="55"/>
    <x v="1"/>
  </r>
  <r>
    <x v="55"/>
    <x v="154"/>
    <x v="4"/>
    <x v="4"/>
    <x v="0"/>
    <x v="13"/>
    <x v="26"/>
    <x v="143"/>
    <x v="1060"/>
    <x v="0"/>
    <x v="55"/>
    <x v="1"/>
  </r>
  <r>
    <x v="55"/>
    <x v="53"/>
    <x v="0"/>
    <x v="0"/>
    <x v="0"/>
    <x v="13"/>
    <x v="21"/>
    <x v="144"/>
    <x v="1061"/>
    <x v="0"/>
    <x v="55"/>
    <x v="1"/>
  </r>
  <r>
    <x v="55"/>
    <x v="53"/>
    <x v="0"/>
    <x v="0"/>
    <x v="0"/>
    <x v="13"/>
    <x v="26"/>
    <x v="144"/>
    <x v="1062"/>
    <x v="0"/>
    <x v="55"/>
    <x v="1"/>
  </r>
  <r>
    <x v="55"/>
    <x v="13"/>
    <x v="5"/>
    <x v="5"/>
    <x v="0"/>
    <x v="13"/>
    <x v="21"/>
    <x v="120"/>
    <x v="1063"/>
    <x v="0"/>
    <x v="55"/>
    <x v="1"/>
  </r>
  <r>
    <x v="55"/>
    <x v="34"/>
    <x v="5"/>
    <x v="5"/>
    <x v="0"/>
    <x v="13"/>
    <x v="25"/>
    <x v="184"/>
    <x v="1064"/>
    <x v="0"/>
    <x v="55"/>
    <x v="1"/>
  </r>
  <r>
    <x v="55"/>
    <x v="77"/>
    <x v="5"/>
    <x v="5"/>
    <x v="0"/>
    <x v="13"/>
    <x v="21"/>
    <x v="156"/>
    <x v="1065"/>
    <x v="0"/>
    <x v="55"/>
    <x v="1"/>
  </r>
  <r>
    <x v="55"/>
    <x v="63"/>
    <x v="5"/>
    <x v="5"/>
    <x v="0"/>
    <x v="13"/>
    <x v="26"/>
    <x v="111"/>
    <x v="1066"/>
    <x v="0"/>
    <x v="55"/>
    <x v="1"/>
  </r>
  <r>
    <x v="55"/>
    <x v="40"/>
    <x v="1"/>
    <x v="1"/>
    <x v="0"/>
    <x v="13"/>
    <x v="21"/>
    <x v="125"/>
    <x v="1067"/>
    <x v="0"/>
    <x v="55"/>
    <x v="1"/>
  </r>
  <r>
    <x v="55"/>
    <x v="155"/>
    <x v="1"/>
    <x v="1"/>
    <x v="0"/>
    <x v="13"/>
    <x v="26"/>
    <x v="145"/>
    <x v="1068"/>
    <x v="0"/>
    <x v="55"/>
    <x v="1"/>
  </r>
  <r>
    <x v="55"/>
    <x v="22"/>
    <x v="1"/>
    <x v="1"/>
    <x v="0"/>
    <x v="13"/>
    <x v="21"/>
    <x v="211"/>
    <x v="1069"/>
    <x v="0"/>
    <x v="55"/>
    <x v="1"/>
  </r>
  <r>
    <x v="55"/>
    <x v="22"/>
    <x v="1"/>
    <x v="1"/>
    <x v="0"/>
    <x v="13"/>
    <x v="26"/>
    <x v="211"/>
    <x v="1070"/>
    <x v="0"/>
    <x v="55"/>
    <x v="1"/>
  </r>
  <r>
    <x v="55"/>
    <x v="73"/>
    <x v="1"/>
    <x v="1"/>
    <x v="0"/>
    <x v="13"/>
    <x v="21"/>
    <x v="39"/>
    <x v="763"/>
    <x v="0"/>
    <x v="55"/>
    <x v="1"/>
  </r>
  <r>
    <x v="55"/>
    <x v="1"/>
    <x v="1"/>
    <x v="1"/>
    <x v="0"/>
    <x v="13"/>
    <x v="1"/>
    <x v="1"/>
    <x v="1"/>
    <x v="287"/>
    <x v="55"/>
    <x v="1"/>
  </r>
  <r>
    <x v="55"/>
    <x v="70"/>
    <x v="2"/>
    <x v="2"/>
    <x v="0"/>
    <x v="14"/>
    <x v="21"/>
    <x v="36"/>
    <x v="735"/>
    <x v="0"/>
    <x v="55"/>
    <x v="1"/>
  </r>
  <r>
    <x v="55"/>
    <x v="158"/>
    <x v="2"/>
    <x v="2"/>
    <x v="0"/>
    <x v="14"/>
    <x v="25"/>
    <x v="168"/>
    <x v="1071"/>
    <x v="0"/>
    <x v="55"/>
    <x v="1"/>
  </r>
  <r>
    <x v="55"/>
    <x v="16"/>
    <x v="2"/>
    <x v="2"/>
    <x v="0"/>
    <x v="14"/>
    <x v="21"/>
    <x v="93"/>
    <x v="1072"/>
    <x v="0"/>
    <x v="55"/>
    <x v="1"/>
  </r>
  <r>
    <x v="55"/>
    <x v="47"/>
    <x v="2"/>
    <x v="2"/>
    <x v="0"/>
    <x v="14"/>
    <x v="21"/>
    <x v="68"/>
    <x v="1073"/>
    <x v="0"/>
    <x v="55"/>
    <x v="1"/>
  </r>
  <r>
    <x v="55"/>
    <x v="85"/>
    <x v="2"/>
    <x v="2"/>
    <x v="0"/>
    <x v="14"/>
    <x v="21"/>
    <x v="161"/>
    <x v="1074"/>
    <x v="0"/>
    <x v="55"/>
    <x v="1"/>
  </r>
  <r>
    <x v="55"/>
    <x v="118"/>
    <x v="2"/>
    <x v="2"/>
    <x v="0"/>
    <x v="14"/>
    <x v="21"/>
    <x v="69"/>
    <x v="1075"/>
    <x v="0"/>
    <x v="55"/>
    <x v="1"/>
  </r>
  <r>
    <x v="55"/>
    <x v="24"/>
    <x v="2"/>
    <x v="2"/>
    <x v="0"/>
    <x v="14"/>
    <x v="21"/>
    <x v="202"/>
    <x v="1076"/>
    <x v="0"/>
    <x v="55"/>
    <x v="1"/>
  </r>
  <r>
    <x v="55"/>
    <x v="107"/>
    <x v="2"/>
    <x v="2"/>
    <x v="0"/>
    <x v="14"/>
    <x v="21"/>
    <x v="158"/>
    <x v="1077"/>
    <x v="0"/>
    <x v="55"/>
    <x v="1"/>
  </r>
  <r>
    <x v="55"/>
    <x v="157"/>
    <x v="2"/>
    <x v="2"/>
    <x v="0"/>
    <x v="14"/>
    <x v="21"/>
    <x v="147"/>
    <x v="1078"/>
    <x v="0"/>
    <x v="55"/>
    <x v="1"/>
  </r>
  <r>
    <x v="55"/>
    <x v="35"/>
    <x v="2"/>
    <x v="2"/>
    <x v="0"/>
    <x v="14"/>
    <x v="21"/>
    <x v="170"/>
    <x v="999"/>
    <x v="0"/>
    <x v="55"/>
    <x v="1"/>
  </r>
  <r>
    <x v="55"/>
    <x v="129"/>
    <x v="2"/>
    <x v="2"/>
    <x v="0"/>
    <x v="14"/>
    <x v="21"/>
    <x v="204"/>
    <x v="1079"/>
    <x v="0"/>
    <x v="55"/>
    <x v="1"/>
  </r>
  <r>
    <x v="55"/>
    <x v="146"/>
    <x v="6"/>
    <x v="6"/>
    <x v="0"/>
    <x v="14"/>
    <x v="25"/>
    <x v="172"/>
    <x v="1071"/>
    <x v="0"/>
    <x v="55"/>
    <x v="1"/>
  </r>
  <r>
    <x v="55"/>
    <x v="87"/>
    <x v="6"/>
    <x v="6"/>
    <x v="0"/>
    <x v="14"/>
    <x v="21"/>
    <x v="189"/>
    <x v="1080"/>
    <x v="0"/>
    <x v="55"/>
    <x v="1"/>
  </r>
  <r>
    <x v="55"/>
    <x v="71"/>
    <x v="6"/>
    <x v="6"/>
    <x v="0"/>
    <x v="14"/>
    <x v="21"/>
    <x v="37"/>
    <x v="1081"/>
    <x v="0"/>
    <x v="55"/>
    <x v="1"/>
  </r>
  <r>
    <x v="55"/>
    <x v="163"/>
    <x v="6"/>
    <x v="6"/>
    <x v="0"/>
    <x v="14"/>
    <x v="21"/>
    <x v="195"/>
    <x v="1082"/>
    <x v="0"/>
    <x v="55"/>
    <x v="1"/>
  </r>
  <r>
    <x v="55"/>
    <x v="102"/>
    <x v="6"/>
    <x v="6"/>
    <x v="0"/>
    <x v="14"/>
    <x v="21"/>
    <x v="141"/>
    <x v="1083"/>
    <x v="0"/>
    <x v="55"/>
    <x v="1"/>
  </r>
  <r>
    <x v="55"/>
    <x v="113"/>
    <x v="6"/>
    <x v="6"/>
    <x v="0"/>
    <x v="14"/>
    <x v="21"/>
    <x v="89"/>
    <x v="1084"/>
    <x v="0"/>
    <x v="55"/>
    <x v="1"/>
  </r>
  <r>
    <x v="55"/>
    <x v="164"/>
    <x v="6"/>
    <x v="6"/>
    <x v="0"/>
    <x v="14"/>
    <x v="21"/>
    <x v="200"/>
    <x v="1085"/>
    <x v="0"/>
    <x v="55"/>
    <x v="1"/>
  </r>
  <r>
    <x v="55"/>
    <x v="96"/>
    <x v="6"/>
    <x v="6"/>
    <x v="0"/>
    <x v="14"/>
    <x v="21"/>
    <x v="165"/>
    <x v="1086"/>
    <x v="0"/>
    <x v="55"/>
    <x v="1"/>
  </r>
  <r>
    <x v="55"/>
    <x v="137"/>
    <x v="6"/>
    <x v="6"/>
    <x v="0"/>
    <x v="14"/>
    <x v="21"/>
    <x v="102"/>
    <x v="146"/>
    <x v="0"/>
    <x v="55"/>
    <x v="1"/>
  </r>
  <r>
    <x v="55"/>
    <x v="26"/>
    <x v="3"/>
    <x v="3"/>
    <x v="0"/>
    <x v="14"/>
    <x v="25"/>
    <x v="115"/>
    <x v="1087"/>
    <x v="0"/>
    <x v="55"/>
    <x v="1"/>
  </r>
  <r>
    <x v="55"/>
    <x v="19"/>
    <x v="3"/>
    <x v="3"/>
    <x v="0"/>
    <x v="14"/>
    <x v="21"/>
    <x v="62"/>
    <x v="1088"/>
    <x v="0"/>
    <x v="55"/>
    <x v="1"/>
  </r>
  <r>
    <x v="55"/>
    <x v="60"/>
    <x v="3"/>
    <x v="3"/>
    <x v="0"/>
    <x v="14"/>
    <x v="21"/>
    <x v="57"/>
    <x v="1089"/>
    <x v="0"/>
    <x v="55"/>
    <x v="1"/>
  </r>
  <r>
    <x v="55"/>
    <x v="108"/>
    <x v="3"/>
    <x v="3"/>
    <x v="0"/>
    <x v="14"/>
    <x v="21"/>
    <x v="63"/>
    <x v="736"/>
    <x v="0"/>
    <x v="55"/>
    <x v="1"/>
  </r>
  <r>
    <x v="55"/>
    <x v="10"/>
    <x v="3"/>
    <x v="3"/>
    <x v="0"/>
    <x v="14"/>
    <x v="21"/>
    <x v="123"/>
    <x v="0"/>
    <x v="0"/>
    <x v="55"/>
    <x v="1"/>
  </r>
  <r>
    <x v="55"/>
    <x v="114"/>
    <x v="3"/>
    <x v="3"/>
    <x v="0"/>
    <x v="14"/>
    <x v="21"/>
    <x v="76"/>
    <x v="735"/>
    <x v="0"/>
    <x v="55"/>
    <x v="1"/>
  </r>
  <r>
    <x v="55"/>
    <x v="43"/>
    <x v="3"/>
    <x v="3"/>
    <x v="0"/>
    <x v="14"/>
    <x v="21"/>
    <x v="71"/>
    <x v="1085"/>
    <x v="0"/>
    <x v="55"/>
    <x v="1"/>
  </r>
  <r>
    <x v="55"/>
    <x v="61"/>
    <x v="3"/>
    <x v="3"/>
    <x v="0"/>
    <x v="14"/>
    <x v="21"/>
    <x v="126"/>
    <x v="1090"/>
    <x v="0"/>
    <x v="55"/>
    <x v="1"/>
  </r>
  <r>
    <x v="55"/>
    <x v="148"/>
    <x v="3"/>
    <x v="3"/>
    <x v="0"/>
    <x v="14"/>
    <x v="21"/>
    <x v="174"/>
    <x v="1091"/>
    <x v="0"/>
    <x v="55"/>
    <x v="1"/>
  </r>
  <r>
    <x v="55"/>
    <x v="56"/>
    <x v="3"/>
    <x v="3"/>
    <x v="0"/>
    <x v="14"/>
    <x v="21"/>
    <x v="153"/>
    <x v="1092"/>
    <x v="0"/>
    <x v="55"/>
    <x v="1"/>
  </r>
  <r>
    <x v="55"/>
    <x v="99"/>
    <x v="3"/>
    <x v="3"/>
    <x v="0"/>
    <x v="14"/>
    <x v="21"/>
    <x v="116"/>
    <x v="1093"/>
    <x v="0"/>
    <x v="55"/>
    <x v="1"/>
  </r>
  <r>
    <x v="55"/>
    <x v="140"/>
    <x v="4"/>
    <x v="4"/>
    <x v="0"/>
    <x v="14"/>
    <x v="25"/>
    <x v="117"/>
    <x v="1094"/>
    <x v="0"/>
    <x v="55"/>
    <x v="1"/>
  </r>
  <r>
    <x v="55"/>
    <x v="81"/>
    <x v="4"/>
    <x v="4"/>
    <x v="0"/>
    <x v="14"/>
    <x v="21"/>
    <x v="175"/>
    <x v="1095"/>
    <x v="0"/>
    <x v="55"/>
    <x v="1"/>
  </r>
  <r>
    <x v="55"/>
    <x v="132"/>
    <x v="4"/>
    <x v="4"/>
    <x v="0"/>
    <x v="14"/>
    <x v="21"/>
    <x v="95"/>
    <x v="1096"/>
    <x v="0"/>
    <x v="55"/>
    <x v="1"/>
  </r>
  <r>
    <x v="55"/>
    <x v="162"/>
    <x v="4"/>
    <x v="4"/>
    <x v="0"/>
    <x v="14"/>
    <x v="21"/>
    <x v="192"/>
    <x v="1097"/>
    <x v="0"/>
    <x v="55"/>
    <x v="1"/>
  </r>
  <r>
    <x v="55"/>
    <x v="50"/>
    <x v="4"/>
    <x v="4"/>
    <x v="0"/>
    <x v="14"/>
    <x v="21"/>
    <x v="77"/>
    <x v="191"/>
    <x v="0"/>
    <x v="55"/>
    <x v="1"/>
  </r>
  <r>
    <x v="55"/>
    <x v="89"/>
    <x v="4"/>
    <x v="4"/>
    <x v="0"/>
    <x v="14"/>
    <x v="21"/>
    <x v="154"/>
    <x v="1098"/>
    <x v="0"/>
    <x v="55"/>
    <x v="1"/>
  </r>
  <r>
    <x v="55"/>
    <x v="30"/>
    <x v="4"/>
    <x v="4"/>
    <x v="0"/>
    <x v="14"/>
    <x v="21"/>
    <x v="159"/>
    <x v="1099"/>
    <x v="0"/>
    <x v="55"/>
    <x v="1"/>
  </r>
  <r>
    <x v="55"/>
    <x v="126"/>
    <x v="4"/>
    <x v="4"/>
    <x v="0"/>
    <x v="14"/>
    <x v="21"/>
    <x v="83"/>
    <x v="1100"/>
    <x v="0"/>
    <x v="55"/>
    <x v="1"/>
  </r>
  <r>
    <x v="55"/>
    <x v="31"/>
    <x v="4"/>
    <x v="4"/>
    <x v="0"/>
    <x v="14"/>
    <x v="21"/>
    <x v="72"/>
    <x v="1101"/>
    <x v="0"/>
    <x v="55"/>
    <x v="1"/>
  </r>
  <r>
    <x v="55"/>
    <x v="78"/>
    <x v="4"/>
    <x v="4"/>
    <x v="0"/>
    <x v="14"/>
    <x v="21"/>
    <x v="160"/>
    <x v="736"/>
    <x v="0"/>
    <x v="55"/>
    <x v="1"/>
  </r>
  <r>
    <x v="55"/>
    <x v="51"/>
    <x v="4"/>
    <x v="4"/>
    <x v="0"/>
    <x v="14"/>
    <x v="21"/>
    <x v="34"/>
    <x v="1102"/>
    <x v="0"/>
    <x v="55"/>
    <x v="1"/>
  </r>
  <r>
    <x v="55"/>
    <x v="90"/>
    <x v="0"/>
    <x v="0"/>
    <x v="0"/>
    <x v="14"/>
    <x v="21"/>
    <x v="79"/>
    <x v="1103"/>
    <x v="0"/>
    <x v="55"/>
    <x v="1"/>
  </r>
  <r>
    <x v="55"/>
    <x v="159"/>
    <x v="0"/>
    <x v="0"/>
    <x v="0"/>
    <x v="14"/>
    <x v="25"/>
    <x v="177"/>
    <x v="1104"/>
    <x v="0"/>
    <x v="55"/>
    <x v="1"/>
  </r>
  <r>
    <x v="55"/>
    <x v="52"/>
    <x v="0"/>
    <x v="0"/>
    <x v="0"/>
    <x v="14"/>
    <x v="21"/>
    <x v="107"/>
    <x v="1105"/>
    <x v="0"/>
    <x v="55"/>
    <x v="1"/>
  </r>
  <r>
    <x v="55"/>
    <x v="119"/>
    <x v="0"/>
    <x v="0"/>
    <x v="0"/>
    <x v="14"/>
    <x v="21"/>
    <x v="96"/>
    <x v="1106"/>
    <x v="0"/>
    <x v="55"/>
    <x v="1"/>
  </r>
  <r>
    <x v="55"/>
    <x v="120"/>
    <x v="0"/>
    <x v="0"/>
    <x v="0"/>
    <x v="14"/>
    <x v="21"/>
    <x v="212"/>
    <x v="911"/>
    <x v="0"/>
    <x v="55"/>
    <x v="1"/>
  </r>
  <r>
    <x v="55"/>
    <x v="53"/>
    <x v="0"/>
    <x v="0"/>
    <x v="0"/>
    <x v="14"/>
    <x v="21"/>
    <x v="144"/>
    <x v="1107"/>
    <x v="0"/>
    <x v="55"/>
    <x v="1"/>
  </r>
  <r>
    <x v="55"/>
    <x v="46"/>
    <x v="0"/>
    <x v="0"/>
    <x v="0"/>
    <x v="14"/>
    <x v="21"/>
    <x v="155"/>
    <x v="1108"/>
    <x v="0"/>
    <x v="55"/>
    <x v="1"/>
  </r>
  <r>
    <x v="55"/>
    <x v="92"/>
    <x v="0"/>
    <x v="0"/>
    <x v="0"/>
    <x v="14"/>
    <x v="21"/>
    <x v="109"/>
    <x v="790"/>
    <x v="0"/>
    <x v="55"/>
    <x v="1"/>
  </r>
  <r>
    <x v="55"/>
    <x v="117"/>
    <x v="0"/>
    <x v="0"/>
    <x v="0"/>
    <x v="14"/>
    <x v="21"/>
    <x v="65"/>
    <x v="1109"/>
    <x v="0"/>
    <x v="55"/>
    <x v="1"/>
  </r>
  <r>
    <x v="55"/>
    <x v="142"/>
    <x v="0"/>
    <x v="0"/>
    <x v="0"/>
    <x v="14"/>
    <x v="21"/>
    <x v="119"/>
    <x v="110"/>
    <x v="0"/>
    <x v="55"/>
    <x v="1"/>
  </r>
  <r>
    <x v="55"/>
    <x v="32"/>
    <x v="5"/>
    <x v="5"/>
    <x v="0"/>
    <x v="14"/>
    <x v="21"/>
    <x v="81"/>
    <x v="1110"/>
    <x v="0"/>
    <x v="55"/>
    <x v="1"/>
  </r>
  <r>
    <x v="55"/>
    <x v="76"/>
    <x v="5"/>
    <x v="5"/>
    <x v="0"/>
    <x v="14"/>
    <x v="21"/>
    <x v="182"/>
    <x v="1111"/>
    <x v="0"/>
    <x v="55"/>
    <x v="1"/>
  </r>
  <r>
    <x v="55"/>
    <x v="76"/>
    <x v="5"/>
    <x v="5"/>
    <x v="0"/>
    <x v="14"/>
    <x v="25"/>
    <x v="182"/>
    <x v="1112"/>
    <x v="0"/>
    <x v="55"/>
    <x v="1"/>
  </r>
  <r>
    <x v="55"/>
    <x v="115"/>
    <x v="5"/>
    <x v="5"/>
    <x v="0"/>
    <x v="14"/>
    <x v="21"/>
    <x v="213"/>
    <x v="826"/>
    <x v="0"/>
    <x v="55"/>
    <x v="1"/>
  </r>
  <r>
    <x v="55"/>
    <x v="97"/>
    <x v="5"/>
    <x v="5"/>
    <x v="0"/>
    <x v="14"/>
    <x v="21"/>
    <x v="183"/>
    <x v="1113"/>
    <x v="0"/>
    <x v="55"/>
    <x v="1"/>
  </r>
  <r>
    <x v="55"/>
    <x v="13"/>
    <x v="5"/>
    <x v="5"/>
    <x v="0"/>
    <x v="14"/>
    <x v="21"/>
    <x v="120"/>
    <x v="1114"/>
    <x v="0"/>
    <x v="55"/>
    <x v="1"/>
  </r>
  <r>
    <x v="55"/>
    <x v="77"/>
    <x v="5"/>
    <x v="5"/>
    <x v="0"/>
    <x v="14"/>
    <x v="21"/>
    <x v="156"/>
    <x v="701"/>
    <x v="0"/>
    <x v="55"/>
    <x v="1"/>
  </r>
  <r>
    <x v="55"/>
    <x v="141"/>
    <x v="5"/>
    <x v="5"/>
    <x v="0"/>
    <x v="14"/>
    <x v="21"/>
    <x v="185"/>
    <x v="952"/>
    <x v="0"/>
    <x v="55"/>
    <x v="1"/>
  </r>
  <r>
    <x v="55"/>
    <x v="6"/>
    <x v="5"/>
    <x v="5"/>
    <x v="0"/>
    <x v="14"/>
    <x v="21"/>
    <x v="193"/>
    <x v="1115"/>
    <x v="0"/>
    <x v="55"/>
    <x v="1"/>
  </r>
  <r>
    <x v="55"/>
    <x v="150"/>
    <x v="5"/>
    <x v="5"/>
    <x v="0"/>
    <x v="14"/>
    <x v="21"/>
    <x v="214"/>
    <x v="1116"/>
    <x v="0"/>
    <x v="55"/>
    <x v="1"/>
  </r>
  <r>
    <x v="55"/>
    <x v="83"/>
    <x v="1"/>
    <x v="1"/>
    <x v="0"/>
    <x v="14"/>
    <x v="21"/>
    <x v="215"/>
    <x v="1117"/>
    <x v="0"/>
    <x v="55"/>
    <x v="1"/>
  </r>
  <r>
    <x v="55"/>
    <x v="40"/>
    <x v="1"/>
    <x v="1"/>
    <x v="0"/>
    <x v="14"/>
    <x v="25"/>
    <x v="125"/>
    <x v="1104"/>
    <x v="0"/>
    <x v="55"/>
    <x v="1"/>
  </r>
  <r>
    <x v="55"/>
    <x v="161"/>
    <x v="1"/>
    <x v="1"/>
    <x v="0"/>
    <x v="14"/>
    <x v="21"/>
    <x v="186"/>
    <x v="1118"/>
    <x v="0"/>
    <x v="55"/>
    <x v="1"/>
  </r>
  <r>
    <x v="55"/>
    <x v="95"/>
    <x v="1"/>
    <x v="1"/>
    <x v="0"/>
    <x v="14"/>
    <x v="21"/>
    <x v="97"/>
    <x v="1119"/>
    <x v="0"/>
    <x v="55"/>
    <x v="1"/>
  </r>
  <r>
    <x v="55"/>
    <x v="14"/>
    <x v="1"/>
    <x v="1"/>
    <x v="0"/>
    <x v="14"/>
    <x v="25"/>
    <x v="112"/>
    <x v="1120"/>
    <x v="0"/>
    <x v="55"/>
    <x v="1"/>
  </r>
  <r>
    <x v="55"/>
    <x v="127"/>
    <x v="1"/>
    <x v="1"/>
    <x v="0"/>
    <x v="14"/>
    <x v="21"/>
    <x v="85"/>
    <x v="1121"/>
    <x v="0"/>
    <x v="55"/>
    <x v="1"/>
  </r>
  <r>
    <x v="55"/>
    <x v="22"/>
    <x v="1"/>
    <x v="1"/>
    <x v="0"/>
    <x v="14"/>
    <x v="21"/>
    <x v="211"/>
    <x v="835"/>
    <x v="0"/>
    <x v="55"/>
    <x v="1"/>
  </r>
  <r>
    <x v="55"/>
    <x v="42"/>
    <x v="1"/>
    <x v="1"/>
    <x v="0"/>
    <x v="14"/>
    <x v="21"/>
    <x v="167"/>
    <x v="1122"/>
    <x v="0"/>
    <x v="55"/>
    <x v="1"/>
  </r>
  <r>
    <x v="55"/>
    <x v="8"/>
    <x v="1"/>
    <x v="1"/>
    <x v="0"/>
    <x v="14"/>
    <x v="21"/>
    <x v="187"/>
    <x v="1123"/>
    <x v="0"/>
    <x v="55"/>
    <x v="1"/>
  </r>
  <r>
    <x v="55"/>
    <x v="101"/>
    <x v="1"/>
    <x v="1"/>
    <x v="0"/>
    <x v="14"/>
    <x v="21"/>
    <x v="207"/>
    <x v="1124"/>
    <x v="0"/>
    <x v="55"/>
    <x v="1"/>
  </r>
  <r>
    <x v="55"/>
    <x v="152"/>
    <x v="1"/>
    <x v="1"/>
    <x v="0"/>
    <x v="14"/>
    <x v="21"/>
    <x v="194"/>
    <x v="1125"/>
    <x v="0"/>
    <x v="55"/>
    <x v="1"/>
  </r>
  <r>
    <x v="55"/>
    <x v="1"/>
    <x v="1"/>
    <x v="1"/>
    <x v="0"/>
    <x v="14"/>
    <x v="1"/>
    <x v="1"/>
    <x v="1"/>
    <x v="288"/>
    <x v="55"/>
    <x v="1"/>
  </r>
  <r>
    <x v="55"/>
    <x v="158"/>
    <x v="2"/>
    <x v="2"/>
    <x v="0"/>
    <x v="15"/>
    <x v="25"/>
    <x v="168"/>
    <x v="1126"/>
    <x v="0"/>
    <x v="55"/>
    <x v="1"/>
  </r>
  <r>
    <x v="55"/>
    <x v="24"/>
    <x v="2"/>
    <x v="2"/>
    <x v="0"/>
    <x v="15"/>
    <x v="21"/>
    <x v="202"/>
    <x v="1127"/>
    <x v="0"/>
    <x v="55"/>
    <x v="1"/>
  </r>
  <r>
    <x v="55"/>
    <x v="35"/>
    <x v="2"/>
    <x v="2"/>
    <x v="0"/>
    <x v="15"/>
    <x v="21"/>
    <x v="170"/>
    <x v="874"/>
    <x v="0"/>
    <x v="55"/>
    <x v="1"/>
  </r>
  <r>
    <x v="55"/>
    <x v="146"/>
    <x v="6"/>
    <x v="6"/>
    <x v="0"/>
    <x v="15"/>
    <x v="25"/>
    <x v="172"/>
    <x v="1126"/>
    <x v="0"/>
    <x v="55"/>
    <x v="1"/>
  </r>
  <r>
    <x v="55"/>
    <x v="87"/>
    <x v="6"/>
    <x v="6"/>
    <x v="0"/>
    <x v="15"/>
    <x v="26"/>
    <x v="189"/>
    <x v="959"/>
    <x v="0"/>
    <x v="55"/>
    <x v="1"/>
  </r>
  <r>
    <x v="55"/>
    <x v="149"/>
    <x v="6"/>
    <x v="6"/>
    <x v="0"/>
    <x v="15"/>
    <x v="21"/>
    <x v="148"/>
    <x v="1128"/>
    <x v="0"/>
    <x v="55"/>
    <x v="1"/>
  </r>
  <r>
    <x v="55"/>
    <x v="137"/>
    <x v="6"/>
    <x v="6"/>
    <x v="0"/>
    <x v="15"/>
    <x v="21"/>
    <x v="102"/>
    <x v="1129"/>
    <x v="0"/>
    <x v="55"/>
    <x v="1"/>
  </r>
  <r>
    <x v="55"/>
    <x v="26"/>
    <x v="3"/>
    <x v="3"/>
    <x v="0"/>
    <x v="15"/>
    <x v="25"/>
    <x v="115"/>
    <x v="1126"/>
    <x v="0"/>
    <x v="55"/>
    <x v="1"/>
  </r>
  <r>
    <x v="55"/>
    <x v="26"/>
    <x v="3"/>
    <x v="3"/>
    <x v="0"/>
    <x v="15"/>
    <x v="26"/>
    <x v="115"/>
    <x v="1"/>
    <x v="289"/>
    <x v="55"/>
    <x v="1"/>
  </r>
  <r>
    <x v="55"/>
    <x v="60"/>
    <x v="3"/>
    <x v="3"/>
    <x v="0"/>
    <x v="15"/>
    <x v="21"/>
    <x v="57"/>
    <x v="1130"/>
    <x v="0"/>
    <x v="55"/>
    <x v="1"/>
  </r>
  <r>
    <x v="55"/>
    <x v="69"/>
    <x v="3"/>
    <x v="3"/>
    <x v="0"/>
    <x v="15"/>
    <x v="21"/>
    <x v="152"/>
    <x v="1131"/>
    <x v="0"/>
    <x v="55"/>
    <x v="1"/>
  </r>
  <r>
    <x v="55"/>
    <x v="27"/>
    <x v="3"/>
    <x v="3"/>
    <x v="0"/>
    <x v="15"/>
    <x v="21"/>
    <x v="43"/>
    <x v="1132"/>
    <x v="0"/>
    <x v="55"/>
    <x v="1"/>
  </r>
  <r>
    <x v="55"/>
    <x v="135"/>
    <x v="3"/>
    <x v="3"/>
    <x v="0"/>
    <x v="15"/>
    <x v="25"/>
    <x v="149"/>
    <x v="1133"/>
    <x v="0"/>
    <x v="55"/>
    <x v="1"/>
  </r>
  <r>
    <x v="55"/>
    <x v="140"/>
    <x v="4"/>
    <x v="4"/>
    <x v="0"/>
    <x v="15"/>
    <x v="25"/>
    <x v="117"/>
    <x v="1126"/>
    <x v="0"/>
    <x v="55"/>
    <x v="1"/>
  </r>
  <r>
    <x v="55"/>
    <x v="159"/>
    <x v="0"/>
    <x v="0"/>
    <x v="0"/>
    <x v="15"/>
    <x v="25"/>
    <x v="177"/>
    <x v="1126"/>
    <x v="0"/>
    <x v="55"/>
    <x v="1"/>
  </r>
  <r>
    <x v="55"/>
    <x v="116"/>
    <x v="0"/>
    <x v="0"/>
    <x v="0"/>
    <x v="15"/>
    <x v="21"/>
    <x v="64"/>
    <x v="1134"/>
    <x v="0"/>
    <x v="55"/>
    <x v="1"/>
  </r>
  <r>
    <x v="55"/>
    <x v="76"/>
    <x v="5"/>
    <x v="5"/>
    <x v="0"/>
    <x v="15"/>
    <x v="25"/>
    <x v="182"/>
    <x v="1126"/>
    <x v="0"/>
    <x v="55"/>
    <x v="1"/>
  </r>
  <r>
    <x v="55"/>
    <x v="115"/>
    <x v="5"/>
    <x v="5"/>
    <x v="0"/>
    <x v="15"/>
    <x v="26"/>
    <x v="213"/>
    <x v="1"/>
    <x v="289"/>
    <x v="55"/>
    <x v="1"/>
  </r>
  <r>
    <x v="55"/>
    <x v="13"/>
    <x v="5"/>
    <x v="5"/>
    <x v="0"/>
    <x v="15"/>
    <x v="25"/>
    <x v="120"/>
    <x v="1135"/>
    <x v="0"/>
    <x v="55"/>
    <x v="1"/>
  </r>
  <r>
    <x v="55"/>
    <x v="72"/>
    <x v="5"/>
    <x v="5"/>
    <x v="0"/>
    <x v="15"/>
    <x v="21"/>
    <x v="38"/>
    <x v="1136"/>
    <x v="0"/>
    <x v="55"/>
    <x v="1"/>
  </r>
  <r>
    <x v="55"/>
    <x v="40"/>
    <x v="1"/>
    <x v="1"/>
    <x v="0"/>
    <x v="15"/>
    <x v="25"/>
    <x v="125"/>
    <x v="925"/>
    <x v="0"/>
    <x v="55"/>
    <x v="1"/>
  </r>
  <r>
    <x v="55"/>
    <x v="1"/>
    <x v="1"/>
    <x v="1"/>
    <x v="0"/>
    <x v="15"/>
    <x v="1"/>
    <x v="1"/>
    <x v="1"/>
    <x v="290"/>
    <x v="55"/>
    <x v="1"/>
  </r>
  <r>
    <x v="55"/>
    <x v="77"/>
    <x v="5"/>
    <x v="5"/>
    <x v="0"/>
    <x v="27"/>
    <x v="25"/>
    <x v="156"/>
    <x v="1137"/>
    <x v="0"/>
    <x v="55"/>
    <x v="1"/>
  </r>
  <r>
    <x v="55"/>
    <x v="77"/>
    <x v="5"/>
    <x v="5"/>
    <x v="0"/>
    <x v="27"/>
    <x v="21"/>
    <x v="156"/>
    <x v="1138"/>
    <x v="0"/>
    <x v="55"/>
    <x v="1"/>
  </r>
  <r>
    <x v="55"/>
    <x v="40"/>
    <x v="1"/>
    <x v="1"/>
    <x v="0"/>
    <x v="27"/>
    <x v="21"/>
    <x v="125"/>
    <x v="798"/>
    <x v="0"/>
    <x v="55"/>
    <x v="1"/>
  </r>
  <r>
    <x v="55"/>
    <x v="1"/>
    <x v="1"/>
    <x v="1"/>
    <x v="0"/>
    <x v="27"/>
    <x v="1"/>
    <x v="1"/>
    <x v="1"/>
    <x v="291"/>
    <x v="55"/>
    <x v="1"/>
  </r>
  <r>
    <x v="55"/>
    <x v="24"/>
    <x v="2"/>
    <x v="2"/>
    <x v="0"/>
    <x v="28"/>
    <x v="21"/>
    <x v="202"/>
    <x v="1139"/>
    <x v="0"/>
    <x v="55"/>
    <x v="1"/>
  </r>
  <r>
    <x v="55"/>
    <x v="15"/>
    <x v="6"/>
    <x v="6"/>
    <x v="0"/>
    <x v="28"/>
    <x v="21"/>
    <x v="216"/>
    <x v="120"/>
    <x v="0"/>
    <x v="55"/>
    <x v="1"/>
  </r>
  <r>
    <x v="55"/>
    <x v="10"/>
    <x v="3"/>
    <x v="3"/>
    <x v="0"/>
    <x v="28"/>
    <x v="21"/>
    <x v="123"/>
    <x v="1140"/>
    <x v="0"/>
    <x v="55"/>
    <x v="1"/>
  </r>
  <r>
    <x v="55"/>
    <x v="44"/>
    <x v="3"/>
    <x v="3"/>
    <x v="0"/>
    <x v="28"/>
    <x v="21"/>
    <x v="191"/>
    <x v="240"/>
    <x v="0"/>
    <x v="55"/>
    <x v="1"/>
  </r>
  <r>
    <x v="55"/>
    <x v="51"/>
    <x v="4"/>
    <x v="4"/>
    <x v="0"/>
    <x v="28"/>
    <x v="21"/>
    <x v="34"/>
    <x v="1141"/>
    <x v="0"/>
    <x v="55"/>
    <x v="1"/>
  </r>
  <r>
    <x v="55"/>
    <x v="39"/>
    <x v="4"/>
    <x v="4"/>
    <x v="0"/>
    <x v="28"/>
    <x v="26"/>
    <x v="210"/>
    <x v="1142"/>
    <x v="0"/>
    <x v="55"/>
    <x v="1"/>
  </r>
  <r>
    <x v="55"/>
    <x v="90"/>
    <x v="0"/>
    <x v="0"/>
    <x v="0"/>
    <x v="28"/>
    <x v="21"/>
    <x v="79"/>
    <x v="1143"/>
    <x v="0"/>
    <x v="55"/>
    <x v="1"/>
  </r>
  <r>
    <x v="55"/>
    <x v="52"/>
    <x v="0"/>
    <x v="0"/>
    <x v="0"/>
    <x v="28"/>
    <x v="21"/>
    <x v="107"/>
    <x v="1144"/>
    <x v="0"/>
    <x v="55"/>
    <x v="1"/>
  </r>
  <r>
    <x v="55"/>
    <x v="121"/>
    <x v="0"/>
    <x v="0"/>
    <x v="0"/>
    <x v="28"/>
    <x v="21"/>
    <x v="80"/>
    <x v="240"/>
    <x v="0"/>
    <x v="55"/>
    <x v="1"/>
  </r>
  <r>
    <x v="55"/>
    <x v="45"/>
    <x v="0"/>
    <x v="0"/>
    <x v="0"/>
    <x v="28"/>
    <x v="21"/>
    <x v="180"/>
    <x v="1145"/>
    <x v="0"/>
    <x v="55"/>
    <x v="1"/>
  </r>
  <r>
    <x v="55"/>
    <x v="166"/>
    <x v="0"/>
    <x v="0"/>
    <x v="0"/>
    <x v="28"/>
    <x v="21"/>
    <x v="217"/>
    <x v="909"/>
    <x v="0"/>
    <x v="55"/>
    <x v="1"/>
  </r>
  <r>
    <x v="55"/>
    <x v="77"/>
    <x v="5"/>
    <x v="5"/>
    <x v="0"/>
    <x v="28"/>
    <x v="21"/>
    <x v="156"/>
    <x v="1146"/>
    <x v="0"/>
    <x v="55"/>
    <x v="1"/>
  </r>
  <r>
    <x v="55"/>
    <x v="101"/>
    <x v="1"/>
    <x v="1"/>
    <x v="0"/>
    <x v="28"/>
    <x v="26"/>
    <x v="207"/>
    <x v="1147"/>
    <x v="0"/>
    <x v="55"/>
    <x v="1"/>
  </r>
  <r>
    <x v="55"/>
    <x v="1"/>
    <x v="1"/>
    <x v="1"/>
    <x v="0"/>
    <x v="28"/>
    <x v="1"/>
    <x v="1"/>
    <x v="1"/>
    <x v="292"/>
    <x v="55"/>
    <x v="1"/>
  </r>
  <r>
    <x v="55"/>
    <x v="157"/>
    <x v="2"/>
    <x v="2"/>
    <x v="0"/>
    <x v="29"/>
    <x v="26"/>
    <x v="147"/>
    <x v="1148"/>
    <x v="0"/>
    <x v="55"/>
    <x v="1"/>
  </r>
  <r>
    <x v="55"/>
    <x v="112"/>
    <x v="2"/>
    <x v="2"/>
    <x v="0"/>
    <x v="29"/>
    <x v="21"/>
    <x v="209"/>
    <x v="1149"/>
    <x v="0"/>
    <x v="55"/>
    <x v="1"/>
  </r>
  <r>
    <x v="55"/>
    <x v="84"/>
    <x v="2"/>
    <x v="2"/>
    <x v="0"/>
    <x v="29"/>
    <x v="21"/>
    <x v="203"/>
    <x v="1119"/>
    <x v="0"/>
    <x v="55"/>
    <x v="1"/>
  </r>
  <r>
    <x v="55"/>
    <x v="110"/>
    <x v="2"/>
    <x v="2"/>
    <x v="0"/>
    <x v="29"/>
    <x v="21"/>
    <x v="171"/>
    <x v="1067"/>
    <x v="0"/>
    <x v="55"/>
    <x v="1"/>
  </r>
  <r>
    <x v="55"/>
    <x v="129"/>
    <x v="2"/>
    <x v="2"/>
    <x v="0"/>
    <x v="29"/>
    <x v="21"/>
    <x v="204"/>
    <x v="1150"/>
    <x v="0"/>
    <x v="55"/>
    <x v="1"/>
  </r>
  <r>
    <x v="55"/>
    <x v="146"/>
    <x v="6"/>
    <x v="6"/>
    <x v="0"/>
    <x v="29"/>
    <x v="21"/>
    <x v="172"/>
    <x v="1150"/>
    <x v="0"/>
    <x v="55"/>
    <x v="1"/>
  </r>
  <r>
    <x v="55"/>
    <x v="167"/>
    <x v="6"/>
    <x v="6"/>
    <x v="0"/>
    <x v="29"/>
    <x v="25"/>
    <x v="218"/>
    <x v="1151"/>
    <x v="0"/>
    <x v="55"/>
    <x v="1"/>
  </r>
  <r>
    <x v="55"/>
    <x v="36"/>
    <x v="6"/>
    <x v="6"/>
    <x v="0"/>
    <x v="29"/>
    <x v="21"/>
    <x v="94"/>
    <x v="1152"/>
    <x v="0"/>
    <x v="55"/>
    <x v="1"/>
  </r>
  <r>
    <x v="55"/>
    <x v="87"/>
    <x v="6"/>
    <x v="6"/>
    <x v="0"/>
    <x v="29"/>
    <x v="21"/>
    <x v="189"/>
    <x v="1153"/>
    <x v="0"/>
    <x v="55"/>
    <x v="1"/>
  </r>
  <r>
    <x v="55"/>
    <x v="71"/>
    <x v="6"/>
    <x v="6"/>
    <x v="0"/>
    <x v="29"/>
    <x v="21"/>
    <x v="37"/>
    <x v="1154"/>
    <x v="0"/>
    <x v="55"/>
    <x v="1"/>
  </r>
  <r>
    <x v="55"/>
    <x v="149"/>
    <x v="6"/>
    <x v="6"/>
    <x v="0"/>
    <x v="29"/>
    <x v="26"/>
    <x v="148"/>
    <x v="1155"/>
    <x v="0"/>
    <x v="55"/>
    <x v="1"/>
  </r>
  <r>
    <x v="55"/>
    <x v="164"/>
    <x v="6"/>
    <x v="6"/>
    <x v="0"/>
    <x v="29"/>
    <x v="21"/>
    <x v="200"/>
    <x v="1156"/>
    <x v="0"/>
    <x v="55"/>
    <x v="1"/>
  </r>
  <r>
    <x v="55"/>
    <x v="21"/>
    <x v="6"/>
    <x v="6"/>
    <x v="0"/>
    <x v="29"/>
    <x v="21"/>
    <x v="70"/>
    <x v="1157"/>
    <x v="0"/>
    <x v="55"/>
    <x v="1"/>
  </r>
  <r>
    <x v="55"/>
    <x v="26"/>
    <x v="3"/>
    <x v="3"/>
    <x v="0"/>
    <x v="29"/>
    <x v="21"/>
    <x v="115"/>
    <x v="816"/>
    <x v="0"/>
    <x v="55"/>
    <x v="1"/>
  </r>
  <r>
    <x v="55"/>
    <x v="60"/>
    <x v="3"/>
    <x v="3"/>
    <x v="0"/>
    <x v="29"/>
    <x v="21"/>
    <x v="57"/>
    <x v="1158"/>
    <x v="0"/>
    <x v="55"/>
    <x v="1"/>
  </r>
  <r>
    <x v="55"/>
    <x v="108"/>
    <x v="3"/>
    <x v="3"/>
    <x v="0"/>
    <x v="29"/>
    <x v="25"/>
    <x v="63"/>
    <x v="1159"/>
    <x v="0"/>
    <x v="55"/>
    <x v="1"/>
  </r>
  <r>
    <x v="55"/>
    <x v="27"/>
    <x v="3"/>
    <x v="3"/>
    <x v="0"/>
    <x v="29"/>
    <x v="21"/>
    <x v="43"/>
    <x v="1160"/>
    <x v="0"/>
    <x v="55"/>
    <x v="1"/>
  </r>
  <r>
    <x v="55"/>
    <x v="135"/>
    <x v="3"/>
    <x v="3"/>
    <x v="0"/>
    <x v="29"/>
    <x v="26"/>
    <x v="149"/>
    <x v="1161"/>
    <x v="0"/>
    <x v="55"/>
    <x v="1"/>
  </r>
  <r>
    <x v="55"/>
    <x v="18"/>
    <x v="3"/>
    <x v="3"/>
    <x v="0"/>
    <x v="29"/>
    <x v="21"/>
    <x v="219"/>
    <x v="1162"/>
    <x v="0"/>
    <x v="55"/>
    <x v="1"/>
  </r>
  <r>
    <x v="55"/>
    <x v="148"/>
    <x v="3"/>
    <x v="3"/>
    <x v="0"/>
    <x v="29"/>
    <x v="25"/>
    <x v="174"/>
    <x v="956"/>
    <x v="0"/>
    <x v="55"/>
    <x v="1"/>
  </r>
  <r>
    <x v="55"/>
    <x v="80"/>
    <x v="4"/>
    <x v="4"/>
    <x v="0"/>
    <x v="29"/>
    <x v="25"/>
    <x v="90"/>
    <x v="1163"/>
    <x v="0"/>
    <x v="55"/>
    <x v="1"/>
  </r>
  <r>
    <x v="55"/>
    <x v="154"/>
    <x v="4"/>
    <x v="4"/>
    <x v="0"/>
    <x v="29"/>
    <x v="26"/>
    <x v="143"/>
    <x v="1164"/>
    <x v="0"/>
    <x v="55"/>
    <x v="1"/>
  </r>
  <r>
    <x v="55"/>
    <x v="62"/>
    <x v="4"/>
    <x v="4"/>
    <x v="0"/>
    <x v="29"/>
    <x v="21"/>
    <x v="176"/>
    <x v="911"/>
    <x v="0"/>
    <x v="55"/>
    <x v="1"/>
  </r>
  <r>
    <x v="55"/>
    <x v="0"/>
    <x v="0"/>
    <x v="0"/>
    <x v="0"/>
    <x v="29"/>
    <x v="21"/>
    <x v="197"/>
    <x v="1165"/>
    <x v="0"/>
    <x v="55"/>
    <x v="1"/>
  </r>
  <r>
    <x v="55"/>
    <x v="53"/>
    <x v="0"/>
    <x v="0"/>
    <x v="0"/>
    <x v="29"/>
    <x v="26"/>
    <x v="144"/>
    <x v="1166"/>
    <x v="0"/>
    <x v="55"/>
    <x v="1"/>
  </r>
  <r>
    <x v="55"/>
    <x v="32"/>
    <x v="5"/>
    <x v="5"/>
    <x v="0"/>
    <x v="29"/>
    <x v="21"/>
    <x v="81"/>
    <x v="911"/>
    <x v="0"/>
    <x v="55"/>
    <x v="1"/>
  </r>
  <r>
    <x v="55"/>
    <x v="72"/>
    <x v="5"/>
    <x v="5"/>
    <x v="0"/>
    <x v="29"/>
    <x v="21"/>
    <x v="38"/>
    <x v="1167"/>
    <x v="0"/>
    <x v="55"/>
    <x v="1"/>
  </r>
  <r>
    <x v="55"/>
    <x v="63"/>
    <x v="5"/>
    <x v="5"/>
    <x v="0"/>
    <x v="29"/>
    <x v="26"/>
    <x v="111"/>
    <x v="1168"/>
    <x v="0"/>
    <x v="55"/>
    <x v="1"/>
  </r>
  <r>
    <x v="55"/>
    <x v="153"/>
    <x v="5"/>
    <x v="5"/>
    <x v="0"/>
    <x v="29"/>
    <x v="21"/>
    <x v="157"/>
    <x v="1169"/>
    <x v="0"/>
    <x v="55"/>
    <x v="1"/>
  </r>
  <r>
    <x v="55"/>
    <x v="20"/>
    <x v="5"/>
    <x v="5"/>
    <x v="0"/>
    <x v="29"/>
    <x v="21"/>
    <x v="45"/>
    <x v="1170"/>
    <x v="0"/>
    <x v="55"/>
    <x v="1"/>
  </r>
  <r>
    <x v="55"/>
    <x v="155"/>
    <x v="1"/>
    <x v="1"/>
    <x v="0"/>
    <x v="29"/>
    <x v="26"/>
    <x v="145"/>
    <x v="1171"/>
    <x v="0"/>
    <x v="55"/>
    <x v="1"/>
  </r>
  <r>
    <x v="55"/>
    <x v="101"/>
    <x v="1"/>
    <x v="1"/>
    <x v="0"/>
    <x v="29"/>
    <x v="21"/>
    <x v="207"/>
    <x v="1172"/>
    <x v="0"/>
    <x v="55"/>
    <x v="1"/>
  </r>
  <r>
    <x v="55"/>
    <x v="98"/>
    <x v="1"/>
    <x v="1"/>
    <x v="0"/>
    <x v="29"/>
    <x v="26"/>
    <x v="198"/>
    <x v="1"/>
    <x v="293"/>
    <x v="55"/>
    <x v="1"/>
  </r>
  <r>
    <x v="55"/>
    <x v="1"/>
    <x v="1"/>
    <x v="1"/>
    <x v="0"/>
    <x v="29"/>
    <x v="1"/>
    <x v="1"/>
    <x v="1"/>
    <x v="294"/>
    <x v="55"/>
    <x v="1"/>
  </r>
  <r>
    <x v="55"/>
    <x v="35"/>
    <x v="2"/>
    <x v="2"/>
    <x v="0"/>
    <x v="30"/>
    <x v="21"/>
    <x v="170"/>
    <x v="1173"/>
    <x v="0"/>
    <x v="55"/>
    <x v="1"/>
  </r>
  <r>
    <x v="55"/>
    <x v="110"/>
    <x v="2"/>
    <x v="2"/>
    <x v="0"/>
    <x v="30"/>
    <x v="25"/>
    <x v="171"/>
    <x v="1174"/>
    <x v="0"/>
    <x v="55"/>
    <x v="1"/>
  </r>
  <r>
    <x v="55"/>
    <x v="167"/>
    <x v="6"/>
    <x v="6"/>
    <x v="0"/>
    <x v="30"/>
    <x v="25"/>
    <x v="218"/>
    <x v="1175"/>
    <x v="0"/>
    <x v="55"/>
    <x v="1"/>
  </r>
  <r>
    <x v="55"/>
    <x v="87"/>
    <x v="6"/>
    <x v="6"/>
    <x v="0"/>
    <x v="30"/>
    <x v="21"/>
    <x v="189"/>
    <x v="1176"/>
    <x v="0"/>
    <x v="55"/>
    <x v="1"/>
  </r>
  <r>
    <x v="55"/>
    <x v="164"/>
    <x v="6"/>
    <x v="6"/>
    <x v="0"/>
    <x v="30"/>
    <x v="25"/>
    <x v="200"/>
    <x v="1177"/>
    <x v="0"/>
    <x v="55"/>
    <x v="1"/>
  </r>
  <r>
    <x v="55"/>
    <x v="164"/>
    <x v="6"/>
    <x v="6"/>
    <x v="0"/>
    <x v="30"/>
    <x v="21"/>
    <x v="200"/>
    <x v="1178"/>
    <x v="0"/>
    <x v="55"/>
    <x v="1"/>
  </r>
  <r>
    <x v="55"/>
    <x v="11"/>
    <x v="6"/>
    <x v="6"/>
    <x v="0"/>
    <x v="30"/>
    <x v="21"/>
    <x v="91"/>
    <x v="1179"/>
    <x v="0"/>
    <x v="55"/>
    <x v="1"/>
  </r>
  <r>
    <x v="55"/>
    <x v="96"/>
    <x v="6"/>
    <x v="6"/>
    <x v="0"/>
    <x v="30"/>
    <x v="21"/>
    <x v="165"/>
    <x v="1180"/>
    <x v="0"/>
    <x v="55"/>
    <x v="1"/>
  </r>
  <r>
    <x v="55"/>
    <x v="108"/>
    <x v="3"/>
    <x v="3"/>
    <x v="0"/>
    <x v="30"/>
    <x v="25"/>
    <x v="63"/>
    <x v="1181"/>
    <x v="0"/>
    <x v="55"/>
    <x v="1"/>
  </r>
  <r>
    <x v="55"/>
    <x v="75"/>
    <x v="3"/>
    <x v="3"/>
    <x v="0"/>
    <x v="30"/>
    <x v="21"/>
    <x v="220"/>
    <x v="1182"/>
    <x v="0"/>
    <x v="55"/>
    <x v="1"/>
  </r>
  <r>
    <x v="55"/>
    <x v="148"/>
    <x v="3"/>
    <x v="3"/>
    <x v="0"/>
    <x v="30"/>
    <x v="25"/>
    <x v="174"/>
    <x v="956"/>
    <x v="0"/>
    <x v="55"/>
    <x v="1"/>
  </r>
  <r>
    <x v="55"/>
    <x v="81"/>
    <x v="4"/>
    <x v="4"/>
    <x v="0"/>
    <x v="30"/>
    <x v="21"/>
    <x v="175"/>
    <x v="1183"/>
    <x v="0"/>
    <x v="55"/>
    <x v="1"/>
  </r>
  <r>
    <x v="55"/>
    <x v="132"/>
    <x v="4"/>
    <x v="4"/>
    <x v="0"/>
    <x v="30"/>
    <x v="25"/>
    <x v="95"/>
    <x v="956"/>
    <x v="0"/>
    <x v="55"/>
    <x v="1"/>
  </r>
  <r>
    <x v="55"/>
    <x v="50"/>
    <x v="4"/>
    <x v="4"/>
    <x v="0"/>
    <x v="30"/>
    <x v="25"/>
    <x v="77"/>
    <x v="1184"/>
    <x v="0"/>
    <x v="55"/>
    <x v="1"/>
  </r>
  <r>
    <x v="55"/>
    <x v="89"/>
    <x v="4"/>
    <x v="4"/>
    <x v="0"/>
    <x v="30"/>
    <x v="21"/>
    <x v="154"/>
    <x v="1185"/>
    <x v="0"/>
    <x v="55"/>
    <x v="1"/>
  </r>
  <r>
    <x v="55"/>
    <x v="30"/>
    <x v="4"/>
    <x v="4"/>
    <x v="0"/>
    <x v="30"/>
    <x v="21"/>
    <x v="159"/>
    <x v="1186"/>
    <x v="0"/>
    <x v="55"/>
    <x v="1"/>
  </r>
  <r>
    <x v="55"/>
    <x v="159"/>
    <x v="0"/>
    <x v="0"/>
    <x v="0"/>
    <x v="30"/>
    <x v="25"/>
    <x v="177"/>
    <x v="1187"/>
    <x v="0"/>
    <x v="55"/>
    <x v="1"/>
  </r>
  <r>
    <x v="55"/>
    <x v="57"/>
    <x v="0"/>
    <x v="0"/>
    <x v="0"/>
    <x v="30"/>
    <x v="25"/>
    <x v="44"/>
    <x v="1188"/>
    <x v="0"/>
    <x v="55"/>
    <x v="1"/>
  </r>
  <r>
    <x v="55"/>
    <x v="57"/>
    <x v="0"/>
    <x v="0"/>
    <x v="0"/>
    <x v="30"/>
    <x v="21"/>
    <x v="44"/>
    <x v="1182"/>
    <x v="0"/>
    <x v="55"/>
    <x v="1"/>
  </r>
  <r>
    <x v="55"/>
    <x v="100"/>
    <x v="0"/>
    <x v="0"/>
    <x v="0"/>
    <x v="30"/>
    <x v="21"/>
    <x v="73"/>
    <x v="1189"/>
    <x v="0"/>
    <x v="55"/>
    <x v="1"/>
  </r>
  <r>
    <x v="55"/>
    <x v="136"/>
    <x v="0"/>
    <x v="0"/>
    <x v="0"/>
    <x v="30"/>
    <x v="21"/>
    <x v="100"/>
    <x v="1190"/>
    <x v="0"/>
    <x v="55"/>
    <x v="1"/>
  </r>
  <r>
    <x v="55"/>
    <x v="32"/>
    <x v="5"/>
    <x v="5"/>
    <x v="0"/>
    <x v="30"/>
    <x v="21"/>
    <x v="81"/>
    <x v="1191"/>
    <x v="0"/>
    <x v="55"/>
    <x v="1"/>
  </r>
  <r>
    <x v="55"/>
    <x v="76"/>
    <x v="5"/>
    <x v="5"/>
    <x v="0"/>
    <x v="30"/>
    <x v="25"/>
    <x v="182"/>
    <x v="1192"/>
    <x v="0"/>
    <x v="55"/>
    <x v="1"/>
  </r>
  <r>
    <x v="55"/>
    <x v="72"/>
    <x v="5"/>
    <x v="5"/>
    <x v="0"/>
    <x v="30"/>
    <x v="21"/>
    <x v="38"/>
    <x v="1193"/>
    <x v="0"/>
    <x v="55"/>
    <x v="1"/>
  </r>
  <r>
    <x v="55"/>
    <x v="34"/>
    <x v="5"/>
    <x v="5"/>
    <x v="0"/>
    <x v="30"/>
    <x v="25"/>
    <x v="184"/>
    <x v="960"/>
    <x v="0"/>
    <x v="55"/>
    <x v="1"/>
  </r>
  <r>
    <x v="55"/>
    <x v="77"/>
    <x v="5"/>
    <x v="5"/>
    <x v="0"/>
    <x v="30"/>
    <x v="25"/>
    <x v="156"/>
    <x v="844"/>
    <x v="0"/>
    <x v="55"/>
    <x v="1"/>
  </r>
  <r>
    <x v="55"/>
    <x v="77"/>
    <x v="5"/>
    <x v="5"/>
    <x v="0"/>
    <x v="30"/>
    <x v="21"/>
    <x v="156"/>
    <x v="1194"/>
    <x v="0"/>
    <x v="55"/>
    <x v="1"/>
  </r>
  <r>
    <x v="55"/>
    <x v="40"/>
    <x v="1"/>
    <x v="1"/>
    <x v="0"/>
    <x v="30"/>
    <x v="21"/>
    <x v="125"/>
    <x v="907"/>
    <x v="0"/>
    <x v="55"/>
    <x v="1"/>
  </r>
  <r>
    <x v="55"/>
    <x v="155"/>
    <x v="1"/>
    <x v="1"/>
    <x v="0"/>
    <x v="30"/>
    <x v="21"/>
    <x v="145"/>
    <x v="1195"/>
    <x v="0"/>
    <x v="55"/>
    <x v="1"/>
  </r>
  <r>
    <x v="55"/>
    <x v="14"/>
    <x v="1"/>
    <x v="1"/>
    <x v="0"/>
    <x v="30"/>
    <x v="25"/>
    <x v="112"/>
    <x v="1196"/>
    <x v="0"/>
    <x v="55"/>
    <x v="1"/>
  </r>
  <r>
    <x v="55"/>
    <x v="41"/>
    <x v="1"/>
    <x v="1"/>
    <x v="0"/>
    <x v="30"/>
    <x v="21"/>
    <x v="113"/>
    <x v="1197"/>
    <x v="0"/>
    <x v="55"/>
    <x v="1"/>
  </r>
  <r>
    <x v="55"/>
    <x v="73"/>
    <x v="1"/>
    <x v="1"/>
    <x v="0"/>
    <x v="30"/>
    <x v="21"/>
    <x v="39"/>
    <x v="899"/>
    <x v="0"/>
    <x v="55"/>
    <x v="1"/>
  </r>
  <r>
    <x v="55"/>
    <x v="1"/>
    <x v="1"/>
    <x v="1"/>
    <x v="0"/>
    <x v="30"/>
    <x v="1"/>
    <x v="1"/>
    <x v="1"/>
    <x v="295"/>
    <x v="55"/>
    <x v="1"/>
  </r>
  <r>
    <x v="55"/>
    <x v="85"/>
    <x v="2"/>
    <x v="2"/>
    <x v="0"/>
    <x v="17"/>
    <x v="21"/>
    <x v="161"/>
    <x v="110"/>
    <x v="0"/>
    <x v="55"/>
    <x v="1"/>
  </r>
  <r>
    <x v="55"/>
    <x v="24"/>
    <x v="2"/>
    <x v="2"/>
    <x v="0"/>
    <x v="17"/>
    <x v="21"/>
    <x v="202"/>
    <x v="1198"/>
    <x v="0"/>
    <x v="55"/>
    <x v="1"/>
  </r>
  <r>
    <x v="55"/>
    <x v="144"/>
    <x v="2"/>
    <x v="2"/>
    <x v="0"/>
    <x v="17"/>
    <x v="26"/>
    <x v="162"/>
    <x v="1199"/>
    <x v="0"/>
    <x v="55"/>
    <x v="1"/>
  </r>
  <r>
    <x v="55"/>
    <x v="71"/>
    <x v="6"/>
    <x v="6"/>
    <x v="0"/>
    <x v="17"/>
    <x v="21"/>
    <x v="37"/>
    <x v="1200"/>
    <x v="0"/>
    <x v="55"/>
    <x v="1"/>
  </r>
  <r>
    <x v="55"/>
    <x v="71"/>
    <x v="6"/>
    <x v="6"/>
    <x v="0"/>
    <x v="17"/>
    <x v="26"/>
    <x v="37"/>
    <x v="1201"/>
    <x v="0"/>
    <x v="55"/>
    <x v="1"/>
  </r>
  <r>
    <x v="55"/>
    <x v="137"/>
    <x v="6"/>
    <x v="6"/>
    <x v="0"/>
    <x v="17"/>
    <x v="21"/>
    <x v="102"/>
    <x v="1202"/>
    <x v="0"/>
    <x v="55"/>
    <x v="1"/>
  </r>
  <r>
    <x v="55"/>
    <x v="23"/>
    <x v="3"/>
    <x v="3"/>
    <x v="0"/>
    <x v="17"/>
    <x v="26"/>
    <x v="221"/>
    <x v="911"/>
    <x v="0"/>
    <x v="55"/>
    <x v="1"/>
  </r>
  <r>
    <x v="55"/>
    <x v="60"/>
    <x v="3"/>
    <x v="3"/>
    <x v="0"/>
    <x v="17"/>
    <x v="21"/>
    <x v="57"/>
    <x v="1202"/>
    <x v="0"/>
    <x v="55"/>
    <x v="1"/>
  </r>
  <r>
    <x v="55"/>
    <x v="148"/>
    <x v="3"/>
    <x v="3"/>
    <x v="0"/>
    <x v="17"/>
    <x v="25"/>
    <x v="174"/>
    <x v="907"/>
    <x v="0"/>
    <x v="55"/>
    <x v="1"/>
  </r>
  <r>
    <x v="55"/>
    <x v="148"/>
    <x v="3"/>
    <x v="3"/>
    <x v="0"/>
    <x v="17"/>
    <x v="21"/>
    <x v="174"/>
    <x v="670"/>
    <x v="0"/>
    <x v="55"/>
    <x v="1"/>
  </r>
  <r>
    <x v="55"/>
    <x v="79"/>
    <x v="3"/>
    <x v="3"/>
    <x v="0"/>
    <x v="17"/>
    <x v="21"/>
    <x v="142"/>
    <x v="1203"/>
    <x v="0"/>
    <x v="55"/>
    <x v="1"/>
  </r>
  <r>
    <x v="55"/>
    <x v="68"/>
    <x v="4"/>
    <x v="4"/>
    <x v="0"/>
    <x v="17"/>
    <x v="26"/>
    <x v="222"/>
    <x v="1204"/>
    <x v="0"/>
    <x v="55"/>
    <x v="1"/>
  </r>
  <r>
    <x v="55"/>
    <x v="81"/>
    <x v="4"/>
    <x v="4"/>
    <x v="0"/>
    <x v="17"/>
    <x v="21"/>
    <x v="175"/>
    <x v="911"/>
    <x v="0"/>
    <x v="55"/>
    <x v="1"/>
  </r>
  <r>
    <x v="55"/>
    <x v="162"/>
    <x v="4"/>
    <x v="4"/>
    <x v="0"/>
    <x v="17"/>
    <x v="21"/>
    <x v="192"/>
    <x v="1205"/>
    <x v="0"/>
    <x v="55"/>
    <x v="1"/>
  </r>
  <r>
    <x v="55"/>
    <x v="50"/>
    <x v="4"/>
    <x v="4"/>
    <x v="0"/>
    <x v="17"/>
    <x v="26"/>
    <x v="77"/>
    <x v="1206"/>
    <x v="0"/>
    <x v="55"/>
    <x v="1"/>
  </r>
  <r>
    <x v="55"/>
    <x v="89"/>
    <x v="4"/>
    <x v="4"/>
    <x v="0"/>
    <x v="17"/>
    <x v="26"/>
    <x v="154"/>
    <x v="899"/>
    <x v="0"/>
    <x v="55"/>
    <x v="1"/>
  </r>
  <r>
    <x v="55"/>
    <x v="90"/>
    <x v="0"/>
    <x v="0"/>
    <x v="0"/>
    <x v="17"/>
    <x v="21"/>
    <x v="79"/>
    <x v="1207"/>
    <x v="0"/>
    <x v="55"/>
    <x v="1"/>
  </r>
  <r>
    <x v="55"/>
    <x v="159"/>
    <x v="0"/>
    <x v="0"/>
    <x v="0"/>
    <x v="17"/>
    <x v="21"/>
    <x v="177"/>
    <x v="881"/>
    <x v="0"/>
    <x v="55"/>
    <x v="1"/>
  </r>
  <r>
    <x v="55"/>
    <x v="159"/>
    <x v="0"/>
    <x v="0"/>
    <x v="0"/>
    <x v="17"/>
    <x v="26"/>
    <x v="177"/>
    <x v="1208"/>
    <x v="0"/>
    <x v="55"/>
    <x v="1"/>
  </r>
  <r>
    <x v="55"/>
    <x v="0"/>
    <x v="0"/>
    <x v="0"/>
    <x v="0"/>
    <x v="17"/>
    <x v="26"/>
    <x v="197"/>
    <x v="862"/>
    <x v="0"/>
    <x v="55"/>
    <x v="1"/>
  </r>
  <r>
    <x v="55"/>
    <x v="53"/>
    <x v="0"/>
    <x v="0"/>
    <x v="0"/>
    <x v="17"/>
    <x v="21"/>
    <x v="144"/>
    <x v="1209"/>
    <x v="0"/>
    <x v="55"/>
    <x v="1"/>
  </r>
  <r>
    <x v="55"/>
    <x v="46"/>
    <x v="0"/>
    <x v="0"/>
    <x v="0"/>
    <x v="17"/>
    <x v="26"/>
    <x v="155"/>
    <x v="1210"/>
    <x v="0"/>
    <x v="55"/>
    <x v="1"/>
  </r>
  <r>
    <x v="55"/>
    <x v="32"/>
    <x v="5"/>
    <x v="5"/>
    <x v="0"/>
    <x v="17"/>
    <x v="21"/>
    <x v="81"/>
    <x v="862"/>
    <x v="0"/>
    <x v="55"/>
    <x v="1"/>
  </r>
  <r>
    <x v="55"/>
    <x v="13"/>
    <x v="5"/>
    <x v="5"/>
    <x v="0"/>
    <x v="17"/>
    <x v="26"/>
    <x v="120"/>
    <x v="1211"/>
    <x v="0"/>
    <x v="55"/>
    <x v="1"/>
  </r>
  <r>
    <x v="55"/>
    <x v="72"/>
    <x v="5"/>
    <x v="5"/>
    <x v="0"/>
    <x v="17"/>
    <x v="21"/>
    <x v="38"/>
    <x v="53"/>
    <x v="0"/>
    <x v="55"/>
    <x v="1"/>
  </r>
  <r>
    <x v="55"/>
    <x v="141"/>
    <x v="5"/>
    <x v="5"/>
    <x v="0"/>
    <x v="17"/>
    <x v="21"/>
    <x v="185"/>
    <x v="797"/>
    <x v="0"/>
    <x v="55"/>
    <x v="1"/>
  </r>
  <r>
    <x v="55"/>
    <x v="141"/>
    <x v="5"/>
    <x v="5"/>
    <x v="0"/>
    <x v="17"/>
    <x v="26"/>
    <x v="185"/>
    <x v="1212"/>
    <x v="0"/>
    <x v="55"/>
    <x v="1"/>
  </r>
  <r>
    <x v="55"/>
    <x v="40"/>
    <x v="1"/>
    <x v="1"/>
    <x v="0"/>
    <x v="17"/>
    <x v="21"/>
    <x v="125"/>
    <x v="835"/>
    <x v="0"/>
    <x v="55"/>
    <x v="1"/>
  </r>
  <r>
    <x v="55"/>
    <x v="161"/>
    <x v="1"/>
    <x v="1"/>
    <x v="0"/>
    <x v="17"/>
    <x v="21"/>
    <x v="186"/>
    <x v="1213"/>
    <x v="0"/>
    <x v="55"/>
    <x v="1"/>
  </r>
  <r>
    <x v="55"/>
    <x v="95"/>
    <x v="1"/>
    <x v="1"/>
    <x v="0"/>
    <x v="17"/>
    <x v="25"/>
    <x v="97"/>
    <x v="1214"/>
    <x v="0"/>
    <x v="55"/>
    <x v="1"/>
  </r>
  <r>
    <x v="55"/>
    <x v="155"/>
    <x v="1"/>
    <x v="1"/>
    <x v="0"/>
    <x v="17"/>
    <x v="26"/>
    <x v="145"/>
    <x v="852"/>
    <x v="0"/>
    <x v="55"/>
    <x v="1"/>
  </r>
  <r>
    <x v="55"/>
    <x v="55"/>
    <x v="1"/>
    <x v="1"/>
    <x v="0"/>
    <x v="17"/>
    <x v="26"/>
    <x v="188"/>
    <x v="1212"/>
    <x v="0"/>
    <x v="55"/>
    <x v="1"/>
  </r>
  <r>
    <x v="55"/>
    <x v="1"/>
    <x v="1"/>
    <x v="1"/>
    <x v="0"/>
    <x v="17"/>
    <x v="1"/>
    <x v="1"/>
    <x v="1"/>
    <x v="296"/>
    <x v="55"/>
    <x v="1"/>
  </r>
  <r>
    <x v="55"/>
    <x v="158"/>
    <x v="2"/>
    <x v="2"/>
    <x v="0"/>
    <x v="31"/>
    <x v="21"/>
    <x v="168"/>
    <x v="1215"/>
    <x v="0"/>
    <x v="55"/>
    <x v="1"/>
  </r>
  <r>
    <x v="55"/>
    <x v="107"/>
    <x v="2"/>
    <x v="2"/>
    <x v="0"/>
    <x v="31"/>
    <x v="21"/>
    <x v="158"/>
    <x v="1216"/>
    <x v="0"/>
    <x v="55"/>
    <x v="1"/>
  </r>
  <r>
    <x v="55"/>
    <x v="84"/>
    <x v="2"/>
    <x v="2"/>
    <x v="0"/>
    <x v="31"/>
    <x v="21"/>
    <x v="203"/>
    <x v="1217"/>
    <x v="0"/>
    <x v="55"/>
    <x v="1"/>
  </r>
  <r>
    <x v="55"/>
    <x v="129"/>
    <x v="2"/>
    <x v="2"/>
    <x v="0"/>
    <x v="31"/>
    <x v="21"/>
    <x v="204"/>
    <x v="1218"/>
    <x v="0"/>
    <x v="55"/>
    <x v="1"/>
  </r>
  <r>
    <x v="55"/>
    <x v="111"/>
    <x v="2"/>
    <x v="2"/>
    <x v="0"/>
    <x v="31"/>
    <x v="21"/>
    <x v="75"/>
    <x v="1219"/>
    <x v="0"/>
    <x v="55"/>
    <x v="1"/>
  </r>
  <r>
    <x v="55"/>
    <x v="146"/>
    <x v="6"/>
    <x v="6"/>
    <x v="0"/>
    <x v="31"/>
    <x v="21"/>
    <x v="172"/>
    <x v="1220"/>
    <x v="0"/>
    <x v="55"/>
    <x v="1"/>
  </r>
  <r>
    <x v="55"/>
    <x v="87"/>
    <x v="6"/>
    <x v="6"/>
    <x v="0"/>
    <x v="31"/>
    <x v="21"/>
    <x v="189"/>
    <x v="1221"/>
    <x v="0"/>
    <x v="55"/>
    <x v="1"/>
  </r>
  <r>
    <x v="55"/>
    <x v="163"/>
    <x v="6"/>
    <x v="6"/>
    <x v="0"/>
    <x v="31"/>
    <x v="21"/>
    <x v="195"/>
    <x v="1222"/>
    <x v="0"/>
    <x v="55"/>
    <x v="1"/>
  </r>
  <r>
    <x v="55"/>
    <x v="15"/>
    <x v="6"/>
    <x v="6"/>
    <x v="0"/>
    <x v="31"/>
    <x v="21"/>
    <x v="216"/>
    <x v="1223"/>
    <x v="0"/>
    <x v="55"/>
    <x v="1"/>
  </r>
  <r>
    <x v="55"/>
    <x v="60"/>
    <x v="3"/>
    <x v="3"/>
    <x v="0"/>
    <x v="31"/>
    <x v="21"/>
    <x v="57"/>
    <x v="1224"/>
    <x v="0"/>
    <x v="55"/>
    <x v="1"/>
  </r>
  <r>
    <x v="55"/>
    <x v="10"/>
    <x v="3"/>
    <x v="3"/>
    <x v="0"/>
    <x v="31"/>
    <x v="21"/>
    <x v="123"/>
    <x v="1225"/>
    <x v="0"/>
    <x v="55"/>
    <x v="1"/>
  </r>
  <r>
    <x v="55"/>
    <x v="27"/>
    <x v="3"/>
    <x v="3"/>
    <x v="0"/>
    <x v="31"/>
    <x v="21"/>
    <x v="43"/>
    <x v="1226"/>
    <x v="0"/>
    <x v="55"/>
    <x v="1"/>
  </r>
  <r>
    <x v="55"/>
    <x v="43"/>
    <x v="3"/>
    <x v="3"/>
    <x v="0"/>
    <x v="31"/>
    <x v="21"/>
    <x v="71"/>
    <x v="1183"/>
    <x v="0"/>
    <x v="55"/>
    <x v="1"/>
  </r>
  <r>
    <x v="55"/>
    <x v="131"/>
    <x v="3"/>
    <x v="3"/>
    <x v="0"/>
    <x v="31"/>
    <x v="21"/>
    <x v="163"/>
    <x v="1227"/>
    <x v="0"/>
    <x v="55"/>
    <x v="1"/>
  </r>
  <r>
    <x v="55"/>
    <x v="68"/>
    <x v="4"/>
    <x v="4"/>
    <x v="0"/>
    <x v="31"/>
    <x v="21"/>
    <x v="222"/>
    <x v="1228"/>
    <x v="0"/>
    <x v="55"/>
    <x v="1"/>
  </r>
  <r>
    <x v="55"/>
    <x v="81"/>
    <x v="4"/>
    <x v="4"/>
    <x v="0"/>
    <x v="31"/>
    <x v="21"/>
    <x v="175"/>
    <x v="1229"/>
    <x v="0"/>
    <x v="55"/>
    <x v="1"/>
  </r>
  <r>
    <x v="55"/>
    <x v="30"/>
    <x v="4"/>
    <x v="4"/>
    <x v="0"/>
    <x v="31"/>
    <x v="21"/>
    <x v="159"/>
    <x v="1230"/>
    <x v="0"/>
    <x v="55"/>
    <x v="1"/>
  </r>
  <r>
    <x v="55"/>
    <x v="52"/>
    <x v="0"/>
    <x v="0"/>
    <x v="0"/>
    <x v="31"/>
    <x v="21"/>
    <x v="107"/>
    <x v="1231"/>
    <x v="0"/>
    <x v="55"/>
    <x v="1"/>
  </r>
  <r>
    <x v="55"/>
    <x v="119"/>
    <x v="0"/>
    <x v="0"/>
    <x v="0"/>
    <x v="31"/>
    <x v="21"/>
    <x v="96"/>
    <x v="1232"/>
    <x v="0"/>
    <x v="55"/>
    <x v="1"/>
  </r>
  <r>
    <x v="55"/>
    <x v="136"/>
    <x v="0"/>
    <x v="0"/>
    <x v="0"/>
    <x v="31"/>
    <x v="21"/>
    <x v="100"/>
    <x v="1194"/>
    <x v="0"/>
    <x v="55"/>
    <x v="1"/>
  </r>
  <r>
    <x v="55"/>
    <x v="166"/>
    <x v="0"/>
    <x v="0"/>
    <x v="0"/>
    <x v="31"/>
    <x v="21"/>
    <x v="217"/>
    <x v="951"/>
    <x v="0"/>
    <x v="55"/>
    <x v="1"/>
  </r>
  <r>
    <x v="55"/>
    <x v="72"/>
    <x v="5"/>
    <x v="5"/>
    <x v="0"/>
    <x v="31"/>
    <x v="21"/>
    <x v="38"/>
    <x v="1233"/>
    <x v="0"/>
    <x v="55"/>
    <x v="1"/>
  </r>
  <r>
    <x v="55"/>
    <x v="125"/>
    <x v="5"/>
    <x v="5"/>
    <x v="0"/>
    <x v="31"/>
    <x v="21"/>
    <x v="82"/>
    <x v="1234"/>
    <x v="0"/>
    <x v="55"/>
    <x v="1"/>
  </r>
  <r>
    <x v="55"/>
    <x v="77"/>
    <x v="5"/>
    <x v="5"/>
    <x v="0"/>
    <x v="31"/>
    <x v="21"/>
    <x v="156"/>
    <x v="1235"/>
    <x v="0"/>
    <x v="55"/>
    <x v="1"/>
  </r>
  <r>
    <x v="55"/>
    <x v="139"/>
    <x v="5"/>
    <x v="5"/>
    <x v="0"/>
    <x v="31"/>
    <x v="21"/>
    <x v="110"/>
    <x v="835"/>
    <x v="0"/>
    <x v="55"/>
    <x v="1"/>
  </r>
  <r>
    <x v="55"/>
    <x v="151"/>
    <x v="1"/>
    <x v="1"/>
    <x v="0"/>
    <x v="31"/>
    <x v="21"/>
    <x v="166"/>
    <x v="896"/>
    <x v="0"/>
    <x v="55"/>
    <x v="1"/>
  </r>
  <r>
    <x v="55"/>
    <x v="42"/>
    <x v="1"/>
    <x v="1"/>
    <x v="0"/>
    <x v="31"/>
    <x v="21"/>
    <x v="167"/>
    <x v="905"/>
    <x v="0"/>
    <x v="55"/>
    <x v="1"/>
  </r>
  <r>
    <x v="55"/>
    <x v="152"/>
    <x v="1"/>
    <x v="1"/>
    <x v="0"/>
    <x v="31"/>
    <x v="21"/>
    <x v="194"/>
    <x v="1236"/>
    <x v="0"/>
    <x v="55"/>
    <x v="1"/>
  </r>
  <r>
    <x v="55"/>
    <x v="98"/>
    <x v="1"/>
    <x v="1"/>
    <x v="0"/>
    <x v="31"/>
    <x v="21"/>
    <x v="198"/>
    <x v="1237"/>
    <x v="0"/>
    <x v="55"/>
    <x v="1"/>
  </r>
  <r>
    <x v="55"/>
    <x v="128"/>
    <x v="1"/>
    <x v="1"/>
    <x v="0"/>
    <x v="31"/>
    <x v="21"/>
    <x v="164"/>
    <x v="1238"/>
    <x v="0"/>
    <x v="55"/>
    <x v="1"/>
  </r>
  <r>
    <x v="55"/>
    <x v="1"/>
    <x v="1"/>
    <x v="1"/>
    <x v="0"/>
    <x v="31"/>
    <x v="1"/>
    <x v="1"/>
    <x v="1"/>
    <x v="297"/>
    <x v="55"/>
    <x v="1"/>
  </r>
  <r>
    <x v="55"/>
    <x v="70"/>
    <x v="2"/>
    <x v="2"/>
    <x v="0"/>
    <x v="32"/>
    <x v="21"/>
    <x v="36"/>
    <x v="1239"/>
    <x v="0"/>
    <x v="55"/>
    <x v="1"/>
  </r>
  <r>
    <x v="55"/>
    <x v="16"/>
    <x v="2"/>
    <x v="2"/>
    <x v="0"/>
    <x v="32"/>
    <x v="21"/>
    <x v="93"/>
    <x v="1240"/>
    <x v="0"/>
    <x v="55"/>
    <x v="1"/>
  </r>
  <r>
    <x v="55"/>
    <x v="106"/>
    <x v="2"/>
    <x v="2"/>
    <x v="0"/>
    <x v="32"/>
    <x v="21"/>
    <x v="223"/>
    <x v="1241"/>
    <x v="0"/>
    <x v="55"/>
    <x v="1"/>
  </r>
  <r>
    <x v="55"/>
    <x v="47"/>
    <x v="2"/>
    <x v="2"/>
    <x v="0"/>
    <x v="32"/>
    <x v="21"/>
    <x v="68"/>
    <x v="1242"/>
    <x v="0"/>
    <x v="55"/>
    <x v="1"/>
  </r>
  <r>
    <x v="55"/>
    <x v="85"/>
    <x v="2"/>
    <x v="2"/>
    <x v="0"/>
    <x v="32"/>
    <x v="21"/>
    <x v="161"/>
    <x v="1243"/>
    <x v="0"/>
    <x v="55"/>
    <x v="1"/>
  </r>
  <r>
    <x v="55"/>
    <x v="84"/>
    <x v="2"/>
    <x v="2"/>
    <x v="0"/>
    <x v="32"/>
    <x v="21"/>
    <x v="203"/>
    <x v="1244"/>
    <x v="0"/>
    <x v="55"/>
    <x v="1"/>
  </r>
  <r>
    <x v="55"/>
    <x v="35"/>
    <x v="2"/>
    <x v="2"/>
    <x v="0"/>
    <x v="32"/>
    <x v="21"/>
    <x v="170"/>
    <x v="1245"/>
    <x v="0"/>
    <x v="55"/>
    <x v="1"/>
  </r>
  <r>
    <x v="55"/>
    <x v="110"/>
    <x v="2"/>
    <x v="2"/>
    <x v="0"/>
    <x v="32"/>
    <x v="21"/>
    <x v="171"/>
    <x v="1246"/>
    <x v="0"/>
    <x v="55"/>
    <x v="1"/>
  </r>
  <r>
    <x v="55"/>
    <x v="111"/>
    <x v="2"/>
    <x v="2"/>
    <x v="0"/>
    <x v="32"/>
    <x v="21"/>
    <x v="75"/>
    <x v="1247"/>
    <x v="0"/>
    <x v="55"/>
    <x v="1"/>
  </r>
  <r>
    <x v="55"/>
    <x v="86"/>
    <x v="6"/>
    <x v="6"/>
    <x v="0"/>
    <x v="32"/>
    <x v="21"/>
    <x v="224"/>
    <x v="1248"/>
    <x v="0"/>
    <x v="55"/>
    <x v="1"/>
  </r>
  <r>
    <x v="55"/>
    <x v="36"/>
    <x v="6"/>
    <x v="6"/>
    <x v="0"/>
    <x v="32"/>
    <x v="21"/>
    <x v="94"/>
    <x v="1249"/>
    <x v="0"/>
    <x v="55"/>
    <x v="1"/>
  </r>
  <r>
    <x v="55"/>
    <x v="147"/>
    <x v="6"/>
    <x v="6"/>
    <x v="0"/>
    <x v="32"/>
    <x v="21"/>
    <x v="132"/>
    <x v="1250"/>
    <x v="0"/>
    <x v="55"/>
    <x v="1"/>
  </r>
  <r>
    <x v="55"/>
    <x v="137"/>
    <x v="6"/>
    <x v="6"/>
    <x v="0"/>
    <x v="32"/>
    <x v="21"/>
    <x v="102"/>
    <x v="1220"/>
    <x v="0"/>
    <x v="55"/>
    <x v="1"/>
  </r>
  <r>
    <x v="55"/>
    <x v="74"/>
    <x v="3"/>
    <x v="3"/>
    <x v="0"/>
    <x v="32"/>
    <x v="21"/>
    <x v="151"/>
    <x v="1251"/>
    <x v="0"/>
    <x v="55"/>
    <x v="1"/>
  </r>
  <r>
    <x v="55"/>
    <x v="26"/>
    <x v="3"/>
    <x v="3"/>
    <x v="0"/>
    <x v="32"/>
    <x v="21"/>
    <x v="115"/>
    <x v="1252"/>
    <x v="0"/>
    <x v="55"/>
    <x v="1"/>
  </r>
  <r>
    <x v="55"/>
    <x v="60"/>
    <x v="3"/>
    <x v="3"/>
    <x v="0"/>
    <x v="32"/>
    <x v="21"/>
    <x v="57"/>
    <x v="456"/>
    <x v="0"/>
    <x v="55"/>
    <x v="1"/>
  </r>
  <r>
    <x v="55"/>
    <x v="108"/>
    <x v="3"/>
    <x v="3"/>
    <x v="0"/>
    <x v="32"/>
    <x v="25"/>
    <x v="63"/>
    <x v="1253"/>
    <x v="0"/>
    <x v="55"/>
    <x v="1"/>
  </r>
  <r>
    <x v="55"/>
    <x v="108"/>
    <x v="3"/>
    <x v="3"/>
    <x v="0"/>
    <x v="32"/>
    <x v="21"/>
    <x v="63"/>
    <x v="1254"/>
    <x v="0"/>
    <x v="55"/>
    <x v="1"/>
  </r>
  <r>
    <x v="55"/>
    <x v="135"/>
    <x v="3"/>
    <x v="3"/>
    <x v="0"/>
    <x v="32"/>
    <x v="21"/>
    <x v="149"/>
    <x v="882"/>
    <x v="0"/>
    <x v="55"/>
    <x v="1"/>
  </r>
  <r>
    <x v="55"/>
    <x v="114"/>
    <x v="3"/>
    <x v="3"/>
    <x v="0"/>
    <x v="32"/>
    <x v="21"/>
    <x v="76"/>
    <x v="1255"/>
    <x v="0"/>
    <x v="55"/>
    <x v="1"/>
  </r>
  <r>
    <x v="55"/>
    <x v="56"/>
    <x v="3"/>
    <x v="3"/>
    <x v="0"/>
    <x v="32"/>
    <x v="21"/>
    <x v="153"/>
    <x v="1256"/>
    <x v="0"/>
    <x v="55"/>
    <x v="1"/>
  </r>
  <r>
    <x v="55"/>
    <x v="99"/>
    <x v="3"/>
    <x v="3"/>
    <x v="0"/>
    <x v="32"/>
    <x v="21"/>
    <x v="116"/>
    <x v="1257"/>
    <x v="0"/>
    <x v="55"/>
    <x v="1"/>
  </r>
  <r>
    <x v="55"/>
    <x v="68"/>
    <x v="4"/>
    <x v="4"/>
    <x v="0"/>
    <x v="32"/>
    <x v="21"/>
    <x v="222"/>
    <x v="1258"/>
    <x v="0"/>
    <x v="55"/>
    <x v="1"/>
  </r>
  <r>
    <x v="55"/>
    <x v="68"/>
    <x v="4"/>
    <x v="4"/>
    <x v="0"/>
    <x v="32"/>
    <x v="26"/>
    <x v="222"/>
    <x v="1259"/>
    <x v="0"/>
    <x v="55"/>
    <x v="1"/>
  </r>
  <r>
    <x v="55"/>
    <x v="81"/>
    <x v="4"/>
    <x v="4"/>
    <x v="0"/>
    <x v="32"/>
    <x v="21"/>
    <x v="175"/>
    <x v="896"/>
    <x v="0"/>
    <x v="55"/>
    <x v="1"/>
  </r>
  <r>
    <x v="55"/>
    <x v="126"/>
    <x v="4"/>
    <x v="4"/>
    <x v="0"/>
    <x v="32"/>
    <x v="21"/>
    <x v="83"/>
    <x v="1260"/>
    <x v="0"/>
    <x v="55"/>
    <x v="1"/>
  </r>
  <r>
    <x v="55"/>
    <x v="78"/>
    <x v="4"/>
    <x v="4"/>
    <x v="0"/>
    <x v="32"/>
    <x v="21"/>
    <x v="160"/>
    <x v="1261"/>
    <x v="0"/>
    <x v="55"/>
    <x v="1"/>
  </r>
  <r>
    <x v="55"/>
    <x v="90"/>
    <x v="0"/>
    <x v="0"/>
    <x v="0"/>
    <x v="32"/>
    <x v="21"/>
    <x v="79"/>
    <x v="1262"/>
    <x v="0"/>
    <x v="55"/>
    <x v="1"/>
  </r>
  <r>
    <x v="55"/>
    <x v="159"/>
    <x v="0"/>
    <x v="0"/>
    <x v="0"/>
    <x v="32"/>
    <x v="21"/>
    <x v="177"/>
    <x v="1263"/>
    <x v="0"/>
    <x v="55"/>
    <x v="1"/>
  </r>
  <r>
    <x v="55"/>
    <x v="120"/>
    <x v="0"/>
    <x v="0"/>
    <x v="0"/>
    <x v="32"/>
    <x v="21"/>
    <x v="212"/>
    <x v="1264"/>
    <x v="0"/>
    <x v="55"/>
    <x v="1"/>
  </r>
  <r>
    <x v="55"/>
    <x v="100"/>
    <x v="0"/>
    <x v="0"/>
    <x v="0"/>
    <x v="32"/>
    <x v="21"/>
    <x v="73"/>
    <x v="1265"/>
    <x v="0"/>
    <x v="55"/>
    <x v="1"/>
  </r>
  <r>
    <x v="55"/>
    <x v="92"/>
    <x v="0"/>
    <x v="0"/>
    <x v="0"/>
    <x v="32"/>
    <x v="21"/>
    <x v="109"/>
    <x v="1266"/>
    <x v="0"/>
    <x v="55"/>
    <x v="1"/>
  </r>
  <r>
    <x v="55"/>
    <x v="136"/>
    <x v="0"/>
    <x v="0"/>
    <x v="0"/>
    <x v="32"/>
    <x v="21"/>
    <x v="100"/>
    <x v="1267"/>
    <x v="0"/>
    <x v="55"/>
    <x v="1"/>
  </r>
  <r>
    <x v="55"/>
    <x v="32"/>
    <x v="5"/>
    <x v="5"/>
    <x v="0"/>
    <x v="32"/>
    <x v="21"/>
    <x v="81"/>
    <x v="1268"/>
    <x v="0"/>
    <x v="55"/>
    <x v="1"/>
  </r>
  <r>
    <x v="55"/>
    <x v="76"/>
    <x v="5"/>
    <x v="5"/>
    <x v="0"/>
    <x v="32"/>
    <x v="21"/>
    <x v="182"/>
    <x v="1269"/>
    <x v="0"/>
    <x v="55"/>
    <x v="1"/>
  </r>
  <r>
    <x v="55"/>
    <x v="72"/>
    <x v="5"/>
    <x v="5"/>
    <x v="0"/>
    <x v="32"/>
    <x v="21"/>
    <x v="38"/>
    <x v="758"/>
    <x v="0"/>
    <x v="55"/>
    <x v="1"/>
  </r>
  <r>
    <x v="55"/>
    <x v="168"/>
    <x v="5"/>
    <x v="5"/>
    <x v="0"/>
    <x v="32"/>
    <x v="21"/>
    <x v="225"/>
    <x v="1157"/>
    <x v="0"/>
    <x v="55"/>
    <x v="1"/>
  </r>
  <r>
    <x v="55"/>
    <x v="153"/>
    <x v="5"/>
    <x v="5"/>
    <x v="0"/>
    <x v="32"/>
    <x v="21"/>
    <x v="157"/>
    <x v="1270"/>
    <x v="0"/>
    <x v="55"/>
    <x v="1"/>
  </r>
  <r>
    <x v="55"/>
    <x v="124"/>
    <x v="5"/>
    <x v="5"/>
    <x v="0"/>
    <x v="32"/>
    <x v="21"/>
    <x v="206"/>
    <x v="1271"/>
    <x v="0"/>
    <x v="55"/>
    <x v="1"/>
  </r>
  <r>
    <x v="55"/>
    <x v="95"/>
    <x v="1"/>
    <x v="1"/>
    <x v="0"/>
    <x v="32"/>
    <x v="21"/>
    <x v="97"/>
    <x v="1272"/>
    <x v="0"/>
    <x v="55"/>
    <x v="1"/>
  </r>
  <r>
    <x v="55"/>
    <x v="42"/>
    <x v="1"/>
    <x v="1"/>
    <x v="0"/>
    <x v="32"/>
    <x v="21"/>
    <x v="167"/>
    <x v="865"/>
    <x v="0"/>
    <x v="55"/>
    <x v="1"/>
  </r>
  <r>
    <x v="55"/>
    <x v="73"/>
    <x v="1"/>
    <x v="1"/>
    <x v="0"/>
    <x v="32"/>
    <x v="21"/>
    <x v="39"/>
    <x v="1273"/>
    <x v="0"/>
    <x v="55"/>
    <x v="1"/>
  </r>
  <r>
    <x v="55"/>
    <x v="128"/>
    <x v="1"/>
    <x v="1"/>
    <x v="0"/>
    <x v="32"/>
    <x v="21"/>
    <x v="164"/>
    <x v="765"/>
    <x v="0"/>
    <x v="55"/>
    <x v="1"/>
  </r>
  <r>
    <x v="55"/>
    <x v="1"/>
    <x v="1"/>
    <x v="1"/>
    <x v="0"/>
    <x v="32"/>
    <x v="1"/>
    <x v="1"/>
    <x v="1"/>
    <x v="298"/>
    <x v="55"/>
    <x v="1"/>
  </r>
  <r>
    <x v="55"/>
    <x v="62"/>
    <x v="4"/>
    <x v="4"/>
    <x v="0"/>
    <x v="33"/>
    <x v="21"/>
    <x v="176"/>
    <x v="1274"/>
    <x v="0"/>
    <x v="55"/>
    <x v="1"/>
  </r>
  <r>
    <x v="55"/>
    <x v="14"/>
    <x v="1"/>
    <x v="1"/>
    <x v="0"/>
    <x v="33"/>
    <x v="25"/>
    <x v="112"/>
    <x v="1275"/>
    <x v="0"/>
    <x v="55"/>
    <x v="1"/>
  </r>
  <r>
    <x v="55"/>
    <x v="1"/>
    <x v="1"/>
    <x v="1"/>
    <x v="0"/>
    <x v="33"/>
    <x v="1"/>
    <x v="1"/>
    <x v="1"/>
    <x v="299"/>
    <x v="55"/>
    <x v="1"/>
  </r>
  <r>
    <x v="55"/>
    <x v="134"/>
    <x v="6"/>
    <x v="6"/>
    <x v="0"/>
    <x v="34"/>
    <x v="21"/>
    <x v="226"/>
    <x v="1276"/>
    <x v="0"/>
    <x v="55"/>
    <x v="1"/>
  </r>
  <r>
    <x v="55"/>
    <x v="147"/>
    <x v="6"/>
    <x v="6"/>
    <x v="0"/>
    <x v="34"/>
    <x v="21"/>
    <x v="132"/>
    <x v="1277"/>
    <x v="0"/>
    <x v="55"/>
    <x v="1"/>
  </r>
  <r>
    <x v="55"/>
    <x v="104"/>
    <x v="3"/>
    <x v="3"/>
    <x v="0"/>
    <x v="34"/>
    <x v="21"/>
    <x v="196"/>
    <x v="1278"/>
    <x v="0"/>
    <x v="55"/>
    <x v="1"/>
  </r>
  <r>
    <x v="55"/>
    <x v="81"/>
    <x v="4"/>
    <x v="4"/>
    <x v="0"/>
    <x v="34"/>
    <x v="21"/>
    <x v="175"/>
    <x v="1279"/>
    <x v="0"/>
    <x v="55"/>
    <x v="1"/>
  </r>
  <r>
    <x v="55"/>
    <x v="159"/>
    <x v="0"/>
    <x v="0"/>
    <x v="0"/>
    <x v="34"/>
    <x v="21"/>
    <x v="177"/>
    <x v="1280"/>
    <x v="0"/>
    <x v="55"/>
    <x v="1"/>
  </r>
  <r>
    <x v="55"/>
    <x v="72"/>
    <x v="5"/>
    <x v="5"/>
    <x v="0"/>
    <x v="34"/>
    <x v="21"/>
    <x v="38"/>
    <x v="1281"/>
    <x v="0"/>
    <x v="55"/>
    <x v="1"/>
  </r>
  <r>
    <x v="55"/>
    <x v="42"/>
    <x v="1"/>
    <x v="1"/>
    <x v="0"/>
    <x v="34"/>
    <x v="21"/>
    <x v="167"/>
    <x v="1282"/>
    <x v="0"/>
    <x v="55"/>
    <x v="1"/>
  </r>
  <r>
    <x v="55"/>
    <x v="1"/>
    <x v="1"/>
    <x v="1"/>
    <x v="0"/>
    <x v="34"/>
    <x v="1"/>
    <x v="1"/>
    <x v="1"/>
    <x v="300"/>
    <x v="55"/>
    <x v="1"/>
  </r>
  <r>
    <x v="55"/>
    <x v="70"/>
    <x v="2"/>
    <x v="2"/>
    <x v="0"/>
    <x v="18"/>
    <x v="21"/>
    <x v="36"/>
    <x v="1283"/>
    <x v="0"/>
    <x v="55"/>
    <x v="1"/>
  </r>
  <r>
    <x v="55"/>
    <x v="64"/>
    <x v="2"/>
    <x v="2"/>
    <x v="0"/>
    <x v="18"/>
    <x v="25"/>
    <x v="139"/>
    <x v="1284"/>
    <x v="0"/>
    <x v="55"/>
    <x v="1"/>
  </r>
  <r>
    <x v="55"/>
    <x v="25"/>
    <x v="2"/>
    <x v="2"/>
    <x v="0"/>
    <x v="18"/>
    <x v="21"/>
    <x v="169"/>
    <x v="899"/>
    <x v="0"/>
    <x v="55"/>
    <x v="1"/>
  </r>
  <r>
    <x v="55"/>
    <x v="35"/>
    <x v="2"/>
    <x v="2"/>
    <x v="0"/>
    <x v="18"/>
    <x v="21"/>
    <x v="170"/>
    <x v="1285"/>
    <x v="0"/>
    <x v="55"/>
    <x v="1"/>
  </r>
  <r>
    <x v="55"/>
    <x v="110"/>
    <x v="2"/>
    <x v="2"/>
    <x v="0"/>
    <x v="18"/>
    <x v="25"/>
    <x v="171"/>
    <x v="907"/>
    <x v="0"/>
    <x v="55"/>
    <x v="1"/>
  </r>
  <r>
    <x v="55"/>
    <x v="110"/>
    <x v="2"/>
    <x v="2"/>
    <x v="0"/>
    <x v="18"/>
    <x v="21"/>
    <x v="171"/>
    <x v="1286"/>
    <x v="0"/>
    <x v="55"/>
    <x v="1"/>
  </r>
  <r>
    <x v="55"/>
    <x v="111"/>
    <x v="2"/>
    <x v="2"/>
    <x v="0"/>
    <x v="18"/>
    <x v="21"/>
    <x v="75"/>
    <x v="736"/>
    <x v="0"/>
    <x v="55"/>
    <x v="1"/>
  </r>
  <r>
    <x v="55"/>
    <x v="36"/>
    <x v="6"/>
    <x v="6"/>
    <x v="0"/>
    <x v="18"/>
    <x v="25"/>
    <x v="94"/>
    <x v="1287"/>
    <x v="0"/>
    <x v="55"/>
    <x v="1"/>
  </r>
  <r>
    <x v="55"/>
    <x v="164"/>
    <x v="6"/>
    <x v="6"/>
    <x v="0"/>
    <x v="18"/>
    <x v="25"/>
    <x v="200"/>
    <x v="1288"/>
    <x v="0"/>
    <x v="55"/>
    <x v="1"/>
  </r>
  <r>
    <x v="55"/>
    <x v="137"/>
    <x v="6"/>
    <x v="6"/>
    <x v="0"/>
    <x v="18"/>
    <x v="21"/>
    <x v="102"/>
    <x v="736"/>
    <x v="0"/>
    <x v="55"/>
    <x v="1"/>
  </r>
  <r>
    <x v="55"/>
    <x v="60"/>
    <x v="3"/>
    <x v="3"/>
    <x v="0"/>
    <x v="18"/>
    <x v="21"/>
    <x v="57"/>
    <x v="782"/>
    <x v="0"/>
    <x v="55"/>
    <x v="1"/>
  </r>
  <r>
    <x v="55"/>
    <x v="79"/>
    <x v="3"/>
    <x v="3"/>
    <x v="0"/>
    <x v="18"/>
    <x v="21"/>
    <x v="142"/>
    <x v="1289"/>
    <x v="0"/>
    <x v="55"/>
    <x v="1"/>
  </r>
  <r>
    <x v="55"/>
    <x v="89"/>
    <x v="4"/>
    <x v="4"/>
    <x v="0"/>
    <x v="18"/>
    <x v="21"/>
    <x v="154"/>
    <x v="736"/>
    <x v="0"/>
    <x v="55"/>
    <x v="1"/>
  </r>
  <r>
    <x v="55"/>
    <x v="51"/>
    <x v="4"/>
    <x v="4"/>
    <x v="0"/>
    <x v="18"/>
    <x v="21"/>
    <x v="34"/>
    <x v="815"/>
    <x v="0"/>
    <x v="55"/>
    <x v="1"/>
  </r>
  <r>
    <x v="55"/>
    <x v="90"/>
    <x v="0"/>
    <x v="0"/>
    <x v="0"/>
    <x v="18"/>
    <x v="21"/>
    <x v="79"/>
    <x v="1290"/>
    <x v="0"/>
    <x v="55"/>
    <x v="1"/>
  </r>
  <r>
    <x v="55"/>
    <x v="168"/>
    <x v="5"/>
    <x v="5"/>
    <x v="0"/>
    <x v="18"/>
    <x v="21"/>
    <x v="225"/>
    <x v="736"/>
    <x v="0"/>
    <x v="55"/>
    <x v="1"/>
  </r>
  <r>
    <x v="55"/>
    <x v="139"/>
    <x v="5"/>
    <x v="5"/>
    <x v="0"/>
    <x v="18"/>
    <x v="21"/>
    <x v="110"/>
    <x v="735"/>
    <x v="0"/>
    <x v="55"/>
    <x v="1"/>
  </r>
  <r>
    <x v="55"/>
    <x v="161"/>
    <x v="1"/>
    <x v="1"/>
    <x v="0"/>
    <x v="18"/>
    <x v="21"/>
    <x v="186"/>
    <x v="736"/>
    <x v="0"/>
    <x v="55"/>
    <x v="1"/>
  </r>
  <r>
    <x v="55"/>
    <x v="95"/>
    <x v="1"/>
    <x v="1"/>
    <x v="0"/>
    <x v="18"/>
    <x v="21"/>
    <x v="97"/>
    <x v="736"/>
    <x v="0"/>
    <x v="55"/>
    <x v="1"/>
  </r>
  <r>
    <x v="55"/>
    <x v="155"/>
    <x v="1"/>
    <x v="1"/>
    <x v="0"/>
    <x v="18"/>
    <x v="21"/>
    <x v="145"/>
    <x v="1291"/>
    <x v="0"/>
    <x v="55"/>
    <x v="1"/>
  </r>
  <r>
    <x v="55"/>
    <x v="1"/>
    <x v="1"/>
    <x v="1"/>
    <x v="0"/>
    <x v="18"/>
    <x v="1"/>
    <x v="1"/>
    <x v="1"/>
    <x v="301"/>
    <x v="55"/>
    <x v="1"/>
  </r>
  <r>
    <x v="56"/>
    <x v="117"/>
    <x v="0"/>
    <x v="0"/>
    <x v="0"/>
    <x v="2"/>
    <x v="20"/>
    <x v="227"/>
    <x v="750"/>
    <x v="0"/>
    <x v="56"/>
    <x v="1"/>
  </r>
  <r>
    <x v="56"/>
    <x v="42"/>
    <x v="1"/>
    <x v="1"/>
    <x v="0"/>
    <x v="2"/>
    <x v="20"/>
    <x v="227"/>
    <x v="747"/>
    <x v="0"/>
    <x v="56"/>
    <x v="1"/>
  </r>
  <r>
    <x v="56"/>
    <x v="1"/>
    <x v="1"/>
    <x v="1"/>
    <x v="0"/>
    <x v="2"/>
    <x v="1"/>
    <x v="1"/>
    <x v="1"/>
    <x v="302"/>
    <x v="56"/>
    <x v="1"/>
  </r>
  <r>
    <x v="56"/>
    <x v="1"/>
    <x v="1"/>
    <x v="1"/>
    <x v="0"/>
    <x v="0"/>
    <x v="1"/>
    <x v="1"/>
    <x v="1"/>
    <x v="303"/>
    <x v="56"/>
    <x v="1"/>
  </r>
  <r>
    <x v="57"/>
    <x v="88"/>
    <x v="6"/>
    <x v="6"/>
    <x v="0"/>
    <x v="2"/>
    <x v="20"/>
    <x v="228"/>
    <x v="1292"/>
    <x v="0"/>
    <x v="57"/>
    <x v="1"/>
  </r>
  <r>
    <x v="57"/>
    <x v="38"/>
    <x v="4"/>
    <x v="4"/>
    <x v="0"/>
    <x v="2"/>
    <x v="20"/>
    <x v="228"/>
    <x v="742"/>
    <x v="0"/>
    <x v="57"/>
    <x v="1"/>
  </r>
  <r>
    <x v="57"/>
    <x v="31"/>
    <x v="4"/>
    <x v="4"/>
    <x v="0"/>
    <x v="2"/>
    <x v="20"/>
    <x v="228"/>
    <x v="742"/>
    <x v="0"/>
    <x v="57"/>
    <x v="1"/>
  </r>
  <r>
    <x v="57"/>
    <x v="159"/>
    <x v="0"/>
    <x v="0"/>
    <x v="0"/>
    <x v="2"/>
    <x v="20"/>
    <x v="228"/>
    <x v="737"/>
    <x v="0"/>
    <x v="57"/>
    <x v="1"/>
  </r>
  <r>
    <x v="57"/>
    <x v="91"/>
    <x v="0"/>
    <x v="0"/>
    <x v="0"/>
    <x v="2"/>
    <x v="20"/>
    <x v="228"/>
    <x v="747"/>
    <x v="0"/>
    <x v="57"/>
    <x v="1"/>
  </r>
  <r>
    <x v="57"/>
    <x v="121"/>
    <x v="0"/>
    <x v="0"/>
    <x v="0"/>
    <x v="2"/>
    <x v="20"/>
    <x v="228"/>
    <x v="744"/>
    <x v="0"/>
    <x v="57"/>
    <x v="1"/>
  </r>
  <r>
    <x v="57"/>
    <x v="46"/>
    <x v="0"/>
    <x v="0"/>
    <x v="0"/>
    <x v="2"/>
    <x v="20"/>
    <x v="228"/>
    <x v="744"/>
    <x v="0"/>
    <x v="57"/>
    <x v="1"/>
  </r>
  <r>
    <x v="57"/>
    <x v="41"/>
    <x v="1"/>
    <x v="1"/>
    <x v="0"/>
    <x v="2"/>
    <x v="20"/>
    <x v="228"/>
    <x v="1293"/>
    <x v="0"/>
    <x v="57"/>
    <x v="1"/>
  </r>
  <r>
    <x v="57"/>
    <x v="73"/>
    <x v="1"/>
    <x v="1"/>
    <x v="0"/>
    <x v="2"/>
    <x v="20"/>
    <x v="228"/>
    <x v="744"/>
    <x v="0"/>
    <x v="57"/>
    <x v="1"/>
  </r>
  <r>
    <x v="57"/>
    <x v="1"/>
    <x v="1"/>
    <x v="1"/>
    <x v="0"/>
    <x v="2"/>
    <x v="1"/>
    <x v="1"/>
    <x v="1"/>
    <x v="304"/>
    <x v="57"/>
    <x v="1"/>
  </r>
  <r>
    <x v="58"/>
    <x v="70"/>
    <x v="2"/>
    <x v="2"/>
    <x v="0"/>
    <x v="2"/>
    <x v="26"/>
    <x v="36"/>
    <x v="865"/>
    <x v="0"/>
    <x v="58"/>
    <x v="1"/>
  </r>
  <r>
    <x v="58"/>
    <x v="106"/>
    <x v="2"/>
    <x v="2"/>
    <x v="0"/>
    <x v="2"/>
    <x v="21"/>
    <x v="223"/>
    <x v="782"/>
    <x v="0"/>
    <x v="58"/>
    <x v="1"/>
  </r>
  <r>
    <x v="58"/>
    <x v="164"/>
    <x v="6"/>
    <x v="6"/>
    <x v="0"/>
    <x v="2"/>
    <x v="21"/>
    <x v="200"/>
    <x v="761"/>
    <x v="0"/>
    <x v="58"/>
    <x v="1"/>
  </r>
  <r>
    <x v="58"/>
    <x v="78"/>
    <x v="4"/>
    <x v="4"/>
    <x v="0"/>
    <x v="2"/>
    <x v="21"/>
    <x v="160"/>
    <x v="782"/>
    <x v="0"/>
    <x v="58"/>
    <x v="1"/>
  </r>
  <r>
    <x v="58"/>
    <x v="160"/>
    <x v="0"/>
    <x v="0"/>
    <x v="0"/>
    <x v="2"/>
    <x v="26"/>
    <x v="179"/>
    <x v="1294"/>
    <x v="0"/>
    <x v="58"/>
    <x v="1"/>
  </r>
  <r>
    <x v="58"/>
    <x v="58"/>
    <x v="1"/>
    <x v="1"/>
    <x v="0"/>
    <x v="2"/>
    <x v="21"/>
    <x v="84"/>
    <x v="1295"/>
    <x v="0"/>
    <x v="58"/>
    <x v="1"/>
  </r>
  <r>
    <x v="58"/>
    <x v="40"/>
    <x v="1"/>
    <x v="1"/>
    <x v="0"/>
    <x v="2"/>
    <x v="26"/>
    <x v="125"/>
    <x v="1296"/>
    <x v="0"/>
    <x v="58"/>
    <x v="1"/>
  </r>
  <r>
    <x v="58"/>
    <x v="127"/>
    <x v="1"/>
    <x v="1"/>
    <x v="0"/>
    <x v="2"/>
    <x v="21"/>
    <x v="85"/>
    <x v="1295"/>
    <x v="0"/>
    <x v="58"/>
    <x v="1"/>
  </r>
  <r>
    <x v="58"/>
    <x v="1"/>
    <x v="1"/>
    <x v="1"/>
    <x v="0"/>
    <x v="2"/>
    <x v="1"/>
    <x v="1"/>
    <x v="1"/>
    <x v="305"/>
    <x v="58"/>
    <x v="1"/>
  </r>
  <r>
    <x v="59"/>
    <x v="56"/>
    <x v="3"/>
    <x v="3"/>
    <x v="0"/>
    <x v="2"/>
    <x v="21"/>
    <x v="153"/>
    <x v="814"/>
    <x v="0"/>
    <x v="59"/>
    <x v="1"/>
  </r>
  <r>
    <x v="59"/>
    <x v="120"/>
    <x v="0"/>
    <x v="0"/>
    <x v="0"/>
    <x v="2"/>
    <x v="20"/>
    <x v="229"/>
    <x v="814"/>
    <x v="0"/>
    <x v="59"/>
    <x v="1"/>
  </r>
  <r>
    <x v="59"/>
    <x v="83"/>
    <x v="1"/>
    <x v="1"/>
    <x v="0"/>
    <x v="2"/>
    <x v="26"/>
    <x v="215"/>
    <x v="1"/>
    <x v="306"/>
    <x v="59"/>
    <x v="1"/>
  </r>
  <r>
    <x v="59"/>
    <x v="1"/>
    <x v="1"/>
    <x v="1"/>
    <x v="0"/>
    <x v="2"/>
    <x v="1"/>
    <x v="1"/>
    <x v="1"/>
    <x v="307"/>
    <x v="59"/>
    <x v="1"/>
  </r>
  <r>
    <x v="60"/>
    <x v="143"/>
    <x v="2"/>
    <x v="2"/>
    <x v="0"/>
    <x v="2"/>
    <x v="20"/>
    <x v="230"/>
    <x v="1297"/>
    <x v="0"/>
    <x v="60"/>
    <x v="1"/>
  </r>
  <r>
    <x v="60"/>
    <x v="157"/>
    <x v="2"/>
    <x v="2"/>
    <x v="0"/>
    <x v="2"/>
    <x v="20"/>
    <x v="230"/>
    <x v="1298"/>
    <x v="0"/>
    <x v="60"/>
    <x v="1"/>
  </r>
  <r>
    <x v="60"/>
    <x v="36"/>
    <x v="6"/>
    <x v="6"/>
    <x v="0"/>
    <x v="2"/>
    <x v="20"/>
    <x v="230"/>
    <x v="1299"/>
    <x v="0"/>
    <x v="60"/>
    <x v="1"/>
  </r>
  <r>
    <x v="60"/>
    <x v="147"/>
    <x v="6"/>
    <x v="6"/>
    <x v="0"/>
    <x v="2"/>
    <x v="20"/>
    <x v="230"/>
    <x v="768"/>
    <x v="0"/>
    <x v="60"/>
    <x v="1"/>
  </r>
  <r>
    <x v="60"/>
    <x v="108"/>
    <x v="3"/>
    <x v="3"/>
    <x v="0"/>
    <x v="2"/>
    <x v="20"/>
    <x v="230"/>
    <x v="814"/>
    <x v="0"/>
    <x v="60"/>
    <x v="1"/>
  </r>
  <r>
    <x v="60"/>
    <x v="1"/>
    <x v="1"/>
    <x v="1"/>
    <x v="0"/>
    <x v="2"/>
    <x v="1"/>
    <x v="1"/>
    <x v="1"/>
    <x v="308"/>
    <x v="60"/>
    <x v="1"/>
  </r>
  <r>
    <x v="61"/>
    <x v="61"/>
    <x v="3"/>
    <x v="3"/>
    <x v="0"/>
    <x v="2"/>
    <x v="20"/>
    <x v="231"/>
    <x v="780"/>
    <x v="0"/>
    <x v="61"/>
    <x v="1"/>
  </r>
  <r>
    <x v="61"/>
    <x v="56"/>
    <x v="3"/>
    <x v="3"/>
    <x v="0"/>
    <x v="2"/>
    <x v="29"/>
    <x v="51"/>
    <x v="1"/>
    <x v="188"/>
    <x v="61"/>
    <x v="1"/>
  </r>
  <r>
    <x v="61"/>
    <x v="90"/>
    <x v="0"/>
    <x v="0"/>
    <x v="0"/>
    <x v="2"/>
    <x v="21"/>
    <x v="79"/>
    <x v="974"/>
    <x v="0"/>
    <x v="61"/>
    <x v="1"/>
  </r>
  <r>
    <x v="61"/>
    <x v="91"/>
    <x v="0"/>
    <x v="0"/>
    <x v="0"/>
    <x v="2"/>
    <x v="21"/>
    <x v="118"/>
    <x v="974"/>
    <x v="0"/>
    <x v="61"/>
    <x v="1"/>
  </r>
  <r>
    <x v="61"/>
    <x v="1"/>
    <x v="1"/>
    <x v="1"/>
    <x v="0"/>
    <x v="2"/>
    <x v="1"/>
    <x v="1"/>
    <x v="1"/>
    <x v="309"/>
    <x v="61"/>
    <x v="1"/>
  </r>
  <r>
    <x v="61"/>
    <x v="11"/>
    <x v="6"/>
    <x v="6"/>
    <x v="0"/>
    <x v="1"/>
    <x v="21"/>
    <x v="91"/>
    <x v="839"/>
    <x v="0"/>
    <x v="61"/>
    <x v="1"/>
  </r>
  <r>
    <x v="61"/>
    <x v="1"/>
    <x v="1"/>
    <x v="1"/>
    <x v="0"/>
    <x v="1"/>
    <x v="1"/>
    <x v="1"/>
    <x v="1"/>
    <x v="310"/>
    <x v="61"/>
    <x v="1"/>
  </r>
  <r>
    <x v="62"/>
    <x v="71"/>
    <x v="6"/>
    <x v="6"/>
    <x v="0"/>
    <x v="2"/>
    <x v="20"/>
    <x v="232"/>
    <x v="742"/>
    <x v="0"/>
    <x v="62"/>
    <x v="1"/>
  </r>
  <r>
    <x v="62"/>
    <x v="22"/>
    <x v="1"/>
    <x v="1"/>
    <x v="0"/>
    <x v="2"/>
    <x v="20"/>
    <x v="232"/>
    <x v="751"/>
    <x v="0"/>
    <x v="62"/>
    <x v="1"/>
  </r>
  <r>
    <x v="62"/>
    <x v="1"/>
    <x v="1"/>
    <x v="1"/>
    <x v="0"/>
    <x v="2"/>
    <x v="1"/>
    <x v="1"/>
    <x v="1"/>
    <x v="311"/>
    <x v="62"/>
    <x v="1"/>
  </r>
  <r>
    <x v="63"/>
    <x v="135"/>
    <x v="3"/>
    <x v="3"/>
    <x v="0"/>
    <x v="2"/>
    <x v="21"/>
    <x v="149"/>
    <x v="1046"/>
    <x v="0"/>
    <x v="63"/>
    <x v="1"/>
  </r>
  <r>
    <x v="63"/>
    <x v="114"/>
    <x v="3"/>
    <x v="3"/>
    <x v="0"/>
    <x v="2"/>
    <x v="20"/>
    <x v="233"/>
    <x v="771"/>
    <x v="0"/>
    <x v="63"/>
    <x v="1"/>
  </r>
  <r>
    <x v="63"/>
    <x v="68"/>
    <x v="4"/>
    <x v="4"/>
    <x v="0"/>
    <x v="2"/>
    <x v="20"/>
    <x v="233"/>
    <x v="816"/>
    <x v="0"/>
    <x v="63"/>
    <x v="1"/>
  </r>
  <r>
    <x v="63"/>
    <x v="132"/>
    <x v="4"/>
    <x v="4"/>
    <x v="0"/>
    <x v="2"/>
    <x v="20"/>
    <x v="233"/>
    <x v="771"/>
    <x v="0"/>
    <x v="63"/>
    <x v="1"/>
  </r>
  <r>
    <x v="63"/>
    <x v="89"/>
    <x v="4"/>
    <x v="4"/>
    <x v="0"/>
    <x v="2"/>
    <x v="20"/>
    <x v="233"/>
    <x v="1300"/>
    <x v="0"/>
    <x v="63"/>
    <x v="1"/>
  </r>
  <r>
    <x v="63"/>
    <x v="52"/>
    <x v="0"/>
    <x v="0"/>
    <x v="0"/>
    <x v="2"/>
    <x v="20"/>
    <x v="233"/>
    <x v="771"/>
    <x v="0"/>
    <x v="63"/>
    <x v="1"/>
  </r>
  <r>
    <x v="63"/>
    <x v="120"/>
    <x v="0"/>
    <x v="0"/>
    <x v="0"/>
    <x v="2"/>
    <x v="20"/>
    <x v="233"/>
    <x v="1300"/>
    <x v="0"/>
    <x v="63"/>
    <x v="1"/>
  </r>
  <r>
    <x v="63"/>
    <x v="77"/>
    <x v="5"/>
    <x v="5"/>
    <x v="0"/>
    <x v="2"/>
    <x v="20"/>
    <x v="233"/>
    <x v="771"/>
    <x v="0"/>
    <x v="63"/>
    <x v="1"/>
  </r>
  <r>
    <x v="63"/>
    <x v="155"/>
    <x v="1"/>
    <x v="1"/>
    <x v="0"/>
    <x v="2"/>
    <x v="21"/>
    <x v="145"/>
    <x v="769"/>
    <x v="0"/>
    <x v="63"/>
    <x v="1"/>
  </r>
  <r>
    <x v="63"/>
    <x v="1"/>
    <x v="1"/>
    <x v="1"/>
    <x v="0"/>
    <x v="2"/>
    <x v="1"/>
    <x v="1"/>
    <x v="1"/>
    <x v="312"/>
    <x v="63"/>
    <x v="1"/>
  </r>
  <r>
    <x v="64"/>
    <x v="35"/>
    <x v="2"/>
    <x v="2"/>
    <x v="0"/>
    <x v="2"/>
    <x v="20"/>
    <x v="234"/>
    <x v="747"/>
    <x v="0"/>
    <x v="64"/>
    <x v="1"/>
  </r>
  <r>
    <x v="64"/>
    <x v="79"/>
    <x v="3"/>
    <x v="3"/>
    <x v="0"/>
    <x v="2"/>
    <x v="20"/>
    <x v="234"/>
    <x v="744"/>
    <x v="0"/>
    <x v="64"/>
    <x v="1"/>
  </r>
  <r>
    <x v="64"/>
    <x v="4"/>
    <x v="4"/>
    <x v="4"/>
    <x v="0"/>
    <x v="2"/>
    <x v="20"/>
    <x v="234"/>
    <x v="768"/>
    <x v="0"/>
    <x v="64"/>
    <x v="1"/>
  </r>
  <r>
    <x v="64"/>
    <x v="51"/>
    <x v="4"/>
    <x v="4"/>
    <x v="0"/>
    <x v="2"/>
    <x v="20"/>
    <x v="234"/>
    <x v="776"/>
    <x v="0"/>
    <x v="64"/>
    <x v="1"/>
  </r>
  <r>
    <x v="64"/>
    <x v="98"/>
    <x v="1"/>
    <x v="1"/>
    <x v="0"/>
    <x v="2"/>
    <x v="20"/>
    <x v="234"/>
    <x v="1301"/>
    <x v="0"/>
    <x v="64"/>
    <x v="1"/>
  </r>
  <r>
    <x v="64"/>
    <x v="128"/>
    <x v="1"/>
    <x v="1"/>
    <x v="0"/>
    <x v="2"/>
    <x v="20"/>
    <x v="234"/>
    <x v="747"/>
    <x v="0"/>
    <x v="64"/>
    <x v="1"/>
  </r>
  <r>
    <x v="64"/>
    <x v="1"/>
    <x v="1"/>
    <x v="1"/>
    <x v="0"/>
    <x v="2"/>
    <x v="1"/>
    <x v="1"/>
    <x v="1"/>
    <x v="313"/>
    <x v="64"/>
    <x v="1"/>
  </r>
  <r>
    <x v="64"/>
    <x v="28"/>
    <x v="3"/>
    <x v="3"/>
    <x v="0"/>
    <x v="0"/>
    <x v="23"/>
    <x v="235"/>
    <x v="1"/>
    <x v="314"/>
    <x v="64"/>
    <x v="1"/>
  </r>
  <r>
    <x v="64"/>
    <x v="44"/>
    <x v="3"/>
    <x v="3"/>
    <x v="0"/>
    <x v="0"/>
    <x v="30"/>
    <x v="236"/>
    <x v="776"/>
    <x v="0"/>
    <x v="64"/>
    <x v="1"/>
  </r>
  <r>
    <x v="64"/>
    <x v="44"/>
    <x v="3"/>
    <x v="3"/>
    <x v="0"/>
    <x v="0"/>
    <x v="31"/>
    <x v="236"/>
    <x v="776"/>
    <x v="0"/>
    <x v="64"/>
    <x v="1"/>
  </r>
  <r>
    <x v="64"/>
    <x v="1"/>
    <x v="1"/>
    <x v="1"/>
    <x v="0"/>
    <x v="0"/>
    <x v="1"/>
    <x v="1"/>
    <x v="1"/>
    <x v="314"/>
    <x v="64"/>
    <x v="1"/>
  </r>
  <r>
    <x v="65"/>
    <x v="10"/>
    <x v="3"/>
    <x v="3"/>
    <x v="0"/>
    <x v="2"/>
    <x v="21"/>
    <x v="123"/>
    <x v="909"/>
    <x v="0"/>
    <x v="65"/>
    <x v="1"/>
  </r>
  <r>
    <x v="65"/>
    <x v="1"/>
    <x v="1"/>
    <x v="1"/>
    <x v="0"/>
    <x v="2"/>
    <x v="1"/>
    <x v="1"/>
    <x v="1"/>
    <x v="315"/>
    <x v="65"/>
    <x v="1"/>
  </r>
  <r>
    <x v="66"/>
    <x v="70"/>
    <x v="2"/>
    <x v="2"/>
    <x v="0"/>
    <x v="2"/>
    <x v="21"/>
    <x v="36"/>
    <x v="769"/>
    <x v="0"/>
    <x v="66"/>
    <x v="1"/>
  </r>
  <r>
    <x v="66"/>
    <x v="85"/>
    <x v="2"/>
    <x v="2"/>
    <x v="0"/>
    <x v="2"/>
    <x v="20"/>
    <x v="237"/>
    <x v="771"/>
    <x v="0"/>
    <x v="66"/>
    <x v="1"/>
  </r>
  <r>
    <x v="66"/>
    <x v="129"/>
    <x v="2"/>
    <x v="2"/>
    <x v="0"/>
    <x v="2"/>
    <x v="20"/>
    <x v="237"/>
    <x v="771"/>
    <x v="0"/>
    <x v="66"/>
    <x v="1"/>
  </r>
  <r>
    <x v="66"/>
    <x v="167"/>
    <x v="6"/>
    <x v="6"/>
    <x v="0"/>
    <x v="2"/>
    <x v="20"/>
    <x v="237"/>
    <x v="771"/>
    <x v="0"/>
    <x v="66"/>
    <x v="1"/>
  </r>
  <r>
    <x v="66"/>
    <x v="36"/>
    <x v="6"/>
    <x v="6"/>
    <x v="0"/>
    <x v="2"/>
    <x v="20"/>
    <x v="237"/>
    <x v="771"/>
    <x v="0"/>
    <x v="66"/>
    <x v="1"/>
  </r>
  <r>
    <x v="66"/>
    <x v="11"/>
    <x v="6"/>
    <x v="6"/>
    <x v="0"/>
    <x v="2"/>
    <x v="20"/>
    <x v="237"/>
    <x v="1302"/>
    <x v="0"/>
    <x v="66"/>
    <x v="1"/>
  </r>
  <r>
    <x v="66"/>
    <x v="74"/>
    <x v="3"/>
    <x v="3"/>
    <x v="0"/>
    <x v="2"/>
    <x v="20"/>
    <x v="237"/>
    <x v="771"/>
    <x v="0"/>
    <x v="66"/>
    <x v="1"/>
  </r>
  <r>
    <x v="66"/>
    <x v="131"/>
    <x v="3"/>
    <x v="3"/>
    <x v="0"/>
    <x v="2"/>
    <x v="20"/>
    <x v="237"/>
    <x v="771"/>
    <x v="0"/>
    <x v="66"/>
    <x v="1"/>
  </r>
  <r>
    <x v="66"/>
    <x v="31"/>
    <x v="4"/>
    <x v="4"/>
    <x v="0"/>
    <x v="2"/>
    <x v="20"/>
    <x v="237"/>
    <x v="873"/>
    <x v="0"/>
    <x v="66"/>
    <x v="1"/>
  </r>
  <r>
    <x v="66"/>
    <x v="90"/>
    <x v="0"/>
    <x v="0"/>
    <x v="0"/>
    <x v="2"/>
    <x v="20"/>
    <x v="237"/>
    <x v="771"/>
    <x v="0"/>
    <x v="66"/>
    <x v="1"/>
  </r>
  <r>
    <x v="66"/>
    <x v="57"/>
    <x v="0"/>
    <x v="0"/>
    <x v="0"/>
    <x v="2"/>
    <x v="20"/>
    <x v="237"/>
    <x v="771"/>
    <x v="0"/>
    <x v="66"/>
    <x v="1"/>
  </r>
  <r>
    <x v="66"/>
    <x v="100"/>
    <x v="0"/>
    <x v="0"/>
    <x v="0"/>
    <x v="2"/>
    <x v="20"/>
    <x v="237"/>
    <x v="873"/>
    <x v="0"/>
    <x v="66"/>
    <x v="1"/>
  </r>
  <r>
    <x v="66"/>
    <x v="46"/>
    <x v="0"/>
    <x v="0"/>
    <x v="0"/>
    <x v="2"/>
    <x v="20"/>
    <x v="237"/>
    <x v="873"/>
    <x v="0"/>
    <x v="66"/>
    <x v="1"/>
  </r>
  <r>
    <x v="66"/>
    <x v="93"/>
    <x v="0"/>
    <x v="0"/>
    <x v="0"/>
    <x v="2"/>
    <x v="20"/>
    <x v="237"/>
    <x v="873"/>
    <x v="0"/>
    <x v="66"/>
    <x v="1"/>
  </r>
  <r>
    <x v="66"/>
    <x v="63"/>
    <x v="5"/>
    <x v="5"/>
    <x v="0"/>
    <x v="2"/>
    <x v="20"/>
    <x v="237"/>
    <x v="769"/>
    <x v="0"/>
    <x v="66"/>
    <x v="1"/>
  </r>
  <r>
    <x v="66"/>
    <x v="20"/>
    <x v="5"/>
    <x v="5"/>
    <x v="0"/>
    <x v="2"/>
    <x v="21"/>
    <x v="45"/>
    <x v="769"/>
    <x v="0"/>
    <x v="66"/>
    <x v="1"/>
  </r>
  <r>
    <x v="66"/>
    <x v="1"/>
    <x v="1"/>
    <x v="1"/>
    <x v="0"/>
    <x v="2"/>
    <x v="1"/>
    <x v="1"/>
    <x v="1"/>
    <x v="316"/>
    <x v="66"/>
    <x v="1"/>
  </r>
  <r>
    <x v="66"/>
    <x v="11"/>
    <x v="6"/>
    <x v="6"/>
    <x v="0"/>
    <x v="0"/>
    <x v="21"/>
    <x v="91"/>
    <x v="819"/>
    <x v="0"/>
    <x v="66"/>
    <x v="1"/>
  </r>
  <r>
    <x v="66"/>
    <x v="121"/>
    <x v="0"/>
    <x v="0"/>
    <x v="0"/>
    <x v="0"/>
    <x v="21"/>
    <x v="80"/>
    <x v="769"/>
    <x v="0"/>
    <x v="66"/>
    <x v="1"/>
  </r>
  <r>
    <x v="66"/>
    <x v="1"/>
    <x v="1"/>
    <x v="1"/>
    <x v="0"/>
    <x v="0"/>
    <x v="1"/>
    <x v="1"/>
    <x v="1"/>
    <x v="317"/>
    <x v="66"/>
    <x v="1"/>
  </r>
  <r>
    <x v="67"/>
    <x v="64"/>
    <x v="2"/>
    <x v="2"/>
    <x v="0"/>
    <x v="2"/>
    <x v="20"/>
    <x v="238"/>
    <x v="771"/>
    <x v="0"/>
    <x v="67"/>
    <x v="1"/>
  </r>
  <r>
    <x v="67"/>
    <x v="107"/>
    <x v="2"/>
    <x v="2"/>
    <x v="0"/>
    <x v="2"/>
    <x v="20"/>
    <x v="238"/>
    <x v="1303"/>
    <x v="0"/>
    <x v="67"/>
    <x v="1"/>
  </r>
  <r>
    <x v="67"/>
    <x v="146"/>
    <x v="6"/>
    <x v="6"/>
    <x v="0"/>
    <x v="2"/>
    <x v="20"/>
    <x v="238"/>
    <x v="769"/>
    <x v="0"/>
    <x v="67"/>
    <x v="1"/>
  </r>
  <r>
    <x v="67"/>
    <x v="11"/>
    <x v="6"/>
    <x v="6"/>
    <x v="0"/>
    <x v="2"/>
    <x v="21"/>
    <x v="91"/>
    <x v="803"/>
    <x v="0"/>
    <x v="67"/>
    <x v="1"/>
  </r>
  <r>
    <x v="67"/>
    <x v="49"/>
    <x v="3"/>
    <x v="3"/>
    <x v="0"/>
    <x v="2"/>
    <x v="20"/>
    <x v="238"/>
    <x v="805"/>
    <x v="0"/>
    <x v="67"/>
    <x v="1"/>
  </r>
  <r>
    <x v="67"/>
    <x v="120"/>
    <x v="0"/>
    <x v="0"/>
    <x v="0"/>
    <x v="2"/>
    <x v="20"/>
    <x v="238"/>
    <x v="1304"/>
    <x v="0"/>
    <x v="67"/>
    <x v="1"/>
  </r>
  <r>
    <x v="67"/>
    <x v="20"/>
    <x v="5"/>
    <x v="5"/>
    <x v="0"/>
    <x v="2"/>
    <x v="20"/>
    <x v="238"/>
    <x v="1304"/>
    <x v="0"/>
    <x v="67"/>
    <x v="1"/>
  </r>
  <r>
    <x v="67"/>
    <x v="127"/>
    <x v="1"/>
    <x v="1"/>
    <x v="0"/>
    <x v="2"/>
    <x v="20"/>
    <x v="238"/>
    <x v="814"/>
    <x v="0"/>
    <x v="67"/>
    <x v="1"/>
  </r>
  <r>
    <x v="67"/>
    <x v="1"/>
    <x v="1"/>
    <x v="1"/>
    <x v="0"/>
    <x v="2"/>
    <x v="1"/>
    <x v="1"/>
    <x v="1"/>
    <x v="318"/>
    <x v="67"/>
    <x v="1"/>
  </r>
  <r>
    <x v="68"/>
    <x v="91"/>
    <x v="0"/>
    <x v="0"/>
    <x v="0"/>
    <x v="2"/>
    <x v="20"/>
    <x v="239"/>
    <x v="841"/>
    <x v="0"/>
    <x v="68"/>
    <x v="1"/>
  </r>
  <r>
    <x v="68"/>
    <x v="1"/>
    <x v="1"/>
    <x v="1"/>
    <x v="0"/>
    <x v="2"/>
    <x v="1"/>
    <x v="1"/>
    <x v="1"/>
    <x v="319"/>
    <x v="68"/>
    <x v="1"/>
  </r>
  <r>
    <x v="69"/>
    <x v="111"/>
    <x v="2"/>
    <x v="2"/>
    <x v="0"/>
    <x v="2"/>
    <x v="20"/>
    <x v="240"/>
    <x v="778"/>
    <x v="0"/>
    <x v="69"/>
    <x v="1"/>
  </r>
  <r>
    <x v="69"/>
    <x v="65"/>
    <x v="6"/>
    <x v="6"/>
    <x v="0"/>
    <x v="2"/>
    <x v="20"/>
    <x v="240"/>
    <x v="778"/>
    <x v="0"/>
    <x v="69"/>
    <x v="1"/>
  </r>
  <r>
    <x v="69"/>
    <x v="113"/>
    <x v="6"/>
    <x v="6"/>
    <x v="0"/>
    <x v="2"/>
    <x v="20"/>
    <x v="240"/>
    <x v="842"/>
    <x v="0"/>
    <x v="69"/>
    <x v="1"/>
  </r>
  <r>
    <x v="69"/>
    <x v="96"/>
    <x v="6"/>
    <x v="6"/>
    <x v="0"/>
    <x v="2"/>
    <x v="20"/>
    <x v="240"/>
    <x v="744"/>
    <x v="0"/>
    <x v="69"/>
    <x v="1"/>
  </r>
  <r>
    <x v="69"/>
    <x v="26"/>
    <x v="3"/>
    <x v="3"/>
    <x v="0"/>
    <x v="2"/>
    <x v="20"/>
    <x v="240"/>
    <x v="747"/>
    <x v="0"/>
    <x v="69"/>
    <x v="1"/>
  </r>
  <r>
    <x v="69"/>
    <x v="148"/>
    <x v="3"/>
    <x v="3"/>
    <x v="0"/>
    <x v="2"/>
    <x v="20"/>
    <x v="240"/>
    <x v="747"/>
    <x v="0"/>
    <x v="69"/>
    <x v="1"/>
  </r>
  <r>
    <x v="69"/>
    <x v="78"/>
    <x v="4"/>
    <x v="4"/>
    <x v="0"/>
    <x v="2"/>
    <x v="20"/>
    <x v="240"/>
    <x v="747"/>
    <x v="0"/>
    <x v="69"/>
    <x v="1"/>
  </r>
  <r>
    <x v="69"/>
    <x v="5"/>
    <x v="0"/>
    <x v="0"/>
    <x v="0"/>
    <x v="2"/>
    <x v="20"/>
    <x v="240"/>
    <x v="842"/>
    <x v="0"/>
    <x v="69"/>
    <x v="1"/>
  </r>
  <r>
    <x v="69"/>
    <x v="73"/>
    <x v="1"/>
    <x v="1"/>
    <x v="0"/>
    <x v="2"/>
    <x v="20"/>
    <x v="240"/>
    <x v="751"/>
    <x v="0"/>
    <x v="69"/>
    <x v="1"/>
  </r>
  <r>
    <x v="69"/>
    <x v="1"/>
    <x v="1"/>
    <x v="1"/>
    <x v="0"/>
    <x v="2"/>
    <x v="1"/>
    <x v="1"/>
    <x v="1"/>
    <x v="320"/>
    <x v="69"/>
    <x v="1"/>
  </r>
  <r>
    <x v="0"/>
    <x v="79"/>
    <x v="3"/>
    <x v="3"/>
    <x v="0"/>
    <x v="2"/>
    <x v="32"/>
    <x v="142"/>
    <x v="1305"/>
    <x v="0"/>
    <x v="0"/>
    <x v="2"/>
  </r>
  <r>
    <x v="0"/>
    <x v="160"/>
    <x v="0"/>
    <x v="0"/>
    <x v="0"/>
    <x v="2"/>
    <x v="32"/>
    <x v="179"/>
    <x v="1306"/>
    <x v="0"/>
    <x v="0"/>
    <x v="2"/>
  </r>
  <r>
    <x v="0"/>
    <x v="1"/>
    <x v="1"/>
    <x v="1"/>
    <x v="0"/>
    <x v="2"/>
    <x v="1"/>
    <x v="1"/>
    <x v="1"/>
    <x v="321"/>
    <x v="0"/>
    <x v="2"/>
  </r>
  <r>
    <x v="0"/>
    <x v="148"/>
    <x v="3"/>
    <x v="3"/>
    <x v="0"/>
    <x v="0"/>
    <x v="33"/>
    <x v="174"/>
    <x v="1182"/>
    <x v="0"/>
    <x v="0"/>
    <x v="2"/>
  </r>
  <r>
    <x v="0"/>
    <x v="117"/>
    <x v="0"/>
    <x v="0"/>
    <x v="0"/>
    <x v="0"/>
    <x v="33"/>
    <x v="65"/>
    <x v="759"/>
    <x v="0"/>
    <x v="0"/>
    <x v="2"/>
  </r>
  <r>
    <x v="0"/>
    <x v="1"/>
    <x v="1"/>
    <x v="1"/>
    <x v="0"/>
    <x v="0"/>
    <x v="1"/>
    <x v="1"/>
    <x v="1"/>
    <x v="322"/>
    <x v="0"/>
    <x v="2"/>
  </r>
  <r>
    <x v="1"/>
    <x v="10"/>
    <x v="3"/>
    <x v="3"/>
    <x v="0"/>
    <x v="2"/>
    <x v="33"/>
    <x v="123"/>
    <x v="874"/>
    <x v="0"/>
    <x v="1"/>
    <x v="2"/>
  </r>
  <r>
    <x v="1"/>
    <x v="52"/>
    <x v="0"/>
    <x v="0"/>
    <x v="0"/>
    <x v="2"/>
    <x v="33"/>
    <x v="107"/>
    <x v="874"/>
    <x v="0"/>
    <x v="1"/>
    <x v="2"/>
  </r>
  <r>
    <x v="1"/>
    <x v="153"/>
    <x v="5"/>
    <x v="5"/>
    <x v="0"/>
    <x v="2"/>
    <x v="33"/>
    <x v="157"/>
    <x v="874"/>
    <x v="0"/>
    <x v="1"/>
    <x v="2"/>
  </r>
  <r>
    <x v="1"/>
    <x v="20"/>
    <x v="5"/>
    <x v="5"/>
    <x v="0"/>
    <x v="2"/>
    <x v="33"/>
    <x v="45"/>
    <x v="759"/>
    <x v="0"/>
    <x v="1"/>
    <x v="2"/>
  </r>
  <r>
    <x v="1"/>
    <x v="1"/>
    <x v="1"/>
    <x v="1"/>
    <x v="0"/>
    <x v="2"/>
    <x v="1"/>
    <x v="1"/>
    <x v="1"/>
    <x v="237"/>
    <x v="1"/>
    <x v="2"/>
  </r>
  <r>
    <x v="1"/>
    <x v="102"/>
    <x v="6"/>
    <x v="6"/>
    <x v="0"/>
    <x v="0"/>
    <x v="33"/>
    <x v="141"/>
    <x v="874"/>
    <x v="0"/>
    <x v="1"/>
    <x v="2"/>
  </r>
  <r>
    <x v="1"/>
    <x v="19"/>
    <x v="3"/>
    <x v="3"/>
    <x v="0"/>
    <x v="0"/>
    <x v="33"/>
    <x v="62"/>
    <x v="874"/>
    <x v="0"/>
    <x v="1"/>
    <x v="2"/>
  </r>
  <r>
    <x v="1"/>
    <x v="1"/>
    <x v="1"/>
    <x v="1"/>
    <x v="0"/>
    <x v="0"/>
    <x v="1"/>
    <x v="1"/>
    <x v="1"/>
    <x v="203"/>
    <x v="1"/>
    <x v="2"/>
  </r>
  <r>
    <x v="2"/>
    <x v="118"/>
    <x v="2"/>
    <x v="2"/>
    <x v="0"/>
    <x v="0"/>
    <x v="33"/>
    <x v="69"/>
    <x v="874"/>
    <x v="0"/>
    <x v="2"/>
    <x v="2"/>
  </r>
  <r>
    <x v="2"/>
    <x v="1"/>
    <x v="1"/>
    <x v="1"/>
    <x v="0"/>
    <x v="0"/>
    <x v="1"/>
    <x v="1"/>
    <x v="1"/>
    <x v="216"/>
    <x v="2"/>
    <x v="2"/>
  </r>
  <r>
    <x v="2"/>
    <x v="1"/>
    <x v="1"/>
    <x v="1"/>
    <x v="0"/>
    <x v="1"/>
    <x v="1"/>
    <x v="1"/>
    <x v="1"/>
    <x v="216"/>
    <x v="2"/>
    <x v="2"/>
  </r>
  <r>
    <x v="3"/>
    <x v="1"/>
    <x v="1"/>
    <x v="1"/>
    <x v="0"/>
    <x v="2"/>
    <x v="1"/>
    <x v="1"/>
    <x v="1"/>
    <x v="323"/>
    <x v="3"/>
    <x v="2"/>
  </r>
  <r>
    <x v="3"/>
    <x v="1"/>
    <x v="1"/>
    <x v="1"/>
    <x v="0"/>
    <x v="1"/>
    <x v="1"/>
    <x v="1"/>
    <x v="1"/>
    <x v="216"/>
    <x v="3"/>
    <x v="2"/>
  </r>
  <r>
    <x v="4"/>
    <x v="70"/>
    <x v="2"/>
    <x v="2"/>
    <x v="0"/>
    <x v="2"/>
    <x v="33"/>
    <x v="36"/>
    <x v="874"/>
    <x v="0"/>
    <x v="4"/>
    <x v="2"/>
  </r>
  <r>
    <x v="4"/>
    <x v="144"/>
    <x v="2"/>
    <x v="2"/>
    <x v="0"/>
    <x v="2"/>
    <x v="32"/>
    <x v="162"/>
    <x v="1307"/>
    <x v="0"/>
    <x v="4"/>
    <x v="2"/>
  </r>
  <r>
    <x v="4"/>
    <x v="79"/>
    <x v="3"/>
    <x v="3"/>
    <x v="0"/>
    <x v="2"/>
    <x v="32"/>
    <x v="142"/>
    <x v="1308"/>
    <x v="0"/>
    <x v="4"/>
    <x v="2"/>
  </r>
  <r>
    <x v="4"/>
    <x v="79"/>
    <x v="3"/>
    <x v="3"/>
    <x v="0"/>
    <x v="2"/>
    <x v="33"/>
    <x v="142"/>
    <x v="759"/>
    <x v="0"/>
    <x v="4"/>
    <x v="2"/>
  </r>
  <r>
    <x v="4"/>
    <x v="13"/>
    <x v="5"/>
    <x v="5"/>
    <x v="0"/>
    <x v="2"/>
    <x v="32"/>
    <x v="120"/>
    <x v="1309"/>
    <x v="0"/>
    <x v="4"/>
    <x v="2"/>
  </r>
  <r>
    <x v="4"/>
    <x v="33"/>
    <x v="1"/>
    <x v="1"/>
    <x v="0"/>
    <x v="2"/>
    <x v="32"/>
    <x v="241"/>
    <x v="1310"/>
    <x v="0"/>
    <x v="4"/>
    <x v="2"/>
  </r>
  <r>
    <x v="4"/>
    <x v="1"/>
    <x v="1"/>
    <x v="1"/>
    <x v="0"/>
    <x v="2"/>
    <x v="1"/>
    <x v="1"/>
    <x v="1"/>
    <x v="324"/>
    <x v="4"/>
    <x v="2"/>
  </r>
  <r>
    <x v="4"/>
    <x v="47"/>
    <x v="2"/>
    <x v="2"/>
    <x v="0"/>
    <x v="0"/>
    <x v="33"/>
    <x v="68"/>
    <x v="874"/>
    <x v="0"/>
    <x v="4"/>
    <x v="2"/>
  </r>
  <r>
    <x v="4"/>
    <x v="24"/>
    <x v="2"/>
    <x v="2"/>
    <x v="0"/>
    <x v="0"/>
    <x v="33"/>
    <x v="202"/>
    <x v="759"/>
    <x v="0"/>
    <x v="4"/>
    <x v="2"/>
  </r>
  <r>
    <x v="4"/>
    <x v="129"/>
    <x v="2"/>
    <x v="2"/>
    <x v="0"/>
    <x v="0"/>
    <x v="33"/>
    <x v="204"/>
    <x v="146"/>
    <x v="0"/>
    <x v="4"/>
    <x v="2"/>
  </r>
  <r>
    <x v="4"/>
    <x v="146"/>
    <x v="6"/>
    <x v="6"/>
    <x v="0"/>
    <x v="0"/>
    <x v="33"/>
    <x v="172"/>
    <x v="874"/>
    <x v="0"/>
    <x v="4"/>
    <x v="2"/>
  </r>
  <r>
    <x v="4"/>
    <x v="36"/>
    <x v="6"/>
    <x v="6"/>
    <x v="0"/>
    <x v="0"/>
    <x v="33"/>
    <x v="94"/>
    <x v="874"/>
    <x v="0"/>
    <x v="4"/>
    <x v="2"/>
  </r>
  <r>
    <x v="4"/>
    <x v="88"/>
    <x v="6"/>
    <x v="6"/>
    <x v="0"/>
    <x v="0"/>
    <x v="33"/>
    <x v="242"/>
    <x v="874"/>
    <x v="0"/>
    <x v="4"/>
    <x v="2"/>
  </r>
  <r>
    <x v="4"/>
    <x v="134"/>
    <x v="6"/>
    <x v="6"/>
    <x v="0"/>
    <x v="0"/>
    <x v="33"/>
    <x v="226"/>
    <x v="899"/>
    <x v="0"/>
    <x v="4"/>
    <x v="2"/>
  </r>
  <r>
    <x v="4"/>
    <x v="11"/>
    <x v="6"/>
    <x v="6"/>
    <x v="0"/>
    <x v="0"/>
    <x v="33"/>
    <x v="91"/>
    <x v="759"/>
    <x v="0"/>
    <x v="4"/>
    <x v="2"/>
  </r>
  <r>
    <x v="4"/>
    <x v="19"/>
    <x v="3"/>
    <x v="3"/>
    <x v="0"/>
    <x v="0"/>
    <x v="33"/>
    <x v="62"/>
    <x v="874"/>
    <x v="0"/>
    <x v="4"/>
    <x v="2"/>
  </r>
  <r>
    <x v="4"/>
    <x v="148"/>
    <x v="3"/>
    <x v="3"/>
    <x v="0"/>
    <x v="0"/>
    <x v="33"/>
    <x v="174"/>
    <x v="899"/>
    <x v="0"/>
    <x v="4"/>
    <x v="2"/>
  </r>
  <r>
    <x v="4"/>
    <x v="132"/>
    <x v="4"/>
    <x v="4"/>
    <x v="0"/>
    <x v="0"/>
    <x v="33"/>
    <x v="95"/>
    <x v="1182"/>
    <x v="0"/>
    <x v="4"/>
    <x v="2"/>
  </r>
  <r>
    <x v="4"/>
    <x v="89"/>
    <x v="4"/>
    <x v="4"/>
    <x v="0"/>
    <x v="0"/>
    <x v="33"/>
    <x v="154"/>
    <x v="874"/>
    <x v="0"/>
    <x v="4"/>
    <x v="2"/>
  </r>
  <r>
    <x v="4"/>
    <x v="31"/>
    <x v="4"/>
    <x v="4"/>
    <x v="0"/>
    <x v="0"/>
    <x v="33"/>
    <x v="72"/>
    <x v="146"/>
    <x v="0"/>
    <x v="4"/>
    <x v="2"/>
  </r>
  <r>
    <x v="4"/>
    <x v="119"/>
    <x v="0"/>
    <x v="0"/>
    <x v="0"/>
    <x v="0"/>
    <x v="33"/>
    <x v="96"/>
    <x v="759"/>
    <x v="0"/>
    <x v="4"/>
    <x v="2"/>
  </r>
  <r>
    <x v="4"/>
    <x v="40"/>
    <x v="1"/>
    <x v="1"/>
    <x v="0"/>
    <x v="0"/>
    <x v="33"/>
    <x v="125"/>
    <x v="759"/>
    <x v="0"/>
    <x v="4"/>
    <x v="2"/>
  </r>
  <r>
    <x v="4"/>
    <x v="95"/>
    <x v="1"/>
    <x v="1"/>
    <x v="0"/>
    <x v="0"/>
    <x v="33"/>
    <x v="97"/>
    <x v="874"/>
    <x v="0"/>
    <x v="4"/>
    <x v="2"/>
  </r>
  <r>
    <x v="4"/>
    <x v="127"/>
    <x v="1"/>
    <x v="1"/>
    <x v="0"/>
    <x v="0"/>
    <x v="33"/>
    <x v="85"/>
    <x v="146"/>
    <x v="0"/>
    <x v="4"/>
    <x v="2"/>
  </r>
  <r>
    <x v="4"/>
    <x v="8"/>
    <x v="1"/>
    <x v="1"/>
    <x v="0"/>
    <x v="0"/>
    <x v="33"/>
    <x v="187"/>
    <x v="759"/>
    <x v="0"/>
    <x v="4"/>
    <x v="2"/>
  </r>
  <r>
    <x v="4"/>
    <x v="98"/>
    <x v="1"/>
    <x v="1"/>
    <x v="0"/>
    <x v="0"/>
    <x v="33"/>
    <x v="198"/>
    <x v="146"/>
    <x v="0"/>
    <x v="4"/>
    <x v="2"/>
  </r>
  <r>
    <x v="4"/>
    <x v="1"/>
    <x v="1"/>
    <x v="1"/>
    <x v="0"/>
    <x v="0"/>
    <x v="1"/>
    <x v="1"/>
    <x v="1"/>
    <x v="325"/>
    <x v="4"/>
    <x v="2"/>
  </r>
  <r>
    <x v="4"/>
    <x v="129"/>
    <x v="2"/>
    <x v="2"/>
    <x v="0"/>
    <x v="1"/>
    <x v="33"/>
    <x v="204"/>
    <x v="874"/>
    <x v="0"/>
    <x v="4"/>
    <x v="2"/>
  </r>
  <r>
    <x v="4"/>
    <x v="114"/>
    <x v="3"/>
    <x v="3"/>
    <x v="0"/>
    <x v="1"/>
    <x v="33"/>
    <x v="76"/>
    <x v="874"/>
    <x v="0"/>
    <x v="4"/>
    <x v="2"/>
  </r>
  <r>
    <x v="4"/>
    <x v="1"/>
    <x v="1"/>
    <x v="1"/>
    <x v="0"/>
    <x v="1"/>
    <x v="1"/>
    <x v="1"/>
    <x v="1"/>
    <x v="261"/>
    <x v="4"/>
    <x v="2"/>
  </r>
  <r>
    <x v="5"/>
    <x v="19"/>
    <x v="3"/>
    <x v="3"/>
    <x v="0"/>
    <x v="0"/>
    <x v="33"/>
    <x v="62"/>
    <x v="874"/>
    <x v="0"/>
    <x v="5"/>
    <x v="2"/>
  </r>
  <r>
    <x v="5"/>
    <x v="1"/>
    <x v="1"/>
    <x v="1"/>
    <x v="0"/>
    <x v="0"/>
    <x v="1"/>
    <x v="1"/>
    <x v="1"/>
    <x v="216"/>
    <x v="5"/>
    <x v="2"/>
  </r>
  <r>
    <x v="6"/>
    <x v="0"/>
    <x v="0"/>
    <x v="0"/>
    <x v="0"/>
    <x v="2"/>
    <x v="32"/>
    <x v="197"/>
    <x v="1311"/>
    <x v="0"/>
    <x v="6"/>
    <x v="2"/>
  </r>
  <r>
    <x v="6"/>
    <x v="1"/>
    <x v="1"/>
    <x v="1"/>
    <x v="0"/>
    <x v="2"/>
    <x v="1"/>
    <x v="1"/>
    <x v="1"/>
    <x v="326"/>
    <x v="6"/>
    <x v="2"/>
  </r>
  <r>
    <x v="6"/>
    <x v="1"/>
    <x v="1"/>
    <x v="1"/>
    <x v="0"/>
    <x v="0"/>
    <x v="1"/>
    <x v="1"/>
    <x v="1"/>
    <x v="216"/>
    <x v="6"/>
    <x v="2"/>
  </r>
  <r>
    <x v="7"/>
    <x v="64"/>
    <x v="2"/>
    <x v="2"/>
    <x v="0"/>
    <x v="2"/>
    <x v="32"/>
    <x v="139"/>
    <x v="1312"/>
    <x v="0"/>
    <x v="7"/>
    <x v="2"/>
  </r>
  <r>
    <x v="7"/>
    <x v="107"/>
    <x v="2"/>
    <x v="2"/>
    <x v="0"/>
    <x v="2"/>
    <x v="32"/>
    <x v="158"/>
    <x v="1215"/>
    <x v="0"/>
    <x v="7"/>
    <x v="2"/>
  </r>
  <r>
    <x v="7"/>
    <x v="102"/>
    <x v="6"/>
    <x v="6"/>
    <x v="0"/>
    <x v="2"/>
    <x v="32"/>
    <x v="141"/>
    <x v="982"/>
    <x v="0"/>
    <x v="7"/>
    <x v="2"/>
  </r>
  <r>
    <x v="7"/>
    <x v="21"/>
    <x v="6"/>
    <x v="6"/>
    <x v="0"/>
    <x v="2"/>
    <x v="32"/>
    <x v="70"/>
    <x v="1291"/>
    <x v="0"/>
    <x v="7"/>
    <x v="2"/>
  </r>
  <r>
    <x v="7"/>
    <x v="3"/>
    <x v="3"/>
    <x v="3"/>
    <x v="0"/>
    <x v="2"/>
    <x v="32"/>
    <x v="243"/>
    <x v="801"/>
    <x v="0"/>
    <x v="7"/>
    <x v="2"/>
  </r>
  <r>
    <x v="7"/>
    <x v="160"/>
    <x v="0"/>
    <x v="0"/>
    <x v="0"/>
    <x v="2"/>
    <x v="32"/>
    <x v="179"/>
    <x v="1313"/>
    <x v="0"/>
    <x v="7"/>
    <x v="2"/>
  </r>
  <r>
    <x v="7"/>
    <x v="122"/>
    <x v="0"/>
    <x v="0"/>
    <x v="0"/>
    <x v="2"/>
    <x v="33"/>
    <x v="181"/>
    <x v="874"/>
    <x v="0"/>
    <x v="7"/>
    <x v="2"/>
  </r>
  <r>
    <x v="7"/>
    <x v="145"/>
    <x v="5"/>
    <x v="5"/>
    <x v="0"/>
    <x v="2"/>
    <x v="32"/>
    <x v="124"/>
    <x v="1314"/>
    <x v="0"/>
    <x v="7"/>
    <x v="2"/>
  </r>
  <r>
    <x v="7"/>
    <x v="83"/>
    <x v="1"/>
    <x v="1"/>
    <x v="0"/>
    <x v="2"/>
    <x v="32"/>
    <x v="215"/>
    <x v="1315"/>
    <x v="0"/>
    <x v="7"/>
    <x v="2"/>
  </r>
  <r>
    <x v="7"/>
    <x v="1"/>
    <x v="1"/>
    <x v="1"/>
    <x v="0"/>
    <x v="2"/>
    <x v="1"/>
    <x v="1"/>
    <x v="1"/>
    <x v="327"/>
    <x v="7"/>
    <x v="2"/>
  </r>
  <r>
    <x v="8"/>
    <x v="1"/>
    <x v="1"/>
    <x v="1"/>
    <x v="0"/>
    <x v="2"/>
    <x v="1"/>
    <x v="1"/>
    <x v="1"/>
    <x v="328"/>
    <x v="8"/>
    <x v="2"/>
  </r>
  <r>
    <x v="9"/>
    <x v="107"/>
    <x v="2"/>
    <x v="2"/>
    <x v="0"/>
    <x v="2"/>
    <x v="32"/>
    <x v="158"/>
    <x v="1316"/>
    <x v="0"/>
    <x v="9"/>
    <x v="2"/>
  </r>
  <r>
    <x v="9"/>
    <x v="125"/>
    <x v="5"/>
    <x v="5"/>
    <x v="0"/>
    <x v="2"/>
    <x v="32"/>
    <x v="82"/>
    <x v="1317"/>
    <x v="0"/>
    <x v="9"/>
    <x v="2"/>
  </r>
  <r>
    <x v="9"/>
    <x v="1"/>
    <x v="1"/>
    <x v="1"/>
    <x v="0"/>
    <x v="2"/>
    <x v="1"/>
    <x v="1"/>
    <x v="1"/>
    <x v="329"/>
    <x v="9"/>
    <x v="2"/>
  </r>
  <r>
    <x v="9"/>
    <x v="71"/>
    <x v="6"/>
    <x v="6"/>
    <x v="0"/>
    <x v="0"/>
    <x v="33"/>
    <x v="37"/>
    <x v="874"/>
    <x v="0"/>
    <x v="9"/>
    <x v="2"/>
  </r>
  <r>
    <x v="9"/>
    <x v="61"/>
    <x v="3"/>
    <x v="3"/>
    <x v="0"/>
    <x v="0"/>
    <x v="33"/>
    <x v="126"/>
    <x v="874"/>
    <x v="0"/>
    <x v="9"/>
    <x v="2"/>
  </r>
  <r>
    <x v="9"/>
    <x v="132"/>
    <x v="4"/>
    <x v="4"/>
    <x v="0"/>
    <x v="0"/>
    <x v="33"/>
    <x v="95"/>
    <x v="146"/>
    <x v="0"/>
    <x v="9"/>
    <x v="2"/>
  </r>
  <r>
    <x v="9"/>
    <x v="31"/>
    <x v="4"/>
    <x v="4"/>
    <x v="0"/>
    <x v="0"/>
    <x v="33"/>
    <x v="72"/>
    <x v="874"/>
    <x v="0"/>
    <x v="9"/>
    <x v="2"/>
  </r>
  <r>
    <x v="9"/>
    <x v="90"/>
    <x v="0"/>
    <x v="0"/>
    <x v="0"/>
    <x v="0"/>
    <x v="33"/>
    <x v="79"/>
    <x v="874"/>
    <x v="0"/>
    <x v="9"/>
    <x v="2"/>
  </r>
  <r>
    <x v="9"/>
    <x v="52"/>
    <x v="0"/>
    <x v="0"/>
    <x v="0"/>
    <x v="0"/>
    <x v="33"/>
    <x v="107"/>
    <x v="759"/>
    <x v="0"/>
    <x v="9"/>
    <x v="2"/>
  </r>
  <r>
    <x v="9"/>
    <x v="53"/>
    <x v="0"/>
    <x v="0"/>
    <x v="0"/>
    <x v="0"/>
    <x v="33"/>
    <x v="144"/>
    <x v="759"/>
    <x v="0"/>
    <x v="9"/>
    <x v="2"/>
  </r>
  <r>
    <x v="9"/>
    <x v="13"/>
    <x v="5"/>
    <x v="5"/>
    <x v="0"/>
    <x v="0"/>
    <x v="33"/>
    <x v="120"/>
    <x v="874"/>
    <x v="0"/>
    <x v="9"/>
    <x v="2"/>
  </r>
  <r>
    <x v="9"/>
    <x v="40"/>
    <x v="1"/>
    <x v="1"/>
    <x v="0"/>
    <x v="0"/>
    <x v="33"/>
    <x v="125"/>
    <x v="146"/>
    <x v="0"/>
    <x v="9"/>
    <x v="2"/>
  </r>
  <r>
    <x v="9"/>
    <x v="33"/>
    <x v="1"/>
    <x v="1"/>
    <x v="0"/>
    <x v="0"/>
    <x v="33"/>
    <x v="241"/>
    <x v="759"/>
    <x v="0"/>
    <x v="9"/>
    <x v="2"/>
  </r>
  <r>
    <x v="9"/>
    <x v="1"/>
    <x v="1"/>
    <x v="1"/>
    <x v="0"/>
    <x v="0"/>
    <x v="1"/>
    <x v="1"/>
    <x v="1"/>
    <x v="330"/>
    <x v="9"/>
    <x v="2"/>
  </r>
  <r>
    <x v="9"/>
    <x v="49"/>
    <x v="3"/>
    <x v="3"/>
    <x v="0"/>
    <x v="1"/>
    <x v="33"/>
    <x v="244"/>
    <x v="874"/>
    <x v="0"/>
    <x v="9"/>
    <x v="2"/>
  </r>
  <r>
    <x v="9"/>
    <x v="75"/>
    <x v="3"/>
    <x v="3"/>
    <x v="0"/>
    <x v="1"/>
    <x v="33"/>
    <x v="220"/>
    <x v="146"/>
    <x v="0"/>
    <x v="9"/>
    <x v="2"/>
  </r>
  <r>
    <x v="9"/>
    <x v="1"/>
    <x v="1"/>
    <x v="1"/>
    <x v="0"/>
    <x v="1"/>
    <x v="1"/>
    <x v="1"/>
    <x v="1"/>
    <x v="220"/>
    <x v="9"/>
    <x v="2"/>
  </r>
  <r>
    <x v="70"/>
    <x v="70"/>
    <x v="2"/>
    <x v="2"/>
    <x v="0"/>
    <x v="2"/>
    <x v="32"/>
    <x v="36"/>
    <x v="1318"/>
    <x v="0"/>
    <x v="70"/>
    <x v="2"/>
  </r>
  <r>
    <x v="70"/>
    <x v="1"/>
    <x v="1"/>
    <x v="1"/>
    <x v="0"/>
    <x v="2"/>
    <x v="1"/>
    <x v="1"/>
    <x v="1"/>
    <x v="331"/>
    <x v="70"/>
    <x v="2"/>
  </r>
  <r>
    <x v="10"/>
    <x v="70"/>
    <x v="2"/>
    <x v="2"/>
    <x v="0"/>
    <x v="2"/>
    <x v="32"/>
    <x v="36"/>
    <x v="1319"/>
    <x v="0"/>
    <x v="10"/>
    <x v="2"/>
  </r>
  <r>
    <x v="10"/>
    <x v="117"/>
    <x v="0"/>
    <x v="0"/>
    <x v="0"/>
    <x v="2"/>
    <x v="32"/>
    <x v="65"/>
    <x v="1320"/>
    <x v="0"/>
    <x v="10"/>
    <x v="2"/>
  </r>
  <r>
    <x v="10"/>
    <x v="1"/>
    <x v="1"/>
    <x v="1"/>
    <x v="0"/>
    <x v="2"/>
    <x v="1"/>
    <x v="1"/>
    <x v="1"/>
    <x v="332"/>
    <x v="10"/>
    <x v="2"/>
  </r>
  <r>
    <x v="10"/>
    <x v="16"/>
    <x v="2"/>
    <x v="2"/>
    <x v="0"/>
    <x v="0"/>
    <x v="33"/>
    <x v="93"/>
    <x v="765"/>
    <x v="0"/>
    <x v="10"/>
    <x v="2"/>
  </r>
  <r>
    <x v="10"/>
    <x v="106"/>
    <x v="2"/>
    <x v="2"/>
    <x v="0"/>
    <x v="0"/>
    <x v="33"/>
    <x v="223"/>
    <x v="934"/>
    <x v="0"/>
    <x v="10"/>
    <x v="2"/>
  </r>
  <r>
    <x v="10"/>
    <x v="47"/>
    <x v="2"/>
    <x v="2"/>
    <x v="0"/>
    <x v="0"/>
    <x v="33"/>
    <x v="68"/>
    <x v="765"/>
    <x v="0"/>
    <x v="10"/>
    <x v="2"/>
  </r>
  <r>
    <x v="10"/>
    <x v="118"/>
    <x v="2"/>
    <x v="2"/>
    <x v="0"/>
    <x v="0"/>
    <x v="33"/>
    <x v="69"/>
    <x v="759"/>
    <x v="0"/>
    <x v="10"/>
    <x v="2"/>
  </r>
  <r>
    <x v="10"/>
    <x v="24"/>
    <x v="2"/>
    <x v="2"/>
    <x v="0"/>
    <x v="0"/>
    <x v="33"/>
    <x v="202"/>
    <x v="759"/>
    <x v="0"/>
    <x v="10"/>
    <x v="2"/>
  </r>
  <r>
    <x v="10"/>
    <x v="144"/>
    <x v="2"/>
    <x v="2"/>
    <x v="0"/>
    <x v="0"/>
    <x v="33"/>
    <x v="162"/>
    <x v="1182"/>
    <x v="0"/>
    <x v="10"/>
    <x v="2"/>
  </r>
  <r>
    <x v="10"/>
    <x v="84"/>
    <x v="2"/>
    <x v="2"/>
    <x v="0"/>
    <x v="0"/>
    <x v="33"/>
    <x v="203"/>
    <x v="759"/>
    <x v="0"/>
    <x v="10"/>
    <x v="2"/>
  </r>
  <r>
    <x v="10"/>
    <x v="111"/>
    <x v="2"/>
    <x v="2"/>
    <x v="0"/>
    <x v="0"/>
    <x v="33"/>
    <x v="75"/>
    <x v="759"/>
    <x v="0"/>
    <x v="10"/>
    <x v="2"/>
  </r>
  <r>
    <x v="10"/>
    <x v="65"/>
    <x v="6"/>
    <x v="6"/>
    <x v="0"/>
    <x v="0"/>
    <x v="33"/>
    <x v="190"/>
    <x v="934"/>
    <x v="0"/>
    <x v="10"/>
    <x v="2"/>
  </r>
  <r>
    <x v="10"/>
    <x v="36"/>
    <x v="6"/>
    <x v="6"/>
    <x v="0"/>
    <x v="0"/>
    <x v="33"/>
    <x v="94"/>
    <x v="759"/>
    <x v="0"/>
    <x v="10"/>
    <x v="2"/>
  </r>
  <r>
    <x v="10"/>
    <x v="71"/>
    <x v="6"/>
    <x v="6"/>
    <x v="0"/>
    <x v="0"/>
    <x v="33"/>
    <x v="37"/>
    <x v="759"/>
    <x v="0"/>
    <x v="10"/>
    <x v="2"/>
  </r>
  <r>
    <x v="10"/>
    <x v="163"/>
    <x v="6"/>
    <x v="6"/>
    <x v="0"/>
    <x v="0"/>
    <x v="33"/>
    <x v="195"/>
    <x v="759"/>
    <x v="0"/>
    <x v="10"/>
    <x v="2"/>
  </r>
  <r>
    <x v="10"/>
    <x v="134"/>
    <x v="6"/>
    <x v="6"/>
    <x v="0"/>
    <x v="0"/>
    <x v="33"/>
    <x v="226"/>
    <x v="759"/>
    <x v="0"/>
    <x v="10"/>
    <x v="2"/>
  </r>
  <r>
    <x v="10"/>
    <x v="164"/>
    <x v="6"/>
    <x v="6"/>
    <x v="0"/>
    <x v="0"/>
    <x v="33"/>
    <x v="200"/>
    <x v="765"/>
    <x v="0"/>
    <x v="10"/>
    <x v="2"/>
  </r>
  <r>
    <x v="10"/>
    <x v="21"/>
    <x v="6"/>
    <x v="6"/>
    <x v="0"/>
    <x v="0"/>
    <x v="33"/>
    <x v="70"/>
    <x v="765"/>
    <x v="0"/>
    <x v="10"/>
    <x v="2"/>
  </r>
  <r>
    <x v="10"/>
    <x v="26"/>
    <x v="3"/>
    <x v="3"/>
    <x v="0"/>
    <x v="0"/>
    <x v="33"/>
    <x v="115"/>
    <x v="759"/>
    <x v="0"/>
    <x v="10"/>
    <x v="2"/>
  </r>
  <r>
    <x v="10"/>
    <x v="49"/>
    <x v="3"/>
    <x v="3"/>
    <x v="0"/>
    <x v="0"/>
    <x v="33"/>
    <x v="244"/>
    <x v="759"/>
    <x v="0"/>
    <x v="10"/>
    <x v="2"/>
  </r>
  <r>
    <x v="10"/>
    <x v="108"/>
    <x v="3"/>
    <x v="3"/>
    <x v="0"/>
    <x v="0"/>
    <x v="33"/>
    <x v="63"/>
    <x v="1215"/>
    <x v="0"/>
    <x v="10"/>
    <x v="2"/>
  </r>
  <r>
    <x v="10"/>
    <x v="27"/>
    <x v="3"/>
    <x v="3"/>
    <x v="0"/>
    <x v="0"/>
    <x v="33"/>
    <x v="43"/>
    <x v="759"/>
    <x v="0"/>
    <x v="10"/>
    <x v="2"/>
  </r>
  <r>
    <x v="10"/>
    <x v="43"/>
    <x v="3"/>
    <x v="3"/>
    <x v="0"/>
    <x v="0"/>
    <x v="33"/>
    <x v="71"/>
    <x v="146"/>
    <x v="0"/>
    <x v="10"/>
    <x v="2"/>
  </r>
  <r>
    <x v="10"/>
    <x v="75"/>
    <x v="3"/>
    <x v="3"/>
    <x v="0"/>
    <x v="0"/>
    <x v="33"/>
    <x v="220"/>
    <x v="759"/>
    <x v="0"/>
    <x v="10"/>
    <x v="2"/>
  </r>
  <r>
    <x v="10"/>
    <x v="148"/>
    <x v="3"/>
    <x v="3"/>
    <x v="0"/>
    <x v="0"/>
    <x v="33"/>
    <x v="174"/>
    <x v="859"/>
    <x v="0"/>
    <x v="10"/>
    <x v="2"/>
  </r>
  <r>
    <x v="10"/>
    <x v="79"/>
    <x v="3"/>
    <x v="3"/>
    <x v="0"/>
    <x v="0"/>
    <x v="33"/>
    <x v="142"/>
    <x v="1182"/>
    <x v="0"/>
    <x v="10"/>
    <x v="2"/>
  </r>
  <r>
    <x v="10"/>
    <x v="56"/>
    <x v="3"/>
    <x v="3"/>
    <x v="0"/>
    <x v="0"/>
    <x v="33"/>
    <x v="153"/>
    <x v="765"/>
    <x v="0"/>
    <x v="10"/>
    <x v="2"/>
  </r>
  <r>
    <x v="10"/>
    <x v="28"/>
    <x v="3"/>
    <x v="3"/>
    <x v="0"/>
    <x v="0"/>
    <x v="33"/>
    <x v="245"/>
    <x v="874"/>
    <x v="0"/>
    <x v="10"/>
    <x v="2"/>
  </r>
  <r>
    <x v="10"/>
    <x v="99"/>
    <x v="3"/>
    <x v="3"/>
    <x v="0"/>
    <x v="0"/>
    <x v="33"/>
    <x v="116"/>
    <x v="765"/>
    <x v="0"/>
    <x v="10"/>
    <x v="2"/>
  </r>
  <r>
    <x v="10"/>
    <x v="68"/>
    <x v="4"/>
    <x v="4"/>
    <x v="0"/>
    <x v="0"/>
    <x v="33"/>
    <x v="222"/>
    <x v="146"/>
    <x v="0"/>
    <x v="10"/>
    <x v="2"/>
  </r>
  <r>
    <x v="10"/>
    <x v="81"/>
    <x v="4"/>
    <x v="4"/>
    <x v="0"/>
    <x v="0"/>
    <x v="33"/>
    <x v="175"/>
    <x v="899"/>
    <x v="0"/>
    <x v="10"/>
    <x v="2"/>
  </r>
  <r>
    <x v="10"/>
    <x v="156"/>
    <x v="4"/>
    <x v="4"/>
    <x v="0"/>
    <x v="0"/>
    <x v="33"/>
    <x v="146"/>
    <x v="899"/>
    <x v="0"/>
    <x v="10"/>
    <x v="2"/>
  </r>
  <r>
    <x v="10"/>
    <x v="132"/>
    <x v="4"/>
    <x v="4"/>
    <x v="0"/>
    <x v="0"/>
    <x v="33"/>
    <x v="95"/>
    <x v="759"/>
    <x v="0"/>
    <x v="10"/>
    <x v="2"/>
  </r>
  <r>
    <x v="10"/>
    <x v="30"/>
    <x v="4"/>
    <x v="4"/>
    <x v="0"/>
    <x v="0"/>
    <x v="33"/>
    <x v="159"/>
    <x v="146"/>
    <x v="0"/>
    <x v="10"/>
    <x v="2"/>
  </r>
  <r>
    <x v="10"/>
    <x v="165"/>
    <x v="4"/>
    <x v="4"/>
    <x v="0"/>
    <x v="0"/>
    <x v="33"/>
    <x v="205"/>
    <x v="146"/>
    <x v="0"/>
    <x v="10"/>
    <x v="2"/>
  </r>
  <r>
    <x v="10"/>
    <x v="38"/>
    <x v="4"/>
    <x v="4"/>
    <x v="0"/>
    <x v="0"/>
    <x v="33"/>
    <x v="106"/>
    <x v="765"/>
    <x v="0"/>
    <x v="10"/>
    <x v="2"/>
  </r>
  <r>
    <x v="10"/>
    <x v="51"/>
    <x v="4"/>
    <x v="4"/>
    <x v="0"/>
    <x v="0"/>
    <x v="33"/>
    <x v="34"/>
    <x v="146"/>
    <x v="0"/>
    <x v="10"/>
    <x v="2"/>
  </r>
  <r>
    <x v="10"/>
    <x v="90"/>
    <x v="0"/>
    <x v="0"/>
    <x v="0"/>
    <x v="0"/>
    <x v="33"/>
    <x v="79"/>
    <x v="759"/>
    <x v="0"/>
    <x v="10"/>
    <x v="2"/>
  </r>
  <r>
    <x v="10"/>
    <x v="57"/>
    <x v="0"/>
    <x v="0"/>
    <x v="0"/>
    <x v="0"/>
    <x v="33"/>
    <x v="44"/>
    <x v="934"/>
    <x v="0"/>
    <x v="10"/>
    <x v="2"/>
  </r>
  <r>
    <x v="10"/>
    <x v="0"/>
    <x v="0"/>
    <x v="0"/>
    <x v="0"/>
    <x v="0"/>
    <x v="33"/>
    <x v="197"/>
    <x v="759"/>
    <x v="0"/>
    <x v="10"/>
    <x v="2"/>
  </r>
  <r>
    <x v="10"/>
    <x v="91"/>
    <x v="0"/>
    <x v="0"/>
    <x v="0"/>
    <x v="0"/>
    <x v="33"/>
    <x v="118"/>
    <x v="146"/>
    <x v="0"/>
    <x v="10"/>
    <x v="2"/>
  </r>
  <r>
    <x v="10"/>
    <x v="53"/>
    <x v="0"/>
    <x v="0"/>
    <x v="0"/>
    <x v="0"/>
    <x v="33"/>
    <x v="144"/>
    <x v="899"/>
    <x v="0"/>
    <x v="10"/>
    <x v="2"/>
  </r>
  <r>
    <x v="10"/>
    <x v="45"/>
    <x v="0"/>
    <x v="0"/>
    <x v="0"/>
    <x v="0"/>
    <x v="33"/>
    <x v="180"/>
    <x v="1182"/>
    <x v="0"/>
    <x v="10"/>
    <x v="2"/>
  </r>
  <r>
    <x v="10"/>
    <x v="92"/>
    <x v="0"/>
    <x v="0"/>
    <x v="0"/>
    <x v="0"/>
    <x v="33"/>
    <x v="109"/>
    <x v="874"/>
    <x v="0"/>
    <x v="10"/>
    <x v="2"/>
  </r>
  <r>
    <x v="10"/>
    <x v="136"/>
    <x v="0"/>
    <x v="0"/>
    <x v="0"/>
    <x v="0"/>
    <x v="33"/>
    <x v="100"/>
    <x v="874"/>
    <x v="0"/>
    <x v="10"/>
    <x v="2"/>
  </r>
  <r>
    <x v="10"/>
    <x v="122"/>
    <x v="0"/>
    <x v="0"/>
    <x v="0"/>
    <x v="0"/>
    <x v="33"/>
    <x v="181"/>
    <x v="759"/>
    <x v="0"/>
    <x v="10"/>
    <x v="2"/>
  </r>
  <r>
    <x v="10"/>
    <x v="145"/>
    <x v="5"/>
    <x v="5"/>
    <x v="0"/>
    <x v="0"/>
    <x v="33"/>
    <x v="124"/>
    <x v="848"/>
    <x v="0"/>
    <x v="10"/>
    <x v="2"/>
  </r>
  <r>
    <x v="10"/>
    <x v="72"/>
    <x v="5"/>
    <x v="5"/>
    <x v="0"/>
    <x v="0"/>
    <x v="33"/>
    <x v="38"/>
    <x v="934"/>
    <x v="0"/>
    <x v="10"/>
    <x v="2"/>
  </r>
  <r>
    <x v="10"/>
    <x v="77"/>
    <x v="5"/>
    <x v="5"/>
    <x v="0"/>
    <x v="0"/>
    <x v="33"/>
    <x v="156"/>
    <x v="874"/>
    <x v="0"/>
    <x v="10"/>
    <x v="2"/>
  </r>
  <r>
    <x v="10"/>
    <x v="139"/>
    <x v="5"/>
    <x v="5"/>
    <x v="0"/>
    <x v="0"/>
    <x v="33"/>
    <x v="110"/>
    <x v="899"/>
    <x v="0"/>
    <x v="10"/>
    <x v="2"/>
  </r>
  <r>
    <x v="10"/>
    <x v="63"/>
    <x v="5"/>
    <x v="5"/>
    <x v="0"/>
    <x v="0"/>
    <x v="33"/>
    <x v="111"/>
    <x v="899"/>
    <x v="0"/>
    <x v="10"/>
    <x v="2"/>
  </r>
  <r>
    <x v="10"/>
    <x v="123"/>
    <x v="5"/>
    <x v="5"/>
    <x v="0"/>
    <x v="0"/>
    <x v="33"/>
    <x v="74"/>
    <x v="765"/>
    <x v="0"/>
    <x v="10"/>
    <x v="2"/>
  </r>
  <r>
    <x v="10"/>
    <x v="54"/>
    <x v="5"/>
    <x v="5"/>
    <x v="0"/>
    <x v="0"/>
    <x v="33"/>
    <x v="246"/>
    <x v="759"/>
    <x v="0"/>
    <x v="10"/>
    <x v="2"/>
  </r>
  <r>
    <x v="10"/>
    <x v="150"/>
    <x v="5"/>
    <x v="5"/>
    <x v="0"/>
    <x v="0"/>
    <x v="33"/>
    <x v="214"/>
    <x v="759"/>
    <x v="0"/>
    <x v="10"/>
    <x v="2"/>
  </r>
  <r>
    <x v="10"/>
    <x v="40"/>
    <x v="1"/>
    <x v="1"/>
    <x v="0"/>
    <x v="0"/>
    <x v="33"/>
    <x v="125"/>
    <x v="759"/>
    <x v="0"/>
    <x v="10"/>
    <x v="2"/>
  </r>
  <r>
    <x v="10"/>
    <x v="95"/>
    <x v="1"/>
    <x v="1"/>
    <x v="0"/>
    <x v="0"/>
    <x v="33"/>
    <x v="97"/>
    <x v="859"/>
    <x v="0"/>
    <x v="10"/>
    <x v="2"/>
  </r>
  <r>
    <x v="10"/>
    <x v="151"/>
    <x v="1"/>
    <x v="1"/>
    <x v="0"/>
    <x v="0"/>
    <x v="33"/>
    <x v="166"/>
    <x v="765"/>
    <x v="0"/>
    <x v="10"/>
    <x v="2"/>
  </r>
  <r>
    <x v="10"/>
    <x v="42"/>
    <x v="1"/>
    <x v="1"/>
    <x v="0"/>
    <x v="0"/>
    <x v="33"/>
    <x v="167"/>
    <x v="934"/>
    <x v="0"/>
    <x v="10"/>
    <x v="2"/>
  </r>
  <r>
    <x v="10"/>
    <x v="101"/>
    <x v="1"/>
    <x v="1"/>
    <x v="0"/>
    <x v="0"/>
    <x v="33"/>
    <x v="207"/>
    <x v="1132"/>
    <x v="0"/>
    <x v="10"/>
    <x v="2"/>
  </r>
  <r>
    <x v="10"/>
    <x v="128"/>
    <x v="1"/>
    <x v="1"/>
    <x v="0"/>
    <x v="0"/>
    <x v="33"/>
    <x v="164"/>
    <x v="765"/>
    <x v="0"/>
    <x v="10"/>
    <x v="2"/>
  </r>
  <r>
    <x v="10"/>
    <x v="1"/>
    <x v="1"/>
    <x v="1"/>
    <x v="0"/>
    <x v="0"/>
    <x v="1"/>
    <x v="1"/>
    <x v="1"/>
    <x v="333"/>
    <x v="10"/>
    <x v="2"/>
  </r>
  <r>
    <x v="10"/>
    <x v="144"/>
    <x v="2"/>
    <x v="2"/>
    <x v="0"/>
    <x v="1"/>
    <x v="33"/>
    <x v="162"/>
    <x v="759"/>
    <x v="0"/>
    <x v="10"/>
    <x v="2"/>
  </r>
  <r>
    <x v="10"/>
    <x v="87"/>
    <x v="6"/>
    <x v="6"/>
    <x v="0"/>
    <x v="1"/>
    <x v="33"/>
    <x v="189"/>
    <x v="146"/>
    <x v="0"/>
    <x v="10"/>
    <x v="2"/>
  </r>
  <r>
    <x v="10"/>
    <x v="71"/>
    <x v="6"/>
    <x v="6"/>
    <x v="0"/>
    <x v="1"/>
    <x v="33"/>
    <x v="37"/>
    <x v="146"/>
    <x v="0"/>
    <x v="10"/>
    <x v="2"/>
  </r>
  <r>
    <x v="10"/>
    <x v="113"/>
    <x v="6"/>
    <x v="6"/>
    <x v="0"/>
    <x v="1"/>
    <x v="33"/>
    <x v="89"/>
    <x v="874"/>
    <x v="0"/>
    <x v="10"/>
    <x v="2"/>
  </r>
  <r>
    <x v="10"/>
    <x v="21"/>
    <x v="6"/>
    <x v="6"/>
    <x v="0"/>
    <x v="1"/>
    <x v="33"/>
    <x v="70"/>
    <x v="874"/>
    <x v="0"/>
    <x v="10"/>
    <x v="2"/>
  </r>
  <r>
    <x v="10"/>
    <x v="108"/>
    <x v="3"/>
    <x v="3"/>
    <x v="0"/>
    <x v="1"/>
    <x v="33"/>
    <x v="63"/>
    <x v="759"/>
    <x v="0"/>
    <x v="10"/>
    <x v="2"/>
  </r>
  <r>
    <x v="10"/>
    <x v="30"/>
    <x v="4"/>
    <x v="4"/>
    <x v="0"/>
    <x v="1"/>
    <x v="33"/>
    <x v="159"/>
    <x v="874"/>
    <x v="0"/>
    <x v="10"/>
    <x v="2"/>
  </r>
  <r>
    <x v="10"/>
    <x v="51"/>
    <x v="4"/>
    <x v="4"/>
    <x v="0"/>
    <x v="1"/>
    <x v="33"/>
    <x v="34"/>
    <x v="874"/>
    <x v="0"/>
    <x v="10"/>
    <x v="2"/>
  </r>
  <r>
    <x v="10"/>
    <x v="57"/>
    <x v="0"/>
    <x v="0"/>
    <x v="0"/>
    <x v="1"/>
    <x v="33"/>
    <x v="44"/>
    <x v="874"/>
    <x v="0"/>
    <x v="10"/>
    <x v="2"/>
  </r>
  <r>
    <x v="10"/>
    <x v="91"/>
    <x v="0"/>
    <x v="0"/>
    <x v="0"/>
    <x v="1"/>
    <x v="33"/>
    <x v="118"/>
    <x v="874"/>
    <x v="0"/>
    <x v="10"/>
    <x v="2"/>
  </r>
  <r>
    <x v="10"/>
    <x v="122"/>
    <x v="0"/>
    <x v="0"/>
    <x v="0"/>
    <x v="1"/>
    <x v="33"/>
    <x v="181"/>
    <x v="874"/>
    <x v="0"/>
    <x v="10"/>
    <x v="2"/>
  </r>
  <r>
    <x v="10"/>
    <x v="95"/>
    <x v="1"/>
    <x v="1"/>
    <x v="0"/>
    <x v="1"/>
    <x v="33"/>
    <x v="97"/>
    <x v="874"/>
    <x v="0"/>
    <x v="10"/>
    <x v="2"/>
  </r>
  <r>
    <x v="10"/>
    <x v="151"/>
    <x v="1"/>
    <x v="1"/>
    <x v="0"/>
    <x v="1"/>
    <x v="33"/>
    <x v="166"/>
    <x v="874"/>
    <x v="0"/>
    <x v="10"/>
    <x v="2"/>
  </r>
  <r>
    <x v="10"/>
    <x v="1"/>
    <x v="1"/>
    <x v="1"/>
    <x v="0"/>
    <x v="1"/>
    <x v="1"/>
    <x v="1"/>
    <x v="1"/>
    <x v="322"/>
    <x v="10"/>
    <x v="2"/>
  </r>
  <r>
    <x v="11"/>
    <x v="119"/>
    <x v="0"/>
    <x v="0"/>
    <x v="0"/>
    <x v="1"/>
    <x v="33"/>
    <x v="96"/>
    <x v="874"/>
    <x v="0"/>
    <x v="11"/>
    <x v="2"/>
  </r>
  <r>
    <x v="11"/>
    <x v="1"/>
    <x v="1"/>
    <x v="1"/>
    <x v="0"/>
    <x v="1"/>
    <x v="1"/>
    <x v="1"/>
    <x v="1"/>
    <x v="216"/>
    <x v="11"/>
    <x v="2"/>
  </r>
  <r>
    <x v="12"/>
    <x v="70"/>
    <x v="2"/>
    <x v="2"/>
    <x v="0"/>
    <x v="2"/>
    <x v="32"/>
    <x v="36"/>
    <x v="537"/>
    <x v="0"/>
    <x v="12"/>
    <x v="2"/>
  </r>
  <r>
    <x v="12"/>
    <x v="43"/>
    <x v="3"/>
    <x v="3"/>
    <x v="0"/>
    <x v="2"/>
    <x v="32"/>
    <x v="71"/>
    <x v="1321"/>
    <x v="0"/>
    <x v="12"/>
    <x v="2"/>
  </r>
  <r>
    <x v="12"/>
    <x v="160"/>
    <x v="0"/>
    <x v="0"/>
    <x v="0"/>
    <x v="2"/>
    <x v="32"/>
    <x v="179"/>
    <x v="1322"/>
    <x v="0"/>
    <x v="12"/>
    <x v="2"/>
  </r>
  <r>
    <x v="12"/>
    <x v="40"/>
    <x v="1"/>
    <x v="1"/>
    <x v="0"/>
    <x v="2"/>
    <x v="32"/>
    <x v="125"/>
    <x v="1157"/>
    <x v="0"/>
    <x v="12"/>
    <x v="2"/>
  </r>
  <r>
    <x v="12"/>
    <x v="1"/>
    <x v="1"/>
    <x v="1"/>
    <x v="0"/>
    <x v="2"/>
    <x v="1"/>
    <x v="1"/>
    <x v="1"/>
    <x v="334"/>
    <x v="12"/>
    <x v="2"/>
  </r>
  <r>
    <x v="15"/>
    <x v="64"/>
    <x v="2"/>
    <x v="2"/>
    <x v="0"/>
    <x v="2"/>
    <x v="32"/>
    <x v="139"/>
    <x v="1323"/>
    <x v="0"/>
    <x v="15"/>
    <x v="2"/>
  </r>
  <r>
    <x v="15"/>
    <x v="135"/>
    <x v="3"/>
    <x v="3"/>
    <x v="0"/>
    <x v="2"/>
    <x v="32"/>
    <x v="149"/>
    <x v="1324"/>
    <x v="0"/>
    <x v="15"/>
    <x v="2"/>
  </r>
  <r>
    <x v="15"/>
    <x v="159"/>
    <x v="0"/>
    <x v="0"/>
    <x v="0"/>
    <x v="2"/>
    <x v="32"/>
    <x v="177"/>
    <x v="1325"/>
    <x v="0"/>
    <x v="15"/>
    <x v="2"/>
  </r>
  <r>
    <x v="15"/>
    <x v="160"/>
    <x v="0"/>
    <x v="0"/>
    <x v="0"/>
    <x v="2"/>
    <x v="32"/>
    <x v="179"/>
    <x v="1326"/>
    <x v="0"/>
    <x v="15"/>
    <x v="2"/>
  </r>
  <r>
    <x v="15"/>
    <x v="145"/>
    <x v="5"/>
    <x v="5"/>
    <x v="0"/>
    <x v="2"/>
    <x v="32"/>
    <x v="124"/>
    <x v="1327"/>
    <x v="0"/>
    <x v="15"/>
    <x v="2"/>
  </r>
  <r>
    <x v="15"/>
    <x v="40"/>
    <x v="1"/>
    <x v="1"/>
    <x v="0"/>
    <x v="2"/>
    <x v="32"/>
    <x v="125"/>
    <x v="1328"/>
    <x v="0"/>
    <x v="15"/>
    <x v="2"/>
  </r>
  <r>
    <x v="15"/>
    <x v="101"/>
    <x v="1"/>
    <x v="1"/>
    <x v="0"/>
    <x v="2"/>
    <x v="32"/>
    <x v="207"/>
    <x v="1329"/>
    <x v="0"/>
    <x v="15"/>
    <x v="2"/>
  </r>
  <r>
    <x v="15"/>
    <x v="1"/>
    <x v="1"/>
    <x v="1"/>
    <x v="0"/>
    <x v="2"/>
    <x v="1"/>
    <x v="1"/>
    <x v="1"/>
    <x v="335"/>
    <x v="15"/>
    <x v="2"/>
  </r>
  <r>
    <x v="15"/>
    <x v="16"/>
    <x v="2"/>
    <x v="2"/>
    <x v="0"/>
    <x v="0"/>
    <x v="33"/>
    <x v="93"/>
    <x v="899"/>
    <x v="0"/>
    <x v="15"/>
    <x v="2"/>
  </r>
  <r>
    <x v="15"/>
    <x v="118"/>
    <x v="2"/>
    <x v="2"/>
    <x v="0"/>
    <x v="0"/>
    <x v="33"/>
    <x v="69"/>
    <x v="759"/>
    <x v="0"/>
    <x v="15"/>
    <x v="2"/>
  </r>
  <r>
    <x v="15"/>
    <x v="144"/>
    <x v="2"/>
    <x v="2"/>
    <x v="0"/>
    <x v="0"/>
    <x v="33"/>
    <x v="162"/>
    <x v="934"/>
    <x v="0"/>
    <x v="15"/>
    <x v="2"/>
  </r>
  <r>
    <x v="15"/>
    <x v="65"/>
    <x v="6"/>
    <x v="6"/>
    <x v="0"/>
    <x v="0"/>
    <x v="33"/>
    <x v="190"/>
    <x v="146"/>
    <x v="0"/>
    <x v="15"/>
    <x v="2"/>
  </r>
  <r>
    <x v="15"/>
    <x v="36"/>
    <x v="6"/>
    <x v="6"/>
    <x v="0"/>
    <x v="0"/>
    <x v="33"/>
    <x v="94"/>
    <x v="874"/>
    <x v="0"/>
    <x v="15"/>
    <x v="2"/>
  </r>
  <r>
    <x v="15"/>
    <x v="88"/>
    <x v="6"/>
    <x v="6"/>
    <x v="0"/>
    <x v="0"/>
    <x v="33"/>
    <x v="242"/>
    <x v="146"/>
    <x v="0"/>
    <x v="15"/>
    <x v="2"/>
  </r>
  <r>
    <x v="15"/>
    <x v="113"/>
    <x v="6"/>
    <x v="6"/>
    <x v="0"/>
    <x v="0"/>
    <x v="33"/>
    <x v="89"/>
    <x v="874"/>
    <x v="0"/>
    <x v="15"/>
    <x v="2"/>
  </r>
  <r>
    <x v="15"/>
    <x v="21"/>
    <x v="6"/>
    <x v="6"/>
    <x v="0"/>
    <x v="0"/>
    <x v="33"/>
    <x v="70"/>
    <x v="146"/>
    <x v="0"/>
    <x v="15"/>
    <x v="2"/>
  </r>
  <r>
    <x v="15"/>
    <x v="23"/>
    <x v="3"/>
    <x v="3"/>
    <x v="0"/>
    <x v="0"/>
    <x v="33"/>
    <x v="221"/>
    <x v="765"/>
    <x v="0"/>
    <x v="15"/>
    <x v="2"/>
  </r>
  <r>
    <x v="15"/>
    <x v="49"/>
    <x v="3"/>
    <x v="3"/>
    <x v="0"/>
    <x v="0"/>
    <x v="33"/>
    <x v="244"/>
    <x v="874"/>
    <x v="0"/>
    <x v="15"/>
    <x v="2"/>
  </r>
  <r>
    <x v="15"/>
    <x v="43"/>
    <x v="3"/>
    <x v="3"/>
    <x v="0"/>
    <x v="0"/>
    <x v="33"/>
    <x v="71"/>
    <x v="759"/>
    <x v="0"/>
    <x v="15"/>
    <x v="2"/>
  </r>
  <r>
    <x v="15"/>
    <x v="75"/>
    <x v="3"/>
    <x v="3"/>
    <x v="0"/>
    <x v="0"/>
    <x v="33"/>
    <x v="220"/>
    <x v="1182"/>
    <x v="0"/>
    <x v="15"/>
    <x v="2"/>
  </r>
  <r>
    <x v="15"/>
    <x v="30"/>
    <x v="4"/>
    <x v="4"/>
    <x v="0"/>
    <x v="0"/>
    <x v="33"/>
    <x v="159"/>
    <x v="765"/>
    <x v="0"/>
    <x v="15"/>
    <x v="2"/>
  </r>
  <r>
    <x v="15"/>
    <x v="116"/>
    <x v="0"/>
    <x v="0"/>
    <x v="0"/>
    <x v="0"/>
    <x v="33"/>
    <x v="64"/>
    <x v="759"/>
    <x v="0"/>
    <x v="15"/>
    <x v="2"/>
  </r>
  <r>
    <x v="15"/>
    <x v="53"/>
    <x v="0"/>
    <x v="0"/>
    <x v="0"/>
    <x v="0"/>
    <x v="33"/>
    <x v="144"/>
    <x v="146"/>
    <x v="0"/>
    <x v="15"/>
    <x v="2"/>
  </r>
  <r>
    <x v="15"/>
    <x v="76"/>
    <x v="5"/>
    <x v="5"/>
    <x v="0"/>
    <x v="0"/>
    <x v="33"/>
    <x v="182"/>
    <x v="765"/>
    <x v="0"/>
    <x v="15"/>
    <x v="2"/>
  </r>
  <r>
    <x v="15"/>
    <x v="145"/>
    <x v="5"/>
    <x v="5"/>
    <x v="0"/>
    <x v="0"/>
    <x v="33"/>
    <x v="124"/>
    <x v="765"/>
    <x v="0"/>
    <x v="15"/>
    <x v="2"/>
  </r>
  <r>
    <x v="15"/>
    <x v="77"/>
    <x v="5"/>
    <x v="5"/>
    <x v="0"/>
    <x v="0"/>
    <x v="33"/>
    <x v="156"/>
    <x v="759"/>
    <x v="0"/>
    <x v="15"/>
    <x v="2"/>
  </r>
  <r>
    <x v="15"/>
    <x v="139"/>
    <x v="5"/>
    <x v="5"/>
    <x v="0"/>
    <x v="0"/>
    <x v="33"/>
    <x v="110"/>
    <x v="146"/>
    <x v="0"/>
    <x v="15"/>
    <x v="2"/>
  </r>
  <r>
    <x v="15"/>
    <x v="40"/>
    <x v="1"/>
    <x v="1"/>
    <x v="0"/>
    <x v="0"/>
    <x v="33"/>
    <x v="125"/>
    <x v="146"/>
    <x v="0"/>
    <x v="15"/>
    <x v="2"/>
  </r>
  <r>
    <x v="15"/>
    <x v="42"/>
    <x v="1"/>
    <x v="1"/>
    <x v="0"/>
    <x v="0"/>
    <x v="33"/>
    <x v="167"/>
    <x v="899"/>
    <x v="0"/>
    <x v="15"/>
    <x v="2"/>
  </r>
  <r>
    <x v="15"/>
    <x v="1"/>
    <x v="1"/>
    <x v="1"/>
    <x v="0"/>
    <x v="0"/>
    <x v="1"/>
    <x v="1"/>
    <x v="1"/>
    <x v="336"/>
    <x v="15"/>
    <x v="2"/>
  </r>
  <r>
    <x v="15"/>
    <x v="120"/>
    <x v="0"/>
    <x v="0"/>
    <x v="0"/>
    <x v="1"/>
    <x v="33"/>
    <x v="212"/>
    <x v="874"/>
    <x v="0"/>
    <x v="15"/>
    <x v="2"/>
  </r>
  <r>
    <x v="15"/>
    <x v="100"/>
    <x v="0"/>
    <x v="0"/>
    <x v="0"/>
    <x v="1"/>
    <x v="33"/>
    <x v="73"/>
    <x v="874"/>
    <x v="0"/>
    <x v="15"/>
    <x v="2"/>
  </r>
  <r>
    <x v="15"/>
    <x v="1"/>
    <x v="1"/>
    <x v="1"/>
    <x v="0"/>
    <x v="1"/>
    <x v="1"/>
    <x v="1"/>
    <x v="1"/>
    <x v="261"/>
    <x v="15"/>
    <x v="2"/>
  </r>
  <r>
    <x v="16"/>
    <x v="31"/>
    <x v="4"/>
    <x v="4"/>
    <x v="0"/>
    <x v="2"/>
    <x v="33"/>
    <x v="72"/>
    <x v="874"/>
    <x v="0"/>
    <x v="16"/>
    <x v="2"/>
  </r>
  <r>
    <x v="16"/>
    <x v="1"/>
    <x v="1"/>
    <x v="1"/>
    <x v="0"/>
    <x v="2"/>
    <x v="1"/>
    <x v="1"/>
    <x v="1"/>
    <x v="216"/>
    <x v="16"/>
    <x v="2"/>
  </r>
  <r>
    <x v="16"/>
    <x v="16"/>
    <x v="2"/>
    <x v="2"/>
    <x v="0"/>
    <x v="0"/>
    <x v="33"/>
    <x v="93"/>
    <x v="1215"/>
    <x v="0"/>
    <x v="16"/>
    <x v="2"/>
  </r>
  <r>
    <x v="16"/>
    <x v="106"/>
    <x v="2"/>
    <x v="2"/>
    <x v="0"/>
    <x v="0"/>
    <x v="33"/>
    <x v="223"/>
    <x v="1182"/>
    <x v="0"/>
    <x v="16"/>
    <x v="2"/>
  </r>
  <r>
    <x v="16"/>
    <x v="47"/>
    <x v="2"/>
    <x v="2"/>
    <x v="0"/>
    <x v="0"/>
    <x v="33"/>
    <x v="68"/>
    <x v="1182"/>
    <x v="0"/>
    <x v="16"/>
    <x v="2"/>
  </r>
  <r>
    <x v="16"/>
    <x v="85"/>
    <x v="2"/>
    <x v="2"/>
    <x v="0"/>
    <x v="0"/>
    <x v="33"/>
    <x v="161"/>
    <x v="1132"/>
    <x v="0"/>
    <x v="16"/>
    <x v="2"/>
  </r>
  <r>
    <x v="16"/>
    <x v="24"/>
    <x v="2"/>
    <x v="2"/>
    <x v="0"/>
    <x v="0"/>
    <x v="33"/>
    <x v="202"/>
    <x v="759"/>
    <x v="0"/>
    <x v="16"/>
    <x v="2"/>
  </r>
  <r>
    <x v="16"/>
    <x v="107"/>
    <x v="2"/>
    <x v="2"/>
    <x v="0"/>
    <x v="0"/>
    <x v="33"/>
    <x v="158"/>
    <x v="765"/>
    <x v="0"/>
    <x v="16"/>
    <x v="2"/>
  </r>
  <r>
    <x v="16"/>
    <x v="144"/>
    <x v="2"/>
    <x v="2"/>
    <x v="0"/>
    <x v="0"/>
    <x v="33"/>
    <x v="162"/>
    <x v="765"/>
    <x v="0"/>
    <x v="16"/>
    <x v="2"/>
  </r>
  <r>
    <x v="16"/>
    <x v="84"/>
    <x v="2"/>
    <x v="2"/>
    <x v="0"/>
    <x v="0"/>
    <x v="33"/>
    <x v="203"/>
    <x v="982"/>
    <x v="0"/>
    <x v="16"/>
    <x v="2"/>
  </r>
  <r>
    <x v="16"/>
    <x v="110"/>
    <x v="2"/>
    <x v="2"/>
    <x v="0"/>
    <x v="0"/>
    <x v="33"/>
    <x v="171"/>
    <x v="765"/>
    <x v="0"/>
    <x v="16"/>
    <x v="2"/>
  </r>
  <r>
    <x v="16"/>
    <x v="17"/>
    <x v="2"/>
    <x v="2"/>
    <x v="0"/>
    <x v="0"/>
    <x v="33"/>
    <x v="150"/>
    <x v="765"/>
    <x v="0"/>
    <x v="16"/>
    <x v="2"/>
  </r>
  <r>
    <x v="16"/>
    <x v="111"/>
    <x v="2"/>
    <x v="2"/>
    <x v="0"/>
    <x v="0"/>
    <x v="33"/>
    <x v="75"/>
    <x v="1182"/>
    <x v="0"/>
    <x v="16"/>
    <x v="2"/>
  </r>
  <r>
    <x v="16"/>
    <x v="86"/>
    <x v="6"/>
    <x v="6"/>
    <x v="0"/>
    <x v="0"/>
    <x v="33"/>
    <x v="224"/>
    <x v="759"/>
    <x v="0"/>
    <x v="16"/>
    <x v="2"/>
  </r>
  <r>
    <x v="16"/>
    <x v="65"/>
    <x v="6"/>
    <x v="6"/>
    <x v="0"/>
    <x v="0"/>
    <x v="33"/>
    <x v="190"/>
    <x v="934"/>
    <x v="0"/>
    <x v="16"/>
    <x v="2"/>
  </r>
  <r>
    <x v="16"/>
    <x v="36"/>
    <x v="6"/>
    <x v="6"/>
    <x v="0"/>
    <x v="0"/>
    <x v="33"/>
    <x v="94"/>
    <x v="1182"/>
    <x v="0"/>
    <x v="16"/>
    <x v="2"/>
  </r>
  <r>
    <x v="16"/>
    <x v="87"/>
    <x v="6"/>
    <x v="6"/>
    <x v="0"/>
    <x v="0"/>
    <x v="33"/>
    <x v="189"/>
    <x v="759"/>
    <x v="0"/>
    <x v="16"/>
    <x v="2"/>
  </r>
  <r>
    <x v="16"/>
    <x v="71"/>
    <x v="6"/>
    <x v="6"/>
    <x v="0"/>
    <x v="0"/>
    <x v="33"/>
    <x v="37"/>
    <x v="859"/>
    <x v="0"/>
    <x v="16"/>
    <x v="2"/>
  </r>
  <r>
    <x v="16"/>
    <x v="102"/>
    <x v="6"/>
    <x v="6"/>
    <x v="0"/>
    <x v="0"/>
    <x v="33"/>
    <x v="141"/>
    <x v="1132"/>
    <x v="0"/>
    <x v="16"/>
    <x v="2"/>
  </r>
  <r>
    <x v="16"/>
    <x v="134"/>
    <x v="6"/>
    <x v="6"/>
    <x v="0"/>
    <x v="0"/>
    <x v="33"/>
    <x v="226"/>
    <x v="765"/>
    <x v="0"/>
    <x v="16"/>
    <x v="2"/>
  </r>
  <r>
    <x v="16"/>
    <x v="147"/>
    <x v="6"/>
    <x v="6"/>
    <x v="0"/>
    <x v="0"/>
    <x v="33"/>
    <x v="132"/>
    <x v="759"/>
    <x v="0"/>
    <x v="16"/>
    <x v="2"/>
  </r>
  <r>
    <x v="16"/>
    <x v="11"/>
    <x v="6"/>
    <x v="6"/>
    <x v="0"/>
    <x v="0"/>
    <x v="33"/>
    <x v="91"/>
    <x v="859"/>
    <x v="0"/>
    <x v="16"/>
    <x v="2"/>
  </r>
  <r>
    <x v="16"/>
    <x v="21"/>
    <x v="6"/>
    <x v="6"/>
    <x v="0"/>
    <x v="0"/>
    <x v="33"/>
    <x v="70"/>
    <x v="874"/>
    <x v="0"/>
    <x v="16"/>
    <x v="2"/>
  </r>
  <r>
    <x v="16"/>
    <x v="137"/>
    <x v="6"/>
    <x v="6"/>
    <x v="0"/>
    <x v="0"/>
    <x v="33"/>
    <x v="102"/>
    <x v="146"/>
    <x v="0"/>
    <x v="16"/>
    <x v="2"/>
  </r>
  <r>
    <x v="16"/>
    <x v="26"/>
    <x v="3"/>
    <x v="3"/>
    <x v="0"/>
    <x v="0"/>
    <x v="33"/>
    <x v="115"/>
    <x v="146"/>
    <x v="0"/>
    <x v="16"/>
    <x v="2"/>
  </r>
  <r>
    <x v="16"/>
    <x v="23"/>
    <x v="3"/>
    <x v="3"/>
    <x v="0"/>
    <x v="0"/>
    <x v="33"/>
    <x v="221"/>
    <x v="859"/>
    <x v="0"/>
    <x v="16"/>
    <x v="2"/>
  </r>
  <r>
    <x v="16"/>
    <x v="19"/>
    <x v="3"/>
    <x v="3"/>
    <x v="0"/>
    <x v="0"/>
    <x v="33"/>
    <x v="62"/>
    <x v="765"/>
    <x v="0"/>
    <x v="16"/>
    <x v="2"/>
  </r>
  <r>
    <x v="16"/>
    <x v="108"/>
    <x v="3"/>
    <x v="3"/>
    <x v="0"/>
    <x v="0"/>
    <x v="33"/>
    <x v="63"/>
    <x v="952"/>
    <x v="0"/>
    <x v="16"/>
    <x v="2"/>
  </r>
  <r>
    <x v="16"/>
    <x v="27"/>
    <x v="3"/>
    <x v="3"/>
    <x v="0"/>
    <x v="0"/>
    <x v="33"/>
    <x v="43"/>
    <x v="765"/>
    <x v="0"/>
    <x v="16"/>
    <x v="2"/>
  </r>
  <r>
    <x v="16"/>
    <x v="114"/>
    <x v="3"/>
    <x v="3"/>
    <x v="0"/>
    <x v="0"/>
    <x v="33"/>
    <x v="76"/>
    <x v="1132"/>
    <x v="0"/>
    <x v="16"/>
    <x v="2"/>
  </r>
  <r>
    <x v="16"/>
    <x v="43"/>
    <x v="3"/>
    <x v="3"/>
    <x v="0"/>
    <x v="0"/>
    <x v="33"/>
    <x v="71"/>
    <x v="952"/>
    <x v="0"/>
    <x v="16"/>
    <x v="2"/>
  </r>
  <r>
    <x v="16"/>
    <x v="61"/>
    <x v="3"/>
    <x v="3"/>
    <x v="0"/>
    <x v="0"/>
    <x v="33"/>
    <x v="126"/>
    <x v="899"/>
    <x v="0"/>
    <x v="16"/>
    <x v="2"/>
  </r>
  <r>
    <x v="16"/>
    <x v="148"/>
    <x v="3"/>
    <x v="3"/>
    <x v="0"/>
    <x v="0"/>
    <x v="33"/>
    <x v="174"/>
    <x v="874"/>
    <x v="0"/>
    <x v="16"/>
    <x v="2"/>
  </r>
  <r>
    <x v="16"/>
    <x v="79"/>
    <x v="3"/>
    <x v="3"/>
    <x v="0"/>
    <x v="0"/>
    <x v="33"/>
    <x v="142"/>
    <x v="1182"/>
    <x v="0"/>
    <x v="16"/>
    <x v="2"/>
  </r>
  <r>
    <x v="16"/>
    <x v="56"/>
    <x v="3"/>
    <x v="3"/>
    <x v="0"/>
    <x v="0"/>
    <x v="33"/>
    <x v="153"/>
    <x v="759"/>
    <x v="0"/>
    <x v="16"/>
    <x v="2"/>
  </r>
  <r>
    <x v="16"/>
    <x v="28"/>
    <x v="3"/>
    <x v="3"/>
    <x v="0"/>
    <x v="0"/>
    <x v="33"/>
    <x v="245"/>
    <x v="874"/>
    <x v="0"/>
    <x v="16"/>
    <x v="2"/>
  </r>
  <r>
    <x v="16"/>
    <x v="131"/>
    <x v="3"/>
    <x v="3"/>
    <x v="0"/>
    <x v="0"/>
    <x v="33"/>
    <x v="163"/>
    <x v="759"/>
    <x v="0"/>
    <x v="16"/>
    <x v="2"/>
  </r>
  <r>
    <x v="16"/>
    <x v="81"/>
    <x v="4"/>
    <x v="4"/>
    <x v="0"/>
    <x v="0"/>
    <x v="33"/>
    <x v="175"/>
    <x v="934"/>
    <x v="0"/>
    <x v="16"/>
    <x v="2"/>
  </r>
  <r>
    <x v="16"/>
    <x v="132"/>
    <x v="4"/>
    <x v="4"/>
    <x v="0"/>
    <x v="0"/>
    <x v="33"/>
    <x v="95"/>
    <x v="874"/>
    <x v="0"/>
    <x v="16"/>
    <x v="2"/>
  </r>
  <r>
    <x v="16"/>
    <x v="12"/>
    <x v="4"/>
    <x v="4"/>
    <x v="0"/>
    <x v="0"/>
    <x v="33"/>
    <x v="247"/>
    <x v="874"/>
    <x v="0"/>
    <x v="16"/>
    <x v="2"/>
  </r>
  <r>
    <x v="16"/>
    <x v="29"/>
    <x v="4"/>
    <x v="4"/>
    <x v="0"/>
    <x v="0"/>
    <x v="33"/>
    <x v="248"/>
    <x v="899"/>
    <x v="0"/>
    <x v="16"/>
    <x v="2"/>
  </r>
  <r>
    <x v="16"/>
    <x v="30"/>
    <x v="4"/>
    <x v="4"/>
    <x v="0"/>
    <x v="0"/>
    <x v="33"/>
    <x v="159"/>
    <x v="934"/>
    <x v="0"/>
    <x v="16"/>
    <x v="2"/>
  </r>
  <r>
    <x v="16"/>
    <x v="165"/>
    <x v="4"/>
    <x v="4"/>
    <x v="0"/>
    <x v="0"/>
    <x v="33"/>
    <x v="205"/>
    <x v="765"/>
    <x v="0"/>
    <x v="16"/>
    <x v="2"/>
  </r>
  <r>
    <x v="16"/>
    <x v="4"/>
    <x v="4"/>
    <x v="4"/>
    <x v="0"/>
    <x v="0"/>
    <x v="33"/>
    <x v="199"/>
    <x v="874"/>
    <x v="0"/>
    <x v="16"/>
    <x v="2"/>
  </r>
  <r>
    <x v="16"/>
    <x v="159"/>
    <x v="0"/>
    <x v="0"/>
    <x v="0"/>
    <x v="0"/>
    <x v="33"/>
    <x v="177"/>
    <x v="146"/>
    <x v="0"/>
    <x v="16"/>
    <x v="2"/>
  </r>
  <r>
    <x v="16"/>
    <x v="120"/>
    <x v="0"/>
    <x v="0"/>
    <x v="0"/>
    <x v="0"/>
    <x v="33"/>
    <x v="212"/>
    <x v="934"/>
    <x v="0"/>
    <x v="16"/>
    <x v="2"/>
  </r>
  <r>
    <x v="16"/>
    <x v="53"/>
    <x v="0"/>
    <x v="0"/>
    <x v="0"/>
    <x v="0"/>
    <x v="33"/>
    <x v="144"/>
    <x v="146"/>
    <x v="0"/>
    <x v="16"/>
    <x v="2"/>
  </r>
  <r>
    <x v="16"/>
    <x v="45"/>
    <x v="0"/>
    <x v="0"/>
    <x v="0"/>
    <x v="0"/>
    <x v="33"/>
    <x v="180"/>
    <x v="1132"/>
    <x v="0"/>
    <x v="16"/>
    <x v="2"/>
  </r>
  <r>
    <x v="16"/>
    <x v="46"/>
    <x v="0"/>
    <x v="0"/>
    <x v="0"/>
    <x v="0"/>
    <x v="33"/>
    <x v="155"/>
    <x v="759"/>
    <x v="0"/>
    <x v="16"/>
    <x v="2"/>
  </r>
  <r>
    <x v="16"/>
    <x v="92"/>
    <x v="0"/>
    <x v="0"/>
    <x v="0"/>
    <x v="0"/>
    <x v="33"/>
    <x v="109"/>
    <x v="1182"/>
    <x v="0"/>
    <x v="16"/>
    <x v="2"/>
  </r>
  <r>
    <x v="16"/>
    <x v="136"/>
    <x v="0"/>
    <x v="0"/>
    <x v="0"/>
    <x v="0"/>
    <x v="33"/>
    <x v="100"/>
    <x v="759"/>
    <x v="0"/>
    <x v="16"/>
    <x v="2"/>
  </r>
  <r>
    <x v="16"/>
    <x v="122"/>
    <x v="0"/>
    <x v="0"/>
    <x v="0"/>
    <x v="0"/>
    <x v="33"/>
    <x v="181"/>
    <x v="874"/>
    <x v="0"/>
    <x v="16"/>
    <x v="2"/>
  </r>
  <r>
    <x v="16"/>
    <x v="32"/>
    <x v="5"/>
    <x v="5"/>
    <x v="0"/>
    <x v="0"/>
    <x v="33"/>
    <x v="81"/>
    <x v="874"/>
    <x v="0"/>
    <x v="16"/>
    <x v="2"/>
  </r>
  <r>
    <x v="16"/>
    <x v="115"/>
    <x v="5"/>
    <x v="5"/>
    <x v="0"/>
    <x v="0"/>
    <x v="33"/>
    <x v="213"/>
    <x v="848"/>
    <x v="0"/>
    <x v="16"/>
    <x v="2"/>
  </r>
  <r>
    <x v="16"/>
    <x v="97"/>
    <x v="5"/>
    <x v="5"/>
    <x v="0"/>
    <x v="0"/>
    <x v="33"/>
    <x v="183"/>
    <x v="899"/>
    <x v="0"/>
    <x v="16"/>
    <x v="2"/>
  </r>
  <r>
    <x v="16"/>
    <x v="13"/>
    <x v="5"/>
    <x v="5"/>
    <x v="0"/>
    <x v="0"/>
    <x v="33"/>
    <x v="120"/>
    <x v="859"/>
    <x v="0"/>
    <x v="16"/>
    <x v="2"/>
  </r>
  <r>
    <x v="16"/>
    <x v="72"/>
    <x v="5"/>
    <x v="5"/>
    <x v="0"/>
    <x v="0"/>
    <x v="33"/>
    <x v="38"/>
    <x v="759"/>
    <x v="0"/>
    <x v="16"/>
    <x v="2"/>
  </r>
  <r>
    <x v="16"/>
    <x v="125"/>
    <x v="5"/>
    <x v="5"/>
    <x v="0"/>
    <x v="0"/>
    <x v="33"/>
    <x v="82"/>
    <x v="934"/>
    <x v="0"/>
    <x v="16"/>
    <x v="2"/>
  </r>
  <r>
    <x v="16"/>
    <x v="34"/>
    <x v="5"/>
    <x v="5"/>
    <x v="0"/>
    <x v="0"/>
    <x v="33"/>
    <x v="184"/>
    <x v="759"/>
    <x v="0"/>
    <x v="16"/>
    <x v="2"/>
  </r>
  <r>
    <x v="16"/>
    <x v="77"/>
    <x v="5"/>
    <x v="5"/>
    <x v="0"/>
    <x v="0"/>
    <x v="33"/>
    <x v="156"/>
    <x v="146"/>
    <x v="0"/>
    <x v="16"/>
    <x v="2"/>
  </r>
  <r>
    <x v="16"/>
    <x v="139"/>
    <x v="5"/>
    <x v="5"/>
    <x v="0"/>
    <x v="0"/>
    <x v="33"/>
    <x v="110"/>
    <x v="1215"/>
    <x v="0"/>
    <x v="16"/>
    <x v="2"/>
  </r>
  <r>
    <x v="16"/>
    <x v="63"/>
    <x v="5"/>
    <x v="5"/>
    <x v="0"/>
    <x v="0"/>
    <x v="33"/>
    <x v="111"/>
    <x v="146"/>
    <x v="0"/>
    <x v="16"/>
    <x v="2"/>
  </r>
  <r>
    <x v="16"/>
    <x v="54"/>
    <x v="5"/>
    <x v="5"/>
    <x v="0"/>
    <x v="0"/>
    <x v="33"/>
    <x v="246"/>
    <x v="1182"/>
    <x v="0"/>
    <x v="16"/>
    <x v="2"/>
  </r>
  <r>
    <x v="16"/>
    <x v="150"/>
    <x v="5"/>
    <x v="5"/>
    <x v="0"/>
    <x v="0"/>
    <x v="33"/>
    <x v="214"/>
    <x v="874"/>
    <x v="0"/>
    <x v="16"/>
    <x v="2"/>
  </r>
  <r>
    <x v="16"/>
    <x v="20"/>
    <x v="5"/>
    <x v="5"/>
    <x v="0"/>
    <x v="0"/>
    <x v="33"/>
    <x v="45"/>
    <x v="765"/>
    <x v="0"/>
    <x v="16"/>
    <x v="2"/>
  </r>
  <r>
    <x v="16"/>
    <x v="40"/>
    <x v="1"/>
    <x v="1"/>
    <x v="0"/>
    <x v="0"/>
    <x v="33"/>
    <x v="125"/>
    <x v="899"/>
    <x v="0"/>
    <x v="16"/>
    <x v="2"/>
  </r>
  <r>
    <x v="16"/>
    <x v="161"/>
    <x v="1"/>
    <x v="1"/>
    <x v="0"/>
    <x v="0"/>
    <x v="33"/>
    <x v="186"/>
    <x v="899"/>
    <x v="0"/>
    <x v="16"/>
    <x v="2"/>
  </r>
  <r>
    <x v="16"/>
    <x v="95"/>
    <x v="1"/>
    <x v="1"/>
    <x v="0"/>
    <x v="0"/>
    <x v="33"/>
    <x v="97"/>
    <x v="1132"/>
    <x v="0"/>
    <x v="16"/>
    <x v="2"/>
  </r>
  <r>
    <x v="16"/>
    <x v="151"/>
    <x v="1"/>
    <x v="1"/>
    <x v="0"/>
    <x v="0"/>
    <x v="33"/>
    <x v="166"/>
    <x v="899"/>
    <x v="0"/>
    <x v="16"/>
    <x v="2"/>
  </r>
  <r>
    <x v="16"/>
    <x v="41"/>
    <x v="1"/>
    <x v="1"/>
    <x v="0"/>
    <x v="0"/>
    <x v="33"/>
    <x v="113"/>
    <x v="899"/>
    <x v="0"/>
    <x v="16"/>
    <x v="2"/>
  </r>
  <r>
    <x v="16"/>
    <x v="127"/>
    <x v="1"/>
    <x v="1"/>
    <x v="0"/>
    <x v="0"/>
    <x v="33"/>
    <x v="85"/>
    <x v="765"/>
    <x v="0"/>
    <x v="16"/>
    <x v="2"/>
  </r>
  <r>
    <x v="16"/>
    <x v="22"/>
    <x v="1"/>
    <x v="1"/>
    <x v="0"/>
    <x v="0"/>
    <x v="33"/>
    <x v="211"/>
    <x v="146"/>
    <x v="0"/>
    <x v="16"/>
    <x v="2"/>
  </r>
  <r>
    <x v="16"/>
    <x v="8"/>
    <x v="1"/>
    <x v="1"/>
    <x v="0"/>
    <x v="0"/>
    <x v="33"/>
    <x v="187"/>
    <x v="859"/>
    <x v="0"/>
    <x v="16"/>
    <x v="2"/>
  </r>
  <r>
    <x v="16"/>
    <x v="33"/>
    <x v="1"/>
    <x v="1"/>
    <x v="0"/>
    <x v="0"/>
    <x v="33"/>
    <x v="241"/>
    <x v="934"/>
    <x v="0"/>
    <x v="16"/>
    <x v="2"/>
  </r>
  <r>
    <x v="16"/>
    <x v="152"/>
    <x v="1"/>
    <x v="1"/>
    <x v="0"/>
    <x v="0"/>
    <x v="33"/>
    <x v="194"/>
    <x v="759"/>
    <x v="0"/>
    <x v="16"/>
    <x v="2"/>
  </r>
  <r>
    <x v="16"/>
    <x v="98"/>
    <x v="1"/>
    <x v="1"/>
    <x v="0"/>
    <x v="0"/>
    <x v="33"/>
    <x v="198"/>
    <x v="899"/>
    <x v="0"/>
    <x v="16"/>
    <x v="2"/>
  </r>
  <r>
    <x v="16"/>
    <x v="128"/>
    <x v="1"/>
    <x v="1"/>
    <x v="0"/>
    <x v="0"/>
    <x v="33"/>
    <x v="164"/>
    <x v="859"/>
    <x v="0"/>
    <x v="16"/>
    <x v="2"/>
  </r>
  <r>
    <x v="16"/>
    <x v="1"/>
    <x v="1"/>
    <x v="1"/>
    <x v="0"/>
    <x v="0"/>
    <x v="1"/>
    <x v="1"/>
    <x v="1"/>
    <x v="337"/>
    <x v="16"/>
    <x v="2"/>
  </r>
  <r>
    <x v="16"/>
    <x v="70"/>
    <x v="2"/>
    <x v="2"/>
    <x v="0"/>
    <x v="1"/>
    <x v="33"/>
    <x v="36"/>
    <x v="759"/>
    <x v="0"/>
    <x v="16"/>
    <x v="2"/>
  </r>
  <r>
    <x v="16"/>
    <x v="24"/>
    <x v="2"/>
    <x v="2"/>
    <x v="0"/>
    <x v="1"/>
    <x v="33"/>
    <x v="202"/>
    <x v="759"/>
    <x v="0"/>
    <x v="16"/>
    <x v="2"/>
  </r>
  <r>
    <x v="16"/>
    <x v="107"/>
    <x v="2"/>
    <x v="2"/>
    <x v="0"/>
    <x v="1"/>
    <x v="33"/>
    <x v="158"/>
    <x v="759"/>
    <x v="0"/>
    <x v="16"/>
    <x v="2"/>
  </r>
  <r>
    <x v="16"/>
    <x v="84"/>
    <x v="2"/>
    <x v="2"/>
    <x v="0"/>
    <x v="1"/>
    <x v="33"/>
    <x v="203"/>
    <x v="759"/>
    <x v="0"/>
    <x v="16"/>
    <x v="2"/>
  </r>
  <r>
    <x v="16"/>
    <x v="4"/>
    <x v="4"/>
    <x v="4"/>
    <x v="0"/>
    <x v="1"/>
    <x v="33"/>
    <x v="199"/>
    <x v="874"/>
    <x v="0"/>
    <x v="16"/>
    <x v="2"/>
  </r>
  <r>
    <x v="16"/>
    <x v="115"/>
    <x v="5"/>
    <x v="5"/>
    <x v="0"/>
    <x v="1"/>
    <x v="33"/>
    <x v="213"/>
    <x v="874"/>
    <x v="0"/>
    <x v="16"/>
    <x v="2"/>
  </r>
  <r>
    <x v="16"/>
    <x v="8"/>
    <x v="1"/>
    <x v="1"/>
    <x v="0"/>
    <x v="1"/>
    <x v="33"/>
    <x v="187"/>
    <x v="874"/>
    <x v="0"/>
    <x v="16"/>
    <x v="2"/>
  </r>
  <r>
    <x v="16"/>
    <x v="33"/>
    <x v="1"/>
    <x v="1"/>
    <x v="0"/>
    <x v="1"/>
    <x v="33"/>
    <x v="241"/>
    <x v="874"/>
    <x v="0"/>
    <x v="16"/>
    <x v="2"/>
  </r>
  <r>
    <x v="16"/>
    <x v="152"/>
    <x v="1"/>
    <x v="1"/>
    <x v="0"/>
    <x v="1"/>
    <x v="33"/>
    <x v="194"/>
    <x v="874"/>
    <x v="0"/>
    <x v="16"/>
    <x v="2"/>
  </r>
  <r>
    <x v="16"/>
    <x v="98"/>
    <x v="1"/>
    <x v="1"/>
    <x v="0"/>
    <x v="1"/>
    <x v="33"/>
    <x v="198"/>
    <x v="874"/>
    <x v="0"/>
    <x v="16"/>
    <x v="2"/>
  </r>
  <r>
    <x v="16"/>
    <x v="1"/>
    <x v="1"/>
    <x v="1"/>
    <x v="0"/>
    <x v="1"/>
    <x v="1"/>
    <x v="1"/>
    <x v="1"/>
    <x v="338"/>
    <x v="16"/>
    <x v="2"/>
  </r>
  <r>
    <x v="18"/>
    <x v="119"/>
    <x v="0"/>
    <x v="0"/>
    <x v="0"/>
    <x v="2"/>
    <x v="33"/>
    <x v="96"/>
    <x v="1330"/>
    <x v="0"/>
    <x v="18"/>
    <x v="2"/>
  </r>
  <r>
    <x v="18"/>
    <x v="1"/>
    <x v="1"/>
    <x v="1"/>
    <x v="0"/>
    <x v="2"/>
    <x v="1"/>
    <x v="1"/>
    <x v="1"/>
    <x v="339"/>
    <x v="18"/>
    <x v="2"/>
  </r>
  <r>
    <x v="18"/>
    <x v="62"/>
    <x v="4"/>
    <x v="4"/>
    <x v="0"/>
    <x v="1"/>
    <x v="33"/>
    <x v="176"/>
    <x v="874"/>
    <x v="0"/>
    <x v="18"/>
    <x v="2"/>
  </r>
  <r>
    <x v="18"/>
    <x v="1"/>
    <x v="1"/>
    <x v="1"/>
    <x v="0"/>
    <x v="1"/>
    <x v="1"/>
    <x v="1"/>
    <x v="1"/>
    <x v="216"/>
    <x v="18"/>
    <x v="2"/>
  </r>
  <r>
    <x v="19"/>
    <x v="164"/>
    <x v="6"/>
    <x v="6"/>
    <x v="0"/>
    <x v="2"/>
    <x v="33"/>
    <x v="200"/>
    <x v="874"/>
    <x v="0"/>
    <x v="19"/>
    <x v="2"/>
  </r>
  <r>
    <x v="19"/>
    <x v="46"/>
    <x v="0"/>
    <x v="0"/>
    <x v="0"/>
    <x v="2"/>
    <x v="33"/>
    <x v="155"/>
    <x v="874"/>
    <x v="0"/>
    <x v="19"/>
    <x v="2"/>
  </r>
  <r>
    <x v="19"/>
    <x v="58"/>
    <x v="1"/>
    <x v="1"/>
    <x v="0"/>
    <x v="2"/>
    <x v="32"/>
    <x v="84"/>
    <x v="1331"/>
    <x v="0"/>
    <x v="19"/>
    <x v="2"/>
  </r>
  <r>
    <x v="19"/>
    <x v="1"/>
    <x v="1"/>
    <x v="1"/>
    <x v="0"/>
    <x v="2"/>
    <x v="1"/>
    <x v="1"/>
    <x v="1"/>
    <x v="340"/>
    <x v="19"/>
    <x v="2"/>
  </r>
  <r>
    <x v="19"/>
    <x v="164"/>
    <x v="6"/>
    <x v="6"/>
    <x v="0"/>
    <x v="0"/>
    <x v="33"/>
    <x v="200"/>
    <x v="874"/>
    <x v="0"/>
    <x v="19"/>
    <x v="2"/>
  </r>
  <r>
    <x v="19"/>
    <x v="132"/>
    <x v="4"/>
    <x v="4"/>
    <x v="0"/>
    <x v="0"/>
    <x v="33"/>
    <x v="95"/>
    <x v="874"/>
    <x v="0"/>
    <x v="19"/>
    <x v="2"/>
  </r>
  <r>
    <x v="19"/>
    <x v="46"/>
    <x v="0"/>
    <x v="0"/>
    <x v="0"/>
    <x v="0"/>
    <x v="33"/>
    <x v="155"/>
    <x v="765"/>
    <x v="0"/>
    <x v="19"/>
    <x v="2"/>
  </r>
  <r>
    <x v="19"/>
    <x v="1"/>
    <x v="1"/>
    <x v="1"/>
    <x v="0"/>
    <x v="0"/>
    <x v="1"/>
    <x v="1"/>
    <x v="1"/>
    <x v="220"/>
    <x v="19"/>
    <x v="2"/>
  </r>
  <r>
    <x v="20"/>
    <x v="42"/>
    <x v="1"/>
    <x v="1"/>
    <x v="0"/>
    <x v="2"/>
    <x v="33"/>
    <x v="167"/>
    <x v="874"/>
    <x v="0"/>
    <x v="20"/>
    <x v="2"/>
  </r>
  <r>
    <x v="20"/>
    <x v="1"/>
    <x v="1"/>
    <x v="1"/>
    <x v="0"/>
    <x v="2"/>
    <x v="1"/>
    <x v="1"/>
    <x v="1"/>
    <x v="216"/>
    <x v="20"/>
    <x v="2"/>
  </r>
  <r>
    <x v="20"/>
    <x v="106"/>
    <x v="2"/>
    <x v="2"/>
    <x v="0"/>
    <x v="0"/>
    <x v="33"/>
    <x v="223"/>
    <x v="146"/>
    <x v="0"/>
    <x v="20"/>
    <x v="2"/>
  </r>
  <r>
    <x v="20"/>
    <x v="107"/>
    <x v="2"/>
    <x v="2"/>
    <x v="0"/>
    <x v="0"/>
    <x v="33"/>
    <x v="158"/>
    <x v="874"/>
    <x v="0"/>
    <x v="20"/>
    <x v="2"/>
  </r>
  <r>
    <x v="20"/>
    <x v="84"/>
    <x v="2"/>
    <x v="2"/>
    <x v="0"/>
    <x v="0"/>
    <x v="33"/>
    <x v="203"/>
    <x v="759"/>
    <x v="0"/>
    <x v="20"/>
    <x v="2"/>
  </r>
  <r>
    <x v="20"/>
    <x v="36"/>
    <x v="6"/>
    <x v="6"/>
    <x v="0"/>
    <x v="0"/>
    <x v="33"/>
    <x v="94"/>
    <x v="759"/>
    <x v="0"/>
    <x v="20"/>
    <x v="2"/>
  </r>
  <r>
    <x v="20"/>
    <x v="19"/>
    <x v="3"/>
    <x v="3"/>
    <x v="0"/>
    <x v="0"/>
    <x v="33"/>
    <x v="62"/>
    <x v="759"/>
    <x v="0"/>
    <x v="20"/>
    <x v="2"/>
  </r>
  <r>
    <x v="20"/>
    <x v="56"/>
    <x v="3"/>
    <x v="3"/>
    <x v="0"/>
    <x v="0"/>
    <x v="33"/>
    <x v="153"/>
    <x v="1132"/>
    <x v="0"/>
    <x v="20"/>
    <x v="2"/>
  </r>
  <r>
    <x v="20"/>
    <x v="156"/>
    <x v="4"/>
    <x v="4"/>
    <x v="0"/>
    <x v="0"/>
    <x v="33"/>
    <x v="146"/>
    <x v="1132"/>
    <x v="0"/>
    <x v="20"/>
    <x v="2"/>
  </r>
  <r>
    <x v="20"/>
    <x v="50"/>
    <x v="4"/>
    <x v="4"/>
    <x v="0"/>
    <x v="0"/>
    <x v="33"/>
    <x v="77"/>
    <x v="146"/>
    <x v="0"/>
    <x v="20"/>
    <x v="2"/>
  </r>
  <r>
    <x v="20"/>
    <x v="38"/>
    <x v="4"/>
    <x v="4"/>
    <x v="0"/>
    <x v="0"/>
    <x v="33"/>
    <x v="106"/>
    <x v="759"/>
    <x v="0"/>
    <x v="20"/>
    <x v="2"/>
  </r>
  <r>
    <x v="20"/>
    <x v="57"/>
    <x v="0"/>
    <x v="0"/>
    <x v="0"/>
    <x v="0"/>
    <x v="33"/>
    <x v="44"/>
    <x v="146"/>
    <x v="0"/>
    <x v="20"/>
    <x v="2"/>
  </r>
  <r>
    <x v="20"/>
    <x v="45"/>
    <x v="0"/>
    <x v="0"/>
    <x v="0"/>
    <x v="0"/>
    <x v="33"/>
    <x v="180"/>
    <x v="765"/>
    <x v="0"/>
    <x v="20"/>
    <x v="2"/>
  </r>
  <r>
    <x v="20"/>
    <x v="115"/>
    <x v="5"/>
    <x v="5"/>
    <x v="0"/>
    <x v="0"/>
    <x v="33"/>
    <x v="213"/>
    <x v="759"/>
    <x v="0"/>
    <x v="20"/>
    <x v="2"/>
  </r>
  <r>
    <x v="20"/>
    <x v="13"/>
    <x v="5"/>
    <x v="5"/>
    <x v="0"/>
    <x v="0"/>
    <x v="33"/>
    <x v="120"/>
    <x v="1182"/>
    <x v="0"/>
    <x v="20"/>
    <x v="2"/>
  </r>
  <r>
    <x v="20"/>
    <x v="125"/>
    <x v="5"/>
    <x v="5"/>
    <x v="0"/>
    <x v="0"/>
    <x v="33"/>
    <x v="82"/>
    <x v="874"/>
    <x v="0"/>
    <x v="20"/>
    <x v="2"/>
  </r>
  <r>
    <x v="20"/>
    <x v="168"/>
    <x v="5"/>
    <x v="5"/>
    <x v="0"/>
    <x v="0"/>
    <x v="33"/>
    <x v="225"/>
    <x v="759"/>
    <x v="0"/>
    <x v="20"/>
    <x v="2"/>
  </r>
  <r>
    <x v="20"/>
    <x v="63"/>
    <x v="5"/>
    <x v="5"/>
    <x v="0"/>
    <x v="0"/>
    <x v="33"/>
    <x v="111"/>
    <x v="874"/>
    <x v="0"/>
    <x v="20"/>
    <x v="2"/>
  </r>
  <r>
    <x v="20"/>
    <x v="124"/>
    <x v="5"/>
    <x v="5"/>
    <x v="0"/>
    <x v="0"/>
    <x v="33"/>
    <x v="206"/>
    <x v="874"/>
    <x v="0"/>
    <x v="20"/>
    <x v="2"/>
  </r>
  <r>
    <x v="20"/>
    <x v="161"/>
    <x v="1"/>
    <x v="1"/>
    <x v="0"/>
    <x v="0"/>
    <x v="33"/>
    <x v="186"/>
    <x v="759"/>
    <x v="0"/>
    <x v="20"/>
    <x v="2"/>
  </r>
  <r>
    <x v="20"/>
    <x v="95"/>
    <x v="1"/>
    <x v="1"/>
    <x v="0"/>
    <x v="0"/>
    <x v="33"/>
    <x v="97"/>
    <x v="146"/>
    <x v="0"/>
    <x v="20"/>
    <x v="2"/>
  </r>
  <r>
    <x v="20"/>
    <x v="42"/>
    <x v="1"/>
    <x v="1"/>
    <x v="0"/>
    <x v="0"/>
    <x v="33"/>
    <x v="167"/>
    <x v="874"/>
    <x v="0"/>
    <x v="20"/>
    <x v="2"/>
  </r>
  <r>
    <x v="20"/>
    <x v="8"/>
    <x v="1"/>
    <x v="1"/>
    <x v="0"/>
    <x v="0"/>
    <x v="33"/>
    <x v="187"/>
    <x v="759"/>
    <x v="0"/>
    <x v="20"/>
    <x v="2"/>
  </r>
  <r>
    <x v="20"/>
    <x v="1"/>
    <x v="1"/>
    <x v="1"/>
    <x v="0"/>
    <x v="0"/>
    <x v="1"/>
    <x v="1"/>
    <x v="1"/>
    <x v="341"/>
    <x v="20"/>
    <x v="2"/>
  </r>
  <r>
    <x v="20"/>
    <x v="30"/>
    <x v="4"/>
    <x v="4"/>
    <x v="0"/>
    <x v="1"/>
    <x v="33"/>
    <x v="159"/>
    <x v="874"/>
    <x v="0"/>
    <x v="20"/>
    <x v="2"/>
  </r>
  <r>
    <x v="20"/>
    <x v="159"/>
    <x v="0"/>
    <x v="0"/>
    <x v="0"/>
    <x v="1"/>
    <x v="33"/>
    <x v="177"/>
    <x v="899"/>
    <x v="0"/>
    <x v="20"/>
    <x v="2"/>
  </r>
  <r>
    <x v="20"/>
    <x v="42"/>
    <x v="1"/>
    <x v="1"/>
    <x v="0"/>
    <x v="1"/>
    <x v="33"/>
    <x v="167"/>
    <x v="874"/>
    <x v="0"/>
    <x v="20"/>
    <x v="2"/>
  </r>
  <r>
    <x v="20"/>
    <x v="1"/>
    <x v="1"/>
    <x v="1"/>
    <x v="0"/>
    <x v="1"/>
    <x v="1"/>
    <x v="1"/>
    <x v="1"/>
    <x v="342"/>
    <x v="20"/>
    <x v="2"/>
  </r>
  <r>
    <x v="21"/>
    <x v="159"/>
    <x v="0"/>
    <x v="0"/>
    <x v="0"/>
    <x v="2"/>
    <x v="33"/>
    <x v="177"/>
    <x v="874"/>
    <x v="0"/>
    <x v="21"/>
    <x v="2"/>
  </r>
  <r>
    <x v="21"/>
    <x v="1"/>
    <x v="1"/>
    <x v="1"/>
    <x v="0"/>
    <x v="2"/>
    <x v="1"/>
    <x v="1"/>
    <x v="1"/>
    <x v="216"/>
    <x v="21"/>
    <x v="2"/>
  </r>
  <r>
    <x v="21"/>
    <x v="118"/>
    <x v="2"/>
    <x v="2"/>
    <x v="0"/>
    <x v="0"/>
    <x v="33"/>
    <x v="69"/>
    <x v="1132"/>
    <x v="0"/>
    <x v="21"/>
    <x v="2"/>
  </r>
  <r>
    <x v="21"/>
    <x v="17"/>
    <x v="2"/>
    <x v="2"/>
    <x v="0"/>
    <x v="0"/>
    <x v="33"/>
    <x v="150"/>
    <x v="1215"/>
    <x v="0"/>
    <x v="21"/>
    <x v="2"/>
  </r>
  <r>
    <x v="21"/>
    <x v="87"/>
    <x v="6"/>
    <x v="6"/>
    <x v="0"/>
    <x v="0"/>
    <x v="33"/>
    <x v="189"/>
    <x v="859"/>
    <x v="0"/>
    <x v="21"/>
    <x v="2"/>
  </r>
  <r>
    <x v="21"/>
    <x v="15"/>
    <x v="6"/>
    <x v="6"/>
    <x v="0"/>
    <x v="0"/>
    <x v="33"/>
    <x v="216"/>
    <x v="859"/>
    <x v="0"/>
    <x v="21"/>
    <x v="2"/>
  </r>
  <r>
    <x v="21"/>
    <x v="23"/>
    <x v="3"/>
    <x v="3"/>
    <x v="0"/>
    <x v="0"/>
    <x v="33"/>
    <x v="221"/>
    <x v="952"/>
    <x v="0"/>
    <x v="21"/>
    <x v="2"/>
  </r>
  <r>
    <x v="21"/>
    <x v="56"/>
    <x v="3"/>
    <x v="3"/>
    <x v="0"/>
    <x v="0"/>
    <x v="33"/>
    <x v="153"/>
    <x v="1215"/>
    <x v="0"/>
    <x v="21"/>
    <x v="2"/>
  </r>
  <r>
    <x v="21"/>
    <x v="156"/>
    <x v="4"/>
    <x v="4"/>
    <x v="0"/>
    <x v="0"/>
    <x v="33"/>
    <x v="146"/>
    <x v="848"/>
    <x v="0"/>
    <x v="21"/>
    <x v="2"/>
  </r>
  <r>
    <x v="21"/>
    <x v="165"/>
    <x v="4"/>
    <x v="4"/>
    <x v="0"/>
    <x v="0"/>
    <x v="33"/>
    <x v="205"/>
    <x v="934"/>
    <x v="0"/>
    <x v="21"/>
    <x v="2"/>
  </r>
  <r>
    <x v="21"/>
    <x v="57"/>
    <x v="0"/>
    <x v="0"/>
    <x v="0"/>
    <x v="0"/>
    <x v="33"/>
    <x v="44"/>
    <x v="1182"/>
    <x v="0"/>
    <x v="21"/>
    <x v="2"/>
  </r>
  <r>
    <x v="21"/>
    <x v="45"/>
    <x v="0"/>
    <x v="0"/>
    <x v="0"/>
    <x v="0"/>
    <x v="33"/>
    <x v="180"/>
    <x v="859"/>
    <x v="0"/>
    <x v="21"/>
    <x v="2"/>
  </r>
  <r>
    <x v="21"/>
    <x v="97"/>
    <x v="5"/>
    <x v="5"/>
    <x v="0"/>
    <x v="0"/>
    <x v="33"/>
    <x v="183"/>
    <x v="982"/>
    <x v="0"/>
    <x v="21"/>
    <x v="2"/>
  </r>
  <r>
    <x v="21"/>
    <x v="13"/>
    <x v="5"/>
    <x v="5"/>
    <x v="0"/>
    <x v="0"/>
    <x v="33"/>
    <x v="120"/>
    <x v="874"/>
    <x v="0"/>
    <x v="21"/>
    <x v="2"/>
  </r>
  <r>
    <x v="21"/>
    <x v="141"/>
    <x v="5"/>
    <x v="5"/>
    <x v="0"/>
    <x v="0"/>
    <x v="33"/>
    <x v="185"/>
    <x v="982"/>
    <x v="0"/>
    <x v="21"/>
    <x v="2"/>
  </r>
  <r>
    <x v="21"/>
    <x v="40"/>
    <x v="1"/>
    <x v="1"/>
    <x v="0"/>
    <x v="0"/>
    <x v="33"/>
    <x v="125"/>
    <x v="1132"/>
    <x v="0"/>
    <x v="21"/>
    <x v="2"/>
  </r>
  <r>
    <x v="21"/>
    <x v="95"/>
    <x v="1"/>
    <x v="1"/>
    <x v="0"/>
    <x v="0"/>
    <x v="33"/>
    <x v="97"/>
    <x v="759"/>
    <x v="0"/>
    <x v="21"/>
    <x v="2"/>
  </r>
  <r>
    <x v="21"/>
    <x v="109"/>
    <x v="1"/>
    <x v="1"/>
    <x v="0"/>
    <x v="0"/>
    <x v="33"/>
    <x v="208"/>
    <x v="899"/>
    <x v="0"/>
    <x v="21"/>
    <x v="2"/>
  </r>
  <r>
    <x v="21"/>
    <x v="98"/>
    <x v="1"/>
    <x v="1"/>
    <x v="0"/>
    <x v="0"/>
    <x v="33"/>
    <x v="198"/>
    <x v="146"/>
    <x v="0"/>
    <x v="21"/>
    <x v="2"/>
  </r>
  <r>
    <x v="21"/>
    <x v="1"/>
    <x v="1"/>
    <x v="1"/>
    <x v="0"/>
    <x v="0"/>
    <x v="1"/>
    <x v="1"/>
    <x v="1"/>
    <x v="343"/>
    <x v="21"/>
    <x v="2"/>
  </r>
  <r>
    <x v="21"/>
    <x v="118"/>
    <x v="2"/>
    <x v="2"/>
    <x v="0"/>
    <x v="1"/>
    <x v="33"/>
    <x v="69"/>
    <x v="874"/>
    <x v="0"/>
    <x v="21"/>
    <x v="2"/>
  </r>
  <r>
    <x v="21"/>
    <x v="15"/>
    <x v="6"/>
    <x v="6"/>
    <x v="0"/>
    <x v="1"/>
    <x v="33"/>
    <x v="216"/>
    <x v="934"/>
    <x v="0"/>
    <x v="21"/>
    <x v="2"/>
  </r>
  <r>
    <x v="21"/>
    <x v="23"/>
    <x v="3"/>
    <x v="3"/>
    <x v="0"/>
    <x v="1"/>
    <x v="33"/>
    <x v="221"/>
    <x v="146"/>
    <x v="0"/>
    <x v="21"/>
    <x v="2"/>
  </r>
  <r>
    <x v="21"/>
    <x v="56"/>
    <x v="3"/>
    <x v="3"/>
    <x v="0"/>
    <x v="1"/>
    <x v="33"/>
    <x v="153"/>
    <x v="874"/>
    <x v="0"/>
    <x v="21"/>
    <x v="2"/>
  </r>
  <r>
    <x v="21"/>
    <x v="165"/>
    <x v="4"/>
    <x v="4"/>
    <x v="0"/>
    <x v="1"/>
    <x v="33"/>
    <x v="205"/>
    <x v="765"/>
    <x v="0"/>
    <x v="21"/>
    <x v="2"/>
  </r>
  <r>
    <x v="21"/>
    <x v="159"/>
    <x v="0"/>
    <x v="0"/>
    <x v="0"/>
    <x v="1"/>
    <x v="33"/>
    <x v="177"/>
    <x v="759"/>
    <x v="0"/>
    <x v="21"/>
    <x v="2"/>
  </r>
  <r>
    <x v="21"/>
    <x v="45"/>
    <x v="0"/>
    <x v="0"/>
    <x v="0"/>
    <x v="1"/>
    <x v="33"/>
    <x v="180"/>
    <x v="759"/>
    <x v="0"/>
    <x v="21"/>
    <x v="2"/>
  </r>
  <r>
    <x v="21"/>
    <x v="13"/>
    <x v="5"/>
    <x v="5"/>
    <x v="0"/>
    <x v="1"/>
    <x v="33"/>
    <x v="120"/>
    <x v="874"/>
    <x v="0"/>
    <x v="21"/>
    <x v="2"/>
  </r>
  <r>
    <x v="21"/>
    <x v="40"/>
    <x v="1"/>
    <x v="1"/>
    <x v="0"/>
    <x v="1"/>
    <x v="33"/>
    <x v="125"/>
    <x v="759"/>
    <x v="0"/>
    <x v="21"/>
    <x v="2"/>
  </r>
  <r>
    <x v="21"/>
    <x v="1"/>
    <x v="1"/>
    <x v="1"/>
    <x v="0"/>
    <x v="1"/>
    <x v="1"/>
    <x v="1"/>
    <x v="1"/>
    <x v="344"/>
    <x v="21"/>
    <x v="2"/>
  </r>
  <r>
    <x v="72"/>
    <x v="102"/>
    <x v="6"/>
    <x v="6"/>
    <x v="0"/>
    <x v="2"/>
    <x v="32"/>
    <x v="141"/>
    <x v="1332"/>
    <x v="0"/>
    <x v="72"/>
    <x v="2"/>
  </r>
  <r>
    <x v="72"/>
    <x v="1"/>
    <x v="1"/>
    <x v="1"/>
    <x v="0"/>
    <x v="2"/>
    <x v="1"/>
    <x v="1"/>
    <x v="1"/>
    <x v="345"/>
    <x v="72"/>
    <x v="2"/>
  </r>
  <r>
    <x v="23"/>
    <x v="64"/>
    <x v="2"/>
    <x v="2"/>
    <x v="0"/>
    <x v="2"/>
    <x v="32"/>
    <x v="139"/>
    <x v="1105"/>
    <x v="0"/>
    <x v="23"/>
    <x v="2"/>
  </r>
  <r>
    <x v="23"/>
    <x v="160"/>
    <x v="0"/>
    <x v="0"/>
    <x v="0"/>
    <x v="2"/>
    <x v="32"/>
    <x v="179"/>
    <x v="1331"/>
    <x v="0"/>
    <x v="23"/>
    <x v="2"/>
  </r>
  <r>
    <x v="23"/>
    <x v="1"/>
    <x v="1"/>
    <x v="1"/>
    <x v="0"/>
    <x v="2"/>
    <x v="1"/>
    <x v="1"/>
    <x v="1"/>
    <x v="346"/>
    <x v="23"/>
    <x v="2"/>
  </r>
  <r>
    <x v="24"/>
    <x v="84"/>
    <x v="2"/>
    <x v="2"/>
    <x v="0"/>
    <x v="2"/>
    <x v="33"/>
    <x v="203"/>
    <x v="815"/>
    <x v="0"/>
    <x v="24"/>
    <x v="2"/>
  </r>
  <r>
    <x v="24"/>
    <x v="1"/>
    <x v="1"/>
    <x v="1"/>
    <x v="0"/>
    <x v="2"/>
    <x v="1"/>
    <x v="1"/>
    <x v="1"/>
    <x v="347"/>
    <x v="24"/>
    <x v="2"/>
  </r>
  <r>
    <x v="24"/>
    <x v="106"/>
    <x v="2"/>
    <x v="2"/>
    <x v="0"/>
    <x v="0"/>
    <x v="33"/>
    <x v="223"/>
    <x v="759"/>
    <x v="0"/>
    <x v="24"/>
    <x v="2"/>
  </r>
  <r>
    <x v="24"/>
    <x v="47"/>
    <x v="2"/>
    <x v="2"/>
    <x v="0"/>
    <x v="0"/>
    <x v="33"/>
    <x v="68"/>
    <x v="759"/>
    <x v="0"/>
    <x v="24"/>
    <x v="2"/>
  </r>
  <r>
    <x v="24"/>
    <x v="144"/>
    <x v="2"/>
    <x v="2"/>
    <x v="0"/>
    <x v="0"/>
    <x v="33"/>
    <x v="162"/>
    <x v="146"/>
    <x v="0"/>
    <x v="24"/>
    <x v="2"/>
  </r>
  <r>
    <x v="24"/>
    <x v="35"/>
    <x v="2"/>
    <x v="2"/>
    <x v="0"/>
    <x v="0"/>
    <x v="33"/>
    <x v="170"/>
    <x v="874"/>
    <x v="0"/>
    <x v="24"/>
    <x v="2"/>
  </r>
  <r>
    <x v="24"/>
    <x v="36"/>
    <x v="6"/>
    <x v="6"/>
    <x v="0"/>
    <x v="0"/>
    <x v="33"/>
    <x v="94"/>
    <x v="874"/>
    <x v="0"/>
    <x v="24"/>
    <x v="2"/>
  </r>
  <r>
    <x v="24"/>
    <x v="164"/>
    <x v="6"/>
    <x v="6"/>
    <x v="0"/>
    <x v="0"/>
    <x v="33"/>
    <x v="200"/>
    <x v="146"/>
    <x v="0"/>
    <x v="24"/>
    <x v="2"/>
  </r>
  <r>
    <x v="24"/>
    <x v="49"/>
    <x v="3"/>
    <x v="3"/>
    <x v="0"/>
    <x v="0"/>
    <x v="33"/>
    <x v="244"/>
    <x v="146"/>
    <x v="0"/>
    <x v="24"/>
    <x v="2"/>
  </r>
  <r>
    <x v="24"/>
    <x v="60"/>
    <x v="3"/>
    <x v="3"/>
    <x v="0"/>
    <x v="0"/>
    <x v="33"/>
    <x v="57"/>
    <x v="874"/>
    <x v="0"/>
    <x v="24"/>
    <x v="2"/>
  </r>
  <r>
    <x v="24"/>
    <x v="132"/>
    <x v="4"/>
    <x v="4"/>
    <x v="0"/>
    <x v="0"/>
    <x v="33"/>
    <x v="95"/>
    <x v="934"/>
    <x v="0"/>
    <x v="24"/>
    <x v="2"/>
  </r>
  <r>
    <x v="24"/>
    <x v="162"/>
    <x v="4"/>
    <x v="4"/>
    <x v="0"/>
    <x v="0"/>
    <x v="33"/>
    <x v="192"/>
    <x v="874"/>
    <x v="0"/>
    <x v="24"/>
    <x v="2"/>
  </r>
  <r>
    <x v="24"/>
    <x v="154"/>
    <x v="4"/>
    <x v="4"/>
    <x v="0"/>
    <x v="0"/>
    <x v="33"/>
    <x v="143"/>
    <x v="1182"/>
    <x v="0"/>
    <x v="24"/>
    <x v="2"/>
  </r>
  <r>
    <x v="24"/>
    <x v="90"/>
    <x v="0"/>
    <x v="0"/>
    <x v="0"/>
    <x v="0"/>
    <x v="33"/>
    <x v="79"/>
    <x v="874"/>
    <x v="0"/>
    <x v="24"/>
    <x v="2"/>
  </r>
  <r>
    <x v="24"/>
    <x v="159"/>
    <x v="0"/>
    <x v="0"/>
    <x v="0"/>
    <x v="0"/>
    <x v="33"/>
    <x v="177"/>
    <x v="759"/>
    <x v="0"/>
    <x v="24"/>
    <x v="2"/>
  </r>
  <r>
    <x v="24"/>
    <x v="57"/>
    <x v="0"/>
    <x v="0"/>
    <x v="0"/>
    <x v="0"/>
    <x v="33"/>
    <x v="44"/>
    <x v="759"/>
    <x v="0"/>
    <x v="24"/>
    <x v="2"/>
  </r>
  <r>
    <x v="24"/>
    <x v="121"/>
    <x v="0"/>
    <x v="0"/>
    <x v="0"/>
    <x v="0"/>
    <x v="33"/>
    <x v="80"/>
    <x v="874"/>
    <x v="0"/>
    <x v="24"/>
    <x v="2"/>
  </r>
  <r>
    <x v="24"/>
    <x v="53"/>
    <x v="0"/>
    <x v="0"/>
    <x v="0"/>
    <x v="0"/>
    <x v="33"/>
    <x v="144"/>
    <x v="874"/>
    <x v="0"/>
    <x v="24"/>
    <x v="2"/>
  </r>
  <r>
    <x v="24"/>
    <x v="46"/>
    <x v="0"/>
    <x v="0"/>
    <x v="0"/>
    <x v="0"/>
    <x v="33"/>
    <x v="155"/>
    <x v="759"/>
    <x v="0"/>
    <x v="24"/>
    <x v="2"/>
  </r>
  <r>
    <x v="24"/>
    <x v="32"/>
    <x v="5"/>
    <x v="5"/>
    <x v="0"/>
    <x v="0"/>
    <x v="33"/>
    <x v="81"/>
    <x v="874"/>
    <x v="0"/>
    <x v="24"/>
    <x v="2"/>
  </r>
  <r>
    <x v="24"/>
    <x v="76"/>
    <x v="5"/>
    <x v="5"/>
    <x v="0"/>
    <x v="0"/>
    <x v="33"/>
    <x v="182"/>
    <x v="874"/>
    <x v="0"/>
    <x v="24"/>
    <x v="2"/>
  </r>
  <r>
    <x v="24"/>
    <x v="97"/>
    <x v="5"/>
    <x v="5"/>
    <x v="0"/>
    <x v="0"/>
    <x v="33"/>
    <x v="183"/>
    <x v="146"/>
    <x v="0"/>
    <x v="24"/>
    <x v="2"/>
  </r>
  <r>
    <x v="24"/>
    <x v="13"/>
    <x v="5"/>
    <x v="5"/>
    <x v="0"/>
    <x v="0"/>
    <x v="33"/>
    <x v="120"/>
    <x v="759"/>
    <x v="0"/>
    <x v="24"/>
    <x v="2"/>
  </r>
  <r>
    <x v="24"/>
    <x v="34"/>
    <x v="5"/>
    <x v="5"/>
    <x v="0"/>
    <x v="0"/>
    <x v="33"/>
    <x v="184"/>
    <x v="759"/>
    <x v="0"/>
    <x v="24"/>
    <x v="2"/>
  </r>
  <r>
    <x v="24"/>
    <x v="63"/>
    <x v="5"/>
    <x v="5"/>
    <x v="0"/>
    <x v="0"/>
    <x v="33"/>
    <x v="111"/>
    <x v="1182"/>
    <x v="0"/>
    <x v="24"/>
    <x v="2"/>
  </r>
  <r>
    <x v="24"/>
    <x v="123"/>
    <x v="5"/>
    <x v="5"/>
    <x v="0"/>
    <x v="0"/>
    <x v="33"/>
    <x v="74"/>
    <x v="759"/>
    <x v="0"/>
    <x v="24"/>
    <x v="2"/>
  </r>
  <r>
    <x v="24"/>
    <x v="95"/>
    <x v="1"/>
    <x v="1"/>
    <x v="0"/>
    <x v="0"/>
    <x v="33"/>
    <x v="97"/>
    <x v="899"/>
    <x v="0"/>
    <x v="24"/>
    <x v="2"/>
  </r>
  <r>
    <x v="24"/>
    <x v="22"/>
    <x v="1"/>
    <x v="1"/>
    <x v="0"/>
    <x v="0"/>
    <x v="33"/>
    <x v="211"/>
    <x v="759"/>
    <x v="0"/>
    <x v="24"/>
    <x v="2"/>
  </r>
  <r>
    <x v="24"/>
    <x v="152"/>
    <x v="1"/>
    <x v="1"/>
    <x v="0"/>
    <x v="0"/>
    <x v="33"/>
    <x v="194"/>
    <x v="899"/>
    <x v="0"/>
    <x v="24"/>
    <x v="2"/>
  </r>
  <r>
    <x v="24"/>
    <x v="1"/>
    <x v="1"/>
    <x v="1"/>
    <x v="0"/>
    <x v="0"/>
    <x v="1"/>
    <x v="1"/>
    <x v="1"/>
    <x v="348"/>
    <x v="24"/>
    <x v="2"/>
  </r>
  <r>
    <x v="24"/>
    <x v="95"/>
    <x v="1"/>
    <x v="1"/>
    <x v="0"/>
    <x v="1"/>
    <x v="33"/>
    <x v="97"/>
    <x v="874"/>
    <x v="0"/>
    <x v="24"/>
    <x v="2"/>
  </r>
  <r>
    <x v="24"/>
    <x v="14"/>
    <x v="1"/>
    <x v="1"/>
    <x v="0"/>
    <x v="1"/>
    <x v="33"/>
    <x v="112"/>
    <x v="874"/>
    <x v="0"/>
    <x v="24"/>
    <x v="2"/>
  </r>
  <r>
    <x v="24"/>
    <x v="1"/>
    <x v="1"/>
    <x v="1"/>
    <x v="0"/>
    <x v="1"/>
    <x v="1"/>
    <x v="1"/>
    <x v="1"/>
    <x v="349"/>
    <x v="24"/>
    <x v="2"/>
  </r>
  <r>
    <x v="25"/>
    <x v="64"/>
    <x v="2"/>
    <x v="2"/>
    <x v="0"/>
    <x v="2"/>
    <x v="32"/>
    <x v="139"/>
    <x v="1333"/>
    <x v="0"/>
    <x v="25"/>
    <x v="2"/>
  </r>
  <r>
    <x v="25"/>
    <x v="68"/>
    <x v="4"/>
    <x v="4"/>
    <x v="0"/>
    <x v="2"/>
    <x v="32"/>
    <x v="222"/>
    <x v="280"/>
    <x v="0"/>
    <x v="25"/>
    <x v="2"/>
  </r>
  <r>
    <x v="25"/>
    <x v="160"/>
    <x v="0"/>
    <x v="0"/>
    <x v="0"/>
    <x v="2"/>
    <x v="32"/>
    <x v="179"/>
    <x v="1334"/>
    <x v="0"/>
    <x v="25"/>
    <x v="2"/>
  </r>
  <r>
    <x v="25"/>
    <x v="145"/>
    <x v="5"/>
    <x v="5"/>
    <x v="0"/>
    <x v="2"/>
    <x v="32"/>
    <x v="124"/>
    <x v="1335"/>
    <x v="0"/>
    <x v="25"/>
    <x v="2"/>
  </r>
  <r>
    <x v="25"/>
    <x v="124"/>
    <x v="5"/>
    <x v="5"/>
    <x v="0"/>
    <x v="2"/>
    <x v="33"/>
    <x v="206"/>
    <x v="1336"/>
    <x v="0"/>
    <x v="25"/>
    <x v="2"/>
  </r>
  <r>
    <x v="25"/>
    <x v="1"/>
    <x v="1"/>
    <x v="1"/>
    <x v="0"/>
    <x v="2"/>
    <x v="1"/>
    <x v="1"/>
    <x v="1"/>
    <x v="350"/>
    <x v="25"/>
    <x v="2"/>
  </r>
  <r>
    <x v="26"/>
    <x v="65"/>
    <x v="6"/>
    <x v="6"/>
    <x v="0"/>
    <x v="2"/>
    <x v="33"/>
    <x v="190"/>
    <x v="1331"/>
    <x v="0"/>
    <x v="26"/>
    <x v="2"/>
  </r>
  <r>
    <x v="26"/>
    <x v="50"/>
    <x v="4"/>
    <x v="4"/>
    <x v="0"/>
    <x v="2"/>
    <x v="32"/>
    <x v="77"/>
    <x v="1337"/>
    <x v="0"/>
    <x v="26"/>
    <x v="2"/>
  </r>
  <r>
    <x v="26"/>
    <x v="13"/>
    <x v="5"/>
    <x v="5"/>
    <x v="0"/>
    <x v="2"/>
    <x v="32"/>
    <x v="120"/>
    <x v="1338"/>
    <x v="0"/>
    <x v="26"/>
    <x v="2"/>
  </r>
  <r>
    <x v="26"/>
    <x v="41"/>
    <x v="1"/>
    <x v="1"/>
    <x v="0"/>
    <x v="2"/>
    <x v="32"/>
    <x v="113"/>
    <x v="1339"/>
    <x v="0"/>
    <x v="26"/>
    <x v="2"/>
  </r>
  <r>
    <x v="26"/>
    <x v="1"/>
    <x v="1"/>
    <x v="1"/>
    <x v="0"/>
    <x v="2"/>
    <x v="1"/>
    <x v="1"/>
    <x v="1"/>
    <x v="351"/>
    <x v="26"/>
    <x v="2"/>
  </r>
  <r>
    <x v="27"/>
    <x v="77"/>
    <x v="5"/>
    <x v="5"/>
    <x v="0"/>
    <x v="2"/>
    <x v="32"/>
    <x v="156"/>
    <x v="1340"/>
    <x v="0"/>
    <x v="27"/>
    <x v="2"/>
  </r>
  <r>
    <x v="27"/>
    <x v="40"/>
    <x v="1"/>
    <x v="1"/>
    <x v="0"/>
    <x v="2"/>
    <x v="32"/>
    <x v="125"/>
    <x v="1341"/>
    <x v="0"/>
    <x v="27"/>
    <x v="2"/>
  </r>
  <r>
    <x v="27"/>
    <x v="14"/>
    <x v="1"/>
    <x v="1"/>
    <x v="0"/>
    <x v="2"/>
    <x v="32"/>
    <x v="112"/>
    <x v="1342"/>
    <x v="0"/>
    <x v="27"/>
    <x v="2"/>
  </r>
  <r>
    <x v="27"/>
    <x v="1"/>
    <x v="1"/>
    <x v="1"/>
    <x v="0"/>
    <x v="2"/>
    <x v="1"/>
    <x v="1"/>
    <x v="1"/>
    <x v="352"/>
    <x v="27"/>
    <x v="2"/>
  </r>
  <r>
    <x v="27"/>
    <x v="1"/>
    <x v="1"/>
    <x v="1"/>
    <x v="0"/>
    <x v="1"/>
    <x v="1"/>
    <x v="1"/>
    <x v="1"/>
    <x v="349"/>
    <x v="27"/>
    <x v="2"/>
  </r>
  <r>
    <x v="28"/>
    <x v="70"/>
    <x v="2"/>
    <x v="2"/>
    <x v="0"/>
    <x v="2"/>
    <x v="32"/>
    <x v="36"/>
    <x v="1343"/>
    <x v="0"/>
    <x v="28"/>
    <x v="2"/>
  </r>
  <r>
    <x v="28"/>
    <x v="1"/>
    <x v="1"/>
    <x v="1"/>
    <x v="0"/>
    <x v="2"/>
    <x v="1"/>
    <x v="1"/>
    <x v="1"/>
    <x v="353"/>
    <x v="28"/>
    <x v="2"/>
  </r>
  <r>
    <x v="76"/>
    <x v="1"/>
    <x v="1"/>
    <x v="1"/>
    <x v="0"/>
    <x v="0"/>
    <x v="1"/>
    <x v="1"/>
    <x v="1"/>
    <x v="216"/>
    <x v="76"/>
    <x v="2"/>
  </r>
  <r>
    <x v="73"/>
    <x v="70"/>
    <x v="2"/>
    <x v="2"/>
    <x v="0"/>
    <x v="2"/>
    <x v="32"/>
    <x v="36"/>
    <x v="873"/>
    <x v="0"/>
    <x v="73"/>
    <x v="2"/>
  </r>
  <r>
    <x v="73"/>
    <x v="86"/>
    <x v="6"/>
    <x v="6"/>
    <x v="0"/>
    <x v="2"/>
    <x v="32"/>
    <x v="224"/>
    <x v="1344"/>
    <x v="0"/>
    <x v="73"/>
    <x v="2"/>
  </r>
  <r>
    <x v="73"/>
    <x v="65"/>
    <x v="6"/>
    <x v="6"/>
    <x v="0"/>
    <x v="2"/>
    <x v="32"/>
    <x v="190"/>
    <x v="1046"/>
    <x v="0"/>
    <x v="73"/>
    <x v="2"/>
  </r>
  <r>
    <x v="73"/>
    <x v="71"/>
    <x v="6"/>
    <x v="6"/>
    <x v="0"/>
    <x v="2"/>
    <x v="32"/>
    <x v="37"/>
    <x v="1344"/>
    <x v="0"/>
    <x v="73"/>
    <x v="2"/>
  </r>
  <r>
    <x v="73"/>
    <x v="102"/>
    <x v="6"/>
    <x v="6"/>
    <x v="0"/>
    <x v="2"/>
    <x v="32"/>
    <x v="141"/>
    <x v="1345"/>
    <x v="0"/>
    <x v="73"/>
    <x v="2"/>
  </r>
  <r>
    <x v="73"/>
    <x v="108"/>
    <x v="3"/>
    <x v="3"/>
    <x v="0"/>
    <x v="2"/>
    <x v="32"/>
    <x v="63"/>
    <x v="1346"/>
    <x v="0"/>
    <x v="73"/>
    <x v="2"/>
  </r>
  <r>
    <x v="73"/>
    <x v="79"/>
    <x v="3"/>
    <x v="3"/>
    <x v="0"/>
    <x v="2"/>
    <x v="32"/>
    <x v="142"/>
    <x v="1344"/>
    <x v="0"/>
    <x v="73"/>
    <x v="2"/>
  </r>
  <r>
    <x v="73"/>
    <x v="159"/>
    <x v="0"/>
    <x v="0"/>
    <x v="0"/>
    <x v="2"/>
    <x v="32"/>
    <x v="177"/>
    <x v="1347"/>
    <x v="0"/>
    <x v="73"/>
    <x v="2"/>
  </r>
  <r>
    <x v="73"/>
    <x v="160"/>
    <x v="0"/>
    <x v="0"/>
    <x v="0"/>
    <x v="2"/>
    <x v="32"/>
    <x v="179"/>
    <x v="15"/>
    <x v="0"/>
    <x v="73"/>
    <x v="2"/>
  </r>
  <r>
    <x v="73"/>
    <x v="1"/>
    <x v="1"/>
    <x v="1"/>
    <x v="0"/>
    <x v="2"/>
    <x v="1"/>
    <x v="1"/>
    <x v="1"/>
    <x v="354"/>
    <x v="73"/>
    <x v="2"/>
  </r>
  <r>
    <x v="29"/>
    <x v="110"/>
    <x v="2"/>
    <x v="2"/>
    <x v="0"/>
    <x v="0"/>
    <x v="33"/>
    <x v="171"/>
    <x v="874"/>
    <x v="0"/>
    <x v="29"/>
    <x v="2"/>
  </r>
  <r>
    <x v="29"/>
    <x v="19"/>
    <x v="3"/>
    <x v="3"/>
    <x v="0"/>
    <x v="0"/>
    <x v="33"/>
    <x v="62"/>
    <x v="874"/>
    <x v="0"/>
    <x v="29"/>
    <x v="2"/>
  </r>
  <r>
    <x v="29"/>
    <x v="27"/>
    <x v="3"/>
    <x v="3"/>
    <x v="0"/>
    <x v="0"/>
    <x v="33"/>
    <x v="43"/>
    <x v="874"/>
    <x v="0"/>
    <x v="29"/>
    <x v="2"/>
  </r>
  <r>
    <x v="29"/>
    <x v="135"/>
    <x v="3"/>
    <x v="3"/>
    <x v="0"/>
    <x v="0"/>
    <x v="33"/>
    <x v="149"/>
    <x v="874"/>
    <x v="0"/>
    <x v="29"/>
    <x v="2"/>
  </r>
  <r>
    <x v="29"/>
    <x v="56"/>
    <x v="3"/>
    <x v="3"/>
    <x v="0"/>
    <x v="0"/>
    <x v="33"/>
    <x v="153"/>
    <x v="874"/>
    <x v="0"/>
    <x v="29"/>
    <x v="2"/>
  </r>
  <r>
    <x v="29"/>
    <x v="120"/>
    <x v="0"/>
    <x v="0"/>
    <x v="0"/>
    <x v="0"/>
    <x v="33"/>
    <x v="212"/>
    <x v="874"/>
    <x v="0"/>
    <x v="29"/>
    <x v="2"/>
  </r>
  <r>
    <x v="29"/>
    <x v="92"/>
    <x v="0"/>
    <x v="0"/>
    <x v="0"/>
    <x v="0"/>
    <x v="33"/>
    <x v="109"/>
    <x v="759"/>
    <x v="0"/>
    <x v="29"/>
    <x v="2"/>
  </r>
  <r>
    <x v="29"/>
    <x v="142"/>
    <x v="0"/>
    <x v="0"/>
    <x v="0"/>
    <x v="0"/>
    <x v="33"/>
    <x v="119"/>
    <x v="765"/>
    <x v="0"/>
    <x v="29"/>
    <x v="2"/>
  </r>
  <r>
    <x v="29"/>
    <x v="97"/>
    <x v="5"/>
    <x v="5"/>
    <x v="0"/>
    <x v="0"/>
    <x v="33"/>
    <x v="183"/>
    <x v="759"/>
    <x v="0"/>
    <x v="29"/>
    <x v="2"/>
  </r>
  <r>
    <x v="29"/>
    <x v="161"/>
    <x v="1"/>
    <x v="1"/>
    <x v="0"/>
    <x v="0"/>
    <x v="33"/>
    <x v="186"/>
    <x v="874"/>
    <x v="0"/>
    <x v="29"/>
    <x v="2"/>
  </r>
  <r>
    <x v="29"/>
    <x v="95"/>
    <x v="1"/>
    <x v="1"/>
    <x v="0"/>
    <x v="0"/>
    <x v="33"/>
    <x v="97"/>
    <x v="874"/>
    <x v="0"/>
    <x v="29"/>
    <x v="2"/>
  </r>
  <r>
    <x v="29"/>
    <x v="128"/>
    <x v="1"/>
    <x v="1"/>
    <x v="0"/>
    <x v="0"/>
    <x v="33"/>
    <x v="164"/>
    <x v="874"/>
    <x v="0"/>
    <x v="29"/>
    <x v="2"/>
  </r>
  <r>
    <x v="29"/>
    <x v="1"/>
    <x v="1"/>
    <x v="1"/>
    <x v="0"/>
    <x v="0"/>
    <x v="1"/>
    <x v="1"/>
    <x v="1"/>
    <x v="344"/>
    <x v="29"/>
    <x v="2"/>
  </r>
  <r>
    <x v="29"/>
    <x v="85"/>
    <x v="2"/>
    <x v="2"/>
    <x v="0"/>
    <x v="1"/>
    <x v="33"/>
    <x v="161"/>
    <x v="874"/>
    <x v="0"/>
    <x v="29"/>
    <x v="2"/>
  </r>
  <r>
    <x v="29"/>
    <x v="146"/>
    <x v="6"/>
    <x v="6"/>
    <x v="0"/>
    <x v="1"/>
    <x v="33"/>
    <x v="172"/>
    <x v="759"/>
    <x v="0"/>
    <x v="29"/>
    <x v="2"/>
  </r>
  <r>
    <x v="29"/>
    <x v="163"/>
    <x v="6"/>
    <x v="6"/>
    <x v="0"/>
    <x v="1"/>
    <x v="33"/>
    <x v="195"/>
    <x v="874"/>
    <x v="0"/>
    <x v="29"/>
    <x v="2"/>
  </r>
  <r>
    <x v="29"/>
    <x v="1"/>
    <x v="1"/>
    <x v="1"/>
    <x v="0"/>
    <x v="1"/>
    <x v="1"/>
    <x v="1"/>
    <x v="1"/>
    <x v="355"/>
    <x v="29"/>
    <x v="2"/>
  </r>
  <r>
    <x v="30"/>
    <x v="64"/>
    <x v="2"/>
    <x v="2"/>
    <x v="0"/>
    <x v="2"/>
    <x v="32"/>
    <x v="139"/>
    <x v="1348"/>
    <x v="0"/>
    <x v="30"/>
    <x v="2"/>
  </r>
  <r>
    <x v="30"/>
    <x v="84"/>
    <x v="2"/>
    <x v="2"/>
    <x v="0"/>
    <x v="2"/>
    <x v="33"/>
    <x v="203"/>
    <x v="775"/>
    <x v="0"/>
    <x v="30"/>
    <x v="2"/>
  </r>
  <r>
    <x v="30"/>
    <x v="36"/>
    <x v="6"/>
    <x v="6"/>
    <x v="0"/>
    <x v="2"/>
    <x v="33"/>
    <x v="94"/>
    <x v="874"/>
    <x v="0"/>
    <x v="30"/>
    <x v="2"/>
  </r>
  <r>
    <x v="30"/>
    <x v="169"/>
    <x v="6"/>
    <x v="6"/>
    <x v="0"/>
    <x v="2"/>
    <x v="33"/>
    <x v="249"/>
    <x v="874"/>
    <x v="0"/>
    <x v="30"/>
    <x v="2"/>
  </r>
  <r>
    <x v="30"/>
    <x v="50"/>
    <x v="4"/>
    <x v="4"/>
    <x v="0"/>
    <x v="2"/>
    <x v="32"/>
    <x v="77"/>
    <x v="1349"/>
    <x v="0"/>
    <x v="30"/>
    <x v="2"/>
  </r>
  <r>
    <x v="30"/>
    <x v="160"/>
    <x v="0"/>
    <x v="0"/>
    <x v="0"/>
    <x v="2"/>
    <x v="32"/>
    <x v="179"/>
    <x v="1350"/>
    <x v="0"/>
    <x v="30"/>
    <x v="2"/>
  </r>
  <r>
    <x v="30"/>
    <x v="1"/>
    <x v="1"/>
    <x v="1"/>
    <x v="0"/>
    <x v="2"/>
    <x v="1"/>
    <x v="1"/>
    <x v="1"/>
    <x v="356"/>
    <x v="30"/>
    <x v="2"/>
  </r>
  <r>
    <x v="30"/>
    <x v="16"/>
    <x v="2"/>
    <x v="2"/>
    <x v="0"/>
    <x v="0"/>
    <x v="33"/>
    <x v="93"/>
    <x v="759"/>
    <x v="0"/>
    <x v="30"/>
    <x v="2"/>
  </r>
  <r>
    <x v="30"/>
    <x v="144"/>
    <x v="2"/>
    <x v="2"/>
    <x v="0"/>
    <x v="0"/>
    <x v="33"/>
    <x v="162"/>
    <x v="874"/>
    <x v="0"/>
    <x v="30"/>
    <x v="2"/>
  </r>
  <r>
    <x v="30"/>
    <x v="129"/>
    <x v="2"/>
    <x v="2"/>
    <x v="0"/>
    <x v="0"/>
    <x v="33"/>
    <x v="204"/>
    <x v="759"/>
    <x v="0"/>
    <x v="30"/>
    <x v="2"/>
  </r>
  <r>
    <x v="30"/>
    <x v="146"/>
    <x v="6"/>
    <x v="6"/>
    <x v="0"/>
    <x v="0"/>
    <x v="33"/>
    <x v="172"/>
    <x v="874"/>
    <x v="0"/>
    <x v="30"/>
    <x v="2"/>
  </r>
  <r>
    <x v="30"/>
    <x v="36"/>
    <x v="6"/>
    <x v="6"/>
    <x v="0"/>
    <x v="0"/>
    <x v="33"/>
    <x v="94"/>
    <x v="874"/>
    <x v="0"/>
    <x v="30"/>
    <x v="2"/>
  </r>
  <r>
    <x v="30"/>
    <x v="87"/>
    <x v="6"/>
    <x v="6"/>
    <x v="0"/>
    <x v="0"/>
    <x v="33"/>
    <x v="189"/>
    <x v="874"/>
    <x v="0"/>
    <x v="30"/>
    <x v="2"/>
  </r>
  <r>
    <x v="30"/>
    <x v="102"/>
    <x v="6"/>
    <x v="6"/>
    <x v="0"/>
    <x v="0"/>
    <x v="33"/>
    <x v="141"/>
    <x v="874"/>
    <x v="0"/>
    <x v="30"/>
    <x v="2"/>
  </r>
  <r>
    <x v="30"/>
    <x v="134"/>
    <x v="6"/>
    <x v="6"/>
    <x v="0"/>
    <x v="0"/>
    <x v="33"/>
    <x v="226"/>
    <x v="874"/>
    <x v="0"/>
    <x v="30"/>
    <x v="2"/>
  </r>
  <r>
    <x v="30"/>
    <x v="11"/>
    <x v="6"/>
    <x v="6"/>
    <x v="0"/>
    <x v="0"/>
    <x v="33"/>
    <x v="91"/>
    <x v="759"/>
    <x v="0"/>
    <x v="30"/>
    <x v="2"/>
  </r>
  <r>
    <x v="30"/>
    <x v="67"/>
    <x v="6"/>
    <x v="6"/>
    <x v="0"/>
    <x v="0"/>
    <x v="33"/>
    <x v="32"/>
    <x v="759"/>
    <x v="0"/>
    <x v="30"/>
    <x v="2"/>
  </r>
  <r>
    <x v="30"/>
    <x v="26"/>
    <x v="3"/>
    <x v="3"/>
    <x v="0"/>
    <x v="0"/>
    <x v="33"/>
    <x v="115"/>
    <x v="146"/>
    <x v="0"/>
    <x v="30"/>
    <x v="2"/>
  </r>
  <r>
    <x v="30"/>
    <x v="49"/>
    <x v="3"/>
    <x v="3"/>
    <x v="0"/>
    <x v="0"/>
    <x v="33"/>
    <x v="244"/>
    <x v="765"/>
    <x v="0"/>
    <x v="30"/>
    <x v="2"/>
  </r>
  <r>
    <x v="30"/>
    <x v="19"/>
    <x v="3"/>
    <x v="3"/>
    <x v="0"/>
    <x v="0"/>
    <x v="33"/>
    <x v="62"/>
    <x v="874"/>
    <x v="0"/>
    <x v="30"/>
    <x v="2"/>
  </r>
  <r>
    <x v="30"/>
    <x v="18"/>
    <x v="3"/>
    <x v="3"/>
    <x v="0"/>
    <x v="0"/>
    <x v="33"/>
    <x v="219"/>
    <x v="759"/>
    <x v="0"/>
    <x v="30"/>
    <x v="2"/>
  </r>
  <r>
    <x v="30"/>
    <x v="114"/>
    <x v="3"/>
    <x v="3"/>
    <x v="0"/>
    <x v="0"/>
    <x v="33"/>
    <x v="76"/>
    <x v="874"/>
    <x v="0"/>
    <x v="30"/>
    <x v="2"/>
  </r>
  <r>
    <x v="30"/>
    <x v="61"/>
    <x v="3"/>
    <x v="3"/>
    <x v="0"/>
    <x v="0"/>
    <x v="33"/>
    <x v="126"/>
    <x v="874"/>
    <x v="0"/>
    <x v="30"/>
    <x v="2"/>
  </r>
  <r>
    <x v="30"/>
    <x v="148"/>
    <x v="3"/>
    <x v="3"/>
    <x v="0"/>
    <x v="0"/>
    <x v="33"/>
    <x v="174"/>
    <x v="759"/>
    <x v="0"/>
    <x v="30"/>
    <x v="2"/>
  </r>
  <r>
    <x v="30"/>
    <x v="79"/>
    <x v="3"/>
    <x v="3"/>
    <x v="0"/>
    <x v="0"/>
    <x v="33"/>
    <x v="142"/>
    <x v="759"/>
    <x v="0"/>
    <x v="30"/>
    <x v="2"/>
  </r>
  <r>
    <x v="30"/>
    <x v="56"/>
    <x v="3"/>
    <x v="3"/>
    <x v="0"/>
    <x v="0"/>
    <x v="33"/>
    <x v="153"/>
    <x v="146"/>
    <x v="0"/>
    <x v="30"/>
    <x v="2"/>
  </r>
  <r>
    <x v="30"/>
    <x v="81"/>
    <x v="4"/>
    <x v="4"/>
    <x v="0"/>
    <x v="0"/>
    <x v="33"/>
    <x v="175"/>
    <x v="765"/>
    <x v="0"/>
    <x v="30"/>
    <x v="2"/>
  </r>
  <r>
    <x v="30"/>
    <x v="156"/>
    <x v="4"/>
    <x v="4"/>
    <x v="0"/>
    <x v="0"/>
    <x v="33"/>
    <x v="146"/>
    <x v="765"/>
    <x v="0"/>
    <x v="30"/>
    <x v="2"/>
  </r>
  <r>
    <x v="30"/>
    <x v="29"/>
    <x v="4"/>
    <x v="4"/>
    <x v="0"/>
    <x v="0"/>
    <x v="33"/>
    <x v="248"/>
    <x v="874"/>
    <x v="0"/>
    <x v="30"/>
    <x v="2"/>
  </r>
  <r>
    <x v="30"/>
    <x v="165"/>
    <x v="4"/>
    <x v="4"/>
    <x v="0"/>
    <x v="0"/>
    <x v="33"/>
    <x v="205"/>
    <x v="146"/>
    <x v="0"/>
    <x v="30"/>
    <x v="2"/>
  </r>
  <r>
    <x v="30"/>
    <x v="38"/>
    <x v="4"/>
    <x v="4"/>
    <x v="0"/>
    <x v="0"/>
    <x v="33"/>
    <x v="106"/>
    <x v="874"/>
    <x v="0"/>
    <x v="30"/>
    <x v="2"/>
  </r>
  <r>
    <x v="30"/>
    <x v="159"/>
    <x v="0"/>
    <x v="0"/>
    <x v="0"/>
    <x v="0"/>
    <x v="33"/>
    <x v="177"/>
    <x v="759"/>
    <x v="0"/>
    <x v="30"/>
    <x v="2"/>
  </r>
  <r>
    <x v="30"/>
    <x v="116"/>
    <x v="0"/>
    <x v="0"/>
    <x v="0"/>
    <x v="0"/>
    <x v="33"/>
    <x v="64"/>
    <x v="146"/>
    <x v="0"/>
    <x v="30"/>
    <x v="2"/>
  </r>
  <r>
    <x v="30"/>
    <x v="57"/>
    <x v="0"/>
    <x v="0"/>
    <x v="0"/>
    <x v="0"/>
    <x v="33"/>
    <x v="44"/>
    <x v="759"/>
    <x v="0"/>
    <x v="30"/>
    <x v="2"/>
  </r>
  <r>
    <x v="30"/>
    <x v="119"/>
    <x v="0"/>
    <x v="0"/>
    <x v="0"/>
    <x v="0"/>
    <x v="33"/>
    <x v="96"/>
    <x v="759"/>
    <x v="0"/>
    <x v="30"/>
    <x v="2"/>
  </r>
  <r>
    <x v="30"/>
    <x v="0"/>
    <x v="0"/>
    <x v="0"/>
    <x v="0"/>
    <x v="0"/>
    <x v="33"/>
    <x v="197"/>
    <x v="759"/>
    <x v="0"/>
    <x v="30"/>
    <x v="2"/>
  </r>
  <r>
    <x v="30"/>
    <x v="121"/>
    <x v="0"/>
    <x v="0"/>
    <x v="0"/>
    <x v="0"/>
    <x v="33"/>
    <x v="80"/>
    <x v="759"/>
    <x v="0"/>
    <x v="30"/>
    <x v="2"/>
  </r>
  <r>
    <x v="30"/>
    <x v="53"/>
    <x v="0"/>
    <x v="0"/>
    <x v="0"/>
    <x v="0"/>
    <x v="33"/>
    <x v="144"/>
    <x v="759"/>
    <x v="0"/>
    <x v="30"/>
    <x v="2"/>
  </r>
  <r>
    <x v="30"/>
    <x v="115"/>
    <x v="5"/>
    <x v="5"/>
    <x v="0"/>
    <x v="0"/>
    <x v="33"/>
    <x v="213"/>
    <x v="899"/>
    <x v="0"/>
    <x v="30"/>
    <x v="2"/>
  </r>
  <r>
    <x v="30"/>
    <x v="13"/>
    <x v="5"/>
    <x v="5"/>
    <x v="0"/>
    <x v="0"/>
    <x v="33"/>
    <x v="120"/>
    <x v="759"/>
    <x v="0"/>
    <x v="30"/>
    <x v="2"/>
  </r>
  <r>
    <x v="30"/>
    <x v="72"/>
    <x v="5"/>
    <x v="5"/>
    <x v="0"/>
    <x v="0"/>
    <x v="33"/>
    <x v="38"/>
    <x v="759"/>
    <x v="0"/>
    <x v="30"/>
    <x v="2"/>
  </r>
  <r>
    <x v="30"/>
    <x v="139"/>
    <x v="5"/>
    <x v="5"/>
    <x v="0"/>
    <x v="0"/>
    <x v="33"/>
    <x v="110"/>
    <x v="759"/>
    <x v="0"/>
    <x v="30"/>
    <x v="2"/>
  </r>
  <r>
    <x v="30"/>
    <x v="63"/>
    <x v="5"/>
    <x v="5"/>
    <x v="0"/>
    <x v="0"/>
    <x v="33"/>
    <x v="111"/>
    <x v="759"/>
    <x v="0"/>
    <x v="30"/>
    <x v="2"/>
  </r>
  <r>
    <x v="30"/>
    <x v="123"/>
    <x v="5"/>
    <x v="5"/>
    <x v="0"/>
    <x v="0"/>
    <x v="33"/>
    <x v="74"/>
    <x v="874"/>
    <x v="0"/>
    <x v="30"/>
    <x v="2"/>
  </r>
  <r>
    <x v="30"/>
    <x v="40"/>
    <x v="1"/>
    <x v="1"/>
    <x v="0"/>
    <x v="0"/>
    <x v="33"/>
    <x v="125"/>
    <x v="1182"/>
    <x v="0"/>
    <x v="30"/>
    <x v="2"/>
  </r>
  <r>
    <x v="30"/>
    <x v="151"/>
    <x v="1"/>
    <x v="1"/>
    <x v="0"/>
    <x v="0"/>
    <x v="33"/>
    <x v="166"/>
    <x v="899"/>
    <x v="0"/>
    <x v="30"/>
    <x v="2"/>
  </r>
  <r>
    <x v="30"/>
    <x v="127"/>
    <x v="1"/>
    <x v="1"/>
    <x v="0"/>
    <x v="0"/>
    <x v="33"/>
    <x v="85"/>
    <x v="146"/>
    <x v="0"/>
    <x v="30"/>
    <x v="2"/>
  </r>
  <r>
    <x v="30"/>
    <x v="42"/>
    <x v="1"/>
    <x v="1"/>
    <x v="0"/>
    <x v="0"/>
    <x v="33"/>
    <x v="167"/>
    <x v="765"/>
    <x v="0"/>
    <x v="30"/>
    <x v="2"/>
  </r>
  <r>
    <x v="30"/>
    <x v="109"/>
    <x v="1"/>
    <x v="1"/>
    <x v="0"/>
    <x v="0"/>
    <x v="33"/>
    <x v="208"/>
    <x v="765"/>
    <x v="0"/>
    <x v="30"/>
    <x v="2"/>
  </r>
  <r>
    <x v="30"/>
    <x v="152"/>
    <x v="1"/>
    <x v="1"/>
    <x v="0"/>
    <x v="0"/>
    <x v="33"/>
    <x v="194"/>
    <x v="146"/>
    <x v="0"/>
    <x v="30"/>
    <x v="2"/>
  </r>
  <r>
    <x v="30"/>
    <x v="128"/>
    <x v="1"/>
    <x v="1"/>
    <x v="0"/>
    <x v="0"/>
    <x v="33"/>
    <x v="164"/>
    <x v="899"/>
    <x v="0"/>
    <x v="30"/>
    <x v="2"/>
  </r>
  <r>
    <x v="30"/>
    <x v="1"/>
    <x v="1"/>
    <x v="1"/>
    <x v="0"/>
    <x v="0"/>
    <x v="1"/>
    <x v="1"/>
    <x v="1"/>
    <x v="357"/>
    <x v="30"/>
    <x v="2"/>
  </r>
  <r>
    <x v="30"/>
    <x v="2"/>
    <x v="2"/>
    <x v="2"/>
    <x v="0"/>
    <x v="1"/>
    <x v="33"/>
    <x v="140"/>
    <x v="874"/>
    <x v="0"/>
    <x v="30"/>
    <x v="2"/>
  </r>
  <r>
    <x v="30"/>
    <x v="36"/>
    <x v="6"/>
    <x v="6"/>
    <x v="0"/>
    <x v="1"/>
    <x v="33"/>
    <x v="94"/>
    <x v="874"/>
    <x v="0"/>
    <x v="30"/>
    <x v="2"/>
  </r>
  <r>
    <x v="30"/>
    <x v="71"/>
    <x v="6"/>
    <x v="6"/>
    <x v="0"/>
    <x v="1"/>
    <x v="33"/>
    <x v="37"/>
    <x v="874"/>
    <x v="0"/>
    <x v="30"/>
    <x v="2"/>
  </r>
  <r>
    <x v="30"/>
    <x v="27"/>
    <x v="3"/>
    <x v="3"/>
    <x v="0"/>
    <x v="1"/>
    <x v="33"/>
    <x v="43"/>
    <x v="874"/>
    <x v="0"/>
    <x v="30"/>
    <x v="2"/>
  </r>
  <r>
    <x v="30"/>
    <x v="61"/>
    <x v="3"/>
    <x v="3"/>
    <x v="0"/>
    <x v="1"/>
    <x v="33"/>
    <x v="126"/>
    <x v="874"/>
    <x v="0"/>
    <x v="30"/>
    <x v="2"/>
  </r>
  <r>
    <x v="30"/>
    <x v="131"/>
    <x v="3"/>
    <x v="3"/>
    <x v="0"/>
    <x v="1"/>
    <x v="33"/>
    <x v="163"/>
    <x v="874"/>
    <x v="0"/>
    <x v="30"/>
    <x v="2"/>
  </r>
  <r>
    <x v="30"/>
    <x v="121"/>
    <x v="0"/>
    <x v="0"/>
    <x v="0"/>
    <x v="1"/>
    <x v="33"/>
    <x v="80"/>
    <x v="874"/>
    <x v="0"/>
    <x v="30"/>
    <x v="2"/>
  </r>
  <r>
    <x v="30"/>
    <x v="53"/>
    <x v="0"/>
    <x v="0"/>
    <x v="0"/>
    <x v="1"/>
    <x v="33"/>
    <x v="144"/>
    <x v="874"/>
    <x v="0"/>
    <x v="30"/>
    <x v="2"/>
  </r>
  <r>
    <x v="30"/>
    <x v="166"/>
    <x v="0"/>
    <x v="0"/>
    <x v="0"/>
    <x v="1"/>
    <x v="33"/>
    <x v="217"/>
    <x v="874"/>
    <x v="0"/>
    <x v="30"/>
    <x v="2"/>
  </r>
  <r>
    <x v="30"/>
    <x v="76"/>
    <x v="5"/>
    <x v="5"/>
    <x v="0"/>
    <x v="1"/>
    <x v="33"/>
    <x v="182"/>
    <x v="874"/>
    <x v="0"/>
    <x v="30"/>
    <x v="2"/>
  </r>
  <r>
    <x v="30"/>
    <x v="139"/>
    <x v="5"/>
    <x v="5"/>
    <x v="0"/>
    <x v="1"/>
    <x v="33"/>
    <x v="110"/>
    <x v="874"/>
    <x v="0"/>
    <x v="30"/>
    <x v="2"/>
  </r>
  <r>
    <x v="30"/>
    <x v="40"/>
    <x v="1"/>
    <x v="1"/>
    <x v="0"/>
    <x v="1"/>
    <x v="33"/>
    <x v="125"/>
    <x v="874"/>
    <x v="0"/>
    <x v="30"/>
    <x v="2"/>
  </r>
  <r>
    <x v="30"/>
    <x v="128"/>
    <x v="1"/>
    <x v="1"/>
    <x v="0"/>
    <x v="1"/>
    <x v="33"/>
    <x v="164"/>
    <x v="874"/>
    <x v="0"/>
    <x v="30"/>
    <x v="2"/>
  </r>
  <r>
    <x v="30"/>
    <x v="1"/>
    <x v="1"/>
    <x v="1"/>
    <x v="0"/>
    <x v="1"/>
    <x v="1"/>
    <x v="1"/>
    <x v="1"/>
    <x v="358"/>
    <x v="30"/>
    <x v="2"/>
  </r>
  <r>
    <x v="31"/>
    <x v="54"/>
    <x v="5"/>
    <x v="5"/>
    <x v="0"/>
    <x v="2"/>
    <x v="33"/>
    <x v="246"/>
    <x v="815"/>
    <x v="0"/>
    <x v="31"/>
    <x v="2"/>
  </r>
  <r>
    <x v="31"/>
    <x v="1"/>
    <x v="1"/>
    <x v="1"/>
    <x v="0"/>
    <x v="2"/>
    <x v="1"/>
    <x v="1"/>
    <x v="1"/>
    <x v="359"/>
    <x v="31"/>
    <x v="2"/>
  </r>
  <r>
    <x v="32"/>
    <x v="135"/>
    <x v="3"/>
    <x v="3"/>
    <x v="0"/>
    <x v="2"/>
    <x v="32"/>
    <x v="149"/>
    <x v="418"/>
    <x v="0"/>
    <x v="32"/>
    <x v="2"/>
  </r>
  <r>
    <x v="32"/>
    <x v="1"/>
    <x v="1"/>
    <x v="1"/>
    <x v="0"/>
    <x v="2"/>
    <x v="1"/>
    <x v="1"/>
    <x v="1"/>
    <x v="360"/>
    <x v="32"/>
    <x v="2"/>
  </r>
  <r>
    <x v="34"/>
    <x v="16"/>
    <x v="2"/>
    <x v="2"/>
    <x v="0"/>
    <x v="0"/>
    <x v="33"/>
    <x v="93"/>
    <x v="899"/>
    <x v="0"/>
    <x v="34"/>
    <x v="2"/>
  </r>
  <r>
    <x v="34"/>
    <x v="112"/>
    <x v="2"/>
    <x v="2"/>
    <x v="0"/>
    <x v="0"/>
    <x v="33"/>
    <x v="209"/>
    <x v="874"/>
    <x v="0"/>
    <x v="34"/>
    <x v="2"/>
  </r>
  <r>
    <x v="34"/>
    <x v="25"/>
    <x v="2"/>
    <x v="2"/>
    <x v="0"/>
    <x v="0"/>
    <x v="33"/>
    <x v="169"/>
    <x v="874"/>
    <x v="0"/>
    <x v="34"/>
    <x v="2"/>
  </r>
  <r>
    <x v="34"/>
    <x v="35"/>
    <x v="2"/>
    <x v="2"/>
    <x v="0"/>
    <x v="0"/>
    <x v="33"/>
    <x v="170"/>
    <x v="874"/>
    <x v="0"/>
    <x v="34"/>
    <x v="2"/>
  </r>
  <r>
    <x v="34"/>
    <x v="2"/>
    <x v="2"/>
    <x v="2"/>
    <x v="0"/>
    <x v="0"/>
    <x v="33"/>
    <x v="140"/>
    <x v="759"/>
    <x v="0"/>
    <x v="34"/>
    <x v="2"/>
  </r>
  <r>
    <x v="34"/>
    <x v="65"/>
    <x v="6"/>
    <x v="6"/>
    <x v="0"/>
    <x v="0"/>
    <x v="33"/>
    <x v="190"/>
    <x v="759"/>
    <x v="0"/>
    <x v="34"/>
    <x v="2"/>
  </r>
  <r>
    <x v="34"/>
    <x v="36"/>
    <x v="6"/>
    <x v="6"/>
    <x v="0"/>
    <x v="0"/>
    <x v="33"/>
    <x v="94"/>
    <x v="146"/>
    <x v="0"/>
    <x v="34"/>
    <x v="2"/>
  </r>
  <r>
    <x v="34"/>
    <x v="169"/>
    <x v="6"/>
    <x v="6"/>
    <x v="0"/>
    <x v="0"/>
    <x v="33"/>
    <x v="249"/>
    <x v="874"/>
    <x v="0"/>
    <x v="34"/>
    <x v="2"/>
  </r>
  <r>
    <x v="34"/>
    <x v="113"/>
    <x v="6"/>
    <x v="6"/>
    <x v="0"/>
    <x v="0"/>
    <x v="33"/>
    <x v="89"/>
    <x v="874"/>
    <x v="0"/>
    <x v="34"/>
    <x v="2"/>
  </r>
  <r>
    <x v="34"/>
    <x v="49"/>
    <x v="3"/>
    <x v="3"/>
    <x v="0"/>
    <x v="0"/>
    <x v="33"/>
    <x v="244"/>
    <x v="874"/>
    <x v="0"/>
    <x v="34"/>
    <x v="2"/>
  </r>
  <r>
    <x v="34"/>
    <x v="108"/>
    <x v="3"/>
    <x v="3"/>
    <x v="0"/>
    <x v="0"/>
    <x v="33"/>
    <x v="63"/>
    <x v="759"/>
    <x v="0"/>
    <x v="34"/>
    <x v="2"/>
  </r>
  <r>
    <x v="34"/>
    <x v="148"/>
    <x v="3"/>
    <x v="3"/>
    <x v="0"/>
    <x v="0"/>
    <x v="33"/>
    <x v="174"/>
    <x v="146"/>
    <x v="0"/>
    <x v="34"/>
    <x v="2"/>
  </r>
  <r>
    <x v="34"/>
    <x v="81"/>
    <x v="4"/>
    <x v="4"/>
    <x v="0"/>
    <x v="0"/>
    <x v="33"/>
    <x v="175"/>
    <x v="874"/>
    <x v="0"/>
    <x v="34"/>
    <x v="2"/>
  </r>
  <r>
    <x v="34"/>
    <x v="115"/>
    <x v="5"/>
    <x v="5"/>
    <x v="0"/>
    <x v="0"/>
    <x v="33"/>
    <x v="213"/>
    <x v="874"/>
    <x v="0"/>
    <x v="34"/>
    <x v="2"/>
  </r>
  <r>
    <x v="34"/>
    <x v="97"/>
    <x v="5"/>
    <x v="5"/>
    <x v="0"/>
    <x v="0"/>
    <x v="33"/>
    <x v="183"/>
    <x v="874"/>
    <x v="0"/>
    <x v="34"/>
    <x v="2"/>
  </r>
  <r>
    <x v="34"/>
    <x v="72"/>
    <x v="5"/>
    <x v="5"/>
    <x v="0"/>
    <x v="0"/>
    <x v="33"/>
    <x v="38"/>
    <x v="874"/>
    <x v="0"/>
    <x v="34"/>
    <x v="2"/>
  </r>
  <r>
    <x v="34"/>
    <x v="40"/>
    <x v="1"/>
    <x v="1"/>
    <x v="0"/>
    <x v="0"/>
    <x v="33"/>
    <x v="125"/>
    <x v="874"/>
    <x v="0"/>
    <x v="34"/>
    <x v="2"/>
  </r>
  <r>
    <x v="34"/>
    <x v="95"/>
    <x v="1"/>
    <x v="1"/>
    <x v="0"/>
    <x v="0"/>
    <x v="33"/>
    <x v="97"/>
    <x v="759"/>
    <x v="0"/>
    <x v="34"/>
    <x v="2"/>
  </r>
  <r>
    <x v="34"/>
    <x v="42"/>
    <x v="1"/>
    <x v="1"/>
    <x v="0"/>
    <x v="0"/>
    <x v="33"/>
    <x v="167"/>
    <x v="874"/>
    <x v="0"/>
    <x v="34"/>
    <x v="2"/>
  </r>
  <r>
    <x v="34"/>
    <x v="73"/>
    <x v="1"/>
    <x v="1"/>
    <x v="0"/>
    <x v="0"/>
    <x v="33"/>
    <x v="39"/>
    <x v="874"/>
    <x v="0"/>
    <x v="34"/>
    <x v="2"/>
  </r>
  <r>
    <x v="34"/>
    <x v="8"/>
    <x v="1"/>
    <x v="1"/>
    <x v="0"/>
    <x v="0"/>
    <x v="33"/>
    <x v="187"/>
    <x v="874"/>
    <x v="0"/>
    <x v="34"/>
    <x v="2"/>
  </r>
  <r>
    <x v="34"/>
    <x v="128"/>
    <x v="1"/>
    <x v="1"/>
    <x v="0"/>
    <x v="0"/>
    <x v="33"/>
    <x v="164"/>
    <x v="874"/>
    <x v="0"/>
    <x v="34"/>
    <x v="2"/>
  </r>
  <r>
    <x v="34"/>
    <x v="1"/>
    <x v="1"/>
    <x v="1"/>
    <x v="0"/>
    <x v="0"/>
    <x v="1"/>
    <x v="1"/>
    <x v="1"/>
    <x v="361"/>
    <x v="34"/>
    <x v="2"/>
  </r>
  <r>
    <x v="34"/>
    <x v="169"/>
    <x v="6"/>
    <x v="6"/>
    <x v="0"/>
    <x v="1"/>
    <x v="33"/>
    <x v="249"/>
    <x v="874"/>
    <x v="0"/>
    <x v="34"/>
    <x v="2"/>
  </r>
  <r>
    <x v="34"/>
    <x v="114"/>
    <x v="3"/>
    <x v="3"/>
    <x v="0"/>
    <x v="1"/>
    <x v="33"/>
    <x v="76"/>
    <x v="874"/>
    <x v="0"/>
    <x v="34"/>
    <x v="2"/>
  </r>
  <r>
    <x v="34"/>
    <x v="99"/>
    <x v="3"/>
    <x v="3"/>
    <x v="0"/>
    <x v="1"/>
    <x v="33"/>
    <x v="116"/>
    <x v="874"/>
    <x v="0"/>
    <x v="34"/>
    <x v="2"/>
  </r>
  <r>
    <x v="34"/>
    <x v="131"/>
    <x v="3"/>
    <x v="3"/>
    <x v="0"/>
    <x v="1"/>
    <x v="33"/>
    <x v="163"/>
    <x v="874"/>
    <x v="0"/>
    <x v="34"/>
    <x v="2"/>
  </r>
  <r>
    <x v="34"/>
    <x v="29"/>
    <x v="4"/>
    <x v="4"/>
    <x v="0"/>
    <x v="1"/>
    <x v="33"/>
    <x v="248"/>
    <x v="874"/>
    <x v="0"/>
    <x v="34"/>
    <x v="2"/>
  </r>
  <r>
    <x v="34"/>
    <x v="31"/>
    <x v="4"/>
    <x v="4"/>
    <x v="0"/>
    <x v="1"/>
    <x v="33"/>
    <x v="72"/>
    <x v="874"/>
    <x v="0"/>
    <x v="34"/>
    <x v="2"/>
  </r>
  <r>
    <x v="34"/>
    <x v="122"/>
    <x v="0"/>
    <x v="0"/>
    <x v="0"/>
    <x v="1"/>
    <x v="33"/>
    <x v="181"/>
    <x v="874"/>
    <x v="0"/>
    <x v="34"/>
    <x v="2"/>
  </r>
  <r>
    <x v="34"/>
    <x v="124"/>
    <x v="5"/>
    <x v="5"/>
    <x v="0"/>
    <x v="1"/>
    <x v="33"/>
    <x v="206"/>
    <x v="874"/>
    <x v="0"/>
    <x v="34"/>
    <x v="2"/>
  </r>
  <r>
    <x v="34"/>
    <x v="95"/>
    <x v="1"/>
    <x v="1"/>
    <x v="0"/>
    <x v="1"/>
    <x v="33"/>
    <x v="97"/>
    <x v="874"/>
    <x v="0"/>
    <x v="34"/>
    <x v="2"/>
  </r>
  <r>
    <x v="34"/>
    <x v="127"/>
    <x v="1"/>
    <x v="1"/>
    <x v="0"/>
    <x v="1"/>
    <x v="33"/>
    <x v="85"/>
    <x v="759"/>
    <x v="0"/>
    <x v="34"/>
    <x v="2"/>
  </r>
  <r>
    <x v="34"/>
    <x v="1"/>
    <x v="1"/>
    <x v="1"/>
    <x v="0"/>
    <x v="1"/>
    <x v="1"/>
    <x v="1"/>
    <x v="1"/>
    <x v="362"/>
    <x v="34"/>
    <x v="2"/>
  </r>
  <r>
    <x v="35"/>
    <x v="144"/>
    <x v="2"/>
    <x v="2"/>
    <x v="0"/>
    <x v="2"/>
    <x v="32"/>
    <x v="162"/>
    <x v="1351"/>
    <x v="0"/>
    <x v="35"/>
    <x v="2"/>
  </r>
  <r>
    <x v="35"/>
    <x v="144"/>
    <x v="2"/>
    <x v="2"/>
    <x v="0"/>
    <x v="2"/>
    <x v="33"/>
    <x v="162"/>
    <x v="874"/>
    <x v="0"/>
    <x v="35"/>
    <x v="2"/>
  </r>
  <r>
    <x v="35"/>
    <x v="102"/>
    <x v="6"/>
    <x v="6"/>
    <x v="0"/>
    <x v="2"/>
    <x v="33"/>
    <x v="141"/>
    <x v="874"/>
    <x v="0"/>
    <x v="35"/>
    <x v="2"/>
  </r>
  <r>
    <x v="35"/>
    <x v="37"/>
    <x v="6"/>
    <x v="6"/>
    <x v="0"/>
    <x v="2"/>
    <x v="33"/>
    <x v="250"/>
    <x v="874"/>
    <x v="0"/>
    <x v="35"/>
    <x v="2"/>
  </r>
  <r>
    <x v="35"/>
    <x v="114"/>
    <x v="3"/>
    <x v="3"/>
    <x v="0"/>
    <x v="2"/>
    <x v="33"/>
    <x v="76"/>
    <x v="874"/>
    <x v="0"/>
    <x v="35"/>
    <x v="2"/>
  </r>
  <r>
    <x v="35"/>
    <x v="100"/>
    <x v="0"/>
    <x v="0"/>
    <x v="0"/>
    <x v="2"/>
    <x v="33"/>
    <x v="73"/>
    <x v="874"/>
    <x v="0"/>
    <x v="35"/>
    <x v="2"/>
  </r>
  <r>
    <x v="35"/>
    <x v="145"/>
    <x v="5"/>
    <x v="5"/>
    <x v="0"/>
    <x v="2"/>
    <x v="32"/>
    <x v="124"/>
    <x v="1352"/>
    <x v="0"/>
    <x v="35"/>
    <x v="2"/>
  </r>
  <r>
    <x v="35"/>
    <x v="139"/>
    <x v="5"/>
    <x v="5"/>
    <x v="0"/>
    <x v="2"/>
    <x v="33"/>
    <x v="110"/>
    <x v="874"/>
    <x v="0"/>
    <x v="35"/>
    <x v="2"/>
  </r>
  <r>
    <x v="35"/>
    <x v="1"/>
    <x v="1"/>
    <x v="1"/>
    <x v="0"/>
    <x v="2"/>
    <x v="1"/>
    <x v="1"/>
    <x v="1"/>
    <x v="363"/>
    <x v="35"/>
    <x v="2"/>
  </r>
  <r>
    <x v="35"/>
    <x v="16"/>
    <x v="2"/>
    <x v="2"/>
    <x v="0"/>
    <x v="0"/>
    <x v="33"/>
    <x v="93"/>
    <x v="765"/>
    <x v="0"/>
    <x v="35"/>
    <x v="2"/>
  </r>
  <r>
    <x v="35"/>
    <x v="106"/>
    <x v="2"/>
    <x v="2"/>
    <x v="0"/>
    <x v="0"/>
    <x v="33"/>
    <x v="223"/>
    <x v="874"/>
    <x v="0"/>
    <x v="35"/>
    <x v="2"/>
  </r>
  <r>
    <x v="35"/>
    <x v="112"/>
    <x v="2"/>
    <x v="2"/>
    <x v="0"/>
    <x v="0"/>
    <x v="33"/>
    <x v="209"/>
    <x v="874"/>
    <x v="0"/>
    <x v="35"/>
    <x v="2"/>
  </r>
  <r>
    <x v="35"/>
    <x v="144"/>
    <x v="2"/>
    <x v="2"/>
    <x v="0"/>
    <x v="0"/>
    <x v="33"/>
    <x v="162"/>
    <x v="765"/>
    <x v="0"/>
    <x v="35"/>
    <x v="2"/>
  </r>
  <r>
    <x v="35"/>
    <x v="84"/>
    <x v="2"/>
    <x v="2"/>
    <x v="0"/>
    <x v="0"/>
    <x v="33"/>
    <x v="203"/>
    <x v="874"/>
    <x v="0"/>
    <x v="35"/>
    <x v="2"/>
  </r>
  <r>
    <x v="35"/>
    <x v="110"/>
    <x v="2"/>
    <x v="2"/>
    <x v="0"/>
    <x v="0"/>
    <x v="33"/>
    <x v="171"/>
    <x v="874"/>
    <x v="0"/>
    <x v="35"/>
    <x v="2"/>
  </r>
  <r>
    <x v="35"/>
    <x v="146"/>
    <x v="6"/>
    <x v="6"/>
    <x v="0"/>
    <x v="0"/>
    <x v="33"/>
    <x v="172"/>
    <x v="759"/>
    <x v="0"/>
    <x v="35"/>
    <x v="2"/>
  </r>
  <r>
    <x v="35"/>
    <x v="36"/>
    <x v="6"/>
    <x v="6"/>
    <x v="0"/>
    <x v="0"/>
    <x v="33"/>
    <x v="94"/>
    <x v="759"/>
    <x v="0"/>
    <x v="35"/>
    <x v="2"/>
  </r>
  <r>
    <x v="35"/>
    <x v="113"/>
    <x v="6"/>
    <x v="6"/>
    <x v="0"/>
    <x v="0"/>
    <x v="33"/>
    <x v="89"/>
    <x v="874"/>
    <x v="0"/>
    <x v="35"/>
    <x v="2"/>
  </r>
  <r>
    <x v="35"/>
    <x v="147"/>
    <x v="6"/>
    <x v="6"/>
    <x v="0"/>
    <x v="0"/>
    <x v="33"/>
    <x v="132"/>
    <x v="759"/>
    <x v="0"/>
    <x v="35"/>
    <x v="2"/>
  </r>
  <r>
    <x v="35"/>
    <x v="26"/>
    <x v="3"/>
    <x v="3"/>
    <x v="0"/>
    <x v="0"/>
    <x v="33"/>
    <x v="115"/>
    <x v="874"/>
    <x v="0"/>
    <x v="35"/>
    <x v="2"/>
  </r>
  <r>
    <x v="35"/>
    <x v="49"/>
    <x v="3"/>
    <x v="3"/>
    <x v="0"/>
    <x v="0"/>
    <x v="33"/>
    <x v="244"/>
    <x v="1182"/>
    <x v="0"/>
    <x v="35"/>
    <x v="2"/>
  </r>
  <r>
    <x v="35"/>
    <x v="43"/>
    <x v="3"/>
    <x v="3"/>
    <x v="0"/>
    <x v="0"/>
    <x v="33"/>
    <x v="71"/>
    <x v="759"/>
    <x v="0"/>
    <x v="35"/>
    <x v="2"/>
  </r>
  <r>
    <x v="35"/>
    <x v="148"/>
    <x v="3"/>
    <x v="3"/>
    <x v="0"/>
    <x v="0"/>
    <x v="33"/>
    <x v="174"/>
    <x v="759"/>
    <x v="0"/>
    <x v="35"/>
    <x v="2"/>
  </r>
  <r>
    <x v="35"/>
    <x v="99"/>
    <x v="3"/>
    <x v="3"/>
    <x v="0"/>
    <x v="0"/>
    <x v="33"/>
    <x v="116"/>
    <x v="874"/>
    <x v="0"/>
    <x v="35"/>
    <x v="2"/>
  </r>
  <r>
    <x v="35"/>
    <x v="132"/>
    <x v="4"/>
    <x v="4"/>
    <x v="0"/>
    <x v="0"/>
    <x v="33"/>
    <x v="95"/>
    <x v="765"/>
    <x v="0"/>
    <x v="35"/>
    <x v="2"/>
  </r>
  <r>
    <x v="35"/>
    <x v="29"/>
    <x v="4"/>
    <x v="4"/>
    <x v="0"/>
    <x v="0"/>
    <x v="33"/>
    <x v="248"/>
    <x v="874"/>
    <x v="0"/>
    <x v="35"/>
    <x v="2"/>
  </r>
  <r>
    <x v="35"/>
    <x v="154"/>
    <x v="4"/>
    <x v="4"/>
    <x v="0"/>
    <x v="0"/>
    <x v="33"/>
    <x v="143"/>
    <x v="759"/>
    <x v="0"/>
    <x v="35"/>
    <x v="2"/>
  </r>
  <r>
    <x v="35"/>
    <x v="31"/>
    <x v="4"/>
    <x v="4"/>
    <x v="0"/>
    <x v="0"/>
    <x v="33"/>
    <x v="72"/>
    <x v="759"/>
    <x v="0"/>
    <x v="35"/>
    <x v="2"/>
  </r>
  <r>
    <x v="35"/>
    <x v="4"/>
    <x v="4"/>
    <x v="4"/>
    <x v="0"/>
    <x v="0"/>
    <x v="33"/>
    <x v="199"/>
    <x v="874"/>
    <x v="0"/>
    <x v="35"/>
    <x v="2"/>
  </r>
  <r>
    <x v="35"/>
    <x v="159"/>
    <x v="0"/>
    <x v="0"/>
    <x v="0"/>
    <x v="0"/>
    <x v="33"/>
    <x v="177"/>
    <x v="765"/>
    <x v="0"/>
    <x v="35"/>
    <x v="2"/>
  </r>
  <r>
    <x v="35"/>
    <x v="116"/>
    <x v="0"/>
    <x v="0"/>
    <x v="0"/>
    <x v="0"/>
    <x v="33"/>
    <x v="64"/>
    <x v="759"/>
    <x v="0"/>
    <x v="35"/>
    <x v="2"/>
  </r>
  <r>
    <x v="35"/>
    <x v="119"/>
    <x v="0"/>
    <x v="0"/>
    <x v="0"/>
    <x v="0"/>
    <x v="33"/>
    <x v="96"/>
    <x v="759"/>
    <x v="0"/>
    <x v="35"/>
    <x v="2"/>
  </r>
  <r>
    <x v="35"/>
    <x v="120"/>
    <x v="0"/>
    <x v="0"/>
    <x v="0"/>
    <x v="0"/>
    <x v="33"/>
    <x v="212"/>
    <x v="874"/>
    <x v="0"/>
    <x v="35"/>
    <x v="2"/>
  </r>
  <r>
    <x v="35"/>
    <x v="100"/>
    <x v="0"/>
    <x v="0"/>
    <x v="0"/>
    <x v="0"/>
    <x v="33"/>
    <x v="73"/>
    <x v="759"/>
    <x v="0"/>
    <x v="35"/>
    <x v="2"/>
  </r>
  <r>
    <x v="35"/>
    <x v="46"/>
    <x v="0"/>
    <x v="0"/>
    <x v="0"/>
    <x v="0"/>
    <x v="33"/>
    <x v="155"/>
    <x v="874"/>
    <x v="0"/>
    <x v="35"/>
    <x v="2"/>
  </r>
  <r>
    <x v="35"/>
    <x v="92"/>
    <x v="0"/>
    <x v="0"/>
    <x v="0"/>
    <x v="0"/>
    <x v="33"/>
    <x v="109"/>
    <x v="759"/>
    <x v="0"/>
    <x v="35"/>
    <x v="2"/>
  </r>
  <r>
    <x v="35"/>
    <x v="142"/>
    <x v="0"/>
    <x v="0"/>
    <x v="0"/>
    <x v="0"/>
    <x v="33"/>
    <x v="119"/>
    <x v="874"/>
    <x v="0"/>
    <x v="35"/>
    <x v="2"/>
  </r>
  <r>
    <x v="35"/>
    <x v="136"/>
    <x v="0"/>
    <x v="0"/>
    <x v="0"/>
    <x v="0"/>
    <x v="33"/>
    <x v="100"/>
    <x v="874"/>
    <x v="0"/>
    <x v="35"/>
    <x v="2"/>
  </r>
  <r>
    <x v="35"/>
    <x v="145"/>
    <x v="5"/>
    <x v="5"/>
    <x v="0"/>
    <x v="0"/>
    <x v="33"/>
    <x v="124"/>
    <x v="146"/>
    <x v="0"/>
    <x v="35"/>
    <x v="2"/>
  </r>
  <r>
    <x v="35"/>
    <x v="168"/>
    <x v="5"/>
    <x v="5"/>
    <x v="0"/>
    <x v="0"/>
    <x v="33"/>
    <x v="225"/>
    <x v="765"/>
    <x v="0"/>
    <x v="35"/>
    <x v="2"/>
  </r>
  <r>
    <x v="35"/>
    <x v="34"/>
    <x v="5"/>
    <x v="5"/>
    <x v="0"/>
    <x v="0"/>
    <x v="33"/>
    <x v="184"/>
    <x v="146"/>
    <x v="0"/>
    <x v="35"/>
    <x v="2"/>
  </r>
  <r>
    <x v="35"/>
    <x v="139"/>
    <x v="5"/>
    <x v="5"/>
    <x v="0"/>
    <x v="0"/>
    <x v="33"/>
    <x v="110"/>
    <x v="759"/>
    <x v="0"/>
    <x v="35"/>
    <x v="2"/>
  </r>
  <r>
    <x v="35"/>
    <x v="63"/>
    <x v="5"/>
    <x v="5"/>
    <x v="0"/>
    <x v="0"/>
    <x v="33"/>
    <x v="111"/>
    <x v="759"/>
    <x v="0"/>
    <x v="35"/>
    <x v="2"/>
  </r>
  <r>
    <x v="35"/>
    <x v="150"/>
    <x v="5"/>
    <x v="5"/>
    <x v="0"/>
    <x v="0"/>
    <x v="33"/>
    <x v="214"/>
    <x v="874"/>
    <x v="0"/>
    <x v="35"/>
    <x v="2"/>
  </r>
  <r>
    <x v="35"/>
    <x v="161"/>
    <x v="1"/>
    <x v="1"/>
    <x v="0"/>
    <x v="0"/>
    <x v="33"/>
    <x v="186"/>
    <x v="146"/>
    <x v="0"/>
    <x v="35"/>
    <x v="2"/>
  </r>
  <r>
    <x v="35"/>
    <x v="95"/>
    <x v="1"/>
    <x v="1"/>
    <x v="0"/>
    <x v="0"/>
    <x v="33"/>
    <x v="97"/>
    <x v="874"/>
    <x v="0"/>
    <x v="35"/>
    <x v="2"/>
  </r>
  <r>
    <x v="35"/>
    <x v="151"/>
    <x v="1"/>
    <x v="1"/>
    <x v="0"/>
    <x v="0"/>
    <x v="33"/>
    <x v="166"/>
    <x v="146"/>
    <x v="0"/>
    <x v="35"/>
    <x v="2"/>
  </r>
  <r>
    <x v="35"/>
    <x v="127"/>
    <x v="1"/>
    <x v="1"/>
    <x v="0"/>
    <x v="0"/>
    <x v="33"/>
    <x v="85"/>
    <x v="759"/>
    <x v="0"/>
    <x v="35"/>
    <x v="2"/>
  </r>
  <r>
    <x v="35"/>
    <x v="22"/>
    <x v="1"/>
    <x v="1"/>
    <x v="0"/>
    <x v="0"/>
    <x v="33"/>
    <x v="211"/>
    <x v="759"/>
    <x v="0"/>
    <x v="35"/>
    <x v="2"/>
  </r>
  <r>
    <x v="35"/>
    <x v="42"/>
    <x v="1"/>
    <x v="1"/>
    <x v="0"/>
    <x v="0"/>
    <x v="33"/>
    <x v="167"/>
    <x v="874"/>
    <x v="0"/>
    <x v="35"/>
    <x v="2"/>
  </r>
  <r>
    <x v="35"/>
    <x v="101"/>
    <x v="1"/>
    <x v="1"/>
    <x v="0"/>
    <x v="0"/>
    <x v="33"/>
    <x v="207"/>
    <x v="859"/>
    <x v="0"/>
    <x v="35"/>
    <x v="2"/>
  </r>
  <r>
    <x v="35"/>
    <x v="109"/>
    <x v="1"/>
    <x v="1"/>
    <x v="0"/>
    <x v="0"/>
    <x v="33"/>
    <x v="208"/>
    <x v="759"/>
    <x v="0"/>
    <x v="35"/>
    <x v="2"/>
  </r>
  <r>
    <x v="35"/>
    <x v="152"/>
    <x v="1"/>
    <x v="1"/>
    <x v="0"/>
    <x v="0"/>
    <x v="33"/>
    <x v="194"/>
    <x v="759"/>
    <x v="0"/>
    <x v="35"/>
    <x v="2"/>
  </r>
  <r>
    <x v="35"/>
    <x v="128"/>
    <x v="1"/>
    <x v="1"/>
    <x v="0"/>
    <x v="0"/>
    <x v="33"/>
    <x v="164"/>
    <x v="759"/>
    <x v="0"/>
    <x v="35"/>
    <x v="2"/>
  </r>
  <r>
    <x v="35"/>
    <x v="1"/>
    <x v="1"/>
    <x v="1"/>
    <x v="0"/>
    <x v="0"/>
    <x v="1"/>
    <x v="1"/>
    <x v="1"/>
    <x v="364"/>
    <x v="35"/>
    <x v="2"/>
  </r>
  <r>
    <x v="35"/>
    <x v="129"/>
    <x v="2"/>
    <x v="2"/>
    <x v="0"/>
    <x v="1"/>
    <x v="33"/>
    <x v="204"/>
    <x v="874"/>
    <x v="0"/>
    <x v="35"/>
    <x v="2"/>
  </r>
  <r>
    <x v="35"/>
    <x v="102"/>
    <x v="6"/>
    <x v="6"/>
    <x v="0"/>
    <x v="1"/>
    <x v="33"/>
    <x v="141"/>
    <x v="874"/>
    <x v="0"/>
    <x v="35"/>
    <x v="2"/>
  </r>
  <r>
    <x v="35"/>
    <x v="120"/>
    <x v="0"/>
    <x v="0"/>
    <x v="0"/>
    <x v="1"/>
    <x v="33"/>
    <x v="212"/>
    <x v="874"/>
    <x v="0"/>
    <x v="35"/>
    <x v="2"/>
  </r>
  <r>
    <x v="35"/>
    <x v="100"/>
    <x v="0"/>
    <x v="0"/>
    <x v="0"/>
    <x v="1"/>
    <x v="33"/>
    <x v="73"/>
    <x v="874"/>
    <x v="0"/>
    <x v="35"/>
    <x v="2"/>
  </r>
  <r>
    <x v="35"/>
    <x v="124"/>
    <x v="5"/>
    <x v="5"/>
    <x v="0"/>
    <x v="1"/>
    <x v="33"/>
    <x v="206"/>
    <x v="874"/>
    <x v="0"/>
    <x v="35"/>
    <x v="2"/>
  </r>
  <r>
    <x v="35"/>
    <x v="1"/>
    <x v="1"/>
    <x v="1"/>
    <x v="0"/>
    <x v="1"/>
    <x v="1"/>
    <x v="1"/>
    <x v="1"/>
    <x v="365"/>
    <x v="35"/>
    <x v="2"/>
  </r>
  <r>
    <x v="36"/>
    <x v="43"/>
    <x v="3"/>
    <x v="3"/>
    <x v="0"/>
    <x v="2"/>
    <x v="32"/>
    <x v="71"/>
    <x v="1353"/>
    <x v="0"/>
    <x v="36"/>
    <x v="2"/>
  </r>
  <r>
    <x v="36"/>
    <x v="159"/>
    <x v="0"/>
    <x v="0"/>
    <x v="0"/>
    <x v="2"/>
    <x v="33"/>
    <x v="177"/>
    <x v="874"/>
    <x v="0"/>
    <x v="36"/>
    <x v="2"/>
  </r>
  <r>
    <x v="36"/>
    <x v="160"/>
    <x v="0"/>
    <x v="0"/>
    <x v="0"/>
    <x v="2"/>
    <x v="32"/>
    <x v="179"/>
    <x v="1354"/>
    <x v="0"/>
    <x v="36"/>
    <x v="2"/>
  </r>
  <r>
    <x v="36"/>
    <x v="1"/>
    <x v="1"/>
    <x v="1"/>
    <x v="0"/>
    <x v="2"/>
    <x v="1"/>
    <x v="1"/>
    <x v="1"/>
    <x v="366"/>
    <x v="36"/>
    <x v="2"/>
  </r>
  <r>
    <x v="36"/>
    <x v="70"/>
    <x v="2"/>
    <x v="2"/>
    <x v="0"/>
    <x v="0"/>
    <x v="33"/>
    <x v="36"/>
    <x v="146"/>
    <x v="0"/>
    <x v="36"/>
    <x v="2"/>
  </r>
  <r>
    <x v="36"/>
    <x v="158"/>
    <x v="2"/>
    <x v="2"/>
    <x v="0"/>
    <x v="0"/>
    <x v="33"/>
    <x v="168"/>
    <x v="874"/>
    <x v="0"/>
    <x v="36"/>
    <x v="2"/>
  </r>
  <r>
    <x v="36"/>
    <x v="106"/>
    <x v="2"/>
    <x v="2"/>
    <x v="0"/>
    <x v="0"/>
    <x v="33"/>
    <x v="223"/>
    <x v="874"/>
    <x v="0"/>
    <x v="36"/>
    <x v="2"/>
  </r>
  <r>
    <x v="36"/>
    <x v="107"/>
    <x v="2"/>
    <x v="2"/>
    <x v="0"/>
    <x v="0"/>
    <x v="33"/>
    <x v="158"/>
    <x v="874"/>
    <x v="0"/>
    <x v="36"/>
    <x v="2"/>
  </r>
  <r>
    <x v="36"/>
    <x v="112"/>
    <x v="2"/>
    <x v="2"/>
    <x v="0"/>
    <x v="0"/>
    <x v="33"/>
    <x v="209"/>
    <x v="146"/>
    <x v="0"/>
    <x v="36"/>
    <x v="2"/>
  </r>
  <r>
    <x v="36"/>
    <x v="144"/>
    <x v="2"/>
    <x v="2"/>
    <x v="0"/>
    <x v="0"/>
    <x v="33"/>
    <x v="162"/>
    <x v="874"/>
    <x v="0"/>
    <x v="36"/>
    <x v="2"/>
  </r>
  <r>
    <x v="36"/>
    <x v="146"/>
    <x v="6"/>
    <x v="6"/>
    <x v="0"/>
    <x v="0"/>
    <x v="33"/>
    <x v="172"/>
    <x v="765"/>
    <x v="0"/>
    <x v="36"/>
    <x v="2"/>
  </r>
  <r>
    <x v="36"/>
    <x v="65"/>
    <x v="6"/>
    <x v="6"/>
    <x v="0"/>
    <x v="0"/>
    <x v="33"/>
    <x v="190"/>
    <x v="759"/>
    <x v="0"/>
    <x v="36"/>
    <x v="2"/>
  </r>
  <r>
    <x v="36"/>
    <x v="169"/>
    <x v="6"/>
    <x v="6"/>
    <x v="0"/>
    <x v="0"/>
    <x v="33"/>
    <x v="249"/>
    <x v="759"/>
    <x v="0"/>
    <x v="36"/>
    <x v="2"/>
  </r>
  <r>
    <x v="36"/>
    <x v="102"/>
    <x v="6"/>
    <x v="6"/>
    <x v="0"/>
    <x v="0"/>
    <x v="33"/>
    <x v="141"/>
    <x v="874"/>
    <x v="0"/>
    <x v="36"/>
    <x v="2"/>
  </r>
  <r>
    <x v="36"/>
    <x v="113"/>
    <x v="6"/>
    <x v="6"/>
    <x v="0"/>
    <x v="0"/>
    <x v="33"/>
    <x v="89"/>
    <x v="759"/>
    <x v="0"/>
    <x v="36"/>
    <x v="2"/>
  </r>
  <r>
    <x v="36"/>
    <x v="96"/>
    <x v="6"/>
    <x v="6"/>
    <x v="0"/>
    <x v="0"/>
    <x v="33"/>
    <x v="165"/>
    <x v="874"/>
    <x v="0"/>
    <x v="36"/>
    <x v="2"/>
  </r>
  <r>
    <x v="36"/>
    <x v="67"/>
    <x v="6"/>
    <x v="6"/>
    <x v="0"/>
    <x v="0"/>
    <x v="33"/>
    <x v="32"/>
    <x v="874"/>
    <x v="0"/>
    <x v="36"/>
    <x v="2"/>
  </r>
  <r>
    <x v="36"/>
    <x v="19"/>
    <x v="3"/>
    <x v="3"/>
    <x v="0"/>
    <x v="0"/>
    <x v="33"/>
    <x v="62"/>
    <x v="934"/>
    <x v="0"/>
    <x v="36"/>
    <x v="2"/>
  </r>
  <r>
    <x v="36"/>
    <x v="108"/>
    <x v="3"/>
    <x v="3"/>
    <x v="0"/>
    <x v="0"/>
    <x v="33"/>
    <x v="63"/>
    <x v="759"/>
    <x v="0"/>
    <x v="36"/>
    <x v="2"/>
  </r>
  <r>
    <x v="36"/>
    <x v="43"/>
    <x v="3"/>
    <x v="3"/>
    <x v="0"/>
    <x v="0"/>
    <x v="33"/>
    <x v="71"/>
    <x v="1182"/>
    <x v="0"/>
    <x v="36"/>
    <x v="2"/>
  </r>
  <r>
    <x v="36"/>
    <x v="75"/>
    <x v="3"/>
    <x v="3"/>
    <x v="0"/>
    <x v="0"/>
    <x v="33"/>
    <x v="220"/>
    <x v="765"/>
    <x v="0"/>
    <x v="36"/>
    <x v="2"/>
  </r>
  <r>
    <x v="36"/>
    <x v="61"/>
    <x v="3"/>
    <x v="3"/>
    <x v="0"/>
    <x v="0"/>
    <x v="33"/>
    <x v="126"/>
    <x v="874"/>
    <x v="0"/>
    <x v="36"/>
    <x v="2"/>
  </r>
  <r>
    <x v="36"/>
    <x v="79"/>
    <x v="3"/>
    <x v="3"/>
    <x v="0"/>
    <x v="0"/>
    <x v="33"/>
    <x v="142"/>
    <x v="874"/>
    <x v="0"/>
    <x v="36"/>
    <x v="2"/>
  </r>
  <r>
    <x v="36"/>
    <x v="56"/>
    <x v="3"/>
    <x v="3"/>
    <x v="0"/>
    <x v="0"/>
    <x v="33"/>
    <x v="153"/>
    <x v="759"/>
    <x v="0"/>
    <x v="36"/>
    <x v="2"/>
  </r>
  <r>
    <x v="36"/>
    <x v="68"/>
    <x v="4"/>
    <x v="4"/>
    <x v="0"/>
    <x v="0"/>
    <x v="33"/>
    <x v="222"/>
    <x v="874"/>
    <x v="0"/>
    <x v="36"/>
    <x v="2"/>
  </r>
  <r>
    <x v="36"/>
    <x v="81"/>
    <x v="4"/>
    <x v="4"/>
    <x v="0"/>
    <x v="0"/>
    <x v="33"/>
    <x v="175"/>
    <x v="146"/>
    <x v="0"/>
    <x v="36"/>
    <x v="2"/>
  </r>
  <r>
    <x v="36"/>
    <x v="162"/>
    <x v="4"/>
    <x v="4"/>
    <x v="0"/>
    <x v="0"/>
    <x v="33"/>
    <x v="192"/>
    <x v="874"/>
    <x v="0"/>
    <x v="36"/>
    <x v="2"/>
  </r>
  <r>
    <x v="36"/>
    <x v="12"/>
    <x v="4"/>
    <x v="4"/>
    <x v="0"/>
    <x v="0"/>
    <x v="33"/>
    <x v="247"/>
    <x v="874"/>
    <x v="0"/>
    <x v="36"/>
    <x v="2"/>
  </r>
  <r>
    <x v="36"/>
    <x v="30"/>
    <x v="4"/>
    <x v="4"/>
    <x v="0"/>
    <x v="0"/>
    <x v="33"/>
    <x v="159"/>
    <x v="146"/>
    <x v="0"/>
    <x v="36"/>
    <x v="2"/>
  </r>
  <r>
    <x v="36"/>
    <x v="62"/>
    <x v="4"/>
    <x v="4"/>
    <x v="0"/>
    <x v="0"/>
    <x v="33"/>
    <x v="176"/>
    <x v="759"/>
    <x v="0"/>
    <x v="36"/>
    <x v="2"/>
  </r>
  <r>
    <x v="36"/>
    <x v="90"/>
    <x v="0"/>
    <x v="0"/>
    <x v="0"/>
    <x v="0"/>
    <x v="33"/>
    <x v="79"/>
    <x v="874"/>
    <x v="0"/>
    <x v="36"/>
    <x v="2"/>
  </r>
  <r>
    <x v="36"/>
    <x v="159"/>
    <x v="0"/>
    <x v="0"/>
    <x v="0"/>
    <x v="0"/>
    <x v="33"/>
    <x v="177"/>
    <x v="146"/>
    <x v="0"/>
    <x v="36"/>
    <x v="2"/>
  </r>
  <r>
    <x v="36"/>
    <x v="116"/>
    <x v="0"/>
    <x v="0"/>
    <x v="0"/>
    <x v="0"/>
    <x v="33"/>
    <x v="64"/>
    <x v="146"/>
    <x v="0"/>
    <x v="36"/>
    <x v="2"/>
  </r>
  <r>
    <x v="36"/>
    <x v="100"/>
    <x v="0"/>
    <x v="0"/>
    <x v="0"/>
    <x v="0"/>
    <x v="33"/>
    <x v="73"/>
    <x v="899"/>
    <x v="0"/>
    <x v="36"/>
    <x v="2"/>
  </r>
  <r>
    <x v="36"/>
    <x v="45"/>
    <x v="0"/>
    <x v="0"/>
    <x v="0"/>
    <x v="0"/>
    <x v="33"/>
    <x v="180"/>
    <x v="899"/>
    <x v="0"/>
    <x v="36"/>
    <x v="2"/>
  </r>
  <r>
    <x v="36"/>
    <x v="166"/>
    <x v="0"/>
    <x v="0"/>
    <x v="0"/>
    <x v="0"/>
    <x v="33"/>
    <x v="217"/>
    <x v="874"/>
    <x v="0"/>
    <x v="36"/>
    <x v="2"/>
  </r>
  <r>
    <x v="36"/>
    <x v="32"/>
    <x v="5"/>
    <x v="5"/>
    <x v="0"/>
    <x v="0"/>
    <x v="33"/>
    <x v="81"/>
    <x v="146"/>
    <x v="0"/>
    <x v="36"/>
    <x v="2"/>
  </r>
  <r>
    <x v="36"/>
    <x v="76"/>
    <x v="5"/>
    <x v="5"/>
    <x v="0"/>
    <x v="0"/>
    <x v="33"/>
    <x v="182"/>
    <x v="899"/>
    <x v="0"/>
    <x v="36"/>
    <x v="2"/>
  </r>
  <r>
    <x v="36"/>
    <x v="115"/>
    <x v="5"/>
    <x v="5"/>
    <x v="0"/>
    <x v="0"/>
    <x v="33"/>
    <x v="213"/>
    <x v="874"/>
    <x v="0"/>
    <x v="36"/>
    <x v="2"/>
  </r>
  <r>
    <x v="36"/>
    <x v="97"/>
    <x v="5"/>
    <x v="5"/>
    <x v="0"/>
    <x v="0"/>
    <x v="33"/>
    <x v="183"/>
    <x v="759"/>
    <x v="0"/>
    <x v="36"/>
    <x v="2"/>
  </r>
  <r>
    <x v="36"/>
    <x v="72"/>
    <x v="5"/>
    <x v="5"/>
    <x v="0"/>
    <x v="0"/>
    <x v="33"/>
    <x v="38"/>
    <x v="146"/>
    <x v="0"/>
    <x v="36"/>
    <x v="2"/>
  </r>
  <r>
    <x v="36"/>
    <x v="125"/>
    <x v="5"/>
    <x v="5"/>
    <x v="0"/>
    <x v="0"/>
    <x v="33"/>
    <x v="82"/>
    <x v="146"/>
    <x v="0"/>
    <x v="36"/>
    <x v="2"/>
  </r>
  <r>
    <x v="36"/>
    <x v="168"/>
    <x v="5"/>
    <x v="5"/>
    <x v="0"/>
    <x v="0"/>
    <x v="33"/>
    <x v="225"/>
    <x v="759"/>
    <x v="0"/>
    <x v="36"/>
    <x v="2"/>
  </r>
  <r>
    <x v="36"/>
    <x v="77"/>
    <x v="5"/>
    <x v="5"/>
    <x v="0"/>
    <x v="0"/>
    <x v="33"/>
    <x v="156"/>
    <x v="899"/>
    <x v="0"/>
    <x v="36"/>
    <x v="2"/>
  </r>
  <r>
    <x v="36"/>
    <x v="139"/>
    <x v="5"/>
    <x v="5"/>
    <x v="0"/>
    <x v="0"/>
    <x v="33"/>
    <x v="110"/>
    <x v="759"/>
    <x v="0"/>
    <x v="36"/>
    <x v="2"/>
  </r>
  <r>
    <x v="36"/>
    <x v="124"/>
    <x v="5"/>
    <x v="5"/>
    <x v="0"/>
    <x v="0"/>
    <x v="33"/>
    <x v="206"/>
    <x v="146"/>
    <x v="0"/>
    <x v="36"/>
    <x v="2"/>
  </r>
  <r>
    <x v="36"/>
    <x v="40"/>
    <x v="1"/>
    <x v="1"/>
    <x v="0"/>
    <x v="0"/>
    <x v="33"/>
    <x v="125"/>
    <x v="899"/>
    <x v="0"/>
    <x v="36"/>
    <x v="2"/>
  </r>
  <r>
    <x v="36"/>
    <x v="41"/>
    <x v="1"/>
    <x v="1"/>
    <x v="0"/>
    <x v="0"/>
    <x v="33"/>
    <x v="113"/>
    <x v="146"/>
    <x v="0"/>
    <x v="36"/>
    <x v="2"/>
  </r>
  <r>
    <x v="36"/>
    <x v="42"/>
    <x v="1"/>
    <x v="1"/>
    <x v="0"/>
    <x v="0"/>
    <x v="33"/>
    <x v="167"/>
    <x v="765"/>
    <x v="0"/>
    <x v="36"/>
    <x v="2"/>
  </r>
  <r>
    <x v="36"/>
    <x v="101"/>
    <x v="1"/>
    <x v="1"/>
    <x v="0"/>
    <x v="0"/>
    <x v="33"/>
    <x v="207"/>
    <x v="874"/>
    <x v="0"/>
    <x v="36"/>
    <x v="2"/>
  </r>
  <r>
    <x v="36"/>
    <x v="152"/>
    <x v="1"/>
    <x v="1"/>
    <x v="0"/>
    <x v="0"/>
    <x v="33"/>
    <x v="194"/>
    <x v="874"/>
    <x v="0"/>
    <x v="36"/>
    <x v="2"/>
  </r>
  <r>
    <x v="36"/>
    <x v="1"/>
    <x v="1"/>
    <x v="1"/>
    <x v="0"/>
    <x v="0"/>
    <x v="1"/>
    <x v="1"/>
    <x v="1"/>
    <x v="251"/>
    <x v="36"/>
    <x v="2"/>
  </r>
  <r>
    <x v="36"/>
    <x v="158"/>
    <x v="2"/>
    <x v="2"/>
    <x v="0"/>
    <x v="1"/>
    <x v="33"/>
    <x v="168"/>
    <x v="874"/>
    <x v="0"/>
    <x v="36"/>
    <x v="2"/>
  </r>
  <r>
    <x v="36"/>
    <x v="106"/>
    <x v="2"/>
    <x v="2"/>
    <x v="0"/>
    <x v="1"/>
    <x v="33"/>
    <x v="223"/>
    <x v="874"/>
    <x v="0"/>
    <x v="36"/>
    <x v="2"/>
  </r>
  <r>
    <x v="36"/>
    <x v="85"/>
    <x v="2"/>
    <x v="2"/>
    <x v="0"/>
    <x v="1"/>
    <x v="33"/>
    <x v="161"/>
    <x v="765"/>
    <x v="0"/>
    <x v="36"/>
    <x v="2"/>
  </r>
  <r>
    <x v="36"/>
    <x v="107"/>
    <x v="2"/>
    <x v="2"/>
    <x v="0"/>
    <x v="1"/>
    <x v="33"/>
    <x v="158"/>
    <x v="874"/>
    <x v="0"/>
    <x v="36"/>
    <x v="2"/>
  </r>
  <r>
    <x v="36"/>
    <x v="129"/>
    <x v="2"/>
    <x v="2"/>
    <x v="0"/>
    <x v="1"/>
    <x v="33"/>
    <x v="204"/>
    <x v="874"/>
    <x v="0"/>
    <x v="36"/>
    <x v="2"/>
  </r>
  <r>
    <x v="36"/>
    <x v="108"/>
    <x v="3"/>
    <x v="3"/>
    <x v="0"/>
    <x v="1"/>
    <x v="33"/>
    <x v="63"/>
    <x v="874"/>
    <x v="0"/>
    <x v="36"/>
    <x v="2"/>
  </r>
  <r>
    <x v="36"/>
    <x v="43"/>
    <x v="3"/>
    <x v="3"/>
    <x v="0"/>
    <x v="1"/>
    <x v="33"/>
    <x v="71"/>
    <x v="874"/>
    <x v="0"/>
    <x v="36"/>
    <x v="2"/>
  </r>
  <r>
    <x v="36"/>
    <x v="44"/>
    <x v="3"/>
    <x v="3"/>
    <x v="0"/>
    <x v="1"/>
    <x v="33"/>
    <x v="191"/>
    <x v="874"/>
    <x v="0"/>
    <x v="36"/>
    <x v="2"/>
  </r>
  <r>
    <x v="36"/>
    <x v="68"/>
    <x v="4"/>
    <x v="4"/>
    <x v="0"/>
    <x v="1"/>
    <x v="33"/>
    <x v="222"/>
    <x v="874"/>
    <x v="0"/>
    <x v="36"/>
    <x v="2"/>
  </r>
  <r>
    <x v="36"/>
    <x v="89"/>
    <x v="4"/>
    <x v="4"/>
    <x v="0"/>
    <x v="1"/>
    <x v="33"/>
    <x v="154"/>
    <x v="874"/>
    <x v="0"/>
    <x v="36"/>
    <x v="2"/>
  </r>
  <r>
    <x v="36"/>
    <x v="119"/>
    <x v="0"/>
    <x v="0"/>
    <x v="0"/>
    <x v="1"/>
    <x v="33"/>
    <x v="96"/>
    <x v="874"/>
    <x v="0"/>
    <x v="36"/>
    <x v="2"/>
  </r>
  <r>
    <x v="36"/>
    <x v="45"/>
    <x v="0"/>
    <x v="0"/>
    <x v="0"/>
    <x v="1"/>
    <x v="33"/>
    <x v="180"/>
    <x v="874"/>
    <x v="0"/>
    <x v="36"/>
    <x v="2"/>
  </r>
  <r>
    <x v="36"/>
    <x v="46"/>
    <x v="0"/>
    <x v="0"/>
    <x v="0"/>
    <x v="1"/>
    <x v="33"/>
    <x v="155"/>
    <x v="874"/>
    <x v="0"/>
    <x v="36"/>
    <x v="2"/>
  </r>
  <r>
    <x v="36"/>
    <x v="125"/>
    <x v="5"/>
    <x v="5"/>
    <x v="0"/>
    <x v="1"/>
    <x v="33"/>
    <x v="82"/>
    <x v="874"/>
    <x v="0"/>
    <x v="36"/>
    <x v="2"/>
  </r>
  <r>
    <x v="36"/>
    <x v="101"/>
    <x v="1"/>
    <x v="1"/>
    <x v="0"/>
    <x v="1"/>
    <x v="33"/>
    <x v="207"/>
    <x v="874"/>
    <x v="0"/>
    <x v="36"/>
    <x v="2"/>
  </r>
  <r>
    <x v="36"/>
    <x v="1"/>
    <x v="1"/>
    <x v="1"/>
    <x v="0"/>
    <x v="1"/>
    <x v="1"/>
    <x v="1"/>
    <x v="1"/>
    <x v="367"/>
    <x v="36"/>
    <x v="2"/>
  </r>
  <r>
    <x v="39"/>
    <x v="16"/>
    <x v="2"/>
    <x v="2"/>
    <x v="0"/>
    <x v="0"/>
    <x v="33"/>
    <x v="93"/>
    <x v="874"/>
    <x v="0"/>
    <x v="39"/>
    <x v="2"/>
  </r>
  <r>
    <x v="39"/>
    <x v="118"/>
    <x v="2"/>
    <x v="2"/>
    <x v="0"/>
    <x v="0"/>
    <x v="33"/>
    <x v="69"/>
    <x v="874"/>
    <x v="0"/>
    <x v="39"/>
    <x v="2"/>
  </r>
  <r>
    <x v="39"/>
    <x v="111"/>
    <x v="2"/>
    <x v="2"/>
    <x v="0"/>
    <x v="0"/>
    <x v="33"/>
    <x v="75"/>
    <x v="874"/>
    <x v="0"/>
    <x v="39"/>
    <x v="2"/>
  </r>
  <r>
    <x v="39"/>
    <x v="65"/>
    <x v="6"/>
    <x v="6"/>
    <x v="0"/>
    <x v="0"/>
    <x v="33"/>
    <x v="190"/>
    <x v="874"/>
    <x v="0"/>
    <x v="39"/>
    <x v="2"/>
  </r>
  <r>
    <x v="39"/>
    <x v="36"/>
    <x v="6"/>
    <x v="6"/>
    <x v="0"/>
    <x v="0"/>
    <x v="33"/>
    <x v="94"/>
    <x v="874"/>
    <x v="0"/>
    <x v="39"/>
    <x v="2"/>
  </r>
  <r>
    <x v="39"/>
    <x v="87"/>
    <x v="6"/>
    <x v="6"/>
    <x v="0"/>
    <x v="0"/>
    <x v="33"/>
    <x v="189"/>
    <x v="874"/>
    <x v="0"/>
    <x v="39"/>
    <x v="2"/>
  </r>
  <r>
    <x v="39"/>
    <x v="163"/>
    <x v="6"/>
    <x v="6"/>
    <x v="0"/>
    <x v="0"/>
    <x v="33"/>
    <x v="195"/>
    <x v="874"/>
    <x v="0"/>
    <x v="39"/>
    <x v="2"/>
  </r>
  <r>
    <x v="39"/>
    <x v="113"/>
    <x v="6"/>
    <x v="6"/>
    <x v="0"/>
    <x v="0"/>
    <x v="33"/>
    <x v="89"/>
    <x v="874"/>
    <x v="0"/>
    <x v="39"/>
    <x v="2"/>
  </r>
  <r>
    <x v="39"/>
    <x v="19"/>
    <x v="3"/>
    <x v="3"/>
    <x v="0"/>
    <x v="0"/>
    <x v="33"/>
    <x v="62"/>
    <x v="146"/>
    <x v="0"/>
    <x v="39"/>
    <x v="2"/>
  </r>
  <r>
    <x v="39"/>
    <x v="27"/>
    <x v="3"/>
    <x v="3"/>
    <x v="0"/>
    <x v="0"/>
    <x v="33"/>
    <x v="43"/>
    <x v="874"/>
    <x v="0"/>
    <x v="39"/>
    <x v="2"/>
  </r>
  <r>
    <x v="39"/>
    <x v="61"/>
    <x v="3"/>
    <x v="3"/>
    <x v="0"/>
    <x v="0"/>
    <x v="33"/>
    <x v="126"/>
    <x v="146"/>
    <x v="0"/>
    <x v="39"/>
    <x v="2"/>
  </r>
  <r>
    <x v="39"/>
    <x v="56"/>
    <x v="3"/>
    <x v="3"/>
    <x v="0"/>
    <x v="0"/>
    <x v="33"/>
    <x v="153"/>
    <x v="146"/>
    <x v="0"/>
    <x v="39"/>
    <x v="2"/>
  </r>
  <r>
    <x v="39"/>
    <x v="132"/>
    <x v="4"/>
    <x v="4"/>
    <x v="0"/>
    <x v="0"/>
    <x v="33"/>
    <x v="95"/>
    <x v="874"/>
    <x v="0"/>
    <x v="39"/>
    <x v="2"/>
  </r>
  <r>
    <x v="39"/>
    <x v="162"/>
    <x v="4"/>
    <x v="4"/>
    <x v="0"/>
    <x v="0"/>
    <x v="33"/>
    <x v="192"/>
    <x v="759"/>
    <x v="0"/>
    <x v="39"/>
    <x v="2"/>
  </r>
  <r>
    <x v="39"/>
    <x v="12"/>
    <x v="4"/>
    <x v="4"/>
    <x v="0"/>
    <x v="0"/>
    <x v="33"/>
    <x v="247"/>
    <x v="874"/>
    <x v="0"/>
    <x v="39"/>
    <x v="2"/>
  </r>
  <r>
    <x v="39"/>
    <x v="29"/>
    <x v="4"/>
    <x v="4"/>
    <x v="0"/>
    <x v="0"/>
    <x v="33"/>
    <x v="248"/>
    <x v="874"/>
    <x v="0"/>
    <x v="39"/>
    <x v="2"/>
  </r>
  <r>
    <x v="39"/>
    <x v="154"/>
    <x v="4"/>
    <x v="4"/>
    <x v="0"/>
    <x v="0"/>
    <x v="33"/>
    <x v="143"/>
    <x v="874"/>
    <x v="0"/>
    <x v="39"/>
    <x v="2"/>
  </r>
  <r>
    <x v="39"/>
    <x v="78"/>
    <x v="4"/>
    <x v="4"/>
    <x v="0"/>
    <x v="0"/>
    <x v="33"/>
    <x v="160"/>
    <x v="874"/>
    <x v="0"/>
    <x v="39"/>
    <x v="2"/>
  </r>
  <r>
    <x v="39"/>
    <x v="52"/>
    <x v="0"/>
    <x v="0"/>
    <x v="0"/>
    <x v="0"/>
    <x v="33"/>
    <x v="107"/>
    <x v="874"/>
    <x v="0"/>
    <x v="39"/>
    <x v="2"/>
  </r>
  <r>
    <x v="39"/>
    <x v="121"/>
    <x v="0"/>
    <x v="0"/>
    <x v="0"/>
    <x v="0"/>
    <x v="33"/>
    <x v="80"/>
    <x v="874"/>
    <x v="0"/>
    <x v="39"/>
    <x v="2"/>
  </r>
  <r>
    <x v="39"/>
    <x v="53"/>
    <x v="0"/>
    <x v="0"/>
    <x v="0"/>
    <x v="0"/>
    <x v="33"/>
    <x v="144"/>
    <x v="765"/>
    <x v="0"/>
    <x v="39"/>
    <x v="2"/>
  </r>
  <r>
    <x v="39"/>
    <x v="92"/>
    <x v="0"/>
    <x v="0"/>
    <x v="0"/>
    <x v="0"/>
    <x v="33"/>
    <x v="109"/>
    <x v="874"/>
    <x v="0"/>
    <x v="39"/>
    <x v="2"/>
  </r>
  <r>
    <x v="39"/>
    <x v="142"/>
    <x v="0"/>
    <x v="0"/>
    <x v="0"/>
    <x v="0"/>
    <x v="33"/>
    <x v="119"/>
    <x v="874"/>
    <x v="0"/>
    <x v="39"/>
    <x v="2"/>
  </r>
  <r>
    <x v="39"/>
    <x v="76"/>
    <x v="5"/>
    <x v="5"/>
    <x v="0"/>
    <x v="0"/>
    <x v="33"/>
    <x v="182"/>
    <x v="146"/>
    <x v="0"/>
    <x v="39"/>
    <x v="2"/>
  </r>
  <r>
    <x v="39"/>
    <x v="13"/>
    <x v="5"/>
    <x v="5"/>
    <x v="0"/>
    <x v="0"/>
    <x v="33"/>
    <x v="120"/>
    <x v="874"/>
    <x v="0"/>
    <x v="39"/>
    <x v="2"/>
  </r>
  <r>
    <x v="39"/>
    <x v="72"/>
    <x v="5"/>
    <x v="5"/>
    <x v="0"/>
    <x v="0"/>
    <x v="33"/>
    <x v="38"/>
    <x v="759"/>
    <x v="0"/>
    <x v="39"/>
    <x v="2"/>
  </r>
  <r>
    <x v="39"/>
    <x v="168"/>
    <x v="5"/>
    <x v="5"/>
    <x v="0"/>
    <x v="0"/>
    <x v="33"/>
    <x v="225"/>
    <x v="874"/>
    <x v="0"/>
    <x v="39"/>
    <x v="2"/>
  </r>
  <r>
    <x v="39"/>
    <x v="77"/>
    <x v="5"/>
    <x v="5"/>
    <x v="0"/>
    <x v="0"/>
    <x v="33"/>
    <x v="156"/>
    <x v="874"/>
    <x v="0"/>
    <x v="39"/>
    <x v="2"/>
  </r>
  <r>
    <x v="39"/>
    <x v="139"/>
    <x v="5"/>
    <x v="5"/>
    <x v="0"/>
    <x v="0"/>
    <x v="33"/>
    <x v="110"/>
    <x v="874"/>
    <x v="0"/>
    <x v="39"/>
    <x v="2"/>
  </r>
  <r>
    <x v="39"/>
    <x v="63"/>
    <x v="5"/>
    <x v="5"/>
    <x v="0"/>
    <x v="0"/>
    <x v="33"/>
    <x v="111"/>
    <x v="874"/>
    <x v="0"/>
    <x v="39"/>
    <x v="2"/>
  </r>
  <r>
    <x v="39"/>
    <x v="153"/>
    <x v="5"/>
    <x v="5"/>
    <x v="0"/>
    <x v="0"/>
    <x v="33"/>
    <x v="157"/>
    <x v="874"/>
    <x v="0"/>
    <x v="39"/>
    <x v="2"/>
  </r>
  <r>
    <x v="39"/>
    <x v="150"/>
    <x v="5"/>
    <x v="5"/>
    <x v="0"/>
    <x v="0"/>
    <x v="33"/>
    <x v="214"/>
    <x v="874"/>
    <x v="0"/>
    <x v="39"/>
    <x v="2"/>
  </r>
  <r>
    <x v="39"/>
    <x v="161"/>
    <x v="1"/>
    <x v="1"/>
    <x v="0"/>
    <x v="0"/>
    <x v="33"/>
    <x v="186"/>
    <x v="874"/>
    <x v="0"/>
    <x v="39"/>
    <x v="2"/>
  </r>
  <r>
    <x v="39"/>
    <x v="151"/>
    <x v="1"/>
    <x v="1"/>
    <x v="0"/>
    <x v="0"/>
    <x v="33"/>
    <x v="166"/>
    <x v="146"/>
    <x v="0"/>
    <x v="39"/>
    <x v="2"/>
  </r>
  <r>
    <x v="39"/>
    <x v="127"/>
    <x v="1"/>
    <x v="1"/>
    <x v="0"/>
    <x v="0"/>
    <x v="33"/>
    <x v="85"/>
    <x v="874"/>
    <x v="0"/>
    <x v="39"/>
    <x v="2"/>
  </r>
  <r>
    <x v="39"/>
    <x v="42"/>
    <x v="1"/>
    <x v="1"/>
    <x v="0"/>
    <x v="0"/>
    <x v="33"/>
    <x v="167"/>
    <x v="765"/>
    <x v="0"/>
    <x v="39"/>
    <x v="2"/>
  </r>
  <r>
    <x v="39"/>
    <x v="73"/>
    <x v="1"/>
    <x v="1"/>
    <x v="0"/>
    <x v="0"/>
    <x v="33"/>
    <x v="39"/>
    <x v="874"/>
    <x v="0"/>
    <x v="39"/>
    <x v="2"/>
  </r>
  <r>
    <x v="39"/>
    <x v="98"/>
    <x v="1"/>
    <x v="1"/>
    <x v="0"/>
    <x v="0"/>
    <x v="33"/>
    <x v="198"/>
    <x v="874"/>
    <x v="0"/>
    <x v="39"/>
    <x v="2"/>
  </r>
  <r>
    <x v="39"/>
    <x v="1"/>
    <x v="1"/>
    <x v="1"/>
    <x v="0"/>
    <x v="0"/>
    <x v="1"/>
    <x v="1"/>
    <x v="1"/>
    <x v="291"/>
    <x v="39"/>
    <x v="2"/>
  </r>
  <r>
    <x v="39"/>
    <x v="87"/>
    <x v="6"/>
    <x v="6"/>
    <x v="0"/>
    <x v="1"/>
    <x v="33"/>
    <x v="189"/>
    <x v="146"/>
    <x v="0"/>
    <x v="39"/>
    <x v="2"/>
  </r>
  <r>
    <x v="39"/>
    <x v="71"/>
    <x v="6"/>
    <x v="6"/>
    <x v="0"/>
    <x v="1"/>
    <x v="33"/>
    <x v="37"/>
    <x v="874"/>
    <x v="0"/>
    <x v="39"/>
    <x v="2"/>
  </r>
  <r>
    <x v="39"/>
    <x v="1"/>
    <x v="1"/>
    <x v="1"/>
    <x v="0"/>
    <x v="1"/>
    <x v="1"/>
    <x v="1"/>
    <x v="1"/>
    <x v="220"/>
    <x v="39"/>
    <x v="2"/>
  </r>
  <r>
    <x v="40"/>
    <x v="102"/>
    <x v="6"/>
    <x v="6"/>
    <x v="0"/>
    <x v="2"/>
    <x v="33"/>
    <x v="141"/>
    <x v="874"/>
    <x v="0"/>
    <x v="40"/>
    <x v="2"/>
  </r>
  <r>
    <x v="40"/>
    <x v="128"/>
    <x v="1"/>
    <x v="1"/>
    <x v="0"/>
    <x v="2"/>
    <x v="33"/>
    <x v="164"/>
    <x v="874"/>
    <x v="0"/>
    <x v="40"/>
    <x v="2"/>
  </r>
  <r>
    <x v="40"/>
    <x v="1"/>
    <x v="1"/>
    <x v="1"/>
    <x v="0"/>
    <x v="2"/>
    <x v="1"/>
    <x v="1"/>
    <x v="1"/>
    <x v="349"/>
    <x v="40"/>
    <x v="2"/>
  </r>
  <r>
    <x v="40"/>
    <x v="16"/>
    <x v="2"/>
    <x v="2"/>
    <x v="0"/>
    <x v="0"/>
    <x v="33"/>
    <x v="93"/>
    <x v="899"/>
    <x v="0"/>
    <x v="40"/>
    <x v="2"/>
  </r>
  <r>
    <x v="40"/>
    <x v="110"/>
    <x v="2"/>
    <x v="2"/>
    <x v="0"/>
    <x v="0"/>
    <x v="33"/>
    <x v="171"/>
    <x v="765"/>
    <x v="0"/>
    <x v="40"/>
    <x v="2"/>
  </r>
  <r>
    <x v="40"/>
    <x v="36"/>
    <x v="6"/>
    <x v="6"/>
    <x v="0"/>
    <x v="0"/>
    <x v="33"/>
    <x v="94"/>
    <x v="874"/>
    <x v="0"/>
    <x v="40"/>
    <x v="2"/>
  </r>
  <r>
    <x v="40"/>
    <x v="113"/>
    <x v="6"/>
    <x v="6"/>
    <x v="0"/>
    <x v="0"/>
    <x v="33"/>
    <x v="89"/>
    <x v="146"/>
    <x v="0"/>
    <x v="40"/>
    <x v="2"/>
  </r>
  <r>
    <x v="40"/>
    <x v="148"/>
    <x v="3"/>
    <x v="3"/>
    <x v="0"/>
    <x v="0"/>
    <x v="33"/>
    <x v="174"/>
    <x v="848"/>
    <x v="0"/>
    <x v="40"/>
    <x v="2"/>
  </r>
  <r>
    <x v="40"/>
    <x v="79"/>
    <x v="3"/>
    <x v="3"/>
    <x v="0"/>
    <x v="0"/>
    <x v="33"/>
    <x v="142"/>
    <x v="874"/>
    <x v="0"/>
    <x v="40"/>
    <x v="2"/>
  </r>
  <r>
    <x v="40"/>
    <x v="156"/>
    <x v="4"/>
    <x v="4"/>
    <x v="0"/>
    <x v="0"/>
    <x v="33"/>
    <x v="146"/>
    <x v="146"/>
    <x v="0"/>
    <x v="40"/>
    <x v="2"/>
  </r>
  <r>
    <x v="40"/>
    <x v="12"/>
    <x v="4"/>
    <x v="4"/>
    <x v="0"/>
    <x v="0"/>
    <x v="33"/>
    <x v="247"/>
    <x v="874"/>
    <x v="0"/>
    <x v="40"/>
    <x v="2"/>
  </r>
  <r>
    <x v="40"/>
    <x v="62"/>
    <x v="4"/>
    <x v="4"/>
    <x v="0"/>
    <x v="0"/>
    <x v="33"/>
    <x v="176"/>
    <x v="874"/>
    <x v="0"/>
    <x v="40"/>
    <x v="2"/>
  </r>
  <r>
    <x v="40"/>
    <x v="116"/>
    <x v="0"/>
    <x v="0"/>
    <x v="0"/>
    <x v="0"/>
    <x v="33"/>
    <x v="64"/>
    <x v="874"/>
    <x v="0"/>
    <x v="40"/>
    <x v="2"/>
  </r>
  <r>
    <x v="40"/>
    <x v="119"/>
    <x v="0"/>
    <x v="0"/>
    <x v="0"/>
    <x v="0"/>
    <x v="33"/>
    <x v="96"/>
    <x v="874"/>
    <x v="0"/>
    <x v="40"/>
    <x v="2"/>
  </r>
  <r>
    <x v="40"/>
    <x v="45"/>
    <x v="0"/>
    <x v="0"/>
    <x v="0"/>
    <x v="0"/>
    <x v="33"/>
    <x v="180"/>
    <x v="1182"/>
    <x v="0"/>
    <x v="40"/>
    <x v="2"/>
  </r>
  <r>
    <x v="40"/>
    <x v="76"/>
    <x v="5"/>
    <x v="5"/>
    <x v="0"/>
    <x v="0"/>
    <x v="33"/>
    <x v="182"/>
    <x v="899"/>
    <x v="0"/>
    <x v="40"/>
    <x v="2"/>
  </r>
  <r>
    <x v="40"/>
    <x v="125"/>
    <x v="5"/>
    <x v="5"/>
    <x v="0"/>
    <x v="0"/>
    <x v="33"/>
    <x v="82"/>
    <x v="146"/>
    <x v="0"/>
    <x v="40"/>
    <x v="2"/>
  </r>
  <r>
    <x v="40"/>
    <x v="34"/>
    <x v="5"/>
    <x v="5"/>
    <x v="0"/>
    <x v="0"/>
    <x v="33"/>
    <x v="184"/>
    <x v="146"/>
    <x v="0"/>
    <x v="40"/>
    <x v="2"/>
  </r>
  <r>
    <x v="40"/>
    <x v="63"/>
    <x v="5"/>
    <x v="5"/>
    <x v="0"/>
    <x v="0"/>
    <x v="33"/>
    <x v="111"/>
    <x v="765"/>
    <x v="0"/>
    <x v="40"/>
    <x v="2"/>
  </r>
  <r>
    <x v="40"/>
    <x v="14"/>
    <x v="1"/>
    <x v="1"/>
    <x v="0"/>
    <x v="0"/>
    <x v="33"/>
    <x v="112"/>
    <x v="146"/>
    <x v="0"/>
    <x v="40"/>
    <x v="2"/>
  </r>
  <r>
    <x v="40"/>
    <x v="151"/>
    <x v="1"/>
    <x v="1"/>
    <x v="0"/>
    <x v="0"/>
    <x v="33"/>
    <x v="166"/>
    <x v="1182"/>
    <x v="0"/>
    <x v="40"/>
    <x v="2"/>
  </r>
  <r>
    <x v="40"/>
    <x v="33"/>
    <x v="1"/>
    <x v="1"/>
    <x v="0"/>
    <x v="0"/>
    <x v="33"/>
    <x v="241"/>
    <x v="146"/>
    <x v="0"/>
    <x v="40"/>
    <x v="2"/>
  </r>
  <r>
    <x v="40"/>
    <x v="1"/>
    <x v="1"/>
    <x v="1"/>
    <x v="0"/>
    <x v="0"/>
    <x v="1"/>
    <x v="1"/>
    <x v="1"/>
    <x v="368"/>
    <x v="40"/>
    <x v="2"/>
  </r>
  <r>
    <x v="40"/>
    <x v="112"/>
    <x v="2"/>
    <x v="2"/>
    <x v="0"/>
    <x v="1"/>
    <x v="33"/>
    <x v="209"/>
    <x v="759"/>
    <x v="0"/>
    <x v="40"/>
    <x v="2"/>
  </r>
  <r>
    <x v="40"/>
    <x v="36"/>
    <x v="6"/>
    <x v="6"/>
    <x v="0"/>
    <x v="1"/>
    <x v="33"/>
    <x v="94"/>
    <x v="874"/>
    <x v="0"/>
    <x v="40"/>
    <x v="2"/>
  </r>
  <r>
    <x v="40"/>
    <x v="71"/>
    <x v="6"/>
    <x v="6"/>
    <x v="0"/>
    <x v="1"/>
    <x v="33"/>
    <x v="37"/>
    <x v="146"/>
    <x v="0"/>
    <x v="40"/>
    <x v="2"/>
  </r>
  <r>
    <x v="40"/>
    <x v="96"/>
    <x v="6"/>
    <x v="6"/>
    <x v="0"/>
    <x v="1"/>
    <x v="33"/>
    <x v="165"/>
    <x v="874"/>
    <x v="0"/>
    <x v="40"/>
    <x v="2"/>
  </r>
  <r>
    <x v="40"/>
    <x v="136"/>
    <x v="0"/>
    <x v="0"/>
    <x v="0"/>
    <x v="1"/>
    <x v="33"/>
    <x v="100"/>
    <x v="146"/>
    <x v="0"/>
    <x v="40"/>
    <x v="2"/>
  </r>
  <r>
    <x v="40"/>
    <x v="1"/>
    <x v="1"/>
    <x v="1"/>
    <x v="0"/>
    <x v="1"/>
    <x v="1"/>
    <x v="1"/>
    <x v="1"/>
    <x v="369"/>
    <x v="40"/>
    <x v="2"/>
  </r>
  <r>
    <x v="74"/>
    <x v="169"/>
    <x v="6"/>
    <x v="6"/>
    <x v="0"/>
    <x v="2"/>
    <x v="34"/>
    <x v="251"/>
    <x v="1355"/>
    <x v="0"/>
    <x v="74"/>
    <x v="2"/>
  </r>
  <r>
    <x v="74"/>
    <x v="142"/>
    <x v="0"/>
    <x v="0"/>
    <x v="0"/>
    <x v="2"/>
    <x v="32"/>
    <x v="119"/>
    <x v="1356"/>
    <x v="0"/>
    <x v="74"/>
    <x v="2"/>
  </r>
  <r>
    <x v="74"/>
    <x v="1"/>
    <x v="1"/>
    <x v="1"/>
    <x v="0"/>
    <x v="2"/>
    <x v="1"/>
    <x v="1"/>
    <x v="1"/>
    <x v="370"/>
    <x v="74"/>
    <x v="2"/>
  </r>
  <r>
    <x v="75"/>
    <x v="79"/>
    <x v="3"/>
    <x v="3"/>
    <x v="0"/>
    <x v="2"/>
    <x v="32"/>
    <x v="142"/>
    <x v="1357"/>
    <x v="0"/>
    <x v="75"/>
    <x v="2"/>
  </r>
  <r>
    <x v="75"/>
    <x v="1"/>
    <x v="1"/>
    <x v="1"/>
    <x v="0"/>
    <x v="2"/>
    <x v="1"/>
    <x v="1"/>
    <x v="1"/>
    <x v="371"/>
    <x v="75"/>
    <x v="2"/>
  </r>
  <r>
    <x v="42"/>
    <x v="36"/>
    <x v="6"/>
    <x v="6"/>
    <x v="0"/>
    <x v="0"/>
    <x v="33"/>
    <x v="94"/>
    <x v="874"/>
    <x v="0"/>
    <x v="42"/>
    <x v="2"/>
  </r>
  <r>
    <x v="42"/>
    <x v="71"/>
    <x v="6"/>
    <x v="6"/>
    <x v="0"/>
    <x v="0"/>
    <x v="33"/>
    <x v="37"/>
    <x v="874"/>
    <x v="0"/>
    <x v="42"/>
    <x v="2"/>
  </r>
  <r>
    <x v="42"/>
    <x v="53"/>
    <x v="0"/>
    <x v="0"/>
    <x v="0"/>
    <x v="0"/>
    <x v="33"/>
    <x v="144"/>
    <x v="759"/>
    <x v="0"/>
    <x v="42"/>
    <x v="2"/>
  </r>
  <r>
    <x v="42"/>
    <x v="136"/>
    <x v="0"/>
    <x v="0"/>
    <x v="0"/>
    <x v="0"/>
    <x v="33"/>
    <x v="100"/>
    <x v="759"/>
    <x v="0"/>
    <x v="42"/>
    <x v="2"/>
  </r>
  <r>
    <x v="42"/>
    <x v="151"/>
    <x v="1"/>
    <x v="1"/>
    <x v="0"/>
    <x v="0"/>
    <x v="33"/>
    <x v="166"/>
    <x v="874"/>
    <x v="0"/>
    <x v="42"/>
    <x v="2"/>
  </r>
  <r>
    <x v="42"/>
    <x v="127"/>
    <x v="1"/>
    <x v="1"/>
    <x v="0"/>
    <x v="0"/>
    <x v="33"/>
    <x v="85"/>
    <x v="874"/>
    <x v="0"/>
    <x v="42"/>
    <x v="2"/>
  </r>
  <r>
    <x v="42"/>
    <x v="1"/>
    <x v="1"/>
    <x v="1"/>
    <x v="0"/>
    <x v="0"/>
    <x v="1"/>
    <x v="1"/>
    <x v="1"/>
    <x v="372"/>
    <x v="42"/>
    <x v="2"/>
  </r>
  <r>
    <x v="42"/>
    <x v="21"/>
    <x v="6"/>
    <x v="6"/>
    <x v="0"/>
    <x v="1"/>
    <x v="33"/>
    <x v="70"/>
    <x v="874"/>
    <x v="0"/>
    <x v="42"/>
    <x v="2"/>
  </r>
  <r>
    <x v="42"/>
    <x v="56"/>
    <x v="3"/>
    <x v="3"/>
    <x v="0"/>
    <x v="1"/>
    <x v="33"/>
    <x v="153"/>
    <x v="874"/>
    <x v="0"/>
    <x v="42"/>
    <x v="2"/>
  </r>
  <r>
    <x v="42"/>
    <x v="29"/>
    <x v="4"/>
    <x v="4"/>
    <x v="0"/>
    <x v="1"/>
    <x v="33"/>
    <x v="248"/>
    <x v="874"/>
    <x v="0"/>
    <x v="42"/>
    <x v="2"/>
  </r>
  <r>
    <x v="42"/>
    <x v="1"/>
    <x v="1"/>
    <x v="1"/>
    <x v="0"/>
    <x v="1"/>
    <x v="1"/>
    <x v="1"/>
    <x v="1"/>
    <x v="355"/>
    <x v="42"/>
    <x v="2"/>
  </r>
  <r>
    <x v="43"/>
    <x v="170"/>
    <x v="2"/>
    <x v="2"/>
    <x v="0"/>
    <x v="2"/>
    <x v="32"/>
    <x v="252"/>
    <x v="982"/>
    <x v="0"/>
    <x v="43"/>
    <x v="2"/>
  </r>
  <r>
    <x v="43"/>
    <x v="25"/>
    <x v="2"/>
    <x v="2"/>
    <x v="0"/>
    <x v="2"/>
    <x v="32"/>
    <x v="169"/>
    <x v="952"/>
    <x v="0"/>
    <x v="43"/>
    <x v="2"/>
  </r>
  <r>
    <x v="43"/>
    <x v="86"/>
    <x v="6"/>
    <x v="6"/>
    <x v="0"/>
    <x v="2"/>
    <x v="32"/>
    <x v="224"/>
    <x v="982"/>
    <x v="0"/>
    <x v="43"/>
    <x v="2"/>
  </r>
  <r>
    <x v="43"/>
    <x v="169"/>
    <x v="6"/>
    <x v="6"/>
    <x v="0"/>
    <x v="2"/>
    <x v="32"/>
    <x v="249"/>
    <x v="1215"/>
    <x v="0"/>
    <x v="43"/>
    <x v="2"/>
  </r>
  <r>
    <x v="43"/>
    <x v="74"/>
    <x v="3"/>
    <x v="3"/>
    <x v="0"/>
    <x v="2"/>
    <x v="32"/>
    <x v="151"/>
    <x v="801"/>
    <x v="0"/>
    <x v="43"/>
    <x v="2"/>
  </r>
  <r>
    <x v="43"/>
    <x v="114"/>
    <x v="3"/>
    <x v="3"/>
    <x v="0"/>
    <x v="2"/>
    <x v="32"/>
    <x v="76"/>
    <x v="1215"/>
    <x v="0"/>
    <x v="43"/>
    <x v="2"/>
  </r>
  <r>
    <x v="43"/>
    <x v="80"/>
    <x v="4"/>
    <x v="4"/>
    <x v="0"/>
    <x v="2"/>
    <x v="32"/>
    <x v="90"/>
    <x v="801"/>
    <x v="0"/>
    <x v="43"/>
    <x v="2"/>
  </r>
  <r>
    <x v="43"/>
    <x v="30"/>
    <x v="4"/>
    <x v="4"/>
    <x v="0"/>
    <x v="2"/>
    <x v="32"/>
    <x v="159"/>
    <x v="982"/>
    <x v="0"/>
    <x v="43"/>
    <x v="2"/>
  </r>
  <r>
    <x v="43"/>
    <x v="90"/>
    <x v="0"/>
    <x v="0"/>
    <x v="0"/>
    <x v="2"/>
    <x v="32"/>
    <x v="79"/>
    <x v="801"/>
    <x v="0"/>
    <x v="43"/>
    <x v="2"/>
  </r>
  <r>
    <x v="43"/>
    <x v="160"/>
    <x v="0"/>
    <x v="0"/>
    <x v="0"/>
    <x v="2"/>
    <x v="32"/>
    <x v="179"/>
    <x v="1215"/>
    <x v="0"/>
    <x v="43"/>
    <x v="2"/>
  </r>
  <r>
    <x v="43"/>
    <x v="32"/>
    <x v="5"/>
    <x v="5"/>
    <x v="0"/>
    <x v="2"/>
    <x v="32"/>
    <x v="81"/>
    <x v="952"/>
    <x v="0"/>
    <x v="43"/>
    <x v="2"/>
  </r>
  <r>
    <x v="43"/>
    <x v="77"/>
    <x v="5"/>
    <x v="5"/>
    <x v="0"/>
    <x v="2"/>
    <x v="32"/>
    <x v="156"/>
    <x v="982"/>
    <x v="0"/>
    <x v="43"/>
    <x v="2"/>
  </r>
  <r>
    <x v="43"/>
    <x v="58"/>
    <x v="1"/>
    <x v="1"/>
    <x v="0"/>
    <x v="2"/>
    <x v="32"/>
    <x v="84"/>
    <x v="982"/>
    <x v="0"/>
    <x v="43"/>
    <x v="2"/>
  </r>
  <r>
    <x v="43"/>
    <x v="42"/>
    <x v="1"/>
    <x v="1"/>
    <x v="0"/>
    <x v="2"/>
    <x v="32"/>
    <x v="167"/>
    <x v="982"/>
    <x v="0"/>
    <x v="43"/>
    <x v="2"/>
  </r>
  <r>
    <x v="43"/>
    <x v="1"/>
    <x v="1"/>
    <x v="1"/>
    <x v="0"/>
    <x v="2"/>
    <x v="1"/>
    <x v="1"/>
    <x v="1"/>
    <x v="373"/>
    <x v="43"/>
    <x v="2"/>
  </r>
  <r>
    <x v="43"/>
    <x v="1"/>
    <x v="1"/>
    <x v="1"/>
    <x v="0"/>
    <x v="0"/>
    <x v="1"/>
    <x v="1"/>
    <x v="1"/>
    <x v="355"/>
    <x v="43"/>
    <x v="2"/>
  </r>
  <r>
    <x v="43"/>
    <x v="1"/>
    <x v="1"/>
    <x v="1"/>
    <x v="0"/>
    <x v="1"/>
    <x v="1"/>
    <x v="1"/>
    <x v="1"/>
    <x v="216"/>
    <x v="43"/>
    <x v="2"/>
  </r>
  <r>
    <x v="45"/>
    <x v="108"/>
    <x v="3"/>
    <x v="3"/>
    <x v="0"/>
    <x v="2"/>
    <x v="32"/>
    <x v="63"/>
    <x v="1358"/>
    <x v="0"/>
    <x v="45"/>
    <x v="2"/>
  </r>
  <r>
    <x v="45"/>
    <x v="0"/>
    <x v="0"/>
    <x v="0"/>
    <x v="0"/>
    <x v="2"/>
    <x v="32"/>
    <x v="197"/>
    <x v="1359"/>
    <x v="0"/>
    <x v="45"/>
    <x v="2"/>
  </r>
  <r>
    <x v="45"/>
    <x v="1"/>
    <x v="1"/>
    <x v="1"/>
    <x v="0"/>
    <x v="2"/>
    <x v="1"/>
    <x v="1"/>
    <x v="1"/>
    <x v="374"/>
    <x v="45"/>
    <x v="2"/>
  </r>
  <r>
    <x v="45"/>
    <x v="1"/>
    <x v="1"/>
    <x v="1"/>
    <x v="0"/>
    <x v="0"/>
    <x v="1"/>
    <x v="1"/>
    <x v="1"/>
    <x v="349"/>
    <x v="45"/>
    <x v="2"/>
  </r>
  <r>
    <x v="46"/>
    <x v="132"/>
    <x v="4"/>
    <x v="4"/>
    <x v="0"/>
    <x v="2"/>
    <x v="33"/>
    <x v="95"/>
    <x v="874"/>
    <x v="0"/>
    <x v="46"/>
    <x v="2"/>
  </r>
  <r>
    <x v="46"/>
    <x v="1"/>
    <x v="1"/>
    <x v="1"/>
    <x v="0"/>
    <x v="2"/>
    <x v="1"/>
    <x v="1"/>
    <x v="1"/>
    <x v="375"/>
    <x v="46"/>
    <x v="2"/>
  </r>
  <r>
    <x v="46"/>
    <x v="28"/>
    <x v="3"/>
    <x v="3"/>
    <x v="0"/>
    <x v="0"/>
    <x v="33"/>
    <x v="245"/>
    <x v="874"/>
    <x v="0"/>
    <x v="46"/>
    <x v="2"/>
  </r>
  <r>
    <x v="46"/>
    <x v="45"/>
    <x v="0"/>
    <x v="0"/>
    <x v="0"/>
    <x v="0"/>
    <x v="33"/>
    <x v="180"/>
    <x v="874"/>
    <x v="0"/>
    <x v="46"/>
    <x v="2"/>
  </r>
  <r>
    <x v="46"/>
    <x v="13"/>
    <x v="5"/>
    <x v="5"/>
    <x v="0"/>
    <x v="0"/>
    <x v="33"/>
    <x v="120"/>
    <x v="874"/>
    <x v="0"/>
    <x v="46"/>
    <x v="2"/>
  </r>
  <r>
    <x v="46"/>
    <x v="1"/>
    <x v="1"/>
    <x v="1"/>
    <x v="0"/>
    <x v="0"/>
    <x v="1"/>
    <x v="1"/>
    <x v="1"/>
    <x v="261"/>
    <x v="46"/>
    <x v="2"/>
  </r>
  <r>
    <x v="47"/>
    <x v="85"/>
    <x v="2"/>
    <x v="2"/>
    <x v="0"/>
    <x v="2"/>
    <x v="32"/>
    <x v="161"/>
    <x v="1360"/>
    <x v="0"/>
    <x v="47"/>
    <x v="2"/>
  </r>
  <r>
    <x v="47"/>
    <x v="65"/>
    <x v="6"/>
    <x v="6"/>
    <x v="0"/>
    <x v="2"/>
    <x v="32"/>
    <x v="190"/>
    <x v="1361"/>
    <x v="0"/>
    <x v="47"/>
    <x v="2"/>
  </r>
  <r>
    <x v="47"/>
    <x v="102"/>
    <x v="6"/>
    <x v="6"/>
    <x v="0"/>
    <x v="2"/>
    <x v="33"/>
    <x v="141"/>
    <x v="759"/>
    <x v="0"/>
    <x v="47"/>
    <x v="2"/>
  </r>
  <r>
    <x v="47"/>
    <x v="68"/>
    <x v="4"/>
    <x v="4"/>
    <x v="0"/>
    <x v="2"/>
    <x v="32"/>
    <x v="222"/>
    <x v="1362"/>
    <x v="0"/>
    <x v="47"/>
    <x v="2"/>
  </r>
  <r>
    <x v="47"/>
    <x v="160"/>
    <x v="0"/>
    <x v="0"/>
    <x v="0"/>
    <x v="2"/>
    <x v="32"/>
    <x v="179"/>
    <x v="1363"/>
    <x v="0"/>
    <x v="47"/>
    <x v="2"/>
  </r>
  <r>
    <x v="47"/>
    <x v="14"/>
    <x v="1"/>
    <x v="1"/>
    <x v="0"/>
    <x v="2"/>
    <x v="32"/>
    <x v="112"/>
    <x v="1364"/>
    <x v="0"/>
    <x v="47"/>
    <x v="2"/>
  </r>
  <r>
    <x v="47"/>
    <x v="101"/>
    <x v="1"/>
    <x v="1"/>
    <x v="0"/>
    <x v="2"/>
    <x v="33"/>
    <x v="207"/>
    <x v="874"/>
    <x v="0"/>
    <x v="47"/>
    <x v="2"/>
  </r>
  <r>
    <x v="47"/>
    <x v="1"/>
    <x v="1"/>
    <x v="1"/>
    <x v="0"/>
    <x v="2"/>
    <x v="1"/>
    <x v="1"/>
    <x v="1"/>
    <x v="376"/>
    <x v="47"/>
    <x v="2"/>
  </r>
  <r>
    <x v="47"/>
    <x v="70"/>
    <x v="2"/>
    <x v="2"/>
    <x v="0"/>
    <x v="0"/>
    <x v="33"/>
    <x v="36"/>
    <x v="759"/>
    <x v="0"/>
    <x v="47"/>
    <x v="2"/>
  </r>
  <r>
    <x v="47"/>
    <x v="16"/>
    <x v="2"/>
    <x v="2"/>
    <x v="0"/>
    <x v="0"/>
    <x v="33"/>
    <x v="93"/>
    <x v="1182"/>
    <x v="0"/>
    <x v="47"/>
    <x v="2"/>
  </r>
  <r>
    <x v="47"/>
    <x v="106"/>
    <x v="2"/>
    <x v="2"/>
    <x v="0"/>
    <x v="0"/>
    <x v="33"/>
    <x v="223"/>
    <x v="1182"/>
    <x v="0"/>
    <x v="47"/>
    <x v="2"/>
  </r>
  <r>
    <x v="47"/>
    <x v="47"/>
    <x v="2"/>
    <x v="2"/>
    <x v="0"/>
    <x v="0"/>
    <x v="33"/>
    <x v="68"/>
    <x v="874"/>
    <x v="0"/>
    <x v="47"/>
    <x v="2"/>
  </r>
  <r>
    <x v="47"/>
    <x v="85"/>
    <x v="2"/>
    <x v="2"/>
    <x v="0"/>
    <x v="0"/>
    <x v="33"/>
    <x v="161"/>
    <x v="765"/>
    <x v="0"/>
    <x v="47"/>
    <x v="2"/>
  </r>
  <r>
    <x v="47"/>
    <x v="112"/>
    <x v="2"/>
    <x v="2"/>
    <x v="0"/>
    <x v="0"/>
    <x v="33"/>
    <x v="209"/>
    <x v="859"/>
    <x v="0"/>
    <x v="47"/>
    <x v="2"/>
  </r>
  <r>
    <x v="47"/>
    <x v="84"/>
    <x v="2"/>
    <x v="2"/>
    <x v="0"/>
    <x v="0"/>
    <x v="33"/>
    <x v="203"/>
    <x v="765"/>
    <x v="0"/>
    <x v="47"/>
    <x v="2"/>
  </r>
  <r>
    <x v="47"/>
    <x v="129"/>
    <x v="2"/>
    <x v="2"/>
    <x v="0"/>
    <x v="0"/>
    <x v="33"/>
    <x v="204"/>
    <x v="765"/>
    <x v="0"/>
    <x v="47"/>
    <x v="2"/>
  </r>
  <r>
    <x v="47"/>
    <x v="146"/>
    <x v="6"/>
    <x v="6"/>
    <x v="0"/>
    <x v="0"/>
    <x v="33"/>
    <x v="172"/>
    <x v="146"/>
    <x v="0"/>
    <x v="47"/>
    <x v="2"/>
  </r>
  <r>
    <x v="47"/>
    <x v="36"/>
    <x v="6"/>
    <x v="6"/>
    <x v="0"/>
    <x v="0"/>
    <x v="33"/>
    <x v="94"/>
    <x v="952"/>
    <x v="0"/>
    <x v="47"/>
    <x v="2"/>
  </r>
  <r>
    <x v="47"/>
    <x v="71"/>
    <x v="6"/>
    <x v="6"/>
    <x v="0"/>
    <x v="0"/>
    <x v="33"/>
    <x v="37"/>
    <x v="874"/>
    <x v="0"/>
    <x v="47"/>
    <x v="2"/>
  </r>
  <r>
    <x v="47"/>
    <x v="163"/>
    <x v="6"/>
    <x v="6"/>
    <x v="0"/>
    <x v="0"/>
    <x v="33"/>
    <x v="195"/>
    <x v="874"/>
    <x v="0"/>
    <x v="47"/>
    <x v="2"/>
  </r>
  <r>
    <x v="47"/>
    <x v="113"/>
    <x v="6"/>
    <x v="6"/>
    <x v="0"/>
    <x v="0"/>
    <x v="35"/>
    <x v="89"/>
    <x v="874"/>
    <x v="0"/>
    <x v="47"/>
    <x v="2"/>
  </r>
  <r>
    <x v="47"/>
    <x v="134"/>
    <x v="6"/>
    <x v="6"/>
    <x v="0"/>
    <x v="0"/>
    <x v="33"/>
    <x v="226"/>
    <x v="874"/>
    <x v="0"/>
    <x v="47"/>
    <x v="2"/>
  </r>
  <r>
    <x v="47"/>
    <x v="147"/>
    <x v="6"/>
    <x v="6"/>
    <x v="0"/>
    <x v="0"/>
    <x v="33"/>
    <x v="132"/>
    <x v="874"/>
    <x v="0"/>
    <x v="47"/>
    <x v="2"/>
  </r>
  <r>
    <x v="47"/>
    <x v="21"/>
    <x v="6"/>
    <x v="6"/>
    <x v="0"/>
    <x v="0"/>
    <x v="36"/>
    <x v="253"/>
    <x v="765"/>
    <x v="0"/>
    <x v="47"/>
    <x v="2"/>
  </r>
  <r>
    <x v="47"/>
    <x v="137"/>
    <x v="6"/>
    <x v="6"/>
    <x v="0"/>
    <x v="0"/>
    <x v="33"/>
    <x v="102"/>
    <x v="759"/>
    <x v="0"/>
    <x v="47"/>
    <x v="2"/>
  </r>
  <r>
    <x v="47"/>
    <x v="23"/>
    <x v="3"/>
    <x v="3"/>
    <x v="0"/>
    <x v="0"/>
    <x v="33"/>
    <x v="221"/>
    <x v="952"/>
    <x v="0"/>
    <x v="47"/>
    <x v="2"/>
  </r>
  <r>
    <x v="47"/>
    <x v="108"/>
    <x v="3"/>
    <x v="3"/>
    <x v="0"/>
    <x v="0"/>
    <x v="33"/>
    <x v="63"/>
    <x v="859"/>
    <x v="0"/>
    <x v="47"/>
    <x v="2"/>
  </r>
  <r>
    <x v="47"/>
    <x v="135"/>
    <x v="3"/>
    <x v="3"/>
    <x v="0"/>
    <x v="0"/>
    <x v="33"/>
    <x v="149"/>
    <x v="146"/>
    <x v="0"/>
    <x v="47"/>
    <x v="2"/>
  </r>
  <r>
    <x v="47"/>
    <x v="43"/>
    <x v="3"/>
    <x v="3"/>
    <x v="0"/>
    <x v="0"/>
    <x v="33"/>
    <x v="71"/>
    <x v="759"/>
    <x v="0"/>
    <x v="47"/>
    <x v="2"/>
  </r>
  <r>
    <x v="47"/>
    <x v="75"/>
    <x v="3"/>
    <x v="3"/>
    <x v="0"/>
    <x v="0"/>
    <x v="33"/>
    <x v="220"/>
    <x v="899"/>
    <x v="0"/>
    <x v="47"/>
    <x v="2"/>
  </r>
  <r>
    <x v="47"/>
    <x v="61"/>
    <x v="3"/>
    <x v="3"/>
    <x v="0"/>
    <x v="0"/>
    <x v="33"/>
    <x v="126"/>
    <x v="874"/>
    <x v="0"/>
    <x v="47"/>
    <x v="2"/>
  </r>
  <r>
    <x v="47"/>
    <x v="148"/>
    <x v="3"/>
    <x v="3"/>
    <x v="0"/>
    <x v="0"/>
    <x v="33"/>
    <x v="174"/>
    <x v="1182"/>
    <x v="0"/>
    <x v="47"/>
    <x v="2"/>
  </r>
  <r>
    <x v="47"/>
    <x v="79"/>
    <x v="3"/>
    <x v="3"/>
    <x v="0"/>
    <x v="0"/>
    <x v="33"/>
    <x v="142"/>
    <x v="874"/>
    <x v="0"/>
    <x v="47"/>
    <x v="2"/>
  </r>
  <r>
    <x v="47"/>
    <x v="56"/>
    <x v="3"/>
    <x v="3"/>
    <x v="0"/>
    <x v="0"/>
    <x v="33"/>
    <x v="153"/>
    <x v="759"/>
    <x v="0"/>
    <x v="47"/>
    <x v="2"/>
  </r>
  <r>
    <x v="47"/>
    <x v="28"/>
    <x v="3"/>
    <x v="3"/>
    <x v="0"/>
    <x v="0"/>
    <x v="33"/>
    <x v="245"/>
    <x v="759"/>
    <x v="0"/>
    <x v="47"/>
    <x v="2"/>
  </r>
  <r>
    <x v="47"/>
    <x v="68"/>
    <x v="4"/>
    <x v="4"/>
    <x v="0"/>
    <x v="0"/>
    <x v="33"/>
    <x v="222"/>
    <x v="874"/>
    <x v="0"/>
    <x v="47"/>
    <x v="2"/>
  </r>
  <r>
    <x v="47"/>
    <x v="81"/>
    <x v="4"/>
    <x v="4"/>
    <x v="0"/>
    <x v="0"/>
    <x v="33"/>
    <x v="175"/>
    <x v="1182"/>
    <x v="0"/>
    <x v="47"/>
    <x v="2"/>
  </r>
  <r>
    <x v="47"/>
    <x v="132"/>
    <x v="4"/>
    <x v="4"/>
    <x v="0"/>
    <x v="0"/>
    <x v="33"/>
    <x v="95"/>
    <x v="1182"/>
    <x v="0"/>
    <x v="47"/>
    <x v="2"/>
  </r>
  <r>
    <x v="47"/>
    <x v="50"/>
    <x v="4"/>
    <x v="4"/>
    <x v="0"/>
    <x v="0"/>
    <x v="33"/>
    <x v="77"/>
    <x v="146"/>
    <x v="0"/>
    <x v="47"/>
    <x v="2"/>
  </r>
  <r>
    <x v="47"/>
    <x v="165"/>
    <x v="4"/>
    <x v="4"/>
    <x v="0"/>
    <x v="0"/>
    <x v="33"/>
    <x v="205"/>
    <x v="1182"/>
    <x v="0"/>
    <x v="47"/>
    <x v="2"/>
  </r>
  <r>
    <x v="47"/>
    <x v="62"/>
    <x v="4"/>
    <x v="4"/>
    <x v="0"/>
    <x v="0"/>
    <x v="33"/>
    <x v="176"/>
    <x v="759"/>
    <x v="0"/>
    <x v="47"/>
    <x v="2"/>
  </r>
  <r>
    <x v="47"/>
    <x v="4"/>
    <x v="4"/>
    <x v="4"/>
    <x v="0"/>
    <x v="0"/>
    <x v="33"/>
    <x v="199"/>
    <x v="874"/>
    <x v="0"/>
    <x v="47"/>
    <x v="2"/>
  </r>
  <r>
    <x v="47"/>
    <x v="78"/>
    <x v="4"/>
    <x v="4"/>
    <x v="0"/>
    <x v="0"/>
    <x v="33"/>
    <x v="160"/>
    <x v="146"/>
    <x v="0"/>
    <x v="47"/>
    <x v="2"/>
  </r>
  <r>
    <x v="47"/>
    <x v="52"/>
    <x v="0"/>
    <x v="0"/>
    <x v="0"/>
    <x v="0"/>
    <x v="33"/>
    <x v="107"/>
    <x v="759"/>
    <x v="0"/>
    <x v="47"/>
    <x v="2"/>
  </r>
  <r>
    <x v="47"/>
    <x v="119"/>
    <x v="0"/>
    <x v="0"/>
    <x v="0"/>
    <x v="0"/>
    <x v="33"/>
    <x v="96"/>
    <x v="1182"/>
    <x v="0"/>
    <x v="47"/>
    <x v="2"/>
  </r>
  <r>
    <x v="47"/>
    <x v="0"/>
    <x v="0"/>
    <x v="0"/>
    <x v="0"/>
    <x v="0"/>
    <x v="33"/>
    <x v="197"/>
    <x v="765"/>
    <x v="0"/>
    <x v="47"/>
    <x v="2"/>
  </r>
  <r>
    <x v="47"/>
    <x v="100"/>
    <x v="0"/>
    <x v="0"/>
    <x v="0"/>
    <x v="0"/>
    <x v="33"/>
    <x v="73"/>
    <x v="765"/>
    <x v="0"/>
    <x v="47"/>
    <x v="2"/>
  </r>
  <r>
    <x v="47"/>
    <x v="53"/>
    <x v="0"/>
    <x v="0"/>
    <x v="0"/>
    <x v="0"/>
    <x v="33"/>
    <x v="144"/>
    <x v="874"/>
    <x v="0"/>
    <x v="47"/>
    <x v="2"/>
  </r>
  <r>
    <x v="47"/>
    <x v="45"/>
    <x v="0"/>
    <x v="0"/>
    <x v="0"/>
    <x v="0"/>
    <x v="33"/>
    <x v="180"/>
    <x v="899"/>
    <x v="0"/>
    <x v="47"/>
    <x v="2"/>
  </r>
  <r>
    <x v="47"/>
    <x v="142"/>
    <x v="0"/>
    <x v="0"/>
    <x v="0"/>
    <x v="0"/>
    <x v="33"/>
    <x v="119"/>
    <x v="759"/>
    <x v="0"/>
    <x v="47"/>
    <x v="2"/>
  </r>
  <r>
    <x v="47"/>
    <x v="76"/>
    <x v="5"/>
    <x v="5"/>
    <x v="0"/>
    <x v="0"/>
    <x v="33"/>
    <x v="182"/>
    <x v="899"/>
    <x v="0"/>
    <x v="47"/>
    <x v="2"/>
  </r>
  <r>
    <x v="47"/>
    <x v="13"/>
    <x v="5"/>
    <x v="5"/>
    <x v="0"/>
    <x v="0"/>
    <x v="33"/>
    <x v="120"/>
    <x v="759"/>
    <x v="0"/>
    <x v="47"/>
    <x v="2"/>
  </r>
  <r>
    <x v="47"/>
    <x v="72"/>
    <x v="5"/>
    <x v="5"/>
    <x v="0"/>
    <x v="0"/>
    <x v="33"/>
    <x v="38"/>
    <x v="1365"/>
    <x v="0"/>
    <x v="47"/>
    <x v="2"/>
  </r>
  <r>
    <x v="47"/>
    <x v="125"/>
    <x v="5"/>
    <x v="5"/>
    <x v="0"/>
    <x v="0"/>
    <x v="33"/>
    <x v="82"/>
    <x v="759"/>
    <x v="0"/>
    <x v="47"/>
    <x v="2"/>
  </r>
  <r>
    <x v="47"/>
    <x v="168"/>
    <x v="5"/>
    <x v="5"/>
    <x v="0"/>
    <x v="0"/>
    <x v="33"/>
    <x v="225"/>
    <x v="899"/>
    <x v="0"/>
    <x v="47"/>
    <x v="2"/>
  </r>
  <r>
    <x v="47"/>
    <x v="139"/>
    <x v="5"/>
    <x v="5"/>
    <x v="0"/>
    <x v="0"/>
    <x v="33"/>
    <x v="110"/>
    <x v="934"/>
    <x v="0"/>
    <x v="47"/>
    <x v="2"/>
  </r>
  <r>
    <x v="47"/>
    <x v="123"/>
    <x v="5"/>
    <x v="5"/>
    <x v="0"/>
    <x v="0"/>
    <x v="33"/>
    <x v="74"/>
    <x v="874"/>
    <x v="0"/>
    <x v="47"/>
    <x v="2"/>
  </r>
  <r>
    <x v="47"/>
    <x v="153"/>
    <x v="5"/>
    <x v="5"/>
    <x v="0"/>
    <x v="0"/>
    <x v="33"/>
    <x v="157"/>
    <x v="899"/>
    <x v="0"/>
    <x v="47"/>
    <x v="2"/>
  </r>
  <r>
    <x v="47"/>
    <x v="150"/>
    <x v="5"/>
    <x v="5"/>
    <x v="0"/>
    <x v="0"/>
    <x v="33"/>
    <x v="214"/>
    <x v="146"/>
    <x v="0"/>
    <x v="47"/>
    <x v="2"/>
  </r>
  <r>
    <x v="47"/>
    <x v="95"/>
    <x v="1"/>
    <x v="1"/>
    <x v="0"/>
    <x v="0"/>
    <x v="33"/>
    <x v="97"/>
    <x v="952"/>
    <x v="0"/>
    <x v="47"/>
    <x v="2"/>
  </r>
  <r>
    <x v="47"/>
    <x v="14"/>
    <x v="1"/>
    <x v="1"/>
    <x v="0"/>
    <x v="0"/>
    <x v="33"/>
    <x v="112"/>
    <x v="899"/>
    <x v="0"/>
    <x v="47"/>
    <x v="2"/>
  </r>
  <r>
    <x v="47"/>
    <x v="151"/>
    <x v="1"/>
    <x v="1"/>
    <x v="0"/>
    <x v="0"/>
    <x v="33"/>
    <x v="166"/>
    <x v="899"/>
    <x v="0"/>
    <x v="47"/>
    <x v="2"/>
  </r>
  <r>
    <x v="47"/>
    <x v="127"/>
    <x v="1"/>
    <x v="1"/>
    <x v="0"/>
    <x v="0"/>
    <x v="33"/>
    <x v="85"/>
    <x v="765"/>
    <x v="0"/>
    <x v="47"/>
    <x v="2"/>
  </r>
  <r>
    <x v="47"/>
    <x v="22"/>
    <x v="1"/>
    <x v="1"/>
    <x v="0"/>
    <x v="0"/>
    <x v="33"/>
    <x v="211"/>
    <x v="765"/>
    <x v="0"/>
    <x v="47"/>
    <x v="2"/>
  </r>
  <r>
    <x v="47"/>
    <x v="42"/>
    <x v="1"/>
    <x v="1"/>
    <x v="0"/>
    <x v="0"/>
    <x v="33"/>
    <x v="167"/>
    <x v="982"/>
    <x v="0"/>
    <x v="47"/>
    <x v="2"/>
  </r>
  <r>
    <x v="47"/>
    <x v="33"/>
    <x v="1"/>
    <x v="1"/>
    <x v="0"/>
    <x v="0"/>
    <x v="33"/>
    <x v="241"/>
    <x v="899"/>
    <x v="0"/>
    <x v="47"/>
    <x v="2"/>
  </r>
  <r>
    <x v="47"/>
    <x v="101"/>
    <x v="1"/>
    <x v="1"/>
    <x v="0"/>
    <x v="0"/>
    <x v="33"/>
    <x v="207"/>
    <x v="759"/>
    <x v="0"/>
    <x v="47"/>
    <x v="2"/>
  </r>
  <r>
    <x v="47"/>
    <x v="109"/>
    <x v="1"/>
    <x v="1"/>
    <x v="0"/>
    <x v="0"/>
    <x v="33"/>
    <x v="208"/>
    <x v="146"/>
    <x v="0"/>
    <x v="47"/>
    <x v="2"/>
  </r>
  <r>
    <x v="47"/>
    <x v="1"/>
    <x v="1"/>
    <x v="1"/>
    <x v="0"/>
    <x v="0"/>
    <x v="1"/>
    <x v="1"/>
    <x v="1"/>
    <x v="377"/>
    <x v="47"/>
    <x v="2"/>
  </r>
  <r>
    <x v="47"/>
    <x v="87"/>
    <x v="6"/>
    <x v="6"/>
    <x v="0"/>
    <x v="1"/>
    <x v="33"/>
    <x v="189"/>
    <x v="759"/>
    <x v="0"/>
    <x v="47"/>
    <x v="2"/>
  </r>
  <r>
    <x v="47"/>
    <x v="27"/>
    <x v="3"/>
    <x v="3"/>
    <x v="0"/>
    <x v="1"/>
    <x v="33"/>
    <x v="43"/>
    <x v="874"/>
    <x v="0"/>
    <x v="47"/>
    <x v="2"/>
  </r>
  <r>
    <x v="47"/>
    <x v="56"/>
    <x v="3"/>
    <x v="3"/>
    <x v="0"/>
    <x v="1"/>
    <x v="33"/>
    <x v="153"/>
    <x v="874"/>
    <x v="0"/>
    <x v="47"/>
    <x v="2"/>
  </r>
  <r>
    <x v="47"/>
    <x v="28"/>
    <x v="3"/>
    <x v="3"/>
    <x v="0"/>
    <x v="1"/>
    <x v="33"/>
    <x v="245"/>
    <x v="874"/>
    <x v="0"/>
    <x v="47"/>
    <x v="2"/>
  </r>
  <r>
    <x v="47"/>
    <x v="68"/>
    <x v="4"/>
    <x v="4"/>
    <x v="0"/>
    <x v="1"/>
    <x v="33"/>
    <x v="222"/>
    <x v="874"/>
    <x v="0"/>
    <x v="47"/>
    <x v="2"/>
  </r>
  <r>
    <x v="47"/>
    <x v="81"/>
    <x v="4"/>
    <x v="4"/>
    <x v="0"/>
    <x v="1"/>
    <x v="33"/>
    <x v="175"/>
    <x v="759"/>
    <x v="0"/>
    <x v="47"/>
    <x v="2"/>
  </r>
  <r>
    <x v="47"/>
    <x v="89"/>
    <x v="4"/>
    <x v="4"/>
    <x v="0"/>
    <x v="1"/>
    <x v="33"/>
    <x v="154"/>
    <x v="759"/>
    <x v="0"/>
    <x v="47"/>
    <x v="2"/>
  </r>
  <r>
    <x v="47"/>
    <x v="31"/>
    <x v="4"/>
    <x v="4"/>
    <x v="0"/>
    <x v="1"/>
    <x v="33"/>
    <x v="72"/>
    <x v="874"/>
    <x v="0"/>
    <x v="47"/>
    <x v="2"/>
  </r>
  <r>
    <x v="47"/>
    <x v="90"/>
    <x v="0"/>
    <x v="0"/>
    <x v="0"/>
    <x v="1"/>
    <x v="33"/>
    <x v="79"/>
    <x v="874"/>
    <x v="0"/>
    <x v="47"/>
    <x v="2"/>
  </r>
  <r>
    <x v="47"/>
    <x v="57"/>
    <x v="0"/>
    <x v="0"/>
    <x v="0"/>
    <x v="1"/>
    <x v="33"/>
    <x v="44"/>
    <x v="874"/>
    <x v="0"/>
    <x v="47"/>
    <x v="2"/>
  </r>
  <r>
    <x v="47"/>
    <x v="52"/>
    <x v="0"/>
    <x v="0"/>
    <x v="0"/>
    <x v="1"/>
    <x v="33"/>
    <x v="107"/>
    <x v="874"/>
    <x v="0"/>
    <x v="47"/>
    <x v="2"/>
  </r>
  <r>
    <x v="47"/>
    <x v="119"/>
    <x v="0"/>
    <x v="0"/>
    <x v="0"/>
    <x v="1"/>
    <x v="33"/>
    <x v="96"/>
    <x v="146"/>
    <x v="0"/>
    <x v="47"/>
    <x v="2"/>
  </r>
  <r>
    <x v="47"/>
    <x v="0"/>
    <x v="0"/>
    <x v="0"/>
    <x v="0"/>
    <x v="1"/>
    <x v="33"/>
    <x v="197"/>
    <x v="874"/>
    <x v="0"/>
    <x v="47"/>
    <x v="2"/>
  </r>
  <r>
    <x v="47"/>
    <x v="100"/>
    <x v="0"/>
    <x v="0"/>
    <x v="0"/>
    <x v="1"/>
    <x v="33"/>
    <x v="73"/>
    <x v="874"/>
    <x v="0"/>
    <x v="47"/>
    <x v="2"/>
  </r>
  <r>
    <x v="47"/>
    <x v="136"/>
    <x v="0"/>
    <x v="0"/>
    <x v="0"/>
    <x v="1"/>
    <x v="33"/>
    <x v="100"/>
    <x v="874"/>
    <x v="0"/>
    <x v="47"/>
    <x v="2"/>
  </r>
  <r>
    <x v="47"/>
    <x v="14"/>
    <x v="1"/>
    <x v="1"/>
    <x v="0"/>
    <x v="1"/>
    <x v="33"/>
    <x v="112"/>
    <x v="874"/>
    <x v="0"/>
    <x v="47"/>
    <x v="2"/>
  </r>
  <r>
    <x v="47"/>
    <x v="151"/>
    <x v="1"/>
    <x v="1"/>
    <x v="0"/>
    <x v="1"/>
    <x v="33"/>
    <x v="166"/>
    <x v="874"/>
    <x v="0"/>
    <x v="47"/>
    <x v="2"/>
  </r>
  <r>
    <x v="47"/>
    <x v="109"/>
    <x v="1"/>
    <x v="1"/>
    <x v="0"/>
    <x v="1"/>
    <x v="33"/>
    <x v="208"/>
    <x v="874"/>
    <x v="0"/>
    <x v="47"/>
    <x v="2"/>
  </r>
  <r>
    <x v="47"/>
    <x v="1"/>
    <x v="1"/>
    <x v="1"/>
    <x v="0"/>
    <x v="1"/>
    <x v="1"/>
    <x v="1"/>
    <x v="1"/>
    <x v="378"/>
    <x v="47"/>
    <x v="2"/>
  </r>
  <r>
    <x v="48"/>
    <x v="135"/>
    <x v="3"/>
    <x v="3"/>
    <x v="0"/>
    <x v="2"/>
    <x v="32"/>
    <x v="149"/>
    <x v="1366"/>
    <x v="0"/>
    <x v="48"/>
    <x v="2"/>
  </r>
  <r>
    <x v="48"/>
    <x v="1"/>
    <x v="1"/>
    <x v="1"/>
    <x v="0"/>
    <x v="2"/>
    <x v="1"/>
    <x v="1"/>
    <x v="1"/>
    <x v="379"/>
    <x v="48"/>
    <x v="2"/>
  </r>
  <r>
    <x v="49"/>
    <x v="70"/>
    <x v="2"/>
    <x v="2"/>
    <x v="0"/>
    <x v="2"/>
    <x v="32"/>
    <x v="36"/>
    <x v="1304"/>
    <x v="0"/>
    <x v="49"/>
    <x v="2"/>
  </r>
  <r>
    <x v="49"/>
    <x v="43"/>
    <x v="3"/>
    <x v="3"/>
    <x v="0"/>
    <x v="2"/>
    <x v="32"/>
    <x v="71"/>
    <x v="1367"/>
    <x v="0"/>
    <x v="49"/>
    <x v="2"/>
  </r>
  <r>
    <x v="49"/>
    <x v="160"/>
    <x v="0"/>
    <x v="0"/>
    <x v="0"/>
    <x v="2"/>
    <x v="32"/>
    <x v="179"/>
    <x v="709"/>
    <x v="0"/>
    <x v="49"/>
    <x v="2"/>
  </r>
  <r>
    <x v="49"/>
    <x v="58"/>
    <x v="1"/>
    <x v="1"/>
    <x v="0"/>
    <x v="2"/>
    <x v="32"/>
    <x v="84"/>
    <x v="1368"/>
    <x v="0"/>
    <x v="49"/>
    <x v="2"/>
  </r>
  <r>
    <x v="49"/>
    <x v="1"/>
    <x v="1"/>
    <x v="1"/>
    <x v="0"/>
    <x v="2"/>
    <x v="1"/>
    <x v="1"/>
    <x v="1"/>
    <x v="380"/>
    <x v="49"/>
    <x v="2"/>
  </r>
  <r>
    <x v="49"/>
    <x v="43"/>
    <x v="3"/>
    <x v="3"/>
    <x v="0"/>
    <x v="0"/>
    <x v="33"/>
    <x v="71"/>
    <x v="759"/>
    <x v="0"/>
    <x v="49"/>
    <x v="2"/>
  </r>
  <r>
    <x v="49"/>
    <x v="61"/>
    <x v="3"/>
    <x v="3"/>
    <x v="0"/>
    <x v="0"/>
    <x v="33"/>
    <x v="126"/>
    <x v="874"/>
    <x v="0"/>
    <x v="49"/>
    <x v="2"/>
  </r>
  <r>
    <x v="49"/>
    <x v="81"/>
    <x v="4"/>
    <x v="4"/>
    <x v="0"/>
    <x v="0"/>
    <x v="33"/>
    <x v="175"/>
    <x v="759"/>
    <x v="0"/>
    <x v="49"/>
    <x v="2"/>
  </r>
  <r>
    <x v="49"/>
    <x v="1"/>
    <x v="1"/>
    <x v="1"/>
    <x v="0"/>
    <x v="0"/>
    <x v="1"/>
    <x v="1"/>
    <x v="1"/>
    <x v="355"/>
    <x v="49"/>
    <x v="2"/>
  </r>
  <r>
    <x v="49"/>
    <x v="125"/>
    <x v="5"/>
    <x v="5"/>
    <x v="0"/>
    <x v="1"/>
    <x v="33"/>
    <x v="82"/>
    <x v="874"/>
    <x v="0"/>
    <x v="49"/>
    <x v="2"/>
  </r>
  <r>
    <x v="49"/>
    <x v="1"/>
    <x v="1"/>
    <x v="1"/>
    <x v="0"/>
    <x v="1"/>
    <x v="1"/>
    <x v="1"/>
    <x v="1"/>
    <x v="216"/>
    <x v="49"/>
    <x v="2"/>
  </r>
  <r>
    <x v="50"/>
    <x v="65"/>
    <x v="6"/>
    <x v="6"/>
    <x v="0"/>
    <x v="2"/>
    <x v="32"/>
    <x v="190"/>
    <x v="1369"/>
    <x v="0"/>
    <x v="50"/>
    <x v="2"/>
  </r>
  <r>
    <x v="50"/>
    <x v="79"/>
    <x v="3"/>
    <x v="3"/>
    <x v="0"/>
    <x v="2"/>
    <x v="32"/>
    <x v="142"/>
    <x v="1370"/>
    <x v="0"/>
    <x v="50"/>
    <x v="2"/>
  </r>
  <r>
    <x v="50"/>
    <x v="31"/>
    <x v="4"/>
    <x v="4"/>
    <x v="0"/>
    <x v="2"/>
    <x v="32"/>
    <x v="72"/>
    <x v="1371"/>
    <x v="0"/>
    <x v="50"/>
    <x v="2"/>
  </r>
  <r>
    <x v="50"/>
    <x v="160"/>
    <x v="0"/>
    <x v="0"/>
    <x v="0"/>
    <x v="2"/>
    <x v="32"/>
    <x v="179"/>
    <x v="1372"/>
    <x v="0"/>
    <x v="50"/>
    <x v="2"/>
  </r>
  <r>
    <x v="50"/>
    <x v="41"/>
    <x v="1"/>
    <x v="1"/>
    <x v="0"/>
    <x v="2"/>
    <x v="32"/>
    <x v="113"/>
    <x v="1373"/>
    <x v="0"/>
    <x v="50"/>
    <x v="2"/>
  </r>
  <r>
    <x v="50"/>
    <x v="1"/>
    <x v="1"/>
    <x v="1"/>
    <x v="0"/>
    <x v="2"/>
    <x v="1"/>
    <x v="1"/>
    <x v="1"/>
    <x v="381"/>
    <x v="50"/>
    <x v="2"/>
  </r>
  <r>
    <x v="51"/>
    <x v="139"/>
    <x v="5"/>
    <x v="5"/>
    <x v="0"/>
    <x v="2"/>
    <x v="32"/>
    <x v="110"/>
    <x v="1374"/>
    <x v="0"/>
    <x v="51"/>
    <x v="2"/>
  </r>
  <r>
    <x v="51"/>
    <x v="1"/>
    <x v="1"/>
    <x v="1"/>
    <x v="0"/>
    <x v="2"/>
    <x v="1"/>
    <x v="1"/>
    <x v="1"/>
    <x v="382"/>
    <x v="51"/>
    <x v="2"/>
  </r>
  <r>
    <x v="51"/>
    <x v="1"/>
    <x v="1"/>
    <x v="1"/>
    <x v="0"/>
    <x v="0"/>
    <x v="1"/>
    <x v="1"/>
    <x v="1"/>
    <x v="349"/>
    <x v="51"/>
    <x v="2"/>
  </r>
  <r>
    <x v="53"/>
    <x v="47"/>
    <x v="2"/>
    <x v="2"/>
    <x v="0"/>
    <x v="0"/>
    <x v="33"/>
    <x v="68"/>
    <x v="759"/>
    <x v="0"/>
    <x v="53"/>
    <x v="2"/>
  </r>
  <r>
    <x v="53"/>
    <x v="144"/>
    <x v="2"/>
    <x v="2"/>
    <x v="0"/>
    <x v="0"/>
    <x v="33"/>
    <x v="162"/>
    <x v="899"/>
    <x v="0"/>
    <x v="53"/>
    <x v="2"/>
  </r>
  <r>
    <x v="53"/>
    <x v="129"/>
    <x v="2"/>
    <x v="2"/>
    <x v="0"/>
    <x v="0"/>
    <x v="33"/>
    <x v="204"/>
    <x v="874"/>
    <x v="0"/>
    <x v="53"/>
    <x v="2"/>
  </r>
  <r>
    <x v="53"/>
    <x v="65"/>
    <x v="6"/>
    <x v="6"/>
    <x v="0"/>
    <x v="0"/>
    <x v="33"/>
    <x v="190"/>
    <x v="146"/>
    <x v="0"/>
    <x v="53"/>
    <x v="2"/>
  </r>
  <r>
    <x v="53"/>
    <x v="36"/>
    <x v="6"/>
    <x v="6"/>
    <x v="0"/>
    <x v="0"/>
    <x v="33"/>
    <x v="94"/>
    <x v="874"/>
    <x v="0"/>
    <x v="53"/>
    <x v="2"/>
  </r>
  <r>
    <x v="53"/>
    <x v="113"/>
    <x v="6"/>
    <x v="6"/>
    <x v="0"/>
    <x v="0"/>
    <x v="33"/>
    <x v="89"/>
    <x v="874"/>
    <x v="0"/>
    <x v="53"/>
    <x v="2"/>
  </r>
  <r>
    <x v="53"/>
    <x v="108"/>
    <x v="3"/>
    <x v="3"/>
    <x v="0"/>
    <x v="0"/>
    <x v="33"/>
    <x v="63"/>
    <x v="1182"/>
    <x v="0"/>
    <x v="53"/>
    <x v="2"/>
  </r>
  <r>
    <x v="53"/>
    <x v="135"/>
    <x v="3"/>
    <x v="3"/>
    <x v="0"/>
    <x v="0"/>
    <x v="33"/>
    <x v="149"/>
    <x v="759"/>
    <x v="0"/>
    <x v="53"/>
    <x v="2"/>
  </r>
  <r>
    <x v="53"/>
    <x v="148"/>
    <x v="3"/>
    <x v="3"/>
    <x v="0"/>
    <x v="0"/>
    <x v="33"/>
    <x v="174"/>
    <x v="146"/>
    <x v="0"/>
    <x v="53"/>
    <x v="2"/>
  </r>
  <r>
    <x v="53"/>
    <x v="44"/>
    <x v="3"/>
    <x v="3"/>
    <x v="0"/>
    <x v="0"/>
    <x v="33"/>
    <x v="191"/>
    <x v="874"/>
    <x v="0"/>
    <x v="53"/>
    <x v="2"/>
  </r>
  <r>
    <x v="53"/>
    <x v="30"/>
    <x v="4"/>
    <x v="4"/>
    <x v="0"/>
    <x v="0"/>
    <x v="33"/>
    <x v="159"/>
    <x v="874"/>
    <x v="0"/>
    <x v="53"/>
    <x v="2"/>
  </r>
  <r>
    <x v="53"/>
    <x v="159"/>
    <x v="0"/>
    <x v="0"/>
    <x v="0"/>
    <x v="0"/>
    <x v="33"/>
    <x v="177"/>
    <x v="874"/>
    <x v="0"/>
    <x v="53"/>
    <x v="2"/>
  </r>
  <r>
    <x v="53"/>
    <x v="53"/>
    <x v="0"/>
    <x v="0"/>
    <x v="0"/>
    <x v="0"/>
    <x v="33"/>
    <x v="144"/>
    <x v="759"/>
    <x v="0"/>
    <x v="53"/>
    <x v="2"/>
  </r>
  <r>
    <x v="53"/>
    <x v="122"/>
    <x v="0"/>
    <x v="0"/>
    <x v="0"/>
    <x v="0"/>
    <x v="33"/>
    <x v="181"/>
    <x v="874"/>
    <x v="0"/>
    <x v="53"/>
    <x v="2"/>
  </r>
  <r>
    <x v="53"/>
    <x v="76"/>
    <x v="5"/>
    <x v="5"/>
    <x v="0"/>
    <x v="0"/>
    <x v="33"/>
    <x v="182"/>
    <x v="759"/>
    <x v="0"/>
    <x v="53"/>
    <x v="2"/>
  </r>
  <r>
    <x v="53"/>
    <x v="97"/>
    <x v="5"/>
    <x v="5"/>
    <x v="0"/>
    <x v="0"/>
    <x v="33"/>
    <x v="183"/>
    <x v="759"/>
    <x v="0"/>
    <x v="53"/>
    <x v="2"/>
  </r>
  <r>
    <x v="53"/>
    <x v="13"/>
    <x v="5"/>
    <x v="5"/>
    <x v="0"/>
    <x v="0"/>
    <x v="33"/>
    <x v="120"/>
    <x v="874"/>
    <x v="0"/>
    <x v="53"/>
    <x v="2"/>
  </r>
  <r>
    <x v="53"/>
    <x v="168"/>
    <x v="5"/>
    <x v="5"/>
    <x v="0"/>
    <x v="0"/>
    <x v="33"/>
    <x v="225"/>
    <x v="874"/>
    <x v="0"/>
    <x v="53"/>
    <x v="2"/>
  </r>
  <r>
    <x v="53"/>
    <x v="139"/>
    <x v="5"/>
    <x v="5"/>
    <x v="0"/>
    <x v="0"/>
    <x v="33"/>
    <x v="110"/>
    <x v="146"/>
    <x v="0"/>
    <x v="53"/>
    <x v="2"/>
  </r>
  <r>
    <x v="53"/>
    <x v="123"/>
    <x v="5"/>
    <x v="5"/>
    <x v="0"/>
    <x v="0"/>
    <x v="33"/>
    <x v="74"/>
    <x v="874"/>
    <x v="0"/>
    <x v="53"/>
    <x v="2"/>
  </r>
  <r>
    <x v="53"/>
    <x v="124"/>
    <x v="5"/>
    <x v="5"/>
    <x v="0"/>
    <x v="0"/>
    <x v="33"/>
    <x v="206"/>
    <x v="759"/>
    <x v="0"/>
    <x v="53"/>
    <x v="2"/>
  </r>
  <r>
    <x v="53"/>
    <x v="40"/>
    <x v="1"/>
    <x v="1"/>
    <x v="0"/>
    <x v="0"/>
    <x v="33"/>
    <x v="125"/>
    <x v="759"/>
    <x v="0"/>
    <x v="53"/>
    <x v="2"/>
  </r>
  <r>
    <x v="53"/>
    <x v="42"/>
    <x v="1"/>
    <x v="1"/>
    <x v="0"/>
    <x v="0"/>
    <x v="33"/>
    <x v="167"/>
    <x v="874"/>
    <x v="0"/>
    <x v="53"/>
    <x v="2"/>
  </r>
  <r>
    <x v="53"/>
    <x v="33"/>
    <x v="1"/>
    <x v="1"/>
    <x v="0"/>
    <x v="0"/>
    <x v="33"/>
    <x v="241"/>
    <x v="874"/>
    <x v="0"/>
    <x v="53"/>
    <x v="2"/>
  </r>
  <r>
    <x v="53"/>
    <x v="1"/>
    <x v="1"/>
    <x v="1"/>
    <x v="0"/>
    <x v="0"/>
    <x v="1"/>
    <x v="1"/>
    <x v="1"/>
    <x v="383"/>
    <x v="53"/>
    <x v="2"/>
  </r>
  <r>
    <x v="53"/>
    <x v="148"/>
    <x v="3"/>
    <x v="3"/>
    <x v="0"/>
    <x v="1"/>
    <x v="33"/>
    <x v="174"/>
    <x v="874"/>
    <x v="0"/>
    <x v="53"/>
    <x v="2"/>
  </r>
  <r>
    <x v="53"/>
    <x v="1"/>
    <x v="1"/>
    <x v="1"/>
    <x v="0"/>
    <x v="1"/>
    <x v="1"/>
    <x v="1"/>
    <x v="1"/>
    <x v="216"/>
    <x v="53"/>
    <x v="2"/>
  </r>
  <r>
    <x v="54"/>
    <x v="1"/>
    <x v="1"/>
    <x v="1"/>
    <x v="0"/>
    <x v="0"/>
    <x v="1"/>
    <x v="1"/>
    <x v="1"/>
    <x v="261"/>
    <x v="54"/>
    <x v="2"/>
  </r>
  <r>
    <x v="54"/>
    <x v="112"/>
    <x v="2"/>
    <x v="2"/>
    <x v="0"/>
    <x v="1"/>
    <x v="33"/>
    <x v="209"/>
    <x v="874"/>
    <x v="0"/>
    <x v="54"/>
    <x v="2"/>
  </r>
  <r>
    <x v="54"/>
    <x v="67"/>
    <x v="6"/>
    <x v="6"/>
    <x v="0"/>
    <x v="1"/>
    <x v="33"/>
    <x v="32"/>
    <x v="874"/>
    <x v="0"/>
    <x v="54"/>
    <x v="2"/>
  </r>
  <r>
    <x v="54"/>
    <x v="1"/>
    <x v="1"/>
    <x v="1"/>
    <x v="0"/>
    <x v="1"/>
    <x v="1"/>
    <x v="1"/>
    <x v="1"/>
    <x v="261"/>
    <x v="54"/>
    <x v="2"/>
  </r>
  <r>
    <x v="55"/>
    <x v="157"/>
    <x v="2"/>
    <x v="2"/>
    <x v="0"/>
    <x v="19"/>
    <x v="33"/>
    <x v="147"/>
    <x v="1375"/>
    <x v="0"/>
    <x v="55"/>
    <x v="2"/>
  </r>
  <r>
    <x v="55"/>
    <x v="1"/>
    <x v="1"/>
    <x v="1"/>
    <x v="0"/>
    <x v="19"/>
    <x v="1"/>
    <x v="1"/>
    <x v="1"/>
    <x v="384"/>
    <x v="55"/>
    <x v="2"/>
  </r>
  <r>
    <x v="55"/>
    <x v="26"/>
    <x v="3"/>
    <x v="3"/>
    <x v="0"/>
    <x v="20"/>
    <x v="33"/>
    <x v="115"/>
    <x v="1376"/>
    <x v="0"/>
    <x v="55"/>
    <x v="2"/>
  </r>
  <r>
    <x v="55"/>
    <x v="62"/>
    <x v="4"/>
    <x v="4"/>
    <x v="0"/>
    <x v="20"/>
    <x v="33"/>
    <x v="176"/>
    <x v="1377"/>
    <x v="0"/>
    <x v="55"/>
    <x v="2"/>
  </r>
  <r>
    <x v="55"/>
    <x v="153"/>
    <x v="5"/>
    <x v="5"/>
    <x v="0"/>
    <x v="20"/>
    <x v="32"/>
    <x v="157"/>
    <x v="1378"/>
    <x v="0"/>
    <x v="55"/>
    <x v="2"/>
  </r>
  <r>
    <x v="55"/>
    <x v="58"/>
    <x v="1"/>
    <x v="1"/>
    <x v="0"/>
    <x v="20"/>
    <x v="32"/>
    <x v="84"/>
    <x v="1379"/>
    <x v="0"/>
    <x v="55"/>
    <x v="2"/>
  </r>
  <r>
    <x v="55"/>
    <x v="8"/>
    <x v="1"/>
    <x v="1"/>
    <x v="0"/>
    <x v="20"/>
    <x v="33"/>
    <x v="187"/>
    <x v="1380"/>
    <x v="0"/>
    <x v="55"/>
    <x v="2"/>
  </r>
  <r>
    <x v="55"/>
    <x v="33"/>
    <x v="1"/>
    <x v="1"/>
    <x v="0"/>
    <x v="20"/>
    <x v="32"/>
    <x v="241"/>
    <x v="1381"/>
    <x v="0"/>
    <x v="55"/>
    <x v="2"/>
  </r>
  <r>
    <x v="55"/>
    <x v="1"/>
    <x v="1"/>
    <x v="1"/>
    <x v="0"/>
    <x v="20"/>
    <x v="1"/>
    <x v="1"/>
    <x v="1"/>
    <x v="385"/>
    <x v="55"/>
    <x v="2"/>
  </r>
  <r>
    <x v="55"/>
    <x v="70"/>
    <x v="2"/>
    <x v="2"/>
    <x v="0"/>
    <x v="21"/>
    <x v="32"/>
    <x v="36"/>
    <x v="1382"/>
    <x v="0"/>
    <x v="55"/>
    <x v="2"/>
  </r>
  <r>
    <x v="55"/>
    <x v="144"/>
    <x v="2"/>
    <x v="2"/>
    <x v="0"/>
    <x v="21"/>
    <x v="32"/>
    <x v="162"/>
    <x v="1383"/>
    <x v="0"/>
    <x v="55"/>
    <x v="2"/>
  </r>
  <r>
    <x v="55"/>
    <x v="108"/>
    <x v="3"/>
    <x v="3"/>
    <x v="0"/>
    <x v="21"/>
    <x v="32"/>
    <x v="63"/>
    <x v="1384"/>
    <x v="0"/>
    <x v="55"/>
    <x v="2"/>
  </r>
  <r>
    <x v="55"/>
    <x v="135"/>
    <x v="3"/>
    <x v="3"/>
    <x v="0"/>
    <x v="21"/>
    <x v="32"/>
    <x v="149"/>
    <x v="1156"/>
    <x v="0"/>
    <x v="55"/>
    <x v="2"/>
  </r>
  <r>
    <x v="55"/>
    <x v="68"/>
    <x v="4"/>
    <x v="4"/>
    <x v="0"/>
    <x v="21"/>
    <x v="32"/>
    <x v="222"/>
    <x v="1385"/>
    <x v="0"/>
    <x v="55"/>
    <x v="2"/>
  </r>
  <r>
    <x v="55"/>
    <x v="115"/>
    <x v="5"/>
    <x v="5"/>
    <x v="0"/>
    <x v="21"/>
    <x v="32"/>
    <x v="213"/>
    <x v="1386"/>
    <x v="0"/>
    <x v="55"/>
    <x v="2"/>
  </r>
  <r>
    <x v="55"/>
    <x v="1"/>
    <x v="1"/>
    <x v="1"/>
    <x v="0"/>
    <x v="21"/>
    <x v="1"/>
    <x v="1"/>
    <x v="1"/>
    <x v="386"/>
    <x v="55"/>
    <x v="2"/>
  </r>
  <r>
    <x v="55"/>
    <x v="1"/>
    <x v="1"/>
    <x v="1"/>
    <x v="0"/>
    <x v="23"/>
    <x v="1"/>
    <x v="1"/>
    <x v="1"/>
    <x v="387"/>
    <x v="55"/>
    <x v="2"/>
  </r>
  <r>
    <x v="55"/>
    <x v="144"/>
    <x v="2"/>
    <x v="2"/>
    <x v="0"/>
    <x v="3"/>
    <x v="32"/>
    <x v="162"/>
    <x v="1387"/>
    <x v="0"/>
    <x v="55"/>
    <x v="2"/>
  </r>
  <r>
    <x v="55"/>
    <x v="113"/>
    <x v="6"/>
    <x v="6"/>
    <x v="0"/>
    <x v="3"/>
    <x v="32"/>
    <x v="89"/>
    <x v="1"/>
    <x v="262"/>
    <x v="55"/>
    <x v="2"/>
  </r>
  <r>
    <x v="55"/>
    <x v="96"/>
    <x v="6"/>
    <x v="6"/>
    <x v="0"/>
    <x v="3"/>
    <x v="33"/>
    <x v="165"/>
    <x v="1203"/>
    <x v="0"/>
    <x v="55"/>
    <x v="2"/>
  </r>
  <r>
    <x v="55"/>
    <x v="4"/>
    <x v="4"/>
    <x v="4"/>
    <x v="0"/>
    <x v="3"/>
    <x v="33"/>
    <x v="199"/>
    <x v="815"/>
    <x v="0"/>
    <x v="55"/>
    <x v="2"/>
  </r>
  <r>
    <x v="55"/>
    <x v="1"/>
    <x v="1"/>
    <x v="1"/>
    <x v="0"/>
    <x v="3"/>
    <x v="1"/>
    <x v="1"/>
    <x v="1"/>
    <x v="388"/>
    <x v="55"/>
    <x v="2"/>
  </r>
  <r>
    <x v="55"/>
    <x v="30"/>
    <x v="4"/>
    <x v="4"/>
    <x v="0"/>
    <x v="24"/>
    <x v="33"/>
    <x v="159"/>
    <x v="814"/>
    <x v="0"/>
    <x v="55"/>
    <x v="2"/>
  </r>
  <r>
    <x v="55"/>
    <x v="142"/>
    <x v="0"/>
    <x v="0"/>
    <x v="0"/>
    <x v="24"/>
    <x v="33"/>
    <x v="119"/>
    <x v="736"/>
    <x v="0"/>
    <x v="55"/>
    <x v="2"/>
  </r>
  <r>
    <x v="55"/>
    <x v="1"/>
    <x v="1"/>
    <x v="1"/>
    <x v="0"/>
    <x v="24"/>
    <x v="1"/>
    <x v="1"/>
    <x v="1"/>
    <x v="389"/>
    <x v="55"/>
    <x v="2"/>
  </r>
  <r>
    <x v="55"/>
    <x v="85"/>
    <x v="2"/>
    <x v="2"/>
    <x v="0"/>
    <x v="4"/>
    <x v="33"/>
    <x v="161"/>
    <x v="815"/>
    <x v="0"/>
    <x v="55"/>
    <x v="2"/>
  </r>
  <r>
    <x v="55"/>
    <x v="107"/>
    <x v="2"/>
    <x v="2"/>
    <x v="0"/>
    <x v="4"/>
    <x v="33"/>
    <x v="158"/>
    <x v="736"/>
    <x v="0"/>
    <x v="55"/>
    <x v="2"/>
  </r>
  <r>
    <x v="55"/>
    <x v="26"/>
    <x v="3"/>
    <x v="3"/>
    <x v="0"/>
    <x v="4"/>
    <x v="33"/>
    <x v="115"/>
    <x v="735"/>
    <x v="0"/>
    <x v="55"/>
    <x v="2"/>
  </r>
  <r>
    <x v="55"/>
    <x v="108"/>
    <x v="3"/>
    <x v="3"/>
    <x v="0"/>
    <x v="4"/>
    <x v="33"/>
    <x v="63"/>
    <x v="736"/>
    <x v="0"/>
    <x v="55"/>
    <x v="2"/>
  </r>
  <r>
    <x v="55"/>
    <x v="1"/>
    <x v="1"/>
    <x v="1"/>
    <x v="0"/>
    <x v="4"/>
    <x v="1"/>
    <x v="1"/>
    <x v="1"/>
    <x v="390"/>
    <x v="55"/>
    <x v="2"/>
  </r>
  <r>
    <x v="55"/>
    <x v="63"/>
    <x v="5"/>
    <x v="5"/>
    <x v="0"/>
    <x v="5"/>
    <x v="33"/>
    <x v="111"/>
    <x v="1388"/>
    <x v="0"/>
    <x v="55"/>
    <x v="2"/>
  </r>
  <r>
    <x v="55"/>
    <x v="1"/>
    <x v="1"/>
    <x v="1"/>
    <x v="0"/>
    <x v="5"/>
    <x v="1"/>
    <x v="1"/>
    <x v="1"/>
    <x v="391"/>
    <x v="55"/>
    <x v="2"/>
  </r>
  <r>
    <x v="55"/>
    <x v="118"/>
    <x v="2"/>
    <x v="2"/>
    <x v="0"/>
    <x v="6"/>
    <x v="33"/>
    <x v="69"/>
    <x v="1389"/>
    <x v="0"/>
    <x v="55"/>
    <x v="2"/>
  </r>
  <r>
    <x v="55"/>
    <x v="86"/>
    <x v="6"/>
    <x v="6"/>
    <x v="0"/>
    <x v="6"/>
    <x v="32"/>
    <x v="224"/>
    <x v="1390"/>
    <x v="0"/>
    <x v="55"/>
    <x v="2"/>
  </r>
  <r>
    <x v="55"/>
    <x v="11"/>
    <x v="6"/>
    <x v="6"/>
    <x v="0"/>
    <x v="6"/>
    <x v="33"/>
    <x v="91"/>
    <x v="765"/>
    <x v="0"/>
    <x v="55"/>
    <x v="2"/>
  </r>
  <r>
    <x v="55"/>
    <x v="23"/>
    <x v="3"/>
    <x v="3"/>
    <x v="0"/>
    <x v="6"/>
    <x v="32"/>
    <x v="221"/>
    <x v="1391"/>
    <x v="0"/>
    <x v="55"/>
    <x v="2"/>
  </r>
  <r>
    <x v="55"/>
    <x v="23"/>
    <x v="3"/>
    <x v="3"/>
    <x v="0"/>
    <x v="6"/>
    <x v="33"/>
    <x v="221"/>
    <x v="1392"/>
    <x v="0"/>
    <x v="55"/>
    <x v="2"/>
  </r>
  <r>
    <x v="55"/>
    <x v="30"/>
    <x v="4"/>
    <x v="4"/>
    <x v="0"/>
    <x v="6"/>
    <x v="33"/>
    <x v="159"/>
    <x v="1393"/>
    <x v="0"/>
    <x v="55"/>
    <x v="2"/>
  </r>
  <r>
    <x v="55"/>
    <x v="31"/>
    <x v="4"/>
    <x v="4"/>
    <x v="0"/>
    <x v="6"/>
    <x v="32"/>
    <x v="72"/>
    <x v="1394"/>
    <x v="0"/>
    <x v="55"/>
    <x v="2"/>
  </r>
  <r>
    <x v="55"/>
    <x v="31"/>
    <x v="4"/>
    <x v="4"/>
    <x v="0"/>
    <x v="6"/>
    <x v="33"/>
    <x v="72"/>
    <x v="1395"/>
    <x v="0"/>
    <x v="55"/>
    <x v="2"/>
  </r>
  <r>
    <x v="55"/>
    <x v="51"/>
    <x v="4"/>
    <x v="4"/>
    <x v="0"/>
    <x v="6"/>
    <x v="33"/>
    <x v="34"/>
    <x v="1396"/>
    <x v="0"/>
    <x v="55"/>
    <x v="2"/>
  </r>
  <r>
    <x v="55"/>
    <x v="90"/>
    <x v="0"/>
    <x v="0"/>
    <x v="0"/>
    <x v="6"/>
    <x v="33"/>
    <x v="79"/>
    <x v="146"/>
    <x v="0"/>
    <x v="55"/>
    <x v="2"/>
  </r>
  <r>
    <x v="55"/>
    <x v="159"/>
    <x v="0"/>
    <x v="0"/>
    <x v="0"/>
    <x v="6"/>
    <x v="32"/>
    <x v="177"/>
    <x v="891"/>
    <x v="0"/>
    <x v="55"/>
    <x v="2"/>
  </r>
  <r>
    <x v="55"/>
    <x v="159"/>
    <x v="0"/>
    <x v="0"/>
    <x v="0"/>
    <x v="6"/>
    <x v="32"/>
    <x v="177"/>
    <x v="1"/>
    <x v="392"/>
    <x v="55"/>
    <x v="2"/>
  </r>
  <r>
    <x v="55"/>
    <x v="160"/>
    <x v="0"/>
    <x v="0"/>
    <x v="0"/>
    <x v="6"/>
    <x v="32"/>
    <x v="179"/>
    <x v="911"/>
    <x v="0"/>
    <x v="55"/>
    <x v="2"/>
  </r>
  <r>
    <x v="55"/>
    <x v="92"/>
    <x v="0"/>
    <x v="0"/>
    <x v="0"/>
    <x v="6"/>
    <x v="33"/>
    <x v="109"/>
    <x v="874"/>
    <x v="0"/>
    <x v="55"/>
    <x v="2"/>
  </r>
  <r>
    <x v="55"/>
    <x v="117"/>
    <x v="0"/>
    <x v="0"/>
    <x v="0"/>
    <x v="6"/>
    <x v="33"/>
    <x v="65"/>
    <x v="874"/>
    <x v="0"/>
    <x v="55"/>
    <x v="2"/>
  </r>
  <r>
    <x v="55"/>
    <x v="142"/>
    <x v="0"/>
    <x v="0"/>
    <x v="0"/>
    <x v="6"/>
    <x v="33"/>
    <x v="119"/>
    <x v="759"/>
    <x v="0"/>
    <x v="55"/>
    <x v="2"/>
  </r>
  <r>
    <x v="55"/>
    <x v="136"/>
    <x v="0"/>
    <x v="0"/>
    <x v="0"/>
    <x v="6"/>
    <x v="33"/>
    <x v="100"/>
    <x v="759"/>
    <x v="0"/>
    <x v="55"/>
    <x v="2"/>
  </r>
  <r>
    <x v="55"/>
    <x v="122"/>
    <x v="0"/>
    <x v="0"/>
    <x v="0"/>
    <x v="6"/>
    <x v="33"/>
    <x v="181"/>
    <x v="1397"/>
    <x v="0"/>
    <x v="55"/>
    <x v="2"/>
  </r>
  <r>
    <x v="55"/>
    <x v="166"/>
    <x v="0"/>
    <x v="0"/>
    <x v="0"/>
    <x v="6"/>
    <x v="33"/>
    <x v="217"/>
    <x v="1182"/>
    <x v="0"/>
    <x v="55"/>
    <x v="2"/>
  </r>
  <r>
    <x v="55"/>
    <x v="115"/>
    <x v="5"/>
    <x v="5"/>
    <x v="0"/>
    <x v="6"/>
    <x v="32"/>
    <x v="213"/>
    <x v="1236"/>
    <x v="0"/>
    <x v="55"/>
    <x v="2"/>
  </r>
  <r>
    <x v="55"/>
    <x v="97"/>
    <x v="5"/>
    <x v="5"/>
    <x v="0"/>
    <x v="6"/>
    <x v="33"/>
    <x v="183"/>
    <x v="1398"/>
    <x v="0"/>
    <x v="55"/>
    <x v="2"/>
  </r>
  <r>
    <x v="55"/>
    <x v="54"/>
    <x v="5"/>
    <x v="5"/>
    <x v="0"/>
    <x v="6"/>
    <x v="33"/>
    <x v="246"/>
    <x v="1399"/>
    <x v="0"/>
    <x v="55"/>
    <x v="2"/>
  </r>
  <r>
    <x v="55"/>
    <x v="124"/>
    <x v="5"/>
    <x v="5"/>
    <x v="0"/>
    <x v="6"/>
    <x v="33"/>
    <x v="206"/>
    <x v="874"/>
    <x v="0"/>
    <x v="55"/>
    <x v="2"/>
  </r>
  <r>
    <x v="55"/>
    <x v="41"/>
    <x v="1"/>
    <x v="1"/>
    <x v="0"/>
    <x v="6"/>
    <x v="33"/>
    <x v="113"/>
    <x v="1400"/>
    <x v="0"/>
    <x v="55"/>
    <x v="2"/>
  </r>
  <r>
    <x v="55"/>
    <x v="41"/>
    <x v="1"/>
    <x v="1"/>
    <x v="0"/>
    <x v="6"/>
    <x v="32"/>
    <x v="113"/>
    <x v="1401"/>
    <x v="0"/>
    <x v="55"/>
    <x v="2"/>
  </r>
  <r>
    <x v="55"/>
    <x v="22"/>
    <x v="1"/>
    <x v="1"/>
    <x v="0"/>
    <x v="6"/>
    <x v="32"/>
    <x v="211"/>
    <x v="1402"/>
    <x v="0"/>
    <x v="55"/>
    <x v="2"/>
  </r>
  <r>
    <x v="55"/>
    <x v="98"/>
    <x v="1"/>
    <x v="1"/>
    <x v="0"/>
    <x v="6"/>
    <x v="32"/>
    <x v="198"/>
    <x v="1403"/>
    <x v="0"/>
    <x v="55"/>
    <x v="2"/>
  </r>
  <r>
    <x v="55"/>
    <x v="1"/>
    <x v="1"/>
    <x v="1"/>
    <x v="0"/>
    <x v="6"/>
    <x v="1"/>
    <x v="1"/>
    <x v="1"/>
    <x v="393"/>
    <x v="55"/>
    <x v="2"/>
  </r>
  <r>
    <x v="55"/>
    <x v="23"/>
    <x v="3"/>
    <x v="3"/>
    <x v="0"/>
    <x v="7"/>
    <x v="32"/>
    <x v="221"/>
    <x v="1404"/>
    <x v="0"/>
    <x v="55"/>
    <x v="2"/>
  </r>
  <r>
    <x v="55"/>
    <x v="50"/>
    <x v="4"/>
    <x v="4"/>
    <x v="0"/>
    <x v="7"/>
    <x v="32"/>
    <x v="77"/>
    <x v="1331"/>
    <x v="0"/>
    <x v="55"/>
    <x v="2"/>
  </r>
  <r>
    <x v="55"/>
    <x v="159"/>
    <x v="0"/>
    <x v="0"/>
    <x v="0"/>
    <x v="7"/>
    <x v="32"/>
    <x v="177"/>
    <x v="1405"/>
    <x v="0"/>
    <x v="55"/>
    <x v="2"/>
  </r>
  <r>
    <x v="55"/>
    <x v="1"/>
    <x v="1"/>
    <x v="1"/>
    <x v="0"/>
    <x v="7"/>
    <x v="1"/>
    <x v="1"/>
    <x v="1"/>
    <x v="394"/>
    <x v="55"/>
    <x v="2"/>
  </r>
  <r>
    <x v="55"/>
    <x v="20"/>
    <x v="5"/>
    <x v="5"/>
    <x v="0"/>
    <x v="35"/>
    <x v="33"/>
    <x v="45"/>
    <x v="1406"/>
    <x v="0"/>
    <x v="55"/>
    <x v="2"/>
  </r>
  <r>
    <x v="55"/>
    <x v="1"/>
    <x v="1"/>
    <x v="1"/>
    <x v="0"/>
    <x v="35"/>
    <x v="1"/>
    <x v="1"/>
    <x v="1"/>
    <x v="395"/>
    <x v="55"/>
    <x v="2"/>
  </r>
  <r>
    <x v="55"/>
    <x v="156"/>
    <x v="4"/>
    <x v="4"/>
    <x v="0"/>
    <x v="8"/>
    <x v="33"/>
    <x v="146"/>
    <x v="1407"/>
    <x v="0"/>
    <x v="55"/>
    <x v="2"/>
  </r>
  <r>
    <x v="55"/>
    <x v="100"/>
    <x v="0"/>
    <x v="0"/>
    <x v="0"/>
    <x v="8"/>
    <x v="33"/>
    <x v="73"/>
    <x v="1408"/>
    <x v="0"/>
    <x v="55"/>
    <x v="2"/>
  </r>
  <r>
    <x v="55"/>
    <x v="45"/>
    <x v="0"/>
    <x v="0"/>
    <x v="0"/>
    <x v="8"/>
    <x v="33"/>
    <x v="180"/>
    <x v="1409"/>
    <x v="0"/>
    <x v="55"/>
    <x v="2"/>
  </r>
  <r>
    <x v="55"/>
    <x v="136"/>
    <x v="0"/>
    <x v="0"/>
    <x v="0"/>
    <x v="8"/>
    <x v="33"/>
    <x v="100"/>
    <x v="1410"/>
    <x v="0"/>
    <x v="55"/>
    <x v="2"/>
  </r>
  <r>
    <x v="55"/>
    <x v="115"/>
    <x v="5"/>
    <x v="5"/>
    <x v="0"/>
    <x v="8"/>
    <x v="33"/>
    <x v="213"/>
    <x v="1411"/>
    <x v="0"/>
    <x v="55"/>
    <x v="2"/>
  </r>
  <r>
    <x v="55"/>
    <x v="155"/>
    <x v="1"/>
    <x v="1"/>
    <x v="0"/>
    <x v="8"/>
    <x v="33"/>
    <x v="145"/>
    <x v="1412"/>
    <x v="0"/>
    <x v="55"/>
    <x v="2"/>
  </r>
  <r>
    <x v="55"/>
    <x v="22"/>
    <x v="1"/>
    <x v="1"/>
    <x v="0"/>
    <x v="8"/>
    <x v="33"/>
    <x v="211"/>
    <x v="1413"/>
    <x v="0"/>
    <x v="55"/>
    <x v="2"/>
  </r>
  <r>
    <x v="55"/>
    <x v="98"/>
    <x v="1"/>
    <x v="1"/>
    <x v="0"/>
    <x v="8"/>
    <x v="33"/>
    <x v="198"/>
    <x v="1414"/>
    <x v="0"/>
    <x v="55"/>
    <x v="2"/>
  </r>
  <r>
    <x v="55"/>
    <x v="1"/>
    <x v="1"/>
    <x v="1"/>
    <x v="0"/>
    <x v="8"/>
    <x v="1"/>
    <x v="1"/>
    <x v="1"/>
    <x v="396"/>
    <x v="55"/>
    <x v="2"/>
  </r>
  <r>
    <x v="55"/>
    <x v="106"/>
    <x v="2"/>
    <x v="2"/>
    <x v="0"/>
    <x v="9"/>
    <x v="33"/>
    <x v="223"/>
    <x v="1212"/>
    <x v="0"/>
    <x v="55"/>
    <x v="2"/>
  </r>
  <r>
    <x v="55"/>
    <x v="85"/>
    <x v="2"/>
    <x v="2"/>
    <x v="0"/>
    <x v="9"/>
    <x v="32"/>
    <x v="161"/>
    <x v="1415"/>
    <x v="0"/>
    <x v="55"/>
    <x v="2"/>
  </r>
  <r>
    <x v="55"/>
    <x v="85"/>
    <x v="2"/>
    <x v="2"/>
    <x v="0"/>
    <x v="9"/>
    <x v="33"/>
    <x v="161"/>
    <x v="1416"/>
    <x v="0"/>
    <x v="55"/>
    <x v="2"/>
  </r>
  <r>
    <x v="55"/>
    <x v="112"/>
    <x v="2"/>
    <x v="2"/>
    <x v="0"/>
    <x v="9"/>
    <x v="33"/>
    <x v="209"/>
    <x v="1417"/>
    <x v="0"/>
    <x v="55"/>
    <x v="2"/>
  </r>
  <r>
    <x v="55"/>
    <x v="144"/>
    <x v="2"/>
    <x v="2"/>
    <x v="0"/>
    <x v="9"/>
    <x v="33"/>
    <x v="162"/>
    <x v="1418"/>
    <x v="0"/>
    <x v="55"/>
    <x v="2"/>
  </r>
  <r>
    <x v="55"/>
    <x v="87"/>
    <x v="6"/>
    <x v="6"/>
    <x v="0"/>
    <x v="9"/>
    <x v="33"/>
    <x v="189"/>
    <x v="1419"/>
    <x v="0"/>
    <x v="55"/>
    <x v="2"/>
  </r>
  <r>
    <x v="55"/>
    <x v="71"/>
    <x v="6"/>
    <x v="6"/>
    <x v="0"/>
    <x v="9"/>
    <x v="32"/>
    <x v="37"/>
    <x v="1420"/>
    <x v="0"/>
    <x v="55"/>
    <x v="2"/>
  </r>
  <r>
    <x v="55"/>
    <x v="15"/>
    <x v="6"/>
    <x v="6"/>
    <x v="0"/>
    <x v="9"/>
    <x v="33"/>
    <x v="216"/>
    <x v="1421"/>
    <x v="0"/>
    <x v="55"/>
    <x v="2"/>
  </r>
  <r>
    <x v="55"/>
    <x v="113"/>
    <x v="6"/>
    <x v="6"/>
    <x v="0"/>
    <x v="9"/>
    <x v="33"/>
    <x v="89"/>
    <x v="1422"/>
    <x v="0"/>
    <x v="55"/>
    <x v="2"/>
  </r>
  <r>
    <x v="55"/>
    <x v="134"/>
    <x v="6"/>
    <x v="6"/>
    <x v="0"/>
    <x v="9"/>
    <x v="33"/>
    <x v="226"/>
    <x v="1423"/>
    <x v="0"/>
    <x v="55"/>
    <x v="2"/>
  </r>
  <r>
    <x v="55"/>
    <x v="147"/>
    <x v="6"/>
    <x v="6"/>
    <x v="0"/>
    <x v="9"/>
    <x v="33"/>
    <x v="132"/>
    <x v="1424"/>
    <x v="0"/>
    <x v="55"/>
    <x v="2"/>
  </r>
  <r>
    <x v="55"/>
    <x v="21"/>
    <x v="6"/>
    <x v="6"/>
    <x v="0"/>
    <x v="9"/>
    <x v="32"/>
    <x v="70"/>
    <x v="1425"/>
    <x v="0"/>
    <x v="55"/>
    <x v="2"/>
  </r>
  <r>
    <x v="55"/>
    <x v="96"/>
    <x v="6"/>
    <x v="6"/>
    <x v="0"/>
    <x v="9"/>
    <x v="33"/>
    <x v="165"/>
    <x v="1426"/>
    <x v="0"/>
    <x v="55"/>
    <x v="2"/>
  </r>
  <r>
    <x v="55"/>
    <x v="23"/>
    <x v="3"/>
    <x v="3"/>
    <x v="0"/>
    <x v="9"/>
    <x v="32"/>
    <x v="221"/>
    <x v="1427"/>
    <x v="0"/>
    <x v="55"/>
    <x v="2"/>
  </r>
  <r>
    <x v="55"/>
    <x v="27"/>
    <x v="3"/>
    <x v="3"/>
    <x v="0"/>
    <x v="9"/>
    <x v="33"/>
    <x v="43"/>
    <x v="1428"/>
    <x v="0"/>
    <x v="55"/>
    <x v="2"/>
  </r>
  <r>
    <x v="55"/>
    <x v="135"/>
    <x v="3"/>
    <x v="3"/>
    <x v="0"/>
    <x v="9"/>
    <x v="32"/>
    <x v="149"/>
    <x v="1429"/>
    <x v="0"/>
    <x v="55"/>
    <x v="2"/>
  </r>
  <r>
    <x v="55"/>
    <x v="79"/>
    <x v="3"/>
    <x v="3"/>
    <x v="0"/>
    <x v="9"/>
    <x v="33"/>
    <x v="142"/>
    <x v="1430"/>
    <x v="0"/>
    <x v="55"/>
    <x v="2"/>
  </r>
  <r>
    <x v="55"/>
    <x v="104"/>
    <x v="3"/>
    <x v="3"/>
    <x v="0"/>
    <x v="9"/>
    <x v="33"/>
    <x v="196"/>
    <x v="1431"/>
    <x v="0"/>
    <x v="55"/>
    <x v="2"/>
  </r>
  <r>
    <x v="55"/>
    <x v="131"/>
    <x v="3"/>
    <x v="3"/>
    <x v="0"/>
    <x v="9"/>
    <x v="33"/>
    <x v="163"/>
    <x v="1432"/>
    <x v="0"/>
    <x v="55"/>
    <x v="2"/>
  </r>
  <r>
    <x v="55"/>
    <x v="156"/>
    <x v="4"/>
    <x v="4"/>
    <x v="0"/>
    <x v="9"/>
    <x v="32"/>
    <x v="146"/>
    <x v="1433"/>
    <x v="0"/>
    <x v="55"/>
    <x v="2"/>
  </r>
  <r>
    <x v="55"/>
    <x v="50"/>
    <x v="4"/>
    <x v="4"/>
    <x v="0"/>
    <x v="9"/>
    <x v="32"/>
    <x v="77"/>
    <x v="1434"/>
    <x v="0"/>
    <x v="55"/>
    <x v="2"/>
  </r>
  <r>
    <x v="55"/>
    <x v="154"/>
    <x v="4"/>
    <x v="4"/>
    <x v="0"/>
    <x v="9"/>
    <x v="33"/>
    <x v="143"/>
    <x v="1435"/>
    <x v="0"/>
    <x v="55"/>
    <x v="2"/>
  </r>
  <r>
    <x v="55"/>
    <x v="90"/>
    <x v="0"/>
    <x v="0"/>
    <x v="0"/>
    <x v="9"/>
    <x v="33"/>
    <x v="79"/>
    <x v="1436"/>
    <x v="0"/>
    <x v="55"/>
    <x v="2"/>
  </r>
  <r>
    <x v="55"/>
    <x v="52"/>
    <x v="0"/>
    <x v="0"/>
    <x v="0"/>
    <x v="9"/>
    <x v="33"/>
    <x v="107"/>
    <x v="1437"/>
    <x v="0"/>
    <x v="55"/>
    <x v="2"/>
  </r>
  <r>
    <x v="55"/>
    <x v="53"/>
    <x v="0"/>
    <x v="0"/>
    <x v="0"/>
    <x v="9"/>
    <x v="33"/>
    <x v="144"/>
    <x v="1212"/>
    <x v="0"/>
    <x v="55"/>
    <x v="2"/>
  </r>
  <r>
    <x v="55"/>
    <x v="115"/>
    <x v="5"/>
    <x v="5"/>
    <x v="0"/>
    <x v="9"/>
    <x v="32"/>
    <x v="213"/>
    <x v="1438"/>
    <x v="0"/>
    <x v="55"/>
    <x v="2"/>
  </r>
  <r>
    <x v="55"/>
    <x v="97"/>
    <x v="5"/>
    <x v="5"/>
    <x v="0"/>
    <x v="9"/>
    <x v="33"/>
    <x v="183"/>
    <x v="464"/>
    <x v="0"/>
    <x v="55"/>
    <x v="2"/>
  </r>
  <r>
    <x v="55"/>
    <x v="1"/>
    <x v="1"/>
    <x v="1"/>
    <x v="0"/>
    <x v="9"/>
    <x v="1"/>
    <x v="1"/>
    <x v="1"/>
    <x v="397"/>
    <x v="55"/>
    <x v="2"/>
  </r>
  <r>
    <x v="55"/>
    <x v="70"/>
    <x v="2"/>
    <x v="2"/>
    <x v="0"/>
    <x v="26"/>
    <x v="33"/>
    <x v="36"/>
    <x v="1439"/>
    <x v="0"/>
    <x v="55"/>
    <x v="2"/>
  </r>
  <r>
    <x v="55"/>
    <x v="135"/>
    <x v="3"/>
    <x v="3"/>
    <x v="0"/>
    <x v="26"/>
    <x v="33"/>
    <x v="149"/>
    <x v="1283"/>
    <x v="0"/>
    <x v="55"/>
    <x v="2"/>
  </r>
  <r>
    <x v="55"/>
    <x v="89"/>
    <x v="4"/>
    <x v="4"/>
    <x v="0"/>
    <x v="26"/>
    <x v="32"/>
    <x v="154"/>
    <x v="1440"/>
    <x v="0"/>
    <x v="55"/>
    <x v="2"/>
  </r>
  <r>
    <x v="55"/>
    <x v="52"/>
    <x v="0"/>
    <x v="0"/>
    <x v="0"/>
    <x v="26"/>
    <x v="33"/>
    <x v="107"/>
    <x v="1441"/>
    <x v="0"/>
    <x v="55"/>
    <x v="2"/>
  </r>
  <r>
    <x v="55"/>
    <x v="160"/>
    <x v="0"/>
    <x v="0"/>
    <x v="0"/>
    <x v="26"/>
    <x v="32"/>
    <x v="179"/>
    <x v="1442"/>
    <x v="0"/>
    <x v="55"/>
    <x v="2"/>
  </r>
  <r>
    <x v="55"/>
    <x v="34"/>
    <x v="5"/>
    <x v="5"/>
    <x v="0"/>
    <x v="26"/>
    <x v="32"/>
    <x v="184"/>
    <x v="1443"/>
    <x v="0"/>
    <x v="55"/>
    <x v="2"/>
  </r>
  <r>
    <x v="55"/>
    <x v="1"/>
    <x v="1"/>
    <x v="1"/>
    <x v="0"/>
    <x v="26"/>
    <x v="1"/>
    <x v="1"/>
    <x v="1"/>
    <x v="398"/>
    <x v="55"/>
    <x v="2"/>
  </r>
  <r>
    <x v="55"/>
    <x v="47"/>
    <x v="2"/>
    <x v="2"/>
    <x v="0"/>
    <x v="10"/>
    <x v="33"/>
    <x v="68"/>
    <x v="1444"/>
    <x v="0"/>
    <x v="55"/>
    <x v="2"/>
  </r>
  <r>
    <x v="55"/>
    <x v="146"/>
    <x v="6"/>
    <x v="6"/>
    <x v="0"/>
    <x v="10"/>
    <x v="33"/>
    <x v="172"/>
    <x v="1445"/>
    <x v="0"/>
    <x v="55"/>
    <x v="2"/>
  </r>
  <r>
    <x v="55"/>
    <x v="169"/>
    <x v="6"/>
    <x v="6"/>
    <x v="0"/>
    <x v="10"/>
    <x v="33"/>
    <x v="249"/>
    <x v="1446"/>
    <x v="0"/>
    <x v="55"/>
    <x v="2"/>
  </r>
  <r>
    <x v="55"/>
    <x v="29"/>
    <x v="4"/>
    <x v="4"/>
    <x v="0"/>
    <x v="10"/>
    <x v="33"/>
    <x v="248"/>
    <x v="1447"/>
    <x v="0"/>
    <x v="55"/>
    <x v="2"/>
  </r>
  <r>
    <x v="55"/>
    <x v="136"/>
    <x v="0"/>
    <x v="0"/>
    <x v="0"/>
    <x v="10"/>
    <x v="33"/>
    <x v="100"/>
    <x v="736"/>
    <x v="0"/>
    <x v="55"/>
    <x v="2"/>
  </r>
  <r>
    <x v="55"/>
    <x v="32"/>
    <x v="5"/>
    <x v="5"/>
    <x v="0"/>
    <x v="10"/>
    <x v="33"/>
    <x v="81"/>
    <x v="1448"/>
    <x v="0"/>
    <x v="55"/>
    <x v="2"/>
  </r>
  <r>
    <x v="55"/>
    <x v="153"/>
    <x v="5"/>
    <x v="5"/>
    <x v="0"/>
    <x v="10"/>
    <x v="33"/>
    <x v="157"/>
    <x v="736"/>
    <x v="0"/>
    <x v="55"/>
    <x v="2"/>
  </r>
  <r>
    <x v="55"/>
    <x v="150"/>
    <x v="5"/>
    <x v="5"/>
    <x v="0"/>
    <x v="10"/>
    <x v="33"/>
    <x v="214"/>
    <x v="1449"/>
    <x v="0"/>
    <x v="55"/>
    <x v="2"/>
  </r>
  <r>
    <x v="55"/>
    <x v="127"/>
    <x v="1"/>
    <x v="1"/>
    <x v="0"/>
    <x v="10"/>
    <x v="33"/>
    <x v="85"/>
    <x v="1450"/>
    <x v="0"/>
    <x v="55"/>
    <x v="2"/>
  </r>
  <r>
    <x v="55"/>
    <x v="33"/>
    <x v="1"/>
    <x v="1"/>
    <x v="0"/>
    <x v="10"/>
    <x v="33"/>
    <x v="241"/>
    <x v="736"/>
    <x v="0"/>
    <x v="55"/>
    <x v="2"/>
  </r>
  <r>
    <x v="55"/>
    <x v="1"/>
    <x v="1"/>
    <x v="1"/>
    <x v="0"/>
    <x v="10"/>
    <x v="1"/>
    <x v="1"/>
    <x v="1"/>
    <x v="399"/>
    <x v="55"/>
    <x v="2"/>
  </r>
  <r>
    <x v="55"/>
    <x v="70"/>
    <x v="2"/>
    <x v="2"/>
    <x v="0"/>
    <x v="11"/>
    <x v="32"/>
    <x v="36"/>
    <x v="1451"/>
    <x v="0"/>
    <x v="55"/>
    <x v="2"/>
  </r>
  <r>
    <x v="55"/>
    <x v="70"/>
    <x v="2"/>
    <x v="2"/>
    <x v="0"/>
    <x v="11"/>
    <x v="33"/>
    <x v="36"/>
    <x v="1452"/>
    <x v="0"/>
    <x v="55"/>
    <x v="2"/>
  </r>
  <r>
    <x v="55"/>
    <x v="47"/>
    <x v="2"/>
    <x v="2"/>
    <x v="0"/>
    <x v="11"/>
    <x v="33"/>
    <x v="68"/>
    <x v="1115"/>
    <x v="0"/>
    <x v="55"/>
    <x v="2"/>
  </r>
  <r>
    <x v="55"/>
    <x v="111"/>
    <x v="2"/>
    <x v="2"/>
    <x v="0"/>
    <x v="11"/>
    <x v="33"/>
    <x v="75"/>
    <x v="1453"/>
    <x v="0"/>
    <x v="55"/>
    <x v="2"/>
  </r>
  <r>
    <x v="55"/>
    <x v="86"/>
    <x v="6"/>
    <x v="6"/>
    <x v="0"/>
    <x v="11"/>
    <x v="32"/>
    <x v="224"/>
    <x v="1454"/>
    <x v="0"/>
    <x v="55"/>
    <x v="2"/>
  </r>
  <r>
    <x v="55"/>
    <x v="134"/>
    <x v="6"/>
    <x v="6"/>
    <x v="0"/>
    <x v="11"/>
    <x v="33"/>
    <x v="226"/>
    <x v="1455"/>
    <x v="0"/>
    <x v="55"/>
    <x v="2"/>
  </r>
  <r>
    <x v="55"/>
    <x v="21"/>
    <x v="6"/>
    <x v="6"/>
    <x v="0"/>
    <x v="11"/>
    <x v="32"/>
    <x v="70"/>
    <x v="1456"/>
    <x v="0"/>
    <x v="55"/>
    <x v="2"/>
  </r>
  <r>
    <x v="55"/>
    <x v="19"/>
    <x v="3"/>
    <x v="3"/>
    <x v="0"/>
    <x v="11"/>
    <x v="33"/>
    <x v="62"/>
    <x v="1457"/>
    <x v="0"/>
    <x v="55"/>
    <x v="2"/>
  </r>
  <r>
    <x v="55"/>
    <x v="18"/>
    <x v="3"/>
    <x v="3"/>
    <x v="0"/>
    <x v="11"/>
    <x v="33"/>
    <x v="219"/>
    <x v="1458"/>
    <x v="0"/>
    <x v="55"/>
    <x v="2"/>
  </r>
  <r>
    <x v="55"/>
    <x v="79"/>
    <x v="3"/>
    <x v="3"/>
    <x v="0"/>
    <x v="11"/>
    <x v="33"/>
    <x v="142"/>
    <x v="1459"/>
    <x v="0"/>
    <x v="55"/>
    <x v="2"/>
  </r>
  <r>
    <x v="55"/>
    <x v="28"/>
    <x v="3"/>
    <x v="3"/>
    <x v="0"/>
    <x v="11"/>
    <x v="33"/>
    <x v="245"/>
    <x v="1460"/>
    <x v="0"/>
    <x v="55"/>
    <x v="2"/>
  </r>
  <r>
    <x v="55"/>
    <x v="99"/>
    <x v="3"/>
    <x v="3"/>
    <x v="0"/>
    <x v="11"/>
    <x v="33"/>
    <x v="116"/>
    <x v="1459"/>
    <x v="0"/>
    <x v="55"/>
    <x v="2"/>
  </r>
  <r>
    <x v="55"/>
    <x v="68"/>
    <x v="4"/>
    <x v="4"/>
    <x v="0"/>
    <x v="11"/>
    <x v="32"/>
    <x v="222"/>
    <x v="1461"/>
    <x v="0"/>
    <x v="55"/>
    <x v="2"/>
  </r>
  <r>
    <x v="55"/>
    <x v="162"/>
    <x v="4"/>
    <x v="4"/>
    <x v="0"/>
    <x v="11"/>
    <x v="33"/>
    <x v="192"/>
    <x v="1462"/>
    <x v="0"/>
    <x v="55"/>
    <x v="2"/>
  </r>
  <r>
    <x v="55"/>
    <x v="160"/>
    <x v="0"/>
    <x v="0"/>
    <x v="0"/>
    <x v="11"/>
    <x v="32"/>
    <x v="179"/>
    <x v="1463"/>
    <x v="0"/>
    <x v="55"/>
    <x v="2"/>
  </r>
  <r>
    <x v="55"/>
    <x v="142"/>
    <x v="0"/>
    <x v="0"/>
    <x v="0"/>
    <x v="11"/>
    <x v="33"/>
    <x v="119"/>
    <x v="1464"/>
    <x v="0"/>
    <x v="55"/>
    <x v="2"/>
  </r>
  <r>
    <x v="55"/>
    <x v="72"/>
    <x v="5"/>
    <x v="5"/>
    <x v="0"/>
    <x v="11"/>
    <x v="33"/>
    <x v="38"/>
    <x v="1465"/>
    <x v="0"/>
    <x v="55"/>
    <x v="2"/>
  </r>
  <r>
    <x v="55"/>
    <x v="125"/>
    <x v="5"/>
    <x v="5"/>
    <x v="0"/>
    <x v="11"/>
    <x v="32"/>
    <x v="82"/>
    <x v="769"/>
    <x v="0"/>
    <x v="55"/>
    <x v="2"/>
  </r>
  <r>
    <x v="55"/>
    <x v="124"/>
    <x v="5"/>
    <x v="5"/>
    <x v="0"/>
    <x v="11"/>
    <x v="32"/>
    <x v="206"/>
    <x v="1041"/>
    <x v="0"/>
    <x v="55"/>
    <x v="2"/>
  </r>
  <r>
    <x v="55"/>
    <x v="124"/>
    <x v="5"/>
    <x v="5"/>
    <x v="0"/>
    <x v="11"/>
    <x v="33"/>
    <x v="206"/>
    <x v="1466"/>
    <x v="0"/>
    <x v="55"/>
    <x v="2"/>
  </r>
  <r>
    <x v="55"/>
    <x v="40"/>
    <x v="1"/>
    <x v="1"/>
    <x v="0"/>
    <x v="11"/>
    <x v="32"/>
    <x v="125"/>
    <x v="1467"/>
    <x v="0"/>
    <x v="55"/>
    <x v="2"/>
  </r>
  <r>
    <x v="55"/>
    <x v="73"/>
    <x v="1"/>
    <x v="1"/>
    <x v="0"/>
    <x v="11"/>
    <x v="33"/>
    <x v="39"/>
    <x v="1468"/>
    <x v="0"/>
    <x v="55"/>
    <x v="2"/>
  </r>
  <r>
    <x v="55"/>
    <x v="55"/>
    <x v="1"/>
    <x v="1"/>
    <x v="0"/>
    <x v="11"/>
    <x v="33"/>
    <x v="188"/>
    <x v="1469"/>
    <x v="0"/>
    <x v="55"/>
    <x v="2"/>
  </r>
  <r>
    <x v="55"/>
    <x v="98"/>
    <x v="1"/>
    <x v="1"/>
    <x v="0"/>
    <x v="11"/>
    <x v="33"/>
    <x v="198"/>
    <x v="1470"/>
    <x v="0"/>
    <x v="55"/>
    <x v="2"/>
  </r>
  <r>
    <x v="55"/>
    <x v="1"/>
    <x v="1"/>
    <x v="1"/>
    <x v="0"/>
    <x v="11"/>
    <x v="1"/>
    <x v="1"/>
    <x v="1"/>
    <x v="400"/>
    <x v="55"/>
    <x v="2"/>
  </r>
  <r>
    <x v="55"/>
    <x v="1"/>
    <x v="1"/>
    <x v="1"/>
    <x v="0"/>
    <x v="36"/>
    <x v="1"/>
    <x v="1"/>
    <x v="1"/>
    <x v="401"/>
    <x v="55"/>
    <x v="2"/>
  </r>
  <r>
    <x v="55"/>
    <x v="118"/>
    <x v="2"/>
    <x v="2"/>
    <x v="0"/>
    <x v="12"/>
    <x v="33"/>
    <x v="69"/>
    <x v="1471"/>
    <x v="0"/>
    <x v="55"/>
    <x v="2"/>
  </r>
  <r>
    <x v="55"/>
    <x v="147"/>
    <x v="6"/>
    <x v="6"/>
    <x v="0"/>
    <x v="12"/>
    <x v="33"/>
    <x v="132"/>
    <x v="1472"/>
    <x v="0"/>
    <x v="55"/>
    <x v="2"/>
  </r>
  <r>
    <x v="55"/>
    <x v="4"/>
    <x v="4"/>
    <x v="4"/>
    <x v="0"/>
    <x v="12"/>
    <x v="33"/>
    <x v="199"/>
    <x v="1473"/>
    <x v="0"/>
    <x v="55"/>
    <x v="2"/>
  </r>
  <r>
    <x v="55"/>
    <x v="159"/>
    <x v="0"/>
    <x v="0"/>
    <x v="0"/>
    <x v="12"/>
    <x v="33"/>
    <x v="177"/>
    <x v="1474"/>
    <x v="0"/>
    <x v="55"/>
    <x v="2"/>
  </r>
  <r>
    <x v="55"/>
    <x v="115"/>
    <x v="5"/>
    <x v="5"/>
    <x v="0"/>
    <x v="12"/>
    <x v="33"/>
    <x v="213"/>
    <x v="1475"/>
    <x v="0"/>
    <x v="55"/>
    <x v="2"/>
  </r>
  <r>
    <x v="55"/>
    <x v="145"/>
    <x v="5"/>
    <x v="5"/>
    <x v="0"/>
    <x v="12"/>
    <x v="33"/>
    <x v="124"/>
    <x v="1476"/>
    <x v="0"/>
    <x v="55"/>
    <x v="2"/>
  </r>
  <r>
    <x v="55"/>
    <x v="55"/>
    <x v="1"/>
    <x v="1"/>
    <x v="0"/>
    <x v="12"/>
    <x v="33"/>
    <x v="188"/>
    <x v="1477"/>
    <x v="0"/>
    <x v="55"/>
    <x v="2"/>
  </r>
  <r>
    <x v="55"/>
    <x v="1"/>
    <x v="1"/>
    <x v="1"/>
    <x v="0"/>
    <x v="12"/>
    <x v="1"/>
    <x v="1"/>
    <x v="1"/>
    <x v="402"/>
    <x v="55"/>
    <x v="2"/>
  </r>
  <r>
    <x v="55"/>
    <x v="77"/>
    <x v="5"/>
    <x v="5"/>
    <x v="0"/>
    <x v="13"/>
    <x v="32"/>
    <x v="156"/>
    <x v="1478"/>
    <x v="0"/>
    <x v="55"/>
    <x v="2"/>
  </r>
  <r>
    <x v="55"/>
    <x v="22"/>
    <x v="1"/>
    <x v="1"/>
    <x v="0"/>
    <x v="13"/>
    <x v="32"/>
    <x v="211"/>
    <x v="1479"/>
    <x v="0"/>
    <x v="55"/>
    <x v="2"/>
  </r>
  <r>
    <x v="55"/>
    <x v="1"/>
    <x v="1"/>
    <x v="1"/>
    <x v="0"/>
    <x v="13"/>
    <x v="1"/>
    <x v="1"/>
    <x v="1"/>
    <x v="403"/>
    <x v="55"/>
    <x v="2"/>
  </r>
  <r>
    <x v="55"/>
    <x v="85"/>
    <x v="2"/>
    <x v="2"/>
    <x v="0"/>
    <x v="14"/>
    <x v="33"/>
    <x v="161"/>
    <x v="736"/>
    <x v="0"/>
    <x v="55"/>
    <x v="2"/>
  </r>
  <r>
    <x v="55"/>
    <x v="144"/>
    <x v="2"/>
    <x v="2"/>
    <x v="0"/>
    <x v="14"/>
    <x v="32"/>
    <x v="162"/>
    <x v="1403"/>
    <x v="0"/>
    <x v="55"/>
    <x v="2"/>
  </r>
  <r>
    <x v="55"/>
    <x v="163"/>
    <x v="6"/>
    <x v="6"/>
    <x v="0"/>
    <x v="14"/>
    <x v="33"/>
    <x v="195"/>
    <x v="911"/>
    <x v="0"/>
    <x v="55"/>
    <x v="2"/>
  </r>
  <r>
    <x v="55"/>
    <x v="74"/>
    <x v="3"/>
    <x v="3"/>
    <x v="0"/>
    <x v="14"/>
    <x v="33"/>
    <x v="151"/>
    <x v="735"/>
    <x v="0"/>
    <x v="55"/>
    <x v="2"/>
  </r>
  <r>
    <x v="55"/>
    <x v="26"/>
    <x v="3"/>
    <x v="3"/>
    <x v="0"/>
    <x v="14"/>
    <x v="33"/>
    <x v="115"/>
    <x v="736"/>
    <x v="0"/>
    <x v="55"/>
    <x v="2"/>
  </r>
  <r>
    <x v="55"/>
    <x v="23"/>
    <x v="3"/>
    <x v="3"/>
    <x v="0"/>
    <x v="14"/>
    <x v="32"/>
    <x v="221"/>
    <x v="1480"/>
    <x v="0"/>
    <x v="55"/>
    <x v="2"/>
  </r>
  <r>
    <x v="55"/>
    <x v="108"/>
    <x v="3"/>
    <x v="3"/>
    <x v="0"/>
    <x v="14"/>
    <x v="33"/>
    <x v="63"/>
    <x v="911"/>
    <x v="0"/>
    <x v="55"/>
    <x v="2"/>
  </r>
  <r>
    <x v="55"/>
    <x v="61"/>
    <x v="3"/>
    <x v="3"/>
    <x v="0"/>
    <x v="14"/>
    <x v="33"/>
    <x v="126"/>
    <x v="911"/>
    <x v="0"/>
    <x v="55"/>
    <x v="2"/>
  </r>
  <r>
    <x v="55"/>
    <x v="81"/>
    <x v="4"/>
    <x v="4"/>
    <x v="0"/>
    <x v="14"/>
    <x v="33"/>
    <x v="175"/>
    <x v="736"/>
    <x v="0"/>
    <x v="55"/>
    <x v="2"/>
  </r>
  <r>
    <x v="55"/>
    <x v="132"/>
    <x v="4"/>
    <x v="4"/>
    <x v="0"/>
    <x v="14"/>
    <x v="33"/>
    <x v="95"/>
    <x v="735"/>
    <x v="0"/>
    <x v="55"/>
    <x v="2"/>
  </r>
  <r>
    <x v="55"/>
    <x v="162"/>
    <x v="4"/>
    <x v="4"/>
    <x v="0"/>
    <x v="14"/>
    <x v="33"/>
    <x v="192"/>
    <x v="815"/>
    <x v="0"/>
    <x v="55"/>
    <x v="2"/>
  </r>
  <r>
    <x v="55"/>
    <x v="50"/>
    <x v="4"/>
    <x v="4"/>
    <x v="0"/>
    <x v="14"/>
    <x v="33"/>
    <x v="77"/>
    <x v="146"/>
    <x v="0"/>
    <x v="55"/>
    <x v="2"/>
  </r>
  <r>
    <x v="55"/>
    <x v="38"/>
    <x v="4"/>
    <x v="4"/>
    <x v="0"/>
    <x v="14"/>
    <x v="33"/>
    <x v="106"/>
    <x v="816"/>
    <x v="0"/>
    <x v="55"/>
    <x v="2"/>
  </r>
  <r>
    <x v="55"/>
    <x v="90"/>
    <x v="0"/>
    <x v="0"/>
    <x v="0"/>
    <x v="14"/>
    <x v="33"/>
    <x v="79"/>
    <x v="735"/>
    <x v="0"/>
    <x v="55"/>
    <x v="2"/>
  </r>
  <r>
    <x v="55"/>
    <x v="121"/>
    <x v="0"/>
    <x v="0"/>
    <x v="0"/>
    <x v="14"/>
    <x v="33"/>
    <x v="80"/>
    <x v="736"/>
    <x v="0"/>
    <x v="55"/>
    <x v="2"/>
  </r>
  <r>
    <x v="55"/>
    <x v="92"/>
    <x v="0"/>
    <x v="0"/>
    <x v="0"/>
    <x v="14"/>
    <x v="33"/>
    <x v="109"/>
    <x v="736"/>
    <x v="0"/>
    <x v="55"/>
    <x v="2"/>
  </r>
  <r>
    <x v="55"/>
    <x v="136"/>
    <x v="0"/>
    <x v="0"/>
    <x v="0"/>
    <x v="14"/>
    <x v="33"/>
    <x v="100"/>
    <x v="736"/>
    <x v="0"/>
    <x v="55"/>
    <x v="2"/>
  </r>
  <r>
    <x v="55"/>
    <x v="115"/>
    <x v="5"/>
    <x v="5"/>
    <x v="0"/>
    <x v="14"/>
    <x v="33"/>
    <x v="213"/>
    <x v="736"/>
    <x v="0"/>
    <x v="55"/>
    <x v="2"/>
  </r>
  <r>
    <x v="55"/>
    <x v="72"/>
    <x v="5"/>
    <x v="5"/>
    <x v="0"/>
    <x v="14"/>
    <x v="33"/>
    <x v="38"/>
    <x v="1481"/>
    <x v="0"/>
    <x v="55"/>
    <x v="2"/>
  </r>
  <r>
    <x v="55"/>
    <x v="1"/>
    <x v="1"/>
    <x v="1"/>
    <x v="0"/>
    <x v="14"/>
    <x v="1"/>
    <x v="1"/>
    <x v="1"/>
    <x v="404"/>
    <x v="55"/>
    <x v="2"/>
  </r>
  <r>
    <x v="55"/>
    <x v="150"/>
    <x v="5"/>
    <x v="5"/>
    <x v="0"/>
    <x v="15"/>
    <x v="33"/>
    <x v="214"/>
    <x v="1482"/>
    <x v="0"/>
    <x v="55"/>
    <x v="2"/>
  </r>
  <r>
    <x v="55"/>
    <x v="1"/>
    <x v="1"/>
    <x v="1"/>
    <x v="0"/>
    <x v="15"/>
    <x v="1"/>
    <x v="1"/>
    <x v="1"/>
    <x v="405"/>
    <x v="55"/>
    <x v="2"/>
  </r>
  <r>
    <x v="55"/>
    <x v="167"/>
    <x v="6"/>
    <x v="6"/>
    <x v="0"/>
    <x v="27"/>
    <x v="33"/>
    <x v="218"/>
    <x v="1483"/>
    <x v="0"/>
    <x v="55"/>
    <x v="2"/>
  </r>
  <r>
    <x v="55"/>
    <x v="114"/>
    <x v="3"/>
    <x v="3"/>
    <x v="0"/>
    <x v="27"/>
    <x v="33"/>
    <x v="76"/>
    <x v="1137"/>
    <x v="0"/>
    <x v="55"/>
    <x v="2"/>
  </r>
  <r>
    <x v="55"/>
    <x v="1"/>
    <x v="1"/>
    <x v="1"/>
    <x v="0"/>
    <x v="27"/>
    <x v="1"/>
    <x v="1"/>
    <x v="1"/>
    <x v="406"/>
    <x v="55"/>
    <x v="2"/>
  </r>
  <r>
    <x v="55"/>
    <x v="36"/>
    <x v="6"/>
    <x v="6"/>
    <x v="0"/>
    <x v="28"/>
    <x v="33"/>
    <x v="94"/>
    <x v="1484"/>
    <x v="0"/>
    <x v="55"/>
    <x v="2"/>
  </r>
  <r>
    <x v="55"/>
    <x v="159"/>
    <x v="0"/>
    <x v="0"/>
    <x v="0"/>
    <x v="28"/>
    <x v="32"/>
    <x v="177"/>
    <x v="1"/>
    <x v="407"/>
    <x v="55"/>
    <x v="2"/>
  </r>
  <r>
    <x v="55"/>
    <x v="46"/>
    <x v="0"/>
    <x v="0"/>
    <x v="0"/>
    <x v="28"/>
    <x v="32"/>
    <x v="155"/>
    <x v="1485"/>
    <x v="0"/>
    <x v="55"/>
    <x v="2"/>
  </r>
  <r>
    <x v="55"/>
    <x v="92"/>
    <x v="0"/>
    <x v="0"/>
    <x v="0"/>
    <x v="28"/>
    <x v="33"/>
    <x v="109"/>
    <x v="849"/>
    <x v="0"/>
    <x v="55"/>
    <x v="2"/>
  </r>
  <r>
    <x v="55"/>
    <x v="20"/>
    <x v="5"/>
    <x v="5"/>
    <x v="0"/>
    <x v="28"/>
    <x v="33"/>
    <x v="45"/>
    <x v="1486"/>
    <x v="0"/>
    <x v="55"/>
    <x v="2"/>
  </r>
  <r>
    <x v="55"/>
    <x v="1"/>
    <x v="1"/>
    <x v="1"/>
    <x v="0"/>
    <x v="28"/>
    <x v="1"/>
    <x v="1"/>
    <x v="1"/>
    <x v="408"/>
    <x v="55"/>
    <x v="2"/>
  </r>
  <r>
    <x v="55"/>
    <x v="112"/>
    <x v="2"/>
    <x v="2"/>
    <x v="0"/>
    <x v="29"/>
    <x v="33"/>
    <x v="209"/>
    <x v="1487"/>
    <x v="0"/>
    <x v="55"/>
    <x v="2"/>
  </r>
  <r>
    <x v="55"/>
    <x v="36"/>
    <x v="6"/>
    <x v="6"/>
    <x v="0"/>
    <x v="29"/>
    <x v="33"/>
    <x v="94"/>
    <x v="1488"/>
    <x v="0"/>
    <x v="55"/>
    <x v="2"/>
  </r>
  <r>
    <x v="55"/>
    <x v="71"/>
    <x v="6"/>
    <x v="6"/>
    <x v="0"/>
    <x v="29"/>
    <x v="33"/>
    <x v="37"/>
    <x v="1489"/>
    <x v="0"/>
    <x v="55"/>
    <x v="2"/>
  </r>
  <r>
    <x v="55"/>
    <x v="15"/>
    <x v="6"/>
    <x v="6"/>
    <x v="0"/>
    <x v="29"/>
    <x v="33"/>
    <x v="216"/>
    <x v="1490"/>
    <x v="0"/>
    <x v="55"/>
    <x v="2"/>
  </r>
  <r>
    <x v="55"/>
    <x v="27"/>
    <x v="3"/>
    <x v="3"/>
    <x v="0"/>
    <x v="29"/>
    <x v="33"/>
    <x v="43"/>
    <x v="1491"/>
    <x v="0"/>
    <x v="55"/>
    <x v="2"/>
  </r>
  <r>
    <x v="55"/>
    <x v="18"/>
    <x v="3"/>
    <x v="3"/>
    <x v="0"/>
    <x v="29"/>
    <x v="33"/>
    <x v="219"/>
    <x v="1492"/>
    <x v="0"/>
    <x v="55"/>
    <x v="2"/>
  </r>
  <r>
    <x v="55"/>
    <x v="44"/>
    <x v="3"/>
    <x v="3"/>
    <x v="0"/>
    <x v="29"/>
    <x v="33"/>
    <x v="191"/>
    <x v="876"/>
    <x v="0"/>
    <x v="55"/>
    <x v="2"/>
  </r>
  <r>
    <x v="55"/>
    <x v="132"/>
    <x v="4"/>
    <x v="4"/>
    <x v="0"/>
    <x v="29"/>
    <x v="33"/>
    <x v="95"/>
    <x v="1493"/>
    <x v="0"/>
    <x v="55"/>
    <x v="2"/>
  </r>
  <r>
    <x v="55"/>
    <x v="154"/>
    <x v="4"/>
    <x v="4"/>
    <x v="0"/>
    <x v="29"/>
    <x v="33"/>
    <x v="143"/>
    <x v="1494"/>
    <x v="0"/>
    <x v="55"/>
    <x v="2"/>
  </r>
  <r>
    <x v="55"/>
    <x v="77"/>
    <x v="5"/>
    <x v="5"/>
    <x v="0"/>
    <x v="29"/>
    <x v="33"/>
    <x v="156"/>
    <x v="1495"/>
    <x v="0"/>
    <x v="55"/>
    <x v="2"/>
  </r>
  <r>
    <x v="55"/>
    <x v="98"/>
    <x v="1"/>
    <x v="1"/>
    <x v="0"/>
    <x v="29"/>
    <x v="32"/>
    <x v="198"/>
    <x v="1496"/>
    <x v="0"/>
    <x v="55"/>
    <x v="2"/>
  </r>
  <r>
    <x v="55"/>
    <x v="1"/>
    <x v="1"/>
    <x v="1"/>
    <x v="0"/>
    <x v="29"/>
    <x v="1"/>
    <x v="1"/>
    <x v="1"/>
    <x v="409"/>
    <x v="55"/>
    <x v="2"/>
  </r>
  <r>
    <x v="55"/>
    <x v="84"/>
    <x v="2"/>
    <x v="2"/>
    <x v="0"/>
    <x v="16"/>
    <x v="33"/>
    <x v="203"/>
    <x v="1497"/>
    <x v="0"/>
    <x v="55"/>
    <x v="2"/>
  </r>
  <r>
    <x v="55"/>
    <x v="142"/>
    <x v="0"/>
    <x v="0"/>
    <x v="0"/>
    <x v="16"/>
    <x v="33"/>
    <x v="119"/>
    <x v="1498"/>
    <x v="0"/>
    <x v="55"/>
    <x v="2"/>
  </r>
  <r>
    <x v="55"/>
    <x v="1"/>
    <x v="1"/>
    <x v="1"/>
    <x v="0"/>
    <x v="16"/>
    <x v="1"/>
    <x v="1"/>
    <x v="1"/>
    <x v="410"/>
    <x v="55"/>
    <x v="2"/>
  </r>
  <r>
    <x v="55"/>
    <x v="133"/>
    <x v="2"/>
    <x v="2"/>
    <x v="0"/>
    <x v="30"/>
    <x v="32"/>
    <x v="254"/>
    <x v="1499"/>
    <x v="0"/>
    <x v="55"/>
    <x v="2"/>
  </r>
  <r>
    <x v="55"/>
    <x v="86"/>
    <x v="6"/>
    <x v="6"/>
    <x v="0"/>
    <x v="30"/>
    <x v="32"/>
    <x v="224"/>
    <x v="1500"/>
    <x v="0"/>
    <x v="55"/>
    <x v="2"/>
  </r>
  <r>
    <x v="55"/>
    <x v="108"/>
    <x v="3"/>
    <x v="3"/>
    <x v="0"/>
    <x v="30"/>
    <x v="32"/>
    <x v="63"/>
    <x v="1501"/>
    <x v="0"/>
    <x v="55"/>
    <x v="2"/>
  </r>
  <r>
    <x v="55"/>
    <x v="68"/>
    <x v="4"/>
    <x v="4"/>
    <x v="0"/>
    <x v="30"/>
    <x v="32"/>
    <x v="222"/>
    <x v="1502"/>
    <x v="0"/>
    <x v="55"/>
    <x v="2"/>
  </r>
  <r>
    <x v="55"/>
    <x v="50"/>
    <x v="4"/>
    <x v="4"/>
    <x v="0"/>
    <x v="30"/>
    <x v="32"/>
    <x v="77"/>
    <x v="1215"/>
    <x v="0"/>
    <x v="55"/>
    <x v="2"/>
  </r>
  <r>
    <x v="55"/>
    <x v="115"/>
    <x v="5"/>
    <x v="5"/>
    <x v="0"/>
    <x v="30"/>
    <x v="32"/>
    <x v="213"/>
    <x v="1503"/>
    <x v="0"/>
    <x v="55"/>
    <x v="2"/>
  </r>
  <r>
    <x v="55"/>
    <x v="153"/>
    <x v="5"/>
    <x v="5"/>
    <x v="0"/>
    <x v="30"/>
    <x v="32"/>
    <x v="157"/>
    <x v="1504"/>
    <x v="0"/>
    <x v="55"/>
    <x v="2"/>
  </r>
  <r>
    <x v="55"/>
    <x v="40"/>
    <x v="1"/>
    <x v="1"/>
    <x v="0"/>
    <x v="30"/>
    <x v="32"/>
    <x v="125"/>
    <x v="1505"/>
    <x v="0"/>
    <x v="55"/>
    <x v="2"/>
  </r>
  <r>
    <x v="55"/>
    <x v="1"/>
    <x v="1"/>
    <x v="1"/>
    <x v="0"/>
    <x v="30"/>
    <x v="1"/>
    <x v="1"/>
    <x v="1"/>
    <x v="411"/>
    <x v="55"/>
    <x v="2"/>
  </r>
  <r>
    <x v="55"/>
    <x v="144"/>
    <x v="2"/>
    <x v="2"/>
    <x v="0"/>
    <x v="17"/>
    <x v="32"/>
    <x v="162"/>
    <x v="1506"/>
    <x v="0"/>
    <x v="55"/>
    <x v="2"/>
  </r>
  <r>
    <x v="55"/>
    <x v="71"/>
    <x v="6"/>
    <x v="6"/>
    <x v="0"/>
    <x v="17"/>
    <x v="32"/>
    <x v="37"/>
    <x v="1507"/>
    <x v="0"/>
    <x v="55"/>
    <x v="2"/>
  </r>
  <r>
    <x v="55"/>
    <x v="21"/>
    <x v="6"/>
    <x v="6"/>
    <x v="0"/>
    <x v="17"/>
    <x v="32"/>
    <x v="70"/>
    <x v="1508"/>
    <x v="0"/>
    <x v="55"/>
    <x v="2"/>
  </r>
  <r>
    <x v="55"/>
    <x v="23"/>
    <x v="3"/>
    <x v="3"/>
    <x v="0"/>
    <x v="17"/>
    <x v="32"/>
    <x v="221"/>
    <x v="1509"/>
    <x v="0"/>
    <x v="55"/>
    <x v="2"/>
  </r>
  <r>
    <x v="55"/>
    <x v="50"/>
    <x v="4"/>
    <x v="4"/>
    <x v="0"/>
    <x v="17"/>
    <x v="32"/>
    <x v="77"/>
    <x v="1510"/>
    <x v="0"/>
    <x v="55"/>
    <x v="2"/>
  </r>
  <r>
    <x v="55"/>
    <x v="50"/>
    <x v="4"/>
    <x v="4"/>
    <x v="0"/>
    <x v="17"/>
    <x v="33"/>
    <x v="77"/>
    <x v="1511"/>
    <x v="0"/>
    <x v="55"/>
    <x v="2"/>
  </r>
  <r>
    <x v="55"/>
    <x v="89"/>
    <x v="4"/>
    <x v="4"/>
    <x v="0"/>
    <x v="17"/>
    <x v="32"/>
    <x v="154"/>
    <x v="1512"/>
    <x v="0"/>
    <x v="55"/>
    <x v="2"/>
  </r>
  <r>
    <x v="55"/>
    <x v="0"/>
    <x v="0"/>
    <x v="0"/>
    <x v="0"/>
    <x v="17"/>
    <x v="32"/>
    <x v="197"/>
    <x v="1513"/>
    <x v="0"/>
    <x v="55"/>
    <x v="2"/>
  </r>
  <r>
    <x v="55"/>
    <x v="46"/>
    <x v="0"/>
    <x v="0"/>
    <x v="0"/>
    <x v="17"/>
    <x v="32"/>
    <x v="155"/>
    <x v="1514"/>
    <x v="0"/>
    <x v="55"/>
    <x v="2"/>
  </r>
  <r>
    <x v="55"/>
    <x v="13"/>
    <x v="5"/>
    <x v="5"/>
    <x v="0"/>
    <x v="17"/>
    <x v="32"/>
    <x v="120"/>
    <x v="1515"/>
    <x v="0"/>
    <x v="55"/>
    <x v="2"/>
  </r>
  <r>
    <x v="55"/>
    <x v="141"/>
    <x v="5"/>
    <x v="5"/>
    <x v="0"/>
    <x v="17"/>
    <x v="32"/>
    <x v="185"/>
    <x v="1516"/>
    <x v="0"/>
    <x v="55"/>
    <x v="2"/>
  </r>
  <r>
    <x v="55"/>
    <x v="155"/>
    <x v="1"/>
    <x v="1"/>
    <x v="0"/>
    <x v="17"/>
    <x v="32"/>
    <x v="145"/>
    <x v="1517"/>
    <x v="0"/>
    <x v="55"/>
    <x v="2"/>
  </r>
  <r>
    <x v="55"/>
    <x v="98"/>
    <x v="1"/>
    <x v="1"/>
    <x v="0"/>
    <x v="17"/>
    <x v="32"/>
    <x v="198"/>
    <x v="1518"/>
    <x v="0"/>
    <x v="55"/>
    <x v="2"/>
  </r>
  <r>
    <x v="55"/>
    <x v="1"/>
    <x v="1"/>
    <x v="1"/>
    <x v="0"/>
    <x v="17"/>
    <x v="1"/>
    <x v="1"/>
    <x v="1"/>
    <x v="412"/>
    <x v="55"/>
    <x v="2"/>
  </r>
  <r>
    <x v="55"/>
    <x v="1"/>
    <x v="1"/>
    <x v="1"/>
    <x v="0"/>
    <x v="31"/>
    <x v="1"/>
    <x v="1"/>
    <x v="1"/>
    <x v="413"/>
    <x v="55"/>
    <x v="2"/>
  </r>
  <r>
    <x v="55"/>
    <x v="85"/>
    <x v="2"/>
    <x v="2"/>
    <x v="0"/>
    <x v="32"/>
    <x v="32"/>
    <x v="161"/>
    <x v="1519"/>
    <x v="0"/>
    <x v="55"/>
    <x v="2"/>
  </r>
  <r>
    <x v="55"/>
    <x v="17"/>
    <x v="2"/>
    <x v="2"/>
    <x v="0"/>
    <x v="32"/>
    <x v="33"/>
    <x v="150"/>
    <x v="136"/>
    <x v="0"/>
    <x v="55"/>
    <x v="2"/>
  </r>
  <r>
    <x v="55"/>
    <x v="102"/>
    <x v="6"/>
    <x v="6"/>
    <x v="0"/>
    <x v="32"/>
    <x v="32"/>
    <x v="141"/>
    <x v="1520"/>
    <x v="0"/>
    <x v="55"/>
    <x v="2"/>
  </r>
  <r>
    <x v="55"/>
    <x v="21"/>
    <x v="6"/>
    <x v="6"/>
    <x v="0"/>
    <x v="32"/>
    <x v="32"/>
    <x v="70"/>
    <x v="1521"/>
    <x v="0"/>
    <x v="55"/>
    <x v="2"/>
  </r>
  <r>
    <x v="55"/>
    <x v="23"/>
    <x v="3"/>
    <x v="3"/>
    <x v="0"/>
    <x v="32"/>
    <x v="32"/>
    <x v="221"/>
    <x v="1505"/>
    <x v="0"/>
    <x v="55"/>
    <x v="2"/>
  </r>
  <r>
    <x v="55"/>
    <x v="99"/>
    <x v="3"/>
    <x v="3"/>
    <x v="0"/>
    <x v="32"/>
    <x v="33"/>
    <x v="116"/>
    <x v="1522"/>
    <x v="0"/>
    <x v="55"/>
    <x v="2"/>
  </r>
  <r>
    <x v="55"/>
    <x v="1"/>
    <x v="1"/>
    <x v="1"/>
    <x v="0"/>
    <x v="32"/>
    <x v="1"/>
    <x v="1"/>
    <x v="1"/>
    <x v="414"/>
    <x v="55"/>
    <x v="2"/>
  </r>
  <r>
    <x v="55"/>
    <x v="156"/>
    <x v="4"/>
    <x v="4"/>
    <x v="0"/>
    <x v="33"/>
    <x v="32"/>
    <x v="146"/>
    <x v="1523"/>
    <x v="0"/>
    <x v="55"/>
    <x v="2"/>
  </r>
  <r>
    <x v="55"/>
    <x v="98"/>
    <x v="1"/>
    <x v="1"/>
    <x v="0"/>
    <x v="33"/>
    <x v="33"/>
    <x v="198"/>
    <x v="899"/>
    <x v="0"/>
    <x v="55"/>
    <x v="2"/>
  </r>
  <r>
    <x v="55"/>
    <x v="1"/>
    <x v="1"/>
    <x v="1"/>
    <x v="0"/>
    <x v="33"/>
    <x v="1"/>
    <x v="1"/>
    <x v="1"/>
    <x v="415"/>
    <x v="55"/>
    <x v="2"/>
  </r>
  <r>
    <x v="55"/>
    <x v="111"/>
    <x v="2"/>
    <x v="2"/>
    <x v="0"/>
    <x v="18"/>
    <x v="33"/>
    <x v="75"/>
    <x v="736"/>
    <x v="0"/>
    <x v="55"/>
    <x v="2"/>
  </r>
  <r>
    <x v="55"/>
    <x v="60"/>
    <x v="3"/>
    <x v="3"/>
    <x v="0"/>
    <x v="18"/>
    <x v="33"/>
    <x v="57"/>
    <x v="585"/>
    <x v="0"/>
    <x v="55"/>
    <x v="2"/>
  </r>
  <r>
    <x v="55"/>
    <x v="161"/>
    <x v="1"/>
    <x v="1"/>
    <x v="0"/>
    <x v="18"/>
    <x v="33"/>
    <x v="186"/>
    <x v="1524"/>
    <x v="0"/>
    <x v="55"/>
    <x v="2"/>
  </r>
  <r>
    <x v="55"/>
    <x v="1"/>
    <x v="1"/>
    <x v="1"/>
    <x v="0"/>
    <x v="18"/>
    <x v="1"/>
    <x v="1"/>
    <x v="1"/>
    <x v="416"/>
    <x v="55"/>
    <x v="2"/>
  </r>
  <r>
    <x v="56"/>
    <x v="160"/>
    <x v="0"/>
    <x v="0"/>
    <x v="0"/>
    <x v="2"/>
    <x v="32"/>
    <x v="179"/>
    <x v="1525"/>
    <x v="0"/>
    <x v="56"/>
    <x v="2"/>
  </r>
  <r>
    <x v="56"/>
    <x v="1"/>
    <x v="1"/>
    <x v="1"/>
    <x v="0"/>
    <x v="2"/>
    <x v="1"/>
    <x v="1"/>
    <x v="1"/>
    <x v="417"/>
    <x v="56"/>
    <x v="2"/>
  </r>
  <r>
    <x v="56"/>
    <x v="47"/>
    <x v="2"/>
    <x v="2"/>
    <x v="0"/>
    <x v="0"/>
    <x v="33"/>
    <x v="68"/>
    <x v="874"/>
    <x v="0"/>
    <x v="56"/>
    <x v="2"/>
  </r>
  <r>
    <x v="56"/>
    <x v="144"/>
    <x v="2"/>
    <x v="2"/>
    <x v="0"/>
    <x v="0"/>
    <x v="33"/>
    <x v="162"/>
    <x v="759"/>
    <x v="0"/>
    <x v="56"/>
    <x v="2"/>
  </r>
  <r>
    <x v="56"/>
    <x v="65"/>
    <x v="6"/>
    <x v="6"/>
    <x v="0"/>
    <x v="0"/>
    <x v="33"/>
    <x v="190"/>
    <x v="759"/>
    <x v="0"/>
    <x v="56"/>
    <x v="2"/>
  </r>
  <r>
    <x v="56"/>
    <x v="96"/>
    <x v="6"/>
    <x v="6"/>
    <x v="0"/>
    <x v="0"/>
    <x v="33"/>
    <x v="165"/>
    <x v="759"/>
    <x v="0"/>
    <x v="56"/>
    <x v="2"/>
  </r>
  <r>
    <x v="56"/>
    <x v="99"/>
    <x v="3"/>
    <x v="3"/>
    <x v="0"/>
    <x v="0"/>
    <x v="33"/>
    <x v="116"/>
    <x v="759"/>
    <x v="0"/>
    <x v="56"/>
    <x v="2"/>
  </r>
  <r>
    <x v="56"/>
    <x v="132"/>
    <x v="4"/>
    <x v="4"/>
    <x v="0"/>
    <x v="0"/>
    <x v="33"/>
    <x v="95"/>
    <x v="759"/>
    <x v="0"/>
    <x v="56"/>
    <x v="2"/>
  </r>
  <r>
    <x v="56"/>
    <x v="154"/>
    <x v="4"/>
    <x v="4"/>
    <x v="0"/>
    <x v="0"/>
    <x v="33"/>
    <x v="143"/>
    <x v="765"/>
    <x v="0"/>
    <x v="56"/>
    <x v="2"/>
  </r>
  <r>
    <x v="56"/>
    <x v="31"/>
    <x v="4"/>
    <x v="4"/>
    <x v="0"/>
    <x v="0"/>
    <x v="33"/>
    <x v="72"/>
    <x v="874"/>
    <x v="0"/>
    <x v="56"/>
    <x v="2"/>
  </r>
  <r>
    <x v="56"/>
    <x v="57"/>
    <x v="0"/>
    <x v="0"/>
    <x v="0"/>
    <x v="0"/>
    <x v="33"/>
    <x v="44"/>
    <x v="874"/>
    <x v="0"/>
    <x v="56"/>
    <x v="2"/>
  </r>
  <r>
    <x v="56"/>
    <x v="45"/>
    <x v="0"/>
    <x v="0"/>
    <x v="0"/>
    <x v="0"/>
    <x v="33"/>
    <x v="180"/>
    <x v="1182"/>
    <x v="0"/>
    <x v="56"/>
    <x v="2"/>
  </r>
  <r>
    <x v="56"/>
    <x v="92"/>
    <x v="0"/>
    <x v="0"/>
    <x v="0"/>
    <x v="0"/>
    <x v="33"/>
    <x v="109"/>
    <x v="874"/>
    <x v="0"/>
    <x v="56"/>
    <x v="2"/>
  </r>
  <r>
    <x v="56"/>
    <x v="136"/>
    <x v="0"/>
    <x v="0"/>
    <x v="0"/>
    <x v="0"/>
    <x v="33"/>
    <x v="100"/>
    <x v="146"/>
    <x v="0"/>
    <x v="56"/>
    <x v="2"/>
  </r>
  <r>
    <x v="56"/>
    <x v="97"/>
    <x v="5"/>
    <x v="5"/>
    <x v="0"/>
    <x v="0"/>
    <x v="33"/>
    <x v="183"/>
    <x v="1132"/>
    <x v="0"/>
    <x v="56"/>
    <x v="2"/>
  </r>
  <r>
    <x v="56"/>
    <x v="77"/>
    <x v="5"/>
    <x v="5"/>
    <x v="0"/>
    <x v="0"/>
    <x v="33"/>
    <x v="156"/>
    <x v="759"/>
    <x v="0"/>
    <x v="56"/>
    <x v="2"/>
  </r>
  <r>
    <x v="56"/>
    <x v="139"/>
    <x v="5"/>
    <x v="5"/>
    <x v="0"/>
    <x v="0"/>
    <x v="33"/>
    <x v="110"/>
    <x v="759"/>
    <x v="0"/>
    <x v="56"/>
    <x v="2"/>
  </r>
  <r>
    <x v="56"/>
    <x v="63"/>
    <x v="5"/>
    <x v="5"/>
    <x v="0"/>
    <x v="0"/>
    <x v="33"/>
    <x v="111"/>
    <x v="874"/>
    <x v="0"/>
    <x v="56"/>
    <x v="2"/>
  </r>
  <r>
    <x v="56"/>
    <x v="40"/>
    <x v="1"/>
    <x v="1"/>
    <x v="0"/>
    <x v="0"/>
    <x v="33"/>
    <x v="125"/>
    <x v="146"/>
    <x v="0"/>
    <x v="56"/>
    <x v="2"/>
  </r>
  <r>
    <x v="56"/>
    <x v="42"/>
    <x v="1"/>
    <x v="1"/>
    <x v="0"/>
    <x v="0"/>
    <x v="33"/>
    <x v="167"/>
    <x v="765"/>
    <x v="0"/>
    <x v="56"/>
    <x v="2"/>
  </r>
  <r>
    <x v="56"/>
    <x v="101"/>
    <x v="1"/>
    <x v="1"/>
    <x v="0"/>
    <x v="0"/>
    <x v="33"/>
    <x v="207"/>
    <x v="874"/>
    <x v="0"/>
    <x v="56"/>
    <x v="2"/>
  </r>
  <r>
    <x v="56"/>
    <x v="152"/>
    <x v="1"/>
    <x v="1"/>
    <x v="0"/>
    <x v="0"/>
    <x v="33"/>
    <x v="194"/>
    <x v="874"/>
    <x v="0"/>
    <x v="56"/>
    <x v="2"/>
  </r>
  <r>
    <x v="56"/>
    <x v="1"/>
    <x v="1"/>
    <x v="1"/>
    <x v="0"/>
    <x v="0"/>
    <x v="1"/>
    <x v="1"/>
    <x v="1"/>
    <x v="418"/>
    <x v="56"/>
    <x v="2"/>
  </r>
  <r>
    <x v="56"/>
    <x v="102"/>
    <x v="6"/>
    <x v="6"/>
    <x v="0"/>
    <x v="1"/>
    <x v="33"/>
    <x v="141"/>
    <x v="874"/>
    <x v="0"/>
    <x v="56"/>
    <x v="2"/>
  </r>
  <r>
    <x v="56"/>
    <x v="96"/>
    <x v="6"/>
    <x v="6"/>
    <x v="0"/>
    <x v="1"/>
    <x v="33"/>
    <x v="165"/>
    <x v="874"/>
    <x v="0"/>
    <x v="56"/>
    <x v="2"/>
  </r>
  <r>
    <x v="56"/>
    <x v="30"/>
    <x v="4"/>
    <x v="4"/>
    <x v="0"/>
    <x v="1"/>
    <x v="33"/>
    <x v="159"/>
    <x v="874"/>
    <x v="0"/>
    <x v="56"/>
    <x v="2"/>
  </r>
  <r>
    <x v="56"/>
    <x v="31"/>
    <x v="4"/>
    <x v="4"/>
    <x v="0"/>
    <x v="1"/>
    <x v="33"/>
    <x v="72"/>
    <x v="874"/>
    <x v="0"/>
    <x v="56"/>
    <x v="2"/>
  </r>
  <r>
    <x v="56"/>
    <x v="92"/>
    <x v="0"/>
    <x v="0"/>
    <x v="0"/>
    <x v="1"/>
    <x v="33"/>
    <x v="109"/>
    <x v="874"/>
    <x v="0"/>
    <x v="56"/>
    <x v="2"/>
  </r>
  <r>
    <x v="56"/>
    <x v="136"/>
    <x v="0"/>
    <x v="0"/>
    <x v="0"/>
    <x v="1"/>
    <x v="33"/>
    <x v="100"/>
    <x v="874"/>
    <x v="0"/>
    <x v="56"/>
    <x v="2"/>
  </r>
  <r>
    <x v="56"/>
    <x v="76"/>
    <x v="5"/>
    <x v="5"/>
    <x v="0"/>
    <x v="1"/>
    <x v="33"/>
    <x v="182"/>
    <x v="874"/>
    <x v="0"/>
    <x v="56"/>
    <x v="2"/>
  </r>
  <r>
    <x v="56"/>
    <x v="95"/>
    <x v="1"/>
    <x v="1"/>
    <x v="0"/>
    <x v="1"/>
    <x v="33"/>
    <x v="97"/>
    <x v="759"/>
    <x v="0"/>
    <x v="56"/>
    <x v="2"/>
  </r>
  <r>
    <x v="56"/>
    <x v="101"/>
    <x v="1"/>
    <x v="1"/>
    <x v="0"/>
    <x v="1"/>
    <x v="33"/>
    <x v="207"/>
    <x v="874"/>
    <x v="0"/>
    <x v="56"/>
    <x v="2"/>
  </r>
  <r>
    <x v="56"/>
    <x v="1"/>
    <x v="1"/>
    <x v="1"/>
    <x v="0"/>
    <x v="1"/>
    <x v="1"/>
    <x v="1"/>
    <x v="1"/>
    <x v="365"/>
    <x v="56"/>
    <x v="2"/>
  </r>
  <r>
    <x v="57"/>
    <x v="144"/>
    <x v="2"/>
    <x v="2"/>
    <x v="0"/>
    <x v="2"/>
    <x v="33"/>
    <x v="162"/>
    <x v="874"/>
    <x v="0"/>
    <x v="57"/>
    <x v="2"/>
  </r>
  <r>
    <x v="57"/>
    <x v="116"/>
    <x v="0"/>
    <x v="0"/>
    <x v="0"/>
    <x v="2"/>
    <x v="33"/>
    <x v="64"/>
    <x v="874"/>
    <x v="0"/>
    <x v="57"/>
    <x v="2"/>
  </r>
  <r>
    <x v="57"/>
    <x v="1"/>
    <x v="1"/>
    <x v="1"/>
    <x v="0"/>
    <x v="2"/>
    <x v="1"/>
    <x v="1"/>
    <x v="1"/>
    <x v="349"/>
    <x v="57"/>
    <x v="2"/>
  </r>
  <r>
    <x v="57"/>
    <x v="70"/>
    <x v="2"/>
    <x v="2"/>
    <x v="0"/>
    <x v="0"/>
    <x v="33"/>
    <x v="36"/>
    <x v="934"/>
    <x v="0"/>
    <x v="57"/>
    <x v="2"/>
  </r>
  <r>
    <x v="57"/>
    <x v="16"/>
    <x v="2"/>
    <x v="2"/>
    <x v="0"/>
    <x v="0"/>
    <x v="33"/>
    <x v="93"/>
    <x v="759"/>
    <x v="0"/>
    <x v="57"/>
    <x v="2"/>
  </r>
  <r>
    <x v="57"/>
    <x v="47"/>
    <x v="2"/>
    <x v="2"/>
    <x v="0"/>
    <x v="0"/>
    <x v="33"/>
    <x v="68"/>
    <x v="759"/>
    <x v="0"/>
    <x v="57"/>
    <x v="2"/>
  </r>
  <r>
    <x v="57"/>
    <x v="118"/>
    <x v="2"/>
    <x v="2"/>
    <x v="0"/>
    <x v="0"/>
    <x v="33"/>
    <x v="69"/>
    <x v="899"/>
    <x v="0"/>
    <x v="57"/>
    <x v="2"/>
  </r>
  <r>
    <x v="57"/>
    <x v="107"/>
    <x v="2"/>
    <x v="2"/>
    <x v="0"/>
    <x v="0"/>
    <x v="33"/>
    <x v="158"/>
    <x v="874"/>
    <x v="0"/>
    <x v="57"/>
    <x v="2"/>
  </r>
  <r>
    <x v="57"/>
    <x v="144"/>
    <x v="2"/>
    <x v="2"/>
    <x v="0"/>
    <x v="0"/>
    <x v="33"/>
    <x v="162"/>
    <x v="859"/>
    <x v="0"/>
    <x v="57"/>
    <x v="2"/>
  </r>
  <r>
    <x v="57"/>
    <x v="84"/>
    <x v="2"/>
    <x v="2"/>
    <x v="0"/>
    <x v="0"/>
    <x v="33"/>
    <x v="203"/>
    <x v="759"/>
    <x v="0"/>
    <x v="57"/>
    <x v="2"/>
  </r>
  <r>
    <x v="57"/>
    <x v="2"/>
    <x v="2"/>
    <x v="2"/>
    <x v="0"/>
    <x v="0"/>
    <x v="33"/>
    <x v="140"/>
    <x v="759"/>
    <x v="0"/>
    <x v="57"/>
    <x v="2"/>
  </r>
  <r>
    <x v="57"/>
    <x v="110"/>
    <x v="2"/>
    <x v="2"/>
    <x v="0"/>
    <x v="0"/>
    <x v="33"/>
    <x v="171"/>
    <x v="146"/>
    <x v="0"/>
    <x v="57"/>
    <x v="2"/>
  </r>
  <r>
    <x v="57"/>
    <x v="129"/>
    <x v="2"/>
    <x v="2"/>
    <x v="0"/>
    <x v="0"/>
    <x v="33"/>
    <x v="204"/>
    <x v="146"/>
    <x v="0"/>
    <x v="57"/>
    <x v="2"/>
  </r>
  <r>
    <x v="57"/>
    <x v="111"/>
    <x v="2"/>
    <x v="2"/>
    <x v="0"/>
    <x v="0"/>
    <x v="33"/>
    <x v="75"/>
    <x v="874"/>
    <x v="0"/>
    <x v="57"/>
    <x v="2"/>
  </r>
  <r>
    <x v="57"/>
    <x v="146"/>
    <x v="6"/>
    <x v="6"/>
    <x v="0"/>
    <x v="0"/>
    <x v="33"/>
    <x v="172"/>
    <x v="934"/>
    <x v="0"/>
    <x v="57"/>
    <x v="2"/>
  </r>
  <r>
    <x v="57"/>
    <x v="65"/>
    <x v="6"/>
    <x v="6"/>
    <x v="0"/>
    <x v="0"/>
    <x v="33"/>
    <x v="190"/>
    <x v="874"/>
    <x v="0"/>
    <x v="57"/>
    <x v="2"/>
  </r>
  <r>
    <x v="57"/>
    <x v="36"/>
    <x v="6"/>
    <x v="6"/>
    <x v="0"/>
    <x v="0"/>
    <x v="33"/>
    <x v="94"/>
    <x v="146"/>
    <x v="0"/>
    <x v="57"/>
    <x v="2"/>
  </r>
  <r>
    <x v="57"/>
    <x v="87"/>
    <x v="6"/>
    <x v="6"/>
    <x v="0"/>
    <x v="0"/>
    <x v="33"/>
    <x v="189"/>
    <x v="146"/>
    <x v="0"/>
    <x v="57"/>
    <x v="2"/>
  </r>
  <r>
    <x v="57"/>
    <x v="71"/>
    <x v="6"/>
    <x v="6"/>
    <x v="0"/>
    <x v="0"/>
    <x v="33"/>
    <x v="37"/>
    <x v="759"/>
    <x v="0"/>
    <x v="57"/>
    <x v="2"/>
  </r>
  <r>
    <x v="57"/>
    <x v="163"/>
    <x v="6"/>
    <x v="6"/>
    <x v="0"/>
    <x v="0"/>
    <x v="33"/>
    <x v="195"/>
    <x v="759"/>
    <x v="0"/>
    <x v="57"/>
    <x v="2"/>
  </r>
  <r>
    <x v="57"/>
    <x v="169"/>
    <x v="6"/>
    <x v="6"/>
    <x v="0"/>
    <x v="0"/>
    <x v="33"/>
    <x v="249"/>
    <x v="934"/>
    <x v="0"/>
    <x v="57"/>
    <x v="2"/>
  </r>
  <r>
    <x v="57"/>
    <x v="134"/>
    <x v="6"/>
    <x v="6"/>
    <x v="0"/>
    <x v="0"/>
    <x v="33"/>
    <x v="226"/>
    <x v="899"/>
    <x v="0"/>
    <x v="57"/>
    <x v="2"/>
  </r>
  <r>
    <x v="57"/>
    <x v="11"/>
    <x v="6"/>
    <x v="6"/>
    <x v="0"/>
    <x v="0"/>
    <x v="33"/>
    <x v="91"/>
    <x v="146"/>
    <x v="0"/>
    <x v="57"/>
    <x v="2"/>
  </r>
  <r>
    <x v="57"/>
    <x v="96"/>
    <x v="6"/>
    <x v="6"/>
    <x v="0"/>
    <x v="0"/>
    <x v="33"/>
    <x v="165"/>
    <x v="146"/>
    <x v="0"/>
    <x v="57"/>
    <x v="2"/>
  </r>
  <r>
    <x v="57"/>
    <x v="137"/>
    <x v="6"/>
    <x v="6"/>
    <x v="0"/>
    <x v="0"/>
    <x v="33"/>
    <x v="102"/>
    <x v="934"/>
    <x v="0"/>
    <x v="57"/>
    <x v="2"/>
  </r>
  <r>
    <x v="57"/>
    <x v="26"/>
    <x v="3"/>
    <x v="3"/>
    <x v="0"/>
    <x v="0"/>
    <x v="33"/>
    <x v="115"/>
    <x v="934"/>
    <x v="0"/>
    <x v="57"/>
    <x v="2"/>
  </r>
  <r>
    <x v="57"/>
    <x v="23"/>
    <x v="3"/>
    <x v="3"/>
    <x v="0"/>
    <x v="0"/>
    <x v="33"/>
    <x v="221"/>
    <x v="874"/>
    <x v="0"/>
    <x v="57"/>
    <x v="2"/>
  </r>
  <r>
    <x v="57"/>
    <x v="49"/>
    <x v="3"/>
    <x v="3"/>
    <x v="0"/>
    <x v="0"/>
    <x v="33"/>
    <x v="244"/>
    <x v="146"/>
    <x v="0"/>
    <x v="57"/>
    <x v="2"/>
  </r>
  <r>
    <x v="57"/>
    <x v="19"/>
    <x v="3"/>
    <x v="3"/>
    <x v="0"/>
    <x v="0"/>
    <x v="33"/>
    <x v="62"/>
    <x v="759"/>
    <x v="0"/>
    <x v="57"/>
    <x v="2"/>
  </r>
  <r>
    <x v="57"/>
    <x v="108"/>
    <x v="3"/>
    <x v="3"/>
    <x v="0"/>
    <x v="0"/>
    <x v="33"/>
    <x v="63"/>
    <x v="759"/>
    <x v="0"/>
    <x v="57"/>
    <x v="2"/>
  </r>
  <r>
    <x v="57"/>
    <x v="10"/>
    <x v="3"/>
    <x v="3"/>
    <x v="0"/>
    <x v="0"/>
    <x v="33"/>
    <x v="123"/>
    <x v="146"/>
    <x v="0"/>
    <x v="57"/>
    <x v="2"/>
  </r>
  <r>
    <x v="57"/>
    <x v="135"/>
    <x v="3"/>
    <x v="3"/>
    <x v="0"/>
    <x v="0"/>
    <x v="33"/>
    <x v="149"/>
    <x v="765"/>
    <x v="0"/>
    <x v="57"/>
    <x v="2"/>
  </r>
  <r>
    <x v="57"/>
    <x v="43"/>
    <x v="3"/>
    <x v="3"/>
    <x v="0"/>
    <x v="0"/>
    <x v="33"/>
    <x v="71"/>
    <x v="874"/>
    <x v="0"/>
    <x v="57"/>
    <x v="2"/>
  </r>
  <r>
    <x v="57"/>
    <x v="75"/>
    <x v="3"/>
    <x v="3"/>
    <x v="0"/>
    <x v="0"/>
    <x v="33"/>
    <x v="220"/>
    <x v="1215"/>
    <x v="0"/>
    <x v="57"/>
    <x v="2"/>
  </r>
  <r>
    <x v="57"/>
    <x v="148"/>
    <x v="3"/>
    <x v="3"/>
    <x v="0"/>
    <x v="0"/>
    <x v="33"/>
    <x v="174"/>
    <x v="874"/>
    <x v="0"/>
    <x v="57"/>
    <x v="2"/>
  </r>
  <r>
    <x v="57"/>
    <x v="79"/>
    <x v="3"/>
    <x v="3"/>
    <x v="0"/>
    <x v="0"/>
    <x v="33"/>
    <x v="142"/>
    <x v="759"/>
    <x v="0"/>
    <x v="57"/>
    <x v="2"/>
  </r>
  <r>
    <x v="57"/>
    <x v="56"/>
    <x v="3"/>
    <x v="3"/>
    <x v="0"/>
    <x v="0"/>
    <x v="33"/>
    <x v="153"/>
    <x v="765"/>
    <x v="0"/>
    <x v="57"/>
    <x v="2"/>
  </r>
  <r>
    <x v="57"/>
    <x v="99"/>
    <x v="3"/>
    <x v="3"/>
    <x v="0"/>
    <x v="0"/>
    <x v="33"/>
    <x v="116"/>
    <x v="759"/>
    <x v="0"/>
    <x v="57"/>
    <x v="2"/>
  </r>
  <r>
    <x v="57"/>
    <x v="44"/>
    <x v="3"/>
    <x v="3"/>
    <x v="0"/>
    <x v="0"/>
    <x v="33"/>
    <x v="191"/>
    <x v="874"/>
    <x v="0"/>
    <x v="57"/>
    <x v="2"/>
  </r>
  <r>
    <x v="57"/>
    <x v="131"/>
    <x v="3"/>
    <x v="3"/>
    <x v="0"/>
    <x v="0"/>
    <x v="33"/>
    <x v="163"/>
    <x v="759"/>
    <x v="0"/>
    <x v="57"/>
    <x v="2"/>
  </r>
  <r>
    <x v="57"/>
    <x v="81"/>
    <x v="4"/>
    <x v="4"/>
    <x v="0"/>
    <x v="0"/>
    <x v="33"/>
    <x v="175"/>
    <x v="1132"/>
    <x v="0"/>
    <x v="57"/>
    <x v="2"/>
  </r>
  <r>
    <x v="57"/>
    <x v="132"/>
    <x v="4"/>
    <x v="4"/>
    <x v="0"/>
    <x v="0"/>
    <x v="33"/>
    <x v="95"/>
    <x v="765"/>
    <x v="0"/>
    <x v="57"/>
    <x v="2"/>
  </r>
  <r>
    <x v="57"/>
    <x v="162"/>
    <x v="4"/>
    <x v="4"/>
    <x v="0"/>
    <x v="0"/>
    <x v="33"/>
    <x v="192"/>
    <x v="759"/>
    <x v="0"/>
    <x v="57"/>
    <x v="2"/>
  </r>
  <r>
    <x v="57"/>
    <x v="12"/>
    <x v="4"/>
    <x v="4"/>
    <x v="0"/>
    <x v="0"/>
    <x v="33"/>
    <x v="247"/>
    <x v="765"/>
    <x v="0"/>
    <x v="57"/>
    <x v="2"/>
  </r>
  <r>
    <x v="57"/>
    <x v="50"/>
    <x v="4"/>
    <x v="4"/>
    <x v="0"/>
    <x v="0"/>
    <x v="33"/>
    <x v="77"/>
    <x v="759"/>
    <x v="0"/>
    <x v="57"/>
    <x v="2"/>
  </r>
  <r>
    <x v="57"/>
    <x v="89"/>
    <x v="4"/>
    <x v="4"/>
    <x v="0"/>
    <x v="0"/>
    <x v="33"/>
    <x v="154"/>
    <x v="765"/>
    <x v="0"/>
    <x v="57"/>
    <x v="2"/>
  </r>
  <r>
    <x v="57"/>
    <x v="165"/>
    <x v="4"/>
    <x v="4"/>
    <x v="0"/>
    <x v="0"/>
    <x v="33"/>
    <x v="205"/>
    <x v="1182"/>
    <x v="0"/>
    <x v="57"/>
    <x v="2"/>
  </r>
  <r>
    <x v="57"/>
    <x v="62"/>
    <x v="4"/>
    <x v="4"/>
    <x v="0"/>
    <x v="0"/>
    <x v="33"/>
    <x v="176"/>
    <x v="146"/>
    <x v="0"/>
    <x v="57"/>
    <x v="2"/>
  </r>
  <r>
    <x v="57"/>
    <x v="38"/>
    <x v="4"/>
    <x v="4"/>
    <x v="0"/>
    <x v="0"/>
    <x v="33"/>
    <x v="106"/>
    <x v="874"/>
    <x v="0"/>
    <x v="57"/>
    <x v="2"/>
  </r>
  <r>
    <x v="57"/>
    <x v="31"/>
    <x v="4"/>
    <x v="4"/>
    <x v="0"/>
    <x v="0"/>
    <x v="33"/>
    <x v="72"/>
    <x v="874"/>
    <x v="0"/>
    <x v="57"/>
    <x v="2"/>
  </r>
  <r>
    <x v="57"/>
    <x v="78"/>
    <x v="4"/>
    <x v="4"/>
    <x v="0"/>
    <x v="0"/>
    <x v="33"/>
    <x v="160"/>
    <x v="146"/>
    <x v="0"/>
    <x v="57"/>
    <x v="2"/>
  </r>
  <r>
    <x v="57"/>
    <x v="90"/>
    <x v="0"/>
    <x v="0"/>
    <x v="0"/>
    <x v="0"/>
    <x v="33"/>
    <x v="79"/>
    <x v="759"/>
    <x v="0"/>
    <x v="57"/>
    <x v="2"/>
  </r>
  <r>
    <x v="57"/>
    <x v="116"/>
    <x v="0"/>
    <x v="0"/>
    <x v="0"/>
    <x v="0"/>
    <x v="33"/>
    <x v="64"/>
    <x v="952"/>
    <x v="0"/>
    <x v="57"/>
    <x v="2"/>
  </r>
  <r>
    <x v="57"/>
    <x v="119"/>
    <x v="0"/>
    <x v="0"/>
    <x v="0"/>
    <x v="0"/>
    <x v="33"/>
    <x v="96"/>
    <x v="1132"/>
    <x v="0"/>
    <x v="57"/>
    <x v="2"/>
  </r>
  <r>
    <x v="57"/>
    <x v="0"/>
    <x v="0"/>
    <x v="0"/>
    <x v="0"/>
    <x v="0"/>
    <x v="33"/>
    <x v="197"/>
    <x v="759"/>
    <x v="0"/>
    <x v="57"/>
    <x v="2"/>
  </r>
  <r>
    <x v="57"/>
    <x v="121"/>
    <x v="0"/>
    <x v="0"/>
    <x v="0"/>
    <x v="0"/>
    <x v="33"/>
    <x v="80"/>
    <x v="146"/>
    <x v="0"/>
    <x v="57"/>
    <x v="2"/>
  </r>
  <r>
    <x v="57"/>
    <x v="100"/>
    <x v="0"/>
    <x v="0"/>
    <x v="0"/>
    <x v="0"/>
    <x v="33"/>
    <x v="73"/>
    <x v="765"/>
    <x v="0"/>
    <x v="57"/>
    <x v="2"/>
  </r>
  <r>
    <x v="57"/>
    <x v="53"/>
    <x v="0"/>
    <x v="0"/>
    <x v="0"/>
    <x v="0"/>
    <x v="33"/>
    <x v="144"/>
    <x v="934"/>
    <x v="0"/>
    <x v="57"/>
    <x v="2"/>
  </r>
  <r>
    <x v="57"/>
    <x v="45"/>
    <x v="0"/>
    <x v="0"/>
    <x v="0"/>
    <x v="0"/>
    <x v="33"/>
    <x v="180"/>
    <x v="899"/>
    <x v="0"/>
    <x v="57"/>
    <x v="2"/>
  </r>
  <r>
    <x v="57"/>
    <x v="46"/>
    <x v="0"/>
    <x v="0"/>
    <x v="0"/>
    <x v="0"/>
    <x v="33"/>
    <x v="155"/>
    <x v="759"/>
    <x v="0"/>
    <x v="57"/>
    <x v="2"/>
  </r>
  <r>
    <x v="57"/>
    <x v="92"/>
    <x v="0"/>
    <x v="0"/>
    <x v="0"/>
    <x v="0"/>
    <x v="33"/>
    <x v="109"/>
    <x v="146"/>
    <x v="0"/>
    <x v="57"/>
    <x v="2"/>
  </r>
  <r>
    <x v="57"/>
    <x v="142"/>
    <x v="0"/>
    <x v="0"/>
    <x v="0"/>
    <x v="0"/>
    <x v="33"/>
    <x v="119"/>
    <x v="759"/>
    <x v="0"/>
    <x v="57"/>
    <x v="2"/>
  </r>
  <r>
    <x v="57"/>
    <x v="136"/>
    <x v="0"/>
    <x v="0"/>
    <x v="0"/>
    <x v="0"/>
    <x v="33"/>
    <x v="100"/>
    <x v="146"/>
    <x v="0"/>
    <x v="57"/>
    <x v="2"/>
  </r>
  <r>
    <x v="57"/>
    <x v="166"/>
    <x v="0"/>
    <x v="0"/>
    <x v="0"/>
    <x v="0"/>
    <x v="33"/>
    <x v="217"/>
    <x v="146"/>
    <x v="0"/>
    <x v="57"/>
    <x v="2"/>
  </r>
  <r>
    <x v="57"/>
    <x v="76"/>
    <x v="5"/>
    <x v="5"/>
    <x v="0"/>
    <x v="0"/>
    <x v="33"/>
    <x v="182"/>
    <x v="848"/>
    <x v="0"/>
    <x v="57"/>
    <x v="2"/>
  </r>
  <r>
    <x v="57"/>
    <x v="115"/>
    <x v="5"/>
    <x v="5"/>
    <x v="0"/>
    <x v="0"/>
    <x v="33"/>
    <x v="213"/>
    <x v="765"/>
    <x v="0"/>
    <x v="57"/>
    <x v="2"/>
  </r>
  <r>
    <x v="57"/>
    <x v="13"/>
    <x v="5"/>
    <x v="5"/>
    <x v="0"/>
    <x v="0"/>
    <x v="33"/>
    <x v="120"/>
    <x v="899"/>
    <x v="0"/>
    <x v="57"/>
    <x v="2"/>
  </r>
  <r>
    <x v="57"/>
    <x v="72"/>
    <x v="5"/>
    <x v="5"/>
    <x v="0"/>
    <x v="0"/>
    <x v="33"/>
    <x v="38"/>
    <x v="759"/>
    <x v="0"/>
    <x v="57"/>
    <x v="2"/>
  </r>
  <r>
    <x v="57"/>
    <x v="125"/>
    <x v="5"/>
    <x v="5"/>
    <x v="0"/>
    <x v="0"/>
    <x v="33"/>
    <x v="82"/>
    <x v="759"/>
    <x v="0"/>
    <x v="57"/>
    <x v="2"/>
  </r>
  <r>
    <x v="57"/>
    <x v="168"/>
    <x v="5"/>
    <x v="5"/>
    <x v="0"/>
    <x v="0"/>
    <x v="33"/>
    <x v="225"/>
    <x v="759"/>
    <x v="0"/>
    <x v="57"/>
    <x v="2"/>
  </r>
  <r>
    <x v="57"/>
    <x v="77"/>
    <x v="5"/>
    <x v="5"/>
    <x v="0"/>
    <x v="0"/>
    <x v="33"/>
    <x v="156"/>
    <x v="874"/>
    <x v="0"/>
    <x v="57"/>
    <x v="2"/>
  </r>
  <r>
    <x v="57"/>
    <x v="139"/>
    <x v="5"/>
    <x v="5"/>
    <x v="0"/>
    <x v="0"/>
    <x v="33"/>
    <x v="110"/>
    <x v="1215"/>
    <x v="0"/>
    <x v="57"/>
    <x v="2"/>
  </r>
  <r>
    <x v="57"/>
    <x v="63"/>
    <x v="5"/>
    <x v="5"/>
    <x v="0"/>
    <x v="0"/>
    <x v="33"/>
    <x v="111"/>
    <x v="146"/>
    <x v="0"/>
    <x v="57"/>
    <x v="2"/>
  </r>
  <r>
    <x v="57"/>
    <x v="141"/>
    <x v="5"/>
    <x v="5"/>
    <x v="0"/>
    <x v="0"/>
    <x v="33"/>
    <x v="185"/>
    <x v="874"/>
    <x v="0"/>
    <x v="57"/>
    <x v="2"/>
  </r>
  <r>
    <x v="57"/>
    <x v="123"/>
    <x v="5"/>
    <x v="5"/>
    <x v="0"/>
    <x v="0"/>
    <x v="33"/>
    <x v="74"/>
    <x v="759"/>
    <x v="0"/>
    <x v="57"/>
    <x v="2"/>
  </r>
  <r>
    <x v="57"/>
    <x v="54"/>
    <x v="5"/>
    <x v="5"/>
    <x v="0"/>
    <x v="0"/>
    <x v="33"/>
    <x v="246"/>
    <x v="146"/>
    <x v="0"/>
    <x v="57"/>
    <x v="2"/>
  </r>
  <r>
    <x v="57"/>
    <x v="150"/>
    <x v="5"/>
    <x v="5"/>
    <x v="0"/>
    <x v="0"/>
    <x v="33"/>
    <x v="214"/>
    <x v="759"/>
    <x v="0"/>
    <x v="57"/>
    <x v="2"/>
  </r>
  <r>
    <x v="57"/>
    <x v="20"/>
    <x v="5"/>
    <x v="5"/>
    <x v="0"/>
    <x v="0"/>
    <x v="33"/>
    <x v="45"/>
    <x v="146"/>
    <x v="0"/>
    <x v="57"/>
    <x v="2"/>
  </r>
  <r>
    <x v="57"/>
    <x v="40"/>
    <x v="1"/>
    <x v="1"/>
    <x v="0"/>
    <x v="0"/>
    <x v="33"/>
    <x v="125"/>
    <x v="1132"/>
    <x v="0"/>
    <x v="57"/>
    <x v="2"/>
  </r>
  <r>
    <x v="57"/>
    <x v="95"/>
    <x v="1"/>
    <x v="1"/>
    <x v="0"/>
    <x v="0"/>
    <x v="33"/>
    <x v="97"/>
    <x v="874"/>
    <x v="0"/>
    <x v="57"/>
    <x v="2"/>
  </r>
  <r>
    <x v="57"/>
    <x v="151"/>
    <x v="1"/>
    <x v="1"/>
    <x v="0"/>
    <x v="0"/>
    <x v="33"/>
    <x v="166"/>
    <x v="146"/>
    <x v="0"/>
    <x v="57"/>
    <x v="2"/>
  </r>
  <r>
    <x v="57"/>
    <x v="41"/>
    <x v="1"/>
    <x v="1"/>
    <x v="0"/>
    <x v="0"/>
    <x v="33"/>
    <x v="113"/>
    <x v="899"/>
    <x v="0"/>
    <x v="57"/>
    <x v="2"/>
  </r>
  <r>
    <x v="57"/>
    <x v="127"/>
    <x v="1"/>
    <x v="1"/>
    <x v="0"/>
    <x v="0"/>
    <x v="33"/>
    <x v="85"/>
    <x v="146"/>
    <x v="0"/>
    <x v="57"/>
    <x v="2"/>
  </r>
  <r>
    <x v="57"/>
    <x v="42"/>
    <x v="1"/>
    <x v="1"/>
    <x v="0"/>
    <x v="0"/>
    <x v="33"/>
    <x v="167"/>
    <x v="859"/>
    <x v="0"/>
    <x v="57"/>
    <x v="2"/>
  </r>
  <r>
    <x v="57"/>
    <x v="8"/>
    <x v="1"/>
    <x v="1"/>
    <x v="0"/>
    <x v="0"/>
    <x v="33"/>
    <x v="187"/>
    <x v="874"/>
    <x v="0"/>
    <x v="57"/>
    <x v="2"/>
  </r>
  <r>
    <x v="57"/>
    <x v="101"/>
    <x v="1"/>
    <x v="1"/>
    <x v="0"/>
    <x v="0"/>
    <x v="33"/>
    <x v="207"/>
    <x v="759"/>
    <x v="0"/>
    <x v="57"/>
    <x v="2"/>
  </r>
  <r>
    <x v="57"/>
    <x v="152"/>
    <x v="1"/>
    <x v="1"/>
    <x v="0"/>
    <x v="0"/>
    <x v="33"/>
    <x v="194"/>
    <x v="146"/>
    <x v="0"/>
    <x v="57"/>
    <x v="2"/>
  </r>
  <r>
    <x v="57"/>
    <x v="1"/>
    <x v="1"/>
    <x v="1"/>
    <x v="0"/>
    <x v="0"/>
    <x v="1"/>
    <x v="1"/>
    <x v="1"/>
    <x v="419"/>
    <x v="57"/>
    <x v="2"/>
  </r>
  <r>
    <x v="57"/>
    <x v="118"/>
    <x v="2"/>
    <x v="2"/>
    <x v="0"/>
    <x v="1"/>
    <x v="33"/>
    <x v="69"/>
    <x v="874"/>
    <x v="0"/>
    <x v="57"/>
    <x v="2"/>
  </r>
  <r>
    <x v="57"/>
    <x v="107"/>
    <x v="2"/>
    <x v="2"/>
    <x v="0"/>
    <x v="1"/>
    <x v="33"/>
    <x v="158"/>
    <x v="874"/>
    <x v="0"/>
    <x v="57"/>
    <x v="2"/>
  </r>
  <r>
    <x v="57"/>
    <x v="84"/>
    <x v="2"/>
    <x v="2"/>
    <x v="0"/>
    <x v="1"/>
    <x v="33"/>
    <x v="203"/>
    <x v="874"/>
    <x v="0"/>
    <x v="57"/>
    <x v="2"/>
  </r>
  <r>
    <x v="57"/>
    <x v="2"/>
    <x v="2"/>
    <x v="2"/>
    <x v="0"/>
    <x v="1"/>
    <x v="33"/>
    <x v="140"/>
    <x v="874"/>
    <x v="0"/>
    <x v="57"/>
    <x v="2"/>
  </r>
  <r>
    <x v="57"/>
    <x v="110"/>
    <x v="2"/>
    <x v="2"/>
    <x v="0"/>
    <x v="1"/>
    <x v="33"/>
    <x v="171"/>
    <x v="874"/>
    <x v="0"/>
    <x v="57"/>
    <x v="2"/>
  </r>
  <r>
    <x v="57"/>
    <x v="71"/>
    <x v="6"/>
    <x v="6"/>
    <x v="0"/>
    <x v="1"/>
    <x v="33"/>
    <x v="37"/>
    <x v="874"/>
    <x v="0"/>
    <x v="57"/>
    <x v="2"/>
  </r>
  <r>
    <x v="57"/>
    <x v="134"/>
    <x v="6"/>
    <x v="6"/>
    <x v="0"/>
    <x v="1"/>
    <x v="33"/>
    <x v="226"/>
    <x v="874"/>
    <x v="0"/>
    <x v="57"/>
    <x v="2"/>
  </r>
  <r>
    <x v="57"/>
    <x v="96"/>
    <x v="6"/>
    <x v="6"/>
    <x v="0"/>
    <x v="1"/>
    <x v="33"/>
    <x v="165"/>
    <x v="874"/>
    <x v="0"/>
    <x v="57"/>
    <x v="2"/>
  </r>
  <r>
    <x v="57"/>
    <x v="137"/>
    <x v="6"/>
    <x v="6"/>
    <x v="0"/>
    <x v="1"/>
    <x v="33"/>
    <x v="102"/>
    <x v="146"/>
    <x v="0"/>
    <x v="57"/>
    <x v="2"/>
  </r>
  <r>
    <x v="57"/>
    <x v="23"/>
    <x v="3"/>
    <x v="3"/>
    <x v="0"/>
    <x v="1"/>
    <x v="33"/>
    <x v="221"/>
    <x v="874"/>
    <x v="0"/>
    <x v="57"/>
    <x v="2"/>
  </r>
  <r>
    <x v="57"/>
    <x v="19"/>
    <x v="3"/>
    <x v="3"/>
    <x v="0"/>
    <x v="1"/>
    <x v="33"/>
    <x v="62"/>
    <x v="874"/>
    <x v="0"/>
    <x v="57"/>
    <x v="2"/>
  </r>
  <r>
    <x v="57"/>
    <x v="79"/>
    <x v="3"/>
    <x v="3"/>
    <x v="0"/>
    <x v="1"/>
    <x v="33"/>
    <x v="142"/>
    <x v="874"/>
    <x v="0"/>
    <x v="57"/>
    <x v="2"/>
  </r>
  <r>
    <x v="57"/>
    <x v="56"/>
    <x v="3"/>
    <x v="3"/>
    <x v="0"/>
    <x v="1"/>
    <x v="33"/>
    <x v="153"/>
    <x v="874"/>
    <x v="0"/>
    <x v="57"/>
    <x v="2"/>
  </r>
  <r>
    <x v="57"/>
    <x v="62"/>
    <x v="4"/>
    <x v="4"/>
    <x v="0"/>
    <x v="1"/>
    <x v="33"/>
    <x v="176"/>
    <x v="874"/>
    <x v="0"/>
    <x v="57"/>
    <x v="2"/>
  </r>
  <r>
    <x v="57"/>
    <x v="90"/>
    <x v="0"/>
    <x v="0"/>
    <x v="0"/>
    <x v="1"/>
    <x v="33"/>
    <x v="79"/>
    <x v="874"/>
    <x v="0"/>
    <x v="57"/>
    <x v="2"/>
  </r>
  <r>
    <x v="57"/>
    <x v="116"/>
    <x v="0"/>
    <x v="0"/>
    <x v="0"/>
    <x v="1"/>
    <x v="33"/>
    <x v="64"/>
    <x v="874"/>
    <x v="0"/>
    <x v="57"/>
    <x v="2"/>
  </r>
  <r>
    <x v="57"/>
    <x v="100"/>
    <x v="0"/>
    <x v="0"/>
    <x v="0"/>
    <x v="1"/>
    <x v="33"/>
    <x v="73"/>
    <x v="874"/>
    <x v="0"/>
    <x v="57"/>
    <x v="2"/>
  </r>
  <r>
    <x v="57"/>
    <x v="142"/>
    <x v="0"/>
    <x v="0"/>
    <x v="0"/>
    <x v="1"/>
    <x v="33"/>
    <x v="119"/>
    <x v="874"/>
    <x v="0"/>
    <x v="57"/>
    <x v="2"/>
  </r>
  <r>
    <x v="57"/>
    <x v="76"/>
    <x v="5"/>
    <x v="5"/>
    <x v="0"/>
    <x v="1"/>
    <x v="33"/>
    <x v="182"/>
    <x v="874"/>
    <x v="0"/>
    <x v="57"/>
    <x v="2"/>
  </r>
  <r>
    <x v="57"/>
    <x v="115"/>
    <x v="5"/>
    <x v="5"/>
    <x v="0"/>
    <x v="1"/>
    <x v="33"/>
    <x v="213"/>
    <x v="874"/>
    <x v="0"/>
    <x v="57"/>
    <x v="2"/>
  </r>
  <r>
    <x v="57"/>
    <x v="125"/>
    <x v="5"/>
    <x v="5"/>
    <x v="0"/>
    <x v="1"/>
    <x v="33"/>
    <x v="82"/>
    <x v="874"/>
    <x v="0"/>
    <x v="57"/>
    <x v="2"/>
  </r>
  <r>
    <x v="57"/>
    <x v="54"/>
    <x v="5"/>
    <x v="5"/>
    <x v="0"/>
    <x v="1"/>
    <x v="33"/>
    <x v="246"/>
    <x v="874"/>
    <x v="0"/>
    <x v="57"/>
    <x v="2"/>
  </r>
  <r>
    <x v="57"/>
    <x v="40"/>
    <x v="1"/>
    <x v="1"/>
    <x v="0"/>
    <x v="1"/>
    <x v="33"/>
    <x v="125"/>
    <x v="759"/>
    <x v="0"/>
    <x v="57"/>
    <x v="2"/>
  </r>
  <r>
    <x v="57"/>
    <x v="1"/>
    <x v="1"/>
    <x v="1"/>
    <x v="0"/>
    <x v="1"/>
    <x v="1"/>
    <x v="1"/>
    <x v="1"/>
    <x v="367"/>
    <x v="57"/>
    <x v="2"/>
  </r>
  <r>
    <x v="58"/>
    <x v="139"/>
    <x v="5"/>
    <x v="5"/>
    <x v="0"/>
    <x v="2"/>
    <x v="33"/>
    <x v="110"/>
    <x v="782"/>
    <x v="0"/>
    <x v="58"/>
    <x v="2"/>
  </r>
  <r>
    <x v="58"/>
    <x v="1"/>
    <x v="1"/>
    <x v="1"/>
    <x v="0"/>
    <x v="2"/>
    <x v="1"/>
    <x v="1"/>
    <x v="1"/>
    <x v="420"/>
    <x v="58"/>
    <x v="2"/>
  </r>
  <r>
    <x v="60"/>
    <x v="102"/>
    <x v="6"/>
    <x v="6"/>
    <x v="0"/>
    <x v="0"/>
    <x v="33"/>
    <x v="141"/>
    <x v="874"/>
    <x v="0"/>
    <x v="60"/>
    <x v="2"/>
  </r>
  <r>
    <x v="60"/>
    <x v="1"/>
    <x v="1"/>
    <x v="1"/>
    <x v="0"/>
    <x v="0"/>
    <x v="1"/>
    <x v="1"/>
    <x v="1"/>
    <x v="216"/>
    <x v="60"/>
    <x v="2"/>
  </r>
  <r>
    <x v="62"/>
    <x v="71"/>
    <x v="6"/>
    <x v="6"/>
    <x v="0"/>
    <x v="2"/>
    <x v="32"/>
    <x v="37"/>
    <x v="1526"/>
    <x v="0"/>
    <x v="62"/>
    <x v="2"/>
  </r>
  <r>
    <x v="62"/>
    <x v="115"/>
    <x v="5"/>
    <x v="5"/>
    <x v="0"/>
    <x v="2"/>
    <x v="32"/>
    <x v="213"/>
    <x v="1527"/>
    <x v="0"/>
    <x v="62"/>
    <x v="2"/>
  </r>
  <r>
    <x v="62"/>
    <x v="1"/>
    <x v="1"/>
    <x v="1"/>
    <x v="0"/>
    <x v="2"/>
    <x v="1"/>
    <x v="1"/>
    <x v="1"/>
    <x v="421"/>
    <x v="62"/>
    <x v="2"/>
  </r>
  <r>
    <x v="63"/>
    <x v="64"/>
    <x v="2"/>
    <x v="2"/>
    <x v="0"/>
    <x v="2"/>
    <x v="32"/>
    <x v="139"/>
    <x v="1528"/>
    <x v="0"/>
    <x v="63"/>
    <x v="2"/>
  </r>
  <r>
    <x v="63"/>
    <x v="23"/>
    <x v="3"/>
    <x v="3"/>
    <x v="0"/>
    <x v="2"/>
    <x v="32"/>
    <x v="221"/>
    <x v="1529"/>
    <x v="0"/>
    <x v="63"/>
    <x v="2"/>
  </r>
  <r>
    <x v="63"/>
    <x v="43"/>
    <x v="3"/>
    <x v="3"/>
    <x v="0"/>
    <x v="2"/>
    <x v="32"/>
    <x v="71"/>
    <x v="1530"/>
    <x v="0"/>
    <x v="63"/>
    <x v="2"/>
  </r>
  <r>
    <x v="63"/>
    <x v="159"/>
    <x v="0"/>
    <x v="0"/>
    <x v="0"/>
    <x v="2"/>
    <x v="32"/>
    <x v="177"/>
    <x v="1336"/>
    <x v="0"/>
    <x v="63"/>
    <x v="2"/>
  </r>
  <r>
    <x v="63"/>
    <x v="117"/>
    <x v="0"/>
    <x v="0"/>
    <x v="0"/>
    <x v="2"/>
    <x v="32"/>
    <x v="65"/>
    <x v="1531"/>
    <x v="0"/>
    <x v="63"/>
    <x v="2"/>
  </r>
  <r>
    <x v="63"/>
    <x v="155"/>
    <x v="1"/>
    <x v="1"/>
    <x v="0"/>
    <x v="2"/>
    <x v="32"/>
    <x v="145"/>
    <x v="1532"/>
    <x v="0"/>
    <x v="63"/>
    <x v="2"/>
  </r>
  <r>
    <x v="63"/>
    <x v="1"/>
    <x v="1"/>
    <x v="1"/>
    <x v="0"/>
    <x v="2"/>
    <x v="1"/>
    <x v="1"/>
    <x v="1"/>
    <x v="422"/>
    <x v="63"/>
    <x v="2"/>
  </r>
  <r>
    <x v="64"/>
    <x v="1"/>
    <x v="1"/>
    <x v="1"/>
    <x v="0"/>
    <x v="2"/>
    <x v="1"/>
    <x v="1"/>
    <x v="1"/>
    <x v="423"/>
    <x v="64"/>
    <x v="2"/>
  </r>
  <r>
    <x v="65"/>
    <x v="10"/>
    <x v="3"/>
    <x v="3"/>
    <x v="0"/>
    <x v="2"/>
    <x v="33"/>
    <x v="123"/>
    <x v="1533"/>
    <x v="0"/>
    <x v="65"/>
    <x v="2"/>
  </r>
  <r>
    <x v="65"/>
    <x v="135"/>
    <x v="3"/>
    <x v="3"/>
    <x v="0"/>
    <x v="2"/>
    <x v="32"/>
    <x v="149"/>
    <x v="1533"/>
    <x v="0"/>
    <x v="65"/>
    <x v="2"/>
  </r>
  <r>
    <x v="65"/>
    <x v="150"/>
    <x v="5"/>
    <x v="5"/>
    <x v="0"/>
    <x v="2"/>
    <x v="32"/>
    <x v="214"/>
    <x v="1534"/>
    <x v="0"/>
    <x v="65"/>
    <x v="2"/>
  </r>
  <r>
    <x v="65"/>
    <x v="101"/>
    <x v="1"/>
    <x v="1"/>
    <x v="0"/>
    <x v="2"/>
    <x v="32"/>
    <x v="207"/>
    <x v="1535"/>
    <x v="0"/>
    <x v="65"/>
    <x v="2"/>
  </r>
  <r>
    <x v="65"/>
    <x v="128"/>
    <x v="1"/>
    <x v="1"/>
    <x v="0"/>
    <x v="2"/>
    <x v="32"/>
    <x v="164"/>
    <x v="1536"/>
    <x v="0"/>
    <x v="65"/>
    <x v="2"/>
  </r>
  <r>
    <x v="65"/>
    <x v="1"/>
    <x v="1"/>
    <x v="1"/>
    <x v="0"/>
    <x v="2"/>
    <x v="1"/>
    <x v="1"/>
    <x v="1"/>
    <x v="424"/>
    <x v="65"/>
    <x v="2"/>
  </r>
  <r>
    <x v="65"/>
    <x v="87"/>
    <x v="6"/>
    <x v="6"/>
    <x v="0"/>
    <x v="0"/>
    <x v="33"/>
    <x v="189"/>
    <x v="874"/>
    <x v="0"/>
    <x v="65"/>
    <x v="2"/>
  </r>
  <r>
    <x v="65"/>
    <x v="1"/>
    <x v="1"/>
    <x v="1"/>
    <x v="0"/>
    <x v="0"/>
    <x v="1"/>
    <x v="1"/>
    <x v="1"/>
    <x v="216"/>
    <x v="65"/>
    <x v="2"/>
  </r>
  <r>
    <x v="66"/>
    <x v="64"/>
    <x v="2"/>
    <x v="2"/>
    <x v="0"/>
    <x v="2"/>
    <x v="32"/>
    <x v="139"/>
    <x v="493"/>
    <x v="0"/>
    <x v="66"/>
    <x v="2"/>
  </r>
  <r>
    <x v="66"/>
    <x v="43"/>
    <x v="3"/>
    <x v="3"/>
    <x v="0"/>
    <x v="2"/>
    <x v="32"/>
    <x v="71"/>
    <x v="1286"/>
    <x v="0"/>
    <x v="66"/>
    <x v="2"/>
  </r>
  <r>
    <x v="66"/>
    <x v="68"/>
    <x v="4"/>
    <x v="4"/>
    <x v="0"/>
    <x v="2"/>
    <x v="32"/>
    <x v="222"/>
    <x v="1537"/>
    <x v="0"/>
    <x v="66"/>
    <x v="2"/>
  </r>
  <r>
    <x v="66"/>
    <x v="160"/>
    <x v="0"/>
    <x v="0"/>
    <x v="0"/>
    <x v="2"/>
    <x v="32"/>
    <x v="179"/>
    <x v="1538"/>
    <x v="0"/>
    <x v="66"/>
    <x v="2"/>
  </r>
  <r>
    <x v="66"/>
    <x v="41"/>
    <x v="1"/>
    <x v="1"/>
    <x v="0"/>
    <x v="2"/>
    <x v="32"/>
    <x v="113"/>
    <x v="1539"/>
    <x v="0"/>
    <x v="66"/>
    <x v="2"/>
  </r>
  <r>
    <x v="66"/>
    <x v="1"/>
    <x v="1"/>
    <x v="1"/>
    <x v="0"/>
    <x v="2"/>
    <x v="1"/>
    <x v="1"/>
    <x v="1"/>
    <x v="425"/>
    <x v="66"/>
    <x v="2"/>
  </r>
  <r>
    <x v="67"/>
    <x v="144"/>
    <x v="2"/>
    <x v="2"/>
    <x v="0"/>
    <x v="2"/>
    <x v="33"/>
    <x v="162"/>
    <x v="1540"/>
    <x v="0"/>
    <x v="67"/>
    <x v="2"/>
  </r>
  <r>
    <x v="67"/>
    <x v="65"/>
    <x v="6"/>
    <x v="6"/>
    <x v="0"/>
    <x v="2"/>
    <x v="32"/>
    <x v="190"/>
    <x v="1311"/>
    <x v="0"/>
    <x v="67"/>
    <x v="2"/>
  </r>
  <r>
    <x v="67"/>
    <x v="108"/>
    <x v="3"/>
    <x v="3"/>
    <x v="0"/>
    <x v="2"/>
    <x v="32"/>
    <x v="63"/>
    <x v="1541"/>
    <x v="0"/>
    <x v="67"/>
    <x v="2"/>
  </r>
  <r>
    <x v="67"/>
    <x v="79"/>
    <x v="3"/>
    <x v="3"/>
    <x v="0"/>
    <x v="2"/>
    <x v="32"/>
    <x v="142"/>
    <x v="1542"/>
    <x v="0"/>
    <x v="67"/>
    <x v="2"/>
  </r>
  <r>
    <x v="67"/>
    <x v="50"/>
    <x v="4"/>
    <x v="4"/>
    <x v="0"/>
    <x v="2"/>
    <x v="32"/>
    <x v="77"/>
    <x v="1543"/>
    <x v="0"/>
    <x v="67"/>
    <x v="2"/>
  </r>
  <r>
    <x v="67"/>
    <x v="117"/>
    <x v="0"/>
    <x v="0"/>
    <x v="0"/>
    <x v="2"/>
    <x v="32"/>
    <x v="65"/>
    <x v="1544"/>
    <x v="0"/>
    <x v="67"/>
    <x v="2"/>
  </r>
  <r>
    <x v="67"/>
    <x v="115"/>
    <x v="5"/>
    <x v="5"/>
    <x v="0"/>
    <x v="2"/>
    <x v="32"/>
    <x v="213"/>
    <x v="1545"/>
    <x v="0"/>
    <x v="67"/>
    <x v="2"/>
  </r>
  <r>
    <x v="67"/>
    <x v="13"/>
    <x v="5"/>
    <x v="5"/>
    <x v="0"/>
    <x v="2"/>
    <x v="32"/>
    <x v="120"/>
    <x v="1546"/>
    <x v="0"/>
    <x v="67"/>
    <x v="2"/>
  </r>
  <r>
    <x v="67"/>
    <x v="77"/>
    <x v="5"/>
    <x v="5"/>
    <x v="0"/>
    <x v="2"/>
    <x v="32"/>
    <x v="156"/>
    <x v="1547"/>
    <x v="0"/>
    <x v="67"/>
    <x v="2"/>
  </r>
  <r>
    <x v="67"/>
    <x v="1"/>
    <x v="1"/>
    <x v="1"/>
    <x v="0"/>
    <x v="2"/>
    <x v="1"/>
    <x v="1"/>
    <x v="1"/>
    <x v="426"/>
    <x v="67"/>
    <x v="2"/>
  </r>
  <r>
    <x v="67"/>
    <x v="129"/>
    <x v="2"/>
    <x v="2"/>
    <x v="0"/>
    <x v="1"/>
    <x v="33"/>
    <x v="204"/>
    <x v="874"/>
    <x v="0"/>
    <x v="67"/>
    <x v="2"/>
  </r>
  <r>
    <x v="67"/>
    <x v="1"/>
    <x v="1"/>
    <x v="1"/>
    <x v="0"/>
    <x v="1"/>
    <x v="1"/>
    <x v="1"/>
    <x v="1"/>
    <x v="216"/>
    <x v="67"/>
    <x v="2"/>
  </r>
  <r>
    <x v="0"/>
    <x v="160"/>
    <x v="0"/>
    <x v="0"/>
    <x v="0"/>
    <x v="2"/>
    <x v="37"/>
    <x v="179"/>
    <x v="1548"/>
    <x v="0"/>
    <x v="0"/>
    <x v="3"/>
  </r>
  <r>
    <x v="0"/>
    <x v="1"/>
    <x v="1"/>
    <x v="1"/>
    <x v="0"/>
    <x v="2"/>
    <x v="1"/>
    <x v="1"/>
    <x v="1"/>
    <x v="427"/>
    <x v="0"/>
    <x v="3"/>
  </r>
  <r>
    <x v="3"/>
    <x v="1"/>
    <x v="1"/>
    <x v="1"/>
    <x v="0"/>
    <x v="2"/>
    <x v="1"/>
    <x v="1"/>
    <x v="1"/>
    <x v="221"/>
    <x v="3"/>
    <x v="3"/>
  </r>
  <r>
    <x v="6"/>
    <x v="58"/>
    <x v="1"/>
    <x v="1"/>
    <x v="0"/>
    <x v="2"/>
    <x v="37"/>
    <x v="84"/>
    <x v="1549"/>
    <x v="0"/>
    <x v="6"/>
    <x v="3"/>
  </r>
  <r>
    <x v="6"/>
    <x v="1"/>
    <x v="1"/>
    <x v="1"/>
    <x v="0"/>
    <x v="2"/>
    <x v="1"/>
    <x v="1"/>
    <x v="1"/>
    <x v="428"/>
    <x v="6"/>
    <x v="3"/>
  </r>
  <r>
    <x v="7"/>
    <x v="22"/>
    <x v="1"/>
    <x v="1"/>
    <x v="0"/>
    <x v="2"/>
    <x v="37"/>
    <x v="211"/>
    <x v="1550"/>
    <x v="0"/>
    <x v="7"/>
    <x v="3"/>
  </r>
  <r>
    <x v="7"/>
    <x v="1"/>
    <x v="1"/>
    <x v="1"/>
    <x v="0"/>
    <x v="2"/>
    <x v="1"/>
    <x v="1"/>
    <x v="1"/>
    <x v="429"/>
    <x v="7"/>
    <x v="3"/>
  </r>
  <r>
    <x v="8"/>
    <x v="55"/>
    <x v="1"/>
    <x v="1"/>
    <x v="0"/>
    <x v="2"/>
    <x v="37"/>
    <x v="188"/>
    <x v="1129"/>
    <x v="0"/>
    <x v="8"/>
    <x v="3"/>
  </r>
  <r>
    <x v="8"/>
    <x v="1"/>
    <x v="1"/>
    <x v="1"/>
    <x v="0"/>
    <x v="2"/>
    <x v="1"/>
    <x v="1"/>
    <x v="1"/>
    <x v="430"/>
    <x v="8"/>
    <x v="3"/>
  </r>
  <r>
    <x v="70"/>
    <x v="22"/>
    <x v="1"/>
    <x v="1"/>
    <x v="0"/>
    <x v="2"/>
    <x v="37"/>
    <x v="211"/>
    <x v="1551"/>
    <x v="0"/>
    <x v="70"/>
    <x v="3"/>
  </r>
  <r>
    <x v="70"/>
    <x v="1"/>
    <x v="1"/>
    <x v="1"/>
    <x v="0"/>
    <x v="2"/>
    <x v="1"/>
    <x v="1"/>
    <x v="1"/>
    <x v="431"/>
    <x v="70"/>
    <x v="3"/>
  </r>
  <r>
    <x v="12"/>
    <x v="41"/>
    <x v="1"/>
    <x v="1"/>
    <x v="0"/>
    <x v="2"/>
    <x v="37"/>
    <x v="113"/>
    <x v="1552"/>
    <x v="0"/>
    <x v="12"/>
    <x v="3"/>
  </r>
  <r>
    <x v="12"/>
    <x v="1"/>
    <x v="1"/>
    <x v="1"/>
    <x v="0"/>
    <x v="2"/>
    <x v="1"/>
    <x v="1"/>
    <x v="1"/>
    <x v="432"/>
    <x v="12"/>
    <x v="3"/>
  </r>
  <r>
    <x v="14"/>
    <x v="1"/>
    <x v="1"/>
    <x v="1"/>
    <x v="0"/>
    <x v="2"/>
    <x v="1"/>
    <x v="1"/>
    <x v="1"/>
    <x v="433"/>
    <x v="14"/>
    <x v="3"/>
  </r>
  <r>
    <x v="15"/>
    <x v="71"/>
    <x v="6"/>
    <x v="6"/>
    <x v="0"/>
    <x v="2"/>
    <x v="37"/>
    <x v="37"/>
    <x v="816"/>
    <x v="0"/>
    <x v="15"/>
    <x v="3"/>
  </r>
  <r>
    <x v="15"/>
    <x v="1"/>
    <x v="1"/>
    <x v="1"/>
    <x v="0"/>
    <x v="2"/>
    <x v="1"/>
    <x v="1"/>
    <x v="1"/>
    <x v="221"/>
    <x v="15"/>
    <x v="3"/>
  </r>
  <r>
    <x v="16"/>
    <x v="128"/>
    <x v="1"/>
    <x v="1"/>
    <x v="0"/>
    <x v="2"/>
    <x v="37"/>
    <x v="164"/>
    <x v="1553"/>
    <x v="0"/>
    <x v="16"/>
    <x v="3"/>
  </r>
  <r>
    <x v="16"/>
    <x v="1"/>
    <x v="1"/>
    <x v="1"/>
    <x v="0"/>
    <x v="2"/>
    <x v="1"/>
    <x v="1"/>
    <x v="1"/>
    <x v="434"/>
    <x v="16"/>
    <x v="3"/>
  </r>
  <r>
    <x v="72"/>
    <x v="125"/>
    <x v="5"/>
    <x v="5"/>
    <x v="0"/>
    <x v="2"/>
    <x v="37"/>
    <x v="82"/>
    <x v="911"/>
    <x v="0"/>
    <x v="72"/>
    <x v="3"/>
  </r>
  <r>
    <x v="72"/>
    <x v="1"/>
    <x v="1"/>
    <x v="1"/>
    <x v="0"/>
    <x v="2"/>
    <x v="1"/>
    <x v="1"/>
    <x v="1"/>
    <x v="232"/>
    <x v="72"/>
    <x v="3"/>
  </r>
  <r>
    <x v="24"/>
    <x v="129"/>
    <x v="2"/>
    <x v="2"/>
    <x v="0"/>
    <x v="2"/>
    <x v="38"/>
    <x v="204"/>
    <x v="1554"/>
    <x v="0"/>
    <x v="24"/>
    <x v="3"/>
  </r>
  <r>
    <x v="24"/>
    <x v="39"/>
    <x v="4"/>
    <x v="4"/>
    <x v="0"/>
    <x v="2"/>
    <x v="37"/>
    <x v="210"/>
    <x v="1"/>
    <x v="435"/>
    <x v="24"/>
    <x v="3"/>
  </r>
  <r>
    <x v="27"/>
    <x v="77"/>
    <x v="5"/>
    <x v="5"/>
    <x v="0"/>
    <x v="2"/>
    <x v="37"/>
    <x v="156"/>
    <x v="1555"/>
    <x v="0"/>
    <x v="27"/>
    <x v="3"/>
  </r>
  <r>
    <x v="27"/>
    <x v="41"/>
    <x v="1"/>
    <x v="1"/>
    <x v="0"/>
    <x v="2"/>
    <x v="37"/>
    <x v="113"/>
    <x v="1556"/>
    <x v="0"/>
    <x v="27"/>
    <x v="3"/>
  </r>
  <r>
    <x v="27"/>
    <x v="1"/>
    <x v="1"/>
    <x v="1"/>
    <x v="0"/>
    <x v="2"/>
    <x v="1"/>
    <x v="1"/>
    <x v="1"/>
    <x v="436"/>
    <x v="27"/>
    <x v="3"/>
  </r>
  <r>
    <x v="73"/>
    <x v="40"/>
    <x v="1"/>
    <x v="1"/>
    <x v="0"/>
    <x v="2"/>
    <x v="37"/>
    <x v="125"/>
    <x v="1557"/>
    <x v="0"/>
    <x v="73"/>
    <x v="3"/>
  </r>
  <r>
    <x v="73"/>
    <x v="1"/>
    <x v="1"/>
    <x v="1"/>
    <x v="0"/>
    <x v="2"/>
    <x v="1"/>
    <x v="1"/>
    <x v="1"/>
    <x v="437"/>
    <x v="73"/>
    <x v="3"/>
  </r>
  <r>
    <x v="35"/>
    <x v="128"/>
    <x v="1"/>
    <x v="1"/>
    <x v="0"/>
    <x v="2"/>
    <x v="37"/>
    <x v="164"/>
    <x v="891"/>
    <x v="0"/>
    <x v="35"/>
    <x v="3"/>
  </r>
  <r>
    <x v="35"/>
    <x v="1"/>
    <x v="1"/>
    <x v="1"/>
    <x v="0"/>
    <x v="2"/>
    <x v="1"/>
    <x v="1"/>
    <x v="1"/>
    <x v="438"/>
    <x v="35"/>
    <x v="3"/>
  </r>
  <r>
    <x v="36"/>
    <x v="77"/>
    <x v="5"/>
    <x v="5"/>
    <x v="0"/>
    <x v="2"/>
    <x v="37"/>
    <x v="156"/>
    <x v="1558"/>
    <x v="0"/>
    <x v="36"/>
    <x v="3"/>
  </r>
  <r>
    <x v="36"/>
    <x v="58"/>
    <x v="1"/>
    <x v="1"/>
    <x v="0"/>
    <x v="2"/>
    <x v="37"/>
    <x v="84"/>
    <x v="1559"/>
    <x v="0"/>
    <x v="36"/>
    <x v="3"/>
  </r>
  <r>
    <x v="36"/>
    <x v="1"/>
    <x v="1"/>
    <x v="1"/>
    <x v="0"/>
    <x v="2"/>
    <x v="1"/>
    <x v="1"/>
    <x v="1"/>
    <x v="439"/>
    <x v="36"/>
    <x v="3"/>
  </r>
  <r>
    <x v="74"/>
    <x v="98"/>
    <x v="1"/>
    <x v="1"/>
    <x v="0"/>
    <x v="2"/>
    <x v="37"/>
    <x v="198"/>
    <x v="899"/>
    <x v="0"/>
    <x v="74"/>
    <x v="3"/>
  </r>
  <r>
    <x v="74"/>
    <x v="1"/>
    <x v="1"/>
    <x v="1"/>
    <x v="0"/>
    <x v="2"/>
    <x v="1"/>
    <x v="1"/>
    <x v="1"/>
    <x v="355"/>
    <x v="74"/>
    <x v="3"/>
  </r>
  <r>
    <x v="75"/>
    <x v="33"/>
    <x v="1"/>
    <x v="1"/>
    <x v="0"/>
    <x v="2"/>
    <x v="37"/>
    <x v="241"/>
    <x v="1560"/>
    <x v="0"/>
    <x v="75"/>
    <x v="3"/>
  </r>
  <r>
    <x v="75"/>
    <x v="101"/>
    <x v="1"/>
    <x v="1"/>
    <x v="0"/>
    <x v="2"/>
    <x v="37"/>
    <x v="207"/>
    <x v="1338"/>
    <x v="0"/>
    <x v="75"/>
    <x v="3"/>
  </r>
  <r>
    <x v="75"/>
    <x v="1"/>
    <x v="1"/>
    <x v="1"/>
    <x v="0"/>
    <x v="2"/>
    <x v="1"/>
    <x v="1"/>
    <x v="1"/>
    <x v="440"/>
    <x v="75"/>
    <x v="3"/>
  </r>
  <r>
    <x v="41"/>
    <x v="1"/>
    <x v="1"/>
    <x v="1"/>
    <x v="0"/>
    <x v="2"/>
    <x v="1"/>
    <x v="1"/>
    <x v="1"/>
    <x v="441"/>
    <x v="41"/>
    <x v="3"/>
  </r>
  <r>
    <x v="45"/>
    <x v="108"/>
    <x v="3"/>
    <x v="3"/>
    <x v="0"/>
    <x v="2"/>
    <x v="38"/>
    <x v="63"/>
    <x v="768"/>
    <x v="0"/>
    <x v="45"/>
    <x v="3"/>
  </r>
  <r>
    <x v="45"/>
    <x v="1"/>
    <x v="1"/>
    <x v="1"/>
    <x v="0"/>
    <x v="2"/>
    <x v="1"/>
    <x v="1"/>
    <x v="1"/>
    <x v="442"/>
    <x v="45"/>
    <x v="3"/>
  </r>
  <r>
    <x v="46"/>
    <x v="50"/>
    <x v="4"/>
    <x v="4"/>
    <x v="0"/>
    <x v="2"/>
    <x v="37"/>
    <x v="77"/>
    <x v="1561"/>
    <x v="0"/>
    <x v="46"/>
    <x v="3"/>
  </r>
  <r>
    <x v="46"/>
    <x v="1"/>
    <x v="1"/>
    <x v="1"/>
    <x v="0"/>
    <x v="2"/>
    <x v="1"/>
    <x v="1"/>
    <x v="1"/>
    <x v="443"/>
    <x v="46"/>
    <x v="3"/>
  </r>
  <r>
    <x v="49"/>
    <x v="101"/>
    <x v="1"/>
    <x v="1"/>
    <x v="0"/>
    <x v="2"/>
    <x v="37"/>
    <x v="207"/>
    <x v="1562"/>
    <x v="0"/>
    <x v="49"/>
    <x v="3"/>
  </r>
  <r>
    <x v="49"/>
    <x v="1"/>
    <x v="1"/>
    <x v="1"/>
    <x v="0"/>
    <x v="2"/>
    <x v="1"/>
    <x v="1"/>
    <x v="1"/>
    <x v="444"/>
    <x v="49"/>
    <x v="3"/>
  </r>
  <r>
    <x v="51"/>
    <x v="70"/>
    <x v="2"/>
    <x v="2"/>
    <x v="0"/>
    <x v="2"/>
    <x v="37"/>
    <x v="36"/>
    <x v="1563"/>
    <x v="0"/>
    <x v="51"/>
    <x v="3"/>
  </r>
  <r>
    <x v="51"/>
    <x v="1"/>
    <x v="1"/>
    <x v="1"/>
    <x v="0"/>
    <x v="2"/>
    <x v="1"/>
    <x v="1"/>
    <x v="1"/>
    <x v="445"/>
    <x v="51"/>
    <x v="3"/>
  </r>
  <r>
    <x v="52"/>
    <x v="98"/>
    <x v="1"/>
    <x v="1"/>
    <x v="0"/>
    <x v="2"/>
    <x v="37"/>
    <x v="198"/>
    <x v="1564"/>
    <x v="0"/>
    <x v="52"/>
    <x v="3"/>
  </r>
  <r>
    <x v="52"/>
    <x v="1"/>
    <x v="1"/>
    <x v="1"/>
    <x v="0"/>
    <x v="2"/>
    <x v="1"/>
    <x v="1"/>
    <x v="1"/>
    <x v="446"/>
    <x v="52"/>
    <x v="3"/>
  </r>
  <r>
    <x v="54"/>
    <x v="21"/>
    <x v="6"/>
    <x v="6"/>
    <x v="0"/>
    <x v="2"/>
    <x v="37"/>
    <x v="70"/>
    <x v="816"/>
    <x v="0"/>
    <x v="54"/>
    <x v="3"/>
  </r>
  <r>
    <x v="54"/>
    <x v="1"/>
    <x v="1"/>
    <x v="1"/>
    <x v="0"/>
    <x v="2"/>
    <x v="1"/>
    <x v="1"/>
    <x v="1"/>
    <x v="447"/>
    <x v="54"/>
    <x v="3"/>
  </r>
  <r>
    <x v="55"/>
    <x v="70"/>
    <x v="2"/>
    <x v="2"/>
    <x v="0"/>
    <x v="3"/>
    <x v="37"/>
    <x v="36"/>
    <x v="1565"/>
    <x v="0"/>
    <x v="55"/>
    <x v="3"/>
  </r>
  <r>
    <x v="55"/>
    <x v="71"/>
    <x v="6"/>
    <x v="6"/>
    <x v="0"/>
    <x v="3"/>
    <x v="37"/>
    <x v="37"/>
    <x v="1566"/>
    <x v="0"/>
    <x v="55"/>
    <x v="3"/>
  </r>
  <r>
    <x v="55"/>
    <x v="1"/>
    <x v="1"/>
    <x v="1"/>
    <x v="0"/>
    <x v="3"/>
    <x v="1"/>
    <x v="1"/>
    <x v="1"/>
    <x v="448"/>
    <x v="55"/>
    <x v="3"/>
  </r>
  <r>
    <x v="55"/>
    <x v="1"/>
    <x v="1"/>
    <x v="1"/>
    <x v="0"/>
    <x v="24"/>
    <x v="1"/>
    <x v="1"/>
    <x v="1"/>
    <x v="449"/>
    <x v="55"/>
    <x v="3"/>
  </r>
  <r>
    <x v="55"/>
    <x v="89"/>
    <x v="4"/>
    <x v="4"/>
    <x v="0"/>
    <x v="4"/>
    <x v="37"/>
    <x v="154"/>
    <x v="1567"/>
    <x v="0"/>
    <x v="55"/>
    <x v="3"/>
  </r>
  <r>
    <x v="55"/>
    <x v="1"/>
    <x v="1"/>
    <x v="1"/>
    <x v="0"/>
    <x v="4"/>
    <x v="1"/>
    <x v="1"/>
    <x v="1"/>
    <x v="450"/>
    <x v="55"/>
    <x v="3"/>
  </r>
  <r>
    <x v="55"/>
    <x v="39"/>
    <x v="4"/>
    <x v="4"/>
    <x v="0"/>
    <x v="5"/>
    <x v="37"/>
    <x v="210"/>
    <x v="1554"/>
    <x v="0"/>
    <x v="55"/>
    <x v="3"/>
  </r>
  <r>
    <x v="55"/>
    <x v="1"/>
    <x v="1"/>
    <x v="1"/>
    <x v="0"/>
    <x v="5"/>
    <x v="1"/>
    <x v="1"/>
    <x v="1"/>
    <x v="451"/>
    <x v="55"/>
    <x v="3"/>
  </r>
  <r>
    <x v="55"/>
    <x v="86"/>
    <x v="6"/>
    <x v="6"/>
    <x v="0"/>
    <x v="6"/>
    <x v="38"/>
    <x v="224"/>
    <x v="1568"/>
    <x v="0"/>
    <x v="55"/>
    <x v="3"/>
  </r>
  <r>
    <x v="55"/>
    <x v="135"/>
    <x v="3"/>
    <x v="3"/>
    <x v="0"/>
    <x v="6"/>
    <x v="38"/>
    <x v="149"/>
    <x v="1569"/>
    <x v="0"/>
    <x v="55"/>
    <x v="3"/>
  </r>
  <r>
    <x v="55"/>
    <x v="89"/>
    <x v="4"/>
    <x v="4"/>
    <x v="0"/>
    <x v="6"/>
    <x v="38"/>
    <x v="154"/>
    <x v="1570"/>
    <x v="0"/>
    <x v="55"/>
    <x v="3"/>
  </r>
  <r>
    <x v="55"/>
    <x v="92"/>
    <x v="0"/>
    <x v="0"/>
    <x v="0"/>
    <x v="6"/>
    <x v="38"/>
    <x v="109"/>
    <x v="1571"/>
    <x v="0"/>
    <x v="55"/>
    <x v="3"/>
  </r>
  <r>
    <x v="55"/>
    <x v="122"/>
    <x v="0"/>
    <x v="0"/>
    <x v="0"/>
    <x v="6"/>
    <x v="38"/>
    <x v="181"/>
    <x v="1572"/>
    <x v="0"/>
    <x v="55"/>
    <x v="3"/>
  </r>
  <r>
    <x v="55"/>
    <x v="139"/>
    <x v="5"/>
    <x v="5"/>
    <x v="0"/>
    <x v="6"/>
    <x v="38"/>
    <x v="110"/>
    <x v="1573"/>
    <x v="0"/>
    <x v="55"/>
    <x v="3"/>
  </r>
  <r>
    <x v="55"/>
    <x v="150"/>
    <x v="5"/>
    <x v="5"/>
    <x v="0"/>
    <x v="6"/>
    <x v="37"/>
    <x v="214"/>
    <x v="1574"/>
    <x v="0"/>
    <x v="55"/>
    <x v="3"/>
  </r>
  <r>
    <x v="55"/>
    <x v="83"/>
    <x v="1"/>
    <x v="1"/>
    <x v="0"/>
    <x v="6"/>
    <x v="38"/>
    <x v="215"/>
    <x v="1575"/>
    <x v="0"/>
    <x v="55"/>
    <x v="3"/>
  </r>
  <r>
    <x v="55"/>
    <x v="40"/>
    <x v="1"/>
    <x v="1"/>
    <x v="0"/>
    <x v="6"/>
    <x v="37"/>
    <x v="125"/>
    <x v="1576"/>
    <x v="0"/>
    <x v="55"/>
    <x v="3"/>
  </r>
  <r>
    <x v="55"/>
    <x v="14"/>
    <x v="1"/>
    <x v="1"/>
    <x v="0"/>
    <x v="6"/>
    <x v="38"/>
    <x v="112"/>
    <x v="1577"/>
    <x v="0"/>
    <x v="55"/>
    <x v="3"/>
  </r>
  <r>
    <x v="55"/>
    <x v="41"/>
    <x v="1"/>
    <x v="1"/>
    <x v="0"/>
    <x v="6"/>
    <x v="37"/>
    <x v="113"/>
    <x v="1578"/>
    <x v="0"/>
    <x v="55"/>
    <x v="3"/>
  </r>
  <r>
    <x v="55"/>
    <x v="22"/>
    <x v="1"/>
    <x v="1"/>
    <x v="0"/>
    <x v="6"/>
    <x v="37"/>
    <x v="211"/>
    <x v="1579"/>
    <x v="0"/>
    <x v="55"/>
    <x v="3"/>
  </r>
  <r>
    <x v="55"/>
    <x v="33"/>
    <x v="1"/>
    <x v="1"/>
    <x v="0"/>
    <x v="6"/>
    <x v="37"/>
    <x v="241"/>
    <x v="1580"/>
    <x v="0"/>
    <x v="55"/>
    <x v="3"/>
  </r>
  <r>
    <x v="55"/>
    <x v="101"/>
    <x v="1"/>
    <x v="1"/>
    <x v="0"/>
    <x v="6"/>
    <x v="37"/>
    <x v="207"/>
    <x v="1424"/>
    <x v="0"/>
    <x v="55"/>
    <x v="3"/>
  </r>
  <r>
    <x v="55"/>
    <x v="1"/>
    <x v="1"/>
    <x v="1"/>
    <x v="0"/>
    <x v="6"/>
    <x v="1"/>
    <x v="1"/>
    <x v="1"/>
    <x v="452"/>
    <x v="55"/>
    <x v="3"/>
  </r>
  <r>
    <x v="55"/>
    <x v="96"/>
    <x v="6"/>
    <x v="6"/>
    <x v="0"/>
    <x v="7"/>
    <x v="37"/>
    <x v="165"/>
    <x v="1"/>
    <x v="453"/>
    <x v="55"/>
    <x v="3"/>
  </r>
  <r>
    <x v="55"/>
    <x v="50"/>
    <x v="4"/>
    <x v="4"/>
    <x v="0"/>
    <x v="7"/>
    <x v="37"/>
    <x v="77"/>
    <x v="1581"/>
    <x v="0"/>
    <x v="55"/>
    <x v="3"/>
  </r>
  <r>
    <x v="55"/>
    <x v="39"/>
    <x v="4"/>
    <x v="4"/>
    <x v="0"/>
    <x v="7"/>
    <x v="37"/>
    <x v="210"/>
    <x v="1582"/>
    <x v="0"/>
    <x v="55"/>
    <x v="3"/>
  </r>
  <r>
    <x v="55"/>
    <x v="39"/>
    <x v="4"/>
    <x v="4"/>
    <x v="0"/>
    <x v="7"/>
    <x v="37"/>
    <x v="210"/>
    <x v="1"/>
    <x v="454"/>
    <x v="55"/>
    <x v="3"/>
  </r>
  <r>
    <x v="55"/>
    <x v="40"/>
    <x v="1"/>
    <x v="1"/>
    <x v="0"/>
    <x v="7"/>
    <x v="37"/>
    <x v="125"/>
    <x v="1583"/>
    <x v="0"/>
    <x v="55"/>
    <x v="3"/>
  </r>
  <r>
    <x v="55"/>
    <x v="1"/>
    <x v="1"/>
    <x v="1"/>
    <x v="0"/>
    <x v="7"/>
    <x v="1"/>
    <x v="1"/>
    <x v="1"/>
    <x v="455"/>
    <x v="55"/>
    <x v="3"/>
  </r>
  <r>
    <x v="55"/>
    <x v="169"/>
    <x v="6"/>
    <x v="6"/>
    <x v="0"/>
    <x v="8"/>
    <x v="38"/>
    <x v="249"/>
    <x v="1584"/>
    <x v="0"/>
    <x v="55"/>
    <x v="3"/>
  </r>
  <r>
    <x v="55"/>
    <x v="4"/>
    <x v="4"/>
    <x v="4"/>
    <x v="0"/>
    <x v="8"/>
    <x v="38"/>
    <x v="199"/>
    <x v="1585"/>
    <x v="0"/>
    <x v="55"/>
    <x v="3"/>
  </r>
  <r>
    <x v="55"/>
    <x v="1"/>
    <x v="1"/>
    <x v="1"/>
    <x v="0"/>
    <x v="8"/>
    <x v="1"/>
    <x v="1"/>
    <x v="1"/>
    <x v="456"/>
    <x v="55"/>
    <x v="3"/>
  </r>
  <r>
    <x v="55"/>
    <x v="107"/>
    <x v="2"/>
    <x v="2"/>
    <x v="0"/>
    <x v="9"/>
    <x v="37"/>
    <x v="158"/>
    <x v="910"/>
    <x v="0"/>
    <x v="55"/>
    <x v="3"/>
  </r>
  <r>
    <x v="55"/>
    <x v="96"/>
    <x v="6"/>
    <x v="6"/>
    <x v="0"/>
    <x v="9"/>
    <x v="38"/>
    <x v="165"/>
    <x v="1586"/>
    <x v="0"/>
    <x v="55"/>
    <x v="3"/>
  </r>
  <r>
    <x v="55"/>
    <x v="79"/>
    <x v="3"/>
    <x v="3"/>
    <x v="0"/>
    <x v="9"/>
    <x v="37"/>
    <x v="142"/>
    <x v="1121"/>
    <x v="0"/>
    <x v="55"/>
    <x v="3"/>
  </r>
  <r>
    <x v="55"/>
    <x v="62"/>
    <x v="4"/>
    <x v="4"/>
    <x v="0"/>
    <x v="9"/>
    <x v="38"/>
    <x v="176"/>
    <x v="903"/>
    <x v="0"/>
    <x v="55"/>
    <x v="3"/>
  </r>
  <r>
    <x v="55"/>
    <x v="145"/>
    <x v="5"/>
    <x v="5"/>
    <x v="0"/>
    <x v="9"/>
    <x v="38"/>
    <x v="124"/>
    <x v="1587"/>
    <x v="0"/>
    <x v="55"/>
    <x v="3"/>
  </r>
  <r>
    <x v="55"/>
    <x v="1"/>
    <x v="1"/>
    <x v="1"/>
    <x v="0"/>
    <x v="9"/>
    <x v="1"/>
    <x v="1"/>
    <x v="1"/>
    <x v="457"/>
    <x v="55"/>
    <x v="3"/>
  </r>
  <r>
    <x v="55"/>
    <x v="1"/>
    <x v="1"/>
    <x v="1"/>
    <x v="0"/>
    <x v="26"/>
    <x v="1"/>
    <x v="1"/>
    <x v="1"/>
    <x v="458"/>
    <x v="55"/>
    <x v="3"/>
  </r>
  <r>
    <x v="55"/>
    <x v="85"/>
    <x v="2"/>
    <x v="2"/>
    <x v="0"/>
    <x v="11"/>
    <x v="38"/>
    <x v="161"/>
    <x v="1588"/>
    <x v="0"/>
    <x v="55"/>
    <x v="3"/>
  </r>
  <r>
    <x v="55"/>
    <x v="1"/>
    <x v="1"/>
    <x v="1"/>
    <x v="0"/>
    <x v="11"/>
    <x v="1"/>
    <x v="1"/>
    <x v="1"/>
    <x v="459"/>
    <x v="55"/>
    <x v="3"/>
  </r>
  <r>
    <x v="55"/>
    <x v="169"/>
    <x v="6"/>
    <x v="6"/>
    <x v="0"/>
    <x v="12"/>
    <x v="38"/>
    <x v="249"/>
    <x v="1589"/>
    <x v="0"/>
    <x v="55"/>
    <x v="3"/>
  </r>
  <r>
    <x v="55"/>
    <x v="79"/>
    <x v="3"/>
    <x v="3"/>
    <x v="0"/>
    <x v="12"/>
    <x v="38"/>
    <x v="142"/>
    <x v="1590"/>
    <x v="0"/>
    <x v="55"/>
    <x v="3"/>
  </r>
  <r>
    <x v="55"/>
    <x v="62"/>
    <x v="4"/>
    <x v="4"/>
    <x v="0"/>
    <x v="12"/>
    <x v="38"/>
    <x v="176"/>
    <x v="1591"/>
    <x v="0"/>
    <x v="55"/>
    <x v="3"/>
  </r>
  <r>
    <x v="55"/>
    <x v="4"/>
    <x v="4"/>
    <x v="4"/>
    <x v="0"/>
    <x v="12"/>
    <x v="38"/>
    <x v="199"/>
    <x v="1592"/>
    <x v="0"/>
    <x v="55"/>
    <x v="3"/>
  </r>
  <r>
    <x v="55"/>
    <x v="1"/>
    <x v="1"/>
    <x v="1"/>
    <x v="0"/>
    <x v="12"/>
    <x v="1"/>
    <x v="1"/>
    <x v="1"/>
    <x v="460"/>
    <x v="55"/>
    <x v="3"/>
  </r>
  <r>
    <x v="55"/>
    <x v="96"/>
    <x v="6"/>
    <x v="6"/>
    <x v="0"/>
    <x v="13"/>
    <x v="37"/>
    <x v="165"/>
    <x v="1593"/>
    <x v="0"/>
    <x v="55"/>
    <x v="3"/>
  </r>
  <r>
    <x v="55"/>
    <x v="145"/>
    <x v="5"/>
    <x v="5"/>
    <x v="0"/>
    <x v="13"/>
    <x v="38"/>
    <x v="124"/>
    <x v="816"/>
    <x v="0"/>
    <x v="55"/>
    <x v="3"/>
  </r>
  <r>
    <x v="55"/>
    <x v="1"/>
    <x v="1"/>
    <x v="1"/>
    <x v="0"/>
    <x v="13"/>
    <x v="1"/>
    <x v="1"/>
    <x v="1"/>
    <x v="461"/>
    <x v="55"/>
    <x v="3"/>
  </r>
  <r>
    <x v="55"/>
    <x v="85"/>
    <x v="2"/>
    <x v="2"/>
    <x v="0"/>
    <x v="14"/>
    <x v="38"/>
    <x v="161"/>
    <x v="1594"/>
    <x v="0"/>
    <x v="55"/>
    <x v="3"/>
  </r>
  <r>
    <x v="55"/>
    <x v="144"/>
    <x v="2"/>
    <x v="2"/>
    <x v="0"/>
    <x v="14"/>
    <x v="38"/>
    <x v="162"/>
    <x v="816"/>
    <x v="0"/>
    <x v="55"/>
    <x v="3"/>
  </r>
  <r>
    <x v="55"/>
    <x v="9"/>
    <x v="6"/>
    <x v="6"/>
    <x v="0"/>
    <x v="14"/>
    <x v="38"/>
    <x v="255"/>
    <x v="1061"/>
    <x v="0"/>
    <x v="55"/>
    <x v="3"/>
  </r>
  <r>
    <x v="55"/>
    <x v="23"/>
    <x v="3"/>
    <x v="3"/>
    <x v="0"/>
    <x v="14"/>
    <x v="37"/>
    <x v="221"/>
    <x v="1595"/>
    <x v="0"/>
    <x v="55"/>
    <x v="3"/>
  </r>
  <r>
    <x v="55"/>
    <x v="79"/>
    <x v="3"/>
    <x v="3"/>
    <x v="0"/>
    <x v="14"/>
    <x v="37"/>
    <x v="142"/>
    <x v="816"/>
    <x v="0"/>
    <x v="55"/>
    <x v="3"/>
  </r>
  <r>
    <x v="55"/>
    <x v="50"/>
    <x v="4"/>
    <x v="4"/>
    <x v="0"/>
    <x v="14"/>
    <x v="37"/>
    <x v="77"/>
    <x v="900"/>
    <x v="0"/>
    <x v="55"/>
    <x v="3"/>
  </r>
  <r>
    <x v="55"/>
    <x v="89"/>
    <x v="4"/>
    <x v="4"/>
    <x v="0"/>
    <x v="14"/>
    <x v="37"/>
    <x v="154"/>
    <x v="1596"/>
    <x v="0"/>
    <x v="55"/>
    <x v="3"/>
  </r>
  <r>
    <x v="55"/>
    <x v="62"/>
    <x v="4"/>
    <x v="4"/>
    <x v="0"/>
    <x v="14"/>
    <x v="37"/>
    <x v="176"/>
    <x v="1061"/>
    <x v="0"/>
    <x v="55"/>
    <x v="3"/>
  </r>
  <r>
    <x v="55"/>
    <x v="159"/>
    <x v="0"/>
    <x v="0"/>
    <x v="0"/>
    <x v="14"/>
    <x v="37"/>
    <x v="177"/>
    <x v="1596"/>
    <x v="0"/>
    <x v="55"/>
    <x v="3"/>
  </r>
  <r>
    <x v="55"/>
    <x v="145"/>
    <x v="5"/>
    <x v="5"/>
    <x v="0"/>
    <x v="14"/>
    <x v="37"/>
    <x v="124"/>
    <x v="816"/>
    <x v="0"/>
    <x v="55"/>
    <x v="3"/>
  </r>
  <r>
    <x v="55"/>
    <x v="150"/>
    <x v="5"/>
    <x v="5"/>
    <x v="0"/>
    <x v="14"/>
    <x v="37"/>
    <x v="214"/>
    <x v="1061"/>
    <x v="0"/>
    <x v="55"/>
    <x v="3"/>
  </r>
  <r>
    <x v="55"/>
    <x v="40"/>
    <x v="1"/>
    <x v="1"/>
    <x v="0"/>
    <x v="14"/>
    <x v="37"/>
    <x v="125"/>
    <x v="816"/>
    <x v="0"/>
    <x v="55"/>
    <x v="3"/>
  </r>
  <r>
    <x v="55"/>
    <x v="1"/>
    <x v="1"/>
    <x v="1"/>
    <x v="0"/>
    <x v="14"/>
    <x v="1"/>
    <x v="1"/>
    <x v="1"/>
    <x v="462"/>
    <x v="55"/>
    <x v="3"/>
  </r>
  <r>
    <x v="55"/>
    <x v="159"/>
    <x v="0"/>
    <x v="0"/>
    <x v="0"/>
    <x v="15"/>
    <x v="38"/>
    <x v="177"/>
    <x v="1061"/>
    <x v="0"/>
    <x v="55"/>
    <x v="3"/>
  </r>
  <r>
    <x v="55"/>
    <x v="1"/>
    <x v="1"/>
    <x v="1"/>
    <x v="0"/>
    <x v="15"/>
    <x v="1"/>
    <x v="1"/>
    <x v="1"/>
    <x v="463"/>
    <x v="55"/>
    <x v="3"/>
  </r>
  <r>
    <x v="55"/>
    <x v="25"/>
    <x v="2"/>
    <x v="2"/>
    <x v="0"/>
    <x v="28"/>
    <x v="38"/>
    <x v="169"/>
    <x v="1597"/>
    <x v="0"/>
    <x v="55"/>
    <x v="3"/>
  </r>
  <r>
    <x v="55"/>
    <x v="75"/>
    <x v="3"/>
    <x v="3"/>
    <x v="0"/>
    <x v="28"/>
    <x v="38"/>
    <x v="220"/>
    <x v="1182"/>
    <x v="0"/>
    <x v="55"/>
    <x v="3"/>
  </r>
  <r>
    <x v="55"/>
    <x v="78"/>
    <x v="4"/>
    <x v="4"/>
    <x v="0"/>
    <x v="28"/>
    <x v="37"/>
    <x v="160"/>
    <x v="1"/>
    <x v="464"/>
    <x v="55"/>
    <x v="3"/>
  </r>
  <r>
    <x v="55"/>
    <x v="142"/>
    <x v="0"/>
    <x v="0"/>
    <x v="0"/>
    <x v="28"/>
    <x v="37"/>
    <x v="119"/>
    <x v="1598"/>
    <x v="0"/>
    <x v="55"/>
    <x v="3"/>
  </r>
  <r>
    <x v="55"/>
    <x v="141"/>
    <x v="5"/>
    <x v="5"/>
    <x v="0"/>
    <x v="28"/>
    <x v="38"/>
    <x v="185"/>
    <x v="1599"/>
    <x v="0"/>
    <x v="55"/>
    <x v="3"/>
  </r>
  <r>
    <x v="55"/>
    <x v="151"/>
    <x v="1"/>
    <x v="1"/>
    <x v="0"/>
    <x v="28"/>
    <x v="38"/>
    <x v="166"/>
    <x v="1600"/>
    <x v="0"/>
    <x v="55"/>
    <x v="3"/>
  </r>
  <r>
    <x v="55"/>
    <x v="1"/>
    <x v="1"/>
    <x v="1"/>
    <x v="0"/>
    <x v="28"/>
    <x v="1"/>
    <x v="1"/>
    <x v="1"/>
    <x v="465"/>
    <x v="55"/>
    <x v="3"/>
  </r>
  <r>
    <x v="55"/>
    <x v="1"/>
    <x v="1"/>
    <x v="1"/>
    <x v="0"/>
    <x v="29"/>
    <x v="1"/>
    <x v="1"/>
    <x v="1"/>
    <x v="466"/>
    <x v="55"/>
    <x v="3"/>
  </r>
  <r>
    <x v="55"/>
    <x v="84"/>
    <x v="2"/>
    <x v="2"/>
    <x v="0"/>
    <x v="16"/>
    <x v="38"/>
    <x v="203"/>
    <x v="1601"/>
    <x v="0"/>
    <x v="55"/>
    <x v="3"/>
  </r>
  <r>
    <x v="55"/>
    <x v="1"/>
    <x v="1"/>
    <x v="1"/>
    <x v="0"/>
    <x v="16"/>
    <x v="1"/>
    <x v="1"/>
    <x v="1"/>
    <x v="467"/>
    <x v="55"/>
    <x v="3"/>
  </r>
  <r>
    <x v="55"/>
    <x v="85"/>
    <x v="2"/>
    <x v="2"/>
    <x v="0"/>
    <x v="30"/>
    <x v="37"/>
    <x v="161"/>
    <x v="1602"/>
    <x v="0"/>
    <x v="55"/>
    <x v="3"/>
  </r>
  <r>
    <x v="55"/>
    <x v="107"/>
    <x v="2"/>
    <x v="2"/>
    <x v="0"/>
    <x v="30"/>
    <x v="37"/>
    <x v="158"/>
    <x v="1603"/>
    <x v="0"/>
    <x v="55"/>
    <x v="3"/>
  </r>
  <r>
    <x v="55"/>
    <x v="1"/>
    <x v="1"/>
    <x v="1"/>
    <x v="0"/>
    <x v="30"/>
    <x v="1"/>
    <x v="1"/>
    <x v="1"/>
    <x v="468"/>
    <x v="55"/>
    <x v="3"/>
  </r>
  <r>
    <x v="55"/>
    <x v="102"/>
    <x v="6"/>
    <x v="6"/>
    <x v="0"/>
    <x v="17"/>
    <x v="37"/>
    <x v="141"/>
    <x v="1604"/>
    <x v="0"/>
    <x v="55"/>
    <x v="3"/>
  </r>
  <r>
    <x v="55"/>
    <x v="1"/>
    <x v="1"/>
    <x v="1"/>
    <x v="0"/>
    <x v="17"/>
    <x v="1"/>
    <x v="1"/>
    <x v="1"/>
    <x v="469"/>
    <x v="55"/>
    <x v="3"/>
  </r>
  <r>
    <x v="55"/>
    <x v="24"/>
    <x v="2"/>
    <x v="2"/>
    <x v="0"/>
    <x v="32"/>
    <x v="38"/>
    <x v="202"/>
    <x v="1602"/>
    <x v="0"/>
    <x v="55"/>
    <x v="3"/>
  </r>
  <r>
    <x v="55"/>
    <x v="21"/>
    <x v="6"/>
    <x v="6"/>
    <x v="0"/>
    <x v="32"/>
    <x v="37"/>
    <x v="70"/>
    <x v="1605"/>
    <x v="0"/>
    <x v="55"/>
    <x v="3"/>
  </r>
  <r>
    <x v="55"/>
    <x v="1"/>
    <x v="1"/>
    <x v="1"/>
    <x v="0"/>
    <x v="32"/>
    <x v="1"/>
    <x v="1"/>
    <x v="1"/>
    <x v="470"/>
    <x v="55"/>
    <x v="3"/>
  </r>
  <r>
    <x v="55"/>
    <x v="79"/>
    <x v="3"/>
    <x v="3"/>
    <x v="0"/>
    <x v="34"/>
    <x v="38"/>
    <x v="142"/>
    <x v="952"/>
    <x v="0"/>
    <x v="55"/>
    <x v="3"/>
  </r>
  <r>
    <x v="55"/>
    <x v="90"/>
    <x v="0"/>
    <x v="0"/>
    <x v="0"/>
    <x v="34"/>
    <x v="37"/>
    <x v="79"/>
    <x v="1"/>
    <x v="471"/>
    <x v="55"/>
    <x v="3"/>
  </r>
  <r>
    <x v="55"/>
    <x v="155"/>
    <x v="1"/>
    <x v="1"/>
    <x v="0"/>
    <x v="34"/>
    <x v="38"/>
    <x v="145"/>
    <x v="1596"/>
    <x v="0"/>
    <x v="55"/>
    <x v="3"/>
  </r>
  <r>
    <x v="55"/>
    <x v="33"/>
    <x v="1"/>
    <x v="1"/>
    <x v="0"/>
    <x v="34"/>
    <x v="38"/>
    <x v="241"/>
    <x v="1606"/>
    <x v="0"/>
    <x v="55"/>
    <x v="3"/>
  </r>
  <r>
    <x v="55"/>
    <x v="1"/>
    <x v="1"/>
    <x v="1"/>
    <x v="0"/>
    <x v="34"/>
    <x v="1"/>
    <x v="1"/>
    <x v="1"/>
    <x v="472"/>
    <x v="55"/>
    <x v="3"/>
  </r>
  <r>
    <x v="56"/>
    <x v="1"/>
    <x v="1"/>
    <x v="1"/>
    <x v="0"/>
    <x v="2"/>
    <x v="1"/>
    <x v="1"/>
    <x v="1"/>
    <x v="221"/>
    <x v="56"/>
    <x v="3"/>
  </r>
  <r>
    <x v="58"/>
    <x v="23"/>
    <x v="3"/>
    <x v="3"/>
    <x v="0"/>
    <x v="2"/>
    <x v="37"/>
    <x v="221"/>
    <x v="1607"/>
    <x v="0"/>
    <x v="58"/>
    <x v="3"/>
  </r>
  <r>
    <x v="58"/>
    <x v="40"/>
    <x v="1"/>
    <x v="1"/>
    <x v="0"/>
    <x v="2"/>
    <x v="37"/>
    <x v="125"/>
    <x v="1608"/>
    <x v="0"/>
    <x v="58"/>
    <x v="3"/>
  </r>
  <r>
    <x v="58"/>
    <x v="1"/>
    <x v="1"/>
    <x v="1"/>
    <x v="0"/>
    <x v="2"/>
    <x v="1"/>
    <x v="1"/>
    <x v="1"/>
    <x v="473"/>
    <x v="58"/>
    <x v="3"/>
  </r>
  <r>
    <x v="66"/>
    <x v="41"/>
    <x v="1"/>
    <x v="1"/>
    <x v="0"/>
    <x v="2"/>
    <x v="37"/>
    <x v="113"/>
    <x v="1609"/>
    <x v="0"/>
    <x v="66"/>
    <x v="3"/>
  </r>
  <r>
    <x v="66"/>
    <x v="1"/>
    <x v="1"/>
    <x v="1"/>
    <x v="0"/>
    <x v="2"/>
    <x v="1"/>
    <x v="1"/>
    <x v="1"/>
    <x v="474"/>
    <x v="66"/>
    <x v="3"/>
  </r>
  <r>
    <x v="0"/>
    <x v="70"/>
    <x v="2"/>
    <x v="2"/>
    <x v="0"/>
    <x v="2"/>
    <x v="39"/>
    <x v="36"/>
    <x v="1381"/>
    <x v="0"/>
    <x v="0"/>
    <x v="4"/>
  </r>
  <r>
    <x v="0"/>
    <x v="144"/>
    <x v="2"/>
    <x v="2"/>
    <x v="0"/>
    <x v="2"/>
    <x v="39"/>
    <x v="162"/>
    <x v="1610"/>
    <x v="0"/>
    <x v="0"/>
    <x v="4"/>
  </r>
  <r>
    <x v="0"/>
    <x v="86"/>
    <x v="6"/>
    <x v="6"/>
    <x v="0"/>
    <x v="2"/>
    <x v="39"/>
    <x v="224"/>
    <x v="1611"/>
    <x v="0"/>
    <x v="0"/>
    <x v="4"/>
  </r>
  <r>
    <x v="0"/>
    <x v="108"/>
    <x v="3"/>
    <x v="3"/>
    <x v="0"/>
    <x v="2"/>
    <x v="39"/>
    <x v="63"/>
    <x v="1612"/>
    <x v="0"/>
    <x v="0"/>
    <x v="4"/>
  </r>
  <r>
    <x v="0"/>
    <x v="135"/>
    <x v="3"/>
    <x v="3"/>
    <x v="0"/>
    <x v="2"/>
    <x v="39"/>
    <x v="149"/>
    <x v="1613"/>
    <x v="0"/>
    <x v="0"/>
    <x v="4"/>
  </r>
  <r>
    <x v="0"/>
    <x v="0"/>
    <x v="0"/>
    <x v="0"/>
    <x v="0"/>
    <x v="2"/>
    <x v="39"/>
    <x v="197"/>
    <x v="1614"/>
    <x v="0"/>
    <x v="0"/>
    <x v="4"/>
  </r>
  <r>
    <x v="0"/>
    <x v="13"/>
    <x v="5"/>
    <x v="5"/>
    <x v="0"/>
    <x v="2"/>
    <x v="39"/>
    <x v="120"/>
    <x v="1615"/>
    <x v="0"/>
    <x v="0"/>
    <x v="4"/>
  </r>
  <r>
    <x v="0"/>
    <x v="139"/>
    <x v="5"/>
    <x v="5"/>
    <x v="0"/>
    <x v="2"/>
    <x v="39"/>
    <x v="110"/>
    <x v="1616"/>
    <x v="0"/>
    <x v="0"/>
    <x v="4"/>
  </r>
  <r>
    <x v="0"/>
    <x v="153"/>
    <x v="5"/>
    <x v="5"/>
    <x v="0"/>
    <x v="2"/>
    <x v="39"/>
    <x v="157"/>
    <x v="1617"/>
    <x v="0"/>
    <x v="0"/>
    <x v="4"/>
  </r>
  <r>
    <x v="0"/>
    <x v="1"/>
    <x v="1"/>
    <x v="1"/>
    <x v="0"/>
    <x v="2"/>
    <x v="1"/>
    <x v="1"/>
    <x v="1"/>
    <x v="475"/>
    <x v="0"/>
    <x v="4"/>
  </r>
  <r>
    <x v="1"/>
    <x v="106"/>
    <x v="2"/>
    <x v="2"/>
    <x v="0"/>
    <x v="2"/>
    <x v="40"/>
    <x v="223"/>
    <x v="1618"/>
    <x v="0"/>
    <x v="1"/>
    <x v="4"/>
  </r>
  <r>
    <x v="1"/>
    <x v="36"/>
    <x v="6"/>
    <x v="6"/>
    <x v="0"/>
    <x v="2"/>
    <x v="40"/>
    <x v="94"/>
    <x v="1619"/>
    <x v="0"/>
    <x v="1"/>
    <x v="4"/>
  </r>
  <r>
    <x v="1"/>
    <x v="30"/>
    <x v="4"/>
    <x v="4"/>
    <x v="0"/>
    <x v="2"/>
    <x v="40"/>
    <x v="159"/>
    <x v="1620"/>
    <x v="0"/>
    <x v="1"/>
    <x v="4"/>
  </r>
  <r>
    <x v="1"/>
    <x v="90"/>
    <x v="0"/>
    <x v="0"/>
    <x v="0"/>
    <x v="2"/>
    <x v="40"/>
    <x v="79"/>
    <x v="1621"/>
    <x v="0"/>
    <x v="1"/>
    <x v="4"/>
  </r>
  <r>
    <x v="1"/>
    <x v="1"/>
    <x v="1"/>
    <x v="1"/>
    <x v="0"/>
    <x v="2"/>
    <x v="1"/>
    <x v="1"/>
    <x v="1"/>
    <x v="476"/>
    <x v="1"/>
    <x v="4"/>
  </r>
  <r>
    <x v="2"/>
    <x v="70"/>
    <x v="2"/>
    <x v="2"/>
    <x v="0"/>
    <x v="2"/>
    <x v="39"/>
    <x v="36"/>
    <x v="784"/>
    <x v="0"/>
    <x v="2"/>
    <x v="4"/>
  </r>
  <r>
    <x v="2"/>
    <x v="70"/>
    <x v="2"/>
    <x v="2"/>
    <x v="0"/>
    <x v="2"/>
    <x v="40"/>
    <x v="36"/>
    <x v="1622"/>
    <x v="0"/>
    <x v="2"/>
    <x v="4"/>
  </r>
  <r>
    <x v="2"/>
    <x v="75"/>
    <x v="3"/>
    <x v="3"/>
    <x v="0"/>
    <x v="2"/>
    <x v="40"/>
    <x v="220"/>
    <x v="1623"/>
    <x v="0"/>
    <x v="2"/>
    <x v="4"/>
  </r>
  <r>
    <x v="2"/>
    <x v="0"/>
    <x v="0"/>
    <x v="0"/>
    <x v="0"/>
    <x v="2"/>
    <x v="40"/>
    <x v="197"/>
    <x v="1138"/>
    <x v="0"/>
    <x v="2"/>
    <x v="4"/>
  </r>
  <r>
    <x v="2"/>
    <x v="160"/>
    <x v="0"/>
    <x v="0"/>
    <x v="0"/>
    <x v="2"/>
    <x v="39"/>
    <x v="179"/>
    <x v="1624"/>
    <x v="0"/>
    <x v="2"/>
    <x v="4"/>
  </r>
  <r>
    <x v="2"/>
    <x v="73"/>
    <x v="1"/>
    <x v="1"/>
    <x v="0"/>
    <x v="2"/>
    <x v="40"/>
    <x v="39"/>
    <x v="1138"/>
    <x v="0"/>
    <x v="2"/>
    <x v="4"/>
  </r>
  <r>
    <x v="2"/>
    <x v="128"/>
    <x v="1"/>
    <x v="1"/>
    <x v="0"/>
    <x v="2"/>
    <x v="39"/>
    <x v="164"/>
    <x v="1625"/>
    <x v="0"/>
    <x v="2"/>
    <x v="4"/>
  </r>
  <r>
    <x v="2"/>
    <x v="1"/>
    <x v="1"/>
    <x v="1"/>
    <x v="0"/>
    <x v="2"/>
    <x v="1"/>
    <x v="1"/>
    <x v="1"/>
    <x v="477"/>
    <x v="2"/>
    <x v="4"/>
  </r>
  <r>
    <x v="3"/>
    <x v="85"/>
    <x v="2"/>
    <x v="2"/>
    <x v="0"/>
    <x v="2"/>
    <x v="39"/>
    <x v="161"/>
    <x v="1626"/>
    <x v="0"/>
    <x v="3"/>
    <x v="4"/>
  </r>
  <r>
    <x v="3"/>
    <x v="102"/>
    <x v="6"/>
    <x v="6"/>
    <x v="0"/>
    <x v="2"/>
    <x v="39"/>
    <x v="141"/>
    <x v="1627"/>
    <x v="0"/>
    <x v="3"/>
    <x v="4"/>
  </r>
  <r>
    <x v="3"/>
    <x v="68"/>
    <x v="4"/>
    <x v="4"/>
    <x v="0"/>
    <x v="2"/>
    <x v="39"/>
    <x v="222"/>
    <x v="1628"/>
    <x v="0"/>
    <x v="3"/>
    <x v="4"/>
  </r>
  <r>
    <x v="3"/>
    <x v="159"/>
    <x v="0"/>
    <x v="0"/>
    <x v="0"/>
    <x v="2"/>
    <x v="39"/>
    <x v="177"/>
    <x v="1629"/>
    <x v="0"/>
    <x v="3"/>
    <x v="4"/>
  </r>
  <r>
    <x v="3"/>
    <x v="0"/>
    <x v="0"/>
    <x v="0"/>
    <x v="0"/>
    <x v="2"/>
    <x v="39"/>
    <x v="197"/>
    <x v="1630"/>
    <x v="0"/>
    <x v="3"/>
    <x v="4"/>
  </r>
  <r>
    <x v="3"/>
    <x v="145"/>
    <x v="5"/>
    <x v="5"/>
    <x v="0"/>
    <x v="2"/>
    <x v="39"/>
    <x v="124"/>
    <x v="1631"/>
    <x v="0"/>
    <x v="3"/>
    <x v="4"/>
  </r>
  <r>
    <x v="3"/>
    <x v="77"/>
    <x v="5"/>
    <x v="5"/>
    <x v="0"/>
    <x v="2"/>
    <x v="39"/>
    <x v="156"/>
    <x v="1632"/>
    <x v="0"/>
    <x v="3"/>
    <x v="4"/>
  </r>
  <r>
    <x v="3"/>
    <x v="1"/>
    <x v="1"/>
    <x v="1"/>
    <x v="0"/>
    <x v="2"/>
    <x v="1"/>
    <x v="1"/>
    <x v="1"/>
    <x v="478"/>
    <x v="3"/>
    <x v="4"/>
  </r>
  <r>
    <x v="4"/>
    <x v="144"/>
    <x v="2"/>
    <x v="2"/>
    <x v="0"/>
    <x v="2"/>
    <x v="39"/>
    <x v="162"/>
    <x v="1633"/>
    <x v="0"/>
    <x v="4"/>
    <x v="4"/>
  </r>
  <r>
    <x v="4"/>
    <x v="79"/>
    <x v="3"/>
    <x v="3"/>
    <x v="0"/>
    <x v="2"/>
    <x v="39"/>
    <x v="142"/>
    <x v="1633"/>
    <x v="0"/>
    <x v="4"/>
    <x v="4"/>
  </r>
  <r>
    <x v="4"/>
    <x v="0"/>
    <x v="0"/>
    <x v="0"/>
    <x v="0"/>
    <x v="2"/>
    <x v="39"/>
    <x v="197"/>
    <x v="1156"/>
    <x v="0"/>
    <x v="4"/>
    <x v="4"/>
  </r>
  <r>
    <x v="4"/>
    <x v="13"/>
    <x v="5"/>
    <x v="5"/>
    <x v="0"/>
    <x v="2"/>
    <x v="39"/>
    <x v="120"/>
    <x v="1634"/>
    <x v="0"/>
    <x v="4"/>
    <x v="4"/>
  </r>
  <r>
    <x v="4"/>
    <x v="33"/>
    <x v="1"/>
    <x v="1"/>
    <x v="0"/>
    <x v="2"/>
    <x v="39"/>
    <x v="241"/>
    <x v="1635"/>
    <x v="0"/>
    <x v="4"/>
    <x v="4"/>
  </r>
  <r>
    <x v="4"/>
    <x v="1"/>
    <x v="1"/>
    <x v="1"/>
    <x v="0"/>
    <x v="2"/>
    <x v="1"/>
    <x v="1"/>
    <x v="1"/>
    <x v="479"/>
    <x v="4"/>
    <x v="4"/>
  </r>
  <r>
    <x v="5"/>
    <x v="70"/>
    <x v="2"/>
    <x v="2"/>
    <x v="0"/>
    <x v="2"/>
    <x v="39"/>
    <x v="36"/>
    <x v="1636"/>
    <x v="0"/>
    <x v="5"/>
    <x v="4"/>
  </r>
  <r>
    <x v="5"/>
    <x v="79"/>
    <x v="3"/>
    <x v="3"/>
    <x v="0"/>
    <x v="2"/>
    <x v="39"/>
    <x v="142"/>
    <x v="1637"/>
    <x v="0"/>
    <x v="5"/>
    <x v="4"/>
  </r>
  <r>
    <x v="5"/>
    <x v="33"/>
    <x v="1"/>
    <x v="1"/>
    <x v="0"/>
    <x v="2"/>
    <x v="39"/>
    <x v="241"/>
    <x v="1638"/>
    <x v="0"/>
    <x v="5"/>
    <x v="4"/>
  </r>
  <r>
    <x v="5"/>
    <x v="1"/>
    <x v="1"/>
    <x v="1"/>
    <x v="0"/>
    <x v="2"/>
    <x v="1"/>
    <x v="1"/>
    <x v="1"/>
    <x v="480"/>
    <x v="5"/>
    <x v="4"/>
  </r>
  <r>
    <x v="6"/>
    <x v="170"/>
    <x v="2"/>
    <x v="2"/>
    <x v="0"/>
    <x v="2"/>
    <x v="40"/>
    <x v="252"/>
    <x v="858"/>
    <x v="0"/>
    <x v="6"/>
    <x v="4"/>
  </r>
  <r>
    <x v="6"/>
    <x v="64"/>
    <x v="2"/>
    <x v="2"/>
    <x v="0"/>
    <x v="2"/>
    <x v="39"/>
    <x v="139"/>
    <x v="763"/>
    <x v="0"/>
    <x v="6"/>
    <x v="4"/>
  </r>
  <r>
    <x v="6"/>
    <x v="107"/>
    <x v="2"/>
    <x v="2"/>
    <x v="0"/>
    <x v="2"/>
    <x v="39"/>
    <x v="158"/>
    <x v="1639"/>
    <x v="0"/>
    <x v="6"/>
    <x v="4"/>
  </r>
  <r>
    <x v="6"/>
    <x v="68"/>
    <x v="4"/>
    <x v="4"/>
    <x v="0"/>
    <x v="2"/>
    <x v="39"/>
    <x v="222"/>
    <x v="891"/>
    <x v="0"/>
    <x v="6"/>
    <x v="4"/>
  </r>
  <r>
    <x v="6"/>
    <x v="115"/>
    <x v="5"/>
    <x v="5"/>
    <x v="0"/>
    <x v="2"/>
    <x v="39"/>
    <x v="213"/>
    <x v="1640"/>
    <x v="0"/>
    <x v="6"/>
    <x v="4"/>
  </r>
  <r>
    <x v="6"/>
    <x v="58"/>
    <x v="1"/>
    <x v="1"/>
    <x v="0"/>
    <x v="2"/>
    <x v="39"/>
    <x v="84"/>
    <x v="1641"/>
    <x v="0"/>
    <x v="6"/>
    <x v="4"/>
  </r>
  <r>
    <x v="6"/>
    <x v="98"/>
    <x v="1"/>
    <x v="1"/>
    <x v="0"/>
    <x v="2"/>
    <x v="39"/>
    <x v="198"/>
    <x v="1200"/>
    <x v="0"/>
    <x v="6"/>
    <x v="4"/>
  </r>
  <r>
    <x v="6"/>
    <x v="1"/>
    <x v="1"/>
    <x v="1"/>
    <x v="0"/>
    <x v="2"/>
    <x v="1"/>
    <x v="1"/>
    <x v="1"/>
    <x v="481"/>
    <x v="6"/>
    <x v="4"/>
  </r>
  <r>
    <x v="7"/>
    <x v="64"/>
    <x v="2"/>
    <x v="2"/>
    <x v="0"/>
    <x v="2"/>
    <x v="39"/>
    <x v="139"/>
    <x v="1642"/>
    <x v="0"/>
    <x v="7"/>
    <x v="4"/>
  </r>
  <r>
    <x v="7"/>
    <x v="71"/>
    <x v="6"/>
    <x v="6"/>
    <x v="0"/>
    <x v="2"/>
    <x v="39"/>
    <x v="37"/>
    <x v="1335"/>
    <x v="0"/>
    <x v="7"/>
    <x v="4"/>
  </r>
  <r>
    <x v="7"/>
    <x v="135"/>
    <x v="3"/>
    <x v="3"/>
    <x v="0"/>
    <x v="2"/>
    <x v="39"/>
    <x v="149"/>
    <x v="1344"/>
    <x v="0"/>
    <x v="7"/>
    <x v="4"/>
  </r>
  <r>
    <x v="7"/>
    <x v="89"/>
    <x v="4"/>
    <x v="4"/>
    <x v="0"/>
    <x v="2"/>
    <x v="39"/>
    <x v="154"/>
    <x v="1643"/>
    <x v="0"/>
    <x v="7"/>
    <x v="4"/>
  </r>
  <r>
    <x v="7"/>
    <x v="92"/>
    <x v="0"/>
    <x v="0"/>
    <x v="0"/>
    <x v="2"/>
    <x v="40"/>
    <x v="109"/>
    <x v="1644"/>
    <x v="0"/>
    <x v="7"/>
    <x v="4"/>
  </r>
  <r>
    <x v="7"/>
    <x v="115"/>
    <x v="5"/>
    <x v="5"/>
    <x v="0"/>
    <x v="2"/>
    <x v="39"/>
    <x v="213"/>
    <x v="1645"/>
    <x v="0"/>
    <x v="7"/>
    <x v="4"/>
  </r>
  <r>
    <x v="7"/>
    <x v="20"/>
    <x v="5"/>
    <x v="5"/>
    <x v="0"/>
    <x v="2"/>
    <x v="40"/>
    <x v="45"/>
    <x v="1528"/>
    <x v="0"/>
    <x v="7"/>
    <x v="4"/>
  </r>
  <r>
    <x v="7"/>
    <x v="1"/>
    <x v="1"/>
    <x v="1"/>
    <x v="0"/>
    <x v="2"/>
    <x v="1"/>
    <x v="1"/>
    <x v="1"/>
    <x v="482"/>
    <x v="7"/>
    <x v="4"/>
  </r>
  <r>
    <x v="8"/>
    <x v="23"/>
    <x v="3"/>
    <x v="3"/>
    <x v="0"/>
    <x v="2"/>
    <x v="39"/>
    <x v="221"/>
    <x v="810"/>
    <x v="0"/>
    <x v="8"/>
    <x v="4"/>
  </r>
  <r>
    <x v="8"/>
    <x v="79"/>
    <x v="3"/>
    <x v="3"/>
    <x v="0"/>
    <x v="2"/>
    <x v="39"/>
    <x v="142"/>
    <x v="1646"/>
    <x v="0"/>
    <x v="8"/>
    <x v="4"/>
  </r>
  <r>
    <x v="8"/>
    <x v="53"/>
    <x v="0"/>
    <x v="0"/>
    <x v="0"/>
    <x v="2"/>
    <x v="40"/>
    <x v="144"/>
    <x v="1303"/>
    <x v="0"/>
    <x v="8"/>
    <x v="4"/>
  </r>
  <r>
    <x v="8"/>
    <x v="77"/>
    <x v="5"/>
    <x v="5"/>
    <x v="0"/>
    <x v="2"/>
    <x v="39"/>
    <x v="156"/>
    <x v="1647"/>
    <x v="0"/>
    <x v="8"/>
    <x v="4"/>
  </r>
  <r>
    <x v="8"/>
    <x v="22"/>
    <x v="1"/>
    <x v="1"/>
    <x v="0"/>
    <x v="2"/>
    <x v="39"/>
    <x v="211"/>
    <x v="810"/>
    <x v="0"/>
    <x v="8"/>
    <x v="4"/>
  </r>
  <r>
    <x v="8"/>
    <x v="1"/>
    <x v="1"/>
    <x v="1"/>
    <x v="0"/>
    <x v="2"/>
    <x v="1"/>
    <x v="1"/>
    <x v="1"/>
    <x v="483"/>
    <x v="8"/>
    <x v="4"/>
  </r>
  <r>
    <x v="9"/>
    <x v="107"/>
    <x v="2"/>
    <x v="2"/>
    <x v="0"/>
    <x v="2"/>
    <x v="39"/>
    <x v="158"/>
    <x v="847"/>
    <x v="0"/>
    <x v="9"/>
    <x v="4"/>
  </r>
  <r>
    <x v="9"/>
    <x v="107"/>
    <x v="2"/>
    <x v="2"/>
    <x v="0"/>
    <x v="2"/>
    <x v="40"/>
    <x v="158"/>
    <x v="1648"/>
    <x v="0"/>
    <x v="9"/>
    <x v="4"/>
  </r>
  <r>
    <x v="9"/>
    <x v="50"/>
    <x v="4"/>
    <x v="4"/>
    <x v="0"/>
    <x v="2"/>
    <x v="39"/>
    <x v="77"/>
    <x v="1649"/>
    <x v="0"/>
    <x v="9"/>
    <x v="4"/>
  </r>
  <r>
    <x v="9"/>
    <x v="125"/>
    <x v="5"/>
    <x v="5"/>
    <x v="0"/>
    <x v="2"/>
    <x v="39"/>
    <x v="82"/>
    <x v="1650"/>
    <x v="0"/>
    <x v="9"/>
    <x v="4"/>
  </r>
  <r>
    <x v="9"/>
    <x v="155"/>
    <x v="1"/>
    <x v="1"/>
    <x v="0"/>
    <x v="2"/>
    <x v="39"/>
    <x v="145"/>
    <x v="601"/>
    <x v="0"/>
    <x v="9"/>
    <x v="4"/>
  </r>
  <r>
    <x v="9"/>
    <x v="1"/>
    <x v="1"/>
    <x v="1"/>
    <x v="0"/>
    <x v="2"/>
    <x v="1"/>
    <x v="1"/>
    <x v="1"/>
    <x v="484"/>
    <x v="9"/>
    <x v="4"/>
  </r>
  <r>
    <x v="70"/>
    <x v="86"/>
    <x v="6"/>
    <x v="6"/>
    <x v="0"/>
    <x v="2"/>
    <x v="39"/>
    <x v="224"/>
    <x v="1535"/>
    <x v="0"/>
    <x v="70"/>
    <x v="4"/>
  </r>
  <r>
    <x v="70"/>
    <x v="154"/>
    <x v="4"/>
    <x v="4"/>
    <x v="0"/>
    <x v="2"/>
    <x v="39"/>
    <x v="143"/>
    <x v="1651"/>
    <x v="0"/>
    <x v="70"/>
    <x v="4"/>
  </r>
  <r>
    <x v="70"/>
    <x v="41"/>
    <x v="1"/>
    <x v="1"/>
    <x v="0"/>
    <x v="2"/>
    <x v="39"/>
    <x v="113"/>
    <x v="1652"/>
    <x v="0"/>
    <x v="70"/>
    <x v="4"/>
  </r>
  <r>
    <x v="70"/>
    <x v="1"/>
    <x v="1"/>
    <x v="1"/>
    <x v="0"/>
    <x v="2"/>
    <x v="1"/>
    <x v="1"/>
    <x v="1"/>
    <x v="485"/>
    <x v="70"/>
    <x v="4"/>
  </r>
  <r>
    <x v="10"/>
    <x v="70"/>
    <x v="2"/>
    <x v="2"/>
    <x v="0"/>
    <x v="2"/>
    <x v="39"/>
    <x v="36"/>
    <x v="1653"/>
    <x v="0"/>
    <x v="10"/>
    <x v="4"/>
  </r>
  <r>
    <x v="10"/>
    <x v="144"/>
    <x v="2"/>
    <x v="2"/>
    <x v="0"/>
    <x v="2"/>
    <x v="39"/>
    <x v="162"/>
    <x v="1654"/>
    <x v="0"/>
    <x v="10"/>
    <x v="4"/>
  </r>
  <r>
    <x v="10"/>
    <x v="71"/>
    <x v="6"/>
    <x v="6"/>
    <x v="0"/>
    <x v="2"/>
    <x v="39"/>
    <x v="37"/>
    <x v="1655"/>
    <x v="0"/>
    <x v="10"/>
    <x v="4"/>
  </r>
  <r>
    <x v="10"/>
    <x v="108"/>
    <x v="3"/>
    <x v="3"/>
    <x v="0"/>
    <x v="2"/>
    <x v="39"/>
    <x v="63"/>
    <x v="1656"/>
    <x v="0"/>
    <x v="10"/>
    <x v="4"/>
  </r>
  <r>
    <x v="10"/>
    <x v="68"/>
    <x v="4"/>
    <x v="4"/>
    <x v="0"/>
    <x v="2"/>
    <x v="39"/>
    <x v="222"/>
    <x v="1073"/>
    <x v="0"/>
    <x v="10"/>
    <x v="4"/>
  </r>
  <r>
    <x v="10"/>
    <x v="50"/>
    <x v="4"/>
    <x v="4"/>
    <x v="0"/>
    <x v="2"/>
    <x v="39"/>
    <x v="77"/>
    <x v="1657"/>
    <x v="0"/>
    <x v="10"/>
    <x v="4"/>
  </r>
  <r>
    <x v="10"/>
    <x v="159"/>
    <x v="0"/>
    <x v="0"/>
    <x v="0"/>
    <x v="2"/>
    <x v="39"/>
    <x v="177"/>
    <x v="1658"/>
    <x v="0"/>
    <x v="10"/>
    <x v="4"/>
  </r>
  <r>
    <x v="10"/>
    <x v="117"/>
    <x v="0"/>
    <x v="0"/>
    <x v="0"/>
    <x v="2"/>
    <x v="39"/>
    <x v="65"/>
    <x v="1659"/>
    <x v="0"/>
    <x v="10"/>
    <x v="4"/>
  </r>
  <r>
    <x v="10"/>
    <x v="115"/>
    <x v="5"/>
    <x v="5"/>
    <x v="0"/>
    <x v="2"/>
    <x v="39"/>
    <x v="213"/>
    <x v="1660"/>
    <x v="0"/>
    <x v="10"/>
    <x v="4"/>
  </r>
  <r>
    <x v="10"/>
    <x v="13"/>
    <x v="5"/>
    <x v="5"/>
    <x v="0"/>
    <x v="2"/>
    <x v="39"/>
    <x v="120"/>
    <x v="1661"/>
    <x v="0"/>
    <x v="10"/>
    <x v="4"/>
  </r>
  <r>
    <x v="10"/>
    <x v="155"/>
    <x v="1"/>
    <x v="1"/>
    <x v="0"/>
    <x v="2"/>
    <x v="39"/>
    <x v="145"/>
    <x v="1662"/>
    <x v="0"/>
    <x v="10"/>
    <x v="4"/>
  </r>
  <r>
    <x v="10"/>
    <x v="1"/>
    <x v="1"/>
    <x v="1"/>
    <x v="0"/>
    <x v="2"/>
    <x v="1"/>
    <x v="1"/>
    <x v="1"/>
    <x v="486"/>
    <x v="10"/>
    <x v="4"/>
  </r>
  <r>
    <x v="11"/>
    <x v="108"/>
    <x v="3"/>
    <x v="3"/>
    <x v="0"/>
    <x v="2"/>
    <x v="39"/>
    <x v="63"/>
    <x v="1663"/>
    <x v="0"/>
    <x v="11"/>
    <x v="4"/>
  </r>
  <r>
    <x v="11"/>
    <x v="115"/>
    <x v="5"/>
    <x v="5"/>
    <x v="0"/>
    <x v="2"/>
    <x v="39"/>
    <x v="213"/>
    <x v="1664"/>
    <x v="0"/>
    <x v="11"/>
    <x v="4"/>
  </r>
  <r>
    <x v="11"/>
    <x v="1"/>
    <x v="1"/>
    <x v="1"/>
    <x v="0"/>
    <x v="2"/>
    <x v="1"/>
    <x v="1"/>
    <x v="1"/>
    <x v="487"/>
    <x v="11"/>
    <x v="4"/>
  </r>
  <r>
    <x v="12"/>
    <x v="108"/>
    <x v="3"/>
    <x v="3"/>
    <x v="0"/>
    <x v="2"/>
    <x v="39"/>
    <x v="63"/>
    <x v="1665"/>
    <x v="0"/>
    <x v="12"/>
    <x v="4"/>
  </r>
  <r>
    <x v="12"/>
    <x v="33"/>
    <x v="1"/>
    <x v="1"/>
    <x v="0"/>
    <x v="2"/>
    <x v="39"/>
    <x v="241"/>
    <x v="1666"/>
    <x v="0"/>
    <x v="12"/>
    <x v="4"/>
  </r>
  <r>
    <x v="12"/>
    <x v="98"/>
    <x v="1"/>
    <x v="1"/>
    <x v="0"/>
    <x v="2"/>
    <x v="39"/>
    <x v="198"/>
    <x v="982"/>
    <x v="0"/>
    <x v="12"/>
    <x v="4"/>
  </r>
  <r>
    <x v="12"/>
    <x v="1"/>
    <x v="1"/>
    <x v="1"/>
    <x v="0"/>
    <x v="2"/>
    <x v="1"/>
    <x v="1"/>
    <x v="1"/>
    <x v="488"/>
    <x v="12"/>
    <x v="4"/>
  </r>
  <r>
    <x v="13"/>
    <x v="133"/>
    <x v="2"/>
    <x v="2"/>
    <x v="0"/>
    <x v="2"/>
    <x v="39"/>
    <x v="254"/>
    <x v="1667"/>
    <x v="0"/>
    <x v="13"/>
    <x v="4"/>
  </r>
  <r>
    <x v="13"/>
    <x v="13"/>
    <x v="5"/>
    <x v="5"/>
    <x v="0"/>
    <x v="2"/>
    <x v="39"/>
    <x v="120"/>
    <x v="536"/>
    <x v="0"/>
    <x v="13"/>
    <x v="4"/>
  </r>
  <r>
    <x v="13"/>
    <x v="58"/>
    <x v="1"/>
    <x v="1"/>
    <x v="0"/>
    <x v="2"/>
    <x v="39"/>
    <x v="84"/>
    <x v="823"/>
    <x v="0"/>
    <x v="13"/>
    <x v="4"/>
  </r>
  <r>
    <x v="13"/>
    <x v="14"/>
    <x v="1"/>
    <x v="1"/>
    <x v="0"/>
    <x v="2"/>
    <x v="39"/>
    <x v="112"/>
    <x v="1596"/>
    <x v="0"/>
    <x v="13"/>
    <x v="4"/>
  </r>
  <r>
    <x v="13"/>
    <x v="55"/>
    <x v="1"/>
    <x v="1"/>
    <x v="0"/>
    <x v="2"/>
    <x v="39"/>
    <x v="188"/>
    <x v="1668"/>
    <x v="0"/>
    <x v="13"/>
    <x v="4"/>
  </r>
  <r>
    <x v="13"/>
    <x v="1"/>
    <x v="1"/>
    <x v="1"/>
    <x v="0"/>
    <x v="2"/>
    <x v="1"/>
    <x v="1"/>
    <x v="1"/>
    <x v="489"/>
    <x v="13"/>
    <x v="4"/>
  </r>
  <r>
    <x v="14"/>
    <x v="70"/>
    <x v="2"/>
    <x v="2"/>
    <x v="0"/>
    <x v="2"/>
    <x v="39"/>
    <x v="36"/>
    <x v="1669"/>
    <x v="0"/>
    <x v="14"/>
    <x v="4"/>
  </r>
  <r>
    <x v="14"/>
    <x v="71"/>
    <x v="6"/>
    <x v="6"/>
    <x v="0"/>
    <x v="2"/>
    <x v="39"/>
    <x v="37"/>
    <x v="1670"/>
    <x v="0"/>
    <x v="14"/>
    <x v="4"/>
  </r>
  <r>
    <x v="14"/>
    <x v="43"/>
    <x v="3"/>
    <x v="3"/>
    <x v="0"/>
    <x v="2"/>
    <x v="39"/>
    <x v="71"/>
    <x v="1671"/>
    <x v="0"/>
    <x v="14"/>
    <x v="4"/>
  </r>
  <r>
    <x v="14"/>
    <x v="160"/>
    <x v="0"/>
    <x v="0"/>
    <x v="0"/>
    <x v="2"/>
    <x v="39"/>
    <x v="179"/>
    <x v="1672"/>
    <x v="0"/>
    <x v="14"/>
    <x v="4"/>
  </r>
  <r>
    <x v="14"/>
    <x v="153"/>
    <x v="5"/>
    <x v="5"/>
    <x v="0"/>
    <x v="2"/>
    <x v="39"/>
    <x v="157"/>
    <x v="1673"/>
    <x v="0"/>
    <x v="14"/>
    <x v="4"/>
  </r>
  <r>
    <x v="14"/>
    <x v="1"/>
    <x v="1"/>
    <x v="1"/>
    <x v="0"/>
    <x v="2"/>
    <x v="1"/>
    <x v="1"/>
    <x v="1"/>
    <x v="490"/>
    <x v="14"/>
    <x v="4"/>
  </r>
  <r>
    <x v="15"/>
    <x v="64"/>
    <x v="2"/>
    <x v="2"/>
    <x v="0"/>
    <x v="2"/>
    <x v="39"/>
    <x v="139"/>
    <x v="1674"/>
    <x v="0"/>
    <x v="15"/>
    <x v="4"/>
  </r>
  <r>
    <x v="15"/>
    <x v="133"/>
    <x v="2"/>
    <x v="2"/>
    <x v="0"/>
    <x v="2"/>
    <x v="39"/>
    <x v="254"/>
    <x v="1675"/>
    <x v="0"/>
    <x v="15"/>
    <x v="4"/>
  </r>
  <r>
    <x v="15"/>
    <x v="135"/>
    <x v="3"/>
    <x v="3"/>
    <x v="0"/>
    <x v="2"/>
    <x v="39"/>
    <x v="149"/>
    <x v="1676"/>
    <x v="0"/>
    <x v="15"/>
    <x v="4"/>
  </r>
  <r>
    <x v="15"/>
    <x v="160"/>
    <x v="0"/>
    <x v="0"/>
    <x v="0"/>
    <x v="2"/>
    <x v="39"/>
    <x v="179"/>
    <x v="1677"/>
    <x v="0"/>
    <x v="15"/>
    <x v="4"/>
  </r>
  <r>
    <x v="15"/>
    <x v="145"/>
    <x v="5"/>
    <x v="5"/>
    <x v="0"/>
    <x v="2"/>
    <x v="39"/>
    <x v="124"/>
    <x v="810"/>
    <x v="0"/>
    <x v="15"/>
    <x v="4"/>
  </r>
  <r>
    <x v="15"/>
    <x v="40"/>
    <x v="1"/>
    <x v="1"/>
    <x v="0"/>
    <x v="2"/>
    <x v="39"/>
    <x v="125"/>
    <x v="1678"/>
    <x v="0"/>
    <x v="15"/>
    <x v="4"/>
  </r>
  <r>
    <x v="15"/>
    <x v="1"/>
    <x v="1"/>
    <x v="1"/>
    <x v="0"/>
    <x v="2"/>
    <x v="1"/>
    <x v="1"/>
    <x v="1"/>
    <x v="491"/>
    <x v="15"/>
    <x v="4"/>
  </r>
  <r>
    <x v="16"/>
    <x v="71"/>
    <x v="6"/>
    <x v="6"/>
    <x v="0"/>
    <x v="2"/>
    <x v="39"/>
    <x v="37"/>
    <x v="1679"/>
    <x v="0"/>
    <x v="16"/>
    <x v="4"/>
  </r>
  <r>
    <x v="16"/>
    <x v="145"/>
    <x v="5"/>
    <x v="5"/>
    <x v="0"/>
    <x v="2"/>
    <x v="39"/>
    <x v="124"/>
    <x v="1680"/>
    <x v="0"/>
    <x v="16"/>
    <x v="4"/>
  </r>
  <r>
    <x v="16"/>
    <x v="128"/>
    <x v="1"/>
    <x v="1"/>
    <x v="0"/>
    <x v="2"/>
    <x v="39"/>
    <x v="164"/>
    <x v="1681"/>
    <x v="0"/>
    <x v="16"/>
    <x v="4"/>
  </r>
  <r>
    <x v="16"/>
    <x v="1"/>
    <x v="1"/>
    <x v="1"/>
    <x v="0"/>
    <x v="2"/>
    <x v="1"/>
    <x v="1"/>
    <x v="1"/>
    <x v="492"/>
    <x v="16"/>
    <x v="4"/>
  </r>
  <r>
    <x v="17"/>
    <x v="107"/>
    <x v="2"/>
    <x v="2"/>
    <x v="0"/>
    <x v="2"/>
    <x v="39"/>
    <x v="158"/>
    <x v="240"/>
    <x v="0"/>
    <x v="17"/>
    <x v="4"/>
  </r>
  <r>
    <x v="17"/>
    <x v="79"/>
    <x v="3"/>
    <x v="3"/>
    <x v="0"/>
    <x v="2"/>
    <x v="39"/>
    <x v="142"/>
    <x v="1682"/>
    <x v="0"/>
    <x v="17"/>
    <x v="4"/>
  </r>
  <r>
    <x v="17"/>
    <x v="62"/>
    <x v="4"/>
    <x v="4"/>
    <x v="0"/>
    <x v="2"/>
    <x v="39"/>
    <x v="176"/>
    <x v="816"/>
    <x v="0"/>
    <x v="17"/>
    <x v="4"/>
  </r>
  <r>
    <x v="17"/>
    <x v="22"/>
    <x v="1"/>
    <x v="1"/>
    <x v="0"/>
    <x v="2"/>
    <x v="39"/>
    <x v="211"/>
    <x v="1683"/>
    <x v="0"/>
    <x v="17"/>
    <x v="4"/>
  </r>
  <r>
    <x v="17"/>
    <x v="98"/>
    <x v="1"/>
    <x v="1"/>
    <x v="0"/>
    <x v="2"/>
    <x v="39"/>
    <x v="198"/>
    <x v="1684"/>
    <x v="0"/>
    <x v="17"/>
    <x v="4"/>
  </r>
  <r>
    <x v="17"/>
    <x v="1"/>
    <x v="1"/>
    <x v="1"/>
    <x v="0"/>
    <x v="2"/>
    <x v="1"/>
    <x v="1"/>
    <x v="1"/>
    <x v="493"/>
    <x v="17"/>
    <x v="4"/>
  </r>
  <r>
    <x v="18"/>
    <x v="70"/>
    <x v="2"/>
    <x v="2"/>
    <x v="0"/>
    <x v="2"/>
    <x v="39"/>
    <x v="36"/>
    <x v="1685"/>
    <x v="0"/>
    <x v="18"/>
    <x v="4"/>
  </r>
  <r>
    <x v="18"/>
    <x v="77"/>
    <x v="5"/>
    <x v="5"/>
    <x v="0"/>
    <x v="2"/>
    <x v="39"/>
    <x v="156"/>
    <x v="1686"/>
    <x v="0"/>
    <x v="18"/>
    <x v="4"/>
  </r>
  <r>
    <x v="18"/>
    <x v="33"/>
    <x v="1"/>
    <x v="1"/>
    <x v="0"/>
    <x v="2"/>
    <x v="39"/>
    <x v="241"/>
    <x v="988"/>
    <x v="0"/>
    <x v="18"/>
    <x v="4"/>
  </r>
  <r>
    <x v="18"/>
    <x v="1"/>
    <x v="1"/>
    <x v="1"/>
    <x v="0"/>
    <x v="2"/>
    <x v="1"/>
    <x v="1"/>
    <x v="1"/>
    <x v="494"/>
    <x v="18"/>
    <x v="4"/>
  </r>
  <r>
    <x v="19"/>
    <x v="70"/>
    <x v="2"/>
    <x v="2"/>
    <x v="0"/>
    <x v="2"/>
    <x v="39"/>
    <x v="36"/>
    <x v="1687"/>
    <x v="0"/>
    <x v="19"/>
    <x v="4"/>
  </r>
  <r>
    <x v="19"/>
    <x v="31"/>
    <x v="4"/>
    <x v="4"/>
    <x v="0"/>
    <x v="2"/>
    <x v="39"/>
    <x v="72"/>
    <x v="1688"/>
    <x v="0"/>
    <x v="19"/>
    <x v="4"/>
  </r>
  <r>
    <x v="19"/>
    <x v="58"/>
    <x v="1"/>
    <x v="1"/>
    <x v="0"/>
    <x v="2"/>
    <x v="39"/>
    <x v="84"/>
    <x v="1689"/>
    <x v="0"/>
    <x v="19"/>
    <x v="4"/>
  </r>
  <r>
    <x v="19"/>
    <x v="1"/>
    <x v="1"/>
    <x v="1"/>
    <x v="0"/>
    <x v="2"/>
    <x v="1"/>
    <x v="1"/>
    <x v="1"/>
    <x v="495"/>
    <x v="19"/>
    <x v="4"/>
  </r>
  <r>
    <x v="20"/>
    <x v="133"/>
    <x v="2"/>
    <x v="2"/>
    <x v="0"/>
    <x v="2"/>
    <x v="39"/>
    <x v="254"/>
    <x v="1690"/>
    <x v="0"/>
    <x v="20"/>
    <x v="4"/>
  </r>
  <r>
    <x v="20"/>
    <x v="71"/>
    <x v="6"/>
    <x v="6"/>
    <x v="0"/>
    <x v="2"/>
    <x v="39"/>
    <x v="37"/>
    <x v="1691"/>
    <x v="0"/>
    <x v="20"/>
    <x v="4"/>
  </r>
  <r>
    <x v="20"/>
    <x v="135"/>
    <x v="3"/>
    <x v="3"/>
    <x v="0"/>
    <x v="2"/>
    <x v="39"/>
    <x v="149"/>
    <x v="1692"/>
    <x v="0"/>
    <x v="20"/>
    <x v="4"/>
  </r>
  <r>
    <x v="20"/>
    <x v="50"/>
    <x v="4"/>
    <x v="4"/>
    <x v="0"/>
    <x v="2"/>
    <x v="39"/>
    <x v="77"/>
    <x v="1693"/>
    <x v="0"/>
    <x v="20"/>
    <x v="4"/>
  </r>
  <r>
    <x v="20"/>
    <x v="160"/>
    <x v="0"/>
    <x v="0"/>
    <x v="0"/>
    <x v="2"/>
    <x v="39"/>
    <x v="179"/>
    <x v="1176"/>
    <x v="0"/>
    <x v="20"/>
    <x v="4"/>
  </r>
  <r>
    <x v="20"/>
    <x v="45"/>
    <x v="0"/>
    <x v="0"/>
    <x v="0"/>
    <x v="2"/>
    <x v="40"/>
    <x v="180"/>
    <x v="1694"/>
    <x v="0"/>
    <x v="20"/>
    <x v="4"/>
  </r>
  <r>
    <x v="20"/>
    <x v="22"/>
    <x v="1"/>
    <x v="1"/>
    <x v="0"/>
    <x v="2"/>
    <x v="39"/>
    <x v="211"/>
    <x v="1695"/>
    <x v="0"/>
    <x v="20"/>
    <x v="4"/>
  </r>
  <r>
    <x v="20"/>
    <x v="1"/>
    <x v="1"/>
    <x v="1"/>
    <x v="0"/>
    <x v="2"/>
    <x v="1"/>
    <x v="1"/>
    <x v="1"/>
    <x v="496"/>
    <x v="20"/>
    <x v="4"/>
  </r>
  <r>
    <x v="21"/>
    <x v="85"/>
    <x v="2"/>
    <x v="2"/>
    <x v="0"/>
    <x v="2"/>
    <x v="40"/>
    <x v="161"/>
    <x v="907"/>
    <x v="0"/>
    <x v="21"/>
    <x v="4"/>
  </r>
  <r>
    <x v="21"/>
    <x v="169"/>
    <x v="6"/>
    <x v="6"/>
    <x v="0"/>
    <x v="2"/>
    <x v="40"/>
    <x v="249"/>
    <x v="907"/>
    <x v="0"/>
    <x v="21"/>
    <x v="4"/>
  </r>
  <r>
    <x v="21"/>
    <x v="44"/>
    <x v="3"/>
    <x v="3"/>
    <x v="0"/>
    <x v="2"/>
    <x v="40"/>
    <x v="191"/>
    <x v="1696"/>
    <x v="0"/>
    <x v="21"/>
    <x v="4"/>
  </r>
  <r>
    <x v="21"/>
    <x v="50"/>
    <x v="4"/>
    <x v="4"/>
    <x v="0"/>
    <x v="2"/>
    <x v="39"/>
    <x v="77"/>
    <x v="1697"/>
    <x v="0"/>
    <x v="21"/>
    <x v="4"/>
  </r>
  <r>
    <x v="21"/>
    <x v="121"/>
    <x v="0"/>
    <x v="0"/>
    <x v="0"/>
    <x v="2"/>
    <x v="40"/>
    <x v="80"/>
    <x v="907"/>
    <x v="0"/>
    <x v="21"/>
    <x v="4"/>
  </r>
  <r>
    <x v="21"/>
    <x v="76"/>
    <x v="5"/>
    <x v="5"/>
    <x v="0"/>
    <x v="2"/>
    <x v="40"/>
    <x v="182"/>
    <x v="907"/>
    <x v="0"/>
    <x v="21"/>
    <x v="4"/>
  </r>
  <r>
    <x v="21"/>
    <x v="40"/>
    <x v="1"/>
    <x v="1"/>
    <x v="0"/>
    <x v="2"/>
    <x v="39"/>
    <x v="125"/>
    <x v="1698"/>
    <x v="0"/>
    <x v="21"/>
    <x v="4"/>
  </r>
  <r>
    <x v="21"/>
    <x v="152"/>
    <x v="1"/>
    <x v="1"/>
    <x v="0"/>
    <x v="2"/>
    <x v="39"/>
    <x v="194"/>
    <x v="1699"/>
    <x v="0"/>
    <x v="21"/>
    <x v="4"/>
  </r>
  <r>
    <x v="21"/>
    <x v="1"/>
    <x v="1"/>
    <x v="1"/>
    <x v="0"/>
    <x v="2"/>
    <x v="1"/>
    <x v="1"/>
    <x v="1"/>
    <x v="497"/>
    <x v="21"/>
    <x v="4"/>
  </r>
  <r>
    <x v="72"/>
    <x v="64"/>
    <x v="2"/>
    <x v="2"/>
    <x v="0"/>
    <x v="2"/>
    <x v="39"/>
    <x v="139"/>
    <x v="1700"/>
    <x v="0"/>
    <x v="72"/>
    <x v="4"/>
  </r>
  <r>
    <x v="72"/>
    <x v="107"/>
    <x v="2"/>
    <x v="2"/>
    <x v="0"/>
    <x v="2"/>
    <x v="39"/>
    <x v="158"/>
    <x v="1701"/>
    <x v="0"/>
    <x v="72"/>
    <x v="4"/>
  </r>
  <r>
    <x v="72"/>
    <x v="102"/>
    <x v="6"/>
    <x v="6"/>
    <x v="0"/>
    <x v="2"/>
    <x v="39"/>
    <x v="141"/>
    <x v="1702"/>
    <x v="0"/>
    <x v="72"/>
    <x v="4"/>
  </r>
  <r>
    <x v="72"/>
    <x v="23"/>
    <x v="3"/>
    <x v="3"/>
    <x v="0"/>
    <x v="2"/>
    <x v="39"/>
    <x v="221"/>
    <x v="1703"/>
    <x v="0"/>
    <x v="72"/>
    <x v="4"/>
  </r>
  <r>
    <x v="72"/>
    <x v="125"/>
    <x v="5"/>
    <x v="5"/>
    <x v="0"/>
    <x v="2"/>
    <x v="39"/>
    <x v="82"/>
    <x v="1704"/>
    <x v="0"/>
    <x v="72"/>
    <x v="4"/>
  </r>
  <r>
    <x v="72"/>
    <x v="155"/>
    <x v="1"/>
    <x v="1"/>
    <x v="0"/>
    <x v="2"/>
    <x v="39"/>
    <x v="145"/>
    <x v="1705"/>
    <x v="0"/>
    <x v="72"/>
    <x v="4"/>
  </r>
  <r>
    <x v="72"/>
    <x v="1"/>
    <x v="1"/>
    <x v="1"/>
    <x v="0"/>
    <x v="2"/>
    <x v="1"/>
    <x v="1"/>
    <x v="1"/>
    <x v="498"/>
    <x v="72"/>
    <x v="4"/>
  </r>
  <r>
    <x v="22"/>
    <x v="135"/>
    <x v="3"/>
    <x v="3"/>
    <x v="0"/>
    <x v="2"/>
    <x v="39"/>
    <x v="149"/>
    <x v="1706"/>
    <x v="0"/>
    <x v="22"/>
    <x v="4"/>
  </r>
  <r>
    <x v="22"/>
    <x v="152"/>
    <x v="1"/>
    <x v="1"/>
    <x v="0"/>
    <x v="2"/>
    <x v="40"/>
    <x v="194"/>
    <x v="1707"/>
    <x v="0"/>
    <x v="22"/>
    <x v="4"/>
  </r>
  <r>
    <x v="22"/>
    <x v="1"/>
    <x v="1"/>
    <x v="1"/>
    <x v="0"/>
    <x v="2"/>
    <x v="1"/>
    <x v="1"/>
    <x v="1"/>
    <x v="499"/>
    <x v="22"/>
    <x v="4"/>
  </r>
  <r>
    <x v="23"/>
    <x v="71"/>
    <x v="6"/>
    <x v="6"/>
    <x v="0"/>
    <x v="2"/>
    <x v="39"/>
    <x v="37"/>
    <x v="1708"/>
    <x v="0"/>
    <x v="23"/>
    <x v="4"/>
  </r>
  <r>
    <x v="23"/>
    <x v="108"/>
    <x v="3"/>
    <x v="3"/>
    <x v="0"/>
    <x v="2"/>
    <x v="39"/>
    <x v="63"/>
    <x v="1709"/>
    <x v="0"/>
    <x v="23"/>
    <x v="4"/>
  </r>
  <r>
    <x v="23"/>
    <x v="0"/>
    <x v="0"/>
    <x v="0"/>
    <x v="0"/>
    <x v="2"/>
    <x v="39"/>
    <x v="197"/>
    <x v="1710"/>
    <x v="0"/>
    <x v="23"/>
    <x v="4"/>
  </r>
  <r>
    <x v="23"/>
    <x v="145"/>
    <x v="5"/>
    <x v="5"/>
    <x v="0"/>
    <x v="2"/>
    <x v="39"/>
    <x v="124"/>
    <x v="1711"/>
    <x v="0"/>
    <x v="23"/>
    <x v="4"/>
  </r>
  <r>
    <x v="23"/>
    <x v="33"/>
    <x v="1"/>
    <x v="1"/>
    <x v="0"/>
    <x v="2"/>
    <x v="39"/>
    <x v="241"/>
    <x v="1712"/>
    <x v="0"/>
    <x v="23"/>
    <x v="4"/>
  </r>
  <r>
    <x v="23"/>
    <x v="128"/>
    <x v="1"/>
    <x v="1"/>
    <x v="0"/>
    <x v="2"/>
    <x v="39"/>
    <x v="164"/>
    <x v="1713"/>
    <x v="0"/>
    <x v="23"/>
    <x v="4"/>
  </r>
  <r>
    <x v="23"/>
    <x v="1"/>
    <x v="1"/>
    <x v="1"/>
    <x v="0"/>
    <x v="2"/>
    <x v="1"/>
    <x v="1"/>
    <x v="1"/>
    <x v="500"/>
    <x v="23"/>
    <x v="4"/>
  </r>
  <r>
    <x v="24"/>
    <x v="87"/>
    <x v="6"/>
    <x v="6"/>
    <x v="0"/>
    <x v="2"/>
    <x v="40"/>
    <x v="189"/>
    <x v="1714"/>
    <x v="0"/>
    <x v="24"/>
    <x v="4"/>
  </r>
  <r>
    <x v="24"/>
    <x v="71"/>
    <x v="6"/>
    <x v="6"/>
    <x v="0"/>
    <x v="2"/>
    <x v="39"/>
    <x v="37"/>
    <x v="1715"/>
    <x v="0"/>
    <x v="24"/>
    <x v="4"/>
  </r>
  <r>
    <x v="24"/>
    <x v="125"/>
    <x v="5"/>
    <x v="5"/>
    <x v="0"/>
    <x v="2"/>
    <x v="39"/>
    <x v="82"/>
    <x v="905"/>
    <x v="0"/>
    <x v="24"/>
    <x v="4"/>
  </r>
  <r>
    <x v="24"/>
    <x v="63"/>
    <x v="5"/>
    <x v="5"/>
    <x v="0"/>
    <x v="2"/>
    <x v="39"/>
    <x v="111"/>
    <x v="1716"/>
    <x v="0"/>
    <x v="24"/>
    <x v="4"/>
  </r>
  <r>
    <x v="24"/>
    <x v="1"/>
    <x v="1"/>
    <x v="1"/>
    <x v="0"/>
    <x v="2"/>
    <x v="1"/>
    <x v="1"/>
    <x v="1"/>
    <x v="501"/>
    <x v="24"/>
    <x v="4"/>
  </r>
  <r>
    <x v="25"/>
    <x v="64"/>
    <x v="2"/>
    <x v="2"/>
    <x v="0"/>
    <x v="2"/>
    <x v="39"/>
    <x v="139"/>
    <x v="1717"/>
    <x v="0"/>
    <x v="25"/>
    <x v="4"/>
  </r>
  <r>
    <x v="25"/>
    <x v="68"/>
    <x v="4"/>
    <x v="4"/>
    <x v="0"/>
    <x v="2"/>
    <x v="39"/>
    <x v="222"/>
    <x v="1718"/>
    <x v="0"/>
    <x v="25"/>
    <x v="4"/>
  </r>
  <r>
    <x v="25"/>
    <x v="160"/>
    <x v="0"/>
    <x v="0"/>
    <x v="0"/>
    <x v="2"/>
    <x v="39"/>
    <x v="179"/>
    <x v="419"/>
    <x v="0"/>
    <x v="25"/>
    <x v="4"/>
  </r>
  <r>
    <x v="25"/>
    <x v="145"/>
    <x v="5"/>
    <x v="5"/>
    <x v="0"/>
    <x v="2"/>
    <x v="39"/>
    <x v="124"/>
    <x v="1719"/>
    <x v="0"/>
    <x v="25"/>
    <x v="4"/>
  </r>
  <r>
    <x v="25"/>
    <x v="1"/>
    <x v="1"/>
    <x v="1"/>
    <x v="0"/>
    <x v="2"/>
    <x v="1"/>
    <x v="1"/>
    <x v="1"/>
    <x v="502"/>
    <x v="25"/>
    <x v="4"/>
  </r>
  <r>
    <x v="26"/>
    <x v="65"/>
    <x v="6"/>
    <x v="6"/>
    <x v="0"/>
    <x v="2"/>
    <x v="39"/>
    <x v="190"/>
    <x v="1720"/>
    <x v="0"/>
    <x v="26"/>
    <x v="4"/>
  </r>
  <r>
    <x v="26"/>
    <x v="65"/>
    <x v="6"/>
    <x v="6"/>
    <x v="0"/>
    <x v="2"/>
    <x v="40"/>
    <x v="190"/>
    <x v="1721"/>
    <x v="0"/>
    <x v="26"/>
    <x v="4"/>
  </r>
  <r>
    <x v="26"/>
    <x v="135"/>
    <x v="3"/>
    <x v="3"/>
    <x v="0"/>
    <x v="2"/>
    <x v="39"/>
    <x v="149"/>
    <x v="1722"/>
    <x v="0"/>
    <x v="26"/>
    <x v="4"/>
  </r>
  <r>
    <x v="26"/>
    <x v="50"/>
    <x v="4"/>
    <x v="4"/>
    <x v="0"/>
    <x v="2"/>
    <x v="39"/>
    <x v="77"/>
    <x v="1723"/>
    <x v="0"/>
    <x v="26"/>
    <x v="4"/>
  </r>
  <r>
    <x v="26"/>
    <x v="31"/>
    <x v="4"/>
    <x v="4"/>
    <x v="0"/>
    <x v="2"/>
    <x v="39"/>
    <x v="72"/>
    <x v="1724"/>
    <x v="0"/>
    <x v="26"/>
    <x v="4"/>
  </r>
  <r>
    <x v="26"/>
    <x v="33"/>
    <x v="1"/>
    <x v="1"/>
    <x v="0"/>
    <x v="2"/>
    <x v="39"/>
    <x v="241"/>
    <x v="1220"/>
    <x v="0"/>
    <x v="26"/>
    <x v="4"/>
  </r>
  <r>
    <x v="26"/>
    <x v="1"/>
    <x v="1"/>
    <x v="1"/>
    <x v="0"/>
    <x v="2"/>
    <x v="1"/>
    <x v="1"/>
    <x v="1"/>
    <x v="503"/>
    <x v="26"/>
    <x v="4"/>
  </r>
  <r>
    <x v="27"/>
    <x v="156"/>
    <x v="4"/>
    <x v="4"/>
    <x v="0"/>
    <x v="2"/>
    <x v="39"/>
    <x v="146"/>
    <x v="1725"/>
    <x v="0"/>
    <x v="27"/>
    <x v="4"/>
  </r>
  <r>
    <x v="27"/>
    <x v="58"/>
    <x v="1"/>
    <x v="1"/>
    <x v="0"/>
    <x v="2"/>
    <x v="39"/>
    <x v="84"/>
    <x v="1726"/>
    <x v="0"/>
    <x v="27"/>
    <x v="4"/>
  </r>
  <r>
    <x v="27"/>
    <x v="98"/>
    <x v="1"/>
    <x v="1"/>
    <x v="0"/>
    <x v="2"/>
    <x v="39"/>
    <x v="198"/>
    <x v="1727"/>
    <x v="0"/>
    <x v="27"/>
    <x v="4"/>
  </r>
  <r>
    <x v="27"/>
    <x v="128"/>
    <x v="1"/>
    <x v="1"/>
    <x v="0"/>
    <x v="2"/>
    <x v="39"/>
    <x v="164"/>
    <x v="1728"/>
    <x v="0"/>
    <x v="27"/>
    <x v="4"/>
  </r>
  <r>
    <x v="27"/>
    <x v="1"/>
    <x v="1"/>
    <x v="1"/>
    <x v="0"/>
    <x v="2"/>
    <x v="1"/>
    <x v="1"/>
    <x v="1"/>
    <x v="504"/>
    <x v="27"/>
    <x v="4"/>
  </r>
  <r>
    <x v="28"/>
    <x v="64"/>
    <x v="2"/>
    <x v="2"/>
    <x v="0"/>
    <x v="2"/>
    <x v="39"/>
    <x v="139"/>
    <x v="905"/>
    <x v="0"/>
    <x v="28"/>
    <x v="4"/>
  </r>
  <r>
    <x v="28"/>
    <x v="86"/>
    <x v="6"/>
    <x v="6"/>
    <x v="0"/>
    <x v="2"/>
    <x v="39"/>
    <x v="224"/>
    <x v="1729"/>
    <x v="0"/>
    <x v="28"/>
    <x v="4"/>
  </r>
  <r>
    <x v="28"/>
    <x v="52"/>
    <x v="0"/>
    <x v="0"/>
    <x v="0"/>
    <x v="2"/>
    <x v="40"/>
    <x v="107"/>
    <x v="187"/>
    <x v="0"/>
    <x v="28"/>
    <x v="4"/>
  </r>
  <r>
    <x v="28"/>
    <x v="155"/>
    <x v="1"/>
    <x v="1"/>
    <x v="0"/>
    <x v="2"/>
    <x v="39"/>
    <x v="145"/>
    <x v="1730"/>
    <x v="0"/>
    <x v="28"/>
    <x v="4"/>
  </r>
  <r>
    <x v="28"/>
    <x v="128"/>
    <x v="1"/>
    <x v="1"/>
    <x v="0"/>
    <x v="2"/>
    <x v="39"/>
    <x v="164"/>
    <x v="1242"/>
    <x v="0"/>
    <x v="28"/>
    <x v="4"/>
  </r>
  <r>
    <x v="28"/>
    <x v="1"/>
    <x v="1"/>
    <x v="1"/>
    <x v="0"/>
    <x v="2"/>
    <x v="1"/>
    <x v="1"/>
    <x v="1"/>
    <x v="505"/>
    <x v="28"/>
    <x v="4"/>
  </r>
  <r>
    <x v="29"/>
    <x v="86"/>
    <x v="6"/>
    <x v="6"/>
    <x v="0"/>
    <x v="2"/>
    <x v="39"/>
    <x v="224"/>
    <x v="1731"/>
    <x v="0"/>
    <x v="29"/>
    <x v="4"/>
  </r>
  <r>
    <x v="29"/>
    <x v="97"/>
    <x v="5"/>
    <x v="5"/>
    <x v="0"/>
    <x v="2"/>
    <x v="40"/>
    <x v="183"/>
    <x v="1732"/>
    <x v="0"/>
    <x v="29"/>
    <x v="4"/>
  </r>
  <r>
    <x v="29"/>
    <x v="13"/>
    <x v="5"/>
    <x v="5"/>
    <x v="0"/>
    <x v="2"/>
    <x v="39"/>
    <x v="120"/>
    <x v="1084"/>
    <x v="0"/>
    <x v="29"/>
    <x v="4"/>
  </r>
  <r>
    <x v="29"/>
    <x v="101"/>
    <x v="1"/>
    <x v="1"/>
    <x v="0"/>
    <x v="2"/>
    <x v="40"/>
    <x v="207"/>
    <x v="840"/>
    <x v="0"/>
    <x v="29"/>
    <x v="4"/>
  </r>
  <r>
    <x v="29"/>
    <x v="55"/>
    <x v="1"/>
    <x v="1"/>
    <x v="0"/>
    <x v="2"/>
    <x v="39"/>
    <x v="188"/>
    <x v="1733"/>
    <x v="0"/>
    <x v="29"/>
    <x v="4"/>
  </r>
  <r>
    <x v="29"/>
    <x v="128"/>
    <x v="1"/>
    <x v="1"/>
    <x v="0"/>
    <x v="2"/>
    <x v="39"/>
    <x v="164"/>
    <x v="1734"/>
    <x v="0"/>
    <x v="29"/>
    <x v="4"/>
  </r>
  <r>
    <x v="29"/>
    <x v="128"/>
    <x v="1"/>
    <x v="1"/>
    <x v="0"/>
    <x v="2"/>
    <x v="40"/>
    <x v="164"/>
    <x v="1136"/>
    <x v="0"/>
    <x v="29"/>
    <x v="4"/>
  </r>
  <r>
    <x v="29"/>
    <x v="1"/>
    <x v="1"/>
    <x v="1"/>
    <x v="0"/>
    <x v="2"/>
    <x v="1"/>
    <x v="1"/>
    <x v="1"/>
    <x v="506"/>
    <x v="29"/>
    <x v="4"/>
  </r>
  <r>
    <x v="30"/>
    <x v="64"/>
    <x v="2"/>
    <x v="2"/>
    <x v="0"/>
    <x v="2"/>
    <x v="39"/>
    <x v="139"/>
    <x v="1735"/>
    <x v="0"/>
    <x v="30"/>
    <x v="4"/>
  </r>
  <r>
    <x v="30"/>
    <x v="71"/>
    <x v="6"/>
    <x v="6"/>
    <x v="0"/>
    <x v="2"/>
    <x v="39"/>
    <x v="37"/>
    <x v="1365"/>
    <x v="0"/>
    <x v="30"/>
    <x v="4"/>
  </r>
  <r>
    <x v="30"/>
    <x v="160"/>
    <x v="0"/>
    <x v="0"/>
    <x v="0"/>
    <x v="2"/>
    <x v="39"/>
    <x v="179"/>
    <x v="1579"/>
    <x v="0"/>
    <x v="30"/>
    <x v="4"/>
  </r>
  <r>
    <x v="30"/>
    <x v="1"/>
    <x v="1"/>
    <x v="1"/>
    <x v="0"/>
    <x v="2"/>
    <x v="1"/>
    <x v="1"/>
    <x v="1"/>
    <x v="507"/>
    <x v="30"/>
    <x v="4"/>
  </r>
  <r>
    <x v="31"/>
    <x v="68"/>
    <x v="4"/>
    <x v="4"/>
    <x v="0"/>
    <x v="2"/>
    <x v="39"/>
    <x v="222"/>
    <x v="1736"/>
    <x v="0"/>
    <x v="31"/>
    <x v="4"/>
  </r>
  <r>
    <x v="31"/>
    <x v="153"/>
    <x v="5"/>
    <x v="5"/>
    <x v="0"/>
    <x v="2"/>
    <x v="39"/>
    <x v="157"/>
    <x v="816"/>
    <x v="0"/>
    <x v="31"/>
    <x v="4"/>
  </r>
  <r>
    <x v="31"/>
    <x v="1"/>
    <x v="1"/>
    <x v="1"/>
    <x v="0"/>
    <x v="2"/>
    <x v="1"/>
    <x v="1"/>
    <x v="1"/>
    <x v="508"/>
    <x v="31"/>
    <x v="4"/>
  </r>
  <r>
    <x v="32"/>
    <x v="50"/>
    <x v="4"/>
    <x v="4"/>
    <x v="0"/>
    <x v="2"/>
    <x v="39"/>
    <x v="77"/>
    <x v="1737"/>
    <x v="0"/>
    <x v="32"/>
    <x v="4"/>
  </r>
  <r>
    <x v="32"/>
    <x v="115"/>
    <x v="5"/>
    <x v="5"/>
    <x v="0"/>
    <x v="2"/>
    <x v="39"/>
    <x v="213"/>
    <x v="1335"/>
    <x v="0"/>
    <x v="32"/>
    <x v="4"/>
  </r>
  <r>
    <x v="32"/>
    <x v="40"/>
    <x v="1"/>
    <x v="1"/>
    <x v="0"/>
    <x v="2"/>
    <x v="39"/>
    <x v="125"/>
    <x v="1738"/>
    <x v="0"/>
    <x v="32"/>
    <x v="4"/>
  </r>
  <r>
    <x v="32"/>
    <x v="33"/>
    <x v="1"/>
    <x v="1"/>
    <x v="0"/>
    <x v="2"/>
    <x v="39"/>
    <x v="241"/>
    <x v="1575"/>
    <x v="0"/>
    <x v="32"/>
    <x v="4"/>
  </r>
  <r>
    <x v="32"/>
    <x v="1"/>
    <x v="1"/>
    <x v="1"/>
    <x v="0"/>
    <x v="2"/>
    <x v="1"/>
    <x v="1"/>
    <x v="1"/>
    <x v="509"/>
    <x v="32"/>
    <x v="4"/>
  </r>
  <r>
    <x v="33"/>
    <x v="21"/>
    <x v="6"/>
    <x v="6"/>
    <x v="0"/>
    <x v="2"/>
    <x v="39"/>
    <x v="70"/>
    <x v="848"/>
    <x v="0"/>
    <x v="33"/>
    <x v="4"/>
  </r>
  <r>
    <x v="33"/>
    <x v="68"/>
    <x v="4"/>
    <x v="4"/>
    <x v="0"/>
    <x v="2"/>
    <x v="39"/>
    <x v="222"/>
    <x v="1739"/>
    <x v="0"/>
    <x v="33"/>
    <x v="4"/>
  </r>
  <r>
    <x v="33"/>
    <x v="50"/>
    <x v="4"/>
    <x v="4"/>
    <x v="0"/>
    <x v="2"/>
    <x v="39"/>
    <x v="77"/>
    <x v="764"/>
    <x v="0"/>
    <x v="33"/>
    <x v="4"/>
  </r>
  <r>
    <x v="33"/>
    <x v="13"/>
    <x v="5"/>
    <x v="5"/>
    <x v="0"/>
    <x v="2"/>
    <x v="39"/>
    <x v="120"/>
    <x v="1740"/>
    <x v="0"/>
    <x v="33"/>
    <x v="4"/>
  </r>
  <r>
    <x v="33"/>
    <x v="33"/>
    <x v="1"/>
    <x v="1"/>
    <x v="0"/>
    <x v="2"/>
    <x v="39"/>
    <x v="241"/>
    <x v="1741"/>
    <x v="0"/>
    <x v="33"/>
    <x v="4"/>
  </r>
  <r>
    <x v="33"/>
    <x v="55"/>
    <x v="1"/>
    <x v="1"/>
    <x v="0"/>
    <x v="2"/>
    <x v="39"/>
    <x v="188"/>
    <x v="1742"/>
    <x v="0"/>
    <x v="33"/>
    <x v="4"/>
  </r>
  <r>
    <x v="33"/>
    <x v="1"/>
    <x v="1"/>
    <x v="1"/>
    <x v="0"/>
    <x v="2"/>
    <x v="1"/>
    <x v="1"/>
    <x v="1"/>
    <x v="510"/>
    <x v="33"/>
    <x v="4"/>
  </r>
  <r>
    <x v="34"/>
    <x v="64"/>
    <x v="2"/>
    <x v="2"/>
    <x v="0"/>
    <x v="2"/>
    <x v="39"/>
    <x v="139"/>
    <x v="1236"/>
    <x v="0"/>
    <x v="34"/>
    <x v="4"/>
  </r>
  <r>
    <x v="34"/>
    <x v="65"/>
    <x v="6"/>
    <x v="6"/>
    <x v="0"/>
    <x v="2"/>
    <x v="39"/>
    <x v="190"/>
    <x v="1743"/>
    <x v="0"/>
    <x v="34"/>
    <x v="4"/>
  </r>
  <r>
    <x v="34"/>
    <x v="79"/>
    <x v="3"/>
    <x v="3"/>
    <x v="0"/>
    <x v="2"/>
    <x v="39"/>
    <x v="142"/>
    <x v="865"/>
    <x v="0"/>
    <x v="34"/>
    <x v="4"/>
  </r>
  <r>
    <x v="34"/>
    <x v="156"/>
    <x v="4"/>
    <x v="4"/>
    <x v="0"/>
    <x v="2"/>
    <x v="39"/>
    <x v="146"/>
    <x v="1236"/>
    <x v="0"/>
    <x v="34"/>
    <x v="4"/>
  </r>
  <r>
    <x v="34"/>
    <x v="160"/>
    <x v="0"/>
    <x v="0"/>
    <x v="0"/>
    <x v="2"/>
    <x v="39"/>
    <x v="179"/>
    <x v="900"/>
    <x v="0"/>
    <x v="34"/>
    <x v="4"/>
  </r>
  <r>
    <x v="34"/>
    <x v="13"/>
    <x v="5"/>
    <x v="5"/>
    <x v="0"/>
    <x v="2"/>
    <x v="39"/>
    <x v="120"/>
    <x v="1744"/>
    <x v="0"/>
    <x v="34"/>
    <x v="4"/>
  </r>
  <r>
    <x v="34"/>
    <x v="1"/>
    <x v="1"/>
    <x v="1"/>
    <x v="0"/>
    <x v="2"/>
    <x v="1"/>
    <x v="1"/>
    <x v="1"/>
    <x v="511"/>
    <x v="34"/>
    <x v="4"/>
  </r>
  <r>
    <x v="35"/>
    <x v="79"/>
    <x v="3"/>
    <x v="3"/>
    <x v="0"/>
    <x v="2"/>
    <x v="39"/>
    <x v="142"/>
    <x v="1582"/>
    <x v="0"/>
    <x v="35"/>
    <x v="4"/>
  </r>
  <r>
    <x v="35"/>
    <x v="79"/>
    <x v="3"/>
    <x v="3"/>
    <x v="0"/>
    <x v="2"/>
    <x v="39"/>
    <x v="142"/>
    <x v="1"/>
    <x v="454"/>
    <x v="35"/>
    <x v="4"/>
  </r>
  <r>
    <x v="35"/>
    <x v="44"/>
    <x v="3"/>
    <x v="3"/>
    <x v="0"/>
    <x v="2"/>
    <x v="39"/>
    <x v="191"/>
    <x v="1745"/>
    <x v="0"/>
    <x v="35"/>
    <x v="4"/>
  </r>
  <r>
    <x v="35"/>
    <x v="154"/>
    <x v="4"/>
    <x v="4"/>
    <x v="0"/>
    <x v="2"/>
    <x v="39"/>
    <x v="143"/>
    <x v="587"/>
    <x v="0"/>
    <x v="35"/>
    <x v="4"/>
  </r>
  <r>
    <x v="35"/>
    <x v="46"/>
    <x v="0"/>
    <x v="0"/>
    <x v="0"/>
    <x v="2"/>
    <x v="39"/>
    <x v="155"/>
    <x v="1746"/>
    <x v="0"/>
    <x v="35"/>
    <x v="4"/>
  </r>
  <r>
    <x v="35"/>
    <x v="139"/>
    <x v="5"/>
    <x v="5"/>
    <x v="0"/>
    <x v="2"/>
    <x v="39"/>
    <x v="110"/>
    <x v="1747"/>
    <x v="0"/>
    <x v="35"/>
    <x v="4"/>
  </r>
  <r>
    <x v="35"/>
    <x v="41"/>
    <x v="1"/>
    <x v="1"/>
    <x v="0"/>
    <x v="2"/>
    <x v="39"/>
    <x v="113"/>
    <x v="1748"/>
    <x v="0"/>
    <x v="35"/>
    <x v="4"/>
  </r>
  <r>
    <x v="35"/>
    <x v="128"/>
    <x v="1"/>
    <x v="1"/>
    <x v="0"/>
    <x v="2"/>
    <x v="39"/>
    <x v="164"/>
    <x v="1749"/>
    <x v="0"/>
    <x v="35"/>
    <x v="4"/>
  </r>
  <r>
    <x v="35"/>
    <x v="1"/>
    <x v="1"/>
    <x v="1"/>
    <x v="0"/>
    <x v="2"/>
    <x v="1"/>
    <x v="1"/>
    <x v="1"/>
    <x v="512"/>
    <x v="35"/>
    <x v="4"/>
  </r>
  <r>
    <x v="77"/>
    <x v="111"/>
    <x v="2"/>
    <x v="2"/>
    <x v="0"/>
    <x v="2"/>
    <x v="40"/>
    <x v="75"/>
    <x v="1737"/>
    <x v="0"/>
    <x v="77"/>
    <x v="4"/>
  </r>
  <r>
    <x v="77"/>
    <x v="154"/>
    <x v="4"/>
    <x v="4"/>
    <x v="0"/>
    <x v="2"/>
    <x v="39"/>
    <x v="143"/>
    <x v="782"/>
    <x v="0"/>
    <x v="77"/>
    <x v="4"/>
  </r>
  <r>
    <x v="77"/>
    <x v="41"/>
    <x v="1"/>
    <x v="1"/>
    <x v="0"/>
    <x v="2"/>
    <x v="39"/>
    <x v="113"/>
    <x v="1750"/>
    <x v="0"/>
    <x v="77"/>
    <x v="4"/>
  </r>
  <r>
    <x v="77"/>
    <x v="152"/>
    <x v="1"/>
    <x v="1"/>
    <x v="0"/>
    <x v="2"/>
    <x v="39"/>
    <x v="194"/>
    <x v="1751"/>
    <x v="0"/>
    <x v="77"/>
    <x v="4"/>
  </r>
  <r>
    <x v="77"/>
    <x v="128"/>
    <x v="1"/>
    <x v="1"/>
    <x v="0"/>
    <x v="2"/>
    <x v="39"/>
    <x v="164"/>
    <x v="1752"/>
    <x v="0"/>
    <x v="77"/>
    <x v="4"/>
  </r>
  <r>
    <x v="77"/>
    <x v="1"/>
    <x v="1"/>
    <x v="1"/>
    <x v="0"/>
    <x v="2"/>
    <x v="1"/>
    <x v="1"/>
    <x v="1"/>
    <x v="513"/>
    <x v="77"/>
    <x v="4"/>
  </r>
  <r>
    <x v="36"/>
    <x v="144"/>
    <x v="2"/>
    <x v="2"/>
    <x v="0"/>
    <x v="2"/>
    <x v="39"/>
    <x v="162"/>
    <x v="1753"/>
    <x v="0"/>
    <x v="36"/>
    <x v="4"/>
  </r>
  <r>
    <x v="36"/>
    <x v="36"/>
    <x v="6"/>
    <x v="6"/>
    <x v="0"/>
    <x v="2"/>
    <x v="40"/>
    <x v="94"/>
    <x v="1754"/>
    <x v="0"/>
    <x v="36"/>
    <x v="4"/>
  </r>
  <r>
    <x v="36"/>
    <x v="102"/>
    <x v="6"/>
    <x v="6"/>
    <x v="0"/>
    <x v="2"/>
    <x v="39"/>
    <x v="141"/>
    <x v="1755"/>
    <x v="0"/>
    <x v="36"/>
    <x v="4"/>
  </r>
  <r>
    <x v="36"/>
    <x v="108"/>
    <x v="3"/>
    <x v="3"/>
    <x v="0"/>
    <x v="2"/>
    <x v="40"/>
    <x v="63"/>
    <x v="1756"/>
    <x v="0"/>
    <x v="36"/>
    <x v="4"/>
  </r>
  <r>
    <x v="36"/>
    <x v="43"/>
    <x v="3"/>
    <x v="3"/>
    <x v="0"/>
    <x v="2"/>
    <x v="39"/>
    <x v="71"/>
    <x v="1757"/>
    <x v="0"/>
    <x v="36"/>
    <x v="4"/>
  </r>
  <r>
    <x v="36"/>
    <x v="68"/>
    <x v="4"/>
    <x v="4"/>
    <x v="0"/>
    <x v="2"/>
    <x v="39"/>
    <x v="222"/>
    <x v="187"/>
    <x v="0"/>
    <x v="36"/>
    <x v="4"/>
  </r>
  <r>
    <x v="36"/>
    <x v="50"/>
    <x v="4"/>
    <x v="4"/>
    <x v="0"/>
    <x v="2"/>
    <x v="39"/>
    <x v="77"/>
    <x v="1758"/>
    <x v="0"/>
    <x v="36"/>
    <x v="4"/>
  </r>
  <r>
    <x v="36"/>
    <x v="57"/>
    <x v="0"/>
    <x v="0"/>
    <x v="0"/>
    <x v="2"/>
    <x v="39"/>
    <x v="44"/>
    <x v="1759"/>
    <x v="0"/>
    <x v="36"/>
    <x v="4"/>
  </r>
  <r>
    <x v="36"/>
    <x v="117"/>
    <x v="0"/>
    <x v="0"/>
    <x v="0"/>
    <x v="2"/>
    <x v="39"/>
    <x v="65"/>
    <x v="1760"/>
    <x v="0"/>
    <x v="36"/>
    <x v="4"/>
  </r>
  <r>
    <x v="36"/>
    <x v="115"/>
    <x v="5"/>
    <x v="5"/>
    <x v="0"/>
    <x v="2"/>
    <x v="39"/>
    <x v="213"/>
    <x v="1761"/>
    <x v="0"/>
    <x v="36"/>
    <x v="4"/>
  </r>
  <r>
    <x v="36"/>
    <x v="13"/>
    <x v="5"/>
    <x v="5"/>
    <x v="0"/>
    <x v="2"/>
    <x v="39"/>
    <x v="120"/>
    <x v="1762"/>
    <x v="0"/>
    <x v="36"/>
    <x v="4"/>
  </r>
  <r>
    <x v="36"/>
    <x v="153"/>
    <x v="5"/>
    <x v="5"/>
    <x v="0"/>
    <x v="2"/>
    <x v="39"/>
    <x v="157"/>
    <x v="1017"/>
    <x v="0"/>
    <x v="36"/>
    <x v="4"/>
  </r>
  <r>
    <x v="36"/>
    <x v="152"/>
    <x v="1"/>
    <x v="1"/>
    <x v="0"/>
    <x v="2"/>
    <x v="39"/>
    <x v="194"/>
    <x v="1763"/>
    <x v="0"/>
    <x v="36"/>
    <x v="4"/>
  </r>
  <r>
    <x v="36"/>
    <x v="1"/>
    <x v="1"/>
    <x v="1"/>
    <x v="0"/>
    <x v="2"/>
    <x v="1"/>
    <x v="1"/>
    <x v="1"/>
    <x v="514"/>
    <x v="36"/>
    <x v="4"/>
  </r>
  <r>
    <x v="37"/>
    <x v="147"/>
    <x v="6"/>
    <x v="6"/>
    <x v="0"/>
    <x v="2"/>
    <x v="39"/>
    <x v="132"/>
    <x v="1764"/>
    <x v="0"/>
    <x v="37"/>
    <x v="4"/>
  </r>
  <r>
    <x v="37"/>
    <x v="50"/>
    <x v="4"/>
    <x v="4"/>
    <x v="0"/>
    <x v="2"/>
    <x v="39"/>
    <x v="77"/>
    <x v="482"/>
    <x v="0"/>
    <x v="37"/>
    <x v="4"/>
  </r>
  <r>
    <x v="37"/>
    <x v="117"/>
    <x v="0"/>
    <x v="0"/>
    <x v="0"/>
    <x v="2"/>
    <x v="39"/>
    <x v="65"/>
    <x v="1765"/>
    <x v="0"/>
    <x v="37"/>
    <x v="4"/>
  </r>
  <r>
    <x v="37"/>
    <x v="1"/>
    <x v="1"/>
    <x v="1"/>
    <x v="0"/>
    <x v="2"/>
    <x v="1"/>
    <x v="1"/>
    <x v="1"/>
    <x v="515"/>
    <x v="37"/>
    <x v="4"/>
  </r>
  <r>
    <x v="38"/>
    <x v="144"/>
    <x v="2"/>
    <x v="2"/>
    <x v="0"/>
    <x v="2"/>
    <x v="39"/>
    <x v="162"/>
    <x v="858"/>
    <x v="0"/>
    <x v="38"/>
    <x v="4"/>
  </r>
  <r>
    <x v="38"/>
    <x v="77"/>
    <x v="5"/>
    <x v="5"/>
    <x v="0"/>
    <x v="2"/>
    <x v="39"/>
    <x v="156"/>
    <x v="1766"/>
    <x v="0"/>
    <x v="38"/>
    <x v="4"/>
  </r>
  <r>
    <x v="38"/>
    <x v="1"/>
    <x v="1"/>
    <x v="1"/>
    <x v="0"/>
    <x v="2"/>
    <x v="1"/>
    <x v="1"/>
    <x v="1"/>
    <x v="516"/>
    <x v="38"/>
    <x v="4"/>
  </r>
  <r>
    <x v="39"/>
    <x v="112"/>
    <x v="2"/>
    <x v="2"/>
    <x v="0"/>
    <x v="2"/>
    <x v="40"/>
    <x v="209"/>
    <x v="1767"/>
    <x v="0"/>
    <x v="39"/>
    <x v="4"/>
  </r>
  <r>
    <x v="39"/>
    <x v="86"/>
    <x v="6"/>
    <x v="6"/>
    <x v="0"/>
    <x v="2"/>
    <x v="39"/>
    <x v="224"/>
    <x v="1768"/>
    <x v="0"/>
    <x v="39"/>
    <x v="4"/>
  </r>
  <r>
    <x v="39"/>
    <x v="71"/>
    <x v="6"/>
    <x v="6"/>
    <x v="0"/>
    <x v="2"/>
    <x v="40"/>
    <x v="37"/>
    <x v="782"/>
    <x v="0"/>
    <x v="39"/>
    <x v="4"/>
  </r>
  <r>
    <x v="39"/>
    <x v="135"/>
    <x v="3"/>
    <x v="3"/>
    <x v="0"/>
    <x v="2"/>
    <x v="39"/>
    <x v="149"/>
    <x v="1769"/>
    <x v="0"/>
    <x v="39"/>
    <x v="4"/>
  </r>
  <r>
    <x v="39"/>
    <x v="156"/>
    <x v="4"/>
    <x v="4"/>
    <x v="0"/>
    <x v="2"/>
    <x v="39"/>
    <x v="146"/>
    <x v="1770"/>
    <x v="0"/>
    <x v="39"/>
    <x v="4"/>
  </r>
  <r>
    <x v="39"/>
    <x v="162"/>
    <x v="4"/>
    <x v="4"/>
    <x v="0"/>
    <x v="2"/>
    <x v="40"/>
    <x v="192"/>
    <x v="865"/>
    <x v="0"/>
    <x v="39"/>
    <x v="4"/>
  </r>
  <r>
    <x v="39"/>
    <x v="154"/>
    <x v="4"/>
    <x v="4"/>
    <x v="0"/>
    <x v="2"/>
    <x v="39"/>
    <x v="143"/>
    <x v="1771"/>
    <x v="0"/>
    <x v="39"/>
    <x v="4"/>
  </r>
  <r>
    <x v="39"/>
    <x v="160"/>
    <x v="0"/>
    <x v="0"/>
    <x v="0"/>
    <x v="2"/>
    <x v="39"/>
    <x v="179"/>
    <x v="1772"/>
    <x v="0"/>
    <x v="39"/>
    <x v="4"/>
  </r>
  <r>
    <x v="39"/>
    <x v="115"/>
    <x v="5"/>
    <x v="5"/>
    <x v="0"/>
    <x v="2"/>
    <x v="39"/>
    <x v="213"/>
    <x v="1773"/>
    <x v="0"/>
    <x v="39"/>
    <x v="4"/>
  </r>
  <r>
    <x v="39"/>
    <x v="150"/>
    <x v="5"/>
    <x v="5"/>
    <x v="0"/>
    <x v="2"/>
    <x v="39"/>
    <x v="214"/>
    <x v="806"/>
    <x v="0"/>
    <x v="39"/>
    <x v="4"/>
  </r>
  <r>
    <x v="39"/>
    <x v="128"/>
    <x v="1"/>
    <x v="1"/>
    <x v="0"/>
    <x v="2"/>
    <x v="39"/>
    <x v="164"/>
    <x v="1774"/>
    <x v="0"/>
    <x v="39"/>
    <x v="4"/>
  </r>
  <r>
    <x v="39"/>
    <x v="1"/>
    <x v="1"/>
    <x v="1"/>
    <x v="0"/>
    <x v="2"/>
    <x v="1"/>
    <x v="1"/>
    <x v="1"/>
    <x v="517"/>
    <x v="39"/>
    <x v="4"/>
  </r>
  <r>
    <x v="40"/>
    <x v="71"/>
    <x v="6"/>
    <x v="6"/>
    <x v="0"/>
    <x v="2"/>
    <x v="39"/>
    <x v="37"/>
    <x v="1775"/>
    <x v="0"/>
    <x v="40"/>
    <x v="4"/>
  </r>
  <r>
    <x v="40"/>
    <x v="90"/>
    <x v="0"/>
    <x v="0"/>
    <x v="0"/>
    <x v="2"/>
    <x v="40"/>
    <x v="79"/>
    <x v="1776"/>
    <x v="0"/>
    <x v="40"/>
    <x v="4"/>
  </r>
  <r>
    <x v="40"/>
    <x v="57"/>
    <x v="0"/>
    <x v="0"/>
    <x v="0"/>
    <x v="2"/>
    <x v="39"/>
    <x v="44"/>
    <x v="1777"/>
    <x v="0"/>
    <x v="40"/>
    <x v="4"/>
  </r>
  <r>
    <x v="40"/>
    <x v="98"/>
    <x v="1"/>
    <x v="1"/>
    <x v="0"/>
    <x v="2"/>
    <x v="39"/>
    <x v="198"/>
    <x v="1778"/>
    <x v="0"/>
    <x v="40"/>
    <x v="4"/>
  </r>
  <r>
    <x v="40"/>
    <x v="1"/>
    <x v="1"/>
    <x v="1"/>
    <x v="0"/>
    <x v="2"/>
    <x v="1"/>
    <x v="1"/>
    <x v="1"/>
    <x v="518"/>
    <x v="40"/>
    <x v="4"/>
  </r>
  <r>
    <x v="74"/>
    <x v="79"/>
    <x v="3"/>
    <x v="3"/>
    <x v="0"/>
    <x v="2"/>
    <x v="39"/>
    <x v="142"/>
    <x v="1779"/>
    <x v="0"/>
    <x v="74"/>
    <x v="4"/>
  </r>
  <r>
    <x v="74"/>
    <x v="28"/>
    <x v="3"/>
    <x v="3"/>
    <x v="0"/>
    <x v="2"/>
    <x v="40"/>
    <x v="245"/>
    <x v="1780"/>
    <x v="0"/>
    <x v="74"/>
    <x v="4"/>
  </r>
  <r>
    <x v="74"/>
    <x v="142"/>
    <x v="0"/>
    <x v="0"/>
    <x v="0"/>
    <x v="2"/>
    <x v="39"/>
    <x v="119"/>
    <x v="1781"/>
    <x v="0"/>
    <x v="74"/>
    <x v="4"/>
  </r>
  <r>
    <x v="74"/>
    <x v="72"/>
    <x v="5"/>
    <x v="5"/>
    <x v="0"/>
    <x v="2"/>
    <x v="40"/>
    <x v="38"/>
    <x v="1782"/>
    <x v="0"/>
    <x v="74"/>
    <x v="4"/>
  </r>
  <r>
    <x v="74"/>
    <x v="40"/>
    <x v="1"/>
    <x v="1"/>
    <x v="0"/>
    <x v="2"/>
    <x v="39"/>
    <x v="125"/>
    <x v="1783"/>
    <x v="0"/>
    <x v="74"/>
    <x v="4"/>
  </r>
  <r>
    <x v="74"/>
    <x v="155"/>
    <x v="1"/>
    <x v="1"/>
    <x v="0"/>
    <x v="2"/>
    <x v="39"/>
    <x v="145"/>
    <x v="1784"/>
    <x v="0"/>
    <x v="74"/>
    <x v="4"/>
  </r>
  <r>
    <x v="74"/>
    <x v="98"/>
    <x v="1"/>
    <x v="1"/>
    <x v="0"/>
    <x v="2"/>
    <x v="39"/>
    <x v="198"/>
    <x v="1785"/>
    <x v="0"/>
    <x v="74"/>
    <x v="4"/>
  </r>
  <r>
    <x v="74"/>
    <x v="1"/>
    <x v="1"/>
    <x v="1"/>
    <x v="0"/>
    <x v="2"/>
    <x v="1"/>
    <x v="1"/>
    <x v="1"/>
    <x v="519"/>
    <x v="74"/>
    <x v="4"/>
  </r>
  <r>
    <x v="75"/>
    <x v="134"/>
    <x v="6"/>
    <x v="6"/>
    <x v="0"/>
    <x v="2"/>
    <x v="40"/>
    <x v="226"/>
    <x v="861"/>
    <x v="0"/>
    <x v="75"/>
    <x v="4"/>
  </r>
  <r>
    <x v="75"/>
    <x v="0"/>
    <x v="0"/>
    <x v="0"/>
    <x v="0"/>
    <x v="2"/>
    <x v="39"/>
    <x v="197"/>
    <x v="1786"/>
    <x v="0"/>
    <x v="75"/>
    <x v="4"/>
  </r>
  <r>
    <x v="75"/>
    <x v="101"/>
    <x v="1"/>
    <x v="1"/>
    <x v="0"/>
    <x v="2"/>
    <x v="39"/>
    <x v="207"/>
    <x v="1061"/>
    <x v="0"/>
    <x v="75"/>
    <x v="4"/>
  </r>
  <r>
    <x v="75"/>
    <x v="1"/>
    <x v="1"/>
    <x v="1"/>
    <x v="0"/>
    <x v="2"/>
    <x v="1"/>
    <x v="1"/>
    <x v="1"/>
    <x v="520"/>
    <x v="75"/>
    <x v="4"/>
  </r>
  <r>
    <x v="41"/>
    <x v="107"/>
    <x v="2"/>
    <x v="2"/>
    <x v="0"/>
    <x v="2"/>
    <x v="39"/>
    <x v="158"/>
    <x v="1787"/>
    <x v="0"/>
    <x v="41"/>
    <x v="4"/>
  </r>
  <r>
    <x v="41"/>
    <x v="13"/>
    <x v="5"/>
    <x v="5"/>
    <x v="0"/>
    <x v="2"/>
    <x v="39"/>
    <x v="120"/>
    <x v="1004"/>
    <x v="0"/>
    <x v="41"/>
    <x v="4"/>
  </r>
  <r>
    <x v="41"/>
    <x v="77"/>
    <x v="5"/>
    <x v="5"/>
    <x v="0"/>
    <x v="2"/>
    <x v="39"/>
    <x v="156"/>
    <x v="1004"/>
    <x v="0"/>
    <x v="41"/>
    <x v="4"/>
  </r>
  <r>
    <x v="41"/>
    <x v="1"/>
    <x v="1"/>
    <x v="1"/>
    <x v="0"/>
    <x v="2"/>
    <x v="1"/>
    <x v="1"/>
    <x v="1"/>
    <x v="521"/>
    <x v="41"/>
    <x v="4"/>
  </r>
  <r>
    <x v="43"/>
    <x v="70"/>
    <x v="2"/>
    <x v="2"/>
    <x v="0"/>
    <x v="2"/>
    <x v="39"/>
    <x v="36"/>
    <x v="1788"/>
    <x v="0"/>
    <x v="43"/>
    <x v="4"/>
  </r>
  <r>
    <x v="43"/>
    <x v="144"/>
    <x v="2"/>
    <x v="2"/>
    <x v="0"/>
    <x v="2"/>
    <x v="39"/>
    <x v="162"/>
    <x v="1789"/>
    <x v="0"/>
    <x v="43"/>
    <x v="4"/>
  </r>
  <r>
    <x v="43"/>
    <x v="89"/>
    <x v="4"/>
    <x v="4"/>
    <x v="0"/>
    <x v="2"/>
    <x v="39"/>
    <x v="154"/>
    <x v="1790"/>
    <x v="0"/>
    <x v="43"/>
    <x v="4"/>
  </r>
  <r>
    <x v="43"/>
    <x v="13"/>
    <x v="5"/>
    <x v="5"/>
    <x v="0"/>
    <x v="2"/>
    <x v="39"/>
    <x v="120"/>
    <x v="1791"/>
    <x v="0"/>
    <x v="43"/>
    <x v="4"/>
  </r>
  <r>
    <x v="43"/>
    <x v="155"/>
    <x v="1"/>
    <x v="1"/>
    <x v="0"/>
    <x v="2"/>
    <x v="39"/>
    <x v="145"/>
    <x v="1792"/>
    <x v="0"/>
    <x v="43"/>
    <x v="4"/>
  </r>
  <r>
    <x v="43"/>
    <x v="1"/>
    <x v="1"/>
    <x v="1"/>
    <x v="0"/>
    <x v="2"/>
    <x v="1"/>
    <x v="1"/>
    <x v="1"/>
    <x v="522"/>
    <x v="43"/>
    <x v="4"/>
  </r>
  <r>
    <x v="44"/>
    <x v="64"/>
    <x v="2"/>
    <x v="2"/>
    <x v="0"/>
    <x v="2"/>
    <x v="39"/>
    <x v="139"/>
    <x v="1793"/>
    <x v="0"/>
    <x v="44"/>
    <x v="4"/>
  </r>
  <r>
    <x v="44"/>
    <x v="133"/>
    <x v="2"/>
    <x v="2"/>
    <x v="0"/>
    <x v="2"/>
    <x v="39"/>
    <x v="254"/>
    <x v="146"/>
    <x v="0"/>
    <x v="44"/>
    <x v="4"/>
  </r>
  <r>
    <x v="44"/>
    <x v="21"/>
    <x v="6"/>
    <x v="6"/>
    <x v="0"/>
    <x v="2"/>
    <x v="39"/>
    <x v="70"/>
    <x v="1794"/>
    <x v="0"/>
    <x v="44"/>
    <x v="4"/>
  </r>
  <r>
    <x v="44"/>
    <x v="23"/>
    <x v="3"/>
    <x v="3"/>
    <x v="0"/>
    <x v="2"/>
    <x v="39"/>
    <x v="221"/>
    <x v="798"/>
    <x v="0"/>
    <x v="44"/>
    <x v="4"/>
  </r>
  <r>
    <x v="44"/>
    <x v="135"/>
    <x v="3"/>
    <x v="3"/>
    <x v="0"/>
    <x v="2"/>
    <x v="39"/>
    <x v="149"/>
    <x v="816"/>
    <x v="0"/>
    <x v="44"/>
    <x v="4"/>
  </r>
  <r>
    <x v="44"/>
    <x v="62"/>
    <x v="4"/>
    <x v="4"/>
    <x v="0"/>
    <x v="2"/>
    <x v="39"/>
    <x v="176"/>
    <x v="1795"/>
    <x v="0"/>
    <x v="44"/>
    <x v="4"/>
  </r>
  <r>
    <x v="44"/>
    <x v="57"/>
    <x v="0"/>
    <x v="0"/>
    <x v="0"/>
    <x v="2"/>
    <x v="39"/>
    <x v="44"/>
    <x v="905"/>
    <x v="0"/>
    <x v="44"/>
    <x v="4"/>
  </r>
  <r>
    <x v="44"/>
    <x v="117"/>
    <x v="0"/>
    <x v="0"/>
    <x v="0"/>
    <x v="2"/>
    <x v="39"/>
    <x v="65"/>
    <x v="187"/>
    <x v="0"/>
    <x v="44"/>
    <x v="4"/>
  </r>
  <r>
    <x v="44"/>
    <x v="128"/>
    <x v="1"/>
    <x v="1"/>
    <x v="0"/>
    <x v="2"/>
    <x v="39"/>
    <x v="164"/>
    <x v="1061"/>
    <x v="0"/>
    <x v="44"/>
    <x v="4"/>
  </r>
  <r>
    <x v="44"/>
    <x v="1"/>
    <x v="1"/>
    <x v="1"/>
    <x v="0"/>
    <x v="2"/>
    <x v="1"/>
    <x v="1"/>
    <x v="1"/>
    <x v="523"/>
    <x v="44"/>
    <x v="4"/>
  </r>
  <r>
    <x v="45"/>
    <x v="70"/>
    <x v="2"/>
    <x v="2"/>
    <x v="0"/>
    <x v="2"/>
    <x v="39"/>
    <x v="36"/>
    <x v="1796"/>
    <x v="0"/>
    <x v="45"/>
    <x v="4"/>
  </r>
  <r>
    <x v="45"/>
    <x v="111"/>
    <x v="2"/>
    <x v="2"/>
    <x v="0"/>
    <x v="2"/>
    <x v="40"/>
    <x v="75"/>
    <x v="852"/>
    <x v="0"/>
    <x v="45"/>
    <x v="4"/>
  </r>
  <r>
    <x v="45"/>
    <x v="71"/>
    <x v="6"/>
    <x v="6"/>
    <x v="0"/>
    <x v="2"/>
    <x v="40"/>
    <x v="37"/>
    <x v="1797"/>
    <x v="0"/>
    <x v="45"/>
    <x v="4"/>
  </r>
  <r>
    <x v="45"/>
    <x v="56"/>
    <x v="3"/>
    <x v="3"/>
    <x v="0"/>
    <x v="2"/>
    <x v="40"/>
    <x v="153"/>
    <x v="1798"/>
    <x v="0"/>
    <x v="45"/>
    <x v="4"/>
  </r>
  <r>
    <x v="45"/>
    <x v="90"/>
    <x v="0"/>
    <x v="0"/>
    <x v="0"/>
    <x v="2"/>
    <x v="40"/>
    <x v="79"/>
    <x v="1799"/>
    <x v="0"/>
    <x v="45"/>
    <x v="4"/>
  </r>
  <r>
    <x v="45"/>
    <x v="76"/>
    <x v="5"/>
    <x v="5"/>
    <x v="0"/>
    <x v="2"/>
    <x v="40"/>
    <x v="182"/>
    <x v="1800"/>
    <x v="0"/>
    <x v="45"/>
    <x v="4"/>
  </r>
  <r>
    <x v="45"/>
    <x v="1"/>
    <x v="1"/>
    <x v="1"/>
    <x v="0"/>
    <x v="2"/>
    <x v="1"/>
    <x v="1"/>
    <x v="1"/>
    <x v="524"/>
    <x v="45"/>
    <x v="4"/>
  </r>
  <r>
    <x v="46"/>
    <x v="86"/>
    <x v="6"/>
    <x v="6"/>
    <x v="0"/>
    <x v="2"/>
    <x v="39"/>
    <x v="224"/>
    <x v="1801"/>
    <x v="0"/>
    <x v="46"/>
    <x v="4"/>
  </r>
  <r>
    <x v="46"/>
    <x v="108"/>
    <x v="3"/>
    <x v="3"/>
    <x v="0"/>
    <x v="2"/>
    <x v="39"/>
    <x v="63"/>
    <x v="1802"/>
    <x v="0"/>
    <x v="46"/>
    <x v="4"/>
  </r>
  <r>
    <x v="46"/>
    <x v="79"/>
    <x v="3"/>
    <x v="3"/>
    <x v="0"/>
    <x v="2"/>
    <x v="39"/>
    <x v="142"/>
    <x v="1803"/>
    <x v="0"/>
    <x v="46"/>
    <x v="4"/>
  </r>
  <r>
    <x v="46"/>
    <x v="159"/>
    <x v="0"/>
    <x v="0"/>
    <x v="0"/>
    <x v="2"/>
    <x v="39"/>
    <x v="177"/>
    <x v="1804"/>
    <x v="0"/>
    <x v="46"/>
    <x v="4"/>
  </r>
  <r>
    <x v="46"/>
    <x v="160"/>
    <x v="0"/>
    <x v="0"/>
    <x v="0"/>
    <x v="2"/>
    <x v="39"/>
    <x v="179"/>
    <x v="1805"/>
    <x v="0"/>
    <x v="46"/>
    <x v="4"/>
  </r>
  <r>
    <x v="46"/>
    <x v="145"/>
    <x v="5"/>
    <x v="5"/>
    <x v="0"/>
    <x v="2"/>
    <x v="39"/>
    <x v="124"/>
    <x v="1806"/>
    <x v="0"/>
    <x v="46"/>
    <x v="4"/>
  </r>
  <r>
    <x v="46"/>
    <x v="41"/>
    <x v="1"/>
    <x v="1"/>
    <x v="0"/>
    <x v="2"/>
    <x v="39"/>
    <x v="113"/>
    <x v="1807"/>
    <x v="0"/>
    <x v="46"/>
    <x v="4"/>
  </r>
  <r>
    <x v="46"/>
    <x v="33"/>
    <x v="1"/>
    <x v="1"/>
    <x v="0"/>
    <x v="2"/>
    <x v="39"/>
    <x v="241"/>
    <x v="1808"/>
    <x v="0"/>
    <x v="46"/>
    <x v="4"/>
  </r>
  <r>
    <x v="46"/>
    <x v="128"/>
    <x v="1"/>
    <x v="1"/>
    <x v="0"/>
    <x v="2"/>
    <x v="39"/>
    <x v="164"/>
    <x v="1809"/>
    <x v="0"/>
    <x v="46"/>
    <x v="4"/>
  </r>
  <r>
    <x v="46"/>
    <x v="1"/>
    <x v="1"/>
    <x v="1"/>
    <x v="0"/>
    <x v="2"/>
    <x v="1"/>
    <x v="1"/>
    <x v="1"/>
    <x v="525"/>
    <x v="46"/>
    <x v="4"/>
  </r>
  <r>
    <x v="47"/>
    <x v="85"/>
    <x v="2"/>
    <x v="2"/>
    <x v="0"/>
    <x v="2"/>
    <x v="39"/>
    <x v="161"/>
    <x v="1810"/>
    <x v="0"/>
    <x v="47"/>
    <x v="4"/>
  </r>
  <r>
    <x v="47"/>
    <x v="68"/>
    <x v="4"/>
    <x v="4"/>
    <x v="0"/>
    <x v="2"/>
    <x v="39"/>
    <x v="222"/>
    <x v="1811"/>
    <x v="0"/>
    <x v="47"/>
    <x v="4"/>
  </r>
  <r>
    <x v="47"/>
    <x v="160"/>
    <x v="0"/>
    <x v="0"/>
    <x v="0"/>
    <x v="2"/>
    <x v="39"/>
    <x v="179"/>
    <x v="1812"/>
    <x v="0"/>
    <x v="47"/>
    <x v="4"/>
  </r>
  <r>
    <x v="47"/>
    <x v="150"/>
    <x v="5"/>
    <x v="5"/>
    <x v="0"/>
    <x v="2"/>
    <x v="39"/>
    <x v="214"/>
    <x v="1813"/>
    <x v="0"/>
    <x v="47"/>
    <x v="4"/>
  </r>
  <r>
    <x v="47"/>
    <x v="14"/>
    <x v="1"/>
    <x v="1"/>
    <x v="0"/>
    <x v="2"/>
    <x v="39"/>
    <x v="112"/>
    <x v="1814"/>
    <x v="0"/>
    <x v="47"/>
    <x v="4"/>
  </r>
  <r>
    <x v="47"/>
    <x v="1"/>
    <x v="1"/>
    <x v="1"/>
    <x v="0"/>
    <x v="2"/>
    <x v="1"/>
    <x v="1"/>
    <x v="1"/>
    <x v="526"/>
    <x v="47"/>
    <x v="4"/>
  </r>
  <r>
    <x v="48"/>
    <x v="86"/>
    <x v="6"/>
    <x v="6"/>
    <x v="0"/>
    <x v="2"/>
    <x v="39"/>
    <x v="224"/>
    <x v="1379"/>
    <x v="0"/>
    <x v="48"/>
    <x v="4"/>
  </r>
  <r>
    <x v="48"/>
    <x v="102"/>
    <x v="6"/>
    <x v="6"/>
    <x v="0"/>
    <x v="2"/>
    <x v="39"/>
    <x v="141"/>
    <x v="1815"/>
    <x v="0"/>
    <x v="48"/>
    <x v="4"/>
  </r>
  <r>
    <x v="48"/>
    <x v="62"/>
    <x v="4"/>
    <x v="4"/>
    <x v="0"/>
    <x v="2"/>
    <x v="39"/>
    <x v="176"/>
    <x v="1816"/>
    <x v="0"/>
    <x v="48"/>
    <x v="4"/>
  </r>
  <r>
    <x v="48"/>
    <x v="117"/>
    <x v="0"/>
    <x v="0"/>
    <x v="0"/>
    <x v="2"/>
    <x v="39"/>
    <x v="65"/>
    <x v="1817"/>
    <x v="0"/>
    <x v="48"/>
    <x v="4"/>
  </r>
  <r>
    <x v="48"/>
    <x v="115"/>
    <x v="5"/>
    <x v="5"/>
    <x v="0"/>
    <x v="2"/>
    <x v="39"/>
    <x v="213"/>
    <x v="1818"/>
    <x v="0"/>
    <x v="48"/>
    <x v="4"/>
  </r>
  <r>
    <x v="48"/>
    <x v="128"/>
    <x v="1"/>
    <x v="1"/>
    <x v="0"/>
    <x v="2"/>
    <x v="39"/>
    <x v="164"/>
    <x v="1819"/>
    <x v="0"/>
    <x v="48"/>
    <x v="4"/>
  </r>
  <r>
    <x v="48"/>
    <x v="1"/>
    <x v="1"/>
    <x v="1"/>
    <x v="0"/>
    <x v="2"/>
    <x v="1"/>
    <x v="1"/>
    <x v="1"/>
    <x v="527"/>
    <x v="48"/>
    <x v="4"/>
  </r>
  <r>
    <x v="49"/>
    <x v="86"/>
    <x v="6"/>
    <x v="6"/>
    <x v="0"/>
    <x v="2"/>
    <x v="39"/>
    <x v="224"/>
    <x v="493"/>
    <x v="0"/>
    <x v="49"/>
    <x v="4"/>
  </r>
  <r>
    <x v="49"/>
    <x v="71"/>
    <x v="6"/>
    <x v="6"/>
    <x v="0"/>
    <x v="2"/>
    <x v="39"/>
    <x v="37"/>
    <x v="1795"/>
    <x v="0"/>
    <x v="49"/>
    <x v="4"/>
  </r>
  <r>
    <x v="49"/>
    <x v="21"/>
    <x v="6"/>
    <x v="6"/>
    <x v="0"/>
    <x v="2"/>
    <x v="39"/>
    <x v="70"/>
    <x v="1820"/>
    <x v="0"/>
    <x v="49"/>
    <x v="4"/>
  </r>
  <r>
    <x v="49"/>
    <x v="50"/>
    <x v="4"/>
    <x v="4"/>
    <x v="0"/>
    <x v="2"/>
    <x v="39"/>
    <x v="77"/>
    <x v="1821"/>
    <x v="0"/>
    <x v="49"/>
    <x v="4"/>
  </r>
  <r>
    <x v="49"/>
    <x v="154"/>
    <x v="4"/>
    <x v="4"/>
    <x v="0"/>
    <x v="2"/>
    <x v="39"/>
    <x v="143"/>
    <x v="1822"/>
    <x v="0"/>
    <x v="49"/>
    <x v="4"/>
  </r>
  <r>
    <x v="49"/>
    <x v="13"/>
    <x v="5"/>
    <x v="5"/>
    <x v="0"/>
    <x v="2"/>
    <x v="39"/>
    <x v="120"/>
    <x v="1823"/>
    <x v="0"/>
    <x v="49"/>
    <x v="4"/>
  </r>
  <r>
    <x v="49"/>
    <x v="128"/>
    <x v="1"/>
    <x v="1"/>
    <x v="0"/>
    <x v="2"/>
    <x v="39"/>
    <x v="164"/>
    <x v="1824"/>
    <x v="0"/>
    <x v="49"/>
    <x v="4"/>
  </r>
  <r>
    <x v="49"/>
    <x v="1"/>
    <x v="1"/>
    <x v="1"/>
    <x v="0"/>
    <x v="2"/>
    <x v="1"/>
    <x v="1"/>
    <x v="1"/>
    <x v="528"/>
    <x v="49"/>
    <x v="4"/>
  </r>
  <r>
    <x v="50"/>
    <x v="147"/>
    <x v="6"/>
    <x v="6"/>
    <x v="0"/>
    <x v="2"/>
    <x v="39"/>
    <x v="132"/>
    <x v="1825"/>
    <x v="0"/>
    <x v="50"/>
    <x v="4"/>
  </r>
  <r>
    <x v="50"/>
    <x v="156"/>
    <x v="4"/>
    <x v="4"/>
    <x v="0"/>
    <x v="2"/>
    <x v="39"/>
    <x v="146"/>
    <x v="1826"/>
    <x v="0"/>
    <x v="50"/>
    <x v="4"/>
  </r>
  <r>
    <x v="50"/>
    <x v="145"/>
    <x v="5"/>
    <x v="5"/>
    <x v="0"/>
    <x v="2"/>
    <x v="39"/>
    <x v="124"/>
    <x v="1827"/>
    <x v="0"/>
    <x v="50"/>
    <x v="4"/>
  </r>
  <r>
    <x v="50"/>
    <x v="41"/>
    <x v="1"/>
    <x v="1"/>
    <x v="0"/>
    <x v="2"/>
    <x v="39"/>
    <x v="113"/>
    <x v="1282"/>
    <x v="0"/>
    <x v="50"/>
    <x v="4"/>
  </r>
  <r>
    <x v="50"/>
    <x v="1"/>
    <x v="1"/>
    <x v="1"/>
    <x v="0"/>
    <x v="2"/>
    <x v="1"/>
    <x v="1"/>
    <x v="1"/>
    <x v="529"/>
    <x v="50"/>
    <x v="4"/>
  </r>
  <r>
    <x v="51"/>
    <x v="70"/>
    <x v="2"/>
    <x v="2"/>
    <x v="0"/>
    <x v="2"/>
    <x v="39"/>
    <x v="36"/>
    <x v="1828"/>
    <x v="0"/>
    <x v="51"/>
    <x v="4"/>
  </r>
  <r>
    <x v="51"/>
    <x v="23"/>
    <x v="3"/>
    <x v="3"/>
    <x v="0"/>
    <x v="2"/>
    <x v="39"/>
    <x v="221"/>
    <x v="1829"/>
    <x v="0"/>
    <x v="51"/>
    <x v="4"/>
  </r>
  <r>
    <x v="51"/>
    <x v="68"/>
    <x v="4"/>
    <x v="4"/>
    <x v="0"/>
    <x v="2"/>
    <x v="39"/>
    <x v="222"/>
    <x v="703"/>
    <x v="0"/>
    <x v="51"/>
    <x v="4"/>
  </r>
  <r>
    <x v="51"/>
    <x v="115"/>
    <x v="5"/>
    <x v="5"/>
    <x v="0"/>
    <x v="2"/>
    <x v="39"/>
    <x v="213"/>
    <x v="1830"/>
    <x v="0"/>
    <x v="51"/>
    <x v="4"/>
  </r>
  <r>
    <x v="51"/>
    <x v="101"/>
    <x v="1"/>
    <x v="1"/>
    <x v="0"/>
    <x v="2"/>
    <x v="40"/>
    <x v="207"/>
    <x v="1831"/>
    <x v="0"/>
    <x v="51"/>
    <x v="4"/>
  </r>
  <r>
    <x v="51"/>
    <x v="128"/>
    <x v="1"/>
    <x v="1"/>
    <x v="0"/>
    <x v="2"/>
    <x v="40"/>
    <x v="164"/>
    <x v="1222"/>
    <x v="0"/>
    <x v="51"/>
    <x v="4"/>
  </r>
  <r>
    <x v="51"/>
    <x v="1"/>
    <x v="1"/>
    <x v="1"/>
    <x v="0"/>
    <x v="2"/>
    <x v="1"/>
    <x v="1"/>
    <x v="1"/>
    <x v="530"/>
    <x v="51"/>
    <x v="4"/>
  </r>
  <r>
    <x v="52"/>
    <x v="81"/>
    <x v="4"/>
    <x v="4"/>
    <x v="0"/>
    <x v="2"/>
    <x v="40"/>
    <x v="175"/>
    <x v="1567"/>
    <x v="0"/>
    <x v="52"/>
    <x v="4"/>
  </r>
  <r>
    <x v="52"/>
    <x v="46"/>
    <x v="0"/>
    <x v="0"/>
    <x v="0"/>
    <x v="2"/>
    <x v="39"/>
    <x v="155"/>
    <x v="1832"/>
    <x v="0"/>
    <x v="52"/>
    <x v="4"/>
  </r>
  <r>
    <x v="52"/>
    <x v="98"/>
    <x v="1"/>
    <x v="1"/>
    <x v="0"/>
    <x v="2"/>
    <x v="39"/>
    <x v="198"/>
    <x v="1833"/>
    <x v="0"/>
    <x v="52"/>
    <x v="4"/>
  </r>
  <r>
    <x v="52"/>
    <x v="1"/>
    <x v="1"/>
    <x v="1"/>
    <x v="0"/>
    <x v="2"/>
    <x v="1"/>
    <x v="1"/>
    <x v="1"/>
    <x v="531"/>
    <x v="52"/>
    <x v="4"/>
  </r>
  <r>
    <x v="53"/>
    <x v="70"/>
    <x v="2"/>
    <x v="2"/>
    <x v="0"/>
    <x v="2"/>
    <x v="39"/>
    <x v="36"/>
    <x v="1834"/>
    <x v="0"/>
    <x v="53"/>
    <x v="4"/>
  </r>
  <r>
    <x v="53"/>
    <x v="64"/>
    <x v="2"/>
    <x v="2"/>
    <x v="0"/>
    <x v="2"/>
    <x v="39"/>
    <x v="139"/>
    <x v="19"/>
    <x v="0"/>
    <x v="53"/>
    <x v="4"/>
  </r>
  <r>
    <x v="53"/>
    <x v="107"/>
    <x v="2"/>
    <x v="2"/>
    <x v="0"/>
    <x v="2"/>
    <x v="39"/>
    <x v="158"/>
    <x v="1835"/>
    <x v="0"/>
    <x v="53"/>
    <x v="4"/>
  </r>
  <r>
    <x v="53"/>
    <x v="108"/>
    <x v="3"/>
    <x v="3"/>
    <x v="0"/>
    <x v="2"/>
    <x v="39"/>
    <x v="63"/>
    <x v="1836"/>
    <x v="0"/>
    <x v="53"/>
    <x v="4"/>
  </r>
  <r>
    <x v="53"/>
    <x v="68"/>
    <x v="4"/>
    <x v="4"/>
    <x v="0"/>
    <x v="2"/>
    <x v="39"/>
    <x v="222"/>
    <x v="1837"/>
    <x v="0"/>
    <x v="53"/>
    <x v="4"/>
  </r>
  <r>
    <x v="53"/>
    <x v="50"/>
    <x v="4"/>
    <x v="4"/>
    <x v="0"/>
    <x v="2"/>
    <x v="39"/>
    <x v="77"/>
    <x v="1838"/>
    <x v="0"/>
    <x v="53"/>
    <x v="4"/>
  </r>
  <r>
    <x v="53"/>
    <x v="153"/>
    <x v="5"/>
    <x v="5"/>
    <x v="0"/>
    <x v="2"/>
    <x v="39"/>
    <x v="157"/>
    <x v="1839"/>
    <x v="0"/>
    <x v="53"/>
    <x v="4"/>
  </r>
  <r>
    <x v="53"/>
    <x v="1"/>
    <x v="1"/>
    <x v="1"/>
    <x v="0"/>
    <x v="2"/>
    <x v="1"/>
    <x v="1"/>
    <x v="1"/>
    <x v="532"/>
    <x v="53"/>
    <x v="4"/>
  </r>
  <r>
    <x v="54"/>
    <x v="144"/>
    <x v="2"/>
    <x v="2"/>
    <x v="0"/>
    <x v="2"/>
    <x v="39"/>
    <x v="162"/>
    <x v="1840"/>
    <x v="0"/>
    <x v="54"/>
    <x v="4"/>
  </r>
  <r>
    <x v="54"/>
    <x v="114"/>
    <x v="3"/>
    <x v="3"/>
    <x v="0"/>
    <x v="2"/>
    <x v="40"/>
    <x v="76"/>
    <x v="1841"/>
    <x v="0"/>
    <x v="54"/>
    <x v="4"/>
  </r>
  <r>
    <x v="54"/>
    <x v="68"/>
    <x v="4"/>
    <x v="4"/>
    <x v="0"/>
    <x v="2"/>
    <x v="39"/>
    <x v="222"/>
    <x v="1842"/>
    <x v="0"/>
    <x v="54"/>
    <x v="4"/>
  </r>
  <r>
    <x v="54"/>
    <x v="159"/>
    <x v="0"/>
    <x v="0"/>
    <x v="0"/>
    <x v="2"/>
    <x v="39"/>
    <x v="177"/>
    <x v="1843"/>
    <x v="0"/>
    <x v="54"/>
    <x v="4"/>
  </r>
  <r>
    <x v="54"/>
    <x v="0"/>
    <x v="0"/>
    <x v="0"/>
    <x v="0"/>
    <x v="2"/>
    <x v="39"/>
    <x v="197"/>
    <x v="1844"/>
    <x v="0"/>
    <x v="54"/>
    <x v="4"/>
  </r>
  <r>
    <x v="54"/>
    <x v="101"/>
    <x v="1"/>
    <x v="1"/>
    <x v="0"/>
    <x v="2"/>
    <x v="40"/>
    <x v="207"/>
    <x v="1845"/>
    <x v="0"/>
    <x v="54"/>
    <x v="4"/>
  </r>
  <r>
    <x v="54"/>
    <x v="98"/>
    <x v="1"/>
    <x v="1"/>
    <x v="0"/>
    <x v="2"/>
    <x v="39"/>
    <x v="198"/>
    <x v="1846"/>
    <x v="0"/>
    <x v="54"/>
    <x v="4"/>
  </r>
  <r>
    <x v="54"/>
    <x v="1"/>
    <x v="1"/>
    <x v="1"/>
    <x v="0"/>
    <x v="2"/>
    <x v="1"/>
    <x v="1"/>
    <x v="1"/>
    <x v="533"/>
    <x v="54"/>
    <x v="4"/>
  </r>
  <r>
    <x v="55"/>
    <x v="1"/>
    <x v="1"/>
    <x v="1"/>
    <x v="0"/>
    <x v="19"/>
    <x v="1"/>
    <x v="1"/>
    <x v="1"/>
    <x v="534"/>
    <x v="55"/>
    <x v="4"/>
  </r>
  <r>
    <x v="55"/>
    <x v="41"/>
    <x v="1"/>
    <x v="1"/>
    <x v="0"/>
    <x v="20"/>
    <x v="39"/>
    <x v="113"/>
    <x v="1847"/>
    <x v="0"/>
    <x v="55"/>
    <x v="4"/>
  </r>
  <r>
    <x v="55"/>
    <x v="101"/>
    <x v="1"/>
    <x v="1"/>
    <x v="0"/>
    <x v="20"/>
    <x v="39"/>
    <x v="207"/>
    <x v="1848"/>
    <x v="0"/>
    <x v="55"/>
    <x v="4"/>
  </r>
  <r>
    <x v="55"/>
    <x v="1"/>
    <x v="1"/>
    <x v="1"/>
    <x v="0"/>
    <x v="20"/>
    <x v="1"/>
    <x v="1"/>
    <x v="1"/>
    <x v="535"/>
    <x v="55"/>
    <x v="4"/>
  </r>
  <r>
    <x v="55"/>
    <x v="36"/>
    <x v="6"/>
    <x v="6"/>
    <x v="0"/>
    <x v="22"/>
    <x v="40"/>
    <x v="94"/>
    <x v="1849"/>
    <x v="0"/>
    <x v="55"/>
    <x v="4"/>
  </r>
  <r>
    <x v="55"/>
    <x v="1"/>
    <x v="1"/>
    <x v="1"/>
    <x v="0"/>
    <x v="22"/>
    <x v="1"/>
    <x v="1"/>
    <x v="1"/>
    <x v="536"/>
    <x v="55"/>
    <x v="4"/>
  </r>
  <r>
    <x v="55"/>
    <x v="25"/>
    <x v="2"/>
    <x v="2"/>
    <x v="0"/>
    <x v="3"/>
    <x v="39"/>
    <x v="169"/>
    <x v="460"/>
    <x v="0"/>
    <x v="55"/>
    <x v="4"/>
  </r>
  <r>
    <x v="55"/>
    <x v="1"/>
    <x v="1"/>
    <x v="1"/>
    <x v="0"/>
    <x v="3"/>
    <x v="1"/>
    <x v="1"/>
    <x v="1"/>
    <x v="537"/>
    <x v="55"/>
    <x v="4"/>
  </r>
  <r>
    <x v="55"/>
    <x v="25"/>
    <x v="2"/>
    <x v="2"/>
    <x v="0"/>
    <x v="24"/>
    <x v="40"/>
    <x v="169"/>
    <x v="951"/>
    <x v="0"/>
    <x v="55"/>
    <x v="4"/>
  </r>
  <r>
    <x v="55"/>
    <x v="101"/>
    <x v="1"/>
    <x v="1"/>
    <x v="0"/>
    <x v="24"/>
    <x v="40"/>
    <x v="207"/>
    <x v="1850"/>
    <x v="0"/>
    <x v="55"/>
    <x v="4"/>
  </r>
  <r>
    <x v="55"/>
    <x v="98"/>
    <x v="1"/>
    <x v="1"/>
    <x v="0"/>
    <x v="24"/>
    <x v="40"/>
    <x v="198"/>
    <x v="1851"/>
    <x v="0"/>
    <x v="55"/>
    <x v="4"/>
  </r>
  <r>
    <x v="55"/>
    <x v="1"/>
    <x v="1"/>
    <x v="1"/>
    <x v="0"/>
    <x v="24"/>
    <x v="1"/>
    <x v="1"/>
    <x v="1"/>
    <x v="538"/>
    <x v="55"/>
    <x v="4"/>
  </r>
  <r>
    <x v="55"/>
    <x v="144"/>
    <x v="2"/>
    <x v="2"/>
    <x v="0"/>
    <x v="4"/>
    <x v="40"/>
    <x v="162"/>
    <x v="1852"/>
    <x v="0"/>
    <x v="55"/>
    <x v="4"/>
  </r>
  <r>
    <x v="55"/>
    <x v="111"/>
    <x v="2"/>
    <x v="2"/>
    <x v="0"/>
    <x v="4"/>
    <x v="40"/>
    <x v="75"/>
    <x v="1853"/>
    <x v="0"/>
    <x v="55"/>
    <x v="4"/>
  </r>
  <r>
    <x v="55"/>
    <x v="131"/>
    <x v="3"/>
    <x v="3"/>
    <x v="0"/>
    <x v="4"/>
    <x v="40"/>
    <x v="163"/>
    <x v="1854"/>
    <x v="0"/>
    <x v="55"/>
    <x v="4"/>
  </r>
  <r>
    <x v="55"/>
    <x v="32"/>
    <x v="5"/>
    <x v="5"/>
    <x v="0"/>
    <x v="4"/>
    <x v="40"/>
    <x v="81"/>
    <x v="1855"/>
    <x v="0"/>
    <x v="55"/>
    <x v="4"/>
  </r>
  <r>
    <x v="55"/>
    <x v="150"/>
    <x v="5"/>
    <x v="5"/>
    <x v="0"/>
    <x v="4"/>
    <x v="40"/>
    <x v="214"/>
    <x v="1856"/>
    <x v="0"/>
    <x v="55"/>
    <x v="4"/>
  </r>
  <r>
    <x v="55"/>
    <x v="124"/>
    <x v="5"/>
    <x v="5"/>
    <x v="0"/>
    <x v="4"/>
    <x v="40"/>
    <x v="206"/>
    <x v="1857"/>
    <x v="0"/>
    <x v="55"/>
    <x v="4"/>
  </r>
  <r>
    <x v="55"/>
    <x v="161"/>
    <x v="1"/>
    <x v="1"/>
    <x v="0"/>
    <x v="4"/>
    <x v="40"/>
    <x v="186"/>
    <x v="1858"/>
    <x v="0"/>
    <x v="55"/>
    <x v="4"/>
  </r>
  <r>
    <x v="55"/>
    <x v="22"/>
    <x v="1"/>
    <x v="1"/>
    <x v="0"/>
    <x v="4"/>
    <x v="40"/>
    <x v="211"/>
    <x v="1859"/>
    <x v="0"/>
    <x v="55"/>
    <x v="4"/>
  </r>
  <r>
    <x v="55"/>
    <x v="128"/>
    <x v="1"/>
    <x v="1"/>
    <x v="0"/>
    <x v="4"/>
    <x v="40"/>
    <x v="164"/>
    <x v="1860"/>
    <x v="0"/>
    <x v="55"/>
    <x v="4"/>
  </r>
  <r>
    <x v="55"/>
    <x v="1"/>
    <x v="1"/>
    <x v="1"/>
    <x v="0"/>
    <x v="4"/>
    <x v="1"/>
    <x v="1"/>
    <x v="1"/>
    <x v="539"/>
    <x v="55"/>
    <x v="4"/>
  </r>
  <r>
    <x v="55"/>
    <x v="116"/>
    <x v="0"/>
    <x v="0"/>
    <x v="0"/>
    <x v="5"/>
    <x v="40"/>
    <x v="64"/>
    <x v="1861"/>
    <x v="0"/>
    <x v="55"/>
    <x v="4"/>
  </r>
  <r>
    <x v="55"/>
    <x v="98"/>
    <x v="1"/>
    <x v="1"/>
    <x v="0"/>
    <x v="5"/>
    <x v="40"/>
    <x v="198"/>
    <x v="1862"/>
    <x v="0"/>
    <x v="55"/>
    <x v="4"/>
  </r>
  <r>
    <x v="55"/>
    <x v="1"/>
    <x v="1"/>
    <x v="1"/>
    <x v="0"/>
    <x v="5"/>
    <x v="1"/>
    <x v="1"/>
    <x v="1"/>
    <x v="540"/>
    <x v="55"/>
    <x v="4"/>
  </r>
  <r>
    <x v="55"/>
    <x v="147"/>
    <x v="6"/>
    <x v="6"/>
    <x v="0"/>
    <x v="6"/>
    <x v="40"/>
    <x v="132"/>
    <x v="1370"/>
    <x v="0"/>
    <x v="55"/>
    <x v="4"/>
  </r>
  <r>
    <x v="55"/>
    <x v="96"/>
    <x v="6"/>
    <x v="6"/>
    <x v="0"/>
    <x v="6"/>
    <x v="40"/>
    <x v="165"/>
    <x v="1863"/>
    <x v="0"/>
    <x v="55"/>
    <x v="4"/>
  </r>
  <r>
    <x v="55"/>
    <x v="23"/>
    <x v="3"/>
    <x v="3"/>
    <x v="0"/>
    <x v="6"/>
    <x v="39"/>
    <x v="221"/>
    <x v="1864"/>
    <x v="0"/>
    <x v="55"/>
    <x v="4"/>
  </r>
  <r>
    <x v="55"/>
    <x v="79"/>
    <x v="3"/>
    <x v="3"/>
    <x v="0"/>
    <x v="6"/>
    <x v="39"/>
    <x v="142"/>
    <x v="1588"/>
    <x v="0"/>
    <x v="55"/>
    <x v="4"/>
  </r>
  <r>
    <x v="55"/>
    <x v="44"/>
    <x v="3"/>
    <x v="3"/>
    <x v="0"/>
    <x v="6"/>
    <x v="40"/>
    <x v="191"/>
    <x v="896"/>
    <x v="0"/>
    <x v="55"/>
    <x v="4"/>
  </r>
  <r>
    <x v="55"/>
    <x v="68"/>
    <x v="4"/>
    <x v="4"/>
    <x v="0"/>
    <x v="6"/>
    <x v="39"/>
    <x v="222"/>
    <x v="1865"/>
    <x v="0"/>
    <x v="55"/>
    <x v="4"/>
  </r>
  <r>
    <x v="55"/>
    <x v="156"/>
    <x v="4"/>
    <x v="4"/>
    <x v="0"/>
    <x v="6"/>
    <x v="39"/>
    <x v="146"/>
    <x v="240"/>
    <x v="0"/>
    <x v="55"/>
    <x v="4"/>
  </r>
  <r>
    <x v="55"/>
    <x v="159"/>
    <x v="0"/>
    <x v="0"/>
    <x v="0"/>
    <x v="6"/>
    <x v="39"/>
    <x v="177"/>
    <x v="1866"/>
    <x v="0"/>
    <x v="55"/>
    <x v="4"/>
  </r>
  <r>
    <x v="55"/>
    <x v="0"/>
    <x v="0"/>
    <x v="0"/>
    <x v="0"/>
    <x v="6"/>
    <x v="40"/>
    <x v="197"/>
    <x v="1867"/>
    <x v="0"/>
    <x v="55"/>
    <x v="4"/>
  </r>
  <r>
    <x v="55"/>
    <x v="160"/>
    <x v="0"/>
    <x v="0"/>
    <x v="0"/>
    <x v="6"/>
    <x v="39"/>
    <x v="179"/>
    <x v="911"/>
    <x v="0"/>
    <x v="55"/>
    <x v="4"/>
  </r>
  <r>
    <x v="55"/>
    <x v="145"/>
    <x v="5"/>
    <x v="5"/>
    <x v="0"/>
    <x v="6"/>
    <x v="39"/>
    <x v="124"/>
    <x v="1868"/>
    <x v="0"/>
    <x v="55"/>
    <x v="4"/>
  </r>
  <r>
    <x v="55"/>
    <x v="13"/>
    <x v="5"/>
    <x v="5"/>
    <x v="0"/>
    <x v="6"/>
    <x v="39"/>
    <x v="120"/>
    <x v="1471"/>
    <x v="0"/>
    <x v="55"/>
    <x v="4"/>
  </r>
  <r>
    <x v="55"/>
    <x v="22"/>
    <x v="1"/>
    <x v="1"/>
    <x v="0"/>
    <x v="6"/>
    <x v="39"/>
    <x v="211"/>
    <x v="1869"/>
    <x v="0"/>
    <x v="55"/>
    <x v="4"/>
  </r>
  <r>
    <x v="55"/>
    <x v="33"/>
    <x v="1"/>
    <x v="1"/>
    <x v="0"/>
    <x v="6"/>
    <x v="39"/>
    <x v="241"/>
    <x v="1870"/>
    <x v="0"/>
    <x v="55"/>
    <x v="4"/>
  </r>
  <r>
    <x v="55"/>
    <x v="98"/>
    <x v="1"/>
    <x v="1"/>
    <x v="0"/>
    <x v="6"/>
    <x v="40"/>
    <x v="198"/>
    <x v="1871"/>
    <x v="0"/>
    <x v="55"/>
    <x v="4"/>
  </r>
  <r>
    <x v="55"/>
    <x v="1"/>
    <x v="1"/>
    <x v="1"/>
    <x v="0"/>
    <x v="6"/>
    <x v="1"/>
    <x v="1"/>
    <x v="1"/>
    <x v="541"/>
    <x v="55"/>
    <x v="4"/>
  </r>
  <r>
    <x v="55"/>
    <x v="85"/>
    <x v="2"/>
    <x v="2"/>
    <x v="0"/>
    <x v="7"/>
    <x v="40"/>
    <x v="161"/>
    <x v="1872"/>
    <x v="0"/>
    <x v="55"/>
    <x v="4"/>
  </r>
  <r>
    <x v="55"/>
    <x v="25"/>
    <x v="2"/>
    <x v="2"/>
    <x v="0"/>
    <x v="7"/>
    <x v="40"/>
    <x v="169"/>
    <x v="1873"/>
    <x v="0"/>
    <x v="55"/>
    <x v="4"/>
  </r>
  <r>
    <x v="55"/>
    <x v="129"/>
    <x v="2"/>
    <x v="2"/>
    <x v="0"/>
    <x v="7"/>
    <x v="40"/>
    <x v="204"/>
    <x v="1874"/>
    <x v="0"/>
    <x v="55"/>
    <x v="4"/>
  </r>
  <r>
    <x v="55"/>
    <x v="49"/>
    <x v="3"/>
    <x v="3"/>
    <x v="0"/>
    <x v="7"/>
    <x v="40"/>
    <x v="244"/>
    <x v="1875"/>
    <x v="0"/>
    <x v="55"/>
    <x v="4"/>
  </r>
  <r>
    <x v="55"/>
    <x v="159"/>
    <x v="0"/>
    <x v="0"/>
    <x v="0"/>
    <x v="7"/>
    <x v="39"/>
    <x v="177"/>
    <x v="1876"/>
    <x v="0"/>
    <x v="55"/>
    <x v="4"/>
  </r>
  <r>
    <x v="55"/>
    <x v="53"/>
    <x v="0"/>
    <x v="0"/>
    <x v="0"/>
    <x v="7"/>
    <x v="40"/>
    <x v="144"/>
    <x v="1877"/>
    <x v="0"/>
    <x v="55"/>
    <x v="4"/>
  </r>
  <r>
    <x v="55"/>
    <x v="76"/>
    <x v="5"/>
    <x v="5"/>
    <x v="0"/>
    <x v="7"/>
    <x v="40"/>
    <x v="182"/>
    <x v="1878"/>
    <x v="0"/>
    <x v="55"/>
    <x v="4"/>
  </r>
  <r>
    <x v="55"/>
    <x v="97"/>
    <x v="5"/>
    <x v="5"/>
    <x v="0"/>
    <x v="7"/>
    <x v="40"/>
    <x v="183"/>
    <x v="1879"/>
    <x v="0"/>
    <x v="55"/>
    <x v="4"/>
  </r>
  <r>
    <x v="55"/>
    <x v="150"/>
    <x v="5"/>
    <x v="5"/>
    <x v="0"/>
    <x v="7"/>
    <x v="40"/>
    <x v="214"/>
    <x v="1880"/>
    <x v="0"/>
    <x v="55"/>
    <x v="4"/>
  </r>
  <r>
    <x v="55"/>
    <x v="101"/>
    <x v="1"/>
    <x v="1"/>
    <x v="0"/>
    <x v="7"/>
    <x v="39"/>
    <x v="207"/>
    <x v="1"/>
    <x v="542"/>
    <x v="55"/>
    <x v="4"/>
  </r>
  <r>
    <x v="55"/>
    <x v="152"/>
    <x v="1"/>
    <x v="1"/>
    <x v="0"/>
    <x v="7"/>
    <x v="40"/>
    <x v="194"/>
    <x v="1881"/>
    <x v="0"/>
    <x v="55"/>
    <x v="4"/>
  </r>
  <r>
    <x v="55"/>
    <x v="55"/>
    <x v="1"/>
    <x v="1"/>
    <x v="0"/>
    <x v="7"/>
    <x v="40"/>
    <x v="188"/>
    <x v="1882"/>
    <x v="0"/>
    <x v="55"/>
    <x v="4"/>
  </r>
  <r>
    <x v="55"/>
    <x v="128"/>
    <x v="1"/>
    <x v="1"/>
    <x v="0"/>
    <x v="7"/>
    <x v="40"/>
    <x v="164"/>
    <x v="1883"/>
    <x v="0"/>
    <x v="55"/>
    <x v="4"/>
  </r>
  <r>
    <x v="55"/>
    <x v="1"/>
    <x v="1"/>
    <x v="1"/>
    <x v="0"/>
    <x v="7"/>
    <x v="1"/>
    <x v="1"/>
    <x v="1"/>
    <x v="543"/>
    <x v="55"/>
    <x v="4"/>
  </r>
  <r>
    <x v="55"/>
    <x v="157"/>
    <x v="2"/>
    <x v="2"/>
    <x v="0"/>
    <x v="8"/>
    <x v="40"/>
    <x v="147"/>
    <x v="1884"/>
    <x v="0"/>
    <x v="55"/>
    <x v="4"/>
  </r>
  <r>
    <x v="55"/>
    <x v="11"/>
    <x v="6"/>
    <x v="6"/>
    <x v="0"/>
    <x v="8"/>
    <x v="40"/>
    <x v="91"/>
    <x v="1885"/>
    <x v="0"/>
    <x v="55"/>
    <x v="4"/>
  </r>
  <r>
    <x v="55"/>
    <x v="165"/>
    <x v="4"/>
    <x v="4"/>
    <x v="0"/>
    <x v="8"/>
    <x v="40"/>
    <x v="205"/>
    <x v="1886"/>
    <x v="0"/>
    <x v="55"/>
    <x v="4"/>
  </r>
  <r>
    <x v="55"/>
    <x v="0"/>
    <x v="0"/>
    <x v="0"/>
    <x v="0"/>
    <x v="8"/>
    <x v="40"/>
    <x v="197"/>
    <x v="1887"/>
    <x v="0"/>
    <x v="55"/>
    <x v="4"/>
  </r>
  <r>
    <x v="55"/>
    <x v="152"/>
    <x v="1"/>
    <x v="1"/>
    <x v="0"/>
    <x v="8"/>
    <x v="40"/>
    <x v="194"/>
    <x v="1888"/>
    <x v="0"/>
    <x v="55"/>
    <x v="4"/>
  </r>
  <r>
    <x v="55"/>
    <x v="128"/>
    <x v="1"/>
    <x v="1"/>
    <x v="0"/>
    <x v="8"/>
    <x v="40"/>
    <x v="164"/>
    <x v="1889"/>
    <x v="0"/>
    <x v="55"/>
    <x v="4"/>
  </r>
  <r>
    <x v="55"/>
    <x v="1"/>
    <x v="1"/>
    <x v="1"/>
    <x v="0"/>
    <x v="8"/>
    <x v="1"/>
    <x v="1"/>
    <x v="1"/>
    <x v="544"/>
    <x v="55"/>
    <x v="4"/>
  </r>
  <r>
    <x v="55"/>
    <x v="107"/>
    <x v="2"/>
    <x v="2"/>
    <x v="0"/>
    <x v="9"/>
    <x v="39"/>
    <x v="158"/>
    <x v="1890"/>
    <x v="0"/>
    <x v="55"/>
    <x v="4"/>
  </r>
  <r>
    <x v="55"/>
    <x v="25"/>
    <x v="2"/>
    <x v="2"/>
    <x v="0"/>
    <x v="9"/>
    <x v="40"/>
    <x v="169"/>
    <x v="1846"/>
    <x v="0"/>
    <x v="55"/>
    <x v="4"/>
  </r>
  <r>
    <x v="55"/>
    <x v="144"/>
    <x v="2"/>
    <x v="2"/>
    <x v="0"/>
    <x v="9"/>
    <x v="39"/>
    <x v="162"/>
    <x v="1891"/>
    <x v="0"/>
    <x v="55"/>
    <x v="4"/>
  </r>
  <r>
    <x v="55"/>
    <x v="144"/>
    <x v="2"/>
    <x v="2"/>
    <x v="0"/>
    <x v="9"/>
    <x v="40"/>
    <x v="162"/>
    <x v="816"/>
    <x v="0"/>
    <x v="55"/>
    <x v="4"/>
  </r>
  <r>
    <x v="55"/>
    <x v="35"/>
    <x v="2"/>
    <x v="2"/>
    <x v="0"/>
    <x v="9"/>
    <x v="40"/>
    <x v="170"/>
    <x v="936"/>
    <x v="0"/>
    <x v="55"/>
    <x v="4"/>
  </r>
  <r>
    <x v="55"/>
    <x v="87"/>
    <x v="6"/>
    <x v="6"/>
    <x v="0"/>
    <x v="9"/>
    <x v="40"/>
    <x v="189"/>
    <x v="1892"/>
    <x v="0"/>
    <x v="55"/>
    <x v="4"/>
  </r>
  <r>
    <x v="55"/>
    <x v="169"/>
    <x v="6"/>
    <x v="6"/>
    <x v="0"/>
    <x v="9"/>
    <x v="40"/>
    <x v="249"/>
    <x v="874"/>
    <x v="0"/>
    <x v="55"/>
    <x v="4"/>
  </r>
  <r>
    <x v="55"/>
    <x v="21"/>
    <x v="6"/>
    <x v="6"/>
    <x v="0"/>
    <x v="9"/>
    <x v="39"/>
    <x v="70"/>
    <x v="1893"/>
    <x v="0"/>
    <x v="55"/>
    <x v="4"/>
  </r>
  <r>
    <x v="55"/>
    <x v="96"/>
    <x v="6"/>
    <x v="6"/>
    <x v="0"/>
    <x v="9"/>
    <x v="40"/>
    <x v="165"/>
    <x v="1894"/>
    <x v="0"/>
    <x v="55"/>
    <x v="4"/>
  </r>
  <r>
    <x v="55"/>
    <x v="23"/>
    <x v="3"/>
    <x v="3"/>
    <x v="0"/>
    <x v="9"/>
    <x v="39"/>
    <x v="221"/>
    <x v="1895"/>
    <x v="0"/>
    <x v="55"/>
    <x v="4"/>
  </r>
  <r>
    <x v="55"/>
    <x v="135"/>
    <x v="3"/>
    <x v="3"/>
    <x v="0"/>
    <x v="9"/>
    <x v="39"/>
    <x v="149"/>
    <x v="1896"/>
    <x v="0"/>
    <x v="55"/>
    <x v="4"/>
  </r>
  <r>
    <x v="55"/>
    <x v="156"/>
    <x v="4"/>
    <x v="4"/>
    <x v="0"/>
    <x v="9"/>
    <x v="39"/>
    <x v="146"/>
    <x v="108"/>
    <x v="0"/>
    <x v="55"/>
    <x v="4"/>
  </r>
  <r>
    <x v="55"/>
    <x v="154"/>
    <x v="4"/>
    <x v="4"/>
    <x v="0"/>
    <x v="9"/>
    <x v="40"/>
    <x v="143"/>
    <x v="1897"/>
    <x v="0"/>
    <x v="55"/>
    <x v="4"/>
  </r>
  <r>
    <x v="55"/>
    <x v="31"/>
    <x v="4"/>
    <x v="4"/>
    <x v="0"/>
    <x v="9"/>
    <x v="39"/>
    <x v="72"/>
    <x v="1898"/>
    <x v="0"/>
    <x v="55"/>
    <x v="4"/>
  </r>
  <r>
    <x v="55"/>
    <x v="0"/>
    <x v="0"/>
    <x v="0"/>
    <x v="0"/>
    <x v="9"/>
    <x v="39"/>
    <x v="197"/>
    <x v="1899"/>
    <x v="0"/>
    <x v="55"/>
    <x v="4"/>
  </r>
  <r>
    <x v="55"/>
    <x v="45"/>
    <x v="0"/>
    <x v="0"/>
    <x v="0"/>
    <x v="9"/>
    <x v="40"/>
    <x v="180"/>
    <x v="1385"/>
    <x v="0"/>
    <x v="55"/>
    <x v="4"/>
  </r>
  <r>
    <x v="55"/>
    <x v="72"/>
    <x v="5"/>
    <x v="5"/>
    <x v="0"/>
    <x v="9"/>
    <x v="40"/>
    <x v="38"/>
    <x v="1900"/>
    <x v="0"/>
    <x v="55"/>
    <x v="4"/>
  </r>
  <r>
    <x v="55"/>
    <x v="41"/>
    <x v="1"/>
    <x v="1"/>
    <x v="0"/>
    <x v="9"/>
    <x v="40"/>
    <x v="113"/>
    <x v="1901"/>
    <x v="0"/>
    <x v="55"/>
    <x v="4"/>
  </r>
  <r>
    <x v="55"/>
    <x v="22"/>
    <x v="1"/>
    <x v="1"/>
    <x v="0"/>
    <x v="9"/>
    <x v="39"/>
    <x v="211"/>
    <x v="1902"/>
    <x v="0"/>
    <x v="55"/>
    <x v="4"/>
  </r>
  <r>
    <x v="55"/>
    <x v="73"/>
    <x v="1"/>
    <x v="1"/>
    <x v="0"/>
    <x v="9"/>
    <x v="40"/>
    <x v="39"/>
    <x v="1903"/>
    <x v="0"/>
    <x v="55"/>
    <x v="4"/>
  </r>
  <r>
    <x v="55"/>
    <x v="98"/>
    <x v="1"/>
    <x v="1"/>
    <x v="0"/>
    <x v="9"/>
    <x v="39"/>
    <x v="198"/>
    <x v="895"/>
    <x v="0"/>
    <x v="55"/>
    <x v="4"/>
  </r>
  <r>
    <x v="55"/>
    <x v="128"/>
    <x v="1"/>
    <x v="1"/>
    <x v="0"/>
    <x v="9"/>
    <x v="39"/>
    <x v="164"/>
    <x v="1169"/>
    <x v="0"/>
    <x v="55"/>
    <x v="4"/>
  </r>
  <r>
    <x v="55"/>
    <x v="128"/>
    <x v="1"/>
    <x v="1"/>
    <x v="0"/>
    <x v="9"/>
    <x v="40"/>
    <x v="164"/>
    <x v="1904"/>
    <x v="0"/>
    <x v="55"/>
    <x v="4"/>
  </r>
  <r>
    <x v="55"/>
    <x v="1"/>
    <x v="1"/>
    <x v="1"/>
    <x v="0"/>
    <x v="9"/>
    <x v="1"/>
    <x v="1"/>
    <x v="1"/>
    <x v="545"/>
    <x v="55"/>
    <x v="4"/>
  </r>
  <r>
    <x v="55"/>
    <x v="85"/>
    <x v="2"/>
    <x v="2"/>
    <x v="0"/>
    <x v="26"/>
    <x v="40"/>
    <x v="161"/>
    <x v="951"/>
    <x v="0"/>
    <x v="55"/>
    <x v="4"/>
  </r>
  <r>
    <x v="55"/>
    <x v="113"/>
    <x v="6"/>
    <x v="6"/>
    <x v="0"/>
    <x v="26"/>
    <x v="40"/>
    <x v="89"/>
    <x v="1905"/>
    <x v="0"/>
    <x v="55"/>
    <x v="4"/>
  </r>
  <r>
    <x v="55"/>
    <x v="89"/>
    <x v="4"/>
    <x v="4"/>
    <x v="0"/>
    <x v="26"/>
    <x v="39"/>
    <x v="154"/>
    <x v="1906"/>
    <x v="0"/>
    <x v="55"/>
    <x v="4"/>
  </r>
  <r>
    <x v="55"/>
    <x v="1"/>
    <x v="1"/>
    <x v="1"/>
    <x v="0"/>
    <x v="26"/>
    <x v="1"/>
    <x v="1"/>
    <x v="1"/>
    <x v="546"/>
    <x v="55"/>
    <x v="4"/>
  </r>
  <r>
    <x v="55"/>
    <x v="47"/>
    <x v="2"/>
    <x v="2"/>
    <x v="0"/>
    <x v="10"/>
    <x v="40"/>
    <x v="68"/>
    <x v="1907"/>
    <x v="0"/>
    <x v="55"/>
    <x v="4"/>
  </r>
  <r>
    <x v="55"/>
    <x v="144"/>
    <x v="2"/>
    <x v="2"/>
    <x v="0"/>
    <x v="10"/>
    <x v="40"/>
    <x v="162"/>
    <x v="1908"/>
    <x v="0"/>
    <x v="55"/>
    <x v="4"/>
  </r>
  <r>
    <x v="55"/>
    <x v="169"/>
    <x v="6"/>
    <x v="6"/>
    <x v="0"/>
    <x v="10"/>
    <x v="40"/>
    <x v="249"/>
    <x v="1866"/>
    <x v="0"/>
    <x v="55"/>
    <x v="4"/>
  </r>
  <r>
    <x v="55"/>
    <x v="79"/>
    <x v="3"/>
    <x v="3"/>
    <x v="0"/>
    <x v="10"/>
    <x v="40"/>
    <x v="142"/>
    <x v="1909"/>
    <x v="0"/>
    <x v="55"/>
    <x v="4"/>
  </r>
  <r>
    <x v="55"/>
    <x v="132"/>
    <x v="4"/>
    <x v="4"/>
    <x v="0"/>
    <x v="10"/>
    <x v="40"/>
    <x v="95"/>
    <x v="1866"/>
    <x v="0"/>
    <x v="55"/>
    <x v="4"/>
  </r>
  <r>
    <x v="55"/>
    <x v="29"/>
    <x v="4"/>
    <x v="4"/>
    <x v="0"/>
    <x v="10"/>
    <x v="40"/>
    <x v="248"/>
    <x v="1866"/>
    <x v="0"/>
    <x v="55"/>
    <x v="4"/>
  </r>
  <r>
    <x v="55"/>
    <x v="142"/>
    <x v="0"/>
    <x v="0"/>
    <x v="0"/>
    <x v="10"/>
    <x v="40"/>
    <x v="119"/>
    <x v="1866"/>
    <x v="0"/>
    <x v="55"/>
    <x v="4"/>
  </r>
  <r>
    <x v="55"/>
    <x v="155"/>
    <x v="1"/>
    <x v="1"/>
    <x v="0"/>
    <x v="10"/>
    <x v="39"/>
    <x v="145"/>
    <x v="1910"/>
    <x v="0"/>
    <x v="55"/>
    <x v="4"/>
  </r>
  <r>
    <x v="55"/>
    <x v="1"/>
    <x v="1"/>
    <x v="1"/>
    <x v="0"/>
    <x v="10"/>
    <x v="1"/>
    <x v="1"/>
    <x v="1"/>
    <x v="547"/>
    <x v="55"/>
    <x v="4"/>
  </r>
  <r>
    <x v="55"/>
    <x v="70"/>
    <x v="2"/>
    <x v="2"/>
    <x v="0"/>
    <x v="11"/>
    <x v="39"/>
    <x v="36"/>
    <x v="952"/>
    <x v="0"/>
    <x v="55"/>
    <x v="4"/>
  </r>
  <r>
    <x v="55"/>
    <x v="70"/>
    <x v="2"/>
    <x v="2"/>
    <x v="0"/>
    <x v="11"/>
    <x v="40"/>
    <x v="36"/>
    <x v="1911"/>
    <x v="0"/>
    <x v="55"/>
    <x v="4"/>
  </r>
  <r>
    <x v="55"/>
    <x v="47"/>
    <x v="2"/>
    <x v="2"/>
    <x v="0"/>
    <x v="11"/>
    <x v="40"/>
    <x v="68"/>
    <x v="1912"/>
    <x v="0"/>
    <x v="55"/>
    <x v="4"/>
  </r>
  <r>
    <x v="55"/>
    <x v="86"/>
    <x v="6"/>
    <x v="6"/>
    <x v="0"/>
    <x v="11"/>
    <x v="39"/>
    <x v="224"/>
    <x v="1913"/>
    <x v="0"/>
    <x v="55"/>
    <x v="4"/>
  </r>
  <r>
    <x v="55"/>
    <x v="134"/>
    <x v="6"/>
    <x v="6"/>
    <x v="0"/>
    <x v="11"/>
    <x v="40"/>
    <x v="226"/>
    <x v="1914"/>
    <x v="0"/>
    <x v="55"/>
    <x v="4"/>
  </r>
  <r>
    <x v="55"/>
    <x v="18"/>
    <x v="3"/>
    <x v="3"/>
    <x v="0"/>
    <x v="11"/>
    <x v="40"/>
    <x v="219"/>
    <x v="1596"/>
    <x v="0"/>
    <x v="55"/>
    <x v="4"/>
  </r>
  <r>
    <x v="55"/>
    <x v="28"/>
    <x v="3"/>
    <x v="3"/>
    <x v="0"/>
    <x v="11"/>
    <x v="40"/>
    <x v="245"/>
    <x v="1915"/>
    <x v="0"/>
    <x v="55"/>
    <x v="4"/>
  </r>
  <r>
    <x v="55"/>
    <x v="132"/>
    <x v="4"/>
    <x v="4"/>
    <x v="0"/>
    <x v="11"/>
    <x v="40"/>
    <x v="95"/>
    <x v="1805"/>
    <x v="0"/>
    <x v="55"/>
    <x v="4"/>
  </r>
  <r>
    <x v="55"/>
    <x v="162"/>
    <x v="4"/>
    <x v="4"/>
    <x v="0"/>
    <x v="11"/>
    <x v="40"/>
    <x v="192"/>
    <x v="1916"/>
    <x v="0"/>
    <x v="55"/>
    <x v="4"/>
  </r>
  <r>
    <x v="55"/>
    <x v="142"/>
    <x v="0"/>
    <x v="0"/>
    <x v="0"/>
    <x v="11"/>
    <x v="40"/>
    <x v="119"/>
    <x v="816"/>
    <x v="0"/>
    <x v="55"/>
    <x v="4"/>
  </r>
  <r>
    <x v="55"/>
    <x v="72"/>
    <x v="5"/>
    <x v="5"/>
    <x v="0"/>
    <x v="11"/>
    <x v="40"/>
    <x v="38"/>
    <x v="1917"/>
    <x v="0"/>
    <x v="55"/>
    <x v="4"/>
  </r>
  <r>
    <x v="55"/>
    <x v="40"/>
    <x v="1"/>
    <x v="1"/>
    <x v="0"/>
    <x v="11"/>
    <x v="40"/>
    <x v="125"/>
    <x v="1918"/>
    <x v="0"/>
    <x v="55"/>
    <x v="4"/>
  </r>
  <r>
    <x v="55"/>
    <x v="40"/>
    <x v="1"/>
    <x v="1"/>
    <x v="0"/>
    <x v="11"/>
    <x v="39"/>
    <x v="125"/>
    <x v="1919"/>
    <x v="0"/>
    <x v="55"/>
    <x v="4"/>
  </r>
  <r>
    <x v="55"/>
    <x v="127"/>
    <x v="1"/>
    <x v="1"/>
    <x v="0"/>
    <x v="11"/>
    <x v="40"/>
    <x v="85"/>
    <x v="1920"/>
    <x v="0"/>
    <x v="55"/>
    <x v="4"/>
  </r>
  <r>
    <x v="55"/>
    <x v="42"/>
    <x v="1"/>
    <x v="1"/>
    <x v="0"/>
    <x v="11"/>
    <x v="40"/>
    <x v="167"/>
    <x v="1921"/>
    <x v="0"/>
    <x v="55"/>
    <x v="4"/>
  </r>
  <r>
    <x v="55"/>
    <x v="33"/>
    <x v="1"/>
    <x v="1"/>
    <x v="0"/>
    <x v="11"/>
    <x v="39"/>
    <x v="241"/>
    <x v="1922"/>
    <x v="0"/>
    <x v="55"/>
    <x v="4"/>
  </r>
  <r>
    <x v="55"/>
    <x v="55"/>
    <x v="1"/>
    <x v="1"/>
    <x v="0"/>
    <x v="11"/>
    <x v="40"/>
    <x v="188"/>
    <x v="1923"/>
    <x v="0"/>
    <x v="55"/>
    <x v="4"/>
  </r>
  <r>
    <x v="55"/>
    <x v="128"/>
    <x v="1"/>
    <x v="1"/>
    <x v="0"/>
    <x v="11"/>
    <x v="40"/>
    <x v="164"/>
    <x v="1924"/>
    <x v="0"/>
    <x v="55"/>
    <x v="4"/>
  </r>
  <r>
    <x v="55"/>
    <x v="1"/>
    <x v="1"/>
    <x v="1"/>
    <x v="0"/>
    <x v="11"/>
    <x v="1"/>
    <x v="1"/>
    <x v="1"/>
    <x v="548"/>
    <x v="55"/>
    <x v="4"/>
  </r>
  <r>
    <x v="55"/>
    <x v="167"/>
    <x v="6"/>
    <x v="6"/>
    <x v="0"/>
    <x v="36"/>
    <x v="40"/>
    <x v="218"/>
    <x v="816"/>
    <x v="0"/>
    <x v="55"/>
    <x v="4"/>
  </r>
  <r>
    <x v="55"/>
    <x v="33"/>
    <x v="1"/>
    <x v="1"/>
    <x v="0"/>
    <x v="36"/>
    <x v="39"/>
    <x v="241"/>
    <x v="1209"/>
    <x v="0"/>
    <x v="55"/>
    <x v="4"/>
  </r>
  <r>
    <x v="55"/>
    <x v="152"/>
    <x v="1"/>
    <x v="1"/>
    <x v="0"/>
    <x v="36"/>
    <x v="39"/>
    <x v="194"/>
    <x v="1925"/>
    <x v="0"/>
    <x v="55"/>
    <x v="4"/>
  </r>
  <r>
    <x v="55"/>
    <x v="98"/>
    <x v="1"/>
    <x v="1"/>
    <x v="0"/>
    <x v="36"/>
    <x v="39"/>
    <x v="198"/>
    <x v="1926"/>
    <x v="0"/>
    <x v="55"/>
    <x v="4"/>
  </r>
  <r>
    <x v="55"/>
    <x v="1"/>
    <x v="1"/>
    <x v="1"/>
    <x v="0"/>
    <x v="36"/>
    <x v="1"/>
    <x v="1"/>
    <x v="1"/>
    <x v="549"/>
    <x v="55"/>
    <x v="4"/>
  </r>
  <r>
    <x v="55"/>
    <x v="106"/>
    <x v="2"/>
    <x v="2"/>
    <x v="0"/>
    <x v="12"/>
    <x v="40"/>
    <x v="223"/>
    <x v="792"/>
    <x v="0"/>
    <x v="55"/>
    <x v="4"/>
  </r>
  <r>
    <x v="55"/>
    <x v="110"/>
    <x v="2"/>
    <x v="2"/>
    <x v="0"/>
    <x v="12"/>
    <x v="40"/>
    <x v="171"/>
    <x v="1927"/>
    <x v="0"/>
    <x v="55"/>
    <x v="4"/>
  </r>
  <r>
    <x v="55"/>
    <x v="17"/>
    <x v="2"/>
    <x v="2"/>
    <x v="0"/>
    <x v="12"/>
    <x v="40"/>
    <x v="150"/>
    <x v="1928"/>
    <x v="0"/>
    <x v="55"/>
    <x v="4"/>
  </r>
  <r>
    <x v="55"/>
    <x v="129"/>
    <x v="2"/>
    <x v="2"/>
    <x v="0"/>
    <x v="12"/>
    <x v="40"/>
    <x v="204"/>
    <x v="909"/>
    <x v="0"/>
    <x v="55"/>
    <x v="4"/>
  </r>
  <r>
    <x v="55"/>
    <x v="137"/>
    <x v="6"/>
    <x v="6"/>
    <x v="0"/>
    <x v="12"/>
    <x v="40"/>
    <x v="102"/>
    <x v="782"/>
    <x v="0"/>
    <x v="55"/>
    <x v="4"/>
  </r>
  <r>
    <x v="55"/>
    <x v="60"/>
    <x v="3"/>
    <x v="3"/>
    <x v="0"/>
    <x v="12"/>
    <x v="40"/>
    <x v="57"/>
    <x v="1929"/>
    <x v="0"/>
    <x v="55"/>
    <x v="4"/>
  </r>
  <r>
    <x v="55"/>
    <x v="50"/>
    <x v="4"/>
    <x v="4"/>
    <x v="0"/>
    <x v="12"/>
    <x v="40"/>
    <x v="77"/>
    <x v="905"/>
    <x v="0"/>
    <x v="55"/>
    <x v="4"/>
  </r>
  <r>
    <x v="55"/>
    <x v="4"/>
    <x v="4"/>
    <x v="4"/>
    <x v="0"/>
    <x v="12"/>
    <x v="40"/>
    <x v="199"/>
    <x v="800"/>
    <x v="0"/>
    <x v="55"/>
    <x v="4"/>
  </r>
  <r>
    <x v="55"/>
    <x v="52"/>
    <x v="0"/>
    <x v="0"/>
    <x v="0"/>
    <x v="12"/>
    <x v="40"/>
    <x v="107"/>
    <x v="1930"/>
    <x v="0"/>
    <x v="55"/>
    <x v="4"/>
  </r>
  <r>
    <x v="55"/>
    <x v="91"/>
    <x v="0"/>
    <x v="0"/>
    <x v="0"/>
    <x v="12"/>
    <x v="40"/>
    <x v="118"/>
    <x v="1931"/>
    <x v="0"/>
    <x v="55"/>
    <x v="4"/>
  </r>
  <r>
    <x v="55"/>
    <x v="153"/>
    <x v="5"/>
    <x v="5"/>
    <x v="0"/>
    <x v="12"/>
    <x v="40"/>
    <x v="157"/>
    <x v="1932"/>
    <x v="0"/>
    <x v="55"/>
    <x v="4"/>
  </r>
  <r>
    <x v="55"/>
    <x v="6"/>
    <x v="5"/>
    <x v="5"/>
    <x v="0"/>
    <x v="12"/>
    <x v="40"/>
    <x v="193"/>
    <x v="1933"/>
    <x v="0"/>
    <x v="55"/>
    <x v="4"/>
  </r>
  <r>
    <x v="55"/>
    <x v="1"/>
    <x v="1"/>
    <x v="1"/>
    <x v="0"/>
    <x v="12"/>
    <x v="1"/>
    <x v="1"/>
    <x v="1"/>
    <x v="550"/>
    <x v="55"/>
    <x v="4"/>
  </r>
  <r>
    <x v="55"/>
    <x v="66"/>
    <x v="4"/>
    <x v="4"/>
    <x v="0"/>
    <x v="13"/>
    <x v="40"/>
    <x v="78"/>
    <x v="1934"/>
    <x v="0"/>
    <x v="55"/>
    <x v="4"/>
  </r>
  <r>
    <x v="55"/>
    <x v="54"/>
    <x v="5"/>
    <x v="5"/>
    <x v="0"/>
    <x v="13"/>
    <x v="40"/>
    <x v="246"/>
    <x v="1935"/>
    <x v="0"/>
    <x v="55"/>
    <x v="4"/>
  </r>
  <r>
    <x v="55"/>
    <x v="22"/>
    <x v="1"/>
    <x v="1"/>
    <x v="0"/>
    <x v="13"/>
    <x v="39"/>
    <x v="211"/>
    <x v="1105"/>
    <x v="0"/>
    <x v="55"/>
    <x v="4"/>
  </r>
  <r>
    <x v="55"/>
    <x v="101"/>
    <x v="1"/>
    <x v="1"/>
    <x v="0"/>
    <x v="13"/>
    <x v="39"/>
    <x v="207"/>
    <x v="1876"/>
    <x v="0"/>
    <x v="55"/>
    <x v="4"/>
  </r>
  <r>
    <x v="55"/>
    <x v="152"/>
    <x v="1"/>
    <x v="1"/>
    <x v="0"/>
    <x v="13"/>
    <x v="39"/>
    <x v="194"/>
    <x v="1936"/>
    <x v="0"/>
    <x v="55"/>
    <x v="4"/>
  </r>
  <r>
    <x v="55"/>
    <x v="128"/>
    <x v="1"/>
    <x v="1"/>
    <x v="0"/>
    <x v="13"/>
    <x v="40"/>
    <x v="164"/>
    <x v="909"/>
    <x v="0"/>
    <x v="55"/>
    <x v="4"/>
  </r>
  <r>
    <x v="55"/>
    <x v="1"/>
    <x v="1"/>
    <x v="1"/>
    <x v="0"/>
    <x v="13"/>
    <x v="1"/>
    <x v="1"/>
    <x v="1"/>
    <x v="551"/>
    <x v="55"/>
    <x v="4"/>
  </r>
  <r>
    <x v="55"/>
    <x v="144"/>
    <x v="2"/>
    <x v="2"/>
    <x v="0"/>
    <x v="14"/>
    <x v="40"/>
    <x v="162"/>
    <x v="1937"/>
    <x v="0"/>
    <x v="55"/>
    <x v="4"/>
  </r>
  <r>
    <x v="55"/>
    <x v="169"/>
    <x v="6"/>
    <x v="6"/>
    <x v="0"/>
    <x v="14"/>
    <x v="40"/>
    <x v="249"/>
    <x v="1737"/>
    <x v="0"/>
    <x v="55"/>
    <x v="4"/>
  </r>
  <r>
    <x v="55"/>
    <x v="108"/>
    <x v="3"/>
    <x v="3"/>
    <x v="0"/>
    <x v="14"/>
    <x v="39"/>
    <x v="63"/>
    <x v="1938"/>
    <x v="0"/>
    <x v="55"/>
    <x v="4"/>
  </r>
  <r>
    <x v="55"/>
    <x v="18"/>
    <x v="3"/>
    <x v="3"/>
    <x v="0"/>
    <x v="14"/>
    <x v="40"/>
    <x v="219"/>
    <x v="899"/>
    <x v="0"/>
    <x v="55"/>
    <x v="4"/>
  </r>
  <r>
    <x v="55"/>
    <x v="81"/>
    <x v="4"/>
    <x v="4"/>
    <x v="0"/>
    <x v="14"/>
    <x v="40"/>
    <x v="175"/>
    <x v="852"/>
    <x v="0"/>
    <x v="55"/>
    <x v="4"/>
  </r>
  <r>
    <x v="55"/>
    <x v="156"/>
    <x v="4"/>
    <x v="4"/>
    <x v="0"/>
    <x v="14"/>
    <x v="40"/>
    <x v="146"/>
    <x v="933"/>
    <x v="0"/>
    <x v="55"/>
    <x v="4"/>
  </r>
  <r>
    <x v="55"/>
    <x v="162"/>
    <x v="4"/>
    <x v="4"/>
    <x v="0"/>
    <x v="14"/>
    <x v="40"/>
    <x v="192"/>
    <x v="563"/>
    <x v="0"/>
    <x v="55"/>
    <x v="4"/>
  </r>
  <r>
    <x v="55"/>
    <x v="126"/>
    <x v="4"/>
    <x v="4"/>
    <x v="0"/>
    <x v="14"/>
    <x v="40"/>
    <x v="83"/>
    <x v="1939"/>
    <x v="0"/>
    <x v="55"/>
    <x v="4"/>
  </r>
  <r>
    <x v="55"/>
    <x v="78"/>
    <x v="4"/>
    <x v="4"/>
    <x v="0"/>
    <x v="14"/>
    <x v="40"/>
    <x v="160"/>
    <x v="1940"/>
    <x v="0"/>
    <x v="55"/>
    <x v="4"/>
  </r>
  <r>
    <x v="55"/>
    <x v="51"/>
    <x v="4"/>
    <x v="4"/>
    <x v="0"/>
    <x v="14"/>
    <x v="40"/>
    <x v="34"/>
    <x v="1941"/>
    <x v="0"/>
    <x v="55"/>
    <x v="4"/>
  </r>
  <r>
    <x v="55"/>
    <x v="90"/>
    <x v="0"/>
    <x v="0"/>
    <x v="0"/>
    <x v="14"/>
    <x v="40"/>
    <x v="79"/>
    <x v="1836"/>
    <x v="0"/>
    <x v="55"/>
    <x v="4"/>
  </r>
  <r>
    <x v="55"/>
    <x v="57"/>
    <x v="0"/>
    <x v="0"/>
    <x v="0"/>
    <x v="14"/>
    <x v="40"/>
    <x v="44"/>
    <x v="1942"/>
    <x v="0"/>
    <x v="55"/>
    <x v="4"/>
  </r>
  <r>
    <x v="55"/>
    <x v="32"/>
    <x v="5"/>
    <x v="5"/>
    <x v="0"/>
    <x v="14"/>
    <x v="40"/>
    <x v="81"/>
    <x v="1132"/>
    <x v="0"/>
    <x v="55"/>
    <x v="4"/>
  </r>
  <r>
    <x v="55"/>
    <x v="125"/>
    <x v="5"/>
    <x v="5"/>
    <x v="0"/>
    <x v="14"/>
    <x v="39"/>
    <x v="82"/>
    <x v="1943"/>
    <x v="0"/>
    <x v="55"/>
    <x v="4"/>
  </r>
  <r>
    <x v="55"/>
    <x v="41"/>
    <x v="1"/>
    <x v="1"/>
    <x v="0"/>
    <x v="14"/>
    <x v="40"/>
    <x v="113"/>
    <x v="1944"/>
    <x v="0"/>
    <x v="55"/>
    <x v="4"/>
  </r>
  <r>
    <x v="55"/>
    <x v="22"/>
    <x v="1"/>
    <x v="1"/>
    <x v="0"/>
    <x v="14"/>
    <x v="39"/>
    <x v="211"/>
    <x v="1945"/>
    <x v="0"/>
    <x v="55"/>
    <x v="4"/>
  </r>
  <r>
    <x v="55"/>
    <x v="152"/>
    <x v="1"/>
    <x v="1"/>
    <x v="0"/>
    <x v="14"/>
    <x v="40"/>
    <x v="194"/>
    <x v="1946"/>
    <x v="0"/>
    <x v="55"/>
    <x v="4"/>
  </r>
  <r>
    <x v="55"/>
    <x v="152"/>
    <x v="1"/>
    <x v="1"/>
    <x v="0"/>
    <x v="14"/>
    <x v="39"/>
    <x v="194"/>
    <x v="1947"/>
    <x v="0"/>
    <x v="55"/>
    <x v="4"/>
  </r>
  <r>
    <x v="55"/>
    <x v="55"/>
    <x v="1"/>
    <x v="1"/>
    <x v="0"/>
    <x v="14"/>
    <x v="39"/>
    <x v="188"/>
    <x v="1948"/>
    <x v="0"/>
    <x v="55"/>
    <x v="4"/>
  </r>
  <r>
    <x v="55"/>
    <x v="128"/>
    <x v="1"/>
    <x v="1"/>
    <x v="0"/>
    <x v="14"/>
    <x v="40"/>
    <x v="164"/>
    <x v="1949"/>
    <x v="0"/>
    <x v="55"/>
    <x v="4"/>
  </r>
  <r>
    <x v="55"/>
    <x v="1"/>
    <x v="1"/>
    <x v="1"/>
    <x v="0"/>
    <x v="14"/>
    <x v="1"/>
    <x v="1"/>
    <x v="1"/>
    <x v="552"/>
    <x v="55"/>
    <x v="4"/>
  </r>
  <r>
    <x v="55"/>
    <x v="13"/>
    <x v="5"/>
    <x v="5"/>
    <x v="0"/>
    <x v="15"/>
    <x v="40"/>
    <x v="120"/>
    <x v="1950"/>
    <x v="0"/>
    <x v="55"/>
    <x v="4"/>
  </r>
  <r>
    <x v="55"/>
    <x v="8"/>
    <x v="1"/>
    <x v="1"/>
    <x v="0"/>
    <x v="15"/>
    <x v="40"/>
    <x v="187"/>
    <x v="1951"/>
    <x v="0"/>
    <x v="55"/>
    <x v="4"/>
  </r>
  <r>
    <x v="55"/>
    <x v="128"/>
    <x v="1"/>
    <x v="1"/>
    <x v="0"/>
    <x v="15"/>
    <x v="40"/>
    <x v="164"/>
    <x v="1588"/>
    <x v="0"/>
    <x v="55"/>
    <x v="4"/>
  </r>
  <r>
    <x v="55"/>
    <x v="1"/>
    <x v="1"/>
    <x v="1"/>
    <x v="0"/>
    <x v="15"/>
    <x v="1"/>
    <x v="1"/>
    <x v="1"/>
    <x v="553"/>
    <x v="55"/>
    <x v="4"/>
  </r>
  <r>
    <x v="55"/>
    <x v="129"/>
    <x v="2"/>
    <x v="2"/>
    <x v="0"/>
    <x v="28"/>
    <x v="40"/>
    <x v="204"/>
    <x v="782"/>
    <x v="0"/>
    <x v="55"/>
    <x v="4"/>
  </r>
  <r>
    <x v="55"/>
    <x v="71"/>
    <x v="6"/>
    <x v="6"/>
    <x v="0"/>
    <x v="28"/>
    <x v="40"/>
    <x v="37"/>
    <x v="782"/>
    <x v="0"/>
    <x v="55"/>
    <x v="4"/>
  </r>
  <r>
    <x v="55"/>
    <x v="162"/>
    <x v="4"/>
    <x v="4"/>
    <x v="0"/>
    <x v="28"/>
    <x v="40"/>
    <x v="192"/>
    <x v="966"/>
    <x v="0"/>
    <x v="55"/>
    <x v="4"/>
  </r>
  <r>
    <x v="55"/>
    <x v="159"/>
    <x v="0"/>
    <x v="0"/>
    <x v="0"/>
    <x v="28"/>
    <x v="39"/>
    <x v="177"/>
    <x v="1484"/>
    <x v="0"/>
    <x v="55"/>
    <x v="4"/>
  </r>
  <r>
    <x v="55"/>
    <x v="121"/>
    <x v="0"/>
    <x v="0"/>
    <x v="0"/>
    <x v="28"/>
    <x v="40"/>
    <x v="80"/>
    <x v="1566"/>
    <x v="0"/>
    <x v="55"/>
    <x v="4"/>
  </r>
  <r>
    <x v="55"/>
    <x v="53"/>
    <x v="0"/>
    <x v="0"/>
    <x v="0"/>
    <x v="28"/>
    <x v="40"/>
    <x v="144"/>
    <x v="1952"/>
    <x v="0"/>
    <x v="55"/>
    <x v="4"/>
  </r>
  <r>
    <x v="55"/>
    <x v="115"/>
    <x v="5"/>
    <x v="5"/>
    <x v="0"/>
    <x v="28"/>
    <x v="39"/>
    <x v="213"/>
    <x v="1641"/>
    <x v="0"/>
    <x v="55"/>
    <x v="4"/>
  </r>
  <r>
    <x v="55"/>
    <x v="73"/>
    <x v="1"/>
    <x v="1"/>
    <x v="0"/>
    <x v="28"/>
    <x v="40"/>
    <x v="39"/>
    <x v="782"/>
    <x v="0"/>
    <x v="55"/>
    <x v="4"/>
  </r>
  <r>
    <x v="55"/>
    <x v="98"/>
    <x v="1"/>
    <x v="1"/>
    <x v="0"/>
    <x v="28"/>
    <x v="39"/>
    <x v="198"/>
    <x v="1953"/>
    <x v="0"/>
    <x v="55"/>
    <x v="4"/>
  </r>
  <r>
    <x v="55"/>
    <x v="1"/>
    <x v="1"/>
    <x v="1"/>
    <x v="0"/>
    <x v="28"/>
    <x v="1"/>
    <x v="1"/>
    <x v="1"/>
    <x v="554"/>
    <x v="55"/>
    <x v="4"/>
  </r>
  <r>
    <x v="55"/>
    <x v="53"/>
    <x v="0"/>
    <x v="0"/>
    <x v="0"/>
    <x v="29"/>
    <x v="40"/>
    <x v="144"/>
    <x v="1954"/>
    <x v="0"/>
    <x v="55"/>
    <x v="4"/>
  </r>
  <r>
    <x v="55"/>
    <x v="41"/>
    <x v="1"/>
    <x v="1"/>
    <x v="0"/>
    <x v="29"/>
    <x v="40"/>
    <x v="113"/>
    <x v="909"/>
    <x v="0"/>
    <x v="55"/>
    <x v="4"/>
  </r>
  <r>
    <x v="55"/>
    <x v="33"/>
    <x v="1"/>
    <x v="1"/>
    <x v="0"/>
    <x v="29"/>
    <x v="39"/>
    <x v="241"/>
    <x v="1955"/>
    <x v="0"/>
    <x v="55"/>
    <x v="4"/>
  </r>
  <r>
    <x v="55"/>
    <x v="98"/>
    <x v="1"/>
    <x v="1"/>
    <x v="0"/>
    <x v="29"/>
    <x v="39"/>
    <x v="198"/>
    <x v="1956"/>
    <x v="0"/>
    <x v="55"/>
    <x v="4"/>
  </r>
  <r>
    <x v="55"/>
    <x v="98"/>
    <x v="1"/>
    <x v="1"/>
    <x v="0"/>
    <x v="29"/>
    <x v="40"/>
    <x v="198"/>
    <x v="1957"/>
    <x v="0"/>
    <x v="55"/>
    <x v="4"/>
  </r>
  <r>
    <x v="55"/>
    <x v="1"/>
    <x v="1"/>
    <x v="1"/>
    <x v="0"/>
    <x v="29"/>
    <x v="1"/>
    <x v="1"/>
    <x v="1"/>
    <x v="555"/>
    <x v="55"/>
    <x v="4"/>
  </r>
  <r>
    <x v="55"/>
    <x v="41"/>
    <x v="1"/>
    <x v="1"/>
    <x v="0"/>
    <x v="30"/>
    <x v="39"/>
    <x v="113"/>
    <x v="1958"/>
    <x v="0"/>
    <x v="55"/>
    <x v="4"/>
  </r>
  <r>
    <x v="55"/>
    <x v="1"/>
    <x v="1"/>
    <x v="1"/>
    <x v="0"/>
    <x v="30"/>
    <x v="1"/>
    <x v="1"/>
    <x v="1"/>
    <x v="556"/>
    <x v="55"/>
    <x v="4"/>
  </r>
  <r>
    <x v="55"/>
    <x v="107"/>
    <x v="2"/>
    <x v="2"/>
    <x v="0"/>
    <x v="17"/>
    <x v="40"/>
    <x v="158"/>
    <x v="911"/>
    <x v="0"/>
    <x v="55"/>
    <x v="4"/>
  </r>
  <r>
    <x v="55"/>
    <x v="144"/>
    <x v="2"/>
    <x v="2"/>
    <x v="0"/>
    <x v="17"/>
    <x v="39"/>
    <x v="162"/>
    <x v="1959"/>
    <x v="0"/>
    <x v="55"/>
    <x v="4"/>
  </r>
  <r>
    <x v="55"/>
    <x v="71"/>
    <x v="6"/>
    <x v="6"/>
    <x v="0"/>
    <x v="17"/>
    <x v="39"/>
    <x v="37"/>
    <x v="1609"/>
    <x v="0"/>
    <x v="55"/>
    <x v="4"/>
  </r>
  <r>
    <x v="55"/>
    <x v="13"/>
    <x v="5"/>
    <x v="5"/>
    <x v="0"/>
    <x v="17"/>
    <x v="39"/>
    <x v="120"/>
    <x v="1960"/>
    <x v="0"/>
    <x v="55"/>
    <x v="4"/>
  </r>
  <r>
    <x v="55"/>
    <x v="55"/>
    <x v="1"/>
    <x v="1"/>
    <x v="0"/>
    <x v="17"/>
    <x v="39"/>
    <x v="188"/>
    <x v="736"/>
    <x v="0"/>
    <x v="55"/>
    <x v="4"/>
  </r>
  <r>
    <x v="55"/>
    <x v="98"/>
    <x v="1"/>
    <x v="1"/>
    <x v="0"/>
    <x v="17"/>
    <x v="39"/>
    <x v="198"/>
    <x v="1961"/>
    <x v="0"/>
    <x v="55"/>
    <x v="4"/>
  </r>
  <r>
    <x v="55"/>
    <x v="128"/>
    <x v="1"/>
    <x v="1"/>
    <x v="0"/>
    <x v="17"/>
    <x v="39"/>
    <x v="164"/>
    <x v="780"/>
    <x v="0"/>
    <x v="55"/>
    <x v="4"/>
  </r>
  <r>
    <x v="55"/>
    <x v="1"/>
    <x v="1"/>
    <x v="1"/>
    <x v="0"/>
    <x v="17"/>
    <x v="1"/>
    <x v="1"/>
    <x v="1"/>
    <x v="557"/>
    <x v="55"/>
    <x v="4"/>
  </r>
  <r>
    <x v="55"/>
    <x v="114"/>
    <x v="3"/>
    <x v="3"/>
    <x v="0"/>
    <x v="32"/>
    <x v="40"/>
    <x v="76"/>
    <x v="1962"/>
    <x v="0"/>
    <x v="55"/>
    <x v="4"/>
  </r>
  <r>
    <x v="55"/>
    <x v="1"/>
    <x v="1"/>
    <x v="1"/>
    <x v="0"/>
    <x v="32"/>
    <x v="1"/>
    <x v="1"/>
    <x v="1"/>
    <x v="558"/>
    <x v="55"/>
    <x v="4"/>
  </r>
  <r>
    <x v="55"/>
    <x v="33"/>
    <x v="1"/>
    <x v="1"/>
    <x v="0"/>
    <x v="33"/>
    <x v="39"/>
    <x v="241"/>
    <x v="1963"/>
    <x v="0"/>
    <x v="55"/>
    <x v="4"/>
  </r>
  <r>
    <x v="55"/>
    <x v="1"/>
    <x v="1"/>
    <x v="1"/>
    <x v="0"/>
    <x v="33"/>
    <x v="1"/>
    <x v="1"/>
    <x v="1"/>
    <x v="559"/>
    <x v="55"/>
    <x v="4"/>
  </r>
  <r>
    <x v="55"/>
    <x v="157"/>
    <x v="2"/>
    <x v="2"/>
    <x v="0"/>
    <x v="37"/>
    <x v="40"/>
    <x v="147"/>
    <x v="1964"/>
    <x v="0"/>
    <x v="55"/>
    <x v="4"/>
  </r>
  <r>
    <x v="55"/>
    <x v="132"/>
    <x v="4"/>
    <x v="4"/>
    <x v="0"/>
    <x v="37"/>
    <x v="40"/>
    <x v="95"/>
    <x v="1965"/>
    <x v="0"/>
    <x v="55"/>
    <x v="4"/>
  </r>
  <r>
    <x v="55"/>
    <x v="78"/>
    <x v="4"/>
    <x v="4"/>
    <x v="0"/>
    <x v="37"/>
    <x v="40"/>
    <x v="160"/>
    <x v="1966"/>
    <x v="0"/>
    <x v="55"/>
    <x v="4"/>
  </r>
  <r>
    <x v="55"/>
    <x v="1"/>
    <x v="1"/>
    <x v="1"/>
    <x v="0"/>
    <x v="37"/>
    <x v="1"/>
    <x v="1"/>
    <x v="1"/>
    <x v="560"/>
    <x v="55"/>
    <x v="4"/>
  </r>
  <r>
    <x v="55"/>
    <x v="118"/>
    <x v="2"/>
    <x v="2"/>
    <x v="0"/>
    <x v="34"/>
    <x v="40"/>
    <x v="69"/>
    <x v="1967"/>
    <x v="0"/>
    <x v="55"/>
    <x v="4"/>
  </r>
  <r>
    <x v="55"/>
    <x v="57"/>
    <x v="0"/>
    <x v="0"/>
    <x v="0"/>
    <x v="34"/>
    <x v="39"/>
    <x v="44"/>
    <x v="1744"/>
    <x v="0"/>
    <x v="55"/>
    <x v="4"/>
  </r>
  <r>
    <x v="55"/>
    <x v="1"/>
    <x v="1"/>
    <x v="1"/>
    <x v="0"/>
    <x v="34"/>
    <x v="1"/>
    <x v="1"/>
    <x v="1"/>
    <x v="561"/>
    <x v="55"/>
    <x v="4"/>
  </r>
  <r>
    <x v="55"/>
    <x v="16"/>
    <x v="2"/>
    <x v="2"/>
    <x v="0"/>
    <x v="18"/>
    <x v="40"/>
    <x v="93"/>
    <x v="1968"/>
    <x v="0"/>
    <x v="55"/>
    <x v="4"/>
  </r>
  <r>
    <x v="55"/>
    <x v="146"/>
    <x v="6"/>
    <x v="6"/>
    <x v="0"/>
    <x v="18"/>
    <x v="40"/>
    <x v="172"/>
    <x v="1969"/>
    <x v="0"/>
    <x v="55"/>
    <x v="4"/>
  </r>
  <r>
    <x v="55"/>
    <x v="65"/>
    <x v="6"/>
    <x v="6"/>
    <x v="0"/>
    <x v="18"/>
    <x v="40"/>
    <x v="190"/>
    <x v="1970"/>
    <x v="0"/>
    <x v="55"/>
    <x v="4"/>
  </r>
  <r>
    <x v="55"/>
    <x v="65"/>
    <x v="6"/>
    <x v="6"/>
    <x v="0"/>
    <x v="18"/>
    <x v="39"/>
    <x v="190"/>
    <x v="1"/>
    <x v="562"/>
    <x v="55"/>
    <x v="4"/>
  </r>
  <r>
    <x v="55"/>
    <x v="59"/>
    <x v="6"/>
    <x v="6"/>
    <x v="0"/>
    <x v="18"/>
    <x v="40"/>
    <x v="256"/>
    <x v="1971"/>
    <x v="0"/>
    <x v="55"/>
    <x v="4"/>
  </r>
  <r>
    <x v="55"/>
    <x v="156"/>
    <x v="4"/>
    <x v="4"/>
    <x v="0"/>
    <x v="18"/>
    <x v="40"/>
    <x v="146"/>
    <x v="1972"/>
    <x v="0"/>
    <x v="55"/>
    <x v="4"/>
  </r>
  <r>
    <x v="55"/>
    <x v="116"/>
    <x v="0"/>
    <x v="0"/>
    <x v="0"/>
    <x v="18"/>
    <x v="40"/>
    <x v="64"/>
    <x v="1973"/>
    <x v="0"/>
    <x v="55"/>
    <x v="4"/>
  </r>
  <r>
    <x v="55"/>
    <x v="76"/>
    <x v="5"/>
    <x v="5"/>
    <x v="0"/>
    <x v="18"/>
    <x v="40"/>
    <x v="182"/>
    <x v="1974"/>
    <x v="0"/>
    <x v="55"/>
    <x v="4"/>
  </r>
  <r>
    <x v="55"/>
    <x v="95"/>
    <x v="1"/>
    <x v="1"/>
    <x v="0"/>
    <x v="18"/>
    <x v="40"/>
    <x v="97"/>
    <x v="1975"/>
    <x v="0"/>
    <x v="55"/>
    <x v="4"/>
  </r>
  <r>
    <x v="55"/>
    <x v="155"/>
    <x v="1"/>
    <x v="1"/>
    <x v="0"/>
    <x v="18"/>
    <x v="40"/>
    <x v="145"/>
    <x v="1976"/>
    <x v="0"/>
    <x v="55"/>
    <x v="4"/>
  </r>
  <r>
    <x v="55"/>
    <x v="1"/>
    <x v="1"/>
    <x v="1"/>
    <x v="0"/>
    <x v="18"/>
    <x v="1"/>
    <x v="1"/>
    <x v="1"/>
    <x v="563"/>
    <x v="55"/>
    <x v="4"/>
  </r>
  <r>
    <x v="56"/>
    <x v="129"/>
    <x v="2"/>
    <x v="2"/>
    <x v="0"/>
    <x v="2"/>
    <x v="40"/>
    <x v="204"/>
    <x v="1977"/>
    <x v="0"/>
    <x v="56"/>
    <x v="4"/>
  </r>
  <r>
    <x v="56"/>
    <x v="86"/>
    <x v="6"/>
    <x v="6"/>
    <x v="0"/>
    <x v="2"/>
    <x v="39"/>
    <x v="224"/>
    <x v="1978"/>
    <x v="0"/>
    <x v="56"/>
    <x v="4"/>
  </r>
  <r>
    <x v="56"/>
    <x v="71"/>
    <x v="6"/>
    <x v="6"/>
    <x v="0"/>
    <x v="2"/>
    <x v="39"/>
    <x v="37"/>
    <x v="1979"/>
    <x v="0"/>
    <x v="56"/>
    <x v="4"/>
  </r>
  <r>
    <x v="56"/>
    <x v="135"/>
    <x v="3"/>
    <x v="3"/>
    <x v="0"/>
    <x v="2"/>
    <x v="39"/>
    <x v="149"/>
    <x v="1980"/>
    <x v="0"/>
    <x v="56"/>
    <x v="4"/>
  </r>
  <r>
    <x v="56"/>
    <x v="43"/>
    <x v="3"/>
    <x v="3"/>
    <x v="0"/>
    <x v="2"/>
    <x v="40"/>
    <x v="71"/>
    <x v="782"/>
    <x v="0"/>
    <x v="56"/>
    <x v="4"/>
  </r>
  <r>
    <x v="56"/>
    <x v="50"/>
    <x v="4"/>
    <x v="4"/>
    <x v="0"/>
    <x v="2"/>
    <x v="39"/>
    <x v="77"/>
    <x v="1981"/>
    <x v="0"/>
    <x v="56"/>
    <x v="4"/>
  </r>
  <r>
    <x v="56"/>
    <x v="160"/>
    <x v="0"/>
    <x v="0"/>
    <x v="0"/>
    <x v="2"/>
    <x v="39"/>
    <x v="179"/>
    <x v="1982"/>
    <x v="0"/>
    <x v="56"/>
    <x v="4"/>
  </r>
  <r>
    <x v="56"/>
    <x v="46"/>
    <x v="0"/>
    <x v="0"/>
    <x v="0"/>
    <x v="2"/>
    <x v="39"/>
    <x v="155"/>
    <x v="1983"/>
    <x v="0"/>
    <x v="56"/>
    <x v="4"/>
  </r>
  <r>
    <x v="56"/>
    <x v="145"/>
    <x v="5"/>
    <x v="5"/>
    <x v="0"/>
    <x v="2"/>
    <x v="39"/>
    <x v="124"/>
    <x v="1984"/>
    <x v="0"/>
    <x v="56"/>
    <x v="4"/>
  </r>
  <r>
    <x v="56"/>
    <x v="77"/>
    <x v="5"/>
    <x v="5"/>
    <x v="0"/>
    <x v="2"/>
    <x v="39"/>
    <x v="156"/>
    <x v="1985"/>
    <x v="0"/>
    <x v="56"/>
    <x v="4"/>
  </r>
  <r>
    <x v="56"/>
    <x v="155"/>
    <x v="1"/>
    <x v="1"/>
    <x v="0"/>
    <x v="2"/>
    <x v="39"/>
    <x v="145"/>
    <x v="1986"/>
    <x v="0"/>
    <x v="56"/>
    <x v="4"/>
  </r>
  <r>
    <x v="56"/>
    <x v="1"/>
    <x v="1"/>
    <x v="1"/>
    <x v="0"/>
    <x v="2"/>
    <x v="1"/>
    <x v="1"/>
    <x v="1"/>
    <x v="564"/>
    <x v="56"/>
    <x v="4"/>
  </r>
  <r>
    <x v="57"/>
    <x v="50"/>
    <x v="4"/>
    <x v="4"/>
    <x v="0"/>
    <x v="2"/>
    <x v="39"/>
    <x v="77"/>
    <x v="1987"/>
    <x v="0"/>
    <x v="57"/>
    <x v="4"/>
  </r>
  <r>
    <x v="57"/>
    <x v="55"/>
    <x v="1"/>
    <x v="1"/>
    <x v="0"/>
    <x v="2"/>
    <x v="39"/>
    <x v="188"/>
    <x v="1988"/>
    <x v="0"/>
    <x v="57"/>
    <x v="4"/>
  </r>
  <r>
    <x v="57"/>
    <x v="1"/>
    <x v="1"/>
    <x v="1"/>
    <x v="0"/>
    <x v="2"/>
    <x v="1"/>
    <x v="1"/>
    <x v="1"/>
    <x v="565"/>
    <x v="57"/>
    <x v="4"/>
  </r>
  <r>
    <x v="58"/>
    <x v="71"/>
    <x v="6"/>
    <x v="6"/>
    <x v="0"/>
    <x v="2"/>
    <x v="39"/>
    <x v="37"/>
    <x v="1989"/>
    <x v="0"/>
    <x v="58"/>
    <x v="4"/>
  </r>
  <r>
    <x v="58"/>
    <x v="23"/>
    <x v="3"/>
    <x v="3"/>
    <x v="0"/>
    <x v="2"/>
    <x v="39"/>
    <x v="221"/>
    <x v="1990"/>
    <x v="0"/>
    <x v="58"/>
    <x v="4"/>
  </r>
  <r>
    <x v="58"/>
    <x v="160"/>
    <x v="0"/>
    <x v="0"/>
    <x v="0"/>
    <x v="2"/>
    <x v="39"/>
    <x v="179"/>
    <x v="1991"/>
    <x v="0"/>
    <x v="58"/>
    <x v="4"/>
  </r>
  <r>
    <x v="58"/>
    <x v="77"/>
    <x v="5"/>
    <x v="5"/>
    <x v="0"/>
    <x v="2"/>
    <x v="39"/>
    <x v="156"/>
    <x v="1992"/>
    <x v="0"/>
    <x v="58"/>
    <x v="4"/>
  </r>
  <r>
    <x v="58"/>
    <x v="1"/>
    <x v="1"/>
    <x v="1"/>
    <x v="0"/>
    <x v="2"/>
    <x v="1"/>
    <x v="1"/>
    <x v="1"/>
    <x v="566"/>
    <x v="58"/>
    <x v="4"/>
  </r>
  <r>
    <x v="59"/>
    <x v="144"/>
    <x v="2"/>
    <x v="2"/>
    <x v="0"/>
    <x v="2"/>
    <x v="39"/>
    <x v="162"/>
    <x v="1993"/>
    <x v="0"/>
    <x v="59"/>
    <x v="4"/>
  </r>
  <r>
    <x v="59"/>
    <x v="159"/>
    <x v="0"/>
    <x v="0"/>
    <x v="0"/>
    <x v="2"/>
    <x v="39"/>
    <x v="177"/>
    <x v="909"/>
    <x v="0"/>
    <x v="59"/>
    <x v="4"/>
  </r>
  <r>
    <x v="59"/>
    <x v="145"/>
    <x v="5"/>
    <x v="5"/>
    <x v="0"/>
    <x v="2"/>
    <x v="39"/>
    <x v="124"/>
    <x v="1471"/>
    <x v="0"/>
    <x v="59"/>
    <x v="4"/>
  </r>
  <r>
    <x v="59"/>
    <x v="1"/>
    <x v="1"/>
    <x v="1"/>
    <x v="0"/>
    <x v="2"/>
    <x v="1"/>
    <x v="1"/>
    <x v="1"/>
    <x v="567"/>
    <x v="59"/>
    <x v="4"/>
  </r>
  <r>
    <x v="60"/>
    <x v="88"/>
    <x v="6"/>
    <x v="6"/>
    <x v="0"/>
    <x v="2"/>
    <x v="40"/>
    <x v="242"/>
    <x v="858"/>
    <x v="0"/>
    <x v="60"/>
    <x v="4"/>
  </r>
  <r>
    <x v="60"/>
    <x v="60"/>
    <x v="3"/>
    <x v="3"/>
    <x v="0"/>
    <x v="2"/>
    <x v="40"/>
    <x v="57"/>
    <x v="1994"/>
    <x v="0"/>
    <x v="60"/>
    <x v="4"/>
  </r>
  <r>
    <x v="60"/>
    <x v="132"/>
    <x v="4"/>
    <x v="4"/>
    <x v="0"/>
    <x v="2"/>
    <x v="40"/>
    <x v="95"/>
    <x v="1776"/>
    <x v="0"/>
    <x v="60"/>
    <x v="4"/>
  </r>
  <r>
    <x v="60"/>
    <x v="154"/>
    <x v="4"/>
    <x v="4"/>
    <x v="0"/>
    <x v="2"/>
    <x v="39"/>
    <x v="143"/>
    <x v="1995"/>
    <x v="0"/>
    <x v="60"/>
    <x v="4"/>
  </r>
  <r>
    <x v="60"/>
    <x v="51"/>
    <x v="4"/>
    <x v="4"/>
    <x v="0"/>
    <x v="2"/>
    <x v="40"/>
    <x v="34"/>
    <x v="1996"/>
    <x v="0"/>
    <x v="60"/>
    <x v="4"/>
  </r>
  <r>
    <x v="60"/>
    <x v="0"/>
    <x v="0"/>
    <x v="0"/>
    <x v="0"/>
    <x v="2"/>
    <x v="39"/>
    <x v="197"/>
    <x v="1997"/>
    <x v="0"/>
    <x v="60"/>
    <x v="4"/>
  </r>
  <r>
    <x v="60"/>
    <x v="125"/>
    <x v="5"/>
    <x v="5"/>
    <x v="0"/>
    <x v="2"/>
    <x v="40"/>
    <x v="82"/>
    <x v="1998"/>
    <x v="0"/>
    <x v="60"/>
    <x v="4"/>
  </r>
  <r>
    <x v="60"/>
    <x v="77"/>
    <x v="5"/>
    <x v="5"/>
    <x v="0"/>
    <x v="2"/>
    <x v="39"/>
    <x v="156"/>
    <x v="782"/>
    <x v="0"/>
    <x v="60"/>
    <x v="4"/>
  </r>
  <r>
    <x v="60"/>
    <x v="124"/>
    <x v="5"/>
    <x v="5"/>
    <x v="0"/>
    <x v="2"/>
    <x v="40"/>
    <x v="206"/>
    <x v="1999"/>
    <x v="0"/>
    <x v="60"/>
    <x v="4"/>
  </r>
  <r>
    <x v="60"/>
    <x v="42"/>
    <x v="1"/>
    <x v="1"/>
    <x v="0"/>
    <x v="2"/>
    <x v="40"/>
    <x v="167"/>
    <x v="1641"/>
    <x v="0"/>
    <x v="60"/>
    <x v="4"/>
  </r>
  <r>
    <x v="60"/>
    <x v="33"/>
    <x v="1"/>
    <x v="1"/>
    <x v="0"/>
    <x v="2"/>
    <x v="39"/>
    <x v="241"/>
    <x v="1723"/>
    <x v="0"/>
    <x v="60"/>
    <x v="4"/>
  </r>
  <r>
    <x v="60"/>
    <x v="1"/>
    <x v="1"/>
    <x v="1"/>
    <x v="0"/>
    <x v="2"/>
    <x v="1"/>
    <x v="1"/>
    <x v="1"/>
    <x v="568"/>
    <x v="60"/>
    <x v="4"/>
  </r>
  <r>
    <x v="61"/>
    <x v="102"/>
    <x v="6"/>
    <x v="6"/>
    <x v="0"/>
    <x v="2"/>
    <x v="39"/>
    <x v="141"/>
    <x v="1139"/>
    <x v="0"/>
    <x v="61"/>
    <x v="4"/>
  </r>
  <r>
    <x v="61"/>
    <x v="79"/>
    <x v="3"/>
    <x v="3"/>
    <x v="0"/>
    <x v="2"/>
    <x v="39"/>
    <x v="142"/>
    <x v="1641"/>
    <x v="0"/>
    <x v="61"/>
    <x v="4"/>
  </r>
  <r>
    <x v="61"/>
    <x v="115"/>
    <x v="5"/>
    <x v="5"/>
    <x v="0"/>
    <x v="2"/>
    <x v="39"/>
    <x v="213"/>
    <x v="1822"/>
    <x v="0"/>
    <x v="61"/>
    <x v="4"/>
  </r>
  <r>
    <x v="61"/>
    <x v="1"/>
    <x v="1"/>
    <x v="1"/>
    <x v="0"/>
    <x v="2"/>
    <x v="1"/>
    <x v="1"/>
    <x v="1"/>
    <x v="569"/>
    <x v="61"/>
    <x v="4"/>
  </r>
  <r>
    <x v="62"/>
    <x v="85"/>
    <x v="2"/>
    <x v="2"/>
    <x v="0"/>
    <x v="2"/>
    <x v="39"/>
    <x v="161"/>
    <x v="2000"/>
    <x v="0"/>
    <x v="62"/>
    <x v="4"/>
  </r>
  <r>
    <x v="62"/>
    <x v="102"/>
    <x v="6"/>
    <x v="6"/>
    <x v="0"/>
    <x v="2"/>
    <x v="39"/>
    <x v="141"/>
    <x v="1194"/>
    <x v="0"/>
    <x v="62"/>
    <x v="4"/>
  </r>
  <r>
    <x v="62"/>
    <x v="21"/>
    <x v="6"/>
    <x v="6"/>
    <x v="0"/>
    <x v="2"/>
    <x v="39"/>
    <x v="70"/>
    <x v="2001"/>
    <x v="0"/>
    <x v="62"/>
    <x v="4"/>
  </r>
  <r>
    <x v="62"/>
    <x v="135"/>
    <x v="3"/>
    <x v="3"/>
    <x v="0"/>
    <x v="2"/>
    <x v="39"/>
    <x v="149"/>
    <x v="2002"/>
    <x v="0"/>
    <x v="62"/>
    <x v="4"/>
  </r>
  <r>
    <x v="62"/>
    <x v="127"/>
    <x v="1"/>
    <x v="1"/>
    <x v="0"/>
    <x v="2"/>
    <x v="40"/>
    <x v="85"/>
    <x v="858"/>
    <x v="0"/>
    <x v="62"/>
    <x v="4"/>
  </r>
  <r>
    <x v="62"/>
    <x v="98"/>
    <x v="1"/>
    <x v="1"/>
    <x v="0"/>
    <x v="2"/>
    <x v="39"/>
    <x v="198"/>
    <x v="2003"/>
    <x v="0"/>
    <x v="62"/>
    <x v="4"/>
  </r>
  <r>
    <x v="62"/>
    <x v="1"/>
    <x v="1"/>
    <x v="1"/>
    <x v="0"/>
    <x v="2"/>
    <x v="1"/>
    <x v="1"/>
    <x v="1"/>
    <x v="570"/>
    <x v="62"/>
    <x v="4"/>
  </r>
  <r>
    <x v="63"/>
    <x v="70"/>
    <x v="2"/>
    <x v="2"/>
    <x v="0"/>
    <x v="2"/>
    <x v="39"/>
    <x v="36"/>
    <x v="171"/>
    <x v="0"/>
    <x v="63"/>
    <x v="4"/>
  </r>
  <r>
    <x v="63"/>
    <x v="86"/>
    <x v="6"/>
    <x v="6"/>
    <x v="0"/>
    <x v="2"/>
    <x v="39"/>
    <x v="224"/>
    <x v="2004"/>
    <x v="0"/>
    <x v="63"/>
    <x v="4"/>
  </r>
  <r>
    <x v="63"/>
    <x v="43"/>
    <x v="3"/>
    <x v="3"/>
    <x v="0"/>
    <x v="2"/>
    <x v="39"/>
    <x v="71"/>
    <x v="2005"/>
    <x v="0"/>
    <x v="63"/>
    <x v="4"/>
  </r>
  <r>
    <x v="63"/>
    <x v="159"/>
    <x v="0"/>
    <x v="0"/>
    <x v="0"/>
    <x v="2"/>
    <x v="39"/>
    <x v="177"/>
    <x v="2006"/>
    <x v="0"/>
    <x v="63"/>
    <x v="4"/>
  </r>
  <r>
    <x v="63"/>
    <x v="117"/>
    <x v="0"/>
    <x v="0"/>
    <x v="0"/>
    <x v="2"/>
    <x v="39"/>
    <x v="65"/>
    <x v="2007"/>
    <x v="0"/>
    <x v="63"/>
    <x v="4"/>
  </r>
  <r>
    <x v="63"/>
    <x v="98"/>
    <x v="1"/>
    <x v="1"/>
    <x v="0"/>
    <x v="2"/>
    <x v="39"/>
    <x v="198"/>
    <x v="2008"/>
    <x v="0"/>
    <x v="63"/>
    <x v="4"/>
  </r>
  <r>
    <x v="63"/>
    <x v="1"/>
    <x v="1"/>
    <x v="1"/>
    <x v="0"/>
    <x v="2"/>
    <x v="1"/>
    <x v="1"/>
    <x v="1"/>
    <x v="571"/>
    <x v="63"/>
    <x v="4"/>
  </r>
  <r>
    <x v="64"/>
    <x v="85"/>
    <x v="2"/>
    <x v="2"/>
    <x v="0"/>
    <x v="2"/>
    <x v="39"/>
    <x v="161"/>
    <x v="2009"/>
    <x v="0"/>
    <x v="64"/>
    <x v="4"/>
  </r>
  <r>
    <x v="64"/>
    <x v="85"/>
    <x v="2"/>
    <x v="2"/>
    <x v="0"/>
    <x v="2"/>
    <x v="40"/>
    <x v="161"/>
    <x v="2010"/>
    <x v="0"/>
    <x v="64"/>
    <x v="4"/>
  </r>
  <r>
    <x v="64"/>
    <x v="0"/>
    <x v="0"/>
    <x v="0"/>
    <x v="0"/>
    <x v="2"/>
    <x v="39"/>
    <x v="197"/>
    <x v="2011"/>
    <x v="0"/>
    <x v="64"/>
    <x v="4"/>
  </r>
  <r>
    <x v="64"/>
    <x v="40"/>
    <x v="1"/>
    <x v="1"/>
    <x v="0"/>
    <x v="2"/>
    <x v="39"/>
    <x v="125"/>
    <x v="2012"/>
    <x v="0"/>
    <x v="64"/>
    <x v="4"/>
  </r>
  <r>
    <x v="64"/>
    <x v="1"/>
    <x v="1"/>
    <x v="1"/>
    <x v="0"/>
    <x v="2"/>
    <x v="1"/>
    <x v="1"/>
    <x v="1"/>
    <x v="572"/>
    <x v="64"/>
    <x v="4"/>
  </r>
  <r>
    <x v="65"/>
    <x v="135"/>
    <x v="3"/>
    <x v="3"/>
    <x v="0"/>
    <x v="2"/>
    <x v="39"/>
    <x v="149"/>
    <x v="2013"/>
    <x v="0"/>
    <x v="65"/>
    <x v="4"/>
  </r>
  <r>
    <x v="65"/>
    <x v="50"/>
    <x v="4"/>
    <x v="4"/>
    <x v="0"/>
    <x v="2"/>
    <x v="39"/>
    <x v="77"/>
    <x v="2014"/>
    <x v="0"/>
    <x v="65"/>
    <x v="4"/>
  </r>
  <r>
    <x v="65"/>
    <x v="101"/>
    <x v="1"/>
    <x v="1"/>
    <x v="0"/>
    <x v="2"/>
    <x v="39"/>
    <x v="207"/>
    <x v="2015"/>
    <x v="0"/>
    <x v="65"/>
    <x v="4"/>
  </r>
  <r>
    <x v="65"/>
    <x v="128"/>
    <x v="1"/>
    <x v="1"/>
    <x v="0"/>
    <x v="2"/>
    <x v="39"/>
    <x v="164"/>
    <x v="1690"/>
    <x v="0"/>
    <x v="65"/>
    <x v="4"/>
  </r>
  <r>
    <x v="65"/>
    <x v="1"/>
    <x v="1"/>
    <x v="1"/>
    <x v="0"/>
    <x v="2"/>
    <x v="1"/>
    <x v="1"/>
    <x v="1"/>
    <x v="573"/>
    <x v="65"/>
    <x v="4"/>
  </r>
  <r>
    <x v="66"/>
    <x v="86"/>
    <x v="6"/>
    <x v="6"/>
    <x v="0"/>
    <x v="2"/>
    <x v="39"/>
    <x v="224"/>
    <x v="2016"/>
    <x v="0"/>
    <x v="66"/>
    <x v="4"/>
  </r>
  <r>
    <x v="66"/>
    <x v="77"/>
    <x v="5"/>
    <x v="5"/>
    <x v="0"/>
    <x v="2"/>
    <x v="39"/>
    <x v="156"/>
    <x v="2017"/>
    <x v="0"/>
    <x v="66"/>
    <x v="4"/>
  </r>
  <r>
    <x v="66"/>
    <x v="41"/>
    <x v="1"/>
    <x v="1"/>
    <x v="0"/>
    <x v="2"/>
    <x v="39"/>
    <x v="113"/>
    <x v="2018"/>
    <x v="0"/>
    <x v="66"/>
    <x v="4"/>
  </r>
  <r>
    <x v="66"/>
    <x v="1"/>
    <x v="1"/>
    <x v="1"/>
    <x v="0"/>
    <x v="2"/>
    <x v="1"/>
    <x v="1"/>
    <x v="1"/>
    <x v="574"/>
    <x v="66"/>
    <x v="4"/>
  </r>
  <r>
    <x v="67"/>
    <x v="47"/>
    <x v="2"/>
    <x v="2"/>
    <x v="0"/>
    <x v="2"/>
    <x v="40"/>
    <x v="68"/>
    <x v="2019"/>
    <x v="0"/>
    <x v="67"/>
    <x v="4"/>
  </r>
  <r>
    <x v="67"/>
    <x v="108"/>
    <x v="3"/>
    <x v="3"/>
    <x v="0"/>
    <x v="2"/>
    <x v="39"/>
    <x v="63"/>
    <x v="1212"/>
    <x v="0"/>
    <x v="67"/>
    <x v="4"/>
  </r>
  <r>
    <x v="67"/>
    <x v="159"/>
    <x v="0"/>
    <x v="0"/>
    <x v="0"/>
    <x v="2"/>
    <x v="39"/>
    <x v="177"/>
    <x v="2020"/>
    <x v="0"/>
    <x v="67"/>
    <x v="4"/>
  </r>
  <r>
    <x v="67"/>
    <x v="13"/>
    <x v="5"/>
    <x v="5"/>
    <x v="0"/>
    <x v="2"/>
    <x v="39"/>
    <x v="120"/>
    <x v="2021"/>
    <x v="0"/>
    <x v="67"/>
    <x v="4"/>
  </r>
  <r>
    <x v="67"/>
    <x v="77"/>
    <x v="5"/>
    <x v="5"/>
    <x v="0"/>
    <x v="2"/>
    <x v="39"/>
    <x v="156"/>
    <x v="1303"/>
    <x v="0"/>
    <x v="67"/>
    <x v="4"/>
  </r>
  <r>
    <x v="67"/>
    <x v="33"/>
    <x v="1"/>
    <x v="1"/>
    <x v="0"/>
    <x v="2"/>
    <x v="39"/>
    <x v="241"/>
    <x v="2022"/>
    <x v="0"/>
    <x v="67"/>
    <x v="4"/>
  </r>
  <r>
    <x v="67"/>
    <x v="128"/>
    <x v="1"/>
    <x v="1"/>
    <x v="0"/>
    <x v="2"/>
    <x v="39"/>
    <x v="164"/>
    <x v="2023"/>
    <x v="0"/>
    <x v="67"/>
    <x v="4"/>
  </r>
  <r>
    <x v="67"/>
    <x v="1"/>
    <x v="1"/>
    <x v="1"/>
    <x v="0"/>
    <x v="2"/>
    <x v="1"/>
    <x v="1"/>
    <x v="1"/>
    <x v="575"/>
    <x v="67"/>
    <x v="4"/>
  </r>
  <r>
    <x v="68"/>
    <x v="121"/>
    <x v="0"/>
    <x v="0"/>
    <x v="0"/>
    <x v="2"/>
    <x v="40"/>
    <x v="80"/>
    <x v="146"/>
    <x v="0"/>
    <x v="68"/>
    <x v="4"/>
  </r>
  <r>
    <x v="68"/>
    <x v="160"/>
    <x v="0"/>
    <x v="0"/>
    <x v="0"/>
    <x v="2"/>
    <x v="39"/>
    <x v="179"/>
    <x v="882"/>
    <x v="0"/>
    <x v="68"/>
    <x v="4"/>
  </r>
  <r>
    <x v="68"/>
    <x v="1"/>
    <x v="1"/>
    <x v="1"/>
    <x v="0"/>
    <x v="2"/>
    <x v="1"/>
    <x v="1"/>
    <x v="1"/>
    <x v="576"/>
    <x v="68"/>
    <x v="4"/>
  </r>
  <r>
    <x v="69"/>
    <x v="107"/>
    <x v="2"/>
    <x v="2"/>
    <x v="0"/>
    <x v="2"/>
    <x v="39"/>
    <x v="158"/>
    <x v="2024"/>
    <x v="0"/>
    <x v="69"/>
    <x v="4"/>
  </r>
  <r>
    <x v="69"/>
    <x v="62"/>
    <x v="4"/>
    <x v="4"/>
    <x v="0"/>
    <x v="2"/>
    <x v="39"/>
    <x v="176"/>
    <x v="2025"/>
    <x v="0"/>
    <x v="69"/>
    <x v="4"/>
  </r>
  <r>
    <x v="69"/>
    <x v="57"/>
    <x v="0"/>
    <x v="0"/>
    <x v="0"/>
    <x v="2"/>
    <x v="39"/>
    <x v="44"/>
    <x v="2026"/>
    <x v="0"/>
    <x v="69"/>
    <x v="4"/>
  </r>
  <r>
    <x v="69"/>
    <x v="160"/>
    <x v="0"/>
    <x v="0"/>
    <x v="0"/>
    <x v="2"/>
    <x v="39"/>
    <x v="179"/>
    <x v="1543"/>
    <x v="0"/>
    <x v="69"/>
    <x v="4"/>
  </r>
  <r>
    <x v="69"/>
    <x v="1"/>
    <x v="1"/>
    <x v="1"/>
    <x v="0"/>
    <x v="2"/>
    <x v="1"/>
    <x v="1"/>
    <x v="1"/>
    <x v="577"/>
    <x v="69"/>
    <x v="4"/>
  </r>
  <r>
    <x v="0"/>
    <x v="171"/>
    <x v="7"/>
    <x v="7"/>
    <x v="1"/>
    <x v="0"/>
    <x v="41"/>
    <x v="257"/>
    <x v="2027"/>
    <x v="0"/>
    <x v="0"/>
    <x v="0"/>
  </r>
  <r>
    <x v="0"/>
    <x v="172"/>
    <x v="8"/>
    <x v="8"/>
    <x v="1"/>
    <x v="1"/>
    <x v="42"/>
    <x v="258"/>
    <x v="2028"/>
    <x v="0"/>
    <x v="0"/>
    <x v="0"/>
  </r>
  <r>
    <x v="0"/>
    <x v="173"/>
    <x v="8"/>
    <x v="8"/>
    <x v="1"/>
    <x v="1"/>
    <x v="43"/>
    <x v="259"/>
    <x v="2029"/>
    <x v="0"/>
    <x v="0"/>
    <x v="0"/>
  </r>
  <r>
    <x v="0"/>
    <x v="174"/>
    <x v="6"/>
    <x v="6"/>
    <x v="1"/>
    <x v="1"/>
    <x v="44"/>
    <x v="260"/>
    <x v="2030"/>
    <x v="0"/>
    <x v="0"/>
    <x v="0"/>
  </r>
  <r>
    <x v="1"/>
    <x v="175"/>
    <x v="9"/>
    <x v="9"/>
    <x v="1"/>
    <x v="2"/>
    <x v="45"/>
    <x v="261"/>
    <x v="2031"/>
    <x v="0"/>
    <x v="1"/>
    <x v="0"/>
  </r>
  <r>
    <x v="1"/>
    <x v="176"/>
    <x v="10"/>
    <x v="10"/>
    <x v="1"/>
    <x v="2"/>
    <x v="46"/>
    <x v="262"/>
    <x v="2032"/>
    <x v="0"/>
    <x v="1"/>
    <x v="0"/>
  </r>
  <r>
    <x v="1"/>
    <x v="177"/>
    <x v="11"/>
    <x v="11"/>
    <x v="1"/>
    <x v="2"/>
    <x v="47"/>
    <x v="263"/>
    <x v="2032"/>
    <x v="0"/>
    <x v="1"/>
    <x v="0"/>
  </r>
  <r>
    <x v="1"/>
    <x v="171"/>
    <x v="7"/>
    <x v="7"/>
    <x v="1"/>
    <x v="0"/>
    <x v="41"/>
    <x v="257"/>
    <x v="2033"/>
    <x v="0"/>
    <x v="1"/>
    <x v="0"/>
  </r>
  <r>
    <x v="1"/>
    <x v="178"/>
    <x v="9"/>
    <x v="9"/>
    <x v="1"/>
    <x v="0"/>
    <x v="48"/>
    <x v="264"/>
    <x v="2034"/>
    <x v="0"/>
    <x v="1"/>
    <x v="0"/>
  </r>
  <r>
    <x v="2"/>
    <x v="179"/>
    <x v="7"/>
    <x v="7"/>
    <x v="1"/>
    <x v="0"/>
    <x v="49"/>
    <x v="265"/>
    <x v="2035"/>
    <x v="0"/>
    <x v="2"/>
    <x v="0"/>
  </r>
  <r>
    <x v="2"/>
    <x v="180"/>
    <x v="10"/>
    <x v="10"/>
    <x v="1"/>
    <x v="0"/>
    <x v="50"/>
    <x v="266"/>
    <x v="2036"/>
    <x v="0"/>
    <x v="2"/>
    <x v="0"/>
  </r>
  <r>
    <x v="2"/>
    <x v="176"/>
    <x v="10"/>
    <x v="10"/>
    <x v="1"/>
    <x v="0"/>
    <x v="46"/>
    <x v="262"/>
    <x v="2037"/>
    <x v="0"/>
    <x v="2"/>
    <x v="0"/>
  </r>
  <r>
    <x v="2"/>
    <x v="174"/>
    <x v="6"/>
    <x v="6"/>
    <x v="1"/>
    <x v="0"/>
    <x v="44"/>
    <x v="260"/>
    <x v="2038"/>
    <x v="0"/>
    <x v="2"/>
    <x v="0"/>
  </r>
  <r>
    <x v="2"/>
    <x v="174"/>
    <x v="6"/>
    <x v="6"/>
    <x v="1"/>
    <x v="1"/>
    <x v="44"/>
    <x v="260"/>
    <x v="2039"/>
    <x v="0"/>
    <x v="2"/>
    <x v="0"/>
  </r>
  <r>
    <x v="3"/>
    <x v="180"/>
    <x v="10"/>
    <x v="10"/>
    <x v="1"/>
    <x v="2"/>
    <x v="50"/>
    <x v="266"/>
    <x v="2040"/>
    <x v="0"/>
    <x v="3"/>
    <x v="0"/>
  </r>
  <r>
    <x v="3"/>
    <x v="173"/>
    <x v="8"/>
    <x v="8"/>
    <x v="1"/>
    <x v="0"/>
    <x v="43"/>
    <x v="259"/>
    <x v="2041"/>
    <x v="0"/>
    <x v="3"/>
    <x v="0"/>
  </r>
  <r>
    <x v="3"/>
    <x v="176"/>
    <x v="10"/>
    <x v="10"/>
    <x v="1"/>
    <x v="0"/>
    <x v="46"/>
    <x v="262"/>
    <x v="2042"/>
    <x v="0"/>
    <x v="3"/>
    <x v="0"/>
  </r>
  <r>
    <x v="3"/>
    <x v="181"/>
    <x v="11"/>
    <x v="11"/>
    <x v="1"/>
    <x v="0"/>
    <x v="51"/>
    <x v="267"/>
    <x v="2043"/>
    <x v="0"/>
    <x v="3"/>
    <x v="0"/>
  </r>
  <r>
    <x v="4"/>
    <x v="172"/>
    <x v="8"/>
    <x v="8"/>
    <x v="1"/>
    <x v="2"/>
    <x v="42"/>
    <x v="258"/>
    <x v="2044"/>
    <x v="0"/>
    <x v="4"/>
    <x v="0"/>
  </r>
  <r>
    <x v="4"/>
    <x v="178"/>
    <x v="9"/>
    <x v="9"/>
    <x v="1"/>
    <x v="2"/>
    <x v="48"/>
    <x v="264"/>
    <x v="2045"/>
    <x v="0"/>
    <x v="4"/>
    <x v="0"/>
  </r>
  <r>
    <x v="4"/>
    <x v="181"/>
    <x v="11"/>
    <x v="11"/>
    <x v="1"/>
    <x v="2"/>
    <x v="51"/>
    <x v="267"/>
    <x v="2046"/>
    <x v="0"/>
    <x v="4"/>
    <x v="0"/>
  </r>
  <r>
    <x v="4"/>
    <x v="182"/>
    <x v="2"/>
    <x v="2"/>
    <x v="1"/>
    <x v="2"/>
    <x v="52"/>
    <x v="268"/>
    <x v="2047"/>
    <x v="0"/>
    <x v="4"/>
    <x v="0"/>
  </r>
  <r>
    <x v="4"/>
    <x v="183"/>
    <x v="2"/>
    <x v="2"/>
    <x v="1"/>
    <x v="2"/>
    <x v="53"/>
    <x v="269"/>
    <x v="2048"/>
    <x v="0"/>
    <x v="4"/>
    <x v="0"/>
  </r>
  <r>
    <x v="4"/>
    <x v="184"/>
    <x v="6"/>
    <x v="6"/>
    <x v="1"/>
    <x v="2"/>
    <x v="54"/>
    <x v="270"/>
    <x v="2049"/>
    <x v="0"/>
    <x v="4"/>
    <x v="0"/>
  </r>
  <r>
    <x v="4"/>
    <x v="179"/>
    <x v="7"/>
    <x v="7"/>
    <x v="1"/>
    <x v="0"/>
    <x v="49"/>
    <x v="265"/>
    <x v="2050"/>
    <x v="0"/>
    <x v="4"/>
    <x v="0"/>
  </r>
  <r>
    <x v="4"/>
    <x v="171"/>
    <x v="7"/>
    <x v="7"/>
    <x v="1"/>
    <x v="0"/>
    <x v="41"/>
    <x v="257"/>
    <x v="2051"/>
    <x v="0"/>
    <x v="4"/>
    <x v="0"/>
  </r>
  <r>
    <x v="4"/>
    <x v="172"/>
    <x v="8"/>
    <x v="8"/>
    <x v="1"/>
    <x v="0"/>
    <x v="42"/>
    <x v="258"/>
    <x v="2052"/>
    <x v="0"/>
    <x v="4"/>
    <x v="0"/>
  </r>
  <r>
    <x v="4"/>
    <x v="173"/>
    <x v="8"/>
    <x v="8"/>
    <x v="1"/>
    <x v="0"/>
    <x v="43"/>
    <x v="259"/>
    <x v="2053"/>
    <x v="0"/>
    <x v="4"/>
    <x v="0"/>
  </r>
  <r>
    <x v="4"/>
    <x v="175"/>
    <x v="9"/>
    <x v="9"/>
    <x v="1"/>
    <x v="0"/>
    <x v="45"/>
    <x v="261"/>
    <x v="2054"/>
    <x v="0"/>
    <x v="4"/>
    <x v="0"/>
  </r>
  <r>
    <x v="4"/>
    <x v="178"/>
    <x v="9"/>
    <x v="9"/>
    <x v="1"/>
    <x v="0"/>
    <x v="48"/>
    <x v="264"/>
    <x v="2055"/>
    <x v="0"/>
    <x v="4"/>
    <x v="0"/>
  </r>
  <r>
    <x v="4"/>
    <x v="180"/>
    <x v="10"/>
    <x v="10"/>
    <x v="1"/>
    <x v="0"/>
    <x v="50"/>
    <x v="266"/>
    <x v="2056"/>
    <x v="0"/>
    <x v="4"/>
    <x v="0"/>
  </r>
  <r>
    <x v="4"/>
    <x v="176"/>
    <x v="10"/>
    <x v="10"/>
    <x v="1"/>
    <x v="0"/>
    <x v="46"/>
    <x v="262"/>
    <x v="2057"/>
    <x v="0"/>
    <x v="4"/>
    <x v="0"/>
  </r>
  <r>
    <x v="4"/>
    <x v="177"/>
    <x v="11"/>
    <x v="11"/>
    <x v="1"/>
    <x v="0"/>
    <x v="47"/>
    <x v="263"/>
    <x v="2058"/>
    <x v="0"/>
    <x v="4"/>
    <x v="0"/>
  </r>
  <r>
    <x v="4"/>
    <x v="181"/>
    <x v="11"/>
    <x v="11"/>
    <x v="1"/>
    <x v="0"/>
    <x v="51"/>
    <x v="267"/>
    <x v="2059"/>
    <x v="0"/>
    <x v="4"/>
    <x v="0"/>
  </r>
  <r>
    <x v="4"/>
    <x v="182"/>
    <x v="2"/>
    <x v="2"/>
    <x v="1"/>
    <x v="0"/>
    <x v="52"/>
    <x v="268"/>
    <x v="2060"/>
    <x v="0"/>
    <x v="4"/>
    <x v="0"/>
  </r>
  <r>
    <x v="4"/>
    <x v="183"/>
    <x v="2"/>
    <x v="2"/>
    <x v="1"/>
    <x v="0"/>
    <x v="53"/>
    <x v="269"/>
    <x v="2061"/>
    <x v="0"/>
    <x v="4"/>
    <x v="0"/>
  </r>
  <r>
    <x v="4"/>
    <x v="184"/>
    <x v="6"/>
    <x v="6"/>
    <x v="1"/>
    <x v="0"/>
    <x v="54"/>
    <x v="270"/>
    <x v="2062"/>
    <x v="0"/>
    <x v="4"/>
    <x v="0"/>
  </r>
  <r>
    <x v="4"/>
    <x v="174"/>
    <x v="6"/>
    <x v="6"/>
    <x v="1"/>
    <x v="0"/>
    <x v="44"/>
    <x v="260"/>
    <x v="2063"/>
    <x v="0"/>
    <x v="4"/>
    <x v="0"/>
  </r>
  <r>
    <x v="4"/>
    <x v="177"/>
    <x v="11"/>
    <x v="11"/>
    <x v="1"/>
    <x v="1"/>
    <x v="47"/>
    <x v="263"/>
    <x v="2064"/>
    <x v="0"/>
    <x v="4"/>
    <x v="0"/>
  </r>
  <r>
    <x v="4"/>
    <x v="182"/>
    <x v="2"/>
    <x v="2"/>
    <x v="1"/>
    <x v="1"/>
    <x v="52"/>
    <x v="268"/>
    <x v="2065"/>
    <x v="0"/>
    <x v="4"/>
    <x v="0"/>
  </r>
  <r>
    <x v="4"/>
    <x v="184"/>
    <x v="6"/>
    <x v="6"/>
    <x v="1"/>
    <x v="1"/>
    <x v="54"/>
    <x v="270"/>
    <x v="2066"/>
    <x v="0"/>
    <x v="4"/>
    <x v="0"/>
  </r>
  <r>
    <x v="4"/>
    <x v="174"/>
    <x v="6"/>
    <x v="6"/>
    <x v="1"/>
    <x v="1"/>
    <x v="44"/>
    <x v="260"/>
    <x v="2067"/>
    <x v="0"/>
    <x v="4"/>
    <x v="0"/>
  </r>
  <r>
    <x v="5"/>
    <x v="179"/>
    <x v="7"/>
    <x v="7"/>
    <x v="1"/>
    <x v="0"/>
    <x v="49"/>
    <x v="265"/>
    <x v="2068"/>
    <x v="0"/>
    <x v="5"/>
    <x v="0"/>
  </r>
  <r>
    <x v="5"/>
    <x v="171"/>
    <x v="7"/>
    <x v="7"/>
    <x v="1"/>
    <x v="0"/>
    <x v="41"/>
    <x v="257"/>
    <x v="2069"/>
    <x v="0"/>
    <x v="5"/>
    <x v="0"/>
  </r>
  <r>
    <x v="5"/>
    <x v="181"/>
    <x v="11"/>
    <x v="11"/>
    <x v="1"/>
    <x v="1"/>
    <x v="51"/>
    <x v="267"/>
    <x v="170"/>
    <x v="0"/>
    <x v="5"/>
    <x v="0"/>
  </r>
  <r>
    <x v="5"/>
    <x v="184"/>
    <x v="6"/>
    <x v="6"/>
    <x v="1"/>
    <x v="1"/>
    <x v="54"/>
    <x v="270"/>
    <x v="2070"/>
    <x v="0"/>
    <x v="5"/>
    <x v="0"/>
  </r>
  <r>
    <x v="6"/>
    <x v="180"/>
    <x v="10"/>
    <x v="10"/>
    <x v="1"/>
    <x v="0"/>
    <x v="50"/>
    <x v="266"/>
    <x v="2071"/>
    <x v="0"/>
    <x v="6"/>
    <x v="0"/>
  </r>
  <r>
    <x v="6"/>
    <x v="176"/>
    <x v="10"/>
    <x v="10"/>
    <x v="1"/>
    <x v="0"/>
    <x v="46"/>
    <x v="262"/>
    <x v="2072"/>
    <x v="0"/>
    <x v="6"/>
    <x v="0"/>
  </r>
  <r>
    <x v="7"/>
    <x v="176"/>
    <x v="10"/>
    <x v="10"/>
    <x v="1"/>
    <x v="1"/>
    <x v="46"/>
    <x v="262"/>
    <x v="2073"/>
    <x v="0"/>
    <x v="7"/>
    <x v="0"/>
  </r>
  <r>
    <x v="8"/>
    <x v="175"/>
    <x v="9"/>
    <x v="9"/>
    <x v="1"/>
    <x v="0"/>
    <x v="45"/>
    <x v="261"/>
    <x v="1046"/>
    <x v="0"/>
    <x v="8"/>
    <x v="0"/>
  </r>
  <r>
    <x v="9"/>
    <x v="172"/>
    <x v="8"/>
    <x v="8"/>
    <x v="1"/>
    <x v="2"/>
    <x v="42"/>
    <x v="258"/>
    <x v="2074"/>
    <x v="0"/>
    <x v="9"/>
    <x v="0"/>
  </r>
  <r>
    <x v="9"/>
    <x v="179"/>
    <x v="7"/>
    <x v="7"/>
    <x v="1"/>
    <x v="0"/>
    <x v="49"/>
    <x v="265"/>
    <x v="2075"/>
    <x v="0"/>
    <x v="9"/>
    <x v="0"/>
  </r>
  <r>
    <x v="9"/>
    <x v="171"/>
    <x v="7"/>
    <x v="7"/>
    <x v="1"/>
    <x v="0"/>
    <x v="41"/>
    <x v="257"/>
    <x v="2076"/>
    <x v="0"/>
    <x v="9"/>
    <x v="0"/>
  </r>
  <r>
    <x v="9"/>
    <x v="172"/>
    <x v="8"/>
    <x v="8"/>
    <x v="1"/>
    <x v="0"/>
    <x v="42"/>
    <x v="258"/>
    <x v="2077"/>
    <x v="0"/>
    <x v="9"/>
    <x v="0"/>
  </r>
  <r>
    <x v="9"/>
    <x v="173"/>
    <x v="8"/>
    <x v="8"/>
    <x v="1"/>
    <x v="0"/>
    <x v="43"/>
    <x v="259"/>
    <x v="2078"/>
    <x v="0"/>
    <x v="9"/>
    <x v="0"/>
  </r>
  <r>
    <x v="9"/>
    <x v="175"/>
    <x v="9"/>
    <x v="9"/>
    <x v="1"/>
    <x v="0"/>
    <x v="45"/>
    <x v="261"/>
    <x v="2079"/>
    <x v="0"/>
    <x v="9"/>
    <x v="0"/>
  </r>
  <r>
    <x v="9"/>
    <x v="178"/>
    <x v="9"/>
    <x v="9"/>
    <x v="1"/>
    <x v="0"/>
    <x v="48"/>
    <x v="264"/>
    <x v="2080"/>
    <x v="0"/>
    <x v="9"/>
    <x v="0"/>
  </r>
  <r>
    <x v="9"/>
    <x v="180"/>
    <x v="10"/>
    <x v="10"/>
    <x v="1"/>
    <x v="0"/>
    <x v="50"/>
    <x v="266"/>
    <x v="2081"/>
    <x v="0"/>
    <x v="9"/>
    <x v="0"/>
  </r>
  <r>
    <x v="9"/>
    <x v="176"/>
    <x v="10"/>
    <x v="10"/>
    <x v="1"/>
    <x v="0"/>
    <x v="46"/>
    <x v="262"/>
    <x v="2082"/>
    <x v="0"/>
    <x v="9"/>
    <x v="0"/>
  </r>
  <r>
    <x v="9"/>
    <x v="177"/>
    <x v="11"/>
    <x v="11"/>
    <x v="1"/>
    <x v="0"/>
    <x v="47"/>
    <x v="263"/>
    <x v="2083"/>
    <x v="0"/>
    <x v="9"/>
    <x v="0"/>
  </r>
  <r>
    <x v="9"/>
    <x v="181"/>
    <x v="11"/>
    <x v="11"/>
    <x v="1"/>
    <x v="0"/>
    <x v="51"/>
    <x v="267"/>
    <x v="2084"/>
    <x v="0"/>
    <x v="9"/>
    <x v="0"/>
  </r>
  <r>
    <x v="9"/>
    <x v="182"/>
    <x v="2"/>
    <x v="2"/>
    <x v="1"/>
    <x v="0"/>
    <x v="52"/>
    <x v="268"/>
    <x v="2085"/>
    <x v="0"/>
    <x v="9"/>
    <x v="0"/>
  </r>
  <r>
    <x v="9"/>
    <x v="183"/>
    <x v="2"/>
    <x v="2"/>
    <x v="1"/>
    <x v="0"/>
    <x v="53"/>
    <x v="269"/>
    <x v="2086"/>
    <x v="0"/>
    <x v="9"/>
    <x v="0"/>
  </r>
  <r>
    <x v="9"/>
    <x v="174"/>
    <x v="6"/>
    <x v="6"/>
    <x v="1"/>
    <x v="0"/>
    <x v="44"/>
    <x v="260"/>
    <x v="2087"/>
    <x v="0"/>
    <x v="9"/>
    <x v="0"/>
  </r>
  <r>
    <x v="9"/>
    <x v="173"/>
    <x v="8"/>
    <x v="8"/>
    <x v="1"/>
    <x v="1"/>
    <x v="43"/>
    <x v="259"/>
    <x v="2088"/>
    <x v="0"/>
    <x v="9"/>
    <x v="0"/>
  </r>
  <r>
    <x v="9"/>
    <x v="175"/>
    <x v="9"/>
    <x v="9"/>
    <x v="1"/>
    <x v="1"/>
    <x v="45"/>
    <x v="261"/>
    <x v="2089"/>
    <x v="0"/>
    <x v="9"/>
    <x v="0"/>
  </r>
  <r>
    <x v="9"/>
    <x v="181"/>
    <x v="11"/>
    <x v="11"/>
    <x v="1"/>
    <x v="1"/>
    <x v="51"/>
    <x v="267"/>
    <x v="2088"/>
    <x v="0"/>
    <x v="9"/>
    <x v="0"/>
  </r>
  <r>
    <x v="9"/>
    <x v="183"/>
    <x v="2"/>
    <x v="2"/>
    <x v="1"/>
    <x v="1"/>
    <x v="53"/>
    <x v="269"/>
    <x v="2090"/>
    <x v="0"/>
    <x v="9"/>
    <x v="0"/>
  </r>
  <r>
    <x v="9"/>
    <x v="184"/>
    <x v="6"/>
    <x v="6"/>
    <x v="1"/>
    <x v="1"/>
    <x v="54"/>
    <x v="270"/>
    <x v="2091"/>
    <x v="0"/>
    <x v="9"/>
    <x v="0"/>
  </r>
  <r>
    <x v="9"/>
    <x v="174"/>
    <x v="6"/>
    <x v="6"/>
    <x v="1"/>
    <x v="1"/>
    <x v="44"/>
    <x v="260"/>
    <x v="2065"/>
    <x v="0"/>
    <x v="9"/>
    <x v="0"/>
  </r>
  <r>
    <x v="10"/>
    <x v="179"/>
    <x v="7"/>
    <x v="7"/>
    <x v="1"/>
    <x v="2"/>
    <x v="49"/>
    <x v="265"/>
    <x v="2092"/>
    <x v="0"/>
    <x v="10"/>
    <x v="0"/>
  </r>
  <r>
    <x v="10"/>
    <x v="172"/>
    <x v="8"/>
    <x v="8"/>
    <x v="1"/>
    <x v="2"/>
    <x v="42"/>
    <x v="258"/>
    <x v="2093"/>
    <x v="0"/>
    <x v="10"/>
    <x v="0"/>
  </r>
  <r>
    <x v="10"/>
    <x v="180"/>
    <x v="10"/>
    <x v="10"/>
    <x v="1"/>
    <x v="2"/>
    <x v="50"/>
    <x v="266"/>
    <x v="2094"/>
    <x v="0"/>
    <x v="10"/>
    <x v="0"/>
  </r>
  <r>
    <x v="10"/>
    <x v="176"/>
    <x v="10"/>
    <x v="10"/>
    <x v="1"/>
    <x v="2"/>
    <x v="46"/>
    <x v="262"/>
    <x v="2095"/>
    <x v="0"/>
    <x v="10"/>
    <x v="0"/>
  </r>
  <r>
    <x v="10"/>
    <x v="177"/>
    <x v="11"/>
    <x v="11"/>
    <x v="1"/>
    <x v="2"/>
    <x v="47"/>
    <x v="263"/>
    <x v="2096"/>
    <x v="0"/>
    <x v="10"/>
    <x v="0"/>
  </r>
  <r>
    <x v="10"/>
    <x v="179"/>
    <x v="7"/>
    <x v="7"/>
    <x v="1"/>
    <x v="0"/>
    <x v="49"/>
    <x v="265"/>
    <x v="2097"/>
    <x v="0"/>
    <x v="10"/>
    <x v="0"/>
  </r>
  <r>
    <x v="10"/>
    <x v="171"/>
    <x v="7"/>
    <x v="7"/>
    <x v="1"/>
    <x v="0"/>
    <x v="41"/>
    <x v="257"/>
    <x v="2098"/>
    <x v="0"/>
    <x v="10"/>
    <x v="0"/>
  </r>
  <r>
    <x v="10"/>
    <x v="172"/>
    <x v="8"/>
    <x v="8"/>
    <x v="1"/>
    <x v="0"/>
    <x v="42"/>
    <x v="258"/>
    <x v="2099"/>
    <x v="0"/>
    <x v="10"/>
    <x v="0"/>
  </r>
  <r>
    <x v="10"/>
    <x v="173"/>
    <x v="8"/>
    <x v="8"/>
    <x v="1"/>
    <x v="0"/>
    <x v="43"/>
    <x v="259"/>
    <x v="2100"/>
    <x v="0"/>
    <x v="10"/>
    <x v="0"/>
  </r>
  <r>
    <x v="10"/>
    <x v="185"/>
    <x v="8"/>
    <x v="8"/>
    <x v="1"/>
    <x v="0"/>
    <x v="55"/>
    <x v="271"/>
    <x v="2101"/>
    <x v="0"/>
    <x v="10"/>
    <x v="0"/>
  </r>
  <r>
    <x v="10"/>
    <x v="175"/>
    <x v="9"/>
    <x v="9"/>
    <x v="1"/>
    <x v="0"/>
    <x v="45"/>
    <x v="261"/>
    <x v="2102"/>
    <x v="0"/>
    <x v="10"/>
    <x v="0"/>
  </r>
  <r>
    <x v="10"/>
    <x v="178"/>
    <x v="9"/>
    <x v="9"/>
    <x v="1"/>
    <x v="0"/>
    <x v="48"/>
    <x v="264"/>
    <x v="2103"/>
    <x v="0"/>
    <x v="10"/>
    <x v="0"/>
  </r>
  <r>
    <x v="10"/>
    <x v="180"/>
    <x v="10"/>
    <x v="10"/>
    <x v="1"/>
    <x v="0"/>
    <x v="50"/>
    <x v="266"/>
    <x v="2104"/>
    <x v="0"/>
    <x v="10"/>
    <x v="0"/>
  </r>
  <r>
    <x v="10"/>
    <x v="176"/>
    <x v="10"/>
    <x v="10"/>
    <x v="1"/>
    <x v="0"/>
    <x v="46"/>
    <x v="262"/>
    <x v="2105"/>
    <x v="0"/>
    <x v="10"/>
    <x v="0"/>
  </r>
  <r>
    <x v="10"/>
    <x v="177"/>
    <x v="11"/>
    <x v="11"/>
    <x v="1"/>
    <x v="0"/>
    <x v="47"/>
    <x v="263"/>
    <x v="2106"/>
    <x v="0"/>
    <x v="10"/>
    <x v="0"/>
  </r>
  <r>
    <x v="10"/>
    <x v="181"/>
    <x v="11"/>
    <x v="11"/>
    <x v="1"/>
    <x v="0"/>
    <x v="51"/>
    <x v="267"/>
    <x v="2107"/>
    <x v="0"/>
    <x v="10"/>
    <x v="0"/>
  </r>
  <r>
    <x v="10"/>
    <x v="182"/>
    <x v="2"/>
    <x v="2"/>
    <x v="1"/>
    <x v="0"/>
    <x v="52"/>
    <x v="268"/>
    <x v="2108"/>
    <x v="0"/>
    <x v="10"/>
    <x v="0"/>
  </r>
  <r>
    <x v="10"/>
    <x v="183"/>
    <x v="2"/>
    <x v="2"/>
    <x v="1"/>
    <x v="0"/>
    <x v="53"/>
    <x v="269"/>
    <x v="2109"/>
    <x v="0"/>
    <x v="10"/>
    <x v="0"/>
  </r>
  <r>
    <x v="10"/>
    <x v="184"/>
    <x v="6"/>
    <x v="6"/>
    <x v="1"/>
    <x v="0"/>
    <x v="54"/>
    <x v="270"/>
    <x v="2110"/>
    <x v="0"/>
    <x v="10"/>
    <x v="0"/>
  </r>
  <r>
    <x v="10"/>
    <x v="174"/>
    <x v="6"/>
    <x v="6"/>
    <x v="1"/>
    <x v="0"/>
    <x v="44"/>
    <x v="260"/>
    <x v="2111"/>
    <x v="0"/>
    <x v="10"/>
    <x v="0"/>
  </r>
  <r>
    <x v="10"/>
    <x v="179"/>
    <x v="7"/>
    <x v="7"/>
    <x v="1"/>
    <x v="1"/>
    <x v="49"/>
    <x v="265"/>
    <x v="2112"/>
    <x v="0"/>
    <x v="10"/>
    <x v="0"/>
  </r>
  <r>
    <x v="10"/>
    <x v="172"/>
    <x v="8"/>
    <x v="8"/>
    <x v="1"/>
    <x v="1"/>
    <x v="42"/>
    <x v="258"/>
    <x v="2113"/>
    <x v="0"/>
    <x v="10"/>
    <x v="0"/>
  </r>
  <r>
    <x v="10"/>
    <x v="173"/>
    <x v="8"/>
    <x v="8"/>
    <x v="1"/>
    <x v="1"/>
    <x v="43"/>
    <x v="259"/>
    <x v="114"/>
    <x v="0"/>
    <x v="10"/>
    <x v="0"/>
  </r>
  <r>
    <x v="10"/>
    <x v="175"/>
    <x v="9"/>
    <x v="9"/>
    <x v="1"/>
    <x v="1"/>
    <x v="45"/>
    <x v="261"/>
    <x v="2114"/>
    <x v="0"/>
    <x v="10"/>
    <x v="0"/>
  </r>
  <r>
    <x v="10"/>
    <x v="180"/>
    <x v="10"/>
    <x v="10"/>
    <x v="1"/>
    <x v="1"/>
    <x v="50"/>
    <x v="266"/>
    <x v="1551"/>
    <x v="0"/>
    <x v="10"/>
    <x v="0"/>
  </r>
  <r>
    <x v="10"/>
    <x v="176"/>
    <x v="10"/>
    <x v="10"/>
    <x v="1"/>
    <x v="1"/>
    <x v="46"/>
    <x v="262"/>
    <x v="2115"/>
    <x v="0"/>
    <x v="10"/>
    <x v="0"/>
  </r>
  <r>
    <x v="10"/>
    <x v="177"/>
    <x v="11"/>
    <x v="11"/>
    <x v="1"/>
    <x v="1"/>
    <x v="47"/>
    <x v="263"/>
    <x v="1353"/>
    <x v="0"/>
    <x v="10"/>
    <x v="0"/>
  </r>
  <r>
    <x v="10"/>
    <x v="183"/>
    <x v="2"/>
    <x v="2"/>
    <x v="1"/>
    <x v="1"/>
    <x v="53"/>
    <x v="269"/>
    <x v="2116"/>
    <x v="0"/>
    <x v="10"/>
    <x v="0"/>
  </r>
  <r>
    <x v="10"/>
    <x v="184"/>
    <x v="6"/>
    <x v="6"/>
    <x v="1"/>
    <x v="1"/>
    <x v="54"/>
    <x v="270"/>
    <x v="2117"/>
    <x v="0"/>
    <x v="10"/>
    <x v="0"/>
  </r>
  <r>
    <x v="10"/>
    <x v="174"/>
    <x v="6"/>
    <x v="6"/>
    <x v="1"/>
    <x v="1"/>
    <x v="44"/>
    <x v="260"/>
    <x v="2118"/>
    <x v="0"/>
    <x v="10"/>
    <x v="0"/>
  </r>
  <r>
    <x v="12"/>
    <x v="171"/>
    <x v="7"/>
    <x v="7"/>
    <x v="1"/>
    <x v="2"/>
    <x v="41"/>
    <x v="257"/>
    <x v="831"/>
    <x v="0"/>
    <x v="12"/>
    <x v="0"/>
  </r>
  <r>
    <x v="12"/>
    <x v="172"/>
    <x v="8"/>
    <x v="8"/>
    <x v="1"/>
    <x v="2"/>
    <x v="42"/>
    <x v="258"/>
    <x v="831"/>
    <x v="0"/>
    <x v="12"/>
    <x v="0"/>
  </r>
  <r>
    <x v="12"/>
    <x v="173"/>
    <x v="8"/>
    <x v="8"/>
    <x v="1"/>
    <x v="2"/>
    <x v="43"/>
    <x v="259"/>
    <x v="831"/>
    <x v="0"/>
    <x v="12"/>
    <x v="0"/>
  </r>
  <r>
    <x v="12"/>
    <x v="179"/>
    <x v="7"/>
    <x v="7"/>
    <x v="1"/>
    <x v="0"/>
    <x v="49"/>
    <x v="265"/>
    <x v="2119"/>
    <x v="0"/>
    <x v="12"/>
    <x v="0"/>
  </r>
  <r>
    <x v="12"/>
    <x v="171"/>
    <x v="7"/>
    <x v="7"/>
    <x v="1"/>
    <x v="0"/>
    <x v="41"/>
    <x v="257"/>
    <x v="2120"/>
    <x v="0"/>
    <x v="12"/>
    <x v="0"/>
  </r>
  <r>
    <x v="12"/>
    <x v="182"/>
    <x v="2"/>
    <x v="2"/>
    <x v="1"/>
    <x v="0"/>
    <x v="52"/>
    <x v="268"/>
    <x v="1683"/>
    <x v="0"/>
    <x v="12"/>
    <x v="0"/>
  </r>
  <r>
    <x v="12"/>
    <x v="184"/>
    <x v="6"/>
    <x v="6"/>
    <x v="1"/>
    <x v="0"/>
    <x v="54"/>
    <x v="270"/>
    <x v="2121"/>
    <x v="0"/>
    <x v="12"/>
    <x v="0"/>
  </r>
  <r>
    <x v="12"/>
    <x v="176"/>
    <x v="10"/>
    <x v="10"/>
    <x v="1"/>
    <x v="1"/>
    <x v="46"/>
    <x v="262"/>
    <x v="2122"/>
    <x v="0"/>
    <x v="12"/>
    <x v="0"/>
  </r>
  <r>
    <x v="13"/>
    <x v="171"/>
    <x v="7"/>
    <x v="7"/>
    <x v="1"/>
    <x v="0"/>
    <x v="41"/>
    <x v="257"/>
    <x v="2123"/>
    <x v="0"/>
    <x v="13"/>
    <x v="0"/>
  </r>
  <r>
    <x v="14"/>
    <x v="180"/>
    <x v="10"/>
    <x v="10"/>
    <x v="1"/>
    <x v="2"/>
    <x v="50"/>
    <x v="266"/>
    <x v="2124"/>
    <x v="0"/>
    <x v="14"/>
    <x v="0"/>
  </r>
  <r>
    <x v="14"/>
    <x v="171"/>
    <x v="7"/>
    <x v="7"/>
    <x v="1"/>
    <x v="0"/>
    <x v="41"/>
    <x v="257"/>
    <x v="1694"/>
    <x v="0"/>
    <x v="14"/>
    <x v="0"/>
  </r>
  <r>
    <x v="14"/>
    <x v="173"/>
    <x v="8"/>
    <x v="8"/>
    <x v="1"/>
    <x v="0"/>
    <x v="43"/>
    <x v="259"/>
    <x v="1781"/>
    <x v="0"/>
    <x v="14"/>
    <x v="0"/>
  </r>
  <r>
    <x v="14"/>
    <x v="175"/>
    <x v="9"/>
    <x v="9"/>
    <x v="1"/>
    <x v="0"/>
    <x v="45"/>
    <x v="261"/>
    <x v="2125"/>
    <x v="0"/>
    <x v="14"/>
    <x v="0"/>
  </r>
  <r>
    <x v="15"/>
    <x v="175"/>
    <x v="9"/>
    <x v="9"/>
    <x v="1"/>
    <x v="2"/>
    <x v="45"/>
    <x v="261"/>
    <x v="2126"/>
    <x v="0"/>
    <x v="15"/>
    <x v="0"/>
  </r>
  <r>
    <x v="15"/>
    <x v="179"/>
    <x v="7"/>
    <x v="7"/>
    <x v="1"/>
    <x v="0"/>
    <x v="49"/>
    <x v="265"/>
    <x v="2127"/>
    <x v="0"/>
    <x v="15"/>
    <x v="0"/>
  </r>
  <r>
    <x v="15"/>
    <x v="171"/>
    <x v="7"/>
    <x v="7"/>
    <x v="1"/>
    <x v="0"/>
    <x v="41"/>
    <x v="257"/>
    <x v="2128"/>
    <x v="0"/>
    <x v="15"/>
    <x v="0"/>
  </r>
  <r>
    <x v="15"/>
    <x v="172"/>
    <x v="8"/>
    <x v="8"/>
    <x v="1"/>
    <x v="0"/>
    <x v="42"/>
    <x v="258"/>
    <x v="2129"/>
    <x v="0"/>
    <x v="15"/>
    <x v="0"/>
  </r>
  <r>
    <x v="15"/>
    <x v="173"/>
    <x v="8"/>
    <x v="8"/>
    <x v="1"/>
    <x v="0"/>
    <x v="43"/>
    <x v="259"/>
    <x v="2130"/>
    <x v="0"/>
    <x v="15"/>
    <x v="0"/>
  </r>
  <r>
    <x v="15"/>
    <x v="175"/>
    <x v="9"/>
    <x v="9"/>
    <x v="1"/>
    <x v="0"/>
    <x v="45"/>
    <x v="261"/>
    <x v="2131"/>
    <x v="0"/>
    <x v="15"/>
    <x v="0"/>
  </r>
  <r>
    <x v="15"/>
    <x v="178"/>
    <x v="9"/>
    <x v="9"/>
    <x v="1"/>
    <x v="0"/>
    <x v="48"/>
    <x v="264"/>
    <x v="2132"/>
    <x v="0"/>
    <x v="15"/>
    <x v="0"/>
  </r>
  <r>
    <x v="15"/>
    <x v="180"/>
    <x v="10"/>
    <x v="10"/>
    <x v="1"/>
    <x v="0"/>
    <x v="50"/>
    <x v="266"/>
    <x v="2133"/>
    <x v="0"/>
    <x v="15"/>
    <x v="0"/>
  </r>
  <r>
    <x v="15"/>
    <x v="176"/>
    <x v="10"/>
    <x v="10"/>
    <x v="1"/>
    <x v="0"/>
    <x v="46"/>
    <x v="262"/>
    <x v="2134"/>
    <x v="0"/>
    <x v="15"/>
    <x v="0"/>
  </r>
  <r>
    <x v="15"/>
    <x v="177"/>
    <x v="11"/>
    <x v="11"/>
    <x v="1"/>
    <x v="0"/>
    <x v="47"/>
    <x v="263"/>
    <x v="2135"/>
    <x v="0"/>
    <x v="15"/>
    <x v="0"/>
  </r>
  <r>
    <x v="15"/>
    <x v="181"/>
    <x v="11"/>
    <x v="11"/>
    <x v="1"/>
    <x v="0"/>
    <x v="51"/>
    <x v="267"/>
    <x v="2136"/>
    <x v="0"/>
    <x v="15"/>
    <x v="0"/>
  </r>
  <r>
    <x v="15"/>
    <x v="182"/>
    <x v="2"/>
    <x v="2"/>
    <x v="1"/>
    <x v="0"/>
    <x v="52"/>
    <x v="268"/>
    <x v="2137"/>
    <x v="0"/>
    <x v="15"/>
    <x v="0"/>
  </r>
  <r>
    <x v="15"/>
    <x v="183"/>
    <x v="2"/>
    <x v="2"/>
    <x v="1"/>
    <x v="0"/>
    <x v="53"/>
    <x v="269"/>
    <x v="2138"/>
    <x v="0"/>
    <x v="15"/>
    <x v="0"/>
  </r>
  <r>
    <x v="15"/>
    <x v="184"/>
    <x v="6"/>
    <x v="6"/>
    <x v="1"/>
    <x v="0"/>
    <x v="54"/>
    <x v="270"/>
    <x v="2139"/>
    <x v="0"/>
    <x v="15"/>
    <x v="0"/>
  </r>
  <r>
    <x v="15"/>
    <x v="174"/>
    <x v="6"/>
    <x v="6"/>
    <x v="1"/>
    <x v="0"/>
    <x v="44"/>
    <x v="260"/>
    <x v="2140"/>
    <x v="0"/>
    <x v="15"/>
    <x v="0"/>
  </r>
  <r>
    <x v="15"/>
    <x v="177"/>
    <x v="11"/>
    <x v="11"/>
    <x v="1"/>
    <x v="1"/>
    <x v="47"/>
    <x v="263"/>
    <x v="734"/>
    <x v="0"/>
    <x v="15"/>
    <x v="0"/>
  </r>
  <r>
    <x v="15"/>
    <x v="174"/>
    <x v="6"/>
    <x v="6"/>
    <x v="1"/>
    <x v="1"/>
    <x v="44"/>
    <x v="260"/>
    <x v="2141"/>
    <x v="0"/>
    <x v="15"/>
    <x v="0"/>
  </r>
  <r>
    <x v="16"/>
    <x v="172"/>
    <x v="8"/>
    <x v="8"/>
    <x v="1"/>
    <x v="2"/>
    <x v="42"/>
    <x v="258"/>
    <x v="2142"/>
    <x v="0"/>
    <x v="16"/>
    <x v="0"/>
  </r>
  <r>
    <x v="16"/>
    <x v="173"/>
    <x v="8"/>
    <x v="8"/>
    <x v="1"/>
    <x v="2"/>
    <x v="43"/>
    <x v="259"/>
    <x v="2143"/>
    <x v="0"/>
    <x v="16"/>
    <x v="0"/>
  </r>
  <r>
    <x v="16"/>
    <x v="174"/>
    <x v="6"/>
    <x v="6"/>
    <x v="1"/>
    <x v="2"/>
    <x v="44"/>
    <x v="260"/>
    <x v="2144"/>
    <x v="0"/>
    <x v="16"/>
    <x v="0"/>
  </r>
  <r>
    <x v="16"/>
    <x v="179"/>
    <x v="7"/>
    <x v="7"/>
    <x v="1"/>
    <x v="0"/>
    <x v="49"/>
    <x v="265"/>
    <x v="2145"/>
    <x v="0"/>
    <x v="16"/>
    <x v="0"/>
  </r>
  <r>
    <x v="16"/>
    <x v="171"/>
    <x v="7"/>
    <x v="7"/>
    <x v="1"/>
    <x v="0"/>
    <x v="41"/>
    <x v="257"/>
    <x v="2146"/>
    <x v="0"/>
    <x v="16"/>
    <x v="0"/>
  </r>
  <r>
    <x v="16"/>
    <x v="172"/>
    <x v="8"/>
    <x v="8"/>
    <x v="1"/>
    <x v="0"/>
    <x v="42"/>
    <x v="258"/>
    <x v="2147"/>
    <x v="0"/>
    <x v="16"/>
    <x v="0"/>
  </r>
  <r>
    <x v="16"/>
    <x v="173"/>
    <x v="8"/>
    <x v="8"/>
    <x v="1"/>
    <x v="0"/>
    <x v="43"/>
    <x v="259"/>
    <x v="2148"/>
    <x v="0"/>
    <x v="16"/>
    <x v="0"/>
  </r>
  <r>
    <x v="16"/>
    <x v="175"/>
    <x v="9"/>
    <x v="9"/>
    <x v="1"/>
    <x v="0"/>
    <x v="45"/>
    <x v="261"/>
    <x v="2149"/>
    <x v="0"/>
    <x v="16"/>
    <x v="0"/>
  </r>
  <r>
    <x v="16"/>
    <x v="178"/>
    <x v="9"/>
    <x v="9"/>
    <x v="1"/>
    <x v="0"/>
    <x v="48"/>
    <x v="264"/>
    <x v="2150"/>
    <x v="0"/>
    <x v="16"/>
    <x v="0"/>
  </r>
  <r>
    <x v="16"/>
    <x v="180"/>
    <x v="10"/>
    <x v="10"/>
    <x v="1"/>
    <x v="0"/>
    <x v="50"/>
    <x v="266"/>
    <x v="2151"/>
    <x v="0"/>
    <x v="16"/>
    <x v="0"/>
  </r>
  <r>
    <x v="16"/>
    <x v="176"/>
    <x v="10"/>
    <x v="10"/>
    <x v="1"/>
    <x v="0"/>
    <x v="46"/>
    <x v="262"/>
    <x v="2152"/>
    <x v="0"/>
    <x v="16"/>
    <x v="0"/>
  </r>
  <r>
    <x v="16"/>
    <x v="177"/>
    <x v="11"/>
    <x v="11"/>
    <x v="1"/>
    <x v="0"/>
    <x v="47"/>
    <x v="263"/>
    <x v="2153"/>
    <x v="0"/>
    <x v="16"/>
    <x v="0"/>
  </r>
  <r>
    <x v="16"/>
    <x v="181"/>
    <x v="11"/>
    <x v="11"/>
    <x v="1"/>
    <x v="0"/>
    <x v="51"/>
    <x v="267"/>
    <x v="2154"/>
    <x v="0"/>
    <x v="16"/>
    <x v="0"/>
  </r>
  <r>
    <x v="16"/>
    <x v="182"/>
    <x v="2"/>
    <x v="2"/>
    <x v="1"/>
    <x v="0"/>
    <x v="52"/>
    <x v="268"/>
    <x v="2155"/>
    <x v="0"/>
    <x v="16"/>
    <x v="0"/>
  </r>
  <r>
    <x v="16"/>
    <x v="183"/>
    <x v="2"/>
    <x v="2"/>
    <x v="1"/>
    <x v="0"/>
    <x v="53"/>
    <x v="269"/>
    <x v="2156"/>
    <x v="0"/>
    <x v="16"/>
    <x v="0"/>
  </r>
  <r>
    <x v="16"/>
    <x v="184"/>
    <x v="6"/>
    <x v="6"/>
    <x v="1"/>
    <x v="0"/>
    <x v="54"/>
    <x v="270"/>
    <x v="2157"/>
    <x v="0"/>
    <x v="16"/>
    <x v="0"/>
  </r>
  <r>
    <x v="16"/>
    <x v="174"/>
    <x v="6"/>
    <x v="6"/>
    <x v="1"/>
    <x v="0"/>
    <x v="44"/>
    <x v="260"/>
    <x v="2158"/>
    <x v="0"/>
    <x v="16"/>
    <x v="0"/>
  </r>
  <r>
    <x v="16"/>
    <x v="179"/>
    <x v="7"/>
    <x v="7"/>
    <x v="1"/>
    <x v="1"/>
    <x v="49"/>
    <x v="265"/>
    <x v="2159"/>
    <x v="0"/>
    <x v="16"/>
    <x v="0"/>
  </r>
  <r>
    <x v="16"/>
    <x v="171"/>
    <x v="7"/>
    <x v="7"/>
    <x v="1"/>
    <x v="1"/>
    <x v="41"/>
    <x v="257"/>
    <x v="2160"/>
    <x v="0"/>
    <x v="16"/>
    <x v="0"/>
  </r>
  <r>
    <x v="16"/>
    <x v="173"/>
    <x v="8"/>
    <x v="8"/>
    <x v="1"/>
    <x v="1"/>
    <x v="43"/>
    <x v="259"/>
    <x v="2161"/>
    <x v="0"/>
    <x v="16"/>
    <x v="0"/>
  </r>
  <r>
    <x v="16"/>
    <x v="175"/>
    <x v="9"/>
    <x v="9"/>
    <x v="1"/>
    <x v="1"/>
    <x v="45"/>
    <x v="261"/>
    <x v="2162"/>
    <x v="0"/>
    <x v="16"/>
    <x v="0"/>
  </r>
  <r>
    <x v="16"/>
    <x v="178"/>
    <x v="9"/>
    <x v="9"/>
    <x v="1"/>
    <x v="1"/>
    <x v="48"/>
    <x v="264"/>
    <x v="2163"/>
    <x v="0"/>
    <x v="16"/>
    <x v="0"/>
  </r>
  <r>
    <x v="16"/>
    <x v="180"/>
    <x v="10"/>
    <x v="10"/>
    <x v="1"/>
    <x v="1"/>
    <x v="50"/>
    <x v="266"/>
    <x v="2164"/>
    <x v="0"/>
    <x v="16"/>
    <x v="0"/>
  </r>
  <r>
    <x v="16"/>
    <x v="177"/>
    <x v="11"/>
    <x v="11"/>
    <x v="1"/>
    <x v="1"/>
    <x v="47"/>
    <x v="263"/>
    <x v="2165"/>
    <x v="0"/>
    <x v="16"/>
    <x v="0"/>
  </r>
  <r>
    <x v="16"/>
    <x v="181"/>
    <x v="11"/>
    <x v="11"/>
    <x v="1"/>
    <x v="1"/>
    <x v="51"/>
    <x v="267"/>
    <x v="2166"/>
    <x v="0"/>
    <x v="16"/>
    <x v="0"/>
  </r>
  <r>
    <x v="16"/>
    <x v="182"/>
    <x v="2"/>
    <x v="2"/>
    <x v="1"/>
    <x v="1"/>
    <x v="52"/>
    <x v="268"/>
    <x v="2167"/>
    <x v="0"/>
    <x v="16"/>
    <x v="0"/>
  </r>
  <r>
    <x v="16"/>
    <x v="184"/>
    <x v="6"/>
    <x v="6"/>
    <x v="1"/>
    <x v="1"/>
    <x v="54"/>
    <x v="270"/>
    <x v="2168"/>
    <x v="0"/>
    <x v="16"/>
    <x v="0"/>
  </r>
  <r>
    <x v="16"/>
    <x v="174"/>
    <x v="6"/>
    <x v="6"/>
    <x v="1"/>
    <x v="1"/>
    <x v="44"/>
    <x v="260"/>
    <x v="2169"/>
    <x v="0"/>
    <x v="16"/>
    <x v="0"/>
  </r>
  <r>
    <x v="17"/>
    <x v="171"/>
    <x v="7"/>
    <x v="7"/>
    <x v="1"/>
    <x v="0"/>
    <x v="41"/>
    <x v="257"/>
    <x v="2170"/>
    <x v="0"/>
    <x v="17"/>
    <x v="0"/>
  </r>
  <r>
    <x v="17"/>
    <x v="180"/>
    <x v="10"/>
    <x v="10"/>
    <x v="1"/>
    <x v="0"/>
    <x v="50"/>
    <x v="266"/>
    <x v="2171"/>
    <x v="0"/>
    <x v="17"/>
    <x v="0"/>
  </r>
  <r>
    <x v="17"/>
    <x v="176"/>
    <x v="10"/>
    <x v="10"/>
    <x v="1"/>
    <x v="0"/>
    <x v="46"/>
    <x v="262"/>
    <x v="2172"/>
    <x v="0"/>
    <x v="17"/>
    <x v="0"/>
  </r>
  <r>
    <x v="17"/>
    <x v="182"/>
    <x v="2"/>
    <x v="2"/>
    <x v="1"/>
    <x v="0"/>
    <x v="52"/>
    <x v="268"/>
    <x v="2173"/>
    <x v="0"/>
    <x v="17"/>
    <x v="0"/>
  </r>
  <r>
    <x v="18"/>
    <x v="171"/>
    <x v="7"/>
    <x v="7"/>
    <x v="1"/>
    <x v="0"/>
    <x v="41"/>
    <x v="257"/>
    <x v="2174"/>
    <x v="0"/>
    <x v="18"/>
    <x v="0"/>
  </r>
  <r>
    <x v="19"/>
    <x v="177"/>
    <x v="11"/>
    <x v="11"/>
    <x v="1"/>
    <x v="2"/>
    <x v="47"/>
    <x v="263"/>
    <x v="2175"/>
    <x v="0"/>
    <x v="19"/>
    <x v="0"/>
  </r>
  <r>
    <x v="19"/>
    <x v="179"/>
    <x v="7"/>
    <x v="7"/>
    <x v="1"/>
    <x v="0"/>
    <x v="49"/>
    <x v="265"/>
    <x v="2176"/>
    <x v="0"/>
    <x v="19"/>
    <x v="0"/>
  </r>
  <r>
    <x v="19"/>
    <x v="171"/>
    <x v="7"/>
    <x v="7"/>
    <x v="1"/>
    <x v="0"/>
    <x v="41"/>
    <x v="257"/>
    <x v="2177"/>
    <x v="0"/>
    <x v="19"/>
    <x v="0"/>
  </r>
  <r>
    <x v="19"/>
    <x v="172"/>
    <x v="8"/>
    <x v="8"/>
    <x v="1"/>
    <x v="0"/>
    <x v="42"/>
    <x v="258"/>
    <x v="2178"/>
    <x v="0"/>
    <x v="19"/>
    <x v="0"/>
  </r>
  <r>
    <x v="19"/>
    <x v="173"/>
    <x v="8"/>
    <x v="8"/>
    <x v="1"/>
    <x v="0"/>
    <x v="43"/>
    <x v="259"/>
    <x v="2179"/>
    <x v="0"/>
    <x v="19"/>
    <x v="0"/>
  </r>
  <r>
    <x v="19"/>
    <x v="175"/>
    <x v="9"/>
    <x v="9"/>
    <x v="1"/>
    <x v="0"/>
    <x v="45"/>
    <x v="261"/>
    <x v="2180"/>
    <x v="0"/>
    <x v="19"/>
    <x v="0"/>
  </r>
  <r>
    <x v="19"/>
    <x v="178"/>
    <x v="9"/>
    <x v="9"/>
    <x v="1"/>
    <x v="0"/>
    <x v="48"/>
    <x v="264"/>
    <x v="2181"/>
    <x v="0"/>
    <x v="19"/>
    <x v="0"/>
  </r>
  <r>
    <x v="19"/>
    <x v="180"/>
    <x v="10"/>
    <x v="10"/>
    <x v="1"/>
    <x v="0"/>
    <x v="50"/>
    <x v="266"/>
    <x v="2182"/>
    <x v="0"/>
    <x v="19"/>
    <x v="0"/>
  </r>
  <r>
    <x v="19"/>
    <x v="176"/>
    <x v="10"/>
    <x v="10"/>
    <x v="1"/>
    <x v="0"/>
    <x v="46"/>
    <x v="262"/>
    <x v="2183"/>
    <x v="0"/>
    <x v="19"/>
    <x v="0"/>
  </r>
  <r>
    <x v="19"/>
    <x v="177"/>
    <x v="11"/>
    <x v="11"/>
    <x v="1"/>
    <x v="0"/>
    <x v="47"/>
    <x v="263"/>
    <x v="2184"/>
    <x v="0"/>
    <x v="19"/>
    <x v="0"/>
  </r>
  <r>
    <x v="19"/>
    <x v="181"/>
    <x v="11"/>
    <x v="11"/>
    <x v="1"/>
    <x v="0"/>
    <x v="51"/>
    <x v="267"/>
    <x v="2185"/>
    <x v="0"/>
    <x v="19"/>
    <x v="0"/>
  </r>
  <r>
    <x v="19"/>
    <x v="182"/>
    <x v="2"/>
    <x v="2"/>
    <x v="1"/>
    <x v="0"/>
    <x v="52"/>
    <x v="268"/>
    <x v="2186"/>
    <x v="0"/>
    <x v="19"/>
    <x v="0"/>
  </r>
  <r>
    <x v="19"/>
    <x v="183"/>
    <x v="2"/>
    <x v="2"/>
    <x v="1"/>
    <x v="0"/>
    <x v="53"/>
    <x v="269"/>
    <x v="2187"/>
    <x v="0"/>
    <x v="19"/>
    <x v="0"/>
  </r>
  <r>
    <x v="19"/>
    <x v="184"/>
    <x v="6"/>
    <x v="6"/>
    <x v="1"/>
    <x v="0"/>
    <x v="54"/>
    <x v="270"/>
    <x v="2188"/>
    <x v="0"/>
    <x v="19"/>
    <x v="0"/>
  </r>
  <r>
    <x v="19"/>
    <x v="174"/>
    <x v="6"/>
    <x v="6"/>
    <x v="1"/>
    <x v="0"/>
    <x v="44"/>
    <x v="260"/>
    <x v="2189"/>
    <x v="0"/>
    <x v="19"/>
    <x v="0"/>
  </r>
  <r>
    <x v="19"/>
    <x v="171"/>
    <x v="7"/>
    <x v="7"/>
    <x v="1"/>
    <x v="1"/>
    <x v="41"/>
    <x v="257"/>
    <x v="2190"/>
    <x v="0"/>
    <x v="19"/>
    <x v="0"/>
  </r>
  <r>
    <x v="19"/>
    <x v="180"/>
    <x v="10"/>
    <x v="10"/>
    <x v="1"/>
    <x v="1"/>
    <x v="50"/>
    <x v="266"/>
    <x v="63"/>
    <x v="0"/>
    <x v="19"/>
    <x v="0"/>
  </r>
  <r>
    <x v="19"/>
    <x v="176"/>
    <x v="10"/>
    <x v="10"/>
    <x v="1"/>
    <x v="1"/>
    <x v="46"/>
    <x v="262"/>
    <x v="2191"/>
    <x v="0"/>
    <x v="19"/>
    <x v="0"/>
  </r>
  <r>
    <x v="19"/>
    <x v="181"/>
    <x v="11"/>
    <x v="11"/>
    <x v="1"/>
    <x v="1"/>
    <x v="51"/>
    <x v="267"/>
    <x v="2192"/>
    <x v="0"/>
    <x v="19"/>
    <x v="0"/>
  </r>
  <r>
    <x v="20"/>
    <x v="179"/>
    <x v="7"/>
    <x v="7"/>
    <x v="1"/>
    <x v="2"/>
    <x v="49"/>
    <x v="265"/>
    <x v="2193"/>
    <x v="0"/>
    <x v="20"/>
    <x v="0"/>
  </r>
  <r>
    <x v="20"/>
    <x v="182"/>
    <x v="2"/>
    <x v="2"/>
    <x v="1"/>
    <x v="2"/>
    <x v="52"/>
    <x v="268"/>
    <x v="2194"/>
    <x v="0"/>
    <x v="20"/>
    <x v="0"/>
  </r>
  <r>
    <x v="20"/>
    <x v="183"/>
    <x v="2"/>
    <x v="2"/>
    <x v="1"/>
    <x v="2"/>
    <x v="53"/>
    <x v="269"/>
    <x v="2195"/>
    <x v="0"/>
    <x v="20"/>
    <x v="0"/>
  </r>
  <r>
    <x v="20"/>
    <x v="184"/>
    <x v="6"/>
    <x v="6"/>
    <x v="1"/>
    <x v="2"/>
    <x v="54"/>
    <x v="270"/>
    <x v="2196"/>
    <x v="0"/>
    <x v="20"/>
    <x v="0"/>
  </r>
  <r>
    <x v="20"/>
    <x v="174"/>
    <x v="6"/>
    <x v="6"/>
    <x v="1"/>
    <x v="2"/>
    <x v="44"/>
    <x v="260"/>
    <x v="2197"/>
    <x v="0"/>
    <x v="20"/>
    <x v="0"/>
  </r>
  <r>
    <x v="20"/>
    <x v="179"/>
    <x v="7"/>
    <x v="7"/>
    <x v="1"/>
    <x v="0"/>
    <x v="49"/>
    <x v="265"/>
    <x v="2198"/>
    <x v="0"/>
    <x v="20"/>
    <x v="0"/>
  </r>
  <r>
    <x v="20"/>
    <x v="171"/>
    <x v="7"/>
    <x v="7"/>
    <x v="1"/>
    <x v="0"/>
    <x v="41"/>
    <x v="257"/>
    <x v="2199"/>
    <x v="0"/>
    <x v="20"/>
    <x v="0"/>
  </r>
  <r>
    <x v="20"/>
    <x v="172"/>
    <x v="8"/>
    <x v="8"/>
    <x v="1"/>
    <x v="0"/>
    <x v="42"/>
    <x v="258"/>
    <x v="2200"/>
    <x v="0"/>
    <x v="20"/>
    <x v="0"/>
  </r>
  <r>
    <x v="20"/>
    <x v="173"/>
    <x v="8"/>
    <x v="8"/>
    <x v="1"/>
    <x v="0"/>
    <x v="43"/>
    <x v="259"/>
    <x v="2201"/>
    <x v="0"/>
    <x v="20"/>
    <x v="0"/>
  </r>
  <r>
    <x v="20"/>
    <x v="175"/>
    <x v="9"/>
    <x v="9"/>
    <x v="1"/>
    <x v="0"/>
    <x v="45"/>
    <x v="261"/>
    <x v="2202"/>
    <x v="0"/>
    <x v="20"/>
    <x v="0"/>
  </r>
  <r>
    <x v="20"/>
    <x v="178"/>
    <x v="9"/>
    <x v="9"/>
    <x v="1"/>
    <x v="0"/>
    <x v="48"/>
    <x v="264"/>
    <x v="2203"/>
    <x v="0"/>
    <x v="20"/>
    <x v="0"/>
  </r>
  <r>
    <x v="20"/>
    <x v="180"/>
    <x v="10"/>
    <x v="10"/>
    <x v="1"/>
    <x v="0"/>
    <x v="50"/>
    <x v="266"/>
    <x v="2204"/>
    <x v="0"/>
    <x v="20"/>
    <x v="0"/>
  </r>
  <r>
    <x v="20"/>
    <x v="176"/>
    <x v="10"/>
    <x v="10"/>
    <x v="1"/>
    <x v="0"/>
    <x v="46"/>
    <x v="262"/>
    <x v="2205"/>
    <x v="0"/>
    <x v="20"/>
    <x v="0"/>
  </r>
  <r>
    <x v="20"/>
    <x v="177"/>
    <x v="11"/>
    <x v="11"/>
    <x v="1"/>
    <x v="0"/>
    <x v="47"/>
    <x v="263"/>
    <x v="2206"/>
    <x v="0"/>
    <x v="20"/>
    <x v="0"/>
  </r>
  <r>
    <x v="20"/>
    <x v="181"/>
    <x v="11"/>
    <x v="11"/>
    <x v="1"/>
    <x v="0"/>
    <x v="51"/>
    <x v="267"/>
    <x v="2207"/>
    <x v="0"/>
    <x v="20"/>
    <x v="0"/>
  </r>
  <r>
    <x v="20"/>
    <x v="182"/>
    <x v="2"/>
    <x v="2"/>
    <x v="1"/>
    <x v="0"/>
    <x v="52"/>
    <x v="268"/>
    <x v="2208"/>
    <x v="0"/>
    <x v="20"/>
    <x v="0"/>
  </r>
  <r>
    <x v="20"/>
    <x v="183"/>
    <x v="2"/>
    <x v="2"/>
    <x v="1"/>
    <x v="0"/>
    <x v="53"/>
    <x v="269"/>
    <x v="2209"/>
    <x v="0"/>
    <x v="20"/>
    <x v="0"/>
  </r>
  <r>
    <x v="20"/>
    <x v="184"/>
    <x v="6"/>
    <x v="6"/>
    <x v="1"/>
    <x v="0"/>
    <x v="54"/>
    <x v="270"/>
    <x v="2210"/>
    <x v="0"/>
    <x v="20"/>
    <x v="0"/>
  </r>
  <r>
    <x v="20"/>
    <x v="174"/>
    <x v="6"/>
    <x v="6"/>
    <x v="1"/>
    <x v="0"/>
    <x v="44"/>
    <x v="260"/>
    <x v="2211"/>
    <x v="0"/>
    <x v="20"/>
    <x v="0"/>
  </r>
  <r>
    <x v="20"/>
    <x v="179"/>
    <x v="7"/>
    <x v="7"/>
    <x v="1"/>
    <x v="1"/>
    <x v="49"/>
    <x v="265"/>
    <x v="2212"/>
    <x v="0"/>
    <x v="20"/>
    <x v="0"/>
  </r>
  <r>
    <x v="20"/>
    <x v="176"/>
    <x v="10"/>
    <x v="10"/>
    <x v="1"/>
    <x v="1"/>
    <x v="46"/>
    <x v="262"/>
    <x v="2213"/>
    <x v="0"/>
    <x v="20"/>
    <x v="0"/>
  </r>
  <r>
    <x v="20"/>
    <x v="177"/>
    <x v="11"/>
    <x v="11"/>
    <x v="1"/>
    <x v="1"/>
    <x v="47"/>
    <x v="263"/>
    <x v="2214"/>
    <x v="0"/>
    <x v="20"/>
    <x v="0"/>
  </r>
  <r>
    <x v="20"/>
    <x v="183"/>
    <x v="2"/>
    <x v="2"/>
    <x v="1"/>
    <x v="1"/>
    <x v="53"/>
    <x v="269"/>
    <x v="2215"/>
    <x v="0"/>
    <x v="20"/>
    <x v="0"/>
  </r>
  <r>
    <x v="20"/>
    <x v="174"/>
    <x v="6"/>
    <x v="6"/>
    <x v="1"/>
    <x v="1"/>
    <x v="44"/>
    <x v="260"/>
    <x v="2216"/>
    <x v="0"/>
    <x v="20"/>
    <x v="0"/>
  </r>
  <r>
    <x v="21"/>
    <x v="172"/>
    <x v="8"/>
    <x v="8"/>
    <x v="1"/>
    <x v="2"/>
    <x v="42"/>
    <x v="258"/>
    <x v="546"/>
    <x v="0"/>
    <x v="21"/>
    <x v="0"/>
  </r>
  <r>
    <x v="21"/>
    <x v="175"/>
    <x v="9"/>
    <x v="9"/>
    <x v="1"/>
    <x v="2"/>
    <x v="45"/>
    <x v="261"/>
    <x v="2217"/>
    <x v="0"/>
    <x v="21"/>
    <x v="0"/>
  </r>
  <r>
    <x v="21"/>
    <x v="177"/>
    <x v="11"/>
    <x v="11"/>
    <x v="1"/>
    <x v="2"/>
    <x v="47"/>
    <x v="263"/>
    <x v="2218"/>
    <x v="0"/>
    <x v="21"/>
    <x v="0"/>
  </r>
  <r>
    <x v="21"/>
    <x v="179"/>
    <x v="7"/>
    <x v="7"/>
    <x v="1"/>
    <x v="0"/>
    <x v="49"/>
    <x v="265"/>
    <x v="2219"/>
    <x v="0"/>
    <x v="21"/>
    <x v="0"/>
  </r>
  <r>
    <x v="21"/>
    <x v="171"/>
    <x v="7"/>
    <x v="7"/>
    <x v="1"/>
    <x v="0"/>
    <x v="41"/>
    <x v="257"/>
    <x v="2220"/>
    <x v="0"/>
    <x v="21"/>
    <x v="0"/>
  </r>
  <r>
    <x v="21"/>
    <x v="172"/>
    <x v="8"/>
    <x v="8"/>
    <x v="1"/>
    <x v="0"/>
    <x v="42"/>
    <x v="258"/>
    <x v="2221"/>
    <x v="0"/>
    <x v="21"/>
    <x v="0"/>
  </r>
  <r>
    <x v="21"/>
    <x v="173"/>
    <x v="8"/>
    <x v="8"/>
    <x v="1"/>
    <x v="0"/>
    <x v="43"/>
    <x v="259"/>
    <x v="2222"/>
    <x v="0"/>
    <x v="21"/>
    <x v="0"/>
  </r>
  <r>
    <x v="21"/>
    <x v="175"/>
    <x v="9"/>
    <x v="9"/>
    <x v="1"/>
    <x v="0"/>
    <x v="45"/>
    <x v="261"/>
    <x v="2223"/>
    <x v="0"/>
    <x v="21"/>
    <x v="0"/>
  </r>
  <r>
    <x v="21"/>
    <x v="178"/>
    <x v="9"/>
    <x v="9"/>
    <x v="1"/>
    <x v="0"/>
    <x v="48"/>
    <x v="264"/>
    <x v="2224"/>
    <x v="0"/>
    <x v="21"/>
    <x v="0"/>
  </r>
  <r>
    <x v="21"/>
    <x v="180"/>
    <x v="10"/>
    <x v="10"/>
    <x v="1"/>
    <x v="0"/>
    <x v="50"/>
    <x v="266"/>
    <x v="2225"/>
    <x v="0"/>
    <x v="21"/>
    <x v="0"/>
  </r>
  <r>
    <x v="21"/>
    <x v="176"/>
    <x v="10"/>
    <x v="10"/>
    <x v="1"/>
    <x v="0"/>
    <x v="46"/>
    <x v="262"/>
    <x v="2226"/>
    <x v="0"/>
    <x v="21"/>
    <x v="0"/>
  </r>
  <r>
    <x v="21"/>
    <x v="177"/>
    <x v="11"/>
    <x v="11"/>
    <x v="1"/>
    <x v="0"/>
    <x v="47"/>
    <x v="263"/>
    <x v="2227"/>
    <x v="0"/>
    <x v="21"/>
    <x v="0"/>
  </r>
  <r>
    <x v="21"/>
    <x v="181"/>
    <x v="11"/>
    <x v="11"/>
    <x v="1"/>
    <x v="0"/>
    <x v="51"/>
    <x v="267"/>
    <x v="2228"/>
    <x v="0"/>
    <x v="21"/>
    <x v="0"/>
  </r>
  <r>
    <x v="21"/>
    <x v="182"/>
    <x v="2"/>
    <x v="2"/>
    <x v="1"/>
    <x v="0"/>
    <x v="52"/>
    <x v="268"/>
    <x v="2229"/>
    <x v="0"/>
    <x v="21"/>
    <x v="0"/>
  </r>
  <r>
    <x v="21"/>
    <x v="183"/>
    <x v="2"/>
    <x v="2"/>
    <x v="1"/>
    <x v="0"/>
    <x v="53"/>
    <x v="269"/>
    <x v="2230"/>
    <x v="0"/>
    <x v="21"/>
    <x v="0"/>
  </r>
  <r>
    <x v="21"/>
    <x v="184"/>
    <x v="6"/>
    <x v="6"/>
    <x v="1"/>
    <x v="0"/>
    <x v="54"/>
    <x v="270"/>
    <x v="2231"/>
    <x v="0"/>
    <x v="21"/>
    <x v="0"/>
  </r>
  <r>
    <x v="21"/>
    <x v="174"/>
    <x v="6"/>
    <x v="6"/>
    <x v="1"/>
    <x v="0"/>
    <x v="44"/>
    <x v="260"/>
    <x v="2232"/>
    <x v="0"/>
    <x v="21"/>
    <x v="0"/>
  </r>
  <r>
    <x v="21"/>
    <x v="175"/>
    <x v="9"/>
    <x v="9"/>
    <x v="1"/>
    <x v="1"/>
    <x v="45"/>
    <x v="261"/>
    <x v="2233"/>
    <x v="0"/>
    <x v="21"/>
    <x v="0"/>
  </r>
  <r>
    <x v="21"/>
    <x v="180"/>
    <x v="10"/>
    <x v="10"/>
    <x v="1"/>
    <x v="1"/>
    <x v="50"/>
    <x v="266"/>
    <x v="2234"/>
    <x v="0"/>
    <x v="21"/>
    <x v="0"/>
  </r>
  <r>
    <x v="21"/>
    <x v="176"/>
    <x v="10"/>
    <x v="10"/>
    <x v="1"/>
    <x v="1"/>
    <x v="46"/>
    <x v="262"/>
    <x v="12"/>
    <x v="0"/>
    <x v="21"/>
    <x v="0"/>
  </r>
  <r>
    <x v="21"/>
    <x v="177"/>
    <x v="11"/>
    <x v="11"/>
    <x v="1"/>
    <x v="1"/>
    <x v="47"/>
    <x v="263"/>
    <x v="2235"/>
    <x v="0"/>
    <x v="21"/>
    <x v="0"/>
  </r>
  <r>
    <x v="21"/>
    <x v="182"/>
    <x v="2"/>
    <x v="2"/>
    <x v="1"/>
    <x v="1"/>
    <x v="52"/>
    <x v="268"/>
    <x v="2236"/>
    <x v="0"/>
    <x v="21"/>
    <x v="0"/>
  </r>
  <r>
    <x v="21"/>
    <x v="183"/>
    <x v="2"/>
    <x v="2"/>
    <x v="1"/>
    <x v="1"/>
    <x v="53"/>
    <x v="269"/>
    <x v="0"/>
    <x v="0"/>
    <x v="21"/>
    <x v="0"/>
  </r>
  <r>
    <x v="21"/>
    <x v="184"/>
    <x v="6"/>
    <x v="6"/>
    <x v="1"/>
    <x v="1"/>
    <x v="54"/>
    <x v="270"/>
    <x v="2237"/>
    <x v="0"/>
    <x v="21"/>
    <x v="0"/>
  </r>
  <r>
    <x v="21"/>
    <x v="174"/>
    <x v="6"/>
    <x v="6"/>
    <x v="1"/>
    <x v="1"/>
    <x v="44"/>
    <x v="260"/>
    <x v="2238"/>
    <x v="0"/>
    <x v="21"/>
    <x v="0"/>
  </r>
  <r>
    <x v="22"/>
    <x v="173"/>
    <x v="8"/>
    <x v="8"/>
    <x v="1"/>
    <x v="0"/>
    <x v="43"/>
    <x v="259"/>
    <x v="2239"/>
    <x v="0"/>
    <x v="22"/>
    <x v="0"/>
  </r>
  <r>
    <x v="22"/>
    <x v="181"/>
    <x v="11"/>
    <x v="11"/>
    <x v="1"/>
    <x v="0"/>
    <x v="51"/>
    <x v="267"/>
    <x v="2240"/>
    <x v="0"/>
    <x v="22"/>
    <x v="0"/>
  </r>
  <r>
    <x v="22"/>
    <x v="174"/>
    <x v="6"/>
    <x v="6"/>
    <x v="1"/>
    <x v="0"/>
    <x v="44"/>
    <x v="260"/>
    <x v="2241"/>
    <x v="0"/>
    <x v="22"/>
    <x v="0"/>
  </r>
  <r>
    <x v="23"/>
    <x v="179"/>
    <x v="7"/>
    <x v="7"/>
    <x v="1"/>
    <x v="0"/>
    <x v="49"/>
    <x v="265"/>
    <x v="1563"/>
    <x v="0"/>
    <x v="23"/>
    <x v="0"/>
  </r>
  <r>
    <x v="23"/>
    <x v="173"/>
    <x v="8"/>
    <x v="8"/>
    <x v="1"/>
    <x v="0"/>
    <x v="43"/>
    <x v="259"/>
    <x v="2242"/>
    <x v="0"/>
    <x v="23"/>
    <x v="0"/>
  </r>
  <r>
    <x v="23"/>
    <x v="181"/>
    <x v="11"/>
    <x v="11"/>
    <x v="1"/>
    <x v="0"/>
    <x v="51"/>
    <x v="267"/>
    <x v="2243"/>
    <x v="0"/>
    <x v="23"/>
    <x v="0"/>
  </r>
  <r>
    <x v="23"/>
    <x v="182"/>
    <x v="2"/>
    <x v="2"/>
    <x v="1"/>
    <x v="0"/>
    <x v="52"/>
    <x v="268"/>
    <x v="2244"/>
    <x v="0"/>
    <x v="23"/>
    <x v="0"/>
  </r>
  <r>
    <x v="23"/>
    <x v="183"/>
    <x v="2"/>
    <x v="2"/>
    <x v="1"/>
    <x v="0"/>
    <x v="53"/>
    <x v="269"/>
    <x v="65"/>
    <x v="0"/>
    <x v="23"/>
    <x v="0"/>
  </r>
  <r>
    <x v="23"/>
    <x v="174"/>
    <x v="6"/>
    <x v="6"/>
    <x v="1"/>
    <x v="0"/>
    <x v="44"/>
    <x v="260"/>
    <x v="2245"/>
    <x v="0"/>
    <x v="23"/>
    <x v="0"/>
  </r>
  <r>
    <x v="23"/>
    <x v="175"/>
    <x v="9"/>
    <x v="9"/>
    <x v="1"/>
    <x v="1"/>
    <x v="45"/>
    <x v="261"/>
    <x v="2246"/>
    <x v="0"/>
    <x v="23"/>
    <x v="0"/>
  </r>
  <r>
    <x v="23"/>
    <x v="181"/>
    <x v="11"/>
    <x v="11"/>
    <x v="1"/>
    <x v="1"/>
    <x v="51"/>
    <x v="267"/>
    <x v="1053"/>
    <x v="0"/>
    <x v="23"/>
    <x v="0"/>
  </r>
  <r>
    <x v="23"/>
    <x v="174"/>
    <x v="6"/>
    <x v="6"/>
    <x v="1"/>
    <x v="1"/>
    <x v="44"/>
    <x v="260"/>
    <x v="2247"/>
    <x v="0"/>
    <x v="23"/>
    <x v="0"/>
  </r>
  <r>
    <x v="24"/>
    <x v="179"/>
    <x v="7"/>
    <x v="7"/>
    <x v="1"/>
    <x v="2"/>
    <x v="49"/>
    <x v="265"/>
    <x v="2248"/>
    <x v="0"/>
    <x v="24"/>
    <x v="0"/>
  </r>
  <r>
    <x v="24"/>
    <x v="171"/>
    <x v="7"/>
    <x v="7"/>
    <x v="1"/>
    <x v="2"/>
    <x v="41"/>
    <x v="257"/>
    <x v="2249"/>
    <x v="0"/>
    <x v="24"/>
    <x v="0"/>
  </r>
  <r>
    <x v="24"/>
    <x v="172"/>
    <x v="8"/>
    <x v="8"/>
    <x v="1"/>
    <x v="2"/>
    <x v="42"/>
    <x v="258"/>
    <x v="2250"/>
    <x v="0"/>
    <x v="24"/>
    <x v="0"/>
  </r>
  <r>
    <x v="24"/>
    <x v="175"/>
    <x v="9"/>
    <x v="9"/>
    <x v="1"/>
    <x v="2"/>
    <x v="45"/>
    <x v="261"/>
    <x v="2251"/>
    <x v="0"/>
    <x v="24"/>
    <x v="0"/>
  </r>
  <r>
    <x v="24"/>
    <x v="180"/>
    <x v="10"/>
    <x v="10"/>
    <x v="1"/>
    <x v="2"/>
    <x v="50"/>
    <x v="266"/>
    <x v="2252"/>
    <x v="0"/>
    <x v="24"/>
    <x v="0"/>
  </r>
  <r>
    <x v="24"/>
    <x v="176"/>
    <x v="10"/>
    <x v="10"/>
    <x v="1"/>
    <x v="2"/>
    <x v="46"/>
    <x v="262"/>
    <x v="2253"/>
    <x v="0"/>
    <x v="24"/>
    <x v="0"/>
  </r>
  <r>
    <x v="24"/>
    <x v="177"/>
    <x v="11"/>
    <x v="11"/>
    <x v="1"/>
    <x v="2"/>
    <x v="47"/>
    <x v="263"/>
    <x v="2254"/>
    <x v="0"/>
    <x v="24"/>
    <x v="0"/>
  </r>
  <r>
    <x v="24"/>
    <x v="181"/>
    <x v="11"/>
    <x v="11"/>
    <x v="1"/>
    <x v="2"/>
    <x v="51"/>
    <x v="267"/>
    <x v="2255"/>
    <x v="0"/>
    <x v="24"/>
    <x v="0"/>
  </r>
  <r>
    <x v="24"/>
    <x v="182"/>
    <x v="2"/>
    <x v="2"/>
    <x v="1"/>
    <x v="2"/>
    <x v="52"/>
    <x v="268"/>
    <x v="2010"/>
    <x v="0"/>
    <x v="24"/>
    <x v="0"/>
  </r>
  <r>
    <x v="24"/>
    <x v="174"/>
    <x v="6"/>
    <x v="6"/>
    <x v="1"/>
    <x v="2"/>
    <x v="44"/>
    <x v="260"/>
    <x v="2256"/>
    <x v="0"/>
    <x v="24"/>
    <x v="0"/>
  </r>
  <r>
    <x v="24"/>
    <x v="179"/>
    <x v="7"/>
    <x v="7"/>
    <x v="1"/>
    <x v="0"/>
    <x v="49"/>
    <x v="265"/>
    <x v="2257"/>
    <x v="0"/>
    <x v="24"/>
    <x v="0"/>
  </r>
  <r>
    <x v="24"/>
    <x v="171"/>
    <x v="7"/>
    <x v="7"/>
    <x v="1"/>
    <x v="0"/>
    <x v="41"/>
    <x v="257"/>
    <x v="2258"/>
    <x v="0"/>
    <x v="24"/>
    <x v="0"/>
  </r>
  <r>
    <x v="24"/>
    <x v="172"/>
    <x v="8"/>
    <x v="8"/>
    <x v="1"/>
    <x v="0"/>
    <x v="42"/>
    <x v="258"/>
    <x v="2259"/>
    <x v="0"/>
    <x v="24"/>
    <x v="0"/>
  </r>
  <r>
    <x v="24"/>
    <x v="173"/>
    <x v="8"/>
    <x v="8"/>
    <x v="1"/>
    <x v="0"/>
    <x v="43"/>
    <x v="259"/>
    <x v="2260"/>
    <x v="0"/>
    <x v="24"/>
    <x v="0"/>
  </r>
  <r>
    <x v="24"/>
    <x v="175"/>
    <x v="9"/>
    <x v="9"/>
    <x v="1"/>
    <x v="0"/>
    <x v="45"/>
    <x v="261"/>
    <x v="2261"/>
    <x v="0"/>
    <x v="24"/>
    <x v="0"/>
  </r>
  <r>
    <x v="24"/>
    <x v="178"/>
    <x v="9"/>
    <x v="9"/>
    <x v="1"/>
    <x v="0"/>
    <x v="48"/>
    <x v="264"/>
    <x v="2262"/>
    <x v="0"/>
    <x v="24"/>
    <x v="0"/>
  </r>
  <r>
    <x v="24"/>
    <x v="180"/>
    <x v="10"/>
    <x v="10"/>
    <x v="1"/>
    <x v="0"/>
    <x v="50"/>
    <x v="266"/>
    <x v="2263"/>
    <x v="0"/>
    <x v="24"/>
    <x v="0"/>
  </r>
  <r>
    <x v="24"/>
    <x v="186"/>
    <x v="10"/>
    <x v="10"/>
    <x v="1"/>
    <x v="0"/>
    <x v="56"/>
    <x v="272"/>
    <x v="2264"/>
    <x v="0"/>
    <x v="24"/>
    <x v="0"/>
  </r>
  <r>
    <x v="24"/>
    <x v="176"/>
    <x v="10"/>
    <x v="10"/>
    <x v="1"/>
    <x v="0"/>
    <x v="46"/>
    <x v="262"/>
    <x v="2265"/>
    <x v="0"/>
    <x v="24"/>
    <x v="0"/>
  </r>
  <r>
    <x v="24"/>
    <x v="177"/>
    <x v="11"/>
    <x v="11"/>
    <x v="1"/>
    <x v="0"/>
    <x v="47"/>
    <x v="263"/>
    <x v="2266"/>
    <x v="0"/>
    <x v="24"/>
    <x v="0"/>
  </r>
  <r>
    <x v="24"/>
    <x v="181"/>
    <x v="11"/>
    <x v="11"/>
    <x v="1"/>
    <x v="0"/>
    <x v="51"/>
    <x v="267"/>
    <x v="2267"/>
    <x v="0"/>
    <x v="24"/>
    <x v="0"/>
  </r>
  <r>
    <x v="24"/>
    <x v="182"/>
    <x v="2"/>
    <x v="2"/>
    <x v="1"/>
    <x v="0"/>
    <x v="52"/>
    <x v="268"/>
    <x v="2268"/>
    <x v="0"/>
    <x v="24"/>
    <x v="0"/>
  </r>
  <r>
    <x v="24"/>
    <x v="183"/>
    <x v="2"/>
    <x v="2"/>
    <x v="1"/>
    <x v="0"/>
    <x v="53"/>
    <x v="269"/>
    <x v="2269"/>
    <x v="0"/>
    <x v="24"/>
    <x v="0"/>
  </r>
  <r>
    <x v="24"/>
    <x v="184"/>
    <x v="6"/>
    <x v="6"/>
    <x v="1"/>
    <x v="0"/>
    <x v="54"/>
    <x v="270"/>
    <x v="2270"/>
    <x v="0"/>
    <x v="24"/>
    <x v="0"/>
  </r>
  <r>
    <x v="24"/>
    <x v="174"/>
    <x v="6"/>
    <x v="6"/>
    <x v="1"/>
    <x v="0"/>
    <x v="44"/>
    <x v="260"/>
    <x v="2271"/>
    <x v="0"/>
    <x v="24"/>
    <x v="0"/>
  </r>
  <r>
    <x v="24"/>
    <x v="179"/>
    <x v="7"/>
    <x v="7"/>
    <x v="1"/>
    <x v="1"/>
    <x v="49"/>
    <x v="265"/>
    <x v="2272"/>
    <x v="0"/>
    <x v="24"/>
    <x v="0"/>
  </r>
  <r>
    <x v="24"/>
    <x v="173"/>
    <x v="8"/>
    <x v="8"/>
    <x v="1"/>
    <x v="1"/>
    <x v="43"/>
    <x v="259"/>
    <x v="2273"/>
    <x v="0"/>
    <x v="24"/>
    <x v="0"/>
  </r>
  <r>
    <x v="24"/>
    <x v="175"/>
    <x v="9"/>
    <x v="9"/>
    <x v="1"/>
    <x v="1"/>
    <x v="45"/>
    <x v="261"/>
    <x v="2274"/>
    <x v="0"/>
    <x v="24"/>
    <x v="0"/>
  </r>
  <r>
    <x v="24"/>
    <x v="182"/>
    <x v="2"/>
    <x v="2"/>
    <x v="1"/>
    <x v="1"/>
    <x v="52"/>
    <x v="268"/>
    <x v="2275"/>
    <x v="0"/>
    <x v="24"/>
    <x v="0"/>
  </r>
  <r>
    <x v="24"/>
    <x v="183"/>
    <x v="2"/>
    <x v="2"/>
    <x v="1"/>
    <x v="1"/>
    <x v="53"/>
    <x v="269"/>
    <x v="2276"/>
    <x v="0"/>
    <x v="24"/>
    <x v="0"/>
  </r>
  <r>
    <x v="24"/>
    <x v="184"/>
    <x v="6"/>
    <x v="6"/>
    <x v="1"/>
    <x v="1"/>
    <x v="54"/>
    <x v="270"/>
    <x v="825"/>
    <x v="0"/>
    <x v="24"/>
    <x v="0"/>
  </r>
  <r>
    <x v="24"/>
    <x v="174"/>
    <x v="6"/>
    <x v="6"/>
    <x v="1"/>
    <x v="1"/>
    <x v="44"/>
    <x v="260"/>
    <x v="2277"/>
    <x v="0"/>
    <x v="24"/>
    <x v="0"/>
  </r>
  <r>
    <x v="25"/>
    <x v="171"/>
    <x v="7"/>
    <x v="7"/>
    <x v="1"/>
    <x v="0"/>
    <x v="41"/>
    <x v="257"/>
    <x v="1621"/>
    <x v="0"/>
    <x v="25"/>
    <x v="0"/>
  </r>
  <r>
    <x v="25"/>
    <x v="173"/>
    <x v="8"/>
    <x v="8"/>
    <x v="1"/>
    <x v="1"/>
    <x v="43"/>
    <x v="259"/>
    <x v="2278"/>
    <x v="0"/>
    <x v="25"/>
    <x v="0"/>
  </r>
  <r>
    <x v="26"/>
    <x v="181"/>
    <x v="11"/>
    <x v="11"/>
    <x v="1"/>
    <x v="0"/>
    <x v="51"/>
    <x v="267"/>
    <x v="1558"/>
    <x v="0"/>
    <x v="26"/>
    <x v="0"/>
  </r>
  <r>
    <x v="26"/>
    <x v="174"/>
    <x v="6"/>
    <x v="6"/>
    <x v="1"/>
    <x v="0"/>
    <x v="44"/>
    <x v="260"/>
    <x v="2279"/>
    <x v="0"/>
    <x v="26"/>
    <x v="0"/>
  </r>
  <r>
    <x v="26"/>
    <x v="179"/>
    <x v="7"/>
    <x v="7"/>
    <x v="1"/>
    <x v="1"/>
    <x v="49"/>
    <x v="265"/>
    <x v="679"/>
    <x v="0"/>
    <x v="26"/>
    <x v="0"/>
  </r>
  <r>
    <x v="27"/>
    <x v="173"/>
    <x v="8"/>
    <x v="8"/>
    <x v="1"/>
    <x v="2"/>
    <x v="43"/>
    <x v="259"/>
    <x v="2280"/>
    <x v="0"/>
    <x v="27"/>
    <x v="0"/>
  </r>
  <r>
    <x v="27"/>
    <x v="177"/>
    <x v="11"/>
    <x v="11"/>
    <x v="1"/>
    <x v="2"/>
    <x v="47"/>
    <x v="263"/>
    <x v="2281"/>
    <x v="0"/>
    <x v="27"/>
    <x v="0"/>
  </r>
  <r>
    <x v="27"/>
    <x v="181"/>
    <x v="11"/>
    <x v="11"/>
    <x v="1"/>
    <x v="2"/>
    <x v="51"/>
    <x v="267"/>
    <x v="2282"/>
    <x v="0"/>
    <x v="27"/>
    <x v="0"/>
  </r>
  <r>
    <x v="27"/>
    <x v="182"/>
    <x v="2"/>
    <x v="2"/>
    <x v="1"/>
    <x v="2"/>
    <x v="52"/>
    <x v="268"/>
    <x v="2283"/>
    <x v="0"/>
    <x v="27"/>
    <x v="0"/>
  </r>
  <r>
    <x v="27"/>
    <x v="183"/>
    <x v="2"/>
    <x v="2"/>
    <x v="1"/>
    <x v="2"/>
    <x v="53"/>
    <x v="269"/>
    <x v="2284"/>
    <x v="0"/>
    <x v="27"/>
    <x v="0"/>
  </r>
  <r>
    <x v="27"/>
    <x v="179"/>
    <x v="7"/>
    <x v="7"/>
    <x v="1"/>
    <x v="0"/>
    <x v="49"/>
    <x v="265"/>
    <x v="2285"/>
    <x v="0"/>
    <x v="27"/>
    <x v="0"/>
  </r>
  <r>
    <x v="27"/>
    <x v="171"/>
    <x v="7"/>
    <x v="7"/>
    <x v="1"/>
    <x v="0"/>
    <x v="41"/>
    <x v="257"/>
    <x v="2286"/>
    <x v="0"/>
    <x v="27"/>
    <x v="0"/>
  </r>
  <r>
    <x v="27"/>
    <x v="172"/>
    <x v="8"/>
    <x v="8"/>
    <x v="1"/>
    <x v="0"/>
    <x v="42"/>
    <x v="258"/>
    <x v="2287"/>
    <x v="0"/>
    <x v="27"/>
    <x v="0"/>
  </r>
  <r>
    <x v="27"/>
    <x v="173"/>
    <x v="8"/>
    <x v="8"/>
    <x v="1"/>
    <x v="0"/>
    <x v="43"/>
    <x v="259"/>
    <x v="2288"/>
    <x v="0"/>
    <x v="27"/>
    <x v="0"/>
  </r>
  <r>
    <x v="27"/>
    <x v="175"/>
    <x v="9"/>
    <x v="9"/>
    <x v="1"/>
    <x v="0"/>
    <x v="45"/>
    <x v="261"/>
    <x v="2289"/>
    <x v="0"/>
    <x v="27"/>
    <x v="0"/>
  </r>
  <r>
    <x v="27"/>
    <x v="178"/>
    <x v="9"/>
    <x v="9"/>
    <x v="1"/>
    <x v="0"/>
    <x v="48"/>
    <x v="264"/>
    <x v="2290"/>
    <x v="0"/>
    <x v="27"/>
    <x v="0"/>
  </r>
  <r>
    <x v="27"/>
    <x v="180"/>
    <x v="10"/>
    <x v="10"/>
    <x v="1"/>
    <x v="0"/>
    <x v="50"/>
    <x v="266"/>
    <x v="2291"/>
    <x v="0"/>
    <x v="27"/>
    <x v="0"/>
  </r>
  <r>
    <x v="27"/>
    <x v="176"/>
    <x v="10"/>
    <x v="10"/>
    <x v="1"/>
    <x v="0"/>
    <x v="46"/>
    <x v="262"/>
    <x v="2292"/>
    <x v="0"/>
    <x v="27"/>
    <x v="0"/>
  </r>
  <r>
    <x v="27"/>
    <x v="177"/>
    <x v="11"/>
    <x v="11"/>
    <x v="1"/>
    <x v="0"/>
    <x v="47"/>
    <x v="263"/>
    <x v="2293"/>
    <x v="0"/>
    <x v="27"/>
    <x v="0"/>
  </r>
  <r>
    <x v="27"/>
    <x v="181"/>
    <x v="11"/>
    <x v="11"/>
    <x v="1"/>
    <x v="0"/>
    <x v="51"/>
    <x v="267"/>
    <x v="2294"/>
    <x v="0"/>
    <x v="27"/>
    <x v="0"/>
  </r>
  <r>
    <x v="27"/>
    <x v="182"/>
    <x v="2"/>
    <x v="2"/>
    <x v="1"/>
    <x v="0"/>
    <x v="52"/>
    <x v="268"/>
    <x v="2295"/>
    <x v="0"/>
    <x v="27"/>
    <x v="0"/>
  </r>
  <r>
    <x v="27"/>
    <x v="183"/>
    <x v="2"/>
    <x v="2"/>
    <x v="1"/>
    <x v="0"/>
    <x v="53"/>
    <x v="269"/>
    <x v="2296"/>
    <x v="0"/>
    <x v="27"/>
    <x v="0"/>
  </r>
  <r>
    <x v="27"/>
    <x v="184"/>
    <x v="6"/>
    <x v="6"/>
    <x v="1"/>
    <x v="0"/>
    <x v="54"/>
    <x v="270"/>
    <x v="2297"/>
    <x v="0"/>
    <x v="27"/>
    <x v="0"/>
  </r>
  <r>
    <x v="27"/>
    <x v="174"/>
    <x v="6"/>
    <x v="6"/>
    <x v="1"/>
    <x v="0"/>
    <x v="44"/>
    <x v="260"/>
    <x v="2298"/>
    <x v="0"/>
    <x v="27"/>
    <x v="0"/>
  </r>
  <r>
    <x v="27"/>
    <x v="179"/>
    <x v="7"/>
    <x v="7"/>
    <x v="1"/>
    <x v="1"/>
    <x v="49"/>
    <x v="265"/>
    <x v="1873"/>
    <x v="0"/>
    <x v="27"/>
    <x v="0"/>
  </r>
  <r>
    <x v="27"/>
    <x v="180"/>
    <x v="10"/>
    <x v="10"/>
    <x v="1"/>
    <x v="1"/>
    <x v="50"/>
    <x v="266"/>
    <x v="505"/>
    <x v="0"/>
    <x v="27"/>
    <x v="0"/>
  </r>
  <r>
    <x v="27"/>
    <x v="176"/>
    <x v="10"/>
    <x v="10"/>
    <x v="1"/>
    <x v="1"/>
    <x v="46"/>
    <x v="262"/>
    <x v="2299"/>
    <x v="0"/>
    <x v="27"/>
    <x v="0"/>
  </r>
  <r>
    <x v="27"/>
    <x v="177"/>
    <x v="11"/>
    <x v="11"/>
    <x v="1"/>
    <x v="1"/>
    <x v="47"/>
    <x v="263"/>
    <x v="2300"/>
    <x v="0"/>
    <x v="27"/>
    <x v="0"/>
  </r>
  <r>
    <x v="27"/>
    <x v="181"/>
    <x v="11"/>
    <x v="11"/>
    <x v="1"/>
    <x v="1"/>
    <x v="51"/>
    <x v="267"/>
    <x v="2301"/>
    <x v="0"/>
    <x v="27"/>
    <x v="0"/>
  </r>
  <r>
    <x v="27"/>
    <x v="182"/>
    <x v="2"/>
    <x v="2"/>
    <x v="1"/>
    <x v="1"/>
    <x v="52"/>
    <x v="268"/>
    <x v="2302"/>
    <x v="0"/>
    <x v="27"/>
    <x v="0"/>
  </r>
  <r>
    <x v="27"/>
    <x v="183"/>
    <x v="2"/>
    <x v="2"/>
    <x v="1"/>
    <x v="1"/>
    <x v="53"/>
    <x v="269"/>
    <x v="1317"/>
    <x v="0"/>
    <x v="27"/>
    <x v="0"/>
  </r>
  <r>
    <x v="27"/>
    <x v="184"/>
    <x v="6"/>
    <x v="6"/>
    <x v="1"/>
    <x v="1"/>
    <x v="54"/>
    <x v="270"/>
    <x v="2303"/>
    <x v="0"/>
    <x v="27"/>
    <x v="0"/>
  </r>
  <r>
    <x v="27"/>
    <x v="174"/>
    <x v="6"/>
    <x v="6"/>
    <x v="1"/>
    <x v="1"/>
    <x v="44"/>
    <x v="260"/>
    <x v="2304"/>
    <x v="0"/>
    <x v="27"/>
    <x v="0"/>
  </r>
  <r>
    <x v="28"/>
    <x v="181"/>
    <x v="11"/>
    <x v="11"/>
    <x v="1"/>
    <x v="0"/>
    <x v="51"/>
    <x v="267"/>
    <x v="2305"/>
    <x v="0"/>
    <x v="28"/>
    <x v="0"/>
  </r>
  <r>
    <x v="28"/>
    <x v="181"/>
    <x v="11"/>
    <x v="11"/>
    <x v="1"/>
    <x v="1"/>
    <x v="51"/>
    <x v="267"/>
    <x v="2306"/>
    <x v="0"/>
    <x v="28"/>
    <x v="0"/>
  </r>
  <r>
    <x v="29"/>
    <x v="179"/>
    <x v="7"/>
    <x v="7"/>
    <x v="1"/>
    <x v="0"/>
    <x v="49"/>
    <x v="265"/>
    <x v="2307"/>
    <x v="0"/>
    <x v="29"/>
    <x v="0"/>
  </r>
  <r>
    <x v="29"/>
    <x v="171"/>
    <x v="7"/>
    <x v="7"/>
    <x v="1"/>
    <x v="0"/>
    <x v="41"/>
    <x v="257"/>
    <x v="2308"/>
    <x v="0"/>
    <x v="29"/>
    <x v="0"/>
  </r>
  <r>
    <x v="29"/>
    <x v="172"/>
    <x v="8"/>
    <x v="8"/>
    <x v="1"/>
    <x v="0"/>
    <x v="42"/>
    <x v="258"/>
    <x v="2309"/>
    <x v="0"/>
    <x v="29"/>
    <x v="0"/>
  </r>
  <r>
    <x v="29"/>
    <x v="173"/>
    <x v="8"/>
    <x v="8"/>
    <x v="1"/>
    <x v="0"/>
    <x v="43"/>
    <x v="259"/>
    <x v="2310"/>
    <x v="0"/>
    <x v="29"/>
    <x v="0"/>
  </r>
  <r>
    <x v="29"/>
    <x v="175"/>
    <x v="9"/>
    <x v="9"/>
    <x v="1"/>
    <x v="0"/>
    <x v="45"/>
    <x v="261"/>
    <x v="2311"/>
    <x v="0"/>
    <x v="29"/>
    <x v="0"/>
  </r>
  <r>
    <x v="29"/>
    <x v="178"/>
    <x v="9"/>
    <x v="9"/>
    <x v="1"/>
    <x v="0"/>
    <x v="48"/>
    <x v="264"/>
    <x v="2312"/>
    <x v="0"/>
    <x v="29"/>
    <x v="0"/>
  </r>
  <r>
    <x v="29"/>
    <x v="180"/>
    <x v="10"/>
    <x v="10"/>
    <x v="1"/>
    <x v="0"/>
    <x v="50"/>
    <x v="266"/>
    <x v="2313"/>
    <x v="0"/>
    <x v="29"/>
    <x v="0"/>
  </r>
  <r>
    <x v="29"/>
    <x v="186"/>
    <x v="10"/>
    <x v="10"/>
    <x v="1"/>
    <x v="0"/>
    <x v="56"/>
    <x v="272"/>
    <x v="2314"/>
    <x v="0"/>
    <x v="29"/>
    <x v="0"/>
  </r>
  <r>
    <x v="29"/>
    <x v="176"/>
    <x v="10"/>
    <x v="10"/>
    <x v="1"/>
    <x v="0"/>
    <x v="46"/>
    <x v="262"/>
    <x v="2315"/>
    <x v="0"/>
    <x v="29"/>
    <x v="0"/>
  </r>
  <r>
    <x v="29"/>
    <x v="177"/>
    <x v="11"/>
    <x v="11"/>
    <x v="1"/>
    <x v="0"/>
    <x v="47"/>
    <x v="263"/>
    <x v="2316"/>
    <x v="0"/>
    <x v="29"/>
    <x v="0"/>
  </r>
  <r>
    <x v="29"/>
    <x v="181"/>
    <x v="11"/>
    <x v="11"/>
    <x v="1"/>
    <x v="0"/>
    <x v="51"/>
    <x v="267"/>
    <x v="2317"/>
    <x v="0"/>
    <x v="29"/>
    <x v="0"/>
  </r>
  <r>
    <x v="29"/>
    <x v="182"/>
    <x v="2"/>
    <x v="2"/>
    <x v="1"/>
    <x v="0"/>
    <x v="52"/>
    <x v="268"/>
    <x v="2318"/>
    <x v="0"/>
    <x v="29"/>
    <x v="0"/>
  </r>
  <r>
    <x v="29"/>
    <x v="183"/>
    <x v="2"/>
    <x v="2"/>
    <x v="1"/>
    <x v="0"/>
    <x v="53"/>
    <x v="269"/>
    <x v="2319"/>
    <x v="0"/>
    <x v="29"/>
    <x v="0"/>
  </r>
  <r>
    <x v="29"/>
    <x v="184"/>
    <x v="6"/>
    <x v="6"/>
    <x v="1"/>
    <x v="0"/>
    <x v="54"/>
    <x v="270"/>
    <x v="2320"/>
    <x v="0"/>
    <x v="29"/>
    <x v="0"/>
  </r>
  <r>
    <x v="29"/>
    <x v="174"/>
    <x v="6"/>
    <x v="6"/>
    <x v="1"/>
    <x v="0"/>
    <x v="44"/>
    <x v="260"/>
    <x v="2321"/>
    <x v="0"/>
    <x v="29"/>
    <x v="0"/>
  </r>
  <r>
    <x v="29"/>
    <x v="172"/>
    <x v="8"/>
    <x v="8"/>
    <x v="1"/>
    <x v="1"/>
    <x v="42"/>
    <x v="258"/>
    <x v="2322"/>
    <x v="0"/>
    <x v="29"/>
    <x v="0"/>
  </r>
  <r>
    <x v="29"/>
    <x v="175"/>
    <x v="9"/>
    <x v="9"/>
    <x v="1"/>
    <x v="1"/>
    <x v="45"/>
    <x v="261"/>
    <x v="2323"/>
    <x v="0"/>
    <x v="29"/>
    <x v="0"/>
  </r>
  <r>
    <x v="29"/>
    <x v="177"/>
    <x v="11"/>
    <x v="11"/>
    <x v="1"/>
    <x v="1"/>
    <x v="47"/>
    <x v="263"/>
    <x v="2324"/>
    <x v="0"/>
    <x v="29"/>
    <x v="0"/>
  </r>
  <r>
    <x v="29"/>
    <x v="174"/>
    <x v="6"/>
    <x v="6"/>
    <x v="1"/>
    <x v="1"/>
    <x v="44"/>
    <x v="260"/>
    <x v="2042"/>
    <x v="0"/>
    <x v="29"/>
    <x v="0"/>
  </r>
  <r>
    <x v="30"/>
    <x v="181"/>
    <x v="11"/>
    <x v="11"/>
    <x v="1"/>
    <x v="2"/>
    <x v="51"/>
    <x v="267"/>
    <x v="1313"/>
    <x v="0"/>
    <x v="30"/>
    <x v="0"/>
  </r>
  <r>
    <x v="30"/>
    <x v="184"/>
    <x v="6"/>
    <x v="6"/>
    <x v="1"/>
    <x v="2"/>
    <x v="54"/>
    <x v="270"/>
    <x v="2325"/>
    <x v="0"/>
    <x v="30"/>
    <x v="0"/>
  </r>
  <r>
    <x v="30"/>
    <x v="179"/>
    <x v="7"/>
    <x v="7"/>
    <x v="1"/>
    <x v="0"/>
    <x v="49"/>
    <x v="265"/>
    <x v="2326"/>
    <x v="0"/>
    <x v="30"/>
    <x v="0"/>
  </r>
  <r>
    <x v="30"/>
    <x v="171"/>
    <x v="7"/>
    <x v="7"/>
    <x v="1"/>
    <x v="0"/>
    <x v="41"/>
    <x v="257"/>
    <x v="2327"/>
    <x v="0"/>
    <x v="30"/>
    <x v="0"/>
  </r>
  <r>
    <x v="30"/>
    <x v="172"/>
    <x v="8"/>
    <x v="8"/>
    <x v="1"/>
    <x v="0"/>
    <x v="42"/>
    <x v="258"/>
    <x v="2328"/>
    <x v="0"/>
    <x v="30"/>
    <x v="0"/>
  </r>
  <r>
    <x v="30"/>
    <x v="173"/>
    <x v="8"/>
    <x v="8"/>
    <x v="1"/>
    <x v="0"/>
    <x v="43"/>
    <x v="259"/>
    <x v="2329"/>
    <x v="0"/>
    <x v="30"/>
    <x v="0"/>
  </r>
  <r>
    <x v="30"/>
    <x v="175"/>
    <x v="9"/>
    <x v="9"/>
    <x v="1"/>
    <x v="0"/>
    <x v="45"/>
    <x v="261"/>
    <x v="2330"/>
    <x v="0"/>
    <x v="30"/>
    <x v="0"/>
  </r>
  <r>
    <x v="30"/>
    <x v="178"/>
    <x v="9"/>
    <x v="9"/>
    <x v="1"/>
    <x v="0"/>
    <x v="48"/>
    <x v="264"/>
    <x v="2331"/>
    <x v="0"/>
    <x v="30"/>
    <x v="0"/>
  </r>
  <r>
    <x v="30"/>
    <x v="180"/>
    <x v="10"/>
    <x v="10"/>
    <x v="1"/>
    <x v="0"/>
    <x v="50"/>
    <x v="266"/>
    <x v="2332"/>
    <x v="0"/>
    <x v="30"/>
    <x v="0"/>
  </r>
  <r>
    <x v="30"/>
    <x v="176"/>
    <x v="10"/>
    <x v="10"/>
    <x v="1"/>
    <x v="0"/>
    <x v="46"/>
    <x v="262"/>
    <x v="2333"/>
    <x v="0"/>
    <x v="30"/>
    <x v="0"/>
  </r>
  <r>
    <x v="30"/>
    <x v="177"/>
    <x v="11"/>
    <x v="11"/>
    <x v="1"/>
    <x v="0"/>
    <x v="47"/>
    <x v="263"/>
    <x v="2334"/>
    <x v="0"/>
    <x v="30"/>
    <x v="0"/>
  </r>
  <r>
    <x v="30"/>
    <x v="181"/>
    <x v="11"/>
    <x v="11"/>
    <x v="1"/>
    <x v="0"/>
    <x v="51"/>
    <x v="267"/>
    <x v="2335"/>
    <x v="0"/>
    <x v="30"/>
    <x v="0"/>
  </r>
  <r>
    <x v="30"/>
    <x v="182"/>
    <x v="2"/>
    <x v="2"/>
    <x v="1"/>
    <x v="0"/>
    <x v="52"/>
    <x v="268"/>
    <x v="2336"/>
    <x v="0"/>
    <x v="30"/>
    <x v="0"/>
  </r>
  <r>
    <x v="30"/>
    <x v="183"/>
    <x v="2"/>
    <x v="2"/>
    <x v="1"/>
    <x v="0"/>
    <x v="53"/>
    <x v="269"/>
    <x v="2337"/>
    <x v="0"/>
    <x v="30"/>
    <x v="0"/>
  </r>
  <r>
    <x v="30"/>
    <x v="184"/>
    <x v="6"/>
    <x v="6"/>
    <x v="1"/>
    <x v="0"/>
    <x v="54"/>
    <x v="270"/>
    <x v="476"/>
    <x v="0"/>
    <x v="30"/>
    <x v="0"/>
  </r>
  <r>
    <x v="30"/>
    <x v="174"/>
    <x v="6"/>
    <x v="6"/>
    <x v="1"/>
    <x v="0"/>
    <x v="44"/>
    <x v="260"/>
    <x v="2338"/>
    <x v="0"/>
    <x v="30"/>
    <x v="0"/>
  </r>
  <r>
    <x v="30"/>
    <x v="179"/>
    <x v="7"/>
    <x v="7"/>
    <x v="1"/>
    <x v="1"/>
    <x v="49"/>
    <x v="265"/>
    <x v="2339"/>
    <x v="0"/>
    <x v="30"/>
    <x v="0"/>
  </r>
  <r>
    <x v="30"/>
    <x v="173"/>
    <x v="8"/>
    <x v="8"/>
    <x v="1"/>
    <x v="1"/>
    <x v="43"/>
    <x v="259"/>
    <x v="2340"/>
    <x v="0"/>
    <x v="30"/>
    <x v="0"/>
  </r>
  <r>
    <x v="30"/>
    <x v="178"/>
    <x v="9"/>
    <x v="9"/>
    <x v="1"/>
    <x v="1"/>
    <x v="48"/>
    <x v="264"/>
    <x v="993"/>
    <x v="0"/>
    <x v="30"/>
    <x v="0"/>
  </r>
  <r>
    <x v="30"/>
    <x v="180"/>
    <x v="10"/>
    <x v="10"/>
    <x v="1"/>
    <x v="1"/>
    <x v="50"/>
    <x v="266"/>
    <x v="2341"/>
    <x v="0"/>
    <x v="30"/>
    <x v="0"/>
  </r>
  <r>
    <x v="30"/>
    <x v="176"/>
    <x v="10"/>
    <x v="10"/>
    <x v="1"/>
    <x v="1"/>
    <x v="46"/>
    <x v="262"/>
    <x v="1982"/>
    <x v="0"/>
    <x v="30"/>
    <x v="0"/>
  </r>
  <r>
    <x v="30"/>
    <x v="177"/>
    <x v="11"/>
    <x v="11"/>
    <x v="1"/>
    <x v="1"/>
    <x v="47"/>
    <x v="263"/>
    <x v="2342"/>
    <x v="0"/>
    <x v="30"/>
    <x v="0"/>
  </r>
  <r>
    <x v="30"/>
    <x v="181"/>
    <x v="11"/>
    <x v="11"/>
    <x v="1"/>
    <x v="1"/>
    <x v="51"/>
    <x v="267"/>
    <x v="400"/>
    <x v="0"/>
    <x v="30"/>
    <x v="0"/>
  </r>
  <r>
    <x v="30"/>
    <x v="183"/>
    <x v="2"/>
    <x v="2"/>
    <x v="1"/>
    <x v="1"/>
    <x v="53"/>
    <x v="269"/>
    <x v="2343"/>
    <x v="0"/>
    <x v="30"/>
    <x v="0"/>
  </r>
  <r>
    <x v="30"/>
    <x v="184"/>
    <x v="6"/>
    <x v="6"/>
    <x v="1"/>
    <x v="1"/>
    <x v="54"/>
    <x v="270"/>
    <x v="2344"/>
    <x v="0"/>
    <x v="30"/>
    <x v="0"/>
  </r>
  <r>
    <x v="30"/>
    <x v="174"/>
    <x v="6"/>
    <x v="6"/>
    <x v="1"/>
    <x v="1"/>
    <x v="44"/>
    <x v="260"/>
    <x v="2345"/>
    <x v="0"/>
    <x v="30"/>
    <x v="0"/>
  </r>
  <r>
    <x v="31"/>
    <x v="171"/>
    <x v="7"/>
    <x v="7"/>
    <x v="1"/>
    <x v="0"/>
    <x v="41"/>
    <x v="257"/>
    <x v="2346"/>
    <x v="0"/>
    <x v="31"/>
    <x v="0"/>
  </r>
  <r>
    <x v="31"/>
    <x v="176"/>
    <x v="10"/>
    <x v="10"/>
    <x v="1"/>
    <x v="1"/>
    <x v="46"/>
    <x v="262"/>
    <x v="2347"/>
    <x v="0"/>
    <x v="31"/>
    <x v="0"/>
  </r>
  <r>
    <x v="31"/>
    <x v="177"/>
    <x v="11"/>
    <x v="11"/>
    <x v="1"/>
    <x v="1"/>
    <x v="47"/>
    <x v="263"/>
    <x v="2348"/>
    <x v="0"/>
    <x v="31"/>
    <x v="0"/>
  </r>
  <r>
    <x v="32"/>
    <x v="171"/>
    <x v="7"/>
    <x v="7"/>
    <x v="1"/>
    <x v="0"/>
    <x v="41"/>
    <x v="257"/>
    <x v="2349"/>
    <x v="0"/>
    <x v="32"/>
    <x v="0"/>
  </r>
  <r>
    <x v="33"/>
    <x v="176"/>
    <x v="10"/>
    <x v="10"/>
    <x v="1"/>
    <x v="2"/>
    <x v="46"/>
    <x v="262"/>
    <x v="2350"/>
    <x v="0"/>
    <x v="33"/>
    <x v="0"/>
  </r>
  <r>
    <x v="33"/>
    <x v="174"/>
    <x v="6"/>
    <x v="6"/>
    <x v="1"/>
    <x v="0"/>
    <x v="44"/>
    <x v="260"/>
    <x v="2351"/>
    <x v="0"/>
    <x v="33"/>
    <x v="0"/>
  </r>
  <r>
    <x v="34"/>
    <x v="179"/>
    <x v="7"/>
    <x v="7"/>
    <x v="1"/>
    <x v="0"/>
    <x v="49"/>
    <x v="265"/>
    <x v="2352"/>
    <x v="0"/>
    <x v="34"/>
    <x v="0"/>
  </r>
  <r>
    <x v="34"/>
    <x v="171"/>
    <x v="7"/>
    <x v="7"/>
    <x v="1"/>
    <x v="0"/>
    <x v="41"/>
    <x v="257"/>
    <x v="2353"/>
    <x v="0"/>
    <x v="34"/>
    <x v="0"/>
  </r>
  <r>
    <x v="34"/>
    <x v="172"/>
    <x v="8"/>
    <x v="8"/>
    <x v="1"/>
    <x v="0"/>
    <x v="42"/>
    <x v="258"/>
    <x v="2354"/>
    <x v="0"/>
    <x v="34"/>
    <x v="0"/>
  </r>
  <r>
    <x v="34"/>
    <x v="173"/>
    <x v="8"/>
    <x v="8"/>
    <x v="1"/>
    <x v="0"/>
    <x v="43"/>
    <x v="259"/>
    <x v="2355"/>
    <x v="0"/>
    <x v="34"/>
    <x v="0"/>
  </r>
  <r>
    <x v="34"/>
    <x v="175"/>
    <x v="9"/>
    <x v="9"/>
    <x v="1"/>
    <x v="0"/>
    <x v="45"/>
    <x v="261"/>
    <x v="2356"/>
    <x v="0"/>
    <x v="34"/>
    <x v="0"/>
  </r>
  <r>
    <x v="34"/>
    <x v="178"/>
    <x v="9"/>
    <x v="9"/>
    <x v="1"/>
    <x v="0"/>
    <x v="48"/>
    <x v="264"/>
    <x v="2357"/>
    <x v="0"/>
    <x v="34"/>
    <x v="0"/>
  </r>
  <r>
    <x v="34"/>
    <x v="180"/>
    <x v="10"/>
    <x v="10"/>
    <x v="1"/>
    <x v="0"/>
    <x v="50"/>
    <x v="266"/>
    <x v="2358"/>
    <x v="0"/>
    <x v="34"/>
    <x v="0"/>
  </r>
  <r>
    <x v="34"/>
    <x v="176"/>
    <x v="10"/>
    <x v="10"/>
    <x v="1"/>
    <x v="0"/>
    <x v="46"/>
    <x v="262"/>
    <x v="2359"/>
    <x v="0"/>
    <x v="34"/>
    <x v="0"/>
  </r>
  <r>
    <x v="34"/>
    <x v="187"/>
    <x v="11"/>
    <x v="11"/>
    <x v="1"/>
    <x v="0"/>
    <x v="57"/>
    <x v="273"/>
    <x v="2360"/>
    <x v="0"/>
    <x v="34"/>
    <x v="0"/>
  </r>
  <r>
    <x v="34"/>
    <x v="177"/>
    <x v="11"/>
    <x v="11"/>
    <x v="1"/>
    <x v="0"/>
    <x v="47"/>
    <x v="263"/>
    <x v="2361"/>
    <x v="0"/>
    <x v="34"/>
    <x v="0"/>
  </r>
  <r>
    <x v="34"/>
    <x v="181"/>
    <x v="11"/>
    <x v="11"/>
    <x v="1"/>
    <x v="0"/>
    <x v="51"/>
    <x v="267"/>
    <x v="2362"/>
    <x v="0"/>
    <x v="34"/>
    <x v="0"/>
  </r>
  <r>
    <x v="34"/>
    <x v="182"/>
    <x v="2"/>
    <x v="2"/>
    <x v="1"/>
    <x v="0"/>
    <x v="52"/>
    <x v="268"/>
    <x v="2363"/>
    <x v="0"/>
    <x v="34"/>
    <x v="0"/>
  </r>
  <r>
    <x v="34"/>
    <x v="183"/>
    <x v="2"/>
    <x v="2"/>
    <x v="1"/>
    <x v="0"/>
    <x v="53"/>
    <x v="269"/>
    <x v="2364"/>
    <x v="0"/>
    <x v="34"/>
    <x v="0"/>
  </r>
  <r>
    <x v="34"/>
    <x v="184"/>
    <x v="6"/>
    <x v="6"/>
    <x v="1"/>
    <x v="0"/>
    <x v="54"/>
    <x v="270"/>
    <x v="2321"/>
    <x v="0"/>
    <x v="34"/>
    <x v="0"/>
  </r>
  <r>
    <x v="34"/>
    <x v="188"/>
    <x v="6"/>
    <x v="6"/>
    <x v="1"/>
    <x v="0"/>
    <x v="58"/>
    <x v="274"/>
    <x v="2365"/>
    <x v="0"/>
    <x v="34"/>
    <x v="0"/>
  </r>
  <r>
    <x v="34"/>
    <x v="174"/>
    <x v="6"/>
    <x v="6"/>
    <x v="1"/>
    <x v="0"/>
    <x v="44"/>
    <x v="260"/>
    <x v="2366"/>
    <x v="0"/>
    <x v="34"/>
    <x v="0"/>
  </r>
  <r>
    <x v="34"/>
    <x v="179"/>
    <x v="7"/>
    <x v="7"/>
    <x v="1"/>
    <x v="1"/>
    <x v="49"/>
    <x v="265"/>
    <x v="2367"/>
    <x v="0"/>
    <x v="34"/>
    <x v="0"/>
  </r>
  <r>
    <x v="34"/>
    <x v="175"/>
    <x v="9"/>
    <x v="9"/>
    <x v="1"/>
    <x v="1"/>
    <x v="45"/>
    <x v="261"/>
    <x v="2244"/>
    <x v="0"/>
    <x v="34"/>
    <x v="0"/>
  </r>
  <r>
    <x v="34"/>
    <x v="178"/>
    <x v="9"/>
    <x v="9"/>
    <x v="1"/>
    <x v="1"/>
    <x v="48"/>
    <x v="264"/>
    <x v="2368"/>
    <x v="0"/>
    <x v="34"/>
    <x v="0"/>
  </r>
  <r>
    <x v="34"/>
    <x v="180"/>
    <x v="10"/>
    <x v="10"/>
    <x v="1"/>
    <x v="1"/>
    <x v="50"/>
    <x v="266"/>
    <x v="2369"/>
    <x v="0"/>
    <x v="34"/>
    <x v="0"/>
  </r>
  <r>
    <x v="34"/>
    <x v="177"/>
    <x v="11"/>
    <x v="11"/>
    <x v="1"/>
    <x v="1"/>
    <x v="47"/>
    <x v="263"/>
    <x v="2370"/>
    <x v="0"/>
    <x v="34"/>
    <x v="0"/>
  </r>
  <r>
    <x v="34"/>
    <x v="182"/>
    <x v="2"/>
    <x v="2"/>
    <x v="1"/>
    <x v="1"/>
    <x v="52"/>
    <x v="268"/>
    <x v="2371"/>
    <x v="0"/>
    <x v="34"/>
    <x v="0"/>
  </r>
  <r>
    <x v="34"/>
    <x v="183"/>
    <x v="2"/>
    <x v="2"/>
    <x v="1"/>
    <x v="1"/>
    <x v="53"/>
    <x v="269"/>
    <x v="2372"/>
    <x v="0"/>
    <x v="34"/>
    <x v="0"/>
  </r>
  <r>
    <x v="34"/>
    <x v="184"/>
    <x v="6"/>
    <x v="6"/>
    <x v="1"/>
    <x v="1"/>
    <x v="54"/>
    <x v="270"/>
    <x v="2373"/>
    <x v="0"/>
    <x v="34"/>
    <x v="0"/>
  </r>
  <r>
    <x v="34"/>
    <x v="174"/>
    <x v="6"/>
    <x v="6"/>
    <x v="1"/>
    <x v="1"/>
    <x v="44"/>
    <x v="260"/>
    <x v="2374"/>
    <x v="0"/>
    <x v="34"/>
    <x v="0"/>
  </r>
  <r>
    <x v="35"/>
    <x v="181"/>
    <x v="11"/>
    <x v="11"/>
    <x v="1"/>
    <x v="2"/>
    <x v="51"/>
    <x v="267"/>
    <x v="2375"/>
    <x v="0"/>
    <x v="35"/>
    <x v="0"/>
  </r>
  <r>
    <x v="35"/>
    <x v="179"/>
    <x v="7"/>
    <x v="7"/>
    <x v="1"/>
    <x v="0"/>
    <x v="49"/>
    <x v="265"/>
    <x v="2376"/>
    <x v="0"/>
    <x v="35"/>
    <x v="0"/>
  </r>
  <r>
    <x v="35"/>
    <x v="171"/>
    <x v="7"/>
    <x v="7"/>
    <x v="1"/>
    <x v="0"/>
    <x v="41"/>
    <x v="257"/>
    <x v="2377"/>
    <x v="0"/>
    <x v="35"/>
    <x v="0"/>
  </r>
  <r>
    <x v="35"/>
    <x v="172"/>
    <x v="8"/>
    <x v="8"/>
    <x v="1"/>
    <x v="0"/>
    <x v="42"/>
    <x v="258"/>
    <x v="2378"/>
    <x v="0"/>
    <x v="35"/>
    <x v="0"/>
  </r>
  <r>
    <x v="35"/>
    <x v="173"/>
    <x v="8"/>
    <x v="8"/>
    <x v="1"/>
    <x v="0"/>
    <x v="43"/>
    <x v="259"/>
    <x v="2379"/>
    <x v="0"/>
    <x v="35"/>
    <x v="0"/>
  </r>
  <r>
    <x v="35"/>
    <x v="175"/>
    <x v="9"/>
    <x v="9"/>
    <x v="1"/>
    <x v="0"/>
    <x v="45"/>
    <x v="261"/>
    <x v="271"/>
    <x v="0"/>
    <x v="35"/>
    <x v="0"/>
  </r>
  <r>
    <x v="35"/>
    <x v="178"/>
    <x v="9"/>
    <x v="9"/>
    <x v="1"/>
    <x v="0"/>
    <x v="48"/>
    <x v="264"/>
    <x v="2380"/>
    <x v="0"/>
    <x v="35"/>
    <x v="0"/>
  </r>
  <r>
    <x v="35"/>
    <x v="180"/>
    <x v="10"/>
    <x v="10"/>
    <x v="1"/>
    <x v="0"/>
    <x v="50"/>
    <x v="266"/>
    <x v="2381"/>
    <x v="0"/>
    <x v="35"/>
    <x v="0"/>
  </r>
  <r>
    <x v="35"/>
    <x v="176"/>
    <x v="10"/>
    <x v="10"/>
    <x v="1"/>
    <x v="0"/>
    <x v="46"/>
    <x v="262"/>
    <x v="2382"/>
    <x v="0"/>
    <x v="35"/>
    <x v="0"/>
  </r>
  <r>
    <x v="35"/>
    <x v="177"/>
    <x v="11"/>
    <x v="11"/>
    <x v="1"/>
    <x v="0"/>
    <x v="47"/>
    <x v="263"/>
    <x v="2383"/>
    <x v="0"/>
    <x v="35"/>
    <x v="0"/>
  </r>
  <r>
    <x v="35"/>
    <x v="181"/>
    <x v="11"/>
    <x v="11"/>
    <x v="1"/>
    <x v="0"/>
    <x v="51"/>
    <x v="267"/>
    <x v="2384"/>
    <x v="0"/>
    <x v="35"/>
    <x v="0"/>
  </r>
  <r>
    <x v="35"/>
    <x v="182"/>
    <x v="2"/>
    <x v="2"/>
    <x v="1"/>
    <x v="0"/>
    <x v="52"/>
    <x v="268"/>
    <x v="2385"/>
    <x v="0"/>
    <x v="35"/>
    <x v="0"/>
  </r>
  <r>
    <x v="35"/>
    <x v="183"/>
    <x v="2"/>
    <x v="2"/>
    <x v="1"/>
    <x v="0"/>
    <x v="53"/>
    <x v="269"/>
    <x v="2386"/>
    <x v="0"/>
    <x v="35"/>
    <x v="0"/>
  </r>
  <r>
    <x v="35"/>
    <x v="184"/>
    <x v="6"/>
    <x v="6"/>
    <x v="1"/>
    <x v="0"/>
    <x v="54"/>
    <x v="270"/>
    <x v="2387"/>
    <x v="0"/>
    <x v="35"/>
    <x v="0"/>
  </r>
  <r>
    <x v="35"/>
    <x v="174"/>
    <x v="6"/>
    <x v="6"/>
    <x v="1"/>
    <x v="0"/>
    <x v="44"/>
    <x v="260"/>
    <x v="2388"/>
    <x v="0"/>
    <x v="35"/>
    <x v="0"/>
  </r>
  <r>
    <x v="35"/>
    <x v="172"/>
    <x v="8"/>
    <x v="8"/>
    <x v="1"/>
    <x v="1"/>
    <x v="42"/>
    <x v="258"/>
    <x v="2389"/>
    <x v="0"/>
    <x v="35"/>
    <x v="0"/>
  </r>
  <r>
    <x v="35"/>
    <x v="180"/>
    <x v="10"/>
    <x v="10"/>
    <x v="1"/>
    <x v="1"/>
    <x v="50"/>
    <x v="266"/>
    <x v="56"/>
    <x v="0"/>
    <x v="35"/>
    <x v="0"/>
  </r>
  <r>
    <x v="35"/>
    <x v="181"/>
    <x v="11"/>
    <x v="11"/>
    <x v="1"/>
    <x v="1"/>
    <x v="51"/>
    <x v="267"/>
    <x v="2390"/>
    <x v="0"/>
    <x v="35"/>
    <x v="0"/>
  </r>
  <r>
    <x v="35"/>
    <x v="174"/>
    <x v="6"/>
    <x v="6"/>
    <x v="1"/>
    <x v="1"/>
    <x v="44"/>
    <x v="260"/>
    <x v="2391"/>
    <x v="0"/>
    <x v="35"/>
    <x v="0"/>
  </r>
  <r>
    <x v="77"/>
    <x v="171"/>
    <x v="7"/>
    <x v="7"/>
    <x v="1"/>
    <x v="0"/>
    <x v="41"/>
    <x v="257"/>
    <x v="2392"/>
    <x v="0"/>
    <x v="77"/>
    <x v="0"/>
  </r>
  <r>
    <x v="77"/>
    <x v="174"/>
    <x v="6"/>
    <x v="6"/>
    <x v="1"/>
    <x v="0"/>
    <x v="44"/>
    <x v="260"/>
    <x v="899"/>
    <x v="0"/>
    <x v="77"/>
    <x v="0"/>
  </r>
  <r>
    <x v="36"/>
    <x v="178"/>
    <x v="9"/>
    <x v="9"/>
    <x v="1"/>
    <x v="2"/>
    <x v="48"/>
    <x v="264"/>
    <x v="2393"/>
    <x v="0"/>
    <x v="36"/>
    <x v="0"/>
  </r>
  <r>
    <x v="36"/>
    <x v="182"/>
    <x v="2"/>
    <x v="2"/>
    <x v="1"/>
    <x v="2"/>
    <x v="52"/>
    <x v="268"/>
    <x v="2394"/>
    <x v="0"/>
    <x v="36"/>
    <x v="0"/>
  </r>
  <r>
    <x v="36"/>
    <x v="174"/>
    <x v="6"/>
    <x v="6"/>
    <x v="1"/>
    <x v="2"/>
    <x v="44"/>
    <x v="260"/>
    <x v="2395"/>
    <x v="0"/>
    <x v="36"/>
    <x v="0"/>
  </r>
  <r>
    <x v="36"/>
    <x v="179"/>
    <x v="7"/>
    <x v="7"/>
    <x v="1"/>
    <x v="0"/>
    <x v="49"/>
    <x v="265"/>
    <x v="2396"/>
    <x v="0"/>
    <x v="36"/>
    <x v="0"/>
  </r>
  <r>
    <x v="36"/>
    <x v="171"/>
    <x v="7"/>
    <x v="7"/>
    <x v="1"/>
    <x v="0"/>
    <x v="41"/>
    <x v="257"/>
    <x v="2397"/>
    <x v="0"/>
    <x v="36"/>
    <x v="0"/>
  </r>
  <r>
    <x v="36"/>
    <x v="172"/>
    <x v="8"/>
    <x v="8"/>
    <x v="1"/>
    <x v="0"/>
    <x v="42"/>
    <x v="258"/>
    <x v="2398"/>
    <x v="0"/>
    <x v="36"/>
    <x v="0"/>
  </r>
  <r>
    <x v="36"/>
    <x v="173"/>
    <x v="8"/>
    <x v="8"/>
    <x v="1"/>
    <x v="0"/>
    <x v="43"/>
    <x v="259"/>
    <x v="2399"/>
    <x v="0"/>
    <x v="36"/>
    <x v="0"/>
  </r>
  <r>
    <x v="36"/>
    <x v="175"/>
    <x v="9"/>
    <x v="9"/>
    <x v="1"/>
    <x v="0"/>
    <x v="45"/>
    <x v="261"/>
    <x v="2400"/>
    <x v="0"/>
    <x v="36"/>
    <x v="0"/>
  </r>
  <r>
    <x v="36"/>
    <x v="178"/>
    <x v="9"/>
    <x v="9"/>
    <x v="1"/>
    <x v="0"/>
    <x v="48"/>
    <x v="264"/>
    <x v="2401"/>
    <x v="0"/>
    <x v="36"/>
    <x v="0"/>
  </r>
  <r>
    <x v="36"/>
    <x v="180"/>
    <x v="10"/>
    <x v="10"/>
    <x v="1"/>
    <x v="0"/>
    <x v="50"/>
    <x v="266"/>
    <x v="2402"/>
    <x v="0"/>
    <x v="36"/>
    <x v="0"/>
  </r>
  <r>
    <x v="36"/>
    <x v="176"/>
    <x v="10"/>
    <x v="10"/>
    <x v="1"/>
    <x v="0"/>
    <x v="46"/>
    <x v="262"/>
    <x v="2403"/>
    <x v="0"/>
    <x v="36"/>
    <x v="0"/>
  </r>
  <r>
    <x v="36"/>
    <x v="177"/>
    <x v="11"/>
    <x v="11"/>
    <x v="1"/>
    <x v="0"/>
    <x v="47"/>
    <x v="263"/>
    <x v="2404"/>
    <x v="0"/>
    <x v="36"/>
    <x v="0"/>
  </r>
  <r>
    <x v="36"/>
    <x v="181"/>
    <x v="11"/>
    <x v="11"/>
    <x v="1"/>
    <x v="0"/>
    <x v="51"/>
    <x v="267"/>
    <x v="2405"/>
    <x v="0"/>
    <x v="36"/>
    <x v="0"/>
  </r>
  <r>
    <x v="36"/>
    <x v="182"/>
    <x v="2"/>
    <x v="2"/>
    <x v="1"/>
    <x v="0"/>
    <x v="52"/>
    <x v="268"/>
    <x v="2406"/>
    <x v="0"/>
    <x v="36"/>
    <x v="0"/>
  </r>
  <r>
    <x v="36"/>
    <x v="183"/>
    <x v="2"/>
    <x v="2"/>
    <x v="1"/>
    <x v="0"/>
    <x v="53"/>
    <x v="269"/>
    <x v="2407"/>
    <x v="0"/>
    <x v="36"/>
    <x v="0"/>
  </r>
  <r>
    <x v="36"/>
    <x v="184"/>
    <x v="6"/>
    <x v="6"/>
    <x v="1"/>
    <x v="0"/>
    <x v="54"/>
    <x v="270"/>
    <x v="2408"/>
    <x v="0"/>
    <x v="36"/>
    <x v="0"/>
  </r>
  <r>
    <x v="36"/>
    <x v="174"/>
    <x v="6"/>
    <x v="6"/>
    <x v="1"/>
    <x v="0"/>
    <x v="44"/>
    <x v="260"/>
    <x v="2409"/>
    <x v="0"/>
    <x v="36"/>
    <x v="0"/>
  </r>
  <r>
    <x v="36"/>
    <x v="171"/>
    <x v="7"/>
    <x v="7"/>
    <x v="1"/>
    <x v="1"/>
    <x v="41"/>
    <x v="257"/>
    <x v="2410"/>
    <x v="0"/>
    <x v="36"/>
    <x v="0"/>
  </r>
  <r>
    <x v="36"/>
    <x v="172"/>
    <x v="8"/>
    <x v="8"/>
    <x v="1"/>
    <x v="1"/>
    <x v="42"/>
    <x v="258"/>
    <x v="438"/>
    <x v="0"/>
    <x v="36"/>
    <x v="0"/>
  </r>
  <r>
    <x v="36"/>
    <x v="175"/>
    <x v="9"/>
    <x v="9"/>
    <x v="1"/>
    <x v="1"/>
    <x v="45"/>
    <x v="261"/>
    <x v="2411"/>
    <x v="0"/>
    <x v="36"/>
    <x v="0"/>
  </r>
  <r>
    <x v="36"/>
    <x v="178"/>
    <x v="9"/>
    <x v="9"/>
    <x v="1"/>
    <x v="1"/>
    <x v="48"/>
    <x v="264"/>
    <x v="2412"/>
    <x v="0"/>
    <x v="36"/>
    <x v="0"/>
  </r>
  <r>
    <x v="36"/>
    <x v="180"/>
    <x v="10"/>
    <x v="10"/>
    <x v="1"/>
    <x v="1"/>
    <x v="50"/>
    <x v="266"/>
    <x v="2413"/>
    <x v="0"/>
    <x v="36"/>
    <x v="0"/>
  </r>
  <r>
    <x v="36"/>
    <x v="177"/>
    <x v="11"/>
    <x v="11"/>
    <x v="1"/>
    <x v="1"/>
    <x v="47"/>
    <x v="263"/>
    <x v="2414"/>
    <x v="0"/>
    <x v="36"/>
    <x v="0"/>
  </r>
  <r>
    <x v="36"/>
    <x v="181"/>
    <x v="11"/>
    <x v="11"/>
    <x v="1"/>
    <x v="1"/>
    <x v="51"/>
    <x v="267"/>
    <x v="2415"/>
    <x v="0"/>
    <x v="36"/>
    <x v="0"/>
  </r>
  <r>
    <x v="36"/>
    <x v="183"/>
    <x v="2"/>
    <x v="2"/>
    <x v="1"/>
    <x v="1"/>
    <x v="53"/>
    <x v="269"/>
    <x v="2"/>
    <x v="0"/>
    <x v="36"/>
    <x v="0"/>
  </r>
  <r>
    <x v="36"/>
    <x v="184"/>
    <x v="6"/>
    <x v="6"/>
    <x v="1"/>
    <x v="1"/>
    <x v="54"/>
    <x v="270"/>
    <x v="2416"/>
    <x v="0"/>
    <x v="36"/>
    <x v="0"/>
  </r>
  <r>
    <x v="36"/>
    <x v="174"/>
    <x v="6"/>
    <x v="6"/>
    <x v="1"/>
    <x v="1"/>
    <x v="44"/>
    <x v="260"/>
    <x v="2417"/>
    <x v="0"/>
    <x v="36"/>
    <x v="0"/>
  </r>
  <r>
    <x v="37"/>
    <x v="174"/>
    <x v="6"/>
    <x v="6"/>
    <x v="1"/>
    <x v="2"/>
    <x v="44"/>
    <x v="260"/>
    <x v="2418"/>
    <x v="0"/>
    <x v="37"/>
    <x v="0"/>
  </r>
  <r>
    <x v="37"/>
    <x v="171"/>
    <x v="7"/>
    <x v="7"/>
    <x v="1"/>
    <x v="0"/>
    <x v="41"/>
    <x v="257"/>
    <x v="248"/>
    <x v="0"/>
    <x v="37"/>
    <x v="0"/>
  </r>
  <r>
    <x v="39"/>
    <x v="179"/>
    <x v="7"/>
    <x v="7"/>
    <x v="1"/>
    <x v="2"/>
    <x v="49"/>
    <x v="265"/>
    <x v="2419"/>
    <x v="0"/>
    <x v="39"/>
    <x v="0"/>
  </r>
  <r>
    <x v="39"/>
    <x v="179"/>
    <x v="7"/>
    <x v="7"/>
    <x v="1"/>
    <x v="0"/>
    <x v="49"/>
    <x v="265"/>
    <x v="2420"/>
    <x v="0"/>
    <x v="39"/>
    <x v="0"/>
  </r>
  <r>
    <x v="39"/>
    <x v="171"/>
    <x v="7"/>
    <x v="7"/>
    <x v="1"/>
    <x v="0"/>
    <x v="41"/>
    <x v="257"/>
    <x v="2421"/>
    <x v="0"/>
    <x v="39"/>
    <x v="0"/>
  </r>
  <r>
    <x v="39"/>
    <x v="172"/>
    <x v="8"/>
    <x v="8"/>
    <x v="1"/>
    <x v="0"/>
    <x v="42"/>
    <x v="258"/>
    <x v="2422"/>
    <x v="0"/>
    <x v="39"/>
    <x v="0"/>
  </r>
  <r>
    <x v="39"/>
    <x v="175"/>
    <x v="9"/>
    <x v="9"/>
    <x v="1"/>
    <x v="0"/>
    <x v="45"/>
    <x v="261"/>
    <x v="2423"/>
    <x v="0"/>
    <x v="39"/>
    <x v="0"/>
  </r>
  <r>
    <x v="39"/>
    <x v="178"/>
    <x v="9"/>
    <x v="9"/>
    <x v="1"/>
    <x v="0"/>
    <x v="48"/>
    <x v="264"/>
    <x v="2424"/>
    <x v="0"/>
    <x v="39"/>
    <x v="0"/>
  </r>
  <r>
    <x v="39"/>
    <x v="180"/>
    <x v="10"/>
    <x v="10"/>
    <x v="1"/>
    <x v="0"/>
    <x v="50"/>
    <x v="266"/>
    <x v="2425"/>
    <x v="0"/>
    <x v="39"/>
    <x v="0"/>
  </r>
  <r>
    <x v="39"/>
    <x v="176"/>
    <x v="10"/>
    <x v="10"/>
    <x v="1"/>
    <x v="0"/>
    <x v="46"/>
    <x v="262"/>
    <x v="2426"/>
    <x v="0"/>
    <x v="39"/>
    <x v="0"/>
  </r>
  <r>
    <x v="39"/>
    <x v="177"/>
    <x v="11"/>
    <x v="11"/>
    <x v="1"/>
    <x v="0"/>
    <x v="47"/>
    <x v="263"/>
    <x v="2427"/>
    <x v="0"/>
    <x v="39"/>
    <x v="0"/>
  </r>
  <r>
    <x v="39"/>
    <x v="181"/>
    <x v="11"/>
    <x v="11"/>
    <x v="1"/>
    <x v="0"/>
    <x v="51"/>
    <x v="267"/>
    <x v="2428"/>
    <x v="0"/>
    <x v="39"/>
    <x v="0"/>
  </r>
  <r>
    <x v="39"/>
    <x v="182"/>
    <x v="2"/>
    <x v="2"/>
    <x v="1"/>
    <x v="0"/>
    <x v="52"/>
    <x v="268"/>
    <x v="2429"/>
    <x v="0"/>
    <x v="39"/>
    <x v="0"/>
  </r>
  <r>
    <x v="39"/>
    <x v="183"/>
    <x v="2"/>
    <x v="2"/>
    <x v="1"/>
    <x v="0"/>
    <x v="53"/>
    <x v="269"/>
    <x v="2430"/>
    <x v="0"/>
    <x v="39"/>
    <x v="0"/>
  </r>
  <r>
    <x v="39"/>
    <x v="184"/>
    <x v="6"/>
    <x v="6"/>
    <x v="1"/>
    <x v="0"/>
    <x v="54"/>
    <x v="270"/>
    <x v="2431"/>
    <x v="0"/>
    <x v="39"/>
    <x v="0"/>
  </r>
  <r>
    <x v="39"/>
    <x v="174"/>
    <x v="6"/>
    <x v="6"/>
    <x v="1"/>
    <x v="0"/>
    <x v="44"/>
    <x v="260"/>
    <x v="2432"/>
    <x v="0"/>
    <x v="39"/>
    <x v="0"/>
  </r>
  <r>
    <x v="39"/>
    <x v="179"/>
    <x v="7"/>
    <x v="7"/>
    <x v="1"/>
    <x v="1"/>
    <x v="49"/>
    <x v="265"/>
    <x v="2433"/>
    <x v="0"/>
    <x v="39"/>
    <x v="0"/>
  </r>
  <r>
    <x v="39"/>
    <x v="173"/>
    <x v="8"/>
    <x v="8"/>
    <x v="1"/>
    <x v="1"/>
    <x v="43"/>
    <x v="259"/>
    <x v="1079"/>
    <x v="0"/>
    <x v="39"/>
    <x v="0"/>
  </r>
  <r>
    <x v="39"/>
    <x v="181"/>
    <x v="11"/>
    <x v="11"/>
    <x v="1"/>
    <x v="1"/>
    <x v="51"/>
    <x v="267"/>
    <x v="2434"/>
    <x v="0"/>
    <x v="39"/>
    <x v="0"/>
  </r>
  <r>
    <x v="39"/>
    <x v="184"/>
    <x v="6"/>
    <x v="6"/>
    <x v="1"/>
    <x v="1"/>
    <x v="54"/>
    <x v="270"/>
    <x v="1757"/>
    <x v="0"/>
    <x v="39"/>
    <x v="0"/>
  </r>
  <r>
    <x v="40"/>
    <x v="171"/>
    <x v="7"/>
    <x v="7"/>
    <x v="1"/>
    <x v="2"/>
    <x v="41"/>
    <x v="257"/>
    <x v="2435"/>
    <x v="0"/>
    <x v="40"/>
    <x v="0"/>
  </r>
  <r>
    <x v="40"/>
    <x v="175"/>
    <x v="9"/>
    <x v="9"/>
    <x v="1"/>
    <x v="2"/>
    <x v="45"/>
    <x v="261"/>
    <x v="2436"/>
    <x v="0"/>
    <x v="40"/>
    <x v="0"/>
  </r>
  <r>
    <x v="40"/>
    <x v="177"/>
    <x v="11"/>
    <x v="11"/>
    <x v="1"/>
    <x v="2"/>
    <x v="47"/>
    <x v="263"/>
    <x v="2437"/>
    <x v="0"/>
    <x v="40"/>
    <x v="0"/>
  </r>
  <r>
    <x v="40"/>
    <x v="179"/>
    <x v="7"/>
    <x v="7"/>
    <x v="1"/>
    <x v="0"/>
    <x v="49"/>
    <x v="265"/>
    <x v="2438"/>
    <x v="0"/>
    <x v="40"/>
    <x v="0"/>
  </r>
  <r>
    <x v="40"/>
    <x v="171"/>
    <x v="7"/>
    <x v="7"/>
    <x v="1"/>
    <x v="0"/>
    <x v="41"/>
    <x v="257"/>
    <x v="2439"/>
    <x v="0"/>
    <x v="40"/>
    <x v="0"/>
  </r>
  <r>
    <x v="40"/>
    <x v="172"/>
    <x v="8"/>
    <x v="8"/>
    <x v="1"/>
    <x v="0"/>
    <x v="42"/>
    <x v="258"/>
    <x v="2440"/>
    <x v="0"/>
    <x v="40"/>
    <x v="0"/>
  </r>
  <r>
    <x v="40"/>
    <x v="173"/>
    <x v="8"/>
    <x v="8"/>
    <x v="1"/>
    <x v="0"/>
    <x v="43"/>
    <x v="259"/>
    <x v="2441"/>
    <x v="0"/>
    <x v="40"/>
    <x v="0"/>
  </r>
  <r>
    <x v="40"/>
    <x v="175"/>
    <x v="9"/>
    <x v="9"/>
    <x v="1"/>
    <x v="0"/>
    <x v="45"/>
    <x v="261"/>
    <x v="2442"/>
    <x v="0"/>
    <x v="40"/>
    <x v="0"/>
  </r>
  <r>
    <x v="40"/>
    <x v="178"/>
    <x v="9"/>
    <x v="9"/>
    <x v="1"/>
    <x v="0"/>
    <x v="48"/>
    <x v="264"/>
    <x v="2443"/>
    <x v="0"/>
    <x v="40"/>
    <x v="0"/>
  </r>
  <r>
    <x v="40"/>
    <x v="180"/>
    <x v="10"/>
    <x v="10"/>
    <x v="1"/>
    <x v="0"/>
    <x v="50"/>
    <x v="266"/>
    <x v="2444"/>
    <x v="0"/>
    <x v="40"/>
    <x v="0"/>
  </r>
  <r>
    <x v="40"/>
    <x v="176"/>
    <x v="10"/>
    <x v="10"/>
    <x v="1"/>
    <x v="0"/>
    <x v="46"/>
    <x v="262"/>
    <x v="2445"/>
    <x v="0"/>
    <x v="40"/>
    <x v="0"/>
  </r>
  <r>
    <x v="40"/>
    <x v="177"/>
    <x v="11"/>
    <x v="11"/>
    <x v="1"/>
    <x v="0"/>
    <x v="47"/>
    <x v="263"/>
    <x v="2446"/>
    <x v="0"/>
    <x v="40"/>
    <x v="0"/>
  </r>
  <r>
    <x v="40"/>
    <x v="181"/>
    <x v="11"/>
    <x v="11"/>
    <x v="1"/>
    <x v="0"/>
    <x v="51"/>
    <x v="267"/>
    <x v="2447"/>
    <x v="0"/>
    <x v="40"/>
    <x v="0"/>
  </r>
  <r>
    <x v="40"/>
    <x v="182"/>
    <x v="2"/>
    <x v="2"/>
    <x v="1"/>
    <x v="0"/>
    <x v="52"/>
    <x v="268"/>
    <x v="2448"/>
    <x v="0"/>
    <x v="40"/>
    <x v="0"/>
  </r>
  <r>
    <x v="40"/>
    <x v="183"/>
    <x v="2"/>
    <x v="2"/>
    <x v="1"/>
    <x v="0"/>
    <x v="53"/>
    <x v="269"/>
    <x v="2449"/>
    <x v="0"/>
    <x v="40"/>
    <x v="0"/>
  </r>
  <r>
    <x v="40"/>
    <x v="184"/>
    <x v="6"/>
    <x v="6"/>
    <x v="1"/>
    <x v="0"/>
    <x v="54"/>
    <x v="270"/>
    <x v="2450"/>
    <x v="0"/>
    <x v="40"/>
    <x v="0"/>
  </r>
  <r>
    <x v="40"/>
    <x v="174"/>
    <x v="6"/>
    <x v="6"/>
    <x v="1"/>
    <x v="0"/>
    <x v="44"/>
    <x v="260"/>
    <x v="2451"/>
    <x v="0"/>
    <x v="40"/>
    <x v="0"/>
  </r>
  <r>
    <x v="40"/>
    <x v="173"/>
    <x v="8"/>
    <x v="8"/>
    <x v="1"/>
    <x v="1"/>
    <x v="43"/>
    <x v="259"/>
    <x v="2452"/>
    <x v="0"/>
    <x v="40"/>
    <x v="0"/>
  </r>
  <r>
    <x v="40"/>
    <x v="175"/>
    <x v="9"/>
    <x v="9"/>
    <x v="1"/>
    <x v="1"/>
    <x v="45"/>
    <x v="261"/>
    <x v="2453"/>
    <x v="0"/>
    <x v="40"/>
    <x v="0"/>
  </r>
  <r>
    <x v="40"/>
    <x v="178"/>
    <x v="9"/>
    <x v="9"/>
    <x v="1"/>
    <x v="1"/>
    <x v="48"/>
    <x v="264"/>
    <x v="2454"/>
    <x v="0"/>
    <x v="40"/>
    <x v="0"/>
  </r>
  <r>
    <x v="40"/>
    <x v="180"/>
    <x v="10"/>
    <x v="10"/>
    <x v="1"/>
    <x v="1"/>
    <x v="50"/>
    <x v="266"/>
    <x v="2455"/>
    <x v="0"/>
    <x v="40"/>
    <x v="0"/>
  </r>
  <r>
    <x v="40"/>
    <x v="176"/>
    <x v="10"/>
    <x v="10"/>
    <x v="1"/>
    <x v="1"/>
    <x v="46"/>
    <x v="262"/>
    <x v="2456"/>
    <x v="0"/>
    <x v="40"/>
    <x v="0"/>
  </r>
  <r>
    <x v="40"/>
    <x v="177"/>
    <x v="11"/>
    <x v="11"/>
    <x v="1"/>
    <x v="1"/>
    <x v="47"/>
    <x v="263"/>
    <x v="2457"/>
    <x v="0"/>
    <x v="40"/>
    <x v="0"/>
  </r>
  <r>
    <x v="40"/>
    <x v="181"/>
    <x v="11"/>
    <x v="11"/>
    <x v="1"/>
    <x v="1"/>
    <x v="51"/>
    <x v="267"/>
    <x v="5"/>
    <x v="0"/>
    <x v="40"/>
    <x v="0"/>
  </r>
  <r>
    <x v="40"/>
    <x v="182"/>
    <x v="2"/>
    <x v="2"/>
    <x v="1"/>
    <x v="1"/>
    <x v="52"/>
    <x v="268"/>
    <x v="2458"/>
    <x v="0"/>
    <x v="40"/>
    <x v="0"/>
  </r>
  <r>
    <x v="40"/>
    <x v="183"/>
    <x v="2"/>
    <x v="2"/>
    <x v="1"/>
    <x v="1"/>
    <x v="53"/>
    <x v="269"/>
    <x v="2459"/>
    <x v="0"/>
    <x v="40"/>
    <x v="0"/>
  </r>
  <r>
    <x v="40"/>
    <x v="184"/>
    <x v="6"/>
    <x v="6"/>
    <x v="1"/>
    <x v="1"/>
    <x v="54"/>
    <x v="270"/>
    <x v="2460"/>
    <x v="0"/>
    <x v="40"/>
    <x v="0"/>
  </r>
  <r>
    <x v="40"/>
    <x v="174"/>
    <x v="6"/>
    <x v="6"/>
    <x v="1"/>
    <x v="1"/>
    <x v="44"/>
    <x v="260"/>
    <x v="2461"/>
    <x v="0"/>
    <x v="40"/>
    <x v="0"/>
  </r>
  <r>
    <x v="41"/>
    <x v="171"/>
    <x v="7"/>
    <x v="7"/>
    <x v="1"/>
    <x v="0"/>
    <x v="41"/>
    <x v="257"/>
    <x v="2462"/>
    <x v="0"/>
    <x v="41"/>
    <x v="0"/>
  </r>
  <r>
    <x v="43"/>
    <x v="171"/>
    <x v="7"/>
    <x v="7"/>
    <x v="1"/>
    <x v="0"/>
    <x v="41"/>
    <x v="257"/>
    <x v="879"/>
    <x v="0"/>
    <x v="43"/>
    <x v="0"/>
  </r>
  <r>
    <x v="43"/>
    <x v="180"/>
    <x v="10"/>
    <x v="10"/>
    <x v="1"/>
    <x v="0"/>
    <x v="50"/>
    <x v="266"/>
    <x v="2463"/>
    <x v="0"/>
    <x v="43"/>
    <x v="0"/>
  </r>
  <r>
    <x v="43"/>
    <x v="176"/>
    <x v="10"/>
    <x v="10"/>
    <x v="1"/>
    <x v="0"/>
    <x v="46"/>
    <x v="262"/>
    <x v="2464"/>
    <x v="0"/>
    <x v="43"/>
    <x v="0"/>
  </r>
  <r>
    <x v="43"/>
    <x v="177"/>
    <x v="11"/>
    <x v="11"/>
    <x v="1"/>
    <x v="0"/>
    <x v="47"/>
    <x v="263"/>
    <x v="2465"/>
    <x v="0"/>
    <x v="43"/>
    <x v="0"/>
  </r>
  <r>
    <x v="43"/>
    <x v="182"/>
    <x v="2"/>
    <x v="2"/>
    <x v="1"/>
    <x v="0"/>
    <x v="52"/>
    <x v="268"/>
    <x v="2466"/>
    <x v="0"/>
    <x v="43"/>
    <x v="0"/>
  </r>
  <r>
    <x v="44"/>
    <x v="184"/>
    <x v="6"/>
    <x v="6"/>
    <x v="1"/>
    <x v="1"/>
    <x v="54"/>
    <x v="270"/>
    <x v="287"/>
    <x v="0"/>
    <x v="44"/>
    <x v="0"/>
  </r>
  <r>
    <x v="45"/>
    <x v="171"/>
    <x v="7"/>
    <x v="7"/>
    <x v="1"/>
    <x v="0"/>
    <x v="41"/>
    <x v="257"/>
    <x v="676"/>
    <x v="0"/>
    <x v="45"/>
    <x v="0"/>
  </r>
  <r>
    <x v="45"/>
    <x v="173"/>
    <x v="8"/>
    <x v="8"/>
    <x v="1"/>
    <x v="0"/>
    <x v="43"/>
    <x v="259"/>
    <x v="2467"/>
    <x v="0"/>
    <x v="45"/>
    <x v="0"/>
  </r>
  <r>
    <x v="45"/>
    <x v="178"/>
    <x v="9"/>
    <x v="9"/>
    <x v="1"/>
    <x v="0"/>
    <x v="48"/>
    <x v="264"/>
    <x v="2468"/>
    <x v="0"/>
    <x v="45"/>
    <x v="0"/>
  </r>
  <r>
    <x v="45"/>
    <x v="180"/>
    <x v="10"/>
    <x v="10"/>
    <x v="1"/>
    <x v="0"/>
    <x v="50"/>
    <x v="266"/>
    <x v="2469"/>
    <x v="0"/>
    <x v="45"/>
    <x v="0"/>
  </r>
  <r>
    <x v="45"/>
    <x v="172"/>
    <x v="8"/>
    <x v="8"/>
    <x v="1"/>
    <x v="1"/>
    <x v="42"/>
    <x v="258"/>
    <x v="2470"/>
    <x v="0"/>
    <x v="45"/>
    <x v="0"/>
  </r>
  <r>
    <x v="45"/>
    <x v="175"/>
    <x v="9"/>
    <x v="9"/>
    <x v="1"/>
    <x v="1"/>
    <x v="45"/>
    <x v="261"/>
    <x v="1505"/>
    <x v="0"/>
    <x v="45"/>
    <x v="0"/>
  </r>
  <r>
    <x v="45"/>
    <x v="180"/>
    <x v="10"/>
    <x v="10"/>
    <x v="1"/>
    <x v="1"/>
    <x v="50"/>
    <x v="266"/>
    <x v="2161"/>
    <x v="0"/>
    <x v="45"/>
    <x v="0"/>
  </r>
  <r>
    <x v="45"/>
    <x v="176"/>
    <x v="10"/>
    <x v="10"/>
    <x v="1"/>
    <x v="1"/>
    <x v="46"/>
    <x v="262"/>
    <x v="2471"/>
    <x v="0"/>
    <x v="45"/>
    <x v="0"/>
  </r>
  <r>
    <x v="45"/>
    <x v="183"/>
    <x v="2"/>
    <x v="2"/>
    <x v="1"/>
    <x v="1"/>
    <x v="53"/>
    <x v="269"/>
    <x v="2472"/>
    <x v="0"/>
    <x v="45"/>
    <x v="0"/>
  </r>
  <r>
    <x v="46"/>
    <x v="180"/>
    <x v="10"/>
    <x v="10"/>
    <x v="1"/>
    <x v="0"/>
    <x v="50"/>
    <x v="266"/>
    <x v="2473"/>
    <x v="0"/>
    <x v="46"/>
    <x v="0"/>
  </r>
  <r>
    <x v="46"/>
    <x v="176"/>
    <x v="10"/>
    <x v="10"/>
    <x v="1"/>
    <x v="0"/>
    <x v="46"/>
    <x v="262"/>
    <x v="1980"/>
    <x v="0"/>
    <x v="46"/>
    <x v="0"/>
  </r>
  <r>
    <x v="46"/>
    <x v="172"/>
    <x v="8"/>
    <x v="8"/>
    <x v="1"/>
    <x v="1"/>
    <x v="42"/>
    <x v="258"/>
    <x v="2474"/>
    <x v="0"/>
    <x v="46"/>
    <x v="0"/>
  </r>
  <r>
    <x v="46"/>
    <x v="173"/>
    <x v="8"/>
    <x v="8"/>
    <x v="1"/>
    <x v="1"/>
    <x v="43"/>
    <x v="259"/>
    <x v="384"/>
    <x v="0"/>
    <x v="46"/>
    <x v="0"/>
  </r>
  <r>
    <x v="47"/>
    <x v="175"/>
    <x v="9"/>
    <x v="9"/>
    <x v="1"/>
    <x v="2"/>
    <x v="45"/>
    <x v="261"/>
    <x v="2475"/>
    <x v="0"/>
    <x v="47"/>
    <x v="0"/>
  </r>
  <r>
    <x v="47"/>
    <x v="178"/>
    <x v="9"/>
    <x v="9"/>
    <x v="1"/>
    <x v="2"/>
    <x v="48"/>
    <x v="264"/>
    <x v="2476"/>
    <x v="0"/>
    <x v="47"/>
    <x v="0"/>
  </r>
  <r>
    <x v="47"/>
    <x v="180"/>
    <x v="10"/>
    <x v="10"/>
    <x v="1"/>
    <x v="2"/>
    <x v="50"/>
    <x v="266"/>
    <x v="2477"/>
    <x v="0"/>
    <x v="47"/>
    <x v="0"/>
  </r>
  <r>
    <x v="47"/>
    <x v="176"/>
    <x v="10"/>
    <x v="10"/>
    <x v="1"/>
    <x v="2"/>
    <x v="46"/>
    <x v="262"/>
    <x v="2478"/>
    <x v="0"/>
    <x v="47"/>
    <x v="0"/>
  </r>
  <r>
    <x v="47"/>
    <x v="177"/>
    <x v="11"/>
    <x v="11"/>
    <x v="1"/>
    <x v="2"/>
    <x v="47"/>
    <x v="263"/>
    <x v="2479"/>
    <x v="0"/>
    <x v="47"/>
    <x v="0"/>
  </r>
  <r>
    <x v="47"/>
    <x v="183"/>
    <x v="2"/>
    <x v="2"/>
    <x v="1"/>
    <x v="2"/>
    <x v="53"/>
    <x v="269"/>
    <x v="2480"/>
    <x v="0"/>
    <x v="47"/>
    <x v="0"/>
  </r>
  <r>
    <x v="47"/>
    <x v="184"/>
    <x v="6"/>
    <x v="6"/>
    <x v="1"/>
    <x v="2"/>
    <x v="54"/>
    <x v="270"/>
    <x v="2481"/>
    <x v="0"/>
    <x v="47"/>
    <x v="0"/>
  </r>
  <r>
    <x v="47"/>
    <x v="174"/>
    <x v="6"/>
    <x v="6"/>
    <x v="1"/>
    <x v="2"/>
    <x v="44"/>
    <x v="260"/>
    <x v="2474"/>
    <x v="0"/>
    <x v="47"/>
    <x v="0"/>
  </r>
  <r>
    <x v="47"/>
    <x v="179"/>
    <x v="7"/>
    <x v="7"/>
    <x v="1"/>
    <x v="0"/>
    <x v="49"/>
    <x v="265"/>
    <x v="2482"/>
    <x v="0"/>
    <x v="47"/>
    <x v="0"/>
  </r>
  <r>
    <x v="47"/>
    <x v="171"/>
    <x v="7"/>
    <x v="7"/>
    <x v="1"/>
    <x v="0"/>
    <x v="41"/>
    <x v="257"/>
    <x v="2483"/>
    <x v="0"/>
    <x v="47"/>
    <x v="0"/>
  </r>
  <r>
    <x v="47"/>
    <x v="172"/>
    <x v="8"/>
    <x v="8"/>
    <x v="1"/>
    <x v="0"/>
    <x v="42"/>
    <x v="258"/>
    <x v="2484"/>
    <x v="0"/>
    <x v="47"/>
    <x v="0"/>
  </r>
  <r>
    <x v="47"/>
    <x v="173"/>
    <x v="8"/>
    <x v="8"/>
    <x v="1"/>
    <x v="0"/>
    <x v="43"/>
    <x v="259"/>
    <x v="2485"/>
    <x v="0"/>
    <x v="47"/>
    <x v="0"/>
  </r>
  <r>
    <x v="47"/>
    <x v="175"/>
    <x v="9"/>
    <x v="9"/>
    <x v="1"/>
    <x v="0"/>
    <x v="45"/>
    <x v="261"/>
    <x v="2486"/>
    <x v="0"/>
    <x v="47"/>
    <x v="0"/>
  </r>
  <r>
    <x v="47"/>
    <x v="178"/>
    <x v="9"/>
    <x v="9"/>
    <x v="1"/>
    <x v="0"/>
    <x v="48"/>
    <x v="264"/>
    <x v="2487"/>
    <x v="0"/>
    <x v="47"/>
    <x v="0"/>
  </r>
  <r>
    <x v="47"/>
    <x v="180"/>
    <x v="10"/>
    <x v="10"/>
    <x v="1"/>
    <x v="0"/>
    <x v="50"/>
    <x v="266"/>
    <x v="2488"/>
    <x v="0"/>
    <x v="47"/>
    <x v="0"/>
  </r>
  <r>
    <x v="47"/>
    <x v="176"/>
    <x v="10"/>
    <x v="10"/>
    <x v="1"/>
    <x v="0"/>
    <x v="46"/>
    <x v="262"/>
    <x v="2489"/>
    <x v="0"/>
    <x v="47"/>
    <x v="0"/>
  </r>
  <r>
    <x v="47"/>
    <x v="177"/>
    <x v="11"/>
    <x v="11"/>
    <x v="1"/>
    <x v="0"/>
    <x v="47"/>
    <x v="263"/>
    <x v="2490"/>
    <x v="0"/>
    <x v="47"/>
    <x v="0"/>
  </r>
  <r>
    <x v="47"/>
    <x v="181"/>
    <x v="11"/>
    <x v="11"/>
    <x v="1"/>
    <x v="0"/>
    <x v="51"/>
    <x v="267"/>
    <x v="2491"/>
    <x v="0"/>
    <x v="47"/>
    <x v="0"/>
  </r>
  <r>
    <x v="47"/>
    <x v="182"/>
    <x v="2"/>
    <x v="2"/>
    <x v="1"/>
    <x v="0"/>
    <x v="52"/>
    <x v="268"/>
    <x v="2492"/>
    <x v="0"/>
    <x v="47"/>
    <x v="0"/>
  </r>
  <r>
    <x v="47"/>
    <x v="183"/>
    <x v="2"/>
    <x v="2"/>
    <x v="1"/>
    <x v="0"/>
    <x v="53"/>
    <x v="269"/>
    <x v="2493"/>
    <x v="0"/>
    <x v="47"/>
    <x v="0"/>
  </r>
  <r>
    <x v="47"/>
    <x v="184"/>
    <x v="6"/>
    <x v="6"/>
    <x v="1"/>
    <x v="0"/>
    <x v="54"/>
    <x v="270"/>
    <x v="2494"/>
    <x v="0"/>
    <x v="47"/>
    <x v="0"/>
  </r>
  <r>
    <x v="47"/>
    <x v="174"/>
    <x v="6"/>
    <x v="6"/>
    <x v="1"/>
    <x v="0"/>
    <x v="44"/>
    <x v="260"/>
    <x v="2495"/>
    <x v="0"/>
    <x v="47"/>
    <x v="0"/>
  </r>
  <r>
    <x v="47"/>
    <x v="171"/>
    <x v="7"/>
    <x v="7"/>
    <x v="1"/>
    <x v="1"/>
    <x v="41"/>
    <x v="257"/>
    <x v="2496"/>
    <x v="0"/>
    <x v="47"/>
    <x v="0"/>
  </r>
  <r>
    <x v="47"/>
    <x v="172"/>
    <x v="8"/>
    <x v="8"/>
    <x v="1"/>
    <x v="1"/>
    <x v="42"/>
    <x v="258"/>
    <x v="2497"/>
    <x v="0"/>
    <x v="47"/>
    <x v="0"/>
  </r>
  <r>
    <x v="47"/>
    <x v="173"/>
    <x v="8"/>
    <x v="8"/>
    <x v="1"/>
    <x v="1"/>
    <x v="43"/>
    <x v="259"/>
    <x v="2498"/>
    <x v="0"/>
    <x v="47"/>
    <x v="0"/>
  </r>
  <r>
    <x v="47"/>
    <x v="175"/>
    <x v="9"/>
    <x v="9"/>
    <x v="1"/>
    <x v="1"/>
    <x v="45"/>
    <x v="261"/>
    <x v="2499"/>
    <x v="0"/>
    <x v="47"/>
    <x v="0"/>
  </r>
  <r>
    <x v="47"/>
    <x v="178"/>
    <x v="9"/>
    <x v="9"/>
    <x v="1"/>
    <x v="1"/>
    <x v="48"/>
    <x v="264"/>
    <x v="2500"/>
    <x v="0"/>
    <x v="47"/>
    <x v="0"/>
  </r>
  <r>
    <x v="47"/>
    <x v="180"/>
    <x v="10"/>
    <x v="10"/>
    <x v="1"/>
    <x v="1"/>
    <x v="50"/>
    <x v="266"/>
    <x v="2501"/>
    <x v="0"/>
    <x v="47"/>
    <x v="0"/>
  </r>
  <r>
    <x v="47"/>
    <x v="176"/>
    <x v="10"/>
    <x v="10"/>
    <x v="1"/>
    <x v="1"/>
    <x v="46"/>
    <x v="262"/>
    <x v="2502"/>
    <x v="0"/>
    <x v="47"/>
    <x v="0"/>
  </r>
  <r>
    <x v="47"/>
    <x v="177"/>
    <x v="11"/>
    <x v="11"/>
    <x v="1"/>
    <x v="1"/>
    <x v="47"/>
    <x v="263"/>
    <x v="2503"/>
    <x v="0"/>
    <x v="47"/>
    <x v="0"/>
  </r>
  <r>
    <x v="47"/>
    <x v="181"/>
    <x v="11"/>
    <x v="11"/>
    <x v="1"/>
    <x v="1"/>
    <x v="51"/>
    <x v="267"/>
    <x v="2504"/>
    <x v="0"/>
    <x v="47"/>
    <x v="0"/>
  </r>
  <r>
    <x v="47"/>
    <x v="182"/>
    <x v="2"/>
    <x v="2"/>
    <x v="1"/>
    <x v="1"/>
    <x v="52"/>
    <x v="268"/>
    <x v="2505"/>
    <x v="0"/>
    <x v="47"/>
    <x v="0"/>
  </r>
  <r>
    <x v="47"/>
    <x v="183"/>
    <x v="2"/>
    <x v="2"/>
    <x v="1"/>
    <x v="1"/>
    <x v="53"/>
    <x v="269"/>
    <x v="2506"/>
    <x v="0"/>
    <x v="47"/>
    <x v="0"/>
  </r>
  <r>
    <x v="47"/>
    <x v="184"/>
    <x v="6"/>
    <x v="6"/>
    <x v="1"/>
    <x v="1"/>
    <x v="54"/>
    <x v="270"/>
    <x v="2507"/>
    <x v="0"/>
    <x v="47"/>
    <x v="0"/>
  </r>
  <r>
    <x v="47"/>
    <x v="174"/>
    <x v="6"/>
    <x v="6"/>
    <x v="1"/>
    <x v="1"/>
    <x v="44"/>
    <x v="260"/>
    <x v="2508"/>
    <x v="0"/>
    <x v="47"/>
    <x v="0"/>
  </r>
  <r>
    <x v="48"/>
    <x v="171"/>
    <x v="7"/>
    <x v="7"/>
    <x v="1"/>
    <x v="0"/>
    <x v="41"/>
    <x v="257"/>
    <x v="2509"/>
    <x v="0"/>
    <x v="48"/>
    <x v="0"/>
  </r>
  <r>
    <x v="48"/>
    <x v="178"/>
    <x v="9"/>
    <x v="9"/>
    <x v="1"/>
    <x v="1"/>
    <x v="48"/>
    <x v="264"/>
    <x v="2510"/>
    <x v="0"/>
    <x v="48"/>
    <x v="0"/>
  </r>
  <r>
    <x v="48"/>
    <x v="181"/>
    <x v="11"/>
    <x v="11"/>
    <x v="1"/>
    <x v="1"/>
    <x v="51"/>
    <x v="267"/>
    <x v="2511"/>
    <x v="0"/>
    <x v="48"/>
    <x v="0"/>
  </r>
  <r>
    <x v="49"/>
    <x v="175"/>
    <x v="9"/>
    <x v="9"/>
    <x v="1"/>
    <x v="0"/>
    <x v="45"/>
    <x v="261"/>
    <x v="2123"/>
    <x v="0"/>
    <x v="49"/>
    <x v="0"/>
  </r>
  <r>
    <x v="49"/>
    <x v="180"/>
    <x v="10"/>
    <x v="10"/>
    <x v="1"/>
    <x v="0"/>
    <x v="50"/>
    <x v="266"/>
    <x v="361"/>
    <x v="0"/>
    <x v="49"/>
    <x v="0"/>
  </r>
  <r>
    <x v="49"/>
    <x v="176"/>
    <x v="10"/>
    <x v="10"/>
    <x v="1"/>
    <x v="0"/>
    <x v="46"/>
    <x v="262"/>
    <x v="2512"/>
    <x v="0"/>
    <x v="49"/>
    <x v="0"/>
  </r>
  <r>
    <x v="49"/>
    <x v="177"/>
    <x v="11"/>
    <x v="11"/>
    <x v="1"/>
    <x v="1"/>
    <x v="47"/>
    <x v="263"/>
    <x v="2513"/>
    <x v="0"/>
    <x v="49"/>
    <x v="0"/>
  </r>
  <r>
    <x v="50"/>
    <x v="179"/>
    <x v="7"/>
    <x v="7"/>
    <x v="1"/>
    <x v="0"/>
    <x v="49"/>
    <x v="265"/>
    <x v="2514"/>
    <x v="0"/>
    <x v="50"/>
    <x v="0"/>
  </r>
  <r>
    <x v="50"/>
    <x v="171"/>
    <x v="7"/>
    <x v="7"/>
    <x v="1"/>
    <x v="0"/>
    <x v="41"/>
    <x v="257"/>
    <x v="2515"/>
    <x v="0"/>
    <x v="50"/>
    <x v="0"/>
  </r>
  <r>
    <x v="50"/>
    <x v="180"/>
    <x v="10"/>
    <x v="10"/>
    <x v="1"/>
    <x v="0"/>
    <x v="50"/>
    <x v="266"/>
    <x v="2516"/>
    <x v="0"/>
    <x v="50"/>
    <x v="0"/>
  </r>
  <r>
    <x v="50"/>
    <x v="176"/>
    <x v="10"/>
    <x v="10"/>
    <x v="1"/>
    <x v="0"/>
    <x v="46"/>
    <x v="262"/>
    <x v="2517"/>
    <x v="0"/>
    <x v="50"/>
    <x v="0"/>
  </r>
  <r>
    <x v="50"/>
    <x v="177"/>
    <x v="11"/>
    <x v="11"/>
    <x v="1"/>
    <x v="0"/>
    <x v="47"/>
    <x v="263"/>
    <x v="2518"/>
    <x v="0"/>
    <x v="50"/>
    <x v="0"/>
  </r>
  <r>
    <x v="51"/>
    <x v="178"/>
    <x v="9"/>
    <x v="9"/>
    <x v="1"/>
    <x v="2"/>
    <x v="48"/>
    <x v="264"/>
    <x v="2519"/>
    <x v="0"/>
    <x v="51"/>
    <x v="0"/>
  </r>
  <r>
    <x v="51"/>
    <x v="180"/>
    <x v="10"/>
    <x v="10"/>
    <x v="1"/>
    <x v="0"/>
    <x v="50"/>
    <x v="266"/>
    <x v="490"/>
    <x v="0"/>
    <x v="51"/>
    <x v="0"/>
  </r>
  <r>
    <x v="51"/>
    <x v="176"/>
    <x v="10"/>
    <x v="10"/>
    <x v="1"/>
    <x v="0"/>
    <x v="46"/>
    <x v="262"/>
    <x v="2520"/>
    <x v="0"/>
    <x v="51"/>
    <x v="0"/>
  </r>
  <r>
    <x v="51"/>
    <x v="184"/>
    <x v="6"/>
    <x v="6"/>
    <x v="1"/>
    <x v="0"/>
    <x v="54"/>
    <x v="270"/>
    <x v="2521"/>
    <x v="0"/>
    <x v="51"/>
    <x v="0"/>
  </r>
  <r>
    <x v="51"/>
    <x v="184"/>
    <x v="6"/>
    <x v="6"/>
    <x v="1"/>
    <x v="1"/>
    <x v="54"/>
    <x v="270"/>
    <x v="2522"/>
    <x v="0"/>
    <x v="51"/>
    <x v="0"/>
  </r>
  <r>
    <x v="52"/>
    <x v="171"/>
    <x v="7"/>
    <x v="7"/>
    <x v="1"/>
    <x v="0"/>
    <x v="41"/>
    <x v="257"/>
    <x v="1431"/>
    <x v="0"/>
    <x v="52"/>
    <x v="0"/>
  </r>
  <r>
    <x v="52"/>
    <x v="181"/>
    <x v="11"/>
    <x v="11"/>
    <x v="1"/>
    <x v="0"/>
    <x v="51"/>
    <x v="267"/>
    <x v="2523"/>
    <x v="0"/>
    <x v="52"/>
    <x v="0"/>
  </r>
  <r>
    <x v="52"/>
    <x v="174"/>
    <x v="6"/>
    <x v="6"/>
    <x v="1"/>
    <x v="0"/>
    <x v="44"/>
    <x v="260"/>
    <x v="841"/>
    <x v="0"/>
    <x v="52"/>
    <x v="0"/>
  </r>
  <r>
    <x v="53"/>
    <x v="179"/>
    <x v="7"/>
    <x v="7"/>
    <x v="1"/>
    <x v="0"/>
    <x v="49"/>
    <x v="265"/>
    <x v="2524"/>
    <x v="0"/>
    <x v="53"/>
    <x v="0"/>
  </r>
  <r>
    <x v="53"/>
    <x v="171"/>
    <x v="7"/>
    <x v="7"/>
    <x v="1"/>
    <x v="0"/>
    <x v="41"/>
    <x v="257"/>
    <x v="2525"/>
    <x v="0"/>
    <x v="53"/>
    <x v="0"/>
  </r>
  <r>
    <x v="53"/>
    <x v="172"/>
    <x v="8"/>
    <x v="8"/>
    <x v="1"/>
    <x v="0"/>
    <x v="42"/>
    <x v="258"/>
    <x v="2526"/>
    <x v="0"/>
    <x v="53"/>
    <x v="0"/>
  </r>
  <r>
    <x v="53"/>
    <x v="173"/>
    <x v="8"/>
    <x v="8"/>
    <x v="1"/>
    <x v="0"/>
    <x v="43"/>
    <x v="259"/>
    <x v="2527"/>
    <x v="0"/>
    <x v="53"/>
    <x v="0"/>
  </r>
  <r>
    <x v="53"/>
    <x v="175"/>
    <x v="9"/>
    <x v="9"/>
    <x v="1"/>
    <x v="0"/>
    <x v="45"/>
    <x v="261"/>
    <x v="2528"/>
    <x v="0"/>
    <x v="53"/>
    <x v="0"/>
  </r>
  <r>
    <x v="53"/>
    <x v="178"/>
    <x v="9"/>
    <x v="9"/>
    <x v="1"/>
    <x v="0"/>
    <x v="48"/>
    <x v="264"/>
    <x v="2529"/>
    <x v="0"/>
    <x v="53"/>
    <x v="0"/>
  </r>
  <r>
    <x v="53"/>
    <x v="180"/>
    <x v="10"/>
    <x v="10"/>
    <x v="1"/>
    <x v="0"/>
    <x v="50"/>
    <x v="266"/>
    <x v="2530"/>
    <x v="0"/>
    <x v="53"/>
    <x v="0"/>
  </r>
  <r>
    <x v="53"/>
    <x v="176"/>
    <x v="10"/>
    <x v="10"/>
    <x v="1"/>
    <x v="0"/>
    <x v="46"/>
    <x v="262"/>
    <x v="1230"/>
    <x v="0"/>
    <x v="53"/>
    <x v="0"/>
  </r>
  <r>
    <x v="53"/>
    <x v="177"/>
    <x v="11"/>
    <x v="11"/>
    <x v="1"/>
    <x v="0"/>
    <x v="47"/>
    <x v="263"/>
    <x v="2531"/>
    <x v="0"/>
    <x v="53"/>
    <x v="0"/>
  </r>
  <r>
    <x v="53"/>
    <x v="181"/>
    <x v="11"/>
    <x v="11"/>
    <x v="1"/>
    <x v="0"/>
    <x v="51"/>
    <x v="267"/>
    <x v="2532"/>
    <x v="0"/>
    <x v="53"/>
    <x v="0"/>
  </r>
  <r>
    <x v="53"/>
    <x v="182"/>
    <x v="2"/>
    <x v="2"/>
    <x v="1"/>
    <x v="0"/>
    <x v="52"/>
    <x v="268"/>
    <x v="2533"/>
    <x v="0"/>
    <x v="53"/>
    <x v="0"/>
  </r>
  <r>
    <x v="53"/>
    <x v="183"/>
    <x v="2"/>
    <x v="2"/>
    <x v="1"/>
    <x v="0"/>
    <x v="53"/>
    <x v="269"/>
    <x v="2534"/>
    <x v="0"/>
    <x v="53"/>
    <x v="0"/>
  </r>
  <r>
    <x v="53"/>
    <x v="184"/>
    <x v="6"/>
    <x v="6"/>
    <x v="1"/>
    <x v="0"/>
    <x v="54"/>
    <x v="270"/>
    <x v="2535"/>
    <x v="0"/>
    <x v="53"/>
    <x v="0"/>
  </r>
  <r>
    <x v="53"/>
    <x v="174"/>
    <x v="6"/>
    <x v="6"/>
    <x v="1"/>
    <x v="0"/>
    <x v="44"/>
    <x v="260"/>
    <x v="2536"/>
    <x v="0"/>
    <x v="53"/>
    <x v="0"/>
  </r>
  <r>
    <x v="54"/>
    <x v="172"/>
    <x v="8"/>
    <x v="8"/>
    <x v="1"/>
    <x v="2"/>
    <x v="42"/>
    <x v="258"/>
    <x v="2537"/>
    <x v="0"/>
    <x v="54"/>
    <x v="0"/>
  </r>
  <r>
    <x v="54"/>
    <x v="171"/>
    <x v="7"/>
    <x v="7"/>
    <x v="1"/>
    <x v="0"/>
    <x v="41"/>
    <x v="257"/>
    <x v="2538"/>
    <x v="0"/>
    <x v="54"/>
    <x v="0"/>
  </r>
  <r>
    <x v="55"/>
    <x v="176"/>
    <x v="10"/>
    <x v="10"/>
    <x v="1"/>
    <x v="3"/>
    <x v="46"/>
    <x v="262"/>
    <x v="2539"/>
    <x v="0"/>
    <x v="55"/>
    <x v="0"/>
  </r>
  <r>
    <x v="55"/>
    <x v="177"/>
    <x v="11"/>
    <x v="11"/>
    <x v="1"/>
    <x v="3"/>
    <x v="47"/>
    <x v="263"/>
    <x v="2540"/>
    <x v="0"/>
    <x v="55"/>
    <x v="0"/>
  </r>
  <r>
    <x v="55"/>
    <x v="179"/>
    <x v="7"/>
    <x v="7"/>
    <x v="1"/>
    <x v="4"/>
    <x v="49"/>
    <x v="265"/>
    <x v="2541"/>
    <x v="0"/>
    <x v="55"/>
    <x v="0"/>
  </r>
  <r>
    <x v="55"/>
    <x v="171"/>
    <x v="7"/>
    <x v="7"/>
    <x v="1"/>
    <x v="4"/>
    <x v="41"/>
    <x v="257"/>
    <x v="2542"/>
    <x v="0"/>
    <x v="55"/>
    <x v="0"/>
  </r>
  <r>
    <x v="55"/>
    <x v="172"/>
    <x v="8"/>
    <x v="8"/>
    <x v="1"/>
    <x v="4"/>
    <x v="42"/>
    <x v="258"/>
    <x v="2543"/>
    <x v="0"/>
    <x v="55"/>
    <x v="0"/>
  </r>
  <r>
    <x v="55"/>
    <x v="175"/>
    <x v="9"/>
    <x v="9"/>
    <x v="1"/>
    <x v="4"/>
    <x v="45"/>
    <x v="261"/>
    <x v="2544"/>
    <x v="0"/>
    <x v="55"/>
    <x v="0"/>
  </r>
  <r>
    <x v="55"/>
    <x v="178"/>
    <x v="9"/>
    <x v="9"/>
    <x v="1"/>
    <x v="4"/>
    <x v="48"/>
    <x v="264"/>
    <x v="2545"/>
    <x v="0"/>
    <x v="55"/>
    <x v="0"/>
  </r>
  <r>
    <x v="55"/>
    <x v="176"/>
    <x v="10"/>
    <x v="10"/>
    <x v="1"/>
    <x v="4"/>
    <x v="46"/>
    <x v="262"/>
    <x v="2546"/>
    <x v="0"/>
    <x v="55"/>
    <x v="0"/>
  </r>
  <r>
    <x v="55"/>
    <x v="177"/>
    <x v="11"/>
    <x v="11"/>
    <x v="1"/>
    <x v="4"/>
    <x v="47"/>
    <x v="263"/>
    <x v="2547"/>
    <x v="0"/>
    <x v="55"/>
    <x v="0"/>
  </r>
  <r>
    <x v="55"/>
    <x v="181"/>
    <x v="11"/>
    <x v="11"/>
    <x v="1"/>
    <x v="4"/>
    <x v="51"/>
    <x v="267"/>
    <x v="2548"/>
    <x v="0"/>
    <x v="55"/>
    <x v="0"/>
  </r>
  <r>
    <x v="55"/>
    <x v="182"/>
    <x v="2"/>
    <x v="2"/>
    <x v="1"/>
    <x v="4"/>
    <x v="52"/>
    <x v="268"/>
    <x v="2549"/>
    <x v="0"/>
    <x v="55"/>
    <x v="0"/>
  </r>
  <r>
    <x v="55"/>
    <x v="183"/>
    <x v="2"/>
    <x v="2"/>
    <x v="1"/>
    <x v="4"/>
    <x v="53"/>
    <x v="269"/>
    <x v="2550"/>
    <x v="0"/>
    <x v="55"/>
    <x v="0"/>
  </r>
  <r>
    <x v="55"/>
    <x v="184"/>
    <x v="6"/>
    <x v="6"/>
    <x v="1"/>
    <x v="4"/>
    <x v="54"/>
    <x v="270"/>
    <x v="2551"/>
    <x v="0"/>
    <x v="55"/>
    <x v="0"/>
  </r>
  <r>
    <x v="55"/>
    <x v="174"/>
    <x v="6"/>
    <x v="6"/>
    <x v="1"/>
    <x v="4"/>
    <x v="44"/>
    <x v="260"/>
    <x v="2552"/>
    <x v="0"/>
    <x v="55"/>
    <x v="0"/>
  </r>
  <r>
    <x v="55"/>
    <x v="177"/>
    <x v="11"/>
    <x v="11"/>
    <x v="1"/>
    <x v="5"/>
    <x v="47"/>
    <x v="263"/>
    <x v="2553"/>
    <x v="0"/>
    <x v="55"/>
    <x v="0"/>
  </r>
  <r>
    <x v="55"/>
    <x v="171"/>
    <x v="7"/>
    <x v="7"/>
    <x v="1"/>
    <x v="6"/>
    <x v="41"/>
    <x v="257"/>
    <x v="2554"/>
    <x v="0"/>
    <x v="55"/>
    <x v="0"/>
  </r>
  <r>
    <x v="55"/>
    <x v="172"/>
    <x v="8"/>
    <x v="8"/>
    <x v="1"/>
    <x v="6"/>
    <x v="42"/>
    <x v="258"/>
    <x v="2555"/>
    <x v="0"/>
    <x v="55"/>
    <x v="0"/>
  </r>
  <r>
    <x v="55"/>
    <x v="178"/>
    <x v="9"/>
    <x v="9"/>
    <x v="1"/>
    <x v="6"/>
    <x v="48"/>
    <x v="264"/>
    <x v="2556"/>
    <x v="0"/>
    <x v="55"/>
    <x v="0"/>
  </r>
  <r>
    <x v="55"/>
    <x v="180"/>
    <x v="10"/>
    <x v="10"/>
    <x v="1"/>
    <x v="6"/>
    <x v="50"/>
    <x v="266"/>
    <x v="2557"/>
    <x v="0"/>
    <x v="55"/>
    <x v="0"/>
  </r>
  <r>
    <x v="55"/>
    <x v="176"/>
    <x v="10"/>
    <x v="10"/>
    <x v="1"/>
    <x v="6"/>
    <x v="46"/>
    <x v="262"/>
    <x v="2558"/>
    <x v="0"/>
    <x v="55"/>
    <x v="0"/>
  </r>
  <r>
    <x v="55"/>
    <x v="189"/>
    <x v="10"/>
    <x v="10"/>
    <x v="1"/>
    <x v="6"/>
    <x v="56"/>
    <x v="275"/>
    <x v="2559"/>
    <x v="0"/>
    <x v="55"/>
    <x v="0"/>
  </r>
  <r>
    <x v="55"/>
    <x v="177"/>
    <x v="11"/>
    <x v="11"/>
    <x v="1"/>
    <x v="6"/>
    <x v="47"/>
    <x v="263"/>
    <x v="2560"/>
    <x v="0"/>
    <x v="55"/>
    <x v="0"/>
  </r>
  <r>
    <x v="55"/>
    <x v="183"/>
    <x v="2"/>
    <x v="2"/>
    <x v="1"/>
    <x v="6"/>
    <x v="53"/>
    <x v="269"/>
    <x v="2561"/>
    <x v="0"/>
    <x v="55"/>
    <x v="0"/>
  </r>
  <r>
    <x v="55"/>
    <x v="184"/>
    <x v="6"/>
    <x v="6"/>
    <x v="1"/>
    <x v="6"/>
    <x v="54"/>
    <x v="270"/>
    <x v="51"/>
    <x v="0"/>
    <x v="55"/>
    <x v="0"/>
  </r>
  <r>
    <x v="55"/>
    <x v="174"/>
    <x v="6"/>
    <x v="6"/>
    <x v="1"/>
    <x v="6"/>
    <x v="44"/>
    <x v="260"/>
    <x v="2562"/>
    <x v="0"/>
    <x v="55"/>
    <x v="0"/>
  </r>
  <r>
    <x v="55"/>
    <x v="179"/>
    <x v="7"/>
    <x v="7"/>
    <x v="1"/>
    <x v="7"/>
    <x v="49"/>
    <x v="265"/>
    <x v="2563"/>
    <x v="0"/>
    <x v="55"/>
    <x v="0"/>
  </r>
  <r>
    <x v="55"/>
    <x v="171"/>
    <x v="7"/>
    <x v="7"/>
    <x v="1"/>
    <x v="7"/>
    <x v="41"/>
    <x v="257"/>
    <x v="2564"/>
    <x v="0"/>
    <x v="55"/>
    <x v="0"/>
  </r>
  <r>
    <x v="55"/>
    <x v="172"/>
    <x v="8"/>
    <x v="8"/>
    <x v="1"/>
    <x v="7"/>
    <x v="42"/>
    <x v="258"/>
    <x v="2565"/>
    <x v="0"/>
    <x v="55"/>
    <x v="0"/>
  </r>
  <r>
    <x v="55"/>
    <x v="173"/>
    <x v="8"/>
    <x v="8"/>
    <x v="1"/>
    <x v="7"/>
    <x v="43"/>
    <x v="259"/>
    <x v="2566"/>
    <x v="0"/>
    <x v="55"/>
    <x v="0"/>
  </r>
  <r>
    <x v="55"/>
    <x v="180"/>
    <x v="10"/>
    <x v="10"/>
    <x v="1"/>
    <x v="7"/>
    <x v="50"/>
    <x v="266"/>
    <x v="2567"/>
    <x v="0"/>
    <x v="55"/>
    <x v="0"/>
  </r>
  <r>
    <x v="55"/>
    <x v="176"/>
    <x v="10"/>
    <x v="10"/>
    <x v="1"/>
    <x v="7"/>
    <x v="46"/>
    <x v="262"/>
    <x v="2568"/>
    <x v="0"/>
    <x v="55"/>
    <x v="0"/>
  </r>
  <r>
    <x v="55"/>
    <x v="177"/>
    <x v="11"/>
    <x v="11"/>
    <x v="1"/>
    <x v="7"/>
    <x v="47"/>
    <x v="263"/>
    <x v="2569"/>
    <x v="0"/>
    <x v="55"/>
    <x v="0"/>
  </r>
  <r>
    <x v="55"/>
    <x v="182"/>
    <x v="2"/>
    <x v="2"/>
    <x v="1"/>
    <x v="7"/>
    <x v="52"/>
    <x v="268"/>
    <x v="2570"/>
    <x v="0"/>
    <x v="55"/>
    <x v="0"/>
  </r>
  <r>
    <x v="55"/>
    <x v="180"/>
    <x v="10"/>
    <x v="10"/>
    <x v="1"/>
    <x v="8"/>
    <x v="50"/>
    <x v="266"/>
    <x v="2571"/>
    <x v="0"/>
    <x v="55"/>
    <x v="0"/>
  </r>
  <r>
    <x v="55"/>
    <x v="182"/>
    <x v="2"/>
    <x v="2"/>
    <x v="1"/>
    <x v="8"/>
    <x v="52"/>
    <x v="268"/>
    <x v="2572"/>
    <x v="0"/>
    <x v="55"/>
    <x v="0"/>
  </r>
  <r>
    <x v="55"/>
    <x v="184"/>
    <x v="6"/>
    <x v="6"/>
    <x v="1"/>
    <x v="8"/>
    <x v="54"/>
    <x v="270"/>
    <x v="2573"/>
    <x v="0"/>
    <x v="55"/>
    <x v="0"/>
  </r>
  <r>
    <x v="55"/>
    <x v="174"/>
    <x v="6"/>
    <x v="6"/>
    <x v="1"/>
    <x v="8"/>
    <x v="44"/>
    <x v="260"/>
    <x v="2574"/>
    <x v="0"/>
    <x v="55"/>
    <x v="0"/>
  </r>
  <r>
    <x v="55"/>
    <x v="190"/>
    <x v="6"/>
    <x v="6"/>
    <x v="1"/>
    <x v="8"/>
    <x v="58"/>
    <x v="276"/>
    <x v="2575"/>
    <x v="0"/>
    <x v="55"/>
    <x v="0"/>
  </r>
  <r>
    <x v="55"/>
    <x v="191"/>
    <x v="6"/>
    <x v="6"/>
    <x v="1"/>
    <x v="8"/>
    <x v="58"/>
    <x v="277"/>
    <x v="26"/>
    <x v="0"/>
    <x v="55"/>
    <x v="0"/>
  </r>
  <r>
    <x v="55"/>
    <x v="173"/>
    <x v="8"/>
    <x v="8"/>
    <x v="1"/>
    <x v="9"/>
    <x v="43"/>
    <x v="259"/>
    <x v="2576"/>
    <x v="0"/>
    <x v="55"/>
    <x v="0"/>
  </r>
  <r>
    <x v="55"/>
    <x v="179"/>
    <x v="7"/>
    <x v="7"/>
    <x v="1"/>
    <x v="10"/>
    <x v="49"/>
    <x v="265"/>
    <x v="2577"/>
    <x v="0"/>
    <x v="55"/>
    <x v="0"/>
  </r>
  <r>
    <x v="55"/>
    <x v="172"/>
    <x v="8"/>
    <x v="8"/>
    <x v="1"/>
    <x v="10"/>
    <x v="42"/>
    <x v="258"/>
    <x v="2578"/>
    <x v="0"/>
    <x v="55"/>
    <x v="0"/>
  </r>
  <r>
    <x v="55"/>
    <x v="173"/>
    <x v="8"/>
    <x v="8"/>
    <x v="1"/>
    <x v="10"/>
    <x v="43"/>
    <x v="259"/>
    <x v="2579"/>
    <x v="0"/>
    <x v="55"/>
    <x v="0"/>
  </r>
  <r>
    <x v="55"/>
    <x v="180"/>
    <x v="10"/>
    <x v="10"/>
    <x v="1"/>
    <x v="10"/>
    <x v="50"/>
    <x v="266"/>
    <x v="2467"/>
    <x v="0"/>
    <x v="55"/>
    <x v="0"/>
  </r>
  <r>
    <x v="55"/>
    <x v="177"/>
    <x v="11"/>
    <x v="11"/>
    <x v="1"/>
    <x v="10"/>
    <x v="47"/>
    <x v="263"/>
    <x v="2580"/>
    <x v="0"/>
    <x v="55"/>
    <x v="0"/>
  </r>
  <r>
    <x v="55"/>
    <x v="181"/>
    <x v="11"/>
    <x v="11"/>
    <x v="1"/>
    <x v="10"/>
    <x v="51"/>
    <x v="267"/>
    <x v="2581"/>
    <x v="0"/>
    <x v="55"/>
    <x v="0"/>
  </r>
  <r>
    <x v="55"/>
    <x v="183"/>
    <x v="2"/>
    <x v="2"/>
    <x v="1"/>
    <x v="10"/>
    <x v="53"/>
    <x v="269"/>
    <x v="2582"/>
    <x v="0"/>
    <x v="55"/>
    <x v="0"/>
  </r>
  <r>
    <x v="55"/>
    <x v="184"/>
    <x v="6"/>
    <x v="6"/>
    <x v="1"/>
    <x v="10"/>
    <x v="54"/>
    <x v="270"/>
    <x v="2583"/>
    <x v="0"/>
    <x v="55"/>
    <x v="0"/>
  </r>
  <r>
    <x v="55"/>
    <x v="174"/>
    <x v="6"/>
    <x v="6"/>
    <x v="1"/>
    <x v="10"/>
    <x v="44"/>
    <x v="260"/>
    <x v="2584"/>
    <x v="0"/>
    <x v="55"/>
    <x v="0"/>
  </r>
  <r>
    <x v="55"/>
    <x v="179"/>
    <x v="7"/>
    <x v="7"/>
    <x v="1"/>
    <x v="11"/>
    <x v="49"/>
    <x v="265"/>
    <x v="2585"/>
    <x v="0"/>
    <x v="55"/>
    <x v="0"/>
  </r>
  <r>
    <x v="55"/>
    <x v="171"/>
    <x v="7"/>
    <x v="7"/>
    <x v="1"/>
    <x v="11"/>
    <x v="41"/>
    <x v="257"/>
    <x v="2586"/>
    <x v="0"/>
    <x v="55"/>
    <x v="0"/>
  </r>
  <r>
    <x v="55"/>
    <x v="192"/>
    <x v="8"/>
    <x v="8"/>
    <x v="1"/>
    <x v="11"/>
    <x v="55"/>
    <x v="278"/>
    <x v="2587"/>
    <x v="0"/>
    <x v="55"/>
    <x v="0"/>
  </r>
  <r>
    <x v="55"/>
    <x v="172"/>
    <x v="8"/>
    <x v="8"/>
    <x v="1"/>
    <x v="11"/>
    <x v="42"/>
    <x v="258"/>
    <x v="2588"/>
    <x v="0"/>
    <x v="55"/>
    <x v="0"/>
  </r>
  <r>
    <x v="55"/>
    <x v="173"/>
    <x v="8"/>
    <x v="8"/>
    <x v="1"/>
    <x v="11"/>
    <x v="43"/>
    <x v="259"/>
    <x v="2589"/>
    <x v="0"/>
    <x v="55"/>
    <x v="0"/>
  </r>
  <r>
    <x v="55"/>
    <x v="175"/>
    <x v="9"/>
    <x v="9"/>
    <x v="1"/>
    <x v="11"/>
    <x v="45"/>
    <x v="261"/>
    <x v="2590"/>
    <x v="0"/>
    <x v="55"/>
    <x v="0"/>
  </r>
  <r>
    <x v="55"/>
    <x v="178"/>
    <x v="9"/>
    <x v="9"/>
    <x v="1"/>
    <x v="11"/>
    <x v="48"/>
    <x v="264"/>
    <x v="2591"/>
    <x v="0"/>
    <x v="55"/>
    <x v="0"/>
  </r>
  <r>
    <x v="55"/>
    <x v="180"/>
    <x v="10"/>
    <x v="10"/>
    <x v="1"/>
    <x v="11"/>
    <x v="50"/>
    <x v="266"/>
    <x v="2592"/>
    <x v="0"/>
    <x v="55"/>
    <x v="0"/>
  </r>
  <r>
    <x v="55"/>
    <x v="186"/>
    <x v="10"/>
    <x v="10"/>
    <x v="1"/>
    <x v="11"/>
    <x v="56"/>
    <x v="272"/>
    <x v="2593"/>
    <x v="0"/>
    <x v="55"/>
    <x v="0"/>
  </r>
  <r>
    <x v="55"/>
    <x v="176"/>
    <x v="10"/>
    <x v="10"/>
    <x v="1"/>
    <x v="11"/>
    <x v="46"/>
    <x v="262"/>
    <x v="2594"/>
    <x v="0"/>
    <x v="55"/>
    <x v="0"/>
  </r>
  <r>
    <x v="55"/>
    <x v="177"/>
    <x v="11"/>
    <x v="11"/>
    <x v="1"/>
    <x v="11"/>
    <x v="47"/>
    <x v="263"/>
    <x v="2595"/>
    <x v="0"/>
    <x v="55"/>
    <x v="0"/>
  </r>
  <r>
    <x v="55"/>
    <x v="193"/>
    <x v="11"/>
    <x v="11"/>
    <x v="1"/>
    <x v="11"/>
    <x v="57"/>
    <x v="279"/>
    <x v="2596"/>
    <x v="0"/>
    <x v="55"/>
    <x v="0"/>
  </r>
  <r>
    <x v="55"/>
    <x v="181"/>
    <x v="11"/>
    <x v="11"/>
    <x v="1"/>
    <x v="11"/>
    <x v="51"/>
    <x v="267"/>
    <x v="2597"/>
    <x v="0"/>
    <x v="55"/>
    <x v="0"/>
  </r>
  <r>
    <x v="55"/>
    <x v="182"/>
    <x v="2"/>
    <x v="2"/>
    <x v="1"/>
    <x v="11"/>
    <x v="52"/>
    <x v="268"/>
    <x v="2598"/>
    <x v="0"/>
    <x v="55"/>
    <x v="0"/>
  </r>
  <r>
    <x v="55"/>
    <x v="183"/>
    <x v="2"/>
    <x v="2"/>
    <x v="1"/>
    <x v="11"/>
    <x v="53"/>
    <x v="269"/>
    <x v="2599"/>
    <x v="0"/>
    <x v="55"/>
    <x v="0"/>
  </r>
  <r>
    <x v="55"/>
    <x v="184"/>
    <x v="6"/>
    <x v="6"/>
    <x v="1"/>
    <x v="11"/>
    <x v="54"/>
    <x v="270"/>
    <x v="2600"/>
    <x v="0"/>
    <x v="55"/>
    <x v="0"/>
  </r>
  <r>
    <x v="55"/>
    <x v="174"/>
    <x v="6"/>
    <x v="6"/>
    <x v="1"/>
    <x v="11"/>
    <x v="44"/>
    <x v="260"/>
    <x v="2601"/>
    <x v="0"/>
    <x v="55"/>
    <x v="0"/>
  </r>
  <r>
    <x v="55"/>
    <x v="178"/>
    <x v="9"/>
    <x v="9"/>
    <x v="1"/>
    <x v="13"/>
    <x v="48"/>
    <x v="264"/>
    <x v="2602"/>
    <x v="0"/>
    <x v="55"/>
    <x v="0"/>
  </r>
  <r>
    <x v="55"/>
    <x v="180"/>
    <x v="10"/>
    <x v="10"/>
    <x v="1"/>
    <x v="13"/>
    <x v="50"/>
    <x v="266"/>
    <x v="2603"/>
    <x v="0"/>
    <x v="55"/>
    <x v="0"/>
  </r>
  <r>
    <x v="55"/>
    <x v="181"/>
    <x v="11"/>
    <x v="11"/>
    <x v="1"/>
    <x v="13"/>
    <x v="51"/>
    <x v="267"/>
    <x v="2604"/>
    <x v="0"/>
    <x v="55"/>
    <x v="0"/>
  </r>
  <r>
    <x v="55"/>
    <x v="183"/>
    <x v="2"/>
    <x v="2"/>
    <x v="1"/>
    <x v="13"/>
    <x v="53"/>
    <x v="269"/>
    <x v="2605"/>
    <x v="0"/>
    <x v="55"/>
    <x v="0"/>
  </r>
  <r>
    <x v="55"/>
    <x v="179"/>
    <x v="7"/>
    <x v="7"/>
    <x v="1"/>
    <x v="14"/>
    <x v="49"/>
    <x v="265"/>
    <x v="2606"/>
    <x v="0"/>
    <x v="55"/>
    <x v="0"/>
  </r>
  <r>
    <x v="55"/>
    <x v="171"/>
    <x v="7"/>
    <x v="7"/>
    <x v="1"/>
    <x v="14"/>
    <x v="41"/>
    <x v="257"/>
    <x v="2607"/>
    <x v="0"/>
    <x v="55"/>
    <x v="0"/>
  </r>
  <r>
    <x v="55"/>
    <x v="172"/>
    <x v="8"/>
    <x v="8"/>
    <x v="1"/>
    <x v="14"/>
    <x v="42"/>
    <x v="258"/>
    <x v="2608"/>
    <x v="0"/>
    <x v="55"/>
    <x v="0"/>
  </r>
  <r>
    <x v="55"/>
    <x v="173"/>
    <x v="8"/>
    <x v="8"/>
    <x v="1"/>
    <x v="14"/>
    <x v="43"/>
    <x v="259"/>
    <x v="2609"/>
    <x v="0"/>
    <x v="55"/>
    <x v="0"/>
  </r>
  <r>
    <x v="55"/>
    <x v="175"/>
    <x v="9"/>
    <x v="9"/>
    <x v="1"/>
    <x v="14"/>
    <x v="45"/>
    <x v="261"/>
    <x v="2610"/>
    <x v="0"/>
    <x v="55"/>
    <x v="0"/>
  </r>
  <r>
    <x v="55"/>
    <x v="178"/>
    <x v="9"/>
    <x v="9"/>
    <x v="1"/>
    <x v="14"/>
    <x v="48"/>
    <x v="264"/>
    <x v="2611"/>
    <x v="0"/>
    <x v="55"/>
    <x v="0"/>
  </r>
  <r>
    <x v="55"/>
    <x v="180"/>
    <x v="10"/>
    <x v="10"/>
    <x v="1"/>
    <x v="14"/>
    <x v="50"/>
    <x v="266"/>
    <x v="2533"/>
    <x v="0"/>
    <x v="55"/>
    <x v="0"/>
  </r>
  <r>
    <x v="55"/>
    <x v="176"/>
    <x v="10"/>
    <x v="10"/>
    <x v="1"/>
    <x v="14"/>
    <x v="46"/>
    <x v="262"/>
    <x v="2612"/>
    <x v="0"/>
    <x v="55"/>
    <x v="0"/>
  </r>
  <r>
    <x v="55"/>
    <x v="177"/>
    <x v="11"/>
    <x v="11"/>
    <x v="1"/>
    <x v="14"/>
    <x v="47"/>
    <x v="263"/>
    <x v="2613"/>
    <x v="0"/>
    <x v="55"/>
    <x v="0"/>
  </r>
  <r>
    <x v="55"/>
    <x v="181"/>
    <x v="11"/>
    <x v="11"/>
    <x v="1"/>
    <x v="14"/>
    <x v="51"/>
    <x v="267"/>
    <x v="2614"/>
    <x v="0"/>
    <x v="55"/>
    <x v="0"/>
  </r>
  <r>
    <x v="55"/>
    <x v="182"/>
    <x v="2"/>
    <x v="2"/>
    <x v="1"/>
    <x v="14"/>
    <x v="52"/>
    <x v="268"/>
    <x v="2615"/>
    <x v="0"/>
    <x v="55"/>
    <x v="0"/>
  </r>
  <r>
    <x v="55"/>
    <x v="183"/>
    <x v="2"/>
    <x v="2"/>
    <x v="1"/>
    <x v="14"/>
    <x v="53"/>
    <x v="269"/>
    <x v="2616"/>
    <x v="0"/>
    <x v="55"/>
    <x v="0"/>
  </r>
  <r>
    <x v="55"/>
    <x v="184"/>
    <x v="6"/>
    <x v="6"/>
    <x v="1"/>
    <x v="14"/>
    <x v="54"/>
    <x v="270"/>
    <x v="2617"/>
    <x v="0"/>
    <x v="55"/>
    <x v="0"/>
  </r>
  <r>
    <x v="55"/>
    <x v="174"/>
    <x v="6"/>
    <x v="6"/>
    <x v="1"/>
    <x v="14"/>
    <x v="44"/>
    <x v="260"/>
    <x v="2618"/>
    <x v="0"/>
    <x v="55"/>
    <x v="0"/>
  </r>
  <r>
    <x v="55"/>
    <x v="179"/>
    <x v="7"/>
    <x v="7"/>
    <x v="1"/>
    <x v="15"/>
    <x v="49"/>
    <x v="265"/>
    <x v="2619"/>
    <x v="0"/>
    <x v="55"/>
    <x v="0"/>
  </r>
  <r>
    <x v="55"/>
    <x v="172"/>
    <x v="8"/>
    <x v="8"/>
    <x v="1"/>
    <x v="15"/>
    <x v="42"/>
    <x v="258"/>
    <x v="2620"/>
    <x v="0"/>
    <x v="55"/>
    <x v="0"/>
  </r>
  <r>
    <x v="55"/>
    <x v="173"/>
    <x v="8"/>
    <x v="8"/>
    <x v="1"/>
    <x v="15"/>
    <x v="43"/>
    <x v="259"/>
    <x v="2621"/>
    <x v="0"/>
    <x v="55"/>
    <x v="0"/>
  </r>
  <r>
    <x v="55"/>
    <x v="175"/>
    <x v="9"/>
    <x v="9"/>
    <x v="1"/>
    <x v="15"/>
    <x v="45"/>
    <x v="261"/>
    <x v="2622"/>
    <x v="0"/>
    <x v="55"/>
    <x v="0"/>
  </r>
  <r>
    <x v="55"/>
    <x v="194"/>
    <x v="9"/>
    <x v="9"/>
    <x v="1"/>
    <x v="15"/>
    <x v="59"/>
    <x v="280"/>
    <x v="2623"/>
    <x v="0"/>
    <x v="55"/>
    <x v="0"/>
  </r>
  <r>
    <x v="55"/>
    <x v="180"/>
    <x v="10"/>
    <x v="10"/>
    <x v="1"/>
    <x v="15"/>
    <x v="50"/>
    <x v="266"/>
    <x v="2624"/>
    <x v="0"/>
    <x v="55"/>
    <x v="0"/>
  </r>
  <r>
    <x v="55"/>
    <x v="176"/>
    <x v="10"/>
    <x v="10"/>
    <x v="1"/>
    <x v="15"/>
    <x v="46"/>
    <x v="262"/>
    <x v="2625"/>
    <x v="0"/>
    <x v="55"/>
    <x v="0"/>
  </r>
  <r>
    <x v="55"/>
    <x v="177"/>
    <x v="11"/>
    <x v="11"/>
    <x v="1"/>
    <x v="15"/>
    <x v="47"/>
    <x v="263"/>
    <x v="2626"/>
    <x v="0"/>
    <x v="55"/>
    <x v="0"/>
  </r>
  <r>
    <x v="55"/>
    <x v="182"/>
    <x v="2"/>
    <x v="2"/>
    <x v="1"/>
    <x v="15"/>
    <x v="52"/>
    <x v="268"/>
    <x v="2627"/>
    <x v="0"/>
    <x v="55"/>
    <x v="0"/>
  </r>
  <r>
    <x v="55"/>
    <x v="183"/>
    <x v="2"/>
    <x v="2"/>
    <x v="1"/>
    <x v="15"/>
    <x v="53"/>
    <x v="269"/>
    <x v="2628"/>
    <x v="0"/>
    <x v="55"/>
    <x v="0"/>
  </r>
  <r>
    <x v="55"/>
    <x v="184"/>
    <x v="6"/>
    <x v="6"/>
    <x v="1"/>
    <x v="15"/>
    <x v="54"/>
    <x v="270"/>
    <x v="2629"/>
    <x v="0"/>
    <x v="55"/>
    <x v="0"/>
  </r>
  <r>
    <x v="55"/>
    <x v="179"/>
    <x v="7"/>
    <x v="7"/>
    <x v="1"/>
    <x v="18"/>
    <x v="49"/>
    <x v="265"/>
    <x v="2630"/>
    <x v="0"/>
    <x v="55"/>
    <x v="0"/>
  </r>
  <r>
    <x v="55"/>
    <x v="172"/>
    <x v="8"/>
    <x v="8"/>
    <x v="1"/>
    <x v="18"/>
    <x v="42"/>
    <x v="258"/>
    <x v="2631"/>
    <x v="0"/>
    <x v="55"/>
    <x v="0"/>
  </r>
  <r>
    <x v="55"/>
    <x v="175"/>
    <x v="9"/>
    <x v="9"/>
    <x v="1"/>
    <x v="18"/>
    <x v="45"/>
    <x v="261"/>
    <x v="1957"/>
    <x v="0"/>
    <x v="55"/>
    <x v="0"/>
  </r>
  <r>
    <x v="55"/>
    <x v="178"/>
    <x v="9"/>
    <x v="9"/>
    <x v="1"/>
    <x v="18"/>
    <x v="48"/>
    <x v="264"/>
    <x v="2632"/>
    <x v="0"/>
    <x v="55"/>
    <x v="0"/>
  </r>
  <r>
    <x v="55"/>
    <x v="176"/>
    <x v="10"/>
    <x v="10"/>
    <x v="1"/>
    <x v="18"/>
    <x v="46"/>
    <x v="262"/>
    <x v="2633"/>
    <x v="0"/>
    <x v="55"/>
    <x v="0"/>
  </r>
  <r>
    <x v="55"/>
    <x v="182"/>
    <x v="2"/>
    <x v="2"/>
    <x v="1"/>
    <x v="18"/>
    <x v="52"/>
    <x v="268"/>
    <x v="2634"/>
    <x v="0"/>
    <x v="55"/>
    <x v="0"/>
  </r>
  <r>
    <x v="56"/>
    <x v="171"/>
    <x v="7"/>
    <x v="7"/>
    <x v="1"/>
    <x v="2"/>
    <x v="41"/>
    <x v="257"/>
    <x v="2635"/>
    <x v="0"/>
    <x v="56"/>
    <x v="0"/>
  </r>
  <r>
    <x v="56"/>
    <x v="172"/>
    <x v="8"/>
    <x v="8"/>
    <x v="1"/>
    <x v="2"/>
    <x v="42"/>
    <x v="258"/>
    <x v="2636"/>
    <x v="0"/>
    <x v="56"/>
    <x v="0"/>
  </r>
  <r>
    <x v="56"/>
    <x v="180"/>
    <x v="10"/>
    <x v="10"/>
    <x v="1"/>
    <x v="2"/>
    <x v="50"/>
    <x v="266"/>
    <x v="2637"/>
    <x v="0"/>
    <x v="56"/>
    <x v="0"/>
  </r>
  <r>
    <x v="56"/>
    <x v="181"/>
    <x v="11"/>
    <x v="11"/>
    <x v="1"/>
    <x v="2"/>
    <x v="51"/>
    <x v="267"/>
    <x v="2638"/>
    <x v="0"/>
    <x v="56"/>
    <x v="0"/>
  </r>
  <r>
    <x v="56"/>
    <x v="182"/>
    <x v="2"/>
    <x v="2"/>
    <x v="1"/>
    <x v="2"/>
    <x v="52"/>
    <x v="268"/>
    <x v="2639"/>
    <x v="0"/>
    <x v="56"/>
    <x v="0"/>
  </r>
  <r>
    <x v="56"/>
    <x v="179"/>
    <x v="7"/>
    <x v="7"/>
    <x v="1"/>
    <x v="0"/>
    <x v="49"/>
    <x v="265"/>
    <x v="2640"/>
    <x v="0"/>
    <x v="56"/>
    <x v="0"/>
  </r>
  <r>
    <x v="56"/>
    <x v="171"/>
    <x v="7"/>
    <x v="7"/>
    <x v="1"/>
    <x v="0"/>
    <x v="41"/>
    <x v="257"/>
    <x v="2641"/>
    <x v="0"/>
    <x v="56"/>
    <x v="0"/>
  </r>
  <r>
    <x v="56"/>
    <x v="172"/>
    <x v="8"/>
    <x v="8"/>
    <x v="1"/>
    <x v="0"/>
    <x v="42"/>
    <x v="258"/>
    <x v="2642"/>
    <x v="0"/>
    <x v="56"/>
    <x v="0"/>
  </r>
  <r>
    <x v="56"/>
    <x v="173"/>
    <x v="8"/>
    <x v="8"/>
    <x v="1"/>
    <x v="0"/>
    <x v="43"/>
    <x v="259"/>
    <x v="2643"/>
    <x v="0"/>
    <x v="56"/>
    <x v="0"/>
  </r>
  <r>
    <x v="56"/>
    <x v="175"/>
    <x v="9"/>
    <x v="9"/>
    <x v="1"/>
    <x v="0"/>
    <x v="45"/>
    <x v="261"/>
    <x v="2644"/>
    <x v="0"/>
    <x v="56"/>
    <x v="0"/>
  </r>
  <r>
    <x v="56"/>
    <x v="178"/>
    <x v="9"/>
    <x v="9"/>
    <x v="1"/>
    <x v="0"/>
    <x v="48"/>
    <x v="264"/>
    <x v="2645"/>
    <x v="0"/>
    <x v="56"/>
    <x v="0"/>
  </r>
  <r>
    <x v="56"/>
    <x v="180"/>
    <x v="10"/>
    <x v="10"/>
    <x v="1"/>
    <x v="0"/>
    <x v="50"/>
    <x v="266"/>
    <x v="2646"/>
    <x v="0"/>
    <x v="56"/>
    <x v="0"/>
  </r>
  <r>
    <x v="56"/>
    <x v="176"/>
    <x v="10"/>
    <x v="10"/>
    <x v="1"/>
    <x v="0"/>
    <x v="46"/>
    <x v="262"/>
    <x v="2647"/>
    <x v="0"/>
    <x v="56"/>
    <x v="0"/>
  </r>
  <r>
    <x v="56"/>
    <x v="177"/>
    <x v="11"/>
    <x v="11"/>
    <x v="1"/>
    <x v="0"/>
    <x v="47"/>
    <x v="263"/>
    <x v="2648"/>
    <x v="0"/>
    <x v="56"/>
    <x v="0"/>
  </r>
  <r>
    <x v="56"/>
    <x v="181"/>
    <x v="11"/>
    <x v="11"/>
    <x v="1"/>
    <x v="0"/>
    <x v="51"/>
    <x v="267"/>
    <x v="476"/>
    <x v="0"/>
    <x v="56"/>
    <x v="0"/>
  </r>
  <r>
    <x v="56"/>
    <x v="182"/>
    <x v="2"/>
    <x v="2"/>
    <x v="1"/>
    <x v="0"/>
    <x v="52"/>
    <x v="268"/>
    <x v="753"/>
    <x v="0"/>
    <x v="56"/>
    <x v="0"/>
  </r>
  <r>
    <x v="56"/>
    <x v="183"/>
    <x v="2"/>
    <x v="2"/>
    <x v="1"/>
    <x v="0"/>
    <x v="53"/>
    <x v="269"/>
    <x v="2649"/>
    <x v="0"/>
    <x v="56"/>
    <x v="0"/>
  </r>
  <r>
    <x v="56"/>
    <x v="184"/>
    <x v="6"/>
    <x v="6"/>
    <x v="1"/>
    <x v="0"/>
    <x v="54"/>
    <x v="270"/>
    <x v="2650"/>
    <x v="0"/>
    <x v="56"/>
    <x v="0"/>
  </r>
  <r>
    <x v="56"/>
    <x v="174"/>
    <x v="6"/>
    <x v="6"/>
    <x v="1"/>
    <x v="0"/>
    <x v="44"/>
    <x v="260"/>
    <x v="2651"/>
    <x v="0"/>
    <x v="56"/>
    <x v="0"/>
  </r>
  <r>
    <x v="56"/>
    <x v="179"/>
    <x v="7"/>
    <x v="7"/>
    <x v="1"/>
    <x v="1"/>
    <x v="49"/>
    <x v="265"/>
    <x v="2652"/>
    <x v="0"/>
    <x v="56"/>
    <x v="0"/>
  </r>
  <r>
    <x v="56"/>
    <x v="171"/>
    <x v="7"/>
    <x v="7"/>
    <x v="1"/>
    <x v="1"/>
    <x v="41"/>
    <x v="257"/>
    <x v="1436"/>
    <x v="0"/>
    <x v="56"/>
    <x v="0"/>
  </r>
  <r>
    <x v="56"/>
    <x v="172"/>
    <x v="8"/>
    <x v="8"/>
    <x v="1"/>
    <x v="1"/>
    <x v="42"/>
    <x v="258"/>
    <x v="2653"/>
    <x v="0"/>
    <x v="56"/>
    <x v="0"/>
  </r>
  <r>
    <x v="56"/>
    <x v="173"/>
    <x v="8"/>
    <x v="8"/>
    <x v="1"/>
    <x v="1"/>
    <x v="43"/>
    <x v="259"/>
    <x v="2654"/>
    <x v="0"/>
    <x v="56"/>
    <x v="0"/>
  </r>
  <r>
    <x v="56"/>
    <x v="176"/>
    <x v="10"/>
    <x v="10"/>
    <x v="1"/>
    <x v="1"/>
    <x v="46"/>
    <x v="262"/>
    <x v="678"/>
    <x v="0"/>
    <x v="56"/>
    <x v="0"/>
  </r>
  <r>
    <x v="56"/>
    <x v="177"/>
    <x v="11"/>
    <x v="11"/>
    <x v="1"/>
    <x v="1"/>
    <x v="47"/>
    <x v="263"/>
    <x v="2655"/>
    <x v="0"/>
    <x v="56"/>
    <x v="0"/>
  </r>
  <r>
    <x v="56"/>
    <x v="181"/>
    <x v="11"/>
    <x v="11"/>
    <x v="1"/>
    <x v="1"/>
    <x v="51"/>
    <x v="267"/>
    <x v="1445"/>
    <x v="0"/>
    <x v="56"/>
    <x v="0"/>
  </r>
  <r>
    <x v="56"/>
    <x v="183"/>
    <x v="2"/>
    <x v="2"/>
    <x v="1"/>
    <x v="1"/>
    <x v="53"/>
    <x v="269"/>
    <x v="2656"/>
    <x v="0"/>
    <x v="56"/>
    <x v="0"/>
  </r>
  <r>
    <x v="57"/>
    <x v="175"/>
    <x v="9"/>
    <x v="9"/>
    <x v="1"/>
    <x v="2"/>
    <x v="45"/>
    <x v="261"/>
    <x v="2657"/>
    <x v="0"/>
    <x v="57"/>
    <x v="0"/>
  </r>
  <r>
    <x v="57"/>
    <x v="182"/>
    <x v="2"/>
    <x v="2"/>
    <x v="1"/>
    <x v="2"/>
    <x v="52"/>
    <x v="268"/>
    <x v="2658"/>
    <x v="0"/>
    <x v="57"/>
    <x v="0"/>
  </r>
  <r>
    <x v="57"/>
    <x v="183"/>
    <x v="2"/>
    <x v="2"/>
    <x v="1"/>
    <x v="2"/>
    <x v="53"/>
    <x v="269"/>
    <x v="2659"/>
    <x v="0"/>
    <x v="57"/>
    <x v="0"/>
  </r>
  <r>
    <x v="57"/>
    <x v="179"/>
    <x v="7"/>
    <x v="7"/>
    <x v="1"/>
    <x v="0"/>
    <x v="49"/>
    <x v="265"/>
    <x v="2660"/>
    <x v="0"/>
    <x v="57"/>
    <x v="0"/>
  </r>
  <r>
    <x v="57"/>
    <x v="171"/>
    <x v="7"/>
    <x v="7"/>
    <x v="1"/>
    <x v="0"/>
    <x v="41"/>
    <x v="257"/>
    <x v="2661"/>
    <x v="0"/>
    <x v="57"/>
    <x v="0"/>
  </r>
  <r>
    <x v="57"/>
    <x v="172"/>
    <x v="8"/>
    <x v="8"/>
    <x v="1"/>
    <x v="0"/>
    <x v="42"/>
    <x v="258"/>
    <x v="2662"/>
    <x v="0"/>
    <x v="57"/>
    <x v="0"/>
  </r>
  <r>
    <x v="57"/>
    <x v="173"/>
    <x v="8"/>
    <x v="8"/>
    <x v="1"/>
    <x v="0"/>
    <x v="43"/>
    <x v="259"/>
    <x v="2663"/>
    <x v="0"/>
    <x v="57"/>
    <x v="0"/>
  </r>
  <r>
    <x v="57"/>
    <x v="175"/>
    <x v="9"/>
    <x v="9"/>
    <x v="1"/>
    <x v="0"/>
    <x v="45"/>
    <x v="261"/>
    <x v="2664"/>
    <x v="0"/>
    <x v="57"/>
    <x v="0"/>
  </r>
  <r>
    <x v="57"/>
    <x v="178"/>
    <x v="9"/>
    <x v="9"/>
    <x v="1"/>
    <x v="0"/>
    <x v="48"/>
    <x v="264"/>
    <x v="2665"/>
    <x v="0"/>
    <x v="57"/>
    <x v="0"/>
  </r>
  <r>
    <x v="57"/>
    <x v="180"/>
    <x v="10"/>
    <x v="10"/>
    <x v="1"/>
    <x v="0"/>
    <x v="50"/>
    <x v="266"/>
    <x v="2666"/>
    <x v="0"/>
    <x v="57"/>
    <x v="0"/>
  </r>
  <r>
    <x v="57"/>
    <x v="176"/>
    <x v="10"/>
    <x v="10"/>
    <x v="1"/>
    <x v="0"/>
    <x v="46"/>
    <x v="262"/>
    <x v="2667"/>
    <x v="0"/>
    <x v="57"/>
    <x v="0"/>
  </r>
  <r>
    <x v="57"/>
    <x v="177"/>
    <x v="11"/>
    <x v="11"/>
    <x v="1"/>
    <x v="0"/>
    <x v="47"/>
    <x v="263"/>
    <x v="2668"/>
    <x v="0"/>
    <x v="57"/>
    <x v="0"/>
  </r>
  <r>
    <x v="57"/>
    <x v="181"/>
    <x v="11"/>
    <x v="11"/>
    <x v="1"/>
    <x v="0"/>
    <x v="51"/>
    <x v="267"/>
    <x v="2669"/>
    <x v="0"/>
    <x v="57"/>
    <x v="0"/>
  </r>
  <r>
    <x v="57"/>
    <x v="182"/>
    <x v="2"/>
    <x v="2"/>
    <x v="1"/>
    <x v="0"/>
    <x v="52"/>
    <x v="268"/>
    <x v="2670"/>
    <x v="0"/>
    <x v="57"/>
    <x v="0"/>
  </r>
  <r>
    <x v="57"/>
    <x v="183"/>
    <x v="2"/>
    <x v="2"/>
    <x v="1"/>
    <x v="0"/>
    <x v="53"/>
    <x v="269"/>
    <x v="2671"/>
    <x v="0"/>
    <x v="57"/>
    <x v="0"/>
  </r>
  <r>
    <x v="57"/>
    <x v="184"/>
    <x v="6"/>
    <x v="6"/>
    <x v="1"/>
    <x v="0"/>
    <x v="54"/>
    <x v="270"/>
    <x v="2672"/>
    <x v="0"/>
    <x v="57"/>
    <x v="0"/>
  </r>
  <r>
    <x v="57"/>
    <x v="174"/>
    <x v="6"/>
    <x v="6"/>
    <x v="1"/>
    <x v="0"/>
    <x v="44"/>
    <x v="260"/>
    <x v="2673"/>
    <x v="0"/>
    <x v="57"/>
    <x v="0"/>
  </r>
  <r>
    <x v="57"/>
    <x v="182"/>
    <x v="2"/>
    <x v="2"/>
    <x v="1"/>
    <x v="1"/>
    <x v="52"/>
    <x v="268"/>
    <x v="527"/>
    <x v="0"/>
    <x v="57"/>
    <x v="0"/>
  </r>
  <r>
    <x v="58"/>
    <x v="175"/>
    <x v="9"/>
    <x v="9"/>
    <x v="1"/>
    <x v="0"/>
    <x v="45"/>
    <x v="261"/>
    <x v="2674"/>
    <x v="0"/>
    <x v="58"/>
    <x v="0"/>
  </r>
  <r>
    <x v="60"/>
    <x v="179"/>
    <x v="7"/>
    <x v="7"/>
    <x v="1"/>
    <x v="0"/>
    <x v="49"/>
    <x v="265"/>
    <x v="2509"/>
    <x v="0"/>
    <x v="60"/>
    <x v="0"/>
  </r>
  <r>
    <x v="60"/>
    <x v="171"/>
    <x v="7"/>
    <x v="7"/>
    <x v="1"/>
    <x v="0"/>
    <x v="41"/>
    <x v="257"/>
    <x v="2675"/>
    <x v="0"/>
    <x v="60"/>
    <x v="0"/>
  </r>
  <r>
    <x v="60"/>
    <x v="180"/>
    <x v="10"/>
    <x v="10"/>
    <x v="1"/>
    <x v="0"/>
    <x v="50"/>
    <x v="266"/>
    <x v="2676"/>
    <x v="0"/>
    <x v="60"/>
    <x v="0"/>
  </r>
  <r>
    <x v="60"/>
    <x v="176"/>
    <x v="10"/>
    <x v="10"/>
    <x v="1"/>
    <x v="0"/>
    <x v="46"/>
    <x v="262"/>
    <x v="2677"/>
    <x v="0"/>
    <x v="60"/>
    <x v="0"/>
  </r>
  <r>
    <x v="61"/>
    <x v="172"/>
    <x v="8"/>
    <x v="8"/>
    <x v="1"/>
    <x v="0"/>
    <x v="42"/>
    <x v="258"/>
    <x v="2678"/>
    <x v="0"/>
    <x v="61"/>
    <x v="0"/>
  </r>
  <r>
    <x v="61"/>
    <x v="176"/>
    <x v="10"/>
    <x v="10"/>
    <x v="1"/>
    <x v="0"/>
    <x v="46"/>
    <x v="262"/>
    <x v="2679"/>
    <x v="0"/>
    <x v="61"/>
    <x v="0"/>
  </r>
  <r>
    <x v="61"/>
    <x v="177"/>
    <x v="11"/>
    <x v="11"/>
    <x v="1"/>
    <x v="0"/>
    <x v="47"/>
    <x v="263"/>
    <x v="2680"/>
    <x v="0"/>
    <x v="61"/>
    <x v="0"/>
  </r>
  <r>
    <x v="61"/>
    <x v="177"/>
    <x v="11"/>
    <x v="11"/>
    <x v="1"/>
    <x v="1"/>
    <x v="47"/>
    <x v="263"/>
    <x v="2681"/>
    <x v="0"/>
    <x v="61"/>
    <x v="0"/>
  </r>
  <r>
    <x v="63"/>
    <x v="171"/>
    <x v="7"/>
    <x v="7"/>
    <x v="1"/>
    <x v="0"/>
    <x v="41"/>
    <x v="257"/>
    <x v="2682"/>
    <x v="0"/>
    <x v="63"/>
    <x v="0"/>
  </r>
  <r>
    <x v="63"/>
    <x v="172"/>
    <x v="8"/>
    <x v="8"/>
    <x v="1"/>
    <x v="0"/>
    <x v="42"/>
    <x v="258"/>
    <x v="2683"/>
    <x v="0"/>
    <x v="63"/>
    <x v="0"/>
  </r>
  <r>
    <x v="63"/>
    <x v="180"/>
    <x v="10"/>
    <x v="10"/>
    <x v="1"/>
    <x v="0"/>
    <x v="50"/>
    <x v="266"/>
    <x v="2684"/>
    <x v="0"/>
    <x v="63"/>
    <x v="0"/>
  </r>
  <r>
    <x v="63"/>
    <x v="176"/>
    <x v="10"/>
    <x v="10"/>
    <x v="1"/>
    <x v="0"/>
    <x v="46"/>
    <x v="262"/>
    <x v="2685"/>
    <x v="0"/>
    <x v="63"/>
    <x v="0"/>
  </r>
  <r>
    <x v="63"/>
    <x v="182"/>
    <x v="2"/>
    <x v="2"/>
    <x v="1"/>
    <x v="0"/>
    <x v="52"/>
    <x v="268"/>
    <x v="2686"/>
    <x v="0"/>
    <x v="63"/>
    <x v="0"/>
  </r>
  <r>
    <x v="63"/>
    <x v="183"/>
    <x v="2"/>
    <x v="2"/>
    <x v="1"/>
    <x v="0"/>
    <x v="53"/>
    <x v="269"/>
    <x v="2687"/>
    <x v="0"/>
    <x v="63"/>
    <x v="0"/>
  </r>
  <r>
    <x v="63"/>
    <x v="184"/>
    <x v="6"/>
    <x v="6"/>
    <x v="1"/>
    <x v="0"/>
    <x v="54"/>
    <x v="270"/>
    <x v="2688"/>
    <x v="0"/>
    <x v="63"/>
    <x v="0"/>
  </r>
  <r>
    <x v="63"/>
    <x v="174"/>
    <x v="6"/>
    <x v="6"/>
    <x v="1"/>
    <x v="0"/>
    <x v="44"/>
    <x v="260"/>
    <x v="2689"/>
    <x v="0"/>
    <x v="63"/>
    <x v="0"/>
  </r>
  <r>
    <x v="63"/>
    <x v="172"/>
    <x v="8"/>
    <x v="8"/>
    <x v="1"/>
    <x v="1"/>
    <x v="42"/>
    <x v="258"/>
    <x v="2690"/>
    <x v="0"/>
    <x v="63"/>
    <x v="0"/>
  </r>
  <r>
    <x v="63"/>
    <x v="178"/>
    <x v="9"/>
    <x v="9"/>
    <x v="1"/>
    <x v="1"/>
    <x v="48"/>
    <x v="264"/>
    <x v="2691"/>
    <x v="0"/>
    <x v="63"/>
    <x v="0"/>
  </r>
  <r>
    <x v="63"/>
    <x v="184"/>
    <x v="6"/>
    <x v="6"/>
    <x v="1"/>
    <x v="1"/>
    <x v="54"/>
    <x v="270"/>
    <x v="2692"/>
    <x v="0"/>
    <x v="63"/>
    <x v="0"/>
  </r>
  <r>
    <x v="63"/>
    <x v="174"/>
    <x v="6"/>
    <x v="6"/>
    <x v="1"/>
    <x v="1"/>
    <x v="44"/>
    <x v="260"/>
    <x v="2693"/>
    <x v="0"/>
    <x v="63"/>
    <x v="0"/>
  </r>
  <r>
    <x v="78"/>
    <x v="183"/>
    <x v="2"/>
    <x v="2"/>
    <x v="1"/>
    <x v="0"/>
    <x v="53"/>
    <x v="269"/>
    <x v="2694"/>
    <x v="0"/>
    <x v="78"/>
    <x v="0"/>
  </r>
  <r>
    <x v="67"/>
    <x v="171"/>
    <x v="7"/>
    <x v="7"/>
    <x v="1"/>
    <x v="0"/>
    <x v="41"/>
    <x v="257"/>
    <x v="2695"/>
    <x v="0"/>
    <x v="67"/>
    <x v="0"/>
  </r>
  <r>
    <x v="67"/>
    <x v="176"/>
    <x v="10"/>
    <x v="10"/>
    <x v="1"/>
    <x v="0"/>
    <x v="46"/>
    <x v="262"/>
    <x v="2696"/>
    <x v="0"/>
    <x v="67"/>
    <x v="0"/>
  </r>
  <r>
    <x v="67"/>
    <x v="174"/>
    <x v="6"/>
    <x v="6"/>
    <x v="1"/>
    <x v="0"/>
    <x v="44"/>
    <x v="260"/>
    <x v="673"/>
    <x v="0"/>
    <x v="67"/>
    <x v="0"/>
  </r>
  <r>
    <x v="67"/>
    <x v="180"/>
    <x v="10"/>
    <x v="10"/>
    <x v="1"/>
    <x v="1"/>
    <x v="50"/>
    <x v="266"/>
    <x v="2697"/>
    <x v="0"/>
    <x v="67"/>
    <x v="0"/>
  </r>
  <r>
    <x v="68"/>
    <x v="174"/>
    <x v="6"/>
    <x v="6"/>
    <x v="1"/>
    <x v="1"/>
    <x v="44"/>
    <x v="260"/>
    <x v="2698"/>
    <x v="0"/>
    <x v="68"/>
    <x v="0"/>
  </r>
  <r>
    <x v="69"/>
    <x v="171"/>
    <x v="7"/>
    <x v="7"/>
    <x v="1"/>
    <x v="0"/>
    <x v="41"/>
    <x v="257"/>
    <x v="2699"/>
    <x v="0"/>
    <x v="69"/>
    <x v="0"/>
  </r>
  <r>
    <x v="69"/>
    <x v="172"/>
    <x v="8"/>
    <x v="8"/>
    <x v="1"/>
    <x v="1"/>
    <x v="42"/>
    <x v="258"/>
    <x v="2700"/>
    <x v="0"/>
    <x v="69"/>
    <x v="0"/>
  </r>
  <r>
    <x v="0"/>
    <x v="195"/>
    <x v="8"/>
    <x v="8"/>
    <x v="1"/>
    <x v="2"/>
    <x v="20"/>
    <x v="24"/>
    <x v="813"/>
    <x v="0"/>
    <x v="0"/>
    <x v="1"/>
  </r>
  <r>
    <x v="0"/>
    <x v="196"/>
    <x v="8"/>
    <x v="8"/>
    <x v="1"/>
    <x v="2"/>
    <x v="20"/>
    <x v="24"/>
    <x v="735"/>
    <x v="0"/>
    <x v="0"/>
    <x v="1"/>
  </r>
  <r>
    <x v="0"/>
    <x v="197"/>
    <x v="9"/>
    <x v="9"/>
    <x v="1"/>
    <x v="2"/>
    <x v="20"/>
    <x v="24"/>
    <x v="735"/>
    <x v="0"/>
    <x v="0"/>
    <x v="1"/>
  </r>
  <r>
    <x v="0"/>
    <x v="198"/>
    <x v="10"/>
    <x v="10"/>
    <x v="1"/>
    <x v="2"/>
    <x v="20"/>
    <x v="24"/>
    <x v="736"/>
    <x v="0"/>
    <x v="0"/>
    <x v="1"/>
  </r>
  <r>
    <x v="0"/>
    <x v="199"/>
    <x v="10"/>
    <x v="10"/>
    <x v="1"/>
    <x v="2"/>
    <x v="20"/>
    <x v="24"/>
    <x v="735"/>
    <x v="0"/>
    <x v="0"/>
    <x v="1"/>
  </r>
  <r>
    <x v="0"/>
    <x v="200"/>
    <x v="11"/>
    <x v="11"/>
    <x v="1"/>
    <x v="2"/>
    <x v="20"/>
    <x v="24"/>
    <x v="748"/>
    <x v="0"/>
    <x v="0"/>
    <x v="1"/>
  </r>
  <r>
    <x v="0"/>
    <x v="201"/>
    <x v="11"/>
    <x v="11"/>
    <x v="1"/>
    <x v="2"/>
    <x v="20"/>
    <x v="24"/>
    <x v="742"/>
    <x v="0"/>
    <x v="0"/>
    <x v="1"/>
  </r>
  <r>
    <x v="0"/>
    <x v="202"/>
    <x v="11"/>
    <x v="11"/>
    <x v="1"/>
    <x v="2"/>
    <x v="20"/>
    <x v="24"/>
    <x v="741"/>
    <x v="0"/>
    <x v="0"/>
    <x v="1"/>
  </r>
  <r>
    <x v="0"/>
    <x v="203"/>
    <x v="6"/>
    <x v="6"/>
    <x v="1"/>
    <x v="2"/>
    <x v="20"/>
    <x v="24"/>
    <x v="1894"/>
    <x v="0"/>
    <x v="0"/>
    <x v="1"/>
  </r>
  <r>
    <x v="0"/>
    <x v="204"/>
    <x v="6"/>
    <x v="6"/>
    <x v="1"/>
    <x v="2"/>
    <x v="20"/>
    <x v="24"/>
    <x v="735"/>
    <x v="0"/>
    <x v="0"/>
    <x v="1"/>
  </r>
  <r>
    <x v="1"/>
    <x v="205"/>
    <x v="7"/>
    <x v="7"/>
    <x v="1"/>
    <x v="2"/>
    <x v="20"/>
    <x v="25"/>
    <x v="742"/>
    <x v="0"/>
    <x v="1"/>
    <x v="1"/>
  </r>
  <r>
    <x v="1"/>
    <x v="206"/>
    <x v="7"/>
    <x v="7"/>
    <x v="1"/>
    <x v="2"/>
    <x v="20"/>
    <x v="25"/>
    <x v="742"/>
    <x v="0"/>
    <x v="1"/>
    <x v="1"/>
  </r>
  <r>
    <x v="1"/>
    <x v="207"/>
    <x v="8"/>
    <x v="8"/>
    <x v="1"/>
    <x v="2"/>
    <x v="20"/>
    <x v="25"/>
    <x v="908"/>
    <x v="0"/>
    <x v="1"/>
    <x v="1"/>
  </r>
  <r>
    <x v="1"/>
    <x v="208"/>
    <x v="8"/>
    <x v="8"/>
    <x v="1"/>
    <x v="2"/>
    <x v="20"/>
    <x v="25"/>
    <x v="763"/>
    <x v="0"/>
    <x v="1"/>
    <x v="1"/>
  </r>
  <r>
    <x v="1"/>
    <x v="182"/>
    <x v="2"/>
    <x v="2"/>
    <x v="1"/>
    <x v="2"/>
    <x v="20"/>
    <x v="25"/>
    <x v="742"/>
    <x v="0"/>
    <x v="1"/>
    <x v="1"/>
  </r>
  <r>
    <x v="2"/>
    <x v="179"/>
    <x v="7"/>
    <x v="7"/>
    <x v="1"/>
    <x v="2"/>
    <x v="20"/>
    <x v="26"/>
    <x v="776"/>
    <x v="0"/>
    <x v="2"/>
    <x v="1"/>
  </r>
  <r>
    <x v="2"/>
    <x v="209"/>
    <x v="7"/>
    <x v="7"/>
    <x v="1"/>
    <x v="2"/>
    <x v="20"/>
    <x v="26"/>
    <x v="771"/>
    <x v="0"/>
    <x v="2"/>
    <x v="1"/>
  </r>
  <r>
    <x v="2"/>
    <x v="210"/>
    <x v="7"/>
    <x v="7"/>
    <x v="1"/>
    <x v="2"/>
    <x v="20"/>
    <x v="26"/>
    <x v="745"/>
    <x v="0"/>
    <x v="2"/>
    <x v="1"/>
  </r>
  <r>
    <x v="2"/>
    <x v="211"/>
    <x v="9"/>
    <x v="9"/>
    <x v="1"/>
    <x v="2"/>
    <x v="20"/>
    <x v="26"/>
    <x v="776"/>
    <x v="0"/>
    <x v="2"/>
    <x v="1"/>
  </r>
  <r>
    <x v="2"/>
    <x v="212"/>
    <x v="10"/>
    <x v="10"/>
    <x v="1"/>
    <x v="2"/>
    <x v="20"/>
    <x v="26"/>
    <x v="777"/>
    <x v="0"/>
    <x v="2"/>
    <x v="1"/>
  </r>
  <r>
    <x v="2"/>
    <x v="213"/>
    <x v="11"/>
    <x v="11"/>
    <x v="1"/>
    <x v="2"/>
    <x v="20"/>
    <x v="26"/>
    <x v="742"/>
    <x v="0"/>
    <x v="2"/>
    <x v="1"/>
  </r>
  <r>
    <x v="2"/>
    <x v="214"/>
    <x v="11"/>
    <x v="11"/>
    <x v="1"/>
    <x v="2"/>
    <x v="20"/>
    <x v="26"/>
    <x v="750"/>
    <x v="0"/>
    <x v="2"/>
    <x v="1"/>
  </r>
  <r>
    <x v="2"/>
    <x v="215"/>
    <x v="2"/>
    <x v="2"/>
    <x v="1"/>
    <x v="2"/>
    <x v="20"/>
    <x v="26"/>
    <x v="737"/>
    <x v="0"/>
    <x v="2"/>
    <x v="1"/>
  </r>
  <r>
    <x v="2"/>
    <x v="216"/>
    <x v="2"/>
    <x v="2"/>
    <x v="1"/>
    <x v="2"/>
    <x v="20"/>
    <x v="26"/>
    <x v="2701"/>
    <x v="0"/>
    <x v="2"/>
    <x v="1"/>
  </r>
  <r>
    <x v="2"/>
    <x v="217"/>
    <x v="6"/>
    <x v="6"/>
    <x v="1"/>
    <x v="2"/>
    <x v="20"/>
    <x v="26"/>
    <x v="745"/>
    <x v="0"/>
    <x v="2"/>
    <x v="1"/>
  </r>
  <r>
    <x v="2"/>
    <x v="218"/>
    <x v="6"/>
    <x v="6"/>
    <x v="1"/>
    <x v="2"/>
    <x v="20"/>
    <x v="26"/>
    <x v="744"/>
    <x v="0"/>
    <x v="2"/>
    <x v="1"/>
  </r>
  <r>
    <x v="2"/>
    <x v="190"/>
    <x v="6"/>
    <x v="6"/>
    <x v="1"/>
    <x v="2"/>
    <x v="20"/>
    <x v="26"/>
    <x v="744"/>
    <x v="0"/>
    <x v="2"/>
    <x v="1"/>
  </r>
  <r>
    <x v="3"/>
    <x v="219"/>
    <x v="9"/>
    <x v="9"/>
    <x v="1"/>
    <x v="2"/>
    <x v="20"/>
    <x v="27"/>
    <x v="738"/>
    <x v="0"/>
    <x v="3"/>
    <x v="1"/>
  </r>
  <r>
    <x v="3"/>
    <x v="220"/>
    <x v="11"/>
    <x v="11"/>
    <x v="1"/>
    <x v="2"/>
    <x v="20"/>
    <x v="27"/>
    <x v="744"/>
    <x v="0"/>
    <x v="3"/>
    <x v="1"/>
  </r>
  <r>
    <x v="3"/>
    <x v="202"/>
    <x v="11"/>
    <x v="11"/>
    <x v="1"/>
    <x v="2"/>
    <x v="20"/>
    <x v="27"/>
    <x v="763"/>
    <x v="0"/>
    <x v="3"/>
    <x v="1"/>
  </r>
  <r>
    <x v="3"/>
    <x v="221"/>
    <x v="2"/>
    <x v="2"/>
    <x v="1"/>
    <x v="2"/>
    <x v="20"/>
    <x v="27"/>
    <x v="737"/>
    <x v="0"/>
    <x v="3"/>
    <x v="1"/>
  </r>
  <r>
    <x v="3"/>
    <x v="222"/>
    <x v="2"/>
    <x v="2"/>
    <x v="1"/>
    <x v="2"/>
    <x v="20"/>
    <x v="27"/>
    <x v="742"/>
    <x v="0"/>
    <x v="3"/>
    <x v="1"/>
  </r>
  <r>
    <x v="3"/>
    <x v="223"/>
    <x v="2"/>
    <x v="2"/>
    <x v="1"/>
    <x v="2"/>
    <x v="20"/>
    <x v="27"/>
    <x v="737"/>
    <x v="0"/>
    <x v="3"/>
    <x v="1"/>
  </r>
  <r>
    <x v="3"/>
    <x v="224"/>
    <x v="2"/>
    <x v="2"/>
    <x v="1"/>
    <x v="2"/>
    <x v="20"/>
    <x v="27"/>
    <x v="748"/>
    <x v="0"/>
    <x v="3"/>
    <x v="1"/>
  </r>
  <r>
    <x v="3"/>
    <x v="204"/>
    <x v="6"/>
    <x v="6"/>
    <x v="1"/>
    <x v="2"/>
    <x v="20"/>
    <x v="27"/>
    <x v="744"/>
    <x v="0"/>
    <x v="3"/>
    <x v="1"/>
  </r>
  <r>
    <x v="3"/>
    <x v="191"/>
    <x v="6"/>
    <x v="6"/>
    <x v="1"/>
    <x v="2"/>
    <x v="20"/>
    <x v="27"/>
    <x v="763"/>
    <x v="0"/>
    <x v="3"/>
    <x v="1"/>
  </r>
  <r>
    <x v="4"/>
    <x v="179"/>
    <x v="7"/>
    <x v="7"/>
    <x v="1"/>
    <x v="2"/>
    <x v="20"/>
    <x v="28"/>
    <x v="744"/>
    <x v="0"/>
    <x v="4"/>
    <x v="1"/>
  </r>
  <r>
    <x v="4"/>
    <x v="225"/>
    <x v="7"/>
    <x v="7"/>
    <x v="1"/>
    <x v="2"/>
    <x v="20"/>
    <x v="28"/>
    <x v="744"/>
    <x v="0"/>
    <x v="4"/>
    <x v="1"/>
  </r>
  <r>
    <x v="4"/>
    <x v="206"/>
    <x v="7"/>
    <x v="7"/>
    <x v="1"/>
    <x v="2"/>
    <x v="20"/>
    <x v="28"/>
    <x v="777"/>
    <x v="0"/>
    <x v="4"/>
    <x v="1"/>
  </r>
  <r>
    <x v="4"/>
    <x v="196"/>
    <x v="8"/>
    <x v="8"/>
    <x v="1"/>
    <x v="2"/>
    <x v="20"/>
    <x v="28"/>
    <x v="745"/>
    <x v="0"/>
    <x v="4"/>
    <x v="1"/>
  </r>
  <r>
    <x v="4"/>
    <x v="226"/>
    <x v="8"/>
    <x v="8"/>
    <x v="1"/>
    <x v="2"/>
    <x v="20"/>
    <x v="28"/>
    <x v="2702"/>
    <x v="0"/>
    <x v="4"/>
    <x v="1"/>
  </r>
  <r>
    <x v="4"/>
    <x v="208"/>
    <x v="8"/>
    <x v="8"/>
    <x v="1"/>
    <x v="2"/>
    <x v="20"/>
    <x v="28"/>
    <x v="745"/>
    <x v="0"/>
    <x v="4"/>
    <x v="1"/>
  </r>
  <r>
    <x v="4"/>
    <x v="227"/>
    <x v="9"/>
    <x v="9"/>
    <x v="1"/>
    <x v="2"/>
    <x v="20"/>
    <x v="28"/>
    <x v="742"/>
    <x v="0"/>
    <x v="4"/>
    <x v="1"/>
  </r>
  <r>
    <x v="4"/>
    <x v="194"/>
    <x v="9"/>
    <x v="9"/>
    <x v="1"/>
    <x v="2"/>
    <x v="20"/>
    <x v="28"/>
    <x v="744"/>
    <x v="0"/>
    <x v="4"/>
    <x v="1"/>
  </r>
  <r>
    <x v="4"/>
    <x v="228"/>
    <x v="9"/>
    <x v="9"/>
    <x v="1"/>
    <x v="2"/>
    <x v="20"/>
    <x v="28"/>
    <x v="737"/>
    <x v="0"/>
    <x v="4"/>
    <x v="1"/>
  </r>
  <r>
    <x v="4"/>
    <x v="229"/>
    <x v="6"/>
    <x v="6"/>
    <x v="1"/>
    <x v="2"/>
    <x v="25"/>
    <x v="281"/>
    <x v="744"/>
    <x v="0"/>
    <x v="4"/>
    <x v="1"/>
  </r>
  <r>
    <x v="4"/>
    <x v="174"/>
    <x v="6"/>
    <x v="6"/>
    <x v="1"/>
    <x v="0"/>
    <x v="25"/>
    <x v="282"/>
    <x v="744"/>
    <x v="0"/>
    <x v="4"/>
    <x v="1"/>
  </r>
  <r>
    <x v="4"/>
    <x v="229"/>
    <x v="6"/>
    <x v="6"/>
    <x v="1"/>
    <x v="0"/>
    <x v="25"/>
    <x v="281"/>
    <x v="739"/>
    <x v="0"/>
    <x v="4"/>
    <x v="1"/>
  </r>
  <r>
    <x v="4"/>
    <x v="230"/>
    <x v="9"/>
    <x v="9"/>
    <x v="1"/>
    <x v="1"/>
    <x v="25"/>
    <x v="283"/>
    <x v="745"/>
    <x v="0"/>
    <x v="4"/>
    <x v="1"/>
  </r>
  <r>
    <x v="5"/>
    <x v="226"/>
    <x v="8"/>
    <x v="8"/>
    <x v="1"/>
    <x v="2"/>
    <x v="20"/>
    <x v="29"/>
    <x v="746"/>
    <x v="0"/>
    <x v="5"/>
    <x v="1"/>
  </r>
  <r>
    <x v="5"/>
    <x v="198"/>
    <x v="10"/>
    <x v="10"/>
    <x v="1"/>
    <x v="2"/>
    <x v="20"/>
    <x v="29"/>
    <x v="750"/>
    <x v="0"/>
    <x v="5"/>
    <x v="1"/>
  </r>
  <r>
    <x v="5"/>
    <x v="231"/>
    <x v="10"/>
    <x v="10"/>
    <x v="1"/>
    <x v="2"/>
    <x v="20"/>
    <x v="29"/>
    <x v="1355"/>
    <x v="0"/>
    <x v="5"/>
    <x v="1"/>
  </r>
  <r>
    <x v="5"/>
    <x v="232"/>
    <x v="10"/>
    <x v="10"/>
    <x v="1"/>
    <x v="2"/>
    <x v="20"/>
    <x v="29"/>
    <x v="748"/>
    <x v="0"/>
    <x v="5"/>
    <x v="1"/>
  </r>
  <r>
    <x v="5"/>
    <x v="186"/>
    <x v="10"/>
    <x v="10"/>
    <x v="1"/>
    <x v="2"/>
    <x v="20"/>
    <x v="29"/>
    <x v="748"/>
    <x v="0"/>
    <x v="5"/>
    <x v="1"/>
  </r>
  <r>
    <x v="5"/>
    <x v="233"/>
    <x v="10"/>
    <x v="10"/>
    <x v="1"/>
    <x v="2"/>
    <x v="20"/>
    <x v="29"/>
    <x v="745"/>
    <x v="0"/>
    <x v="5"/>
    <x v="1"/>
  </r>
  <r>
    <x v="5"/>
    <x v="176"/>
    <x v="10"/>
    <x v="10"/>
    <x v="1"/>
    <x v="2"/>
    <x v="20"/>
    <x v="29"/>
    <x v="750"/>
    <x v="0"/>
    <x v="5"/>
    <x v="1"/>
  </r>
  <r>
    <x v="5"/>
    <x v="234"/>
    <x v="11"/>
    <x v="11"/>
    <x v="1"/>
    <x v="2"/>
    <x v="20"/>
    <x v="29"/>
    <x v="775"/>
    <x v="0"/>
    <x v="5"/>
    <x v="1"/>
  </r>
  <r>
    <x v="5"/>
    <x v="223"/>
    <x v="2"/>
    <x v="2"/>
    <x v="1"/>
    <x v="2"/>
    <x v="20"/>
    <x v="29"/>
    <x v="2703"/>
    <x v="0"/>
    <x v="5"/>
    <x v="1"/>
  </r>
  <r>
    <x v="5"/>
    <x v="235"/>
    <x v="2"/>
    <x v="2"/>
    <x v="1"/>
    <x v="2"/>
    <x v="20"/>
    <x v="29"/>
    <x v="777"/>
    <x v="0"/>
    <x v="5"/>
    <x v="1"/>
  </r>
  <r>
    <x v="5"/>
    <x v="236"/>
    <x v="6"/>
    <x v="6"/>
    <x v="1"/>
    <x v="2"/>
    <x v="20"/>
    <x v="29"/>
    <x v="748"/>
    <x v="0"/>
    <x v="5"/>
    <x v="1"/>
  </r>
  <r>
    <x v="5"/>
    <x v="174"/>
    <x v="6"/>
    <x v="6"/>
    <x v="1"/>
    <x v="2"/>
    <x v="20"/>
    <x v="29"/>
    <x v="748"/>
    <x v="0"/>
    <x v="5"/>
    <x v="1"/>
  </r>
  <r>
    <x v="6"/>
    <x v="237"/>
    <x v="7"/>
    <x v="7"/>
    <x v="1"/>
    <x v="2"/>
    <x v="20"/>
    <x v="30"/>
    <x v="752"/>
    <x v="0"/>
    <x v="6"/>
    <x v="1"/>
  </r>
  <r>
    <x v="6"/>
    <x v="196"/>
    <x v="8"/>
    <x v="8"/>
    <x v="1"/>
    <x v="2"/>
    <x v="20"/>
    <x v="30"/>
    <x v="842"/>
    <x v="0"/>
    <x v="6"/>
    <x v="1"/>
  </r>
  <r>
    <x v="6"/>
    <x v="238"/>
    <x v="9"/>
    <x v="9"/>
    <x v="1"/>
    <x v="2"/>
    <x v="20"/>
    <x v="30"/>
    <x v="2704"/>
    <x v="0"/>
    <x v="6"/>
    <x v="1"/>
  </r>
  <r>
    <x v="6"/>
    <x v="197"/>
    <x v="9"/>
    <x v="9"/>
    <x v="1"/>
    <x v="2"/>
    <x v="20"/>
    <x v="30"/>
    <x v="2704"/>
    <x v="0"/>
    <x v="6"/>
    <x v="1"/>
  </r>
  <r>
    <x v="6"/>
    <x v="239"/>
    <x v="10"/>
    <x v="10"/>
    <x v="1"/>
    <x v="2"/>
    <x v="20"/>
    <x v="30"/>
    <x v="742"/>
    <x v="0"/>
    <x v="6"/>
    <x v="1"/>
  </r>
  <r>
    <x v="6"/>
    <x v="240"/>
    <x v="2"/>
    <x v="2"/>
    <x v="1"/>
    <x v="2"/>
    <x v="20"/>
    <x v="30"/>
    <x v="191"/>
    <x v="0"/>
    <x v="6"/>
    <x v="1"/>
  </r>
  <r>
    <x v="6"/>
    <x v="224"/>
    <x v="2"/>
    <x v="2"/>
    <x v="1"/>
    <x v="2"/>
    <x v="20"/>
    <x v="30"/>
    <x v="744"/>
    <x v="0"/>
    <x v="6"/>
    <x v="1"/>
  </r>
  <r>
    <x v="6"/>
    <x v="241"/>
    <x v="6"/>
    <x v="6"/>
    <x v="1"/>
    <x v="2"/>
    <x v="20"/>
    <x v="30"/>
    <x v="842"/>
    <x v="0"/>
    <x v="6"/>
    <x v="1"/>
  </r>
  <r>
    <x v="7"/>
    <x v="242"/>
    <x v="9"/>
    <x v="9"/>
    <x v="1"/>
    <x v="2"/>
    <x v="20"/>
    <x v="31"/>
    <x v="842"/>
    <x v="0"/>
    <x v="7"/>
    <x v="1"/>
  </r>
  <r>
    <x v="7"/>
    <x v="243"/>
    <x v="10"/>
    <x v="10"/>
    <x v="1"/>
    <x v="2"/>
    <x v="20"/>
    <x v="31"/>
    <x v="755"/>
    <x v="0"/>
    <x v="7"/>
    <x v="1"/>
  </r>
  <r>
    <x v="7"/>
    <x v="244"/>
    <x v="10"/>
    <x v="10"/>
    <x v="1"/>
    <x v="2"/>
    <x v="20"/>
    <x v="31"/>
    <x v="756"/>
    <x v="0"/>
    <x v="7"/>
    <x v="1"/>
  </r>
  <r>
    <x v="7"/>
    <x v="199"/>
    <x v="10"/>
    <x v="10"/>
    <x v="1"/>
    <x v="2"/>
    <x v="20"/>
    <x v="31"/>
    <x v="745"/>
    <x v="0"/>
    <x v="7"/>
    <x v="1"/>
  </r>
  <r>
    <x v="8"/>
    <x v="206"/>
    <x v="7"/>
    <x v="7"/>
    <x v="1"/>
    <x v="2"/>
    <x v="21"/>
    <x v="284"/>
    <x v="761"/>
    <x v="0"/>
    <x v="8"/>
    <x v="1"/>
  </r>
  <r>
    <x v="8"/>
    <x v="245"/>
    <x v="8"/>
    <x v="8"/>
    <x v="1"/>
    <x v="2"/>
    <x v="20"/>
    <x v="33"/>
    <x v="858"/>
    <x v="0"/>
    <x v="8"/>
    <x v="1"/>
  </r>
  <r>
    <x v="8"/>
    <x v="245"/>
    <x v="8"/>
    <x v="8"/>
    <x v="1"/>
    <x v="2"/>
    <x v="21"/>
    <x v="285"/>
    <x v="1295"/>
    <x v="0"/>
    <x v="8"/>
    <x v="1"/>
  </r>
  <r>
    <x v="8"/>
    <x v="211"/>
    <x v="9"/>
    <x v="9"/>
    <x v="1"/>
    <x v="2"/>
    <x v="25"/>
    <x v="286"/>
    <x v="761"/>
    <x v="0"/>
    <x v="8"/>
    <x v="1"/>
  </r>
  <r>
    <x v="8"/>
    <x v="246"/>
    <x v="2"/>
    <x v="2"/>
    <x v="1"/>
    <x v="2"/>
    <x v="25"/>
    <x v="287"/>
    <x v="1596"/>
    <x v="0"/>
    <x v="8"/>
    <x v="1"/>
  </r>
  <r>
    <x v="8"/>
    <x v="203"/>
    <x v="6"/>
    <x v="6"/>
    <x v="1"/>
    <x v="2"/>
    <x v="25"/>
    <x v="288"/>
    <x v="2705"/>
    <x v="0"/>
    <x v="8"/>
    <x v="1"/>
  </r>
  <r>
    <x v="9"/>
    <x v="207"/>
    <x v="8"/>
    <x v="8"/>
    <x v="1"/>
    <x v="2"/>
    <x v="20"/>
    <x v="35"/>
    <x v="763"/>
    <x v="0"/>
    <x v="9"/>
    <x v="1"/>
  </r>
  <r>
    <x v="9"/>
    <x v="196"/>
    <x v="8"/>
    <x v="8"/>
    <x v="1"/>
    <x v="2"/>
    <x v="20"/>
    <x v="35"/>
    <x v="763"/>
    <x v="0"/>
    <x v="9"/>
    <x v="1"/>
  </r>
  <r>
    <x v="70"/>
    <x v="247"/>
    <x v="8"/>
    <x v="8"/>
    <x v="1"/>
    <x v="2"/>
    <x v="21"/>
    <x v="289"/>
    <x v="2706"/>
    <x v="0"/>
    <x v="70"/>
    <x v="1"/>
  </r>
  <r>
    <x v="70"/>
    <x v="232"/>
    <x v="10"/>
    <x v="10"/>
    <x v="1"/>
    <x v="2"/>
    <x v="25"/>
    <x v="290"/>
    <x v="2707"/>
    <x v="0"/>
    <x v="70"/>
    <x v="1"/>
  </r>
  <r>
    <x v="10"/>
    <x v="207"/>
    <x v="8"/>
    <x v="8"/>
    <x v="1"/>
    <x v="2"/>
    <x v="20"/>
    <x v="40"/>
    <x v="2708"/>
    <x v="0"/>
    <x v="10"/>
    <x v="1"/>
  </r>
  <r>
    <x v="10"/>
    <x v="248"/>
    <x v="10"/>
    <x v="10"/>
    <x v="1"/>
    <x v="2"/>
    <x v="20"/>
    <x v="40"/>
    <x v="1301"/>
    <x v="0"/>
    <x v="10"/>
    <x v="1"/>
  </r>
  <r>
    <x v="10"/>
    <x v="249"/>
    <x v="11"/>
    <x v="11"/>
    <x v="1"/>
    <x v="2"/>
    <x v="20"/>
    <x v="40"/>
    <x v="742"/>
    <x v="0"/>
    <x v="10"/>
    <x v="1"/>
  </r>
  <r>
    <x v="10"/>
    <x v="250"/>
    <x v="2"/>
    <x v="2"/>
    <x v="1"/>
    <x v="2"/>
    <x v="20"/>
    <x v="40"/>
    <x v="770"/>
    <x v="0"/>
    <x v="10"/>
    <x v="1"/>
  </r>
  <r>
    <x v="11"/>
    <x v="229"/>
    <x v="6"/>
    <x v="6"/>
    <x v="1"/>
    <x v="2"/>
    <x v="20"/>
    <x v="41"/>
    <x v="774"/>
    <x v="0"/>
    <x v="11"/>
    <x v="1"/>
  </r>
  <r>
    <x v="11"/>
    <x v="251"/>
    <x v="8"/>
    <x v="8"/>
    <x v="1"/>
    <x v="0"/>
    <x v="21"/>
    <x v="291"/>
    <x v="823"/>
    <x v="0"/>
    <x v="11"/>
    <x v="1"/>
  </r>
  <r>
    <x v="12"/>
    <x v="252"/>
    <x v="7"/>
    <x v="7"/>
    <x v="1"/>
    <x v="2"/>
    <x v="20"/>
    <x v="42"/>
    <x v="858"/>
    <x v="0"/>
    <x v="12"/>
    <x v="1"/>
  </r>
  <r>
    <x v="12"/>
    <x v="253"/>
    <x v="7"/>
    <x v="7"/>
    <x v="1"/>
    <x v="2"/>
    <x v="21"/>
    <x v="292"/>
    <x v="769"/>
    <x v="0"/>
    <x v="12"/>
    <x v="1"/>
  </r>
  <r>
    <x v="12"/>
    <x v="210"/>
    <x v="7"/>
    <x v="7"/>
    <x v="1"/>
    <x v="2"/>
    <x v="20"/>
    <x v="42"/>
    <x v="770"/>
    <x v="0"/>
    <x v="12"/>
    <x v="1"/>
  </r>
  <r>
    <x v="12"/>
    <x v="254"/>
    <x v="8"/>
    <x v="8"/>
    <x v="1"/>
    <x v="2"/>
    <x v="20"/>
    <x v="42"/>
    <x v="748"/>
    <x v="0"/>
    <x v="12"/>
    <x v="1"/>
  </r>
  <r>
    <x v="12"/>
    <x v="207"/>
    <x v="8"/>
    <x v="8"/>
    <x v="1"/>
    <x v="2"/>
    <x v="20"/>
    <x v="42"/>
    <x v="816"/>
    <x v="0"/>
    <x v="12"/>
    <x v="1"/>
  </r>
  <r>
    <x v="12"/>
    <x v="173"/>
    <x v="8"/>
    <x v="8"/>
    <x v="1"/>
    <x v="2"/>
    <x v="20"/>
    <x v="42"/>
    <x v="816"/>
    <x v="0"/>
    <x v="12"/>
    <x v="1"/>
  </r>
  <r>
    <x v="12"/>
    <x v="178"/>
    <x v="9"/>
    <x v="9"/>
    <x v="1"/>
    <x v="2"/>
    <x v="20"/>
    <x v="42"/>
    <x v="748"/>
    <x v="0"/>
    <x v="12"/>
    <x v="1"/>
  </r>
  <r>
    <x v="12"/>
    <x v="255"/>
    <x v="9"/>
    <x v="9"/>
    <x v="1"/>
    <x v="2"/>
    <x v="25"/>
    <x v="293"/>
    <x v="769"/>
    <x v="0"/>
    <x v="12"/>
    <x v="1"/>
  </r>
  <r>
    <x v="12"/>
    <x v="256"/>
    <x v="11"/>
    <x v="11"/>
    <x v="1"/>
    <x v="2"/>
    <x v="25"/>
    <x v="294"/>
    <x v="769"/>
    <x v="0"/>
    <x v="12"/>
    <x v="1"/>
  </r>
  <r>
    <x v="12"/>
    <x v="257"/>
    <x v="2"/>
    <x v="2"/>
    <x v="1"/>
    <x v="2"/>
    <x v="20"/>
    <x v="42"/>
    <x v="814"/>
    <x v="0"/>
    <x v="12"/>
    <x v="1"/>
  </r>
  <r>
    <x v="12"/>
    <x v="203"/>
    <x v="6"/>
    <x v="6"/>
    <x v="1"/>
    <x v="2"/>
    <x v="20"/>
    <x v="42"/>
    <x v="873"/>
    <x v="0"/>
    <x v="12"/>
    <x v="1"/>
  </r>
  <r>
    <x v="13"/>
    <x v="245"/>
    <x v="8"/>
    <x v="8"/>
    <x v="1"/>
    <x v="2"/>
    <x v="20"/>
    <x v="46"/>
    <x v="2709"/>
    <x v="0"/>
    <x v="13"/>
    <x v="1"/>
  </r>
  <r>
    <x v="13"/>
    <x v="174"/>
    <x v="6"/>
    <x v="6"/>
    <x v="1"/>
    <x v="2"/>
    <x v="20"/>
    <x v="46"/>
    <x v="2709"/>
    <x v="0"/>
    <x v="13"/>
    <x v="1"/>
  </r>
  <r>
    <x v="14"/>
    <x v="258"/>
    <x v="7"/>
    <x v="7"/>
    <x v="1"/>
    <x v="2"/>
    <x v="20"/>
    <x v="47"/>
    <x v="737"/>
    <x v="0"/>
    <x v="14"/>
    <x v="1"/>
  </r>
  <r>
    <x v="14"/>
    <x v="259"/>
    <x v="7"/>
    <x v="7"/>
    <x v="1"/>
    <x v="2"/>
    <x v="20"/>
    <x v="47"/>
    <x v="742"/>
    <x v="0"/>
    <x v="14"/>
    <x v="1"/>
  </r>
  <r>
    <x v="14"/>
    <x v="260"/>
    <x v="7"/>
    <x v="7"/>
    <x v="1"/>
    <x v="2"/>
    <x v="20"/>
    <x v="47"/>
    <x v="1111"/>
    <x v="0"/>
    <x v="14"/>
    <x v="1"/>
  </r>
  <r>
    <x v="14"/>
    <x v="261"/>
    <x v="8"/>
    <x v="8"/>
    <x v="1"/>
    <x v="2"/>
    <x v="20"/>
    <x v="47"/>
    <x v="737"/>
    <x v="0"/>
    <x v="14"/>
    <x v="1"/>
  </r>
  <r>
    <x v="14"/>
    <x v="196"/>
    <x v="8"/>
    <x v="8"/>
    <x v="1"/>
    <x v="2"/>
    <x v="20"/>
    <x v="47"/>
    <x v="745"/>
    <x v="0"/>
    <x v="14"/>
    <x v="1"/>
  </r>
  <r>
    <x v="14"/>
    <x v="227"/>
    <x v="9"/>
    <x v="9"/>
    <x v="1"/>
    <x v="2"/>
    <x v="20"/>
    <x v="47"/>
    <x v="754"/>
    <x v="0"/>
    <x v="14"/>
    <x v="1"/>
  </r>
  <r>
    <x v="14"/>
    <x v="238"/>
    <x v="9"/>
    <x v="9"/>
    <x v="1"/>
    <x v="2"/>
    <x v="20"/>
    <x v="47"/>
    <x v="777"/>
    <x v="0"/>
    <x v="14"/>
    <x v="1"/>
  </r>
  <r>
    <x v="14"/>
    <x v="197"/>
    <x v="9"/>
    <x v="9"/>
    <x v="1"/>
    <x v="2"/>
    <x v="20"/>
    <x v="47"/>
    <x v="742"/>
    <x v="0"/>
    <x v="14"/>
    <x v="1"/>
  </r>
  <r>
    <x v="14"/>
    <x v="242"/>
    <x v="9"/>
    <x v="9"/>
    <x v="1"/>
    <x v="2"/>
    <x v="20"/>
    <x v="47"/>
    <x v="742"/>
    <x v="0"/>
    <x v="14"/>
    <x v="1"/>
  </r>
  <r>
    <x v="14"/>
    <x v="262"/>
    <x v="9"/>
    <x v="9"/>
    <x v="1"/>
    <x v="2"/>
    <x v="20"/>
    <x v="47"/>
    <x v="776"/>
    <x v="0"/>
    <x v="14"/>
    <x v="1"/>
  </r>
  <r>
    <x v="14"/>
    <x v="255"/>
    <x v="9"/>
    <x v="9"/>
    <x v="1"/>
    <x v="2"/>
    <x v="20"/>
    <x v="47"/>
    <x v="754"/>
    <x v="0"/>
    <x v="14"/>
    <x v="1"/>
  </r>
  <r>
    <x v="14"/>
    <x v="176"/>
    <x v="10"/>
    <x v="10"/>
    <x v="1"/>
    <x v="2"/>
    <x v="20"/>
    <x v="47"/>
    <x v="737"/>
    <x v="0"/>
    <x v="14"/>
    <x v="1"/>
  </r>
  <r>
    <x v="14"/>
    <x v="223"/>
    <x v="2"/>
    <x v="2"/>
    <x v="1"/>
    <x v="2"/>
    <x v="20"/>
    <x v="47"/>
    <x v="742"/>
    <x v="0"/>
    <x v="14"/>
    <x v="1"/>
  </r>
  <r>
    <x v="14"/>
    <x v="174"/>
    <x v="6"/>
    <x v="6"/>
    <x v="1"/>
    <x v="2"/>
    <x v="20"/>
    <x v="47"/>
    <x v="745"/>
    <x v="0"/>
    <x v="14"/>
    <x v="1"/>
  </r>
  <r>
    <x v="15"/>
    <x v="210"/>
    <x v="7"/>
    <x v="7"/>
    <x v="1"/>
    <x v="2"/>
    <x v="20"/>
    <x v="48"/>
    <x v="735"/>
    <x v="0"/>
    <x v="15"/>
    <x v="1"/>
  </r>
  <r>
    <x v="15"/>
    <x v="195"/>
    <x v="8"/>
    <x v="8"/>
    <x v="1"/>
    <x v="2"/>
    <x v="20"/>
    <x v="48"/>
    <x v="2710"/>
    <x v="0"/>
    <x v="15"/>
    <x v="1"/>
  </r>
  <r>
    <x v="15"/>
    <x v="226"/>
    <x v="8"/>
    <x v="8"/>
    <x v="1"/>
    <x v="2"/>
    <x v="20"/>
    <x v="48"/>
    <x v="2710"/>
    <x v="0"/>
    <x v="15"/>
    <x v="1"/>
  </r>
  <r>
    <x v="15"/>
    <x v="263"/>
    <x v="10"/>
    <x v="10"/>
    <x v="1"/>
    <x v="2"/>
    <x v="20"/>
    <x v="48"/>
    <x v="841"/>
    <x v="0"/>
    <x v="15"/>
    <x v="1"/>
  </r>
  <r>
    <x v="15"/>
    <x v="180"/>
    <x v="10"/>
    <x v="10"/>
    <x v="1"/>
    <x v="2"/>
    <x v="20"/>
    <x v="48"/>
    <x v="755"/>
    <x v="0"/>
    <x v="15"/>
    <x v="1"/>
  </r>
  <r>
    <x v="15"/>
    <x v="264"/>
    <x v="6"/>
    <x v="6"/>
    <x v="1"/>
    <x v="2"/>
    <x v="20"/>
    <x v="48"/>
    <x v="777"/>
    <x v="0"/>
    <x v="15"/>
    <x v="1"/>
  </r>
  <r>
    <x v="15"/>
    <x v="265"/>
    <x v="6"/>
    <x v="6"/>
    <x v="1"/>
    <x v="2"/>
    <x v="20"/>
    <x v="48"/>
    <x v="756"/>
    <x v="0"/>
    <x v="15"/>
    <x v="1"/>
  </r>
  <r>
    <x v="15"/>
    <x v="266"/>
    <x v="6"/>
    <x v="6"/>
    <x v="1"/>
    <x v="2"/>
    <x v="20"/>
    <x v="48"/>
    <x v="738"/>
    <x v="0"/>
    <x v="15"/>
    <x v="1"/>
  </r>
  <r>
    <x v="15"/>
    <x v="203"/>
    <x v="6"/>
    <x v="6"/>
    <x v="1"/>
    <x v="2"/>
    <x v="20"/>
    <x v="48"/>
    <x v="777"/>
    <x v="0"/>
    <x v="15"/>
    <x v="1"/>
  </r>
  <r>
    <x v="15"/>
    <x v="229"/>
    <x v="6"/>
    <x v="6"/>
    <x v="1"/>
    <x v="2"/>
    <x v="20"/>
    <x v="48"/>
    <x v="841"/>
    <x v="0"/>
    <x v="15"/>
    <x v="1"/>
  </r>
  <r>
    <x v="16"/>
    <x v="267"/>
    <x v="8"/>
    <x v="8"/>
    <x v="1"/>
    <x v="2"/>
    <x v="20"/>
    <x v="49"/>
    <x v="873"/>
    <x v="0"/>
    <x v="16"/>
    <x v="1"/>
  </r>
  <r>
    <x v="16"/>
    <x v="220"/>
    <x v="11"/>
    <x v="11"/>
    <x v="1"/>
    <x v="2"/>
    <x v="20"/>
    <x v="49"/>
    <x v="738"/>
    <x v="0"/>
    <x v="16"/>
    <x v="1"/>
  </r>
  <r>
    <x v="16"/>
    <x v="218"/>
    <x v="6"/>
    <x v="6"/>
    <x v="1"/>
    <x v="2"/>
    <x v="20"/>
    <x v="49"/>
    <x v="2711"/>
    <x v="0"/>
    <x v="16"/>
    <x v="1"/>
  </r>
  <r>
    <x v="17"/>
    <x v="208"/>
    <x v="8"/>
    <x v="8"/>
    <x v="1"/>
    <x v="2"/>
    <x v="20"/>
    <x v="50"/>
    <x v="709"/>
    <x v="0"/>
    <x v="17"/>
    <x v="1"/>
  </r>
  <r>
    <x v="17"/>
    <x v="255"/>
    <x v="9"/>
    <x v="9"/>
    <x v="1"/>
    <x v="2"/>
    <x v="20"/>
    <x v="50"/>
    <x v="748"/>
    <x v="0"/>
    <x v="17"/>
    <x v="1"/>
  </r>
  <r>
    <x v="17"/>
    <x v="231"/>
    <x v="10"/>
    <x v="10"/>
    <x v="1"/>
    <x v="2"/>
    <x v="20"/>
    <x v="50"/>
    <x v="737"/>
    <x v="0"/>
    <x v="17"/>
    <x v="1"/>
  </r>
  <r>
    <x v="17"/>
    <x v="180"/>
    <x v="10"/>
    <x v="10"/>
    <x v="1"/>
    <x v="2"/>
    <x v="20"/>
    <x v="50"/>
    <x v="737"/>
    <x v="0"/>
    <x v="17"/>
    <x v="1"/>
  </r>
  <r>
    <x v="17"/>
    <x v="268"/>
    <x v="10"/>
    <x v="10"/>
    <x v="1"/>
    <x v="2"/>
    <x v="20"/>
    <x v="50"/>
    <x v="737"/>
    <x v="0"/>
    <x v="17"/>
    <x v="1"/>
  </r>
  <r>
    <x v="17"/>
    <x v="269"/>
    <x v="11"/>
    <x v="11"/>
    <x v="1"/>
    <x v="2"/>
    <x v="20"/>
    <x v="50"/>
    <x v="736"/>
    <x v="0"/>
    <x v="17"/>
    <x v="1"/>
  </r>
  <r>
    <x v="17"/>
    <x v="270"/>
    <x v="2"/>
    <x v="2"/>
    <x v="1"/>
    <x v="2"/>
    <x v="20"/>
    <x v="50"/>
    <x v="763"/>
    <x v="0"/>
    <x v="17"/>
    <x v="1"/>
  </r>
  <r>
    <x v="17"/>
    <x v="216"/>
    <x v="2"/>
    <x v="2"/>
    <x v="1"/>
    <x v="2"/>
    <x v="20"/>
    <x v="50"/>
    <x v="737"/>
    <x v="0"/>
    <x v="17"/>
    <x v="1"/>
  </r>
  <r>
    <x v="17"/>
    <x v="246"/>
    <x v="2"/>
    <x v="2"/>
    <x v="1"/>
    <x v="2"/>
    <x v="20"/>
    <x v="50"/>
    <x v="763"/>
    <x v="0"/>
    <x v="17"/>
    <x v="1"/>
  </r>
  <r>
    <x v="17"/>
    <x v="271"/>
    <x v="6"/>
    <x v="6"/>
    <x v="1"/>
    <x v="2"/>
    <x v="20"/>
    <x v="50"/>
    <x v="747"/>
    <x v="0"/>
    <x v="17"/>
    <x v="1"/>
  </r>
  <r>
    <x v="18"/>
    <x v="226"/>
    <x v="8"/>
    <x v="8"/>
    <x v="1"/>
    <x v="2"/>
    <x v="20"/>
    <x v="52"/>
    <x v="742"/>
    <x v="0"/>
    <x v="18"/>
    <x v="1"/>
  </r>
  <r>
    <x v="18"/>
    <x v="272"/>
    <x v="11"/>
    <x v="11"/>
    <x v="1"/>
    <x v="2"/>
    <x v="20"/>
    <x v="52"/>
    <x v="747"/>
    <x v="0"/>
    <x v="18"/>
    <x v="1"/>
  </r>
  <r>
    <x v="18"/>
    <x v="273"/>
    <x v="11"/>
    <x v="11"/>
    <x v="1"/>
    <x v="2"/>
    <x v="20"/>
    <x v="52"/>
    <x v="2712"/>
    <x v="0"/>
    <x v="18"/>
    <x v="1"/>
  </r>
  <r>
    <x v="18"/>
    <x v="274"/>
    <x v="11"/>
    <x v="11"/>
    <x v="1"/>
    <x v="2"/>
    <x v="20"/>
    <x v="52"/>
    <x v="771"/>
    <x v="0"/>
    <x v="18"/>
    <x v="1"/>
  </r>
  <r>
    <x v="18"/>
    <x v="275"/>
    <x v="11"/>
    <x v="11"/>
    <x v="1"/>
    <x v="2"/>
    <x v="20"/>
    <x v="52"/>
    <x v="771"/>
    <x v="0"/>
    <x v="18"/>
    <x v="1"/>
  </r>
  <r>
    <x v="18"/>
    <x v="276"/>
    <x v="2"/>
    <x v="2"/>
    <x v="1"/>
    <x v="2"/>
    <x v="20"/>
    <x v="52"/>
    <x v="743"/>
    <x v="0"/>
    <x v="18"/>
    <x v="1"/>
  </r>
  <r>
    <x v="19"/>
    <x v="277"/>
    <x v="7"/>
    <x v="7"/>
    <x v="1"/>
    <x v="2"/>
    <x v="20"/>
    <x v="53"/>
    <x v="785"/>
    <x v="0"/>
    <x v="19"/>
    <x v="1"/>
  </r>
  <r>
    <x v="19"/>
    <x v="278"/>
    <x v="7"/>
    <x v="7"/>
    <x v="1"/>
    <x v="2"/>
    <x v="20"/>
    <x v="53"/>
    <x v="909"/>
    <x v="0"/>
    <x v="19"/>
    <x v="1"/>
  </r>
  <r>
    <x v="19"/>
    <x v="279"/>
    <x v="7"/>
    <x v="7"/>
    <x v="1"/>
    <x v="2"/>
    <x v="20"/>
    <x v="53"/>
    <x v="785"/>
    <x v="0"/>
    <x v="19"/>
    <x v="1"/>
  </r>
  <r>
    <x v="19"/>
    <x v="280"/>
    <x v="2"/>
    <x v="2"/>
    <x v="1"/>
    <x v="2"/>
    <x v="25"/>
    <x v="295"/>
    <x v="2713"/>
    <x v="0"/>
    <x v="19"/>
    <x v="1"/>
  </r>
  <r>
    <x v="19"/>
    <x v="235"/>
    <x v="2"/>
    <x v="2"/>
    <x v="1"/>
    <x v="2"/>
    <x v="20"/>
    <x v="53"/>
    <x v="785"/>
    <x v="0"/>
    <x v="19"/>
    <x v="1"/>
  </r>
  <r>
    <x v="19"/>
    <x v="281"/>
    <x v="6"/>
    <x v="6"/>
    <x v="1"/>
    <x v="2"/>
    <x v="20"/>
    <x v="53"/>
    <x v="857"/>
    <x v="0"/>
    <x v="19"/>
    <x v="1"/>
  </r>
  <r>
    <x v="19"/>
    <x v="255"/>
    <x v="9"/>
    <x v="9"/>
    <x v="1"/>
    <x v="1"/>
    <x v="25"/>
    <x v="293"/>
    <x v="2714"/>
    <x v="0"/>
    <x v="19"/>
    <x v="1"/>
  </r>
  <r>
    <x v="20"/>
    <x v="206"/>
    <x v="7"/>
    <x v="7"/>
    <x v="1"/>
    <x v="2"/>
    <x v="20"/>
    <x v="54"/>
    <x v="2273"/>
    <x v="0"/>
    <x v="20"/>
    <x v="1"/>
  </r>
  <r>
    <x v="20"/>
    <x v="279"/>
    <x v="7"/>
    <x v="7"/>
    <x v="1"/>
    <x v="2"/>
    <x v="20"/>
    <x v="54"/>
    <x v="751"/>
    <x v="0"/>
    <x v="20"/>
    <x v="1"/>
  </r>
  <r>
    <x v="20"/>
    <x v="192"/>
    <x v="8"/>
    <x v="8"/>
    <x v="1"/>
    <x v="2"/>
    <x v="20"/>
    <x v="54"/>
    <x v="795"/>
    <x v="0"/>
    <x v="20"/>
    <x v="1"/>
  </r>
  <r>
    <x v="20"/>
    <x v="247"/>
    <x v="8"/>
    <x v="8"/>
    <x v="1"/>
    <x v="2"/>
    <x v="20"/>
    <x v="54"/>
    <x v="795"/>
    <x v="0"/>
    <x v="20"/>
    <x v="1"/>
  </r>
  <r>
    <x v="20"/>
    <x v="262"/>
    <x v="9"/>
    <x v="9"/>
    <x v="1"/>
    <x v="2"/>
    <x v="20"/>
    <x v="54"/>
    <x v="751"/>
    <x v="0"/>
    <x v="20"/>
    <x v="1"/>
  </r>
  <r>
    <x v="20"/>
    <x v="263"/>
    <x v="10"/>
    <x v="10"/>
    <x v="1"/>
    <x v="2"/>
    <x v="20"/>
    <x v="54"/>
    <x v="795"/>
    <x v="0"/>
    <x v="20"/>
    <x v="1"/>
  </r>
  <r>
    <x v="20"/>
    <x v="282"/>
    <x v="11"/>
    <x v="11"/>
    <x v="1"/>
    <x v="2"/>
    <x v="20"/>
    <x v="54"/>
    <x v="742"/>
    <x v="0"/>
    <x v="20"/>
    <x v="1"/>
  </r>
  <r>
    <x v="20"/>
    <x v="283"/>
    <x v="11"/>
    <x v="11"/>
    <x v="1"/>
    <x v="2"/>
    <x v="20"/>
    <x v="54"/>
    <x v="795"/>
    <x v="0"/>
    <x v="20"/>
    <x v="1"/>
  </r>
  <r>
    <x v="20"/>
    <x v="284"/>
    <x v="2"/>
    <x v="2"/>
    <x v="1"/>
    <x v="2"/>
    <x v="20"/>
    <x v="54"/>
    <x v="756"/>
    <x v="0"/>
    <x v="20"/>
    <x v="1"/>
  </r>
  <r>
    <x v="20"/>
    <x v="270"/>
    <x v="2"/>
    <x v="2"/>
    <x v="1"/>
    <x v="2"/>
    <x v="20"/>
    <x v="54"/>
    <x v="754"/>
    <x v="0"/>
    <x v="20"/>
    <x v="1"/>
  </r>
  <r>
    <x v="20"/>
    <x v="257"/>
    <x v="2"/>
    <x v="2"/>
    <x v="1"/>
    <x v="2"/>
    <x v="20"/>
    <x v="54"/>
    <x v="754"/>
    <x v="0"/>
    <x v="20"/>
    <x v="1"/>
  </r>
  <r>
    <x v="20"/>
    <x v="285"/>
    <x v="6"/>
    <x v="6"/>
    <x v="1"/>
    <x v="2"/>
    <x v="20"/>
    <x v="54"/>
    <x v="756"/>
    <x v="0"/>
    <x v="20"/>
    <x v="1"/>
  </r>
  <r>
    <x v="21"/>
    <x v="195"/>
    <x v="8"/>
    <x v="8"/>
    <x v="1"/>
    <x v="2"/>
    <x v="20"/>
    <x v="55"/>
    <x v="745"/>
    <x v="0"/>
    <x v="21"/>
    <x v="1"/>
  </r>
  <r>
    <x v="21"/>
    <x v="198"/>
    <x v="10"/>
    <x v="10"/>
    <x v="1"/>
    <x v="2"/>
    <x v="20"/>
    <x v="55"/>
    <x v="737"/>
    <x v="0"/>
    <x v="21"/>
    <x v="1"/>
  </r>
  <r>
    <x v="21"/>
    <x v="190"/>
    <x v="6"/>
    <x v="6"/>
    <x v="1"/>
    <x v="2"/>
    <x v="20"/>
    <x v="55"/>
    <x v="745"/>
    <x v="0"/>
    <x v="21"/>
    <x v="1"/>
  </r>
  <r>
    <x v="72"/>
    <x v="185"/>
    <x v="8"/>
    <x v="8"/>
    <x v="1"/>
    <x v="2"/>
    <x v="21"/>
    <x v="296"/>
    <x v="766"/>
    <x v="0"/>
    <x v="72"/>
    <x v="1"/>
  </r>
  <r>
    <x v="72"/>
    <x v="230"/>
    <x v="9"/>
    <x v="9"/>
    <x v="1"/>
    <x v="2"/>
    <x v="25"/>
    <x v="283"/>
    <x v="835"/>
    <x v="0"/>
    <x v="72"/>
    <x v="1"/>
  </r>
  <r>
    <x v="72"/>
    <x v="286"/>
    <x v="10"/>
    <x v="10"/>
    <x v="1"/>
    <x v="2"/>
    <x v="25"/>
    <x v="297"/>
    <x v="790"/>
    <x v="0"/>
    <x v="72"/>
    <x v="1"/>
  </r>
  <r>
    <x v="72"/>
    <x v="199"/>
    <x v="10"/>
    <x v="10"/>
    <x v="1"/>
    <x v="2"/>
    <x v="25"/>
    <x v="298"/>
    <x v="2715"/>
    <x v="0"/>
    <x v="72"/>
    <x v="1"/>
  </r>
  <r>
    <x v="72"/>
    <x v="246"/>
    <x v="2"/>
    <x v="2"/>
    <x v="1"/>
    <x v="2"/>
    <x v="25"/>
    <x v="287"/>
    <x v="765"/>
    <x v="0"/>
    <x v="72"/>
    <x v="1"/>
  </r>
  <r>
    <x v="72"/>
    <x v="229"/>
    <x v="6"/>
    <x v="6"/>
    <x v="1"/>
    <x v="2"/>
    <x v="25"/>
    <x v="281"/>
    <x v="1183"/>
    <x v="0"/>
    <x v="72"/>
    <x v="1"/>
  </r>
  <r>
    <x v="72"/>
    <x v="246"/>
    <x v="2"/>
    <x v="2"/>
    <x v="1"/>
    <x v="0"/>
    <x v="25"/>
    <x v="287"/>
    <x v="765"/>
    <x v="0"/>
    <x v="72"/>
    <x v="1"/>
  </r>
  <r>
    <x v="72"/>
    <x v="246"/>
    <x v="2"/>
    <x v="2"/>
    <x v="1"/>
    <x v="1"/>
    <x v="25"/>
    <x v="287"/>
    <x v="1132"/>
    <x v="0"/>
    <x v="72"/>
    <x v="1"/>
  </r>
  <r>
    <x v="22"/>
    <x v="245"/>
    <x v="8"/>
    <x v="8"/>
    <x v="1"/>
    <x v="2"/>
    <x v="20"/>
    <x v="60"/>
    <x v="2710"/>
    <x v="0"/>
    <x v="22"/>
    <x v="1"/>
  </r>
  <r>
    <x v="22"/>
    <x v="287"/>
    <x v="10"/>
    <x v="10"/>
    <x v="1"/>
    <x v="2"/>
    <x v="20"/>
    <x v="60"/>
    <x v="777"/>
    <x v="0"/>
    <x v="22"/>
    <x v="1"/>
  </r>
  <r>
    <x v="22"/>
    <x v="217"/>
    <x v="6"/>
    <x v="6"/>
    <x v="1"/>
    <x v="2"/>
    <x v="20"/>
    <x v="60"/>
    <x v="2716"/>
    <x v="0"/>
    <x v="22"/>
    <x v="1"/>
  </r>
  <r>
    <x v="23"/>
    <x v="288"/>
    <x v="7"/>
    <x v="7"/>
    <x v="1"/>
    <x v="2"/>
    <x v="20"/>
    <x v="61"/>
    <x v="2717"/>
    <x v="0"/>
    <x v="23"/>
    <x v="1"/>
  </r>
  <r>
    <x v="23"/>
    <x v="192"/>
    <x v="8"/>
    <x v="8"/>
    <x v="1"/>
    <x v="2"/>
    <x v="20"/>
    <x v="61"/>
    <x v="737"/>
    <x v="0"/>
    <x v="23"/>
    <x v="1"/>
  </r>
  <r>
    <x v="23"/>
    <x v="226"/>
    <x v="8"/>
    <x v="8"/>
    <x v="1"/>
    <x v="2"/>
    <x v="20"/>
    <x v="61"/>
    <x v="737"/>
    <x v="0"/>
    <x v="23"/>
    <x v="1"/>
  </r>
  <r>
    <x v="23"/>
    <x v="184"/>
    <x v="6"/>
    <x v="6"/>
    <x v="1"/>
    <x v="2"/>
    <x v="20"/>
    <x v="61"/>
    <x v="737"/>
    <x v="0"/>
    <x v="23"/>
    <x v="1"/>
  </r>
  <r>
    <x v="24"/>
    <x v="205"/>
    <x v="7"/>
    <x v="7"/>
    <x v="1"/>
    <x v="2"/>
    <x v="21"/>
    <x v="299"/>
    <x v="720"/>
    <x v="0"/>
    <x v="24"/>
    <x v="1"/>
  </r>
  <r>
    <x v="24"/>
    <x v="192"/>
    <x v="8"/>
    <x v="8"/>
    <x v="1"/>
    <x v="2"/>
    <x v="21"/>
    <x v="300"/>
    <x v="2718"/>
    <x v="0"/>
    <x v="24"/>
    <x v="1"/>
  </r>
  <r>
    <x v="24"/>
    <x v="289"/>
    <x v="8"/>
    <x v="8"/>
    <x v="1"/>
    <x v="2"/>
    <x v="21"/>
    <x v="301"/>
    <x v="816"/>
    <x v="0"/>
    <x v="24"/>
    <x v="1"/>
  </r>
  <r>
    <x v="24"/>
    <x v="245"/>
    <x v="8"/>
    <x v="8"/>
    <x v="1"/>
    <x v="2"/>
    <x v="21"/>
    <x v="285"/>
    <x v="1798"/>
    <x v="0"/>
    <x v="24"/>
    <x v="1"/>
  </r>
  <r>
    <x v="24"/>
    <x v="290"/>
    <x v="9"/>
    <x v="9"/>
    <x v="1"/>
    <x v="2"/>
    <x v="25"/>
    <x v="302"/>
    <x v="843"/>
    <x v="0"/>
    <x v="24"/>
    <x v="1"/>
  </r>
  <r>
    <x v="24"/>
    <x v="291"/>
    <x v="9"/>
    <x v="9"/>
    <x v="1"/>
    <x v="2"/>
    <x v="25"/>
    <x v="303"/>
    <x v="2719"/>
    <x v="0"/>
    <x v="24"/>
    <x v="1"/>
  </r>
  <r>
    <x v="24"/>
    <x v="248"/>
    <x v="10"/>
    <x v="10"/>
    <x v="1"/>
    <x v="2"/>
    <x v="25"/>
    <x v="304"/>
    <x v="1441"/>
    <x v="0"/>
    <x v="24"/>
    <x v="1"/>
  </r>
  <r>
    <x v="24"/>
    <x v="202"/>
    <x v="11"/>
    <x v="11"/>
    <x v="1"/>
    <x v="2"/>
    <x v="25"/>
    <x v="305"/>
    <x v="2720"/>
    <x v="0"/>
    <x v="24"/>
    <x v="1"/>
  </r>
  <r>
    <x v="24"/>
    <x v="214"/>
    <x v="11"/>
    <x v="11"/>
    <x v="1"/>
    <x v="2"/>
    <x v="25"/>
    <x v="306"/>
    <x v="2720"/>
    <x v="0"/>
    <x v="24"/>
    <x v="1"/>
  </r>
  <r>
    <x v="24"/>
    <x v="275"/>
    <x v="11"/>
    <x v="11"/>
    <x v="1"/>
    <x v="2"/>
    <x v="26"/>
    <x v="307"/>
    <x v="1"/>
    <x v="578"/>
    <x v="24"/>
    <x v="1"/>
  </r>
  <r>
    <x v="24"/>
    <x v="246"/>
    <x v="2"/>
    <x v="2"/>
    <x v="1"/>
    <x v="0"/>
    <x v="25"/>
    <x v="287"/>
    <x v="911"/>
    <x v="0"/>
    <x v="24"/>
    <x v="1"/>
  </r>
  <r>
    <x v="24"/>
    <x v="290"/>
    <x v="9"/>
    <x v="9"/>
    <x v="1"/>
    <x v="1"/>
    <x v="25"/>
    <x v="302"/>
    <x v="982"/>
    <x v="0"/>
    <x v="24"/>
    <x v="1"/>
  </r>
  <r>
    <x v="25"/>
    <x v="251"/>
    <x v="8"/>
    <x v="8"/>
    <x v="1"/>
    <x v="2"/>
    <x v="20"/>
    <x v="66"/>
    <x v="2721"/>
    <x v="0"/>
    <x v="25"/>
    <x v="1"/>
  </r>
  <r>
    <x v="25"/>
    <x v="272"/>
    <x v="11"/>
    <x v="11"/>
    <x v="1"/>
    <x v="2"/>
    <x v="20"/>
    <x v="66"/>
    <x v="2722"/>
    <x v="0"/>
    <x v="25"/>
    <x v="1"/>
  </r>
  <r>
    <x v="25"/>
    <x v="273"/>
    <x v="11"/>
    <x v="11"/>
    <x v="1"/>
    <x v="2"/>
    <x v="20"/>
    <x v="66"/>
    <x v="1301"/>
    <x v="0"/>
    <x v="25"/>
    <x v="1"/>
  </r>
  <r>
    <x v="26"/>
    <x v="261"/>
    <x v="8"/>
    <x v="8"/>
    <x v="1"/>
    <x v="2"/>
    <x v="20"/>
    <x v="67"/>
    <x v="770"/>
    <x v="0"/>
    <x v="26"/>
    <x v="1"/>
  </r>
  <r>
    <x v="26"/>
    <x v="245"/>
    <x v="8"/>
    <x v="8"/>
    <x v="1"/>
    <x v="2"/>
    <x v="20"/>
    <x v="67"/>
    <x v="800"/>
    <x v="0"/>
    <x v="26"/>
    <x v="1"/>
  </r>
  <r>
    <x v="26"/>
    <x v="292"/>
    <x v="9"/>
    <x v="9"/>
    <x v="1"/>
    <x v="2"/>
    <x v="20"/>
    <x v="67"/>
    <x v="800"/>
    <x v="0"/>
    <x v="26"/>
    <x v="1"/>
  </r>
  <r>
    <x v="26"/>
    <x v="293"/>
    <x v="9"/>
    <x v="9"/>
    <x v="1"/>
    <x v="2"/>
    <x v="20"/>
    <x v="67"/>
    <x v="800"/>
    <x v="0"/>
    <x v="26"/>
    <x v="1"/>
  </r>
  <r>
    <x v="26"/>
    <x v="262"/>
    <x v="9"/>
    <x v="9"/>
    <x v="1"/>
    <x v="2"/>
    <x v="20"/>
    <x v="67"/>
    <x v="800"/>
    <x v="0"/>
    <x v="26"/>
    <x v="1"/>
  </r>
  <r>
    <x v="26"/>
    <x v="219"/>
    <x v="9"/>
    <x v="9"/>
    <x v="1"/>
    <x v="2"/>
    <x v="25"/>
    <x v="308"/>
    <x v="804"/>
    <x v="0"/>
    <x v="26"/>
    <x v="1"/>
  </r>
  <r>
    <x v="26"/>
    <x v="255"/>
    <x v="9"/>
    <x v="9"/>
    <x v="1"/>
    <x v="2"/>
    <x v="20"/>
    <x v="67"/>
    <x v="800"/>
    <x v="0"/>
    <x v="26"/>
    <x v="1"/>
  </r>
  <r>
    <x v="26"/>
    <x v="248"/>
    <x v="10"/>
    <x v="10"/>
    <x v="1"/>
    <x v="2"/>
    <x v="20"/>
    <x v="67"/>
    <x v="800"/>
    <x v="0"/>
    <x v="26"/>
    <x v="1"/>
  </r>
  <r>
    <x v="26"/>
    <x v="244"/>
    <x v="10"/>
    <x v="10"/>
    <x v="1"/>
    <x v="2"/>
    <x v="20"/>
    <x v="67"/>
    <x v="800"/>
    <x v="0"/>
    <x v="26"/>
    <x v="1"/>
  </r>
  <r>
    <x v="26"/>
    <x v="287"/>
    <x v="10"/>
    <x v="10"/>
    <x v="1"/>
    <x v="2"/>
    <x v="20"/>
    <x v="67"/>
    <x v="800"/>
    <x v="0"/>
    <x v="26"/>
    <x v="1"/>
  </r>
  <r>
    <x v="26"/>
    <x v="220"/>
    <x v="11"/>
    <x v="11"/>
    <x v="1"/>
    <x v="2"/>
    <x v="25"/>
    <x v="309"/>
    <x v="891"/>
    <x v="0"/>
    <x v="26"/>
    <x v="1"/>
  </r>
  <r>
    <x v="26"/>
    <x v="201"/>
    <x v="11"/>
    <x v="11"/>
    <x v="1"/>
    <x v="2"/>
    <x v="20"/>
    <x v="67"/>
    <x v="800"/>
    <x v="0"/>
    <x v="26"/>
    <x v="1"/>
  </r>
  <r>
    <x v="26"/>
    <x v="213"/>
    <x v="11"/>
    <x v="11"/>
    <x v="1"/>
    <x v="2"/>
    <x v="20"/>
    <x v="67"/>
    <x v="800"/>
    <x v="0"/>
    <x v="26"/>
    <x v="1"/>
  </r>
  <r>
    <x v="26"/>
    <x v="275"/>
    <x v="11"/>
    <x v="11"/>
    <x v="1"/>
    <x v="2"/>
    <x v="20"/>
    <x v="67"/>
    <x v="770"/>
    <x v="0"/>
    <x v="26"/>
    <x v="1"/>
  </r>
  <r>
    <x v="26"/>
    <x v="294"/>
    <x v="11"/>
    <x v="11"/>
    <x v="1"/>
    <x v="2"/>
    <x v="20"/>
    <x v="67"/>
    <x v="770"/>
    <x v="0"/>
    <x v="26"/>
    <x v="1"/>
  </r>
  <r>
    <x v="26"/>
    <x v="295"/>
    <x v="2"/>
    <x v="2"/>
    <x v="1"/>
    <x v="2"/>
    <x v="25"/>
    <x v="310"/>
    <x v="800"/>
    <x v="0"/>
    <x v="26"/>
    <x v="1"/>
  </r>
  <r>
    <x v="26"/>
    <x v="276"/>
    <x v="2"/>
    <x v="2"/>
    <x v="1"/>
    <x v="2"/>
    <x v="20"/>
    <x v="67"/>
    <x v="1849"/>
    <x v="0"/>
    <x v="26"/>
    <x v="1"/>
  </r>
  <r>
    <x v="26"/>
    <x v="264"/>
    <x v="6"/>
    <x v="6"/>
    <x v="1"/>
    <x v="2"/>
    <x v="25"/>
    <x v="311"/>
    <x v="951"/>
    <x v="0"/>
    <x v="26"/>
    <x v="1"/>
  </r>
  <r>
    <x v="26"/>
    <x v="296"/>
    <x v="6"/>
    <x v="6"/>
    <x v="1"/>
    <x v="2"/>
    <x v="25"/>
    <x v="312"/>
    <x v="800"/>
    <x v="0"/>
    <x v="26"/>
    <x v="1"/>
  </r>
  <r>
    <x v="26"/>
    <x v="204"/>
    <x v="6"/>
    <x v="6"/>
    <x v="1"/>
    <x v="2"/>
    <x v="20"/>
    <x v="67"/>
    <x v="800"/>
    <x v="0"/>
    <x v="26"/>
    <x v="1"/>
  </r>
  <r>
    <x v="26"/>
    <x v="297"/>
    <x v="6"/>
    <x v="6"/>
    <x v="1"/>
    <x v="2"/>
    <x v="25"/>
    <x v="313"/>
    <x v="804"/>
    <x v="0"/>
    <x v="26"/>
    <x v="1"/>
  </r>
  <r>
    <x v="26"/>
    <x v="298"/>
    <x v="10"/>
    <x v="10"/>
    <x v="1"/>
    <x v="0"/>
    <x v="25"/>
    <x v="314"/>
    <x v="2723"/>
    <x v="0"/>
    <x v="26"/>
    <x v="1"/>
  </r>
  <r>
    <x v="26"/>
    <x v="299"/>
    <x v="11"/>
    <x v="11"/>
    <x v="1"/>
    <x v="0"/>
    <x v="25"/>
    <x v="315"/>
    <x v="2723"/>
    <x v="0"/>
    <x v="26"/>
    <x v="1"/>
  </r>
  <r>
    <x v="26"/>
    <x v="300"/>
    <x v="2"/>
    <x v="2"/>
    <x v="1"/>
    <x v="0"/>
    <x v="25"/>
    <x v="316"/>
    <x v="803"/>
    <x v="0"/>
    <x v="26"/>
    <x v="1"/>
  </r>
  <r>
    <x v="26"/>
    <x v="280"/>
    <x v="2"/>
    <x v="2"/>
    <x v="1"/>
    <x v="0"/>
    <x v="25"/>
    <x v="295"/>
    <x v="2724"/>
    <x v="0"/>
    <x v="26"/>
    <x v="1"/>
  </r>
  <r>
    <x v="26"/>
    <x v="264"/>
    <x v="6"/>
    <x v="6"/>
    <x v="1"/>
    <x v="0"/>
    <x v="25"/>
    <x v="311"/>
    <x v="803"/>
    <x v="0"/>
    <x v="26"/>
    <x v="1"/>
  </r>
  <r>
    <x v="26"/>
    <x v="204"/>
    <x v="6"/>
    <x v="6"/>
    <x v="1"/>
    <x v="0"/>
    <x v="25"/>
    <x v="317"/>
    <x v="803"/>
    <x v="0"/>
    <x v="26"/>
    <x v="1"/>
  </r>
  <r>
    <x v="26"/>
    <x v="191"/>
    <x v="6"/>
    <x v="6"/>
    <x v="1"/>
    <x v="0"/>
    <x v="25"/>
    <x v="318"/>
    <x v="2725"/>
    <x v="0"/>
    <x v="26"/>
    <x v="1"/>
  </r>
  <r>
    <x v="26"/>
    <x v="212"/>
    <x v="10"/>
    <x v="10"/>
    <x v="1"/>
    <x v="1"/>
    <x v="25"/>
    <x v="319"/>
    <x v="832"/>
    <x v="0"/>
    <x v="26"/>
    <x v="1"/>
  </r>
  <r>
    <x v="27"/>
    <x v="252"/>
    <x v="7"/>
    <x v="7"/>
    <x v="1"/>
    <x v="2"/>
    <x v="20"/>
    <x v="86"/>
    <x v="742"/>
    <x v="0"/>
    <x v="27"/>
    <x v="1"/>
  </r>
  <r>
    <x v="27"/>
    <x v="261"/>
    <x v="8"/>
    <x v="8"/>
    <x v="1"/>
    <x v="2"/>
    <x v="21"/>
    <x v="320"/>
    <x v="814"/>
    <x v="0"/>
    <x v="27"/>
    <x v="1"/>
  </r>
  <r>
    <x v="27"/>
    <x v="186"/>
    <x v="10"/>
    <x v="10"/>
    <x v="1"/>
    <x v="2"/>
    <x v="25"/>
    <x v="321"/>
    <x v="814"/>
    <x v="0"/>
    <x v="27"/>
    <x v="1"/>
  </r>
  <r>
    <x v="28"/>
    <x v="207"/>
    <x v="8"/>
    <x v="8"/>
    <x v="1"/>
    <x v="2"/>
    <x v="20"/>
    <x v="87"/>
    <x v="899"/>
    <x v="0"/>
    <x v="28"/>
    <x v="1"/>
  </r>
  <r>
    <x v="28"/>
    <x v="176"/>
    <x v="10"/>
    <x v="10"/>
    <x v="1"/>
    <x v="2"/>
    <x v="20"/>
    <x v="87"/>
    <x v="900"/>
    <x v="0"/>
    <x v="28"/>
    <x v="1"/>
  </r>
  <r>
    <x v="28"/>
    <x v="177"/>
    <x v="11"/>
    <x v="11"/>
    <x v="1"/>
    <x v="2"/>
    <x v="20"/>
    <x v="87"/>
    <x v="815"/>
    <x v="0"/>
    <x v="28"/>
    <x v="1"/>
  </r>
  <r>
    <x v="28"/>
    <x v="223"/>
    <x v="2"/>
    <x v="2"/>
    <x v="1"/>
    <x v="2"/>
    <x v="20"/>
    <x v="87"/>
    <x v="849"/>
    <x v="0"/>
    <x v="28"/>
    <x v="1"/>
  </r>
  <r>
    <x v="28"/>
    <x v="264"/>
    <x v="6"/>
    <x v="6"/>
    <x v="1"/>
    <x v="2"/>
    <x v="20"/>
    <x v="87"/>
    <x v="900"/>
    <x v="0"/>
    <x v="28"/>
    <x v="1"/>
  </r>
  <r>
    <x v="73"/>
    <x v="290"/>
    <x v="9"/>
    <x v="9"/>
    <x v="1"/>
    <x v="2"/>
    <x v="20"/>
    <x v="88"/>
    <x v="748"/>
    <x v="0"/>
    <x v="73"/>
    <x v="1"/>
  </r>
  <r>
    <x v="73"/>
    <x v="299"/>
    <x v="11"/>
    <x v="11"/>
    <x v="1"/>
    <x v="2"/>
    <x v="25"/>
    <x v="315"/>
    <x v="2726"/>
    <x v="0"/>
    <x v="73"/>
    <x v="1"/>
  </r>
  <r>
    <x v="73"/>
    <x v="215"/>
    <x v="2"/>
    <x v="2"/>
    <x v="1"/>
    <x v="2"/>
    <x v="26"/>
    <x v="322"/>
    <x v="1"/>
    <x v="579"/>
    <x v="73"/>
    <x v="1"/>
  </r>
  <r>
    <x v="73"/>
    <x v="270"/>
    <x v="2"/>
    <x v="2"/>
    <x v="1"/>
    <x v="2"/>
    <x v="20"/>
    <x v="88"/>
    <x v="2727"/>
    <x v="0"/>
    <x v="73"/>
    <x v="1"/>
  </r>
  <r>
    <x v="73"/>
    <x v="217"/>
    <x v="6"/>
    <x v="6"/>
    <x v="1"/>
    <x v="2"/>
    <x v="20"/>
    <x v="88"/>
    <x v="740"/>
    <x v="0"/>
    <x v="73"/>
    <x v="1"/>
  </r>
  <r>
    <x v="73"/>
    <x v="217"/>
    <x v="6"/>
    <x v="6"/>
    <x v="1"/>
    <x v="2"/>
    <x v="25"/>
    <x v="323"/>
    <x v="2728"/>
    <x v="0"/>
    <x v="73"/>
    <x v="1"/>
  </r>
  <r>
    <x v="73"/>
    <x v="191"/>
    <x v="6"/>
    <x v="6"/>
    <x v="1"/>
    <x v="2"/>
    <x v="25"/>
    <x v="318"/>
    <x v="2726"/>
    <x v="0"/>
    <x v="73"/>
    <x v="1"/>
  </r>
  <r>
    <x v="73"/>
    <x v="298"/>
    <x v="10"/>
    <x v="10"/>
    <x v="1"/>
    <x v="0"/>
    <x v="25"/>
    <x v="314"/>
    <x v="2726"/>
    <x v="0"/>
    <x v="73"/>
    <x v="1"/>
  </r>
  <r>
    <x v="73"/>
    <x v="300"/>
    <x v="2"/>
    <x v="2"/>
    <x v="1"/>
    <x v="0"/>
    <x v="25"/>
    <x v="316"/>
    <x v="819"/>
    <x v="0"/>
    <x v="73"/>
    <x v="1"/>
  </r>
  <r>
    <x v="73"/>
    <x v="280"/>
    <x v="2"/>
    <x v="2"/>
    <x v="1"/>
    <x v="0"/>
    <x v="25"/>
    <x v="295"/>
    <x v="822"/>
    <x v="0"/>
    <x v="73"/>
    <x v="1"/>
  </r>
  <r>
    <x v="73"/>
    <x v="217"/>
    <x v="6"/>
    <x v="6"/>
    <x v="1"/>
    <x v="1"/>
    <x v="25"/>
    <x v="323"/>
    <x v="861"/>
    <x v="0"/>
    <x v="73"/>
    <x v="1"/>
  </r>
  <r>
    <x v="29"/>
    <x v="253"/>
    <x v="7"/>
    <x v="7"/>
    <x v="1"/>
    <x v="2"/>
    <x v="20"/>
    <x v="92"/>
    <x v="826"/>
    <x v="0"/>
    <x v="29"/>
    <x v="1"/>
  </r>
  <r>
    <x v="29"/>
    <x v="245"/>
    <x v="8"/>
    <x v="8"/>
    <x v="1"/>
    <x v="2"/>
    <x v="21"/>
    <x v="285"/>
    <x v="814"/>
    <x v="0"/>
    <x v="29"/>
    <x v="1"/>
  </r>
  <r>
    <x v="29"/>
    <x v="208"/>
    <x v="8"/>
    <x v="8"/>
    <x v="1"/>
    <x v="2"/>
    <x v="20"/>
    <x v="92"/>
    <x v="2582"/>
    <x v="0"/>
    <x v="29"/>
    <x v="1"/>
  </r>
  <r>
    <x v="29"/>
    <x v="301"/>
    <x v="9"/>
    <x v="9"/>
    <x v="1"/>
    <x v="2"/>
    <x v="20"/>
    <x v="92"/>
    <x v="2729"/>
    <x v="0"/>
    <x v="29"/>
    <x v="1"/>
  </r>
  <r>
    <x v="29"/>
    <x v="255"/>
    <x v="9"/>
    <x v="9"/>
    <x v="1"/>
    <x v="2"/>
    <x v="20"/>
    <x v="92"/>
    <x v="826"/>
    <x v="0"/>
    <x v="29"/>
    <x v="1"/>
  </r>
  <r>
    <x v="29"/>
    <x v="302"/>
    <x v="11"/>
    <x v="11"/>
    <x v="1"/>
    <x v="2"/>
    <x v="25"/>
    <x v="324"/>
    <x v="814"/>
    <x v="0"/>
    <x v="29"/>
    <x v="1"/>
  </r>
  <r>
    <x v="29"/>
    <x v="273"/>
    <x v="11"/>
    <x v="11"/>
    <x v="1"/>
    <x v="2"/>
    <x v="20"/>
    <x v="92"/>
    <x v="2730"/>
    <x v="0"/>
    <x v="29"/>
    <x v="1"/>
  </r>
  <r>
    <x v="29"/>
    <x v="277"/>
    <x v="7"/>
    <x v="7"/>
    <x v="1"/>
    <x v="0"/>
    <x v="21"/>
    <x v="325"/>
    <x v="2731"/>
    <x v="0"/>
    <x v="29"/>
    <x v="1"/>
  </r>
  <r>
    <x v="29"/>
    <x v="251"/>
    <x v="8"/>
    <x v="8"/>
    <x v="1"/>
    <x v="0"/>
    <x v="21"/>
    <x v="291"/>
    <x v="858"/>
    <x v="0"/>
    <x v="29"/>
    <x v="1"/>
  </r>
  <r>
    <x v="29"/>
    <x v="254"/>
    <x v="8"/>
    <x v="8"/>
    <x v="1"/>
    <x v="0"/>
    <x v="21"/>
    <x v="326"/>
    <x v="2731"/>
    <x v="0"/>
    <x v="29"/>
    <x v="1"/>
  </r>
  <r>
    <x v="29"/>
    <x v="303"/>
    <x v="9"/>
    <x v="9"/>
    <x v="1"/>
    <x v="0"/>
    <x v="21"/>
    <x v="327"/>
    <x v="2731"/>
    <x v="0"/>
    <x v="29"/>
    <x v="1"/>
  </r>
  <r>
    <x v="29"/>
    <x v="187"/>
    <x v="11"/>
    <x v="11"/>
    <x v="1"/>
    <x v="0"/>
    <x v="25"/>
    <x v="328"/>
    <x v="828"/>
    <x v="0"/>
    <x v="29"/>
    <x v="1"/>
  </r>
  <r>
    <x v="29"/>
    <x v="304"/>
    <x v="2"/>
    <x v="2"/>
    <x v="1"/>
    <x v="0"/>
    <x v="25"/>
    <x v="329"/>
    <x v="830"/>
    <x v="0"/>
    <x v="29"/>
    <x v="1"/>
  </r>
  <r>
    <x v="29"/>
    <x v="183"/>
    <x v="2"/>
    <x v="2"/>
    <x v="1"/>
    <x v="0"/>
    <x v="25"/>
    <x v="330"/>
    <x v="2732"/>
    <x v="0"/>
    <x v="29"/>
    <x v="1"/>
  </r>
  <r>
    <x v="29"/>
    <x v="305"/>
    <x v="6"/>
    <x v="6"/>
    <x v="1"/>
    <x v="0"/>
    <x v="25"/>
    <x v="331"/>
    <x v="2731"/>
    <x v="0"/>
    <x v="29"/>
    <x v="1"/>
  </r>
  <r>
    <x v="29"/>
    <x v="229"/>
    <x v="6"/>
    <x v="6"/>
    <x v="1"/>
    <x v="0"/>
    <x v="25"/>
    <x v="281"/>
    <x v="744"/>
    <x v="0"/>
    <x v="29"/>
    <x v="1"/>
  </r>
  <r>
    <x v="30"/>
    <x v="277"/>
    <x v="7"/>
    <x v="7"/>
    <x v="1"/>
    <x v="2"/>
    <x v="20"/>
    <x v="98"/>
    <x v="815"/>
    <x v="0"/>
    <x v="30"/>
    <x v="1"/>
  </r>
  <r>
    <x v="30"/>
    <x v="255"/>
    <x v="9"/>
    <x v="9"/>
    <x v="1"/>
    <x v="2"/>
    <x v="25"/>
    <x v="293"/>
    <x v="2714"/>
    <x v="0"/>
    <x v="30"/>
    <x v="1"/>
  </r>
  <r>
    <x v="30"/>
    <x v="198"/>
    <x v="10"/>
    <x v="10"/>
    <x v="1"/>
    <x v="2"/>
    <x v="20"/>
    <x v="98"/>
    <x v="770"/>
    <x v="0"/>
    <x v="30"/>
    <x v="1"/>
  </r>
  <r>
    <x v="31"/>
    <x v="252"/>
    <x v="7"/>
    <x v="7"/>
    <x v="1"/>
    <x v="2"/>
    <x v="20"/>
    <x v="99"/>
    <x v="785"/>
    <x v="0"/>
    <x v="31"/>
    <x v="1"/>
  </r>
  <r>
    <x v="31"/>
    <x v="251"/>
    <x v="8"/>
    <x v="8"/>
    <x v="1"/>
    <x v="2"/>
    <x v="20"/>
    <x v="99"/>
    <x v="779"/>
    <x v="0"/>
    <x v="31"/>
    <x v="1"/>
  </r>
  <r>
    <x v="31"/>
    <x v="185"/>
    <x v="8"/>
    <x v="8"/>
    <x v="1"/>
    <x v="2"/>
    <x v="20"/>
    <x v="99"/>
    <x v="187"/>
    <x v="0"/>
    <x v="31"/>
    <x v="1"/>
  </r>
  <r>
    <x v="31"/>
    <x v="306"/>
    <x v="9"/>
    <x v="9"/>
    <x v="1"/>
    <x v="2"/>
    <x v="20"/>
    <x v="99"/>
    <x v="785"/>
    <x v="0"/>
    <x v="31"/>
    <x v="1"/>
  </r>
  <r>
    <x v="31"/>
    <x v="293"/>
    <x v="9"/>
    <x v="9"/>
    <x v="1"/>
    <x v="2"/>
    <x v="20"/>
    <x v="99"/>
    <x v="785"/>
    <x v="0"/>
    <x v="31"/>
    <x v="1"/>
  </r>
  <r>
    <x v="31"/>
    <x v="231"/>
    <x v="10"/>
    <x v="10"/>
    <x v="1"/>
    <x v="2"/>
    <x v="20"/>
    <x v="99"/>
    <x v="785"/>
    <x v="0"/>
    <x v="31"/>
    <x v="1"/>
  </r>
  <r>
    <x v="31"/>
    <x v="300"/>
    <x v="2"/>
    <x v="2"/>
    <x v="1"/>
    <x v="2"/>
    <x v="25"/>
    <x v="316"/>
    <x v="1951"/>
    <x v="0"/>
    <x v="31"/>
    <x v="1"/>
  </r>
  <r>
    <x v="31"/>
    <x v="307"/>
    <x v="2"/>
    <x v="2"/>
    <x v="1"/>
    <x v="2"/>
    <x v="20"/>
    <x v="99"/>
    <x v="785"/>
    <x v="0"/>
    <x v="31"/>
    <x v="1"/>
  </r>
  <r>
    <x v="31"/>
    <x v="216"/>
    <x v="2"/>
    <x v="2"/>
    <x v="1"/>
    <x v="2"/>
    <x v="25"/>
    <x v="332"/>
    <x v="2733"/>
    <x v="0"/>
    <x v="31"/>
    <x v="1"/>
  </r>
  <r>
    <x v="31"/>
    <x v="280"/>
    <x v="2"/>
    <x v="2"/>
    <x v="1"/>
    <x v="2"/>
    <x v="25"/>
    <x v="295"/>
    <x v="807"/>
    <x v="0"/>
    <x v="31"/>
    <x v="1"/>
  </r>
  <r>
    <x v="31"/>
    <x v="246"/>
    <x v="2"/>
    <x v="2"/>
    <x v="1"/>
    <x v="2"/>
    <x v="25"/>
    <x v="287"/>
    <x v="898"/>
    <x v="0"/>
    <x v="31"/>
    <x v="1"/>
  </r>
  <r>
    <x v="31"/>
    <x v="305"/>
    <x v="6"/>
    <x v="6"/>
    <x v="1"/>
    <x v="2"/>
    <x v="26"/>
    <x v="331"/>
    <x v="1"/>
    <x v="580"/>
    <x v="31"/>
    <x v="1"/>
  </r>
  <r>
    <x v="31"/>
    <x v="203"/>
    <x v="6"/>
    <x v="6"/>
    <x v="1"/>
    <x v="2"/>
    <x v="20"/>
    <x v="99"/>
    <x v="785"/>
    <x v="0"/>
    <x v="31"/>
    <x v="1"/>
  </r>
  <r>
    <x v="31"/>
    <x v="190"/>
    <x v="6"/>
    <x v="6"/>
    <x v="1"/>
    <x v="2"/>
    <x v="20"/>
    <x v="99"/>
    <x v="779"/>
    <x v="0"/>
    <x v="31"/>
    <x v="1"/>
  </r>
  <r>
    <x v="31"/>
    <x v="191"/>
    <x v="6"/>
    <x v="6"/>
    <x v="1"/>
    <x v="2"/>
    <x v="25"/>
    <x v="318"/>
    <x v="839"/>
    <x v="0"/>
    <x v="31"/>
    <x v="1"/>
  </r>
  <r>
    <x v="31"/>
    <x v="308"/>
    <x v="7"/>
    <x v="7"/>
    <x v="1"/>
    <x v="0"/>
    <x v="21"/>
    <x v="333"/>
    <x v="2734"/>
    <x v="0"/>
    <x v="31"/>
    <x v="1"/>
  </r>
  <r>
    <x v="31"/>
    <x v="309"/>
    <x v="7"/>
    <x v="7"/>
    <x v="1"/>
    <x v="0"/>
    <x v="21"/>
    <x v="334"/>
    <x v="885"/>
    <x v="0"/>
    <x v="31"/>
    <x v="1"/>
  </r>
  <r>
    <x v="31"/>
    <x v="310"/>
    <x v="10"/>
    <x v="10"/>
    <x v="1"/>
    <x v="0"/>
    <x v="25"/>
    <x v="335"/>
    <x v="1588"/>
    <x v="0"/>
    <x v="31"/>
    <x v="1"/>
  </r>
  <r>
    <x v="31"/>
    <x v="298"/>
    <x v="10"/>
    <x v="10"/>
    <x v="1"/>
    <x v="0"/>
    <x v="25"/>
    <x v="314"/>
    <x v="839"/>
    <x v="0"/>
    <x v="31"/>
    <x v="1"/>
  </r>
  <r>
    <x v="31"/>
    <x v="264"/>
    <x v="6"/>
    <x v="6"/>
    <x v="1"/>
    <x v="0"/>
    <x v="25"/>
    <x v="311"/>
    <x v="839"/>
    <x v="0"/>
    <x v="31"/>
    <x v="1"/>
  </r>
  <r>
    <x v="31"/>
    <x v="204"/>
    <x v="6"/>
    <x v="6"/>
    <x v="1"/>
    <x v="0"/>
    <x v="25"/>
    <x v="317"/>
    <x v="839"/>
    <x v="0"/>
    <x v="31"/>
    <x v="1"/>
  </r>
  <r>
    <x v="31"/>
    <x v="306"/>
    <x v="9"/>
    <x v="9"/>
    <x v="1"/>
    <x v="1"/>
    <x v="21"/>
    <x v="336"/>
    <x v="2533"/>
    <x v="0"/>
    <x v="31"/>
    <x v="1"/>
  </r>
  <r>
    <x v="31"/>
    <x v="293"/>
    <x v="9"/>
    <x v="9"/>
    <x v="1"/>
    <x v="1"/>
    <x v="21"/>
    <x v="337"/>
    <x v="840"/>
    <x v="0"/>
    <x v="31"/>
    <x v="1"/>
  </r>
  <r>
    <x v="31"/>
    <x v="255"/>
    <x v="9"/>
    <x v="9"/>
    <x v="1"/>
    <x v="1"/>
    <x v="25"/>
    <x v="293"/>
    <x v="819"/>
    <x v="0"/>
    <x v="31"/>
    <x v="1"/>
  </r>
  <r>
    <x v="31"/>
    <x v="198"/>
    <x v="10"/>
    <x v="10"/>
    <x v="1"/>
    <x v="1"/>
    <x v="25"/>
    <x v="338"/>
    <x v="838"/>
    <x v="0"/>
    <x v="31"/>
    <x v="1"/>
  </r>
  <r>
    <x v="31"/>
    <x v="268"/>
    <x v="10"/>
    <x v="10"/>
    <x v="1"/>
    <x v="1"/>
    <x v="25"/>
    <x v="339"/>
    <x v="839"/>
    <x v="0"/>
    <x v="31"/>
    <x v="1"/>
  </r>
  <r>
    <x v="31"/>
    <x v="299"/>
    <x v="11"/>
    <x v="11"/>
    <x v="1"/>
    <x v="1"/>
    <x v="25"/>
    <x v="315"/>
    <x v="839"/>
    <x v="0"/>
    <x v="31"/>
    <x v="1"/>
  </r>
  <r>
    <x v="31"/>
    <x v="300"/>
    <x v="2"/>
    <x v="2"/>
    <x v="1"/>
    <x v="1"/>
    <x v="25"/>
    <x v="316"/>
    <x v="2735"/>
    <x v="0"/>
    <x v="31"/>
    <x v="1"/>
  </r>
  <r>
    <x v="32"/>
    <x v="268"/>
    <x v="10"/>
    <x v="10"/>
    <x v="1"/>
    <x v="2"/>
    <x v="20"/>
    <x v="101"/>
    <x v="841"/>
    <x v="0"/>
    <x v="32"/>
    <x v="1"/>
  </r>
  <r>
    <x v="32"/>
    <x v="199"/>
    <x v="10"/>
    <x v="10"/>
    <x v="1"/>
    <x v="2"/>
    <x v="20"/>
    <x v="101"/>
    <x v="1301"/>
    <x v="0"/>
    <x v="32"/>
    <x v="1"/>
  </r>
  <r>
    <x v="32"/>
    <x v="311"/>
    <x v="11"/>
    <x v="11"/>
    <x v="1"/>
    <x v="2"/>
    <x v="20"/>
    <x v="101"/>
    <x v="1301"/>
    <x v="0"/>
    <x v="32"/>
    <x v="1"/>
  </r>
  <r>
    <x v="32"/>
    <x v="174"/>
    <x v="6"/>
    <x v="6"/>
    <x v="1"/>
    <x v="2"/>
    <x v="20"/>
    <x v="101"/>
    <x v="1301"/>
    <x v="0"/>
    <x v="32"/>
    <x v="1"/>
  </r>
  <r>
    <x v="33"/>
    <x v="312"/>
    <x v="2"/>
    <x v="2"/>
    <x v="1"/>
    <x v="2"/>
    <x v="20"/>
    <x v="340"/>
    <x v="759"/>
    <x v="0"/>
    <x v="33"/>
    <x v="1"/>
  </r>
  <r>
    <x v="33"/>
    <x v="313"/>
    <x v="6"/>
    <x v="6"/>
    <x v="1"/>
    <x v="2"/>
    <x v="25"/>
    <x v="341"/>
    <x v="899"/>
    <x v="0"/>
    <x v="33"/>
    <x v="1"/>
  </r>
  <r>
    <x v="33"/>
    <x v="190"/>
    <x v="6"/>
    <x v="6"/>
    <x v="1"/>
    <x v="2"/>
    <x v="26"/>
    <x v="342"/>
    <x v="1"/>
    <x v="355"/>
    <x v="33"/>
    <x v="1"/>
  </r>
  <r>
    <x v="34"/>
    <x v="209"/>
    <x v="7"/>
    <x v="7"/>
    <x v="1"/>
    <x v="2"/>
    <x v="20"/>
    <x v="103"/>
    <x v="748"/>
    <x v="0"/>
    <x v="34"/>
    <x v="1"/>
  </r>
  <r>
    <x v="34"/>
    <x v="195"/>
    <x v="8"/>
    <x v="8"/>
    <x v="1"/>
    <x v="2"/>
    <x v="20"/>
    <x v="103"/>
    <x v="842"/>
    <x v="0"/>
    <x v="34"/>
    <x v="1"/>
  </r>
  <r>
    <x v="34"/>
    <x v="293"/>
    <x v="9"/>
    <x v="9"/>
    <x v="1"/>
    <x v="2"/>
    <x v="20"/>
    <x v="103"/>
    <x v="842"/>
    <x v="0"/>
    <x v="34"/>
    <x v="1"/>
  </r>
  <r>
    <x v="34"/>
    <x v="180"/>
    <x v="10"/>
    <x v="10"/>
    <x v="1"/>
    <x v="2"/>
    <x v="20"/>
    <x v="103"/>
    <x v="776"/>
    <x v="0"/>
    <x v="34"/>
    <x v="1"/>
  </r>
  <r>
    <x v="34"/>
    <x v="200"/>
    <x v="11"/>
    <x v="11"/>
    <x v="1"/>
    <x v="2"/>
    <x v="20"/>
    <x v="103"/>
    <x v="743"/>
    <x v="0"/>
    <x v="34"/>
    <x v="1"/>
  </r>
  <r>
    <x v="34"/>
    <x v="215"/>
    <x v="2"/>
    <x v="2"/>
    <x v="1"/>
    <x v="2"/>
    <x v="20"/>
    <x v="103"/>
    <x v="842"/>
    <x v="0"/>
    <x v="34"/>
    <x v="1"/>
  </r>
  <r>
    <x v="34"/>
    <x v="314"/>
    <x v="6"/>
    <x v="6"/>
    <x v="1"/>
    <x v="2"/>
    <x v="20"/>
    <x v="103"/>
    <x v="744"/>
    <x v="0"/>
    <x v="34"/>
    <x v="1"/>
  </r>
  <r>
    <x v="34"/>
    <x v="229"/>
    <x v="6"/>
    <x v="6"/>
    <x v="1"/>
    <x v="2"/>
    <x v="20"/>
    <x v="103"/>
    <x v="842"/>
    <x v="0"/>
    <x v="34"/>
    <x v="1"/>
  </r>
  <r>
    <x v="35"/>
    <x v="207"/>
    <x v="8"/>
    <x v="8"/>
    <x v="1"/>
    <x v="2"/>
    <x v="20"/>
    <x v="104"/>
    <x v="745"/>
    <x v="0"/>
    <x v="35"/>
    <x v="1"/>
  </r>
  <r>
    <x v="35"/>
    <x v="226"/>
    <x v="8"/>
    <x v="8"/>
    <x v="1"/>
    <x v="2"/>
    <x v="20"/>
    <x v="104"/>
    <x v="745"/>
    <x v="0"/>
    <x v="35"/>
    <x v="1"/>
  </r>
  <r>
    <x v="35"/>
    <x v="315"/>
    <x v="2"/>
    <x v="2"/>
    <x v="1"/>
    <x v="2"/>
    <x v="20"/>
    <x v="104"/>
    <x v="748"/>
    <x v="0"/>
    <x v="35"/>
    <x v="1"/>
  </r>
  <r>
    <x v="77"/>
    <x v="244"/>
    <x v="10"/>
    <x v="10"/>
    <x v="1"/>
    <x v="2"/>
    <x v="20"/>
    <x v="343"/>
    <x v="737"/>
    <x v="0"/>
    <x v="77"/>
    <x v="1"/>
  </r>
  <r>
    <x v="36"/>
    <x v="261"/>
    <x v="8"/>
    <x v="8"/>
    <x v="1"/>
    <x v="2"/>
    <x v="21"/>
    <x v="320"/>
    <x v="814"/>
    <x v="0"/>
    <x v="36"/>
    <x v="1"/>
  </r>
  <r>
    <x v="36"/>
    <x v="208"/>
    <x v="8"/>
    <x v="8"/>
    <x v="1"/>
    <x v="2"/>
    <x v="20"/>
    <x v="105"/>
    <x v="742"/>
    <x v="0"/>
    <x v="36"/>
    <x v="1"/>
  </r>
  <r>
    <x v="36"/>
    <x v="233"/>
    <x v="10"/>
    <x v="10"/>
    <x v="1"/>
    <x v="2"/>
    <x v="25"/>
    <x v="344"/>
    <x v="814"/>
    <x v="0"/>
    <x v="36"/>
    <x v="1"/>
  </r>
  <r>
    <x v="36"/>
    <x v="189"/>
    <x v="10"/>
    <x v="10"/>
    <x v="1"/>
    <x v="2"/>
    <x v="25"/>
    <x v="345"/>
    <x v="814"/>
    <x v="0"/>
    <x v="36"/>
    <x v="1"/>
  </r>
  <r>
    <x v="36"/>
    <x v="177"/>
    <x v="11"/>
    <x v="11"/>
    <x v="1"/>
    <x v="2"/>
    <x v="25"/>
    <x v="346"/>
    <x v="814"/>
    <x v="0"/>
    <x v="36"/>
    <x v="1"/>
  </r>
  <r>
    <x v="36"/>
    <x v="221"/>
    <x v="2"/>
    <x v="2"/>
    <x v="1"/>
    <x v="2"/>
    <x v="25"/>
    <x v="347"/>
    <x v="814"/>
    <x v="0"/>
    <x v="36"/>
    <x v="1"/>
  </r>
  <r>
    <x v="36"/>
    <x v="316"/>
    <x v="2"/>
    <x v="2"/>
    <x v="1"/>
    <x v="2"/>
    <x v="25"/>
    <x v="348"/>
    <x v="814"/>
    <x v="0"/>
    <x v="36"/>
    <x v="1"/>
  </r>
  <r>
    <x v="36"/>
    <x v="204"/>
    <x v="6"/>
    <x v="6"/>
    <x v="1"/>
    <x v="2"/>
    <x v="25"/>
    <x v="317"/>
    <x v="814"/>
    <x v="0"/>
    <x v="36"/>
    <x v="1"/>
  </r>
  <r>
    <x v="36"/>
    <x v="229"/>
    <x v="6"/>
    <x v="6"/>
    <x v="1"/>
    <x v="2"/>
    <x v="25"/>
    <x v="281"/>
    <x v="814"/>
    <x v="0"/>
    <x v="36"/>
    <x v="1"/>
  </r>
  <r>
    <x v="37"/>
    <x v="237"/>
    <x v="7"/>
    <x v="7"/>
    <x v="1"/>
    <x v="2"/>
    <x v="20"/>
    <x v="108"/>
    <x v="849"/>
    <x v="0"/>
    <x v="37"/>
    <x v="1"/>
  </r>
  <r>
    <x v="37"/>
    <x v="293"/>
    <x v="9"/>
    <x v="9"/>
    <x v="1"/>
    <x v="2"/>
    <x v="20"/>
    <x v="108"/>
    <x v="849"/>
    <x v="0"/>
    <x v="37"/>
    <x v="1"/>
  </r>
  <r>
    <x v="37"/>
    <x v="317"/>
    <x v="10"/>
    <x v="10"/>
    <x v="1"/>
    <x v="2"/>
    <x v="20"/>
    <x v="108"/>
    <x v="849"/>
    <x v="0"/>
    <x v="37"/>
    <x v="1"/>
  </r>
  <r>
    <x v="37"/>
    <x v="299"/>
    <x v="11"/>
    <x v="11"/>
    <x v="1"/>
    <x v="2"/>
    <x v="20"/>
    <x v="108"/>
    <x v="849"/>
    <x v="0"/>
    <x v="37"/>
    <x v="1"/>
  </r>
  <r>
    <x v="37"/>
    <x v="193"/>
    <x v="11"/>
    <x v="11"/>
    <x v="1"/>
    <x v="2"/>
    <x v="20"/>
    <x v="108"/>
    <x v="849"/>
    <x v="0"/>
    <x v="37"/>
    <x v="1"/>
  </r>
  <r>
    <x v="37"/>
    <x v="246"/>
    <x v="2"/>
    <x v="2"/>
    <x v="1"/>
    <x v="2"/>
    <x v="25"/>
    <x v="287"/>
    <x v="736"/>
    <x v="0"/>
    <x v="37"/>
    <x v="1"/>
  </r>
  <r>
    <x v="38"/>
    <x v="308"/>
    <x v="7"/>
    <x v="7"/>
    <x v="1"/>
    <x v="2"/>
    <x v="21"/>
    <x v="333"/>
    <x v="2736"/>
    <x v="0"/>
    <x v="38"/>
    <x v="1"/>
  </r>
  <r>
    <x v="38"/>
    <x v="258"/>
    <x v="7"/>
    <x v="7"/>
    <x v="1"/>
    <x v="2"/>
    <x v="26"/>
    <x v="349"/>
    <x v="1"/>
    <x v="581"/>
    <x v="38"/>
    <x v="1"/>
  </r>
  <r>
    <x v="38"/>
    <x v="192"/>
    <x v="8"/>
    <x v="8"/>
    <x v="1"/>
    <x v="2"/>
    <x v="21"/>
    <x v="300"/>
    <x v="851"/>
    <x v="0"/>
    <x v="38"/>
    <x v="1"/>
  </r>
  <r>
    <x v="38"/>
    <x v="192"/>
    <x v="8"/>
    <x v="8"/>
    <x v="1"/>
    <x v="2"/>
    <x v="26"/>
    <x v="300"/>
    <x v="1"/>
    <x v="582"/>
    <x v="38"/>
    <x v="1"/>
  </r>
  <r>
    <x v="38"/>
    <x v="247"/>
    <x v="8"/>
    <x v="8"/>
    <x v="1"/>
    <x v="2"/>
    <x v="21"/>
    <x v="289"/>
    <x v="2737"/>
    <x v="0"/>
    <x v="38"/>
    <x v="1"/>
  </r>
  <r>
    <x v="38"/>
    <x v="318"/>
    <x v="8"/>
    <x v="8"/>
    <x v="1"/>
    <x v="2"/>
    <x v="20"/>
    <x v="114"/>
    <x v="852"/>
    <x v="0"/>
    <x v="38"/>
    <x v="1"/>
  </r>
  <r>
    <x v="38"/>
    <x v="261"/>
    <x v="8"/>
    <x v="8"/>
    <x v="1"/>
    <x v="2"/>
    <x v="20"/>
    <x v="114"/>
    <x v="852"/>
    <x v="0"/>
    <x v="38"/>
    <x v="1"/>
  </r>
  <r>
    <x v="38"/>
    <x v="319"/>
    <x v="8"/>
    <x v="8"/>
    <x v="1"/>
    <x v="2"/>
    <x v="21"/>
    <x v="350"/>
    <x v="851"/>
    <x v="0"/>
    <x v="38"/>
    <x v="1"/>
  </r>
  <r>
    <x v="38"/>
    <x v="292"/>
    <x v="9"/>
    <x v="9"/>
    <x v="1"/>
    <x v="2"/>
    <x v="20"/>
    <x v="114"/>
    <x v="743"/>
    <x v="0"/>
    <x v="38"/>
    <x v="1"/>
  </r>
  <r>
    <x v="38"/>
    <x v="290"/>
    <x v="9"/>
    <x v="9"/>
    <x v="1"/>
    <x v="2"/>
    <x v="20"/>
    <x v="114"/>
    <x v="779"/>
    <x v="0"/>
    <x v="38"/>
    <x v="1"/>
  </r>
  <r>
    <x v="38"/>
    <x v="211"/>
    <x v="9"/>
    <x v="9"/>
    <x v="1"/>
    <x v="2"/>
    <x v="25"/>
    <x v="286"/>
    <x v="2738"/>
    <x v="0"/>
    <x v="38"/>
    <x v="1"/>
  </r>
  <r>
    <x v="38"/>
    <x v="180"/>
    <x v="10"/>
    <x v="10"/>
    <x v="1"/>
    <x v="2"/>
    <x v="20"/>
    <x v="114"/>
    <x v="2015"/>
    <x v="0"/>
    <x v="38"/>
    <x v="1"/>
  </r>
  <r>
    <x v="38"/>
    <x v="282"/>
    <x v="11"/>
    <x v="11"/>
    <x v="1"/>
    <x v="2"/>
    <x v="20"/>
    <x v="114"/>
    <x v="852"/>
    <x v="0"/>
    <x v="38"/>
    <x v="1"/>
  </r>
  <r>
    <x v="38"/>
    <x v="187"/>
    <x v="11"/>
    <x v="11"/>
    <x v="1"/>
    <x v="2"/>
    <x v="20"/>
    <x v="114"/>
    <x v="852"/>
    <x v="0"/>
    <x v="38"/>
    <x v="1"/>
  </r>
  <r>
    <x v="38"/>
    <x v="202"/>
    <x v="11"/>
    <x v="11"/>
    <x v="1"/>
    <x v="2"/>
    <x v="20"/>
    <x v="114"/>
    <x v="852"/>
    <x v="0"/>
    <x v="38"/>
    <x v="1"/>
  </r>
  <r>
    <x v="38"/>
    <x v="246"/>
    <x v="2"/>
    <x v="2"/>
    <x v="1"/>
    <x v="2"/>
    <x v="20"/>
    <x v="114"/>
    <x v="852"/>
    <x v="0"/>
    <x v="38"/>
    <x v="1"/>
  </r>
  <r>
    <x v="38"/>
    <x v="271"/>
    <x v="6"/>
    <x v="6"/>
    <x v="1"/>
    <x v="2"/>
    <x v="20"/>
    <x v="114"/>
    <x v="2015"/>
    <x v="0"/>
    <x v="38"/>
    <x v="1"/>
  </r>
  <r>
    <x v="38"/>
    <x v="308"/>
    <x v="7"/>
    <x v="7"/>
    <x v="1"/>
    <x v="0"/>
    <x v="21"/>
    <x v="333"/>
    <x v="2736"/>
    <x v="0"/>
    <x v="38"/>
    <x v="1"/>
  </r>
  <r>
    <x v="38"/>
    <x v="309"/>
    <x v="7"/>
    <x v="7"/>
    <x v="1"/>
    <x v="0"/>
    <x v="21"/>
    <x v="334"/>
    <x v="848"/>
    <x v="0"/>
    <x v="38"/>
    <x v="1"/>
  </r>
  <r>
    <x v="38"/>
    <x v="306"/>
    <x v="9"/>
    <x v="9"/>
    <x v="1"/>
    <x v="1"/>
    <x v="21"/>
    <x v="336"/>
    <x v="2739"/>
    <x v="0"/>
    <x v="38"/>
    <x v="1"/>
  </r>
  <r>
    <x v="38"/>
    <x v="293"/>
    <x v="9"/>
    <x v="9"/>
    <x v="1"/>
    <x v="1"/>
    <x v="21"/>
    <x v="337"/>
    <x v="2740"/>
    <x v="0"/>
    <x v="38"/>
    <x v="1"/>
  </r>
  <r>
    <x v="39"/>
    <x v="253"/>
    <x v="7"/>
    <x v="7"/>
    <x v="1"/>
    <x v="2"/>
    <x v="21"/>
    <x v="292"/>
    <x v="856"/>
    <x v="0"/>
    <x v="39"/>
    <x v="1"/>
  </r>
  <r>
    <x v="39"/>
    <x v="200"/>
    <x v="11"/>
    <x v="11"/>
    <x v="1"/>
    <x v="2"/>
    <x v="25"/>
    <x v="351"/>
    <x v="2741"/>
    <x v="0"/>
    <x v="39"/>
    <x v="1"/>
  </r>
  <r>
    <x v="39"/>
    <x v="296"/>
    <x v="6"/>
    <x v="6"/>
    <x v="1"/>
    <x v="2"/>
    <x v="25"/>
    <x v="312"/>
    <x v="2741"/>
    <x v="0"/>
    <x v="39"/>
    <x v="1"/>
  </r>
  <r>
    <x v="39"/>
    <x v="303"/>
    <x v="9"/>
    <x v="9"/>
    <x v="1"/>
    <x v="1"/>
    <x v="21"/>
    <x v="327"/>
    <x v="856"/>
    <x v="0"/>
    <x v="39"/>
    <x v="1"/>
  </r>
  <r>
    <x v="40"/>
    <x v="290"/>
    <x v="9"/>
    <x v="9"/>
    <x v="1"/>
    <x v="2"/>
    <x v="20"/>
    <x v="121"/>
    <x v="754"/>
    <x v="0"/>
    <x v="40"/>
    <x v="1"/>
  </r>
  <r>
    <x v="40"/>
    <x v="282"/>
    <x v="11"/>
    <x v="11"/>
    <x v="1"/>
    <x v="2"/>
    <x v="20"/>
    <x v="121"/>
    <x v="754"/>
    <x v="0"/>
    <x v="40"/>
    <x v="1"/>
  </r>
  <r>
    <x v="40"/>
    <x v="220"/>
    <x v="11"/>
    <x v="11"/>
    <x v="1"/>
    <x v="2"/>
    <x v="25"/>
    <x v="309"/>
    <x v="749"/>
    <x v="0"/>
    <x v="40"/>
    <x v="1"/>
  </r>
  <r>
    <x v="40"/>
    <x v="246"/>
    <x v="2"/>
    <x v="2"/>
    <x v="1"/>
    <x v="2"/>
    <x v="20"/>
    <x v="121"/>
    <x v="795"/>
    <x v="0"/>
    <x v="40"/>
    <x v="1"/>
  </r>
  <r>
    <x v="74"/>
    <x v="171"/>
    <x v="7"/>
    <x v="7"/>
    <x v="1"/>
    <x v="2"/>
    <x v="20"/>
    <x v="122"/>
    <x v="1303"/>
    <x v="0"/>
    <x v="74"/>
    <x v="1"/>
  </r>
  <r>
    <x v="74"/>
    <x v="237"/>
    <x v="7"/>
    <x v="7"/>
    <x v="1"/>
    <x v="2"/>
    <x v="20"/>
    <x v="122"/>
    <x v="781"/>
    <x v="0"/>
    <x v="74"/>
    <x v="1"/>
  </r>
  <r>
    <x v="74"/>
    <x v="251"/>
    <x v="8"/>
    <x v="8"/>
    <x v="1"/>
    <x v="2"/>
    <x v="21"/>
    <x v="291"/>
    <x v="2726"/>
    <x v="0"/>
    <x v="74"/>
    <x v="1"/>
  </r>
  <r>
    <x v="74"/>
    <x v="247"/>
    <x v="8"/>
    <x v="8"/>
    <x v="1"/>
    <x v="2"/>
    <x v="20"/>
    <x v="122"/>
    <x v="858"/>
    <x v="0"/>
    <x v="74"/>
    <x v="1"/>
  </r>
  <r>
    <x v="74"/>
    <x v="320"/>
    <x v="8"/>
    <x v="8"/>
    <x v="1"/>
    <x v="2"/>
    <x v="20"/>
    <x v="122"/>
    <x v="858"/>
    <x v="0"/>
    <x v="74"/>
    <x v="1"/>
  </r>
  <r>
    <x v="74"/>
    <x v="173"/>
    <x v="8"/>
    <x v="8"/>
    <x v="1"/>
    <x v="2"/>
    <x v="20"/>
    <x v="122"/>
    <x v="2742"/>
    <x v="0"/>
    <x v="74"/>
    <x v="1"/>
  </r>
  <r>
    <x v="74"/>
    <x v="306"/>
    <x v="9"/>
    <x v="9"/>
    <x v="1"/>
    <x v="2"/>
    <x v="20"/>
    <x v="122"/>
    <x v="858"/>
    <x v="0"/>
    <x v="74"/>
    <x v="1"/>
  </r>
  <r>
    <x v="74"/>
    <x v="175"/>
    <x v="9"/>
    <x v="9"/>
    <x v="1"/>
    <x v="2"/>
    <x v="20"/>
    <x v="122"/>
    <x v="858"/>
    <x v="0"/>
    <x v="74"/>
    <x v="1"/>
  </r>
  <r>
    <x v="74"/>
    <x v="303"/>
    <x v="9"/>
    <x v="9"/>
    <x v="1"/>
    <x v="2"/>
    <x v="20"/>
    <x v="122"/>
    <x v="858"/>
    <x v="0"/>
    <x v="74"/>
    <x v="1"/>
  </r>
  <r>
    <x v="74"/>
    <x v="178"/>
    <x v="9"/>
    <x v="9"/>
    <x v="1"/>
    <x v="2"/>
    <x v="20"/>
    <x v="122"/>
    <x v="782"/>
    <x v="0"/>
    <x v="74"/>
    <x v="1"/>
  </r>
  <r>
    <x v="74"/>
    <x v="255"/>
    <x v="9"/>
    <x v="9"/>
    <x v="1"/>
    <x v="2"/>
    <x v="25"/>
    <x v="293"/>
    <x v="1584"/>
    <x v="0"/>
    <x v="74"/>
    <x v="1"/>
  </r>
  <r>
    <x v="74"/>
    <x v="230"/>
    <x v="9"/>
    <x v="9"/>
    <x v="1"/>
    <x v="2"/>
    <x v="20"/>
    <x v="122"/>
    <x v="874"/>
    <x v="0"/>
    <x v="74"/>
    <x v="1"/>
  </r>
  <r>
    <x v="74"/>
    <x v="263"/>
    <x v="10"/>
    <x v="10"/>
    <x v="1"/>
    <x v="2"/>
    <x v="20"/>
    <x v="122"/>
    <x v="770"/>
    <x v="0"/>
    <x v="74"/>
    <x v="1"/>
  </r>
  <r>
    <x v="74"/>
    <x v="176"/>
    <x v="10"/>
    <x v="10"/>
    <x v="1"/>
    <x v="2"/>
    <x v="20"/>
    <x v="122"/>
    <x v="874"/>
    <x v="0"/>
    <x v="74"/>
    <x v="1"/>
  </r>
  <r>
    <x v="74"/>
    <x v="274"/>
    <x v="11"/>
    <x v="11"/>
    <x v="1"/>
    <x v="2"/>
    <x v="20"/>
    <x v="122"/>
    <x v="146"/>
    <x v="0"/>
    <x v="74"/>
    <x v="1"/>
  </r>
  <r>
    <x v="74"/>
    <x v="240"/>
    <x v="2"/>
    <x v="2"/>
    <x v="1"/>
    <x v="2"/>
    <x v="20"/>
    <x v="122"/>
    <x v="858"/>
    <x v="0"/>
    <x v="74"/>
    <x v="1"/>
  </r>
  <r>
    <x v="74"/>
    <x v="223"/>
    <x v="2"/>
    <x v="2"/>
    <x v="1"/>
    <x v="2"/>
    <x v="20"/>
    <x v="122"/>
    <x v="146"/>
    <x v="0"/>
    <x v="74"/>
    <x v="1"/>
  </r>
  <r>
    <x v="74"/>
    <x v="246"/>
    <x v="2"/>
    <x v="2"/>
    <x v="1"/>
    <x v="2"/>
    <x v="25"/>
    <x v="287"/>
    <x v="936"/>
    <x v="0"/>
    <x v="74"/>
    <x v="1"/>
  </r>
  <r>
    <x v="74"/>
    <x v="312"/>
    <x v="2"/>
    <x v="2"/>
    <x v="1"/>
    <x v="2"/>
    <x v="20"/>
    <x v="122"/>
    <x v="858"/>
    <x v="0"/>
    <x v="74"/>
    <x v="1"/>
  </r>
  <r>
    <x v="74"/>
    <x v="314"/>
    <x v="6"/>
    <x v="6"/>
    <x v="1"/>
    <x v="2"/>
    <x v="20"/>
    <x v="122"/>
    <x v="735"/>
    <x v="0"/>
    <x v="74"/>
    <x v="1"/>
  </r>
  <r>
    <x v="74"/>
    <x v="255"/>
    <x v="9"/>
    <x v="9"/>
    <x v="1"/>
    <x v="0"/>
    <x v="25"/>
    <x v="293"/>
    <x v="819"/>
    <x v="0"/>
    <x v="74"/>
    <x v="1"/>
  </r>
  <r>
    <x v="74"/>
    <x v="268"/>
    <x v="10"/>
    <x v="10"/>
    <x v="1"/>
    <x v="0"/>
    <x v="25"/>
    <x v="339"/>
    <x v="819"/>
    <x v="0"/>
    <x v="74"/>
    <x v="1"/>
  </r>
  <r>
    <x v="74"/>
    <x v="204"/>
    <x v="6"/>
    <x v="6"/>
    <x v="1"/>
    <x v="0"/>
    <x v="25"/>
    <x v="317"/>
    <x v="861"/>
    <x v="0"/>
    <x v="74"/>
    <x v="1"/>
  </r>
  <r>
    <x v="74"/>
    <x v="308"/>
    <x v="7"/>
    <x v="7"/>
    <x v="1"/>
    <x v="1"/>
    <x v="21"/>
    <x v="333"/>
    <x v="2743"/>
    <x v="0"/>
    <x v="74"/>
    <x v="1"/>
  </r>
  <r>
    <x v="75"/>
    <x v="309"/>
    <x v="7"/>
    <x v="7"/>
    <x v="1"/>
    <x v="2"/>
    <x v="21"/>
    <x v="334"/>
    <x v="1849"/>
    <x v="0"/>
    <x v="75"/>
    <x v="1"/>
  </r>
  <r>
    <x v="75"/>
    <x v="319"/>
    <x v="8"/>
    <x v="8"/>
    <x v="1"/>
    <x v="2"/>
    <x v="21"/>
    <x v="350"/>
    <x v="764"/>
    <x v="0"/>
    <x v="75"/>
    <x v="1"/>
  </r>
  <r>
    <x v="75"/>
    <x v="292"/>
    <x v="9"/>
    <x v="9"/>
    <x v="1"/>
    <x v="2"/>
    <x v="21"/>
    <x v="352"/>
    <x v="835"/>
    <x v="0"/>
    <x v="75"/>
    <x v="1"/>
  </r>
  <r>
    <x v="75"/>
    <x v="178"/>
    <x v="9"/>
    <x v="9"/>
    <x v="1"/>
    <x v="2"/>
    <x v="25"/>
    <x v="353"/>
    <x v="764"/>
    <x v="0"/>
    <x v="75"/>
    <x v="1"/>
  </r>
  <r>
    <x v="75"/>
    <x v="189"/>
    <x v="10"/>
    <x v="10"/>
    <x v="1"/>
    <x v="2"/>
    <x v="25"/>
    <x v="345"/>
    <x v="765"/>
    <x v="0"/>
    <x v="75"/>
    <x v="1"/>
  </r>
  <r>
    <x v="75"/>
    <x v="273"/>
    <x v="11"/>
    <x v="11"/>
    <x v="1"/>
    <x v="2"/>
    <x v="25"/>
    <x v="354"/>
    <x v="764"/>
    <x v="0"/>
    <x v="75"/>
    <x v="1"/>
  </r>
  <r>
    <x v="75"/>
    <x v="259"/>
    <x v="7"/>
    <x v="7"/>
    <x v="1"/>
    <x v="0"/>
    <x v="21"/>
    <x v="355"/>
    <x v="2744"/>
    <x v="0"/>
    <x v="75"/>
    <x v="1"/>
  </r>
  <r>
    <x v="41"/>
    <x v="192"/>
    <x v="8"/>
    <x v="8"/>
    <x v="1"/>
    <x v="2"/>
    <x v="20"/>
    <x v="356"/>
    <x v="795"/>
    <x v="0"/>
    <x v="41"/>
    <x v="1"/>
  </r>
  <r>
    <x v="41"/>
    <x v="196"/>
    <x v="8"/>
    <x v="8"/>
    <x v="1"/>
    <x v="2"/>
    <x v="20"/>
    <x v="356"/>
    <x v="786"/>
    <x v="0"/>
    <x v="41"/>
    <x v="1"/>
  </r>
  <r>
    <x v="41"/>
    <x v="244"/>
    <x v="10"/>
    <x v="10"/>
    <x v="1"/>
    <x v="2"/>
    <x v="20"/>
    <x v="356"/>
    <x v="756"/>
    <x v="0"/>
    <x v="41"/>
    <x v="1"/>
  </r>
  <r>
    <x v="41"/>
    <x v="273"/>
    <x v="11"/>
    <x v="11"/>
    <x v="1"/>
    <x v="2"/>
    <x v="20"/>
    <x v="356"/>
    <x v="2745"/>
    <x v="0"/>
    <x v="41"/>
    <x v="1"/>
  </r>
  <r>
    <x v="42"/>
    <x v="239"/>
    <x v="10"/>
    <x v="10"/>
    <x v="1"/>
    <x v="2"/>
    <x v="20"/>
    <x v="357"/>
    <x v="777"/>
    <x v="0"/>
    <x v="42"/>
    <x v="1"/>
  </r>
  <r>
    <x v="42"/>
    <x v="287"/>
    <x v="10"/>
    <x v="10"/>
    <x v="1"/>
    <x v="2"/>
    <x v="20"/>
    <x v="357"/>
    <x v="857"/>
    <x v="0"/>
    <x v="42"/>
    <x v="1"/>
  </r>
  <r>
    <x v="43"/>
    <x v="194"/>
    <x v="9"/>
    <x v="9"/>
    <x v="1"/>
    <x v="2"/>
    <x v="20"/>
    <x v="127"/>
    <x v="755"/>
    <x v="0"/>
    <x v="43"/>
    <x v="1"/>
  </r>
  <r>
    <x v="43"/>
    <x v="176"/>
    <x v="10"/>
    <x v="10"/>
    <x v="1"/>
    <x v="2"/>
    <x v="20"/>
    <x v="127"/>
    <x v="774"/>
    <x v="0"/>
    <x v="43"/>
    <x v="1"/>
  </r>
  <r>
    <x v="43"/>
    <x v="199"/>
    <x v="10"/>
    <x v="10"/>
    <x v="1"/>
    <x v="2"/>
    <x v="20"/>
    <x v="127"/>
    <x v="745"/>
    <x v="0"/>
    <x v="43"/>
    <x v="1"/>
  </r>
  <r>
    <x v="43"/>
    <x v="273"/>
    <x v="11"/>
    <x v="11"/>
    <x v="1"/>
    <x v="2"/>
    <x v="20"/>
    <x v="127"/>
    <x v="745"/>
    <x v="0"/>
    <x v="43"/>
    <x v="1"/>
  </r>
  <r>
    <x v="43"/>
    <x v="285"/>
    <x v="6"/>
    <x v="6"/>
    <x v="1"/>
    <x v="2"/>
    <x v="20"/>
    <x v="127"/>
    <x v="756"/>
    <x v="0"/>
    <x v="43"/>
    <x v="1"/>
  </r>
  <r>
    <x v="43"/>
    <x v="174"/>
    <x v="6"/>
    <x v="6"/>
    <x v="1"/>
    <x v="2"/>
    <x v="20"/>
    <x v="127"/>
    <x v="745"/>
    <x v="0"/>
    <x v="43"/>
    <x v="1"/>
  </r>
  <r>
    <x v="43"/>
    <x v="191"/>
    <x v="6"/>
    <x v="6"/>
    <x v="1"/>
    <x v="2"/>
    <x v="20"/>
    <x v="127"/>
    <x v="745"/>
    <x v="0"/>
    <x v="43"/>
    <x v="1"/>
  </r>
  <r>
    <x v="44"/>
    <x v="321"/>
    <x v="8"/>
    <x v="8"/>
    <x v="1"/>
    <x v="2"/>
    <x v="20"/>
    <x v="128"/>
    <x v="748"/>
    <x v="0"/>
    <x v="44"/>
    <x v="1"/>
  </r>
  <r>
    <x v="44"/>
    <x v="208"/>
    <x v="8"/>
    <x v="8"/>
    <x v="1"/>
    <x v="2"/>
    <x v="20"/>
    <x v="128"/>
    <x v="747"/>
    <x v="0"/>
    <x v="44"/>
    <x v="1"/>
  </r>
  <r>
    <x v="44"/>
    <x v="186"/>
    <x v="10"/>
    <x v="10"/>
    <x v="1"/>
    <x v="2"/>
    <x v="20"/>
    <x v="128"/>
    <x v="778"/>
    <x v="0"/>
    <x v="44"/>
    <x v="1"/>
  </r>
  <r>
    <x v="44"/>
    <x v="284"/>
    <x v="2"/>
    <x v="2"/>
    <x v="1"/>
    <x v="2"/>
    <x v="20"/>
    <x v="128"/>
    <x v="744"/>
    <x v="0"/>
    <x v="44"/>
    <x v="1"/>
  </r>
  <r>
    <x v="44"/>
    <x v="305"/>
    <x v="6"/>
    <x v="6"/>
    <x v="1"/>
    <x v="2"/>
    <x v="20"/>
    <x v="128"/>
    <x v="737"/>
    <x v="0"/>
    <x v="44"/>
    <x v="1"/>
  </r>
  <r>
    <x v="44"/>
    <x v="314"/>
    <x v="6"/>
    <x v="6"/>
    <x v="1"/>
    <x v="2"/>
    <x v="20"/>
    <x v="128"/>
    <x v="737"/>
    <x v="0"/>
    <x v="44"/>
    <x v="1"/>
  </r>
  <r>
    <x v="44"/>
    <x v="236"/>
    <x v="6"/>
    <x v="6"/>
    <x v="1"/>
    <x v="2"/>
    <x v="20"/>
    <x v="128"/>
    <x v="744"/>
    <x v="0"/>
    <x v="44"/>
    <x v="1"/>
  </r>
  <r>
    <x v="44"/>
    <x v="190"/>
    <x v="6"/>
    <x v="6"/>
    <x v="1"/>
    <x v="2"/>
    <x v="20"/>
    <x v="128"/>
    <x v="842"/>
    <x v="0"/>
    <x v="44"/>
    <x v="1"/>
  </r>
  <r>
    <x v="44"/>
    <x v="191"/>
    <x v="6"/>
    <x v="6"/>
    <x v="1"/>
    <x v="2"/>
    <x v="20"/>
    <x v="128"/>
    <x v="799"/>
    <x v="0"/>
    <x v="44"/>
    <x v="1"/>
  </r>
  <r>
    <x v="45"/>
    <x v="179"/>
    <x v="7"/>
    <x v="7"/>
    <x v="1"/>
    <x v="2"/>
    <x v="20"/>
    <x v="129"/>
    <x v="742"/>
    <x v="0"/>
    <x v="45"/>
    <x v="1"/>
  </r>
  <r>
    <x v="45"/>
    <x v="254"/>
    <x v="8"/>
    <x v="8"/>
    <x v="1"/>
    <x v="2"/>
    <x v="20"/>
    <x v="129"/>
    <x v="737"/>
    <x v="0"/>
    <x v="45"/>
    <x v="1"/>
  </r>
  <r>
    <x v="45"/>
    <x v="227"/>
    <x v="9"/>
    <x v="9"/>
    <x v="1"/>
    <x v="2"/>
    <x v="20"/>
    <x v="129"/>
    <x v="744"/>
    <x v="0"/>
    <x v="45"/>
    <x v="1"/>
  </r>
  <r>
    <x v="45"/>
    <x v="175"/>
    <x v="9"/>
    <x v="9"/>
    <x v="1"/>
    <x v="2"/>
    <x v="20"/>
    <x v="129"/>
    <x v="737"/>
    <x v="0"/>
    <x v="45"/>
    <x v="1"/>
  </r>
  <r>
    <x v="45"/>
    <x v="303"/>
    <x v="9"/>
    <x v="9"/>
    <x v="1"/>
    <x v="2"/>
    <x v="20"/>
    <x v="129"/>
    <x v="744"/>
    <x v="0"/>
    <x v="45"/>
    <x v="1"/>
  </r>
  <r>
    <x v="45"/>
    <x v="197"/>
    <x v="9"/>
    <x v="9"/>
    <x v="1"/>
    <x v="2"/>
    <x v="20"/>
    <x v="129"/>
    <x v="744"/>
    <x v="0"/>
    <x v="45"/>
    <x v="1"/>
  </r>
  <r>
    <x v="45"/>
    <x v="228"/>
    <x v="9"/>
    <x v="9"/>
    <x v="1"/>
    <x v="2"/>
    <x v="20"/>
    <x v="129"/>
    <x v="744"/>
    <x v="0"/>
    <x v="45"/>
    <x v="1"/>
  </r>
  <r>
    <x v="45"/>
    <x v="214"/>
    <x v="11"/>
    <x v="11"/>
    <x v="1"/>
    <x v="2"/>
    <x v="20"/>
    <x v="129"/>
    <x v="737"/>
    <x v="0"/>
    <x v="45"/>
    <x v="1"/>
  </r>
  <r>
    <x v="45"/>
    <x v="218"/>
    <x v="6"/>
    <x v="6"/>
    <x v="1"/>
    <x v="2"/>
    <x v="20"/>
    <x v="129"/>
    <x v="744"/>
    <x v="0"/>
    <x v="45"/>
    <x v="1"/>
  </r>
  <r>
    <x v="45"/>
    <x v="271"/>
    <x v="6"/>
    <x v="6"/>
    <x v="1"/>
    <x v="2"/>
    <x v="20"/>
    <x v="129"/>
    <x v="744"/>
    <x v="0"/>
    <x v="45"/>
    <x v="1"/>
  </r>
  <r>
    <x v="46"/>
    <x v="288"/>
    <x v="7"/>
    <x v="7"/>
    <x v="1"/>
    <x v="2"/>
    <x v="20"/>
    <x v="130"/>
    <x v="744"/>
    <x v="0"/>
    <x v="46"/>
    <x v="1"/>
  </r>
  <r>
    <x v="46"/>
    <x v="258"/>
    <x v="7"/>
    <x v="7"/>
    <x v="1"/>
    <x v="2"/>
    <x v="20"/>
    <x v="130"/>
    <x v="744"/>
    <x v="0"/>
    <x v="46"/>
    <x v="1"/>
  </r>
  <r>
    <x v="46"/>
    <x v="252"/>
    <x v="7"/>
    <x v="7"/>
    <x v="1"/>
    <x v="2"/>
    <x v="20"/>
    <x v="130"/>
    <x v="744"/>
    <x v="0"/>
    <x v="46"/>
    <x v="1"/>
  </r>
  <r>
    <x v="46"/>
    <x v="271"/>
    <x v="6"/>
    <x v="6"/>
    <x v="1"/>
    <x v="2"/>
    <x v="20"/>
    <x v="130"/>
    <x v="2746"/>
    <x v="0"/>
    <x v="46"/>
    <x v="1"/>
  </r>
  <r>
    <x v="47"/>
    <x v="206"/>
    <x v="7"/>
    <x v="7"/>
    <x v="1"/>
    <x v="2"/>
    <x v="20"/>
    <x v="131"/>
    <x v="814"/>
    <x v="0"/>
    <x v="47"/>
    <x v="1"/>
  </r>
  <r>
    <x v="47"/>
    <x v="322"/>
    <x v="7"/>
    <x v="7"/>
    <x v="1"/>
    <x v="2"/>
    <x v="20"/>
    <x v="131"/>
    <x v="771"/>
    <x v="0"/>
    <x v="47"/>
    <x v="1"/>
  </r>
  <r>
    <x v="47"/>
    <x v="289"/>
    <x v="8"/>
    <x v="8"/>
    <x v="1"/>
    <x v="2"/>
    <x v="20"/>
    <x v="131"/>
    <x v="748"/>
    <x v="0"/>
    <x v="47"/>
    <x v="1"/>
  </r>
  <r>
    <x v="47"/>
    <x v="320"/>
    <x v="8"/>
    <x v="8"/>
    <x v="1"/>
    <x v="2"/>
    <x v="20"/>
    <x v="131"/>
    <x v="771"/>
    <x v="0"/>
    <x v="47"/>
    <x v="1"/>
  </r>
  <r>
    <x v="47"/>
    <x v="303"/>
    <x v="9"/>
    <x v="9"/>
    <x v="1"/>
    <x v="2"/>
    <x v="20"/>
    <x v="131"/>
    <x v="748"/>
    <x v="0"/>
    <x v="47"/>
    <x v="1"/>
  </r>
  <r>
    <x v="47"/>
    <x v="290"/>
    <x v="9"/>
    <x v="9"/>
    <x v="1"/>
    <x v="2"/>
    <x v="20"/>
    <x v="131"/>
    <x v="814"/>
    <x v="0"/>
    <x v="47"/>
    <x v="1"/>
  </r>
  <r>
    <x v="47"/>
    <x v="238"/>
    <x v="9"/>
    <x v="9"/>
    <x v="1"/>
    <x v="2"/>
    <x v="20"/>
    <x v="131"/>
    <x v="873"/>
    <x v="0"/>
    <x v="47"/>
    <x v="1"/>
  </r>
  <r>
    <x v="47"/>
    <x v="299"/>
    <x v="11"/>
    <x v="11"/>
    <x v="1"/>
    <x v="2"/>
    <x v="20"/>
    <x v="131"/>
    <x v="735"/>
    <x v="0"/>
    <x v="47"/>
    <x v="1"/>
  </r>
  <r>
    <x v="47"/>
    <x v="214"/>
    <x v="11"/>
    <x v="11"/>
    <x v="1"/>
    <x v="2"/>
    <x v="20"/>
    <x v="131"/>
    <x v="814"/>
    <x v="0"/>
    <x v="47"/>
    <x v="1"/>
  </r>
  <r>
    <x v="47"/>
    <x v="275"/>
    <x v="11"/>
    <x v="11"/>
    <x v="1"/>
    <x v="2"/>
    <x v="26"/>
    <x v="307"/>
    <x v="1"/>
    <x v="583"/>
    <x v="47"/>
    <x v="1"/>
  </r>
  <r>
    <x v="47"/>
    <x v="282"/>
    <x v="11"/>
    <x v="11"/>
    <x v="1"/>
    <x v="0"/>
    <x v="25"/>
    <x v="358"/>
    <x v="2747"/>
    <x v="0"/>
    <x v="47"/>
    <x v="1"/>
  </r>
  <r>
    <x v="47"/>
    <x v="249"/>
    <x v="11"/>
    <x v="11"/>
    <x v="1"/>
    <x v="0"/>
    <x v="25"/>
    <x v="359"/>
    <x v="1283"/>
    <x v="0"/>
    <x v="47"/>
    <x v="1"/>
  </r>
  <r>
    <x v="47"/>
    <x v="255"/>
    <x v="9"/>
    <x v="9"/>
    <x v="1"/>
    <x v="1"/>
    <x v="25"/>
    <x v="293"/>
    <x v="2748"/>
    <x v="0"/>
    <x v="47"/>
    <x v="1"/>
  </r>
  <r>
    <x v="47"/>
    <x v="268"/>
    <x v="10"/>
    <x v="10"/>
    <x v="1"/>
    <x v="1"/>
    <x v="25"/>
    <x v="339"/>
    <x v="803"/>
    <x v="0"/>
    <x v="47"/>
    <x v="1"/>
  </r>
  <r>
    <x v="48"/>
    <x v="323"/>
    <x v="8"/>
    <x v="8"/>
    <x v="1"/>
    <x v="2"/>
    <x v="20"/>
    <x v="133"/>
    <x v="842"/>
    <x v="0"/>
    <x v="48"/>
    <x v="1"/>
  </r>
  <r>
    <x v="48"/>
    <x v="196"/>
    <x v="8"/>
    <x v="8"/>
    <x v="1"/>
    <x v="2"/>
    <x v="20"/>
    <x v="133"/>
    <x v="842"/>
    <x v="0"/>
    <x v="48"/>
    <x v="1"/>
  </r>
  <r>
    <x v="48"/>
    <x v="208"/>
    <x v="8"/>
    <x v="8"/>
    <x v="1"/>
    <x v="2"/>
    <x v="20"/>
    <x v="133"/>
    <x v="778"/>
    <x v="0"/>
    <x v="48"/>
    <x v="1"/>
  </r>
  <r>
    <x v="48"/>
    <x v="173"/>
    <x v="8"/>
    <x v="8"/>
    <x v="1"/>
    <x v="2"/>
    <x v="20"/>
    <x v="133"/>
    <x v="2749"/>
    <x v="0"/>
    <x v="48"/>
    <x v="1"/>
  </r>
  <r>
    <x v="48"/>
    <x v="244"/>
    <x v="10"/>
    <x v="10"/>
    <x v="1"/>
    <x v="2"/>
    <x v="20"/>
    <x v="133"/>
    <x v="744"/>
    <x v="0"/>
    <x v="48"/>
    <x v="1"/>
  </r>
  <r>
    <x v="48"/>
    <x v="324"/>
    <x v="6"/>
    <x v="6"/>
    <x v="1"/>
    <x v="2"/>
    <x v="20"/>
    <x v="133"/>
    <x v="1277"/>
    <x v="0"/>
    <x v="48"/>
    <x v="1"/>
  </r>
  <r>
    <x v="49"/>
    <x v="195"/>
    <x v="8"/>
    <x v="8"/>
    <x v="1"/>
    <x v="2"/>
    <x v="20"/>
    <x v="134"/>
    <x v="795"/>
    <x v="0"/>
    <x v="49"/>
    <x v="1"/>
  </r>
  <r>
    <x v="49"/>
    <x v="323"/>
    <x v="8"/>
    <x v="8"/>
    <x v="1"/>
    <x v="2"/>
    <x v="20"/>
    <x v="134"/>
    <x v="784"/>
    <x v="0"/>
    <x v="49"/>
    <x v="1"/>
  </r>
  <r>
    <x v="49"/>
    <x v="194"/>
    <x v="9"/>
    <x v="9"/>
    <x v="1"/>
    <x v="2"/>
    <x v="20"/>
    <x v="134"/>
    <x v="754"/>
    <x v="0"/>
    <x v="49"/>
    <x v="1"/>
  </r>
  <r>
    <x v="49"/>
    <x v="232"/>
    <x v="10"/>
    <x v="10"/>
    <x v="1"/>
    <x v="2"/>
    <x v="20"/>
    <x v="134"/>
    <x v="776"/>
    <x v="0"/>
    <x v="49"/>
    <x v="1"/>
  </r>
  <r>
    <x v="49"/>
    <x v="325"/>
    <x v="11"/>
    <x v="11"/>
    <x v="1"/>
    <x v="2"/>
    <x v="20"/>
    <x v="134"/>
    <x v="762"/>
    <x v="0"/>
    <x v="49"/>
    <x v="1"/>
  </r>
  <r>
    <x v="49"/>
    <x v="272"/>
    <x v="11"/>
    <x v="11"/>
    <x v="1"/>
    <x v="2"/>
    <x v="25"/>
    <x v="360"/>
    <x v="814"/>
    <x v="0"/>
    <x v="49"/>
    <x v="1"/>
  </r>
  <r>
    <x v="49"/>
    <x v="213"/>
    <x v="11"/>
    <x v="11"/>
    <x v="1"/>
    <x v="2"/>
    <x v="25"/>
    <x v="361"/>
    <x v="814"/>
    <x v="0"/>
    <x v="49"/>
    <x v="1"/>
  </r>
  <r>
    <x v="49"/>
    <x v="249"/>
    <x v="11"/>
    <x v="11"/>
    <x v="1"/>
    <x v="2"/>
    <x v="20"/>
    <x v="134"/>
    <x v="784"/>
    <x v="0"/>
    <x v="49"/>
    <x v="1"/>
  </r>
  <r>
    <x v="49"/>
    <x v="181"/>
    <x v="11"/>
    <x v="11"/>
    <x v="1"/>
    <x v="2"/>
    <x v="20"/>
    <x v="134"/>
    <x v="2746"/>
    <x v="0"/>
    <x v="49"/>
    <x v="1"/>
  </r>
  <r>
    <x v="49"/>
    <x v="181"/>
    <x v="11"/>
    <x v="11"/>
    <x v="1"/>
    <x v="2"/>
    <x v="25"/>
    <x v="362"/>
    <x v="814"/>
    <x v="0"/>
    <x v="49"/>
    <x v="1"/>
  </r>
  <r>
    <x v="49"/>
    <x v="270"/>
    <x v="2"/>
    <x v="2"/>
    <x v="1"/>
    <x v="2"/>
    <x v="25"/>
    <x v="363"/>
    <x v="814"/>
    <x v="0"/>
    <x v="49"/>
    <x v="1"/>
  </r>
  <r>
    <x v="49"/>
    <x v="250"/>
    <x v="2"/>
    <x v="2"/>
    <x v="1"/>
    <x v="2"/>
    <x v="20"/>
    <x v="134"/>
    <x v="784"/>
    <x v="0"/>
    <x v="49"/>
    <x v="1"/>
  </r>
  <r>
    <x v="49"/>
    <x v="297"/>
    <x v="6"/>
    <x v="6"/>
    <x v="1"/>
    <x v="2"/>
    <x v="25"/>
    <x v="313"/>
    <x v="814"/>
    <x v="0"/>
    <x v="49"/>
    <x v="1"/>
  </r>
  <r>
    <x v="49"/>
    <x v="324"/>
    <x v="6"/>
    <x v="6"/>
    <x v="1"/>
    <x v="2"/>
    <x v="20"/>
    <x v="134"/>
    <x v="2701"/>
    <x v="0"/>
    <x v="49"/>
    <x v="1"/>
  </r>
  <r>
    <x v="50"/>
    <x v="243"/>
    <x v="10"/>
    <x v="10"/>
    <x v="1"/>
    <x v="2"/>
    <x v="20"/>
    <x v="135"/>
    <x v="744"/>
    <x v="0"/>
    <x v="50"/>
    <x v="1"/>
  </r>
  <r>
    <x v="50"/>
    <x v="316"/>
    <x v="2"/>
    <x v="2"/>
    <x v="1"/>
    <x v="2"/>
    <x v="20"/>
    <x v="135"/>
    <x v="744"/>
    <x v="0"/>
    <x v="50"/>
    <x v="1"/>
  </r>
  <r>
    <x v="50"/>
    <x v="246"/>
    <x v="2"/>
    <x v="2"/>
    <x v="1"/>
    <x v="2"/>
    <x v="20"/>
    <x v="135"/>
    <x v="744"/>
    <x v="0"/>
    <x v="50"/>
    <x v="1"/>
  </r>
  <r>
    <x v="51"/>
    <x v="254"/>
    <x v="8"/>
    <x v="8"/>
    <x v="1"/>
    <x v="2"/>
    <x v="20"/>
    <x v="136"/>
    <x v="1140"/>
    <x v="0"/>
    <x v="51"/>
    <x v="1"/>
  </r>
  <r>
    <x v="51"/>
    <x v="261"/>
    <x v="8"/>
    <x v="8"/>
    <x v="1"/>
    <x v="2"/>
    <x v="20"/>
    <x v="136"/>
    <x v="748"/>
    <x v="0"/>
    <x v="51"/>
    <x v="1"/>
  </r>
  <r>
    <x v="51"/>
    <x v="323"/>
    <x v="8"/>
    <x v="8"/>
    <x v="1"/>
    <x v="2"/>
    <x v="20"/>
    <x v="136"/>
    <x v="842"/>
    <x v="0"/>
    <x v="51"/>
    <x v="1"/>
  </r>
  <r>
    <x v="51"/>
    <x v="207"/>
    <x v="8"/>
    <x v="8"/>
    <x v="1"/>
    <x v="2"/>
    <x v="20"/>
    <x v="136"/>
    <x v="842"/>
    <x v="0"/>
    <x v="51"/>
    <x v="1"/>
  </r>
  <r>
    <x v="51"/>
    <x v="221"/>
    <x v="2"/>
    <x v="2"/>
    <x v="1"/>
    <x v="2"/>
    <x v="20"/>
    <x v="136"/>
    <x v="751"/>
    <x v="0"/>
    <x v="51"/>
    <x v="1"/>
  </r>
  <r>
    <x v="51"/>
    <x v="270"/>
    <x v="2"/>
    <x v="2"/>
    <x v="1"/>
    <x v="2"/>
    <x v="20"/>
    <x v="136"/>
    <x v="739"/>
    <x v="0"/>
    <x v="51"/>
    <x v="1"/>
  </r>
  <r>
    <x v="51"/>
    <x v="188"/>
    <x v="6"/>
    <x v="6"/>
    <x v="1"/>
    <x v="2"/>
    <x v="20"/>
    <x v="136"/>
    <x v="842"/>
    <x v="0"/>
    <x v="51"/>
    <x v="1"/>
  </r>
  <r>
    <x v="52"/>
    <x v="206"/>
    <x v="7"/>
    <x v="7"/>
    <x v="1"/>
    <x v="2"/>
    <x v="20"/>
    <x v="137"/>
    <x v="2750"/>
    <x v="0"/>
    <x v="52"/>
    <x v="1"/>
  </r>
  <r>
    <x v="52"/>
    <x v="237"/>
    <x v="7"/>
    <x v="7"/>
    <x v="1"/>
    <x v="2"/>
    <x v="20"/>
    <x v="137"/>
    <x v="742"/>
    <x v="0"/>
    <x v="52"/>
    <x v="1"/>
  </r>
  <r>
    <x v="52"/>
    <x v="326"/>
    <x v="8"/>
    <x v="8"/>
    <x v="1"/>
    <x v="2"/>
    <x v="20"/>
    <x v="137"/>
    <x v="737"/>
    <x v="0"/>
    <x v="52"/>
    <x v="1"/>
  </r>
  <r>
    <x v="52"/>
    <x v="244"/>
    <x v="10"/>
    <x v="10"/>
    <x v="1"/>
    <x v="2"/>
    <x v="20"/>
    <x v="137"/>
    <x v="742"/>
    <x v="0"/>
    <x v="52"/>
    <x v="1"/>
  </r>
  <r>
    <x v="52"/>
    <x v="234"/>
    <x v="11"/>
    <x v="11"/>
    <x v="1"/>
    <x v="2"/>
    <x v="20"/>
    <x v="137"/>
    <x v="748"/>
    <x v="0"/>
    <x v="52"/>
    <x v="1"/>
  </r>
  <r>
    <x v="53"/>
    <x v="261"/>
    <x v="8"/>
    <x v="8"/>
    <x v="1"/>
    <x v="2"/>
    <x v="20"/>
    <x v="364"/>
    <x v="745"/>
    <x v="0"/>
    <x v="53"/>
    <x v="1"/>
  </r>
  <r>
    <x v="53"/>
    <x v="216"/>
    <x v="2"/>
    <x v="2"/>
    <x v="1"/>
    <x v="2"/>
    <x v="25"/>
    <x v="332"/>
    <x v="814"/>
    <x v="0"/>
    <x v="53"/>
    <x v="1"/>
  </r>
  <r>
    <x v="53"/>
    <x v="296"/>
    <x v="6"/>
    <x v="6"/>
    <x v="1"/>
    <x v="2"/>
    <x v="25"/>
    <x v="312"/>
    <x v="814"/>
    <x v="0"/>
    <x v="53"/>
    <x v="1"/>
  </r>
  <r>
    <x v="53"/>
    <x v="310"/>
    <x v="10"/>
    <x v="10"/>
    <x v="1"/>
    <x v="0"/>
    <x v="25"/>
    <x v="335"/>
    <x v="828"/>
    <x v="0"/>
    <x v="53"/>
    <x v="1"/>
  </r>
  <r>
    <x v="54"/>
    <x v="327"/>
    <x v="7"/>
    <x v="7"/>
    <x v="1"/>
    <x v="2"/>
    <x v="20"/>
    <x v="138"/>
    <x v="1293"/>
    <x v="0"/>
    <x v="54"/>
    <x v="1"/>
  </r>
  <r>
    <x v="54"/>
    <x v="288"/>
    <x v="7"/>
    <x v="7"/>
    <x v="1"/>
    <x v="2"/>
    <x v="20"/>
    <x v="138"/>
    <x v="737"/>
    <x v="0"/>
    <x v="54"/>
    <x v="1"/>
  </r>
  <r>
    <x v="54"/>
    <x v="260"/>
    <x v="7"/>
    <x v="7"/>
    <x v="1"/>
    <x v="2"/>
    <x v="20"/>
    <x v="138"/>
    <x v="742"/>
    <x v="0"/>
    <x v="54"/>
    <x v="1"/>
  </r>
  <r>
    <x v="54"/>
    <x v="207"/>
    <x v="8"/>
    <x v="8"/>
    <x v="1"/>
    <x v="2"/>
    <x v="20"/>
    <x v="138"/>
    <x v="813"/>
    <x v="0"/>
    <x v="54"/>
    <x v="1"/>
  </r>
  <r>
    <x v="54"/>
    <x v="194"/>
    <x v="9"/>
    <x v="9"/>
    <x v="1"/>
    <x v="2"/>
    <x v="20"/>
    <x v="138"/>
    <x v="742"/>
    <x v="0"/>
    <x v="54"/>
    <x v="1"/>
  </r>
  <r>
    <x v="54"/>
    <x v="290"/>
    <x v="9"/>
    <x v="9"/>
    <x v="1"/>
    <x v="2"/>
    <x v="20"/>
    <x v="138"/>
    <x v="742"/>
    <x v="0"/>
    <x v="54"/>
    <x v="1"/>
  </r>
  <r>
    <x v="54"/>
    <x v="262"/>
    <x v="9"/>
    <x v="9"/>
    <x v="1"/>
    <x v="2"/>
    <x v="60"/>
    <x v="365"/>
    <x v="813"/>
    <x v="0"/>
    <x v="54"/>
    <x v="1"/>
  </r>
  <r>
    <x v="54"/>
    <x v="232"/>
    <x v="10"/>
    <x v="10"/>
    <x v="1"/>
    <x v="2"/>
    <x v="25"/>
    <x v="290"/>
    <x v="735"/>
    <x v="0"/>
    <x v="54"/>
    <x v="1"/>
  </r>
  <r>
    <x v="54"/>
    <x v="174"/>
    <x v="6"/>
    <x v="6"/>
    <x v="1"/>
    <x v="2"/>
    <x v="20"/>
    <x v="138"/>
    <x v="813"/>
    <x v="0"/>
    <x v="54"/>
    <x v="1"/>
  </r>
  <r>
    <x v="55"/>
    <x v="328"/>
    <x v="7"/>
    <x v="7"/>
    <x v="1"/>
    <x v="20"/>
    <x v="26"/>
    <x v="366"/>
    <x v="2751"/>
    <x v="0"/>
    <x v="55"/>
    <x v="1"/>
  </r>
  <r>
    <x v="55"/>
    <x v="323"/>
    <x v="8"/>
    <x v="8"/>
    <x v="1"/>
    <x v="20"/>
    <x v="26"/>
    <x v="367"/>
    <x v="881"/>
    <x v="0"/>
    <x v="55"/>
    <x v="1"/>
  </r>
  <r>
    <x v="55"/>
    <x v="262"/>
    <x v="9"/>
    <x v="9"/>
    <x v="1"/>
    <x v="20"/>
    <x v="26"/>
    <x v="368"/>
    <x v="2752"/>
    <x v="0"/>
    <x v="55"/>
    <x v="1"/>
  </r>
  <r>
    <x v="55"/>
    <x v="219"/>
    <x v="9"/>
    <x v="9"/>
    <x v="1"/>
    <x v="20"/>
    <x v="25"/>
    <x v="308"/>
    <x v="2753"/>
    <x v="0"/>
    <x v="55"/>
    <x v="1"/>
  </r>
  <r>
    <x v="55"/>
    <x v="255"/>
    <x v="9"/>
    <x v="9"/>
    <x v="1"/>
    <x v="20"/>
    <x v="25"/>
    <x v="293"/>
    <x v="2754"/>
    <x v="0"/>
    <x v="55"/>
    <x v="1"/>
  </r>
  <r>
    <x v="55"/>
    <x v="248"/>
    <x v="10"/>
    <x v="10"/>
    <x v="1"/>
    <x v="20"/>
    <x v="25"/>
    <x v="304"/>
    <x v="2755"/>
    <x v="0"/>
    <x v="55"/>
    <x v="1"/>
  </r>
  <r>
    <x v="55"/>
    <x v="200"/>
    <x v="11"/>
    <x v="11"/>
    <x v="1"/>
    <x v="20"/>
    <x v="26"/>
    <x v="351"/>
    <x v="789"/>
    <x v="0"/>
    <x v="55"/>
    <x v="1"/>
  </r>
  <r>
    <x v="55"/>
    <x v="299"/>
    <x v="11"/>
    <x v="11"/>
    <x v="1"/>
    <x v="20"/>
    <x v="26"/>
    <x v="315"/>
    <x v="1"/>
    <x v="236"/>
    <x v="55"/>
    <x v="1"/>
  </r>
  <r>
    <x v="55"/>
    <x v="193"/>
    <x v="11"/>
    <x v="11"/>
    <x v="1"/>
    <x v="20"/>
    <x v="26"/>
    <x v="369"/>
    <x v="1183"/>
    <x v="0"/>
    <x v="55"/>
    <x v="1"/>
  </r>
  <r>
    <x v="55"/>
    <x v="316"/>
    <x v="2"/>
    <x v="2"/>
    <x v="1"/>
    <x v="20"/>
    <x v="26"/>
    <x v="348"/>
    <x v="2756"/>
    <x v="0"/>
    <x v="55"/>
    <x v="1"/>
  </r>
  <r>
    <x v="55"/>
    <x v="266"/>
    <x v="6"/>
    <x v="6"/>
    <x v="1"/>
    <x v="20"/>
    <x v="26"/>
    <x v="370"/>
    <x v="2757"/>
    <x v="0"/>
    <x v="55"/>
    <x v="1"/>
  </r>
  <r>
    <x v="55"/>
    <x v="236"/>
    <x v="6"/>
    <x v="6"/>
    <x v="1"/>
    <x v="20"/>
    <x v="26"/>
    <x v="371"/>
    <x v="879"/>
    <x v="0"/>
    <x v="55"/>
    <x v="1"/>
  </r>
  <r>
    <x v="55"/>
    <x v="314"/>
    <x v="6"/>
    <x v="6"/>
    <x v="1"/>
    <x v="21"/>
    <x v="26"/>
    <x v="372"/>
    <x v="1225"/>
    <x v="0"/>
    <x v="55"/>
    <x v="1"/>
  </r>
  <r>
    <x v="55"/>
    <x v="215"/>
    <x v="2"/>
    <x v="2"/>
    <x v="1"/>
    <x v="22"/>
    <x v="25"/>
    <x v="322"/>
    <x v="824"/>
    <x v="0"/>
    <x v="55"/>
    <x v="1"/>
  </r>
  <r>
    <x v="55"/>
    <x v="316"/>
    <x v="2"/>
    <x v="2"/>
    <x v="1"/>
    <x v="22"/>
    <x v="26"/>
    <x v="348"/>
    <x v="2758"/>
    <x v="0"/>
    <x v="55"/>
    <x v="1"/>
  </r>
  <r>
    <x v="55"/>
    <x v="328"/>
    <x v="7"/>
    <x v="7"/>
    <x v="1"/>
    <x v="23"/>
    <x v="26"/>
    <x v="366"/>
    <x v="2759"/>
    <x v="0"/>
    <x v="55"/>
    <x v="1"/>
  </r>
  <r>
    <x v="55"/>
    <x v="323"/>
    <x v="8"/>
    <x v="8"/>
    <x v="1"/>
    <x v="23"/>
    <x v="26"/>
    <x v="367"/>
    <x v="2760"/>
    <x v="0"/>
    <x v="55"/>
    <x v="1"/>
  </r>
  <r>
    <x v="55"/>
    <x v="293"/>
    <x v="9"/>
    <x v="9"/>
    <x v="1"/>
    <x v="23"/>
    <x v="21"/>
    <x v="337"/>
    <x v="2756"/>
    <x v="0"/>
    <x v="55"/>
    <x v="1"/>
  </r>
  <r>
    <x v="55"/>
    <x v="262"/>
    <x v="9"/>
    <x v="9"/>
    <x v="1"/>
    <x v="23"/>
    <x v="26"/>
    <x v="368"/>
    <x v="2761"/>
    <x v="0"/>
    <x v="55"/>
    <x v="1"/>
  </r>
  <r>
    <x v="55"/>
    <x v="199"/>
    <x v="10"/>
    <x v="10"/>
    <x v="1"/>
    <x v="23"/>
    <x v="26"/>
    <x v="298"/>
    <x v="2762"/>
    <x v="0"/>
    <x v="55"/>
    <x v="1"/>
  </r>
  <r>
    <x v="55"/>
    <x v="299"/>
    <x v="11"/>
    <x v="11"/>
    <x v="1"/>
    <x v="23"/>
    <x v="26"/>
    <x v="315"/>
    <x v="1"/>
    <x v="584"/>
    <x v="55"/>
    <x v="1"/>
  </r>
  <r>
    <x v="55"/>
    <x v="193"/>
    <x v="11"/>
    <x v="11"/>
    <x v="1"/>
    <x v="23"/>
    <x v="26"/>
    <x v="369"/>
    <x v="2763"/>
    <x v="0"/>
    <x v="55"/>
    <x v="1"/>
  </r>
  <r>
    <x v="55"/>
    <x v="316"/>
    <x v="2"/>
    <x v="2"/>
    <x v="1"/>
    <x v="23"/>
    <x v="26"/>
    <x v="348"/>
    <x v="2764"/>
    <x v="0"/>
    <x v="55"/>
    <x v="1"/>
  </r>
  <r>
    <x v="55"/>
    <x v="246"/>
    <x v="2"/>
    <x v="2"/>
    <x v="1"/>
    <x v="23"/>
    <x v="25"/>
    <x v="287"/>
    <x v="765"/>
    <x v="0"/>
    <x v="55"/>
    <x v="1"/>
  </r>
  <r>
    <x v="55"/>
    <x v="266"/>
    <x v="6"/>
    <x v="6"/>
    <x v="1"/>
    <x v="23"/>
    <x v="26"/>
    <x v="370"/>
    <x v="2765"/>
    <x v="0"/>
    <x v="55"/>
    <x v="1"/>
  </r>
  <r>
    <x v="55"/>
    <x v="259"/>
    <x v="7"/>
    <x v="7"/>
    <x v="1"/>
    <x v="3"/>
    <x v="25"/>
    <x v="355"/>
    <x v="816"/>
    <x v="0"/>
    <x v="55"/>
    <x v="1"/>
  </r>
  <r>
    <x v="55"/>
    <x v="309"/>
    <x v="7"/>
    <x v="7"/>
    <x v="1"/>
    <x v="3"/>
    <x v="21"/>
    <x v="334"/>
    <x v="146"/>
    <x v="0"/>
    <x v="55"/>
    <x v="1"/>
  </r>
  <r>
    <x v="55"/>
    <x v="206"/>
    <x v="7"/>
    <x v="7"/>
    <x v="1"/>
    <x v="3"/>
    <x v="21"/>
    <x v="284"/>
    <x v="911"/>
    <x v="0"/>
    <x v="55"/>
    <x v="1"/>
  </r>
  <r>
    <x v="55"/>
    <x v="254"/>
    <x v="8"/>
    <x v="8"/>
    <x v="1"/>
    <x v="3"/>
    <x v="21"/>
    <x v="326"/>
    <x v="736"/>
    <x v="0"/>
    <x v="55"/>
    <x v="1"/>
  </r>
  <r>
    <x v="55"/>
    <x v="195"/>
    <x v="8"/>
    <x v="8"/>
    <x v="1"/>
    <x v="3"/>
    <x v="21"/>
    <x v="373"/>
    <x v="736"/>
    <x v="0"/>
    <x v="55"/>
    <x v="1"/>
  </r>
  <r>
    <x v="55"/>
    <x v="323"/>
    <x v="8"/>
    <x v="8"/>
    <x v="1"/>
    <x v="3"/>
    <x v="21"/>
    <x v="367"/>
    <x v="2766"/>
    <x v="0"/>
    <x v="55"/>
    <x v="1"/>
  </r>
  <r>
    <x v="55"/>
    <x v="207"/>
    <x v="8"/>
    <x v="8"/>
    <x v="1"/>
    <x v="3"/>
    <x v="25"/>
    <x v="374"/>
    <x v="2767"/>
    <x v="0"/>
    <x v="55"/>
    <x v="1"/>
  </r>
  <r>
    <x v="55"/>
    <x v="207"/>
    <x v="8"/>
    <x v="8"/>
    <x v="1"/>
    <x v="3"/>
    <x v="21"/>
    <x v="374"/>
    <x v="1132"/>
    <x v="0"/>
    <x v="55"/>
    <x v="1"/>
  </r>
  <r>
    <x v="55"/>
    <x v="196"/>
    <x v="8"/>
    <x v="8"/>
    <x v="1"/>
    <x v="3"/>
    <x v="25"/>
    <x v="375"/>
    <x v="2768"/>
    <x v="0"/>
    <x v="55"/>
    <x v="1"/>
  </r>
  <r>
    <x v="55"/>
    <x v="196"/>
    <x v="8"/>
    <x v="8"/>
    <x v="1"/>
    <x v="3"/>
    <x v="21"/>
    <x v="375"/>
    <x v="874"/>
    <x v="0"/>
    <x v="55"/>
    <x v="1"/>
  </r>
  <r>
    <x v="55"/>
    <x v="226"/>
    <x v="8"/>
    <x v="8"/>
    <x v="1"/>
    <x v="3"/>
    <x v="26"/>
    <x v="376"/>
    <x v="1"/>
    <x v="585"/>
    <x v="55"/>
    <x v="1"/>
  </r>
  <r>
    <x v="55"/>
    <x v="208"/>
    <x v="8"/>
    <x v="8"/>
    <x v="1"/>
    <x v="3"/>
    <x v="21"/>
    <x v="377"/>
    <x v="1999"/>
    <x v="0"/>
    <x v="55"/>
    <x v="1"/>
  </r>
  <r>
    <x v="55"/>
    <x v="173"/>
    <x v="8"/>
    <x v="8"/>
    <x v="1"/>
    <x v="3"/>
    <x v="21"/>
    <x v="378"/>
    <x v="2769"/>
    <x v="0"/>
    <x v="55"/>
    <x v="1"/>
  </r>
  <r>
    <x v="55"/>
    <x v="292"/>
    <x v="9"/>
    <x v="9"/>
    <x v="1"/>
    <x v="3"/>
    <x v="21"/>
    <x v="352"/>
    <x v="146"/>
    <x v="0"/>
    <x v="55"/>
    <x v="1"/>
  </r>
  <r>
    <x v="55"/>
    <x v="293"/>
    <x v="9"/>
    <x v="9"/>
    <x v="1"/>
    <x v="3"/>
    <x v="25"/>
    <x v="337"/>
    <x v="905"/>
    <x v="0"/>
    <x v="55"/>
    <x v="1"/>
  </r>
  <r>
    <x v="55"/>
    <x v="238"/>
    <x v="9"/>
    <x v="9"/>
    <x v="1"/>
    <x v="3"/>
    <x v="21"/>
    <x v="379"/>
    <x v="800"/>
    <x v="0"/>
    <x v="55"/>
    <x v="1"/>
  </r>
  <r>
    <x v="55"/>
    <x v="262"/>
    <x v="9"/>
    <x v="9"/>
    <x v="1"/>
    <x v="3"/>
    <x v="21"/>
    <x v="368"/>
    <x v="782"/>
    <x v="0"/>
    <x v="55"/>
    <x v="1"/>
  </r>
  <r>
    <x v="55"/>
    <x v="310"/>
    <x v="10"/>
    <x v="10"/>
    <x v="1"/>
    <x v="3"/>
    <x v="25"/>
    <x v="335"/>
    <x v="816"/>
    <x v="0"/>
    <x v="55"/>
    <x v="1"/>
  </r>
  <r>
    <x v="55"/>
    <x v="329"/>
    <x v="10"/>
    <x v="10"/>
    <x v="1"/>
    <x v="3"/>
    <x v="25"/>
    <x v="380"/>
    <x v="2770"/>
    <x v="0"/>
    <x v="55"/>
    <x v="1"/>
  </r>
  <r>
    <x v="55"/>
    <x v="233"/>
    <x v="10"/>
    <x v="10"/>
    <x v="1"/>
    <x v="3"/>
    <x v="25"/>
    <x v="344"/>
    <x v="934"/>
    <x v="0"/>
    <x v="55"/>
    <x v="1"/>
  </r>
  <r>
    <x v="55"/>
    <x v="213"/>
    <x v="11"/>
    <x v="11"/>
    <x v="1"/>
    <x v="3"/>
    <x v="25"/>
    <x v="361"/>
    <x v="816"/>
    <x v="0"/>
    <x v="55"/>
    <x v="1"/>
  </r>
  <r>
    <x v="55"/>
    <x v="193"/>
    <x v="11"/>
    <x v="11"/>
    <x v="1"/>
    <x v="3"/>
    <x v="25"/>
    <x v="369"/>
    <x v="2771"/>
    <x v="0"/>
    <x v="55"/>
    <x v="1"/>
  </r>
  <r>
    <x v="55"/>
    <x v="256"/>
    <x v="11"/>
    <x v="11"/>
    <x v="1"/>
    <x v="3"/>
    <x v="26"/>
    <x v="294"/>
    <x v="1"/>
    <x v="178"/>
    <x v="55"/>
    <x v="1"/>
  </r>
  <r>
    <x v="55"/>
    <x v="330"/>
    <x v="11"/>
    <x v="11"/>
    <x v="1"/>
    <x v="3"/>
    <x v="25"/>
    <x v="381"/>
    <x v="736"/>
    <x v="0"/>
    <x v="55"/>
    <x v="1"/>
  </r>
  <r>
    <x v="55"/>
    <x v="181"/>
    <x v="11"/>
    <x v="11"/>
    <x v="1"/>
    <x v="3"/>
    <x v="25"/>
    <x v="362"/>
    <x v="736"/>
    <x v="0"/>
    <x v="55"/>
    <x v="1"/>
  </r>
  <r>
    <x v="55"/>
    <x v="214"/>
    <x v="11"/>
    <x v="11"/>
    <x v="1"/>
    <x v="3"/>
    <x v="25"/>
    <x v="306"/>
    <x v="146"/>
    <x v="0"/>
    <x v="55"/>
    <x v="1"/>
  </r>
  <r>
    <x v="55"/>
    <x v="294"/>
    <x v="11"/>
    <x v="11"/>
    <x v="1"/>
    <x v="3"/>
    <x v="21"/>
    <x v="382"/>
    <x v="911"/>
    <x v="0"/>
    <x v="55"/>
    <x v="1"/>
  </r>
  <r>
    <x v="55"/>
    <x v="284"/>
    <x v="2"/>
    <x v="2"/>
    <x v="1"/>
    <x v="3"/>
    <x v="25"/>
    <x v="383"/>
    <x v="146"/>
    <x v="0"/>
    <x v="55"/>
    <x v="1"/>
  </r>
  <r>
    <x v="55"/>
    <x v="222"/>
    <x v="2"/>
    <x v="2"/>
    <x v="1"/>
    <x v="3"/>
    <x v="25"/>
    <x v="384"/>
    <x v="911"/>
    <x v="0"/>
    <x v="55"/>
    <x v="1"/>
  </r>
  <r>
    <x v="55"/>
    <x v="270"/>
    <x v="2"/>
    <x v="2"/>
    <x v="1"/>
    <x v="3"/>
    <x v="25"/>
    <x v="363"/>
    <x v="2772"/>
    <x v="0"/>
    <x v="55"/>
    <x v="1"/>
  </r>
  <r>
    <x v="55"/>
    <x v="276"/>
    <x v="2"/>
    <x v="2"/>
    <x v="1"/>
    <x v="3"/>
    <x v="25"/>
    <x v="385"/>
    <x v="816"/>
    <x v="0"/>
    <x v="55"/>
    <x v="1"/>
  </r>
  <r>
    <x v="55"/>
    <x v="183"/>
    <x v="2"/>
    <x v="2"/>
    <x v="1"/>
    <x v="3"/>
    <x v="25"/>
    <x v="330"/>
    <x v="1007"/>
    <x v="0"/>
    <x v="55"/>
    <x v="1"/>
  </r>
  <r>
    <x v="55"/>
    <x v="246"/>
    <x v="2"/>
    <x v="2"/>
    <x v="1"/>
    <x v="3"/>
    <x v="25"/>
    <x v="287"/>
    <x v="816"/>
    <x v="0"/>
    <x v="55"/>
    <x v="1"/>
  </r>
  <r>
    <x v="55"/>
    <x v="217"/>
    <x v="6"/>
    <x v="6"/>
    <x v="1"/>
    <x v="3"/>
    <x v="25"/>
    <x v="323"/>
    <x v="736"/>
    <x v="0"/>
    <x v="55"/>
    <x v="1"/>
  </r>
  <r>
    <x v="55"/>
    <x v="265"/>
    <x v="6"/>
    <x v="6"/>
    <x v="1"/>
    <x v="3"/>
    <x v="25"/>
    <x v="386"/>
    <x v="911"/>
    <x v="0"/>
    <x v="55"/>
    <x v="1"/>
  </r>
  <r>
    <x v="55"/>
    <x v="266"/>
    <x v="6"/>
    <x v="6"/>
    <x v="1"/>
    <x v="3"/>
    <x v="25"/>
    <x v="370"/>
    <x v="816"/>
    <x v="0"/>
    <x v="55"/>
    <x v="1"/>
  </r>
  <r>
    <x v="55"/>
    <x v="191"/>
    <x v="6"/>
    <x v="6"/>
    <x v="1"/>
    <x v="3"/>
    <x v="25"/>
    <x v="318"/>
    <x v="900"/>
    <x v="0"/>
    <x v="55"/>
    <x v="1"/>
  </r>
  <r>
    <x v="55"/>
    <x v="251"/>
    <x v="8"/>
    <x v="8"/>
    <x v="1"/>
    <x v="24"/>
    <x v="21"/>
    <x v="291"/>
    <x v="735"/>
    <x v="0"/>
    <x v="55"/>
    <x v="1"/>
  </r>
  <r>
    <x v="55"/>
    <x v="327"/>
    <x v="7"/>
    <x v="7"/>
    <x v="1"/>
    <x v="4"/>
    <x v="21"/>
    <x v="387"/>
    <x v="146"/>
    <x v="0"/>
    <x v="55"/>
    <x v="1"/>
  </r>
  <r>
    <x v="55"/>
    <x v="206"/>
    <x v="7"/>
    <x v="7"/>
    <x v="1"/>
    <x v="4"/>
    <x v="21"/>
    <x v="284"/>
    <x v="814"/>
    <x v="0"/>
    <x v="55"/>
    <x v="1"/>
  </r>
  <r>
    <x v="55"/>
    <x v="254"/>
    <x v="8"/>
    <x v="8"/>
    <x v="1"/>
    <x v="4"/>
    <x v="21"/>
    <x v="326"/>
    <x v="874"/>
    <x v="0"/>
    <x v="55"/>
    <x v="1"/>
  </r>
  <r>
    <x v="55"/>
    <x v="318"/>
    <x v="8"/>
    <x v="8"/>
    <x v="1"/>
    <x v="4"/>
    <x v="21"/>
    <x v="388"/>
    <x v="146"/>
    <x v="0"/>
    <x v="55"/>
    <x v="1"/>
  </r>
  <r>
    <x v="55"/>
    <x v="196"/>
    <x v="8"/>
    <x v="8"/>
    <x v="1"/>
    <x v="4"/>
    <x v="21"/>
    <x v="375"/>
    <x v="1355"/>
    <x v="0"/>
    <x v="55"/>
    <x v="1"/>
  </r>
  <r>
    <x v="55"/>
    <x v="291"/>
    <x v="9"/>
    <x v="9"/>
    <x v="1"/>
    <x v="4"/>
    <x v="25"/>
    <x v="303"/>
    <x v="1580"/>
    <x v="0"/>
    <x v="55"/>
    <x v="1"/>
  </r>
  <r>
    <x v="55"/>
    <x v="268"/>
    <x v="10"/>
    <x v="10"/>
    <x v="1"/>
    <x v="4"/>
    <x v="25"/>
    <x v="339"/>
    <x v="2773"/>
    <x v="0"/>
    <x v="55"/>
    <x v="1"/>
  </r>
  <r>
    <x v="55"/>
    <x v="220"/>
    <x v="11"/>
    <x v="11"/>
    <x v="1"/>
    <x v="4"/>
    <x v="26"/>
    <x v="309"/>
    <x v="2774"/>
    <x v="0"/>
    <x v="55"/>
    <x v="1"/>
  </r>
  <r>
    <x v="55"/>
    <x v="193"/>
    <x v="11"/>
    <x v="11"/>
    <x v="1"/>
    <x v="4"/>
    <x v="25"/>
    <x v="369"/>
    <x v="146"/>
    <x v="0"/>
    <x v="55"/>
    <x v="1"/>
  </r>
  <r>
    <x v="55"/>
    <x v="330"/>
    <x v="11"/>
    <x v="11"/>
    <x v="1"/>
    <x v="4"/>
    <x v="25"/>
    <x v="381"/>
    <x v="2775"/>
    <x v="0"/>
    <x v="55"/>
    <x v="1"/>
  </r>
  <r>
    <x v="55"/>
    <x v="284"/>
    <x v="2"/>
    <x v="2"/>
    <x v="1"/>
    <x v="4"/>
    <x v="25"/>
    <x v="383"/>
    <x v="1010"/>
    <x v="0"/>
    <x v="55"/>
    <x v="1"/>
  </r>
  <r>
    <x v="55"/>
    <x v="276"/>
    <x v="2"/>
    <x v="2"/>
    <x v="1"/>
    <x v="4"/>
    <x v="25"/>
    <x v="385"/>
    <x v="2776"/>
    <x v="0"/>
    <x v="55"/>
    <x v="1"/>
  </r>
  <r>
    <x v="55"/>
    <x v="314"/>
    <x v="6"/>
    <x v="6"/>
    <x v="1"/>
    <x v="4"/>
    <x v="26"/>
    <x v="372"/>
    <x v="736"/>
    <x v="0"/>
    <x v="55"/>
    <x v="1"/>
  </r>
  <r>
    <x v="55"/>
    <x v="266"/>
    <x v="6"/>
    <x v="6"/>
    <x v="1"/>
    <x v="4"/>
    <x v="26"/>
    <x v="370"/>
    <x v="2777"/>
    <x v="0"/>
    <x v="55"/>
    <x v="1"/>
  </r>
  <r>
    <x v="55"/>
    <x v="308"/>
    <x v="7"/>
    <x v="7"/>
    <x v="1"/>
    <x v="5"/>
    <x v="21"/>
    <x v="333"/>
    <x v="2778"/>
    <x v="0"/>
    <x v="55"/>
    <x v="1"/>
  </r>
  <r>
    <x v="55"/>
    <x v="258"/>
    <x v="7"/>
    <x v="7"/>
    <x v="1"/>
    <x v="5"/>
    <x v="21"/>
    <x v="349"/>
    <x v="2779"/>
    <x v="0"/>
    <x v="55"/>
    <x v="1"/>
  </r>
  <r>
    <x v="55"/>
    <x v="192"/>
    <x v="8"/>
    <x v="8"/>
    <x v="1"/>
    <x v="5"/>
    <x v="25"/>
    <x v="300"/>
    <x v="2780"/>
    <x v="0"/>
    <x v="55"/>
    <x v="1"/>
  </r>
  <r>
    <x v="55"/>
    <x v="175"/>
    <x v="9"/>
    <x v="9"/>
    <x v="1"/>
    <x v="5"/>
    <x v="26"/>
    <x v="389"/>
    <x v="2781"/>
    <x v="0"/>
    <x v="55"/>
    <x v="1"/>
  </r>
  <r>
    <x v="55"/>
    <x v="194"/>
    <x v="9"/>
    <x v="9"/>
    <x v="1"/>
    <x v="5"/>
    <x v="21"/>
    <x v="390"/>
    <x v="2782"/>
    <x v="0"/>
    <x v="55"/>
    <x v="1"/>
  </r>
  <r>
    <x v="55"/>
    <x v="211"/>
    <x v="9"/>
    <x v="9"/>
    <x v="1"/>
    <x v="5"/>
    <x v="25"/>
    <x v="286"/>
    <x v="2783"/>
    <x v="0"/>
    <x v="55"/>
    <x v="1"/>
  </r>
  <r>
    <x v="55"/>
    <x v="331"/>
    <x v="9"/>
    <x v="9"/>
    <x v="1"/>
    <x v="5"/>
    <x v="25"/>
    <x v="391"/>
    <x v="2784"/>
    <x v="0"/>
    <x v="55"/>
    <x v="1"/>
  </r>
  <r>
    <x v="55"/>
    <x v="255"/>
    <x v="9"/>
    <x v="9"/>
    <x v="1"/>
    <x v="5"/>
    <x v="21"/>
    <x v="293"/>
    <x v="2785"/>
    <x v="0"/>
    <x v="55"/>
    <x v="1"/>
  </r>
  <r>
    <x v="55"/>
    <x v="248"/>
    <x v="10"/>
    <x v="10"/>
    <x v="1"/>
    <x v="5"/>
    <x v="25"/>
    <x v="304"/>
    <x v="2786"/>
    <x v="0"/>
    <x v="55"/>
    <x v="1"/>
  </r>
  <r>
    <x v="55"/>
    <x v="233"/>
    <x v="10"/>
    <x v="10"/>
    <x v="1"/>
    <x v="5"/>
    <x v="21"/>
    <x v="344"/>
    <x v="2787"/>
    <x v="0"/>
    <x v="55"/>
    <x v="1"/>
  </r>
  <r>
    <x v="55"/>
    <x v="182"/>
    <x v="2"/>
    <x v="2"/>
    <x v="1"/>
    <x v="5"/>
    <x v="26"/>
    <x v="392"/>
    <x v="2788"/>
    <x v="0"/>
    <x v="55"/>
    <x v="1"/>
  </r>
  <r>
    <x v="55"/>
    <x v="295"/>
    <x v="2"/>
    <x v="2"/>
    <x v="1"/>
    <x v="5"/>
    <x v="25"/>
    <x v="310"/>
    <x v="2782"/>
    <x v="0"/>
    <x v="55"/>
    <x v="1"/>
  </r>
  <r>
    <x v="55"/>
    <x v="235"/>
    <x v="2"/>
    <x v="2"/>
    <x v="1"/>
    <x v="5"/>
    <x v="25"/>
    <x v="393"/>
    <x v="2789"/>
    <x v="0"/>
    <x v="55"/>
    <x v="1"/>
  </r>
  <r>
    <x v="55"/>
    <x v="246"/>
    <x v="2"/>
    <x v="2"/>
    <x v="1"/>
    <x v="5"/>
    <x v="25"/>
    <x v="287"/>
    <x v="2790"/>
    <x v="0"/>
    <x v="55"/>
    <x v="1"/>
  </r>
  <r>
    <x v="55"/>
    <x v="312"/>
    <x v="2"/>
    <x v="2"/>
    <x v="1"/>
    <x v="5"/>
    <x v="26"/>
    <x v="394"/>
    <x v="1"/>
    <x v="586"/>
    <x v="55"/>
    <x v="1"/>
  </r>
  <r>
    <x v="55"/>
    <x v="281"/>
    <x v="6"/>
    <x v="6"/>
    <x v="1"/>
    <x v="5"/>
    <x v="26"/>
    <x v="395"/>
    <x v="2791"/>
    <x v="0"/>
    <x v="55"/>
    <x v="1"/>
  </r>
  <r>
    <x v="55"/>
    <x v="277"/>
    <x v="7"/>
    <x v="7"/>
    <x v="1"/>
    <x v="6"/>
    <x v="25"/>
    <x v="325"/>
    <x v="925"/>
    <x v="0"/>
    <x v="55"/>
    <x v="1"/>
  </r>
  <r>
    <x v="55"/>
    <x v="259"/>
    <x v="7"/>
    <x v="7"/>
    <x v="1"/>
    <x v="6"/>
    <x v="21"/>
    <x v="355"/>
    <x v="966"/>
    <x v="0"/>
    <x v="55"/>
    <x v="1"/>
  </r>
  <r>
    <x v="55"/>
    <x v="252"/>
    <x v="7"/>
    <x v="7"/>
    <x v="1"/>
    <x v="6"/>
    <x v="21"/>
    <x v="396"/>
    <x v="759"/>
    <x v="0"/>
    <x v="55"/>
    <x v="1"/>
  </r>
  <r>
    <x v="55"/>
    <x v="332"/>
    <x v="7"/>
    <x v="7"/>
    <x v="1"/>
    <x v="6"/>
    <x v="21"/>
    <x v="397"/>
    <x v="907"/>
    <x v="0"/>
    <x v="55"/>
    <x v="1"/>
  </r>
  <r>
    <x v="55"/>
    <x v="192"/>
    <x v="8"/>
    <x v="8"/>
    <x v="1"/>
    <x v="6"/>
    <x v="25"/>
    <x v="300"/>
    <x v="925"/>
    <x v="0"/>
    <x v="55"/>
    <x v="1"/>
  </r>
  <r>
    <x v="55"/>
    <x v="320"/>
    <x v="8"/>
    <x v="8"/>
    <x v="1"/>
    <x v="6"/>
    <x v="25"/>
    <x v="398"/>
    <x v="2792"/>
    <x v="0"/>
    <x v="55"/>
    <x v="1"/>
  </r>
  <r>
    <x v="55"/>
    <x v="207"/>
    <x v="8"/>
    <x v="8"/>
    <x v="1"/>
    <x v="6"/>
    <x v="26"/>
    <x v="374"/>
    <x v="2793"/>
    <x v="0"/>
    <x v="55"/>
    <x v="1"/>
  </r>
  <r>
    <x v="55"/>
    <x v="196"/>
    <x v="8"/>
    <x v="8"/>
    <x v="1"/>
    <x v="6"/>
    <x v="21"/>
    <x v="375"/>
    <x v="1165"/>
    <x v="0"/>
    <x v="55"/>
    <x v="1"/>
  </r>
  <r>
    <x v="55"/>
    <x v="208"/>
    <x v="8"/>
    <x v="8"/>
    <x v="1"/>
    <x v="6"/>
    <x v="25"/>
    <x v="377"/>
    <x v="953"/>
    <x v="0"/>
    <x v="55"/>
    <x v="1"/>
  </r>
  <r>
    <x v="55"/>
    <x v="319"/>
    <x v="8"/>
    <x v="8"/>
    <x v="1"/>
    <x v="6"/>
    <x v="21"/>
    <x v="350"/>
    <x v="2794"/>
    <x v="0"/>
    <x v="55"/>
    <x v="1"/>
  </r>
  <r>
    <x v="55"/>
    <x v="319"/>
    <x v="8"/>
    <x v="8"/>
    <x v="1"/>
    <x v="6"/>
    <x v="26"/>
    <x v="350"/>
    <x v="2795"/>
    <x v="0"/>
    <x v="55"/>
    <x v="1"/>
  </r>
  <r>
    <x v="55"/>
    <x v="306"/>
    <x v="9"/>
    <x v="9"/>
    <x v="1"/>
    <x v="6"/>
    <x v="25"/>
    <x v="336"/>
    <x v="925"/>
    <x v="0"/>
    <x v="55"/>
    <x v="1"/>
  </r>
  <r>
    <x v="55"/>
    <x v="227"/>
    <x v="9"/>
    <x v="9"/>
    <x v="1"/>
    <x v="6"/>
    <x v="21"/>
    <x v="399"/>
    <x v="2796"/>
    <x v="0"/>
    <x v="55"/>
    <x v="1"/>
  </r>
  <r>
    <x v="55"/>
    <x v="238"/>
    <x v="9"/>
    <x v="9"/>
    <x v="1"/>
    <x v="6"/>
    <x v="21"/>
    <x v="379"/>
    <x v="843"/>
    <x v="0"/>
    <x v="55"/>
    <x v="1"/>
  </r>
  <r>
    <x v="55"/>
    <x v="333"/>
    <x v="9"/>
    <x v="9"/>
    <x v="1"/>
    <x v="6"/>
    <x v="21"/>
    <x v="400"/>
    <x v="1931"/>
    <x v="0"/>
    <x v="55"/>
    <x v="1"/>
  </r>
  <r>
    <x v="55"/>
    <x v="211"/>
    <x v="9"/>
    <x v="9"/>
    <x v="1"/>
    <x v="6"/>
    <x v="25"/>
    <x v="286"/>
    <x v="2797"/>
    <x v="0"/>
    <x v="55"/>
    <x v="1"/>
  </r>
  <r>
    <x v="55"/>
    <x v="331"/>
    <x v="9"/>
    <x v="9"/>
    <x v="1"/>
    <x v="6"/>
    <x v="25"/>
    <x v="391"/>
    <x v="2798"/>
    <x v="0"/>
    <x v="55"/>
    <x v="1"/>
  </r>
  <r>
    <x v="55"/>
    <x v="331"/>
    <x v="9"/>
    <x v="9"/>
    <x v="1"/>
    <x v="6"/>
    <x v="26"/>
    <x v="391"/>
    <x v="2799"/>
    <x v="0"/>
    <x v="55"/>
    <x v="1"/>
  </r>
  <r>
    <x v="55"/>
    <x v="255"/>
    <x v="9"/>
    <x v="9"/>
    <x v="1"/>
    <x v="6"/>
    <x v="25"/>
    <x v="293"/>
    <x v="2800"/>
    <x v="0"/>
    <x v="55"/>
    <x v="1"/>
  </r>
  <r>
    <x v="55"/>
    <x v="255"/>
    <x v="9"/>
    <x v="9"/>
    <x v="1"/>
    <x v="6"/>
    <x v="21"/>
    <x v="293"/>
    <x v="1024"/>
    <x v="0"/>
    <x v="55"/>
    <x v="1"/>
  </r>
  <r>
    <x v="55"/>
    <x v="230"/>
    <x v="9"/>
    <x v="9"/>
    <x v="1"/>
    <x v="6"/>
    <x v="25"/>
    <x v="283"/>
    <x v="1220"/>
    <x v="0"/>
    <x v="55"/>
    <x v="1"/>
  </r>
  <r>
    <x v="55"/>
    <x v="286"/>
    <x v="10"/>
    <x v="10"/>
    <x v="1"/>
    <x v="6"/>
    <x v="25"/>
    <x v="297"/>
    <x v="925"/>
    <x v="0"/>
    <x v="55"/>
    <x v="1"/>
  </r>
  <r>
    <x v="55"/>
    <x v="310"/>
    <x v="10"/>
    <x v="10"/>
    <x v="1"/>
    <x v="6"/>
    <x v="26"/>
    <x v="335"/>
    <x v="852"/>
    <x v="0"/>
    <x v="55"/>
    <x v="1"/>
  </r>
  <r>
    <x v="55"/>
    <x v="317"/>
    <x v="10"/>
    <x v="10"/>
    <x v="1"/>
    <x v="6"/>
    <x v="25"/>
    <x v="401"/>
    <x v="2801"/>
    <x v="0"/>
    <x v="55"/>
    <x v="1"/>
  </r>
  <r>
    <x v="55"/>
    <x v="231"/>
    <x v="10"/>
    <x v="10"/>
    <x v="1"/>
    <x v="6"/>
    <x v="21"/>
    <x v="402"/>
    <x v="2802"/>
    <x v="0"/>
    <x v="55"/>
    <x v="1"/>
  </r>
  <r>
    <x v="55"/>
    <x v="248"/>
    <x v="10"/>
    <x v="10"/>
    <x v="1"/>
    <x v="6"/>
    <x v="25"/>
    <x v="304"/>
    <x v="2803"/>
    <x v="0"/>
    <x v="55"/>
    <x v="1"/>
  </r>
  <r>
    <x v="55"/>
    <x v="199"/>
    <x v="10"/>
    <x v="10"/>
    <x v="1"/>
    <x v="6"/>
    <x v="25"/>
    <x v="298"/>
    <x v="848"/>
    <x v="0"/>
    <x v="55"/>
    <x v="1"/>
  </r>
  <r>
    <x v="55"/>
    <x v="269"/>
    <x v="11"/>
    <x v="11"/>
    <x v="1"/>
    <x v="6"/>
    <x v="25"/>
    <x v="403"/>
    <x v="413"/>
    <x v="0"/>
    <x v="55"/>
    <x v="1"/>
  </r>
  <r>
    <x v="55"/>
    <x v="200"/>
    <x v="11"/>
    <x v="11"/>
    <x v="1"/>
    <x v="6"/>
    <x v="25"/>
    <x v="351"/>
    <x v="2804"/>
    <x v="0"/>
    <x v="55"/>
    <x v="1"/>
  </r>
  <r>
    <x v="55"/>
    <x v="193"/>
    <x v="11"/>
    <x v="11"/>
    <x v="1"/>
    <x v="6"/>
    <x v="25"/>
    <x v="369"/>
    <x v="146"/>
    <x v="0"/>
    <x v="55"/>
    <x v="1"/>
  </r>
  <r>
    <x v="55"/>
    <x v="330"/>
    <x v="11"/>
    <x v="11"/>
    <x v="1"/>
    <x v="6"/>
    <x v="25"/>
    <x v="381"/>
    <x v="2805"/>
    <x v="0"/>
    <x v="55"/>
    <x v="1"/>
  </r>
  <r>
    <x v="55"/>
    <x v="214"/>
    <x v="11"/>
    <x v="11"/>
    <x v="1"/>
    <x v="6"/>
    <x v="25"/>
    <x v="306"/>
    <x v="2806"/>
    <x v="0"/>
    <x v="55"/>
    <x v="1"/>
  </r>
  <r>
    <x v="55"/>
    <x v="274"/>
    <x v="11"/>
    <x v="11"/>
    <x v="1"/>
    <x v="6"/>
    <x v="25"/>
    <x v="404"/>
    <x v="761"/>
    <x v="0"/>
    <x v="55"/>
    <x v="1"/>
  </r>
  <r>
    <x v="55"/>
    <x v="315"/>
    <x v="2"/>
    <x v="2"/>
    <x v="1"/>
    <x v="6"/>
    <x v="25"/>
    <x v="405"/>
    <x v="810"/>
    <x v="0"/>
    <x v="55"/>
    <x v="1"/>
  </r>
  <r>
    <x v="55"/>
    <x v="334"/>
    <x v="2"/>
    <x v="2"/>
    <x v="1"/>
    <x v="6"/>
    <x v="26"/>
    <x v="406"/>
    <x v="2807"/>
    <x v="0"/>
    <x v="55"/>
    <x v="1"/>
  </r>
  <r>
    <x v="55"/>
    <x v="222"/>
    <x v="2"/>
    <x v="2"/>
    <x v="1"/>
    <x v="6"/>
    <x v="25"/>
    <x v="384"/>
    <x v="891"/>
    <x v="0"/>
    <x v="55"/>
    <x v="1"/>
  </r>
  <r>
    <x v="55"/>
    <x v="182"/>
    <x v="2"/>
    <x v="2"/>
    <x v="1"/>
    <x v="6"/>
    <x v="25"/>
    <x v="392"/>
    <x v="2808"/>
    <x v="0"/>
    <x v="55"/>
    <x v="1"/>
  </r>
  <r>
    <x v="55"/>
    <x v="270"/>
    <x v="2"/>
    <x v="2"/>
    <x v="1"/>
    <x v="6"/>
    <x v="25"/>
    <x v="363"/>
    <x v="772"/>
    <x v="0"/>
    <x v="55"/>
    <x v="1"/>
  </r>
  <r>
    <x v="55"/>
    <x v="276"/>
    <x v="2"/>
    <x v="2"/>
    <x v="1"/>
    <x v="6"/>
    <x v="25"/>
    <x v="385"/>
    <x v="899"/>
    <x v="0"/>
    <x v="55"/>
    <x v="1"/>
  </r>
  <r>
    <x v="55"/>
    <x v="276"/>
    <x v="2"/>
    <x v="2"/>
    <x v="1"/>
    <x v="6"/>
    <x v="21"/>
    <x v="385"/>
    <x v="1024"/>
    <x v="0"/>
    <x v="55"/>
    <x v="1"/>
  </r>
  <r>
    <x v="55"/>
    <x v="304"/>
    <x v="2"/>
    <x v="2"/>
    <x v="1"/>
    <x v="6"/>
    <x v="25"/>
    <x v="329"/>
    <x v="782"/>
    <x v="0"/>
    <x v="55"/>
    <x v="1"/>
  </r>
  <r>
    <x v="55"/>
    <x v="183"/>
    <x v="2"/>
    <x v="2"/>
    <x v="1"/>
    <x v="6"/>
    <x v="25"/>
    <x v="330"/>
    <x v="2809"/>
    <x v="0"/>
    <x v="55"/>
    <x v="1"/>
  </r>
  <r>
    <x v="55"/>
    <x v="246"/>
    <x v="2"/>
    <x v="2"/>
    <x v="1"/>
    <x v="6"/>
    <x v="25"/>
    <x v="287"/>
    <x v="840"/>
    <x v="0"/>
    <x v="55"/>
    <x v="1"/>
  </r>
  <r>
    <x v="55"/>
    <x v="264"/>
    <x v="6"/>
    <x v="6"/>
    <x v="1"/>
    <x v="6"/>
    <x v="25"/>
    <x v="311"/>
    <x v="1849"/>
    <x v="0"/>
    <x v="55"/>
    <x v="1"/>
  </r>
  <r>
    <x v="55"/>
    <x v="265"/>
    <x v="6"/>
    <x v="6"/>
    <x v="1"/>
    <x v="6"/>
    <x v="25"/>
    <x v="386"/>
    <x v="824"/>
    <x v="0"/>
    <x v="55"/>
    <x v="1"/>
  </r>
  <r>
    <x v="55"/>
    <x v="305"/>
    <x v="6"/>
    <x v="6"/>
    <x v="1"/>
    <x v="6"/>
    <x v="21"/>
    <x v="331"/>
    <x v="2810"/>
    <x v="0"/>
    <x v="55"/>
    <x v="1"/>
  </r>
  <r>
    <x v="55"/>
    <x v="305"/>
    <x v="6"/>
    <x v="6"/>
    <x v="1"/>
    <x v="6"/>
    <x v="25"/>
    <x v="331"/>
    <x v="801"/>
    <x v="0"/>
    <x v="55"/>
    <x v="1"/>
  </r>
  <r>
    <x v="55"/>
    <x v="236"/>
    <x v="6"/>
    <x v="6"/>
    <x v="1"/>
    <x v="6"/>
    <x v="26"/>
    <x v="371"/>
    <x v="2811"/>
    <x v="0"/>
    <x v="55"/>
    <x v="1"/>
  </r>
  <r>
    <x v="55"/>
    <x v="236"/>
    <x v="6"/>
    <x v="6"/>
    <x v="1"/>
    <x v="6"/>
    <x v="25"/>
    <x v="371"/>
    <x v="899"/>
    <x v="0"/>
    <x v="55"/>
    <x v="1"/>
  </r>
  <r>
    <x v="55"/>
    <x v="188"/>
    <x v="6"/>
    <x v="6"/>
    <x v="1"/>
    <x v="6"/>
    <x v="26"/>
    <x v="407"/>
    <x v="2812"/>
    <x v="0"/>
    <x v="55"/>
    <x v="1"/>
  </r>
  <r>
    <x v="55"/>
    <x v="313"/>
    <x v="6"/>
    <x v="6"/>
    <x v="1"/>
    <x v="6"/>
    <x v="25"/>
    <x v="341"/>
    <x v="759"/>
    <x v="0"/>
    <x v="55"/>
    <x v="1"/>
  </r>
  <r>
    <x v="55"/>
    <x v="335"/>
    <x v="6"/>
    <x v="6"/>
    <x v="1"/>
    <x v="6"/>
    <x v="25"/>
    <x v="408"/>
    <x v="1132"/>
    <x v="0"/>
    <x v="55"/>
    <x v="1"/>
  </r>
  <r>
    <x v="55"/>
    <x v="174"/>
    <x v="6"/>
    <x v="6"/>
    <x v="1"/>
    <x v="6"/>
    <x v="25"/>
    <x v="282"/>
    <x v="2813"/>
    <x v="0"/>
    <x v="55"/>
    <x v="1"/>
  </r>
  <r>
    <x v="55"/>
    <x v="229"/>
    <x v="6"/>
    <x v="6"/>
    <x v="1"/>
    <x v="6"/>
    <x v="25"/>
    <x v="281"/>
    <x v="1021"/>
    <x v="0"/>
    <x v="55"/>
    <x v="1"/>
  </r>
  <r>
    <x v="55"/>
    <x v="190"/>
    <x v="6"/>
    <x v="6"/>
    <x v="1"/>
    <x v="6"/>
    <x v="26"/>
    <x v="342"/>
    <x v="1"/>
    <x v="355"/>
    <x v="55"/>
    <x v="1"/>
  </r>
  <r>
    <x v="55"/>
    <x v="191"/>
    <x v="6"/>
    <x v="6"/>
    <x v="1"/>
    <x v="6"/>
    <x v="25"/>
    <x v="318"/>
    <x v="765"/>
    <x v="0"/>
    <x v="55"/>
    <x v="1"/>
  </r>
  <r>
    <x v="55"/>
    <x v="200"/>
    <x v="11"/>
    <x v="11"/>
    <x v="1"/>
    <x v="2"/>
    <x v="21"/>
    <x v="351"/>
    <x v="846"/>
    <x v="0"/>
    <x v="55"/>
    <x v="1"/>
  </r>
  <r>
    <x v="55"/>
    <x v="216"/>
    <x v="2"/>
    <x v="2"/>
    <x v="1"/>
    <x v="2"/>
    <x v="25"/>
    <x v="332"/>
    <x v="187"/>
    <x v="0"/>
    <x v="55"/>
    <x v="1"/>
  </r>
  <r>
    <x v="55"/>
    <x v="175"/>
    <x v="9"/>
    <x v="9"/>
    <x v="1"/>
    <x v="38"/>
    <x v="21"/>
    <x v="389"/>
    <x v="925"/>
    <x v="0"/>
    <x v="55"/>
    <x v="1"/>
  </r>
  <r>
    <x v="55"/>
    <x v="193"/>
    <x v="11"/>
    <x v="11"/>
    <x v="1"/>
    <x v="7"/>
    <x v="25"/>
    <x v="369"/>
    <x v="2814"/>
    <x v="0"/>
    <x v="55"/>
    <x v="1"/>
  </r>
  <r>
    <x v="55"/>
    <x v="276"/>
    <x v="2"/>
    <x v="2"/>
    <x v="1"/>
    <x v="7"/>
    <x v="25"/>
    <x v="385"/>
    <x v="2815"/>
    <x v="0"/>
    <x v="55"/>
    <x v="1"/>
  </r>
  <r>
    <x v="55"/>
    <x v="217"/>
    <x v="6"/>
    <x v="6"/>
    <x v="1"/>
    <x v="7"/>
    <x v="26"/>
    <x v="323"/>
    <x v="2816"/>
    <x v="0"/>
    <x v="55"/>
    <x v="1"/>
  </r>
  <r>
    <x v="55"/>
    <x v="314"/>
    <x v="6"/>
    <x v="6"/>
    <x v="1"/>
    <x v="7"/>
    <x v="25"/>
    <x v="372"/>
    <x v="782"/>
    <x v="0"/>
    <x v="55"/>
    <x v="1"/>
  </r>
  <r>
    <x v="55"/>
    <x v="266"/>
    <x v="6"/>
    <x v="6"/>
    <x v="1"/>
    <x v="7"/>
    <x v="26"/>
    <x v="370"/>
    <x v="2817"/>
    <x v="0"/>
    <x v="55"/>
    <x v="1"/>
  </r>
  <r>
    <x v="55"/>
    <x v="296"/>
    <x v="6"/>
    <x v="6"/>
    <x v="1"/>
    <x v="7"/>
    <x v="25"/>
    <x v="312"/>
    <x v="1455"/>
    <x v="0"/>
    <x v="55"/>
    <x v="1"/>
  </r>
  <r>
    <x v="55"/>
    <x v="297"/>
    <x v="6"/>
    <x v="6"/>
    <x v="1"/>
    <x v="7"/>
    <x v="25"/>
    <x v="313"/>
    <x v="2818"/>
    <x v="0"/>
    <x v="55"/>
    <x v="1"/>
  </r>
  <r>
    <x v="55"/>
    <x v="285"/>
    <x v="6"/>
    <x v="6"/>
    <x v="1"/>
    <x v="39"/>
    <x v="21"/>
    <x v="409"/>
    <x v="2819"/>
    <x v="0"/>
    <x v="55"/>
    <x v="1"/>
  </r>
  <r>
    <x v="55"/>
    <x v="257"/>
    <x v="2"/>
    <x v="2"/>
    <x v="1"/>
    <x v="35"/>
    <x v="26"/>
    <x v="410"/>
    <x v="2820"/>
    <x v="0"/>
    <x v="55"/>
    <x v="1"/>
  </r>
  <r>
    <x v="55"/>
    <x v="285"/>
    <x v="6"/>
    <x v="6"/>
    <x v="1"/>
    <x v="35"/>
    <x v="26"/>
    <x v="409"/>
    <x v="1"/>
    <x v="587"/>
    <x v="55"/>
    <x v="1"/>
  </r>
  <r>
    <x v="55"/>
    <x v="292"/>
    <x v="9"/>
    <x v="9"/>
    <x v="1"/>
    <x v="8"/>
    <x v="21"/>
    <x v="352"/>
    <x v="146"/>
    <x v="0"/>
    <x v="55"/>
    <x v="1"/>
  </r>
  <r>
    <x v="55"/>
    <x v="238"/>
    <x v="9"/>
    <x v="9"/>
    <x v="1"/>
    <x v="8"/>
    <x v="21"/>
    <x v="379"/>
    <x v="2821"/>
    <x v="0"/>
    <x v="55"/>
    <x v="1"/>
  </r>
  <r>
    <x v="55"/>
    <x v="211"/>
    <x v="9"/>
    <x v="9"/>
    <x v="1"/>
    <x v="8"/>
    <x v="25"/>
    <x v="286"/>
    <x v="1245"/>
    <x v="0"/>
    <x v="55"/>
    <x v="1"/>
  </r>
  <r>
    <x v="55"/>
    <x v="198"/>
    <x v="10"/>
    <x v="10"/>
    <x v="1"/>
    <x v="8"/>
    <x v="25"/>
    <x v="338"/>
    <x v="2822"/>
    <x v="0"/>
    <x v="55"/>
    <x v="1"/>
  </r>
  <r>
    <x v="55"/>
    <x v="243"/>
    <x v="10"/>
    <x v="10"/>
    <x v="1"/>
    <x v="8"/>
    <x v="25"/>
    <x v="411"/>
    <x v="2823"/>
    <x v="0"/>
    <x v="55"/>
    <x v="1"/>
  </r>
  <r>
    <x v="55"/>
    <x v="248"/>
    <x v="10"/>
    <x v="10"/>
    <x v="1"/>
    <x v="8"/>
    <x v="25"/>
    <x v="304"/>
    <x v="2824"/>
    <x v="0"/>
    <x v="55"/>
    <x v="1"/>
  </r>
  <r>
    <x v="55"/>
    <x v="248"/>
    <x v="10"/>
    <x v="10"/>
    <x v="1"/>
    <x v="8"/>
    <x v="21"/>
    <x v="304"/>
    <x v="2825"/>
    <x v="0"/>
    <x v="55"/>
    <x v="1"/>
  </r>
  <r>
    <x v="55"/>
    <x v="176"/>
    <x v="10"/>
    <x v="10"/>
    <x v="1"/>
    <x v="8"/>
    <x v="25"/>
    <x v="412"/>
    <x v="2826"/>
    <x v="0"/>
    <x v="55"/>
    <x v="1"/>
  </r>
  <r>
    <x v="55"/>
    <x v="200"/>
    <x v="11"/>
    <x v="11"/>
    <x v="1"/>
    <x v="8"/>
    <x v="25"/>
    <x v="351"/>
    <x v="1925"/>
    <x v="0"/>
    <x v="55"/>
    <x v="1"/>
  </r>
  <r>
    <x v="55"/>
    <x v="200"/>
    <x v="11"/>
    <x v="11"/>
    <x v="1"/>
    <x v="8"/>
    <x v="26"/>
    <x v="351"/>
    <x v="2827"/>
    <x v="0"/>
    <x v="55"/>
    <x v="1"/>
  </r>
  <r>
    <x v="55"/>
    <x v="187"/>
    <x v="11"/>
    <x v="11"/>
    <x v="1"/>
    <x v="8"/>
    <x v="25"/>
    <x v="328"/>
    <x v="2826"/>
    <x v="0"/>
    <x v="55"/>
    <x v="1"/>
  </r>
  <r>
    <x v="55"/>
    <x v="330"/>
    <x v="11"/>
    <x v="11"/>
    <x v="1"/>
    <x v="8"/>
    <x v="25"/>
    <x v="381"/>
    <x v="736"/>
    <x v="0"/>
    <x v="55"/>
    <x v="1"/>
  </r>
  <r>
    <x v="55"/>
    <x v="274"/>
    <x v="11"/>
    <x v="11"/>
    <x v="1"/>
    <x v="8"/>
    <x v="25"/>
    <x v="404"/>
    <x v="1013"/>
    <x v="0"/>
    <x v="55"/>
    <x v="1"/>
  </r>
  <r>
    <x v="55"/>
    <x v="284"/>
    <x v="2"/>
    <x v="2"/>
    <x v="1"/>
    <x v="8"/>
    <x v="25"/>
    <x v="383"/>
    <x v="2828"/>
    <x v="0"/>
    <x v="55"/>
    <x v="1"/>
  </r>
  <r>
    <x v="55"/>
    <x v="183"/>
    <x v="2"/>
    <x v="2"/>
    <x v="1"/>
    <x v="8"/>
    <x v="25"/>
    <x v="330"/>
    <x v="783"/>
    <x v="0"/>
    <x v="55"/>
    <x v="1"/>
  </r>
  <r>
    <x v="55"/>
    <x v="312"/>
    <x v="2"/>
    <x v="2"/>
    <x v="1"/>
    <x v="8"/>
    <x v="21"/>
    <x v="394"/>
    <x v="1819"/>
    <x v="0"/>
    <x v="55"/>
    <x v="1"/>
  </r>
  <r>
    <x v="55"/>
    <x v="184"/>
    <x v="6"/>
    <x v="6"/>
    <x v="1"/>
    <x v="8"/>
    <x v="25"/>
    <x v="413"/>
    <x v="2829"/>
    <x v="0"/>
    <x v="55"/>
    <x v="1"/>
  </r>
  <r>
    <x v="55"/>
    <x v="314"/>
    <x v="6"/>
    <x v="6"/>
    <x v="1"/>
    <x v="8"/>
    <x v="26"/>
    <x v="372"/>
    <x v="736"/>
    <x v="0"/>
    <x v="55"/>
    <x v="1"/>
  </r>
  <r>
    <x v="55"/>
    <x v="335"/>
    <x v="6"/>
    <x v="6"/>
    <x v="1"/>
    <x v="8"/>
    <x v="25"/>
    <x v="408"/>
    <x v="2830"/>
    <x v="0"/>
    <x v="55"/>
    <x v="1"/>
  </r>
  <r>
    <x v="55"/>
    <x v="229"/>
    <x v="6"/>
    <x v="6"/>
    <x v="1"/>
    <x v="8"/>
    <x v="25"/>
    <x v="281"/>
    <x v="1693"/>
    <x v="0"/>
    <x v="55"/>
    <x v="1"/>
  </r>
  <r>
    <x v="55"/>
    <x v="328"/>
    <x v="7"/>
    <x v="7"/>
    <x v="1"/>
    <x v="9"/>
    <x v="26"/>
    <x v="366"/>
    <x v="2831"/>
    <x v="0"/>
    <x v="55"/>
    <x v="1"/>
  </r>
  <r>
    <x v="55"/>
    <x v="323"/>
    <x v="8"/>
    <x v="8"/>
    <x v="1"/>
    <x v="9"/>
    <x v="26"/>
    <x v="367"/>
    <x v="2832"/>
    <x v="0"/>
    <x v="55"/>
    <x v="1"/>
  </r>
  <r>
    <x v="55"/>
    <x v="211"/>
    <x v="9"/>
    <x v="9"/>
    <x v="1"/>
    <x v="9"/>
    <x v="25"/>
    <x v="286"/>
    <x v="746"/>
    <x v="0"/>
    <x v="55"/>
    <x v="1"/>
  </r>
  <r>
    <x v="55"/>
    <x v="262"/>
    <x v="9"/>
    <x v="9"/>
    <x v="1"/>
    <x v="9"/>
    <x v="26"/>
    <x v="368"/>
    <x v="2833"/>
    <x v="0"/>
    <x v="55"/>
    <x v="1"/>
  </r>
  <r>
    <x v="55"/>
    <x v="255"/>
    <x v="9"/>
    <x v="9"/>
    <x v="1"/>
    <x v="9"/>
    <x v="25"/>
    <x v="293"/>
    <x v="2834"/>
    <x v="0"/>
    <x v="55"/>
    <x v="1"/>
  </r>
  <r>
    <x v="55"/>
    <x v="310"/>
    <x v="10"/>
    <x v="10"/>
    <x v="1"/>
    <x v="9"/>
    <x v="25"/>
    <x v="335"/>
    <x v="2835"/>
    <x v="0"/>
    <x v="55"/>
    <x v="1"/>
  </r>
  <r>
    <x v="55"/>
    <x v="232"/>
    <x v="10"/>
    <x v="10"/>
    <x v="1"/>
    <x v="9"/>
    <x v="25"/>
    <x v="290"/>
    <x v="2836"/>
    <x v="0"/>
    <x v="55"/>
    <x v="1"/>
  </r>
  <r>
    <x v="55"/>
    <x v="199"/>
    <x v="10"/>
    <x v="10"/>
    <x v="1"/>
    <x v="9"/>
    <x v="26"/>
    <x v="298"/>
    <x v="2837"/>
    <x v="0"/>
    <x v="55"/>
    <x v="1"/>
  </r>
  <r>
    <x v="55"/>
    <x v="249"/>
    <x v="11"/>
    <x v="11"/>
    <x v="1"/>
    <x v="9"/>
    <x v="25"/>
    <x v="359"/>
    <x v="768"/>
    <x v="0"/>
    <x v="55"/>
    <x v="1"/>
  </r>
  <r>
    <x v="55"/>
    <x v="299"/>
    <x v="11"/>
    <x v="11"/>
    <x v="1"/>
    <x v="9"/>
    <x v="26"/>
    <x v="315"/>
    <x v="1"/>
    <x v="588"/>
    <x v="55"/>
    <x v="1"/>
  </r>
  <r>
    <x v="55"/>
    <x v="193"/>
    <x v="11"/>
    <x v="11"/>
    <x v="1"/>
    <x v="9"/>
    <x v="26"/>
    <x v="369"/>
    <x v="2838"/>
    <x v="0"/>
    <x v="55"/>
    <x v="1"/>
  </r>
  <r>
    <x v="55"/>
    <x v="221"/>
    <x v="2"/>
    <x v="2"/>
    <x v="1"/>
    <x v="9"/>
    <x v="25"/>
    <x v="347"/>
    <x v="773"/>
    <x v="0"/>
    <x v="55"/>
    <x v="1"/>
  </r>
  <r>
    <x v="55"/>
    <x v="216"/>
    <x v="2"/>
    <x v="2"/>
    <x v="1"/>
    <x v="9"/>
    <x v="25"/>
    <x v="332"/>
    <x v="2839"/>
    <x v="0"/>
    <x v="55"/>
    <x v="1"/>
  </r>
  <r>
    <x v="55"/>
    <x v="316"/>
    <x v="2"/>
    <x v="2"/>
    <x v="1"/>
    <x v="9"/>
    <x v="26"/>
    <x v="348"/>
    <x v="2840"/>
    <x v="0"/>
    <x v="55"/>
    <x v="1"/>
  </r>
  <r>
    <x v="55"/>
    <x v="304"/>
    <x v="2"/>
    <x v="2"/>
    <x v="1"/>
    <x v="9"/>
    <x v="25"/>
    <x v="329"/>
    <x v="2841"/>
    <x v="0"/>
    <x v="55"/>
    <x v="1"/>
  </r>
  <r>
    <x v="55"/>
    <x v="224"/>
    <x v="2"/>
    <x v="2"/>
    <x v="1"/>
    <x v="9"/>
    <x v="25"/>
    <x v="414"/>
    <x v="768"/>
    <x v="0"/>
    <x v="55"/>
    <x v="1"/>
  </r>
  <r>
    <x v="55"/>
    <x v="281"/>
    <x v="6"/>
    <x v="6"/>
    <x v="1"/>
    <x v="9"/>
    <x v="25"/>
    <x v="395"/>
    <x v="2839"/>
    <x v="0"/>
    <x v="55"/>
    <x v="1"/>
  </r>
  <r>
    <x v="55"/>
    <x v="266"/>
    <x v="6"/>
    <x v="6"/>
    <x v="1"/>
    <x v="9"/>
    <x v="26"/>
    <x v="370"/>
    <x v="2842"/>
    <x v="0"/>
    <x v="55"/>
    <x v="1"/>
  </r>
  <r>
    <x v="55"/>
    <x v="296"/>
    <x v="6"/>
    <x v="6"/>
    <x v="1"/>
    <x v="9"/>
    <x v="25"/>
    <x v="312"/>
    <x v="2839"/>
    <x v="0"/>
    <x v="55"/>
    <x v="1"/>
  </r>
  <r>
    <x v="55"/>
    <x v="204"/>
    <x v="6"/>
    <x v="6"/>
    <x v="1"/>
    <x v="9"/>
    <x v="25"/>
    <x v="317"/>
    <x v="2839"/>
    <x v="0"/>
    <x v="55"/>
    <x v="1"/>
  </r>
  <r>
    <x v="55"/>
    <x v="277"/>
    <x v="7"/>
    <x v="7"/>
    <x v="1"/>
    <x v="10"/>
    <x v="21"/>
    <x v="325"/>
    <x v="736"/>
    <x v="0"/>
    <x v="55"/>
    <x v="1"/>
  </r>
  <r>
    <x v="55"/>
    <x v="327"/>
    <x v="7"/>
    <x v="7"/>
    <x v="1"/>
    <x v="10"/>
    <x v="25"/>
    <x v="387"/>
    <x v="2756"/>
    <x v="0"/>
    <x v="55"/>
    <x v="1"/>
  </r>
  <r>
    <x v="55"/>
    <x v="179"/>
    <x v="7"/>
    <x v="7"/>
    <x v="1"/>
    <x v="10"/>
    <x v="21"/>
    <x v="415"/>
    <x v="1157"/>
    <x v="0"/>
    <x v="55"/>
    <x v="1"/>
  </r>
  <r>
    <x v="55"/>
    <x v="225"/>
    <x v="7"/>
    <x v="7"/>
    <x v="1"/>
    <x v="10"/>
    <x v="25"/>
    <x v="416"/>
    <x v="911"/>
    <x v="0"/>
    <x v="55"/>
    <x v="1"/>
  </r>
  <r>
    <x v="55"/>
    <x v="206"/>
    <x v="7"/>
    <x v="7"/>
    <x v="1"/>
    <x v="10"/>
    <x v="21"/>
    <x v="284"/>
    <x v="2843"/>
    <x v="0"/>
    <x v="55"/>
    <x v="1"/>
  </r>
  <r>
    <x v="55"/>
    <x v="328"/>
    <x v="7"/>
    <x v="7"/>
    <x v="1"/>
    <x v="10"/>
    <x v="26"/>
    <x v="366"/>
    <x v="2844"/>
    <x v="0"/>
    <x v="55"/>
    <x v="1"/>
  </r>
  <r>
    <x v="55"/>
    <x v="332"/>
    <x v="7"/>
    <x v="7"/>
    <x v="1"/>
    <x v="10"/>
    <x v="21"/>
    <x v="397"/>
    <x v="736"/>
    <x v="0"/>
    <x v="55"/>
    <x v="1"/>
  </r>
  <r>
    <x v="55"/>
    <x v="253"/>
    <x v="7"/>
    <x v="7"/>
    <x v="1"/>
    <x v="10"/>
    <x v="21"/>
    <x v="292"/>
    <x v="1132"/>
    <x v="0"/>
    <x v="55"/>
    <x v="1"/>
  </r>
  <r>
    <x v="55"/>
    <x v="237"/>
    <x v="7"/>
    <x v="7"/>
    <x v="1"/>
    <x v="10"/>
    <x v="21"/>
    <x v="417"/>
    <x v="2845"/>
    <x v="0"/>
    <x v="55"/>
    <x v="1"/>
  </r>
  <r>
    <x v="55"/>
    <x v="210"/>
    <x v="7"/>
    <x v="7"/>
    <x v="1"/>
    <x v="10"/>
    <x v="21"/>
    <x v="418"/>
    <x v="1170"/>
    <x v="0"/>
    <x v="55"/>
    <x v="1"/>
  </r>
  <r>
    <x v="55"/>
    <x v="254"/>
    <x v="8"/>
    <x v="8"/>
    <x v="1"/>
    <x v="10"/>
    <x v="21"/>
    <x v="326"/>
    <x v="1795"/>
    <x v="0"/>
    <x v="55"/>
    <x v="1"/>
  </r>
  <r>
    <x v="55"/>
    <x v="261"/>
    <x v="8"/>
    <x v="8"/>
    <x v="1"/>
    <x v="10"/>
    <x v="21"/>
    <x v="320"/>
    <x v="911"/>
    <x v="0"/>
    <x v="55"/>
    <x v="1"/>
  </r>
  <r>
    <x v="55"/>
    <x v="323"/>
    <x v="8"/>
    <x v="8"/>
    <x v="1"/>
    <x v="10"/>
    <x v="26"/>
    <x v="367"/>
    <x v="2846"/>
    <x v="0"/>
    <x v="55"/>
    <x v="1"/>
  </r>
  <r>
    <x v="55"/>
    <x v="292"/>
    <x v="9"/>
    <x v="9"/>
    <x v="1"/>
    <x v="10"/>
    <x v="21"/>
    <x v="352"/>
    <x v="745"/>
    <x v="0"/>
    <x v="55"/>
    <x v="1"/>
  </r>
  <r>
    <x v="55"/>
    <x v="303"/>
    <x v="9"/>
    <x v="9"/>
    <x v="1"/>
    <x v="10"/>
    <x v="21"/>
    <x v="327"/>
    <x v="2847"/>
    <x v="0"/>
    <x v="55"/>
    <x v="1"/>
  </r>
  <r>
    <x v="55"/>
    <x v="238"/>
    <x v="9"/>
    <x v="9"/>
    <x v="1"/>
    <x v="10"/>
    <x v="21"/>
    <x v="379"/>
    <x v="815"/>
    <x v="0"/>
    <x v="55"/>
    <x v="1"/>
  </r>
  <r>
    <x v="55"/>
    <x v="262"/>
    <x v="9"/>
    <x v="9"/>
    <x v="1"/>
    <x v="10"/>
    <x v="26"/>
    <x v="368"/>
    <x v="2848"/>
    <x v="0"/>
    <x v="55"/>
    <x v="1"/>
  </r>
  <r>
    <x v="55"/>
    <x v="331"/>
    <x v="9"/>
    <x v="9"/>
    <x v="1"/>
    <x v="10"/>
    <x v="25"/>
    <x v="391"/>
    <x v="736"/>
    <x v="0"/>
    <x v="55"/>
    <x v="1"/>
  </r>
  <r>
    <x v="55"/>
    <x v="255"/>
    <x v="9"/>
    <x v="9"/>
    <x v="1"/>
    <x v="10"/>
    <x v="25"/>
    <x v="293"/>
    <x v="1032"/>
    <x v="0"/>
    <x v="55"/>
    <x v="1"/>
  </r>
  <r>
    <x v="55"/>
    <x v="317"/>
    <x v="10"/>
    <x v="10"/>
    <x v="1"/>
    <x v="10"/>
    <x v="25"/>
    <x v="401"/>
    <x v="736"/>
    <x v="0"/>
    <x v="55"/>
    <x v="1"/>
  </r>
  <r>
    <x v="55"/>
    <x v="239"/>
    <x v="10"/>
    <x v="10"/>
    <x v="1"/>
    <x v="10"/>
    <x v="25"/>
    <x v="419"/>
    <x v="816"/>
    <x v="0"/>
    <x v="55"/>
    <x v="1"/>
  </r>
  <r>
    <x v="55"/>
    <x v="268"/>
    <x v="10"/>
    <x v="10"/>
    <x v="1"/>
    <x v="10"/>
    <x v="25"/>
    <x v="339"/>
    <x v="816"/>
    <x v="0"/>
    <x v="55"/>
    <x v="1"/>
  </r>
  <r>
    <x v="55"/>
    <x v="336"/>
    <x v="10"/>
    <x v="10"/>
    <x v="1"/>
    <x v="10"/>
    <x v="26"/>
    <x v="420"/>
    <x v="1"/>
    <x v="221"/>
    <x v="55"/>
    <x v="1"/>
  </r>
  <r>
    <x v="55"/>
    <x v="186"/>
    <x v="10"/>
    <x v="10"/>
    <x v="1"/>
    <x v="10"/>
    <x v="25"/>
    <x v="321"/>
    <x v="2756"/>
    <x v="0"/>
    <x v="55"/>
    <x v="1"/>
  </r>
  <r>
    <x v="55"/>
    <x v="248"/>
    <x v="10"/>
    <x v="10"/>
    <x v="1"/>
    <x v="10"/>
    <x v="25"/>
    <x v="304"/>
    <x v="2847"/>
    <x v="0"/>
    <x v="55"/>
    <x v="1"/>
  </r>
  <r>
    <x v="55"/>
    <x v="199"/>
    <x v="10"/>
    <x v="10"/>
    <x v="1"/>
    <x v="10"/>
    <x v="26"/>
    <x v="298"/>
    <x v="2714"/>
    <x v="0"/>
    <x v="55"/>
    <x v="1"/>
  </r>
  <r>
    <x v="55"/>
    <x v="189"/>
    <x v="10"/>
    <x v="10"/>
    <x v="1"/>
    <x v="10"/>
    <x v="25"/>
    <x v="345"/>
    <x v="1537"/>
    <x v="0"/>
    <x v="55"/>
    <x v="1"/>
  </r>
  <r>
    <x v="55"/>
    <x v="269"/>
    <x v="11"/>
    <x v="11"/>
    <x v="1"/>
    <x v="10"/>
    <x v="25"/>
    <x v="403"/>
    <x v="1537"/>
    <x v="0"/>
    <x v="55"/>
    <x v="1"/>
  </r>
  <r>
    <x v="55"/>
    <x v="200"/>
    <x v="11"/>
    <x v="11"/>
    <x v="1"/>
    <x v="10"/>
    <x v="21"/>
    <x v="351"/>
    <x v="1024"/>
    <x v="0"/>
    <x v="55"/>
    <x v="1"/>
  </r>
  <r>
    <x v="55"/>
    <x v="325"/>
    <x v="11"/>
    <x v="11"/>
    <x v="1"/>
    <x v="10"/>
    <x v="25"/>
    <x v="421"/>
    <x v="2756"/>
    <x v="0"/>
    <x v="55"/>
    <x v="1"/>
  </r>
  <r>
    <x v="55"/>
    <x v="282"/>
    <x v="11"/>
    <x v="11"/>
    <x v="1"/>
    <x v="10"/>
    <x v="25"/>
    <x v="358"/>
    <x v="2849"/>
    <x v="0"/>
    <x v="55"/>
    <x v="1"/>
  </r>
  <r>
    <x v="55"/>
    <x v="272"/>
    <x v="11"/>
    <x v="11"/>
    <x v="1"/>
    <x v="10"/>
    <x v="25"/>
    <x v="360"/>
    <x v="146"/>
    <x v="0"/>
    <x v="55"/>
    <x v="1"/>
  </r>
  <r>
    <x v="55"/>
    <x v="177"/>
    <x v="11"/>
    <x v="11"/>
    <x v="1"/>
    <x v="10"/>
    <x v="25"/>
    <x v="346"/>
    <x v="2850"/>
    <x v="0"/>
    <x v="55"/>
    <x v="1"/>
  </r>
  <r>
    <x v="55"/>
    <x v="201"/>
    <x v="11"/>
    <x v="11"/>
    <x v="1"/>
    <x v="10"/>
    <x v="25"/>
    <x v="422"/>
    <x v="1580"/>
    <x v="0"/>
    <x v="55"/>
    <x v="1"/>
  </r>
  <r>
    <x v="55"/>
    <x v="213"/>
    <x v="11"/>
    <x v="11"/>
    <x v="1"/>
    <x v="10"/>
    <x v="25"/>
    <x v="361"/>
    <x v="2851"/>
    <x v="0"/>
    <x v="55"/>
    <x v="1"/>
  </r>
  <r>
    <x v="55"/>
    <x v="299"/>
    <x v="11"/>
    <x v="11"/>
    <x v="1"/>
    <x v="10"/>
    <x v="26"/>
    <x v="315"/>
    <x v="1"/>
    <x v="589"/>
    <x v="55"/>
    <x v="1"/>
  </r>
  <r>
    <x v="55"/>
    <x v="193"/>
    <x v="11"/>
    <x v="11"/>
    <x v="1"/>
    <x v="10"/>
    <x v="25"/>
    <x v="369"/>
    <x v="2852"/>
    <x v="0"/>
    <x v="55"/>
    <x v="1"/>
  </r>
  <r>
    <x v="55"/>
    <x v="193"/>
    <x v="11"/>
    <x v="11"/>
    <x v="1"/>
    <x v="10"/>
    <x v="26"/>
    <x v="369"/>
    <x v="2853"/>
    <x v="0"/>
    <x v="55"/>
    <x v="1"/>
  </r>
  <r>
    <x v="55"/>
    <x v="202"/>
    <x v="11"/>
    <x v="11"/>
    <x v="1"/>
    <x v="10"/>
    <x v="25"/>
    <x v="305"/>
    <x v="2854"/>
    <x v="0"/>
    <x v="55"/>
    <x v="1"/>
  </r>
  <r>
    <x v="55"/>
    <x v="273"/>
    <x v="11"/>
    <x v="11"/>
    <x v="1"/>
    <x v="10"/>
    <x v="25"/>
    <x v="354"/>
    <x v="736"/>
    <x v="0"/>
    <x v="55"/>
    <x v="1"/>
  </r>
  <r>
    <x v="55"/>
    <x v="181"/>
    <x v="11"/>
    <x v="11"/>
    <x v="1"/>
    <x v="10"/>
    <x v="25"/>
    <x v="362"/>
    <x v="2855"/>
    <x v="0"/>
    <x v="55"/>
    <x v="1"/>
  </r>
  <r>
    <x v="55"/>
    <x v="275"/>
    <x v="11"/>
    <x v="11"/>
    <x v="1"/>
    <x v="10"/>
    <x v="25"/>
    <x v="307"/>
    <x v="735"/>
    <x v="0"/>
    <x v="55"/>
    <x v="1"/>
  </r>
  <r>
    <x v="55"/>
    <x v="300"/>
    <x v="2"/>
    <x v="2"/>
    <x v="1"/>
    <x v="10"/>
    <x v="25"/>
    <x v="316"/>
    <x v="736"/>
    <x v="0"/>
    <x v="55"/>
    <x v="1"/>
  </r>
  <r>
    <x v="55"/>
    <x v="280"/>
    <x v="2"/>
    <x v="2"/>
    <x v="1"/>
    <x v="10"/>
    <x v="25"/>
    <x v="295"/>
    <x v="2856"/>
    <x v="0"/>
    <x v="55"/>
    <x v="1"/>
  </r>
  <r>
    <x v="55"/>
    <x v="316"/>
    <x v="2"/>
    <x v="2"/>
    <x v="1"/>
    <x v="10"/>
    <x v="26"/>
    <x v="348"/>
    <x v="2857"/>
    <x v="0"/>
    <x v="55"/>
    <x v="1"/>
  </r>
  <r>
    <x v="55"/>
    <x v="276"/>
    <x v="2"/>
    <x v="2"/>
    <x v="1"/>
    <x v="10"/>
    <x v="25"/>
    <x v="385"/>
    <x v="896"/>
    <x v="0"/>
    <x v="55"/>
    <x v="1"/>
  </r>
  <r>
    <x v="55"/>
    <x v="264"/>
    <x v="6"/>
    <x v="6"/>
    <x v="1"/>
    <x v="10"/>
    <x v="25"/>
    <x v="311"/>
    <x v="2858"/>
    <x v="0"/>
    <x v="55"/>
    <x v="1"/>
  </r>
  <r>
    <x v="55"/>
    <x v="265"/>
    <x v="6"/>
    <x v="6"/>
    <x v="1"/>
    <x v="10"/>
    <x v="25"/>
    <x v="386"/>
    <x v="736"/>
    <x v="0"/>
    <x v="55"/>
    <x v="1"/>
  </r>
  <r>
    <x v="55"/>
    <x v="184"/>
    <x v="6"/>
    <x v="6"/>
    <x v="1"/>
    <x v="10"/>
    <x v="25"/>
    <x v="413"/>
    <x v="814"/>
    <x v="0"/>
    <x v="55"/>
    <x v="1"/>
  </r>
  <r>
    <x v="55"/>
    <x v="314"/>
    <x v="6"/>
    <x v="6"/>
    <x v="1"/>
    <x v="10"/>
    <x v="26"/>
    <x v="372"/>
    <x v="782"/>
    <x v="0"/>
    <x v="55"/>
    <x v="1"/>
  </r>
  <r>
    <x v="55"/>
    <x v="266"/>
    <x v="6"/>
    <x v="6"/>
    <x v="1"/>
    <x v="10"/>
    <x v="26"/>
    <x v="370"/>
    <x v="2859"/>
    <x v="0"/>
    <x v="55"/>
    <x v="1"/>
  </r>
  <r>
    <x v="55"/>
    <x v="297"/>
    <x v="6"/>
    <x v="6"/>
    <x v="1"/>
    <x v="10"/>
    <x v="25"/>
    <x v="313"/>
    <x v="2860"/>
    <x v="0"/>
    <x v="55"/>
    <x v="1"/>
  </r>
  <r>
    <x v="55"/>
    <x v="335"/>
    <x v="6"/>
    <x v="6"/>
    <x v="1"/>
    <x v="10"/>
    <x v="25"/>
    <x v="408"/>
    <x v="736"/>
    <x v="0"/>
    <x v="55"/>
    <x v="1"/>
  </r>
  <r>
    <x v="55"/>
    <x v="335"/>
    <x v="6"/>
    <x v="6"/>
    <x v="1"/>
    <x v="10"/>
    <x v="21"/>
    <x v="408"/>
    <x v="982"/>
    <x v="0"/>
    <x v="55"/>
    <x v="1"/>
  </r>
  <r>
    <x v="55"/>
    <x v="174"/>
    <x v="6"/>
    <x v="6"/>
    <x v="1"/>
    <x v="10"/>
    <x v="25"/>
    <x v="282"/>
    <x v="879"/>
    <x v="0"/>
    <x v="55"/>
    <x v="1"/>
  </r>
  <r>
    <x v="55"/>
    <x v="191"/>
    <x v="6"/>
    <x v="6"/>
    <x v="1"/>
    <x v="10"/>
    <x v="25"/>
    <x v="318"/>
    <x v="2861"/>
    <x v="0"/>
    <x v="55"/>
    <x v="1"/>
  </r>
  <r>
    <x v="55"/>
    <x v="328"/>
    <x v="7"/>
    <x v="7"/>
    <x v="1"/>
    <x v="11"/>
    <x v="26"/>
    <x v="366"/>
    <x v="2862"/>
    <x v="0"/>
    <x v="55"/>
    <x v="1"/>
  </r>
  <r>
    <x v="55"/>
    <x v="323"/>
    <x v="8"/>
    <x v="8"/>
    <x v="1"/>
    <x v="11"/>
    <x v="26"/>
    <x v="367"/>
    <x v="2863"/>
    <x v="0"/>
    <x v="55"/>
    <x v="1"/>
  </r>
  <r>
    <x v="55"/>
    <x v="262"/>
    <x v="9"/>
    <x v="9"/>
    <x v="1"/>
    <x v="11"/>
    <x v="26"/>
    <x v="368"/>
    <x v="2864"/>
    <x v="0"/>
    <x v="55"/>
    <x v="1"/>
  </r>
  <r>
    <x v="55"/>
    <x v="199"/>
    <x v="10"/>
    <x v="10"/>
    <x v="1"/>
    <x v="11"/>
    <x v="26"/>
    <x v="298"/>
    <x v="2865"/>
    <x v="0"/>
    <x v="55"/>
    <x v="1"/>
  </r>
  <r>
    <x v="55"/>
    <x v="299"/>
    <x v="11"/>
    <x v="11"/>
    <x v="1"/>
    <x v="11"/>
    <x v="26"/>
    <x v="315"/>
    <x v="1"/>
    <x v="590"/>
    <x v="55"/>
    <x v="1"/>
  </r>
  <r>
    <x v="55"/>
    <x v="193"/>
    <x v="11"/>
    <x v="11"/>
    <x v="1"/>
    <x v="11"/>
    <x v="26"/>
    <x v="369"/>
    <x v="2866"/>
    <x v="0"/>
    <x v="55"/>
    <x v="1"/>
  </r>
  <r>
    <x v="55"/>
    <x v="300"/>
    <x v="2"/>
    <x v="2"/>
    <x v="1"/>
    <x v="11"/>
    <x v="26"/>
    <x v="316"/>
    <x v="2867"/>
    <x v="0"/>
    <x v="55"/>
    <x v="1"/>
  </r>
  <r>
    <x v="55"/>
    <x v="316"/>
    <x v="2"/>
    <x v="2"/>
    <x v="1"/>
    <x v="11"/>
    <x v="26"/>
    <x v="348"/>
    <x v="2868"/>
    <x v="0"/>
    <x v="55"/>
    <x v="1"/>
  </r>
  <r>
    <x v="55"/>
    <x v="266"/>
    <x v="6"/>
    <x v="6"/>
    <x v="1"/>
    <x v="11"/>
    <x v="26"/>
    <x v="370"/>
    <x v="2869"/>
    <x v="0"/>
    <x v="55"/>
    <x v="1"/>
  </r>
  <r>
    <x v="55"/>
    <x v="258"/>
    <x v="7"/>
    <x v="7"/>
    <x v="1"/>
    <x v="12"/>
    <x v="21"/>
    <x v="349"/>
    <x v="2870"/>
    <x v="0"/>
    <x v="55"/>
    <x v="1"/>
  </r>
  <r>
    <x v="55"/>
    <x v="259"/>
    <x v="7"/>
    <x v="7"/>
    <x v="1"/>
    <x v="12"/>
    <x v="21"/>
    <x v="355"/>
    <x v="781"/>
    <x v="0"/>
    <x v="55"/>
    <x v="1"/>
  </r>
  <r>
    <x v="55"/>
    <x v="247"/>
    <x v="8"/>
    <x v="8"/>
    <x v="1"/>
    <x v="12"/>
    <x v="21"/>
    <x v="289"/>
    <x v="835"/>
    <x v="0"/>
    <x v="55"/>
    <x v="1"/>
  </r>
  <r>
    <x v="55"/>
    <x v="326"/>
    <x v="8"/>
    <x v="8"/>
    <x v="1"/>
    <x v="12"/>
    <x v="26"/>
    <x v="423"/>
    <x v="2871"/>
    <x v="0"/>
    <x v="55"/>
    <x v="1"/>
  </r>
  <r>
    <x v="55"/>
    <x v="320"/>
    <x v="8"/>
    <x v="8"/>
    <x v="1"/>
    <x v="12"/>
    <x v="21"/>
    <x v="398"/>
    <x v="2872"/>
    <x v="0"/>
    <x v="55"/>
    <x v="1"/>
  </r>
  <r>
    <x v="55"/>
    <x v="261"/>
    <x v="8"/>
    <x v="8"/>
    <x v="1"/>
    <x v="12"/>
    <x v="21"/>
    <x v="320"/>
    <x v="933"/>
    <x v="0"/>
    <x v="55"/>
    <x v="1"/>
  </r>
  <r>
    <x v="55"/>
    <x v="245"/>
    <x v="8"/>
    <x v="8"/>
    <x v="1"/>
    <x v="12"/>
    <x v="25"/>
    <x v="285"/>
    <x v="1182"/>
    <x v="0"/>
    <x v="55"/>
    <x v="1"/>
  </r>
  <r>
    <x v="55"/>
    <x v="173"/>
    <x v="8"/>
    <x v="8"/>
    <x v="1"/>
    <x v="12"/>
    <x v="21"/>
    <x v="378"/>
    <x v="2873"/>
    <x v="0"/>
    <x v="55"/>
    <x v="1"/>
  </r>
  <r>
    <x v="55"/>
    <x v="319"/>
    <x v="8"/>
    <x v="8"/>
    <x v="1"/>
    <x v="12"/>
    <x v="21"/>
    <x v="350"/>
    <x v="763"/>
    <x v="0"/>
    <x v="55"/>
    <x v="1"/>
  </r>
  <r>
    <x v="55"/>
    <x v="306"/>
    <x v="9"/>
    <x v="9"/>
    <x v="1"/>
    <x v="12"/>
    <x v="21"/>
    <x v="336"/>
    <x v="2774"/>
    <x v="0"/>
    <x v="55"/>
    <x v="1"/>
  </r>
  <r>
    <x v="55"/>
    <x v="337"/>
    <x v="9"/>
    <x v="9"/>
    <x v="1"/>
    <x v="12"/>
    <x v="21"/>
    <x v="424"/>
    <x v="2874"/>
    <x v="0"/>
    <x v="55"/>
    <x v="1"/>
  </r>
  <r>
    <x v="55"/>
    <x v="194"/>
    <x v="9"/>
    <x v="9"/>
    <x v="1"/>
    <x v="12"/>
    <x v="21"/>
    <x v="390"/>
    <x v="2875"/>
    <x v="0"/>
    <x v="55"/>
    <x v="1"/>
  </r>
  <r>
    <x v="55"/>
    <x v="338"/>
    <x v="9"/>
    <x v="9"/>
    <x v="1"/>
    <x v="12"/>
    <x v="25"/>
    <x v="425"/>
    <x v="346"/>
    <x v="0"/>
    <x v="55"/>
    <x v="1"/>
  </r>
  <r>
    <x v="55"/>
    <x v="255"/>
    <x v="9"/>
    <x v="9"/>
    <x v="1"/>
    <x v="12"/>
    <x v="26"/>
    <x v="293"/>
    <x v="2876"/>
    <x v="0"/>
    <x v="55"/>
    <x v="1"/>
  </r>
  <r>
    <x v="55"/>
    <x v="231"/>
    <x v="10"/>
    <x v="10"/>
    <x v="1"/>
    <x v="12"/>
    <x v="25"/>
    <x v="402"/>
    <x v="1347"/>
    <x v="0"/>
    <x v="55"/>
    <x v="1"/>
  </r>
  <r>
    <x v="55"/>
    <x v="248"/>
    <x v="10"/>
    <x v="10"/>
    <x v="1"/>
    <x v="12"/>
    <x v="21"/>
    <x v="304"/>
    <x v="2877"/>
    <x v="0"/>
    <x v="55"/>
    <x v="1"/>
  </r>
  <r>
    <x v="55"/>
    <x v="248"/>
    <x v="10"/>
    <x v="10"/>
    <x v="1"/>
    <x v="12"/>
    <x v="25"/>
    <x v="304"/>
    <x v="2878"/>
    <x v="0"/>
    <x v="55"/>
    <x v="1"/>
  </r>
  <r>
    <x v="55"/>
    <x v="200"/>
    <x v="11"/>
    <x v="11"/>
    <x v="1"/>
    <x v="12"/>
    <x v="25"/>
    <x v="351"/>
    <x v="2879"/>
    <x v="0"/>
    <x v="55"/>
    <x v="1"/>
  </r>
  <r>
    <x v="55"/>
    <x v="187"/>
    <x v="11"/>
    <x v="11"/>
    <x v="1"/>
    <x v="12"/>
    <x v="25"/>
    <x v="328"/>
    <x v="2582"/>
    <x v="0"/>
    <x v="55"/>
    <x v="1"/>
  </r>
  <r>
    <x v="55"/>
    <x v="193"/>
    <x v="11"/>
    <x v="11"/>
    <x v="1"/>
    <x v="12"/>
    <x v="21"/>
    <x v="369"/>
    <x v="990"/>
    <x v="0"/>
    <x v="55"/>
    <x v="1"/>
  </r>
  <r>
    <x v="55"/>
    <x v="315"/>
    <x v="2"/>
    <x v="2"/>
    <x v="1"/>
    <x v="12"/>
    <x v="26"/>
    <x v="405"/>
    <x v="1"/>
    <x v="591"/>
    <x v="55"/>
    <x v="1"/>
  </r>
  <r>
    <x v="55"/>
    <x v="184"/>
    <x v="6"/>
    <x v="6"/>
    <x v="1"/>
    <x v="12"/>
    <x v="25"/>
    <x v="413"/>
    <x v="2880"/>
    <x v="0"/>
    <x v="55"/>
    <x v="1"/>
  </r>
  <r>
    <x v="55"/>
    <x v="314"/>
    <x v="6"/>
    <x v="6"/>
    <x v="1"/>
    <x v="12"/>
    <x v="25"/>
    <x v="372"/>
    <x v="2872"/>
    <x v="0"/>
    <x v="55"/>
    <x v="1"/>
  </r>
  <r>
    <x v="55"/>
    <x v="271"/>
    <x v="6"/>
    <x v="6"/>
    <x v="1"/>
    <x v="12"/>
    <x v="21"/>
    <x v="426"/>
    <x v="2881"/>
    <x v="0"/>
    <x v="55"/>
    <x v="1"/>
  </r>
  <r>
    <x v="55"/>
    <x v="328"/>
    <x v="7"/>
    <x v="7"/>
    <x v="1"/>
    <x v="13"/>
    <x v="26"/>
    <x v="366"/>
    <x v="2882"/>
    <x v="0"/>
    <x v="55"/>
    <x v="1"/>
  </r>
  <r>
    <x v="55"/>
    <x v="323"/>
    <x v="8"/>
    <x v="8"/>
    <x v="1"/>
    <x v="13"/>
    <x v="26"/>
    <x v="367"/>
    <x v="2883"/>
    <x v="0"/>
    <x v="55"/>
    <x v="1"/>
  </r>
  <r>
    <x v="55"/>
    <x v="208"/>
    <x v="8"/>
    <x v="8"/>
    <x v="1"/>
    <x v="13"/>
    <x v="26"/>
    <x v="377"/>
    <x v="2884"/>
    <x v="0"/>
    <x v="55"/>
    <x v="1"/>
  </r>
  <r>
    <x v="55"/>
    <x v="262"/>
    <x v="9"/>
    <x v="9"/>
    <x v="1"/>
    <x v="13"/>
    <x v="26"/>
    <x v="368"/>
    <x v="2885"/>
    <x v="0"/>
    <x v="55"/>
    <x v="1"/>
  </r>
  <r>
    <x v="55"/>
    <x v="329"/>
    <x v="10"/>
    <x v="10"/>
    <x v="1"/>
    <x v="13"/>
    <x v="25"/>
    <x v="380"/>
    <x v="2886"/>
    <x v="0"/>
    <x v="55"/>
    <x v="1"/>
  </r>
  <r>
    <x v="55"/>
    <x v="339"/>
    <x v="10"/>
    <x v="10"/>
    <x v="1"/>
    <x v="13"/>
    <x v="26"/>
    <x v="427"/>
    <x v="2887"/>
    <x v="0"/>
    <x v="55"/>
    <x v="1"/>
  </r>
  <r>
    <x v="55"/>
    <x v="177"/>
    <x v="11"/>
    <x v="11"/>
    <x v="1"/>
    <x v="13"/>
    <x v="25"/>
    <x v="346"/>
    <x v="763"/>
    <x v="0"/>
    <x v="55"/>
    <x v="1"/>
  </r>
  <r>
    <x v="55"/>
    <x v="294"/>
    <x v="11"/>
    <x v="11"/>
    <x v="1"/>
    <x v="13"/>
    <x v="25"/>
    <x v="382"/>
    <x v="2888"/>
    <x v="0"/>
    <x v="55"/>
    <x v="1"/>
  </r>
  <r>
    <x v="55"/>
    <x v="334"/>
    <x v="2"/>
    <x v="2"/>
    <x v="1"/>
    <x v="13"/>
    <x v="26"/>
    <x v="406"/>
    <x v="1067"/>
    <x v="0"/>
    <x v="55"/>
    <x v="1"/>
  </r>
  <r>
    <x v="55"/>
    <x v="184"/>
    <x v="6"/>
    <x v="6"/>
    <x v="1"/>
    <x v="13"/>
    <x v="25"/>
    <x v="413"/>
    <x v="2889"/>
    <x v="0"/>
    <x v="55"/>
    <x v="1"/>
  </r>
  <r>
    <x v="55"/>
    <x v="314"/>
    <x v="6"/>
    <x v="6"/>
    <x v="1"/>
    <x v="13"/>
    <x v="26"/>
    <x v="372"/>
    <x v="2247"/>
    <x v="0"/>
    <x v="55"/>
    <x v="1"/>
  </r>
  <r>
    <x v="55"/>
    <x v="188"/>
    <x v="6"/>
    <x v="6"/>
    <x v="1"/>
    <x v="13"/>
    <x v="25"/>
    <x v="407"/>
    <x v="2890"/>
    <x v="0"/>
    <x v="55"/>
    <x v="1"/>
  </r>
  <r>
    <x v="55"/>
    <x v="277"/>
    <x v="7"/>
    <x v="7"/>
    <x v="1"/>
    <x v="14"/>
    <x v="25"/>
    <x v="325"/>
    <x v="1104"/>
    <x v="0"/>
    <x v="55"/>
    <x v="1"/>
  </r>
  <r>
    <x v="55"/>
    <x v="225"/>
    <x v="7"/>
    <x v="7"/>
    <x v="1"/>
    <x v="14"/>
    <x v="21"/>
    <x v="416"/>
    <x v="2891"/>
    <x v="0"/>
    <x v="55"/>
    <x v="1"/>
  </r>
  <r>
    <x v="55"/>
    <x v="309"/>
    <x v="7"/>
    <x v="7"/>
    <x v="1"/>
    <x v="14"/>
    <x v="21"/>
    <x v="334"/>
    <x v="2574"/>
    <x v="0"/>
    <x v="55"/>
    <x v="1"/>
  </r>
  <r>
    <x v="55"/>
    <x v="252"/>
    <x v="7"/>
    <x v="7"/>
    <x v="1"/>
    <x v="14"/>
    <x v="21"/>
    <x v="396"/>
    <x v="1095"/>
    <x v="0"/>
    <x v="55"/>
    <x v="1"/>
  </r>
  <r>
    <x v="55"/>
    <x v="209"/>
    <x v="7"/>
    <x v="7"/>
    <x v="1"/>
    <x v="14"/>
    <x v="21"/>
    <x v="428"/>
    <x v="2892"/>
    <x v="0"/>
    <x v="55"/>
    <x v="1"/>
  </r>
  <r>
    <x v="55"/>
    <x v="253"/>
    <x v="7"/>
    <x v="7"/>
    <x v="1"/>
    <x v="14"/>
    <x v="21"/>
    <x v="292"/>
    <x v="2893"/>
    <x v="0"/>
    <x v="55"/>
    <x v="1"/>
  </r>
  <r>
    <x v="55"/>
    <x v="171"/>
    <x v="7"/>
    <x v="7"/>
    <x v="1"/>
    <x v="14"/>
    <x v="21"/>
    <x v="429"/>
    <x v="2894"/>
    <x v="0"/>
    <x v="55"/>
    <x v="1"/>
  </r>
  <r>
    <x v="55"/>
    <x v="321"/>
    <x v="8"/>
    <x v="8"/>
    <x v="1"/>
    <x v="14"/>
    <x v="21"/>
    <x v="430"/>
    <x v="2895"/>
    <x v="0"/>
    <x v="55"/>
    <x v="1"/>
  </r>
  <r>
    <x v="55"/>
    <x v="192"/>
    <x v="8"/>
    <x v="8"/>
    <x v="1"/>
    <x v="14"/>
    <x v="25"/>
    <x v="300"/>
    <x v="1112"/>
    <x v="0"/>
    <x v="55"/>
    <x v="1"/>
  </r>
  <r>
    <x v="55"/>
    <x v="289"/>
    <x v="8"/>
    <x v="8"/>
    <x v="1"/>
    <x v="14"/>
    <x v="21"/>
    <x v="301"/>
    <x v="2896"/>
    <x v="0"/>
    <x v="55"/>
    <x v="1"/>
  </r>
  <r>
    <x v="55"/>
    <x v="254"/>
    <x v="8"/>
    <x v="8"/>
    <x v="1"/>
    <x v="14"/>
    <x v="21"/>
    <x v="326"/>
    <x v="2897"/>
    <x v="0"/>
    <x v="55"/>
    <x v="1"/>
  </r>
  <r>
    <x v="55"/>
    <x v="172"/>
    <x v="8"/>
    <x v="8"/>
    <x v="1"/>
    <x v="14"/>
    <x v="21"/>
    <x v="431"/>
    <x v="2898"/>
    <x v="0"/>
    <x v="55"/>
    <x v="1"/>
  </r>
  <r>
    <x v="55"/>
    <x v="323"/>
    <x v="8"/>
    <x v="8"/>
    <x v="1"/>
    <x v="14"/>
    <x v="21"/>
    <x v="367"/>
    <x v="2899"/>
    <x v="0"/>
    <x v="55"/>
    <x v="1"/>
  </r>
  <r>
    <x v="55"/>
    <x v="245"/>
    <x v="8"/>
    <x v="8"/>
    <x v="1"/>
    <x v="14"/>
    <x v="21"/>
    <x v="285"/>
    <x v="2900"/>
    <x v="0"/>
    <x v="55"/>
    <x v="1"/>
  </r>
  <r>
    <x v="55"/>
    <x v="173"/>
    <x v="8"/>
    <x v="8"/>
    <x v="1"/>
    <x v="14"/>
    <x v="21"/>
    <x v="378"/>
    <x v="2901"/>
    <x v="0"/>
    <x v="55"/>
    <x v="1"/>
  </r>
  <r>
    <x v="55"/>
    <x v="306"/>
    <x v="9"/>
    <x v="9"/>
    <x v="1"/>
    <x v="14"/>
    <x v="25"/>
    <x v="336"/>
    <x v="2902"/>
    <x v="0"/>
    <x v="55"/>
    <x v="1"/>
  </r>
  <r>
    <x v="55"/>
    <x v="337"/>
    <x v="9"/>
    <x v="9"/>
    <x v="1"/>
    <x v="14"/>
    <x v="21"/>
    <x v="424"/>
    <x v="2903"/>
    <x v="0"/>
    <x v="55"/>
    <x v="1"/>
  </r>
  <r>
    <x v="55"/>
    <x v="303"/>
    <x v="9"/>
    <x v="9"/>
    <x v="1"/>
    <x v="14"/>
    <x v="21"/>
    <x v="327"/>
    <x v="2904"/>
    <x v="0"/>
    <x v="55"/>
    <x v="1"/>
  </r>
  <r>
    <x v="55"/>
    <x v="238"/>
    <x v="9"/>
    <x v="9"/>
    <x v="1"/>
    <x v="14"/>
    <x v="21"/>
    <x v="379"/>
    <x v="2905"/>
    <x v="0"/>
    <x v="55"/>
    <x v="1"/>
  </r>
  <r>
    <x v="55"/>
    <x v="197"/>
    <x v="9"/>
    <x v="9"/>
    <x v="1"/>
    <x v="14"/>
    <x v="21"/>
    <x v="432"/>
    <x v="2906"/>
    <x v="0"/>
    <x v="55"/>
    <x v="1"/>
  </r>
  <r>
    <x v="55"/>
    <x v="211"/>
    <x v="9"/>
    <x v="9"/>
    <x v="1"/>
    <x v="14"/>
    <x v="25"/>
    <x v="286"/>
    <x v="2907"/>
    <x v="0"/>
    <x v="55"/>
    <x v="1"/>
  </r>
  <r>
    <x v="55"/>
    <x v="286"/>
    <x v="10"/>
    <x v="10"/>
    <x v="1"/>
    <x v="14"/>
    <x v="25"/>
    <x v="297"/>
    <x v="1104"/>
    <x v="0"/>
    <x v="55"/>
    <x v="1"/>
  </r>
  <r>
    <x v="55"/>
    <x v="212"/>
    <x v="10"/>
    <x v="10"/>
    <x v="1"/>
    <x v="14"/>
    <x v="25"/>
    <x v="319"/>
    <x v="146"/>
    <x v="0"/>
    <x v="55"/>
    <x v="1"/>
  </r>
  <r>
    <x v="55"/>
    <x v="310"/>
    <x v="10"/>
    <x v="10"/>
    <x v="1"/>
    <x v="14"/>
    <x v="25"/>
    <x v="335"/>
    <x v="2908"/>
    <x v="0"/>
    <x v="55"/>
    <x v="1"/>
  </r>
  <r>
    <x v="55"/>
    <x v="317"/>
    <x v="10"/>
    <x v="10"/>
    <x v="1"/>
    <x v="14"/>
    <x v="25"/>
    <x v="401"/>
    <x v="2909"/>
    <x v="0"/>
    <x v="55"/>
    <x v="1"/>
  </r>
  <r>
    <x v="55"/>
    <x v="243"/>
    <x v="10"/>
    <x v="10"/>
    <x v="1"/>
    <x v="14"/>
    <x v="25"/>
    <x v="411"/>
    <x v="611"/>
    <x v="0"/>
    <x v="55"/>
    <x v="1"/>
  </r>
  <r>
    <x v="55"/>
    <x v="232"/>
    <x v="10"/>
    <x v="10"/>
    <x v="1"/>
    <x v="14"/>
    <x v="25"/>
    <x v="290"/>
    <x v="2513"/>
    <x v="0"/>
    <x v="55"/>
    <x v="1"/>
  </r>
  <r>
    <x v="55"/>
    <x v="244"/>
    <x v="10"/>
    <x v="10"/>
    <x v="1"/>
    <x v="14"/>
    <x v="25"/>
    <x v="433"/>
    <x v="2910"/>
    <x v="0"/>
    <x v="55"/>
    <x v="1"/>
  </r>
  <r>
    <x v="55"/>
    <x v="199"/>
    <x v="10"/>
    <x v="10"/>
    <x v="1"/>
    <x v="14"/>
    <x v="25"/>
    <x v="298"/>
    <x v="2911"/>
    <x v="0"/>
    <x v="55"/>
    <x v="1"/>
  </r>
  <r>
    <x v="55"/>
    <x v="189"/>
    <x v="10"/>
    <x v="10"/>
    <x v="1"/>
    <x v="14"/>
    <x v="25"/>
    <x v="345"/>
    <x v="874"/>
    <x v="0"/>
    <x v="55"/>
    <x v="1"/>
  </r>
  <r>
    <x v="55"/>
    <x v="269"/>
    <x v="11"/>
    <x v="11"/>
    <x v="1"/>
    <x v="14"/>
    <x v="25"/>
    <x v="403"/>
    <x v="736"/>
    <x v="0"/>
    <x v="55"/>
    <x v="1"/>
  </r>
  <r>
    <x v="55"/>
    <x v="200"/>
    <x v="11"/>
    <x v="11"/>
    <x v="1"/>
    <x v="14"/>
    <x v="25"/>
    <x v="351"/>
    <x v="1104"/>
    <x v="0"/>
    <x v="55"/>
    <x v="1"/>
  </r>
  <r>
    <x v="55"/>
    <x v="325"/>
    <x v="11"/>
    <x v="11"/>
    <x v="1"/>
    <x v="14"/>
    <x v="25"/>
    <x v="421"/>
    <x v="2850"/>
    <x v="0"/>
    <x v="55"/>
    <x v="1"/>
  </r>
  <r>
    <x v="55"/>
    <x v="177"/>
    <x v="11"/>
    <x v="11"/>
    <x v="1"/>
    <x v="14"/>
    <x v="25"/>
    <x v="346"/>
    <x v="2912"/>
    <x v="0"/>
    <x v="55"/>
    <x v="1"/>
  </r>
  <r>
    <x v="55"/>
    <x v="299"/>
    <x v="11"/>
    <x v="11"/>
    <x v="1"/>
    <x v="14"/>
    <x v="25"/>
    <x v="315"/>
    <x v="2913"/>
    <x v="0"/>
    <x v="55"/>
    <x v="1"/>
  </r>
  <r>
    <x v="55"/>
    <x v="202"/>
    <x v="11"/>
    <x v="11"/>
    <x v="1"/>
    <x v="14"/>
    <x v="25"/>
    <x v="305"/>
    <x v="1203"/>
    <x v="0"/>
    <x v="55"/>
    <x v="1"/>
  </r>
  <r>
    <x v="55"/>
    <x v="273"/>
    <x v="11"/>
    <x v="11"/>
    <x v="1"/>
    <x v="14"/>
    <x v="25"/>
    <x v="354"/>
    <x v="2914"/>
    <x v="0"/>
    <x v="55"/>
    <x v="1"/>
  </r>
  <r>
    <x v="55"/>
    <x v="215"/>
    <x v="2"/>
    <x v="2"/>
    <x v="1"/>
    <x v="14"/>
    <x v="25"/>
    <x v="322"/>
    <x v="2915"/>
    <x v="0"/>
    <x v="55"/>
    <x v="1"/>
  </r>
  <r>
    <x v="55"/>
    <x v="221"/>
    <x v="2"/>
    <x v="2"/>
    <x v="1"/>
    <x v="14"/>
    <x v="25"/>
    <x v="347"/>
    <x v="2916"/>
    <x v="0"/>
    <x v="55"/>
    <x v="1"/>
  </r>
  <r>
    <x v="55"/>
    <x v="284"/>
    <x v="2"/>
    <x v="2"/>
    <x v="1"/>
    <x v="14"/>
    <x v="25"/>
    <x v="383"/>
    <x v="2917"/>
    <x v="0"/>
    <x v="55"/>
    <x v="1"/>
  </r>
  <r>
    <x v="55"/>
    <x v="270"/>
    <x v="2"/>
    <x v="2"/>
    <x v="1"/>
    <x v="14"/>
    <x v="25"/>
    <x v="363"/>
    <x v="2918"/>
    <x v="0"/>
    <x v="55"/>
    <x v="1"/>
  </r>
  <r>
    <x v="55"/>
    <x v="216"/>
    <x v="2"/>
    <x v="2"/>
    <x v="1"/>
    <x v="14"/>
    <x v="25"/>
    <x v="332"/>
    <x v="816"/>
    <x v="0"/>
    <x v="55"/>
    <x v="1"/>
  </r>
  <r>
    <x v="55"/>
    <x v="257"/>
    <x v="2"/>
    <x v="2"/>
    <x v="1"/>
    <x v="14"/>
    <x v="25"/>
    <x v="410"/>
    <x v="2919"/>
    <x v="0"/>
    <x v="55"/>
    <x v="1"/>
  </r>
  <r>
    <x v="55"/>
    <x v="316"/>
    <x v="2"/>
    <x v="2"/>
    <x v="1"/>
    <x v="14"/>
    <x v="25"/>
    <x v="348"/>
    <x v="2920"/>
    <x v="0"/>
    <x v="55"/>
    <x v="1"/>
  </r>
  <r>
    <x v="55"/>
    <x v="304"/>
    <x v="2"/>
    <x v="2"/>
    <x v="1"/>
    <x v="14"/>
    <x v="25"/>
    <x v="329"/>
    <x v="1176"/>
    <x v="0"/>
    <x v="55"/>
    <x v="1"/>
  </r>
  <r>
    <x v="55"/>
    <x v="246"/>
    <x v="2"/>
    <x v="2"/>
    <x v="1"/>
    <x v="14"/>
    <x v="25"/>
    <x v="287"/>
    <x v="2921"/>
    <x v="0"/>
    <x v="55"/>
    <x v="1"/>
  </r>
  <r>
    <x v="55"/>
    <x v="217"/>
    <x v="6"/>
    <x v="6"/>
    <x v="1"/>
    <x v="14"/>
    <x v="25"/>
    <x v="323"/>
    <x v="2922"/>
    <x v="0"/>
    <x v="55"/>
    <x v="1"/>
  </r>
  <r>
    <x v="55"/>
    <x v="265"/>
    <x v="6"/>
    <x v="6"/>
    <x v="1"/>
    <x v="14"/>
    <x v="25"/>
    <x v="386"/>
    <x v="2923"/>
    <x v="0"/>
    <x v="55"/>
    <x v="1"/>
  </r>
  <r>
    <x v="55"/>
    <x v="184"/>
    <x v="6"/>
    <x v="6"/>
    <x v="1"/>
    <x v="14"/>
    <x v="25"/>
    <x v="413"/>
    <x v="2924"/>
    <x v="0"/>
    <x v="55"/>
    <x v="1"/>
  </r>
  <r>
    <x v="55"/>
    <x v="314"/>
    <x v="6"/>
    <x v="6"/>
    <x v="1"/>
    <x v="14"/>
    <x v="25"/>
    <x v="372"/>
    <x v="911"/>
    <x v="0"/>
    <x v="55"/>
    <x v="1"/>
  </r>
  <r>
    <x v="55"/>
    <x v="296"/>
    <x v="6"/>
    <x v="6"/>
    <x v="1"/>
    <x v="14"/>
    <x v="25"/>
    <x v="312"/>
    <x v="2925"/>
    <x v="0"/>
    <x v="55"/>
    <x v="1"/>
  </r>
  <r>
    <x v="55"/>
    <x v="313"/>
    <x v="6"/>
    <x v="6"/>
    <x v="1"/>
    <x v="14"/>
    <x v="25"/>
    <x v="341"/>
    <x v="2926"/>
    <x v="0"/>
    <x v="55"/>
    <x v="1"/>
  </r>
  <r>
    <x v="55"/>
    <x v="174"/>
    <x v="6"/>
    <x v="6"/>
    <x v="1"/>
    <x v="14"/>
    <x v="25"/>
    <x v="282"/>
    <x v="2927"/>
    <x v="0"/>
    <x v="55"/>
    <x v="1"/>
  </r>
  <r>
    <x v="55"/>
    <x v="277"/>
    <x v="7"/>
    <x v="7"/>
    <x v="1"/>
    <x v="15"/>
    <x v="25"/>
    <x v="325"/>
    <x v="925"/>
    <x v="0"/>
    <x v="55"/>
    <x v="1"/>
  </r>
  <r>
    <x v="55"/>
    <x v="277"/>
    <x v="7"/>
    <x v="7"/>
    <x v="1"/>
    <x v="15"/>
    <x v="21"/>
    <x v="325"/>
    <x v="146"/>
    <x v="0"/>
    <x v="55"/>
    <x v="1"/>
  </r>
  <r>
    <x v="55"/>
    <x v="327"/>
    <x v="7"/>
    <x v="7"/>
    <x v="1"/>
    <x v="15"/>
    <x v="21"/>
    <x v="387"/>
    <x v="146"/>
    <x v="0"/>
    <x v="55"/>
    <x v="1"/>
  </r>
  <r>
    <x v="55"/>
    <x v="179"/>
    <x v="7"/>
    <x v="7"/>
    <x v="1"/>
    <x v="15"/>
    <x v="21"/>
    <x v="415"/>
    <x v="2928"/>
    <x v="0"/>
    <x v="55"/>
    <x v="1"/>
  </r>
  <r>
    <x v="55"/>
    <x v="259"/>
    <x v="7"/>
    <x v="7"/>
    <x v="1"/>
    <x v="15"/>
    <x v="21"/>
    <x v="355"/>
    <x v="146"/>
    <x v="0"/>
    <x v="55"/>
    <x v="1"/>
  </r>
  <r>
    <x v="55"/>
    <x v="192"/>
    <x v="8"/>
    <x v="8"/>
    <x v="1"/>
    <x v="15"/>
    <x v="25"/>
    <x v="300"/>
    <x v="925"/>
    <x v="0"/>
    <x v="55"/>
    <x v="1"/>
  </r>
  <r>
    <x v="55"/>
    <x v="326"/>
    <x v="8"/>
    <x v="8"/>
    <x v="1"/>
    <x v="15"/>
    <x v="21"/>
    <x v="423"/>
    <x v="2734"/>
    <x v="0"/>
    <x v="55"/>
    <x v="1"/>
  </r>
  <r>
    <x v="55"/>
    <x v="254"/>
    <x v="8"/>
    <x v="8"/>
    <x v="1"/>
    <x v="15"/>
    <x v="21"/>
    <x v="326"/>
    <x v="146"/>
    <x v="0"/>
    <x v="55"/>
    <x v="1"/>
  </r>
  <r>
    <x v="55"/>
    <x v="323"/>
    <x v="8"/>
    <x v="8"/>
    <x v="1"/>
    <x v="15"/>
    <x v="21"/>
    <x v="367"/>
    <x v="2929"/>
    <x v="0"/>
    <x v="55"/>
    <x v="1"/>
  </r>
  <r>
    <x v="55"/>
    <x v="306"/>
    <x v="9"/>
    <x v="9"/>
    <x v="1"/>
    <x v="15"/>
    <x v="25"/>
    <x v="336"/>
    <x v="925"/>
    <x v="0"/>
    <x v="55"/>
    <x v="1"/>
  </r>
  <r>
    <x v="55"/>
    <x v="227"/>
    <x v="9"/>
    <x v="9"/>
    <x v="1"/>
    <x v="15"/>
    <x v="21"/>
    <x v="399"/>
    <x v="2930"/>
    <x v="0"/>
    <x v="55"/>
    <x v="1"/>
  </r>
  <r>
    <x v="55"/>
    <x v="303"/>
    <x v="9"/>
    <x v="9"/>
    <x v="1"/>
    <x v="15"/>
    <x v="21"/>
    <x v="327"/>
    <x v="874"/>
    <x v="0"/>
    <x v="55"/>
    <x v="1"/>
  </r>
  <r>
    <x v="55"/>
    <x v="197"/>
    <x v="9"/>
    <x v="9"/>
    <x v="1"/>
    <x v="15"/>
    <x v="21"/>
    <x v="432"/>
    <x v="1182"/>
    <x v="0"/>
    <x v="55"/>
    <x v="1"/>
  </r>
  <r>
    <x v="55"/>
    <x v="286"/>
    <x v="10"/>
    <x v="10"/>
    <x v="1"/>
    <x v="15"/>
    <x v="25"/>
    <x v="297"/>
    <x v="925"/>
    <x v="0"/>
    <x v="55"/>
    <x v="1"/>
  </r>
  <r>
    <x v="55"/>
    <x v="212"/>
    <x v="10"/>
    <x v="10"/>
    <x v="1"/>
    <x v="15"/>
    <x v="25"/>
    <x v="319"/>
    <x v="2931"/>
    <x v="0"/>
    <x v="55"/>
    <x v="1"/>
  </r>
  <r>
    <x v="55"/>
    <x v="248"/>
    <x v="10"/>
    <x v="10"/>
    <x v="1"/>
    <x v="15"/>
    <x v="26"/>
    <x v="304"/>
    <x v="1"/>
    <x v="261"/>
    <x v="55"/>
    <x v="1"/>
  </r>
  <r>
    <x v="55"/>
    <x v="200"/>
    <x v="11"/>
    <x v="11"/>
    <x v="1"/>
    <x v="15"/>
    <x v="25"/>
    <x v="351"/>
    <x v="925"/>
    <x v="0"/>
    <x v="55"/>
    <x v="1"/>
  </r>
  <r>
    <x v="55"/>
    <x v="220"/>
    <x v="11"/>
    <x v="11"/>
    <x v="1"/>
    <x v="15"/>
    <x v="25"/>
    <x v="309"/>
    <x v="874"/>
    <x v="0"/>
    <x v="55"/>
    <x v="1"/>
  </r>
  <r>
    <x v="55"/>
    <x v="193"/>
    <x v="11"/>
    <x v="11"/>
    <x v="1"/>
    <x v="15"/>
    <x v="25"/>
    <x v="369"/>
    <x v="2932"/>
    <x v="0"/>
    <x v="55"/>
    <x v="1"/>
  </r>
  <r>
    <x v="55"/>
    <x v="302"/>
    <x v="11"/>
    <x v="11"/>
    <x v="1"/>
    <x v="15"/>
    <x v="25"/>
    <x v="324"/>
    <x v="2933"/>
    <x v="0"/>
    <x v="55"/>
    <x v="1"/>
  </r>
  <r>
    <x v="55"/>
    <x v="330"/>
    <x v="11"/>
    <x v="11"/>
    <x v="1"/>
    <x v="15"/>
    <x v="25"/>
    <x v="381"/>
    <x v="2934"/>
    <x v="0"/>
    <x v="55"/>
    <x v="1"/>
  </r>
  <r>
    <x v="55"/>
    <x v="221"/>
    <x v="2"/>
    <x v="2"/>
    <x v="1"/>
    <x v="15"/>
    <x v="25"/>
    <x v="347"/>
    <x v="925"/>
    <x v="0"/>
    <x v="55"/>
    <x v="1"/>
  </r>
  <r>
    <x v="55"/>
    <x v="284"/>
    <x v="2"/>
    <x v="2"/>
    <x v="1"/>
    <x v="15"/>
    <x v="25"/>
    <x v="383"/>
    <x v="2930"/>
    <x v="0"/>
    <x v="55"/>
    <x v="1"/>
  </r>
  <r>
    <x v="55"/>
    <x v="265"/>
    <x v="6"/>
    <x v="6"/>
    <x v="1"/>
    <x v="15"/>
    <x v="25"/>
    <x v="386"/>
    <x v="925"/>
    <x v="0"/>
    <x v="55"/>
    <x v="1"/>
  </r>
  <r>
    <x v="55"/>
    <x v="290"/>
    <x v="9"/>
    <x v="9"/>
    <x v="1"/>
    <x v="27"/>
    <x v="25"/>
    <x v="302"/>
    <x v="2935"/>
    <x v="0"/>
    <x v="55"/>
    <x v="1"/>
  </r>
  <r>
    <x v="55"/>
    <x v="316"/>
    <x v="2"/>
    <x v="2"/>
    <x v="1"/>
    <x v="27"/>
    <x v="25"/>
    <x v="348"/>
    <x v="2815"/>
    <x v="0"/>
    <x v="55"/>
    <x v="1"/>
  </r>
  <r>
    <x v="55"/>
    <x v="248"/>
    <x v="10"/>
    <x v="10"/>
    <x v="1"/>
    <x v="28"/>
    <x v="25"/>
    <x v="304"/>
    <x v="2707"/>
    <x v="0"/>
    <x v="55"/>
    <x v="1"/>
  </r>
  <r>
    <x v="55"/>
    <x v="269"/>
    <x v="11"/>
    <x v="11"/>
    <x v="1"/>
    <x v="28"/>
    <x v="25"/>
    <x v="403"/>
    <x v="849"/>
    <x v="0"/>
    <x v="55"/>
    <x v="1"/>
  </r>
  <r>
    <x v="55"/>
    <x v="182"/>
    <x v="2"/>
    <x v="2"/>
    <x v="1"/>
    <x v="28"/>
    <x v="25"/>
    <x v="392"/>
    <x v="2936"/>
    <x v="0"/>
    <x v="55"/>
    <x v="1"/>
  </r>
  <r>
    <x v="55"/>
    <x v="270"/>
    <x v="2"/>
    <x v="2"/>
    <x v="1"/>
    <x v="28"/>
    <x v="25"/>
    <x v="363"/>
    <x v="2937"/>
    <x v="0"/>
    <x v="55"/>
    <x v="1"/>
  </r>
  <r>
    <x v="55"/>
    <x v="280"/>
    <x v="2"/>
    <x v="2"/>
    <x v="1"/>
    <x v="28"/>
    <x v="25"/>
    <x v="295"/>
    <x v="2938"/>
    <x v="0"/>
    <x v="55"/>
    <x v="1"/>
  </r>
  <r>
    <x v="55"/>
    <x v="223"/>
    <x v="2"/>
    <x v="2"/>
    <x v="1"/>
    <x v="28"/>
    <x v="25"/>
    <x v="434"/>
    <x v="2939"/>
    <x v="0"/>
    <x v="55"/>
    <x v="1"/>
  </r>
  <r>
    <x v="55"/>
    <x v="276"/>
    <x v="2"/>
    <x v="2"/>
    <x v="1"/>
    <x v="28"/>
    <x v="25"/>
    <x v="385"/>
    <x v="2940"/>
    <x v="0"/>
    <x v="55"/>
    <x v="1"/>
  </r>
  <r>
    <x v="55"/>
    <x v="281"/>
    <x v="6"/>
    <x v="6"/>
    <x v="1"/>
    <x v="28"/>
    <x v="25"/>
    <x v="395"/>
    <x v="110"/>
    <x v="0"/>
    <x v="55"/>
    <x v="1"/>
  </r>
  <r>
    <x v="55"/>
    <x v="265"/>
    <x v="6"/>
    <x v="6"/>
    <x v="1"/>
    <x v="28"/>
    <x v="25"/>
    <x v="386"/>
    <x v="2941"/>
    <x v="0"/>
    <x v="55"/>
    <x v="1"/>
  </r>
  <r>
    <x v="55"/>
    <x v="296"/>
    <x v="6"/>
    <x v="6"/>
    <x v="1"/>
    <x v="28"/>
    <x v="21"/>
    <x v="312"/>
    <x v="1024"/>
    <x v="0"/>
    <x v="55"/>
    <x v="1"/>
  </r>
  <r>
    <x v="55"/>
    <x v="296"/>
    <x v="6"/>
    <x v="6"/>
    <x v="1"/>
    <x v="28"/>
    <x v="25"/>
    <x v="312"/>
    <x v="2213"/>
    <x v="0"/>
    <x v="55"/>
    <x v="1"/>
  </r>
  <r>
    <x v="55"/>
    <x v="203"/>
    <x v="6"/>
    <x v="6"/>
    <x v="1"/>
    <x v="28"/>
    <x v="25"/>
    <x v="288"/>
    <x v="1941"/>
    <x v="0"/>
    <x v="55"/>
    <x v="1"/>
  </r>
  <r>
    <x v="55"/>
    <x v="188"/>
    <x v="6"/>
    <x v="6"/>
    <x v="1"/>
    <x v="28"/>
    <x v="25"/>
    <x v="407"/>
    <x v="774"/>
    <x v="0"/>
    <x v="55"/>
    <x v="1"/>
  </r>
  <r>
    <x v="55"/>
    <x v="271"/>
    <x v="6"/>
    <x v="6"/>
    <x v="1"/>
    <x v="28"/>
    <x v="25"/>
    <x v="426"/>
    <x v="763"/>
    <x v="0"/>
    <x v="55"/>
    <x v="1"/>
  </r>
  <r>
    <x v="55"/>
    <x v="174"/>
    <x v="6"/>
    <x v="6"/>
    <x v="1"/>
    <x v="28"/>
    <x v="25"/>
    <x v="282"/>
    <x v="2942"/>
    <x v="0"/>
    <x v="55"/>
    <x v="1"/>
  </r>
  <r>
    <x v="55"/>
    <x v="190"/>
    <x v="6"/>
    <x v="6"/>
    <x v="1"/>
    <x v="28"/>
    <x v="21"/>
    <x v="342"/>
    <x v="2829"/>
    <x v="0"/>
    <x v="55"/>
    <x v="1"/>
  </r>
  <r>
    <x v="55"/>
    <x v="308"/>
    <x v="7"/>
    <x v="7"/>
    <x v="1"/>
    <x v="29"/>
    <x v="21"/>
    <x v="333"/>
    <x v="2943"/>
    <x v="0"/>
    <x v="55"/>
    <x v="1"/>
  </r>
  <r>
    <x v="55"/>
    <x v="328"/>
    <x v="7"/>
    <x v="7"/>
    <x v="1"/>
    <x v="29"/>
    <x v="26"/>
    <x v="366"/>
    <x v="2944"/>
    <x v="0"/>
    <x v="55"/>
    <x v="1"/>
  </r>
  <r>
    <x v="55"/>
    <x v="323"/>
    <x v="8"/>
    <x v="8"/>
    <x v="1"/>
    <x v="29"/>
    <x v="26"/>
    <x v="367"/>
    <x v="1412"/>
    <x v="0"/>
    <x v="55"/>
    <x v="1"/>
  </r>
  <r>
    <x v="55"/>
    <x v="262"/>
    <x v="9"/>
    <x v="9"/>
    <x v="1"/>
    <x v="29"/>
    <x v="26"/>
    <x v="368"/>
    <x v="1805"/>
    <x v="0"/>
    <x v="55"/>
    <x v="1"/>
  </r>
  <r>
    <x v="55"/>
    <x v="199"/>
    <x v="10"/>
    <x v="10"/>
    <x v="1"/>
    <x v="29"/>
    <x v="26"/>
    <x v="298"/>
    <x v="1838"/>
    <x v="0"/>
    <x v="55"/>
    <x v="1"/>
  </r>
  <r>
    <x v="55"/>
    <x v="299"/>
    <x v="11"/>
    <x v="11"/>
    <x v="1"/>
    <x v="29"/>
    <x v="26"/>
    <x v="315"/>
    <x v="1"/>
    <x v="592"/>
    <x v="55"/>
    <x v="1"/>
  </r>
  <r>
    <x v="55"/>
    <x v="193"/>
    <x v="11"/>
    <x v="11"/>
    <x v="1"/>
    <x v="29"/>
    <x v="26"/>
    <x v="369"/>
    <x v="2945"/>
    <x v="0"/>
    <x v="55"/>
    <x v="1"/>
  </r>
  <r>
    <x v="55"/>
    <x v="225"/>
    <x v="7"/>
    <x v="7"/>
    <x v="1"/>
    <x v="30"/>
    <x v="21"/>
    <x v="416"/>
    <x v="1288"/>
    <x v="0"/>
    <x v="55"/>
    <x v="1"/>
  </r>
  <r>
    <x v="55"/>
    <x v="225"/>
    <x v="7"/>
    <x v="7"/>
    <x v="1"/>
    <x v="30"/>
    <x v="25"/>
    <x v="416"/>
    <x v="2946"/>
    <x v="0"/>
    <x v="55"/>
    <x v="1"/>
  </r>
  <r>
    <x v="55"/>
    <x v="252"/>
    <x v="7"/>
    <x v="7"/>
    <x v="1"/>
    <x v="30"/>
    <x v="21"/>
    <x v="396"/>
    <x v="2947"/>
    <x v="0"/>
    <x v="55"/>
    <x v="1"/>
  </r>
  <r>
    <x v="55"/>
    <x v="206"/>
    <x v="7"/>
    <x v="7"/>
    <x v="1"/>
    <x v="30"/>
    <x v="21"/>
    <x v="284"/>
    <x v="2948"/>
    <x v="0"/>
    <x v="55"/>
    <x v="1"/>
  </r>
  <r>
    <x v="55"/>
    <x v="332"/>
    <x v="7"/>
    <x v="7"/>
    <x v="1"/>
    <x v="30"/>
    <x v="21"/>
    <x v="397"/>
    <x v="1067"/>
    <x v="0"/>
    <x v="55"/>
    <x v="1"/>
  </r>
  <r>
    <x v="55"/>
    <x v="247"/>
    <x v="8"/>
    <x v="8"/>
    <x v="1"/>
    <x v="30"/>
    <x v="21"/>
    <x v="289"/>
    <x v="2949"/>
    <x v="0"/>
    <x v="55"/>
    <x v="1"/>
  </r>
  <r>
    <x v="55"/>
    <x v="254"/>
    <x v="8"/>
    <x v="8"/>
    <x v="1"/>
    <x v="30"/>
    <x v="21"/>
    <x v="326"/>
    <x v="764"/>
    <x v="0"/>
    <x v="55"/>
    <x v="1"/>
  </r>
  <r>
    <x v="55"/>
    <x v="318"/>
    <x v="8"/>
    <x v="8"/>
    <x v="1"/>
    <x v="30"/>
    <x v="21"/>
    <x v="388"/>
    <x v="2950"/>
    <x v="0"/>
    <x v="55"/>
    <x v="1"/>
  </r>
  <r>
    <x v="55"/>
    <x v="245"/>
    <x v="8"/>
    <x v="8"/>
    <x v="1"/>
    <x v="30"/>
    <x v="21"/>
    <x v="285"/>
    <x v="2064"/>
    <x v="0"/>
    <x v="55"/>
    <x v="1"/>
  </r>
  <r>
    <x v="55"/>
    <x v="245"/>
    <x v="8"/>
    <x v="8"/>
    <x v="1"/>
    <x v="30"/>
    <x v="25"/>
    <x v="285"/>
    <x v="2951"/>
    <x v="0"/>
    <x v="55"/>
    <x v="1"/>
  </r>
  <r>
    <x v="55"/>
    <x v="208"/>
    <x v="8"/>
    <x v="8"/>
    <x v="1"/>
    <x v="30"/>
    <x v="21"/>
    <x v="377"/>
    <x v="2952"/>
    <x v="0"/>
    <x v="55"/>
    <x v="1"/>
  </r>
  <r>
    <x v="55"/>
    <x v="319"/>
    <x v="8"/>
    <x v="8"/>
    <x v="1"/>
    <x v="30"/>
    <x v="21"/>
    <x v="350"/>
    <x v="2953"/>
    <x v="0"/>
    <x v="55"/>
    <x v="1"/>
  </r>
  <r>
    <x v="55"/>
    <x v="242"/>
    <x v="9"/>
    <x v="9"/>
    <x v="1"/>
    <x v="30"/>
    <x v="21"/>
    <x v="435"/>
    <x v="804"/>
    <x v="0"/>
    <x v="55"/>
    <x v="1"/>
  </r>
  <r>
    <x v="55"/>
    <x v="211"/>
    <x v="9"/>
    <x v="9"/>
    <x v="1"/>
    <x v="30"/>
    <x v="25"/>
    <x v="286"/>
    <x v="2954"/>
    <x v="0"/>
    <x v="55"/>
    <x v="1"/>
  </r>
  <r>
    <x v="55"/>
    <x v="331"/>
    <x v="9"/>
    <x v="9"/>
    <x v="1"/>
    <x v="30"/>
    <x v="25"/>
    <x v="391"/>
    <x v="2955"/>
    <x v="0"/>
    <x v="55"/>
    <x v="1"/>
  </r>
  <r>
    <x v="55"/>
    <x v="263"/>
    <x v="10"/>
    <x v="10"/>
    <x v="1"/>
    <x v="30"/>
    <x v="25"/>
    <x v="436"/>
    <x v="759"/>
    <x v="0"/>
    <x v="55"/>
    <x v="1"/>
  </r>
  <r>
    <x v="55"/>
    <x v="310"/>
    <x v="10"/>
    <x v="10"/>
    <x v="1"/>
    <x v="30"/>
    <x v="25"/>
    <x v="335"/>
    <x v="2956"/>
    <x v="0"/>
    <x v="55"/>
    <x v="1"/>
  </r>
  <r>
    <x v="55"/>
    <x v="239"/>
    <x v="10"/>
    <x v="10"/>
    <x v="1"/>
    <x v="30"/>
    <x v="25"/>
    <x v="419"/>
    <x v="1242"/>
    <x v="0"/>
    <x v="55"/>
    <x v="1"/>
  </r>
  <r>
    <x v="55"/>
    <x v="248"/>
    <x v="10"/>
    <x v="10"/>
    <x v="1"/>
    <x v="30"/>
    <x v="25"/>
    <x v="304"/>
    <x v="2957"/>
    <x v="0"/>
    <x v="55"/>
    <x v="1"/>
  </r>
  <r>
    <x v="55"/>
    <x v="248"/>
    <x v="10"/>
    <x v="10"/>
    <x v="1"/>
    <x v="30"/>
    <x v="21"/>
    <x v="304"/>
    <x v="2958"/>
    <x v="0"/>
    <x v="55"/>
    <x v="1"/>
  </r>
  <r>
    <x v="55"/>
    <x v="233"/>
    <x v="10"/>
    <x v="10"/>
    <x v="1"/>
    <x v="30"/>
    <x v="21"/>
    <x v="344"/>
    <x v="2959"/>
    <x v="0"/>
    <x v="55"/>
    <x v="1"/>
  </r>
  <r>
    <x v="55"/>
    <x v="200"/>
    <x v="11"/>
    <x v="11"/>
    <x v="1"/>
    <x v="30"/>
    <x v="25"/>
    <x v="351"/>
    <x v="2960"/>
    <x v="0"/>
    <x v="55"/>
    <x v="1"/>
  </r>
  <r>
    <x v="55"/>
    <x v="200"/>
    <x v="11"/>
    <x v="11"/>
    <x v="1"/>
    <x v="30"/>
    <x v="21"/>
    <x v="351"/>
    <x v="1024"/>
    <x v="0"/>
    <x v="55"/>
    <x v="1"/>
  </r>
  <r>
    <x v="55"/>
    <x v="202"/>
    <x v="11"/>
    <x v="11"/>
    <x v="1"/>
    <x v="30"/>
    <x v="26"/>
    <x v="305"/>
    <x v="2961"/>
    <x v="0"/>
    <x v="55"/>
    <x v="1"/>
  </r>
  <r>
    <x v="55"/>
    <x v="330"/>
    <x v="11"/>
    <x v="11"/>
    <x v="1"/>
    <x v="30"/>
    <x v="25"/>
    <x v="381"/>
    <x v="2962"/>
    <x v="0"/>
    <x v="55"/>
    <x v="1"/>
  </r>
  <r>
    <x v="55"/>
    <x v="274"/>
    <x v="11"/>
    <x v="11"/>
    <x v="1"/>
    <x v="30"/>
    <x v="25"/>
    <x v="404"/>
    <x v="2963"/>
    <x v="0"/>
    <x v="55"/>
    <x v="1"/>
  </r>
  <r>
    <x v="55"/>
    <x v="300"/>
    <x v="2"/>
    <x v="2"/>
    <x v="1"/>
    <x v="30"/>
    <x v="25"/>
    <x v="316"/>
    <x v="911"/>
    <x v="0"/>
    <x v="55"/>
    <x v="1"/>
  </r>
  <r>
    <x v="55"/>
    <x v="315"/>
    <x v="2"/>
    <x v="2"/>
    <x v="1"/>
    <x v="30"/>
    <x v="25"/>
    <x v="405"/>
    <x v="2964"/>
    <x v="0"/>
    <x v="55"/>
    <x v="1"/>
  </r>
  <r>
    <x v="55"/>
    <x v="334"/>
    <x v="2"/>
    <x v="2"/>
    <x v="1"/>
    <x v="30"/>
    <x v="21"/>
    <x v="406"/>
    <x v="2965"/>
    <x v="0"/>
    <x v="55"/>
    <x v="1"/>
  </r>
  <r>
    <x v="55"/>
    <x v="284"/>
    <x v="2"/>
    <x v="2"/>
    <x v="1"/>
    <x v="30"/>
    <x v="26"/>
    <x v="383"/>
    <x v="2966"/>
    <x v="0"/>
    <x v="55"/>
    <x v="1"/>
  </r>
  <r>
    <x v="55"/>
    <x v="270"/>
    <x v="2"/>
    <x v="2"/>
    <x v="1"/>
    <x v="30"/>
    <x v="26"/>
    <x v="363"/>
    <x v="2967"/>
    <x v="0"/>
    <x v="55"/>
    <x v="1"/>
  </r>
  <r>
    <x v="55"/>
    <x v="216"/>
    <x v="2"/>
    <x v="2"/>
    <x v="1"/>
    <x v="30"/>
    <x v="25"/>
    <x v="332"/>
    <x v="2968"/>
    <x v="0"/>
    <x v="55"/>
    <x v="1"/>
  </r>
  <r>
    <x v="55"/>
    <x v="223"/>
    <x v="2"/>
    <x v="2"/>
    <x v="1"/>
    <x v="30"/>
    <x v="21"/>
    <x v="434"/>
    <x v="2969"/>
    <x v="0"/>
    <x v="55"/>
    <x v="1"/>
  </r>
  <r>
    <x v="55"/>
    <x v="276"/>
    <x v="2"/>
    <x v="2"/>
    <x v="1"/>
    <x v="30"/>
    <x v="25"/>
    <x v="385"/>
    <x v="2970"/>
    <x v="0"/>
    <x v="55"/>
    <x v="1"/>
  </r>
  <r>
    <x v="55"/>
    <x v="276"/>
    <x v="2"/>
    <x v="2"/>
    <x v="1"/>
    <x v="30"/>
    <x v="21"/>
    <x v="385"/>
    <x v="2971"/>
    <x v="0"/>
    <x v="55"/>
    <x v="1"/>
  </r>
  <r>
    <x v="55"/>
    <x v="183"/>
    <x v="2"/>
    <x v="2"/>
    <x v="1"/>
    <x v="30"/>
    <x v="25"/>
    <x v="330"/>
    <x v="2972"/>
    <x v="0"/>
    <x v="55"/>
    <x v="1"/>
  </r>
  <r>
    <x v="55"/>
    <x v="285"/>
    <x v="6"/>
    <x v="6"/>
    <x v="1"/>
    <x v="30"/>
    <x v="21"/>
    <x v="409"/>
    <x v="2973"/>
    <x v="0"/>
    <x v="55"/>
    <x v="1"/>
  </r>
  <r>
    <x v="55"/>
    <x v="217"/>
    <x v="6"/>
    <x v="6"/>
    <x v="1"/>
    <x v="30"/>
    <x v="25"/>
    <x v="323"/>
    <x v="2974"/>
    <x v="0"/>
    <x v="55"/>
    <x v="1"/>
  </r>
  <r>
    <x v="55"/>
    <x v="265"/>
    <x v="6"/>
    <x v="6"/>
    <x v="1"/>
    <x v="30"/>
    <x v="25"/>
    <x v="386"/>
    <x v="816"/>
    <x v="0"/>
    <x v="55"/>
    <x v="1"/>
  </r>
  <r>
    <x v="55"/>
    <x v="265"/>
    <x v="6"/>
    <x v="6"/>
    <x v="1"/>
    <x v="30"/>
    <x v="26"/>
    <x v="386"/>
    <x v="2975"/>
    <x v="0"/>
    <x v="55"/>
    <x v="1"/>
  </r>
  <r>
    <x v="55"/>
    <x v="184"/>
    <x v="6"/>
    <x v="6"/>
    <x v="1"/>
    <x v="30"/>
    <x v="25"/>
    <x v="413"/>
    <x v="2976"/>
    <x v="0"/>
    <x v="55"/>
    <x v="1"/>
  </r>
  <r>
    <x v="55"/>
    <x v="236"/>
    <x v="6"/>
    <x v="6"/>
    <x v="1"/>
    <x v="30"/>
    <x v="26"/>
    <x v="371"/>
    <x v="2977"/>
    <x v="0"/>
    <x v="55"/>
    <x v="1"/>
  </r>
  <r>
    <x v="55"/>
    <x v="335"/>
    <x v="6"/>
    <x v="6"/>
    <x v="1"/>
    <x v="30"/>
    <x v="21"/>
    <x v="408"/>
    <x v="982"/>
    <x v="0"/>
    <x v="55"/>
    <x v="1"/>
  </r>
  <r>
    <x v="55"/>
    <x v="190"/>
    <x v="6"/>
    <x v="6"/>
    <x v="1"/>
    <x v="30"/>
    <x v="25"/>
    <x v="342"/>
    <x v="899"/>
    <x v="0"/>
    <x v="55"/>
    <x v="1"/>
  </r>
  <r>
    <x v="55"/>
    <x v="190"/>
    <x v="6"/>
    <x v="6"/>
    <x v="1"/>
    <x v="30"/>
    <x v="21"/>
    <x v="342"/>
    <x v="2978"/>
    <x v="0"/>
    <x v="55"/>
    <x v="1"/>
  </r>
  <r>
    <x v="55"/>
    <x v="332"/>
    <x v="7"/>
    <x v="7"/>
    <x v="1"/>
    <x v="17"/>
    <x v="26"/>
    <x v="397"/>
    <x v="2979"/>
    <x v="0"/>
    <x v="55"/>
    <x v="1"/>
  </r>
  <r>
    <x v="55"/>
    <x v="254"/>
    <x v="8"/>
    <x v="8"/>
    <x v="1"/>
    <x v="17"/>
    <x v="21"/>
    <x v="326"/>
    <x v="852"/>
    <x v="0"/>
    <x v="55"/>
    <x v="1"/>
  </r>
  <r>
    <x v="55"/>
    <x v="261"/>
    <x v="8"/>
    <x v="8"/>
    <x v="1"/>
    <x v="17"/>
    <x v="26"/>
    <x v="320"/>
    <x v="2839"/>
    <x v="0"/>
    <x v="55"/>
    <x v="1"/>
  </r>
  <r>
    <x v="55"/>
    <x v="323"/>
    <x v="8"/>
    <x v="8"/>
    <x v="1"/>
    <x v="17"/>
    <x v="26"/>
    <x v="367"/>
    <x v="2980"/>
    <x v="0"/>
    <x v="55"/>
    <x v="1"/>
  </r>
  <r>
    <x v="55"/>
    <x v="227"/>
    <x v="9"/>
    <x v="9"/>
    <x v="1"/>
    <x v="17"/>
    <x v="26"/>
    <x v="399"/>
    <x v="899"/>
    <x v="0"/>
    <x v="55"/>
    <x v="1"/>
  </r>
  <r>
    <x v="55"/>
    <x v="194"/>
    <x v="9"/>
    <x v="9"/>
    <x v="1"/>
    <x v="17"/>
    <x v="26"/>
    <x v="390"/>
    <x v="2981"/>
    <x v="0"/>
    <x v="55"/>
    <x v="1"/>
  </r>
  <r>
    <x v="55"/>
    <x v="338"/>
    <x v="9"/>
    <x v="9"/>
    <x v="1"/>
    <x v="17"/>
    <x v="25"/>
    <x v="425"/>
    <x v="2982"/>
    <x v="0"/>
    <x v="55"/>
    <x v="1"/>
  </r>
  <r>
    <x v="55"/>
    <x v="286"/>
    <x v="10"/>
    <x v="10"/>
    <x v="1"/>
    <x v="17"/>
    <x v="25"/>
    <x v="297"/>
    <x v="2983"/>
    <x v="0"/>
    <x v="55"/>
    <x v="1"/>
  </r>
  <r>
    <x v="55"/>
    <x v="263"/>
    <x v="10"/>
    <x v="10"/>
    <x v="1"/>
    <x v="17"/>
    <x v="26"/>
    <x v="436"/>
    <x v="2984"/>
    <x v="0"/>
    <x v="55"/>
    <x v="1"/>
  </r>
  <r>
    <x v="55"/>
    <x v="317"/>
    <x v="10"/>
    <x v="10"/>
    <x v="1"/>
    <x v="17"/>
    <x v="21"/>
    <x v="401"/>
    <x v="2985"/>
    <x v="0"/>
    <x v="55"/>
    <x v="1"/>
  </r>
  <r>
    <x v="55"/>
    <x v="248"/>
    <x v="10"/>
    <x v="10"/>
    <x v="1"/>
    <x v="17"/>
    <x v="25"/>
    <x v="304"/>
    <x v="2986"/>
    <x v="0"/>
    <x v="55"/>
    <x v="1"/>
  </r>
  <r>
    <x v="55"/>
    <x v="176"/>
    <x v="10"/>
    <x v="10"/>
    <x v="1"/>
    <x v="17"/>
    <x v="26"/>
    <x v="412"/>
    <x v="2987"/>
    <x v="0"/>
    <x v="55"/>
    <x v="1"/>
  </r>
  <r>
    <x v="55"/>
    <x v="249"/>
    <x v="11"/>
    <x v="11"/>
    <x v="1"/>
    <x v="17"/>
    <x v="25"/>
    <x v="359"/>
    <x v="2988"/>
    <x v="0"/>
    <x v="55"/>
    <x v="1"/>
  </r>
  <r>
    <x v="55"/>
    <x v="214"/>
    <x v="11"/>
    <x v="11"/>
    <x v="1"/>
    <x v="17"/>
    <x v="26"/>
    <x v="306"/>
    <x v="2989"/>
    <x v="0"/>
    <x v="55"/>
    <x v="1"/>
  </r>
  <r>
    <x v="55"/>
    <x v="275"/>
    <x v="11"/>
    <x v="11"/>
    <x v="1"/>
    <x v="17"/>
    <x v="25"/>
    <x v="307"/>
    <x v="835"/>
    <x v="0"/>
    <x v="55"/>
    <x v="1"/>
  </r>
  <r>
    <x v="55"/>
    <x v="300"/>
    <x v="2"/>
    <x v="2"/>
    <x v="1"/>
    <x v="17"/>
    <x v="25"/>
    <x v="316"/>
    <x v="905"/>
    <x v="0"/>
    <x v="55"/>
    <x v="1"/>
  </r>
  <r>
    <x v="55"/>
    <x v="182"/>
    <x v="2"/>
    <x v="2"/>
    <x v="1"/>
    <x v="17"/>
    <x v="25"/>
    <x v="392"/>
    <x v="2990"/>
    <x v="0"/>
    <x v="55"/>
    <x v="1"/>
  </r>
  <r>
    <x v="55"/>
    <x v="182"/>
    <x v="2"/>
    <x v="2"/>
    <x v="1"/>
    <x v="17"/>
    <x v="26"/>
    <x v="392"/>
    <x v="2991"/>
    <x v="0"/>
    <x v="55"/>
    <x v="1"/>
  </r>
  <r>
    <x v="55"/>
    <x v="246"/>
    <x v="2"/>
    <x v="2"/>
    <x v="1"/>
    <x v="17"/>
    <x v="25"/>
    <x v="287"/>
    <x v="2992"/>
    <x v="0"/>
    <x v="55"/>
    <x v="1"/>
  </r>
  <r>
    <x v="55"/>
    <x v="314"/>
    <x v="6"/>
    <x v="6"/>
    <x v="1"/>
    <x v="17"/>
    <x v="25"/>
    <x v="372"/>
    <x v="1746"/>
    <x v="0"/>
    <x v="55"/>
    <x v="1"/>
  </r>
  <r>
    <x v="55"/>
    <x v="314"/>
    <x v="6"/>
    <x v="6"/>
    <x v="1"/>
    <x v="17"/>
    <x v="26"/>
    <x v="372"/>
    <x v="2993"/>
    <x v="0"/>
    <x v="55"/>
    <x v="1"/>
  </r>
  <r>
    <x v="55"/>
    <x v="297"/>
    <x v="6"/>
    <x v="6"/>
    <x v="1"/>
    <x v="17"/>
    <x v="25"/>
    <x v="313"/>
    <x v="2994"/>
    <x v="0"/>
    <x v="55"/>
    <x v="1"/>
  </r>
  <r>
    <x v="55"/>
    <x v="335"/>
    <x v="6"/>
    <x v="6"/>
    <x v="1"/>
    <x v="17"/>
    <x v="25"/>
    <x v="408"/>
    <x v="2823"/>
    <x v="0"/>
    <x v="55"/>
    <x v="1"/>
  </r>
  <r>
    <x v="55"/>
    <x v="259"/>
    <x v="7"/>
    <x v="7"/>
    <x v="1"/>
    <x v="31"/>
    <x v="21"/>
    <x v="355"/>
    <x v="1231"/>
    <x v="0"/>
    <x v="55"/>
    <x v="1"/>
  </r>
  <r>
    <x v="55"/>
    <x v="260"/>
    <x v="7"/>
    <x v="7"/>
    <x v="1"/>
    <x v="31"/>
    <x v="21"/>
    <x v="437"/>
    <x v="2995"/>
    <x v="0"/>
    <x v="55"/>
    <x v="1"/>
  </r>
  <r>
    <x v="55"/>
    <x v="251"/>
    <x v="8"/>
    <x v="8"/>
    <x v="1"/>
    <x v="31"/>
    <x v="21"/>
    <x v="291"/>
    <x v="782"/>
    <x v="0"/>
    <x v="55"/>
    <x v="1"/>
  </r>
  <r>
    <x v="55"/>
    <x v="321"/>
    <x v="8"/>
    <x v="8"/>
    <x v="1"/>
    <x v="31"/>
    <x v="21"/>
    <x v="430"/>
    <x v="899"/>
    <x v="0"/>
    <x v="55"/>
    <x v="1"/>
  </r>
  <r>
    <x v="55"/>
    <x v="267"/>
    <x v="8"/>
    <x v="8"/>
    <x v="1"/>
    <x v="31"/>
    <x v="21"/>
    <x v="438"/>
    <x v="1212"/>
    <x v="0"/>
    <x v="55"/>
    <x v="1"/>
  </r>
  <r>
    <x v="55"/>
    <x v="245"/>
    <x v="8"/>
    <x v="8"/>
    <x v="1"/>
    <x v="31"/>
    <x v="21"/>
    <x v="285"/>
    <x v="2996"/>
    <x v="0"/>
    <x v="55"/>
    <x v="1"/>
  </r>
  <r>
    <x v="55"/>
    <x v="173"/>
    <x v="8"/>
    <x v="8"/>
    <x v="1"/>
    <x v="31"/>
    <x v="21"/>
    <x v="378"/>
    <x v="905"/>
    <x v="0"/>
    <x v="55"/>
    <x v="1"/>
  </r>
  <r>
    <x v="55"/>
    <x v="337"/>
    <x v="9"/>
    <x v="9"/>
    <x v="1"/>
    <x v="31"/>
    <x v="21"/>
    <x v="424"/>
    <x v="2997"/>
    <x v="0"/>
    <x v="55"/>
    <x v="1"/>
  </r>
  <r>
    <x v="55"/>
    <x v="303"/>
    <x v="9"/>
    <x v="9"/>
    <x v="1"/>
    <x v="31"/>
    <x v="21"/>
    <x v="327"/>
    <x v="2998"/>
    <x v="0"/>
    <x v="55"/>
    <x v="1"/>
  </r>
  <r>
    <x v="55"/>
    <x v="194"/>
    <x v="9"/>
    <x v="9"/>
    <x v="1"/>
    <x v="31"/>
    <x v="21"/>
    <x v="390"/>
    <x v="765"/>
    <x v="0"/>
    <x v="55"/>
    <x v="1"/>
  </r>
  <r>
    <x v="55"/>
    <x v="290"/>
    <x v="9"/>
    <x v="9"/>
    <x v="1"/>
    <x v="31"/>
    <x v="21"/>
    <x v="302"/>
    <x v="2999"/>
    <x v="0"/>
    <x v="55"/>
    <x v="1"/>
  </r>
  <r>
    <x v="55"/>
    <x v="333"/>
    <x v="9"/>
    <x v="9"/>
    <x v="1"/>
    <x v="31"/>
    <x v="21"/>
    <x v="400"/>
    <x v="1219"/>
    <x v="0"/>
    <x v="55"/>
    <x v="1"/>
  </r>
  <r>
    <x v="55"/>
    <x v="211"/>
    <x v="9"/>
    <x v="9"/>
    <x v="1"/>
    <x v="31"/>
    <x v="21"/>
    <x v="286"/>
    <x v="3000"/>
    <x v="0"/>
    <x v="55"/>
    <x v="1"/>
  </r>
  <r>
    <x v="55"/>
    <x v="331"/>
    <x v="9"/>
    <x v="9"/>
    <x v="1"/>
    <x v="31"/>
    <x v="25"/>
    <x v="391"/>
    <x v="3001"/>
    <x v="0"/>
    <x v="55"/>
    <x v="1"/>
  </r>
  <r>
    <x v="55"/>
    <x v="230"/>
    <x v="9"/>
    <x v="9"/>
    <x v="1"/>
    <x v="31"/>
    <x v="25"/>
    <x v="283"/>
    <x v="804"/>
    <x v="0"/>
    <x v="55"/>
    <x v="1"/>
  </r>
  <r>
    <x v="55"/>
    <x v="286"/>
    <x v="10"/>
    <x v="10"/>
    <x v="1"/>
    <x v="31"/>
    <x v="25"/>
    <x v="297"/>
    <x v="859"/>
    <x v="0"/>
    <x v="55"/>
    <x v="1"/>
  </r>
  <r>
    <x v="55"/>
    <x v="186"/>
    <x v="10"/>
    <x v="10"/>
    <x v="1"/>
    <x v="31"/>
    <x v="25"/>
    <x v="321"/>
    <x v="3002"/>
    <x v="0"/>
    <x v="55"/>
    <x v="1"/>
  </r>
  <r>
    <x v="55"/>
    <x v="248"/>
    <x v="10"/>
    <x v="10"/>
    <x v="1"/>
    <x v="31"/>
    <x v="25"/>
    <x v="304"/>
    <x v="3003"/>
    <x v="0"/>
    <x v="55"/>
    <x v="1"/>
  </r>
  <r>
    <x v="55"/>
    <x v="176"/>
    <x v="10"/>
    <x v="10"/>
    <x v="1"/>
    <x v="31"/>
    <x v="25"/>
    <x v="412"/>
    <x v="3004"/>
    <x v="0"/>
    <x v="55"/>
    <x v="1"/>
  </r>
  <r>
    <x v="55"/>
    <x v="200"/>
    <x v="11"/>
    <x v="11"/>
    <x v="1"/>
    <x v="31"/>
    <x v="25"/>
    <x v="351"/>
    <x v="3005"/>
    <x v="0"/>
    <x v="55"/>
    <x v="1"/>
  </r>
  <r>
    <x v="55"/>
    <x v="282"/>
    <x v="11"/>
    <x v="11"/>
    <x v="1"/>
    <x v="31"/>
    <x v="25"/>
    <x v="358"/>
    <x v="3006"/>
    <x v="0"/>
    <x v="55"/>
    <x v="1"/>
  </r>
  <r>
    <x v="55"/>
    <x v="272"/>
    <x v="11"/>
    <x v="11"/>
    <x v="1"/>
    <x v="31"/>
    <x v="25"/>
    <x v="360"/>
    <x v="772"/>
    <x v="0"/>
    <x v="55"/>
    <x v="1"/>
  </r>
  <r>
    <x v="55"/>
    <x v="299"/>
    <x v="11"/>
    <x v="11"/>
    <x v="1"/>
    <x v="31"/>
    <x v="25"/>
    <x v="315"/>
    <x v="900"/>
    <x v="0"/>
    <x v="55"/>
    <x v="1"/>
  </r>
  <r>
    <x v="55"/>
    <x v="330"/>
    <x v="11"/>
    <x v="11"/>
    <x v="1"/>
    <x v="31"/>
    <x v="21"/>
    <x v="381"/>
    <x v="2015"/>
    <x v="0"/>
    <x v="55"/>
    <x v="1"/>
  </r>
  <r>
    <x v="55"/>
    <x v="334"/>
    <x v="2"/>
    <x v="2"/>
    <x v="1"/>
    <x v="31"/>
    <x v="25"/>
    <x v="406"/>
    <x v="1134"/>
    <x v="0"/>
    <x v="55"/>
    <x v="1"/>
  </r>
  <r>
    <x v="55"/>
    <x v="221"/>
    <x v="2"/>
    <x v="2"/>
    <x v="1"/>
    <x v="31"/>
    <x v="25"/>
    <x v="347"/>
    <x v="896"/>
    <x v="0"/>
    <x v="55"/>
    <x v="1"/>
  </r>
  <r>
    <x v="55"/>
    <x v="280"/>
    <x v="2"/>
    <x v="2"/>
    <x v="1"/>
    <x v="31"/>
    <x v="25"/>
    <x v="295"/>
    <x v="3007"/>
    <x v="0"/>
    <x v="55"/>
    <x v="1"/>
  </r>
  <r>
    <x v="55"/>
    <x v="257"/>
    <x v="2"/>
    <x v="2"/>
    <x v="1"/>
    <x v="31"/>
    <x v="25"/>
    <x v="410"/>
    <x v="764"/>
    <x v="0"/>
    <x v="55"/>
    <x v="1"/>
  </r>
  <r>
    <x v="55"/>
    <x v="223"/>
    <x v="2"/>
    <x v="2"/>
    <x v="1"/>
    <x v="31"/>
    <x v="25"/>
    <x v="434"/>
    <x v="1242"/>
    <x v="0"/>
    <x v="55"/>
    <x v="1"/>
  </r>
  <r>
    <x v="55"/>
    <x v="276"/>
    <x v="2"/>
    <x v="2"/>
    <x v="1"/>
    <x v="31"/>
    <x v="25"/>
    <x v="385"/>
    <x v="2734"/>
    <x v="0"/>
    <x v="55"/>
    <x v="1"/>
  </r>
  <r>
    <x v="55"/>
    <x v="281"/>
    <x v="6"/>
    <x v="6"/>
    <x v="1"/>
    <x v="31"/>
    <x v="25"/>
    <x v="395"/>
    <x v="3008"/>
    <x v="0"/>
    <x v="55"/>
    <x v="1"/>
  </r>
  <r>
    <x v="55"/>
    <x v="265"/>
    <x v="6"/>
    <x v="6"/>
    <x v="1"/>
    <x v="31"/>
    <x v="25"/>
    <x v="386"/>
    <x v="3009"/>
    <x v="0"/>
    <x v="55"/>
    <x v="1"/>
  </r>
  <r>
    <x v="55"/>
    <x v="203"/>
    <x v="6"/>
    <x v="6"/>
    <x v="1"/>
    <x v="31"/>
    <x v="25"/>
    <x v="288"/>
    <x v="3010"/>
    <x v="0"/>
    <x v="55"/>
    <x v="1"/>
  </r>
  <r>
    <x v="55"/>
    <x v="204"/>
    <x v="6"/>
    <x v="6"/>
    <x v="1"/>
    <x v="31"/>
    <x v="25"/>
    <x v="317"/>
    <x v="772"/>
    <x v="0"/>
    <x v="55"/>
    <x v="1"/>
  </r>
  <r>
    <x v="55"/>
    <x v="271"/>
    <x v="6"/>
    <x v="6"/>
    <x v="1"/>
    <x v="31"/>
    <x v="25"/>
    <x v="426"/>
    <x v="3011"/>
    <x v="0"/>
    <x v="55"/>
    <x v="1"/>
  </r>
  <r>
    <x v="55"/>
    <x v="229"/>
    <x v="6"/>
    <x v="6"/>
    <x v="1"/>
    <x v="31"/>
    <x v="25"/>
    <x v="281"/>
    <x v="3012"/>
    <x v="0"/>
    <x v="55"/>
    <x v="1"/>
  </r>
  <r>
    <x v="55"/>
    <x v="190"/>
    <x v="6"/>
    <x v="6"/>
    <x v="1"/>
    <x v="31"/>
    <x v="25"/>
    <x v="342"/>
    <x v="1303"/>
    <x v="0"/>
    <x v="55"/>
    <x v="1"/>
  </r>
  <r>
    <x v="55"/>
    <x v="327"/>
    <x v="7"/>
    <x v="7"/>
    <x v="1"/>
    <x v="32"/>
    <x v="21"/>
    <x v="387"/>
    <x v="887"/>
    <x v="0"/>
    <x v="55"/>
    <x v="1"/>
  </r>
  <r>
    <x v="55"/>
    <x v="288"/>
    <x v="7"/>
    <x v="7"/>
    <x v="1"/>
    <x v="32"/>
    <x v="21"/>
    <x v="439"/>
    <x v="2985"/>
    <x v="0"/>
    <x v="55"/>
    <x v="1"/>
  </r>
  <r>
    <x v="55"/>
    <x v="309"/>
    <x v="7"/>
    <x v="7"/>
    <x v="1"/>
    <x v="32"/>
    <x v="21"/>
    <x v="334"/>
    <x v="3013"/>
    <x v="0"/>
    <x v="55"/>
    <x v="1"/>
  </r>
  <r>
    <x v="55"/>
    <x v="206"/>
    <x v="7"/>
    <x v="7"/>
    <x v="1"/>
    <x v="32"/>
    <x v="21"/>
    <x v="284"/>
    <x v="1268"/>
    <x v="0"/>
    <x v="55"/>
    <x v="1"/>
  </r>
  <r>
    <x v="55"/>
    <x v="171"/>
    <x v="7"/>
    <x v="7"/>
    <x v="1"/>
    <x v="32"/>
    <x v="21"/>
    <x v="429"/>
    <x v="3014"/>
    <x v="0"/>
    <x v="55"/>
    <x v="1"/>
  </r>
  <r>
    <x v="55"/>
    <x v="192"/>
    <x v="8"/>
    <x v="8"/>
    <x v="1"/>
    <x v="32"/>
    <x v="21"/>
    <x v="300"/>
    <x v="3015"/>
    <x v="0"/>
    <x v="55"/>
    <x v="1"/>
  </r>
  <r>
    <x v="55"/>
    <x v="289"/>
    <x v="8"/>
    <x v="8"/>
    <x v="1"/>
    <x v="32"/>
    <x v="21"/>
    <x v="301"/>
    <x v="3016"/>
    <x v="0"/>
    <x v="55"/>
    <x v="1"/>
  </r>
  <r>
    <x v="55"/>
    <x v="254"/>
    <x v="8"/>
    <x v="8"/>
    <x v="1"/>
    <x v="32"/>
    <x v="21"/>
    <x v="326"/>
    <x v="3017"/>
    <x v="0"/>
    <x v="55"/>
    <x v="1"/>
  </r>
  <r>
    <x v="55"/>
    <x v="207"/>
    <x v="8"/>
    <x v="8"/>
    <x v="1"/>
    <x v="32"/>
    <x v="21"/>
    <x v="374"/>
    <x v="3018"/>
    <x v="0"/>
    <x v="55"/>
    <x v="1"/>
  </r>
  <r>
    <x v="55"/>
    <x v="208"/>
    <x v="8"/>
    <x v="8"/>
    <x v="1"/>
    <x v="32"/>
    <x v="21"/>
    <x v="377"/>
    <x v="3019"/>
    <x v="0"/>
    <x v="55"/>
    <x v="1"/>
  </r>
  <r>
    <x v="55"/>
    <x v="337"/>
    <x v="9"/>
    <x v="9"/>
    <x v="1"/>
    <x v="32"/>
    <x v="21"/>
    <x v="424"/>
    <x v="3020"/>
    <x v="0"/>
    <x v="55"/>
    <x v="1"/>
  </r>
  <r>
    <x v="55"/>
    <x v="292"/>
    <x v="9"/>
    <x v="9"/>
    <x v="1"/>
    <x v="32"/>
    <x v="21"/>
    <x v="352"/>
    <x v="3021"/>
    <x v="0"/>
    <x v="55"/>
    <x v="1"/>
  </r>
  <r>
    <x v="55"/>
    <x v="290"/>
    <x v="9"/>
    <x v="9"/>
    <x v="1"/>
    <x v="32"/>
    <x v="21"/>
    <x v="302"/>
    <x v="3022"/>
    <x v="0"/>
    <x v="55"/>
    <x v="1"/>
  </r>
  <r>
    <x v="55"/>
    <x v="211"/>
    <x v="9"/>
    <x v="9"/>
    <x v="1"/>
    <x v="32"/>
    <x v="21"/>
    <x v="286"/>
    <x v="3023"/>
    <x v="0"/>
    <x v="55"/>
    <x v="1"/>
  </r>
  <r>
    <x v="55"/>
    <x v="219"/>
    <x v="9"/>
    <x v="9"/>
    <x v="1"/>
    <x v="32"/>
    <x v="25"/>
    <x v="308"/>
    <x v="1132"/>
    <x v="0"/>
    <x v="55"/>
    <x v="1"/>
  </r>
  <r>
    <x v="55"/>
    <x v="331"/>
    <x v="9"/>
    <x v="9"/>
    <x v="1"/>
    <x v="32"/>
    <x v="25"/>
    <x v="391"/>
    <x v="3024"/>
    <x v="0"/>
    <x v="55"/>
    <x v="1"/>
  </r>
  <r>
    <x v="55"/>
    <x v="331"/>
    <x v="9"/>
    <x v="9"/>
    <x v="1"/>
    <x v="32"/>
    <x v="26"/>
    <x v="391"/>
    <x v="3025"/>
    <x v="0"/>
    <x v="55"/>
    <x v="1"/>
  </r>
  <r>
    <x v="55"/>
    <x v="286"/>
    <x v="10"/>
    <x v="10"/>
    <x v="1"/>
    <x v="32"/>
    <x v="25"/>
    <x v="297"/>
    <x v="3026"/>
    <x v="0"/>
    <x v="55"/>
    <x v="1"/>
  </r>
  <r>
    <x v="55"/>
    <x v="263"/>
    <x v="10"/>
    <x v="10"/>
    <x v="1"/>
    <x v="32"/>
    <x v="25"/>
    <x v="436"/>
    <x v="3027"/>
    <x v="0"/>
    <x v="55"/>
    <x v="1"/>
  </r>
  <r>
    <x v="55"/>
    <x v="263"/>
    <x v="10"/>
    <x v="10"/>
    <x v="1"/>
    <x v="32"/>
    <x v="26"/>
    <x v="436"/>
    <x v="531"/>
    <x v="0"/>
    <x v="55"/>
    <x v="1"/>
  </r>
  <r>
    <x v="55"/>
    <x v="310"/>
    <x v="10"/>
    <x v="10"/>
    <x v="1"/>
    <x v="32"/>
    <x v="25"/>
    <x v="335"/>
    <x v="1212"/>
    <x v="0"/>
    <x v="55"/>
    <x v="1"/>
  </r>
  <r>
    <x v="55"/>
    <x v="231"/>
    <x v="10"/>
    <x v="10"/>
    <x v="1"/>
    <x v="32"/>
    <x v="25"/>
    <x v="402"/>
    <x v="3028"/>
    <x v="0"/>
    <x v="55"/>
    <x v="1"/>
  </r>
  <r>
    <x v="55"/>
    <x v="339"/>
    <x v="10"/>
    <x v="10"/>
    <x v="1"/>
    <x v="32"/>
    <x v="26"/>
    <x v="427"/>
    <x v="3029"/>
    <x v="0"/>
    <x v="55"/>
    <x v="1"/>
  </r>
  <r>
    <x v="55"/>
    <x v="189"/>
    <x v="10"/>
    <x v="10"/>
    <x v="1"/>
    <x v="32"/>
    <x v="26"/>
    <x v="345"/>
    <x v="3030"/>
    <x v="0"/>
    <x v="55"/>
    <x v="1"/>
  </r>
  <r>
    <x v="55"/>
    <x v="200"/>
    <x v="11"/>
    <x v="11"/>
    <x v="1"/>
    <x v="32"/>
    <x v="25"/>
    <x v="351"/>
    <x v="3031"/>
    <x v="0"/>
    <x v="55"/>
    <x v="1"/>
  </r>
  <r>
    <x v="55"/>
    <x v="282"/>
    <x v="11"/>
    <x v="11"/>
    <x v="1"/>
    <x v="32"/>
    <x v="25"/>
    <x v="358"/>
    <x v="3032"/>
    <x v="0"/>
    <x v="55"/>
    <x v="1"/>
  </r>
  <r>
    <x v="55"/>
    <x v="187"/>
    <x v="11"/>
    <x v="11"/>
    <x v="1"/>
    <x v="32"/>
    <x v="25"/>
    <x v="328"/>
    <x v="3033"/>
    <x v="0"/>
    <x v="55"/>
    <x v="1"/>
  </r>
  <r>
    <x v="55"/>
    <x v="202"/>
    <x v="11"/>
    <x v="11"/>
    <x v="1"/>
    <x v="32"/>
    <x v="26"/>
    <x v="305"/>
    <x v="905"/>
    <x v="0"/>
    <x v="55"/>
    <x v="1"/>
  </r>
  <r>
    <x v="55"/>
    <x v="311"/>
    <x v="11"/>
    <x v="11"/>
    <x v="1"/>
    <x v="32"/>
    <x v="25"/>
    <x v="440"/>
    <x v="3034"/>
    <x v="0"/>
    <x v="55"/>
    <x v="1"/>
  </r>
  <r>
    <x v="55"/>
    <x v="274"/>
    <x v="11"/>
    <x v="11"/>
    <x v="1"/>
    <x v="32"/>
    <x v="25"/>
    <x v="404"/>
    <x v="3035"/>
    <x v="0"/>
    <x v="55"/>
    <x v="1"/>
  </r>
  <r>
    <x v="55"/>
    <x v="300"/>
    <x v="2"/>
    <x v="2"/>
    <x v="1"/>
    <x v="32"/>
    <x v="25"/>
    <x v="316"/>
    <x v="2444"/>
    <x v="0"/>
    <x v="55"/>
    <x v="1"/>
  </r>
  <r>
    <x v="55"/>
    <x v="215"/>
    <x v="2"/>
    <x v="2"/>
    <x v="1"/>
    <x v="32"/>
    <x v="25"/>
    <x v="322"/>
    <x v="3036"/>
    <x v="0"/>
    <x v="55"/>
    <x v="1"/>
  </r>
  <r>
    <x v="55"/>
    <x v="182"/>
    <x v="2"/>
    <x v="2"/>
    <x v="1"/>
    <x v="32"/>
    <x v="26"/>
    <x v="392"/>
    <x v="3037"/>
    <x v="0"/>
    <x v="55"/>
    <x v="1"/>
  </r>
  <r>
    <x v="55"/>
    <x v="295"/>
    <x v="2"/>
    <x v="2"/>
    <x v="1"/>
    <x v="32"/>
    <x v="25"/>
    <x v="310"/>
    <x v="3038"/>
    <x v="0"/>
    <x v="55"/>
    <x v="1"/>
  </r>
  <r>
    <x v="55"/>
    <x v="307"/>
    <x v="2"/>
    <x v="2"/>
    <x v="1"/>
    <x v="32"/>
    <x v="25"/>
    <x v="441"/>
    <x v="552"/>
    <x v="0"/>
    <x v="55"/>
    <x v="1"/>
  </r>
  <r>
    <x v="55"/>
    <x v="240"/>
    <x v="2"/>
    <x v="2"/>
    <x v="1"/>
    <x v="32"/>
    <x v="26"/>
    <x v="442"/>
    <x v="3039"/>
    <x v="0"/>
    <x v="55"/>
    <x v="1"/>
  </r>
  <r>
    <x v="55"/>
    <x v="316"/>
    <x v="2"/>
    <x v="2"/>
    <x v="1"/>
    <x v="32"/>
    <x v="26"/>
    <x v="348"/>
    <x v="3040"/>
    <x v="0"/>
    <x v="55"/>
    <x v="1"/>
  </r>
  <r>
    <x v="55"/>
    <x v="276"/>
    <x v="2"/>
    <x v="2"/>
    <x v="1"/>
    <x v="32"/>
    <x v="25"/>
    <x v="385"/>
    <x v="3041"/>
    <x v="0"/>
    <x v="55"/>
    <x v="1"/>
  </r>
  <r>
    <x v="55"/>
    <x v="246"/>
    <x v="2"/>
    <x v="2"/>
    <x v="1"/>
    <x v="32"/>
    <x v="26"/>
    <x v="287"/>
    <x v="1"/>
    <x v="593"/>
    <x v="55"/>
    <x v="1"/>
  </r>
  <r>
    <x v="55"/>
    <x v="264"/>
    <x v="6"/>
    <x v="6"/>
    <x v="1"/>
    <x v="32"/>
    <x v="25"/>
    <x v="311"/>
    <x v="3042"/>
    <x v="0"/>
    <x v="55"/>
    <x v="1"/>
  </r>
  <r>
    <x v="55"/>
    <x v="281"/>
    <x v="6"/>
    <x v="6"/>
    <x v="1"/>
    <x v="32"/>
    <x v="25"/>
    <x v="395"/>
    <x v="3043"/>
    <x v="0"/>
    <x v="55"/>
    <x v="1"/>
  </r>
  <r>
    <x v="55"/>
    <x v="217"/>
    <x v="6"/>
    <x v="6"/>
    <x v="1"/>
    <x v="32"/>
    <x v="25"/>
    <x v="323"/>
    <x v="3044"/>
    <x v="0"/>
    <x v="55"/>
    <x v="1"/>
  </r>
  <r>
    <x v="55"/>
    <x v="305"/>
    <x v="6"/>
    <x v="6"/>
    <x v="1"/>
    <x v="32"/>
    <x v="25"/>
    <x v="331"/>
    <x v="391"/>
    <x v="0"/>
    <x v="55"/>
    <x v="1"/>
  </r>
  <r>
    <x v="55"/>
    <x v="262"/>
    <x v="9"/>
    <x v="9"/>
    <x v="1"/>
    <x v="33"/>
    <x v="26"/>
    <x v="368"/>
    <x v="3045"/>
    <x v="0"/>
    <x v="55"/>
    <x v="1"/>
  </r>
  <r>
    <x v="55"/>
    <x v="255"/>
    <x v="9"/>
    <x v="9"/>
    <x v="1"/>
    <x v="33"/>
    <x v="25"/>
    <x v="293"/>
    <x v="146"/>
    <x v="0"/>
    <x v="55"/>
    <x v="1"/>
  </r>
  <r>
    <x v="55"/>
    <x v="255"/>
    <x v="9"/>
    <x v="9"/>
    <x v="1"/>
    <x v="33"/>
    <x v="26"/>
    <x v="293"/>
    <x v="3046"/>
    <x v="0"/>
    <x v="55"/>
    <x v="1"/>
  </r>
  <r>
    <x v="55"/>
    <x v="263"/>
    <x v="10"/>
    <x v="10"/>
    <x v="1"/>
    <x v="33"/>
    <x v="26"/>
    <x v="436"/>
    <x v="3047"/>
    <x v="0"/>
    <x v="55"/>
    <x v="1"/>
  </r>
  <r>
    <x v="55"/>
    <x v="176"/>
    <x v="10"/>
    <x v="10"/>
    <x v="1"/>
    <x v="33"/>
    <x v="26"/>
    <x v="412"/>
    <x v="3048"/>
    <x v="0"/>
    <x v="55"/>
    <x v="1"/>
  </r>
  <r>
    <x v="55"/>
    <x v="269"/>
    <x v="11"/>
    <x v="11"/>
    <x v="1"/>
    <x v="33"/>
    <x v="25"/>
    <x v="403"/>
    <x v="785"/>
    <x v="0"/>
    <x v="55"/>
    <x v="1"/>
  </r>
  <r>
    <x v="55"/>
    <x v="200"/>
    <x v="11"/>
    <x v="11"/>
    <x v="1"/>
    <x v="33"/>
    <x v="25"/>
    <x v="351"/>
    <x v="1067"/>
    <x v="0"/>
    <x v="55"/>
    <x v="1"/>
  </r>
  <r>
    <x v="55"/>
    <x v="311"/>
    <x v="11"/>
    <x v="11"/>
    <x v="1"/>
    <x v="33"/>
    <x v="26"/>
    <x v="440"/>
    <x v="1"/>
    <x v="594"/>
    <x v="55"/>
    <x v="1"/>
  </r>
  <r>
    <x v="55"/>
    <x v="330"/>
    <x v="11"/>
    <x v="11"/>
    <x v="1"/>
    <x v="33"/>
    <x v="25"/>
    <x v="381"/>
    <x v="3049"/>
    <x v="0"/>
    <x v="55"/>
    <x v="1"/>
  </r>
  <r>
    <x v="55"/>
    <x v="181"/>
    <x v="11"/>
    <x v="11"/>
    <x v="1"/>
    <x v="33"/>
    <x v="21"/>
    <x v="362"/>
    <x v="3050"/>
    <x v="0"/>
    <x v="55"/>
    <x v="1"/>
  </r>
  <r>
    <x v="55"/>
    <x v="334"/>
    <x v="2"/>
    <x v="2"/>
    <x v="1"/>
    <x v="33"/>
    <x v="26"/>
    <x v="406"/>
    <x v="3051"/>
    <x v="0"/>
    <x v="55"/>
    <x v="1"/>
  </r>
  <r>
    <x v="55"/>
    <x v="284"/>
    <x v="2"/>
    <x v="2"/>
    <x v="1"/>
    <x v="33"/>
    <x v="26"/>
    <x v="383"/>
    <x v="3052"/>
    <x v="0"/>
    <x v="55"/>
    <x v="1"/>
  </r>
  <r>
    <x v="55"/>
    <x v="222"/>
    <x v="2"/>
    <x v="2"/>
    <x v="1"/>
    <x v="33"/>
    <x v="25"/>
    <x v="384"/>
    <x v="951"/>
    <x v="0"/>
    <x v="55"/>
    <x v="1"/>
  </r>
  <r>
    <x v="55"/>
    <x v="270"/>
    <x v="2"/>
    <x v="2"/>
    <x v="1"/>
    <x v="33"/>
    <x v="26"/>
    <x v="363"/>
    <x v="3053"/>
    <x v="0"/>
    <x v="55"/>
    <x v="1"/>
  </r>
  <r>
    <x v="55"/>
    <x v="240"/>
    <x v="2"/>
    <x v="2"/>
    <x v="1"/>
    <x v="33"/>
    <x v="26"/>
    <x v="442"/>
    <x v="3054"/>
    <x v="0"/>
    <x v="55"/>
    <x v="1"/>
  </r>
  <r>
    <x v="55"/>
    <x v="257"/>
    <x v="2"/>
    <x v="2"/>
    <x v="1"/>
    <x v="33"/>
    <x v="26"/>
    <x v="410"/>
    <x v="3055"/>
    <x v="0"/>
    <x v="55"/>
    <x v="1"/>
  </r>
  <r>
    <x v="55"/>
    <x v="183"/>
    <x v="2"/>
    <x v="2"/>
    <x v="1"/>
    <x v="33"/>
    <x v="25"/>
    <x v="330"/>
    <x v="3056"/>
    <x v="0"/>
    <x v="55"/>
    <x v="1"/>
  </r>
  <r>
    <x v="55"/>
    <x v="335"/>
    <x v="6"/>
    <x v="6"/>
    <x v="1"/>
    <x v="33"/>
    <x v="21"/>
    <x v="408"/>
    <x v="3050"/>
    <x v="0"/>
    <x v="55"/>
    <x v="1"/>
  </r>
  <r>
    <x v="55"/>
    <x v="249"/>
    <x v="11"/>
    <x v="11"/>
    <x v="1"/>
    <x v="37"/>
    <x v="25"/>
    <x v="359"/>
    <x v="3057"/>
    <x v="0"/>
    <x v="55"/>
    <x v="1"/>
  </r>
  <r>
    <x v="55"/>
    <x v="286"/>
    <x v="10"/>
    <x v="10"/>
    <x v="1"/>
    <x v="34"/>
    <x v="25"/>
    <x v="297"/>
    <x v="3058"/>
    <x v="0"/>
    <x v="55"/>
    <x v="1"/>
  </r>
  <r>
    <x v="55"/>
    <x v="232"/>
    <x v="10"/>
    <x v="10"/>
    <x v="1"/>
    <x v="34"/>
    <x v="25"/>
    <x v="290"/>
    <x v="530"/>
    <x v="0"/>
    <x v="55"/>
    <x v="1"/>
  </r>
  <r>
    <x v="55"/>
    <x v="282"/>
    <x v="11"/>
    <x v="11"/>
    <x v="1"/>
    <x v="34"/>
    <x v="25"/>
    <x v="358"/>
    <x v="3059"/>
    <x v="0"/>
    <x v="55"/>
    <x v="1"/>
  </r>
  <r>
    <x v="55"/>
    <x v="307"/>
    <x v="2"/>
    <x v="2"/>
    <x v="1"/>
    <x v="34"/>
    <x v="25"/>
    <x v="441"/>
    <x v="53"/>
    <x v="0"/>
    <x v="55"/>
    <x v="1"/>
  </r>
  <r>
    <x v="55"/>
    <x v="246"/>
    <x v="2"/>
    <x v="2"/>
    <x v="1"/>
    <x v="34"/>
    <x v="25"/>
    <x v="287"/>
    <x v="735"/>
    <x v="0"/>
    <x v="55"/>
    <x v="1"/>
  </r>
  <r>
    <x v="55"/>
    <x v="281"/>
    <x v="6"/>
    <x v="6"/>
    <x v="1"/>
    <x v="34"/>
    <x v="25"/>
    <x v="395"/>
    <x v="3060"/>
    <x v="0"/>
    <x v="55"/>
    <x v="1"/>
  </r>
  <r>
    <x v="55"/>
    <x v="288"/>
    <x v="7"/>
    <x v="7"/>
    <x v="1"/>
    <x v="18"/>
    <x v="21"/>
    <x v="439"/>
    <x v="3061"/>
    <x v="0"/>
    <x v="55"/>
    <x v="1"/>
  </r>
  <r>
    <x v="55"/>
    <x v="206"/>
    <x v="7"/>
    <x v="7"/>
    <x v="1"/>
    <x v="18"/>
    <x v="21"/>
    <x v="284"/>
    <x v="3062"/>
    <x v="0"/>
    <x v="55"/>
    <x v="1"/>
  </r>
  <r>
    <x v="55"/>
    <x v="195"/>
    <x v="8"/>
    <x v="8"/>
    <x v="1"/>
    <x v="18"/>
    <x v="21"/>
    <x v="373"/>
    <x v="735"/>
    <x v="0"/>
    <x v="55"/>
    <x v="1"/>
  </r>
  <r>
    <x v="55"/>
    <x v="323"/>
    <x v="8"/>
    <x v="8"/>
    <x v="1"/>
    <x v="18"/>
    <x v="21"/>
    <x v="367"/>
    <x v="735"/>
    <x v="0"/>
    <x v="55"/>
    <x v="1"/>
  </r>
  <r>
    <x v="55"/>
    <x v="245"/>
    <x v="8"/>
    <x v="8"/>
    <x v="1"/>
    <x v="18"/>
    <x v="21"/>
    <x v="285"/>
    <x v="3063"/>
    <x v="0"/>
    <x v="55"/>
    <x v="1"/>
  </r>
  <r>
    <x v="55"/>
    <x v="208"/>
    <x v="8"/>
    <x v="8"/>
    <x v="1"/>
    <x v="18"/>
    <x v="21"/>
    <x v="377"/>
    <x v="736"/>
    <x v="0"/>
    <x v="55"/>
    <x v="1"/>
  </r>
  <r>
    <x v="55"/>
    <x v="319"/>
    <x v="8"/>
    <x v="8"/>
    <x v="1"/>
    <x v="18"/>
    <x v="21"/>
    <x v="350"/>
    <x v="3064"/>
    <x v="0"/>
    <x v="55"/>
    <x v="1"/>
  </r>
  <r>
    <x v="55"/>
    <x v="227"/>
    <x v="9"/>
    <x v="9"/>
    <x v="1"/>
    <x v="18"/>
    <x v="21"/>
    <x v="399"/>
    <x v="797"/>
    <x v="0"/>
    <x v="55"/>
    <x v="1"/>
  </r>
  <r>
    <x v="55"/>
    <x v="290"/>
    <x v="9"/>
    <x v="9"/>
    <x v="1"/>
    <x v="18"/>
    <x v="21"/>
    <x v="302"/>
    <x v="1736"/>
    <x v="0"/>
    <x v="55"/>
    <x v="1"/>
  </r>
  <r>
    <x v="55"/>
    <x v="293"/>
    <x v="9"/>
    <x v="9"/>
    <x v="1"/>
    <x v="18"/>
    <x v="21"/>
    <x v="337"/>
    <x v="3065"/>
    <x v="0"/>
    <x v="55"/>
    <x v="1"/>
  </r>
  <r>
    <x v="55"/>
    <x v="230"/>
    <x v="9"/>
    <x v="9"/>
    <x v="1"/>
    <x v="18"/>
    <x v="26"/>
    <x v="283"/>
    <x v="2783"/>
    <x v="0"/>
    <x v="55"/>
    <x v="1"/>
  </r>
  <r>
    <x v="55"/>
    <x v="263"/>
    <x v="10"/>
    <x v="10"/>
    <x v="1"/>
    <x v="18"/>
    <x v="25"/>
    <x v="436"/>
    <x v="3066"/>
    <x v="0"/>
    <x v="55"/>
    <x v="1"/>
  </r>
  <r>
    <x v="55"/>
    <x v="244"/>
    <x v="10"/>
    <x v="10"/>
    <x v="1"/>
    <x v="18"/>
    <x v="25"/>
    <x v="433"/>
    <x v="835"/>
    <x v="0"/>
    <x v="55"/>
    <x v="1"/>
  </r>
  <r>
    <x v="55"/>
    <x v="311"/>
    <x v="11"/>
    <x v="11"/>
    <x v="1"/>
    <x v="18"/>
    <x v="26"/>
    <x v="440"/>
    <x v="785"/>
    <x v="0"/>
    <x v="55"/>
    <x v="1"/>
  </r>
  <r>
    <x v="55"/>
    <x v="330"/>
    <x v="11"/>
    <x v="11"/>
    <x v="1"/>
    <x v="18"/>
    <x v="25"/>
    <x v="381"/>
    <x v="735"/>
    <x v="0"/>
    <x v="55"/>
    <x v="1"/>
  </r>
  <r>
    <x v="55"/>
    <x v="275"/>
    <x v="11"/>
    <x v="11"/>
    <x v="1"/>
    <x v="18"/>
    <x v="26"/>
    <x v="307"/>
    <x v="187"/>
    <x v="0"/>
    <x v="55"/>
    <x v="1"/>
  </r>
  <r>
    <x v="55"/>
    <x v="300"/>
    <x v="2"/>
    <x v="2"/>
    <x v="1"/>
    <x v="18"/>
    <x v="25"/>
    <x v="316"/>
    <x v="736"/>
    <x v="0"/>
    <x v="55"/>
    <x v="1"/>
  </r>
  <r>
    <x v="55"/>
    <x v="307"/>
    <x v="2"/>
    <x v="2"/>
    <x v="1"/>
    <x v="18"/>
    <x v="25"/>
    <x v="441"/>
    <x v="835"/>
    <x v="0"/>
    <x v="55"/>
    <x v="1"/>
  </r>
  <r>
    <x v="55"/>
    <x v="235"/>
    <x v="2"/>
    <x v="2"/>
    <x v="1"/>
    <x v="18"/>
    <x v="25"/>
    <x v="393"/>
    <x v="3067"/>
    <x v="0"/>
    <x v="55"/>
    <x v="1"/>
  </r>
  <r>
    <x v="55"/>
    <x v="264"/>
    <x v="6"/>
    <x v="6"/>
    <x v="1"/>
    <x v="18"/>
    <x v="25"/>
    <x v="311"/>
    <x v="735"/>
    <x v="0"/>
    <x v="55"/>
    <x v="1"/>
  </r>
  <r>
    <x v="56"/>
    <x v="327"/>
    <x v="7"/>
    <x v="7"/>
    <x v="1"/>
    <x v="2"/>
    <x v="20"/>
    <x v="227"/>
    <x v="737"/>
    <x v="0"/>
    <x v="56"/>
    <x v="1"/>
  </r>
  <r>
    <x v="56"/>
    <x v="252"/>
    <x v="7"/>
    <x v="7"/>
    <x v="1"/>
    <x v="2"/>
    <x v="20"/>
    <x v="227"/>
    <x v="750"/>
    <x v="0"/>
    <x v="56"/>
    <x v="1"/>
  </r>
  <r>
    <x v="56"/>
    <x v="206"/>
    <x v="7"/>
    <x v="7"/>
    <x v="1"/>
    <x v="2"/>
    <x v="20"/>
    <x v="227"/>
    <x v="743"/>
    <x v="0"/>
    <x v="56"/>
    <x v="1"/>
  </r>
  <r>
    <x v="56"/>
    <x v="279"/>
    <x v="7"/>
    <x v="7"/>
    <x v="1"/>
    <x v="2"/>
    <x v="20"/>
    <x v="227"/>
    <x v="742"/>
    <x v="0"/>
    <x v="56"/>
    <x v="1"/>
  </r>
  <r>
    <x v="56"/>
    <x v="251"/>
    <x v="8"/>
    <x v="8"/>
    <x v="1"/>
    <x v="2"/>
    <x v="20"/>
    <x v="227"/>
    <x v="742"/>
    <x v="0"/>
    <x v="56"/>
    <x v="1"/>
  </r>
  <r>
    <x v="56"/>
    <x v="318"/>
    <x v="8"/>
    <x v="8"/>
    <x v="1"/>
    <x v="2"/>
    <x v="20"/>
    <x v="227"/>
    <x v="742"/>
    <x v="0"/>
    <x v="56"/>
    <x v="1"/>
  </r>
  <r>
    <x v="56"/>
    <x v="267"/>
    <x v="8"/>
    <x v="8"/>
    <x v="1"/>
    <x v="2"/>
    <x v="20"/>
    <x v="227"/>
    <x v="748"/>
    <x v="0"/>
    <x v="56"/>
    <x v="1"/>
  </r>
  <r>
    <x v="56"/>
    <x v="245"/>
    <x v="8"/>
    <x v="8"/>
    <x v="1"/>
    <x v="2"/>
    <x v="20"/>
    <x v="227"/>
    <x v="745"/>
    <x v="0"/>
    <x v="56"/>
    <x v="1"/>
  </r>
  <r>
    <x v="56"/>
    <x v="263"/>
    <x v="10"/>
    <x v="10"/>
    <x v="1"/>
    <x v="2"/>
    <x v="20"/>
    <x v="227"/>
    <x v="737"/>
    <x v="0"/>
    <x v="56"/>
    <x v="1"/>
  </r>
  <r>
    <x v="57"/>
    <x v="288"/>
    <x v="7"/>
    <x v="7"/>
    <x v="1"/>
    <x v="2"/>
    <x v="20"/>
    <x v="228"/>
    <x v="857"/>
    <x v="0"/>
    <x v="57"/>
    <x v="1"/>
  </r>
  <r>
    <x v="57"/>
    <x v="207"/>
    <x v="8"/>
    <x v="8"/>
    <x v="1"/>
    <x v="2"/>
    <x v="20"/>
    <x v="228"/>
    <x v="763"/>
    <x v="0"/>
    <x v="57"/>
    <x v="1"/>
  </r>
  <r>
    <x v="57"/>
    <x v="194"/>
    <x v="9"/>
    <x v="9"/>
    <x v="1"/>
    <x v="2"/>
    <x v="20"/>
    <x v="228"/>
    <x v="742"/>
    <x v="0"/>
    <x v="57"/>
    <x v="1"/>
  </r>
  <r>
    <x v="57"/>
    <x v="197"/>
    <x v="9"/>
    <x v="9"/>
    <x v="1"/>
    <x v="2"/>
    <x v="20"/>
    <x v="228"/>
    <x v="742"/>
    <x v="0"/>
    <x v="57"/>
    <x v="1"/>
  </r>
  <r>
    <x v="57"/>
    <x v="244"/>
    <x v="10"/>
    <x v="10"/>
    <x v="1"/>
    <x v="2"/>
    <x v="20"/>
    <x v="228"/>
    <x v="737"/>
    <x v="0"/>
    <x v="57"/>
    <x v="1"/>
  </r>
  <r>
    <x v="57"/>
    <x v="272"/>
    <x v="11"/>
    <x v="11"/>
    <x v="1"/>
    <x v="2"/>
    <x v="20"/>
    <x v="228"/>
    <x v="1355"/>
    <x v="0"/>
    <x v="57"/>
    <x v="1"/>
  </r>
  <r>
    <x v="57"/>
    <x v="276"/>
    <x v="2"/>
    <x v="2"/>
    <x v="1"/>
    <x v="2"/>
    <x v="20"/>
    <x v="228"/>
    <x v="3068"/>
    <x v="0"/>
    <x v="57"/>
    <x v="1"/>
  </r>
  <r>
    <x v="57"/>
    <x v="266"/>
    <x v="6"/>
    <x v="6"/>
    <x v="1"/>
    <x v="2"/>
    <x v="20"/>
    <x v="228"/>
    <x v="1355"/>
    <x v="0"/>
    <x v="57"/>
    <x v="1"/>
  </r>
  <r>
    <x v="57"/>
    <x v="296"/>
    <x v="6"/>
    <x v="6"/>
    <x v="1"/>
    <x v="2"/>
    <x v="20"/>
    <x v="228"/>
    <x v="737"/>
    <x v="0"/>
    <x v="57"/>
    <x v="1"/>
  </r>
  <r>
    <x v="57"/>
    <x v="174"/>
    <x v="6"/>
    <x v="6"/>
    <x v="1"/>
    <x v="2"/>
    <x v="20"/>
    <x v="228"/>
    <x v="737"/>
    <x v="0"/>
    <x v="57"/>
    <x v="1"/>
  </r>
  <r>
    <x v="57"/>
    <x v="181"/>
    <x v="11"/>
    <x v="11"/>
    <x v="1"/>
    <x v="0"/>
    <x v="25"/>
    <x v="362"/>
    <x v="146"/>
    <x v="0"/>
    <x v="57"/>
    <x v="1"/>
  </r>
  <r>
    <x v="58"/>
    <x v="326"/>
    <x v="8"/>
    <x v="8"/>
    <x v="1"/>
    <x v="2"/>
    <x v="26"/>
    <x v="423"/>
    <x v="187"/>
    <x v="0"/>
    <x v="58"/>
    <x v="1"/>
  </r>
  <r>
    <x v="58"/>
    <x v="331"/>
    <x v="9"/>
    <x v="9"/>
    <x v="1"/>
    <x v="2"/>
    <x v="25"/>
    <x v="391"/>
    <x v="782"/>
    <x v="0"/>
    <x v="58"/>
    <x v="1"/>
  </r>
  <r>
    <x v="58"/>
    <x v="268"/>
    <x v="10"/>
    <x v="10"/>
    <x v="1"/>
    <x v="2"/>
    <x v="26"/>
    <x v="339"/>
    <x v="905"/>
    <x v="0"/>
    <x v="58"/>
    <x v="1"/>
  </r>
  <r>
    <x v="58"/>
    <x v="248"/>
    <x v="10"/>
    <x v="10"/>
    <x v="1"/>
    <x v="2"/>
    <x v="21"/>
    <x v="304"/>
    <x v="3069"/>
    <x v="0"/>
    <x v="58"/>
    <x v="1"/>
  </r>
  <r>
    <x v="58"/>
    <x v="202"/>
    <x v="11"/>
    <x v="11"/>
    <x v="1"/>
    <x v="2"/>
    <x v="26"/>
    <x v="305"/>
    <x v="187"/>
    <x v="0"/>
    <x v="58"/>
    <x v="1"/>
  </r>
  <r>
    <x v="58"/>
    <x v="273"/>
    <x v="11"/>
    <x v="11"/>
    <x v="1"/>
    <x v="2"/>
    <x v="25"/>
    <x v="354"/>
    <x v="782"/>
    <x v="0"/>
    <x v="58"/>
    <x v="1"/>
  </r>
  <r>
    <x v="58"/>
    <x v="234"/>
    <x v="11"/>
    <x v="11"/>
    <x v="1"/>
    <x v="2"/>
    <x v="20"/>
    <x v="443"/>
    <x v="762"/>
    <x v="0"/>
    <x v="58"/>
    <x v="1"/>
  </r>
  <r>
    <x v="58"/>
    <x v="229"/>
    <x v="6"/>
    <x v="6"/>
    <x v="1"/>
    <x v="2"/>
    <x v="25"/>
    <x v="281"/>
    <x v="3070"/>
    <x v="0"/>
    <x v="58"/>
    <x v="1"/>
  </r>
  <r>
    <x v="59"/>
    <x v="208"/>
    <x v="8"/>
    <x v="8"/>
    <x v="1"/>
    <x v="2"/>
    <x v="20"/>
    <x v="229"/>
    <x v="3071"/>
    <x v="0"/>
    <x v="59"/>
    <x v="1"/>
  </r>
  <r>
    <x v="59"/>
    <x v="329"/>
    <x v="10"/>
    <x v="10"/>
    <x v="1"/>
    <x v="2"/>
    <x v="25"/>
    <x v="380"/>
    <x v="814"/>
    <x v="0"/>
    <x v="59"/>
    <x v="1"/>
  </r>
  <r>
    <x v="59"/>
    <x v="280"/>
    <x v="2"/>
    <x v="2"/>
    <x v="1"/>
    <x v="2"/>
    <x v="25"/>
    <x v="295"/>
    <x v="814"/>
    <x v="0"/>
    <x v="59"/>
    <x v="1"/>
  </r>
  <r>
    <x v="59"/>
    <x v="257"/>
    <x v="2"/>
    <x v="2"/>
    <x v="1"/>
    <x v="2"/>
    <x v="25"/>
    <x v="410"/>
    <x v="814"/>
    <x v="0"/>
    <x v="59"/>
    <x v="1"/>
  </r>
  <r>
    <x v="60"/>
    <x v="225"/>
    <x v="7"/>
    <x v="7"/>
    <x v="1"/>
    <x v="2"/>
    <x v="20"/>
    <x v="230"/>
    <x v="3072"/>
    <x v="0"/>
    <x v="60"/>
    <x v="1"/>
  </r>
  <r>
    <x v="60"/>
    <x v="285"/>
    <x v="6"/>
    <x v="6"/>
    <x v="1"/>
    <x v="2"/>
    <x v="20"/>
    <x v="230"/>
    <x v="2710"/>
    <x v="0"/>
    <x v="60"/>
    <x v="1"/>
  </r>
  <r>
    <x v="61"/>
    <x v="255"/>
    <x v="9"/>
    <x v="9"/>
    <x v="1"/>
    <x v="2"/>
    <x v="25"/>
    <x v="293"/>
    <x v="838"/>
    <x v="0"/>
    <x v="61"/>
    <x v="1"/>
  </r>
  <r>
    <x v="61"/>
    <x v="274"/>
    <x v="11"/>
    <x v="11"/>
    <x v="1"/>
    <x v="2"/>
    <x v="26"/>
    <x v="404"/>
    <x v="804"/>
    <x v="0"/>
    <x v="61"/>
    <x v="1"/>
  </r>
  <r>
    <x v="62"/>
    <x v="261"/>
    <x v="8"/>
    <x v="8"/>
    <x v="1"/>
    <x v="2"/>
    <x v="20"/>
    <x v="232"/>
    <x v="842"/>
    <x v="0"/>
    <x v="62"/>
    <x v="1"/>
  </r>
  <r>
    <x v="62"/>
    <x v="186"/>
    <x v="10"/>
    <x v="10"/>
    <x v="1"/>
    <x v="2"/>
    <x v="20"/>
    <x v="232"/>
    <x v="842"/>
    <x v="0"/>
    <x v="62"/>
    <x v="1"/>
  </r>
  <r>
    <x v="63"/>
    <x v="321"/>
    <x v="8"/>
    <x v="8"/>
    <x v="1"/>
    <x v="2"/>
    <x v="20"/>
    <x v="233"/>
    <x v="1300"/>
    <x v="0"/>
    <x v="63"/>
    <x v="1"/>
  </r>
  <r>
    <x v="63"/>
    <x v="319"/>
    <x v="8"/>
    <x v="8"/>
    <x v="1"/>
    <x v="2"/>
    <x v="20"/>
    <x v="233"/>
    <x v="1300"/>
    <x v="0"/>
    <x v="63"/>
    <x v="1"/>
  </r>
  <r>
    <x v="63"/>
    <x v="333"/>
    <x v="9"/>
    <x v="9"/>
    <x v="1"/>
    <x v="2"/>
    <x v="20"/>
    <x v="233"/>
    <x v="771"/>
    <x v="0"/>
    <x v="63"/>
    <x v="1"/>
  </r>
  <r>
    <x v="63"/>
    <x v="176"/>
    <x v="10"/>
    <x v="10"/>
    <x v="1"/>
    <x v="2"/>
    <x v="20"/>
    <x v="233"/>
    <x v="771"/>
    <x v="0"/>
    <x v="63"/>
    <x v="1"/>
  </r>
  <r>
    <x v="63"/>
    <x v="193"/>
    <x v="11"/>
    <x v="11"/>
    <x v="1"/>
    <x v="2"/>
    <x v="20"/>
    <x v="233"/>
    <x v="770"/>
    <x v="0"/>
    <x v="63"/>
    <x v="1"/>
  </r>
  <r>
    <x v="63"/>
    <x v="217"/>
    <x v="6"/>
    <x v="6"/>
    <x v="1"/>
    <x v="2"/>
    <x v="20"/>
    <x v="233"/>
    <x v="1344"/>
    <x v="0"/>
    <x v="63"/>
    <x v="1"/>
  </r>
  <r>
    <x v="63"/>
    <x v="241"/>
    <x v="6"/>
    <x v="6"/>
    <x v="1"/>
    <x v="2"/>
    <x v="20"/>
    <x v="233"/>
    <x v="770"/>
    <x v="0"/>
    <x v="63"/>
    <x v="1"/>
  </r>
  <r>
    <x v="63"/>
    <x v="190"/>
    <x v="6"/>
    <x v="6"/>
    <x v="1"/>
    <x v="2"/>
    <x v="20"/>
    <x v="233"/>
    <x v="770"/>
    <x v="0"/>
    <x v="63"/>
    <x v="1"/>
  </r>
  <r>
    <x v="63"/>
    <x v="324"/>
    <x v="6"/>
    <x v="6"/>
    <x v="1"/>
    <x v="2"/>
    <x v="20"/>
    <x v="233"/>
    <x v="771"/>
    <x v="0"/>
    <x v="63"/>
    <x v="1"/>
  </r>
  <r>
    <x v="64"/>
    <x v="279"/>
    <x v="7"/>
    <x v="7"/>
    <x v="1"/>
    <x v="2"/>
    <x v="20"/>
    <x v="234"/>
    <x v="745"/>
    <x v="0"/>
    <x v="64"/>
    <x v="1"/>
  </r>
  <r>
    <x v="64"/>
    <x v="196"/>
    <x v="8"/>
    <x v="8"/>
    <x v="1"/>
    <x v="2"/>
    <x v="20"/>
    <x v="234"/>
    <x v="745"/>
    <x v="0"/>
    <x v="64"/>
    <x v="1"/>
  </r>
  <r>
    <x v="64"/>
    <x v="219"/>
    <x v="9"/>
    <x v="9"/>
    <x v="1"/>
    <x v="2"/>
    <x v="20"/>
    <x v="234"/>
    <x v="1355"/>
    <x v="0"/>
    <x v="64"/>
    <x v="1"/>
  </r>
  <r>
    <x v="64"/>
    <x v="176"/>
    <x v="10"/>
    <x v="10"/>
    <x v="1"/>
    <x v="2"/>
    <x v="20"/>
    <x v="234"/>
    <x v="750"/>
    <x v="0"/>
    <x v="64"/>
    <x v="1"/>
  </r>
  <r>
    <x v="78"/>
    <x v="246"/>
    <x v="2"/>
    <x v="2"/>
    <x v="1"/>
    <x v="2"/>
    <x v="20"/>
    <x v="444"/>
    <x v="814"/>
    <x v="0"/>
    <x v="78"/>
    <x v="1"/>
  </r>
  <r>
    <x v="78"/>
    <x v="229"/>
    <x v="6"/>
    <x v="6"/>
    <x v="1"/>
    <x v="2"/>
    <x v="20"/>
    <x v="444"/>
    <x v="814"/>
    <x v="0"/>
    <x v="78"/>
    <x v="1"/>
  </r>
  <r>
    <x v="65"/>
    <x v="290"/>
    <x v="9"/>
    <x v="9"/>
    <x v="1"/>
    <x v="2"/>
    <x v="25"/>
    <x v="302"/>
    <x v="951"/>
    <x v="0"/>
    <x v="65"/>
    <x v="1"/>
  </r>
  <r>
    <x v="65"/>
    <x v="242"/>
    <x v="9"/>
    <x v="9"/>
    <x v="1"/>
    <x v="2"/>
    <x v="25"/>
    <x v="435"/>
    <x v="952"/>
    <x v="0"/>
    <x v="65"/>
    <x v="1"/>
  </r>
  <r>
    <x v="65"/>
    <x v="302"/>
    <x v="11"/>
    <x v="11"/>
    <x v="1"/>
    <x v="2"/>
    <x v="25"/>
    <x v="324"/>
    <x v="899"/>
    <x v="0"/>
    <x v="65"/>
    <x v="1"/>
  </r>
  <r>
    <x v="65"/>
    <x v="218"/>
    <x v="6"/>
    <x v="6"/>
    <x v="1"/>
    <x v="2"/>
    <x v="20"/>
    <x v="445"/>
    <x v="815"/>
    <x v="0"/>
    <x v="65"/>
    <x v="1"/>
  </r>
  <r>
    <x v="65"/>
    <x v="191"/>
    <x v="6"/>
    <x v="6"/>
    <x v="1"/>
    <x v="2"/>
    <x v="20"/>
    <x v="445"/>
    <x v="735"/>
    <x v="0"/>
    <x v="65"/>
    <x v="1"/>
  </r>
  <r>
    <x v="65"/>
    <x v="290"/>
    <x v="9"/>
    <x v="9"/>
    <x v="1"/>
    <x v="1"/>
    <x v="25"/>
    <x v="302"/>
    <x v="3073"/>
    <x v="0"/>
    <x v="65"/>
    <x v="1"/>
  </r>
  <r>
    <x v="66"/>
    <x v="171"/>
    <x v="7"/>
    <x v="7"/>
    <x v="1"/>
    <x v="2"/>
    <x v="21"/>
    <x v="429"/>
    <x v="769"/>
    <x v="0"/>
    <x v="66"/>
    <x v="1"/>
  </r>
  <r>
    <x v="66"/>
    <x v="331"/>
    <x v="9"/>
    <x v="9"/>
    <x v="1"/>
    <x v="2"/>
    <x v="25"/>
    <x v="391"/>
    <x v="769"/>
    <x v="0"/>
    <x v="66"/>
    <x v="1"/>
  </r>
  <r>
    <x v="66"/>
    <x v="275"/>
    <x v="11"/>
    <x v="11"/>
    <x v="1"/>
    <x v="2"/>
    <x v="25"/>
    <x v="307"/>
    <x v="769"/>
    <x v="0"/>
    <x v="66"/>
    <x v="1"/>
  </r>
  <r>
    <x v="66"/>
    <x v="307"/>
    <x v="2"/>
    <x v="2"/>
    <x v="1"/>
    <x v="2"/>
    <x v="20"/>
    <x v="237"/>
    <x v="742"/>
    <x v="0"/>
    <x v="66"/>
    <x v="1"/>
  </r>
  <r>
    <x v="66"/>
    <x v="174"/>
    <x v="6"/>
    <x v="6"/>
    <x v="1"/>
    <x v="2"/>
    <x v="25"/>
    <x v="282"/>
    <x v="769"/>
    <x v="0"/>
    <x v="66"/>
    <x v="1"/>
  </r>
  <r>
    <x v="67"/>
    <x v="179"/>
    <x v="7"/>
    <x v="7"/>
    <x v="1"/>
    <x v="2"/>
    <x v="20"/>
    <x v="238"/>
    <x v="1304"/>
    <x v="0"/>
    <x v="67"/>
    <x v="1"/>
  </r>
  <r>
    <x v="67"/>
    <x v="259"/>
    <x v="7"/>
    <x v="7"/>
    <x v="1"/>
    <x v="2"/>
    <x v="20"/>
    <x v="238"/>
    <x v="1304"/>
    <x v="0"/>
    <x v="67"/>
    <x v="1"/>
  </r>
  <r>
    <x v="67"/>
    <x v="253"/>
    <x v="7"/>
    <x v="7"/>
    <x v="1"/>
    <x v="2"/>
    <x v="21"/>
    <x v="292"/>
    <x v="769"/>
    <x v="0"/>
    <x v="67"/>
    <x v="1"/>
  </r>
  <r>
    <x v="67"/>
    <x v="239"/>
    <x v="10"/>
    <x v="10"/>
    <x v="1"/>
    <x v="2"/>
    <x v="20"/>
    <x v="238"/>
    <x v="771"/>
    <x v="0"/>
    <x v="67"/>
    <x v="1"/>
  </r>
  <r>
    <x v="67"/>
    <x v="177"/>
    <x v="11"/>
    <x v="11"/>
    <x v="1"/>
    <x v="2"/>
    <x v="20"/>
    <x v="238"/>
    <x v="814"/>
    <x v="0"/>
    <x v="67"/>
    <x v="1"/>
  </r>
  <r>
    <x v="67"/>
    <x v="294"/>
    <x v="11"/>
    <x v="11"/>
    <x v="1"/>
    <x v="2"/>
    <x v="25"/>
    <x v="382"/>
    <x v="769"/>
    <x v="0"/>
    <x v="67"/>
    <x v="1"/>
  </r>
  <r>
    <x v="67"/>
    <x v="257"/>
    <x v="2"/>
    <x v="2"/>
    <x v="1"/>
    <x v="2"/>
    <x v="20"/>
    <x v="238"/>
    <x v="2700"/>
    <x v="0"/>
    <x v="67"/>
    <x v="1"/>
  </r>
  <r>
    <x v="67"/>
    <x v="265"/>
    <x v="6"/>
    <x v="6"/>
    <x v="1"/>
    <x v="2"/>
    <x v="20"/>
    <x v="238"/>
    <x v="770"/>
    <x v="0"/>
    <x v="67"/>
    <x v="1"/>
  </r>
  <r>
    <x v="67"/>
    <x v="190"/>
    <x v="6"/>
    <x v="6"/>
    <x v="1"/>
    <x v="2"/>
    <x v="20"/>
    <x v="238"/>
    <x v="814"/>
    <x v="0"/>
    <x v="67"/>
    <x v="1"/>
  </r>
  <r>
    <x v="67"/>
    <x v="191"/>
    <x v="6"/>
    <x v="6"/>
    <x v="1"/>
    <x v="2"/>
    <x v="25"/>
    <x v="318"/>
    <x v="769"/>
    <x v="0"/>
    <x v="67"/>
    <x v="1"/>
  </r>
  <r>
    <x v="68"/>
    <x v="245"/>
    <x v="8"/>
    <x v="8"/>
    <x v="1"/>
    <x v="2"/>
    <x v="20"/>
    <x v="239"/>
    <x v="753"/>
    <x v="0"/>
    <x v="68"/>
    <x v="1"/>
  </r>
  <r>
    <x v="68"/>
    <x v="226"/>
    <x v="8"/>
    <x v="8"/>
    <x v="1"/>
    <x v="2"/>
    <x v="20"/>
    <x v="239"/>
    <x v="3074"/>
    <x v="0"/>
    <x v="68"/>
    <x v="1"/>
  </r>
  <r>
    <x v="68"/>
    <x v="303"/>
    <x v="9"/>
    <x v="9"/>
    <x v="1"/>
    <x v="2"/>
    <x v="20"/>
    <x v="239"/>
    <x v="191"/>
    <x v="0"/>
    <x v="68"/>
    <x v="1"/>
  </r>
  <r>
    <x v="68"/>
    <x v="268"/>
    <x v="10"/>
    <x v="10"/>
    <x v="1"/>
    <x v="2"/>
    <x v="20"/>
    <x v="239"/>
    <x v="841"/>
    <x v="0"/>
    <x v="68"/>
    <x v="1"/>
  </r>
  <r>
    <x v="68"/>
    <x v="176"/>
    <x v="10"/>
    <x v="10"/>
    <x v="1"/>
    <x v="2"/>
    <x v="20"/>
    <x v="239"/>
    <x v="1301"/>
    <x v="0"/>
    <x v="68"/>
    <x v="1"/>
  </r>
  <r>
    <x v="68"/>
    <x v="177"/>
    <x v="11"/>
    <x v="11"/>
    <x v="1"/>
    <x v="2"/>
    <x v="20"/>
    <x v="239"/>
    <x v="753"/>
    <x v="0"/>
    <x v="68"/>
    <x v="1"/>
  </r>
  <r>
    <x v="68"/>
    <x v="201"/>
    <x v="11"/>
    <x v="11"/>
    <x v="1"/>
    <x v="2"/>
    <x v="20"/>
    <x v="239"/>
    <x v="191"/>
    <x v="0"/>
    <x v="68"/>
    <x v="1"/>
  </r>
  <r>
    <x v="68"/>
    <x v="273"/>
    <x v="11"/>
    <x v="11"/>
    <x v="1"/>
    <x v="2"/>
    <x v="20"/>
    <x v="239"/>
    <x v="1301"/>
    <x v="0"/>
    <x v="68"/>
    <x v="1"/>
  </r>
  <r>
    <x v="68"/>
    <x v="257"/>
    <x v="2"/>
    <x v="2"/>
    <x v="1"/>
    <x v="2"/>
    <x v="20"/>
    <x v="239"/>
    <x v="753"/>
    <x v="0"/>
    <x v="68"/>
    <x v="1"/>
  </r>
  <r>
    <x v="68"/>
    <x v="266"/>
    <x v="6"/>
    <x v="6"/>
    <x v="1"/>
    <x v="2"/>
    <x v="20"/>
    <x v="239"/>
    <x v="753"/>
    <x v="0"/>
    <x v="68"/>
    <x v="1"/>
  </r>
  <r>
    <x v="69"/>
    <x v="308"/>
    <x v="7"/>
    <x v="7"/>
    <x v="1"/>
    <x v="2"/>
    <x v="20"/>
    <x v="240"/>
    <x v="747"/>
    <x v="0"/>
    <x v="69"/>
    <x v="1"/>
  </r>
  <r>
    <x v="69"/>
    <x v="323"/>
    <x v="8"/>
    <x v="8"/>
    <x v="1"/>
    <x v="2"/>
    <x v="20"/>
    <x v="240"/>
    <x v="842"/>
    <x v="0"/>
    <x v="69"/>
    <x v="1"/>
  </r>
  <r>
    <x v="69"/>
    <x v="207"/>
    <x v="8"/>
    <x v="8"/>
    <x v="1"/>
    <x v="2"/>
    <x v="20"/>
    <x v="240"/>
    <x v="737"/>
    <x v="0"/>
    <x v="69"/>
    <x v="1"/>
  </r>
  <r>
    <x v="69"/>
    <x v="340"/>
    <x v="8"/>
    <x v="8"/>
    <x v="1"/>
    <x v="2"/>
    <x v="20"/>
    <x v="240"/>
    <x v="842"/>
    <x v="0"/>
    <x v="69"/>
    <x v="1"/>
  </r>
  <r>
    <x v="69"/>
    <x v="292"/>
    <x v="9"/>
    <x v="9"/>
    <x v="1"/>
    <x v="2"/>
    <x v="20"/>
    <x v="240"/>
    <x v="752"/>
    <x v="0"/>
    <x v="69"/>
    <x v="1"/>
  </r>
  <r>
    <x v="69"/>
    <x v="242"/>
    <x v="9"/>
    <x v="9"/>
    <x v="1"/>
    <x v="2"/>
    <x v="20"/>
    <x v="240"/>
    <x v="737"/>
    <x v="0"/>
    <x v="69"/>
    <x v="1"/>
  </r>
  <r>
    <x v="69"/>
    <x v="338"/>
    <x v="9"/>
    <x v="9"/>
    <x v="1"/>
    <x v="2"/>
    <x v="20"/>
    <x v="240"/>
    <x v="842"/>
    <x v="0"/>
    <x v="69"/>
    <x v="1"/>
  </r>
  <r>
    <x v="69"/>
    <x v="231"/>
    <x v="10"/>
    <x v="10"/>
    <x v="1"/>
    <x v="2"/>
    <x v="20"/>
    <x v="240"/>
    <x v="744"/>
    <x v="0"/>
    <x v="69"/>
    <x v="1"/>
  </r>
  <r>
    <x v="69"/>
    <x v="329"/>
    <x v="10"/>
    <x v="10"/>
    <x v="1"/>
    <x v="2"/>
    <x v="20"/>
    <x v="240"/>
    <x v="3075"/>
    <x v="0"/>
    <x v="69"/>
    <x v="1"/>
  </r>
  <r>
    <x v="69"/>
    <x v="233"/>
    <x v="10"/>
    <x v="10"/>
    <x v="1"/>
    <x v="2"/>
    <x v="20"/>
    <x v="240"/>
    <x v="842"/>
    <x v="0"/>
    <x v="69"/>
    <x v="1"/>
  </r>
  <r>
    <x v="69"/>
    <x v="199"/>
    <x v="10"/>
    <x v="10"/>
    <x v="1"/>
    <x v="2"/>
    <x v="20"/>
    <x v="240"/>
    <x v="748"/>
    <x v="0"/>
    <x v="69"/>
    <x v="1"/>
  </r>
  <r>
    <x v="69"/>
    <x v="299"/>
    <x v="11"/>
    <x v="11"/>
    <x v="1"/>
    <x v="2"/>
    <x v="20"/>
    <x v="240"/>
    <x v="742"/>
    <x v="0"/>
    <x v="69"/>
    <x v="1"/>
  </r>
  <r>
    <x v="69"/>
    <x v="182"/>
    <x v="2"/>
    <x v="2"/>
    <x v="1"/>
    <x v="2"/>
    <x v="20"/>
    <x v="240"/>
    <x v="737"/>
    <x v="0"/>
    <x v="69"/>
    <x v="1"/>
  </r>
  <r>
    <x v="69"/>
    <x v="276"/>
    <x v="2"/>
    <x v="2"/>
    <x v="1"/>
    <x v="2"/>
    <x v="20"/>
    <x v="240"/>
    <x v="752"/>
    <x v="0"/>
    <x v="69"/>
    <x v="1"/>
  </r>
  <r>
    <x v="69"/>
    <x v="174"/>
    <x v="6"/>
    <x v="6"/>
    <x v="1"/>
    <x v="2"/>
    <x v="20"/>
    <x v="240"/>
    <x v="3076"/>
    <x v="0"/>
    <x v="69"/>
    <x v="1"/>
  </r>
  <r>
    <x v="0"/>
    <x v="319"/>
    <x v="8"/>
    <x v="8"/>
    <x v="1"/>
    <x v="2"/>
    <x v="32"/>
    <x v="350"/>
    <x v="3077"/>
    <x v="0"/>
    <x v="0"/>
    <x v="2"/>
  </r>
  <r>
    <x v="0"/>
    <x v="200"/>
    <x v="11"/>
    <x v="11"/>
    <x v="1"/>
    <x v="2"/>
    <x v="32"/>
    <x v="351"/>
    <x v="1331"/>
    <x v="0"/>
    <x v="0"/>
    <x v="2"/>
  </r>
  <r>
    <x v="0"/>
    <x v="182"/>
    <x v="2"/>
    <x v="2"/>
    <x v="1"/>
    <x v="2"/>
    <x v="32"/>
    <x v="392"/>
    <x v="3078"/>
    <x v="0"/>
    <x v="0"/>
    <x v="2"/>
  </r>
  <r>
    <x v="0"/>
    <x v="335"/>
    <x v="6"/>
    <x v="6"/>
    <x v="1"/>
    <x v="2"/>
    <x v="32"/>
    <x v="408"/>
    <x v="1603"/>
    <x v="0"/>
    <x v="0"/>
    <x v="2"/>
  </r>
  <r>
    <x v="0"/>
    <x v="277"/>
    <x v="7"/>
    <x v="7"/>
    <x v="1"/>
    <x v="0"/>
    <x v="33"/>
    <x v="325"/>
    <x v="934"/>
    <x v="0"/>
    <x v="0"/>
    <x v="2"/>
  </r>
  <r>
    <x v="0"/>
    <x v="206"/>
    <x v="7"/>
    <x v="7"/>
    <x v="1"/>
    <x v="0"/>
    <x v="33"/>
    <x v="284"/>
    <x v="874"/>
    <x v="0"/>
    <x v="0"/>
    <x v="2"/>
  </r>
  <r>
    <x v="0"/>
    <x v="338"/>
    <x v="9"/>
    <x v="9"/>
    <x v="1"/>
    <x v="0"/>
    <x v="33"/>
    <x v="425"/>
    <x v="874"/>
    <x v="0"/>
    <x v="0"/>
    <x v="2"/>
  </r>
  <r>
    <x v="0"/>
    <x v="186"/>
    <x v="10"/>
    <x v="10"/>
    <x v="1"/>
    <x v="0"/>
    <x v="33"/>
    <x v="321"/>
    <x v="759"/>
    <x v="0"/>
    <x v="0"/>
    <x v="2"/>
  </r>
  <r>
    <x v="0"/>
    <x v="325"/>
    <x v="11"/>
    <x v="11"/>
    <x v="1"/>
    <x v="0"/>
    <x v="33"/>
    <x v="421"/>
    <x v="759"/>
    <x v="0"/>
    <x v="0"/>
    <x v="2"/>
  </r>
  <r>
    <x v="0"/>
    <x v="282"/>
    <x v="11"/>
    <x v="11"/>
    <x v="1"/>
    <x v="0"/>
    <x v="33"/>
    <x v="358"/>
    <x v="874"/>
    <x v="0"/>
    <x v="0"/>
    <x v="2"/>
  </r>
  <r>
    <x v="0"/>
    <x v="285"/>
    <x v="6"/>
    <x v="6"/>
    <x v="1"/>
    <x v="0"/>
    <x v="33"/>
    <x v="409"/>
    <x v="759"/>
    <x v="0"/>
    <x v="0"/>
    <x v="2"/>
  </r>
  <r>
    <x v="0"/>
    <x v="184"/>
    <x v="6"/>
    <x v="6"/>
    <x v="1"/>
    <x v="0"/>
    <x v="33"/>
    <x v="413"/>
    <x v="874"/>
    <x v="0"/>
    <x v="0"/>
    <x v="2"/>
  </r>
  <r>
    <x v="0"/>
    <x v="236"/>
    <x v="6"/>
    <x v="6"/>
    <x v="1"/>
    <x v="0"/>
    <x v="33"/>
    <x v="371"/>
    <x v="765"/>
    <x v="0"/>
    <x v="0"/>
    <x v="2"/>
  </r>
  <r>
    <x v="0"/>
    <x v="188"/>
    <x v="6"/>
    <x v="6"/>
    <x v="1"/>
    <x v="0"/>
    <x v="33"/>
    <x v="407"/>
    <x v="874"/>
    <x v="0"/>
    <x v="0"/>
    <x v="2"/>
  </r>
  <r>
    <x v="0"/>
    <x v="188"/>
    <x v="6"/>
    <x v="6"/>
    <x v="1"/>
    <x v="0"/>
    <x v="32"/>
    <x v="407"/>
    <x v="1"/>
    <x v="216"/>
    <x v="0"/>
    <x v="2"/>
  </r>
  <r>
    <x v="4"/>
    <x v="323"/>
    <x v="8"/>
    <x v="8"/>
    <x v="1"/>
    <x v="2"/>
    <x v="33"/>
    <x v="367"/>
    <x v="146"/>
    <x v="0"/>
    <x v="4"/>
    <x v="2"/>
  </r>
  <r>
    <x v="4"/>
    <x v="319"/>
    <x v="8"/>
    <x v="8"/>
    <x v="1"/>
    <x v="2"/>
    <x v="32"/>
    <x v="350"/>
    <x v="3079"/>
    <x v="0"/>
    <x v="4"/>
    <x v="2"/>
  </r>
  <r>
    <x v="4"/>
    <x v="200"/>
    <x v="11"/>
    <x v="11"/>
    <x v="1"/>
    <x v="2"/>
    <x v="32"/>
    <x v="351"/>
    <x v="3080"/>
    <x v="0"/>
    <x v="4"/>
    <x v="2"/>
  </r>
  <r>
    <x v="4"/>
    <x v="177"/>
    <x v="11"/>
    <x v="11"/>
    <x v="1"/>
    <x v="2"/>
    <x v="33"/>
    <x v="346"/>
    <x v="765"/>
    <x v="0"/>
    <x v="4"/>
    <x v="2"/>
  </r>
  <r>
    <x v="4"/>
    <x v="274"/>
    <x v="11"/>
    <x v="11"/>
    <x v="1"/>
    <x v="2"/>
    <x v="33"/>
    <x v="404"/>
    <x v="874"/>
    <x v="0"/>
    <x v="4"/>
    <x v="2"/>
  </r>
  <r>
    <x v="4"/>
    <x v="275"/>
    <x v="11"/>
    <x v="11"/>
    <x v="1"/>
    <x v="2"/>
    <x v="33"/>
    <x v="307"/>
    <x v="874"/>
    <x v="0"/>
    <x v="4"/>
    <x v="2"/>
  </r>
  <r>
    <x v="4"/>
    <x v="240"/>
    <x v="2"/>
    <x v="2"/>
    <x v="1"/>
    <x v="2"/>
    <x v="32"/>
    <x v="442"/>
    <x v="3081"/>
    <x v="0"/>
    <x v="4"/>
    <x v="2"/>
  </r>
  <r>
    <x v="4"/>
    <x v="257"/>
    <x v="2"/>
    <x v="2"/>
    <x v="1"/>
    <x v="2"/>
    <x v="33"/>
    <x v="410"/>
    <x v="874"/>
    <x v="0"/>
    <x v="4"/>
    <x v="2"/>
  </r>
  <r>
    <x v="4"/>
    <x v="327"/>
    <x v="7"/>
    <x v="7"/>
    <x v="1"/>
    <x v="0"/>
    <x v="33"/>
    <x v="387"/>
    <x v="765"/>
    <x v="0"/>
    <x v="4"/>
    <x v="2"/>
  </r>
  <r>
    <x v="4"/>
    <x v="179"/>
    <x v="7"/>
    <x v="7"/>
    <x v="1"/>
    <x v="0"/>
    <x v="33"/>
    <x v="415"/>
    <x v="874"/>
    <x v="0"/>
    <x v="4"/>
    <x v="2"/>
  </r>
  <r>
    <x v="4"/>
    <x v="225"/>
    <x v="7"/>
    <x v="7"/>
    <x v="1"/>
    <x v="0"/>
    <x v="33"/>
    <x v="416"/>
    <x v="874"/>
    <x v="0"/>
    <x v="4"/>
    <x v="2"/>
  </r>
  <r>
    <x v="4"/>
    <x v="209"/>
    <x v="7"/>
    <x v="7"/>
    <x v="1"/>
    <x v="0"/>
    <x v="33"/>
    <x v="428"/>
    <x v="874"/>
    <x v="0"/>
    <x v="4"/>
    <x v="2"/>
  </r>
  <r>
    <x v="4"/>
    <x v="332"/>
    <x v="7"/>
    <x v="7"/>
    <x v="1"/>
    <x v="0"/>
    <x v="33"/>
    <x v="397"/>
    <x v="874"/>
    <x v="0"/>
    <x v="4"/>
    <x v="2"/>
  </r>
  <r>
    <x v="4"/>
    <x v="192"/>
    <x v="8"/>
    <x v="8"/>
    <x v="1"/>
    <x v="0"/>
    <x v="33"/>
    <x v="300"/>
    <x v="146"/>
    <x v="0"/>
    <x v="4"/>
    <x v="2"/>
  </r>
  <r>
    <x v="4"/>
    <x v="254"/>
    <x v="8"/>
    <x v="8"/>
    <x v="1"/>
    <x v="0"/>
    <x v="33"/>
    <x v="326"/>
    <x v="874"/>
    <x v="0"/>
    <x v="4"/>
    <x v="2"/>
  </r>
  <r>
    <x v="4"/>
    <x v="261"/>
    <x v="8"/>
    <x v="8"/>
    <x v="1"/>
    <x v="0"/>
    <x v="33"/>
    <x v="320"/>
    <x v="1182"/>
    <x v="0"/>
    <x v="4"/>
    <x v="2"/>
  </r>
  <r>
    <x v="4"/>
    <x v="196"/>
    <x v="8"/>
    <x v="8"/>
    <x v="1"/>
    <x v="0"/>
    <x v="33"/>
    <x v="375"/>
    <x v="874"/>
    <x v="0"/>
    <x v="4"/>
    <x v="2"/>
  </r>
  <r>
    <x v="4"/>
    <x v="227"/>
    <x v="9"/>
    <x v="9"/>
    <x v="1"/>
    <x v="0"/>
    <x v="33"/>
    <x v="399"/>
    <x v="765"/>
    <x v="0"/>
    <x v="4"/>
    <x v="2"/>
  </r>
  <r>
    <x v="4"/>
    <x v="211"/>
    <x v="9"/>
    <x v="9"/>
    <x v="1"/>
    <x v="0"/>
    <x v="33"/>
    <x v="286"/>
    <x v="874"/>
    <x v="0"/>
    <x v="4"/>
    <x v="2"/>
  </r>
  <r>
    <x v="4"/>
    <x v="331"/>
    <x v="9"/>
    <x v="9"/>
    <x v="1"/>
    <x v="0"/>
    <x v="33"/>
    <x v="391"/>
    <x v="874"/>
    <x v="0"/>
    <x v="4"/>
    <x v="2"/>
  </r>
  <r>
    <x v="4"/>
    <x v="339"/>
    <x v="10"/>
    <x v="10"/>
    <x v="1"/>
    <x v="0"/>
    <x v="33"/>
    <x v="427"/>
    <x v="765"/>
    <x v="0"/>
    <x v="4"/>
    <x v="2"/>
  </r>
  <r>
    <x v="4"/>
    <x v="176"/>
    <x v="10"/>
    <x v="10"/>
    <x v="1"/>
    <x v="0"/>
    <x v="33"/>
    <x v="412"/>
    <x v="874"/>
    <x v="0"/>
    <x v="4"/>
    <x v="2"/>
  </r>
  <r>
    <x v="4"/>
    <x v="200"/>
    <x v="11"/>
    <x v="11"/>
    <x v="1"/>
    <x v="0"/>
    <x v="33"/>
    <x v="351"/>
    <x v="874"/>
    <x v="0"/>
    <x v="4"/>
    <x v="2"/>
  </r>
  <r>
    <x v="4"/>
    <x v="282"/>
    <x v="11"/>
    <x v="11"/>
    <x v="1"/>
    <x v="0"/>
    <x v="33"/>
    <x v="358"/>
    <x v="146"/>
    <x v="0"/>
    <x v="4"/>
    <x v="2"/>
  </r>
  <r>
    <x v="4"/>
    <x v="221"/>
    <x v="2"/>
    <x v="2"/>
    <x v="1"/>
    <x v="0"/>
    <x v="61"/>
    <x v="446"/>
    <x v="874"/>
    <x v="0"/>
    <x v="4"/>
    <x v="2"/>
  </r>
  <r>
    <x v="4"/>
    <x v="221"/>
    <x v="2"/>
    <x v="2"/>
    <x v="1"/>
    <x v="0"/>
    <x v="33"/>
    <x v="347"/>
    <x v="874"/>
    <x v="0"/>
    <x v="4"/>
    <x v="2"/>
  </r>
  <r>
    <x v="4"/>
    <x v="222"/>
    <x v="2"/>
    <x v="2"/>
    <x v="1"/>
    <x v="0"/>
    <x v="32"/>
    <x v="384"/>
    <x v="874"/>
    <x v="0"/>
    <x v="4"/>
    <x v="2"/>
  </r>
  <r>
    <x v="4"/>
    <x v="222"/>
    <x v="2"/>
    <x v="2"/>
    <x v="1"/>
    <x v="0"/>
    <x v="33"/>
    <x v="384"/>
    <x v="874"/>
    <x v="0"/>
    <x v="4"/>
    <x v="2"/>
  </r>
  <r>
    <x v="4"/>
    <x v="182"/>
    <x v="2"/>
    <x v="2"/>
    <x v="1"/>
    <x v="0"/>
    <x v="62"/>
    <x v="59"/>
    <x v="1"/>
    <x v="216"/>
    <x v="4"/>
    <x v="2"/>
  </r>
  <r>
    <x v="4"/>
    <x v="307"/>
    <x v="2"/>
    <x v="2"/>
    <x v="1"/>
    <x v="0"/>
    <x v="33"/>
    <x v="441"/>
    <x v="874"/>
    <x v="0"/>
    <x v="4"/>
    <x v="2"/>
  </r>
  <r>
    <x v="4"/>
    <x v="257"/>
    <x v="2"/>
    <x v="2"/>
    <x v="1"/>
    <x v="0"/>
    <x v="33"/>
    <x v="410"/>
    <x v="874"/>
    <x v="0"/>
    <x v="4"/>
    <x v="2"/>
  </r>
  <r>
    <x v="4"/>
    <x v="235"/>
    <x v="2"/>
    <x v="2"/>
    <x v="1"/>
    <x v="0"/>
    <x v="33"/>
    <x v="393"/>
    <x v="874"/>
    <x v="0"/>
    <x v="4"/>
    <x v="2"/>
  </r>
  <r>
    <x v="4"/>
    <x v="217"/>
    <x v="6"/>
    <x v="6"/>
    <x v="1"/>
    <x v="0"/>
    <x v="33"/>
    <x v="323"/>
    <x v="146"/>
    <x v="0"/>
    <x v="4"/>
    <x v="2"/>
  </r>
  <r>
    <x v="4"/>
    <x v="184"/>
    <x v="6"/>
    <x v="6"/>
    <x v="1"/>
    <x v="0"/>
    <x v="33"/>
    <x v="413"/>
    <x v="874"/>
    <x v="0"/>
    <x v="4"/>
    <x v="2"/>
  </r>
  <r>
    <x v="4"/>
    <x v="296"/>
    <x v="6"/>
    <x v="6"/>
    <x v="1"/>
    <x v="0"/>
    <x v="33"/>
    <x v="312"/>
    <x v="874"/>
    <x v="0"/>
    <x v="4"/>
    <x v="2"/>
  </r>
  <r>
    <x v="4"/>
    <x v="236"/>
    <x v="6"/>
    <x v="6"/>
    <x v="1"/>
    <x v="0"/>
    <x v="33"/>
    <x v="371"/>
    <x v="759"/>
    <x v="0"/>
    <x v="4"/>
    <x v="2"/>
  </r>
  <r>
    <x v="4"/>
    <x v="174"/>
    <x v="6"/>
    <x v="6"/>
    <x v="1"/>
    <x v="0"/>
    <x v="33"/>
    <x v="282"/>
    <x v="874"/>
    <x v="0"/>
    <x v="4"/>
    <x v="2"/>
  </r>
  <r>
    <x v="4"/>
    <x v="229"/>
    <x v="6"/>
    <x v="6"/>
    <x v="1"/>
    <x v="0"/>
    <x v="33"/>
    <x v="281"/>
    <x v="759"/>
    <x v="0"/>
    <x v="4"/>
    <x v="2"/>
  </r>
  <r>
    <x v="4"/>
    <x v="241"/>
    <x v="6"/>
    <x v="6"/>
    <x v="1"/>
    <x v="0"/>
    <x v="33"/>
    <x v="447"/>
    <x v="146"/>
    <x v="0"/>
    <x v="4"/>
    <x v="2"/>
  </r>
  <r>
    <x v="4"/>
    <x v="191"/>
    <x v="6"/>
    <x v="6"/>
    <x v="1"/>
    <x v="0"/>
    <x v="33"/>
    <x v="318"/>
    <x v="874"/>
    <x v="0"/>
    <x v="4"/>
    <x v="2"/>
  </r>
  <r>
    <x v="4"/>
    <x v="239"/>
    <x v="10"/>
    <x v="10"/>
    <x v="1"/>
    <x v="1"/>
    <x v="33"/>
    <x v="419"/>
    <x v="874"/>
    <x v="0"/>
    <x v="4"/>
    <x v="2"/>
  </r>
  <r>
    <x v="4"/>
    <x v="187"/>
    <x v="11"/>
    <x v="11"/>
    <x v="1"/>
    <x v="1"/>
    <x v="33"/>
    <x v="328"/>
    <x v="874"/>
    <x v="0"/>
    <x v="4"/>
    <x v="2"/>
  </r>
  <r>
    <x v="4"/>
    <x v="177"/>
    <x v="11"/>
    <x v="11"/>
    <x v="1"/>
    <x v="1"/>
    <x v="33"/>
    <x v="346"/>
    <x v="874"/>
    <x v="0"/>
    <x v="4"/>
    <x v="2"/>
  </r>
  <r>
    <x v="4"/>
    <x v="285"/>
    <x v="6"/>
    <x v="6"/>
    <x v="1"/>
    <x v="1"/>
    <x v="33"/>
    <x v="409"/>
    <x v="874"/>
    <x v="0"/>
    <x v="4"/>
    <x v="2"/>
  </r>
  <r>
    <x v="6"/>
    <x v="323"/>
    <x v="8"/>
    <x v="8"/>
    <x v="1"/>
    <x v="2"/>
    <x v="32"/>
    <x v="367"/>
    <x v="3082"/>
    <x v="0"/>
    <x v="6"/>
    <x v="2"/>
  </r>
  <r>
    <x v="6"/>
    <x v="339"/>
    <x v="10"/>
    <x v="10"/>
    <x v="1"/>
    <x v="2"/>
    <x v="32"/>
    <x v="427"/>
    <x v="1624"/>
    <x v="0"/>
    <x v="6"/>
    <x v="2"/>
  </r>
  <r>
    <x v="6"/>
    <x v="214"/>
    <x v="11"/>
    <x v="11"/>
    <x v="1"/>
    <x v="2"/>
    <x v="32"/>
    <x v="306"/>
    <x v="3083"/>
    <x v="0"/>
    <x v="6"/>
    <x v="2"/>
  </r>
  <r>
    <x v="6"/>
    <x v="335"/>
    <x v="6"/>
    <x v="6"/>
    <x v="1"/>
    <x v="2"/>
    <x v="32"/>
    <x v="408"/>
    <x v="3084"/>
    <x v="0"/>
    <x v="6"/>
    <x v="2"/>
  </r>
  <r>
    <x v="7"/>
    <x v="277"/>
    <x v="7"/>
    <x v="7"/>
    <x v="1"/>
    <x v="2"/>
    <x v="32"/>
    <x v="325"/>
    <x v="3085"/>
    <x v="0"/>
    <x v="7"/>
    <x v="2"/>
  </r>
  <r>
    <x v="7"/>
    <x v="303"/>
    <x v="9"/>
    <x v="9"/>
    <x v="1"/>
    <x v="2"/>
    <x v="32"/>
    <x v="327"/>
    <x v="1"/>
    <x v="508"/>
    <x v="7"/>
    <x v="2"/>
  </r>
  <r>
    <x v="7"/>
    <x v="194"/>
    <x v="9"/>
    <x v="9"/>
    <x v="1"/>
    <x v="2"/>
    <x v="32"/>
    <x v="390"/>
    <x v="3086"/>
    <x v="0"/>
    <x v="7"/>
    <x v="2"/>
  </r>
  <r>
    <x v="7"/>
    <x v="248"/>
    <x v="10"/>
    <x v="10"/>
    <x v="1"/>
    <x v="2"/>
    <x v="33"/>
    <x v="304"/>
    <x v="3087"/>
    <x v="0"/>
    <x v="7"/>
    <x v="2"/>
  </r>
  <r>
    <x v="7"/>
    <x v="299"/>
    <x v="11"/>
    <x v="11"/>
    <x v="1"/>
    <x v="2"/>
    <x v="32"/>
    <x v="315"/>
    <x v="1215"/>
    <x v="0"/>
    <x v="7"/>
    <x v="2"/>
  </r>
  <r>
    <x v="7"/>
    <x v="214"/>
    <x v="11"/>
    <x v="11"/>
    <x v="1"/>
    <x v="2"/>
    <x v="32"/>
    <x v="306"/>
    <x v="3088"/>
    <x v="0"/>
    <x v="7"/>
    <x v="2"/>
  </r>
  <r>
    <x v="7"/>
    <x v="281"/>
    <x v="6"/>
    <x v="6"/>
    <x v="1"/>
    <x v="2"/>
    <x v="32"/>
    <x v="395"/>
    <x v="848"/>
    <x v="0"/>
    <x v="7"/>
    <x v="2"/>
  </r>
  <r>
    <x v="7"/>
    <x v="190"/>
    <x v="6"/>
    <x v="6"/>
    <x v="1"/>
    <x v="2"/>
    <x v="32"/>
    <x v="342"/>
    <x v="933"/>
    <x v="0"/>
    <x v="7"/>
    <x v="2"/>
  </r>
  <r>
    <x v="8"/>
    <x v="249"/>
    <x v="11"/>
    <x v="11"/>
    <x v="1"/>
    <x v="2"/>
    <x v="33"/>
    <x v="359"/>
    <x v="761"/>
    <x v="0"/>
    <x v="8"/>
    <x v="2"/>
  </r>
  <r>
    <x v="9"/>
    <x v="259"/>
    <x v="7"/>
    <x v="7"/>
    <x v="1"/>
    <x v="2"/>
    <x v="33"/>
    <x v="355"/>
    <x v="874"/>
    <x v="0"/>
    <x v="9"/>
    <x v="2"/>
  </r>
  <r>
    <x v="9"/>
    <x v="262"/>
    <x v="9"/>
    <x v="9"/>
    <x v="1"/>
    <x v="2"/>
    <x v="32"/>
    <x v="368"/>
    <x v="1795"/>
    <x v="0"/>
    <x v="9"/>
    <x v="2"/>
  </r>
  <r>
    <x v="9"/>
    <x v="258"/>
    <x v="7"/>
    <x v="7"/>
    <x v="1"/>
    <x v="0"/>
    <x v="33"/>
    <x v="349"/>
    <x v="759"/>
    <x v="0"/>
    <x v="9"/>
    <x v="2"/>
  </r>
  <r>
    <x v="9"/>
    <x v="309"/>
    <x v="7"/>
    <x v="7"/>
    <x v="1"/>
    <x v="0"/>
    <x v="33"/>
    <x v="334"/>
    <x v="874"/>
    <x v="0"/>
    <x v="9"/>
    <x v="2"/>
  </r>
  <r>
    <x v="9"/>
    <x v="337"/>
    <x v="9"/>
    <x v="9"/>
    <x v="1"/>
    <x v="0"/>
    <x v="33"/>
    <x v="424"/>
    <x v="759"/>
    <x v="0"/>
    <x v="9"/>
    <x v="2"/>
  </r>
  <r>
    <x v="9"/>
    <x v="303"/>
    <x v="9"/>
    <x v="9"/>
    <x v="1"/>
    <x v="0"/>
    <x v="33"/>
    <x v="327"/>
    <x v="874"/>
    <x v="0"/>
    <x v="9"/>
    <x v="2"/>
  </r>
  <r>
    <x v="9"/>
    <x v="338"/>
    <x v="9"/>
    <x v="9"/>
    <x v="1"/>
    <x v="0"/>
    <x v="33"/>
    <x v="425"/>
    <x v="874"/>
    <x v="0"/>
    <x v="9"/>
    <x v="2"/>
  </r>
  <r>
    <x v="9"/>
    <x v="233"/>
    <x v="10"/>
    <x v="10"/>
    <x v="1"/>
    <x v="0"/>
    <x v="33"/>
    <x v="344"/>
    <x v="765"/>
    <x v="0"/>
    <x v="9"/>
    <x v="2"/>
  </r>
  <r>
    <x v="9"/>
    <x v="272"/>
    <x v="11"/>
    <x v="11"/>
    <x v="1"/>
    <x v="0"/>
    <x v="33"/>
    <x v="360"/>
    <x v="146"/>
    <x v="0"/>
    <x v="9"/>
    <x v="2"/>
  </r>
  <r>
    <x v="9"/>
    <x v="314"/>
    <x v="6"/>
    <x v="6"/>
    <x v="1"/>
    <x v="0"/>
    <x v="33"/>
    <x v="372"/>
    <x v="759"/>
    <x v="0"/>
    <x v="9"/>
    <x v="2"/>
  </r>
  <r>
    <x v="9"/>
    <x v="254"/>
    <x v="8"/>
    <x v="8"/>
    <x v="1"/>
    <x v="1"/>
    <x v="33"/>
    <x v="326"/>
    <x v="874"/>
    <x v="0"/>
    <x v="9"/>
    <x v="2"/>
  </r>
  <r>
    <x v="9"/>
    <x v="246"/>
    <x v="2"/>
    <x v="2"/>
    <x v="1"/>
    <x v="1"/>
    <x v="33"/>
    <x v="287"/>
    <x v="759"/>
    <x v="0"/>
    <x v="9"/>
    <x v="2"/>
  </r>
  <r>
    <x v="10"/>
    <x v="194"/>
    <x v="9"/>
    <x v="9"/>
    <x v="1"/>
    <x v="2"/>
    <x v="33"/>
    <x v="390"/>
    <x v="874"/>
    <x v="0"/>
    <x v="10"/>
    <x v="2"/>
  </r>
  <r>
    <x v="10"/>
    <x v="230"/>
    <x v="9"/>
    <x v="9"/>
    <x v="1"/>
    <x v="2"/>
    <x v="33"/>
    <x v="283"/>
    <x v="874"/>
    <x v="0"/>
    <x v="10"/>
    <x v="2"/>
  </r>
  <r>
    <x v="10"/>
    <x v="317"/>
    <x v="10"/>
    <x v="10"/>
    <x v="1"/>
    <x v="2"/>
    <x v="33"/>
    <x v="401"/>
    <x v="759"/>
    <x v="0"/>
    <x v="10"/>
    <x v="2"/>
  </r>
  <r>
    <x v="10"/>
    <x v="191"/>
    <x v="6"/>
    <x v="6"/>
    <x v="1"/>
    <x v="2"/>
    <x v="33"/>
    <x v="318"/>
    <x v="874"/>
    <x v="0"/>
    <x v="10"/>
    <x v="2"/>
  </r>
  <r>
    <x v="10"/>
    <x v="288"/>
    <x v="7"/>
    <x v="7"/>
    <x v="1"/>
    <x v="0"/>
    <x v="33"/>
    <x v="439"/>
    <x v="759"/>
    <x v="0"/>
    <x v="10"/>
    <x v="2"/>
  </r>
  <r>
    <x v="10"/>
    <x v="259"/>
    <x v="7"/>
    <x v="7"/>
    <x v="1"/>
    <x v="0"/>
    <x v="33"/>
    <x v="355"/>
    <x v="759"/>
    <x v="0"/>
    <x v="10"/>
    <x v="2"/>
  </r>
  <r>
    <x v="10"/>
    <x v="205"/>
    <x v="7"/>
    <x v="7"/>
    <x v="1"/>
    <x v="0"/>
    <x v="33"/>
    <x v="299"/>
    <x v="934"/>
    <x v="0"/>
    <x v="10"/>
    <x v="2"/>
  </r>
  <r>
    <x v="10"/>
    <x v="209"/>
    <x v="7"/>
    <x v="7"/>
    <x v="1"/>
    <x v="0"/>
    <x v="33"/>
    <x v="428"/>
    <x v="848"/>
    <x v="0"/>
    <x v="10"/>
    <x v="2"/>
  </r>
  <r>
    <x v="10"/>
    <x v="322"/>
    <x v="7"/>
    <x v="7"/>
    <x v="1"/>
    <x v="0"/>
    <x v="33"/>
    <x v="448"/>
    <x v="1182"/>
    <x v="0"/>
    <x v="10"/>
    <x v="2"/>
  </r>
  <r>
    <x v="10"/>
    <x v="279"/>
    <x v="7"/>
    <x v="7"/>
    <x v="1"/>
    <x v="0"/>
    <x v="33"/>
    <x v="449"/>
    <x v="759"/>
    <x v="0"/>
    <x v="10"/>
    <x v="2"/>
  </r>
  <r>
    <x v="10"/>
    <x v="192"/>
    <x v="8"/>
    <x v="8"/>
    <x v="1"/>
    <x v="0"/>
    <x v="33"/>
    <x v="300"/>
    <x v="952"/>
    <x v="0"/>
    <x v="10"/>
    <x v="2"/>
  </r>
  <r>
    <x v="10"/>
    <x v="254"/>
    <x v="8"/>
    <x v="8"/>
    <x v="1"/>
    <x v="0"/>
    <x v="33"/>
    <x v="326"/>
    <x v="859"/>
    <x v="0"/>
    <x v="10"/>
    <x v="2"/>
  </r>
  <r>
    <x v="10"/>
    <x v="261"/>
    <x v="8"/>
    <x v="8"/>
    <x v="1"/>
    <x v="0"/>
    <x v="33"/>
    <x v="320"/>
    <x v="899"/>
    <x v="0"/>
    <x v="10"/>
    <x v="2"/>
  </r>
  <r>
    <x v="10"/>
    <x v="323"/>
    <x v="8"/>
    <x v="8"/>
    <x v="1"/>
    <x v="0"/>
    <x v="33"/>
    <x v="367"/>
    <x v="759"/>
    <x v="0"/>
    <x v="10"/>
    <x v="2"/>
  </r>
  <r>
    <x v="10"/>
    <x v="245"/>
    <x v="8"/>
    <x v="8"/>
    <x v="1"/>
    <x v="0"/>
    <x v="33"/>
    <x v="285"/>
    <x v="899"/>
    <x v="0"/>
    <x v="10"/>
    <x v="2"/>
  </r>
  <r>
    <x v="10"/>
    <x v="196"/>
    <x v="8"/>
    <x v="8"/>
    <x v="1"/>
    <x v="0"/>
    <x v="33"/>
    <x v="375"/>
    <x v="899"/>
    <x v="0"/>
    <x v="10"/>
    <x v="2"/>
  </r>
  <r>
    <x v="10"/>
    <x v="173"/>
    <x v="8"/>
    <x v="8"/>
    <x v="1"/>
    <x v="0"/>
    <x v="33"/>
    <x v="378"/>
    <x v="759"/>
    <x v="0"/>
    <x v="10"/>
    <x v="2"/>
  </r>
  <r>
    <x v="10"/>
    <x v="337"/>
    <x v="9"/>
    <x v="9"/>
    <x v="1"/>
    <x v="0"/>
    <x v="33"/>
    <x v="424"/>
    <x v="899"/>
    <x v="0"/>
    <x v="10"/>
    <x v="2"/>
  </r>
  <r>
    <x v="10"/>
    <x v="227"/>
    <x v="9"/>
    <x v="9"/>
    <x v="1"/>
    <x v="0"/>
    <x v="33"/>
    <x v="399"/>
    <x v="952"/>
    <x v="0"/>
    <x v="10"/>
    <x v="2"/>
  </r>
  <r>
    <x v="10"/>
    <x v="194"/>
    <x v="9"/>
    <x v="9"/>
    <x v="1"/>
    <x v="0"/>
    <x v="33"/>
    <x v="390"/>
    <x v="934"/>
    <x v="0"/>
    <x v="10"/>
    <x v="2"/>
  </r>
  <r>
    <x v="10"/>
    <x v="242"/>
    <x v="9"/>
    <x v="9"/>
    <x v="1"/>
    <x v="0"/>
    <x v="33"/>
    <x v="435"/>
    <x v="982"/>
    <x v="0"/>
    <x v="10"/>
    <x v="2"/>
  </r>
  <r>
    <x v="10"/>
    <x v="219"/>
    <x v="9"/>
    <x v="9"/>
    <x v="1"/>
    <x v="0"/>
    <x v="33"/>
    <x v="308"/>
    <x v="146"/>
    <x v="0"/>
    <x v="10"/>
    <x v="2"/>
  </r>
  <r>
    <x v="10"/>
    <x v="178"/>
    <x v="9"/>
    <x v="9"/>
    <x v="1"/>
    <x v="0"/>
    <x v="33"/>
    <x v="353"/>
    <x v="899"/>
    <x v="0"/>
    <x v="10"/>
    <x v="2"/>
  </r>
  <r>
    <x v="10"/>
    <x v="255"/>
    <x v="9"/>
    <x v="9"/>
    <x v="1"/>
    <x v="0"/>
    <x v="33"/>
    <x v="293"/>
    <x v="759"/>
    <x v="0"/>
    <x v="10"/>
    <x v="2"/>
  </r>
  <r>
    <x v="10"/>
    <x v="291"/>
    <x v="9"/>
    <x v="9"/>
    <x v="1"/>
    <x v="0"/>
    <x v="33"/>
    <x v="303"/>
    <x v="759"/>
    <x v="0"/>
    <x v="10"/>
    <x v="2"/>
  </r>
  <r>
    <x v="10"/>
    <x v="263"/>
    <x v="10"/>
    <x v="10"/>
    <x v="1"/>
    <x v="0"/>
    <x v="33"/>
    <x v="436"/>
    <x v="899"/>
    <x v="0"/>
    <x v="10"/>
    <x v="2"/>
  </r>
  <r>
    <x v="10"/>
    <x v="212"/>
    <x v="10"/>
    <x v="10"/>
    <x v="1"/>
    <x v="0"/>
    <x v="33"/>
    <x v="319"/>
    <x v="874"/>
    <x v="0"/>
    <x v="10"/>
    <x v="2"/>
  </r>
  <r>
    <x v="10"/>
    <x v="317"/>
    <x v="10"/>
    <x v="10"/>
    <x v="1"/>
    <x v="0"/>
    <x v="33"/>
    <x v="401"/>
    <x v="874"/>
    <x v="0"/>
    <x v="10"/>
    <x v="2"/>
  </r>
  <r>
    <x v="10"/>
    <x v="186"/>
    <x v="10"/>
    <x v="10"/>
    <x v="1"/>
    <x v="0"/>
    <x v="33"/>
    <x v="321"/>
    <x v="759"/>
    <x v="0"/>
    <x v="10"/>
    <x v="2"/>
  </r>
  <r>
    <x v="10"/>
    <x v="329"/>
    <x v="10"/>
    <x v="10"/>
    <x v="1"/>
    <x v="0"/>
    <x v="33"/>
    <x v="380"/>
    <x v="1182"/>
    <x v="0"/>
    <x v="10"/>
    <x v="2"/>
  </r>
  <r>
    <x v="10"/>
    <x v="248"/>
    <x v="10"/>
    <x v="10"/>
    <x v="1"/>
    <x v="0"/>
    <x v="33"/>
    <x v="304"/>
    <x v="759"/>
    <x v="0"/>
    <x v="10"/>
    <x v="2"/>
  </r>
  <r>
    <x v="10"/>
    <x v="233"/>
    <x v="10"/>
    <x v="10"/>
    <x v="1"/>
    <x v="0"/>
    <x v="33"/>
    <x v="344"/>
    <x v="759"/>
    <x v="0"/>
    <x v="10"/>
    <x v="2"/>
  </r>
  <r>
    <x v="10"/>
    <x v="176"/>
    <x v="10"/>
    <x v="10"/>
    <x v="1"/>
    <x v="0"/>
    <x v="33"/>
    <x v="412"/>
    <x v="1182"/>
    <x v="0"/>
    <x v="10"/>
    <x v="2"/>
  </r>
  <r>
    <x v="10"/>
    <x v="325"/>
    <x v="11"/>
    <x v="11"/>
    <x v="1"/>
    <x v="0"/>
    <x v="33"/>
    <x v="421"/>
    <x v="899"/>
    <x v="0"/>
    <x v="10"/>
    <x v="2"/>
  </r>
  <r>
    <x v="10"/>
    <x v="282"/>
    <x v="11"/>
    <x v="11"/>
    <x v="1"/>
    <x v="0"/>
    <x v="33"/>
    <x v="358"/>
    <x v="848"/>
    <x v="0"/>
    <x v="10"/>
    <x v="2"/>
  </r>
  <r>
    <x v="10"/>
    <x v="187"/>
    <x v="11"/>
    <x v="11"/>
    <x v="1"/>
    <x v="0"/>
    <x v="33"/>
    <x v="328"/>
    <x v="759"/>
    <x v="0"/>
    <x v="10"/>
    <x v="2"/>
  </r>
  <r>
    <x v="10"/>
    <x v="201"/>
    <x v="11"/>
    <x v="11"/>
    <x v="1"/>
    <x v="0"/>
    <x v="33"/>
    <x v="422"/>
    <x v="1182"/>
    <x v="0"/>
    <x v="10"/>
    <x v="2"/>
  </r>
  <r>
    <x v="10"/>
    <x v="249"/>
    <x v="11"/>
    <x v="11"/>
    <x v="1"/>
    <x v="0"/>
    <x v="33"/>
    <x v="359"/>
    <x v="899"/>
    <x v="0"/>
    <x v="10"/>
    <x v="2"/>
  </r>
  <r>
    <x v="10"/>
    <x v="299"/>
    <x v="11"/>
    <x v="11"/>
    <x v="1"/>
    <x v="0"/>
    <x v="33"/>
    <x v="315"/>
    <x v="146"/>
    <x v="0"/>
    <x v="10"/>
    <x v="2"/>
  </r>
  <r>
    <x v="10"/>
    <x v="302"/>
    <x v="11"/>
    <x v="11"/>
    <x v="1"/>
    <x v="0"/>
    <x v="33"/>
    <x v="324"/>
    <x v="759"/>
    <x v="0"/>
    <x v="10"/>
    <x v="2"/>
  </r>
  <r>
    <x v="10"/>
    <x v="256"/>
    <x v="11"/>
    <x v="11"/>
    <x v="1"/>
    <x v="0"/>
    <x v="33"/>
    <x v="294"/>
    <x v="934"/>
    <x v="0"/>
    <x v="10"/>
    <x v="2"/>
  </r>
  <r>
    <x v="10"/>
    <x v="202"/>
    <x v="11"/>
    <x v="11"/>
    <x v="1"/>
    <x v="0"/>
    <x v="33"/>
    <x v="305"/>
    <x v="934"/>
    <x v="0"/>
    <x v="10"/>
    <x v="2"/>
  </r>
  <r>
    <x v="10"/>
    <x v="273"/>
    <x v="11"/>
    <x v="11"/>
    <x v="1"/>
    <x v="0"/>
    <x v="33"/>
    <x v="354"/>
    <x v="874"/>
    <x v="0"/>
    <x v="10"/>
    <x v="2"/>
  </r>
  <r>
    <x v="10"/>
    <x v="214"/>
    <x v="11"/>
    <x v="11"/>
    <x v="1"/>
    <x v="0"/>
    <x v="33"/>
    <x v="306"/>
    <x v="759"/>
    <x v="0"/>
    <x v="10"/>
    <x v="2"/>
  </r>
  <r>
    <x v="10"/>
    <x v="274"/>
    <x v="11"/>
    <x v="11"/>
    <x v="1"/>
    <x v="0"/>
    <x v="33"/>
    <x v="404"/>
    <x v="759"/>
    <x v="0"/>
    <x v="10"/>
    <x v="2"/>
  </r>
  <r>
    <x v="10"/>
    <x v="294"/>
    <x v="11"/>
    <x v="11"/>
    <x v="1"/>
    <x v="0"/>
    <x v="33"/>
    <x v="382"/>
    <x v="759"/>
    <x v="0"/>
    <x v="10"/>
    <x v="2"/>
  </r>
  <r>
    <x v="10"/>
    <x v="300"/>
    <x v="2"/>
    <x v="2"/>
    <x v="1"/>
    <x v="0"/>
    <x v="33"/>
    <x v="316"/>
    <x v="759"/>
    <x v="0"/>
    <x v="10"/>
    <x v="2"/>
  </r>
  <r>
    <x v="10"/>
    <x v="315"/>
    <x v="2"/>
    <x v="2"/>
    <x v="1"/>
    <x v="0"/>
    <x v="33"/>
    <x v="405"/>
    <x v="1182"/>
    <x v="0"/>
    <x v="10"/>
    <x v="2"/>
  </r>
  <r>
    <x v="10"/>
    <x v="334"/>
    <x v="2"/>
    <x v="2"/>
    <x v="1"/>
    <x v="0"/>
    <x v="33"/>
    <x v="406"/>
    <x v="146"/>
    <x v="0"/>
    <x v="10"/>
    <x v="2"/>
  </r>
  <r>
    <x v="10"/>
    <x v="221"/>
    <x v="2"/>
    <x v="2"/>
    <x v="1"/>
    <x v="0"/>
    <x v="63"/>
    <x v="446"/>
    <x v="146"/>
    <x v="0"/>
    <x v="10"/>
    <x v="2"/>
  </r>
  <r>
    <x v="10"/>
    <x v="221"/>
    <x v="2"/>
    <x v="2"/>
    <x v="1"/>
    <x v="0"/>
    <x v="33"/>
    <x v="347"/>
    <x v="874"/>
    <x v="0"/>
    <x v="10"/>
    <x v="2"/>
  </r>
  <r>
    <x v="10"/>
    <x v="284"/>
    <x v="2"/>
    <x v="2"/>
    <x v="1"/>
    <x v="0"/>
    <x v="33"/>
    <x v="383"/>
    <x v="874"/>
    <x v="0"/>
    <x v="10"/>
    <x v="2"/>
  </r>
  <r>
    <x v="10"/>
    <x v="222"/>
    <x v="2"/>
    <x v="2"/>
    <x v="1"/>
    <x v="0"/>
    <x v="32"/>
    <x v="384"/>
    <x v="146"/>
    <x v="0"/>
    <x v="10"/>
    <x v="2"/>
  </r>
  <r>
    <x v="10"/>
    <x v="182"/>
    <x v="2"/>
    <x v="2"/>
    <x v="1"/>
    <x v="0"/>
    <x v="62"/>
    <x v="59"/>
    <x v="1"/>
    <x v="261"/>
    <x v="10"/>
    <x v="2"/>
  </r>
  <r>
    <x v="10"/>
    <x v="270"/>
    <x v="2"/>
    <x v="2"/>
    <x v="1"/>
    <x v="0"/>
    <x v="33"/>
    <x v="363"/>
    <x v="759"/>
    <x v="0"/>
    <x v="10"/>
    <x v="2"/>
  </r>
  <r>
    <x v="10"/>
    <x v="257"/>
    <x v="2"/>
    <x v="2"/>
    <x v="1"/>
    <x v="0"/>
    <x v="33"/>
    <x v="410"/>
    <x v="759"/>
    <x v="0"/>
    <x v="10"/>
    <x v="2"/>
  </r>
  <r>
    <x v="10"/>
    <x v="276"/>
    <x v="2"/>
    <x v="2"/>
    <x v="1"/>
    <x v="0"/>
    <x v="33"/>
    <x v="385"/>
    <x v="1132"/>
    <x v="0"/>
    <x v="10"/>
    <x v="2"/>
  </r>
  <r>
    <x v="10"/>
    <x v="246"/>
    <x v="2"/>
    <x v="2"/>
    <x v="1"/>
    <x v="0"/>
    <x v="33"/>
    <x v="287"/>
    <x v="874"/>
    <x v="0"/>
    <x v="10"/>
    <x v="2"/>
  </r>
  <r>
    <x v="10"/>
    <x v="281"/>
    <x v="6"/>
    <x v="6"/>
    <x v="1"/>
    <x v="0"/>
    <x v="33"/>
    <x v="395"/>
    <x v="934"/>
    <x v="0"/>
    <x v="10"/>
    <x v="2"/>
  </r>
  <r>
    <x v="10"/>
    <x v="265"/>
    <x v="6"/>
    <x v="6"/>
    <x v="1"/>
    <x v="0"/>
    <x v="33"/>
    <x v="386"/>
    <x v="899"/>
    <x v="0"/>
    <x v="10"/>
    <x v="2"/>
  </r>
  <r>
    <x v="10"/>
    <x v="184"/>
    <x v="6"/>
    <x v="6"/>
    <x v="1"/>
    <x v="0"/>
    <x v="33"/>
    <x v="413"/>
    <x v="759"/>
    <x v="0"/>
    <x v="10"/>
    <x v="2"/>
  </r>
  <r>
    <x v="10"/>
    <x v="314"/>
    <x v="6"/>
    <x v="6"/>
    <x v="1"/>
    <x v="0"/>
    <x v="33"/>
    <x v="372"/>
    <x v="759"/>
    <x v="0"/>
    <x v="10"/>
    <x v="2"/>
  </r>
  <r>
    <x v="10"/>
    <x v="203"/>
    <x v="6"/>
    <x v="6"/>
    <x v="1"/>
    <x v="0"/>
    <x v="33"/>
    <x v="288"/>
    <x v="146"/>
    <x v="0"/>
    <x v="10"/>
    <x v="2"/>
  </r>
  <r>
    <x v="10"/>
    <x v="236"/>
    <x v="6"/>
    <x v="6"/>
    <x v="1"/>
    <x v="0"/>
    <x v="33"/>
    <x v="371"/>
    <x v="934"/>
    <x v="0"/>
    <x v="10"/>
    <x v="2"/>
  </r>
  <r>
    <x v="10"/>
    <x v="188"/>
    <x v="6"/>
    <x v="6"/>
    <x v="1"/>
    <x v="0"/>
    <x v="33"/>
    <x v="407"/>
    <x v="765"/>
    <x v="0"/>
    <x v="10"/>
    <x v="2"/>
  </r>
  <r>
    <x v="10"/>
    <x v="335"/>
    <x v="6"/>
    <x v="6"/>
    <x v="1"/>
    <x v="0"/>
    <x v="33"/>
    <x v="408"/>
    <x v="146"/>
    <x v="0"/>
    <x v="10"/>
    <x v="2"/>
  </r>
  <r>
    <x v="10"/>
    <x v="190"/>
    <x v="6"/>
    <x v="6"/>
    <x v="1"/>
    <x v="0"/>
    <x v="33"/>
    <x v="342"/>
    <x v="874"/>
    <x v="0"/>
    <x v="10"/>
    <x v="2"/>
  </r>
  <r>
    <x v="10"/>
    <x v="191"/>
    <x v="6"/>
    <x v="6"/>
    <x v="1"/>
    <x v="0"/>
    <x v="33"/>
    <x v="318"/>
    <x v="765"/>
    <x v="0"/>
    <x v="10"/>
    <x v="2"/>
  </r>
  <r>
    <x v="10"/>
    <x v="277"/>
    <x v="7"/>
    <x v="7"/>
    <x v="1"/>
    <x v="1"/>
    <x v="33"/>
    <x v="325"/>
    <x v="874"/>
    <x v="0"/>
    <x v="10"/>
    <x v="2"/>
  </r>
  <r>
    <x v="10"/>
    <x v="327"/>
    <x v="7"/>
    <x v="7"/>
    <x v="1"/>
    <x v="1"/>
    <x v="33"/>
    <x v="387"/>
    <x v="874"/>
    <x v="0"/>
    <x v="10"/>
    <x v="2"/>
  </r>
  <r>
    <x v="10"/>
    <x v="209"/>
    <x v="7"/>
    <x v="7"/>
    <x v="1"/>
    <x v="1"/>
    <x v="33"/>
    <x v="428"/>
    <x v="874"/>
    <x v="0"/>
    <x v="10"/>
    <x v="2"/>
  </r>
  <r>
    <x v="10"/>
    <x v="279"/>
    <x v="7"/>
    <x v="7"/>
    <x v="1"/>
    <x v="1"/>
    <x v="33"/>
    <x v="449"/>
    <x v="874"/>
    <x v="0"/>
    <x v="10"/>
    <x v="2"/>
  </r>
  <r>
    <x v="10"/>
    <x v="245"/>
    <x v="8"/>
    <x v="8"/>
    <x v="1"/>
    <x v="1"/>
    <x v="33"/>
    <x v="285"/>
    <x v="874"/>
    <x v="0"/>
    <x v="10"/>
    <x v="2"/>
  </r>
  <r>
    <x v="10"/>
    <x v="207"/>
    <x v="8"/>
    <x v="8"/>
    <x v="1"/>
    <x v="1"/>
    <x v="33"/>
    <x v="374"/>
    <x v="874"/>
    <x v="0"/>
    <x v="10"/>
    <x v="2"/>
  </r>
  <r>
    <x v="10"/>
    <x v="242"/>
    <x v="9"/>
    <x v="9"/>
    <x v="1"/>
    <x v="1"/>
    <x v="33"/>
    <x v="435"/>
    <x v="874"/>
    <x v="0"/>
    <x v="10"/>
    <x v="2"/>
  </r>
  <r>
    <x v="10"/>
    <x v="230"/>
    <x v="9"/>
    <x v="9"/>
    <x v="1"/>
    <x v="1"/>
    <x v="33"/>
    <x v="283"/>
    <x v="874"/>
    <x v="0"/>
    <x v="10"/>
    <x v="2"/>
  </r>
  <r>
    <x v="10"/>
    <x v="329"/>
    <x v="10"/>
    <x v="10"/>
    <x v="1"/>
    <x v="1"/>
    <x v="33"/>
    <x v="380"/>
    <x v="874"/>
    <x v="0"/>
    <x v="10"/>
    <x v="2"/>
  </r>
  <r>
    <x v="10"/>
    <x v="315"/>
    <x v="2"/>
    <x v="2"/>
    <x v="1"/>
    <x v="1"/>
    <x v="33"/>
    <x v="405"/>
    <x v="874"/>
    <x v="0"/>
    <x v="10"/>
    <x v="2"/>
  </r>
  <r>
    <x v="10"/>
    <x v="246"/>
    <x v="2"/>
    <x v="2"/>
    <x v="1"/>
    <x v="1"/>
    <x v="33"/>
    <x v="287"/>
    <x v="874"/>
    <x v="0"/>
    <x v="10"/>
    <x v="2"/>
  </r>
  <r>
    <x v="10"/>
    <x v="265"/>
    <x v="6"/>
    <x v="6"/>
    <x v="1"/>
    <x v="1"/>
    <x v="33"/>
    <x v="386"/>
    <x v="874"/>
    <x v="0"/>
    <x v="10"/>
    <x v="2"/>
  </r>
  <r>
    <x v="12"/>
    <x v="263"/>
    <x v="10"/>
    <x v="10"/>
    <x v="1"/>
    <x v="2"/>
    <x v="32"/>
    <x v="436"/>
    <x v="3089"/>
    <x v="0"/>
    <x v="12"/>
    <x v="2"/>
  </r>
  <r>
    <x v="12"/>
    <x v="189"/>
    <x v="10"/>
    <x v="10"/>
    <x v="1"/>
    <x v="2"/>
    <x v="32"/>
    <x v="345"/>
    <x v="3090"/>
    <x v="0"/>
    <x v="12"/>
    <x v="2"/>
  </r>
  <r>
    <x v="12"/>
    <x v="330"/>
    <x v="11"/>
    <x v="11"/>
    <x v="1"/>
    <x v="2"/>
    <x v="32"/>
    <x v="381"/>
    <x v="1331"/>
    <x v="0"/>
    <x v="12"/>
    <x v="2"/>
  </r>
  <r>
    <x v="12"/>
    <x v="315"/>
    <x v="2"/>
    <x v="2"/>
    <x v="1"/>
    <x v="2"/>
    <x v="32"/>
    <x v="405"/>
    <x v="1331"/>
    <x v="0"/>
    <x v="12"/>
    <x v="2"/>
  </r>
  <r>
    <x v="13"/>
    <x v="205"/>
    <x v="7"/>
    <x v="7"/>
    <x v="1"/>
    <x v="0"/>
    <x v="33"/>
    <x v="299"/>
    <x v="874"/>
    <x v="0"/>
    <x v="13"/>
    <x v="2"/>
  </r>
  <r>
    <x v="15"/>
    <x v="263"/>
    <x v="10"/>
    <x v="10"/>
    <x v="1"/>
    <x v="2"/>
    <x v="32"/>
    <x v="436"/>
    <x v="3091"/>
    <x v="0"/>
    <x v="15"/>
    <x v="2"/>
  </r>
  <r>
    <x v="15"/>
    <x v="330"/>
    <x v="11"/>
    <x v="11"/>
    <x v="1"/>
    <x v="2"/>
    <x v="32"/>
    <x v="381"/>
    <x v="1145"/>
    <x v="0"/>
    <x v="15"/>
    <x v="2"/>
  </r>
  <r>
    <x v="15"/>
    <x v="305"/>
    <x v="6"/>
    <x v="6"/>
    <x v="1"/>
    <x v="2"/>
    <x v="32"/>
    <x v="331"/>
    <x v="1"/>
    <x v="595"/>
    <x v="15"/>
    <x v="2"/>
  </r>
  <r>
    <x v="15"/>
    <x v="229"/>
    <x v="6"/>
    <x v="6"/>
    <x v="1"/>
    <x v="2"/>
    <x v="32"/>
    <x v="281"/>
    <x v="3092"/>
    <x v="0"/>
    <x v="15"/>
    <x v="2"/>
  </r>
  <r>
    <x v="15"/>
    <x v="308"/>
    <x v="7"/>
    <x v="7"/>
    <x v="1"/>
    <x v="0"/>
    <x v="33"/>
    <x v="333"/>
    <x v="765"/>
    <x v="0"/>
    <x v="15"/>
    <x v="2"/>
  </r>
  <r>
    <x v="15"/>
    <x v="209"/>
    <x v="7"/>
    <x v="7"/>
    <x v="1"/>
    <x v="0"/>
    <x v="33"/>
    <x v="428"/>
    <x v="765"/>
    <x v="0"/>
    <x v="15"/>
    <x v="2"/>
  </r>
  <r>
    <x v="15"/>
    <x v="192"/>
    <x v="8"/>
    <x v="8"/>
    <x v="1"/>
    <x v="0"/>
    <x v="33"/>
    <x v="300"/>
    <x v="765"/>
    <x v="0"/>
    <x v="15"/>
    <x v="2"/>
  </r>
  <r>
    <x v="15"/>
    <x v="320"/>
    <x v="8"/>
    <x v="8"/>
    <x v="1"/>
    <x v="0"/>
    <x v="33"/>
    <x v="398"/>
    <x v="874"/>
    <x v="0"/>
    <x v="15"/>
    <x v="2"/>
  </r>
  <r>
    <x v="15"/>
    <x v="207"/>
    <x v="8"/>
    <x v="8"/>
    <x v="1"/>
    <x v="0"/>
    <x v="33"/>
    <x v="374"/>
    <x v="765"/>
    <x v="0"/>
    <x v="15"/>
    <x v="2"/>
  </r>
  <r>
    <x v="15"/>
    <x v="226"/>
    <x v="8"/>
    <x v="8"/>
    <x v="1"/>
    <x v="0"/>
    <x v="33"/>
    <x v="376"/>
    <x v="874"/>
    <x v="0"/>
    <x v="15"/>
    <x v="2"/>
  </r>
  <r>
    <x v="15"/>
    <x v="337"/>
    <x v="9"/>
    <x v="9"/>
    <x v="1"/>
    <x v="0"/>
    <x v="33"/>
    <x v="424"/>
    <x v="1182"/>
    <x v="0"/>
    <x v="15"/>
    <x v="2"/>
  </r>
  <r>
    <x v="15"/>
    <x v="242"/>
    <x v="9"/>
    <x v="9"/>
    <x v="1"/>
    <x v="0"/>
    <x v="33"/>
    <x v="435"/>
    <x v="765"/>
    <x v="0"/>
    <x v="15"/>
    <x v="2"/>
  </r>
  <r>
    <x v="15"/>
    <x v="331"/>
    <x v="9"/>
    <x v="9"/>
    <x v="1"/>
    <x v="0"/>
    <x v="33"/>
    <x v="391"/>
    <x v="874"/>
    <x v="0"/>
    <x v="15"/>
    <x v="2"/>
  </r>
  <r>
    <x v="15"/>
    <x v="286"/>
    <x v="10"/>
    <x v="10"/>
    <x v="1"/>
    <x v="0"/>
    <x v="33"/>
    <x v="297"/>
    <x v="146"/>
    <x v="0"/>
    <x v="15"/>
    <x v="2"/>
  </r>
  <r>
    <x v="15"/>
    <x v="186"/>
    <x v="10"/>
    <x v="10"/>
    <x v="1"/>
    <x v="0"/>
    <x v="33"/>
    <x v="321"/>
    <x v="934"/>
    <x v="0"/>
    <x v="15"/>
    <x v="2"/>
  </r>
  <r>
    <x v="15"/>
    <x v="325"/>
    <x v="11"/>
    <x v="11"/>
    <x v="1"/>
    <x v="0"/>
    <x v="33"/>
    <x v="421"/>
    <x v="952"/>
    <x v="0"/>
    <x v="15"/>
    <x v="2"/>
  </r>
  <r>
    <x v="15"/>
    <x v="187"/>
    <x v="11"/>
    <x v="11"/>
    <x v="1"/>
    <x v="0"/>
    <x v="33"/>
    <x v="328"/>
    <x v="874"/>
    <x v="0"/>
    <x v="15"/>
    <x v="2"/>
  </r>
  <r>
    <x v="15"/>
    <x v="272"/>
    <x v="11"/>
    <x v="11"/>
    <x v="1"/>
    <x v="0"/>
    <x v="33"/>
    <x v="360"/>
    <x v="874"/>
    <x v="0"/>
    <x v="15"/>
    <x v="2"/>
  </r>
  <r>
    <x v="15"/>
    <x v="302"/>
    <x v="11"/>
    <x v="11"/>
    <x v="1"/>
    <x v="0"/>
    <x v="33"/>
    <x v="324"/>
    <x v="1132"/>
    <x v="0"/>
    <x v="15"/>
    <x v="2"/>
  </r>
  <r>
    <x v="15"/>
    <x v="274"/>
    <x v="11"/>
    <x v="11"/>
    <x v="1"/>
    <x v="0"/>
    <x v="33"/>
    <x v="404"/>
    <x v="874"/>
    <x v="0"/>
    <x v="15"/>
    <x v="2"/>
  </r>
  <r>
    <x v="15"/>
    <x v="215"/>
    <x v="2"/>
    <x v="2"/>
    <x v="1"/>
    <x v="0"/>
    <x v="33"/>
    <x v="322"/>
    <x v="859"/>
    <x v="0"/>
    <x v="15"/>
    <x v="2"/>
  </r>
  <r>
    <x v="15"/>
    <x v="222"/>
    <x v="2"/>
    <x v="2"/>
    <x v="1"/>
    <x v="0"/>
    <x v="33"/>
    <x v="384"/>
    <x v="874"/>
    <x v="0"/>
    <x v="15"/>
    <x v="2"/>
  </r>
  <r>
    <x v="15"/>
    <x v="257"/>
    <x v="2"/>
    <x v="2"/>
    <x v="1"/>
    <x v="0"/>
    <x v="33"/>
    <x v="410"/>
    <x v="765"/>
    <x v="0"/>
    <x v="15"/>
    <x v="2"/>
  </r>
  <r>
    <x v="15"/>
    <x v="246"/>
    <x v="2"/>
    <x v="2"/>
    <x v="1"/>
    <x v="0"/>
    <x v="33"/>
    <x v="287"/>
    <x v="874"/>
    <x v="0"/>
    <x v="15"/>
    <x v="2"/>
  </r>
  <r>
    <x v="15"/>
    <x v="264"/>
    <x v="6"/>
    <x v="6"/>
    <x v="1"/>
    <x v="0"/>
    <x v="33"/>
    <x v="311"/>
    <x v="765"/>
    <x v="0"/>
    <x v="15"/>
    <x v="2"/>
  </r>
  <r>
    <x v="15"/>
    <x v="285"/>
    <x v="6"/>
    <x v="6"/>
    <x v="1"/>
    <x v="0"/>
    <x v="33"/>
    <x v="409"/>
    <x v="874"/>
    <x v="0"/>
    <x v="15"/>
    <x v="2"/>
  </r>
  <r>
    <x v="15"/>
    <x v="236"/>
    <x v="6"/>
    <x v="6"/>
    <x v="1"/>
    <x v="0"/>
    <x v="33"/>
    <x v="371"/>
    <x v="1182"/>
    <x v="0"/>
    <x v="15"/>
    <x v="2"/>
  </r>
  <r>
    <x v="15"/>
    <x v="335"/>
    <x v="6"/>
    <x v="6"/>
    <x v="1"/>
    <x v="0"/>
    <x v="33"/>
    <x v="408"/>
    <x v="759"/>
    <x v="0"/>
    <x v="15"/>
    <x v="2"/>
  </r>
  <r>
    <x v="16"/>
    <x v="277"/>
    <x v="7"/>
    <x v="7"/>
    <x v="1"/>
    <x v="2"/>
    <x v="33"/>
    <x v="325"/>
    <x v="874"/>
    <x v="0"/>
    <x v="16"/>
    <x v="2"/>
  </r>
  <r>
    <x v="16"/>
    <x v="209"/>
    <x v="7"/>
    <x v="7"/>
    <x v="1"/>
    <x v="2"/>
    <x v="33"/>
    <x v="428"/>
    <x v="874"/>
    <x v="0"/>
    <x v="16"/>
    <x v="2"/>
  </r>
  <r>
    <x v="16"/>
    <x v="277"/>
    <x v="7"/>
    <x v="7"/>
    <x v="1"/>
    <x v="0"/>
    <x v="33"/>
    <x v="325"/>
    <x v="146"/>
    <x v="0"/>
    <x v="16"/>
    <x v="2"/>
  </r>
  <r>
    <x v="16"/>
    <x v="327"/>
    <x v="7"/>
    <x v="7"/>
    <x v="1"/>
    <x v="0"/>
    <x v="33"/>
    <x v="387"/>
    <x v="146"/>
    <x v="0"/>
    <x v="16"/>
    <x v="2"/>
  </r>
  <r>
    <x v="16"/>
    <x v="278"/>
    <x v="7"/>
    <x v="7"/>
    <x v="1"/>
    <x v="0"/>
    <x v="33"/>
    <x v="450"/>
    <x v="859"/>
    <x v="0"/>
    <x v="16"/>
    <x v="2"/>
  </r>
  <r>
    <x v="16"/>
    <x v="259"/>
    <x v="7"/>
    <x v="7"/>
    <x v="1"/>
    <x v="0"/>
    <x v="33"/>
    <x v="355"/>
    <x v="874"/>
    <x v="0"/>
    <x v="16"/>
    <x v="2"/>
  </r>
  <r>
    <x v="16"/>
    <x v="225"/>
    <x v="7"/>
    <x v="7"/>
    <x v="1"/>
    <x v="0"/>
    <x v="33"/>
    <x v="416"/>
    <x v="146"/>
    <x v="0"/>
    <x v="16"/>
    <x v="2"/>
  </r>
  <r>
    <x v="16"/>
    <x v="309"/>
    <x v="7"/>
    <x v="7"/>
    <x v="1"/>
    <x v="0"/>
    <x v="33"/>
    <x v="334"/>
    <x v="874"/>
    <x v="0"/>
    <x v="16"/>
    <x v="2"/>
  </r>
  <r>
    <x v="16"/>
    <x v="205"/>
    <x v="7"/>
    <x v="7"/>
    <x v="1"/>
    <x v="0"/>
    <x v="33"/>
    <x v="299"/>
    <x v="1132"/>
    <x v="0"/>
    <x v="16"/>
    <x v="2"/>
  </r>
  <r>
    <x v="16"/>
    <x v="252"/>
    <x v="7"/>
    <x v="7"/>
    <x v="1"/>
    <x v="0"/>
    <x v="33"/>
    <x v="396"/>
    <x v="146"/>
    <x v="0"/>
    <x v="16"/>
    <x v="2"/>
  </r>
  <r>
    <x v="16"/>
    <x v="206"/>
    <x v="7"/>
    <x v="7"/>
    <x v="1"/>
    <x v="0"/>
    <x v="33"/>
    <x v="284"/>
    <x v="874"/>
    <x v="0"/>
    <x v="16"/>
    <x v="2"/>
  </r>
  <r>
    <x v="16"/>
    <x v="209"/>
    <x v="7"/>
    <x v="7"/>
    <x v="1"/>
    <x v="0"/>
    <x v="33"/>
    <x v="428"/>
    <x v="759"/>
    <x v="0"/>
    <x v="16"/>
    <x v="2"/>
  </r>
  <r>
    <x v="16"/>
    <x v="210"/>
    <x v="7"/>
    <x v="7"/>
    <x v="1"/>
    <x v="0"/>
    <x v="33"/>
    <x v="418"/>
    <x v="874"/>
    <x v="0"/>
    <x v="16"/>
    <x v="2"/>
  </r>
  <r>
    <x v="16"/>
    <x v="251"/>
    <x v="8"/>
    <x v="8"/>
    <x v="1"/>
    <x v="0"/>
    <x v="33"/>
    <x v="291"/>
    <x v="859"/>
    <x v="0"/>
    <x v="16"/>
    <x v="2"/>
  </r>
  <r>
    <x v="16"/>
    <x v="192"/>
    <x v="8"/>
    <x v="8"/>
    <x v="1"/>
    <x v="0"/>
    <x v="33"/>
    <x v="300"/>
    <x v="874"/>
    <x v="0"/>
    <x v="16"/>
    <x v="2"/>
  </r>
  <r>
    <x v="16"/>
    <x v="247"/>
    <x v="8"/>
    <x v="8"/>
    <x v="1"/>
    <x v="0"/>
    <x v="33"/>
    <x v="289"/>
    <x v="765"/>
    <x v="0"/>
    <x v="16"/>
    <x v="2"/>
  </r>
  <r>
    <x v="16"/>
    <x v="254"/>
    <x v="8"/>
    <x v="8"/>
    <x v="1"/>
    <x v="0"/>
    <x v="33"/>
    <x v="326"/>
    <x v="146"/>
    <x v="0"/>
    <x v="16"/>
    <x v="2"/>
  </r>
  <r>
    <x v="16"/>
    <x v="320"/>
    <x v="8"/>
    <x v="8"/>
    <x v="1"/>
    <x v="0"/>
    <x v="33"/>
    <x v="398"/>
    <x v="765"/>
    <x v="0"/>
    <x v="16"/>
    <x v="2"/>
  </r>
  <r>
    <x v="16"/>
    <x v="261"/>
    <x v="8"/>
    <x v="8"/>
    <x v="1"/>
    <x v="0"/>
    <x v="33"/>
    <x v="320"/>
    <x v="146"/>
    <x v="0"/>
    <x v="16"/>
    <x v="2"/>
  </r>
  <r>
    <x v="16"/>
    <x v="323"/>
    <x v="8"/>
    <x v="8"/>
    <x v="1"/>
    <x v="0"/>
    <x v="33"/>
    <x v="367"/>
    <x v="759"/>
    <x v="0"/>
    <x v="16"/>
    <x v="2"/>
  </r>
  <r>
    <x v="16"/>
    <x v="245"/>
    <x v="8"/>
    <x v="8"/>
    <x v="1"/>
    <x v="0"/>
    <x v="33"/>
    <x v="285"/>
    <x v="1182"/>
    <x v="0"/>
    <x v="16"/>
    <x v="2"/>
  </r>
  <r>
    <x v="16"/>
    <x v="185"/>
    <x v="8"/>
    <x v="8"/>
    <x v="1"/>
    <x v="0"/>
    <x v="33"/>
    <x v="296"/>
    <x v="765"/>
    <x v="0"/>
    <x v="16"/>
    <x v="2"/>
  </r>
  <r>
    <x v="16"/>
    <x v="292"/>
    <x v="9"/>
    <x v="9"/>
    <x v="1"/>
    <x v="0"/>
    <x v="33"/>
    <x v="352"/>
    <x v="982"/>
    <x v="0"/>
    <x v="16"/>
    <x v="2"/>
  </r>
  <r>
    <x v="16"/>
    <x v="194"/>
    <x v="9"/>
    <x v="9"/>
    <x v="1"/>
    <x v="0"/>
    <x v="33"/>
    <x v="390"/>
    <x v="765"/>
    <x v="0"/>
    <x v="16"/>
    <x v="2"/>
  </r>
  <r>
    <x v="16"/>
    <x v="197"/>
    <x v="9"/>
    <x v="9"/>
    <x v="1"/>
    <x v="0"/>
    <x v="33"/>
    <x v="432"/>
    <x v="859"/>
    <x v="0"/>
    <x v="16"/>
    <x v="2"/>
  </r>
  <r>
    <x v="16"/>
    <x v="211"/>
    <x v="9"/>
    <x v="9"/>
    <x v="1"/>
    <x v="0"/>
    <x v="33"/>
    <x v="286"/>
    <x v="874"/>
    <x v="0"/>
    <x v="16"/>
    <x v="2"/>
  </r>
  <r>
    <x v="16"/>
    <x v="230"/>
    <x v="9"/>
    <x v="9"/>
    <x v="1"/>
    <x v="0"/>
    <x v="33"/>
    <x v="283"/>
    <x v="874"/>
    <x v="0"/>
    <x v="16"/>
    <x v="2"/>
  </r>
  <r>
    <x v="16"/>
    <x v="198"/>
    <x v="10"/>
    <x v="10"/>
    <x v="1"/>
    <x v="0"/>
    <x v="33"/>
    <x v="338"/>
    <x v="765"/>
    <x v="0"/>
    <x v="16"/>
    <x v="2"/>
  </r>
  <r>
    <x v="16"/>
    <x v="263"/>
    <x v="10"/>
    <x v="10"/>
    <x v="1"/>
    <x v="0"/>
    <x v="33"/>
    <x v="436"/>
    <x v="1182"/>
    <x v="0"/>
    <x v="16"/>
    <x v="2"/>
  </r>
  <r>
    <x v="16"/>
    <x v="212"/>
    <x v="10"/>
    <x v="10"/>
    <x v="1"/>
    <x v="0"/>
    <x v="33"/>
    <x v="319"/>
    <x v="759"/>
    <x v="0"/>
    <x v="16"/>
    <x v="2"/>
  </r>
  <r>
    <x v="16"/>
    <x v="317"/>
    <x v="10"/>
    <x v="10"/>
    <x v="1"/>
    <x v="0"/>
    <x v="33"/>
    <x v="401"/>
    <x v="899"/>
    <x v="0"/>
    <x v="16"/>
    <x v="2"/>
  </r>
  <r>
    <x v="16"/>
    <x v="239"/>
    <x v="10"/>
    <x v="10"/>
    <x v="1"/>
    <x v="0"/>
    <x v="33"/>
    <x v="419"/>
    <x v="874"/>
    <x v="0"/>
    <x v="16"/>
    <x v="2"/>
  </r>
  <r>
    <x v="16"/>
    <x v="243"/>
    <x v="10"/>
    <x v="10"/>
    <x v="1"/>
    <x v="0"/>
    <x v="33"/>
    <x v="411"/>
    <x v="874"/>
    <x v="0"/>
    <x v="16"/>
    <x v="2"/>
  </r>
  <r>
    <x v="16"/>
    <x v="232"/>
    <x v="10"/>
    <x v="10"/>
    <x v="1"/>
    <x v="0"/>
    <x v="33"/>
    <x v="290"/>
    <x v="899"/>
    <x v="0"/>
    <x v="16"/>
    <x v="2"/>
  </r>
  <r>
    <x v="16"/>
    <x v="186"/>
    <x v="10"/>
    <x v="10"/>
    <x v="1"/>
    <x v="0"/>
    <x v="33"/>
    <x v="321"/>
    <x v="899"/>
    <x v="0"/>
    <x v="16"/>
    <x v="2"/>
  </r>
  <r>
    <x v="16"/>
    <x v="329"/>
    <x v="10"/>
    <x v="10"/>
    <x v="1"/>
    <x v="0"/>
    <x v="33"/>
    <x v="380"/>
    <x v="1182"/>
    <x v="0"/>
    <x v="16"/>
    <x v="2"/>
  </r>
  <r>
    <x v="16"/>
    <x v="339"/>
    <x v="10"/>
    <x v="10"/>
    <x v="1"/>
    <x v="0"/>
    <x v="33"/>
    <x v="427"/>
    <x v="1182"/>
    <x v="0"/>
    <x v="16"/>
    <x v="2"/>
  </r>
  <r>
    <x v="16"/>
    <x v="244"/>
    <x v="10"/>
    <x v="10"/>
    <x v="1"/>
    <x v="0"/>
    <x v="33"/>
    <x v="433"/>
    <x v="765"/>
    <x v="0"/>
    <x v="16"/>
    <x v="2"/>
  </r>
  <r>
    <x v="16"/>
    <x v="233"/>
    <x v="10"/>
    <x v="10"/>
    <x v="1"/>
    <x v="0"/>
    <x v="33"/>
    <x v="344"/>
    <x v="759"/>
    <x v="0"/>
    <x v="16"/>
    <x v="2"/>
  </r>
  <r>
    <x v="16"/>
    <x v="199"/>
    <x v="10"/>
    <x v="10"/>
    <x v="1"/>
    <x v="0"/>
    <x v="33"/>
    <x v="298"/>
    <x v="759"/>
    <x v="0"/>
    <x v="16"/>
    <x v="2"/>
  </r>
  <r>
    <x v="16"/>
    <x v="269"/>
    <x v="11"/>
    <x v="11"/>
    <x v="1"/>
    <x v="0"/>
    <x v="33"/>
    <x v="403"/>
    <x v="848"/>
    <x v="0"/>
    <x v="16"/>
    <x v="2"/>
  </r>
  <r>
    <x v="16"/>
    <x v="325"/>
    <x v="11"/>
    <x v="11"/>
    <x v="1"/>
    <x v="0"/>
    <x v="33"/>
    <x v="421"/>
    <x v="1182"/>
    <x v="0"/>
    <x v="16"/>
    <x v="2"/>
  </r>
  <r>
    <x v="16"/>
    <x v="282"/>
    <x v="11"/>
    <x v="11"/>
    <x v="1"/>
    <x v="0"/>
    <x v="33"/>
    <x v="358"/>
    <x v="934"/>
    <x v="0"/>
    <x v="16"/>
    <x v="2"/>
  </r>
  <r>
    <x v="16"/>
    <x v="272"/>
    <x v="11"/>
    <x v="11"/>
    <x v="1"/>
    <x v="0"/>
    <x v="33"/>
    <x v="360"/>
    <x v="759"/>
    <x v="0"/>
    <x v="16"/>
    <x v="2"/>
  </r>
  <r>
    <x v="16"/>
    <x v="220"/>
    <x v="11"/>
    <x v="11"/>
    <x v="1"/>
    <x v="0"/>
    <x v="33"/>
    <x v="309"/>
    <x v="934"/>
    <x v="0"/>
    <x v="16"/>
    <x v="2"/>
  </r>
  <r>
    <x v="16"/>
    <x v="201"/>
    <x v="11"/>
    <x v="11"/>
    <x v="1"/>
    <x v="0"/>
    <x v="33"/>
    <x v="422"/>
    <x v="899"/>
    <x v="0"/>
    <x v="16"/>
    <x v="2"/>
  </r>
  <r>
    <x v="16"/>
    <x v="249"/>
    <x v="11"/>
    <x v="11"/>
    <x v="1"/>
    <x v="0"/>
    <x v="33"/>
    <x v="359"/>
    <x v="1132"/>
    <x v="0"/>
    <x v="16"/>
    <x v="2"/>
  </r>
  <r>
    <x v="16"/>
    <x v="299"/>
    <x v="11"/>
    <x v="11"/>
    <x v="1"/>
    <x v="0"/>
    <x v="33"/>
    <x v="315"/>
    <x v="1182"/>
    <x v="0"/>
    <x v="16"/>
    <x v="2"/>
  </r>
  <r>
    <x v="16"/>
    <x v="302"/>
    <x v="11"/>
    <x v="11"/>
    <x v="1"/>
    <x v="0"/>
    <x v="33"/>
    <x v="324"/>
    <x v="1132"/>
    <x v="0"/>
    <x v="16"/>
    <x v="2"/>
  </r>
  <r>
    <x v="16"/>
    <x v="181"/>
    <x v="11"/>
    <x v="11"/>
    <x v="1"/>
    <x v="0"/>
    <x v="33"/>
    <x v="362"/>
    <x v="899"/>
    <x v="0"/>
    <x v="16"/>
    <x v="2"/>
  </r>
  <r>
    <x v="16"/>
    <x v="275"/>
    <x v="11"/>
    <x v="11"/>
    <x v="1"/>
    <x v="0"/>
    <x v="33"/>
    <x v="307"/>
    <x v="759"/>
    <x v="0"/>
    <x v="16"/>
    <x v="2"/>
  </r>
  <r>
    <x v="16"/>
    <x v="294"/>
    <x v="11"/>
    <x v="11"/>
    <x v="1"/>
    <x v="0"/>
    <x v="33"/>
    <x v="382"/>
    <x v="765"/>
    <x v="0"/>
    <x v="16"/>
    <x v="2"/>
  </r>
  <r>
    <x v="16"/>
    <x v="300"/>
    <x v="2"/>
    <x v="2"/>
    <x v="1"/>
    <x v="0"/>
    <x v="33"/>
    <x v="316"/>
    <x v="848"/>
    <x v="0"/>
    <x v="16"/>
    <x v="2"/>
  </r>
  <r>
    <x v="16"/>
    <x v="215"/>
    <x v="2"/>
    <x v="2"/>
    <x v="1"/>
    <x v="0"/>
    <x v="33"/>
    <x v="322"/>
    <x v="1182"/>
    <x v="0"/>
    <x v="16"/>
    <x v="2"/>
  </r>
  <r>
    <x v="16"/>
    <x v="221"/>
    <x v="2"/>
    <x v="2"/>
    <x v="1"/>
    <x v="0"/>
    <x v="33"/>
    <x v="347"/>
    <x v="765"/>
    <x v="0"/>
    <x v="16"/>
    <x v="2"/>
  </r>
  <r>
    <x v="16"/>
    <x v="284"/>
    <x v="2"/>
    <x v="2"/>
    <x v="1"/>
    <x v="0"/>
    <x v="33"/>
    <x v="383"/>
    <x v="765"/>
    <x v="0"/>
    <x v="16"/>
    <x v="2"/>
  </r>
  <r>
    <x v="16"/>
    <x v="222"/>
    <x v="2"/>
    <x v="2"/>
    <x v="1"/>
    <x v="0"/>
    <x v="33"/>
    <x v="384"/>
    <x v="899"/>
    <x v="0"/>
    <x v="16"/>
    <x v="2"/>
  </r>
  <r>
    <x v="16"/>
    <x v="295"/>
    <x v="2"/>
    <x v="2"/>
    <x v="1"/>
    <x v="0"/>
    <x v="33"/>
    <x v="310"/>
    <x v="759"/>
    <x v="0"/>
    <x v="16"/>
    <x v="2"/>
  </r>
  <r>
    <x v="16"/>
    <x v="270"/>
    <x v="2"/>
    <x v="2"/>
    <x v="1"/>
    <x v="0"/>
    <x v="33"/>
    <x v="363"/>
    <x v="759"/>
    <x v="0"/>
    <x v="16"/>
    <x v="2"/>
  </r>
  <r>
    <x v="16"/>
    <x v="216"/>
    <x v="2"/>
    <x v="2"/>
    <x v="1"/>
    <x v="0"/>
    <x v="33"/>
    <x v="332"/>
    <x v="1182"/>
    <x v="0"/>
    <x v="16"/>
    <x v="2"/>
  </r>
  <r>
    <x v="16"/>
    <x v="280"/>
    <x v="2"/>
    <x v="2"/>
    <x v="1"/>
    <x v="0"/>
    <x v="33"/>
    <x v="295"/>
    <x v="1182"/>
    <x v="0"/>
    <x v="16"/>
    <x v="2"/>
  </r>
  <r>
    <x v="16"/>
    <x v="257"/>
    <x v="2"/>
    <x v="2"/>
    <x v="1"/>
    <x v="0"/>
    <x v="33"/>
    <x v="410"/>
    <x v="899"/>
    <x v="0"/>
    <x v="16"/>
    <x v="2"/>
  </r>
  <r>
    <x v="16"/>
    <x v="223"/>
    <x v="2"/>
    <x v="2"/>
    <x v="1"/>
    <x v="0"/>
    <x v="33"/>
    <x v="434"/>
    <x v="874"/>
    <x v="0"/>
    <x v="16"/>
    <x v="2"/>
  </r>
  <r>
    <x v="16"/>
    <x v="276"/>
    <x v="2"/>
    <x v="2"/>
    <x v="1"/>
    <x v="0"/>
    <x v="33"/>
    <x v="385"/>
    <x v="874"/>
    <x v="0"/>
    <x v="16"/>
    <x v="2"/>
  </r>
  <r>
    <x v="16"/>
    <x v="183"/>
    <x v="2"/>
    <x v="2"/>
    <x v="1"/>
    <x v="0"/>
    <x v="33"/>
    <x v="330"/>
    <x v="1182"/>
    <x v="0"/>
    <x v="16"/>
    <x v="2"/>
  </r>
  <r>
    <x v="16"/>
    <x v="246"/>
    <x v="2"/>
    <x v="2"/>
    <x v="1"/>
    <x v="0"/>
    <x v="33"/>
    <x v="287"/>
    <x v="146"/>
    <x v="0"/>
    <x v="16"/>
    <x v="2"/>
  </r>
  <r>
    <x v="16"/>
    <x v="264"/>
    <x v="6"/>
    <x v="6"/>
    <x v="1"/>
    <x v="0"/>
    <x v="33"/>
    <x v="311"/>
    <x v="934"/>
    <x v="0"/>
    <x v="16"/>
    <x v="2"/>
  </r>
  <r>
    <x v="16"/>
    <x v="281"/>
    <x v="6"/>
    <x v="6"/>
    <x v="1"/>
    <x v="0"/>
    <x v="33"/>
    <x v="395"/>
    <x v="899"/>
    <x v="0"/>
    <x v="16"/>
    <x v="2"/>
  </r>
  <r>
    <x v="16"/>
    <x v="285"/>
    <x v="6"/>
    <x v="6"/>
    <x v="1"/>
    <x v="0"/>
    <x v="33"/>
    <x v="409"/>
    <x v="759"/>
    <x v="0"/>
    <x v="16"/>
    <x v="2"/>
  </r>
  <r>
    <x v="16"/>
    <x v="265"/>
    <x v="6"/>
    <x v="6"/>
    <x v="1"/>
    <x v="0"/>
    <x v="33"/>
    <x v="386"/>
    <x v="899"/>
    <x v="0"/>
    <x v="16"/>
    <x v="2"/>
  </r>
  <r>
    <x v="16"/>
    <x v="314"/>
    <x v="6"/>
    <x v="6"/>
    <x v="1"/>
    <x v="0"/>
    <x v="33"/>
    <x v="372"/>
    <x v="874"/>
    <x v="0"/>
    <x v="16"/>
    <x v="2"/>
  </r>
  <r>
    <x v="16"/>
    <x v="296"/>
    <x v="6"/>
    <x v="6"/>
    <x v="1"/>
    <x v="0"/>
    <x v="33"/>
    <x v="312"/>
    <x v="146"/>
    <x v="0"/>
    <x v="16"/>
    <x v="2"/>
  </r>
  <r>
    <x v="16"/>
    <x v="204"/>
    <x v="6"/>
    <x v="6"/>
    <x v="1"/>
    <x v="0"/>
    <x v="33"/>
    <x v="317"/>
    <x v="899"/>
    <x v="0"/>
    <x v="16"/>
    <x v="2"/>
  </r>
  <r>
    <x v="16"/>
    <x v="236"/>
    <x v="6"/>
    <x v="6"/>
    <x v="1"/>
    <x v="0"/>
    <x v="33"/>
    <x v="371"/>
    <x v="1182"/>
    <x v="0"/>
    <x v="16"/>
    <x v="2"/>
  </r>
  <r>
    <x v="16"/>
    <x v="188"/>
    <x v="6"/>
    <x v="6"/>
    <x v="1"/>
    <x v="0"/>
    <x v="33"/>
    <x v="407"/>
    <x v="759"/>
    <x v="0"/>
    <x v="16"/>
    <x v="2"/>
  </r>
  <r>
    <x v="16"/>
    <x v="313"/>
    <x v="6"/>
    <x v="6"/>
    <x v="1"/>
    <x v="0"/>
    <x v="33"/>
    <x v="341"/>
    <x v="765"/>
    <x v="0"/>
    <x v="16"/>
    <x v="2"/>
  </r>
  <r>
    <x v="16"/>
    <x v="335"/>
    <x v="6"/>
    <x v="6"/>
    <x v="1"/>
    <x v="0"/>
    <x v="33"/>
    <x v="408"/>
    <x v="874"/>
    <x v="0"/>
    <x v="16"/>
    <x v="2"/>
  </r>
  <r>
    <x v="16"/>
    <x v="174"/>
    <x v="6"/>
    <x v="6"/>
    <x v="1"/>
    <x v="0"/>
    <x v="33"/>
    <x v="282"/>
    <x v="874"/>
    <x v="0"/>
    <x v="16"/>
    <x v="2"/>
  </r>
  <r>
    <x v="16"/>
    <x v="229"/>
    <x v="6"/>
    <x v="6"/>
    <x v="1"/>
    <x v="0"/>
    <x v="33"/>
    <x v="281"/>
    <x v="874"/>
    <x v="0"/>
    <x v="16"/>
    <x v="2"/>
  </r>
  <r>
    <x v="16"/>
    <x v="241"/>
    <x v="6"/>
    <x v="6"/>
    <x v="1"/>
    <x v="0"/>
    <x v="33"/>
    <x v="447"/>
    <x v="759"/>
    <x v="0"/>
    <x v="16"/>
    <x v="2"/>
  </r>
  <r>
    <x v="16"/>
    <x v="191"/>
    <x v="6"/>
    <x v="6"/>
    <x v="1"/>
    <x v="0"/>
    <x v="33"/>
    <x v="318"/>
    <x v="899"/>
    <x v="0"/>
    <x v="16"/>
    <x v="2"/>
  </r>
  <r>
    <x v="16"/>
    <x v="209"/>
    <x v="7"/>
    <x v="7"/>
    <x v="1"/>
    <x v="1"/>
    <x v="33"/>
    <x v="428"/>
    <x v="874"/>
    <x v="0"/>
    <x v="16"/>
    <x v="2"/>
  </r>
  <r>
    <x v="16"/>
    <x v="323"/>
    <x v="8"/>
    <x v="8"/>
    <x v="1"/>
    <x v="1"/>
    <x v="33"/>
    <x v="367"/>
    <x v="874"/>
    <x v="0"/>
    <x v="16"/>
    <x v="2"/>
  </r>
  <r>
    <x v="16"/>
    <x v="185"/>
    <x v="8"/>
    <x v="8"/>
    <x v="1"/>
    <x v="1"/>
    <x v="33"/>
    <x v="296"/>
    <x v="759"/>
    <x v="0"/>
    <x v="16"/>
    <x v="2"/>
  </r>
  <r>
    <x v="16"/>
    <x v="292"/>
    <x v="9"/>
    <x v="9"/>
    <x v="1"/>
    <x v="1"/>
    <x v="33"/>
    <x v="352"/>
    <x v="759"/>
    <x v="0"/>
    <x v="16"/>
    <x v="2"/>
  </r>
  <r>
    <x v="16"/>
    <x v="317"/>
    <x v="10"/>
    <x v="10"/>
    <x v="1"/>
    <x v="1"/>
    <x v="33"/>
    <x v="401"/>
    <x v="874"/>
    <x v="0"/>
    <x v="16"/>
    <x v="2"/>
  </r>
  <r>
    <x v="16"/>
    <x v="200"/>
    <x v="11"/>
    <x v="11"/>
    <x v="1"/>
    <x v="1"/>
    <x v="33"/>
    <x v="351"/>
    <x v="874"/>
    <x v="0"/>
    <x v="16"/>
    <x v="2"/>
  </r>
  <r>
    <x v="16"/>
    <x v="220"/>
    <x v="11"/>
    <x v="11"/>
    <x v="1"/>
    <x v="1"/>
    <x v="33"/>
    <x v="309"/>
    <x v="874"/>
    <x v="0"/>
    <x v="16"/>
    <x v="2"/>
  </r>
  <r>
    <x v="16"/>
    <x v="270"/>
    <x v="2"/>
    <x v="2"/>
    <x v="1"/>
    <x v="1"/>
    <x v="33"/>
    <x v="363"/>
    <x v="146"/>
    <x v="0"/>
    <x v="16"/>
    <x v="2"/>
  </r>
  <r>
    <x v="16"/>
    <x v="246"/>
    <x v="2"/>
    <x v="2"/>
    <x v="1"/>
    <x v="1"/>
    <x v="33"/>
    <x v="287"/>
    <x v="874"/>
    <x v="0"/>
    <x v="16"/>
    <x v="2"/>
  </r>
  <r>
    <x v="16"/>
    <x v="264"/>
    <x v="6"/>
    <x v="6"/>
    <x v="1"/>
    <x v="1"/>
    <x v="33"/>
    <x v="311"/>
    <x v="874"/>
    <x v="0"/>
    <x v="16"/>
    <x v="2"/>
  </r>
  <r>
    <x v="16"/>
    <x v="296"/>
    <x v="6"/>
    <x v="6"/>
    <x v="1"/>
    <x v="1"/>
    <x v="33"/>
    <x v="312"/>
    <x v="759"/>
    <x v="0"/>
    <x v="16"/>
    <x v="2"/>
  </r>
  <r>
    <x v="16"/>
    <x v="241"/>
    <x v="6"/>
    <x v="6"/>
    <x v="1"/>
    <x v="1"/>
    <x v="33"/>
    <x v="447"/>
    <x v="874"/>
    <x v="0"/>
    <x v="16"/>
    <x v="2"/>
  </r>
  <r>
    <x v="17"/>
    <x v="214"/>
    <x v="11"/>
    <x v="11"/>
    <x v="1"/>
    <x v="2"/>
    <x v="32"/>
    <x v="306"/>
    <x v="3093"/>
    <x v="0"/>
    <x v="17"/>
    <x v="2"/>
  </r>
  <r>
    <x v="17"/>
    <x v="242"/>
    <x v="9"/>
    <x v="9"/>
    <x v="1"/>
    <x v="0"/>
    <x v="33"/>
    <x v="435"/>
    <x v="874"/>
    <x v="0"/>
    <x v="17"/>
    <x v="2"/>
  </r>
  <r>
    <x v="18"/>
    <x v="227"/>
    <x v="9"/>
    <x v="9"/>
    <x v="1"/>
    <x v="2"/>
    <x v="32"/>
    <x v="399"/>
    <x v="891"/>
    <x v="0"/>
    <x v="18"/>
    <x v="2"/>
  </r>
  <r>
    <x v="18"/>
    <x v="240"/>
    <x v="2"/>
    <x v="2"/>
    <x v="1"/>
    <x v="2"/>
    <x v="32"/>
    <x v="442"/>
    <x v="1755"/>
    <x v="0"/>
    <x v="18"/>
    <x v="2"/>
  </r>
  <r>
    <x v="19"/>
    <x v="308"/>
    <x v="7"/>
    <x v="7"/>
    <x v="1"/>
    <x v="2"/>
    <x v="33"/>
    <x v="333"/>
    <x v="759"/>
    <x v="0"/>
    <x v="19"/>
    <x v="2"/>
  </r>
  <r>
    <x v="19"/>
    <x v="290"/>
    <x v="9"/>
    <x v="9"/>
    <x v="1"/>
    <x v="2"/>
    <x v="32"/>
    <x v="302"/>
    <x v="3094"/>
    <x v="0"/>
    <x v="19"/>
    <x v="2"/>
  </r>
  <r>
    <x v="19"/>
    <x v="178"/>
    <x v="9"/>
    <x v="9"/>
    <x v="1"/>
    <x v="2"/>
    <x v="33"/>
    <x v="353"/>
    <x v="874"/>
    <x v="0"/>
    <x v="19"/>
    <x v="2"/>
  </r>
  <r>
    <x v="19"/>
    <x v="255"/>
    <x v="9"/>
    <x v="9"/>
    <x v="1"/>
    <x v="2"/>
    <x v="33"/>
    <x v="293"/>
    <x v="874"/>
    <x v="0"/>
    <x v="19"/>
    <x v="2"/>
  </r>
  <r>
    <x v="19"/>
    <x v="308"/>
    <x v="7"/>
    <x v="7"/>
    <x v="1"/>
    <x v="0"/>
    <x v="33"/>
    <x v="333"/>
    <x v="765"/>
    <x v="0"/>
    <x v="19"/>
    <x v="2"/>
  </r>
  <r>
    <x v="19"/>
    <x v="308"/>
    <x v="7"/>
    <x v="7"/>
    <x v="1"/>
    <x v="1"/>
    <x v="33"/>
    <x v="333"/>
    <x v="874"/>
    <x v="0"/>
    <x v="19"/>
    <x v="2"/>
  </r>
  <r>
    <x v="20"/>
    <x v="300"/>
    <x v="2"/>
    <x v="2"/>
    <x v="1"/>
    <x v="2"/>
    <x v="33"/>
    <x v="316"/>
    <x v="874"/>
    <x v="0"/>
    <x v="20"/>
    <x v="2"/>
  </r>
  <r>
    <x v="20"/>
    <x v="308"/>
    <x v="7"/>
    <x v="7"/>
    <x v="1"/>
    <x v="0"/>
    <x v="33"/>
    <x v="333"/>
    <x v="759"/>
    <x v="0"/>
    <x v="20"/>
    <x v="2"/>
  </r>
  <r>
    <x v="20"/>
    <x v="277"/>
    <x v="7"/>
    <x v="7"/>
    <x v="1"/>
    <x v="0"/>
    <x v="33"/>
    <x v="325"/>
    <x v="874"/>
    <x v="0"/>
    <x v="20"/>
    <x v="2"/>
  </r>
  <r>
    <x v="20"/>
    <x v="326"/>
    <x v="8"/>
    <x v="8"/>
    <x v="1"/>
    <x v="0"/>
    <x v="33"/>
    <x v="423"/>
    <x v="759"/>
    <x v="0"/>
    <x v="20"/>
    <x v="2"/>
  </r>
  <r>
    <x v="20"/>
    <x v="245"/>
    <x v="8"/>
    <x v="8"/>
    <x v="1"/>
    <x v="0"/>
    <x v="33"/>
    <x v="285"/>
    <x v="759"/>
    <x v="0"/>
    <x v="20"/>
    <x v="2"/>
  </r>
  <r>
    <x v="20"/>
    <x v="337"/>
    <x v="9"/>
    <x v="9"/>
    <x v="1"/>
    <x v="0"/>
    <x v="33"/>
    <x v="424"/>
    <x v="759"/>
    <x v="0"/>
    <x v="20"/>
    <x v="2"/>
  </r>
  <r>
    <x v="20"/>
    <x v="303"/>
    <x v="9"/>
    <x v="9"/>
    <x v="1"/>
    <x v="0"/>
    <x v="33"/>
    <x v="327"/>
    <x v="146"/>
    <x v="0"/>
    <x v="20"/>
    <x v="2"/>
  </r>
  <r>
    <x v="20"/>
    <x v="197"/>
    <x v="9"/>
    <x v="9"/>
    <x v="1"/>
    <x v="0"/>
    <x v="33"/>
    <x v="432"/>
    <x v="146"/>
    <x v="0"/>
    <x v="20"/>
    <x v="2"/>
  </r>
  <r>
    <x v="20"/>
    <x v="242"/>
    <x v="9"/>
    <x v="9"/>
    <x v="1"/>
    <x v="0"/>
    <x v="33"/>
    <x v="435"/>
    <x v="759"/>
    <x v="0"/>
    <x v="20"/>
    <x v="2"/>
  </r>
  <r>
    <x v="20"/>
    <x v="286"/>
    <x v="10"/>
    <x v="10"/>
    <x v="1"/>
    <x v="0"/>
    <x v="33"/>
    <x v="297"/>
    <x v="759"/>
    <x v="0"/>
    <x v="20"/>
    <x v="2"/>
  </r>
  <r>
    <x v="20"/>
    <x v="244"/>
    <x v="10"/>
    <x v="10"/>
    <x v="1"/>
    <x v="0"/>
    <x v="33"/>
    <x v="433"/>
    <x v="1182"/>
    <x v="0"/>
    <x v="20"/>
    <x v="2"/>
  </r>
  <r>
    <x v="20"/>
    <x v="187"/>
    <x v="11"/>
    <x v="11"/>
    <x v="1"/>
    <x v="0"/>
    <x v="33"/>
    <x v="328"/>
    <x v="952"/>
    <x v="0"/>
    <x v="20"/>
    <x v="2"/>
  </r>
  <r>
    <x v="20"/>
    <x v="299"/>
    <x v="11"/>
    <x v="11"/>
    <x v="1"/>
    <x v="0"/>
    <x v="33"/>
    <x v="315"/>
    <x v="874"/>
    <x v="0"/>
    <x v="20"/>
    <x v="2"/>
  </r>
  <r>
    <x v="20"/>
    <x v="202"/>
    <x v="11"/>
    <x v="11"/>
    <x v="1"/>
    <x v="0"/>
    <x v="33"/>
    <x v="305"/>
    <x v="146"/>
    <x v="0"/>
    <x v="20"/>
    <x v="2"/>
  </r>
  <r>
    <x v="20"/>
    <x v="300"/>
    <x v="2"/>
    <x v="2"/>
    <x v="1"/>
    <x v="0"/>
    <x v="33"/>
    <x v="316"/>
    <x v="765"/>
    <x v="0"/>
    <x v="20"/>
    <x v="2"/>
  </r>
  <r>
    <x v="20"/>
    <x v="222"/>
    <x v="2"/>
    <x v="2"/>
    <x v="1"/>
    <x v="0"/>
    <x v="33"/>
    <x v="384"/>
    <x v="759"/>
    <x v="0"/>
    <x v="20"/>
    <x v="2"/>
  </r>
  <r>
    <x v="20"/>
    <x v="216"/>
    <x v="2"/>
    <x v="2"/>
    <x v="1"/>
    <x v="0"/>
    <x v="33"/>
    <x v="332"/>
    <x v="874"/>
    <x v="0"/>
    <x v="20"/>
    <x v="2"/>
  </r>
  <r>
    <x v="20"/>
    <x v="257"/>
    <x v="2"/>
    <x v="2"/>
    <x v="1"/>
    <x v="0"/>
    <x v="33"/>
    <x v="410"/>
    <x v="146"/>
    <x v="0"/>
    <x v="20"/>
    <x v="2"/>
  </r>
  <r>
    <x v="20"/>
    <x v="276"/>
    <x v="2"/>
    <x v="2"/>
    <x v="1"/>
    <x v="0"/>
    <x v="33"/>
    <x v="385"/>
    <x v="759"/>
    <x v="0"/>
    <x v="20"/>
    <x v="2"/>
  </r>
  <r>
    <x v="20"/>
    <x v="304"/>
    <x v="2"/>
    <x v="2"/>
    <x v="1"/>
    <x v="0"/>
    <x v="33"/>
    <x v="329"/>
    <x v="759"/>
    <x v="0"/>
    <x v="20"/>
    <x v="2"/>
  </r>
  <r>
    <x v="20"/>
    <x v="265"/>
    <x v="6"/>
    <x v="6"/>
    <x v="1"/>
    <x v="0"/>
    <x v="33"/>
    <x v="386"/>
    <x v="874"/>
    <x v="0"/>
    <x v="20"/>
    <x v="2"/>
  </r>
  <r>
    <x v="20"/>
    <x v="184"/>
    <x v="6"/>
    <x v="6"/>
    <x v="1"/>
    <x v="0"/>
    <x v="33"/>
    <x v="413"/>
    <x v="874"/>
    <x v="0"/>
    <x v="20"/>
    <x v="2"/>
  </r>
  <r>
    <x v="20"/>
    <x v="314"/>
    <x v="6"/>
    <x v="6"/>
    <x v="1"/>
    <x v="0"/>
    <x v="33"/>
    <x v="372"/>
    <x v="759"/>
    <x v="0"/>
    <x v="20"/>
    <x v="2"/>
  </r>
  <r>
    <x v="20"/>
    <x v="297"/>
    <x v="6"/>
    <x v="6"/>
    <x v="1"/>
    <x v="0"/>
    <x v="33"/>
    <x v="313"/>
    <x v="146"/>
    <x v="0"/>
    <x v="20"/>
    <x v="2"/>
  </r>
  <r>
    <x v="20"/>
    <x v="271"/>
    <x v="6"/>
    <x v="6"/>
    <x v="1"/>
    <x v="0"/>
    <x v="33"/>
    <x v="426"/>
    <x v="146"/>
    <x v="0"/>
    <x v="20"/>
    <x v="2"/>
  </r>
  <r>
    <x v="20"/>
    <x v="286"/>
    <x v="10"/>
    <x v="10"/>
    <x v="1"/>
    <x v="1"/>
    <x v="33"/>
    <x v="297"/>
    <x v="874"/>
    <x v="0"/>
    <x v="20"/>
    <x v="2"/>
  </r>
  <r>
    <x v="20"/>
    <x v="268"/>
    <x v="10"/>
    <x v="10"/>
    <x v="1"/>
    <x v="1"/>
    <x v="33"/>
    <x v="339"/>
    <x v="874"/>
    <x v="0"/>
    <x v="20"/>
    <x v="2"/>
  </r>
  <r>
    <x v="20"/>
    <x v="181"/>
    <x v="11"/>
    <x v="11"/>
    <x v="1"/>
    <x v="1"/>
    <x v="33"/>
    <x v="362"/>
    <x v="874"/>
    <x v="0"/>
    <x v="20"/>
    <x v="2"/>
  </r>
  <r>
    <x v="20"/>
    <x v="300"/>
    <x v="2"/>
    <x v="2"/>
    <x v="1"/>
    <x v="1"/>
    <x v="33"/>
    <x v="316"/>
    <x v="874"/>
    <x v="0"/>
    <x v="20"/>
    <x v="2"/>
  </r>
  <r>
    <x v="20"/>
    <x v="222"/>
    <x v="2"/>
    <x v="2"/>
    <x v="1"/>
    <x v="1"/>
    <x v="33"/>
    <x v="384"/>
    <x v="874"/>
    <x v="0"/>
    <x v="20"/>
    <x v="2"/>
  </r>
  <r>
    <x v="20"/>
    <x v="304"/>
    <x v="2"/>
    <x v="2"/>
    <x v="1"/>
    <x v="1"/>
    <x v="33"/>
    <x v="329"/>
    <x v="874"/>
    <x v="0"/>
    <x v="20"/>
    <x v="2"/>
  </r>
  <r>
    <x v="21"/>
    <x v="248"/>
    <x v="10"/>
    <x v="10"/>
    <x v="1"/>
    <x v="2"/>
    <x v="33"/>
    <x v="304"/>
    <x v="874"/>
    <x v="0"/>
    <x v="21"/>
    <x v="2"/>
  </r>
  <r>
    <x v="21"/>
    <x v="269"/>
    <x v="11"/>
    <x v="11"/>
    <x v="1"/>
    <x v="2"/>
    <x v="33"/>
    <x v="403"/>
    <x v="874"/>
    <x v="0"/>
    <x v="21"/>
    <x v="2"/>
  </r>
  <r>
    <x v="21"/>
    <x v="288"/>
    <x v="7"/>
    <x v="7"/>
    <x v="1"/>
    <x v="0"/>
    <x v="33"/>
    <x v="439"/>
    <x v="899"/>
    <x v="0"/>
    <x v="21"/>
    <x v="2"/>
  </r>
  <r>
    <x v="21"/>
    <x v="332"/>
    <x v="7"/>
    <x v="7"/>
    <x v="1"/>
    <x v="0"/>
    <x v="33"/>
    <x v="397"/>
    <x v="952"/>
    <x v="0"/>
    <x v="21"/>
    <x v="2"/>
  </r>
  <r>
    <x v="21"/>
    <x v="192"/>
    <x v="8"/>
    <x v="8"/>
    <x v="1"/>
    <x v="0"/>
    <x v="33"/>
    <x v="300"/>
    <x v="982"/>
    <x v="0"/>
    <x v="21"/>
    <x v="2"/>
  </r>
  <r>
    <x v="21"/>
    <x v="196"/>
    <x v="8"/>
    <x v="8"/>
    <x v="1"/>
    <x v="0"/>
    <x v="33"/>
    <x v="375"/>
    <x v="1182"/>
    <x v="0"/>
    <x v="21"/>
    <x v="2"/>
  </r>
  <r>
    <x v="21"/>
    <x v="303"/>
    <x v="9"/>
    <x v="9"/>
    <x v="1"/>
    <x v="0"/>
    <x v="33"/>
    <x v="327"/>
    <x v="952"/>
    <x v="0"/>
    <x v="21"/>
    <x v="2"/>
  </r>
  <r>
    <x v="21"/>
    <x v="293"/>
    <x v="9"/>
    <x v="9"/>
    <x v="1"/>
    <x v="0"/>
    <x v="33"/>
    <x v="337"/>
    <x v="759"/>
    <x v="0"/>
    <x v="21"/>
    <x v="2"/>
  </r>
  <r>
    <x v="21"/>
    <x v="197"/>
    <x v="9"/>
    <x v="9"/>
    <x v="1"/>
    <x v="0"/>
    <x v="33"/>
    <x v="432"/>
    <x v="934"/>
    <x v="0"/>
    <x v="21"/>
    <x v="2"/>
  </r>
  <r>
    <x v="21"/>
    <x v="263"/>
    <x v="10"/>
    <x v="10"/>
    <x v="1"/>
    <x v="0"/>
    <x v="33"/>
    <x v="436"/>
    <x v="1132"/>
    <x v="0"/>
    <x v="21"/>
    <x v="2"/>
  </r>
  <r>
    <x v="21"/>
    <x v="233"/>
    <x v="10"/>
    <x v="10"/>
    <x v="1"/>
    <x v="0"/>
    <x v="33"/>
    <x v="344"/>
    <x v="801"/>
    <x v="0"/>
    <x v="21"/>
    <x v="2"/>
  </r>
  <r>
    <x v="21"/>
    <x v="325"/>
    <x v="11"/>
    <x v="11"/>
    <x v="1"/>
    <x v="0"/>
    <x v="33"/>
    <x v="421"/>
    <x v="952"/>
    <x v="0"/>
    <x v="21"/>
    <x v="2"/>
  </r>
  <r>
    <x v="21"/>
    <x v="299"/>
    <x v="11"/>
    <x v="11"/>
    <x v="1"/>
    <x v="0"/>
    <x v="33"/>
    <x v="315"/>
    <x v="146"/>
    <x v="0"/>
    <x v="21"/>
    <x v="2"/>
  </r>
  <r>
    <x v="21"/>
    <x v="202"/>
    <x v="11"/>
    <x v="11"/>
    <x v="1"/>
    <x v="0"/>
    <x v="33"/>
    <x v="305"/>
    <x v="859"/>
    <x v="0"/>
    <x v="21"/>
    <x v="2"/>
  </r>
  <r>
    <x v="21"/>
    <x v="275"/>
    <x v="11"/>
    <x v="11"/>
    <x v="1"/>
    <x v="0"/>
    <x v="33"/>
    <x v="307"/>
    <x v="874"/>
    <x v="0"/>
    <x v="21"/>
    <x v="2"/>
  </r>
  <r>
    <x v="21"/>
    <x v="215"/>
    <x v="2"/>
    <x v="2"/>
    <x v="1"/>
    <x v="0"/>
    <x v="33"/>
    <x v="322"/>
    <x v="801"/>
    <x v="0"/>
    <x v="21"/>
    <x v="2"/>
  </r>
  <r>
    <x v="21"/>
    <x v="183"/>
    <x v="2"/>
    <x v="2"/>
    <x v="1"/>
    <x v="0"/>
    <x v="33"/>
    <x v="330"/>
    <x v="952"/>
    <x v="0"/>
    <x v="21"/>
    <x v="2"/>
  </r>
  <r>
    <x v="21"/>
    <x v="281"/>
    <x v="6"/>
    <x v="6"/>
    <x v="1"/>
    <x v="0"/>
    <x v="33"/>
    <x v="395"/>
    <x v="146"/>
    <x v="0"/>
    <x v="21"/>
    <x v="2"/>
  </r>
  <r>
    <x v="21"/>
    <x v="265"/>
    <x v="6"/>
    <x v="6"/>
    <x v="1"/>
    <x v="0"/>
    <x v="33"/>
    <x v="386"/>
    <x v="146"/>
    <x v="0"/>
    <x v="21"/>
    <x v="2"/>
  </r>
  <r>
    <x v="21"/>
    <x v="314"/>
    <x v="6"/>
    <x v="6"/>
    <x v="1"/>
    <x v="0"/>
    <x v="33"/>
    <x v="372"/>
    <x v="874"/>
    <x v="0"/>
    <x v="21"/>
    <x v="2"/>
  </r>
  <r>
    <x v="21"/>
    <x v="188"/>
    <x v="6"/>
    <x v="6"/>
    <x v="1"/>
    <x v="0"/>
    <x v="33"/>
    <x v="407"/>
    <x v="934"/>
    <x v="0"/>
    <x v="21"/>
    <x v="2"/>
  </r>
  <r>
    <x v="21"/>
    <x v="218"/>
    <x v="6"/>
    <x v="6"/>
    <x v="1"/>
    <x v="0"/>
    <x v="33"/>
    <x v="451"/>
    <x v="874"/>
    <x v="0"/>
    <x v="21"/>
    <x v="2"/>
  </r>
  <r>
    <x v="21"/>
    <x v="259"/>
    <x v="7"/>
    <x v="7"/>
    <x v="1"/>
    <x v="1"/>
    <x v="33"/>
    <x v="355"/>
    <x v="759"/>
    <x v="0"/>
    <x v="21"/>
    <x v="2"/>
  </r>
  <r>
    <x v="21"/>
    <x v="197"/>
    <x v="9"/>
    <x v="9"/>
    <x v="1"/>
    <x v="1"/>
    <x v="33"/>
    <x v="432"/>
    <x v="874"/>
    <x v="0"/>
    <x v="21"/>
    <x v="2"/>
  </r>
  <r>
    <x v="21"/>
    <x v="269"/>
    <x v="11"/>
    <x v="11"/>
    <x v="1"/>
    <x v="1"/>
    <x v="33"/>
    <x v="403"/>
    <x v="759"/>
    <x v="0"/>
    <x v="21"/>
    <x v="2"/>
  </r>
  <r>
    <x v="21"/>
    <x v="273"/>
    <x v="11"/>
    <x v="11"/>
    <x v="1"/>
    <x v="1"/>
    <x v="33"/>
    <x v="354"/>
    <x v="874"/>
    <x v="0"/>
    <x v="21"/>
    <x v="2"/>
  </r>
  <r>
    <x v="21"/>
    <x v="314"/>
    <x v="6"/>
    <x v="6"/>
    <x v="1"/>
    <x v="1"/>
    <x v="33"/>
    <x v="372"/>
    <x v="765"/>
    <x v="0"/>
    <x v="21"/>
    <x v="2"/>
  </r>
  <r>
    <x v="24"/>
    <x v="230"/>
    <x v="9"/>
    <x v="9"/>
    <x v="1"/>
    <x v="2"/>
    <x v="33"/>
    <x v="283"/>
    <x v="909"/>
    <x v="0"/>
    <x v="24"/>
    <x v="2"/>
  </r>
  <r>
    <x v="24"/>
    <x v="264"/>
    <x v="6"/>
    <x v="6"/>
    <x v="1"/>
    <x v="2"/>
    <x v="33"/>
    <x v="311"/>
    <x v="874"/>
    <x v="0"/>
    <x v="24"/>
    <x v="2"/>
  </r>
  <r>
    <x v="24"/>
    <x v="217"/>
    <x v="6"/>
    <x v="6"/>
    <x v="1"/>
    <x v="2"/>
    <x v="33"/>
    <x v="323"/>
    <x v="874"/>
    <x v="0"/>
    <x v="24"/>
    <x v="2"/>
  </r>
  <r>
    <x v="24"/>
    <x v="258"/>
    <x v="7"/>
    <x v="7"/>
    <x v="1"/>
    <x v="0"/>
    <x v="33"/>
    <x v="349"/>
    <x v="934"/>
    <x v="0"/>
    <x v="24"/>
    <x v="2"/>
  </r>
  <r>
    <x v="24"/>
    <x v="179"/>
    <x v="7"/>
    <x v="7"/>
    <x v="1"/>
    <x v="0"/>
    <x v="33"/>
    <x v="415"/>
    <x v="146"/>
    <x v="0"/>
    <x v="24"/>
    <x v="2"/>
  </r>
  <r>
    <x v="24"/>
    <x v="259"/>
    <x v="7"/>
    <x v="7"/>
    <x v="1"/>
    <x v="0"/>
    <x v="33"/>
    <x v="355"/>
    <x v="874"/>
    <x v="0"/>
    <x v="24"/>
    <x v="2"/>
  </r>
  <r>
    <x v="24"/>
    <x v="225"/>
    <x v="7"/>
    <x v="7"/>
    <x v="1"/>
    <x v="0"/>
    <x v="33"/>
    <x v="416"/>
    <x v="146"/>
    <x v="0"/>
    <x v="24"/>
    <x v="2"/>
  </r>
  <r>
    <x v="24"/>
    <x v="205"/>
    <x v="7"/>
    <x v="7"/>
    <x v="1"/>
    <x v="0"/>
    <x v="33"/>
    <x v="299"/>
    <x v="874"/>
    <x v="0"/>
    <x v="24"/>
    <x v="2"/>
  </r>
  <r>
    <x v="24"/>
    <x v="206"/>
    <x v="7"/>
    <x v="7"/>
    <x v="1"/>
    <x v="0"/>
    <x v="33"/>
    <x v="284"/>
    <x v="765"/>
    <x v="0"/>
    <x v="24"/>
    <x v="2"/>
  </r>
  <r>
    <x v="24"/>
    <x v="332"/>
    <x v="7"/>
    <x v="7"/>
    <x v="1"/>
    <x v="0"/>
    <x v="33"/>
    <x v="397"/>
    <x v="146"/>
    <x v="0"/>
    <x v="24"/>
    <x v="2"/>
  </r>
  <r>
    <x v="24"/>
    <x v="251"/>
    <x v="8"/>
    <x v="8"/>
    <x v="1"/>
    <x v="0"/>
    <x v="33"/>
    <x v="291"/>
    <x v="146"/>
    <x v="0"/>
    <x v="24"/>
    <x v="2"/>
  </r>
  <r>
    <x v="24"/>
    <x v="247"/>
    <x v="8"/>
    <x v="8"/>
    <x v="1"/>
    <x v="0"/>
    <x v="64"/>
    <x v="289"/>
    <x v="874"/>
    <x v="0"/>
    <x v="24"/>
    <x v="2"/>
  </r>
  <r>
    <x v="24"/>
    <x v="247"/>
    <x v="8"/>
    <x v="8"/>
    <x v="1"/>
    <x v="0"/>
    <x v="33"/>
    <x v="289"/>
    <x v="146"/>
    <x v="0"/>
    <x v="24"/>
    <x v="2"/>
  </r>
  <r>
    <x v="24"/>
    <x v="254"/>
    <x v="8"/>
    <x v="8"/>
    <x v="1"/>
    <x v="0"/>
    <x v="33"/>
    <x v="326"/>
    <x v="759"/>
    <x v="0"/>
    <x v="24"/>
    <x v="2"/>
  </r>
  <r>
    <x v="24"/>
    <x v="320"/>
    <x v="8"/>
    <x v="8"/>
    <x v="1"/>
    <x v="0"/>
    <x v="33"/>
    <x v="398"/>
    <x v="874"/>
    <x v="0"/>
    <x v="24"/>
    <x v="2"/>
  </r>
  <r>
    <x v="24"/>
    <x v="323"/>
    <x v="8"/>
    <x v="8"/>
    <x v="1"/>
    <x v="0"/>
    <x v="33"/>
    <x v="367"/>
    <x v="759"/>
    <x v="0"/>
    <x v="24"/>
    <x v="2"/>
  </r>
  <r>
    <x v="24"/>
    <x v="245"/>
    <x v="8"/>
    <x v="8"/>
    <x v="1"/>
    <x v="0"/>
    <x v="33"/>
    <x v="285"/>
    <x v="759"/>
    <x v="0"/>
    <x v="24"/>
    <x v="2"/>
  </r>
  <r>
    <x v="24"/>
    <x v="226"/>
    <x v="8"/>
    <x v="8"/>
    <x v="1"/>
    <x v="0"/>
    <x v="33"/>
    <x v="376"/>
    <x v="759"/>
    <x v="0"/>
    <x v="24"/>
    <x v="2"/>
  </r>
  <r>
    <x v="24"/>
    <x v="208"/>
    <x v="8"/>
    <x v="8"/>
    <x v="1"/>
    <x v="0"/>
    <x v="33"/>
    <x v="377"/>
    <x v="759"/>
    <x v="0"/>
    <x v="24"/>
    <x v="2"/>
  </r>
  <r>
    <x v="24"/>
    <x v="337"/>
    <x v="9"/>
    <x v="9"/>
    <x v="1"/>
    <x v="0"/>
    <x v="33"/>
    <x v="424"/>
    <x v="146"/>
    <x v="0"/>
    <x v="24"/>
    <x v="2"/>
  </r>
  <r>
    <x v="24"/>
    <x v="303"/>
    <x v="9"/>
    <x v="9"/>
    <x v="1"/>
    <x v="0"/>
    <x v="33"/>
    <x v="327"/>
    <x v="146"/>
    <x v="0"/>
    <x v="24"/>
    <x v="2"/>
  </r>
  <r>
    <x v="24"/>
    <x v="194"/>
    <x v="9"/>
    <x v="9"/>
    <x v="1"/>
    <x v="0"/>
    <x v="33"/>
    <x v="390"/>
    <x v="874"/>
    <x v="0"/>
    <x v="24"/>
    <x v="2"/>
  </r>
  <r>
    <x v="24"/>
    <x v="197"/>
    <x v="9"/>
    <x v="9"/>
    <x v="1"/>
    <x v="0"/>
    <x v="33"/>
    <x v="432"/>
    <x v="874"/>
    <x v="0"/>
    <x v="24"/>
    <x v="2"/>
  </r>
  <r>
    <x v="24"/>
    <x v="211"/>
    <x v="9"/>
    <x v="9"/>
    <x v="1"/>
    <x v="0"/>
    <x v="33"/>
    <x v="286"/>
    <x v="874"/>
    <x v="0"/>
    <x v="24"/>
    <x v="2"/>
  </r>
  <r>
    <x v="24"/>
    <x v="262"/>
    <x v="9"/>
    <x v="9"/>
    <x v="1"/>
    <x v="0"/>
    <x v="33"/>
    <x v="368"/>
    <x v="759"/>
    <x v="0"/>
    <x v="24"/>
    <x v="2"/>
  </r>
  <r>
    <x v="24"/>
    <x v="219"/>
    <x v="9"/>
    <x v="9"/>
    <x v="1"/>
    <x v="0"/>
    <x v="33"/>
    <x v="308"/>
    <x v="874"/>
    <x v="0"/>
    <x v="24"/>
    <x v="2"/>
  </r>
  <r>
    <x v="24"/>
    <x v="263"/>
    <x v="10"/>
    <x v="10"/>
    <x v="1"/>
    <x v="0"/>
    <x v="33"/>
    <x v="436"/>
    <x v="899"/>
    <x v="0"/>
    <x v="24"/>
    <x v="2"/>
  </r>
  <r>
    <x v="24"/>
    <x v="310"/>
    <x v="10"/>
    <x v="10"/>
    <x v="1"/>
    <x v="0"/>
    <x v="33"/>
    <x v="335"/>
    <x v="146"/>
    <x v="0"/>
    <x v="24"/>
    <x v="2"/>
  </r>
  <r>
    <x v="24"/>
    <x v="231"/>
    <x v="10"/>
    <x v="10"/>
    <x v="1"/>
    <x v="0"/>
    <x v="33"/>
    <x v="402"/>
    <x v="874"/>
    <x v="0"/>
    <x v="24"/>
    <x v="2"/>
  </r>
  <r>
    <x v="24"/>
    <x v="232"/>
    <x v="10"/>
    <x v="10"/>
    <x v="1"/>
    <x v="0"/>
    <x v="33"/>
    <x v="290"/>
    <x v="874"/>
    <x v="0"/>
    <x v="24"/>
    <x v="2"/>
  </r>
  <r>
    <x v="24"/>
    <x v="186"/>
    <x v="10"/>
    <x v="10"/>
    <x v="1"/>
    <x v="0"/>
    <x v="33"/>
    <x v="321"/>
    <x v="759"/>
    <x v="0"/>
    <x v="24"/>
    <x v="2"/>
  </r>
  <r>
    <x v="24"/>
    <x v="329"/>
    <x v="10"/>
    <x v="10"/>
    <x v="1"/>
    <x v="0"/>
    <x v="33"/>
    <x v="380"/>
    <x v="146"/>
    <x v="0"/>
    <x v="24"/>
    <x v="2"/>
  </r>
  <r>
    <x v="24"/>
    <x v="199"/>
    <x v="10"/>
    <x v="10"/>
    <x v="1"/>
    <x v="0"/>
    <x v="33"/>
    <x v="298"/>
    <x v="146"/>
    <x v="0"/>
    <x v="24"/>
    <x v="2"/>
  </r>
  <r>
    <x v="24"/>
    <x v="189"/>
    <x v="10"/>
    <x v="10"/>
    <x v="1"/>
    <x v="0"/>
    <x v="33"/>
    <x v="345"/>
    <x v="874"/>
    <x v="0"/>
    <x v="24"/>
    <x v="2"/>
  </r>
  <r>
    <x v="24"/>
    <x v="200"/>
    <x v="11"/>
    <x v="11"/>
    <x v="1"/>
    <x v="0"/>
    <x v="33"/>
    <x v="351"/>
    <x v="759"/>
    <x v="0"/>
    <x v="24"/>
    <x v="2"/>
  </r>
  <r>
    <x v="24"/>
    <x v="325"/>
    <x v="11"/>
    <x v="11"/>
    <x v="1"/>
    <x v="0"/>
    <x v="33"/>
    <x v="421"/>
    <x v="874"/>
    <x v="0"/>
    <x v="24"/>
    <x v="2"/>
  </r>
  <r>
    <x v="24"/>
    <x v="282"/>
    <x v="11"/>
    <x v="11"/>
    <x v="1"/>
    <x v="0"/>
    <x v="33"/>
    <x v="358"/>
    <x v="899"/>
    <x v="0"/>
    <x v="24"/>
    <x v="2"/>
  </r>
  <r>
    <x v="24"/>
    <x v="187"/>
    <x v="11"/>
    <x v="11"/>
    <x v="1"/>
    <x v="0"/>
    <x v="33"/>
    <x v="328"/>
    <x v="874"/>
    <x v="0"/>
    <x v="24"/>
    <x v="2"/>
  </r>
  <r>
    <x v="24"/>
    <x v="201"/>
    <x v="11"/>
    <x v="11"/>
    <x v="1"/>
    <x v="0"/>
    <x v="33"/>
    <x v="422"/>
    <x v="874"/>
    <x v="0"/>
    <x v="24"/>
    <x v="2"/>
  </r>
  <r>
    <x v="24"/>
    <x v="299"/>
    <x v="11"/>
    <x v="11"/>
    <x v="1"/>
    <x v="0"/>
    <x v="33"/>
    <x v="315"/>
    <x v="874"/>
    <x v="0"/>
    <x v="24"/>
    <x v="2"/>
  </r>
  <r>
    <x v="24"/>
    <x v="302"/>
    <x v="11"/>
    <x v="11"/>
    <x v="1"/>
    <x v="0"/>
    <x v="33"/>
    <x v="324"/>
    <x v="146"/>
    <x v="0"/>
    <x v="24"/>
    <x v="2"/>
  </r>
  <r>
    <x v="24"/>
    <x v="202"/>
    <x v="11"/>
    <x v="11"/>
    <x v="1"/>
    <x v="0"/>
    <x v="33"/>
    <x v="305"/>
    <x v="874"/>
    <x v="0"/>
    <x v="24"/>
    <x v="2"/>
  </r>
  <r>
    <x v="24"/>
    <x v="311"/>
    <x v="11"/>
    <x v="11"/>
    <x v="1"/>
    <x v="0"/>
    <x v="33"/>
    <x v="440"/>
    <x v="759"/>
    <x v="0"/>
    <x v="24"/>
    <x v="2"/>
  </r>
  <r>
    <x v="24"/>
    <x v="330"/>
    <x v="11"/>
    <x v="11"/>
    <x v="1"/>
    <x v="0"/>
    <x v="33"/>
    <x v="381"/>
    <x v="874"/>
    <x v="0"/>
    <x v="24"/>
    <x v="2"/>
  </r>
  <r>
    <x v="24"/>
    <x v="275"/>
    <x v="11"/>
    <x v="11"/>
    <x v="1"/>
    <x v="0"/>
    <x v="33"/>
    <x v="307"/>
    <x v="874"/>
    <x v="0"/>
    <x v="24"/>
    <x v="2"/>
  </r>
  <r>
    <x v="24"/>
    <x v="223"/>
    <x v="2"/>
    <x v="2"/>
    <x v="1"/>
    <x v="0"/>
    <x v="33"/>
    <x v="434"/>
    <x v="952"/>
    <x v="0"/>
    <x v="24"/>
    <x v="2"/>
  </r>
  <r>
    <x v="24"/>
    <x v="276"/>
    <x v="2"/>
    <x v="2"/>
    <x v="1"/>
    <x v="0"/>
    <x v="33"/>
    <x v="385"/>
    <x v="759"/>
    <x v="0"/>
    <x v="24"/>
    <x v="2"/>
  </r>
  <r>
    <x v="24"/>
    <x v="183"/>
    <x v="2"/>
    <x v="2"/>
    <x v="1"/>
    <x v="0"/>
    <x v="33"/>
    <x v="330"/>
    <x v="759"/>
    <x v="0"/>
    <x v="24"/>
    <x v="2"/>
  </r>
  <r>
    <x v="24"/>
    <x v="235"/>
    <x v="2"/>
    <x v="2"/>
    <x v="1"/>
    <x v="0"/>
    <x v="33"/>
    <x v="393"/>
    <x v="874"/>
    <x v="0"/>
    <x v="24"/>
    <x v="2"/>
  </r>
  <r>
    <x v="24"/>
    <x v="281"/>
    <x v="6"/>
    <x v="6"/>
    <x v="1"/>
    <x v="0"/>
    <x v="33"/>
    <x v="395"/>
    <x v="146"/>
    <x v="0"/>
    <x v="24"/>
    <x v="2"/>
  </r>
  <r>
    <x v="24"/>
    <x v="285"/>
    <x v="6"/>
    <x v="6"/>
    <x v="1"/>
    <x v="0"/>
    <x v="33"/>
    <x v="409"/>
    <x v="146"/>
    <x v="0"/>
    <x v="24"/>
    <x v="2"/>
  </r>
  <r>
    <x v="24"/>
    <x v="217"/>
    <x v="6"/>
    <x v="6"/>
    <x v="1"/>
    <x v="0"/>
    <x v="33"/>
    <x v="323"/>
    <x v="874"/>
    <x v="0"/>
    <x v="24"/>
    <x v="2"/>
  </r>
  <r>
    <x v="24"/>
    <x v="305"/>
    <x v="6"/>
    <x v="6"/>
    <x v="1"/>
    <x v="0"/>
    <x v="33"/>
    <x v="331"/>
    <x v="759"/>
    <x v="0"/>
    <x v="24"/>
    <x v="2"/>
  </r>
  <r>
    <x v="24"/>
    <x v="314"/>
    <x v="6"/>
    <x v="6"/>
    <x v="1"/>
    <x v="0"/>
    <x v="33"/>
    <x v="372"/>
    <x v="759"/>
    <x v="0"/>
    <x v="24"/>
    <x v="2"/>
  </r>
  <r>
    <x v="24"/>
    <x v="296"/>
    <x v="6"/>
    <x v="6"/>
    <x v="1"/>
    <x v="0"/>
    <x v="33"/>
    <x v="312"/>
    <x v="874"/>
    <x v="0"/>
    <x v="24"/>
    <x v="2"/>
  </r>
  <r>
    <x v="24"/>
    <x v="204"/>
    <x v="6"/>
    <x v="6"/>
    <x v="1"/>
    <x v="0"/>
    <x v="33"/>
    <x v="317"/>
    <x v="765"/>
    <x v="0"/>
    <x v="24"/>
    <x v="2"/>
  </r>
  <r>
    <x v="24"/>
    <x v="297"/>
    <x v="6"/>
    <x v="6"/>
    <x v="1"/>
    <x v="0"/>
    <x v="33"/>
    <x v="313"/>
    <x v="759"/>
    <x v="0"/>
    <x v="24"/>
    <x v="2"/>
  </r>
  <r>
    <x v="24"/>
    <x v="218"/>
    <x v="6"/>
    <x v="6"/>
    <x v="1"/>
    <x v="0"/>
    <x v="33"/>
    <x v="451"/>
    <x v="759"/>
    <x v="0"/>
    <x v="24"/>
    <x v="2"/>
  </r>
  <r>
    <x v="24"/>
    <x v="271"/>
    <x v="6"/>
    <x v="6"/>
    <x v="1"/>
    <x v="0"/>
    <x v="33"/>
    <x v="426"/>
    <x v="874"/>
    <x v="0"/>
    <x v="24"/>
    <x v="2"/>
  </r>
  <r>
    <x v="24"/>
    <x v="174"/>
    <x v="6"/>
    <x v="6"/>
    <x v="1"/>
    <x v="0"/>
    <x v="33"/>
    <x v="282"/>
    <x v="874"/>
    <x v="0"/>
    <x v="24"/>
    <x v="2"/>
  </r>
  <r>
    <x v="24"/>
    <x v="229"/>
    <x v="6"/>
    <x v="6"/>
    <x v="1"/>
    <x v="0"/>
    <x v="33"/>
    <x v="281"/>
    <x v="874"/>
    <x v="0"/>
    <x v="24"/>
    <x v="2"/>
  </r>
  <r>
    <x v="24"/>
    <x v="245"/>
    <x v="8"/>
    <x v="8"/>
    <x v="1"/>
    <x v="1"/>
    <x v="33"/>
    <x v="285"/>
    <x v="874"/>
    <x v="0"/>
    <x v="24"/>
    <x v="2"/>
  </r>
  <r>
    <x v="25"/>
    <x v="310"/>
    <x v="10"/>
    <x v="10"/>
    <x v="1"/>
    <x v="2"/>
    <x v="32"/>
    <x v="335"/>
    <x v="3095"/>
    <x v="0"/>
    <x v="25"/>
    <x v="2"/>
  </r>
  <r>
    <x v="25"/>
    <x v="315"/>
    <x v="2"/>
    <x v="2"/>
    <x v="1"/>
    <x v="2"/>
    <x v="32"/>
    <x v="405"/>
    <x v="3096"/>
    <x v="0"/>
    <x v="25"/>
    <x v="2"/>
  </r>
  <r>
    <x v="26"/>
    <x v="175"/>
    <x v="9"/>
    <x v="9"/>
    <x v="1"/>
    <x v="2"/>
    <x v="32"/>
    <x v="389"/>
    <x v="3097"/>
    <x v="0"/>
    <x v="26"/>
    <x v="2"/>
  </r>
  <r>
    <x v="26"/>
    <x v="243"/>
    <x v="10"/>
    <x v="10"/>
    <x v="1"/>
    <x v="2"/>
    <x v="32"/>
    <x v="411"/>
    <x v="1331"/>
    <x v="0"/>
    <x v="26"/>
    <x v="2"/>
  </r>
  <r>
    <x v="26"/>
    <x v="189"/>
    <x v="10"/>
    <x v="10"/>
    <x v="1"/>
    <x v="0"/>
    <x v="33"/>
    <x v="345"/>
    <x v="874"/>
    <x v="0"/>
    <x v="26"/>
    <x v="2"/>
  </r>
  <r>
    <x v="27"/>
    <x v="205"/>
    <x v="7"/>
    <x v="7"/>
    <x v="1"/>
    <x v="0"/>
    <x v="33"/>
    <x v="299"/>
    <x v="874"/>
    <x v="0"/>
    <x v="27"/>
    <x v="2"/>
  </r>
  <r>
    <x v="27"/>
    <x v="251"/>
    <x v="8"/>
    <x v="8"/>
    <x v="1"/>
    <x v="0"/>
    <x v="33"/>
    <x v="291"/>
    <x v="874"/>
    <x v="0"/>
    <x v="27"/>
    <x v="2"/>
  </r>
  <r>
    <x v="27"/>
    <x v="245"/>
    <x v="8"/>
    <x v="8"/>
    <x v="1"/>
    <x v="0"/>
    <x v="33"/>
    <x v="285"/>
    <x v="874"/>
    <x v="0"/>
    <x v="27"/>
    <x v="2"/>
  </r>
  <r>
    <x v="27"/>
    <x v="338"/>
    <x v="9"/>
    <x v="9"/>
    <x v="1"/>
    <x v="0"/>
    <x v="33"/>
    <x v="425"/>
    <x v="874"/>
    <x v="0"/>
    <x v="27"/>
    <x v="2"/>
  </r>
  <r>
    <x v="27"/>
    <x v="233"/>
    <x v="10"/>
    <x v="10"/>
    <x v="1"/>
    <x v="0"/>
    <x v="33"/>
    <x v="344"/>
    <x v="874"/>
    <x v="0"/>
    <x v="27"/>
    <x v="2"/>
  </r>
  <r>
    <x v="28"/>
    <x v="306"/>
    <x v="9"/>
    <x v="9"/>
    <x v="1"/>
    <x v="2"/>
    <x v="32"/>
    <x v="336"/>
    <x v="2872"/>
    <x v="0"/>
    <x v="28"/>
    <x v="2"/>
  </r>
  <r>
    <x v="28"/>
    <x v="274"/>
    <x v="11"/>
    <x v="11"/>
    <x v="1"/>
    <x v="2"/>
    <x v="32"/>
    <x v="404"/>
    <x v="3098"/>
    <x v="0"/>
    <x v="28"/>
    <x v="2"/>
  </r>
  <r>
    <x v="73"/>
    <x v="238"/>
    <x v="9"/>
    <x v="9"/>
    <x v="1"/>
    <x v="2"/>
    <x v="32"/>
    <x v="379"/>
    <x v="1046"/>
    <x v="0"/>
    <x v="73"/>
    <x v="2"/>
  </r>
  <r>
    <x v="73"/>
    <x v="177"/>
    <x v="11"/>
    <x v="11"/>
    <x v="1"/>
    <x v="2"/>
    <x v="32"/>
    <x v="346"/>
    <x v="1046"/>
    <x v="0"/>
    <x v="73"/>
    <x v="2"/>
  </r>
  <r>
    <x v="73"/>
    <x v="183"/>
    <x v="2"/>
    <x v="2"/>
    <x v="1"/>
    <x v="2"/>
    <x v="32"/>
    <x v="330"/>
    <x v="858"/>
    <x v="0"/>
    <x v="73"/>
    <x v="2"/>
  </r>
  <r>
    <x v="29"/>
    <x v="238"/>
    <x v="9"/>
    <x v="9"/>
    <x v="1"/>
    <x v="2"/>
    <x v="32"/>
    <x v="379"/>
    <x v="3099"/>
    <x v="0"/>
    <x v="29"/>
    <x v="2"/>
  </r>
  <r>
    <x v="29"/>
    <x v="327"/>
    <x v="7"/>
    <x v="7"/>
    <x v="1"/>
    <x v="0"/>
    <x v="33"/>
    <x v="387"/>
    <x v="874"/>
    <x v="0"/>
    <x v="29"/>
    <x v="2"/>
  </r>
  <r>
    <x v="29"/>
    <x v="309"/>
    <x v="7"/>
    <x v="7"/>
    <x v="1"/>
    <x v="0"/>
    <x v="33"/>
    <x v="334"/>
    <x v="765"/>
    <x v="0"/>
    <x v="29"/>
    <x v="2"/>
  </r>
  <r>
    <x v="29"/>
    <x v="254"/>
    <x v="8"/>
    <x v="8"/>
    <x v="1"/>
    <x v="0"/>
    <x v="33"/>
    <x v="326"/>
    <x v="759"/>
    <x v="0"/>
    <x v="29"/>
    <x v="2"/>
  </r>
  <r>
    <x v="29"/>
    <x v="195"/>
    <x v="8"/>
    <x v="8"/>
    <x v="1"/>
    <x v="0"/>
    <x v="33"/>
    <x v="373"/>
    <x v="874"/>
    <x v="0"/>
    <x v="29"/>
    <x v="2"/>
  </r>
  <r>
    <x v="29"/>
    <x v="219"/>
    <x v="9"/>
    <x v="9"/>
    <x v="1"/>
    <x v="0"/>
    <x v="33"/>
    <x v="308"/>
    <x v="874"/>
    <x v="0"/>
    <x v="29"/>
    <x v="2"/>
  </r>
  <r>
    <x v="29"/>
    <x v="268"/>
    <x v="10"/>
    <x v="10"/>
    <x v="1"/>
    <x v="0"/>
    <x v="33"/>
    <x v="339"/>
    <x v="874"/>
    <x v="0"/>
    <x v="29"/>
    <x v="2"/>
  </r>
  <r>
    <x v="29"/>
    <x v="248"/>
    <x v="10"/>
    <x v="10"/>
    <x v="1"/>
    <x v="0"/>
    <x v="33"/>
    <x v="304"/>
    <x v="874"/>
    <x v="0"/>
    <x v="29"/>
    <x v="2"/>
  </r>
  <r>
    <x v="29"/>
    <x v="187"/>
    <x v="11"/>
    <x v="11"/>
    <x v="1"/>
    <x v="0"/>
    <x v="33"/>
    <x v="328"/>
    <x v="759"/>
    <x v="0"/>
    <x v="29"/>
    <x v="2"/>
  </r>
  <r>
    <x v="29"/>
    <x v="249"/>
    <x v="11"/>
    <x v="11"/>
    <x v="1"/>
    <x v="0"/>
    <x v="33"/>
    <x v="359"/>
    <x v="874"/>
    <x v="0"/>
    <x v="29"/>
    <x v="2"/>
  </r>
  <r>
    <x v="29"/>
    <x v="315"/>
    <x v="2"/>
    <x v="2"/>
    <x v="1"/>
    <x v="0"/>
    <x v="33"/>
    <x v="405"/>
    <x v="874"/>
    <x v="0"/>
    <x v="29"/>
    <x v="2"/>
  </r>
  <r>
    <x v="29"/>
    <x v="223"/>
    <x v="2"/>
    <x v="2"/>
    <x v="1"/>
    <x v="0"/>
    <x v="33"/>
    <x v="434"/>
    <x v="874"/>
    <x v="0"/>
    <x v="29"/>
    <x v="2"/>
  </r>
  <r>
    <x v="29"/>
    <x v="276"/>
    <x v="2"/>
    <x v="2"/>
    <x v="1"/>
    <x v="0"/>
    <x v="33"/>
    <x v="385"/>
    <x v="874"/>
    <x v="0"/>
    <x v="29"/>
    <x v="2"/>
  </r>
  <r>
    <x v="29"/>
    <x v="281"/>
    <x v="6"/>
    <x v="6"/>
    <x v="1"/>
    <x v="0"/>
    <x v="33"/>
    <x v="395"/>
    <x v="874"/>
    <x v="0"/>
    <x v="29"/>
    <x v="2"/>
  </r>
  <r>
    <x v="29"/>
    <x v="183"/>
    <x v="2"/>
    <x v="2"/>
    <x v="1"/>
    <x v="1"/>
    <x v="33"/>
    <x v="330"/>
    <x v="874"/>
    <x v="0"/>
    <x v="29"/>
    <x v="2"/>
  </r>
  <r>
    <x v="30"/>
    <x v="277"/>
    <x v="7"/>
    <x v="7"/>
    <x v="1"/>
    <x v="2"/>
    <x v="32"/>
    <x v="325"/>
    <x v="3100"/>
    <x v="0"/>
    <x v="30"/>
    <x v="2"/>
  </r>
  <r>
    <x v="30"/>
    <x v="261"/>
    <x v="8"/>
    <x v="8"/>
    <x v="1"/>
    <x v="2"/>
    <x v="33"/>
    <x v="320"/>
    <x v="759"/>
    <x v="0"/>
    <x v="30"/>
    <x v="2"/>
  </r>
  <r>
    <x v="30"/>
    <x v="194"/>
    <x v="9"/>
    <x v="9"/>
    <x v="1"/>
    <x v="2"/>
    <x v="32"/>
    <x v="390"/>
    <x v="3018"/>
    <x v="0"/>
    <x v="30"/>
    <x v="2"/>
  </r>
  <r>
    <x v="30"/>
    <x v="310"/>
    <x v="10"/>
    <x v="10"/>
    <x v="1"/>
    <x v="2"/>
    <x v="32"/>
    <x v="335"/>
    <x v="3101"/>
    <x v="0"/>
    <x v="30"/>
    <x v="2"/>
  </r>
  <r>
    <x v="30"/>
    <x v="199"/>
    <x v="10"/>
    <x v="10"/>
    <x v="1"/>
    <x v="2"/>
    <x v="33"/>
    <x v="298"/>
    <x v="874"/>
    <x v="0"/>
    <x v="30"/>
    <x v="2"/>
  </r>
  <r>
    <x v="30"/>
    <x v="200"/>
    <x v="11"/>
    <x v="11"/>
    <x v="1"/>
    <x v="2"/>
    <x v="32"/>
    <x v="351"/>
    <x v="3102"/>
    <x v="0"/>
    <x v="30"/>
    <x v="2"/>
  </r>
  <r>
    <x v="30"/>
    <x v="182"/>
    <x v="2"/>
    <x v="2"/>
    <x v="1"/>
    <x v="2"/>
    <x v="33"/>
    <x v="392"/>
    <x v="874"/>
    <x v="0"/>
    <x v="30"/>
    <x v="2"/>
  </r>
  <r>
    <x v="30"/>
    <x v="217"/>
    <x v="6"/>
    <x v="6"/>
    <x v="1"/>
    <x v="2"/>
    <x v="32"/>
    <x v="323"/>
    <x v="3101"/>
    <x v="0"/>
    <x v="30"/>
    <x v="2"/>
  </r>
  <r>
    <x v="30"/>
    <x v="265"/>
    <x v="6"/>
    <x v="6"/>
    <x v="1"/>
    <x v="2"/>
    <x v="33"/>
    <x v="386"/>
    <x v="874"/>
    <x v="0"/>
    <x v="30"/>
    <x v="2"/>
  </r>
  <r>
    <x v="30"/>
    <x v="308"/>
    <x v="7"/>
    <x v="7"/>
    <x v="1"/>
    <x v="0"/>
    <x v="33"/>
    <x v="333"/>
    <x v="874"/>
    <x v="0"/>
    <x v="30"/>
    <x v="2"/>
  </r>
  <r>
    <x v="30"/>
    <x v="327"/>
    <x v="7"/>
    <x v="7"/>
    <x v="1"/>
    <x v="0"/>
    <x v="33"/>
    <x v="387"/>
    <x v="765"/>
    <x v="0"/>
    <x v="30"/>
    <x v="2"/>
  </r>
  <r>
    <x v="30"/>
    <x v="209"/>
    <x v="7"/>
    <x v="7"/>
    <x v="1"/>
    <x v="0"/>
    <x v="33"/>
    <x v="428"/>
    <x v="759"/>
    <x v="0"/>
    <x v="30"/>
    <x v="2"/>
  </r>
  <r>
    <x v="30"/>
    <x v="251"/>
    <x v="8"/>
    <x v="8"/>
    <x v="1"/>
    <x v="0"/>
    <x v="33"/>
    <x v="291"/>
    <x v="899"/>
    <x v="0"/>
    <x v="30"/>
    <x v="2"/>
  </r>
  <r>
    <x v="30"/>
    <x v="192"/>
    <x v="8"/>
    <x v="8"/>
    <x v="1"/>
    <x v="0"/>
    <x v="33"/>
    <x v="300"/>
    <x v="759"/>
    <x v="0"/>
    <x v="30"/>
    <x v="2"/>
  </r>
  <r>
    <x v="30"/>
    <x v="254"/>
    <x v="8"/>
    <x v="8"/>
    <x v="1"/>
    <x v="0"/>
    <x v="33"/>
    <x v="326"/>
    <x v="874"/>
    <x v="0"/>
    <x v="30"/>
    <x v="2"/>
  </r>
  <r>
    <x v="30"/>
    <x v="245"/>
    <x v="8"/>
    <x v="8"/>
    <x v="1"/>
    <x v="0"/>
    <x v="33"/>
    <x v="285"/>
    <x v="765"/>
    <x v="0"/>
    <x v="30"/>
    <x v="2"/>
  </r>
  <r>
    <x v="30"/>
    <x v="226"/>
    <x v="8"/>
    <x v="8"/>
    <x v="1"/>
    <x v="0"/>
    <x v="33"/>
    <x v="376"/>
    <x v="874"/>
    <x v="0"/>
    <x v="30"/>
    <x v="2"/>
  </r>
  <r>
    <x v="30"/>
    <x v="337"/>
    <x v="9"/>
    <x v="9"/>
    <x v="1"/>
    <x v="0"/>
    <x v="33"/>
    <x v="424"/>
    <x v="759"/>
    <x v="0"/>
    <x v="30"/>
    <x v="2"/>
  </r>
  <r>
    <x v="30"/>
    <x v="303"/>
    <x v="9"/>
    <x v="9"/>
    <x v="1"/>
    <x v="0"/>
    <x v="33"/>
    <x v="327"/>
    <x v="759"/>
    <x v="0"/>
    <x v="30"/>
    <x v="2"/>
  </r>
  <r>
    <x v="30"/>
    <x v="197"/>
    <x v="9"/>
    <x v="9"/>
    <x v="1"/>
    <x v="0"/>
    <x v="33"/>
    <x v="432"/>
    <x v="146"/>
    <x v="0"/>
    <x v="30"/>
    <x v="2"/>
  </r>
  <r>
    <x v="30"/>
    <x v="331"/>
    <x v="9"/>
    <x v="9"/>
    <x v="1"/>
    <x v="0"/>
    <x v="33"/>
    <x v="391"/>
    <x v="874"/>
    <x v="0"/>
    <x v="30"/>
    <x v="2"/>
  </r>
  <r>
    <x v="30"/>
    <x v="230"/>
    <x v="9"/>
    <x v="9"/>
    <x v="1"/>
    <x v="0"/>
    <x v="33"/>
    <x v="283"/>
    <x v="874"/>
    <x v="0"/>
    <x v="30"/>
    <x v="2"/>
  </r>
  <r>
    <x v="30"/>
    <x v="198"/>
    <x v="10"/>
    <x v="10"/>
    <x v="1"/>
    <x v="0"/>
    <x v="33"/>
    <x v="338"/>
    <x v="874"/>
    <x v="0"/>
    <x v="30"/>
    <x v="2"/>
  </r>
  <r>
    <x v="30"/>
    <x v="317"/>
    <x v="10"/>
    <x v="10"/>
    <x v="1"/>
    <x v="0"/>
    <x v="33"/>
    <x v="401"/>
    <x v="759"/>
    <x v="0"/>
    <x v="30"/>
    <x v="2"/>
  </r>
  <r>
    <x v="30"/>
    <x v="243"/>
    <x v="10"/>
    <x v="10"/>
    <x v="1"/>
    <x v="0"/>
    <x v="33"/>
    <x v="411"/>
    <x v="874"/>
    <x v="0"/>
    <x v="30"/>
    <x v="2"/>
  </r>
  <r>
    <x v="30"/>
    <x v="186"/>
    <x v="10"/>
    <x v="10"/>
    <x v="1"/>
    <x v="0"/>
    <x v="33"/>
    <x v="321"/>
    <x v="874"/>
    <x v="0"/>
    <x v="30"/>
    <x v="2"/>
  </r>
  <r>
    <x v="30"/>
    <x v="339"/>
    <x v="10"/>
    <x v="10"/>
    <x v="1"/>
    <x v="0"/>
    <x v="33"/>
    <x v="427"/>
    <x v="874"/>
    <x v="0"/>
    <x v="30"/>
    <x v="2"/>
  </r>
  <r>
    <x v="30"/>
    <x v="248"/>
    <x v="10"/>
    <x v="10"/>
    <x v="1"/>
    <x v="0"/>
    <x v="33"/>
    <x v="304"/>
    <x v="874"/>
    <x v="0"/>
    <x v="30"/>
    <x v="2"/>
  </r>
  <r>
    <x v="30"/>
    <x v="189"/>
    <x v="10"/>
    <x v="10"/>
    <x v="1"/>
    <x v="0"/>
    <x v="33"/>
    <x v="345"/>
    <x v="146"/>
    <x v="0"/>
    <x v="30"/>
    <x v="2"/>
  </r>
  <r>
    <x v="30"/>
    <x v="269"/>
    <x v="11"/>
    <x v="11"/>
    <x v="1"/>
    <x v="0"/>
    <x v="33"/>
    <x v="403"/>
    <x v="874"/>
    <x v="0"/>
    <x v="30"/>
    <x v="2"/>
  </r>
  <r>
    <x v="30"/>
    <x v="325"/>
    <x v="11"/>
    <x v="11"/>
    <x v="1"/>
    <x v="0"/>
    <x v="33"/>
    <x v="421"/>
    <x v="759"/>
    <x v="0"/>
    <x v="30"/>
    <x v="2"/>
  </r>
  <r>
    <x v="30"/>
    <x v="282"/>
    <x v="11"/>
    <x v="11"/>
    <x v="1"/>
    <x v="0"/>
    <x v="33"/>
    <x v="358"/>
    <x v="759"/>
    <x v="0"/>
    <x v="30"/>
    <x v="2"/>
  </r>
  <r>
    <x v="30"/>
    <x v="220"/>
    <x v="11"/>
    <x v="11"/>
    <x v="1"/>
    <x v="0"/>
    <x v="33"/>
    <x v="309"/>
    <x v="874"/>
    <x v="0"/>
    <x v="30"/>
    <x v="2"/>
  </r>
  <r>
    <x v="30"/>
    <x v="177"/>
    <x v="11"/>
    <x v="11"/>
    <x v="1"/>
    <x v="0"/>
    <x v="33"/>
    <x v="346"/>
    <x v="759"/>
    <x v="0"/>
    <x v="30"/>
    <x v="2"/>
  </r>
  <r>
    <x v="30"/>
    <x v="201"/>
    <x v="11"/>
    <x v="11"/>
    <x v="1"/>
    <x v="0"/>
    <x v="33"/>
    <x v="422"/>
    <x v="874"/>
    <x v="0"/>
    <x v="30"/>
    <x v="2"/>
  </r>
  <r>
    <x v="30"/>
    <x v="249"/>
    <x v="11"/>
    <x v="11"/>
    <x v="1"/>
    <x v="0"/>
    <x v="33"/>
    <x v="359"/>
    <x v="759"/>
    <x v="0"/>
    <x v="30"/>
    <x v="2"/>
  </r>
  <r>
    <x v="30"/>
    <x v="302"/>
    <x v="11"/>
    <x v="11"/>
    <x v="1"/>
    <x v="0"/>
    <x v="33"/>
    <x v="324"/>
    <x v="934"/>
    <x v="0"/>
    <x v="30"/>
    <x v="2"/>
  </r>
  <r>
    <x v="30"/>
    <x v="311"/>
    <x v="11"/>
    <x v="11"/>
    <x v="1"/>
    <x v="0"/>
    <x v="33"/>
    <x v="440"/>
    <x v="874"/>
    <x v="0"/>
    <x v="30"/>
    <x v="2"/>
  </r>
  <r>
    <x v="30"/>
    <x v="330"/>
    <x v="11"/>
    <x v="11"/>
    <x v="1"/>
    <x v="0"/>
    <x v="33"/>
    <x v="381"/>
    <x v="874"/>
    <x v="0"/>
    <x v="30"/>
    <x v="2"/>
  </r>
  <r>
    <x v="30"/>
    <x v="214"/>
    <x v="11"/>
    <x v="11"/>
    <x v="1"/>
    <x v="0"/>
    <x v="33"/>
    <x v="306"/>
    <x v="759"/>
    <x v="0"/>
    <x v="30"/>
    <x v="2"/>
  </r>
  <r>
    <x v="30"/>
    <x v="300"/>
    <x v="2"/>
    <x v="2"/>
    <x v="1"/>
    <x v="0"/>
    <x v="33"/>
    <x v="316"/>
    <x v="759"/>
    <x v="0"/>
    <x v="30"/>
    <x v="2"/>
  </r>
  <r>
    <x v="30"/>
    <x v="315"/>
    <x v="2"/>
    <x v="2"/>
    <x v="1"/>
    <x v="0"/>
    <x v="33"/>
    <x v="405"/>
    <x v="146"/>
    <x v="0"/>
    <x v="30"/>
    <x v="2"/>
  </r>
  <r>
    <x v="30"/>
    <x v="215"/>
    <x v="2"/>
    <x v="2"/>
    <x v="1"/>
    <x v="0"/>
    <x v="33"/>
    <x v="322"/>
    <x v="759"/>
    <x v="0"/>
    <x v="30"/>
    <x v="2"/>
  </r>
  <r>
    <x v="30"/>
    <x v="334"/>
    <x v="2"/>
    <x v="2"/>
    <x v="1"/>
    <x v="0"/>
    <x v="33"/>
    <x v="406"/>
    <x v="874"/>
    <x v="0"/>
    <x v="30"/>
    <x v="2"/>
  </r>
  <r>
    <x v="30"/>
    <x v="284"/>
    <x v="2"/>
    <x v="2"/>
    <x v="1"/>
    <x v="0"/>
    <x v="33"/>
    <x v="383"/>
    <x v="874"/>
    <x v="0"/>
    <x v="30"/>
    <x v="2"/>
  </r>
  <r>
    <x v="30"/>
    <x v="216"/>
    <x v="2"/>
    <x v="2"/>
    <x v="1"/>
    <x v="0"/>
    <x v="33"/>
    <x v="332"/>
    <x v="759"/>
    <x v="0"/>
    <x v="30"/>
    <x v="2"/>
  </r>
  <r>
    <x v="30"/>
    <x v="257"/>
    <x v="2"/>
    <x v="2"/>
    <x v="1"/>
    <x v="0"/>
    <x v="33"/>
    <x v="410"/>
    <x v="874"/>
    <x v="0"/>
    <x v="30"/>
    <x v="2"/>
  </r>
  <r>
    <x v="30"/>
    <x v="223"/>
    <x v="2"/>
    <x v="2"/>
    <x v="1"/>
    <x v="0"/>
    <x v="33"/>
    <x v="434"/>
    <x v="759"/>
    <x v="0"/>
    <x v="30"/>
    <x v="2"/>
  </r>
  <r>
    <x v="30"/>
    <x v="316"/>
    <x v="2"/>
    <x v="2"/>
    <x v="1"/>
    <x v="0"/>
    <x v="33"/>
    <x v="348"/>
    <x v="874"/>
    <x v="0"/>
    <x v="30"/>
    <x v="2"/>
  </r>
  <r>
    <x v="30"/>
    <x v="276"/>
    <x v="2"/>
    <x v="2"/>
    <x v="1"/>
    <x v="0"/>
    <x v="33"/>
    <x v="385"/>
    <x v="759"/>
    <x v="0"/>
    <x v="30"/>
    <x v="2"/>
  </r>
  <r>
    <x v="30"/>
    <x v="304"/>
    <x v="2"/>
    <x v="2"/>
    <x v="1"/>
    <x v="0"/>
    <x v="33"/>
    <x v="329"/>
    <x v="759"/>
    <x v="0"/>
    <x v="30"/>
    <x v="2"/>
  </r>
  <r>
    <x v="30"/>
    <x v="183"/>
    <x v="2"/>
    <x v="2"/>
    <x v="1"/>
    <x v="0"/>
    <x v="33"/>
    <x v="330"/>
    <x v="759"/>
    <x v="0"/>
    <x v="30"/>
    <x v="2"/>
  </r>
  <r>
    <x v="30"/>
    <x v="217"/>
    <x v="6"/>
    <x v="6"/>
    <x v="1"/>
    <x v="0"/>
    <x v="33"/>
    <x v="323"/>
    <x v="765"/>
    <x v="0"/>
    <x v="30"/>
    <x v="2"/>
  </r>
  <r>
    <x v="30"/>
    <x v="305"/>
    <x v="6"/>
    <x v="6"/>
    <x v="1"/>
    <x v="0"/>
    <x v="33"/>
    <x v="331"/>
    <x v="874"/>
    <x v="0"/>
    <x v="30"/>
    <x v="2"/>
  </r>
  <r>
    <x v="30"/>
    <x v="203"/>
    <x v="6"/>
    <x v="6"/>
    <x v="1"/>
    <x v="0"/>
    <x v="33"/>
    <x v="288"/>
    <x v="759"/>
    <x v="0"/>
    <x v="30"/>
    <x v="2"/>
  </r>
  <r>
    <x v="30"/>
    <x v="297"/>
    <x v="6"/>
    <x v="6"/>
    <x v="1"/>
    <x v="0"/>
    <x v="33"/>
    <x v="313"/>
    <x v="874"/>
    <x v="0"/>
    <x v="30"/>
    <x v="2"/>
  </r>
  <r>
    <x v="30"/>
    <x v="236"/>
    <x v="6"/>
    <x v="6"/>
    <x v="1"/>
    <x v="0"/>
    <x v="33"/>
    <x v="371"/>
    <x v="146"/>
    <x v="0"/>
    <x v="30"/>
    <x v="2"/>
  </r>
  <r>
    <x v="30"/>
    <x v="188"/>
    <x v="6"/>
    <x v="6"/>
    <x v="1"/>
    <x v="0"/>
    <x v="33"/>
    <x v="407"/>
    <x v="874"/>
    <x v="0"/>
    <x v="30"/>
    <x v="2"/>
  </r>
  <r>
    <x v="30"/>
    <x v="313"/>
    <x v="6"/>
    <x v="6"/>
    <x v="1"/>
    <x v="0"/>
    <x v="33"/>
    <x v="341"/>
    <x v="874"/>
    <x v="0"/>
    <x v="30"/>
    <x v="2"/>
  </r>
  <r>
    <x v="30"/>
    <x v="218"/>
    <x v="6"/>
    <x v="6"/>
    <x v="1"/>
    <x v="0"/>
    <x v="33"/>
    <x v="451"/>
    <x v="874"/>
    <x v="0"/>
    <x v="30"/>
    <x v="2"/>
  </r>
  <r>
    <x v="30"/>
    <x v="271"/>
    <x v="6"/>
    <x v="6"/>
    <x v="1"/>
    <x v="0"/>
    <x v="33"/>
    <x v="426"/>
    <x v="874"/>
    <x v="0"/>
    <x v="30"/>
    <x v="2"/>
  </r>
  <r>
    <x v="30"/>
    <x v="229"/>
    <x v="6"/>
    <x v="6"/>
    <x v="1"/>
    <x v="0"/>
    <x v="33"/>
    <x v="281"/>
    <x v="759"/>
    <x v="0"/>
    <x v="30"/>
    <x v="2"/>
  </r>
  <r>
    <x v="30"/>
    <x v="191"/>
    <x v="6"/>
    <x v="6"/>
    <x v="1"/>
    <x v="0"/>
    <x v="33"/>
    <x v="318"/>
    <x v="874"/>
    <x v="0"/>
    <x v="30"/>
    <x v="2"/>
  </r>
  <r>
    <x v="30"/>
    <x v="209"/>
    <x v="7"/>
    <x v="7"/>
    <x v="1"/>
    <x v="1"/>
    <x v="33"/>
    <x v="428"/>
    <x v="874"/>
    <x v="0"/>
    <x v="30"/>
    <x v="2"/>
  </r>
  <r>
    <x v="30"/>
    <x v="251"/>
    <x v="8"/>
    <x v="8"/>
    <x v="1"/>
    <x v="1"/>
    <x v="33"/>
    <x v="291"/>
    <x v="874"/>
    <x v="0"/>
    <x v="30"/>
    <x v="2"/>
  </r>
  <r>
    <x v="30"/>
    <x v="194"/>
    <x v="9"/>
    <x v="9"/>
    <x v="1"/>
    <x v="1"/>
    <x v="33"/>
    <x v="390"/>
    <x v="874"/>
    <x v="0"/>
    <x v="30"/>
    <x v="2"/>
  </r>
  <r>
    <x v="30"/>
    <x v="230"/>
    <x v="9"/>
    <x v="9"/>
    <x v="1"/>
    <x v="1"/>
    <x v="33"/>
    <x v="283"/>
    <x v="874"/>
    <x v="0"/>
    <x v="30"/>
    <x v="2"/>
  </r>
  <r>
    <x v="30"/>
    <x v="263"/>
    <x v="10"/>
    <x v="10"/>
    <x v="1"/>
    <x v="1"/>
    <x v="33"/>
    <x v="436"/>
    <x v="874"/>
    <x v="0"/>
    <x v="30"/>
    <x v="2"/>
  </r>
  <r>
    <x v="30"/>
    <x v="189"/>
    <x v="10"/>
    <x v="10"/>
    <x v="1"/>
    <x v="1"/>
    <x v="33"/>
    <x v="345"/>
    <x v="146"/>
    <x v="0"/>
    <x v="30"/>
    <x v="2"/>
  </r>
  <r>
    <x v="30"/>
    <x v="181"/>
    <x v="11"/>
    <x v="11"/>
    <x v="1"/>
    <x v="1"/>
    <x v="33"/>
    <x v="362"/>
    <x v="874"/>
    <x v="0"/>
    <x v="30"/>
    <x v="2"/>
  </r>
  <r>
    <x v="30"/>
    <x v="265"/>
    <x v="6"/>
    <x v="6"/>
    <x v="1"/>
    <x v="1"/>
    <x v="33"/>
    <x v="386"/>
    <x v="765"/>
    <x v="0"/>
    <x v="30"/>
    <x v="2"/>
  </r>
  <r>
    <x v="30"/>
    <x v="184"/>
    <x v="6"/>
    <x v="6"/>
    <x v="1"/>
    <x v="1"/>
    <x v="33"/>
    <x v="413"/>
    <x v="146"/>
    <x v="0"/>
    <x v="30"/>
    <x v="2"/>
  </r>
  <r>
    <x v="30"/>
    <x v="296"/>
    <x v="6"/>
    <x v="6"/>
    <x v="1"/>
    <x v="1"/>
    <x v="33"/>
    <x v="312"/>
    <x v="146"/>
    <x v="0"/>
    <x v="30"/>
    <x v="2"/>
  </r>
  <r>
    <x v="30"/>
    <x v="203"/>
    <x v="6"/>
    <x v="6"/>
    <x v="1"/>
    <x v="1"/>
    <x v="33"/>
    <x v="288"/>
    <x v="874"/>
    <x v="0"/>
    <x v="30"/>
    <x v="2"/>
  </r>
  <r>
    <x v="30"/>
    <x v="204"/>
    <x v="6"/>
    <x v="6"/>
    <x v="1"/>
    <x v="1"/>
    <x v="33"/>
    <x v="317"/>
    <x v="874"/>
    <x v="0"/>
    <x v="30"/>
    <x v="2"/>
  </r>
  <r>
    <x v="30"/>
    <x v="229"/>
    <x v="6"/>
    <x v="6"/>
    <x v="1"/>
    <x v="1"/>
    <x v="33"/>
    <x v="281"/>
    <x v="759"/>
    <x v="0"/>
    <x v="30"/>
    <x v="2"/>
  </r>
  <r>
    <x v="31"/>
    <x v="242"/>
    <x v="9"/>
    <x v="9"/>
    <x v="1"/>
    <x v="2"/>
    <x v="32"/>
    <x v="435"/>
    <x v="3103"/>
    <x v="0"/>
    <x v="31"/>
    <x v="2"/>
  </r>
  <r>
    <x v="32"/>
    <x v="175"/>
    <x v="9"/>
    <x v="9"/>
    <x v="1"/>
    <x v="2"/>
    <x v="32"/>
    <x v="389"/>
    <x v="1331"/>
    <x v="0"/>
    <x v="32"/>
    <x v="2"/>
  </r>
  <r>
    <x v="33"/>
    <x v="179"/>
    <x v="7"/>
    <x v="7"/>
    <x v="1"/>
    <x v="2"/>
    <x v="32"/>
    <x v="415"/>
    <x v="3083"/>
    <x v="0"/>
    <x v="33"/>
    <x v="2"/>
  </r>
  <r>
    <x v="33"/>
    <x v="306"/>
    <x v="9"/>
    <x v="9"/>
    <x v="1"/>
    <x v="2"/>
    <x v="32"/>
    <x v="336"/>
    <x v="1755"/>
    <x v="0"/>
    <x v="33"/>
    <x v="2"/>
  </r>
  <r>
    <x v="34"/>
    <x v="327"/>
    <x v="7"/>
    <x v="7"/>
    <x v="1"/>
    <x v="0"/>
    <x v="33"/>
    <x v="387"/>
    <x v="874"/>
    <x v="0"/>
    <x v="34"/>
    <x v="2"/>
  </r>
  <r>
    <x v="34"/>
    <x v="278"/>
    <x v="7"/>
    <x v="7"/>
    <x v="1"/>
    <x v="0"/>
    <x v="33"/>
    <x v="450"/>
    <x v="874"/>
    <x v="0"/>
    <x v="34"/>
    <x v="2"/>
  </r>
  <r>
    <x v="34"/>
    <x v="258"/>
    <x v="7"/>
    <x v="7"/>
    <x v="1"/>
    <x v="0"/>
    <x v="33"/>
    <x v="349"/>
    <x v="874"/>
    <x v="0"/>
    <x v="34"/>
    <x v="2"/>
  </r>
  <r>
    <x v="34"/>
    <x v="206"/>
    <x v="7"/>
    <x v="7"/>
    <x v="1"/>
    <x v="0"/>
    <x v="33"/>
    <x v="284"/>
    <x v="759"/>
    <x v="0"/>
    <x v="34"/>
    <x v="2"/>
  </r>
  <r>
    <x v="34"/>
    <x v="192"/>
    <x v="8"/>
    <x v="8"/>
    <x v="1"/>
    <x v="0"/>
    <x v="33"/>
    <x v="300"/>
    <x v="874"/>
    <x v="0"/>
    <x v="34"/>
    <x v="2"/>
  </r>
  <r>
    <x v="34"/>
    <x v="292"/>
    <x v="9"/>
    <x v="9"/>
    <x v="1"/>
    <x v="0"/>
    <x v="33"/>
    <x v="352"/>
    <x v="146"/>
    <x v="0"/>
    <x v="34"/>
    <x v="2"/>
  </r>
  <r>
    <x v="34"/>
    <x v="197"/>
    <x v="9"/>
    <x v="9"/>
    <x v="1"/>
    <x v="0"/>
    <x v="33"/>
    <x v="432"/>
    <x v="759"/>
    <x v="0"/>
    <x v="34"/>
    <x v="2"/>
  </r>
  <r>
    <x v="34"/>
    <x v="338"/>
    <x v="9"/>
    <x v="9"/>
    <x v="1"/>
    <x v="0"/>
    <x v="33"/>
    <x v="425"/>
    <x v="759"/>
    <x v="0"/>
    <x v="34"/>
    <x v="2"/>
  </r>
  <r>
    <x v="34"/>
    <x v="219"/>
    <x v="9"/>
    <x v="9"/>
    <x v="1"/>
    <x v="0"/>
    <x v="33"/>
    <x v="308"/>
    <x v="874"/>
    <x v="0"/>
    <x v="34"/>
    <x v="2"/>
  </r>
  <r>
    <x v="34"/>
    <x v="331"/>
    <x v="9"/>
    <x v="9"/>
    <x v="1"/>
    <x v="0"/>
    <x v="33"/>
    <x v="391"/>
    <x v="759"/>
    <x v="0"/>
    <x v="34"/>
    <x v="2"/>
  </r>
  <r>
    <x v="34"/>
    <x v="268"/>
    <x v="10"/>
    <x v="10"/>
    <x v="1"/>
    <x v="0"/>
    <x v="33"/>
    <x v="339"/>
    <x v="874"/>
    <x v="0"/>
    <x v="34"/>
    <x v="2"/>
  </r>
  <r>
    <x v="34"/>
    <x v="248"/>
    <x v="10"/>
    <x v="10"/>
    <x v="1"/>
    <x v="0"/>
    <x v="33"/>
    <x v="304"/>
    <x v="759"/>
    <x v="0"/>
    <x v="34"/>
    <x v="2"/>
  </r>
  <r>
    <x v="34"/>
    <x v="282"/>
    <x v="11"/>
    <x v="11"/>
    <x v="1"/>
    <x v="0"/>
    <x v="33"/>
    <x v="358"/>
    <x v="765"/>
    <x v="0"/>
    <x v="34"/>
    <x v="2"/>
  </r>
  <r>
    <x v="34"/>
    <x v="272"/>
    <x v="11"/>
    <x v="11"/>
    <x v="1"/>
    <x v="0"/>
    <x v="33"/>
    <x v="360"/>
    <x v="874"/>
    <x v="0"/>
    <x v="34"/>
    <x v="2"/>
  </r>
  <r>
    <x v="34"/>
    <x v="302"/>
    <x v="11"/>
    <x v="11"/>
    <x v="1"/>
    <x v="0"/>
    <x v="33"/>
    <x v="324"/>
    <x v="874"/>
    <x v="0"/>
    <x v="34"/>
    <x v="2"/>
  </r>
  <r>
    <x v="34"/>
    <x v="181"/>
    <x v="11"/>
    <x v="11"/>
    <x v="1"/>
    <x v="0"/>
    <x v="33"/>
    <x v="362"/>
    <x v="874"/>
    <x v="0"/>
    <x v="34"/>
    <x v="2"/>
  </r>
  <r>
    <x v="34"/>
    <x v="316"/>
    <x v="2"/>
    <x v="2"/>
    <x v="1"/>
    <x v="0"/>
    <x v="33"/>
    <x v="348"/>
    <x v="874"/>
    <x v="0"/>
    <x v="34"/>
    <x v="2"/>
  </r>
  <r>
    <x v="34"/>
    <x v="281"/>
    <x v="6"/>
    <x v="6"/>
    <x v="1"/>
    <x v="0"/>
    <x v="33"/>
    <x v="395"/>
    <x v="874"/>
    <x v="0"/>
    <x v="34"/>
    <x v="2"/>
  </r>
  <r>
    <x v="34"/>
    <x v="203"/>
    <x v="6"/>
    <x v="6"/>
    <x v="1"/>
    <x v="0"/>
    <x v="33"/>
    <x v="288"/>
    <x v="874"/>
    <x v="0"/>
    <x v="34"/>
    <x v="2"/>
  </r>
  <r>
    <x v="34"/>
    <x v="204"/>
    <x v="6"/>
    <x v="6"/>
    <x v="1"/>
    <x v="0"/>
    <x v="33"/>
    <x v="317"/>
    <x v="759"/>
    <x v="0"/>
    <x v="34"/>
    <x v="2"/>
  </r>
  <r>
    <x v="34"/>
    <x v="190"/>
    <x v="6"/>
    <x v="6"/>
    <x v="1"/>
    <x v="0"/>
    <x v="33"/>
    <x v="342"/>
    <x v="874"/>
    <x v="0"/>
    <x v="34"/>
    <x v="2"/>
  </r>
  <r>
    <x v="34"/>
    <x v="173"/>
    <x v="8"/>
    <x v="8"/>
    <x v="1"/>
    <x v="1"/>
    <x v="33"/>
    <x v="378"/>
    <x v="874"/>
    <x v="0"/>
    <x v="34"/>
    <x v="2"/>
  </r>
  <r>
    <x v="34"/>
    <x v="185"/>
    <x v="8"/>
    <x v="8"/>
    <x v="1"/>
    <x v="1"/>
    <x v="33"/>
    <x v="296"/>
    <x v="874"/>
    <x v="0"/>
    <x v="34"/>
    <x v="2"/>
  </r>
  <r>
    <x v="34"/>
    <x v="290"/>
    <x v="9"/>
    <x v="9"/>
    <x v="1"/>
    <x v="1"/>
    <x v="33"/>
    <x v="302"/>
    <x v="874"/>
    <x v="0"/>
    <x v="34"/>
    <x v="2"/>
  </r>
  <r>
    <x v="34"/>
    <x v="268"/>
    <x v="10"/>
    <x v="10"/>
    <x v="1"/>
    <x v="1"/>
    <x v="33"/>
    <x v="339"/>
    <x v="874"/>
    <x v="0"/>
    <x v="34"/>
    <x v="2"/>
  </r>
  <r>
    <x v="34"/>
    <x v="232"/>
    <x v="10"/>
    <x v="10"/>
    <x v="1"/>
    <x v="1"/>
    <x v="33"/>
    <x v="290"/>
    <x v="874"/>
    <x v="0"/>
    <x v="34"/>
    <x v="2"/>
  </r>
  <r>
    <x v="34"/>
    <x v="330"/>
    <x v="11"/>
    <x v="11"/>
    <x v="1"/>
    <x v="1"/>
    <x v="33"/>
    <x v="381"/>
    <x v="874"/>
    <x v="0"/>
    <x v="34"/>
    <x v="2"/>
  </r>
  <r>
    <x v="34"/>
    <x v="275"/>
    <x v="11"/>
    <x v="11"/>
    <x v="1"/>
    <x v="1"/>
    <x v="33"/>
    <x v="307"/>
    <x v="874"/>
    <x v="0"/>
    <x v="34"/>
    <x v="2"/>
  </r>
  <r>
    <x v="34"/>
    <x v="300"/>
    <x v="2"/>
    <x v="2"/>
    <x v="1"/>
    <x v="1"/>
    <x v="33"/>
    <x v="316"/>
    <x v="874"/>
    <x v="0"/>
    <x v="34"/>
    <x v="2"/>
  </r>
  <r>
    <x v="34"/>
    <x v="315"/>
    <x v="2"/>
    <x v="2"/>
    <x v="1"/>
    <x v="1"/>
    <x v="33"/>
    <x v="405"/>
    <x v="874"/>
    <x v="0"/>
    <x v="34"/>
    <x v="2"/>
  </r>
  <r>
    <x v="34"/>
    <x v="334"/>
    <x v="2"/>
    <x v="2"/>
    <x v="1"/>
    <x v="1"/>
    <x v="33"/>
    <x v="406"/>
    <x v="874"/>
    <x v="0"/>
    <x v="34"/>
    <x v="2"/>
  </r>
  <r>
    <x v="34"/>
    <x v="221"/>
    <x v="2"/>
    <x v="2"/>
    <x v="1"/>
    <x v="1"/>
    <x v="33"/>
    <x v="347"/>
    <x v="874"/>
    <x v="0"/>
    <x v="34"/>
    <x v="2"/>
  </r>
  <r>
    <x v="34"/>
    <x v="316"/>
    <x v="2"/>
    <x v="2"/>
    <x v="1"/>
    <x v="1"/>
    <x v="33"/>
    <x v="348"/>
    <x v="874"/>
    <x v="0"/>
    <x v="34"/>
    <x v="2"/>
  </r>
  <r>
    <x v="35"/>
    <x v="329"/>
    <x v="10"/>
    <x v="10"/>
    <x v="1"/>
    <x v="2"/>
    <x v="32"/>
    <x v="380"/>
    <x v="1525"/>
    <x v="0"/>
    <x v="35"/>
    <x v="2"/>
  </r>
  <r>
    <x v="35"/>
    <x v="282"/>
    <x v="11"/>
    <x v="11"/>
    <x v="1"/>
    <x v="2"/>
    <x v="33"/>
    <x v="358"/>
    <x v="759"/>
    <x v="0"/>
    <x v="35"/>
    <x v="2"/>
  </r>
  <r>
    <x v="35"/>
    <x v="305"/>
    <x v="6"/>
    <x v="6"/>
    <x v="1"/>
    <x v="2"/>
    <x v="32"/>
    <x v="331"/>
    <x v="1"/>
    <x v="596"/>
    <x v="35"/>
    <x v="2"/>
  </r>
  <r>
    <x v="35"/>
    <x v="308"/>
    <x v="7"/>
    <x v="7"/>
    <x v="1"/>
    <x v="0"/>
    <x v="33"/>
    <x v="333"/>
    <x v="765"/>
    <x v="0"/>
    <x v="35"/>
    <x v="2"/>
  </r>
  <r>
    <x v="35"/>
    <x v="277"/>
    <x v="7"/>
    <x v="7"/>
    <x v="1"/>
    <x v="0"/>
    <x v="33"/>
    <x v="325"/>
    <x v="146"/>
    <x v="0"/>
    <x v="35"/>
    <x v="2"/>
  </r>
  <r>
    <x v="35"/>
    <x v="259"/>
    <x v="7"/>
    <x v="7"/>
    <x v="1"/>
    <x v="0"/>
    <x v="33"/>
    <x v="355"/>
    <x v="874"/>
    <x v="0"/>
    <x v="35"/>
    <x v="2"/>
  </r>
  <r>
    <x v="35"/>
    <x v="252"/>
    <x v="7"/>
    <x v="7"/>
    <x v="1"/>
    <x v="0"/>
    <x v="33"/>
    <x v="396"/>
    <x v="146"/>
    <x v="0"/>
    <x v="35"/>
    <x v="2"/>
  </r>
  <r>
    <x v="35"/>
    <x v="332"/>
    <x v="7"/>
    <x v="7"/>
    <x v="1"/>
    <x v="0"/>
    <x v="33"/>
    <x v="397"/>
    <x v="759"/>
    <x v="0"/>
    <x v="35"/>
    <x v="2"/>
  </r>
  <r>
    <x v="35"/>
    <x v="253"/>
    <x v="7"/>
    <x v="7"/>
    <x v="1"/>
    <x v="0"/>
    <x v="33"/>
    <x v="292"/>
    <x v="759"/>
    <x v="0"/>
    <x v="35"/>
    <x v="2"/>
  </r>
  <r>
    <x v="35"/>
    <x v="251"/>
    <x v="8"/>
    <x v="8"/>
    <x v="1"/>
    <x v="0"/>
    <x v="33"/>
    <x v="291"/>
    <x v="874"/>
    <x v="0"/>
    <x v="35"/>
    <x v="2"/>
  </r>
  <r>
    <x v="35"/>
    <x v="192"/>
    <x v="8"/>
    <x v="8"/>
    <x v="1"/>
    <x v="0"/>
    <x v="33"/>
    <x v="300"/>
    <x v="874"/>
    <x v="0"/>
    <x v="35"/>
    <x v="2"/>
  </r>
  <r>
    <x v="35"/>
    <x v="326"/>
    <x v="8"/>
    <x v="8"/>
    <x v="1"/>
    <x v="0"/>
    <x v="33"/>
    <x v="423"/>
    <x v="874"/>
    <x v="0"/>
    <x v="35"/>
    <x v="2"/>
  </r>
  <r>
    <x v="35"/>
    <x v="254"/>
    <x v="8"/>
    <x v="8"/>
    <x v="1"/>
    <x v="0"/>
    <x v="33"/>
    <x v="326"/>
    <x v="759"/>
    <x v="0"/>
    <x v="35"/>
    <x v="2"/>
  </r>
  <r>
    <x v="35"/>
    <x v="320"/>
    <x v="8"/>
    <x v="8"/>
    <x v="1"/>
    <x v="0"/>
    <x v="33"/>
    <x v="398"/>
    <x v="874"/>
    <x v="0"/>
    <x v="35"/>
    <x v="2"/>
  </r>
  <r>
    <x v="35"/>
    <x v="261"/>
    <x v="8"/>
    <x v="8"/>
    <x v="1"/>
    <x v="0"/>
    <x v="33"/>
    <x v="320"/>
    <x v="146"/>
    <x v="0"/>
    <x v="35"/>
    <x v="2"/>
  </r>
  <r>
    <x v="35"/>
    <x v="245"/>
    <x v="8"/>
    <x v="8"/>
    <x v="1"/>
    <x v="0"/>
    <x v="33"/>
    <x v="285"/>
    <x v="759"/>
    <x v="0"/>
    <x v="35"/>
    <x v="2"/>
  </r>
  <r>
    <x v="35"/>
    <x v="207"/>
    <x v="8"/>
    <x v="8"/>
    <x v="1"/>
    <x v="0"/>
    <x v="33"/>
    <x v="374"/>
    <x v="759"/>
    <x v="0"/>
    <x v="35"/>
    <x v="2"/>
  </r>
  <r>
    <x v="35"/>
    <x v="173"/>
    <x v="8"/>
    <x v="8"/>
    <x v="1"/>
    <x v="0"/>
    <x v="33"/>
    <x v="378"/>
    <x v="874"/>
    <x v="0"/>
    <x v="35"/>
    <x v="2"/>
  </r>
  <r>
    <x v="35"/>
    <x v="194"/>
    <x v="9"/>
    <x v="9"/>
    <x v="1"/>
    <x v="0"/>
    <x v="33"/>
    <x v="390"/>
    <x v="759"/>
    <x v="0"/>
    <x v="35"/>
    <x v="2"/>
  </r>
  <r>
    <x v="35"/>
    <x v="242"/>
    <x v="9"/>
    <x v="9"/>
    <x v="1"/>
    <x v="0"/>
    <x v="33"/>
    <x v="435"/>
    <x v="1182"/>
    <x v="0"/>
    <x v="35"/>
    <x v="2"/>
  </r>
  <r>
    <x v="35"/>
    <x v="219"/>
    <x v="9"/>
    <x v="9"/>
    <x v="1"/>
    <x v="0"/>
    <x v="33"/>
    <x v="308"/>
    <x v="874"/>
    <x v="0"/>
    <x v="35"/>
    <x v="2"/>
  </r>
  <r>
    <x v="35"/>
    <x v="255"/>
    <x v="9"/>
    <x v="9"/>
    <x v="1"/>
    <x v="0"/>
    <x v="33"/>
    <x v="293"/>
    <x v="874"/>
    <x v="0"/>
    <x v="35"/>
    <x v="2"/>
  </r>
  <r>
    <x v="35"/>
    <x v="317"/>
    <x v="10"/>
    <x v="10"/>
    <x v="1"/>
    <x v="0"/>
    <x v="33"/>
    <x v="401"/>
    <x v="874"/>
    <x v="0"/>
    <x v="35"/>
    <x v="2"/>
  </r>
  <r>
    <x v="35"/>
    <x v="180"/>
    <x v="10"/>
    <x v="10"/>
    <x v="1"/>
    <x v="0"/>
    <x v="33"/>
    <x v="452"/>
    <x v="759"/>
    <x v="0"/>
    <x v="35"/>
    <x v="2"/>
  </r>
  <r>
    <x v="35"/>
    <x v="186"/>
    <x v="10"/>
    <x v="10"/>
    <x v="1"/>
    <x v="0"/>
    <x v="33"/>
    <x v="321"/>
    <x v="759"/>
    <x v="0"/>
    <x v="35"/>
    <x v="2"/>
  </r>
  <r>
    <x v="35"/>
    <x v="339"/>
    <x v="10"/>
    <x v="10"/>
    <x v="1"/>
    <x v="0"/>
    <x v="33"/>
    <x v="427"/>
    <x v="759"/>
    <x v="0"/>
    <x v="35"/>
    <x v="2"/>
  </r>
  <r>
    <x v="35"/>
    <x v="248"/>
    <x v="10"/>
    <x v="10"/>
    <x v="1"/>
    <x v="0"/>
    <x v="33"/>
    <x v="304"/>
    <x v="874"/>
    <x v="0"/>
    <x v="35"/>
    <x v="2"/>
  </r>
  <r>
    <x v="35"/>
    <x v="176"/>
    <x v="10"/>
    <x v="10"/>
    <x v="1"/>
    <x v="0"/>
    <x v="33"/>
    <x v="412"/>
    <x v="759"/>
    <x v="0"/>
    <x v="35"/>
    <x v="2"/>
  </r>
  <r>
    <x v="35"/>
    <x v="282"/>
    <x v="11"/>
    <x v="11"/>
    <x v="1"/>
    <x v="0"/>
    <x v="33"/>
    <x v="358"/>
    <x v="934"/>
    <x v="0"/>
    <x v="35"/>
    <x v="2"/>
  </r>
  <r>
    <x v="35"/>
    <x v="187"/>
    <x v="11"/>
    <x v="11"/>
    <x v="1"/>
    <x v="0"/>
    <x v="33"/>
    <x v="328"/>
    <x v="759"/>
    <x v="0"/>
    <x v="35"/>
    <x v="2"/>
  </r>
  <r>
    <x v="35"/>
    <x v="177"/>
    <x v="11"/>
    <x v="11"/>
    <x v="1"/>
    <x v="0"/>
    <x v="33"/>
    <x v="346"/>
    <x v="759"/>
    <x v="0"/>
    <x v="35"/>
    <x v="2"/>
  </r>
  <r>
    <x v="35"/>
    <x v="249"/>
    <x v="11"/>
    <x v="11"/>
    <x v="1"/>
    <x v="0"/>
    <x v="33"/>
    <x v="359"/>
    <x v="759"/>
    <x v="0"/>
    <x v="35"/>
    <x v="2"/>
  </r>
  <r>
    <x v="35"/>
    <x v="299"/>
    <x v="11"/>
    <x v="11"/>
    <x v="1"/>
    <x v="0"/>
    <x v="33"/>
    <x v="315"/>
    <x v="759"/>
    <x v="0"/>
    <x v="35"/>
    <x v="2"/>
  </r>
  <r>
    <x v="35"/>
    <x v="302"/>
    <x v="11"/>
    <x v="11"/>
    <x v="1"/>
    <x v="0"/>
    <x v="33"/>
    <x v="324"/>
    <x v="146"/>
    <x v="0"/>
    <x v="35"/>
    <x v="2"/>
  </r>
  <r>
    <x v="35"/>
    <x v="311"/>
    <x v="11"/>
    <x v="11"/>
    <x v="1"/>
    <x v="0"/>
    <x v="33"/>
    <x v="440"/>
    <x v="759"/>
    <x v="0"/>
    <x v="35"/>
    <x v="2"/>
  </r>
  <r>
    <x v="35"/>
    <x v="330"/>
    <x v="11"/>
    <x v="11"/>
    <x v="1"/>
    <x v="0"/>
    <x v="33"/>
    <x v="381"/>
    <x v="874"/>
    <x v="0"/>
    <x v="35"/>
    <x v="2"/>
  </r>
  <r>
    <x v="35"/>
    <x v="294"/>
    <x v="11"/>
    <x v="11"/>
    <x v="1"/>
    <x v="0"/>
    <x v="33"/>
    <x v="382"/>
    <x v="146"/>
    <x v="0"/>
    <x v="35"/>
    <x v="2"/>
  </r>
  <r>
    <x v="35"/>
    <x v="315"/>
    <x v="2"/>
    <x v="2"/>
    <x v="1"/>
    <x v="0"/>
    <x v="33"/>
    <x v="405"/>
    <x v="146"/>
    <x v="0"/>
    <x v="35"/>
    <x v="2"/>
  </r>
  <r>
    <x v="35"/>
    <x v="221"/>
    <x v="2"/>
    <x v="2"/>
    <x v="1"/>
    <x v="0"/>
    <x v="33"/>
    <x v="347"/>
    <x v="759"/>
    <x v="0"/>
    <x v="35"/>
    <x v="2"/>
  </r>
  <r>
    <x v="35"/>
    <x v="307"/>
    <x v="2"/>
    <x v="2"/>
    <x v="1"/>
    <x v="0"/>
    <x v="33"/>
    <x v="441"/>
    <x v="874"/>
    <x v="0"/>
    <x v="35"/>
    <x v="2"/>
  </r>
  <r>
    <x v="35"/>
    <x v="216"/>
    <x v="2"/>
    <x v="2"/>
    <x v="1"/>
    <x v="0"/>
    <x v="33"/>
    <x v="332"/>
    <x v="146"/>
    <x v="0"/>
    <x v="35"/>
    <x v="2"/>
  </r>
  <r>
    <x v="35"/>
    <x v="223"/>
    <x v="2"/>
    <x v="2"/>
    <x v="1"/>
    <x v="0"/>
    <x v="33"/>
    <x v="434"/>
    <x v="759"/>
    <x v="0"/>
    <x v="35"/>
    <x v="2"/>
  </r>
  <r>
    <x v="35"/>
    <x v="316"/>
    <x v="2"/>
    <x v="2"/>
    <x v="1"/>
    <x v="0"/>
    <x v="33"/>
    <x v="348"/>
    <x v="759"/>
    <x v="0"/>
    <x v="35"/>
    <x v="2"/>
  </r>
  <r>
    <x v="35"/>
    <x v="235"/>
    <x v="2"/>
    <x v="2"/>
    <x v="1"/>
    <x v="0"/>
    <x v="33"/>
    <x v="393"/>
    <x v="146"/>
    <x v="0"/>
    <x v="35"/>
    <x v="2"/>
  </r>
  <r>
    <x v="35"/>
    <x v="246"/>
    <x v="2"/>
    <x v="2"/>
    <x v="1"/>
    <x v="0"/>
    <x v="33"/>
    <x v="287"/>
    <x v="759"/>
    <x v="0"/>
    <x v="35"/>
    <x v="2"/>
  </r>
  <r>
    <x v="35"/>
    <x v="281"/>
    <x v="6"/>
    <x v="6"/>
    <x v="1"/>
    <x v="0"/>
    <x v="33"/>
    <x v="395"/>
    <x v="146"/>
    <x v="0"/>
    <x v="35"/>
    <x v="2"/>
  </r>
  <r>
    <x v="35"/>
    <x v="217"/>
    <x v="6"/>
    <x v="6"/>
    <x v="1"/>
    <x v="0"/>
    <x v="33"/>
    <x v="323"/>
    <x v="759"/>
    <x v="0"/>
    <x v="35"/>
    <x v="2"/>
  </r>
  <r>
    <x v="35"/>
    <x v="305"/>
    <x v="6"/>
    <x v="6"/>
    <x v="1"/>
    <x v="0"/>
    <x v="33"/>
    <x v="331"/>
    <x v="759"/>
    <x v="0"/>
    <x v="35"/>
    <x v="2"/>
  </r>
  <r>
    <x v="35"/>
    <x v="314"/>
    <x v="6"/>
    <x v="6"/>
    <x v="1"/>
    <x v="0"/>
    <x v="33"/>
    <x v="372"/>
    <x v="874"/>
    <x v="0"/>
    <x v="35"/>
    <x v="2"/>
  </r>
  <r>
    <x v="35"/>
    <x v="204"/>
    <x v="6"/>
    <x v="6"/>
    <x v="1"/>
    <x v="0"/>
    <x v="33"/>
    <x v="317"/>
    <x v="759"/>
    <x v="0"/>
    <x v="35"/>
    <x v="2"/>
  </r>
  <r>
    <x v="35"/>
    <x v="297"/>
    <x v="6"/>
    <x v="6"/>
    <x v="1"/>
    <x v="0"/>
    <x v="33"/>
    <x v="313"/>
    <x v="874"/>
    <x v="0"/>
    <x v="35"/>
    <x v="2"/>
  </r>
  <r>
    <x v="35"/>
    <x v="218"/>
    <x v="6"/>
    <x v="6"/>
    <x v="1"/>
    <x v="0"/>
    <x v="33"/>
    <x v="451"/>
    <x v="874"/>
    <x v="0"/>
    <x v="35"/>
    <x v="2"/>
  </r>
  <r>
    <x v="35"/>
    <x v="271"/>
    <x v="6"/>
    <x v="6"/>
    <x v="1"/>
    <x v="0"/>
    <x v="33"/>
    <x v="426"/>
    <x v="146"/>
    <x v="0"/>
    <x v="35"/>
    <x v="2"/>
  </r>
  <r>
    <x v="35"/>
    <x v="179"/>
    <x v="7"/>
    <x v="7"/>
    <x v="1"/>
    <x v="1"/>
    <x v="33"/>
    <x v="415"/>
    <x v="874"/>
    <x v="0"/>
    <x v="35"/>
    <x v="2"/>
  </r>
  <r>
    <x v="35"/>
    <x v="269"/>
    <x v="11"/>
    <x v="11"/>
    <x v="1"/>
    <x v="1"/>
    <x v="33"/>
    <x v="403"/>
    <x v="874"/>
    <x v="0"/>
    <x v="35"/>
    <x v="2"/>
  </r>
  <r>
    <x v="36"/>
    <x v="173"/>
    <x v="8"/>
    <x v="8"/>
    <x v="1"/>
    <x v="2"/>
    <x v="33"/>
    <x v="378"/>
    <x v="874"/>
    <x v="0"/>
    <x v="36"/>
    <x v="2"/>
  </r>
  <r>
    <x v="36"/>
    <x v="242"/>
    <x v="9"/>
    <x v="9"/>
    <x v="1"/>
    <x v="2"/>
    <x v="33"/>
    <x v="435"/>
    <x v="874"/>
    <x v="0"/>
    <x v="36"/>
    <x v="2"/>
  </r>
  <r>
    <x v="36"/>
    <x v="213"/>
    <x v="11"/>
    <x v="11"/>
    <x v="1"/>
    <x v="2"/>
    <x v="33"/>
    <x v="361"/>
    <x v="874"/>
    <x v="0"/>
    <x v="36"/>
    <x v="2"/>
  </r>
  <r>
    <x v="36"/>
    <x v="229"/>
    <x v="6"/>
    <x v="6"/>
    <x v="1"/>
    <x v="2"/>
    <x v="32"/>
    <x v="281"/>
    <x v="3088"/>
    <x v="0"/>
    <x v="36"/>
    <x v="2"/>
  </r>
  <r>
    <x v="36"/>
    <x v="229"/>
    <x v="6"/>
    <x v="6"/>
    <x v="1"/>
    <x v="2"/>
    <x v="33"/>
    <x v="281"/>
    <x v="759"/>
    <x v="0"/>
    <x v="36"/>
    <x v="2"/>
  </r>
  <r>
    <x v="36"/>
    <x v="327"/>
    <x v="7"/>
    <x v="7"/>
    <x v="1"/>
    <x v="0"/>
    <x v="33"/>
    <x v="387"/>
    <x v="1132"/>
    <x v="0"/>
    <x v="36"/>
    <x v="2"/>
  </r>
  <r>
    <x v="36"/>
    <x v="259"/>
    <x v="7"/>
    <x v="7"/>
    <x v="1"/>
    <x v="0"/>
    <x v="33"/>
    <x v="355"/>
    <x v="874"/>
    <x v="0"/>
    <x v="36"/>
    <x v="2"/>
  </r>
  <r>
    <x v="36"/>
    <x v="309"/>
    <x v="7"/>
    <x v="7"/>
    <x v="1"/>
    <x v="0"/>
    <x v="33"/>
    <x v="334"/>
    <x v="146"/>
    <x v="0"/>
    <x v="36"/>
    <x v="2"/>
  </r>
  <r>
    <x v="36"/>
    <x v="205"/>
    <x v="7"/>
    <x v="7"/>
    <x v="1"/>
    <x v="0"/>
    <x v="33"/>
    <x v="299"/>
    <x v="759"/>
    <x v="0"/>
    <x v="36"/>
    <x v="2"/>
  </r>
  <r>
    <x v="36"/>
    <x v="206"/>
    <x v="7"/>
    <x v="7"/>
    <x v="1"/>
    <x v="0"/>
    <x v="33"/>
    <x v="284"/>
    <x v="874"/>
    <x v="0"/>
    <x v="36"/>
    <x v="2"/>
  </r>
  <r>
    <x v="36"/>
    <x v="209"/>
    <x v="7"/>
    <x v="7"/>
    <x v="1"/>
    <x v="0"/>
    <x v="33"/>
    <x v="428"/>
    <x v="874"/>
    <x v="0"/>
    <x v="36"/>
    <x v="2"/>
  </r>
  <r>
    <x v="36"/>
    <x v="210"/>
    <x v="7"/>
    <x v="7"/>
    <x v="1"/>
    <x v="0"/>
    <x v="33"/>
    <x v="418"/>
    <x v="874"/>
    <x v="0"/>
    <x v="36"/>
    <x v="2"/>
  </r>
  <r>
    <x v="36"/>
    <x v="251"/>
    <x v="8"/>
    <x v="8"/>
    <x v="1"/>
    <x v="0"/>
    <x v="33"/>
    <x v="291"/>
    <x v="759"/>
    <x v="0"/>
    <x v="36"/>
    <x v="2"/>
  </r>
  <r>
    <x v="36"/>
    <x v="192"/>
    <x v="8"/>
    <x v="8"/>
    <x v="1"/>
    <x v="0"/>
    <x v="33"/>
    <x v="300"/>
    <x v="146"/>
    <x v="0"/>
    <x v="36"/>
    <x v="2"/>
  </r>
  <r>
    <x v="36"/>
    <x v="289"/>
    <x v="8"/>
    <x v="8"/>
    <x v="1"/>
    <x v="0"/>
    <x v="33"/>
    <x v="301"/>
    <x v="759"/>
    <x v="0"/>
    <x v="36"/>
    <x v="2"/>
  </r>
  <r>
    <x v="36"/>
    <x v="245"/>
    <x v="8"/>
    <x v="8"/>
    <x v="1"/>
    <x v="0"/>
    <x v="33"/>
    <x v="285"/>
    <x v="765"/>
    <x v="0"/>
    <x v="36"/>
    <x v="2"/>
  </r>
  <r>
    <x v="36"/>
    <x v="173"/>
    <x v="8"/>
    <x v="8"/>
    <x v="1"/>
    <x v="0"/>
    <x v="33"/>
    <x v="378"/>
    <x v="146"/>
    <x v="0"/>
    <x v="36"/>
    <x v="2"/>
  </r>
  <r>
    <x v="36"/>
    <x v="337"/>
    <x v="9"/>
    <x v="9"/>
    <x v="1"/>
    <x v="0"/>
    <x v="33"/>
    <x v="424"/>
    <x v="146"/>
    <x v="0"/>
    <x v="36"/>
    <x v="2"/>
  </r>
  <r>
    <x v="36"/>
    <x v="227"/>
    <x v="9"/>
    <x v="9"/>
    <x v="1"/>
    <x v="0"/>
    <x v="33"/>
    <x v="399"/>
    <x v="1132"/>
    <x v="0"/>
    <x v="36"/>
    <x v="2"/>
  </r>
  <r>
    <x v="36"/>
    <x v="333"/>
    <x v="9"/>
    <x v="9"/>
    <x v="1"/>
    <x v="0"/>
    <x v="33"/>
    <x v="400"/>
    <x v="146"/>
    <x v="0"/>
    <x v="36"/>
    <x v="2"/>
  </r>
  <r>
    <x v="36"/>
    <x v="197"/>
    <x v="9"/>
    <x v="9"/>
    <x v="1"/>
    <x v="0"/>
    <x v="33"/>
    <x v="432"/>
    <x v="146"/>
    <x v="0"/>
    <x v="36"/>
    <x v="2"/>
  </r>
  <r>
    <x v="36"/>
    <x v="338"/>
    <x v="9"/>
    <x v="9"/>
    <x v="1"/>
    <x v="0"/>
    <x v="33"/>
    <x v="425"/>
    <x v="759"/>
    <x v="0"/>
    <x v="36"/>
    <x v="2"/>
  </r>
  <r>
    <x v="36"/>
    <x v="255"/>
    <x v="9"/>
    <x v="9"/>
    <x v="1"/>
    <x v="0"/>
    <x v="33"/>
    <x v="293"/>
    <x v="874"/>
    <x v="0"/>
    <x v="36"/>
    <x v="2"/>
  </r>
  <r>
    <x v="36"/>
    <x v="291"/>
    <x v="9"/>
    <x v="9"/>
    <x v="1"/>
    <x v="0"/>
    <x v="33"/>
    <x v="303"/>
    <x v="874"/>
    <x v="0"/>
    <x v="36"/>
    <x v="2"/>
  </r>
  <r>
    <x v="36"/>
    <x v="230"/>
    <x v="9"/>
    <x v="9"/>
    <x v="1"/>
    <x v="0"/>
    <x v="33"/>
    <x v="283"/>
    <x v="874"/>
    <x v="0"/>
    <x v="36"/>
    <x v="2"/>
  </r>
  <r>
    <x v="36"/>
    <x v="198"/>
    <x v="10"/>
    <x v="10"/>
    <x v="1"/>
    <x v="0"/>
    <x v="33"/>
    <x v="338"/>
    <x v="874"/>
    <x v="0"/>
    <x v="36"/>
    <x v="2"/>
  </r>
  <r>
    <x v="36"/>
    <x v="286"/>
    <x v="10"/>
    <x v="10"/>
    <x v="1"/>
    <x v="0"/>
    <x v="33"/>
    <x v="297"/>
    <x v="759"/>
    <x v="0"/>
    <x v="36"/>
    <x v="2"/>
  </r>
  <r>
    <x v="36"/>
    <x v="263"/>
    <x v="10"/>
    <x v="10"/>
    <x v="1"/>
    <x v="0"/>
    <x v="33"/>
    <x v="436"/>
    <x v="874"/>
    <x v="0"/>
    <x v="36"/>
    <x v="2"/>
  </r>
  <r>
    <x v="36"/>
    <x v="232"/>
    <x v="10"/>
    <x v="10"/>
    <x v="1"/>
    <x v="0"/>
    <x v="33"/>
    <x v="290"/>
    <x v="146"/>
    <x v="0"/>
    <x v="36"/>
    <x v="2"/>
  </r>
  <r>
    <x v="36"/>
    <x v="186"/>
    <x v="10"/>
    <x v="10"/>
    <x v="1"/>
    <x v="0"/>
    <x v="33"/>
    <x v="321"/>
    <x v="765"/>
    <x v="0"/>
    <x v="36"/>
    <x v="2"/>
  </r>
  <r>
    <x v="36"/>
    <x v="329"/>
    <x v="10"/>
    <x v="10"/>
    <x v="1"/>
    <x v="0"/>
    <x v="33"/>
    <x v="380"/>
    <x v="759"/>
    <x v="0"/>
    <x v="36"/>
    <x v="2"/>
  </r>
  <r>
    <x v="36"/>
    <x v="248"/>
    <x v="10"/>
    <x v="10"/>
    <x v="1"/>
    <x v="0"/>
    <x v="33"/>
    <x v="304"/>
    <x v="874"/>
    <x v="0"/>
    <x v="36"/>
    <x v="2"/>
  </r>
  <r>
    <x v="36"/>
    <x v="176"/>
    <x v="10"/>
    <x v="10"/>
    <x v="1"/>
    <x v="0"/>
    <x v="33"/>
    <x v="412"/>
    <x v="874"/>
    <x v="0"/>
    <x v="36"/>
    <x v="2"/>
  </r>
  <r>
    <x v="36"/>
    <x v="189"/>
    <x v="10"/>
    <x v="10"/>
    <x v="1"/>
    <x v="0"/>
    <x v="33"/>
    <x v="345"/>
    <x v="146"/>
    <x v="0"/>
    <x v="36"/>
    <x v="2"/>
  </r>
  <r>
    <x v="36"/>
    <x v="200"/>
    <x v="11"/>
    <x v="11"/>
    <x v="1"/>
    <x v="0"/>
    <x v="33"/>
    <x v="351"/>
    <x v="765"/>
    <x v="0"/>
    <x v="36"/>
    <x v="2"/>
  </r>
  <r>
    <x v="36"/>
    <x v="325"/>
    <x v="11"/>
    <x v="11"/>
    <x v="1"/>
    <x v="0"/>
    <x v="33"/>
    <x v="421"/>
    <x v="765"/>
    <x v="0"/>
    <x v="36"/>
    <x v="2"/>
  </r>
  <r>
    <x v="36"/>
    <x v="282"/>
    <x v="11"/>
    <x v="11"/>
    <x v="1"/>
    <x v="0"/>
    <x v="33"/>
    <x v="358"/>
    <x v="759"/>
    <x v="0"/>
    <x v="36"/>
    <x v="2"/>
  </r>
  <r>
    <x v="36"/>
    <x v="299"/>
    <x v="11"/>
    <x v="11"/>
    <x v="1"/>
    <x v="0"/>
    <x v="33"/>
    <x v="315"/>
    <x v="1182"/>
    <x v="0"/>
    <x v="36"/>
    <x v="2"/>
  </r>
  <r>
    <x v="36"/>
    <x v="302"/>
    <x v="11"/>
    <x v="11"/>
    <x v="1"/>
    <x v="0"/>
    <x v="33"/>
    <x v="324"/>
    <x v="765"/>
    <x v="0"/>
    <x v="36"/>
    <x v="2"/>
  </r>
  <r>
    <x v="36"/>
    <x v="300"/>
    <x v="2"/>
    <x v="2"/>
    <x v="1"/>
    <x v="0"/>
    <x v="33"/>
    <x v="316"/>
    <x v="934"/>
    <x v="0"/>
    <x v="36"/>
    <x v="2"/>
  </r>
  <r>
    <x v="36"/>
    <x v="315"/>
    <x v="2"/>
    <x v="2"/>
    <x v="1"/>
    <x v="0"/>
    <x v="33"/>
    <x v="405"/>
    <x v="146"/>
    <x v="0"/>
    <x v="36"/>
    <x v="2"/>
  </r>
  <r>
    <x v="36"/>
    <x v="270"/>
    <x v="2"/>
    <x v="2"/>
    <x v="1"/>
    <x v="0"/>
    <x v="33"/>
    <x v="363"/>
    <x v="874"/>
    <x v="0"/>
    <x v="36"/>
    <x v="2"/>
  </r>
  <r>
    <x v="36"/>
    <x v="240"/>
    <x v="2"/>
    <x v="2"/>
    <x v="1"/>
    <x v="0"/>
    <x v="33"/>
    <x v="442"/>
    <x v="146"/>
    <x v="0"/>
    <x v="36"/>
    <x v="2"/>
  </r>
  <r>
    <x v="36"/>
    <x v="223"/>
    <x v="2"/>
    <x v="2"/>
    <x v="1"/>
    <x v="0"/>
    <x v="33"/>
    <x v="434"/>
    <x v="874"/>
    <x v="0"/>
    <x v="36"/>
    <x v="2"/>
  </r>
  <r>
    <x v="36"/>
    <x v="316"/>
    <x v="2"/>
    <x v="2"/>
    <x v="1"/>
    <x v="0"/>
    <x v="33"/>
    <x v="348"/>
    <x v="874"/>
    <x v="0"/>
    <x v="36"/>
    <x v="2"/>
  </r>
  <r>
    <x v="36"/>
    <x v="276"/>
    <x v="2"/>
    <x v="2"/>
    <x v="1"/>
    <x v="0"/>
    <x v="33"/>
    <x v="385"/>
    <x v="874"/>
    <x v="0"/>
    <x v="36"/>
    <x v="2"/>
  </r>
  <r>
    <x v="36"/>
    <x v="304"/>
    <x v="2"/>
    <x v="2"/>
    <x v="1"/>
    <x v="0"/>
    <x v="33"/>
    <x v="329"/>
    <x v="874"/>
    <x v="0"/>
    <x v="36"/>
    <x v="2"/>
  </r>
  <r>
    <x v="36"/>
    <x v="264"/>
    <x v="6"/>
    <x v="6"/>
    <x v="1"/>
    <x v="0"/>
    <x v="33"/>
    <x v="311"/>
    <x v="765"/>
    <x v="0"/>
    <x v="36"/>
    <x v="2"/>
  </r>
  <r>
    <x v="36"/>
    <x v="265"/>
    <x v="6"/>
    <x v="6"/>
    <x v="1"/>
    <x v="0"/>
    <x v="33"/>
    <x v="386"/>
    <x v="765"/>
    <x v="0"/>
    <x v="36"/>
    <x v="2"/>
  </r>
  <r>
    <x v="36"/>
    <x v="296"/>
    <x v="6"/>
    <x v="6"/>
    <x v="1"/>
    <x v="0"/>
    <x v="33"/>
    <x v="312"/>
    <x v="874"/>
    <x v="0"/>
    <x v="36"/>
    <x v="2"/>
  </r>
  <r>
    <x v="36"/>
    <x v="203"/>
    <x v="6"/>
    <x v="6"/>
    <x v="1"/>
    <x v="0"/>
    <x v="33"/>
    <x v="288"/>
    <x v="146"/>
    <x v="0"/>
    <x v="36"/>
    <x v="2"/>
  </r>
  <r>
    <x v="36"/>
    <x v="204"/>
    <x v="6"/>
    <x v="6"/>
    <x v="1"/>
    <x v="0"/>
    <x v="33"/>
    <x v="317"/>
    <x v="765"/>
    <x v="0"/>
    <x v="36"/>
    <x v="2"/>
  </r>
  <r>
    <x v="36"/>
    <x v="297"/>
    <x v="6"/>
    <x v="6"/>
    <x v="1"/>
    <x v="0"/>
    <x v="33"/>
    <x v="313"/>
    <x v="759"/>
    <x v="0"/>
    <x v="36"/>
    <x v="2"/>
  </r>
  <r>
    <x v="36"/>
    <x v="191"/>
    <x v="6"/>
    <x v="6"/>
    <x v="1"/>
    <x v="0"/>
    <x v="33"/>
    <x v="318"/>
    <x v="146"/>
    <x v="0"/>
    <x v="36"/>
    <x v="2"/>
  </r>
  <r>
    <x v="36"/>
    <x v="259"/>
    <x v="7"/>
    <x v="7"/>
    <x v="1"/>
    <x v="1"/>
    <x v="33"/>
    <x v="355"/>
    <x v="874"/>
    <x v="0"/>
    <x v="36"/>
    <x v="2"/>
  </r>
  <r>
    <x v="36"/>
    <x v="303"/>
    <x v="9"/>
    <x v="9"/>
    <x v="1"/>
    <x v="1"/>
    <x v="33"/>
    <x v="327"/>
    <x v="874"/>
    <x v="0"/>
    <x v="36"/>
    <x v="2"/>
  </r>
  <r>
    <x v="36"/>
    <x v="197"/>
    <x v="9"/>
    <x v="9"/>
    <x v="1"/>
    <x v="1"/>
    <x v="33"/>
    <x v="432"/>
    <x v="874"/>
    <x v="0"/>
    <x v="36"/>
    <x v="2"/>
  </r>
  <r>
    <x v="36"/>
    <x v="186"/>
    <x v="10"/>
    <x v="10"/>
    <x v="1"/>
    <x v="1"/>
    <x v="33"/>
    <x v="321"/>
    <x v="874"/>
    <x v="0"/>
    <x v="36"/>
    <x v="2"/>
  </r>
  <r>
    <x v="36"/>
    <x v="176"/>
    <x v="10"/>
    <x v="10"/>
    <x v="1"/>
    <x v="1"/>
    <x v="33"/>
    <x v="412"/>
    <x v="874"/>
    <x v="0"/>
    <x v="36"/>
    <x v="2"/>
  </r>
  <r>
    <x v="36"/>
    <x v="199"/>
    <x v="10"/>
    <x v="10"/>
    <x v="1"/>
    <x v="1"/>
    <x v="33"/>
    <x v="298"/>
    <x v="874"/>
    <x v="0"/>
    <x v="36"/>
    <x v="2"/>
  </r>
  <r>
    <x v="36"/>
    <x v="189"/>
    <x v="10"/>
    <x v="10"/>
    <x v="1"/>
    <x v="1"/>
    <x v="33"/>
    <x v="345"/>
    <x v="874"/>
    <x v="0"/>
    <x v="36"/>
    <x v="2"/>
  </r>
  <r>
    <x v="36"/>
    <x v="330"/>
    <x v="11"/>
    <x v="11"/>
    <x v="1"/>
    <x v="1"/>
    <x v="33"/>
    <x v="381"/>
    <x v="874"/>
    <x v="0"/>
    <x v="36"/>
    <x v="2"/>
  </r>
  <r>
    <x v="36"/>
    <x v="284"/>
    <x v="2"/>
    <x v="2"/>
    <x v="1"/>
    <x v="1"/>
    <x v="33"/>
    <x v="383"/>
    <x v="874"/>
    <x v="0"/>
    <x v="36"/>
    <x v="2"/>
  </r>
  <r>
    <x v="36"/>
    <x v="304"/>
    <x v="2"/>
    <x v="2"/>
    <x v="1"/>
    <x v="1"/>
    <x v="33"/>
    <x v="329"/>
    <x v="874"/>
    <x v="0"/>
    <x v="36"/>
    <x v="2"/>
  </r>
  <r>
    <x v="36"/>
    <x v="264"/>
    <x v="6"/>
    <x v="6"/>
    <x v="1"/>
    <x v="1"/>
    <x v="33"/>
    <x v="311"/>
    <x v="874"/>
    <x v="0"/>
    <x v="36"/>
    <x v="2"/>
  </r>
  <r>
    <x v="36"/>
    <x v="265"/>
    <x v="6"/>
    <x v="6"/>
    <x v="1"/>
    <x v="1"/>
    <x v="33"/>
    <x v="386"/>
    <x v="146"/>
    <x v="0"/>
    <x v="36"/>
    <x v="2"/>
  </r>
  <r>
    <x v="36"/>
    <x v="241"/>
    <x v="6"/>
    <x v="6"/>
    <x v="1"/>
    <x v="1"/>
    <x v="33"/>
    <x v="447"/>
    <x v="874"/>
    <x v="0"/>
    <x v="36"/>
    <x v="2"/>
  </r>
  <r>
    <x v="37"/>
    <x v="238"/>
    <x v="9"/>
    <x v="9"/>
    <x v="1"/>
    <x v="2"/>
    <x v="32"/>
    <x v="379"/>
    <x v="3104"/>
    <x v="0"/>
    <x v="37"/>
    <x v="2"/>
  </r>
  <r>
    <x v="37"/>
    <x v="315"/>
    <x v="2"/>
    <x v="2"/>
    <x v="1"/>
    <x v="2"/>
    <x v="32"/>
    <x v="405"/>
    <x v="2717"/>
    <x v="0"/>
    <x v="37"/>
    <x v="2"/>
  </r>
  <r>
    <x v="39"/>
    <x v="261"/>
    <x v="8"/>
    <x v="8"/>
    <x v="1"/>
    <x v="2"/>
    <x v="32"/>
    <x v="320"/>
    <x v="3105"/>
    <x v="0"/>
    <x v="39"/>
    <x v="2"/>
  </r>
  <r>
    <x v="39"/>
    <x v="183"/>
    <x v="2"/>
    <x v="2"/>
    <x v="1"/>
    <x v="2"/>
    <x v="32"/>
    <x v="330"/>
    <x v="3088"/>
    <x v="0"/>
    <x v="39"/>
    <x v="2"/>
  </r>
  <r>
    <x v="39"/>
    <x v="308"/>
    <x v="7"/>
    <x v="7"/>
    <x v="1"/>
    <x v="0"/>
    <x v="33"/>
    <x v="333"/>
    <x v="759"/>
    <x v="0"/>
    <x v="39"/>
    <x v="2"/>
  </r>
  <r>
    <x v="39"/>
    <x v="209"/>
    <x v="7"/>
    <x v="7"/>
    <x v="1"/>
    <x v="0"/>
    <x v="33"/>
    <x v="428"/>
    <x v="874"/>
    <x v="0"/>
    <x v="39"/>
    <x v="2"/>
  </r>
  <r>
    <x v="39"/>
    <x v="261"/>
    <x v="8"/>
    <x v="8"/>
    <x v="1"/>
    <x v="0"/>
    <x v="33"/>
    <x v="320"/>
    <x v="874"/>
    <x v="0"/>
    <x v="39"/>
    <x v="2"/>
  </r>
  <r>
    <x v="39"/>
    <x v="245"/>
    <x v="8"/>
    <x v="8"/>
    <x v="1"/>
    <x v="0"/>
    <x v="33"/>
    <x v="285"/>
    <x v="759"/>
    <x v="0"/>
    <x v="39"/>
    <x v="2"/>
  </r>
  <r>
    <x v="39"/>
    <x v="303"/>
    <x v="9"/>
    <x v="9"/>
    <x v="1"/>
    <x v="0"/>
    <x v="33"/>
    <x v="327"/>
    <x v="899"/>
    <x v="0"/>
    <x v="39"/>
    <x v="2"/>
  </r>
  <r>
    <x v="39"/>
    <x v="197"/>
    <x v="9"/>
    <x v="9"/>
    <x v="1"/>
    <x v="0"/>
    <x v="33"/>
    <x v="432"/>
    <x v="759"/>
    <x v="0"/>
    <x v="39"/>
    <x v="2"/>
  </r>
  <r>
    <x v="39"/>
    <x v="263"/>
    <x v="10"/>
    <x v="10"/>
    <x v="1"/>
    <x v="0"/>
    <x v="33"/>
    <x v="436"/>
    <x v="146"/>
    <x v="0"/>
    <x v="39"/>
    <x v="2"/>
  </r>
  <r>
    <x v="39"/>
    <x v="239"/>
    <x v="10"/>
    <x v="10"/>
    <x v="1"/>
    <x v="0"/>
    <x v="33"/>
    <x v="419"/>
    <x v="874"/>
    <x v="0"/>
    <x v="39"/>
    <x v="2"/>
  </r>
  <r>
    <x v="39"/>
    <x v="186"/>
    <x v="10"/>
    <x v="10"/>
    <x v="1"/>
    <x v="0"/>
    <x v="33"/>
    <x v="321"/>
    <x v="874"/>
    <x v="0"/>
    <x v="39"/>
    <x v="2"/>
  </r>
  <r>
    <x v="39"/>
    <x v="244"/>
    <x v="10"/>
    <x v="10"/>
    <x v="1"/>
    <x v="0"/>
    <x v="33"/>
    <x v="433"/>
    <x v="759"/>
    <x v="0"/>
    <x v="39"/>
    <x v="2"/>
  </r>
  <r>
    <x v="39"/>
    <x v="269"/>
    <x v="11"/>
    <x v="11"/>
    <x v="1"/>
    <x v="0"/>
    <x v="33"/>
    <x v="403"/>
    <x v="759"/>
    <x v="0"/>
    <x v="39"/>
    <x v="2"/>
  </r>
  <r>
    <x v="39"/>
    <x v="200"/>
    <x v="11"/>
    <x v="11"/>
    <x v="1"/>
    <x v="0"/>
    <x v="33"/>
    <x v="351"/>
    <x v="874"/>
    <x v="0"/>
    <x v="39"/>
    <x v="2"/>
  </r>
  <r>
    <x v="39"/>
    <x v="282"/>
    <x v="11"/>
    <x v="11"/>
    <x v="1"/>
    <x v="0"/>
    <x v="33"/>
    <x v="358"/>
    <x v="759"/>
    <x v="0"/>
    <x v="39"/>
    <x v="2"/>
  </r>
  <r>
    <x v="39"/>
    <x v="187"/>
    <x v="11"/>
    <x v="11"/>
    <x v="1"/>
    <x v="0"/>
    <x v="33"/>
    <x v="328"/>
    <x v="874"/>
    <x v="0"/>
    <x v="39"/>
    <x v="2"/>
  </r>
  <r>
    <x v="39"/>
    <x v="249"/>
    <x v="11"/>
    <x v="11"/>
    <x v="1"/>
    <x v="0"/>
    <x v="33"/>
    <x v="359"/>
    <x v="874"/>
    <x v="0"/>
    <x v="39"/>
    <x v="2"/>
  </r>
  <r>
    <x v="39"/>
    <x v="302"/>
    <x v="11"/>
    <x v="11"/>
    <x v="1"/>
    <x v="0"/>
    <x v="33"/>
    <x v="324"/>
    <x v="874"/>
    <x v="0"/>
    <x v="39"/>
    <x v="2"/>
  </r>
  <r>
    <x v="39"/>
    <x v="202"/>
    <x v="11"/>
    <x v="11"/>
    <x v="1"/>
    <x v="0"/>
    <x v="33"/>
    <x v="305"/>
    <x v="874"/>
    <x v="0"/>
    <x v="39"/>
    <x v="2"/>
  </r>
  <r>
    <x v="39"/>
    <x v="274"/>
    <x v="11"/>
    <x v="11"/>
    <x v="1"/>
    <x v="0"/>
    <x v="33"/>
    <x v="404"/>
    <x v="874"/>
    <x v="0"/>
    <x v="39"/>
    <x v="2"/>
  </r>
  <r>
    <x v="39"/>
    <x v="300"/>
    <x v="2"/>
    <x v="2"/>
    <x v="1"/>
    <x v="0"/>
    <x v="33"/>
    <x v="316"/>
    <x v="759"/>
    <x v="0"/>
    <x v="39"/>
    <x v="2"/>
  </r>
  <r>
    <x v="39"/>
    <x v="215"/>
    <x v="2"/>
    <x v="2"/>
    <x v="1"/>
    <x v="0"/>
    <x v="33"/>
    <x v="322"/>
    <x v="874"/>
    <x v="0"/>
    <x v="39"/>
    <x v="2"/>
  </r>
  <r>
    <x v="39"/>
    <x v="284"/>
    <x v="2"/>
    <x v="2"/>
    <x v="1"/>
    <x v="0"/>
    <x v="33"/>
    <x v="383"/>
    <x v="759"/>
    <x v="0"/>
    <x v="39"/>
    <x v="2"/>
  </r>
  <r>
    <x v="39"/>
    <x v="222"/>
    <x v="2"/>
    <x v="2"/>
    <x v="1"/>
    <x v="0"/>
    <x v="33"/>
    <x v="384"/>
    <x v="874"/>
    <x v="0"/>
    <x v="39"/>
    <x v="2"/>
  </r>
  <r>
    <x v="39"/>
    <x v="182"/>
    <x v="2"/>
    <x v="2"/>
    <x v="1"/>
    <x v="0"/>
    <x v="33"/>
    <x v="392"/>
    <x v="874"/>
    <x v="0"/>
    <x v="39"/>
    <x v="2"/>
  </r>
  <r>
    <x v="39"/>
    <x v="280"/>
    <x v="2"/>
    <x v="2"/>
    <x v="1"/>
    <x v="0"/>
    <x v="33"/>
    <x v="295"/>
    <x v="874"/>
    <x v="0"/>
    <x v="39"/>
    <x v="2"/>
  </r>
  <r>
    <x v="39"/>
    <x v="257"/>
    <x v="2"/>
    <x v="2"/>
    <x v="1"/>
    <x v="0"/>
    <x v="33"/>
    <x v="410"/>
    <x v="759"/>
    <x v="0"/>
    <x v="39"/>
    <x v="2"/>
  </r>
  <r>
    <x v="39"/>
    <x v="276"/>
    <x v="2"/>
    <x v="2"/>
    <x v="1"/>
    <x v="0"/>
    <x v="33"/>
    <x v="385"/>
    <x v="765"/>
    <x v="0"/>
    <x v="39"/>
    <x v="2"/>
  </r>
  <r>
    <x v="39"/>
    <x v="183"/>
    <x v="2"/>
    <x v="2"/>
    <x v="1"/>
    <x v="0"/>
    <x v="33"/>
    <x v="330"/>
    <x v="765"/>
    <x v="0"/>
    <x v="39"/>
    <x v="2"/>
  </r>
  <r>
    <x v="39"/>
    <x v="246"/>
    <x v="2"/>
    <x v="2"/>
    <x v="1"/>
    <x v="0"/>
    <x v="33"/>
    <x v="287"/>
    <x v="759"/>
    <x v="0"/>
    <x v="39"/>
    <x v="2"/>
  </r>
  <r>
    <x v="39"/>
    <x v="281"/>
    <x v="6"/>
    <x v="6"/>
    <x v="1"/>
    <x v="0"/>
    <x v="33"/>
    <x v="395"/>
    <x v="765"/>
    <x v="0"/>
    <x v="39"/>
    <x v="2"/>
  </r>
  <r>
    <x v="39"/>
    <x v="285"/>
    <x v="6"/>
    <x v="6"/>
    <x v="1"/>
    <x v="0"/>
    <x v="33"/>
    <x v="409"/>
    <x v="874"/>
    <x v="0"/>
    <x v="39"/>
    <x v="2"/>
  </r>
  <r>
    <x v="39"/>
    <x v="305"/>
    <x v="6"/>
    <x v="6"/>
    <x v="1"/>
    <x v="0"/>
    <x v="33"/>
    <x v="331"/>
    <x v="874"/>
    <x v="0"/>
    <x v="39"/>
    <x v="2"/>
  </r>
  <r>
    <x v="39"/>
    <x v="297"/>
    <x v="6"/>
    <x v="6"/>
    <x v="1"/>
    <x v="0"/>
    <x v="33"/>
    <x v="313"/>
    <x v="874"/>
    <x v="0"/>
    <x v="39"/>
    <x v="2"/>
  </r>
  <r>
    <x v="39"/>
    <x v="271"/>
    <x v="6"/>
    <x v="6"/>
    <x v="1"/>
    <x v="0"/>
    <x v="33"/>
    <x v="426"/>
    <x v="874"/>
    <x v="0"/>
    <x v="39"/>
    <x v="2"/>
  </r>
  <r>
    <x v="39"/>
    <x v="190"/>
    <x v="6"/>
    <x v="6"/>
    <x v="1"/>
    <x v="0"/>
    <x v="33"/>
    <x v="342"/>
    <x v="874"/>
    <x v="0"/>
    <x v="39"/>
    <x v="2"/>
  </r>
  <r>
    <x v="39"/>
    <x v="200"/>
    <x v="11"/>
    <x v="11"/>
    <x v="1"/>
    <x v="1"/>
    <x v="33"/>
    <x v="351"/>
    <x v="874"/>
    <x v="0"/>
    <x v="39"/>
    <x v="2"/>
  </r>
  <r>
    <x v="39"/>
    <x v="280"/>
    <x v="2"/>
    <x v="2"/>
    <x v="1"/>
    <x v="1"/>
    <x v="33"/>
    <x v="295"/>
    <x v="874"/>
    <x v="0"/>
    <x v="39"/>
    <x v="2"/>
  </r>
  <r>
    <x v="40"/>
    <x v="248"/>
    <x v="10"/>
    <x v="10"/>
    <x v="1"/>
    <x v="2"/>
    <x v="33"/>
    <x v="304"/>
    <x v="874"/>
    <x v="0"/>
    <x v="40"/>
    <x v="2"/>
  </r>
  <r>
    <x v="40"/>
    <x v="220"/>
    <x v="11"/>
    <x v="11"/>
    <x v="1"/>
    <x v="2"/>
    <x v="33"/>
    <x v="309"/>
    <x v="146"/>
    <x v="0"/>
    <x v="40"/>
    <x v="2"/>
  </r>
  <r>
    <x v="40"/>
    <x v="209"/>
    <x v="7"/>
    <x v="7"/>
    <x v="1"/>
    <x v="0"/>
    <x v="33"/>
    <x v="428"/>
    <x v="146"/>
    <x v="0"/>
    <x v="40"/>
    <x v="2"/>
  </r>
  <r>
    <x v="40"/>
    <x v="171"/>
    <x v="7"/>
    <x v="7"/>
    <x v="1"/>
    <x v="0"/>
    <x v="33"/>
    <x v="429"/>
    <x v="874"/>
    <x v="0"/>
    <x v="40"/>
    <x v="2"/>
  </r>
  <r>
    <x v="40"/>
    <x v="247"/>
    <x v="8"/>
    <x v="8"/>
    <x v="1"/>
    <x v="0"/>
    <x v="33"/>
    <x v="289"/>
    <x v="765"/>
    <x v="0"/>
    <x v="40"/>
    <x v="2"/>
  </r>
  <r>
    <x v="40"/>
    <x v="323"/>
    <x v="8"/>
    <x v="8"/>
    <x v="1"/>
    <x v="0"/>
    <x v="33"/>
    <x v="367"/>
    <x v="759"/>
    <x v="0"/>
    <x v="40"/>
    <x v="2"/>
  </r>
  <r>
    <x v="40"/>
    <x v="173"/>
    <x v="8"/>
    <x v="8"/>
    <x v="1"/>
    <x v="0"/>
    <x v="33"/>
    <x v="378"/>
    <x v="765"/>
    <x v="0"/>
    <x v="40"/>
    <x v="2"/>
  </r>
  <r>
    <x v="40"/>
    <x v="319"/>
    <x v="8"/>
    <x v="8"/>
    <x v="1"/>
    <x v="0"/>
    <x v="33"/>
    <x v="350"/>
    <x v="874"/>
    <x v="0"/>
    <x v="40"/>
    <x v="2"/>
  </r>
  <r>
    <x v="40"/>
    <x v="337"/>
    <x v="9"/>
    <x v="9"/>
    <x v="1"/>
    <x v="0"/>
    <x v="33"/>
    <x v="424"/>
    <x v="759"/>
    <x v="0"/>
    <x v="40"/>
    <x v="2"/>
  </r>
  <r>
    <x v="40"/>
    <x v="194"/>
    <x v="9"/>
    <x v="9"/>
    <x v="1"/>
    <x v="0"/>
    <x v="33"/>
    <x v="390"/>
    <x v="146"/>
    <x v="0"/>
    <x v="40"/>
    <x v="2"/>
  </r>
  <r>
    <x v="40"/>
    <x v="178"/>
    <x v="9"/>
    <x v="9"/>
    <x v="1"/>
    <x v="0"/>
    <x v="33"/>
    <x v="353"/>
    <x v="146"/>
    <x v="0"/>
    <x v="40"/>
    <x v="2"/>
  </r>
  <r>
    <x v="40"/>
    <x v="310"/>
    <x v="10"/>
    <x v="10"/>
    <x v="1"/>
    <x v="0"/>
    <x v="33"/>
    <x v="335"/>
    <x v="759"/>
    <x v="0"/>
    <x v="40"/>
    <x v="2"/>
  </r>
  <r>
    <x v="40"/>
    <x v="329"/>
    <x v="10"/>
    <x v="10"/>
    <x v="1"/>
    <x v="0"/>
    <x v="33"/>
    <x v="380"/>
    <x v="899"/>
    <x v="0"/>
    <x v="40"/>
    <x v="2"/>
  </r>
  <r>
    <x v="40"/>
    <x v="269"/>
    <x v="11"/>
    <x v="11"/>
    <x v="1"/>
    <x v="0"/>
    <x v="33"/>
    <x v="403"/>
    <x v="874"/>
    <x v="0"/>
    <x v="40"/>
    <x v="2"/>
  </r>
  <r>
    <x v="40"/>
    <x v="282"/>
    <x v="11"/>
    <x v="11"/>
    <x v="1"/>
    <x v="0"/>
    <x v="33"/>
    <x v="358"/>
    <x v="765"/>
    <x v="0"/>
    <x v="40"/>
    <x v="2"/>
  </r>
  <r>
    <x v="40"/>
    <x v="187"/>
    <x v="11"/>
    <x v="11"/>
    <x v="1"/>
    <x v="0"/>
    <x v="33"/>
    <x v="328"/>
    <x v="759"/>
    <x v="0"/>
    <x v="40"/>
    <x v="2"/>
  </r>
  <r>
    <x v="40"/>
    <x v="302"/>
    <x v="11"/>
    <x v="11"/>
    <x v="1"/>
    <x v="0"/>
    <x v="33"/>
    <x v="324"/>
    <x v="899"/>
    <x v="0"/>
    <x v="40"/>
    <x v="2"/>
  </r>
  <r>
    <x v="40"/>
    <x v="202"/>
    <x v="11"/>
    <x v="11"/>
    <x v="1"/>
    <x v="0"/>
    <x v="33"/>
    <x v="305"/>
    <x v="874"/>
    <x v="0"/>
    <x v="40"/>
    <x v="2"/>
  </r>
  <r>
    <x v="40"/>
    <x v="221"/>
    <x v="2"/>
    <x v="2"/>
    <x v="1"/>
    <x v="0"/>
    <x v="63"/>
    <x v="446"/>
    <x v="765"/>
    <x v="0"/>
    <x v="40"/>
    <x v="2"/>
  </r>
  <r>
    <x v="40"/>
    <x v="222"/>
    <x v="2"/>
    <x v="2"/>
    <x v="1"/>
    <x v="0"/>
    <x v="32"/>
    <x v="384"/>
    <x v="765"/>
    <x v="0"/>
    <x v="40"/>
    <x v="2"/>
  </r>
  <r>
    <x v="40"/>
    <x v="182"/>
    <x v="2"/>
    <x v="2"/>
    <x v="1"/>
    <x v="0"/>
    <x v="62"/>
    <x v="59"/>
    <x v="1"/>
    <x v="203"/>
    <x v="40"/>
    <x v="2"/>
  </r>
  <r>
    <x v="40"/>
    <x v="307"/>
    <x v="2"/>
    <x v="2"/>
    <x v="1"/>
    <x v="0"/>
    <x v="33"/>
    <x v="441"/>
    <x v="759"/>
    <x v="0"/>
    <x v="40"/>
    <x v="2"/>
  </r>
  <r>
    <x v="40"/>
    <x v="223"/>
    <x v="2"/>
    <x v="2"/>
    <x v="1"/>
    <x v="0"/>
    <x v="33"/>
    <x v="434"/>
    <x v="874"/>
    <x v="0"/>
    <x v="40"/>
    <x v="2"/>
  </r>
  <r>
    <x v="40"/>
    <x v="276"/>
    <x v="2"/>
    <x v="2"/>
    <x v="1"/>
    <x v="0"/>
    <x v="33"/>
    <x v="385"/>
    <x v="759"/>
    <x v="0"/>
    <x v="40"/>
    <x v="2"/>
  </r>
  <r>
    <x v="40"/>
    <x v="246"/>
    <x v="2"/>
    <x v="2"/>
    <x v="1"/>
    <x v="0"/>
    <x v="33"/>
    <x v="287"/>
    <x v="874"/>
    <x v="0"/>
    <x v="40"/>
    <x v="2"/>
  </r>
  <r>
    <x v="40"/>
    <x v="281"/>
    <x v="6"/>
    <x v="6"/>
    <x v="1"/>
    <x v="0"/>
    <x v="33"/>
    <x v="395"/>
    <x v="874"/>
    <x v="0"/>
    <x v="40"/>
    <x v="2"/>
  </r>
  <r>
    <x v="40"/>
    <x v="285"/>
    <x v="6"/>
    <x v="6"/>
    <x v="1"/>
    <x v="0"/>
    <x v="33"/>
    <x v="409"/>
    <x v="759"/>
    <x v="0"/>
    <x v="40"/>
    <x v="2"/>
  </r>
  <r>
    <x v="40"/>
    <x v="184"/>
    <x v="6"/>
    <x v="6"/>
    <x v="1"/>
    <x v="0"/>
    <x v="33"/>
    <x v="413"/>
    <x v="759"/>
    <x v="0"/>
    <x v="40"/>
    <x v="2"/>
  </r>
  <r>
    <x v="40"/>
    <x v="236"/>
    <x v="6"/>
    <x v="6"/>
    <x v="1"/>
    <x v="0"/>
    <x v="33"/>
    <x v="371"/>
    <x v="899"/>
    <x v="0"/>
    <x v="40"/>
    <x v="2"/>
  </r>
  <r>
    <x v="40"/>
    <x v="245"/>
    <x v="8"/>
    <x v="8"/>
    <x v="1"/>
    <x v="1"/>
    <x v="33"/>
    <x v="285"/>
    <x v="874"/>
    <x v="0"/>
    <x v="40"/>
    <x v="2"/>
  </r>
  <r>
    <x v="40"/>
    <x v="194"/>
    <x v="9"/>
    <x v="9"/>
    <x v="1"/>
    <x v="1"/>
    <x v="33"/>
    <x v="390"/>
    <x v="874"/>
    <x v="0"/>
    <x v="40"/>
    <x v="2"/>
  </r>
  <r>
    <x v="40"/>
    <x v="197"/>
    <x v="9"/>
    <x v="9"/>
    <x v="1"/>
    <x v="1"/>
    <x v="33"/>
    <x v="432"/>
    <x v="759"/>
    <x v="0"/>
    <x v="40"/>
    <x v="2"/>
  </r>
  <r>
    <x v="40"/>
    <x v="291"/>
    <x v="9"/>
    <x v="9"/>
    <x v="1"/>
    <x v="1"/>
    <x v="33"/>
    <x v="303"/>
    <x v="874"/>
    <x v="0"/>
    <x v="40"/>
    <x v="2"/>
  </r>
  <r>
    <x v="40"/>
    <x v="230"/>
    <x v="9"/>
    <x v="9"/>
    <x v="1"/>
    <x v="1"/>
    <x v="33"/>
    <x v="283"/>
    <x v="874"/>
    <x v="0"/>
    <x v="40"/>
    <x v="2"/>
  </r>
  <r>
    <x v="40"/>
    <x v="198"/>
    <x v="10"/>
    <x v="10"/>
    <x v="1"/>
    <x v="1"/>
    <x v="33"/>
    <x v="338"/>
    <x v="874"/>
    <x v="0"/>
    <x v="40"/>
    <x v="2"/>
  </r>
  <r>
    <x v="40"/>
    <x v="212"/>
    <x v="10"/>
    <x v="10"/>
    <x v="1"/>
    <x v="1"/>
    <x v="33"/>
    <x v="319"/>
    <x v="759"/>
    <x v="0"/>
    <x v="40"/>
    <x v="2"/>
  </r>
  <r>
    <x v="40"/>
    <x v="310"/>
    <x v="10"/>
    <x v="10"/>
    <x v="1"/>
    <x v="1"/>
    <x v="33"/>
    <x v="335"/>
    <x v="874"/>
    <x v="0"/>
    <x v="40"/>
    <x v="2"/>
  </r>
  <r>
    <x v="40"/>
    <x v="317"/>
    <x v="10"/>
    <x v="10"/>
    <x v="1"/>
    <x v="1"/>
    <x v="33"/>
    <x v="401"/>
    <x v="874"/>
    <x v="0"/>
    <x v="40"/>
    <x v="2"/>
  </r>
  <r>
    <x v="40"/>
    <x v="295"/>
    <x v="2"/>
    <x v="2"/>
    <x v="1"/>
    <x v="1"/>
    <x v="33"/>
    <x v="310"/>
    <x v="874"/>
    <x v="0"/>
    <x v="40"/>
    <x v="2"/>
  </r>
  <r>
    <x v="40"/>
    <x v="264"/>
    <x v="6"/>
    <x v="6"/>
    <x v="1"/>
    <x v="1"/>
    <x v="33"/>
    <x v="311"/>
    <x v="874"/>
    <x v="0"/>
    <x v="40"/>
    <x v="2"/>
  </r>
  <r>
    <x v="75"/>
    <x v="260"/>
    <x v="7"/>
    <x v="7"/>
    <x v="1"/>
    <x v="2"/>
    <x v="32"/>
    <x v="437"/>
    <x v="1331"/>
    <x v="0"/>
    <x v="75"/>
    <x v="2"/>
  </r>
  <r>
    <x v="75"/>
    <x v="178"/>
    <x v="9"/>
    <x v="9"/>
    <x v="1"/>
    <x v="2"/>
    <x v="34"/>
    <x v="453"/>
    <x v="735"/>
    <x v="0"/>
    <x v="75"/>
    <x v="2"/>
  </r>
  <r>
    <x v="75"/>
    <x v="263"/>
    <x v="10"/>
    <x v="10"/>
    <x v="1"/>
    <x v="2"/>
    <x v="32"/>
    <x v="436"/>
    <x v="1332"/>
    <x v="0"/>
    <x v="75"/>
    <x v="2"/>
  </r>
  <r>
    <x v="75"/>
    <x v="269"/>
    <x v="11"/>
    <x v="11"/>
    <x v="1"/>
    <x v="2"/>
    <x v="34"/>
    <x v="453"/>
    <x v="735"/>
    <x v="0"/>
    <x v="75"/>
    <x v="2"/>
  </r>
  <r>
    <x v="75"/>
    <x v="187"/>
    <x v="11"/>
    <x v="11"/>
    <x v="1"/>
    <x v="2"/>
    <x v="34"/>
    <x v="453"/>
    <x v="736"/>
    <x v="0"/>
    <x v="75"/>
    <x v="2"/>
  </r>
  <r>
    <x v="75"/>
    <x v="316"/>
    <x v="2"/>
    <x v="2"/>
    <x v="1"/>
    <x v="2"/>
    <x v="32"/>
    <x v="348"/>
    <x v="3106"/>
    <x v="0"/>
    <x v="75"/>
    <x v="2"/>
  </r>
  <r>
    <x v="75"/>
    <x v="229"/>
    <x v="6"/>
    <x v="6"/>
    <x v="1"/>
    <x v="2"/>
    <x v="32"/>
    <x v="281"/>
    <x v="3107"/>
    <x v="0"/>
    <x v="75"/>
    <x v="2"/>
  </r>
  <r>
    <x v="75"/>
    <x v="191"/>
    <x v="6"/>
    <x v="6"/>
    <x v="1"/>
    <x v="2"/>
    <x v="34"/>
    <x v="453"/>
    <x v="835"/>
    <x v="0"/>
    <x v="75"/>
    <x v="2"/>
  </r>
  <r>
    <x v="42"/>
    <x v="242"/>
    <x v="9"/>
    <x v="9"/>
    <x v="1"/>
    <x v="2"/>
    <x v="33"/>
    <x v="435"/>
    <x v="874"/>
    <x v="0"/>
    <x v="42"/>
    <x v="2"/>
  </r>
  <r>
    <x v="42"/>
    <x v="331"/>
    <x v="9"/>
    <x v="9"/>
    <x v="1"/>
    <x v="0"/>
    <x v="33"/>
    <x v="391"/>
    <x v="874"/>
    <x v="0"/>
    <x v="42"/>
    <x v="2"/>
  </r>
  <r>
    <x v="42"/>
    <x v="242"/>
    <x v="9"/>
    <x v="9"/>
    <x v="1"/>
    <x v="1"/>
    <x v="33"/>
    <x v="435"/>
    <x v="874"/>
    <x v="0"/>
    <x v="42"/>
    <x v="2"/>
  </r>
  <r>
    <x v="42"/>
    <x v="269"/>
    <x v="11"/>
    <x v="11"/>
    <x v="1"/>
    <x v="1"/>
    <x v="33"/>
    <x v="403"/>
    <x v="874"/>
    <x v="0"/>
    <x v="42"/>
    <x v="2"/>
  </r>
  <r>
    <x v="43"/>
    <x v="308"/>
    <x v="7"/>
    <x v="7"/>
    <x v="1"/>
    <x v="2"/>
    <x v="32"/>
    <x v="333"/>
    <x v="952"/>
    <x v="0"/>
    <x v="43"/>
    <x v="2"/>
  </r>
  <r>
    <x v="43"/>
    <x v="205"/>
    <x v="7"/>
    <x v="7"/>
    <x v="1"/>
    <x v="2"/>
    <x v="32"/>
    <x v="299"/>
    <x v="801"/>
    <x v="0"/>
    <x v="43"/>
    <x v="2"/>
  </r>
  <r>
    <x v="43"/>
    <x v="251"/>
    <x v="8"/>
    <x v="8"/>
    <x v="1"/>
    <x v="2"/>
    <x v="32"/>
    <x v="291"/>
    <x v="801"/>
    <x v="0"/>
    <x v="43"/>
    <x v="2"/>
  </r>
  <r>
    <x v="43"/>
    <x v="245"/>
    <x v="8"/>
    <x v="8"/>
    <x v="1"/>
    <x v="2"/>
    <x v="32"/>
    <x v="285"/>
    <x v="952"/>
    <x v="0"/>
    <x v="43"/>
    <x v="2"/>
  </r>
  <r>
    <x v="43"/>
    <x v="306"/>
    <x v="9"/>
    <x v="9"/>
    <x v="1"/>
    <x v="2"/>
    <x v="32"/>
    <x v="336"/>
    <x v="952"/>
    <x v="0"/>
    <x v="43"/>
    <x v="2"/>
  </r>
  <r>
    <x v="43"/>
    <x v="333"/>
    <x v="9"/>
    <x v="9"/>
    <x v="1"/>
    <x v="2"/>
    <x v="32"/>
    <x v="400"/>
    <x v="801"/>
    <x v="0"/>
    <x v="43"/>
    <x v="2"/>
  </r>
  <r>
    <x v="43"/>
    <x v="198"/>
    <x v="10"/>
    <x v="10"/>
    <x v="1"/>
    <x v="2"/>
    <x v="32"/>
    <x v="338"/>
    <x v="801"/>
    <x v="0"/>
    <x v="43"/>
    <x v="2"/>
  </r>
  <r>
    <x v="43"/>
    <x v="186"/>
    <x v="10"/>
    <x v="10"/>
    <x v="1"/>
    <x v="2"/>
    <x v="32"/>
    <x v="321"/>
    <x v="848"/>
    <x v="0"/>
    <x v="43"/>
    <x v="2"/>
  </r>
  <r>
    <x v="43"/>
    <x v="200"/>
    <x v="11"/>
    <x v="11"/>
    <x v="1"/>
    <x v="2"/>
    <x v="32"/>
    <x v="351"/>
    <x v="982"/>
    <x v="0"/>
    <x v="43"/>
    <x v="2"/>
  </r>
  <r>
    <x v="43"/>
    <x v="299"/>
    <x v="11"/>
    <x v="11"/>
    <x v="1"/>
    <x v="2"/>
    <x v="32"/>
    <x v="315"/>
    <x v="1215"/>
    <x v="0"/>
    <x v="43"/>
    <x v="2"/>
  </r>
  <r>
    <x v="43"/>
    <x v="315"/>
    <x v="2"/>
    <x v="2"/>
    <x v="1"/>
    <x v="2"/>
    <x v="32"/>
    <x v="405"/>
    <x v="801"/>
    <x v="0"/>
    <x v="43"/>
    <x v="2"/>
  </r>
  <r>
    <x v="43"/>
    <x v="240"/>
    <x v="2"/>
    <x v="2"/>
    <x v="1"/>
    <x v="2"/>
    <x v="32"/>
    <x v="442"/>
    <x v="3108"/>
    <x v="0"/>
    <x v="43"/>
    <x v="2"/>
  </r>
  <r>
    <x v="43"/>
    <x v="335"/>
    <x v="6"/>
    <x v="6"/>
    <x v="1"/>
    <x v="2"/>
    <x v="32"/>
    <x v="408"/>
    <x v="1132"/>
    <x v="0"/>
    <x v="43"/>
    <x v="2"/>
  </r>
  <r>
    <x v="43"/>
    <x v="271"/>
    <x v="6"/>
    <x v="6"/>
    <x v="1"/>
    <x v="2"/>
    <x v="32"/>
    <x v="426"/>
    <x v="1"/>
    <x v="372"/>
    <x v="43"/>
    <x v="2"/>
  </r>
  <r>
    <x v="44"/>
    <x v="202"/>
    <x v="11"/>
    <x v="11"/>
    <x v="1"/>
    <x v="2"/>
    <x v="32"/>
    <x v="305"/>
    <x v="3109"/>
    <x v="0"/>
    <x v="44"/>
    <x v="2"/>
  </r>
  <r>
    <x v="45"/>
    <x v="330"/>
    <x v="11"/>
    <x v="11"/>
    <x v="1"/>
    <x v="2"/>
    <x v="32"/>
    <x v="381"/>
    <x v="3110"/>
    <x v="0"/>
    <x v="45"/>
    <x v="2"/>
  </r>
  <r>
    <x v="45"/>
    <x v="182"/>
    <x v="2"/>
    <x v="2"/>
    <x v="1"/>
    <x v="2"/>
    <x v="32"/>
    <x v="392"/>
    <x v="3111"/>
    <x v="0"/>
    <x v="45"/>
    <x v="2"/>
  </r>
  <r>
    <x v="47"/>
    <x v="288"/>
    <x v="7"/>
    <x v="7"/>
    <x v="1"/>
    <x v="2"/>
    <x v="32"/>
    <x v="439"/>
    <x v="590"/>
    <x v="0"/>
    <x v="47"/>
    <x v="2"/>
  </r>
  <r>
    <x v="47"/>
    <x v="179"/>
    <x v="7"/>
    <x v="7"/>
    <x v="1"/>
    <x v="2"/>
    <x v="32"/>
    <x v="415"/>
    <x v="590"/>
    <x v="0"/>
    <x v="47"/>
    <x v="2"/>
  </r>
  <r>
    <x v="47"/>
    <x v="242"/>
    <x v="9"/>
    <x v="9"/>
    <x v="1"/>
    <x v="2"/>
    <x v="32"/>
    <x v="435"/>
    <x v="3112"/>
    <x v="0"/>
    <x v="47"/>
    <x v="2"/>
  </r>
  <r>
    <x v="47"/>
    <x v="249"/>
    <x v="11"/>
    <x v="11"/>
    <x v="1"/>
    <x v="2"/>
    <x v="32"/>
    <x v="359"/>
    <x v="590"/>
    <x v="0"/>
    <x v="47"/>
    <x v="2"/>
  </r>
  <r>
    <x v="47"/>
    <x v="266"/>
    <x v="6"/>
    <x v="6"/>
    <x v="1"/>
    <x v="2"/>
    <x v="32"/>
    <x v="370"/>
    <x v="3077"/>
    <x v="0"/>
    <x v="47"/>
    <x v="2"/>
  </r>
  <r>
    <x v="47"/>
    <x v="308"/>
    <x v="7"/>
    <x v="7"/>
    <x v="1"/>
    <x v="0"/>
    <x v="33"/>
    <x v="333"/>
    <x v="848"/>
    <x v="0"/>
    <x v="47"/>
    <x v="2"/>
  </r>
  <r>
    <x v="47"/>
    <x v="179"/>
    <x v="7"/>
    <x v="7"/>
    <x v="1"/>
    <x v="0"/>
    <x v="33"/>
    <x v="415"/>
    <x v="934"/>
    <x v="0"/>
    <x v="47"/>
    <x v="2"/>
  </r>
  <r>
    <x v="47"/>
    <x v="259"/>
    <x v="7"/>
    <x v="7"/>
    <x v="1"/>
    <x v="0"/>
    <x v="33"/>
    <x v="355"/>
    <x v="759"/>
    <x v="0"/>
    <x v="47"/>
    <x v="2"/>
  </r>
  <r>
    <x v="47"/>
    <x v="225"/>
    <x v="7"/>
    <x v="7"/>
    <x v="1"/>
    <x v="0"/>
    <x v="33"/>
    <x v="416"/>
    <x v="765"/>
    <x v="0"/>
    <x v="47"/>
    <x v="2"/>
  </r>
  <r>
    <x v="47"/>
    <x v="206"/>
    <x v="7"/>
    <x v="7"/>
    <x v="1"/>
    <x v="0"/>
    <x v="33"/>
    <x v="284"/>
    <x v="1182"/>
    <x v="0"/>
    <x v="47"/>
    <x v="2"/>
  </r>
  <r>
    <x v="47"/>
    <x v="209"/>
    <x v="7"/>
    <x v="7"/>
    <x v="1"/>
    <x v="0"/>
    <x v="33"/>
    <x v="428"/>
    <x v="874"/>
    <x v="0"/>
    <x v="47"/>
    <x v="2"/>
  </r>
  <r>
    <x v="47"/>
    <x v="332"/>
    <x v="7"/>
    <x v="7"/>
    <x v="1"/>
    <x v="0"/>
    <x v="33"/>
    <x v="397"/>
    <x v="874"/>
    <x v="0"/>
    <x v="47"/>
    <x v="2"/>
  </r>
  <r>
    <x v="47"/>
    <x v="251"/>
    <x v="8"/>
    <x v="8"/>
    <x v="1"/>
    <x v="0"/>
    <x v="33"/>
    <x v="291"/>
    <x v="874"/>
    <x v="0"/>
    <x v="47"/>
    <x v="2"/>
  </r>
  <r>
    <x v="47"/>
    <x v="326"/>
    <x v="8"/>
    <x v="8"/>
    <x v="1"/>
    <x v="0"/>
    <x v="33"/>
    <x v="423"/>
    <x v="1132"/>
    <x v="0"/>
    <x v="47"/>
    <x v="2"/>
  </r>
  <r>
    <x v="47"/>
    <x v="254"/>
    <x v="8"/>
    <x v="8"/>
    <x v="1"/>
    <x v="0"/>
    <x v="33"/>
    <x v="326"/>
    <x v="899"/>
    <x v="0"/>
    <x v="47"/>
    <x v="2"/>
  </r>
  <r>
    <x v="47"/>
    <x v="320"/>
    <x v="8"/>
    <x v="8"/>
    <x v="1"/>
    <x v="0"/>
    <x v="33"/>
    <x v="398"/>
    <x v="765"/>
    <x v="0"/>
    <x v="47"/>
    <x v="2"/>
  </r>
  <r>
    <x v="47"/>
    <x v="323"/>
    <x v="8"/>
    <x v="8"/>
    <x v="1"/>
    <x v="0"/>
    <x v="33"/>
    <x v="367"/>
    <x v="759"/>
    <x v="0"/>
    <x v="47"/>
    <x v="2"/>
  </r>
  <r>
    <x v="47"/>
    <x v="173"/>
    <x v="8"/>
    <x v="8"/>
    <x v="1"/>
    <x v="0"/>
    <x v="33"/>
    <x v="378"/>
    <x v="1182"/>
    <x v="0"/>
    <x v="47"/>
    <x v="2"/>
  </r>
  <r>
    <x v="47"/>
    <x v="337"/>
    <x v="9"/>
    <x v="9"/>
    <x v="1"/>
    <x v="0"/>
    <x v="33"/>
    <x v="424"/>
    <x v="1132"/>
    <x v="0"/>
    <x v="47"/>
    <x v="2"/>
  </r>
  <r>
    <x v="47"/>
    <x v="227"/>
    <x v="9"/>
    <x v="9"/>
    <x v="1"/>
    <x v="0"/>
    <x v="33"/>
    <x v="399"/>
    <x v="765"/>
    <x v="0"/>
    <x v="47"/>
    <x v="2"/>
  </r>
  <r>
    <x v="47"/>
    <x v="194"/>
    <x v="9"/>
    <x v="9"/>
    <x v="1"/>
    <x v="0"/>
    <x v="33"/>
    <x v="390"/>
    <x v="759"/>
    <x v="0"/>
    <x v="47"/>
    <x v="2"/>
  </r>
  <r>
    <x v="47"/>
    <x v="238"/>
    <x v="9"/>
    <x v="9"/>
    <x v="1"/>
    <x v="0"/>
    <x v="33"/>
    <x v="379"/>
    <x v="759"/>
    <x v="0"/>
    <x v="47"/>
    <x v="2"/>
  </r>
  <r>
    <x v="47"/>
    <x v="197"/>
    <x v="9"/>
    <x v="9"/>
    <x v="1"/>
    <x v="0"/>
    <x v="33"/>
    <x v="432"/>
    <x v="899"/>
    <x v="0"/>
    <x v="47"/>
    <x v="2"/>
  </r>
  <r>
    <x v="47"/>
    <x v="211"/>
    <x v="9"/>
    <x v="9"/>
    <x v="1"/>
    <x v="0"/>
    <x v="33"/>
    <x v="286"/>
    <x v="765"/>
    <x v="0"/>
    <x v="47"/>
    <x v="2"/>
  </r>
  <r>
    <x v="47"/>
    <x v="178"/>
    <x v="9"/>
    <x v="9"/>
    <x v="1"/>
    <x v="0"/>
    <x v="33"/>
    <x v="353"/>
    <x v="759"/>
    <x v="0"/>
    <x v="47"/>
    <x v="2"/>
  </r>
  <r>
    <x v="47"/>
    <x v="286"/>
    <x v="10"/>
    <x v="10"/>
    <x v="1"/>
    <x v="0"/>
    <x v="33"/>
    <x v="297"/>
    <x v="1132"/>
    <x v="0"/>
    <x v="47"/>
    <x v="2"/>
  </r>
  <r>
    <x v="47"/>
    <x v="317"/>
    <x v="10"/>
    <x v="10"/>
    <x v="1"/>
    <x v="0"/>
    <x v="33"/>
    <x v="401"/>
    <x v="146"/>
    <x v="0"/>
    <x v="47"/>
    <x v="2"/>
  </r>
  <r>
    <x v="47"/>
    <x v="232"/>
    <x v="10"/>
    <x v="10"/>
    <x v="1"/>
    <x v="0"/>
    <x v="33"/>
    <x v="290"/>
    <x v="759"/>
    <x v="0"/>
    <x v="47"/>
    <x v="2"/>
  </r>
  <r>
    <x v="47"/>
    <x v="186"/>
    <x v="10"/>
    <x v="10"/>
    <x v="1"/>
    <x v="0"/>
    <x v="33"/>
    <x v="321"/>
    <x v="146"/>
    <x v="0"/>
    <x v="47"/>
    <x v="2"/>
  </r>
  <r>
    <x v="47"/>
    <x v="329"/>
    <x v="10"/>
    <x v="10"/>
    <x v="1"/>
    <x v="0"/>
    <x v="33"/>
    <x v="380"/>
    <x v="146"/>
    <x v="0"/>
    <x v="47"/>
    <x v="2"/>
  </r>
  <r>
    <x v="47"/>
    <x v="233"/>
    <x v="10"/>
    <x v="10"/>
    <x v="1"/>
    <x v="0"/>
    <x v="33"/>
    <x v="344"/>
    <x v="934"/>
    <x v="0"/>
    <x v="47"/>
    <x v="2"/>
  </r>
  <r>
    <x v="47"/>
    <x v="176"/>
    <x v="10"/>
    <x v="10"/>
    <x v="1"/>
    <x v="0"/>
    <x v="33"/>
    <x v="412"/>
    <x v="874"/>
    <x v="0"/>
    <x v="47"/>
    <x v="2"/>
  </r>
  <r>
    <x v="47"/>
    <x v="325"/>
    <x v="11"/>
    <x v="11"/>
    <x v="1"/>
    <x v="0"/>
    <x v="33"/>
    <x v="421"/>
    <x v="982"/>
    <x v="0"/>
    <x v="47"/>
    <x v="2"/>
  </r>
  <r>
    <x v="47"/>
    <x v="187"/>
    <x v="11"/>
    <x v="11"/>
    <x v="1"/>
    <x v="0"/>
    <x v="33"/>
    <x v="328"/>
    <x v="934"/>
    <x v="0"/>
    <x v="47"/>
    <x v="2"/>
  </r>
  <r>
    <x v="47"/>
    <x v="201"/>
    <x v="11"/>
    <x v="11"/>
    <x v="1"/>
    <x v="0"/>
    <x v="33"/>
    <x v="422"/>
    <x v="1182"/>
    <x v="0"/>
    <x v="47"/>
    <x v="2"/>
  </r>
  <r>
    <x v="47"/>
    <x v="299"/>
    <x v="11"/>
    <x v="11"/>
    <x v="1"/>
    <x v="0"/>
    <x v="33"/>
    <x v="315"/>
    <x v="899"/>
    <x v="0"/>
    <x v="47"/>
    <x v="2"/>
  </r>
  <r>
    <x v="47"/>
    <x v="202"/>
    <x v="11"/>
    <x v="11"/>
    <x v="1"/>
    <x v="0"/>
    <x v="33"/>
    <x v="305"/>
    <x v="859"/>
    <x v="0"/>
    <x v="47"/>
    <x v="2"/>
  </r>
  <r>
    <x v="47"/>
    <x v="311"/>
    <x v="11"/>
    <x v="11"/>
    <x v="1"/>
    <x v="0"/>
    <x v="33"/>
    <x v="440"/>
    <x v="899"/>
    <x v="0"/>
    <x v="47"/>
    <x v="2"/>
  </r>
  <r>
    <x v="47"/>
    <x v="181"/>
    <x v="11"/>
    <x v="11"/>
    <x v="1"/>
    <x v="0"/>
    <x v="33"/>
    <x v="362"/>
    <x v="146"/>
    <x v="0"/>
    <x v="47"/>
    <x v="2"/>
  </r>
  <r>
    <x v="47"/>
    <x v="300"/>
    <x v="2"/>
    <x v="2"/>
    <x v="1"/>
    <x v="0"/>
    <x v="33"/>
    <x v="316"/>
    <x v="934"/>
    <x v="0"/>
    <x v="47"/>
    <x v="2"/>
  </r>
  <r>
    <x v="47"/>
    <x v="334"/>
    <x v="2"/>
    <x v="2"/>
    <x v="1"/>
    <x v="0"/>
    <x v="33"/>
    <x v="406"/>
    <x v="146"/>
    <x v="0"/>
    <x v="47"/>
    <x v="2"/>
  </r>
  <r>
    <x v="47"/>
    <x v="221"/>
    <x v="2"/>
    <x v="2"/>
    <x v="1"/>
    <x v="0"/>
    <x v="63"/>
    <x v="446"/>
    <x v="952"/>
    <x v="0"/>
    <x v="47"/>
    <x v="2"/>
  </r>
  <r>
    <x v="47"/>
    <x v="222"/>
    <x v="2"/>
    <x v="2"/>
    <x v="1"/>
    <x v="0"/>
    <x v="32"/>
    <x v="384"/>
    <x v="952"/>
    <x v="0"/>
    <x v="47"/>
    <x v="2"/>
  </r>
  <r>
    <x v="47"/>
    <x v="182"/>
    <x v="2"/>
    <x v="2"/>
    <x v="1"/>
    <x v="0"/>
    <x v="62"/>
    <x v="59"/>
    <x v="1"/>
    <x v="342"/>
    <x v="47"/>
    <x v="2"/>
  </r>
  <r>
    <x v="47"/>
    <x v="182"/>
    <x v="2"/>
    <x v="2"/>
    <x v="1"/>
    <x v="0"/>
    <x v="33"/>
    <x v="392"/>
    <x v="759"/>
    <x v="0"/>
    <x v="47"/>
    <x v="2"/>
  </r>
  <r>
    <x v="47"/>
    <x v="216"/>
    <x v="2"/>
    <x v="2"/>
    <x v="1"/>
    <x v="0"/>
    <x v="33"/>
    <x v="332"/>
    <x v="874"/>
    <x v="0"/>
    <x v="47"/>
    <x v="2"/>
  </r>
  <r>
    <x v="47"/>
    <x v="280"/>
    <x v="2"/>
    <x v="2"/>
    <x v="1"/>
    <x v="0"/>
    <x v="33"/>
    <x v="295"/>
    <x v="899"/>
    <x v="0"/>
    <x v="47"/>
    <x v="2"/>
  </r>
  <r>
    <x v="47"/>
    <x v="223"/>
    <x v="2"/>
    <x v="2"/>
    <x v="1"/>
    <x v="0"/>
    <x v="33"/>
    <x v="434"/>
    <x v="934"/>
    <x v="0"/>
    <x v="47"/>
    <x v="2"/>
  </r>
  <r>
    <x v="47"/>
    <x v="316"/>
    <x v="2"/>
    <x v="2"/>
    <x v="1"/>
    <x v="0"/>
    <x v="33"/>
    <x v="348"/>
    <x v="874"/>
    <x v="0"/>
    <x v="47"/>
    <x v="2"/>
  </r>
  <r>
    <x v="47"/>
    <x v="224"/>
    <x v="2"/>
    <x v="2"/>
    <x v="1"/>
    <x v="0"/>
    <x v="33"/>
    <x v="414"/>
    <x v="146"/>
    <x v="0"/>
    <x v="47"/>
    <x v="2"/>
  </r>
  <r>
    <x v="47"/>
    <x v="264"/>
    <x v="6"/>
    <x v="6"/>
    <x v="1"/>
    <x v="0"/>
    <x v="33"/>
    <x v="311"/>
    <x v="899"/>
    <x v="0"/>
    <x v="47"/>
    <x v="2"/>
  </r>
  <r>
    <x v="47"/>
    <x v="281"/>
    <x v="6"/>
    <x v="6"/>
    <x v="1"/>
    <x v="0"/>
    <x v="33"/>
    <x v="395"/>
    <x v="1182"/>
    <x v="0"/>
    <x v="47"/>
    <x v="2"/>
  </r>
  <r>
    <x v="47"/>
    <x v="265"/>
    <x v="6"/>
    <x v="6"/>
    <x v="1"/>
    <x v="0"/>
    <x v="33"/>
    <x v="386"/>
    <x v="874"/>
    <x v="0"/>
    <x v="47"/>
    <x v="2"/>
  </r>
  <r>
    <x v="47"/>
    <x v="184"/>
    <x v="6"/>
    <x v="6"/>
    <x v="1"/>
    <x v="0"/>
    <x v="33"/>
    <x v="413"/>
    <x v="874"/>
    <x v="0"/>
    <x v="47"/>
    <x v="2"/>
  </r>
  <r>
    <x v="47"/>
    <x v="314"/>
    <x v="6"/>
    <x v="6"/>
    <x v="1"/>
    <x v="0"/>
    <x v="33"/>
    <x v="372"/>
    <x v="874"/>
    <x v="0"/>
    <x v="47"/>
    <x v="2"/>
  </r>
  <r>
    <x v="47"/>
    <x v="296"/>
    <x v="6"/>
    <x v="6"/>
    <x v="1"/>
    <x v="0"/>
    <x v="33"/>
    <x v="312"/>
    <x v="759"/>
    <x v="0"/>
    <x v="47"/>
    <x v="2"/>
  </r>
  <r>
    <x v="47"/>
    <x v="297"/>
    <x v="6"/>
    <x v="6"/>
    <x v="1"/>
    <x v="0"/>
    <x v="33"/>
    <x v="313"/>
    <x v="952"/>
    <x v="0"/>
    <x v="47"/>
    <x v="2"/>
  </r>
  <r>
    <x v="47"/>
    <x v="313"/>
    <x v="6"/>
    <x v="6"/>
    <x v="1"/>
    <x v="0"/>
    <x v="33"/>
    <x v="341"/>
    <x v="874"/>
    <x v="0"/>
    <x v="47"/>
    <x v="2"/>
  </r>
  <r>
    <x v="47"/>
    <x v="218"/>
    <x v="6"/>
    <x v="6"/>
    <x v="1"/>
    <x v="0"/>
    <x v="33"/>
    <x v="451"/>
    <x v="874"/>
    <x v="0"/>
    <x v="47"/>
    <x v="2"/>
  </r>
  <r>
    <x v="47"/>
    <x v="191"/>
    <x v="6"/>
    <x v="6"/>
    <x v="1"/>
    <x v="0"/>
    <x v="33"/>
    <x v="318"/>
    <x v="874"/>
    <x v="0"/>
    <x v="47"/>
    <x v="2"/>
  </r>
  <r>
    <x v="47"/>
    <x v="179"/>
    <x v="7"/>
    <x v="7"/>
    <x v="1"/>
    <x v="1"/>
    <x v="33"/>
    <x v="415"/>
    <x v="759"/>
    <x v="0"/>
    <x v="47"/>
    <x v="2"/>
  </r>
  <r>
    <x v="47"/>
    <x v="309"/>
    <x v="7"/>
    <x v="7"/>
    <x v="1"/>
    <x v="1"/>
    <x v="33"/>
    <x v="334"/>
    <x v="874"/>
    <x v="0"/>
    <x v="47"/>
    <x v="2"/>
  </r>
  <r>
    <x v="47"/>
    <x v="209"/>
    <x v="7"/>
    <x v="7"/>
    <x v="1"/>
    <x v="1"/>
    <x v="33"/>
    <x v="428"/>
    <x v="874"/>
    <x v="0"/>
    <x v="47"/>
    <x v="2"/>
  </r>
  <r>
    <x v="47"/>
    <x v="279"/>
    <x v="7"/>
    <x v="7"/>
    <x v="1"/>
    <x v="1"/>
    <x v="33"/>
    <x v="449"/>
    <x v="874"/>
    <x v="0"/>
    <x v="47"/>
    <x v="2"/>
  </r>
  <r>
    <x v="47"/>
    <x v="326"/>
    <x v="8"/>
    <x v="8"/>
    <x v="1"/>
    <x v="1"/>
    <x v="33"/>
    <x v="423"/>
    <x v="874"/>
    <x v="0"/>
    <x v="47"/>
    <x v="2"/>
  </r>
  <r>
    <x v="47"/>
    <x v="254"/>
    <x v="8"/>
    <x v="8"/>
    <x v="1"/>
    <x v="1"/>
    <x v="33"/>
    <x v="326"/>
    <x v="874"/>
    <x v="0"/>
    <x v="47"/>
    <x v="2"/>
  </r>
  <r>
    <x v="47"/>
    <x v="323"/>
    <x v="8"/>
    <x v="8"/>
    <x v="1"/>
    <x v="1"/>
    <x v="33"/>
    <x v="367"/>
    <x v="874"/>
    <x v="0"/>
    <x v="47"/>
    <x v="2"/>
  </r>
  <r>
    <x v="47"/>
    <x v="337"/>
    <x v="9"/>
    <x v="9"/>
    <x v="1"/>
    <x v="1"/>
    <x v="33"/>
    <x v="424"/>
    <x v="759"/>
    <x v="0"/>
    <x v="47"/>
    <x v="2"/>
  </r>
  <r>
    <x v="47"/>
    <x v="227"/>
    <x v="9"/>
    <x v="9"/>
    <x v="1"/>
    <x v="1"/>
    <x v="33"/>
    <x v="399"/>
    <x v="874"/>
    <x v="0"/>
    <x v="47"/>
    <x v="2"/>
  </r>
  <r>
    <x v="47"/>
    <x v="194"/>
    <x v="9"/>
    <x v="9"/>
    <x v="1"/>
    <x v="1"/>
    <x v="33"/>
    <x v="390"/>
    <x v="874"/>
    <x v="0"/>
    <x v="47"/>
    <x v="2"/>
  </r>
  <r>
    <x v="47"/>
    <x v="238"/>
    <x v="9"/>
    <x v="9"/>
    <x v="1"/>
    <x v="1"/>
    <x v="33"/>
    <x v="379"/>
    <x v="146"/>
    <x v="0"/>
    <x v="47"/>
    <x v="2"/>
  </r>
  <r>
    <x v="47"/>
    <x v="197"/>
    <x v="9"/>
    <x v="9"/>
    <x v="1"/>
    <x v="1"/>
    <x v="33"/>
    <x v="432"/>
    <x v="874"/>
    <x v="0"/>
    <x v="47"/>
    <x v="2"/>
  </r>
  <r>
    <x v="47"/>
    <x v="291"/>
    <x v="9"/>
    <x v="9"/>
    <x v="1"/>
    <x v="1"/>
    <x v="33"/>
    <x v="303"/>
    <x v="765"/>
    <x v="0"/>
    <x v="47"/>
    <x v="2"/>
  </r>
  <r>
    <x v="47"/>
    <x v="286"/>
    <x v="10"/>
    <x v="10"/>
    <x v="1"/>
    <x v="1"/>
    <x v="33"/>
    <x v="297"/>
    <x v="759"/>
    <x v="0"/>
    <x v="47"/>
    <x v="2"/>
  </r>
  <r>
    <x v="47"/>
    <x v="317"/>
    <x v="10"/>
    <x v="10"/>
    <x v="1"/>
    <x v="1"/>
    <x v="33"/>
    <x v="401"/>
    <x v="874"/>
    <x v="0"/>
    <x v="47"/>
    <x v="2"/>
  </r>
  <r>
    <x v="47"/>
    <x v="180"/>
    <x v="10"/>
    <x v="10"/>
    <x v="1"/>
    <x v="1"/>
    <x v="33"/>
    <x v="452"/>
    <x v="874"/>
    <x v="0"/>
    <x v="47"/>
    <x v="2"/>
  </r>
  <r>
    <x v="47"/>
    <x v="268"/>
    <x v="10"/>
    <x v="10"/>
    <x v="1"/>
    <x v="1"/>
    <x v="33"/>
    <x v="339"/>
    <x v="874"/>
    <x v="0"/>
    <x v="47"/>
    <x v="2"/>
  </r>
  <r>
    <x v="47"/>
    <x v="232"/>
    <x v="10"/>
    <x v="10"/>
    <x v="1"/>
    <x v="1"/>
    <x v="33"/>
    <x v="290"/>
    <x v="874"/>
    <x v="0"/>
    <x v="47"/>
    <x v="2"/>
  </r>
  <r>
    <x v="47"/>
    <x v="186"/>
    <x v="10"/>
    <x v="10"/>
    <x v="1"/>
    <x v="1"/>
    <x v="33"/>
    <x v="321"/>
    <x v="759"/>
    <x v="0"/>
    <x v="47"/>
    <x v="2"/>
  </r>
  <r>
    <x v="47"/>
    <x v="329"/>
    <x v="10"/>
    <x v="10"/>
    <x v="1"/>
    <x v="1"/>
    <x v="33"/>
    <x v="380"/>
    <x v="874"/>
    <x v="0"/>
    <x v="47"/>
    <x v="2"/>
  </r>
  <r>
    <x v="47"/>
    <x v="233"/>
    <x v="10"/>
    <x v="10"/>
    <x v="1"/>
    <x v="1"/>
    <x v="33"/>
    <x v="344"/>
    <x v="759"/>
    <x v="0"/>
    <x v="47"/>
    <x v="2"/>
  </r>
  <r>
    <x v="47"/>
    <x v="176"/>
    <x v="10"/>
    <x v="10"/>
    <x v="1"/>
    <x v="1"/>
    <x v="33"/>
    <x v="412"/>
    <x v="765"/>
    <x v="0"/>
    <x v="47"/>
    <x v="2"/>
  </r>
  <r>
    <x v="47"/>
    <x v="189"/>
    <x v="10"/>
    <x v="10"/>
    <x v="1"/>
    <x v="1"/>
    <x v="33"/>
    <x v="345"/>
    <x v="874"/>
    <x v="0"/>
    <x v="47"/>
    <x v="2"/>
  </r>
  <r>
    <x v="47"/>
    <x v="325"/>
    <x v="11"/>
    <x v="11"/>
    <x v="1"/>
    <x v="1"/>
    <x v="33"/>
    <x v="421"/>
    <x v="759"/>
    <x v="0"/>
    <x v="47"/>
    <x v="2"/>
  </r>
  <r>
    <x v="47"/>
    <x v="187"/>
    <x v="11"/>
    <x v="11"/>
    <x v="1"/>
    <x v="1"/>
    <x v="33"/>
    <x v="328"/>
    <x v="874"/>
    <x v="0"/>
    <x v="47"/>
    <x v="2"/>
  </r>
  <r>
    <x v="47"/>
    <x v="201"/>
    <x v="11"/>
    <x v="11"/>
    <x v="1"/>
    <x v="1"/>
    <x v="33"/>
    <x v="422"/>
    <x v="146"/>
    <x v="0"/>
    <x v="47"/>
    <x v="2"/>
  </r>
  <r>
    <x v="47"/>
    <x v="299"/>
    <x v="11"/>
    <x v="11"/>
    <x v="1"/>
    <x v="1"/>
    <x v="33"/>
    <x v="315"/>
    <x v="874"/>
    <x v="0"/>
    <x v="47"/>
    <x v="2"/>
  </r>
  <r>
    <x v="47"/>
    <x v="202"/>
    <x v="11"/>
    <x v="11"/>
    <x v="1"/>
    <x v="1"/>
    <x v="33"/>
    <x v="305"/>
    <x v="874"/>
    <x v="0"/>
    <x v="47"/>
    <x v="2"/>
  </r>
  <r>
    <x v="47"/>
    <x v="311"/>
    <x v="11"/>
    <x v="11"/>
    <x v="1"/>
    <x v="1"/>
    <x v="33"/>
    <x v="440"/>
    <x v="934"/>
    <x v="0"/>
    <x v="47"/>
    <x v="2"/>
  </r>
  <r>
    <x v="47"/>
    <x v="181"/>
    <x v="11"/>
    <x v="11"/>
    <x v="1"/>
    <x v="1"/>
    <x v="33"/>
    <x v="362"/>
    <x v="874"/>
    <x v="0"/>
    <x v="47"/>
    <x v="2"/>
  </r>
  <r>
    <x v="47"/>
    <x v="222"/>
    <x v="2"/>
    <x v="2"/>
    <x v="1"/>
    <x v="1"/>
    <x v="32"/>
    <x v="384"/>
    <x v="874"/>
    <x v="0"/>
    <x v="47"/>
    <x v="2"/>
  </r>
  <r>
    <x v="47"/>
    <x v="182"/>
    <x v="2"/>
    <x v="2"/>
    <x v="1"/>
    <x v="1"/>
    <x v="33"/>
    <x v="392"/>
    <x v="874"/>
    <x v="0"/>
    <x v="47"/>
    <x v="2"/>
  </r>
  <r>
    <x v="47"/>
    <x v="216"/>
    <x v="2"/>
    <x v="2"/>
    <x v="1"/>
    <x v="1"/>
    <x v="33"/>
    <x v="332"/>
    <x v="765"/>
    <x v="0"/>
    <x v="47"/>
    <x v="2"/>
  </r>
  <r>
    <x v="47"/>
    <x v="224"/>
    <x v="2"/>
    <x v="2"/>
    <x v="1"/>
    <x v="1"/>
    <x v="33"/>
    <x v="414"/>
    <x v="146"/>
    <x v="0"/>
    <x v="47"/>
    <x v="2"/>
  </r>
  <r>
    <x v="47"/>
    <x v="264"/>
    <x v="6"/>
    <x v="6"/>
    <x v="1"/>
    <x v="1"/>
    <x v="33"/>
    <x v="311"/>
    <x v="1132"/>
    <x v="0"/>
    <x v="47"/>
    <x v="2"/>
  </r>
  <r>
    <x v="47"/>
    <x v="281"/>
    <x v="6"/>
    <x v="6"/>
    <x v="1"/>
    <x v="1"/>
    <x v="33"/>
    <x v="395"/>
    <x v="874"/>
    <x v="0"/>
    <x v="47"/>
    <x v="2"/>
  </r>
  <r>
    <x v="47"/>
    <x v="265"/>
    <x v="6"/>
    <x v="6"/>
    <x v="1"/>
    <x v="1"/>
    <x v="33"/>
    <x v="386"/>
    <x v="874"/>
    <x v="0"/>
    <x v="47"/>
    <x v="2"/>
  </r>
  <r>
    <x v="47"/>
    <x v="184"/>
    <x v="6"/>
    <x v="6"/>
    <x v="1"/>
    <x v="1"/>
    <x v="33"/>
    <x v="413"/>
    <x v="874"/>
    <x v="0"/>
    <x v="47"/>
    <x v="2"/>
  </r>
  <r>
    <x v="47"/>
    <x v="314"/>
    <x v="6"/>
    <x v="6"/>
    <x v="1"/>
    <x v="1"/>
    <x v="33"/>
    <x v="372"/>
    <x v="874"/>
    <x v="0"/>
    <x v="47"/>
    <x v="2"/>
  </r>
  <r>
    <x v="47"/>
    <x v="266"/>
    <x v="6"/>
    <x v="6"/>
    <x v="1"/>
    <x v="1"/>
    <x v="33"/>
    <x v="370"/>
    <x v="759"/>
    <x v="0"/>
    <x v="47"/>
    <x v="2"/>
  </r>
  <r>
    <x v="47"/>
    <x v="296"/>
    <x v="6"/>
    <x v="6"/>
    <x v="1"/>
    <x v="1"/>
    <x v="33"/>
    <x v="312"/>
    <x v="759"/>
    <x v="0"/>
    <x v="47"/>
    <x v="2"/>
  </r>
  <r>
    <x v="47"/>
    <x v="229"/>
    <x v="6"/>
    <x v="6"/>
    <x v="1"/>
    <x v="1"/>
    <x v="33"/>
    <x v="281"/>
    <x v="146"/>
    <x v="0"/>
    <x v="47"/>
    <x v="2"/>
  </r>
  <r>
    <x v="47"/>
    <x v="241"/>
    <x v="6"/>
    <x v="6"/>
    <x v="1"/>
    <x v="1"/>
    <x v="33"/>
    <x v="447"/>
    <x v="874"/>
    <x v="0"/>
    <x v="47"/>
    <x v="2"/>
  </r>
  <r>
    <x v="48"/>
    <x v="310"/>
    <x v="10"/>
    <x v="10"/>
    <x v="1"/>
    <x v="2"/>
    <x v="32"/>
    <x v="335"/>
    <x v="3113"/>
    <x v="0"/>
    <x v="48"/>
    <x v="2"/>
  </r>
  <r>
    <x v="49"/>
    <x v="207"/>
    <x v="8"/>
    <x v="8"/>
    <x v="1"/>
    <x v="2"/>
    <x v="32"/>
    <x v="374"/>
    <x v="841"/>
    <x v="0"/>
    <x v="49"/>
    <x v="2"/>
  </r>
  <r>
    <x v="49"/>
    <x v="243"/>
    <x v="10"/>
    <x v="10"/>
    <x v="1"/>
    <x v="2"/>
    <x v="32"/>
    <x v="411"/>
    <x v="1109"/>
    <x v="0"/>
    <x v="49"/>
    <x v="2"/>
  </r>
  <r>
    <x v="49"/>
    <x v="330"/>
    <x v="11"/>
    <x v="11"/>
    <x v="1"/>
    <x v="2"/>
    <x v="32"/>
    <x v="381"/>
    <x v="1331"/>
    <x v="0"/>
    <x v="49"/>
    <x v="2"/>
  </r>
  <r>
    <x v="49"/>
    <x v="173"/>
    <x v="8"/>
    <x v="8"/>
    <x v="1"/>
    <x v="0"/>
    <x v="33"/>
    <x v="378"/>
    <x v="874"/>
    <x v="0"/>
    <x v="49"/>
    <x v="2"/>
  </r>
  <r>
    <x v="49"/>
    <x v="276"/>
    <x v="2"/>
    <x v="2"/>
    <x v="1"/>
    <x v="0"/>
    <x v="33"/>
    <x v="385"/>
    <x v="874"/>
    <x v="0"/>
    <x v="49"/>
    <x v="2"/>
  </r>
  <r>
    <x v="50"/>
    <x v="238"/>
    <x v="9"/>
    <x v="9"/>
    <x v="1"/>
    <x v="2"/>
    <x v="32"/>
    <x v="379"/>
    <x v="1355"/>
    <x v="0"/>
    <x v="50"/>
    <x v="2"/>
  </r>
  <r>
    <x v="50"/>
    <x v="330"/>
    <x v="11"/>
    <x v="11"/>
    <x v="1"/>
    <x v="2"/>
    <x v="32"/>
    <x v="381"/>
    <x v="3114"/>
    <x v="0"/>
    <x v="50"/>
    <x v="2"/>
  </r>
  <r>
    <x v="50"/>
    <x v="229"/>
    <x v="6"/>
    <x v="6"/>
    <x v="1"/>
    <x v="2"/>
    <x v="32"/>
    <x v="281"/>
    <x v="2826"/>
    <x v="0"/>
    <x v="50"/>
    <x v="2"/>
  </r>
  <r>
    <x v="51"/>
    <x v="217"/>
    <x v="6"/>
    <x v="6"/>
    <x v="1"/>
    <x v="2"/>
    <x v="32"/>
    <x v="323"/>
    <x v="3115"/>
    <x v="0"/>
    <x v="51"/>
    <x v="2"/>
  </r>
  <r>
    <x v="52"/>
    <x v="263"/>
    <x v="10"/>
    <x v="10"/>
    <x v="1"/>
    <x v="2"/>
    <x v="32"/>
    <x v="436"/>
    <x v="3116"/>
    <x v="0"/>
    <x v="52"/>
    <x v="2"/>
  </r>
  <r>
    <x v="53"/>
    <x v="327"/>
    <x v="7"/>
    <x v="7"/>
    <x v="1"/>
    <x v="0"/>
    <x v="33"/>
    <x v="387"/>
    <x v="759"/>
    <x v="0"/>
    <x v="53"/>
    <x v="2"/>
  </r>
  <r>
    <x v="53"/>
    <x v="258"/>
    <x v="7"/>
    <x v="7"/>
    <x v="1"/>
    <x v="0"/>
    <x v="33"/>
    <x v="349"/>
    <x v="874"/>
    <x v="0"/>
    <x v="53"/>
    <x v="2"/>
  </r>
  <r>
    <x v="53"/>
    <x v="206"/>
    <x v="7"/>
    <x v="7"/>
    <x v="1"/>
    <x v="0"/>
    <x v="33"/>
    <x v="284"/>
    <x v="759"/>
    <x v="0"/>
    <x v="53"/>
    <x v="2"/>
  </r>
  <r>
    <x v="53"/>
    <x v="326"/>
    <x v="8"/>
    <x v="8"/>
    <x v="1"/>
    <x v="0"/>
    <x v="33"/>
    <x v="423"/>
    <x v="759"/>
    <x v="0"/>
    <x v="53"/>
    <x v="2"/>
  </r>
  <r>
    <x v="53"/>
    <x v="173"/>
    <x v="8"/>
    <x v="8"/>
    <x v="1"/>
    <x v="0"/>
    <x v="33"/>
    <x v="378"/>
    <x v="759"/>
    <x v="0"/>
    <x v="53"/>
    <x v="2"/>
  </r>
  <r>
    <x v="53"/>
    <x v="337"/>
    <x v="9"/>
    <x v="9"/>
    <x v="1"/>
    <x v="0"/>
    <x v="33"/>
    <x v="424"/>
    <x v="874"/>
    <x v="0"/>
    <x v="53"/>
    <x v="2"/>
  </r>
  <r>
    <x v="53"/>
    <x v="194"/>
    <x v="9"/>
    <x v="9"/>
    <x v="1"/>
    <x v="0"/>
    <x v="33"/>
    <x v="390"/>
    <x v="759"/>
    <x v="0"/>
    <x v="53"/>
    <x v="2"/>
  </r>
  <r>
    <x v="53"/>
    <x v="178"/>
    <x v="9"/>
    <x v="9"/>
    <x v="1"/>
    <x v="0"/>
    <x v="33"/>
    <x v="353"/>
    <x v="146"/>
    <x v="0"/>
    <x v="53"/>
    <x v="2"/>
  </r>
  <r>
    <x v="53"/>
    <x v="317"/>
    <x v="10"/>
    <x v="10"/>
    <x v="1"/>
    <x v="0"/>
    <x v="33"/>
    <x v="401"/>
    <x v="759"/>
    <x v="0"/>
    <x v="53"/>
    <x v="2"/>
  </r>
  <r>
    <x v="53"/>
    <x v="248"/>
    <x v="10"/>
    <x v="10"/>
    <x v="1"/>
    <x v="0"/>
    <x v="33"/>
    <x v="304"/>
    <x v="146"/>
    <x v="0"/>
    <x v="53"/>
    <x v="2"/>
  </r>
  <r>
    <x v="53"/>
    <x v="269"/>
    <x v="11"/>
    <x v="11"/>
    <x v="1"/>
    <x v="0"/>
    <x v="33"/>
    <x v="403"/>
    <x v="759"/>
    <x v="0"/>
    <x v="53"/>
    <x v="2"/>
  </r>
  <r>
    <x v="53"/>
    <x v="187"/>
    <x v="11"/>
    <x v="11"/>
    <x v="1"/>
    <x v="0"/>
    <x v="33"/>
    <x v="328"/>
    <x v="146"/>
    <x v="0"/>
    <x v="53"/>
    <x v="2"/>
  </r>
  <r>
    <x v="53"/>
    <x v="202"/>
    <x v="11"/>
    <x v="11"/>
    <x v="1"/>
    <x v="0"/>
    <x v="33"/>
    <x v="305"/>
    <x v="874"/>
    <x v="0"/>
    <x v="53"/>
    <x v="2"/>
  </r>
  <r>
    <x v="53"/>
    <x v="294"/>
    <x v="11"/>
    <x v="11"/>
    <x v="1"/>
    <x v="0"/>
    <x v="33"/>
    <x v="382"/>
    <x v="874"/>
    <x v="0"/>
    <x v="53"/>
    <x v="2"/>
  </r>
  <r>
    <x v="53"/>
    <x v="223"/>
    <x v="2"/>
    <x v="2"/>
    <x v="1"/>
    <x v="0"/>
    <x v="33"/>
    <x v="434"/>
    <x v="874"/>
    <x v="0"/>
    <x v="53"/>
    <x v="2"/>
  </r>
  <r>
    <x v="53"/>
    <x v="276"/>
    <x v="2"/>
    <x v="2"/>
    <x v="1"/>
    <x v="0"/>
    <x v="33"/>
    <x v="385"/>
    <x v="759"/>
    <x v="0"/>
    <x v="53"/>
    <x v="2"/>
  </r>
  <r>
    <x v="53"/>
    <x v="236"/>
    <x v="6"/>
    <x v="6"/>
    <x v="1"/>
    <x v="0"/>
    <x v="33"/>
    <x v="371"/>
    <x v="146"/>
    <x v="0"/>
    <x v="53"/>
    <x v="2"/>
  </r>
  <r>
    <x v="53"/>
    <x v="218"/>
    <x v="6"/>
    <x v="6"/>
    <x v="1"/>
    <x v="0"/>
    <x v="33"/>
    <x v="451"/>
    <x v="759"/>
    <x v="0"/>
    <x v="53"/>
    <x v="2"/>
  </r>
  <r>
    <x v="53"/>
    <x v="174"/>
    <x v="6"/>
    <x v="6"/>
    <x v="1"/>
    <x v="0"/>
    <x v="33"/>
    <x v="282"/>
    <x v="874"/>
    <x v="0"/>
    <x v="53"/>
    <x v="2"/>
  </r>
  <r>
    <x v="53"/>
    <x v="190"/>
    <x v="6"/>
    <x v="6"/>
    <x v="1"/>
    <x v="0"/>
    <x v="33"/>
    <x v="342"/>
    <x v="874"/>
    <x v="0"/>
    <x v="53"/>
    <x v="2"/>
  </r>
  <r>
    <x v="53"/>
    <x v="191"/>
    <x v="6"/>
    <x v="6"/>
    <x v="1"/>
    <x v="0"/>
    <x v="33"/>
    <x v="318"/>
    <x v="146"/>
    <x v="0"/>
    <x v="53"/>
    <x v="2"/>
  </r>
  <r>
    <x v="55"/>
    <x v="259"/>
    <x v="7"/>
    <x v="7"/>
    <x v="1"/>
    <x v="20"/>
    <x v="33"/>
    <x v="355"/>
    <x v="3117"/>
    <x v="0"/>
    <x v="55"/>
    <x v="2"/>
  </r>
  <r>
    <x v="55"/>
    <x v="225"/>
    <x v="7"/>
    <x v="7"/>
    <x v="1"/>
    <x v="20"/>
    <x v="32"/>
    <x v="416"/>
    <x v="3118"/>
    <x v="0"/>
    <x v="55"/>
    <x v="2"/>
  </r>
  <r>
    <x v="55"/>
    <x v="210"/>
    <x v="7"/>
    <x v="7"/>
    <x v="1"/>
    <x v="20"/>
    <x v="32"/>
    <x v="418"/>
    <x v="2943"/>
    <x v="0"/>
    <x v="55"/>
    <x v="2"/>
  </r>
  <r>
    <x v="55"/>
    <x v="251"/>
    <x v="8"/>
    <x v="8"/>
    <x v="1"/>
    <x v="20"/>
    <x v="32"/>
    <x v="291"/>
    <x v="764"/>
    <x v="0"/>
    <x v="55"/>
    <x v="2"/>
  </r>
  <r>
    <x v="55"/>
    <x v="247"/>
    <x v="8"/>
    <x v="8"/>
    <x v="1"/>
    <x v="20"/>
    <x v="32"/>
    <x v="289"/>
    <x v="1675"/>
    <x v="0"/>
    <x v="55"/>
    <x v="2"/>
  </r>
  <r>
    <x v="55"/>
    <x v="254"/>
    <x v="8"/>
    <x v="8"/>
    <x v="1"/>
    <x v="20"/>
    <x v="32"/>
    <x v="326"/>
    <x v="3119"/>
    <x v="0"/>
    <x v="55"/>
    <x v="2"/>
  </r>
  <r>
    <x v="55"/>
    <x v="263"/>
    <x v="10"/>
    <x v="10"/>
    <x v="1"/>
    <x v="20"/>
    <x v="32"/>
    <x v="436"/>
    <x v="1505"/>
    <x v="0"/>
    <x v="55"/>
    <x v="2"/>
  </r>
  <r>
    <x v="55"/>
    <x v="193"/>
    <x v="11"/>
    <x v="11"/>
    <x v="1"/>
    <x v="20"/>
    <x v="33"/>
    <x v="369"/>
    <x v="3120"/>
    <x v="0"/>
    <x v="55"/>
    <x v="2"/>
  </r>
  <r>
    <x v="55"/>
    <x v="330"/>
    <x v="11"/>
    <x v="11"/>
    <x v="1"/>
    <x v="20"/>
    <x v="32"/>
    <x v="381"/>
    <x v="2943"/>
    <x v="0"/>
    <x v="55"/>
    <x v="2"/>
  </r>
  <r>
    <x v="55"/>
    <x v="217"/>
    <x v="6"/>
    <x v="6"/>
    <x v="1"/>
    <x v="20"/>
    <x v="32"/>
    <x v="323"/>
    <x v="3121"/>
    <x v="0"/>
    <x v="55"/>
    <x v="2"/>
  </r>
  <r>
    <x v="55"/>
    <x v="305"/>
    <x v="6"/>
    <x v="6"/>
    <x v="1"/>
    <x v="20"/>
    <x v="33"/>
    <x v="331"/>
    <x v="3122"/>
    <x v="0"/>
    <x v="55"/>
    <x v="2"/>
  </r>
  <r>
    <x v="55"/>
    <x v="266"/>
    <x v="6"/>
    <x v="6"/>
    <x v="1"/>
    <x v="20"/>
    <x v="32"/>
    <x v="370"/>
    <x v="3123"/>
    <x v="0"/>
    <x v="55"/>
    <x v="2"/>
  </r>
  <r>
    <x v="55"/>
    <x v="335"/>
    <x v="6"/>
    <x v="6"/>
    <x v="1"/>
    <x v="20"/>
    <x v="32"/>
    <x v="408"/>
    <x v="1942"/>
    <x v="0"/>
    <x v="55"/>
    <x v="2"/>
  </r>
  <r>
    <x v="55"/>
    <x v="209"/>
    <x v="7"/>
    <x v="7"/>
    <x v="1"/>
    <x v="21"/>
    <x v="33"/>
    <x v="428"/>
    <x v="3124"/>
    <x v="0"/>
    <x v="55"/>
    <x v="2"/>
  </r>
  <r>
    <x v="55"/>
    <x v="254"/>
    <x v="8"/>
    <x v="8"/>
    <x v="1"/>
    <x v="21"/>
    <x v="32"/>
    <x v="326"/>
    <x v="3125"/>
    <x v="0"/>
    <x v="55"/>
    <x v="2"/>
  </r>
  <r>
    <x v="55"/>
    <x v="198"/>
    <x v="10"/>
    <x v="10"/>
    <x v="1"/>
    <x v="21"/>
    <x v="33"/>
    <x v="338"/>
    <x v="2325"/>
    <x v="0"/>
    <x v="55"/>
    <x v="2"/>
  </r>
  <r>
    <x v="55"/>
    <x v="243"/>
    <x v="10"/>
    <x v="10"/>
    <x v="1"/>
    <x v="21"/>
    <x v="33"/>
    <x v="411"/>
    <x v="3126"/>
    <x v="0"/>
    <x v="55"/>
    <x v="2"/>
  </r>
  <r>
    <x v="55"/>
    <x v="302"/>
    <x v="11"/>
    <x v="11"/>
    <x v="1"/>
    <x v="21"/>
    <x v="33"/>
    <x v="324"/>
    <x v="3127"/>
    <x v="0"/>
    <x v="55"/>
    <x v="2"/>
  </r>
  <r>
    <x v="55"/>
    <x v="314"/>
    <x v="6"/>
    <x v="6"/>
    <x v="1"/>
    <x v="21"/>
    <x v="32"/>
    <x v="372"/>
    <x v="1"/>
    <x v="597"/>
    <x v="55"/>
    <x v="2"/>
  </r>
  <r>
    <x v="55"/>
    <x v="229"/>
    <x v="6"/>
    <x v="6"/>
    <x v="1"/>
    <x v="21"/>
    <x v="33"/>
    <x v="281"/>
    <x v="3128"/>
    <x v="0"/>
    <x v="55"/>
    <x v="2"/>
  </r>
  <r>
    <x v="55"/>
    <x v="266"/>
    <x v="6"/>
    <x v="6"/>
    <x v="1"/>
    <x v="22"/>
    <x v="32"/>
    <x v="370"/>
    <x v="3129"/>
    <x v="0"/>
    <x v="55"/>
    <x v="2"/>
  </r>
  <r>
    <x v="55"/>
    <x v="194"/>
    <x v="9"/>
    <x v="9"/>
    <x v="1"/>
    <x v="3"/>
    <x v="33"/>
    <x v="390"/>
    <x v="736"/>
    <x v="0"/>
    <x v="55"/>
    <x v="2"/>
  </r>
  <r>
    <x v="55"/>
    <x v="333"/>
    <x v="9"/>
    <x v="9"/>
    <x v="1"/>
    <x v="3"/>
    <x v="33"/>
    <x v="400"/>
    <x v="146"/>
    <x v="0"/>
    <x v="55"/>
    <x v="2"/>
  </r>
  <r>
    <x v="55"/>
    <x v="211"/>
    <x v="9"/>
    <x v="9"/>
    <x v="1"/>
    <x v="3"/>
    <x v="33"/>
    <x v="286"/>
    <x v="735"/>
    <x v="0"/>
    <x v="55"/>
    <x v="2"/>
  </r>
  <r>
    <x v="55"/>
    <x v="255"/>
    <x v="9"/>
    <x v="9"/>
    <x v="1"/>
    <x v="3"/>
    <x v="33"/>
    <x v="293"/>
    <x v="3130"/>
    <x v="0"/>
    <x v="55"/>
    <x v="2"/>
  </r>
  <r>
    <x v="55"/>
    <x v="230"/>
    <x v="9"/>
    <x v="9"/>
    <x v="1"/>
    <x v="3"/>
    <x v="33"/>
    <x v="283"/>
    <x v="905"/>
    <x v="0"/>
    <x v="55"/>
    <x v="2"/>
  </r>
  <r>
    <x v="55"/>
    <x v="180"/>
    <x v="10"/>
    <x v="10"/>
    <x v="1"/>
    <x v="3"/>
    <x v="33"/>
    <x v="452"/>
    <x v="911"/>
    <x v="0"/>
    <x v="55"/>
    <x v="2"/>
  </r>
  <r>
    <x v="55"/>
    <x v="205"/>
    <x v="7"/>
    <x v="7"/>
    <x v="1"/>
    <x v="4"/>
    <x v="33"/>
    <x v="299"/>
    <x v="759"/>
    <x v="0"/>
    <x v="55"/>
    <x v="2"/>
  </r>
  <r>
    <x v="55"/>
    <x v="206"/>
    <x v="7"/>
    <x v="7"/>
    <x v="1"/>
    <x v="4"/>
    <x v="33"/>
    <x v="284"/>
    <x v="736"/>
    <x v="0"/>
    <x v="55"/>
    <x v="2"/>
  </r>
  <r>
    <x v="55"/>
    <x v="244"/>
    <x v="10"/>
    <x v="10"/>
    <x v="1"/>
    <x v="4"/>
    <x v="32"/>
    <x v="433"/>
    <x v="3131"/>
    <x v="0"/>
    <x v="55"/>
    <x v="2"/>
  </r>
  <r>
    <x v="55"/>
    <x v="187"/>
    <x v="11"/>
    <x v="11"/>
    <x v="1"/>
    <x v="4"/>
    <x v="33"/>
    <x v="328"/>
    <x v="3132"/>
    <x v="0"/>
    <x v="55"/>
    <x v="2"/>
  </r>
  <r>
    <x v="55"/>
    <x v="275"/>
    <x v="11"/>
    <x v="11"/>
    <x v="1"/>
    <x v="4"/>
    <x v="33"/>
    <x v="307"/>
    <x v="3133"/>
    <x v="0"/>
    <x v="55"/>
    <x v="2"/>
  </r>
  <r>
    <x v="55"/>
    <x v="314"/>
    <x v="6"/>
    <x v="6"/>
    <x v="1"/>
    <x v="4"/>
    <x v="32"/>
    <x v="372"/>
    <x v="1"/>
    <x v="598"/>
    <x v="55"/>
    <x v="2"/>
  </r>
  <r>
    <x v="55"/>
    <x v="268"/>
    <x v="10"/>
    <x v="10"/>
    <x v="1"/>
    <x v="5"/>
    <x v="32"/>
    <x v="339"/>
    <x v="743"/>
    <x v="0"/>
    <x v="55"/>
    <x v="2"/>
  </r>
  <r>
    <x v="55"/>
    <x v="181"/>
    <x v="11"/>
    <x v="11"/>
    <x v="1"/>
    <x v="5"/>
    <x v="33"/>
    <x v="362"/>
    <x v="3134"/>
    <x v="0"/>
    <x v="55"/>
    <x v="2"/>
  </r>
  <r>
    <x v="55"/>
    <x v="252"/>
    <x v="7"/>
    <x v="7"/>
    <x v="1"/>
    <x v="6"/>
    <x v="33"/>
    <x v="396"/>
    <x v="899"/>
    <x v="0"/>
    <x v="55"/>
    <x v="2"/>
  </r>
  <r>
    <x v="55"/>
    <x v="260"/>
    <x v="7"/>
    <x v="7"/>
    <x v="1"/>
    <x v="6"/>
    <x v="32"/>
    <x v="437"/>
    <x v="3135"/>
    <x v="0"/>
    <x v="55"/>
    <x v="2"/>
  </r>
  <r>
    <x v="55"/>
    <x v="254"/>
    <x v="8"/>
    <x v="8"/>
    <x v="1"/>
    <x v="6"/>
    <x v="33"/>
    <x v="326"/>
    <x v="3136"/>
    <x v="0"/>
    <x v="55"/>
    <x v="2"/>
  </r>
  <r>
    <x v="55"/>
    <x v="185"/>
    <x v="8"/>
    <x v="8"/>
    <x v="1"/>
    <x v="6"/>
    <x v="32"/>
    <x v="296"/>
    <x v="2015"/>
    <x v="0"/>
    <x v="55"/>
    <x v="2"/>
  </r>
  <r>
    <x v="55"/>
    <x v="194"/>
    <x v="9"/>
    <x v="9"/>
    <x v="1"/>
    <x v="6"/>
    <x v="33"/>
    <x v="390"/>
    <x v="899"/>
    <x v="0"/>
    <x v="55"/>
    <x v="2"/>
  </r>
  <r>
    <x v="55"/>
    <x v="242"/>
    <x v="9"/>
    <x v="9"/>
    <x v="1"/>
    <x v="6"/>
    <x v="33"/>
    <x v="435"/>
    <x v="3137"/>
    <x v="0"/>
    <x v="55"/>
    <x v="2"/>
  </r>
  <r>
    <x v="55"/>
    <x v="219"/>
    <x v="9"/>
    <x v="9"/>
    <x v="1"/>
    <x v="6"/>
    <x v="33"/>
    <x v="308"/>
    <x v="3138"/>
    <x v="0"/>
    <x v="55"/>
    <x v="2"/>
  </r>
  <r>
    <x v="55"/>
    <x v="331"/>
    <x v="9"/>
    <x v="9"/>
    <x v="1"/>
    <x v="6"/>
    <x v="32"/>
    <x v="391"/>
    <x v="1759"/>
    <x v="0"/>
    <x v="55"/>
    <x v="2"/>
  </r>
  <r>
    <x v="55"/>
    <x v="198"/>
    <x v="10"/>
    <x v="10"/>
    <x v="1"/>
    <x v="6"/>
    <x v="33"/>
    <x v="338"/>
    <x v="909"/>
    <x v="0"/>
    <x v="55"/>
    <x v="2"/>
  </r>
  <r>
    <x v="55"/>
    <x v="263"/>
    <x v="10"/>
    <x v="10"/>
    <x v="1"/>
    <x v="6"/>
    <x v="32"/>
    <x v="436"/>
    <x v="3139"/>
    <x v="0"/>
    <x v="55"/>
    <x v="2"/>
  </r>
  <r>
    <x v="55"/>
    <x v="310"/>
    <x v="10"/>
    <x v="10"/>
    <x v="1"/>
    <x v="6"/>
    <x v="32"/>
    <x v="335"/>
    <x v="3140"/>
    <x v="0"/>
    <x v="55"/>
    <x v="2"/>
  </r>
  <r>
    <x v="55"/>
    <x v="243"/>
    <x v="10"/>
    <x v="10"/>
    <x v="1"/>
    <x v="6"/>
    <x v="32"/>
    <x v="411"/>
    <x v="3141"/>
    <x v="0"/>
    <x v="55"/>
    <x v="2"/>
  </r>
  <r>
    <x v="55"/>
    <x v="268"/>
    <x v="10"/>
    <x v="10"/>
    <x v="1"/>
    <x v="6"/>
    <x v="32"/>
    <x v="339"/>
    <x v="3142"/>
    <x v="0"/>
    <x v="55"/>
    <x v="2"/>
  </r>
  <r>
    <x v="55"/>
    <x v="186"/>
    <x v="10"/>
    <x v="10"/>
    <x v="1"/>
    <x v="6"/>
    <x v="33"/>
    <x v="321"/>
    <x v="3143"/>
    <x v="0"/>
    <x v="55"/>
    <x v="2"/>
  </r>
  <r>
    <x v="55"/>
    <x v="200"/>
    <x v="11"/>
    <x v="11"/>
    <x v="1"/>
    <x v="6"/>
    <x v="32"/>
    <x v="351"/>
    <x v="3144"/>
    <x v="0"/>
    <x v="55"/>
    <x v="2"/>
  </r>
  <r>
    <x v="55"/>
    <x v="200"/>
    <x v="11"/>
    <x v="11"/>
    <x v="1"/>
    <x v="6"/>
    <x v="33"/>
    <x v="351"/>
    <x v="798"/>
    <x v="0"/>
    <x v="55"/>
    <x v="2"/>
  </r>
  <r>
    <x v="55"/>
    <x v="282"/>
    <x v="11"/>
    <x v="11"/>
    <x v="1"/>
    <x v="6"/>
    <x v="32"/>
    <x v="358"/>
    <x v="1165"/>
    <x v="0"/>
    <x v="55"/>
    <x v="2"/>
  </r>
  <r>
    <x v="55"/>
    <x v="220"/>
    <x v="11"/>
    <x v="11"/>
    <x v="1"/>
    <x v="6"/>
    <x v="32"/>
    <x v="309"/>
    <x v="366"/>
    <x v="0"/>
    <x v="55"/>
    <x v="2"/>
  </r>
  <r>
    <x v="55"/>
    <x v="201"/>
    <x v="11"/>
    <x v="11"/>
    <x v="1"/>
    <x v="6"/>
    <x v="32"/>
    <x v="422"/>
    <x v="3145"/>
    <x v="0"/>
    <x v="55"/>
    <x v="2"/>
  </r>
  <r>
    <x v="55"/>
    <x v="202"/>
    <x v="11"/>
    <x v="11"/>
    <x v="1"/>
    <x v="6"/>
    <x v="32"/>
    <x v="305"/>
    <x v="1"/>
    <x v="599"/>
    <x v="55"/>
    <x v="2"/>
  </r>
  <r>
    <x v="55"/>
    <x v="330"/>
    <x v="11"/>
    <x v="11"/>
    <x v="1"/>
    <x v="6"/>
    <x v="32"/>
    <x v="381"/>
    <x v="1560"/>
    <x v="0"/>
    <x v="55"/>
    <x v="2"/>
  </r>
  <r>
    <x v="55"/>
    <x v="214"/>
    <x v="11"/>
    <x v="11"/>
    <x v="1"/>
    <x v="6"/>
    <x v="32"/>
    <x v="306"/>
    <x v="146"/>
    <x v="0"/>
    <x v="55"/>
    <x v="2"/>
  </r>
  <r>
    <x v="55"/>
    <x v="315"/>
    <x v="2"/>
    <x v="2"/>
    <x v="1"/>
    <x v="6"/>
    <x v="32"/>
    <x v="405"/>
    <x v="3146"/>
    <x v="0"/>
    <x v="55"/>
    <x v="2"/>
  </r>
  <r>
    <x v="55"/>
    <x v="240"/>
    <x v="2"/>
    <x v="2"/>
    <x v="1"/>
    <x v="6"/>
    <x v="32"/>
    <x v="442"/>
    <x v="3147"/>
    <x v="0"/>
    <x v="55"/>
    <x v="2"/>
  </r>
  <r>
    <x v="55"/>
    <x v="316"/>
    <x v="2"/>
    <x v="2"/>
    <x v="1"/>
    <x v="6"/>
    <x v="32"/>
    <x v="348"/>
    <x v="3148"/>
    <x v="0"/>
    <x v="55"/>
    <x v="2"/>
  </r>
  <r>
    <x v="55"/>
    <x v="183"/>
    <x v="2"/>
    <x v="2"/>
    <x v="1"/>
    <x v="6"/>
    <x v="32"/>
    <x v="330"/>
    <x v="3149"/>
    <x v="0"/>
    <x v="55"/>
    <x v="2"/>
  </r>
  <r>
    <x v="55"/>
    <x v="217"/>
    <x v="6"/>
    <x v="6"/>
    <x v="1"/>
    <x v="6"/>
    <x v="32"/>
    <x v="323"/>
    <x v="1499"/>
    <x v="0"/>
    <x v="55"/>
    <x v="2"/>
  </r>
  <r>
    <x v="55"/>
    <x v="266"/>
    <x v="6"/>
    <x v="6"/>
    <x v="1"/>
    <x v="6"/>
    <x v="32"/>
    <x v="370"/>
    <x v="1200"/>
    <x v="0"/>
    <x v="55"/>
    <x v="2"/>
  </r>
  <r>
    <x v="55"/>
    <x v="335"/>
    <x v="6"/>
    <x v="6"/>
    <x v="1"/>
    <x v="6"/>
    <x v="32"/>
    <x v="408"/>
    <x v="3150"/>
    <x v="0"/>
    <x v="55"/>
    <x v="2"/>
  </r>
  <r>
    <x v="55"/>
    <x v="255"/>
    <x v="9"/>
    <x v="9"/>
    <x v="1"/>
    <x v="25"/>
    <x v="33"/>
    <x v="293"/>
    <x v="3151"/>
    <x v="0"/>
    <x v="55"/>
    <x v="2"/>
  </r>
  <r>
    <x v="55"/>
    <x v="290"/>
    <x v="9"/>
    <x v="9"/>
    <x v="1"/>
    <x v="7"/>
    <x v="32"/>
    <x v="302"/>
    <x v="3152"/>
    <x v="0"/>
    <x v="55"/>
    <x v="2"/>
  </r>
  <r>
    <x v="55"/>
    <x v="310"/>
    <x v="10"/>
    <x v="10"/>
    <x v="1"/>
    <x v="7"/>
    <x v="32"/>
    <x v="335"/>
    <x v="3153"/>
    <x v="0"/>
    <x v="55"/>
    <x v="2"/>
  </r>
  <r>
    <x v="55"/>
    <x v="335"/>
    <x v="6"/>
    <x v="6"/>
    <x v="1"/>
    <x v="7"/>
    <x v="32"/>
    <x v="408"/>
    <x v="3154"/>
    <x v="0"/>
    <x v="55"/>
    <x v="2"/>
  </r>
  <r>
    <x v="55"/>
    <x v="261"/>
    <x v="8"/>
    <x v="8"/>
    <x v="1"/>
    <x v="8"/>
    <x v="33"/>
    <x v="320"/>
    <x v="3155"/>
    <x v="0"/>
    <x v="55"/>
    <x v="2"/>
  </r>
  <r>
    <x v="55"/>
    <x v="196"/>
    <x v="8"/>
    <x v="8"/>
    <x v="1"/>
    <x v="8"/>
    <x v="33"/>
    <x v="375"/>
    <x v="3156"/>
    <x v="0"/>
    <x v="55"/>
    <x v="2"/>
  </r>
  <r>
    <x v="55"/>
    <x v="243"/>
    <x v="10"/>
    <x v="10"/>
    <x v="1"/>
    <x v="8"/>
    <x v="33"/>
    <x v="411"/>
    <x v="736"/>
    <x v="0"/>
    <x v="55"/>
    <x v="2"/>
  </r>
  <r>
    <x v="55"/>
    <x v="232"/>
    <x v="10"/>
    <x v="10"/>
    <x v="1"/>
    <x v="8"/>
    <x v="33"/>
    <x v="290"/>
    <x v="3157"/>
    <x v="0"/>
    <x v="55"/>
    <x v="2"/>
  </r>
  <r>
    <x v="55"/>
    <x v="282"/>
    <x v="11"/>
    <x v="11"/>
    <x v="1"/>
    <x v="8"/>
    <x v="33"/>
    <x v="358"/>
    <x v="699"/>
    <x v="0"/>
    <x v="55"/>
    <x v="2"/>
  </r>
  <r>
    <x v="55"/>
    <x v="249"/>
    <x v="11"/>
    <x v="11"/>
    <x v="1"/>
    <x v="8"/>
    <x v="33"/>
    <x v="359"/>
    <x v="3158"/>
    <x v="0"/>
    <x v="55"/>
    <x v="2"/>
  </r>
  <r>
    <x v="55"/>
    <x v="299"/>
    <x v="11"/>
    <x v="11"/>
    <x v="1"/>
    <x v="8"/>
    <x v="33"/>
    <x v="315"/>
    <x v="3159"/>
    <x v="0"/>
    <x v="55"/>
    <x v="2"/>
  </r>
  <r>
    <x v="55"/>
    <x v="274"/>
    <x v="11"/>
    <x v="11"/>
    <x v="1"/>
    <x v="8"/>
    <x v="33"/>
    <x v="404"/>
    <x v="3160"/>
    <x v="0"/>
    <x v="55"/>
    <x v="2"/>
  </r>
  <r>
    <x v="55"/>
    <x v="334"/>
    <x v="2"/>
    <x v="2"/>
    <x v="1"/>
    <x v="8"/>
    <x v="33"/>
    <x v="406"/>
    <x v="3161"/>
    <x v="0"/>
    <x v="55"/>
    <x v="2"/>
  </r>
  <r>
    <x v="55"/>
    <x v="307"/>
    <x v="2"/>
    <x v="2"/>
    <x v="1"/>
    <x v="8"/>
    <x v="33"/>
    <x v="441"/>
    <x v="3162"/>
    <x v="0"/>
    <x v="55"/>
    <x v="2"/>
  </r>
  <r>
    <x v="55"/>
    <x v="276"/>
    <x v="2"/>
    <x v="2"/>
    <x v="1"/>
    <x v="8"/>
    <x v="33"/>
    <x v="385"/>
    <x v="3163"/>
    <x v="0"/>
    <x v="55"/>
    <x v="2"/>
  </r>
  <r>
    <x v="55"/>
    <x v="305"/>
    <x v="6"/>
    <x v="6"/>
    <x v="1"/>
    <x v="8"/>
    <x v="32"/>
    <x v="331"/>
    <x v="1"/>
    <x v="600"/>
    <x v="55"/>
    <x v="2"/>
  </r>
  <r>
    <x v="55"/>
    <x v="314"/>
    <x v="6"/>
    <x v="6"/>
    <x v="1"/>
    <x v="8"/>
    <x v="32"/>
    <x v="372"/>
    <x v="1"/>
    <x v="598"/>
    <x v="55"/>
    <x v="2"/>
  </r>
  <r>
    <x v="55"/>
    <x v="174"/>
    <x v="6"/>
    <x v="6"/>
    <x v="1"/>
    <x v="8"/>
    <x v="33"/>
    <x v="282"/>
    <x v="3164"/>
    <x v="0"/>
    <x v="55"/>
    <x v="2"/>
  </r>
  <r>
    <x v="55"/>
    <x v="206"/>
    <x v="7"/>
    <x v="7"/>
    <x v="1"/>
    <x v="9"/>
    <x v="32"/>
    <x v="284"/>
    <x v="3165"/>
    <x v="0"/>
    <x v="55"/>
    <x v="2"/>
  </r>
  <r>
    <x v="55"/>
    <x v="332"/>
    <x v="7"/>
    <x v="7"/>
    <x v="1"/>
    <x v="9"/>
    <x v="32"/>
    <x v="397"/>
    <x v="3166"/>
    <x v="0"/>
    <x v="55"/>
    <x v="2"/>
  </r>
  <r>
    <x v="55"/>
    <x v="192"/>
    <x v="8"/>
    <x v="8"/>
    <x v="1"/>
    <x v="9"/>
    <x v="33"/>
    <x v="300"/>
    <x v="1331"/>
    <x v="0"/>
    <x v="55"/>
    <x v="2"/>
  </r>
  <r>
    <x v="55"/>
    <x v="323"/>
    <x v="8"/>
    <x v="8"/>
    <x v="1"/>
    <x v="9"/>
    <x v="32"/>
    <x v="367"/>
    <x v="3167"/>
    <x v="0"/>
    <x v="55"/>
    <x v="2"/>
  </r>
  <r>
    <x v="55"/>
    <x v="319"/>
    <x v="8"/>
    <x v="8"/>
    <x v="1"/>
    <x v="9"/>
    <x v="33"/>
    <x v="350"/>
    <x v="3168"/>
    <x v="0"/>
    <x v="55"/>
    <x v="2"/>
  </r>
  <r>
    <x v="55"/>
    <x v="243"/>
    <x v="10"/>
    <x v="10"/>
    <x v="1"/>
    <x v="9"/>
    <x v="32"/>
    <x v="411"/>
    <x v="3169"/>
    <x v="0"/>
    <x v="55"/>
    <x v="2"/>
  </r>
  <r>
    <x v="55"/>
    <x v="233"/>
    <x v="10"/>
    <x v="10"/>
    <x v="1"/>
    <x v="9"/>
    <x v="33"/>
    <x v="344"/>
    <x v="3170"/>
    <x v="0"/>
    <x v="55"/>
    <x v="2"/>
  </r>
  <r>
    <x v="55"/>
    <x v="189"/>
    <x v="10"/>
    <x v="10"/>
    <x v="1"/>
    <x v="9"/>
    <x v="32"/>
    <x v="345"/>
    <x v="3171"/>
    <x v="0"/>
    <x v="55"/>
    <x v="2"/>
  </r>
  <r>
    <x v="55"/>
    <x v="187"/>
    <x v="11"/>
    <x v="11"/>
    <x v="1"/>
    <x v="9"/>
    <x v="33"/>
    <x v="328"/>
    <x v="3172"/>
    <x v="0"/>
    <x v="55"/>
    <x v="2"/>
  </r>
  <r>
    <x v="55"/>
    <x v="220"/>
    <x v="11"/>
    <x v="11"/>
    <x v="1"/>
    <x v="9"/>
    <x v="33"/>
    <x v="309"/>
    <x v="556"/>
    <x v="0"/>
    <x v="55"/>
    <x v="2"/>
  </r>
  <r>
    <x v="55"/>
    <x v="177"/>
    <x v="11"/>
    <x v="11"/>
    <x v="1"/>
    <x v="9"/>
    <x v="32"/>
    <x v="346"/>
    <x v="3173"/>
    <x v="0"/>
    <x v="55"/>
    <x v="2"/>
  </r>
  <r>
    <x v="55"/>
    <x v="281"/>
    <x v="6"/>
    <x v="6"/>
    <x v="1"/>
    <x v="9"/>
    <x v="32"/>
    <x v="395"/>
    <x v="3174"/>
    <x v="0"/>
    <x v="55"/>
    <x v="2"/>
  </r>
  <r>
    <x v="55"/>
    <x v="217"/>
    <x v="6"/>
    <x v="6"/>
    <x v="1"/>
    <x v="9"/>
    <x v="32"/>
    <x v="323"/>
    <x v="3175"/>
    <x v="0"/>
    <x v="55"/>
    <x v="2"/>
  </r>
  <r>
    <x v="55"/>
    <x v="335"/>
    <x v="6"/>
    <x v="6"/>
    <x v="1"/>
    <x v="9"/>
    <x v="32"/>
    <x v="408"/>
    <x v="3176"/>
    <x v="0"/>
    <x v="55"/>
    <x v="2"/>
  </r>
  <r>
    <x v="55"/>
    <x v="258"/>
    <x v="7"/>
    <x v="7"/>
    <x v="1"/>
    <x v="10"/>
    <x v="33"/>
    <x v="349"/>
    <x v="3177"/>
    <x v="0"/>
    <x v="55"/>
    <x v="2"/>
  </r>
  <r>
    <x v="55"/>
    <x v="210"/>
    <x v="7"/>
    <x v="7"/>
    <x v="1"/>
    <x v="10"/>
    <x v="33"/>
    <x v="418"/>
    <x v="3178"/>
    <x v="0"/>
    <x v="55"/>
    <x v="2"/>
  </r>
  <r>
    <x v="55"/>
    <x v="230"/>
    <x v="9"/>
    <x v="9"/>
    <x v="1"/>
    <x v="10"/>
    <x v="33"/>
    <x v="283"/>
    <x v="3179"/>
    <x v="0"/>
    <x v="55"/>
    <x v="2"/>
  </r>
  <r>
    <x v="55"/>
    <x v="186"/>
    <x v="10"/>
    <x v="10"/>
    <x v="1"/>
    <x v="10"/>
    <x v="33"/>
    <x v="321"/>
    <x v="736"/>
    <x v="0"/>
    <x v="55"/>
    <x v="2"/>
  </r>
  <r>
    <x v="55"/>
    <x v="325"/>
    <x v="11"/>
    <x v="11"/>
    <x v="1"/>
    <x v="10"/>
    <x v="33"/>
    <x v="421"/>
    <x v="736"/>
    <x v="0"/>
    <x v="55"/>
    <x v="2"/>
  </r>
  <r>
    <x v="55"/>
    <x v="249"/>
    <x v="11"/>
    <x v="11"/>
    <x v="1"/>
    <x v="10"/>
    <x v="33"/>
    <x v="359"/>
    <x v="736"/>
    <x v="0"/>
    <x v="55"/>
    <x v="2"/>
  </r>
  <r>
    <x v="55"/>
    <x v="273"/>
    <x v="11"/>
    <x v="11"/>
    <x v="1"/>
    <x v="10"/>
    <x v="33"/>
    <x v="354"/>
    <x v="3180"/>
    <x v="0"/>
    <x v="55"/>
    <x v="2"/>
  </r>
  <r>
    <x v="55"/>
    <x v="314"/>
    <x v="6"/>
    <x v="6"/>
    <x v="1"/>
    <x v="10"/>
    <x v="32"/>
    <x v="372"/>
    <x v="1"/>
    <x v="420"/>
    <x v="55"/>
    <x v="2"/>
  </r>
  <r>
    <x v="55"/>
    <x v="335"/>
    <x v="6"/>
    <x v="6"/>
    <x v="1"/>
    <x v="10"/>
    <x v="32"/>
    <x v="408"/>
    <x v="3181"/>
    <x v="0"/>
    <x v="55"/>
    <x v="2"/>
  </r>
  <r>
    <x v="55"/>
    <x v="306"/>
    <x v="9"/>
    <x v="9"/>
    <x v="1"/>
    <x v="11"/>
    <x v="32"/>
    <x v="336"/>
    <x v="1603"/>
    <x v="0"/>
    <x v="55"/>
    <x v="2"/>
  </r>
  <r>
    <x v="55"/>
    <x v="194"/>
    <x v="9"/>
    <x v="9"/>
    <x v="1"/>
    <x v="11"/>
    <x v="32"/>
    <x v="390"/>
    <x v="3182"/>
    <x v="0"/>
    <x v="55"/>
    <x v="2"/>
  </r>
  <r>
    <x v="55"/>
    <x v="194"/>
    <x v="9"/>
    <x v="9"/>
    <x v="1"/>
    <x v="11"/>
    <x v="33"/>
    <x v="390"/>
    <x v="3183"/>
    <x v="0"/>
    <x v="55"/>
    <x v="2"/>
  </r>
  <r>
    <x v="55"/>
    <x v="255"/>
    <x v="9"/>
    <x v="9"/>
    <x v="1"/>
    <x v="11"/>
    <x v="33"/>
    <x v="293"/>
    <x v="815"/>
    <x v="0"/>
    <x v="55"/>
    <x v="2"/>
  </r>
  <r>
    <x v="55"/>
    <x v="248"/>
    <x v="10"/>
    <x v="10"/>
    <x v="1"/>
    <x v="11"/>
    <x v="33"/>
    <x v="304"/>
    <x v="1812"/>
    <x v="0"/>
    <x v="55"/>
    <x v="2"/>
  </r>
  <r>
    <x v="55"/>
    <x v="176"/>
    <x v="10"/>
    <x v="10"/>
    <x v="1"/>
    <x v="11"/>
    <x v="33"/>
    <x v="412"/>
    <x v="1812"/>
    <x v="0"/>
    <x v="55"/>
    <x v="2"/>
  </r>
  <r>
    <x v="55"/>
    <x v="187"/>
    <x v="11"/>
    <x v="11"/>
    <x v="1"/>
    <x v="11"/>
    <x v="32"/>
    <x v="328"/>
    <x v="3184"/>
    <x v="0"/>
    <x v="55"/>
    <x v="2"/>
  </r>
  <r>
    <x v="55"/>
    <x v="272"/>
    <x v="11"/>
    <x v="11"/>
    <x v="1"/>
    <x v="11"/>
    <x v="33"/>
    <x v="360"/>
    <x v="1913"/>
    <x v="0"/>
    <x v="55"/>
    <x v="2"/>
  </r>
  <r>
    <x v="55"/>
    <x v="272"/>
    <x v="11"/>
    <x v="11"/>
    <x v="1"/>
    <x v="11"/>
    <x v="32"/>
    <x v="360"/>
    <x v="1"/>
    <x v="601"/>
    <x v="55"/>
    <x v="2"/>
  </r>
  <r>
    <x v="55"/>
    <x v="300"/>
    <x v="2"/>
    <x v="2"/>
    <x v="1"/>
    <x v="11"/>
    <x v="33"/>
    <x v="316"/>
    <x v="3185"/>
    <x v="0"/>
    <x v="55"/>
    <x v="2"/>
  </r>
  <r>
    <x v="55"/>
    <x v="315"/>
    <x v="2"/>
    <x v="2"/>
    <x v="1"/>
    <x v="11"/>
    <x v="32"/>
    <x v="405"/>
    <x v="3186"/>
    <x v="0"/>
    <x v="55"/>
    <x v="2"/>
  </r>
  <r>
    <x v="55"/>
    <x v="246"/>
    <x v="2"/>
    <x v="2"/>
    <x v="1"/>
    <x v="11"/>
    <x v="33"/>
    <x v="287"/>
    <x v="3187"/>
    <x v="0"/>
    <x v="55"/>
    <x v="2"/>
  </r>
  <r>
    <x v="55"/>
    <x v="297"/>
    <x v="6"/>
    <x v="6"/>
    <x v="1"/>
    <x v="11"/>
    <x v="33"/>
    <x v="313"/>
    <x v="3188"/>
    <x v="0"/>
    <x v="55"/>
    <x v="2"/>
  </r>
  <r>
    <x v="55"/>
    <x v="308"/>
    <x v="7"/>
    <x v="7"/>
    <x v="1"/>
    <x v="12"/>
    <x v="33"/>
    <x v="333"/>
    <x v="1527"/>
    <x v="0"/>
    <x v="55"/>
    <x v="2"/>
  </r>
  <r>
    <x v="55"/>
    <x v="173"/>
    <x v="8"/>
    <x v="8"/>
    <x v="1"/>
    <x v="12"/>
    <x v="33"/>
    <x v="378"/>
    <x v="146"/>
    <x v="0"/>
    <x v="55"/>
    <x v="2"/>
  </r>
  <r>
    <x v="55"/>
    <x v="274"/>
    <x v="11"/>
    <x v="11"/>
    <x v="1"/>
    <x v="12"/>
    <x v="33"/>
    <x v="404"/>
    <x v="3189"/>
    <x v="0"/>
    <x v="55"/>
    <x v="2"/>
  </r>
  <r>
    <x v="55"/>
    <x v="208"/>
    <x v="8"/>
    <x v="8"/>
    <x v="1"/>
    <x v="13"/>
    <x v="32"/>
    <x v="377"/>
    <x v="3190"/>
    <x v="0"/>
    <x v="55"/>
    <x v="2"/>
  </r>
  <r>
    <x v="55"/>
    <x v="263"/>
    <x v="10"/>
    <x v="10"/>
    <x v="1"/>
    <x v="13"/>
    <x v="32"/>
    <x v="436"/>
    <x v="3191"/>
    <x v="0"/>
    <x v="55"/>
    <x v="2"/>
  </r>
  <r>
    <x v="55"/>
    <x v="202"/>
    <x v="11"/>
    <x v="11"/>
    <x v="1"/>
    <x v="13"/>
    <x v="32"/>
    <x v="305"/>
    <x v="3192"/>
    <x v="0"/>
    <x v="55"/>
    <x v="2"/>
  </r>
  <r>
    <x v="55"/>
    <x v="240"/>
    <x v="2"/>
    <x v="2"/>
    <x v="1"/>
    <x v="13"/>
    <x v="32"/>
    <x v="442"/>
    <x v="3193"/>
    <x v="0"/>
    <x v="55"/>
    <x v="2"/>
  </r>
  <r>
    <x v="55"/>
    <x v="217"/>
    <x v="6"/>
    <x v="6"/>
    <x v="1"/>
    <x v="13"/>
    <x v="32"/>
    <x v="323"/>
    <x v="3194"/>
    <x v="0"/>
    <x v="55"/>
    <x v="2"/>
  </r>
  <r>
    <x v="55"/>
    <x v="314"/>
    <x v="6"/>
    <x v="6"/>
    <x v="1"/>
    <x v="13"/>
    <x v="32"/>
    <x v="372"/>
    <x v="1"/>
    <x v="602"/>
    <x v="55"/>
    <x v="2"/>
  </r>
  <r>
    <x v="55"/>
    <x v="309"/>
    <x v="7"/>
    <x v="7"/>
    <x v="1"/>
    <x v="14"/>
    <x v="33"/>
    <x v="334"/>
    <x v="911"/>
    <x v="0"/>
    <x v="55"/>
    <x v="2"/>
  </r>
  <r>
    <x v="55"/>
    <x v="254"/>
    <x v="8"/>
    <x v="8"/>
    <x v="1"/>
    <x v="14"/>
    <x v="33"/>
    <x v="326"/>
    <x v="736"/>
    <x v="0"/>
    <x v="55"/>
    <x v="2"/>
  </r>
  <r>
    <x v="55"/>
    <x v="208"/>
    <x v="8"/>
    <x v="8"/>
    <x v="1"/>
    <x v="14"/>
    <x v="32"/>
    <x v="377"/>
    <x v="1868"/>
    <x v="0"/>
    <x v="55"/>
    <x v="2"/>
  </r>
  <r>
    <x v="55"/>
    <x v="338"/>
    <x v="9"/>
    <x v="9"/>
    <x v="1"/>
    <x v="14"/>
    <x v="33"/>
    <x v="425"/>
    <x v="3195"/>
    <x v="0"/>
    <x v="55"/>
    <x v="2"/>
  </r>
  <r>
    <x v="55"/>
    <x v="239"/>
    <x v="10"/>
    <x v="10"/>
    <x v="1"/>
    <x v="14"/>
    <x v="33"/>
    <x v="419"/>
    <x v="759"/>
    <x v="0"/>
    <x v="55"/>
    <x v="2"/>
  </r>
  <r>
    <x v="55"/>
    <x v="180"/>
    <x v="10"/>
    <x v="10"/>
    <x v="1"/>
    <x v="14"/>
    <x v="33"/>
    <x v="452"/>
    <x v="3125"/>
    <x v="0"/>
    <x v="55"/>
    <x v="2"/>
  </r>
  <r>
    <x v="55"/>
    <x v="248"/>
    <x v="10"/>
    <x v="10"/>
    <x v="1"/>
    <x v="14"/>
    <x v="33"/>
    <x v="304"/>
    <x v="911"/>
    <x v="0"/>
    <x v="55"/>
    <x v="2"/>
  </r>
  <r>
    <x v="55"/>
    <x v="236"/>
    <x v="6"/>
    <x v="6"/>
    <x v="1"/>
    <x v="14"/>
    <x v="33"/>
    <x v="371"/>
    <x v="3196"/>
    <x v="0"/>
    <x v="55"/>
    <x v="2"/>
  </r>
  <r>
    <x v="55"/>
    <x v="200"/>
    <x v="11"/>
    <x v="11"/>
    <x v="1"/>
    <x v="28"/>
    <x v="32"/>
    <x v="351"/>
    <x v="710"/>
    <x v="0"/>
    <x v="55"/>
    <x v="2"/>
  </r>
  <r>
    <x v="55"/>
    <x v="335"/>
    <x v="6"/>
    <x v="6"/>
    <x v="1"/>
    <x v="28"/>
    <x v="32"/>
    <x v="408"/>
    <x v="3197"/>
    <x v="0"/>
    <x v="55"/>
    <x v="2"/>
  </r>
  <r>
    <x v="55"/>
    <x v="237"/>
    <x v="7"/>
    <x v="7"/>
    <x v="1"/>
    <x v="29"/>
    <x v="33"/>
    <x v="417"/>
    <x v="1471"/>
    <x v="0"/>
    <x v="55"/>
    <x v="2"/>
  </r>
  <r>
    <x v="55"/>
    <x v="306"/>
    <x v="9"/>
    <x v="9"/>
    <x v="1"/>
    <x v="29"/>
    <x v="32"/>
    <x v="336"/>
    <x v="3198"/>
    <x v="0"/>
    <x v="55"/>
    <x v="2"/>
  </r>
  <r>
    <x v="55"/>
    <x v="244"/>
    <x v="10"/>
    <x v="10"/>
    <x v="1"/>
    <x v="29"/>
    <x v="32"/>
    <x v="433"/>
    <x v="3199"/>
    <x v="0"/>
    <x v="55"/>
    <x v="2"/>
  </r>
  <r>
    <x v="55"/>
    <x v="187"/>
    <x v="11"/>
    <x v="11"/>
    <x v="1"/>
    <x v="29"/>
    <x v="32"/>
    <x v="328"/>
    <x v="3200"/>
    <x v="0"/>
    <x v="55"/>
    <x v="2"/>
  </r>
  <r>
    <x v="55"/>
    <x v="177"/>
    <x v="11"/>
    <x v="11"/>
    <x v="1"/>
    <x v="29"/>
    <x v="32"/>
    <x v="346"/>
    <x v="884"/>
    <x v="0"/>
    <x v="55"/>
    <x v="2"/>
  </r>
  <r>
    <x v="55"/>
    <x v="315"/>
    <x v="2"/>
    <x v="2"/>
    <x v="1"/>
    <x v="29"/>
    <x v="32"/>
    <x v="405"/>
    <x v="3201"/>
    <x v="0"/>
    <x v="55"/>
    <x v="2"/>
  </r>
  <r>
    <x v="55"/>
    <x v="235"/>
    <x v="2"/>
    <x v="2"/>
    <x v="1"/>
    <x v="29"/>
    <x v="32"/>
    <x v="393"/>
    <x v="3202"/>
    <x v="0"/>
    <x v="55"/>
    <x v="2"/>
  </r>
  <r>
    <x v="55"/>
    <x v="305"/>
    <x v="6"/>
    <x v="6"/>
    <x v="1"/>
    <x v="29"/>
    <x v="32"/>
    <x v="331"/>
    <x v="1"/>
    <x v="603"/>
    <x v="55"/>
    <x v="2"/>
  </r>
  <r>
    <x v="55"/>
    <x v="332"/>
    <x v="7"/>
    <x v="7"/>
    <x v="1"/>
    <x v="30"/>
    <x v="32"/>
    <x v="397"/>
    <x v="448"/>
    <x v="0"/>
    <x v="55"/>
    <x v="2"/>
  </r>
  <r>
    <x v="55"/>
    <x v="261"/>
    <x v="8"/>
    <x v="8"/>
    <x v="1"/>
    <x v="30"/>
    <x v="32"/>
    <x v="320"/>
    <x v="3203"/>
    <x v="0"/>
    <x v="55"/>
    <x v="2"/>
  </r>
  <r>
    <x v="55"/>
    <x v="207"/>
    <x v="8"/>
    <x v="8"/>
    <x v="1"/>
    <x v="30"/>
    <x v="32"/>
    <x v="374"/>
    <x v="1505"/>
    <x v="0"/>
    <x v="55"/>
    <x v="2"/>
  </r>
  <r>
    <x v="55"/>
    <x v="194"/>
    <x v="9"/>
    <x v="9"/>
    <x v="1"/>
    <x v="30"/>
    <x v="33"/>
    <x v="390"/>
    <x v="3204"/>
    <x v="0"/>
    <x v="55"/>
    <x v="2"/>
  </r>
  <r>
    <x v="55"/>
    <x v="200"/>
    <x v="11"/>
    <x v="11"/>
    <x v="1"/>
    <x v="30"/>
    <x v="33"/>
    <x v="351"/>
    <x v="3205"/>
    <x v="0"/>
    <x v="55"/>
    <x v="2"/>
  </r>
  <r>
    <x v="55"/>
    <x v="202"/>
    <x v="11"/>
    <x v="11"/>
    <x v="1"/>
    <x v="30"/>
    <x v="32"/>
    <x v="305"/>
    <x v="3206"/>
    <x v="0"/>
    <x v="55"/>
    <x v="2"/>
  </r>
  <r>
    <x v="55"/>
    <x v="182"/>
    <x v="2"/>
    <x v="2"/>
    <x v="1"/>
    <x v="30"/>
    <x v="32"/>
    <x v="392"/>
    <x v="3207"/>
    <x v="0"/>
    <x v="55"/>
    <x v="2"/>
  </r>
  <r>
    <x v="55"/>
    <x v="240"/>
    <x v="2"/>
    <x v="2"/>
    <x v="1"/>
    <x v="30"/>
    <x v="32"/>
    <x v="442"/>
    <x v="3208"/>
    <x v="0"/>
    <x v="55"/>
    <x v="2"/>
  </r>
  <r>
    <x v="55"/>
    <x v="277"/>
    <x v="7"/>
    <x v="7"/>
    <x v="1"/>
    <x v="17"/>
    <x v="32"/>
    <x v="325"/>
    <x v="3209"/>
    <x v="0"/>
    <x v="55"/>
    <x v="2"/>
  </r>
  <r>
    <x v="55"/>
    <x v="332"/>
    <x v="7"/>
    <x v="7"/>
    <x v="1"/>
    <x v="17"/>
    <x v="32"/>
    <x v="397"/>
    <x v="3210"/>
    <x v="0"/>
    <x v="55"/>
    <x v="2"/>
  </r>
  <r>
    <x v="55"/>
    <x v="261"/>
    <x v="8"/>
    <x v="8"/>
    <x v="1"/>
    <x v="17"/>
    <x v="32"/>
    <x v="320"/>
    <x v="3211"/>
    <x v="0"/>
    <x v="55"/>
    <x v="2"/>
  </r>
  <r>
    <x v="55"/>
    <x v="323"/>
    <x v="8"/>
    <x v="8"/>
    <x v="1"/>
    <x v="17"/>
    <x v="32"/>
    <x v="367"/>
    <x v="3212"/>
    <x v="0"/>
    <x v="55"/>
    <x v="2"/>
  </r>
  <r>
    <x v="55"/>
    <x v="208"/>
    <x v="8"/>
    <x v="8"/>
    <x v="1"/>
    <x v="17"/>
    <x v="32"/>
    <x v="377"/>
    <x v="3213"/>
    <x v="0"/>
    <x v="55"/>
    <x v="2"/>
  </r>
  <r>
    <x v="55"/>
    <x v="227"/>
    <x v="9"/>
    <x v="9"/>
    <x v="1"/>
    <x v="17"/>
    <x v="32"/>
    <x v="399"/>
    <x v="3214"/>
    <x v="0"/>
    <x v="55"/>
    <x v="2"/>
  </r>
  <r>
    <x v="55"/>
    <x v="243"/>
    <x v="10"/>
    <x v="10"/>
    <x v="1"/>
    <x v="17"/>
    <x v="32"/>
    <x v="411"/>
    <x v="3215"/>
    <x v="0"/>
    <x v="55"/>
    <x v="2"/>
  </r>
  <r>
    <x v="55"/>
    <x v="268"/>
    <x v="10"/>
    <x v="10"/>
    <x v="1"/>
    <x v="17"/>
    <x v="32"/>
    <x v="339"/>
    <x v="1346"/>
    <x v="0"/>
    <x v="55"/>
    <x v="2"/>
  </r>
  <r>
    <x v="55"/>
    <x v="314"/>
    <x v="6"/>
    <x v="6"/>
    <x v="1"/>
    <x v="17"/>
    <x v="32"/>
    <x v="372"/>
    <x v="1"/>
    <x v="604"/>
    <x v="55"/>
    <x v="2"/>
  </r>
  <r>
    <x v="55"/>
    <x v="266"/>
    <x v="6"/>
    <x v="6"/>
    <x v="1"/>
    <x v="17"/>
    <x v="32"/>
    <x v="370"/>
    <x v="1385"/>
    <x v="0"/>
    <x v="55"/>
    <x v="2"/>
  </r>
  <r>
    <x v="55"/>
    <x v="216"/>
    <x v="2"/>
    <x v="2"/>
    <x v="1"/>
    <x v="31"/>
    <x v="33"/>
    <x v="332"/>
    <x v="2847"/>
    <x v="0"/>
    <x v="55"/>
    <x v="2"/>
  </r>
  <r>
    <x v="55"/>
    <x v="242"/>
    <x v="9"/>
    <x v="9"/>
    <x v="1"/>
    <x v="32"/>
    <x v="32"/>
    <x v="435"/>
    <x v="3216"/>
    <x v="0"/>
    <x v="55"/>
    <x v="2"/>
  </r>
  <r>
    <x v="55"/>
    <x v="242"/>
    <x v="9"/>
    <x v="9"/>
    <x v="1"/>
    <x v="32"/>
    <x v="33"/>
    <x v="435"/>
    <x v="1596"/>
    <x v="0"/>
    <x v="55"/>
    <x v="2"/>
  </r>
  <r>
    <x v="55"/>
    <x v="263"/>
    <x v="10"/>
    <x v="10"/>
    <x v="1"/>
    <x v="18"/>
    <x v="33"/>
    <x v="436"/>
    <x v="3217"/>
    <x v="0"/>
    <x v="55"/>
    <x v="2"/>
  </r>
  <r>
    <x v="56"/>
    <x v="209"/>
    <x v="7"/>
    <x v="7"/>
    <x v="1"/>
    <x v="2"/>
    <x v="33"/>
    <x v="428"/>
    <x v="759"/>
    <x v="0"/>
    <x v="56"/>
    <x v="2"/>
  </r>
  <r>
    <x v="56"/>
    <x v="194"/>
    <x v="9"/>
    <x v="9"/>
    <x v="1"/>
    <x v="2"/>
    <x v="32"/>
    <x v="390"/>
    <x v="1504"/>
    <x v="0"/>
    <x v="56"/>
    <x v="2"/>
  </r>
  <r>
    <x v="56"/>
    <x v="202"/>
    <x v="11"/>
    <x v="11"/>
    <x v="1"/>
    <x v="2"/>
    <x v="33"/>
    <x v="305"/>
    <x v="874"/>
    <x v="0"/>
    <x v="56"/>
    <x v="2"/>
  </r>
  <r>
    <x v="56"/>
    <x v="182"/>
    <x v="2"/>
    <x v="2"/>
    <x v="1"/>
    <x v="2"/>
    <x v="32"/>
    <x v="392"/>
    <x v="1928"/>
    <x v="0"/>
    <x v="56"/>
    <x v="2"/>
  </r>
  <r>
    <x v="56"/>
    <x v="240"/>
    <x v="2"/>
    <x v="2"/>
    <x v="1"/>
    <x v="2"/>
    <x v="32"/>
    <x v="442"/>
    <x v="3218"/>
    <x v="0"/>
    <x v="56"/>
    <x v="2"/>
  </r>
  <r>
    <x v="56"/>
    <x v="308"/>
    <x v="7"/>
    <x v="7"/>
    <x v="1"/>
    <x v="0"/>
    <x v="33"/>
    <x v="333"/>
    <x v="146"/>
    <x v="0"/>
    <x v="56"/>
    <x v="2"/>
  </r>
  <r>
    <x v="56"/>
    <x v="206"/>
    <x v="7"/>
    <x v="7"/>
    <x v="1"/>
    <x v="0"/>
    <x v="33"/>
    <x v="284"/>
    <x v="765"/>
    <x v="0"/>
    <x v="56"/>
    <x v="2"/>
  </r>
  <r>
    <x v="56"/>
    <x v="192"/>
    <x v="8"/>
    <x v="8"/>
    <x v="1"/>
    <x v="0"/>
    <x v="33"/>
    <x v="300"/>
    <x v="759"/>
    <x v="0"/>
    <x v="56"/>
    <x v="2"/>
  </r>
  <r>
    <x v="56"/>
    <x v="320"/>
    <x v="8"/>
    <x v="8"/>
    <x v="1"/>
    <x v="0"/>
    <x v="33"/>
    <x v="398"/>
    <x v="874"/>
    <x v="0"/>
    <x v="56"/>
    <x v="2"/>
  </r>
  <r>
    <x v="56"/>
    <x v="292"/>
    <x v="9"/>
    <x v="9"/>
    <x v="1"/>
    <x v="0"/>
    <x v="33"/>
    <x v="352"/>
    <x v="759"/>
    <x v="0"/>
    <x v="56"/>
    <x v="2"/>
  </r>
  <r>
    <x v="56"/>
    <x v="303"/>
    <x v="9"/>
    <x v="9"/>
    <x v="1"/>
    <x v="0"/>
    <x v="33"/>
    <x v="327"/>
    <x v="934"/>
    <x v="0"/>
    <x v="56"/>
    <x v="2"/>
  </r>
  <r>
    <x v="56"/>
    <x v="197"/>
    <x v="9"/>
    <x v="9"/>
    <x v="1"/>
    <x v="0"/>
    <x v="33"/>
    <x v="432"/>
    <x v="759"/>
    <x v="0"/>
    <x v="56"/>
    <x v="2"/>
  </r>
  <r>
    <x v="56"/>
    <x v="198"/>
    <x v="10"/>
    <x v="10"/>
    <x v="1"/>
    <x v="0"/>
    <x v="33"/>
    <x v="338"/>
    <x v="146"/>
    <x v="0"/>
    <x v="56"/>
    <x v="2"/>
  </r>
  <r>
    <x v="56"/>
    <x v="310"/>
    <x v="10"/>
    <x v="10"/>
    <x v="1"/>
    <x v="0"/>
    <x v="33"/>
    <x v="335"/>
    <x v="146"/>
    <x v="0"/>
    <x v="56"/>
    <x v="2"/>
  </r>
  <r>
    <x v="56"/>
    <x v="317"/>
    <x v="10"/>
    <x v="10"/>
    <x v="1"/>
    <x v="0"/>
    <x v="33"/>
    <x v="401"/>
    <x v="759"/>
    <x v="0"/>
    <x v="56"/>
    <x v="2"/>
  </r>
  <r>
    <x v="56"/>
    <x v="243"/>
    <x v="10"/>
    <x v="10"/>
    <x v="1"/>
    <x v="0"/>
    <x v="33"/>
    <x v="411"/>
    <x v="874"/>
    <x v="0"/>
    <x v="56"/>
    <x v="2"/>
  </r>
  <r>
    <x v="56"/>
    <x v="186"/>
    <x v="10"/>
    <x v="10"/>
    <x v="1"/>
    <x v="0"/>
    <x v="33"/>
    <x v="321"/>
    <x v="765"/>
    <x v="0"/>
    <x v="56"/>
    <x v="2"/>
  </r>
  <r>
    <x v="56"/>
    <x v="329"/>
    <x v="10"/>
    <x v="10"/>
    <x v="1"/>
    <x v="0"/>
    <x v="33"/>
    <x v="380"/>
    <x v="874"/>
    <x v="0"/>
    <x v="56"/>
    <x v="2"/>
  </r>
  <r>
    <x v="56"/>
    <x v="176"/>
    <x v="10"/>
    <x v="10"/>
    <x v="1"/>
    <x v="0"/>
    <x v="33"/>
    <x v="412"/>
    <x v="765"/>
    <x v="0"/>
    <x v="56"/>
    <x v="2"/>
  </r>
  <r>
    <x v="56"/>
    <x v="200"/>
    <x v="11"/>
    <x v="11"/>
    <x v="1"/>
    <x v="0"/>
    <x v="33"/>
    <x v="351"/>
    <x v="874"/>
    <x v="0"/>
    <x v="56"/>
    <x v="2"/>
  </r>
  <r>
    <x v="56"/>
    <x v="325"/>
    <x v="11"/>
    <x v="11"/>
    <x v="1"/>
    <x v="0"/>
    <x v="33"/>
    <x v="421"/>
    <x v="899"/>
    <x v="0"/>
    <x v="56"/>
    <x v="2"/>
  </r>
  <r>
    <x v="56"/>
    <x v="216"/>
    <x v="2"/>
    <x v="2"/>
    <x v="1"/>
    <x v="0"/>
    <x v="33"/>
    <x v="332"/>
    <x v="146"/>
    <x v="0"/>
    <x v="56"/>
    <x v="2"/>
  </r>
  <r>
    <x v="56"/>
    <x v="257"/>
    <x v="2"/>
    <x v="2"/>
    <x v="1"/>
    <x v="0"/>
    <x v="33"/>
    <x v="410"/>
    <x v="759"/>
    <x v="0"/>
    <x v="56"/>
    <x v="2"/>
  </r>
  <r>
    <x v="56"/>
    <x v="217"/>
    <x v="6"/>
    <x v="6"/>
    <x v="1"/>
    <x v="0"/>
    <x v="33"/>
    <x v="323"/>
    <x v="874"/>
    <x v="0"/>
    <x v="56"/>
    <x v="2"/>
  </r>
  <r>
    <x v="56"/>
    <x v="265"/>
    <x v="6"/>
    <x v="6"/>
    <x v="1"/>
    <x v="0"/>
    <x v="33"/>
    <x v="386"/>
    <x v="874"/>
    <x v="0"/>
    <x v="56"/>
    <x v="2"/>
  </r>
  <r>
    <x v="56"/>
    <x v="313"/>
    <x v="6"/>
    <x v="6"/>
    <x v="1"/>
    <x v="0"/>
    <x v="33"/>
    <x v="341"/>
    <x v="146"/>
    <x v="0"/>
    <x v="56"/>
    <x v="2"/>
  </r>
  <r>
    <x v="56"/>
    <x v="174"/>
    <x v="6"/>
    <x v="6"/>
    <x v="1"/>
    <x v="0"/>
    <x v="33"/>
    <x v="282"/>
    <x v="874"/>
    <x v="0"/>
    <x v="56"/>
    <x v="2"/>
  </r>
  <r>
    <x v="56"/>
    <x v="205"/>
    <x v="7"/>
    <x v="7"/>
    <x v="1"/>
    <x v="1"/>
    <x v="33"/>
    <x v="299"/>
    <x v="874"/>
    <x v="0"/>
    <x v="56"/>
    <x v="2"/>
  </r>
  <r>
    <x v="56"/>
    <x v="209"/>
    <x v="7"/>
    <x v="7"/>
    <x v="1"/>
    <x v="1"/>
    <x v="33"/>
    <x v="428"/>
    <x v="759"/>
    <x v="0"/>
    <x v="56"/>
    <x v="2"/>
  </r>
  <r>
    <x v="56"/>
    <x v="320"/>
    <x v="8"/>
    <x v="8"/>
    <x v="1"/>
    <x v="1"/>
    <x v="33"/>
    <x v="398"/>
    <x v="874"/>
    <x v="0"/>
    <x v="56"/>
    <x v="2"/>
  </r>
  <r>
    <x v="56"/>
    <x v="212"/>
    <x v="10"/>
    <x v="10"/>
    <x v="1"/>
    <x v="1"/>
    <x v="33"/>
    <x v="319"/>
    <x v="759"/>
    <x v="0"/>
    <x v="56"/>
    <x v="2"/>
  </r>
  <r>
    <x v="56"/>
    <x v="186"/>
    <x v="10"/>
    <x v="10"/>
    <x v="1"/>
    <x v="1"/>
    <x v="33"/>
    <x v="321"/>
    <x v="874"/>
    <x v="0"/>
    <x v="56"/>
    <x v="2"/>
  </r>
  <r>
    <x v="56"/>
    <x v="248"/>
    <x v="10"/>
    <x v="10"/>
    <x v="1"/>
    <x v="1"/>
    <x v="33"/>
    <x v="304"/>
    <x v="874"/>
    <x v="0"/>
    <x v="56"/>
    <x v="2"/>
  </r>
  <r>
    <x v="56"/>
    <x v="273"/>
    <x v="11"/>
    <x v="11"/>
    <x v="1"/>
    <x v="1"/>
    <x v="33"/>
    <x v="354"/>
    <x v="146"/>
    <x v="0"/>
    <x v="56"/>
    <x v="2"/>
  </r>
  <r>
    <x v="56"/>
    <x v="300"/>
    <x v="2"/>
    <x v="2"/>
    <x v="1"/>
    <x v="1"/>
    <x v="33"/>
    <x v="316"/>
    <x v="759"/>
    <x v="0"/>
    <x v="56"/>
    <x v="2"/>
  </r>
  <r>
    <x v="56"/>
    <x v="204"/>
    <x v="6"/>
    <x v="6"/>
    <x v="1"/>
    <x v="1"/>
    <x v="33"/>
    <x v="317"/>
    <x v="874"/>
    <x v="0"/>
    <x v="56"/>
    <x v="2"/>
  </r>
  <r>
    <x v="56"/>
    <x v="188"/>
    <x v="6"/>
    <x v="6"/>
    <x v="1"/>
    <x v="1"/>
    <x v="33"/>
    <x v="407"/>
    <x v="759"/>
    <x v="0"/>
    <x v="56"/>
    <x v="2"/>
  </r>
  <r>
    <x v="56"/>
    <x v="218"/>
    <x v="6"/>
    <x v="6"/>
    <x v="1"/>
    <x v="1"/>
    <x v="33"/>
    <x v="451"/>
    <x v="759"/>
    <x v="0"/>
    <x v="56"/>
    <x v="2"/>
  </r>
  <r>
    <x v="56"/>
    <x v="190"/>
    <x v="6"/>
    <x v="6"/>
    <x v="1"/>
    <x v="1"/>
    <x v="33"/>
    <x v="342"/>
    <x v="874"/>
    <x v="0"/>
    <x v="56"/>
    <x v="2"/>
  </r>
  <r>
    <x v="57"/>
    <x v="219"/>
    <x v="9"/>
    <x v="9"/>
    <x v="1"/>
    <x v="2"/>
    <x v="33"/>
    <x v="308"/>
    <x v="874"/>
    <x v="0"/>
    <x v="57"/>
    <x v="2"/>
  </r>
  <r>
    <x v="57"/>
    <x v="201"/>
    <x v="11"/>
    <x v="11"/>
    <x v="1"/>
    <x v="2"/>
    <x v="33"/>
    <x v="422"/>
    <x v="874"/>
    <x v="0"/>
    <x v="57"/>
    <x v="2"/>
  </r>
  <r>
    <x v="57"/>
    <x v="294"/>
    <x v="11"/>
    <x v="11"/>
    <x v="1"/>
    <x v="2"/>
    <x v="33"/>
    <x v="382"/>
    <x v="874"/>
    <x v="0"/>
    <x v="57"/>
    <x v="2"/>
  </r>
  <r>
    <x v="57"/>
    <x v="277"/>
    <x v="7"/>
    <x v="7"/>
    <x v="1"/>
    <x v="0"/>
    <x v="33"/>
    <x v="325"/>
    <x v="874"/>
    <x v="0"/>
    <x v="57"/>
    <x v="2"/>
  </r>
  <r>
    <x v="57"/>
    <x v="327"/>
    <x v="7"/>
    <x v="7"/>
    <x v="1"/>
    <x v="0"/>
    <x v="33"/>
    <x v="387"/>
    <x v="1132"/>
    <x v="0"/>
    <x v="57"/>
    <x v="2"/>
  </r>
  <r>
    <x v="57"/>
    <x v="278"/>
    <x v="7"/>
    <x v="7"/>
    <x v="1"/>
    <x v="0"/>
    <x v="33"/>
    <x v="450"/>
    <x v="765"/>
    <x v="0"/>
    <x v="57"/>
    <x v="2"/>
  </r>
  <r>
    <x v="57"/>
    <x v="179"/>
    <x v="7"/>
    <x v="7"/>
    <x v="1"/>
    <x v="0"/>
    <x v="33"/>
    <x v="415"/>
    <x v="874"/>
    <x v="0"/>
    <x v="57"/>
    <x v="2"/>
  </r>
  <r>
    <x v="57"/>
    <x v="259"/>
    <x v="7"/>
    <x v="7"/>
    <x v="1"/>
    <x v="0"/>
    <x v="33"/>
    <x v="355"/>
    <x v="874"/>
    <x v="0"/>
    <x v="57"/>
    <x v="2"/>
  </r>
  <r>
    <x v="57"/>
    <x v="225"/>
    <x v="7"/>
    <x v="7"/>
    <x v="1"/>
    <x v="0"/>
    <x v="33"/>
    <x v="416"/>
    <x v="765"/>
    <x v="0"/>
    <x v="57"/>
    <x v="2"/>
  </r>
  <r>
    <x v="57"/>
    <x v="309"/>
    <x v="7"/>
    <x v="7"/>
    <x v="1"/>
    <x v="0"/>
    <x v="33"/>
    <x v="334"/>
    <x v="759"/>
    <x v="0"/>
    <x v="57"/>
    <x v="2"/>
  </r>
  <r>
    <x v="57"/>
    <x v="209"/>
    <x v="7"/>
    <x v="7"/>
    <x v="1"/>
    <x v="0"/>
    <x v="33"/>
    <x v="428"/>
    <x v="952"/>
    <x v="0"/>
    <x v="57"/>
    <x v="2"/>
  </r>
  <r>
    <x v="57"/>
    <x v="332"/>
    <x v="7"/>
    <x v="7"/>
    <x v="1"/>
    <x v="0"/>
    <x v="33"/>
    <x v="397"/>
    <x v="934"/>
    <x v="0"/>
    <x v="57"/>
    <x v="2"/>
  </r>
  <r>
    <x v="57"/>
    <x v="210"/>
    <x v="7"/>
    <x v="7"/>
    <x v="1"/>
    <x v="0"/>
    <x v="33"/>
    <x v="418"/>
    <x v="1182"/>
    <x v="0"/>
    <x v="57"/>
    <x v="2"/>
  </r>
  <r>
    <x v="57"/>
    <x v="251"/>
    <x v="8"/>
    <x v="8"/>
    <x v="1"/>
    <x v="0"/>
    <x v="33"/>
    <x v="291"/>
    <x v="859"/>
    <x v="0"/>
    <x v="57"/>
    <x v="2"/>
  </r>
  <r>
    <x v="57"/>
    <x v="192"/>
    <x v="8"/>
    <x v="8"/>
    <x v="1"/>
    <x v="0"/>
    <x v="33"/>
    <x v="300"/>
    <x v="759"/>
    <x v="0"/>
    <x v="57"/>
    <x v="2"/>
  </r>
  <r>
    <x v="57"/>
    <x v="254"/>
    <x v="8"/>
    <x v="8"/>
    <x v="1"/>
    <x v="0"/>
    <x v="33"/>
    <x v="326"/>
    <x v="765"/>
    <x v="0"/>
    <x v="57"/>
    <x v="2"/>
  </r>
  <r>
    <x v="57"/>
    <x v="320"/>
    <x v="8"/>
    <x v="8"/>
    <x v="1"/>
    <x v="0"/>
    <x v="33"/>
    <x v="398"/>
    <x v="874"/>
    <x v="0"/>
    <x v="57"/>
    <x v="2"/>
  </r>
  <r>
    <x v="57"/>
    <x v="261"/>
    <x v="8"/>
    <x v="8"/>
    <x v="1"/>
    <x v="0"/>
    <x v="33"/>
    <x v="320"/>
    <x v="765"/>
    <x v="0"/>
    <x v="57"/>
    <x v="2"/>
  </r>
  <r>
    <x v="57"/>
    <x v="323"/>
    <x v="8"/>
    <x v="8"/>
    <x v="1"/>
    <x v="0"/>
    <x v="33"/>
    <x v="367"/>
    <x v="765"/>
    <x v="0"/>
    <x v="57"/>
    <x v="2"/>
  </r>
  <r>
    <x v="57"/>
    <x v="245"/>
    <x v="8"/>
    <x v="8"/>
    <x v="1"/>
    <x v="0"/>
    <x v="33"/>
    <x v="285"/>
    <x v="1132"/>
    <x v="0"/>
    <x v="57"/>
    <x v="2"/>
  </r>
  <r>
    <x v="57"/>
    <x v="196"/>
    <x v="8"/>
    <x v="8"/>
    <x v="1"/>
    <x v="0"/>
    <x v="33"/>
    <x v="375"/>
    <x v="874"/>
    <x v="0"/>
    <x v="57"/>
    <x v="2"/>
  </r>
  <r>
    <x v="57"/>
    <x v="226"/>
    <x v="8"/>
    <x v="8"/>
    <x v="1"/>
    <x v="0"/>
    <x v="33"/>
    <x v="376"/>
    <x v="874"/>
    <x v="0"/>
    <x v="57"/>
    <x v="2"/>
  </r>
  <r>
    <x v="57"/>
    <x v="173"/>
    <x v="8"/>
    <x v="8"/>
    <x v="1"/>
    <x v="0"/>
    <x v="33"/>
    <x v="378"/>
    <x v="146"/>
    <x v="0"/>
    <x v="57"/>
    <x v="2"/>
  </r>
  <r>
    <x v="57"/>
    <x v="185"/>
    <x v="8"/>
    <x v="8"/>
    <x v="1"/>
    <x v="0"/>
    <x v="33"/>
    <x v="296"/>
    <x v="146"/>
    <x v="0"/>
    <x v="57"/>
    <x v="2"/>
  </r>
  <r>
    <x v="57"/>
    <x v="337"/>
    <x v="9"/>
    <x v="9"/>
    <x v="1"/>
    <x v="0"/>
    <x v="33"/>
    <x v="424"/>
    <x v="933"/>
    <x v="0"/>
    <x v="57"/>
    <x v="2"/>
  </r>
  <r>
    <x v="57"/>
    <x v="303"/>
    <x v="9"/>
    <x v="9"/>
    <x v="1"/>
    <x v="0"/>
    <x v="33"/>
    <x v="327"/>
    <x v="146"/>
    <x v="0"/>
    <x v="57"/>
    <x v="2"/>
  </r>
  <r>
    <x v="57"/>
    <x v="290"/>
    <x v="9"/>
    <x v="9"/>
    <x v="1"/>
    <x v="0"/>
    <x v="33"/>
    <x v="302"/>
    <x v="759"/>
    <x v="0"/>
    <x v="57"/>
    <x v="2"/>
  </r>
  <r>
    <x v="57"/>
    <x v="197"/>
    <x v="9"/>
    <x v="9"/>
    <x v="1"/>
    <x v="0"/>
    <x v="33"/>
    <x v="432"/>
    <x v="859"/>
    <x v="0"/>
    <x v="57"/>
    <x v="2"/>
  </r>
  <r>
    <x v="57"/>
    <x v="242"/>
    <x v="9"/>
    <x v="9"/>
    <x v="1"/>
    <x v="0"/>
    <x v="33"/>
    <x v="435"/>
    <x v="874"/>
    <x v="0"/>
    <x v="57"/>
    <x v="2"/>
  </r>
  <r>
    <x v="57"/>
    <x v="338"/>
    <x v="9"/>
    <x v="9"/>
    <x v="1"/>
    <x v="0"/>
    <x v="33"/>
    <x v="425"/>
    <x v="759"/>
    <x v="0"/>
    <x v="57"/>
    <x v="2"/>
  </r>
  <r>
    <x v="57"/>
    <x v="178"/>
    <x v="9"/>
    <x v="9"/>
    <x v="1"/>
    <x v="0"/>
    <x v="33"/>
    <x v="353"/>
    <x v="759"/>
    <x v="0"/>
    <x v="57"/>
    <x v="2"/>
  </r>
  <r>
    <x v="57"/>
    <x v="331"/>
    <x v="9"/>
    <x v="9"/>
    <x v="1"/>
    <x v="0"/>
    <x v="33"/>
    <x v="391"/>
    <x v="874"/>
    <x v="0"/>
    <x v="57"/>
    <x v="2"/>
  </r>
  <r>
    <x v="57"/>
    <x v="291"/>
    <x v="9"/>
    <x v="9"/>
    <x v="1"/>
    <x v="0"/>
    <x v="33"/>
    <x v="303"/>
    <x v="874"/>
    <x v="0"/>
    <x v="57"/>
    <x v="2"/>
  </r>
  <r>
    <x v="57"/>
    <x v="230"/>
    <x v="9"/>
    <x v="9"/>
    <x v="1"/>
    <x v="0"/>
    <x v="33"/>
    <x v="283"/>
    <x v="874"/>
    <x v="0"/>
    <x v="57"/>
    <x v="2"/>
  </r>
  <r>
    <x v="57"/>
    <x v="198"/>
    <x v="10"/>
    <x v="10"/>
    <x v="1"/>
    <x v="0"/>
    <x v="33"/>
    <x v="338"/>
    <x v="874"/>
    <x v="0"/>
    <x v="57"/>
    <x v="2"/>
  </r>
  <r>
    <x v="57"/>
    <x v="286"/>
    <x v="10"/>
    <x v="10"/>
    <x v="1"/>
    <x v="0"/>
    <x v="33"/>
    <x v="297"/>
    <x v="1182"/>
    <x v="0"/>
    <x v="57"/>
    <x v="2"/>
  </r>
  <r>
    <x v="57"/>
    <x v="212"/>
    <x v="10"/>
    <x v="10"/>
    <x v="1"/>
    <x v="0"/>
    <x v="33"/>
    <x v="319"/>
    <x v="759"/>
    <x v="0"/>
    <x v="57"/>
    <x v="2"/>
  </r>
  <r>
    <x v="57"/>
    <x v="317"/>
    <x v="10"/>
    <x v="10"/>
    <x v="1"/>
    <x v="0"/>
    <x v="33"/>
    <x v="401"/>
    <x v="874"/>
    <x v="0"/>
    <x v="57"/>
    <x v="2"/>
  </r>
  <r>
    <x v="57"/>
    <x v="231"/>
    <x v="10"/>
    <x v="10"/>
    <x v="1"/>
    <x v="0"/>
    <x v="33"/>
    <x v="402"/>
    <x v="874"/>
    <x v="0"/>
    <x v="57"/>
    <x v="2"/>
  </r>
  <r>
    <x v="57"/>
    <x v="239"/>
    <x v="10"/>
    <x v="10"/>
    <x v="1"/>
    <x v="0"/>
    <x v="33"/>
    <x v="419"/>
    <x v="759"/>
    <x v="0"/>
    <x v="57"/>
    <x v="2"/>
  </r>
  <r>
    <x v="57"/>
    <x v="180"/>
    <x v="10"/>
    <x v="10"/>
    <x v="1"/>
    <x v="0"/>
    <x v="33"/>
    <x v="452"/>
    <x v="759"/>
    <x v="0"/>
    <x v="57"/>
    <x v="2"/>
  </r>
  <r>
    <x v="57"/>
    <x v="268"/>
    <x v="10"/>
    <x v="10"/>
    <x v="1"/>
    <x v="0"/>
    <x v="33"/>
    <x v="339"/>
    <x v="759"/>
    <x v="0"/>
    <x v="57"/>
    <x v="2"/>
  </r>
  <r>
    <x v="57"/>
    <x v="232"/>
    <x v="10"/>
    <x v="10"/>
    <x v="1"/>
    <x v="0"/>
    <x v="33"/>
    <x v="290"/>
    <x v="874"/>
    <x v="0"/>
    <x v="57"/>
    <x v="2"/>
  </r>
  <r>
    <x v="57"/>
    <x v="186"/>
    <x v="10"/>
    <x v="10"/>
    <x v="1"/>
    <x v="0"/>
    <x v="33"/>
    <x v="321"/>
    <x v="759"/>
    <x v="0"/>
    <x v="57"/>
    <x v="2"/>
  </r>
  <r>
    <x v="57"/>
    <x v="329"/>
    <x v="10"/>
    <x v="10"/>
    <x v="1"/>
    <x v="0"/>
    <x v="33"/>
    <x v="380"/>
    <x v="934"/>
    <x v="0"/>
    <x v="57"/>
    <x v="2"/>
  </r>
  <r>
    <x v="57"/>
    <x v="339"/>
    <x v="10"/>
    <x v="10"/>
    <x v="1"/>
    <x v="0"/>
    <x v="33"/>
    <x v="427"/>
    <x v="146"/>
    <x v="0"/>
    <x v="57"/>
    <x v="2"/>
  </r>
  <r>
    <x v="57"/>
    <x v="248"/>
    <x v="10"/>
    <x v="10"/>
    <x v="1"/>
    <x v="0"/>
    <x v="33"/>
    <x v="304"/>
    <x v="874"/>
    <x v="0"/>
    <x v="57"/>
    <x v="2"/>
  </r>
  <r>
    <x v="57"/>
    <x v="233"/>
    <x v="10"/>
    <x v="10"/>
    <x v="1"/>
    <x v="0"/>
    <x v="33"/>
    <x v="344"/>
    <x v="759"/>
    <x v="0"/>
    <x v="57"/>
    <x v="2"/>
  </r>
  <r>
    <x v="57"/>
    <x v="199"/>
    <x v="10"/>
    <x v="10"/>
    <x v="1"/>
    <x v="0"/>
    <x v="33"/>
    <x v="298"/>
    <x v="759"/>
    <x v="0"/>
    <x v="57"/>
    <x v="2"/>
  </r>
  <r>
    <x v="57"/>
    <x v="269"/>
    <x v="11"/>
    <x v="11"/>
    <x v="1"/>
    <x v="0"/>
    <x v="33"/>
    <x v="403"/>
    <x v="146"/>
    <x v="0"/>
    <x v="57"/>
    <x v="2"/>
  </r>
  <r>
    <x v="57"/>
    <x v="282"/>
    <x v="11"/>
    <x v="11"/>
    <x v="1"/>
    <x v="0"/>
    <x v="33"/>
    <x v="358"/>
    <x v="1132"/>
    <x v="0"/>
    <x v="57"/>
    <x v="2"/>
  </r>
  <r>
    <x v="57"/>
    <x v="187"/>
    <x v="11"/>
    <x v="11"/>
    <x v="1"/>
    <x v="0"/>
    <x v="33"/>
    <x v="328"/>
    <x v="146"/>
    <x v="0"/>
    <x v="57"/>
    <x v="2"/>
  </r>
  <r>
    <x v="57"/>
    <x v="220"/>
    <x v="11"/>
    <x v="11"/>
    <x v="1"/>
    <x v="0"/>
    <x v="33"/>
    <x v="309"/>
    <x v="759"/>
    <x v="0"/>
    <x v="57"/>
    <x v="2"/>
  </r>
  <r>
    <x v="57"/>
    <x v="177"/>
    <x v="11"/>
    <x v="11"/>
    <x v="1"/>
    <x v="0"/>
    <x v="33"/>
    <x v="346"/>
    <x v="759"/>
    <x v="0"/>
    <x v="57"/>
    <x v="2"/>
  </r>
  <r>
    <x v="57"/>
    <x v="201"/>
    <x v="11"/>
    <x v="11"/>
    <x v="1"/>
    <x v="0"/>
    <x v="33"/>
    <x v="422"/>
    <x v="759"/>
    <x v="0"/>
    <x v="57"/>
    <x v="2"/>
  </r>
  <r>
    <x v="57"/>
    <x v="249"/>
    <x v="11"/>
    <x v="11"/>
    <x v="1"/>
    <x v="0"/>
    <x v="33"/>
    <x v="359"/>
    <x v="874"/>
    <x v="0"/>
    <x v="57"/>
    <x v="2"/>
  </r>
  <r>
    <x v="57"/>
    <x v="302"/>
    <x v="11"/>
    <x v="11"/>
    <x v="1"/>
    <x v="0"/>
    <x v="33"/>
    <x v="324"/>
    <x v="982"/>
    <x v="0"/>
    <x v="57"/>
    <x v="2"/>
  </r>
  <r>
    <x v="57"/>
    <x v="202"/>
    <x v="11"/>
    <x v="11"/>
    <x v="1"/>
    <x v="0"/>
    <x v="33"/>
    <x v="305"/>
    <x v="759"/>
    <x v="0"/>
    <x v="57"/>
    <x v="2"/>
  </r>
  <r>
    <x v="57"/>
    <x v="273"/>
    <x v="11"/>
    <x v="11"/>
    <x v="1"/>
    <x v="0"/>
    <x v="33"/>
    <x v="354"/>
    <x v="874"/>
    <x v="0"/>
    <x v="57"/>
    <x v="2"/>
  </r>
  <r>
    <x v="57"/>
    <x v="311"/>
    <x v="11"/>
    <x v="11"/>
    <x v="1"/>
    <x v="0"/>
    <x v="33"/>
    <x v="440"/>
    <x v="874"/>
    <x v="0"/>
    <x v="57"/>
    <x v="2"/>
  </r>
  <r>
    <x v="57"/>
    <x v="181"/>
    <x v="11"/>
    <x v="11"/>
    <x v="1"/>
    <x v="0"/>
    <x v="33"/>
    <x v="362"/>
    <x v="874"/>
    <x v="0"/>
    <x v="57"/>
    <x v="2"/>
  </r>
  <r>
    <x v="57"/>
    <x v="274"/>
    <x v="11"/>
    <x v="11"/>
    <x v="1"/>
    <x v="0"/>
    <x v="33"/>
    <x v="404"/>
    <x v="759"/>
    <x v="0"/>
    <x v="57"/>
    <x v="2"/>
  </r>
  <r>
    <x v="57"/>
    <x v="275"/>
    <x v="11"/>
    <x v="11"/>
    <x v="1"/>
    <x v="0"/>
    <x v="33"/>
    <x v="307"/>
    <x v="874"/>
    <x v="0"/>
    <x v="57"/>
    <x v="2"/>
  </r>
  <r>
    <x v="57"/>
    <x v="294"/>
    <x v="11"/>
    <x v="11"/>
    <x v="1"/>
    <x v="0"/>
    <x v="33"/>
    <x v="382"/>
    <x v="874"/>
    <x v="0"/>
    <x v="57"/>
    <x v="2"/>
  </r>
  <r>
    <x v="57"/>
    <x v="300"/>
    <x v="2"/>
    <x v="2"/>
    <x v="1"/>
    <x v="0"/>
    <x v="33"/>
    <x v="316"/>
    <x v="859"/>
    <x v="0"/>
    <x v="57"/>
    <x v="2"/>
  </r>
  <r>
    <x v="57"/>
    <x v="284"/>
    <x v="2"/>
    <x v="2"/>
    <x v="1"/>
    <x v="0"/>
    <x v="33"/>
    <x v="383"/>
    <x v="1182"/>
    <x v="0"/>
    <x v="57"/>
    <x v="2"/>
  </r>
  <r>
    <x v="57"/>
    <x v="222"/>
    <x v="2"/>
    <x v="2"/>
    <x v="1"/>
    <x v="0"/>
    <x v="33"/>
    <x v="384"/>
    <x v="874"/>
    <x v="0"/>
    <x v="57"/>
    <x v="2"/>
  </r>
  <r>
    <x v="57"/>
    <x v="307"/>
    <x v="2"/>
    <x v="2"/>
    <x v="1"/>
    <x v="0"/>
    <x v="33"/>
    <x v="441"/>
    <x v="759"/>
    <x v="0"/>
    <x v="57"/>
    <x v="2"/>
  </r>
  <r>
    <x v="57"/>
    <x v="270"/>
    <x v="2"/>
    <x v="2"/>
    <x v="1"/>
    <x v="0"/>
    <x v="33"/>
    <x v="363"/>
    <x v="759"/>
    <x v="0"/>
    <x v="57"/>
    <x v="2"/>
  </r>
  <r>
    <x v="57"/>
    <x v="216"/>
    <x v="2"/>
    <x v="2"/>
    <x v="1"/>
    <x v="0"/>
    <x v="33"/>
    <x v="332"/>
    <x v="874"/>
    <x v="0"/>
    <x v="57"/>
    <x v="2"/>
  </r>
  <r>
    <x v="57"/>
    <x v="240"/>
    <x v="2"/>
    <x v="2"/>
    <x v="1"/>
    <x v="0"/>
    <x v="33"/>
    <x v="442"/>
    <x v="1132"/>
    <x v="0"/>
    <x v="57"/>
    <x v="2"/>
  </r>
  <r>
    <x v="57"/>
    <x v="223"/>
    <x v="2"/>
    <x v="2"/>
    <x v="1"/>
    <x v="0"/>
    <x v="33"/>
    <x v="434"/>
    <x v="146"/>
    <x v="0"/>
    <x v="57"/>
    <x v="2"/>
  </r>
  <r>
    <x v="57"/>
    <x v="316"/>
    <x v="2"/>
    <x v="2"/>
    <x v="1"/>
    <x v="0"/>
    <x v="33"/>
    <x v="348"/>
    <x v="874"/>
    <x v="0"/>
    <x v="57"/>
    <x v="2"/>
  </r>
  <r>
    <x v="57"/>
    <x v="276"/>
    <x v="2"/>
    <x v="2"/>
    <x v="1"/>
    <x v="0"/>
    <x v="33"/>
    <x v="385"/>
    <x v="874"/>
    <x v="0"/>
    <x v="57"/>
    <x v="2"/>
  </r>
  <r>
    <x v="57"/>
    <x v="304"/>
    <x v="2"/>
    <x v="2"/>
    <x v="1"/>
    <x v="0"/>
    <x v="33"/>
    <x v="329"/>
    <x v="874"/>
    <x v="0"/>
    <x v="57"/>
    <x v="2"/>
  </r>
  <r>
    <x v="57"/>
    <x v="183"/>
    <x v="2"/>
    <x v="2"/>
    <x v="1"/>
    <x v="0"/>
    <x v="33"/>
    <x v="330"/>
    <x v="759"/>
    <x v="0"/>
    <x v="57"/>
    <x v="2"/>
  </r>
  <r>
    <x v="57"/>
    <x v="235"/>
    <x v="2"/>
    <x v="2"/>
    <x v="1"/>
    <x v="0"/>
    <x v="33"/>
    <x v="393"/>
    <x v="874"/>
    <x v="0"/>
    <x v="57"/>
    <x v="2"/>
  </r>
  <r>
    <x v="57"/>
    <x v="246"/>
    <x v="2"/>
    <x v="2"/>
    <x v="1"/>
    <x v="0"/>
    <x v="33"/>
    <x v="287"/>
    <x v="874"/>
    <x v="0"/>
    <x v="57"/>
    <x v="2"/>
  </r>
  <r>
    <x v="57"/>
    <x v="264"/>
    <x v="6"/>
    <x v="6"/>
    <x v="1"/>
    <x v="0"/>
    <x v="33"/>
    <x v="311"/>
    <x v="759"/>
    <x v="0"/>
    <x v="57"/>
    <x v="2"/>
  </r>
  <r>
    <x v="57"/>
    <x v="281"/>
    <x v="6"/>
    <x v="6"/>
    <x v="1"/>
    <x v="0"/>
    <x v="33"/>
    <x v="395"/>
    <x v="874"/>
    <x v="0"/>
    <x v="57"/>
    <x v="2"/>
  </r>
  <r>
    <x v="57"/>
    <x v="285"/>
    <x v="6"/>
    <x v="6"/>
    <x v="1"/>
    <x v="0"/>
    <x v="33"/>
    <x v="409"/>
    <x v="146"/>
    <x v="0"/>
    <x v="57"/>
    <x v="2"/>
  </r>
  <r>
    <x v="57"/>
    <x v="217"/>
    <x v="6"/>
    <x v="6"/>
    <x v="1"/>
    <x v="0"/>
    <x v="33"/>
    <x v="323"/>
    <x v="899"/>
    <x v="0"/>
    <x v="57"/>
    <x v="2"/>
  </r>
  <r>
    <x v="57"/>
    <x v="265"/>
    <x v="6"/>
    <x v="6"/>
    <x v="1"/>
    <x v="0"/>
    <x v="33"/>
    <x v="386"/>
    <x v="146"/>
    <x v="0"/>
    <x v="57"/>
    <x v="2"/>
  </r>
  <r>
    <x v="57"/>
    <x v="184"/>
    <x v="6"/>
    <x v="6"/>
    <x v="1"/>
    <x v="0"/>
    <x v="33"/>
    <x v="413"/>
    <x v="874"/>
    <x v="0"/>
    <x v="57"/>
    <x v="2"/>
  </r>
  <r>
    <x v="57"/>
    <x v="314"/>
    <x v="6"/>
    <x v="6"/>
    <x v="1"/>
    <x v="0"/>
    <x v="33"/>
    <x v="372"/>
    <x v="874"/>
    <x v="0"/>
    <x v="57"/>
    <x v="2"/>
  </r>
  <r>
    <x v="57"/>
    <x v="296"/>
    <x v="6"/>
    <x v="6"/>
    <x v="1"/>
    <x v="0"/>
    <x v="33"/>
    <x v="312"/>
    <x v="759"/>
    <x v="0"/>
    <x v="57"/>
    <x v="2"/>
  </r>
  <r>
    <x v="57"/>
    <x v="204"/>
    <x v="6"/>
    <x v="6"/>
    <x v="1"/>
    <x v="0"/>
    <x v="33"/>
    <x v="317"/>
    <x v="759"/>
    <x v="0"/>
    <x v="57"/>
    <x v="2"/>
  </r>
  <r>
    <x v="57"/>
    <x v="297"/>
    <x v="6"/>
    <x v="6"/>
    <x v="1"/>
    <x v="0"/>
    <x v="33"/>
    <x v="313"/>
    <x v="934"/>
    <x v="0"/>
    <x v="57"/>
    <x v="2"/>
  </r>
  <r>
    <x v="57"/>
    <x v="236"/>
    <x v="6"/>
    <x v="6"/>
    <x v="1"/>
    <x v="0"/>
    <x v="33"/>
    <x v="371"/>
    <x v="146"/>
    <x v="0"/>
    <x v="57"/>
    <x v="2"/>
  </r>
  <r>
    <x v="57"/>
    <x v="188"/>
    <x v="6"/>
    <x v="6"/>
    <x v="1"/>
    <x v="0"/>
    <x v="33"/>
    <x v="407"/>
    <x v="874"/>
    <x v="0"/>
    <x v="57"/>
    <x v="2"/>
  </r>
  <r>
    <x v="57"/>
    <x v="313"/>
    <x v="6"/>
    <x v="6"/>
    <x v="1"/>
    <x v="0"/>
    <x v="33"/>
    <x v="341"/>
    <x v="759"/>
    <x v="0"/>
    <x v="57"/>
    <x v="2"/>
  </r>
  <r>
    <x v="57"/>
    <x v="335"/>
    <x v="6"/>
    <x v="6"/>
    <x v="1"/>
    <x v="0"/>
    <x v="33"/>
    <x v="408"/>
    <x v="759"/>
    <x v="0"/>
    <x v="57"/>
    <x v="2"/>
  </r>
  <r>
    <x v="57"/>
    <x v="271"/>
    <x v="6"/>
    <x v="6"/>
    <x v="1"/>
    <x v="0"/>
    <x v="33"/>
    <x v="426"/>
    <x v="874"/>
    <x v="0"/>
    <x v="57"/>
    <x v="2"/>
  </r>
  <r>
    <x v="57"/>
    <x v="174"/>
    <x v="6"/>
    <x v="6"/>
    <x v="1"/>
    <x v="0"/>
    <x v="33"/>
    <x v="282"/>
    <x v="874"/>
    <x v="0"/>
    <x v="57"/>
    <x v="2"/>
  </r>
  <r>
    <x v="57"/>
    <x v="229"/>
    <x v="6"/>
    <x v="6"/>
    <x v="1"/>
    <x v="0"/>
    <x v="33"/>
    <x v="281"/>
    <x v="874"/>
    <x v="0"/>
    <x v="57"/>
    <x v="2"/>
  </r>
  <r>
    <x v="57"/>
    <x v="241"/>
    <x v="6"/>
    <x v="6"/>
    <x v="1"/>
    <x v="0"/>
    <x v="33"/>
    <x v="447"/>
    <x v="874"/>
    <x v="0"/>
    <x v="57"/>
    <x v="2"/>
  </r>
  <r>
    <x v="57"/>
    <x v="278"/>
    <x v="7"/>
    <x v="7"/>
    <x v="1"/>
    <x v="1"/>
    <x v="33"/>
    <x v="450"/>
    <x v="874"/>
    <x v="0"/>
    <x v="57"/>
    <x v="2"/>
  </r>
  <r>
    <x v="57"/>
    <x v="259"/>
    <x v="7"/>
    <x v="7"/>
    <x v="1"/>
    <x v="1"/>
    <x v="33"/>
    <x v="355"/>
    <x v="146"/>
    <x v="0"/>
    <x v="57"/>
    <x v="2"/>
  </r>
  <r>
    <x v="57"/>
    <x v="332"/>
    <x v="7"/>
    <x v="7"/>
    <x v="1"/>
    <x v="1"/>
    <x v="33"/>
    <x v="397"/>
    <x v="874"/>
    <x v="0"/>
    <x v="57"/>
    <x v="2"/>
  </r>
  <r>
    <x v="57"/>
    <x v="261"/>
    <x v="8"/>
    <x v="8"/>
    <x v="1"/>
    <x v="1"/>
    <x v="33"/>
    <x v="320"/>
    <x v="874"/>
    <x v="0"/>
    <x v="57"/>
    <x v="2"/>
  </r>
  <r>
    <x v="57"/>
    <x v="303"/>
    <x v="9"/>
    <x v="9"/>
    <x v="1"/>
    <x v="1"/>
    <x v="33"/>
    <x v="327"/>
    <x v="874"/>
    <x v="0"/>
    <x v="57"/>
    <x v="2"/>
  </r>
  <r>
    <x v="57"/>
    <x v="201"/>
    <x v="11"/>
    <x v="11"/>
    <x v="1"/>
    <x v="1"/>
    <x v="33"/>
    <x v="422"/>
    <x v="874"/>
    <x v="0"/>
    <x v="57"/>
    <x v="2"/>
  </r>
  <r>
    <x v="57"/>
    <x v="275"/>
    <x v="11"/>
    <x v="11"/>
    <x v="1"/>
    <x v="1"/>
    <x v="33"/>
    <x v="307"/>
    <x v="874"/>
    <x v="0"/>
    <x v="57"/>
    <x v="2"/>
  </r>
  <r>
    <x v="57"/>
    <x v="265"/>
    <x v="6"/>
    <x v="6"/>
    <x v="1"/>
    <x v="1"/>
    <x v="33"/>
    <x v="386"/>
    <x v="874"/>
    <x v="0"/>
    <x v="57"/>
    <x v="2"/>
  </r>
  <r>
    <x v="57"/>
    <x v="296"/>
    <x v="6"/>
    <x v="6"/>
    <x v="1"/>
    <x v="1"/>
    <x v="33"/>
    <x v="312"/>
    <x v="874"/>
    <x v="0"/>
    <x v="57"/>
    <x v="2"/>
  </r>
  <r>
    <x v="57"/>
    <x v="204"/>
    <x v="6"/>
    <x v="6"/>
    <x v="1"/>
    <x v="1"/>
    <x v="33"/>
    <x v="317"/>
    <x v="874"/>
    <x v="0"/>
    <x v="57"/>
    <x v="2"/>
  </r>
  <r>
    <x v="57"/>
    <x v="297"/>
    <x v="6"/>
    <x v="6"/>
    <x v="1"/>
    <x v="1"/>
    <x v="33"/>
    <x v="313"/>
    <x v="874"/>
    <x v="0"/>
    <x v="57"/>
    <x v="2"/>
  </r>
  <r>
    <x v="57"/>
    <x v="236"/>
    <x v="6"/>
    <x v="6"/>
    <x v="1"/>
    <x v="1"/>
    <x v="33"/>
    <x v="371"/>
    <x v="874"/>
    <x v="0"/>
    <x v="57"/>
    <x v="2"/>
  </r>
  <r>
    <x v="57"/>
    <x v="188"/>
    <x v="6"/>
    <x v="6"/>
    <x v="1"/>
    <x v="1"/>
    <x v="33"/>
    <x v="407"/>
    <x v="874"/>
    <x v="0"/>
    <x v="57"/>
    <x v="2"/>
  </r>
  <r>
    <x v="57"/>
    <x v="313"/>
    <x v="6"/>
    <x v="6"/>
    <x v="1"/>
    <x v="1"/>
    <x v="33"/>
    <x v="341"/>
    <x v="874"/>
    <x v="0"/>
    <x v="57"/>
    <x v="2"/>
  </r>
  <r>
    <x v="57"/>
    <x v="335"/>
    <x v="6"/>
    <x v="6"/>
    <x v="1"/>
    <x v="1"/>
    <x v="33"/>
    <x v="408"/>
    <x v="874"/>
    <x v="0"/>
    <x v="57"/>
    <x v="2"/>
  </r>
  <r>
    <x v="59"/>
    <x v="194"/>
    <x v="9"/>
    <x v="9"/>
    <x v="1"/>
    <x v="2"/>
    <x v="32"/>
    <x v="390"/>
    <x v="3219"/>
    <x v="0"/>
    <x v="59"/>
    <x v="2"/>
  </r>
  <r>
    <x v="59"/>
    <x v="325"/>
    <x v="11"/>
    <x v="11"/>
    <x v="1"/>
    <x v="2"/>
    <x v="33"/>
    <x v="421"/>
    <x v="874"/>
    <x v="0"/>
    <x v="59"/>
    <x v="2"/>
  </r>
  <r>
    <x v="60"/>
    <x v="206"/>
    <x v="7"/>
    <x v="7"/>
    <x v="1"/>
    <x v="0"/>
    <x v="33"/>
    <x v="284"/>
    <x v="874"/>
    <x v="0"/>
    <x v="60"/>
    <x v="2"/>
  </r>
  <r>
    <x v="62"/>
    <x v="227"/>
    <x v="9"/>
    <x v="9"/>
    <x v="1"/>
    <x v="2"/>
    <x v="32"/>
    <x v="399"/>
    <x v="1331"/>
    <x v="0"/>
    <x v="62"/>
    <x v="2"/>
  </r>
  <r>
    <x v="62"/>
    <x v="242"/>
    <x v="9"/>
    <x v="9"/>
    <x v="1"/>
    <x v="2"/>
    <x v="32"/>
    <x v="435"/>
    <x v="3220"/>
    <x v="0"/>
    <x v="62"/>
    <x v="2"/>
  </r>
  <r>
    <x v="62"/>
    <x v="214"/>
    <x v="11"/>
    <x v="11"/>
    <x v="1"/>
    <x v="2"/>
    <x v="32"/>
    <x v="306"/>
    <x v="3221"/>
    <x v="0"/>
    <x v="62"/>
    <x v="2"/>
  </r>
  <r>
    <x v="62"/>
    <x v="204"/>
    <x v="6"/>
    <x v="6"/>
    <x v="1"/>
    <x v="0"/>
    <x v="33"/>
    <x v="317"/>
    <x v="874"/>
    <x v="0"/>
    <x v="62"/>
    <x v="2"/>
  </r>
  <r>
    <x v="63"/>
    <x v="194"/>
    <x v="9"/>
    <x v="9"/>
    <x v="1"/>
    <x v="2"/>
    <x v="32"/>
    <x v="390"/>
    <x v="3222"/>
    <x v="0"/>
    <x v="63"/>
    <x v="2"/>
  </r>
  <r>
    <x v="63"/>
    <x v="242"/>
    <x v="9"/>
    <x v="9"/>
    <x v="1"/>
    <x v="2"/>
    <x v="32"/>
    <x v="435"/>
    <x v="3223"/>
    <x v="0"/>
    <x v="63"/>
    <x v="2"/>
  </r>
  <r>
    <x v="63"/>
    <x v="263"/>
    <x v="10"/>
    <x v="10"/>
    <x v="1"/>
    <x v="2"/>
    <x v="32"/>
    <x v="436"/>
    <x v="3222"/>
    <x v="0"/>
    <x v="63"/>
    <x v="2"/>
  </r>
  <r>
    <x v="63"/>
    <x v="311"/>
    <x v="11"/>
    <x v="11"/>
    <x v="1"/>
    <x v="2"/>
    <x v="32"/>
    <x v="440"/>
    <x v="1"/>
    <x v="216"/>
    <x v="63"/>
    <x v="2"/>
  </r>
  <r>
    <x v="63"/>
    <x v="330"/>
    <x v="11"/>
    <x v="11"/>
    <x v="1"/>
    <x v="2"/>
    <x v="32"/>
    <x v="381"/>
    <x v="3224"/>
    <x v="0"/>
    <x v="63"/>
    <x v="2"/>
  </r>
  <r>
    <x v="63"/>
    <x v="229"/>
    <x v="6"/>
    <x v="6"/>
    <x v="1"/>
    <x v="2"/>
    <x v="32"/>
    <x v="281"/>
    <x v="3225"/>
    <x v="0"/>
    <x v="63"/>
    <x v="2"/>
  </r>
  <r>
    <x v="63"/>
    <x v="302"/>
    <x v="11"/>
    <x v="11"/>
    <x v="1"/>
    <x v="0"/>
    <x v="33"/>
    <x v="324"/>
    <x v="952"/>
    <x v="0"/>
    <x v="63"/>
    <x v="2"/>
  </r>
  <r>
    <x v="63"/>
    <x v="273"/>
    <x v="11"/>
    <x v="11"/>
    <x v="1"/>
    <x v="0"/>
    <x v="33"/>
    <x v="354"/>
    <x v="759"/>
    <x v="0"/>
    <x v="63"/>
    <x v="2"/>
  </r>
  <r>
    <x v="63"/>
    <x v="181"/>
    <x v="11"/>
    <x v="11"/>
    <x v="1"/>
    <x v="0"/>
    <x v="32"/>
    <x v="362"/>
    <x v="1"/>
    <x v="349"/>
    <x v="63"/>
    <x v="2"/>
  </r>
  <r>
    <x v="63"/>
    <x v="215"/>
    <x v="2"/>
    <x v="2"/>
    <x v="1"/>
    <x v="0"/>
    <x v="33"/>
    <x v="322"/>
    <x v="759"/>
    <x v="0"/>
    <x v="63"/>
    <x v="2"/>
  </r>
  <r>
    <x v="63"/>
    <x v="284"/>
    <x v="2"/>
    <x v="2"/>
    <x v="1"/>
    <x v="0"/>
    <x v="33"/>
    <x v="383"/>
    <x v="759"/>
    <x v="0"/>
    <x v="63"/>
    <x v="2"/>
  </r>
  <r>
    <x v="63"/>
    <x v="216"/>
    <x v="2"/>
    <x v="2"/>
    <x v="1"/>
    <x v="0"/>
    <x v="33"/>
    <x v="332"/>
    <x v="759"/>
    <x v="0"/>
    <x v="63"/>
    <x v="2"/>
  </r>
  <r>
    <x v="63"/>
    <x v="223"/>
    <x v="2"/>
    <x v="2"/>
    <x v="1"/>
    <x v="0"/>
    <x v="33"/>
    <x v="434"/>
    <x v="759"/>
    <x v="0"/>
    <x v="63"/>
    <x v="2"/>
  </r>
  <r>
    <x v="63"/>
    <x v="183"/>
    <x v="2"/>
    <x v="2"/>
    <x v="1"/>
    <x v="0"/>
    <x v="33"/>
    <x v="330"/>
    <x v="874"/>
    <x v="0"/>
    <x v="63"/>
    <x v="2"/>
  </r>
  <r>
    <x v="63"/>
    <x v="285"/>
    <x v="6"/>
    <x v="6"/>
    <x v="1"/>
    <x v="0"/>
    <x v="33"/>
    <x v="409"/>
    <x v="759"/>
    <x v="0"/>
    <x v="63"/>
    <x v="2"/>
  </r>
  <r>
    <x v="63"/>
    <x v="217"/>
    <x v="6"/>
    <x v="6"/>
    <x v="1"/>
    <x v="0"/>
    <x v="33"/>
    <x v="323"/>
    <x v="146"/>
    <x v="0"/>
    <x v="63"/>
    <x v="2"/>
  </r>
  <r>
    <x v="63"/>
    <x v="265"/>
    <x v="6"/>
    <x v="6"/>
    <x v="1"/>
    <x v="0"/>
    <x v="33"/>
    <x v="386"/>
    <x v="874"/>
    <x v="0"/>
    <x v="63"/>
    <x v="2"/>
  </r>
  <r>
    <x v="63"/>
    <x v="184"/>
    <x v="6"/>
    <x v="6"/>
    <x v="1"/>
    <x v="0"/>
    <x v="33"/>
    <x v="413"/>
    <x v="146"/>
    <x v="0"/>
    <x v="63"/>
    <x v="2"/>
  </r>
  <r>
    <x v="63"/>
    <x v="296"/>
    <x v="6"/>
    <x v="6"/>
    <x v="1"/>
    <x v="0"/>
    <x v="33"/>
    <x v="312"/>
    <x v="146"/>
    <x v="0"/>
    <x v="63"/>
    <x v="2"/>
  </r>
  <r>
    <x v="63"/>
    <x v="297"/>
    <x v="6"/>
    <x v="6"/>
    <x v="1"/>
    <x v="0"/>
    <x v="33"/>
    <x v="313"/>
    <x v="934"/>
    <x v="0"/>
    <x v="63"/>
    <x v="2"/>
  </r>
  <r>
    <x v="63"/>
    <x v="313"/>
    <x v="6"/>
    <x v="6"/>
    <x v="1"/>
    <x v="0"/>
    <x v="33"/>
    <x v="341"/>
    <x v="759"/>
    <x v="0"/>
    <x v="63"/>
    <x v="2"/>
  </r>
  <r>
    <x v="63"/>
    <x v="218"/>
    <x v="6"/>
    <x v="6"/>
    <x v="1"/>
    <x v="0"/>
    <x v="33"/>
    <x v="451"/>
    <x v="759"/>
    <x v="0"/>
    <x v="63"/>
    <x v="2"/>
  </r>
  <r>
    <x v="63"/>
    <x v="229"/>
    <x v="6"/>
    <x v="6"/>
    <x v="1"/>
    <x v="0"/>
    <x v="33"/>
    <x v="281"/>
    <x v="765"/>
    <x v="0"/>
    <x v="63"/>
    <x v="2"/>
  </r>
  <r>
    <x v="63"/>
    <x v="191"/>
    <x v="6"/>
    <x v="6"/>
    <x v="1"/>
    <x v="0"/>
    <x v="33"/>
    <x v="318"/>
    <x v="759"/>
    <x v="0"/>
    <x v="63"/>
    <x v="2"/>
  </r>
  <r>
    <x v="63"/>
    <x v="216"/>
    <x v="2"/>
    <x v="2"/>
    <x v="1"/>
    <x v="1"/>
    <x v="33"/>
    <x v="332"/>
    <x v="874"/>
    <x v="0"/>
    <x v="63"/>
    <x v="2"/>
  </r>
  <r>
    <x v="63"/>
    <x v="276"/>
    <x v="2"/>
    <x v="2"/>
    <x v="1"/>
    <x v="1"/>
    <x v="33"/>
    <x v="385"/>
    <x v="759"/>
    <x v="0"/>
    <x v="63"/>
    <x v="2"/>
  </r>
  <r>
    <x v="63"/>
    <x v="264"/>
    <x v="6"/>
    <x v="6"/>
    <x v="1"/>
    <x v="1"/>
    <x v="33"/>
    <x v="311"/>
    <x v="874"/>
    <x v="0"/>
    <x v="63"/>
    <x v="2"/>
  </r>
  <r>
    <x v="63"/>
    <x v="281"/>
    <x v="6"/>
    <x v="6"/>
    <x v="1"/>
    <x v="1"/>
    <x v="33"/>
    <x v="395"/>
    <x v="765"/>
    <x v="0"/>
    <x v="63"/>
    <x v="2"/>
  </r>
  <r>
    <x v="64"/>
    <x v="208"/>
    <x v="8"/>
    <x v="8"/>
    <x v="1"/>
    <x v="2"/>
    <x v="32"/>
    <x v="377"/>
    <x v="3226"/>
    <x v="0"/>
    <x v="64"/>
    <x v="2"/>
  </r>
  <r>
    <x v="64"/>
    <x v="315"/>
    <x v="2"/>
    <x v="2"/>
    <x v="1"/>
    <x v="2"/>
    <x v="32"/>
    <x v="405"/>
    <x v="3227"/>
    <x v="0"/>
    <x v="64"/>
    <x v="2"/>
  </r>
  <r>
    <x v="64"/>
    <x v="316"/>
    <x v="2"/>
    <x v="2"/>
    <x v="1"/>
    <x v="0"/>
    <x v="33"/>
    <x v="348"/>
    <x v="874"/>
    <x v="0"/>
    <x v="64"/>
    <x v="2"/>
  </r>
  <r>
    <x v="65"/>
    <x v="242"/>
    <x v="9"/>
    <x v="9"/>
    <x v="1"/>
    <x v="2"/>
    <x v="32"/>
    <x v="435"/>
    <x v="3228"/>
    <x v="0"/>
    <x v="65"/>
    <x v="2"/>
  </r>
  <r>
    <x v="65"/>
    <x v="263"/>
    <x v="10"/>
    <x v="10"/>
    <x v="1"/>
    <x v="2"/>
    <x v="32"/>
    <x v="436"/>
    <x v="3228"/>
    <x v="0"/>
    <x v="65"/>
    <x v="2"/>
  </r>
  <r>
    <x v="65"/>
    <x v="187"/>
    <x v="11"/>
    <x v="11"/>
    <x v="1"/>
    <x v="2"/>
    <x v="32"/>
    <x v="328"/>
    <x v="3228"/>
    <x v="0"/>
    <x v="65"/>
    <x v="2"/>
  </r>
  <r>
    <x v="65"/>
    <x v="229"/>
    <x v="6"/>
    <x v="6"/>
    <x v="1"/>
    <x v="2"/>
    <x v="32"/>
    <x v="281"/>
    <x v="3161"/>
    <x v="0"/>
    <x v="65"/>
    <x v="2"/>
  </r>
  <r>
    <x v="66"/>
    <x v="263"/>
    <x v="10"/>
    <x v="10"/>
    <x v="1"/>
    <x v="2"/>
    <x v="32"/>
    <x v="436"/>
    <x v="3229"/>
    <x v="0"/>
    <x v="66"/>
    <x v="2"/>
  </r>
  <r>
    <x v="66"/>
    <x v="240"/>
    <x v="2"/>
    <x v="2"/>
    <x v="1"/>
    <x v="2"/>
    <x v="32"/>
    <x v="442"/>
    <x v="3230"/>
    <x v="0"/>
    <x v="66"/>
    <x v="2"/>
  </r>
  <r>
    <x v="66"/>
    <x v="264"/>
    <x v="6"/>
    <x v="6"/>
    <x v="1"/>
    <x v="2"/>
    <x v="34"/>
    <x v="454"/>
    <x v="759"/>
    <x v="0"/>
    <x v="66"/>
    <x v="2"/>
  </r>
  <r>
    <x v="67"/>
    <x v="225"/>
    <x v="7"/>
    <x v="7"/>
    <x v="1"/>
    <x v="2"/>
    <x v="32"/>
    <x v="416"/>
    <x v="3231"/>
    <x v="0"/>
    <x v="67"/>
    <x v="2"/>
  </r>
  <r>
    <x v="67"/>
    <x v="323"/>
    <x v="8"/>
    <x v="8"/>
    <x v="1"/>
    <x v="2"/>
    <x v="32"/>
    <x v="367"/>
    <x v="3232"/>
    <x v="0"/>
    <x v="67"/>
    <x v="2"/>
  </r>
  <r>
    <x v="67"/>
    <x v="185"/>
    <x v="8"/>
    <x v="8"/>
    <x v="1"/>
    <x v="2"/>
    <x v="32"/>
    <x v="296"/>
    <x v="3233"/>
    <x v="0"/>
    <x v="67"/>
    <x v="2"/>
  </r>
  <r>
    <x v="67"/>
    <x v="263"/>
    <x v="10"/>
    <x v="10"/>
    <x v="1"/>
    <x v="2"/>
    <x v="32"/>
    <x v="436"/>
    <x v="3234"/>
    <x v="0"/>
    <x v="67"/>
    <x v="2"/>
  </r>
  <r>
    <x v="68"/>
    <x v="224"/>
    <x v="2"/>
    <x v="2"/>
    <x v="1"/>
    <x v="1"/>
    <x v="33"/>
    <x v="414"/>
    <x v="759"/>
    <x v="0"/>
    <x v="68"/>
    <x v="2"/>
  </r>
  <r>
    <x v="8"/>
    <x v="316"/>
    <x v="2"/>
    <x v="2"/>
    <x v="1"/>
    <x v="2"/>
    <x v="37"/>
    <x v="348"/>
    <x v="881"/>
    <x v="0"/>
    <x v="8"/>
    <x v="3"/>
  </r>
  <r>
    <x v="26"/>
    <x v="171"/>
    <x v="7"/>
    <x v="7"/>
    <x v="1"/>
    <x v="2"/>
    <x v="37"/>
    <x v="429"/>
    <x v="3235"/>
    <x v="0"/>
    <x v="26"/>
    <x v="3"/>
  </r>
  <r>
    <x v="31"/>
    <x v="277"/>
    <x v="7"/>
    <x v="7"/>
    <x v="1"/>
    <x v="2"/>
    <x v="37"/>
    <x v="325"/>
    <x v="3236"/>
    <x v="0"/>
    <x v="31"/>
    <x v="3"/>
  </r>
  <r>
    <x v="33"/>
    <x v="326"/>
    <x v="8"/>
    <x v="8"/>
    <x v="1"/>
    <x v="2"/>
    <x v="37"/>
    <x v="423"/>
    <x v="3237"/>
    <x v="0"/>
    <x v="33"/>
    <x v="3"/>
  </r>
  <r>
    <x v="34"/>
    <x v="214"/>
    <x v="11"/>
    <x v="11"/>
    <x v="1"/>
    <x v="2"/>
    <x v="37"/>
    <x v="306"/>
    <x v="3106"/>
    <x v="0"/>
    <x v="34"/>
    <x v="3"/>
  </r>
  <r>
    <x v="75"/>
    <x v="214"/>
    <x v="11"/>
    <x v="11"/>
    <x v="1"/>
    <x v="2"/>
    <x v="37"/>
    <x v="306"/>
    <x v="782"/>
    <x v="0"/>
    <x v="75"/>
    <x v="3"/>
  </r>
  <r>
    <x v="42"/>
    <x v="277"/>
    <x v="7"/>
    <x v="7"/>
    <x v="1"/>
    <x v="2"/>
    <x v="37"/>
    <x v="325"/>
    <x v="3238"/>
    <x v="0"/>
    <x v="42"/>
    <x v="3"/>
  </r>
  <r>
    <x v="47"/>
    <x v="288"/>
    <x v="7"/>
    <x v="7"/>
    <x v="1"/>
    <x v="2"/>
    <x v="37"/>
    <x v="439"/>
    <x v="3239"/>
    <x v="0"/>
    <x v="47"/>
    <x v="3"/>
  </r>
  <r>
    <x v="49"/>
    <x v="327"/>
    <x v="7"/>
    <x v="7"/>
    <x v="1"/>
    <x v="2"/>
    <x v="37"/>
    <x v="387"/>
    <x v="3240"/>
    <x v="0"/>
    <x v="49"/>
    <x v="3"/>
  </r>
  <r>
    <x v="55"/>
    <x v="303"/>
    <x v="9"/>
    <x v="9"/>
    <x v="1"/>
    <x v="5"/>
    <x v="38"/>
    <x v="327"/>
    <x v="1401"/>
    <x v="0"/>
    <x v="55"/>
    <x v="3"/>
  </r>
  <r>
    <x v="55"/>
    <x v="338"/>
    <x v="9"/>
    <x v="9"/>
    <x v="1"/>
    <x v="5"/>
    <x v="38"/>
    <x v="425"/>
    <x v="3241"/>
    <x v="0"/>
    <x v="55"/>
    <x v="3"/>
  </r>
  <r>
    <x v="55"/>
    <x v="298"/>
    <x v="10"/>
    <x v="10"/>
    <x v="1"/>
    <x v="5"/>
    <x v="38"/>
    <x v="314"/>
    <x v="3242"/>
    <x v="0"/>
    <x v="55"/>
    <x v="3"/>
  </r>
  <r>
    <x v="55"/>
    <x v="277"/>
    <x v="7"/>
    <x v="7"/>
    <x v="1"/>
    <x v="6"/>
    <x v="37"/>
    <x v="325"/>
    <x v="782"/>
    <x v="0"/>
    <x v="55"/>
    <x v="3"/>
  </r>
  <r>
    <x v="55"/>
    <x v="179"/>
    <x v="7"/>
    <x v="7"/>
    <x v="1"/>
    <x v="6"/>
    <x v="37"/>
    <x v="415"/>
    <x v="3243"/>
    <x v="0"/>
    <x v="55"/>
    <x v="3"/>
  </r>
  <r>
    <x v="55"/>
    <x v="260"/>
    <x v="7"/>
    <x v="7"/>
    <x v="1"/>
    <x v="6"/>
    <x v="37"/>
    <x v="437"/>
    <x v="3244"/>
    <x v="0"/>
    <x v="55"/>
    <x v="3"/>
  </r>
  <r>
    <x v="55"/>
    <x v="237"/>
    <x v="7"/>
    <x v="7"/>
    <x v="1"/>
    <x v="6"/>
    <x v="65"/>
    <x v="455"/>
    <x v="3245"/>
    <x v="0"/>
    <x v="55"/>
    <x v="3"/>
  </r>
  <r>
    <x v="55"/>
    <x v="321"/>
    <x v="8"/>
    <x v="8"/>
    <x v="1"/>
    <x v="6"/>
    <x v="38"/>
    <x v="430"/>
    <x v="3246"/>
    <x v="0"/>
    <x v="55"/>
    <x v="3"/>
  </r>
  <r>
    <x v="55"/>
    <x v="319"/>
    <x v="8"/>
    <x v="8"/>
    <x v="1"/>
    <x v="6"/>
    <x v="66"/>
    <x v="456"/>
    <x v="1"/>
    <x v="605"/>
    <x v="55"/>
    <x v="3"/>
  </r>
  <r>
    <x v="55"/>
    <x v="298"/>
    <x v="10"/>
    <x v="10"/>
    <x v="1"/>
    <x v="6"/>
    <x v="67"/>
    <x v="456"/>
    <x v="1"/>
    <x v="606"/>
    <x v="55"/>
    <x v="3"/>
  </r>
  <r>
    <x v="55"/>
    <x v="298"/>
    <x v="10"/>
    <x v="10"/>
    <x v="1"/>
    <x v="6"/>
    <x v="38"/>
    <x v="314"/>
    <x v="3247"/>
    <x v="0"/>
    <x v="55"/>
    <x v="3"/>
  </r>
  <r>
    <x v="55"/>
    <x v="269"/>
    <x v="11"/>
    <x v="11"/>
    <x v="1"/>
    <x v="6"/>
    <x v="38"/>
    <x v="403"/>
    <x v="3248"/>
    <x v="0"/>
    <x v="55"/>
    <x v="3"/>
  </r>
  <r>
    <x v="55"/>
    <x v="201"/>
    <x v="11"/>
    <x v="11"/>
    <x v="1"/>
    <x v="6"/>
    <x v="37"/>
    <x v="422"/>
    <x v="900"/>
    <x v="0"/>
    <x v="55"/>
    <x v="3"/>
  </r>
  <r>
    <x v="55"/>
    <x v="275"/>
    <x v="11"/>
    <x v="11"/>
    <x v="1"/>
    <x v="6"/>
    <x v="68"/>
    <x v="456"/>
    <x v="1"/>
    <x v="607"/>
    <x v="55"/>
    <x v="3"/>
  </r>
  <r>
    <x v="55"/>
    <x v="335"/>
    <x v="6"/>
    <x v="6"/>
    <x v="1"/>
    <x v="6"/>
    <x v="37"/>
    <x v="408"/>
    <x v="3249"/>
    <x v="0"/>
    <x v="55"/>
    <x v="3"/>
  </r>
  <r>
    <x v="55"/>
    <x v="191"/>
    <x v="6"/>
    <x v="6"/>
    <x v="1"/>
    <x v="6"/>
    <x v="38"/>
    <x v="318"/>
    <x v="3250"/>
    <x v="0"/>
    <x v="55"/>
    <x v="3"/>
  </r>
  <r>
    <x v="55"/>
    <x v="206"/>
    <x v="7"/>
    <x v="7"/>
    <x v="1"/>
    <x v="7"/>
    <x v="37"/>
    <x v="284"/>
    <x v="3251"/>
    <x v="0"/>
    <x v="55"/>
    <x v="3"/>
  </r>
  <r>
    <x v="55"/>
    <x v="217"/>
    <x v="6"/>
    <x v="6"/>
    <x v="1"/>
    <x v="7"/>
    <x v="37"/>
    <x v="323"/>
    <x v="3252"/>
    <x v="0"/>
    <x v="55"/>
    <x v="3"/>
  </r>
  <r>
    <x v="55"/>
    <x v="335"/>
    <x v="6"/>
    <x v="6"/>
    <x v="1"/>
    <x v="7"/>
    <x v="37"/>
    <x v="408"/>
    <x v="1784"/>
    <x v="0"/>
    <x v="55"/>
    <x v="3"/>
  </r>
  <r>
    <x v="55"/>
    <x v="249"/>
    <x v="11"/>
    <x v="11"/>
    <x v="1"/>
    <x v="9"/>
    <x v="37"/>
    <x v="359"/>
    <x v="3253"/>
    <x v="0"/>
    <x v="55"/>
    <x v="3"/>
  </r>
  <r>
    <x v="55"/>
    <x v="220"/>
    <x v="11"/>
    <x v="11"/>
    <x v="1"/>
    <x v="11"/>
    <x v="38"/>
    <x v="309"/>
    <x v="3254"/>
    <x v="0"/>
    <x v="55"/>
    <x v="3"/>
  </r>
  <r>
    <x v="55"/>
    <x v="290"/>
    <x v="9"/>
    <x v="9"/>
    <x v="1"/>
    <x v="12"/>
    <x v="37"/>
    <x v="302"/>
    <x v="3255"/>
    <x v="0"/>
    <x v="55"/>
    <x v="3"/>
  </r>
  <r>
    <x v="55"/>
    <x v="187"/>
    <x v="11"/>
    <x v="11"/>
    <x v="1"/>
    <x v="12"/>
    <x v="37"/>
    <x v="328"/>
    <x v="3256"/>
    <x v="0"/>
    <x v="55"/>
    <x v="3"/>
  </r>
  <r>
    <x v="55"/>
    <x v="332"/>
    <x v="7"/>
    <x v="7"/>
    <x v="1"/>
    <x v="14"/>
    <x v="37"/>
    <x v="397"/>
    <x v="1176"/>
    <x v="0"/>
    <x v="55"/>
    <x v="3"/>
  </r>
  <r>
    <x v="55"/>
    <x v="251"/>
    <x v="8"/>
    <x v="8"/>
    <x v="1"/>
    <x v="14"/>
    <x v="37"/>
    <x v="291"/>
    <x v="816"/>
    <x v="0"/>
    <x v="55"/>
    <x v="3"/>
  </r>
  <r>
    <x v="55"/>
    <x v="331"/>
    <x v="9"/>
    <x v="9"/>
    <x v="1"/>
    <x v="14"/>
    <x v="37"/>
    <x v="391"/>
    <x v="925"/>
    <x v="0"/>
    <x v="55"/>
    <x v="3"/>
  </r>
  <r>
    <x v="55"/>
    <x v="243"/>
    <x v="10"/>
    <x v="10"/>
    <x v="1"/>
    <x v="14"/>
    <x v="37"/>
    <x v="411"/>
    <x v="3257"/>
    <x v="0"/>
    <x v="55"/>
    <x v="3"/>
  </r>
  <r>
    <x v="55"/>
    <x v="330"/>
    <x v="11"/>
    <x v="11"/>
    <x v="1"/>
    <x v="14"/>
    <x v="37"/>
    <x v="381"/>
    <x v="816"/>
    <x v="0"/>
    <x v="55"/>
    <x v="3"/>
  </r>
  <r>
    <x v="55"/>
    <x v="274"/>
    <x v="11"/>
    <x v="11"/>
    <x v="1"/>
    <x v="14"/>
    <x v="37"/>
    <x v="404"/>
    <x v="988"/>
    <x v="0"/>
    <x v="55"/>
    <x v="3"/>
  </r>
  <r>
    <x v="55"/>
    <x v="315"/>
    <x v="2"/>
    <x v="2"/>
    <x v="1"/>
    <x v="14"/>
    <x v="37"/>
    <x v="405"/>
    <x v="1596"/>
    <x v="0"/>
    <x v="55"/>
    <x v="3"/>
  </r>
  <r>
    <x v="55"/>
    <x v="265"/>
    <x v="6"/>
    <x v="6"/>
    <x v="1"/>
    <x v="14"/>
    <x v="37"/>
    <x v="386"/>
    <x v="816"/>
    <x v="0"/>
    <x v="55"/>
    <x v="3"/>
  </r>
  <r>
    <x v="55"/>
    <x v="261"/>
    <x v="8"/>
    <x v="8"/>
    <x v="1"/>
    <x v="15"/>
    <x v="38"/>
    <x v="320"/>
    <x v="1596"/>
    <x v="0"/>
    <x v="55"/>
    <x v="3"/>
  </r>
  <r>
    <x v="55"/>
    <x v="273"/>
    <x v="11"/>
    <x v="11"/>
    <x v="1"/>
    <x v="15"/>
    <x v="38"/>
    <x v="354"/>
    <x v="900"/>
    <x v="0"/>
    <x v="55"/>
    <x v="3"/>
  </r>
  <r>
    <x v="55"/>
    <x v="305"/>
    <x v="6"/>
    <x v="6"/>
    <x v="1"/>
    <x v="29"/>
    <x v="37"/>
    <x v="331"/>
    <x v="1105"/>
    <x v="0"/>
    <x v="55"/>
    <x v="3"/>
  </r>
  <r>
    <x v="55"/>
    <x v="314"/>
    <x v="6"/>
    <x v="6"/>
    <x v="1"/>
    <x v="16"/>
    <x v="38"/>
    <x v="372"/>
    <x v="3258"/>
    <x v="0"/>
    <x v="55"/>
    <x v="3"/>
  </r>
  <r>
    <x v="58"/>
    <x v="249"/>
    <x v="11"/>
    <x v="11"/>
    <x v="1"/>
    <x v="2"/>
    <x v="37"/>
    <x v="359"/>
    <x v="900"/>
    <x v="0"/>
    <x v="58"/>
    <x v="3"/>
  </r>
  <r>
    <x v="67"/>
    <x v="277"/>
    <x v="7"/>
    <x v="7"/>
    <x v="1"/>
    <x v="2"/>
    <x v="37"/>
    <x v="325"/>
    <x v="798"/>
    <x v="0"/>
    <x v="67"/>
    <x v="3"/>
  </r>
  <r>
    <x v="0"/>
    <x v="247"/>
    <x v="8"/>
    <x v="8"/>
    <x v="1"/>
    <x v="2"/>
    <x v="39"/>
    <x v="289"/>
    <x v="3259"/>
    <x v="0"/>
    <x v="0"/>
    <x v="4"/>
  </r>
  <r>
    <x v="0"/>
    <x v="227"/>
    <x v="9"/>
    <x v="9"/>
    <x v="1"/>
    <x v="2"/>
    <x v="39"/>
    <x v="399"/>
    <x v="3260"/>
    <x v="0"/>
    <x v="0"/>
    <x v="4"/>
  </r>
  <r>
    <x v="0"/>
    <x v="339"/>
    <x v="10"/>
    <x v="10"/>
    <x v="1"/>
    <x v="2"/>
    <x v="39"/>
    <x v="427"/>
    <x v="3261"/>
    <x v="0"/>
    <x v="0"/>
    <x v="4"/>
  </r>
  <r>
    <x v="0"/>
    <x v="244"/>
    <x v="10"/>
    <x v="10"/>
    <x v="1"/>
    <x v="2"/>
    <x v="39"/>
    <x v="433"/>
    <x v="3261"/>
    <x v="0"/>
    <x v="0"/>
    <x v="4"/>
  </r>
  <r>
    <x v="0"/>
    <x v="200"/>
    <x v="11"/>
    <x v="11"/>
    <x v="1"/>
    <x v="2"/>
    <x v="39"/>
    <x v="351"/>
    <x v="2368"/>
    <x v="0"/>
    <x v="0"/>
    <x v="4"/>
  </r>
  <r>
    <x v="0"/>
    <x v="187"/>
    <x v="11"/>
    <x v="11"/>
    <x v="1"/>
    <x v="2"/>
    <x v="39"/>
    <x v="328"/>
    <x v="3262"/>
    <x v="0"/>
    <x v="0"/>
    <x v="4"/>
  </r>
  <r>
    <x v="0"/>
    <x v="281"/>
    <x v="6"/>
    <x v="6"/>
    <x v="1"/>
    <x v="2"/>
    <x v="39"/>
    <x v="395"/>
    <x v="3187"/>
    <x v="0"/>
    <x v="0"/>
    <x v="4"/>
  </r>
  <r>
    <x v="1"/>
    <x v="185"/>
    <x v="8"/>
    <x v="8"/>
    <x v="1"/>
    <x v="2"/>
    <x v="40"/>
    <x v="296"/>
    <x v="3263"/>
    <x v="0"/>
    <x v="1"/>
    <x v="4"/>
  </r>
  <r>
    <x v="1"/>
    <x v="212"/>
    <x v="10"/>
    <x v="10"/>
    <x v="1"/>
    <x v="2"/>
    <x v="40"/>
    <x v="319"/>
    <x v="3264"/>
    <x v="0"/>
    <x v="1"/>
    <x v="4"/>
  </r>
  <r>
    <x v="2"/>
    <x v="214"/>
    <x v="11"/>
    <x v="11"/>
    <x v="1"/>
    <x v="2"/>
    <x v="40"/>
    <x v="306"/>
    <x v="1622"/>
    <x v="0"/>
    <x v="2"/>
    <x v="4"/>
  </r>
  <r>
    <x v="2"/>
    <x v="214"/>
    <x v="11"/>
    <x v="11"/>
    <x v="1"/>
    <x v="2"/>
    <x v="39"/>
    <x v="306"/>
    <x v="1124"/>
    <x v="0"/>
    <x v="2"/>
    <x v="4"/>
  </r>
  <r>
    <x v="3"/>
    <x v="227"/>
    <x v="9"/>
    <x v="9"/>
    <x v="1"/>
    <x v="2"/>
    <x v="39"/>
    <x v="399"/>
    <x v="3265"/>
    <x v="0"/>
    <x v="3"/>
    <x v="4"/>
  </r>
  <r>
    <x v="3"/>
    <x v="240"/>
    <x v="2"/>
    <x v="2"/>
    <x v="1"/>
    <x v="2"/>
    <x v="39"/>
    <x v="442"/>
    <x v="3266"/>
    <x v="0"/>
    <x v="3"/>
    <x v="4"/>
  </r>
  <r>
    <x v="4"/>
    <x v="319"/>
    <x v="8"/>
    <x v="8"/>
    <x v="1"/>
    <x v="2"/>
    <x v="39"/>
    <x v="350"/>
    <x v="952"/>
    <x v="0"/>
    <x v="4"/>
    <x v="4"/>
  </r>
  <r>
    <x v="4"/>
    <x v="291"/>
    <x v="9"/>
    <x v="9"/>
    <x v="1"/>
    <x v="2"/>
    <x v="39"/>
    <x v="303"/>
    <x v="3267"/>
    <x v="0"/>
    <x v="4"/>
    <x v="4"/>
  </r>
  <r>
    <x v="4"/>
    <x v="214"/>
    <x v="11"/>
    <x v="11"/>
    <x v="1"/>
    <x v="2"/>
    <x v="39"/>
    <x v="306"/>
    <x v="1365"/>
    <x v="0"/>
    <x v="4"/>
    <x v="4"/>
  </r>
  <r>
    <x v="4"/>
    <x v="240"/>
    <x v="2"/>
    <x v="2"/>
    <x v="1"/>
    <x v="2"/>
    <x v="39"/>
    <x v="442"/>
    <x v="1215"/>
    <x v="0"/>
    <x v="4"/>
    <x v="4"/>
  </r>
  <r>
    <x v="4"/>
    <x v="188"/>
    <x v="6"/>
    <x v="6"/>
    <x v="1"/>
    <x v="2"/>
    <x v="39"/>
    <x v="407"/>
    <x v="3268"/>
    <x v="0"/>
    <x v="4"/>
    <x v="4"/>
  </r>
  <r>
    <x v="5"/>
    <x v="331"/>
    <x v="9"/>
    <x v="9"/>
    <x v="1"/>
    <x v="2"/>
    <x v="39"/>
    <x v="391"/>
    <x v="3269"/>
    <x v="0"/>
    <x v="5"/>
    <x v="4"/>
  </r>
  <r>
    <x v="5"/>
    <x v="217"/>
    <x v="6"/>
    <x v="6"/>
    <x v="1"/>
    <x v="2"/>
    <x v="39"/>
    <x v="323"/>
    <x v="3270"/>
    <x v="0"/>
    <x v="5"/>
    <x v="4"/>
  </r>
  <r>
    <x v="6"/>
    <x v="332"/>
    <x v="7"/>
    <x v="7"/>
    <x v="1"/>
    <x v="2"/>
    <x v="39"/>
    <x v="397"/>
    <x v="3271"/>
    <x v="0"/>
    <x v="6"/>
    <x v="4"/>
  </r>
  <r>
    <x v="6"/>
    <x v="242"/>
    <x v="9"/>
    <x v="9"/>
    <x v="1"/>
    <x v="2"/>
    <x v="40"/>
    <x v="435"/>
    <x v="1641"/>
    <x v="0"/>
    <x v="6"/>
    <x v="4"/>
  </r>
  <r>
    <x v="6"/>
    <x v="282"/>
    <x v="11"/>
    <x v="11"/>
    <x v="1"/>
    <x v="2"/>
    <x v="39"/>
    <x v="358"/>
    <x v="1983"/>
    <x v="0"/>
    <x v="6"/>
    <x v="4"/>
  </r>
  <r>
    <x v="6"/>
    <x v="177"/>
    <x v="11"/>
    <x v="11"/>
    <x v="1"/>
    <x v="2"/>
    <x v="39"/>
    <x v="346"/>
    <x v="1286"/>
    <x v="0"/>
    <x v="6"/>
    <x v="4"/>
  </r>
  <r>
    <x v="6"/>
    <x v="316"/>
    <x v="2"/>
    <x v="2"/>
    <x v="1"/>
    <x v="2"/>
    <x v="39"/>
    <x v="348"/>
    <x v="3272"/>
    <x v="0"/>
    <x v="6"/>
    <x v="4"/>
  </r>
  <r>
    <x v="7"/>
    <x v="319"/>
    <x v="8"/>
    <x v="8"/>
    <x v="1"/>
    <x v="2"/>
    <x v="39"/>
    <x v="350"/>
    <x v="3273"/>
    <x v="0"/>
    <x v="7"/>
    <x v="4"/>
  </r>
  <r>
    <x v="7"/>
    <x v="242"/>
    <x v="9"/>
    <x v="9"/>
    <x v="1"/>
    <x v="2"/>
    <x v="39"/>
    <x v="435"/>
    <x v="3274"/>
    <x v="0"/>
    <x v="7"/>
    <x v="4"/>
  </r>
  <r>
    <x v="7"/>
    <x v="329"/>
    <x v="10"/>
    <x v="10"/>
    <x v="1"/>
    <x v="2"/>
    <x v="40"/>
    <x v="380"/>
    <x v="3275"/>
    <x v="0"/>
    <x v="7"/>
    <x v="4"/>
  </r>
  <r>
    <x v="7"/>
    <x v="240"/>
    <x v="2"/>
    <x v="2"/>
    <x v="1"/>
    <x v="2"/>
    <x v="39"/>
    <x v="442"/>
    <x v="2880"/>
    <x v="0"/>
    <x v="7"/>
    <x v="4"/>
  </r>
  <r>
    <x v="7"/>
    <x v="281"/>
    <x v="6"/>
    <x v="6"/>
    <x v="1"/>
    <x v="2"/>
    <x v="39"/>
    <x v="395"/>
    <x v="3276"/>
    <x v="0"/>
    <x v="7"/>
    <x v="4"/>
  </r>
  <r>
    <x v="8"/>
    <x v="210"/>
    <x v="7"/>
    <x v="7"/>
    <x v="1"/>
    <x v="2"/>
    <x v="39"/>
    <x v="418"/>
    <x v="3277"/>
    <x v="0"/>
    <x v="8"/>
    <x v="4"/>
  </r>
  <r>
    <x v="8"/>
    <x v="306"/>
    <x v="9"/>
    <x v="9"/>
    <x v="1"/>
    <x v="2"/>
    <x v="39"/>
    <x v="336"/>
    <x v="3278"/>
    <x v="0"/>
    <x v="8"/>
    <x v="4"/>
  </r>
  <r>
    <x v="8"/>
    <x v="310"/>
    <x v="10"/>
    <x v="10"/>
    <x v="1"/>
    <x v="2"/>
    <x v="39"/>
    <x v="335"/>
    <x v="3279"/>
    <x v="0"/>
    <x v="8"/>
    <x v="4"/>
  </r>
  <r>
    <x v="8"/>
    <x v="316"/>
    <x v="2"/>
    <x v="2"/>
    <x v="1"/>
    <x v="2"/>
    <x v="39"/>
    <x v="348"/>
    <x v="3280"/>
    <x v="0"/>
    <x v="8"/>
    <x v="4"/>
  </r>
  <r>
    <x v="8"/>
    <x v="229"/>
    <x v="6"/>
    <x v="6"/>
    <x v="1"/>
    <x v="2"/>
    <x v="39"/>
    <x v="281"/>
    <x v="810"/>
    <x v="0"/>
    <x v="8"/>
    <x v="4"/>
  </r>
  <r>
    <x v="9"/>
    <x v="254"/>
    <x v="8"/>
    <x v="8"/>
    <x v="1"/>
    <x v="2"/>
    <x v="40"/>
    <x v="326"/>
    <x v="53"/>
    <x v="0"/>
    <x v="9"/>
    <x v="4"/>
  </r>
  <r>
    <x v="9"/>
    <x v="323"/>
    <x v="8"/>
    <x v="8"/>
    <x v="1"/>
    <x v="2"/>
    <x v="39"/>
    <x v="367"/>
    <x v="3281"/>
    <x v="0"/>
    <x v="9"/>
    <x v="4"/>
  </r>
  <r>
    <x v="9"/>
    <x v="207"/>
    <x v="8"/>
    <x v="8"/>
    <x v="1"/>
    <x v="2"/>
    <x v="39"/>
    <x v="374"/>
    <x v="3282"/>
    <x v="0"/>
    <x v="9"/>
    <x v="4"/>
  </r>
  <r>
    <x v="9"/>
    <x v="244"/>
    <x v="10"/>
    <x v="10"/>
    <x v="1"/>
    <x v="2"/>
    <x v="39"/>
    <x v="433"/>
    <x v="3283"/>
    <x v="0"/>
    <x v="9"/>
    <x v="4"/>
  </r>
  <r>
    <x v="9"/>
    <x v="202"/>
    <x v="11"/>
    <x v="11"/>
    <x v="1"/>
    <x v="2"/>
    <x v="39"/>
    <x v="305"/>
    <x v="1168"/>
    <x v="0"/>
    <x v="9"/>
    <x v="4"/>
  </r>
  <r>
    <x v="9"/>
    <x v="183"/>
    <x v="2"/>
    <x v="2"/>
    <x v="1"/>
    <x v="2"/>
    <x v="39"/>
    <x v="330"/>
    <x v="3284"/>
    <x v="0"/>
    <x v="9"/>
    <x v="4"/>
  </r>
  <r>
    <x v="70"/>
    <x v="260"/>
    <x v="7"/>
    <x v="7"/>
    <x v="1"/>
    <x v="2"/>
    <x v="39"/>
    <x v="437"/>
    <x v="3285"/>
    <x v="0"/>
    <x v="70"/>
    <x v="4"/>
  </r>
  <r>
    <x v="70"/>
    <x v="240"/>
    <x v="2"/>
    <x v="2"/>
    <x v="1"/>
    <x v="2"/>
    <x v="39"/>
    <x v="442"/>
    <x v="3286"/>
    <x v="0"/>
    <x v="70"/>
    <x v="4"/>
  </r>
  <r>
    <x v="70"/>
    <x v="229"/>
    <x v="6"/>
    <x v="6"/>
    <x v="1"/>
    <x v="2"/>
    <x v="39"/>
    <x v="281"/>
    <x v="3287"/>
    <x v="0"/>
    <x v="70"/>
    <x v="4"/>
  </r>
  <r>
    <x v="10"/>
    <x v="251"/>
    <x v="8"/>
    <x v="8"/>
    <x v="1"/>
    <x v="2"/>
    <x v="39"/>
    <x v="291"/>
    <x v="3288"/>
    <x v="0"/>
    <x v="10"/>
    <x v="4"/>
  </r>
  <r>
    <x v="10"/>
    <x v="319"/>
    <x v="8"/>
    <x v="8"/>
    <x v="1"/>
    <x v="2"/>
    <x v="39"/>
    <x v="350"/>
    <x v="3289"/>
    <x v="0"/>
    <x v="10"/>
    <x v="4"/>
  </r>
  <r>
    <x v="10"/>
    <x v="306"/>
    <x v="9"/>
    <x v="9"/>
    <x v="1"/>
    <x v="2"/>
    <x v="39"/>
    <x v="336"/>
    <x v="3290"/>
    <x v="0"/>
    <x v="10"/>
    <x v="4"/>
  </r>
  <r>
    <x v="10"/>
    <x v="194"/>
    <x v="9"/>
    <x v="9"/>
    <x v="1"/>
    <x v="2"/>
    <x v="39"/>
    <x v="390"/>
    <x v="3291"/>
    <x v="0"/>
    <x v="10"/>
    <x v="4"/>
  </r>
  <r>
    <x v="10"/>
    <x v="263"/>
    <x v="10"/>
    <x v="10"/>
    <x v="1"/>
    <x v="2"/>
    <x v="39"/>
    <x v="436"/>
    <x v="2701"/>
    <x v="0"/>
    <x v="10"/>
    <x v="4"/>
  </r>
  <r>
    <x v="10"/>
    <x v="200"/>
    <x v="11"/>
    <x v="11"/>
    <x v="1"/>
    <x v="2"/>
    <x v="39"/>
    <x v="351"/>
    <x v="3292"/>
    <x v="0"/>
    <x v="10"/>
    <x v="4"/>
  </r>
  <r>
    <x v="10"/>
    <x v="177"/>
    <x v="11"/>
    <x v="11"/>
    <x v="1"/>
    <x v="2"/>
    <x v="39"/>
    <x v="346"/>
    <x v="3293"/>
    <x v="0"/>
    <x v="10"/>
    <x v="4"/>
  </r>
  <r>
    <x v="10"/>
    <x v="214"/>
    <x v="11"/>
    <x v="11"/>
    <x v="1"/>
    <x v="2"/>
    <x v="39"/>
    <x v="306"/>
    <x v="3294"/>
    <x v="0"/>
    <x v="10"/>
    <x v="4"/>
  </r>
  <r>
    <x v="10"/>
    <x v="315"/>
    <x v="2"/>
    <x v="2"/>
    <x v="1"/>
    <x v="2"/>
    <x v="39"/>
    <x v="405"/>
    <x v="3295"/>
    <x v="0"/>
    <x v="10"/>
    <x v="4"/>
  </r>
  <r>
    <x v="10"/>
    <x v="183"/>
    <x v="2"/>
    <x v="2"/>
    <x v="1"/>
    <x v="2"/>
    <x v="39"/>
    <x v="330"/>
    <x v="3296"/>
    <x v="0"/>
    <x v="10"/>
    <x v="4"/>
  </r>
  <r>
    <x v="10"/>
    <x v="217"/>
    <x v="6"/>
    <x v="6"/>
    <x v="1"/>
    <x v="2"/>
    <x v="39"/>
    <x v="323"/>
    <x v="3297"/>
    <x v="0"/>
    <x v="10"/>
    <x v="4"/>
  </r>
  <r>
    <x v="11"/>
    <x v="263"/>
    <x v="10"/>
    <x v="10"/>
    <x v="1"/>
    <x v="2"/>
    <x v="39"/>
    <x v="436"/>
    <x v="3298"/>
    <x v="0"/>
    <x v="11"/>
    <x v="4"/>
  </r>
  <r>
    <x v="11"/>
    <x v="177"/>
    <x v="11"/>
    <x v="11"/>
    <x v="1"/>
    <x v="2"/>
    <x v="39"/>
    <x v="346"/>
    <x v="3299"/>
    <x v="0"/>
    <x v="11"/>
    <x v="4"/>
  </r>
  <r>
    <x v="12"/>
    <x v="238"/>
    <x v="9"/>
    <x v="9"/>
    <x v="1"/>
    <x v="2"/>
    <x v="39"/>
    <x v="379"/>
    <x v="3300"/>
    <x v="0"/>
    <x v="12"/>
    <x v="4"/>
  </r>
  <r>
    <x v="13"/>
    <x v="243"/>
    <x v="10"/>
    <x v="10"/>
    <x v="1"/>
    <x v="2"/>
    <x v="39"/>
    <x v="411"/>
    <x v="1212"/>
    <x v="0"/>
    <x v="13"/>
    <x v="4"/>
  </r>
  <r>
    <x v="13"/>
    <x v="249"/>
    <x v="11"/>
    <x v="11"/>
    <x v="1"/>
    <x v="2"/>
    <x v="39"/>
    <x v="359"/>
    <x v="3301"/>
    <x v="0"/>
    <x v="13"/>
    <x v="4"/>
  </r>
  <r>
    <x v="13"/>
    <x v="240"/>
    <x v="2"/>
    <x v="2"/>
    <x v="1"/>
    <x v="2"/>
    <x v="39"/>
    <x v="442"/>
    <x v="3302"/>
    <x v="0"/>
    <x v="13"/>
    <x v="4"/>
  </r>
  <r>
    <x v="14"/>
    <x v="179"/>
    <x v="7"/>
    <x v="7"/>
    <x v="1"/>
    <x v="2"/>
    <x v="39"/>
    <x v="415"/>
    <x v="3303"/>
    <x v="0"/>
    <x v="14"/>
    <x v="4"/>
  </r>
  <r>
    <x v="14"/>
    <x v="194"/>
    <x v="9"/>
    <x v="9"/>
    <x v="1"/>
    <x v="2"/>
    <x v="39"/>
    <x v="390"/>
    <x v="3304"/>
    <x v="0"/>
    <x v="14"/>
    <x v="4"/>
  </r>
  <r>
    <x v="14"/>
    <x v="263"/>
    <x v="10"/>
    <x v="10"/>
    <x v="1"/>
    <x v="2"/>
    <x v="39"/>
    <x v="436"/>
    <x v="3305"/>
    <x v="0"/>
    <x v="14"/>
    <x v="4"/>
  </r>
  <r>
    <x v="14"/>
    <x v="249"/>
    <x v="11"/>
    <x v="11"/>
    <x v="1"/>
    <x v="2"/>
    <x v="39"/>
    <x v="359"/>
    <x v="3306"/>
    <x v="0"/>
    <x v="14"/>
    <x v="4"/>
  </r>
  <r>
    <x v="14"/>
    <x v="202"/>
    <x v="11"/>
    <x v="11"/>
    <x v="1"/>
    <x v="2"/>
    <x v="39"/>
    <x v="305"/>
    <x v="3307"/>
    <x v="0"/>
    <x v="14"/>
    <x v="4"/>
  </r>
  <r>
    <x v="14"/>
    <x v="240"/>
    <x v="2"/>
    <x v="2"/>
    <x v="1"/>
    <x v="2"/>
    <x v="39"/>
    <x v="442"/>
    <x v="3308"/>
    <x v="0"/>
    <x v="14"/>
    <x v="4"/>
  </r>
  <r>
    <x v="14"/>
    <x v="266"/>
    <x v="6"/>
    <x v="6"/>
    <x v="1"/>
    <x v="2"/>
    <x v="39"/>
    <x v="370"/>
    <x v="3309"/>
    <x v="0"/>
    <x v="14"/>
    <x v="4"/>
  </r>
  <r>
    <x v="15"/>
    <x v="207"/>
    <x v="8"/>
    <x v="8"/>
    <x v="1"/>
    <x v="2"/>
    <x v="39"/>
    <x v="374"/>
    <x v="3310"/>
    <x v="0"/>
    <x v="15"/>
    <x v="4"/>
  </r>
  <r>
    <x v="15"/>
    <x v="263"/>
    <x v="10"/>
    <x v="10"/>
    <x v="1"/>
    <x v="2"/>
    <x v="39"/>
    <x v="436"/>
    <x v="3311"/>
    <x v="0"/>
    <x v="15"/>
    <x v="4"/>
  </r>
  <r>
    <x v="15"/>
    <x v="282"/>
    <x v="11"/>
    <x v="11"/>
    <x v="1"/>
    <x v="2"/>
    <x v="39"/>
    <x v="358"/>
    <x v="3312"/>
    <x v="0"/>
    <x v="15"/>
    <x v="4"/>
  </r>
  <r>
    <x v="15"/>
    <x v="330"/>
    <x v="11"/>
    <x v="11"/>
    <x v="1"/>
    <x v="2"/>
    <x v="39"/>
    <x v="381"/>
    <x v="3313"/>
    <x v="0"/>
    <x v="15"/>
    <x v="4"/>
  </r>
  <r>
    <x v="15"/>
    <x v="315"/>
    <x v="2"/>
    <x v="2"/>
    <x v="1"/>
    <x v="2"/>
    <x v="39"/>
    <x v="405"/>
    <x v="1807"/>
    <x v="0"/>
    <x v="15"/>
    <x v="4"/>
  </r>
  <r>
    <x v="15"/>
    <x v="240"/>
    <x v="2"/>
    <x v="2"/>
    <x v="1"/>
    <x v="2"/>
    <x v="39"/>
    <x v="442"/>
    <x v="3314"/>
    <x v="0"/>
    <x v="15"/>
    <x v="4"/>
  </r>
  <r>
    <x v="15"/>
    <x v="305"/>
    <x v="6"/>
    <x v="6"/>
    <x v="1"/>
    <x v="2"/>
    <x v="39"/>
    <x v="331"/>
    <x v="3315"/>
    <x v="0"/>
    <x v="15"/>
    <x v="4"/>
  </r>
  <r>
    <x v="15"/>
    <x v="335"/>
    <x v="6"/>
    <x v="6"/>
    <x v="1"/>
    <x v="2"/>
    <x v="39"/>
    <x v="408"/>
    <x v="768"/>
    <x v="0"/>
    <x v="15"/>
    <x v="4"/>
  </r>
  <r>
    <x v="15"/>
    <x v="229"/>
    <x v="6"/>
    <x v="6"/>
    <x v="1"/>
    <x v="2"/>
    <x v="39"/>
    <x v="281"/>
    <x v="3316"/>
    <x v="0"/>
    <x v="15"/>
    <x v="4"/>
  </r>
  <r>
    <x v="16"/>
    <x v="247"/>
    <x v="8"/>
    <x v="8"/>
    <x v="1"/>
    <x v="2"/>
    <x v="39"/>
    <x v="289"/>
    <x v="3317"/>
    <x v="0"/>
    <x v="16"/>
    <x v="4"/>
  </r>
  <r>
    <x v="16"/>
    <x v="331"/>
    <x v="9"/>
    <x v="9"/>
    <x v="1"/>
    <x v="2"/>
    <x v="39"/>
    <x v="391"/>
    <x v="3318"/>
    <x v="0"/>
    <x v="16"/>
    <x v="4"/>
  </r>
  <r>
    <x v="16"/>
    <x v="244"/>
    <x v="10"/>
    <x v="10"/>
    <x v="1"/>
    <x v="2"/>
    <x v="39"/>
    <x v="433"/>
    <x v="3319"/>
    <x v="0"/>
    <x v="16"/>
    <x v="4"/>
  </r>
  <r>
    <x v="16"/>
    <x v="300"/>
    <x v="2"/>
    <x v="2"/>
    <x v="1"/>
    <x v="2"/>
    <x v="40"/>
    <x v="316"/>
    <x v="782"/>
    <x v="0"/>
    <x v="16"/>
    <x v="4"/>
  </r>
  <r>
    <x v="16"/>
    <x v="315"/>
    <x v="2"/>
    <x v="2"/>
    <x v="1"/>
    <x v="2"/>
    <x v="39"/>
    <x v="405"/>
    <x v="3320"/>
    <x v="0"/>
    <x v="16"/>
    <x v="4"/>
  </r>
  <r>
    <x v="16"/>
    <x v="182"/>
    <x v="2"/>
    <x v="2"/>
    <x v="1"/>
    <x v="2"/>
    <x v="39"/>
    <x v="392"/>
    <x v="3321"/>
    <x v="0"/>
    <x v="16"/>
    <x v="4"/>
  </r>
  <r>
    <x v="16"/>
    <x v="264"/>
    <x v="6"/>
    <x v="6"/>
    <x v="1"/>
    <x v="2"/>
    <x v="40"/>
    <x v="311"/>
    <x v="782"/>
    <x v="0"/>
    <x v="16"/>
    <x v="4"/>
  </r>
  <r>
    <x v="16"/>
    <x v="281"/>
    <x v="6"/>
    <x v="6"/>
    <x v="1"/>
    <x v="2"/>
    <x v="39"/>
    <x v="395"/>
    <x v="3322"/>
    <x v="0"/>
    <x v="16"/>
    <x v="4"/>
  </r>
  <r>
    <x v="16"/>
    <x v="217"/>
    <x v="6"/>
    <x v="6"/>
    <x v="1"/>
    <x v="2"/>
    <x v="40"/>
    <x v="323"/>
    <x v="782"/>
    <x v="0"/>
    <x v="16"/>
    <x v="4"/>
  </r>
  <r>
    <x v="17"/>
    <x v="205"/>
    <x v="7"/>
    <x v="7"/>
    <x v="1"/>
    <x v="2"/>
    <x v="39"/>
    <x v="299"/>
    <x v="1641"/>
    <x v="0"/>
    <x v="17"/>
    <x v="4"/>
  </r>
  <r>
    <x v="17"/>
    <x v="171"/>
    <x v="7"/>
    <x v="7"/>
    <x v="1"/>
    <x v="2"/>
    <x v="39"/>
    <x v="429"/>
    <x v="1641"/>
    <x v="0"/>
    <x v="17"/>
    <x v="4"/>
  </r>
  <r>
    <x v="17"/>
    <x v="194"/>
    <x v="9"/>
    <x v="9"/>
    <x v="1"/>
    <x v="2"/>
    <x v="39"/>
    <x v="390"/>
    <x v="1282"/>
    <x v="0"/>
    <x v="17"/>
    <x v="4"/>
  </r>
  <r>
    <x v="17"/>
    <x v="316"/>
    <x v="2"/>
    <x v="2"/>
    <x v="1"/>
    <x v="2"/>
    <x v="39"/>
    <x v="348"/>
    <x v="3323"/>
    <x v="0"/>
    <x v="17"/>
    <x v="4"/>
  </r>
  <r>
    <x v="18"/>
    <x v="310"/>
    <x v="10"/>
    <x v="10"/>
    <x v="1"/>
    <x v="2"/>
    <x v="39"/>
    <x v="335"/>
    <x v="3324"/>
    <x v="0"/>
    <x v="18"/>
    <x v="4"/>
  </r>
  <r>
    <x v="18"/>
    <x v="317"/>
    <x v="10"/>
    <x v="10"/>
    <x v="1"/>
    <x v="2"/>
    <x v="40"/>
    <x v="401"/>
    <x v="3325"/>
    <x v="0"/>
    <x v="18"/>
    <x v="4"/>
  </r>
  <r>
    <x v="19"/>
    <x v="207"/>
    <x v="8"/>
    <x v="8"/>
    <x v="1"/>
    <x v="2"/>
    <x v="39"/>
    <x v="374"/>
    <x v="3326"/>
    <x v="0"/>
    <x v="19"/>
    <x v="4"/>
  </r>
  <r>
    <x v="19"/>
    <x v="290"/>
    <x v="9"/>
    <x v="9"/>
    <x v="1"/>
    <x v="2"/>
    <x v="39"/>
    <x v="302"/>
    <x v="3327"/>
    <x v="0"/>
    <x v="19"/>
    <x v="4"/>
  </r>
  <r>
    <x v="19"/>
    <x v="182"/>
    <x v="2"/>
    <x v="2"/>
    <x v="1"/>
    <x v="2"/>
    <x v="39"/>
    <x v="392"/>
    <x v="3328"/>
    <x v="0"/>
    <x v="19"/>
    <x v="4"/>
  </r>
  <r>
    <x v="20"/>
    <x v="206"/>
    <x v="7"/>
    <x v="7"/>
    <x v="1"/>
    <x v="2"/>
    <x v="39"/>
    <x v="284"/>
    <x v="3329"/>
    <x v="0"/>
    <x v="20"/>
    <x v="4"/>
  </r>
  <r>
    <x v="20"/>
    <x v="227"/>
    <x v="9"/>
    <x v="9"/>
    <x v="1"/>
    <x v="2"/>
    <x v="39"/>
    <x v="399"/>
    <x v="3330"/>
    <x v="0"/>
    <x v="20"/>
    <x v="4"/>
  </r>
  <r>
    <x v="20"/>
    <x v="263"/>
    <x v="10"/>
    <x v="10"/>
    <x v="1"/>
    <x v="2"/>
    <x v="39"/>
    <x v="436"/>
    <x v="3331"/>
    <x v="0"/>
    <x v="20"/>
    <x v="4"/>
  </r>
  <r>
    <x v="20"/>
    <x v="200"/>
    <x v="11"/>
    <x v="11"/>
    <x v="1"/>
    <x v="2"/>
    <x v="39"/>
    <x v="351"/>
    <x v="3332"/>
    <x v="0"/>
    <x v="20"/>
    <x v="4"/>
  </r>
  <r>
    <x v="20"/>
    <x v="315"/>
    <x v="2"/>
    <x v="2"/>
    <x v="1"/>
    <x v="2"/>
    <x v="39"/>
    <x v="405"/>
    <x v="3333"/>
    <x v="0"/>
    <x v="20"/>
    <x v="4"/>
  </r>
  <r>
    <x v="20"/>
    <x v="281"/>
    <x v="6"/>
    <x v="6"/>
    <x v="1"/>
    <x v="2"/>
    <x v="39"/>
    <x v="395"/>
    <x v="3334"/>
    <x v="0"/>
    <x v="20"/>
    <x v="4"/>
  </r>
  <r>
    <x v="21"/>
    <x v="326"/>
    <x v="8"/>
    <x v="8"/>
    <x v="1"/>
    <x v="2"/>
    <x v="39"/>
    <x v="423"/>
    <x v="3335"/>
    <x v="0"/>
    <x v="21"/>
    <x v="4"/>
  </r>
  <r>
    <x v="21"/>
    <x v="175"/>
    <x v="9"/>
    <x v="9"/>
    <x v="1"/>
    <x v="2"/>
    <x v="39"/>
    <x v="389"/>
    <x v="120"/>
    <x v="0"/>
    <x v="21"/>
    <x v="4"/>
  </r>
  <r>
    <x v="21"/>
    <x v="255"/>
    <x v="9"/>
    <x v="9"/>
    <x v="1"/>
    <x v="2"/>
    <x v="39"/>
    <x v="293"/>
    <x v="907"/>
    <x v="0"/>
    <x v="21"/>
    <x v="4"/>
  </r>
  <r>
    <x v="21"/>
    <x v="263"/>
    <x v="10"/>
    <x v="10"/>
    <x v="1"/>
    <x v="2"/>
    <x v="39"/>
    <x v="436"/>
    <x v="810"/>
    <x v="0"/>
    <x v="21"/>
    <x v="4"/>
  </r>
  <r>
    <x v="21"/>
    <x v="200"/>
    <x v="11"/>
    <x v="11"/>
    <x v="1"/>
    <x v="2"/>
    <x v="39"/>
    <x v="351"/>
    <x v="3336"/>
    <x v="0"/>
    <x v="21"/>
    <x v="4"/>
  </r>
  <r>
    <x v="21"/>
    <x v="214"/>
    <x v="11"/>
    <x v="11"/>
    <x v="1"/>
    <x v="2"/>
    <x v="39"/>
    <x v="306"/>
    <x v="3337"/>
    <x v="0"/>
    <x v="21"/>
    <x v="4"/>
  </r>
  <r>
    <x v="21"/>
    <x v="335"/>
    <x v="6"/>
    <x v="6"/>
    <x v="1"/>
    <x v="2"/>
    <x v="39"/>
    <x v="408"/>
    <x v="907"/>
    <x v="0"/>
    <x v="21"/>
    <x v="4"/>
  </r>
  <r>
    <x v="72"/>
    <x v="261"/>
    <x v="8"/>
    <x v="8"/>
    <x v="1"/>
    <x v="2"/>
    <x v="39"/>
    <x v="320"/>
    <x v="460"/>
    <x v="0"/>
    <x v="72"/>
    <x v="4"/>
  </r>
  <r>
    <x v="72"/>
    <x v="189"/>
    <x v="10"/>
    <x v="10"/>
    <x v="1"/>
    <x v="2"/>
    <x v="39"/>
    <x v="345"/>
    <x v="3338"/>
    <x v="0"/>
    <x v="72"/>
    <x v="4"/>
  </r>
  <r>
    <x v="72"/>
    <x v="235"/>
    <x v="2"/>
    <x v="2"/>
    <x v="1"/>
    <x v="2"/>
    <x v="39"/>
    <x v="393"/>
    <x v="3339"/>
    <x v="0"/>
    <x v="72"/>
    <x v="4"/>
  </r>
  <r>
    <x v="22"/>
    <x v="278"/>
    <x v="7"/>
    <x v="7"/>
    <x v="1"/>
    <x v="2"/>
    <x v="40"/>
    <x v="450"/>
    <x v="3340"/>
    <x v="0"/>
    <x v="22"/>
    <x v="4"/>
  </r>
  <r>
    <x v="22"/>
    <x v="171"/>
    <x v="7"/>
    <x v="7"/>
    <x v="1"/>
    <x v="2"/>
    <x v="39"/>
    <x v="429"/>
    <x v="1"/>
    <x v="608"/>
    <x v="22"/>
    <x v="4"/>
  </r>
  <r>
    <x v="22"/>
    <x v="268"/>
    <x v="10"/>
    <x v="10"/>
    <x v="1"/>
    <x v="2"/>
    <x v="39"/>
    <x v="339"/>
    <x v="1325"/>
    <x v="0"/>
    <x v="22"/>
    <x v="4"/>
  </r>
  <r>
    <x v="22"/>
    <x v="189"/>
    <x v="10"/>
    <x v="10"/>
    <x v="1"/>
    <x v="2"/>
    <x v="39"/>
    <x v="345"/>
    <x v="3084"/>
    <x v="0"/>
    <x v="22"/>
    <x v="4"/>
  </r>
  <r>
    <x v="22"/>
    <x v="200"/>
    <x v="11"/>
    <x v="11"/>
    <x v="1"/>
    <x v="2"/>
    <x v="39"/>
    <x v="351"/>
    <x v="3341"/>
    <x v="0"/>
    <x v="22"/>
    <x v="4"/>
  </r>
  <r>
    <x v="23"/>
    <x v="243"/>
    <x v="10"/>
    <x v="10"/>
    <x v="1"/>
    <x v="2"/>
    <x v="39"/>
    <x v="411"/>
    <x v="86"/>
    <x v="0"/>
    <x v="23"/>
    <x v="4"/>
  </r>
  <r>
    <x v="23"/>
    <x v="282"/>
    <x v="11"/>
    <x v="11"/>
    <x v="1"/>
    <x v="2"/>
    <x v="39"/>
    <x v="358"/>
    <x v="2471"/>
    <x v="0"/>
    <x v="23"/>
    <x v="4"/>
  </r>
  <r>
    <x v="23"/>
    <x v="202"/>
    <x v="11"/>
    <x v="11"/>
    <x v="1"/>
    <x v="2"/>
    <x v="39"/>
    <x v="305"/>
    <x v="3342"/>
    <x v="0"/>
    <x v="23"/>
    <x v="4"/>
  </r>
  <r>
    <x v="23"/>
    <x v="217"/>
    <x v="6"/>
    <x v="6"/>
    <x v="1"/>
    <x v="2"/>
    <x v="39"/>
    <x v="323"/>
    <x v="3343"/>
    <x v="0"/>
    <x v="23"/>
    <x v="4"/>
  </r>
  <r>
    <x v="25"/>
    <x v="206"/>
    <x v="7"/>
    <x v="7"/>
    <x v="1"/>
    <x v="2"/>
    <x v="39"/>
    <x v="284"/>
    <x v="3344"/>
    <x v="0"/>
    <x v="25"/>
    <x v="4"/>
  </r>
  <r>
    <x v="25"/>
    <x v="310"/>
    <x v="10"/>
    <x v="10"/>
    <x v="1"/>
    <x v="2"/>
    <x v="39"/>
    <x v="335"/>
    <x v="3345"/>
    <x v="0"/>
    <x v="25"/>
    <x v="4"/>
  </r>
  <r>
    <x v="25"/>
    <x v="315"/>
    <x v="2"/>
    <x v="2"/>
    <x v="1"/>
    <x v="2"/>
    <x v="39"/>
    <x v="405"/>
    <x v="3346"/>
    <x v="0"/>
    <x v="25"/>
    <x v="4"/>
  </r>
  <r>
    <x v="26"/>
    <x v="260"/>
    <x v="7"/>
    <x v="7"/>
    <x v="1"/>
    <x v="2"/>
    <x v="39"/>
    <x v="437"/>
    <x v="3347"/>
    <x v="0"/>
    <x v="26"/>
    <x v="4"/>
  </r>
  <r>
    <x v="26"/>
    <x v="175"/>
    <x v="9"/>
    <x v="9"/>
    <x v="1"/>
    <x v="2"/>
    <x v="39"/>
    <x v="389"/>
    <x v="1484"/>
    <x v="0"/>
    <x v="26"/>
    <x v="4"/>
  </r>
  <r>
    <x v="26"/>
    <x v="189"/>
    <x v="10"/>
    <x v="10"/>
    <x v="1"/>
    <x v="2"/>
    <x v="39"/>
    <x v="345"/>
    <x v="3348"/>
    <x v="0"/>
    <x v="26"/>
    <x v="4"/>
  </r>
  <r>
    <x v="26"/>
    <x v="182"/>
    <x v="2"/>
    <x v="2"/>
    <x v="1"/>
    <x v="2"/>
    <x v="39"/>
    <x v="392"/>
    <x v="3349"/>
    <x v="0"/>
    <x v="26"/>
    <x v="4"/>
  </r>
  <r>
    <x v="26"/>
    <x v="217"/>
    <x v="6"/>
    <x v="6"/>
    <x v="1"/>
    <x v="2"/>
    <x v="39"/>
    <x v="323"/>
    <x v="3350"/>
    <x v="0"/>
    <x v="26"/>
    <x v="4"/>
  </r>
  <r>
    <x v="26"/>
    <x v="335"/>
    <x v="6"/>
    <x v="6"/>
    <x v="1"/>
    <x v="2"/>
    <x v="39"/>
    <x v="408"/>
    <x v="3351"/>
    <x v="0"/>
    <x v="26"/>
    <x v="4"/>
  </r>
  <r>
    <x v="27"/>
    <x v="242"/>
    <x v="9"/>
    <x v="9"/>
    <x v="1"/>
    <x v="2"/>
    <x v="39"/>
    <x v="435"/>
    <x v="1342"/>
    <x v="0"/>
    <x v="27"/>
    <x v="4"/>
  </r>
  <r>
    <x v="27"/>
    <x v="230"/>
    <x v="9"/>
    <x v="9"/>
    <x v="1"/>
    <x v="2"/>
    <x v="39"/>
    <x v="283"/>
    <x v="3352"/>
    <x v="0"/>
    <x v="27"/>
    <x v="4"/>
  </r>
  <r>
    <x v="27"/>
    <x v="330"/>
    <x v="11"/>
    <x v="11"/>
    <x v="1"/>
    <x v="2"/>
    <x v="39"/>
    <x v="381"/>
    <x v="3353"/>
    <x v="0"/>
    <x v="27"/>
    <x v="4"/>
  </r>
  <r>
    <x v="28"/>
    <x v="247"/>
    <x v="8"/>
    <x v="8"/>
    <x v="1"/>
    <x v="2"/>
    <x v="39"/>
    <x v="289"/>
    <x v="3354"/>
    <x v="0"/>
    <x v="28"/>
    <x v="4"/>
  </r>
  <r>
    <x v="28"/>
    <x v="207"/>
    <x v="8"/>
    <x v="8"/>
    <x v="1"/>
    <x v="2"/>
    <x v="39"/>
    <x v="374"/>
    <x v="1836"/>
    <x v="0"/>
    <x v="28"/>
    <x v="4"/>
  </r>
  <r>
    <x v="28"/>
    <x v="319"/>
    <x v="8"/>
    <x v="8"/>
    <x v="1"/>
    <x v="2"/>
    <x v="39"/>
    <x v="350"/>
    <x v="3355"/>
    <x v="0"/>
    <x v="28"/>
    <x v="4"/>
  </r>
  <r>
    <x v="28"/>
    <x v="182"/>
    <x v="2"/>
    <x v="2"/>
    <x v="1"/>
    <x v="2"/>
    <x v="39"/>
    <x v="392"/>
    <x v="3356"/>
    <x v="0"/>
    <x v="28"/>
    <x v="4"/>
  </r>
  <r>
    <x v="28"/>
    <x v="316"/>
    <x v="2"/>
    <x v="2"/>
    <x v="1"/>
    <x v="2"/>
    <x v="39"/>
    <x v="348"/>
    <x v="3357"/>
    <x v="0"/>
    <x v="28"/>
    <x v="4"/>
  </r>
  <r>
    <x v="73"/>
    <x v="238"/>
    <x v="9"/>
    <x v="9"/>
    <x v="1"/>
    <x v="2"/>
    <x v="39"/>
    <x v="379"/>
    <x v="3358"/>
    <x v="0"/>
    <x v="73"/>
    <x v="4"/>
  </r>
  <r>
    <x v="73"/>
    <x v="243"/>
    <x v="10"/>
    <x v="10"/>
    <x v="1"/>
    <x v="2"/>
    <x v="39"/>
    <x v="411"/>
    <x v="3359"/>
    <x v="0"/>
    <x v="73"/>
    <x v="4"/>
  </r>
  <r>
    <x v="29"/>
    <x v="263"/>
    <x v="10"/>
    <x v="10"/>
    <x v="1"/>
    <x v="2"/>
    <x v="39"/>
    <x v="436"/>
    <x v="3360"/>
    <x v="0"/>
    <x v="29"/>
    <x v="4"/>
  </r>
  <r>
    <x v="29"/>
    <x v="249"/>
    <x v="11"/>
    <x v="11"/>
    <x v="1"/>
    <x v="2"/>
    <x v="39"/>
    <x v="359"/>
    <x v="784"/>
    <x v="0"/>
    <x v="29"/>
    <x v="4"/>
  </r>
  <r>
    <x v="29"/>
    <x v="188"/>
    <x v="6"/>
    <x v="6"/>
    <x v="1"/>
    <x v="2"/>
    <x v="40"/>
    <x v="407"/>
    <x v="3361"/>
    <x v="0"/>
    <x v="29"/>
    <x v="4"/>
  </r>
  <r>
    <x v="30"/>
    <x v="254"/>
    <x v="8"/>
    <x v="8"/>
    <x v="1"/>
    <x v="2"/>
    <x v="40"/>
    <x v="326"/>
    <x v="3362"/>
    <x v="0"/>
    <x v="30"/>
    <x v="4"/>
  </r>
  <r>
    <x v="30"/>
    <x v="194"/>
    <x v="9"/>
    <x v="9"/>
    <x v="1"/>
    <x v="2"/>
    <x v="39"/>
    <x v="390"/>
    <x v="3363"/>
    <x v="0"/>
    <x v="30"/>
    <x v="4"/>
  </r>
  <r>
    <x v="30"/>
    <x v="200"/>
    <x v="11"/>
    <x v="11"/>
    <x v="1"/>
    <x v="2"/>
    <x v="39"/>
    <x v="351"/>
    <x v="3364"/>
    <x v="0"/>
    <x v="30"/>
    <x v="4"/>
  </r>
  <r>
    <x v="30"/>
    <x v="202"/>
    <x v="11"/>
    <x v="11"/>
    <x v="1"/>
    <x v="2"/>
    <x v="39"/>
    <x v="305"/>
    <x v="2943"/>
    <x v="0"/>
    <x v="30"/>
    <x v="4"/>
  </r>
  <r>
    <x v="30"/>
    <x v="281"/>
    <x v="6"/>
    <x v="6"/>
    <x v="1"/>
    <x v="2"/>
    <x v="39"/>
    <x v="395"/>
    <x v="3365"/>
    <x v="0"/>
    <x v="30"/>
    <x v="4"/>
  </r>
  <r>
    <x v="31"/>
    <x v="247"/>
    <x v="8"/>
    <x v="8"/>
    <x v="1"/>
    <x v="2"/>
    <x v="39"/>
    <x v="289"/>
    <x v="3366"/>
    <x v="0"/>
    <x v="31"/>
    <x v="4"/>
  </r>
  <r>
    <x v="31"/>
    <x v="242"/>
    <x v="9"/>
    <x v="9"/>
    <x v="1"/>
    <x v="2"/>
    <x v="39"/>
    <x v="435"/>
    <x v="1182"/>
    <x v="0"/>
    <x v="31"/>
    <x v="4"/>
  </r>
  <r>
    <x v="31"/>
    <x v="176"/>
    <x v="10"/>
    <x v="10"/>
    <x v="1"/>
    <x v="2"/>
    <x v="39"/>
    <x v="412"/>
    <x v="366"/>
    <x v="0"/>
    <x v="31"/>
    <x v="4"/>
  </r>
  <r>
    <x v="32"/>
    <x v="247"/>
    <x v="8"/>
    <x v="8"/>
    <x v="1"/>
    <x v="2"/>
    <x v="39"/>
    <x v="289"/>
    <x v="1641"/>
    <x v="0"/>
    <x v="32"/>
    <x v="4"/>
  </r>
  <r>
    <x v="32"/>
    <x v="175"/>
    <x v="9"/>
    <x v="9"/>
    <x v="1"/>
    <x v="2"/>
    <x v="39"/>
    <x v="389"/>
    <x v="1335"/>
    <x v="0"/>
    <x v="32"/>
    <x v="4"/>
  </r>
  <r>
    <x v="32"/>
    <x v="329"/>
    <x v="10"/>
    <x v="10"/>
    <x v="1"/>
    <x v="2"/>
    <x v="39"/>
    <x v="380"/>
    <x v="3367"/>
    <x v="0"/>
    <x v="32"/>
    <x v="4"/>
  </r>
  <r>
    <x v="32"/>
    <x v="249"/>
    <x v="11"/>
    <x v="11"/>
    <x v="1"/>
    <x v="2"/>
    <x v="39"/>
    <x v="359"/>
    <x v="3368"/>
    <x v="0"/>
    <x v="32"/>
    <x v="4"/>
  </r>
  <r>
    <x v="32"/>
    <x v="240"/>
    <x v="2"/>
    <x v="2"/>
    <x v="1"/>
    <x v="2"/>
    <x v="39"/>
    <x v="442"/>
    <x v="3369"/>
    <x v="0"/>
    <x v="32"/>
    <x v="4"/>
  </r>
  <r>
    <x v="33"/>
    <x v="179"/>
    <x v="7"/>
    <x v="7"/>
    <x v="1"/>
    <x v="2"/>
    <x v="39"/>
    <x v="415"/>
    <x v="1866"/>
    <x v="0"/>
    <x v="33"/>
    <x v="4"/>
  </r>
  <r>
    <x v="33"/>
    <x v="263"/>
    <x v="10"/>
    <x v="10"/>
    <x v="1"/>
    <x v="2"/>
    <x v="39"/>
    <x v="436"/>
    <x v="3370"/>
    <x v="0"/>
    <x v="33"/>
    <x v="4"/>
  </r>
  <r>
    <x v="33"/>
    <x v="201"/>
    <x v="11"/>
    <x v="11"/>
    <x v="1"/>
    <x v="2"/>
    <x v="39"/>
    <x v="422"/>
    <x v="905"/>
    <x v="0"/>
    <x v="33"/>
    <x v="4"/>
  </r>
  <r>
    <x v="33"/>
    <x v="213"/>
    <x v="11"/>
    <x v="11"/>
    <x v="1"/>
    <x v="2"/>
    <x v="39"/>
    <x v="361"/>
    <x v="1"/>
    <x v="262"/>
    <x v="33"/>
    <x v="4"/>
  </r>
  <r>
    <x v="33"/>
    <x v="316"/>
    <x v="2"/>
    <x v="2"/>
    <x v="1"/>
    <x v="2"/>
    <x v="39"/>
    <x v="348"/>
    <x v="3371"/>
    <x v="0"/>
    <x v="33"/>
    <x v="4"/>
  </r>
  <r>
    <x v="33"/>
    <x v="229"/>
    <x v="6"/>
    <x v="6"/>
    <x v="1"/>
    <x v="2"/>
    <x v="39"/>
    <x v="281"/>
    <x v="3372"/>
    <x v="0"/>
    <x v="33"/>
    <x v="4"/>
  </r>
  <r>
    <x v="34"/>
    <x v="189"/>
    <x v="10"/>
    <x v="10"/>
    <x v="1"/>
    <x v="2"/>
    <x v="39"/>
    <x v="345"/>
    <x v="3373"/>
    <x v="0"/>
    <x v="34"/>
    <x v="4"/>
  </r>
  <r>
    <x v="34"/>
    <x v="315"/>
    <x v="2"/>
    <x v="2"/>
    <x v="1"/>
    <x v="2"/>
    <x v="39"/>
    <x v="405"/>
    <x v="3374"/>
    <x v="0"/>
    <x v="34"/>
    <x v="4"/>
  </r>
  <r>
    <x v="34"/>
    <x v="229"/>
    <x v="6"/>
    <x v="6"/>
    <x v="1"/>
    <x v="2"/>
    <x v="39"/>
    <x v="281"/>
    <x v="3375"/>
    <x v="0"/>
    <x v="34"/>
    <x v="4"/>
  </r>
  <r>
    <x v="35"/>
    <x v="261"/>
    <x v="8"/>
    <x v="8"/>
    <x v="1"/>
    <x v="2"/>
    <x v="39"/>
    <x v="320"/>
    <x v="3376"/>
    <x v="0"/>
    <x v="35"/>
    <x v="4"/>
  </r>
  <r>
    <x v="35"/>
    <x v="207"/>
    <x v="8"/>
    <x v="8"/>
    <x v="1"/>
    <x v="2"/>
    <x v="39"/>
    <x v="374"/>
    <x v="3377"/>
    <x v="0"/>
    <x v="35"/>
    <x v="4"/>
  </r>
  <r>
    <x v="35"/>
    <x v="310"/>
    <x v="10"/>
    <x v="10"/>
    <x v="1"/>
    <x v="2"/>
    <x v="39"/>
    <x v="335"/>
    <x v="3378"/>
    <x v="0"/>
    <x v="35"/>
    <x v="4"/>
  </r>
  <r>
    <x v="35"/>
    <x v="187"/>
    <x v="11"/>
    <x v="11"/>
    <x v="1"/>
    <x v="2"/>
    <x v="39"/>
    <x v="328"/>
    <x v="3379"/>
    <x v="0"/>
    <x v="35"/>
    <x v="4"/>
  </r>
  <r>
    <x v="35"/>
    <x v="202"/>
    <x v="11"/>
    <x v="11"/>
    <x v="1"/>
    <x v="2"/>
    <x v="39"/>
    <x v="305"/>
    <x v="3380"/>
    <x v="0"/>
    <x v="35"/>
    <x v="4"/>
  </r>
  <r>
    <x v="35"/>
    <x v="265"/>
    <x v="6"/>
    <x v="6"/>
    <x v="1"/>
    <x v="2"/>
    <x v="39"/>
    <x v="386"/>
    <x v="3381"/>
    <x v="0"/>
    <x v="35"/>
    <x v="4"/>
  </r>
  <r>
    <x v="35"/>
    <x v="305"/>
    <x v="6"/>
    <x v="6"/>
    <x v="1"/>
    <x v="2"/>
    <x v="39"/>
    <x v="331"/>
    <x v="1525"/>
    <x v="0"/>
    <x v="35"/>
    <x v="4"/>
  </r>
  <r>
    <x v="77"/>
    <x v="326"/>
    <x v="8"/>
    <x v="8"/>
    <x v="1"/>
    <x v="2"/>
    <x v="39"/>
    <x v="423"/>
    <x v="3382"/>
    <x v="0"/>
    <x v="77"/>
    <x v="4"/>
  </r>
  <r>
    <x v="77"/>
    <x v="261"/>
    <x v="8"/>
    <x v="8"/>
    <x v="1"/>
    <x v="2"/>
    <x v="40"/>
    <x v="320"/>
    <x v="858"/>
    <x v="0"/>
    <x v="77"/>
    <x v="4"/>
  </r>
  <r>
    <x v="77"/>
    <x v="306"/>
    <x v="9"/>
    <x v="9"/>
    <x v="1"/>
    <x v="2"/>
    <x v="39"/>
    <x v="336"/>
    <x v="3383"/>
    <x v="0"/>
    <x v="77"/>
    <x v="4"/>
  </r>
  <r>
    <x v="77"/>
    <x v="227"/>
    <x v="9"/>
    <x v="9"/>
    <x v="1"/>
    <x v="2"/>
    <x v="40"/>
    <x v="399"/>
    <x v="858"/>
    <x v="0"/>
    <x v="77"/>
    <x v="4"/>
  </r>
  <r>
    <x v="77"/>
    <x v="290"/>
    <x v="9"/>
    <x v="9"/>
    <x v="1"/>
    <x v="2"/>
    <x v="39"/>
    <x v="302"/>
    <x v="3384"/>
    <x v="0"/>
    <x v="77"/>
    <x v="4"/>
  </r>
  <r>
    <x v="77"/>
    <x v="242"/>
    <x v="9"/>
    <x v="9"/>
    <x v="1"/>
    <x v="2"/>
    <x v="39"/>
    <x v="435"/>
    <x v="3385"/>
    <x v="0"/>
    <x v="77"/>
    <x v="4"/>
  </r>
  <r>
    <x v="77"/>
    <x v="198"/>
    <x v="10"/>
    <x v="10"/>
    <x v="1"/>
    <x v="2"/>
    <x v="40"/>
    <x v="338"/>
    <x v="858"/>
    <x v="0"/>
    <x v="77"/>
    <x v="4"/>
  </r>
  <r>
    <x v="77"/>
    <x v="243"/>
    <x v="10"/>
    <x v="10"/>
    <x v="1"/>
    <x v="2"/>
    <x v="39"/>
    <x v="411"/>
    <x v="1533"/>
    <x v="0"/>
    <x v="77"/>
    <x v="4"/>
  </r>
  <r>
    <x v="77"/>
    <x v="186"/>
    <x v="10"/>
    <x v="10"/>
    <x v="1"/>
    <x v="2"/>
    <x v="40"/>
    <x v="321"/>
    <x v="244"/>
    <x v="0"/>
    <x v="77"/>
    <x v="4"/>
  </r>
  <r>
    <x v="77"/>
    <x v="202"/>
    <x v="11"/>
    <x v="11"/>
    <x v="1"/>
    <x v="2"/>
    <x v="39"/>
    <x v="305"/>
    <x v="3355"/>
    <x v="0"/>
    <x v="77"/>
    <x v="4"/>
  </r>
  <r>
    <x v="77"/>
    <x v="183"/>
    <x v="2"/>
    <x v="2"/>
    <x v="1"/>
    <x v="2"/>
    <x v="40"/>
    <x v="330"/>
    <x v="3386"/>
    <x v="0"/>
    <x v="77"/>
    <x v="4"/>
  </r>
  <r>
    <x v="77"/>
    <x v="183"/>
    <x v="2"/>
    <x v="2"/>
    <x v="1"/>
    <x v="2"/>
    <x v="39"/>
    <x v="330"/>
    <x v="3387"/>
    <x v="0"/>
    <x v="77"/>
    <x v="4"/>
  </r>
  <r>
    <x v="36"/>
    <x v="225"/>
    <x v="7"/>
    <x v="7"/>
    <x v="1"/>
    <x v="2"/>
    <x v="39"/>
    <x v="416"/>
    <x v="1535"/>
    <x v="0"/>
    <x v="36"/>
    <x v="4"/>
  </r>
  <r>
    <x v="36"/>
    <x v="332"/>
    <x v="7"/>
    <x v="7"/>
    <x v="1"/>
    <x v="2"/>
    <x v="39"/>
    <x v="397"/>
    <x v="1999"/>
    <x v="0"/>
    <x v="36"/>
    <x v="4"/>
  </r>
  <r>
    <x v="36"/>
    <x v="251"/>
    <x v="8"/>
    <x v="8"/>
    <x v="1"/>
    <x v="2"/>
    <x v="39"/>
    <x v="291"/>
    <x v="3388"/>
    <x v="0"/>
    <x v="36"/>
    <x v="4"/>
  </r>
  <r>
    <x v="36"/>
    <x v="261"/>
    <x v="8"/>
    <x v="8"/>
    <x v="1"/>
    <x v="2"/>
    <x v="39"/>
    <x v="320"/>
    <x v="920"/>
    <x v="0"/>
    <x v="36"/>
    <x v="4"/>
  </r>
  <r>
    <x v="36"/>
    <x v="319"/>
    <x v="8"/>
    <x v="8"/>
    <x v="1"/>
    <x v="2"/>
    <x v="39"/>
    <x v="350"/>
    <x v="2722"/>
    <x v="0"/>
    <x v="36"/>
    <x v="4"/>
  </r>
  <r>
    <x v="36"/>
    <x v="263"/>
    <x v="10"/>
    <x v="10"/>
    <x v="1"/>
    <x v="2"/>
    <x v="39"/>
    <x v="436"/>
    <x v="1156"/>
    <x v="0"/>
    <x v="36"/>
    <x v="4"/>
  </r>
  <r>
    <x v="36"/>
    <x v="200"/>
    <x v="11"/>
    <x v="11"/>
    <x v="1"/>
    <x v="2"/>
    <x v="39"/>
    <x v="351"/>
    <x v="3389"/>
    <x v="0"/>
    <x v="36"/>
    <x v="4"/>
  </r>
  <r>
    <x v="36"/>
    <x v="182"/>
    <x v="2"/>
    <x v="2"/>
    <x v="1"/>
    <x v="2"/>
    <x v="39"/>
    <x v="392"/>
    <x v="3390"/>
    <x v="0"/>
    <x v="36"/>
    <x v="4"/>
  </r>
  <r>
    <x v="36"/>
    <x v="335"/>
    <x v="6"/>
    <x v="6"/>
    <x v="1"/>
    <x v="2"/>
    <x v="39"/>
    <x v="408"/>
    <x v="3391"/>
    <x v="0"/>
    <x v="36"/>
    <x v="4"/>
  </r>
  <r>
    <x v="37"/>
    <x v="310"/>
    <x v="10"/>
    <x v="10"/>
    <x v="1"/>
    <x v="2"/>
    <x v="39"/>
    <x v="335"/>
    <x v="3392"/>
    <x v="0"/>
    <x v="37"/>
    <x v="4"/>
  </r>
  <r>
    <x v="37"/>
    <x v="330"/>
    <x v="11"/>
    <x v="11"/>
    <x v="1"/>
    <x v="2"/>
    <x v="39"/>
    <x v="381"/>
    <x v="3393"/>
    <x v="0"/>
    <x v="37"/>
    <x v="4"/>
  </r>
  <r>
    <x v="38"/>
    <x v="326"/>
    <x v="8"/>
    <x v="8"/>
    <x v="1"/>
    <x v="2"/>
    <x v="39"/>
    <x v="423"/>
    <x v="858"/>
    <x v="0"/>
    <x v="38"/>
    <x v="4"/>
  </r>
  <r>
    <x v="38"/>
    <x v="194"/>
    <x v="9"/>
    <x v="9"/>
    <x v="1"/>
    <x v="2"/>
    <x v="39"/>
    <x v="390"/>
    <x v="858"/>
    <x v="0"/>
    <x v="38"/>
    <x v="4"/>
  </r>
  <r>
    <x v="38"/>
    <x v="183"/>
    <x v="2"/>
    <x v="2"/>
    <x v="1"/>
    <x v="2"/>
    <x v="39"/>
    <x v="330"/>
    <x v="858"/>
    <x v="0"/>
    <x v="38"/>
    <x v="4"/>
  </r>
  <r>
    <x v="38"/>
    <x v="229"/>
    <x v="6"/>
    <x v="6"/>
    <x v="1"/>
    <x v="2"/>
    <x v="39"/>
    <x v="281"/>
    <x v="858"/>
    <x v="0"/>
    <x v="38"/>
    <x v="4"/>
  </r>
  <r>
    <x v="39"/>
    <x v="179"/>
    <x v="7"/>
    <x v="7"/>
    <x v="1"/>
    <x v="2"/>
    <x v="39"/>
    <x v="415"/>
    <x v="1838"/>
    <x v="0"/>
    <x v="39"/>
    <x v="4"/>
  </r>
  <r>
    <x v="39"/>
    <x v="306"/>
    <x v="9"/>
    <x v="9"/>
    <x v="1"/>
    <x v="2"/>
    <x v="39"/>
    <x v="336"/>
    <x v="3394"/>
    <x v="0"/>
    <x v="39"/>
    <x v="4"/>
  </r>
  <r>
    <x v="39"/>
    <x v="262"/>
    <x v="9"/>
    <x v="9"/>
    <x v="1"/>
    <x v="2"/>
    <x v="39"/>
    <x v="368"/>
    <x v="1221"/>
    <x v="0"/>
    <x v="39"/>
    <x v="4"/>
  </r>
  <r>
    <x v="39"/>
    <x v="219"/>
    <x v="9"/>
    <x v="9"/>
    <x v="1"/>
    <x v="2"/>
    <x v="40"/>
    <x v="308"/>
    <x v="782"/>
    <x v="0"/>
    <x v="39"/>
    <x v="4"/>
  </r>
  <r>
    <x v="39"/>
    <x v="282"/>
    <x v="11"/>
    <x v="11"/>
    <x v="1"/>
    <x v="2"/>
    <x v="39"/>
    <x v="358"/>
    <x v="3395"/>
    <x v="0"/>
    <x v="39"/>
    <x v="4"/>
  </r>
  <r>
    <x v="39"/>
    <x v="177"/>
    <x v="11"/>
    <x v="11"/>
    <x v="1"/>
    <x v="2"/>
    <x v="40"/>
    <x v="346"/>
    <x v="782"/>
    <x v="0"/>
    <x v="39"/>
    <x v="4"/>
  </r>
  <r>
    <x v="39"/>
    <x v="177"/>
    <x v="11"/>
    <x v="11"/>
    <x v="1"/>
    <x v="2"/>
    <x v="39"/>
    <x v="346"/>
    <x v="3396"/>
    <x v="0"/>
    <x v="39"/>
    <x v="4"/>
  </r>
  <r>
    <x v="39"/>
    <x v="235"/>
    <x v="2"/>
    <x v="2"/>
    <x v="1"/>
    <x v="2"/>
    <x v="39"/>
    <x v="393"/>
    <x v="3397"/>
    <x v="0"/>
    <x v="39"/>
    <x v="4"/>
  </r>
  <r>
    <x v="39"/>
    <x v="335"/>
    <x v="6"/>
    <x v="6"/>
    <x v="1"/>
    <x v="2"/>
    <x v="39"/>
    <x v="408"/>
    <x v="1303"/>
    <x v="0"/>
    <x v="39"/>
    <x v="4"/>
  </r>
  <r>
    <x v="40"/>
    <x v="286"/>
    <x v="10"/>
    <x v="10"/>
    <x v="1"/>
    <x v="2"/>
    <x v="40"/>
    <x v="297"/>
    <x v="865"/>
    <x v="0"/>
    <x v="40"/>
    <x v="4"/>
  </r>
  <r>
    <x v="40"/>
    <x v="263"/>
    <x v="10"/>
    <x v="10"/>
    <x v="1"/>
    <x v="2"/>
    <x v="39"/>
    <x v="436"/>
    <x v="3398"/>
    <x v="0"/>
    <x v="40"/>
    <x v="4"/>
  </r>
  <r>
    <x v="40"/>
    <x v="188"/>
    <x v="6"/>
    <x v="6"/>
    <x v="1"/>
    <x v="2"/>
    <x v="40"/>
    <x v="407"/>
    <x v="782"/>
    <x v="0"/>
    <x v="40"/>
    <x v="4"/>
  </r>
  <r>
    <x v="40"/>
    <x v="229"/>
    <x v="6"/>
    <x v="6"/>
    <x v="1"/>
    <x v="2"/>
    <x v="39"/>
    <x v="281"/>
    <x v="1231"/>
    <x v="0"/>
    <x v="40"/>
    <x v="4"/>
  </r>
  <r>
    <x v="74"/>
    <x v="227"/>
    <x v="9"/>
    <x v="9"/>
    <x v="1"/>
    <x v="2"/>
    <x v="39"/>
    <x v="399"/>
    <x v="3399"/>
    <x v="0"/>
    <x v="74"/>
    <x v="4"/>
  </r>
  <r>
    <x v="74"/>
    <x v="189"/>
    <x v="10"/>
    <x v="10"/>
    <x v="1"/>
    <x v="2"/>
    <x v="39"/>
    <x v="345"/>
    <x v="2751"/>
    <x v="0"/>
    <x v="74"/>
    <x v="4"/>
  </r>
  <r>
    <x v="75"/>
    <x v="323"/>
    <x v="8"/>
    <x v="8"/>
    <x v="1"/>
    <x v="2"/>
    <x v="39"/>
    <x v="367"/>
    <x v="3400"/>
    <x v="0"/>
    <x v="75"/>
    <x v="4"/>
  </r>
  <r>
    <x v="75"/>
    <x v="282"/>
    <x v="11"/>
    <x v="11"/>
    <x v="1"/>
    <x v="2"/>
    <x v="39"/>
    <x v="358"/>
    <x v="3401"/>
    <x v="0"/>
    <x v="75"/>
    <x v="4"/>
  </r>
  <r>
    <x v="75"/>
    <x v="214"/>
    <x v="11"/>
    <x v="11"/>
    <x v="1"/>
    <x v="2"/>
    <x v="39"/>
    <x v="306"/>
    <x v="3402"/>
    <x v="0"/>
    <x v="75"/>
    <x v="4"/>
  </r>
  <r>
    <x v="75"/>
    <x v="265"/>
    <x v="6"/>
    <x v="6"/>
    <x v="1"/>
    <x v="2"/>
    <x v="39"/>
    <x v="386"/>
    <x v="905"/>
    <x v="0"/>
    <x v="75"/>
    <x v="4"/>
  </r>
  <r>
    <x v="41"/>
    <x v="255"/>
    <x v="9"/>
    <x v="9"/>
    <x v="1"/>
    <x v="2"/>
    <x v="39"/>
    <x v="293"/>
    <x v="3403"/>
    <x v="0"/>
    <x v="41"/>
    <x v="4"/>
  </r>
  <r>
    <x v="41"/>
    <x v="187"/>
    <x v="11"/>
    <x v="11"/>
    <x v="1"/>
    <x v="2"/>
    <x v="39"/>
    <x v="328"/>
    <x v="545"/>
    <x v="0"/>
    <x v="41"/>
    <x v="4"/>
  </r>
  <r>
    <x v="42"/>
    <x v="208"/>
    <x v="8"/>
    <x v="8"/>
    <x v="1"/>
    <x v="2"/>
    <x v="39"/>
    <x v="377"/>
    <x v="3404"/>
    <x v="0"/>
    <x v="42"/>
    <x v="4"/>
  </r>
  <r>
    <x v="42"/>
    <x v="331"/>
    <x v="9"/>
    <x v="9"/>
    <x v="1"/>
    <x v="2"/>
    <x v="39"/>
    <x v="391"/>
    <x v="3405"/>
    <x v="0"/>
    <x v="42"/>
    <x v="4"/>
  </r>
  <r>
    <x v="42"/>
    <x v="220"/>
    <x v="11"/>
    <x v="11"/>
    <x v="1"/>
    <x v="2"/>
    <x v="39"/>
    <x v="309"/>
    <x v="3406"/>
    <x v="0"/>
    <x v="42"/>
    <x v="4"/>
  </r>
  <r>
    <x v="42"/>
    <x v="235"/>
    <x v="2"/>
    <x v="2"/>
    <x v="1"/>
    <x v="2"/>
    <x v="39"/>
    <x v="393"/>
    <x v="1331"/>
    <x v="0"/>
    <x v="42"/>
    <x v="4"/>
  </r>
  <r>
    <x v="43"/>
    <x v="261"/>
    <x v="8"/>
    <x v="8"/>
    <x v="1"/>
    <x v="2"/>
    <x v="39"/>
    <x v="320"/>
    <x v="3407"/>
    <x v="0"/>
    <x v="43"/>
    <x v="4"/>
  </r>
  <r>
    <x v="43"/>
    <x v="240"/>
    <x v="2"/>
    <x v="2"/>
    <x v="1"/>
    <x v="2"/>
    <x v="39"/>
    <x v="442"/>
    <x v="3408"/>
    <x v="0"/>
    <x v="43"/>
    <x v="4"/>
  </r>
  <r>
    <x v="44"/>
    <x v="268"/>
    <x v="10"/>
    <x v="10"/>
    <x v="1"/>
    <x v="2"/>
    <x v="39"/>
    <x v="339"/>
    <x v="816"/>
    <x v="0"/>
    <x v="44"/>
    <x v="4"/>
  </r>
  <r>
    <x v="44"/>
    <x v="329"/>
    <x v="10"/>
    <x v="10"/>
    <x v="1"/>
    <x v="2"/>
    <x v="39"/>
    <x v="380"/>
    <x v="245"/>
    <x v="0"/>
    <x v="44"/>
    <x v="4"/>
  </r>
  <r>
    <x v="44"/>
    <x v="315"/>
    <x v="2"/>
    <x v="2"/>
    <x v="1"/>
    <x v="2"/>
    <x v="39"/>
    <x v="405"/>
    <x v="1815"/>
    <x v="0"/>
    <x v="44"/>
    <x v="4"/>
  </r>
  <r>
    <x v="44"/>
    <x v="240"/>
    <x v="2"/>
    <x v="2"/>
    <x v="1"/>
    <x v="2"/>
    <x v="39"/>
    <x v="442"/>
    <x v="346"/>
    <x v="0"/>
    <x v="44"/>
    <x v="4"/>
  </r>
  <r>
    <x v="44"/>
    <x v="281"/>
    <x v="6"/>
    <x v="6"/>
    <x v="1"/>
    <x v="2"/>
    <x v="39"/>
    <x v="395"/>
    <x v="3355"/>
    <x v="0"/>
    <x v="44"/>
    <x v="4"/>
  </r>
  <r>
    <x v="44"/>
    <x v="266"/>
    <x v="6"/>
    <x v="6"/>
    <x v="1"/>
    <x v="2"/>
    <x v="39"/>
    <x v="370"/>
    <x v="187"/>
    <x v="0"/>
    <x v="44"/>
    <x v="4"/>
  </r>
  <r>
    <x v="44"/>
    <x v="335"/>
    <x v="6"/>
    <x v="6"/>
    <x v="1"/>
    <x v="2"/>
    <x v="39"/>
    <x v="408"/>
    <x v="804"/>
    <x v="0"/>
    <x v="44"/>
    <x v="4"/>
  </r>
  <r>
    <x v="45"/>
    <x v="327"/>
    <x v="7"/>
    <x v="7"/>
    <x v="1"/>
    <x v="2"/>
    <x v="40"/>
    <x v="387"/>
    <x v="1641"/>
    <x v="0"/>
    <x v="45"/>
    <x v="4"/>
  </r>
  <r>
    <x v="45"/>
    <x v="306"/>
    <x v="9"/>
    <x v="9"/>
    <x v="1"/>
    <x v="2"/>
    <x v="39"/>
    <x v="336"/>
    <x v="3409"/>
    <x v="0"/>
    <x v="45"/>
    <x v="4"/>
  </r>
  <r>
    <x v="45"/>
    <x v="292"/>
    <x v="9"/>
    <x v="9"/>
    <x v="1"/>
    <x v="2"/>
    <x v="40"/>
    <x v="352"/>
    <x v="3410"/>
    <x v="0"/>
    <x v="45"/>
    <x v="4"/>
  </r>
  <r>
    <x v="45"/>
    <x v="310"/>
    <x v="10"/>
    <x v="10"/>
    <x v="1"/>
    <x v="2"/>
    <x v="39"/>
    <x v="335"/>
    <x v="3411"/>
    <x v="0"/>
    <x v="45"/>
    <x v="4"/>
  </r>
  <r>
    <x v="45"/>
    <x v="200"/>
    <x v="11"/>
    <x v="11"/>
    <x v="1"/>
    <x v="2"/>
    <x v="39"/>
    <x v="351"/>
    <x v="3411"/>
    <x v="0"/>
    <x v="45"/>
    <x v="4"/>
  </r>
  <r>
    <x v="45"/>
    <x v="177"/>
    <x v="11"/>
    <x v="11"/>
    <x v="1"/>
    <x v="2"/>
    <x v="39"/>
    <x v="346"/>
    <x v="1335"/>
    <x v="0"/>
    <x v="45"/>
    <x v="4"/>
  </r>
  <r>
    <x v="46"/>
    <x v="261"/>
    <x v="8"/>
    <x v="8"/>
    <x v="1"/>
    <x v="2"/>
    <x v="39"/>
    <x v="320"/>
    <x v="3181"/>
    <x v="0"/>
    <x v="46"/>
    <x v="4"/>
  </r>
  <r>
    <x v="46"/>
    <x v="339"/>
    <x v="10"/>
    <x v="10"/>
    <x v="1"/>
    <x v="2"/>
    <x v="39"/>
    <x v="427"/>
    <x v="3412"/>
    <x v="0"/>
    <x v="46"/>
    <x v="4"/>
  </r>
  <r>
    <x v="46"/>
    <x v="315"/>
    <x v="2"/>
    <x v="2"/>
    <x v="1"/>
    <x v="2"/>
    <x v="39"/>
    <x v="405"/>
    <x v="681"/>
    <x v="0"/>
    <x v="46"/>
    <x v="4"/>
  </r>
  <r>
    <x v="46"/>
    <x v="281"/>
    <x v="6"/>
    <x v="6"/>
    <x v="1"/>
    <x v="2"/>
    <x v="39"/>
    <x v="395"/>
    <x v="1310"/>
    <x v="0"/>
    <x v="46"/>
    <x v="4"/>
  </r>
  <r>
    <x v="47"/>
    <x v="319"/>
    <x v="8"/>
    <x v="8"/>
    <x v="1"/>
    <x v="2"/>
    <x v="39"/>
    <x v="350"/>
    <x v="3099"/>
    <x v="0"/>
    <x v="47"/>
    <x v="4"/>
  </r>
  <r>
    <x v="47"/>
    <x v="242"/>
    <x v="9"/>
    <x v="9"/>
    <x v="1"/>
    <x v="2"/>
    <x v="39"/>
    <x v="435"/>
    <x v="57"/>
    <x v="0"/>
    <x v="47"/>
    <x v="4"/>
  </r>
  <r>
    <x v="47"/>
    <x v="249"/>
    <x v="11"/>
    <x v="11"/>
    <x v="1"/>
    <x v="2"/>
    <x v="39"/>
    <x v="359"/>
    <x v="3413"/>
    <x v="0"/>
    <x v="47"/>
    <x v="4"/>
  </r>
  <r>
    <x v="47"/>
    <x v="266"/>
    <x v="6"/>
    <x v="6"/>
    <x v="1"/>
    <x v="2"/>
    <x v="39"/>
    <x v="370"/>
    <x v="3414"/>
    <x v="0"/>
    <x v="47"/>
    <x v="4"/>
  </r>
  <r>
    <x v="48"/>
    <x v="208"/>
    <x v="8"/>
    <x v="8"/>
    <x v="1"/>
    <x v="2"/>
    <x v="39"/>
    <x v="377"/>
    <x v="147"/>
    <x v="0"/>
    <x v="48"/>
    <x v="4"/>
  </r>
  <r>
    <x v="48"/>
    <x v="244"/>
    <x v="10"/>
    <x v="10"/>
    <x v="1"/>
    <x v="2"/>
    <x v="39"/>
    <x v="433"/>
    <x v="3415"/>
    <x v="0"/>
    <x v="48"/>
    <x v="4"/>
  </r>
  <r>
    <x v="48"/>
    <x v="182"/>
    <x v="2"/>
    <x v="2"/>
    <x v="1"/>
    <x v="2"/>
    <x v="39"/>
    <x v="392"/>
    <x v="3416"/>
    <x v="0"/>
    <x v="48"/>
    <x v="4"/>
  </r>
  <r>
    <x v="48"/>
    <x v="183"/>
    <x v="2"/>
    <x v="2"/>
    <x v="1"/>
    <x v="2"/>
    <x v="39"/>
    <x v="330"/>
    <x v="3417"/>
    <x v="0"/>
    <x v="48"/>
    <x v="4"/>
  </r>
  <r>
    <x v="49"/>
    <x v="251"/>
    <x v="8"/>
    <x v="8"/>
    <x v="1"/>
    <x v="2"/>
    <x v="39"/>
    <x v="291"/>
    <x v="3240"/>
    <x v="0"/>
    <x v="49"/>
    <x v="4"/>
  </r>
  <r>
    <x v="49"/>
    <x v="176"/>
    <x v="10"/>
    <x v="10"/>
    <x v="1"/>
    <x v="2"/>
    <x v="39"/>
    <x v="412"/>
    <x v="3418"/>
    <x v="0"/>
    <x v="49"/>
    <x v="4"/>
  </r>
  <r>
    <x v="49"/>
    <x v="240"/>
    <x v="2"/>
    <x v="2"/>
    <x v="1"/>
    <x v="2"/>
    <x v="39"/>
    <x v="442"/>
    <x v="3419"/>
    <x v="0"/>
    <x v="49"/>
    <x v="4"/>
  </r>
  <r>
    <x v="49"/>
    <x v="316"/>
    <x v="2"/>
    <x v="2"/>
    <x v="1"/>
    <x v="2"/>
    <x v="39"/>
    <x v="348"/>
    <x v="3420"/>
    <x v="0"/>
    <x v="49"/>
    <x v="4"/>
  </r>
  <r>
    <x v="49"/>
    <x v="183"/>
    <x v="2"/>
    <x v="2"/>
    <x v="1"/>
    <x v="2"/>
    <x v="39"/>
    <x v="330"/>
    <x v="3362"/>
    <x v="0"/>
    <x v="49"/>
    <x v="4"/>
  </r>
  <r>
    <x v="49"/>
    <x v="335"/>
    <x v="6"/>
    <x v="6"/>
    <x v="1"/>
    <x v="2"/>
    <x v="39"/>
    <x v="408"/>
    <x v="3421"/>
    <x v="0"/>
    <x v="49"/>
    <x v="4"/>
  </r>
  <r>
    <x v="50"/>
    <x v="207"/>
    <x v="8"/>
    <x v="8"/>
    <x v="1"/>
    <x v="2"/>
    <x v="39"/>
    <x v="374"/>
    <x v="3422"/>
    <x v="0"/>
    <x v="50"/>
    <x v="4"/>
  </r>
  <r>
    <x v="50"/>
    <x v="255"/>
    <x v="9"/>
    <x v="9"/>
    <x v="1"/>
    <x v="2"/>
    <x v="39"/>
    <x v="293"/>
    <x v="1327"/>
    <x v="0"/>
    <x v="50"/>
    <x v="4"/>
  </r>
  <r>
    <x v="50"/>
    <x v="243"/>
    <x v="10"/>
    <x v="10"/>
    <x v="1"/>
    <x v="2"/>
    <x v="39"/>
    <x v="411"/>
    <x v="3423"/>
    <x v="0"/>
    <x v="50"/>
    <x v="4"/>
  </r>
  <r>
    <x v="50"/>
    <x v="282"/>
    <x v="11"/>
    <x v="11"/>
    <x v="1"/>
    <x v="2"/>
    <x v="39"/>
    <x v="358"/>
    <x v="838"/>
    <x v="0"/>
    <x v="50"/>
    <x v="4"/>
  </r>
  <r>
    <x v="50"/>
    <x v="281"/>
    <x v="6"/>
    <x v="6"/>
    <x v="1"/>
    <x v="2"/>
    <x v="39"/>
    <x v="395"/>
    <x v="3424"/>
    <x v="0"/>
    <x v="50"/>
    <x v="4"/>
  </r>
  <r>
    <x v="51"/>
    <x v="263"/>
    <x v="10"/>
    <x v="10"/>
    <x v="1"/>
    <x v="2"/>
    <x v="39"/>
    <x v="436"/>
    <x v="3425"/>
    <x v="0"/>
    <x v="51"/>
    <x v="4"/>
  </r>
  <r>
    <x v="51"/>
    <x v="282"/>
    <x v="11"/>
    <x v="11"/>
    <x v="1"/>
    <x v="2"/>
    <x v="39"/>
    <x v="358"/>
    <x v="1797"/>
    <x v="0"/>
    <x v="51"/>
    <x v="4"/>
  </r>
  <r>
    <x v="51"/>
    <x v="246"/>
    <x v="2"/>
    <x v="2"/>
    <x v="1"/>
    <x v="2"/>
    <x v="40"/>
    <x v="287"/>
    <x v="1061"/>
    <x v="0"/>
    <x v="51"/>
    <x v="4"/>
  </r>
  <r>
    <x v="52"/>
    <x v="319"/>
    <x v="8"/>
    <x v="8"/>
    <x v="1"/>
    <x v="2"/>
    <x v="39"/>
    <x v="350"/>
    <x v="3426"/>
    <x v="0"/>
    <x v="52"/>
    <x v="4"/>
  </r>
  <r>
    <x v="52"/>
    <x v="201"/>
    <x v="11"/>
    <x v="11"/>
    <x v="1"/>
    <x v="2"/>
    <x v="39"/>
    <x v="422"/>
    <x v="3427"/>
    <x v="0"/>
    <x v="52"/>
    <x v="4"/>
  </r>
  <r>
    <x v="53"/>
    <x v="206"/>
    <x v="7"/>
    <x v="7"/>
    <x v="1"/>
    <x v="2"/>
    <x v="39"/>
    <x v="284"/>
    <x v="1335"/>
    <x v="0"/>
    <x v="53"/>
    <x v="4"/>
  </r>
  <r>
    <x v="53"/>
    <x v="237"/>
    <x v="7"/>
    <x v="7"/>
    <x v="1"/>
    <x v="2"/>
    <x v="39"/>
    <x v="417"/>
    <x v="3428"/>
    <x v="0"/>
    <x v="53"/>
    <x v="4"/>
  </r>
  <r>
    <x v="53"/>
    <x v="261"/>
    <x v="8"/>
    <x v="8"/>
    <x v="1"/>
    <x v="2"/>
    <x v="39"/>
    <x v="320"/>
    <x v="970"/>
    <x v="0"/>
    <x v="53"/>
    <x v="4"/>
  </r>
  <r>
    <x v="53"/>
    <x v="263"/>
    <x v="10"/>
    <x v="10"/>
    <x v="1"/>
    <x v="2"/>
    <x v="39"/>
    <x v="436"/>
    <x v="3429"/>
    <x v="0"/>
    <x v="53"/>
    <x v="4"/>
  </r>
  <r>
    <x v="53"/>
    <x v="200"/>
    <x v="11"/>
    <x v="11"/>
    <x v="1"/>
    <x v="2"/>
    <x v="39"/>
    <x v="351"/>
    <x v="3430"/>
    <x v="0"/>
    <x v="53"/>
    <x v="4"/>
  </r>
  <r>
    <x v="53"/>
    <x v="177"/>
    <x v="11"/>
    <x v="11"/>
    <x v="1"/>
    <x v="2"/>
    <x v="39"/>
    <x v="346"/>
    <x v="3431"/>
    <x v="0"/>
    <x v="53"/>
    <x v="4"/>
  </r>
  <r>
    <x v="53"/>
    <x v="249"/>
    <x v="11"/>
    <x v="11"/>
    <x v="1"/>
    <x v="2"/>
    <x v="39"/>
    <x v="359"/>
    <x v="3432"/>
    <x v="0"/>
    <x v="53"/>
    <x v="4"/>
  </r>
  <r>
    <x v="53"/>
    <x v="214"/>
    <x v="11"/>
    <x v="11"/>
    <x v="1"/>
    <x v="2"/>
    <x v="39"/>
    <x v="306"/>
    <x v="3433"/>
    <x v="0"/>
    <x v="53"/>
    <x v="4"/>
  </r>
  <r>
    <x v="54"/>
    <x v="208"/>
    <x v="8"/>
    <x v="8"/>
    <x v="1"/>
    <x v="2"/>
    <x v="39"/>
    <x v="377"/>
    <x v="3434"/>
    <x v="0"/>
    <x v="54"/>
    <x v="4"/>
  </r>
  <r>
    <x v="54"/>
    <x v="242"/>
    <x v="9"/>
    <x v="9"/>
    <x v="1"/>
    <x v="2"/>
    <x v="39"/>
    <x v="435"/>
    <x v="3435"/>
    <x v="0"/>
    <x v="54"/>
    <x v="4"/>
  </r>
  <r>
    <x v="54"/>
    <x v="244"/>
    <x v="10"/>
    <x v="10"/>
    <x v="1"/>
    <x v="2"/>
    <x v="39"/>
    <x v="433"/>
    <x v="3436"/>
    <x v="0"/>
    <x v="54"/>
    <x v="4"/>
  </r>
  <r>
    <x v="54"/>
    <x v="315"/>
    <x v="2"/>
    <x v="2"/>
    <x v="1"/>
    <x v="2"/>
    <x v="39"/>
    <x v="405"/>
    <x v="3437"/>
    <x v="0"/>
    <x v="54"/>
    <x v="4"/>
  </r>
  <r>
    <x v="54"/>
    <x v="182"/>
    <x v="2"/>
    <x v="2"/>
    <x v="1"/>
    <x v="2"/>
    <x v="39"/>
    <x v="392"/>
    <x v="3438"/>
    <x v="0"/>
    <x v="54"/>
    <x v="4"/>
  </r>
  <r>
    <x v="54"/>
    <x v="335"/>
    <x v="6"/>
    <x v="6"/>
    <x v="1"/>
    <x v="2"/>
    <x v="40"/>
    <x v="408"/>
    <x v="3439"/>
    <x v="0"/>
    <x v="54"/>
    <x v="4"/>
  </r>
  <r>
    <x v="55"/>
    <x v="319"/>
    <x v="8"/>
    <x v="8"/>
    <x v="1"/>
    <x v="20"/>
    <x v="39"/>
    <x v="350"/>
    <x v="847"/>
    <x v="0"/>
    <x v="55"/>
    <x v="4"/>
  </r>
  <r>
    <x v="55"/>
    <x v="208"/>
    <x v="8"/>
    <x v="8"/>
    <x v="1"/>
    <x v="3"/>
    <x v="40"/>
    <x v="377"/>
    <x v="3440"/>
    <x v="0"/>
    <x v="55"/>
    <x v="4"/>
  </r>
  <r>
    <x v="55"/>
    <x v="269"/>
    <x v="11"/>
    <x v="11"/>
    <x v="1"/>
    <x v="4"/>
    <x v="40"/>
    <x v="403"/>
    <x v="698"/>
    <x v="0"/>
    <x v="55"/>
    <x v="4"/>
  </r>
  <r>
    <x v="55"/>
    <x v="272"/>
    <x v="11"/>
    <x v="11"/>
    <x v="1"/>
    <x v="4"/>
    <x v="40"/>
    <x v="360"/>
    <x v="3441"/>
    <x v="0"/>
    <x v="55"/>
    <x v="4"/>
  </r>
  <r>
    <x v="55"/>
    <x v="314"/>
    <x v="6"/>
    <x v="6"/>
    <x v="1"/>
    <x v="4"/>
    <x v="40"/>
    <x v="372"/>
    <x v="2118"/>
    <x v="0"/>
    <x v="55"/>
    <x v="4"/>
  </r>
  <r>
    <x v="55"/>
    <x v="266"/>
    <x v="6"/>
    <x v="6"/>
    <x v="1"/>
    <x v="4"/>
    <x v="39"/>
    <x v="370"/>
    <x v="3442"/>
    <x v="0"/>
    <x v="55"/>
    <x v="4"/>
  </r>
  <r>
    <x v="55"/>
    <x v="236"/>
    <x v="6"/>
    <x v="6"/>
    <x v="1"/>
    <x v="4"/>
    <x v="40"/>
    <x v="371"/>
    <x v="3443"/>
    <x v="0"/>
    <x v="55"/>
    <x v="4"/>
  </r>
  <r>
    <x v="55"/>
    <x v="268"/>
    <x v="10"/>
    <x v="10"/>
    <x v="1"/>
    <x v="5"/>
    <x v="40"/>
    <x v="339"/>
    <x v="1571"/>
    <x v="0"/>
    <x v="55"/>
    <x v="4"/>
  </r>
  <r>
    <x v="55"/>
    <x v="275"/>
    <x v="11"/>
    <x v="11"/>
    <x v="1"/>
    <x v="5"/>
    <x v="40"/>
    <x v="307"/>
    <x v="3444"/>
    <x v="0"/>
    <x v="55"/>
    <x v="4"/>
  </r>
  <r>
    <x v="55"/>
    <x v="314"/>
    <x v="6"/>
    <x v="6"/>
    <x v="1"/>
    <x v="5"/>
    <x v="40"/>
    <x v="372"/>
    <x v="3445"/>
    <x v="0"/>
    <x v="55"/>
    <x v="4"/>
  </r>
  <r>
    <x v="55"/>
    <x v="260"/>
    <x v="7"/>
    <x v="7"/>
    <x v="1"/>
    <x v="6"/>
    <x v="39"/>
    <x v="437"/>
    <x v="3446"/>
    <x v="0"/>
    <x v="55"/>
    <x v="4"/>
  </r>
  <r>
    <x v="55"/>
    <x v="247"/>
    <x v="8"/>
    <x v="8"/>
    <x v="1"/>
    <x v="6"/>
    <x v="39"/>
    <x v="289"/>
    <x v="1682"/>
    <x v="0"/>
    <x v="55"/>
    <x v="4"/>
  </r>
  <r>
    <x v="55"/>
    <x v="208"/>
    <x v="8"/>
    <x v="8"/>
    <x v="1"/>
    <x v="6"/>
    <x v="39"/>
    <x v="377"/>
    <x v="3447"/>
    <x v="0"/>
    <x v="55"/>
    <x v="4"/>
  </r>
  <r>
    <x v="55"/>
    <x v="319"/>
    <x v="8"/>
    <x v="8"/>
    <x v="1"/>
    <x v="6"/>
    <x v="39"/>
    <x v="350"/>
    <x v="1595"/>
    <x v="0"/>
    <x v="55"/>
    <x v="4"/>
  </r>
  <r>
    <x v="55"/>
    <x v="293"/>
    <x v="9"/>
    <x v="9"/>
    <x v="1"/>
    <x v="6"/>
    <x v="40"/>
    <x v="337"/>
    <x v="3448"/>
    <x v="0"/>
    <x v="55"/>
    <x v="4"/>
  </r>
  <r>
    <x v="55"/>
    <x v="331"/>
    <x v="9"/>
    <x v="9"/>
    <x v="1"/>
    <x v="6"/>
    <x v="39"/>
    <x v="391"/>
    <x v="3449"/>
    <x v="0"/>
    <x v="55"/>
    <x v="4"/>
  </r>
  <r>
    <x v="55"/>
    <x v="255"/>
    <x v="9"/>
    <x v="9"/>
    <x v="1"/>
    <x v="6"/>
    <x v="39"/>
    <x v="293"/>
    <x v="858"/>
    <x v="0"/>
    <x v="55"/>
    <x v="4"/>
  </r>
  <r>
    <x v="55"/>
    <x v="198"/>
    <x v="10"/>
    <x v="10"/>
    <x v="1"/>
    <x v="6"/>
    <x v="40"/>
    <x v="338"/>
    <x v="1157"/>
    <x v="0"/>
    <x v="55"/>
    <x v="4"/>
  </r>
  <r>
    <x v="55"/>
    <x v="243"/>
    <x v="10"/>
    <x v="10"/>
    <x v="1"/>
    <x v="6"/>
    <x v="39"/>
    <x v="411"/>
    <x v="858"/>
    <x v="0"/>
    <x v="55"/>
    <x v="4"/>
  </r>
  <r>
    <x v="55"/>
    <x v="244"/>
    <x v="10"/>
    <x v="10"/>
    <x v="1"/>
    <x v="6"/>
    <x v="39"/>
    <x v="433"/>
    <x v="3450"/>
    <x v="0"/>
    <x v="55"/>
    <x v="4"/>
  </r>
  <r>
    <x v="55"/>
    <x v="244"/>
    <x v="10"/>
    <x v="10"/>
    <x v="1"/>
    <x v="6"/>
    <x v="40"/>
    <x v="433"/>
    <x v="1641"/>
    <x v="0"/>
    <x v="55"/>
    <x v="4"/>
  </r>
  <r>
    <x v="55"/>
    <x v="249"/>
    <x v="11"/>
    <x v="11"/>
    <x v="1"/>
    <x v="6"/>
    <x v="39"/>
    <x v="359"/>
    <x v="3194"/>
    <x v="0"/>
    <x v="55"/>
    <x v="4"/>
  </r>
  <r>
    <x v="55"/>
    <x v="302"/>
    <x v="11"/>
    <x v="11"/>
    <x v="1"/>
    <x v="6"/>
    <x v="40"/>
    <x v="324"/>
    <x v="3451"/>
    <x v="0"/>
    <x v="55"/>
    <x v="4"/>
  </r>
  <r>
    <x v="55"/>
    <x v="202"/>
    <x v="11"/>
    <x v="11"/>
    <x v="1"/>
    <x v="6"/>
    <x v="39"/>
    <x v="305"/>
    <x v="3237"/>
    <x v="0"/>
    <x v="55"/>
    <x v="4"/>
  </r>
  <r>
    <x v="55"/>
    <x v="202"/>
    <x v="11"/>
    <x v="11"/>
    <x v="1"/>
    <x v="6"/>
    <x v="40"/>
    <x v="305"/>
    <x v="3452"/>
    <x v="0"/>
    <x v="55"/>
    <x v="4"/>
  </r>
  <r>
    <x v="55"/>
    <x v="315"/>
    <x v="2"/>
    <x v="2"/>
    <x v="1"/>
    <x v="6"/>
    <x v="39"/>
    <x v="405"/>
    <x v="858"/>
    <x v="0"/>
    <x v="55"/>
    <x v="4"/>
  </r>
  <r>
    <x v="55"/>
    <x v="307"/>
    <x v="2"/>
    <x v="2"/>
    <x v="1"/>
    <x v="6"/>
    <x v="40"/>
    <x v="441"/>
    <x v="764"/>
    <x v="0"/>
    <x v="55"/>
    <x v="4"/>
  </r>
  <r>
    <x v="55"/>
    <x v="217"/>
    <x v="6"/>
    <x v="6"/>
    <x v="1"/>
    <x v="6"/>
    <x v="39"/>
    <x v="323"/>
    <x v="3453"/>
    <x v="0"/>
    <x v="55"/>
    <x v="4"/>
  </r>
  <r>
    <x v="55"/>
    <x v="305"/>
    <x v="6"/>
    <x v="6"/>
    <x v="1"/>
    <x v="6"/>
    <x v="40"/>
    <x v="331"/>
    <x v="3454"/>
    <x v="0"/>
    <x v="55"/>
    <x v="4"/>
  </r>
  <r>
    <x v="55"/>
    <x v="229"/>
    <x v="6"/>
    <x v="6"/>
    <x v="1"/>
    <x v="6"/>
    <x v="39"/>
    <x v="281"/>
    <x v="860"/>
    <x v="0"/>
    <x v="55"/>
    <x v="4"/>
  </r>
  <r>
    <x v="55"/>
    <x v="229"/>
    <x v="6"/>
    <x v="6"/>
    <x v="1"/>
    <x v="6"/>
    <x v="40"/>
    <x v="281"/>
    <x v="1157"/>
    <x v="0"/>
    <x v="55"/>
    <x v="4"/>
  </r>
  <r>
    <x v="55"/>
    <x v="267"/>
    <x v="8"/>
    <x v="8"/>
    <x v="1"/>
    <x v="38"/>
    <x v="40"/>
    <x v="438"/>
    <x v="3242"/>
    <x v="0"/>
    <x v="55"/>
    <x v="4"/>
  </r>
  <r>
    <x v="55"/>
    <x v="293"/>
    <x v="9"/>
    <x v="9"/>
    <x v="1"/>
    <x v="38"/>
    <x v="39"/>
    <x v="337"/>
    <x v="3242"/>
    <x v="0"/>
    <x v="55"/>
    <x v="4"/>
  </r>
  <r>
    <x v="55"/>
    <x v="215"/>
    <x v="2"/>
    <x v="2"/>
    <x v="1"/>
    <x v="38"/>
    <x v="40"/>
    <x v="322"/>
    <x v="3455"/>
    <x v="0"/>
    <x v="55"/>
    <x v="4"/>
  </r>
  <r>
    <x v="55"/>
    <x v="312"/>
    <x v="2"/>
    <x v="2"/>
    <x v="1"/>
    <x v="38"/>
    <x v="39"/>
    <x v="394"/>
    <x v="3242"/>
    <x v="0"/>
    <x v="55"/>
    <x v="4"/>
  </r>
  <r>
    <x v="55"/>
    <x v="217"/>
    <x v="6"/>
    <x v="6"/>
    <x v="1"/>
    <x v="38"/>
    <x v="39"/>
    <x v="323"/>
    <x v="1"/>
    <x v="609"/>
    <x v="55"/>
    <x v="4"/>
  </r>
  <r>
    <x v="55"/>
    <x v="237"/>
    <x v="7"/>
    <x v="7"/>
    <x v="1"/>
    <x v="7"/>
    <x v="40"/>
    <x v="417"/>
    <x v="3456"/>
    <x v="0"/>
    <x v="55"/>
    <x v="4"/>
  </r>
  <r>
    <x v="55"/>
    <x v="290"/>
    <x v="9"/>
    <x v="9"/>
    <x v="1"/>
    <x v="7"/>
    <x v="39"/>
    <x v="302"/>
    <x v="3457"/>
    <x v="0"/>
    <x v="55"/>
    <x v="4"/>
  </r>
  <r>
    <x v="55"/>
    <x v="198"/>
    <x v="10"/>
    <x v="10"/>
    <x v="1"/>
    <x v="7"/>
    <x v="40"/>
    <x v="338"/>
    <x v="3458"/>
    <x v="0"/>
    <x v="55"/>
    <x v="4"/>
  </r>
  <r>
    <x v="55"/>
    <x v="263"/>
    <x v="10"/>
    <x v="10"/>
    <x v="1"/>
    <x v="7"/>
    <x v="40"/>
    <x v="436"/>
    <x v="3459"/>
    <x v="0"/>
    <x v="55"/>
    <x v="4"/>
  </r>
  <r>
    <x v="55"/>
    <x v="315"/>
    <x v="2"/>
    <x v="2"/>
    <x v="1"/>
    <x v="7"/>
    <x v="39"/>
    <x v="405"/>
    <x v="3460"/>
    <x v="0"/>
    <x v="55"/>
    <x v="4"/>
  </r>
  <r>
    <x v="55"/>
    <x v="315"/>
    <x v="2"/>
    <x v="2"/>
    <x v="1"/>
    <x v="7"/>
    <x v="40"/>
    <x v="405"/>
    <x v="1882"/>
    <x v="0"/>
    <x v="55"/>
    <x v="4"/>
  </r>
  <r>
    <x v="55"/>
    <x v="215"/>
    <x v="2"/>
    <x v="2"/>
    <x v="1"/>
    <x v="7"/>
    <x v="40"/>
    <x v="322"/>
    <x v="3461"/>
    <x v="0"/>
    <x v="55"/>
    <x v="4"/>
  </r>
  <r>
    <x v="55"/>
    <x v="280"/>
    <x v="2"/>
    <x v="2"/>
    <x v="1"/>
    <x v="7"/>
    <x v="40"/>
    <x v="295"/>
    <x v="2216"/>
    <x v="0"/>
    <x v="55"/>
    <x v="4"/>
  </r>
  <r>
    <x v="55"/>
    <x v="223"/>
    <x v="2"/>
    <x v="2"/>
    <x v="1"/>
    <x v="7"/>
    <x v="40"/>
    <x v="434"/>
    <x v="3462"/>
    <x v="0"/>
    <x v="55"/>
    <x v="4"/>
  </r>
  <r>
    <x v="55"/>
    <x v="183"/>
    <x v="2"/>
    <x v="2"/>
    <x v="1"/>
    <x v="7"/>
    <x v="40"/>
    <x v="330"/>
    <x v="3463"/>
    <x v="0"/>
    <x v="55"/>
    <x v="4"/>
  </r>
  <r>
    <x v="55"/>
    <x v="281"/>
    <x v="6"/>
    <x v="6"/>
    <x v="1"/>
    <x v="7"/>
    <x v="39"/>
    <x v="395"/>
    <x v="3464"/>
    <x v="0"/>
    <x v="55"/>
    <x v="4"/>
  </r>
  <r>
    <x v="55"/>
    <x v="281"/>
    <x v="6"/>
    <x v="6"/>
    <x v="1"/>
    <x v="7"/>
    <x v="40"/>
    <x v="395"/>
    <x v="3465"/>
    <x v="0"/>
    <x v="55"/>
    <x v="4"/>
  </r>
  <r>
    <x v="55"/>
    <x v="217"/>
    <x v="6"/>
    <x v="6"/>
    <x v="1"/>
    <x v="40"/>
    <x v="39"/>
    <x v="323"/>
    <x v="1087"/>
    <x v="0"/>
    <x v="55"/>
    <x v="4"/>
  </r>
  <r>
    <x v="55"/>
    <x v="204"/>
    <x v="6"/>
    <x v="6"/>
    <x v="1"/>
    <x v="40"/>
    <x v="40"/>
    <x v="317"/>
    <x v="3242"/>
    <x v="0"/>
    <x v="55"/>
    <x v="4"/>
  </r>
  <r>
    <x v="55"/>
    <x v="273"/>
    <x v="11"/>
    <x v="11"/>
    <x v="1"/>
    <x v="35"/>
    <x v="40"/>
    <x v="354"/>
    <x v="3466"/>
    <x v="0"/>
    <x v="55"/>
    <x v="4"/>
  </r>
  <r>
    <x v="55"/>
    <x v="329"/>
    <x v="10"/>
    <x v="10"/>
    <x v="1"/>
    <x v="8"/>
    <x v="40"/>
    <x v="380"/>
    <x v="1087"/>
    <x v="0"/>
    <x v="55"/>
    <x v="4"/>
  </r>
  <r>
    <x v="55"/>
    <x v="334"/>
    <x v="2"/>
    <x v="2"/>
    <x v="1"/>
    <x v="8"/>
    <x v="39"/>
    <x v="406"/>
    <x v="1"/>
    <x v="609"/>
    <x v="55"/>
    <x v="4"/>
  </r>
  <r>
    <x v="55"/>
    <x v="257"/>
    <x v="2"/>
    <x v="2"/>
    <x v="1"/>
    <x v="8"/>
    <x v="40"/>
    <x v="410"/>
    <x v="3467"/>
    <x v="0"/>
    <x v="55"/>
    <x v="4"/>
  </r>
  <r>
    <x v="55"/>
    <x v="305"/>
    <x v="6"/>
    <x v="6"/>
    <x v="1"/>
    <x v="8"/>
    <x v="39"/>
    <x v="331"/>
    <x v="3163"/>
    <x v="0"/>
    <x v="55"/>
    <x v="4"/>
  </r>
  <r>
    <x v="55"/>
    <x v="218"/>
    <x v="6"/>
    <x v="6"/>
    <x v="1"/>
    <x v="8"/>
    <x v="40"/>
    <x v="451"/>
    <x v="3468"/>
    <x v="0"/>
    <x v="55"/>
    <x v="4"/>
  </r>
  <r>
    <x v="55"/>
    <x v="190"/>
    <x v="6"/>
    <x v="6"/>
    <x v="1"/>
    <x v="8"/>
    <x v="40"/>
    <x v="342"/>
    <x v="3469"/>
    <x v="0"/>
    <x v="55"/>
    <x v="4"/>
  </r>
  <r>
    <x v="55"/>
    <x v="191"/>
    <x v="6"/>
    <x v="6"/>
    <x v="1"/>
    <x v="8"/>
    <x v="40"/>
    <x v="318"/>
    <x v="3469"/>
    <x v="0"/>
    <x v="55"/>
    <x v="4"/>
  </r>
  <r>
    <x v="55"/>
    <x v="191"/>
    <x v="6"/>
    <x v="6"/>
    <x v="1"/>
    <x v="8"/>
    <x v="39"/>
    <x v="318"/>
    <x v="1"/>
    <x v="610"/>
    <x v="55"/>
    <x v="4"/>
  </r>
  <r>
    <x v="55"/>
    <x v="172"/>
    <x v="8"/>
    <x v="8"/>
    <x v="1"/>
    <x v="9"/>
    <x v="40"/>
    <x v="431"/>
    <x v="1119"/>
    <x v="0"/>
    <x v="55"/>
    <x v="4"/>
  </r>
  <r>
    <x v="55"/>
    <x v="245"/>
    <x v="8"/>
    <x v="8"/>
    <x v="1"/>
    <x v="9"/>
    <x v="40"/>
    <x v="285"/>
    <x v="3470"/>
    <x v="0"/>
    <x v="55"/>
    <x v="4"/>
  </r>
  <r>
    <x v="55"/>
    <x v="337"/>
    <x v="9"/>
    <x v="9"/>
    <x v="1"/>
    <x v="9"/>
    <x v="40"/>
    <x v="424"/>
    <x v="3471"/>
    <x v="0"/>
    <x v="55"/>
    <x v="4"/>
  </r>
  <r>
    <x v="55"/>
    <x v="293"/>
    <x v="9"/>
    <x v="9"/>
    <x v="1"/>
    <x v="9"/>
    <x v="40"/>
    <x v="337"/>
    <x v="3472"/>
    <x v="0"/>
    <x v="55"/>
    <x v="4"/>
  </r>
  <r>
    <x v="55"/>
    <x v="310"/>
    <x v="10"/>
    <x v="10"/>
    <x v="1"/>
    <x v="9"/>
    <x v="39"/>
    <x v="335"/>
    <x v="3473"/>
    <x v="0"/>
    <x v="55"/>
    <x v="4"/>
  </r>
  <r>
    <x v="55"/>
    <x v="180"/>
    <x v="10"/>
    <x v="10"/>
    <x v="1"/>
    <x v="9"/>
    <x v="40"/>
    <x v="452"/>
    <x v="3474"/>
    <x v="0"/>
    <x v="55"/>
    <x v="4"/>
  </r>
  <r>
    <x v="55"/>
    <x v="232"/>
    <x v="10"/>
    <x v="10"/>
    <x v="1"/>
    <x v="9"/>
    <x v="40"/>
    <x v="290"/>
    <x v="2247"/>
    <x v="0"/>
    <x v="55"/>
    <x v="4"/>
  </r>
  <r>
    <x v="55"/>
    <x v="298"/>
    <x v="10"/>
    <x v="10"/>
    <x v="1"/>
    <x v="9"/>
    <x v="39"/>
    <x v="314"/>
    <x v="3475"/>
    <x v="0"/>
    <x v="55"/>
    <x v="4"/>
  </r>
  <r>
    <x v="55"/>
    <x v="177"/>
    <x v="11"/>
    <x v="11"/>
    <x v="1"/>
    <x v="9"/>
    <x v="39"/>
    <x v="346"/>
    <x v="3476"/>
    <x v="0"/>
    <x v="55"/>
    <x v="4"/>
  </r>
  <r>
    <x v="55"/>
    <x v="315"/>
    <x v="2"/>
    <x v="2"/>
    <x v="1"/>
    <x v="9"/>
    <x v="39"/>
    <x v="405"/>
    <x v="3477"/>
    <x v="0"/>
    <x v="55"/>
    <x v="4"/>
  </r>
  <r>
    <x v="55"/>
    <x v="307"/>
    <x v="2"/>
    <x v="2"/>
    <x v="1"/>
    <x v="9"/>
    <x v="40"/>
    <x v="441"/>
    <x v="1866"/>
    <x v="0"/>
    <x v="55"/>
    <x v="4"/>
  </r>
  <r>
    <x v="55"/>
    <x v="257"/>
    <x v="2"/>
    <x v="2"/>
    <x v="1"/>
    <x v="9"/>
    <x v="40"/>
    <x v="410"/>
    <x v="3265"/>
    <x v="0"/>
    <x v="55"/>
    <x v="4"/>
  </r>
  <r>
    <x v="55"/>
    <x v="304"/>
    <x v="2"/>
    <x v="2"/>
    <x v="1"/>
    <x v="9"/>
    <x v="40"/>
    <x v="329"/>
    <x v="3304"/>
    <x v="0"/>
    <x v="55"/>
    <x v="4"/>
  </r>
  <r>
    <x v="55"/>
    <x v="183"/>
    <x v="2"/>
    <x v="2"/>
    <x v="1"/>
    <x v="9"/>
    <x v="39"/>
    <x v="330"/>
    <x v="3478"/>
    <x v="0"/>
    <x v="55"/>
    <x v="4"/>
  </r>
  <r>
    <x v="55"/>
    <x v="281"/>
    <x v="6"/>
    <x v="6"/>
    <x v="1"/>
    <x v="9"/>
    <x v="39"/>
    <x v="395"/>
    <x v="541"/>
    <x v="0"/>
    <x v="55"/>
    <x v="4"/>
  </r>
  <r>
    <x v="55"/>
    <x v="285"/>
    <x v="6"/>
    <x v="6"/>
    <x v="1"/>
    <x v="9"/>
    <x v="40"/>
    <x v="409"/>
    <x v="2771"/>
    <x v="0"/>
    <x v="55"/>
    <x v="4"/>
  </r>
  <r>
    <x v="55"/>
    <x v="258"/>
    <x v="7"/>
    <x v="7"/>
    <x v="1"/>
    <x v="10"/>
    <x v="40"/>
    <x v="349"/>
    <x v="1866"/>
    <x v="0"/>
    <x v="55"/>
    <x v="4"/>
  </r>
  <r>
    <x v="55"/>
    <x v="210"/>
    <x v="7"/>
    <x v="7"/>
    <x v="1"/>
    <x v="10"/>
    <x v="40"/>
    <x v="418"/>
    <x v="1866"/>
    <x v="0"/>
    <x v="55"/>
    <x v="4"/>
  </r>
  <r>
    <x v="55"/>
    <x v="291"/>
    <x v="9"/>
    <x v="9"/>
    <x v="1"/>
    <x v="10"/>
    <x v="40"/>
    <x v="303"/>
    <x v="3479"/>
    <x v="0"/>
    <x v="55"/>
    <x v="4"/>
  </r>
  <r>
    <x v="55"/>
    <x v="317"/>
    <x v="10"/>
    <x v="10"/>
    <x v="1"/>
    <x v="10"/>
    <x v="40"/>
    <x v="401"/>
    <x v="3480"/>
    <x v="0"/>
    <x v="55"/>
    <x v="4"/>
  </r>
  <r>
    <x v="55"/>
    <x v="239"/>
    <x v="10"/>
    <x v="10"/>
    <x v="1"/>
    <x v="10"/>
    <x v="40"/>
    <x v="419"/>
    <x v="3481"/>
    <x v="0"/>
    <x v="55"/>
    <x v="4"/>
  </r>
  <r>
    <x v="55"/>
    <x v="233"/>
    <x v="10"/>
    <x v="10"/>
    <x v="1"/>
    <x v="10"/>
    <x v="40"/>
    <x v="344"/>
    <x v="3482"/>
    <x v="0"/>
    <x v="55"/>
    <x v="4"/>
  </r>
  <r>
    <x v="55"/>
    <x v="325"/>
    <x v="11"/>
    <x v="11"/>
    <x v="1"/>
    <x v="10"/>
    <x v="40"/>
    <x v="421"/>
    <x v="1866"/>
    <x v="0"/>
    <x v="55"/>
    <x v="4"/>
  </r>
  <r>
    <x v="55"/>
    <x v="273"/>
    <x v="11"/>
    <x v="11"/>
    <x v="1"/>
    <x v="10"/>
    <x v="40"/>
    <x v="354"/>
    <x v="1212"/>
    <x v="0"/>
    <x v="55"/>
    <x v="4"/>
  </r>
  <r>
    <x v="55"/>
    <x v="174"/>
    <x v="6"/>
    <x v="6"/>
    <x v="1"/>
    <x v="10"/>
    <x v="40"/>
    <x v="282"/>
    <x v="1866"/>
    <x v="0"/>
    <x v="55"/>
    <x v="4"/>
  </r>
  <r>
    <x v="55"/>
    <x v="319"/>
    <x v="8"/>
    <x v="8"/>
    <x v="1"/>
    <x v="11"/>
    <x v="40"/>
    <x v="350"/>
    <x v="187"/>
    <x v="0"/>
    <x v="55"/>
    <x v="4"/>
  </r>
  <r>
    <x v="55"/>
    <x v="194"/>
    <x v="9"/>
    <x v="9"/>
    <x v="1"/>
    <x v="11"/>
    <x v="40"/>
    <x v="390"/>
    <x v="3307"/>
    <x v="0"/>
    <x v="55"/>
    <x v="4"/>
  </r>
  <r>
    <x v="55"/>
    <x v="255"/>
    <x v="9"/>
    <x v="9"/>
    <x v="1"/>
    <x v="11"/>
    <x v="40"/>
    <x v="293"/>
    <x v="3483"/>
    <x v="0"/>
    <x v="55"/>
    <x v="4"/>
  </r>
  <r>
    <x v="55"/>
    <x v="291"/>
    <x v="9"/>
    <x v="9"/>
    <x v="1"/>
    <x v="11"/>
    <x v="40"/>
    <x v="303"/>
    <x v="1815"/>
    <x v="0"/>
    <x v="55"/>
    <x v="4"/>
  </r>
  <r>
    <x v="55"/>
    <x v="198"/>
    <x v="10"/>
    <x v="10"/>
    <x v="1"/>
    <x v="11"/>
    <x v="40"/>
    <x v="338"/>
    <x v="3484"/>
    <x v="0"/>
    <x v="55"/>
    <x v="4"/>
  </r>
  <r>
    <x v="55"/>
    <x v="317"/>
    <x v="10"/>
    <x v="10"/>
    <x v="1"/>
    <x v="11"/>
    <x v="40"/>
    <x v="401"/>
    <x v="3485"/>
    <x v="0"/>
    <x v="55"/>
    <x v="4"/>
  </r>
  <r>
    <x v="55"/>
    <x v="243"/>
    <x v="10"/>
    <x v="10"/>
    <x v="1"/>
    <x v="11"/>
    <x v="39"/>
    <x v="411"/>
    <x v="3486"/>
    <x v="0"/>
    <x v="55"/>
    <x v="4"/>
  </r>
  <r>
    <x v="55"/>
    <x v="248"/>
    <x v="10"/>
    <x v="10"/>
    <x v="1"/>
    <x v="11"/>
    <x v="40"/>
    <x v="304"/>
    <x v="3487"/>
    <x v="0"/>
    <x v="55"/>
    <x v="4"/>
  </r>
  <r>
    <x v="55"/>
    <x v="269"/>
    <x v="11"/>
    <x v="11"/>
    <x v="1"/>
    <x v="11"/>
    <x v="40"/>
    <x v="403"/>
    <x v="3488"/>
    <x v="0"/>
    <x v="55"/>
    <x v="4"/>
  </r>
  <r>
    <x v="55"/>
    <x v="221"/>
    <x v="2"/>
    <x v="2"/>
    <x v="1"/>
    <x v="11"/>
    <x v="40"/>
    <x v="347"/>
    <x v="3489"/>
    <x v="0"/>
    <x v="55"/>
    <x v="4"/>
  </r>
  <r>
    <x v="55"/>
    <x v="183"/>
    <x v="2"/>
    <x v="2"/>
    <x v="1"/>
    <x v="11"/>
    <x v="39"/>
    <x v="330"/>
    <x v="3490"/>
    <x v="0"/>
    <x v="55"/>
    <x v="4"/>
  </r>
  <r>
    <x v="55"/>
    <x v="246"/>
    <x v="2"/>
    <x v="2"/>
    <x v="1"/>
    <x v="11"/>
    <x v="40"/>
    <x v="287"/>
    <x v="849"/>
    <x v="0"/>
    <x v="55"/>
    <x v="4"/>
  </r>
  <r>
    <x v="55"/>
    <x v="297"/>
    <x v="6"/>
    <x v="6"/>
    <x v="1"/>
    <x v="11"/>
    <x v="40"/>
    <x v="313"/>
    <x v="3268"/>
    <x v="0"/>
    <x v="55"/>
    <x v="4"/>
  </r>
  <r>
    <x v="55"/>
    <x v="229"/>
    <x v="6"/>
    <x v="6"/>
    <x v="1"/>
    <x v="11"/>
    <x v="40"/>
    <x v="281"/>
    <x v="2143"/>
    <x v="0"/>
    <x v="55"/>
    <x v="4"/>
  </r>
  <r>
    <x v="55"/>
    <x v="319"/>
    <x v="8"/>
    <x v="8"/>
    <x v="1"/>
    <x v="36"/>
    <x v="39"/>
    <x v="350"/>
    <x v="282"/>
    <x v="0"/>
    <x v="55"/>
    <x v="4"/>
  </r>
  <r>
    <x v="55"/>
    <x v="263"/>
    <x v="10"/>
    <x v="10"/>
    <x v="1"/>
    <x v="36"/>
    <x v="39"/>
    <x v="436"/>
    <x v="3491"/>
    <x v="0"/>
    <x v="55"/>
    <x v="4"/>
  </r>
  <r>
    <x v="55"/>
    <x v="244"/>
    <x v="10"/>
    <x v="10"/>
    <x v="1"/>
    <x v="36"/>
    <x v="39"/>
    <x v="433"/>
    <x v="3492"/>
    <x v="0"/>
    <x v="55"/>
    <x v="4"/>
  </r>
  <r>
    <x v="55"/>
    <x v="315"/>
    <x v="2"/>
    <x v="2"/>
    <x v="1"/>
    <x v="36"/>
    <x v="39"/>
    <x v="405"/>
    <x v="3493"/>
    <x v="0"/>
    <x v="55"/>
    <x v="4"/>
  </r>
  <r>
    <x v="55"/>
    <x v="251"/>
    <x v="8"/>
    <x v="8"/>
    <x v="1"/>
    <x v="12"/>
    <x v="40"/>
    <x v="291"/>
    <x v="3058"/>
    <x v="0"/>
    <x v="55"/>
    <x v="4"/>
  </r>
  <r>
    <x v="55"/>
    <x v="321"/>
    <x v="8"/>
    <x v="8"/>
    <x v="1"/>
    <x v="12"/>
    <x v="40"/>
    <x v="430"/>
    <x v="816"/>
    <x v="0"/>
    <x v="55"/>
    <x v="4"/>
  </r>
  <r>
    <x v="55"/>
    <x v="196"/>
    <x v="8"/>
    <x v="8"/>
    <x v="1"/>
    <x v="12"/>
    <x v="40"/>
    <x v="375"/>
    <x v="816"/>
    <x v="0"/>
    <x v="55"/>
    <x v="4"/>
  </r>
  <r>
    <x v="55"/>
    <x v="185"/>
    <x v="8"/>
    <x v="8"/>
    <x v="1"/>
    <x v="12"/>
    <x v="40"/>
    <x v="296"/>
    <x v="859"/>
    <x v="0"/>
    <x v="55"/>
    <x v="4"/>
  </r>
  <r>
    <x v="55"/>
    <x v="178"/>
    <x v="9"/>
    <x v="9"/>
    <x v="1"/>
    <x v="12"/>
    <x v="40"/>
    <x v="353"/>
    <x v="3494"/>
    <x v="0"/>
    <x v="55"/>
    <x v="4"/>
  </r>
  <r>
    <x v="55"/>
    <x v="286"/>
    <x v="10"/>
    <x v="10"/>
    <x v="1"/>
    <x v="12"/>
    <x v="40"/>
    <x v="297"/>
    <x v="905"/>
    <x v="0"/>
    <x v="55"/>
    <x v="4"/>
  </r>
  <r>
    <x v="55"/>
    <x v="339"/>
    <x v="10"/>
    <x v="10"/>
    <x v="1"/>
    <x v="12"/>
    <x v="40"/>
    <x v="427"/>
    <x v="1200"/>
    <x v="0"/>
    <x v="55"/>
    <x v="4"/>
  </r>
  <r>
    <x v="55"/>
    <x v="269"/>
    <x v="11"/>
    <x v="11"/>
    <x v="1"/>
    <x v="12"/>
    <x v="40"/>
    <x v="403"/>
    <x v="782"/>
    <x v="0"/>
    <x v="55"/>
    <x v="4"/>
  </r>
  <r>
    <x v="55"/>
    <x v="299"/>
    <x v="11"/>
    <x v="11"/>
    <x v="1"/>
    <x v="12"/>
    <x v="40"/>
    <x v="315"/>
    <x v="899"/>
    <x v="0"/>
    <x v="55"/>
    <x v="4"/>
  </r>
  <r>
    <x v="55"/>
    <x v="215"/>
    <x v="2"/>
    <x v="2"/>
    <x v="1"/>
    <x v="12"/>
    <x v="40"/>
    <x v="322"/>
    <x v="3495"/>
    <x v="0"/>
    <x v="55"/>
    <x v="4"/>
  </r>
  <r>
    <x v="55"/>
    <x v="182"/>
    <x v="2"/>
    <x v="2"/>
    <x v="1"/>
    <x v="12"/>
    <x v="39"/>
    <x v="392"/>
    <x v="899"/>
    <x v="0"/>
    <x v="55"/>
    <x v="4"/>
  </r>
  <r>
    <x v="55"/>
    <x v="307"/>
    <x v="2"/>
    <x v="2"/>
    <x v="1"/>
    <x v="12"/>
    <x v="40"/>
    <x v="441"/>
    <x v="3496"/>
    <x v="0"/>
    <x v="55"/>
    <x v="4"/>
  </r>
  <r>
    <x v="55"/>
    <x v="316"/>
    <x v="2"/>
    <x v="2"/>
    <x v="1"/>
    <x v="12"/>
    <x v="40"/>
    <x v="348"/>
    <x v="187"/>
    <x v="0"/>
    <x v="55"/>
    <x v="4"/>
  </r>
  <r>
    <x v="55"/>
    <x v="281"/>
    <x v="6"/>
    <x v="6"/>
    <x v="1"/>
    <x v="12"/>
    <x v="40"/>
    <x v="395"/>
    <x v="905"/>
    <x v="0"/>
    <x v="55"/>
    <x v="4"/>
  </r>
  <r>
    <x v="55"/>
    <x v="236"/>
    <x v="6"/>
    <x v="6"/>
    <x v="1"/>
    <x v="12"/>
    <x v="40"/>
    <x v="371"/>
    <x v="3497"/>
    <x v="0"/>
    <x v="55"/>
    <x v="4"/>
  </r>
  <r>
    <x v="55"/>
    <x v="188"/>
    <x v="6"/>
    <x v="6"/>
    <x v="1"/>
    <x v="12"/>
    <x v="40"/>
    <x v="407"/>
    <x v="3498"/>
    <x v="0"/>
    <x v="55"/>
    <x v="4"/>
  </r>
  <r>
    <x v="55"/>
    <x v="263"/>
    <x v="10"/>
    <x v="10"/>
    <x v="1"/>
    <x v="13"/>
    <x v="39"/>
    <x v="436"/>
    <x v="3499"/>
    <x v="0"/>
    <x v="55"/>
    <x v="4"/>
  </r>
  <r>
    <x v="55"/>
    <x v="232"/>
    <x v="10"/>
    <x v="10"/>
    <x v="1"/>
    <x v="13"/>
    <x v="40"/>
    <x v="290"/>
    <x v="3500"/>
    <x v="0"/>
    <x v="55"/>
    <x v="4"/>
  </r>
  <r>
    <x v="55"/>
    <x v="240"/>
    <x v="2"/>
    <x v="2"/>
    <x v="1"/>
    <x v="13"/>
    <x v="39"/>
    <x v="442"/>
    <x v="3501"/>
    <x v="0"/>
    <x v="55"/>
    <x v="4"/>
  </r>
  <r>
    <x v="55"/>
    <x v="217"/>
    <x v="6"/>
    <x v="6"/>
    <x v="1"/>
    <x v="13"/>
    <x v="39"/>
    <x v="323"/>
    <x v="3502"/>
    <x v="0"/>
    <x v="55"/>
    <x v="4"/>
  </r>
  <r>
    <x v="55"/>
    <x v="327"/>
    <x v="7"/>
    <x v="7"/>
    <x v="1"/>
    <x v="14"/>
    <x v="40"/>
    <x v="387"/>
    <x v="3503"/>
    <x v="0"/>
    <x v="55"/>
    <x v="4"/>
  </r>
  <r>
    <x v="55"/>
    <x v="237"/>
    <x v="7"/>
    <x v="7"/>
    <x v="1"/>
    <x v="14"/>
    <x v="39"/>
    <x v="417"/>
    <x v="3504"/>
    <x v="0"/>
    <x v="55"/>
    <x v="4"/>
  </r>
  <r>
    <x v="55"/>
    <x v="279"/>
    <x v="7"/>
    <x v="7"/>
    <x v="1"/>
    <x v="14"/>
    <x v="40"/>
    <x v="449"/>
    <x v="1417"/>
    <x v="0"/>
    <x v="55"/>
    <x v="4"/>
  </r>
  <r>
    <x v="55"/>
    <x v="251"/>
    <x v="8"/>
    <x v="8"/>
    <x v="1"/>
    <x v="14"/>
    <x v="40"/>
    <x v="291"/>
    <x v="3505"/>
    <x v="0"/>
    <x v="55"/>
    <x v="4"/>
  </r>
  <r>
    <x v="55"/>
    <x v="207"/>
    <x v="8"/>
    <x v="8"/>
    <x v="1"/>
    <x v="14"/>
    <x v="39"/>
    <x v="374"/>
    <x v="3506"/>
    <x v="0"/>
    <x v="55"/>
    <x v="4"/>
  </r>
  <r>
    <x v="55"/>
    <x v="337"/>
    <x v="9"/>
    <x v="9"/>
    <x v="1"/>
    <x v="14"/>
    <x v="40"/>
    <x v="424"/>
    <x v="848"/>
    <x v="0"/>
    <x v="55"/>
    <x v="4"/>
  </r>
  <r>
    <x v="55"/>
    <x v="175"/>
    <x v="9"/>
    <x v="9"/>
    <x v="1"/>
    <x v="14"/>
    <x v="39"/>
    <x v="389"/>
    <x v="3507"/>
    <x v="0"/>
    <x v="55"/>
    <x v="4"/>
  </r>
  <r>
    <x v="55"/>
    <x v="194"/>
    <x v="9"/>
    <x v="9"/>
    <x v="1"/>
    <x v="14"/>
    <x v="40"/>
    <x v="390"/>
    <x v="3508"/>
    <x v="0"/>
    <x v="55"/>
    <x v="4"/>
  </r>
  <r>
    <x v="55"/>
    <x v="255"/>
    <x v="9"/>
    <x v="9"/>
    <x v="1"/>
    <x v="14"/>
    <x v="39"/>
    <x v="293"/>
    <x v="3509"/>
    <x v="0"/>
    <x v="55"/>
    <x v="4"/>
  </r>
  <r>
    <x v="55"/>
    <x v="263"/>
    <x v="10"/>
    <x v="10"/>
    <x v="1"/>
    <x v="14"/>
    <x v="39"/>
    <x v="436"/>
    <x v="3510"/>
    <x v="0"/>
    <x v="55"/>
    <x v="4"/>
  </r>
  <r>
    <x v="55"/>
    <x v="310"/>
    <x v="10"/>
    <x v="10"/>
    <x v="1"/>
    <x v="14"/>
    <x v="40"/>
    <x v="335"/>
    <x v="3511"/>
    <x v="0"/>
    <x v="55"/>
    <x v="4"/>
  </r>
  <r>
    <x v="55"/>
    <x v="177"/>
    <x v="11"/>
    <x v="11"/>
    <x v="1"/>
    <x v="14"/>
    <x v="40"/>
    <x v="346"/>
    <x v="3512"/>
    <x v="0"/>
    <x v="55"/>
    <x v="4"/>
  </r>
  <r>
    <x v="55"/>
    <x v="300"/>
    <x v="2"/>
    <x v="2"/>
    <x v="1"/>
    <x v="14"/>
    <x v="40"/>
    <x v="316"/>
    <x v="1282"/>
    <x v="0"/>
    <x v="55"/>
    <x v="4"/>
  </r>
  <r>
    <x v="55"/>
    <x v="315"/>
    <x v="2"/>
    <x v="2"/>
    <x v="1"/>
    <x v="14"/>
    <x v="39"/>
    <x v="405"/>
    <x v="3513"/>
    <x v="0"/>
    <x v="55"/>
    <x v="4"/>
  </r>
  <r>
    <x v="55"/>
    <x v="281"/>
    <x v="6"/>
    <x v="6"/>
    <x v="1"/>
    <x v="14"/>
    <x v="40"/>
    <x v="395"/>
    <x v="849"/>
    <x v="0"/>
    <x v="55"/>
    <x v="4"/>
  </r>
  <r>
    <x v="55"/>
    <x v="265"/>
    <x v="6"/>
    <x v="6"/>
    <x v="1"/>
    <x v="14"/>
    <x v="39"/>
    <x v="386"/>
    <x v="3514"/>
    <x v="0"/>
    <x v="55"/>
    <x v="4"/>
  </r>
  <r>
    <x v="55"/>
    <x v="335"/>
    <x v="6"/>
    <x v="6"/>
    <x v="1"/>
    <x v="14"/>
    <x v="40"/>
    <x v="408"/>
    <x v="911"/>
    <x v="0"/>
    <x v="55"/>
    <x v="4"/>
  </r>
  <r>
    <x v="55"/>
    <x v="254"/>
    <x v="8"/>
    <x v="8"/>
    <x v="1"/>
    <x v="15"/>
    <x v="40"/>
    <x v="326"/>
    <x v="1303"/>
    <x v="0"/>
    <x v="55"/>
    <x v="4"/>
  </r>
  <r>
    <x v="55"/>
    <x v="177"/>
    <x v="11"/>
    <x v="11"/>
    <x v="1"/>
    <x v="15"/>
    <x v="40"/>
    <x v="346"/>
    <x v="1202"/>
    <x v="0"/>
    <x v="55"/>
    <x v="4"/>
  </r>
  <r>
    <x v="55"/>
    <x v="254"/>
    <x v="8"/>
    <x v="8"/>
    <x v="1"/>
    <x v="28"/>
    <x v="40"/>
    <x v="326"/>
    <x v="782"/>
    <x v="0"/>
    <x v="55"/>
    <x v="4"/>
  </r>
  <r>
    <x v="55"/>
    <x v="173"/>
    <x v="8"/>
    <x v="8"/>
    <x v="1"/>
    <x v="28"/>
    <x v="40"/>
    <x v="378"/>
    <x v="1682"/>
    <x v="0"/>
    <x v="55"/>
    <x v="4"/>
  </r>
  <r>
    <x v="55"/>
    <x v="187"/>
    <x v="11"/>
    <x v="11"/>
    <x v="1"/>
    <x v="28"/>
    <x v="40"/>
    <x v="328"/>
    <x v="782"/>
    <x v="0"/>
    <x v="55"/>
    <x v="4"/>
  </r>
  <r>
    <x v="55"/>
    <x v="304"/>
    <x v="2"/>
    <x v="2"/>
    <x v="1"/>
    <x v="28"/>
    <x v="40"/>
    <x v="329"/>
    <x v="782"/>
    <x v="0"/>
    <x v="55"/>
    <x v="4"/>
  </r>
  <r>
    <x v="55"/>
    <x v="265"/>
    <x v="6"/>
    <x v="6"/>
    <x v="1"/>
    <x v="28"/>
    <x v="39"/>
    <x v="386"/>
    <x v="982"/>
    <x v="0"/>
    <x v="55"/>
    <x v="4"/>
  </r>
  <r>
    <x v="55"/>
    <x v="188"/>
    <x v="6"/>
    <x v="6"/>
    <x v="1"/>
    <x v="28"/>
    <x v="40"/>
    <x v="407"/>
    <x v="782"/>
    <x v="0"/>
    <x v="55"/>
    <x v="4"/>
  </r>
  <r>
    <x v="55"/>
    <x v="335"/>
    <x v="6"/>
    <x v="6"/>
    <x v="1"/>
    <x v="28"/>
    <x v="39"/>
    <x v="408"/>
    <x v="765"/>
    <x v="0"/>
    <x v="55"/>
    <x v="4"/>
  </r>
  <r>
    <x v="55"/>
    <x v="214"/>
    <x v="11"/>
    <x v="11"/>
    <x v="1"/>
    <x v="29"/>
    <x v="39"/>
    <x v="306"/>
    <x v="3515"/>
    <x v="0"/>
    <x v="55"/>
    <x v="4"/>
  </r>
  <r>
    <x v="55"/>
    <x v="240"/>
    <x v="2"/>
    <x v="2"/>
    <x v="1"/>
    <x v="29"/>
    <x v="39"/>
    <x v="442"/>
    <x v="1157"/>
    <x v="0"/>
    <x v="55"/>
    <x v="4"/>
  </r>
  <r>
    <x v="55"/>
    <x v="335"/>
    <x v="6"/>
    <x v="6"/>
    <x v="1"/>
    <x v="29"/>
    <x v="39"/>
    <x v="408"/>
    <x v="1157"/>
    <x v="0"/>
    <x v="55"/>
    <x v="4"/>
  </r>
  <r>
    <x v="55"/>
    <x v="176"/>
    <x v="10"/>
    <x v="10"/>
    <x v="1"/>
    <x v="17"/>
    <x v="39"/>
    <x v="412"/>
    <x v="53"/>
    <x v="0"/>
    <x v="55"/>
    <x v="4"/>
  </r>
  <r>
    <x v="55"/>
    <x v="202"/>
    <x v="11"/>
    <x v="11"/>
    <x v="1"/>
    <x v="17"/>
    <x v="39"/>
    <x v="305"/>
    <x v="3439"/>
    <x v="0"/>
    <x v="55"/>
    <x v="4"/>
  </r>
  <r>
    <x v="55"/>
    <x v="215"/>
    <x v="2"/>
    <x v="2"/>
    <x v="1"/>
    <x v="17"/>
    <x v="40"/>
    <x v="322"/>
    <x v="900"/>
    <x v="0"/>
    <x v="55"/>
    <x v="4"/>
  </r>
  <r>
    <x v="55"/>
    <x v="264"/>
    <x v="6"/>
    <x v="6"/>
    <x v="1"/>
    <x v="17"/>
    <x v="40"/>
    <x v="311"/>
    <x v="905"/>
    <x v="0"/>
    <x v="55"/>
    <x v="4"/>
  </r>
  <r>
    <x v="55"/>
    <x v="266"/>
    <x v="6"/>
    <x v="6"/>
    <x v="1"/>
    <x v="17"/>
    <x v="39"/>
    <x v="370"/>
    <x v="3516"/>
    <x v="0"/>
    <x v="55"/>
    <x v="4"/>
  </r>
  <r>
    <x v="55"/>
    <x v="302"/>
    <x v="11"/>
    <x v="11"/>
    <x v="1"/>
    <x v="33"/>
    <x v="40"/>
    <x v="324"/>
    <x v="3517"/>
    <x v="0"/>
    <x v="55"/>
    <x v="4"/>
  </r>
  <r>
    <x v="55"/>
    <x v="285"/>
    <x v="6"/>
    <x v="6"/>
    <x v="1"/>
    <x v="33"/>
    <x v="40"/>
    <x v="409"/>
    <x v="3518"/>
    <x v="0"/>
    <x v="55"/>
    <x v="4"/>
  </r>
  <r>
    <x v="55"/>
    <x v="184"/>
    <x v="6"/>
    <x v="6"/>
    <x v="1"/>
    <x v="33"/>
    <x v="40"/>
    <x v="413"/>
    <x v="3127"/>
    <x v="0"/>
    <x v="55"/>
    <x v="4"/>
  </r>
  <r>
    <x v="55"/>
    <x v="196"/>
    <x v="8"/>
    <x v="8"/>
    <x v="1"/>
    <x v="37"/>
    <x v="40"/>
    <x v="375"/>
    <x v="1966"/>
    <x v="0"/>
    <x v="55"/>
    <x v="4"/>
  </r>
  <r>
    <x v="55"/>
    <x v="219"/>
    <x v="9"/>
    <x v="9"/>
    <x v="1"/>
    <x v="37"/>
    <x v="40"/>
    <x v="308"/>
    <x v="3519"/>
    <x v="0"/>
    <x v="55"/>
    <x v="4"/>
  </r>
  <r>
    <x v="55"/>
    <x v="186"/>
    <x v="10"/>
    <x v="10"/>
    <x v="1"/>
    <x v="37"/>
    <x v="40"/>
    <x v="321"/>
    <x v="3520"/>
    <x v="0"/>
    <x v="55"/>
    <x v="4"/>
  </r>
  <r>
    <x v="55"/>
    <x v="181"/>
    <x v="11"/>
    <x v="11"/>
    <x v="1"/>
    <x v="37"/>
    <x v="40"/>
    <x v="362"/>
    <x v="3521"/>
    <x v="0"/>
    <x v="55"/>
    <x v="4"/>
  </r>
  <r>
    <x v="55"/>
    <x v="327"/>
    <x v="7"/>
    <x v="7"/>
    <x v="1"/>
    <x v="18"/>
    <x v="40"/>
    <x v="387"/>
    <x v="3522"/>
    <x v="0"/>
    <x v="55"/>
    <x v="4"/>
  </r>
  <r>
    <x v="55"/>
    <x v="247"/>
    <x v="8"/>
    <x v="8"/>
    <x v="1"/>
    <x v="18"/>
    <x v="40"/>
    <x v="289"/>
    <x v="3523"/>
    <x v="0"/>
    <x v="55"/>
    <x v="4"/>
  </r>
  <r>
    <x v="55"/>
    <x v="227"/>
    <x v="9"/>
    <x v="9"/>
    <x v="1"/>
    <x v="18"/>
    <x v="40"/>
    <x v="399"/>
    <x v="3524"/>
    <x v="0"/>
    <x v="55"/>
    <x v="4"/>
  </r>
  <r>
    <x v="55"/>
    <x v="310"/>
    <x v="10"/>
    <x v="10"/>
    <x v="1"/>
    <x v="18"/>
    <x v="40"/>
    <x v="335"/>
    <x v="3525"/>
    <x v="0"/>
    <x v="55"/>
    <x v="4"/>
  </r>
  <r>
    <x v="55"/>
    <x v="282"/>
    <x v="11"/>
    <x v="11"/>
    <x v="1"/>
    <x v="18"/>
    <x v="40"/>
    <x v="358"/>
    <x v="3526"/>
    <x v="0"/>
    <x v="55"/>
    <x v="4"/>
  </r>
  <r>
    <x v="55"/>
    <x v="334"/>
    <x v="2"/>
    <x v="2"/>
    <x v="1"/>
    <x v="18"/>
    <x v="40"/>
    <x v="406"/>
    <x v="3527"/>
    <x v="0"/>
    <x v="55"/>
    <x v="4"/>
  </r>
  <r>
    <x v="55"/>
    <x v="217"/>
    <x v="6"/>
    <x v="6"/>
    <x v="1"/>
    <x v="18"/>
    <x v="40"/>
    <x v="323"/>
    <x v="3528"/>
    <x v="0"/>
    <x v="55"/>
    <x v="4"/>
  </r>
  <r>
    <x v="56"/>
    <x v="260"/>
    <x v="7"/>
    <x v="7"/>
    <x v="1"/>
    <x v="2"/>
    <x v="39"/>
    <x v="437"/>
    <x v="1182"/>
    <x v="0"/>
    <x v="56"/>
    <x v="4"/>
  </r>
  <r>
    <x v="56"/>
    <x v="321"/>
    <x v="8"/>
    <x v="8"/>
    <x v="1"/>
    <x v="2"/>
    <x v="40"/>
    <x v="430"/>
    <x v="782"/>
    <x v="0"/>
    <x v="56"/>
    <x v="4"/>
  </r>
  <r>
    <x v="56"/>
    <x v="261"/>
    <x v="8"/>
    <x v="8"/>
    <x v="1"/>
    <x v="2"/>
    <x v="39"/>
    <x v="320"/>
    <x v="3529"/>
    <x v="0"/>
    <x v="56"/>
    <x v="4"/>
  </r>
  <r>
    <x v="56"/>
    <x v="310"/>
    <x v="10"/>
    <x v="10"/>
    <x v="1"/>
    <x v="2"/>
    <x v="39"/>
    <x v="335"/>
    <x v="3530"/>
    <x v="0"/>
    <x v="56"/>
    <x v="4"/>
  </r>
  <r>
    <x v="56"/>
    <x v="200"/>
    <x v="11"/>
    <x v="11"/>
    <x v="1"/>
    <x v="2"/>
    <x v="39"/>
    <x v="351"/>
    <x v="93"/>
    <x v="0"/>
    <x v="56"/>
    <x v="4"/>
  </r>
  <r>
    <x v="56"/>
    <x v="249"/>
    <x v="11"/>
    <x v="11"/>
    <x v="1"/>
    <x v="2"/>
    <x v="39"/>
    <x v="359"/>
    <x v="3531"/>
    <x v="0"/>
    <x v="56"/>
    <x v="4"/>
  </r>
  <r>
    <x v="56"/>
    <x v="182"/>
    <x v="2"/>
    <x v="2"/>
    <x v="1"/>
    <x v="2"/>
    <x v="39"/>
    <x v="392"/>
    <x v="3532"/>
    <x v="0"/>
    <x v="56"/>
    <x v="4"/>
  </r>
  <r>
    <x v="56"/>
    <x v="281"/>
    <x v="6"/>
    <x v="6"/>
    <x v="1"/>
    <x v="2"/>
    <x v="39"/>
    <x v="395"/>
    <x v="1863"/>
    <x v="0"/>
    <x v="56"/>
    <x v="4"/>
  </r>
  <r>
    <x v="56"/>
    <x v="217"/>
    <x v="6"/>
    <x v="6"/>
    <x v="1"/>
    <x v="2"/>
    <x v="39"/>
    <x v="323"/>
    <x v="3533"/>
    <x v="0"/>
    <x v="56"/>
    <x v="4"/>
  </r>
  <r>
    <x v="57"/>
    <x v="187"/>
    <x v="11"/>
    <x v="11"/>
    <x v="1"/>
    <x v="2"/>
    <x v="39"/>
    <x v="328"/>
    <x v="3534"/>
    <x v="0"/>
    <x v="57"/>
    <x v="4"/>
  </r>
  <r>
    <x v="58"/>
    <x v="247"/>
    <x v="8"/>
    <x v="8"/>
    <x v="1"/>
    <x v="2"/>
    <x v="39"/>
    <x v="289"/>
    <x v="3535"/>
    <x v="0"/>
    <x v="58"/>
    <x v="4"/>
  </r>
  <r>
    <x v="58"/>
    <x v="326"/>
    <x v="8"/>
    <x v="8"/>
    <x v="1"/>
    <x v="2"/>
    <x v="39"/>
    <x v="423"/>
    <x v="3536"/>
    <x v="0"/>
    <x v="58"/>
    <x v="4"/>
  </r>
  <r>
    <x v="58"/>
    <x v="242"/>
    <x v="9"/>
    <x v="9"/>
    <x v="1"/>
    <x v="2"/>
    <x v="39"/>
    <x v="435"/>
    <x v="3537"/>
    <x v="0"/>
    <x v="58"/>
    <x v="4"/>
  </r>
  <r>
    <x v="58"/>
    <x v="220"/>
    <x v="11"/>
    <x v="11"/>
    <x v="1"/>
    <x v="2"/>
    <x v="39"/>
    <x v="309"/>
    <x v="3538"/>
    <x v="0"/>
    <x v="58"/>
    <x v="4"/>
  </r>
  <r>
    <x v="58"/>
    <x v="335"/>
    <x v="6"/>
    <x v="6"/>
    <x v="1"/>
    <x v="2"/>
    <x v="39"/>
    <x v="408"/>
    <x v="1700"/>
    <x v="0"/>
    <x v="58"/>
    <x v="4"/>
  </r>
  <r>
    <x v="59"/>
    <x v="326"/>
    <x v="8"/>
    <x v="8"/>
    <x v="1"/>
    <x v="2"/>
    <x v="39"/>
    <x v="423"/>
    <x v="3539"/>
    <x v="0"/>
    <x v="59"/>
    <x v="4"/>
  </r>
  <r>
    <x v="59"/>
    <x v="189"/>
    <x v="10"/>
    <x v="10"/>
    <x v="1"/>
    <x v="2"/>
    <x v="39"/>
    <x v="345"/>
    <x v="891"/>
    <x v="0"/>
    <x v="59"/>
    <x v="4"/>
  </r>
  <r>
    <x v="59"/>
    <x v="257"/>
    <x v="2"/>
    <x v="2"/>
    <x v="1"/>
    <x v="2"/>
    <x v="40"/>
    <x v="410"/>
    <x v="816"/>
    <x v="0"/>
    <x v="59"/>
    <x v="4"/>
  </r>
  <r>
    <x v="59"/>
    <x v="266"/>
    <x v="6"/>
    <x v="6"/>
    <x v="1"/>
    <x v="2"/>
    <x v="39"/>
    <x v="370"/>
    <x v="816"/>
    <x v="0"/>
    <x v="59"/>
    <x v="4"/>
  </r>
  <r>
    <x v="60"/>
    <x v="171"/>
    <x v="7"/>
    <x v="7"/>
    <x v="1"/>
    <x v="2"/>
    <x v="39"/>
    <x v="429"/>
    <x v="1182"/>
    <x v="0"/>
    <x v="60"/>
    <x v="4"/>
  </r>
  <r>
    <x v="60"/>
    <x v="247"/>
    <x v="8"/>
    <x v="8"/>
    <x v="1"/>
    <x v="2"/>
    <x v="39"/>
    <x v="289"/>
    <x v="3540"/>
    <x v="0"/>
    <x v="60"/>
    <x v="4"/>
  </r>
  <r>
    <x v="60"/>
    <x v="247"/>
    <x v="8"/>
    <x v="8"/>
    <x v="1"/>
    <x v="2"/>
    <x v="40"/>
    <x v="289"/>
    <x v="858"/>
    <x v="0"/>
    <x v="60"/>
    <x v="4"/>
  </r>
  <r>
    <x v="60"/>
    <x v="243"/>
    <x v="10"/>
    <x v="10"/>
    <x v="1"/>
    <x v="2"/>
    <x v="39"/>
    <x v="411"/>
    <x v="3094"/>
    <x v="0"/>
    <x v="60"/>
    <x v="4"/>
  </r>
  <r>
    <x v="60"/>
    <x v="186"/>
    <x v="10"/>
    <x v="10"/>
    <x v="1"/>
    <x v="2"/>
    <x v="40"/>
    <x v="321"/>
    <x v="1744"/>
    <x v="0"/>
    <x v="60"/>
    <x v="4"/>
  </r>
  <r>
    <x v="60"/>
    <x v="187"/>
    <x v="11"/>
    <x v="11"/>
    <x v="1"/>
    <x v="2"/>
    <x v="39"/>
    <x v="328"/>
    <x v="3541"/>
    <x v="0"/>
    <x v="60"/>
    <x v="4"/>
  </r>
  <r>
    <x v="60"/>
    <x v="177"/>
    <x v="11"/>
    <x v="11"/>
    <x v="1"/>
    <x v="2"/>
    <x v="40"/>
    <x v="346"/>
    <x v="3542"/>
    <x v="0"/>
    <x v="60"/>
    <x v="4"/>
  </r>
  <r>
    <x v="60"/>
    <x v="183"/>
    <x v="2"/>
    <x v="2"/>
    <x v="1"/>
    <x v="2"/>
    <x v="40"/>
    <x v="330"/>
    <x v="3543"/>
    <x v="0"/>
    <x v="60"/>
    <x v="4"/>
  </r>
  <r>
    <x v="61"/>
    <x v="310"/>
    <x v="10"/>
    <x v="10"/>
    <x v="1"/>
    <x v="2"/>
    <x v="39"/>
    <x v="335"/>
    <x v="1822"/>
    <x v="0"/>
    <x v="61"/>
    <x v="4"/>
  </r>
  <r>
    <x v="61"/>
    <x v="220"/>
    <x v="11"/>
    <x v="11"/>
    <x v="1"/>
    <x v="2"/>
    <x v="39"/>
    <x v="309"/>
    <x v="2777"/>
    <x v="0"/>
    <x v="61"/>
    <x v="4"/>
  </r>
  <r>
    <x v="61"/>
    <x v="217"/>
    <x v="6"/>
    <x v="6"/>
    <x v="1"/>
    <x v="2"/>
    <x v="39"/>
    <x v="323"/>
    <x v="3544"/>
    <x v="0"/>
    <x v="61"/>
    <x v="4"/>
  </r>
  <r>
    <x v="62"/>
    <x v="262"/>
    <x v="9"/>
    <x v="9"/>
    <x v="1"/>
    <x v="2"/>
    <x v="39"/>
    <x v="368"/>
    <x v="1352"/>
    <x v="0"/>
    <x v="62"/>
    <x v="4"/>
  </r>
  <r>
    <x v="62"/>
    <x v="189"/>
    <x v="10"/>
    <x v="10"/>
    <x v="1"/>
    <x v="2"/>
    <x v="39"/>
    <x v="345"/>
    <x v="3545"/>
    <x v="0"/>
    <x v="62"/>
    <x v="4"/>
  </r>
  <r>
    <x v="62"/>
    <x v="330"/>
    <x v="11"/>
    <x v="11"/>
    <x v="1"/>
    <x v="2"/>
    <x v="39"/>
    <x v="381"/>
    <x v="3546"/>
    <x v="0"/>
    <x v="62"/>
    <x v="4"/>
  </r>
  <r>
    <x v="62"/>
    <x v="182"/>
    <x v="2"/>
    <x v="2"/>
    <x v="1"/>
    <x v="2"/>
    <x v="39"/>
    <x v="392"/>
    <x v="3547"/>
    <x v="0"/>
    <x v="62"/>
    <x v="4"/>
  </r>
  <r>
    <x v="62"/>
    <x v="335"/>
    <x v="6"/>
    <x v="6"/>
    <x v="1"/>
    <x v="2"/>
    <x v="39"/>
    <x v="408"/>
    <x v="3548"/>
    <x v="0"/>
    <x v="62"/>
    <x v="4"/>
  </r>
  <r>
    <x v="63"/>
    <x v="187"/>
    <x v="11"/>
    <x v="11"/>
    <x v="1"/>
    <x v="2"/>
    <x v="39"/>
    <x v="328"/>
    <x v="3549"/>
    <x v="0"/>
    <x v="63"/>
    <x v="4"/>
  </r>
  <r>
    <x v="63"/>
    <x v="315"/>
    <x v="2"/>
    <x v="2"/>
    <x v="1"/>
    <x v="2"/>
    <x v="39"/>
    <x v="405"/>
    <x v="554"/>
    <x v="0"/>
    <x v="63"/>
    <x v="4"/>
  </r>
  <r>
    <x v="63"/>
    <x v="240"/>
    <x v="2"/>
    <x v="2"/>
    <x v="1"/>
    <x v="2"/>
    <x v="39"/>
    <x v="442"/>
    <x v="3347"/>
    <x v="0"/>
    <x v="63"/>
    <x v="4"/>
  </r>
  <r>
    <x v="64"/>
    <x v="205"/>
    <x v="7"/>
    <x v="7"/>
    <x v="1"/>
    <x v="2"/>
    <x v="39"/>
    <x v="299"/>
    <x v="3550"/>
    <x v="0"/>
    <x v="64"/>
    <x v="4"/>
  </r>
  <r>
    <x v="64"/>
    <x v="322"/>
    <x v="7"/>
    <x v="7"/>
    <x v="1"/>
    <x v="2"/>
    <x v="39"/>
    <x v="448"/>
    <x v="1"/>
    <x v="611"/>
    <x v="64"/>
    <x v="4"/>
  </r>
  <r>
    <x v="64"/>
    <x v="263"/>
    <x v="10"/>
    <x v="10"/>
    <x v="1"/>
    <x v="2"/>
    <x v="39"/>
    <x v="436"/>
    <x v="3551"/>
    <x v="0"/>
    <x v="64"/>
    <x v="4"/>
  </r>
  <r>
    <x v="64"/>
    <x v="202"/>
    <x v="11"/>
    <x v="11"/>
    <x v="1"/>
    <x v="2"/>
    <x v="39"/>
    <x v="305"/>
    <x v="3552"/>
    <x v="0"/>
    <x v="64"/>
    <x v="4"/>
  </r>
  <r>
    <x v="64"/>
    <x v="183"/>
    <x v="2"/>
    <x v="2"/>
    <x v="1"/>
    <x v="2"/>
    <x v="39"/>
    <x v="330"/>
    <x v="1852"/>
    <x v="0"/>
    <x v="64"/>
    <x v="4"/>
  </r>
  <r>
    <x v="65"/>
    <x v="242"/>
    <x v="9"/>
    <x v="9"/>
    <x v="1"/>
    <x v="2"/>
    <x v="39"/>
    <x v="435"/>
    <x v="3553"/>
    <x v="0"/>
    <x v="65"/>
    <x v="4"/>
  </r>
  <r>
    <x v="65"/>
    <x v="217"/>
    <x v="6"/>
    <x v="6"/>
    <x v="1"/>
    <x v="2"/>
    <x v="39"/>
    <x v="323"/>
    <x v="3554"/>
    <x v="0"/>
    <x v="65"/>
    <x v="4"/>
  </r>
  <r>
    <x v="65"/>
    <x v="266"/>
    <x v="6"/>
    <x v="6"/>
    <x v="1"/>
    <x v="2"/>
    <x v="39"/>
    <x v="370"/>
    <x v="3161"/>
    <x v="0"/>
    <x v="65"/>
    <x v="4"/>
  </r>
  <r>
    <x v="65"/>
    <x v="188"/>
    <x v="6"/>
    <x v="6"/>
    <x v="1"/>
    <x v="2"/>
    <x v="39"/>
    <x v="407"/>
    <x v="3161"/>
    <x v="0"/>
    <x v="65"/>
    <x v="4"/>
  </r>
  <r>
    <x v="66"/>
    <x v="205"/>
    <x v="7"/>
    <x v="7"/>
    <x v="1"/>
    <x v="2"/>
    <x v="39"/>
    <x v="299"/>
    <x v="3555"/>
    <x v="0"/>
    <x v="66"/>
    <x v="4"/>
  </r>
  <r>
    <x v="66"/>
    <x v="326"/>
    <x v="8"/>
    <x v="8"/>
    <x v="1"/>
    <x v="2"/>
    <x v="39"/>
    <x v="423"/>
    <x v="3556"/>
    <x v="0"/>
    <x v="66"/>
    <x v="4"/>
  </r>
  <r>
    <x v="66"/>
    <x v="263"/>
    <x v="10"/>
    <x v="10"/>
    <x v="1"/>
    <x v="2"/>
    <x v="39"/>
    <x v="436"/>
    <x v="759"/>
    <x v="0"/>
    <x v="66"/>
    <x v="4"/>
  </r>
  <r>
    <x v="66"/>
    <x v="183"/>
    <x v="2"/>
    <x v="2"/>
    <x v="1"/>
    <x v="2"/>
    <x v="39"/>
    <x v="330"/>
    <x v="1422"/>
    <x v="0"/>
    <x v="66"/>
    <x v="4"/>
  </r>
  <r>
    <x v="67"/>
    <x v="179"/>
    <x v="7"/>
    <x v="7"/>
    <x v="1"/>
    <x v="2"/>
    <x v="39"/>
    <x v="415"/>
    <x v="1212"/>
    <x v="0"/>
    <x v="67"/>
    <x v="4"/>
  </r>
  <r>
    <x v="67"/>
    <x v="322"/>
    <x v="7"/>
    <x v="7"/>
    <x v="1"/>
    <x v="2"/>
    <x v="39"/>
    <x v="448"/>
    <x v="3550"/>
    <x v="0"/>
    <x v="67"/>
    <x v="4"/>
  </r>
  <r>
    <x v="67"/>
    <x v="171"/>
    <x v="7"/>
    <x v="7"/>
    <x v="1"/>
    <x v="2"/>
    <x v="39"/>
    <x v="429"/>
    <x v="3557"/>
    <x v="0"/>
    <x v="67"/>
    <x v="4"/>
  </r>
  <r>
    <x v="67"/>
    <x v="323"/>
    <x v="8"/>
    <x v="8"/>
    <x v="1"/>
    <x v="2"/>
    <x v="39"/>
    <x v="367"/>
    <x v="3558"/>
    <x v="0"/>
    <x v="67"/>
    <x v="4"/>
  </r>
  <r>
    <x v="67"/>
    <x v="185"/>
    <x v="8"/>
    <x v="8"/>
    <x v="1"/>
    <x v="2"/>
    <x v="39"/>
    <x v="296"/>
    <x v="3366"/>
    <x v="0"/>
    <x v="67"/>
    <x v="4"/>
  </r>
  <r>
    <x v="67"/>
    <x v="263"/>
    <x v="10"/>
    <x v="10"/>
    <x v="1"/>
    <x v="2"/>
    <x v="39"/>
    <x v="436"/>
    <x v="975"/>
    <x v="0"/>
    <x v="67"/>
    <x v="4"/>
  </r>
  <r>
    <x v="67"/>
    <x v="315"/>
    <x v="2"/>
    <x v="2"/>
    <x v="1"/>
    <x v="2"/>
    <x v="39"/>
    <x v="405"/>
    <x v="3343"/>
    <x v="0"/>
    <x v="67"/>
    <x v="4"/>
  </r>
  <r>
    <x v="67"/>
    <x v="229"/>
    <x v="6"/>
    <x v="6"/>
    <x v="1"/>
    <x v="2"/>
    <x v="39"/>
    <x v="281"/>
    <x v="782"/>
    <x v="0"/>
    <x v="67"/>
    <x v="4"/>
  </r>
  <r>
    <x v="68"/>
    <x v="208"/>
    <x v="8"/>
    <x v="8"/>
    <x v="1"/>
    <x v="2"/>
    <x v="39"/>
    <x v="377"/>
    <x v="3559"/>
    <x v="0"/>
    <x v="68"/>
    <x v="4"/>
  </r>
  <r>
    <x v="68"/>
    <x v="331"/>
    <x v="9"/>
    <x v="9"/>
    <x v="1"/>
    <x v="2"/>
    <x v="39"/>
    <x v="391"/>
    <x v="3560"/>
    <x v="0"/>
    <x v="68"/>
    <x v="4"/>
  </r>
  <r>
    <x v="68"/>
    <x v="220"/>
    <x v="11"/>
    <x v="11"/>
    <x v="1"/>
    <x v="2"/>
    <x v="39"/>
    <x v="309"/>
    <x v="3090"/>
    <x v="0"/>
    <x v="68"/>
    <x v="4"/>
  </r>
  <r>
    <x v="68"/>
    <x v="315"/>
    <x v="2"/>
    <x v="2"/>
    <x v="1"/>
    <x v="2"/>
    <x v="39"/>
    <x v="405"/>
    <x v="764"/>
    <x v="0"/>
    <x v="68"/>
    <x v="4"/>
  </r>
  <r>
    <x v="68"/>
    <x v="265"/>
    <x v="6"/>
    <x v="6"/>
    <x v="1"/>
    <x v="2"/>
    <x v="39"/>
    <x v="386"/>
    <x v="492"/>
    <x v="0"/>
    <x v="68"/>
    <x v="4"/>
  </r>
  <r>
    <x v="68"/>
    <x v="335"/>
    <x v="6"/>
    <x v="6"/>
    <x v="1"/>
    <x v="2"/>
    <x v="39"/>
    <x v="408"/>
    <x v="2306"/>
    <x v="0"/>
    <x v="68"/>
    <x v="4"/>
  </r>
  <r>
    <x v="69"/>
    <x v="323"/>
    <x v="8"/>
    <x v="8"/>
    <x v="1"/>
    <x v="2"/>
    <x v="39"/>
    <x v="367"/>
    <x v="3561"/>
    <x v="0"/>
    <x v="69"/>
    <x v="4"/>
  </r>
  <r>
    <x v="69"/>
    <x v="255"/>
    <x v="9"/>
    <x v="9"/>
    <x v="1"/>
    <x v="2"/>
    <x v="39"/>
    <x v="293"/>
    <x v="3562"/>
    <x v="0"/>
    <x v="69"/>
    <x v="4"/>
  </r>
  <r>
    <x v="69"/>
    <x v="220"/>
    <x v="11"/>
    <x v="11"/>
    <x v="1"/>
    <x v="2"/>
    <x v="39"/>
    <x v="309"/>
    <x v="3563"/>
    <x v="0"/>
    <x v="69"/>
    <x v="4"/>
  </r>
  <r>
    <x v="69"/>
    <x v="315"/>
    <x v="2"/>
    <x v="2"/>
    <x v="1"/>
    <x v="2"/>
    <x v="39"/>
    <x v="405"/>
    <x v="3564"/>
    <x v="0"/>
    <x v="69"/>
    <x v="4"/>
  </r>
</pivotCacheRecords>
</file>

<file path=xl/pivotCache/pivotCacheRecords4.xml><?xml version="1.0" encoding="utf-8"?>
<pivotCacheRecords xmlns="http://schemas.openxmlformats.org/spreadsheetml/2006/main" xmlns:r="http://schemas.openxmlformats.org/officeDocument/2006/relationships" count="8161">
  <r>
    <n v="1"/>
    <d v="2018-10-10T00:00:00"/>
    <x v="0"/>
    <x v="0"/>
    <x v="0"/>
    <s v="CAJA"/>
    <s v="PAGO NOMINA QUINCENA 1 OCTUBRE 2018"/>
    <s v="TRANSACCIONES DEL DIA 10/10/2018 RECURSOS HUMANOS"/>
    <n v="15.46"/>
    <n v="0"/>
    <s v="CASA MATRIZ"/>
    <x v="0"/>
  </r>
  <r>
    <n v="1"/>
    <d v="2018-12-31T00:00:00"/>
    <x v="1"/>
    <x v="1"/>
    <x v="0"/>
    <s v="CAJA"/>
    <s v="CIERRE DE ANIO FISCAL"/>
    <s v="CIERRE_DE_CTAS_NOMINALES"/>
    <n v="0"/>
    <n v="275.62"/>
    <s v="CASA MATRIZ"/>
    <x v="0"/>
  </r>
  <r>
    <n v="1"/>
    <d v="2018-06-25T00:00:00"/>
    <x v="2"/>
    <x v="2"/>
    <x v="0"/>
    <s v="SERVICIOS PERSONALES"/>
    <s v="PAGO NOMINA QUINCENA 2 JUNIO 2018"/>
    <s v="TRANSACCIONES DEL DIA 06/25/2018 RECURSOS HUMANOS"/>
    <n v="24.18"/>
    <n v="0"/>
    <s v="CASA MATRIZ"/>
    <x v="0"/>
  </r>
  <r>
    <n v="1"/>
    <d v="2018-08-25T00:00:00"/>
    <x v="3"/>
    <x v="3"/>
    <x v="0"/>
    <s v="SERVICIOS PERSONALES"/>
    <s v="PAGO NOMINA QUINCENA 2 AGOSTO 2018"/>
    <s v="TRANSACCIONES DEL DIA 08/25/2018 RECURSOS HUMANOS"/>
    <n v="55.37"/>
    <n v="0"/>
    <s v="CASA MATRIZ"/>
    <x v="0"/>
  </r>
  <r>
    <n v="1"/>
    <d v="2018-09-25T00:00:00"/>
    <x v="4"/>
    <x v="4"/>
    <x v="0"/>
    <s v="SERVICIOS PERSONALES"/>
    <s v="PAGO NOMINA QUINCENA 2 SEPTIEMBRE 2018"/>
    <s v="TRANSACCIONES DEL DIA 09/25/2018 RECURSOS HUMANOS"/>
    <n v="26.82"/>
    <n v="0"/>
    <s v="CASA MATRIZ"/>
    <x v="0"/>
  </r>
  <r>
    <n v="1"/>
    <d v="2018-10-10T00:00:00"/>
    <x v="0"/>
    <x v="0"/>
    <x v="0"/>
    <s v="SERVICIOS PERSONALES"/>
    <s v="PAGO NOMINA QUINCENA 1 OCTUBRE 2018"/>
    <s v="TRANSACCIONES DEL DIA 10/10/2018 RECURSOS HUMANOS"/>
    <n v="26.82"/>
    <n v="0"/>
    <s v="CASA MATRIZ"/>
    <x v="0"/>
  </r>
  <r>
    <n v="1"/>
    <d v="2018-10-25T00:00:00"/>
    <x v="0"/>
    <x v="0"/>
    <x v="0"/>
    <s v="SERVICIOS PERSONALES"/>
    <s v="PAGO NOMINA QUINCENA 2 OCTUBRE 2018"/>
    <s v="TRANSACCIONES DEL DIA 10/25/2018 RECURSOS HUMANOS"/>
    <n v="83.96"/>
    <n v="0"/>
    <s v="CASA MATRIZ"/>
    <x v="0"/>
  </r>
  <r>
    <n v="1"/>
    <d v="2018-11-24T00:00:00"/>
    <x v="5"/>
    <x v="5"/>
    <x v="0"/>
    <s v="SERVICIOS PERSONALES"/>
    <s v="PAGO NOMINA QUINCENA 2 NOVIEMBRE 2018"/>
    <s v="TRANSACCIONES DEL DIA 11/24/2018 RECURSOS HUMANOS"/>
    <n v="81.67"/>
    <n v="0"/>
    <s v="CASA MATRIZ"/>
    <x v="0"/>
  </r>
  <r>
    <n v="1"/>
    <d v="2018-12-31T00:00:00"/>
    <x v="1"/>
    <x v="1"/>
    <x v="0"/>
    <s v="SERVICIOS PERSONALES"/>
    <s v="CIERRE DE ANIO FISCAL"/>
    <s v="CIERRE_DE_CTAS_NOMINALES"/>
    <n v="0"/>
    <n v="298.82"/>
    <s v="CASA MATRIZ"/>
    <x v="0"/>
  </r>
  <r>
    <n v="2"/>
    <d v="2018-06-09T00:00:00"/>
    <x v="2"/>
    <x v="2"/>
    <x v="0"/>
    <s v="ADMINISTRACION DE SUCURSALES"/>
    <s v="PAGO NOMINA QUINCENA 1 JUNIO 2018"/>
    <s v="TRANSACCIONES DEL DIA 06/09/2018 RECURSOS HUMANOS"/>
    <n v="54.12"/>
    <n v="0"/>
    <s v="PAITILLA"/>
    <x v="0"/>
  </r>
  <r>
    <n v="2"/>
    <d v="2018-08-25T00:00:00"/>
    <x v="3"/>
    <x v="3"/>
    <x v="0"/>
    <s v="ADMINISTRACION DE SUCURSALES"/>
    <s v="PAGO NOMINA QUINCENA 2 AGOSTO 2018"/>
    <s v="TRANSACCIONES DEL DIA 08/25/2018 RECURSOS HUMANOS"/>
    <n v="73.349999999999994"/>
    <n v="0"/>
    <s v="PAITILLA"/>
    <x v="0"/>
  </r>
  <r>
    <n v="2"/>
    <d v="2018-10-25T00:00:00"/>
    <x v="0"/>
    <x v="0"/>
    <x v="0"/>
    <s v="ADMINISTRACION DE SUCURSALES"/>
    <s v="PAGO NOMINA QUINCENA 2 OCTUBRE 2018"/>
    <s v="TRANSACCIONES DEL DIA 10/25/2018 RECURSOS HUMANOS"/>
    <n v="71.12"/>
    <n v="0"/>
    <s v="PAITILLA"/>
    <x v="0"/>
  </r>
  <r>
    <n v="2"/>
    <d v="2018-12-19T00:00:00"/>
    <x v="1"/>
    <x v="1"/>
    <x v="0"/>
    <s v="ADMINISTRACION DE SUCURSALES"/>
    <s v="PAGO NOMINA QUINCENA 2 DICIEMBRE 2018"/>
    <s v="TRANSACCIONES DEL DIA 12/19/2018 RECURSOS HUMANOS"/>
    <n v="150.84"/>
    <n v="0"/>
    <s v="PAITILLA"/>
    <x v="0"/>
  </r>
  <r>
    <n v="2"/>
    <d v="2018-12-31T00:00:00"/>
    <x v="1"/>
    <x v="1"/>
    <x v="0"/>
    <s v="ADMINISTRACION DE SUCURSALES"/>
    <s v="CIERRE DE ANIO FISCAL"/>
    <s v="CIERRE_DE_CTAS_NOMINALES"/>
    <n v="0"/>
    <n v="981.18"/>
    <s v="PAITILLA"/>
    <x v="0"/>
  </r>
  <r>
    <n v="2"/>
    <d v="2018-07-10T00:00:00"/>
    <x v="6"/>
    <x v="6"/>
    <x v="0"/>
    <s v="CAJA"/>
    <s v="PAGO NOMINA QUINCENA 1 JULIO 2018"/>
    <s v="TRANSACCIONES DEL DIA 07/10/2018 RECURSOS HUMANOS"/>
    <n v="23.77"/>
    <n v="0"/>
    <s v="PAITILLA"/>
    <x v="0"/>
  </r>
  <r>
    <n v="2"/>
    <d v="2018-08-10T00:00:00"/>
    <x v="3"/>
    <x v="3"/>
    <x v="0"/>
    <s v="CAJA"/>
    <s v="PAGO NOMINA QUINCENA 1 AGOSTO 2018"/>
    <s v="TRANSACCIONES DEL DIA 08/10/2018 RECURSOS HUMANOS"/>
    <n v="25.11"/>
    <n v="0"/>
    <s v="PAITILLA"/>
    <x v="0"/>
  </r>
  <r>
    <n v="2"/>
    <d v="2018-08-25T00:00:00"/>
    <x v="3"/>
    <x v="3"/>
    <x v="0"/>
    <s v="CAJA"/>
    <s v="PAGO NOMINA QUINCENA 2 AGOSTO 2018"/>
    <s v="TRANSACCIONES DEL DIA 08/25/2018 RECURSOS HUMANOS"/>
    <n v="12.79"/>
    <n v="0"/>
    <s v="PAITILLA"/>
    <x v="0"/>
  </r>
  <r>
    <n v="2"/>
    <d v="2018-09-25T00:00:00"/>
    <x v="4"/>
    <x v="4"/>
    <x v="0"/>
    <s v="CAJA"/>
    <s v="PAGO NOMINA QUINCENA 2 SEPTIEMBRE 2018"/>
    <s v="TRANSACCIONES DEL DIA 09/25/2018 RECURSOS HUMANOS"/>
    <n v="31.39"/>
    <n v="0"/>
    <s v="PAITILLA"/>
    <x v="0"/>
  </r>
  <r>
    <n v="2"/>
    <d v="2018-10-10T00:00:00"/>
    <x v="0"/>
    <x v="0"/>
    <x v="0"/>
    <s v="CAJA"/>
    <s v="PAGO NOMINA QUINCENA 1 OCTUBRE 2018"/>
    <s v="TRANSACCIONES DEL DIA 10/10/2018 RECURSOS HUMANOS"/>
    <n v="23.9"/>
    <n v="0"/>
    <s v="PAITILLA"/>
    <x v="0"/>
  </r>
  <r>
    <n v="2"/>
    <d v="2018-12-31T00:00:00"/>
    <x v="1"/>
    <x v="1"/>
    <x v="0"/>
    <s v="CAJA"/>
    <s v="CIERRE DE ANIO FISCAL"/>
    <s v="CIERRE_DE_CTAS_NOMINALES"/>
    <n v="0"/>
    <n v="142.80000000000001"/>
    <s v="PAITILLA"/>
    <x v="0"/>
  </r>
  <r>
    <n v="2"/>
    <d v="2018-12-31T00:00:00"/>
    <x v="1"/>
    <x v="1"/>
    <x v="0"/>
    <s v="SERVICIOS PERSONALES"/>
    <s v="CIERRE DE ANIO FISCAL"/>
    <s v="CIERRE_DE_CTAS_NOMINALES"/>
    <n v="0"/>
    <n v="23.32"/>
    <s v="PAITILLA"/>
    <x v="0"/>
  </r>
  <r>
    <n v="3"/>
    <d v="2018-07-25T00:00:00"/>
    <x v="6"/>
    <x v="6"/>
    <x v="0"/>
    <s v="CAJA"/>
    <s v="PAGO NOMINA QUINCENA 2 JULIO 2018"/>
    <s v="TRANSACCIONES DEL DIA 07/25/2018 RECURSOS HUMANOS"/>
    <n v="38.840000000000003"/>
    <n v="0"/>
    <s v="EL DORADO"/>
    <x v="0"/>
  </r>
  <r>
    <n v="3"/>
    <d v="2018-08-25T00:00:00"/>
    <x v="3"/>
    <x v="3"/>
    <x v="0"/>
    <s v="CAJA"/>
    <s v="PAGO NOMINA QUINCENA 2 AGOSTO 2018"/>
    <s v="TRANSACCIONES DEL DIA 08/25/2018 RECURSOS HUMANOS"/>
    <n v="60.69"/>
    <n v="0"/>
    <s v="EL DORADO"/>
    <x v="0"/>
  </r>
  <r>
    <n v="3"/>
    <d v="2018-09-25T00:00:00"/>
    <x v="4"/>
    <x v="4"/>
    <x v="0"/>
    <s v="CAJA"/>
    <s v="PAGO NOMINA QUINCENA 2 SEPTIEMBRE 2018"/>
    <s v="TRANSACCIONES DEL DIA 09/25/2018 RECURSOS HUMANOS"/>
    <n v="83.09"/>
    <n v="0"/>
    <s v="EL DORADO"/>
    <x v="0"/>
  </r>
  <r>
    <n v="3"/>
    <d v="2018-10-25T00:00:00"/>
    <x v="0"/>
    <x v="0"/>
    <x v="0"/>
    <s v="CAJA"/>
    <s v="PAGO NOMINA QUINCENA 2 OCTUBRE 2018"/>
    <s v="TRANSACCIONES DEL DIA 10/25/2018 RECURSOS HUMANOS"/>
    <n v="29.39"/>
    <n v="0"/>
    <s v="EL DORADO"/>
    <x v="0"/>
  </r>
  <r>
    <n v="3"/>
    <d v="2018-12-31T00:00:00"/>
    <x v="1"/>
    <x v="1"/>
    <x v="0"/>
    <s v="CAJA"/>
    <s v="CIERRE DE ANIO FISCAL"/>
    <s v="CIERRE_DE_CTAS_NOMINALES"/>
    <n v="0"/>
    <n v="667.86"/>
    <s v="EL DORADO"/>
    <x v="0"/>
  </r>
  <r>
    <n v="3"/>
    <d v="2018-12-31T00:00:00"/>
    <x v="1"/>
    <x v="1"/>
    <x v="0"/>
    <s v="SERVICIOS PERSONALES"/>
    <s v="CIERRE DE ANIO FISCAL"/>
    <s v="CIERRE_DE_CTAS_NOMINALES"/>
    <n v="0"/>
    <n v="29.35"/>
    <s v="EL DORADO"/>
    <x v="0"/>
  </r>
  <r>
    <n v="4"/>
    <d v="2018-12-31T00:00:00"/>
    <x v="1"/>
    <x v="1"/>
    <x v="0"/>
    <s v="CAJA"/>
    <s v="CIERRE DE ANIO FISCAL"/>
    <s v="CIERRE_DE_CTAS_NOMINALES"/>
    <n v="0"/>
    <n v="243.28"/>
    <s v="VIA ARGENTINA"/>
    <x v="0"/>
  </r>
  <r>
    <n v="4"/>
    <d v="2018-12-31T00:00:00"/>
    <x v="1"/>
    <x v="1"/>
    <x v="0"/>
    <s v="SERVICIOS PERSONALES"/>
    <s v="CIERRE DE ANIO FISCAL"/>
    <s v="CIERRE_DE_CTAS_NOMINALES"/>
    <n v="0"/>
    <n v="27.32"/>
    <s v="VIA ARGENTINA"/>
    <x v="0"/>
  </r>
  <r>
    <n v="5"/>
    <d v="2018-06-25T00:00:00"/>
    <x v="2"/>
    <x v="2"/>
    <x v="0"/>
    <s v="ADMINISTRACION DE SUCURSALES"/>
    <s v="PAGO NOMINA QUINCENA 2 JUNIO 2018"/>
    <s v="TRANSACCIONES DEL DIA 06/25/2018 RECURSOS HUMANOS"/>
    <n v="101.33"/>
    <n v="0"/>
    <s v="VIA PORRAS"/>
    <x v="0"/>
  </r>
  <r>
    <n v="5"/>
    <d v="2018-07-25T00:00:00"/>
    <x v="6"/>
    <x v="6"/>
    <x v="0"/>
    <s v="ADMINISTRACION DE SUCURSALES"/>
    <s v="PAGO NOMINA QUINCENA 2 JULIO 2018"/>
    <s v="TRANSACCIONES DEL DIA 07/25/2018 RECURSOS HUMANOS"/>
    <n v="45.24"/>
    <n v="0"/>
    <s v="VIA PORRAS"/>
    <x v="0"/>
  </r>
  <r>
    <n v="5"/>
    <d v="2018-09-10T00:00:00"/>
    <x v="4"/>
    <x v="4"/>
    <x v="0"/>
    <s v="ADMINISTRACION DE SUCURSALES"/>
    <s v="PAGO NOMINA QUINCENA 1 SEPTIEMBRE 2018"/>
    <s v="TRANSACCIONES DEL DIA 09/10/2018 RECURSOS HUMANOS"/>
    <n v="268.72000000000003"/>
    <n v="0"/>
    <s v="VIA PORRAS"/>
    <x v="0"/>
  </r>
  <r>
    <n v="5"/>
    <d v="2018-10-10T00:00:00"/>
    <x v="0"/>
    <x v="0"/>
    <x v="0"/>
    <s v="ADMINISTRACION DE SUCURSALES"/>
    <s v="PAGO NOMINA QUINCENA 1 OCTUBRE 2018"/>
    <s v="TRANSACCIONES DEL DIA 10/10/2018 RECURSOS HUMANOS"/>
    <n v="439.17"/>
    <n v="0"/>
    <s v="VIA PORRAS"/>
    <x v="0"/>
  </r>
  <r>
    <n v="5"/>
    <d v="2018-11-09T00:00:00"/>
    <x v="5"/>
    <x v="5"/>
    <x v="0"/>
    <s v="ADMINISTRACION DE SUCURSALES"/>
    <s v="PAGO NOMINA QUINCENA 1 NOVIEMBRE 2018"/>
    <s v="TRANSACCIONES DEL DIA 11/09/2018 RECURSOS HUMANOS"/>
    <n v="15.88"/>
    <n v="0"/>
    <s v="VIA PORRAS"/>
    <x v="0"/>
  </r>
  <r>
    <n v="5"/>
    <d v="2018-11-24T00:00:00"/>
    <x v="5"/>
    <x v="5"/>
    <x v="0"/>
    <s v="ADMINISTRACION DE SUCURSALES"/>
    <s v="PAGO NOMINA QUINCENA 2 NOVIEMBRE 2018"/>
    <s v="TRANSACCIONES DEL DIA 11/24/2018 RECURSOS HUMANOS"/>
    <n v="83.42"/>
    <n v="0"/>
    <s v="VIA PORRAS"/>
    <x v="0"/>
  </r>
  <r>
    <n v="5"/>
    <d v="2018-12-10T00:00:00"/>
    <x v="1"/>
    <x v="1"/>
    <x v="0"/>
    <s v="ADMINISTRACION DE SUCURSALES"/>
    <s v="PAGO NOMINA QUINCENA 1 DICIEMBRE 2018"/>
    <s v="TRANSACCIONES DEL DIA 12/10/2018 RECURSOS HUMANOS"/>
    <n v="138.41"/>
    <n v="0"/>
    <s v="VIA PORRAS"/>
    <x v="0"/>
  </r>
  <r>
    <n v="5"/>
    <d v="2018-12-31T00:00:00"/>
    <x v="1"/>
    <x v="1"/>
    <x v="0"/>
    <s v="ADMINISTRACION DE SUCURSALES"/>
    <s v="CIERRE DE ANIO FISCAL"/>
    <s v="CIERRE_DE_CTAS_NOMINALES"/>
    <n v="0"/>
    <n v="1938.67"/>
    <s v="VIA PORRAS"/>
    <x v="0"/>
  </r>
  <r>
    <n v="5"/>
    <d v="2018-06-09T00:00:00"/>
    <x v="2"/>
    <x v="2"/>
    <x v="0"/>
    <s v="CAJA"/>
    <s v="PAGO NOMINA QUINCENA 1 JUNIO 2018"/>
    <s v="TRANSACCIONES DEL DIA 06/09/2018 RECURSOS HUMANOS"/>
    <n v="941.68"/>
    <n v="0"/>
    <s v="VIA PORRAS"/>
    <x v="0"/>
  </r>
  <r>
    <n v="5"/>
    <d v="2018-06-25T00:00:00"/>
    <x v="2"/>
    <x v="2"/>
    <x v="0"/>
    <s v="CAJA"/>
    <s v="PAGO NOMINA QUINCENA 2 JUNIO 2018"/>
    <s v="TRANSACCIONES DEL DIA 06/25/2018 RECURSOS HUMANOS"/>
    <n v="927.86"/>
    <n v="0"/>
    <s v="VIA PORRAS"/>
    <x v="0"/>
  </r>
  <r>
    <n v="5"/>
    <d v="2018-07-10T00:00:00"/>
    <x v="6"/>
    <x v="6"/>
    <x v="0"/>
    <s v="CAJA"/>
    <s v="PAGO NOMINA QUINCENA 1 JULIO 2018"/>
    <s v="TRANSACCIONES DEL DIA 07/10/2018 RECURSOS HUMANOS"/>
    <n v="717.88"/>
    <n v="0"/>
    <s v="VIA PORRAS"/>
    <x v="0"/>
  </r>
  <r>
    <n v="5"/>
    <d v="2018-07-25T00:00:00"/>
    <x v="6"/>
    <x v="6"/>
    <x v="0"/>
    <s v="CAJA"/>
    <s v="PAGO NOMINA QUINCENA 2 JULIO 2018"/>
    <s v="TRANSACCIONES DEL DIA 07/25/2018 RECURSOS HUMANOS"/>
    <n v="679.01"/>
    <n v="0"/>
    <s v="VIA PORRAS"/>
    <x v="0"/>
  </r>
  <r>
    <n v="5"/>
    <d v="2018-08-10T00:00:00"/>
    <x v="3"/>
    <x v="3"/>
    <x v="0"/>
    <s v="CAJA"/>
    <s v="PAGO NOMINA QUINCENA 1 AGOSTO 2018"/>
    <s v="TRANSACCIONES DEL DIA 08/10/2018 RECURSOS HUMANOS"/>
    <n v="639.87"/>
    <n v="0"/>
    <s v="VIA PORRAS"/>
    <x v="0"/>
  </r>
  <r>
    <n v="5"/>
    <d v="2018-08-25T00:00:00"/>
    <x v="3"/>
    <x v="3"/>
    <x v="0"/>
    <s v="CAJA"/>
    <s v="PAGO NOMINA QUINCENA 2 AGOSTO 2018"/>
    <s v="TRANSACCIONES DEL DIA 08/25/2018 RECURSOS HUMANOS"/>
    <n v="938.84"/>
    <n v="0"/>
    <s v="VIA PORRAS"/>
    <x v="0"/>
  </r>
  <r>
    <n v="5"/>
    <d v="2018-09-10T00:00:00"/>
    <x v="4"/>
    <x v="4"/>
    <x v="0"/>
    <s v="CAJA"/>
    <s v="PAGO NOMINA QUINCENA 1 SEPTIEMBRE 2018"/>
    <s v="TRANSACCIONES DEL DIA 09/10/2018 RECURSOS HUMANOS"/>
    <n v="751.63"/>
    <n v="0"/>
    <s v="VIA PORRAS"/>
    <x v="0"/>
  </r>
  <r>
    <n v="5"/>
    <d v="2018-09-25T00:00:00"/>
    <x v="4"/>
    <x v="4"/>
    <x v="0"/>
    <s v="CAJA"/>
    <s v="PAGO NOMINA QUINCENA 2 SEPTIEMBRE 2018"/>
    <s v="TRANSACCIONES DEL DIA 09/25/2018 RECURSOS HUMANOS"/>
    <n v="1220.46"/>
    <n v="0"/>
    <s v="VIA PORRAS"/>
    <x v="0"/>
  </r>
  <r>
    <n v="5"/>
    <d v="2018-10-10T00:00:00"/>
    <x v="0"/>
    <x v="0"/>
    <x v="0"/>
    <s v="CAJA"/>
    <s v="PAGO NOMINA QUINCENA 1 OCTUBRE 2018"/>
    <s v="TRANSACCIONES DEL DIA 10/10/2018 RECURSOS HUMANOS"/>
    <n v="686.59"/>
    <n v="0"/>
    <s v="VIA PORRAS"/>
    <x v="0"/>
  </r>
  <r>
    <n v="5"/>
    <d v="2018-10-25T00:00:00"/>
    <x v="0"/>
    <x v="0"/>
    <x v="0"/>
    <s v="CAJA"/>
    <s v="PAGO NOMINA QUINCENA 2 OCTUBRE 2018"/>
    <s v="TRANSACCIONES DEL DIA 10/25/2018 RECURSOS HUMANOS"/>
    <n v="578.47"/>
    <n v="0"/>
    <s v="VIA PORRAS"/>
    <x v="0"/>
  </r>
  <r>
    <n v="5"/>
    <d v="2018-11-09T00:00:00"/>
    <x v="5"/>
    <x v="5"/>
    <x v="0"/>
    <s v="CAJA"/>
    <s v="PAGO NOMINA QUINCENA 1 NOVIEMBRE 2018"/>
    <s v="TRANSACCIONES DEL DIA 11/09/2018 RECURSOS HUMANOS"/>
    <n v="940.44"/>
    <n v="0"/>
    <s v="VIA PORRAS"/>
    <x v="0"/>
  </r>
  <r>
    <n v="5"/>
    <d v="2018-11-24T00:00:00"/>
    <x v="5"/>
    <x v="5"/>
    <x v="0"/>
    <s v="CAJA"/>
    <s v="PAGO NOMINA QUINCENA 2 NOVIEMBRE 2018"/>
    <s v="TRANSACCIONES DEL DIA 11/24/2018 RECURSOS HUMANOS"/>
    <n v="784.57"/>
    <n v="0"/>
    <s v="VIA PORRAS"/>
    <x v="0"/>
  </r>
  <r>
    <n v="5"/>
    <d v="2018-12-10T00:00:00"/>
    <x v="1"/>
    <x v="1"/>
    <x v="0"/>
    <s v="CAJA"/>
    <s v="PAGO NOMINA QUINCENA 1 DICIEMBRE 2018"/>
    <s v="TRANSACCIONES DEL DIA 12/10/2018 RECURSOS HUMANOS"/>
    <n v="492.62"/>
    <n v="0"/>
    <s v="VIA PORRAS"/>
    <x v="0"/>
  </r>
  <r>
    <n v="5"/>
    <d v="2018-12-19T00:00:00"/>
    <x v="1"/>
    <x v="1"/>
    <x v="0"/>
    <s v="CAJA"/>
    <s v="PAGO NOMINA QUINCENA 2 DICIEMBRE 2018"/>
    <s v="TRANSACCIONES DEL DIA 12/19/2018 RECURSOS HUMANOS"/>
    <n v="728.85"/>
    <n v="0"/>
    <s v="VIA PORRAS"/>
    <x v="0"/>
  </r>
  <r>
    <n v="5"/>
    <d v="2018-12-31T00:00:00"/>
    <x v="1"/>
    <x v="1"/>
    <x v="0"/>
    <s v="CAJA"/>
    <s v="CIERRE DE ANIO FISCAL"/>
    <s v="CIERRE_DE_CTAS_NOMINALES"/>
    <n v="0"/>
    <n v="18084.27"/>
    <s v="VIA PORRAS"/>
    <x v="0"/>
  </r>
  <r>
    <n v="5"/>
    <d v="2018-06-09T00:00:00"/>
    <x v="2"/>
    <x v="2"/>
    <x v="0"/>
    <s v="SERVICIOS PERSONALES"/>
    <s v="PAGO NOMINA QUINCENA 1 JUNIO 2018"/>
    <s v="TRANSACCIONES DEL DIA 06/09/2018 RECURSOS HUMANOS"/>
    <n v="31.74"/>
    <n v="0"/>
    <s v="VIA PORRAS"/>
    <x v="0"/>
  </r>
  <r>
    <n v="5"/>
    <d v="2018-06-25T00:00:00"/>
    <x v="2"/>
    <x v="2"/>
    <x v="0"/>
    <s v="SERVICIOS PERSONALES"/>
    <s v="PAGO NOMINA QUINCENA 2 JUNIO 2018"/>
    <s v="TRANSACCIONES DEL DIA 06/25/2018 RECURSOS HUMANOS"/>
    <n v="33.28"/>
    <n v="0"/>
    <s v="VIA PORRAS"/>
    <x v="0"/>
  </r>
  <r>
    <n v="5"/>
    <d v="2018-07-25T00:00:00"/>
    <x v="6"/>
    <x v="6"/>
    <x v="0"/>
    <s v="SERVICIOS PERSONALES"/>
    <s v="PAGO NOMINA QUINCENA 2 JULIO 2018"/>
    <s v="TRANSACCIONES DEL DIA 07/25/2018 RECURSOS HUMANOS"/>
    <n v="6.31"/>
    <n v="0"/>
    <s v="VIA PORRAS"/>
    <x v="0"/>
  </r>
  <r>
    <n v="5"/>
    <d v="2018-08-25T00:00:00"/>
    <x v="3"/>
    <x v="3"/>
    <x v="0"/>
    <s v="SERVICIOS PERSONALES"/>
    <s v="PAGO NOMINA QUINCENA 2 AGOSTO 2018"/>
    <s v="TRANSACCIONES DEL DIA 08/25/2018 RECURSOS HUMANOS"/>
    <n v="30.92"/>
    <n v="0"/>
    <s v="VIA PORRAS"/>
    <x v="0"/>
  </r>
  <r>
    <n v="5"/>
    <d v="2018-09-10T00:00:00"/>
    <x v="4"/>
    <x v="4"/>
    <x v="0"/>
    <s v="SERVICIOS PERSONALES"/>
    <s v="PAGO NOMINA QUINCENA 1 SEPTIEMBRE 2018"/>
    <s v="TRANSACCIONES DEL DIA 09/10/2018 RECURSOS HUMANOS"/>
    <n v="58.09"/>
    <n v="0"/>
    <s v="VIA PORRAS"/>
    <x v="0"/>
  </r>
  <r>
    <n v="5"/>
    <d v="2018-09-25T00:00:00"/>
    <x v="4"/>
    <x v="4"/>
    <x v="0"/>
    <s v="SERVICIOS PERSONALES"/>
    <s v="PAGO NOMINA QUINCENA 2 SEPTIEMBRE 2018"/>
    <s v="TRANSACCIONES DEL DIA 09/25/2018 RECURSOS HUMANOS"/>
    <n v="12.87"/>
    <n v="0"/>
    <s v="VIA PORRAS"/>
    <x v="0"/>
  </r>
  <r>
    <n v="5"/>
    <d v="2018-11-09T00:00:00"/>
    <x v="5"/>
    <x v="5"/>
    <x v="0"/>
    <s v="SERVICIOS PERSONALES"/>
    <s v="PAGO NOMINA QUINCENA 1 NOVIEMBRE 2018"/>
    <s v="TRANSACCIONES DEL DIA 11/09/2018 RECURSOS HUMANOS"/>
    <n v="15.84"/>
    <n v="0"/>
    <s v="VIA PORRAS"/>
    <x v="0"/>
  </r>
  <r>
    <n v="5"/>
    <d v="2018-11-24T00:00:00"/>
    <x v="5"/>
    <x v="5"/>
    <x v="0"/>
    <s v="SERVICIOS PERSONALES"/>
    <s v="PAGO NOMINA QUINCENA 2 NOVIEMBRE 2018"/>
    <s v="TRANSACCIONES DEL DIA 11/24/2018 RECURSOS HUMANOS"/>
    <n v="13.67"/>
    <n v="0"/>
    <s v="VIA PORRAS"/>
    <x v="0"/>
  </r>
  <r>
    <n v="5"/>
    <d v="2018-12-10T00:00:00"/>
    <x v="1"/>
    <x v="1"/>
    <x v="0"/>
    <s v="SERVICIOS PERSONALES"/>
    <s v="PAGO NOMINA QUINCENA 1 DICIEMBRE 2018"/>
    <s v="TRANSACCIONES DEL DIA 12/10/2018 RECURSOS HUMANOS"/>
    <n v="6.94"/>
    <n v="0"/>
    <s v="VIA PORRAS"/>
    <x v="0"/>
  </r>
  <r>
    <n v="5"/>
    <d v="2018-12-31T00:00:00"/>
    <x v="1"/>
    <x v="1"/>
    <x v="0"/>
    <s v="SERVICIOS PERSONALES"/>
    <s v="CIERRE DE ANIO FISCAL"/>
    <s v="CIERRE_DE_CTAS_NOMINALES"/>
    <n v="0"/>
    <n v="221.6"/>
    <s v="VIA PORRAS"/>
    <x v="0"/>
  </r>
  <r>
    <n v="6"/>
    <d v="2018-08-25T00:00:00"/>
    <x v="3"/>
    <x v="3"/>
    <x v="0"/>
    <s v="ADMINISTRACION DE SUCURSALES"/>
    <s v="PAGO NOMINA QUINCENA 2 AGOSTO 2018"/>
    <s v="TRANSACCIONES DEL DIA 08/25/2018 RECURSOS HUMANOS"/>
    <n v="49.82"/>
    <n v="0"/>
    <s v="EL INGENIO"/>
    <x v="0"/>
  </r>
  <r>
    <n v="6"/>
    <d v="2018-12-31T00:00:00"/>
    <x v="1"/>
    <x v="1"/>
    <x v="0"/>
    <s v="ADMINISTRACION DE SUCURSALES"/>
    <s v="CIERRE DE ANIO FISCAL"/>
    <s v="CIERRE_DE_CTAS_NOMINALES"/>
    <n v="0"/>
    <n v="49.82"/>
    <s v="EL INGENIO"/>
    <x v="0"/>
  </r>
  <r>
    <n v="6"/>
    <d v="2018-08-25T00:00:00"/>
    <x v="3"/>
    <x v="3"/>
    <x v="0"/>
    <s v="CAJA"/>
    <s v="PAGO NOMINA QUINCENA 2 AGOSTO 2018"/>
    <s v="TRANSACCIONES DEL DIA 08/25/2018 RECURSOS HUMANOS"/>
    <n v="25.14"/>
    <n v="0"/>
    <s v="EL INGENIO"/>
    <x v="0"/>
  </r>
  <r>
    <n v="6"/>
    <d v="2018-12-31T00:00:00"/>
    <x v="1"/>
    <x v="1"/>
    <x v="0"/>
    <s v="CAJA"/>
    <s v="CIERRE DE ANIO FISCAL"/>
    <s v="CIERRE_DE_CTAS_NOMINALES"/>
    <n v="0"/>
    <n v="219.53"/>
    <s v="EL INGENIO"/>
    <x v="0"/>
  </r>
  <r>
    <n v="6"/>
    <d v="2018-12-31T00:00:00"/>
    <x v="1"/>
    <x v="1"/>
    <x v="0"/>
    <s v="SERVICIOS PERSONALES"/>
    <s v="CIERRE DE ANIO FISCAL"/>
    <s v="CIERRE_DE_CTAS_NOMINALES"/>
    <n v="0"/>
    <n v="26.49"/>
    <s v="EL INGENIO"/>
    <x v="0"/>
  </r>
  <r>
    <n v="7"/>
    <d v="2018-10-25T00:00:00"/>
    <x v="0"/>
    <x v="0"/>
    <x v="0"/>
    <s v="ADMINISTRACION DE SUCURSALES"/>
    <s v="PAGO NOMINA QUINCENA 2 OCTUBRE 2018"/>
    <s v="TRANSACCIONES DEL DIA 10/25/2018 RECURSOS HUMANOS"/>
    <n v="53.39"/>
    <n v="0"/>
    <s v="CHANIS"/>
    <x v="0"/>
  </r>
  <r>
    <n v="7"/>
    <d v="2018-12-31T00:00:00"/>
    <x v="1"/>
    <x v="1"/>
    <x v="0"/>
    <s v="ADMINISTRACION DE SUCURSALES"/>
    <s v="CIERRE DE ANIO FISCAL"/>
    <s v="CIERRE_DE_CTAS_NOMINALES"/>
    <n v="0"/>
    <n v="53.39"/>
    <s v="CHANIS"/>
    <x v="0"/>
  </r>
  <r>
    <n v="7"/>
    <d v="2018-09-25T00:00:00"/>
    <x v="4"/>
    <x v="4"/>
    <x v="0"/>
    <s v="CAJA"/>
    <s v="PAGO NOMINA QUINCENA 2 SEPTIEMBRE 2018"/>
    <s v="TRANSACCIONES DEL DIA 09/25/2018 RECURSOS HUMANOS"/>
    <n v="17"/>
    <n v="0"/>
    <s v="CHANIS"/>
    <x v="0"/>
  </r>
  <r>
    <n v="7"/>
    <d v="2018-12-19T00:00:00"/>
    <x v="1"/>
    <x v="1"/>
    <x v="0"/>
    <s v="CAJA"/>
    <s v="PAGO NOMINA QUINCENA 2 DICIEMBRE 2018"/>
    <s v="TRANSACCIONES DEL DIA 12/19/2018 RECURSOS HUMANOS"/>
    <n v="18.77"/>
    <n v="0"/>
    <s v="CHANIS"/>
    <x v="0"/>
  </r>
  <r>
    <n v="7"/>
    <d v="2018-12-31T00:00:00"/>
    <x v="1"/>
    <x v="1"/>
    <x v="0"/>
    <s v="CAJA"/>
    <s v="CIERRE DE ANIO FISCAL"/>
    <s v="CIERRE_DE_CTAS_NOMINALES"/>
    <n v="0"/>
    <n v="221.7"/>
    <s v="CHANIS"/>
    <x v="0"/>
  </r>
  <r>
    <n v="7"/>
    <d v="2018-07-25T00:00:00"/>
    <x v="6"/>
    <x v="6"/>
    <x v="0"/>
    <s v="SERVICIOS PERSONALES"/>
    <s v="PAGO NOMINA QUINCENA 2 JULIO 2018"/>
    <s v="TRANSACCIONES DEL DIA 07/25/2018 RECURSOS HUMANOS"/>
    <n v="17.649999999999999"/>
    <n v="0"/>
    <s v="CHANIS"/>
    <x v="0"/>
  </r>
  <r>
    <n v="7"/>
    <d v="2018-12-31T00:00:00"/>
    <x v="1"/>
    <x v="1"/>
    <x v="0"/>
    <s v="SERVICIOS PERSONALES"/>
    <s v="CIERRE DE ANIO FISCAL"/>
    <s v="CIERRE_DE_CTAS_NOMINALES"/>
    <n v="0"/>
    <n v="17.649999999999999"/>
    <s v="CHANIS"/>
    <x v="0"/>
  </r>
  <r>
    <n v="8"/>
    <d v="2018-12-31T00:00:00"/>
    <x v="1"/>
    <x v="1"/>
    <x v="0"/>
    <s v="ADMINISTRACION DE SUCURSALES"/>
    <s v="CIERRE DE ANIO FISCAL"/>
    <s v="CIERRE_DE_CTAS_NOMINALES"/>
    <n v="0"/>
    <n v="703.1"/>
    <s v="PLAZA TOCUMEN"/>
    <x v="0"/>
  </r>
  <r>
    <n v="8"/>
    <d v="2018-06-25T00:00:00"/>
    <x v="2"/>
    <x v="2"/>
    <x v="0"/>
    <s v="CAJA"/>
    <s v="PAGO NOMINA QUINCENA 2 JUNIO 2018"/>
    <s v="TRANSACCIONES DEL DIA 06/25/2018 RECURSOS HUMANOS"/>
    <n v="21.74"/>
    <n v="0"/>
    <s v="PLAZA TOCUMEN"/>
    <x v="0"/>
  </r>
  <r>
    <n v="8"/>
    <d v="2018-12-31T00:00:00"/>
    <x v="1"/>
    <x v="1"/>
    <x v="0"/>
    <s v="CAJA"/>
    <s v="CIERRE DE ANIO FISCAL"/>
    <s v="CIERRE_DE_CTAS_NOMINALES"/>
    <n v="0"/>
    <n v="121.12"/>
    <s v="PLAZA TOCUMEN"/>
    <x v="0"/>
  </r>
  <r>
    <n v="8"/>
    <d v="2018-08-10T00:00:00"/>
    <x v="3"/>
    <x v="3"/>
    <x v="0"/>
    <s v="SERVICIOS PERSONALES"/>
    <s v="PAGO NOMINA QUINCENA 1 AGOSTO 2018"/>
    <s v="TRANSACCIONES DEL DIA 08/10/2018 RECURSOS HUMANOS"/>
    <n v="52.73"/>
    <n v="0"/>
    <s v="PLAZA TOCUMEN"/>
    <x v="0"/>
  </r>
  <r>
    <n v="8"/>
    <d v="2018-10-10T00:00:00"/>
    <x v="0"/>
    <x v="0"/>
    <x v="0"/>
    <s v="SERVICIOS PERSONALES"/>
    <s v="PAGO NOMINA QUINCENA 1 OCTUBRE 2018"/>
    <s v="TRANSACCIONES DEL DIA 10/10/2018 RECURSOS HUMANOS"/>
    <n v="39.39"/>
    <n v="0"/>
    <s v="PLAZA TOCUMEN"/>
    <x v="0"/>
  </r>
  <r>
    <n v="8"/>
    <d v="2018-12-31T00:00:00"/>
    <x v="1"/>
    <x v="1"/>
    <x v="0"/>
    <s v="SERVICIOS PERSONALES"/>
    <s v="CIERRE DE ANIO FISCAL"/>
    <s v="CIERRE_DE_CTAS_NOMINALES"/>
    <n v="0"/>
    <n v="92.12"/>
    <s v="PLAZA TOCUMEN"/>
    <x v="0"/>
  </r>
  <r>
    <n v="9"/>
    <d v="2018-08-25T00:00:00"/>
    <x v="3"/>
    <x v="3"/>
    <x v="0"/>
    <s v="CAJA"/>
    <s v="PAGO NOMINA QUINCENA 2 AGOSTO 2018"/>
    <s v="TRANSACCIONES DEL DIA 08/25/2018 RECURSOS HUMANOS"/>
    <n v="6.66"/>
    <n v="0"/>
    <s v="SANTIAGO"/>
    <x v="0"/>
  </r>
  <r>
    <n v="9"/>
    <d v="2018-10-10T00:00:00"/>
    <x v="0"/>
    <x v="0"/>
    <x v="0"/>
    <s v="CAJA"/>
    <s v="PAGO NOMINA QUINCENA 1 OCTUBRE 2018"/>
    <s v="TRANSACCIONES DEL DIA 10/10/2018 RECURSOS HUMANOS"/>
    <n v="49.41"/>
    <n v="0"/>
    <s v="SANTIAGO"/>
    <x v="0"/>
  </r>
  <r>
    <n v="9"/>
    <d v="2018-10-25T00:00:00"/>
    <x v="0"/>
    <x v="0"/>
    <x v="0"/>
    <s v="CAJA"/>
    <s v="PAGO NOMINA QUINCENA 2 OCTUBRE 2018"/>
    <s v="TRANSACCIONES DEL DIA 10/25/2018 RECURSOS HUMANOS"/>
    <n v="52.52"/>
    <n v="0"/>
    <s v="SANTIAGO"/>
    <x v="0"/>
  </r>
  <r>
    <n v="9"/>
    <d v="2018-11-09T00:00:00"/>
    <x v="5"/>
    <x v="5"/>
    <x v="0"/>
    <s v="CAJA"/>
    <s v="PAGO NOMINA QUINCENA 1 NOVIEMBRE 2018"/>
    <s v="TRANSACCIONES DEL DIA 11/09/2018 RECURSOS HUMANOS"/>
    <n v="8.6199999999999992"/>
    <n v="0"/>
    <s v="SANTIAGO"/>
    <x v="0"/>
  </r>
  <r>
    <n v="9"/>
    <d v="2018-12-31T00:00:00"/>
    <x v="1"/>
    <x v="1"/>
    <x v="0"/>
    <s v="CAJA"/>
    <s v="CIERRE DE ANIO FISCAL"/>
    <s v="CIERRE_DE_CTAS_NOMINALES"/>
    <n v="0"/>
    <n v="117.21"/>
    <s v="SANTIAGO"/>
    <x v="0"/>
  </r>
  <r>
    <n v="9"/>
    <d v="2018-07-25T00:00:00"/>
    <x v="6"/>
    <x v="6"/>
    <x v="0"/>
    <s v="SERVICIOS PERSONALES"/>
    <s v="PAGO NOMINA QUINCENA 2 JULIO 2018"/>
    <s v="TRANSACCIONES DEL DIA 07/25/2018 RECURSOS HUMANOS"/>
    <n v="13.79"/>
    <n v="0"/>
    <s v="SANTIAGO"/>
    <x v="0"/>
  </r>
  <r>
    <n v="9"/>
    <d v="2018-09-10T00:00:00"/>
    <x v="4"/>
    <x v="4"/>
    <x v="0"/>
    <s v="SERVICIOS PERSONALES"/>
    <s v="PAGO NOMINA QUINCENA 1 SEPTIEMBRE 2018"/>
    <s v="TRANSACCIONES DEL DIA 09/10/2018 RECURSOS HUMANOS"/>
    <n v="19.079999999999998"/>
    <n v="0"/>
    <s v="SANTIAGO"/>
    <x v="0"/>
  </r>
  <r>
    <n v="9"/>
    <d v="2018-10-10T00:00:00"/>
    <x v="0"/>
    <x v="0"/>
    <x v="0"/>
    <s v="SERVICIOS PERSONALES"/>
    <s v="PAGO NOMINA QUINCENA 1 OCTUBRE 2018"/>
    <s v="TRANSACCIONES DEL DIA 10/10/2018 RECURSOS HUMANOS"/>
    <n v="6.79"/>
    <n v="0"/>
    <s v="SANTIAGO"/>
    <x v="0"/>
  </r>
  <r>
    <n v="9"/>
    <d v="2018-10-25T00:00:00"/>
    <x v="0"/>
    <x v="0"/>
    <x v="0"/>
    <s v="SERVICIOS PERSONALES"/>
    <s v="PAGO NOMINA QUINCENA 2 OCTUBRE 2018"/>
    <s v="TRANSACCIONES DEL DIA 10/25/2018 RECURSOS HUMANOS"/>
    <n v="7.95"/>
    <n v="0"/>
    <s v="SANTIAGO"/>
    <x v="0"/>
  </r>
  <r>
    <n v="9"/>
    <d v="2018-12-31T00:00:00"/>
    <x v="1"/>
    <x v="1"/>
    <x v="0"/>
    <s v="SERVICIOS PERSONALES"/>
    <s v="CIERRE DE ANIO FISCAL"/>
    <s v="CIERRE_DE_CTAS_NOMINALES"/>
    <n v="0"/>
    <n v="69.81"/>
    <s v="SANTIAGO"/>
    <x v="0"/>
  </r>
  <r>
    <n v="10"/>
    <d v="2018-11-09T00:00:00"/>
    <x v="5"/>
    <x v="5"/>
    <x v="0"/>
    <s v="ADMINISTRACION DE SUCURSALES"/>
    <s v="PAGO NOMINA QUINCENA 1 NOVIEMBRE 2018"/>
    <s v="TRANSACCIONES DEL DIA 11/09/2018 RECURSOS HUMANOS"/>
    <n v="32.06"/>
    <n v="0"/>
    <s v="OBARRIO"/>
    <x v="0"/>
  </r>
  <r>
    <n v="10"/>
    <d v="2018-12-31T00:00:00"/>
    <x v="1"/>
    <x v="1"/>
    <x v="0"/>
    <s v="ADMINISTRACION DE SUCURSALES"/>
    <s v="CIERRE DE ANIO FISCAL"/>
    <s v="CIERRE_DE_CTAS_NOMINALES"/>
    <n v="0"/>
    <n v="117.66"/>
    <s v="OBARRIO"/>
    <x v="0"/>
  </r>
  <r>
    <n v="10"/>
    <d v="2018-06-09T00:00:00"/>
    <x v="2"/>
    <x v="2"/>
    <x v="0"/>
    <s v="CAJA"/>
    <s v="PAGO NOMINA QUINCENA 1 JUNIO 2018"/>
    <s v="TRANSACCIONES DEL DIA 06/09/2018 RECURSOS HUMANOS"/>
    <n v="356.87"/>
    <n v="0"/>
    <s v="OBARRIO"/>
    <x v="0"/>
  </r>
  <r>
    <n v="10"/>
    <d v="2018-06-25T00:00:00"/>
    <x v="2"/>
    <x v="2"/>
    <x v="0"/>
    <s v="CAJA"/>
    <s v="PAGO NOMINA QUINCENA 2 JUNIO 2018"/>
    <s v="TRANSACCIONES DEL DIA 06/25/2018 RECURSOS HUMANOS"/>
    <n v="374.44"/>
    <n v="0"/>
    <s v="OBARRIO"/>
    <x v="0"/>
  </r>
  <r>
    <n v="10"/>
    <d v="2018-07-10T00:00:00"/>
    <x v="6"/>
    <x v="6"/>
    <x v="0"/>
    <s v="CAJA"/>
    <s v="PAGO NOMINA QUINCENA 1 JULIO 2018"/>
    <s v="TRANSACCIONES DEL DIA 07/10/2018 RECURSOS HUMANOS"/>
    <n v="272.77"/>
    <n v="0"/>
    <s v="OBARRIO"/>
    <x v="0"/>
  </r>
  <r>
    <n v="10"/>
    <d v="2018-07-19T00:00:00"/>
    <x v="6"/>
    <x v="6"/>
    <x v="0"/>
    <s v="CAJA"/>
    <s v="PLANILLAS DE LIQUIDACIONES JUL 2018"/>
    <s v="TRANSACCIONES DEL DIA 07/19/2018 RECURSOS HUMANOS"/>
    <n v="21.79"/>
    <n v="0"/>
    <s v="OBARRIO"/>
    <x v="0"/>
  </r>
  <r>
    <n v="10"/>
    <d v="2018-07-25T00:00:00"/>
    <x v="6"/>
    <x v="6"/>
    <x v="0"/>
    <s v="CAJA"/>
    <s v="PAGO NOMINA QUINCENA 2 JULIO 2018"/>
    <s v="TRANSACCIONES DEL DIA 07/25/2018 RECURSOS HUMANOS"/>
    <n v="281.14"/>
    <n v="0"/>
    <s v="OBARRIO"/>
    <x v="0"/>
  </r>
  <r>
    <n v="10"/>
    <d v="2018-08-10T00:00:00"/>
    <x v="3"/>
    <x v="3"/>
    <x v="0"/>
    <s v="CAJA"/>
    <s v="PAGO NOMINA QUINCENA 1 AGOSTO 2018"/>
    <s v="TRANSACCIONES DEL DIA 08/10/2018 RECURSOS HUMANOS"/>
    <n v="234.75"/>
    <n v="0"/>
    <s v="OBARRIO"/>
    <x v="0"/>
  </r>
  <r>
    <n v="10"/>
    <d v="2018-08-25T00:00:00"/>
    <x v="3"/>
    <x v="3"/>
    <x v="0"/>
    <s v="CAJA"/>
    <s v="PAGO NOMINA QUINCENA 2 AGOSTO 2018"/>
    <s v="TRANSACCIONES DEL DIA 08/25/2018 RECURSOS HUMANOS"/>
    <n v="281.75"/>
    <n v="0"/>
    <s v="OBARRIO"/>
    <x v="0"/>
  </r>
  <r>
    <n v="10"/>
    <d v="2018-09-10T00:00:00"/>
    <x v="4"/>
    <x v="4"/>
    <x v="0"/>
    <s v="CAJA"/>
    <s v="PAGO NOMINA QUINCENA 1 SEPTIEMBRE 2018"/>
    <s v="TRANSACCIONES DEL DIA 09/10/2018 RECURSOS HUMANOS"/>
    <n v="337.57"/>
    <n v="0"/>
    <s v="OBARRIO"/>
    <x v="0"/>
  </r>
  <r>
    <n v="10"/>
    <d v="2018-09-25T00:00:00"/>
    <x v="4"/>
    <x v="4"/>
    <x v="0"/>
    <s v="CAJA"/>
    <s v="PAGO NOMINA QUINCENA 2 SEPTIEMBRE 2018"/>
    <s v="TRANSACCIONES DEL DIA 09/25/2018 RECURSOS HUMANOS"/>
    <n v="295.95"/>
    <n v="0"/>
    <s v="OBARRIO"/>
    <x v="0"/>
  </r>
  <r>
    <n v="10"/>
    <d v="2018-10-10T00:00:00"/>
    <x v="0"/>
    <x v="0"/>
    <x v="0"/>
    <s v="CAJA"/>
    <s v="PAGO NOMINA QUINCENA 1 OCTUBRE 2018"/>
    <s v="TRANSACCIONES DEL DIA 10/10/2018 RECURSOS HUMANOS"/>
    <n v="170.87"/>
    <n v="0"/>
    <s v="OBARRIO"/>
    <x v="0"/>
  </r>
  <r>
    <n v="10"/>
    <d v="2018-10-25T00:00:00"/>
    <x v="0"/>
    <x v="0"/>
    <x v="0"/>
    <s v="CAJA"/>
    <s v="PAGO NOMINA QUINCENA 2 OCTUBRE 2018"/>
    <s v="TRANSACCIONES DEL DIA 10/25/2018 RECURSOS HUMANOS"/>
    <n v="466.63"/>
    <n v="0"/>
    <s v="OBARRIO"/>
    <x v="0"/>
  </r>
  <r>
    <n v="10"/>
    <d v="2018-11-09T00:00:00"/>
    <x v="5"/>
    <x v="5"/>
    <x v="0"/>
    <s v="CAJA"/>
    <s v="PAGO NOMINA QUINCENA 1 NOVIEMBRE 2018"/>
    <s v="TRANSACCIONES DEL DIA 11/09/2018 RECURSOS HUMANOS"/>
    <n v="210.68"/>
    <n v="0"/>
    <s v="OBARRIO"/>
    <x v="0"/>
  </r>
  <r>
    <n v="10"/>
    <d v="2018-11-24T00:00:00"/>
    <x v="5"/>
    <x v="5"/>
    <x v="0"/>
    <s v="CAJA"/>
    <s v="PAGO NOMINA QUINCENA 2 NOVIEMBRE 2018"/>
    <s v="TRANSACCIONES DEL DIA 11/24/2018 RECURSOS HUMANOS"/>
    <n v="341.38"/>
    <n v="0"/>
    <s v="OBARRIO"/>
    <x v="0"/>
  </r>
  <r>
    <n v="10"/>
    <d v="2018-12-10T00:00:00"/>
    <x v="1"/>
    <x v="1"/>
    <x v="0"/>
    <s v="CAJA"/>
    <s v="PAGO NOMINA QUINCENA 1 DICIEMBRE 2018"/>
    <s v="TRANSACCIONES DEL DIA 12/10/2018 RECURSOS HUMANOS"/>
    <n v="176.55"/>
    <n v="0"/>
    <s v="OBARRIO"/>
    <x v="0"/>
  </r>
  <r>
    <n v="10"/>
    <d v="2018-12-19T00:00:00"/>
    <x v="1"/>
    <x v="1"/>
    <x v="0"/>
    <s v="CAJA"/>
    <s v="PAGO NOMINA QUINCENA 2 DICIEMBRE 2018"/>
    <s v="TRANSACCIONES DEL DIA 12/19/2018 RECURSOS HUMANOS"/>
    <n v="381.53"/>
    <n v="0"/>
    <s v="OBARRIO"/>
    <x v="0"/>
  </r>
  <r>
    <n v="10"/>
    <d v="2018-12-31T00:00:00"/>
    <x v="1"/>
    <x v="1"/>
    <x v="0"/>
    <s v="CAJA"/>
    <s v="CIERRE DE ANIO FISCAL"/>
    <s v="CIERRE_DE_CTAS_NOMINALES"/>
    <n v="0"/>
    <n v="7742.17"/>
    <s v="OBARRIO"/>
    <x v="0"/>
  </r>
  <r>
    <n v="10"/>
    <d v="2018-08-10T00:00:00"/>
    <x v="3"/>
    <x v="3"/>
    <x v="0"/>
    <s v="SERVICIOS PERSONALES"/>
    <s v="PAGO NOMINA QUINCENA 1 AGOSTO 2018"/>
    <s v="TRANSACCIONES DEL DIA 08/10/2018 RECURSOS HUMANOS"/>
    <n v="57.73"/>
    <n v="0"/>
    <s v="OBARRIO"/>
    <x v="0"/>
  </r>
  <r>
    <n v="10"/>
    <d v="2018-08-25T00:00:00"/>
    <x v="3"/>
    <x v="3"/>
    <x v="0"/>
    <s v="SERVICIOS PERSONALES"/>
    <s v="PAGO NOMINA QUINCENA 2 AGOSTO 2018"/>
    <s v="TRANSACCIONES DEL DIA 08/25/2018 RECURSOS HUMANOS"/>
    <n v="43.81"/>
    <n v="0"/>
    <s v="OBARRIO"/>
    <x v="0"/>
  </r>
  <r>
    <n v="10"/>
    <d v="2018-09-10T00:00:00"/>
    <x v="4"/>
    <x v="4"/>
    <x v="0"/>
    <s v="SERVICIOS PERSONALES"/>
    <s v="PAGO NOMINA QUINCENA 1 SEPTIEMBRE 2018"/>
    <s v="TRANSACCIONES DEL DIA 09/10/2018 RECURSOS HUMANOS"/>
    <n v="88.76"/>
    <n v="0"/>
    <s v="OBARRIO"/>
    <x v="0"/>
  </r>
  <r>
    <n v="10"/>
    <d v="2018-09-25T00:00:00"/>
    <x v="4"/>
    <x v="4"/>
    <x v="0"/>
    <s v="SERVICIOS PERSONALES"/>
    <s v="PAGO NOMINA QUINCENA 2 SEPTIEMBRE 2018"/>
    <s v="TRANSACCIONES DEL DIA 09/25/2018 RECURSOS HUMANOS"/>
    <n v="13.38"/>
    <n v="0"/>
    <s v="OBARRIO"/>
    <x v="0"/>
  </r>
  <r>
    <n v="10"/>
    <d v="2018-10-10T00:00:00"/>
    <x v="0"/>
    <x v="0"/>
    <x v="0"/>
    <s v="SERVICIOS PERSONALES"/>
    <s v="PAGO NOMINA QUINCENA 1 OCTUBRE 2018"/>
    <s v="TRANSACCIONES DEL DIA 10/10/2018 RECURSOS HUMANOS"/>
    <n v="44.52"/>
    <n v="0"/>
    <s v="OBARRIO"/>
    <x v="0"/>
  </r>
  <r>
    <n v="10"/>
    <d v="2018-11-09T00:00:00"/>
    <x v="5"/>
    <x v="5"/>
    <x v="0"/>
    <s v="SERVICIOS PERSONALES"/>
    <s v="PAGO NOMINA QUINCENA 1 NOVIEMBRE 2018"/>
    <s v="TRANSACCIONES DEL DIA 11/09/2018 RECURSOS HUMANOS"/>
    <n v="24.12"/>
    <n v="0"/>
    <s v="OBARRIO"/>
    <x v="0"/>
  </r>
  <r>
    <n v="10"/>
    <d v="2018-11-24T00:00:00"/>
    <x v="5"/>
    <x v="5"/>
    <x v="0"/>
    <s v="SERVICIOS PERSONALES"/>
    <s v="PAGO NOMINA QUINCENA 2 NOVIEMBRE 2018"/>
    <s v="TRANSACCIONES DEL DIA 11/24/2018 RECURSOS HUMANOS"/>
    <n v="13.38"/>
    <n v="0"/>
    <s v="OBARRIO"/>
    <x v="0"/>
  </r>
  <r>
    <n v="10"/>
    <d v="2018-12-19T00:00:00"/>
    <x v="1"/>
    <x v="1"/>
    <x v="0"/>
    <s v="SERVICIOS PERSONALES"/>
    <s v="PAGO NOMINA QUINCENA 2 DICIEMBRE 2018"/>
    <s v="TRANSACCIONES DEL DIA 12/19/2018 RECURSOS HUMANOS"/>
    <n v="53.34"/>
    <n v="0"/>
    <s v="OBARRIO"/>
    <x v="0"/>
  </r>
  <r>
    <n v="10"/>
    <d v="2018-12-31T00:00:00"/>
    <x v="1"/>
    <x v="1"/>
    <x v="0"/>
    <s v="SERVICIOS PERSONALES"/>
    <s v="CIERRE DE ANIO FISCAL"/>
    <s v="CIERRE_DE_CTAS_NOMINALES"/>
    <n v="0"/>
    <n v="378.31"/>
    <s v="OBARRIO"/>
    <x v="0"/>
  </r>
  <r>
    <n v="13"/>
    <d v="2018-06-09T00:00:00"/>
    <x v="2"/>
    <x v="2"/>
    <x v="0"/>
    <s v="ADMINISTRACION DE SUCURSALES"/>
    <s v="PAGO NOMINA QUINCENA 1 JUNIO 2018"/>
    <s v="TRANSACCIONES DEL DIA 06/09/2018 RECURSOS HUMANOS"/>
    <n v="72.33"/>
    <n v="0"/>
    <s v="HATO PINTADO"/>
    <x v="0"/>
  </r>
  <r>
    <n v="13"/>
    <d v="2018-08-10T00:00:00"/>
    <x v="3"/>
    <x v="3"/>
    <x v="0"/>
    <s v="ADMINISTRACION DE SUCURSALES"/>
    <s v="PAGO NOMINA QUINCENA 1 AGOSTO 2018"/>
    <s v="TRANSACCIONES DEL DIA 08/10/2018 RECURSOS HUMANOS"/>
    <n v="92.26"/>
    <n v="0"/>
    <s v="HATO PINTADO"/>
    <x v="0"/>
  </r>
  <r>
    <n v="13"/>
    <d v="2018-12-10T00:00:00"/>
    <x v="1"/>
    <x v="1"/>
    <x v="0"/>
    <s v="ADMINISTRACION DE SUCURSALES"/>
    <s v="PAGO NOMINA QUINCENA 1 DICIEMBRE 2018"/>
    <s v="TRANSACCIONES DEL DIA 12/10/2018 RECURSOS HUMANOS"/>
    <n v="42.42"/>
    <n v="0"/>
    <s v="HATO PINTADO"/>
    <x v="0"/>
  </r>
  <r>
    <n v="13"/>
    <d v="2018-12-19T00:00:00"/>
    <x v="1"/>
    <x v="1"/>
    <x v="0"/>
    <s v="ADMINISTRACION DE SUCURSALES"/>
    <s v="PAGO NOMINA QUINCENA 2 DICIEMBRE 2018"/>
    <s v="TRANSACCIONES DEL DIA 12/19/2018 RECURSOS HUMANOS"/>
    <n v="23.76"/>
    <n v="0"/>
    <s v="HATO PINTADO"/>
    <x v="0"/>
  </r>
  <r>
    <n v="13"/>
    <d v="2018-12-31T00:00:00"/>
    <x v="1"/>
    <x v="1"/>
    <x v="0"/>
    <s v="ADMINISTRACION DE SUCURSALES"/>
    <s v="CIERRE DE ANIO FISCAL"/>
    <s v="CIERRE_DE_CTAS_NOMINALES"/>
    <n v="0"/>
    <n v="604.91999999999996"/>
    <s v="HATO PINTADO"/>
    <x v="0"/>
  </r>
  <r>
    <n v="13"/>
    <d v="2018-06-09T00:00:00"/>
    <x v="2"/>
    <x v="2"/>
    <x v="0"/>
    <s v="CAJA"/>
    <s v="PAGO NOMINA QUINCENA 1 JUNIO 2018"/>
    <s v="TRANSACCIONES DEL DIA 06/09/2018 RECURSOS HUMANOS"/>
    <n v="636.30999999999995"/>
    <n v="0"/>
    <s v="HATO PINTADO"/>
    <x v="0"/>
  </r>
  <r>
    <n v="13"/>
    <d v="2018-06-25T00:00:00"/>
    <x v="2"/>
    <x v="2"/>
    <x v="0"/>
    <s v="CAJA"/>
    <s v="PAGO NOMINA QUINCENA 2 JUNIO 2018"/>
    <s v="TRANSACCIONES DEL DIA 06/25/2018 RECURSOS HUMANOS"/>
    <n v="598.84"/>
    <n v="0"/>
    <s v="HATO PINTADO"/>
    <x v="0"/>
  </r>
  <r>
    <n v="13"/>
    <d v="2018-07-10T00:00:00"/>
    <x v="6"/>
    <x v="6"/>
    <x v="0"/>
    <s v="CAJA"/>
    <s v="PAGO NOMINA QUINCENA 1 JULIO 2018"/>
    <s v="TRANSACCIONES DEL DIA 07/10/2018 RECURSOS HUMANOS"/>
    <n v="560.16999999999996"/>
    <n v="0"/>
    <s v="HATO PINTADO"/>
    <x v="0"/>
  </r>
  <r>
    <n v="13"/>
    <d v="2018-07-25T00:00:00"/>
    <x v="6"/>
    <x v="6"/>
    <x v="0"/>
    <s v="CAJA"/>
    <s v="PAGO NOMINA QUINCENA 2 JULIO 2018"/>
    <s v="TRANSACCIONES DEL DIA 07/25/2018 RECURSOS HUMANOS"/>
    <n v="548.05999999999995"/>
    <n v="0"/>
    <s v="HATO PINTADO"/>
    <x v="0"/>
  </r>
  <r>
    <n v="13"/>
    <d v="2018-08-10T00:00:00"/>
    <x v="3"/>
    <x v="3"/>
    <x v="0"/>
    <s v="CAJA"/>
    <s v="PAGO NOMINA QUINCENA 1 AGOSTO 2018"/>
    <s v="TRANSACCIONES DEL DIA 08/10/2018 RECURSOS HUMANOS"/>
    <n v="316.97000000000003"/>
    <n v="0"/>
    <s v="HATO PINTADO"/>
    <x v="0"/>
  </r>
  <r>
    <n v="13"/>
    <d v="2018-08-25T00:00:00"/>
    <x v="3"/>
    <x v="3"/>
    <x v="0"/>
    <s v="CAJA"/>
    <s v="PAGO NOMINA QUINCENA 2 AGOSTO 2018"/>
    <s v="TRANSACCIONES DEL DIA 08/25/2018 RECURSOS HUMANOS"/>
    <n v="867.93"/>
    <n v="0"/>
    <s v="HATO PINTADO"/>
    <x v="0"/>
  </r>
  <r>
    <n v="13"/>
    <d v="2018-09-10T00:00:00"/>
    <x v="4"/>
    <x v="4"/>
    <x v="0"/>
    <s v="CAJA"/>
    <s v="PAGO NOMINA QUINCENA 1 SEPTIEMBRE 2018"/>
    <s v="TRANSACCIONES DEL DIA 09/10/2018 RECURSOS HUMANOS"/>
    <n v="821.4"/>
    <n v="0"/>
    <s v="HATO PINTADO"/>
    <x v="0"/>
  </r>
  <r>
    <n v="13"/>
    <d v="2018-09-25T00:00:00"/>
    <x v="4"/>
    <x v="4"/>
    <x v="0"/>
    <s v="CAJA"/>
    <s v="PAGO NOMINA QUINCENA 2 SEPTIEMBRE 2018"/>
    <s v="TRANSACCIONES DEL DIA 09/25/2018 RECURSOS HUMANOS"/>
    <n v="1086.4000000000001"/>
    <n v="0"/>
    <s v="HATO PINTADO"/>
    <x v="0"/>
  </r>
  <r>
    <n v="13"/>
    <d v="2018-10-10T00:00:00"/>
    <x v="0"/>
    <x v="0"/>
    <x v="0"/>
    <s v="CAJA"/>
    <s v="PAGO NOMINA QUINCENA 1 OCTUBRE 2018"/>
    <s v="TRANSACCIONES DEL DIA 10/10/2018 RECURSOS HUMANOS"/>
    <n v="502.17"/>
    <n v="0"/>
    <s v="HATO PINTADO"/>
    <x v="0"/>
  </r>
  <r>
    <n v="13"/>
    <d v="2018-10-25T00:00:00"/>
    <x v="0"/>
    <x v="0"/>
    <x v="0"/>
    <s v="CAJA"/>
    <s v="PAGO NOMINA QUINCENA 2 OCTUBRE 2018"/>
    <s v="TRANSACCIONES DEL DIA 10/25/2018 RECURSOS HUMANOS"/>
    <n v="581.75"/>
    <n v="0"/>
    <s v="HATO PINTADO"/>
    <x v="0"/>
  </r>
  <r>
    <n v="13"/>
    <d v="2018-11-09T00:00:00"/>
    <x v="5"/>
    <x v="5"/>
    <x v="0"/>
    <s v="CAJA"/>
    <s v="PAGO NOMINA QUINCENA 1 NOVIEMBRE 2018"/>
    <s v="TRANSACCIONES DEL DIA 11/09/2018 RECURSOS HUMANOS"/>
    <n v="722.42"/>
    <n v="0"/>
    <s v="HATO PINTADO"/>
    <x v="0"/>
  </r>
  <r>
    <n v="13"/>
    <d v="2018-11-24T00:00:00"/>
    <x v="5"/>
    <x v="5"/>
    <x v="0"/>
    <s v="CAJA"/>
    <s v="PAGO NOMINA QUINCENA 2 NOVIEMBRE 2018"/>
    <s v="TRANSACCIONES DEL DIA 11/24/2018 RECURSOS HUMANOS"/>
    <n v="564.22"/>
    <n v="0"/>
    <s v="HATO PINTADO"/>
    <x v="0"/>
  </r>
  <r>
    <n v="13"/>
    <d v="2018-12-10T00:00:00"/>
    <x v="1"/>
    <x v="1"/>
    <x v="0"/>
    <s v="CAJA"/>
    <s v="PAGO NOMINA QUINCENA 1 DICIEMBRE 2018"/>
    <s v="TRANSACCIONES DEL DIA 12/10/2018 RECURSOS HUMANOS"/>
    <n v="348.54"/>
    <n v="0"/>
    <s v="HATO PINTADO"/>
    <x v="0"/>
  </r>
  <r>
    <n v="13"/>
    <d v="2018-12-19T00:00:00"/>
    <x v="1"/>
    <x v="1"/>
    <x v="0"/>
    <s v="CAJA"/>
    <s v="PAGO NOMINA QUINCENA 2 DICIEMBRE 2018"/>
    <s v="TRANSACCIONES DEL DIA 12/19/2018 RECURSOS HUMANOS"/>
    <n v="816.62"/>
    <n v="0"/>
    <s v="HATO PINTADO"/>
    <x v="0"/>
  </r>
  <r>
    <n v="13"/>
    <d v="2018-12-31T00:00:00"/>
    <x v="1"/>
    <x v="1"/>
    <x v="0"/>
    <s v="CAJA"/>
    <s v="CIERRE DE ANIO FISCAL"/>
    <s v="CIERRE_DE_CTAS_NOMINALES"/>
    <n v="0"/>
    <n v="13776.33"/>
    <s v="HATO PINTADO"/>
    <x v="0"/>
  </r>
  <r>
    <n v="13"/>
    <d v="2018-06-25T00:00:00"/>
    <x v="2"/>
    <x v="2"/>
    <x v="0"/>
    <s v="SERVICIOS PERSONALES"/>
    <s v="PAGO NOMINA QUINCENA 2 JUNIO 2018"/>
    <s v="TRANSACCIONES DEL DIA 06/25/2018 RECURSOS HUMANOS"/>
    <n v="8.57"/>
    <n v="0"/>
    <s v="HATO PINTADO"/>
    <x v="0"/>
  </r>
  <r>
    <n v="13"/>
    <d v="2018-07-10T00:00:00"/>
    <x v="6"/>
    <x v="6"/>
    <x v="0"/>
    <s v="SERVICIOS PERSONALES"/>
    <s v="PAGO NOMINA QUINCENA 1 JULIO 2018"/>
    <s v="TRANSACCIONES DEL DIA 07/10/2018 RECURSOS HUMANOS"/>
    <n v="80.14"/>
    <n v="0"/>
    <s v="HATO PINTADO"/>
    <x v="0"/>
  </r>
  <r>
    <n v="13"/>
    <d v="2018-07-25T00:00:00"/>
    <x v="6"/>
    <x v="6"/>
    <x v="0"/>
    <s v="SERVICIOS PERSONALES"/>
    <s v="PAGO NOMINA QUINCENA 2 JULIO 2018"/>
    <s v="TRANSACCIONES DEL DIA 07/25/2018 RECURSOS HUMANOS"/>
    <n v="49"/>
    <n v="0"/>
    <s v="HATO PINTADO"/>
    <x v="0"/>
  </r>
  <r>
    <n v="13"/>
    <d v="2018-08-10T00:00:00"/>
    <x v="3"/>
    <x v="3"/>
    <x v="0"/>
    <s v="SERVICIOS PERSONALES"/>
    <s v="PAGO NOMINA QUINCENA 1 AGOSTO 2018"/>
    <s v="TRANSACCIONES DEL DIA 08/10/2018 RECURSOS HUMANOS"/>
    <n v="121.69"/>
    <n v="0"/>
    <s v="HATO PINTADO"/>
    <x v="0"/>
  </r>
  <r>
    <n v="13"/>
    <d v="2018-08-25T00:00:00"/>
    <x v="3"/>
    <x v="3"/>
    <x v="0"/>
    <s v="SERVICIOS PERSONALES"/>
    <s v="PAGO NOMINA QUINCENA 2 AGOSTO 2018"/>
    <s v="TRANSACCIONES DEL DIA 08/25/2018 RECURSOS HUMANOS"/>
    <n v="49.7"/>
    <n v="0"/>
    <s v="HATO PINTADO"/>
    <x v="0"/>
  </r>
  <r>
    <n v="13"/>
    <d v="2018-10-10T00:00:00"/>
    <x v="0"/>
    <x v="0"/>
    <x v="0"/>
    <s v="SERVICIOS PERSONALES"/>
    <s v="PAGO NOMINA QUINCENA 1 OCTUBRE 2018"/>
    <s v="TRANSACCIONES DEL DIA 10/10/2018 RECURSOS HUMANOS"/>
    <n v="24.18"/>
    <n v="0"/>
    <s v="HATO PINTADO"/>
    <x v="0"/>
  </r>
  <r>
    <n v="13"/>
    <d v="2018-10-25T00:00:00"/>
    <x v="0"/>
    <x v="0"/>
    <x v="0"/>
    <s v="SERVICIOS PERSONALES"/>
    <s v="PAGO NOMINA QUINCENA 2 OCTUBRE 2018"/>
    <s v="TRANSACCIONES DEL DIA 10/25/2018 RECURSOS HUMANOS"/>
    <n v="50.95"/>
    <n v="0"/>
    <s v="HATO PINTADO"/>
    <x v="0"/>
  </r>
  <r>
    <n v="13"/>
    <d v="2018-11-09T00:00:00"/>
    <x v="5"/>
    <x v="5"/>
    <x v="0"/>
    <s v="SERVICIOS PERSONALES"/>
    <s v="PAGO NOMINA QUINCENA 1 NOVIEMBRE 2018"/>
    <s v="TRANSACCIONES DEL DIA 11/09/2018 RECURSOS HUMANOS"/>
    <n v="27.72"/>
    <n v="0"/>
    <s v="HATO PINTADO"/>
    <x v="0"/>
  </r>
  <r>
    <n v="13"/>
    <d v="2018-11-24T00:00:00"/>
    <x v="5"/>
    <x v="5"/>
    <x v="0"/>
    <s v="SERVICIOS PERSONALES"/>
    <s v="PAGO NOMINA QUINCENA 2 NOVIEMBRE 2018"/>
    <s v="TRANSACCIONES DEL DIA 11/24/2018 RECURSOS HUMANOS"/>
    <n v="13.61"/>
    <n v="0"/>
    <s v="HATO PINTADO"/>
    <x v="0"/>
  </r>
  <r>
    <n v="13"/>
    <d v="2018-12-19T00:00:00"/>
    <x v="1"/>
    <x v="1"/>
    <x v="0"/>
    <s v="SERVICIOS PERSONALES"/>
    <s v="PAGO NOMINA QUINCENA 2 DICIEMBRE 2018"/>
    <s v="TRANSACCIONES DEL DIA 12/19/2018 RECURSOS HUMANOS"/>
    <n v="27.72"/>
    <n v="0"/>
    <s v="HATO PINTADO"/>
    <x v="0"/>
  </r>
  <r>
    <n v="13"/>
    <d v="2018-12-31T00:00:00"/>
    <x v="1"/>
    <x v="1"/>
    <x v="0"/>
    <s v="SERVICIOS PERSONALES"/>
    <s v="CIERRE DE ANIO FISCAL"/>
    <s v="CIERRE_DE_CTAS_NOMINALES"/>
    <n v="0"/>
    <n v="839.97"/>
    <s v="HATO PINTADO"/>
    <x v="0"/>
  </r>
  <r>
    <n v="14"/>
    <d v="2018-09-25T00:00:00"/>
    <x v="4"/>
    <x v="4"/>
    <x v="0"/>
    <s v="CAJA"/>
    <s v="PAGO NOMINA QUINCENA 2 SEPTIEMBRE 2018"/>
    <s v="TRANSACCIONES DEL DIA 09/25/2018 RECURSOS HUMANOS"/>
    <n v="28.09"/>
    <n v="0"/>
    <s v="RIO ABAJO"/>
    <x v="0"/>
  </r>
  <r>
    <n v="14"/>
    <d v="2018-10-25T00:00:00"/>
    <x v="0"/>
    <x v="0"/>
    <x v="0"/>
    <s v="CAJA"/>
    <s v="PAGO NOMINA QUINCENA 2 OCTUBRE 2018"/>
    <s v="TRANSACCIONES DEL DIA 10/25/2018 RECURSOS HUMANOS"/>
    <n v="41.72"/>
    <n v="0"/>
    <s v="RIO ABAJO"/>
    <x v="0"/>
  </r>
  <r>
    <n v="14"/>
    <d v="2018-12-31T00:00:00"/>
    <x v="1"/>
    <x v="1"/>
    <x v="0"/>
    <s v="CAJA"/>
    <s v="CIERRE DE ANIO FISCAL"/>
    <s v="CIERRE_DE_CTAS_NOMINALES"/>
    <n v="0"/>
    <n v="468.25"/>
    <s v="RIO ABAJO"/>
    <x v="0"/>
  </r>
  <r>
    <n v="15"/>
    <d v="2018-12-31T00:00:00"/>
    <x v="1"/>
    <x v="1"/>
    <x v="0"/>
    <s v="ADMINISTRACION DE SUCURSALES"/>
    <s v="CIERRE DE ANIO FISCAL"/>
    <s v="CIERRE_DE_CTAS_NOMINALES"/>
    <n v="0"/>
    <n v="146.65"/>
    <s v="LA CHORRERA"/>
    <x v="0"/>
  </r>
  <r>
    <n v="15"/>
    <d v="2018-07-25T00:00:00"/>
    <x v="6"/>
    <x v="6"/>
    <x v="0"/>
    <s v="CAJA"/>
    <s v="PAGO NOMINA QUINCENA 2 JULIO 2018"/>
    <s v="TRANSACCIONES DEL DIA 07/25/2018 RECURSOS HUMANOS"/>
    <n v="48.91"/>
    <n v="0"/>
    <s v="LA CHORRERA"/>
    <x v="0"/>
  </r>
  <r>
    <n v="15"/>
    <d v="2018-09-10T00:00:00"/>
    <x v="4"/>
    <x v="4"/>
    <x v="0"/>
    <s v="CAJA"/>
    <s v="PAGO NOMINA QUINCENA 1 SEPTIEMBRE 2018"/>
    <s v="TRANSACCIONES DEL DIA 09/10/2018 RECURSOS HUMANOS"/>
    <n v="55.5"/>
    <n v="0"/>
    <s v="LA CHORRERA"/>
    <x v="0"/>
  </r>
  <r>
    <n v="15"/>
    <d v="2018-09-25T00:00:00"/>
    <x v="4"/>
    <x v="4"/>
    <x v="0"/>
    <s v="CAJA"/>
    <s v="PAGO NOMINA QUINCENA 2 SEPTIEMBRE 2018"/>
    <s v="TRANSACCIONES DEL DIA 09/25/2018 RECURSOS HUMANOS"/>
    <n v="36.590000000000003"/>
    <n v="0"/>
    <s v="LA CHORRERA"/>
    <x v="0"/>
  </r>
  <r>
    <n v="15"/>
    <d v="2018-10-10T00:00:00"/>
    <x v="0"/>
    <x v="0"/>
    <x v="0"/>
    <s v="CAJA"/>
    <s v="PAGO NOMINA QUINCENA 1 OCTUBRE 2018"/>
    <s v="TRANSACCIONES DEL DIA 10/10/2018 RECURSOS HUMANOS"/>
    <n v="15.09"/>
    <n v="0"/>
    <s v="LA CHORRERA"/>
    <x v="0"/>
  </r>
  <r>
    <n v="15"/>
    <d v="2018-12-31T00:00:00"/>
    <x v="1"/>
    <x v="1"/>
    <x v="0"/>
    <s v="CAJA"/>
    <s v="CIERRE DE ANIO FISCAL"/>
    <s v="CIERRE_DE_CTAS_NOMINALES"/>
    <n v="0"/>
    <n v="741.73"/>
    <s v="LA CHORRERA"/>
    <x v="0"/>
  </r>
  <r>
    <n v="15"/>
    <d v="2018-06-09T00:00:00"/>
    <x v="2"/>
    <x v="2"/>
    <x v="0"/>
    <s v="SERVICIOS PERSONALES"/>
    <s v="PAGO NOMINA QUINCENA 1 JUNIO 2018"/>
    <s v="TRANSACCIONES DEL DIA 06/09/2018 RECURSOS HUMANOS"/>
    <n v="59.61"/>
    <n v="0"/>
    <s v="LA CHORRERA"/>
    <x v="0"/>
  </r>
  <r>
    <n v="15"/>
    <d v="2018-12-31T00:00:00"/>
    <x v="1"/>
    <x v="1"/>
    <x v="0"/>
    <s v="SERVICIOS PERSONALES"/>
    <s v="CIERRE DE ANIO FISCAL"/>
    <s v="CIERRE_DE_CTAS_NOMINALES"/>
    <n v="0"/>
    <n v="59.61"/>
    <s v="LA CHORRERA"/>
    <x v="0"/>
  </r>
  <r>
    <n v="16"/>
    <d v="2018-07-25T00:00:00"/>
    <x v="6"/>
    <x v="6"/>
    <x v="0"/>
    <s v="CAJA"/>
    <s v="PAGO NOMINA QUINCENA 2 JULIO 2018"/>
    <s v="TRANSACCIONES DEL DIA 07/25/2018 RECURSOS HUMANOS"/>
    <n v="14.73"/>
    <n v="0"/>
    <s v="AVENIDA CENTRAL"/>
    <x v="0"/>
  </r>
  <r>
    <n v="16"/>
    <d v="2018-11-24T00:00:00"/>
    <x v="5"/>
    <x v="5"/>
    <x v="0"/>
    <s v="CAJA"/>
    <s v="PAGO NOMINA QUINCENA 2 NOVIEMBRE 2018"/>
    <s v="TRANSACCIONES DEL DIA 11/24/2018 RECURSOS HUMANOS"/>
    <n v="36.61"/>
    <n v="0"/>
    <s v="AVENIDA CENTRAL"/>
    <x v="0"/>
  </r>
  <r>
    <n v="16"/>
    <d v="2018-12-31T00:00:00"/>
    <x v="1"/>
    <x v="1"/>
    <x v="0"/>
    <s v="CAJA"/>
    <s v="CIERRE DE ANIO FISCAL"/>
    <s v="CIERRE_DE_CTAS_NOMINALES"/>
    <n v="0"/>
    <n v="295.66000000000003"/>
    <s v="AVENIDA CENTRAL"/>
    <x v="0"/>
  </r>
  <r>
    <n v="17"/>
    <d v="2018-10-25T00:00:00"/>
    <x v="0"/>
    <x v="0"/>
    <x v="0"/>
    <s v="ADMINISTRACION DE SUCURSALES"/>
    <s v="PAGO NOMINA QUINCENA 2 OCTUBRE 2018"/>
    <s v="TRANSACCIONES DEL DIA 10/25/2018 RECURSOS HUMANOS"/>
    <n v="66.27"/>
    <n v="0"/>
    <s v="LOS ANGELES"/>
    <x v="0"/>
  </r>
  <r>
    <n v="17"/>
    <d v="2018-12-31T00:00:00"/>
    <x v="1"/>
    <x v="1"/>
    <x v="0"/>
    <s v="ADMINISTRACION DE SUCURSALES"/>
    <s v="CIERRE DE ANIO FISCAL"/>
    <s v="CIERRE_DE_CTAS_NOMINALES"/>
    <n v="0"/>
    <n v="66.27"/>
    <s v="LOS ANGELES"/>
    <x v="0"/>
  </r>
  <r>
    <n v="17"/>
    <d v="2018-08-10T00:00:00"/>
    <x v="3"/>
    <x v="3"/>
    <x v="0"/>
    <s v="CAJA"/>
    <s v="PAGO NOMINA QUINCENA 1 AGOSTO 2018"/>
    <s v="TRANSACCIONES DEL DIA 08/10/2018 RECURSOS HUMANOS"/>
    <n v="10.68"/>
    <n v="0"/>
    <s v="LOS ANGELES"/>
    <x v="0"/>
  </r>
  <r>
    <n v="17"/>
    <d v="2018-08-25T00:00:00"/>
    <x v="3"/>
    <x v="3"/>
    <x v="0"/>
    <s v="CAJA"/>
    <s v="PAGO NOMINA QUINCENA 2 AGOSTO 2018"/>
    <s v="TRANSACCIONES DEL DIA 08/25/2018 RECURSOS HUMANOS"/>
    <n v="24.85"/>
    <n v="0"/>
    <s v="LOS ANGELES"/>
    <x v="0"/>
  </r>
  <r>
    <n v="17"/>
    <d v="2018-10-25T00:00:00"/>
    <x v="0"/>
    <x v="0"/>
    <x v="0"/>
    <s v="CAJA"/>
    <s v="PAGO NOMINA QUINCENA 2 OCTUBRE 2018"/>
    <s v="TRANSACCIONES DEL DIA 10/25/2018 RECURSOS HUMANOS"/>
    <n v="214.05"/>
    <n v="0"/>
    <s v="LOS ANGELES"/>
    <x v="0"/>
  </r>
  <r>
    <n v="17"/>
    <d v="2018-12-31T00:00:00"/>
    <x v="1"/>
    <x v="1"/>
    <x v="0"/>
    <s v="CAJA"/>
    <s v="CIERRE DE ANIO FISCAL"/>
    <s v="CIERRE_DE_CTAS_NOMINALES"/>
    <n v="0"/>
    <n v="446.24"/>
    <s v="LOS ANGELES"/>
    <x v="0"/>
  </r>
  <r>
    <n v="18"/>
    <d v="2018-07-25T00:00:00"/>
    <x v="6"/>
    <x v="6"/>
    <x v="0"/>
    <s v="ADMINISTRACION DE SUCURSALES"/>
    <s v="PAGO NOMINA QUINCENA 2 JULIO 2018"/>
    <s v="TRANSACCIONES DEL DIA 07/25/2018 RECURSOS HUMANOS"/>
    <n v="52.41"/>
    <n v="0"/>
    <s v="VILLA LUCRE"/>
    <x v="0"/>
  </r>
  <r>
    <n v="18"/>
    <d v="2018-12-31T00:00:00"/>
    <x v="1"/>
    <x v="1"/>
    <x v="0"/>
    <s v="ADMINISTRACION DE SUCURSALES"/>
    <s v="CIERRE DE ANIO FISCAL"/>
    <s v="CIERRE_DE_CTAS_NOMINALES"/>
    <n v="0"/>
    <n v="52.41"/>
    <s v="VILLA LUCRE"/>
    <x v="0"/>
  </r>
  <r>
    <n v="18"/>
    <d v="2018-06-09T00:00:00"/>
    <x v="2"/>
    <x v="2"/>
    <x v="0"/>
    <s v="CAJA"/>
    <s v="PAGO NOMINA QUINCENA 1 JUNIO 2018"/>
    <s v="TRANSACCIONES DEL DIA 06/09/2018 RECURSOS HUMANOS"/>
    <n v="523.71"/>
    <n v="0"/>
    <s v="VILLA LUCRE"/>
    <x v="0"/>
  </r>
  <r>
    <n v="18"/>
    <d v="2018-06-25T00:00:00"/>
    <x v="2"/>
    <x v="2"/>
    <x v="0"/>
    <s v="CAJA"/>
    <s v="PAGO NOMINA QUINCENA 2 JUNIO 2018"/>
    <s v="TRANSACCIONES DEL DIA 06/25/2018 RECURSOS HUMANOS"/>
    <n v="254.33"/>
    <n v="0"/>
    <s v="VILLA LUCRE"/>
    <x v="0"/>
  </r>
  <r>
    <n v="18"/>
    <d v="2018-07-10T00:00:00"/>
    <x v="6"/>
    <x v="6"/>
    <x v="0"/>
    <s v="CAJA"/>
    <s v="PAGO NOMINA QUINCENA 1 JULIO 2018"/>
    <s v="TRANSACCIONES DEL DIA 07/10/2018 RECURSOS HUMANOS"/>
    <n v="429.05"/>
    <n v="0"/>
    <s v="VILLA LUCRE"/>
    <x v="0"/>
  </r>
  <r>
    <n v="18"/>
    <d v="2018-07-25T00:00:00"/>
    <x v="6"/>
    <x v="6"/>
    <x v="0"/>
    <s v="CAJA"/>
    <s v="PAGO NOMINA QUINCENA 2 JULIO 2018"/>
    <s v="TRANSACCIONES DEL DIA 07/25/2018 RECURSOS HUMANOS"/>
    <n v="339.08"/>
    <n v="0"/>
    <s v="VILLA LUCRE"/>
    <x v="0"/>
  </r>
  <r>
    <n v="18"/>
    <d v="2018-08-10T00:00:00"/>
    <x v="3"/>
    <x v="3"/>
    <x v="0"/>
    <s v="CAJA"/>
    <s v="PAGO NOMINA QUINCENA 1 AGOSTO 2018"/>
    <s v="TRANSACCIONES DEL DIA 08/10/2018 RECURSOS HUMANOS"/>
    <n v="339.37"/>
    <n v="0"/>
    <s v="VILLA LUCRE"/>
    <x v="0"/>
  </r>
  <r>
    <n v="18"/>
    <d v="2018-08-25T00:00:00"/>
    <x v="3"/>
    <x v="3"/>
    <x v="0"/>
    <s v="CAJA"/>
    <s v="PAGO NOMINA QUINCENA 2 AGOSTO 2018"/>
    <s v="TRANSACCIONES DEL DIA 08/25/2018 RECURSOS HUMANOS"/>
    <n v="403.79"/>
    <n v="0"/>
    <s v="VILLA LUCRE"/>
    <x v="0"/>
  </r>
  <r>
    <n v="18"/>
    <d v="2018-09-10T00:00:00"/>
    <x v="4"/>
    <x v="4"/>
    <x v="0"/>
    <s v="CAJA"/>
    <s v="PAGO NOMINA QUINCENA 1 SEPTIEMBRE 2018"/>
    <s v="TRANSACCIONES DEL DIA 09/10/2018 RECURSOS HUMANOS"/>
    <n v="224.35"/>
    <n v="0"/>
    <s v="VILLA LUCRE"/>
    <x v="0"/>
  </r>
  <r>
    <n v="18"/>
    <d v="2018-09-25T00:00:00"/>
    <x v="4"/>
    <x v="4"/>
    <x v="0"/>
    <s v="CAJA"/>
    <s v="PAGO NOMINA QUINCENA 2 SEPTIEMBRE 2018"/>
    <s v="TRANSACCIONES DEL DIA 09/25/2018 RECURSOS HUMANOS"/>
    <n v="120.64"/>
    <n v="0"/>
    <s v="VILLA LUCRE"/>
    <x v="0"/>
  </r>
  <r>
    <n v="18"/>
    <d v="2018-10-10T00:00:00"/>
    <x v="0"/>
    <x v="0"/>
    <x v="0"/>
    <s v="CAJA"/>
    <s v="PAGO NOMINA QUINCENA 1 OCTUBRE 2018"/>
    <s v="TRANSACCIONES DEL DIA 10/10/2018 RECURSOS HUMANOS"/>
    <n v="450.39"/>
    <n v="0"/>
    <s v="VILLA LUCRE"/>
    <x v="0"/>
  </r>
  <r>
    <n v="18"/>
    <d v="2018-10-25T00:00:00"/>
    <x v="0"/>
    <x v="0"/>
    <x v="0"/>
    <s v="CAJA"/>
    <s v="PAGO NOMINA QUINCENA 2 OCTUBRE 2018"/>
    <s v="TRANSACCIONES DEL DIA 10/25/2018 RECURSOS HUMANOS"/>
    <n v="261.58999999999997"/>
    <n v="0"/>
    <s v="VILLA LUCRE"/>
    <x v="0"/>
  </r>
  <r>
    <n v="18"/>
    <d v="2018-11-09T00:00:00"/>
    <x v="5"/>
    <x v="5"/>
    <x v="0"/>
    <s v="CAJA"/>
    <s v="PAGO NOMINA QUINCENA 1 NOVIEMBRE 2018"/>
    <s v="TRANSACCIONES DEL DIA 11/09/2018 RECURSOS HUMANOS"/>
    <n v="302.99"/>
    <n v="0"/>
    <s v="VILLA LUCRE"/>
    <x v="0"/>
  </r>
  <r>
    <n v="18"/>
    <d v="2018-11-24T00:00:00"/>
    <x v="5"/>
    <x v="5"/>
    <x v="0"/>
    <s v="CAJA"/>
    <s v="PAGO NOMINA QUINCENA 2 NOVIEMBRE 2018"/>
    <s v="TRANSACCIONES DEL DIA 11/24/2018 RECURSOS HUMANOS"/>
    <n v="384.79"/>
    <n v="0"/>
    <s v="VILLA LUCRE"/>
    <x v="0"/>
  </r>
  <r>
    <n v="18"/>
    <d v="2018-12-10T00:00:00"/>
    <x v="1"/>
    <x v="1"/>
    <x v="0"/>
    <s v="CAJA"/>
    <s v="PAGO NOMINA QUINCENA 1 DICIEMBRE 2018"/>
    <s v="TRANSACCIONES DEL DIA 12/10/2018 RECURSOS HUMANOS"/>
    <n v="204.94"/>
    <n v="0"/>
    <s v="VILLA LUCRE"/>
    <x v="0"/>
  </r>
  <r>
    <n v="18"/>
    <d v="2018-12-19T00:00:00"/>
    <x v="1"/>
    <x v="1"/>
    <x v="0"/>
    <s v="CAJA"/>
    <s v="PAGO NOMINA QUINCENA 2 DICIEMBRE 2018"/>
    <s v="TRANSACCIONES DEL DIA 12/19/2018 RECURSOS HUMANOS"/>
    <n v="174.44"/>
    <n v="0"/>
    <s v="VILLA LUCRE"/>
    <x v="0"/>
  </r>
  <r>
    <n v="18"/>
    <d v="2018-12-31T00:00:00"/>
    <x v="1"/>
    <x v="1"/>
    <x v="0"/>
    <s v="CAJA"/>
    <s v="CIERRE DE ANIO FISCAL"/>
    <s v="CIERRE_DE_CTAS_NOMINALES"/>
    <n v="0"/>
    <n v="8299.23"/>
    <s v="VILLA LUCRE"/>
    <x v="0"/>
  </r>
  <r>
    <n v="18"/>
    <d v="2018-06-09T00:00:00"/>
    <x v="2"/>
    <x v="2"/>
    <x v="0"/>
    <s v="SERVICIOS PERSONALES"/>
    <s v="PAGO NOMINA QUINCENA 1 JUNIO 2018"/>
    <s v="TRANSACCIONES DEL DIA 06/09/2018 RECURSOS HUMANOS"/>
    <n v="21.74"/>
    <n v="0"/>
    <s v="VILLA LUCRE"/>
    <x v="0"/>
  </r>
  <r>
    <n v="18"/>
    <d v="2018-07-25T00:00:00"/>
    <x v="6"/>
    <x v="6"/>
    <x v="0"/>
    <s v="SERVICIOS PERSONALES"/>
    <s v="PAGO NOMINA QUINCENA 2 JULIO 2018"/>
    <s v="TRANSACCIONES DEL DIA 07/25/2018 RECURSOS HUMANOS"/>
    <n v="14.79"/>
    <n v="0"/>
    <s v="VILLA LUCRE"/>
    <x v="0"/>
  </r>
  <r>
    <n v="18"/>
    <d v="2018-11-09T00:00:00"/>
    <x v="5"/>
    <x v="5"/>
    <x v="0"/>
    <s v="SERVICIOS PERSONALES"/>
    <s v="PAGO NOMINA QUINCENA 1 NOVIEMBRE 2018"/>
    <s v="TRANSACCIONES DEL DIA 11/09/2018 RECURSOS HUMANOS"/>
    <n v="46.15"/>
    <n v="0"/>
    <s v="VILLA LUCRE"/>
    <x v="0"/>
  </r>
  <r>
    <n v="18"/>
    <d v="2018-12-31T00:00:00"/>
    <x v="1"/>
    <x v="1"/>
    <x v="0"/>
    <s v="SERVICIOS PERSONALES"/>
    <s v="CIERRE DE ANIO FISCAL"/>
    <s v="CIERRE_DE_CTAS_NOMINALES"/>
    <n v="0"/>
    <n v="116.79"/>
    <s v="VILLA LUCRE"/>
    <x v="0"/>
  </r>
  <r>
    <n v="19"/>
    <d v="2018-06-09T00:00:00"/>
    <x v="2"/>
    <x v="2"/>
    <x v="0"/>
    <s v="ADMINISTRACION DE SUCURSALES"/>
    <s v="PAGO NOMINA QUINCENA 1 JUNIO 2018"/>
    <s v="TRANSACCIONES DEL DIA 06/09/2018 RECURSOS HUMANOS"/>
    <n v="24"/>
    <n v="0"/>
    <s v="LOS ANDES"/>
    <x v="0"/>
  </r>
  <r>
    <n v="19"/>
    <d v="2018-10-25T00:00:00"/>
    <x v="0"/>
    <x v="0"/>
    <x v="0"/>
    <s v="ADMINISTRACION DE SUCURSALES"/>
    <s v="PAGO NOMINA QUINCENA 2 OCTUBRE 2018"/>
    <s v="TRANSACCIONES DEL DIA 10/25/2018 RECURSOS HUMANOS"/>
    <n v="39.19"/>
    <n v="0"/>
    <s v="LOS ANDES"/>
    <x v="0"/>
  </r>
  <r>
    <n v="19"/>
    <d v="2018-12-31T00:00:00"/>
    <x v="1"/>
    <x v="1"/>
    <x v="0"/>
    <s v="ADMINISTRACION DE SUCURSALES"/>
    <s v="CIERRE DE ANIO FISCAL"/>
    <s v="CIERRE_DE_CTAS_NOMINALES"/>
    <n v="0"/>
    <n v="63.19"/>
    <s v="LOS ANDES"/>
    <x v="0"/>
  </r>
  <r>
    <n v="19"/>
    <d v="2018-06-05T00:00:00"/>
    <x v="2"/>
    <x v="2"/>
    <x v="0"/>
    <s v="CAJA"/>
    <s v="PLANILLAS DE LIQUIDACIONES JUN 2018"/>
    <s v="TRANSACCIONES DEL DIA 06/05/2018 RECURSOS HUMANOS"/>
    <n v="111.78"/>
    <n v="0"/>
    <s v="LOS ANDES"/>
    <x v="0"/>
  </r>
  <r>
    <n v="19"/>
    <d v="2018-06-09T00:00:00"/>
    <x v="2"/>
    <x v="2"/>
    <x v="0"/>
    <s v="CAJA"/>
    <s v="PAGO NOMINA QUINCENA 1 JUNIO 2018"/>
    <s v="TRANSACCIONES DEL DIA 06/09/2018 RECURSOS HUMANOS"/>
    <n v="1317.94"/>
    <n v="0"/>
    <s v="LOS ANDES"/>
    <x v="0"/>
  </r>
  <r>
    <n v="19"/>
    <d v="2018-06-25T00:00:00"/>
    <x v="2"/>
    <x v="2"/>
    <x v="0"/>
    <s v="CAJA"/>
    <s v="PAGO NOMINA QUINCENA 2 JUNIO 2018"/>
    <s v="TRANSACCIONES DEL DIA 06/25/2018 RECURSOS HUMANOS"/>
    <n v="1283.47"/>
    <n v="0"/>
    <s v="LOS ANDES"/>
    <x v="0"/>
  </r>
  <r>
    <n v="19"/>
    <d v="2018-06-27T00:00:00"/>
    <x v="2"/>
    <x v="2"/>
    <x v="0"/>
    <s v="CAJA"/>
    <s v="PLANILLAS DE LIQUIDACIONES JUN 2018"/>
    <s v="TRANSACCIONES DEL DIA 06/27/2018 RECURSOS HUMANOS"/>
    <n v="16.38"/>
    <n v="0"/>
    <s v="LOS ANDES"/>
    <x v="0"/>
  </r>
  <r>
    <n v="19"/>
    <d v="2018-07-10T00:00:00"/>
    <x v="6"/>
    <x v="6"/>
    <x v="0"/>
    <s v="CAJA"/>
    <s v="PAGO NOMINA QUINCENA 1 JULIO 2018"/>
    <s v="TRANSACCIONES DEL DIA 07/10/2018 RECURSOS HUMANOS"/>
    <n v="1749.39"/>
    <n v="0"/>
    <s v="LOS ANDES"/>
    <x v="0"/>
  </r>
  <r>
    <n v="19"/>
    <d v="2018-07-25T00:00:00"/>
    <x v="6"/>
    <x v="6"/>
    <x v="0"/>
    <s v="CAJA"/>
    <s v="PAGO NOMINA QUINCENA 2 JULIO 2018"/>
    <s v="TRANSACCIONES DEL DIA 07/25/2018 RECURSOS HUMANOS"/>
    <n v="1542.51"/>
    <n v="0"/>
    <s v="LOS ANDES"/>
    <x v="0"/>
  </r>
  <r>
    <n v="19"/>
    <d v="2018-08-10T00:00:00"/>
    <x v="3"/>
    <x v="3"/>
    <x v="0"/>
    <s v="CAJA"/>
    <s v="PAGO NOMINA QUINCENA 1 AGOSTO 2018"/>
    <s v="TRANSACCIONES DEL DIA 08/10/2018 RECURSOS HUMANOS"/>
    <n v="1520.74"/>
    <n v="0"/>
    <s v="LOS ANDES"/>
    <x v="0"/>
  </r>
  <r>
    <n v="19"/>
    <d v="2018-08-25T00:00:00"/>
    <x v="3"/>
    <x v="3"/>
    <x v="0"/>
    <s v="CAJA"/>
    <s v="PAGO NOMINA QUINCENA 2 AGOSTO 2018"/>
    <s v="TRANSACCIONES DEL DIA 08/25/2018 RECURSOS HUMANOS"/>
    <n v="1388.9"/>
    <n v="0"/>
    <s v="LOS ANDES"/>
    <x v="0"/>
  </r>
  <r>
    <n v="19"/>
    <d v="2018-09-10T00:00:00"/>
    <x v="4"/>
    <x v="4"/>
    <x v="0"/>
    <s v="CAJA"/>
    <s v="PAGO NOMINA QUINCENA 1 SEPTIEMBRE 2018"/>
    <s v="TRANSACCIONES DEL DIA 09/10/2018 RECURSOS HUMANOS"/>
    <n v="1534.32"/>
    <n v="0"/>
    <s v="LOS ANDES"/>
    <x v="0"/>
  </r>
  <r>
    <n v="19"/>
    <d v="2018-09-25T00:00:00"/>
    <x v="4"/>
    <x v="4"/>
    <x v="0"/>
    <s v="CAJA"/>
    <s v="PAGO NOMINA QUINCENA 2 SEPTIEMBRE 2018"/>
    <s v="TRANSACCIONES DEL DIA 09/25/2018 RECURSOS HUMANOS"/>
    <n v="1092.69"/>
    <n v="0"/>
    <s v="LOS ANDES"/>
    <x v="0"/>
  </r>
  <r>
    <n v="19"/>
    <d v="2018-10-10T00:00:00"/>
    <x v="0"/>
    <x v="0"/>
    <x v="0"/>
    <s v="CAJA"/>
    <s v="PAGO NOMINA QUINCENA 1 OCTUBRE 2018"/>
    <s v="TRANSACCIONES DEL DIA 10/10/2018 RECURSOS HUMANOS"/>
    <n v="861.99"/>
    <n v="0"/>
    <s v="LOS ANDES"/>
    <x v="0"/>
  </r>
  <r>
    <n v="19"/>
    <d v="2018-10-25T00:00:00"/>
    <x v="0"/>
    <x v="0"/>
    <x v="0"/>
    <s v="CAJA"/>
    <s v="PAGO NOMINA QUINCENA 2 OCTUBRE 2018"/>
    <s v="TRANSACCIONES DEL DIA 10/25/2018 RECURSOS HUMANOS"/>
    <n v="512.05999999999995"/>
    <n v="0"/>
    <s v="LOS ANDES"/>
    <x v="0"/>
  </r>
  <r>
    <n v="19"/>
    <d v="2018-11-09T00:00:00"/>
    <x v="5"/>
    <x v="5"/>
    <x v="0"/>
    <s v="CAJA"/>
    <s v="PAGO NOMINA QUINCENA 1 NOVIEMBRE 2018"/>
    <s v="TRANSACCIONES DEL DIA 11/09/2018 RECURSOS HUMANOS"/>
    <n v="713.18"/>
    <n v="0"/>
    <s v="LOS ANDES"/>
    <x v="0"/>
  </r>
  <r>
    <n v="19"/>
    <d v="2018-11-24T00:00:00"/>
    <x v="5"/>
    <x v="5"/>
    <x v="0"/>
    <s v="CAJA"/>
    <s v="PAGO NOMINA QUINCENA 2 NOVIEMBRE 2018"/>
    <s v="TRANSACCIONES DEL DIA 11/24/2018 RECURSOS HUMANOS"/>
    <n v="1129.82"/>
    <n v="0"/>
    <s v="LOS ANDES"/>
    <x v="0"/>
  </r>
  <r>
    <n v="19"/>
    <d v="2018-12-10T00:00:00"/>
    <x v="1"/>
    <x v="1"/>
    <x v="0"/>
    <s v="CAJA"/>
    <s v="PAGO NOMINA QUINCENA 1 DICIEMBRE 2018"/>
    <s v="TRANSACCIONES DEL DIA 12/10/2018 RECURSOS HUMANOS"/>
    <n v="1421.56"/>
    <n v="0"/>
    <s v="LOS ANDES"/>
    <x v="0"/>
  </r>
  <r>
    <n v="19"/>
    <d v="2018-12-19T00:00:00"/>
    <x v="1"/>
    <x v="1"/>
    <x v="0"/>
    <s v="CAJA"/>
    <s v="PAGO NOMINA QUINCENA 2 DICIEMBRE 2018"/>
    <s v="TRANSACCIONES DEL DIA 12/19/2018 RECURSOS HUMANOS"/>
    <n v="1708.76"/>
    <n v="0"/>
    <s v="LOS ANDES"/>
    <x v="0"/>
  </r>
  <r>
    <n v="19"/>
    <d v="2018-12-31T00:00:00"/>
    <x v="1"/>
    <x v="1"/>
    <x v="0"/>
    <s v="CAJA"/>
    <s v="CIERRE DE ANIO FISCAL"/>
    <s v="CIERRE_DE_CTAS_NOMINALES"/>
    <n v="0"/>
    <n v="28914.81"/>
    <s v="LOS ANDES"/>
    <x v="0"/>
  </r>
  <r>
    <n v="19"/>
    <d v="2018-06-09T00:00:00"/>
    <x v="2"/>
    <x v="2"/>
    <x v="0"/>
    <s v="SERVICIOS PERSONALES"/>
    <s v="PAGO NOMINA QUINCENA 1 JUNIO 2018"/>
    <s v="TRANSACCIONES DEL DIA 06/09/2018 RECURSOS HUMANOS"/>
    <n v="44.52"/>
    <n v="0"/>
    <s v="LOS ANDES"/>
    <x v="0"/>
  </r>
  <r>
    <n v="19"/>
    <d v="2018-09-10T00:00:00"/>
    <x v="4"/>
    <x v="4"/>
    <x v="0"/>
    <s v="SERVICIOS PERSONALES"/>
    <s v="PAGO NOMINA QUINCENA 1 SEPTIEMBRE 2018"/>
    <s v="TRANSACCIONES DEL DIA 09/10/2018 RECURSOS HUMANOS"/>
    <n v="23.46"/>
    <n v="0"/>
    <s v="LOS ANDES"/>
    <x v="0"/>
  </r>
  <r>
    <n v="19"/>
    <d v="2018-10-25T00:00:00"/>
    <x v="0"/>
    <x v="0"/>
    <x v="0"/>
    <s v="SERVICIOS PERSONALES"/>
    <s v="PAGO NOMINA QUINCENA 2 OCTUBRE 2018"/>
    <s v="TRANSACCIONES DEL DIA 10/25/2018 RECURSOS HUMANOS"/>
    <n v="36.14"/>
    <n v="0"/>
    <s v="LOS ANDES"/>
    <x v="0"/>
  </r>
  <r>
    <n v="19"/>
    <d v="2018-11-24T00:00:00"/>
    <x v="5"/>
    <x v="5"/>
    <x v="0"/>
    <s v="SERVICIOS PERSONALES"/>
    <s v="PAGO NOMINA QUINCENA 2 NOVIEMBRE 2018"/>
    <s v="TRANSACCIONES DEL DIA 11/24/2018 RECURSOS HUMANOS"/>
    <n v="32.4"/>
    <n v="0"/>
    <s v="LOS ANDES"/>
    <x v="0"/>
  </r>
  <r>
    <n v="19"/>
    <d v="2018-12-31T00:00:00"/>
    <x v="1"/>
    <x v="1"/>
    <x v="0"/>
    <s v="SERVICIOS PERSONALES"/>
    <s v="CIERRE DE ANIO FISCAL"/>
    <s v="CIERRE_DE_CTAS_NOMINALES"/>
    <n v="0"/>
    <n v="285.3"/>
    <s v="LOS ANDES"/>
    <x v="0"/>
  </r>
  <r>
    <n v="20"/>
    <d v="2018-11-09T00:00:00"/>
    <x v="5"/>
    <x v="5"/>
    <x v="0"/>
    <s v="CAJA"/>
    <s v="PAGO NOMINA QUINCENA 1 NOVIEMBRE 2018"/>
    <s v="TRANSACCIONES DEL DIA 11/09/2018 RECURSOS HUMANOS"/>
    <n v="28.76"/>
    <n v="0"/>
    <s v="VIA ESPANA"/>
    <x v="0"/>
  </r>
  <r>
    <n v="20"/>
    <d v="2018-12-31T00:00:00"/>
    <x v="1"/>
    <x v="1"/>
    <x v="0"/>
    <s v="CAJA"/>
    <s v="CIERRE DE ANIO FISCAL"/>
    <s v="CIERRE_DE_CTAS_NOMINALES"/>
    <n v="0"/>
    <n v="492.05"/>
    <s v="VIA ESPANA"/>
    <x v="0"/>
  </r>
  <r>
    <n v="21"/>
    <d v="2018-09-10T00:00:00"/>
    <x v="4"/>
    <x v="4"/>
    <x v="0"/>
    <s v="CAJA"/>
    <s v="PAGO NOMINA QUINCENA 1 SEPTIEMBRE 2018"/>
    <s v="TRANSACCIONES DEL DIA 09/10/2018 RECURSOS HUMANOS"/>
    <n v="35.549999999999997"/>
    <n v="0"/>
    <s v="AVENIDA CUBA"/>
    <x v="0"/>
  </r>
  <r>
    <n v="21"/>
    <d v="2018-10-10T00:00:00"/>
    <x v="0"/>
    <x v="0"/>
    <x v="0"/>
    <s v="CAJA"/>
    <s v="PAGO NOMINA QUINCENA 1 OCTUBRE 2018"/>
    <s v="TRANSACCIONES DEL DIA 10/10/2018 RECURSOS HUMANOS"/>
    <n v="24.55"/>
    <n v="0"/>
    <s v="AVENIDA CUBA"/>
    <x v="0"/>
  </r>
  <r>
    <n v="21"/>
    <d v="2018-10-25T00:00:00"/>
    <x v="0"/>
    <x v="0"/>
    <x v="0"/>
    <s v="CAJA"/>
    <s v="PAGO NOMINA QUINCENA 2 OCTUBRE 2018"/>
    <s v="TRANSACCIONES DEL DIA 10/25/2018 RECURSOS HUMANOS"/>
    <n v="38.090000000000003"/>
    <n v="0"/>
    <s v="AVENIDA CUBA"/>
    <x v="0"/>
  </r>
  <r>
    <n v="21"/>
    <d v="2018-12-31T00:00:00"/>
    <x v="1"/>
    <x v="1"/>
    <x v="0"/>
    <s v="CAJA"/>
    <s v="CIERRE DE ANIO FISCAL"/>
    <s v="CIERRE_DE_CTAS_NOMINALES"/>
    <n v="0"/>
    <n v="183.42"/>
    <s v="AVENIDA CUBA"/>
    <x v="0"/>
  </r>
  <r>
    <n v="21"/>
    <d v="2018-11-09T00:00:00"/>
    <x v="5"/>
    <x v="5"/>
    <x v="0"/>
    <s v="SERVICIOS PERSONALES"/>
    <s v="PAGO NOMINA QUINCENA 1 NOVIEMBRE 2018"/>
    <s v="TRANSACCIONES DEL DIA 11/09/2018 RECURSOS HUMANOS"/>
    <n v="29.9"/>
    <n v="0"/>
    <s v="AVENIDA CUBA"/>
    <x v="0"/>
  </r>
  <r>
    <n v="21"/>
    <d v="2018-12-31T00:00:00"/>
    <x v="1"/>
    <x v="1"/>
    <x v="0"/>
    <s v="SERVICIOS PERSONALES"/>
    <s v="CIERRE DE ANIO FISCAL"/>
    <s v="CIERRE_DE_CTAS_NOMINALES"/>
    <n v="0"/>
    <n v="600.89"/>
    <s v="AVENIDA CUBA"/>
    <x v="0"/>
  </r>
  <r>
    <n v="22"/>
    <d v="2018-09-25T00:00:00"/>
    <x v="4"/>
    <x v="4"/>
    <x v="0"/>
    <s v="ADMINISTRACION DE SUCURSALES"/>
    <s v="PAGO NOMINA QUINCENA 2 SEPTIEMBRE 2018"/>
    <s v="TRANSACCIONES DEL DIA 09/25/2018 RECURSOS HUMANOS"/>
    <n v="4.6399999999999997"/>
    <n v="0"/>
    <s v="CHITRE"/>
    <x v="0"/>
  </r>
  <r>
    <n v="22"/>
    <d v="2018-12-31T00:00:00"/>
    <x v="1"/>
    <x v="1"/>
    <x v="0"/>
    <s v="ADMINISTRACION DE SUCURSALES"/>
    <s v="CIERRE DE ANIO FISCAL"/>
    <s v="CIERRE_DE_CTAS_NOMINALES"/>
    <n v="0"/>
    <n v="27.46"/>
    <s v="CHITRE"/>
    <x v="0"/>
  </r>
  <r>
    <n v="22"/>
    <d v="2018-06-09T00:00:00"/>
    <x v="2"/>
    <x v="2"/>
    <x v="0"/>
    <s v="CAJA"/>
    <s v="PAGO NOMINA QUINCENA 1 JUNIO 2018"/>
    <s v="TRANSACCIONES DEL DIA 06/09/2018 RECURSOS HUMANOS"/>
    <n v="441.03"/>
    <n v="0"/>
    <s v="CHITRE"/>
    <x v="0"/>
  </r>
  <r>
    <n v="22"/>
    <d v="2018-06-25T00:00:00"/>
    <x v="2"/>
    <x v="2"/>
    <x v="0"/>
    <s v="CAJA"/>
    <s v="PAGO NOMINA QUINCENA 2 JUNIO 2018"/>
    <s v="TRANSACCIONES DEL DIA 06/25/2018 RECURSOS HUMANOS"/>
    <n v="193.81"/>
    <n v="0"/>
    <s v="CHITRE"/>
    <x v="0"/>
  </r>
  <r>
    <n v="22"/>
    <d v="2018-07-10T00:00:00"/>
    <x v="6"/>
    <x v="6"/>
    <x v="0"/>
    <s v="CAJA"/>
    <s v="PAGO NOMINA QUINCENA 1 JULIO 2018"/>
    <s v="TRANSACCIONES DEL DIA 07/10/2018 RECURSOS HUMANOS"/>
    <n v="178.36"/>
    <n v="0"/>
    <s v="CHITRE"/>
    <x v="0"/>
  </r>
  <r>
    <n v="22"/>
    <d v="2018-07-25T00:00:00"/>
    <x v="6"/>
    <x v="6"/>
    <x v="0"/>
    <s v="CAJA"/>
    <s v="PAGO NOMINA QUINCENA 2 JULIO 2018"/>
    <s v="TRANSACCIONES DEL DIA 07/25/2018 RECURSOS HUMANOS"/>
    <n v="288.79000000000002"/>
    <n v="0"/>
    <s v="CHITRE"/>
    <x v="0"/>
  </r>
  <r>
    <n v="22"/>
    <d v="2018-08-10T00:00:00"/>
    <x v="3"/>
    <x v="3"/>
    <x v="0"/>
    <s v="CAJA"/>
    <s v="PAGO NOMINA QUINCENA 1 AGOSTO 2018"/>
    <s v="TRANSACCIONES DEL DIA 08/10/2018 RECURSOS HUMANOS"/>
    <n v="164.81"/>
    <n v="0"/>
    <s v="CHITRE"/>
    <x v="0"/>
  </r>
  <r>
    <n v="22"/>
    <d v="2018-08-25T00:00:00"/>
    <x v="3"/>
    <x v="3"/>
    <x v="0"/>
    <s v="CAJA"/>
    <s v="PAGO NOMINA QUINCENA 2 AGOSTO 2018"/>
    <s v="TRANSACCIONES DEL DIA 08/25/2018 RECURSOS HUMANOS"/>
    <n v="327.9"/>
    <n v="0"/>
    <s v="CHITRE"/>
    <x v="0"/>
  </r>
  <r>
    <n v="22"/>
    <d v="2018-09-10T00:00:00"/>
    <x v="4"/>
    <x v="4"/>
    <x v="0"/>
    <s v="CAJA"/>
    <s v="PAGO NOMINA QUINCENA 1 SEPTIEMBRE 2018"/>
    <s v="TRANSACCIONES DEL DIA 09/10/2018 RECURSOS HUMANOS"/>
    <n v="620.96"/>
    <n v="0"/>
    <s v="CHITRE"/>
    <x v="0"/>
  </r>
  <r>
    <n v="22"/>
    <d v="2018-09-25T00:00:00"/>
    <x v="4"/>
    <x v="4"/>
    <x v="0"/>
    <s v="CAJA"/>
    <s v="PAGO NOMINA QUINCENA 2 SEPTIEMBRE 2018"/>
    <s v="TRANSACCIONES DEL DIA 09/25/2018 RECURSOS HUMANOS"/>
    <n v="653.11"/>
    <n v="0"/>
    <s v="CHITRE"/>
    <x v="0"/>
  </r>
  <r>
    <n v="22"/>
    <d v="2018-10-10T00:00:00"/>
    <x v="0"/>
    <x v="0"/>
    <x v="0"/>
    <s v="CAJA"/>
    <s v="PAGO NOMINA QUINCENA 1 OCTUBRE 2018"/>
    <s v="TRANSACCIONES DEL DIA 10/10/2018 RECURSOS HUMANOS"/>
    <n v="415.3"/>
    <n v="0"/>
    <s v="CHITRE"/>
    <x v="0"/>
  </r>
  <r>
    <n v="22"/>
    <d v="2018-10-25T00:00:00"/>
    <x v="0"/>
    <x v="0"/>
    <x v="0"/>
    <s v="CAJA"/>
    <s v="PAGO NOMINA QUINCENA 2 OCTUBRE 2018"/>
    <s v="TRANSACCIONES DEL DIA 10/25/2018 RECURSOS HUMANOS"/>
    <n v="421.31"/>
    <n v="0"/>
    <s v="CHITRE"/>
    <x v="0"/>
  </r>
  <r>
    <n v="22"/>
    <d v="2018-11-09T00:00:00"/>
    <x v="5"/>
    <x v="5"/>
    <x v="0"/>
    <s v="CAJA"/>
    <s v="PAGO NOMINA QUINCENA 1 NOVIEMBRE 2018"/>
    <s v="TRANSACCIONES DEL DIA 11/09/2018 RECURSOS HUMANOS"/>
    <n v="563.80999999999995"/>
    <n v="0"/>
    <s v="CHITRE"/>
    <x v="0"/>
  </r>
  <r>
    <n v="22"/>
    <d v="2018-11-24T00:00:00"/>
    <x v="5"/>
    <x v="5"/>
    <x v="0"/>
    <s v="CAJA"/>
    <s v="PAGO NOMINA QUINCENA 2 NOVIEMBRE 2018"/>
    <s v="TRANSACCIONES DEL DIA 11/24/2018 RECURSOS HUMANOS"/>
    <n v="524.77"/>
    <n v="0"/>
    <s v="CHITRE"/>
    <x v="0"/>
  </r>
  <r>
    <n v="22"/>
    <d v="2018-12-10T00:00:00"/>
    <x v="1"/>
    <x v="1"/>
    <x v="0"/>
    <s v="CAJA"/>
    <s v="PAGO NOMINA QUINCENA 1 DICIEMBRE 2018"/>
    <s v="TRANSACCIONES DEL DIA 12/10/2018 RECURSOS HUMANOS"/>
    <n v="853.72"/>
    <n v="0"/>
    <s v="CHITRE"/>
    <x v="0"/>
  </r>
  <r>
    <n v="22"/>
    <d v="2018-12-19T00:00:00"/>
    <x v="1"/>
    <x v="1"/>
    <x v="0"/>
    <s v="CAJA"/>
    <s v="PAGO NOMINA QUINCENA 2 DICIEMBRE 2018"/>
    <s v="TRANSACCIONES DEL DIA 12/19/2018 RECURSOS HUMANOS"/>
    <n v="823.91"/>
    <n v="0"/>
    <s v="CHITRE"/>
    <x v="0"/>
  </r>
  <r>
    <n v="22"/>
    <d v="2018-12-31T00:00:00"/>
    <x v="1"/>
    <x v="1"/>
    <x v="0"/>
    <s v="CAJA"/>
    <s v="CIERRE DE ANIO FISCAL"/>
    <s v="CIERRE_DE_CTAS_NOMINALES"/>
    <n v="0"/>
    <n v="10469.540000000001"/>
    <s v="CHITRE"/>
    <x v="0"/>
  </r>
  <r>
    <n v="22"/>
    <d v="2018-08-10T00:00:00"/>
    <x v="3"/>
    <x v="3"/>
    <x v="0"/>
    <s v="SERVICIOS PERSONALES"/>
    <s v="PAGO NOMINA QUINCENA 1 AGOSTO 2018"/>
    <s v="TRANSACCIONES DEL DIA 08/10/2018 RECURSOS HUMANOS"/>
    <n v="28"/>
    <n v="0"/>
    <s v="CHITRE"/>
    <x v="0"/>
  </r>
  <r>
    <n v="22"/>
    <d v="2018-09-10T00:00:00"/>
    <x v="4"/>
    <x v="4"/>
    <x v="0"/>
    <s v="SERVICIOS PERSONALES"/>
    <s v="PAGO NOMINA QUINCENA 1 SEPTIEMBRE 2018"/>
    <s v="TRANSACCIONES DEL DIA 09/10/2018 RECURSOS HUMANOS"/>
    <n v="23.27"/>
    <n v="0"/>
    <s v="CHITRE"/>
    <x v="0"/>
  </r>
  <r>
    <n v="22"/>
    <d v="2018-09-25T00:00:00"/>
    <x v="4"/>
    <x v="4"/>
    <x v="0"/>
    <s v="SERVICIOS PERSONALES"/>
    <s v="PAGO NOMINA QUINCENA 2 SEPTIEMBRE 2018"/>
    <s v="TRANSACCIONES DEL DIA 09/25/2018 RECURSOS HUMANOS"/>
    <n v="5.63"/>
    <n v="0"/>
    <s v="CHITRE"/>
    <x v="0"/>
  </r>
  <r>
    <n v="22"/>
    <d v="2018-10-10T00:00:00"/>
    <x v="0"/>
    <x v="0"/>
    <x v="0"/>
    <s v="SERVICIOS PERSONALES"/>
    <s v="PAGO NOMINA QUINCENA 1 OCTUBRE 2018"/>
    <s v="TRANSACCIONES DEL DIA 10/10/2018 RECURSOS HUMANOS"/>
    <n v="7.73"/>
    <n v="0"/>
    <s v="CHITRE"/>
    <x v="0"/>
  </r>
  <r>
    <n v="22"/>
    <d v="2018-10-25T00:00:00"/>
    <x v="0"/>
    <x v="0"/>
    <x v="0"/>
    <s v="SERVICIOS PERSONALES"/>
    <s v="PAGO NOMINA QUINCENA 2 OCTUBRE 2018"/>
    <s v="TRANSACCIONES DEL DIA 10/25/2018 RECURSOS HUMANOS"/>
    <n v="4.2"/>
    <n v="0"/>
    <s v="CHITRE"/>
    <x v="0"/>
  </r>
  <r>
    <n v="22"/>
    <d v="2018-11-24T00:00:00"/>
    <x v="5"/>
    <x v="5"/>
    <x v="0"/>
    <s v="SERVICIOS PERSONALES"/>
    <s v="PAGO NOMINA QUINCENA 2 NOVIEMBRE 2018"/>
    <s v="TRANSACCIONES DEL DIA 11/24/2018 RECURSOS HUMANOS"/>
    <n v="11.02"/>
    <n v="0"/>
    <s v="CHITRE"/>
    <x v="0"/>
  </r>
  <r>
    <n v="22"/>
    <d v="2018-12-31T00:00:00"/>
    <x v="1"/>
    <x v="1"/>
    <x v="0"/>
    <s v="SERVICIOS PERSONALES"/>
    <s v="CIERRE DE ANIO FISCAL"/>
    <s v="CIERRE_DE_CTAS_NOMINALES"/>
    <n v="0"/>
    <n v="2827.76"/>
    <s v="CHITRE"/>
    <x v="0"/>
  </r>
  <r>
    <n v="23"/>
    <d v="2018-10-25T00:00:00"/>
    <x v="0"/>
    <x v="0"/>
    <x v="0"/>
    <s v="ADMINISTRACION DE SUCURSALES"/>
    <s v="PAGO NOMINA QUINCENA 2 OCTUBRE 2018"/>
    <s v="TRANSACCIONES DEL DIA 10/25/2018 RECURSOS HUMANOS"/>
    <n v="41.65"/>
    <n v="0"/>
    <s v="LOS PUEBLOS"/>
    <x v="0"/>
  </r>
  <r>
    <n v="23"/>
    <d v="2018-12-31T00:00:00"/>
    <x v="1"/>
    <x v="1"/>
    <x v="0"/>
    <s v="ADMINISTRACION DE SUCURSALES"/>
    <s v="CIERRE DE ANIO FISCAL"/>
    <s v="CIERRE_DE_CTAS_NOMINALES"/>
    <n v="0"/>
    <n v="108.09"/>
    <s v="LOS PUEBLOS"/>
    <x v="0"/>
  </r>
  <r>
    <n v="23"/>
    <d v="2018-06-09T00:00:00"/>
    <x v="2"/>
    <x v="2"/>
    <x v="0"/>
    <s v="CAJA"/>
    <s v="PAGO NOMINA QUINCENA 1 JUNIO 2018"/>
    <s v="TRANSACCIONES DEL DIA 06/09/2018 RECURSOS HUMANOS"/>
    <n v="415.06"/>
    <n v="0"/>
    <s v="LOS PUEBLOS"/>
    <x v="0"/>
  </r>
  <r>
    <n v="23"/>
    <d v="2018-06-25T00:00:00"/>
    <x v="2"/>
    <x v="2"/>
    <x v="0"/>
    <s v="CAJA"/>
    <s v="PAGO NOMINA QUINCENA 2 JUNIO 2018"/>
    <s v="TRANSACCIONES DEL DIA 06/25/2018 RECURSOS HUMANOS"/>
    <n v="493.74"/>
    <n v="0"/>
    <s v="LOS PUEBLOS"/>
    <x v="0"/>
  </r>
  <r>
    <n v="23"/>
    <d v="2018-07-10T00:00:00"/>
    <x v="6"/>
    <x v="6"/>
    <x v="0"/>
    <s v="CAJA"/>
    <s v="PAGO NOMINA QUINCENA 1 JULIO 2018"/>
    <s v="TRANSACCIONES DEL DIA 07/10/2018 RECURSOS HUMANOS"/>
    <n v="383.97"/>
    <n v="0"/>
    <s v="LOS PUEBLOS"/>
    <x v="0"/>
  </r>
  <r>
    <n v="23"/>
    <d v="2018-07-25T00:00:00"/>
    <x v="6"/>
    <x v="6"/>
    <x v="0"/>
    <s v="CAJA"/>
    <s v="PAGO NOMINA QUINCENA 2 JULIO 2018"/>
    <s v="TRANSACCIONES DEL DIA 07/25/2018 RECURSOS HUMANOS"/>
    <n v="469.33"/>
    <n v="0"/>
    <s v="LOS PUEBLOS"/>
    <x v="0"/>
  </r>
  <r>
    <n v="23"/>
    <d v="2018-08-10T00:00:00"/>
    <x v="3"/>
    <x v="3"/>
    <x v="0"/>
    <s v="CAJA"/>
    <s v="PAGO NOMINA QUINCENA 1 AGOSTO 2018"/>
    <s v="TRANSACCIONES DEL DIA 08/10/2018 RECURSOS HUMANOS"/>
    <n v="362.75"/>
    <n v="0"/>
    <s v="LOS PUEBLOS"/>
    <x v="0"/>
  </r>
  <r>
    <n v="23"/>
    <d v="2018-08-25T00:00:00"/>
    <x v="3"/>
    <x v="3"/>
    <x v="0"/>
    <s v="CAJA"/>
    <s v="PAGO NOMINA QUINCENA 2 AGOSTO 2018"/>
    <s v="TRANSACCIONES DEL DIA 08/25/2018 RECURSOS HUMANOS"/>
    <n v="471.52"/>
    <n v="0"/>
    <s v="LOS PUEBLOS"/>
    <x v="0"/>
  </r>
  <r>
    <n v="23"/>
    <d v="2018-09-10T00:00:00"/>
    <x v="4"/>
    <x v="4"/>
    <x v="0"/>
    <s v="CAJA"/>
    <s v="PAGO NOMINA QUINCENA 1 SEPTIEMBRE 2018"/>
    <s v="TRANSACCIONES DEL DIA 09/10/2018 RECURSOS HUMANOS"/>
    <n v="882.86"/>
    <n v="0"/>
    <s v="LOS PUEBLOS"/>
    <x v="0"/>
  </r>
  <r>
    <n v="23"/>
    <d v="2018-09-25T00:00:00"/>
    <x v="4"/>
    <x v="4"/>
    <x v="0"/>
    <s v="CAJA"/>
    <s v="PAGO NOMINA QUINCENA 2 SEPTIEMBRE 2018"/>
    <s v="TRANSACCIONES DEL DIA 09/25/2018 RECURSOS HUMANOS"/>
    <n v="1197.99"/>
    <n v="0"/>
    <s v="LOS PUEBLOS"/>
    <x v="0"/>
  </r>
  <r>
    <n v="23"/>
    <d v="2018-10-10T00:00:00"/>
    <x v="0"/>
    <x v="0"/>
    <x v="0"/>
    <s v="CAJA"/>
    <s v="PAGO NOMINA QUINCENA 1 OCTUBRE 2018"/>
    <s v="TRANSACCIONES DEL DIA 10/10/2018 RECURSOS HUMANOS"/>
    <n v="523.47"/>
    <n v="0"/>
    <s v="LOS PUEBLOS"/>
    <x v="0"/>
  </r>
  <r>
    <n v="23"/>
    <d v="2018-10-25T00:00:00"/>
    <x v="0"/>
    <x v="0"/>
    <x v="0"/>
    <s v="CAJA"/>
    <s v="PAGO NOMINA QUINCENA 2 OCTUBRE 2018"/>
    <s v="TRANSACCIONES DEL DIA 10/25/2018 RECURSOS HUMANOS"/>
    <n v="332.9"/>
    <n v="0"/>
    <s v="LOS PUEBLOS"/>
    <x v="0"/>
  </r>
  <r>
    <n v="23"/>
    <d v="2018-11-09T00:00:00"/>
    <x v="5"/>
    <x v="5"/>
    <x v="0"/>
    <s v="CAJA"/>
    <s v="PAGO NOMINA QUINCENA 1 NOVIEMBRE 2018"/>
    <s v="TRANSACCIONES DEL DIA 11/09/2018 RECURSOS HUMANOS"/>
    <n v="460.64"/>
    <n v="0"/>
    <s v="LOS PUEBLOS"/>
    <x v="0"/>
  </r>
  <r>
    <n v="23"/>
    <d v="2018-11-24T00:00:00"/>
    <x v="5"/>
    <x v="5"/>
    <x v="0"/>
    <s v="CAJA"/>
    <s v="PAGO NOMINA QUINCENA 2 NOVIEMBRE 2018"/>
    <s v="TRANSACCIONES DEL DIA 11/24/2018 RECURSOS HUMANOS"/>
    <n v="580.74"/>
    <n v="0"/>
    <s v="LOS PUEBLOS"/>
    <x v="0"/>
  </r>
  <r>
    <n v="23"/>
    <d v="2018-12-10T00:00:00"/>
    <x v="1"/>
    <x v="1"/>
    <x v="0"/>
    <s v="CAJA"/>
    <s v="PAGO NOMINA QUINCENA 1 DICIEMBRE 2018"/>
    <s v="TRANSACCIONES DEL DIA 12/10/2018 RECURSOS HUMANOS"/>
    <n v="525.66"/>
    <n v="0"/>
    <s v="LOS PUEBLOS"/>
    <x v="0"/>
  </r>
  <r>
    <n v="23"/>
    <d v="2018-12-19T00:00:00"/>
    <x v="1"/>
    <x v="1"/>
    <x v="0"/>
    <s v="CAJA"/>
    <s v="PAGO NOMINA QUINCENA 2 DICIEMBRE 2018"/>
    <s v="TRANSACCIONES DEL DIA 12/19/2018 RECURSOS HUMANOS"/>
    <n v="438.4"/>
    <n v="0"/>
    <s v="LOS PUEBLOS"/>
    <x v="0"/>
  </r>
  <r>
    <n v="23"/>
    <d v="2018-12-31T00:00:00"/>
    <x v="1"/>
    <x v="1"/>
    <x v="0"/>
    <s v="CAJA"/>
    <s v="CIERRE DE ANIO FISCAL"/>
    <s v="CIERRE_DE_CTAS_NOMINALES"/>
    <n v="0"/>
    <n v="11572.06"/>
    <s v="LOS PUEBLOS"/>
    <x v="0"/>
  </r>
  <r>
    <n v="23"/>
    <d v="2018-06-25T00:00:00"/>
    <x v="2"/>
    <x v="2"/>
    <x v="0"/>
    <s v="SERVICIOS PERSONALES"/>
    <s v="PAGO NOMINA QUINCENA 2 JUNIO 2018"/>
    <s v="TRANSACCIONES DEL DIA 06/25/2018 RECURSOS HUMANOS"/>
    <n v="27.87"/>
    <n v="0"/>
    <s v="LOS PUEBLOS"/>
    <x v="0"/>
  </r>
  <r>
    <n v="23"/>
    <d v="2018-08-10T00:00:00"/>
    <x v="3"/>
    <x v="3"/>
    <x v="0"/>
    <s v="SERVICIOS PERSONALES"/>
    <s v="PAGO NOMINA QUINCENA 1 AGOSTO 2018"/>
    <s v="TRANSACCIONES DEL DIA 08/10/2018 RECURSOS HUMANOS"/>
    <n v="13.33"/>
    <n v="0"/>
    <s v="LOS PUEBLOS"/>
    <x v="0"/>
  </r>
  <r>
    <n v="23"/>
    <d v="2018-08-15T00:00:00"/>
    <x v="3"/>
    <x v="3"/>
    <x v="0"/>
    <s v="SERVICIOS PERSONALES"/>
    <s v="PLANILLAS DE LIQUIDACIONES AGO 2018"/>
    <s v="TRANSACCIONES DEL DIA 08/15/2018 RECURSOS HUMANOS"/>
    <n v="15.81"/>
    <n v="0"/>
    <s v="LOS PUEBLOS"/>
    <x v="0"/>
  </r>
  <r>
    <n v="23"/>
    <d v="2018-09-10T00:00:00"/>
    <x v="4"/>
    <x v="4"/>
    <x v="0"/>
    <s v="SERVICIOS PERSONALES"/>
    <s v="PAGO NOMINA QUINCENA 1 SEPTIEMBRE 2018"/>
    <s v="TRANSACCIONES DEL DIA 09/10/2018 RECURSOS HUMANOS"/>
    <n v="44.34"/>
    <n v="0"/>
    <s v="LOS PUEBLOS"/>
    <x v="0"/>
  </r>
  <r>
    <n v="23"/>
    <d v="2018-09-25T00:00:00"/>
    <x v="4"/>
    <x v="4"/>
    <x v="0"/>
    <s v="SERVICIOS PERSONALES"/>
    <s v="PAGO NOMINA QUINCENA 2 SEPTIEMBRE 2018"/>
    <s v="TRANSACCIONES DEL DIA 09/25/2018 RECURSOS HUMANOS"/>
    <n v="28.7"/>
    <n v="0"/>
    <s v="LOS PUEBLOS"/>
    <x v="0"/>
  </r>
  <r>
    <n v="23"/>
    <d v="2018-10-25T00:00:00"/>
    <x v="0"/>
    <x v="0"/>
    <x v="0"/>
    <s v="SERVICIOS PERSONALES"/>
    <s v="PAGO NOMINA QUINCENA 2 OCTUBRE 2018"/>
    <s v="TRANSACCIONES DEL DIA 10/25/2018 RECURSOS HUMANOS"/>
    <n v="131.9"/>
    <n v="0"/>
    <s v="LOS PUEBLOS"/>
    <x v="0"/>
  </r>
  <r>
    <n v="23"/>
    <d v="2018-11-09T00:00:00"/>
    <x v="5"/>
    <x v="5"/>
    <x v="0"/>
    <s v="SERVICIOS PERSONALES"/>
    <s v="PAGO NOMINA QUINCENA 1 NOVIEMBRE 2018"/>
    <s v="TRANSACCIONES DEL DIA 11/09/2018 RECURSOS HUMANOS"/>
    <n v="12.26"/>
    <n v="0"/>
    <s v="LOS PUEBLOS"/>
    <x v="0"/>
  </r>
  <r>
    <n v="23"/>
    <d v="2018-12-19T00:00:00"/>
    <x v="1"/>
    <x v="1"/>
    <x v="0"/>
    <s v="SERVICIOS PERSONALES"/>
    <s v="PAGO NOMINA QUINCENA 2 DICIEMBRE 2018"/>
    <s v="TRANSACCIONES DEL DIA 12/19/2018 RECURSOS HUMANOS"/>
    <n v="11.99"/>
    <n v="0"/>
    <s v="LOS PUEBLOS"/>
    <x v="0"/>
  </r>
  <r>
    <n v="23"/>
    <d v="2018-12-31T00:00:00"/>
    <x v="1"/>
    <x v="1"/>
    <x v="0"/>
    <s v="SERVICIOS PERSONALES"/>
    <s v="CIERRE DE ANIO FISCAL"/>
    <s v="CIERRE_DE_CTAS_NOMINALES"/>
    <n v="0"/>
    <n v="384.59"/>
    <s v="LOS PUEBLOS"/>
    <x v="0"/>
  </r>
  <r>
    <n v="26"/>
    <d v="2018-06-09T00:00:00"/>
    <x v="2"/>
    <x v="2"/>
    <x v="0"/>
    <s v="ADMINISTRACION DE SUCURSALES"/>
    <s v="PAGO NOMINA QUINCENA 1 JUNIO 2018"/>
    <s v="TRANSACCIONES DEL DIA 06/09/2018 RECURSOS HUMANOS"/>
    <n v="48.24"/>
    <n v="0"/>
    <s v="TRANSISTMICA"/>
    <x v="0"/>
  </r>
  <r>
    <n v="26"/>
    <d v="2018-07-25T00:00:00"/>
    <x v="6"/>
    <x v="6"/>
    <x v="0"/>
    <s v="ADMINISTRACION DE SUCURSALES"/>
    <s v="PAGO NOMINA QUINCENA 2 JULIO 2018"/>
    <s v="TRANSACCIONES DEL DIA 07/25/2018 RECURSOS HUMANOS"/>
    <n v="15.09"/>
    <n v="0"/>
    <s v="TRANSISTMICA"/>
    <x v="0"/>
  </r>
  <r>
    <n v="26"/>
    <d v="2018-08-10T00:00:00"/>
    <x v="3"/>
    <x v="3"/>
    <x v="0"/>
    <s v="ADMINISTRACION DE SUCURSALES"/>
    <s v="PAGO NOMINA QUINCENA 1 AGOSTO 2018"/>
    <s v="TRANSACCIONES DEL DIA 08/10/2018 RECURSOS HUMANOS"/>
    <n v="33.58"/>
    <n v="0"/>
    <s v="TRANSISTMICA"/>
    <x v="0"/>
  </r>
  <r>
    <n v="26"/>
    <d v="2018-08-25T00:00:00"/>
    <x v="3"/>
    <x v="3"/>
    <x v="0"/>
    <s v="ADMINISTRACION DE SUCURSALES"/>
    <s v="PAGO NOMINA QUINCENA 2 AGOSTO 2018"/>
    <s v="TRANSACCIONES DEL DIA 08/25/2018 RECURSOS HUMANOS"/>
    <n v="34.42"/>
    <n v="0"/>
    <s v="TRANSISTMICA"/>
    <x v="0"/>
  </r>
  <r>
    <n v="26"/>
    <d v="2018-09-10T00:00:00"/>
    <x v="4"/>
    <x v="4"/>
    <x v="0"/>
    <s v="ADMINISTRACION DE SUCURSALES"/>
    <s v="PAGO NOMINA QUINCENA 1 SEPTIEMBRE 2018"/>
    <s v="TRANSACCIONES DEL DIA 09/10/2018 RECURSOS HUMANOS"/>
    <n v="21.04"/>
    <n v="0"/>
    <s v="TRANSISTMICA"/>
    <x v="0"/>
  </r>
  <r>
    <n v="26"/>
    <d v="2018-10-10T00:00:00"/>
    <x v="0"/>
    <x v="0"/>
    <x v="0"/>
    <s v="ADMINISTRACION DE SUCURSALES"/>
    <s v="PAGO NOMINA QUINCENA 1 OCTUBRE 2018"/>
    <s v="TRANSACCIONES DEL DIA 10/10/2018 RECURSOS HUMANOS"/>
    <n v="40.35"/>
    <n v="0"/>
    <s v="TRANSISTMICA"/>
    <x v="0"/>
  </r>
  <r>
    <n v="26"/>
    <d v="2018-10-25T00:00:00"/>
    <x v="0"/>
    <x v="0"/>
    <x v="0"/>
    <s v="ADMINISTRACION DE SUCURSALES"/>
    <s v="PAGO NOMINA QUINCENA 2 OCTUBRE 2018"/>
    <s v="TRANSACCIONES DEL DIA 10/25/2018 RECURSOS HUMANOS"/>
    <n v="21.44"/>
    <n v="0"/>
    <s v="TRANSISTMICA"/>
    <x v="0"/>
  </r>
  <r>
    <n v="26"/>
    <d v="2018-11-09T00:00:00"/>
    <x v="5"/>
    <x v="5"/>
    <x v="0"/>
    <s v="ADMINISTRACION DE SUCURSALES"/>
    <s v="PAGO NOMINA QUINCENA 1 NOVIEMBRE 2018"/>
    <s v="TRANSACCIONES DEL DIA 11/09/2018 RECURSOS HUMANOS"/>
    <n v="38.81"/>
    <n v="0"/>
    <s v="TRANSISTMICA"/>
    <x v="0"/>
  </r>
  <r>
    <n v="26"/>
    <d v="2018-11-24T00:00:00"/>
    <x v="5"/>
    <x v="5"/>
    <x v="0"/>
    <s v="ADMINISTRACION DE SUCURSALES"/>
    <s v="PAGO NOMINA QUINCENA 2 NOVIEMBRE 2018"/>
    <s v="TRANSACCIONES DEL DIA 11/24/2018 RECURSOS HUMANOS"/>
    <n v="38.81"/>
    <n v="0"/>
    <s v="TRANSISTMICA"/>
    <x v="0"/>
  </r>
  <r>
    <n v="26"/>
    <d v="2018-12-31T00:00:00"/>
    <x v="1"/>
    <x v="1"/>
    <x v="0"/>
    <s v="ADMINISTRACION DE SUCURSALES"/>
    <s v="CIERRE DE ANIO FISCAL"/>
    <s v="CIERRE_DE_CTAS_NOMINALES"/>
    <n v="0"/>
    <n v="369.1"/>
    <s v="TRANSISTMICA"/>
    <x v="0"/>
  </r>
  <r>
    <n v="26"/>
    <d v="2018-06-09T00:00:00"/>
    <x v="2"/>
    <x v="2"/>
    <x v="0"/>
    <s v="CAJA"/>
    <s v="PAGO NOMINA QUINCENA 1 JUNIO 2018"/>
    <s v="TRANSACCIONES DEL DIA 06/09/2018 RECURSOS HUMANOS"/>
    <n v="556.64"/>
    <n v="0"/>
    <s v="TRANSISTMICA"/>
    <x v="0"/>
  </r>
  <r>
    <n v="26"/>
    <d v="2018-06-25T00:00:00"/>
    <x v="2"/>
    <x v="2"/>
    <x v="0"/>
    <s v="CAJA"/>
    <s v="PAGO NOMINA QUINCENA 2 JUNIO 2018"/>
    <s v="TRANSACCIONES DEL DIA 06/25/2018 RECURSOS HUMANOS"/>
    <n v="98.72"/>
    <n v="0"/>
    <s v="TRANSISTMICA"/>
    <x v="0"/>
  </r>
  <r>
    <n v="26"/>
    <d v="2018-07-10T00:00:00"/>
    <x v="6"/>
    <x v="6"/>
    <x v="0"/>
    <s v="CAJA"/>
    <s v="PAGO NOMINA QUINCENA 1 JULIO 2018"/>
    <s v="TRANSACCIONES DEL DIA 07/10/2018 RECURSOS HUMANOS"/>
    <n v="24.12"/>
    <n v="0"/>
    <s v="TRANSISTMICA"/>
    <x v="0"/>
  </r>
  <r>
    <n v="26"/>
    <d v="2018-07-25T00:00:00"/>
    <x v="6"/>
    <x v="6"/>
    <x v="0"/>
    <s v="CAJA"/>
    <s v="PAGO NOMINA QUINCENA 2 JULIO 2018"/>
    <s v="TRANSACCIONES DEL DIA 07/25/2018 RECURSOS HUMANOS"/>
    <n v="298.81"/>
    <n v="0"/>
    <s v="TRANSISTMICA"/>
    <x v="0"/>
  </r>
  <r>
    <n v="26"/>
    <d v="2018-08-10T00:00:00"/>
    <x v="3"/>
    <x v="3"/>
    <x v="0"/>
    <s v="CAJA"/>
    <s v="PAGO NOMINA QUINCENA 1 AGOSTO 2018"/>
    <s v="TRANSACCIONES DEL DIA 08/10/2018 RECURSOS HUMANOS"/>
    <n v="496.79"/>
    <n v="0"/>
    <s v="TRANSISTMICA"/>
    <x v="0"/>
  </r>
  <r>
    <n v="26"/>
    <d v="2018-08-25T00:00:00"/>
    <x v="3"/>
    <x v="3"/>
    <x v="0"/>
    <s v="CAJA"/>
    <s v="PAGO NOMINA QUINCENA 2 AGOSTO 2018"/>
    <s v="TRANSACCIONES DEL DIA 08/25/2018 RECURSOS HUMANOS"/>
    <n v="1473.5"/>
    <n v="0"/>
    <s v="TRANSISTMICA"/>
    <x v="0"/>
  </r>
  <r>
    <n v="26"/>
    <d v="2018-09-10T00:00:00"/>
    <x v="4"/>
    <x v="4"/>
    <x v="0"/>
    <s v="CAJA"/>
    <s v="PAGO NOMINA QUINCENA 1 SEPTIEMBRE 2018"/>
    <s v="TRANSACCIONES DEL DIA 09/10/2018 RECURSOS HUMANOS"/>
    <n v="446.09"/>
    <n v="0"/>
    <s v="TRANSISTMICA"/>
    <x v="0"/>
  </r>
  <r>
    <n v="26"/>
    <d v="2018-09-25T00:00:00"/>
    <x v="4"/>
    <x v="4"/>
    <x v="0"/>
    <s v="CAJA"/>
    <s v="PAGO NOMINA QUINCENA 2 SEPTIEMBRE 2018"/>
    <s v="TRANSACCIONES DEL DIA 09/25/2018 RECURSOS HUMANOS"/>
    <n v="607.30999999999995"/>
    <n v="0"/>
    <s v="TRANSISTMICA"/>
    <x v="0"/>
  </r>
  <r>
    <n v="26"/>
    <d v="2018-10-10T00:00:00"/>
    <x v="0"/>
    <x v="0"/>
    <x v="0"/>
    <s v="CAJA"/>
    <s v="PAGO NOMINA QUINCENA 1 OCTUBRE 2018"/>
    <s v="TRANSACCIONES DEL DIA 10/10/2018 RECURSOS HUMANOS"/>
    <n v="503.22"/>
    <n v="0"/>
    <s v="TRANSISTMICA"/>
    <x v="0"/>
  </r>
  <r>
    <n v="26"/>
    <d v="2018-10-25T00:00:00"/>
    <x v="0"/>
    <x v="0"/>
    <x v="0"/>
    <s v="CAJA"/>
    <s v="PAGO NOMINA QUINCENA 2 OCTUBRE 2018"/>
    <s v="TRANSACCIONES DEL DIA 10/25/2018 RECURSOS HUMANOS"/>
    <n v="389.72"/>
    <n v="0"/>
    <s v="TRANSISTMICA"/>
    <x v="0"/>
  </r>
  <r>
    <n v="26"/>
    <d v="2018-11-09T00:00:00"/>
    <x v="5"/>
    <x v="5"/>
    <x v="0"/>
    <s v="CAJA"/>
    <s v="PAGO NOMINA QUINCENA 1 NOVIEMBRE 2018"/>
    <s v="TRANSACCIONES DEL DIA 11/09/2018 RECURSOS HUMANOS"/>
    <n v="508.37"/>
    <n v="0"/>
    <s v="TRANSISTMICA"/>
    <x v="0"/>
  </r>
  <r>
    <n v="26"/>
    <d v="2018-11-24T00:00:00"/>
    <x v="5"/>
    <x v="5"/>
    <x v="0"/>
    <s v="CAJA"/>
    <s v="PAGO NOMINA QUINCENA 2 NOVIEMBRE 2018"/>
    <s v="TRANSACCIONES DEL DIA 11/24/2018 RECURSOS HUMANOS"/>
    <n v="631.69000000000005"/>
    <n v="0"/>
    <s v="TRANSISTMICA"/>
    <x v="0"/>
  </r>
  <r>
    <n v="26"/>
    <d v="2018-12-10T00:00:00"/>
    <x v="1"/>
    <x v="1"/>
    <x v="0"/>
    <s v="CAJA"/>
    <s v="PAGO NOMINA QUINCENA 1 DICIEMBRE 2018"/>
    <s v="TRANSACCIONES DEL DIA 12/10/2018 RECURSOS HUMANOS"/>
    <n v="292.58"/>
    <n v="0"/>
    <s v="TRANSISTMICA"/>
    <x v="0"/>
  </r>
  <r>
    <n v="26"/>
    <d v="2018-12-19T00:00:00"/>
    <x v="1"/>
    <x v="1"/>
    <x v="0"/>
    <s v="CAJA"/>
    <s v="PAGO NOMINA QUINCENA 2 DICIEMBRE 2018"/>
    <s v="TRANSACCIONES DEL DIA 12/19/2018 RECURSOS HUMANOS"/>
    <n v="685.88"/>
    <n v="0"/>
    <s v="TRANSISTMICA"/>
    <x v="0"/>
  </r>
  <r>
    <n v="26"/>
    <d v="2018-12-31T00:00:00"/>
    <x v="1"/>
    <x v="1"/>
    <x v="0"/>
    <s v="CAJA"/>
    <s v="CIERRE DE ANIO FISCAL"/>
    <s v="CIERRE_DE_CTAS_NOMINALES"/>
    <n v="0"/>
    <n v="10220.83"/>
    <s v="TRANSISTMICA"/>
    <x v="0"/>
  </r>
  <r>
    <n v="26"/>
    <d v="2018-08-10T00:00:00"/>
    <x v="3"/>
    <x v="3"/>
    <x v="0"/>
    <s v="SERVICIOS PERSONALES"/>
    <s v="PAGO NOMINA QUINCENA 1 AGOSTO 2018"/>
    <s v="TRANSACCIONES DEL DIA 08/10/2018 RECURSOS HUMANOS"/>
    <n v="88.67"/>
    <n v="0"/>
    <s v="TRANSISTMICA"/>
    <x v="0"/>
  </r>
  <r>
    <n v="26"/>
    <d v="2018-08-25T00:00:00"/>
    <x v="3"/>
    <x v="3"/>
    <x v="0"/>
    <s v="SERVICIOS PERSONALES"/>
    <s v="PAGO NOMINA QUINCENA 2 AGOSTO 2018"/>
    <s v="TRANSACCIONES DEL DIA 08/25/2018 RECURSOS HUMANOS"/>
    <n v="52.49"/>
    <n v="0"/>
    <s v="TRANSISTMICA"/>
    <x v="0"/>
  </r>
  <r>
    <n v="26"/>
    <d v="2018-09-25T00:00:00"/>
    <x v="4"/>
    <x v="4"/>
    <x v="0"/>
    <s v="SERVICIOS PERSONALES"/>
    <s v="PAGO NOMINA QUINCENA 2 SEPTIEMBRE 2018"/>
    <s v="TRANSACCIONES DEL DIA 09/25/2018 RECURSOS HUMANOS"/>
    <n v="23.08"/>
    <n v="0"/>
    <s v="TRANSISTMICA"/>
    <x v="0"/>
  </r>
  <r>
    <n v="26"/>
    <d v="2018-10-10T00:00:00"/>
    <x v="0"/>
    <x v="0"/>
    <x v="0"/>
    <s v="SERVICIOS PERSONALES"/>
    <s v="PAGO NOMINA QUINCENA 1 OCTUBRE 2018"/>
    <s v="TRANSACCIONES DEL DIA 10/10/2018 RECURSOS HUMANOS"/>
    <n v="85.08"/>
    <n v="0"/>
    <s v="TRANSISTMICA"/>
    <x v="0"/>
  </r>
  <r>
    <n v="26"/>
    <d v="2018-10-25T00:00:00"/>
    <x v="0"/>
    <x v="0"/>
    <x v="0"/>
    <s v="SERVICIOS PERSONALES"/>
    <s v="PAGO NOMINA QUINCENA 2 OCTUBRE 2018"/>
    <s v="TRANSACCIONES DEL DIA 10/25/2018 RECURSOS HUMANOS"/>
    <n v="25.68"/>
    <n v="0"/>
    <s v="TRANSISTMICA"/>
    <x v="0"/>
  </r>
  <r>
    <n v="26"/>
    <d v="2018-11-09T00:00:00"/>
    <x v="5"/>
    <x v="5"/>
    <x v="0"/>
    <s v="SERVICIOS PERSONALES"/>
    <s v="PAGO NOMINA QUINCENA 1 NOVIEMBRE 2018"/>
    <s v="TRANSACCIONES DEL DIA 11/09/2018 RECURSOS HUMANOS"/>
    <n v="36.28"/>
    <n v="0"/>
    <s v="TRANSISTMICA"/>
    <x v="0"/>
  </r>
  <r>
    <n v="26"/>
    <d v="2018-12-10T00:00:00"/>
    <x v="1"/>
    <x v="1"/>
    <x v="0"/>
    <s v="SERVICIOS PERSONALES"/>
    <s v="PAGO NOMINA QUINCENA 1 DICIEMBRE 2018"/>
    <s v="TRANSACCIONES DEL DIA 12/10/2018 RECURSOS HUMANOS"/>
    <n v="27.64"/>
    <n v="0"/>
    <s v="TRANSISTMICA"/>
    <x v="0"/>
  </r>
  <r>
    <n v="26"/>
    <d v="2018-12-19T00:00:00"/>
    <x v="1"/>
    <x v="1"/>
    <x v="0"/>
    <s v="SERVICIOS PERSONALES"/>
    <s v="PAGO NOMINA QUINCENA 2 DICIEMBRE 2018"/>
    <s v="TRANSACCIONES DEL DIA 12/19/2018 RECURSOS HUMANOS"/>
    <n v="66.94"/>
    <n v="0"/>
    <s v="TRANSISTMICA"/>
    <x v="0"/>
  </r>
  <r>
    <n v="26"/>
    <d v="2018-12-31T00:00:00"/>
    <x v="1"/>
    <x v="1"/>
    <x v="0"/>
    <s v="SERVICIOS PERSONALES"/>
    <s v="CIERRE DE ANIO FISCAL"/>
    <s v="CIERRE_DE_CTAS_NOMINALES"/>
    <n v="0"/>
    <n v="450.79"/>
    <s v="TRANSISTMICA"/>
    <x v="0"/>
  </r>
  <r>
    <n v="28"/>
    <d v="2018-09-25T00:00:00"/>
    <x v="4"/>
    <x v="4"/>
    <x v="0"/>
    <s v="CAJA"/>
    <s v="PAGO NOMINA QUINCENA 2 SEPTIEMBRE 2018"/>
    <s v="TRANSACCIONES DEL DIA 09/25/2018 RECURSOS HUMANOS"/>
    <n v="24.25"/>
    <n v="0"/>
    <s v="PLAZA GALAPAGO"/>
    <x v="0"/>
  </r>
  <r>
    <n v="28"/>
    <d v="2018-10-10T00:00:00"/>
    <x v="0"/>
    <x v="0"/>
    <x v="0"/>
    <s v="CAJA"/>
    <s v="PAGO NOMINA QUINCENA 1 OCTUBRE 2018"/>
    <s v="TRANSACCIONES DEL DIA 10/10/2018 RECURSOS HUMANOS"/>
    <n v="31.72"/>
    <n v="0"/>
    <s v="PLAZA GALAPAGO"/>
    <x v="0"/>
  </r>
  <r>
    <n v="28"/>
    <d v="2018-10-25T00:00:00"/>
    <x v="0"/>
    <x v="0"/>
    <x v="0"/>
    <s v="CAJA"/>
    <s v="PAGO NOMINA QUINCENA 2 OCTUBRE 2018"/>
    <s v="TRANSACCIONES DEL DIA 10/25/2018 RECURSOS HUMANOS"/>
    <n v="52.32"/>
    <n v="0"/>
    <s v="PLAZA GALAPAGO"/>
    <x v="0"/>
  </r>
  <r>
    <n v="28"/>
    <d v="2018-12-31T00:00:00"/>
    <x v="1"/>
    <x v="1"/>
    <x v="0"/>
    <s v="CAJA"/>
    <s v="CIERRE DE ANIO FISCAL"/>
    <s v="CIERRE_DE_CTAS_NOMINALES"/>
    <n v="0"/>
    <n v="147.72"/>
    <s v="PLAZA GALAPAGO"/>
    <x v="0"/>
  </r>
  <r>
    <n v="29"/>
    <d v="2018-08-10T00:00:00"/>
    <x v="3"/>
    <x v="3"/>
    <x v="0"/>
    <s v="CAJA"/>
    <s v="PAGO NOMINA QUINCENA 1 AGOSTO 2018"/>
    <s v="TRANSACCIONES DEL DIA 08/10/2018 RECURSOS HUMANOS"/>
    <n v="41.48"/>
    <n v="0"/>
    <s v="PARQUE LEFEVRE"/>
    <x v="0"/>
  </r>
  <r>
    <n v="29"/>
    <d v="2018-08-25T00:00:00"/>
    <x v="3"/>
    <x v="3"/>
    <x v="0"/>
    <s v="CAJA"/>
    <s v="PAGO NOMINA QUINCENA 2 AGOSTO 2018"/>
    <s v="TRANSACCIONES DEL DIA 08/25/2018 RECURSOS HUMANOS"/>
    <n v="80.37"/>
    <n v="0"/>
    <s v="PARQUE LEFEVRE"/>
    <x v="0"/>
  </r>
  <r>
    <n v="29"/>
    <d v="2018-12-31T00:00:00"/>
    <x v="1"/>
    <x v="1"/>
    <x v="0"/>
    <s v="CAJA"/>
    <s v="CIERRE DE ANIO FISCAL"/>
    <s v="CIERRE_DE_CTAS_NOMINALES"/>
    <n v="0"/>
    <n v="435.52"/>
    <s v="PARQUE LEFEVRE"/>
    <x v="0"/>
  </r>
  <r>
    <n v="29"/>
    <d v="2018-07-25T00:00:00"/>
    <x v="6"/>
    <x v="6"/>
    <x v="0"/>
    <s v="SERVICIOS PERSONALES"/>
    <s v="PAGO NOMINA QUINCENA 2 JULIO 2018"/>
    <s v="TRANSACCIONES DEL DIA 07/25/2018 RECURSOS HUMANOS"/>
    <n v="27.29"/>
    <n v="0"/>
    <s v="PARQUE LEFEVRE"/>
    <x v="0"/>
  </r>
  <r>
    <n v="29"/>
    <d v="2018-08-10T00:00:00"/>
    <x v="3"/>
    <x v="3"/>
    <x v="0"/>
    <s v="SERVICIOS PERSONALES"/>
    <s v="PAGO NOMINA QUINCENA 1 AGOSTO 2018"/>
    <s v="TRANSACCIONES DEL DIA 08/10/2018 RECURSOS HUMANOS"/>
    <n v="39.61"/>
    <n v="0"/>
    <s v="PARQUE LEFEVRE"/>
    <x v="0"/>
  </r>
  <r>
    <n v="29"/>
    <d v="2018-10-10T00:00:00"/>
    <x v="0"/>
    <x v="0"/>
    <x v="0"/>
    <s v="SERVICIOS PERSONALES"/>
    <s v="PAGO NOMINA QUINCENA 1 OCTUBRE 2018"/>
    <s v="TRANSACCIONES DEL DIA 10/10/2018 RECURSOS HUMANOS"/>
    <n v="14.97"/>
    <n v="0"/>
    <s v="PARQUE LEFEVRE"/>
    <x v="0"/>
  </r>
  <r>
    <n v="29"/>
    <d v="2018-10-25T00:00:00"/>
    <x v="0"/>
    <x v="0"/>
    <x v="0"/>
    <s v="SERVICIOS PERSONALES"/>
    <s v="PAGO NOMINA QUINCENA 2 OCTUBRE 2018"/>
    <s v="TRANSACCIONES DEL DIA 10/25/2018 RECURSOS HUMANOS"/>
    <n v="14.42"/>
    <n v="0"/>
    <s v="PARQUE LEFEVRE"/>
    <x v="0"/>
  </r>
  <r>
    <n v="29"/>
    <d v="2018-12-31T00:00:00"/>
    <x v="1"/>
    <x v="1"/>
    <x v="0"/>
    <s v="SERVICIOS PERSONALES"/>
    <s v="CIERRE DE ANIO FISCAL"/>
    <s v="CIERRE_DE_CTAS_NOMINALES"/>
    <n v="0"/>
    <n v="96.29"/>
    <s v="PARQUE LEFEVRE"/>
    <x v="0"/>
  </r>
  <r>
    <n v="30"/>
    <d v="2018-06-09T00:00:00"/>
    <x v="2"/>
    <x v="2"/>
    <x v="0"/>
    <s v="ADMINISTRACION DE SUCURSALES"/>
    <s v="PAGO NOMINA QUINCENA 1 JUNIO 2018"/>
    <s v="TRANSACCIONES DEL DIA 06/09/2018 RECURSOS HUMANOS"/>
    <n v="21.15"/>
    <n v="0"/>
    <s v="DAVID"/>
    <x v="0"/>
  </r>
  <r>
    <n v="30"/>
    <d v="2018-07-10T00:00:00"/>
    <x v="6"/>
    <x v="6"/>
    <x v="0"/>
    <s v="ADMINISTRACION DE SUCURSALES"/>
    <s v="PAGO NOMINA QUINCENA 1 JULIO 2018"/>
    <s v="TRANSACCIONES DEL DIA 07/10/2018 RECURSOS HUMANOS"/>
    <n v="54.75"/>
    <n v="0"/>
    <s v="DAVID"/>
    <x v="0"/>
  </r>
  <r>
    <n v="30"/>
    <d v="2018-07-25T00:00:00"/>
    <x v="6"/>
    <x v="6"/>
    <x v="0"/>
    <s v="ADMINISTRACION DE SUCURSALES"/>
    <s v="PAGO NOMINA QUINCENA 2 JULIO 2018"/>
    <s v="TRANSACCIONES DEL DIA 07/25/2018 RECURSOS HUMANOS"/>
    <n v="86.75"/>
    <n v="0"/>
    <s v="DAVID"/>
    <x v="0"/>
  </r>
  <r>
    <n v="30"/>
    <d v="2018-09-10T00:00:00"/>
    <x v="4"/>
    <x v="4"/>
    <x v="0"/>
    <s v="ADMINISTRACION DE SUCURSALES"/>
    <s v="PAGO NOMINA QUINCENA 1 SEPTIEMBRE 2018"/>
    <s v="TRANSACCIONES DEL DIA 09/10/2018 RECURSOS HUMANOS"/>
    <n v="34.28"/>
    <n v="0"/>
    <s v="DAVID"/>
    <x v="0"/>
  </r>
  <r>
    <n v="30"/>
    <d v="2018-10-10T00:00:00"/>
    <x v="0"/>
    <x v="0"/>
    <x v="0"/>
    <s v="ADMINISTRACION DE SUCURSALES"/>
    <s v="PAGO NOMINA QUINCENA 1 OCTUBRE 2018"/>
    <s v="TRANSACCIONES DEL DIA 10/10/2018 RECURSOS HUMANOS"/>
    <n v="8.85"/>
    <n v="0"/>
    <s v="DAVID"/>
    <x v="0"/>
  </r>
  <r>
    <n v="30"/>
    <d v="2018-10-25T00:00:00"/>
    <x v="0"/>
    <x v="0"/>
    <x v="0"/>
    <s v="ADMINISTRACION DE SUCURSALES"/>
    <s v="PAGO NOMINA QUINCENA 2 OCTUBRE 2018"/>
    <s v="TRANSACCIONES DEL DIA 10/25/2018 RECURSOS HUMANOS"/>
    <n v="20.13"/>
    <n v="0"/>
    <s v="DAVID"/>
    <x v="0"/>
  </r>
  <r>
    <n v="30"/>
    <d v="2018-11-09T00:00:00"/>
    <x v="5"/>
    <x v="5"/>
    <x v="0"/>
    <s v="ADMINISTRACION DE SUCURSALES"/>
    <s v="PAGO NOMINA QUINCENA 1 NOVIEMBRE 2018"/>
    <s v="TRANSACCIONES DEL DIA 11/09/2018 RECURSOS HUMANOS"/>
    <n v="17.36"/>
    <n v="0"/>
    <s v="DAVID"/>
    <x v="0"/>
  </r>
  <r>
    <n v="30"/>
    <d v="2018-11-24T00:00:00"/>
    <x v="5"/>
    <x v="5"/>
    <x v="0"/>
    <s v="ADMINISTRACION DE SUCURSALES"/>
    <s v="PAGO NOMINA QUINCENA 2 NOVIEMBRE 2018"/>
    <s v="TRANSACCIONES DEL DIA 11/24/2018 RECURSOS HUMANOS"/>
    <n v="37.049999999999997"/>
    <n v="0"/>
    <s v="DAVID"/>
    <x v="0"/>
  </r>
  <r>
    <n v="30"/>
    <d v="2018-12-10T00:00:00"/>
    <x v="1"/>
    <x v="1"/>
    <x v="0"/>
    <s v="ADMINISTRACION DE SUCURSALES"/>
    <s v="PAGO NOMINA QUINCENA 1 DICIEMBRE 2018"/>
    <s v="TRANSACCIONES DEL DIA 12/10/2018 RECURSOS HUMANOS"/>
    <n v="55.36"/>
    <n v="0"/>
    <s v="DAVID"/>
    <x v="0"/>
  </r>
  <r>
    <n v="30"/>
    <d v="2018-12-19T00:00:00"/>
    <x v="1"/>
    <x v="1"/>
    <x v="0"/>
    <s v="ADMINISTRACION DE SUCURSALES"/>
    <s v="PAGO NOMINA QUINCENA 2 DICIEMBRE 2018"/>
    <s v="TRANSACCIONES DEL DIA 12/19/2018 RECURSOS HUMANOS"/>
    <n v="17.47"/>
    <n v="0"/>
    <s v="DAVID"/>
    <x v="0"/>
  </r>
  <r>
    <n v="30"/>
    <d v="2018-12-31T00:00:00"/>
    <x v="1"/>
    <x v="1"/>
    <x v="0"/>
    <s v="ADMINISTRACION DE SUCURSALES"/>
    <s v="CIERRE DE ANIO FISCAL"/>
    <s v="CIERRE_DE_CTAS_NOMINALES"/>
    <n v="0"/>
    <n v="835.33"/>
    <s v="DAVID"/>
    <x v="0"/>
  </r>
  <r>
    <n v="30"/>
    <d v="2018-06-09T00:00:00"/>
    <x v="2"/>
    <x v="2"/>
    <x v="0"/>
    <s v="CAJA"/>
    <s v="PAGO NOMINA QUINCENA 1 JUNIO 2018"/>
    <s v="TRANSACCIONES DEL DIA 06/09/2018 RECURSOS HUMANOS"/>
    <n v="571.73"/>
    <n v="0"/>
    <s v="DAVID"/>
    <x v="0"/>
  </r>
  <r>
    <n v="30"/>
    <d v="2018-06-25T00:00:00"/>
    <x v="2"/>
    <x v="2"/>
    <x v="0"/>
    <s v="CAJA"/>
    <s v="PAGO NOMINA QUINCENA 2 JUNIO 2018"/>
    <s v="TRANSACCIONES DEL DIA 06/25/2018 RECURSOS HUMANOS"/>
    <n v="420.53"/>
    <n v="0"/>
    <s v="DAVID"/>
    <x v="0"/>
  </r>
  <r>
    <n v="30"/>
    <d v="2018-07-10T00:00:00"/>
    <x v="6"/>
    <x v="6"/>
    <x v="0"/>
    <s v="CAJA"/>
    <s v="PAGO NOMINA QUINCENA 1 JULIO 2018"/>
    <s v="TRANSACCIONES DEL DIA 07/10/2018 RECURSOS HUMANOS"/>
    <n v="541.79999999999995"/>
    <n v="0"/>
    <s v="DAVID"/>
    <x v="0"/>
  </r>
  <r>
    <n v="30"/>
    <d v="2018-07-25T00:00:00"/>
    <x v="6"/>
    <x v="6"/>
    <x v="0"/>
    <s v="CAJA"/>
    <s v="PAGO NOMINA QUINCENA 2 JULIO 2018"/>
    <s v="TRANSACCIONES DEL DIA 07/25/2018 RECURSOS HUMANOS"/>
    <n v="649.70000000000005"/>
    <n v="0"/>
    <s v="DAVID"/>
    <x v="0"/>
  </r>
  <r>
    <n v="30"/>
    <d v="2018-08-07T00:00:00"/>
    <x v="3"/>
    <x v="3"/>
    <x v="0"/>
    <s v="CAJA"/>
    <s v="PLANILLAS DE LIQUIDACIONES AGO 2018"/>
    <s v="TRANSACCIONES DEL DIA 08/07/2018 RECURSOS HUMANOS"/>
    <n v="61.02"/>
    <n v="0"/>
    <s v="DAVID"/>
    <x v="0"/>
  </r>
  <r>
    <n v="30"/>
    <d v="2018-08-10T00:00:00"/>
    <x v="3"/>
    <x v="3"/>
    <x v="0"/>
    <s v="CAJA"/>
    <s v="PAGO NOMINA QUINCENA 1 AGOSTO 2018"/>
    <s v="TRANSACCIONES DEL DIA 08/10/2018 RECURSOS HUMANOS"/>
    <n v="244"/>
    <n v="0"/>
    <s v="DAVID"/>
    <x v="0"/>
  </r>
  <r>
    <n v="30"/>
    <d v="2018-08-25T00:00:00"/>
    <x v="3"/>
    <x v="3"/>
    <x v="0"/>
    <s v="CAJA"/>
    <s v="PAGO NOMINA QUINCENA 2 AGOSTO 2018"/>
    <s v="TRANSACCIONES DEL DIA 08/25/2018 RECURSOS HUMANOS"/>
    <n v="465.27"/>
    <n v="0"/>
    <s v="DAVID"/>
    <x v="0"/>
  </r>
  <r>
    <n v="30"/>
    <d v="2018-09-10T00:00:00"/>
    <x v="4"/>
    <x v="4"/>
    <x v="0"/>
    <s v="CAJA"/>
    <s v="PAGO NOMINA QUINCENA 1 SEPTIEMBRE 2018"/>
    <s v="TRANSACCIONES DEL DIA 09/10/2018 RECURSOS HUMANOS"/>
    <n v="492.88"/>
    <n v="0"/>
    <s v="DAVID"/>
    <x v="0"/>
  </r>
  <r>
    <n v="30"/>
    <d v="2018-09-25T00:00:00"/>
    <x v="4"/>
    <x v="4"/>
    <x v="0"/>
    <s v="CAJA"/>
    <s v="PAGO NOMINA QUINCENA 2 SEPTIEMBRE 2018"/>
    <s v="TRANSACCIONES DEL DIA 09/25/2018 RECURSOS HUMANOS"/>
    <n v="297.5"/>
    <n v="0"/>
    <s v="DAVID"/>
    <x v="0"/>
  </r>
  <r>
    <n v="30"/>
    <d v="2018-10-10T00:00:00"/>
    <x v="0"/>
    <x v="0"/>
    <x v="0"/>
    <s v="CAJA"/>
    <s v="PAGO NOMINA QUINCENA 1 OCTUBRE 2018"/>
    <s v="TRANSACCIONES DEL DIA 10/10/2018 RECURSOS HUMANOS"/>
    <n v="401.01"/>
    <n v="0"/>
    <s v="DAVID"/>
    <x v="0"/>
  </r>
  <r>
    <n v="30"/>
    <d v="2018-10-25T00:00:00"/>
    <x v="0"/>
    <x v="0"/>
    <x v="0"/>
    <s v="CAJA"/>
    <s v="PAGO NOMINA QUINCENA 2 OCTUBRE 2018"/>
    <s v="TRANSACCIONES DEL DIA 10/25/2018 RECURSOS HUMANOS"/>
    <n v="434.25"/>
    <n v="0"/>
    <s v="DAVID"/>
    <x v="0"/>
  </r>
  <r>
    <n v="30"/>
    <d v="2018-11-09T00:00:00"/>
    <x v="5"/>
    <x v="5"/>
    <x v="0"/>
    <s v="CAJA"/>
    <s v="PAGO NOMINA QUINCENA 1 NOVIEMBRE 2018"/>
    <s v="TRANSACCIONES DEL DIA 11/09/2018 RECURSOS HUMANOS"/>
    <n v="444.88"/>
    <n v="0"/>
    <s v="DAVID"/>
    <x v="0"/>
  </r>
  <r>
    <n v="30"/>
    <d v="2018-11-24T00:00:00"/>
    <x v="5"/>
    <x v="5"/>
    <x v="0"/>
    <s v="CAJA"/>
    <s v="PAGO NOMINA QUINCENA 2 NOVIEMBRE 2018"/>
    <s v="TRANSACCIONES DEL DIA 11/24/2018 RECURSOS HUMANOS"/>
    <n v="657.63"/>
    <n v="0"/>
    <s v="DAVID"/>
    <x v="0"/>
  </r>
  <r>
    <n v="30"/>
    <d v="2018-12-10T00:00:00"/>
    <x v="1"/>
    <x v="1"/>
    <x v="0"/>
    <s v="CAJA"/>
    <s v="PAGO NOMINA QUINCENA 1 DICIEMBRE 2018"/>
    <s v="TRANSACCIONES DEL DIA 12/10/2018 RECURSOS HUMANOS"/>
    <n v="855.44"/>
    <n v="0"/>
    <s v="DAVID"/>
    <x v="0"/>
  </r>
  <r>
    <n v="30"/>
    <d v="2018-12-19T00:00:00"/>
    <x v="1"/>
    <x v="1"/>
    <x v="0"/>
    <s v="CAJA"/>
    <s v="PAGO NOMINA QUINCENA 2 DICIEMBRE 2018"/>
    <s v="TRANSACCIONES DEL DIA 12/19/2018 RECURSOS HUMANOS"/>
    <n v="659.88"/>
    <n v="0"/>
    <s v="DAVID"/>
    <x v="0"/>
  </r>
  <r>
    <n v="30"/>
    <d v="2018-12-31T00:00:00"/>
    <x v="1"/>
    <x v="1"/>
    <x v="0"/>
    <s v="CAJA"/>
    <s v="CIERRE DE ANIO FISCAL"/>
    <s v="CIERRE_DE_CTAS_NOMINALES"/>
    <n v="0"/>
    <n v="14128.72"/>
    <s v="DAVID"/>
    <x v="0"/>
  </r>
  <r>
    <n v="30"/>
    <d v="2018-07-10T00:00:00"/>
    <x v="6"/>
    <x v="6"/>
    <x v="0"/>
    <s v="SERVICIOS PERSONALES"/>
    <s v="PAGO NOMINA QUINCENA 1 JULIO 2018"/>
    <s v="TRANSACCIONES DEL DIA 07/10/2018 RECURSOS HUMANOS"/>
    <n v="148.30000000000001"/>
    <n v="0"/>
    <s v="DAVID"/>
    <x v="0"/>
  </r>
  <r>
    <n v="30"/>
    <d v="2018-07-25T00:00:00"/>
    <x v="6"/>
    <x v="6"/>
    <x v="0"/>
    <s v="SERVICIOS PERSONALES"/>
    <s v="PAGO NOMINA QUINCENA 2 JULIO 2018"/>
    <s v="TRANSACCIONES DEL DIA 07/25/2018 RECURSOS HUMANOS"/>
    <n v="144.5"/>
    <n v="0"/>
    <s v="DAVID"/>
    <x v="0"/>
  </r>
  <r>
    <n v="30"/>
    <d v="2018-10-25T00:00:00"/>
    <x v="0"/>
    <x v="0"/>
    <x v="0"/>
    <s v="SERVICIOS PERSONALES"/>
    <s v="PAGO NOMINA QUINCENA 2 OCTUBRE 2018"/>
    <s v="TRANSACCIONES DEL DIA 10/25/2018 RECURSOS HUMANOS"/>
    <n v="21.29"/>
    <n v="0"/>
    <s v="DAVID"/>
    <x v="0"/>
  </r>
  <r>
    <n v="30"/>
    <d v="2018-11-09T00:00:00"/>
    <x v="5"/>
    <x v="5"/>
    <x v="0"/>
    <s v="SERVICIOS PERSONALES"/>
    <s v="PAGO NOMINA QUINCENA 1 NOVIEMBRE 2018"/>
    <s v="TRANSACCIONES DEL DIA 11/09/2018 RECURSOS HUMANOS"/>
    <n v="99.04"/>
    <n v="0"/>
    <s v="DAVID"/>
    <x v="0"/>
  </r>
  <r>
    <n v="30"/>
    <d v="2018-11-24T00:00:00"/>
    <x v="5"/>
    <x v="5"/>
    <x v="0"/>
    <s v="SERVICIOS PERSONALES"/>
    <s v="PAGO NOMINA QUINCENA 2 NOVIEMBRE 2018"/>
    <s v="TRANSACCIONES DEL DIA 11/24/2018 RECURSOS HUMANOS"/>
    <n v="69.900000000000006"/>
    <n v="0"/>
    <s v="DAVID"/>
    <x v="0"/>
  </r>
  <r>
    <n v="30"/>
    <d v="2018-12-19T00:00:00"/>
    <x v="1"/>
    <x v="1"/>
    <x v="0"/>
    <s v="SERVICIOS PERSONALES"/>
    <s v="PAGO NOMINA QUINCENA 2 DICIEMBRE 2018"/>
    <s v="TRANSACCIONES DEL DIA 12/19/2018 RECURSOS HUMANOS"/>
    <n v="102.33"/>
    <n v="0"/>
    <s v="DAVID"/>
    <x v="0"/>
  </r>
  <r>
    <n v="30"/>
    <d v="2018-12-31T00:00:00"/>
    <x v="1"/>
    <x v="1"/>
    <x v="0"/>
    <s v="SERVICIOS PERSONALES"/>
    <s v="CIERRE DE ANIO FISCAL"/>
    <s v="CIERRE_DE_CTAS_NOMINALES"/>
    <n v="0"/>
    <n v="3667.4"/>
    <s v="DAVID"/>
    <x v="0"/>
  </r>
  <r>
    <n v="32"/>
    <d v="2018-12-31T00:00:00"/>
    <x v="1"/>
    <x v="1"/>
    <x v="0"/>
    <s v="CAJA"/>
    <s v="CIERRE DE ANIO FISCAL"/>
    <s v="CIERRE_DE_CTAS_NOMINALES"/>
    <n v="0"/>
    <n v="12.37"/>
    <s v="PLAZA LAS AMERICAS"/>
    <x v="0"/>
  </r>
  <r>
    <n v="32"/>
    <d v="2018-08-25T00:00:00"/>
    <x v="3"/>
    <x v="3"/>
    <x v="0"/>
    <s v="SERVICIOS PERSONALES"/>
    <s v="PAGO NOMINA QUINCENA 2 AGOSTO 2018"/>
    <s v="TRANSACCIONES DEL DIA 08/25/2018 RECURSOS HUMANOS"/>
    <n v="24.92"/>
    <n v="0"/>
    <s v="PLAZA LAS AMERICAS"/>
    <x v="0"/>
  </r>
  <r>
    <n v="32"/>
    <d v="2018-12-31T00:00:00"/>
    <x v="1"/>
    <x v="1"/>
    <x v="0"/>
    <s v="SERVICIOS PERSONALES"/>
    <s v="CIERRE DE ANIO FISCAL"/>
    <s v="CIERRE_DE_CTAS_NOMINALES"/>
    <n v="0"/>
    <n v="24.92"/>
    <s v="PLAZA LAS AMERICAS"/>
    <x v="0"/>
  </r>
  <r>
    <n v="33"/>
    <d v="2018-12-31T00:00:00"/>
    <x v="1"/>
    <x v="1"/>
    <x v="0"/>
    <s v="ADMINISTRACION DE SUCURSALES"/>
    <s v="CIERRE DE ANIO FISCAL"/>
    <s v="CIERRE_DE_CTAS_NOMINALES"/>
    <n v="0"/>
    <n v="175.7"/>
    <s v="CORONADO"/>
    <x v="0"/>
  </r>
  <r>
    <n v="33"/>
    <d v="2018-11-09T00:00:00"/>
    <x v="5"/>
    <x v="5"/>
    <x v="0"/>
    <s v="CAJA"/>
    <s v="PAGO NOMINA QUINCENA 1 NOVIEMBRE 2018"/>
    <s v="TRANSACCIONES DEL DIA 11/09/2018 RECURSOS HUMANOS"/>
    <n v="209.41"/>
    <n v="0"/>
    <s v="CORONADO"/>
    <x v="0"/>
  </r>
  <r>
    <n v="33"/>
    <d v="2018-11-24T00:00:00"/>
    <x v="5"/>
    <x v="5"/>
    <x v="0"/>
    <s v="CAJA"/>
    <s v="PAGO NOMINA QUINCENA 2 NOVIEMBRE 2018"/>
    <s v="TRANSACCIONES DEL DIA 11/24/2018 RECURSOS HUMANOS"/>
    <n v="54.42"/>
    <n v="0"/>
    <s v="CORONADO"/>
    <x v="0"/>
  </r>
  <r>
    <n v="33"/>
    <d v="2018-12-10T00:00:00"/>
    <x v="1"/>
    <x v="1"/>
    <x v="0"/>
    <s v="CAJA"/>
    <s v="PAGO NOMINA QUINCENA 1 DICIEMBRE 2018"/>
    <s v="TRANSACCIONES DEL DIA 12/10/2018 RECURSOS HUMANOS"/>
    <n v="29.29"/>
    <n v="0"/>
    <s v="CORONADO"/>
    <x v="0"/>
  </r>
  <r>
    <n v="33"/>
    <d v="2018-12-31T00:00:00"/>
    <x v="1"/>
    <x v="1"/>
    <x v="0"/>
    <s v="CAJA"/>
    <s v="CIERRE DE ANIO FISCAL"/>
    <s v="CIERRE_DE_CTAS_NOMINALES"/>
    <n v="0"/>
    <n v="909.37"/>
    <s v="CORONADO"/>
    <x v="0"/>
  </r>
  <r>
    <n v="33"/>
    <d v="2018-10-25T00:00:00"/>
    <x v="0"/>
    <x v="0"/>
    <x v="0"/>
    <s v="SERVICIOS PERSONALES"/>
    <s v="PAGO NOMINA QUINCENA 2 OCTUBRE 2018"/>
    <s v="TRANSACCIONES DEL DIA 10/25/2018 RECURSOS HUMANOS"/>
    <n v="33.96"/>
    <n v="0"/>
    <s v="CORONADO"/>
    <x v="0"/>
  </r>
  <r>
    <n v="33"/>
    <d v="2018-12-19T00:00:00"/>
    <x v="1"/>
    <x v="1"/>
    <x v="0"/>
    <s v="SERVICIOS PERSONALES"/>
    <s v="PAGO NOMINA QUINCENA 2 DICIEMBRE 2018"/>
    <s v="TRANSACCIONES DEL DIA 12/19/2018 RECURSOS HUMANOS"/>
    <n v="17.63"/>
    <n v="0"/>
    <s v="CORONADO"/>
    <x v="0"/>
  </r>
  <r>
    <n v="33"/>
    <d v="2018-12-31T00:00:00"/>
    <x v="1"/>
    <x v="1"/>
    <x v="0"/>
    <s v="SERVICIOS PERSONALES"/>
    <s v="CIERRE DE ANIO FISCAL"/>
    <s v="CIERRE_DE_CTAS_NOMINALES"/>
    <n v="0"/>
    <n v="449.02"/>
    <s v="CORONADO"/>
    <x v="0"/>
  </r>
  <r>
    <n v="34"/>
    <d v="2018-09-10T00:00:00"/>
    <x v="4"/>
    <x v="4"/>
    <x v="0"/>
    <s v="ADMINISTRACION DE SUCURSALES"/>
    <s v="PAGO NOMINA QUINCENA 1 SEPTIEMBRE 2018"/>
    <s v="TRANSACCIONES DEL DIA 09/10/2018 RECURSOS HUMANOS"/>
    <n v="26.81"/>
    <n v="0"/>
    <s v="ALBROOK MALL"/>
    <x v="0"/>
  </r>
  <r>
    <n v="34"/>
    <d v="2018-11-09T00:00:00"/>
    <x v="5"/>
    <x v="5"/>
    <x v="0"/>
    <s v="ADMINISTRACION DE SUCURSALES"/>
    <s v="PAGO NOMINA QUINCENA 1 NOVIEMBRE 2018"/>
    <s v="TRANSACCIONES DEL DIA 11/09/2018 RECURSOS HUMANOS"/>
    <n v="24.09"/>
    <n v="0"/>
    <s v="ALBROOK MALL"/>
    <x v="0"/>
  </r>
  <r>
    <n v="34"/>
    <d v="2018-12-31T00:00:00"/>
    <x v="1"/>
    <x v="1"/>
    <x v="0"/>
    <s v="ADMINISTRACION DE SUCURSALES"/>
    <s v="CIERRE DE ANIO FISCAL"/>
    <s v="CIERRE_DE_CTAS_NOMINALES"/>
    <n v="0"/>
    <n v="50.9"/>
    <s v="ALBROOK MALL"/>
    <x v="0"/>
  </r>
  <r>
    <n v="34"/>
    <d v="2018-06-09T00:00:00"/>
    <x v="2"/>
    <x v="2"/>
    <x v="0"/>
    <s v="CAJA"/>
    <s v="PAGO NOMINA QUINCENA 1 JUNIO 2018"/>
    <s v="TRANSACCIONES DEL DIA 06/09/2018 RECURSOS HUMANOS"/>
    <n v="404.26"/>
    <n v="0"/>
    <s v="ALBROOK MALL"/>
    <x v="0"/>
  </r>
  <r>
    <n v="34"/>
    <d v="2018-06-25T00:00:00"/>
    <x v="2"/>
    <x v="2"/>
    <x v="0"/>
    <s v="CAJA"/>
    <s v="PAGO NOMINA QUINCENA 2 JUNIO 2018"/>
    <s v="TRANSACCIONES DEL DIA 06/25/2018 RECURSOS HUMANOS"/>
    <n v="481.94"/>
    <n v="0"/>
    <s v="ALBROOK MALL"/>
    <x v="0"/>
  </r>
  <r>
    <n v="34"/>
    <d v="2018-07-10T00:00:00"/>
    <x v="6"/>
    <x v="6"/>
    <x v="0"/>
    <s v="CAJA"/>
    <s v="PAGO NOMINA QUINCENA 1 JULIO 2018"/>
    <s v="TRANSACCIONES DEL DIA 07/10/2018 RECURSOS HUMANOS"/>
    <n v="380.09"/>
    <n v="0"/>
    <s v="ALBROOK MALL"/>
    <x v="0"/>
  </r>
  <r>
    <n v="34"/>
    <d v="2018-07-25T00:00:00"/>
    <x v="6"/>
    <x v="6"/>
    <x v="0"/>
    <s v="CAJA"/>
    <s v="PAGO NOMINA QUINCENA 2 JULIO 2018"/>
    <s v="TRANSACCIONES DEL DIA 07/25/2018 RECURSOS HUMANOS"/>
    <n v="417.96"/>
    <n v="0"/>
    <s v="ALBROOK MALL"/>
    <x v="0"/>
  </r>
  <r>
    <n v="34"/>
    <d v="2018-08-10T00:00:00"/>
    <x v="3"/>
    <x v="3"/>
    <x v="0"/>
    <s v="CAJA"/>
    <s v="PAGO NOMINA QUINCENA 1 AGOSTO 2018"/>
    <s v="TRANSACCIONES DEL DIA 08/10/2018 RECURSOS HUMANOS"/>
    <n v="365.79"/>
    <n v="0"/>
    <s v="ALBROOK MALL"/>
    <x v="0"/>
  </r>
  <r>
    <n v="34"/>
    <d v="2018-08-25T00:00:00"/>
    <x v="3"/>
    <x v="3"/>
    <x v="0"/>
    <s v="CAJA"/>
    <s v="PAGO NOMINA QUINCENA 2 AGOSTO 2018"/>
    <s v="TRANSACCIONES DEL DIA 08/25/2018 RECURSOS HUMANOS"/>
    <n v="451.51"/>
    <n v="0"/>
    <s v="ALBROOK MALL"/>
    <x v="0"/>
  </r>
  <r>
    <n v="34"/>
    <d v="2018-09-10T00:00:00"/>
    <x v="4"/>
    <x v="4"/>
    <x v="0"/>
    <s v="CAJA"/>
    <s v="PAGO NOMINA QUINCENA 1 SEPTIEMBRE 2018"/>
    <s v="TRANSACCIONES DEL DIA 09/10/2018 RECURSOS HUMANOS"/>
    <n v="540.01"/>
    <n v="0"/>
    <s v="ALBROOK MALL"/>
    <x v="0"/>
  </r>
  <r>
    <n v="34"/>
    <d v="2018-09-25T00:00:00"/>
    <x v="4"/>
    <x v="4"/>
    <x v="0"/>
    <s v="CAJA"/>
    <s v="PAGO NOMINA QUINCENA 2 SEPTIEMBRE 2018"/>
    <s v="TRANSACCIONES DEL DIA 09/25/2018 RECURSOS HUMANOS"/>
    <n v="591.12"/>
    <n v="0"/>
    <s v="ALBROOK MALL"/>
    <x v="0"/>
  </r>
  <r>
    <n v="34"/>
    <d v="2018-10-10T00:00:00"/>
    <x v="0"/>
    <x v="0"/>
    <x v="0"/>
    <s v="CAJA"/>
    <s v="PAGO NOMINA QUINCENA 1 OCTUBRE 2018"/>
    <s v="TRANSACCIONES DEL DIA 10/10/2018 RECURSOS HUMANOS"/>
    <n v="322.37"/>
    <n v="0"/>
    <s v="ALBROOK MALL"/>
    <x v="0"/>
  </r>
  <r>
    <n v="34"/>
    <d v="2018-10-25T00:00:00"/>
    <x v="0"/>
    <x v="0"/>
    <x v="0"/>
    <s v="CAJA"/>
    <s v="PAGO NOMINA QUINCENA 2 OCTUBRE 2018"/>
    <s v="TRANSACCIONES DEL DIA 10/25/2018 RECURSOS HUMANOS"/>
    <n v="359.5"/>
    <n v="0"/>
    <s v="ALBROOK MALL"/>
    <x v="0"/>
  </r>
  <r>
    <n v="34"/>
    <d v="2018-11-09T00:00:00"/>
    <x v="5"/>
    <x v="5"/>
    <x v="0"/>
    <s v="CAJA"/>
    <s v="PAGO NOMINA QUINCENA 1 NOVIEMBRE 2018"/>
    <s v="TRANSACCIONES DEL DIA 11/09/2018 RECURSOS HUMANOS"/>
    <n v="467.29"/>
    <n v="0"/>
    <s v="ALBROOK MALL"/>
    <x v="0"/>
  </r>
  <r>
    <n v="34"/>
    <d v="2018-11-24T00:00:00"/>
    <x v="5"/>
    <x v="5"/>
    <x v="0"/>
    <s v="CAJA"/>
    <s v="PAGO NOMINA QUINCENA 2 NOVIEMBRE 2018"/>
    <s v="TRANSACCIONES DEL DIA 11/24/2018 RECURSOS HUMANOS"/>
    <n v="563.71"/>
    <n v="0"/>
    <s v="ALBROOK MALL"/>
    <x v="0"/>
  </r>
  <r>
    <n v="34"/>
    <d v="2018-11-29T00:00:00"/>
    <x v="5"/>
    <x v="5"/>
    <x v="0"/>
    <s v="CAJA"/>
    <s v="PLANILLAS DE LIQUIDACIONES NOV 2018"/>
    <s v="TRANSACCIONES DEL DIA 11/29/2018 RECURSOS HUMANOS"/>
    <n v="15.62"/>
    <n v="0"/>
    <s v="ALBROOK MALL"/>
    <x v="0"/>
  </r>
  <r>
    <n v="34"/>
    <d v="2018-12-10T00:00:00"/>
    <x v="1"/>
    <x v="1"/>
    <x v="0"/>
    <s v="CAJA"/>
    <s v="PAGO NOMINA QUINCENA 1 DICIEMBRE 2018"/>
    <s v="TRANSACCIONES DEL DIA 12/10/2018 RECURSOS HUMANOS"/>
    <n v="284.25"/>
    <n v="0"/>
    <s v="ALBROOK MALL"/>
    <x v="0"/>
  </r>
  <r>
    <n v="34"/>
    <d v="2018-12-19T00:00:00"/>
    <x v="1"/>
    <x v="1"/>
    <x v="0"/>
    <s v="CAJA"/>
    <s v="PAGO NOMINA QUINCENA 2 DICIEMBRE 2018"/>
    <s v="TRANSACCIONES DEL DIA 12/19/2018 RECURSOS HUMANOS"/>
    <n v="410.5"/>
    <n v="0"/>
    <s v="ALBROOK MALL"/>
    <x v="0"/>
  </r>
  <r>
    <n v="34"/>
    <d v="2018-12-31T00:00:00"/>
    <x v="1"/>
    <x v="1"/>
    <x v="0"/>
    <s v="CAJA"/>
    <s v="CIERRE DE ANIO FISCAL"/>
    <s v="CIERRE_DE_CTAS_NOMINALES"/>
    <n v="0"/>
    <n v="9547.69"/>
    <s v="ALBROOK MALL"/>
    <x v="0"/>
  </r>
  <r>
    <n v="34"/>
    <d v="2018-06-09T00:00:00"/>
    <x v="2"/>
    <x v="2"/>
    <x v="0"/>
    <s v="SERVICIOS PERSONALES"/>
    <s v="PAGO NOMINA QUINCENA 1 JUNIO 2018"/>
    <s v="TRANSACCIONES DEL DIA 06/09/2018 RECURSOS HUMANOS"/>
    <n v="17.350000000000001"/>
    <n v="0"/>
    <s v="ALBROOK MALL"/>
    <x v="0"/>
  </r>
  <r>
    <n v="34"/>
    <d v="2018-06-25T00:00:00"/>
    <x v="2"/>
    <x v="2"/>
    <x v="0"/>
    <s v="SERVICIOS PERSONALES"/>
    <s v="PAGO NOMINA QUINCENA 2 JUNIO 2018"/>
    <s v="TRANSACCIONES DEL DIA 06/25/2018 RECURSOS HUMANOS"/>
    <n v="15.68"/>
    <n v="0"/>
    <s v="ALBROOK MALL"/>
    <x v="0"/>
  </r>
  <r>
    <n v="34"/>
    <d v="2018-07-10T00:00:00"/>
    <x v="6"/>
    <x v="6"/>
    <x v="0"/>
    <s v="SERVICIOS PERSONALES"/>
    <s v="PAGO NOMINA QUINCENA 1 JULIO 2018"/>
    <s v="TRANSACCIONES DEL DIA 07/10/2018 RECURSOS HUMANOS"/>
    <n v="45.96"/>
    <n v="0"/>
    <s v="ALBROOK MALL"/>
    <x v="0"/>
  </r>
  <r>
    <n v="34"/>
    <d v="2018-07-25T00:00:00"/>
    <x v="6"/>
    <x v="6"/>
    <x v="0"/>
    <s v="SERVICIOS PERSONALES"/>
    <s v="PAGO NOMINA QUINCENA 2 JULIO 2018"/>
    <s v="TRANSACCIONES DEL DIA 07/25/2018 RECURSOS HUMANOS"/>
    <n v="34.340000000000003"/>
    <n v="0"/>
    <s v="ALBROOK MALL"/>
    <x v="0"/>
  </r>
  <r>
    <n v="34"/>
    <d v="2018-08-10T00:00:00"/>
    <x v="3"/>
    <x v="3"/>
    <x v="0"/>
    <s v="SERVICIOS PERSONALES"/>
    <s v="PAGO NOMINA QUINCENA 1 AGOSTO 2018"/>
    <s v="TRANSACCIONES DEL DIA 08/10/2018 RECURSOS HUMANOS"/>
    <n v="17.829999999999998"/>
    <n v="0"/>
    <s v="ALBROOK MALL"/>
    <x v="0"/>
  </r>
  <r>
    <n v="34"/>
    <d v="2018-09-10T00:00:00"/>
    <x v="4"/>
    <x v="4"/>
    <x v="0"/>
    <s v="SERVICIOS PERSONALES"/>
    <s v="PAGO NOMINA QUINCENA 1 SEPTIEMBRE 2018"/>
    <s v="TRANSACCIONES DEL DIA 09/10/2018 RECURSOS HUMANOS"/>
    <n v="30.17"/>
    <n v="0"/>
    <s v="ALBROOK MALL"/>
    <x v="0"/>
  </r>
  <r>
    <n v="34"/>
    <d v="2018-09-25T00:00:00"/>
    <x v="4"/>
    <x v="4"/>
    <x v="0"/>
    <s v="SERVICIOS PERSONALES"/>
    <s v="PAGO NOMINA QUINCENA 2 SEPTIEMBRE 2018"/>
    <s v="TRANSACCIONES DEL DIA 09/25/2018 RECURSOS HUMANOS"/>
    <n v="33.92"/>
    <n v="0"/>
    <s v="ALBROOK MALL"/>
    <x v="0"/>
  </r>
  <r>
    <n v="34"/>
    <d v="2018-10-10T00:00:00"/>
    <x v="0"/>
    <x v="0"/>
    <x v="0"/>
    <s v="SERVICIOS PERSONALES"/>
    <s v="PAGO NOMINA QUINCENA 1 OCTUBRE 2018"/>
    <s v="TRANSACCIONES DEL DIA 10/10/2018 RECURSOS HUMANOS"/>
    <n v="17.760000000000002"/>
    <n v="0"/>
    <s v="ALBROOK MALL"/>
    <x v="0"/>
  </r>
  <r>
    <n v="34"/>
    <d v="2018-10-25T00:00:00"/>
    <x v="0"/>
    <x v="0"/>
    <x v="0"/>
    <s v="SERVICIOS PERSONALES"/>
    <s v="PAGO NOMINA QUINCENA 2 OCTUBRE 2018"/>
    <s v="TRANSACCIONES DEL DIA 10/25/2018 RECURSOS HUMANOS"/>
    <n v="53.28"/>
    <n v="0"/>
    <s v="ALBROOK MALL"/>
    <x v="0"/>
  </r>
  <r>
    <n v="34"/>
    <d v="2018-11-09T00:00:00"/>
    <x v="5"/>
    <x v="5"/>
    <x v="0"/>
    <s v="SERVICIOS PERSONALES"/>
    <s v="PAGO NOMINA QUINCENA 1 NOVIEMBRE 2018"/>
    <s v="TRANSACCIONES DEL DIA 11/09/2018 RECURSOS HUMANOS"/>
    <n v="64.58"/>
    <n v="0"/>
    <s v="ALBROOK MALL"/>
    <x v="0"/>
  </r>
  <r>
    <n v="34"/>
    <d v="2018-11-24T00:00:00"/>
    <x v="5"/>
    <x v="5"/>
    <x v="0"/>
    <s v="SERVICIOS PERSONALES"/>
    <s v="PAGO NOMINA QUINCENA 2 NOVIEMBRE 2018"/>
    <s v="TRANSACCIONES DEL DIA 11/24/2018 RECURSOS HUMANOS"/>
    <n v="38.840000000000003"/>
    <n v="0"/>
    <s v="ALBROOK MALL"/>
    <x v="0"/>
  </r>
  <r>
    <n v="34"/>
    <d v="2018-12-10T00:00:00"/>
    <x v="1"/>
    <x v="1"/>
    <x v="0"/>
    <s v="SERVICIOS PERSONALES"/>
    <s v="PAGO NOMINA QUINCENA 1 DICIEMBRE 2018"/>
    <s v="TRANSACCIONES DEL DIA 12/10/2018 RECURSOS HUMANOS"/>
    <n v="74.66"/>
    <n v="0"/>
    <s v="ALBROOK MALL"/>
    <x v="0"/>
  </r>
  <r>
    <n v="34"/>
    <d v="2018-12-19T00:00:00"/>
    <x v="1"/>
    <x v="1"/>
    <x v="0"/>
    <s v="SERVICIOS PERSONALES"/>
    <s v="PAGO NOMINA QUINCENA 2 DICIEMBRE 2018"/>
    <s v="TRANSACCIONES DEL DIA 12/19/2018 RECURSOS HUMANOS"/>
    <n v="15.55"/>
    <n v="0"/>
    <s v="ALBROOK MALL"/>
    <x v="0"/>
  </r>
  <r>
    <n v="34"/>
    <d v="2018-12-31T00:00:00"/>
    <x v="1"/>
    <x v="1"/>
    <x v="0"/>
    <s v="SERVICIOS PERSONALES"/>
    <s v="CIERRE DE ANIO FISCAL"/>
    <s v="CIERRE_DE_CTAS_NOMINALES"/>
    <n v="0"/>
    <n v="648.05999999999995"/>
    <s v="ALBROOK MALL"/>
    <x v="0"/>
  </r>
  <r>
    <n v="35"/>
    <d v="2018-08-10T00:00:00"/>
    <x v="3"/>
    <x v="3"/>
    <x v="0"/>
    <s v="ADMINISTRACION DE SUCURSALES"/>
    <s v="PAGO NOMINA QUINCENA 1 AGOSTO 2018"/>
    <s v="TRANSACCIONES DEL DIA 08/10/2018 RECURSOS HUMANOS"/>
    <n v="68.88"/>
    <n v="0"/>
    <s v="PANAMA PACIFICO"/>
    <x v="0"/>
  </r>
  <r>
    <n v="35"/>
    <d v="2018-12-31T00:00:00"/>
    <x v="1"/>
    <x v="1"/>
    <x v="0"/>
    <s v="ADMINISTRACION DE SUCURSALES"/>
    <s v="CIERRE DE ANIO FISCAL"/>
    <s v="CIERRE_DE_CTAS_NOMINALES"/>
    <n v="0"/>
    <n v="68.88"/>
    <s v="PANAMA PACIFICO"/>
    <x v="0"/>
  </r>
  <r>
    <n v="35"/>
    <d v="2018-07-25T00:00:00"/>
    <x v="6"/>
    <x v="6"/>
    <x v="0"/>
    <s v="CAJA"/>
    <s v="PAGO NOMINA QUINCENA 2 JULIO 2018"/>
    <s v="TRANSACCIONES DEL DIA 07/25/2018 RECURSOS HUMANOS"/>
    <n v="29.22"/>
    <n v="0"/>
    <s v="PANAMA PACIFICO"/>
    <x v="0"/>
  </r>
  <r>
    <n v="35"/>
    <d v="2018-10-10T00:00:00"/>
    <x v="0"/>
    <x v="0"/>
    <x v="0"/>
    <s v="CAJA"/>
    <s v="PAGO NOMINA QUINCENA 1 OCTUBRE 2018"/>
    <s v="TRANSACCIONES DEL DIA 10/10/2018 RECURSOS HUMANOS"/>
    <n v="96.53"/>
    <n v="0"/>
    <s v="PANAMA PACIFICO"/>
    <x v="0"/>
  </r>
  <r>
    <n v="35"/>
    <d v="2018-12-10T00:00:00"/>
    <x v="1"/>
    <x v="1"/>
    <x v="0"/>
    <s v="CAJA"/>
    <s v="PAGO NOMINA QUINCENA 1 DICIEMBRE 2018"/>
    <s v="TRANSACCIONES DEL DIA 12/10/2018 RECURSOS HUMANOS"/>
    <n v="40.72"/>
    <n v="0"/>
    <s v="PANAMA PACIFICO"/>
    <x v="0"/>
  </r>
  <r>
    <n v="35"/>
    <d v="2018-12-31T00:00:00"/>
    <x v="1"/>
    <x v="1"/>
    <x v="0"/>
    <s v="CAJA"/>
    <s v="CIERRE DE ANIO FISCAL"/>
    <s v="CIERRE_DE_CTAS_NOMINALES"/>
    <n v="0"/>
    <n v="596.84"/>
    <s v="PANAMA PACIFICO"/>
    <x v="0"/>
  </r>
  <r>
    <n v="35"/>
    <d v="2018-06-09T00:00:00"/>
    <x v="2"/>
    <x v="2"/>
    <x v="0"/>
    <s v="SERVICIOS PERSONALES"/>
    <s v="PAGO NOMINA QUINCENA 1 JUNIO 2018"/>
    <s v="TRANSACCIONES DEL DIA 06/09/2018 RECURSOS HUMANOS"/>
    <n v="51.66"/>
    <n v="0"/>
    <s v="PANAMA PACIFICO"/>
    <x v="0"/>
  </r>
  <r>
    <n v="35"/>
    <d v="2018-09-10T00:00:00"/>
    <x v="4"/>
    <x v="4"/>
    <x v="0"/>
    <s v="SERVICIOS PERSONALES"/>
    <s v="PAGO NOMINA QUINCENA 1 SEPTIEMBRE 2018"/>
    <s v="TRANSACCIONES DEL DIA 09/10/2018 RECURSOS HUMANOS"/>
    <n v="14.23"/>
    <n v="0"/>
    <s v="PANAMA PACIFICO"/>
    <x v="0"/>
  </r>
  <r>
    <n v="35"/>
    <d v="2018-09-25T00:00:00"/>
    <x v="4"/>
    <x v="4"/>
    <x v="0"/>
    <s v="SERVICIOS PERSONALES"/>
    <s v="PAGO NOMINA QUINCENA 2 SEPTIEMBRE 2018"/>
    <s v="TRANSACCIONES DEL DIA 09/25/2018 RECURSOS HUMANOS"/>
    <n v="26.86"/>
    <n v="0"/>
    <s v="PANAMA PACIFICO"/>
    <x v="0"/>
  </r>
  <r>
    <n v="35"/>
    <d v="2018-10-10T00:00:00"/>
    <x v="0"/>
    <x v="0"/>
    <x v="0"/>
    <s v="SERVICIOS PERSONALES"/>
    <s v="PAGO NOMINA QUINCENA 1 OCTUBRE 2018"/>
    <s v="TRANSACCIONES DEL DIA 10/10/2018 RECURSOS HUMANOS"/>
    <n v="26.62"/>
    <n v="0"/>
    <s v="PANAMA PACIFICO"/>
    <x v="0"/>
  </r>
  <r>
    <n v="35"/>
    <d v="2018-12-10T00:00:00"/>
    <x v="1"/>
    <x v="1"/>
    <x v="0"/>
    <s v="SERVICIOS PERSONALES"/>
    <s v="PAGO NOMINA QUINCENA 1 DICIEMBRE 2018"/>
    <s v="TRANSACCIONES DEL DIA 12/10/2018 RECURSOS HUMANOS"/>
    <n v="28.41"/>
    <n v="0"/>
    <s v="PANAMA PACIFICO"/>
    <x v="0"/>
  </r>
  <r>
    <n v="35"/>
    <d v="2018-12-19T00:00:00"/>
    <x v="1"/>
    <x v="1"/>
    <x v="0"/>
    <s v="SERVICIOS PERSONALES"/>
    <s v="PAGO NOMINA QUINCENA 2 DICIEMBRE 2018"/>
    <s v="TRANSACCIONES DEL DIA 12/19/2018 RECURSOS HUMANOS"/>
    <n v="26.62"/>
    <n v="0"/>
    <s v="PANAMA PACIFICO"/>
    <x v="0"/>
  </r>
  <r>
    <n v="35"/>
    <d v="2018-12-31T00:00:00"/>
    <x v="1"/>
    <x v="1"/>
    <x v="0"/>
    <s v="SERVICIOS PERSONALES"/>
    <s v="CIERRE DE ANIO FISCAL"/>
    <s v="CIERRE_DE_CTAS_NOMINALES"/>
    <n v="0"/>
    <n v="307.38"/>
    <s v="PANAMA PACIFICO"/>
    <x v="0"/>
  </r>
  <r>
    <n v="38"/>
    <d v="2018-06-25T00:00:00"/>
    <x v="2"/>
    <x v="2"/>
    <x v="0"/>
    <s v="CAJA"/>
    <s v="PAGO NOMINA QUINCENA 2 JUNIO 2018"/>
    <s v="TRANSACCIONES DEL DIA 06/25/2018 RECURSOS HUMANOS"/>
    <n v="88.07"/>
    <n v="0"/>
    <s v="ALBROOK"/>
    <x v="0"/>
  </r>
  <r>
    <n v="38"/>
    <d v="2018-07-10T00:00:00"/>
    <x v="6"/>
    <x v="6"/>
    <x v="0"/>
    <s v="CAJA"/>
    <s v="PAGO NOMINA QUINCENA 1 JULIO 2018"/>
    <s v="TRANSACCIONES DEL DIA 07/10/2018 RECURSOS HUMANOS"/>
    <n v="70.97"/>
    <n v="0"/>
    <s v="ALBROOK"/>
    <x v="0"/>
  </r>
  <r>
    <n v="38"/>
    <d v="2018-07-25T00:00:00"/>
    <x v="6"/>
    <x v="6"/>
    <x v="0"/>
    <s v="CAJA"/>
    <s v="PAGO NOMINA QUINCENA 2 JULIO 2018"/>
    <s v="TRANSACCIONES DEL DIA 07/25/2018 RECURSOS HUMANOS"/>
    <n v="211.01"/>
    <n v="0"/>
    <s v="ALBROOK"/>
    <x v="0"/>
  </r>
  <r>
    <n v="38"/>
    <d v="2018-08-10T00:00:00"/>
    <x v="3"/>
    <x v="3"/>
    <x v="0"/>
    <s v="CAJA"/>
    <s v="PAGO NOMINA QUINCENA 1 AGOSTO 2018"/>
    <s v="TRANSACCIONES DEL DIA 08/10/2018 RECURSOS HUMANOS"/>
    <n v="30.02"/>
    <n v="0"/>
    <s v="ALBROOK"/>
    <x v="0"/>
  </r>
  <r>
    <n v="38"/>
    <d v="2018-08-25T00:00:00"/>
    <x v="3"/>
    <x v="3"/>
    <x v="0"/>
    <s v="CAJA"/>
    <s v="PAGO NOMINA QUINCENA 2 AGOSTO 2018"/>
    <s v="TRANSACCIONES DEL DIA 08/25/2018 RECURSOS HUMANOS"/>
    <n v="83.43"/>
    <n v="0"/>
    <s v="ALBROOK"/>
    <x v="0"/>
  </r>
  <r>
    <n v="38"/>
    <d v="2018-09-10T00:00:00"/>
    <x v="4"/>
    <x v="4"/>
    <x v="0"/>
    <s v="CAJA"/>
    <s v="PAGO NOMINA QUINCENA 1 SEPTIEMBRE 2018"/>
    <s v="TRANSACCIONES DEL DIA 09/10/2018 RECURSOS HUMANOS"/>
    <n v="100.66"/>
    <n v="0"/>
    <s v="ALBROOK"/>
    <x v="0"/>
  </r>
  <r>
    <n v="38"/>
    <d v="2018-09-25T00:00:00"/>
    <x v="4"/>
    <x v="4"/>
    <x v="0"/>
    <s v="CAJA"/>
    <s v="PAGO NOMINA QUINCENA 2 SEPTIEMBRE 2018"/>
    <s v="TRANSACCIONES DEL DIA 09/25/2018 RECURSOS HUMANOS"/>
    <n v="190.22"/>
    <n v="0"/>
    <s v="ALBROOK"/>
    <x v="0"/>
  </r>
  <r>
    <n v="38"/>
    <d v="2018-10-10T00:00:00"/>
    <x v="0"/>
    <x v="0"/>
    <x v="0"/>
    <s v="CAJA"/>
    <s v="PAGO NOMINA QUINCENA 1 OCTUBRE 2018"/>
    <s v="TRANSACCIONES DEL DIA 10/10/2018 RECURSOS HUMANOS"/>
    <n v="108.73"/>
    <n v="0"/>
    <s v="ALBROOK"/>
    <x v="0"/>
  </r>
  <r>
    <n v="38"/>
    <d v="2018-10-25T00:00:00"/>
    <x v="0"/>
    <x v="0"/>
    <x v="0"/>
    <s v="CAJA"/>
    <s v="PAGO NOMINA QUINCENA 2 OCTUBRE 2018"/>
    <s v="TRANSACCIONES DEL DIA 10/25/2018 RECURSOS HUMANOS"/>
    <n v="133.29"/>
    <n v="0"/>
    <s v="ALBROOK"/>
    <x v="0"/>
  </r>
  <r>
    <n v="38"/>
    <d v="2018-11-09T00:00:00"/>
    <x v="5"/>
    <x v="5"/>
    <x v="0"/>
    <s v="CAJA"/>
    <s v="PAGO NOMINA QUINCENA 1 NOVIEMBRE 2018"/>
    <s v="TRANSACCIONES DEL DIA 11/09/2018 RECURSOS HUMANOS"/>
    <n v="78.69"/>
    <n v="0"/>
    <s v="ALBROOK"/>
    <x v="0"/>
  </r>
  <r>
    <n v="38"/>
    <d v="2018-11-24T00:00:00"/>
    <x v="5"/>
    <x v="5"/>
    <x v="0"/>
    <s v="CAJA"/>
    <s v="PAGO NOMINA QUINCENA 2 NOVIEMBRE 2018"/>
    <s v="TRANSACCIONES DEL DIA 11/24/2018 RECURSOS HUMANOS"/>
    <n v="236.28"/>
    <n v="0"/>
    <s v="ALBROOK"/>
    <x v="0"/>
  </r>
  <r>
    <n v="38"/>
    <d v="2018-12-10T00:00:00"/>
    <x v="1"/>
    <x v="1"/>
    <x v="0"/>
    <s v="CAJA"/>
    <s v="PAGO NOMINA QUINCENA 1 DICIEMBRE 2018"/>
    <s v="TRANSACCIONES DEL DIA 12/10/2018 RECURSOS HUMANOS"/>
    <n v="24.74"/>
    <n v="0"/>
    <s v="ALBROOK"/>
    <x v="0"/>
  </r>
  <r>
    <n v="38"/>
    <d v="2018-12-19T00:00:00"/>
    <x v="1"/>
    <x v="1"/>
    <x v="0"/>
    <s v="CAJA"/>
    <s v="PAGO NOMINA QUINCENA 2 DICIEMBRE 2018"/>
    <s v="TRANSACCIONES DEL DIA 12/19/2018 RECURSOS HUMANOS"/>
    <n v="132.25"/>
    <n v="0"/>
    <s v="ALBROOK"/>
    <x v="0"/>
  </r>
  <r>
    <n v="38"/>
    <d v="2018-12-31T00:00:00"/>
    <x v="1"/>
    <x v="1"/>
    <x v="0"/>
    <s v="CAJA"/>
    <s v="CIERRE DE ANIO FISCAL"/>
    <s v="CIERRE_DE_CTAS_NOMINALES"/>
    <n v="0"/>
    <n v="2899.26"/>
    <s v="ALBROOK"/>
    <x v="0"/>
  </r>
  <r>
    <n v="38"/>
    <d v="2018-07-10T00:00:00"/>
    <x v="6"/>
    <x v="6"/>
    <x v="0"/>
    <s v="SERVICIOS PERSONALES"/>
    <s v="PAGO NOMINA QUINCENA 1 JULIO 2018"/>
    <s v="TRANSACCIONES DEL DIA 07/10/2018 RECURSOS HUMANOS"/>
    <n v="31.42"/>
    <n v="0"/>
    <s v="ALBROOK"/>
    <x v="0"/>
  </r>
  <r>
    <n v="38"/>
    <d v="2018-07-25T00:00:00"/>
    <x v="6"/>
    <x v="6"/>
    <x v="0"/>
    <s v="SERVICIOS PERSONALES"/>
    <s v="PAGO NOMINA QUINCENA 2 JULIO 2018"/>
    <s v="TRANSACCIONES DEL DIA 07/25/2018 RECURSOS HUMANOS"/>
    <n v="63.84"/>
    <n v="0"/>
    <s v="ALBROOK"/>
    <x v="0"/>
  </r>
  <r>
    <n v="38"/>
    <d v="2018-08-10T00:00:00"/>
    <x v="3"/>
    <x v="3"/>
    <x v="0"/>
    <s v="SERVICIOS PERSONALES"/>
    <s v="PAGO NOMINA QUINCENA 1 AGOSTO 2018"/>
    <s v="TRANSACCIONES DEL DIA 08/10/2018 RECURSOS HUMANOS"/>
    <n v="22.58"/>
    <n v="0"/>
    <s v="ALBROOK"/>
    <x v="0"/>
  </r>
  <r>
    <n v="38"/>
    <d v="2018-12-31T00:00:00"/>
    <x v="1"/>
    <x v="1"/>
    <x v="0"/>
    <s v="SERVICIOS PERSONALES"/>
    <s v="CIERRE DE ANIO FISCAL"/>
    <s v="CIERRE_DE_CTAS_NOMINALES"/>
    <n v="0"/>
    <n v="186.53"/>
    <s v="ALBROOK"/>
    <x v="0"/>
  </r>
  <r>
    <n v="39"/>
    <d v="2018-12-31T00:00:00"/>
    <x v="1"/>
    <x v="1"/>
    <x v="0"/>
    <s v="ADMINISTRACION DE SUCURSALES"/>
    <s v="CIERRE DE ANIO FISCAL"/>
    <s v="CIERRE_DE_CTAS_NOMINALES"/>
    <n v="0"/>
    <n v="71.959999999999994"/>
    <s v="SUCURSAL DE VISTA ALEGRE"/>
    <x v="0"/>
  </r>
  <r>
    <n v="39"/>
    <d v="2018-06-09T00:00:00"/>
    <x v="2"/>
    <x v="2"/>
    <x v="0"/>
    <s v="CAJA"/>
    <s v="PAGO NOMINA QUINCENA 1 JUNIO 2018"/>
    <s v="TRANSACCIONES DEL DIA 06/09/2018 RECURSOS HUMANOS"/>
    <n v="147.52000000000001"/>
    <n v="0"/>
    <s v="SUCURSAL DE VISTA ALEGRE"/>
    <x v="0"/>
  </r>
  <r>
    <n v="39"/>
    <d v="2018-06-25T00:00:00"/>
    <x v="2"/>
    <x v="2"/>
    <x v="0"/>
    <s v="CAJA"/>
    <s v="PAGO NOMINA QUINCENA 2 JUNIO 2018"/>
    <s v="TRANSACCIONES DEL DIA 06/25/2018 RECURSOS HUMANOS"/>
    <n v="94.97"/>
    <n v="0"/>
    <s v="SUCURSAL DE VISTA ALEGRE"/>
    <x v="0"/>
  </r>
  <r>
    <n v="39"/>
    <d v="2018-07-10T00:00:00"/>
    <x v="6"/>
    <x v="6"/>
    <x v="0"/>
    <s v="CAJA"/>
    <s v="PAGO NOMINA QUINCENA 1 JULIO 2018"/>
    <s v="TRANSACCIONES DEL DIA 07/10/2018 RECURSOS HUMANOS"/>
    <n v="33.25"/>
    <n v="0"/>
    <s v="SUCURSAL DE VISTA ALEGRE"/>
    <x v="0"/>
  </r>
  <r>
    <n v="39"/>
    <d v="2018-07-25T00:00:00"/>
    <x v="6"/>
    <x v="6"/>
    <x v="0"/>
    <s v="CAJA"/>
    <s v="PAGO NOMINA QUINCENA 2 JULIO 2018"/>
    <s v="TRANSACCIONES DEL DIA 07/25/2018 RECURSOS HUMANOS"/>
    <n v="123.9"/>
    <n v="0"/>
    <s v="SUCURSAL DE VISTA ALEGRE"/>
    <x v="0"/>
  </r>
  <r>
    <n v="39"/>
    <d v="2018-08-10T00:00:00"/>
    <x v="3"/>
    <x v="3"/>
    <x v="0"/>
    <s v="CAJA"/>
    <s v="PAGO NOMINA QUINCENA 1 AGOSTO 2018"/>
    <s v="TRANSACCIONES DEL DIA 08/10/2018 RECURSOS HUMANOS"/>
    <n v="86.54"/>
    <n v="0"/>
    <s v="SUCURSAL DE VISTA ALEGRE"/>
    <x v="0"/>
  </r>
  <r>
    <n v="39"/>
    <d v="2018-08-25T00:00:00"/>
    <x v="3"/>
    <x v="3"/>
    <x v="0"/>
    <s v="CAJA"/>
    <s v="PAGO NOMINA QUINCENA 2 AGOSTO 2018"/>
    <s v="TRANSACCIONES DEL DIA 08/25/2018 RECURSOS HUMANOS"/>
    <n v="323.60000000000002"/>
    <n v="0"/>
    <s v="SUCURSAL DE VISTA ALEGRE"/>
    <x v="0"/>
  </r>
  <r>
    <n v="39"/>
    <d v="2018-09-10T00:00:00"/>
    <x v="4"/>
    <x v="4"/>
    <x v="0"/>
    <s v="CAJA"/>
    <s v="PAGO NOMINA QUINCENA 1 SEPTIEMBRE 2018"/>
    <s v="TRANSACCIONES DEL DIA 09/10/2018 RECURSOS HUMANOS"/>
    <n v="128.56"/>
    <n v="0"/>
    <s v="SUCURSAL DE VISTA ALEGRE"/>
    <x v="0"/>
  </r>
  <r>
    <n v="39"/>
    <d v="2018-09-25T00:00:00"/>
    <x v="4"/>
    <x v="4"/>
    <x v="0"/>
    <s v="CAJA"/>
    <s v="PAGO NOMINA QUINCENA 2 SEPTIEMBRE 2018"/>
    <s v="TRANSACCIONES DEL DIA 09/25/2018 RECURSOS HUMANOS"/>
    <n v="396.15"/>
    <n v="0"/>
    <s v="SUCURSAL DE VISTA ALEGRE"/>
    <x v="0"/>
  </r>
  <r>
    <n v="39"/>
    <d v="2018-10-10T00:00:00"/>
    <x v="0"/>
    <x v="0"/>
    <x v="0"/>
    <s v="CAJA"/>
    <s v="PAGO NOMINA QUINCENA 1 OCTUBRE 2018"/>
    <s v="TRANSACCIONES DEL DIA 10/10/2018 RECURSOS HUMANOS"/>
    <n v="210.3"/>
    <n v="0"/>
    <s v="SUCURSAL DE VISTA ALEGRE"/>
    <x v="0"/>
  </r>
  <r>
    <n v="39"/>
    <d v="2018-10-25T00:00:00"/>
    <x v="0"/>
    <x v="0"/>
    <x v="0"/>
    <s v="CAJA"/>
    <s v="PAGO NOMINA QUINCENA 2 OCTUBRE 2018"/>
    <s v="TRANSACCIONES DEL DIA 10/25/2018 RECURSOS HUMANOS"/>
    <n v="221.42"/>
    <n v="0"/>
    <s v="SUCURSAL DE VISTA ALEGRE"/>
    <x v="0"/>
  </r>
  <r>
    <n v="39"/>
    <d v="2018-11-09T00:00:00"/>
    <x v="5"/>
    <x v="5"/>
    <x v="0"/>
    <s v="CAJA"/>
    <s v="PAGO NOMINA QUINCENA 1 NOVIEMBRE 2018"/>
    <s v="TRANSACCIONES DEL DIA 11/09/2018 RECURSOS HUMANOS"/>
    <n v="93.58"/>
    <n v="0"/>
    <s v="SUCURSAL DE VISTA ALEGRE"/>
    <x v="0"/>
  </r>
  <r>
    <n v="39"/>
    <d v="2018-11-24T00:00:00"/>
    <x v="5"/>
    <x v="5"/>
    <x v="0"/>
    <s v="CAJA"/>
    <s v="PAGO NOMINA QUINCENA 2 NOVIEMBRE 2018"/>
    <s v="TRANSACCIONES DEL DIA 11/24/2018 RECURSOS HUMANOS"/>
    <n v="253.1"/>
    <n v="0"/>
    <s v="SUCURSAL DE VISTA ALEGRE"/>
    <x v="0"/>
  </r>
  <r>
    <n v="39"/>
    <d v="2018-12-10T00:00:00"/>
    <x v="1"/>
    <x v="1"/>
    <x v="0"/>
    <s v="CAJA"/>
    <s v="PAGO NOMINA QUINCENA 1 DICIEMBRE 2018"/>
    <s v="TRANSACCIONES DEL DIA 12/10/2018 RECURSOS HUMANOS"/>
    <n v="233.35"/>
    <n v="0"/>
    <s v="SUCURSAL DE VISTA ALEGRE"/>
    <x v="0"/>
  </r>
  <r>
    <n v="39"/>
    <d v="2018-12-19T00:00:00"/>
    <x v="1"/>
    <x v="1"/>
    <x v="0"/>
    <s v="CAJA"/>
    <s v="PAGO NOMINA QUINCENA 2 DICIEMBRE 2018"/>
    <s v="TRANSACCIONES DEL DIA 12/19/2018 RECURSOS HUMANOS"/>
    <n v="195.92"/>
    <n v="0"/>
    <s v="SUCURSAL DE VISTA ALEGRE"/>
    <x v="0"/>
  </r>
  <r>
    <n v="39"/>
    <d v="2018-12-31T00:00:00"/>
    <x v="1"/>
    <x v="1"/>
    <x v="0"/>
    <s v="CAJA"/>
    <s v="CIERRE DE ANIO FISCAL"/>
    <s v="CIERRE_DE_CTAS_NOMINALES"/>
    <n v="0"/>
    <n v="4838.25"/>
    <s v="SUCURSAL DE VISTA ALEGRE"/>
    <x v="0"/>
  </r>
  <r>
    <n v="39"/>
    <d v="2018-06-25T00:00:00"/>
    <x v="2"/>
    <x v="2"/>
    <x v="0"/>
    <s v="SERVICIOS PERSONALES"/>
    <s v="PAGO NOMINA QUINCENA 2 JUNIO 2018"/>
    <s v="TRANSACCIONES DEL DIA 06/25/2018 RECURSOS HUMANOS"/>
    <n v="58.8"/>
    <n v="0"/>
    <s v="SUCURSAL DE VISTA ALEGRE"/>
    <x v="0"/>
  </r>
  <r>
    <n v="39"/>
    <d v="2018-09-10T00:00:00"/>
    <x v="4"/>
    <x v="4"/>
    <x v="0"/>
    <s v="SERVICIOS PERSONALES"/>
    <s v="PAGO NOMINA QUINCENA 1 SEPTIEMBRE 2018"/>
    <s v="TRANSACCIONES DEL DIA 09/10/2018 RECURSOS HUMANOS"/>
    <n v="31.05"/>
    <n v="0"/>
    <s v="SUCURSAL DE VISTA ALEGRE"/>
    <x v="0"/>
  </r>
  <r>
    <n v="39"/>
    <d v="2018-09-25T00:00:00"/>
    <x v="4"/>
    <x v="4"/>
    <x v="0"/>
    <s v="SERVICIOS PERSONALES"/>
    <s v="PAGO NOMINA QUINCENA 2 SEPTIEMBRE 2018"/>
    <s v="TRANSACCIONES DEL DIA 09/25/2018 RECURSOS HUMANOS"/>
    <n v="32.17"/>
    <n v="0"/>
    <s v="SUCURSAL DE VISTA ALEGRE"/>
    <x v="0"/>
  </r>
  <r>
    <n v="39"/>
    <d v="2018-11-09T00:00:00"/>
    <x v="5"/>
    <x v="5"/>
    <x v="0"/>
    <s v="SERVICIOS PERSONALES"/>
    <s v="PAGO NOMINA QUINCENA 1 NOVIEMBRE 2018"/>
    <s v="TRANSACCIONES DEL DIA 11/09/2018 RECURSOS HUMANOS"/>
    <n v="39.01"/>
    <n v="0"/>
    <s v="SUCURSAL DE VISTA ALEGRE"/>
    <x v="0"/>
  </r>
  <r>
    <n v="39"/>
    <d v="2018-11-24T00:00:00"/>
    <x v="5"/>
    <x v="5"/>
    <x v="0"/>
    <s v="SERVICIOS PERSONALES"/>
    <s v="PAGO NOMINA QUINCENA 2 NOVIEMBRE 2018"/>
    <s v="TRANSACCIONES DEL DIA 11/24/2018 RECURSOS HUMANOS"/>
    <n v="57.12"/>
    <n v="0"/>
    <s v="SUCURSAL DE VISTA ALEGRE"/>
    <x v="0"/>
  </r>
  <r>
    <n v="39"/>
    <d v="2018-12-19T00:00:00"/>
    <x v="1"/>
    <x v="1"/>
    <x v="0"/>
    <s v="SERVICIOS PERSONALES"/>
    <s v="PAGO NOMINA QUINCENA 2 DICIEMBRE 2018"/>
    <s v="TRANSACCIONES DEL DIA 12/19/2018 RECURSOS HUMANOS"/>
    <n v="8.17"/>
    <n v="0"/>
    <s v="SUCURSAL DE VISTA ALEGRE"/>
    <x v="0"/>
  </r>
  <r>
    <n v="39"/>
    <d v="2018-12-31T00:00:00"/>
    <x v="1"/>
    <x v="1"/>
    <x v="0"/>
    <s v="SERVICIOS PERSONALES"/>
    <s v="CIERRE DE ANIO FISCAL"/>
    <s v="CIERRE_DE_CTAS_NOMINALES"/>
    <n v="0"/>
    <n v="339.32"/>
    <s v="SUCURSAL DE VISTA ALEGRE"/>
    <x v="0"/>
  </r>
  <r>
    <n v="40"/>
    <d v="2018-10-10T00:00:00"/>
    <x v="0"/>
    <x v="0"/>
    <x v="0"/>
    <s v="CAJA"/>
    <s v="PAGO NOMINA QUINCENA 1 OCTUBRE 2018"/>
    <s v="TRANSACCIONES DEL DIA 10/10/2018 RECURSOS HUMANOS"/>
    <n v="24.02"/>
    <n v="0"/>
    <s v="LAS TABLAS"/>
    <x v="0"/>
  </r>
  <r>
    <n v="40"/>
    <d v="2018-10-25T00:00:00"/>
    <x v="0"/>
    <x v="0"/>
    <x v="0"/>
    <s v="CAJA"/>
    <s v="PAGO NOMINA QUINCENA 2 OCTUBRE 2018"/>
    <s v="TRANSACCIONES DEL DIA 10/25/2018 RECURSOS HUMANOS"/>
    <n v="39.130000000000003"/>
    <n v="0"/>
    <s v="LAS TABLAS"/>
    <x v="0"/>
  </r>
  <r>
    <n v="40"/>
    <d v="2018-12-31T00:00:00"/>
    <x v="1"/>
    <x v="1"/>
    <x v="0"/>
    <s v="CAJA"/>
    <s v="CIERRE DE ANIO FISCAL"/>
    <s v="CIERRE_DE_CTAS_NOMINALES"/>
    <n v="0"/>
    <n v="153.74"/>
    <s v="LAS TABLAS"/>
    <x v="0"/>
  </r>
  <r>
    <n v="40"/>
    <d v="2018-12-31T00:00:00"/>
    <x v="1"/>
    <x v="1"/>
    <x v="0"/>
    <s v="SERVICIOS PERSONALES"/>
    <s v="CIERRE DE ANIO FISCAL"/>
    <s v="CIERRE_DE_CTAS_NOMINALES"/>
    <n v="0"/>
    <n v="554.63"/>
    <s v="LAS TABLAS"/>
    <x v="0"/>
  </r>
  <r>
    <n v="41"/>
    <d v="2018-08-10T00:00:00"/>
    <x v="3"/>
    <x v="3"/>
    <x v="0"/>
    <s v="CAJA"/>
    <s v="PAGO NOMINA QUINCENA 1 AGOSTO 2018"/>
    <s v="TRANSACCIONES DEL DIA 08/10/2018 RECURSOS HUMANOS"/>
    <n v="29.5"/>
    <n v="0"/>
    <s v="24 DE DICIEMBRE"/>
    <x v="0"/>
  </r>
  <r>
    <n v="41"/>
    <d v="2018-08-25T00:00:00"/>
    <x v="3"/>
    <x v="3"/>
    <x v="0"/>
    <s v="CAJA"/>
    <s v="PAGO NOMINA QUINCENA 2 AGOSTO 2018"/>
    <s v="TRANSACCIONES DEL DIA 08/25/2018 RECURSOS HUMANOS"/>
    <n v="51.73"/>
    <n v="0"/>
    <s v="24 DE DICIEMBRE"/>
    <x v="0"/>
  </r>
  <r>
    <n v="41"/>
    <d v="2018-12-31T00:00:00"/>
    <x v="1"/>
    <x v="1"/>
    <x v="0"/>
    <s v="CAJA"/>
    <s v="CIERRE DE ANIO FISCAL"/>
    <s v="CIERRE_DE_CTAS_NOMINALES"/>
    <n v="0"/>
    <n v="81.23"/>
    <s v="24 DE DICIEMBRE"/>
    <x v="0"/>
  </r>
  <r>
    <n v="42"/>
    <d v="2018-11-24T00:00:00"/>
    <x v="5"/>
    <x v="5"/>
    <x v="0"/>
    <s v="CAJA"/>
    <s v="PAGO NOMINA QUINCENA 2 NOVIEMBRE 2018"/>
    <s v="TRANSACCIONES DEL DIA 11/24/2018 RECURSOS HUMANOS"/>
    <n v="16.12"/>
    <n v="0"/>
    <s v="DAVID - TERRONAL"/>
    <x v="0"/>
  </r>
  <r>
    <n v="42"/>
    <d v="2018-12-31T00:00:00"/>
    <x v="1"/>
    <x v="1"/>
    <x v="0"/>
    <s v="CAJA"/>
    <s v="CIERRE DE ANIO FISCAL"/>
    <s v="CIERRE_DE_CTAS_NOMINALES"/>
    <n v="0"/>
    <n v="16.12"/>
    <s v="DAVID - TERRONAL"/>
    <x v="0"/>
  </r>
  <r>
    <n v="43"/>
    <d v="2018-12-31T00:00:00"/>
    <x v="1"/>
    <x v="1"/>
    <x v="0"/>
    <s v="ADMINISTRACION DE SUCURSALES"/>
    <s v="CIERRE DE ANIO FISCAL"/>
    <s v="CIERRE_DE_CTAS_NOMINALES"/>
    <n v="0"/>
    <n v="87.59"/>
    <s v="COSTA DEL ESTE"/>
    <x v="0"/>
  </r>
  <r>
    <n v="43"/>
    <d v="2018-06-09T00:00:00"/>
    <x v="2"/>
    <x v="2"/>
    <x v="0"/>
    <s v="CAJA"/>
    <s v="PAGO NOMINA QUINCENA 1 JUNIO 2018"/>
    <s v="TRANSACCIONES DEL DIA 06/09/2018 RECURSOS HUMANOS"/>
    <n v="299.97000000000003"/>
    <n v="0"/>
    <s v="COSTA DEL ESTE"/>
    <x v="0"/>
  </r>
  <r>
    <n v="43"/>
    <d v="2018-06-25T00:00:00"/>
    <x v="2"/>
    <x v="2"/>
    <x v="0"/>
    <s v="CAJA"/>
    <s v="PAGO NOMINA QUINCENA 2 JUNIO 2018"/>
    <s v="TRANSACCIONES DEL DIA 06/25/2018 RECURSOS HUMANOS"/>
    <n v="439.82"/>
    <n v="0"/>
    <s v="COSTA DEL ESTE"/>
    <x v="0"/>
  </r>
  <r>
    <n v="43"/>
    <d v="2018-07-10T00:00:00"/>
    <x v="6"/>
    <x v="6"/>
    <x v="0"/>
    <s v="CAJA"/>
    <s v="PAGO NOMINA QUINCENA 1 JULIO 2018"/>
    <s v="TRANSACCIONES DEL DIA 07/10/2018 RECURSOS HUMANOS"/>
    <n v="387.3"/>
    <n v="0"/>
    <s v="COSTA DEL ESTE"/>
    <x v="0"/>
  </r>
  <r>
    <n v="43"/>
    <d v="2018-07-25T00:00:00"/>
    <x v="6"/>
    <x v="6"/>
    <x v="0"/>
    <s v="CAJA"/>
    <s v="PAGO NOMINA QUINCENA 2 JULIO 2018"/>
    <s v="TRANSACCIONES DEL DIA 07/25/2018 RECURSOS HUMANOS"/>
    <n v="418.53"/>
    <n v="0"/>
    <s v="COSTA DEL ESTE"/>
    <x v="0"/>
  </r>
  <r>
    <n v="43"/>
    <d v="2018-08-10T00:00:00"/>
    <x v="3"/>
    <x v="3"/>
    <x v="0"/>
    <s v="CAJA"/>
    <s v="PAGO NOMINA QUINCENA 1 AGOSTO 2018"/>
    <s v="TRANSACCIONES DEL DIA 08/10/2018 RECURSOS HUMANOS"/>
    <n v="338.3"/>
    <n v="0"/>
    <s v="COSTA DEL ESTE"/>
    <x v="0"/>
  </r>
  <r>
    <n v="43"/>
    <d v="2018-08-15T00:00:00"/>
    <x v="3"/>
    <x v="3"/>
    <x v="0"/>
    <s v="CAJA"/>
    <s v="PLANILLAS DE LIQUIDACIONES AGO 2018"/>
    <s v="TRANSACCIONES DEL DIA 08/15/2018 RECURSOS HUMANOS"/>
    <n v="79.02"/>
    <n v="0"/>
    <s v="COSTA DEL ESTE"/>
    <x v="0"/>
  </r>
  <r>
    <n v="43"/>
    <d v="2018-08-25T00:00:00"/>
    <x v="3"/>
    <x v="3"/>
    <x v="0"/>
    <s v="CAJA"/>
    <s v="PAGO NOMINA QUINCENA 2 AGOSTO 2018"/>
    <s v="TRANSACCIONES DEL DIA 08/25/2018 RECURSOS HUMANOS"/>
    <n v="235.92"/>
    <n v="0"/>
    <s v="COSTA DEL ESTE"/>
    <x v="0"/>
  </r>
  <r>
    <n v="43"/>
    <d v="2018-09-10T00:00:00"/>
    <x v="4"/>
    <x v="4"/>
    <x v="0"/>
    <s v="CAJA"/>
    <s v="PAGO NOMINA QUINCENA 1 SEPTIEMBRE 2018"/>
    <s v="TRANSACCIONES DEL DIA 09/10/2018 RECURSOS HUMANOS"/>
    <n v="516.44000000000005"/>
    <n v="0"/>
    <s v="COSTA DEL ESTE"/>
    <x v="0"/>
  </r>
  <r>
    <n v="43"/>
    <d v="2018-09-25T00:00:00"/>
    <x v="4"/>
    <x v="4"/>
    <x v="0"/>
    <s v="CAJA"/>
    <s v="PAGO NOMINA QUINCENA 2 SEPTIEMBRE 2018"/>
    <s v="TRANSACCIONES DEL DIA 09/25/2018 RECURSOS HUMANOS"/>
    <n v="465.99"/>
    <n v="0"/>
    <s v="COSTA DEL ESTE"/>
    <x v="0"/>
  </r>
  <r>
    <n v="43"/>
    <d v="2018-10-10T00:00:00"/>
    <x v="0"/>
    <x v="0"/>
    <x v="0"/>
    <s v="CAJA"/>
    <s v="PAGO NOMINA QUINCENA 1 OCTUBRE 2018"/>
    <s v="TRANSACCIONES DEL DIA 10/10/2018 RECURSOS HUMANOS"/>
    <n v="379.72"/>
    <n v="0"/>
    <s v="COSTA DEL ESTE"/>
    <x v="0"/>
  </r>
  <r>
    <n v="43"/>
    <d v="2018-10-25T00:00:00"/>
    <x v="0"/>
    <x v="0"/>
    <x v="0"/>
    <s v="CAJA"/>
    <s v="PAGO NOMINA QUINCENA 2 OCTUBRE 2018"/>
    <s v="TRANSACCIONES DEL DIA 10/25/2018 RECURSOS HUMANOS"/>
    <n v="203.3"/>
    <n v="0"/>
    <s v="COSTA DEL ESTE"/>
    <x v="0"/>
  </r>
  <r>
    <n v="43"/>
    <d v="2018-11-09T00:00:00"/>
    <x v="5"/>
    <x v="5"/>
    <x v="0"/>
    <s v="CAJA"/>
    <s v="PAGO NOMINA QUINCENA 1 NOVIEMBRE 2018"/>
    <s v="TRANSACCIONES DEL DIA 11/09/2018 RECURSOS HUMANOS"/>
    <n v="214.21"/>
    <n v="0"/>
    <s v="COSTA DEL ESTE"/>
    <x v="0"/>
  </r>
  <r>
    <n v="43"/>
    <d v="2018-11-24T00:00:00"/>
    <x v="5"/>
    <x v="5"/>
    <x v="0"/>
    <s v="CAJA"/>
    <s v="PAGO NOMINA QUINCENA 2 NOVIEMBRE 2018"/>
    <s v="TRANSACCIONES DEL DIA 11/24/2018 RECURSOS HUMANOS"/>
    <n v="263.73"/>
    <n v="0"/>
    <s v="COSTA DEL ESTE"/>
    <x v="0"/>
  </r>
  <r>
    <n v="43"/>
    <d v="2018-12-10T00:00:00"/>
    <x v="1"/>
    <x v="1"/>
    <x v="0"/>
    <s v="CAJA"/>
    <s v="PAGO NOMINA QUINCENA 1 DICIEMBRE 2018"/>
    <s v="TRANSACCIONES DEL DIA 12/10/2018 RECURSOS HUMANOS"/>
    <n v="224.67"/>
    <n v="0"/>
    <s v="COSTA DEL ESTE"/>
    <x v="0"/>
  </r>
  <r>
    <n v="43"/>
    <d v="2018-12-19T00:00:00"/>
    <x v="1"/>
    <x v="1"/>
    <x v="0"/>
    <s v="CAJA"/>
    <s v="PAGO NOMINA QUINCENA 2 DICIEMBRE 2018"/>
    <s v="TRANSACCIONES DEL DIA 12/19/2018 RECURSOS HUMANOS"/>
    <n v="420.08"/>
    <n v="0"/>
    <s v="COSTA DEL ESTE"/>
    <x v="0"/>
  </r>
  <r>
    <n v="43"/>
    <d v="2018-12-31T00:00:00"/>
    <x v="1"/>
    <x v="1"/>
    <x v="0"/>
    <s v="CAJA"/>
    <s v="CIERRE DE ANIO FISCAL"/>
    <s v="CIERRE_DE_CTAS_NOMINALES"/>
    <n v="0"/>
    <n v="8514.23"/>
    <s v="COSTA DEL ESTE"/>
    <x v="0"/>
  </r>
  <r>
    <n v="43"/>
    <d v="2018-06-09T00:00:00"/>
    <x v="2"/>
    <x v="2"/>
    <x v="0"/>
    <s v="SERVICIOS PERSONALES"/>
    <s v="PAGO NOMINA QUINCENA 1 JUNIO 2018"/>
    <s v="TRANSACCIONES DEL DIA 06/09/2018 RECURSOS HUMANOS"/>
    <n v="28.57"/>
    <n v="0"/>
    <s v="COSTA DEL ESTE"/>
    <x v="0"/>
  </r>
  <r>
    <n v="43"/>
    <d v="2018-06-25T00:00:00"/>
    <x v="2"/>
    <x v="2"/>
    <x v="0"/>
    <s v="SERVICIOS PERSONALES"/>
    <s v="PAGO NOMINA QUINCENA 2 JUNIO 2018"/>
    <s v="TRANSACCIONES DEL DIA 06/25/2018 RECURSOS HUMANOS"/>
    <n v="28.57"/>
    <n v="0"/>
    <s v="COSTA DEL ESTE"/>
    <x v="0"/>
  </r>
  <r>
    <n v="43"/>
    <d v="2018-08-10T00:00:00"/>
    <x v="3"/>
    <x v="3"/>
    <x v="0"/>
    <s v="SERVICIOS PERSONALES"/>
    <s v="PAGO NOMINA QUINCENA 1 AGOSTO 2018"/>
    <s v="TRANSACCIONES DEL DIA 08/10/2018 RECURSOS HUMANOS"/>
    <n v="28.78"/>
    <n v="0"/>
    <s v="COSTA DEL ESTE"/>
    <x v="0"/>
  </r>
  <r>
    <n v="43"/>
    <d v="2018-09-10T00:00:00"/>
    <x v="4"/>
    <x v="4"/>
    <x v="0"/>
    <s v="SERVICIOS PERSONALES"/>
    <s v="PAGO NOMINA QUINCENA 1 SEPTIEMBRE 2018"/>
    <s v="TRANSACCIONES DEL DIA 09/10/2018 RECURSOS HUMANOS"/>
    <n v="59.19"/>
    <n v="0"/>
    <s v="COSTA DEL ESTE"/>
    <x v="0"/>
  </r>
  <r>
    <n v="43"/>
    <d v="2018-09-25T00:00:00"/>
    <x v="4"/>
    <x v="4"/>
    <x v="0"/>
    <s v="SERVICIOS PERSONALES"/>
    <s v="PAGO NOMINA QUINCENA 2 SEPTIEMBRE 2018"/>
    <s v="TRANSACCIONES DEL DIA 09/25/2018 RECURSOS HUMANOS"/>
    <n v="28.78"/>
    <n v="0"/>
    <s v="COSTA DEL ESTE"/>
    <x v="0"/>
  </r>
  <r>
    <n v="43"/>
    <d v="2018-10-10T00:00:00"/>
    <x v="0"/>
    <x v="0"/>
    <x v="0"/>
    <s v="SERVICIOS PERSONALES"/>
    <s v="PAGO NOMINA QUINCENA 1 OCTUBRE 2018"/>
    <s v="TRANSACCIONES DEL DIA 10/10/2018 RECURSOS HUMANOS"/>
    <n v="43.57"/>
    <n v="0"/>
    <s v="COSTA DEL ESTE"/>
    <x v="0"/>
  </r>
  <r>
    <n v="43"/>
    <d v="2018-10-25T00:00:00"/>
    <x v="0"/>
    <x v="0"/>
    <x v="0"/>
    <s v="SERVICIOS PERSONALES"/>
    <s v="PAGO NOMINA QUINCENA 2 OCTUBRE 2018"/>
    <s v="TRANSACCIONES DEL DIA 10/25/2018 RECURSOS HUMANOS"/>
    <n v="41.23"/>
    <n v="0"/>
    <s v="COSTA DEL ESTE"/>
    <x v="0"/>
  </r>
  <r>
    <n v="43"/>
    <d v="2018-11-24T00:00:00"/>
    <x v="5"/>
    <x v="5"/>
    <x v="0"/>
    <s v="SERVICIOS PERSONALES"/>
    <s v="PAGO NOMINA QUINCENA 2 NOVIEMBRE 2018"/>
    <s v="TRANSACCIONES DEL DIA 11/24/2018 RECURSOS HUMANOS"/>
    <n v="29.14"/>
    <n v="0"/>
    <s v="COSTA DEL ESTE"/>
    <x v="0"/>
  </r>
  <r>
    <n v="43"/>
    <d v="2018-12-19T00:00:00"/>
    <x v="1"/>
    <x v="1"/>
    <x v="0"/>
    <s v="SERVICIOS PERSONALES"/>
    <s v="PAGO NOMINA QUINCENA 2 DICIEMBRE 2018"/>
    <s v="TRANSACCIONES DEL DIA 12/19/2018 RECURSOS HUMANOS"/>
    <n v="31.68"/>
    <n v="0"/>
    <s v="COSTA DEL ESTE"/>
    <x v="0"/>
  </r>
  <r>
    <n v="43"/>
    <d v="2018-12-31T00:00:00"/>
    <x v="1"/>
    <x v="1"/>
    <x v="0"/>
    <s v="SERVICIOS PERSONALES"/>
    <s v="CIERRE DE ANIO FISCAL"/>
    <s v="CIERRE_DE_CTAS_NOMINALES"/>
    <n v="0"/>
    <n v="453.02"/>
    <s v="COSTA DEL ESTE"/>
    <x v="0"/>
  </r>
  <r>
    <n v="44"/>
    <d v="2018-06-09T00:00:00"/>
    <x v="2"/>
    <x v="2"/>
    <x v="0"/>
    <s v="ADMINISTRACION DE SUCURSALES"/>
    <s v="PAGO NOMINA QUINCENA 1 JUNIO 2018"/>
    <s v="TRANSACCIONES DEL DIA 06/09/2018 RECURSOS HUMANOS"/>
    <n v="66.569999999999993"/>
    <n v="0"/>
    <s v="MULTI PLAZA"/>
    <x v="0"/>
  </r>
  <r>
    <n v="44"/>
    <d v="2018-07-10T00:00:00"/>
    <x v="6"/>
    <x v="6"/>
    <x v="0"/>
    <s v="ADMINISTRACION DE SUCURSALES"/>
    <s v="PAGO NOMINA QUINCENA 1 JULIO 2018"/>
    <s v="TRANSACCIONES DEL DIA 07/10/2018 RECURSOS HUMANOS"/>
    <n v="55.58"/>
    <n v="0"/>
    <s v="MULTI PLAZA"/>
    <x v="0"/>
  </r>
  <r>
    <n v="44"/>
    <d v="2018-08-10T00:00:00"/>
    <x v="3"/>
    <x v="3"/>
    <x v="0"/>
    <s v="ADMINISTRACION DE SUCURSALES"/>
    <s v="PAGO NOMINA QUINCENA 1 AGOSTO 2018"/>
    <s v="TRANSACCIONES DEL DIA 08/10/2018 RECURSOS HUMANOS"/>
    <n v="51.1"/>
    <n v="0"/>
    <s v="MULTI PLAZA"/>
    <x v="0"/>
  </r>
  <r>
    <n v="44"/>
    <d v="2018-08-25T00:00:00"/>
    <x v="3"/>
    <x v="3"/>
    <x v="0"/>
    <s v="ADMINISTRACION DE SUCURSALES"/>
    <s v="PAGO NOMINA QUINCENA 2 AGOSTO 2018"/>
    <s v="TRANSACCIONES DEL DIA 08/25/2018 RECURSOS HUMANOS"/>
    <n v="28.22"/>
    <n v="0"/>
    <s v="MULTI PLAZA"/>
    <x v="0"/>
  </r>
  <r>
    <n v="44"/>
    <d v="2018-09-10T00:00:00"/>
    <x v="4"/>
    <x v="4"/>
    <x v="0"/>
    <s v="ADMINISTRACION DE SUCURSALES"/>
    <s v="PAGO NOMINA QUINCENA 1 SEPTIEMBRE 2018"/>
    <s v="TRANSACCIONES DEL DIA 09/10/2018 RECURSOS HUMANOS"/>
    <n v="37.04"/>
    <n v="0"/>
    <s v="MULTI PLAZA"/>
    <x v="0"/>
  </r>
  <r>
    <n v="44"/>
    <d v="2018-11-09T00:00:00"/>
    <x v="5"/>
    <x v="5"/>
    <x v="0"/>
    <s v="ADMINISTRACION DE SUCURSALES"/>
    <s v="PAGO NOMINA QUINCENA 1 NOVIEMBRE 2018"/>
    <s v="TRANSACCIONES DEL DIA 11/09/2018 RECURSOS HUMANOS"/>
    <n v="28.4"/>
    <n v="0"/>
    <s v="MULTI PLAZA"/>
    <x v="0"/>
  </r>
  <r>
    <n v="44"/>
    <d v="2018-12-10T00:00:00"/>
    <x v="1"/>
    <x v="1"/>
    <x v="0"/>
    <s v="ADMINISTRACION DE SUCURSALES"/>
    <s v="PAGO NOMINA QUINCENA 1 DICIEMBRE 2018"/>
    <s v="TRANSACCIONES DEL DIA 12/10/2018 RECURSOS HUMANOS"/>
    <n v="46.7"/>
    <n v="0"/>
    <s v="MULTI PLAZA"/>
    <x v="0"/>
  </r>
  <r>
    <n v="44"/>
    <d v="2018-12-31T00:00:00"/>
    <x v="1"/>
    <x v="1"/>
    <x v="0"/>
    <s v="ADMINISTRACION DE SUCURSALES"/>
    <s v="CIERRE DE ANIO FISCAL"/>
    <s v="CIERRE_DE_CTAS_NOMINALES"/>
    <n v="0"/>
    <n v="353.33"/>
    <s v="MULTI PLAZA"/>
    <x v="0"/>
  </r>
  <r>
    <n v="44"/>
    <d v="2018-06-09T00:00:00"/>
    <x v="2"/>
    <x v="2"/>
    <x v="0"/>
    <s v="CAJA"/>
    <s v="PAGO NOMINA QUINCENA 1 JUNIO 2018"/>
    <s v="TRANSACCIONES DEL DIA 06/09/2018 RECURSOS HUMANOS"/>
    <n v="165.96"/>
    <n v="0"/>
    <s v="MULTI PLAZA"/>
    <x v="0"/>
  </r>
  <r>
    <n v="44"/>
    <d v="2018-06-25T00:00:00"/>
    <x v="2"/>
    <x v="2"/>
    <x v="0"/>
    <s v="CAJA"/>
    <s v="PAGO NOMINA QUINCENA 2 JUNIO 2018"/>
    <s v="TRANSACCIONES DEL DIA 06/25/2018 RECURSOS HUMANOS"/>
    <n v="102.96"/>
    <n v="0"/>
    <s v="MULTI PLAZA"/>
    <x v="0"/>
  </r>
  <r>
    <n v="44"/>
    <d v="2018-07-10T00:00:00"/>
    <x v="6"/>
    <x v="6"/>
    <x v="0"/>
    <s v="CAJA"/>
    <s v="PAGO NOMINA QUINCENA 1 JULIO 2018"/>
    <s v="TRANSACCIONES DEL DIA 07/10/2018 RECURSOS HUMANOS"/>
    <n v="125.74"/>
    <n v="0"/>
    <s v="MULTI PLAZA"/>
    <x v="0"/>
  </r>
  <r>
    <n v="44"/>
    <d v="2018-07-25T00:00:00"/>
    <x v="6"/>
    <x v="6"/>
    <x v="0"/>
    <s v="CAJA"/>
    <s v="PAGO NOMINA QUINCENA 2 JULIO 2018"/>
    <s v="TRANSACCIONES DEL DIA 07/25/2018 RECURSOS HUMANOS"/>
    <n v="174.24"/>
    <n v="0"/>
    <s v="MULTI PLAZA"/>
    <x v="0"/>
  </r>
  <r>
    <n v="44"/>
    <d v="2018-08-10T00:00:00"/>
    <x v="3"/>
    <x v="3"/>
    <x v="0"/>
    <s v="CAJA"/>
    <s v="PAGO NOMINA QUINCENA 1 AGOSTO 2018"/>
    <s v="TRANSACCIONES DEL DIA 08/10/2018 RECURSOS HUMANOS"/>
    <n v="51.02"/>
    <n v="0"/>
    <s v="MULTI PLAZA"/>
    <x v="0"/>
  </r>
  <r>
    <n v="44"/>
    <d v="2018-08-25T00:00:00"/>
    <x v="3"/>
    <x v="3"/>
    <x v="0"/>
    <s v="CAJA"/>
    <s v="PAGO NOMINA QUINCENA 2 AGOSTO 2018"/>
    <s v="TRANSACCIONES DEL DIA 08/25/2018 RECURSOS HUMANOS"/>
    <n v="301.62"/>
    <n v="0"/>
    <s v="MULTI PLAZA"/>
    <x v="0"/>
  </r>
  <r>
    <n v="44"/>
    <d v="2018-09-10T00:00:00"/>
    <x v="4"/>
    <x v="4"/>
    <x v="0"/>
    <s v="CAJA"/>
    <s v="PAGO NOMINA QUINCENA 1 SEPTIEMBRE 2018"/>
    <s v="TRANSACCIONES DEL DIA 09/10/2018 RECURSOS HUMANOS"/>
    <n v="110.13"/>
    <n v="0"/>
    <s v="MULTI PLAZA"/>
    <x v="0"/>
  </r>
  <r>
    <n v="44"/>
    <d v="2018-09-25T00:00:00"/>
    <x v="4"/>
    <x v="4"/>
    <x v="0"/>
    <s v="CAJA"/>
    <s v="PAGO NOMINA QUINCENA 2 SEPTIEMBRE 2018"/>
    <s v="TRANSACCIONES DEL DIA 09/25/2018 RECURSOS HUMANOS"/>
    <n v="111.56"/>
    <n v="0"/>
    <s v="MULTI PLAZA"/>
    <x v="0"/>
  </r>
  <r>
    <n v="44"/>
    <d v="2018-10-10T00:00:00"/>
    <x v="0"/>
    <x v="0"/>
    <x v="0"/>
    <s v="CAJA"/>
    <s v="PAGO NOMINA QUINCENA 1 OCTUBRE 2018"/>
    <s v="TRANSACCIONES DEL DIA 10/10/2018 RECURSOS HUMANOS"/>
    <n v="124.99"/>
    <n v="0"/>
    <s v="MULTI PLAZA"/>
    <x v="0"/>
  </r>
  <r>
    <n v="44"/>
    <d v="2018-10-25T00:00:00"/>
    <x v="0"/>
    <x v="0"/>
    <x v="0"/>
    <s v="CAJA"/>
    <s v="PAGO NOMINA QUINCENA 2 OCTUBRE 2018"/>
    <s v="TRANSACCIONES DEL DIA 10/25/2018 RECURSOS HUMANOS"/>
    <n v="247.59"/>
    <n v="0"/>
    <s v="MULTI PLAZA"/>
    <x v="0"/>
  </r>
  <r>
    <n v="44"/>
    <d v="2018-11-09T00:00:00"/>
    <x v="5"/>
    <x v="5"/>
    <x v="0"/>
    <s v="CAJA"/>
    <s v="PAGO NOMINA QUINCENA 1 NOVIEMBRE 2018"/>
    <s v="TRANSACCIONES DEL DIA 11/09/2018 RECURSOS HUMANOS"/>
    <n v="209.54"/>
    <n v="0"/>
    <s v="MULTI PLAZA"/>
    <x v="0"/>
  </r>
  <r>
    <n v="44"/>
    <d v="2018-11-24T00:00:00"/>
    <x v="5"/>
    <x v="5"/>
    <x v="0"/>
    <s v="CAJA"/>
    <s v="PAGO NOMINA QUINCENA 2 NOVIEMBRE 2018"/>
    <s v="TRANSACCIONES DEL DIA 11/24/2018 RECURSOS HUMANOS"/>
    <n v="228.43"/>
    <n v="0"/>
    <s v="MULTI PLAZA"/>
    <x v="0"/>
  </r>
  <r>
    <n v="44"/>
    <d v="2018-12-10T00:00:00"/>
    <x v="1"/>
    <x v="1"/>
    <x v="0"/>
    <s v="CAJA"/>
    <s v="PAGO NOMINA QUINCENA 1 DICIEMBRE 2018"/>
    <s v="TRANSACCIONES DEL DIA 12/10/2018 RECURSOS HUMANOS"/>
    <n v="164.05"/>
    <n v="0"/>
    <s v="MULTI PLAZA"/>
    <x v="0"/>
  </r>
  <r>
    <n v="44"/>
    <d v="2018-12-19T00:00:00"/>
    <x v="1"/>
    <x v="1"/>
    <x v="0"/>
    <s v="CAJA"/>
    <s v="PAGO NOMINA QUINCENA 2 DICIEMBRE 2018"/>
    <s v="TRANSACCIONES DEL DIA 12/19/2018 RECURSOS HUMANOS"/>
    <n v="151.01"/>
    <n v="0"/>
    <s v="MULTI PLAZA"/>
    <x v="0"/>
  </r>
  <r>
    <n v="44"/>
    <d v="2018-12-31T00:00:00"/>
    <x v="1"/>
    <x v="1"/>
    <x v="0"/>
    <s v="CAJA"/>
    <s v="CIERRE DE ANIO FISCAL"/>
    <s v="CIERRE_DE_CTAS_NOMINALES"/>
    <n v="0"/>
    <n v="4525.3100000000004"/>
    <s v="MULTI PLAZA"/>
    <x v="0"/>
  </r>
  <r>
    <n v="44"/>
    <d v="2018-06-09T00:00:00"/>
    <x v="2"/>
    <x v="2"/>
    <x v="0"/>
    <s v="SERVICIOS PERSONALES"/>
    <s v="PAGO NOMINA QUINCENA 1 JUNIO 2018"/>
    <s v="TRANSACCIONES DEL DIA 06/09/2018 RECURSOS HUMANOS"/>
    <n v="72.03"/>
    <n v="0"/>
    <s v="MULTI PLAZA"/>
    <x v="0"/>
  </r>
  <r>
    <n v="44"/>
    <d v="2018-07-25T00:00:00"/>
    <x v="6"/>
    <x v="6"/>
    <x v="0"/>
    <s v="SERVICIOS PERSONALES"/>
    <s v="PAGO NOMINA QUINCENA 2 JULIO 2018"/>
    <s v="TRANSACCIONES DEL DIA 07/25/2018 RECURSOS HUMANOS"/>
    <n v="30.26"/>
    <n v="0"/>
    <s v="MULTI PLAZA"/>
    <x v="0"/>
  </r>
  <r>
    <n v="44"/>
    <d v="2018-08-10T00:00:00"/>
    <x v="3"/>
    <x v="3"/>
    <x v="0"/>
    <s v="SERVICIOS PERSONALES"/>
    <s v="PAGO NOMINA QUINCENA 1 AGOSTO 2018"/>
    <s v="TRANSACCIONES DEL DIA 08/10/2018 RECURSOS HUMANOS"/>
    <n v="33.15"/>
    <n v="0"/>
    <s v="MULTI PLAZA"/>
    <x v="0"/>
  </r>
  <r>
    <n v="44"/>
    <d v="2018-11-09T00:00:00"/>
    <x v="5"/>
    <x v="5"/>
    <x v="0"/>
    <s v="SERVICIOS PERSONALES"/>
    <s v="PAGO NOMINA QUINCENA 1 NOVIEMBRE 2018"/>
    <s v="TRANSACCIONES DEL DIA 11/09/2018 RECURSOS HUMANOS"/>
    <n v="59.5"/>
    <n v="0"/>
    <s v="MULTI PLAZA"/>
    <x v="0"/>
  </r>
  <r>
    <n v="44"/>
    <d v="2018-11-24T00:00:00"/>
    <x v="5"/>
    <x v="5"/>
    <x v="0"/>
    <s v="SERVICIOS PERSONALES"/>
    <s v="PAGO NOMINA QUINCENA 2 NOVIEMBRE 2018"/>
    <s v="TRANSACCIONES DEL DIA 11/24/2018 RECURSOS HUMANOS"/>
    <n v="22.78"/>
    <n v="0"/>
    <s v="MULTI PLAZA"/>
    <x v="0"/>
  </r>
  <r>
    <n v="44"/>
    <d v="2018-12-19T00:00:00"/>
    <x v="1"/>
    <x v="1"/>
    <x v="0"/>
    <s v="SERVICIOS PERSONALES"/>
    <s v="PAGO NOMINA QUINCENA 2 DICIEMBRE 2018"/>
    <s v="TRANSACCIONES DEL DIA 12/19/2018 RECURSOS HUMANOS"/>
    <n v="24.9"/>
    <n v="0"/>
    <s v="MULTI PLAZA"/>
    <x v="0"/>
  </r>
  <r>
    <n v="44"/>
    <d v="2018-12-31T00:00:00"/>
    <x v="1"/>
    <x v="1"/>
    <x v="0"/>
    <s v="SERVICIOS PERSONALES"/>
    <s v="CIERRE DE ANIO FISCAL"/>
    <s v="CIERRE_DE_CTAS_NOMINALES"/>
    <n v="0"/>
    <n v="509.7"/>
    <s v="MULTI PLAZA"/>
    <x v="0"/>
  </r>
  <r>
    <n v="46"/>
    <d v="2018-06-09T00:00:00"/>
    <x v="2"/>
    <x v="2"/>
    <x v="0"/>
    <s v="ADMINISTRACION DE SUCURSALES"/>
    <s v="PAGO NOMINA QUINCENA 1 JUNIO 2018"/>
    <s v="TRANSACCIONES DEL DIA 06/09/2018 RECURSOS HUMANOS"/>
    <n v="42.85"/>
    <n v="0"/>
    <s v="TERMINAL DE ALBROOK"/>
    <x v="0"/>
  </r>
  <r>
    <n v="46"/>
    <d v="2018-10-25T00:00:00"/>
    <x v="0"/>
    <x v="0"/>
    <x v="0"/>
    <s v="ADMINISTRACION DE SUCURSALES"/>
    <s v="PAGO NOMINA QUINCENA 2 OCTUBRE 2018"/>
    <s v="TRANSACCIONES DEL DIA 10/25/2018 RECURSOS HUMANOS"/>
    <n v="49.33"/>
    <n v="0"/>
    <s v="TERMINAL DE ALBROOK"/>
    <x v="0"/>
  </r>
  <r>
    <n v="46"/>
    <d v="2018-12-31T00:00:00"/>
    <x v="1"/>
    <x v="1"/>
    <x v="0"/>
    <s v="ADMINISTRACION DE SUCURSALES"/>
    <s v="CIERRE DE ANIO FISCAL"/>
    <s v="CIERRE_DE_CTAS_NOMINALES"/>
    <n v="0"/>
    <n v="183.12"/>
    <s v="TERMINAL DE ALBROOK"/>
    <x v="0"/>
  </r>
  <r>
    <n v="46"/>
    <d v="2018-06-09T00:00:00"/>
    <x v="2"/>
    <x v="2"/>
    <x v="0"/>
    <s v="CAJA"/>
    <s v="PAGO NOMINA QUINCENA 1 JUNIO 2018"/>
    <s v="TRANSACCIONES DEL DIA 06/09/2018 RECURSOS HUMANOS"/>
    <n v="109.68"/>
    <n v="0"/>
    <s v="TERMINAL DE ALBROOK"/>
    <x v="0"/>
  </r>
  <r>
    <n v="46"/>
    <d v="2018-06-25T00:00:00"/>
    <x v="2"/>
    <x v="2"/>
    <x v="0"/>
    <s v="CAJA"/>
    <s v="PAGO NOMINA QUINCENA 2 JUNIO 2018"/>
    <s v="TRANSACCIONES DEL DIA 06/25/2018 RECURSOS HUMANOS"/>
    <n v="68.73"/>
    <n v="0"/>
    <s v="TERMINAL DE ALBROOK"/>
    <x v="0"/>
  </r>
  <r>
    <n v="46"/>
    <d v="2018-07-10T00:00:00"/>
    <x v="6"/>
    <x v="6"/>
    <x v="0"/>
    <s v="CAJA"/>
    <s v="PAGO NOMINA QUINCENA 1 JULIO 2018"/>
    <s v="TRANSACCIONES DEL DIA 07/10/2018 RECURSOS HUMANOS"/>
    <n v="133.16999999999999"/>
    <n v="0"/>
    <s v="TERMINAL DE ALBROOK"/>
    <x v="0"/>
  </r>
  <r>
    <n v="46"/>
    <d v="2018-07-25T00:00:00"/>
    <x v="6"/>
    <x v="6"/>
    <x v="0"/>
    <s v="CAJA"/>
    <s v="PAGO NOMINA QUINCENA 2 JULIO 2018"/>
    <s v="TRANSACCIONES DEL DIA 07/25/2018 RECURSOS HUMANOS"/>
    <n v="219.43"/>
    <n v="0"/>
    <s v="TERMINAL DE ALBROOK"/>
    <x v="0"/>
  </r>
  <r>
    <n v="46"/>
    <d v="2018-07-26T00:00:00"/>
    <x v="6"/>
    <x v="6"/>
    <x v="0"/>
    <s v="CAJA"/>
    <s v="PLANILLAS DE LIQUIDACIONES JUL 2018"/>
    <s v="TRANSACCIONES DEL DIA 07/26/2018 RECURSOS HUMANOS"/>
    <n v="46.95"/>
    <n v="0"/>
    <s v="TERMINAL DE ALBROOK"/>
    <x v="0"/>
  </r>
  <r>
    <n v="46"/>
    <d v="2018-08-10T00:00:00"/>
    <x v="3"/>
    <x v="3"/>
    <x v="0"/>
    <s v="CAJA"/>
    <s v="PAGO NOMINA QUINCENA 1 AGOSTO 2018"/>
    <s v="TRANSACCIONES DEL DIA 08/10/2018 RECURSOS HUMANOS"/>
    <n v="145.5"/>
    <n v="0"/>
    <s v="TERMINAL DE ALBROOK"/>
    <x v="0"/>
  </r>
  <r>
    <n v="46"/>
    <d v="2018-08-25T00:00:00"/>
    <x v="3"/>
    <x v="3"/>
    <x v="0"/>
    <s v="CAJA"/>
    <s v="PAGO NOMINA QUINCENA 2 AGOSTO 2018"/>
    <s v="TRANSACCIONES DEL DIA 08/25/2018 RECURSOS HUMANOS"/>
    <n v="246.81"/>
    <n v="0"/>
    <s v="TERMINAL DE ALBROOK"/>
    <x v="0"/>
  </r>
  <r>
    <n v="46"/>
    <d v="2018-09-10T00:00:00"/>
    <x v="4"/>
    <x v="4"/>
    <x v="0"/>
    <s v="CAJA"/>
    <s v="PAGO NOMINA QUINCENA 1 SEPTIEMBRE 2018"/>
    <s v="TRANSACCIONES DEL DIA 09/10/2018 RECURSOS HUMANOS"/>
    <n v="389.07"/>
    <n v="0"/>
    <s v="TERMINAL DE ALBROOK"/>
    <x v="0"/>
  </r>
  <r>
    <n v="46"/>
    <d v="2018-09-25T00:00:00"/>
    <x v="4"/>
    <x v="4"/>
    <x v="0"/>
    <s v="CAJA"/>
    <s v="PAGO NOMINA QUINCENA 2 SEPTIEMBRE 2018"/>
    <s v="TRANSACCIONES DEL DIA 09/25/2018 RECURSOS HUMANOS"/>
    <n v="278.27"/>
    <n v="0"/>
    <s v="TERMINAL DE ALBROOK"/>
    <x v="0"/>
  </r>
  <r>
    <n v="46"/>
    <d v="2018-10-10T00:00:00"/>
    <x v="0"/>
    <x v="0"/>
    <x v="0"/>
    <s v="CAJA"/>
    <s v="PAGO NOMINA QUINCENA 1 OCTUBRE 2018"/>
    <s v="TRANSACCIONES DEL DIA 10/10/2018 RECURSOS HUMANOS"/>
    <n v="196.6"/>
    <n v="0"/>
    <s v="TERMINAL DE ALBROOK"/>
    <x v="0"/>
  </r>
  <r>
    <n v="46"/>
    <d v="2018-10-25T00:00:00"/>
    <x v="0"/>
    <x v="0"/>
    <x v="0"/>
    <s v="CAJA"/>
    <s v="PAGO NOMINA QUINCENA 2 OCTUBRE 2018"/>
    <s v="TRANSACCIONES DEL DIA 10/25/2018 RECURSOS HUMANOS"/>
    <n v="191.55"/>
    <n v="0"/>
    <s v="TERMINAL DE ALBROOK"/>
    <x v="0"/>
  </r>
  <r>
    <n v="46"/>
    <d v="2018-11-09T00:00:00"/>
    <x v="5"/>
    <x v="5"/>
    <x v="0"/>
    <s v="CAJA"/>
    <s v="PAGO NOMINA QUINCENA 1 NOVIEMBRE 2018"/>
    <s v="TRANSACCIONES DEL DIA 11/09/2018 RECURSOS HUMANOS"/>
    <n v="319.35000000000002"/>
    <n v="0"/>
    <s v="TERMINAL DE ALBROOK"/>
    <x v="0"/>
  </r>
  <r>
    <n v="46"/>
    <d v="2018-11-24T00:00:00"/>
    <x v="5"/>
    <x v="5"/>
    <x v="0"/>
    <s v="CAJA"/>
    <s v="PAGO NOMINA QUINCENA 2 NOVIEMBRE 2018"/>
    <s v="TRANSACCIONES DEL DIA 11/24/2018 RECURSOS HUMANOS"/>
    <n v="322.63"/>
    <n v="0"/>
    <s v="TERMINAL DE ALBROOK"/>
    <x v="0"/>
  </r>
  <r>
    <n v="46"/>
    <d v="2018-12-10T00:00:00"/>
    <x v="1"/>
    <x v="1"/>
    <x v="0"/>
    <s v="CAJA"/>
    <s v="PAGO NOMINA QUINCENA 1 DICIEMBRE 2018"/>
    <s v="TRANSACCIONES DEL DIA 12/10/2018 RECURSOS HUMANOS"/>
    <n v="318.16000000000003"/>
    <n v="0"/>
    <s v="TERMINAL DE ALBROOK"/>
    <x v="0"/>
  </r>
  <r>
    <n v="46"/>
    <d v="2018-12-19T00:00:00"/>
    <x v="1"/>
    <x v="1"/>
    <x v="0"/>
    <s v="CAJA"/>
    <s v="PAGO NOMINA QUINCENA 2 DICIEMBRE 2018"/>
    <s v="TRANSACCIONES DEL DIA 12/19/2018 RECURSOS HUMANOS"/>
    <n v="283.88"/>
    <n v="0"/>
    <s v="TERMINAL DE ALBROOK"/>
    <x v="0"/>
  </r>
  <r>
    <n v="46"/>
    <d v="2018-12-31T00:00:00"/>
    <x v="1"/>
    <x v="1"/>
    <x v="0"/>
    <s v="CAJA"/>
    <s v="CIERRE DE ANIO FISCAL"/>
    <s v="CIERRE_DE_CTAS_NOMINALES"/>
    <n v="0"/>
    <n v="4652.25"/>
    <s v="TERMINAL DE ALBROOK"/>
    <x v="0"/>
  </r>
  <r>
    <n v="46"/>
    <d v="2018-06-09T00:00:00"/>
    <x v="2"/>
    <x v="2"/>
    <x v="0"/>
    <s v="SERVICIOS PERSONALES"/>
    <s v="PAGO NOMINA QUINCENA 1 JUNIO 2018"/>
    <s v="TRANSACCIONES DEL DIA 06/09/2018 RECURSOS HUMANOS"/>
    <n v="28.84"/>
    <n v="0"/>
    <s v="TERMINAL DE ALBROOK"/>
    <x v="0"/>
  </r>
  <r>
    <n v="46"/>
    <d v="2018-06-25T00:00:00"/>
    <x v="2"/>
    <x v="2"/>
    <x v="0"/>
    <s v="SERVICIOS PERSONALES"/>
    <s v="PAGO NOMINA QUINCENA 2 JUNIO 2018"/>
    <s v="TRANSACCIONES DEL DIA 06/25/2018 RECURSOS HUMANOS"/>
    <n v="24.94"/>
    <n v="0"/>
    <s v="TERMINAL DE ALBROOK"/>
    <x v="0"/>
  </r>
  <r>
    <n v="46"/>
    <d v="2018-07-10T00:00:00"/>
    <x v="6"/>
    <x v="6"/>
    <x v="0"/>
    <s v="SERVICIOS PERSONALES"/>
    <s v="PAGO NOMINA QUINCENA 1 JULIO 2018"/>
    <s v="TRANSACCIONES DEL DIA 07/10/2018 RECURSOS HUMANOS"/>
    <n v="154.03"/>
    <n v="0"/>
    <s v="TERMINAL DE ALBROOK"/>
    <x v="0"/>
  </r>
  <r>
    <n v="46"/>
    <d v="2018-07-25T00:00:00"/>
    <x v="6"/>
    <x v="6"/>
    <x v="0"/>
    <s v="SERVICIOS PERSONALES"/>
    <s v="PAGO NOMINA QUINCENA 2 JULIO 2018"/>
    <s v="TRANSACCIONES DEL DIA 07/25/2018 RECURSOS HUMANOS"/>
    <n v="25.26"/>
    <n v="0"/>
    <s v="TERMINAL DE ALBROOK"/>
    <x v="0"/>
  </r>
  <r>
    <n v="46"/>
    <d v="2018-08-25T00:00:00"/>
    <x v="3"/>
    <x v="3"/>
    <x v="0"/>
    <s v="SERVICIOS PERSONALES"/>
    <s v="PAGO NOMINA QUINCENA 2 AGOSTO 2018"/>
    <s v="TRANSACCIONES DEL DIA 08/25/2018 RECURSOS HUMANOS"/>
    <n v="13.86"/>
    <n v="0"/>
    <s v="TERMINAL DE ALBROOK"/>
    <x v="0"/>
  </r>
  <r>
    <n v="46"/>
    <d v="2018-09-10T00:00:00"/>
    <x v="4"/>
    <x v="4"/>
    <x v="0"/>
    <s v="SERVICIOS PERSONALES"/>
    <s v="PAGO NOMINA QUINCENA 1 SEPTIEMBRE 2018"/>
    <s v="TRANSACCIONES DEL DIA 09/10/2018 RECURSOS HUMANOS"/>
    <n v="58.52"/>
    <n v="0"/>
    <s v="TERMINAL DE ALBROOK"/>
    <x v="0"/>
  </r>
  <r>
    <n v="46"/>
    <d v="2018-09-25T00:00:00"/>
    <x v="4"/>
    <x v="4"/>
    <x v="0"/>
    <s v="SERVICIOS PERSONALES"/>
    <s v="PAGO NOMINA QUINCENA 2 SEPTIEMBRE 2018"/>
    <s v="TRANSACCIONES DEL DIA 09/25/2018 RECURSOS HUMANOS"/>
    <n v="50.06"/>
    <n v="0"/>
    <s v="TERMINAL DE ALBROOK"/>
    <x v="0"/>
  </r>
  <r>
    <n v="46"/>
    <d v="2018-10-10T00:00:00"/>
    <x v="0"/>
    <x v="0"/>
    <x v="0"/>
    <s v="SERVICIOS PERSONALES"/>
    <s v="PAGO NOMINA QUINCENA 1 OCTUBRE 2018"/>
    <s v="TRANSACCIONES DEL DIA 10/10/2018 RECURSOS HUMANOS"/>
    <n v="28.51"/>
    <n v="0"/>
    <s v="TERMINAL DE ALBROOK"/>
    <x v="0"/>
  </r>
  <r>
    <n v="46"/>
    <d v="2018-11-09T00:00:00"/>
    <x v="5"/>
    <x v="5"/>
    <x v="0"/>
    <s v="SERVICIOS PERSONALES"/>
    <s v="PAGO NOMINA QUINCENA 1 NOVIEMBRE 2018"/>
    <s v="TRANSACCIONES DEL DIA 11/09/2018 RECURSOS HUMANOS"/>
    <n v="18.29"/>
    <n v="0"/>
    <s v="TERMINAL DE ALBROOK"/>
    <x v="0"/>
  </r>
  <r>
    <n v="46"/>
    <d v="2018-11-24T00:00:00"/>
    <x v="5"/>
    <x v="5"/>
    <x v="0"/>
    <s v="SERVICIOS PERSONALES"/>
    <s v="PAGO NOMINA QUINCENA 2 NOVIEMBRE 2018"/>
    <s v="TRANSACCIONES DEL DIA 11/24/2018 RECURSOS HUMANOS"/>
    <n v="72.040000000000006"/>
    <n v="0"/>
    <s v="TERMINAL DE ALBROOK"/>
    <x v="0"/>
  </r>
  <r>
    <n v="46"/>
    <d v="2018-12-10T00:00:00"/>
    <x v="1"/>
    <x v="1"/>
    <x v="0"/>
    <s v="SERVICIOS PERSONALES"/>
    <s v="PAGO NOMINA QUINCENA 1 DICIEMBRE 2018"/>
    <s v="TRANSACCIONES DEL DIA 12/10/2018 RECURSOS HUMANOS"/>
    <n v="30.9"/>
    <n v="0"/>
    <s v="TERMINAL DE ALBROOK"/>
    <x v="0"/>
  </r>
  <r>
    <n v="46"/>
    <d v="2018-12-19T00:00:00"/>
    <x v="1"/>
    <x v="1"/>
    <x v="0"/>
    <s v="SERVICIOS PERSONALES"/>
    <s v="PAGO NOMINA QUINCENA 2 DICIEMBRE 2018"/>
    <s v="TRANSACCIONES DEL DIA 12/19/2018 RECURSOS HUMANOS"/>
    <n v="15.38"/>
    <n v="0"/>
    <s v="TERMINAL DE ALBROOK"/>
    <x v="0"/>
  </r>
  <r>
    <n v="46"/>
    <d v="2018-12-31T00:00:00"/>
    <x v="1"/>
    <x v="1"/>
    <x v="0"/>
    <s v="SERVICIOS PERSONALES"/>
    <s v="CIERRE DE ANIO FISCAL"/>
    <s v="CIERRE_DE_CTAS_NOMINALES"/>
    <n v="0"/>
    <n v="943.52"/>
    <s v="TERMINAL DE ALBROOK"/>
    <x v="0"/>
  </r>
  <r>
    <n v="47"/>
    <d v="2018-12-31T00:00:00"/>
    <x v="1"/>
    <x v="1"/>
    <x v="0"/>
    <s v="ADMINISTRACION DE SUCURSALES"/>
    <s v="CIERRE DE ANIO FISCAL"/>
    <s v="CIERRE_DE_CTAS_NOMINALES"/>
    <n v="0"/>
    <n v="291.97000000000003"/>
    <s v="CONCEPCION"/>
    <x v="0"/>
  </r>
  <r>
    <n v="47"/>
    <d v="2018-12-31T00:00:00"/>
    <x v="1"/>
    <x v="1"/>
    <x v="0"/>
    <s v="CAJA"/>
    <s v="CIERRE DE ANIO FISCAL"/>
    <s v="CIERRE_DE_CTAS_NOMINALES"/>
    <n v="0"/>
    <n v="210.62"/>
    <s v="CONCEPCION"/>
    <x v="0"/>
  </r>
  <r>
    <n v="48"/>
    <d v="2018-08-10T00:00:00"/>
    <x v="3"/>
    <x v="3"/>
    <x v="0"/>
    <s v="CAJA"/>
    <s v="PAGO NOMINA QUINCENA 1 AGOSTO 2018"/>
    <s v="TRANSACCIONES DEL DIA 08/10/2018 RECURSOS HUMANOS"/>
    <n v="30.14"/>
    <n v="0"/>
    <s v="BOQUETE"/>
    <x v="0"/>
  </r>
  <r>
    <n v="48"/>
    <d v="2018-08-25T00:00:00"/>
    <x v="3"/>
    <x v="3"/>
    <x v="0"/>
    <s v="CAJA"/>
    <s v="PAGO NOMINA QUINCENA 2 AGOSTO 2018"/>
    <s v="TRANSACCIONES DEL DIA 08/25/2018 RECURSOS HUMANOS"/>
    <n v="45.75"/>
    <n v="0"/>
    <s v="BOQUETE"/>
    <x v="0"/>
  </r>
  <r>
    <n v="48"/>
    <d v="2018-12-31T00:00:00"/>
    <x v="1"/>
    <x v="1"/>
    <x v="0"/>
    <s v="CAJA"/>
    <s v="CIERRE DE ANIO FISCAL"/>
    <s v="CIERRE_DE_CTAS_NOMINALES"/>
    <n v="0"/>
    <n v="135.25"/>
    <s v="BOQUETE"/>
    <x v="0"/>
  </r>
  <r>
    <n v="49"/>
    <d v="2018-06-09T00:00:00"/>
    <x v="2"/>
    <x v="2"/>
    <x v="0"/>
    <s v="CAJA"/>
    <s v="PAGO NOMINA QUINCENA 1 JUNIO 2018"/>
    <s v="TRANSACCIONES DEL DIA 06/09/2018 RECURSOS HUMANOS"/>
    <n v="162.99"/>
    <n v="0"/>
    <s v="BRISAS DEL GOLF"/>
    <x v="0"/>
  </r>
  <r>
    <n v="49"/>
    <d v="2018-06-25T00:00:00"/>
    <x v="2"/>
    <x v="2"/>
    <x v="0"/>
    <s v="CAJA"/>
    <s v="PAGO NOMINA QUINCENA 2 JUNIO 2018"/>
    <s v="TRANSACCIONES DEL DIA 06/25/2018 RECURSOS HUMANOS"/>
    <n v="69.8"/>
    <n v="0"/>
    <s v="BRISAS DEL GOLF"/>
    <x v="0"/>
  </r>
  <r>
    <n v="49"/>
    <d v="2018-07-10T00:00:00"/>
    <x v="6"/>
    <x v="6"/>
    <x v="0"/>
    <s v="CAJA"/>
    <s v="PAGO NOMINA QUINCENA 1 JULIO 2018"/>
    <s v="TRANSACCIONES DEL DIA 07/10/2018 RECURSOS HUMANOS"/>
    <n v="40.1"/>
    <n v="0"/>
    <s v="BRISAS DEL GOLF"/>
    <x v="0"/>
  </r>
  <r>
    <n v="49"/>
    <d v="2018-07-25T00:00:00"/>
    <x v="6"/>
    <x v="6"/>
    <x v="0"/>
    <s v="CAJA"/>
    <s v="PAGO NOMINA QUINCENA 2 JULIO 2018"/>
    <s v="TRANSACCIONES DEL DIA 07/25/2018 RECURSOS HUMANOS"/>
    <n v="217.67"/>
    <n v="0"/>
    <s v="BRISAS DEL GOLF"/>
    <x v="0"/>
  </r>
  <r>
    <n v="49"/>
    <d v="2018-08-10T00:00:00"/>
    <x v="3"/>
    <x v="3"/>
    <x v="0"/>
    <s v="CAJA"/>
    <s v="PAGO NOMINA QUINCENA 1 AGOSTO 2018"/>
    <s v="TRANSACCIONES DEL DIA 08/10/2018 RECURSOS HUMANOS"/>
    <n v="233.51"/>
    <n v="0"/>
    <s v="BRISAS DEL GOLF"/>
    <x v="0"/>
  </r>
  <r>
    <n v="49"/>
    <d v="2018-08-25T00:00:00"/>
    <x v="3"/>
    <x v="3"/>
    <x v="0"/>
    <s v="CAJA"/>
    <s v="PAGO NOMINA QUINCENA 2 AGOSTO 2018"/>
    <s v="TRANSACCIONES DEL DIA 08/25/2018 RECURSOS HUMANOS"/>
    <n v="172.65"/>
    <n v="0"/>
    <s v="BRISAS DEL GOLF"/>
    <x v="0"/>
  </r>
  <r>
    <n v="49"/>
    <d v="2018-09-10T00:00:00"/>
    <x v="4"/>
    <x v="4"/>
    <x v="0"/>
    <s v="CAJA"/>
    <s v="PAGO NOMINA QUINCENA 1 SEPTIEMBRE 2018"/>
    <s v="TRANSACCIONES DEL DIA 09/10/2018 RECURSOS HUMANOS"/>
    <n v="158.68"/>
    <n v="0"/>
    <s v="BRISAS DEL GOLF"/>
    <x v="0"/>
  </r>
  <r>
    <n v="49"/>
    <d v="2018-09-25T00:00:00"/>
    <x v="4"/>
    <x v="4"/>
    <x v="0"/>
    <s v="CAJA"/>
    <s v="PAGO NOMINA QUINCENA 2 SEPTIEMBRE 2018"/>
    <s v="TRANSACCIONES DEL DIA 09/25/2018 RECURSOS HUMANOS"/>
    <n v="138.18"/>
    <n v="0"/>
    <s v="BRISAS DEL GOLF"/>
    <x v="0"/>
  </r>
  <r>
    <n v="49"/>
    <d v="2018-10-10T00:00:00"/>
    <x v="0"/>
    <x v="0"/>
    <x v="0"/>
    <s v="CAJA"/>
    <s v="PAGO NOMINA QUINCENA 1 OCTUBRE 2018"/>
    <s v="TRANSACCIONES DEL DIA 10/10/2018 RECURSOS HUMANOS"/>
    <n v="229.55"/>
    <n v="0"/>
    <s v="BRISAS DEL GOLF"/>
    <x v="0"/>
  </r>
  <r>
    <n v="49"/>
    <d v="2018-10-25T00:00:00"/>
    <x v="0"/>
    <x v="0"/>
    <x v="0"/>
    <s v="CAJA"/>
    <s v="PAGO NOMINA QUINCENA 2 OCTUBRE 2018"/>
    <s v="TRANSACCIONES DEL DIA 10/25/2018 RECURSOS HUMANOS"/>
    <n v="148.88999999999999"/>
    <n v="0"/>
    <s v="BRISAS DEL GOLF"/>
    <x v="0"/>
  </r>
  <r>
    <n v="49"/>
    <d v="2018-11-09T00:00:00"/>
    <x v="5"/>
    <x v="5"/>
    <x v="0"/>
    <s v="CAJA"/>
    <s v="PAGO NOMINA QUINCENA 1 NOVIEMBRE 2018"/>
    <s v="TRANSACCIONES DEL DIA 11/09/2018 RECURSOS HUMANOS"/>
    <n v="251.59"/>
    <n v="0"/>
    <s v="BRISAS DEL GOLF"/>
    <x v="0"/>
  </r>
  <r>
    <n v="49"/>
    <d v="2018-11-24T00:00:00"/>
    <x v="5"/>
    <x v="5"/>
    <x v="0"/>
    <s v="CAJA"/>
    <s v="PAGO NOMINA QUINCENA 2 NOVIEMBRE 2018"/>
    <s v="TRANSACCIONES DEL DIA 11/24/2018 RECURSOS HUMANOS"/>
    <n v="250"/>
    <n v="0"/>
    <s v="BRISAS DEL GOLF"/>
    <x v="0"/>
  </r>
  <r>
    <n v="49"/>
    <d v="2018-12-10T00:00:00"/>
    <x v="1"/>
    <x v="1"/>
    <x v="0"/>
    <s v="CAJA"/>
    <s v="PAGO NOMINA QUINCENA 1 DICIEMBRE 2018"/>
    <s v="TRANSACCIONES DEL DIA 12/10/2018 RECURSOS HUMANOS"/>
    <n v="224.28"/>
    <n v="0"/>
    <s v="BRISAS DEL GOLF"/>
    <x v="0"/>
  </r>
  <r>
    <n v="49"/>
    <d v="2018-12-19T00:00:00"/>
    <x v="1"/>
    <x v="1"/>
    <x v="0"/>
    <s v="CAJA"/>
    <s v="PAGO NOMINA QUINCENA 2 DICIEMBRE 2018"/>
    <s v="TRANSACCIONES DEL DIA 12/19/2018 RECURSOS HUMANOS"/>
    <n v="160.21"/>
    <n v="0"/>
    <s v="BRISAS DEL GOLF"/>
    <x v="0"/>
  </r>
  <r>
    <n v="49"/>
    <d v="2018-12-31T00:00:00"/>
    <x v="1"/>
    <x v="1"/>
    <x v="0"/>
    <s v="CAJA"/>
    <s v="CIERRE DE ANIO FISCAL"/>
    <s v="CIERRE_DE_CTAS_NOMINALES"/>
    <n v="0"/>
    <n v="3718.37"/>
    <s v="BRISAS DEL GOLF"/>
    <x v="0"/>
  </r>
  <r>
    <n v="49"/>
    <d v="2018-06-09T00:00:00"/>
    <x v="2"/>
    <x v="2"/>
    <x v="0"/>
    <s v="SERVICIOS PERSONALES"/>
    <s v="PAGO NOMINA QUINCENA 1 JUNIO 2018"/>
    <s v="TRANSACCIONES DEL DIA 06/09/2018 RECURSOS HUMANOS"/>
    <n v="26.27"/>
    <n v="0"/>
    <s v="BRISAS DEL GOLF"/>
    <x v="0"/>
  </r>
  <r>
    <n v="49"/>
    <d v="2018-08-10T00:00:00"/>
    <x v="3"/>
    <x v="3"/>
    <x v="0"/>
    <s v="SERVICIOS PERSONALES"/>
    <s v="PAGO NOMINA QUINCENA 1 AGOSTO 2018"/>
    <s v="TRANSACCIONES DEL DIA 08/10/2018 RECURSOS HUMANOS"/>
    <n v="30.87"/>
    <n v="0"/>
    <s v="BRISAS DEL GOLF"/>
    <x v="0"/>
  </r>
  <r>
    <n v="49"/>
    <d v="2018-12-31T00:00:00"/>
    <x v="1"/>
    <x v="1"/>
    <x v="0"/>
    <s v="SERVICIOS PERSONALES"/>
    <s v="CIERRE DE ANIO FISCAL"/>
    <s v="CIERRE_DE_CTAS_NOMINALES"/>
    <n v="0"/>
    <n v="57.14"/>
    <s v="BRISAS DEL GOLF"/>
    <x v="0"/>
  </r>
  <r>
    <n v="51"/>
    <d v="2018-06-09T00:00:00"/>
    <x v="2"/>
    <x v="2"/>
    <x v="0"/>
    <s v="ADMINISTRACION DE SUCURSALES"/>
    <s v="PAGO NOMINA QUINCENA 1 JUNIO 2018"/>
    <s v="TRANSACCIONES DEL DIA 06/09/2018 RECURSOS HUMANOS"/>
    <n v="36.020000000000003"/>
    <n v="0"/>
    <s v="PUENTE CENTENARIO"/>
    <x v="0"/>
  </r>
  <r>
    <n v="51"/>
    <d v="2018-08-10T00:00:00"/>
    <x v="3"/>
    <x v="3"/>
    <x v="0"/>
    <s v="ADMINISTRACION DE SUCURSALES"/>
    <s v="PAGO NOMINA QUINCENA 1 AGOSTO 2018"/>
    <s v="TRANSACCIONES DEL DIA 08/10/2018 RECURSOS HUMANOS"/>
    <n v="62.37"/>
    <n v="0"/>
    <s v="PUENTE CENTENARIO"/>
    <x v="0"/>
  </r>
  <r>
    <n v="51"/>
    <d v="2018-12-31T00:00:00"/>
    <x v="1"/>
    <x v="1"/>
    <x v="0"/>
    <s v="ADMINISTRACION DE SUCURSALES"/>
    <s v="CIERRE DE ANIO FISCAL"/>
    <s v="CIERRE_DE_CTAS_NOMINALES"/>
    <n v="0"/>
    <n v="98.39"/>
    <s v="PUENTE CENTENARIO"/>
    <x v="0"/>
  </r>
  <r>
    <n v="51"/>
    <d v="2018-06-09T00:00:00"/>
    <x v="2"/>
    <x v="2"/>
    <x v="0"/>
    <s v="CAJA"/>
    <s v="PAGO NOMINA QUINCENA 1 JUNIO 2018"/>
    <s v="TRANSACCIONES DEL DIA 06/09/2018 RECURSOS HUMANOS"/>
    <n v="224.45"/>
    <n v="0"/>
    <s v="PUENTE CENTENARIO"/>
    <x v="0"/>
  </r>
  <r>
    <n v="51"/>
    <d v="2018-06-25T00:00:00"/>
    <x v="2"/>
    <x v="2"/>
    <x v="0"/>
    <s v="CAJA"/>
    <s v="PAGO NOMINA QUINCENA 2 JUNIO 2018"/>
    <s v="TRANSACCIONES DEL DIA 06/25/2018 RECURSOS HUMANOS"/>
    <n v="221.32"/>
    <n v="0"/>
    <s v="PUENTE CENTENARIO"/>
    <x v="0"/>
  </r>
  <r>
    <n v="51"/>
    <d v="2018-07-10T00:00:00"/>
    <x v="6"/>
    <x v="6"/>
    <x v="0"/>
    <s v="CAJA"/>
    <s v="PAGO NOMINA QUINCENA 1 JULIO 2018"/>
    <s v="TRANSACCIONES DEL DIA 07/10/2018 RECURSOS HUMANOS"/>
    <n v="210.16"/>
    <n v="0"/>
    <s v="PUENTE CENTENARIO"/>
    <x v="0"/>
  </r>
  <r>
    <n v="51"/>
    <d v="2018-07-25T00:00:00"/>
    <x v="6"/>
    <x v="6"/>
    <x v="0"/>
    <s v="CAJA"/>
    <s v="PAGO NOMINA QUINCENA 2 JULIO 2018"/>
    <s v="TRANSACCIONES DEL DIA 07/25/2018 RECURSOS HUMANOS"/>
    <n v="252.54"/>
    <n v="0"/>
    <s v="PUENTE CENTENARIO"/>
    <x v="0"/>
  </r>
  <r>
    <n v="51"/>
    <d v="2018-08-10T00:00:00"/>
    <x v="3"/>
    <x v="3"/>
    <x v="0"/>
    <s v="CAJA"/>
    <s v="PAGO NOMINA QUINCENA 1 AGOSTO 2018"/>
    <s v="TRANSACCIONES DEL DIA 08/10/2018 RECURSOS HUMANOS"/>
    <n v="228.39"/>
    <n v="0"/>
    <s v="PUENTE CENTENARIO"/>
    <x v="0"/>
  </r>
  <r>
    <n v="51"/>
    <d v="2018-08-25T00:00:00"/>
    <x v="3"/>
    <x v="3"/>
    <x v="0"/>
    <s v="CAJA"/>
    <s v="PAGO NOMINA QUINCENA 2 AGOSTO 2018"/>
    <s v="TRANSACCIONES DEL DIA 08/25/2018 RECURSOS HUMANOS"/>
    <n v="306.07"/>
    <n v="0"/>
    <s v="PUENTE CENTENARIO"/>
    <x v="0"/>
  </r>
  <r>
    <n v="51"/>
    <d v="2018-09-10T00:00:00"/>
    <x v="4"/>
    <x v="4"/>
    <x v="0"/>
    <s v="CAJA"/>
    <s v="PAGO NOMINA QUINCENA 1 SEPTIEMBRE 2018"/>
    <s v="TRANSACCIONES DEL DIA 09/10/2018 RECURSOS HUMANOS"/>
    <n v="262.12"/>
    <n v="0"/>
    <s v="PUENTE CENTENARIO"/>
    <x v="0"/>
  </r>
  <r>
    <n v="51"/>
    <d v="2018-09-25T00:00:00"/>
    <x v="4"/>
    <x v="4"/>
    <x v="0"/>
    <s v="CAJA"/>
    <s v="PAGO NOMINA QUINCENA 2 SEPTIEMBRE 2018"/>
    <s v="TRANSACCIONES DEL DIA 09/25/2018 RECURSOS HUMANOS"/>
    <n v="298.35000000000002"/>
    <n v="0"/>
    <s v="PUENTE CENTENARIO"/>
    <x v="0"/>
  </r>
  <r>
    <n v="51"/>
    <d v="2018-10-10T00:00:00"/>
    <x v="0"/>
    <x v="0"/>
    <x v="0"/>
    <s v="CAJA"/>
    <s v="PAGO NOMINA QUINCENA 1 OCTUBRE 2018"/>
    <s v="TRANSACCIONES DEL DIA 10/10/2018 RECURSOS HUMANOS"/>
    <n v="236.68"/>
    <n v="0"/>
    <s v="PUENTE CENTENARIO"/>
    <x v="0"/>
  </r>
  <r>
    <n v="51"/>
    <d v="2018-10-25T00:00:00"/>
    <x v="0"/>
    <x v="0"/>
    <x v="0"/>
    <s v="CAJA"/>
    <s v="PAGO NOMINA QUINCENA 2 OCTUBRE 2018"/>
    <s v="TRANSACCIONES DEL DIA 10/25/2018 RECURSOS HUMANOS"/>
    <n v="277.51"/>
    <n v="0"/>
    <s v="PUENTE CENTENARIO"/>
    <x v="0"/>
  </r>
  <r>
    <n v="51"/>
    <d v="2018-11-09T00:00:00"/>
    <x v="5"/>
    <x v="5"/>
    <x v="0"/>
    <s v="CAJA"/>
    <s v="PAGO NOMINA QUINCENA 1 NOVIEMBRE 2018"/>
    <s v="TRANSACCIONES DEL DIA 11/09/2018 RECURSOS HUMANOS"/>
    <n v="329.37"/>
    <n v="0"/>
    <s v="PUENTE CENTENARIO"/>
    <x v="0"/>
  </r>
  <r>
    <n v="51"/>
    <d v="2018-11-24T00:00:00"/>
    <x v="5"/>
    <x v="5"/>
    <x v="0"/>
    <s v="CAJA"/>
    <s v="PAGO NOMINA QUINCENA 2 NOVIEMBRE 2018"/>
    <s v="TRANSACCIONES DEL DIA 11/24/2018 RECURSOS HUMANOS"/>
    <n v="265.14999999999998"/>
    <n v="0"/>
    <s v="PUENTE CENTENARIO"/>
    <x v="0"/>
  </r>
  <r>
    <n v="51"/>
    <d v="2018-12-10T00:00:00"/>
    <x v="1"/>
    <x v="1"/>
    <x v="0"/>
    <s v="CAJA"/>
    <s v="PAGO NOMINA QUINCENA 1 DICIEMBRE 2018"/>
    <s v="TRANSACCIONES DEL DIA 12/10/2018 RECURSOS HUMANOS"/>
    <n v="332.19"/>
    <n v="0"/>
    <s v="PUENTE CENTENARIO"/>
    <x v="0"/>
  </r>
  <r>
    <n v="51"/>
    <d v="2018-12-19T00:00:00"/>
    <x v="1"/>
    <x v="1"/>
    <x v="0"/>
    <s v="CAJA"/>
    <s v="PAGO NOMINA QUINCENA 2 DICIEMBRE 2018"/>
    <s v="TRANSACCIONES DEL DIA 12/19/2018 RECURSOS HUMANOS"/>
    <n v="414.55"/>
    <n v="0"/>
    <s v="PUENTE CENTENARIO"/>
    <x v="0"/>
  </r>
  <r>
    <n v="51"/>
    <d v="2018-12-31T00:00:00"/>
    <x v="1"/>
    <x v="1"/>
    <x v="0"/>
    <s v="CAJA"/>
    <s v="CIERRE DE ANIO FISCAL"/>
    <s v="CIERRE_DE_CTAS_NOMINALES"/>
    <n v="0"/>
    <n v="6432.96"/>
    <s v="PUENTE CENTENARIO"/>
    <x v="0"/>
  </r>
  <r>
    <n v="51"/>
    <d v="2018-06-09T00:00:00"/>
    <x v="2"/>
    <x v="2"/>
    <x v="0"/>
    <s v="SERVICIOS PERSONALES"/>
    <s v="PAGO NOMINA QUINCENA 1 JUNIO 2018"/>
    <s v="TRANSACCIONES DEL DIA 06/09/2018 RECURSOS HUMANOS"/>
    <n v="74.63"/>
    <n v="0"/>
    <s v="PUENTE CENTENARIO"/>
    <x v="0"/>
  </r>
  <r>
    <n v="51"/>
    <d v="2018-07-10T00:00:00"/>
    <x v="6"/>
    <x v="6"/>
    <x v="0"/>
    <s v="SERVICIOS PERSONALES"/>
    <s v="PAGO NOMINA QUINCENA 1 JULIO 2018"/>
    <s v="TRANSACCIONES DEL DIA 07/10/2018 RECURSOS HUMANOS"/>
    <n v="29.74"/>
    <n v="0"/>
    <s v="PUENTE CENTENARIO"/>
    <x v="0"/>
  </r>
  <r>
    <n v="51"/>
    <d v="2018-07-25T00:00:00"/>
    <x v="6"/>
    <x v="6"/>
    <x v="0"/>
    <s v="SERVICIOS PERSONALES"/>
    <s v="PAGO NOMINA QUINCENA 2 JULIO 2018"/>
    <s v="TRANSACCIONES DEL DIA 07/25/2018 RECURSOS HUMANOS"/>
    <n v="14.38"/>
    <n v="0"/>
    <s v="PUENTE CENTENARIO"/>
    <x v="0"/>
  </r>
  <r>
    <n v="51"/>
    <d v="2018-08-10T00:00:00"/>
    <x v="3"/>
    <x v="3"/>
    <x v="0"/>
    <s v="SERVICIOS PERSONALES"/>
    <s v="PAGO NOMINA QUINCENA 1 AGOSTO 2018"/>
    <s v="TRANSACCIONES DEL DIA 08/10/2018 RECURSOS HUMANOS"/>
    <n v="169.99"/>
    <n v="0"/>
    <s v="PUENTE CENTENARIO"/>
    <x v="0"/>
  </r>
  <r>
    <n v="51"/>
    <d v="2018-09-10T00:00:00"/>
    <x v="4"/>
    <x v="4"/>
    <x v="0"/>
    <s v="SERVICIOS PERSONALES"/>
    <s v="PAGO NOMINA QUINCENA 1 SEPTIEMBRE 2018"/>
    <s v="TRANSACCIONES DEL DIA 09/10/2018 RECURSOS HUMANOS"/>
    <n v="27.07"/>
    <n v="0"/>
    <s v="PUENTE CENTENARIO"/>
    <x v="0"/>
  </r>
  <r>
    <n v="51"/>
    <d v="2018-10-10T00:00:00"/>
    <x v="0"/>
    <x v="0"/>
    <x v="0"/>
    <s v="SERVICIOS PERSONALES"/>
    <s v="PAGO NOMINA QUINCENA 1 OCTUBRE 2018"/>
    <s v="TRANSACCIONES DEL DIA 10/10/2018 RECURSOS HUMANOS"/>
    <n v="10.86"/>
    <n v="0"/>
    <s v="PUENTE CENTENARIO"/>
    <x v="0"/>
  </r>
  <r>
    <n v="51"/>
    <d v="2018-11-24T00:00:00"/>
    <x v="5"/>
    <x v="5"/>
    <x v="0"/>
    <s v="SERVICIOS PERSONALES"/>
    <s v="PAGO NOMINA QUINCENA 2 NOVIEMBRE 2018"/>
    <s v="TRANSACCIONES DEL DIA 11/24/2018 RECURSOS HUMANOS"/>
    <n v="84.37"/>
    <n v="0"/>
    <s v="PUENTE CENTENARIO"/>
    <x v="0"/>
  </r>
  <r>
    <n v="51"/>
    <d v="2018-12-19T00:00:00"/>
    <x v="1"/>
    <x v="1"/>
    <x v="0"/>
    <s v="SERVICIOS PERSONALES"/>
    <s v="PAGO NOMINA QUINCENA 2 DICIEMBRE 2018"/>
    <s v="TRANSACCIONES DEL DIA 12/19/2018 RECURSOS HUMANOS"/>
    <n v="16.13"/>
    <n v="0"/>
    <s v="PUENTE CENTENARIO"/>
    <x v="0"/>
  </r>
  <r>
    <n v="51"/>
    <d v="2018-12-31T00:00:00"/>
    <x v="1"/>
    <x v="1"/>
    <x v="0"/>
    <s v="SERVICIOS PERSONALES"/>
    <s v="CIERRE DE ANIO FISCAL"/>
    <s v="CIERRE_DE_CTAS_NOMINALES"/>
    <n v="0"/>
    <n v="472.53"/>
    <s v="PUENTE CENTENARIO"/>
    <x v="0"/>
  </r>
  <r>
    <n v="66"/>
    <d v="2018-12-31T00:00:00"/>
    <x v="1"/>
    <x v="1"/>
    <x v="0"/>
    <s v="CAJA"/>
    <s v="CIERRE DE ANIO FISCAL"/>
    <s v="CIERRE_DE_CTAS_NOMINALES"/>
    <n v="0"/>
    <n v="43.87"/>
    <s v="METROMALL"/>
    <x v="0"/>
  </r>
  <r>
    <n v="68"/>
    <d v="2018-07-25T00:00:00"/>
    <x v="6"/>
    <x v="6"/>
    <x v="0"/>
    <s v="CAJA"/>
    <s v="PAGO NOMINA QUINCENA 2 JULIO 2018"/>
    <s v="TRANSACCIONES DEL DIA 07/25/2018 RECURSOS HUMANOS"/>
    <n v="14.42"/>
    <n v="0"/>
    <s v="ALTOS DE PANAMA"/>
    <x v="0"/>
  </r>
  <r>
    <n v="68"/>
    <d v="2018-08-10T00:00:00"/>
    <x v="3"/>
    <x v="3"/>
    <x v="0"/>
    <s v="CAJA"/>
    <s v="PAGO NOMINA QUINCENA 1 AGOSTO 2018"/>
    <s v="TRANSACCIONES DEL DIA 08/10/2018 RECURSOS HUMANOS"/>
    <n v="50.1"/>
    <n v="0"/>
    <s v="ALTOS DE PANAMA"/>
    <x v="0"/>
  </r>
  <r>
    <n v="68"/>
    <d v="2018-08-25T00:00:00"/>
    <x v="3"/>
    <x v="3"/>
    <x v="0"/>
    <s v="CAJA"/>
    <s v="PAGO NOMINA QUINCENA 2 AGOSTO 2018"/>
    <s v="TRANSACCIONES DEL DIA 08/25/2018 RECURSOS HUMANOS"/>
    <n v="45.5"/>
    <n v="0"/>
    <s v="ALTOS DE PANAMA"/>
    <x v="0"/>
  </r>
  <r>
    <n v="68"/>
    <d v="2018-09-10T00:00:00"/>
    <x v="4"/>
    <x v="4"/>
    <x v="0"/>
    <s v="CAJA"/>
    <s v="PAGO NOMINA QUINCENA 1 SEPTIEMBRE 2018"/>
    <s v="TRANSACCIONES DEL DIA 09/10/2018 RECURSOS HUMANOS"/>
    <n v="53.14"/>
    <n v="0"/>
    <s v="ALTOS DE PANAMA"/>
    <x v="0"/>
  </r>
  <r>
    <n v="68"/>
    <d v="2018-09-25T00:00:00"/>
    <x v="4"/>
    <x v="4"/>
    <x v="0"/>
    <s v="CAJA"/>
    <s v="PAGO NOMINA QUINCENA 2 SEPTIEMBRE 2018"/>
    <s v="TRANSACCIONES DEL DIA 09/25/2018 RECURSOS HUMANOS"/>
    <n v="35.75"/>
    <n v="0"/>
    <s v="ALTOS DE PANAMA"/>
    <x v="0"/>
  </r>
  <r>
    <n v="68"/>
    <d v="2018-12-31T00:00:00"/>
    <x v="1"/>
    <x v="1"/>
    <x v="0"/>
    <s v="CAJA"/>
    <s v="CIERRE DE ANIO FISCAL"/>
    <s v="CIERRE_DE_CTAS_NOMINALES"/>
    <n v="0"/>
    <n v="279.20999999999998"/>
    <s v="ALTOS DE PANAMA"/>
    <x v="0"/>
  </r>
  <r>
    <n v="69"/>
    <d v="2018-09-25T00:00:00"/>
    <x v="4"/>
    <x v="4"/>
    <x v="0"/>
    <s v="CAJA"/>
    <s v="PAGO NOMINA QUINCENA 2 SEPTIEMBRE 2018"/>
    <s v="TRANSACCIONES DEL DIA 09/25/2018 RECURSOS HUMANOS"/>
    <n v="23.96"/>
    <n v="0"/>
    <s v="VERSALLES"/>
    <x v="0"/>
  </r>
  <r>
    <n v="69"/>
    <d v="2018-12-19T00:00:00"/>
    <x v="1"/>
    <x v="1"/>
    <x v="0"/>
    <s v="CAJA"/>
    <s v="PAGO NOMINA QUINCENA 2 DICIEMBRE 2018"/>
    <s v="TRANSACCIONES DEL DIA 12/19/2018 RECURSOS HUMANOS"/>
    <n v="116.28"/>
    <n v="0"/>
    <s v="VERSALLES"/>
    <x v="0"/>
  </r>
  <r>
    <n v="69"/>
    <d v="2018-12-31T00:00:00"/>
    <x v="1"/>
    <x v="1"/>
    <x v="0"/>
    <s v="CAJA"/>
    <s v="CIERRE DE ANIO FISCAL"/>
    <s v="CIERRE_DE_CTAS_NOMINALES"/>
    <n v="0"/>
    <n v="182.56"/>
    <s v="VERSALLES"/>
    <x v="0"/>
  </r>
  <r>
    <n v="70"/>
    <d v="2018-09-10T00:00:00"/>
    <x v="4"/>
    <x v="4"/>
    <x v="0"/>
    <s v="CAJA"/>
    <s v="PAGO NOMINA QUINCENA 1 SEPTIEMBRE 2018"/>
    <s v="TRANSACCIONES DEL DIA 09/10/2018 RECURSOS HUMANOS"/>
    <n v="33.85"/>
    <n v="0"/>
    <s v="BUSINESS PARK"/>
    <x v="0"/>
  </r>
  <r>
    <n v="70"/>
    <d v="2018-12-31T00:00:00"/>
    <x v="1"/>
    <x v="1"/>
    <x v="0"/>
    <s v="CAJA"/>
    <s v="CIERRE DE ANIO FISCAL"/>
    <s v="CIERRE_DE_CTAS_NOMINALES"/>
    <n v="0"/>
    <n v="58.52"/>
    <s v="BUSINESS PARK"/>
    <x v="0"/>
  </r>
  <r>
    <n v="70"/>
    <d v="2018-08-10T00:00:00"/>
    <x v="3"/>
    <x v="3"/>
    <x v="0"/>
    <s v="SERVICIOS PERSONALES"/>
    <s v="PAGO NOMINA QUINCENA 1 AGOSTO 2018"/>
    <s v="TRANSACCIONES DEL DIA 08/10/2018 RECURSOS HUMANOS"/>
    <n v="45.75"/>
    <n v="0"/>
    <s v="BUSINESS PARK"/>
    <x v="0"/>
  </r>
  <r>
    <n v="70"/>
    <d v="2018-11-09T00:00:00"/>
    <x v="5"/>
    <x v="5"/>
    <x v="0"/>
    <s v="SERVICIOS PERSONALES"/>
    <s v="PAGO NOMINA QUINCENA 1 NOVIEMBRE 2018"/>
    <s v="TRANSACCIONES DEL DIA 11/09/2018 RECURSOS HUMANOS"/>
    <n v="11.54"/>
    <n v="0"/>
    <s v="BUSINESS PARK"/>
    <x v="0"/>
  </r>
  <r>
    <n v="70"/>
    <d v="2018-12-31T00:00:00"/>
    <x v="1"/>
    <x v="1"/>
    <x v="0"/>
    <s v="SERVICIOS PERSONALES"/>
    <s v="CIERRE DE ANIO FISCAL"/>
    <s v="CIERRE_DE_CTAS_NOMINALES"/>
    <n v="0"/>
    <n v="57.29"/>
    <s v="BUSINESS PARK"/>
    <x v="0"/>
  </r>
  <r>
    <n v="71"/>
    <d v="2018-08-25T00:00:00"/>
    <x v="3"/>
    <x v="3"/>
    <x v="0"/>
    <s v="CAJA"/>
    <s v="PAGO NOMINA QUINCENA 2 AGOSTO 2018"/>
    <s v="TRANSACCIONES DEL DIA 08/25/2018 RECURSOS HUMANOS"/>
    <n v="9.59"/>
    <n v="0"/>
    <s v="SAN FRANCISCO"/>
    <x v="0"/>
  </r>
  <r>
    <n v="71"/>
    <d v="2018-12-31T00:00:00"/>
    <x v="1"/>
    <x v="1"/>
    <x v="0"/>
    <s v="CAJA"/>
    <s v="CIERRE DE ANIO FISCAL"/>
    <s v="CIERRE_DE_CTAS_NOMINALES"/>
    <n v="0"/>
    <n v="318.02"/>
    <s v="SAN FRANCISCO"/>
    <x v="0"/>
  </r>
  <r>
    <n v="72"/>
    <d v="2018-09-25T00:00:00"/>
    <x v="4"/>
    <x v="4"/>
    <x v="0"/>
    <s v="ADMINISTRACION DE SUCURSALES"/>
    <s v="PAGO NOMINA QUINCENA 2 SEPTIEMBRE 2018"/>
    <s v="TRANSACCIONES DEL DIA 09/25/2018 RECURSOS HUMANOS"/>
    <n v="33.21"/>
    <n v="0"/>
    <s v="PLAZA BANCO GENERAL"/>
    <x v="0"/>
  </r>
  <r>
    <n v="72"/>
    <d v="2018-10-25T00:00:00"/>
    <x v="0"/>
    <x v="0"/>
    <x v="0"/>
    <s v="ADMINISTRACION DE SUCURSALES"/>
    <s v="PAGO NOMINA QUINCENA 2 OCTUBRE 2018"/>
    <s v="TRANSACCIONES DEL DIA 10/25/2018 RECURSOS HUMANOS"/>
    <n v="67.930000000000007"/>
    <n v="0"/>
    <s v="PLAZA BANCO GENERAL"/>
    <x v="0"/>
  </r>
  <r>
    <n v="72"/>
    <d v="2018-12-31T00:00:00"/>
    <x v="1"/>
    <x v="1"/>
    <x v="0"/>
    <s v="ADMINISTRACION DE SUCURSALES"/>
    <s v="CIERRE DE ANIO FISCAL"/>
    <s v="CIERRE_DE_CTAS_NOMINALES"/>
    <n v="0"/>
    <n v="133.38"/>
    <s v="PLAZA BANCO GENERAL"/>
    <x v="0"/>
  </r>
  <r>
    <n v="72"/>
    <d v="2018-12-31T00:00:00"/>
    <x v="1"/>
    <x v="1"/>
    <x v="0"/>
    <s v="CAJA"/>
    <s v="CIERRE DE ANIO FISCAL"/>
    <s v="CIERRE_DE_CTAS_NOMINALES"/>
    <n v="0"/>
    <n v="195.85"/>
    <s v="PLAZA BANCO GENERAL"/>
    <x v="0"/>
  </r>
  <r>
    <n v="72"/>
    <d v="2018-08-25T00:00:00"/>
    <x v="3"/>
    <x v="3"/>
    <x v="0"/>
    <s v="SERVICIOS PERSONALES"/>
    <s v="PAGO NOMINA QUINCENA 2 AGOSTO 2018"/>
    <s v="TRANSACCIONES DEL DIA 08/25/2018 RECURSOS HUMANOS"/>
    <n v="77.28"/>
    <n v="0"/>
    <s v="PLAZA BANCO GENERAL"/>
    <x v="0"/>
  </r>
  <r>
    <n v="72"/>
    <d v="2018-09-10T00:00:00"/>
    <x v="4"/>
    <x v="4"/>
    <x v="0"/>
    <s v="SERVICIOS PERSONALES"/>
    <s v="PAGO NOMINA QUINCENA 1 SEPTIEMBRE 2018"/>
    <s v="TRANSACCIONES DEL DIA 09/10/2018 RECURSOS HUMANOS"/>
    <n v="26.26"/>
    <n v="0"/>
    <s v="PLAZA BANCO GENERAL"/>
    <x v="0"/>
  </r>
  <r>
    <n v="72"/>
    <d v="2018-09-25T00:00:00"/>
    <x v="4"/>
    <x v="4"/>
    <x v="0"/>
    <s v="SERVICIOS PERSONALES"/>
    <s v="PAGO NOMINA QUINCENA 2 SEPTIEMBRE 2018"/>
    <s v="TRANSACCIONES DEL DIA 09/25/2018 RECURSOS HUMANOS"/>
    <n v="25.91"/>
    <n v="0"/>
    <s v="PLAZA BANCO GENERAL"/>
    <x v="0"/>
  </r>
  <r>
    <n v="72"/>
    <d v="2018-12-10T00:00:00"/>
    <x v="1"/>
    <x v="1"/>
    <x v="0"/>
    <s v="SERVICIOS PERSONALES"/>
    <s v="PAGO NOMINA QUINCENA 1 DICIEMBRE 2018"/>
    <s v="TRANSACCIONES DEL DIA 12/10/2018 RECURSOS HUMANOS"/>
    <n v="25.68"/>
    <n v="0"/>
    <s v="PLAZA BANCO GENERAL"/>
    <x v="0"/>
  </r>
  <r>
    <n v="72"/>
    <d v="2018-12-31T00:00:00"/>
    <x v="1"/>
    <x v="1"/>
    <x v="0"/>
    <s v="SERVICIOS PERSONALES"/>
    <s v="CIERRE DE ANIO FISCAL"/>
    <s v="CIERRE_DE_CTAS_NOMINALES"/>
    <n v="0"/>
    <n v="155.13"/>
    <s v="PLAZA BANCO GENERAL"/>
    <x v="0"/>
  </r>
  <r>
    <n v="73"/>
    <d v="2018-06-09T00:00:00"/>
    <x v="2"/>
    <x v="2"/>
    <x v="0"/>
    <s v="ADMINISTRACION DE SUCURSALES"/>
    <s v="PAGO NOMINA QUINCENA 1 JUNIO 2018"/>
    <s v="TRANSACCIONES DEL DIA 06/09/2018 RECURSOS HUMANOS"/>
    <n v="69.349999999999994"/>
    <n v="0"/>
    <s v="LA CHORRERA - PARQUE 10 DE NOV."/>
    <x v="0"/>
  </r>
  <r>
    <n v="73"/>
    <d v="2018-07-25T00:00:00"/>
    <x v="6"/>
    <x v="6"/>
    <x v="0"/>
    <s v="ADMINISTRACION DE SUCURSALES"/>
    <s v="PAGO NOMINA QUINCENA 2 JULIO 2018"/>
    <s v="TRANSACCIONES DEL DIA 07/25/2018 RECURSOS HUMANOS"/>
    <n v="61.01"/>
    <n v="0"/>
    <s v="LA CHORRERA - PARQUE 10 DE NOV."/>
    <x v="0"/>
  </r>
  <r>
    <n v="73"/>
    <d v="2018-08-10T00:00:00"/>
    <x v="3"/>
    <x v="3"/>
    <x v="0"/>
    <s v="ADMINISTRACION DE SUCURSALES"/>
    <s v="PAGO NOMINA QUINCENA 1 AGOSTO 2018"/>
    <s v="TRANSACCIONES DEL DIA 08/10/2018 RECURSOS HUMANOS"/>
    <n v="45.54"/>
    <n v="0"/>
    <s v="LA CHORRERA - PARQUE 10 DE NOV."/>
    <x v="0"/>
  </r>
  <r>
    <n v="73"/>
    <d v="2018-09-10T00:00:00"/>
    <x v="4"/>
    <x v="4"/>
    <x v="0"/>
    <s v="ADMINISTRACION DE SUCURSALES"/>
    <s v="PAGO NOMINA QUINCENA 1 SEPTIEMBRE 2018"/>
    <s v="TRANSACCIONES DEL DIA 09/10/2018 RECURSOS HUMANOS"/>
    <n v="17.34"/>
    <n v="0"/>
    <s v="LA CHORRERA - PARQUE 10 DE NOV."/>
    <x v="0"/>
  </r>
  <r>
    <n v="73"/>
    <d v="2018-09-25T00:00:00"/>
    <x v="4"/>
    <x v="4"/>
    <x v="0"/>
    <s v="ADMINISTRACION DE SUCURSALES"/>
    <s v="PAGO NOMINA QUINCENA 2 SEPTIEMBRE 2018"/>
    <s v="TRANSACCIONES DEL DIA 09/25/2018 RECURSOS HUMANOS"/>
    <n v="153.78"/>
    <n v="0"/>
    <s v="LA CHORRERA - PARQUE 10 DE NOV."/>
    <x v="0"/>
  </r>
  <r>
    <n v="73"/>
    <d v="2018-10-25T00:00:00"/>
    <x v="0"/>
    <x v="0"/>
    <x v="0"/>
    <s v="ADMINISTRACION DE SUCURSALES"/>
    <s v="PAGO NOMINA QUINCENA 2 OCTUBRE 2018"/>
    <s v="TRANSACCIONES DEL DIA 10/25/2018 RECURSOS HUMANOS"/>
    <n v="43.44"/>
    <n v="0"/>
    <s v="LA CHORRERA - PARQUE 10 DE NOV."/>
    <x v="0"/>
  </r>
  <r>
    <n v="73"/>
    <d v="2018-11-09T00:00:00"/>
    <x v="5"/>
    <x v="5"/>
    <x v="0"/>
    <s v="ADMINISTRACION DE SUCURSALES"/>
    <s v="PAGO NOMINA QUINCENA 1 NOVIEMBRE 2018"/>
    <s v="TRANSACCIONES DEL DIA 11/09/2018 RECURSOS HUMANOS"/>
    <n v="113.23"/>
    <n v="0"/>
    <s v="LA CHORRERA - PARQUE 10 DE NOV."/>
    <x v="0"/>
  </r>
  <r>
    <n v="73"/>
    <d v="2018-12-31T00:00:00"/>
    <x v="1"/>
    <x v="1"/>
    <x v="0"/>
    <s v="ADMINISTRACION DE SUCURSALES"/>
    <s v="CIERRE DE ANIO FISCAL"/>
    <s v="CIERRE_DE_CTAS_NOMINALES"/>
    <n v="0"/>
    <n v="986.22"/>
    <s v="LA CHORRERA - PARQUE 10 DE NOV."/>
    <x v="0"/>
  </r>
  <r>
    <n v="73"/>
    <d v="2018-06-09T00:00:00"/>
    <x v="2"/>
    <x v="2"/>
    <x v="0"/>
    <s v="CAJA"/>
    <s v="PAGO NOMINA QUINCENA 1 JUNIO 2018"/>
    <s v="TRANSACCIONES DEL DIA 06/09/2018 RECURSOS HUMANOS"/>
    <n v="1082.95"/>
    <n v="0"/>
    <s v="LA CHORRERA - PARQUE 10 DE NOV."/>
    <x v="0"/>
  </r>
  <r>
    <n v="73"/>
    <d v="2018-06-25T00:00:00"/>
    <x v="2"/>
    <x v="2"/>
    <x v="0"/>
    <s v="CAJA"/>
    <s v="PAGO NOMINA QUINCENA 2 JUNIO 2018"/>
    <s v="TRANSACCIONES DEL DIA 06/25/2018 RECURSOS HUMANOS"/>
    <n v="945.08"/>
    <n v="0"/>
    <s v="LA CHORRERA - PARQUE 10 DE NOV."/>
    <x v="0"/>
  </r>
  <r>
    <n v="73"/>
    <d v="2018-07-10T00:00:00"/>
    <x v="6"/>
    <x v="6"/>
    <x v="0"/>
    <s v="CAJA"/>
    <s v="PAGO NOMINA QUINCENA 1 JULIO 2018"/>
    <s v="TRANSACCIONES DEL DIA 07/10/2018 RECURSOS HUMANOS"/>
    <n v="873.47"/>
    <n v="0"/>
    <s v="LA CHORRERA - PARQUE 10 DE NOV."/>
    <x v="0"/>
  </r>
  <r>
    <n v="73"/>
    <d v="2018-07-25T00:00:00"/>
    <x v="6"/>
    <x v="6"/>
    <x v="0"/>
    <s v="CAJA"/>
    <s v="PAGO NOMINA QUINCENA 2 JULIO 2018"/>
    <s v="TRANSACCIONES DEL DIA 07/25/2018 RECURSOS HUMANOS"/>
    <n v="978.46"/>
    <n v="0"/>
    <s v="LA CHORRERA - PARQUE 10 DE NOV."/>
    <x v="0"/>
  </r>
  <r>
    <n v="73"/>
    <d v="2018-08-10T00:00:00"/>
    <x v="3"/>
    <x v="3"/>
    <x v="0"/>
    <s v="CAJA"/>
    <s v="PAGO NOMINA QUINCENA 1 AGOSTO 2018"/>
    <s v="TRANSACCIONES DEL DIA 08/10/2018 RECURSOS HUMANOS"/>
    <n v="549.44000000000005"/>
    <n v="0"/>
    <s v="LA CHORRERA - PARQUE 10 DE NOV."/>
    <x v="0"/>
  </r>
  <r>
    <n v="73"/>
    <d v="2018-08-25T00:00:00"/>
    <x v="3"/>
    <x v="3"/>
    <x v="0"/>
    <s v="CAJA"/>
    <s v="PAGO NOMINA QUINCENA 2 AGOSTO 2018"/>
    <s v="TRANSACCIONES DEL DIA 08/25/2018 RECURSOS HUMANOS"/>
    <n v="1066.53"/>
    <n v="0"/>
    <s v="LA CHORRERA - PARQUE 10 DE NOV."/>
    <x v="0"/>
  </r>
  <r>
    <n v="73"/>
    <d v="2018-09-10T00:00:00"/>
    <x v="4"/>
    <x v="4"/>
    <x v="0"/>
    <s v="CAJA"/>
    <s v="PAGO NOMINA QUINCENA 1 SEPTIEMBRE 2018"/>
    <s v="TRANSACCIONES DEL DIA 09/10/2018 RECURSOS HUMANOS"/>
    <n v="952.83"/>
    <n v="0"/>
    <s v="LA CHORRERA - PARQUE 10 DE NOV."/>
    <x v="0"/>
  </r>
  <r>
    <n v="73"/>
    <d v="2018-09-25T00:00:00"/>
    <x v="4"/>
    <x v="4"/>
    <x v="0"/>
    <s v="CAJA"/>
    <s v="PAGO NOMINA QUINCENA 2 SEPTIEMBRE 2018"/>
    <s v="TRANSACCIONES DEL DIA 09/25/2018 RECURSOS HUMANOS"/>
    <n v="852.46"/>
    <n v="0"/>
    <s v="LA CHORRERA - PARQUE 10 DE NOV."/>
    <x v="0"/>
  </r>
  <r>
    <n v="73"/>
    <d v="2018-10-10T00:00:00"/>
    <x v="0"/>
    <x v="0"/>
    <x v="0"/>
    <s v="CAJA"/>
    <s v="PAGO NOMINA QUINCENA 1 OCTUBRE 2018"/>
    <s v="TRANSACCIONES DEL DIA 10/10/2018 RECURSOS HUMANOS"/>
    <n v="580.63"/>
    <n v="0"/>
    <s v="LA CHORRERA - PARQUE 10 DE NOV."/>
    <x v="0"/>
  </r>
  <r>
    <n v="73"/>
    <d v="2018-10-25T00:00:00"/>
    <x v="0"/>
    <x v="0"/>
    <x v="0"/>
    <s v="CAJA"/>
    <s v="PAGO NOMINA QUINCENA 2 OCTUBRE 2018"/>
    <s v="TRANSACCIONES DEL DIA 10/25/2018 RECURSOS HUMANOS"/>
    <n v="665.7"/>
    <n v="0"/>
    <s v="LA CHORRERA - PARQUE 10 DE NOV."/>
    <x v="0"/>
  </r>
  <r>
    <n v="73"/>
    <d v="2018-11-09T00:00:00"/>
    <x v="5"/>
    <x v="5"/>
    <x v="0"/>
    <s v="CAJA"/>
    <s v="PAGO NOMINA QUINCENA 1 NOVIEMBRE 2018"/>
    <s v="TRANSACCIONES DEL DIA 11/09/2018 RECURSOS HUMANOS"/>
    <n v="653.28"/>
    <n v="0"/>
    <s v="LA CHORRERA - PARQUE 10 DE NOV."/>
    <x v="0"/>
  </r>
  <r>
    <n v="73"/>
    <d v="2018-11-24T00:00:00"/>
    <x v="5"/>
    <x v="5"/>
    <x v="0"/>
    <s v="CAJA"/>
    <s v="PAGO NOMINA QUINCENA 2 NOVIEMBRE 2018"/>
    <s v="TRANSACCIONES DEL DIA 11/24/2018 RECURSOS HUMANOS"/>
    <n v="763.6"/>
    <n v="0"/>
    <s v="LA CHORRERA - PARQUE 10 DE NOV."/>
    <x v="0"/>
  </r>
  <r>
    <n v="73"/>
    <d v="2018-12-10T00:00:00"/>
    <x v="1"/>
    <x v="1"/>
    <x v="0"/>
    <s v="CAJA"/>
    <s v="PAGO NOMINA QUINCENA 1 DICIEMBRE 2018"/>
    <s v="TRANSACCIONES DEL DIA 12/10/2018 RECURSOS HUMANOS"/>
    <n v="1091.8399999999999"/>
    <n v="0"/>
    <s v="LA CHORRERA - PARQUE 10 DE NOV."/>
    <x v="0"/>
  </r>
  <r>
    <n v="73"/>
    <d v="2018-12-19T00:00:00"/>
    <x v="1"/>
    <x v="1"/>
    <x v="0"/>
    <s v="CAJA"/>
    <s v="PAGO NOMINA QUINCENA 2 DICIEMBRE 2018"/>
    <s v="TRANSACCIONES DEL DIA 12/19/2018 RECURSOS HUMANOS"/>
    <n v="780.23"/>
    <n v="0"/>
    <s v="LA CHORRERA - PARQUE 10 DE NOV."/>
    <x v="0"/>
  </r>
  <r>
    <n v="73"/>
    <d v="2018-12-31T00:00:00"/>
    <x v="1"/>
    <x v="1"/>
    <x v="0"/>
    <s v="CAJA"/>
    <s v="CIERRE DE ANIO FISCAL"/>
    <s v="CIERRE_DE_CTAS_NOMINALES"/>
    <n v="0"/>
    <n v="20550.37"/>
    <s v="LA CHORRERA - PARQUE 10 DE NOV."/>
    <x v="0"/>
  </r>
  <r>
    <n v="73"/>
    <d v="2018-06-09T00:00:00"/>
    <x v="2"/>
    <x v="2"/>
    <x v="0"/>
    <s v="SERVICIOS PERSONALES"/>
    <s v="PAGO NOMINA QUINCENA 1 JUNIO 2018"/>
    <s v="TRANSACCIONES DEL DIA 06/09/2018 RECURSOS HUMANOS"/>
    <n v="84.76"/>
    <n v="0"/>
    <s v="LA CHORRERA - PARQUE 10 DE NOV."/>
    <x v="0"/>
  </r>
  <r>
    <n v="73"/>
    <d v="2018-06-25T00:00:00"/>
    <x v="2"/>
    <x v="2"/>
    <x v="0"/>
    <s v="SERVICIOS PERSONALES"/>
    <s v="PAGO NOMINA QUINCENA 2 JUNIO 2018"/>
    <s v="TRANSACCIONES DEL DIA 06/25/2018 RECURSOS HUMANOS"/>
    <n v="28.28"/>
    <n v="0"/>
    <s v="LA CHORRERA - PARQUE 10 DE NOV."/>
    <x v="0"/>
  </r>
  <r>
    <n v="73"/>
    <d v="2018-07-10T00:00:00"/>
    <x v="6"/>
    <x v="6"/>
    <x v="0"/>
    <s v="SERVICIOS PERSONALES"/>
    <s v="PAGO NOMINA QUINCENA 1 JULIO 2018"/>
    <s v="TRANSACCIONES DEL DIA 07/10/2018 RECURSOS HUMANOS"/>
    <n v="14.06"/>
    <n v="0"/>
    <s v="LA CHORRERA - PARQUE 10 DE NOV."/>
    <x v="0"/>
  </r>
  <r>
    <n v="73"/>
    <d v="2018-08-10T00:00:00"/>
    <x v="3"/>
    <x v="3"/>
    <x v="0"/>
    <s v="SERVICIOS PERSONALES"/>
    <s v="PAGO NOMINA QUINCENA 1 AGOSTO 2018"/>
    <s v="TRANSACCIONES DEL DIA 08/10/2018 RECURSOS HUMANOS"/>
    <n v="31.75"/>
    <n v="0"/>
    <s v="LA CHORRERA - PARQUE 10 DE NOV."/>
    <x v="0"/>
  </r>
  <r>
    <n v="73"/>
    <d v="2018-09-25T00:00:00"/>
    <x v="4"/>
    <x v="4"/>
    <x v="0"/>
    <s v="SERVICIOS PERSONALES"/>
    <s v="PAGO NOMINA QUINCENA 2 SEPTIEMBRE 2018"/>
    <s v="TRANSACCIONES DEL DIA 09/25/2018 RECURSOS HUMANOS"/>
    <n v="94.73"/>
    <n v="0"/>
    <s v="LA CHORRERA - PARQUE 10 DE NOV."/>
    <x v="0"/>
  </r>
  <r>
    <n v="73"/>
    <d v="2018-10-10T00:00:00"/>
    <x v="0"/>
    <x v="0"/>
    <x v="0"/>
    <s v="SERVICIOS PERSONALES"/>
    <s v="PAGO NOMINA QUINCENA 1 OCTUBRE 2018"/>
    <s v="TRANSACCIONES DEL DIA 10/10/2018 RECURSOS HUMANOS"/>
    <n v="27.29"/>
    <n v="0"/>
    <s v="LA CHORRERA - PARQUE 10 DE NOV."/>
    <x v="0"/>
  </r>
  <r>
    <n v="73"/>
    <d v="2018-11-09T00:00:00"/>
    <x v="5"/>
    <x v="5"/>
    <x v="0"/>
    <s v="SERVICIOS PERSONALES"/>
    <s v="PAGO NOMINA QUINCENA 1 NOVIEMBRE 2018"/>
    <s v="TRANSACCIONES DEL DIA 11/09/2018 RECURSOS HUMANOS"/>
    <n v="185.43"/>
    <n v="0"/>
    <s v="LA CHORRERA - PARQUE 10 DE NOV."/>
    <x v="0"/>
  </r>
  <r>
    <n v="73"/>
    <d v="2018-11-24T00:00:00"/>
    <x v="5"/>
    <x v="5"/>
    <x v="0"/>
    <s v="SERVICIOS PERSONALES"/>
    <s v="PAGO NOMINA QUINCENA 2 NOVIEMBRE 2018"/>
    <s v="TRANSACCIONES DEL DIA 11/24/2018 RECURSOS HUMANOS"/>
    <n v="32.549999999999997"/>
    <n v="0"/>
    <s v="LA CHORRERA - PARQUE 10 DE NOV."/>
    <x v="0"/>
  </r>
  <r>
    <n v="73"/>
    <d v="2018-12-31T00:00:00"/>
    <x v="1"/>
    <x v="1"/>
    <x v="0"/>
    <s v="SERVICIOS PERSONALES"/>
    <s v="CIERRE DE ANIO FISCAL"/>
    <s v="CIERRE_DE_CTAS_NOMINALES"/>
    <n v="0"/>
    <n v="860.31"/>
    <s v="LA CHORRERA - PARQUE 10 DE NOV."/>
    <x v="0"/>
  </r>
  <r>
    <n v="74"/>
    <d v="2018-08-10T00:00:00"/>
    <x v="3"/>
    <x v="3"/>
    <x v="0"/>
    <s v="ADMINISTRACION DE SUCURSALES"/>
    <s v="PAGO NOMINA QUINCENA 1 AGOSTO 2018"/>
    <s v="TRANSACCIONES DEL DIA 08/10/2018 RECURSOS HUMANOS"/>
    <n v="43.34"/>
    <n v="0"/>
    <s v="COSTA DEL ESTE - CENTENARIO"/>
    <x v="0"/>
  </r>
  <r>
    <n v="74"/>
    <d v="2018-12-31T00:00:00"/>
    <x v="1"/>
    <x v="1"/>
    <x v="0"/>
    <s v="ADMINISTRACION DE SUCURSALES"/>
    <s v="CIERRE DE ANIO FISCAL"/>
    <s v="CIERRE_DE_CTAS_NOMINALES"/>
    <n v="0"/>
    <n v="43.34"/>
    <s v="COSTA DEL ESTE - CENTENARIO"/>
    <x v="0"/>
  </r>
  <r>
    <n v="74"/>
    <d v="2018-12-31T00:00:00"/>
    <x v="1"/>
    <x v="1"/>
    <x v="0"/>
    <s v="CAJA"/>
    <s v="CIERRE DE ANIO FISCAL"/>
    <s v="CIERRE_DE_CTAS_NOMINALES"/>
    <n v="0"/>
    <n v="234.56"/>
    <s v="COSTA DEL ESTE - CENTENARIO"/>
    <x v="0"/>
  </r>
  <r>
    <n v="74"/>
    <d v="2018-12-31T00:00:00"/>
    <x v="1"/>
    <x v="1"/>
    <x v="0"/>
    <s v="SERVICIOS PERSONALES"/>
    <s v="CIERRE DE ANIO FISCAL"/>
    <s v="CIERRE_DE_CTAS_NOMINALES"/>
    <n v="0"/>
    <n v="25.04"/>
    <s v="COSTA DEL ESTE - CENTENARIO"/>
    <x v="0"/>
  </r>
  <r>
    <n v="76"/>
    <d v="2018-12-10T00:00:00"/>
    <x v="1"/>
    <x v="1"/>
    <x v="0"/>
    <s v="SERVICIOS PERSONALES"/>
    <s v="PAGO NOMINA QUINCENA 1 DICIEMBRE 2018"/>
    <s v="TRANSACCIONES DEL DIA 12/10/2018 RECURSOS HUMANOS"/>
    <n v="29.88"/>
    <n v="0"/>
    <s v="CLAYTON"/>
    <x v="0"/>
  </r>
  <r>
    <n v="76"/>
    <d v="2018-12-31T00:00:00"/>
    <x v="1"/>
    <x v="1"/>
    <x v="0"/>
    <s v="SERVICIOS PERSONALES"/>
    <s v="CIERRE DE ANIO FISCAL"/>
    <s v="CIERRE_DE_CTAS_NOMINALES"/>
    <n v="0"/>
    <n v="29.88"/>
    <s v="CLAYTON"/>
    <x v="0"/>
  </r>
  <r>
    <n v="77"/>
    <d v="2018-06-25T00:00:00"/>
    <x v="2"/>
    <x v="2"/>
    <x v="0"/>
    <s v="ADMINISTRACION DE SUCURSALES"/>
    <s v="PAGO NOMINA QUINCENA 2 JUNIO 2018"/>
    <s v="TRANSACCIONES DEL DIA 06/25/2018 RECURSOS HUMANOS"/>
    <n v="72.040000000000006"/>
    <n v="0"/>
    <s v="MARBELLA"/>
    <x v="0"/>
  </r>
  <r>
    <n v="77"/>
    <d v="2018-12-31T00:00:00"/>
    <x v="1"/>
    <x v="1"/>
    <x v="0"/>
    <s v="ADMINISTRACION DE SUCURSALES"/>
    <s v="CIERRE DE ANIO FISCAL"/>
    <s v="CIERRE_DE_CTAS_NOMINALES"/>
    <n v="0"/>
    <n v="72.040000000000006"/>
    <s v="MARBELLA"/>
    <x v="0"/>
  </r>
  <r>
    <n v="77"/>
    <d v="2018-08-10T00:00:00"/>
    <x v="3"/>
    <x v="3"/>
    <x v="0"/>
    <s v="CAJA"/>
    <s v="PAGO NOMINA QUINCENA 1 AGOSTO 2018"/>
    <s v="TRANSACCIONES DEL DIA 08/10/2018 RECURSOS HUMANOS"/>
    <n v="14.1"/>
    <n v="0"/>
    <s v="MARBELLA"/>
    <x v="0"/>
  </r>
  <r>
    <n v="77"/>
    <d v="2018-08-25T00:00:00"/>
    <x v="3"/>
    <x v="3"/>
    <x v="0"/>
    <s v="CAJA"/>
    <s v="PAGO NOMINA QUINCENA 2 AGOSTO 2018"/>
    <s v="TRANSACCIONES DEL DIA 08/25/2018 RECURSOS HUMANOS"/>
    <n v="51.17"/>
    <n v="0"/>
    <s v="MARBELLA"/>
    <x v="0"/>
  </r>
  <r>
    <n v="77"/>
    <d v="2018-12-31T00:00:00"/>
    <x v="1"/>
    <x v="1"/>
    <x v="0"/>
    <s v="CAJA"/>
    <s v="CIERRE DE ANIO FISCAL"/>
    <s v="CIERRE_DE_CTAS_NOMINALES"/>
    <n v="0"/>
    <n v="137.41999999999999"/>
    <s v="MARBELLA"/>
    <x v="0"/>
  </r>
  <r>
    <n v="78"/>
    <d v="2018-12-31T00:00:00"/>
    <x v="1"/>
    <x v="1"/>
    <x v="0"/>
    <s v="ADMINISTRACION DE SUCURSALES"/>
    <s v="CIERRE DE ANIO FISCAL"/>
    <s v="CIERRE_DE_CTAS_NOMINALES"/>
    <n v="0"/>
    <n v="26.94"/>
    <s v="PLAZA CAROLINA"/>
    <x v="0"/>
  </r>
  <r>
    <n v="78"/>
    <d v="2018-11-24T00:00:00"/>
    <x v="5"/>
    <x v="5"/>
    <x v="0"/>
    <s v="CAJA"/>
    <s v="PAGO NOMINA QUINCENA 2 NOVIEMBRE 2018"/>
    <s v="TRANSACCIONES DEL DIA 11/24/2018 RECURSOS HUMANOS"/>
    <n v="12.89"/>
    <n v="0"/>
    <s v="PLAZA CAROLINA"/>
    <x v="0"/>
  </r>
  <r>
    <n v="78"/>
    <d v="2018-12-31T00:00:00"/>
    <x v="1"/>
    <x v="1"/>
    <x v="0"/>
    <s v="CAJA"/>
    <s v="CIERRE DE ANIO FISCAL"/>
    <s v="CIERRE_DE_CTAS_NOMINALES"/>
    <n v="0"/>
    <n v="195.11"/>
    <s v="PLAZA CAROLINA"/>
    <x v="0"/>
  </r>
  <r>
    <n v="79"/>
    <d v="2018-10-10T00:00:00"/>
    <x v="0"/>
    <x v="0"/>
    <x v="0"/>
    <s v="CAJA"/>
    <s v="PAGO NOMINA QUINCENA 1 OCTUBRE 2018"/>
    <s v="TRANSACCIONES DEL DIA 10/10/2018 RECURSOS HUMANOS"/>
    <n v="41.1"/>
    <n v="0"/>
    <s v="PLAZA CORDOBA"/>
    <x v="0"/>
  </r>
  <r>
    <n v="79"/>
    <d v="2018-12-10T00:00:00"/>
    <x v="1"/>
    <x v="1"/>
    <x v="0"/>
    <s v="CAJA"/>
    <s v="PAGO NOMINA QUINCENA 1 DICIEMBRE 2018"/>
    <s v="TRANSACCIONES DEL DIA 12/10/2018 RECURSOS HUMANOS"/>
    <n v="25.82"/>
    <n v="0"/>
    <s v="PLAZA CORDOBA"/>
    <x v="0"/>
  </r>
  <r>
    <n v="79"/>
    <d v="2018-12-31T00:00:00"/>
    <x v="1"/>
    <x v="1"/>
    <x v="0"/>
    <s v="CAJA"/>
    <s v="CIERRE DE ANIO FISCAL"/>
    <s v="CIERRE_DE_CTAS_NOMINALES"/>
    <n v="0"/>
    <n v="381.27"/>
    <s v="PLAZA CORDOBA"/>
    <x v="0"/>
  </r>
  <r>
    <n v="80"/>
    <d v="2018-06-09T00:00:00"/>
    <x v="2"/>
    <x v="2"/>
    <x v="0"/>
    <s v="CAJA"/>
    <s v="PAGO NOMINA QUINCENA 1 JUNIO 2018"/>
    <s v="TRANSACCIONES DEL DIA 06/09/2018 RECURSOS HUMANOS"/>
    <n v="197.67"/>
    <n v="0"/>
    <s v="VIA SIMON BOLIVAR"/>
    <x v="0"/>
  </r>
  <r>
    <n v="80"/>
    <d v="2018-06-25T00:00:00"/>
    <x v="2"/>
    <x v="2"/>
    <x v="0"/>
    <s v="CAJA"/>
    <s v="PAGO NOMINA QUINCENA 2 JUNIO 2018"/>
    <s v="TRANSACCIONES DEL DIA 06/25/2018 RECURSOS HUMANOS"/>
    <n v="134.44999999999999"/>
    <n v="0"/>
    <s v="VIA SIMON BOLIVAR"/>
    <x v="0"/>
  </r>
  <r>
    <n v="80"/>
    <d v="2018-07-10T00:00:00"/>
    <x v="6"/>
    <x v="6"/>
    <x v="0"/>
    <s v="CAJA"/>
    <s v="PAGO NOMINA QUINCENA 1 JULIO 2018"/>
    <s v="TRANSACCIONES DEL DIA 07/10/2018 RECURSOS HUMANOS"/>
    <n v="170.92"/>
    <n v="0"/>
    <s v="VIA SIMON BOLIVAR"/>
    <x v="0"/>
  </r>
  <r>
    <n v="80"/>
    <d v="2018-07-25T00:00:00"/>
    <x v="6"/>
    <x v="6"/>
    <x v="0"/>
    <s v="CAJA"/>
    <s v="PAGO NOMINA QUINCENA 2 JULIO 2018"/>
    <s v="TRANSACCIONES DEL DIA 07/25/2018 RECURSOS HUMANOS"/>
    <n v="195.78"/>
    <n v="0"/>
    <s v="VIA SIMON BOLIVAR"/>
    <x v="0"/>
  </r>
  <r>
    <n v="80"/>
    <d v="2018-08-10T00:00:00"/>
    <x v="3"/>
    <x v="3"/>
    <x v="0"/>
    <s v="CAJA"/>
    <s v="PAGO NOMINA QUINCENA 1 AGOSTO 2018"/>
    <s v="TRANSACCIONES DEL DIA 08/10/2018 RECURSOS HUMANOS"/>
    <n v="143.71"/>
    <n v="0"/>
    <s v="VIA SIMON BOLIVAR"/>
    <x v="0"/>
  </r>
  <r>
    <n v="80"/>
    <d v="2018-08-25T00:00:00"/>
    <x v="3"/>
    <x v="3"/>
    <x v="0"/>
    <s v="CAJA"/>
    <s v="PAGO NOMINA QUINCENA 2 AGOSTO 2018"/>
    <s v="TRANSACCIONES DEL DIA 08/25/2018 RECURSOS HUMANOS"/>
    <n v="281.07"/>
    <n v="0"/>
    <s v="VIA SIMON BOLIVAR"/>
    <x v="0"/>
  </r>
  <r>
    <n v="80"/>
    <d v="2018-09-10T00:00:00"/>
    <x v="4"/>
    <x v="4"/>
    <x v="0"/>
    <s v="CAJA"/>
    <s v="PAGO NOMINA QUINCENA 1 SEPTIEMBRE 2018"/>
    <s v="TRANSACCIONES DEL DIA 09/10/2018 RECURSOS HUMANOS"/>
    <n v="188.36"/>
    <n v="0"/>
    <s v="VIA SIMON BOLIVAR"/>
    <x v="0"/>
  </r>
  <r>
    <n v="80"/>
    <d v="2018-09-25T00:00:00"/>
    <x v="4"/>
    <x v="4"/>
    <x v="0"/>
    <s v="CAJA"/>
    <s v="PAGO NOMINA QUINCENA 2 SEPTIEMBRE 2018"/>
    <s v="TRANSACCIONES DEL DIA 09/25/2018 RECURSOS HUMANOS"/>
    <n v="42.03"/>
    <n v="0"/>
    <s v="VIA SIMON BOLIVAR"/>
    <x v="0"/>
  </r>
  <r>
    <n v="80"/>
    <d v="2018-10-10T00:00:00"/>
    <x v="0"/>
    <x v="0"/>
    <x v="0"/>
    <s v="CAJA"/>
    <s v="PAGO NOMINA QUINCENA 1 OCTUBRE 2018"/>
    <s v="TRANSACCIONES DEL DIA 10/10/2018 RECURSOS HUMANOS"/>
    <n v="110.17"/>
    <n v="0"/>
    <s v="VIA SIMON BOLIVAR"/>
    <x v="0"/>
  </r>
  <r>
    <n v="80"/>
    <d v="2018-10-25T00:00:00"/>
    <x v="0"/>
    <x v="0"/>
    <x v="0"/>
    <s v="CAJA"/>
    <s v="PAGO NOMINA QUINCENA 2 OCTUBRE 2018"/>
    <s v="TRANSACCIONES DEL DIA 10/25/2018 RECURSOS HUMANOS"/>
    <n v="133.07"/>
    <n v="0"/>
    <s v="VIA SIMON BOLIVAR"/>
    <x v="0"/>
  </r>
  <r>
    <n v="80"/>
    <d v="2018-11-09T00:00:00"/>
    <x v="5"/>
    <x v="5"/>
    <x v="0"/>
    <s v="CAJA"/>
    <s v="PAGO NOMINA QUINCENA 1 NOVIEMBRE 2018"/>
    <s v="TRANSACCIONES DEL DIA 11/09/2018 RECURSOS HUMANOS"/>
    <n v="154.83000000000001"/>
    <n v="0"/>
    <s v="VIA SIMON BOLIVAR"/>
    <x v="0"/>
  </r>
  <r>
    <n v="80"/>
    <d v="2018-11-24T00:00:00"/>
    <x v="5"/>
    <x v="5"/>
    <x v="0"/>
    <s v="CAJA"/>
    <s v="PAGO NOMINA QUINCENA 2 NOVIEMBRE 2018"/>
    <s v="TRANSACCIONES DEL DIA 11/24/2018 RECURSOS HUMANOS"/>
    <n v="189.44"/>
    <n v="0"/>
    <s v="VIA SIMON BOLIVAR"/>
    <x v="0"/>
  </r>
  <r>
    <n v="80"/>
    <d v="2018-12-10T00:00:00"/>
    <x v="1"/>
    <x v="1"/>
    <x v="0"/>
    <s v="CAJA"/>
    <s v="PAGO NOMINA QUINCENA 1 DICIEMBRE 2018"/>
    <s v="TRANSACCIONES DEL DIA 12/10/2018 RECURSOS HUMANOS"/>
    <n v="198.07"/>
    <n v="0"/>
    <s v="VIA SIMON BOLIVAR"/>
    <x v="0"/>
  </r>
  <r>
    <n v="80"/>
    <d v="2018-12-19T00:00:00"/>
    <x v="1"/>
    <x v="1"/>
    <x v="0"/>
    <s v="CAJA"/>
    <s v="PAGO NOMINA QUINCENA 2 DICIEMBRE 2018"/>
    <s v="TRANSACCIONES DEL DIA 12/19/2018 RECURSOS HUMANOS"/>
    <n v="244.87"/>
    <n v="0"/>
    <s v="VIA SIMON BOLIVAR"/>
    <x v="0"/>
  </r>
  <r>
    <n v="80"/>
    <d v="2018-12-31T00:00:00"/>
    <x v="1"/>
    <x v="1"/>
    <x v="0"/>
    <s v="CAJA"/>
    <s v="CIERRE DE ANIO FISCAL"/>
    <s v="CIERRE_DE_CTAS_NOMINALES"/>
    <n v="0"/>
    <n v="4185.47"/>
    <s v="VIA SIMON BOLIVAR"/>
    <x v="0"/>
  </r>
  <r>
    <n v="80"/>
    <d v="2018-06-25T00:00:00"/>
    <x v="2"/>
    <x v="2"/>
    <x v="0"/>
    <s v="SERVICIOS PERSONALES"/>
    <s v="PAGO NOMINA QUINCENA 2 JUNIO 2018"/>
    <s v="TRANSACCIONES DEL DIA 06/25/2018 RECURSOS HUMANOS"/>
    <n v="13.4"/>
    <n v="0"/>
    <s v="VIA SIMON BOLIVAR"/>
    <x v="0"/>
  </r>
  <r>
    <n v="80"/>
    <d v="2018-08-10T00:00:00"/>
    <x v="3"/>
    <x v="3"/>
    <x v="0"/>
    <s v="SERVICIOS PERSONALES"/>
    <s v="PAGO NOMINA QUINCENA 1 AGOSTO 2018"/>
    <s v="TRANSACCIONES DEL DIA 08/10/2018 RECURSOS HUMANOS"/>
    <n v="12.88"/>
    <n v="0"/>
    <s v="VIA SIMON BOLIVAR"/>
    <x v="0"/>
  </r>
  <r>
    <n v="80"/>
    <d v="2018-09-25T00:00:00"/>
    <x v="4"/>
    <x v="4"/>
    <x v="0"/>
    <s v="SERVICIOS PERSONALES"/>
    <s v="PAGO NOMINA QUINCENA 2 SEPTIEMBRE 2018"/>
    <s v="TRANSACCIONES DEL DIA 09/25/2018 RECURSOS HUMANOS"/>
    <n v="27.45"/>
    <n v="0"/>
    <s v="VIA SIMON BOLIVAR"/>
    <x v="0"/>
  </r>
  <r>
    <n v="80"/>
    <d v="2018-11-09T00:00:00"/>
    <x v="5"/>
    <x v="5"/>
    <x v="0"/>
    <s v="SERVICIOS PERSONALES"/>
    <s v="PAGO NOMINA QUINCENA 1 NOVIEMBRE 2018"/>
    <s v="TRANSACCIONES DEL DIA 11/09/2018 RECURSOS HUMANOS"/>
    <n v="13.48"/>
    <n v="0"/>
    <s v="VIA SIMON BOLIVAR"/>
    <x v="0"/>
  </r>
  <r>
    <n v="80"/>
    <d v="2018-12-10T00:00:00"/>
    <x v="1"/>
    <x v="1"/>
    <x v="0"/>
    <s v="SERVICIOS PERSONALES"/>
    <s v="PAGO NOMINA QUINCENA 1 DICIEMBRE 2018"/>
    <s v="TRANSACCIONES DEL DIA 12/10/2018 RECURSOS HUMANOS"/>
    <n v="14.5"/>
    <n v="0"/>
    <s v="VIA SIMON BOLIVAR"/>
    <x v="0"/>
  </r>
  <r>
    <n v="80"/>
    <d v="2018-12-31T00:00:00"/>
    <x v="1"/>
    <x v="1"/>
    <x v="0"/>
    <s v="SERVICIOS PERSONALES"/>
    <s v="CIERRE DE ANIO FISCAL"/>
    <s v="CIERRE_DE_CTAS_NOMINALES"/>
    <n v="0"/>
    <n v="190.91"/>
    <s v="VIA SIMON BOLIVAR"/>
    <x v="0"/>
  </r>
  <r>
    <n v="89"/>
    <d v="2018-12-31T00:00:00"/>
    <x v="1"/>
    <x v="1"/>
    <x v="0"/>
    <s v="ADMINISTRACION DE SUCURSALES"/>
    <s v="CIERRE DE ANIO FISCAL"/>
    <s v="CIERRE_DE_CTAS_NOMINALES"/>
    <n v="0"/>
    <n v="34.42"/>
    <s v="JUSTO AROSEMENA"/>
    <x v="0"/>
  </r>
  <r>
    <n v="89"/>
    <d v="2018-07-10T00:00:00"/>
    <x v="6"/>
    <x v="6"/>
    <x v="0"/>
    <s v="CAJA"/>
    <s v="PAGO NOMINA QUINCENA 1 JULIO 2018"/>
    <s v="TRANSACCIONES DEL DIA 07/10/2018 RECURSOS HUMANOS"/>
    <n v="12.88"/>
    <n v="0"/>
    <s v="JUSTO AROSEMENA"/>
    <x v="0"/>
  </r>
  <r>
    <n v="89"/>
    <d v="2018-07-25T00:00:00"/>
    <x v="6"/>
    <x v="6"/>
    <x v="0"/>
    <s v="CAJA"/>
    <s v="PAGO NOMINA QUINCENA 2 JULIO 2018"/>
    <s v="TRANSACCIONES DEL DIA 07/25/2018 RECURSOS HUMANOS"/>
    <n v="161.36000000000001"/>
    <n v="0"/>
    <s v="JUSTO AROSEMENA"/>
    <x v="0"/>
  </r>
  <r>
    <n v="89"/>
    <d v="2018-12-31T00:00:00"/>
    <x v="1"/>
    <x v="1"/>
    <x v="0"/>
    <s v="CAJA"/>
    <s v="CIERRE DE ANIO FISCAL"/>
    <s v="CIERRE_DE_CTAS_NOMINALES"/>
    <n v="0"/>
    <n v="409.17"/>
    <s v="JUSTO AROSEMENA"/>
    <x v="0"/>
  </r>
  <r>
    <n v="89"/>
    <d v="2018-07-10T00:00:00"/>
    <x v="6"/>
    <x v="6"/>
    <x v="0"/>
    <s v="SERVICIOS PERSONALES"/>
    <s v="PAGO NOMINA QUINCENA 1 JULIO 2018"/>
    <s v="TRANSACCIONES DEL DIA 07/10/2018 RECURSOS HUMANOS"/>
    <n v="30.44"/>
    <n v="0"/>
    <s v="JUSTO AROSEMENA"/>
    <x v="0"/>
  </r>
  <r>
    <n v="89"/>
    <d v="2018-08-25T00:00:00"/>
    <x v="3"/>
    <x v="3"/>
    <x v="0"/>
    <s v="SERVICIOS PERSONALES"/>
    <s v="PAGO NOMINA QUINCENA 2 AGOSTO 2018"/>
    <s v="TRANSACCIONES DEL DIA 08/25/2018 RECURSOS HUMANOS"/>
    <n v="28.06"/>
    <n v="0"/>
    <s v="JUSTO AROSEMENA"/>
    <x v="0"/>
  </r>
  <r>
    <n v="89"/>
    <d v="2018-12-31T00:00:00"/>
    <x v="1"/>
    <x v="1"/>
    <x v="0"/>
    <s v="SERVICIOS PERSONALES"/>
    <s v="CIERRE DE ANIO FISCAL"/>
    <s v="CIERRE_DE_CTAS_NOMINALES"/>
    <n v="0"/>
    <n v="228.07"/>
    <s v="JUSTO AROSEMENA"/>
    <x v="0"/>
  </r>
  <r>
    <n v="91"/>
    <d v="2018-12-31T00:00:00"/>
    <x v="1"/>
    <x v="1"/>
    <x v="0"/>
    <s v="HIPOTECAS"/>
    <s v="CIERRE DE ANIO FISCAL"/>
    <s v="CIERRE_DE_CTAS_NOMINALES"/>
    <n v="0"/>
    <n v="372.01"/>
    <s v="NEGOCIOS"/>
    <x v="0"/>
  </r>
  <r>
    <n v="91"/>
    <d v="2018-06-09T00:00:00"/>
    <x v="2"/>
    <x v="2"/>
    <x v="0"/>
    <s v="GESTION HIPOTECARIA"/>
    <s v="PAGO NOMINA QUINCENA 1 JUNIO 2018"/>
    <s v="TRANSACCIONES DEL DIA 06/09/2018 RECURSOS HUMANOS"/>
    <n v="164.44"/>
    <n v="0"/>
    <s v="NEGOCIOS"/>
    <x v="0"/>
  </r>
  <r>
    <n v="91"/>
    <d v="2018-06-25T00:00:00"/>
    <x v="2"/>
    <x v="2"/>
    <x v="0"/>
    <s v="GESTION HIPOTECARIA"/>
    <s v="PAGO NOMINA QUINCENA 2 JUNIO 2018"/>
    <s v="TRANSACCIONES DEL DIA 06/25/2018 RECURSOS HUMANOS"/>
    <n v="343.2"/>
    <n v="0"/>
    <s v="NEGOCIOS"/>
    <x v="0"/>
  </r>
  <r>
    <n v="91"/>
    <d v="2018-07-10T00:00:00"/>
    <x v="6"/>
    <x v="6"/>
    <x v="0"/>
    <s v="GESTION HIPOTECARIA"/>
    <s v="PAGO NOMINA QUINCENA 1 JULIO 2018"/>
    <s v="TRANSACCIONES DEL DIA 07/10/2018 RECURSOS HUMANOS"/>
    <n v="144.66999999999999"/>
    <n v="0"/>
    <s v="NEGOCIOS"/>
    <x v="0"/>
  </r>
  <r>
    <n v="91"/>
    <d v="2018-08-10T00:00:00"/>
    <x v="3"/>
    <x v="3"/>
    <x v="0"/>
    <s v="GESTION HIPOTECARIA"/>
    <s v="PAGO NOMINA QUINCENA 1 AGOSTO 2018"/>
    <s v="TRANSACCIONES DEL DIA 08/10/2018 RECURSOS HUMANOS"/>
    <n v="64.55"/>
    <n v="0"/>
    <s v="NEGOCIOS"/>
    <x v="0"/>
  </r>
  <r>
    <n v="91"/>
    <d v="2018-08-25T00:00:00"/>
    <x v="3"/>
    <x v="3"/>
    <x v="0"/>
    <s v="GESTION HIPOTECARIA"/>
    <s v="PAGO NOMINA QUINCENA 2 AGOSTO 2018"/>
    <s v="TRANSACCIONES DEL DIA 08/25/2018 RECURSOS HUMANOS"/>
    <n v="120.7"/>
    <n v="0"/>
    <s v="NEGOCIOS"/>
    <x v="0"/>
  </r>
  <r>
    <n v="91"/>
    <d v="2018-09-10T00:00:00"/>
    <x v="4"/>
    <x v="4"/>
    <x v="0"/>
    <s v="GESTION HIPOTECARIA"/>
    <s v="PAGO NOMINA QUINCENA 1 SEPTIEMBRE 2018"/>
    <s v="TRANSACCIONES DEL DIA 09/10/2018 RECURSOS HUMANOS"/>
    <n v="257.27999999999997"/>
    <n v="0"/>
    <s v="NEGOCIOS"/>
    <x v="0"/>
  </r>
  <r>
    <n v="91"/>
    <d v="2018-09-25T00:00:00"/>
    <x v="4"/>
    <x v="4"/>
    <x v="0"/>
    <s v="GESTION HIPOTECARIA"/>
    <s v="PAGO NOMINA QUINCENA 2 SEPTIEMBRE 2018"/>
    <s v="TRANSACCIONES DEL DIA 09/25/2018 RECURSOS HUMANOS"/>
    <n v="437.8"/>
    <n v="0"/>
    <s v="NEGOCIOS"/>
    <x v="0"/>
  </r>
  <r>
    <n v="91"/>
    <d v="2018-10-10T00:00:00"/>
    <x v="0"/>
    <x v="0"/>
    <x v="0"/>
    <s v="GESTION HIPOTECARIA"/>
    <s v="PAGO NOMINA QUINCENA 1 OCTUBRE 2018"/>
    <s v="TRANSACCIONES DEL DIA 10/10/2018 RECURSOS HUMANOS"/>
    <n v="2622.92"/>
    <n v="0"/>
    <s v="NEGOCIOS"/>
    <x v="0"/>
  </r>
  <r>
    <n v="91"/>
    <d v="2018-10-25T00:00:00"/>
    <x v="0"/>
    <x v="0"/>
    <x v="0"/>
    <s v="GESTION HIPOTECARIA"/>
    <s v="PAGO NOMINA QUINCENA 2 OCTUBRE 2018"/>
    <s v="TRANSACCIONES DEL DIA 10/25/2018 RECURSOS HUMANOS"/>
    <n v="144.66999999999999"/>
    <n v="0"/>
    <s v="NEGOCIOS"/>
    <x v="0"/>
  </r>
  <r>
    <n v="91"/>
    <d v="2018-11-09T00:00:00"/>
    <x v="5"/>
    <x v="5"/>
    <x v="0"/>
    <s v="GESTION HIPOTECARIA"/>
    <s v="PAGO NOMINA QUINCENA 1 NOVIEMBRE 2018"/>
    <s v="TRANSACCIONES DEL DIA 11/09/2018 RECURSOS HUMANOS"/>
    <n v="145.36000000000001"/>
    <n v="0"/>
    <s v="NEGOCIOS"/>
    <x v="0"/>
  </r>
  <r>
    <n v="91"/>
    <d v="2018-11-24T00:00:00"/>
    <x v="5"/>
    <x v="5"/>
    <x v="0"/>
    <s v="GESTION HIPOTECARIA"/>
    <s v="PAGO NOMINA QUINCENA 2 NOVIEMBRE 2018"/>
    <s v="TRANSACCIONES DEL DIA 11/24/2018 RECURSOS HUMANOS"/>
    <n v="127.94"/>
    <n v="0"/>
    <s v="NEGOCIOS"/>
    <x v="0"/>
  </r>
  <r>
    <n v="91"/>
    <d v="2018-12-10T00:00:00"/>
    <x v="1"/>
    <x v="1"/>
    <x v="0"/>
    <s v="GESTION HIPOTECARIA"/>
    <s v="PAGO NOMINA QUINCENA 1 DICIEMBRE 2018"/>
    <s v="TRANSACCIONES DEL DIA 12/10/2018 RECURSOS HUMANOS"/>
    <n v="1091.26"/>
    <n v="0"/>
    <s v="NEGOCIOS"/>
    <x v="0"/>
  </r>
  <r>
    <n v="91"/>
    <d v="2018-12-19T00:00:00"/>
    <x v="1"/>
    <x v="1"/>
    <x v="0"/>
    <s v="GESTION HIPOTECARIA"/>
    <s v="PAGO NOMINA QUINCENA 2 DICIEMBRE 2018"/>
    <s v="TRANSACCIONES DEL DIA 12/19/2018 RECURSOS HUMANOS"/>
    <n v="783.85"/>
    <n v="0"/>
    <s v="NEGOCIOS"/>
    <x v="0"/>
  </r>
  <r>
    <n v="91"/>
    <d v="2018-12-31T00:00:00"/>
    <x v="1"/>
    <x v="1"/>
    <x v="0"/>
    <s v="GESTION HIPOTECARIA"/>
    <s v="CIERRE DE ANIO FISCAL"/>
    <s v="CIERRE_DE_CTAS_NOMINALES"/>
    <n v="0"/>
    <n v="16889.43"/>
    <s v="NEGOCIOS"/>
    <x v="0"/>
  </r>
  <r>
    <n v="91"/>
    <d v="2018-12-10T00:00:00"/>
    <x v="1"/>
    <x v="1"/>
    <x v="0"/>
    <s v="BANCA DE CONSUMO"/>
    <s v="PAGO NOMINA QUINCENA 1 DICIEMBRE 2018"/>
    <s v="TRANSACCIONES DEL DIA 12/10/2018 RECURSOS HUMANOS"/>
    <n v="980.2"/>
    <n v="0"/>
    <s v="NEGOCIOS"/>
    <x v="0"/>
  </r>
  <r>
    <n v="91"/>
    <d v="2018-12-19T00:00:00"/>
    <x v="1"/>
    <x v="1"/>
    <x v="0"/>
    <s v="BANCA DE CONSUMO"/>
    <s v="PAGO NOMINA QUINCENA 2 DICIEMBRE 2018"/>
    <s v="TRANSACCIONES DEL DIA 12/19/2018 RECURSOS HUMANOS"/>
    <n v="467.52"/>
    <n v="0"/>
    <s v="NEGOCIOS"/>
    <x v="0"/>
  </r>
  <r>
    <n v="91"/>
    <d v="2018-12-31T00:00:00"/>
    <x v="1"/>
    <x v="1"/>
    <x v="0"/>
    <s v="BANCA DE CONSUMO"/>
    <s v="CIERRE DE ANIO FISCAL"/>
    <s v="CIERRE_DE_CTAS_NOMINALES"/>
    <n v="0"/>
    <n v="2828.04"/>
    <s v="NEGOCIOS"/>
    <x v="0"/>
  </r>
  <r>
    <n v="91"/>
    <d v="2018-06-09T00:00:00"/>
    <x v="2"/>
    <x v="2"/>
    <x v="0"/>
    <s v="CANALES DE DISTRIBUCION"/>
    <s v="PAGO NOMINA QUINCENA 1 JUNIO 2018"/>
    <s v="TRANSACCIONES DEL DIA 06/09/2018 RECURSOS HUMANOS"/>
    <n v="77.819999999999993"/>
    <n v="0"/>
    <s v="NEGOCIOS"/>
    <x v="0"/>
  </r>
  <r>
    <n v="91"/>
    <d v="2018-06-25T00:00:00"/>
    <x v="2"/>
    <x v="2"/>
    <x v="0"/>
    <s v="CANALES DE DISTRIBUCION"/>
    <s v="PAGO NOMINA QUINCENA 2 JUNIO 2018"/>
    <s v="TRANSACCIONES DEL DIA 06/25/2018 RECURSOS HUMANOS"/>
    <n v="313.26"/>
    <n v="0"/>
    <s v="NEGOCIOS"/>
    <x v="0"/>
  </r>
  <r>
    <n v="91"/>
    <d v="2018-08-10T00:00:00"/>
    <x v="3"/>
    <x v="3"/>
    <x v="0"/>
    <s v="CANALES DE DISTRIBUCION"/>
    <s v="PAGO NOMINA QUINCENA 1 AGOSTO 2018"/>
    <s v="TRANSACCIONES DEL DIA 08/10/2018 RECURSOS HUMANOS"/>
    <n v="1356.16"/>
    <n v="0"/>
    <s v="NEGOCIOS"/>
    <x v="0"/>
  </r>
  <r>
    <n v="91"/>
    <d v="2018-09-10T00:00:00"/>
    <x v="4"/>
    <x v="4"/>
    <x v="0"/>
    <s v="CANALES DE DISTRIBUCION"/>
    <s v="PAGO NOMINA QUINCENA 1 SEPTIEMBRE 2018"/>
    <s v="TRANSACCIONES DEL DIA 09/10/2018 RECURSOS HUMANOS"/>
    <n v="278.75"/>
    <n v="0"/>
    <s v="NEGOCIOS"/>
    <x v="0"/>
  </r>
  <r>
    <n v="91"/>
    <d v="2018-09-25T00:00:00"/>
    <x v="4"/>
    <x v="4"/>
    <x v="0"/>
    <s v="CANALES DE DISTRIBUCION"/>
    <s v="PAGO NOMINA QUINCENA 2 SEPTIEMBRE 2018"/>
    <s v="TRANSACCIONES DEL DIA 09/25/2018 RECURSOS HUMANOS"/>
    <n v="571.72"/>
    <n v="0"/>
    <s v="NEGOCIOS"/>
    <x v="0"/>
  </r>
  <r>
    <n v="91"/>
    <d v="2018-10-25T00:00:00"/>
    <x v="0"/>
    <x v="0"/>
    <x v="0"/>
    <s v="CANALES DE DISTRIBUCION"/>
    <s v="PAGO NOMINA QUINCENA 2 OCTUBRE 2018"/>
    <s v="TRANSACCIONES DEL DIA 10/25/2018 RECURSOS HUMANOS"/>
    <n v="117.52"/>
    <n v="0"/>
    <s v="NEGOCIOS"/>
    <x v="0"/>
  </r>
  <r>
    <n v="91"/>
    <d v="2018-11-09T00:00:00"/>
    <x v="5"/>
    <x v="5"/>
    <x v="0"/>
    <s v="CANALES DE DISTRIBUCION"/>
    <s v="PAGO NOMINA QUINCENA 1 NOVIEMBRE 2018"/>
    <s v="TRANSACCIONES DEL DIA 11/09/2018 RECURSOS HUMANOS"/>
    <n v="231.17"/>
    <n v="0"/>
    <s v="NEGOCIOS"/>
    <x v="0"/>
  </r>
  <r>
    <n v="91"/>
    <d v="2018-11-24T00:00:00"/>
    <x v="5"/>
    <x v="5"/>
    <x v="0"/>
    <s v="CANALES DE DISTRIBUCION"/>
    <s v="PAGO NOMINA QUINCENA 2 NOVIEMBRE 2018"/>
    <s v="TRANSACCIONES DEL DIA 11/24/2018 RECURSOS HUMANOS"/>
    <n v="340.7"/>
    <n v="0"/>
    <s v="NEGOCIOS"/>
    <x v="0"/>
  </r>
  <r>
    <n v="91"/>
    <d v="2018-12-10T00:00:00"/>
    <x v="1"/>
    <x v="1"/>
    <x v="0"/>
    <s v="CANALES DE DISTRIBUCION"/>
    <s v="PAGO NOMINA QUINCENA 1 DICIEMBRE 2018"/>
    <s v="TRANSACCIONES DEL DIA 12/10/2018 RECURSOS HUMANOS"/>
    <n v="873.71"/>
    <n v="0"/>
    <s v="NEGOCIOS"/>
    <x v="0"/>
  </r>
  <r>
    <n v="91"/>
    <d v="2018-12-19T00:00:00"/>
    <x v="1"/>
    <x v="1"/>
    <x v="0"/>
    <s v="CANALES DE DISTRIBUCION"/>
    <s v="PAGO NOMINA QUINCENA 2 DICIEMBRE 2018"/>
    <s v="TRANSACCIONES DEL DIA 12/19/2018 RECURSOS HUMANOS"/>
    <n v="1744.43"/>
    <n v="0"/>
    <s v="NEGOCIOS"/>
    <x v="0"/>
  </r>
  <r>
    <n v="91"/>
    <d v="2018-12-31T00:00:00"/>
    <x v="1"/>
    <x v="1"/>
    <x v="0"/>
    <s v="CANALES DE DISTRIBUCION"/>
    <s v="CIERRE DE ANIO FISCAL"/>
    <s v="CIERRE_DE_CTAS_NOMINALES"/>
    <n v="0"/>
    <n v="19323.77"/>
    <s v="NEGOCIOS"/>
    <x v="0"/>
  </r>
  <r>
    <n v="91"/>
    <d v="2018-06-09T00:00:00"/>
    <x v="2"/>
    <x v="2"/>
    <x v="0"/>
    <s v="CENTRO DE TARJETAS"/>
    <s v="PAGO NOMINA QUINCENA 1 JUNIO 2018"/>
    <s v="TRANSACCIONES DEL DIA 06/09/2018 RECURSOS HUMANOS"/>
    <n v="114.84"/>
    <n v="0"/>
    <s v="NEGOCIOS"/>
    <x v="0"/>
  </r>
  <r>
    <n v="91"/>
    <d v="2018-06-25T00:00:00"/>
    <x v="2"/>
    <x v="2"/>
    <x v="0"/>
    <s v="CENTRO DE TARJETAS"/>
    <s v="PAGO NOMINA QUINCENA 2 JUNIO 2018"/>
    <s v="TRANSACCIONES DEL DIA 06/25/2018 RECURSOS HUMANOS"/>
    <n v="8.99"/>
    <n v="0"/>
    <s v="NEGOCIOS"/>
    <x v="0"/>
  </r>
  <r>
    <n v="91"/>
    <d v="2018-07-10T00:00:00"/>
    <x v="6"/>
    <x v="6"/>
    <x v="0"/>
    <s v="CENTRO DE TARJETAS"/>
    <s v="PAGO NOMINA QUINCENA 1 JULIO 2018"/>
    <s v="TRANSACCIONES DEL DIA 07/10/2018 RECURSOS HUMANOS"/>
    <n v="43.71"/>
    <n v="0"/>
    <s v="NEGOCIOS"/>
    <x v="0"/>
  </r>
  <r>
    <n v="91"/>
    <d v="2018-08-10T00:00:00"/>
    <x v="3"/>
    <x v="3"/>
    <x v="0"/>
    <s v="CENTRO DE TARJETAS"/>
    <s v="PAGO NOMINA QUINCENA 1 AGOSTO 2018"/>
    <s v="TRANSACCIONES DEL DIA 08/10/2018 RECURSOS HUMANOS"/>
    <n v="35.08"/>
    <n v="0"/>
    <s v="NEGOCIOS"/>
    <x v="0"/>
  </r>
  <r>
    <n v="91"/>
    <d v="2018-08-25T00:00:00"/>
    <x v="3"/>
    <x v="3"/>
    <x v="0"/>
    <s v="CENTRO DE TARJETAS"/>
    <s v="PAGO NOMINA QUINCENA 2 AGOSTO 2018"/>
    <s v="TRANSACCIONES DEL DIA 08/25/2018 RECURSOS HUMANOS"/>
    <n v="21.39"/>
    <n v="0"/>
    <s v="NEGOCIOS"/>
    <x v="0"/>
  </r>
  <r>
    <n v="91"/>
    <d v="2018-09-10T00:00:00"/>
    <x v="4"/>
    <x v="4"/>
    <x v="0"/>
    <s v="CENTRO DE TARJETAS"/>
    <s v="PAGO NOMINA QUINCENA 1 SEPTIEMBRE 2018"/>
    <s v="TRANSACCIONES DEL DIA 09/10/2018 RECURSOS HUMANOS"/>
    <n v="31.19"/>
    <n v="0"/>
    <s v="NEGOCIOS"/>
    <x v="0"/>
  </r>
  <r>
    <n v="91"/>
    <d v="2018-09-25T00:00:00"/>
    <x v="4"/>
    <x v="4"/>
    <x v="0"/>
    <s v="CENTRO DE TARJETAS"/>
    <s v="PAGO NOMINA QUINCENA 2 SEPTIEMBRE 2018"/>
    <s v="TRANSACCIONES DEL DIA 09/25/2018 RECURSOS HUMANOS"/>
    <n v="64.95"/>
    <n v="0"/>
    <s v="NEGOCIOS"/>
    <x v="0"/>
  </r>
  <r>
    <n v="91"/>
    <d v="2018-10-10T00:00:00"/>
    <x v="0"/>
    <x v="0"/>
    <x v="0"/>
    <s v="CENTRO DE TARJETAS"/>
    <s v="PAGO NOMINA QUINCENA 1 OCTUBRE 2018"/>
    <s v="TRANSACCIONES DEL DIA 10/10/2018 RECURSOS HUMANOS"/>
    <n v="35.71"/>
    <n v="0"/>
    <s v="NEGOCIOS"/>
    <x v="0"/>
  </r>
  <r>
    <n v="91"/>
    <d v="2018-10-25T00:00:00"/>
    <x v="0"/>
    <x v="0"/>
    <x v="0"/>
    <s v="CENTRO DE TARJETAS"/>
    <s v="PAGO NOMINA QUINCENA 2 OCTUBRE 2018"/>
    <s v="TRANSACCIONES DEL DIA 10/25/2018 RECURSOS HUMANOS"/>
    <n v="35.32"/>
    <n v="0"/>
    <s v="NEGOCIOS"/>
    <x v="0"/>
  </r>
  <r>
    <n v="91"/>
    <d v="2018-11-09T00:00:00"/>
    <x v="5"/>
    <x v="5"/>
    <x v="0"/>
    <s v="CENTRO DE TARJETAS"/>
    <s v="PAGO NOMINA QUINCENA 1 NOVIEMBRE 2018"/>
    <s v="TRANSACCIONES DEL DIA 11/09/2018 RECURSOS HUMANOS"/>
    <n v="49.45"/>
    <n v="0"/>
    <s v="NEGOCIOS"/>
    <x v="0"/>
  </r>
  <r>
    <n v="91"/>
    <d v="2018-11-24T00:00:00"/>
    <x v="5"/>
    <x v="5"/>
    <x v="0"/>
    <s v="CENTRO DE TARJETAS"/>
    <s v="PAGO NOMINA QUINCENA 2 NOVIEMBRE 2018"/>
    <s v="TRANSACCIONES DEL DIA 11/24/2018 RECURSOS HUMANOS"/>
    <n v="570.05999999999995"/>
    <n v="0"/>
    <s v="NEGOCIOS"/>
    <x v="0"/>
  </r>
  <r>
    <n v="91"/>
    <d v="2018-12-10T00:00:00"/>
    <x v="1"/>
    <x v="1"/>
    <x v="0"/>
    <s v="CENTRO DE TARJETAS"/>
    <s v="PAGO NOMINA QUINCENA 1 DICIEMBRE 2018"/>
    <s v="TRANSACCIONES DEL DIA 12/10/2018 RECURSOS HUMANOS"/>
    <n v="116.6"/>
    <n v="0"/>
    <s v="NEGOCIOS"/>
    <x v="0"/>
  </r>
  <r>
    <n v="91"/>
    <d v="2018-12-19T00:00:00"/>
    <x v="1"/>
    <x v="1"/>
    <x v="0"/>
    <s v="CENTRO DE TARJETAS"/>
    <s v="PAGO NOMINA QUINCENA 2 DICIEMBRE 2018"/>
    <s v="TRANSACCIONES DEL DIA 12/19/2018 RECURSOS HUMANOS"/>
    <n v="117.78"/>
    <n v="0"/>
    <s v="NEGOCIOS"/>
    <x v="0"/>
  </r>
  <r>
    <n v="91"/>
    <d v="2018-12-31T00:00:00"/>
    <x v="1"/>
    <x v="1"/>
    <x v="0"/>
    <s v="CENTRO DE TARJETAS"/>
    <s v="CIERRE DE ANIO FISCAL"/>
    <s v="CIERRE_DE_CTAS_NOMINALES"/>
    <n v="0"/>
    <n v="1386.2"/>
    <s v="NEGOCIOS"/>
    <x v="0"/>
  </r>
  <r>
    <n v="91"/>
    <d v="2018-12-10T00:00:00"/>
    <x v="1"/>
    <x v="1"/>
    <x v="0"/>
    <s v="CANALES ALTERNOS"/>
    <s v="PAGO NOMINA QUINCENA 1 DICIEMBRE 2018"/>
    <s v="TRANSACCIONES DEL DIA 12/10/2018 RECURSOS HUMANOS"/>
    <n v="90.61"/>
    <n v="0"/>
    <s v="NEGOCIOS"/>
    <x v="0"/>
  </r>
  <r>
    <n v="91"/>
    <d v="2018-12-14T00:00:00"/>
    <x v="1"/>
    <x v="1"/>
    <x v="0"/>
    <s v="CANALES ALTERNOS"/>
    <s v="PLANILLAS DE LIQUIDACIONES DIC 2018"/>
    <s v="TRANSACCIONES DEL DIA 12/14/2018 RECURSOS HUMANOS"/>
    <n v="68.5"/>
    <n v="0"/>
    <s v="NEGOCIOS"/>
    <x v="0"/>
  </r>
  <r>
    <n v="91"/>
    <d v="2018-12-31T00:00:00"/>
    <x v="1"/>
    <x v="1"/>
    <x v="0"/>
    <s v="CANALES ALTERNOS"/>
    <s v="CIERRE DE ANIO FISCAL"/>
    <s v="CIERRE_DE_CTAS_NOMINALES"/>
    <n v="0"/>
    <n v="693.29"/>
    <s v="NEGOCIOS"/>
    <x v="0"/>
  </r>
  <r>
    <n v="91"/>
    <d v="2018-08-10T00:00:00"/>
    <x v="3"/>
    <x v="3"/>
    <x v="0"/>
    <s v="TELEMERCADEO"/>
    <s v="PAGO NOMINA QUINCENA 1 AGOSTO 2018"/>
    <s v="TRANSACCIONES DEL DIA 08/10/2018 RECURSOS HUMANOS"/>
    <n v="549.17999999999995"/>
    <n v="0"/>
    <s v="NEGOCIOS"/>
    <x v="0"/>
  </r>
  <r>
    <n v="91"/>
    <d v="2018-08-25T00:00:00"/>
    <x v="3"/>
    <x v="3"/>
    <x v="0"/>
    <s v="TELEMERCADEO"/>
    <s v="PAGO NOMINA QUINCENA 2 AGOSTO 2018"/>
    <s v="TRANSACCIONES DEL DIA 08/25/2018 RECURSOS HUMANOS"/>
    <n v="488.12"/>
    <n v="0"/>
    <s v="NEGOCIOS"/>
    <x v="0"/>
  </r>
  <r>
    <n v="91"/>
    <d v="2018-09-10T00:00:00"/>
    <x v="4"/>
    <x v="4"/>
    <x v="0"/>
    <s v="TELEMERCADEO"/>
    <s v="PAGO NOMINA QUINCENA 1 SEPTIEMBRE 2018"/>
    <s v="TRANSACCIONES DEL DIA 09/10/2018 RECURSOS HUMANOS"/>
    <n v="76.7"/>
    <n v="0"/>
    <s v="NEGOCIOS"/>
    <x v="0"/>
  </r>
  <r>
    <n v="91"/>
    <d v="2018-09-25T00:00:00"/>
    <x v="4"/>
    <x v="4"/>
    <x v="0"/>
    <s v="TELEMERCADEO"/>
    <s v="PAGO NOMINA QUINCENA 2 SEPTIEMBRE 2018"/>
    <s v="TRANSACCIONES DEL DIA 09/25/2018 RECURSOS HUMANOS"/>
    <n v="59.34"/>
    <n v="0"/>
    <s v="NEGOCIOS"/>
    <x v="0"/>
  </r>
  <r>
    <n v="91"/>
    <d v="2018-10-10T00:00:00"/>
    <x v="0"/>
    <x v="0"/>
    <x v="0"/>
    <s v="TELEMERCADEO"/>
    <s v="PAGO NOMINA QUINCENA 1 OCTUBRE 2018"/>
    <s v="TRANSACCIONES DEL DIA 10/10/2018 RECURSOS HUMANOS"/>
    <n v="171.88"/>
    <n v="0"/>
    <s v="NEGOCIOS"/>
    <x v="0"/>
  </r>
  <r>
    <n v="91"/>
    <d v="2018-10-25T00:00:00"/>
    <x v="0"/>
    <x v="0"/>
    <x v="0"/>
    <s v="TELEMERCADEO"/>
    <s v="PAGO NOMINA QUINCENA 2 OCTUBRE 2018"/>
    <s v="TRANSACCIONES DEL DIA 10/25/2018 RECURSOS HUMANOS"/>
    <n v="97"/>
    <n v="0"/>
    <s v="NEGOCIOS"/>
    <x v="0"/>
  </r>
  <r>
    <n v="91"/>
    <d v="2018-12-10T00:00:00"/>
    <x v="1"/>
    <x v="1"/>
    <x v="0"/>
    <s v="TELEMERCADEO"/>
    <s v="PAGO NOMINA QUINCENA 1 DICIEMBRE 2018"/>
    <s v="TRANSACCIONES DEL DIA 12/10/2018 RECURSOS HUMANOS"/>
    <n v="93.43"/>
    <n v="0"/>
    <s v="NEGOCIOS"/>
    <x v="0"/>
  </r>
  <r>
    <n v="91"/>
    <d v="2018-12-19T00:00:00"/>
    <x v="1"/>
    <x v="1"/>
    <x v="0"/>
    <s v="TELEMERCADEO"/>
    <s v="PAGO NOMINA QUINCENA 2 DICIEMBRE 2018"/>
    <s v="TRANSACCIONES DEL DIA 12/19/2018 RECURSOS HUMANOS"/>
    <n v="128.75"/>
    <n v="0"/>
    <s v="NEGOCIOS"/>
    <x v="0"/>
  </r>
  <r>
    <n v="91"/>
    <d v="2018-12-31T00:00:00"/>
    <x v="1"/>
    <x v="1"/>
    <x v="0"/>
    <s v="TELEMERCADEO"/>
    <s v="CIERRE DE ANIO FISCAL"/>
    <s v="CIERRE_DE_CTAS_NOMINALES"/>
    <n v="0"/>
    <n v="2496.35"/>
    <s v="NEGOCIOS"/>
    <x v="0"/>
  </r>
  <r>
    <n v="91"/>
    <d v="2018-08-25T00:00:00"/>
    <x v="3"/>
    <x v="3"/>
    <x v="0"/>
    <s v="ATM"/>
    <s v="PAGO NOMINA QUINCENA 2 AGOSTO 2018"/>
    <s v="TRANSACCIONES DEL DIA 08/25/2018 RECURSOS HUMANOS"/>
    <n v="14.22"/>
    <n v="0"/>
    <s v="NEGOCIOS"/>
    <x v="0"/>
  </r>
  <r>
    <n v="91"/>
    <d v="2018-09-10T00:00:00"/>
    <x v="4"/>
    <x v="4"/>
    <x v="0"/>
    <s v="ATM"/>
    <s v="PAGO NOMINA QUINCENA 1 SEPTIEMBRE 2018"/>
    <s v="TRANSACCIONES DEL DIA 09/10/2018 RECURSOS HUMANOS"/>
    <n v="86.85"/>
    <n v="0"/>
    <s v="NEGOCIOS"/>
    <x v="0"/>
  </r>
  <r>
    <n v="91"/>
    <d v="2018-09-25T00:00:00"/>
    <x v="4"/>
    <x v="4"/>
    <x v="0"/>
    <s v="ATM"/>
    <s v="PAGO NOMINA QUINCENA 2 SEPTIEMBRE 2018"/>
    <s v="TRANSACCIONES DEL DIA 09/25/2018 RECURSOS HUMANOS"/>
    <n v="66.36"/>
    <n v="0"/>
    <s v="NEGOCIOS"/>
    <x v="0"/>
  </r>
  <r>
    <n v="91"/>
    <d v="2018-10-25T00:00:00"/>
    <x v="0"/>
    <x v="0"/>
    <x v="0"/>
    <s v="ATM"/>
    <s v="PAGO NOMINA QUINCENA 2 OCTUBRE 2018"/>
    <s v="TRANSACCIONES DEL DIA 10/25/2018 RECURSOS HUMANOS"/>
    <n v="16.79"/>
    <n v="0"/>
    <s v="NEGOCIOS"/>
    <x v="0"/>
  </r>
  <r>
    <n v="91"/>
    <d v="2018-11-09T00:00:00"/>
    <x v="5"/>
    <x v="5"/>
    <x v="0"/>
    <s v="ATM"/>
    <s v="PAGO NOMINA QUINCENA 1 NOVIEMBRE 2018"/>
    <s v="TRANSACCIONES DEL DIA 11/09/2018 RECURSOS HUMANOS"/>
    <n v="10.58"/>
    <n v="0"/>
    <s v="NEGOCIOS"/>
    <x v="0"/>
  </r>
  <r>
    <n v="91"/>
    <d v="2018-12-10T00:00:00"/>
    <x v="1"/>
    <x v="1"/>
    <x v="0"/>
    <s v="ATM"/>
    <s v="PAGO NOMINA QUINCENA 1 DICIEMBRE 2018"/>
    <s v="TRANSACCIONES DEL DIA 12/10/2018 RECURSOS HUMANOS"/>
    <n v="367.27"/>
    <n v="0"/>
    <s v="NEGOCIOS"/>
    <x v="0"/>
  </r>
  <r>
    <n v="91"/>
    <d v="2018-12-31T00:00:00"/>
    <x v="1"/>
    <x v="1"/>
    <x v="0"/>
    <s v="ATM"/>
    <s v="CIERRE DE ANIO FISCAL"/>
    <s v="CIERRE_DE_CTAS_NOMINALES"/>
    <n v="0"/>
    <n v="562.07000000000005"/>
    <s v="NEGOCIOS"/>
    <x v="0"/>
  </r>
  <r>
    <n v="91"/>
    <d v="2018-06-09T00:00:00"/>
    <x v="2"/>
    <x v="2"/>
    <x v="0"/>
    <s v="ATENCION A CLIENTES"/>
    <s v="PAGO NOMINA QUINCENA 1 JUNIO 2018"/>
    <s v="TRANSACCIONES DEL DIA 06/09/2018 RECURSOS HUMANOS"/>
    <n v="2620.46"/>
    <n v="0"/>
    <s v="NEGOCIOS"/>
    <x v="0"/>
  </r>
  <r>
    <n v="91"/>
    <d v="2018-06-25T00:00:00"/>
    <x v="2"/>
    <x v="2"/>
    <x v="0"/>
    <s v="ATENCION A CLIENTES"/>
    <s v="PAGO NOMINA QUINCENA 2 JUNIO 2018"/>
    <s v="TRANSACCIONES DEL DIA 06/25/2018 RECURSOS HUMANOS"/>
    <n v="311.67"/>
    <n v="0"/>
    <s v="NEGOCIOS"/>
    <x v="0"/>
  </r>
  <r>
    <n v="91"/>
    <d v="2018-06-27T00:00:00"/>
    <x v="2"/>
    <x v="2"/>
    <x v="0"/>
    <s v="ATENCION A CLIENTES"/>
    <s v="PLANILLAS DE LIQUIDACIONES JUN 2018"/>
    <s v="TRANSACCIONES DEL DIA 06/27/2018 RECURSOS HUMANOS"/>
    <n v="4.22"/>
    <n v="0"/>
    <s v="NEGOCIOS"/>
    <x v="0"/>
  </r>
  <r>
    <n v="91"/>
    <d v="2018-07-10T00:00:00"/>
    <x v="6"/>
    <x v="6"/>
    <x v="0"/>
    <s v="ATENCION A CLIENTES"/>
    <s v="PAGO NOMINA QUINCENA 1 JULIO 2018"/>
    <s v="TRANSACCIONES DEL DIA 07/10/2018 RECURSOS HUMANOS"/>
    <n v="512.62"/>
    <n v="0"/>
    <s v="NEGOCIOS"/>
    <x v="0"/>
  </r>
  <r>
    <n v="91"/>
    <d v="2018-07-25T00:00:00"/>
    <x v="6"/>
    <x v="6"/>
    <x v="0"/>
    <s v="ATENCION A CLIENTES"/>
    <s v="PAGO NOMINA QUINCENA 2 JULIO 2018"/>
    <s v="TRANSACCIONES DEL DIA 07/25/2018 RECURSOS HUMANOS"/>
    <n v="514.69000000000005"/>
    <n v="0"/>
    <s v="NEGOCIOS"/>
    <x v="0"/>
  </r>
  <r>
    <n v="91"/>
    <d v="2018-08-10T00:00:00"/>
    <x v="3"/>
    <x v="3"/>
    <x v="0"/>
    <s v="ATENCION A CLIENTES"/>
    <s v="PAGO NOMINA QUINCENA 1 AGOSTO 2018"/>
    <s v="TRANSACCIONES DEL DIA 08/10/2018 RECURSOS HUMANOS"/>
    <n v="1091"/>
    <n v="0"/>
    <s v="NEGOCIOS"/>
    <x v="0"/>
  </r>
  <r>
    <n v="91"/>
    <d v="2018-08-25T00:00:00"/>
    <x v="3"/>
    <x v="3"/>
    <x v="0"/>
    <s v="ATENCION A CLIENTES"/>
    <s v="PAGO NOMINA QUINCENA 2 AGOSTO 2018"/>
    <s v="TRANSACCIONES DEL DIA 08/25/2018 RECURSOS HUMANOS"/>
    <n v="343.02"/>
    <n v="0"/>
    <s v="NEGOCIOS"/>
    <x v="0"/>
  </r>
  <r>
    <n v="91"/>
    <d v="2018-09-10T00:00:00"/>
    <x v="4"/>
    <x v="4"/>
    <x v="0"/>
    <s v="ATENCION A CLIENTES"/>
    <s v="PAGO NOMINA QUINCENA 1 SEPTIEMBRE 2018"/>
    <s v="TRANSACCIONES DEL DIA 09/10/2018 RECURSOS HUMANOS"/>
    <n v="344.36"/>
    <n v="0"/>
    <s v="NEGOCIOS"/>
    <x v="0"/>
  </r>
  <r>
    <n v="91"/>
    <d v="2018-09-25T00:00:00"/>
    <x v="4"/>
    <x v="4"/>
    <x v="0"/>
    <s v="ATENCION A CLIENTES"/>
    <s v="PAGO NOMINA QUINCENA 2 SEPTIEMBRE 2018"/>
    <s v="TRANSACCIONES DEL DIA 09/25/2018 RECURSOS HUMANOS"/>
    <n v="513.04999999999995"/>
    <n v="0"/>
    <s v="NEGOCIOS"/>
    <x v="0"/>
  </r>
  <r>
    <n v="91"/>
    <d v="2018-10-10T00:00:00"/>
    <x v="0"/>
    <x v="0"/>
    <x v="0"/>
    <s v="ATENCION A CLIENTES"/>
    <s v="PAGO NOMINA QUINCENA 1 OCTUBRE 2018"/>
    <s v="TRANSACCIONES DEL DIA 10/10/2018 RECURSOS HUMANOS"/>
    <n v="757.98"/>
    <n v="0"/>
    <s v="NEGOCIOS"/>
    <x v="0"/>
  </r>
  <r>
    <n v="91"/>
    <d v="2018-10-25T00:00:00"/>
    <x v="0"/>
    <x v="0"/>
    <x v="0"/>
    <s v="ATENCION A CLIENTES"/>
    <s v="PAGO NOMINA QUINCENA 2 OCTUBRE 2018"/>
    <s v="TRANSACCIONES DEL DIA 10/25/2018 RECURSOS HUMANOS"/>
    <n v="858.47"/>
    <n v="0"/>
    <s v="NEGOCIOS"/>
    <x v="0"/>
  </r>
  <r>
    <n v="91"/>
    <d v="2018-11-09T00:00:00"/>
    <x v="5"/>
    <x v="5"/>
    <x v="0"/>
    <s v="ATENCION A CLIENTES"/>
    <s v="PAGO NOMINA QUINCENA 1 NOVIEMBRE 2018"/>
    <s v="TRANSACCIONES DEL DIA 11/09/2018 RECURSOS HUMANOS"/>
    <n v="986.6"/>
    <n v="0"/>
    <s v="NEGOCIOS"/>
    <x v="0"/>
  </r>
  <r>
    <n v="91"/>
    <d v="2018-11-24T00:00:00"/>
    <x v="5"/>
    <x v="5"/>
    <x v="0"/>
    <s v="ATENCION A CLIENTES"/>
    <s v="PAGO NOMINA QUINCENA 2 NOVIEMBRE 2018"/>
    <s v="TRANSACCIONES DEL DIA 11/24/2018 RECURSOS HUMANOS"/>
    <n v="415.81"/>
    <n v="0"/>
    <s v="NEGOCIOS"/>
    <x v="0"/>
  </r>
  <r>
    <n v="91"/>
    <d v="2018-12-10T00:00:00"/>
    <x v="1"/>
    <x v="1"/>
    <x v="0"/>
    <s v="ATENCION A CLIENTES"/>
    <s v="PAGO NOMINA QUINCENA 1 DICIEMBRE 2018"/>
    <s v="TRANSACCIONES DEL DIA 12/10/2018 RECURSOS HUMANOS"/>
    <n v="5973.76"/>
    <n v="0"/>
    <s v="NEGOCIOS"/>
    <x v="0"/>
  </r>
  <r>
    <n v="91"/>
    <d v="2018-12-19T00:00:00"/>
    <x v="1"/>
    <x v="1"/>
    <x v="0"/>
    <s v="ATENCION A CLIENTES"/>
    <s v="PAGO NOMINA QUINCENA 2 DICIEMBRE 2018"/>
    <s v="TRANSACCIONES DEL DIA 12/19/2018 RECURSOS HUMANOS"/>
    <n v="3585"/>
    <n v="0"/>
    <s v="NEGOCIOS"/>
    <x v="0"/>
  </r>
  <r>
    <n v="91"/>
    <d v="2018-12-31T00:00:00"/>
    <x v="1"/>
    <x v="1"/>
    <x v="0"/>
    <s v="ATENCION A CLIENTES"/>
    <s v="CIERRE DE ANIO FISCAL"/>
    <s v="CIERRE_DE_CTAS_NOMINALES"/>
    <n v="0"/>
    <n v="29631.119999999999"/>
    <s v="NEGOCIOS"/>
    <x v="0"/>
  </r>
  <r>
    <n v="91"/>
    <d v="2018-09-10T00:00:00"/>
    <x v="4"/>
    <x v="4"/>
    <x v="0"/>
    <s v="DESARROLLO DE PRODUCTOS"/>
    <s v="PAGO NOMINA QUINCENA 1 SEPTIEMBRE 2018"/>
    <s v="TRANSACCIONES DEL DIA 09/10/2018 RECURSOS HUMANOS"/>
    <n v="535.44000000000005"/>
    <n v="0"/>
    <s v="NEGOCIOS"/>
    <x v="0"/>
  </r>
  <r>
    <n v="91"/>
    <d v="2018-09-25T00:00:00"/>
    <x v="4"/>
    <x v="4"/>
    <x v="0"/>
    <s v="DESARROLLO DE PRODUCTOS"/>
    <s v="PAGO NOMINA QUINCENA 2 SEPTIEMBRE 2018"/>
    <s v="TRANSACCIONES DEL DIA 09/25/2018 RECURSOS HUMANOS"/>
    <n v="283.48"/>
    <n v="0"/>
    <s v="NEGOCIOS"/>
    <x v="0"/>
  </r>
  <r>
    <n v="91"/>
    <d v="2018-12-31T00:00:00"/>
    <x v="1"/>
    <x v="1"/>
    <x v="0"/>
    <s v="DESARROLLO DE PRODUCTOS"/>
    <s v="CIERRE DE ANIO FISCAL"/>
    <s v="CIERRE_DE_CTAS_NOMINALES"/>
    <n v="0"/>
    <n v="818.92"/>
    <s v="NEGOCIOS"/>
    <x v="0"/>
  </r>
  <r>
    <n v="91"/>
    <d v="2018-09-10T00:00:00"/>
    <x v="4"/>
    <x v="4"/>
    <x v="0"/>
    <s v="VENTAS CONSUMO"/>
    <s v="PAGO NOMINA QUINCENA 1 SEPTIEMBRE 2018"/>
    <s v="TRANSACCIONES DEL DIA 09/10/2018 RECURSOS HUMANOS"/>
    <n v="447.54"/>
    <n v="0"/>
    <s v="NEGOCIOS"/>
    <x v="0"/>
  </r>
  <r>
    <n v="91"/>
    <d v="2018-10-10T00:00:00"/>
    <x v="0"/>
    <x v="0"/>
    <x v="0"/>
    <s v="VENTAS CONSUMO"/>
    <s v="PAGO NOMINA QUINCENA 1 OCTUBRE 2018"/>
    <s v="TRANSACCIONES DEL DIA 10/10/2018 RECURSOS HUMANOS"/>
    <n v="833.5"/>
    <n v="0"/>
    <s v="NEGOCIOS"/>
    <x v="0"/>
  </r>
  <r>
    <n v="91"/>
    <d v="2018-12-10T00:00:00"/>
    <x v="1"/>
    <x v="1"/>
    <x v="0"/>
    <s v="VENTAS CONSUMO"/>
    <s v="PAGO NOMINA QUINCENA 1 DICIEMBRE 2018"/>
    <s v="TRANSACCIONES DEL DIA 12/10/2018 RECURSOS HUMANOS"/>
    <n v="167.5"/>
    <n v="0"/>
    <s v="NEGOCIOS"/>
    <x v="0"/>
  </r>
  <r>
    <n v="91"/>
    <d v="2018-12-19T00:00:00"/>
    <x v="1"/>
    <x v="1"/>
    <x v="0"/>
    <s v="VENTAS CONSUMO"/>
    <s v="PAGO NOMINA QUINCENA 2 DICIEMBRE 2018"/>
    <s v="TRANSACCIONES DEL DIA 12/19/2018 RECURSOS HUMANOS"/>
    <n v="205.24"/>
    <n v="0"/>
    <s v="NEGOCIOS"/>
    <x v="0"/>
  </r>
  <r>
    <n v="91"/>
    <d v="2018-12-31T00:00:00"/>
    <x v="1"/>
    <x v="1"/>
    <x v="0"/>
    <s v="VENTAS CONSUMO"/>
    <s v="CIERRE DE ANIO FISCAL"/>
    <s v="CIERRE_DE_CTAS_NOMINALES"/>
    <n v="0"/>
    <n v="3084.31"/>
    <s v="NEGOCIOS"/>
    <x v="0"/>
  </r>
  <r>
    <n v="91"/>
    <d v="2018-06-09T00:00:00"/>
    <x v="2"/>
    <x v="2"/>
    <x v="0"/>
    <s v="FUERZAS DE VENTAS PANAMA"/>
    <s v="PAGO NOMINA QUINCENA 1 JUNIO 2018"/>
    <s v="TRANSACCIONES DEL DIA 06/09/2018 RECURSOS HUMANOS"/>
    <n v="2846.89"/>
    <n v="0"/>
    <s v="NEGOCIOS"/>
    <x v="0"/>
  </r>
  <r>
    <n v="91"/>
    <d v="2018-06-25T00:00:00"/>
    <x v="2"/>
    <x v="2"/>
    <x v="0"/>
    <s v="FUERZAS DE VENTAS PANAMA"/>
    <s v="PAGO NOMINA QUINCENA 2 JUNIO 2018"/>
    <s v="TRANSACCIONES DEL DIA 06/25/2018 RECURSOS HUMANOS"/>
    <n v="5485.2"/>
    <n v="0"/>
    <s v="NEGOCIOS"/>
    <x v="0"/>
  </r>
  <r>
    <n v="91"/>
    <d v="2018-07-10T00:00:00"/>
    <x v="6"/>
    <x v="6"/>
    <x v="0"/>
    <s v="FUERZAS DE VENTAS PANAMA"/>
    <s v="PAGO NOMINA QUINCENA 1 JULIO 2018"/>
    <s v="TRANSACCIONES DEL DIA 07/10/2018 RECURSOS HUMANOS"/>
    <n v="2715.03"/>
    <n v="0"/>
    <s v="NEGOCIOS"/>
    <x v="0"/>
  </r>
  <r>
    <n v="91"/>
    <d v="2018-07-25T00:00:00"/>
    <x v="6"/>
    <x v="6"/>
    <x v="0"/>
    <s v="FUERZAS DE VENTAS PANAMA"/>
    <s v="PAGO NOMINA QUINCENA 2 JULIO 2018"/>
    <s v="TRANSACCIONES DEL DIA 07/25/2018 RECURSOS HUMANOS"/>
    <n v="1367.19"/>
    <n v="0"/>
    <s v="NEGOCIOS"/>
    <x v="0"/>
  </r>
  <r>
    <n v="91"/>
    <d v="2018-08-03T00:00:00"/>
    <x v="3"/>
    <x v="3"/>
    <x v="0"/>
    <s v="FUERZAS DE VENTAS PANAMA"/>
    <s v="PLANILLAS DE LIQUIDACIONES AGO 2018"/>
    <s v="TRANSACCIONES DEL DIA 08/03/2018 RECURSOS HUMANOS"/>
    <n v="7.84"/>
    <n v="0"/>
    <s v="NEGOCIOS"/>
    <x v="0"/>
  </r>
  <r>
    <n v="91"/>
    <d v="2018-08-10T00:00:00"/>
    <x v="3"/>
    <x v="3"/>
    <x v="0"/>
    <s v="FUERZAS DE VENTAS PANAMA"/>
    <s v="PAGO NOMINA QUINCENA 1 AGOSTO 2018"/>
    <s v="TRANSACCIONES DEL DIA 08/10/2018 RECURSOS HUMANOS"/>
    <n v="3292.47"/>
    <n v="0"/>
    <s v="NEGOCIOS"/>
    <x v="0"/>
  </r>
  <r>
    <n v="91"/>
    <d v="2018-08-25T00:00:00"/>
    <x v="3"/>
    <x v="3"/>
    <x v="0"/>
    <s v="FUERZAS DE VENTAS PANAMA"/>
    <s v="PAGO NOMINA QUINCENA 2 AGOSTO 2018"/>
    <s v="TRANSACCIONES DEL DIA 08/25/2018 RECURSOS HUMANOS"/>
    <n v="3012.69"/>
    <n v="0"/>
    <s v="NEGOCIOS"/>
    <x v="0"/>
  </r>
  <r>
    <n v="91"/>
    <d v="2018-09-10T00:00:00"/>
    <x v="4"/>
    <x v="4"/>
    <x v="0"/>
    <s v="FUERZAS DE VENTAS PANAMA"/>
    <s v="PAGO NOMINA QUINCENA 1 SEPTIEMBRE 2018"/>
    <s v="TRANSACCIONES DEL DIA 09/10/2018 RECURSOS HUMANOS"/>
    <n v="8498.83"/>
    <n v="0"/>
    <s v="NEGOCIOS"/>
    <x v="0"/>
  </r>
  <r>
    <n v="91"/>
    <d v="2018-09-25T00:00:00"/>
    <x v="4"/>
    <x v="4"/>
    <x v="0"/>
    <s v="FUERZAS DE VENTAS PANAMA"/>
    <s v="PAGO NOMINA QUINCENA 2 SEPTIEMBRE 2018"/>
    <s v="TRANSACCIONES DEL DIA 09/25/2018 RECURSOS HUMANOS"/>
    <n v="3781.53"/>
    <n v="0"/>
    <s v="NEGOCIOS"/>
    <x v="0"/>
  </r>
  <r>
    <n v="91"/>
    <d v="2018-10-10T00:00:00"/>
    <x v="0"/>
    <x v="0"/>
    <x v="0"/>
    <s v="FUERZAS DE VENTAS PANAMA"/>
    <s v="PAGO NOMINA QUINCENA 1 OCTUBRE 2018"/>
    <s v="TRANSACCIONES DEL DIA 10/10/2018 RECURSOS HUMANOS"/>
    <n v="19187.669999999998"/>
    <n v="0"/>
    <s v="NEGOCIOS"/>
    <x v="0"/>
  </r>
  <r>
    <n v="91"/>
    <d v="2018-10-25T00:00:00"/>
    <x v="0"/>
    <x v="0"/>
    <x v="0"/>
    <s v="FUERZAS DE VENTAS PANAMA"/>
    <s v="PAGO NOMINA QUINCENA 2 OCTUBRE 2018"/>
    <s v="TRANSACCIONES DEL DIA 10/25/2018 RECURSOS HUMANOS"/>
    <n v="2912.65"/>
    <n v="0"/>
    <s v="NEGOCIOS"/>
    <x v="0"/>
  </r>
  <r>
    <n v="91"/>
    <d v="2018-11-09T00:00:00"/>
    <x v="5"/>
    <x v="5"/>
    <x v="0"/>
    <s v="FUERZAS DE VENTAS PANAMA"/>
    <s v="PAGO NOMINA QUINCENA 1 NOVIEMBRE 2018"/>
    <s v="TRANSACCIONES DEL DIA 11/09/2018 RECURSOS HUMANOS"/>
    <n v="2032.34"/>
    <n v="0"/>
    <s v="NEGOCIOS"/>
    <x v="0"/>
  </r>
  <r>
    <n v="91"/>
    <d v="2018-11-24T00:00:00"/>
    <x v="5"/>
    <x v="5"/>
    <x v="0"/>
    <s v="FUERZAS DE VENTAS PANAMA"/>
    <s v="PAGO NOMINA QUINCENA 2 NOVIEMBRE 2018"/>
    <s v="TRANSACCIONES DEL DIA 11/24/2018 RECURSOS HUMANOS"/>
    <n v="2595.87"/>
    <n v="0"/>
    <s v="NEGOCIOS"/>
    <x v="0"/>
  </r>
  <r>
    <n v="91"/>
    <d v="2018-12-10T00:00:00"/>
    <x v="1"/>
    <x v="1"/>
    <x v="0"/>
    <s v="FUERZAS DE VENTAS PANAMA"/>
    <s v="PAGO NOMINA QUINCENA 1 DICIEMBRE 2018"/>
    <s v="TRANSACCIONES DEL DIA 12/10/2018 RECURSOS HUMANOS"/>
    <n v="9024.7000000000007"/>
    <n v="0"/>
    <s v="NEGOCIOS"/>
    <x v="0"/>
  </r>
  <r>
    <n v="91"/>
    <d v="2018-12-19T00:00:00"/>
    <x v="1"/>
    <x v="1"/>
    <x v="0"/>
    <s v="FUERZAS DE VENTAS PANAMA"/>
    <s v="PAGO NOMINA QUINCENA 2 DICIEMBRE 2018"/>
    <s v="TRANSACCIONES DEL DIA 12/19/2018 RECURSOS HUMANOS"/>
    <n v="8494.94"/>
    <n v="0"/>
    <s v="NEGOCIOS"/>
    <x v="0"/>
  </r>
  <r>
    <n v="91"/>
    <d v="2018-12-31T00:00:00"/>
    <x v="1"/>
    <x v="1"/>
    <x v="0"/>
    <s v="FUERZAS DE VENTAS PANAMA"/>
    <s v="CIERRE DE ANIO FISCAL"/>
    <s v="CIERRE_DE_CTAS_NOMINALES"/>
    <n v="0"/>
    <n v="125050.55"/>
    <s v="NEGOCIOS"/>
    <x v="0"/>
  </r>
  <r>
    <n v="91"/>
    <d v="2018-06-09T00:00:00"/>
    <x v="2"/>
    <x v="2"/>
    <x v="0"/>
    <s v="FUERZA DE VENTAS AUTOS"/>
    <s v="PAGO NOMINA QUINCENA 1 JUNIO 2018"/>
    <s v="TRANSACCIONES DEL DIA 06/09/2018 RECURSOS HUMANOS"/>
    <n v="480.62"/>
    <n v="0"/>
    <s v="NEGOCIOS"/>
    <x v="0"/>
  </r>
  <r>
    <n v="91"/>
    <d v="2018-06-25T00:00:00"/>
    <x v="2"/>
    <x v="2"/>
    <x v="0"/>
    <s v="FUERZA DE VENTAS AUTOS"/>
    <s v="PAGO NOMINA QUINCENA 2 JUNIO 2018"/>
    <s v="TRANSACCIONES DEL DIA 06/25/2018 RECURSOS HUMANOS"/>
    <n v="951.08"/>
    <n v="0"/>
    <s v="NEGOCIOS"/>
    <x v="0"/>
  </r>
  <r>
    <n v="91"/>
    <d v="2018-07-10T00:00:00"/>
    <x v="6"/>
    <x v="6"/>
    <x v="0"/>
    <s v="FUERZA DE VENTAS AUTOS"/>
    <s v="PAGO NOMINA QUINCENA 1 JULIO 2018"/>
    <s v="TRANSACCIONES DEL DIA 07/10/2018 RECURSOS HUMANOS"/>
    <n v="52.88"/>
    <n v="0"/>
    <s v="NEGOCIOS"/>
    <x v="0"/>
  </r>
  <r>
    <n v="91"/>
    <d v="2018-08-10T00:00:00"/>
    <x v="3"/>
    <x v="3"/>
    <x v="0"/>
    <s v="FUERZA DE VENTAS AUTOS"/>
    <s v="PAGO NOMINA QUINCENA 1 AGOSTO 2018"/>
    <s v="TRANSACCIONES DEL DIA 08/10/2018 RECURSOS HUMANOS"/>
    <n v="435.82"/>
    <n v="0"/>
    <s v="NEGOCIOS"/>
    <x v="0"/>
  </r>
  <r>
    <n v="91"/>
    <d v="2018-09-10T00:00:00"/>
    <x v="4"/>
    <x v="4"/>
    <x v="0"/>
    <s v="FUERZA DE VENTAS AUTOS"/>
    <s v="PAGO NOMINA QUINCENA 1 SEPTIEMBRE 2018"/>
    <s v="TRANSACCIONES DEL DIA 09/10/2018 RECURSOS HUMANOS"/>
    <n v="610.65"/>
    <n v="0"/>
    <s v="NEGOCIOS"/>
    <x v="0"/>
  </r>
  <r>
    <n v="91"/>
    <d v="2018-09-25T00:00:00"/>
    <x v="4"/>
    <x v="4"/>
    <x v="0"/>
    <s v="FUERZA DE VENTAS AUTOS"/>
    <s v="PAGO NOMINA QUINCENA 2 SEPTIEMBRE 2018"/>
    <s v="TRANSACCIONES DEL DIA 09/25/2018 RECURSOS HUMANOS"/>
    <n v="1650.01"/>
    <n v="0"/>
    <s v="NEGOCIOS"/>
    <x v="0"/>
  </r>
  <r>
    <n v="91"/>
    <d v="2018-11-09T00:00:00"/>
    <x v="5"/>
    <x v="5"/>
    <x v="0"/>
    <s v="FUERZA DE VENTAS AUTOS"/>
    <s v="PAGO NOMINA QUINCENA 1 NOVIEMBRE 2018"/>
    <s v="TRANSACCIONES DEL DIA 11/09/2018 RECURSOS HUMANOS"/>
    <n v="380.73"/>
    <n v="0"/>
    <s v="NEGOCIOS"/>
    <x v="0"/>
  </r>
  <r>
    <n v="91"/>
    <d v="2018-12-10T00:00:00"/>
    <x v="1"/>
    <x v="1"/>
    <x v="0"/>
    <s v="FUERZA DE VENTAS AUTOS"/>
    <s v="PAGO NOMINA QUINCENA 1 DICIEMBRE 2018"/>
    <s v="TRANSACCIONES DEL DIA 12/10/2018 RECURSOS HUMANOS"/>
    <n v="3783.38"/>
    <n v="0"/>
    <s v="NEGOCIOS"/>
    <x v="0"/>
  </r>
  <r>
    <n v="91"/>
    <d v="2018-12-19T00:00:00"/>
    <x v="1"/>
    <x v="1"/>
    <x v="0"/>
    <s v="FUERZA DE VENTAS AUTOS"/>
    <s v="PAGO NOMINA QUINCENA 2 DICIEMBRE 2018"/>
    <s v="TRANSACCIONES DEL DIA 12/19/2018 RECURSOS HUMANOS"/>
    <n v="3298.03"/>
    <n v="0"/>
    <s v="NEGOCIOS"/>
    <x v="0"/>
  </r>
  <r>
    <n v="91"/>
    <d v="2018-12-31T00:00:00"/>
    <x v="1"/>
    <x v="1"/>
    <x v="0"/>
    <s v="FUERZA DE VENTAS AUTOS"/>
    <s v="CIERRE DE ANIO FISCAL"/>
    <s v="CIERRE_DE_CTAS_NOMINALES"/>
    <n v="0"/>
    <n v="18232.189999999999"/>
    <s v="NEGOCIOS"/>
    <x v="0"/>
  </r>
  <r>
    <n v="91"/>
    <d v="2018-12-31T00:00:00"/>
    <x v="1"/>
    <x v="1"/>
    <x v="0"/>
    <s v="CAMPAðA"/>
    <s v="CIERRE DE ANIO FISCAL"/>
    <s v="CIERRE_DE_CTAS_NOMINALES"/>
    <n v="0"/>
    <n v="51.99"/>
    <s v="NEGOCIOS"/>
    <x v="0"/>
  </r>
  <r>
    <n v="91"/>
    <d v="2018-12-31T00:00:00"/>
    <x v="1"/>
    <x v="1"/>
    <x v="0"/>
    <s v="BANCA COMERCIAL INTERIOR"/>
    <s v="CIERRE DE ANIO FISCAL"/>
    <s v="CIERRE_DE_CTAS_NOMINALES"/>
    <n v="0"/>
    <n v="546.02"/>
    <s v="NEGOCIOS"/>
    <x v="0"/>
  </r>
  <r>
    <n v="91"/>
    <d v="2018-07-25T00:00:00"/>
    <x v="6"/>
    <x v="6"/>
    <x v="0"/>
    <s v="IMAGEN CORPORATIVA"/>
    <s v="PAGO NOMINA QUINCENA 2 JULIO 2018"/>
    <s v="TRANSACCIONES DEL DIA 07/25/2018 RECURSOS HUMANOS"/>
    <n v="96.97"/>
    <n v="0"/>
    <s v="NEGOCIOS"/>
    <x v="0"/>
  </r>
  <r>
    <n v="91"/>
    <d v="2018-09-10T00:00:00"/>
    <x v="4"/>
    <x v="4"/>
    <x v="0"/>
    <s v="IMAGEN CORPORATIVA"/>
    <s v="PAGO NOMINA QUINCENA 1 SEPTIEMBRE 2018"/>
    <s v="TRANSACCIONES DEL DIA 09/10/2018 RECURSOS HUMANOS"/>
    <n v="74.11"/>
    <n v="0"/>
    <s v="NEGOCIOS"/>
    <x v="0"/>
  </r>
  <r>
    <n v="91"/>
    <d v="2018-12-31T00:00:00"/>
    <x v="1"/>
    <x v="1"/>
    <x v="0"/>
    <s v="IMAGEN CORPORATIVA"/>
    <s v="CIERRE DE ANIO FISCAL"/>
    <s v="CIERRE_DE_CTAS_NOMINALES"/>
    <n v="0"/>
    <n v="1254.9000000000001"/>
    <s v="NEGOCIOS"/>
    <x v="0"/>
  </r>
  <r>
    <n v="95"/>
    <d v="2018-06-09T00:00:00"/>
    <x v="2"/>
    <x v="2"/>
    <x v="0"/>
    <s v="ADMINISTRACION DE SUCURSALES"/>
    <s v="PAGO NOMINA QUINCENA 1 JUNIO 2018"/>
    <s v="TRANSACCIONES DEL DIA 06/09/2018 RECURSOS HUMANOS"/>
    <n v="33.51"/>
    <n v="0"/>
    <s v="BOULEVARD EL DORADO"/>
    <x v="0"/>
  </r>
  <r>
    <n v="95"/>
    <d v="2018-12-31T00:00:00"/>
    <x v="1"/>
    <x v="1"/>
    <x v="0"/>
    <s v="ADMINISTRACION DE SUCURSALES"/>
    <s v="CIERRE DE ANIO FISCAL"/>
    <s v="CIERRE_DE_CTAS_NOMINALES"/>
    <n v="0"/>
    <n v="61.05"/>
    <s v="BOULEVARD EL DORADO"/>
    <x v="0"/>
  </r>
  <r>
    <n v="95"/>
    <d v="2018-06-09T00:00:00"/>
    <x v="2"/>
    <x v="2"/>
    <x v="0"/>
    <s v="CAJA"/>
    <s v="PAGO NOMINA QUINCENA 1 JUNIO 2018"/>
    <s v="TRANSACCIONES DEL DIA 06/09/2018 RECURSOS HUMANOS"/>
    <n v="111.6"/>
    <n v="0"/>
    <s v="BOULEVARD EL DORADO"/>
    <x v="0"/>
  </r>
  <r>
    <n v="95"/>
    <d v="2018-06-25T00:00:00"/>
    <x v="2"/>
    <x v="2"/>
    <x v="0"/>
    <s v="CAJA"/>
    <s v="PAGO NOMINA QUINCENA 2 JUNIO 2018"/>
    <s v="TRANSACCIONES DEL DIA 06/25/2018 RECURSOS HUMANOS"/>
    <n v="43.04"/>
    <n v="0"/>
    <s v="BOULEVARD EL DORADO"/>
    <x v="0"/>
  </r>
  <r>
    <n v="95"/>
    <d v="2018-07-10T00:00:00"/>
    <x v="6"/>
    <x v="6"/>
    <x v="0"/>
    <s v="CAJA"/>
    <s v="PAGO NOMINA QUINCENA 1 JULIO 2018"/>
    <s v="TRANSACCIONES DEL DIA 07/10/2018 RECURSOS HUMANOS"/>
    <n v="88.55"/>
    <n v="0"/>
    <s v="BOULEVARD EL DORADO"/>
    <x v="0"/>
  </r>
  <r>
    <n v="95"/>
    <d v="2018-07-25T00:00:00"/>
    <x v="6"/>
    <x v="6"/>
    <x v="0"/>
    <s v="CAJA"/>
    <s v="PAGO NOMINA QUINCENA 2 JULIO 2018"/>
    <s v="TRANSACCIONES DEL DIA 07/25/2018 RECURSOS HUMANOS"/>
    <n v="13.57"/>
    <n v="0"/>
    <s v="BOULEVARD EL DORADO"/>
    <x v="0"/>
  </r>
  <r>
    <n v="95"/>
    <d v="2018-08-10T00:00:00"/>
    <x v="3"/>
    <x v="3"/>
    <x v="0"/>
    <s v="CAJA"/>
    <s v="PAGO NOMINA QUINCENA 1 AGOSTO 2018"/>
    <s v="TRANSACCIONES DEL DIA 08/10/2018 RECURSOS HUMANOS"/>
    <n v="106.23"/>
    <n v="0"/>
    <s v="BOULEVARD EL DORADO"/>
    <x v="0"/>
  </r>
  <r>
    <n v="95"/>
    <d v="2018-08-25T00:00:00"/>
    <x v="3"/>
    <x v="3"/>
    <x v="0"/>
    <s v="CAJA"/>
    <s v="PAGO NOMINA QUINCENA 2 AGOSTO 2018"/>
    <s v="TRANSACCIONES DEL DIA 08/25/2018 RECURSOS HUMANOS"/>
    <n v="53.95"/>
    <n v="0"/>
    <s v="BOULEVARD EL DORADO"/>
    <x v="0"/>
  </r>
  <r>
    <n v="95"/>
    <d v="2018-09-10T00:00:00"/>
    <x v="4"/>
    <x v="4"/>
    <x v="0"/>
    <s v="CAJA"/>
    <s v="PAGO NOMINA QUINCENA 1 SEPTIEMBRE 2018"/>
    <s v="TRANSACCIONES DEL DIA 09/10/2018 RECURSOS HUMANOS"/>
    <n v="69.489999999999995"/>
    <n v="0"/>
    <s v="BOULEVARD EL DORADO"/>
    <x v="0"/>
  </r>
  <r>
    <n v="95"/>
    <d v="2018-09-25T00:00:00"/>
    <x v="4"/>
    <x v="4"/>
    <x v="0"/>
    <s v="CAJA"/>
    <s v="PAGO NOMINA QUINCENA 2 SEPTIEMBRE 2018"/>
    <s v="TRANSACCIONES DEL DIA 09/25/2018 RECURSOS HUMANOS"/>
    <n v="64.41"/>
    <n v="0"/>
    <s v="BOULEVARD EL DORADO"/>
    <x v="0"/>
  </r>
  <r>
    <n v="95"/>
    <d v="2018-10-10T00:00:00"/>
    <x v="0"/>
    <x v="0"/>
    <x v="0"/>
    <s v="CAJA"/>
    <s v="PAGO NOMINA QUINCENA 1 OCTUBRE 2018"/>
    <s v="TRANSACCIONES DEL DIA 10/10/2018 RECURSOS HUMANOS"/>
    <n v="157.83000000000001"/>
    <n v="0"/>
    <s v="BOULEVARD EL DORADO"/>
    <x v="0"/>
  </r>
  <r>
    <n v="95"/>
    <d v="2018-10-25T00:00:00"/>
    <x v="0"/>
    <x v="0"/>
    <x v="0"/>
    <s v="CAJA"/>
    <s v="PAGO NOMINA QUINCENA 2 OCTUBRE 2018"/>
    <s v="TRANSACCIONES DEL DIA 10/25/2018 RECURSOS HUMANOS"/>
    <n v="118.76"/>
    <n v="0"/>
    <s v="BOULEVARD EL DORADO"/>
    <x v="0"/>
  </r>
  <r>
    <n v="95"/>
    <d v="2018-11-09T00:00:00"/>
    <x v="5"/>
    <x v="5"/>
    <x v="0"/>
    <s v="CAJA"/>
    <s v="PAGO NOMINA QUINCENA 1 NOVIEMBRE 2018"/>
    <s v="TRANSACCIONES DEL DIA 11/09/2018 RECURSOS HUMANOS"/>
    <n v="152.76"/>
    <n v="0"/>
    <s v="BOULEVARD EL DORADO"/>
    <x v="0"/>
  </r>
  <r>
    <n v="95"/>
    <d v="2018-11-24T00:00:00"/>
    <x v="5"/>
    <x v="5"/>
    <x v="0"/>
    <s v="CAJA"/>
    <s v="PAGO NOMINA QUINCENA 2 NOVIEMBRE 2018"/>
    <s v="TRANSACCIONES DEL DIA 11/24/2018 RECURSOS HUMANOS"/>
    <n v="406.42"/>
    <n v="0"/>
    <s v="BOULEVARD EL DORADO"/>
    <x v="0"/>
  </r>
  <r>
    <n v="95"/>
    <d v="2018-12-10T00:00:00"/>
    <x v="1"/>
    <x v="1"/>
    <x v="0"/>
    <s v="CAJA"/>
    <s v="PAGO NOMINA QUINCENA 1 DICIEMBRE 2018"/>
    <s v="TRANSACCIONES DEL DIA 12/10/2018 RECURSOS HUMANOS"/>
    <n v="26.02"/>
    <n v="0"/>
    <s v="BOULEVARD EL DORADO"/>
    <x v="0"/>
  </r>
  <r>
    <n v="95"/>
    <d v="2018-12-19T00:00:00"/>
    <x v="1"/>
    <x v="1"/>
    <x v="0"/>
    <s v="CAJA"/>
    <s v="PAGO NOMINA QUINCENA 2 DICIEMBRE 2018"/>
    <s v="TRANSACCIONES DEL DIA 12/19/2018 RECURSOS HUMANOS"/>
    <n v="268.98"/>
    <n v="0"/>
    <s v="BOULEVARD EL DORADO"/>
    <x v="0"/>
  </r>
  <r>
    <n v="95"/>
    <d v="2018-12-31T00:00:00"/>
    <x v="1"/>
    <x v="1"/>
    <x v="0"/>
    <s v="CAJA"/>
    <s v="CIERRE DE ANIO FISCAL"/>
    <s v="CIERRE_DE_CTAS_NOMINALES"/>
    <n v="0"/>
    <n v="3668.11"/>
    <s v="BOULEVARD EL DORADO"/>
    <x v="0"/>
  </r>
  <r>
    <n v="95"/>
    <d v="2018-06-09T00:00:00"/>
    <x v="2"/>
    <x v="2"/>
    <x v="0"/>
    <s v="SERVICIOS PERSONALES"/>
    <s v="PAGO NOMINA QUINCENA 1 JUNIO 2018"/>
    <s v="TRANSACCIONES DEL DIA 06/09/2018 RECURSOS HUMANOS"/>
    <n v="21.26"/>
    <n v="0"/>
    <s v="BOULEVARD EL DORADO"/>
    <x v="0"/>
  </r>
  <r>
    <n v="95"/>
    <d v="2018-06-25T00:00:00"/>
    <x v="2"/>
    <x v="2"/>
    <x v="0"/>
    <s v="SERVICIOS PERSONALES"/>
    <s v="PAGO NOMINA QUINCENA 2 JUNIO 2018"/>
    <s v="TRANSACCIONES DEL DIA 06/25/2018 RECURSOS HUMANOS"/>
    <n v="13.04"/>
    <n v="0"/>
    <s v="BOULEVARD EL DORADO"/>
    <x v="0"/>
  </r>
  <r>
    <n v="95"/>
    <d v="2018-08-10T00:00:00"/>
    <x v="3"/>
    <x v="3"/>
    <x v="0"/>
    <s v="SERVICIOS PERSONALES"/>
    <s v="PAGO NOMINA QUINCENA 1 AGOSTO 2018"/>
    <s v="TRANSACCIONES DEL DIA 08/10/2018 RECURSOS HUMANOS"/>
    <n v="30.27"/>
    <n v="0"/>
    <s v="BOULEVARD EL DORADO"/>
    <x v="0"/>
  </r>
  <r>
    <n v="95"/>
    <d v="2018-08-25T00:00:00"/>
    <x v="3"/>
    <x v="3"/>
    <x v="0"/>
    <s v="SERVICIOS PERSONALES"/>
    <s v="PAGO NOMINA QUINCENA 2 AGOSTO 2018"/>
    <s v="TRANSACCIONES DEL DIA 08/25/2018 RECURSOS HUMANOS"/>
    <n v="29.35"/>
    <n v="0"/>
    <s v="BOULEVARD EL DORADO"/>
    <x v="0"/>
  </r>
  <r>
    <n v="95"/>
    <d v="2018-10-10T00:00:00"/>
    <x v="0"/>
    <x v="0"/>
    <x v="0"/>
    <s v="SERVICIOS PERSONALES"/>
    <s v="PAGO NOMINA QUINCENA 1 OCTUBRE 2018"/>
    <s v="TRANSACCIONES DEL DIA 10/10/2018 RECURSOS HUMANOS"/>
    <n v="24.92"/>
    <n v="0"/>
    <s v="BOULEVARD EL DORADO"/>
    <x v="0"/>
  </r>
  <r>
    <n v="95"/>
    <d v="2018-10-25T00:00:00"/>
    <x v="0"/>
    <x v="0"/>
    <x v="0"/>
    <s v="SERVICIOS PERSONALES"/>
    <s v="PAGO NOMINA QUINCENA 2 OCTUBRE 2018"/>
    <s v="TRANSACCIONES DEL DIA 10/25/2018 RECURSOS HUMANOS"/>
    <n v="30.67"/>
    <n v="0"/>
    <s v="BOULEVARD EL DORADO"/>
    <x v="0"/>
  </r>
  <r>
    <n v="95"/>
    <d v="2018-11-09T00:00:00"/>
    <x v="5"/>
    <x v="5"/>
    <x v="0"/>
    <s v="SERVICIOS PERSONALES"/>
    <s v="PAGO NOMINA QUINCENA 1 NOVIEMBRE 2018"/>
    <s v="TRANSACCIONES DEL DIA 11/09/2018 RECURSOS HUMANOS"/>
    <n v="25.59"/>
    <n v="0"/>
    <s v="BOULEVARD EL DORADO"/>
    <x v="0"/>
  </r>
  <r>
    <n v="95"/>
    <d v="2018-11-24T00:00:00"/>
    <x v="5"/>
    <x v="5"/>
    <x v="0"/>
    <s v="SERVICIOS PERSONALES"/>
    <s v="PAGO NOMINA QUINCENA 2 NOVIEMBRE 2018"/>
    <s v="TRANSACCIONES DEL DIA 11/24/2018 RECURSOS HUMANOS"/>
    <n v="77.98"/>
    <n v="0"/>
    <s v="BOULEVARD EL DORADO"/>
    <x v="0"/>
  </r>
  <r>
    <n v="95"/>
    <d v="2018-12-31T00:00:00"/>
    <x v="1"/>
    <x v="1"/>
    <x v="0"/>
    <s v="SERVICIOS PERSONALES"/>
    <s v="CIERRE DE ANIO FISCAL"/>
    <s v="CIERRE_DE_CTAS_NOMINALES"/>
    <n v="0"/>
    <n v="313.83"/>
    <s v="BOULEVARD EL DORADO"/>
    <x v="0"/>
  </r>
  <r>
    <n v="97"/>
    <d v="2018-07-25T00:00:00"/>
    <x v="6"/>
    <x v="6"/>
    <x v="0"/>
    <s v="ADMINISTRACION DE SUCURSALES"/>
    <s v="PAGO NOMINA QUINCENA 2 JULIO 2018"/>
    <s v="TRANSACCIONES DEL DIA 07/25/2018 RECURSOS HUMANOS"/>
    <n v="25.94"/>
    <n v="0"/>
    <s v="SAN SEBASTIAN"/>
    <x v="0"/>
  </r>
  <r>
    <n v="97"/>
    <d v="2018-12-31T00:00:00"/>
    <x v="1"/>
    <x v="1"/>
    <x v="0"/>
    <s v="ADMINISTRACION DE SUCURSALES"/>
    <s v="CIERRE DE ANIO FISCAL"/>
    <s v="CIERRE_DE_CTAS_NOMINALES"/>
    <n v="0"/>
    <n v="25.94"/>
    <s v="SAN SEBASTIAN"/>
    <x v="0"/>
  </r>
  <r>
    <n v="97"/>
    <d v="2018-06-09T00:00:00"/>
    <x v="2"/>
    <x v="2"/>
    <x v="0"/>
    <s v="CAJA"/>
    <s v="PAGO NOMINA QUINCENA 1 JUNIO 2018"/>
    <s v="TRANSACCIONES DEL DIA 06/09/2018 RECURSOS HUMANOS"/>
    <n v="426.16"/>
    <n v="0"/>
    <s v="SAN SEBASTIAN"/>
    <x v="0"/>
  </r>
  <r>
    <n v="97"/>
    <d v="2018-06-25T00:00:00"/>
    <x v="2"/>
    <x v="2"/>
    <x v="0"/>
    <s v="CAJA"/>
    <s v="PAGO NOMINA QUINCENA 2 JUNIO 2018"/>
    <s v="TRANSACCIONES DEL DIA 06/25/2018 RECURSOS HUMANOS"/>
    <n v="422.74"/>
    <n v="0"/>
    <s v="SAN SEBASTIAN"/>
    <x v="0"/>
  </r>
  <r>
    <n v="97"/>
    <d v="2018-07-10T00:00:00"/>
    <x v="6"/>
    <x v="6"/>
    <x v="0"/>
    <s v="CAJA"/>
    <s v="PAGO NOMINA QUINCENA 1 JULIO 2018"/>
    <s v="TRANSACCIONES DEL DIA 07/10/2018 RECURSOS HUMANOS"/>
    <n v="413.49"/>
    <n v="0"/>
    <s v="SAN SEBASTIAN"/>
    <x v="0"/>
  </r>
  <r>
    <n v="97"/>
    <d v="2018-07-25T00:00:00"/>
    <x v="6"/>
    <x v="6"/>
    <x v="0"/>
    <s v="CAJA"/>
    <s v="PAGO NOMINA QUINCENA 2 JULIO 2018"/>
    <s v="TRANSACCIONES DEL DIA 07/25/2018 RECURSOS HUMANOS"/>
    <n v="578.76"/>
    <n v="0"/>
    <s v="SAN SEBASTIAN"/>
    <x v="0"/>
  </r>
  <r>
    <n v="97"/>
    <d v="2018-08-10T00:00:00"/>
    <x v="3"/>
    <x v="3"/>
    <x v="0"/>
    <s v="CAJA"/>
    <s v="PAGO NOMINA QUINCENA 1 AGOSTO 2018"/>
    <s v="TRANSACCIONES DEL DIA 08/10/2018 RECURSOS HUMANOS"/>
    <n v="503.99"/>
    <n v="0"/>
    <s v="SAN SEBASTIAN"/>
    <x v="0"/>
  </r>
  <r>
    <n v="97"/>
    <d v="2018-08-25T00:00:00"/>
    <x v="3"/>
    <x v="3"/>
    <x v="0"/>
    <s v="CAJA"/>
    <s v="PAGO NOMINA QUINCENA 2 AGOSTO 2018"/>
    <s v="TRANSACCIONES DEL DIA 08/25/2018 RECURSOS HUMANOS"/>
    <n v="661.6"/>
    <n v="0"/>
    <s v="SAN SEBASTIAN"/>
    <x v="0"/>
  </r>
  <r>
    <n v="97"/>
    <d v="2018-09-10T00:00:00"/>
    <x v="4"/>
    <x v="4"/>
    <x v="0"/>
    <s v="CAJA"/>
    <s v="PAGO NOMINA QUINCENA 1 SEPTIEMBRE 2018"/>
    <s v="TRANSACCIONES DEL DIA 09/10/2018 RECURSOS HUMANOS"/>
    <n v="602.92999999999995"/>
    <n v="0"/>
    <s v="SAN SEBASTIAN"/>
    <x v="0"/>
  </r>
  <r>
    <n v="97"/>
    <d v="2018-09-25T00:00:00"/>
    <x v="4"/>
    <x v="4"/>
    <x v="0"/>
    <s v="CAJA"/>
    <s v="PAGO NOMINA QUINCENA 2 SEPTIEMBRE 2018"/>
    <s v="TRANSACCIONES DEL DIA 09/25/2018 RECURSOS HUMANOS"/>
    <n v="566.08000000000004"/>
    <n v="0"/>
    <s v="SAN SEBASTIAN"/>
    <x v="0"/>
  </r>
  <r>
    <n v="97"/>
    <d v="2018-10-10T00:00:00"/>
    <x v="0"/>
    <x v="0"/>
    <x v="0"/>
    <s v="CAJA"/>
    <s v="PAGO NOMINA QUINCENA 1 OCTUBRE 2018"/>
    <s v="TRANSACCIONES DEL DIA 10/10/2018 RECURSOS HUMANOS"/>
    <n v="609.58000000000004"/>
    <n v="0"/>
    <s v="SAN SEBASTIAN"/>
    <x v="0"/>
  </r>
  <r>
    <n v="97"/>
    <d v="2018-10-25T00:00:00"/>
    <x v="0"/>
    <x v="0"/>
    <x v="0"/>
    <s v="CAJA"/>
    <s v="PAGO NOMINA QUINCENA 2 OCTUBRE 2018"/>
    <s v="TRANSACCIONES DEL DIA 10/25/2018 RECURSOS HUMANOS"/>
    <n v="422.93"/>
    <n v="0"/>
    <s v="SAN SEBASTIAN"/>
    <x v="0"/>
  </r>
  <r>
    <n v="97"/>
    <d v="2018-11-09T00:00:00"/>
    <x v="5"/>
    <x v="5"/>
    <x v="0"/>
    <s v="CAJA"/>
    <s v="PAGO NOMINA QUINCENA 1 NOVIEMBRE 2018"/>
    <s v="TRANSACCIONES DEL DIA 11/09/2018 RECURSOS HUMANOS"/>
    <n v="590.33000000000004"/>
    <n v="0"/>
    <s v="SAN SEBASTIAN"/>
    <x v="0"/>
  </r>
  <r>
    <n v="97"/>
    <d v="2018-11-24T00:00:00"/>
    <x v="5"/>
    <x v="5"/>
    <x v="0"/>
    <s v="CAJA"/>
    <s v="PAGO NOMINA QUINCENA 2 NOVIEMBRE 2018"/>
    <s v="TRANSACCIONES DEL DIA 11/24/2018 RECURSOS HUMANOS"/>
    <n v="745.07"/>
    <n v="0"/>
    <s v="SAN SEBASTIAN"/>
    <x v="0"/>
  </r>
  <r>
    <n v="97"/>
    <d v="2018-12-10T00:00:00"/>
    <x v="1"/>
    <x v="1"/>
    <x v="0"/>
    <s v="CAJA"/>
    <s v="PAGO NOMINA QUINCENA 1 DICIEMBRE 2018"/>
    <s v="TRANSACCIONES DEL DIA 12/10/2018 RECURSOS HUMANOS"/>
    <n v="628.98"/>
    <n v="0"/>
    <s v="SAN SEBASTIAN"/>
    <x v="0"/>
  </r>
  <r>
    <n v="97"/>
    <d v="2018-12-19T00:00:00"/>
    <x v="1"/>
    <x v="1"/>
    <x v="0"/>
    <s v="CAJA"/>
    <s v="PAGO NOMINA QUINCENA 2 DICIEMBRE 2018"/>
    <s v="TRANSACCIONES DEL DIA 12/19/2018 RECURSOS HUMANOS"/>
    <n v="498.38"/>
    <n v="0"/>
    <s v="SAN SEBASTIAN"/>
    <x v="0"/>
  </r>
  <r>
    <n v="97"/>
    <d v="2018-12-31T00:00:00"/>
    <x v="1"/>
    <x v="1"/>
    <x v="0"/>
    <s v="CAJA"/>
    <s v="CIERRE DE ANIO FISCAL"/>
    <s v="CIERRE_DE_CTAS_NOMINALES"/>
    <n v="0"/>
    <n v="12275.05"/>
    <s v="SAN SEBASTIAN"/>
    <x v="0"/>
  </r>
  <r>
    <n v="97"/>
    <d v="2018-07-10T00:00:00"/>
    <x v="6"/>
    <x v="6"/>
    <x v="0"/>
    <s v="SERVICIOS PERSONALES"/>
    <s v="PAGO NOMINA QUINCENA 1 JULIO 2018"/>
    <s v="TRANSACCIONES DEL DIA 07/10/2018 RECURSOS HUMANOS"/>
    <n v="112.18"/>
    <n v="0"/>
    <s v="SAN SEBASTIAN"/>
    <x v="0"/>
  </r>
  <r>
    <n v="97"/>
    <d v="2018-07-25T00:00:00"/>
    <x v="6"/>
    <x v="6"/>
    <x v="0"/>
    <s v="SERVICIOS PERSONALES"/>
    <s v="PAGO NOMINA QUINCENA 2 JULIO 2018"/>
    <s v="TRANSACCIONES DEL DIA 07/25/2018 RECURSOS HUMANOS"/>
    <n v="92"/>
    <n v="0"/>
    <s v="SAN SEBASTIAN"/>
    <x v="0"/>
  </r>
  <r>
    <n v="97"/>
    <d v="2018-08-10T00:00:00"/>
    <x v="3"/>
    <x v="3"/>
    <x v="0"/>
    <s v="SERVICIOS PERSONALES"/>
    <s v="PAGO NOMINA QUINCENA 1 AGOSTO 2018"/>
    <s v="TRANSACCIONES DEL DIA 08/10/2018 RECURSOS HUMANOS"/>
    <n v="49.79"/>
    <n v="0"/>
    <s v="SAN SEBASTIAN"/>
    <x v="0"/>
  </r>
  <r>
    <n v="97"/>
    <d v="2018-08-25T00:00:00"/>
    <x v="3"/>
    <x v="3"/>
    <x v="0"/>
    <s v="SERVICIOS PERSONALES"/>
    <s v="PAGO NOMINA QUINCENA 2 AGOSTO 2018"/>
    <s v="TRANSACCIONES DEL DIA 08/25/2018 RECURSOS HUMANOS"/>
    <n v="15.39"/>
    <n v="0"/>
    <s v="SAN SEBASTIAN"/>
    <x v="0"/>
  </r>
  <r>
    <n v="97"/>
    <d v="2018-09-10T00:00:00"/>
    <x v="4"/>
    <x v="4"/>
    <x v="0"/>
    <s v="SERVICIOS PERSONALES"/>
    <s v="PAGO NOMINA QUINCENA 1 SEPTIEMBRE 2018"/>
    <s v="TRANSACCIONES DEL DIA 09/10/2018 RECURSOS HUMANOS"/>
    <n v="29.04"/>
    <n v="0"/>
    <s v="SAN SEBASTIAN"/>
    <x v="0"/>
  </r>
  <r>
    <n v="97"/>
    <d v="2018-09-25T00:00:00"/>
    <x v="4"/>
    <x v="4"/>
    <x v="0"/>
    <s v="SERVICIOS PERSONALES"/>
    <s v="PAGO NOMINA QUINCENA 2 SEPTIEMBRE 2018"/>
    <s v="TRANSACCIONES DEL DIA 09/25/2018 RECURSOS HUMANOS"/>
    <n v="44.56"/>
    <n v="0"/>
    <s v="SAN SEBASTIAN"/>
    <x v="0"/>
  </r>
  <r>
    <n v="97"/>
    <d v="2018-11-09T00:00:00"/>
    <x v="5"/>
    <x v="5"/>
    <x v="0"/>
    <s v="SERVICIOS PERSONALES"/>
    <s v="PAGO NOMINA QUINCENA 1 NOVIEMBRE 2018"/>
    <s v="TRANSACCIONES DEL DIA 11/09/2018 RECURSOS HUMANOS"/>
    <n v="29.17"/>
    <n v="0"/>
    <s v="SAN SEBASTIAN"/>
    <x v="0"/>
  </r>
  <r>
    <n v="97"/>
    <d v="2018-11-24T00:00:00"/>
    <x v="5"/>
    <x v="5"/>
    <x v="0"/>
    <s v="SERVICIOS PERSONALES"/>
    <s v="PAGO NOMINA QUINCENA 2 NOVIEMBRE 2018"/>
    <s v="TRANSACCIONES DEL DIA 11/24/2018 RECURSOS HUMANOS"/>
    <n v="87.19"/>
    <n v="0"/>
    <s v="SAN SEBASTIAN"/>
    <x v="0"/>
  </r>
  <r>
    <n v="97"/>
    <d v="2018-12-19T00:00:00"/>
    <x v="1"/>
    <x v="1"/>
    <x v="0"/>
    <s v="SERVICIOS PERSONALES"/>
    <s v="PAGO NOMINA QUINCENA 2 DICIEMBRE 2018"/>
    <s v="TRANSACCIONES DEL DIA 12/19/2018 RECURSOS HUMANOS"/>
    <n v="41.82"/>
    <n v="0"/>
    <s v="SAN SEBASTIAN"/>
    <x v="0"/>
  </r>
  <r>
    <n v="97"/>
    <d v="2018-12-31T00:00:00"/>
    <x v="1"/>
    <x v="1"/>
    <x v="0"/>
    <s v="SERVICIOS PERSONALES"/>
    <s v="CIERRE DE ANIO FISCAL"/>
    <s v="CIERRE_DE_CTAS_NOMINALES"/>
    <n v="0"/>
    <n v="716.46"/>
    <s v="SAN SEBASTIAN"/>
    <x v="0"/>
  </r>
  <r>
    <n v="98"/>
    <d v="2018-09-25T00:00:00"/>
    <x v="4"/>
    <x v="4"/>
    <x v="0"/>
    <s v="CAJA"/>
    <s v="PAGO NOMINA QUINCENA 2 SEPTIEMBRE 2018"/>
    <s v="TRANSACCIONES DEL DIA 09/25/2018 RECURSOS HUMANOS"/>
    <n v="14.52"/>
    <n v="0"/>
    <s v="SANTIAGO INTERAMERICANA"/>
    <x v="0"/>
  </r>
  <r>
    <n v="98"/>
    <d v="2018-10-10T00:00:00"/>
    <x v="0"/>
    <x v="0"/>
    <x v="0"/>
    <s v="CAJA"/>
    <s v="PAGO NOMINA QUINCENA 1 OCTUBRE 2018"/>
    <s v="TRANSACCIONES DEL DIA 10/10/2018 RECURSOS HUMANOS"/>
    <n v="8.0500000000000007"/>
    <n v="0"/>
    <s v="SANTIAGO INTERAMERICANA"/>
    <x v="0"/>
  </r>
  <r>
    <n v="98"/>
    <d v="2018-12-31T00:00:00"/>
    <x v="1"/>
    <x v="1"/>
    <x v="0"/>
    <s v="CAJA"/>
    <s v="CIERRE DE ANIO FISCAL"/>
    <s v="CIERRE_DE_CTAS_NOMINALES"/>
    <n v="0"/>
    <n v="22.57"/>
    <s v="SANTIAGO INTERAMERICANA"/>
    <x v="0"/>
  </r>
  <r>
    <n v="99"/>
    <d v="2018-10-10T00:00:00"/>
    <x v="0"/>
    <x v="0"/>
    <x v="0"/>
    <s v="CAJA"/>
    <s v="PAGO NOMINA QUINCENA 1 OCTUBRE 2018"/>
    <s v="TRANSACCIONES DEL DIA 10/10/2018 RECURSOS HUMANOS"/>
    <n v="25.11"/>
    <n v="0"/>
    <s v="CIUDAD DEL SABER"/>
    <x v="0"/>
  </r>
  <r>
    <n v="99"/>
    <d v="2018-12-31T00:00:00"/>
    <x v="1"/>
    <x v="1"/>
    <x v="0"/>
    <s v="CAJA"/>
    <s v="CIERRE DE ANIO FISCAL"/>
    <s v="CIERRE_DE_CTAS_NOMINALES"/>
    <n v="0"/>
    <n v="25.11"/>
    <s v="CIUDAD DEL SABER"/>
    <x v="0"/>
  </r>
  <r>
    <n v="101"/>
    <d v="2018-08-10T00:00:00"/>
    <x v="3"/>
    <x v="3"/>
    <x v="0"/>
    <s v="CAJA"/>
    <s v="PAGO NOMINA QUINCENA 1 AGOSTO 2018"/>
    <s v="TRANSACCIONES DEL DIA 08/10/2018 RECURSOS HUMANOS"/>
    <n v="37.19"/>
    <n v="0"/>
    <s v="VILLA ZAITA"/>
    <x v="0"/>
  </r>
  <r>
    <n v="101"/>
    <d v="2018-08-25T00:00:00"/>
    <x v="3"/>
    <x v="3"/>
    <x v="0"/>
    <s v="CAJA"/>
    <s v="PAGO NOMINA QUINCENA 2 AGOSTO 2018"/>
    <s v="TRANSACCIONES DEL DIA 08/25/2018 RECURSOS HUMANOS"/>
    <n v="12.65"/>
    <n v="0"/>
    <s v="VILLA ZAITA"/>
    <x v="0"/>
  </r>
  <r>
    <n v="101"/>
    <d v="2018-12-31T00:00:00"/>
    <x v="1"/>
    <x v="1"/>
    <x v="0"/>
    <s v="CAJA"/>
    <s v="CIERRE DE ANIO FISCAL"/>
    <s v="CIERRE_DE_CTAS_NOMINALES"/>
    <n v="0"/>
    <n v="417.98"/>
    <s v="VILLA ZAITA"/>
    <x v="0"/>
  </r>
  <r>
    <n v="101"/>
    <d v="2018-06-25T00:00:00"/>
    <x v="2"/>
    <x v="2"/>
    <x v="0"/>
    <s v="SERVICIOS PERSONALES"/>
    <s v="PAGO NOMINA QUINCENA 2 JUNIO 2018"/>
    <s v="TRANSACCIONES DEL DIA 06/25/2018 RECURSOS HUMANOS"/>
    <n v="51.51"/>
    <n v="0"/>
    <s v="VILLA ZAITA"/>
    <x v="0"/>
  </r>
  <r>
    <n v="101"/>
    <d v="2018-07-10T00:00:00"/>
    <x v="6"/>
    <x v="6"/>
    <x v="0"/>
    <s v="SERVICIOS PERSONALES"/>
    <s v="PAGO NOMINA QUINCENA 1 JULIO 2018"/>
    <s v="TRANSACCIONES DEL DIA 07/10/2018 RECURSOS HUMANOS"/>
    <n v="190.33"/>
    <n v="0"/>
    <s v="VILLA ZAITA"/>
    <x v="0"/>
  </r>
  <r>
    <n v="101"/>
    <d v="2018-07-25T00:00:00"/>
    <x v="6"/>
    <x v="6"/>
    <x v="0"/>
    <s v="SERVICIOS PERSONALES"/>
    <s v="PAGO NOMINA QUINCENA 2 JULIO 2018"/>
    <s v="TRANSACCIONES DEL DIA 07/25/2018 RECURSOS HUMANOS"/>
    <n v="26.11"/>
    <n v="0"/>
    <s v="VILLA ZAITA"/>
    <x v="0"/>
  </r>
  <r>
    <n v="101"/>
    <d v="2018-12-31T00:00:00"/>
    <x v="1"/>
    <x v="1"/>
    <x v="0"/>
    <s v="SERVICIOS PERSONALES"/>
    <s v="CIERRE DE ANIO FISCAL"/>
    <s v="CIERRE_DE_CTAS_NOMINALES"/>
    <n v="0"/>
    <n v="300.58999999999997"/>
    <s v="VILLA ZAITA"/>
    <x v="0"/>
  </r>
  <r>
    <n v="102"/>
    <d v="2018-09-25T00:00:00"/>
    <x v="4"/>
    <x v="4"/>
    <x v="0"/>
    <s v="CAJA"/>
    <s v="PAGO NOMINA QUINCENA 2 SEPTIEMBRE 2018"/>
    <s v="TRANSACCIONES DEL DIA 09/25/2018 RECURSOS HUMANOS"/>
    <n v="16.46"/>
    <n v="0"/>
    <s v="AZUERO TERMINAL PLAZA"/>
    <x v="0"/>
  </r>
  <r>
    <n v="102"/>
    <d v="2018-11-09T00:00:00"/>
    <x v="5"/>
    <x v="5"/>
    <x v="0"/>
    <s v="CAJA"/>
    <s v="PAGO NOMINA QUINCENA 1 NOVIEMBRE 2018"/>
    <s v="TRANSACCIONES DEL DIA 11/09/2018 RECURSOS HUMANOS"/>
    <n v="34.29"/>
    <n v="0"/>
    <s v="AZUERO TERMINAL PLAZA"/>
    <x v="0"/>
  </r>
  <r>
    <n v="102"/>
    <d v="2018-12-31T00:00:00"/>
    <x v="1"/>
    <x v="1"/>
    <x v="0"/>
    <s v="CAJA"/>
    <s v="CIERRE DE ANIO FISCAL"/>
    <s v="CIERRE_DE_CTAS_NOMINALES"/>
    <n v="0"/>
    <n v="107.12"/>
    <s v="AZUERO TERMINAL PLAZA"/>
    <x v="0"/>
  </r>
  <r>
    <n v="103"/>
    <d v="2018-07-10T00:00:00"/>
    <x v="6"/>
    <x v="6"/>
    <x v="0"/>
    <s v="ADMINISTRACION DE SUCURSALES"/>
    <s v="PAGO NOMINA QUINCENA 1 JULIO 2018"/>
    <s v="TRANSACCIONES DEL DIA 07/10/2018 RECURSOS HUMANOS"/>
    <n v="10.94"/>
    <n v="0"/>
    <s v="TOWN CENTER COSTA DEL ESTE"/>
    <x v="0"/>
  </r>
  <r>
    <n v="103"/>
    <d v="2018-12-31T00:00:00"/>
    <x v="1"/>
    <x v="1"/>
    <x v="0"/>
    <s v="ADMINISTRACION DE SUCURSALES"/>
    <s v="CIERRE DE ANIO FISCAL"/>
    <s v="CIERRE_DE_CTAS_NOMINALES"/>
    <n v="0"/>
    <n v="22.22"/>
    <s v="TOWN CENTER COSTA DEL ESTE"/>
    <x v="0"/>
  </r>
  <r>
    <n v="103"/>
    <d v="2018-07-10T00:00:00"/>
    <x v="6"/>
    <x v="6"/>
    <x v="0"/>
    <s v="CAJA"/>
    <s v="PAGO NOMINA QUINCENA 1 JULIO 2018"/>
    <s v="TRANSACCIONES DEL DIA 07/10/2018 RECURSOS HUMANOS"/>
    <n v="16.670000000000002"/>
    <n v="0"/>
    <s v="TOWN CENTER COSTA DEL ESTE"/>
    <x v="0"/>
  </r>
  <r>
    <n v="103"/>
    <d v="2018-11-24T00:00:00"/>
    <x v="5"/>
    <x v="5"/>
    <x v="0"/>
    <s v="CAJA"/>
    <s v="PAGO NOMINA QUINCENA 2 NOVIEMBRE 2018"/>
    <s v="TRANSACCIONES DEL DIA 11/24/2018 RECURSOS HUMANOS"/>
    <n v="266.67"/>
    <n v="0"/>
    <s v="TOWN CENTER COSTA DEL ESTE"/>
    <x v="0"/>
  </r>
  <r>
    <n v="103"/>
    <d v="2018-12-31T00:00:00"/>
    <x v="1"/>
    <x v="1"/>
    <x v="0"/>
    <s v="CAJA"/>
    <s v="CIERRE DE ANIO FISCAL"/>
    <s v="CIERRE_DE_CTAS_NOMINALES"/>
    <n v="0"/>
    <n v="411.44"/>
    <s v="TOWN CENTER COSTA DEL ESTE"/>
    <x v="0"/>
  </r>
  <r>
    <n v="103"/>
    <d v="2018-07-10T00:00:00"/>
    <x v="6"/>
    <x v="6"/>
    <x v="0"/>
    <s v="SERVICIOS PERSONALES"/>
    <s v="PAGO NOMINA QUINCENA 1 JULIO 2018"/>
    <s v="TRANSACCIONES DEL DIA 07/10/2018 RECURSOS HUMANOS"/>
    <n v="7.36"/>
    <n v="0"/>
    <s v="TOWN CENTER COSTA DEL ESTE"/>
    <x v="0"/>
  </r>
  <r>
    <n v="103"/>
    <d v="2018-12-31T00:00:00"/>
    <x v="1"/>
    <x v="1"/>
    <x v="0"/>
    <s v="SERVICIOS PERSONALES"/>
    <s v="CIERRE DE ANIO FISCAL"/>
    <s v="CIERRE_DE_CTAS_NOMINALES"/>
    <n v="0"/>
    <n v="15.11"/>
    <s v="TOWN CENTER COSTA DEL ESTE"/>
    <x v="0"/>
  </r>
  <r>
    <n v="125"/>
    <d v="2018-09-25T00:00:00"/>
    <x v="4"/>
    <x v="4"/>
    <x v="0"/>
    <s v="CAJA"/>
    <s v="PAGO NOMINA QUINCENA 2 SEPTIEMBRE 2018"/>
    <s v="TRANSACCIONES DEL DIA 09/25/2018 RECURSOS HUMANOS"/>
    <n v="50.21"/>
    <n v="0"/>
    <s v="COSTA VERDE"/>
    <x v="0"/>
  </r>
  <r>
    <n v="125"/>
    <d v="2018-12-31T00:00:00"/>
    <x v="1"/>
    <x v="1"/>
    <x v="0"/>
    <s v="CAJA"/>
    <s v="CIERRE DE ANIO FISCAL"/>
    <s v="CIERRE_DE_CTAS_NOMINALES"/>
    <n v="0"/>
    <n v="286.37"/>
    <s v="COSTA VERDE"/>
    <x v="0"/>
  </r>
  <r>
    <n v="125"/>
    <d v="2018-12-31T00:00:00"/>
    <x v="1"/>
    <x v="1"/>
    <x v="0"/>
    <s v="SERVICIOS PERSONALES"/>
    <s v="CIERRE DE ANIO FISCAL"/>
    <s v="CIERRE_DE_CTAS_NOMINALES"/>
    <n v="0"/>
    <n v="44.69"/>
    <s v="COSTA VERDE"/>
    <x v="0"/>
  </r>
  <r>
    <n v="131"/>
    <d v="2018-12-31T00:00:00"/>
    <x v="1"/>
    <x v="1"/>
    <x v="0"/>
    <s v="CAJA"/>
    <s v="CIERRE DE ANIO FISCAL"/>
    <s v="CIERRE_DE_CTAS_NOMINALES"/>
    <n v="0"/>
    <n v="13.41"/>
    <s v="PLAZA LOS ANGELES"/>
    <x v="0"/>
  </r>
  <r>
    <n v="157"/>
    <d v="2018-12-31T00:00:00"/>
    <x v="1"/>
    <x v="1"/>
    <x v="0"/>
    <s v="ADMINISTRACION DE SUCURSALES"/>
    <s v="CIERRE DE ANIO FISCAL"/>
    <s v="CIERRE_DE_CTAS_NOMINALES"/>
    <n v="0"/>
    <n v="282.49"/>
    <s v="SAN MATEO"/>
    <x v="0"/>
  </r>
  <r>
    <n v="157"/>
    <d v="2018-09-10T00:00:00"/>
    <x v="4"/>
    <x v="4"/>
    <x v="0"/>
    <s v="CAJA"/>
    <s v="PAGO NOMINA QUINCENA 1 SEPTIEMBRE 2018"/>
    <s v="TRANSACCIONES DEL DIA 09/10/2018 RECURSOS HUMANOS"/>
    <n v="19.489999999999998"/>
    <n v="0"/>
    <s v="SAN MATEO"/>
    <x v="0"/>
  </r>
  <r>
    <n v="157"/>
    <d v="2018-10-10T00:00:00"/>
    <x v="0"/>
    <x v="0"/>
    <x v="0"/>
    <s v="CAJA"/>
    <s v="PAGO NOMINA QUINCENA 1 OCTUBRE 2018"/>
    <s v="TRANSACCIONES DEL DIA 10/10/2018 RECURSOS HUMANOS"/>
    <n v="48.04"/>
    <n v="0"/>
    <s v="SAN MATEO"/>
    <x v="0"/>
  </r>
  <r>
    <n v="157"/>
    <d v="2018-10-25T00:00:00"/>
    <x v="0"/>
    <x v="0"/>
    <x v="0"/>
    <s v="CAJA"/>
    <s v="PAGO NOMINA QUINCENA 2 OCTUBRE 2018"/>
    <s v="TRANSACCIONES DEL DIA 10/25/2018 RECURSOS HUMANOS"/>
    <n v="69.010000000000005"/>
    <n v="0"/>
    <s v="SAN MATEO"/>
    <x v="0"/>
  </r>
  <r>
    <n v="157"/>
    <d v="2018-12-31T00:00:00"/>
    <x v="1"/>
    <x v="1"/>
    <x v="0"/>
    <s v="CAJA"/>
    <s v="CIERRE DE ANIO FISCAL"/>
    <s v="CIERRE_DE_CTAS_NOMINALES"/>
    <n v="0"/>
    <n v="136.54"/>
    <s v="SAN MATEO"/>
    <x v="0"/>
  </r>
  <r>
    <n v="162"/>
    <d v="2018-07-25T00:00:00"/>
    <x v="6"/>
    <x v="6"/>
    <x v="0"/>
    <s v="CAJA"/>
    <s v="PAGO NOMINA QUINCENA 2 JULIO 2018"/>
    <s v="TRANSACCIONES DEL DIA 07/25/2018 RECURSOS HUMANOS"/>
    <n v="39.04"/>
    <n v="0"/>
    <s v="BRISAS DEL GOLF ARRAIJAN"/>
    <x v="0"/>
  </r>
  <r>
    <n v="162"/>
    <d v="2018-08-25T00:00:00"/>
    <x v="3"/>
    <x v="3"/>
    <x v="0"/>
    <s v="CAJA"/>
    <s v="PAGO NOMINA QUINCENA 2 AGOSTO 2018"/>
    <s v="TRANSACCIONES DEL DIA 08/25/2018 RECURSOS HUMANOS"/>
    <n v="119.59"/>
    <n v="0"/>
    <s v="BRISAS DEL GOLF ARRAIJAN"/>
    <x v="0"/>
  </r>
  <r>
    <n v="162"/>
    <d v="2018-09-25T00:00:00"/>
    <x v="4"/>
    <x v="4"/>
    <x v="0"/>
    <s v="CAJA"/>
    <s v="PAGO NOMINA QUINCENA 2 SEPTIEMBRE 2018"/>
    <s v="TRANSACCIONES DEL DIA 09/25/2018 RECURSOS HUMANOS"/>
    <n v="39.68"/>
    <n v="0"/>
    <s v="BRISAS DEL GOLF ARRAIJAN"/>
    <x v="0"/>
  </r>
  <r>
    <n v="162"/>
    <d v="2018-10-25T00:00:00"/>
    <x v="0"/>
    <x v="0"/>
    <x v="0"/>
    <s v="CAJA"/>
    <s v="PAGO NOMINA QUINCENA 2 OCTUBRE 2018"/>
    <s v="TRANSACCIONES DEL DIA 10/25/2018 RECURSOS HUMANOS"/>
    <n v="39.68"/>
    <n v="0"/>
    <s v="BRISAS DEL GOLF ARRAIJAN"/>
    <x v="0"/>
  </r>
  <r>
    <n v="162"/>
    <d v="2018-11-09T00:00:00"/>
    <x v="5"/>
    <x v="5"/>
    <x v="0"/>
    <s v="CAJA"/>
    <s v="PAGO NOMINA QUINCENA 1 NOVIEMBRE 2018"/>
    <s v="TRANSACCIONES DEL DIA 11/09/2018 RECURSOS HUMANOS"/>
    <n v="179.88"/>
    <n v="0"/>
    <s v="BRISAS DEL GOLF ARRAIJAN"/>
    <x v="0"/>
  </r>
  <r>
    <n v="162"/>
    <d v="2018-12-31T00:00:00"/>
    <x v="1"/>
    <x v="1"/>
    <x v="0"/>
    <s v="CAJA"/>
    <s v="CIERRE DE ANIO FISCAL"/>
    <s v="CIERRE_DE_CTAS_NOMINALES"/>
    <n v="0"/>
    <n v="901.93"/>
    <s v="BRISAS DEL GOLF ARRAIJAN"/>
    <x v="0"/>
  </r>
  <r>
    <n v="162"/>
    <d v="2018-06-09T00:00:00"/>
    <x v="2"/>
    <x v="2"/>
    <x v="0"/>
    <s v="SERVICIOS PERSONALES"/>
    <s v="PAGO NOMINA QUINCENA 1 JUNIO 2018"/>
    <s v="TRANSACCIONES DEL DIA 06/09/2018 RECURSOS HUMANOS"/>
    <n v="75.209999999999994"/>
    <n v="0"/>
    <s v="BRISAS DEL GOLF ARRAIJAN"/>
    <x v="0"/>
  </r>
  <r>
    <n v="162"/>
    <d v="2018-08-10T00:00:00"/>
    <x v="3"/>
    <x v="3"/>
    <x v="0"/>
    <s v="SERVICIOS PERSONALES"/>
    <s v="PAGO NOMINA QUINCENA 1 AGOSTO 2018"/>
    <s v="TRANSACCIONES DEL DIA 08/10/2018 RECURSOS HUMANOS"/>
    <n v="86.35"/>
    <n v="0"/>
    <s v="BRISAS DEL GOLF ARRAIJAN"/>
    <x v="0"/>
  </r>
  <r>
    <n v="162"/>
    <d v="2018-12-31T00:00:00"/>
    <x v="1"/>
    <x v="1"/>
    <x v="0"/>
    <s v="SERVICIOS PERSONALES"/>
    <s v="CIERRE DE ANIO FISCAL"/>
    <s v="CIERRE_DE_CTAS_NOMINALES"/>
    <n v="0"/>
    <n v="241.59"/>
    <s v="BRISAS DEL GOLF ARRAIJAN"/>
    <x v="0"/>
  </r>
  <r>
    <n v="164"/>
    <d v="2018-07-10T00:00:00"/>
    <x v="6"/>
    <x v="6"/>
    <x v="0"/>
    <s v="CAJA"/>
    <s v="PAGO NOMINA QUINCENA 1 JULIO 2018"/>
    <s v="TRANSACCIONES DEL DIA 07/10/2018 RECURSOS HUMANOS"/>
    <n v="73.16"/>
    <n v="0"/>
    <s v="PASEO ARRAIJAN"/>
    <x v="0"/>
  </r>
  <r>
    <n v="164"/>
    <d v="2018-09-10T00:00:00"/>
    <x v="4"/>
    <x v="4"/>
    <x v="0"/>
    <s v="CAJA"/>
    <s v="PAGO NOMINA QUINCENA 1 SEPTIEMBRE 2018"/>
    <s v="TRANSACCIONES DEL DIA 09/10/2018 RECURSOS HUMANOS"/>
    <n v="26.47"/>
    <n v="0"/>
    <s v="PASEO ARRAIJAN"/>
    <x v="0"/>
  </r>
  <r>
    <n v="164"/>
    <d v="2018-12-31T00:00:00"/>
    <x v="1"/>
    <x v="1"/>
    <x v="0"/>
    <s v="CAJA"/>
    <s v="CIERRE DE ANIO FISCAL"/>
    <s v="CIERRE_DE_CTAS_NOMINALES"/>
    <n v="0"/>
    <n v="129.09"/>
    <s v="PASEO ARRAIJAN"/>
    <x v="0"/>
  </r>
  <r>
    <n v="164"/>
    <d v="2018-07-10T00:00:00"/>
    <x v="6"/>
    <x v="6"/>
    <x v="0"/>
    <s v="SERVICIOS PERSONALES"/>
    <s v="PAGO NOMINA QUINCENA 1 JULIO 2018"/>
    <s v="TRANSACCIONES DEL DIA 07/10/2018 RECURSOS HUMANOS"/>
    <n v="24.92"/>
    <n v="0"/>
    <s v="PASEO ARRAIJAN"/>
    <x v="0"/>
  </r>
  <r>
    <n v="164"/>
    <d v="2018-12-31T00:00:00"/>
    <x v="1"/>
    <x v="1"/>
    <x v="0"/>
    <s v="SERVICIOS PERSONALES"/>
    <s v="CIERRE DE ANIO FISCAL"/>
    <s v="CIERRE_DE_CTAS_NOMINALES"/>
    <n v="0"/>
    <n v="24.92"/>
    <s v="PASEO ARRAIJAN"/>
    <x v="0"/>
  </r>
  <r>
    <n v="165"/>
    <d v="2018-10-10T00:00:00"/>
    <x v="0"/>
    <x v="0"/>
    <x v="0"/>
    <s v="CAJA"/>
    <s v="PAGO NOMINA QUINCENA 1 OCTUBRE 2018"/>
    <s v="TRANSACCIONES DEL DIA 10/10/2018 RECURSOS HUMANOS"/>
    <n v="60.4"/>
    <n v="0"/>
    <s v="PLAZA NUEVO TOCUMEN"/>
    <x v="0"/>
  </r>
  <r>
    <n v="165"/>
    <d v="2018-12-31T00:00:00"/>
    <x v="1"/>
    <x v="1"/>
    <x v="0"/>
    <s v="CAJA"/>
    <s v="CIERRE DE ANIO FISCAL"/>
    <s v="CIERRE_DE_CTAS_NOMINALES"/>
    <n v="0"/>
    <n v="60.4"/>
    <s v="PLAZA NUEVO TOCUMEN"/>
    <x v="0"/>
  </r>
  <r>
    <n v="196"/>
    <d v="2018-07-25T00:00:00"/>
    <x v="6"/>
    <x v="6"/>
    <x v="0"/>
    <s v="ADMINISTRACION DE SUCURSALES"/>
    <s v="PAGO NOMINA QUINCENA 2 JULIO 2018"/>
    <s v="TRANSACCIONES DEL DIA 07/25/2018 RECURSOS HUMANOS"/>
    <n v="38.729999999999997"/>
    <n v="0"/>
    <s v="SANTA MARIA"/>
    <x v="0"/>
  </r>
  <r>
    <n v="196"/>
    <d v="2018-10-25T00:00:00"/>
    <x v="0"/>
    <x v="0"/>
    <x v="0"/>
    <s v="ADMINISTRACION DE SUCURSALES"/>
    <s v="PAGO NOMINA QUINCENA 2 OCTUBRE 2018"/>
    <s v="TRANSACCIONES DEL DIA 10/25/2018 RECURSOS HUMANOS"/>
    <n v="56.68"/>
    <n v="0"/>
    <s v="SANTA MARIA"/>
    <x v="0"/>
  </r>
  <r>
    <n v="196"/>
    <d v="2018-12-31T00:00:00"/>
    <x v="1"/>
    <x v="1"/>
    <x v="0"/>
    <s v="ADMINISTRACION DE SUCURSALES"/>
    <s v="CIERRE DE ANIO FISCAL"/>
    <s v="CIERRE_DE_CTAS_NOMINALES"/>
    <n v="0"/>
    <n v="95.41"/>
    <s v="SANTA MARIA"/>
    <x v="0"/>
  </r>
  <r>
    <n v="196"/>
    <d v="2018-12-31T00:00:00"/>
    <x v="1"/>
    <x v="1"/>
    <x v="0"/>
    <s v="CAJA"/>
    <s v="CIERRE DE ANIO FISCAL"/>
    <s v="CIERRE_DE_CTAS_NOMINALES"/>
    <n v="0"/>
    <n v="26.52"/>
    <s v="SANTA MARIA"/>
    <x v="0"/>
  </r>
  <r>
    <n v="196"/>
    <d v="2018-06-25T00:00:00"/>
    <x v="2"/>
    <x v="2"/>
    <x v="0"/>
    <s v="SERVICIOS PERSONALES"/>
    <s v="PAGO NOMINA QUINCENA 2 JUNIO 2018"/>
    <s v="TRANSACCIONES DEL DIA 06/25/2018 RECURSOS HUMANOS"/>
    <n v="14.18"/>
    <n v="0"/>
    <s v="SANTA MARIA"/>
    <x v="0"/>
  </r>
  <r>
    <n v="196"/>
    <d v="2018-12-31T00:00:00"/>
    <x v="1"/>
    <x v="1"/>
    <x v="0"/>
    <s v="SERVICIOS PERSONALES"/>
    <s v="CIERRE DE ANIO FISCAL"/>
    <s v="CIERRE_DE_CTAS_NOMINALES"/>
    <n v="0"/>
    <n v="14.18"/>
    <s v="SANTA MARIA"/>
    <x v="0"/>
  </r>
  <r>
    <n v="1"/>
    <d v="2018-06-14T00:00:00"/>
    <x v="2"/>
    <x v="2"/>
    <x v="0"/>
    <s v="ADMINISTRACION DE SUCURSALES"/>
    <s v="OTROS EGRESOS 18"/>
    <s v="OTROS EGRESOS 1.P.O (OR:1/DES:1 TRN:86 PERF:300086 CAU: 18"/>
    <n v="5"/>
    <n v="0"/>
    <s v="CASA MATRIZ"/>
    <x v="1"/>
  </r>
  <r>
    <n v="1"/>
    <d v="2018-06-19T00:00:00"/>
    <x v="2"/>
    <x v="2"/>
    <x v="0"/>
    <s v="ADMINISTRACION DE SUCURSALES"/>
    <s v="OTROS EGRESOS 18"/>
    <s v="OTROS EGRESOS 1.P.O (OR:1/DES:1 TRN:86 PERF:300086 CAU: 18"/>
    <n v="10"/>
    <n v="0"/>
    <s v="CASA MATRIZ"/>
    <x v="1"/>
  </r>
  <r>
    <n v="1"/>
    <d v="2018-08-02T00:00:00"/>
    <x v="3"/>
    <x v="3"/>
    <x v="0"/>
    <s v="ADMINISTRACION DE SUCURSALES"/>
    <s v="OTROS EGRESOS 18"/>
    <s v="OTROS EGRESOS 1.P.O (OR:1/DES:1 TRN:86 PERF:300086 CAU: 18"/>
    <n v="2.4"/>
    <n v="0"/>
    <s v="CASA MATRIZ"/>
    <x v="1"/>
  </r>
  <r>
    <n v="1"/>
    <d v="2018-08-13T00:00:00"/>
    <x v="3"/>
    <x v="3"/>
    <x v="0"/>
    <s v="ADMINISTRACION DE SUCURSALES"/>
    <s v="OTROS EGRESOS 18"/>
    <s v="OTROS EGRESOS 1.P.O (OR:1/DES:1 TRN:86 PERF:300086 CAU: 18"/>
    <n v="5.55"/>
    <n v="0"/>
    <s v="CASA MATRIZ"/>
    <x v="1"/>
  </r>
  <r>
    <n v="1"/>
    <d v="2018-08-27T00:00:00"/>
    <x v="3"/>
    <x v="3"/>
    <x v="0"/>
    <s v="ADMINISTRACION DE SUCURSALES"/>
    <s v="OTROS EGRESOS 18"/>
    <s v="OTROS EGRESOS 1.P.O (OR:1/DES:1 TRN:86 PERF:300086 CAU: 18"/>
    <n v="2.4"/>
    <n v="0"/>
    <s v="CASA MATRIZ"/>
    <x v="1"/>
  </r>
  <r>
    <n v="1"/>
    <d v="2018-09-12T00:00:00"/>
    <x v="4"/>
    <x v="4"/>
    <x v="0"/>
    <s v="ADMINISTRACION DE SUCURSALES"/>
    <s v="OTROS EGRESOS 18"/>
    <s v="OTROS EGRESOS 1.P.O (OR:1/DES:1 TRN:86 PERF:300086 CAU: 18"/>
    <n v="6"/>
    <n v="0"/>
    <s v="CASA MATRIZ"/>
    <x v="1"/>
  </r>
  <r>
    <n v="1"/>
    <d v="2018-09-17T00:00:00"/>
    <x v="4"/>
    <x v="4"/>
    <x v="0"/>
    <s v="ADMINISTRACION DE SUCURSALES"/>
    <s v="OTROS EGRESOS 18"/>
    <s v="OTROS EGRESOS 1.P.O (OR:1/DES:1 TRN:86 PERF:300086 CAU: 18"/>
    <n v="4"/>
    <n v="0"/>
    <s v="CASA MATRIZ"/>
    <x v="1"/>
  </r>
  <r>
    <n v="1"/>
    <d v="2018-09-24T00:00:00"/>
    <x v="4"/>
    <x v="4"/>
    <x v="0"/>
    <s v="ADMINISTRACION DE SUCURSALES"/>
    <s v="OTROS EGRESOS 18"/>
    <s v="OTROS EGRESOS 1.P.O (OR:1/DES:1 TRN:86 PERF:300086 CAU: 18"/>
    <n v="2.4"/>
    <n v="0"/>
    <s v="CASA MATRIZ"/>
    <x v="1"/>
  </r>
  <r>
    <n v="1"/>
    <d v="2018-11-01T00:00:00"/>
    <x v="5"/>
    <x v="5"/>
    <x v="0"/>
    <s v="ADMINISTRACION DE SUCURSALES"/>
    <s v="OTROS EGRESOS 18"/>
    <s v="OTROS EGRESOS 1.P.O (OR:1/DES:1 TRN:86 PERF:300086 CAU: 18"/>
    <n v="2.4"/>
    <n v="0"/>
    <s v="CASA MATRIZ"/>
    <x v="1"/>
  </r>
  <r>
    <n v="1"/>
    <d v="2018-12-20T00:00:00"/>
    <x v="1"/>
    <x v="1"/>
    <x v="0"/>
    <s v="ADMINISTRACION DE SUCURSALES"/>
    <s v="OTROS EGRESOS 18"/>
    <s v="OTROS EGRESOS 1.P.O (OR:1/DES:1 TRN:86 PERF:300086 CAU: 18"/>
    <n v="2"/>
    <n v="0"/>
    <s v="CASA MATRIZ"/>
    <x v="1"/>
  </r>
  <r>
    <n v="1"/>
    <d v="2018-12-31T00:00:00"/>
    <x v="1"/>
    <x v="1"/>
    <x v="0"/>
    <s v="ADMINISTRACION DE SUCURSALES"/>
    <s v="CIERRE DE ANIO FISCAL"/>
    <s v="CIERRE_DE_CTAS_NOMINALES"/>
    <n v="0"/>
    <n v="67"/>
    <s v="CASA MATRIZ"/>
    <x v="1"/>
  </r>
  <r>
    <n v="1"/>
    <d v="2018-12-31T00:00:00"/>
    <x v="1"/>
    <x v="1"/>
    <x v="0"/>
    <s v="SERVICIOS PERSONALES"/>
    <s v="CIERRE DE ANIO FISCAL"/>
    <s v="CIERRE_DE_CTAS_NOMINALES"/>
    <n v="0"/>
    <n v="3.15"/>
    <s v="CASA MATRIZ"/>
    <x v="1"/>
  </r>
  <r>
    <n v="2"/>
    <d v="2018-11-15T00:00:00"/>
    <x v="5"/>
    <x v="5"/>
    <x v="0"/>
    <s v="ADMINISTRACION DE SUCURSALES"/>
    <s v="OTROS EGRESOS 18"/>
    <s v="OTROS EGRESOS 1.P.O (OR:2/DES:2 TRN:86 PERF:300086 CAU: 18"/>
    <n v="3"/>
    <n v="0"/>
    <s v="PAITILLA"/>
    <x v="1"/>
  </r>
  <r>
    <n v="2"/>
    <d v="2018-12-31T00:00:00"/>
    <x v="1"/>
    <x v="1"/>
    <x v="0"/>
    <s v="ADMINISTRACION DE SUCURSALES"/>
    <s v="CIERRE DE ANIO FISCAL"/>
    <s v="CIERRE_DE_CTAS_NOMINALES"/>
    <n v="0"/>
    <n v="13.25"/>
    <s v="PAITILLA"/>
    <x v="1"/>
  </r>
  <r>
    <n v="3"/>
    <d v="2018-06-22T00:00:00"/>
    <x v="2"/>
    <x v="2"/>
    <x v="0"/>
    <s v="ADMINISTRACION DE SUCURSALES"/>
    <s v="OTROS EGRESOS 18"/>
    <s v="OTROS EGRESOS 1.P.O (OR:3/DES:3 TRN:86 PERF:300086 CAU: 18"/>
    <n v="3.5"/>
    <n v="0"/>
    <s v="EL DORADO"/>
    <x v="1"/>
  </r>
  <r>
    <n v="3"/>
    <d v="2018-07-06T00:00:00"/>
    <x v="6"/>
    <x v="6"/>
    <x v="0"/>
    <s v="ADMINISTRACION DE SUCURSALES"/>
    <s v="OTROS EGRESOS 18"/>
    <s v="OTROS EGRESOS 1.P.O (OR:3/DES:3 TRN:86 PERF:300086 CAU: 18"/>
    <n v="1.8"/>
    <n v="0"/>
    <s v="EL DORADO"/>
    <x v="1"/>
  </r>
  <r>
    <n v="3"/>
    <d v="2018-07-19T00:00:00"/>
    <x v="6"/>
    <x v="6"/>
    <x v="0"/>
    <s v="ADMINISTRACION DE SUCURSALES"/>
    <s v="OTROS EGRESOS 18"/>
    <s v="OTROS EGRESOS 1.P.O (OR:3/DES:3 TRN:86 PERF:300086 CAU: 18"/>
    <n v="2.4"/>
    <n v="0"/>
    <s v="EL DORADO"/>
    <x v="1"/>
  </r>
  <r>
    <n v="3"/>
    <d v="2018-07-31T00:00:00"/>
    <x v="6"/>
    <x v="6"/>
    <x v="0"/>
    <s v="ADMINISTRACION DE SUCURSALES"/>
    <s v="OTROS EGRESOS 18"/>
    <s v="OTROS EGRESOS 1.P.O (OR:3/DES:3 TRN:86 PERF:300086 CAU: 18"/>
    <n v="9.1999999999999993"/>
    <n v="0"/>
    <s v="EL DORADO"/>
    <x v="1"/>
  </r>
  <r>
    <n v="3"/>
    <d v="2018-08-07T00:00:00"/>
    <x v="3"/>
    <x v="3"/>
    <x v="0"/>
    <s v="ADMINISTRACION DE SUCURSALES"/>
    <s v="OTROS EGRESOS 18"/>
    <s v="OTROS EGRESOS 1.P.O (OR:3/DES:3 TRN:86 PERF:300086 CAU: 18"/>
    <n v="9.1999999999999993"/>
    <n v="0"/>
    <s v="EL DORADO"/>
    <x v="1"/>
  </r>
  <r>
    <n v="3"/>
    <d v="2018-09-21T00:00:00"/>
    <x v="4"/>
    <x v="4"/>
    <x v="0"/>
    <s v="ADMINISTRACION DE SUCURSALES"/>
    <s v="OTROS EGRESOS 18"/>
    <s v="OTROS EGRESOS 1.P.O (OR:3/DES:3 TRN:86 PERF:300086 CAU: 18"/>
    <n v="3"/>
    <n v="0"/>
    <s v="EL DORADO"/>
    <x v="1"/>
  </r>
  <r>
    <n v="3"/>
    <d v="2018-09-24T00:00:00"/>
    <x v="4"/>
    <x v="4"/>
    <x v="0"/>
    <s v="ADMINISTRACION DE SUCURSALES"/>
    <s v="OTROS EGRESOS 18"/>
    <s v="OTROS EGRESOS 1.P.O (OR:3/DES:3 TRN:86 PERF:300086 CAU: 18"/>
    <n v="3"/>
    <n v="0"/>
    <s v="EL DORADO"/>
    <x v="1"/>
  </r>
  <r>
    <n v="3"/>
    <d v="2018-09-28T00:00:00"/>
    <x v="4"/>
    <x v="4"/>
    <x v="0"/>
    <s v="ADMINISTRACION DE SUCURSALES"/>
    <s v="OTROS EGRESOS 18"/>
    <s v="OTROS EGRESOS 1.P.O (OR:3/DES:3 TRN:86 PERF:300086 CAU: 18"/>
    <n v="2.4"/>
    <n v="0"/>
    <s v="EL DORADO"/>
    <x v="1"/>
  </r>
  <r>
    <n v="3"/>
    <d v="2018-12-04T00:00:00"/>
    <x v="1"/>
    <x v="1"/>
    <x v="0"/>
    <s v="ADMINISTRACION DE SUCURSALES"/>
    <s v="OTROS EGRESOS 18"/>
    <s v="OTROS EGRESOS 1.P.O (OR:3/DES:3 TRN:86 PERF:300086 CAU: 18"/>
    <n v="1.8"/>
    <n v="0"/>
    <s v="EL DORADO"/>
    <x v="1"/>
  </r>
  <r>
    <n v="3"/>
    <d v="2018-12-12T00:00:00"/>
    <x v="1"/>
    <x v="1"/>
    <x v="0"/>
    <s v="ADMINISTRACION DE SUCURSALES"/>
    <s v="OTROS EGRESOS 18"/>
    <s v="OTROS EGRESOS 1.P.O (OR:3/DES:3 TRN:86 PERF:300086 CAU: 18"/>
    <n v="2.4"/>
    <n v="0"/>
    <s v="EL DORADO"/>
    <x v="1"/>
  </r>
  <r>
    <n v="3"/>
    <d v="2018-12-17T00:00:00"/>
    <x v="1"/>
    <x v="1"/>
    <x v="0"/>
    <s v="ADMINISTRACION DE SUCURSALES"/>
    <s v="OTROS EGRESOS 18"/>
    <s v="OTROS EGRESOS 1.P.O (OR:3/DES:3 TRN:86 PERF:300086 CAU: 18"/>
    <n v="3"/>
    <n v="0"/>
    <s v="EL DORADO"/>
    <x v="1"/>
  </r>
  <r>
    <n v="3"/>
    <d v="2018-12-31T00:00:00"/>
    <x v="1"/>
    <x v="1"/>
    <x v="0"/>
    <s v="ADMINISTRACION DE SUCURSALES"/>
    <s v="CIERRE DE ANIO FISCAL"/>
    <s v="CIERRE_DE_CTAS_NOMINALES"/>
    <n v="0"/>
    <n v="97.05"/>
    <s v="EL DORADO"/>
    <x v="1"/>
  </r>
  <r>
    <n v="4"/>
    <d v="2018-08-17T00:00:00"/>
    <x v="3"/>
    <x v="3"/>
    <x v="0"/>
    <s v="ADMINISTRACION DE SUCURSALES"/>
    <s v="OTROS EGRESOS 18"/>
    <s v="OTROS EGRESOS 1.P.O (OR:4/DES:4 TRN:86 PERF:300086 CAU: 18"/>
    <n v="2.4"/>
    <n v="0"/>
    <s v="VIA ARGENTINA"/>
    <x v="1"/>
  </r>
  <r>
    <n v="4"/>
    <d v="2018-08-29T00:00:00"/>
    <x v="3"/>
    <x v="3"/>
    <x v="0"/>
    <s v="ADMINISTRACION DE SUCURSALES"/>
    <s v="OTROS EGRESOS 18"/>
    <s v="OTROS EGRESOS 1.P.O (OR:4/DES:4 TRN:86 PERF:300086 CAU: 18"/>
    <n v="1.8"/>
    <n v="0"/>
    <s v="VIA ARGENTINA"/>
    <x v="1"/>
  </r>
  <r>
    <n v="4"/>
    <d v="2018-10-18T00:00:00"/>
    <x v="0"/>
    <x v="0"/>
    <x v="0"/>
    <s v="ADMINISTRACION DE SUCURSALES"/>
    <s v="OTROS EGRESOS 18"/>
    <s v="OTROS EGRESOS 1.P.O (OR:4/DES:4 TRN:86 PERF:300086 CAU: 18"/>
    <n v="1.8"/>
    <n v="0"/>
    <s v="VIA ARGENTINA"/>
    <x v="1"/>
  </r>
  <r>
    <n v="4"/>
    <d v="2018-10-19T00:00:00"/>
    <x v="0"/>
    <x v="0"/>
    <x v="0"/>
    <s v="ADMINISTRACION DE SUCURSALES"/>
    <s v="OTROS EGRESOS 18"/>
    <s v="OTROS EGRESOS 1.P.O (OR:4/DES:4 TRN:86 PERF:300086 CAU: 18"/>
    <n v="1.8"/>
    <n v="0"/>
    <s v="VIA ARGENTINA"/>
    <x v="1"/>
  </r>
  <r>
    <n v="4"/>
    <d v="2018-12-31T00:00:00"/>
    <x v="1"/>
    <x v="1"/>
    <x v="0"/>
    <s v="ADMINISTRACION DE SUCURSALES"/>
    <s v="CIERRE DE ANIO FISCAL"/>
    <s v="CIERRE_DE_CTAS_NOMINALES"/>
    <n v="0"/>
    <n v="33.1"/>
    <s v="VIA ARGENTINA"/>
    <x v="1"/>
  </r>
  <r>
    <n v="5"/>
    <d v="2018-06-08T00:00:00"/>
    <x v="2"/>
    <x v="2"/>
    <x v="0"/>
    <s v="ADMINISTRACION DE SUCURSALES"/>
    <s v="OTROS EGRESOS 18"/>
    <s v="OTROS EGRESOS 1.P.O (OR:5/DES:5 TRN:86 PERF:300086 CAU: 18"/>
    <n v="9.1999999999999993"/>
    <n v="0"/>
    <s v="VIA PORRAS"/>
    <x v="1"/>
  </r>
  <r>
    <n v="5"/>
    <d v="2018-06-30T00:00:00"/>
    <x v="2"/>
    <x v="2"/>
    <x v="0"/>
    <s v="ADMINISTRACION DE SUCURSALES"/>
    <s v="OTROS EGRESOS 18"/>
    <s v="OTROS EGRESOS 1.P.O (OR:5/DES:5 TRN:86 PERF:300086 CAU: 18"/>
    <n v="1.8"/>
    <n v="0"/>
    <s v="VIA PORRAS"/>
    <x v="1"/>
  </r>
  <r>
    <n v="5"/>
    <d v="2018-07-06T00:00:00"/>
    <x v="6"/>
    <x v="6"/>
    <x v="0"/>
    <s v="ADMINISTRACION DE SUCURSALES"/>
    <s v="OTROS EGRESOS 18"/>
    <s v="OTROS EGRESOS 1.P.O (OR:5/DES:5 TRN:86 PERF:300086 CAU: 18"/>
    <n v="2.4"/>
    <n v="0"/>
    <s v="VIA PORRAS"/>
    <x v="1"/>
  </r>
  <r>
    <n v="5"/>
    <d v="2018-07-26T00:00:00"/>
    <x v="6"/>
    <x v="6"/>
    <x v="0"/>
    <s v="ADMINISTRACION DE SUCURSALES"/>
    <s v="OTROS EGRESOS 18"/>
    <s v="OTROS EGRESOS 1.P.O (OR:5/DES:5 TRN:86 PERF:300086 CAU: 18"/>
    <n v="18.399999999999999"/>
    <n v="0"/>
    <s v="VIA PORRAS"/>
    <x v="1"/>
  </r>
  <r>
    <n v="5"/>
    <d v="2018-08-06T00:00:00"/>
    <x v="3"/>
    <x v="3"/>
    <x v="0"/>
    <s v="ADMINISTRACION DE SUCURSALES"/>
    <s v="OTROS EGRESOS 18"/>
    <s v="OTROS EGRESOS 1.P.O (OR:5/DES:5 TRN:86 PERF:300086 CAU: 18"/>
    <n v="9.1999999999999993"/>
    <n v="0"/>
    <s v="VIA PORRAS"/>
    <x v="1"/>
  </r>
  <r>
    <n v="5"/>
    <d v="2018-08-07T00:00:00"/>
    <x v="3"/>
    <x v="3"/>
    <x v="0"/>
    <s v="ADMINISTRACION DE SUCURSALES"/>
    <s v="OTROS EGRESOS 18"/>
    <s v="OTROS EGRESOS 1.P.O (OR:5/DES:5 TRN:86 PERF:300086 CAU: 18"/>
    <n v="9.1999999999999993"/>
    <n v="0"/>
    <s v="VIA PORRAS"/>
    <x v="1"/>
  </r>
  <r>
    <n v="5"/>
    <d v="2018-08-10T00:00:00"/>
    <x v="3"/>
    <x v="3"/>
    <x v="0"/>
    <s v="ADMINISTRACION DE SUCURSALES"/>
    <s v="OTROS EGRESOS 18"/>
    <s v="OTROS EGRESOS 1.P.O (OR:5/DES:5 TRN:86 PERF:300086 CAU: 18"/>
    <n v="1.8"/>
    <n v="0"/>
    <s v="VIA PORRAS"/>
    <x v="1"/>
  </r>
  <r>
    <n v="5"/>
    <d v="2018-09-11T00:00:00"/>
    <x v="4"/>
    <x v="4"/>
    <x v="0"/>
    <s v="ADMINISTRACION DE SUCURSALES"/>
    <s v="OTROS EGRESOS 18"/>
    <s v="OTROS EGRESOS 1.P.O (OR:5/DES:5 TRN:86 PERF:300086 CAU: 18"/>
    <n v="1.8"/>
    <n v="0"/>
    <s v="VIA PORRAS"/>
    <x v="1"/>
  </r>
  <r>
    <n v="5"/>
    <d v="2018-09-27T00:00:00"/>
    <x v="4"/>
    <x v="4"/>
    <x v="0"/>
    <s v="ADMINISTRACION DE SUCURSALES"/>
    <s v="OTROS EGRESOS 18"/>
    <s v="OTROS EGRESOS 1.P.O (OR:5/DES:5 TRN:86 PERF:300086 CAU: 18"/>
    <n v="3.6"/>
    <n v="0"/>
    <s v="VIA PORRAS"/>
    <x v="1"/>
  </r>
  <r>
    <n v="5"/>
    <d v="2018-10-05T00:00:00"/>
    <x v="0"/>
    <x v="0"/>
    <x v="0"/>
    <s v="ADMINISTRACION DE SUCURSALES"/>
    <s v="OTROS EGRESOS 18"/>
    <s v="OTROS EGRESOS 1.P.O (OR:5/DES:5 TRN:86 PERF:300086 CAU: 18"/>
    <n v="18.399999999999999"/>
    <n v="0"/>
    <s v="VIA PORRAS"/>
    <x v="1"/>
  </r>
  <r>
    <n v="5"/>
    <d v="2018-10-17T00:00:00"/>
    <x v="0"/>
    <x v="0"/>
    <x v="0"/>
    <s v="ADMINISTRACION DE SUCURSALES"/>
    <s v="OTROS EGRESOS 18"/>
    <s v="OTROS EGRESOS 1.P.O (OR:5/DES:5 TRN:86 PERF:300086 CAU: 18"/>
    <n v="2.4"/>
    <n v="0"/>
    <s v="VIA PORRAS"/>
    <x v="1"/>
  </r>
  <r>
    <n v="5"/>
    <d v="2018-11-26T00:00:00"/>
    <x v="5"/>
    <x v="5"/>
    <x v="0"/>
    <s v="ADMINISTRACION DE SUCURSALES"/>
    <s v="OTROS EGRESOS 18"/>
    <s v="OTROS EGRESOS 1.P.O (OR:5/DES:5 TRN:86 PERF:300086 CAU: 18"/>
    <n v="1.8"/>
    <n v="0"/>
    <s v="VIA PORRAS"/>
    <x v="1"/>
  </r>
  <r>
    <n v="5"/>
    <d v="2018-12-26T00:00:00"/>
    <x v="1"/>
    <x v="1"/>
    <x v="0"/>
    <s v="ADMINISTRACION DE SUCURSALES"/>
    <s v="OTROS EGRESOS 18"/>
    <s v="OTROS EGRESOS 1.P.O (OR:5/DES:5 TRN:86 PERF:300086 CAU: 18"/>
    <n v="1.8"/>
    <n v="0"/>
    <s v="VIA PORRAS"/>
    <x v="1"/>
  </r>
  <r>
    <n v="5"/>
    <d v="2018-12-31T00:00:00"/>
    <x v="1"/>
    <x v="1"/>
    <x v="0"/>
    <s v="ADMINISTRACION DE SUCURSALES"/>
    <s v="OTROS EGRESOS 18"/>
    <s v="OTROS EGRESOS 1.P.O (OR:5/DES:5 TRN:86 PERF:300086 CAU: 18"/>
    <n v="1.8"/>
    <n v="0"/>
    <s v="VIA PORRAS"/>
    <x v="1"/>
  </r>
  <r>
    <n v="5"/>
    <d v="2018-12-31T00:00:00"/>
    <x v="1"/>
    <x v="1"/>
    <x v="0"/>
    <s v="ADMINISTRACION DE SUCURSALES"/>
    <s v="CIERRE DE ANIO FISCAL"/>
    <s v="CIERRE_DE_CTAS_NOMINALES"/>
    <n v="0"/>
    <n v="110.8"/>
    <s v="VIA PORRAS"/>
    <x v="1"/>
  </r>
  <r>
    <n v="6"/>
    <d v="2018-08-24T00:00:00"/>
    <x v="3"/>
    <x v="3"/>
    <x v="0"/>
    <s v="ADMINISTRACION DE SUCURSALES"/>
    <s v="OTROS EGRESOS 18"/>
    <s v="OTROS EGRESOS 1.P.O (OR:6/DES:6 TRN:86 PERF:300086 CAU: 18"/>
    <n v="18.399999999999999"/>
    <n v="0"/>
    <s v="EL INGENIO"/>
    <x v="1"/>
  </r>
  <r>
    <n v="6"/>
    <d v="2018-09-10T00:00:00"/>
    <x v="4"/>
    <x v="4"/>
    <x v="0"/>
    <s v="ADMINISTRACION DE SUCURSALES"/>
    <s v="OTROS EGRESOS 18"/>
    <s v="OTROS EGRESOS 1.P.O (OR:6/DES:6 TRN:86 PERF:300086 CAU: 18"/>
    <n v="2.25"/>
    <n v="0"/>
    <s v="EL INGENIO"/>
    <x v="1"/>
  </r>
  <r>
    <n v="6"/>
    <d v="2018-09-17T00:00:00"/>
    <x v="4"/>
    <x v="4"/>
    <x v="0"/>
    <s v="ADMINISTRACION DE SUCURSALES"/>
    <s v="OTROS EGRESOS 18"/>
    <s v="OTROS EGRESOS 1.P.O (OR:6/DES:6 TRN:86 PERF:300086 CAU: 18"/>
    <n v="5.4"/>
    <n v="0"/>
    <s v="EL INGENIO"/>
    <x v="1"/>
  </r>
  <r>
    <n v="6"/>
    <d v="2018-10-04T00:00:00"/>
    <x v="0"/>
    <x v="0"/>
    <x v="0"/>
    <s v="ADMINISTRACION DE SUCURSALES"/>
    <s v="OTROS EGRESOS 18"/>
    <s v="OTROS EGRESOS 1.P.O (OR:6/DES:6 TRN:86 PERF:300086 CAU: 18"/>
    <n v="2.7"/>
    <n v="0"/>
    <s v="EL INGENIO"/>
    <x v="1"/>
  </r>
  <r>
    <n v="6"/>
    <d v="2018-12-01T00:00:00"/>
    <x v="1"/>
    <x v="1"/>
    <x v="0"/>
    <s v="ADMINISTRACION DE SUCURSALES"/>
    <s v="OTROS EGRESOS 18"/>
    <s v="OTROS EGRESOS 1.P.O (OR:6/DES:6 TRN:86 PERF:300086 CAU: 18"/>
    <n v="3"/>
    <n v="0"/>
    <s v="EL INGENIO"/>
    <x v="1"/>
  </r>
  <r>
    <n v="6"/>
    <d v="2018-12-31T00:00:00"/>
    <x v="1"/>
    <x v="1"/>
    <x v="0"/>
    <s v="ADMINISTRACION DE SUCURSALES"/>
    <s v="CIERRE DE ANIO FISCAL"/>
    <s v="CIERRE_DE_CTAS_NOMINALES"/>
    <n v="0"/>
    <n v="41.95"/>
    <s v="EL INGENIO"/>
    <x v="1"/>
  </r>
  <r>
    <n v="7"/>
    <d v="2018-06-22T00:00:00"/>
    <x v="2"/>
    <x v="2"/>
    <x v="0"/>
    <s v="ADMINISTRACION DE SUCURSALES"/>
    <s v="OTROS EGRESOS 18"/>
    <s v="OTROS EGRESOS 1.P.O (OR:7/DES:7 TRN:86 PERF:300086 CAU: 18"/>
    <n v="6.5"/>
    <n v="0"/>
    <s v="CHANIS"/>
    <x v="1"/>
  </r>
  <r>
    <n v="7"/>
    <d v="2018-07-11T00:00:00"/>
    <x v="6"/>
    <x v="6"/>
    <x v="0"/>
    <s v="ADMINISTRACION DE SUCURSALES"/>
    <s v="OTROS EGRESOS 18"/>
    <s v="OTROS EGRESOS 1.P.O (OR:7/DES:7 TRN:86 PERF:300086 CAU: 18"/>
    <n v="2.4"/>
    <n v="0"/>
    <s v="CHANIS"/>
    <x v="1"/>
  </r>
  <r>
    <n v="7"/>
    <d v="2018-08-08T00:00:00"/>
    <x v="3"/>
    <x v="3"/>
    <x v="0"/>
    <s v="ADMINISTRACION DE SUCURSALES"/>
    <s v="OTROS EGRESOS 18"/>
    <s v="OTROS EGRESOS 1.P.O (OR:7/DES:7 TRN:86 PERF:300086 CAU: 18"/>
    <n v="14.7"/>
    <n v="0"/>
    <s v="CHANIS"/>
    <x v="1"/>
  </r>
  <r>
    <n v="7"/>
    <d v="2018-08-21T00:00:00"/>
    <x v="3"/>
    <x v="3"/>
    <x v="0"/>
    <s v="ADMINISTRACION DE SUCURSALES"/>
    <s v="OTROS EGRESOS 18"/>
    <s v="OTROS EGRESOS 1.P.O (OR:7/DES:7 TRN:86 PERF:300086 CAU: 18"/>
    <n v="6.5"/>
    <n v="0"/>
    <s v="CHANIS"/>
    <x v="1"/>
  </r>
  <r>
    <n v="7"/>
    <d v="2018-09-20T00:00:00"/>
    <x v="4"/>
    <x v="4"/>
    <x v="0"/>
    <s v="ADMINISTRACION DE SUCURSALES"/>
    <s v="OTROS EGRESOS 18"/>
    <s v="OTROS EGRESOS 1.P.O (OR:7/DES:7 TRN:86 PERF:300086 CAU: 18"/>
    <n v="3"/>
    <n v="0"/>
    <s v="CHANIS"/>
    <x v="1"/>
  </r>
  <r>
    <n v="7"/>
    <d v="2018-09-25T00:00:00"/>
    <x v="4"/>
    <x v="4"/>
    <x v="0"/>
    <s v="ADMINISTRACION DE SUCURSALES"/>
    <s v="OTROS EGRESOS 18"/>
    <s v="OTROS EGRESOS 1.P.O (OR:7/DES:7 TRN:86 PERF:300086 CAU: 18"/>
    <n v="2.25"/>
    <n v="0"/>
    <s v="CHANIS"/>
    <x v="1"/>
  </r>
  <r>
    <n v="7"/>
    <d v="2018-11-20T00:00:00"/>
    <x v="5"/>
    <x v="5"/>
    <x v="0"/>
    <s v="ADMINISTRACION DE SUCURSALES"/>
    <s v="OTROS EGRESOS 18"/>
    <s v="OTROS EGRESOS 1.P.O (OR:7/DES:7 TRN:86 PERF:300086 CAU: 18"/>
    <n v="6.5"/>
    <n v="0"/>
    <s v="CHANIS"/>
    <x v="1"/>
  </r>
  <r>
    <n v="7"/>
    <d v="2018-12-31T00:00:00"/>
    <x v="1"/>
    <x v="1"/>
    <x v="0"/>
    <s v="ADMINISTRACION DE SUCURSALES"/>
    <s v="CIERRE DE ANIO FISCAL"/>
    <s v="CIERRE_DE_CTAS_NOMINALES"/>
    <n v="0"/>
    <n v="89.6"/>
    <s v="CHANIS"/>
    <x v="1"/>
  </r>
  <r>
    <n v="8"/>
    <d v="2018-06-07T00:00:00"/>
    <x v="2"/>
    <x v="2"/>
    <x v="0"/>
    <s v="ADMINISTRACION DE SUCURSALES"/>
    <s v="OTROS EGRESOS 18"/>
    <s v="OTROS EGRESOS 1.P.O (OR:8/DES:8 TRN:86 PERF:300086 CAU: 18"/>
    <n v="9.5500000000000007"/>
    <n v="0"/>
    <s v="PLAZA TOCUMEN"/>
    <x v="1"/>
  </r>
  <r>
    <n v="8"/>
    <d v="2018-07-04T00:00:00"/>
    <x v="6"/>
    <x v="6"/>
    <x v="0"/>
    <s v="ADMINISTRACION DE SUCURSALES"/>
    <s v="OTROS EGRESOS 18"/>
    <s v="OTROS EGRESOS 1.P.O (OR:8/DES:8 TRN:86 PERF:300086 CAU: 18"/>
    <n v="3.15"/>
    <n v="0"/>
    <s v="PLAZA TOCUMEN"/>
    <x v="1"/>
  </r>
  <r>
    <n v="8"/>
    <d v="2018-08-08T00:00:00"/>
    <x v="3"/>
    <x v="3"/>
    <x v="0"/>
    <s v="ADMINISTRACION DE SUCURSALES"/>
    <s v="OTROS EGRESOS 18"/>
    <s v="OTROS EGRESOS 1.P.O (OR:8/DES:8 TRN:86 PERF:300086 CAU: 18"/>
    <n v="2.1"/>
    <n v="0"/>
    <s v="PLAZA TOCUMEN"/>
    <x v="1"/>
  </r>
  <r>
    <n v="8"/>
    <d v="2018-09-12T00:00:00"/>
    <x v="4"/>
    <x v="4"/>
    <x v="0"/>
    <s v="ADMINISTRACION DE SUCURSALES"/>
    <s v="OTROS EGRESOS 18"/>
    <s v="OTROS EGRESOS 1.P.O (OR:8/DES:8 TRN:86 PERF:300086 CAU: 18"/>
    <n v="3.7"/>
    <n v="0"/>
    <s v="PLAZA TOCUMEN"/>
    <x v="1"/>
  </r>
  <r>
    <n v="8"/>
    <d v="2018-09-13T00:00:00"/>
    <x v="4"/>
    <x v="4"/>
    <x v="0"/>
    <s v="ADMINISTRACION DE SUCURSALES"/>
    <s v="OTROS EGRESOS 18"/>
    <s v="OTROS EGRESOS 1.P.O (OR:8/DES:8 TRN:86 PERF:300086 CAU: 18"/>
    <n v="3.7"/>
    <n v="0"/>
    <s v="PLAZA TOCUMEN"/>
    <x v="1"/>
  </r>
  <r>
    <n v="8"/>
    <d v="2018-11-09T00:00:00"/>
    <x v="5"/>
    <x v="5"/>
    <x v="0"/>
    <s v="ADMINISTRACION DE SUCURSALES"/>
    <s v="OTROS EGRESOS 18"/>
    <s v="OTROS EGRESOS 1.P.O (OR:8/DES:8 TRN:86 PERF:300086 CAU: 18"/>
    <n v="12.1"/>
    <n v="0"/>
    <s v="PLAZA TOCUMEN"/>
    <x v="1"/>
  </r>
  <r>
    <n v="8"/>
    <d v="2018-12-31T00:00:00"/>
    <x v="1"/>
    <x v="1"/>
    <x v="0"/>
    <s v="ADMINISTRACION DE SUCURSALES"/>
    <s v="CIERRE DE ANIO FISCAL"/>
    <s v="CIERRE_DE_CTAS_NOMINALES"/>
    <n v="0"/>
    <n v="55.15"/>
    <s v="PLAZA TOCUMEN"/>
    <x v="1"/>
  </r>
  <r>
    <n v="9"/>
    <d v="2018-07-28T00:00:00"/>
    <x v="6"/>
    <x v="6"/>
    <x v="0"/>
    <s v="ADMINISTRACION DE SUCURSALES"/>
    <s v="VIATICOS"/>
    <s v="TRANSACCIONES DEL DIA 07/28/2018SPYRAL - GESTION ADMINISTRATIVA"/>
    <n v="115"/>
    <n v="0"/>
    <s v="SANTIAGO"/>
    <x v="1"/>
  </r>
  <r>
    <n v="9"/>
    <d v="2018-08-02T00:00:00"/>
    <x v="3"/>
    <x v="3"/>
    <x v="0"/>
    <s v="ADMINISTRACION DE SUCURSALES"/>
    <s v="OTROS EGRESOS 18"/>
    <s v="OTROS EGRESOS 1.P.O (OR:9/DES:9 TRN:86 PERF:300086 CAU: 18"/>
    <n v="16"/>
    <n v="0"/>
    <s v="SANTIAGO"/>
    <x v="1"/>
  </r>
  <r>
    <n v="9"/>
    <d v="2018-09-03T00:00:00"/>
    <x v="4"/>
    <x v="4"/>
    <x v="0"/>
    <s v="ADMINISTRACION DE SUCURSALES"/>
    <s v="OTROS EGRESOS 18"/>
    <s v="OTROS EGRESOS 1.P.O (OR:9/DES:9 TRN:86 PERF:300086 CAU: 18"/>
    <n v="35.200000000000003"/>
    <n v="0"/>
    <s v="SANTIAGO"/>
    <x v="1"/>
  </r>
  <r>
    <n v="9"/>
    <d v="2018-09-27T00:00:00"/>
    <x v="4"/>
    <x v="4"/>
    <x v="0"/>
    <s v="ADMINISTRACION DE SUCURSALES"/>
    <s v="VIATICOS"/>
    <s v="TRANSACCIONES DEL DIA 09/27/2018SPYRAL - GESTION ADMINISTRATIVA"/>
    <n v="130"/>
    <n v="0"/>
    <s v="SANTIAGO"/>
    <x v="1"/>
  </r>
  <r>
    <n v="9"/>
    <d v="2018-09-28T00:00:00"/>
    <x v="4"/>
    <x v="4"/>
    <x v="0"/>
    <s v="ADMINISTRACION DE SUCURSALES"/>
    <s v="OTROS EGRESOS 18"/>
    <s v="OTROS EGRESOS 1.P.O (OR:9/DES:9 TRN:86 PERF:300086 CAU: 18"/>
    <n v="2.65"/>
    <n v="0"/>
    <s v="SANTIAGO"/>
    <x v="1"/>
  </r>
  <r>
    <n v="9"/>
    <d v="2018-12-31T00:00:00"/>
    <x v="1"/>
    <x v="1"/>
    <x v="0"/>
    <s v="ADMINISTRACION DE SUCURSALES"/>
    <s v="CIERRE DE ANIO FISCAL"/>
    <s v="CIERRE_DE_CTAS_NOMINALES"/>
    <n v="0"/>
    <n v="343.85"/>
    <s v="SANTIAGO"/>
    <x v="1"/>
  </r>
  <r>
    <n v="10"/>
    <d v="2018-08-11T00:00:00"/>
    <x v="3"/>
    <x v="3"/>
    <x v="0"/>
    <s v="ADMINISTRACION DE SUCURSALES"/>
    <s v="OTROS EGRESOS 18"/>
    <s v="OTROS EGRESOS 1.P.O (OR:10/DES:10 TRN:86 PERF:300086 CAU: 18"/>
    <n v="10.25"/>
    <n v="0"/>
    <s v="OBARRIO"/>
    <x v="1"/>
  </r>
  <r>
    <n v="10"/>
    <d v="2018-12-31T00:00:00"/>
    <x v="1"/>
    <x v="1"/>
    <x v="0"/>
    <s v="ADMINISTRACION DE SUCURSALES"/>
    <s v="CIERRE DE ANIO FISCAL"/>
    <s v="CIERRE_DE_CTAS_NOMINALES"/>
    <n v="0"/>
    <n v="30.75"/>
    <s v="OBARRIO"/>
    <x v="1"/>
  </r>
  <r>
    <n v="11"/>
    <d v="2018-06-01T00:00:00"/>
    <x v="2"/>
    <x v="2"/>
    <x v="0"/>
    <s v="ADMINISTRACION DE SUCURSALES"/>
    <s v="VIATICOS"/>
    <s v="TRANSACCIONES DEL DIA 06/01/2018SPYRAL - GESTION ADMINISTRATIVA"/>
    <n v="39"/>
    <n v="0"/>
    <s v="COLON"/>
    <x v="1"/>
  </r>
  <r>
    <n v="11"/>
    <d v="2018-07-12T00:00:00"/>
    <x v="6"/>
    <x v="6"/>
    <x v="0"/>
    <s v="ADMINISTRACION DE SUCURSALES"/>
    <s v="VIATICOS"/>
    <s v="TRANSACCIONES DEL DIA 07/12/2018SPYRAL - GESTION ADMINISTRATIVA"/>
    <n v="32"/>
    <n v="0"/>
    <s v="COLON"/>
    <x v="1"/>
  </r>
  <r>
    <n v="11"/>
    <d v="2018-11-12T00:00:00"/>
    <x v="5"/>
    <x v="5"/>
    <x v="0"/>
    <s v="ADMINISTRACION DE SUCURSALES"/>
    <s v="VIATICOS"/>
    <s v="TRANSACCIONES DEL DIA 11/12/2018SPYRAL - GESTION ADMINISTRATIVA"/>
    <n v="51.6"/>
    <n v="0"/>
    <s v="COLON"/>
    <x v="1"/>
  </r>
  <r>
    <n v="11"/>
    <d v="2018-12-18T00:00:00"/>
    <x v="1"/>
    <x v="1"/>
    <x v="0"/>
    <s v="ADMINISTRACION DE SUCURSALES"/>
    <s v="VIATICOS"/>
    <s v="TRANSACCIONES DEL DIA 12/18/2018SPYRAL - GESTION ADMINISTRATIVA"/>
    <n v="86.8"/>
    <n v="0"/>
    <s v="COLON"/>
    <x v="1"/>
  </r>
  <r>
    <n v="11"/>
    <d v="2018-12-31T00:00:00"/>
    <x v="1"/>
    <x v="1"/>
    <x v="0"/>
    <s v="ADMINISTRACION DE SUCURSALES"/>
    <s v="CIERRE DE ANIO FISCAL"/>
    <s v="CIERRE_DE_CTAS_NOMINALES"/>
    <n v="0"/>
    <n v="340.5"/>
    <s v="COLON"/>
    <x v="1"/>
  </r>
  <r>
    <n v="12"/>
    <d v="2018-12-31T00:00:00"/>
    <x v="1"/>
    <x v="1"/>
    <x v="0"/>
    <s v="ADMINISTRACION DE SUCURSALES"/>
    <s v="CIERRE DE ANIO FISCAL"/>
    <s v="CIERRE_DE_CTAS_NOMINALES"/>
    <n v="0"/>
    <n v="9.1999999999999993"/>
    <s v="AUTOBANCO SAN FRANCISCO"/>
    <x v="1"/>
  </r>
  <r>
    <n v="13"/>
    <d v="2018-08-01T00:00:00"/>
    <x v="3"/>
    <x v="3"/>
    <x v="0"/>
    <s v="ADMINISTRACION DE SUCURSALES"/>
    <s v="OTROS EGRESOS 18"/>
    <s v="OTROS EGRESOS 1.P.O (OR:13/DES:13 TRN:86 PERF:300086 CAU: 18"/>
    <n v="2.4"/>
    <n v="0"/>
    <s v="HATO PINTADO"/>
    <x v="1"/>
  </r>
  <r>
    <n v="13"/>
    <d v="2018-08-20T00:00:00"/>
    <x v="3"/>
    <x v="3"/>
    <x v="0"/>
    <s v="ADMINISTRACION DE SUCURSALES"/>
    <s v="OTROS EGRESOS 18"/>
    <s v="OTROS EGRESOS 1.P.O (OR:13/DES:13 TRN:86 PERF:300086 CAU: 18"/>
    <n v="10.7"/>
    <n v="0"/>
    <s v="HATO PINTADO"/>
    <x v="1"/>
  </r>
  <r>
    <n v="13"/>
    <d v="2018-11-02T00:00:00"/>
    <x v="5"/>
    <x v="5"/>
    <x v="0"/>
    <s v="ADMINISTRACION DE SUCURSALES"/>
    <s v="OTROS EGRESOS 18"/>
    <s v="OTROS EGRESOS 1.P.O (OR:13/DES:13 TRN:86 PERF:300086 CAU: 18"/>
    <n v="2.4"/>
    <n v="0"/>
    <s v="HATO PINTADO"/>
    <x v="1"/>
  </r>
  <r>
    <n v="13"/>
    <d v="2018-11-16T00:00:00"/>
    <x v="5"/>
    <x v="5"/>
    <x v="0"/>
    <s v="ADMINISTRACION DE SUCURSALES"/>
    <s v="OTROS EGRESOS 18"/>
    <s v="OTROS EGRESOS 1.P.O (OR:13/DES:13 TRN:86 PERF:300086 CAU: 18"/>
    <n v="2.4"/>
    <n v="0"/>
    <s v="HATO PINTADO"/>
    <x v="1"/>
  </r>
  <r>
    <n v="13"/>
    <d v="2018-11-26T00:00:00"/>
    <x v="5"/>
    <x v="5"/>
    <x v="0"/>
    <s v="ADMINISTRACION DE SUCURSALES"/>
    <s v="OTROS EGRESOS 18"/>
    <s v="OTROS EGRESOS 1.P.O (OR:13/DES:13 TRN:86 PERF:300086 CAU: 18"/>
    <n v="2.7"/>
    <n v="0"/>
    <s v="HATO PINTADO"/>
    <x v="1"/>
  </r>
  <r>
    <n v="13"/>
    <d v="2018-12-31T00:00:00"/>
    <x v="1"/>
    <x v="1"/>
    <x v="0"/>
    <s v="ADMINISTRACION DE SUCURSALES"/>
    <s v="CIERRE DE ANIO FISCAL"/>
    <s v="CIERRE_DE_CTAS_NOMINALES"/>
    <n v="0"/>
    <n v="117.6"/>
    <s v="HATO PINTADO"/>
    <x v="1"/>
  </r>
  <r>
    <n v="14"/>
    <d v="2018-09-26T00:00:00"/>
    <x v="4"/>
    <x v="4"/>
    <x v="0"/>
    <s v="ADMINISTRACION DE SUCURSALES"/>
    <s v="OTROS EGRESOS 18"/>
    <s v="OTROS EGRESOS 1.P.O (OR:14/DES:14 TRN:86 PERF:300086 CAU: 18"/>
    <n v="2.4"/>
    <n v="0"/>
    <s v="RIO ABAJO"/>
    <x v="1"/>
  </r>
  <r>
    <n v="14"/>
    <d v="2018-12-18T00:00:00"/>
    <x v="1"/>
    <x v="1"/>
    <x v="0"/>
    <s v="ADMINISTRACION DE SUCURSALES"/>
    <s v="OTROS EGRESOS 18"/>
    <s v="OTROS EGRESOS 1.P.O (OR:14/DES:14 TRN:86 PERF:300086 CAU: 18"/>
    <n v="2.4"/>
    <n v="0"/>
    <s v="RIO ABAJO"/>
    <x v="1"/>
  </r>
  <r>
    <n v="14"/>
    <d v="2018-12-31T00:00:00"/>
    <x v="1"/>
    <x v="1"/>
    <x v="0"/>
    <s v="ADMINISTRACION DE SUCURSALES"/>
    <s v="CIERRE DE ANIO FISCAL"/>
    <s v="CIERRE_DE_CTAS_NOMINALES"/>
    <n v="0"/>
    <n v="13.2"/>
    <s v="RIO ABAJO"/>
    <x v="1"/>
  </r>
  <r>
    <n v="14"/>
    <d v="2018-12-31T00:00:00"/>
    <x v="1"/>
    <x v="1"/>
    <x v="0"/>
    <s v="CAJA"/>
    <s v="CIERRE DE ANIO FISCAL"/>
    <s v="CIERRE_DE_CTAS_NOMINALES"/>
    <n v="0"/>
    <n v="123.6"/>
    <s v="RIO ABAJO"/>
    <x v="1"/>
  </r>
  <r>
    <n v="15"/>
    <d v="2018-06-01T00:00:00"/>
    <x v="2"/>
    <x v="2"/>
    <x v="0"/>
    <s v="ADMINISTRACION DE SUCURSALES"/>
    <s v="VIATICOS"/>
    <s v="TRANSACCIONES DEL DIA 06/01/2018SPYRAL - GESTION ADMINISTRATIVA"/>
    <n v="19"/>
    <n v="0"/>
    <s v="LA CHORRERA"/>
    <x v="1"/>
  </r>
  <r>
    <n v="15"/>
    <d v="2018-06-19T00:00:00"/>
    <x v="2"/>
    <x v="2"/>
    <x v="0"/>
    <s v="ADMINISTRACION DE SUCURSALES"/>
    <s v="OTROS EGRESOS 18"/>
    <s v="OTROS EGRESOS 1.P.O (OR:15/DES:15 TRN:86 PERF:300086 CAU: 18"/>
    <n v="2.25"/>
    <n v="0"/>
    <s v="LA CHORRERA"/>
    <x v="1"/>
  </r>
  <r>
    <n v="15"/>
    <d v="2018-07-10T00:00:00"/>
    <x v="6"/>
    <x v="6"/>
    <x v="0"/>
    <s v="ADMINISTRACION DE SUCURSALES"/>
    <s v="OTROS EGRESOS 18"/>
    <s v="OTROS EGRESOS 1.P.O (OR:15/DES:15 TRN:86 PERF:300086 CAU: 18"/>
    <n v="9"/>
    <n v="0"/>
    <s v="LA CHORRERA"/>
    <x v="1"/>
  </r>
  <r>
    <n v="15"/>
    <d v="2018-08-08T00:00:00"/>
    <x v="3"/>
    <x v="3"/>
    <x v="0"/>
    <s v="ADMINISTRACION DE SUCURSALES"/>
    <s v="OTROS EGRESOS 18"/>
    <s v="OTROS EGRESOS 1.P.O (OR:15/DES:15 TRN:86 PERF:300086 CAU: 18"/>
    <n v="4.5"/>
    <n v="0"/>
    <s v="LA CHORRERA"/>
    <x v="1"/>
  </r>
  <r>
    <n v="15"/>
    <d v="2018-08-13T00:00:00"/>
    <x v="3"/>
    <x v="3"/>
    <x v="0"/>
    <s v="ADMINISTRACION DE SUCURSALES"/>
    <s v="VIATICOS"/>
    <s v="TRANSACCIONES DEL DIA 08/13/2018SPYRAL - GESTION ADMINISTRATIVA"/>
    <n v="38"/>
    <n v="0"/>
    <s v="LA CHORRERA"/>
    <x v="1"/>
  </r>
  <r>
    <n v="15"/>
    <d v="2018-08-23T00:00:00"/>
    <x v="3"/>
    <x v="3"/>
    <x v="0"/>
    <s v="ADMINISTRACION DE SUCURSALES"/>
    <s v="OTROS EGRESOS 18"/>
    <s v="OTROS EGRESOS 1.P.O (OR:15/DES:15 TRN:86 PERF:300086 CAU: 18"/>
    <n v="4.5"/>
    <n v="0"/>
    <s v="LA CHORRERA"/>
    <x v="1"/>
  </r>
  <r>
    <n v="15"/>
    <d v="2018-09-01T00:00:00"/>
    <x v="4"/>
    <x v="4"/>
    <x v="0"/>
    <s v="ADMINISTRACION DE SUCURSALES"/>
    <s v="OTROS EGRESOS 18"/>
    <s v="OTROS EGRESOS 1.P.O (OR:15/DES:15 TRN:86 PERF:300086 CAU: 18"/>
    <n v="9"/>
    <n v="0"/>
    <s v="LA CHORRERA"/>
    <x v="1"/>
  </r>
  <r>
    <n v="15"/>
    <d v="2018-09-05T00:00:00"/>
    <x v="4"/>
    <x v="4"/>
    <x v="0"/>
    <s v="ADMINISTRACION DE SUCURSALES"/>
    <s v="OTROS EGRESOS 18"/>
    <s v="OTROS EGRESOS 1.P.O (OR:15/DES:15 TRN:86 PERF:300086 CAU: 18"/>
    <n v="2.25"/>
    <n v="0"/>
    <s v="LA CHORRERA"/>
    <x v="1"/>
  </r>
  <r>
    <n v="15"/>
    <d v="2018-09-24T00:00:00"/>
    <x v="4"/>
    <x v="4"/>
    <x v="0"/>
    <s v="ADMINISTRACION DE SUCURSALES"/>
    <s v="OTROS EGRESOS 18"/>
    <s v="OTROS EGRESOS 1.P.O (OR:15/DES:15 TRN:86 PERF:300086 CAU: 18"/>
    <n v="2.25"/>
    <n v="0"/>
    <s v="LA CHORRERA"/>
    <x v="1"/>
  </r>
  <r>
    <n v="15"/>
    <d v="2018-10-04T00:00:00"/>
    <x v="0"/>
    <x v="0"/>
    <x v="0"/>
    <s v="ADMINISTRACION DE SUCURSALES"/>
    <s v="VIATICOS"/>
    <s v="TRANSACCIONES DEL DIA 10/04/2018SPYRAL - GESTION ADMINISTRATIVA"/>
    <n v="19"/>
    <n v="0"/>
    <s v="LA CHORRERA"/>
    <x v="1"/>
  </r>
  <r>
    <n v="15"/>
    <d v="2018-10-13T00:00:00"/>
    <x v="0"/>
    <x v="0"/>
    <x v="0"/>
    <s v="ADMINISTRACION DE SUCURSALES"/>
    <s v="OTROS EGRESOS 18"/>
    <s v="OTROS EGRESOS 1.P.O (OR:15/DES:15 TRN:86 PERF:300086 CAU: 18"/>
    <n v="12.75"/>
    <n v="0"/>
    <s v="LA CHORRERA"/>
    <x v="1"/>
  </r>
  <r>
    <n v="15"/>
    <d v="2018-11-29T00:00:00"/>
    <x v="5"/>
    <x v="5"/>
    <x v="0"/>
    <s v="ADMINISTRACION DE SUCURSALES"/>
    <s v="VIATICOS"/>
    <s v="TRANSACCIONES DEL DIA 11/29/2018SPYRAL - GESTION ADMINISTRATIVA"/>
    <n v="19"/>
    <n v="0"/>
    <s v="LA CHORRERA"/>
    <x v="1"/>
  </r>
  <r>
    <n v="15"/>
    <d v="2018-12-01T00:00:00"/>
    <x v="1"/>
    <x v="1"/>
    <x v="0"/>
    <s v="ADMINISTRACION DE SUCURSALES"/>
    <s v="OTROS EGRESOS 18"/>
    <s v="OTROS EGRESOS 1.P.O (OR:15/DES:15 TRN:86 PERF:300086 CAU: 18"/>
    <n v="2.25"/>
    <n v="0"/>
    <s v="LA CHORRERA"/>
    <x v="1"/>
  </r>
  <r>
    <n v="15"/>
    <d v="2018-12-03T00:00:00"/>
    <x v="1"/>
    <x v="1"/>
    <x v="0"/>
    <s v="ADMINISTRACION DE SUCURSALES"/>
    <s v="OTROS EGRESOS 18"/>
    <s v="OTROS EGRESOS 1.P.O (OR:15/DES:15 TRN:86 PERF:300086 CAU: 18"/>
    <n v="9"/>
    <n v="0"/>
    <s v="LA CHORRERA"/>
    <x v="1"/>
  </r>
  <r>
    <n v="15"/>
    <d v="2018-12-14T00:00:00"/>
    <x v="1"/>
    <x v="1"/>
    <x v="0"/>
    <s v="ADMINISTRACION DE SUCURSALES"/>
    <s v="OTROS EGRESOS 18"/>
    <s v="OTROS EGRESOS 1.P.O (OR:15/DES:15 TRN:86 PERF:300086 CAU: 18"/>
    <n v="2.25"/>
    <n v="0"/>
    <s v="LA CHORRERA"/>
    <x v="1"/>
  </r>
  <r>
    <n v="15"/>
    <d v="2018-12-20T00:00:00"/>
    <x v="1"/>
    <x v="1"/>
    <x v="0"/>
    <s v="ADMINISTRACION DE SUCURSALES"/>
    <s v="OTROS EGRESOS 18"/>
    <s v="OTROS EGRESOS 1.P.O (OR:15/DES:15 TRN:86 PERF:300086 CAU: 18"/>
    <n v="2.25"/>
    <n v="0"/>
    <s v="LA CHORRERA"/>
    <x v="1"/>
  </r>
  <r>
    <n v="15"/>
    <d v="2018-12-31T00:00:00"/>
    <x v="1"/>
    <x v="1"/>
    <x v="0"/>
    <s v="ADMINISTRACION DE SUCURSALES"/>
    <s v="CIERRE DE ANIO FISCAL"/>
    <s v="CIERRE_DE_CTAS_NOMINALES"/>
    <n v="0"/>
    <n v="247.85"/>
    <s v="LA CHORRERA"/>
    <x v="1"/>
  </r>
  <r>
    <n v="15"/>
    <d v="2018-12-31T00:00:00"/>
    <x v="1"/>
    <x v="1"/>
    <x v="0"/>
    <s v="SERVICIOS PERSONALES"/>
    <s v="CIERRE DE ANIO FISCAL"/>
    <s v="CIERRE_DE_CTAS_NOMINALES"/>
    <n v="0"/>
    <n v="38"/>
    <s v="LA CHORRERA"/>
    <x v="1"/>
  </r>
  <r>
    <n v="16"/>
    <d v="2018-06-21T00:00:00"/>
    <x v="2"/>
    <x v="2"/>
    <x v="0"/>
    <s v="ADMINISTRACION DE SUCURSALES"/>
    <s v="OTROS EGRESOS 18"/>
    <s v="OTROS EGRESOS 1.P.O (OR:16/DES:16 TRN:86 PERF:300086 CAU: 18"/>
    <n v="8.4"/>
    <n v="0"/>
    <s v="AVENIDA CENTRAL"/>
    <x v="1"/>
  </r>
  <r>
    <n v="16"/>
    <d v="2018-09-17T00:00:00"/>
    <x v="4"/>
    <x v="4"/>
    <x v="0"/>
    <s v="ADMINISTRACION DE SUCURSALES"/>
    <s v="OTROS EGRESOS 18"/>
    <s v="OTROS EGRESOS 1.P.O (OR:16/DES:16 TRN:86 PERF:300086 CAU: 18"/>
    <n v="8.4"/>
    <n v="0"/>
    <s v="AVENIDA CENTRAL"/>
    <x v="1"/>
  </r>
  <r>
    <n v="16"/>
    <d v="2018-12-31T00:00:00"/>
    <x v="1"/>
    <x v="1"/>
    <x v="0"/>
    <s v="ADMINISTRACION DE SUCURSALES"/>
    <s v="CIERRE DE ANIO FISCAL"/>
    <s v="CIERRE_DE_CTAS_NOMINALES"/>
    <n v="0"/>
    <n v="87.57"/>
    <s v="AVENIDA CENTRAL"/>
    <x v="1"/>
  </r>
  <r>
    <n v="17"/>
    <d v="2018-06-11T00:00:00"/>
    <x v="2"/>
    <x v="2"/>
    <x v="0"/>
    <s v="ADMINISTRACION DE SUCURSALES"/>
    <s v="OTROS EGRESOS 18"/>
    <s v="OTROS EGRESOS 1.P.O (OR:17/DES:17 TRN:86 PERF:300086 CAU: 18"/>
    <n v="3.15"/>
    <n v="0"/>
    <s v="LOS ANGELES"/>
    <x v="1"/>
  </r>
  <r>
    <n v="17"/>
    <d v="2018-07-02T00:00:00"/>
    <x v="6"/>
    <x v="6"/>
    <x v="0"/>
    <s v="ADMINISTRACION DE SUCURSALES"/>
    <s v="OTROS EGRESOS 18"/>
    <s v="OTROS EGRESOS 1.P.O (OR:17/DES:17 TRN:86 PERF:300086 CAU: 18"/>
    <n v="3.6"/>
    <n v="0"/>
    <s v="LOS ANGELES"/>
    <x v="1"/>
  </r>
  <r>
    <n v="17"/>
    <d v="2018-07-09T00:00:00"/>
    <x v="6"/>
    <x v="6"/>
    <x v="0"/>
    <s v="ADMINISTRACION DE SUCURSALES"/>
    <s v="OTROS EGRESOS 18"/>
    <s v="OTROS EGRESOS 1.P.O (OR:17/DES:17 TRN:86 PERF:300086 CAU: 18"/>
    <n v="3"/>
    <n v="0"/>
    <s v="LOS ANGELES"/>
    <x v="1"/>
  </r>
  <r>
    <n v="17"/>
    <d v="2018-07-18T00:00:00"/>
    <x v="6"/>
    <x v="6"/>
    <x v="0"/>
    <s v="ADMINISTRACION DE SUCURSALES"/>
    <s v="OTROS EGRESOS 18"/>
    <s v="OTROS EGRESOS 1.P.O (OR:17/DES:17 TRN:86 PERF:300086 CAU: 18"/>
    <n v="1.8"/>
    <n v="0"/>
    <s v="LOS ANGELES"/>
    <x v="1"/>
  </r>
  <r>
    <n v="17"/>
    <d v="2018-07-28T00:00:00"/>
    <x v="6"/>
    <x v="6"/>
    <x v="0"/>
    <s v="ADMINISTRACION DE SUCURSALES"/>
    <s v="OTROS EGRESOS 18"/>
    <s v="OTROS EGRESOS 1.P.O (OR:17/DES:17 TRN:86 PERF:300086 CAU: 18"/>
    <n v="9.1999999999999993"/>
    <n v="0"/>
    <s v="LOS ANGELES"/>
    <x v="1"/>
  </r>
  <r>
    <n v="17"/>
    <d v="2018-09-14T00:00:00"/>
    <x v="4"/>
    <x v="4"/>
    <x v="0"/>
    <s v="ADMINISTRACION DE SUCURSALES"/>
    <s v="OTROS EGRESOS 18"/>
    <s v="OTROS EGRESOS 1.P.O (OR:17/DES:17 TRN:86 PERF:300086 CAU: 18"/>
    <n v="2.25"/>
    <n v="0"/>
    <s v="LOS ANGELES"/>
    <x v="1"/>
  </r>
  <r>
    <n v="17"/>
    <d v="2018-09-25T00:00:00"/>
    <x v="4"/>
    <x v="4"/>
    <x v="0"/>
    <s v="ADMINISTRACION DE SUCURSALES"/>
    <s v="OTROS EGRESOS 18"/>
    <s v="OTROS EGRESOS 1.P.O (OR:17/DES:17 TRN:86 PERF:300086 CAU: 18"/>
    <n v="2.25"/>
    <n v="0"/>
    <s v="LOS ANGELES"/>
    <x v="1"/>
  </r>
  <r>
    <n v="17"/>
    <d v="2018-10-01T00:00:00"/>
    <x v="0"/>
    <x v="0"/>
    <x v="0"/>
    <s v="ADMINISTRACION DE SUCURSALES"/>
    <s v="OTROS EGRESOS 18"/>
    <s v="OTROS EGRESOS 1.P.O (OR:17/DES:17 TRN:86 PERF:300086 CAU: 18"/>
    <n v="3"/>
    <n v="0"/>
    <s v="LOS ANGELES"/>
    <x v="1"/>
  </r>
  <r>
    <n v="17"/>
    <d v="2018-10-10T00:00:00"/>
    <x v="0"/>
    <x v="0"/>
    <x v="0"/>
    <s v="ADMINISTRACION DE SUCURSALES"/>
    <s v="OTROS EGRESOS 18"/>
    <s v="OTROS EGRESOS 1.P.O (OR:17/DES:17 TRN:86 PERF:300086 CAU: 18"/>
    <n v="2.4"/>
    <n v="0"/>
    <s v="LOS ANGELES"/>
    <x v="1"/>
  </r>
  <r>
    <n v="17"/>
    <d v="2018-10-11T00:00:00"/>
    <x v="0"/>
    <x v="0"/>
    <x v="0"/>
    <s v="ADMINISTRACION DE SUCURSALES"/>
    <s v="OTROS EGRESOS 18"/>
    <s v="OTROS EGRESOS 1.P.O (OR:17/DES:17 TRN:86 PERF:300086 CAU: 18"/>
    <n v="3.6"/>
    <n v="0"/>
    <s v="LOS ANGELES"/>
    <x v="1"/>
  </r>
  <r>
    <n v="17"/>
    <d v="2018-10-22T00:00:00"/>
    <x v="0"/>
    <x v="0"/>
    <x v="0"/>
    <s v="ADMINISTRACION DE SUCURSALES"/>
    <s v="OTROS EGRESOS 18"/>
    <s v="OTROS EGRESOS 1.P.O (OR:17/DES:17 TRN:86 PERF:300086 CAU: 18"/>
    <n v="2.4"/>
    <n v="0"/>
    <s v="LOS ANGELES"/>
    <x v="1"/>
  </r>
  <r>
    <n v="17"/>
    <d v="2018-10-30T00:00:00"/>
    <x v="0"/>
    <x v="0"/>
    <x v="0"/>
    <s v="ADMINISTRACION DE SUCURSALES"/>
    <s v="OTROS EGRESOS 18"/>
    <s v="OTROS EGRESOS 1.P.O (OR:17/DES:17 TRN:86 PERF:300086 CAU: 18"/>
    <n v="2.4"/>
    <n v="0"/>
    <s v="LOS ANGELES"/>
    <x v="1"/>
  </r>
  <r>
    <n v="17"/>
    <d v="2018-10-31T00:00:00"/>
    <x v="0"/>
    <x v="0"/>
    <x v="0"/>
    <s v="ADMINISTRACION DE SUCURSALES"/>
    <s v="OTROS EGRESOS 18"/>
    <s v="OTROS EGRESOS 1.P.O (OR:17/DES:17 TRN:86 PERF:300086 CAU: 18"/>
    <n v="6.75"/>
    <n v="0"/>
    <s v="LOS ANGELES"/>
    <x v="1"/>
  </r>
  <r>
    <n v="17"/>
    <d v="2018-11-12T00:00:00"/>
    <x v="5"/>
    <x v="5"/>
    <x v="0"/>
    <s v="ADMINISTRACION DE SUCURSALES"/>
    <s v="OTROS EGRESOS 18"/>
    <s v="OTROS EGRESOS 1.P.O (OR:17/DES:17 TRN:86 PERF:300086 CAU: 18"/>
    <n v="6.85"/>
    <n v="0"/>
    <s v="LOS ANGELES"/>
    <x v="1"/>
  </r>
  <r>
    <n v="17"/>
    <d v="2018-12-06T00:00:00"/>
    <x v="1"/>
    <x v="1"/>
    <x v="0"/>
    <s v="ADMINISTRACION DE SUCURSALES"/>
    <s v="OTROS EGRESOS 18"/>
    <s v="OTROS EGRESOS 1.P.O (OR:17/DES:17 TRN:86 PERF:300086 CAU: 18"/>
    <n v="2.25"/>
    <n v="0"/>
    <s v="LOS ANGELES"/>
    <x v="1"/>
  </r>
  <r>
    <n v="17"/>
    <d v="2018-12-12T00:00:00"/>
    <x v="1"/>
    <x v="1"/>
    <x v="0"/>
    <s v="ADMINISTRACION DE SUCURSALES"/>
    <s v="OTROS EGRESOS 18"/>
    <s v="OTROS EGRESOS 1.P.O (OR:17/DES:17 TRN:86 PERF:300086 CAU: 18"/>
    <n v="1.8"/>
    <n v="0"/>
    <s v="LOS ANGELES"/>
    <x v="1"/>
  </r>
  <r>
    <n v="17"/>
    <d v="2018-12-17T00:00:00"/>
    <x v="1"/>
    <x v="1"/>
    <x v="0"/>
    <s v="ADMINISTRACION DE SUCURSALES"/>
    <s v="OTROS EGRESOS 18"/>
    <s v="OTROS EGRESOS 1.P.O (OR:17/DES:17 TRN:86 PERF:300086 CAU: 18"/>
    <n v="6.85"/>
    <n v="0"/>
    <s v="LOS ANGELES"/>
    <x v="1"/>
  </r>
  <r>
    <n v="17"/>
    <d v="2018-12-19T00:00:00"/>
    <x v="1"/>
    <x v="1"/>
    <x v="0"/>
    <s v="ADMINISTRACION DE SUCURSALES"/>
    <s v="OTROS EGRESOS 18"/>
    <s v="OTROS EGRESOS 1.P.O (OR:17/DES:17 TRN:86 PERF:300086 CAU: 18"/>
    <n v="6.85"/>
    <n v="0"/>
    <s v="LOS ANGELES"/>
    <x v="1"/>
  </r>
  <r>
    <n v="17"/>
    <d v="2018-12-31T00:00:00"/>
    <x v="1"/>
    <x v="1"/>
    <x v="0"/>
    <s v="ADMINISTRACION DE SUCURSALES"/>
    <s v="CIERRE DE ANIO FISCAL"/>
    <s v="CIERRE_DE_CTAS_NOMINALES"/>
    <n v="0"/>
    <n v="118.25"/>
    <s v="LOS ANGELES"/>
    <x v="1"/>
  </r>
  <r>
    <n v="18"/>
    <d v="2018-06-01T00:00:00"/>
    <x v="2"/>
    <x v="2"/>
    <x v="0"/>
    <s v="ADMINISTRACION DE SUCURSALES"/>
    <s v="OTROS EGRESOS 18"/>
    <s v="OTROS EGRESOS 1.P.O (OR:18/DES:18 TRN:86 PERF:300086 CAU: 18"/>
    <n v="4.75"/>
    <n v="0"/>
    <s v="VILLA LUCRE"/>
    <x v="1"/>
  </r>
  <r>
    <n v="18"/>
    <d v="2018-07-18T00:00:00"/>
    <x v="6"/>
    <x v="6"/>
    <x v="0"/>
    <s v="ADMINISTRACION DE SUCURSALES"/>
    <s v="OTROS EGRESOS 18"/>
    <s v="OTROS EGRESOS 1.P.O (OR:18/DES:18 TRN:86 PERF:300086 CAU: 18"/>
    <n v="2.1"/>
    <n v="0"/>
    <s v="VILLA LUCRE"/>
    <x v="1"/>
  </r>
  <r>
    <n v="18"/>
    <d v="2018-07-27T00:00:00"/>
    <x v="6"/>
    <x v="6"/>
    <x v="0"/>
    <s v="ADMINISTRACION DE SUCURSALES"/>
    <s v="OTROS EGRESOS 18"/>
    <s v="OTROS EGRESOS 1.P.O (OR:18/DES:18 TRN:86 PERF:300086 CAU: 18"/>
    <n v="2.9"/>
    <n v="0"/>
    <s v="VILLA LUCRE"/>
    <x v="1"/>
  </r>
  <r>
    <n v="18"/>
    <d v="2018-11-07T00:00:00"/>
    <x v="5"/>
    <x v="5"/>
    <x v="0"/>
    <s v="ADMINISTRACION DE SUCURSALES"/>
    <s v="OTROS EGRESOS 18"/>
    <s v="OTROS EGRESOS 1.P.O (OR:18/DES:18 TRN:86 PERF:300086 CAU: 18"/>
    <n v="3.7"/>
    <n v="0"/>
    <s v="VILLA LUCRE"/>
    <x v="1"/>
  </r>
  <r>
    <n v="18"/>
    <d v="2018-12-19T00:00:00"/>
    <x v="1"/>
    <x v="1"/>
    <x v="0"/>
    <s v="ADMINISTRACION DE SUCURSALES"/>
    <s v="OTROS EGRESOS 18"/>
    <s v="OTROS EGRESOS 1.P.O (OR:18/DES:18 TRN:86 PERF:300086 CAU: 18"/>
    <n v="2.9"/>
    <n v="0"/>
    <s v="VILLA LUCRE"/>
    <x v="1"/>
  </r>
  <r>
    <n v="18"/>
    <d v="2018-12-27T00:00:00"/>
    <x v="1"/>
    <x v="1"/>
    <x v="0"/>
    <s v="ADMINISTRACION DE SUCURSALES"/>
    <s v="OTROS EGRESOS 18"/>
    <s v="OTROS EGRESOS 1.P.O (OR:18/DES:18 TRN:86 PERF:300086 CAU: 18"/>
    <n v="2.1"/>
    <n v="0"/>
    <s v="VILLA LUCRE"/>
    <x v="1"/>
  </r>
  <r>
    <n v="18"/>
    <d v="2018-12-31T00:00:00"/>
    <x v="1"/>
    <x v="1"/>
    <x v="0"/>
    <s v="ADMINISTRACION DE SUCURSALES"/>
    <s v="CIERRE DE ANIO FISCAL"/>
    <s v="CIERRE_DE_CTAS_NOMINALES"/>
    <n v="0"/>
    <n v="96.05"/>
    <s v="VILLA LUCRE"/>
    <x v="1"/>
  </r>
  <r>
    <n v="19"/>
    <d v="2018-07-27T00:00:00"/>
    <x v="6"/>
    <x v="6"/>
    <x v="0"/>
    <s v="ADMINISTRACION DE SUCURSALES"/>
    <s v="OTROS EGRESOS 18"/>
    <s v="OTROS EGRESOS 1.P.O (OR:19/DES:19 TRN:86 PERF:300086 CAU: 18"/>
    <n v="7"/>
    <n v="0"/>
    <s v="LOS ANDES"/>
    <x v="1"/>
  </r>
  <r>
    <n v="19"/>
    <d v="2018-08-21T00:00:00"/>
    <x v="3"/>
    <x v="3"/>
    <x v="0"/>
    <s v="ADMINISTRACION DE SUCURSALES"/>
    <s v="OTROS EGRESOS 18"/>
    <s v="OTROS EGRESOS 1.P.O (OR:19/DES:19 TRN:86 PERF:300086 CAU: 18"/>
    <n v="5.55"/>
    <n v="0"/>
    <s v="LOS ANDES"/>
    <x v="1"/>
  </r>
  <r>
    <n v="19"/>
    <d v="2018-09-17T00:00:00"/>
    <x v="4"/>
    <x v="4"/>
    <x v="0"/>
    <s v="ADMINISTRACION DE SUCURSALES"/>
    <s v="OTROS EGRESOS 18"/>
    <s v="OTROS EGRESOS 1.P.O (OR:19/DES:19 TRN:86 PERF:300086 CAU: 18"/>
    <n v="5.55"/>
    <n v="0"/>
    <s v="LOS ANDES"/>
    <x v="1"/>
  </r>
  <r>
    <n v="19"/>
    <d v="2018-12-31T00:00:00"/>
    <x v="1"/>
    <x v="1"/>
    <x v="0"/>
    <s v="ADMINISTRACION DE SUCURSALES"/>
    <s v="CIERRE DE ANIO FISCAL"/>
    <s v="CIERRE_DE_CTAS_NOMINALES"/>
    <n v="0"/>
    <n v="163.19999999999999"/>
    <s v="LOS ANDES"/>
    <x v="1"/>
  </r>
  <r>
    <n v="20"/>
    <d v="2018-08-20T00:00:00"/>
    <x v="3"/>
    <x v="3"/>
    <x v="0"/>
    <s v="ADMINISTRACION DE SUCURSALES"/>
    <s v="OTROS EGRESOS 18"/>
    <s v="OTROS EGRESOS 1.P.O (OR:20/DES:20 TRN:86 PERF:300086 CAU: 18"/>
    <n v="1100"/>
    <n v="0"/>
    <s v="VIA ESPANA"/>
    <x v="1"/>
  </r>
  <r>
    <n v="20"/>
    <d v="2018-08-24T00:00:00"/>
    <x v="3"/>
    <x v="3"/>
    <x v="0"/>
    <s v="ADMINISTRACION DE SUCURSALES"/>
    <s v="CORREGIMOS ENTRADA DEL 20 DE AGOSTO POR ERROR EN CAUSA. SE DEBIO"/>
    <s v="REGISTRO DE ENTRADA DE CAJA"/>
    <n v="0"/>
    <n v="1100"/>
    <s v="VIA ESPANA"/>
    <x v="1"/>
  </r>
  <r>
    <n v="20"/>
    <d v="2018-08-28T00:00:00"/>
    <x v="3"/>
    <x v="3"/>
    <x v="0"/>
    <s v="ADMINISTRACION DE SUCURSALES"/>
    <s v="OTROS EGRESOS 18"/>
    <s v="OTROS EGRESOS 1.P.O (OR:20/DES:20 TRN:86 PERF:300086 CAU: 18"/>
    <n v="11.5"/>
    <n v="0"/>
    <s v="VIA ESPANA"/>
    <x v="1"/>
  </r>
  <r>
    <n v="20"/>
    <d v="2018-09-14T00:00:00"/>
    <x v="4"/>
    <x v="4"/>
    <x v="0"/>
    <s v="ADMINISTRACION DE SUCURSALES"/>
    <s v="OTROS EGRESOS 18"/>
    <s v="OTROS EGRESOS 1.P.O (OR:20/DES:20 TRN:86 PERF:300086 CAU: 18"/>
    <n v="2.4"/>
    <n v="0"/>
    <s v="VIA ESPANA"/>
    <x v="1"/>
  </r>
  <r>
    <n v="20"/>
    <d v="2018-10-15T00:00:00"/>
    <x v="0"/>
    <x v="0"/>
    <x v="0"/>
    <s v="ADMINISTRACION DE SUCURSALES"/>
    <s v="OTROS EGRESOS 18"/>
    <s v="OTROS EGRESOS 1.P.O (OR:20/DES:20 TRN:86 PERF:300086 CAU: 18"/>
    <n v="5.55"/>
    <n v="0"/>
    <s v="VIA ESPANA"/>
    <x v="1"/>
  </r>
  <r>
    <n v="20"/>
    <d v="2018-11-15T00:00:00"/>
    <x v="5"/>
    <x v="5"/>
    <x v="0"/>
    <s v="ADMINISTRACION DE SUCURSALES"/>
    <s v="OTROS EGRESOS 18"/>
    <s v="OTROS EGRESOS 1.P.O (OR:20/DES:20 TRN:86 PERF:300086 CAU: 18"/>
    <n v="1.8"/>
    <n v="0"/>
    <s v="VIA ESPANA"/>
    <x v="1"/>
  </r>
  <r>
    <n v="20"/>
    <d v="2018-12-21T00:00:00"/>
    <x v="1"/>
    <x v="1"/>
    <x v="0"/>
    <s v="ADMINISTRACION DE SUCURSALES"/>
    <s v="OTROS EGRESOS 18"/>
    <s v="OTROS EGRESOS 1.P.O (OR:20/DES:20 TRN:86 PERF:300086 CAU: 18"/>
    <n v="2.4"/>
    <n v="0"/>
    <s v="VIA ESPANA"/>
    <x v="1"/>
  </r>
  <r>
    <n v="20"/>
    <d v="2018-12-31T00:00:00"/>
    <x v="1"/>
    <x v="1"/>
    <x v="0"/>
    <s v="ADMINISTRACION DE SUCURSALES"/>
    <s v="CIERRE DE ANIO FISCAL"/>
    <s v="CIERRE_DE_CTAS_NOMINALES"/>
    <n v="0"/>
    <n v="61.9"/>
    <s v="VIA ESPANA"/>
    <x v="1"/>
  </r>
  <r>
    <n v="21"/>
    <d v="2018-07-17T00:00:00"/>
    <x v="6"/>
    <x v="6"/>
    <x v="0"/>
    <s v="ADMINISTRACION DE SUCURSALES"/>
    <s v="OTROS EGRESOS 18"/>
    <s v="OTROS EGRESOS 1.P.O (OR:21/DES:21 TRN:86 PERF:300086 CAU: 18"/>
    <n v="3.6"/>
    <n v="0"/>
    <s v="AVENIDA CUBA"/>
    <x v="1"/>
  </r>
  <r>
    <n v="21"/>
    <d v="2018-12-31T00:00:00"/>
    <x v="1"/>
    <x v="1"/>
    <x v="0"/>
    <s v="ADMINISTRACION DE SUCURSALES"/>
    <s v="CIERRE DE ANIO FISCAL"/>
    <s v="CIERRE_DE_CTAS_NOMINALES"/>
    <n v="0"/>
    <n v="16.149999999999999"/>
    <s v="AVENIDA CUBA"/>
    <x v="1"/>
  </r>
  <r>
    <n v="22"/>
    <d v="2018-06-01T00:00:00"/>
    <x v="2"/>
    <x v="2"/>
    <x v="0"/>
    <s v="ADMINISTRACION DE SUCURSALES"/>
    <s v="VIATICOS"/>
    <s v="TRANSACCIONES DEL DIA 06/01/2018SPYRAL - GESTION ADMINISTRATIVA"/>
    <n v="30"/>
    <n v="0"/>
    <s v="CHITRE"/>
    <x v="1"/>
  </r>
  <r>
    <n v="22"/>
    <d v="2018-08-18T00:00:00"/>
    <x v="3"/>
    <x v="3"/>
    <x v="0"/>
    <s v="ADMINISTRACION DE SUCURSALES"/>
    <s v="OTROS EGRESOS 18"/>
    <s v="OTROS EGRESOS 1.P.O (OR:22/DES:22 TRN:86 PERF:300086 CAU: 18"/>
    <n v="27.4"/>
    <n v="0"/>
    <s v="CHITRE"/>
    <x v="1"/>
  </r>
  <r>
    <n v="22"/>
    <d v="2018-08-30T00:00:00"/>
    <x v="3"/>
    <x v="3"/>
    <x v="0"/>
    <s v="ADMINISTRACION DE SUCURSALES"/>
    <s v="OTROS EGRESOS 18"/>
    <s v="OTROS EGRESOS 1.P.O (OR:22/DES:22 TRN:86 PERF:300086 CAU: 18"/>
    <n v="8.6999999999999993"/>
    <n v="0"/>
    <s v="CHITRE"/>
    <x v="1"/>
  </r>
  <r>
    <n v="22"/>
    <d v="2018-10-10T00:00:00"/>
    <x v="0"/>
    <x v="0"/>
    <x v="0"/>
    <s v="ADMINISTRACION DE SUCURSALES"/>
    <s v="OTROS EGRESOS 18"/>
    <s v="OTROS EGRESOS 1.P.O (OR:22/DES:22 TRN:86 PERF:300086 CAU: 18"/>
    <n v="2"/>
    <n v="0"/>
    <s v="CHITRE"/>
    <x v="1"/>
  </r>
  <r>
    <n v="22"/>
    <d v="2018-11-20T00:00:00"/>
    <x v="5"/>
    <x v="5"/>
    <x v="0"/>
    <s v="ADMINISTRACION DE SUCURSALES"/>
    <s v="OTROS EGRESOS 18"/>
    <s v="OTROS EGRESOS 1.P.O (OR:22/DES:22 TRN:86 PERF:300086 CAU: 18"/>
    <n v="14"/>
    <n v="0"/>
    <s v="CHITRE"/>
    <x v="1"/>
  </r>
  <r>
    <n v="22"/>
    <d v="2018-12-03T00:00:00"/>
    <x v="1"/>
    <x v="1"/>
    <x v="0"/>
    <s v="ADMINISTRACION DE SUCURSALES"/>
    <s v="OTROS EGRESOS 18"/>
    <s v="OTROS EGRESOS 1.P.O (OR:22/DES:22 TRN:86 PERF:300086 CAU: 18"/>
    <n v="4"/>
    <n v="0"/>
    <s v="CHITRE"/>
    <x v="1"/>
  </r>
  <r>
    <n v="22"/>
    <d v="2018-12-21T00:00:00"/>
    <x v="1"/>
    <x v="1"/>
    <x v="0"/>
    <s v="ADMINISTRACION DE SUCURSALES"/>
    <s v="OTROS EGRESOS 18"/>
    <s v="OTROS EGRESOS 1.P.O (OR:22/DES:22 TRN:86 PERF:300086 CAU: 18"/>
    <n v="10"/>
    <n v="0"/>
    <s v="CHITRE"/>
    <x v="1"/>
  </r>
  <r>
    <n v="22"/>
    <d v="2018-12-29T00:00:00"/>
    <x v="1"/>
    <x v="1"/>
    <x v="0"/>
    <s v="ADMINISTRACION DE SUCURSALES"/>
    <s v="OTROS EGRESOS 18"/>
    <s v="OTROS EGRESOS 1.P.O (OR:22/DES:22 TRN:86 PERF:300086 CAU: 18"/>
    <n v="30"/>
    <n v="0"/>
    <s v="CHITRE"/>
    <x v="1"/>
  </r>
  <r>
    <n v="22"/>
    <d v="2018-12-31T00:00:00"/>
    <x v="1"/>
    <x v="1"/>
    <x v="0"/>
    <s v="ADMINISTRACION DE SUCURSALES"/>
    <s v="CIERRE DE ANIO FISCAL"/>
    <s v="CIERRE_DE_CTAS_NOMINALES"/>
    <n v="0"/>
    <n v="294.36"/>
    <s v="CHITRE"/>
    <x v="1"/>
  </r>
  <r>
    <n v="22"/>
    <d v="2018-12-31T00:00:00"/>
    <x v="1"/>
    <x v="1"/>
    <x v="0"/>
    <s v="SERVICIOS PERSONALES"/>
    <s v="CIERRE DE ANIO FISCAL"/>
    <s v="CIERRE_DE_CTAS_NOMINALES"/>
    <n v="0"/>
    <n v="1224"/>
    <s v="CHITRE"/>
    <x v="1"/>
  </r>
  <r>
    <n v="23"/>
    <d v="2018-06-06T00:00:00"/>
    <x v="2"/>
    <x v="2"/>
    <x v="0"/>
    <s v="ADMINISTRACION DE SUCURSALES"/>
    <s v="OTROS EGRESOS 18"/>
    <s v="OTROS EGRESOS 1.P.O (OR:23/DES:23 TRN:86 PERF:300086 CAU: 18"/>
    <n v="3.7"/>
    <n v="0"/>
    <s v="LOS PUEBLOS"/>
    <x v="1"/>
  </r>
  <r>
    <n v="23"/>
    <d v="2018-06-15T00:00:00"/>
    <x v="2"/>
    <x v="2"/>
    <x v="0"/>
    <s v="ADMINISTRACION DE SUCURSALES"/>
    <s v="OTROS EGRESOS 18"/>
    <s v="OTROS EGRESOS 1.P.O (OR:23/DES:23 TRN:86 PERF:300086 CAU: 18"/>
    <n v="3.7"/>
    <n v="0"/>
    <s v="LOS PUEBLOS"/>
    <x v="1"/>
  </r>
  <r>
    <n v="23"/>
    <d v="2018-08-09T00:00:00"/>
    <x v="3"/>
    <x v="3"/>
    <x v="0"/>
    <s v="ADMINISTRACION DE SUCURSALES"/>
    <s v="OTROS EGRESOS 18"/>
    <s v="OTROS EGRESOS 1.P.O (OR:23/DES:23 TRN:86 PERF:300086 CAU: 18"/>
    <n v="7.4"/>
    <n v="0"/>
    <s v="LOS PUEBLOS"/>
    <x v="1"/>
  </r>
  <r>
    <n v="23"/>
    <d v="2018-08-15T00:00:00"/>
    <x v="3"/>
    <x v="3"/>
    <x v="0"/>
    <s v="ADMINISTRACION DE SUCURSALES"/>
    <s v="OTROS EGRESOS 18"/>
    <s v="OTROS EGRESOS 1.P.O (OR:23/DES:23 TRN:86 PERF:300086 CAU: 18"/>
    <n v="3.7"/>
    <n v="0"/>
    <s v="LOS PUEBLOS"/>
    <x v="1"/>
  </r>
  <r>
    <n v="23"/>
    <d v="2018-09-26T00:00:00"/>
    <x v="4"/>
    <x v="4"/>
    <x v="0"/>
    <s v="ADMINISTRACION DE SUCURSALES"/>
    <s v="OTROS EGRESOS 18"/>
    <s v="OTROS EGRESOS 1.P.O (OR:23/DES:23 TRN:86 PERF:300086 CAU: 18"/>
    <n v="3.15"/>
    <n v="0"/>
    <s v="LOS PUEBLOS"/>
    <x v="1"/>
  </r>
  <r>
    <n v="23"/>
    <d v="2018-11-16T00:00:00"/>
    <x v="5"/>
    <x v="5"/>
    <x v="0"/>
    <s v="ADMINISTRACION DE SUCURSALES"/>
    <s v="OTROS EGRESOS 18"/>
    <s v="OTROS EGRESOS 1.P.O (OR:23/DES:23 TRN:86 PERF:300086 CAU: 18"/>
    <n v="3.7"/>
    <n v="0"/>
    <s v="LOS PUEBLOS"/>
    <x v="1"/>
  </r>
  <r>
    <n v="23"/>
    <d v="2018-11-20T00:00:00"/>
    <x v="5"/>
    <x v="5"/>
    <x v="0"/>
    <s v="ADMINISTRACION DE SUCURSALES"/>
    <s v="OTROS EGRESOS 18"/>
    <s v="OTROS EGRESOS 1.P.O (OR:23/DES:23 TRN:86 PERF:300086 CAU: 18"/>
    <n v="7.3"/>
    <n v="0"/>
    <s v="LOS PUEBLOS"/>
    <x v="1"/>
  </r>
  <r>
    <n v="23"/>
    <d v="2018-12-06T00:00:00"/>
    <x v="1"/>
    <x v="1"/>
    <x v="0"/>
    <s v="ADMINISTRACION DE SUCURSALES"/>
    <s v="OTROS EGRESOS 18"/>
    <s v="OTROS EGRESOS 1.P.O (OR:23/DES:23 TRN:86 PERF:300086 CAU: 18"/>
    <n v="3.15"/>
    <n v="0"/>
    <s v="LOS PUEBLOS"/>
    <x v="1"/>
  </r>
  <r>
    <n v="23"/>
    <d v="2018-12-22T00:00:00"/>
    <x v="1"/>
    <x v="1"/>
    <x v="0"/>
    <s v="ADMINISTRACION DE SUCURSALES"/>
    <s v="OTROS EGRESOS 18"/>
    <s v="OTROS EGRESOS 1.P.O (OR:23/DES:23 TRN:86 PERF:300086 CAU: 18"/>
    <n v="3.15"/>
    <n v="0"/>
    <s v="LOS PUEBLOS"/>
    <x v="1"/>
  </r>
  <r>
    <n v="23"/>
    <d v="2018-12-31T00:00:00"/>
    <x v="1"/>
    <x v="1"/>
    <x v="0"/>
    <s v="ADMINISTRACION DE SUCURSALES"/>
    <s v="CIERRE DE ANIO FISCAL"/>
    <s v="CIERRE_DE_CTAS_NOMINALES"/>
    <n v="0"/>
    <n v="73.45"/>
    <s v="LOS PUEBLOS"/>
    <x v="1"/>
  </r>
  <r>
    <n v="26"/>
    <d v="2018-06-14T00:00:00"/>
    <x v="2"/>
    <x v="2"/>
    <x v="0"/>
    <s v="ADMINISTRACION DE SUCURSALES"/>
    <s v="OTROS EGRESOS 18"/>
    <s v="OTROS EGRESOS 1.P.O (OR:26/DES:26 TRN:86 PERF:300086 CAU: 18"/>
    <n v="64.400000000000006"/>
    <n v="0"/>
    <s v="TRANSISTMICA"/>
    <x v="1"/>
  </r>
  <r>
    <n v="26"/>
    <d v="2018-06-15T00:00:00"/>
    <x v="2"/>
    <x v="2"/>
    <x v="0"/>
    <s v="ADMINISTRACION DE SUCURSALES"/>
    <s v="OTROS EGRESOS 18"/>
    <s v="OTROS EGRESOS 1.P.O (OR:26/DES:26 TRN:86 PERF:300086 CAU: 18"/>
    <n v="36.799999999999997"/>
    <n v="0"/>
    <s v="TRANSISTMICA"/>
    <x v="1"/>
  </r>
  <r>
    <n v="26"/>
    <d v="2018-06-25T00:00:00"/>
    <x v="2"/>
    <x v="2"/>
    <x v="0"/>
    <s v="ADMINISTRACION DE SUCURSALES"/>
    <s v="OTROS EGRESOS 18"/>
    <s v="OTROS EGRESOS 1.P.O (OR:26/DES:26 TRN:86 PERF:300086 CAU: 18"/>
    <n v="18.399999999999999"/>
    <n v="0"/>
    <s v="TRANSISTMICA"/>
    <x v="1"/>
  </r>
  <r>
    <n v="26"/>
    <d v="2018-06-26T00:00:00"/>
    <x v="2"/>
    <x v="2"/>
    <x v="0"/>
    <s v="ADMINISTRACION DE SUCURSALES"/>
    <s v="OTROS EGRESOS 18"/>
    <s v="OTROS EGRESOS 1.P.O (OR:26/DES:26 TRN:86 PERF:300086 CAU: 18"/>
    <n v="9.1999999999999993"/>
    <n v="0"/>
    <s v="TRANSISTMICA"/>
    <x v="1"/>
  </r>
  <r>
    <n v="26"/>
    <d v="2018-06-29T00:00:00"/>
    <x v="2"/>
    <x v="2"/>
    <x v="0"/>
    <s v="ADMINISTRACION DE SUCURSALES"/>
    <s v="OTROS EGRESOS 18"/>
    <s v="OTROS EGRESOS 1.P.O (OR:26/DES:26 TRN:86 PERF:300086 CAU: 18"/>
    <n v="2.25"/>
    <n v="0"/>
    <s v="TRANSISTMICA"/>
    <x v="1"/>
  </r>
  <r>
    <n v="26"/>
    <d v="2018-07-02T00:00:00"/>
    <x v="6"/>
    <x v="6"/>
    <x v="0"/>
    <s v="ADMINISTRACION DE SUCURSALES"/>
    <s v="OTROS EGRESOS 18"/>
    <s v="OTROS EGRESOS 1.P.O (OR:26/DES:26 TRN:86 PERF:300086 CAU: 18"/>
    <n v="18.399999999999999"/>
    <n v="0"/>
    <s v="TRANSISTMICA"/>
    <x v="1"/>
  </r>
  <r>
    <n v="26"/>
    <d v="2018-12-06T00:00:00"/>
    <x v="1"/>
    <x v="1"/>
    <x v="0"/>
    <s v="ADMINISTRACION DE SUCURSALES"/>
    <s v="OTROS EGRESOS 18"/>
    <s v="OTROS EGRESOS 1.P.O (OR:26/DES:26 TRN:86 PERF:300086 CAU: 18"/>
    <n v="2.4"/>
    <n v="0"/>
    <s v="TRANSISTMICA"/>
    <x v="1"/>
  </r>
  <r>
    <n v="26"/>
    <d v="2018-12-14T00:00:00"/>
    <x v="1"/>
    <x v="1"/>
    <x v="0"/>
    <s v="ADMINISTRACION DE SUCURSALES"/>
    <s v="OTROS EGRESOS 18"/>
    <s v="OTROS EGRESOS 1.P.O (OR:26/DES:26 TRN:86 PERF:300086 CAU: 18"/>
    <n v="2.4"/>
    <n v="0"/>
    <s v="TRANSISTMICA"/>
    <x v="1"/>
  </r>
  <r>
    <n v="26"/>
    <d v="2018-12-31T00:00:00"/>
    <x v="1"/>
    <x v="1"/>
    <x v="0"/>
    <s v="ADMINISTRACION DE SUCURSALES"/>
    <s v="CIERRE DE ANIO FISCAL"/>
    <s v="CIERRE_DE_CTAS_NOMINALES"/>
    <n v="0"/>
    <n v="171.25"/>
    <s v="TRANSISTMICA"/>
    <x v="1"/>
  </r>
  <r>
    <n v="26"/>
    <d v="2018-06-18T00:00:00"/>
    <x v="2"/>
    <x v="2"/>
    <x v="0"/>
    <s v="CAJA"/>
    <s v="O/ING. EFECTIVO 18"/>
    <s v="O/ING. EFECTIVO 1.P.O (OR:26/DES:26 TRN:32 PERF:300032E CAU: 18"/>
    <n v="0"/>
    <n v="8.4"/>
    <s v="TRANSISTMICA"/>
    <x v="1"/>
  </r>
  <r>
    <n v="26"/>
    <d v="2018-12-31T00:00:00"/>
    <x v="1"/>
    <x v="1"/>
    <x v="0"/>
    <s v="CAJA"/>
    <s v="CIERRE DE ANIO FISCAL"/>
    <s v="CIERRE_DE_CTAS_NOMINALES"/>
    <n v="8.4"/>
    <n v="0"/>
    <s v="TRANSISTMICA"/>
    <x v="1"/>
  </r>
  <r>
    <n v="27"/>
    <d v="2018-08-08T00:00:00"/>
    <x v="3"/>
    <x v="3"/>
    <x v="0"/>
    <s v="ADMINISTRACION DE SUCURSALES"/>
    <s v="VIATICOS"/>
    <s v="TRANSACCIONES DEL DIA 08/08/2018SPYRAL - GESTION ADMINISTRATIVA"/>
    <n v="41.6"/>
    <n v="0"/>
    <s v="ZONA LIBRE"/>
    <x v="1"/>
  </r>
  <r>
    <n v="27"/>
    <d v="2018-08-21T00:00:00"/>
    <x v="3"/>
    <x v="3"/>
    <x v="0"/>
    <s v="ADMINISTRACION DE SUCURSALES"/>
    <s v="OTROS EGRESOS 18"/>
    <s v="OTROS EGRESOS 1.P.O (OR:27/DES:27 TRN:86 PERF:300086 CAU: 18"/>
    <n v="1500"/>
    <n v="0"/>
    <s v="ZONA LIBRE"/>
    <x v="1"/>
  </r>
  <r>
    <n v="27"/>
    <d v="2018-08-24T00:00:00"/>
    <x v="3"/>
    <x v="3"/>
    <x v="0"/>
    <s v="ADMINISTRACION DE SUCURSALES"/>
    <s v="CORRIGE ENTRADA DE GASTOS DE DECORACION DE FIESTAS PATRIAS 2018-"/>
    <s v="REGISTRO DE ENTRADA DE ADMINISTRACION"/>
    <n v="0"/>
    <n v="1500"/>
    <s v="ZONA LIBRE"/>
    <x v="1"/>
  </r>
  <r>
    <n v="27"/>
    <d v="2018-12-18T00:00:00"/>
    <x v="1"/>
    <x v="1"/>
    <x v="0"/>
    <s v="ADMINISTRACION DE SUCURSALES"/>
    <s v="VIATICOS"/>
    <s v="TRANSACCIONES DEL DIA 12/18/2018SPYRAL - GESTION ADMINISTRATIVA"/>
    <n v="41.6"/>
    <n v="0"/>
    <s v="ZONA LIBRE"/>
    <x v="1"/>
  </r>
  <r>
    <n v="27"/>
    <d v="2018-12-31T00:00:00"/>
    <x v="1"/>
    <x v="1"/>
    <x v="0"/>
    <s v="ADMINISTRACION DE SUCURSALES"/>
    <s v="CIERRE DE ANIO FISCAL"/>
    <s v="CIERRE_DE_CTAS_NOMINALES"/>
    <n v="0"/>
    <n v="213.4"/>
    <s v="ZONA LIBRE"/>
    <x v="1"/>
  </r>
  <r>
    <n v="27"/>
    <d v="2018-11-12T00:00:00"/>
    <x v="5"/>
    <x v="5"/>
    <x v="0"/>
    <s v="CAJA"/>
    <s v="VIATICOS"/>
    <s v="TRANSACCIONES DEL DIA 11/12/2018SPYRAL - GESTION ADMINISTRATIVA"/>
    <n v="62.6"/>
    <n v="0"/>
    <s v="ZONA LIBRE"/>
    <x v="1"/>
  </r>
  <r>
    <n v="27"/>
    <d v="2018-12-31T00:00:00"/>
    <x v="1"/>
    <x v="1"/>
    <x v="0"/>
    <s v="CAJA"/>
    <s v="CIERRE DE ANIO FISCAL"/>
    <s v="CIERRE_DE_CTAS_NOMINALES"/>
    <n v="0"/>
    <n v="104.2"/>
    <s v="ZONA LIBRE"/>
    <x v="1"/>
  </r>
  <r>
    <n v="28"/>
    <d v="2018-07-20T00:00:00"/>
    <x v="6"/>
    <x v="6"/>
    <x v="0"/>
    <s v="ADMINISTRACION DE SUCURSALES"/>
    <s v="OTROS EGRESOS 18"/>
    <s v="OTROS EGRESOS 1.P.O (OR:28/DES:28 TRN:86 PERF:300086 CAU: 18"/>
    <n v="1.3"/>
    <n v="0"/>
    <s v="PLAZA GALAPAGO"/>
    <x v="1"/>
  </r>
  <r>
    <n v="28"/>
    <d v="2018-08-08T00:00:00"/>
    <x v="3"/>
    <x v="3"/>
    <x v="0"/>
    <s v="ADMINISTRACION DE SUCURSALES"/>
    <s v="OTROS EGRESOS 18"/>
    <s v="OTROS EGRESOS 1.P.O (OR:28/DES:28 TRN:86 PERF:300086 CAU: 18"/>
    <n v="2.9"/>
    <n v="0"/>
    <s v="PLAZA GALAPAGO"/>
    <x v="1"/>
  </r>
  <r>
    <n v="28"/>
    <d v="2018-08-16T00:00:00"/>
    <x v="3"/>
    <x v="3"/>
    <x v="0"/>
    <s v="ADMINISTRACION DE SUCURSALES"/>
    <s v="OTROS EGRESOS 18"/>
    <s v="OTROS EGRESOS 1.P.O (OR:28/DES:28 TRN:86 PERF:300086 CAU: 18"/>
    <n v="1.45"/>
    <n v="0"/>
    <s v="PLAZA GALAPAGO"/>
    <x v="1"/>
  </r>
  <r>
    <n v="28"/>
    <d v="2018-08-20T00:00:00"/>
    <x v="3"/>
    <x v="3"/>
    <x v="0"/>
    <s v="ADMINISTRACION DE SUCURSALES"/>
    <s v="OTROS EGRESOS 18"/>
    <s v="OTROS EGRESOS 1.P.O (OR:28/DES:28 TRN:86 PERF:300086 CAU: 18"/>
    <n v="6.4"/>
    <n v="0"/>
    <s v="PLAZA GALAPAGO"/>
    <x v="1"/>
  </r>
  <r>
    <n v="28"/>
    <d v="2018-12-31T00:00:00"/>
    <x v="1"/>
    <x v="1"/>
    <x v="0"/>
    <s v="ADMINISTRACION DE SUCURSALES"/>
    <s v="CIERRE DE ANIO FISCAL"/>
    <s v="CIERRE_DE_CTAS_NOMINALES"/>
    <n v="0"/>
    <n v="74"/>
    <s v="PLAZA GALAPAGO"/>
    <x v="1"/>
  </r>
  <r>
    <n v="29"/>
    <d v="2018-06-30T00:00:00"/>
    <x v="2"/>
    <x v="2"/>
    <x v="0"/>
    <s v="ADMINISTRACION DE SUCURSALES"/>
    <s v="OTROS EGRESOS 18"/>
    <s v="OTROS EGRESOS 1.P.O (OR:29/DES:29 TRN:86 PERF:300086 CAU: 18"/>
    <n v="7.3"/>
    <n v="0"/>
    <s v="PARQUE LEFEVRE"/>
    <x v="1"/>
  </r>
  <r>
    <n v="29"/>
    <d v="2018-07-17T00:00:00"/>
    <x v="6"/>
    <x v="6"/>
    <x v="0"/>
    <s v="ADMINISTRACION DE SUCURSALES"/>
    <s v="OTROS EGRESOS 18"/>
    <s v="OTROS EGRESOS 1.P.O (OR:29/DES:29 TRN:86 PERF:300086 CAU: 18"/>
    <n v="3.7"/>
    <n v="0"/>
    <s v="PARQUE LEFEVRE"/>
    <x v="1"/>
  </r>
  <r>
    <n v="29"/>
    <d v="2018-07-20T00:00:00"/>
    <x v="6"/>
    <x v="6"/>
    <x v="0"/>
    <s v="ADMINISTRACION DE SUCURSALES"/>
    <s v="OTROS EGRESOS 18"/>
    <s v="OTROS EGRESOS 1.P.O (OR:29/DES:29 TRN:86 PERF:300086 CAU: 18"/>
    <n v="3.7"/>
    <n v="0"/>
    <s v="PARQUE LEFEVRE"/>
    <x v="1"/>
  </r>
  <r>
    <n v="29"/>
    <d v="2018-09-21T00:00:00"/>
    <x v="4"/>
    <x v="4"/>
    <x v="0"/>
    <s v="ADMINISTRACION DE SUCURSALES"/>
    <s v="OTROS EGRESOS 18"/>
    <s v="OTROS EGRESOS 1.P.O (OR:29/DES:29 TRN:86 PERF:300086 CAU: 18"/>
    <n v="4.2"/>
    <n v="0"/>
    <s v="PARQUE LEFEVRE"/>
    <x v="1"/>
  </r>
  <r>
    <n v="29"/>
    <d v="2018-11-06T00:00:00"/>
    <x v="5"/>
    <x v="5"/>
    <x v="0"/>
    <s v="ADMINISTRACION DE SUCURSALES"/>
    <s v="OTROS EGRESOS 18"/>
    <s v="OTROS EGRESOS 1.P.O (OR:29/DES:29 TRN:86 PERF:300086 CAU: 18"/>
    <n v="2.4"/>
    <n v="0"/>
    <s v="PARQUE LEFEVRE"/>
    <x v="1"/>
  </r>
  <r>
    <n v="29"/>
    <d v="2018-12-31T00:00:00"/>
    <x v="1"/>
    <x v="1"/>
    <x v="0"/>
    <s v="ADMINISTRACION DE SUCURSALES"/>
    <s v="CIERRE DE ANIO FISCAL"/>
    <s v="CIERRE_DE_CTAS_NOMINALES"/>
    <n v="0"/>
    <n v="29.7"/>
    <s v="PARQUE LEFEVRE"/>
    <x v="1"/>
  </r>
  <r>
    <n v="30"/>
    <d v="2018-08-07T00:00:00"/>
    <x v="3"/>
    <x v="3"/>
    <x v="0"/>
    <s v="ADMINISTRACION DE SUCURSALES"/>
    <s v="VIATICOS"/>
    <s v="TRANSACCIONES DEL DIA 08/07/2018SPYRAL - GESTION ADMINISTRATIVA"/>
    <n v="24.34"/>
    <n v="0"/>
    <s v="DAVID"/>
    <x v="1"/>
  </r>
  <r>
    <n v="30"/>
    <d v="2018-08-09T00:00:00"/>
    <x v="3"/>
    <x v="3"/>
    <x v="0"/>
    <s v="ADMINISTRACION DE SUCURSALES"/>
    <s v="VIATICOS 2"/>
    <s v="TRANSACCIONES DEL DIA 08/09/2018SPYRAL - GESTION ADMINISTRATIVA"/>
    <n v="176"/>
    <n v="0"/>
    <s v="DAVID"/>
    <x v="1"/>
  </r>
  <r>
    <n v="30"/>
    <d v="2018-10-03T00:00:00"/>
    <x v="0"/>
    <x v="0"/>
    <x v="0"/>
    <s v="ADMINISTRACION DE SUCURSALES"/>
    <s v="VIATICOS"/>
    <s v="TRANSACCIONES DEL DIA 10/03/2018SPYRAL - GESTION ADMINISTRATIVA"/>
    <n v="45"/>
    <n v="0"/>
    <s v="DAVID"/>
    <x v="1"/>
  </r>
  <r>
    <n v="30"/>
    <d v="2018-12-31T00:00:00"/>
    <x v="1"/>
    <x v="1"/>
    <x v="0"/>
    <s v="ADMINISTRACION DE SUCURSALES"/>
    <s v="CIERRE DE ANIO FISCAL"/>
    <s v="CIERRE_DE_CTAS_NOMINALES"/>
    <n v="0"/>
    <n v="300.33999999999997"/>
    <s v="DAVID"/>
    <x v="1"/>
  </r>
  <r>
    <n v="30"/>
    <d v="2018-12-31T00:00:00"/>
    <x v="1"/>
    <x v="1"/>
    <x v="0"/>
    <s v="CAJA"/>
    <s v="CIERRE DE ANIO FISCAL"/>
    <s v="CIERRE_DE_CTAS_NOMINALES"/>
    <n v="0"/>
    <n v="38.119999999999997"/>
    <s v="DAVID"/>
    <x v="1"/>
  </r>
  <r>
    <n v="30"/>
    <d v="2018-10-23T00:00:00"/>
    <x v="0"/>
    <x v="0"/>
    <x v="0"/>
    <s v="SERVICIOS PERSONALES"/>
    <s v="VIATICOS"/>
    <s v="TRANSACCIONES DEL DIA 10/23/2018SPYRAL - GESTION ADMINISTRATIVA"/>
    <n v="32"/>
    <n v="0"/>
    <s v="DAVID"/>
    <x v="1"/>
  </r>
  <r>
    <n v="30"/>
    <d v="2018-12-31T00:00:00"/>
    <x v="1"/>
    <x v="1"/>
    <x v="0"/>
    <s v="SERVICIOS PERSONALES"/>
    <s v="CIERRE DE ANIO FISCAL"/>
    <s v="CIERRE_DE_CTAS_NOMINALES"/>
    <n v="0"/>
    <n v="32"/>
    <s v="DAVID"/>
    <x v="1"/>
  </r>
  <r>
    <n v="32"/>
    <d v="2018-08-29T00:00:00"/>
    <x v="3"/>
    <x v="3"/>
    <x v="0"/>
    <s v="ADMINISTRACION DE SUCURSALES"/>
    <s v="OTROS EGRESOS 18"/>
    <s v="OTROS EGRESOS 1.P.O (OR:32/DES:32 TRN:86 PERF:300086 CAU: 18"/>
    <n v="9.5500000000000007"/>
    <n v="0"/>
    <s v="PLAZA LAS AMERICAS"/>
    <x v="1"/>
  </r>
  <r>
    <n v="32"/>
    <d v="2018-12-20T00:00:00"/>
    <x v="1"/>
    <x v="1"/>
    <x v="0"/>
    <s v="ADMINISTRACION DE SUCURSALES"/>
    <s v="OTROS EGRESOS 18"/>
    <s v="OTROS EGRESOS 1.P.O (OR:32/DES:32 TRN:86 PERF:300086 CAU: 18"/>
    <n v="14.55"/>
    <n v="0"/>
    <s v="PLAZA LAS AMERICAS"/>
    <x v="1"/>
  </r>
  <r>
    <n v="32"/>
    <d v="2018-12-31T00:00:00"/>
    <x v="1"/>
    <x v="1"/>
    <x v="0"/>
    <s v="ADMINISTRACION DE SUCURSALES"/>
    <s v="CIERRE DE ANIO FISCAL"/>
    <s v="CIERRE_DE_CTAS_NOMINALES"/>
    <n v="0"/>
    <n v="24.1"/>
    <s v="PLAZA LAS AMERICAS"/>
    <x v="1"/>
  </r>
  <r>
    <n v="33"/>
    <d v="2018-06-01T00:00:00"/>
    <x v="2"/>
    <x v="2"/>
    <x v="0"/>
    <s v="ADMINISTRACION DE SUCURSALES"/>
    <s v="OTROS EGRESOS 18"/>
    <s v="OTROS EGRESOS 1.P.O (OR:33/DES:33 TRN:86 PERF:300086 CAU: 18"/>
    <n v="26"/>
    <n v="0"/>
    <s v="CORONADO"/>
    <x v="1"/>
  </r>
  <r>
    <n v="33"/>
    <d v="2018-06-01T00:00:00"/>
    <x v="2"/>
    <x v="2"/>
    <x v="0"/>
    <s v="ADMINISTRACION DE SUCURSALES"/>
    <s v="VIATICOS"/>
    <s v="TRANSACCIONES DEL DIA 06/01/2018SPYRAL - GESTION ADMINISTRATIVA"/>
    <n v="104"/>
    <n v="0"/>
    <s v="CORONADO"/>
    <x v="1"/>
  </r>
  <r>
    <n v="33"/>
    <d v="2018-06-08T00:00:00"/>
    <x v="2"/>
    <x v="2"/>
    <x v="0"/>
    <s v="ADMINISTRACION DE SUCURSALES"/>
    <s v="VIATICOS"/>
    <s v="TRANSACCIONES DEL DIA 06/08/2018SPYRAL - GESTION ADMINISTRATIVA"/>
    <n v="19"/>
    <n v="0"/>
    <s v="CORONADO"/>
    <x v="1"/>
  </r>
  <r>
    <n v="33"/>
    <d v="2018-06-13T00:00:00"/>
    <x v="2"/>
    <x v="2"/>
    <x v="0"/>
    <s v="ADMINISTRACION DE SUCURSALES"/>
    <s v="VIATICOS"/>
    <s v="TRANSACCIONES DEL DIA 06/13/2018SPYRAL - GESTION ADMINISTRATIVA"/>
    <n v="364"/>
    <n v="0"/>
    <s v="CORONADO"/>
    <x v="1"/>
  </r>
  <r>
    <n v="33"/>
    <d v="2018-07-12T00:00:00"/>
    <x v="6"/>
    <x v="6"/>
    <x v="0"/>
    <s v="ADMINISTRACION DE SUCURSALES"/>
    <s v="VIATICOS"/>
    <s v="TRANSACCIONES DEL DIA 07/12/2018SPYRAL - GESTION ADMINISTRATIVA"/>
    <n v="338"/>
    <n v="0"/>
    <s v="CORONADO"/>
    <x v="1"/>
  </r>
  <r>
    <n v="33"/>
    <d v="2018-07-26T00:00:00"/>
    <x v="6"/>
    <x v="6"/>
    <x v="0"/>
    <s v="ADMINISTRACION DE SUCURSALES"/>
    <s v="OTROS EGRESOS 18"/>
    <s v="OTROS EGRESOS 1.P.O (OR:33/DES:33 TRN:86 PERF:300086 CAU: 18"/>
    <n v="26"/>
    <n v="0"/>
    <s v="CORONADO"/>
    <x v="1"/>
  </r>
  <r>
    <n v="33"/>
    <d v="2018-07-26T00:00:00"/>
    <x v="6"/>
    <x v="6"/>
    <x v="0"/>
    <s v="ADMINISTRACION DE SUCURSALES"/>
    <s v="VIATICOS"/>
    <s v="TRANSACCIONES DEL DIA 07/26/2018SPYRAL - GESTION ADMINISTRATIVA"/>
    <n v="34"/>
    <n v="0"/>
    <s v="CORONADO"/>
    <x v="1"/>
  </r>
  <r>
    <n v="33"/>
    <d v="2018-08-01T00:00:00"/>
    <x v="3"/>
    <x v="3"/>
    <x v="0"/>
    <s v="ADMINISTRACION DE SUCURSALES"/>
    <s v="OTROS EGRESOS 18"/>
    <s v="OTROS EGRESOS 1.P.O (OR:33/DES:33 TRN:86 PERF:300086 CAU: 18"/>
    <n v="26"/>
    <n v="0"/>
    <s v="CORONADO"/>
    <x v="1"/>
  </r>
  <r>
    <n v="33"/>
    <d v="2018-08-02T00:00:00"/>
    <x v="3"/>
    <x v="3"/>
    <x v="0"/>
    <s v="ADMINISTRACION DE SUCURSALES"/>
    <s v="OTROS EGRESOS 18"/>
    <s v="OTROS EGRESOS 1.P.O (OR:33/DES:33 TRN:86 PERF:300086 CAU: 18"/>
    <n v="13"/>
    <n v="0"/>
    <s v="CORONADO"/>
    <x v="1"/>
  </r>
  <r>
    <n v="33"/>
    <d v="2018-08-17T00:00:00"/>
    <x v="3"/>
    <x v="3"/>
    <x v="0"/>
    <s v="ADMINISTRACION DE SUCURSALES"/>
    <s v="VIATICOS"/>
    <s v="TRANSACCIONES DEL DIA 08/17/2018SPYRAL - GESTION ADMINISTRATIVA"/>
    <n v="26"/>
    <n v="0"/>
    <s v="CORONADO"/>
    <x v="1"/>
  </r>
  <r>
    <n v="33"/>
    <d v="2018-09-24T00:00:00"/>
    <x v="4"/>
    <x v="4"/>
    <x v="0"/>
    <s v="ADMINISTRACION DE SUCURSALES"/>
    <s v="VIATICOS"/>
    <s v="TRANSACCIONES DEL DIA 09/24/2018SPYRAL - GESTION ADMINISTRATIVA"/>
    <n v="34"/>
    <n v="0"/>
    <s v="CORONADO"/>
    <x v="1"/>
  </r>
  <r>
    <n v="33"/>
    <d v="2018-09-27T00:00:00"/>
    <x v="4"/>
    <x v="4"/>
    <x v="0"/>
    <s v="ADMINISTRACION DE SUCURSALES"/>
    <s v="OTROS EGRESOS 18"/>
    <s v="OTROS EGRESOS 1.P.O (OR:33/DES:33 TRN:86 PERF:300086 CAU: 18"/>
    <n v="7"/>
    <n v="0"/>
    <s v="CORONADO"/>
    <x v="1"/>
  </r>
  <r>
    <n v="33"/>
    <d v="2018-10-08T00:00:00"/>
    <x v="0"/>
    <x v="0"/>
    <x v="0"/>
    <s v="ADMINISTRACION DE SUCURSALES"/>
    <s v="OTROS EGRESOS 18"/>
    <s v="OTROS EGRESOS 1.P.O (OR:33/DES:33 TRN:86 PERF:300086 CAU: 18"/>
    <n v="9"/>
    <n v="0"/>
    <s v="CORONADO"/>
    <x v="1"/>
  </r>
  <r>
    <n v="33"/>
    <d v="2018-10-09T00:00:00"/>
    <x v="0"/>
    <x v="0"/>
    <x v="0"/>
    <s v="ADMINISTRACION DE SUCURSALES"/>
    <s v="OTROS EGRESOS 18"/>
    <s v="OTROS EGRESOS 1.P.O (OR:33/DES:33 TRN:86 PERF:300086 CAU: 18"/>
    <n v="9"/>
    <n v="0"/>
    <s v="CORONADO"/>
    <x v="1"/>
  </r>
  <r>
    <n v="33"/>
    <d v="2018-10-12T00:00:00"/>
    <x v="0"/>
    <x v="0"/>
    <x v="0"/>
    <s v="ADMINISTRACION DE SUCURSALES"/>
    <s v="OTROS EGRESOS 18"/>
    <s v="OTROS EGRESOS 1.P.O (OR:33/DES:33 TRN:86 PERF:300086 CAU: 18"/>
    <n v="26"/>
    <n v="0"/>
    <s v="CORONADO"/>
    <x v="1"/>
  </r>
  <r>
    <n v="33"/>
    <d v="2018-10-15T00:00:00"/>
    <x v="0"/>
    <x v="0"/>
    <x v="0"/>
    <s v="ADMINISTRACION DE SUCURSALES"/>
    <s v="VIATICOS"/>
    <s v="TRANSACCIONES DEL DIA 10/15/2018SPYRAL - GESTION ADMINISTRATIVA"/>
    <n v="30.4"/>
    <n v="0"/>
    <s v="CORONADO"/>
    <x v="1"/>
  </r>
  <r>
    <n v="33"/>
    <d v="2018-10-27T00:00:00"/>
    <x v="0"/>
    <x v="0"/>
    <x v="0"/>
    <s v="ADMINISTRACION DE SUCURSALES"/>
    <s v="OTROS EGRESOS 18"/>
    <s v="OTROS EGRESOS 1.P.O (OR:33/DES:33 TRN:86 PERF:300086 CAU: 18"/>
    <n v="7"/>
    <n v="0"/>
    <s v="CORONADO"/>
    <x v="1"/>
  </r>
  <r>
    <n v="33"/>
    <d v="2018-11-01T00:00:00"/>
    <x v="5"/>
    <x v="5"/>
    <x v="0"/>
    <s v="ADMINISTRACION DE SUCURSALES"/>
    <s v="OTROS EGRESOS 18"/>
    <s v="OTROS EGRESOS 1.P.O (OR:33/DES:33 TRN:86 PERF:300086 CAU: 18"/>
    <n v="7"/>
    <n v="0"/>
    <s v="CORONADO"/>
    <x v="1"/>
  </r>
  <r>
    <n v="33"/>
    <d v="2018-11-07T00:00:00"/>
    <x v="5"/>
    <x v="5"/>
    <x v="0"/>
    <s v="ADMINISTRACION DE SUCURSALES"/>
    <s v="OTROS EGRESOS 18"/>
    <s v="OTROS EGRESOS 1.P.O (OR:33/DES:33 TRN:86 PERF:300086 CAU: 18"/>
    <n v="26"/>
    <n v="0"/>
    <s v="CORONADO"/>
    <x v="1"/>
  </r>
  <r>
    <n v="33"/>
    <d v="2018-11-22T00:00:00"/>
    <x v="5"/>
    <x v="5"/>
    <x v="0"/>
    <s v="ADMINISTRACION DE SUCURSALES"/>
    <s v="VIATICOS"/>
    <s v="TRANSACCIONES DEL DIA 11/22/2018SPYRAL - GESTION ADMINISTRATIVA"/>
    <n v="34"/>
    <n v="0"/>
    <s v="CORONADO"/>
    <x v="1"/>
  </r>
  <r>
    <n v="33"/>
    <d v="2018-11-30T00:00:00"/>
    <x v="5"/>
    <x v="5"/>
    <x v="0"/>
    <s v="ADMINISTRACION DE SUCURSALES"/>
    <s v="OTROS EGRESOS 18"/>
    <s v="OTROS EGRESOS 1.P.O (OR:33/DES:33 TRN:86 PERF:300086 CAU: 18"/>
    <n v="9"/>
    <n v="0"/>
    <s v="CORONADO"/>
    <x v="1"/>
  </r>
  <r>
    <n v="33"/>
    <d v="2018-12-03T00:00:00"/>
    <x v="1"/>
    <x v="1"/>
    <x v="0"/>
    <s v="ADMINISTRACION DE SUCURSALES"/>
    <s v="OTROS EGRESOS 18"/>
    <s v="OTROS EGRESOS 1.P.O (OR:33/DES:33 TRN:86 PERF:300086 CAU: 18"/>
    <n v="4.5"/>
    <n v="0"/>
    <s v="CORONADO"/>
    <x v="1"/>
  </r>
  <r>
    <n v="33"/>
    <d v="2018-12-22T00:00:00"/>
    <x v="1"/>
    <x v="1"/>
    <x v="0"/>
    <s v="ADMINISTRACION DE SUCURSALES"/>
    <s v="OTROS EGRESOS 18"/>
    <s v="OTROS EGRESOS 1.P.O (OR:33/DES:33 TRN:86 PERF:300086 CAU: 18"/>
    <n v="104"/>
    <n v="0"/>
    <s v="CORONADO"/>
    <x v="1"/>
  </r>
  <r>
    <n v="33"/>
    <d v="2018-12-31T00:00:00"/>
    <x v="1"/>
    <x v="1"/>
    <x v="0"/>
    <s v="ADMINISTRACION DE SUCURSALES"/>
    <s v="CIERRE DE ANIO FISCAL"/>
    <s v="CIERRE_DE_CTAS_NOMINALES"/>
    <n v="0"/>
    <n v="2746.9"/>
    <s v="CORONADO"/>
    <x v="1"/>
  </r>
  <r>
    <n v="33"/>
    <d v="2018-06-01T00:00:00"/>
    <x v="2"/>
    <x v="2"/>
    <x v="0"/>
    <s v="CAJA"/>
    <s v="VIATICOS"/>
    <s v="TRANSACCIONES DEL DIA 06/01/2018SPYRAL - GESTION ADMINISTRATIVA"/>
    <n v="364"/>
    <n v="0"/>
    <s v="CORONADO"/>
    <x v="1"/>
  </r>
  <r>
    <n v="33"/>
    <d v="2018-06-13T00:00:00"/>
    <x v="2"/>
    <x v="2"/>
    <x v="0"/>
    <s v="CAJA"/>
    <s v="VIATICOS"/>
    <s v="TRANSACCIONES DEL DIA 06/13/2018SPYRAL - GESTION ADMINISTRATIVA"/>
    <n v="312"/>
    <n v="0"/>
    <s v="CORONADO"/>
    <x v="1"/>
  </r>
  <r>
    <n v="33"/>
    <d v="2018-06-29T00:00:00"/>
    <x v="2"/>
    <x v="2"/>
    <x v="0"/>
    <s v="CAJA"/>
    <s v="VIATICOS"/>
    <s v="TRANSACCIONES DEL DIA 06/29/2018SPYRAL - GESTION ADMINISTRATIVA"/>
    <n v="338"/>
    <n v="0"/>
    <s v="CORONADO"/>
    <x v="1"/>
  </r>
  <r>
    <n v="33"/>
    <d v="2018-08-16T00:00:00"/>
    <x v="3"/>
    <x v="3"/>
    <x v="0"/>
    <s v="CAJA"/>
    <s v="VIATICOS"/>
    <s v="TRANSACCIONES DEL DIA 08/16/2018SPYRAL - GESTION ADMINISTRATIVA"/>
    <n v="312"/>
    <n v="0"/>
    <s v="CORONADO"/>
    <x v="1"/>
  </r>
  <r>
    <n v="33"/>
    <d v="2018-09-11T00:00:00"/>
    <x v="4"/>
    <x v="4"/>
    <x v="0"/>
    <s v="CAJA"/>
    <s v="VIATICOS"/>
    <s v="TRANSACCIONES DEL DIA 09/11/2018SPYRAL - GESTION ADMINISTRATIVA"/>
    <n v="130"/>
    <n v="0"/>
    <s v="CORONADO"/>
    <x v="1"/>
  </r>
  <r>
    <n v="33"/>
    <d v="2018-09-13T00:00:00"/>
    <x v="4"/>
    <x v="4"/>
    <x v="0"/>
    <s v="CAJA"/>
    <s v="VIATICOS"/>
    <s v="TRANSACCIONES DEL DIA 09/13/2018SPYRAL - GESTION ADMINISTRATIVA"/>
    <n v="130"/>
    <n v="0"/>
    <s v="CORONADO"/>
    <x v="1"/>
  </r>
  <r>
    <n v="33"/>
    <d v="2018-10-01T00:00:00"/>
    <x v="0"/>
    <x v="0"/>
    <x v="0"/>
    <s v="CAJA"/>
    <s v="VIATICOS"/>
    <s v="TRANSACCIONES DEL DIA 10/01/2018SPYRAL - GESTION ADMINISTRATIVA"/>
    <n v="67.599999999999994"/>
    <n v="0"/>
    <s v="CORONADO"/>
    <x v="1"/>
  </r>
  <r>
    <n v="33"/>
    <d v="2018-10-12T00:00:00"/>
    <x v="0"/>
    <x v="0"/>
    <x v="0"/>
    <s v="CAJA"/>
    <s v="VIATICOS"/>
    <s v="TRANSACCIONES DEL DIA 10/12/2018SPYRAL - GESTION ADMINISTRATIVA"/>
    <n v="62.4"/>
    <n v="0"/>
    <s v="CORONADO"/>
    <x v="1"/>
  </r>
  <r>
    <n v="33"/>
    <d v="2018-11-01T00:00:00"/>
    <x v="5"/>
    <x v="5"/>
    <x v="0"/>
    <s v="CAJA"/>
    <s v="VIATICOS"/>
    <s v="TRANSACCIONES DEL DIA 11/01/2018SPYRAL - GESTION ADMINISTRATIVA"/>
    <n v="90"/>
    <n v="0"/>
    <s v="CORONADO"/>
    <x v="1"/>
  </r>
  <r>
    <n v="33"/>
    <d v="2018-11-13T00:00:00"/>
    <x v="5"/>
    <x v="5"/>
    <x v="0"/>
    <s v="CAJA"/>
    <s v="VIATICOS"/>
    <s v="TRANSACCIONES DEL DIA 11/13/2018SPYRAL - GESTION ADMINISTRATIVA"/>
    <n v="108"/>
    <n v="0"/>
    <s v="CORONADO"/>
    <x v="1"/>
  </r>
  <r>
    <n v="33"/>
    <d v="2018-12-31T00:00:00"/>
    <x v="1"/>
    <x v="1"/>
    <x v="0"/>
    <s v="CAJA"/>
    <s v="CIERRE DE ANIO FISCAL"/>
    <s v="CIERRE_DE_CTAS_NOMINALES"/>
    <n v="0"/>
    <n v="2252"/>
    <s v="CORONADO"/>
    <x v="1"/>
  </r>
  <r>
    <n v="33"/>
    <d v="2018-08-16T00:00:00"/>
    <x v="3"/>
    <x v="3"/>
    <x v="0"/>
    <s v="SERVICIOS PERSONALES"/>
    <s v="VIATICOS"/>
    <s v="TRANSACCIONES DEL DIA 08/16/2018SPYRAL - GESTION ADMINISTRATIVA"/>
    <n v="338"/>
    <n v="0"/>
    <s v="CORONADO"/>
    <x v="1"/>
  </r>
  <r>
    <n v="33"/>
    <d v="2018-09-22T00:00:00"/>
    <x v="4"/>
    <x v="4"/>
    <x v="0"/>
    <s v="SERVICIOS PERSONALES"/>
    <s v="VIATICOS"/>
    <s v="TRANSACCIONES DEL DIA 09/22/2018SPYRAL - GESTION ADMINISTRATIVA"/>
    <n v="130"/>
    <n v="0"/>
    <s v="CORONADO"/>
    <x v="1"/>
  </r>
  <r>
    <n v="33"/>
    <d v="2018-12-01T00:00:00"/>
    <x v="1"/>
    <x v="1"/>
    <x v="0"/>
    <s v="SERVICIOS PERSONALES"/>
    <s v="VIATICOS"/>
    <s v="TRANSACCIONES DEL DIA 12/01/2018SPYRAL - GESTION ADMINISTRATIVA"/>
    <n v="312"/>
    <n v="0"/>
    <s v="CORONADO"/>
    <x v="1"/>
  </r>
  <r>
    <n v="33"/>
    <d v="2018-12-13T00:00:00"/>
    <x v="1"/>
    <x v="1"/>
    <x v="0"/>
    <s v="SERVICIOS PERSONALES"/>
    <s v="VIATICOS"/>
    <s v="TRANSACCIONES DEL DIA 12/13/2018SPYRAL - GESTION ADMINISTRATIVA"/>
    <n v="286"/>
    <n v="0"/>
    <s v="CORONADO"/>
    <x v="1"/>
  </r>
  <r>
    <n v="33"/>
    <d v="2018-12-31T00:00:00"/>
    <x v="1"/>
    <x v="1"/>
    <x v="0"/>
    <s v="SERVICIOS PERSONALES"/>
    <s v="CIERRE DE ANIO FISCAL"/>
    <s v="CIERRE_DE_CTAS_NOMINALES"/>
    <n v="0"/>
    <n v="1144"/>
    <s v="CORONADO"/>
    <x v="1"/>
  </r>
  <r>
    <n v="34"/>
    <d v="2018-08-06T00:00:00"/>
    <x v="3"/>
    <x v="3"/>
    <x v="0"/>
    <s v="ADMINISTRACION DE SUCURSALES"/>
    <s v="OTROS EGRESOS 18"/>
    <s v="OTROS EGRESOS 1.P.O (OR:34/DES:34 TRN:86 PERF:300086 CAU: 18"/>
    <n v="1.8"/>
    <n v="0"/>
    <s v="ALBROOK MALL"/>
    <x v="1"/>
  </r>
  <r>
    <n v="34"/>
    <d v="2018-08-07T00:00:00"/>
    <x v="3"/>
    <x v="3"/>
    <x v="0"/>
    <s v="ADMINISTRACION DE SUCURSALES"/>
    <s v="OTROS EGRESOS 18"/>
    <s v="OTROS EGRESOS 1.P.O (OR:34/DES:34 TRN:86 PERF:300086 CAU: 18"/>
    <n v="11.3"/>
    <n v="0"/>
    <s v="ALBROOK MALL"/>
    <x v="1"/>
  </r>
  <r>
    <n v="34"/>
    <d v="2018-08-17T00:00:00"/>
    <x v="3"/>
    <x v="3"/>
    <x v="0"/>
    <s v="ADMINISTRACION DE SUCURSALES"/>
    <s v="VIATICOS"/>
    <s v="TRANSACCIONES DEL DIA 08/17/2018SPYRAL - GESTION ADMINISTRATIVA"/>
    <n v="12"/>
    <n v="0"/>
    <s v="ALBROOK MALL"/>
    <x v="1"/>
  </r>
  <r>
    <n v="34"/>
    <d v="2018-10-15T00:00:00"/>
    <x v="0"/>
    <x v="0"/>
    <x v="0"/>
    <s v="ADMINISTRACION DE SUCURSALES"/>
    <s v="OTROS EGRESOS 18"/>
    <s v="OTROS EGRESOS 1.P.O (OR:34/DES:34 TRN:86 PERF:300086 CAU: 18"/>
    <n v="3"/>
    <n v="0"/>
    <s v="ALBROOK MALL"/>
    <x v="1"/>
  </r>
  <r>
    <n v="34"/>
    <d v="2018-12-28T00:00:00"/>
    <x v="1"/>
    <x v="1"/>
    <x v="0"/>
    <s v="ADMINISTRACION DE SUCURSALES"/>
    <s v="OTROS EGRESOS 18"/>
    <s v="OTROS EGRESOS 1.P.O (OR:34/DES:34 TRN:86 PERF:300086 CAU: 18"/>
    <n v="2.4"/>
    <n v="0"/>
    <s v="ALBROOK MALL"/>
    <x v="1"/>
  </r>
  <r>
    <n v="34"/>
    <d v="2018-12-31T00:00:00"/>
    <x v="1"/>
    <x v="1"/>
    <x v="0"/>
    <s v="ADMINISTRACION DE SUCURSALES"/>
    <s v="CIERRE DE ANIO FISCAL"/>
    <s v="CIERRE_DE_CTAS_NOMINALES"/>
    <n v="0"/>
    <n v="78.78"/>
    <s v="ALBROOK MALL"/>
    <x v="1"/>
  </r>
  <r>
    <n v="35"/>
    <d v="2018-06-28T00:00:00"/>
    <x v="2"/>
    <x v="2"/>
    <x v="0"/>
    <s v="ADMINISTRACION DE SUCURSALES"/>
    <s v="OTROS EGRESOS 18"/>
    <s v="OTROS EGRESOS 1.P.O (OR:35/DES:35 TRN:86 PERF:300086 CAU: 18"/>
    <n v="6"/>
    <n v="0"/>
    <s v="PANAMA PACIFICO"/>
    <x v="1"/>
  </r>
  <r>
    <n v="35"/>
    <d v="2018-07-04T00:00:00"/>
    <x v="6"/>
    <x v="6"/>
    <x v="0"/>
    <s v="ADMINISTRACION DE SUCURSALES"/>
    <s v="OTROS EGRESOS 18"/>
    <s v="OTROS EGRESOS 1.P.O (OR:35/DES:35 TRN:86 PERF:300086 CAU: 18"/>
    <n v="15"/>
    <n v="0"/>
    <s v="PANAMA PACIFICO"/>
    <x v="1"/>
  </r>
  <r>
    <n v="35"/>
    <d v="2018-07-12T00:00:00"/>
    <x v="6"/>
    <x v="6"/>
    <x v="0"/>
    <s v="ADMINISTRACION DE SUCURSALES"/>
    <s v="OTROS EGRESOS 18"/>
    <s v="OTROS EGRESOS 1.P.O (OR:35/DES:35 TRN:86 PERF:300086 CAU: 18"/>
    <n v="15"/>
    <n v="0"/>
    <s v="PANAMA PACIFICO"/>
    <x v="1"/>
  </r>
  <r>
    <n v="35"/>
    <d v="2018-07-26T00:00:00"/>
    <x v="6"/>
    <x v="6"/>
    <x v="0"/>
    <s v="ADMINISTRACION DE SUCURSALES"/>
    <s v="OTROS EGRESOS 18"/>
    <s v="OTROS EGRESOS 1.P.O (OR:35/DES:35 TRN:86 PERF:300086 CAU: 18"/>
    <n v="6"/>
    <n v="0"/>
    <s v="PANAMA PACIFICO"/>
    <x v="1"/>
  </r>
  <r>
    <n v="35"/>
    <d v="2018-08-04T00:00:00"/>
    <x v="3"/>
    <x v="3"/>
    <x v="0"/>
    <s v="ADMINISTRACION DE SUCURSALES"/>
    <s v="OTROS EGRESOS 18"/>
    <s v="OTROS EGRESOS 1.P.O (OR:35/DES:35 TRN:86 PERF:300086 CAU: 18"/>
    <n v="25"/>
    <n v="0"/>
    <s v="PANAMA PACIFICO"/>
    <x v="1"/>
  </r>
  <r>
    <n v="35"/>
    <d v="2018-08-28T00:00:00"/>
    <x v="3"/>
    <x v="3"/>
    <x v="0"/>
    <s v="ADMINISTRACION DE SUCURSALES"/>
    <s v="OTROS EGRESOS 18"/>
    <s v="OTROS EGRESOS 1.P.O (OR:35/DES:35 TRN:86 PERF:300086 CAU: 18"/>
    <n v="15"/>
    <n v="0"/>
    <s v="PANAMA PACIFICO"/>
    <x v="1"/>
  </r>
  <r>
    <n v="35"/>
    <d v="2018-09-12T00:00:00"/>
    <x v="4"/>
    <x v="4"/>
    <x v="0"/>
    <s v="ADMINISTRACION DE SUCURSALES"/>
    <s v="OTROS EGRESOS 18"/>
    <s v="OTROS EGRESOS 1.P.O (OR:35/DES:35 TRN:86 PERF:300086 CAU: 18"/>
    <n v="25"/>
    <n v="0"/>
    <s v="PANAMA PACIFICO"/>
    <x v="1"/>
  </r>
  <r>
    <n v="35"/>
    <d v="2018-10-04T00:00:00"/>
    <x v="0"/>
    <x v="0"/>
    <x v="0"/>
    <s v="ADMINISTRACION DE SUCURSALES"/>
    <s v="VIATICOS"/>
    <s v="TRANSACCIONES DEL DIA 10/04/2018SPYRAL - GESTION ADMINISTRATIVA"/>
    <n v="38"/>
    <n v="0"/>
    <s v="PANAMA PACIFICO"/>
    <x v="1"/>
  </r>
  <r>
    <n v="35"/>
    <d v="2018-10-09T00:00:00"/>
    <x v="0"/>
    <x v="0"/>
    <x v="0"/>
    <s v="ADMINISTRACION DE SUCURSALES"/>
    <s v="OTROS EGRESOS 18"/>
    <s v="OTROS EGRESOS 1.P.O (OR:35/DES:35 TRN:86 PERF:300086 CAU: 18"/>
    <n v="6"/>
    <n v="0"/>
    <s v="PANAMA PACIFICO"/>
    <x v="1"/>
  </r>
  <r>
    <n v="35"/>
    <d v="2018-11-01T00:00:00"/>
    <x v="5"/>
    <x v="5"/>
    <x v="0"/>
    <s v="ADMINISTRACION DE SUCURSALES"/>
    <s v="OTROS EGRESOS 18"/>
    <s v="OTROS EGRESOS 1.P.O (OR:35/DES:35 TRN:86 PERF:300086 CAU: 18"/>
    <n v="25"/>
    <n v="0"/>
    <s v="PANAMA PACIFICO"/>
    <x v="1"/>
  </r>
  <r>
    <n v="35"/>
    <d v="2018-11-09T00:00:00"/>
    <x v="5"/>
    <x v="5"/>
    <x v="0"/>
    <s v="ADMINISTRACION DE SUCURSALES"/>
    <s v="OTROS EGRESOS 18"/>
    <s v="OTROS EGRESOS 1.P.O (OR:35/DES:35 TRN:86 PERF:300086 CAU: 18"/>
    <n v="15"/>
    <n v="0"/>
    <s v="PANAMA PACIFICO"/>
    <x v="1"/>
  </r>
  <r>
    <n v="35"/>
    <d v="2018-11-30T00:00:00"/>
    <x v="5"/>
    <x v="5"/>
    <x v="0"/>
    <s v="ADMINISTRACION DE SUCURSALES"/>
    <s v="OTROS EGRESOS 18"/>
    <s v="OTROS EGRESOS 1.P.O (OR:35/DES:35 TRN:86 PERF:300086 CAU: 18"/>
    <n v="25"/>
    <n v="0"/>
    <s v="PANAMA PACIFICO"/>
    <x v="1"/>
  </r>
  <r>
    <n v="35"/>
    <d v="2018-12-19T00:00:00"/>
    <x v="1"/>
    <x v="1"/>
    <x v="0"/>
    <s v="ADMINISTRACION DE SUCURSALES"/>
    <s v="OTROS EGRESOS 18"/>
    <s v="OTROS EGRESOS 1.P.O (OR:35/DES:35 TRN:86 PERF:300086 CAU: 18"/>
    <n v="15"/>
    <n v="0"/>
    <s v="PANAMA PACIFICO"/>
    <x v="1"/>
  </r>
  <r>
    <n v="35"/>
    <d v="2018-12-31T00:00:00"/>
    <x v="1"/>
    <x v="1"/>
    <x v="0"/>
    <s v="ADMINISTRACION DE SUCURSALES"/>
    <s v="CIERRE DE ANIO FISCAL"/>
    <s v="CIERRE_DE_CTAS_NOMINALES"/>
    <n v="0"/>
    <n v="452.75"/>
    <s v="PANAMA PACIFICO"/>
    <x v="1"/>
  </r>
  <r>
    <n v="37"/>
    <d v="2018-06-05T00:00:00"/>
    <x v="2"/>
    <x v="2"/>
    <x v="0"/>
    <s v="ADMINISTRACION DE SUCURSALES"/>
    <s v="OTROS EGRESOS 18"/>
    <s v="OTROS EGRESOS 1.P.O (OR:37/DES:37 TRN:86 PERF:300086 CAU: 18"/>
    <n v="1.25"/>
    <n v="0"/>
    <s v="PENONOME"/>
    <x v="1"/>
  </r>
  <r>
    <n v="37"/>
    <d v="2018-06-08T00:00:00"/>
    <x v="2"/>
    <x v="2"/>
    <x v="0"/>
    <s v="ADMINISTRACION DE SUCURSALES"/>
    <s v="OTROS EGRESOS 18"/>
    <s v="OTROS EGRESOS 1.P.O (OR:37/DES:37 TRN:86 PERF:300086 CAU: 18"/>
    <n v="2.25"/>
    <n v="0"/>
    <s v="PENONOME"/>
    <x v="1"/>
  </r>
  <r>
    <n v="37"/>
    <d v="2018-07-20T00:00:00"/>
    <x v="6"/>
    <x v="6"/>
    <x v="0"/>
    <s v="ADMINISTRACION DE SUCURSALES"/>
    <s v="VIATICOS"/>
    <s v="TRANSACCIONES DEL DIA 07/20/2018SPYRAL - GESTION ADMINISTRATIVA"/>
    <n v="124"/>
    <n v="0"/>
    <s v="PENONOME"/>
    <x v="1"/>
  </r>
  <r>
    <n v="37"/>
    <d v="2018-08-13T00:00:00"/>
    <x v="3"/>
    <x v="3"/>
    <x v="0"/>
    <s v="ADMINISTRACION DE SUCURSALES"/>
    <s v="OTROS EGRESOS 18"/>
    <s v="OTROS EGRESOS 1.P.O (OR:37/DES:37 TRN:86 PERF:300086 CAU: 18"/>
    <n v="2.1"/>
    <n v="0"/>
    <s v="PENONOME"/>
    <x v="1"/>
  </r>
  <r>
    <n v="37"/>
    <d v="2018-09-01T00:00:00"/>
    <x v="4"/>
    <x v="4"/>
    <x v="0"/>
    <s v="ADMINISTRACION DE SUCURSALES"/>
    <s v="VIATICOS"/>
    <s v="TRANSACCIONES DEL DIA 09/01/2018SPYRAL - GESTION ADMINISTRATIVA"/>
    <n v="234"/>
    <n v="0"/>
    <s v="PENONOME"/>
    <x v="1"/>
  </r>
  <r>
    <n v="37"/>
    <d v="2018-10-25T00:00:00"/>
    <x v="0"/>
    <x v="0"/>
    <x v="0"/>
    <s v="ADMINISTRACION DE SUCURSALES"/>
    <s v="OTROS EGRESOS 18"/>
    <s v="OTROS EGRESOS 1.P.O (OR:37/DES:37 TRN:86 PERF:300086 CAU: 18"/>
    <n v="5.5"/>
    <n v="0"/>
    <s v="PENONOME"/>
    <x v="1"/>
  </r>
  <r>
    <n v="37"/>
    <d v="2018-12-31T00:00:00"/>
    <x v="1"/>
    <x v="1"/>
    <x v="0"/>
    <s v="ADMINISTRACION DE SUCURSALES"/>
    <s v="CIERRE DE ANIO FISCAL"/>
    <s v="CIERRE_DE_CTAS_NOMINALES"/>
    <n v="0"/>
    <n v="436.8"/>
    <s v="PENONOME"/>
    <x v="1"/>
  </r>
  <r>
    <n v="37"/>
    <d v="2018-06-01T00:00:00"/>
    <x v="2"/>
    <x v="2"/>
    <x v="0"/>
    <s v="CAJA"/>
    <s v="VIATICOS"/>
    <s v="TRANSACCIONES DEL DIA 06/01/2018SPYRAL - GESTION ADMINISTRATIVA"/>
    <n v="252"/>
    <n v="0"/>
    <s v="PENONOME"/>
    <x v="1"/>
  </r>
  <r>
    <n v="37"/>
    <d v="2018-06-13T00:00:00"/>
    <x v="2"/>
    <x v="2"/>
    <x v="0"/>
    <s v="CAJA"/>
    <s v="VIATICOS"/>
    <s v="TRANSACCIONES DEL DIA 06/13/2018SPYRAL - GESTION ADMINISTRATIVA"/>
    <n v="216"/>
    <n v="0"/>
    <s v="PENONOME"/>
    <x v="1"/>
  </r>
  <r>
    <n v="37"/>
    <d v="2018-08-09T00:00:00"/>
    <x v="3"/>
    <x v="3"/>
    <x v="0"/>
    <s v="CAJA"/>
    <s v="VIATICOS"/>
    <s v="TRANSACCIONES DEL DIA 08/09/2018SPYRAL - GESTION ADMINISTRATIVA"/>
    <n v="126"/>
    <n v="0"/>
    <s v="PENONOME"/>
    <x v="1"/>
  </r>
  <r>
    <n v="37"/>
    <d v="2018-09-13T00:00:00"/>
    <x v="4"/>
    <x v="4"/>
    <x v="0"/>
    <s v="CAJA"/>
    <s v="VIATICOS"/>
    <s v="TRANSACCIONES DEL DIA 09/13/2018SPYRAL - GESTION ADMINISTRATIVA"/>
    <n v="216"/>
    <n v="0"/>
    <s v="PENONOME"/>
    <x v="1"/>
  </r>
  <r>
    <n v="37"/>
    <d v="2018-11-01T00:00:00"/>
    <x v="5"/>
    <x v="5"/>
    <x v="0"/>
    <s v="CAJA"/>
    <s v="VIATICOS"/>
    <s v="TRANSACCIONES DEL DIA 11/01/2018SPYRAL - GESTION ADMINISTRATIVA"/>
    <n v="180"/>
    <n v="0"/>
    <s v="PENONOME"/>
    <x v="1"/>
  </r>
  <r>
    <n v="37"/>
    <d v="2018-11-13T00:00:00"/>
    <x v="5"/>
    <x v="5"/>
    <x v="0"/>
    <s v="CAJA"/>
    <s v="VIATICOS"/>
    <s v="TRANSACCIONES DEL DIA 11/13/2018SPYRAL - GESTION ADMINISTRATIVA"/>
    <n v="216"/>
    <n v="0"/>
    <s v="PENONOME"/>
    <x v="1"/>
  </r>
  <r>
    <n v="37"/>
    <d v="2018-12-31T00:00:00"/>
    <x v="1"/>
    <x v="1"/>
    <x v="0"/>
    <s v="CAJA"/>
    <s v="CIERRE DE ANIO FISCAL"/>
    <s v="CIERRE_DE_CTAS_NOMINALES"/>
    <n v="0"/>
    <n v="1620"/>
    <s v="PENONOME"/>
    <x v="1"/>
  </r>
  <r>
    <n v="37"/>
    <d v="2018-07-25T00:00:00"/>
    <x v="6"/>
    <x v="6"/>
    <x v="0"/>
    <s v="SERVICIOS PERSONALES"/>
    <s v="VIATICOS"/>
    <s v="TRANSACCIONES DEL DIA 07/25/2018SPYRAL - GESTION ADMINISTRATIVA"/>
    <n v="136.5"/>
    <n v="0"/>
    <s v="PENONOME"/>
    <x v="1"/>
  </r>
  <r>
    <n v="37"/>
    <d v="2018-12-31T00:00:00"/>
    <x v="1"/>
    <x v="1"/>
    <x v="0"/>
    <s v="SERVICIOS PERSONALES"/>
    <s v="CIERRE DE ANIO FISCAL"/>
    <s v="CIERRE_DE_CTAS_NOMINALES"/>
    <n v="0"/>
    <n v="586.5"/>
    <s v="PENONOME"/>
    <x v="1"/>
  </r>
  <r>
    <n v="38"/>
    <d v="2018-06-27T00:00:00"/>
    <x v="2"/>
    <x v="2"/>
    <x v="0"/>
    <s v="ADMINISTRACION DE SUCURSALES"/>
    <s v="OTROS EGRESOS 18"/>
    <s v="OTROS EGRESOS 1.P.O (OR:38/DES:38 TRN:86 PERF:300086 CAU: 18"/>
    <n v="17.399999999999999"/>
    <n v="0"/>
    <s v="ALBROOK"/>
    <x v="1"/>
  </r>
  <r>
    <n v="38"/>
    <d v="2018-07-10T00:00:00"/>
    <x v="6"/>
    <x v="6"/>
    <x v="0"/>
    <s v="ADMINISTRACION DE SUCURSALES"/>
    <s v="OTROS EGRESOS 18"/>
    <s v="OTROS EGRESOS 1.P.O (OR:38/DES:38 TRN:86 PERF:300086 CAU: 18"/>
    <n v="5.63"/>
    <n v="0"/>
    <s v="ALBROOK"/>
    <x v="1"/>
  </r>
  <r>
    <n v="38"/>
    <d v="2018-07-25T00:00:00"/>
    <x v="6"/>
    <x v="6"/>
    <x v="0"/>
    <s v="ADMINISTRACION DE SUCURSALES"/>
    <s v="OTROS EGRESOS 18"/>
    <s v="OTROS EGRESOS 1.P.O (OR:38/DES:38 TRN:86 PERF:300086 CAU: 18"/>
    <n v="17.399999999999999"/>
    <n v="0"/>
    <s v="ALBROOK"/>
    <x v="1"/>
  </r>
  <r>
    <n v="38"/>
    <d v="2018-07-27T00:00:00"/>
    <x v="6"/>
    <x v="6"/>
    <x v="0"/>
    <s v="ADMINISTRACION DE SUCURSALES"/>
    <s v="OTROS EGRESOS 18"/>
    <s v="OTROS EGRESOS 1.P.O (OR:38/DES:38 TRN:86 PERF:300086 CAU: 18"/>
    <n v="3"/>
    <n v="0"/>
    <s v="ALBROOK"/>
    <x v="1"/>
  </r>
  <r>
    <n v="38"/>
    <d v="2018-08-27T00:00:00"/>
    <x v="3"/>
    <x v="3"/>
    <x v="0"/>
    <s v="ADMINISTRACION DE SUCURSALES"/>
    <s v="OTROS EGRESOS 18"/>
    <s v="OTROS EGRESOS 1.P.O (OR:38/DES:38 TRN:86 PERF:300086 CAU: 18"/>
    <n v="17.399999999999999"/>
    <n v="0"/>
    <s v="ALBROOK"/>
    <x v="1"/>
  </r>
  <r>
    <n v="38"/>
    <d v="2018-08-31T00:00:00"/>
    <x v="3"/>
    <x v="3"/>
    <x v="0"/>
    <s v="ADMINISTRACION DE SUCURSALES"/>
    <s v="OTROS EGRESOS 18"/>
    <s v="OTROS EGRESOS 1.P.O (OR:38/DES:38 TRN:86 PERF:300086 CAU: 18"/>
    <n v="1.8"/>
    <n v="0"/>
    <s v="ALBROOK"/>
    <x v="1"/>
  </r>
  <r>
    <n v="38"/>
    <d v="2018-09-21T00:00:00"/>
    <x v="4"/>
    <x v="4"/>
    <x v="0"/>
    <s v="ADMINISTRACION DE SUCURSALES"/>
    <s v="OTROS EGRESOS 18"/>
    <s v="OTROS EGRESOS 1.P.O (OR:38/DES:38 TRN:86 PERF:300086 CAU: 18"/>
    <n v="17.399999999999999"/>
    <n v="0"/>
    <s v="ALBROOK"/>
    <x v="1"/>
  </r>
  <r>
    <n v="38"/>
    <d v="2018-12-31T00:00:00"/>
    <x v="1"/>
    <x v="1"/>
    <x v="0"/>
    <s v="ADMINISTRACION DE SUCURSALES"/>
    <s v="OTROS EGRESOS 18"/>
    <s v="OTROS EGRESOS 1.P.O (OR:38/DES:38 TRN:86 PERF:300086 CAU: 18"/>
    <n v="8.6999999999999993"/>
    <n v="0"/>
    <s v="ALBROOK"/>
    <x v="1"/>
  </r>
  <r>
    <n v="38"/>
    <d v="2018-12-31T00:00:00"/>
    <x v="1"/>
    <x v="1"/>
    <x v="0"/>
    <s v="ADMINISTRACION DE SUCURSALES"/>
    <s v="CIERRE DE ANIO FISCAL"/>
    <s v="CIERRE_DE_CTAS_NOMINALES"/>
    <n v="0"/>
    <n v="240.13"/>
    <s v="ALBROOK"/>
    <x v="1"/>
  </r>
  <r>
    <n v="38"/>
    <d v="2018-06-05T00:00:00"/>
    <x v="2"/>
    <x v="2"/>
    <x v="0"/>
    <s v="CAJA"/>
    <s v="VIATICOS"/>
    <s v="TRANSACCIONES DEL DIA 06/05/2018SPYRAL - GESTION ADMINISTRATIVA"/>
    <n v="113.1"/>
    <n v="0"/>
    <s v="ALBROOK"/>
    <x v="1"/>
  </r>
  <r>
    <n v="38"/>
    <d v="2018-07-06T00:00:00"/>
    <x v="6"/>
    <x v="6"/>
    <x v="0"/>
    <s v="CAJA"/>
    <s v="VIATICOS"/>
    <s v="TRANSACCIONES DEL DIA 07/06/2018SPYRAL - GESTION ADMINISTRATIVA"/>
    <n v="147.9"/>
    <n v="0"/>
    <s v="ALBROOK"/>
    <x v="1"/>
  </r>
  <r>
    <n v="38"/>
    <d v="2018-08-08T00:00:00"/>
    <x v="3"/>
    <x v="3"/>
    <x v="0"/>
    <s v="CAJA"/>
    <s v="VIATICOS"/>
    <s v="TRANSACCIONES DEL DIA 08/08/2018SPYRAL - GESTION ADMINISTRATIVA"/>
    <n v="147.9"/>
    <n v="0"/>
    <s v="ALBROOK"/>
    <x v="1"/>
  </r>
  <r>
    <n v="38"/>
    <d v="2018-09-07T00:00:00"/>
    <x v="4"/>
    <x v="4"/>
    <x v="0"/>
    <s v="CAJA"/>
    <s v="VIATICOS"/>
    <s v="TRANSACCIONES DEL DIA 09/07/2018SPYRAL - GESTION ADMINISTRATIVA"/>
    <n v="165.3"/>
    <n v="0"/>
    <s v="ALBROOK"/>
    <x v="1"/>
  </r>
  <r>
    <n v="38"/>
    <d v="2018-10-04T00:00:00"/>
    <x v="0"/>
    <x v="0"/>
    <x v="0"/>
    <s v="CAJA"/>
    <s v="VIATICOS"/>
    <s v="TRANSACCIONES DEL DIA 10/04/2018SPYRAL - GESTION ADMINISTRATIVA"/>
    <n v="95.7"/>
    <n v="0"/>
    <s v="ALBROOK"/>
    <x v="1"/>
  </r>
  <r>
    <n v="38"/>
    <d v="2018-10-08T00:00:00"/>
    <x v="0"/>
    <x v="0"/>
    <x v="0"/>
    <s v="CAJA"/>
    <s v="VIATICOS"/>
    <s v="TRANSACCIONES DEL DIA 10/08/2018SPYRAL - GESTION ADMINISTRATIVA"/>
    <n v="43.5"/>
    <n v="0"/>
    <s v="ALBROOK"/>
    <x v="1"/>
  </r>
  <r>
    <n v="38"/>
    <d v="2018-11-12T00:00:00"/>
    <x v="5"/>
    <x v="5"/>
    <x v="0"/>
    <s v="CAJA"/>
    <s v="VIATICOS"/>
    <s v="TRANSACCIONES DEL DIA 11/12/2018SPYRAL - GESTION ADMINISTRATIVA"/>
    <n v="165.3"/>
    <n v="0"/>
    <s v="ALBROOK"/>
    <x v="1"/>
  </r>
  <r>
    <n v="38"/>
    <d v="2018-12-06T00:00:00"/>
    <x v="1"/>
    <x v="1"/>
    <x v="0"/>
    <s v="CAJA"/>
    <s v="VIATICOS"/>
    <s v="TRANSACCIONES DEL DIA 12/06/2018SPYRAL - GESTION ADMINISTRATIVA"/>
    <n v="147.9"/>
    <n v="0"/>
    <s v="ALBROOK"/>
    <x v="1"/>
  </r>
  <r>
    <n v="38"/>
    <d v="2018-12-31T00:00:00"/>
    <x v="1"/>
    <x v="1"/>
    <x v="0"/>
    <s v="CAJA"/>
    <s v="CIERRE DE ANIO FISCAL"/>
    <s v="CIERRE_DE_CTAS_NOMINALES"/>
    <n v="0"/>
    <n v="1487.7"/>
    <s v="ALBROOK"/>
    <x v="1"/>
  </r>
  <r>
    <n v="39"/>
    <d v="2018-07-19T00:00:00"/>
    <x v="6"/>
    <x v="6"/>
    <x v="0"/>
    <s v="ADMINISTRACION DE SUCURSALES"/>
    <s v="OTROS EGRESOS 18"/>
    <s v="OTROS EGRESOS 1.P.O (OR:39/DES:39 TRN:86 PERF:300086 CAU: 18"/>
    <n v="5"/>
    <n v="0"/>
    <s v="SUCURSAL DE VISTA ALEGRE"/>
    <x v="1"/>
  </r>
  <r>
    <n v="39"/>
    <d v="2018-08-09T00:00:00"/>
    <x v="3"/>
    <x v="3"/>
    <x v="0"/>
    <s v="ADMINISTRACION DE SUCURSALES"/>
    <s v="OTROS EGRESOS 18"/>
    <s v="OTROS EGRESOS 1.P.O (OR:39/DES:39 TRN:86 PERF:300086 CAU: 18"/>
    <n v="4.5"/>
    <n v="0"/>
    <s v="SUCURSAL DE VISTA ALEGRE"/>
    <x v="1"/>
  </r>
  <r>
    <n v="39"/>
    <d v="2018-09-22T00:00:00"/>
    <x v="4"/>
    <x v="4"/>
    <x v="0"/>
    <s v="ADMINISTRACION DE SUCURSALES"/>
    <s v="OTROS EGRESOS 18"/>
    <s v="OTROS EGRESOS 1.P.O (OR:39/DES:39 TRN:86 PERF:300086 CAU: 18"/>
    <n v="6"/>
    <n v="0"/>
    <s v="SUCURSAL DE VISTA ALEGRE"/>
    <x v="1"/>
  </r>
  <r>
    <n v="39"/>
    <d v="2018-09-24T00:00:00"/>
    <x v="4"/>
    <x v="4"/>
    <x v="0"/>
    <s v="ADMINISTRACION DE SUCURSALES"/>
    <s v="OTROS EGRESOS 18"/>
    <s v="OTROS EGRESOS 1.P.O (OR:39/DES:39 TRN:86 PERF:300086 CAU: 18"/>
    <n v="3.5"/>
    <n v="0"/>
    <s v="SUCURSAL DE VISTA ALEGRE"/>
    <x v="1"/>
  </r>
  <r>
    <n v="39"/>
    <d v="2018-10-22T00:00:00"/>
    <x v="0"/>
    <x v="0"/>
    <x v="0"/>
    <s v="ADMINISTRACION DE SUCURSALES"/>
    <s v="OTROS EGRESOS 18"/>
    <s v="OTROS EGRESOS 1.P.O (OR:39/DES:39 TRN:86 PERF:300086 CAU: 18"/>
    <n v="5"/>
    <n v="0"/>
    <s v="SUCURSAL DE VISTA ALEGRE"/>
    <x v="1"/>
  </r>
  <r>
    <n v="39"/>
    <d v="2018-12-31T00:00:00"/>
    <x v="1"/>
    <x v="1"/>
    <x v="0"/>
    <s v="ADMINISTRACION DE SUCURSALES"/>
    <s v="CIERRE DE ANIO FISCAL"/>
    <s v="CIERRE_DE_CTAS_NOMINALES"/>
    <n v="0"/>
    <n v="84.25"/>
    <s v="SUCURSAL DE VISTA ALEGRE"/>
    <x v="1"/>
  </r>
  <r>
    <n v="39"/>
    <d v="2018-12-31T00:00:00"/>
    <x v="1"/>
    <x v="1"/>
    <x v="0"/>
    <s v="SERVICIOS PERSONALES"/>
    <s v="CIERRE DE ANIO FISCAL"/>
    <s v="CIERRE_DE_CTAS_NOMINALES"/>
    <n v="0"/>
    <n v="8"/>
    <s v="SUCURSAL DE VISTA ALEGRE"/>
    <x v="1"/>
  </r>
  <r>
    <n v="40"/>
    <d v="2018-06-23T00:00:00"/>
    <x v="2"/>
    <x v="2"/>
    <x v="0"/>
    <s v="ADMINISTRACION DE SUCURSALES"/>
    <s v="OTROS EGRESOS 18"/>
    <s v="OTROS EGRESOS 1.P.O (OR:40/DES:40 TRN:86 PERF:300086 CAU: 18"/>
    <n v="14"/>
    <n v="0"/>
    <s v="LAS TABLAS"/>
    <x v="1"/>
  </r>
  <r>
    <n v="40"/>
    <d v="2018-07-12T00:00:00"/>
    <x v="6"/>
    <x v="6"/>
    <x v="0"/>
    <s v="ADMINISTRACION DE SUCURSALES"/>
    <s v="VIATICOS"/>
    <s v="TRANSACCIONES DEL DIA 07/12/2018SPYRAL - GESTION ADMINISTRATIVA"/>
    <n v="221"/>
    <n v="0"/>
    <s v="LAS TABLAS"/>
    <x v="1"/>
  </r>
  <r>
    <n v="40"/>
    <d v="2018-07-18T00:00:00"/>
    <x v="6"/>
    <x v="6"/>
    <x v="0"/>
    <s v="ADMINISTRACION DE SUCURSALES"/>
    <s v="OTROS EGRESOS 18"/>
    <s v="OTROS EGRESOS 1.P.O (OR:40/DES:40 TRN:86 PERF:300086 CAU: 18"/>
    <n v="22.8"/>
    <n v="0"/>
    <s v="LAS TABLAS"/>
    <x v="1"/>
  </r>
  <r>
    <n v="40"/>
    <d v="2018-07-21T00:00:00"/>
    <x v="6"/>
    <x v="6"/>
    <x v="0"/>
    <s v="ADMINISTRACION DE SUCURSALES"/>
    <s v="OTROS EGRESOS 18"/>
    <s v="OTROS EGRESOS 1.P.O (OR:40/DES:40 TRN:86 PERF:300086 CAU: 18"/>
    <n v="16.5"/>
    <n v="0"/>
    <s v="LAS TABLAS"/>
    <x v="1"/>
  </r>
  <r>
    <n v="40"/>
    <d v="2018-07-31T00:00:00"/>
    <x v="6"/>
    <x v="6"/>
    <x v="0"/>
    <s v="ADMINISTRACION DE SUCURSALES"/>
    <s v="OTROS EGRESOS 18"/>
    <s v="OTROS EGRESOS 1.P.O (OR:40/DES:40 TRN:86 PERF:300086 CAU: 18"/>
    <n v="13"/>
    <n v="0"/>
    <s v="LAS TABLAS"/>
    <x v="1"/>
  </r>
  <r>
    <n v="40"/>
    <d v="2018-08-04T00:00:00"/>
    <x v="3"/>
    <x v="3"/>
    <x v="0"/>
    <s v="ADMINISTRACION DE SUCURSALES"/>
    <s v="OTROS EGRESOS 18"/>
    <s v="OTROS EGRESOS 1.P.O (OR:40/DES:40 TRN:86 PERF:300086 CAU: 18"/>
    <n v="42"/>
    <n v="0"/>
    <s v="LAS TABLAS"/>
    <x v="1"/>
  </r>
  <r>
    <n v="40"/>
    <d v="2018-08-14T00:00:00"/>
    <x v="3"/>
    <x v="3"/>
    <x v="0"/>
    <s v="ADMINISTRACION DE SUCURSALES"/>
    <s v="OTROS EGRESOS 18"/>
    <s v="OTROS EGRESOS 1.P.O (OR:40/DES:40 TRN:86 PERF:300086 CAU: 18"/>
    <n v="3"/>
    <n v="0"/>
    <s v="LAS TABLAS"/>
    <x v="1"/>
  </r>
  <r>
    <n v="40"/>
    <d v="2018-08-20T00:00:00"/>
    <x v="3"/>
    <x v="3"/>
    <x v="0"/>
    <s v="ADMINISTRACION DE SUCURSALES"/>
    <s v="OTROS EGRESOS 18"/>
    <s v="OTROS EGRESOS 1.P.O (OR:40/DES:40 TRN:86 PERF:300086 CAU: 18"/>
    <n v="14"/>
    <n v="0"/>
    <s v="LAS TABLAS"/>
    <x v="1"/>
  </r>
  <r>
    <n v="40"/>
    <d v="2018-08-25T00:00:00"/>
    <x v="3"/>
    <x v="3"/>
    <x v="0"/>
    <s v="ADMINISTRACION DE SUCURSALES"/>
    <s v="OTROS EGRESOS 18"/>
    <s v="OTROS EGRESOS 1.P.O (OR:40/DES:40 TRN:86 PERF:300086 CAU: 18"/>
    <n v="14"/>
    <n v="0"/>
    <s v="LAS TABLAS"/>
    <x v="1"/>
  </r>
  <r>
    <n v="40"/>
    <d v="2018-09-01T00:00:00"/>
    <x v="4"/>
    <x v="4"/>
    <x v="0"/>
    <s v="ADMINISTRACION DE SUCURSALES"/>
    <s v="VIATICOS"/>
    <s v="TRANSACCIONES DEL DIA 09/01/2018SPYRAL - GESTION ADMINISTRATIVA"/>
    <n v="154"/>
    <n v="0"/>
    <s v="LAS TABLAS"/>
    <x v="1"/>
  </r>
  <r>
    <n v="40"/>
    <d v="2018-10-26T00:00:00"/>
    <x v="0"/>
    <x v="0"/>
    <x v="0"/>
    <s v="ADMINISTRACION DE SUCURSALES"/>
    <s v="VIATICOS"/>
    <s v="TRANSACCIONES DEL DIA 10/26/2018SPYRAL - GESTION ADMINISTRATIVA"/>
    <n v="27.84"/>
    <n v="0"/>
    <s v="LAS TABLAS"/>
    <x v="1"/>
  </r>
  <r>
    <n v="40"/>
    <d v="2018-12-31T00:00:00"/>
    <x v="1"/>
    <x v="1"/>
    <x v="0"/>
    <s v="ADMINISTRACION DE SUCURSALES"/>
    <s v="CIERRE DE ANIO FISCAL"/>
    <s v="CIERRE_DE_CTAS_NOMINALES"/>
    <n v="0"/>
    <n v="654.14"/>
    <s v="LAS TABLAS"/>
    <x v="1"/>
  </r>
  <r>
    <n v="40"/>
    <d v="2018-06-29T00:00:00"/>
    <x v="2"/>
    <x v="2"/>
    <x v="0"/>
    <s v="CAJA"/>
    <s v="VIATICOS"/>
    <s v="TRANSACCIONES DEL DIA 06/29/2018SPYRAL - GESTION ADMINISTRATIVA"/>
    <n v="39"/>
    <n v="0"/>
    <s v="LAS TABLAS"/>
    <x v="1"/>
  </r>
  <r>
    <n v="40"/>
    <d v="2018-10-04T00:00:00"/>
    <x v="0"/>
    <x v="0"/>
    <x v="0"/>
    <s v="CAJA"/>
    <s v="VIATICOS"/>
    <s v="TRANSACCIONES DEL DIA 10/04/2018SPYRAL - GESTION ADMINISTRATIVA"/>
    <n v="91"/>
    <n v="0"/>
    <s v="LAS TABLAS"/>
    <x v="1"/>
  </r>
  <r>
    <n v="40"/>
    <d v="2018-10-23T00:00:00"/>
    <x v="0"/>
    <x v="0"/>
    <x v="0"/>
    <s v="CAJA"/>
    <s v="VIATICOS"/>
    <s v="TRANSACCIONES DEL DIA 10/23/2018SPYRAL - GESTION ADMINISTRATIVA"/>
    <n v="91"/>
    <n v="0"/>
    <s v="LAS TABLAS"/>
    <x v="1"/>
  </r>
  <r>
    <n v="40"/>
    <d v="2018-12-31T00:00:00"/>
    <x v="1"/>
    <x v="1"/>
    <x v="0"/>
    <s v="CAJA"/>
    <s v="CIERRE DE ANIO FISCAL"/>
    <s v="CIERRE_DE_CTAS_NOMINALES"/>
    <n v="0"/>
    <n v="221"/>
    <s v="LAS TABLAS"/>
    <x v="1"/>
  </r>
  <r>
    <n v="40"/>
    <d v="2018-06-29T00:00:00"/>
    <x v="2"/>
    <x v="2"/>
    <x v="0"/>
    <s v="SERVICIOS PERSONALES"/>
    <s v="VIATICOS"/>
    <s v="TRANSACCIONES DEL DIA 06/29/2018SPYRAL - GESTION ADMINISTRATIVA"/>
    <n v="182"/>
    <n v="0"/>
    <s v="LAS TABLAS"/>
    <x v="1"/>
  </r>
  <r>
    <n v="40"/>
    <d v="2018-08-16T00:00:00"/>
    <x v="3"/>
    <x v="3"/>
    <x v="0"/>
    <s v="SERVICIOS PERSONALES"/>
    <s v="VIATICOS"/>
    <s v="TRANSACCIONES DEL DIA 08/16/2018SPYRAL - GESTION ADMINISTRATIVA"/>
    <n v="182"/>
    <n v="0"/>
    <s v="LAS TABLAS"/>
    <x v="1"/>
  </r>
  <r>
    <n v="40"/>
    <d v="2018-09-13T00:00:00"/>
    <x v="4"/>
    <x v="4"/>
    <x v="0"/>
    <s v="SERVICIOS PERSONALES"/>
    <s v="VIATICOS"/>
    <s v="TRANSACCIONES DEL DIA 09/13/2018SPYRAL - GESTION ADMINISTRATIVA"/>
    <n v="168"/>
    <n v="0"/>
    <s v="LAS TABLAS"/>
    <x v="1"/>
  </r>
  <r>
    <n v="40"/>
    <d v="2018-12-31T00:00:00"/>
    <x v="1"/>
    <x v="1"/>
    <x v="0"/>
    <s v="SERVICIOS PERSONALES"/>
    <s v="CIERRE DE ANIO FISCAL"/>
    <s v="CIERRE_DE_CTAS_NOMINALES"/>
    <n v="0"/>
    <n v="718"/>
    <s v="LAS TABLAS"/>
    <x v="1"/>
  </r>
  <r>
    <n v="41"/>
    <d v="2018-08-08T00:00:00"/>
    <x v="3"/>
    <x v="3"/>
    <x v="0"/>
    <s v="ADMINISTRACION DE SUCURSALES"/>
    <s v="OTROS EGRESOS 18"/>
    <s v="OTROS EGRESOS 1.P.O (OR:41/DES:41 TRN:86 PERF:300086 CAU: 18"/>
    <n v="9.5500000000000007"/>
    <n v="0"/>
    <s v="24 DE DICIEMBRE"/>
    <x v="1"/>
  </r>
  <r>
    <n v="41"/>
    <d v="2018-08-31T00:00:00"/>
    <x v="3"/>
    <x v="3"/>
    <x v="0"/>
    <s v="ADMINISTRACION DE SUCURSALES"/>
    <s v="OTROS EGRESOS 18"/>
    <s v="OTROS EGRESOS 1.P.O (OR:41/DES:41 TRN:86 PERF:300086 CAU: 18"/>
    <n v="14.55"/>
    <n v="0"/>
    <s v="24 DE DICIEMBRE"/>
    <x v="1"/>
  </r>
  <r>
    <n v="41"/>
    <d v="2018-10-09T00:00:00"/>
    <x v="0"/>
    <x v="0"/>
    <x v="0"/>
    <s v="ADMINISTRACION DE SUCURSALES"/>
    <s v="OTROS EGRESOS 18"/>
    <s v="OTROS EGRESOS 1.P.O (OR:41/DES:41 TRN:86 PERF:300086 CAU: 18"/>
    <n v="14.35"/>
    <n v="0"/>
    <s v="24 DE DICIEMBRE"/>
    <x v="1"/>
  </r>
  <r>
    <n v="41"/>
    <d v="2018-12-31T00:00:00"/>
    <x v="1"/>
    <x v="1"/>
    <x v="0"/>
    <s v="ADMINISTRACION DE SUCURSALES"/>
    <s v="CIERRE DE ANIO FISCAL"/>
    <s v="CIERRE_DE_CTAS_NOMINALES"/>
    <n v="0"/>
    <n v="48"/>
    <s v="24 DE DICIEMBRE"/>
    <x v="1"/>
  </r>
  <r>
    <n v="42"/>
    <d v="2018-07-30T00:00:00"/>
    <x v="6"/>
    <x v="6"/>
    <x v="0"/>
    <s v="ADMINISTRACION DE SUCURSALES"/>
    <s v="VIATICOS"/>
    <s v="TRANSACCIONES DEL DIA 07/30/2018SPYRAL - GESTION ADMINISTRATIVA"/>
    <n v="25"/>
    <n v="0"/>
    <s v="DAVID - TERRONAL"/>
    <x v="1"/>
  </r>
  <r>
    <n v="42"/>
    <d v="2018-12-31T00:00:00"/>
    <x v="1"/>
    <x v="1"/>
    <x v="0"/>
    <s v="ADMINISTRACION DE SUCURSALES"/>
    <s v="CIERRE DE ANIO FISCAL"/>
    <s v="CIERRE_DE_CTAS_NOMINALES"/>
    <n v="0"/>
    <n v="25"/>
    <s v="DAVID - TERRONAL"/>
    <x v="1"/>
  </r>
  <r>
    <n v="43"/>
    <d v="2018-07-11T00:00:00"/>
    <x v="6"/>
    <x v="6"/>
    <x v="0"/>
    <s v="ADMINISTRACION DE SUCURSALES"/>
    <s v="OTROS EGRESOS 18"/>
    <s v="OTROS EGRESOS 1.P.O (OR:43/DES:43 TRN:86 PERF:300086 CAU: 18"/>
    <n v="1.8"/>
    <n v="0"/>
    <s v="COSTA DEL ESTE"/>
    <x v="1"/>
  </r>
  <r>
    <n v="43"/>
    <d v="2018-08-15T00:00:00"/>
    <x v="3"/>
    <x v="3"/>
    <x v="0"/>
    <s v="ADMINISTRACION DE SUCURSALES"/>
    <s v="OTROS EGRESOS 18"/>
    <s v="OTROS EGRESOS 1.P.O (OR:43/DES:43 TRN:86 PERF:300086 CAU: 18"/>
    <n v="7.35"/>
    <n v="0"/>
    <s v="COSTA DEL ESTE"/>
    <x v="1"/>
  </r>
  <r>
    <n v="43"/>
    <d v="2018-09-11T00:00:00"/>
    <x v="4"/>
    <x v="4"/>
    <x v="0"/>
    <s v="ADMINISTRACION DE SUCURSALES"/>
    <s v="OTROS EGRESOS 18"/>
    <s v="OTROS EGRESOS 1.P.O (OR:43/DES:43 TRN:86 PERF:300086 CAU: 18"/>
    <n v="7.35"/>
    <n v="0"/>
    <s v="COSTA DEL ESTE"/>
    <x v="1"/>
  </r>
  <r>
    <n v="43"/>
    <d v="2018-12-06T00:00:00"/>
    <x v="1"/>
    <x v="1"/>
    <x v="0"/>
    <s v="ADMINISTRACION DE SUCURSALES"/>
    <s v="OTROS EGRESOS 18"/>
    <s v="OTROS EGRESOS 1.P.O (OR:43/DES:43 TRN:86 PERF:300086 CAU: 18"/>
    <n v="6.85"/>
    <n v="0"/>
    <s v="COSTA DEL ESTE"/>
    <x v="1"/>
  </r>
  <r>
    <n v="43"/>
    <d v="2018-12-10T00:00:00"/>
    <x v="1"/>
    <x v="1"/>
    <x v="0"/>
    <s v="ADMINISTRACION DE SUCURSALES"/>
    <s v="OTROS EGRESOS 18"/>
    <s v="OTROS EGRESOS 1.P.O (OR:43/DES:43 TRN:86 PERF:300086 CAU: 18"/>
    <n v="6.85"/>
    <n v="0"/>
    <s v="COSTA DEL ESTE"/>
    <x v="1"/>
  </r>
  <r>
    <n v="43"/>
    <d v="2018-12-31T00:00:00"/>
    <x v="1"/>
    <x v="1"/>
    <x v="0"/>
    <s v="ADMINISTRACION DE SUCURSALES"/>
    <s v="CIERRE DE ANIO FISCAL"/>
    <s v="CIERRE_DE_CTAS_NOMINALES"/>
    <n v="0"/>
    <n v="78.5"/>
    <s v="COSTA DEL ESTE"/>
    <x v="1"/>
  </r>
  <r>
    <n v="44"/>
    <d v="2018-10-23T00:00:00"/>
    <x v="0"/>
    <x v="0"/>
    <x v="0"/>
    <s v="ADMINISTRACION DE SUCURSALES"/>
    <s v="OTROS EGRESOS 18"/>
    <s v="OTROS EGRESOS 1.P.O (OR:44/DES:44 TRN:86 PERF:300086 CAU: 18"/>
    <n v="9.1999999999999993"/>
    <n v="0"/>
    <s v="MULTI PLAZA"/>
    <x v="1"/>
  </r>
  <r>
    <n v="44"/>
    <d v="2018-12-31T00:00:00"/>
    <x v="1"/>
    <x v="1"/>
    <x v="0"/>
    <s v="ADMINISTRACION DE SUCURSALES"/>
    <s v="CIERRE DE ANIO FISCAL"/>
    <s v="CIERRE_DE_CTAS_NOMINALES"/>
    <n v="0"/>
    <n v="46.55"/>
    <s v="MULTI PLAZA"/>
    <x v="1"/>
  </r>
  <r>
    <n v="46"/>
    <d v="2018-08-17T00:00:00"/>
    <x v="3"/>
    <x v="3"/>
    <x v="0"/>
    <s v="ADMINISTRACION DE SUCURSALES"/>
    <s v="VIATICOS"/>
    <s v="TRANSACCIONES DEL DIA 08/17/2018SPYRAL - GESTION ADMINISTRATIVA"/>
    <n v="12"/>
    <n v="0"/>
    <s v="TERMINAL DE ALBROOK"/>
    <x v="1"/>
  </r>
  <r>
    <n v="46"/>
    <d v="2018-11-07T00:00:00"/>
    <x v="5"/>
    <x v="5"/>
    <x v="0"/>
    <s v="ADMINISTRACION DE SUCURSALES"/>
    <s v="OTROS EGRESOS 18"/>
    <s v="OTROS EGRESOS 1.P.O (OR:46/DES:46 TRN:86 PERF:300086 CAU: 18"/>
    <n v="8.6999999999999993"/>
    <n v="0"/>
    <s v="TERMINAL DE ALBROOK"/>
    <x v="1"/>
  </r>
  <r>
    <n v="46"/>
    <d v="2018-12-31T00:00:00"/>
    <x v="1"/>
    <x v="1"/>
    <x v="0"/>
    <s v="ADMINISTRACION DE SUCURSALES"/>
    <s v="CIERRE DE ANIO FISCAL"/>
    <s v="CIERRE_DE_CTAS_NOMINALES"/>
    <n v="0"/>
    <n v="99.8"/>
    <s v="TERMINAL DE ALBROOK"/>
    <x v="1"/>
  </r>
  <r>
    <n v="46"/>
    <d v="2018-12-31T00:00:00"/>
    <x v="1"/>
    <x v="1"/>
    <x v="0"/>
    <s v="SERVICIOS PERSONALES"/>
    <s v="CIERRE DE ANIO FISCAL"/>
    <s v="CIERRE_DE_CTAS_NOMINALES"/>
    <n v="0"/>
    <n v="11.3"/>
    <s v="TERMINAL DE ALBROOK"/>
    <x v="1"/>
  </r>
  <r>
    <n v="47"/>
    <d v="2018-09-21T00:00:00"/>
    <x v="4"/>
    <x v="4"/>
    <x v="0"/>
    <s v="ADMINISTRACION DE SUCURSALES"/>
    <s v="VIATICOS"/>
    <s v="TRANSACCIONES DEL DIA 09/21/2018SPYRAL - GESTION ADMINISTRATIVA"/>
    <n v="132"/>
    <n v="0"/>
    <s v="CONCEPCION"/>
    <x v="1"/>
  </r>
  <r>
    <n v="47"/>
    <d v="2018-10-05T00:00:00"/>
    <x v="0"/>
    <x v="0"/>
    <x v="0"/>
    <s v="ADMINISTRACION DE SUCURSALES"/>
    <s v="VIATICOS 2"/>
    <s v="TRANSACCIONES DEL DIA 10/05/2018SPYRAL - GESTION ADMINISTRATIVA"/>
    <n v="178"/>
    <n v="0"/>
    <s v="CONCEPCION"/>
    <x v="1"/>
  </r>
  <r>
    <n v="47"/>
    <d v="2018-10-06T00:00:00"/>
    <x v="0"/>
    <x v="0"/>
    <x v="0"/>
    <s v="ADMINISTRACION DE SUCURSALES"/>
    <s v="OTROS EGRESOS 18"/>
    <s v="OTROS EGRESOS 1.P.O (OR:47/DES:47 TRN:86 PERF:300086 CAU: 18"/>
    <n v="11.25"/>
    <n v="0"/>
    <s v="CONCEPCION"/>
    <x v="1"/>
  </r>
  <r>
    <n v="47"/>
    <d v="2018-10-22T00:00:00"/>
    <x v="0"/>
    <x v="0"/>
    <x v="0"/>
    <s v="ADMINISTRACION DE SUCURSALES"/>
    <s v="VIATICOS"/>
    <s v="TRANSACCIONES DEL DIA 10/22/2018SPYRAL - GESTION ADMINISTRATIVA"/>
    <n v="245.24"/>
    <n v="0"/>
    <s v="CONCEPCION"/>
    <x v="1"/>
  </r>
  <r>
    <n v="47"/>
    <d v="2018-10-22T00:00:00"/>
    <x v="0"/>
    <x v="0"/>
    <x v="0"/>
    <s v="ADMINISTRACION DE SUCURSALES"/>
    <s v="NC VIATICOS"/>
    <s v="TRANSACCIONES DEL DIA 10/22/2018SPYRAL - GESTION ADMINISTRATIVA"/>
    <n v="0"/>
    <n v="122.62"/>
    <s v="CONCEPCION"/>
    <x v="1"/>
  </r>
  <r>
    <n v="47"/>
    <d v="2018-11-19T00:00:00"/>
    <x v="5"/>
    <x v="5"/>
    <x v="0"/>
    <s v="ADMINISTRACION DE SUCURSALES"/>
    <s v="VIATICOS"/>
    <s v="TRANSACCIONES DEL DIA 11/19/2018SPYRAL - GESTION ADMINISTRATIVA"/>
    <n v="65"/>
    <n v="0"/>
    <s v="CONCEPCION"/>
    <x v="1"/>
  </r>
  <r>
    <n v="47"/>
    <d v="2018-11-20T00:00:00"/>
    <x v="5"/>
    <x v="5"/>
    <x v="0"/>
    <s v="ADMINISTRACION DE SUCURSALES"/>
    <s v="VIATICOS"/>
    <s v="TRANSACCIONES DEL DIA 11/20/2018SPYRAL - GESTION ADMINISTRATIVA"/>
    <n v="88"/>
    <n v="0"/>
    <s v="CONCEPCION"/>
    <x v="1"/>
  </r>
  <r>
    <n v="47"/>
    <d v="2018-11-29T00:00:00"/>
    <x v="5"/>
    <x v="5"/>
    <x v="0"/>
    <s v="ADMINISTRACION DE SUCURSALES"/>
    <s v="OTROS EGRESOS 18"/>
    <s v="OTROS EGRESOS 1.P.O (OR:47/DES:47 TRN:86 PERF:300086 CAU: 18"/>
    <n v="22.5"/>
    <n v="0"/>
    <s v="CONCEPCION"/>
    <x v="1"/>
  </r>
  <r>
    <n v="47"/>
    <d v="2018-12-10T00:00:00"/>
    <x v="1"/>
    <x v="1"/>
    <x v="0"/>
    <s v="ADMINISTRACION DE SUCURSALES"/>
    <s v="VIATICOS 2"/>
    <s v="TRANSACCIONES DEL DIA 12/10/2018SPYRAL - GESTION ADMINISTRATIVA"/>
    <n v="185.85"/>
    <n v="0"/>
    <s v="CONCEPCION"/>
    <x v="1"/>
  </r>
  <r>
    <n v="47"/>
    <d v="2018-12-12T00:00:00"/>
    <x v="1"/>
    <x v="1"/>
    <x v="0"/>
    <s v="ADMINISTRACION DE SUCURSALES"/>
    <s v="VIATICOS"/>
    <s v="TRANSACCIONES DEL DIA 12/12/2018SPYRAL - GESTION ADMINISTRATIVA"/>
    <n v="183.93"/>
    <n v="0"/>
    <s v="CONCEPCION"/>
    <x v="1"/>
  </r>
  <r>
    <n v="47"/>
    <d v="2018-12-31T00:00:00"/>
    <x v="1"/>
    <x v="1"/>
    <x v="0"/>
    <s v="ADMINISTRACION DE SUCURSALES"/>
    <s v="CIERRE DE ANIO FISCAL"/>
    <s v="CIERRE_DE_CTAS_NOMINALES"/>
    <n v="0"/>
    <n v="1544.15"/>
    <s v="CONCEPCION"/>
    <x v="1"/>
  </r>
  <r>
    <n v="48"/>
    <d v="2018-06-19T00:00:00"/>
    <x v="2"/>
    <x v="2"/>
    <x v="0"/>
    <s v="ADMINISTRACION DE SUCURSALES"/>
    <s v="OTROS EGRESOS 18"/>
    <s v="OTROS EGRESOS 1.P.O (OR:48/DES:48 TRN:86 PERF:300086 CAU: 18"/>
    <n v="22"/>
    <n v="0"/>
    <s v="BOQUETE"/>
    <x v="1"/>
  </r>
  <r>
    <n v="48"/>
    <d v="2018-06-21T00:00:00"/>
    <x v="2"/>
    <x v="2"/>
    <x v="0"/>
    <s v="ADMINISTRACION DE SUCURSALES"/>
    <s v="OTROS EGRESOS 18"/>
    <s v="OTROS EGRESOS 1.P.O (OR:48/DES:48 TRN:86 PERF:300086 CAU: 18"/>
    <n v="22"/>
    <n v="0"/>
    <s v="BOQUETE"/>
    <x v="1"/>
  </r>
  <r>
    <n v="48"/>
    <d v="2018-06-27T00:00:00"/>
    <x v="2"/>
    <x v="2"/>
    <x v="0"/>
    <s v="ADMINISTRACION DE SUCURSALES"/>
    <s v="OTROS EGRESOS 18"/>
    <s v="OTROS EGRESOS 1.P.O (OR:48/DES:48 TRN:86 PERF:300086 CAU: 18"/>
    <n v="22"/>
    <n v="0"/>
    <s v="BOQUETE"/>
    <x v="1"/>
  </r>
  <r>
    <n v="48"/>
    <d v="2018-08-02T00:00:00"/>
    <x v="3"/>
    <x v="3"/>
    <x v="0"/>
    <s v="ADMINISTRACION DE SUCURSALES"/>
    <s v="VIATICOS"/>
    <s v="TRANSACCIONES DEL DIA 08/02/2018SPYRAL - GESTION ADMINISTRATIVA"/>
    <n v="286"/>
    <n v="0"/>
    <s v="BOQUETE"/>
    <x v="1"/>
  </r>
  <r>
    <n v="48"/>
    <d v="2018-08-03T00:00:00"/>
    <x v="3"/>
    <x v="3"/>
    <x v="0"/>
    <s v="ADMINISTRACION DE SUCURSALES"/>
    <s v="OTROS EGRESOS 18"/>
    <s v="OTROS EGRESOS 1.P.O (OR:48/DES:48 TRN:86 PERF:300086 CAU: 18"/>
    <n v="22"/>
    <n v="0"/>
    <s v="BOQUETE"/>
    <x v="1"/>
  </r>
  <r>
    <n v="48"/>
    <d v="2018-08-04T00:00:00"/>
    <x v="3"/>
    <x v="3"/>
    <x v="0"/>
    <s v="ADMINISTRACION DE SUCURSALES"/>
    <s v="OTROS EGRESOS 18"/>
    <s v="OTROS EGRESOS 1.P.O (OR:48/DES:48 TRN:86 PERF:300086 CAU: 18"/>
    <n v="22"/>
    <n v="0"/>
    <s v="BOQUETE"/>
    <x v="1"/>
  </r>
  <r>
    <n v="48"/>
    <d v="2018-08-17T00:00:00"/>
    <x v="3"/>
    <x v="3"/>
    <x v="0"/>
    <s v="ADMINISTRACION DE SUCURSALES"/>
    <s v="NC VIATICOS"/>
    <s v="TRANSACCIONES DEL DIA 08/17/2018SPYRAL - GESTION ADMINISTRATIVA"/>
    <n v="136.61000000000001"/>
    <n v="0"/>
    <s v="BOQUETE"/>
    <x v="1"/>
  </r>
  <r>
    <n v="48"/>
    <d v="2018-08-28T00:00:00"/>
    <x v="3"/>
    <x v="3"/>
    <x v="0"/>
    <s v="ADMINISTRACION DE SUCURSALES"/>
    <s v="NC VIATICOS"/>
    <s v="TRANSACCIONES DEL DIA 08/28/2018SPYRAL - GESTION ADMINISTRATIVA"/>
    <n v="0"/>
    <n v="22"/>
    <s v="BOQUETE"/>
    <x v="1"/>
  </r>
  <r>
    <n v="48"/>
    <d v="2018-09-04T00:00:00"/>
    <x v="4"/>
    <x v="4"/>
    <x v="0"/>
    <s v="ADMINISTRACION DE SUCURSALES"/>
    <s v="VIATICOS"/>
    <s v="TRANSACCIONES DEL DIA 09/04/2018SPYRAL - GESTION ADMINISTRATIVA"/>
    <n v="286"/>
    <n v="0"/>
    <s v="BOQUETE"/>
    <x v="1"/>
  </r>
  <r>
    <n v="48"/>
    <d v="2018-10-01T00:00:00"/>
    <x v="0"/>
    <x v="0"/>
    <x v="0"/>
    <s v="ADMINISTRACION DE SUCURSALES"/>
    <s v="VIATICOS"/>
    <s v="TRANSACCIONES DEL DIA 10/01/2018SPYRAL - GESTION ADMINISTRATIVA"/>
    <n v="286"/>
    <n v="0"/>
    <s v="BOQUETE"/>
    <x v="1"/>
  </r>
  <r>
    <n v="48"/>
    <d v="2018-10-11T00:00:00"/>
    <x v="0"/>
    <x v="0"/>
    <x v="0"/>
    <s v="ADMINISTRACION DE SUCURSALES"/>
    <s v="VIATICOS"/>
    <s v="TRANSACCIONES DEL DIA 10/11/2018SPYRAL - GESTION ADMINISTRATIVA"/>
    <n v="132"/>
    <n v="0"/>
    <s v="BOQUETE"/>
    <x v="1"/>
  </r>
  <r>
    <n v="48"/>
    <d v="2018-10-30T00:00:00"/>
    <x v="0"/>
    <x v="0"/>
    <x v="0"/>
    <s v="ADMINISTRACION DE SUCURSALES"/>
    <s v="OTROS EGRESOS 18"/>
    <s v="OTROS EGRESOS 1.P.O (OR:48/DES:48 TRN:86 PERF:300086 CAU: 18"/>
    <n v="22"/>
    <n v="0"/>
    <s v="BOQUETE"/>
    <x v="1"/>
  </r>
  <r>
    <n v="48"/>
    <d v="2018-11-21T00:00:00"/>
    <x v="5"/>
    <x v="5"/>
    <x v="0"/>
    <s v="ADMINISTRACION DE SUCURSALES"/>
    <s v="OTROS EGRESOS 18"/>
    <s v="OTROS EGRESOS 1.P.O (OR:48/DES:48 TRN:86 PERF:300086 CAU: 18"/>
    <n v="22"/>
    <n v="0"/>
    <s v="BOQUETE"/>
    <x v="1"/>
  </r>
  <r>
    <n v="48"/>
    <d v="2018-12-12T00:00:00"/>
    <x v="1"/>
    <x v="1"/>
    <x v="0"/>
    <s v="ADMINISTRACION DE SUCURSALES"/>
    <s v="OTROS EGRESOS 18"/>
    <s v="OTROS EGRESOS 1.P.O (OR:48/DES:48 TRN:86 PERF:300086 CAU: 18"/>
    <n v="22"/>
    <n v="0"/>
    <s v="BOQUETE"/>
    <x v="1"/>
  </r>
  <r>
    <n v="48"/>
    <d v="2018-12-14T00:00:00"/>
    <x v="1"/>
    <x v="1"/>
    <x v="0"/>
    <s v="ADMINISTRACION DE SUCURSALES"/>
    <s v="OTROS EGRESOS 18"/>
    <s v="OTROS EGRESOS 1.P.O (OR:48/DES:48 TRN:86 PERF:300086 CAU: 18"/>
    <n v="22"/>
    <n v="0"/>
    <s v="BOQUETE"/>
    <x v="1"/>
  </r>
  <r>
    <n v="48"/>
    <d v="2018-12-31T00:00:00"/>
    <x v="1"/>
    <x v="1"/>
    <x v="0"/>
    <s v="ADMINISTRACION DE SUCURSALES"/>
    <s v="CIERRE DE ANIO FISCAL"/>
    <s v="CIERRE_DE_CTAS_NOMINALES"/>
    <n v="0"/>
    <n v="1698.61"/>
    <s v="BOQUETE"/>
    <x v="1"/>
  </r>
  <r>
    <n v="48"/>
    <d v="2018-12-31T00:00:00"/>
    <x v="1"/>
    <x v="1"/>
    <x v="0"/>
    <s v="CAJA"/>
    <s v="CIERRE DE ANIO FISCAL"/>
    <s v="CIERRE_DE_CTAS_NOMINALES"/>
    <n v="0"/>
    <n v="968"/>
    <s v="BOQUETE"/>
    <x v="1"/>
  </r>
  <r>
    <n v="48"/>
    <d v="2018-12-31T00:00:00"/>
    <x v="1"/>
    <x v="1"/>
    <x v="0"/>
    <s v="SERVICIOS PERSONALES"/>
    <s v="CIERRE DE ANIO FISCAL"/>
    <s v="CIERRE_DE_CTAS_NOMINALES"/>
    <n v="0"/>
    <n v="550"/>
    <s v="BOQUETE"/>
    <x v="1"/>
  </r>
  <r>
    <n v="49"/>
    <d v="2018-12-12T00:00:00"/>
    <x v="1"/>
    <x v="1"/>
    <x v="0"/>
    <s v="ADMINISTRACION DE SUCURSALES"/>
    <s v="VIATICOS"/>
    <s v="TRANSACCIONES DEL DIA 12/12/2018SPYRAL - GESTION ADMINISTRATIVA"/>
    <n v="3.15"/>
    <n v="0"/>
    <s v="BRISAS DEL GOLF"/>
    <x v="1"/>
  </r>
  <r>
    <n v="49"/>
    <d v="2018-12-31T00:00:00"/>
    <x v="1"/>
    <x v="1"/>
    <x v="0"/>
    <s v="ADMINISTRACION DE SUCURSALES"/>
    <s v="CIERRE DE ANIO FISCAL"/>
    <s v="CIERRE_DE_CTAS_NOMINALES"/>
    <n v="0"/>
    <n v="20"/>
    <s v="BRISAS DEL GOLF"/>
    <x v="1"/>
  </r>
  <r>
    <n v="49"/>
    <d v="2018-12-31T00:00:00"/>
    <x v="1"/>
    <x v="1"/>
    <x v="0"/>
    <s v="CAJA"/>
    <s v="CIERRE DE ANIO FISCAL"/>
    <s v="CIERRE_DE_CTAS_NOMINALES"/>
    <n v="0"/>
    <n v="47.4"/>
    <s v="BRISAS DEL GOLF"/>
    <x v="1"/>
  </r>
  <r>
    <n v="49"/>
    <d v="2018-10-08T00:00:00"/>
    <x v="0"/>
    <x v="0"/>
    <x v="0"/>
    <s v="SERVICIOS PERSONALES"/>
    <s v="VIATICOS"/>
    <s v="TRANSACCIONES DEL DIA 10/08/2018SPYRAL - GESTION ADMINISTRATIVA"/>
    <n v="6.95"/>
    <n v="0"/>
    <s v="BRISAS DEL GOLF"/>
    <x v="1"/>
  </r>
  <r>
    <n v="49"/>
    <d v="2018-10-24T00:00:00"/>
    <x v="0"/>
    <x v="0"/>
    <x v="0"/>
    <s v="SERVICIOS PERSONALES"/>
    <s v="VIATICOS"/>
    <s v="TRANSACCIONES DEL DIA 10/24/2018SPYRAL - GESTION ADMINISTRATIVA"/>
    <n v="10.8"/>
    <n v="0"/>
    <s v="BRISAS DEL GOLF"/>
    <x v="1"/>
  </r>
  <r>
    <n v="49"/>
    <d v="2018-11-09T00:00:00"/>
    <x v="5"/>
    <x v="5"/>
    <x v="0"/>
    <s v="SERVICIOS PERSONALES"/>
    <s v="VIATICOS"/>
    <s v="TRANSACCIONES DEL DIA 11/09/2018SPYRAL - GESTION ADMINISTRATIVA"/>
    <n v="6.3"/>
    <n v="0"/>
    <s v="BRISAS DEL GOLF"/>
    <x v="1"/>
  </r>
  <r>
    <n v="49"/>
    <d v="2018-12-06T00:00:00"/>
    <x v="1"/>
    <x v="1"/>
    <x v="0"/>
    <s v="SERVICIOS PERSONALES"/>
    <s v="VIATICOS"/>
    <s v="TRANSACCIONES DEL DIA 12/06/2018SPYRAL - GESTION ADMINISTRATIVA"/>
    <n v="3.15"/>
    <n v="0"/>
    <s v="BRISAS DEL GOLF"/>
    <x v="1"/>
  </r>
  <r>
    <n v="49"/>
    <d v="2018-12-31T00:00:00"/>
    <x v="1"/>
    <x v="1"/>
    <x v="0"/>
    <s v="SERVICIOS PERSONALES"/>
    <s v="CIERRE DE ANIO FISCAL"/>
    <s v="CIERRE_DE_CTAS_NOMINALES"/>
    <n v="0"/>
    <n v="27.2"/>
    <s v="BRISAS DEL GOLF"/>
    <x v="1"/>
  </r>
  <r>
    <n v="51"/>
    <d v="2018-06-08T00:00:00"/>
    <x v="2"/>
    <x v="2"/>
    <x v="0"/>
    <s v="ADMINISTRACION DE SUCURSALES"/>
    <s v="OTROS EGRESOS 18"/>
    <s v="OTROS EGRESOS 1.P.O (OR:51/DES:51 TRN:86 PERF:300086 CAU: 18"/>
    <n v="6.6"/>
    <n v="0"/>
    <s v="PUENTE CENTENARIO"/>
    <x v="1"/>
  </r>
  <r>
    <n v="51"/>
    <d v="2018-06-12T00:00:00"/>
    <x v="2"/>
    <x v="2"/>
    <x v="0"/>
    <s v="ADMINISTRACION DE SUCURSALES"/>
    <s v="OTROS EGRESOS 18"/>
    <s v="OTROS EGRESOS 1.P.O (OR:51/DES:51 TRN:86 PERF:300086 CAU: 18"/>
    <n v="3.15"/>
    <n v="0"/>
    <s v="PUENTE CENTENARIO"/>
    <x v="1"/>
  </r>
  <r>
    <n v="51"/>
    <d v="2018-06-14T00:00:00"/>
    <x v="2"/>
    <x v="2"/>
    <x v="0"/>
    <s v="ADMINISTRACION DE SUCURSALES"/>
    <s v="OTROS EGRESOS 18"/>
    <s v="OTROS EGRESOS 1.P.O (OR:51/DES:51 TRN:86 PERF:300086 CAU: 18"/>
    <n v="4.75"/>
    <n v="0"/>
    <s v="PUENTE CENTENARIO"/>
    <x v="1"/>
  </r>
  <r>
    <n v="51"/>
    <d v="2018-06-29T00:00:00"/>
    <x v="2"/>
    <x v="2"/>
    <x v="0"/>
    <s v="ADMINISTRACION DE SUCURSALES"/>
    <s v="OTROS EGRESOS 18"/>
    <s v="OTROS EGRESOS 1.P.O (OR:51/DES:51 TRN:86 PERF:300086 CAU: 18"/>
    <n v="3.7"/>
    <n v="0"/>
    <s v="PUENTE CENTENARIO"/>
    <x v="1"/>
  </r>
  <r>
    <n v="51"/>
    <d v="2018-08-01T00:00:00"/>
    <x v="3"/>
    <x v="3"/>
    <x v="0"/>
    <s v="ADMINISTRACION DE SUCURSALES"/>
    <s v="OTROS EGRESOS 18"/>
    <s v="OTROS EGRESOS 1.P.O (OR:51/DES:51 TRN:86 PERF:300086 CAU: 18"/>
    <n v="3.7"/>
    <n v="0"/>
    <s v="PUENTE CENTENARIO"/>
    <x v="1"/>
  </r>
  <r>
    <n v="51"/>
    <d v="2018-08-06T00:00:00"/>
    <x v="3"/>
    <x v="3"/>
    <x v="0"/>
    <s v="ADMINISTRACION DE SUCURSALES"/>
    <s v="OTROS EGRESOS 18"/>
    <s v="OTROS EGRESOS 1.P.O (OR:51/DES:51 TRN:86 PERF:300086 CAU: 18"/>
    <n v="3.15"/>
    <n v="0"/>
    <s v="PUENTE CENTENARIO"/>
    <x v="1"/>
  </r>
  <r>
    <n v="51"/>
    <d v="2018-09-07T00:00:00"/>
    <x v="4"/>
    <x v="4"/>
    <x v="0"/>
    <s v="ADMINISTRACION DE SUCURSALES"/>
    <s v="OTROS EGRESOS 18"/>
    <s v="OTROS EGRESOS 1.P.O (OR:51/DES:51 TRN:86 PERF:300086 CAU: 18"/>
    <n v="3.15"/>
    <n v="0"/>
    <s v="PUENTE CENTENARIO"/>
    <x v="1"/>
  </r>
  <r>
    <n v="51"/>
    <d v="2018-10-08T00:00:00"/>
    <x v="0"/>
    <x v="0"/>
    <x v="0"/>
    <s v="ADMINISTRACION DE SUCURSALES"/>
    <s v="OTROS EGRESOS 18"/>
    <s v="OTROS EGRESOS 1.P.O (OR:51/DES:51 TRN:86 PERF:300086 CAU: 18"/>
    <n v="3.15"/>
    <n v="0"/>
    <s v="PUENTE CENTENARIO"/>
    <x v="1"/>
  </r>
  <r>
    <n v="51"/>
    <d v="2018-10-15T00:00:00"/>
    <x v="0"/>
    <x v="0"/>
    <x v="0"/>
    <s v="ADMINISTRACION DE SUCURSALES"/>
    <s v="OTROS EGRESOS 18"/>
    <s v="OTROS EGRESOS 1.P.O (OR:51/DES:51 TRN:86 PERF:300086 CAU: 18"/>
    <n v="3.15"/>
    <n v="0"/>
    <s v="PUENTE CENTENARIO"/>
    <x v="1"/>
  </r>
  <r>
    <n v="51"/>
    <d v="2018-10-24T00:00:00"/>
    <x v="0"/>
    <x v="0"/>
    <x v="0"/>
    <s v="ADMINISTRACION DE SUCURSALES"/>
    <s v="OTROS EGRESOS 18"/>
    <s v="OTROS EGRESOS 1.P.O (OR:51/DES:51 TRN:86 PERF:300086 CAU: 18"/>
    <n v="6.3"/>
    <n v="0"/>
    <s v="PUENTE CENTENARIO"/>
    <x v="1"/>
  </r>
  <r>
    <n v="51"/>
    <d v="2018-11-21T00:00:00"/>
    <x v="5"/>
    <x v="5"/>
    <x v="0"/>
    <s v="ADMINISTRACION DE SUCURSALES"/>
    <s v="OTROS EGRESOS 18"/>
    <s v="OTROS EGRESOS 1.P.O (OR:51/DES:51 TRN:86 PERF:300086 CAU: 18"/>
    <n v="4.75"/>
    <n v="0"/>
    <s v="PUENTE CENTENARIO"/>
    <x v="1"/>
  </r>
  <r>
    <n v="51"/>
    <d v="2018-12-03T00:00:00"/>
    <x v="1"/>
    <x v="1"/>
    <x v="0"/>
    <s v="ADMINISTRACION DE SUCURSALES"/>
    <s v="OTROS EGRESOS 18"/>
    <s v="OTROS EGRESOS 1.P.O (OR:51/DES:51 TRN:86 PERF:300086 CAU: 18"/>
    <n v="3.15"/>
    <n v="0"/>
    <s v="PUENTE CENTENARIO"/>
    <x v="1"/>
  </r>
  <r>
    <n v="51"/>
    <d v="2018-12-12T00:00:00"/>
    <x v="1"/>
    <x v="1"/>
    <x v="0"/>
    <s v="ADMINISTRACION DE SUCURSALES"/>
    <s v="OTROS EGRESOS 18"/>
    <s v="OTROS EGRESOS 1.P.O (OR:51/DES:51 TRN:86 PERF:300086 CAU: 18"/>
    <n v="3.15"/>
    <n v="0"/>
    <s v="PUENTE CENTENARIO"/>
    <x v="1"/>
  </r>
  <r>
    <n v="51"/>
    <d v="2018-12-31T00:00:00"/>
    <x v="1"/>
    <x v="1"/>
    <x v="0"/>
    <s v="ADMINISTRACION DE SUCURSALES"/>
    <s v="CIERRE DE ANIO FISCAL"/>
    <s v="CIERRE_DE_CTAS_NOMINALES"/>
    <n v="0"/>
    <n v="73.349999999999994"/>
    <s v="PUENTE CENTENARIO"/>
    <x v="1"/>
  </r>
  <r>
    <n v="53"/>
    <d v="2018-06-20T00:00:00"/>
    <x v="2"/>
    <x v="2"/>
    <x v="0"/>
    <s v="ADMINISTRACION DE SUCURSALES"/>
    <s v="OTROS EGRESOS 18"/>
    <s v="OTROS EGRESOS 1.P.O (OR:53/DES:53 TRN:86 PERF:300086 CAU: 18"/>
    <n v="18"/>
    <n v="0"/>
    <s v="AGUADULCE"/>
    <x v="1"/>
  </r>
  <r>
    <n v="53"/>
    <d v="2018-06-26T00:00:00"/>
    <x v="2"/>
    <x v="2"/>
    <x v="0"/>
    <s v="ADMINISTRACION DE SUCURSALES"/>
    <s v="OTROS EGRESOS 18"/>
    <s v="OTROS EGRESOS 1.P.O (OR:53/DES:53 TRN:86 PERF:300086 CAU: 18"/>
    <n v="18"/>
    <n v="0"/>
    <s v="AGUADULCE"/>
    <x v="1"/>
  </r>
  <r>
    <n v="53"/>
    <d v="2018-08-06T00:00:00"/>
    <x v="3"/>
    <x v="3"/>
    <x v="0"/>
    <s v="ADMINISTRACION DE SUCURSALES"/>
    <s v="OTROS EGRESOS 18"/>
    <s v="OTROS EGRESOS 1.P.O (OR:53/DES:53 TRN:86 PERF:300086 CAU: 18"/>
    <n v="18"/>
    <n v="0"/>
    <s v="AGUADULCE"/>
    <x v="1"/>
  </r>
  <r>
    <n v="53"/>
    <d v="2018-08-07T00:00:00"/>
    <x v="3"/>
    <x v="3"/>
    <x v="0"/>
    <s v="ADMINISTRACION DE SUCURSALES"/>
    <s v="OTROS EGRESOS 18"/>
    <s v="OTROS EGRESOS 1.P.O (OR:53/DES:53 TRN:86 PERF:300086 CAU: 18"/>
    <n v="72"/>
    <n v="0"/>
    <s v="AGUADULCE"/>
    <x v="1"/>
  </r>
  <r>
    <n v="53"/>
    <d v="2018-08-10T00:00:00"/>
    <x v="3"/>
    <x v="3"/>
    <x v="0"/>
    <s v="ADMINISTRACION DE SUCURSALES"/>
    <s v="VIATICOS"/>
    <s v="TRANSACCIONES DEL DIA 08/10/2018SPYRAL - GESTION ADMINISTRATIVA"/>
    <n v="91.5"/>
    <n v="0"/>
    <s v="AGUADULCE"/>
    <x v="1"/>
  </r>
  <r>
    <n v="53"/>
    <d v="2018-09-01T00:00:00"/>
    <x v="4"/>
    <x v="4"/>
    <x v="0"/>
    <s v="ADMINISTRACION DE SUCURSALES"/>
    <s v="VIATICOS"/>
    <s v="TRANSACCIONES DEL DIA 09/01/2018SPYRAL - GESTION ADMINISTRATIVA"/>
    <n v="149.5"/>
    <n v="0"/>
    <s v="AGUADULCE"/>
    <x v="1"/>
  </r>
  <r>
    <n v="53"/>
    <d v="2018-09-24T00:00:00"/>
    <x v="4"/>
    <x v="4"/>
    <x v="0"/>
    <s v="ADMINISTRACION DE SUCURSALES"/>
    <s v="NC VIATICOS"/>
    <s v="TRANSACCIONES DEL DIA 09/24/2018SPYRAL - GESTION ADMINISTRATIVA"/>
    <n v="0"/>
    <n v="23"/>
    <s v="AGUADULCE"/>
    <x v="1"/>
  </r>
  <r>
    <n v="53"/>
    <d v="2018-09-28T00:00:00"/>
    <x v="4"/>
    <x v="4"/>
    <x v="0"/>
    <s v="ADMINISTRACION DE SUCURSALES"/>
    <s v="OTROS EGRESOS 18"/>
    <s v="OTROS EGRESOS 1.P.O (OR:53/DES:53 TRN:86 PERF:300086 CAU: 18"/>
    <n v="4"/>
    <n v="0"/>
    <s v="AGUADULCE"/>
    <x v="1"/>
  </r>
  <r>
    <n v="53"/>
    <d v="2018-10-01T00:00:00"/>
    <x v="0"/>
    <x v="0"/>
    <x v="0"/>
    <s v="ADMINISTRACION DE SUCURSALES"/>
    <s v="VIATICOS"/>
    <s v="TRANSACCIONES DEL DIA 10/01/2018SPYRAL - GESTION ADMINISTRATIVA"/>
    <n v="264"/>
    <n v="0"/>
    <s v="AGUADULCE"/>
    <x v="1"/>
  </r>
  <r>
    <n v="53"/>
    <d v="2018-10-11T00:00:00"/>
    <x v="0"/>
    <x v="0"/>
    <x v="0"/>
    <s v="ADMINISTRACION DE SUCURSALES"/>
    <s v="OTROS EGRESOS 18"/>
    <s v="OTROS EGRESOS 1.P.O (OR:53/DES:53 TRN:86 PERF:300086 CAU: 18"/>
    <n v="5"/>
    <n v="0"/>
    <s v="AGUADULCE"/>
    <x v="1"/>
  </r>
  <r>
    <n v="53"/>
    <d v="2018-10-23T00:00:00"/>
    <x v="0"/>
    <x v="0"/>
    <x v="0"/>
    <s v="ADMINISTRACION DE SUCURSALES"/>
    <s v="OTROS EGRESOS 18"/>
    <s v="OTROS EGRESOS 1.P.O (OR:53/DES:53 TRN:86 PERF:300086 CAU: 18"/>
    <n v="18"/>
    <n v="0"/>
    <s v="AGUADULCE"/>
    <x v="1"/>
  </r>
  <r>
    <n v="53"/>
    <d v="2018-10-25T00:00:00"/>
    <x v="0"/>
    <x v="0"/>
    <x v="0"/>
    <s v="ADMINISTRACION DE SUCURSALES"/>
    <s v="OTROS EGRESOS 18"/>
    <s v="OTROS EGRESOS 1.P.O (OR:53/DES:53 TRN:86 PERF:300086 CAU: 18"/>
    <n v="18"/>
    <n v="0"/>
    <s v="AGUADULCE"/>
    <x v="1"/>
  </r>
  <r>
    <n v="53"/>
    <d v="2018-11-02T00:00:00"/>
    <x v="5"/>
    <x v="5"/>
    <x v="0"/>
    <s v="ADMINISTRACION DE SUCURSALES"/>
    <s v="OTROS EGRESOS 18"/>
    <s v="OTROS EGRESOS 1.P.O (OR:53/DES:53 TRN:86 PERF:300086 CAU: 18"/>
    <n v="18"/>
    <n v="0"/>
    <s v="AGUADULCE"/>
    <x v="1"/>
  </r>
  <r>
    <n v="53"/>
    <d v="2018-11-08T00:00:00"/>
    <x v="5"/>
    <x v="5"/>
    <x v="0"/>
    <s v="ADMINISTRACION DE SUCURSALES"/>
    <s v="NC VIATICOS"/>
    <s v="TRANSACCIONES DEL DIA 11/08/2018SPYRAL - GESTION ADMINISTRATIVA"/>
    <n v="0"/>
    <n v="96"/>
    <s v="AGUADULCE"/>
    <x v="1"/>
  </r>
  <r>
    <n v="53"/>
    <d v="2018-12-04T00:00:00"/>
    <x v="1"/>
    <x v="1"/>
    <x v="0"/>
    <s v="ADMINISTRACION DE SUCURSALES"/>
    <s v="VIATICOS"/>
    <s v="TRANSACCIONES DEL DIA 12/04/2018SPYRAL - GESTION ADMINISTRATIVA"/>
    <n v="264"/>
    <n v="0"/>
    <s v="AGUADULCE"/>
    <x v="1"/>
  </r>
  <r>
    <n v="53"/>
    <d v="2018-12-12T00:00:00"/>
    <x v="1"/>
    <x v="1"/>
    <x v="0"/>
    <s v="ADMINISTRACION DE SUCURSALES"/>
    <s v="OTROS EGRESOS 18"/>
    <s v="OTROS EGRESOS 1.P.O (OR:53/DES:53 TRN:86 PERF:300086 CAU: 18"/>
    <n v="6"/>
    <n v="0"/>
    <s v="AGUADULCE"/>
    <x v="1"/>
  </r>
  <r>
    <n v="53"/>
    <d v="2018-12-17T00:00:00"/>
    <x v="1"/>
    <x v="1"/>
    <x v="0"/>
    <s v="ADMINISTRACION DE SUCURSALES"/>
    <s v="OTROS EGRESOS 18"/>
    <s v="OTROS EGRESOS 1.P.O (OR:53/DES:53 TRN:86 PERF:300086 CAU: 18"/>
    <n v="18"/>
    <n v="0"/>
    <s v="AGUADULCE"/>
    <x v="1"/>
  </r>
  <r>
    <n v="53"/>
    <d v="2018-12-21T00:00:00"/>
    <x v="1"/>
    <x v="1"/>
    <x v="0"/>
    <s v="ADMINISTRACION DE SUCURSALES"/>
    <s v="OTROS EGRESOS 18"/>
    <s v="OTROS EGRESOS 1.P.O (OR:53/DES:53 TRN:86 PERF:300086 CAU: 18"/>
    <n v="24"/>
    <n v="0"/>
    <s v="AGUADULCE"/>
    <x v="1"/>
  </r>
  <r>
    <n v="53"/>
    <d v="2018-12-31T00:00:00"/>
    <x v="1"/>
    <x v="1"/>
    <x v="0"/>
    <s v="ADMINISTRACION DE SUCURSALES"/>
    <s v="CIERRE DE ANIO FISCAL"/>
    <s v="CIERRE_DE_CTAS_NOMINALES"/>
    <n v="0"/>
    <n v="1544.52"/>
    <s v="AGUADULCE"/>
    <x v="1"/>
  </r>
  <r>
    <n v="53"/>
    <d v="2018-08-16T00:00:00"/>
    <x v="3"/>
    <x v="3"/>
    <x v="0"/>
    <s v="SERVICIOS PERSONALES"/>
    <s v="VIATICOS"/>
    <s v="TRANSACCIONES DEL DIA 08/16/2018SPYRAL - GESTION ADMINISTRATIVA"/>
    <n v="136.5"/>
    <n v="0"/>
    <s v="AGUADULCE"/>
    <x v="1"/>
  </r>
  <r>
    <n v="53"/>
    <d v="2018-12-31T00:00:00"/>
    <x v="1"/>
    <x v="1"/>
    <x v="0"/>
    <s v="SERVICIOS PERSONALES"/>
    <s v="CIERRE DE ANIO FISCAL"/>
    <s v="CIERRE_DE_CTAS_NOMINALES"/>
    <n v="0"/>
    <n v="346.5"/>
    <s v="AGUADULCE"/>
    <x v="1"/>
  </r>
  <r>
    <n v="54"/>
    <d v="2018-07-12T00:00:00"/>
    <x v="6"/>
    <x v="6"/>
    <x v="0"/>
    <s v="ADMINISTRACION DE SUCURSALES"/>
    <s v="VIATICOS"/>
    <s v="TRANSACCIONES DEL DIA 07/12/2018SPYRAL - GESTION ADMINISTRATIVA"/>
    <n v="208.8"/>
    <n v="0"/>
    <s v="SABANITAS"/>
    <x v="1"/>
  </r>
  <r>
    <n v="54"/>
    <d v="2018-08-21T00:00:00"/>
    <x v="3"/>
    <x v="3"/>
    <x v="0"/>
    <s v="ADMINISTRACION DE SUCURSALES"/>
    <s v="VIATICOS"/>
    <s v="TRANSACCIONES DEL DIA 08/21/2018SPYRAL - GESTION ADMINISTRATIVA"/>
    <n v="39"/>
    <n v="0"/>
    <s v="SABANITAS"/>
    <x v="1"/>
  </r>
  <r>
    <n v="54"/>
    <d v="2018-09-01T00:00:00"/>
    <x v="4"/>
    <x v="4"/>
    <x v="0"/>
    <s v="ADMINISTRACION DE SUCURSALES"/>
    <s v="VIATICOS"/>
    <s v="TRANSACCIONES DEL DIA 09/01/2018SPYRAL - GESTION ADMINISTRATIVA"/>
    <n v="176.8"/>
    <n v="0"/>
    <s v="SABANITAS"/>
    <x v="1"/>
  </r>
  <r>
    <n v="54"/>
    <d v="2018-10-26T00:00:00"/>
    <x v="0"/>
    <x v="0"/>
    <x v="0"/>
    <s v="ADMINISTRACION DE SUCURSALES"/>
    <s v="VIATICOS"/>
    <s v="TRANSACCIONES DEL DIA 10/26/2018SPYRAL - GESTION ADMINISTRATIVA"/>
    <n v="47"/>
    <n v="0"/>
    <s v="SABANITAS"/>
    <x v="1"/>
  </r>
  <r>
    <n v="54"/>
    <d v="2018-12-31T00:00:00"/>
    <x v="1"/>
    <x v="1"/>
    <x v="0"/>
    <s v="ADMINISTRACION DE SUCURSALES"/>
    <s v="CIERRE DE ANIO FISCAL"/>
    <s v="CIERRE_DE_CTAS_NOMINALES"/>
    <n v="0"/>
    <n v="584"/>
    <s v="SABANITAS"/>
    <x v="1"/>
  </r>
  <r>
    <n v="54"/>
    <d v="2018-06-29T00:00:00"/>
    <x v="2"/>
    <x v="2"/>
    <x v="0"/>
    <s v="SERVICIOS PERSONALES"/>
    <s v="VIATICOS"/>
    <s v="TRANSACCIONES DEL DIA 06/29/2018SPYRAL - GESTION ADMINISTRATIVA"/>
    <n v="183.8"/>
    <n v="0"/>
    <s v="SABANITAS"/>
    <x v="1"/>
  </r>
  <r>
    <n v="54"/>
    <d v="2018-08-16T00:00:00"/>
    <x v="3"/>
    <x v="3"/>
    <x v="0"/>
    <s v="SERVICIOS PERSONALES"/>
    <s v="VIATICOS"/>
    <s v="TRANSACCIONES DEL DIA 08/16/2018SPYRAL - GESTION ADMINISTRATIVA"/>
    <n v="190.4"/>
    <n v="0"/>
    <s v="SABANITAS"/>
    <x v="1"/>
  </r>
  <r>
    <n v="54"/>
    <d v="2018-09-13T00:00:00"/>
    <x v="4"/>
    <x v="4"/>
    <x v="0"/>
    <s v="SERVICIOS PERSONALES"/>
    <s v="VIATICOS"/>
    <s v="TRANSACCIONES DEL DIA 09/13/2018SPYRAL - GESTION ADMINISTRATIVA"/>
    <n v="163.19999999999999"/>
    <n v="0"/>
    <s v="SABANITAS"/>
    <x v="1"/>
  </r>
  <r>
    <n v="54"/>
    <d v="2018-10-01T00:00:00"/>
    <x v="0"/>
    <x v="0"/>
    <x v="0"/>
    <s v="SERVICIOS PERSONALES"/>
    <s v="VIATICOS"/>
    <s v="TRANSACCIONES DEL DIA 10/01/2018SPYRAL - GESTION ADMINISTRATIVA"/>
    <n v="88.6"/>
    <n v="0"/>
    <s v="SABANITAS"/>
    <x v="1"/>
  </r>
  <r>
    <n v="54"/>
    <d v="2018-12-31T00:00:00"/>
    <x v="1"/>
    <x v="1"/>
    <x v="0"/>
    <s v="SERVICIOS PERSONALES"/>
    <s v="CIERRE DE ANIO FISCAL"/>
    <s v="CIERRE_DE_CTAS_NOMINALES"/>
    <n v="0"/>
    <n v="626"/>
    <s v="SABANITAS"/>
    <x v="1"/>
  </r>
  <r>
    <n v="68"/>
    <d v="2018-12-31T00:00:00"/>
    <x v="1"/>
    <x v="1"/>
    <x v="0"/>
    <s v="ADMINISTRACION DE SUCURSALES"/>
    <s v="CIERRE DE ANIO FISCAL"/>
    <s v="CIERRE_DE_CTAS_NOMINALES"/>
    <n v="0"/>
    <n v="6.6"/>
    <s v="ALTOS DE PANAMA"/>
    <x v="1"/>
  </r>
  <r>
    <n v="69"/>
    <d v="2018-10-01T00:00:00"/>
    <x v="0"/>
    <x v="0"/>
    <x v="0"/>
    <s v="ADMINISTRACION DE SUCURSALES"/>
    <s v="OTROS EGRESOS 18"/>
    <s v="OTROS EGRESOS 1.P.O (OR:69/DES:69 TRN:86 PERF:300086 CAU: 18"/>
    <n v="6.83"/>
    <n v="0"/>
    <s v="VERSALLES"/>
    <x v="1"/>
  </r>
  <r>
    <n v="69"/>
    <d v="2018-12-31T00:00:00"/>
    <x v="1"/>
    <x v="1"/>
    <x v="0"/>
    <s v="ADMINISTRACION DE SUCURSALES"/>
    <s v="CIERRE DE ANIO FISCAL"/>
    <s v="CIERRE_DE_CTAS_NOMINALES"/>
    <n v="0"/>
    <n v="34.68"/>
    <s v="VERSALLES"/>
    <x v="1"/>
  </r>
  <r>
    <n v="70"/>
    <d v="2018-07-03T00:00:00"/>
    <x v="6"/>
    <x v="6"/>
    <x v="0"/>
    <s v="ADMINISTRACION DE SUCURSALES"/>
    <s v="OTROS EGRESOS 18"/>
    <s v="OTROS EGRESOS 1.P.O (OR:70/DES:70 TRN:86 PERF:300086 CAU: 18"/>
    <n v="6.85"/>
    <n v="0"/>
    <s v="BUSINESS PARK"/>
    <x v="1"/>
  </r>
  <r>
    <n v="70"/>
    <d v="2018-07-17T00:00:00"/>
    <x v="6"/>
    <x v="6"/>
    <x v="0"/>
    <s v="ADMINISTRACION DE SUCURSALES"/>
    <s v="OTROS EGRESOS 18"/>
    <s v="OTROS EGRESOS 1.P.O (OR:70/DES:70 TRN:86 PERF:300086 CAU: 18"/>
    <n v="2.25"/>
    <n v="0"/>
    <s v="BUSINESS PARK"/>
    <x v="1"/>
  </r>
  <r>
    <n v="70"/>
    <d v="2018-08-17T00:00:00"/>
    <x v="3"/>
    <x v="3"/>
    <x v="0"/>
    <s v="ADMINISTRACION DE SUCURSALES"/>
    <s v="OTROS EGRESOS 18"/>
    <s v="OTROS EGRESOS 1.P.O (OR:70/DES:70 TRN:86 PERF:300086 CAU: 18"/>
    <n v="2.4"/>
    <n v="0"/>
    <s v="BUSINESS PARK"/>
    <x v="1"/>
  </r>
  <r>
    <n v="70"/>
    <d v="2018-08-28T00:00:00"/>
    <x v="3"/>
    <x v="3"/>
    <x v="0"/>
    <s v="ADMINISTRACION DE SUCURSALES"/>
    <s v="OTROS EGRESOS 18"/>
    <s v="OTROS EGRESOS 1.P.O (OR:70/DES:70 TRN:86 PERF:300086 CAU: 18"/>
    <n v="1.8"/>
    <n v="0"/>
    <s v="BUSINESS PARK"/>
    <x v="1"/>
  </r>
  <r>
    <n v="70"/>
    <d v="2018-10-13T00:00:00"/>
    <x v="0"/>
    <x v="0"/>
    <x v="0"/>
    <s v="ADMINISTRACION DE SUCURSALES"/>
    <s v="OTROS EGRESOS 18"/>
    <s v="OTROS EGRESOS 1.P.O (OR:70/DES:70 TRN:86 PERF:300086 CAU: 18"/>
    <n v="1.8"/>
    <n v="0"/>
    <s v="BUSINESS PARK"/>
    <x v="1"/>
  </r>
  <r>
    <n v="70"/>
    <d v="2018-10-22T00:00:00"/>
    <x v="0"/>
    <x v="0"/>
    <x v="0"/>
    <s v="ADMINISTRACION DE SUCURSALES"/>
    <s v="OTROS EGRESOS 18"/>
    <s v="OTROS EGRESOS 1.P.O (OR:70/DES:70 TRN:86 PERF:300086 CAU: 18"/>
    <n v="2.4"/>
    <n v="0"/>
    <s v="BUSINESS PARK"/>
    <x v="1"/>
  </r>
  <r>
    <n v="70"/>
    <d v="2018-11-16T00:00:00"/>
    <x v="5"/>
    <x v="5"/>
    <x v="0"/>
    <s v="ADMINISTRACION DE SUCURSALES"/>
    <s v="OTROS EGRESOS 18"/>
    <s v="OTROS EGRESOS 1.P.O (OR:70/DES:70 TRN:86 PERF:300086 CAU: 18"/>
    <n v="2.25"/>
    <n v="0"/>
    <s v="BUSINESS PARK"/>
    <x v="1"/>
  </r>
  <r>
    <n v="70"/>
    <d v="2018-11-22T00:00:00"/>
    <x v="5"/>
    <x v="5"/>
    <x v="0"/>
    <s v="ADMINISTRACION DE SUCURSALES"/>
    <s v="OTROS EGRESOS 18"/>
    <s v="OTROS EGRESOS 1.P.O (OR:70/DES:70 TRN:86 PERF:300086 CAU: 18"/>
    <n v="2.25"/>
    <n v="0"/>
    <s v="BUSINESS PARK"/>
    <x v="1"/>
  </r>
  <r>
    <n v="70"/>
    <d v="2018-12-31T00:00:00"/>
    <x v="1"/>
    <x v="1"/>
    <x v="0"/>
    <s v="ADMINISTRACION DE SUCURSALES"/>
    <s v="CIERRE DE ANIO FISCAL"/>
    <s v="CIERRE_DE_CTAS_NOMINALES"/>
    <n v="0"/>
    <n v="29.35"/>
    <s v="BUSINESS PARK"/>
    <x v="1"/>
  </r>
  <r>
    <n v="71"/>
    <d v="2018-07-06T00:00:00"/>
    <x v="6"/>
    <x v="6"/>
    <x v="0"/>
    <s v="ADMINISTRACION DE SUCURSALES"/>
    <s v="OTROS EGRESOS 18"/>
    <s v="OTROS EGRESOS 1.P.O (OR:71/DES:71 TRN:86 PERF:300086 CAU: 18"/>
    <n v="9.1999999999999993"/>
    <n v="0"/>
    <s v="SAN FRANCISCO"/>
    <x v="1"/>
  </r>
  <r>
    <n v="71"/>
    <d v="2018-07-09T00:00:00"/>
    <x v="6"/>
    <x v="6"/>
    <x v="0"/>
    <s v="ADMINISTRACION DE SUCURSALES"/>
    <s v="OTROS EGRESOS 18"/>
    <s v="OTROS EGRESOS 1.P.O (OR:71/DES:71 TRN:86 PERF:300086 CAU: 18"/>
    <n v="2.4"/>
    <n v="0"/>
    <s v="SAN FRANCISCO"/>
    <x v="1"/>
  </r>
  <r>
    <n v="71"/>
    <d v="2018-07-20T00:00:00"/>
    <x v="6"/>
    <x v="6"/>
    <x v="0"/>
    <s v="ADMINISTRACION DE SUCURSALES"/>
    <s v="OTROS EGRESOS 18"/>
    <s v="OTROS EGRESOS 1.P.O (OR:71/DES:71 TRN:86 PERF:300086 CAU: 18"/>
    <n v="1.8"/>
    <n v="0"/>
    <s v="SAN FRANCISCO"/>
    <x v="1"/>
  </r>
  <r>
    <n v="71"/>
    <d v="2018-08-01T00:00:00"/>
    <x v="3"/>
    <x v="3"/>
    <x v="0"/>
    <s v="ADMINISTRACION DE SUCURSALES"/>
    <s v="OTROS EGRESOS 18"/>
    <s v="OTROS EGRESOS 1.P.O (OR:71/DES:71 TRN:86 PERF:300086 CAU: 18"/>
    <n v="1500"/>
    <n v="0"/>
    <s v="SAN FRANCISCO"/>
    <x v="1"/>
  </r>
  <r>
    <n v="71"/>
    <d v="2018-08-24T00:00:00"/>
    <x v="3"/>
    <x v="3"/>
    <x v="0"/>
    <s v="ADMINISTRACION DE SUCURSALES"/>
    <s v="SE CORRIGE ENTRADA DEL DIA 1 DE AGOSTO, SE UTILIZO LA CAUSA INCO"/>
    <s v="REGISTRO DE ENTRADA DE ADMINISTRACION"/>
    <n v="0"/>
    <n v="1500"/>
    <s v="SAN FRANCISCO"/>
    <x v="1"/>
  </r>
  <r>
    <n v="71"/>
    <d v="2018-08-28T00:00:00"/>
    <x v="3"/>
    <x v="3"/>
    <x v="0"/>
    <s v="ADMINISTRACION DE SUCURSALES"/>
    <s v="OTROS EGRESOS 18"/>
    <s v="OTROS EGRESOS 1.P.O (OR:71/DES:71 TRN:86 PERF:300086 CAU: 18"/>
    <n v="1.5"/>
    <n v="0"/>
    <s v="SAN FRANCISCO"/>
    <x v="1"/>
  </r>
  <r>
    <n v="71"/>
    <d v="2018-08-29T00:00:00"/>
    <x v="3"/>
    <x v="3"/>
    <x v="0"/>
    <s v="ADMINISTRACION DE SUCURSALES"/>
    <s v="OTROS EGRESOS 18"/>
    <s v="OTROS EGRESOS 1.P.O (OR:71/DES:71 TRN:86 PERF:300086 CAU: 18"/>
    <n v="1.5"/>
    <n v="0"/>
    <s v="SAN FRANCISCO"/>
    <x v="1"/>
  </r>
  <r>
    <n v="71"/>
    <d v="2018-10-22T00:00:00"/>
    <x v="0"/>
    <x v="0"/>
    <x v="0"/>
    <s v="ADMINISTRACION DE SUCURSALES"/>
    <s v="OTROS EGRESOS 18"/>
    <s v="OTROS EGRESOS 1.P.O (OR:71/DES:71 TRN:86 PERF:300086 CAU: 18"/>
    <n v="9.1999999999999993"/>
    <n v="0"/>
    <s v="SAN FRANCISCO"/>
    <x v="1"/>
  </r>
  <r>
    <n v="71"/>
    <d v="2018-11-09T00:00:00"/>
    <x v="5"/>
    <x v="5"/>
    <x v="0"/>
    <s v="ADMINISTRACION DE SUCURSALES"/>
    <s v="OTROS EGRESOS 18"/>
    <s v="OTROS EGRESOS 1.P.O (OR:71/DES:71 TRN:86 PERF:300086 CAU: 18"/>
    <n v="2.7"/>
    <n v="0"/>
    <s v="SAN FRANCISCO"/>
    <x v="1"/>
  </r>
  <r>
    <n v="71"/>
    <d v="2018-11-13T00:00:00"/>
    <x v="5"/>
    <x v="5"/>
    <x v="0"/>
    <s v="ADMINISTRACION DE SUCURSALES"/>
    <s v="OTROS EGRESOS 18"/>
    <s v="OTROS EGRESOS 1.P.O (OR:71/DES:71 TRN:86 PERF:300086 CAU: 18"/>
    <n v="3"/>
    <n v="0"/>
    <s v="SAN FRANCISCO"/>
    <x v="1"/>
  </r>
  <r>
    <n v="71"/>
    <d v="2018-12-31T00:00:00"/>
    <x v="1"/>
    <x v="1"/>
    <x v="0"/>
    <s v="ADMINISTRACION DE SUCURSALES"/>
    <s v="CIERRE DE ANIO FISCAL"/>
    <s v="CIERRE_DE_CTAS_NOMINALES"/>
    <n v="0"/>
    <n v="43.65"/>
    <s v="SAN FRANCISCO"/>
    <x v="1"/>
  </r>
  <r>
    <n v="72"/>
    <d v="2018-07-18T00:00:00"/>
    <x v="6"/>
    <x v="6"/>
    <x v="0"/>
    <s v="ADMINISTRACION DE SUCURSALES"/>
    <s v="OTROS EGRESOS 18"/>
    <s v="OTROS EGRESOS 1.P.O (OR:72/DES:72 TRN:86 PERF:300086 CAU: 18"/>
    <n v="1.8"/>
    <n v="0"/>
    <s v="PLAZA BANCO GENERAL"/>
    <x v="1"/>
  </r>
  <r>
    <n v="72"/>
    <d v="2018-07-24T00:00:00"/>
    <x v="6"/>
    <x v="6"/>
    <x v="0"/>
    <s v="ADMINISTRACION DE SUCURSALES"/>
    <s v="OTROS EGRESOS 18"/>
    <s v="OTROS EGRESOS 1.P.O (OR:72/DES:72 TRN:86 PERF:300086 CAU: 18"/>
    <n v="1.8"/>
    <n v="0"/>
    <s v="PLAZA BANCO GENERAL"/>
    <x v="1"/>
  </r>
  <r>
    <n v="72"/>
    <d v="2018-07-25T00:00:00"/>
    <x v="6"/>
    <x v="6"/>
    <x v="0"/>
    <s v="ADMINISTRACION DE SUCURSALES"/>
    <s v="OTROS EGRESOS 18"/>
    <s v="OTROS EGRESOS 1.P.O (OR:72/DES:72 TRN:86 PERF:300086 CAU: 18"/>
    <n v="2.4"/>
    <n v="0"/>
    <s v="PLAZA BANCO GENERAL"/>
    <x v="1"/>
  </r>
  <r>
    <n v="72"/>
    <d v="2018-07-27T00:00:00"/>
    <x v="6"/>
    <x v="6"/>
    <x v="0"/>
    <s v="ADMINISTRACION DE SUCURSALES"/>
    <s v="OTROS EGRESOS 18"/>
    <s v="OTROS EGRESOS 1.P.O (OR:72/DES:72 TRN:86 PERF:300086 CAU: 18"/>
    <n v="1.8"/>
    <n v="0"/>
    <s v="PLAZA BANCO GENERAL"/>
    <x v="1"/>
  </r>
  <r>
    <n v="72"/>
    <d v="2018-08-03T00:00:00"/>
    <x v="3"/>
    <x v="3"/>
    <x v="0"/>
    <s v="ADMINISTRACION DE SUCURSALES"/>
    <s v="OTROS EGRESOS 18"/>
    <s v="OTROS EGRESOS 1.P.O (OR:72/DES:72 TRN:86 PERF:300086 CAU: 18"/>
    <n v="1.8"/>
    <n v="0"/>
    <s v="PLAZA BANCO GENERAL"/>
    <x v="1"/>
  </r>
  <r>
    <n v="72"/>
    <d v="2018-08-22T00:00:00"/>
    <x v="3"/>
    <x v="3"/>
    <x v="0"/>
    <s v="ADMINISTRACION DE SUCURSALES"/>
    <s v="OTROS EGRESOS 18"/>
    <s v="OTROS EGRESOS 1.P.O (OR:72/DES:72 TRN:86 PERF:300086 CAU: 18"/>
    <n v="13.3"/>
    <n v="0"/>
    <s v="PLAZA BANCO GENERAL"/>
    <x v="1"/>
  </r>
  <r>
    <n v="72"/>
    <d v="2018-08-27T00:00:00"/>
    <x v="3"/>
    <x v="3"/>
    <x v="0"/>
    <s v="ADMINISTRACION DE SUCURSALES"/>
    <s v="OTROS EGRESOS 18"/>
    <s v="OTROS EGRESOS 1.P.O (OR:72/DES:72 TRN:86 PERF:300086 CAU: 18"/>
    <n v="2.4"/>
    <n v="0"/>
    <s v="PLAZA BANCO GENERAL"/>
    <x v="1"/>
  </r>
  <r>
    <n v="72"/>
    <d v="2018-09-25T00:00:00"/>
    <x v="4"/>
    <x v="4"/>
    <x v="0"/>
    <s v="ADMINISTRACION DE SUCURSALES"/>
    <s v="OTROS EGRESOS 18"/>
    <s v="OTROS EGRESOS 1.P.O (OR:72/DES:72 TRN:86 PERF:300086 CAU: 18"/>
    <n v="1.8"/>
    <n v="0"/>
    <s v="PLAZA BANCO GENERAL"/>
    <x v="1"/>
  </r>
  <r>
    <n v="72"/>
    <d v="2018-09-27T00:00:00"/>
    <x v="4"/>
    <x v="4"/>
    <x v="0"/>
    <s v="ADMINISTRACION DE SUCURSALES"/>
    <s v="OTROS EGRESOS 18"/>
    <s v="OTROS EGRESOS 1.P.O (OR:72/DES:72 TRN:86 PERF:300086 CAU: 18"/>
    <n v="1.8"/>
    <n v="0"/>
    <s v="PLAZA BANCO GENERAL"/>
    <x v="1"/>
  </r>
  <r>
    <n v="72"/>
    <d v="2018-11-08T00:00:00"/>
    <x v="5"/>
    <x v="5"/>
    <x v="0"/>
    <s v="ADMINISTRACION DE SUCURSALES"/>
    <s v="OTROS EGRESOS 18"/>
    <s v="OTROS EGRESOS 1.P.O (OR:72/DES:72 TRN:86 PERF:300086 CAU: 18"/>
    <n v="1.8"/>
    <n v="0"/>
    <s v="PLAZA BANCO GENERAL"/>
    <x v="1"/>
  </r>
  <r>
    <n v="72"/>
    <d v="2018-12-31T00:00:00"/>
    <x v="1"/>
    <x v="1"/>
    <x v="0"/>
    <s v="ADMINISTRACION DE SUCURSALES"/>
    <s v="CIERRE DE ANIO FISCAL"/>
    <s v="CIERRE_DE_CTAS_NOMINALES"/>
    <n v="0"/>
    <n v="58.15"/>
    <s v="PLAZA BANCO GENERAL"/>
    <x v="1"/>
  </r>
  <r>
    <n v="73"/>
    <d v="2018-06-29T00:00:00"/>
    <x v="2"/>
    <x v="2"/>
    <x v="0"/>
    <s v="ADMINISTRACION DE SUCURSALES"/>
    <s v="OTROS EGRESOS 18"/>
    <s v="OTROS EGRESOS 1.P.O (OR:73/DES:73 TRN:86 PERF:300086 CAU: 18"/>
    <n v="4.5"/>
    <n v="0"/>
    <s v="LA CHORRERA - PARQUE 10 DE NOV."/>
    <x v="1"/>
  </r>
  <r>
    <n v="73"/>
    <d v="2018-07-10T00:00:00"/>
    <x v="6"/>
    <x v="6"/>
    <x v="0"/>
    <s v="ADMINISTRACION DE SUCURSALES"/>
    <s v="OTROS EGRESOS 18"/>
    <s v="OTROS EGRESOS 1.P.O (OR:73/DES:73 TRN:86 PERF:300086 CAU: 18"/>
    <n v="25"/>
    <n v="0"/>
    <s v="LA CHORRERA - PARQUE 10 DE NOV."/>
    <x v="1"/>
  </r>
  <r>
    <n v="73"/>
    <d v="2018-07-11T00:00:00"/>
    <x v="6"/>
    <x v="6"/>
    <x v="0"/>
    <s v="ADMINISTRACION DE SUCURSALES"/>
    <s v="OTROS EGRESOS 18"/>
    <s v="OTROS EGRESOS 1.P.O (OR:73/DES:73 TRN:86 PERF:300086 CAU: 18"/>
    <n v="9"/>
    <n v="0"/>
    <s v="LA CHORRERA - PARQUE 10 DE NOV."/>
    <x v="1"/>
  </r>
  <r>
    <n v="73"/>
    <d v="2018-07-13T00:00:00"/>
    <x v="6"/>
    <x v="6"/>
    <x v="0"/>
    <s v="ADMINISTRACION DE SUCURSALES"/>
    <s v="OTROS EGRESOS 18"/>
    <s v="OTROS EGRESOS 1.P.O (OR:73/DES:73 TRN:86 PERF:300086 CAU: 18"/>
    <n v="4.5"/>
    <n v="0"/>
    <s v="LA CHORRERA - PARQUE 10 DE NOV."/>
    <x v="1"/>
  </r>
  <r>
    <n v="73"/>
    <d v="2018-07-31T00:00:00"/>
    <x v="6"/>
    <x v="6"/>
    <x v="0"/>
    <s v="ADMINISTRACION DE SUCURSALES"/>
    <s v="OTROS EGRESOS 18"/>
    <s v="OTROS EGRESOS 1.P.O (OR:73/DES:73 TRN:86 PERF:300086 CAU: 18"/>
    <n v="2.25"/>
    <n v="0"/>
    <s v="LA CHORRERA - PARQUE 10 DE NOV."/>
    <x v="1"/>
  </r>
  <r>
    <n v="73"/>
    <d v="2018-08-09T00:00:00"/>
    <x v="3"/>
    <x v="3"/>
    <x v="0"/>
    <s v="ADMINISTRACION DE SUCURSALES"/>
    <s v="OTROS EGRESOS 18"/>
    <s v="OTROS EGRESOS 1.P.O (OR:73/DES:73 TRN:86 PERF:300086 CAU: 18"/>
    <n v="9"/>
    <n v="0"/>
    <s v="LA CHORRERA - PARQUE 10 DE NOV."/>
    <x v="1"/>
  </r>
  <r>
    <n v="73"/>
    <d v="2018-08-31T00:00:00"/>
    <x v="3"/>
    <x v="3"/>
    <x v="0"/>
    <s v="ADMINISTRACION DE SUCURSALES"/>
    <s v="OTROS EGRESOS 18"/>
    <s v="OTROS EGRESOS 1.P.O (OR:73/DES:73 TRN:86 PERF:300086 CAU: 18"/>
    <n v="9"/>
    <n v="0"/>
    <s v="LA CHORRERA - PARQUE 10 DE NOV."/>
    <x v="1"/>
  </r>
  <r>
    <n v="73"/>
    <d v="2018-10-08T00:00:00"/>
    <x v="0"/>
    <x v="0"/>
    <x v="0"/>
    <s v="ADMINISTRACION DE SUCURSALES"/>
    <s v="OTROS EGRESOS 18"/>
    <s v="OTROS EGRESOS 1.P.O (OR:73/DES:73 TRN:86 PERF:300086 CAU: 18"/>
    <n v="9"/>
    <n v="0"/>
    <s v="LA CHORRERA - PARQUE 10 DE NOV."/>
    <x v="1"/>
  </r>
  <r>
    <n v="73"/>
    <d v="2018-10-30T00:00:00"/>
    <x v="0"/>
    <x v="0"/>
    <x v="0"/>
    <s v="ADMINISTRACION DE SUCURSALES"/>
    <s v="OTROS EGRESOS 18"/>
    <s v="OTROS EGRESOS 1.P.O (OR:73/DES:73 TRN:86 PERF:300086 CAU: 18"/>
    <n v="10.5"/>
    <n v="0"/>
    <s v="LA CHORRERA - PARQUE 10 DE NOV."/>
    <x v="1"/>
  </r>
  <r>
    <n v="73"/>
    <d v="2018-11-13T00:00:00"/>
    <x v="5"/>
    <x v="5"/>
    <x v="0"/>
    <s v="ADMINISTRACION DE SUCURSALES"/>
    <s v="OTROS EGRESOS 18"/>
    <s v="OTROS EGRESOS 1.P.O (OR:73/DES:73 TRN:86 PERF:300086 CAU: 18"/>
    <n v="2.25"/>
    <n v="0"/>
    <s v="LA CHORRERA - PARQUE 10 DE NOV."/>
    <x v="1"/>
  </r>
  <r>
    <n v="73"/>
    <d v="2018-11-27T00:00:00"/>
    <x v="5"/>
    <x v="5"/>
    <x v="0"/>
    <s v="ADMINISTRACION DE SUCURSALES"/>
    <s v="OTROS EGRESOS 18"/>
    <s v="OTROS EGRESOS 1.P.O (OR:73/DES:73 TRN:86 PERF:300086 CAU: 18"/>
    <n v="2.25"/>
    <n v="0"/>
    <s v="LA CHORRERA - PARQUE 10 DE NOV."/>
    <x v="1"/>
  </r>
  <r>
    <n v="73"/>
    <d v="2018-12-10T00:00:00"/>
    <x v="1"/>
    <x v="1"/>
    <x v="0"/>
    <s v="ADMINISTRACION DE SUCURSALES"/>
    <s v="OTROS EGRESOS 18"/>
    <s v="OTROS EGRESOS 1.P.O (OR:73/DES:73 TRN:86 PERF:300086 CAU: 18"/>
    <n v="2.25"/>
    <n v="0"/>
    <s v="LA CHORRERA - PARQUE 10 DE NOV."/>
    <x v="1"/>
  </r>
  <r>
    <n v="73"/>
    <d v="2018-12-11T00:00:00"/>
    <x v="1"/>
    <x v="1"/>
    <x v="0"/>
    <s v="ADMINISTRACION DE SUCURSALES"/>
    <s v="OTROS EGRESOS 18"/>
    <s v="OTROS EGRESOS 1.P.O (OR:73/DES:73 TRN:86 PERF:300086 CAU: 18"/>
    <n v="4.5"/>
    <n v="0"/>
    <s v="LA CHORRERA - PARQUE 10 DE NOV."/>
    <x v="1"/>
  </r>
  <r>
    <n v="73"/>
    <d v="2018-12-31T00:00:00"/>
    <x v="1"/>
    <x v="1"/>
    <x v="0"/>
    <s v="ADMINISTRACION DE SUCURSALES"/>
    <s v="CIERRE DE ANIO FISCAL"/>
    <s v="CIERRE_DE_CTAS_NOMINALES"/>
    <n v="0"/>
    <n v="213"/>
    <s v="LA CHORRERA - PARQUE 10 DE NOV."/>
    <x v="1"/>
  </r>
  <r>
    <n v="73"/>
    <d v="2018-07-24T00:00:00"/>
    <x v="6"/>
    <x v="6"/>
    <x v="0"/>
    <s v="CAJA"/>
    <s v="VIATICOS"/>
    <s v="TRANSACCIONES DEL DIA 07/24/2018SPYRAL - GESTION ADMINISTRATIVA"/>
    <n v="8"/>
    <n v="0"/>
    <s v="LA CHORRERA - PARQUE 10 DE NOV."/>
    <x v="1"/>
  </r>
  <r>
    <n v="73"/>
    <d v="2018-12-31T00:00:00"/>
    <x v="1"/>
    <x v="1"/>
    <x v="0"/>
    <s v="CAJA"/>
    <s v="CIERRE DE ANIO FISCAL"/>
    <s v="CIERRE_DE_CTAS_NOMINALES"/>
    <n v="0"/>
    <n v="8"/>
    <s v="LA CHORRERA - PARQUE 10 DE NOV."/>
    <x v="1"/>
  </r>
  <r>
    <n v="73"/>
    <d v="2018-07-25T00:00:00"/>
    <x v="6"/>
    <x v="6"/>
    <x v="0"/>
    <s v="SERVICIOS PERSONALES"/>
    <s v="VIATICOS"/>
    <s v="TRANSACCIONES DEL DIA 07/25/2018SPYRAL - GESTION ADMINISTRATIVA"/>
    <n v="514.79999999999995"/>
    <n v="0"/>
    <s v="LA CHORRERA - PARQUE 10 DE NOV."/>
    <x v="1"/>
  </r>
  <r>
    <n v="73"/>
    <d v="2018-12-31T00:00:00"/>
    <x v="1"/>
    <x v="1"/>
    <x v="0"/>
    <s v="SERVICIOS PERSONALES"/>
    <s v="CIERRE DE ANIO FISCAL"/>
    <s v="CIERRE_DE_CTAS_NOMINALES"/>
    <n v="0"/>
    <n v="522.79999999999995"/>
    <s v="LA CHORRERA - PARQUE 10 DE NOV."/>
    <x v="1"/>
  </r>
  <r>
    <n v="74"/>
    <d v="2018-06-15T00:00:00"/>
    <x v="2"/>
    <x v="2"/>
    <x v="0"/>
    <s v="ADMINISTRACION DE SUCURSALES"/>
    <s v="OTROS EGRESOS 18"/>
    <s v="OTROS EGRESOS 1.P.O (OR:74/DES:74 TRN:86 PERF:300086 CAU: 18"/>
    <n v="2.25"/>
    <n v="0"/>
    <s v="COSTA DEL ESTE - CENTENARIO"/>
    <x v="1"/>
  </r>
  <r>
    <n v="74"/>
    <d v="2018-07-06T00:00:00"/>
    <x v="6"/>
    <x v="6"/>
    <x v="0"/>
    <s v="ADMINISTRACION DE SUCURSALES"/>
    <s v="OTROS EGRESOS 18"/>
    <s v="OTROS EGRESOS 1.P.O (OR:74/DES:74 TRN:86 PERF:300086 CAU: 18"/>
    <n v="7.35"/>
    <n v="0"/>
    <s v="COSTA DEL ESTE - CENTENARIO"/>
    <x v="1"/>
  </r>
  <r>
    <n v="74"/>
    <d v="2018-08-08T00:00:00"/>
    <x v="3"/>
    <x v="3"/>
    <x v="0"/>
    <s v="ADMINISTRACION DE SUCURSALES"/>
    <s v="OTROS EGRESOS 18"/>
    <s v="OTROS EGRESOS 1.P.O (OR:74/DES:74 TRN:86 PERF:300086 CAU: 18"/>
    <n v="7.35"/>
    <n v="0"/>
    <s v="COSTA DEL ESTE - CENTENARIO"/>
    <x v="1"/>
  </r>
  <r>
    <n v="74"/>
    <d v="2018-08-14T00:00:00"/>
    <x v="3"/>
    <x v="3"/>
    <x v="0"/>
    <s v="ADMINISTRACION DE SUCURSALES"/>
    <s v="OTROS EGRESOS 18"/>
    <s v="OTROS EGRESOS 1.P.O (OR:74/DES:74 TRN:86 PERF:300086 CAU: 18"/>
    <n v="2.25"/>
    <n v="0"/>
    <s v="COSTA DEL ESTE - CENTENARIO"/>
    <x v="1"/>
  </r>
  <r>
    <n v="74"/>
    <d v="2018-11-02T00:00:00"/>
    <x v="5"/>
    <x v="5"/>
    <x v="0"/>
    <s v="ADMINISTRACION DE SUCURSALES"/>
    <s v="OTROS EGRESOS 18"/>
    <s v="OTROS EGRESOS 1.P.O (OR:74/DES:74 TRN:86 PERF:300086 CAU: 18"/>
    <n v="1.8"/>
    <n v="0"/>
    <s v="COSTA DEL ESTE - CENTENARIO"/>
    <x v="1"/>
  </r>
  <r>
    <n v="74"/>
    <d v="2018-12-31T00:00:00"/>
    <x v="1"/>
    <x v="1"/>
    <x v="0"/>
    <s v="ADMINISTRACION DE SUCURSALES"/>
    <s v="CIERRE DE ANIO FISCAL"/>
    <s v="CIERRE_DE_CTAS_NOMINALES"/>
    <n v="0"/>
    <n v="28.35"/>
    <s v="COSTA DEL ESTE - CENTENARIO"/>
    <x v="1"/>
  </r>
  <r>
    <n v="76"/>
    <d v="2018-06-18T00:00:00"/>
    <x v="2"/>
    <x v="2"/>
    <x v="0"/>
    <s v="ADMINISTRACION DE SUCURSALES"/>
    <s v="OTROS EGRESOS 18"/>
    <s v="OTROS EGRESOS 1.P.O (OR:76/DES:76 TRN:86 PERF:300086 CAU: 18"/>
    <n v="9.4499999999999993"/>
    <n v="0"/>
    <s v="CLAYTON"/>
    <x v="1"/>
  </r>
  <r>
    <n v="76"/>
    <d v="2018-11-08T00:00:00"/>
    <x v="5"/>
    <x v="5"/>
    <x v="0"/>
    <s v="ADMINISTRACION DE SUCURSALES"/>
    <s v="OTROS EGRESOS 18"/>
    <s v="OTROS EGRESOS 1.P.O (OR:76/DES:76 TRN:86 PERF:300086 CAU: 18"/>
    <n v="8.6999999999999993"/>
    <n v="0"/>
    <s v="CLAYTON"/>
    <x v="1"/>
  </r>
  <r>
    <n v="76"/>
    <d v="2018-12-31T00:00:00"/>
    <x v="1"/>
    <x v="1"/>
    <x v="0"/>
    <s v="ADMINISTRACION DE SUCURSALES"/>
    <s v="CIERRE DE ANIO FISCAL"/>
    <s v="CIERRE_DE_CTAS_NOMINALES"/>
    <n v="0"/>
    <n v="72.5"/>
    <s v="CLAYTON"/>
    <x v="1"/>
  </r>
  <r>
    <n v="77"/>
    <d v="2018-06-25T00:00:00"/>
    <x v="2"/>
    <x v="2"/>
    <x v="0"/>
    <s v="ADMINISTRACION DE SUCURSALES"/>
    <s v="OTROS EGRESOS 18"/>
    <s v="OTROS EGRESOS 1.P.O (OR:77/DES:77 TRN:86 PERF:300086 CAU: 18"/>
    <n v="1.8"/>
    <n v="0"/>
    <s v="MARBELLA"/>
    <x v="1"/>
  </r>
  <r>
    <n v="77"/>
    <d v="2018-11-30T00:00:00"/>
    <x v="5"/>
    <x v="5"/>
    <x v="0"/>
    <s v="ADMINISTRACION DE SUCURSALES"/>
    <s v="OTROS EGRESOS 18"/>
    <s v="OTROS EGRESOS 1.P.O (OR:77/DES:77 TRN:86 PERF:300086 CAU: 18"/>
    <n v="2.4"/>
    <n v="0"/>
    <s v="MARBELLA"/>
    <x v="1"/>
  </r>
  <r>
    <n v="77"/>
    <d v="2018-12-31T00:00:00"/>
    <x v="1"/>
    <x v="1"/>
    <x v="0"/>
    <s v="ADMINISTRACION DE SUCURSALES"/>
    <s v="CIERRE DE ANIO FISCAL"/>
    <s v="CIERRE_DE_CTAS_NOMINALES"/>
    <n v="0"/>
    <n v="4.2"/>
    <s v="MARBELLA"/>
    <x v="1"/>
  </r>
  <r>
    <n v="78"/>
    <d v="2018-06-15T00:00:00"/>
    <x v="2"/>
    <x v="2"/>
    <x v="0"/>
    <s v="ADMINISTRACION DE SUCURSALES"/>
    <s v="OTROS EGRESOS 18"/>
    <s v="OTROS EGRESOS 1.P.O (OR:78/DES:78 TRN:86 PERF:300086 CAU: 18"/>
    <n v="2.25"/>
    <n v="0"/>
    <s v="PLAZA CAROLINA"/>
    <x v="1"/>
  </r>
  <r>
    <n v="78"/>
    <d v="2018-08-13T00:00:00"/>
    <x v="3"/>
    <x v="3"/>
    <x v="0"/>
    <s v="ADMINISTRACION DE SUCURSALES"/>
    <s v="OTROS EGRESOS 18"/>
    <s v="OTROS EGRESOS 1.P.O (OR:78/DES:78 TRN:86 PERF:300086 CAU: 18"/>
    <n v="1200"/>
    <n v="0"/>
    <s v="PLAZA CAROLINA"/>
    <x v="1"/>
  </r>
  <r>
    <n v="78"/>
    <d v="2018-08-23T00:00:00"/>
    <x v="3"/>
    <x v="3"/>
    <x v="0"/>
    <s v="ADMINISTRACION DE SUCURSALES"/>
    <s v="OTROS EGRESOS 18"/>
    <s v="OTROS EGRESOS 1.P.O (OR:78/DES:78 TRN:86 PERF:300086 CAU: 18"/>
    <n v="6.5"/>
    <n v="0"/>
    <s v="PLAZA CAROLINA"/>
    <x v="1"/>
  </r>
  <r>
    <n v="78"/>
    <d v="2018-08-24T00:00:00"/>
    <x v="3"/>
    <x v="3"/>
    <x v="0"/>
    <s v="ADMINISTRACION DE SUCURSALES"/>
    <s v="CORRECCION DE ENTRADA DE PARTIDA DE FIESTAS PATRIAS"/>
    <s v="REGISTRO DE ENTRADA DE ADMINISTRACION"/>
    <n v="0"/>
    <n v="1200"/>
    <s v="PLAZA CAROLINA"/>
    <x v="1"/>
  </r>
  <r>
    <n v="78"/>
    <d v="2018-08-25T00:00:00"/>
    <x v="3"/>
    <x v="3"/>
    <x v="0"/>
    <s v="ADMINISTRACION DE SUCURSALES"/>
    <s v="OTROS EGRESOS 18"/>
    <s v="OTROS EGRESOS 1.P.O (OR:78/DES:78 TRN:86 PERF:300086 CAU: 18"/>
    <n v="14.55"/>
    <n v="0"/>
    <s v="PLAZA CAROLINA"/>
    <x v="1"/>
  </r>
  <r>
    <n v="78"/>
    <d v="2018-12-19T00:00:00"/>
    <x v="1"/>
    <x v="1"/>
    <x v="0"/>
    <s v="ADMINISTRACION DE SUCURSALES"/>
    <s v="OTROS EGRESOS 18"/>
    <s v="OTROS EGRESOS 1.P.O (OR:78/DES:78 TRN:86 PERF:300086 CAU: 18"/>
    <n v="14.55"/>
    <n v="0"/>
    <s v="PLAZA CAROLINA"/>
    <x v="1"/>
  </r>
  <r>
    <n v="78"/>
    <d v="2018-12-24T00:00:00"/>
    <x v="1"/>
    <x v="1"/>
    <x v="0"/>
    <s v="ADMINISTRACION DE SUCURSALES"/>
    <s v="OTROS EGRESOS 18"/>
    <s v="OTROS EGRESOS 1.P.O (OR:78/DES:78 TRN:86 PERF:300086 CAU: 18"/>
    <n v="25"/>
    <n v="0"/>
    <s v="PLAZA CAROLINA"/>
    <x v="1"/>
  </r>
  <r>
    <n v="78"/>
    <d v="2018-12-26T00:00:00"/>
    <x v="1"/>
    <x v="1"/>
    <x v="0"/>
    <s v="ADMINISTRACION DE SUCURSALES"/>
    <s v="OTROS EGRESOS 18"/>
    <s v="OTROS EGRESOS 1.P.O (OR:78/DES:78 TRN:86 PERF:300086 CAU: 18"/>
    <n v="3.6"/>
    <n v="0"/>
    <s v="PLAZA CAROLINA"/>
    <x v="1"/>
  </r>
  <r>
    <n v="78"/>
    <d v="2018-12-31T00:00:00"/>
    <x v="1"/>
    <x v="1"/>
    <x v="0"/>
    <s v="ADMINISTRACION DE SUCURSALES"/>
    <s v="CIERRE DE ANIO FISCAL"/>
    <s v="CIERRE_DE_CTAS_NOMINALES"/>
    <n v="0"/>
    <n v="72.95"/>
    <s v="PLAZA CAROLINA"/>
    <x v="1"/>
  </r>
  <r>
    <n v="79"/>
    <d v="2018-11-08T00:00:00"/>
    <x v="5"/>
    <x v="5"/>
    <x v="0"/>
    <s v="ADMINISTRACION DE SUCURSALES"/>
    <s v="OTROS EGRESOS 18"/>
    <s v="OTROS EGRESOS 1.P.O (OR:79/DES:79 TRN:86 PERF:300086 CAU: 18"/>
    <n v="1.8"/>
    <n v="0"/>
    <s v="PLAZA CORDOBA"/>
    <x v="1"/>
  </r>
  <r>
    <n v="79"/>
    <d v="2018-11-23T00:00:00"/>
    <x v="5"/>
    <x v="5"/>
    <x v="0"/>
    <s v="ADMINISTRACION DE SUCURSALES"/>
    <s v="OTROS EGRESOS 18"/>
    <s v="OTROS EGRESOS 1.P.O (OR:79/DES:79 TRN:86 PERF:300086 CAU: 18"/>
    <n v="14"/>
    <n v="0"/>
    <s v="PLAZA CORDOBA"/>
    <x v="1"/>
  </r>
  <r>
    <n v="79"/>
    <d v="2018-12-31T00:00:00"/>
    <x v="1"/>
    <x v="1"/>
    <x v="0"/>
    <s v="ADMINISTRACION DE SUCURSALES"/>
    <s v="CIERRE DE ANIO FISCAL"/>
    <s v="CIERRE_DE_CTAS_NOMINALES"/>
    <n v="0"/>
    <n v="15.8"/>
    <s v="PLAZA CORDOBA"/>
    <x v="1"/>
  </r>
  <r>
    <n v="80"/>
    <d v="2018-12-31T00:00:00"/>
    <x v="1"/>
    <x v="1"/>
    <x v="0"/>
    <s v="ADMINISTRACION DE SUCURSALES"/>
    <s v="CIERRE DE ANIO FISCAL"/>
    <s v="CIERRE_DE_CTAS_NOMINALES"/>
    <n v="0"/>
    <n v="11.6"/>
    <s v="VIA SIMON BOLIVAR"/>
    <x v="1"/>
  </r>
  <r>
    <n v="89"/>
    <d v="2018-06-15T00:00:00"/>
    <x v="2"/>
    <x v="2"/>
    <x v="0"/>
    <s v="ADMINISTRACION DE SUCURSALES"/>
    <s v="OTROS EGRESOS 18"/>
    <s v="OTROS EGRESOS 1.P.O (OR:89/DES:89 TRN:86 PERF:300086 CAU: 18"/>
    <n v="1.8"/>
    <n v="0"/>
    <s v="JUSTO AROSEMENA"/>
    <x v="1"/>
  </r>
  <r>
    <n v="89"/>
    <d v="2018-07-24T00:00:00"/>
    <x v="6"/>
    <x v="6"/>
    <x v="0"/>
    <s v="ADMINISTRACION DE SUCURSALES"/>
    <s v="OTROS EGRESOS 18"/>
    <s v="OTROS EGRESOS 1.P.O (OR:89/DES:89 TRN:86 PERF:300086 CAU: 18"/>
    <n v="1.8"/>
    <n v="0"/>
    <s v="JUSTO AROSEMENA"/>
    <x v="1"/>
  </r>
  <r>
    <n v="89"/>
    <d v="2018-10-08T00:00:00"/>
    <x v="0"/>
    <x v="0"/>
    <x v="0"/>
    <s v="ADMINISTRACION DE SUCURSALES"/>
    <s v="OTROS EGRESOS 18"/>
    <s v="OTROS EGRESOS 1.P.O (OR:89/DES:89 TRN:86 PERF:300086 CAU: 18"/>
    <n v="1.8"/>
    <n v="0"/>
    <s v="JUSTO AROSEMENA"/>
    <x v="1"/>
  </r>
  <r>
    <n v="89"/>
    <d v="2018-12-31T00:00:00"/>
    <x v="1"/>
    <x v="1"/>
    <x v="0"/>
    <s v="ADMINISTRACION DE SUCURSALES"/>
    <s v="CIERRE DE ANIO FISCAL"/>
    <s v="CIERRE_DE_CTAS_NOMINALES"/>
    <n v="0"/>
    <n v="60.95"/>
    <s v="JUSTO AROSEMENA"/>
    <x v="1"/>
  </r>
  <r>
    <n v="91"/>
    <d v="2018-06-07T00:00:00"/>
    <x v="2"/>
    <x v="2"/>
    <x v="0"/>
    <s v="NEGOCIOS"/>
    <s v="VIATICOS 2"/>
    <s v="TRANSACCIONES DEL DIA 06/07/2018SPYRAL - GESTION ADMINISTRATIVA"/>
    <n v="620.70000000000005"/>
    <n v="0"/>
    <s v="NEGOCIOS"/>
    <x v="1"/>
  </r>
  <r>
    <n v="91"/>
    <d v="2018-12-31T00:00:00"/>
    <x v="1"/>
    <x v="1"/>
    <x v="0"/>
    <s v="NEGOCIOS"/>
    <s v="CIERRE DE ANIO FISCAL"/>
    <s v="CIERRE_DE_CTAS_NOMINALES"/>
    <n v="0"/>
    <n v="6332.8"/>
    <s v="NEGOCIOS"/>
    <x v="1"/>
  </r>
  <r>
    <n v="91"/>
    <d v="2018-06-25T00:00:00"/>
    <x v="2"/>
    <x v="2"/>
    <x v="0"/>
    <s v="BANCA CORPORATIVA"/>
    <s v="NC VIATICOS"/>
    <s v="TRANSACCIONES DEL DIA 06/25/2018SPYRAL - GESTION ADMINISTRATIVA"/>
    <n v="13.8"/>
    <n v="0"/>
    <s v="NEGOCIOS"/>
    <x v="1"/>
  </r>
  <r>
    <n v="91"/>
    <d v="2018-07-17T00:00:00"/>
    <x v="6"/>
    <x v="6"/>
    <x v="0"/>
    <s v="BANCA CORPORATIVA"/>
    <s v="NC VIATICOS"/>
    <s v="TRANSACCIONES DEL DIA 07/17/2018SPYRAL - GESTION ADMINISTRATIVA"/>
    <n v="41.4"/>
    <n v="0"/>
    <s v="NEGOCIOS"/>
    <x v="1"/>
  </r>
  <r>
    <n v="91"/>
    <d v="2018-08-23T00:00:00"/>
    <x v="3"/>
    <x v="3"/>
    <x v="0"/>
    <s v="BANCA CORPORATIVA"/>
    <s v="NC VIATICOS"/>
    <s v="TRANSACCIONES DEL DIA 08/23/2018SPYRAL - GESTION ADMINISTRATIVA"/>
    <n v="13.8"/>
    <n v="0"/>
    <s v="NEGOCIOS"/>
    <x v="1"/>
  </r>
  <r>
    <n v="91"/>
    <d v="2018-09-18T00:00:00"/>
    <x v="4"/>
    <x v="4"/>
    <x v="0"/>
    <s v="BANCA CORPORATIVA"/>
    <s v="NC VIATICOS"/>
    <s v="TRANSACCIONES DEL DIA 09/18/2018SPYRAL - GESTION ADMINISTRATIVA"/>
    <n v="23"/>
    <n v="0"/>
    <s v="NEGOCIOS"/>
    <x v="1"/>
  </r>
  <r>
    <n v="91"/>
    <d v="2018-09-24T00:00:00"/>
    <x v="4"/>
    <x v="4"/>
    <x v="0"/>
    <s v="BANCA CORPORATIVA"/>
    <s v="NC VIATICOS"/>
    <s v="TRANSACCIONES DEL DIA 09/24/2018SPYRAL - GESTION ADMINISTRATIVA"/>
    <n v="11.5"/>
    <n v="0"/>
    <s v="NEGOCIOS"/>
    <x v="1"/>
  </r>
  <r>
    <n v="91"/>
    <d v="2018-10-17T00:00:00"/>
    <x v="0"/>
    <x v="0"/>
    <x v="0"/>
    <s v="BANCA CORPORATIVA"/>
    <s v="NC VIATICOS"/>
    <s v="TRANSACCIONES DEL DIA 10/17/2018SPYRAL - GESTION ADMINISTRATIVA"/>
    <n v="36.799999999999997"/>
    <n v="0"/>
    <s v="NEGOCIOS"/>
    <x v="1"/>
  </r>
  <r>
    <n v="91"/>
    <d v="2018-11-20T00:00:00"/>
    <x v="5"/>
    <x v="5"/>
    <x v="0"/>
    <s v="BANCA CORPORATIVA"/>
    <s v="NC VIATICOS"/>
    <s v="TRANSACCIONES DEL DIA 11/20/2018SPYRAL - GESTION ADMINISTRATIVA"/>
    <n v="18.399999999999999"/>
    <n v="0"/>
    <s v="NEGOCIOS"/>
    <x v="1"/>
  </r>
  <r>
    <n v="91"/>
    <d v="2018-12-07T00:00:00"/>
    <x v="1"/>
    <x v="1"/>
    <x v="0"/>
    <s v="BANCA CORPORATIVA"/>
    <s v="NC VIATICOS"/>
    <s v="TRANSACCIONES DEL DIA 12/07/2018SPYRAL - GESTION ADMINISTRATIVA"/>
    <n v="23"/>
    <n v="0"/>
    <s v="NEGOCIOS"/>
    <x v="1"/>
  </r>
  <r>
    <n v="91"/>
    <d v="2018-12-31T00:00:00"/>
    <x v="1"/>
    <x v="1"/>
    <x v="0"/>
    <s v="BANCA CORPORATIVA"/>
    <s v="CIERRE DE ANIO FISCAL"/>
    <s v="CIERRE_DE_CTAS_NOMINALES"/>
    <n v="0"/>
    <n v="453.63"/>
    <s v="NEGOCIOS"/>
    <x v="1"/>
  </r>
  <r>
    <n v="91"/>
    <d v="2018-09-06T00:00:00"/>
    <x v="4"/>
    <x v="4"/>
    <x v="0"/>
    <s v="INTERINOS"/>
    <s v="VIATICOS"/>
    <s v="TRANSACCIONES DEL DIA 09/06/2018SPYRAL - GESTION ADMINISTRATIVA"/>
    <n v="50.75"/>
    <n v="0"/>
    <s v="NEGOCIOS"/>
    <x v="1"/>
  </r>
  <r>
    <n v="91"/>
    <d v="2018-12-31T00:00:00"/>
    <x v="1"/>
    <x v="1"/>
    <x v="0"/>
    <s v="INTERINOS"/>
    <s v="CIERRE DE ANIO FISCAL"/>
    <s v="CIERRE_DE_CTAS_NOMINALES"/>
    <n v="0"/>
    <n v="70.75"/>
    <s v="NEGOCIOS"/>
    <x v="1"/>
  </r>
  <r>
    <n v="91"/>
    <d v="2018-12-31T00:00:00"/>
    <x v="1"/>
    <x v="1"/>
    <x v="0"/>
    <s v="CUENTAS CORPORATIVAS"/>
    <s v="CIERRE DE ANIO FISCAL"/>
    <s v="CIERRE_DE_CTAS_NOMINALES"/>
    <n v="0"/>
    <n v="77"/>
    <s v="NEGOCIOS"/>
    <x v="1"/>
  </r>
  <r>
    <n v="91"/>
    <d v="2018-06-16T00:00:00"/>
    <x v="2"/>
    <x v="2"/>
    <x v="0"/>
    <s v="ZONA LIBRE"/>
    <s v="NC VIATICOS"/>
    <s v="TRANSACCIONES DEL DIA 06/16/2018SPYRAL - GESTION ADMINISTRATIVA"/>
    <n v="112.2"/>
    <n v="0"/>
    <s v="NEGOCIOS"/>
    <x v="1"/>
  </r>
  <r>
    <n v="91"/>
    <d v="2018-07-13T00:00:00"/>
    <x v="6"/>
    <x v="6"/>
    <x v="0"/>
    <s v="ZONA LIBRE"/>
    <s v="NC VIATICOS"/>
    <s v="TRANSACCIONES DEL DIA 07/13/2018SPYRAL - GESTION ADMINISTRATIVA"/>
    <n v="91.6"/>
    <n v="0"/>
    <s v="NEGOCIOS"/>
    <x v="1"/>
  </r>
  <r>
    <n v="91"/>
    <d v="2018-08-14T00:00:00"/>
    <x v="3"/>
    <x v="3"/>
    <x v="0"/>
    <s v="ZONA LIBRE"/>
    <s v="NC VIATICOS"/>
    <s v="TRANSACCIONES DEL DIA 08/14/2018SPYRAL - GESTION ADMINISTRATIVA"/>
    <n v="98"/>
    <n v="0"/>
    <s v="NEGOCIOS"/>
    <x v="1"/>
  </r>
  <r>
    <n v="91"/>
    <d v="2018-09-18T00:00:00"/>
    <x v="4"/>
    <x v="4"/>
    <x v="0"/>
    <s v="ZONA LIBRE"/>
    <s v="NC VIATICOS"/>
    <s v="TRANSACCIONES DEL DIA 09/18/2018SPYRAL - GESTION ADMINISTRATIVA"/>
    <n v="139.44999999999999"/>
    <n v="0"/>
    <s v="NEGOCIOS"/>
    <x v="1"/>
  </r>
  <r>
    <n v="91"/>
    <d v="2018-10-08T00:00:00"/>
    <x v="0"/>
    <x v="0"/>
    <x v="0"/>
    <s v="ZONA LIBRE"/>
    <s v="VIATICOS"/>
    <s v="TRANSACCIONES DEL DIA 10/08/2018SPYRAL - GESTION ADMINISTRATIVA"/>
    <n v="82.6"/>
    <n v="0"/>
    <s v="NEGOCIOS"/>
    <x v="1"/>
  </r>
  <r>
    <n v="91"/>
    <d v="2018-10-17T00:00:00"/>
    <x v="0"/>
    <x v="0"/>
    <x v="0"/>
    <s v="ZONA LIBRE"/>
    <s v="NC VIATICOS"/>
    <s v="TRANSACCIONES DEL DIA 10/17/2018SPYRAL - GESTION ADMINISTRATIVA"/>
    <n v="92.95"/>
    <n v="0"/>
    <s v="NEGOCIOS"/>
    <x v="1"/>
  </r>
  <r>
    <n v="91"/>
    <d v="2018-11-20T00:00:00"/>
    <x v="5"/>
    <x v="5"/>
    <x v="0"/>
    <s v="ZONA LIBRE"/>
    <s v="NC VIATICOS"/>
    <s v="TRANSACCIONES DEL DIA 11/20/2018SPYRAL - GESTION ADMINISTRATIVA"/>
    <n v="125.7"/>
    <n v="0"/>
    <s v="NEGOCIOS"/>
    <x v="1"/>
  </r>
  <r>
    <n v="91"/>
    <d v="2018-12-07T00:00:00"/>
    <x v="1"/>
    <x v="1"/>
    <x v="0"/>
    <s v="ZONA LIBRE"/>
    <s v="NC VIATICOS"/>
    <s v="TRANSACCIONES DEL DIA 12/07/2018SPYRAL - GESTION ADMINISTRATIVA"/>
    <n v="138.80000000000001"/>
    <n v="0"/>
    <s v="NEGOCIOS"/>
    <x v="1"/>
  </r>
  <r>
    <n v="91"/>
    <d v="2018-12-31T00:00:00"/>
    <x v="1"/>
    <x v="1"/>
    <x v="0"/>
    <s v="ZONA LIBRE"/>
    <s v="CIERRE DE ANIO FISCAL"/>
    <s v="CIERRE_DE_CTAS_NOMINALES"/>
    <n v="0"/>
    <n v="1629.28"/>
    <s v="NEGOCIOS"/>
    <x v="1"/>
  </r>
  <r>
    <n v="91"/>
    <d v="2018-06-01T00:00:00"/>
    <x v="2"/>
    <x v="2"/>
    <x v="0"/>
    <s v="HIPOTECAS"/>
    <s v="VIATICOS 2"/>
    <s v="TRANSACCIONES DEL DIA 06/01/2018SPYRAL - GESTION ADMINISTRATIVA"/>
    <n v="60"/>
    <n v="0"/>
    <s v="NEGOCIOS"/>
    <x v="1"/>
  </r>
  <r>
    <n v="91"/>
    <d v="2018-06-07T00:00:00"/>
    <x v="2"/>
    <x v="2"/>
    <x v="0"/>
    <s v="HIPOTECAS"/>
    <s v="VIATICOS"/>
    <s v="TRANSACCIONES DEL DIA 06/07/2018SPYRAL - GESTION ADMINISTRATIVA"/>
    <n v="60"/>
    <n v="0"/>
    <s v="NEGOCIOS"/>
    <x v="1"/>
  </r>
  <r>
    <n v="91"/>
    <d v="2018-06-27T00:00:00"/>
    <x v="2"/>
    <x v="2"/>
    <x v="0"/>
    <s v="HIPOTECAS"/>
    <s v="VIATICOS 2"/>
    <s v="TRANSACCIONES DEL DIA 06/27/2018SPYRAL - GESTION ADMINISTRATIVA"/>
    <n v="90"/>
    <n v="0"/>
    <s v="NEGOCIOS"/>
    <x v="1"/>
  </r>
  <r>
    <n v="91"/>
    <d v="2018-06-27T00:00:00"/>
    <x v="2"/>
    <x v="2"/>
    <x v="0"/>
    <s v="HIPOTECAS"/>
    <s v="VIATICOS"/>
    <s v="TRANSACCIONES DEL DIA 06/27/2018SPYRAL - GESTION ADMINISTRATIVA"/>
    <n v="10"/>
    <n v="0"/>
    <s v="NEGOCIOS"/>
    <x v="1"/>
  </r>
  <r>
    <n v="91"/>
    <d v="2018-07-06T00:00:00"/>
    <x v="6"/>
    <x v="6"/>
    <x v="0"/>
    <s v="HIPOTECAS"/>
    <s v="VIATICOS 2"/>
    <s v="TRANSACCIONES DEL DIA 07/06/2018SPYRAL - GESTION ADMINISTRATIVA"/>
    <n v="217.6"/>
    <n v="0"/>
    <s v="NEGOCIOS"/>
    <x v="1"/>
  </r>
  <r>
    <n v="91"/>
    <d v="2018-07-06T00:00:00"/>
    <x v="6"/>
    <x v="6"/>
    <x v="0"/>
    <s v="HIPOTECAS"/>
    <s v="VIATICOS"/>
    <s v="TRANSACCIONES DEL DIA 07/06/2018SPYRAL - GESTION ADMINISTRATIVA"/>
    <n v="156.66"/>
    <n v="0"/>
    <s v="NEGOCIOS"/>
    <x v="1"/>
  </r>
  <r>
    <n v="91"/>
    <d v="2018-07-13T00:00:00"/>
    <x v="6"/>
    <x v="6"/>
    <x v="0"/>
    <s v="HIPOTECAS"/>
    <s v="VIATICOS"/>
    <s v="TRANSACCIONES DEL DIA 07/13/2018SPYRAL - GESTION ADMINISTRATIVA"/>
    <n v="30"/>
    <n v="0"/>
    <s v="NEGOCIOS"/>
    <x v="1"/>
  </r>
  <r>
    <n v="91"/>
    <d v="2018-07-20T00:00:00"/>
    <x v="6"/>
    <x v="6"/>
    <x v="0"/>
    <s v="HIPOTECAS"/>
    <s v="VIATICOS"/>
    <s v="TRANSACCIONES DEL DIA 07/20/2018SPYRAL - GESTION ADMINISTRATIVA"/>
    <n v="133"/>
    <n v="0"/>
    <s v="NEGOCIOS"/>
    <x v="1"/>
  </r>
  <r>
    <n v="91"/>
    <d v="2018-08-01T00:00:00"/>
    <x v="3"/>
    <x v="3"/>
    <x v="0"/>
    <s v="HIPOTECAS"/>
    <s v="VIATICOS 2"/>
    <s v="TRANSACCIONES DEL DIA 08/01/2018SPYRAL - GESTION ADMINISTRATIVA"/>
    <n v="1020"/>
    <n v="0"/>
    <s v="NEGOCIOS"/>
    <x v="1"/>
  </r>
  <r>
    <n v="91"/>
    <d v="2018-08-02T00:00:00"/>
    <x v="3"/>
    <x v="3"/>
    <x v="0"/>
    <s v="HIPOTECAS"/>
    <s v="VIATICOS"/>
    <s v="TRANSACCIONES DEL DIA 08/02/2018SPYRAL - GESTION ADMINISTRATIVA"/>
    <n v="37"/>
    <n v="0"/>
    <s v="NEGOCIOS"/>
    <x v="1"/>
  </r>
  <r>
    <n v="91"/>
    <d v="2018-08-10T00:00:00"/>
    <x v="3"/>
    <x v="3"/>
    <x v="0"/>
    <s v="HIPOTECAS"/>
    <s v="VIATICOS 2"/>
    <s v="TRANSACCIONES DEL DIA 08/10/2018SPYRAL - GESTION ADMINISTRATIVA"/>
    <n v="108.4"/>
    <n v="0"/>
    <s v="NEGOCIOS"/>
    <x v="1"/>
  </r>
  <r>
    <n v="91"/>
    <d v="2018-08-11T00:00:00"/>
    <x v="3"/>
    <x v="3"/>
    <x v="0"/>
    <s v="HIPOTECAS"/>
    <s v="VIATICOS"/>
    <s v="TRANSACCIONES DEL DIA 08/11/2018SPYRAL - GESTION ADMINISTRATIVA"/>
    <n v="24"/>
    <n v="0"/>
    <s v="NEGOCIOS"/>
    <x v="1"/>
  </r>
  <r>
    <n v="91"/>
    <d v="2018-08-17T00:00:00"/>
    <x v="3"/>
    <x v="3"/>
    <x v="0"/>
    <s v="HIPOTECAS"/>
    <s v="VIATICOS 2"/>
    <s v="TRANSACCIONES DEL DIA 08/17/2018SPYRAL - GESTION ADMINISTRATIVA"/>
    <n v="114"/>
    <n v="0"/>
    <s v="NEGOCIOS"/>
    <x v="1"/>
  </r>
  <r>
    <n v="91"/>
    <d v="2018-08-24T00:00:00"/>
    <x v="3"/>
    <x v="3"/>
    <x v="0"/>
    <s v="HIPOTECAS"/>
    <s v="VIATICOS 2"/>
    <s v="TRANSACCIONES DEL DIA 08/24/2018SPYRAL - GESTION ADMINISTRATIVA"/>
    <n v="40"/>
    <n v="0"/>
    <s v="NEGOCIOS"/>
    <x v="1"/>
  </r>
  <r>
    <n v="91"/>
    <d v="2018-09-01T00:00:00"/>
    <x v="4"/>
    <x v="4"/>
    <x v="0"/>
    <s v="HIPOTECAS"/>
    <s v="VIATICOS"/>
    <s v="TRANSACCIONES DEL DIA 09/01/2018SPYRAL - GESTION ADMINISTRATIVA"/>
    <n v="50"/>
    <n v="0"/>
    <s v="NEGOCIOS"/>
    <x v="1"/>
  </r>
  <r>
    <n v="91"/>
    <d v="2018-09-04T00:00:00"/>
    <x v="4"/>
    <x v="4"/>
    <x v="0"/>
    <s v="HIPOTECAS"/>
    <s v="VIATICOS"/>
    <s v="TRANSACCIONES DEL DIA 09/04/2018SPYRAL - GESTION ADMINISTRATIVA"/>
    <n v="49.6"/>
    <n v="0"/>
    <s v="NEGOCIOS"/>
    <x v="1"/>
  </r>
  <r>
    <n v="91"/>
    <d v="2018-09-04T00:00:00"/>
    <x v="4"/>
    <x v="4"/>
    <x v="0"/>
    <s v="HIPOTECAS"/>
    <s v="VIATICOS 2"/>
    <s v="TRANSACCIONES DEL DIA 09/04/2018SPYRAL - GESTION ADMINISTRATIVA"/>
    <n v="2166"/>
    <n v="0"/>
    <s v="NEGOCIOS"/>
    <x v="1"/>
  </r>
  <r>
    <n v="91"/>
    <d v="2018-09-06T00:00:00"/>
    <x v="4"/>
    <x v="4"/>
    <x v="0"/>
    <s v="HIPOTECAS"/>
    <s v="VIATICOS"/>
    <s v="TRANSACCIONES DEL DIA 09/06/2018SPYRAL - GESTION ADMINISTRATIVA"/>
    <n v="67.599999999999994"/>
    <n v="0"/>
    <s v="NEGOCIOS"/>
    <x v="1"/>
  </r>
  <r>
    <n v="91"/>
    <d v="2018-09-06T00:00:00"/>
    <x v="4"/>
    <x v="4"/>
    <x v="0"/>
    <s v="HIPOTECAS"/>
    <s v="NC VIATICOS"/>
    <s v="TRANSACCIONES DEL DIA 09/06/2018SPYRAL - GESTION ADMINISTRATIVA"/>
    <n v="0"/>
    <n v="24"/>
    <s v="NEGOCIOS"/>
    <x v="1"/>
  </r>
  <r>
    <n v="91"/>
    <d v="2018-09-07T00:00:00"/>
    <x v="4"/>
    <x v="4"/>
    <x v="0"/>
    <s v="HIPOTECAS"/>
    <s v="VIATICOS"/>
    <s v="TRANSACCIONES DEL DIA 09/07/2018SPYRAL - GESTION ADMINISTRATIVA"/>
    <n v="16"/>
    <n v="0"/>
    <s v="NEGOCIOS"/>
    <x v="1"/>
  </r>
  <r>
    <n v="91"/>
    <d v="2018-09-11T00:00:00"/>
    <x v="4"/>
    <x v="4"/>
    <x v="0"/>
    <s v="HIPOTECAS"/>
    <s v="VIATICOS"/>
    <s v="TRANSACCIONES DEL DIA 09/11/2018SPYRAL - GESTION ADMINISTRATIVA"/>
    <n v="43.2"/>
    <n v="0"/>
    <s v="NEGOCIOS"/>
    <x v="1"/>
  </r>
  <r>
    <n v="91"/>
    <d v="2018-09-14T00:00:00"/>
    <x v="4"/>
    <x v="4"/>
    <x v="0"/>
    <s v="HIPOTECAS"/>
    <s v="VIATICOS 2"/>
    <s v="TRANSACCIONES DEL DIA 09/14/2018SPYRAL - GESTION ADMINISTRATIVA"/>
    <n v="101.6"/>
    <n v="0"/>
    <s v="NEGOCIOS"/>
    <x v="1"/>
  </r>
  <r>
    <n v="91"/>
    <d v="2018-09-14T00:00:00"/>
    <x v="4"/>
    <x v="4"/>
    <x v="0"/>
    <s v="HIPOTECAS"/>
    <s v="NC VIATICOS"/>
    <s v="TRANSACCIONES DEL DIA 09/14/2018SPYRAL - GESTION ADMINISTRATIVA"/>
    <n v="0"/>
    <n v="32"/>
    <s v="NEGOCIOS"/>
    <x v="1"/>
  </r>
  <r>
    <n v="91"/>
    <d v="2018-09-21T00:00:00"/>
    <x v="4"/>
    <x v="4"/>
    <x v="0"/>
    <s v="HIPOTECAS"/>
    <s v="VIATICOS 2"/>
    <s v="TRANSACCIONES DEL DIA 09/21/2018SPYRAL - GESTION ADMINISTRATIVA"/>
    <n v="35"/>
    <n v="0"/>
    <s v="NEGOCIOS"/>
    <x v="1"/>
  </r>
  <r>
    <n v="91"/>
    <d v="2018-09-27T00:00:00"/>
    <x v="4"/>
    <x v="4"/>
    <x v="0"/>
    <s v="HIPOTECAS"/>
    <s v="VIATICOS 2"/>
    <s v="TRANSACCIONES DEL DIA 09/27/2018SPYRAL - GESTION ADMINISTRATIVA"/>
    <n v="65"/>
    <n v="0"/>
    <s v="NEGOCIOS"/>
    <x v="1"/>
  </r>
  <r>
    <n v="91"/>
    <d v="2018-10-03T00:00:00"/>
    <x v="0"/>
    <x v="0"/>
    <x v="0"/>
    <s v="HIPOTECAS"/>
    <s v="VIATICOS"/>
    <s v="TRANSACCIONES DEL DIA 10/03/2018SPYRAL - GESTION ADMINISTRATIVA"/>
    <n v="24"/>
    <n v="0"/>
    <s v="NEGOCIOS"/>
    <x v="1"/>
  </r>
  <r>
    <n v="91"/>
    <d v="2018-10-04T00:00:00"/>
    <x v="0"/>
    <x v="0"/>
    <x v="0"/>
    <s v="HIPOTECAS"/>
    <s v="VIATICOS 2"/>
    <s v="TRANSACCIONES DEL DIA 10/04/2018SPYRAL - GESTION ADMINISTRATIVA"/>
    <n v="40"/>
    <n v="0"/>
    <s v="NEGOCIOS"/>
    <x v="1"/>
  </r>
  <r>
    <n v="91"/>
    <d v="2018-10-05T00:00:00"/>
    <x v="0"/>
    <x v="0"/>
    <x v="0"/>
    <s v="HIPOTECAS"/>
    <s v="VIATICOS"/>
    <s v="TRANSACCIONES DEL DIA 10/05/2018SPYRAL - GESTION ADMINISTRATIVA"/>
    <n v="137.63999999999999"/>
    <n v="0"/>
    <s v="NEGOCIOS"/>
    <x v="1"/>
  </r>
  <r>
    <n v="91"/>
    <d v="2018-10-11T00:00:00"/>
    <x v="0"/>
    <x v="0"/>
    <x v="0"/>
    <s v="HIPOTECAS"/>
    <s v="VIATICOS 2"/>
    <s v="TRANSACCIONES DEL DIA 10/11/2018SPYRAL - GESTION ADMINISTRATIVA"/>
    <n v="85"/>
    <n v="0"/>
    <s v="NEGOCIOS"/>
    <x v="1"/>
  </r>
  <r>
    <n v="91"/>
    <d v="2018-10-11T00:00:00"/>
    <x v="0"/>
    <x v="0"/>
    <x v="0"/>
    <s v="HIPOTECAS"/>
    <s v="VIATICOS"/>
    <s v="TRANSACCIONES DEL DIA 10/11/2018SPYRAL - GESTION ADMINISTRATIVA"/>
    <n v="20.5"/>
    <n v="0"/>
    <s v="NEGOCIOS"/>
    <x v="1"/>
  </r>
  <r>
    <n v="91"/>
    <d v="2018-10-19T00:00:00"/>
    <x v="0"/>
    <x v="0"/>
    <x v="0"/>
    <s v="HIPOTECAS"/>
    <s v="VIATICOS 2"/>
    <s v="TRANSACCIONES DEL DIA 10/19/2018SPYRAL - GESTION ADMINISTRATIVA"/>
    <n v="70"/>
    <n v="0"/>
    <s v="NEGOCIOS"/>
    <x v="1"/>
  </r>
  <r>
    <n v="91"/>
    <d v="2018-10-26T00:00:00"/>
    <x v="0"/>
    <x v="0"/>
    <x v="0"/>
    <s v="HIPOTECAS"/>
    <s v="VIATICOS 2"/>
    <s v="TRANSACCIONES DEL DIA 10/26/2018SPYRAL - GESTION ADMINISTRATIVA"/>
    <n v="70"/>
    <n v="0"/>
    <s v="NEGOCIOS"/>
    <x v="1"/>
  </r>
  <r>
    <n v="91"/>
    <d v="2018-11-16T00:00:00"/>
    <x v="5"/>
    <x v="5"/>
    <x v="0"/>
    <s v="HIPOTECAS"/>
    <s v="VIATICOS 2"/>
    <s v="TRANSACCIONES DEL DIA 11/16/2018SPYRAL - GESTION ADMINISTRATIVA"/>
    <n v="45"/>
    <n v="0"/>
    <s v="NEGOCIOS"/>
    <x v="1"/>
  </r>
  <r>
    <n v="91"/>
    <d v="2018-11-23T00:00:00"/>
    <x v="5"/>
    <x v="5"/>
    <x v="0"/>
    <s v="HIPOTECAS"/>
    <s v="VIATICOS 2"/>
    <s v="TRANSACCIONES DEL DIA 11/23/2018SPYRAL - GESTION ADMINISTRATIVA"/>
    <n v="35"/>
    <n v="0"/>
    <s v="NEGOCIOS"/>
    <x v="1"/>
  </r>
  <r>
    <n v="91"/>
    <d v="2018-12-01T00:00:00"/>
    <x v="1"/>
    <x v="1"/>
    <x v="0"/>
    <s v="HIPOTECAS"/>
    <s v="VIATICOS 2"/>
    <s v="TRANSACCIONES DEL DIA 12/01/2018SPYRAL - GESTION ADMINISTRATIVA"/>
    <n v="35"/>
    <n v="0"/>
    <s v="NEGOCIOS"/>
    <x v="1"/>
  </r>
  <r>
    <n v="91"/>
    <d v="2018-12-04T00:00:00"/>
    <x v="1"/>
    <x v="1"/>
    <x v="0"/>
    <s v="HIPOTECAS"/>
    <s v="VIATICOS"/>
    <s v="TRANSACCIONES DEL DIA 12/04/2018SPYRAL - GESTION ADMINISTRATIVA"/>
    <n v="135"/>
    <n v="0"/>
    <s v="NEGOCIOS"/>
    <x v="1"/>
  </r>
  <r>
    <n v="91"/>
    <d v="2018-12-06T00:00:00"/>
    <x v="1"/>
    <x v="1"/>
    <x v="0"/>
    <s v="HIPOTECAS"/>
    <s v="NC VIATICOS"/>
    <s v="TRANSACCIONES DEL DIA 12/06/2018SPYRAL - GESTION ADMINISTRATIVA"/>
    <n v="0"/>
    <n v="5"/>
    <s v="NEGOCIOS"/>
    <x v="1"/>
  </r>
  <r>
    <n v="91"/>
    <d v="2018-12-13T00:00:00"/>
    <x v="1"/>
    <x v="1"/>
    <x v="0"/>
    <s v="HIPOTECAS"/>
    <s v="VIATICOS"/>
    <s v="TRANSACCIONES DEL DIA 12/13/2018SPYRAL - GESTION ADMINISTRATIVA"/>
    <n v="20"/>
    <n v="0"/>
    <s v="NEGOCIOS"/>
    <x v="1"/>
  </r>
  <r>
    <n v="91"/>
    <d v="2018-12-31T00:00:00"/>
    <x v="1"/>
    <x v="1"/>
    <x v="0"/>
    <s v="HIPOTECAS"/>
    <s v="CIERRE DE ANIO FISCAL"/>
    <s v="CIERRE_DE_CTAS_NOMINALES"/>
    <n v="0"/>
    <n v="13255.55"/>
    <s v="NEGOCIOS"/>
    <x v="1"/>
  </r>
  <r>
    <n v="91"/>
    <d v="2018-06-05T00:00:00"/>
    <x v="2"/>
    <x v="2"/>
    <x v="0"/>
    <s v="CANALES EXTERNOS HIP"/>
    <s v="VIATICOS"/>
    <s v="TRANSACCIONES DEL DIA 06/05/2018SPYRAL - GESTION ADMINISTRATIVA"/>
    <n v="0.96"/>
    <n v="0"/>
    <s v="NEGOCIOS"/>
    <x v="1"/>
  </r>
  <r>
    <n v="91"/>
    <d v="2018-06-15T00:00:00"/>
    <x v="2"/>
    <x v="2"/>
    <x v="0"/>
    <s v="CANALES EXTERNOS HIP"/>
    <s v="VIATICOS"/>
    <s v="TRANSACCIONES DEL DIA 06/15/2018SPYRAL - GESTION ADMINISTRATIVA"/>
    <n v="5"/>
    <n v="0"/>
    <s v="NEGOCIOS"/>
    <x v="1"/>
  </r>
  <r>
    <n v="91"/>
    <d v="2018-09-17T00:00:00"/>
    <x v="4"/>
    <x v="4"/>
    <x v="0"/>
    <s v="CANALES EXTERNOS HIP"/>
    <s v="VIATICOS"/>
    <s v="TRANSACCIONES DEL DIA 09/17/2018SPYRAL - GESTION ADMINISTRATIVA"/>
    <n v="10"/>
    <n v="0"/>
    <s v="NEGOCIOS"/>
    <x v="1"/>
  </r>
  <r>
    <n v="91"/>
    <d v="2018-09-26T00:00:00"/>
    <x v="4"/>
    <x v="4"/>
    <x v="0"/>
    <s v="CANALES EXTERNOS HIP"/>
    <s v="VIATICOS"/>
    <s v="TRANSACCIONES DEL DIA 09/26/2018SPYRAL - GESTION ADMINISTRATIVA"/>
    <n v="1.3"/>
    <n v="0"/>
    <s v="NEGOCIOS"/>
    <x v="1"/>
  </r>
  <r>
    <n v="91"/>
    <d v="2018-11-16T00:00:00"/>
    <x v="5"/>
    <x v="5"/>
    <x v="0"/>
    <s v="CANALES EXTERNOS HIP"/>
    <s v="VIATICOS"/>
    <s v="TRANSACCIONES DEL DIA 11/16/2018SPYRAL - GESTION ADMINISTRATIVA"/>
    <n v="6.63"/>
    <n v="0"/>
    <s v="NEGOCIOS"/>
    <x v="1"/>
  </r>
  <r>
    <n v="91"/>
    <d v="2018-12-31T00:00:00"/>
    <x v="1"/>
    <x v="1"/>
    <x v="0"/>
    <s v="CANALES EXTERNOS HIP"/>
    <s v="CIERRE DE ANIO FISCAL"/>
    <s v="CIERRE_DE_CTAS_NOMINALES"/>
    <n v="0"/>
    <n v="23.89"/>
    <s v="NEGOCIOS"/>
    <x v="1"/>
  </r>
  <r>
    <n v="91"/>
    <d v="2018-06-11T00:00:00"/>
    <x v="2"/>
    <x v="2"/>
    <x v="0"/>
    <s v="GESTION HIPOTECARIA"/>
    <s v="VIATICOS"/>
    <s v="TRANSACCIONES DEL DIA 06/11/2018SPYRAL - GESTION ADMINISTRATIVA"/>
    <n v="18"/>
    <n v="0"/>
    <s v="NEGOCIOS"/>
    <x v="1"/>
  </r>
  <r>
    <n v="91"/>
    <d v="2018-06-15T00:00:00"/>
    <x v="2"/>
    <x v="2"/>
    <x v="0"/>
    <s v="GESTION HIPOTECARIA"/>
    <s v="VIATICOS"/>
    <s v="TRANSACCIONES DEL DIA 06/15/2018SPYRAL - GESTION ADMINISTRATIVA"/>
    <n v="12"/>
    <n v="0"/>
    <s v="NEGOCIOS"/>
    <x v="1"/>
  </r>
  <r>
    <n v="91"/>
    <d v="2018-06-20T00:00:00"/>
    <x v="2"/>
    <x v="2"/>
    <x v="0"/>
    <s v="GESTION HIPOTECARIA"/>
    <s v="VIATICOS"/>
    <s v="TRANSACCIONES DEL DIA 06/20/2018SPYRAL - GESTION ADMINISTRATIVA"/>
    <n v="7.99"/>
    <n v="0"/>
    <s v="NEGOCIOS"/>
    <x v="1"/>
  </r>
  <r>
    <n v="91"/>
    <d v="2018-06-29T00:00:00"/>
    <x v="2"/>
    <x v="2"/>
    <x v="0"/>
    <s v="GESTION HIPOTECARIA"/>
    <s v="VIATICOS"/>
    <s v="TRANSACCIONES DEL DIA 06/29/2018SPYRAL - GESTION ADMINISTRATIVA"/>
    <n v="17.899999999999999"/>
    <n v="0"/>
    <s v="NEGOCIOS"/>
    <x v="1"/>
  </r>
  <r>
    <n v="91"/>
    <d v="2018-08-02T00:00:00"/>
    <x v="3"/>
    <x v="3"/>
    <x v="0"/>
    <s v="GESTION HIPOTECARIA"/>
    <s v="VIATICOS"/>
    <s v="TRANSACCIONES DEL DIA 08/02/2018SPYRAL - GESTION ADMINISTRATIVA"/>
    <n v="6"/>
    <n v="0"/>
    <s v="NEGOCIOS"/>
    <x v="1"/>
  </r>
  <r>
    <n v="91"/>
    <d v="2018-08-09T00:00:00"/>
    <x v="3"/>
    <x v="3"/>
    <x v="0"/>
    <s v="GESTION HIPOTECARIA"/>
    <s v="VIATICOS"/>
    <s v="TRANSACCIONES DEL DIA 08/09/2018SPYRAL - GESTION ADMINISTRATIVA"/>
    <n v="12"/>
    <n v="0"/>
    <s v="NEGOCIOS"/>
    <x v="1"/>
  </r>
  <r>
    <n v="91"/>
    <d v="2018-08-31T00:00:00"/>
    <x v="3"/>
    <x v="3"/>
    <x v="0"/>
    <s v="GESTION HIPOTECARIA"/>
    <s v="VIATICOS"/>
    <s v="TRANSACCIONES DEL DIA 08/31/2018SPYRAL - GESTION ADMINISTRATIVA"/>
    <n v="35.299999999999997"/>
    <n v="0"/>
    <s v="NEGOCIOS"/>
    <x v="1"/>
  </r>
  <r>
    <n v="91"/>
    <d v="2018-09-27T00:00:00"/>
    <x v="4"/>
    <x v="4"/>
    <x v="0"/>
    <s v="GESTION HIPOTECARIA"/>
    <s v="VIATICOS"/>
    <s v="TRANSACCIONES DEL DIA 09/27/2018SPYRAL - GESTION ADMINISTRATIVA"/>
    <n v="50.47"/>
    <n v="0"/>
    <s v="NEGOCIOS"/>
    <x v="1"/>
  </r>
  <r>
    <n v="91"/>
    <d v="2018-10-22T00:00:00"/>
    <x v="0"/>
    <x v="0"/>
    <x v="0"/>
    <s v="GESTION HIPOTECARIA"/>
    <s v="NC VIATICOS"/>
    <s v="TRANSACCIONES DEL DIA 10/22/2018SPYRAL - GESTION ADMINISTRATIVA"/>
    <n v="0"/>
    <n v="50.47"/>
    <s v="NEGOCIOS"/>
    <x v="1"/>
  </r>
  <r>
    <n v="91"/>
    <d v="2018-11-01T00:00:00"/>
    <x v="5"/>
    <x v="5"/>
    <x v="0"/>
    <s v="GESTION HIPOTECARIA"/>
    <s v="VIATICOS"/>
    <s v="TRANSACCIONES DEL DIA 11/01/2018SPYRAL - GESTION ADMINISTRATIVA"/>
    <n v="25.3"/>
    <n v="0"/>
    <s v="NEGOCIOS"/>
    <x v="1"/>
  </r>
  <r>
    <n v="91"/>
    <d v="2018-12-18T00:00:00"/>
    <x v="1"/>
    <x v="1"/>
    <x v="0"/>
    <s v="GESTION HIPOTECARIA"/>
    <s v="VIATICOS"/>
    <s v="TRANSACCIONES DEL DIA 12/18/2018SPYRAL - GESTION ADMINISTRATIVA"/>
    <n v="13.52"/>
    <n v="0"/>
    <s v="NEGOCIOS"/>
    <x v="1"/>
  </r>
  <r>
    <n v="91"/>
    <d v="2018-12-28T00:00:00"/>
    <x v="1"/>
    <x v="1"/>
    <x v="0"/>
    <s v="GESTION HIPOTECARIA"/>
    <s v="VIATICOS"/>
    <s v="TRANSACCIONES DEL DIA 12/28/2018SPYRAL - GESTION ADMINISTRATIVA"/>
    <n v="23.55"/>
    <n v="0"/>
    <s v="NEGOCIOS"/>
    <x v="1"/>
  </r>
  <r>
    <n v="91"/>
    <d v="2018-12-31T00:00:00"/>
    <x v="1"/>
    <x v="1"/>
    <x v="0"/>
    <s v="GESTION HIPOTECARIA"/>
    <s v="CIERRE DE ANIO FISCAL"/>
    <s v="CIERRE_DE_CTAS_NOMINALES"/>
    <n v="0"/>
    <n v="334.16"/>
    <s v="NEGOCIOS"/>
    <x v="1"/>
  </r>
  <r>
    <n v="91"/>
    <d v="2018-07-27T00:00:00"/>
    <x v="6"/>
    <x v="6"/>
    <x v="0"/>
    <s v="BANCA DE CONSUMO"/>
    <s v="VIATICOS"/>
    <s v="TRANSACCIONES DEL DIA 07/27/2018SPYRAL - GESTION ADMINISTRATIVA"/>
    <n v="689.98"/>
    <n v="0"/>
    <s v="NEGOCIOS"/>
    <x v="1"/>
  </r>
  <r>
    <n v="91"/>
    <d v="2018-11-29T00:00:00"/>
    <x v="5"/>
    <x v="5"/>
    <x v="0"/>
    <s v="BANCA DE CONSUMO"/>
    <s v="NC VIATICOS"/>
    <s v="TRANSACCIONES DEL DIA 11/29/2018SPYRAL - GESTION ADMINISTRATIVA"/>
    <n v="3354.82"/>
    <n v="0"/>
    <s v="NEGOCIOS"/>
    <x v="1"/>
  </r>
  <r>
    <n v="91"/>
    <d v="2018-12-11T00:00:00"/>
    <x v="1"/>
    <x v="1"/>
    <x v="0"/>
    <s v="BANCA DE CONSUMO"/>
    <s v="VIATICOS 2"/>
    <s v="TRANSACCIONES DEL DIA 12/11/2018SPYRAL - GESTION ADMINISTRATIVA"/>
    <n v="1185.1500000000001"/>
    <n v="0"/>
    <s v="NEGOCIOS"/>
    <x v="1"/>
  </r>
  <r>
    <n v="91"/>
    <d v="2018-12-17T00:00:00"/>
    <x v="1"/>
    <x v="1"/>
    <x v="0"/>
    <s v="BANCA DE CONSUMO"/>
    <s v="VIATICOS"/>
    <s v="TRANSACCIONES DEL DIA 12/17/2018SPYRAL - GESTION ADMINISTRATIVA"/>
    <n v="240.29"/>
    <n v="0"/>
    <s v="NEGOCIOS"/>
    <x v="1"/>
  </r>
  <r>
    <n v="91"/>
    <d v="2018-12-31T00:00:00"/>
    <x v="1"/>
    <x v="1"/>
    <x v="0"/>
    <s v="BANCA DE CONSUMO"/>
    <s v="CIERRE DE ANIO FISCAL"/>
    <s v="CIERRE_DE_CTAS_NOMINALES"/>
    <n v="0"/>
    <n v="7034.18"/>
    <s v="NEGOCIOS"/>
    <x v="1"/>
  </r>
  <r>
    <n v="91"/>
    <d v="2018-06-02T00:00:00"/>
    <x v="2"/>
    <x v="2"/>
    <x v="0"/>
    <s v="CANALES DE DISTRIBUCION"/>
    <s v="VIATICOS 2"/>
    <s v="TRANSACCIONES DEL DIA 06/02/2018SPYRAL - GESTION ADMINISTRATIVA"/>
    <n v="150"/>
    <n v="0"/>
    <s v="NEGOCIOS"/>
    <x v="1"/>
  </r>
  <r>
    <n v="91"/>
    <d v="2018-06-07T00:00:00"/>
    <x v="2"/>
    <x v="2"/>
    <x v="0"/>
    <s v="CANALES DE DISTRIBUCION"/>
    <s v="VIATICOS 2"/>
    <s v="TRANSACCIONES DEL DIA 06/07/2018SPYRAL - GESTION ADMINISTRATIVA"/>
    <n v="722.68"/>
    <n v="0"/>
    <s v="NEGOCIOS"/>
    <x v="1"/>
  </r>
  <r>
    <n v="91"/>
    <d v="2018-06-19T00:00:00"/>
    <x v="2"/>
    <x v="2"/>
    <x v="0"/>
    <s v="CANALES DE DISTRIBUCION"/>
    <s v="VIATICOS"/>
    <s v="TRANSACCIONES DEL DIA 06/19/2018SPYRAL - GESTION ADMINISTRATIVA"/>
    <n v="24"/>
    <n v="0"/>
    <s v="NEGOCIOS"/>
    <x v="1"/>
  </r>
  <r>
    <n v="91"/>
    <d v="2018-06-22T00:00:00"/>
    <x v="2"/>
    <x v="2"/>
    <x v="0"/>
    <s v="CANALES DE DISTRIBUCION"/>
    <s v="VIATICOS"/>
    <s v="TRANSACCIONES DEL DIA 06/22/2018SPYRAL - GESTION ADMINISTRATIVA"/>
    <n v="326.42"/>
    <n v="0"/>
    <s v="NEGOCIOS"/>
    <x v="1"/>
  </r>
  <r>
    <n v="91"/>
    <d v="2018-06-26T00:00:00"/>
    <x v="2"/>
    <x v="2"/>
    <x v="0"/>
    <s v="CANALES DE DISTRIBUCION"/>
    <s v="VIATICOS 2"/>
    <s v="TRANSACCIONES DEL DIA 06/26/2018SPYRAL - GESTION ADMINISTRATIVA"/>
    <n v="940.61"/>
    <n v="0"/>
    <s v="NEGOCIOS"/>
    <x v="1"/>
  </r>
  <r>
    <n v="91"/>
    <d v="2018-07-03T00:00:00"/>
    <x v="6"/>
    <x v="6"/>
    <x v="0"/>
    <s v="CANALES DE DISTRIBUCION"/>
    <s v="VIATICOS 2"/>
    <s v="TRANSACCIONES DEL DIA 07/03/2018SPYRAL - GESTION ADMINISTRATIVA"/>
    <n v="150"/>
    <n v="0"/>
    <s v="NEGOCIOS"/>
    <x v="1"/>
  </r>
  <r>
    <n v="91"/>
    <d v="2018-07-06T00:00:00"/>
    <x v="6"/>
    <x v="6"/>
    <x v="0"/>
    <s v="CANALES DE DISTRIBUCION"/>
    <s v="VIATICOS 2"/>
    <s v="TRANSACCIONES DEL DIA 07/06/2018SPYRAL - GESTION ADMINISTRATIVA"/>
    <n v="185.5"/>
    <n v="0"/>
    <s v="NEGOCIOS"/>
    <x v="1"/>
  </r>
  <r>
    <n v="91"/>
    <d v="2018-07-06T00:00:00"/>
    <x v="6"/>
    <x v="6"/>
    <x v="0"/>
    <s v="CANALES DE DISTRIBUCION"/>
    <s v="VIATICOS"/>
    <s v="TRANSACCIONES DEL DIA 07/06/2018SPYRAL - GESTION ADMINISTRATIVA"/>
    <n v="62.7"/>
    <n v="0"/>
    <s v="NEGOCIOS"/>
    <x v="1"/>
  </r>
  <r>
    <n v="91"/>
    <d v="2018-08-02T00:00:00"/>
    <x v="3"/>
    <x v="3"/>
    <x v="0"/>
    <s v="CANALES DE DISTRIBUCION"/>
    <s v="VIATICOS 2"/>
    <s v="TRANSACCIONES DEL DIA 08/02/2018SPYRAL - GESTION ADMINISTRATIVA"/>
    <n v="150"/>
    <n v="0"/>
    <s v="NEGOCIOS"/>
    <x v="1"/>
  </r>
  <r>
    <n v="91"/>
    <d v="2018-08-07T00:00:00"/>
    <x v="3"/>
    <x v="3"/>
    <x v="0"/>
    <s v="CANALES DE DISTRIBUCION"/>
    <s v="VIATICOS"/>
    <s v="TRANSACCIONES DEL DIA 08/07/2018SPYRAL - GESTION ADMINISTRATIVA"/>
    <n v="25"/>
    <n v="0"/>
    <s v="NEGOCIOS"/>
    <x v="1"/>
  </r>
  <r>
    <n v="91"/>
    <d v="2018-08-09T00:00:00"/>
    <x v="3"/>
    <x v="3"/>
    <x v="0"/>
    <s v="CANALES DE DISTRIBUCION"/>
    <s v="VIATICOS 2"/>
    <s v="TRANSACCIONES DEL DIA 08/09/2018SPYRAL - GESTION ADMINISTRATIVA"/>
    <n v="1067.8800000000001"/>
    <n v="0"/>
    <s v="NEGOCIOS"/>
    <x v="1"/>
  </r>
  <r>
    <n v="91"/>
    <d v="2018-08-17T00:00:00"/>
    <x v="3"/>
    <x v="3"/>
    <x v="0"/>
    <s v="CANALES DE DISTRIBUCION"/>
    <s v="NC VIATICOS"/>
    <s v="TRANSACCIONES DEL DIA 08/17/2018SPYRAL - GESTION ADMINISTRATIVA"/>
    <n v="409.83"/>
    <n v="0"/>
    <s v="NEGOCIOS"/>
    <x v="1"/>
  </r>
  <r>
    <n v="91"/>
    <d v="2018-08-18T00:00:00"/>
    <x v="3"/>
    <x v="3"/>
    <x v="0"/>
    <s v="CANALES DE DISTRIBUCION"/>
    <s v="VIATICOS"/>
    <s v="TRANSACCIONES DEL DIA 08/18/2018SPYRAL - GESTION ADMINISTRATIVA"/>
    <n v="38"/>
    <n v="0"/>
    <s v="NEGOCIOS"/>
    <x v="1"/>
  </r>
  <r>
    <n v="91"/>
    <d v="2018-08-22T00:00:00"/>
    <x v="3"/>
    <x v="3"/>
    <x v="0"/>
    <s v="CANALES DE DISTRIBUCION"/>
    <s v="VIATICOS"/>
    <s v="TRANSACCIONES DEL DIA 08/22/2018SPYRAL - GESTION ADMINISTRATIVA"/>
    <n v="128"/>
    <n v="0"/>
    <s v="NEGOCIOS"/>
    <x v="1"/>
  </r>
  <r>
    <n v="91"/>
    <d v="2018-08-23T00:00:00"/>
    <x v="3"/>
    <x v="3"/>
    <x v="0"/>
    <s v="CANALES DE DISTRIBUCION"/>
    <s v="VIATICOS"/>
    <s v="TRANSACCIONES DEL DIA 08/23/2018SPYRAL - GESTION ADMINISTRATIVA"/>
    <n v="56"/>
    <n v="0"/>
    <s v="NEGOCIOS"/>
    <x v="1"/>
  </r>
  <r>
    <n v="91"/>
    <d v="2018-09-01T00:00:00"/>
    <x v="4"/>
    <x v="4"/>
    <x v="0"/>
    <s v="CANALES DE DISTRIBUCION"/>
    <s v="VIATICOS 2"/>
    <s v="TRANSACCIONES DEL DIA 09/01/2018SPYRAL - GESTION ADMINISTRATIVA"/>
    <n v="1197.1400000000001"/>
    <n v="0"/>
    <s v="NEGOCIOS"/>
    <x v="1"/>
  </r>
  <r>
    <n v="91"/>
    <d v="2018-09-04T00:00:00"/>
    <x v="4"/>
    <x v="4"/>
    <x v="0"/>
    <s v="CANALES DE DISTRIBUCION"/>
    <s v="VIATICOS 2"/>
    <s v="TRANSACCIONES DEL DIA 09/04/2018SPYRAL - GESTION ADMINISTRATIVA"/>
    <n v="150"/>
    <n v="0"/>
    <s v="NEGOCIOS"/>
    <x v="1"/>
  </r>
  <r>
    <n v="91"/>
    <d v="2018-09-05T00:00:00"/>
    <x v="4"/>
    <x v="4"/>
    <x v="0"/>
    <s v="CANALES DE DISTRIBUCION"/>
    <s v="VIATICOS"/>
    <s v="TRANSACCIONES DEL DIA 09/05/2018SPYRAL - GESTION ADMINISTRATIVA"/>
    <n v="49"/>
    <n v="0"/>
    <s v="NEGOCIOS"/>
    <x v="1"/>
  </r>
  <r>
    <n v="91"/>
    <d v="2018-09-07T00:00:00"/>
    <x v="4"/>
    <x v="4"/>
    <x v="0"/>
    <s v="CANALES DE DISTRIBUCION"/>
    <s v="VIATICOS"/>
    <s v="TRANSACCIONES DEL DIA 09/07/2018SPYRAL - GESTION ADMINISTRATIVA"/>
    <n v="76"/>
    <n v="0"/>
    <s v="NEGOCIOS"/>
    <x v="1"/>
  </r>
  <r>
    <n v="91"/>
    <d v="2018-09-11T00:00:00"/>
    <x v="4"/>
    <x v="4"/>
    <x v="0"/>
    <s v="CANALES DE DISTRIBUCION"/>
    <s v="VIATICOS"/>
    <s v="TRANSACCIONES DEL DIA 09/11/2018SPYRAL - GESTION ADMINISTRATIVA"/>
    <n v="10"/>
    <n v="0"/>
    <s v="NEGOCIOS"/>
    <x v="1"/>
  </r>
  <r>
    <n v="91"/>
    <d v="2018-09-20T00:00:00"/>
    <x v="4"/>
    <x v="4"/>
    <x v="0"/>
    <s v="CANALES DE DISTRIBUCION"/>
    <s v="VIATICOS"/>
    <s v="TRANSACCIONES DEL DIA 09/20/2018SPYRAL - GESTION ADMINISTRATIVA"/>
    <n v="76"/>
    <n v="0"/>
    <s v="NEGOCIOS"/>
    <x v="1"/>
  </r>
  <r>
    <n v="91"/>
    <d v="2018-10-01T00:00:00"/>
    <x v="0"/>
    <x v="0"/>
    <x v="0"/>
    <s v="CANALES DE DISTRIBUCION"/>
    <s v="VIATICOS"/>
    <s v="TRANSACCIONES DEL DIA 10/01/2018SPYRAL - GESTION ADMINISTRATIVA"/>
    <n v="58.75"/>
    <n v="0"/>
    <s v="NEGOCIOS"/>
    <x v="1"/>
  </r>
  <r>
    <n v="91"/>
    <d v="2018-10-02T00:00:00"/>
    <x v="0"/>
    <x v="0"/>
    <x v="0"/>
    <s v="CANALES DE DISTRIBUCION"/>
    <s v="VIATICOS 2"/>
    <s v="TRANSACCIONES DEL DIA 10/02/2018SPYRAL - GESTION ADMINISTRATIVA"/>
    <n v="150"/>
    <n v="0"/>
    <s v="NEGOCIOS"/>
    <x v="1"/>
  </r>
  <r>
    <n v="91"/>
    <d v="2018-10-03T00:00:00"/>
    <x v="0"/>
    <x v="0"/>
    <x v="0"/>
    <s v="CANALES DE DISTRIBUCION"/>
    <s v="VIATICOS"/>
    <s v="TRANSACCIONES DEL DIA 10/03/2018SPYRAL - GESTION ADMINISTRATIVA"/>
    <n v="301"/>
    <n v="0"/>
    <s v="NEGOCIOS"/>
    <x v="1"/>
  </r>
  <r>
    <n v="91"/>
    <d v="2018-10-04T00:00:00"/>
    <x v="0"/>
    <x v="0"/>
    <x v="0"/>
    <s v="CANALES DE DISTRIBUCION"/>
    <s v="VIATICOS 2"/>
    <s v="TRANSACCIONES DEL DIA 10/04/2018SPYRAL - GESTION ADMINISTRATIVA"/>
    <n v="1166.69"/>
    <n v="0"/>
    <s v="NEGOCIOS"/>
    <x v="1"/>
  </r>
  <r>
    <n v="91"/>
    <d v="2018-10-05T00:00:00"/>
    <x v="0"/>
    <x v="0"/>
    <x v="0"/>
    <s v="CANALES DE DISTRIBUCION"/>
    <s v="VIATICOS 2"/>
    <s v="TRANSACCIONES DEL DIA 10/05/2018SPYRAL - GESTION ADMINISTRATIVA"/>
    <n v="131.68"/>
    <n v="0"/>
    <s v="NEGOCIOS"/>
    <x v="1"/>
  </r>
  <r>
    <n v="91"/>
    <d v="2018-10-05T00:00:00"/>
    <x v="0"/>
    <x v="0"/>
    <x v="0"/>
    <s v="CANALES DE DISTRIBUCION"/>
    <s v="VIATICOS"/>
    <s v="TRANSACCIONES DEL DIA 10/05/2018SPYRAL - GESTION ADMINISTRATIVA"/>
    <n v="236"/>
    <n v="0"/>
    <s v="NEGOCIOS"/>
    <x v="1"/>
  </r>
  <r>
    <n v="91"/>
    <d v="2018-10-11T00:00:00"/>
    <x v="0"/>
    <x v="0"/>
    <x v="0"/>
    <s v="CANALES DE DISTRIBUCION"/>
    <s v="VIATICOS"/>
    <s v="TRANSACCIONES DEL DIA 10/11/2018SPYRAL - GESTION ADMINISTRATIVA"/>
    <n v="549.85"/>
    <n v="0"/>
    <s v="NEGOCIOS"/>
    <x v="1"/>
  </r>
  <r>
    <n v="91"/>
    <d v="2018-10-13T00:00:00"/>
    <x v="0"/>
    <x v="0"/>
    <x v="0"/>
    <s v="CANALES DE DISTRIBUCION"/>
    <s v="VIATICOS"/>
    <s v="TRANSACCIONES DEL DIA 10/13/2018SPYRAL - GESTION ADMINISTRATIVA"/>
    <n v="38"/>
    <n v="0"/>
    <s v="NEGOCIOS"/>
    <x v="1"/>
  </r>
  <r>
    <n v="91"/>
    <d v="2018-10-15T00:00:00"/>
    <x v="0"/>
    <x v="0"/>
    <x v="0"/>
    <s v="CANALES DE DISTRIBUCION"/>
    <s v="VIATICOS"/>
    <s v="TRANSACCIONES DEL DIA 10/15/2018SPYRAL - GESTION ADMINISTRATIVA"/>
    <n v="168.3"/>
    <n v="0"/>
    <s v="NEGOCIOS"/>
    <x v="1"/>
  </r>
  <r>
    <n v="91"/>
    <d v="2018-10-16T00:00:00"/>
    <x v="0"/>
    <x v="0"/>
    <x v="0"/>
    <s v="CANALES DE DISTRIBUCION"/>
    <s v="VIATICOS"/>
    <s v="TRANSACCIONES DEL DIA 10/16/2018SPYRAL - GESTION ADMINISTRATIVA"/>
    <n v="42"/>
    <n v="0"/>
    <s v="NEGOCIOS"/>
    <x v="1"/>
  </r>
  <r>
    <n v="91"/>
    <d v="2018-10-17T00:00:00"/>
    <x v="0"/>
    <x v="0"/>
    <x v="0"/>
    <s v="CANALES DE DISTRIBUCION"/>
    <s v="VIATICOS"/>
    <s v="TRANSACCIONES DEL DIA 10/17/2018SPYRAL - GESTION ADMINISTRATIVA"/>
    <n v="49"/>
    <n v="0"/>
    <s v="NEGOCIOS"/>
    <x v="1"/>
  </r>
  <r>
    <n v="91"/>
    <d v="2018-10-18T00:00:00"/>
    <x v="0"/>
    <x v="0"/>
    <x v="0"/>
    <s v="CANALES DE DISTRIBUCION"/>
    <s v="VIATICOS 2"/>
    <s v="TRANSACCIONES DEL DIA 10/18/2018SPYRAL - GESTION ADMINISTRATIVA"/>
    <n v="940.61"/>
    <n v="0"/>
    <s v="NEGOCIOS"/>
    <x v="1"/>
  </r>
  <r>
    <n v="91"/>
    <d v="2018-10-19T00:00:00"/>
    <x v="0"/>
    <x v="0"/>
    <x v="0"/>
    <s v="CANALES DE DISTRIBUCION"/>
    <s v="VIATICOS"/>
    <s v="TRANSACCIONES DEL DIA 10/19/2018SPYRAL - GESTION ADMINISTRATIVA"/>
    <n v="287"/>
    <n v="0"/>
    <s v="NEGOCIOS"/>
    <x v="1"/>
  </r>
  <r>
    <n v="91"/>
    <d v="2018-10-23T00:00:00"/>
    <x v="0"/>
    <x v="0"/>
    <x v="0"/>
    <s v="CANALES DE DISTRIBUCION"/>
    <s v="VIATICOS"/>
    <s v="TRANSACCIONES DEL DIA 10/23/2018SPYRAL - GESTION ADMINISTRATIVA"/>
    <n v="32"/>
    <n v="0"/>
    <s v="NEGOCIOS"/>
    <x v="1"/>
  </r>
  <r>
    <n v="91"/>
    <d v="2018-10-27T00:00:00"/>
    <x v="0"/>
    <x v="0"/>
    <x v="0"/>
    <s v="CANALES DE DISTRIBUCION"/>
    <s v="VIATICOS"/>
    <s v="TRANSACCIONES DEL DIA 10/27/2018SPYRAL - GESTION ADMINISTRATIVA"/>
    <n v="141"/>
    <n v="0"/>
    <s v="NEGOCIOS"/>
    <x v="1"/>
  </r>
  <r>
    <n v="91"/>
    <d v="2018-11-01T00:00:00"/>
    <x v="5"/>
    <x v="5"/>
    <x v="0"/>
    <s v="CANALES DE DISTRIBUCION"/>
    <s v="VIATICOS"/>
    <s v="TRANSACCIONES DEL DIA 11/01/2018SPYRAL - GESTION ADMINISTRATIVA"/>
    <n v="170.6"/>
    <n v="0"/>
    <s v="NEGOCIOS"/>
    <x v="1"/>
  </r>
  <r>
    <n v="91"/>
    <d v="2018-11-02T00:00:00"/>
    <x v="5"/>
    <x v="5"/>
    <x v="0"/>
    <s v="CANALES DE DISTRIBUCION"/>
    <s v="VIATICOS 2"/>
    <s v="TRANSACCIONES DEL DIA 11/02/2018SPYRAL - GESTION ADMINISTRATIVA"/>
    <n v="150"/>
    <n v="0"/>
    <s v="NEGOCIOS"/>
    <x v="1"/>
  </r>
  <r>
    <n v="91"/>
    <d v="2018-11-07T00:00:00"/>
    <x v="5"/>
    <x v="5"/>
    <x v="0"/>
    <s v="CANALES DE DISTRIBUCION"/>
    <s v="VIATICOS"/>
    <s v="TRANSACCIONES DEL DIA 11/07/2018SPYRAL - GESTION ADMINISTRATIVA"/>
    <n v="54.15"/>
    <n v="0"/>
    <s v="NEGOCIOS"/>
    <x v="1"/>
  </r>
  <r>
    <n v="91"/>
    <d v="2018-11-08T00:00:00"/>
    <x v="5"/>
    <x v="5"/>
    <x v="0"/>
    <s v="CANALES DE DISTRIBUCION"/>
    <s v="VIATICOS 2"/>
    <s v="TRANSACCIONES DEL DIA 11/08/2018SPYRAL - GESTION ADMINISTRATIVA"/>
    <n v="342.04"/>
    <n v="0"/>
    <s v="NEGOCIOS"/>
    <x v="1"/>
  </r>
  <r>
    <n v="91"/>
    <d v="2018-11-08T00:00:00"/>
    <x v="5"/>
    <x v="5"/>
    <x v="0"/>
    <s v="CANALES DE DISTRIBUCION"/>
    <s v="NC VIATICOS"/>
    <s v="TRANSACCIONES DEL DIA 11/08/2018SPYRAL - GESTION ADMINISTRATIVA"/>
    <n v="0"/>
    <n v="287"/>
    <s v="NEGOCIOS"/>
    <x v="1"/>
  </r>
  <r>
    <n v="91"/>
    <d v="2018-11-15T00:00:00"/>
    <x v="5"/>
    <x v="5"/>
    <x v="0"/>
    <s v="CANALES DE DISTRIBUCION"/>
    <s v="VIATICOS 2"/>
    <s v="TRANSACCIONES DEL DIA 11/15/2018SPYRAL - GESTION ADMINISTRATIVA"/>
    <n v="180.2"/>
    <n v="0"/>
    <s v="NEGOCIOS"/>
    <x v="1"/>
  </r>
  <r>
    <n v="91"/>
    <d v="2018-11-16T00:00:00"/>
    <x v="5"/>
    <x v="5"/>
    <x v="0"/>
    <s v="CANALES DE DISTRIBUCION"/>
    <s v="VIATICOS 2"/>
    <s v="TRANSACCIONES DEL DIA 11/16/2018SPYRAL - GESTION ADMINISTRATIVA"/>
    <n v="327.18"/>
    <n v="0"/>
    <s v="NEGOCIOS"/>
    <x v="1"/>
  </r>
  <r>
    <n v="91"/>
    <d v="2018-11-21T00:00:00"/>
    <x v="5"/>
    <x v="5"/>
    <x v="0"/>
    <s v="CANALES DE DISTRIBUCION"/>
    <s v="VIATICOS"/>
    <s v="TRANSACCIONES DEL DIA 11/21/2018SPYRAL - GESTION ADMINISTRATIVA"/>
    <n v="60"/>
    <n v="0"/>
    <s v="NEGOCIOS"/>
    <x v="1"/>
  </r>
  <r>
    <n v="91"/>
    <d v="2018-11-22T00:00:00"/>
    <x v="5"/>
    <x v="5"/>
    <x v="0"/>
    <s v="CANALES DE DISTRIBUCION"/>
    <s v="VIATICOS"/>
    <s v="TRANSACCIONES DEL DIA 11/22/2018SPYRAL - GESTION ADMINISTRATIVA"/>
    <n v="120"/>
    <n v="0"/>
    <s v="NEGOCIOS"/>
    <x v="1"/>
  </r>
  <r>
    <n v="91"/>
    <d v="2018-12-04T00:00:00"/>
    <x v="1"/>
    <x v="1"/>
    <x v="0"/>
    <s v="CANALES DE DISTRIBUCION"/>
    <s v="VIATICOS 2"/>
    <s v="TRANSACCIONES DEL DIA 12/04/2018SPYRAL - GESTION ADMINISTRATIVA"/>
    <n v="150"/>
    <n v="0"/>
    <s v="NEGOCIOS"/>
    <x v="1"/>
  </r>
  <r>
    <n v="91"/>
    <d v="2018-12-05T00:00:00"/>
    <x v="1"/>
    <x v="1"/>
    <x v="0"/>
    <s v="CANALES DE DISTRIBUCION"/>
    <s v="VIATICOS"/>
    <s v="TRANSACCIONES DEL DIA 12/05/2018SPYRAL - GESTION ADMINISTRATIVA"/>
    <n v="80"/>
    <n v="0"/>
    <s v="NEGOCIOS"/>
    <x v="1"/>
  </r>
  <r>
    <n v="91"/>
    <d v="2018-12-06T00:00:00"/>
    <x v="1"/>
    <x v="1"/>
    <x v="0"/>
    <s v="CANALES DE DISTRIBUCION"/>
    <s v="VIATICOS 2"/>
    <s v="TRANSACCIONES DEL DIA 12/06/2018SPYRAL - GESTION ADMINISTRATIVA"/>
    <n v="1026.1199999999999"/>
    <n v="0"/>
    <s v="NEGOCIOS"/>
    <x v="1"/>
  </r>
  <r>
    <n v="91"/>
    <d v="2018-12-07T00:00:00"/>
    <x v="1"/>
    <x v="1"/>
    <x v="0"/>
    <s v="CANALES DE DISTRIBUCION"/>
    <s v="VIATICOS"/>
    <s v="TRANSACCIONES DEL DIA 12/07/2018SPYRAL - GESTION ADMINISTRATIVA"/>
    <n v="362.32"/>
    <n v="0"/>
    <s v="NEGOCIOS"/>
    <x v="1"/>
  </r>
  <r>
    <n v="91"/>
    <d v="2018-12-10T00:00:00"/>
    <x v="1"/>
    <x v="1"/>
    <x v="0"/>
    <s v="CANALES DE DISTRIBUCION"/>
    <s v="VIATICOS 2"/>
    <s v="TRANSACCIONES DEL DIA 12/10/2018SPYRAL - GESTION ADMINISTRATIVA"/>
    <n v="1169.25"/>
    <n v="0"/>
    <s v="NEGOCIOS"/>
    <x v="1"/>
  </r>
  <r>
    <n v="91"/>
    <d v="2018-12-10T00:00:00"/>
    <x v="1"/>
    <x v="1"/>
    <x v="0"/>
    <s v="CANALES DE DISTRIBUCION"/>
    <s v="VIATICOS"/>
    <s v="TRANSACCIONES DEL DIA 12/10/2018SPYRAL - GESTION ADMINISTRATIVA"/>
    <n v="287"/>
    <n v="0"/>
    <s v="NEGOCIOS"/>
    <x v="1"/>
  </r>
  <r>
    <n v="91"/>
    <d v="2018-12-19T00:00:00"/>
    <x v="1"/>
    <x v="1"/>
    <x v="0"/>
    <s v="CANALES DE DISTRIBUCION"/>
    <s v="VIATICOS"/>
    <s v="TRANSACCIONES DEL DIA 12/19/2018SPYRAL - GESTION ADMINISTRATIVA"/>
    <n v="85"/>
    <n v="0"/>
    <s v="NEGOCIOS"/>
    <x v="1"/>
  </r>
  <r>
    <n v="91"/>
    <d v="2018-12-26T00:00:00"/>
    <x v="1"/>
    <x v="1"/>
    <x v="0"/>
    <s v="CANALES DE DISTRIBUCION"/>
    <s v="VIATICOS"/>
    <s v="TRANSACCIONES DEL DIA 12/26/2018SPYRAL - GESTION ADMINISTRATIVA"/>
    <n v="340"/>
    <n v="0"/>
    <s v="NEGOCIOS"/>
    <x v="1"/>
  </r>
  <r>
    <n v="91"/>
    <d v="2018-12-31T00:00:00"/>
    <x v="1"/>
    <x v="1"/>
    <x v="0"/>
    <s v="CANALES DE DISTRIBUCION"/>
    <s v="CIERRE DE ANIO FISCAL"/>
    <s v="CIERRE_DE_CTAS_NOMINALES"/>
    <n v="0"/>
    <n v="27734.080000000002"/>
    <s v="NEGOCIOS"/>
    <x v="1"/>
  </r>
  <r>
    <n v="91"/>
    <d v="2018-08-24T00:00:00"/>
    <x v="3"/>
    <x v="3"/>
    <x v="0"/>
    <s v="ADMINISTRACION DE SUCURSALES"/>
    <s v="VIATICOS"/>
    <s v="TRANSACCIONES DEL DIA 08/24/2018SPYRAL - GESTION ADMINISTRATIVA"/>
    <n v="167.26"/>
    <n v="0"/>
    <s v="NEGOCIOS"/>
    <x v="1"/>
  </r>
  <r>
    <n v="91"/>
    <d v="2018-10-15T00:00:00"/>
    <x v="0"/>
    <x v="0"/>
    <x v="0"/>
    <s v="ADMINISTRACION DE SUCURSALES"/>
    <s v="VIATICOS"/>
    <s v="TRANSACCIONES DEL DIA 10/15/2018SPYRAL - GESTION ADMINISTRATIVA"/>
    <n v="196.71"/>
    <n v="0"/>
    <s v="NEGOCIOS"/>
    <x v="1"/>
  </r>
  <r>
    <n v="91"/>
    <d v="2018-12-31T00:00:00"/>
    <x v="1"/>
    <x v="1"/>
    <x v="0"/>
    <s v="ADMINISTRACION DE SUCURSALES"/>
    <s v="CIERRE DE ANIO FISCAL"/>
    <s v="CIERRE_DE_CTAS_NOMINALES"/>
    <n v="0"/>
    <n v="772.75"/>
    <s v="NEGOCIOS"/>
    <x v="1"/>
  </r>
  <r>
    <n v="91"/>
    <d v="2018-06-25T00:00:00"/>
    <x v="2"/>
    <x v="2"/>
    <x v="0"/>
    <s v="AUTOS"/>
    <s v="VIATICOS"/>
    <s v="TRANSACCIONES DEL DIA 06/25/2018SPYRAL - GESTION ADMINISTRATIVA"/>
    <n v="114.23"/>
    <n v="0"/>
    <s v="NEGOCIOS"/>
    <x v="1"/>
  </r>
  <r>
    <n v="91"/>
    <d v="2018-07-09T00:00:00"/>
    <x v="6"/>
    <x v="6"/>
    <x v="0"/>
    <s v="AUTOS"/>
    <s v="NC VIATICOS"/>
    <s v="TRANSACCIONES DEL DIA 07/09/2018SPYRAL - GESTION ADMINISTRATIVA"/>
    <n v="0"/>
    <n v="114.23"/>
    <s v="NEGOCIOS"/>
    <x v="1"/>
  </r>
  <r>
    <n v="91"/>
    <d v="2018-08-09T00:00:00"/>
    <x v="3"/>
    <x v="3"/>
    <x v="0"/>
    <s v="AUTOS"/>
    <s v="VIATICOS 2"/>
    <s v="TRANSACCIONES DEL DIA 08/09/2018SPYRAL - GESTION ADMINISTRATIVA"/>
    <n v="200.5"/>
    <n v="0"/>
    <s v="NEGOCIOS"/>
    <x v="1"/>
  </r>
  <r>
    <n v="91"/>
    <d v="2018-12-31T00:00:00"/>
    <x v="1"/>
    <x v="1"/>
    <x v="0"/>
    <s v="AUTOS"/>
    <s v="CIERRE DE ANIO FISCAL"/>
    <s v="CIERRE_DE_CTAS_NOMINALES"/>
    <n v="0"/>
    <n v="200.5"/>
    <s v="NEGOCIOS"/>
    <x v="1"/>
  </r>
  <r>
    <n v="91"/>
    <d v="2018-06-07T00:00:00"/>
    <x v="2"/>
    <x v="2"/>
    <x v="0"/>
    <s v="CENTRO DE TARJETAS"/>
    <s v="NC VIATICOS"/>
    <s v="TRANSACCIONES DEL DIA 06/07/2018SPYRAL - GESTION ADMINISTRATIVA"/>
    <n v="1734.36"/>
    <n v="0"/>
    <s v="NEGOCIOS"/>
    <x v="1"/>
  </r>
  <r>
    <n v="91"/>
    <d v="2018-06-11T00:00:00"/>
    <x v="2"/>
    <x v="2"/>
    <x v="0"/>
    <s v="CENTRO DE TARJETAS"/>
    <s v="NC VIATICOS"/>
    <s v="TRANSACCIONES DEL DIA 06/11/2018SPYRAL - GESTION ADMINISTRATIVA"/>
    <n v="1172.83"/>
    <n v="0"/>
    <s v="NEGOCIOS"/>
    <x v="1"/>
  </r>
  <r>
    <n v="91"/>
    <d v="2018-06-13T00:00:00"/>
    <x v="2"/>
    <x v="2"/>
    <x v="0"/>
    <s v="CENTRO DE TARJETAS"/>
    <s v="VIATICOS"/>
    <s v="TRANSACCIONES DEL DIA 06/13/2018SPYRAL - GESTION ADMINISTRATIVA"/>
    <n v="13.25"/>
    <n v="0"/>
    <s v="NEGOCIOS"/>
    <x v="1"/>
  </r>
  <r>
    <n v="91"/>
    <d v="2018-07-03T00:00:00"/>
    <x v="6"/>
    <x v="6"/>
    <x v="0"/>
    <s v="CENTRO DE TARJETAS"/>
    <s v="VIATICOS"/>
    <s v="TRANSACCIONES DEL DIA 07/03/2018SPYRAL - GESTION ADMINISTRATIVA"/>
    <n v="45.35"/>
    <n v="0"/>
    <s v="NEGOCIOS"/>
    <x v="1"/>
  </r>
  <r>
    <n v="91"/>
    <d v="2018-07-04T00:00:00"/>
    <x v="6"/>
    <x v="6"/>
    <x v="0"/>
    <s v="CENTRO DE TARJETAS"/>
    <s v="NC VIATICOS"/>
    <s v="TRANSACCIONES DEL DIA 07/04/2018SPYRAL - GESTION ADMINISTRATIVA"/>
    <n v="1930.91"/>
    <n v="0"/>
    <s v="NEGOCIOS"/>
    <x v="1"/>
  </r>
  <r>
    <n v="91"/>
    <d v="2018-07-09T00:00:00"/>
    <x v="6"/>
    <x v="6"/>
    <x v="0"/>
    <s v="CENTRO DE TARJETAS"/>
    <s v="VIATICOS"/>
    <s v="TRANSACCIONES DEL DIA 07/09/2018SPYRAL - GESTION ADMINISTRATIVA"/>
    <n v="14.1"/>
    <n v="0"/>
    <s v="NEGOCIOS"/>
    <x v="1"/>
  </r>
  <r>
    <n v="91"/>
    <d v="2018-07-30T00:00:00"/>
    <x v="6"/>
    <x v="6"/>
    <x v="0"/>
    <s v="CENTRO DE TARJETAS"/>
    <s v="VIATICOS"/>
    <s v="TRANSACCIONES DEL DIA 07/30/2018SPYRAL - GESTION ADMINISTRATIVA"/>
    <n v="29.4"/>
    <n v="0"/>
    <s v="NEGOCIOS"/>
    <x v="1"/>
  </r>
  <r>
    <n v="91"/>
    <d v="2018-07-30T00:00:00"/>
    <x v="6"/>
    <x v="6"/>
    <x v="0"/>
    <s v="CENTRO DE TARJETAS"/>
    <s v="NC VIATICOS"/>
    <s v="TRANSACCIONES DEL DIA 07/30/2018SPYRAL - GESTION ADMINISTRATIVA"/>
    <n v="0"/>
    <n v="1734.36"/>
    <s v="NEGOCIOS"/>
    <x v="1"/>
  </r>
  <r>
    <n v="91"/>
    <d v="2018-08-02T00:00:00"/>
    <x v="3"/>
    <x v="3"/>
    <x v="0"/>
    <s v="CENTRO DE TARJETAS"/>
    <s v="VIATICOS"/>
    <s v="TRANSACCIONES DEL DIA 08/02/2018SPYRAL - GESTION ADMINISTRATIVA"/>
    <n v="42.9"/>
    <n v="0"/>
    <s v="NEGOCIOS"/>
    <x v="1"/>
  </r>
  <r>
    <n v="91"/>
    <d v="2018-08-07T00:00:00"/>
    <x v="3"/>
    <x v="3"/>
    <x v="0"/>
    <s v="CENTRO DE TARJETAS"/>
    <s v="VIATICOS"/>
    <s v="TRANSACCIONES DEL DIA 08/07/2018SPYRAL - GESTION ADMINISTRATIVA"/>
    <n v="158.69"/>
    <n v="0"/>
    <s v="NEGOCIOS"/>
    <x v="1"/>
  </r>
  <r>
    <n v="91"/>
    <d v="2018-08-09T00:00:00"/>
    <x v="3"/>
    <x v="3"/>
    <x v="0"/>
    <s v="CENTRO DE TARJETAS"/>
    <s v="NC VIATICOS"/>
    <s v="TRANSACCIONES DEL DIA 08/09/2018SPYRAL - GESTION ADMINISTRATIVA"/>
    <n v="1400.56"/>
    <n v="0"/>
    <s v="NEGOCIOS"/>
    <x v="1"/>
  </r>
  <r>
    <n v="91"/>
    <d v="2018-08-29T00:00:00"/>
    <x v="3"/>
    <x v="3"/>
    <x v="0"/>
    <s v="CENTRO DE TARJETAS"/>
    <s v="VIATICOS"/>
    <s v="TRANSACCIONES DEL DIA 08/29/2018SPYRAL - GESTION ADMINISTRATIVA"/>
    <n v="23.4"/>
    <n v="0"/>
    <s v="NEGOCIOS"/>
    <x v="1"/>
  </r>
  <r>
    <n v="91"/>
    <d v="2018-09-08T00:00:00"/>
    <x v="4"/>
    <x v="4"/>
    <x v="0"/>
    <s v="CENTRO DE TARJETAS"/>
    <s v="VIATICOS"/>
    <s v="TRANSACCIONES DEL DIA 09/08/2018SPYRAL - GESTION ADMINISTRATIVA"/>
    <n v="36.15"/>
    <n v="0"/>
    <s v="NEGOCIOS"/>
    <x v="1"/>
  </r>
  <r>
    <n v="91"/>
    <d v="2018-09-11T00:00:00"/>
    <x v="4"/>
    <x v="4"/>
    <x v="0"/>
    <s v="CENTRO DE TARJETAS"/>
    <s v="VIATICOS"/>
    <s v="TRANSACCIONES DEL DIA 09/11/2018SPYRAL - GESTION ADMINISTRATIVA"/>
    <n v="48.3"/>
    <n v="0"/>
    <s v="NEGOCIOS"/>
    <x v="1"/>
  </r>
  <r>
    <n v="91"/>
    <d v="2018-09-14T00:00:00"/>
    <x v="4"/>
    <x v="4"/>
    <x v="0"/>
    <s v="CENTRO DE TARJETAS"/>
    <s v="VIATICOS"/>
    <s v="TRANSACCIONES DEL DIA 09/14/2018SPYRAL - GESTION ADMINISTRATIVA"/>
    <n v="29.6"/>
    <n v="0"/>
    <s v="NEGOCIOS"/>
    <x v="1"/>
  </r>
  <r>
    <n v="91"/>
    <d v="2018-10-02T00:00:00"/>
    <x v="0"/>
    <x v="0"/>
    <x v="0"/>
    <s v="CENTRO DE TARJETAS"/>
    <s v="NC VIATICOS"/>
    <s v="TRANSACCIONES DEL DIA 10/02/2018SPYRAL - GESTION ADMINISTRATIVA"/>
    <n v="237.9"/>
    <n v="0"/>
    <s v="NEGOCIOS"/>
    <x v="1"/>
  </r>
  <r>
    <n v="91"/>
    <d v="2018-11-21T00:00:00"/>
    <x v="5"/>
    <x v="5"/>
    <x v="0"/>
    <s v="CENTRO DE TARJETAS"/>
    <s v="VIATICOS"/>
    <s v="TRANSACCIONES DEL DIA 11/21/2018SPYRAL - GESTION ADMINISTRATIVA"/>
    <n v="27.6"/>
    <n v="0"/>
    <s v="NEGOCIOS"/>
    <x v="1"/>
  </r>
  <r>
    <n v="91"/>
    <d v="2018-11-23T00:00:00"/>
    <x v="5"/>
    <x v="5"/>
    <x v="0"/>
    <s v="CENTRO DE TARJETAS"/>
    <s v="VIATICOS"/>
    <s v="TRANSACCIONES DEL DIA 11/23/2018SPYRAL - GESTION ADMINISTRATIVA"/>
    <n v="33.799999999999997"/>
    <n v="0"/>
    <s v="NEGOCIOS"/>
    <x v="1"/>
  </r>
  <r>
    <n v="91"/>
    <d v="2018-11-24T00:00:00"/>
    <x v="5"/>
    <x v="5"/>
    <x v="0"/>
    <s v="CENTRO DE TARJETAS"/>
    <s v="VIATICOS"/>
    <s v="TRANSACCIONES DEL DIA 11/24/2018SPYRAL - GESTION ADMINISTRATIVA"/>
    <n v="20.5"/>
    <n v="0"/>
    <s v="NEGOCIOS"/>
    <x v="1"/>
  </r>
  <r>
    <n v="91"/>
    <d v="2018-11-29T00:00:00"/>
    <x v="5"/>
    <x v="5"/>
    <x v="0"/>
    <s v="CENTRO DE TARJETAS"/>
    <s v="VIATICOS"/>
    <s v="TRANSACCIONES DEL DIA 11/29/2018SPYRAL - GESTION ADMINISTRATIVA"/>
    <n v="6.3"/>
    <n v="0"/>
    <s v="NEGOCIOS"/>
    <x v="1"/>
  </r>
  <r>
    <n v="91"/>
    <d v="2018-12-04T00:00:00"/>
    <x v="1"/>
    <x v="1"/>
    <x v="0"/>
    <s v="CENTRO DE TARJETAS"/>
    <s v="VIATICOS"/>
    <s v="TRANSACCIONES DEL DIA 12/04/2018SPYRAL - GESTION ADMINISTRATIVA"/>
    <n v="34.299999999999997"/>
    <n v="0"/>
    <s v="NEGOCIOS"/>
    <x v="1"/>
  </r>
  <r>
    <n v="91"/>
    <d v="2018-12-24T00:00:00"/>
    <x v="1"/>
    <x v="1"/>
    <x v="0"/>
    <s v="CENTRO DE TARJETAS"/>
    <s v="NC VIATICOS"/>
    <s v="TRANSACCIONES DEL DIA 12/24/2018SPYRAL - GESTION ADMINISTRATIVA"/>
    <n v="0"/>
    <n v="1400.56"/>
    <s v="NEGOCIOS"/>
    <x v="1"/>
  </r>
  <r>
    <n v="91"/>
    <d v="2018-12-31T00:00:00"/>
    <x v="1"/>
    <x v="1"/>
    <x v="0"/>
    <s v="CENTRO DE TARJETAS"/>
    <s v="CIERRE DE ANIO FISCAL"/>
    <s v="CIERRE_DE_CTAS_NOMINALES"/>
    <n v="0"/>
    <n v="3913.88"/>
    <s v="NEGOCIOS"/>
    <x v="1"/>
  </r>
  <r>
    <n v="91"/>
    <d v="2018-06-15T00:00:00"/>
    <x v="2"/>
    <x v="2"/>
    <x v="0"/>
    <s v="CANALES ALTERNOS"/>
    <s v="VIATICOS"/>
    <s v="TRANSACCIONES DEL DIA 06/15/2018SPYRAL - GESTION ADMINISTRATIVA"/>
    <n v="10.74"/>
    <n v="0"/>
    <s v="NEGOCIOS"/>
    <x v="1"/>
  </r>
  <r>
    <n v="91"/>
    <d v="2018-07-14T00:00:00"/>
    <x v="6"/>
    <x v="6"/>
    <x v="0"/>
    <s v="CANALES ALTERNOS"/>
    <s v="VIATICOS"/>
    <s v="TRANSACCIONES DEL DIA 07/14/2018SPYRAL - GESTION ADMINISTRATIVA"/>
    <n v="35.6"/>
    <n v="0"/>
    <s v="NEGOCIOS"/>
    <x v="1"/>
  </r>
  <r>
    <n v="91"/>
    <d v="2018-08-07T00:00:00"/>
    <x v="3"/>
    <x v="3"/>
    <x v="0"/>
    <s v="CANALES ALTERNOS"/>
    <s v="VIATICOS"/>
    <s v="TRANSACCIONES DEL DIA 08/07/2018SPYRAL - GESTION ADMINISTRATIVA"/>
    <n v="11.02"/>
    <n v="0"/>
    <s v="NEGOCIOS"/>
    <x v="1"/>
  </r>
  <r>
    <n v="91"/>
    <d v="2018-08-23T00:00:00"/>
    <x v="3"/>
    <x v="3"/>
    <x v="0"/>
    <s v="CANALES ALTERNOS"/>
    <s v="VIATICOS"/>
    <s v="TRANSACCIONES DEL DIA 08/23/2018SPYRAL - GESTION ADMINISTRATIVA"/>
    <n v="8.94"/>
    <n v="0"/>
    <s v="NEGOCIOS"/>
    <x v="1"/>
  </r>
  <r>
    <n v="91"/>
    <d v="2018-08-30T00:00:00"/>
    <x v="3"/>
    <x v="3"/>
    <x v="0"/>
    <s v="CANALES ALTERNOS"/>
    <s v="VIATICOS"/>
    <s v="TRANSACCIONES DEL DIA 08/30/2018SPYRAL - GESTION ADMINISTRATIVA"/>
    <n v="10"/>
    <n v="0"/>
    <s v="NEGOCIOS"/>
    <x v="1"/>
  </r>
  <r>
    <n v="91"/>
    <d v="2018-09-11T00:00:00"/>
    <x v="4"/>
    <x v="4"/>
    <x v="0"/>
    <s v="CANALES ALTERNOS"/>
    <s v="VIATICOS 2"/>
    <s v="TRANSACCIONES DEL DIA 09/11/2018SPYRAL - GESTION ADMINISTRATIVA"/>
    <n v="200.5"/>
    <n v="0"/>
    <s v="NEGOCIOS"/>
    <x v="1"/>
  </r>
  <r>
    <n v="91"/>
    <d v="2018-09-21T00:00:00"/>
    <x v="4"/>
    <x v="4"/>
    <x v="0"/>
    <s v="CANALES ALTERNOS"/>
    <s v="VIATICOS"/>
    <s v="TRANSACCIONES DEL DIA 09/21/2018SPYRAL - GESTION ADMINISTRATIVA"/>
    <n v="371"/>
    <n v="0"/>
    <s v="NEGOCIOS"/>
    <x v="1"/>
  </r>
  <r>
    <n v="91"/>
    <d v="2018-09-27T00:00:00"/>
    <x v="4"/>
    <x v="4"/>
    <x v="0"/>
    <s v="CANALES ALTERNOS"/>
    <s v="VIATICOS"/>
    <s v="TRANSACCIONES DEL DIA 09/27/2018SPYRAL - GESTION ADMINISTRATIVA"/>
    <n v="96"/>
    <n v="0"/>
    <s v="NEGOCIOS"/>
    <x v="1"/>
  </r>
  <r>
    <n v="91"/>
    <d v="2018-10-04T00:00:00"/>
    <x v="0"/>
    <x v="0"/>
    <x v="0"/>
    <s v="CANALES ALTERNOS"/>
    <s v="VIATICOS"/>
    <s v="TRANSACCIONES DEL DIA 10/04/2018SPYRAL - GESTION ADMINISTRATIVA"/>
    <n v="134"/>
    <n v="0"/>
    <s v="NEGOCIOS"/>
    <x v="1"/>
  </r>
  <r>
    <n v="91"/>
    <d v="2018-10-05T00:00:00"/>
    <x v="0"/>
    <x v="0"/>
    <x v="0"/>
    <s v="CANALES ALTERNOS"/>
    <s v="VIATICOS"/>
    <s v="TRANSACCIONES DEL DIA 10/05/2018SPYRAL - GESTION ADMINISTRATIVA"/>
    <n v="166"/>
    <n v="0"/>
    <s v="NEGOCIOS"/>
    <x v="1"/>
  </r>
  <r>
    <n v="91"/>
    <d v="2018-10-10T00:00:00"/>
    <x v="0"/>
    <x v="0"/>
    <x v="0"/>
    <s v="CANALES ALTERNOS"/>
    <s v="VIATICOS"/>
    <s v="TRANSACCIONES DEL DIA 10/10/2018SPYRAL - GESTION ADMINISTRATIVA"/>
    <n v="7.14"/>
    <n v="0"/>
    <s v="NEGOCIOS"/>
    <x v="1"/>
  </r>
  <r>
    <n v="91"/>
    <d v="2018-10-11T00:00:00"/>
    <x v="0"/>
    <x v="0"/>
    <x v="0"/>
    <s v="CANALES ALTERNOS"/>
    <s v="VIATICOS"/>
    <s v="TRANSACCIONES DEL DIA 10/11/2018SPYRAL - GESTION ADMINISTRATIVA"/>
    <n v="6.6"/>
    <n v="0"/>
    <s v="NEGOCIOS"/>
    <x v="1"/>
  </r>
  <r>
    <n v="91"/>
    <d v="2018-10-12T00:00:00"/>
    <x v="0"/>
    <x v="0"/>
    <x v="0"/>
    <s v="CANALES ALTERNOS"/>
    <s v="VIATICOS"/>
    <s v="TRANSACCIONES DEL DIA 10/12/2018SPYRAL - GESTION ADMINISTRATIVA"/>
    <n v="166"/>
    <n v="0"/>
    <s v="NEGOCIOS"/>
    <x v="1"/>
  </r>
  <r>
    <n v="91"/>
    <d v="2018-10-17T00:00:00"/>
    <x v="0"/>
    <x v="0"/>
    <x v="0"/>
    <s v="CANALES ALTERNOS"/>
    <s v="VIATICOS"/>
    <s v="TRANSACCIONES DEL DIA 10/17/2018SPYRAL - GESTION ADMINISTRATIVA"/>
    <n v="3.53"/>
    <n v="0"/>
    <s v="NEGOCIOS"/>
    <x v="1"/>
  </r>
  <r>
    <n v="91"/>
    <d v="2018-10-22T00:00:00"/>
    <x v="0"/>
    <x v="0"/>
    <x v="0"/>
    <s v="CANALES ALTERNOS"/>
    <s v="VIATICOS"/>
    <s v="TRANSACCIONES DEL DIA 10/22/2018SPYRAL - GESTION ADMINISTRATIVA"/>
    <n v="16.440000000000001"/>
    <n v="0"/>
    <s v="NEGOCIOS"/>
    <x v="1"/>
  </r>
  <r>
    <n v="91"/>
    <d v="2018-10-27T00:00:00"/>
    <x v="0"/>
    <x v="0"/>
    <x v="0"/>
    <s v="CANALES ALTERNOS"/>
    <s v="VIATICOS"/>
    <s v="TRANSACCIONES DEL DIA 10/27/2018SPYRAL - GESTION ADMINISTRATIVA"/>
    <n v="32"/>
    <n v="0"/>
    <s v="NEGOCIOS"/>
    <x v="1"/>
  </r>
  <r>
    <n v="91"/>
    <d v="2018-11-24T00:00:00"/>
    <x v="5"/>
    <x v="5"/>
    <x v="0"/>
    <s v="CANALES ALTERNOS"/>
    <s v="VIATICOS"/>
    <s v="TRANSACCIONES DEL DIA 11/24/2018SPYRAL - GESTION ADMINISTRATIVA"/>
    <n v="10"/>
    <n v="0"/>
    <s v="NEGOCIOS"/>
    <x v="1"/>
  </r>
  <r>
    <n v="91"/>
    <d v="2018-12-05T00:00:00"/>
    <x v="1"/>
    <x v="1"/>
    <x v="0"/>
    <s v="CANALES ALTERNOS"/>
    <s v="VIATICOS"/>
    <s v="TRANSACCIONES DEL DIA 12/05/2018SPYRAL - GESTION ADMINISTRATIVA"/>
    <n v="175"/>
    <n v="0"/>
    <s v="NEGOCIOS"/>
    <x v="1"/>
  </r>
  <r>
    <n v="91"/>
    <d v="2018-12-13T00:00:00"/>
    <x v="1"/>
    <x v="1"/>
    <x v="0"/>
    <s v="CANALES ALTERNOS"/>
    <s v="VIATICOS"/>
    <s v="TRANSACCIONES DEL DIA 12/13/2018SPYRAL - GESTION ADMINISTRATIVA"/>
    <n v="1.04"/>
    <n v="0"/>
    <s v="NEGOCIOS"/>
    <x v="1"/>
  </r>
  <r>
    <n v="91"/>
    <d v="2018-12-27T00:00:00"/>
    <x v="1"/>
    <x v="1"/>
    <x v="0"/>
    <s v="CANALES ALTERNOS"/>
    <s v="VIATICOS"/>
    <s v="TRANSACCIONES DEL DIA 12/27/2018SPYRAL - GESTION ADMINISTRATIVA"/>
    <n v="26.78"/>
    <n v="0"/>
    <s v="NEGOCIOS"/>
    <x v="1"/>
  </r>
  <r>
    <n v="91"/>
    <d v="2018-12-31T00:00:00"/>
    <x v="1"/>
    <x v="1"/>
    <x v="0"/>
    <s v="CANALES ALTERNOS"/>
    <s v="CIERRE DE ANIO FISCAL"/>
    <s v="CIERRE_DE_CTAS_NOMINALES"/>
    <n v="0"/>
    <n v="1970.01"/>
    <s v="NEGOCIOS"/>
    <x v="1"/>
  </r>
  <r>
    <n v="91"/>
    <d v="2018-06-16T00:00:00"/>
    <x v="2"/>
    <x v="2"/>
    <x v="0"/>
    <s v="TELEMERCADEO"/>
    <s v="NC VIATICOS"/>
    <s v="TRANSACCIONES DEL DIA 06/16/2018SPYRAL - GESTION ADMINISTRATIVA"/>
    <n v="638.95000000000005"/>
    <n v="0"/>
    <s v="NEGOCIOS"/>
    <x v="1"/>
  </r>
  <r>
    <n v="91"/>
    <d v="2018-07-13T00:00:00"/>
    <x v="6"/>
    <x v="6"/>
    <x v="0"/>
    <s v="TELEMERCADEO"/>
    <s v="NC VIATICOS"/>
    <s v="TRANSACCIONES DEL DIA 07/13/2018SPYRAL - GESTION ADMINISTRATIVA"/>
    <n v="805.4"/>
    <n v="0"/>
    <s v="NEGOCIOS"/>
    <x v="1"/>
  </r>
  <r>
    <n v="91"/>
    <d v="2018-07-27T00:00:00"/>
    <x v="6"/>
    <x v="6"/>
    <x v="0"/>
    <s v="TELEMERCADEO"/>
    <s v="VIATICOS"/>
    <s v="TRANSACCIONES DEL DIA 07/27/2018SPYRAL - GESTION ADMINISTRATIVA"/>
    <n v="15.73"/>
    <n v="0"/>
    <s v="NEGOCIOS"/>
    <x v="1"/>
  </r>
  <r>
    <n v="91"/>
    <d v="2018-08-14T00:00:00"/>
    <x v="3"/>
    <x v="3"/>
    <x v="0"/>
    <s v="TELEMERCADEO"/>
    <s v="NC VIATICOS"/>
    <s v="TRANSACCIONES DEL DIA 08/14/2018SPYRAL - GESTION ADMINISTRATIVA"/>
    <n v="677.55"/>
    <n v="0"/>
    <s v="NEGOCIOS"/>
    <x v="1"/>
  </r>
  <r>
    <n v="91"/>
    <d v="2018-09-18T00:00:00"/>
    <x v="4"/>
    <x v="4"/>
    <x v="0"/>
    <s v="TELEMERCADEO"/>
    <s v="NC VIATICOS"/>
    <s v="TRANSACCIONES DEL DIA 09/18/2018SPYRAL - GESTION ADMINISTRATIVA"/>
    <n v="607.75"/>
    <n v="0"/>
    <s v="NEGOCIOS"/>
    <x v="1"/>
  </r>
  <r>
    <n v="91"/>
    <d v="2018-09-25T00:00:00"/>
    <x v="4"/>
    <x v="4"/>
    <x v="0"/>
    <s v="TELEMERCADEO"/>
    <s v="VIATICOS"/>
    <s v="TRANSACCIONES DEL DIA 09/25/2018SPYRAL - GESTION ADMINISTRATIVA"/>
    <n v="10.029999999999999"/>
    <n v="0"/>
    <s v="NEGOCIOS"/>
    <x v="1"/>
  </r>
  <r>
    <n v="91"/>
    <d v="2018-10-04T00:00:00"/>
    <x v="0"/>
    <x v="0"/>
    <x v="0"/>
    <s v="TELEMERCADEO"/>
    <s v="VIATICOS"/>
    <s v="TRANSACCIONES DEL DIA 10/04/2018SPYRAL - GESTION ADMINISTRATIVA"/>
    <n v="6.5"/>
    <n v="0"/>
    <s v="NEGOCIOS"/>
    <x v="1"/>
  </r>
  <r>
    <n v="91"/>
    <d v="2018-10-17T00:00:00"/>
    <x v="0"/>
    <x v="0"/>
    <x v="0"/>
    <s v="TELEMERCADEO"/>
    <s v="NC VIATICOS"/>
    <s v="TRANSACCIONES DEL DIA 10/17/2018SPYRAL - GESTION ADMINISTRATIVA"/>
    <n v="612.1"/>
    <n v="0"/>
    <s v="NEGOCIOS"/>
    <x v="1"/>
  </r>
  <r>
    <n v="91"/>
    <d v="2018-11-20T00:00:00"/>
    <x v="5"/>
    <x v="5"/>
    <x v="0"/>
    <s v="TELEMERCADEO"/>
    <s v="NC VIATICOS"/>
    <s v="TRANSACCIONES DEL DIA 11/20/2018SPYRAL - GESTION ADMINISTRATIVA"/>
    <n v="551.15"/>
    <n v="0"/>
    <s v="NEGOCIOS"/>
    <x v="1"/>
  </r>
  <r>
    <n v="91"/>
    <d v="2018-11-21T00:00:00"/>
    <x v="5"/>
    <x v="5"/>
    <x v="0"/>
    <s v="TELEMERCADEO"/>
    <s v="VIATICOS"/>
    <s v="TRANSACCIONES DEL DIA 11/21/2018SPYRAL - GESTION ADMINISTRATIVA"/>
    <n v="12.6"/>
    <n v="0"/>
    <s v="NEGOCIOS"/>
    <x v="1"/>
  </r>
  <r>
    <n v="91"/>
    <d v="2018-12-07T00:00:00"/>
    <x v="1"/>
    <x v="1"/>
    <x v="0"/>
    <s v="TELEMERCADEO"/>
    <s v="NC VIATICOS"/>
    <s v="TRANSACCIONES DEL DIA 12/07/2018SPYRAL - GESTION ADMINISTRATIVA"/>
    <n v="507.6"/>
    <n v="0"/>
    <s v="NEGOCIOS"/>
    <x v="1"/>
  </r>
  <r>
    <n v="91"/>
    <d v="2018-12-31T00:00:00"/>
    <x v="1"/>
    <x v="1"/>
    <x v="0"/>
    <s v="TELEMERCADEO"/>
    <s v="CIERRE DE ANIO FISCAL"/>
    <s v="CIERRE_DE_CTAS_NOMINALES"/>
    <n v="0"/>
    <n v="6820.24"/>
    <s v="NEGOCIOS"/>
    <x v="1"/>
  </r>
  <r>
    <n v="91"/>
    <d v="2018-07-03T00:00:00"/>
    <x v="6"/>
    <x v="6"/>
    <x v="0"/>
    <s v="BANCA EN LINEA"/>
    <s v="VIATICOS"/>
    <s v="TRANSACCIONES DEL DIA 07/03/2018SPYRAL - GESTION ADMINISTRATIVA"/>
    <n v="77.8"/>
    <n v="0"/>
    <s v="NEGOCIOS"/>
    <x v="1"/>
  </r>
  <r>
    <n v="91"/>
    <d v="2018-07-04T00:00:00"/>
    <x v="6"/>
    <x v="6"/>
    <x v="0"/>
    <s v="BANCA EN LINEA"/>
    <s v="VIATICOS"/>
    <s v="TRANSACCIONES DEL DIA 07/04/2018SPYRAL - GESTION ADMINISTRATIVA"/>
    <n v="122.2"/>
    <n v="0"/>
    <s v="NEGOCIOS"/>
    <x v="1"/>
  </r>
  <r>
    <n v="91"/>
    <d v="2018-07-23T00:00:00"/>
    <x v="6"/>
    <x v="6"/>
    <x v="0"/>
    <s v="BANCA EN LINEA"/>
    <s v="VIATICOS"/>
    <s v="TRANSACCIONES DEL DIA 07/23/2018SPYRAL - GESTION ADMINISTRATIVA"/>
    <n v="370.5"/>
    <n v="0"/>
    <s v="NEGOCIOS"/>
    <x v="1"/>
  </r>
  <r>
    <n v="91"/>
    <d v="2018-07-26T00:00:00"/>
    <x v="6"/>
    <x v="6"/>
    <x v="0"/>
    <s v="BANCA EN LINEA"/>
    <s v="VIATICOS"/>
    <s v="TRANSACCIONES DEL DIA 07/26/2018SPYRAL - GESTION ADMINISTRATIVA"/>
    <n v="39.200000000000003"/>
    <n v="0"/>
    <s v="NEGOCIOS"/>
    <x v="1"/>
  </r>
  <r>
    <n v="91"/>
    <d v="2018-08-11T00:00:00"/>
    <x v="3"/>
    <x v="3"/>
    <x v="0"/>
    <s v="BANCA EN LINEA"/>
    <s v="VIATICOS"/>
    <s v="TRANSACCIONES DEL DIA 08/11/2018SPYRAL - GESTION ADMINISTRATIVA"/>
    <n v="62"/>
    <n v="0"/>
    <s v="NEGOCIOS"/>
    <x v="1"/>
  </r>
  <r>
    <n v="91"/>
    <d v="2018-08-13T00:00:00"/>
    <x v="3"/>
    <x v="3"/>
    <x v="0"/>
    <s v="BANCA EN LINEA"/>
    <s v="VIATICOS"/>
    <s v="TRANSACCIONES DEL DIA 08/13/2018SPYRAL - GESTION ADMINISTRATIVA"/>
    <n v="22.58"/>
    <n v="0"/>
    <s v="NEGOCIOS"/>
    <x v="1"/>
  </r>
  <r>
    <n v="91"/>
    <d v="2018-08-14T00:00:00"/>
    <x v="3"/>
    <x v="3"/>
    <x v="0"/>
    <s v="BANCA EN LINEA"/>
    <s v="VIATICOS"/>
    <s v="TRANSACCIONES DEL DIA 08/14/2018SPYRAL - GESTION ADMINISTRATIVA"/>
    <n v="15.65"/>
    <n v="0"/>
    <s v="NEGOCIOS"/>
    <x v="1"/>
  </r>
  <r>
    <n v="91"/>
    <d v="2018-12-31T00:00:00"/>
    <x v="1"/>
    <x v="1"/>
    <x v="0"/>
    <s v="BANCA EN LINEA"/>
    <s v="CIERRE DE ANIO FISCAL"/>
    <s v="CIERRE_DE_CTAS_NOMINALES"/>
    <n v="0"/>
    <n v="2223.9299999999998"/>
    <s v="NEGOCIOS"/>
    <x v="1"/>
  </r>
  <r>
    <n v="91"/>
    <d v="2018-06-01T00:00:00"/>
    <x v="2"/>
    <x v="2"/>
    <x v="0"/>
    <s v="ATM"/>
    <s v="VIATICOS"/>
    <s v="TRANSACCIONES DEL DIA 06/01/2018SPYRAL - GESTION ADMINISTRATIVA"/>
    <n v="10"/>
    <n v="0"/>
    <s v="NEGOCIOS"/>
    <x v="1"/>
  </r>
  <r>
    <n v="91"/>
    <d v="2018-06-02T00:00:00"/>
    <x v="2"/>
    <x v="2"/>
    <x v="0"/>
    <s v="ATM"/>
    <s v="VIATICOS"/>
    <s v="TRANSACCIONES DEL DIA 06/02/2018SPYRAL - GESTION ADMINISTRATIVA"/>
    <n v="10"/>
    <n v="0"/>
    <s v="NEGOCIOS"/>
    <x v="1"/>
  </r>
  <r>
    <n v="91"/>
    <d v="2018-06-07T00:00:00"/>
    <x v="2"/>
    <x v="2"/>
    <x v="0"/>
    <s v="ATM"/>
    <s v="VIATICOS 2"/>
    <s v="TRANSACCIONES DEL DIA 06/07/2018SPYRAL - GESTION ADMINISTRATIVA"/>
    <n v="205.8"/>
    <n v="0"/>
    <s v="NEGOCIOS"/>
    <x v="1"/>
  </r>
  <r>
    <n v="91"/>
    <d v="2018-06-08T00:00:00"/>
    <x v="2"/>
    <x v="2"/>
    <x v="0"/>
    <s v="ATM"/>
    <s v="VIATICOS"/>
    <s v="TRANSACCIONES DEL DIA 06/08/2018SPYRAL - GESTION ADMINISTRATIVA"/>
    <n v="22.92"/>
    <n v="0"/>
    <s v="NEGOCIOS"/>
    <x v="1"/>
  </r>
  <r>
    <n v="91"/>
    <d v="2018-06-11T00:00:00"/>
    <x v="2"/>
    <x v="2"/>
    <x v="0"/>
    <s v="ATM"/>
    <s v="VIATICOS"/>
    <s v="TRANSACCIONES DEL DIA 06/11/2018SPYRAL - GESTION ADMINISTRATIVA"/>
    <n v="10"/>
    <n v="0"/>
    <s v="NEGOCIOS"/>
    <x v="1"/>
  </r>
  <r>
    <n v="91"/>
    <d v="2018-06-12T00:00:00"/>
    <x v="2"/>
    <x v="2"/>
    <x v="0"/>
    <s v="ATM"/>
    <s v="VIATICOS"/>
    <s v="TRANSACCIONES DEL DIA 06/12/2018SPYRAL - GESTION ADMINISTRATIVA"/>
    <n v="22"/>
    <n v="0"/>
    <s v="NEGOCIOS"/>
    <x v="1"/>
  </r>
  <r>
    <n v="91"/>
    <d v="2018-06-13T00:00:00"/>
    <x v="2"/>
    <x v="2"/>
    <x v="0"/>
    <s v="ATM"/>
    <s v="VIATICOS"/>
    <s v="TRANSACCIONES DEL DIA 06/13/2018SPYRAL - GESTION ADMINISTRATIVA"/>
    <n v="27.05"/>
    <n v="0"/>
    <s v="NEGOCIOS"/>
    <x v="1"/>
  </r>
  <r>
    <n v="91"/>
    <d v="2018-06-14T00:00:00"/>
    <x v="2"/>
    <x v="2"/>
    <x v="0"/>
    <s v="ATM"/>
    <s v="VIATICOS"/>
    <s v="TRANSACCIONES DEL DIA 06/14/2018SPYRAL - GESTION ADMINISTRATIVA"/>
    <n v="5"/>
    <n v="0"/>
    <s v="NEGOCIOS"/>
    <x v="1"/>
  </r>
  <r>
    <n v="91"/>
    <d v="2018-06-20T00:00:00"/>
    <x v="2"/>
    <x v="2"/>
    <x v="0"/>
    <s v="ATM"/>
    <s v="VIATICOS"/>
    <s v="TRANSACCIONES DEL DIA 06/20/2018SPYRAL - GESTION ADMINISTRATIVA"/>
    <n v="9.43"/>
    <n v="0"/>
    <s v="NEGOCIOS"/>
    <x v="1"/>
  </r>
  <r>
    <n v="91"/>
    <d v="2018-06-21T00:00:00"/>
    <x v="2"/>
    <x v="2"/>
    <x v="0"/>
    <s v="ATM"/>
    <s v="VIATICOS"/>
    <s v="TRANSACCIONES DEL DIA 06/21/2018SPYRAL - GESTION ADMINISTRATIVA"/>
    <n v="22"/>
    <n v="0"/>
    <s v="NEGOCIOS"/>
    <x v="1"/>
  </r>
  <r>
    <n v="91"/>
    <d v="2018-06-22T00:00:00"/>
    <x v="2"/>
    <x v="2"/>
    <x v="0"/>
    <s v="ATM"/>
    <s v="VIATICOS"/>
    <s v="TRANSACCIONES DEL DIA 06/22/2018SPYRAL - GESTION ADMINISTRATIVA"/>
    <n v="139.4"/>
    <n v="0"/>
    <s v="NEGOCIOS"/>
    <x v="1"/>
  </r>
  <r>
    <n v="91"/>
    <d v="2018-06-26T00:00:00"/>
    <x v="2"/>
    <x v="2"/>
    <x v="0"/>
    <s v="ATM"/>
    <s v="VIATICOS"/>
    <s v="TRANSACCIONES DEL DIA 06/26/2018SPYRAL - GESTION ADMINISTRATIVA"/>
    <n v="96.21"/>
    <n v="0"/>
    <s v="NEGOCIOS"/>
    <x v="1"/>
  </r>
  <r>
    <n v="91"/>
    <d v="2018-06-28T00:00:00"/>
    <x v="2"/>
    <x v="2"/>
    <x v="0"/>
    <s v="ATM"/>
    <s v="VIATICOS"/>
    <s v="TRANSACCIONES DEL DIA 06/28/2018SPYRAL - GESTION ADMINISTRATIVA"/>
    <n v="10"/>
    <n v="0"/>
    <s v="NEGOCIOS"/>
    <x v="1"/>
  </r>
  <r>
    <n v="91"/>
    <d v="2018-07-03T00:00:00"/>
    <x v="6"/>
    <x v="6"/>
    <x v="0"/>
    <s v="ATM"/>
    <s v="VIATICOS"/>
    <s v="TRANSACCIONES DEL DIA 07/03/2018SPYRAL - GESTION ADMINISTRATIVA"/>
    <n v="14.6"/>
    <n v="0"/>
    <s v="NEGOCIOS"/>
    <x v="1"/>
  </r>
  <r>
    <n v="91"/>
    <d v="2018-07-06T00:00:00"/>
    <x v="6"/>
    <x v="6"/>
    <x v="0"/>
    <s v="ATM"/>
    <s v="VIATICOS"/>
    <s v="TRANSACCIONES DEL DIA 07/06/2018SPYRAL - GESTION ADMINISTRATIVA"/>
    <n v="19.239999999999998"/>
    <n v="0"/>
    <s v="NEGOCIOS"/>
    <x v="1"/>
  </r>
  <r>
    <n v="91"/>
    <d v="2018-07-12T00:00:00"/>
    <x v="6"/>
    <x v="6"/>
    <x v="0"/>
    <s v="ATM"/>
    <s v="VIATICOS"/>
    <s v="TRANSACCIONES DEL DIA 07/12/2018SPYRAL - GESTION ADMINISTRATIVA"/>
    <n v="15"/>
    <n v="0"/>
    <s v="NEGOCIOS"/>
    <x v="1"/>
  </r>
  <r>
    <n v="91"/>
    <d v="2018-07-13T00:00:00"/>
    <x v="6"/>
    <x v="6"/>
    <x v="0"/>
    <s v="ATM"/>
    <s v="VIATICOS"/>
    <s v="TRANSACCIONES DEL DIA 07/13/2018SPYRAL - GESTION ADMINISTRATIVA"/>
    <n v="10"/>
    <n v="0"/>
    <s v="NEGOCIOS"/>
    <x v="1"/>
  </r>
  <r>
    <n v="91"/>
    <d v="2018-07-13T00:00:00"/>
    <x v="6"/>
    <x v="6"/>
    <x v="0"/>
    <s v="ATM"/>
    <s v="NC VIATICOS"/>
    <s v="TRANSACCIONES DEL DIA 07/13/2018SPYRAL - GESTION ADMINISTRATIVA"/>
    <n v="63.8"/>
    <n v="0"/>
    <s v="NEGOCIOS"/>
    <x v="1"/>
  </r>
  <r>
    <n v="91"/>
    <d v="2018-07-14T00:00:00"/>
    <x v="6"/>
    <x v="6"/>
    <x v="0"/>
    <s v="ATM"/>
    <s v="VIATICOS"/>
    <s v="TRANSACCIONES DEL DIA 07/14/2018SPYRAL - GESTION ADMINISTRATIVA"/>
    <n v="2.25"/>
    <n v="0"/>
    <s v="NEGOCIOS"/>
    <x v="1"/>
  </r>
  <r>
    <n v="91"/>
    <d v="2018-07-20T00:00:00"/>
    <x v="6"/>
    <x v="6"/>
    <x v="0"/>
    <s v="ATM"/>
    <s v="VIATICOS"/>
    <s v="TRANSACCIONES DEL DIA 07/20/2018SPYRAL - GESTION ADMINISTRATIVA"/>
    <n v="30"/>
    <n v="0"/>
    <s v="NEGOCIOS"/>
    <x v="1"/>
  </r>
  <r>
    <n v="91"/>
    <d v="2018-07-28T00:00:00"/>
    <x v="6"/>
    <x v="6"/>
    <x v="0"/>
    <s v="ATM"/>
    <s v="VIATICOS"/>
    <s v="TRANSACCIONES DEL DIA 07/28/2018SPYRAL - GESTION ADMINISTRATIVA"/>
    <n v="5"/>
    <n v="0"/>
    <s v="NEGOCIOS"/>
    <x v="1"/>
  </r>
  <r>
    <n v="91"/>
    <d v="2018-08-09T00:00:00"/>
    <x v="3"/>
    <x v="3"/>
    <x v="0"/>
    <s v="ATM"/>
    <s v="VIATICOS"/>
    <s v="TRANSACCIONES DEL DIA 08/09/2018SPYRAL - GESTION ADMINISTRATIVA"/>
    <n v="10"/>
    <n v="0"/>
    <s v="NEGOCIOS"/>
    <x v="1"/>
  </r>
  <r>
    <n v="91"/>
    <d v="2018-08-09T00:00:00"/>
    <x v="3"/>
    <x v="3"/>
    <x v="0"/>
    <s v="ATM"/>
    <s v="VIATICOS 2"/>
    <s v="TRANSACCIONES DEL DIA 08/09/2018SPYRAL - GESTION ADMINISTRATIVA"/>
    <n v="185.5"/>
    <n v="0"/>
    <s v="NEGOCIOS"/>
    <x v="1"/>
  </r>
  <r>
    <n v="91"/>
    <d v="2018-08-14T00:00:00"/>
    <x v="3"/>
    <x v="3"/>
    <x v="0"/>
    <s v="ATM"/>
    <s v="NC VIATICOS"/>
    <s v="TRANSACCIONES DEL DIA 08/14/2018SPYRAL - GESTION ADMINISTRATIVA"/>
    <n v="232.15"/>
    <n v="0"/>
    <s v="NEGOCIOS"/>
    <x v="1"/>
  </r>
  <r>
    <n v="91"/>
    <d v="2018-08-22T00:00:00"/>
    <x v="3"/>
    <x v="3"/>
    <x v="0"/>
    <s v="ATM"/>
    <s v="VIATICOS"/>
    <s v="TRANSACCIONES DEL DIA 08/22/2018SPYRAL - GESTION ADMINISTRATIVA"/>
    <n v="10"/>
    <n v="0"/>
    <s v="NEGOCIOS"/>
    <x v="1"/>
  </r>
  <r>
    <n v="91"/>
    <d v="2018-08-22T00:00:00"/>
    <x v="3"/>
    <x v="3"/>
    <x v="0"/>
    <s v="ATM"/>
    <s v="VIATICOS 2"/>
    <s v="TRANSACCIONES DEL DIA 08/22/2018SPYRAL - GESTION ADMINISTRATIVA"/>
    <n v="85"/>
    <n v="0"/>
    <s v="NEGOCIOS"/>
    <x v="1"/>
  </r>
  <r>
    <n v="91"/>
    <d v="2018-08-24T00:00:00"/>
    <x v="3"/>
    <x v="3"/>
    <x v="0"/>
    <s v="ATM"/>
    <s v="VIATICOS"/>
    <s v="TRANSACCIONES DEL DIA 08/24/2018SPYRAL - GESTION ADMINISTRATIVA"/>
    <n v="34.33"/>
    <n v="0"/>
    <s v="NEGOCIOS"/>
    <x v="1"/>
  </r>
  <r>
    <n v="91"/>
    <d v="2018-09-06T00:00:00"/>
    <x v="4"/>
    <x v="4"/>
    <x v="0"/>
    <s v="ATM"/>
    <s v="VIATICOS"/>
    <s v="TRANSACCIONES DEL DIA 09/06/2018SPYRAL - GESTION ADMINISTRATIVA"/>
    <n v="1.57"/>
    <n v="0"/>
    <s v="NEGOCIOS"/>
    <x v="1"/>
  </r>
  <r>
    <n v="91"/>
    <d v="2018-09-07T00:00:00"/>
    <x v="4"/>
    <x v="4"/>
    <x v="0"/>
    <s v="ATM"/>
    <s v="VIATICOS"/>
    <s v="TRANSACCIONES DEL DIA 09/07/2018SPYRAL - GESTION ADMINISTRATIVA"/>
    <n v="24.6"/>
    <n v="0"/>
    <s v="NEGOCIOS"/>
    <x v="1"/>
  </r>
  <r>
    <n v="91"/>
    <d v="2018-09-11T00:00:00"/>
    <x v="4"/>
    <x v="4"/>
    <x v="0"/>
    <s v="ATM"/>
    <s v="VIATICOS"/>
    <s v="TRANSACCIONES DEL DIA 09/11/2018SPYRAL - GESTION ADMINISTRATIVA"/>
    <n v="12.45"/>
    <n v="0"/>
    <s v="NEGOCIOS"/>
    <x v="1"/>
  </r>
  <r>
    <n v="91"/>
    <d v="2018-09-17T00:00:00"/>
    <x v="4"/>
    <x v="4"/>
    <x v="0"/>
    <s v="ATM"/>
    <s v="VIATICOS"/>
    <s v="TRANSACCIONES DEL DIA 09/17/2018SPYRAL - GESTION ADMINISTRATIVA"/>
    <n v="106"/>
    <n v="0"/>
    <s v="NEGOCIOS"/>
    <x v="1"/>
  </r>
  <r>
    <n v="91"/>
    <d v="2018-09-18T00:00:00"/>
    <x v="4"/>
    <x v="4"/>
    <x v="0"/>
    <s v="ATM"/>
    <s v="NC VIATICOS"/>
    <s v="TRANSACCIONES DEL DIA 09/18/2018SPYRAL - GESTION ADMINISTRATIVA"/>
    <n v="232.5"/>
    <n v="0"/>
    <s v="NEGOCIOS"/>
    <x v="1"/>
  </r>
  <r>
    <n v="91"/>
    <d v="2018-09-19T00:00:00"/>
    <x v="4"/>
    <x v="4"/>
    <x v="0"/>
    <s v="ATM"/>
    <s v="VIATICOS"/>
    <s v="TRANSACCIONES DEL DIA 09/19/2018SPYRAL - GESTION ADMINISTRATIVA"/>
    <n v="24.6"/>
    <n v="0"/>
    <s v="NEGOCIOS"/>
    <x v="1"/>
  </r>
  <r>
    <n v="91"/>
    <d v="2018-10-01T00:00:00"/>
    <x v="0"/>
    <x v="0"/>
    <x v="0"/>
    <s v="ATM"/>
    <s v="VIATICOS"/>
    <s v="TRANSACCIONES DEL DIA 10/01/2018SPYRAL - GESTION ADMINISTRATIVA"/>
    <n v="44.35"/>
    <n v="0"/>
    <s v="NEGOCIOS"/>
    <x v="1"/>
  </r>
  <r>
    <n v="91"/>
    <d v="2018-10-02T00:00:00"/>
    <x v="0"/>
    <x v="0"/>
    <x v="0"/>
    <s v="ATM"/>
    <s v="VIATICOS"/>
    <s v="TRANSACCIONES DEL DIA 10/02/2018SPYRAL - GESTION ADMINISTRATIVA"/>
    <n v="24.6"/>
    <n v="0"/>
    <s v="NEGOCIOS"/>
    <x v="1"/>
  </r>
  <r>
    <n v="91"/>
    <d v="2018-10-03T00:00:00"/>
    <x v="0"/>
    <x v="0"/>
    <x v="0"/>
    <s v="ATM"/>
    <s v="VIATICOS"/>
    <s v="TRANSACCIONES DEL DIA 10/03/2018SPYRAL - GESTION ADMINISTRATIVA"/>
    <n v="10"/>
    <n v="0"/>
    <s v="NEGOCIOS"/>
    <x v="1"/>
  </r>
  <r>
    <n v="91"/>
    <d v="2018-10-08T00:00:00"/>
    <x v="0"/>
    <x v="0"/>
    <x v="0"/>
    <s v="ATM"/>
    <s v="VIATICOS"/>
    <s v="TRANSACCIONES DEL DIA 10/08/2018SPYRAL - GESTION ADMINISTRATIVA"/>
    <n v="10"/>
    <n v="0"/>
    <s v="NEGOCIOS"/>
    <x v="1"/>
  </r>
  <r>
    <n v="91"/>
    <d v="2018-10-12T00:00:00"/>
    <x v="0"/>
    <x v="0"/>
    <x v="0"/>
    <s v="ATM"/>
    <s v="VIATICOS"/>
    <s v="TRANSACCIONES DEL DIA 10/12/2018SPYRAL - GESTION ADMINISTRATIVA"/>
    <n v="10"/>
    <n v="0"/>
    <s v="NEGOCIOS"/>
    <x v="1"/>
  </r>
  <r>
    <n v="91"/>
    <d v="2018-10-15T00:00:00"/>
    <x v="0"/>
    <x v="0"/>
    <x v="0"/>
    <s v="ATM"/>
    <s v="VIATICOS"/>
    <s v="TRANSACCIONES DEL DIA 10/15/2018SPYRAL - GESTION ADMINISTRATIVA"/>
    <n v="70.23"/>
    <n v="0"/>
    <s v="NEGOCIOS"/>
    <x v="1"/>
  </r>
  <r>
    <n v="91"/>
    <d v="2018-10-17T00:00:00"/>
    <x v="0"/>
    <x v="0"/>
    <x v="0"/>
    <s v="ATM"/>
    <s v="NC VIATICOS"/>
    <s v="TRANSACCIONES DEL DIA 10/17/2018SPYRAL - GESTION ADMINISTRATIVA"/>
    <n v="222.6"/>
    <n v="0"/>
    <s v="NEGOCIOS"/>
    <x v="1"/>
  </r>
  <r>
    <n v="91"/>
    <d v="2018-10-19T00:00:00"/>
    <x v="0"/>
    <x v="0"/>
    <x v="0"/>
    <s v="ATM"/>
    <s v="VIATICOS"/>
    <s v="TRANSACCIONES DEL DIA 10/19/2018SPYRAL - GESTION ADMINISTRATIVA"/>
    <n v="10"/>
    <n v="0"/>
    <s v="NEGOCIOS"/>
    <x v="1"/>
  </r>
  <r>
    <n v="91"/>
    <d v="2018-10-24T00:00:00"/>
    <x v="0"/>
    <x v="0"/>
    <x v="0"/>
    <s v="ATM"/>
    <s v="VIATICOS"/>
    <s v="TRANSACCIONES DEL DIA 10/24/2018SPYRAL - GESTION ADMINISTRATIVA"/>
    <n v="17"/>
    <n v="0"/>
    <s v="NEGOCIOS"/>
    <x v="1"/>
  </r>
  <r>
    <n v="91"/>
    <d v="2018-10-26T00:00:00"/>
    <x v="0"/>
    <x v="0"/>
    <x v="0"/>
    <s v="ATM"/>
    <s v="VIATICOS"/>
    <s v="TRANSACCIONES DEL DIA 10/26/2018SPYRAL - GESTION ADMINISTRATIVA"/>
    <n v="24.6"/>
    <n v="0"/>
    <s v="NEGOCIOS"/>
    <x v="1"/>
  </r>
  <r>
    <n v="91"/>
    <d v="2018-11-01T00:00:00"/>
    <x v="5"/>
    <x v="5"/>
    <x v="0"/>
    <s v="ATM"/>
    <s v="VIATICOS"/>
    <s v="TRANSACCIONES DEL DIA 11/01/2018SPYRAL - GESTION ADMINISTRATIVA"/>
    <n v="5.35"/>
    <n v="0"/>
    <s v="NEGOCIOS"/>
    <x v="1"/>
  </r>
  <r>
    <n v="91"/>
    <d v="2018-11-02T00:00:00"/>
    <x v="5"/>
    <x v="5"/>
    <x v="0"/>
    <s v="ATM"/>
    <s v="VIATICOS"/>
    <s v="TRANSACCIONES DEL DIA 11/02/2018SPYRAL - GESTION ADMINISTRATIVA"/>
    <n v="5.79"/>
    <n v="0"/>
    <s v="NEGOCIOS"/>
    <x v="1"/>
  </r>
  <r>
    <n v="91"/>
    <d v="2018-11-09T00:00:00"/>
    <x v="5"/>
    <x v="5"/>
    <x v="0"/>
    <s v="ATM"/>
    <s v="VIATICOS"/>
    <s v="TRANSACCIONES DEL DIA 11/09/2018SPYRAL - GESTION ADMINISTRATIVA"/>
    <n v="10"/>
    <n v="0"/>
    <s v="NEGOCIOS"/>
    <x v="1"/>
  </r>
  <r>
    <n v="91"/>
    <d v="2018-11-16T00:00:00"/>
    <x v="5"/>
    <x v="5"/>
    <x v="0"/>
    <s v="ATM"/>
    <s v="VIATICOS"/>
    <s v="TRANSACCIONES DEL DIA 11/16/2018SPYRAL - GESTION ADMINISTRATIVA"/>
    <n v="137.44"/>
    <n v="0"/>
    <s v="NEGOCIOS"/>
    <x v="1"/>
  </r>
  <r>
    <n v="91"/>
    <d v="2018-11-20T00:00:00"/>
    <x v="5"/>
    <x v="5"/>
    <x v="0"/>
    <s v="ATM"/>
    <s v="VIATICOS"/>
    <s v="TRANSACCIONES DEL DIA 11/20/2018SPYRAL - GESTION ADMINISTRATIVA"/>
    <n v="22"/>
    <n v="0"/>
    <s v="NEGOCIOS"/>
    <x v="1"/>
  </r>
  <r>
    <n v="91"/>
    <d v="2018-11-20T00:00:00"/>
    <x v="5"/>
    <x v="5"/>
    <x v="0"/>
    <s v="ATM"/>
    <s v="NC VIATICOS"/>
    <s v="TRANSACCIONES DEL DIA 11/20/2018SPYRAL - GESTION ADMINISTRATIVA"/>
    <n v="208.6"/>
    <n v="0"/>
    <s v="NEGOCIOS"/>
    <x v="1"/>
  </r>
  <r>
    <n v="91"/>
    <d v="2018-11-23T00:00:00"/>
    <x v="5"/>
    <x v="5"/>
    <x v="0"/>
    <s v="ATM"/>
    <s v="VIATICOS"/>
    <s v="TRANSACCIONES DEL DIA 11/23/2018SPYRAL - GESTION ADMINISTRATIVA"/>
    <n v="10"/>
    <n v="0"/>
    <s v="NEGOCIOS"/>
    <x v="1"/>
  </r>
  <r>
    <n v="91"/>
    <d v="2018-11-30T00:00:00"/>
    <x v="5"/>
    <x v="5"/>
    <x v="0"/>
    <s v="ATM"/>
    <s v="VIATICOS"/>
    <s v="TRANSACCIONES DEL DIA 11/30/2018SPYRAL - GESTION ADMINISTRATIVA"/>
    <n v="71.7"/>
    <n v="0"/>
    <s v="NEGOCIOS"/>
    <x v="1"/>
  </r>
  <r>
    <n v="91"/>
    <d v="2018-12-04T00:00:00"/>
    <x v="1"/>
    <x v="1"/>
    <x v="0"/>
    <s v="ATM"/>
    <s v="VIATICOS"/>
    <s v="TRANSACCIONES DEL DIA 12/04/2018SPYRAL - GESTION ADMINISTRATIVA"/>
    <n v="42"/>
    <n v="0"/>
    <s v="NEGOCIOS"/>
    <x v="1"/>
  </r>
  <r>
    <n v="91"/>
    <d v="2018-12-05T00:00:00"/>
    <x v="1"/>
    <x v="1"/>
    <x v="0"/>
    <s v="ATM"/>
    <s v="VIATICOS"/>
    <s v="TRANSACCIONES DEL DIA 12/05/2018SPYRAL - GESTION ADMINISTRATIVA"/>
    <n v="111.6"/>
    <n v="0"/>
    <s v="NEGOCIOS"/>
    <x v="1"/>
  </r>
  <r>
    <n v="91"/>
    <d v="2018-12-07T00:00:00"/>
    <x v="1"/>
    <x v="1"/>
    <x v="0"/>
    <s v="ATM"/>
    <s v="NC VIATICOS"/>
    <s v="TRANSACCIONES DEL DIA 12/07/2018SPYRAL - GESTION ADMINISTRATIVA"/>
    <n v="324.14999999999998"/>
    <n v="0"/>
    <s v="NEGOCIOS"/>
    <x v="1"/>
  </r>
  <r>
    <n v="91"/>
    <d v="2018-12-13T00:00:00"/>
    <x v="1"/>
    <x v="1"/>
    <x v="0"/>
    <s v="ATM"/>
    <s v="VIATICOS"/>
    <s v="TRANSACCIONES DEL DIA 12/13/2018SPYRAL - GESTION ADMINISTRATIVA"/>
    <n v="34.6"/>
    <n v="0"/>
    <s v="NEGOCIOS"/>
    <x v="1"/>
  </r>
  <r>
    <n v="91"/>
    <d v="2018-12-18T00:00:00"/>
    <x v="1"/>
    <x v="1"/>
    <x v="0"/>
    <s v="ATM"/>
    <s v="VIATICOS"/>
    <s v="TRANSACCIONES DEL DIA 12/18/2018SPYRAL - GESTION ADMINISTRATIVA"/>
    <n v="5.2"/>
    <n v="0"/>
    <s v="NEGOCIOS"/>
    <x v="1"/>
  </r>
  <r>
    <n v="91"/>
    <d v="2018-12-19T00:00:00"/>
    <x v="1"/>
    <x v="1"/>
    <x v="0"/>
    <s v="ATM"/>
    <s v="VIATICOS"/>
    <s v="TRANSACCIONES DEL DIA 12/19/2018SPYRAL - GESTION ADMINISTRATIVA"/>
    <n v="14.6"/>
    <n v="0"/>
    <s v="NEGOCIOS"/>
    <x v="1"/>
  </r>
  <r>
    <n v="91"/>
    <d v="2018-12-21T00:00:00"/>
    <x v="1"/>
    <x v="1"/>
    <x v="0"/>
    <s v="ATM"/>
    <s v="VIATICOS"/>
    <s v="TRANSACCIONES DEL DIA 12/21/2018SPYRAL - GESTION ADMINISTRATIVA"/>
    <n v="14.6"/>
    <n v="0"/>
    <s v="NEGOCIOS"/>
    <x v="1"/>
  </r>
  <r>
    <n v="91"/>
    <d v="2018-12-22T00:00:00"/>
    <x v="1"/>
    <x v="1"/>
    <x v="0"/>
    <s v="ATM"/>
    <s v="VIATICOS"/>
    <s v="TRANSACCIONES DEL DIA 12/22/2018SPYRAL - GESTION ADMINISTRATIVA"/>
    <n v="10"/>
    <n v="0"/>
    <s v="NEGOCIOS"/>
    <x v="1"/>
  </r>
  <r>
    <n v="91"/>
    <d v="2018-12-31T00:00:00"/>
    <x v="1"/>
    <x v="1"/>
    <x v="0"/>
    <s v="ATM"/>
    <s v="CIERRE DE ANIO FISCAL"/>
    <s v="CIERRE_DE_CTAS_NOMINALES"/>
    <n v="0"/>
    <n v="6113.41"/>
    <s v="NEGOCIOS"/>
    <x v="1"/>
  </r>
  <r>
    <n v="91"/>
    <d v="2018-06-02T00:00:00"/>
    <x v="2"/>
    <x v="2"/>
    <x v="0"/>
    <s v="ATENCION A CLIENTES"/>
    <s v="VIATICOS"/>
    <s v="TRANSACCIONES DEL DIA 06/02/2018SPYRAL - GESTION ADMINISTRATIVA"/>
    <n v="4.87"/>
    <n v="0"/>
    <s v="NEGOCIOS"/>
    <x v="1"/>
  </r>
  <r>
    <n v="91"/>
    <d v="2018-06-11T00:00:00"/>
    <x v="2"/>
    <x v="2"/>
    <x v="0"/>
    <s v="ATENCION A CLIENTES"/>
    <s v="VIATICOS"/>
    <s v="TRANSACCIONES DEL DIA 06/11/2018SPYRAL - GESTION ADMINISTRATIVA"/>
    <n v="28.37"/>
    <n v="0"/>
    <s v="NEGOCIOS"/>
    <x v="1"/>
  </r>
  <r>
    <n v="91"/>
    <d v="2018-06-16T00:00:00"/>
    <x v="2"/>
    <x v="2"/>
    <x v="0"/>
    <s v="ATENCION A CLIENTES"/>
    <s v="NC VIATICOS"/>
    <s v="TRANSACCIONES DEL DIA 06/16/2018SPYRAL - GESTION ADMINISTRATIVA"/>
    <n v="794.05"/>
    <n v="0"/>
    <s v="NEGOCIOS"/>
    <x v="1"/>
  </r>
  <r>
    <n v="91"/>
    <d v="2018-07-04T00:00:00"/>
    <x v="6"/>
    <x v="6"/>
    <x v="0"/>
    <s v="ATENCION A CLIENTES"/>
    <s v="VIATICOS"/>
    <s v="TRANSACCIONES DEL DIA 07/04/2018SPYRAL - GESTION ADMINISTRATIVA"/>
    <n v="37.94"/>
    <n v="0"/>
    <s v="NEGOCIOS"/>
    <x v="1"/>
  </r>
  <r>
    <n v="91"/>
    <d v="2018-07-12T00:00:00"/>
    <x v="6"/>
    <x v="6"/>
    <x v="0"/>
    <s v="ATENCION A CLIENTES"/>
    <s v="VIATICOS"/>
    <s v="TRANSACCIONES DEL DIA 07/12/2018SPYRAL - GESTION ADMINISTRATIVA"/>
    <n v="14.6"/>
    <n v="0"/>
    <s v="NEGOCIOS"/>
    <x v="1"/>
  </r>
  <r>
    <n v="91"/>
    <d v="2018-07-13T00:00:00"/>
    <x v="6"/>
    <x v="6"/>
    <x v="0"/>
    <s v="ATENCION A CLIENTES"/>
    <s v="NC VIATICOS"/>
    <s v="TRANSACCIONES DEL DIA 07/13/2018SPYRAL - GESTION ADMINISTRATIVA"/>
    <n v="915.4"/>
    <n v="0"/>
    <s v="NEGOCIOS"/>
    <x v="1"/>
  </r>
  <r>
    <n v="91"/>
    <d v="2018-07-20T00:00:00"/>
    <x v="6"/>
    <x v="6"/>
    <x v="0"/>
    <s v="ATENCION A CLIENTES"/>
    <s v="VIATICOS"/>
    <s v="TRANSACCIONES DEL DIA 07/20/2018SPYRAL - GESTION ADMINISTRATIVA"/>
    <n v="5"/>
    <n v="0"/>
    <s v="NEGOCIOS"/>
    <x v="1"/>
  </r>
  <r>
    <n v="91"/>
    <d v="2018-08-14T00:00:00"/>
    <x v="3"/>
    <x v="3"/>
    <x v="0"/>
    <s v="ATENCION A CLIENTES"/>
    <s v="NC VIATICOS"/>
    <s v="TRANSACCIONES DEL DIA 08/14/2018SPYRAL - GESTION ADMINISTRATIVA"/>
    <n v="814.45"/>
    <n v="0"/>
    <s v="NEGOCIOS"/>
    <x v="1"/>
  </r>
  <r>
    <n v="91"/>
    <d v="2018-09-18T00:00:00"/>
    <x v="4"/>
    <x v="4"/>
    <x v="0"/>
    <s v="ATENCION A CLIENTES"/>
    <s v="NC VIATICOS"/>
    <s v="TRANSACCIONES DEL DIA 09/18/2018SPYRAL - GESTION ADMINISTRATIVA"/>
    <n v="884.55"/>
    <n v="0"/>
    <s v="NEGOCIOS"/>
    <x v="1"/>
  </r>
  <r>
    <n v="91"/>
    <d v="2018-10-17T00:00:00"/>
    <x v="0"/>
    <x v="0"/>
    <x v="0"/>
    <s v="ATENCION A CLIENTES"/>
    <s v="VIATICOS"/>
    <s v="TRANSACCIONES DEL DIA 10/17/2018SPYRAL - GESTION ADMINISTRATIVA"/>
    <n v="214.34"/>
    <n v="0"/>
    <s v="NEGOCIOS"/>
    <x v="1"/>
  </r>
  <r>
    <n v="91"/>
    <d v="2018-10-17T00:00:00"/>
    <x v="0"/>
    <x v="0"/>
    <x v="0"/>
    <s v="ATENCION A CLIENTES"/>
    <s v="NC VIATICOS"/>
    <s v="TRANSACCIONES DEL DIA 10/17/2018SPYRAL - GESTION ADMINISTRATIVA"/>
    <n v="713.5"/>
    <n v="0"/>
    <s v="NEGOCIOS"/>
    <x v="1"/>
  </r>
  <r>
    <n v="91"/>
    <d v="2018-11-20T00:00:00"/>
    <x v="5"/>
    <x v="5"/>
    <x v="0"/>
    <s v="ATENCION A CLIENTES"/>
    <s v="NC VIATICOS"/>
    <s v="TRANSACCIONES DEL DIA 11/20/2018SPYRAL - GESTION ADMINISTRATIVA"/>
    <n v="741.65"/>
    <n v="0"/>
    <s v="NEGOCIOS"/>
    <x v="1"/>
  </r>
  <r>
    <n v="91"/>
    <d v="2018-11-30T00:00:00"/>
    <x v="5"/>
    <x v="5"/>
    <x v="0"/>
    <s v="ATENCION A CLIENTES"/>
    <s v="NC VIATICOS"/>
    <s v="TRANSACCIONES DEL DIA 11/30/2018SPYRAL - GESTION ADMINISTRATIVA"/>
    <n v="0"/>
    <n v="214.34"/>
    <s v="NEGOCIOS"/>
    <x v="1"/>
  </r>
  <r>
    <n v="91"/>
    <d v="2018-12-07T00:00:00"/>
    <x v="1"/>
    <x v="1"/>
    <x v="0"/>
    <s v="ATENCION A CLIENTES"/>
    <s v="NC VIATICOS"/>
    <s v="TRANSACCIONES DEL DIA 12/07/2018SPYRAL - GESTION ADMINISTRATIVA"/>
    <n v="617.29999999999995"/>
    <n v="0"/>
    <s v="NEGOCIOS"/>
    <x v="1"/>
  </r>
  <r>
    <n v="91"/>
    <d v="2018-12-31T00:00:00"/>
    <x v="1"/>
    <x v="1"/>
    <x v="0"/>
    <s v="ATENCION A CLIENTES"/>
    <s v="CIERRE DE ANIO FISCAL"/>
    <s v="CIERRE_DE_CTAS_NOMINALES"/>
    <n v="0"/>
    <n v="9430.4"/>
    <s v="NEGOCIOS"/>
    <x v="1"/>
  </r>
  <r>
    <n v="91"/>
    <d v="2018-06-08T00:00:00"/>
    <x v="2"/>
    <x v="2"/>
    <x v="0"/>
    <s v="DESARROLLO DE PRODUCTOS"/>
    <s v="VIATICOS"/>
    <s v="TRANSACCIONES DEL DIA 06/08/2018SPYRAL - GESTION ADMINISTRATIVA"/>
    <n v="100.6"/>
    <n v="0"/>
    <s v="NEGOCIOS"/>
    <x v="1"/>
  </r>
  <r>
    <n v="91"/>
    <d v="2018-06-18T00:00:00"/>
    <x v="2"/>
    <x v="2"/>
    <x v="0"/>
    <s v="DESARROLLO DE PRODUCTOS"/>
    <s v="NC VIATICOS"/>
    <s v="TRANSACCIONES DEL DIA 06/18/2018SPYRAL - GESTION ADMINISTRATIVA"/>
    <n v="0"/>
    <n v="1765.77"/>
    <s v="NEGOCIOS"/>
    <x v="1"/>
  </r>
  <r>
    <n v="91"/>
    <d v="2018-06-28T00:00:00"/>
    <x v="2"/>
    <x v="2"/>
    <x v="0"/>
    <s v="DESARROLLO DE PRODUCTOS"/>
    <s v="VIATICOS"/>
    <s v="TRANSACCIONES DEL DIA 06/28/2018SPYRAL - GESTION ADMINISTRATIVA"/>
    <n v="9.5"/>
    <n v="0"/>
    <s v="NEGOCIOS"/>
    <x v="1"/>
  </r>
  <r>
    <n v="91"/>
    <d v="2018-06-29T00:00:00"/>
    <x v="2"/>
    <x v="2"/>
    <x v="0"/>
    <s v="DESARROLLO DE PRODUCTOS"/>
    <s v="VIATICOS"/>
    <s v="TRANSACCIONES DEL DIA 06/29/2018SPYRAL - GESTION ADMINISTRATIVA"/>
    <n v="1127.92"/>
    <n v="0"/>
    <s v="NEGOCIOS"/>
    <x v="1"/>
  </r>
  <r>
    <n v="91"/>
    <d v="2018-07-04T00:00:00"/>
    <x v="6"/>
    <x v="6"/>
    <x v="0"/>
    <s v="DESARROLLO DE PRODUCTOS"/>
    <s v="VIATICOS"/>
    <s v="TRANSACCIONES DEL DIA 07/04/2018SPYRAL - GESTION ADMINISTRATIVA"/>
    <n v="70.7"/>
    <n v="0"/>
    <s v="NEGOCIOS"/>
    <x v="1"/>
  </r>
  <r>
    <n v="91"/>
    <d v="2018-07-09T00:00:00"/>
    <x v="6"/>
    <x v="6"/>
    <x v="0"/>
    <s v="DESARROLLO DE PRODUCTOS"/>
    <s v="VIATICOS"/>
    <s v="TRANSACCIONES DEL DIA 07/09/2018SPYRAL - GESTION ADMINISTRATIVA"/>
    <n v="29.5"/>
    <n v="0"/>
    <s v="NEGOCIOS"/>
    <x v="1"/>
  </r>
  <r>
    <n v="91"/>
    <d v="2018-07-14T00:00:00"/>
    <x v="6"/>
    <x v="6"/>
    <x v="0"/>
    <s v="DESARROLLO DE PRODUCTOS"/>
    <s v="VIATICOS"/>
    <s v="TRANSACCIONES DEL DIA 07/14/2018SPYRAL - GESTION ADMINISTRATIVA"/>
    <n v="24"/>
    <n v="0"/>
    <s v="NEGOCIOS"/>
    <x v="1"/>
  </r>
  <r>
    <n v="91"/>
    <d v="2018-07-17T00:00:00"/>
    <x v="6"/>
    <x v="6"/>
    <x v="0"/>
    <s v="DESARROLLO DE PRODUCTOS"/>
    <s v="VIATICOS"/>
    <s v="TRANSACCIONES DEL DIA 07/17/2018SPYRAL - GESTION ADMINISTRATIVA"/>
    <n v="225.5"/>
    <n v="0"/>
    <s v="NEGOCIOS"/>
    <x v="1"/>
  </r>
  <r>
    <n v="91"/>
    <d v="2018-07-17T00:00:00"/>
    <x v="6"/>
    <x v="6"/>
    <x v="0"/>
    <s v="DESARROLLO DE PRODUCTOS"/>
    <s v="NC VIATICOS"/>
    <s v="TRANSACCIONES DEL DIA 07/17/2018SPYRAL - GESTION ADMINISTRATIVA"/>
    <n v="700.28"/>
    <n v="0"/>
    <s v="NEGOCIOS"/>
    <x v="1"/>
  </r>
  <r>
    <n v="91"/>
    <d v="2018-07-30T00:00:00"/>
    <x v="6"/>
    <x v="6"/>
    <x v="0"/>
    <s v="DESARROLLO DE PRODUCTOS"/>
    <s v="NC VIATICOS"/>
    <s v="TRANSACCIONES DEL DIA 07/30/2018SPYRAL - GESTION ADMINISTRATIVA"/>
    <n v="0"/>
    <n v="1127.92"/>
    <s v="NEGOCIOS"/>
    <x v="1"/>
  </r>
  <r>
    <n v="91"/>
    <d v="2018-09-06T00:00:00"/>
    <x v="4"/>
    <x v="4"/>
    <x v="0"/>
    <s v="DESARROLLO DE PRODUCTOS"/>
    <s v="VIATICOS"/>
    <s v="TRANSACCIONES DEL DIA 09/06/2018SPYRAL - GESTION ADMINISTRATIVA"/>
    <n v="57.9"/>
    <n v="0"/>
    <s v="NEGOCIOS"/>
    <x v="1"/>
  </r>
  <r>
    <n v="91"/>
    <d v="2018-09-28T00:00:00"/>
    <x v="4"/>
    <x v="4"/>
    <x v="0"/>
    <s v="DESARROLLO DE PRODUCTOS"/>
    <s v="NC VIATICOS"/>
    <s v="TRANSACCIONES DEL DIA 09/28/2018SPYRAL - GESTION ADMINISTRATIVA"/>
    <n v="0"/>
    <n v="152.5"/>
    <s v="NEGOCIOS"/>
    <x v="1"/>
  </r>
  <r>
    <n v="91"/>
    <d v="2018-10-22T00:00:00"/>
    <x v="0"/>
    <x v="0"/>
    <x v="0"/>
    <s v="DESARROLLO DE PRODUCTOS"/>
    <s v="VIATICOS"/>
    <s v="TRANSACCIONES DEL DIA 10/22/2018SPYRAL - GESTION ADMINISTRATIVA"/>
    <n v="35"/>
    <n v="0"/>
    <s v="NEGOCIOS"/>
    <x v="1"/>
  </r>
  <r>
    <n v="91"/>
    <d v="2018-10-26T00:00:00"/>
    <x v="0"/>
    <x v="0"/>
    <x v="0"/>
    <s v="DESARROLLO DE PRODUCTOS"/>
    <s v="VIATICOS"/>
    <s v="TRANSACCIONES DEL DIA 10/26/2018SPYRAL - GESTION ADMINISTRATIVA"/>
    <n v="57.55"/>
    <n v="0"/>
    <s v="NEGOCIOS"/>
    <x v="1"/>
  </r>
  <r>
    <n v="91"/>
    <d v="2018-10-26T00:00:00"/>
    <x v="0"/>
    <x v="0"/>
    <x v="0"/>
    <s v="DESARROLLO DE PRODUCTOS"/>
    <s v="NC VIATICOS"/>
    <s v="TRANSACCIONES DEL DIA 10/26/2018SPYRAL - GESTION ADMINISTRATIVA"/>
    <n v="0"/>
    <n v="700.28"/>
    <s v="NEGOCIOS"/>
    <x v="1"/>
  </r>
  <r>
    <n v="91"/>
    <d v="2018-11-09T00:00:00"/>
    <x v="5"/>
    <x v="5"/>
    <x v="0"/>
    <s v="DESARROLLO DE PRODUCTOS"/>
    <s v="VIATICOS"/>
    <s v="TRANSACCIONES DEL DIA 11/09/2018SPYRAL - GESTION ADMINISTRATIVA"/>
    <n v="10.27"/>
    <n v="0"/>
    <s v="NEGOCIOS"/>
    <x v="1"/>
  </r>
  <r>
    <n v="91"/>
    <d v="2018-11-13T00:00:00"/>
    <x v="5"/>
    <x v="5"/>
    <x v="0"/>
    <s v="DESARROLLO DE PRODUCTOS"/>
    <s v="VIATICOS"/>
    <s v="TRANSACCIONES DEL DIA 11/13/2018SPYRAL - GESTION ADMINISTRATIVA"/>
    <n v="71.3"/>
    <n v="0"/>
    <s v="NEGOCIOS"/>
    <x v="1"/>
  </r>
  <r>
    <n v="91"/>
    <d v="2018-12-06T00:00:00"/>
    <x v="1"/>
    <x v="1"/>
    <x v="0"/>
    <s v="DESARROLLO DE PRODUCTOS"/>
    <s v="VIATICOS"/>
    <s v="TRANSACCIONES DEL DIA 12/06/2018SPYRAL - GESTION ADMINISTRATIVA"/>
    <n v="7"/>
    <n v="0"/>
    <s v="NEGOCIOS"/>
    <x v="1"/>
  </r>
  <r>
    <n v="91"/>
    <d v="2018-12-07T00:00:00"/>
    <x v="1"/>
    <x v="1"/>
    <x v="0"/>
    <s v="DESARROLLO DE PRODUCTOS"/>
    <s v="VIATICOS"/>
    <s v="TRANSACCIONES DEL DIA 12/07/2018SPYRAL - GESTION ADMINISTRATIVA"/>
    <n v="197"/>
    <n v="0"/>
    <s v="NEGOCIOS"/>
    <x v="1"/>
  </r>
  <r>
    <n v="91"/>
    <d v="2018-12-31T00:00:00"/>
    <x v="1"/>
    <x v="1"/>
    <x v="0"/>
    <s v="DESARROLLO DE PRODUCTOS"/>
    <s v="CIERRE DE ANIO FISCAL"/>
    <s v="CIERRE_DE_CTAS_NOMINALES"/>
    <n v="0"/>
    <n v="1208.8699999999999"/>
    <s v="NEGOCIOS"/>
    <x v="1"/>
  </r>
  <r>
    <n v="91"/>
    <d v="2018-06-16T00:00:00"/>
    <x v="2"/>
    <x v="2"/>
    <x v="0"/>
    <s v="VENTAS CONSUMO"/>
    <s v="NC VIATICOS"/>
    <s v="TRANSACCIONES DEL DIA 06/16/2018SPYRAL - GESTION ADMINISTRATIVA"/>
    <n v="642.15"/>
    <n v="0"/>
    <s v="NEGOCIOS"/>
    <x v="1"/>
  </r>
  <r>
    <n v="91"/>
    <d v="2018-06-26T00:00:00"/>
    <x v="2"/>
    <x v="2"/>
    <x v="0"/>
    <s v="VENTAS CONSUMO"/>
    <s v="VIATICOS"/>
    <s v="TRANSACCIONES DEL DIA 06/26/2018SPYRAL - GESTION ADMINISTRATIVA"/>
    <n v="51.7"/>
    <n v="0"/>
    <s v="NEGOCIOS"/>
    <x v="1"/>
  </r>
  <r>
    <n v="91"/>
    <d v="2018-07-13T00:00:00"/>
    <x v="6"/>
    <x v="6"/>
    <x v="0"/>
    <s v="VENTAS CONSUMO"/>
    <s v="NC VIATICOS"/>
    <s v="TRANSACCIONES DEL DIA 07/13/2018SPYRAL - GESTION ADMINISTRATIVA"/>
    <n v="681.65"/>
    <n v="0"/>
    <s v="NEGOCIOS"/>
    <x v="1"/>
  </r>
  <r>
    <n v="91"/>
    <d v="2018-08-10T00:00:00"/>
    <x v="3"/>
    <x v="3"/>
    <x v="0"/>
    <s v="VENTAS CONSUMO"/>
    <s v="VIATICOS"/>
    <s v="TRANSACCIONES DEL DIA 08/10/2018SPYRAL - GESTION ADMINISTRATIVA"/>
    <n v="10.25"/>
    <n v="0"/>
    <s v="NEGOCIOS"/>
    <x v="1"/>
  </r>
  <r>
    <n v="91"/>
    <d v="2018-08-14T00:00:00"/>
    <x v="3"/>
    <x v="3"/>
    <x v="0"/>
    <s v="VENTAS CONSUMO"/>
    <s v="NC VIATICOS"/>
    <s v="TRANSACCIONES DEL DIA 08/14/2018SPYRAL - GESTION ADMINISTRATIVA"/>
    <n v="549.04999999999995"/>
    <n v="0"/>
    <s v="NEGOCIOS"/>
    <x v="1"/>
  </r>
  <r>
    <n v="91"/>
    <d v="2018-08-23T00:00:00"/>
    <x v="3"/>
    <x v="3"/>
    <x v="0"/>
    <s v="VENTAS CONSUMO"/>
    <s v="VIATICOS"/>
    <s v="TRANSACCIONES DEL DIA 08/23/2018SPYRAL - GESTION ADMINISTRATIVA"/>
    <n v="70.23"/>
    <n v="0"/>
    <s v="NEGOCIOS"/>
    <x v="1"/>
  </r>
  <r>
    <n v="91"/>
    <d v="2018-09-18T00:00:00"/>
    <x v="4"/>
    <x v="4"/>
    <x v="0"/>
    <s v="VENTAS CONSUMO"/>
    <s v="NC VIATICOS"/>
    <s v="TRANSACCIONES DEL DIA 09/18/2018SPYRAL - GESTION ADMINISTRATIVA"/>
    <n v="639.4"/>
    <n v="0"/>
    <s v="NEGOCIOS"/>
    <x v="1"/>
  </r>
  <r>
    <n v="91"/>
    <d v="2018-10-17T00:00:00"/>
    <x v="0"/>
    <x v="0"/>
    <x v="0"/>
    <s v="VENTAS CONSUMO"/>
    <s v="VIATICOS"/>
    <s v="TRANSACCIONES DEL DIA 10/17/2018SPYRAL - GESTION ADMINISTRATIVA"/>
    <n v="75"/>
    <n v="0"/>
    <s v="NEGOCIOS"/>
    <x v="1"/>
  </r>
  <r>
    <n v="91"/>
    <d v="2018-10-17T00:00:00"/>
    <x v="0"/>
    <x v="0"/>
    <x v="0"/>
    <s v="VENTAS CONSUMO"/>
    <s v="NC VIATICOS"/>
    <s v="TRANSACCIONES DEL DIA 10/17/2018SPYRAL - GESTION ADMINISTRATIVA"/>
    <n v="619.5"/>
    <n v="0"/>
    <s v="NEGOCIOS"/>
    <x v="1"/>
  </r>
  <r>
    <n v="91"/>
    <d v="2018-11-09T00:00:00"/>
    <x v="5"/>
    <x v="5"/>
    <x v="0"/>
    <s v="VENTAS CONSUMO"/>
    <s v="VIATICOS"/>
    <s v="TRANSACCIONES DEL DIA 11/09/2018SPYRAL - GESTION ADMINISTRATIVA"/>
    <n v="100.4"/>
    <n v="0"/>
    <s v="NEGOCIOS"/>
    <x v="1"/>
  </r>
  <r>
    <n v="91"/>
    <d v="2018-11-15T00:00:00"/>
    <x v="5"/>
    <x v="5"/>
    <x v="0"/>
    <s v="VENTAS CONSUMO"/>
    <s v="VIATICOS 2"/>
    <s v="TRANSACCIONES DEL DIA 11/15/2018SPYRAL - GESTION ADMINISTRATIVA"/>
    <n v="443.8"/>
    <n v="0"/>
    <s v="NEGOCIOS"/>
    <x v="1"/>
  </r>
  <r>
    <n v="91"/>
    <d v="2018-11-16T00:00:00"/>
    <x v="5"/>
    <x v="5"/>
    <x v="0"/>
    <s v="VENTAS CONSUMO"/>
    <s v="VIATICOS"/>
    <s v="TRANSACCIONES DEL DIA 11/16/2018SPYRAL - GESTION ADMINISTRATIVA"/>
    <n v="32.33"/>
    <n v="0"/>
    <s v="NEGOCIOS"/>
    <x v="1"/>
  </r>
  <r>
    <n v="91"/>
    <d v="2018-11-20T00:00:00"/>
    <x v="5"/>
    <x v="5"/>
    <x v="0"/>
    <s v="VENTAS CONSUMO"/>
    <s v="NC VIATICOS"/>
    <s v="TRANSACCIONES DEL DIA 11/20/2018SPYRAL - GESTION ADMINISTRATIVA"/>
    <n v="553.25"/>
    <n v="0"/>
    <s v="NEGOCIOS"/>
    <x v="1"/>
  </r>
  <r>
    <n v="91"/>
    <d v="2018-12-04T00:00:00"/>
    <x v="1"/>
    <x v="1"/>
    <x v="0"/>
    <s v="VENTAS CONSUMO"/>
    <s v="VIATICOS"/>
    <s v="TRANSACCIONES DEL DIA 12/04/2018SPYRAL - GESTION ADMINISTRATIVA"/>
    <n v="170"/>
    <n v="0"/>
    <s v="NEGOCIOS"/>
    <x v="1"/>
  </r>
  <r>
    <n v="91"/>
    <d v="2018-12-07T00:00:00"/>
    <x v="1"/>
    <x v="1"/>
    <x v="0"/>
    <s v="VENTAS CONSUMO"/>
    <s v="NC VIATICOS"/>
    <s v="TRANSACCIONES DEL DIA 12/07/2018SPYRAL - GESTION ADMINISTRATIVA"/>
    <n v="654.45000000000005"/>
    <n v="0"/>
    <s v="NEGOCIOS"/>
    <x v="1"/>
  </r>
  <r>
    <n v="91"/>
    <d v="2018-12-14T00:00:00"/>
    <x v="1"/>
    <x v="1"/>
    <x v="0"/>
    <s v="VENTAS CONSUMO"/>
    <s v="VIATICOS"/>
    <s v="TRANSACCIONES DEL DIA 12/14/2018SPYRAL - GESTION ADMINISTRATIVA"/>
    <n v="113.34"/>
    <n v="0"/>
    <s v="NEGOCIOS"/>
    <x v="1"/>
  </r>
  <r>
    <n v="91"/>
    <d v="2018-12-14T00:00:00"/>
    <x v="1"/>
    <x v="1"/>
    <x v="0"/>
    <s v="VENTAS CONSUMO"/>
    <s v="NC VIATICOS"/>
    <s v="TRANSACCIONES DEL DIA 12/14/2018SPYRAL - GESTION ADMINISTRATIVA"/>
    <n v="256.83999999999997"/>
    <n v="0"/>
    <s v="NEGOCIOS"/>
    <x v="1"/>
  </r>
  <r>
    <n v="91"/>
    <d v="2018-12-18T00:00:00"/>
    <x v="1"/>
    <x v="1"/>
    <x v="0"/>
    <s v="VENTAS CONSUMO"/>
    <s v="VIATICOS"/>
    <s v="TRANSACCIONES DEL DIA 12/18/2018SPYRAL - GESTION ADMINISTRATIVA"/>
    <n v="10.25"/>
    <n v="0"/>
    <s v="NEGOCIOS"/>
    <x v="1"/>
  </r>
  <r>
    <n v="91"/>
    <d v="2018-12-31T00:00:00"/>
    <x v="1"/>
    <x v="1"/>
    <x v="0"/>
    <s v="VENTAS CONSUMO"/>
    <s v="CIERRE DE ANIO FISCAL"/>
    <s v="CIERRE_DE_CTAS_NOMINALES"/>
    <n v="0"/>
    <n v="8435.5400000000009"/>
    <s v="NEGOCIOS"/>
    <x v="1"/>
  </r>
  <r>
    <n v="91"/>
    <d v="2018-06-01T00:00:00"/>
    <x v="2"/>
    <x v="2"/>
    <x v="0"/>
    <s v="FUERZAS DE VENTAS PANAMA"/>
    <s v="VIATICOS"/>
    <s v="TRANSACCIONES DEL DIA 06/01/2018SPYRAL - GESTION ADMINISTRATIVA"/>
    <n v="5"/>
    <n v="0"/>
    <s v="NEGOCIOS"/>
    <x v="1"/>
  </r>
  <r>
    <n v="91"/>
    <d v="2018-06-02T00:00:00"/>
    <x v="2"/>
    <x v="2"/>
    <x v="0"/>
    <s v="FUERZAS DE VENTAS PANAMA"/>
    <s v="VIATICOS 2"/>
    <s v="TRANSACCIONES DEL DIA 06/02/2018SPYRAL - GESTION ADMINISTRATIVA"/>
    <n v="2700"/>
    <n v="0"/>
    <s v="NEGOCIOS"/>
    <x v="1"/>
  </r>
  <r>
    <n v="91"/>
    <d v="2018-06-05T00:00:00"/>
    <x v="2"/>
    <x v="2"/>
    <x v="0"/>
    <s v="FUERZAS DE VENTAS PANAMA"/>
    <s v="VIATICOS"/>
    <s v="TRANSACCIONES DEL DIA 06/05/2018SPYRAL - GESTION ADMINISTRATIVA"/>
    <n v="116.82"/>
    <n v="0"/>
    <s v="NEGOCIOS"/>
    <x v="1"/>
  </r>
  <r>
    <n v="91"/>
    <d v="2018-06-08T00:00:00"/>
    <x v="2"/>
    <x v="2"/>
    <x v="0"/>
    <s v="FUERZAS DE VENTAS PANAMA"/>
    <s v="VIATICOS"/>
    <s v="TRANSACCIONES DEL DIA 06/08/2018SPYRAL - GESTION ADMINISTRATIVA"/>
    <n v="26.1"/>
    <n v="0"/>
    <s v="NEGOCIOS"/>
    <x v="1"/>
  </r>
  <r>
    <n v="91"/>
    <d v="2018-06-11T00:00:00"/>
    <x v="2"/>
    <x v="2"/>
    <x v="0"/>
    <s v="FUERZAS DE VENTAS PANAMA"/>
    <s v="VIATICOS"/>
    <s v="TRANSACCIONES DEL DIA 06/11/2018SPYRAL - GESTION ADMINISTRATIVA"/>
    <n v="177.6"/>
    <n v="0"/>
    <s v="NEGOCIOS"/>
    <x v="1"/>
  </r>
  <r>
    <n v="91"/>
    <d v="2018-06-13T00:00:00"/>
    <x v="2"/>
    <x v="2"/>
    <x v="0"/>
    <s v="FUERZAS DE VENTAS PANAMA"/>
    <s v="VIATICOS"/>
    <s v="TRANSACCIONES DEL DIA 06/13/2018SPYRAL - GESTION ADMINISTRATIVA"/>
    <n v="27.22"/>
    <n v="0"/>
    <s v="NEGOCIOS"/>
    <x v="1"/>
  </r>
  <r>
    <n v="91"/>
    <d v="2018-06-14T00:00:00"/>
    <x v="2"/>
    <x v="2"/>
    <x v="0"/>
    <s v="FUERZAS DE VENTAS PANAMA"/>
    <s v="VIATICOS"/>
    <s v="TRANSACCIONES DEL DIA 06/14/2018SPYRAL - GESTION ADMINISTRATIVA"/>
    <n v="37.06"/>
    <n v="0"/>
    <s v="NEGOCIOS"/>
    <x v="1"/>
  </r>
  <r>
    <n v="91"/>
    <d v="2018-06-15T00:00:00"/>
    <x v="2"/>
    <x v="2"/>
    <x v="0"/>
    <s v="FUERZAS DE VENTAS PANAMA"/>
    <s v="VIATICOS"/>
    <s v="TRANSACCIONES DEL DIA 06/15/2018SPYRAL - GESTION ADMINISTRATIVA"/>
    <n v="10.28"/>
    <n v="0"/>
    <s v="NEGOCIOS"/>
    <x v="1"/>
  </r>
  <r>
    <n v="91"/>
    <d v="2018-06-16T00:00:00"/>
    <x v="2"/>
    <x v="2"/>
    <x v="0"/>
    <s v="FUERZAS DE VENTAS PANAMA"/>
    <s v="VIATICOS"/>
    <s v="TRANSACCIONES DEL DIA 06/16/2018SPYRAL - GESTION ADMINISTRATIVA"/>
    <n v="15.16"/>
    <n v="0"/>
    <s v="NEGOCIOS"/>
    <x v="1"/>
  </r>
  <r>
    <n v="91"/>
    <d v="2018-06-22T00:00:00"/>
    <x v="2"/>
    <x v="2"/>
    <x v="0"/>
    <s v="FUERZAS DE VENTAS PANAMA"/>
    <s v="VIATICOS"/>
    <s v="TRANSACCIONES DEL DIA 06/22/2018SPYRAL - GESTION ADMINISTRATIVA"/>
    <n v="12.6"/>
    <n v="0"/>
    <s v="NEGOCIOS"/>
    <x v="1"/>
  </r>
  <r>
    <n v="91"/>
    <d v="2018-06-28T00:00:00"/>
    <x v="2"/>
    <x v="2"/>
    <x v="0"/>
    <s v="FUERZAS DE VENTAS PANAMA"/>
    <s v="VIATICOS"/>
    <s v="TRANSACCIONES DEL DIA 06/28/2018SPYRAL - GESTION ADMINISTRATIVA"/>
    <n v="10.71"/>
    <n v="0"/>
    <s v="NEGOCIOS"/>
    <x v="1"/>
  </r>
  <r>
    <n v="91"/>
    <d v="2018-07-03T00:00:00"/>
    <x v="6"/>
    <x v="6"/>
    <x v="0"/>
    <s v="FUERZAS DE VENTAS PANAMA"/>
    <s v="VIATICOS 2"/>
    <s v="TRANSACCIONES DEL DIA 07/03/2018SPYRAL - GESTION ADMINISTRATIVA"/>
    <n v="2700"/>
    <n v="0"/>
    <s v="NEGOCIOS"/>
    <x v="1"/>
  </r>
  <r>
    <n v="91"/>
    <d v="2018-07-09T00:00:00"/>
    <x v="6"/>
    <x v="6"/>
    <x v="0"/>
    <s v="FUERZAS DE VENTAS PANAMA"/>
    <s v="VIATICOS"/>
    <s v="TRANSACCIONES DEL DIA 07/09/2018SPYRAL - GESTION ADMINISTRATIVA"/>
    <n v="26.64"/>
    <n v="0"/>
    <s v="NEGOCIOS"/>
    <x v="1"/>
  </r>
  <r>
    <n v="91"/>
    <d v="2018-07-12T00:00:00"/>
    <x v="6"/>
    <x v="6"/>
    <x v="0"/>
    <s v="FUERZAS DE VENTAS PANAMA"/>
    <s v="VIATICOS"/>
    <s v="TRANSACCIONES DEL DIA 07/12/2018SPYRAL - GESTION ADMINISTRATIVA"/>
    <n v="107.95"/>
    <n v="0"/>
    <s v="NEGOCIOS"/>
    <x v="1"/>
  </r>
  <r>
    <n v="91"/>
    <d v="2018-07-14T00:00:00"/>
    <x v="6"/>
    <x v="6"/>
    <x v="0"/>
    <s v="FUERZAS DE VENTAS PANAMA"/>
    <s v="VIATICOS"/>
    <s v="TRANSACCIONES DEL DIA 07/14/2018SPYRAL - GESTION ADMINISTRATIVA"/>
    <n v="10.45"/>
    <n v="0"/>
    <s v="NEGOCIOS"/>
    <x v="1"/>
  </r>
  <r>
    <n v="91"/>
    <d v="2018-07-17T00:00:00"/>
    <x v="6"/>
    <x v="6"/>
    <x v="0"/>
    <s v="FUERZAS DE VENTAS PANAMA"/>
    <s v="VIATICOS"/>
    <s v="TRANSACCIONES DEL DIA 07/17/2018SPYRAL - GESTION ADMINISTRATIVA"/>
    <n v="3.47"/>
    <n v="0"/>
    <s v="NEGOCIOS"/>
    <x v="1"/>
  </r>
  <r>
    <n v="91"/>
    <d v="2018-07-20T00:00:00"/>
    <x v="6"/>
    <x v="6"/>
    <x v="0"/>
    <s v="FUERZAS DE VENTAS PANAMA"/>
    <s v="VIATICOS"/>
    <s v="TRANSACCIONES DEL DIA 07/20/2018SPYRAL - GESTION ADMINISTRATIVA"/>
    <n v="33.770000000000003"/>
    <n v="0"/>
    <s v="NEGOCIOS"/>
    <x v="1"/>
  </r>
  <r>
    <n v="91"/>
    <d v="2018-07-23T00:00:00"/>
    <x v="6"/>
    <x v="6"/>
    <x v="0"/>
    <s v="FUERZAS DE VENTAS PANAMA"/>
    <s v="VIATICOS"/>
    <s v="TRANSACCIONES DEL DIA 07/23/2018SPYRAL - GESTION ADMINISTRATIVA"/>
    <n v="27.7"/>
    <n v="0"/>
    <s v="NEGOCIOS"/>
    <x v="1"/>
  </r>
  <r>
    <n v="91"/>
    <d v="2018-07-27T00:00:00"/>
    <x v="6"/>
    <x v="6"/>
    <x v="0"/>
    <s v="FUERZAS DE VENTAS PANAMA"/>
    <s v="VIATICOS"/>
    <s v="TRANSACCIONES DEL DIA 07/27/2018SPYRAL - GESTION ADMINISTRATIVA"/>
    <n v="150.08000000000001"/>
    <n v="0"/>
    <s v="NEGOCIOS"/>
    <x v="1"/>
  </r>
  <r>
    <n v="91"/>
    <d v="2018-07-30T00:00:00"/>
    <x v="6"/>
    <x v="6"/>
    <x v="0"/>
    <s v="FUERZAS DE VENTAS PANAMA"/>
    <s v="VIATICOS"/>
    <s v="TRANSACCIONES DEL DIA 07/30/2018SPYRAL - GESTION ADMINISTRATIVA"/>
    <n v="24"/>
    <n v="0"/>
    <s v="NEGOCIOS"/>
    <x v="1"/>
  </r>
  <r>
    <n v="91"/>
    <d v="2018-08-02T00:00:00"/>
    <x v="3"/>
    <x v="3"/>
    <x v="0"/>
    <s v="FUERZAS DE VENTAS PANAMA"/>
    <s v="VIATICOS 2"/>
    <s v="TRANSACCIONES DEL DIA 08/02/2018SPYRAL - GESTION ADMINISTRATIVA"/>
    <n v="2550"/>
    <n v="0"/>
    <s v="NEGOCIOS"/>
    <x v="1"/>
  </r>
  <r>
    <n v="91"/>
    <d v="2018-08-07T00:00:00"/>
    <x v="3"/>
    <x v="3"/>
    <x v="0"/>
    <s v="FUERZAS DE VENTAS PANAMA"/>
    <s v="VIATICOS"/>
    <s v="TRANSACCIONES DEL DIA 08/07/2018SPYRAL - GESTION ADMINISTRATIVA"/>
    <n v="19.37"/>
    <n v="0"/>
    <s v="NEGOCIOS"/>
    <x v="1"/>
  </r>
  <r>
    <n v="91"/>
    <d v="2018-08-08T00:00:00"/>
    <x v="3"/>
    <x v="3"/>
    <x v="0"/>
    <s v="FUERZAS DE VENTAS PANAMA"/>
    <s v="VIATICOS"/>
    <s v="TRANSACCIONES DEL DIA 08/08/2018SPYRAL - GESTION ADMINISTRATIVA"/>
    <n v="17.61"/>
    <n v="0"/>
    <s v="NEGOCIOS"/>
    <x v="1"/>
  </r>
  <r>
    <n v="91"/>
    <d v="2018-08-09T00:00:00"/>
    <x v="3"/>
    <x v="3"/>
    <x v="0"/>
    <s v="FUERZAS DE VENTAS PANAMA"/>
    <s v="VIATICOS"/>
    <s v="TRANSACCIONES DEL DIA 08/09/2018SPYRAL - GESTION ADMINISTRATIVA"/>
    <n v="10"/>
    <n v="0"/>
    <s v="NEGOCIOS"/>
    <x v="1"/>
  </r>
  <r>
    <n v="91"/>
    <d v="2018-08-10T00:00:00"/>
    <x v="3"/>
    <x v="3"/>
    <x v="0"/>
    <s v="FUERZAS DE VENTAS PANAMA"/>
    <s v="VIATICOS"/>
    <s v="TRANSACCIONES DEL DIA 08/10/2018SPYRAL - GESTION ADMINISTRATIVA"/>
    <n v="15.46"/>
    <n v="0"/>
    <s v="NEGOCIOS"/>
    <x v="1"/>
  </r>
  <r>
    <n v="91"/>
    <d v="2018-08-16T00:00:00"/>
    <x v="3"/>
    <x v="3"/>
    <x v="0"/>
    <s v="FUERZAS DE VENTAS PANAMA"/>
    <s v="VIATICOS"/>
    <s v="TRANSACCIONES DEL DIA 08/16/2018SPYRAL - GESTION ADMINISTRATIVA"/>
    <n v="5"/>
    <n v="0"/>
    <s v="NEGOCIOS"/>
    <x v="1"/>
  </r>
  <r>
    <n v="91"/>
    <d v="2018-08-17T00:00:00"/>
    <x v="3"/>
    <x v="3"/>
    <x v="0"/>
    <s v="FUERZAS DE VENTAS PANAMA"/>
    <s v="VIATICOS"/>
    <s v="TRANSACCIONES DEL DIA 08/17/2018SPYRAL - GESTION ADMINISTRATIVA"/>
    <n v="27.7"/>
    <n v="0"/>
    <s v="NEGOCIOS"/>
    <x v="1"/>
  </r>
  <r>
    <n v="91"/>
    <d v="2018-08-21T00:00:00"/>
    <x v="3"/>
    <x v="3"/>
    <x v="0"/>
    <s v="FUERZAS DE VENTAS PANAMA"/>
    <s v="VIATICOS"/>
    <s v="TRANSACCIONES DEL DIA 08/21/2018SPYRAL - GESTION ADMINISTRATIVA"/>
    <n v="27.28"/>
    <n v="0"/>
    <s v="NEGOCIOS"/>
    <x v="1"/>
  </r>
  <r>
    <n v="91"/>
    <d v="2018-08-22T00:00:00"/>
    <x v="3"/>
    <x v="3"/>
    <x v="0"/>
    <s v="FUERZAS DE VENTAS PANAMA"/>
    <s v="VIATICOS"/>
    <s v="TRANSACCIONES DEL DIA 08/22/2018SPYRAL - GESTION ADMINISTRATIVA"/>
    <n v="20.11"/>
    <n v="0"/>
    <s v="NEGOCIOS"/>
    <x v="1"/>
  </r>
  <r>
    <n v="91"/>
    <d v="2018-08-24T00:00:00"/>
    <x v="3"/>
    <x v="3"/>
    <x v="0"/>
    <s v="FUERZAS DE VENTAS PANAMA"/>
    <s v="VIATICOS"/>
    <s v="TRANSACCIONES DEL DIA 08/24/2018SPYRAL - GESTION ADMINISTRATIVA"/>
    <n v="15.64"/>
    <n v="0"/>
    <s v="NEGOCIOS"/>
    <x v="1"/>
  </r>
  <r>
    <n v="91"/>
    <d v="2018-08-28T00:00:00"/>
    <x v="3"/>
    <x v="3"/>
    <x v="0"/>
    <s v="FUERZAS DE VENTAS PANAMA"/>
    <s v="VIATICOS"/>
    <s v="TRANSACCIONES DEL DIA 08/28/2018SPYRAL - GESTION ADMINISTRATIVA"/>
    <n v="39.700000000000003"/>
    <n v="0"/>
    <s v="NEGOCIOS"/>
    <x v="1"/>
  </r>
  <r>
    <n v="91"/>
    <d v="2018-09-04T00:00:00"/>
    <x v="4"/>
    <x v="4"/>
    <x v="0"/>
    <s v="FUERZAS DE VENTAS PANAMA"/>
    <s v="VIATICOS 2"/>
    <s v="TRANSACCIONES DEL DIA 09/04/2018SPYRAL - GESTION ADMINISTRATIVA"/>
    <n v="2400"/>
    <n v="0"/>
    <s v="NEGOCIOS"/>
    <x v="1"/>
  </r>
  <r>
    <n v="91"/>
    <d v="2018-09-05T00:00:00"/>
    <x v="4"/>
    <x v="4"/>
    <x v="0"/>
    <s v="FUERZAS DE VENTAS PANAMA"/>
    <s v="VIATICOS"/>
    <s v="TRANSACCIONES DEL DIA 09/05/2018SPYRAL - GESTION ADMINISTRATIVA"/>
    <n v="10.07"/>
    <n v="0"/>
    <s v="NEGOCIOS"/>
    <x v="1"/>
  </r>
  <r>
    <n v="91"/>
    <d v="2018-09-07T00:00:00"/>
    <x v="4"/>
    <x v="4"/>
    <x v="0"/>
    <s v="FUERZAS DE VENTAS PANAMA"/>
    <s v="VIATICOS"/>
    <s v="TRANSACCIONES DEL DIA 09/07/2018SPYRAL - GESTION ADMINISTRATIVA"/>
    <n v="177.5"/>
    <n v="0"/>
    <s v="NEGOCIOS"/>
    <x v="1"/>
  </r>
  <r>
    <n v="91"/>
    <d v="2018-09-08T00:00:00"/>
    <x v="4"/>
    <x v="4"/>
    <x v="0"/>
    <s v="FUERZAS DE VENTAS PANAMA"/>
    <s v="VIATICOS"/>
    <s v="TRANSACCIONES DEL DIA 09/08/2018SPYRAL - GESTION ADMINISTRATIVA"/>
    <n v="38.08"/>
    <n v="0"/>
    <s v="NEGOCIOS"/>
    <x v="1"/>
  </r>
  <r>
    <n v="91"/>
    <d v="2018-09-11T00:00:00"/>
    <x v="4"/>
    <x v="4"/>
    <x v="0"/>
    <s v="FUERZAS DE VENTAS PANAMA"/>
    <s v="VIATICOS"/>
    <s v="TRANSACCIONES DEL DIA 09/11/2018SPYRAL - GESTION ADMINISTRATIVA"/>
    <n v="4.2"/>
    <n v="0"/>
    <s v="NEGOCIOS"/>
    <x v="1"/>
  </r>
  <r>
    <n v="91"/>
    <d v="2018-09-14T00:00:00"/>
    <x v="4"/>
    <x v="4"/>
    <x v="0"/>
    <s v="FUERZAS DE VENTAS PANAMA"/>
    <s v="VIATICOS"/>
    <s v="TRANSACCIONES DEL DIA 09/14/2018SPYRAL - GESTION ADMINISTRATIVA"/>
    <n v="10.85"/>
    <n v="0"/>
    <s v="NEGOCIOS"/>
    <x v="1"/>
  </r>
  <r>
    <n v="91"/>
    <d v="2018-09-17T00:00:00"/>
    <x v="4"/>
    <x v="4"/>
    <x v="0"/>
    <s v="FUERZAS DE VENTAS PANAMA"/>
    <s v="VIATICOS"/>
    <s v="TRANSACCIONES DEL DIA 09/17/2018SPYRAL - GESTION ADMINISTRATIVA"/>
    <n v="29.83"/>
    <n v="0"/>
    <s v="NEGOCIOS"/>
    <x v="1"/>
  </r>
  <r>
    <n v="91"/>
    <d v="2018-09-22T00:00:00"/>
    <x v="4"/>
    <x v="4"/>
    <x v="0"/>
    <s v="FUERZAS DE VENTAS PANAMA"/>
    <s v="VIATICOS"/>
    <s v="TRANSACCIONES DEL DIA 09/22/2018SPYRAL - GESTION ADMINISTRATIVA"/>
    <n v="10.67"/>
    <n v="0"/>
    <s v="NEGOCIOS"/>
    <x v="1"/>
  </r>
  <r>
    <n v="91"/>
    <d v="2018-09-24T00:00:00"/>
    <x v="4"/>
    <x v="4"/>
    <x v="0"/>
    <s v="FUERZAS DE VENTAS PANAMA"/>
    <s v="VIATICOS"/>
    <s v="TRANSACCIONES DEL DIA 09/24/2018SPYRAL - GESTION ADMINISTRATIVA"/>
    <n v="9.98"/>
    <n v="0"/>
    <s v="NEGOCIOS"/>
    <x v="1"/>
  </r>
  <r>
    <n v="91"/>
    <d v="2018-09-26T00:00:00"/>
    <x v="4"/>
    <x v="4"/>
    <x v="0"/>
    <s v="FUERZAS DE VENTAS PANAMA"/>
    <s v="VIATICOS"/>
    <s v="TRANSACCIONES DEL DIA 09/26/2018SPYRAL - GESTION ADMINISTRATIVA"/>
    <n v="10"/>
    <n v="0"/>
    <s v="NEGOCIOS"/>
    <x v="1"/>
  </r>
  <r>
    <n v="91"/>
    <d v="2018-09-27T00:00:00"/>
    <x v="4"/>
    <x v="4"/>
    <x v="0"/>
    <s v="FUERZAS DE VENTAS PANAMA"/>
    <s v="VIATICOS"/>
    <s v="TRANSACCIONES DEL DIA 09/27/2018SPYRAL - GESTION ADMINISTRATIVA"/>
    <n v="19.71"/>
    <n v="0"/>
    <s v="NEGOCIOS"/>
    <x v="1"/>
  </r>
  <r>
    <n v="91"/>
    <d v="2018-10-01T00:00:00"/>
    <x v="0"/>
    <x v="0"/>
    <x v="0"/>
    <s v="FUERZAS DE VENTAS PANAMA"/>
    <s v="VIATICOS"/>
    <s v="TRANSACCIONES DEL DIA 10/01/2018SPYRAL - GESTION ADMINISTRATIVA"/>
    <n v="37.01"/>
    <n v="0"/>
    <s v="NEGOCIOS"/>
    <x v="1"/>
  </r>
  <r>
    <n v="91"/>
    <d v="2018-10-02T00:00:00"/>
    <x v="0"/>
    <x v="0"/>
    <x v="0"/>
    <s v="FUERZAS DE VENTAS PANAMA"/>
    <s v="VIATICOS 2"/>
    <s v="TRANSACCIONES DEL DIA 10/02/2018SPYRAL - GESTION ADMINISTRATIVA"/>
    <n v="2100"/>
    <n v="0"/>
    <s v="NEGOCIOS"/>
    <x v="1"/>
  </r>
  <r>
    <n v="91"/>
    <d v="2018-10-05T00:00:00"/>
    <x v="0"/>
    <x v="0"/>
    <x v="0"/>
    <s v="FUERZAS DE VENTAS PANAMA"/>
    <s v="VIATICOS"/>
    <s v="TRANSACCIONES DEL DIA 10/05/2018SPYRAL - GESTION ADMINISTRATIVA"/>
    <n v="21.98"/>
    <n v="0"/>
    <s v="NEGOCIOS"/>
    <x v="1"/>
  </r>
  <r>
    <n v="91"/>
    <d v="2018-10-08T00:00:00"/>
    <x v="0"/>
    <x v="0"/>
    <x v="0"/>
    <s v="FUERZAS DE VENTAS PANAMA"/>
    <s v="VIATICOS"/>
    <s v="TRANSACCIONES DEL DIA 10/08/2018SPYRAL - GESTION ADMINISTRATIVA"/>
    <n v="9.81"/>
    <n v="0"/>
    <s v="NEGOCIOS"/>
    <x v="1"/>
  </r>
  <r>
    <n v="91"/>
    <d v="2018-10-09T00:00:00"/>
    <x v="0"/>
    <x v="0"/>
    <x v="0"/>
    <s v="FUERZAS DE VENTAS PANAMA"/>
    <s v="VIATICOS"/>
    <s v="TRANSACCIONES DEL DIA 10/09/2018SPYRAL - GESTION ADMINISTRATIVA"/>
    <n v="20"/>
    <n v="0"/>
    <s v="NEGOCIOS"/>
    <x v="1"/>
  </r>
  <r>
    <n v="91"/>
    <d v="2018-10-17T00:00:00"/>
    <x v="0"/>
    <x v="0"/>
    <x v="0"/>
    <s v="FUERZAS DE VENTAS PANAMA"/>
    <s v="VIATICOS"/>
    <s v="TRANSACCIONES DEL DIA 10/17/2018SPYRAL - GESTION ADMINISTRATIVA"/>
    <n v="27.54"/>
    <n v="0"/>
    <s v="NEGOCIOS"/>
    <x v="1"/>
  </r>
  <r>
    <n v="91"/>
    <d v="2018-10-19T00:00:00"/>
    <x v="0"/>
    <x v="0"/>
    <x v="0"/>
    <s v="FUERZAS DE VENTAS PANAMA"/>
    <s v="VIATICOS"/>
    <s v="TRANSACCIONES DEL DIA 10/19/2018SPYRAL - GESTION ADMINISTRATIVA"/>
    <n v="29.46"/>
    <n v="0"/>
    <s v="NEGOCIOS"/>
    <x v="1"/>
  </r>
  <r>
    <n v="91"/>
    <d v="2018-10-22T00:00:00"/>
    <x v="0"/>
    <x v="0"/>
    <x v="0"/>
    <s v="FUERZAS DE VENTAS PANAMA"/>
    <s v="VIATICOS"/>
    <s v="TRANSACCIONES DEL DIA 10/22/2018SPYRAL - GESTION ADMINISTRATIVA"/>
    <n v="41.6"/>
    <n v="0"/>
    <s v="NEGOCIOS"/>
    <x v="1"/>
  </r>
  <r>
    <n v="91"/>
    <d v="2018-10-23T00:00:00"/>
    <x v="0"/>
    <x v="0"/>
    <x v="0"/>
    <s v="FUERZAS DE VENTAS PANAMA"/>
    <s v="VIATICOS"/>
    <s v="TRANSACCIONES DEL DIA 10/23/2018SPYRAL - GESTION ADMINISTRATIVA"/>
    <n v="14.03"/>
    <n v="0"/>
    <s v="NEGOCIOS"/>
    <x v="1"/>
  </r>
  <r>
    <n v="91"/>
    <d v="2018-10-24T00:00:00"/>
    <x v="0"/>
    <x v="0"/>
    <x v="0"/>
    <s v="FUERZAS DE VENTAS PANAMA"/>
    <s v="VIATICOS"/>
    <s v="TRANSACCIONES DEL DIA 10/24/2018SPYRAL - GESTION ADMINISTRATIVA"/>
    <n v="49"/>
    <n v="0"/>
    <s v="NEGOCIOS"/>
    <x v="1"/>
  </r>
  <r>
    <n v="91"/>
    <d v="2018-11-01T00:00:00"/>
    <x v="5"/>
    <x v="5"/>
    <x v="0"/>
    <s v="FUERZAS DE VENTAS PANAMA"/>
    <s v="VIATICOS"/>
    <s v="TRANSACCIONES DEL DIA 11/01/2018SPYRAL - GESTION ADMINISTRATIVA"/>
    <n v="186.89"/>
    <n v="0"/>
    <s v="NEGOCIOS"/>
    <x v="1"/>
  </r>
  <r>
    <n v="91"/>
    <d v="2018-11-02T00:00:00"/>
    <x v="5"/>
    <x v="5"/>
    <x v="0"/>
    <s v="FUERZAS DE VENTAS PANAMA"/>
    <s v="VIATICOS"/>
    <s v="TRANSACCIONES DEL DIA 11/02/2018SPYRAL - GESTION ADMINISTRATIVA"/>
    <n v="5.25"/>
    <n v="0"/>
    <s v="NEGOCIOS"/>
    <x v="1"/>
  </r>
  <r>
    <n v="91"/>
    <d v="2018-11-02T00:00:00"/>
    <x v="5"/>
    <x v="5"/>
    <x v="0"/>
    <s v="FUERZAS DE VENTAS PANAMA"/>
    <s v="VIATICOS 2"/>
    <s v="TRANSACCIONES DEL DIA 11/02/2018SPYRAL - GESTION ADMINISTRATIVA"/>
    <n v="2250"/>
    <n v="0"/>
    <s v="NEGOCIOS"/>
    <x v="1"/>
  </r>
  <r>
    <n v="91"/>
    <d v="2018-11-06T00:00:00"/>
    <x v="5"/>
    <x v="5"/>
    <x v="0"/>
    <s v="FUERZAS DE VENTAS PANAMA"/>
    <s v="VIATICOS"/>
    <s v="TRANSACCIONES DEL DIA 11/06/2018SPYRAL - GESTION ADMINISTRATIVA"/>
    <n v="17.399999999999999"/>
    <n v="0"/>
    <s v="NEGOCIOS"/>
    <x v="1"/>
  </r>
  <r>
    <n v="91"/>
    <d v="2018-11-07T00:00:00"/>
    <x v="5"/>
    <x v="5"/>
    <x v="0"/>
    <s v="FUERZAS DE VENTAS PANAMA"/>
    <s v="VIATICOS"/>
    <s v="TRANSACCIONES DEL DIA 11/07/2018SPYRAL - GESTION ADMINISTRATIVA"/>
    <n v="4.37"/>
    <n v="0"/>
    <s v="NEGOCIOS"/>
    <x v="1"/>
  </r>
  <r>
    <n v="91"/>
    <d v="2018-11-09T00:00:00"/>
    <x v="5"/>
    <x v="5"/>
    <x v="0"/>
    <s v="FUERZAS DE VENTAS PANAMA"/>
    <s v="VIATICOS"/>
    <s v="TRANSACCIONES DEL DIA 11/09/2018SPYRAL - GESTION ADMINISTRATIVA"/>
    <n v="16.28"/>
    <n v="0"/>
    <s v="NEGOCIOS"/>
    <x v="1"/>
  </r>
  <r>
    <n v="91"/>
    <d v="2018-11-16T00:00:00"/>
    <x v="5"/>
    <x v="5"/>
    <x v="0"/>
    <s v="FUERZAS DE VENTAS PANAMA"/>
    <s v="VIATICOS"/>
    <s v="TRANSACCIONES DEL DIA 11/16/2018SPYRAL - GESTION ADMINISTRATIVA"/>
    <n v="29.04"/>
    <n v="0"/>
    <s v="NEGOCIOS"/>
    <x v="1"/>
  </r>
  <r>
    <n v="91"/>
    <d v="2018-11-21T00:00:00"/>
    <x v="5"/>
    <x v="5"/>
    <x v="0"/>
    <s v="FUERZAS DE VENTAS PANAMA"/>
    <s v="VIATICOS"/>
    <s v="TRANSACCIONES DEL DIA 11/21/2018SPYRAL - GESTION ADMINISTRATIVA"/>
    <n v="80"/>
    <n v="0"/>
    <s v="NEGOCIOS"/>
    <x v="1"/>
  </r>
  <r>
    <n v="91"/>
    <d v="2018-11-24T00:00:00"/>
    <x v="5"/>
    <x v="5"/>
    <x v="0"/>
    <s v="FUERZAS DE VENTAS PANAMA"/>
    <s v="VIATICOS"/>
    <s v="TRANSACCIONES DEL DIA 11/24/2018SPYRAL - GESTION ADMINISTRATIVA"/>
    <n v="22.45"/>
    <n v="0"/>
    <s v="NEGOCIOS"/>
    <x v="1"/>
  </r>
  <r>
    <n v="91"/>
    <d v="2018-11-27T00:00:00"/>
    <x v="5"/>
    <x v="5"/>
    <x v="0"/>
    <s v="FUERZAS DE VENTAS PANAMA"/>
    <s v="VIATICOS"/>
    <s v="TRANSACCIONES DEL DIA 11/27/2018SPYRAL - GESTION ADMINISTRATIVA"/>
    <n v="14.17"/>
    <n v="0"/>
    <s v="NEGOCIOS"/>
    <x v="1"/>
  </r>
  <r>
    <n v="91"/>
    <d v="2018-12-03T00:00:00"/>
    <x v="1"/>
    <x v="1"/>
    <x v="0"/>
    <s v="FUERZAS DE VENTAS PANAMA"/>
    <s v="VIATICOS"/>
    <s v="TRANSACCIONES DEL DIA 12/03/2018SPYRAL - GESTION ADMINISTRATIVA"/>
    <n v="9.34"/>
    <n v="0"/>
    <s v="NEGOCIOS"/>
    <x v="1"/>
  </r>
  <r>
    <n v="91"/>
    <d v="2018-12-04T00:00:00"/>
    <x v="1"/>
    <x v="1"/>
    <x v="0"/>
    <s v="FUERZAS DE VENTAS PANAMA"/>
    <s v="VIATICOS 2"/>
    <s v="TRANSACCIONES DEL DIA 12/04/2018SPYRAL - GESTION ADMINISTRATIVA"/>
    <n v="2100"/>
    <n v="0"/>
    <s v="NEGOCIOS"/>
    <x v="1"/>
  </r>
  <r>
    <n v="91"/>
    <d v="2018-12-05T00:00:00"/>
    <x v="1"/>
    <x v="1"/>
    <x v="0"/>
    <s v="FUERZAS DE VENTAS PANAMA"/>
    <s v="VIATICOS"/>
    <s v="TRANSACCIONES DEL DIA 12/05/2018SPYRAL - GESTION ADMINISTRATIVA"/>
    <n v="11.44"/>
    <n v="0"/>
    <s v="NEGOCIOS"/>
    <x v="1"/>
  </r>
  <r>
    <n v="91"/>
    <d v="2018-12-06T00:00:00"/>
    <x v="1"/>
    <x v="1"/>
    <x v="0"/>
    <s v="FUERZAS DE VENTAS PANAMA"/>
    <s v="VIATICOS"/>
    <s v="TRANSACCIONES DEL DIA 12/06/2018SPYRAL - GESTION ADMINISTRATIVA"/>
    <n v="20.100000000000001"/>
    <n v="0"/>
    <s v="NEGOCIOS"/>
    <x v="1"/>
  </r>
  <r>
    <n v="91"/>
    <d v="2018-12-10T00:00:00"/>
    <x v="1"/>
    <x v="1"/>
    <x v="0"/>
    <s v="FUERZAS DE VENTAS PANAMA"/>
    <s v="VIATICOS 2"/>
    <s v="TRANSACCIONES DEL DIA 12/10/2018SPYRAL - GESTION ADMINISTRATIVA"/>
    <n v="360"/>
    <n v="0"/>
    <s v="NEGOCIOS"/>
    <x v="1"/>
  </r>
  <r>
    <n v="91"/>
    <d v="2018-12-13T00:00:00"/>
    <x v="1"/>
    <x v="1"/>
    <x v="0"/>
    <s v="FUERZAS DE VENTAS PANAMA"/>
    <s v="VIATICOS"/>
    <s v="TRANSACCIONES DEL DIA 12/13/2018SPYRAL - GESTION ADMINISTRATIVA"/>
    <n v="210"/>
    <n v="0"/>
    <s v="NEGOCIOS"/>
    <x v="1"/>
  </r>
  <r>
    <n v="91"/>
    <d v="2018-12-14T00:00:00"/>
    <x v="1"/>
    <x v="1"/>
    <x v="0"/>
    <s v="FUERZAS DE VENTAS PANAMA"/>
    <s v="VIATICOS"/>
    <s v="TRANSACCIONES DEL DIA 12/14/2018SPYRAL - GESTION ADMINISTRATIVA"/>
    <n v="42"/>
    <n v="0"/>
    <s v="NEGOCIOS"/>
    <x v="1"/>
  </r>
  <r>
    <n v="91"/>
    <d v="2018-12-17T00:00:00"/>
    <x v="1"/>
    <x v="1"/>
    <x v="0"/>
    <s v="FUERZAS DE VENTAS PANAMA"/>
    <s v="VIATICOS"/>
    <s v="TRANSACCIONES DEL DIA 12/17/2018SPYRAL - GESTION ADMINISTRATIVA"/>
    <n v="24.03"/>
    <n v="0"/>
    <s v="NEGOCIOS"/>
    <x v="1"/>
  </r>
  <r>
    <n v="91"/>
    <d v="2018-12-19T00:00:00"/>
    <x v="1"/>
    <x v="1"/>
    <x v="0"/>
    <s v="FUERZAS DE VENTAS PANAMA"/>
    <s v="VIATICOS"/>
    <s v="TRANSACCIONES DEL DIA 12/19/2018SPYRAL - GESTION ADMINISTRATIVA"/>
    <n v="11.03"/>
    <n v="0"/>
    <s v="NEGOCIOS"/>
    <x v="1"/>
  </r>
  <r>
    <n v="91"/>
    <d v="2018-12-21T00:00:00"/>
    <x v="1"/>
    <x v="1"/>
    <x v="0"/>
    <s v="FUERZAS DE VENTAS PANAMA"/>
    <s v="VIATICOS"/>
    <s v="TRANSACCIONES DEL DIA 12/21/2018SPYRAL - GESTION ADMINISTRATIVA"/>
    <n v="10.49"/>
    <n v="0"/>
    <s v="NEGOCIOS"/>
    <x v="1"/>
  </r>
  <r>
    <n v="91"/>
    <d v="2018-12-24T00:00:00"/>
    <x v="1"/>
    <x v="1"/>
    <x v="0"/>
    <s v="FUERZAS DE VENTAS PANAMA"/>
    <s v="VIATICOS"/>
    <s v="TRANSACCIONES DEL DIA 12/24/2018SPYRAL - GESTION ADMINISTRATIVA"/>
    <n v="38.799999999999997"/>
    <n v="0"/>
    <s v="NEGOCIOS"/>
    <x v="1"/>
  </r>
  <r>
    <n v="91"/>
    <d v="2018-12-31T00:00:00"/>
    <x v="1"/>
    <x v="1"/>
    <x v="0"/>
    <s v="FUERZAS DE VENTAS PANAMA"/>
    <s v="CIERRE DE ANIO FISCAL"/>
    <s v="CIERRE_DE_CTAS_NOMINALES"/>
    <n v="0"/>
    <n v="34721.699999999997"/>
    <s v="NEGOCIOS"/>
    <x v="1"/>
  </r>
  <r>
    <n v="91"/>
    <d v="2018-06-02T00:00:00"/>
    <x v="2"/>
    <x v="2"/>
    <x v="0"/>
    <s v="FUERZA DE VENTAS AUTOS"/>
    <s v="VIATICOS 2"/>
    <s v="TRANSACCIONES DEL DIA 06/02/2018SPYRAL - GESTION ADMINISTRATIVA"/>
    <n v="300"/>
    <n v="0"/>
    <s v="NEGOCIOS"/>
    <x v="1"/>
  </r>
  <r>
    <n v="91"/>
    <d v="2018-06-14T00:00:00"/>
    <x v="2"/>
    <x v="2"/>
    <x v="0"/>
    <s v="FUERZA DE VENTAS AUTOS"/>
    <s v="VIATICOS"/>
    <s v="TRANSACCIONES DEL DIA 06/14/2018SPYRAL - GESTION ADMINISTRATIVA"/>
    <n v="46.33"/>
    <n v="0"/>
    <s v="NEGOCIOS"/>
    <x v="1"/>
  </r>
  <r>
    <n v="91"/>
    <d v="2018-06-22T00:00:00"/>
    <x v="2"/>
    <x v="2"/>
    <x v="0"/>
    <s v="FUERZA DE VENTAS AUTOS"/>
    <s v="VIATICOS"/>
    <s v="TRANSACCIONES DEL DIA 06/22/2018SPYRAL - GESTION ADMINISTRATIVA"/>
    <n v="8"/>
    <n v="0"/>
    <s v="NEGOCIOS"/>
    <x v="1"/>
  </r>
  <r>
    <n v="91"/>
    <d v="2018-07-03T00:00:00"/>
    <x v="6"/>
    <x v="6"/>
    <x v="0"/>
    <s v="FUERZA DE VENTAS AUTOS"/>
    <s v="VIATICOS 2"/>
    <s v="TRANSACCIONES DEL DIA 07/03/2018SPYRAL - GESTION ADMINISTRATIVA"/>
    <n v="300"/>
    <n v="0"/>
    <s v="NEGOCIOS"/>
    <x v="1"/>
  </r>
  <r>
    <n v="91"/>
    <d v="2018-07-09T00:00:00"/>
    <x v="6"/>
    <x v="6"/>
    <x v="0"/>
    <s v="FUERZA DE VENTAS AUTOS"/>
    <s v="NC VIATICOS"/>
    <s v="TRANSACCIONES DEL DIA 07/09/2018SPYRAL - GESTION ADMINISTRATIVA"/>
    <n v="114.23"/>
    <n v="0"/>
    <s v="NEGOCIOS"/>
    <x v="1"/>
  </r>
  <r>
    <n v="91"/>
    <d v="2018-07-13T00:00:00"/>
    <x v="6"/>
    <x v="6"/>
    <x v="0"/>
    <s v="FUERZA DE VENTAS AUTOS"/>
    <s v="VIATICOS"/>
    <s v="TRANSACCIONES DEL DIA 07/13/2018SPYRAL - GESTION ADMINISTRATIVA"/>
    <n v="145"/>
    <n v="0"/>
    <s v="NEGOCIOS"/>
    <x v="1"/>
  </r>
  <r>
    <n v="91"/>
    <d v="2018-07-30T00:00:00"/>
    <x v="6"/>
    <x v="6"/>
    <x v="0"/>
    <s v="FUERZA DE VENTAS AUTOS"/>
    <s v="VIATICOS"/>
    <s v="TRANSACCIONES DEL DIA 07/30/2018SPYRAL - GESTION ADMINISTRATIVA"/>
    <n v="57"/>
    <n v="0"/>
    <s v="NEGOCIOS"/>
    <x v="1"/>
  </r>
  <r>
    <n v="91"/>
    <d v="2018-08-02T00:00:00"/>
    <x v="3"/>
    <x v="3"/>
    <x v="0"/>
    <s v="FUERZA DE VENTAS AUTOS"/>
    <s v="VIATICOS 2"/>
    <s v="TRANSACCIONES DEL DIA 08/02/2018SPYRAL - GESTION ADMINISTRATIVA"/>
    <n v="300"/>
    <n v="0"/>
    <s v="NEGOCIOS"/>
    <x v="1"/>
  </r>
  <r>
    <n v="91"/>
    <d v="2018-08-02T00:00:00"/>
    <x v="3"/>
    <x v="3"/>
    <x v="0"/>
    <s v="FUERZA DE VENTAS AUTOS"/>
    <s v="NC VIATICOS"/>
    <s v="TRANSACCIONES DEL DIA 08/02/2018SPYRAL - GESTION ADMINISTRATIVA"/>
    <n v="0"/>
    <n v="150"/>
    <s v="NEGOCIOS"/>
    <x v="1"/>
  </r>
  <r>
    <n v="91"/>
    <d v="2018-08-08T00:00:00"/>
    <x v="3"/>
    <x v="3"/>
    <x v="0"/>
    <s v="FUERZA DE VENTAS AUTOS"/>
    <s v="VIATICOS"/>
    <s v="TRANSACCIONES DEL DIA 08/08/2018SPYRAL - GESTION ADMINISTRATIVA"/>
    <n v="126.96"/>
    <n v="0"/>
    <s v="NEGOCIOS"/>
    <x v="1"/>
  </r>
  <r>
    <n v="91"/>
    <d v="2018-08-11T00:00:00"/>
    <x v="3"/>
    <x v="3"/>
    <x v="0"/>
    <s v="FUERZA DE VENTAS AUTOS"/>
    <s v="VIATICOS"/>
    <s v="TRANSACCIONES DEL DIA 08/11/2018SPYRAL - GESTION ADMINISTRATIVA"/>
    <n v="52.8"/>
    <n v="0"/>
    <s v="NEGOCIOS"/>
    <x v="1"/>
  </r>
  <r>
    <n v="91"/>
    <d v="2018-08-13T00:00:00"/>
    <x v="3"/>
    <x v="3"/>
    <x v="0"/>
    <s v="FUERZA DE VENTAS AUTOS"/>
    <s v="VIATICOS"/>
    <s v="TRANSACCIONES DEL DIA 08/13/2018SPYRAL - GESTION ADMINISTRATIVA"/>
    <n v="64"/>
    <n v="0"/>
    <s v="NEGOCIOS"/>
    <x v="1"/>
  </r>
  <r>
    <n v="91"/>
    <d v="2018-08-14T00:00:00"/>
    <x v="3"/>
    <x v="3"/>
    <x v="0"/>
    <s v="FUERZA DE VENTAS AUTOS"/>
    <s v="VIATICOS 2"/>
    <s v="TRANSACCIONES DEL DIA 08/14/2018SPYRAL - GESTION ADMINISTRATIVA"/>
    <n v="851.9"/>
    <n v="0"/>
    <s v="NEGOCIOS"/>
    <x v="1"/>
  </r>
  <r>
    <n v="91"/>
    <d v="2018-09-04T00:00:00"/>
    <x v="4"/>
    <x v="4"/>
    <x v="0"/>
    <s v="FUERZA DE VENTAS AUTOS"/>
    <s v="VIATICOS 2"/>
    <s v="TRANSACCIONES DEL DIA 09/04/2018SPYRAL - GESTION ADMINISTRATIVA"/>
    <n v="300"/>
    <n v="0"/>
    <s v="NEGOCIOS"/>
    <x v="1"/>
  </r>
  <r>
    <n v="91"/>
    <d v="2018-10-02T00:00:00"/>
    <x v="0"/>
    <x v="0"/>
    <x v="0"/>
    <s v="FUERZA DE VENTAS AUTOS"/>
    <s v="VIATICOS 2"/>
    <s v="TRANSACCIONES DEL DIA 10/02/2018SPYRAL - GESTION ADMINISTRATIVA"/>
    <n v="300"/>
    <n v="0"/>
    <s v="NEGOCIOS"/>
    <x v="1"/>
  </r>
  <r>
    <n v="91"/>
    <d v="2018-10-03T00:00:00"/>
    <x v="0"/>
    <x v="0"/>
    <x v="0"/>
    <s v="FUERZA DE VENTAS AUTOS"/>
    <s v="VIATICOS"/>
    <s v="TRANSACCIONES DEL DIA 10/03/2018SPYRAL - GESTION ADMINISTRATIVA"/>
    <n v="82"/>
    <n v="0"/>
    <s v="NEGOCIOS"/>
    <x v="1"/>
  </r>
  <r>
    <n v="91"/>
    <d v="2018-11-02T00:00:00"/>
    <x v="5"/>
    <x v="5"/>
    <x v="0"/>
    <s v="FUERZA DE VENTAS AUTOS"/>
    <s v="VIATICOS 2"/>
    <s v="TRANSACCIONES DEL DIA 11/02/2018SPYRAL - GESTION ADMINISTRATIVA"/>
    <n v="300"/>
    <n v="0"/>
    <s v="NEGOCIOS"/>
    <x v="1"/>
  </r>
  <r>
    <n v="91"/>
    <d v="2018-11-06T00:00:00"/>
    <x v="5"/>
    <x v="5"/>
    <x v="0"/>
    <s v="FUERZA DE VENTAS AUTOS"/>
    <s v="NC VIATICOS"/>
    <s v="TRANSACCIONES DEL DIA 11/06/2018SPYRAL - GESTION ADMINISTRATIVA"/>
    <n v="0"/>
    <n v="150"/>
    <s v="NEGOCIOS"/>
    <x v="1"/>
  </r>
  <r>
    <n v="91"/>
    <d v="2018-11-09T00:00:00"/>
    <x v="5"/>
    <x v="5"/>
    <x v="0"/>
    <s v="FUERZA DE VENTAS AUTOS"/>
    <s v="VIATICOS 2"/>
    <s v="TRANSACCIONES DEL DIA 11/09/2018SPYRAL - GESTION ADMINISTRATIVA"/>
    <n v="3198.1"/>
    <n v="0"/>
    <s v="NEGOCIOS"/>
    <x v="1"/>
  </r>
  <r>
    <n v="91"/>
    <d v="2018-11-12T00:00:00"/>
    <x v="5"/>
    <x v="5"/>
    <x v="0"/>
    <s v="FUERZA DE VENTAS AUTOS"/>
    <s v="VIATICOS"/>
    <s v="TRANSACCIONES DEL DIA 11/12/2018SPYRAL - GESTION ADMINISTRATIVA"/>
    <n v="196"/>
    <n v="0"/>
    <s v="NEGOCIOS"/>
    <x v="1"/>
  </r>
  <r>
    <n v="91"/>
    <d v="2018-12-04T00:00:00"/>
    <x v="1"/>
    <x v="1"/>
    <x v="0"/>
    <s v="FUERZA DE VENTAS AUTOS"/>
    <s v="VIATICOS 2"/>
    <s v="TRANSACCIONES DEL DIA 12/04/2018SPYRAL - GESTION ADMINISTRATIVA"/>
    <n v="150"/>
    <n v="0"/>
    <s v="NEGOCIOS"/>
    <x v="1"/>
  </r>
  <r>
    <n v="91"/>
    <d v="2018-12-31T00:00:00"/>
    <x v="1"/>
    <x v="1"/>
    <x v="0"/>
    <s v="FUERZA DE VENTAS AUTOS"/>
    <s v="CIERRE DE ANIO FISCAL"/>
    <s v="CIERRE_DE_CTAS_NOMINALES"/>
    <n v="0"/>
    <n v="10217.549999999999"/>
    <s v="NEGOCIOS"/>
    <x v="1"/>
  </r>
  <r>
    <n v="91"/>
    <d v="2018-11-16T00:00:00"/>
    <x v="5"/>
    <x v="5"/>
    <x v="0"/>
    <s v="FUERZA DE VENTAS INTERIOR"/>
    <s v="VIATICOS 2"/>
    <s v="TRANSACCIONES DEL DIA 11/16/2018SPYRAL - GESTION ADMINISTRATIVA"/>
    <n v="280"/>
    <n v="0"/>
    <s v="NEGOCIOS"/>
    <x v="1"/>
  </r>
  <r>
    <n v="91"/>
    <d v="2018-11-16T00:00:00"/>
    <x v="5"/>
    <x v="5"/>
    <x v="0"/>
    <s v="FUERZA DE VENTAS INTERIOR"/>
    <s v="VIATICOS"/>
    <s v="TRANSACCIONES DEL DIA 11/16/2018SPYRAL - GESTION ADMINISTRATIVA"/>
    <n v="195"/>
    <n v="0"/>
    <s v="NEGOCIOS"/>
    <x v="1"/>
  </r>
  <r>
    <n v="91"/>
    <d v="2018-12-04T00:00:00"/>
    <x v="1"/>
    <x v="1"/>
    <x v="0"/>
    <s v="FUERZA DE VENTAS INTERIOR"/>
    <s v="VIATICOS"/>
    <s v="TRANSACCIONES DEL DIA 12/04/2018SPYRAL - GESTION ADMINISTRATIVA"/>
    <n v="45"/>
    <n v="0"/>
    <s v="NEGOCIOS"/>
    <x v="1"/>
  </r>
  <r>
    <n v="91"/>
    <d v="2018-12-31T00:00:00"/>
    <x v="1"/>
    <x v="1"/>
    <x v="0"/>
    <s v="FUERZA DE VENTAS INTERIOR"/>
    <s v="CIERRE DE ANIO FISCAL"/>
    <s v="CIERRE_DE_CTAS_NOMINALES"/>
    <n v="0"/>
    <n v="520"/>
    <s v="NEGOCIOS"/>
    <x v="1"/>
  </r>
  <r>
    <n v="91"/>
    <d v="2018-06-14T00:00:00"/>
    <x v="2"/>
    <x v="2"/>
    <x v="0"/>
    <s v="SEGMENTO DE NEGOCIOS"/>
    <s v="VIATICOS"/>
    <s v="TRANSACCIONES DEL DIA 06/14/2018SPYRAL - GESTION ADMINISTRATIVA"/>
    <n v="27.9"/>
    <n v="0"/>
    <s v="NEGOCIOS"/>
    <x v="1"/>
  </r>
  <r>
    <n v="91"/>
    <d v="2018-07-19T00:00:00"/>
    <x v="6"/>
    <x v="6"/>
    <x v="0"/>
    <s v="SEGMENTO DE NEGOCIOS"/>
    <s v="VIATICOS"/>
    <s v="TRANSACCIONES DEL DIA 07/19/2018SPYRAL - GESTION ADMINISTRATIVA"/>
    <n v="36.590000000000003"/>
    <n v="0"/>
    <s v="NEGOCIOS"/>
    <x v="1"/>
  </r>
  <r>
    <n v="91"/>
    <d v="2018-08-10T00:00:00"/>
    <x v="3"/>
    <x v="3"/>
    <x v="0"/>
    <s v="SEGMENTO DE NEGOCIOS"/>
    <s v="VIATICOS"/>
    <s v="TRANSACCIONES DEL DIA 08/10/2018SPYRAL - GESTION ADMINISTRATIVA"/>
    <n v="7.2"/>
    <n v="0"/>
    <s v="NEGOCIOS"/>
    <x v="1"/>
  </r>
  <r>
    <n v="91"/>
    <d v="2018-08-29T00:00:00"/>
    <x v="3"/>
    <x v="3"/>
    <x v="0"/>
    <s v="SEGMENTO DE NEGOCIOS"/>
    <s v="VIATICOS"/>
    <s v="TRANSACCIONES DEL DIA 08/29/2018SPYRAL - GESTION ADMINISTRATIVA"/>
    <n v="25.68"/>
    <n v="0"/>
    <s v="NEGOCIOS"/>
    <x v="1"/>
  </r>
  <r>
    <n v="91"/>
    <d v="2018-09-27T00:00:00"/>
    <x v="4"/>
    <x v="4"/>
    <x v="0"/>
    <s v="SEGMENTO DE NEGOCIOS"/>
    <s v="VIATICOS"/>
    <s v="TRANSACCIONES DEL DIA 09/27/2018SPYRAL - GESTION ADMINISTRATIVA"/>
    <n v="99.54"/>
    <n v="0"/>
    <s v="NEGOCIOS"/>
    <x v="1"/>
  </r>
  <r>
    <n v="91"/>
    <d v="2018-09-28T00:00:00"/>
    <x v="4"/>
    <x v="4"/>
    <x v="0"/>
    <s v="SEGMENTO DE NEGOCIOS"/>
    <s v="NC VIATICOS"/>
    <s v="TRANSACCIONES DEL DIA 09/28/2018SPYRAL - GESTION ADMINISTRATIVA"/>
    <n v="152.5"/>
    <n v="0"/>
    <s v="NEGOCIOS"/>
    <x v="1"/>
  </r>
  <r>
    <n v="91"/>
    <d v="2018-10-01T00:00:00"/>
    <x v="0"/>
    <x v="0"/>
    <x v="0"/>
    <s v="SEGMENTO DE NEGOCIOS"/>
    <s v="VIATICOS"/>
    <s v="TRANSACCIONES DEL DIA 10/01/2018SPYRAL - GESTION ADMINISTRATIVA"/>
    <n v="22.6"/>
    <n v="0"/>
    <s v="NEGOCIOS"/>
    <x v="1"/>
  </r>
  <r>
    <n v="91"/>
    <d v="2018-10-05T00:00:00"/>
    <x v="0"/>
    <x v="0"/>
    <x v="0"/>
    <s v="SEGMENTO DE NEGOCIOS"/>
    <s v="VIATICOS"/>
    <s v="TRANSACCIONES DEL DIA 10/05/2018SPYRAL - GESTION ADMINISTRATIVA"/>
    <n v="21.37"/>
    <n v="0"/>
    <s v="NEGOCIOS"/>
    <x v="1"/>
  </r>
  <r>
    <n v="91"/>
    <d v="2018-10-12T00:00:00"/>
    <x v="0"/>
    <x v="0"/>
    <x v="0"/>
    <s v="SEGMENTO DE NEGOCIOS"/>
    <s v="VIATICOS"/>
    <s v="TRANSACCIONES DEL DIA 10/12/2018SPYRAL - GESTION ADMINISTRATIVA"/>
    <n v="25.68"/>
    <n v="0"/>
    <s v="NEGOCIOS"/>
    <x v="1"/>
  </r>
  <r>
    <n v="91"/>
    <d v="2018-10-18T00:00:00"/>
    <x v="0"/>
    <x v="0"/>
    <x v="0"/>
    <s v="SEGMENTO DE NEGOCIOS"/>
    <s v="VIATICOS"/>
    <s v="TRANSACCIONES DEL DIA 10/18/2018SPYRAL - GESTION ADMINISTRATIVA"/>
    <n v="148"/>
    <n v="0"/>
    <s v="NEGOCIOS"/>
    <x v="1"/>
  </r>
  <r>
    <n v="91"/>
    <d v="2018-10-29T00:00:00"/>
    <x v="0"/>
    <x v="0"/>
    <x v="0"/>
    <s v="SEGMENTO DE NEGOCIOS"/>
    <s v="VIATICOS"/>
    <s v="TRANSACCIONES DEL DIA 10/29/2018SPYRAL - GESTION ADMINISTRATIVA"/>
    <n v="70"/>
    <n v="0"/>
    <s v="NEGOCIOS"/>
    <x v="1"/>
  </r>
  <r>
    <n v="91"/>
    <d v="2018-11-16T00:00:00"/>
    <x v="5"/>
    <x v="5"/>
    <x v="0"/>
    <s v="SEGMENTO DE NEGOCIOS"/>
    <s v="VIATICOS"/>
    <s v="TRANSACCIONES DEL DIA 11/16/2018SPYRAL - GESTION ADMINISTRATIVA"/>
    <n v="212.39"/>
    <n v="0"/>
    <s v="NEGOCIOS"/>
    <x v="1"/>
  </r>
  <r>
    <n v="91"/>
    <d v="2018-12-21T00:00:00"/>
    <x v="1"/>
    <x v="1"/>
    <x v="0"/>
    <s v="SEGMENTO DE NEGOCIOS"/>
    <s v="NC VIATICOS"/>
    <s v="TRANSACCIONES DEL DIA 12/21/2018SPYRAL - GESTION ADMINISTRATIVA"/>
    <n v="1385.75"/>
    <n v="0"/>
    <s v="NEGOCIOS"/>
    <x v="1"/>
  </r>
  <r>
    <n v="91"/>
    <d v="2018-12-31T00:00:00"/>
    <x v="1"/>
    <x v="1"/>
    <x v="0"/>
    <s v="SEGMENTO DE NEGOCIOS"/>
    <s v="CIERRE DE ANIO FISCAL"/>
    <s v="CIERRE_DE_CTAS_NOMINALES"/>
    <n v="0"/>
    <n v="3380.35"/>
    <s v="NEGOCIOS"/>
    <x v="1"/>
  </r>
  <r>
    <n v="91"/>
    <d v="2018-06-16T00:00:00"/>
    <x v="2"/>
    <x v="2"/>
    <x v="0"/>
    <s v="BANCA PRIVADA"/>
    <s v="NC VIATICOS"/>
    <s v="TRANSACCIONES DEL DIA 06/16/2018SPYRAL - GESTION ADMINISTRATIVA"/>
    <n v="89.45"/>
    <n v="0"/>
    <s v="NEGOCIOS"/>
    <x v="1"/>
  </r>
  <r>
    <n v="91"/>
    <d v="2018-06-18T00:00:00"/>
    <x v="2"/>
    <x v="2"/>
    <x v="0"/>
    <s v="BANCA PRIVADA"/>
    <s v="VIATICOS"/>
    <s v="TRANSACCIONES DEL DIA 06/18/2018SPYRAL - GESTION ADMINISTRATIVA"/>
    <n v="287.39999999999998"/>
    <n v="0"/>
    <s v="NEGOCIOS"/>
    <x v="1"/>
  </r>
  <r>
    <n v="91"/>
    <d v="2018-06-21T00:00:00"/>
    <x v="2"/>
    <x v="2"/>
    <x v="0"/>
    <s v="BANCA PRIVADA"/>
    <s v="VIATICOS"/>
    <s v="TRANSACCIONES DEL DIA 06/21/2018SPYRAL - GESTION ADMINISTRATIVA"/>
    <n v="20.100000000000001"/>
    <n v="0"/>
    <s v="NEGOCIOS"/>
    <x v="1"/>
  </r>
  <r>
    <n v="91"/>
    <d v="2018-06-26T00:00:00"/>
    <x v="2"/>
    <x v="2"/>
    <x v="0"/>
    <s v="BANCA PRIVADA"/>
    <s v="VIATICOS"/>
    <s v="TRANSACCIONES DEL DIA 06/26/2018SPYRAL - GESTION ADMINISTRATIVA"/>
    <n v="170"/>
    <n v="0"/>
    <s v="NEGOCIOS"/>
    <x v="1"/>
  </r>
  <r>
    <n v="91"/>
    <d v="2018-06-28T00:00:00"/>
    <x v="2"/>
    <x v="2"/>
    <x v="0"/>
    <s v="BANCA PRIVADA"/>
    <s v="VIATICOS"/>
    <s v="TRANSACCIONES DEL DIA 06/28/2018SPYRAL - GESTION ADMINISTRATIVA"/>
    <n v="9.0500000000000007"/>
    <n v="0"/>
    <s v="NEGOCIOS"/>
    <x v="1"/>
  </r>
  <r>
    <n v="91"/>
    <d v="2018-07-03T00:00:00"/>
    <x v="6"/>
    <x v="6"/>
    <x v="0"/>
    <s v="BANCA PRIVADA"/>
    <s v="VIATICOS"/>
    <s v="TRANSACCIONES DEL DIA 07/03/2018SPYRAL - GESTION ADMINISTRATIVA"/>
    <n v="9.0500000000000007"/>
    <n v="0"/>
    <s v="NEGOCIOS"/>
    <x v="1"/>
  </r>
  <r>
    <n v="91"/>
    <d v="2018-07-05T00:00:00"/>
    <x v="6"/>
    <x v="6"/>
    <x v="0"/>
    <s v="BANCA PRIVADA"/>
    <s v="VIATICOS 2"/>
    <s v="TRANSACCIONES DEL DIA 07/05/2018SPYRAL - GESTION ADMINISTRATIVA"/>
    <n v="356"/>
    <n v="0"/>
    <s v="NEGOCIOS"/>
    <x v="1"/>
  </r>
  <r>
    <n v="91"/>
    <d v="2018-07-06T00:00:00"/>
    <x v="6"/>
    <x v="6"/>
    <x v="0"/>
    <s v="BANCA PRIVADA"/>
    <s v="VIATICOS"/>
    <s v="TRANSACCIONES DEL DIA 07/06/2018SPYRAL - GESTION ADMINISTRATIVA"/>
    <n v="12.84"/>
    <n v="0"/>
    <s v="NEGOCIOS"/>
    <x v="1"/>
  </r>
  <r>
    <n v="91"/>
    <d v="2018-07-09T00:00:00"/>
    <x v="6"/>
    <x v="6"/>
    <x v="0"/>
    <s v="BANCA PRIVADA"/>
    <s v="VIATICOS"/>
    <s v="TRANSACCIONES DEL DIA 07/09/2018SPYRAL - GESTION ADMINISTRATIVA"/>
    <n v="17.09"/>
    <n v="0"/>
    <s v="NEGOCIOS"/>
    <x v="1"/>
  </r>
  <r>
    <n v="91"/>
    <d v="2018-07-12T00:00:00"/>
    <x v="6"/>
    <x v="6"/>
    <x v="0"/>
    <s v="BANCA PRIVADA"/>
    <s v="VIATICOS"/>
    <s v="TRANSACCIONES DEL DIA 07/12/2018SPYRAL - GESTION ADMINISTRATIVA"/>
    <n v="50.73"/>
    <n v="0"/>
    <s v="NEGOCIOS"/>
    <x v="1"/>
  </r>
  <r>
    <n v="91"/>
    <d v="2018-07-13T00:00:00"/>
    <x v="6"/>
    <x v="6"/>
    <x v="0"/>
    <s v="BANCA PRIVADA"/>
    <s v="NC VIATICOS"/>
    <s v="TRANSACCIONES DEL DIA 07/13/2018SPYRAL - GESTION ADMINISTRATIVA"/>
    <n v="94"/>
    <n v="0"/>
    <s v="NEGOCIOS"/>
    <x v="1"/>
  </r>
  <r>
    <n v="91"/>
    <d v="2018-07-23T00:00:00"/>
    <x v="6"/>
    <x v="6"/>
    <x v="0"/>
    <s v="BANCA PRIVADA"/>
    <s v="VIATICOS"/>
    <s v="TRANSACCIONES DEL DIA 07/23/2018SPYRAL - GESTION ADMINISTRATIVA"/>
    <n v="95"/>
    <n v="0"/>
    <s v="NEGOCIOS"/>
    <x v="1"/>
  </r>
  <r>
    <n v="91"/>
    <d v="2018-07-26T00:00:00"/>
    <x v="6"/>
    <x v="6"/>
    <x v="0"/>
    <s v="BANCA PRIVADA"/>
    <s v="VIATICOS"/>
    <s v="TRANSACCIONES DEL DIA 07/26/2018SPYRAL - GESTION ADMINISTRATIVA"/>
    <n v="27"/>
    <n v="0"/>
    <s v="NEGOCIOS"/>
    <x v="1"/>
  </r>
  <r>
    <n v="91"/>
    <d v="2018-08-02T00:00:00"/>
    <x v="3"/>
    <x v="3"/>
    <x v="0"/>
    <s v="BANCA PRIVADA"/>
    <s v="VIATICOS"/>
    <s v="TRANSACCIONES DEL DIA 08/02/2018SPYRAL - GESTION ADMINISTRATIVA"/>
    <n v="25"/>
    <n v="0"/>
    <s v="NEGOCIOS"/>
    <x v="1"/>
  </r>
  <r>
    <n v="91"/>
    <d v="2018-08-08T00:00:00"/>
    <x v="3"/>
    <x v="3"/>
    <x v="0"/>
    <s v="BANCA PRIVADA"/>
    <s v="VIATICOS"/>
    <s v="TRANSACCIONES DEL DIA 08/08/2018SPYRAL - GESTION ADMINISTRATIVA"/>
    <n v="202"/>
    <n v="0"/>
    <s v="NEGOCIOS"/>
    <x v="1"/>
  </r>
  <r>
    <n v="91"/>
    <d v="2018-08-09T00:00:00"/>
    <x v="3"/>
    <x v="3"/>
    <x v="0"/>
    <s v="BANCA PRIVADA"/>
    <s v="VIATICOS 2"/>
    <s v="TRANSACCIONES DEL DIA 08/09/2018SPYRAL - GESTION ADMINISTRATIVA"/>
    <n v="239"/>
    <n v="0"/>
    <s v="NEGOCIOS"/>
    <x v="1"/>
  </r>
  <r>
    <n v="91"/>
    <d v="2018-08-13T00:00:00"/>
    <x v="3"/>
    <x v="3"/>
    <x v="0"/>
    <s v="BANCA PRIVADA"/>
    <s v="VIATICOS"/>
    <s v="TRANSACCIONES DEL DIA 08/13/2018SPYRAL - GESTION ADMINISTRATIVA"/>
    <n v="227"/>
    <n v="0"/>
    <s v="NEGOCIOS"/>
    <x v="1"/>
  </r>
  <r>
    <n v="91"/>
    <d v="2018-08-14T00:00:00"/>
    <x v="3"/>
    <x v="3"/>
    <x v="0"/>
    <s v="BANCA PRIVADA"/>
    <s v="NC VIATICOS"/>
    <s v="TRANSACCIONES DEL DIA 08/14/2018SPYRAL - GESTION ADMINISTRATIVA"/>
    <n v="94.65"/>
    <n v="0"/>
    <s v="NEGOCIOS"/>
    <x v="1"/>
  </r>
  <r>
    <n v="91"/>
    <d v="2018-08-15T00:00:00"/>
    <x v="3"/>
    <x v="3"/>
    <x v="0"/>
    <s v="BANCA PRIVADA"/>
    <s v="VIATICOS"/>
    <s v="TRANSACCIONES DEL DIA 08/15/2018SPYRAL - GESTION ADMINISTRATIVA"/>
    <n v="3.34"/>
    <n v="0"/>
    <s v="NEGOCIOS"/>
    <x v="1"/>
  </r>
  <r>
    <n v="91"/>
    <d v="2018-08-22T00:00:00"/>
    <x v="3"/>
    <x v="3"/>
    <x v="0"/>
    <s v="BANCA PRIVADA"/>
    <s v="VIATICOS 2"/>
    <s v="TRANSACCIONES DEL DIA 08/22/2018SPYRAL - GESTION ADMINISTRATIVA"/>
    <n v="340"/>
    <n v="0"/>
    <s v="NEGOCIOS"/>
    <x v="1"/>
  </r>
  <r>
    <n v="91"/>
    <d v="2018-09-01T00:00:00"/>
    <x v="4"/>
    <x v="4"/>
    <x v="0"/>
    <s v="BANCA PRIVADA"/>
    <s v="VIATICOS 2"/>
    <s v="TRANSACCIONES DEL DIA 09/01/2018SPYRAL - GESTION ADMINISTRATIVA"/>
    <n v="513.05999999999995"/>
    <n v="0"/>
    <s v="NEGOCIOS"/>
    <x v="1"/>
  </r>
  <r>
    <n v="91"/>
    <d v="2018-09-18T00:00:00"/>
    <x v="4"/>
    <x v="4"/>
    <x v="0"/>
    <s v="BANCA PRIVADA"/>
    <s v="NC VIATICOS"/>
    <s v="TRANSACCIONES DEL DIA 09/18/2018SPYRAL - GESTION ADMINISTRATIVA"/>
    <n v="99.55"/>
    <n v="0"/>
    <s v="NEGOCIOS"/>
    <x v="1"/>
  </r>
  <r>
    <n v="91"/>
    <d v="2018-09-20T00:00:00"/>
    <x v="4"/>
    <x v="4"/>
    <x v="0"/>
    <s v="BANCA PRIVADA"/>
    <s v="VIATICOS"/>
    <s v="TRANSACCIONES DEL DIA 09/20/2018SPYRAL - GESTION ADMINISTRATIVA"/>
    <n v="20"/>
    <n v="0"/>
    <s v="NEGOCIOS"/>
    <x v="1"/>
  </r>
  <r>
    <n v="91"/>
    <d v="2018-10-10T00:00:00"/>
    <x v="0"/>
    <x v="0"/>
    <x v="0"/>
    <s v="BANCA PRIVADA"/>
    <s v="VIATICOS"/>
    <s v="TRANSACCIONES DEL DIA 10/10/2018SPYRAL - GESTION ADMINISTRATIVA"/>
    <n v="21"/>
    <n v="0"/>
    <s v="NEGOCIOS"/>
    <x v="1"/>
  </r>
  <r>
    <n v="91"/>
    <d v="2018-10-17T00:00:00"/>
    <x v="0"/>
    <x v="0"/>
    <x v="0"/>
    <s v="BANCA PRIVADA"/>
    <s v="NC VIATICOS"/>
    <s v="TRANSACCIONES DEL DIA 10/17/2018SPYRAL - GESTION ADMINISTRATIVA"/>
    <n v="58.35"/>
    <n v="0"/>
    <s v="NEGOCIOS"/>
    <x v="1"/>
  </r>
  <r>
    <n v="91"/>
    <d v="2018-11-01T00:00:00"/>
    <x v="5"/>
    <x v="5"/>
    <x v="0"/>
    <s v="BANCA PRIVADA"/>
    <s v="VIATICOS"/>
    <s v="TRANSACCIONES DEL DIA 11/01/2018SPYRAL - GESTION ADMINISTRATIVA"/>
    <n v="20"/>
    <n v="0"/>
    <s v="NEGOCIOS"/>
    <x v="1"/>
  </r>
  <r>
    <n v="91"/>
    <d v="2018-11-12T00:00:00"/>
    <x v="5"/>
    <x v="5"/>
    <x v="0"/>
    <s v="BANCA PRIVADA"/>
    <s v="VIATICOS"/>
    <s v="TRANSACCIONES DEL DIA 11/12/2018SPYRAL - GESTION ADMINISTRATIVA"/>
    <n v="160.46"/>
    <n v="0"/>
    <s v="NEGOCIOS"/>
    <x v="1"/>
  </r>
  <r>
    <n v="91"/>
    <d v="2018-11-20T00:00:00"/>
    <x v="5"/>
    <x v="5"/>
    <x v="0"/>
    <s v="BANCA PRIVADA"/>
    <s v="NC VIATICOS"/>
    <s v="TRANSACCIONES DEL DIA 11/20/2018SPYRAL - GESTION ADMINISTRATIVA"/>
    <n v="82.55"/>
    <n v="0"/>
    <s v="NEGOCIOS"/>
    <x v="1"/>
  </r>
  <r>
    <n v="91"/>
    <d v="2018-11-23T00:00:00"/>
    <x v="5"/>
    <x v="5"/>
    <x v="0"/>
    <s v="BANCA PRIVADA"/>
    <s v="VIATICOS"/>
    <s v="TRANSACCIONES DEL DIA 11/23/2018SPYRAL - GESTION ADMINISTRATIVA"/>
    <n v="130.16"/>
    <n v="0"/>
    <s v="NEGOCIOS"/>
    <x v="1"/>
  </r>
  <r>
    <n v="91"/>
    <d v="2018-11-29T00:00:00"/>
    <x v="5"/>
    <x v="5"/>
    <x v="0"/>
    <s v="BANCA PRIVADA"/>
    <s v="VIATICOS"/>
    <s v="TRANSACCIONES DEL DIA 11/29/2018SPYRAL - GESTION ADMINISTRATIVA"/>
    <n v="51.5"/>
    <n v="0"/>
    <s v="NEGOCIOS"/>
    <x v="1"/>
  </r>
  <r>
    <n v="91"/>
    <d v="2018-12-07T00:00:00"/>
    <x v="1"/>
    <x v="1"/>
    <x v="0"/>
    <s v="BANCA PRIVADA"/>
    <s v="NC VIATICOS"/>
    <s v="TRANSACCIONES DEL DIA 12/07/2018SPYRAL - GESTION ADMINISTRATIVA"/>
    <n v="89.7"/>
    <n v="0"/>
    <s v="NEGOCIOS"/>
    <x v="1"/>
  </r>
  <r>
    <n v="91"/>
    <d v="2018-12-21T00:00:00"/>
    <x v="1"/>
    <x v="1"/>
    <x v="0"/>
    <s v="BANCA PRIVADA"/>
    <s v="VIATICOS"/>
    <s v="TRANSACCIONES DEL DIA 12/21/2018SPYRAL - GESTION ADMINISTRATIVA"/>
    <n v="589.76"/>
    <n v="0"/>
    <s v="NEGOCIOS"/>
    <x v="1"/>
  </r>
  <r>
    <n v="91"/>
    <d v="2018-12-27T00:00:00"/>
    <x v="1"/>
    <x v="1"/>
    <x v="0"/>
    <s v="BANCA PRIVADA"/>
    <s v="NC VIATICOS"/>
    <s v="TRANSACCIONES DEL DIA 12/27/2018SPYRAL - GESTION ADMINISTRATIVA"/>
    <n v="0"/>
    <n v="170"/>
    <s v="NEGOCIOS"/>
    <x v="1"/>
  </r>
  <r>
    <n v="91"/>
    <d v="2018-12-31T00:00:00"/>
    <x v="1"/>
    <x v="1"/>
    <x v="0"/>
    <s v="BANCA PRIVADA"/>
    <s v="CIERRE DE ANIO FISCAL"/>
    <s v="CIERRE_DE_CTAS_NOMINALES"/>
    <n v="0"/>
    <n v="8974.73"/>
    <s v="NEGOCIOS"/>
    <x v="1"/>
  </r>
  <r>
    <n v="91"/>
    <d v="2018-06-22T00:00:00"/>
    <x v="2"/>
    <x v="2"/>
    <x v="0"/>
    <s v="BANCA COMERCIAL"/>
    <s v="VIATICOS"/>
    <s v="TRANSACCIONES DEL DIA 06/22/2018SPYRAL - GESTION ADMINISTRATIVA"/>
    <n v="204.22"/>
    <n v="0"/>
    <s v="NEGOCIOS"/>
    <x v="1"/>
  </r>
  <r>
    <n v="91"/>
    <d v="2018-06-26T00:00:00"/>
    <x v="2"/>
    <x v="2"/>
    <x v="0"/>
    <s v="BANCA COMERCIAL"/>
    <s v="VIATICOS 2"/>
    <s v="TRANSACCIONES DEL DIA 06/26/2018SPYRAL - GESTION ADMINISTRATIVA"/>
    <n v="365.74"/>
    <n v="0"/>
    <s v="NEGOCIOS"/>
    <x v="1"/>
  </r>
  <r>
    <n v="91"/>
    <d v="2018-07-05T00:00:00"/>
    <x v="6"/>
    <x v="6"/>
    <x v="0"/>
    <s v="BANCA COMERCIAL"/>
    <s v="VIATICOS 2"/>
    <s v="TRANSACCIONES DEL DIA 07/05/2018SPYRAL - GESTION ADMINISTRATIVA"/>
    <n v="67.430000000000007"/>
    <n v="0"/>
    <s v="NEGOCIOS"/>
    <x v="1"/>
  </r>
  <r>
    <n v="91"/>
    <d v="2018-07-09T00:00:00"/>
    <x v="6"/>
    <x v="6"/>
    <x v="0"/>
    <s v="BANCA COMERCIAL"/>
    <s v="VIATICOS"/>
    <s v="TRANSACCIONES DEL DIA 07/09/2018SPYRAL - GESTION ADMINISTRATIVA"/>
    <n v="125"/>
    <n v="0"/>
    <s v="NEGOCIOS"/>
    <x v="1"/>
  </r>
  <r>
    <n v="91"/>
    <d v="2018-07-23T00:00:00"/>
    <x v="6"/>
    <x v="6"/>
    <x v="0"/>
    <s v="BANCA COMERCIAL"/>
    <s v="VIATICOS 2"/>
    <s v="TRANSACCIONES DEL DIA 07/23/2018SPYRAL - GESTION ADMINISTRATIVA"/>
    <n v="403.6"/>
    <n v="0"/>
    <s v="NEGOCIOS"/>
    <x v="1"/>
  </r>
  <r>
    <n v="91"/>
    <d v="2018-07-23T00:00:00"/>
    <x v="6"/>
    <x v="6"/>
    <x v="0"/>
    <s v="BANCA COMERCIAL"/>
    <s v="VIATICOS"/>
    <s v="TRANSACCIONES DEL DIA 07/23/2018SPYRAL - GESTION ADMINISTRATIVA"/>
    <n v="93.37"/>
    <n v="0"/>
    <s v="NEGOCIOS"/>
    <x v="1"/>
  </r>
  <r>
    <n v="91"/>
    <d v="2018-07-25T00:00:00"/>
    <x v="6"/>
    <x v="6"/>
    <x v="0"/>
    <s v="BANCA COMERCIAL"/>
    <s v="VIATICOS"/>
    <s v="TRANSACCIONES DEL DIA 07/25/2018SPYRAL - GESTION ADMINISTRATIVA"/>
    <n v="115.43"/>
    <n v="0"/>
    <s v="NEGOCIOS"/>
    <x v="1"/>
  </r>
  <r>
    <n v="91"/>
    <d v="2018-07-27T00:00:00"/>
    <x v="6"/>
    <x v="6"/>
    <x v="0"/>
    <s v="BANCA COMERCIAL"/>
    <s v="VIATICOS"/>
    <s v="TRANSACCIONES DEL DIA 07/27/2018SPYRAL - GESTION ADMINISTRATIVA"/>
    <n v="87.73"/>
    <n v="0"/>
    <s v="NEGOCIOS"/>
    <x v="1"/>
  </r>
  <r>
    <n v="91"/>
    <d v="2018-08-09T00:00:00"/>
    <x v="3"/>
    <x v="3"/>
    <x v="0"/>
    <s v="BANCA COMERCIAL"/>
    <s v="VIATICOS 2"/>
    <s v="TRANSACCIONES DEL DIA 08/09/2018SPYRAL - GESTION ADMINISTRATIVA"/>
    <n v="1027.55"/>
    <n v="0"/>
    <s v="NEGOCIOS"/>
    <x v="1"/>
  </r>
  <r>
    <n v="91"/>
    <d v="2018-08-20T00:00:00"/>
    <x v="3"/>
    <x v="3"/>
    <x v="0"/>
    <s v="BANCA COMERCIAL"/>
    <s v="VIATICOS"/>
    <s v="TRANSACCIONES DEL DIA 08/20/2018SPYRAL - GESTION ADMINISTRATIVA"/>
    <n v="48"/>
    <n v="0"/>
    <s v="NEGOCIOS"/>
    <x v="1"/>
  </r>
  <r>
    <n v="91"/>
    <d v="2018-08-22T00:00:00"/>
    <x v="3"/>
    <x v="3"/>
    <x v="0"/>
    <s v="BANCA COMERCIAL"/>
    <s v="VIATICOS 2"/>
    <s v="TRANSACCIONES DEL DIA 08/22/2018SPYRAL - GESTION ADMINISTRATIVA"/>
    <n v="340"/>
    <n v="0"/>
    <s v="NEGOCIOS"/>
    <x v="1"/>
  </r>
  <r>
    <n v="91"/>
    <d v="2018-09-05T00:00:00"/>
    <x v="4"/>
    <x v="4"/>
    <x v="0"/>
    <s v="BANCA COMERCIAL"/>
    <s v="VIATICOS"/>
    <s v="TRANSACCIONES DEL DIA 09/05/2018SPYRAL - GESTION ADMINISTRATIVA"/>
    <n v="46"/>
    <n v="0"/>
    <s v="NEGOCIOS"/>
    <x v="1"/>
  </r>
  <r>
    <n v="91"/>
    <d v="2018-09-07T00:00:00"/>
    <x v="4"/>
    <x v="4"/>
    <x v="0"/>
    <s v="BANCA COMERCIAL"/>
    <s v="VIATICOS 2"/>
    <s v="TRANSACCIONES DEL DIA 09/07/2018SPYRAL - GESTION ADMINISTRATIVA"/>
    <n v="340"/>
    <n v="0"/>
    <s v="NEGOCIOS"/>
    <x v="1"/>
  </r>
  <r>
    <n v="91"/>
    <d v="2018-09-11T00:00:00"/>
    <x v="4"/>
    <x v="4"/>
    <x v="0"/>
    <s v="BANCA COMERCIAL"/>
    <s v="VIATICOS 2"/>
    <s v="TRANSACCIONES DEL DIA 09/11/2018SPYRAL - GESTION ADMINISTRATIVA"/>
    <n v="321.10000000000002"/>
    <n v="0"/>
    <s v="NEGOCIOS"/>
    <x v="1"/>
  </r>
  <r>
    <n v="91"/>
    <d v="2018-09-14T00:00:00"/>
    <x v="4"/>
    <x v="4"/>
    <x v="0"/>
    <s v="BANCA COMERCIAL"/>
    <s v="VIATICOS"/>
    <s v="TRANSACCIONES DEL DIA 09/14/2018SPYRAL - GESTION ADMINISTRATIVA"/>
    <n v="45.59"/>
    <n v="0"/>
    <s v="NEGOCIOS"/>
    <x v="1"/>
  </r>
  <r>
    <n v="91"/>
    <d v="2018-09-17T00:00:00"/>
    <x v="4"/>
    <x v="4"/>
    <x v="0"/>
    <s v="BANCA COMERCIAL"/>
    <s v="VIATICOS"/>
    <s v="TRANSACCIONES DEL DIA 09/17/2018SPYRAL - GESTION ADMINISTRATIVA"/>
    <n v="102.36"/>
    <n v="0"/>
    <s v="NEGOCIOS"/>
    <x v="1"/>
  </r>
  <r>
    <n v="91"/>
    <d v="2018-10-02T00:00:00"/>
    <x v="0"/>
    <x v="0"/>
    <x v="0"/>
    <s v="BANCA COMERCIAL"/>
    <s v="VIATICOS 2"/>
    <s v="TRANSACCIONES DEL DIA 10/02/2018SPYRAL - GESTION ADMINISTRATIVA"/>
    <n v="106.09"/>
    <n v="0"/>
    <s v="NEGOCIOS"/>
    <x v="1"/>
  </r>
  <r>
    <n v="91"/>
    <d v="2018-10-04T00:00:00"/>
    <x v="0"/>
    <x v="0"/>
    <x v="0"/>
    <s v="BANCA COMERCIAL"/>
    <s v="VIATICOS 2"/>
    <s v="TRANSACCIONES DEL DIA 10/04/2018SPYRAL - GESTION ADMINISTRATIVA"/>
    <n v="599.70000000000005"/>
    <n v="0"/>
    <s v="NEGOCIOS"/>
    <x v="1"/>
  </r>
  <r>
    <n v="91"/>
    <d v="2018-10-04T00:00:00"/>
    <x v="0"/>
    <x v="0"/>
    <x v="0"/>
    <s v="BANCA COMERCIAL"/>
    <s v="VIATICOS"/>
    <s v="TRANSACCIONES DEL DIA 10/04/2018SPYRAL - GESTION ADMINISTRATIVA"/>
    <n v="48"/>
    <n v="0"/>
    <s v="NEGOCIOS"/>
    <x v="1"/>
  </r>
  <r>
    <n v="91"/>
    <d v="2018-10-15T00:00:00"/>
    <x v="0"/>
    <x v="0"/>
    <x v="0"/>
    <s v="BANCA COMERCIAL"/>
    <s v="VIATICOS"/>
    <s v="TRANSACCIONES DEL DIA 10/15/2018SPYRAL - GESTION ADMINISTRATIVA"/>
    <n v="188.98"/>
    <n v="0"/>
    <s v="NEGOCIOS"/>
    <x v="1"/>
  </r>
  <r>
    <n v="91"/>
    <d v="2018-10-26T00:00:00"/>
    <x v="0"/>
    <x v="0"/>
    <x v="0"/>
    <s v="BANCA COMERCIAL"/>
    <s v="VIATICOS"/>
    <s v="TRANSACCIONES DEL DIA 10/26/2018SPYRAL - GESTION ADMINISTRATIVA"/>
    <n v="410.32"/>
    <n v="0"/>
    <s v="NEGOCIOS"/>
    <x v="1"/>
  </r>
  <r>
    <n v="91"/>
    <d v="2018-11-01T00:00:00"/>
    <x v="5"/>
    <x v="5"/>
    <x v="0"/>
    <s v="BANCA COMERCIAL"/>
    <s v="VIATICOS"/>
    <s v="TRANSACCIONES DEL DIA 11/01/2018SPYRAL - GESTION ADMINISTRATIVA"/>
    <n v="211.02"/>
    <n v="0"/>
    <s v="NEGOCIOS"/>
    <x v="1"/>
  </r>
  <r>
    <n v="91"/>
    <d v="2018-11-02T00:00:00"/>
    <x v="5"/>
    <x v="5"/>
    <x v="0"/>
    <s v="BANCA COMERCIAL"/>
    <s v="VIATICOS 2"/>
    <s v="TRANSACCIONES DEL DIA 11/02/2018SPYRAL - GESTION ADMINISTRATIVA"/>
    <n v="141.15"/>
    <n v="0"/>
    <s v="NEGOCIOS"/>
    <x v="1"/>
  </r>
  <r>
    <n v="91"/>
    <d v="2018-11-12T00:00:00"/>
    <x v="5"/>
    <x v="5"/>
    <x v="0"/>
    <s v="BANCA COMERCIAL"/>
    <s v="VIATICOS"/>
    <s v="TRANSACCIONES DEL DIA 11/12/2018SPYRAL - GESTION ADMINISTRATIVA"/>
    <n v="73.680000000000007"/>
    <n v="0"/>
    <s v="NEGOCIOS"/>
    <x v="1"/>
  </r>
  <r>
    <n v="91"/>
    <d v="2018-11-15T00:00:00"/>
    <x v="5"/>
    <x v="5"/>
    <x v="0"/>
    <s v="BANCA COMERCIAL"/>
    <s v="VIATICOS 2"/>
    <s v="TRANSACCIONES DEL DIA 11/15/2018SPYRAL - GESTION ADMINISTRATIVA"/>
    <n v="200.5"/>
    <n v="0"/>
    <s v="NEGOCIOS"/>
    <x v="1"/>
  </r>
  <r>
    <n v="91"/>
    <d v="2018-11-16T00:00:00"/>
    <x v="5"/>
    <x v="5"/>
    <x v="0"/>
    <s v="BANCA COMERCIAL"/>
    <s v="VIATICOS 2"/>
    <s v="TRANSACCIONES DEL DIA 11/16/2018SPYRAL - GESTION ADMINISTRATIVA"/>
    <n v="178"/>
    <n v="0"/>
    <s v="NEGOCIOS"/>
    <x v="1"/>
  </r>
  <r>
    <n v="91"/>
    <d v="2018-11-16T00:00:00"/>
    <x v="5"/>
    <x v="5"/>
    <x v="0"/>
    <s v="BANCA COMERCIAL"/>
    <s v="VIATICOS"/>
    <s v="TRANSACCIONES DEL DIA 11/16/2018SPYRAL - GESTION ADMINISTRATIVA"/>
    <n v="43"/>
    <n v="0"/>
    <s v="NEGOCIOS"/>
    <x v="1"/>
  </r>
  <r>
    <n v="91"/>
    <d v="2018-12-04T00:00:00"/>
    <x v="1"/>
    <x v="1"/>
    <x v="0"/>
    <s v="BANCA COMERCIAL"/>
    <s v="VIATICOS"/>
    <s v="TRANSACCIONES DEL DIA 12/04/2018SPYRAL - GESTION ADMINISTRATIVA"/>
    <n v="85"/>
    <n v="0"/>
    <s v="NEGOCIOS"/>
    <x v="1"/>
  </r>
  <r>
    <n v="91"/>
    <d v="2018-12-07T00:00:00"/>
    <x v="1"/>
    <x v="1"/>
    <x v="0"/>
    <s v="BANCA COMERCIAL"/>
    <s v="VIATICOS"/>
    <s v="TRANSACCIONES DEL DIA 12/07/2018SPYRAL - GESTION ADMINISTRATIVA"/>
    <n v="122.77"/>
    <n v="0"/>
    <s v="NEGOCIOS"/>
    <x v="1"/>
  </r>
  <r>
    <n v="91"/>
    <d v="2018-12-10T00:00:00"/>
    <x v="1"/>
    <x v="1"/>
    <x v="0"/>
    <s v="BANCA COMERCIAL"/>
    <s v="VIATICOS 2"/>
    <s v="TRANSACCIONES DEL DIA 12/10/2018SPYRAL - GESTION ADMINISTRATIVA"/>
    <n v="1411"/>
    <n v="0"/>
    <s v="NEGOCIOS"/>
    <x v="1"/>
  </r>
  <r>
    <n v="91"/>
    <d v="2018-12-12T00:00:00"/>
    <x v="1"/>
    <x v="1"/>
    <x v="0"/>
    <s v="BANCA COMERCIAL"/>
    <s v="VIATICOS"/>
    <s v="TRANSACCIONES DEL DIA 12/12/2018SPYRAL - GESTION ADMINISTRATIVA"/>
    <n v="106.36"/>
    <n v="0"/>
    <s v="NEGOCIOS"/>
    <x v="1"/>
  </r>
  <r>
    <n v="91"/>
    <d v="2018-12-18T00:00:00"/>
    <x v="1"/>
    <x v="1"/>
    <x v="0"/>
    <s v="BANCA COMERCIAL"/>
    <s v="VIATICOS"/>
    <s v="TRANSACCIONES DEL DIA 12/18/2018SPYRAL - GESTION ADMINISTRATIVA"/>
    <n v="40"/>
    <n v="0"/>
    <s v="NEGOCIOS"/>
    <x v="1"/>
  </r>
  <r>
    <n v="91"/>
    <d v="2018-12-31T00:00:00"/>
    <x v="1"/>
    <x v="1"/>
    <x v="0"/>
    <s v="BANCA COMERCIAL"/>
    <s v="CIERRE DE ANIO FISCAL"/>
    <s v="CIERRE_DE_CTAS_NOMINALES"/>
    <n v="0"/>
    <n v="15218.68"/>
    <s v="NEGOCIOS"/>
    <x v="1"/>
  </r>
  <r>
    <n v="91"/>
    <d v="2018-06-11T00:00:00"/>
    <x v="2"/>
    <x v="2"/>
    <x v="0"/>
    <s v="BANCA COMERCIAL INTERIOR"/>
    <s v="VIATICOS"/>
    <s v="TRANSACCIONES DEL DIA 06/11/2018SPYRAL - GESTION ADMINISTRATIVA"/>
    <n v="49"/>
    <n v="0"/>
    <s v="NEGOCIOS"/>
    <x v="1"/>
  </r>
  <r>
    <n v="91"/>
    <d v="2018-06-14T00:00:00"/>
    <x v="2"/>
    <x v="2"/>
    <x v="0"/>
    <s v="BANCA COMERCIAL INTERIOR"/>
    <s v="VIATICOS"/>
    <s v="TRANSACCIONES DEL DIA 06/14/2018SPYRAL - GESTION ADMINISTRATIVA"/>
    <n v="121.63"/>
    <n v="0"/>
    <s v="NEGOCIOS"/>
    <x v="1"/>
  </r>
  <r>
    <n v="91"/>
    <d v="2018-06-20T00:00:00"/>
    <x v="2"/>
    <x v="2"/>
    <x v="0"/>
    <s v="BANCA COMERCIAL INTERIOR"/>
    <s v="NC VIATICOS"/>
    <s v="TRANSACCIONES DEL DIA 06/20/2018SPYRAL - GESTION ADMINISTRATIVA"/>
    <n v="255.81"/>
    <n v="0"/>
    <s v="NEGOCIOS"/>
    <x v="1"/>
  </r>
  <r>
    <n v="91"/>
    <d v="2018-07-12T00:00:00"/>
    <x v="6"/>
    <x v="6"/>
    <x v="0"/>
    <s v="BANCA COMERCIAL INTERIOR"/>
    <s v="VIATICOS"/>
    <s v="TRANSACCIONES DEL DIA 07/12/2018SPYRAL - GESTION ADMINISTRATIVA"/>
    <n v="68"/>
    <n v="0"/>
    <s v="NEGOCIOS"/>
    <x v="1"/>
  </r>
  <r>
    <n v="91"/>
    <d v="2018-07-12T00:00:00"/>
    <x v="6"/>
    <x v="6"/>
    <x v="0"/>
    <s v="BANCA COMERCIAL INTERIOR"/>
    <s v="NC VIATICOS"/>
    <s v="TRANSACCIONES DEL DIA 07/12/2018SPYRAL - GESTION ADMINISTRATIVA"/>
    <n v="497.56"/>
    <n v="0"/>
    <s v="NEGOCIOS"/>
    <x v="1"/>
  </r>
  <r>
    <n v="91"/>
    <d v="2018-07-30T00:00:00"/>
    <x v="6"/>
    <x v="6"/>
    <x v="0"/>
    <s v="BANCA COMERCIAL INTERIOR"/>
    <s v="VIATICOS"/>
    <s v="TRANSACCIONES DEL DIA 07/30/2018SPYRAL - GESTION ADMINISTRATIVA"/>
    <n v="66"/>
    <n v="0"/>
    <s v="NEGOCIOS"/>
    <x v="1"/>
  </r>
  <r>
    <n v="91"/>
    <d v="2018-08-03T00:00:00"/>
    <x v="3"/>
    <x v="3"/>
    <x v="0"/>
    <s v="BANCA COMERCIAL INTERIOR"/>
    <s v="NC VIATICOS"/>
    <s v="TRANSACCIONES DEL DIA 08/03/2018SPYRAL - GESTION ADMINISTRATIVA"/>
    <n v="20"/>
    <n v="0"/>
    <s v="NEGOCIOS"/>
    <x v="1"/>
  </r>
  <r>
    <n v="91"/>
    <d v="2018-08-08T00:00:00"/>
    <x v="3"/>
    <x v="3"/>
    <x v="0"/>
    <s v="BANCA COMERCIAL INTERIOR"/>
    <s v="VIATICOS"/>
    <s v="TRANSACCIONES DEL DIA 08/08/2018SPYRAL - GESTION ADMINISTRATIVA"/>
    <n v="66"/>
    <n v="0"/>
    <s v="NEGOCIOS"/>
    <x v="1"/>
  </r>
  <r>
    <n v="91"/>
    <d v="2018-08-22T00:00:00"/>
    <x v="3"/>
    <x v="3"/>
    <x v="0"/>
    <s v="BANCA COMERCIAL INTERIOR"/>
    <s v="VIATICOS 2"/>
    <s v="TRANSACCIONES DEL DIA 08/22/2018SPYRAL - GESTION ADMINISTRATIVA"/>
    <n v="85"/>
    <n v="0"/>
    <s v="NEGOCIOS"/>
    <x v="1"/>
  </r>
  <r>
    <n v="91"/>
    <d v="2018-08-22T00:00:00"/>
    <x v="3"/>
    <x v="3"/>
    <x v="0"/>
    <s v="BANCA COMERCIAL INTERIOR"/>
    <s v="VIATICOS"/>
    <s v="TRANSACCIONES DEL DIA 08/22/2018SPYRAL - GESTION ADMINISTRATIVA"/>
    <n v="118.76"/>
    <n v="0"/>
    <s v="NEGOCIOS"/>
    <x v="1"/>
  </r>
  <r>
    <n v="91"/>
    <d v="2018-08-23T00:00:00"/>
    <x v="3"/>
    <x v="3"/>
    <x v="0"/>
    <s v="BANCA COMERCIAL INTERIOR"/>
    <s v="VIATICOS"/>
    <s v="TRANSACCIONES DEL DIA 08/23/2018SPYRAL - GESTION ADMINISTRATIVA"/>
    <n v="55"/>
    <n v="0"/>
    <s v="NEGOCIOS"/>
    <x v="1"/>
  </r>
  <r>
    <n v="91"/>
    <d v="2018-09-03T00:00:00"/>
    <x v="4"/>
    <x v="4"/>
    <x v="0"/>
    <s v="BANCA COMERCIAL INTERIOR"/>
    <s v="NC VIATICOS"/>
    <s v="TRANSACCIONES DEL DIA 09/03/2018SPYRAL - GESTION ADMINISTRATIVA"/>
    <n v="131.15"/>
    <n v="0"/>
    <s v="NEGOCIOS"/>
    <x v="1"/>
  </r>
  <r>
    <n v="91"/>
    <d v="2018-09-05T00:00:00"/>
    <x v="4"/>
    <x v="4"/>
    <x v="0"/>
    <s v="BANCA COMERCIAL INTERIOR"/>
    <s v="VIATICOS"/>
    <s v="TRANSACCIONES DEL DIA 09/05/2018SPYRAL - GESTION ADMINISTRATIVA"/>
    <n v="20"/>
    <n v="0"/>
    <s v="NEGOCIOS"/>
    <x v="1"/>
  </r>
  <r>
    <n v="91"/>
    <d v="2018-09-08T00:00:00"/>
    <x v="4"/>
    <x v="4"/>
    <x v="0"/>
    <s v="BANCA COMERCIAL INTERIOR"/>
    <s v="VIATICOS"/>
    <s v="TRANSACCIONES DEL DIA 09/08/2018SPYRAL - GESTION ADMINISTRATIVA"/>
    <n v="146.56"/>
    <n v="0"/>
    <s v="NEGOCIOS"/>
    <x v="1"/>
  </r>
  <r>
    <n v="91"/>
    <d v="2018-09-11T00:00:00"/>
    <x v="4"/>
    <x v="4"/>
    <x v="0"/>
    <s v="BANCA COMERCIAL INTERIOR"/>
    <s v="NC VIATICOS"/>
    <s v="TRANSACCIONES DEL DIA 09/11/2018SPYRAL - GESTION ADMINISTRATIVA"/>
    <n v="211.95"/>
    <n v="0"/>
    <s v="NEGOCIOS"/>
    <x v="1"/>
  </r>
  <r>
    <n v="91"/>
    <d v="2018-09-14T00:00:00"/>
    <x v="4"/>
    <x v="4"/>
    <x v="0"/>
    <s v="BANCA COMERCIAL INTERIOR"/>
    <s v="NC VIATICOS"/>
    <s v="TRANSACCIONES DEL DIA 09/14/2018SPYRAL - GESTION ADMINISTRATIVA"/>
    <n v="40"/>
    <n v="0"/>
    <s v="NEGOCIOS"/>
    <x v="1"/>
  </r>
  <r>
    <n v="91"/>
    <d v="2018-10-01T00:00:00"/>
    <x v="0"/>
    <x v="0"/>
    <x v="0"/>
    <s v="BANCA COMERCIAL INTERIOR"/>
    <s v="VIATICOS"/>
    <s v="TRANSACCIONES DEL DIA 10/01/2018SPYRAL - GESTION ADMINISTRATIVA"/>
    <n v="70.069999999999993"/>
    <n v="0"/>
    <s v="NEGOCIOS"/>
    <x v="1"/>
  </r>
  <r>
    <n v="91"/>
    <d v="2018-10-02T00:00:00"/>
    <x v="0"/>
    <x v="0"/>
    <x v="0"/>
    <s v="BANCA COMERCIAL INTERIOR"/>
    <s v="VIATICOS"/>
    <s v="TRANSACCIONES DEL DIA 10/02/2018SPYRAL - GESTION ADMINISTRATIVA"/>
    <n v="23"/>
    <n v="0"/>
    <s v="NEGOCIOS"/>
    <x v="1"/>
  </r>
  <r>
    <n v="91"/>
    <d v="2018-10-02T00:00:00"/>
    <x v="0"/>
    <x v="0"/>
    <x v="0"/>
    <s v="BANCA COMERCIAL INTERIOR"/>
    <s v="NC VIATICOS"/>
    <s v="TRANSACCIONES DEL DIA 10/02/2018SPYRAL - GESTION ADMINISTRATIVA"/>
    <n v="152.05000000000001"/>
    <n v="0"/>
    <s v="NEGOCIOS"/>
    <x v="1"/>
  </r>
  <r>
    <n v="91"/>
    <d v="2018-10-10T00:00:00"/>
    <x v="0"/>
    <x v="0"/>
    <x v="0"/>
    <s v="BANCA COMERCIAL INTERIOR"/>
    <s v="NC VIATICOS"/>
    <s v="TRANSACCIONES DEL DIA 10/10/2018SPYRAL - GESTION ADMINISTRATIVA"/>
    <n v="264"/>
    <n v="0"/>
    <s v="NEGOCIOS"/>
    <x v="1"/>
  </r>
  <r>
    <n v="91"/>
    <d v="2018-10-17T00:00:00"/>
    <x v="0"/>
    <x v="0"/>
    <x v="0"/>
    <s v="BANCA COMERCIAL INTERIOR"/>
    <s v="VIATICOS"/>
    <s v="TRANSACCIONES DEL DIA 10/17/2018SPYRAL - GESTION ADMINISTRATIVA"/>
    <n v="154.43"/>
    <n v="0"/>
    <s v="NEGOCIOS"/>
    <x v="1"/>
  </r>
  <r>
    <n v="91"/>
    <d v="2018-10-19T00:00:00"/>
    <x v="0"/>
    <x v="0"/>
    <x v="0"/>
    <s v="BANCA COMERCIAL INTERIOR"/>
    <s v="NC VIATICOS"/>
    <s v="TRANSACCIONES DEL DIA 10/19/2018SPYRAL - GESTION ADMINISTRATIVA"/>
    <n v="667.23"/>
    <n v="0"/>
    <s v="NEGOCIOS"/>
    <x v="1"/>
  </r>
  <r>
    <n v="91"/>
    <d v="2018-11-01T00:00:00"/>
    <x v="5"/>
    <x v="5"/>
    <x v="0"/>
    <s v="BANCA COMERCIAL INTERIOR"/>
    <s v="VIATICOS"/>
    <s v="TRANSACCIONES DEL DIA 11/01/2018SPYRAL - GESTION ADMINISTRATIVA"/>
    <n v="264"/>
    <n v="0"/>
    <s v="NEGOCIOS"/>
    <x v="1"/>
  </r>
  <r>
    <n v="91"/>
    <d v="2018-11-09T00:00:00"/>
    <x v="5"/>
    <x v="5"/>
    <x v="0"/>
    <s v="BANCA COMERCIAL INTERIOR"/>
    <s v="NC VIATICOS"/>
    <s v="TRANSACCIONES DEL DIA 11/09/2018SPYRAL - GESTION ADMINISTRATIVA"/>
    <n v="112.79"/>
    <n v="0"/>
    <s v="NEGOCIOS"/>
    <x v="1"/>
  </r>
  <r>
    <n v="91"/>
    <d v="2018-11-12T00:00:00"/>
    <x v="5"/>
    <x v="5"/>
    <x v="0"/>
    <s v="BANCA COMERCIAL INTERIOR"/>
    <s v="VIATICOS"/>
    <s v="TRANSACCIONES DEL DIA 11/12/2018SPYRAL - GESTION ADMINISTRATIVA"/>
    <n v="17"/>
    <n v="0"/>
    <s v="NEGOCIOS"/>
    <x v="1"/>
  </r>
  <r>
    <n v="91"/>
    <d v="2018-11-21T00:00:00"/>
    <x v="5"/>
    <x v="5"/>
    <x v="0"/>
    <s v="BANCA COMERCIAL INTERIOR"/>
    <s v="VIATICOS"/>
    <s v="TRANSACCIONES DEL DIA 11/21/2018SPYRAL - GESTION ADMINISTRATIVA"/>
    <n v="176"/>
    <n v="0"/>
    <s v="NEGOCIOS"/>
    <x v="1"/>
  </r>
  <r>
    <n v="91"/>
    <d v="2018-11-21T00:00:00"/>
    <x v="5"/>
    <x v="5"/>
    <x v="0"/>
    <s v="BANCA COMERCIAL INTERIOR"/>
    <s v="NC VIATICOS"/>
    <s v="TRANSACCIONES DEL DIA 11/21/2018SPYRAL - GESTION ADMINISTRATIVA"/>
    <n v="33"/>
    <n v="0"/>
    <s v="NEGOCIOS"/>
    <x v="1"/>
  </r>
  <r>
    <n v="91"/>
    <d v="2018-12-04T00:00:00"/>
    <x v="1"/>
    <x v="1"/>
    <x v="0"/>
    <s v="BANCA COMERCIAL INTERIOR"/>
    <s v="VIATICOS"/>
    <s v="TRANSACCIONES DEL DIA 12/04/2018SPYRAL - GESTION ADMINISTRATIVA"/>
    <n v="42"/>
    <n v="0"/>
    <s v="NEGOCIOS"/>
    <x v="1"/>
  </r>
  <r>
    <n v="91"/>
    <d v="2018-12-05T00:00:00"/>
    <x v="1"/>
    <x v="1"/>
    <x v="0"/>
    <s v="BANCA COMERCIAL INTERIOR"/>
    <s v="VIATICOS"/>
    <s v="TRANSACCIONES DEL DIA 12/05/2018SPYRAL - GESTION ADMINISTRATIVA"/>
    <n v="87.84"/>
    <n v="0"/>
    <s v="NEGOCIOS"/>
    <x v="1"/>
  </r>
  <r>
    <n v="91"/>
    <d v="2018-12-06T00:00:00"/>
    <x v="1"/>
    <x v="1"/>
    <x v="0"/>
    <s v="BANCA COMERCIAL INTERIOR"/>
    <s v="VIATICOS 2"/>
    <s v="TRANSACCIONES DEL DIA 12/06/2018SPYRAL - GESTION ADMINISTRATIVA"/>
    <n v="171.02"/>
    <n v="0"/>
    <s v="NEGOCIOS"/>
    <x v="1"/>
  </r>
  <r>
    <n v="91"/>
    <d v="2018-12-07T00:00:00"/>
    <x v="1"/>
    <x v="1"/>
    <x v="0"/>
    <s v="BANCA COMERCIAL INTERIOR"/>
    <s v="NC VIATICOS"/>
    <s v="TRANSACCIONES DEL DIA 12/07/2018SPYRAL - GESTION ADMINISTRATIVA"/>
    <n v="22"/>
    <n v="0"/>
    <s v="NEGOCIOS"/>
    <x v="1"/>
  </r>
  <r>
    <n v="91"/>
    <d v="2018-12-26T00:00:00"/>
    <x v="1"/>
    <x v="1"/>
    <x v="0"/>
    <s v="BANCA COMERCIAL INTERIOR"/>
    <s v="NC VIATICOS"/>
    <s v="TRANSACCIONES DEL DIA 12/26/2018SPYRAL - GESTION ADMINISTRATIVA"/>
    <n v="33"/>
    <n v="0"/>
    <s v="NEGOCIOS"/>
    <x v="1"/>
  </r>
  <r>
    <n v="91"/>
    <d v="2018-12-31T00:00:00"/>
    <x v="1"/>
    <x v="1"/>
    <x v="0"/>
    <s v="BANCA COMERCIAL INTERIOR"/>
    <s v="CIERRE DE ANIO FISCAL"/>
    <s v="CIERRE_DE_CTAS_NOMINALES"/>
    <n v="0"/>
    <n v="7747.65"/>
    <s v="NEGOCIOS"/>
    <x v="1"/>
  </r>
  <r>
    <n v="91"/>
    <d v="2018-06-02T00:00:00"/>
    <x v="2"/>
    <x v="2"/>
    <x v="0"/>
    <s v="BANCA COMERCIAL CENTRO"/>
    <s v="VIATICOS"/>
    <s v="TRANSACCIONES DEL DIA 06/02/2018SPYRAL - GESTION ADMINISTRATIVA"/>
    <n v="112"/>
    <n v="0"/>
    <s v="NEGOCIOS"/>
    <x v="1"/>
  </r>
  <r>
    <n v="91"/>
    <d v="2018-06-15T00:00:00"/>
    <x v="2"/>
    <x v="2"/>
    <x v="0"/>
    <s v="BANCA COMERCIAL CENTRO"/>
    <s v="VIATICOS"/>
    <s v="TRANSACCIONES DEL DIA 06/15/2018SPYRAL - GESTION ADMINISTRATIVA"/>
    <n v="124.27"/>
    <n v="0"/>
    <s v="NEGOCIOS"/>
    <x v="1"/>
  </r>
  <r>
    <n v="91"/>
    <d v="2018-06-21T00:00:00"/>
    <x v="2"/>
    <x v="2"/>
    <x v="0"/>
    <s v="BANCA COMERCIAL CENTRO"/>
    <s v="VIATICOS"/>
    <s v="TRANSACCIONES DEL DIA 06/21/2018SPYRAL - GESTION ADMINISTRATIVA"/>
    <n v="37.25"/>
    <n v="0"/>
    <s v="NEGOCIOS"/>
    <x v="1"/>
  </r>
  <r>
    <n v="91"/>
    <d v="2018-06-28T00:00:00"/>
    <x v="2"/>
    <x v="2"/>
    <x v="0"/>
    <s v="BANCA COMERCIAL CENTRO"/>
    <s v="VIATICOS"/>
    <s v="TRANSACCIONES DEL DIA 06/28/2018SPYRAL - GESTION ADMINISTRATIVA"/>
    <n v="97.74"/>
    <n v="0"/>
    <s v="NEGOCIOS"/>
    <x v="1"/>
  </r>
  <r>
    <n v="91"/>
    <d v="2018-06-29T00:00:00"/>
    <x v="2"/>
    <x v="2"/>
    <x v="0"/>
    <s v="BANCA COMERCIAL CENTRO"/>
    <s v="VIATICOS"/>
    <s v="TRANSACCIONES DEL DIA 06/29/2018SPYRAL - GESTION ADMINISTRATIVA"/>
    <n v="83"/>
    <n v="0"/>
    <s v="NEGOCIOS"/>
    <x v="1"/>
  </r>
  <r>
    <n v="91"/>
    <d v="2018-07-03T00:00:00"/>
    <x v="6"/>
    <x v="6"/>
    <x v="0"/>
    <s v="BANCA COMERCIAL CENTRO"/>
    <s v="VIATICOS"/>
    <s v="TRANSACCIONES DEL DIA 07/03/2018SPYRAL - GESTION ADMINISTRATIVA"/>
    <n v="107"/>
    <n v="0"/>
    <s v="NEGOCIOS"/>
    <x v="1"/>
  </r>
  <r>
    <n v="91"/>
    <d v="2018-07-09T00:00:00"/>
    <x v="6"/>
    <x v="6"/>
    <x v="0"/>
    <s v="BANCA COMERCIAL CENTRO"/>
    <s v="VIATICOS"/>
    <s v="TRANSACCIONES DEL DIA 07/09/2018SPYRAL - GESTION ADMINISTRATIVA"/>
    <n v="44.15"/>
    <n v="0"/>
    <s v="NEGOCIOS"/>
    <x v="1"/>
  </r>
  <r>
    <n v="91"/>
    <d v="2018-07-14T00:00:00"/>
    <x v="6"/>
    <x v="6"/>
    <x v="0"/>
    <s v="BANCA COMERCIAL CENTRO"/>
    <s v="VIATICOS"/>
    <s v="TRANSACCIONES DEL DIA 07/14/2018SPYRAL - GESTION ADMINISTRATIVA"/>
    <n v="89"/>
    <n v="0"/>
    <s v="NEGOCIOS"/>
    <x v="1"/>
  </r>
  <r>
    <n v="91"/>
    <d v="2018-07-19T00:00:00"/>
    <x v="6"/>
    <x v="6"/>
    <x v="0"/>
    <s v="BANCA COMERCIAL CENTRO"/>
    <s v="VIATICOS"/>
    <s v="TRANSACCIONES DEL DIA 07/19/2018SPYRAL - GESTION ADMINISTRATIVA"/>
    <n v="121.68"/>
    <n v="0"/>
    <s v="NEGOCIOS"/>
    <x v="1"/>
  </r>
  <r>
    <n v="91"/>
    <d v="2018-08-08T00:00:00"/>
    <x v="3"/>
    <x v="3"/>
    <x v="0"/>
    <s v="BANCA COMERCIAL CENTRO"/>
    <s v="VIATICOS"/>
    <s v="TRANSACCIONES DEL DIA 08/08/2018SPYRAL - GESTION ADMINISTRATIVA"/>
    <n v="122.01"/>
    <n v="0"/>
    <s v="NEGOCIOS"/>
    <x v="1"/>
  </r>
  <r>
    <n v="91"/>
    <d v="2018-08-10T00:00:00"/>
    <x v="3"/>
    <x v="3"/>
    <x v="0"/>
    <s v="BANCA COMERCIAL CENTRO"/>
    <s v="VIATICOS"/>
    <s v="TRANSACCIONES DEL DIA 08/10/2018SPYRAL - GESTION ADMINISTRATIVA"/>
    <n v="93.15"/>
    <n v="0"/>
    <s v="NEGOCIOS"/>
    <x v="1"/>
  </r>
  <r>
    <n v="91"/>
    <d v="2018-08-13T00:00:00"/>
    <x v="3"/>
    <x v="3"/>
    <x v="0"/>
    <s v="BANCA COMERCIAL CENTRO"/>
    <s v="VIATICOS"/>
    <s v="TRANSACCIONES DEL DIA 08/13/2018SPYRAL - GESTION ADMINISTRATIVA"/>
    <n v="158.59"/>
    <n v="0"/>
    <s v="NEGOCIOS"/>
    <x v="1"/>
  </r>
  <r>
    <n v="91"/>
    <d v="2018-08-17T00:00:00"/>
    <x v="3"/>
    <x v="3"/>
    <x v="0"/>
    <s v="BANCA COMERCIAL CENTRO"/>
    <s v="VIATICOS"/>
    <s v="TRANSACCIONES DEL DIA 08/17/2018SPYRAL - GESTION ADMINISTRATIVA"/>
    <n v="46"/>
    <n v="0"/>
    <s v="NEGOCIOS"/>
    <x v="1"/>
  </r>
  <r>
    <n v="91"/>
    <d v="2018-08-31T00:00:00"/>
    <x v="3"/>
    <x v="3"/>
    <x v="0"/>
    <s v="BANCA COMERCIAL CENTRO"/>
    <s v="VIATICOS"/>
    <s v="TRANSACCIONES DEL DIA 08/31/2018SPYRAL - GESTION ADMINISTRATIVA"/>
    <n v="83.01"/>
    <n v="0"/>
    <s v="NEGOCIOS"/>
    <x v="1"/>
  </r>
  <r>
    <n v="91"/>
    <d v="2018-09-03T00:00:00"/>
    <x v="4"/>
    <x v="4"/>
    <x v="0"/>
    <s v="BANCA COMERCIAL CENTRO"/>
    <s v="VIATICOS"/>
    <s v="TRANSACCIONES DEL DIA 09/03/2018SPYRAL - GESTION ADMINISTRATIVA"/>
    <n v="80.5"/>
    <n v="0"/>
    <s v="NEGOCIOS"/>
    <x v="1"/>
  </r>
  <r>
    <n v="91"/>
    <d v="2018-09-05T00:00:00"/>
    <x v="4"/>
    <x v="4"/>
    <x v="0"/>
    <s v="BANCA COMERCIAL CENTRO"/>
    <s v="VIATICOS"/>
    <s v="TRANSACCIONES DEL DIA 09/05/2018SPYRAL - GESTION ADMINISTRATIVA"/>
    <n v="159.38999999999999"/>
    <n v="0"/>
    <s v="NEGOCIOS"/>
    <x v="1"/>
  </r>
  <r>
    <n v="91"/>
    <d v="2018-09-17T00:00:00"/>
    <x v="4"/>
    <x v="4"/>
    <x v="0"/>
    <s v="BANCA COMERCIAL CENTRO"/>
    <s v="VIATICOS"/>
    <s v="TRANSACCIONES DEL DIA 09/17/2018SPYRAL - GESTION ADMINISTRATIVA"/>
    <n v="82.01"/>
    <n v="0"/>
    <s v="NEGOCIOS"/>
    <x v="1"/>
  </r>
  <r>
    <n v="91"/>
    <d v="2018-10-05T00:00:00"/>
    <x v="0"/>
    <x v="0"/>
    <x v="0"/>
    <s v="BANCA COMERCIAL CENTRO"/>
    <s v="VIATICOS"/>
    <s v="TRANSACCIONES DEL DIA 10/05/2018SPYRAL - GESTION ADMINISTRATIVA"/>
    <n v="138"/>
    <n v="0"/>
    <s v="NEGOCIOS"/>
    <x v="1"/>
  </r>
  <r>
    <n v="91"/>
    <d v="2018-10-08T00:00:00"/>
    <x v="0"/>
    <x v="0"/>
    <x v="0"/>
    <s v="BANCA COMERCIAL CENTRO"/>
    <s v="VIATICOS"/>
    <s v="TRANSACCIONES DEL DIA 10/08/2018SPYRAL - GESTION ADMINISTRATIVA"/>
    <n v="110.57"/>
    <n v="0"/>
    <s v="NEGOCIOS"/>
    <x v="1"/>
  </r>
  <r>
    <n v="91"/>
    <d v="2018-10-26T00:00:00"/>
    <x v="0"/>
    <x v="0"/>
    <x v="0"/>
    <s v="BANCA COMERCIAL CENTRO"/>
    <s v="VIATICOS"/>
    <s v="TRANSACCIONES DEL DIA 10/26/2018SPYRAL - GESTION ADMINISTRATIVA"/>
    <n v="43"/>
    <n v="0"/>
    <s v="NEGOCIOS"/>
    <x v="1"/>
  </r>
  <r>
    <n v="91"/>
    <d v="2018-10-29T00:00:00"/>
    <x v="0"/>
    <x v="0"/>
    <x v="0"/>
    <s v="BANCA COMERCIAL CENTRO"/>
    <s v="VIATICOS"/>
    <s v="TRANSACCIONES DEL DIA 10/29/2018SPYRAL - GESTION ADMINISTRATIVA"/>
    <n v="120"/>
    <n v="0"/>
    <s v="NEGOCIOS"/>
    <x v="1"/>
  </r>
  <r>
    <n v="91"/>
    <d v="2018-11-12T00:00:00"/>
    <x v="5"/>
    <x v="5"/>
    <x v="0"/>
    <s v="BANCA COMERCIAL CENTRO"/>
    <s v="VIATICOS"/>
    <s v="TRANSACCIONES DEL DIA 11/12/2018SPYRAL - GESTION ADMINISTRATIVA"/>
    <n v="215.17"/>
    <n v="0"/>
    <s v="NEGOCIOS"/>
    <x v="1"/>
  </r>
  <r>
    <n v="91"/>
    <d v="2018-11-13T00:00:00"/>
    <x v="5"/>
    <x v="5"/>
    <x v="0"/>
    <s v="BANCA COMERCIAL CENTRO"/>
    <s v="VIATICOS"/>
    <s v="TRANSACCIONES DEL DIA 11/13/2018SPYRAL - GESTION ADMINISTRATIVA"/>
    <n v="167.82"/>
    <n v="0"/>
    <s v="NEGOCIOS"/>
    <x v="1"/>
  </r>
  <r>
    <n v="91"/>
    <d v="2018-11-16T00:00:00"/>
    <x v="5"/>
    <x v="5"/>
    <x v="0"/>
    <s v="BANCA COMERCIAL CENTRO"/>
    <s v="VIATICOS"/>
    <s v="TRANSACCIONES DEL DIA 11/16/2018SPYRAL - GESTION ADMINISTRATIVA"/>
    <n v="82.5"/>
    <n v="0"/>
    <s v="NEGOCIOS"/>
    <x v="1"/>
  </r>
  <r>
    <n v="91"/>
    <d v="2018-11-19T00:00:00"/>
    <x v="5"/>
    <x v="5"/>
    <x v="0"/>
    <s v="BANCA COMERCIAL CENTRO"/>
    <s v="VIATICOS"/>
    <s v="TRANSACCIONES DEL DIA 11/19/2018SPYRAL - GESTION ADMINISTRATIVA"/>
    <n v="42"/>
    <n v="0"/>
    <s v="NEGOCIOS"/>
    <x v="1"/>
  </r>
  <r>
    <n v="91"/>
    <d v="2018-12-11T00:00:00"/>
    <x v="1"/>
    <x v="1"/>
    <x v="0"/>
    <s v="BANCA COMERCIAL CENTRO"/>
    <s v="VIATICOS"/>
    <s v="TRANSACCIONES DEL DIA 12/11/2018SPYRAL - GESTION ADMINISTRATIVA"/>
    <n v="37"/>
    <n v="0"/>
    <s v="NEGOCIOS"/>
    <x v="1"/>
  </r>
  <r>
    <n v="91"/>
    <d v="2018-12-17T00:00:00"/>
    <x v="1"/>
    <x v="1"/>
    <x v="0"/>
    <s v="BANCA COMERCIAL CENTRO"/>
    <s v="VIATICOS"/>
    <s v="TRANSACCIONES DEL DIA 12/17/2018SPYRAL - GESTION ADMINISTRATIVA"/>
    <n v="35"/>
    <n v="0"/>
    <s v="NEGOCIOS"/>
    <x v="1"/>
  </r>
  <r>
    <n v="91"/>
    <d v="2018-12-24T00:00:00"/>
    <x v="1"/>
    <x v="1"/>
    <x v="0"/>
    <s v="BANCA COMERCIAL CENTRO"/>
    <s v="VIATICOS"/>
    <s v="TRANSACCIONES DEL DIA 12/24/2018SPYRAL - GESTION ADMINISTRATIVA"/>
    <n v="48.5"/>
    <n v="0"/>
    <s v="NEGOCIOS"/>
    <x v="1"/>
  </r>
  <r>
    <n v="91"/>
    <d v="2018-12-27T00:00:00"/>
    <x v="1"/>
    <x v="1"/>
    <x v="0"/>
    <s v="BANCA COMERCIAL CENTRO"/>
    <s v="VIATICOS"/>
    <s v="TRANSACCIONES DEL DIA 12/27/2018SPYRAL - GESTION ADMINISTRATIVA"/>
    <n v="56.8"/>
    <n v="0"/>
    <s v="NEGOCIOS"/>
    <x v="1"/>
  </r>
  <r>
    <n v="91"/>
    <d v="2018-12-28T00:00:00"/>
    <x v="1"/>
    <x v="1"/>
    <x v="0"/>
    <s v="BANCA COMERCIAL CENTRO"/>
    <s v="VIATICOS"/>
    <s v="TRANSACCIONES DEL DIA 12/28/2018SPYRAL - GESTION ADMINISTRATIVA"/>
    <n v="103.2"/>
    <n v="0"/>
    <s v="NEGOCIOS"/>
    <x v="1"/>
  </r>
  <r>
    <n v="91"/>
    <d v="2018-12-31T00:00:00"/>
    <x v="1"/>
    <x v="1"/>
    <x v="0"/>
    <s v="BANCA COMERCIAL CENTRO"/>
    <s v="CIERRE DE ANIO FISCAL"/>
    <s v="CIERRE_DE_CTAS_NOMINALES"/>
    <n v="0"/>
    <n v="4956.46"/>
    <s v="NEGOCIOS"/>
    <x v="1"/>
  </r>
  <r>
    <n v="91"/>
    <d v="2018-06-01T00:00:00"/>
    <x v="2"/>
    <x v="2"/>
    <x v="0"/>
    <s v="BANCA COMERCIAL PERIFERIA"/>
    <s v="VIATICOS"/>
    <s v="TRANSACCIONES DEL DIA 06/01/2018SPYRAL - GESTION ADMINISTRATIVA"/>
    <n v="174.7"/>
    <n v="0"/>
    <s v="NEGOCIOS"/>
    <x v="1"/>
  </r>
  <r>
    <n v="91"/>
    <d v="2018-06-05T00:00:00"/>
    <x v="2"/>
    <x v="2"/>
    <x v="0"/>
    <s v="BANCA COMERCIAL PERIFERIA"/>
    <s v="VIATICOS"/>
    <s v="TRANSACCIONES DEL DIA 06/05/2018SPYRAL - GESTION ADMINISTRATIVA"/>
    <n v="53.65"/>
    <n v="0"/>
    <s v="NEGOCIOS"/>
    <x v="1"/>
  </r>
  <r>
    <n v="91"/>
    <d v="2018-06-06T00:00:00"/>
    <x v="2"/>
    <x v="2"/>
    <x v="0"/>
    <s v="BANCA COMERCIAL PERIFERIA"/>
    <s v="VIATICOS"/>
    <s v="TRANSACCIONES DEL DIA 06/06/2018SPYRAL - GESTION ADMINISTRATIVA"/>
    <n v="127"/>
    <n v="0"/>
    <s v="NEGOCIOS"/>
    <x v="1"/>
  </r>
  <r>
    <n v="91"/>
    <d v="2018-06-08T00:00:00"/>
    <x v="2"/>
    <x v="2"/>
    <x v="0"/>
    <s v="BANCA COMERCIAL PERIFERIA"/>
    <s v="VIATICOS"/>
    <s v="TRANSACCIONES DEL DIA 06/08/2018SPYRAL - GESTION ADMINISTRATIVA"/>
    <n v="41"/>
    <n v="0"/>
    <s v="NEGOCIOS"/>
    <x v="1"/>
  </r>
  <r>
    <n v="91"/>
    <d v="2018-06-11T00:00:00"/>
    <x v="2"/>
    <x v="2"/>
    <x v="0"/>
    <s v="BANCA COMERCIAL PERIFERIA"/>
    <s v="VIATICOS"/>
    <s v="TRANSACCIONES DEL DIA 06/11/2018SPYRAL - GESTION ADMINISTRATIVA"/>
    <n v="46.3"/>
    <n v="0"/>
    <s v="NEGOCIOS"/>
    <x v="1"/>
  </r>
  <r>
    <n v="91"/>
    <d v="2018-06-21T00:00:00"/>
    <x v="2"/>
    <x v="2"/>
    <x v="0"/>
    <s v="BANCA COMERCIAL PERIFERIA"/>
    <s v="VIATICOS"/>
    <s v="TRANSACCIONES DEL DIA 06/21/2018SPYRAL - GESTION ADMINISTRATIVA"/>
    <n v="75.7"/>
    <n v="0"/>
    <s v="NEGOCIOS"/>
    <x v="1"/>
  </r>
  <r>
    <n v="91"/>
    <d v="2018-06-22T00:00:00"/>
    <x v="2"/>
    <x v="2"/>
    <x v="0"/>
    <s v="BANCA COMERCIAL PERIFERIA"/>
    <s v="VIATICOS"/>
    <s v="TRANSACCIONES DEL DIA 06/22/2018SPYRAL - GESTION ADMINISTRATIVA"/>
    <n v="172.7"/>
    <n v="0"/>
    <s v="NEGOCIOS"/>
    <x v="1"/>
  </r>
  <r>
    <n v="91"/>
    <d v="2018-06-26T00:00:00"/>
    <x v="2"/>
    <x v="2"/>
    <x v="0"/>
    <s v="BANCA COMERCIAL PERIFERIA"/>
    <s v="VIATICOS"/>
    <s v="TRANSACCIONES DEL DIA 06/26/2018SPYRAL - GESTION ADMINISTRATIVA"/>
    <n v="136.02000000000001"/>
    <n v="0"/>
    <s v="NEGOCIOS"/>
    <x v="1"/>
  </r>
  <r>
    <n v="91"/>
    <d v="2018-06-29T00:00:00"/>
    <x v="2"/>
    <x v="2"/>
    <x v="0"/>
    <s v="BANCA COMERCIAL PERIFERIA"/>
    <s v="VIATICOS"/>
    <s v="TRANSACCIONES DEL DIA 06/29/2018SPYRAL - GESTION ADMINISTRATIVA"/>
    <n v="33.4"/>
    <n v="0"/>
    <s v="NEGOCIOS"/>
    <x v="1"/>
  </r>
  <r>
    <n v="91"/>
    <d v="2018-07-02T00:00:00"/>
    <x v="6"/>
    <x v="6"/>
    <x v="0"/>
    <s v="BANCA COMERCIAL PERIFERIA"/>
    <s v="VIATICOS"/>
    <s v="TRANSACCIONES DEL DIA 07/02/2018SPYRAL - GESTION ADMINISTRATIVA"/>
    <n v="323.38"/>
    <n v="0"/>
    <s v="NEGOCIOS"/>
    <x v="1"/>
  </r>
  <r>
    <n v="91"/>
    <d v="2018-07-06T00:00:00"/>
    <x v="6"/>
    <x v="6"/>
    <x v="0"/>
    <s v="BANCA COMERCIAL PERIFERIA"/>
    <s v="VIATICOS"/>
    <s v="TRANSACCIONES DEL DIA 07/06/2018SPYRAL - GESTION ADMINISTRATIVA"/>
    <n v="54.4"/>
    <n v="0"/>
    <s v="NEGOCIOS"/>
    <x v="1"/>
  </r>
  <r>
    <n v="91"/>
    <d v="2018-07-24T00:00:00"/>
    <x v="6"/>
    <x v="6"/>
    <x v="0"/>
    <s v="BANCA COMERCIAL PERIFERIA"/>
    <s v="VIATICOS"/>
    <s v="TRANSACCIONES DEL DIA 07/24/2018SPYRAL - GESTION ADMINISTRATIVA"/>
    <n v="256.27999999999997"/>
    <n v="0"/>
    <s v="NEGOCIOS"/>
    <x v="1"/>
  </r>
  <r>
    <n v="91"/>
    <d v="2018-07-30T00:00:00"/>
    <x v="6"/>
    <x v="6"/>
    <x v="0"/>
    <s v="BANCA COMERCIAL PERIFERIA"/>
    <s v="VIATICOS"/>
    <s v="TRANSACCIONES DEL DIA 07/30/2018SPYRAL - GESTION ADMINISTRATIVA"/>
    <n v="107"/>
    <n v="0"/>
    <s v="NEGOCIOS"/>
    <x v="1"/>
  </r>
  <r>
    <n v="91"/>
    <d v="2018-08-01T00:00:00"/>
    <x v="3"/>
    <x v="3"/>
    <x v="0"/>
    <s v="BANCA COMERCIAL PERIFERIA"/>
    <s v="VIATICOS"/>
    <s v="TRANSACCIONES DEL DIA 08/01/2018SPYRAL - GESTION ADMINISTRATIVA"/>
    <n v="243.6"/>
    <n v="0"/>
    <s v="NEGOCIOS"/>
    <x v="1"/>
  </r>
  <r>
    <n v="91"/>
    <d v="2018-08-02T00:00:00"/>
    <x v="3"/>
    <x v="3"/>
    <x v="0"/>
    <s v="BANCA COMERCIAL PERIFERIA"/>
    <s v="VIATICOS"/>
    <s v="TRANSACCIONES DEL DIA 08/02/2018SPYRAL - GESTION ADMINISTRATIVA"/>
    <n v="70.650000000000006"/>
    <n v="0"/>
    <s v="NEGOCIOS"/>
    <x v="1"/>
  </r>
  <r>
    <n v="91"/>
    <d v="2018-08-08T00:00:00"/>
    <x v="3"/>
    <x v="3"/>
    <x v="0"/>
    <s v="BANCA COMERCIAL PERIFERIA"/>
    <s v="VIATICOS"/>
    <s v="TRANSACCIONES DEL DIA 08/08/2018SPYRAL - GESTION ADMINISTRATIVA"/>
    <n v="138.18"/>
    <n v="0"/>
    <s v="NEGOCIOS"/>
    <x v="1"/>
  </r>
  <r>
    <n v="91"/>
    <d v="2018-08-09T00:00:00"/>
    <x v="3"/>
    <x v="3"/>
    <x v="0"/>
    <s v="BANCA COMERCIAL PERIFERIA"/>
    <s v="VIATICOS 2"/>
    <s v="TRANSACCIONES DEL DIA 08/09/2018SPYRAL - GESTION ADMINISTRATIVA"/>
    <n v="363.7"/>
    <n v="0"/>
    <s v="NEGOCIOS"/>
    <x v="1"/>
  </r>
  <r>
    <n v="91"/>
    <d v="2018-08-09T00:00:00"/>
    <x v="3"/>
    <x v="3"/>
    <x v="0"/>
    <s v="BANCA COMERCIAL PERIFERIA"/>
    <s v="VIATICOS"/>
    <s v="TRANSACCIONES DEL DIA 08/09/2018SPYRAL - GESTION ADMINISTRATIVA"/>
    <n v="96.94"/>
    <n v="0"/>
    <s v="NEGOCIOS"/>
    <x v="1"/>
  </r>
  <r>
    <n v="91"/>
    <d v="2018-08-14T00:00:00"/>
    <x v="3"/>
    <x v="3"/>
    <x v="0"/>
    <s v="BANCA COMERCIAL PERIFERIA"/>
    <s v="VIATICOS"/>
    <s v="TRANSACCIONES DEL DIA 08/14/2018SPYRAL - GESTION ADMINISTRATIVA"/>
    <n v="50.75"/>
    <n v="0"/>
    <s v="NEGOCIOS"/>
    <x v="1"/>
  </r>
  <r>
    <n v="91"/>
    <d v="2018-08-16T00:00:00"/>
    <x v="3"/>
    <x v="3"/>
    <x v="0"/>
    <s v="BANCA COMERCIAL PERIFERIA"/>
    <s v="VIATICOS"/>
    <s v="TRANSACCIONES DEL DIA 08/16/2018SPYRAL - GESTION ADMINISTRATIVA"/>
    <n v="68.22"/>
    <n v="0"/>
    <s v="NEGOCIOS"/>
    <x v="1"/>
  </r>
  <r>
    <n v="91"/>
    <d v="2018-08-24T00:00:00"/>
    <x v="3"/>
    <x v="3"/>
    <x v="0"/>
    <s v="BANCA COMERCIAL PERIFERIA"/>
    <s v="VIATICOS"/>
    <s v="TRANSACCIONES DEL DIA 08/24/2018SPYRAL - GESTION ADMINISTRATIVA"/>
    <n v="212.77"/>
    <n v="0"/>
    <s v="NEGOCIOS"/>
    <x v="1"/>
  </r>
  <r>
    <n v="91"/>
    <d v="2018-08-28T00:00:00"/>
    <x v="3"/>
    <x v="3"/>
    <x v="0"/>
    <s v="BANCA COMERCIAL PERIFERIA"/>
    <s v="VIATICOS"/>
    <s v="TRANSACCIONES DEL DIA 08/28/2018SPYRAL - GESTION ADMINISTRATIVA"/>
    <n v="711.35"/>
    <n v="0"/>
    <s v="NEGOCIOS"/>
    <x v="1"/>
  </r>
  <r>
    <n v="91"/>
    <d v="2018-09-03T00:00:00"/>
    <x v="4"/>
    <x v="4"/>
    <x v="0"/>
    <s v="BANCA COMERCIAL PERIFERIA"/>
    <s v="VIATICOS"/>
    <s v="TRANSACCIONES DEL DIA 09/03/2018SPYRAL - GESTION ADMINISTRATIVA"/>
    <n v="192.67"/>
    <n v="0"/>
    <s v="NEGOCIOS"/>
    <x v="1"/>
  </r>
  <r>
    <n v="91"/>
    <d v="2018-09-03T00:00:00"/>
    <x v="4"/>
    <x v="4"/>
    <x v="0"/>
    <s v="BANCA COMERCIAL PERIFERIA"/>
    <s v="NC VIATICOS"/>
    <s v="TRANSACCIONES DEL DIA 09/03/2018SPYRAL - GESTION ADMINISTRATIVA"/>
    <n v="67.48"/>
    <n v="0"/>
    <s v="NEGOCIOS"/>
    <x v="1"/>
  </r>
  <r>
    <n v="91"/>
    <d v="2018-09-05T00:00:00"/>
    <x v="4"/>
    <x v="4"/>
    <x v="0"/>
    <s v="BANCA COMERCIAL PERIFERIA"/>
    <s v="VIATICOS"/>
    <s v="TRANSACCIONES DEL DIA 09/05/2018SPYRAL - GESTION ADMINISTRATIVA"/>
    <n v="37"/>
    <n v="0"/>
    <s v="NEGOCIOS"/>
    <x v="1"/>
  </r>
  <r>
    <n v="91"/>
    <d v="2018-09-22T00:00:00"/>
    <x v="4"/>
    <x v="4"/>
    <x v="0"/>
    <s v="BANCA COMERCIAL PERIFERIA"/>
    <s v="VIATICOS"/>
    <s v="TRANSACCIONES DEL DIA 09/22/2018SPYRAL - GESTION ADMINISTRATIVA"/>
    <n v="52.3"/>
    <n v="0"/>
    <s v="NEGOCIOS"/>
    <x v="1"/>
  </r>
  <r>
    <n v="91"/>
    <d v="2018-09-26T00:00:00"/>
    <x v="4"/>
    <x v="4"/>
    <x v="0"/>
    <s v="BANCA COMERCIAL PERIFERIA"/>
    <s v="VIATICOS"/>
    <s v="TRANSACCIONES DEL DIA 09/26/2018SPYRAL - GESTION ADMINISTRATIVA"/>
    <n v="622.37"/>
    <n v="0"/>
    <s v="NEGOCIOS"/>
    <x v="1"/>
  </r>
  <r>
    <n v="91"/>
    <d v="2018-10-01T00:00:00"/>
    <x v="0"/>
    <x v="0"/>
    <x v="0"/>
    <s v="BANCA COMERCIAL PERIFERIA"/>
    <s v="VIATICOS"/>
    <s v="TRANSACCIONES DEL DIA 10/01/2018SPYRAL - GESTION ADMINISTRATIVA"/>
    <n v="48.18"/>
    <n v="0"/>
    <s v="NEGOCIOS"/>
    <x v="1"/>
  </r>
  <r>
    <n v="91"/>
    <d v="2018-10-02T00:00:00"/>
    <x v="0"/>
    <x v="0"/>
    <x v="0"/>
    <s v="BANCA COMERCIAL PERIFERIA"/>
    <s v="VIATICOS"/>
    <s v="TRANSACCIONES DEL DIA 10/02/2018SPYRAL - GESTION ADMINISTRATIVA"/>
    <n v="99.01"/>
    <n v="0"/>
    <s v="NEGOCIOS"/>
    <x v="1"/>
  </r>
  <r>
    <n v="91"/>
    <d v="2018-10-09T00:00:00"/>
    <x v="0"/>
    <x v="0"/>
    <x v="0"/>
    <s v="BANCA COMERCIAL PERIFERIA"/>
    <s v="VIATICOS"/>
    <s v="TRANSACCIONES DEL DIA 10/09/2018SPYRAL - GESTION ADMINISTRATIVA"/>
    <n v="209.84"/>
    <n v="0"/>
    <s v="NEGOCIOS"/>
    <x v="1"/>
  </r>
  <r>
    <n v="91"/>
    <d v="2018-10-15T00:00:00"/>
    <x v="0"/>
    <x v="0"/>
    <x v="0"/>
    <s v="BANCA COMERCIAL PERIFERIA"/>
    <s v="VIATICOS"/>
    <s v="TRANSACCIONES DEL DIA 10/15/2018SPYRAL - GESTION ADMINISTRATIVA"/>
    <n v="87.6"/>
    <n v="0"/>
    <s v="NEGOCIOS"/>
    <x v="1"/>
  </r>
  <r>
    <n v="91"/>
    <d v="2018-10-22T00:00:00"/>
    <x v="0"/>
    <x v="0"/>
    <x v="0"/>
    <s v="BANCA COMERCIAL PERIFERIA"/>
    <s v="VIATICOS"/>
    <s v="TRANSACCIONES DEL DIA 10/22/2018SPYRAL - GESTION ADMINISTRATIVA"/>
    <n v="81.3"/>
    <n v="0"/>
    <s v="NEGOCIOS"/>
    <x v="1"/>
  </r>
  <r>
    <n v="91"/>
    <d v="2018-10-26T00:00:00"/>
    <x v="0"/>
    <x v="0"/>
    <x v="0"/>
    <s v="BANCA COMERCIAL PERIFERIA"/>
    <s v="VIATICOS"/>
    <s v="TRANSACCIONES DEL DIA 10/26/2018SPYRAL - GESTION ADMINISTRATIVA"/>
    <n v="110.95"/>
    <n v="0"/>
    <s v="NEGOCIOS"/>
    <x v="1"/>
  </r>
  <r>
    <n v="91"/>
    <d v="2018-11-01T00:00:00"/>
    <x v="5"/>
    <x v="5"/>
    <x v="0"/>
    <s v="BANCA COMERCIAL PERIFERIA"/>
    <s v="VIATICOS"/>
    <s v="TRANSACCIONES DEL DIA 11/01/2018SPYRAL - GESTION ADMINISTRATIVA"/>
    <n v="98.86"/>
    <n v="0"/>
    <s v="NEGOCIOS"/>
    <x v="1"/>
  </r>
  <r>
    <n v="91"/>
    <d v="2018-11-02T00:00:00"/>
    <x v="5"/>
    <x v="5"/>
    <x v="0"/>
    <s v="BANCA COMERCIAL PERIFERIA"/>
    <s v="VIATICOS"/>
    <s v="TRANSACCIONES DEL DIA 11/02/2018SPYRAL - GESTION ADMINISTRATIVA"/>
    <n v="198.85"/>
    <n v="0"/>
    <s v="NEGOCIOS"/>
    <x v="1"/>
  </r>
  <r>
    <n v="91"/>
    <d v="2018-11-12T00:00:00"/>
    <x v="5"/>
    <x v="5"/>
    <x v="0"/>
    <s v="BANCA COMERCIAL PERIFERIA"/>
    <s v="VIATICOS"/>
    <s v="TRANSACCIONES DEL DIA 11/12/2018SPYRAL - GESTION ADMINISTRATIVA"/>
    <n v="115"/>
    <n v="0"/>
    <s v="NEGOCIOS"/>
    <x v="1"/>
  </r>
  <r>
    <n v="91"/>
    <d v="2018-11-14T00:00:00"/>
    <x v="5"/>
    <x v="5"/>
    <x v="0"/>
    <s v="BANCA COMERCIAL PERIFERIA"/>
    <s v="VIATICOS"/>
    <s v="TRANSACCIONES DEL DIA 11/14/2018SPYRAL - GESTION ADMINISTRATIVA"/>
    <n v="27"/>
    <n v="0"/>
    <s v="NEGOCIOS"/>
    <x v="1"/>
  </r>
  <r>
    <n v="91"/>
    <d v="2018-11-23T00:00:00"/>
    <x v="5"/>
    <x v="5"/>
    <x v="0"/>
    <s v="BANCA COMERCIAL PERIFERIA"/>
    <s v="VIATICOS"/>
    <s v="TRANSACCIONES DEL DIA 11/23/2018SPYRAL - GESTION ADMINISTRATIVA"/>
    <n v="384.98"/>
    <n v="0"/>
    <s v="NEGOCIOS"/>
    <x v="1"/>
  </r>
  <r>
    <n v="91"/>
    <d v="2018-11-30T00:00:00"/>
    <x v="5"/>
    <x v="5"/>
    <x v="0"/>
    <s v="BANCA COMERCIAL PERIFERIA"/>
    <s v="VIATICOS"/>
    <s v="TRANSACCIONES DEL DIA 11/30/2018SPYRAL - GESTION ADMINISTRATIVA"/>
    <n v="188.4"/>
    <n v="0"/>
    <s v="NEGOCIOS"/>
    <x v="1"/>
  </r>
  <r>
    <n v="91"/>
    <d v="2018-12-06T00:00:00"/>
    <x v="1"/>
    <x v="1"/>
    <x v="0"/>
    <s v="BANCA COMERCIAL PERIFERIA"/>
    <s v="VIATICOS"/>
    <s v="TRANSACCIONES DEL DIA 12/06/2018SPYRAL - GESTION ADMINISTRATIVA"/>
    <n v="152.30000000000001"/>
    <n v="0"/>
    <s v="NEGOCIOS"/>
    <x v="1"/>
  </r>
  <r>
    <n v="91"/>
    <d v="2018-12-17T00:00:00"/>
    <x v="1"/>
    <x v="1"/>
    <x v="0"/>
    <s v="BANCA COMERCIAL PERIFERIA"/>
    <s v="VIATICOS"/>
    <s v="TRANSACCIONES DEL DIA 12/17/2018SPYRAL - GESTION ADMINISTRATIVA"/>
    <n v="47"/>
    <n v="0"/>
    <s v="NEGOCIOS"/>
    <x v="1"/>
  </r>
  <r>
    <n v="91"/>
    <d v="2018-12-18T00:00:00"/>
    <x v="1"/>
    <x v="1"/>
    <x v="0"/>
    <s v="BANCA COMERCIAL PERIFERIA"/>
    <s v="VIATICOS"/>
    <s v="TRANSACCIONES DEL DIA 12/18/2018SPYRAL - GESTION ADMINISTRATIVA"/>
    <n v="439.52"/>
    <n v="0"/>
    <s v="NEGOCIOS"/>
    <x v="1"/>
  </r>
  <r>
    <n v="91"/>
    <d v="2018-12-28T00:00:00"/>
    <x v="1"/>
    <x v="1"/>
    <x v="0"/>
    <s v="BANCA COMERCIAL PERIFERIA"/>
    <s v="VIATICOS"/>
    <s v="TRANSACCIONES DEL DIA 12/28/2018SPYRAL - GESTION ADMINISTRATIVA"/>
    <n v="32"/>
    <n v="0"/>
    <s v="NEGOCIOS"/>
    <x v="1"/>
  </r>
  <r>
    <n v="91"/>
    <d v="2018-12-31T00:00:00"/>
    <x v="1"/>
    <x v="1"/>
    <x v="0"/>
    <s v="BANCA COMERCIAL PERIFERIA"/>
    <s v="CIERRE DE ANIO FISCAL"/>
    <s v="CIERRE_DE_CTAS_NOMINALES"/>
    <n v="0"/>
    <n v="10945.81"/>
    <s v="NEGOCIOS"/>
    <x v="1"/>
  </r>
  <r>
    <n v="91"/>
    <d v="2018-09-20T00:00:00"/>
    <x v="4"/>
    <x v="4"/>
    <x v="0"/>
    <s v="MERCADEO"/>
    <s v="VIATICOS"/>
    <s v="TRANSACCIONES DEL DIA 09/20/2018SPYRAL - GESTION ADMINISTRATIVA"/>
    <n v="54.34"/>
    <n v="0"/>
    <s v="NEGOCIOS"/>
    <x v="1"/>
  </r>
  <r>
    <n v="91"/>
    <d v="2018-12-10T00:00:00"/>
    <x v="1"/>
    <x v="1"/>
    <x v="0"/>
    <s v="MERCADEO"/>
    <s v="VIATICOS 2"/>
    <s v="TRANSACCIONES DEL DIA 12/10/2018SPYRAL - GESTION ADMINISTRATIVA"/>
    <n v="280.37"/>
    <n v="0"/>
    <s v="NEGOCIOS"/>
    <x v="1"/>
  </r>
  <r>
    <n v="91"/>
    <d v="2018-12-31T00:00:00"/>
    <x v="1"/>
    <x v="1"/>
    <x v="0"/>
    <s v="MERCADEO"/>
    <s v="CIERRE DE ANIO FISCAL"/>
    <s v="CIERRE_DE_CTAS_NOMINALES"/>
    <n v="0"/>
    <n v="883.11"/>
    <s v="NEGOCIOS"/>
    <x v="1"/>
  </r>
  <r>
    <n v="91"/>
    <d v="2018-07-21T00:00:00"/>
    <x v="6"/>
    <x v="6"/>
    <x v="0"/>
    <s v="SERVICIOS AL CLIENTE"/>
    <s v="VIATICOS"/>
    <s v="TRANSACCIONES DEL DIA 07/21/2018SPYRAL - GESTION ADMINISTRATIVA"/>
    <n v="16.600000000000001"/>
    <n v="0"/>
    <s v="NEGOCIOS"/>
    <x v="1"/>
  </r>
  <r>
    <n v="91"/>
    <d v="2018-07-24T00:00:00"/>
    <x v="6"/>
    <x v="6"/>
    <x v="0"/>
    <s v="SERVICIOS AL CLIENTE"/>
    <s v="VIATICOS"/>
    <s v="TRANSACCIONES DEL DIA 07/24/2018SPYRAL - GESTION ADMINISTRATIVA"/>
    <n v="22.05"/>
    <n v="0"/>
    <s v="NEGOCIOS"/>
    <x v="1"/>
  </r>
  <r>
    <n v="91"/>
    <d v="2018-08-30T00:00:00"/>
    <x v="3"/>
    <x v="3"/>
    <x v="0"/>
    <s v="SERVICIOS AL CLIENTE"/>
    <s v="VIATICOS"/>
    <s v="TRANSACCIONES DEL DIA 08/30/2018SPYRAL - GESTION ADMINISTRATIVA"/>
    <n v="69.400000000000006"/>
    <n v="0"/>
    <s v="NEGOCIOS"/>
    <x v="1"/>
  </r>
  <r>
    <n v="91"/>
    <d v="2018-09-05T00:00:00"/>
    <x v="4"/>
    <x v="4"/>
    <x v="0"/>
    <s v="SERVICIOS AL CLIENTE"/>
    <s v="VIATICOS"/>
    <s v="TRANSACCIONES DEL DIA 09/05/2018SPYRAL - GESTION ADMINISTRATIVA"/>
    <n v="6.12"/>
    <n v="0"/>
    <s v="NEGOCIOS"/>
    <x v="1"/>
  </r>
  <r>
    <n v="91"/>
    <d v="2018-10-02T00:00:00"/>
    <x v="0"/>
    <x v="0"/>
    <x v="0"/>
    <s v="SERVICIOS AL CLIENTE"/>
    <s v="VIATICOS"/>
    <s v="TRANSACCIONES DEL DIA 10/02/2018SPYRAL - GESTION ADMINISTRATIVA"/>
    <n v="37.299999999999997"/>
    <n v="0"/>
    <s v="NEGOCIOS"/>
    <x v="1"/>
  </r>
  <r>
    <n v="91"/>
    <d v="2018-11-12T00:00:00"/>
    <x v="5"/>
    <x v="5"/>
    <x v="0"/>
    <s v="SERVICIOS AL CLIENTE"/>
    <s v="VIATICOS"/>
    <s v="TRANSACCIONES DEL DIA 11/12/2018SPYRAL - GESTION ADMINISTRATIVA"/>
    <n v="127.7"/>
    <n v="0"/>
    <s v="NEGOCIOS"/>
    <x v="1"/>
  </r>
  <r>
    <n v="91"/>
    <d v="2018-12-17T00:00:00"/>
    <x v="1"/>
    <x v="1"/>
    <x v="0"/>
    <s v="SERVICIOS AL CLIENTE"/>
    <s v="VIATICOS"/>
    <s v="TRANSACCIONES DEL DIA 12/17/2018SPYRAL - GESTION ADMINISTRATIVA"/>
    <n v="19.95"/>
    <n v="0"/>
    <s v="NEGOCIOS"/>
    <x v="1"/>
  </r>
  <r>
    <n v="91"/>
    <d v="2018-12-31T00:00:00"/>
    <x v="1"/>
    <x v="1"/>
    <x v="0"/>
    <s v="SERVICIOS AL CLIENTE"/>
    <s v="CIERRE DE ANIO FISCAL"/>
    <s v="CIERRE_DE_CTAS_NOMINALES"/>
    <n v="0"/>
    <n v="299.12"/>
    <s v="NEGOCIOS"/>
    <x v="1"/>
  </r>
  <r>
    <n v="91"/>
    <d v="2018-06-01T00:00:00"/>
    <x v="2"/>
    <x v="2"/>
    <x v="0"/>
    <s v="IMAGEN CORPORATIVA"/>
    <s v="VIATICOS"/>
    <s v="TRANSACCIONES DEL DIA 06/01/2018SPYRAL - GESTION ADMINISTRATIVA"/>
    <n v="152"/>
    <n v="0"/>
    <s v="NEGOCIOS"/>
    <x v="1"/>
  </r>
  <r>
    <n v="91"/>
    <d v="2018-06-07T00:00:00"/>
    <x v="2"/>
    <x v="2"/>
    <x v="0"/>
    <s v="IMAGEN CORPORATIVA"/>
    <s v="VIATICOS 2"/>
    <s v="TRANSACCIONES DEL DIA 06/07/2018SPYRAL - GESTION ADMINISTRATIVA"/>
    <n v="104.6"/>
    <n v="0"/>
    <s v="NEGOCIOS"/>
    <x v="1"/>
  </r>
  <r>
    <n v="91"/>
    <d v="2018-06-19T00:00:00"/>
    <x v="2"/>
    <x v="2"/>
    <x v="0"/>
    <s v="IMAGEN CORPORATIVA"/>
    <s v="VIATICOS"/>
    <s v="TRANSACCIONES DEL DIA 06/19/2018SPYRAL - GESTION ADMINISTRATIVA"/>
    <n v="40"/>
    <n v="0"/>
    <s v="NEGOCIOS"/>
    <x v="1"/>
  </r>
  <r>
    <n v="91"/>
    <d v="2018-06-22T00:00:00"/>
    <x v="2"/>
    <x v="2"/>
    <x v="0"/>
    <s v="IMAGEN CORPORATIVA"/>
    <s v="VIATICOS"/>
    <s v="TRANSACCIONES DEL DIA 06/22/2018SPYRAL - GESTION ADMINISTRATIVA"/>
    <n v="392.89"/>
    <n v="0"/>
    <s v="NEGOCIOS"/>
    <x v="1"/>
  </r>
  <r>
    <n v="91"/>
    <d v="2018-06-26T00:00:00"/>
    <x v="2"/>
    <x v="2"/>
    <x v="0"/>
    <s v="IMAGEN CORPORATIVA"/>
    <s v="VIATICOS 2"/>
    <s v="TRANSACCIONES DEL DIA 06/26/2018SPYRAL - GESTION ADMINISTRATIVA"/>
    <n v="85"/>
    <n v="0"/>
    <s v="NEGOCIOS"/>
    <x v="1"/>
  </r>
  <r>
    <n v="91"/>
    <d v="2018-06-26T00:00:00"/>
    <x v="2"/>
    <x v="2"/>
    <x v="0"/>
    <s v="IMAGEN CORPORATIVA"/>
    <s v="VIATICOS"/>
    <s v="TRANSACCIONES DEL DIA 06/26/2018SPYRAL - GESTION ADMINISTRATIVA"/>
    <n v="13.99"/>
    <n v="0"/>
    <s v="NEGOCIOS"/>
    <x v="1"/>
  </r>
  <r>
    <n v="91"/>
    <d v="2018-06-29T00:00:00"/>
    <x v="2"/>
    <x v="2"/>
    <x v="0"/>
    <s v="IMAGEN CORPORATIVA"/>
    <s v="VIATICOS"/>
    <s v="TRANSACCIONES DEL DIA 06/29/2018SPYRAL - GESTION ADMINISTRATIVA"/>
    <n v="10"/>
    <n v="0"/>
    <s v="NEGOCIOS"/>
    <x v="1"/>
  </r>
  <r>
    <n v="91"/>
    <d v="2018-07-06T00:00:00"/>
    <x v="6"/>
    <x v="6"/>
    <x v="0"/>
    <s v="IMAGEN CORPORATIVA"/>
    <s v="VIATICOS 2"/>
    <s v="TRANSACCIONES DEL DIA 07/06/2018SPYRAL - GESTION ADMINISTRATIVA"/>
    <n v="43.49"/>
    <n v="0"/>
    <s v="NEGOCIOS"/>
    <x v="1"/>
  </r>
  <r>
    <n v="91"/>
    <d v="2018-07-23T00:00:00"/>
    <x v="6"/>
    <x v="6"/>
    <x v="0"/>
    <s v="IMAGEN CORPORATIVA"/>
    <s v="VIATICOS 2"/>
    <s v="TRANSACCIONES DEL DIA 07/23/2018SPYRAL - GESTION ADMINISTRATIVA"/>
    <n v="62.73"/>
    <n v="0"/>
    <s v="NEGOCIOS"/>
    <x v="1"/>
  </r>
  <r>
    <n v="91"/>
    <d v="2018-07-30T00:00:00"/>
    <x v="6"/>
    <x v="6"/>
    <x v="0"/>
    <s v="IMAGEN CORPORATIVA"/>
    <s v="VIATICOS"/>
    <s v="TRANSACCIONES DEL DIA 07/30/2018SPYRAL - GESTION ADMINISTRATIVA"/>
    <n v="10"/>
    <n v="0"/>
    <s v="NEGOCIOS"/>
    <x v="1"/>
  </r>
  <r>
    <n v="91"/>
    <d v="2018-08-08T00:00:00"/>
    <x v="3"/>
    <x v="3"/>
    <x v="0"/>
    <s v="IMAGEN CORPORATIVA"/>
    <s v="VIATICOS"/>
    <s v="TRANSACCIONES DEL DIA 08/08/2018SPYRAL - GESTION ADMINISTRATIVA"/>
    <n v="30"/>
    <n v="0"/>
    <s v="NEGOCIOS"/>
    <x v="1"/>
  </r>
  <r>
    <n v="91"/>
    <d v="2018-08-23T00:00:00"/>
    <x v="3"/>
    <x v="3"/>
    <x v="0"/>
    <s v="IMAGEN CORPORATIVA"/>
    <s v="VIATICOS"/>
    <s v="TRANSACCIONES DEL DIA 08/23/2018SPYRAL - GESTION ADMINISTRATIVA"/>
    <n v="21.65"/>
    <n v="0"/>
    <s v="NEGOCIOS"/>
    <x v="1"/>
  </r>
  <r>
    <n v="91"/>
    <d v="2018-09-14T00:00:00"/>
    <x v="4"/>
    <x v="4"/>
    <x v="0"/>
    <s v="IMAGEN CORPORATIVA"/>
    <s v="VIATICOS"/>
    <s v="TRANSACCIONES DEL DIA 09/14/2018SPYRAL - GESTION ADMINISTRATIVA"/>
    <n v="10"/>
    <n v="0"/>
    <s v="NEGOCIOS"/>
    <x v="1"/>
  </r>
  <r>
    <n v="91"/>
    <d v="2018-09-27T00:00:00"/>
    <x v="4"/>
    <x v="4"/>
    <x v="0"/>
    <s v="IMAGEN CORPORATIVA"/>
    <s v="VIATICOS"/>
    <s v="TRANSACCIONES DEL DIA 09/27/2018SPYRAL - GESTION ADMINISTRATIVA"/>
    <n v="15"/>
    <n v="0"/>
    <s v="NEGOCIOS"/>
    <x v="1"/>
  </r>
  <r>
    <n v="91"/>
    <d v="2018-10-01T00:00:00"/>
    <x v="0"/>
    <x v="0"/>
    <x v="0"/>
    <s v="IMAGEN CORPORATIVA"/>
    <s v="VIATICOS"/>
    <s v="TRANSACCIONES DEL DIA 10/01/2018SPYRAL - GESTION ADMINISTRATIVA"/>
    <n v="8.31"/>
    <n v="0"/>
    <s v="NEGOCIOS"/>
    <x v="1"/>
  </r>
  <r>
    <n v="91"/>
    <d v="2018-11-14T00:00:00"/>
    <x v="5"/>
    <x v="5"/>
    <x v="0"/>
    <s v="IMAGEN CORPORATIVA"/>
    <s v="VIATICOS"/>
    <s v="TRANSACCIONES DEL DIA 11/14/2018SPYRAL - GESTION ADMINISTRATIVA"/>
    <n v="10"/>
    <n v="0"/>
    <s v="NEGOCIOS"/>
    <x v="1"/>
  </r>
  <r>
    <n v="91"/>
    <d v="2018-11-19T00:00:00"/>
    <x v="5"/>
    <x v="5"/>
    <x v="0"/>
    <s v="IMAGEN CORPORATIVA"/>
    <s v="VIATICOS"/>
    <s v="TRANSACCIONES DEL DIA 11/19/2018SPYRAL - GESTION ADMINISTRATIVA"/>
    <n v="5"/>
    <n v="0"/>
    <s v="NEGOCIOS"/>
    <x v="1"/>
  </r>
  <r>
    <n v="91"/>
    <d v="2018-12-05T00:00:00"/>
    <x v="1"/>
    <x v="1"/>
    <x v="0"/>
    <s v="IMAGEN CORPORATIVA"/>
    <s v="VIATICOS"/>
    <s v="TRANSACCIONES DEL DIA 12/05/2018SPYRAL - GESTION ADMINISTRATIVA"/>
    <n v="10"/>
    <n v="0"/>
    <s v="NEGOCIOS"/>
    <x v="1"/>
  </r>
  <r>
    <n v="91"/>
    <d v="2018-12-06T00:00:00"/>
    <x v="1"/>
    <x v="1"/>
    <x v="0"/>
    <s v="IMAGEN CORPORATIVA"/>
    <s v="VIATICOS"/>
    <s v="TRANSACCIONES DEL DIA 12/06/2018SPYRAL - GESTION ADMINISTRATIVA"/>
    <n v="10"/>
    <n v="0"/>
    <s v="NEGOCIOS"/>
    <x v="1"/>
  </r>
  <r>
    <n v="91"/>
    <d v="2018-12-07T00:00:00"/>
    <x v="1"/>
    <x v="1"/>
    <x v="0"/>
    <s v="IMAGEN CORPORATIVA"/>
    <s v="VIATICOS"/>
    <s v="TRANSACCIONES DEL DIA 12/07/2018SPYRAL - GESTION ADMINISTRATIVA"/>
    <n v="80.66"/>
    <n v="0"/>
    <s v="NEGOCIOS"/>
    <x v="1"/>
  </r>
  <r>
    <n v="91"/>
    <d v="2018-12-31T00:00:00"/>
    <x v="1"/>
    <x v="1"/>
    <x v="0"/>
    <s v="IMAGEN CORPORATIVA"/>
    <s v="CIERRE DE ANIO FISCAL"/>
    <s v="CIERRE_DE_CTAS_NOMINALES"/>
    <n v="0"/>
    <n v="8574.39"/>
    <s v="NEGOCIOS"/>
    <x v="1"/>
  </r>
  <r>
    <n v="95"/>
    <d v="2018-10-23T00:00:00"/>
    <x v="0"/>
    <x v="0"/>
    <x v="0"/>
    <s v="ADMINISTRACION DE SUCURSALES"/>
    <s v="OTROS EGRESOS 18"/>
    <s v="OTROS EGRESOS 1.P.O (OR:95/DES:95 TRN:86 PERF:300086 CAU: 18"/>
    <n v="2.7"/>
    <n v="0"/>
    <s v="BOULEVARD EL DORADO"/>
    <x v="1"/>
  </r>
  <r>
    <n v="95"/>
    <d v="2018-12-17T00:00:00"/>
    <x v="1"/>
    <x v="1"/>
    <x v="0"/>
    <s v="ADMINISTRACION DE SUCURSALES"/>
    <s v="OTROS EGRESOS 18"/>
    <s v="OTROS EGRESOS 1.P.O (OR:95/DES:95 TRN:86 PERF:300086 CAU: 18"/>
    <n v="3.6"/>
    <n v="0"/>
    <s v="BOULEVARD EL DORADO"/>
    <x v="1"/>
  </r>
  <r>
    <n v="95"/>
    <d v="2018-12-31T00:00:00"/>
    <x v="1"/>
    <x v="1"/>
    <x v="0"/>
    <s v="ADMINISTRACION DE SUCURSALES"/>
    <s v="CIERRE DE ANIO FISCAL"/>
    <s v="CIERRE_DE_CTAS_NOMINALES"/>
    <n v="0"/>
    <n v="62.7"/>
    <s v="BOULEVARD EL DORADO"/>
    <x v="1"/>
  </r>
  <r>
    <n v="95"/>
    <d v="2018-12-31T00:00:00"/>
    <x v="1"/>
    <x v="1"/>
    <x v="0"/>
    <s v="CAJA"/>
    <s v="CIERRE DE ANIO FISCAL"/>
    <s v="CIERRE_DE_CTAS_NOMINALES"/>
    <n v="0"/>
    <n v="113.1"/>
    <s v="BOULEVARD EL DORADO"/>
    <x v="1"/>
  </r>
  <r>
    <n v="97"/>
    <d v="2018-07-18T00:00:00"/>
    <x v="6"/>
    <x v="6"/>
    <x v="0"/>
    <s v="ADMINISTRACION DE SUCURSALES"/>
    <s v="OTROS EGRESOS 18"/>
    <s v="OTROS EGRESOS 1.P.O (OR:97/DES:97 TRN:86 PERF:300086 CAU: 18"/>
    <n v="17.149999999999999"/>
    <n v="0"/>
    <s v="SAN SEBASTIAN"/>
    <x v="1"/>
  </r>
  <r>
    <n v="97"/>
    <d v="2018-09-21T00:00:00"/>
    <x v="4"/>
    <x v="4"/>
    <x v="0"/>
    <s v="ADMINISTRACION DE SUCURSALES"/>
    <s v="OTROS EGRESOS 18"/>
    <s v="OTROS EGRESOS 1.P.O (OR:97/DES:97 TRN:86 PERF:300086 CAU: 18"/>
    <n v="3"/>
    <n v="0"/>
    <s v="SAN SEBASTIAN"/>
    <x v="1"/>
  </r>
  <r>
    <n v="97"/>
    <d v="2018-09-24T00:00:00"/>
    <x v="4"/>
    <x v="4"/>
    <x v="0"/>
    <s v="ADMINISTRACION DE SUCURSALES"/>
    <s v="OTROS EGRESOS 18"/>
    <s v="OTROS EGRESOS 1.P.O (OR:97/DES:97 TRN:86 PERF:300086 CAU: 18"/>
    <n v="3"/>
    <n v="0"/>
    <s v="SAN SEBASTIAN"/>
    <x v="1"/>
  </r>
  <r>
    <n v="97"/>
    <d v="2018-10-02T00:00:00"/>
    <x v="0"/>
    <x v="0"/>
    <x v="0"/>
    <s v="ADMINISTRACION DE SUCURSALES"/>
    <s v="OTROS EGRESOS 18"/>
    <s v="OTROS EGRESOS 1.P.O (OR:97/DES:97 TRN:86 PERF:300086 CAU: 18"/>
    <n v="2.4"/>
    <n v="0"/>
    <s v="SAN SEBASTIAN"/>
    <x v="1"/>
  </r>
  <r>
    <n v="97"/>
    <d v="2018-10-11T00:00:00"/>
    <x v="0"/>
    <x v="0"/>
    <x v="0"/>
    <s v="ADMINISTRACION DE SUCURSALES"/>
    <s v="OTROS EGRESOS 18"/>
    <s v="OTROS EGRESOS 1.P.O (OR:97/DES:97 TRN:86 PERF:300086 CAU: 18"/>
    <n v="3.6"/>
    <n v="0"/>
    <s v="SAN SEBASTIAN"/>
    <x v="1"/>
  </r>
  <r>
    <n v="97"/>
    <d v="2018-10-12T00:00:00"/>
    <x v="0"/>
    <x v="0"/>
    <x v="0"/>
    <s v="ADMINISTRACION DE SUCURSALES"/>
    <s v="OTROS EGRESOS 18"/>
    <s v="OTROS EGRESOS 1.P.O (OR:97/DES:97 TRN:86 PERF:300086 CAU: 18"/>
    <n v="1.8"/>
    <n v="0"/>
    <s v="SAN SEBASTIAN"/>
    <x v="1"/>
  </r>
  <r>
    <n v="97"/>
    <d v="2018-10-19T00:00:00"/>
    <x v="0"/>
    <x v="0"/>
    <x v="0"/>
    <s v="ADMINISTRACION DE SUCURSALES"/>
    <s v="OTROS EGRESOS 18"/>
    <s v="OTROS EGRESOS 1.P.O (OR:97/DES:97 TRN:86 PERF:300086 CAU: 18"/>
    <n v="1.8"/>
    <n v="0"/>
    <s v="SAN SEBASTIAN"/>
    <x v="1"/>
  </r>
  <r>
    <n v="97"/>
    <d v="2018-12-12T00:00:00"/>
    <x v="1"/>
    <x v="1"/>
    <x v="0"/>
    <s v="ADMINISTRACION DE SUCURSALES"/>
    <s v="OTROS EGRESOS 18"/>
    <s v="OTROS EGRESOS 1.P.O (OR:97/DES:97 TRN:86 PERF:300086 CAU: 18"/>
    <n v="1.1000000000000001"/>
    <n v="0"/>
    <s v="SAN SEBASTIAN"/>
    <x v="1"/>
  </r>
  <r>
    <n v="97"/>
    <d v="2018-12-18T00:00:00"/>
    <x v="1"/>
    <x v="1"/>
    <x v="0"/>
    <s v="ADMINISTRACION DE SUCURSALES"/>
    <s v="OTROS EGRESOS 18"/>
    <s v="OTROS EGRESOS 1.P.O (OR:97/DES:97 TRN:86 PERF:300086 CAU: 18"/>
    <n v="1.8"/>
    <n v="0"/>
    <s v="SAN SEBASTIAN"/>
    <x v="1"/>
  </r>
  <r>
    <n v="97"/>
    <d v="2018-12-31T00:00:00"/>
    <x v="1"/>
    <x v="1"/>
    <x v="0"/>
    <s v="ADMINISTRACION DE SUCURSALES"/>
    <s v="CIERRE DE ANIO FISCAL"/>
    <s v="CIERRE_DE_CTAS_NOMINALES"/>
    <n v="0"/>
    <n v="59.7"/>
    <s v="SAN SEBASTIAN"/>
    <x v="1"/>
  </r>
  <r>
    <n v="98"/>
    <d v="2018-06-01T00:00:00"/>
    <x v="2"/>
    <x v="2"/>
    <x v="0"/>
    <s v="ADMINISTRACION DE SUCURSALES"/>
    <s v="NC VIATICOS"/>
    <s v="TRANSACCIONES DEL DIA 06/01/2018SPYRAL - GESTION ADMINISTRATIVA"/>
    <n v="47"/>
    <n v="0"/>
    <s v="SANTIAGO INTERAMERICANA"/>
    <x v="1"/>
  </r>
  <r>
    <n v="98"/>
    <d v="2018-06-06T00:00:00"/>
    <x v="2"/>
    <x v="2"/>
    <x v="0"/>
    <s v="ADMINISTRACION DE SUCURSALES"/>
    <s v="VIATICOS"/>
    <s v="TRANSACCIONES DEL DIA 06/06/2018SPYRAL - GESTION ADMINISTRATIVA"/>
    <n v="30"/>
    <n v="0"/>
    <s v="SANTIAGO INTERAMERICANA"/>
    <x v="1"/>
  </r>
  <r>
    <n v="98"/>
    <d v="2018-07-23T00:00:00"/>
    <x v="6"/>
    <x v="6"/>
    <x v="0"/>
    <s v="ADMINISTRACION DE SUCURSALES"/>
    <s v="VIATICOS"/>
    <s v="TRANSACCIONES DEL DIA 07/23/2018SPYRAL - GESTION ADMINISTRATIVA"/>
    <n v="130"/>
    <n v="0"/>
    <s v="SANTIAGO INTERAMERICANA"/>
    <x v="1"/>
  </r>
  <r>
    <n v="98"/>
    <d v="2018-09-26T00:00:00"/>
    <x v="4"/>
    <x v="4"/>
    <x v="0"/>
    <s v="ADMINISTRACION DE SUCURSALES"/>
    <s v="VIATICOS"/>
    <s v="TRANSACCIONES DEL DIA 09/26/2018SPYRAL - GESTION ADMINISTRATIVA"/>
    <n v="30"/>
    <n v="0"/>
    <s v="SANTIAGO INTERAMERICANA"/>
    <x v="1"/>
  </r>
  <r>
    <n v="98"/>
    <d v="2018-10-16T00:00:00"/>
    <x v="0"/>
    <x v="0"/>
    <x v="0"/>
    <s v="ADMINISTRACION DE SUCURSALES"/>
    <s v="NC VIATICOS"/>
    <s v="TRANSACCIONES DEL DIA 10/16/2018SPYRAL - GESTION ADMINISTRATIVA"/>
    <n v="30.24"/>
    <n v="0"/>
    <s v="SANTIAGO INTERAMERICANA"/>
    <x v="1"/>
  </r>
  <r>
    <n v="98"/>
    <d v="2018-12-01T00:00:00"/>
    <x v="1"/>
    <x v="1"/>
    <x v="0"/>
    <s v="ADMINISTRACION DE SUCURSALES"/>
    <s v="VIATICOS"/>
    <s v="TRANSACCIONES DEL DIA 12/01/2018SPYRAL - GESTION ADMINISTRATIVA"/>
    <n v="137.5"/>
    <n v="0"/>
    <s v="SANTIAGO INTERAMERICANA"/>
    <x v="1"/>
  </r>
  <r>
    <n v="98"/>
    <d v="2018-12-04T00:00:00"/>
    <x v="1"/>
    <x v="1"/>
    <x v="0"/>
    <s v="ADMINISTRACION DE SUCURSALES"/>
    <s v="NC VIATICOS"/>
    <s v="TRANSACCIONES DEL DIA 12/04/2018SPYRAL - GESTION ADMINISTRATIVA"/>
    <n v="42.84"/>
    <n v="0"/>
    <s v="SANTIAGO INTERAMERICANA"/>
    <x v="1"/>
  </r>
  <r>
    <n v="98"/>
    <d v="2018-12-13T00:00:00"/>
    <x v="1"/>
    <x v="1"/>
    <x v="0"/>
    <s v="ADMINISTRACION DE SUCURSALES"/>
    <s v="VIATICOS"/>
    <s v="TRANSACCIONES DEL DIA 12/13/2018SPYRAL - GESTION ADMINISTRATIVA"/>
    <n v="137.5"/>
    <n v="0"/>
    <s v="SANTIAGO INTERAMERICANA"/>
    <x v="1"/>
  </r>
  <r>
    <n v="98"/>
    <d v="2018-12-31T00:00:00"/>
    <x v="1"/>
    <x v="1"/>
    <x v="0"/>
    <s v="ADMINISTRACION DE SUCURSALES"/>
    <s v="CIERRE DE ANIO FISCAL"/>
    <s v="CIERRE_DE_CTAS_NOMINALES"/>
    <n v="0"/>
    <n v="869.69"/>
    <s v="SANTIAGO INTERAMERICANA"/>
    <x v="1"/>
  </r>
  <r>
    <n v="99"/>
    <d v="2018-08-24T00:00:00"/>
    <x v="3"/>
    <x v="3"/>
    <x v="0"/>
    <s v="ADMINISTRACION DE SUCURSALES"/>
    <s v="VIATICOS"/>
    <s v="TRANSACCIONES DEL DIA 08/24/2018SPYRAL - GESTION ADMINISTRATIVA"/>
    <n v="12"/>
    <n v="0"/>
    <s v="CIUDAD DEL SABER"/>
    <x v="1"/>
  </r>
  <r>
    <n v="99"/>
    <d v="2018-10-09T00:00:00"/>
    <x v="0"/>
    <x v="0"/>
    <x v="0"/>
    <s v="ADMINISTRACION DE SUCURSALES"/>
    <s v="OTROS EGRESOS 18"/>
    <s v="OTROS EGRESOS 1.P.O (OR:99/DES:99 TRN:86 PERF:300086 CAU: 18"/>
    <n v="12"/>
    <n v="0"/>
    <s v="CIUDAD DEL SABER"/>
    <x v="1"/>
  </r>
  <r>
    <n v="99"/>
    <d v="2018-12-03T00:00:00"/>
    <x v="1"/>
    <x v="1"/>
    <x v="0"/>
    <s v="ADMINISTRACION DE SUCURSALES"/>
    <s v="NC VIATICOS"/>
    <s v="TRANSACCIONES DEL DIA 12/03/2018SPYRAL - GESTION ADMINISTRATIVA"/>
    <n v="0"/>
    <n v="54"/>
    <s v="CIUDAD DEL SABER"/>
    <x v="1"/>
  </r>
  <r>
    <n v="99"/>
    <d v="2018-12-31T00:00:00"/>
    <x v="1"/>
    <x v="1"/>
    <x v="0"/>
    <s v="ADMINISTRACION DE SUCURSALES"/>
    <s v="CIERRE DE ANIO FISCAL"/>
    <s v="CIERRE_DE_CTAS_NOMINALES"/>
    <n v="0"/>
    <n v="2.5"/>
    <s v="CIUDAD DEL SABER"/>
    <x v="1"/>
  </r>
  <r>
    <n v="101"/>
    <d v="2018-06-12T00:00:00"/>
    <x v="2"/>
    <x v="2"/>
    <x v="0"/>
    <s v="ADMINISTRACION DE SUCURSALES"/>
    <s v="OTROS EGRESOS 18"/>
    <s v="OTROS EGRESOS 1.P.O (OR:101/DES:101 TRN:86 PERF:300086 CAU: 18"/>
    <n v="16.649999999999999"/>
    <n v="0"/>
    <s v="VILLA ZAITA"/>
    <x v="1"/>
  </r>
  <r>
    <n v="101"/>
    <d v="2018-06-16T00:00:00"/>
    <x v="2"/>
    <x v="2"/>
    <x v="0"/>
    <s v="ADMINISTRACION DE SUCURSALES"/>
    <s v="OTROS EGRESOS 18"/>
    <s v="OTROS EGRESOS 1.P.O (OR:101/DES:101 TRN:86 PERF:300086 CAU: 18"/>
    <n v="22.2"/>
    <n v="0"/>
    <s v="VILLA ZAITA"/>
    <x v="1"/>
  </r>
  <r>
    <n v="101"/>
    <d v="2018-07-06T00:00:00"/>
    <x v="6"/>
    <x v="6"/>
    <x v="0"/>
    <s v="ADMINISTRACION DE SUCURSALES"/>
    <s v="OTROS EGRESOS 18"/>
    <s v="OTROS EGRESOS 1.P.O (OR:101/DES:101 TRN:86 PERF:300086 CAU: 18"/>
    <n v="5.9"/>
    <n v="0"/>
    <s v="VILLA ZAITA"/>
    <x v="1"/>
  </r>
  <r>
    <n v="101"/>
    <d v="2018-07-24T00:00:00"/>
    <x v="6"/>
    <x v="6"/>
    <x v="0"/>
    <s v="ADMINISTRACION DE SUCURSALES"/>
    <s v="OTROS EGRESOS 18"/>
    <s v="OTROS EGRESOS 1.P.O (OR:101/DES:101 TRN:86 PERF:300086 CAU: 18"/>
    <n v="10.7"/>
    <n v="0"/>
    <s v="VILLA ZAITA"/>
    <x v="1"/>
  </r>
  <r>
    <n v="101"/>
    <d v="2018-08-09T00:00:00"/>
    <x v="3"/>
    <x v="3"/>
    <x v="0"/>
    <s v="ADMINISTRACION DE SUCURSALES"/>
    <s v="OTROS EGRESOS 18"/>
    <s v="OTROS EGRESOS 1.P.O (OR:101/DES:101 TRN:86 PERF:300086 CAU: 18"/>
    <n v="12"/>
    <n v="0"/>
    <s v="VILLA ZAITA"/>
    <x v="1"/>
  </r>
  <r>
    <n v="101"/>
    <d v="2018-12-31T00:00:00"/>
    <x v="1"/>
    <x v="1"/>
    <x v="0"/>
    <s v="ADMINISTRACION DE SUCURSALES"/>
    <s v="CIERRE DE ANIO FISCAL"/>
    <s v="CIERRE_DE_CTAS_NOMINALES"/>
    <n v="0"/>
    <n v="96.1"/>
    <s v="VILLA ZAITA"/>
    <x v="1"/>
  </r>
  <r>
    <n v="102"/>
    <d v="2018-08-21T00:00:00"/>
    <x v="3"/>
    <x v="3"/>
    <x v="0"/>
    <s v="ADMINISTRACION DE SUCURSALES"/>
    <s v="OTROS EGRESOS 18"/>
    <s v="OTROS EGRESOS 1.P.O (OR:102/DES:102 TRN:86 PERF:300086 CAU: 18"/>
    <n v="1100"/>
    <n v="0"/>
    <s v="AZUERO TERMINAL PLAZA"/>
    <x v="1"/>
  </r>
  <r>
    <n v="102"/>
    <d v="2018-08-24T00:00:00"/>
    <x v="3"/>
    <x v="3"/>
    <x v="0"/>
    <s v="ADMINISTRACION DE SUCURSALES"/>
    <s v="EL 21 DE AGOSTO SE SACO EL PRESUPUESTO DE FISTAS PATRIAS POR CAU"/>
    <s v="REGISTRO DE ENTRADA DE CAJA"/>
    <n v="0"/>
    <n v="1100"/>
    <s v="AZUERO TERMINAL PLAZA"/>
    <x v="1"/>
  </r>
  <r>
    <n v="102"/>
    <d v="2018-10-01T00:00:00"/>
    <x v="0"/>
    <x v="0"/>
    <x v="0"/>
    <s v="ADMINISTRACION DE SUCURSALES"/>
    <s v="VIATICOS"/>
    <s v="TRANSACCIONES DEL DIA 10/01/2018SPYRAL - GESTION ADMINISTRATIVA"/>
    <n v="237.9"/>
    <n v="0"/>
    <s v="AZUERO TERMINAL PLAZA"/>
    <x v="1"/>
  </r>
  <r>
    <n v="102"/>
    <d v="2018-10-11T00:00:00"/>
    <x v="0"/>
    <x v="0"/>
    <x v="0"/>
    <s v="ADMINISTRACION DE SUCURSALES"/>
    <s v="VIATICOS"/>
    <s v="TRANSACCIONES DEL DIA 10/11/2018SPYRAL - GESTION ADMINISTRATIVA"/>
    <n v="237.9"/>
    <n v="0"/>
    <s v="AZUERO TERMINAL PLAZA"/>
    <x v="1"/>
  </r>
  <r>
    <n v="102"/>
    <d v="2018-12-31T00:00:00"/>
    <x v="1"/>
    <x v="1"/>
    <x v="0"/>
    <s v="ADMINISTRACION DE SUCURSALES"/>
    <s v="CIERRE DE ANIO FISCAL"/>
    <s v="CIERRE_DE_CTAS_NOMINALES"/>
    <n v="0"/>
    <n v="489.8"/>
    <s v="AZUERO TERMINAL PLAZA"/>
    <x v="1"/>
  </r>
  <r>
    <n v="102"/>
    <d v="2018-07-25T00:00:00"/>
    <x v="6"/>
    <x v="6"/>
    <x v="0"/>
    <s v="SERVICIOS PERSONALES"/>
    <s v="VIATICOS"/>
    <s v="TRANSACCIONES DEL DIA 07/25/2018SPYRAL - GESTION ADMINISTRATIVA"/>
    <n v="182"/>
    <n v="0"/>
    <s v="AZUERO TERMINAL PLAZA"/>
    <x v="1"/>
  </r>
  <r>
    <n v="102"/>
    <d v="2018-12-31T00:00:00"/>
    <x v="1"/>
    <x v="1"/>
    <x v="0"/>
    <s v="SERVICIOS PERSONALES"/>
    <s v="CIERRE DE ANIO FISCAL"/>
    <s v="CIERRE_DE_CTAS_NOMINALES"/>
    <n v="0"/>
    <n v="182"/>
    <s v="AZUERO TERMINAL PLAZA"/>
    <x v="1"/>
  </r>
  <r>
    <n v="103"/>
    <d v="2018-07-12T00:00:00"/>
    <x v="6"/>
    <x v="6"/>
    <x v="0"/>
    <s v="ADMINISTRACION DE SUCURSALES"/>
    <s v="OTROS EGRESOS 18"/>
    <s v="OTROS EGRESOS 1.P.O (OR:103/DES:103 TRN:86 PERF:300086 CAU: 18"/>
    <n v="3"/>
    <n v="0"/>
    <s v="TOWN CENTER COSTA DEL ESTE"/>
    <x v="1"/>
  </r>
  <r>
    <n v="103"/>
    <d v="2018-12-14T00:00:00"/>
    <x v="1"/>
    <x v="1"/>
    <x v="0"/>
    <s v="ADMINISTRACION DE SUCURSALES"/>
    <s v="OTROS EGRESOS 18"/>
    <s v="OTROS EGRESOS 1.P.O (OR:103/DES:103 TRN:86 PERF:300086 CAU: 18"/>
    <n v="6.5"/>
    <n v="0"/>
    <s v="TOWN CENTER COSTA DEL ESTE"/>
    <x v="1"/>
  </r>
  <r>
    <n v="103"/>
    <d v="2018-12-31T00:00:00"/>
    <x v="1"/>
    <x v="1"/>
    <x v="0"/>
    <s v="ADMINISTRACION DE SUCURSALES"/>
    <s v="CIERRE DE ANIO FISCAL"/>
    <s v="CIERRE_DE_CTAS_NOMINALES"/>
    <n v="0"/>
    <n v="20.45"/>
    <s v="TOWN CENTER COSTA DEL ESTE"/>
    <x v="1"/>
  </r>
  <r>
    <n v="125"/>
    <d v="2018-08-14T00:00:00"/>
    <x v="3"/>
    <x v="3"/>
    <x v="0"/>
    <s v="ADMINISTRACION DE SUCURSALES"/>
    <s v="VIATICOS"/>
    <s v="TRANSACCIONES DEL DIA 08/14/2018SPYRAL - GESTION ADMINISTRATIVA"/>
    <n v="9.5"/>
    <n v="0"/>
    <s v="COSTA VERDE"/>
    <x v="1"/>
  </r>
  <r>
    <n v="125"/>
    <d v="2018-08-16T00:00:00"/>
    <x v="3"/>
    <x v="3"/>
    <x v="0"/>
    <s v="ADMINISTRACION DE SUCURSALES"/>
    <s v="OTROS EGRESOS 18"/>
    <s v="OTROS EGRESOS 1.P.O (OR:125/DES:125 TRN:86 PERF:300086 CAU: 18"/>
    <n v="4.5"/>
    <n v="0"/>
    <s v="COSTA VERDE"/>
    <x v="1"/>
  </r>
  <r>
    <n v="125"/>
    <d v="2018-09-03T00:00:00"/>
    <x v="4"/>
    <x v="4"/>
    <x v="0"/>
    <s v="ADMINISTRACION DE SUCURSALES"/>
    <s v="OTROS EGRESOS 18"/>
    <s v="OTROS EGRESOS 1.P.O (OR:125/DES:125 TRN:86 PERF:300086 CAU: 18"/>
    <n v="25"/>
    <n v="0"/>
    <s v="COSTA VERDE"/>
    <x v="1"/>
  </r>
  <r>
    <n v="125"/>
    <d v="2018-09-07T00:00:00"/>
    <x v="4"/>
    <x v="4"/>
    <x v="0"/>
    <s v="ADMINISTRACION DE SUCURSALES"/>
    <s v="OTROS EGRESOS 18"/>
    <s v="OTROS EGRESOS 1.P.O (OR:125/DES:125 TRN:86 PERF:300086 CAU: 18"/>
    <n v="4.5"/>
    <n v="0"/>
    <s v="COSTA VERDE"/>
    <x v="1"/>
  </r>
  <r>
    <n v="125"/>
    <d v="2018-09-14T00:00:00"/>
    <x v="4"/>
    <x v="4"/>
    <x v="0"/>
    <s v="ADMINISTRACION DE SUCURSALES"/>
    <s v="OTROS EGRESOS 18"/>
    <s v="OTROS EGRESOS 1.P.O (OR:125/DES:125 TRN:86 PERF:300086 CAU: 18"/>
    <n v="9.75"/>
    <n v="0"/>
    <s v="COSTA VERDE"/>
    <x v="1"/>
  </r>
  <r>
    <n v="125"/>
    <d v="2018-10-05T00:00:00"/>
    <x v="0"/>
    <x v="0"/>
    <x v="0"/>
    <s v="ADMINISTRACION DE SUCURSALES"/>
    <s v="OTROS EGRESOS 18"/>
    <s v="OTROS EGRESOS 1.P.O (OR:125/DES:125 TRN:86 PERF:300086 CAU: 18"/>
    <n v="4.5"/>
    <n v="0"/>
    <s v="COSTA VERDE"/>
    <x v="1"/>
  </r>
  <r>
    <n v="125"/>
    <d v="2018-10-09T00:00:00"/>
    <x v="0"/>
    <x v="0"/>
    <x v="0"/>
    <s v="ADMINISTRACION DE SUCURSALES"/>
    <s v="OTROS EGRESOS 18"/>
    <s v="OTROS EGRESOS 1.P.O (OR:125/DES:125 TRN:86 PERF:300086 CAU: 18"/>
    <n v="9.75"/>
    <n v="0"/>
    <s v="COSTA VERDE"/>
    <x v="1"/>
  </r>
  <r>
    <n v="125"/>
    <d v="2018-11-16T00:00:00"/>
    <x v="5"/>
    <x v="5"/>
    <x v="0"/>
    <s v="ADMINISTRACION DE SUCURSALES"/>
    <s v="OTROS EGRESOS 18"/>
    <s v="OTROS EGRESOS 1.P.O (OR:125/DES:125 TRN:86 PERF:300086 CAU: 18"/>
    <n v="4.5"/>
    <n v="0"/>
    <s v="COSTA VERDE"/>
    <x v="1"/>
  </r>
  <r>
    <n v="125"/>
    <d v="2018-12-07T00:00:00"/>
    <x v="1"/>
    <x v="1"/>
    <x v="0"/>
    <s v="ADMINISTRACION DE SUCURSALES"/>
    <s v="VIATICOS"/>
    <s v="TRANSACCIONES DEL DIA 12/07/2018SPYRAL - GESTION ADMINISTRATIVA"/>
    <n v="19"/>
    <n v="0"/>
    <s v="COSTA VERDE"/>
    <x v="1"/>
  </r>
  <r>
    <n v="125"/>
    <d v="2018-12-31T00:00:00"/>
    <x v="1"/>
    <x v="1"/>
    <x v="0"/>
    <s v="ADMINISTRACION DE SUCURSALES"/>
    <s v="CIERRE DE ANIO FISCAL"/>
    <s v="CIERRE_DE_CTAS_NOMINALES"/>
    <n v="0"/>
    <n v="160.5"/>
    <s v="COSTA VERDE"/>
    <x v="1"/>
  </r>
  <r>
    <n v="131"/>
    <d v="2018-06-22T00:00:00"/>
    <x v="2"/>
    <x v="2"/>
    <x v="0"/>
    <s v="ADMINISTRACION DE SUCURSALES"/>
    <s v="OTROS EGRESOS 18"/>
    <s v="OTROS EGRESOS 1.P.O (OR:131/DES:131 TRN:86 PERF:300086 CAU: 18"/>
    <n v="3.6"/>
    <n v="0"/>
    <s v="PLAZA LOS ANGELES"/>
    <x v="1"/>
  </r>
  <r>
    <n v="131"/>
    <d v="2018-08-23T00:00:00"/>
    <x v="3"/>
    <x v="3"/>
    <x v="0"/>
    <s v="ADMINISTRACION DE SUCURSALES"/>
    <s v="OTROS EGRESOS 18"/>
    <s v="OTROS EGRESOS 1.P.O (OR:131/DES:131 TRN:86 PERF:300086 CAU: 18"/>
    <n v="1.8"/>
    <n v="0"/>
    <s v="PLAZA LOS ANGELES"/>
    <x v="1"/>
  </r>
  <r>
    <n v="131"/>
    <d v="2018-09-25T00:00:00"/>
    <x v="4"/>
    <x v="4"/>
    <x v="0"/>
    <s v="ADMINISTRACION DE SUCURSALES"/>
    <s v="OTROS EGRESOS 18"/>
    <s v="OTROS EGRESOS 1.P.O (OR:131/DES:131 TRN:86 PERF:300086 CAU: 18"/>
    <n v="10.7"/>
    <n v="0"/>
    <s v="PLAZA LOS ANGELES"/>
    <x v="1"/>
  </r>
  <r>
    <n v="131"/>
    <d v="2018-09-27T00:00:00"/>
    <x v="4"/>
    <x v="4"/>
    <x v="0"/>
    <s v="ADMINISTRACION DE SUCURSALES"/>
    <s v="OTROS EGRESOS 18"/>
    <s v="OTROS EGRESOS 1.P.O (OR:131/DES:131 TRN:86 PERF:300086 CAU: 18"/>
    <n v="6.85"/>
    <n v="0"/>
    <s v="PLAZA LOS ANGELES"/>
    <x v="1"/>
  </r>
  <r>
    <n v="131"/>
    <d v="2018-12-27T00:00:00"/>
    <x v="1"/>
    <x v="1"/>
    <x v="0"/>
    <s v="ADMINISTRACION DE SUCURSALES"/>
    <s v="OTROS EGRESOS 18"/>
    <s v="OTROS EGRESOS 1.P.O (OR:131/DES:131 TRN:86 PERF:300086 CAU: 18"/>
    <n v="16.399999999999999"/>
    <n v="0"/>
    <s v="PLAZA LOS ANGELES"/>
    <x v="1"/>
  </r>
  <r>
    <n v="131"/>
    <d v="2018-12-28T00:00:00"/>
    <x v="1"/>
    <x v="1"/>
    <x v="0"/>
    <s v="ADMINISTRACION DE SUCURSALES"/>
    <s v="OTROS EGRESOS 18"/>
    <s v="OTROS EGRESOS 1.P.O (OR:131/DES:131 TRN:86 PERF:300086 CAU: 18"/>
    <n v="3.6"/>
    <n v="0"/>
    <s v="PLAZA LOS ANGELES"/>
    <x v="1"/>
  </r>
  <r>
    <n v="131"/>
    <d v="2018-12-31T00:00:00"/>
    <x v="1"/>
    <x v="1"/>
    <x v="0"/>
    <s v="ADMINISTRACION DE SUCURSALES"/>
    <s v="CIERRE DE ANIO FISCAL"/>
    <s v="CIERRE_DE_CTAS_NOMINALES"/>
    <n v="0"/>
    <n v="71.75"/>
    <s v="PLAZA LOS ANGELES"/>
    <x v="1"/>
  </r>
  <r>
    <n v="131"/>
    <d v="2018-08-27T00:00:00"/>
    <x v="3"/>
    <x v="3"/>
    <x v="0"/>
    <s v="CAJA"/>
    <s v="O/ING. EFECTIVO 18"/>
    <s v="O/ING. EFECTIVO 1.P.O (OR:131/DES:131 TRN:32 PERF:300032E CAU: 1"/>
    <n v="0"/>
    <n v="6.85"/>
    <s v="PLAZA LOS ANGELES"/>
    <x v="1"/>
  </r>
  <r>
    <n v="131"/>
    <d v="2018-08-29T00:00:00"/>
    <x v="3"/>
    <x v="3"/>
    <x v="0"/>
    <s v="CAJA"/>
    <s v="CORRIGE DIFERENCIA EN RECHAZO MODULO DE CONTABILIDAD"/>
    <s v="PARA REGISTRAR CAJA"/>
    <n v="6.85"/>
    <n v="0"/>
    <s v="PLAZA LOS ANGELES"/>
    <x v="1"/>
  </r>
  <r>
    <n v="131"/>
    <d v="2018-08-29T00:00:00"/>
    <x v="3"/>
    <x v="3"/>
    <x v="0"/>
    <s v="CAJA"/>
    <s v="INGRESO DE PAGO DE VIATICO DEL 27 DE AGOSTO DE 2018"/>
    <s v="PARA REGISTRAR CAJA"/>
    <n v="6.85"/>
    <n v="0"/>
    <s v="PLAZA LOS ANGELES"/>
    <x v="1"/>
  </r>
  <r>
    <n v="131"/>
    <d v="2018-12-31T00:00:00"/>
    <x v="1"/>
    <x v="1"/>
    <x v="0"/>
    <s v="CAJA"/>
    <s v="CIERRE DE ANIO FISCAL"/>
    <s v="CIERRE_DE_CTAS_NOMINALES"/>
    <n v="0"/>
    <n v="6.85"/>
    <s v="PLAZA LOS ANGELES"/>
    <x v="1"/>
  </r>
  <r>
    <n v="157"/>
    <d v="2018-08-10T00:00:00"/>
    <x v="3"/>
    <x v="3"/>
    <x v="0"/>
    <s v="ADMINISTRACION DE SUCURSALES"/>
    <s v="VIATICOS"/>
    <s v="TRANSACCIONES DEL DIA 08/10/2018SPYRAL - GESTION ADMINISTRATIVA"/>
    <n v="70"/>
    <n v="0"/>
    <s v="SAN MATEO"/>
    <x v="1"/>
  </r>
  <r>
    <n v="157"/>
    <d v="2018-12-31T00:00:00"/>
    <x v="1"/>
    <x v="1"/>
    <x v="0"/>
    <s v="ADMINISTRACION DE SUCURSALES"/>
    <s v="CIERRE DE ANIO FISCAL"/>
    <s v="CIERRE_DE_CTAS_NOMINALES"/>
    <n v="0"/>
    <n v="195"/>
    <s v="SAN MATEO"/>
    <x v="1"/>
  </r>
  <r>
    <n v="162"/>
    <d v="2018-06-01T00:00:00"/>
    <x v="2"/>
    <x v="2"/>
    <x v="0"/>
    <s v="ADMINISTRACION DE SUCURSALES"/>
    <s v="VIATICOS"/>
    <s v="TRANSACCIONES DEL DIA 06/01/2018SPYRAL - GESTION ADMINISTRATIVA"/>
    <n v="19"/>
    <n v="0"/>
    <s v="BRISAS DEL GOLF ARRAIJAN"/>
    <x v="1"/>
  </r>
  <r>
    <n v="162"/>
    <d v="2018-06-11T00:00:00"/>
    <x v="2"/>
    <x v="2"/>
    <x v="0"/>
    <s v="ADMINISTRACION DE SUCURSALES"/>
    <s v="OTROS EGRESOS 18"/>
    <s v="OTROS EGRESOS 1.P.O (OR:162/DES:162 TRN:86 PERF:300086 CAU: 18"/>
    <n v="4.5"/>
    <n v="0"/>
    <s v="BRISAS DEL GOLF ARRAIJAN"/>
    <x v="1"/>
  </r>
  <r>
    <n v="162"/>
    <d v="2018-06-28T00:00:00"/>
    <x v="2"/>
    <x v="2"/>
    <x v="0"/>
    <s v="ADMINISTRACION DE SUCURSALES"/>
    <s v="OTROS EGRESOS 18"/>
    <s v="OTROS EGRESOS 1.P.O (OR:162/DES:162 TRN:86 PERF:300086 CAU: 18"/>
    <n v="4.5"/>
    <n v="0"/>
    <s v="BRISAS DEL GOLF ARRAIJAN"/>
    <x v="1"/>
  </r>
  <r>
    <n v="162"/>
    <d v="2018-07-05T00:00:00"/>
    <x v="6"/>
    <x v="6"/>
    <x v="0"/>
    <s v="ADMINISTRACION DE SUCURSALES"/>
    <s v="OTROS EGRESOS 18"/>
    <s v="OTROS EGRESOS 1.P.O (OR:162/DES:162 TRN:86 PERF:300086 CAU: 18"/>
    <n v="4.5"/>
    <n v="0"/>
    <s v="BRISAS DEL GOLF ARRAIJAN"/>
    <x v="1"/>
  </r>
  <r>
    <n v="162"/>
    <d v="2018-07-06T00:00:00"/>
    <x v="6"/>
    <x v="6"/>
    <x v="0"/>
    <s v="ADMINISTRACION DE SUCURSALES"/>
    <s v="OTROS EGRESOS 18"/>
    <s v="OTROS EGRESOS 1.P.O (OR:162/DES:162 TRN:86 PERF:300086 CAU: 18"/>
    <n v="4.5"/>
    <n v="0"/>
    <s v="BRISAS DEL GOLF ARRAIJAN"/>
    <x v="1"/>
  </r>
  <r>
    <n v="162"/>
    <d v="2018-07-25T00:00:00"/>
    <x v="6"/>
    <x v="6"/>
    <x v="0"/>
    <s v="ADMINISTRACION DE SUCURSALES"/>
    <s v="OTROS EGRESOS 18"/>
    <s v="OTROS EGRESOS 1.P.O (OR:162/DES:162 TRN:86 PERF:300086 CAU: 18"/>
    <n v="19.5"/>
    <n v="0"/>
    <s v="BRISAS DEL GOLF ARRAIJAN"/>
    <x v="1"/>
  </r>
  <r>
    <n v="162"/>
    <d v="2018-08-01T00:00:00"/>
    <x v="3"/>
    <x v="3"/>
    <x v="0"/>
    <s v="ADMINISTRACION DE SUCURSALES"/>
    <s v="OTROS EGRESOS 18"/>
    <s v="OTROS EGRESOS 1.P.O (OR:162/DES:162 TRN:86 PERF:300086 CAU: 18"/>
    <n v="4.5"/>
    <n v="0"/>
    <s v="BRISAS DEL GOLF ARRAIJAN"/>
    <x v="1"/>
  </r>
  <r>
    <n v="162"/>
    <d v="2018-08-31T00:00:00"/>
    <x v="3"/>
    <x v="3"/>
    <x v="0"/>
    <s v="ADMINISTRACION DE SUCURSALES"/>
    <s v="OTROS EGRESOS 18"/>
    <s v="OTROS EGRESOS 1.P.O (OR:162/DES:162 TRN:86 PERF:300086 CAU: 18"/>
    <n v="4.5"/>
    <n v="0"/>
    <s v="BRISAS DEL GOLF ARRAIJAN"/>
    <x v="1"/>
  </r>
  <r>
    <n v="162"/>
    <d v="2018-09-24T00:00:00"/>
    <x v="4"/>
    <x v="4"/>
    <x v="0"/>
    <s v="ADMINISTRACION DE SUCURSALES"/>
    <s v="OTROS EGRESOS 18"/>
    <s v="OTROS EGRESOS 1.P.O (OR:162/DES:162 TRN:86 PERF:300086 CAU: 18"/>
    <n v="10.5"/>
    <n v="0"/>
    <s v="BRISAS DEL GOLF ARRAIJAN"/>
    <x v="1"/>
  </r>
  <r>
    <n v="162"/>
    <d v="2018-10-01T00:00:00"/>
    <x v="0"/>
    <x v="0"/>
    <x v="0"/>
    <s v="ADMINISTRACION DE SUCURSALES"/>
    <s v="OTROS EGRESOS 18"/>
    <s v="OTROS EGRESOS 1.P.O (OR:162/DES:162 TRN:86 PERF:300086 CAU: 18"/>
    <n v="4.5"/>
    <n v="0"/>
    <s v="BRISAS DEL GOLF ARRAIJAN"/>
    <x v="1"/>
  </r>
  <r>
    <n v="162"/>
    <d v="2018-10-04T00:00:00"/>
    <x v="0"/>
    <x v="0"/>
    <x v="0"/>
    <s v="ADMINISTRACION DE SUCURSALES"/>
    <s v="OTROS EGRESOS 18"/>
    <s v="OTROS EGRESOS 1.P.O (OR:162/DES:162 TRN:86 PERF:300086 CAU: 18"/>
    <n v="4.5"/>
    <n v="0"/>
    <s v="BRISAS DEL GOLF ARRAIJAN"/>
    <x v="1"/>
  </r>
  <r>
    <n v="162"/>
    <d v="2018-10-15T00:00:00"/>
    <x v="0"/>
    <x v="0"/>
    <x v="0"/>
    <s v="ADMINISTRACION DE SUCURSALES"/>
    <s v="OTROS EGRESOS 18"/>
    <s v="OTROS EGRESOS 1.P.O (OR:162/DES:162 TRN:86 PERF:300086 CAU: 18"/>
    <n v="10.5"/>
    <n v="0"/>
    <s v="BRISAS DEL GOLF ARRAIJAN"/>
    <x v="1"/>
  </r>
  <r>
    <n v="162"/>
    <d v="2018-10-19T00:00:00"/>
    <x v="0"/>
    <x v="0"/>
    <x v="0"/>
    <s v="ADMINISTRACION DE SUCURSALES"/>
    <s v="OTROS EGRESOS 18"/>
    <s v="OTROS EGRESOS 1.P.O (OR:162/DES:162 TRN:86 PERF:300086 CAU: 18"/>
    <n v="10.5"/>
    <n v="0"/>
    <s v="BRISAS DEL GOLF ARRAIJAN"/>
    <x v="1"/>
  </r>
  <r>
    <n v="162"/>
    <d v="2018-10-30T00:00:00"/>
    <x v="0"/>
    <x v="0"/>
    <x v="0"/>
    <s v="ADMINISTRACION DE SUCURSALES"/>
    <s v="OTROS EGRESOS 18"/>
    <s v="OTROS EGRESOS 1.P.O (OR:162/DES:162 TRN:86 PERF:300086 CAU: 18"/>
    <n v="10.5"/>
    <n v="0"/>
    <s v="BRISAS DEL GOLF ARRAIJAN"/>
    <x v="1"/>
  </r>
  <r>
    <n v="162"/>
    <d v="2018-11-20T00:00:00"/>
    <x v="5"/>
    <x v="5"/>
    <x v="0"/>
    <s v="ADMINISTRACION DE SUCURSALES"/>
    <s v="OTROS EGRESOS 18"/>
    <s v="OTROS EGRESOS 1.P.O (OR:162/DES:162 TRN:86 PERF:300086 CAU: 18"/>
    <n v="19"/>
    <n v="0"/>
    <s v="BRISAS DEL GOLF ARRAIJAN"/>
    <x v="1"/>
  </r>
  <r>
    <n v="162"/>
    <d v="2018-11-29T00:00:00"/>
    <x v="5"/>
    <x v="5"/>
    <x v="0"/>
    <s v="ADMINISTRACION DE SUCURSALES"/>
    <s v="VIATICOS"/>
    <s v="TRANSACCIONES DEL DIA 11/29/2018SPYRAL - GESTION ADMINISTRATIVA"/>
    <n v="19"/>
    <n v="0"/>
    <s v="BRISAS DEL GOLF ARRAIJAN"/>
    <x v="1"/>
  </r>
  <r>
    <n v="162"/>
    <d v="2018-12-31T00:00:00"/>
    <x v="1"/>
    <x v="1"/>
    <x v="0"/>
    <s v="ADMINISTRACION DE SUCURSALES"/>
    <s v="CIERRE DE ANIO FISCAL"/>
    <s v="CIERRE_DE_CTAS_NOMINALES"/>
    <n v="0"/>
    <n v="243.4"/>
    <s v="BRISAS DEL GOLF ARRAIJAN"/>
    <x v="1"/>
  </r>
  <r>
    <n v="162"/>
    <d v="2018-07-25T00:00:00"/>
    <x v="6"/>
    <x v="6"/>
    <x v="0"/>
    <s v="CAJA"/>
    <s v="VIATICOS"/>
    <s v="TRANSACCIONES DEL DIA 07/25/2018SPYRAL - GESTION ADMINISTRATIVA"/>
    <n v="234"/>
    <n v="0"/>
    <s v="BRISAS DEL GOLF ARRAIJAN"/>
    <x v="1"/>
  </r>
  <r>
    <n v="162"/>
    <d v="2018-10-12T00:00:00"/>
    <x v="0"/>
    <x v="0"/>
    <x v="0"/>
    <s v="CAJA"/>
    <s v="VIATICOS"/>
    <s v="TRANSACCIONES DEL DIA 10/12/2018SPYRAL - GESTION ADMINISTRATIVA"/>
    <n v="19"/>
    <n v="0"/>
    <s v="BRISAS DEL GOLF ARRAIJAN"/>
    <x v="1"/>
  </r>
  <r>
    <n v="162"/>
    <d v="2018-12-31T00:00:00"/>
    <x v="1"/>
    <x v="1"/>
    <x v="0"/>
    <s v="CAJA"/>
    <s v="CIERRE DE ANIO FISCAL"/>
    <s v="CIERRE_DE_CTAS_NOMINALES"/>
    <n v="0"/>
    <n v="253"/>
    <s v="BRISAS DEL GOLF ARRAIJAN"/>
    <x v="1"/>
  </r>
  <r>
    <n v="164"/>
    <d v="2018-06-07T00:00:00"/>
    <x v="2"/>
    <x v="2"/>
    <x v="0"/>
    <s v="ADMINISTRACION DE SUCURSALES"/>
    <s v="OTROS EGRESOS 18"/>
    <s v="OTROS EGRESOS 1.P.O (OR:164/DES:164 TRN:86 PERF:300086 CAU: 18"/>
    <n v="4.5"/>
    <n v="0"/>
    <s v="PASEO ARRAIJAN"/>
    <x v="1"/>
  </r>
  <r>
    <n v="164"/>
    <d v="2018-06-15T00:00:00"/>
    <x v="2"/>
    <x v="2"/>
    <x v="0"/>
    <s v="ADMINISTRACION DE SUCURSALES"/>
    <s v="OTROS EGRESOS 18"/>
    <s v="OTROS EGRESOS 1.P.O (OR:164/DES:164 TRN:86 PERF:300086 CAU: 18"/>
    <n v="36"/>
    <n v="0"/>
    <s v="PASEO ARRAIJAN"/>
    <x v="1"/>
  </r>
  <r>
    <n v="164"/>
    <d v="2018-07-03T00:00:00"/>
    <x v="6"/>
    <x v="6"/>
    <x v="0"/>
    <s v="ADMINISTRACION DE SUCURSALES"/>
    <s v="OTROS EGRESOS 18"/>
    <s v="OTROS EGRESOS 1.P.O (OR:164/DES:164 TRN:86 PERF:300086 CAU: 18"/>
    <n v="19"/>
    <n v="0"/>
    <s v="PASEO ARRAIJAN"/>
    <x v="1"/>
  </r>
  <r>
    <n v="164"/>
    <d v="2018-07-25T00:00:00"/>
    <x v="6"/>
    <x v="6"/>
    <x v="0"/>
    <s v="ADMINISTRACION DE SUCURSALES"/>
    <s v="VIATICOS"/>
    <s v="TRANSACCIONES DEL DIA 07/25/2018SPYRAL - GESTION ADMINISTRATIVA"/>
    <n v="338"/>
    <n v="0"/>
    <s v="PASEO ARRAIJAN"/>
    <x v="1"/>
  </r>
  <r>
    <n v="164"/>
    <d v="2018-08-06T00:00:00"/>
    <x v="3"/>
    <x v="3"/>
    <x v="0"/>
    <s v="ADMINISTRACION DE SUCURSALES"/>
    <s v="OTROS EGRESOS 18"/>
    <s v="OTROS EGRESOS 1.P.O (OR:164/DES:164 TRN:86 PERF:300086 CAU: 18"/>
    <n v="13"/>
    <n v="0"/>
    <s v="PASEO ARRAIJAN"/>
    <x v="1"/>
  </r>
  <r>
    <n v="164"/>
    <d v="2018-10-09T00:00:00"/>
    <x v="0"/>
    <x v="0"/>
    <x v="0"/>
    <s v="ADMINISTRACION DE SUCURSALES"/>
    <s v="OTROS EGRESOS 18"/>
    <s v="OTROS EGRESOS 1.P.O (OR:164/DES:164 TRN:86 PERF:300086 CAU: 18"/>
    <n v="18.75"/>
    <n v="0"/>
    <s v="PASEO ARRAIJAN"/>
    <x v="1"/>
  </r>
  <r>
    <n v="164"/>
    <d v="2018-11-29T00:00:00"/>
    <x v="5"/>
    <x v="5"/>
    <x v="0"/>
    <s v="ADMINISTRACION DE SUCURSALES"/>
    <s v="OTROS EGRESOS 18"/>
    <s v="OTROS EGRESOS 1.P.O (OR:164/DES:164 TRN:86 PERF:300086 CAU: 18"/>
    <n v="18.75"/>
    <n v="0"/>
    <s v="PASEO ARRAIJAN"/>
    <x v="1"/>
  </r>
  <r>
    <n v="164"/>
    <d v="2018-12-13T00:00:00"/>
    <x v="1"/>
    <x v="1"/>
    <x v="0"/>
    <s v="ADMINISTRACION DE SUCURSALES"/>
    <s v="OTROS EGRESOS 18"/>
    <s v="OTROS EGRESOS 1.P.O (OR:164/DES:164 TRN:86 PERF:300086 CAU: 18"/>
    <n v="12"/>
    <n v="0"/>
    <s v="PASEO ARRAIJAN"/>
    <x v="1"/>
  </r>
  <r>
    <n v="164"/>
    <d v="2018-12-31T00:00:00"/>
    <x v="1"/>
    <x v="1"/>
    <x v="0"/>
    <s v="ADMINISTRACION DE SUCURSALES"/>
    <s v="CIERRE DE ANIO FISCAL"/>
    <s v="CIERRE_DE_CTAS_NOMINALES"/>
    <n v="0"/>
    <n v="641.25"/>
    <s v="PASEO ARRAIJAN"/>
    <x v="1"/>
  </r>
  <r>
    <n v="165"/>
    <d v="2018-10-11T00:00:00"/>
    <x v="0"/>
    <x v="0"/>
    <x v="0"/>
    <s v="ADMINISTRACION DE SUCURSALES"/>
    <s v="OTROS EGRESOS 18"/>
    <s v="OTROS EGRESOS 1.P.O (OR:165/DES:165 TRN:86 PERF:300086 CAU: 18"/>
    <n v="14.35"/>
    <n v="0"/>
    <s v="PLAZA NUEVO TOCUMEN"/>
    <x v="1"/>
  </r>
  <r>
    <n v="165"/>
    <d v="2018-12-31T00:00:00"/>
    <x v="1"/>
    <x v="1"/>
    <x v="0"/>
    <s v="ADMINISTRACION DE SUCURSALES"/>
    <s v="CIERRE DE ANIO FISCAL"/>
    <s v="CIERRE_DE_CTAS_NOMINALES"/>
    <n v="0"/>
    <n v="14.35"/>
    <s v="PLAZA NUEVO TOCUMEN"/>
    <x v="1"/>
  </r>
  <r>
    <n v="196"/>
    <d v="2018-06-29T00:00:00"/>
    <x v="2"/>
    <x v="2"/>
    <x v="0"/>
    <s v="ADMINISTRACION DE SUCURSALES"/>
    <s v="OTROS EGRESOS 18"/>
    <s v="OTROS EGRESOS 1.P.O (OR:196/DES:196 TRN:86 PERF:300086 CAU: 18"/>
    <n v="2.9"/>
    <n v="0"/>
    <s v="SANTA MARIA"/>
    <x v="1"/>
  </r>
  <r>
    <n v="196"/>
    <d v="2018-07-04T00:00:00"/>
    <x v="6"/>
    <x v="6"/>
    <x v="0"/>
    <s v="ADMINISTRACION DE SUCURSALES"/>
    <s v="OTROS EGRESOS 18"/>
    <s v="OTROS EGRESOS 1.P.O (OR:196/DES:196 TRN:86 PERF:300086 CAU: 18"/>
    <n v="2.9"/>
    <n v="0"/>
    <s v="SANTA MARIA"/>
    <x v="1"/>
  </r>
  <r>
    <n v="196"/>
    <d v="2018-07-20T00:00:00"/>
    <x v="6"/>
    <x v="6"/>
    <x v="0"/>
    <s v="ADMINISTRACION DE SUCURSALES"/>
    <s v="OTROS EGRESOS 18"/>
    <s v="OTROS EGRESOS 1.P.O (OR:196/DES:196 TRN:86 PERF:300086 CAU: 18"/>
    <n v="7.35"/>
    <n v="0"/>
    <s v="SANTA MARIA"/>
    <x v="1"/>
  </r>
  <r>
    <n v="196"/>
    <d v="2018-07-27T00:00:00"/>
    <x v="6"/>
    <x v="6"/>
    <x v="0"/>
    <s v="ADMINISTRACION DE SUCURSALES"/>
    <s v="OTROS EGRESOS 18"/>
    <s v="OTROS EGRESOS 1.P.O (OR:196/DES:196 TRN:86 PERF:300086 CAU: 18"/>
    <n v="1.8"/>
    <n v="0"/>
    <s v="SANTA MARIA"/>
    <x v="1"/>
  </r>
  <r>
    <n v="196"/>
    <d v="2018-08-02T00:00:00"/>
    <x v="3"/>
    <x v="3"/>
    <x v="0"/>
    <s v="ADMINISTRACION DE SUCURSALES"/>
    <s v="OTROS EGRESOS 18"/>
    <s v="OTROS EGRESOS 1.P.O (OR:196/DES:196 TRN:86 PERF:300086 CAU: 18"/>
    <n v="3.6"/>
    <n v="0"/>
    <s v="SANTA MARIA"/>
    <x v="1"/>
  </r>
  <r>
    <n v="196"/>
    <d v="2018-08-22T00:00:00"/>
    <x v="3"/>
    <x v="3"/>
    <x v="0"/>
    <s v="ADMINISTRACION DE SUCURSALES"/>
    <s v="OTROS EGRESOS 18"/>
    <s v="OTROS EGRESOS 1.P.O (OR:196/DES:196 TRN:86 PERF:300086 CAU: 18"/>
    <n v="3.6"/>
    <n v="0"/>
    <s v="SANTA MARIA"/>
    <x v="1"/>
  </r>
  <r>
    <n v="196"/>
    <d v="2018-09-26T00:00:00"/>
    <x v="4"/>
    <x v="4"/>
    <x v="0"/>
    <s v="ADMINISTRACION DE SUCURSALES"/>
    <s v="OTROS EGRESOS 18"/>
    <s v="OTROS EGRESOS 1.P.O (OR:196/DES:196 TRN:86 PERF:300086 CAU: 18"/>
    <n v="3.6"/>
    <n v="0"/>
    <s v="SANTA MARIA"/>
    <x v="1"/>
  </r>
  <r>
    <n v="196"/>
    <d v="2018-10-25T00:00:00"/>
    <x v="0"/>
    <x v="0"/>
    <x v="0"/>
    <s v="ADMINISTRACION DE SUCURSALES"/>
    <s v="OTROS EGRESOS 18"/>
    <s v="OTROS EGRESOS 1.P.O (OR:196/DES:196 TRN:86 PERF:300086 CAU: 18"/>
    <n v="7.35"/>
    <n v="0"/>
    <s v="SANTA MARIA"/>
    <x v="1"/>
  </r>
  <r>
    <n v="196"/>
    <d v="2018-12-18T00:00:00"/>
    <x v="1"/>
    <x v="1"/>
    <x v="0"/>
    <s v="ADMINISTRACION DE SUCURSALES"/>
    <s v="OTROS EGRESOS 18"/>
    <s v="OTROS EGRESOS 1.P.O (OR:196/DES:196 TRN:86 PERF:300086 CAU: 18"/>
    <n v="6.5"/>
    <n v="0"/>
    <s v="SANTA MARIA"/>
    <x v="1"/>
  </r>
  <r>
    <n v="196"/>
    <d v="2018-12-31T00:00:00"/>
    <x v="1"/>
    <x v="1"/>
    <x v="0"/>
    <s v="ADMINISTRACION DE SUCURSALES"/>
    <s v="CIERRE DE ANIO FISCAL"/>
    <s v="CIERRE_DE_CTAS_NOMINALES"/>
    <n v="0"/>
    <n v="71.25"/>
    <s v="SANTA MARIA"/>
    <x v="1"/>
  </r>
  <r>
    <n v="1"/>
    <d v="2018-08-23T00:00:00"/>
    <x v="3"/>
    <x v="3"/>
    <x v="0"/>
    <s v="ADMINISTRACION DE SUCURSALES"/>
    <s v="NC ALIMENTACION DE EMPLEADOS NVA"/>
    <s v="TRANSACCIONES DEL DIA 08/23/2018SPYRAL - GESTION ADMINISTRATIVA"/>
    <n v="63.13"/>
    <n v="0"/>
    <s v="CASA MATRIZ"/>
    <x v="2"/>
  </r>
  <r>
    <n v="1"/>
    <d v="2018-10-16T00:00:00"/>
    <x v="0"/>
    <x v="0"/>
    <x v="0"/>
    <s v="ADMINISTRACION DE SUCURSALES"/>
    <s v="NC ALIMENTACION DE EMPLEADOS NVA"/>
    <s v="TRANSACCIONES DEL DIA 10/16/2018SPYRAL - GESTION ADMINISTRATIVA"/>
    <n v="71.31"/>
    <n v="0"/>
    <s v="CASA MATRIZ"/>
    <x v="2"/>
  </r>
  <r>
    <n v="1"/>
    <d v="2018-12-31T00:00:00"/>
    <x v="1"/>
    <x v="1"/>
    <x v="0"/>
    <s v="ADMINISTRACION DE SUCURSALES"/>
    <s v="CIERRE DE ANIO FISCAL"/>
    <s v="CIERRE_DE_CTAS_NOMINALES"/>
    <n v="0"/>
    <n v="213.96"/>
    <s v="CASA MATRIZ"/>
    <x v="2"/>
  </r>
  <r>
    <n v="1"/>
    <d v="2018-08-22T00:00:00"/>
    <x v="3"/>
    <x v="3"/>
    <x v="0"/>
    <s v="CAJA"/>
    <s v="ALIMENTACION DE EMPLEADOS CTA NUEVA"/>
    <s v="TRANSACCIONES DEL DIA 08/22/2018SPYRAL - GESTION ADMINISTRATIVA"/>
    <n v="48"/>
    <n v="0"/>
    <s v="CASA MATRIZ"/>
    <x v="2"/>
  </r>
  <r>
    <n v="1"/>
    <d v="2018-10-23T00:00:00"/>
    <x v="0"/>
    <x v="0"/>
    <x v="0"/>
    <s v="CAJA"/>
    <s v="ALIMENTACION DE EMPLEADOS CTA NUEVA"/>
    <s v="TRANSACCIONES DEL DIA 10/23/2018SPYRAL - GESTION ADMINISTRATIVA"/>
    <n v="16"/>
    <n v="0"/>
    <s v="CASA MATRIZ"/>
    <x v="2"/>
  </r>
  <r>
    <n v="1"/>
    <d v="2018-12-31T00:00:00"/>
    <x v="1"/>
    <x v="1"/>
    <x v="0"/>
    <s v="CAJA"/>
    <s v="CIERRE DE ANIO FISCAL"/>
    <s v="CIERRE_DE_CTAS_NOMINALES"/>
    <n v="0"/>
    <n v="232"/>
    <s v="CASA MATRIZ"/>
    <x v="2"/>
  </r>
  <r>
    <n v="2"/>
    <d v="2018-08-10T00:00:00"/>
    <x v="3"/>
    <x v="3"/>
    <x v="0"/>
    <s v="ADMINISTRACION DE SUCURSALES"/>
    <s v="ALIMENTACION DE EMPLEADOS CTA NUEVA"/>
    <s v="TRANSACCIONES DEL DIA 08/10/2018SPYRAL - GESTION ADMINISTRATIVA"/>
    <n v="8"/>
    <n v="0"/>
    <s v="PAITILLA"/>
    <x v="2"/>
  </r>
  <r>
    <n v="2"/>
    <d v="2018-10-05T00:00:00"/>
    <x v="0"/>
    <x v="0"/>
    <x v="0"/>
    <s v="ADMINISTRACION DE SUCURSALES"/>
    <s v="ALIMENTACION DE EMPLEADOS CTA NUEVA"/>
    <s v="TRANSACCIONES DEL DIA 10/05/2018SPYRAL - GESTION ADMINISTRATIVA"/>
    <n v="8"/>
    <n v="0"/>
    <s v="PAITILLA"/>
    <x v="2"/>
  </r>
  <r>
    <n v="2"/>
    <d v="2018-11-23T00:00:00"/>
    <x v="5"/>
    <x v="5"/>
    <x v="0"/>
    <s v="ADMINISTRACION DE SUCURSALES"/>
    <s v="ALIMENTACION DE EMPLEADOS CTA NUEVA"/>
    <s v="TRANSACCIONES DEL DIA 11/23/2018SPYRAL - GESTION ADMINISTRATIVA"/>
    <n v="8"/>
    <n v="0"/>
    <s v="PAITILLA"/>
    <x v="2"/>
  </r>
  <r>
    <n v="2"/>
    <d v="2018-11-29T00:00:00"/>
    <x v="5"/>
    <x v="5"/>
    <x v="0"/>
    <s v="ADMINISTRACION DE SUCURSALES"/>
    <s v="ALIMENTACION DE EMPLEADOS CTA NUEVA"/>
    <s v="TRANSACCIONES DEL DIA 11/29/2018SPYRAL - GESTION ADMINISTRATIVA"/>
    <n v="16"/>
    <n v="0"/>
    <s v="PAITILLA"/>
    <x v="2"/>
  </r>
  <r>
    <n v="2"/>
    <d v="2018-12-31T00:00:00"/>
    <x v="1"/>
    <x v="1"/>
    <x v="0"/>
    <s v="ADMINISTRACION DE SUCURSALES"/>
    <s v="CIERRE DE ANIO FISCAL"/>
    <s v="CIERRE_DE_CTAS_NOMINALES"/>
    <n v="0"/>
    <n v="96"/>
    <s v="PAITILLA"/>
    <x v="2"/>
  </r>
  <r>
    <n v="2"/>
    <d v="2018-07-17T00:00:00"/>
    <x v="6"/>
    <x v="6"/>
    <x v="0"/>
    <s v="CAJA"/>
    <s v="ALIMENTACION DE EMPLEADOS CTA NUEVA"/>
    <s v="TRANSACCIONES DEL DIA 07/17/2018SPYRAL - GESTION ADMINISTRATIVA"/>
    <n v="8"/>
    <n v="0"/>
    <s v="PAITILLA"/>
    <x v="2"/>
  </r>
  <r>
    <n v="2"/>
    <d v="2018-08-07T00:00:00"/>
    <x v="3"/>
    <x v="3"/>
    <x v="0"/>
    <s v="CAJA"/>
    <s v="ALIMENTACION DE EMPLEADOS CTA NUEVA"/>
    <s v="TRANSACCIONES DEL DIA 08/07/2018SPYRAL - GESTION ADMINISTRATIVA"/>
    <n v="8"/>
    <n v="0"/>
    <s v="PAITILLA"/>
    <x v="2"/>
  </r>
  <r>
    <n v="2"/>
    <d v="2018-12-31T00:00:00"/>
    <x v="1"/>
    <x v="1"/>
    <x v="0"/>
    <s v="CAJA"/>
    <s v="CIERRE DE ANIO FISCAL"/>
    <s v="CIERRE_DE_CTAS_NOMINALES"/>
    <n v="0"/>
    <n v="32"/>
    <s v="PAITILLA"/>
    <x v="2"/>
  </r>
  <r>
    <n v="3"/>
    <d v="2018-06-13T00:00:00"/>
    <x v="2"/>
    <x v="2"/>
    <x v="0"/>
    <s v="CAJA"/>
    <s v="ALIMENTACION DE EMPLEADOS CTA NUEVA"/>
    <s v="TRANSACCIONES DEL DIA 06/13/2018SPYRAL - GESTION ADMINISTRATIVA"/>
    <n v="8"/>
    <n v="0"/>
    <s v="EL DORADO"/>
    <x v="2"/>
  </r>
  <r>
    <n v="3"/>
    <d v="2018-12-31T00:00:00"/>
    <x v="1"/>
    <x v="1"/>
    <x v="0"/>
    <s v="CAJA"/>
    <s v="CIERRE DE ANIO FISCAL"/>
    <s v="CIERRE_DE_CTAS_NOMINALES"/>
    <n v="0"/>
    <n v="8"/>
    <s v="EL DORADO"/>
    <x v="2"/>
  </r>
  <r>
    <n v="3"/>
    <d v="2018-12-31T00:00:00"/>
    <x v="1"/>
    <x v="1"/>
    <x v="0"/>
    <s v="SERVICIOS PERSONALES"/>
    <s v="CIERRE DE ANIO FISCAL"/>
    <s v="CIERRE_DE_CTAS_NOMINALES"/>
    <n v="0"/>
    <n v="8"/>
    <s v="EL DORADO"/>
    <x v="2"/>
  </r>
  <r>
    <n v="4"/>
    <d v="2018-12-31T00:00:00"/>
    <x v="1"/>
    <x v="1"/>
    <x v="0"/>
    <s v="ADMINISTRACION DE SUCURSALES"/>
    <s v="CIERRE DE ANIO FISCAL"/>
    <s v="CIERRE_DE_CTAS_NOMINALES"/>
    <n v="0"/>
    <n v="12.69"/>
    <s v="VIA ARGENTINA"/>
    <x v="2"/>
  </r>
  <r>
    <n v="4"/>
    <d v="2018-12-31T00:00:00"/>
    <x v="1"/>
    <x v="1"/>
    <x v="0"/>
    <s v="SERVICIOS PERSONALES"/>
    <s v="CIERRE DE ANIO FISCAL"/>
    <s v="CIERRE_DE_CTAS_NOMINALES"/>
    <n v="0"/>
    <n v="8"/>
    <s v="VIA ARGENTINA"/>
    <x v="2"/>
  </r>
  <r>
    <n v="5"/>
    <d v="2018-06-01T00:00:00"/>
    <x v="2"/>
    <x v="2"/>
    <x v="0"/>
    <s v="ADMINISTRACION DE SUCURSALES"/>
    <s v="ALIMENTACION DE EMPLEADOS CTA NUEVA"/>
    <s v="TRANSACCIONES DEL DIA 06/01/2018SPYRAL - GESTION ADMINISTRATIVA"/>
    <n v="8"/>
    <n v="0"/>
    <s v="VIA PORRAS"/>
    <x v="2"/>
  </r>
  <r>
    <n v="5"/>
    <d v="2018-06-20T00:00:00"/>
    <x v="2"/>
    <x v="2"/>
    <x v="0"/>
    <s v="ADMINISTRACION DE SUCURSALES"/>
    <s v="NC ALIMENTACION DE EMPLEADOS NVA"/>
    <s v="TRANSACCIONES DEL DIA 06/20/2018SPYRAL - GESTION ADMINISTRATIVA"/>
    <n v="113.93"/>
    <n v="0"/>
    <s v="VIA PORRAS"/>
    <x v="2"/>
  </r>
  <r>
    <n v="5"/>
    <d v="2018-08-23T00:00:00"/>
    <x v="3"/>
    <x v="3"/>
    <x v="0"/>
    <s v="ADMINISTRACION DE SUCURSALES"/>
    <s v="NC ALIMENTACION DE EMPLEADOS NVA"/>
    <s v="TRANSACCIONES DEL DIA 08/23/2018SPYRAL - GESTION ADMINISTRATIVA"/>
    <n v="113"/>
    <n v="0"/>
    <s v="VIA PORRAS"/>
    <x v="2"/>
  </r>
  <r>
    <n v="5"/>
    <d v="2018-08-23T00:00:00"/>
    <x v="3"/>
    <x v="3"/>
    <x v="0"/>
    <s v="ADMINISTRACION DE SUCURSALES"/>
    <s v="ALIMENTACION DE EMPLEADOS CTA NUEVA"/>
    <s v="TRANSACCIONES DEL DIA 08/23/2018SPYRAL - GESTION ADMINISTRATIVA"/>
    <n v="16"/>
    <n v="0"/>
    <s v="VIA PORRAS"/>
    <x v="2"/>
  </r>
  <r>
    <n v="5"/>
    <d v="2018-11-09T00:00:00"/>
    <x v="5"/>
    <x v="5"/>
    <x v="0"/>
    <s v="ADMINISTRACION DE SUCURSALES"/>
    <s v="NC ALIMENTACION DE EMPLEADOS NVA"/>
    <s v="TRANSACCIONES DEL DIA 11/09/2018SPYRAL - GESTION ADMINISTRATIVA"/>
    <n v="117.91"/>
    <n v="0"/>
    <s v="VIA PORRAS"/>
    <x v="2"/>
  </r>
  <r>
    <n v="5"/>
    <d v="2018-12-20T00:00:00"/>
    <x v="1"/>
    <x v="1"/>
    <x v="0"/>
    <s v="ADMINISTRACION DE SUCURSALES"/>
    <s v="NC ALIMENTACION DE EMPLEADOS NVA"/>
    <s v="TRANSACCIONES DEL DIA 12/20/2018SPYRAL - GESTION ADMINISTRATIVA"/>
    <n v="99.5"/>
    <n v="0"/>
    <s v="VIA PORRAS"/>
    <x v="2"/>
  </r>
  <r>
    <n v="5"/>
    <d v="2018-12-31T00:00:00"/>
    <x v="1"/>
    <x v="1"/>
    <x v="0"/>
    <s v="ADMINISTRACION DE SUCURSALES"/>
    <s v="CIERRE DE ANIO FISCAL"/>
    <s v="CIERRE_DE_CTAS_NOMINALES"/>
    <n v="0"/>
    <n v="721.17"/>
    <s v="VIA PORRAS"/>
    <x v="2"/>
  </r>
  <r>
    <n v="5"/>
    <d v="2018-06-08T00:00:00"/>
    <x v="2"/>
    <x v="2"/>
    <x v="0"/>
    <s v="CAJA"/>
    <s v="ALIMENTACION DE EMPLEADOS CTA NUEVA"/>
    <s v="TRANSACCIONES DEL DIA 06/08/2018SPYRAL - GESTION ADMINISTRATIVA"/>
    <n v="8"/>
    <n v="0"/>
    <s v="VIA PORRAS"/>
    <x v="2"/>
  </r>
  <r>
    <n v="5"/>
    <d v="2018-06-14T00:00:00"/>
    <x v="2"/>
    <x v="2"/>
    <x v="0"/>
    <s v="CAJA"/>
    <s v="ALIMENTACION DE EMPLEADOS CTA NUEVA"/>
    <s v="TRANSACCIONES DEL DIA 06/14/2018SPYRAL - GESTION ADMINISTRATIVA"/>
    <n v="16"/>
    <n v="0"/>
    <s v="VIA PORRAS"/>
    <x v="2"/>
  </r>
  <r>
    <n v="5"/>
    <d v="2018-06-28T00:00:00"/>
    <x v="2"/>
    <x v="2"/>
    <x v="0"/>
    <s v="CAJA"/>
    <s v="ALIMENTACION DE EMPLEADOS CTA NUEVA"/>
    <s v="TRANSACCIONES DEL DIA 06/28/2018SPYRAL - GESTION ADMINISTRATIVA"/>
    <n v="24"/>
    <n v="0"/>
    <s v="VIA PORRAS"/>
    <x v="2"/>
  </r>
  <r>
    <n v="5"/>
    <d v="2018-07-03T00:00:00"/>
    <x v="6"/>
    <x v="6"/>
    <x v="0"/>
    <s v="CAJA"/>
    <s v="ALIMENTACION DE EMPLEADOS CTA NUEVA"/>
    <s v="TRANSACCIONES DEL DIA 07/03/2018SPYRAL - GESTION ADMINISTRATIVA"/>
    <n v="8"/>
    <n v="0"/>
    <s v="VIA PORRAS"/>
    <x v="2"/>
  </r>
  <r>
    <n v="5"/>
    <d v="2018-07-06T00:00:00"/>
    <x v="6"/>
    <x v="6"/>
    <x v="0"/>
    <s v="CAJA"/>
    <s v="ALIMENTACION DE EMPLEADOS CTA NUEVA"/>
    <s v="TRANSACCIONES DEL DIA 07/06/2018SPYRAL - GESTION ADMINISTRATIVA"/>
    <n v="8"/>
    <n v="0"/>
    <s v="VIA PORRAS"/>
    <x v="2"/>
  </r>
  <r>
    <n v="5"/>
    <d v="2018-07-18T00:00:00"/>
    <x v="6"/>
    <x v="6"/>
    <x v="0"/>
    <s v="CAJA"/>
    <s v="ALIMENTACION DE EMPLEADOS CTA NUEVA"/>
    <s v="TRANSACCIONES DEL DIA 07/18/2018SPYRAL - GESTION ADMINISTRATIVA"/>
    <n v="8"/>
    <n v="0"/>
    <s v="VIA PORRAS"/>
    <x v="2"/>
  </r>
  <r>
    <n v="5"/>
    <d v="2018-07-21T00:00:00"/>
    <x v="6"/>
    <x v="6"/>
    <x v="0"/>
    <s v="CAJA"/>
    <s v="ALIMENTACION DE EMPLEADOS CTA NUEVA"/>
    <s v="TRANSACCIONES DEL DIA 07/21/2018SPYRAL - GESTION ADMINISTRATIVA"/>
    <n v="40"/>
    <n v="0"/>
    <s v="VIA PORRAS"/>
    <x v="2"/>
  </r>
  <r>
    <n v="5"/>
    <d v="2018-07-25T00:00:00"/>
    <x v="6"/>
    <x v="6"/>
    <x v="0"/>
    <s v="CAJA"/>
    <s v="ALIMENTACION DE EMPLEADOS CTA NUEVA"/>
    <s v="TRANSACCIONES DEL DIA 07/25/2018SPYRAL - GESTION ADMINISTRATIVA"/>
    <n v="16"/>
    <n v="0"/>
    <s v="VIA PORRAS"/>
    <x v="2"/>
  </r>
  <r>
    <n v="5"/>
    <d v="2018-08-07T00:00:00"/>
    <x v="3"/>
    <x v="3"/>
    <x v="0"/>
    <s v="CAJA"/>
    <s v="ALIMENTACION DE EMPLEADOS CTA NUEVA"/>
    <s v="TRANSACCIONES DEL DIA 08/07/2018SPYRAL - GESTION ADMINISTRATIVA"/>
    <n v="8"/>
    <n v="0"/>
    <s v="VIA PORRAS"/>
    <x v="2"/>
  </r>
  <r>
    <n v="5"/>
    <d v="2018-08-22T00:00:00"/>
    <x v="3"/>
    <x v="3"/>
    <x v="0"/>
    <s v="CAJA"/>
    <s v="ALIMENTACION DE EMPLEADOS CTA NUEVA"/>
    <s v="TRANSACCIONES DEL DIA 08/22/2018SPYRAL - GESTION ADMINISTRATIVA"/>
    <n v="40"/>
    <n v="0"/>
    <s v="VIA PORRAS"/>
    <x v="2"/>
  </r>
  <r>
    <n v="5"/>
    <d v="2018-09-07T00:00:00"/>
    <x v="4"/>
    <x v="4"/>
    <x v="0"/>
    <s v="CAJA"/>
    <s v="ALIMENTACION DE EMPLEADOS CTA NUEVA"/>
    <s v="TRANSACCIONES DEL DIA 09/07/2018SPYRAL - GESTION ADMINISTRATIVA"/>
    <n v="48"/>
    <n v="0"/>
    <s v="VIA PORRAS"/>
    <x v="2"/>
  </r>
  <r>
    <n v="5"/>
    <d v="2018-09-14T00:00:00"/>
    <x v="4"/>
    <x v="4"/>
    <x v="0"/>
    <s v="CAJA"/>
    <s v="ALIMENTACION DE EMPLEADOS CTA NUEVA"/>
    <s v="TRANSACCIONES DEL DIA 09/14/2018SPYRAL - GESTION ADMINISTRATIVA"/>
    <n v="8"/>
    <n v="0"/>
    <s v="VIA PORRAS"/>
    <x v="2"/>
  </r>
  <r>
    <n v="5"/>
    <d v="2018-09-24T00:00:00"/>
    <x v="4"/>
    <x v="4"/>
    <x v="0"/>
    <s v="CAJA"/>
    <s v="ALIMENTACION DE EMPLEADOS CTA NUEVA"/>
    <s v="TRANSACCIONES DEL DIA 09/24/2018SPYRAL - GESTION ADMINISTRATIVA"/>
    <n v="24"/>
    <n v="0"/>
    <s v="VIA PORRAS"/>
    <x v="2"/>
  </r>
  <r>
    <n v="5"/>
    <d v="2018-10-08T00:00:00"/>
    <x v="0"/>
    <x v="0"/>
    <x v="0"/>
    <s v="CAJA"/>
    <s v="ALIMENTACION DE EMPLEADOS CTA NUEVA"/>
    <s v="TRANSACCIONES DEL DIA 10/08/2018SPYRAL - GESTION ADMINISTRATIVA"/>
    <n v="16"/>
    <n v="0"/>
    <s v="VIA PORRAS"/>
    <x v="2"/>
  </r>
  <r>
    <n v="5"/>
    <d v="2018-12-04T00:00:00"/>
    <x v="1"/>
    <x v="1"/>
    <x v="0"/>
    <s v="CAJA"/>
    <s v="ALIMENTACION DE EMPLEADOS CTA NUEVA"/>
    <s v="TRANSACCIONES DEL DIA 12/04/2018SPYRAL - GESTION ADMINISTRATIVA"/>
    <n v="16"/>
    <n v="0"/>
    <s v="VIA PORRAS"/>
    <x v="2"/>
  </r>
  <r>
    <n v="5"/>
    <d v="2018-12-06T00:00:00"/>
    <x v="1"/>
    <x v="1"/>
    <x v="0"/>
    <s v="CAJA"/>
    <s v="ALIMENTACION DE EMPLEADOS CTA NUEVA"/>
    <s v="TRANSACCIONES DEL DIA 12/06/2018SPYRAL - GESTION ADMINISTRATIVA"/>
    <n v="8"/>
    <n v="0"/>
    <s v="VIA PORRAS"/>
    <x v="2"/>
  </r>
  <r>
    <n v="5"/>
    <d v="2018-12-13T00:00:00"/>
    <x v="1"/>
    <x v="1"/>
    <x v="0"/>
    <s v="CAJA"/>
    <s v="ALIMENTACION DE EMPLEADOS CTA NUEVA"/>
    <s v="TRANSACCIONES DEL DIA 12/13/2018SPYRAL - GESTION ADMINISTRATIVA"/>
    <n v="24"/>
    <n v="0"/>
    <s v="VIA PORRAS"/>
    <x v="2"/>
  </r>
  <r>
    <n v="5"/>
    <d v="2018-12-19T00:00:00"/>
    <x v="1"/>
    <x v="1"/>
    <x v="0"/>
    <s v="CAJA"/>
    <s v="ALIMENTACION DE EMPLEADOS CTA NUEVA"/>
    <s v="TRANSACCIONES DEL DIA 12/19/2018SPYRAL - GESTION ADMINISTRATIVA"/>
    <n v="16"/>
    <n v="0"/>
    <s v="VIA PORRAS"/>
    <x v="2"/>
  </r>
  <r>
    <n v="5"/>
    <d v="2018-12-27T00:00:00"/>
    <x v="1"/>
    <x v="1"/>
    <x v="0"/>
    <s v="CAJA"/>
    <s v="ALIMENTACION DE EMPLEADOS CTA NUEVA"/>
    <s v="TRANSACCIONES DEL DIA 12/27/2018SPYRAL - GESTION ADMINISTRATIVA"/>
    <n v="24"/>
    <n v="0"/>
    <s v="VIA PORRAS"/>
    <x v="2"/>
  </r>
  <r>
    <n v="5"/>
    <d v="2018-12-31T00:00:00"/>
    <x v="1"/>
    <x v="1"/>
    <x v="0"/>
    <s v="CAJA"/>
    <s v="CIERRE DE ANIO FISCAL"/>
    <s v="CIERRE_DE_CTAS_NOMINALES"/>
    <n v="0"/>
    <n v="608"/>
    <s v="VIA PORRAS"/>
    <x v="2"/>
  </r>
  <r>
    <n v="5"/>
    <d v="2018-06-28T00:00:00"/>
    <x v="2"/>
    <x v="2"/>
    <x v="0"/>
    <s v="SERVICIOS PERSONALES"/>
    <s v="ALIMENTACION DE EMPLEADOS CTA NUEVA"/>
    <s v="TRANSACCIONES DEL DIA 06/28/2018SPYRAL - GESTION ADMINISTRATIVA"/>
    <n v="8"/>
    <n v="0"/>
    <s v="VIA PORRAS"/>
    <x v="2"/>
  </r>
  <r>
    <n v="5"/>
    <d v="2018-08-16T00:00:00"/>
    <x v="3"/>
    <x v="3"/>
    <x v="0"/>
    <s v="SERVICIOS PERSONALES"/>
    <s v="ALIMENTACION DE EMPLEADOS CTA NUEVA"/>
    <s v="TRANSACCIONES DEL DIA 08/16/2018SPYRAL - GESTION ADMINISTRATIVA"/>
    <n v="8"/>
    <n v="0"/>
    <s v="VIA PORRAS"/>
    <x v="2"/>
  </r>
  <r>
    <n v="5"/>
    <d v="2018-12-31T00:00:00"/>
    <x v="1"/>
    <x v="1"/>
    <x v="0"/>
    <s v="SERVICIOS PERSONALES"/>
    <s v="CIERRE DE ANIO FISCAL"/>
    <s v="CIERRE_DE_CTAS_NOMINALES"/>
    <n v="0"/>
    <n v="24"/>
    <s v="VIA PORRAS"/>
    <x v="2"/>
  </r>
  <r>
    <n v="6"/>
    <d v="2018-08-07T00:00:00"/>
    <x v="3"/>
    <x v="3"/>
    <x v="0"/>
    <s v="CAJA"/>
    <s v="ALIMENTACION DE EMPLEADOS CTA NUEVA"/>
    <s v="TRANSACCIONES DEL DIA 08/07/2018SPYRAL - GESTION ADMINISTRATIVA"/>
    <n v="8"/>
    <n v="0"/>
    <s v="EL INGENIO"/>
    <x v="2"/>
  </r>
  <r>
    <n v="6"/>
    <d v="2018-12-31T00:00:00"/>
    <x v="1"/>
    <x v="1"/>
    <x v="0"/>
    <s v="CAJA"/>
    <s v="CIERRE DE ANIO FISCAL"/>
    <s v="CIERRE_DE_CTAS_NOMINALES"/>
    <n v="0"/>
    <n v="8"/>
    <s v="EL INGENIO"/>
    <x v="2"/>
  </r>
  <r>
    <n v="7"/>
    <d v="2018-10-10T00:00:00"/>
    <x v="0"/>
    <x v="0"/>
    <x v="0"/>
    <s v="ADMINISTRACION DE SUCURSALES"/>
    <s v="NC ALIMENTACION DE EMPLEADOS NVA"/>
    <s v="TRANSACCIONES DEL DIA 10/10/2018SPYRAL - GESTION ADMINISTRATIVA"/>
    <n v="27.98"/>
    <n v="0"/>
    <s v="CHANIS"/>
    <x v="2"/>
  </r>
  <r>
    <n v="7"/>
    <d v="2018-12-31T00:00:00"/>
    <x v="1"/>
    <x v="1"/>
    <x v="0"/>
    <s v="ADMINISTRACION DE SUCURSALES"/>
    <s v="CIERRE DE ANIO FISCAL"/>
    <s v="CIERRE_DE_CTAS_NOMINALES"/>
    <n v="0"/>
    <n v="27.98"/>
    <s v="CHANIS"/>
    <x v="2"/>
  </r>
  <r>
    <n v="7"/>
    <d v="2018-12-31T00:00:00"/>
    <x v="1"/>
    <x v="1"/>
    <x v="0"/>
    <s v="CAJA"/>
    <s v="CIERRE DE ANIO FISCAL"/>
    <s v="CIERRE_DE_CTAS_NOMINALES"/>
    <n v="0"/>
    <n v="8"/>
    <s v="CHANIS"/>
    <x v="2"/>
  </r>
  <r>
    <n v="8"/>
    <d v="2018-06-07T00:00:00"/>
    <x v="2"/>
    <x v="2"/>
    <x v="0"/>
    <s v="ADMINISTRACION DE SUCURSALES"/>
    <s v="NC ALIMENTACION DE EMPLEADOS NVA"/>
    <s v="TRANSACCIONES DEL DIA 06/07/2018SPYRAL - GESTION ADMINISTRATIVA"/>
    <n v="60.1"/>
    <n v="0"/>
    <s v="PLAZA TOCUMEN"/>
    <x v="2"/>
  </r>
  <r>
    <n v="8"/>
    <d v="2018-06-15T00:00:00"/>
    <x v="2"/>
    <x v="2"/>
    <x v="0"/>
    <s v="ADMINISTRACION DE SUCURSALES"/>
    <s v="NC ALIMENTACION DE EMPLEADOS NVA"/>
    <s v="TRANSACCIONES DEL DIA 06/15/2018SPYRAL - GESTION ADMINISTRATIVA"/>
    <n v="112"/>
    <n v="0"/>
    <s v="PLAZA TOCUMEN"/>
    <x v="2"/>
  </r>
  <r>
    <n v="8"/>
    <d v="2018-07-17T00:00:00"/>
    <x v="6"/>
    <x v="6"/>
    <x v="0"/>
    <s v="ADMINISTRACION DE SUCURSALES"/>
    <s v="NC ALIMENTACION DE EMPLEADOS NVA"/>
    <s v="TRANSACCIONES DEL DIA 07/17/2018SPYRAL - GESTION ADMINISTRATIVA"/>
    <n v="96"/>
    <n v="0"/>
    <s v="PLAZA TOCUMEN"/>
    <x v="2"/>
  </r>
  <r>
    <n v="8"/>
    <d v="2018-07-26T00:00:00"/>
    <x v="6"/>
    <x v="6"/>
    <x v="0"/>
    <s v="ADMINISTRACION DE SUCURSALES"/>
    <s v="NC ALIMENTACION DE EMPLEADOS NVA"/>
    <s v="TRANSACCIONES DEL DIA 07/26/2018SPYRAL - GESTION ADMINISTRATIVA"/>
    <n v="80.66"/>
    <n v="0"/>
    <s v="PLAZA TOCUMEN"/>
    <x v="2"/>
  </r>
  <r>
    <n v="8"/>
    <d v="2018-08-25T00:00:00"/>
    <x v="3"/>
    <x v="3"/>
    <x v="0"/>
    <s v="ADMINISTRACION DE SUCURSALES"/>
    <s v="NC ALIMENTACION DE EMPLEADOS NVA"/>
    <s v="TRANSACCIONES DEL DIA 08/25/2018SPYRAL - GESTION ADMINISTRATIVA"/>
    <n v="104"/>
    <n v="0"/>
    <s v="PLAZA TOCUMEN"/>
    <x v="2"/>
  </r>
  <r>
    <n v="8"/>
    <d v="2018-10-16T00:00:00"/>
    <x v="0"/>
    <x v="0"/>
    <x v="0"/>
    <s v="ADMINISTRACION DE SUCURSALES"/>
    <s v="NC ALIMENTACION DE EMPLEADOS NVA"/>
    <s v="TRANSACCIONES DEL DIA 10/16/2018SPYRAL - GESTION ADMINISTRATIVA"/>
    <n v="39.479999999999997"/>
    <n v="0"/>
    <s v="PLAZA TOCUMEN"/>
    <x v="2"/>
  </r>
  <r>
    <n v="8"/>
    <d v="2018-10-27T00:00:00"/>
    <x v="0"/>
    <x v="0"/>
    <x v="0"/>
    <s v="ADMINISTRACION DE SUCURSALES"/>
    <s v="ALIMENTACION DE EMPLEADOS CTA NUEVA"/>
    <s v="TRANSACCIONES DEL DIA 10/27/2018SPYRAL - GESTION ADMINISTRATIVA"/>
    <n v="8"/>
    <n v="0"/>
    <s v="PLAZA TOCUMEN"/>
    <x v="2"/>
  </r>
  <r>
    <n v="8"/>
    <d v="2018-11-08T00:00:00"/>
    <x v="5"/>
    <x v="5"/>
    <x v="0"/>
    <s v="ADMINISTRACION DE SUCURSALES"/>
    <s v="NC ALIMENTACION DE EMPLEADOS NVA"/>
    <s v="TRANSACCIONES DEL DIA 11/08/2018SPYRAL - GESTION ADMINISTRATIVA"/>
    <n v="47.54"/>
    <n v="0"/>
    <s v="PLAZA TOCUMEN"/>
    <x v="2"/>
  </r>
  <r>
    <n v="8"/>
    <d v="2018-12-03T00:00:00"/>
    <x v="1"/>
    <x v="1"/>
    <x v="0"/>
    <s v="ADMINISTRACION DE SUCURSALES"/>
    <s v="NC ALIMENTACION DE EMPLEADOS NVA"/>
    <s v="TRANSACCIONES DEL DIA 12/03/2018SPYRAL - GESTION ADMINISTRATIVA"/>
    <n v="184"/>
    <n v="0"/>
    <s v="PLAZA TOCUMEN"/>
    <x v="2"/>
  </r>
  <r>
    <n v="8"/>
    <d v="2018-12-31T00:00:00"/>
    <x v="1"/>
    <x v="1"/>
    <x v="0"/>
    <s v="ADMINISTRACION DE SUCURSALES"/>
    <s v="CIERRE DE ANIO FISCAL"/>
    <s v="CIERRE_DE_CTAS_NOMINALES"/>
    <n v="0"/>
    <n v="1560.09"/>
    <s v="PLAZA TOCUMEN"/>
    <x v="2"/>
  </r>
  <r>
    <n v="9"/>
    <d v="2018-12-31T00:00:00"/>
    <x v="1"/>
    <x v="1"/>
    <x v="0"/>
    <s v="ADMINISTRACION DE SUCURSALES"/>
    <s v="CIERRE DE ANIO FISCAL"/>
    <s v="CIERRE_DE_CTAS_NOMINALES"/>
    <n v="0"/>
    <n v="38.97"/>
    <s v="SANTIAGO"/>
    <x v="2"/>
  </r>
  <r>
    <n v="10"/>
    <d v="2018-06-15T00:00:00"/>
    <x v="2"/>
    <x v="2"/>
    <x v="0"/>
    <s v="ADMINISTRACION DE SUCURSALES"/>
    <s v="NC ALIMENTACION DE EMPLEADOS NVA"/>
    <s v="TRANSACCIONES DEL DIA 06/15/2018SPYRAL - GESTION ADMINISTRATIVA"/>
    <n v="81.47"/>
    <n v="0"/>
    <s v="OBARRIO"/>
    <x v="2"/>
  </r>
  <r>
    <n v="10"/>
    <d v="2018-11-13T00:00:00"/>
    <x v="5"/>
    <x v="5"/>
    <x v="0"/>
    <s v="ADMINISTRACION DE SUCURSALES"/>
    <s v="NC ALIMENTACION DE EMPLEADOS NVA"/>
    <s v="TRANSACCIONES DEL DIA 11/13/2018SPYRAL - GESTION ADMINISTRATIVA"/>
    <n v="50.33"/>
    <n v="0"/>
    <s v="OBARRIO"/>
    <x v="2"/>
  </r>
  <r>
    <n v="10"/>
    <d v="2018-12-31T00:00:00"/>
    <x v="1"/>
    <x v="1"/>
    <x v="0"/>
    <s v="ADMINISTRACION DE SUCURSALES"/>
    <s v="CIERRE DE ANIO FISCAL"/>
    <s v="CIERRE_DE_CTAS_NOMINALES"/>
    <n v="0"/>
    <n v="218.73"/>
    <s v="OBARRIO"/>
    <x v="2"/>
  </r>
  <r>
    <n v="10"/>
    <d v="2018-07-12T00:00:00"/>
    <x v="6"/>
    <x v="6"/>
    <x v="0"/>
    <s v="CAJA"/>
    <s v="ALIMENTACION DE EMPLEADOS CTA NUEVA"/>
    <s v="TRANSACCIONES DEL DIA 07/12/2018SPYRAL - GESTION ADMINISTRATIVA"/>
    <n v="8"/>
    <n v="0"/>
    <s v="OBARRIO"/>
    <x v="2"/>
  </r>
  <r>
    <n v="10"/>
    <d v="2018-08-21T00:00:00"/>
    <x v="3"/>
    <x v="3"/>
    <x v="0"/>
    <s v="CAJA"/>
    <s v="ALIMENTACION DE EMPLEADOS CTA NUEVA"/>
    <s v="TRANSACCIONES DEL DIA 08/21/2018SPYRAL - GESTION ADMINISTRATIVA"/>
    <n v="8"/>
    <n v="0"/>
    <s v="OBARRIO"/>
    <x v="2"/>
  </r>
  <r>
    <n v="10"/>
    <d v="2018-09-07T00:00:00"/>
    <x v="4"/>
    <x v="4"/>
    <x v="0"/>
    <s v="CAJA"/>
    <s v="ALIMENTACION DE EMPLEADOS CTA NUEVA"/>
    <s v="TRANSACCIONES DEL DIA 09/07/2018SPYRAL - GESTION ADMINISTRATIVA"/>
    <n v="24"/>
    <n v="0"/>
    <s v="OBARRIO"/>
    <x v="2"/>
  </r>
  <r>
    <n v="10"/>
    <d v="2018-09-24T00:00:00"/>
    <x v="4"/>
    <x v="4"/>
    <x v="0"/>
    <s v="CAJA"/>
    <s v="ALIMENTACION DE EMPLEADOS CTA NUEVA"/>
    <s v="TRANSACCIONES DEL DIA 09/24/2018SPYRAL - GESTION ADMINISTRATIVA"/>
    <n v="8"/>
    <n v="0"/>
    <s v="OBARRIO"/>
    <x v="2"/>
  </r>
  <r>
    <n v="10"/>
    <d v="2018-10-01T00:00:00"/>
    <x v="0"/>
    <x v="0"/>
    <x v="0"/>
    <s v="CAJA"/>
    <s v="ALIMENTACION DE EMPLEADOS CTA NUEVA"/>
    <s v="TRANSACCIONES DEL DIA 10/01/2018SPYRAL - GESTION ADMINISTRATIVA"/>
    <n v="8"/>
    <n v="0"/>
    <s v="OBARRIO"/>
    <x v="2"/>
  </r>
  <r>
    <n v="10"/>
    <d v="2018-10-05T00:00:00"/>
    <x v="0"/>
    <x v="0"/>
    <x v="0"/>
    <s v="CAJA"/>
    <s v="ALIMENTACION DE EMPLEADOS CTA NUEVA"/>
    <s v="TRANSACCIONES DEL DIA 10/05/2018SPYRAL - GESTION ADMINISTRATIVA"/>
    <n v="16"/>
    <n v="0"/>
    <s v="OBARRIO"/>
    <x v="2"/>
  </r>
  <r>
    <n v="10"/>
    <d v="2018-10-17T00:00:00"/>
    <x v="0"/>
    <x v="0"/>
    <x v="0"/>
    <s v="CAJA"/>
    <s v="ALIMENTACION DE EMPLEADOS CTA NUEVA"/>
    <s v="TRANSACCIONES DEL DIA 10/17/2018SPYRAL - GESTION ADMINISTRATIVA"/>
    <n v="16"/>
    <n v="0"/>
    <s v="OBARRIO"/>
    <x v="2"/>
  </r>
  <r>
    <n v="10"/>
    <d v="2018-11-09T00:00:00"/>
    <x v="5"/>
    <x v="5"/>
    <x v="0"/>
    <s v="CAJA"/>
    <s v="ALIMENTACION DE EMPLEADOS CTA NUEVA"/>
    <s v="TRANSACCIONES DEL DIA 11/09/2018SPYRAL - GESTION ADMINISTRATIVA"/>
    <n v="8"/>
    <n v="0"/>
    <s v="OBARRIO"/>
    <x v="2"/>
  </r>
  <r>
    <n v="10"/>
    <d v="2018-12-04T00:00:00"/>
    <x v="1"/>
    <x v="1"/>
    <x v="0"/>
    <s v="CAJA"/>
    <s v="ALIMENTACION DE EMPLEADOS CTA NUEVA"/>
    <s v="TRANSACCIONES DEL DIA 12/04/2018SPYRAL - GESTION ADMINISTRATIVA"/>
    <n v="24"/>
    <n v="0"/>
    <s v="OBARRIO"/>
    <x v="2"/>
  </r>
  <r>
    <n v="10"/>
    <d v="2018-12-20T00:00:00"/>
    <x v="1"/>
    <x v="1"/>
    <x v="0"/>
    <s v="CAJA"/>
    <s v="ALIMENTACION DE EMPLEADOS CTA NUEVA"/>
    <s v="TRANSACCIONES DEL DIA 12/20/2018SPYRAL - GESTION ADMINISTRATIVA"/>
    <n v="16"/>
    <n v="0"/>
    <s v="OBARRIO"/>
    <x v="2"/>
  </r>
  <r>
    <n v="10"/>
    <d v="2018-12-31T00:00:00"/>
    <x v="1"/>
    <x v="1"/>
    <x v="0"/>
    <s v="CAJA"/>
    <s v="CIERRE DE ANIO FISCAL"/>
    <s v="CIERRE_DE_CTAS_NOMINALES"/>
    <n v="0"/>
    <n v="280"/>
    <s v="OBARRIO"/>
    <x v="2"/>
  </r>
  <r>
    <n v="10"/>
    <d v="2018-08-06T00:00:00"/>
    <x v="3"/>
    <x v="3"/>
    <x v="0"/>
    <s v="SERVICIOS PERSONALES"/>
    <s v="ALIMENTACION DE EMPLEADOS CTA NUEVA"/>
    <s v="TRANSACCIONES DEL DIA 08/06/2018SPYRAL - GESTION ADMINISTRATIVA"/>
    <n v="8"/>
    <n v="0"/>
    <s v="OBARRIO"/>
    <x v="2"/>
  </r>
  <r>
    <n v="10"/>
    <d v="2018-08-20T00:00:00"/>
    <x v="3"/>
    <x v="3"/>
    <x v="0"/>
    <s v="SERVICIOS PERSONALES"/>
    <s v="ALIMENTACION DE EMPLEADOS CTA NUEVA"/>
    <s v="TRANSACCIONES DEL DIA 08/20/2018SPYRAL - GESTION ADMINISTRATIVA"/>
    <n v="24"/>
    <n v="0"/>
    <s v="OBARRIO"/>
    <x v="2"/>
  </r>
  <r>
    <n v="10"/>
    <d v="2018-12-31T00:00:00"/>
    <x v="1"/>
    <x v="1"/>
    <x v="0"/>
    <s v="SERVICIOS PERSONALES"/>
    <s v="CIERRE DE ANIO FISCAL"/>
    <s v="CIERRE_DE_CTAS_NOMINALES"/>
    <n v="0"/>
    <n v="48"/>
    <s v="OBARRIO"/>
    <x v="2"/>
  </r>
  <r>
    <n v="11"/>
    <d v="2018-06-01T00:00:00"/>
    <x v="2"/>
    <x v="2"/>
    <x v="0"/>
    <s v="ADMINISTRACION DE SUCURSALES"/>
    <s v="NC ALIMENTACION DE EMPLEADOS NVA"/>
    <s v="TRANSACCIONES DEL DIA 06/01/2018SPYRAL - GESTION ADMINISTRATIVA"/>
    <n v="21.89"/>
    <n v="0"/>
    <s v="COLON"/>
    <x v="2"/>
  </r>
  <r>
    <n v="11"/>
    <d v="2018-12-31T00:00:00"/>
    <x v="1"/>
    <x v="1"/>
    <x v="0"/>
    <s v="ADMINISTRACION DE SUCURSALES"/>
    <s v="CIERRE DE ANIO FISCAL"/>
    <s v="CIERRE_DE_CTAS_NOMINALES"/>
    <n v="0"/>
    <n v="43.29"/>
    <s v="COLON"/>
    <x v="2"/>
  </r>
  <r>
    <n v="13"/>
    <d v="2018-06-01T00:00:00"/>
    <x v="2"/>
    <x v="2"/>
    <x v="0"/>
    <s v="ADMINISTRACION DE SUCURSALES"/>
    <s v="NC ALIMENTACION DE EMPLEADOS NVA"/>
    <s v="TRANSACCIONES DEL DIA 06/01/2018SPYRAL - GESTION ADMINISTRATIVA"/>
    <n v="143.16999999999999"/>
    <n v="0"/>
    <s v="HATO PINTADO"/>
    <x v="2"/>
  </r>
  <r>
    <n v="13"/>
    <d v="2018-10-23T00:00:00"/>
    <x v="0"/>
    <x v="0"/>
    <x v="0"/>
    <s v="ADMINISTRACION DE SUCURSALES"/>
    <s v="NC ALIMENTACION DE EMPLEADOS NVA"/>
    <s v="TRANSACCIONES DEL DIA 10/23/2018SPYRAL - GESTION ADMINISTRATIVA"/>
    <n v="58.97"/>
    <n v="0"/>
    <s v="HATO PINTADO"/>
    <x v="2"/>
  </r>
  <r>
    <n v="13"/>
    <d v="2018-12-31T00:00:00"/>
    <x v="1"/>
    <x v="1"/>
    <x v="0"/>
    <s v="ADMINISTRACION DE SUCURSALES"/>
    <s v="CIERRE DE ANIO FISCAL"/>
    <s v="CIERRE_DE_CTAS_NOMINALES"/>
    <n v="0"/>
    <n v="226.14"/>
    <s v="HATO PINTADO"/>
    <x v="2"/>
  </r>
  <r>
    <n v="13"/>
    <d v="2018-06-05T00:00:00"/>
    <x v="2"/>
    <x v="2"/>
    <x v="0"/>
    <s v="CAJA"/>
    <s v="ALIMENTACION DE EMPLEADOS CTA NUEVA"/>
    <s v="TRANSACCIONES DEL DIA 06/05/2018SPYRAL - GESTION ADMINISTRATIVA"/>
    <n v="32"/>
    <n v="0"/>
    <s v="HATO PINTADO"/>
    <x v="2"/>
  </r>
  <r>
    <n v="13"/>
    <d v="2018-06-06T00:00:00"/>
    <x v="2"/>
    <x v="2"/>
    <x v="0"/>
    <s v="CAJA"/>
    <s v="ALIMENTACION DE EMPLEADOS CTA NUEVA"/>
    <s v="TRANSACCIONES DEL DIA 06/06/2018SPYRAL - GESTION ADMINISTRATIVA"/>
    <n v="56"/>
    <n v="0"/>
    <s v="HATO PINTADO"/>
    <x v="2"/>
  </r>
  <r>
    <n v="13"/>
    <d v="2018-06-08T00:00:00"/>
    <x v="2"/>
    <x v="2"/>
    <x v="0"/>
    <s v="CAJA"/>
    <s v="ALIMENTACION DE EMPLEADOS CTA NUEVA"/>
    <s v="TRANSACCIONES DEL DIA 06/08/2018SPYRAL - GESTION ADMINISTRATIVA"/>
    <n v="32"/>
    <n v="0"/>
    <s v="HATO PINTADO"/>
    <x v="2"/>
  </r>
  <r>
    <n v="13"/>
    <d v="2018-06-13T00:00:00"/>
    <x v="2"/>
    <x v="2"/>
    <x v="0"/>
    <s v="CAJA"/>
    <s v="ALIMENTACION DE EMPLEADOS CTA NUEVA"/>
    <s v="TRANSACCIONES DEL DIA 06/13/2018SPYRAL - GESTION ADMINISTRATIVA"/>
    <n v="16"/>
    <n v="0"/>
    <s v="HATO PINTADO"/>
    <x v="2"/>
  </r>
  <r>
    <n v="13"/>
    <d v="2018-06-14T00:00:00"/>
    <x v="2"/>
    <x v="2"/>
    <x v="0"/>
    <s v="CAJA"/>
    <s v="ALIMENTACION DE EMPLEADOS CTA NUEVA"/>
    <s v="TRANSACCIONES DEL DIA 06/14/2018SPYRAL - GESTION ADMINISTRATIVA"/>
    <n v="16"/>
    <n v="0"/>
    <s v="HATO PINTADO"/>
    <x v="2"/>
  </r>
  <r>
    <n v="13"/>
    <d v="2018-06-20T00:00:00"/>
    <x v="2"/>
    <x v="2"/>
    <x v="0"/>
    <s v="CAJA"/>
    <s v="ALIMENTACION DE EMPLEADOS CTA NUEVA"/>
    <s v="TRANSACCIONES DEL DIA 06/20/2018SPYRAL - GESTION ADMINISTRATIVA"/>
    <n v="48"/>
    <n v="0"/>
    <s v="HATO PINTADO"/>
    <x v="2"/>
  </r>
  <r>
    <n v="13"/>
    <d v="2018-06-21T00:00:00"/>
    <x v="2"/>
    <x v="2"/>
    <x v="0"/>
    <s v="CAJA"/>
    <s v="ALIMENTACION DE EMPLEADOS CTA NUEVA"/>
    <s v="TRANSACCIONES DEL DIA 06/21/2018SPYRAL - GESTION ADMINISTRATIVA"/>
    <n v="16"/>
    <n v="0"/>
    <s v="HATO PINTADO"/>
    <x v="2"/>
  </r>
  <r>
    <n v="13"/>
    <d v="2018-06-29T00:00:00"/>
    <x v="2"/>
    <x v="2"/>
    <x v="0"/>
    <s v="CAJA"/>
    <s v="ALIMENTACION DE EMPLEADOS CTA NUEVA"/>
    <s v="TRANSACCIONES DEL DIA 06/29/2018SPYRAL - GESTION ADMINISTRATIVA"/>
    <n v="16"/>
    <n v="0"/>
    <s v="HATO PINTADO"/>
    <x v="2"/>
  </r>
  <r>
    <n v="13"/>
    <d v="2018-07-04T00:00:00"/>
    <x v="6"/>
    <x v="6"/>
    <x v="0"/>
    <s v="CAJA"/>
    <s v="ALIMENTACION DE EMPLEADOS CTA NUEVA"/>
    <s v="TRANSACCIONES DEL DIA 07/04/2018SPYRAL - GESTION ADMINISTRATIVA"/>
    <n v="56"/>
    <n v="0"/>
    <s v="HATO PINTADO"/>
    <x v="2"/>
  </r>
  <r>
    <n v="13"/>
    <d v="2018-07-06T00:00:00"/>
    <x v="6"/>
    <x v="6"/>
    <x v="0"/>
    <s v="CAJA"/>
    <s v="ALIMENTACION DE EMPLEADOS CTA NUEVA"/>
    <s v="TRANSACCIONES DEL DIA 07/06/2018SPYRAL - GESTION ADMINISTRATIVA"/>
    <n v="16"/>
    <n v="0"/>
    <s v="HATO PINTADO"/>
    <x v="2"/>
  </r>
  <r>
    <n v="13"/>
    <d v="2018-07-12T00:00:00"/>
    <x v="6"/>
    <x v="6"/>
    <x v="0"/>
    <s v="CAJA"/>
    <s v="ALIMENTACION DE EMPLEADOS CTA NUEVA"/>
    <s v="TRANSACCIONES DEL DIA 07/12/2018SPYRAL - GESTION ADMINISTRATIVA"/>
    <n v="16"/>
    <n v="0"/>
    <s v="HATO PINTADO"/>
    <x v="2"/>
  </r>
  <r>
    <n v="13"/>
    <d v="2018-07-14T00:00:00"/>
    <x v="6"/>
    <x v="6"/>
    <x v="0"/>
    <s v="CAJA"/>
    <s v="ALIMENTACION DE EMPLEADOS CTA NUEVA"/>
    <s v="TRANSACCIONES DEL DIA 07/14/2018SPYRAL - GESTION ADMINISTRATIVA"/>
    <n v="16"/>
    <n v="0"/>
    <s v="HATO PINTADO"/>
    <x v="2"/>
  </r>
  <r>
    <n v="13"/>
    <d v="2018-07-21T00:00:00"/>
    <x v="6"/>
    <x v="6"/>
    <x v="0"/>
    <s v="CAJA"/>
    <s v="ALIMENTACION DE EMPLEADOS CTA NUEVA"/>
    <s v="TRANSACCIONES DEL DIA 07/21/2018SPYRAL - GESTION ADMINISTRATIVA"/>
    <n v="16"/>
    <n v="0"/>
    <s v="HATO PINTADO"/>
    <x v="2"/>
  </r>
  <r>
    <n v="13"/>
    <d v="2018-07-23T00:00:00"/>
    <x v="6"/>
    <x v="6"/>
    <x v="0"/>
    <s v="CAJA"/>
    <s v="ALIMENTACION DE EMPLEADOS CTA NUEVA"/>
    <s v="TRANSACCIONES DEL DIA 07/23/2018SPYRAL - GESTION ADMINISTRATIVA"/>
    <n v="32"/>
    <n v="0"/>
    <s v="HATO PINTADO"/>
    <x v="2"/>
  </r>
  <r>
    <n v="13"/>
    <d v="2018-07-26T00:00:00"/>
    <x v="6"/>
    <x v="6"/>
    <x v="0"/>
    <s v="CAJA"/>
    <s v="ALIMENTACION DE EMPLEADOS CTA NUEVA"/>
    <s v="TRANSACCIONES DEL DIA 07/26/2018SPYRAL - GESTION ADMINISTRATIVA"/>
    <n v="32"/>
    <n v="0"/>
    <s v="HATO PINTADO"/>
    <x v="2"/>
  </r>
  <r>
    <n v="13"/>
    <d v="2018-08-02T00:00:00"/>
    <x v="3"/>
    <x v="3"/>
    <x v="0"/>
    <s v="CAJA"/>
    <s v="ALIMENTACION DE EMPLEADOS CTA NUEVA"/>
    <s v="TRANSACCIONES DEL DIA 08/02/2018SPYRAL - GESTION ADMINISTRATIVA"/>
    <n v="16"/>
    <n v="0"/>
    <s v="HATO PINTADO"/>
    <x v="2"/>
  </r>
  <r>
    <n v="13"/>
    <d v="2018-08-06T00:00:00"/>
    <x v="3"/>
    <x v="3"/>
    <x v="0"/>
    <s v="CAJA"/>
    <s v="ALIMENTACION DE EMPLEADOS CTA NUEVA"/>
    <s v="TRANSACCIONES DEL DIA 08/06/2018SPYRAL - GESTION ADMINISTRATIVA"/>
    <n v="16"/>
    <n v="0"/>
    <s v="HATO PINTADO"/>
    <x v="2"/>
  </r>
  <r>
    <n v="13"/>
    <d v="2018-08-09T00:00:00"/>
    <x v="3"/>
    <x v="3"/>
    <x v="0"/>
    <s v="CAJA"/>
    <s v="ALIMENTACION DE EMPLEADOS CTA NUEVA"/>
    <s v="TRANSACCIONES DEL DIA 08/09/2018SPYRAL - GESTION ADMINISTRATIVA"/>
    <n v="112"/>
    <n v="0"/>
    <s v="HATO PINTADO"/>
    <x v="2"/>
  </r>
  <r>
    <n v="13"/>
    <d v="2018-08-13T00:00:00"/>
    <x v="3"/>
    <x v="3"/>
    <x v="0"/>
    <s v="CAJA"/>
    <s v="ALIMENTACION DE EMPLEADOS CTA NUEVA"/>
    <s v="TRANSACCIONES DEL DIA 08/13/2018SPYRAL - GESTION ADMINISTRATIVA"/>
    <n v="16"/>
    <n v="0"/>
    <s v="HATO PINTADO"/>
    <x v="2"/>
  </r>
  <r>
    <n v="13"/>
    <d v="2018-08-17T00:00:00"/>
    <x v="3"/>
    <x v="3"/>
    <x v="0"/>
    <s v="CAJA"/>
    <s v="ALIMENTACION DE EMPLEADOS CTA NUEVA"/>
    <s v="TRANSACCIONES DEL DIA 08/17/2018SPYRAL - GESTION ADMINISTRATIVA"/>
    <n v="24"/>
    <n v="0"/>
    <s v="HATO PINTADO"/>
    <x v="2"/>
  </r>
  <r>
    <n v="13"/>
    <d v="2018-08-20T00:00:00"/>
    <x v="3"/>
    <x v="3"/>
    <x v="0"/>
    <s v="CAJA"/>
    <s v="ALIMENTACION DE EMPLEADOS CTA NUEVA"/>
    <s v="TRANSACCIONES DEL DIA 08/20/2018SPYRAL - GESTION ADMINISTRATIVA"/>
    <n v="16"/>
    <n v="0"/>
    <s v="HATO PINTADO"/>
    <x v="2"/>
  </r>
  <r>
    <n v="13"/>
    <d v="2018-08-22T00:00:00"/>
    <x v="3"/>
    <x v="3"/>
    <x v="0"/>
    <s v="CAJA"/>
    <s v="ALIMENTACION DE EMPLEADOS CTA NUEVA"/>
    <s v="TRANSACCIONES DEL DIA 08/22/2018SPYRAL - GESTION ADMINISTRATIVA"/>
    <n v="72"/>
    <n v="0"/>
    <s v="HATO PINTADO"/>
    <x v="2"/>
  </r>
  <r>
    <n v="13"/>
    <d v="2018-08-23T00:00:00"/>
    <x v="3"/>
    <x v="3"/>
    <x v="0"/>
    <s v="CAJA"/>
    <s v="ALIMENTACION DE EMPLEADOS CTA NUEVA"/>
    <s v="TRANSACCIONES DEL DIA 08/23/2018SPYRAL - GESTION ADMINISTRATIVA"/>
    <n v="48"/>
    <n v="0"/>
    <s v="HATO PINTADO"/>
    <x v="2"/>
  </r>
  <r>
    <n v="13"/>
    <d v="2018-08-24T00:00:00"/>
    <x v="3"/>
    <x v="3"/>
    <x v="0"/>
    <s v="CAJA"/>
    <s v="ALIMENTACION DE EMPLEADOS CTA NUEVA"/>
    <s v="TRANSACCIONES DEL DIA 08/24/2018SPYRAL - GESTION ADMINISTRATIVA"/>
    <n v="32"/>
    <n v="0"/>
    <s v="HATO PINTADO"/>
    <x v="2"/>
  </r>
  <r>
    <n v="13"/>
    <d v="2018-08-27T00:00:00"/>
    <x v="3"/>
    <x v="3"/>
    <x v="0"/>
    <s v="CAJA"/>
    <s v="ALIMENTACION DE EMPLEADOS CTA NUEVA"/>
    <s v="TRANSACCIONES DEL DIA 08/27/2018SPYRAL - GESTION ADMINISTRATIVA"/>
    <n v="8"/>
    <n v="0"/>
    <s v="HATO PINTADO"/>
    <x v="2"/>
  </r>
  <r>
    <n v="13"/>
    <d v="2018-08-28T00:00:00"/>
    <x v="3"/>
    <x v="3"/>
    <x v="0"/>
    <s v="CAJA"/>
    <s v="ALIMENTACION DE EMPLEADOS CTA NUEVA"/>
    <s v="TRANSACCIONES DEL DIA 08/28/2018SPYRAL - GESTION ADMINISTRATIVA"/>
    <n v="32"/>
    <n v="0"/>
    <s v="HATO PINTADO"/>
    <x v="2"/>
  </r>
  <r>
    <n v="13"/>
    <d v="2018-09-03T00:00:00"/>
    <x v="4"/>
    <x v="4"/>
    <x v="0"/>
    <s v="CAJA"/>
    <s v="ALIMENTACION DE EMPLEADOS CTA NUEVA"/>
    <s v="TRANSACCIONES DEL DIA 09/03/2018SPYRAL - GESTION ADMINISTRATIVA"/>
    <n v="24"/>
    <n v="0"/>
    <s v="HATO PINTADO"/>
    <x v="2"/>
  </r>
  <r>
    <n v="13"/>
    <d v="2018-09-05T00:00:00"/>
    <x v="4"/>
    <x v="4"/>
    <x v="0"/>
    <s v="CAJA"/>
    <s v="ALIMENTACION DE EMPLEADOS CTA NUEVA"/>
    <s v="TRANSACCIONES DEL DIA 09/05/2018SPYRAL - GESTION ADMINISTRATIVA"/>
    <n v="40"/>
    <n v="0"/>
    <s v="HATO PINTADO"/>
    <x v="2"/>
  </r>
  <r>
    <n v="13"/>
    <d v="2018-09-06T00:00:00"/>
    <x v="4"/>
    <x v="4"/>
    <x v="0"/>
    <s v="CAJA"/>
    <s v="ALIMENTACION DE EMPLEADOS CTA NUEVA"/>
    <s v="TRANSACCIONES DEL DIA 09/06/2018SPYRAL - GESTION ADMINISTRATIVA"/>
    <n v="40"/>
    <n v="0"/>
    <s v="HATO PINTADO"/>
    <x v="2"/>
  </r>
  <r>
    <n v="13"/>
    <d v="2018-09-07T00:00:00"/>
    <x v="4"/>
    <x v="4"/>
    <x v="0"/>
    <s v="CAJA"/>
    <s v="ALIMENTACION DE EMPLEADOS CTA NUEVA"/>
    <s v="TRANSACCIONES DEL DIA 09/07/2018SPYRAL - GESTION ADMINISTRATIVA"/>
    <n v="16"/>
    <n v="0"/>
    <s v="HATO PINTADO"/>
    <x v="2"/>
  </r>
  <r>
    <n v="13"/>
    <d v="2018-09-17T00:00:00"/>
    <x v="4"/>
    <x v="4"/>
    <x v="0"/>
    <s v="CAJA"/>
    <s v="ALIMENTACION DE EMPLEADOS CTA NUEVA"/>
    <s v="TRANSACCIONES DEL DIA 09/17/2018SPYRAL - GESTION ADMINISTRATIVA"/>
    <n v="24"/>
    <n v="0"/>
    <s v="HATO PINTADO"/>
    <x v="2"/>
  </r>
  <r>
    <n v="13"/>
    <d v="2018-09-19T00:00:00"/>
    <x v="4"/>
    <x v="4"/>
    <x v="0"/>
    <s v="CAJA"/>
    <s v="ALIMENTACION DE EMPLEADOS CTA NUEVA"/>
    <s v="TRANSACCIONES DEL DIA 09/19/2018SPYRAL - GESTION ADMINISTRATIVA"/>
    <n v="24"/>
    <n v="0"/>
    <s v="HATO PINTADO"/>
    <x v="2"/>
  </r>
  <r>
    <n v="13"/>
    <d v="2018-09-21T00:00:00"/>
    <x v="4"/>
    <x v="4"/>
    <x v="0"/>
    <s v="CAJA"/>
    <s v="ALIMENTACION DE EMPLEADOS CTA NUEVA"/>
    <s v="TRANSACCIONES DEL DIA 09/21/2018SPYRAL - GESTION ADMINISTRATIVA"/>
    <n v="32"/>
    <n v="0"/>
    <s v="HATO PINTADO"/>
    <x v="2"/>
  </r>
  <r>
    <n v="13"/>
    <d v="2018-09-27T00:00:00"/>
    <x v="4"/>
    <x v="4"/>
    <x v="0"/>
    <s v="CAJA"/>
    <s v="ALIMENTACION DE EMPLEADOS CTA NUEVA"/>
    <s v="TRANSACCIONES DEL DIA 09/27/2018SPYRAL - GESTION ADMINISTRATIVA"/>
    <n v="24"/>
    <n v="0"/>
    <s v="HATO PINTADO"/>
    <x v="2"/>
  </r>
  <r>
    <n v="13"/>
    <d v="2018-10-01T00:00:00"/>
    <x v="0"/>
    <x v="0"/>
    <x v="0"/>
    <s v="CAJA"/>
    <s v="ALIMENTACION DE EMPLEADOS CTA NUEVA"/>
    <s v="TRANSACCIONES DEL DIA 10/01/2018SPYRAL - GESTION ADMINISTRATIVA"/>
    <n v="16"/>
    <n v="0"/>
    <s v="HATO PINTADO"/>
    <x v="2"/>
  </r>
  <r>
    <n v="13"/>
    <d v="2018-10-04T00:00:00"/>
    <x v="0"/>
    <x v="0"/>
    <x v="0"/>
    <s v="CAJA"/>
    <s v="ALIMENTACION DE EMPLEADOS CTA NUEVA"/>
    <s v="TRANSACCIONES DEL DIA 10/04/2018SPYRAL - GESTION ADMINISTRATIVA"/>
    <n v="56"/>
    <n v="0"/>
    <s v="HATO PINTADO"/>
    <x v="2"/>
  </r>
  <r>
    <n v="13"/>
    <d v="2018-10-10T00:00:00"/>
    <x v="0"/>
    <x v="0"/>
    <x v="0"/>
    <s v="CAJA"/>
    <s v="ALIMENTACION DE EMPLEADOS CTA NUEVA"/>
    <s v="TRANSACCIONES DEL DIA 10/10/2018SPYRAL - GESTION ADMINISTRATIVA"/>
    <n v="16"/>
    <n v="0"/>
    <s v="HATO PINTADO"/>
    <x v="2"/>
  </r>
  <r>
    <n v="13"/>
    <d v="2018-10-11T00:00:00"/>
    <x v="0"/>
    <x v="0"/>
    <x v="0"/>
    <s v="CAJA"/>
    <s v="ALIMENTACION DE EMPLEADOS CTA NUEVA"/>
    <s v="TRANSACCIONES DEL DIA 10/11/2018SPYRAL - GESTION ADMINISTRATIVA"/>
    <n v="24"/>
    <n v="0"/>
    <s v="HATO PINTADO"/>
    <x v="2"/>
  </r>
  <r>
    <n v="13"/>
    <d v="2018-10-17T00:00:00"/>
    <x v="0"/>
    <x v="0"/>
    <x v="0"/>
    <s v="CAJA"/>
    <s v="ALIMENTACION DE EMPLEADOS CTA NUEVA"/>
    <s v="TRANSACCIONES DEL DIA 10/17/2018SPYRAL - GESTION ADMINISTRATIVA"/>
    <n v="40"/>
    <n v="0"/>
    <s v="HATO PINTADO"/>
    <x v="2"/>
  </r>
  <r>
    <n v="13"/>
    <d v="2018-10-18T00:00:00"/>
    <x v="0"/>
    <x v="0"/>
    <x v="0"/>
    <s v="CAJA"/>
    <s v="ALIMENTACION DE EMPLEADOS CTA NUEVA"/>
    <s v="TRANSACCIONES DEL DIA 10/18/2018SPYRAL - GESTION ADMINISTRATIVA"/>
    <n v="48"/>
    <n v="0"/>
    <s v="HATO PINTADO"/>
    <x v="2"/>
  </r>
  <r>
    <n v="13"/>
    <d v="2018-10-22T00:00:00"/>
    <x v="0"/>
    <x v="0"/>
    <x v="0"/>
    <s v="CAJA"/>
    <s v="ALIMENTACION DE EMPLEADOS CTA NUEVA"/>
    <s v="TRANSACCIONES DEL DIA 10/22/2018SPYRAL - GESTION ADMINISTRATIVA"/>
    <n v="8"/>
    <n v="0"/>
    <s v="HATO PINTADO"/>
    <x v="2"/>
  </r>
  <r>
    <n v="13"/>
    <d v="2018-10-26T00:00:00"/>
    <x v="0"/>
    <x v="0"/>
    <x v="0"/>
    <s v="CAJA"/>
    <s v="ALIMENTACION DE EMPLEADOS CTA NUEVA"/>
    <s v="TRANSACCIONES DEL DIA 10/26/2018SPYRAL - GESTION ADMINISTRATIVA"/>
    <n v="8"/>
    <n v="0"/>
    <s v="HATO PINTADO"/>
    <x v="2"/>
  </r>
  <r>
    <n v="13"/>
    <d v="2018-10-27T00:00:00"/>
    <x v="0"/>
    <x v="0"/>
    <x v="0"/>
    <s v="CAJA"/>
    <s v="ALIMENTACION DE EMPLEADOS CTA NUEVA"/>
    <s v="TRANSACCIONES DEL DIA 10/27/2018SPYRAL - GESTION ADMINISTRATIVA"/>
    <n v="16"/>
    <n v="0"/>
    <s v="HATO PINTADO"/>
    <x v="2"/>
  </r>
  <r>
    <n v="13"/>
    <d v="2018-11-08T00:00:00"/>
    <x v="5"/>
    <x v="5"/>
    <x v="0"/>
    <s v="CAJA"/>
    <s v="ALIMENTACION DE EMPLEADOS CTA NUEVA"/>
    <s v="TRANSACCIONES DEL DIA 11/08/2018SPYRAL - GESTION ADMINISTRATIVA"/>
    <n v="88"/>
    <n v="0"/>
    <s v="HATO PINTADO"/>
    <x v="2"/>
  </r>
  <r>
    <n v="13"/>
    <d v="2018-11-12T00:00:00"/>
    <x v="5"/>
    <x v="5"/>
    <x v="0"/>
    <s v="CAJA"/>
    <s v="ALIMENTACION DE EMPLEADOS CTA NUEVA"/>
    <s v="TRANSACCIONES DEL DIA 11/12/2018SPYRAL - GESTION ADMINISTRATIVA"/>
    <n v="56"/>
    <n v="0"/>
    <s v="HATO PINTADO"/>
    <x v="2"/>
  </r>
  <r>
    <n v="13"/>
    <d v="2018-11-16T00:00:00"/>
    <x v="5"/>
    <x v="5"/>
    <x v="0"/>
    <s v="CAJA"/>
    <s v="ALIMENTACION DE EMPLEADOS CTA NUEVA"/>
    <s v="TRANSACCIONES DEL DIA 11/16/2018SPYRAL - GESTION ADMINISTRATIVA"/>
    <n v="8"/>
    <n v="0"/>
    <s v="HATO PINTADO"/>
    <x v="2"/>
  </r>
  <r>
    <n v="13"/>
    <d v="2018-11-19T00:00:00"/>
    <x v="5"/>
    <x v="5"/>
    <x v="0"/>
    <s v="CAJA"/>
    <s v="ALIMENTACION DE EMPLEADOS CTA NUEVA"/>
    <s v="TRANSACCIONES DEL DIA 11/19/2018SPYRAL - GESTION ADMINISTRATIVA"/>
    <n v="40"/>
    <n v="0"/>
    <s v="HATO PINTADO"/>
    <x v="2"/>
  </r>
  <r>
    <n v="13"/>
    <d v="2018-11-20T00:00:00"/>
    <x v="5"/>
    <x v="5"/>
    <x v="0"/>
    <s v="CAJA"/>
    <s v="ALIMENTACION DE EMPLEADOS CTA NUEVA"/>
    <s v="TRANSACCIONES DEL DIA 11/20/2018SPYRAL - GESTION ADMINISTRATIVA"/>
    <n v="40"/>
    <n v="0"/>
    <s v="HATO PINTADO"/>
    <x v="2"/>
  </r>
  <r>
    <n v="13"/>
    <d v="2018-11-22T00:00:00"/>
    <x v="5"/>
    <x v="5"/>
    <x v="0"/>
    <s v="CAJA"/>
    <s v="ALIMENTACION DE EMPLEADOS CTA NUEVA"/>
    <s v="TRANSACCIONES DEL DIA 11/22/2018SPYRAL - GESTION ADMINISTRATIVA"/>
    <n v="32"/>
    <n v="0"/>
    <s v="HATO PINTADO"/>
    <x v="2"/>
  </r>
  <r>
    <n v="13"/>
    <d v="2018-11-26T00:00:00"/>
    <x v="5"/>
    <x v="5"/>
    <x v="0"/>
    <s v="CAJA"/>
    <s v="ALIMENTACION DE EMPLEADOS CTA NUEVA"/>
    <s v="TRANSACCIONES DEL DIA 11/26/2018SPYRAL - GESTION ADMINISTRATIVA"/>
    <n v="16"/>
    <n v="0"/>
    <s v="HATO PINTADO"/>
    <x v="2"/>
  </r>
  <r>
    <n v="13"/>
    <d v="2018-11-27T00:00:00"/>
    <x v="5"/>
    <x v="5"/>
    <x v="0"/>
    <s v="CAJA"/>
    <s v="ALIMENTACION DE EMPLEADOS CTA NUEVA"/>
    <s v="TRANSACCIONES DEL DIA 11/27/2018SPYRAL - GESTION ADMINISTRATIVA"/>
    <n v="16"/>
    <n v="0"/>
    <s v="HATO PINTADO"/>
    <x v="2"/>
  </r>
  <r>
    <n v="13"/>
    <d v="2018-12-04T00:00:00"/>
    <x v="1"/>
    <x v="1"/>
    <x v="0"/>
    <s v="CAJA"/>
    <s v="ALIMENTACION DE EMPLEADOS CTA NUEVA"/>
    <s v="TRANSACCIONES DEL DIA 12/04/2018SPYRAL - GESTION ADMINISTRATIVA"/>
    <n v="16"/>
    <n v="0"/>
    <s v="HATO PINTADO"/>
    <x v="2"/>
  </r>
  <r>
    <n v="13"/>
    <d v="2018-12-06T00:00:00"/>
    <x v="1"/>
    <x v="1"/>
    <x v="0"/>
    <s v="CAJA"/>
    <s v="ALIMENTACION DE EMPLEADOS CTA NUEVA"/>
    <s v="TRANSACCIONES DEL DIA 12/06/2018SPYRAL - GESTION ADMINISTRATIVA"/>
    <n v="72"/>
    <n v="0"/>
    <s v="HATO PINTADO"/>
    <x v="2"/>
  </r>
  <r>
    <n v="13"/>
    <d v="2018-12-11T00:00:00"/>
    <x v="1"/>
    <x v="1"/>
    <x v="0"/>
    <s v="CAJA"/>
    <s v="ALIMENTACION DE EMPLEADOS CTA NUEVA"/>
    <s v="TRANSACCIONES DEL DIA 12/11/2018SPYRAL - GESTION ADMINISTRATIVA"/>
    <n v="32"/>
    <n v="0"/>
    <s v="HATO PINTADO"/>
    <x v="2"/>
  </r>
  <r>
    <n v="13"/>
    <d v="2018-12-17T00:00:00"/>
    <x v="1"/>
    <x v="1"/>
    <x v="0"/>
    <s v="CAJA"/>
    <s v="ALIMENTACION DE EMPLEADOS CTA NUEVA"/>
    <s v="TRANSACCIONES DEL DIA 12/17/2018SPYRAL - GESTION ADMINISTRATIVA"/>
    <n v="56"/>
    <n v="0"/>
    <s v="HATO PINTADO"/>
    <x v="2"/>
  </r>
  <r>
    <n v="13"/>
    <d v="2018-12-21T00:00:00"/>
    <x v="1"/>
    <x v="1"/>
    <x v="0"/>
    <s v="CAJA"/>
    <s v="ALIMENTACION DE EMPLEADOS CTA NUEVA"/>
    <s v="TRANSACCIONES DEL DIA 12/21/2018SPYRAL - GESTION ADMINISTRATIVA"/>
    <n v="64"/>
    <n v="0"/>
    <s v="HATO PINTADO"/>
    <x v="2"/>
  </r>
  <r>
    <n v="13"/>
    <d v="2018-12-28T00:00:00"/>
    <x v="1"/>
    <x v="1"/>
    <x v="0"/>
    <s v="CAJA"/>
    <s v="ALIMENTACION DE EMPLEADOS CTA NUEVA"/>
    <s v="TRANSACCIONES DEL DIA 12/28/2018SPYRAL - GESTION ADMINISTRATIVA"/>
    <n v="32"/>
    <n v="0"/>
    <s v="HATO PINTADO"/>
    <x v="2"/>
  </r>
  <r>
    <n v="13"/>
    <d v="2018-12-31T00:00:00"/>
    <x v="1"/>
    <x v="1"/>
    <x v="0"/>
    <s v="CAJA"/>
    <s v="CIERRE DE ANIO FISCAL"/>
    <s v="CIERRE_DE_CTAS_NOMINALES"/>
    <n v="0"/>
    <n v="2776"/>
    <s v="HATO PINTADO"/>
    <x v="2"/>
  </r>
  <r>
    <n v="13"/>
    <d v="2018-06-20T00:00:00"/>
    <x v="2"/>
    <x v="2"/>
    <x v="0"/>
    <s v="SERVICIOS PERSONALES"/>
    <s v="ALIMENTACION DE EMPLEADOS CTA NUEVA"/>
    <s v="TRANSACCIONES DEL DIA 06/20/2018SPYRAL - GESTION ADMINISTRATIVA"/>
    <n v="16"/>
    <n v="0"/>
    <s v="HATO PINTADO"/>
    <x v="2"/>
  </r>
  <r>
    <n v="13"/>
    <d v="2018-07-09T00:00:00"/>
    <x v="6"/>
    <x v="6"/>
    <x v="0"/>
    <s v="SERVICIOS PERSONALES"/>
    <s v="ALIMENTACION DE EMPLEADOS CTA NUEVA"/>
    <s v="TRANSACCIONES DEL DIA 07/09/2018SPYRAL - GESTION ADMINISTRATIVA"/>
    <n v="24"/>
    <n v="0"/>
    <s v="HATO PINTADO"/>
    <x v="2"/>
  </r>
  <r>
    <n v="13"/>
    <d v="2018-07-12T00:00:00"/>
    <x v="6"/>
    <x v="6"/>
    <x v="0"/>
    <s v="SERVICIOS PERSONALES"/>
    <s v="ALIMENTACION DE EMPLEADOS CTA NUEVA"/>
    <s v="TRANSACCIONES DEL DIA 07/12/2018SPYRAL - GESTION ADMINISTRATIVA"/>
    <n v="24"/>
    <n v="0"/>
    <s v="HATO PINTADO"/>
    <x v="2"/>
  </r>
  <r>
    <n v="13"/>
    <d v="2018-07-20T00:00:00"/>
    <x v="6"/>
    <x v="6"/>
    <x v="0"/>
    <s v="SERVICIOS PERSONALES"/>
    <s v="ALIMENTACION DE EMPLEADOS CTA NUEVA"/>
    <s v="TRANSACCIONES DEL DIA 07/20/2018SPYRAL - GESTION ADMINISTRATIVA"/>
    <n v="8"/>
    <n v="0"/>
    <s v="HATO PINTADO"/>
    <x v="2"/>
  </r>
  <r>
    <n v="13"/>
    <d v="2018-07-26T00:00:00"/>
    <x v="6"/>
    <x v="6"/>
    <x v="0"/>
    <s v="SERVICIOS PERSONALES"/>
    <s v="ALIMENTACION DE EMPLEADOS CTA NUEVA"/>
    <s v="TRANSACCIONES DEL DIA 07/26/2018SPYRAL - GESTION ADMINISTRATIVA"/>
    <n v="8"/>
    <n v="0"/>
    <s v="HATO PINTADO"/>
    <x v="2"/>
  </r>
  <r>
    <n v="13"/>
    <d v="2018-08-09T00:00:00"/>
    <x v="3"/>
    <x v="3"/>
    <x v="0"/>
    <s v="SERVICIOS PERSONALES"/>
    <s v="ALIMENTACION DE EMPLEADOS CTA NUEVA"/>
    <s v="TRANSACCIONES DEL DIA 08/09/2018SPYRAL - GESTION ADMINISTRATIVA"/>
    <n v="16"/>
    <n v="0"/>
    <s v="HATO PINTADO"/>
    <x v="2"/>
  </r>
  <r>
    <n v="13"/>
    <d v="2018-09-17T00:00:00"/>
    <x v="4"/>
    <x v="4"/>
    <x v="0"/>
    <s v="SERVICIOS PERSONALES"/>
    <s v="ALIMENTACION DE EMPLEADOS CTA NUEVA"/>
    <s v="TRANSACCIONES DEL DIA 09/17/2018SPYRAL - GESTION ADMINISTRATIVA"/>
    <n v="8"/>
    <n v="0"/>
    <s v="HATO PINTADO"/>
    <x v="2"/>
  </r>
  <r>
    <n v="13"/>
    <d v="2018-09-27T00:00:00"/>
    <x v="4"/>
    <x v="4"/>
    <x v="0"/>
    <s v="SERVICIOS PERSONALES"/>
    <s v="ALIMENTACION DE EMPLEADOS CTA NUEVA"/>
    <s v="TRANSACCIONES DEL DIA 09/27/2018SPYRAL - GESTION ADMINISTRATIVA"/>
    <n v="8"/>
    <n v="0"/>
    <s v="HATO PINTADO"/>
    <x v="2"/>
  </r>
  <r>
    <n v="13"/>
    <d v="2018-10-04T00:00:00"/>
    <x v="0"/>
    <x v="0"/>
    <x v="0"/>
    <s v="SERVICIOS PERSONALES"/>
    <s v="ALIMENTACION DE EMPLEADOS CTA NUEVA"/>
    <s v="TRANSACCIONES DEL DIA 10/04/2018SPYRAL - GESTION ADMINISTRATIVA"/>
    <n v="8"/>
    <n v="0"/>
    <s v="HATO PINTADO"/>
    <x v="2"/>
  </r>
  <r>
    <n v="13"/>
    <d v="2018-10-11T00:00:00"/>
    <x v="0"/>
    <x v="0"/>
    <x v="0"/>
    <s v="SERVICIOS PERSONALES"/>
    <s v="ALIMENTACION DE EMPLEADOS CTA NUEVA"/>
    <s v="TRANSACCIONES DEL DIA 10/11/2018SPYRAL - GESTION ADMINISTRATIVA"/>
    <n v="8"/>
    <n v="0"/>
    <s v="HATO PINTADO"/>
    <x v="2"/>
  </r>
  <r>
    <n v="13"/>
    <d v="2018-10-27T00:00:00"/>
    <x v="0"/>
    <x v="0"/>
    <x v="0"/>
    <s v="SERVICIOS PERSONALES"/>
    <s v="ALIMENTACION DE EMPLEADOS CTA NUEVA"/>
    <s v="TRANSACCIONES DEL DIA 10/27/2018SPYRAL - GESTION ADMINISTRATIVA"/>
    <n v="8"/>
    <n v="0"/>
    <s v="HATO PINTADO"/>
    <x v="2"/>
  </r>
  <r>
    <n v="13"/>
    <d v="2018-12-06T00:00:00"/>
    <x v="1"/>
    <x v="1"/>
    <x v="0"/>
    <s v="SERVICIOS PERSONALES"/>
    <s v="ALIMENTACION DE EMPLEADOS CTA NUEVA"/>
    <s v="TRANSACCIONES DEL DIA 12/06/2018SPYRAL - GESTION ADMINISTRATIVA"/>
    <n v="8"/>
    <n v="0"/>
    <s v="HATO PINTADO"/>
    <x v="2"/>
  </r>
  <r>
    <n v="13"/>
    <d v="2018-12-11T00:00:00"/>
    <x v="1"/>
    <x v="1"/>
    <x v="0"/>
    <s v="SERVICIOS PERSONALES"/>
    <s v="ALIMENTACION DE EMPLEADOS CTA NUEVA"/>
    <s v="TRANSACCIONES DEL DIA 12/11/2018SPYRAL - GESTION ADMINISTRATIVA"/>
    <n v="8"/>
    <n v="0"/>
    <s v="HATO PINTADO"/>
    <x v="2"/>
  </r>
  <r>
    <n v="13"/>
    <d v="2018-12-31T00:00:00"/>
    <x v="1"/>
    <x v="1"/>
    <x v="0"/>
    <s v="SERVICIOS PERSONALES"/>
    <s v="CIERRE DE ANIO FISCAL"/>
    <s v="CIERRE_DE_CTAS_NOMINALES"/>
    <n v="0"/>
    <n v="232"/>
    <s v="HATO PINTADO"/>
    <x v="2"/>
  </r>
  <r>
    <n v="14"/>
    <d v="2018-10-08T00:00:00"/>
    <x v="0"/>
    <x v="0"/>
    <x v="0"/>
    <s v="SERVICIOS PERSONALES"/>
    <s v="ALIMENTACION DE EMPLEADOS CTA NUEVA"/>
    <s v="TRANSACCIONES DEL DIA 10/08/2018SPYRAL - GESTION ADMINISTRATIVA"/>
    <n v="8"/>
    <n v="0"/>
    <s v="RIO ABAJO"/>
    <x v="2"/>
  </r>
  <r>
    <n v="14"/>
    <d v="2018-12-31T00:00:00"/>
    <x v="1"/>
    <x v="1"/>
    <x v="0"/>
    <s v="SERVICIOS PERSONALES"/>
    <s v="CIERRE DE ANIO FISCAL"/>
    <s v="CIERRE_DE_CTAS_NOMINALES"/>
    <n v="0"/>
    <n v="8"/>
    <s v="RIO ABAJO"/>
    <x v="2"/>
  </r>
  <r>
    <n v="15"/>
    <d v="2018-06-01T00:00:00"/>
    <x v="2"/>
    <x v="2"/>
    <x v="0"/>
    <s v="ADMINISTRACION DE SUCURSALES"/>
    <s v="NC ALIMENTACION DE EMPLEADOS NVA"/>
    <s v="TRANSACCIONES DEL DIA 06/01/2018SPYRAL - GESTION ADMINISTRATIVA"/>
    <n v="25.82"/>
    <n v="0"/>
    <s v="LA CHORRERA"/>
    <x v="2"/>
  </r>
  <r>
    <n v="15"/>
    <d v="2018-08-17T00:00:00"/>
    <x v="3"/>
    <x v="3"/>
    <x v="0"/>
    <s v="ADMINISTRACION DE SUCURSALES"/>
    <s v="NC ALIMENTACION DE EMPLEADOS NVA"/>
    <s v="TRANSACCIONES DEL DIA 08/17/2018SPYRAL - GESTION ADMINISTRATIVA"/>
    <n v="48.07"/>
    <n v="0"/>
    <s v="LA CHORRERA"/>
    <x v="2"/>
  </r>
  <r>
    <n v="15"/>
    <d v="2018-10-16T00:00:00"/>
    <x v="0"/>
    <x v="0"/>
    <x v="0"/>
    <s v="ADMINISTRACION DE SUCURSALES"/>
    <s v="NC ALIMENTACION DE EMPLEADOS NVA"/>
    <s v="TRANSACCIONES DEL DIA 10/16/2018SPYRAL - GESTION ADMINISTRATIVA"/>
    <n v="22.99"/>
    <n v="0"/>
    <s v="LA CHORRERA"/>
    <x v="2"/>
  </r>
  <r>
    <n v="15"/>
    <d v="2018-12-04T00:00:00"/>
    <x v="1"/>
    <x v="1"/>
    <x v="0"/>
    <s v="ADMINISTRACION DE SUCURSALES"/>
    <s v="NC ALIMENTACION DE EMPLEADOS NVA"/>
    <s v="TRANSACCIONES DEL DIA 12/04/2018SPYRAL - GESTION ADMINISTRATIVA"/>
    <n v="27"/>
    <n v="0"/>
    <s v="LA CHORRERA"/>
    <x v="2"/>
  </r>
  <r>
    <n v="15"/>
    <d v="2018-12-31T00:00:00"/>
    <x v="1"/>
    <x v="1"/>
    <x v="0"/>
    <s v="ADMINISTRACION DE SUCURSALES"/>
    <s v="CIERRE DE ANIO FISCAL"/>
    <s v="CIERRE_DE_CTAS_NOMINALES"/>
    <n v="0"/>
    <n v="208.82"/>
    <s v="LA CHORRERA"/>
    <x v="2"/>
  </r>
  <r>
    <n v="18"/>
    <d v="2018-06-07T00:00:00"/>
    <x v="2"/>
    <x v="2"/>
    <x v="0"/>
    <s v="ADMINISTRACION DE SUCURSALES"/>
    <s v="NC ALIMENTACION DE EMPLEADOS NVA"/>
    <s v="TRANSACCIONES DEL DIA 06/07/2018SPYRAL - GESTION ADMINISTRATIVA"/>
    <n v="26.77"/>
    <n v="0"/>
    <s v="VILLA LUCRE"/>
    <x v="2"/>
  </r>
  <r>
    <n v="18"/>
    <d v="2018-08-14T00:00:00"/>
    <x v="3"/>
    <x v="3"/>
    <x v="0"/>
    <s v="ADMINISTRACION DE SUCURSALES"/>
    <s v="NC ALIMENTACION DE EMPLEADOS NVA"/>
    <s v="TRANSACCIONES DEL DIA 08/14/2018SPYRAL - GESTION ADMINISTRATIVA"/>
    <n v="51.04"/>
    <n v="0"/>
    <s v="VILLA LUCRE"/>
    <x v="2"/>
  </r>
  <r>
    <n v="18"/>
    <d v="2018-10-02T00:00:00"/>
    <x v="0"/>
    <x v="0"/>
    <x v="0"/>
    <s v="ADMINISTRACION DE SUCURSALES"/>
    <s v="NC ALIMENTACION DE EMPLEADOS NVA"/>
    <s v="TRANSACCIONES DEL DIA 10/02/2018SPYRAL - GESTION ADMINISTRATIVA"/>
    <n v="34.76"/>
    <n v="0"/>
    <s v="VILLA LUCRE"/>
    <x v="2"/>
  </r>
  <r>
    <n v="18"/>
    <d v="2018-10-16T00:00:00"/>
    <x v="0"/>
    <x v="0"/>
    <x v="0"/>
    <s v="ADMINISTRACION DE SUCURSALES"/>
    <s v="NC ALIMENTACION DE EMPLEADOS NVA"/>
    <s v="TRANSACCIONES DEL DIA 10/16/2018SPYRAL - GESTION ADMINISTRATIVA"/>
    <n v="137.53"/>
    <n v="0"/>
    <s v="VILLA LUCRE"/>
    <x v="2"/>
  </r>
  <r>
    <n v="18"/>
    <d v="2018-11-08T00:00:00"/>
    <x v="5"/>
    <x v="5"/>
    <x v="0"/>
    <s v="ADMINISTRACION DE SUCURSALES"/>
    <s v="NC ALIMENTACION DE EMPLEADOS NVA"/>
    <s v="TRANSACCIONES DEL DIA 11/08/2018SPYRAL - GESTION ADMINISTRATIVA"/>
    <n v="97.25"/>
    <n v="0"/>
    <s v="VILLA LUCRE"/>
    <x v="2"/>
  </r>
  <r>
    <n v="18"/>
    <d v="2018-12-04T00:00:00"/>
    <x v="1"/>
    <x v="1"/>
    <x v="0"/>
    <s v="ADMINISTRACION DE SUCURSALES"/>
    <s v="NC ALIMENTACION DE EMPLEADOS NVA"/>
    <s v="TRANSACCIONES DEL DIA 12/04/2018SPYRAL - GESTION ADMINISTRATIVA"/>
    <n v="171.2"/>
    <n v="0"/>
    <s v="VILLA LUCRE"/>
    <x v="2"/>
  </r>
  <r>
    <n v="18"/>
    <d v="2018-12-21T00:00:00"/>
    <x v="1"/>
    <x v="1"/>
    <x v="0"/>
    <s v="ADMINISTRACION DE SUCURSALES"/>
    <s v="NC ALIMENTACION DE EMPLEADOS NVA"/>
    <s v="TRANSACCIONES DEL DIA 12/21/2018SPYRAL - GESTION ADMINISTRATIVA"/>
    <n v="97.9"/>
    <n v="0"/>
    <s v="VILLA LUCRE"/>
    <x v="2"/>
  </r>
  <r>
    <n v="18"/>
    <d v="2018-12-31T00:00:00"/>
    <x v="1"/>
    <x v="1"/>
    <x v="0"/>
    <s v="ADMINISTRACION DE SUCURSALES"/>
    <s v="CIERRE DE ANIO FISCAL"/>
    <s v="CIERRE_DE_CTAS_NOMINALES"/>
    <n v="0"/>
    <n v="894.71"/>
    <s v="VILLA LUCRE"/>
    <x v="2"/>
  </r>
  <r>
    <n v="18"/>
    <d v="2018-06-05T00:00:00"/>
    <x v="2"/>
    <x v="2"/>
    <x v="0"/>
    <s v="CAJA"/>
    <s v="ALIMENTACION DE EMPLEADOS CTA NUEVA"/>
    <s v="TRANSACCIONES DEL DIA 06/05/2018SPYRAL - GESTION ADMINISTRATIVA"/>
    <n v="40"/>
    <n v="0"/>
    <s v="VILLA LUCRE"/>
    <x v="2"/>
  </r>
  <r>
    <n v="18"/>
    <d v="2018-06-13T00:00:00"/>
    <x v="2"/>
    <x v="2"/>
    <x v="0"/>
    <s v="CAJA"/>
    <s v="ALIMENTACION DE EMPLEADOS CTA NUEVA"/>
    <s v="TRANSACCIONES DEL DIA 06/13/2018SPYRAL - GESTION ADMINISTRATIVA"/>
    <n v="16"/>
    <n v="0"/>
    <s v="VILLA LUCRE"/>
    <x v="2"/>
  </r>
  <r>
    <n v="18"/>
    <d v="2018-06-20T00:00:00"/>
    <x v="2"/>
    <x v="2"/>
    <x v="0"/>
    <s v="CAJA"/>
    <s v="ALIMENTACION DE EMPLEADOS CTA NUEVA"/>
    <s v="TRANSACCIONES DEL DIA 06/20/2018SPYRAL - GESTION ADMINISTRATIVA"/>
    <n v="56"/>
    <n v="0"/>
    <s v="VILLA LUCRE"/>
    <x v="2"/>
  </r>
  <r>
    <n v="18"/>
    <d v="2018-07-04T00:00:00"/>
    <x v="6"/>
    <x v="6"/>
    <x v="0"/>
    <s v="CAJA"/>
    <s v="ALIMENTACION DE EMPLEADOS CTA NUEVA"/>
    <s v="TRANSACCIONES DEL DIA 07/04/2018SPYRAL - GESTION ADMINISTRATIVA"/>
    <n v="24"/>
    <n v="0"/>
    <s v="VILLA LUCRE"/>
    <x v="2"/>
  </r>
  <r>
    <n v="18"/>
    <d v="2018-07-06T00:00:00"/>
    <x v="6"/>
    <x v="6"/>
    <x v="0"/>
    <s v="CAJA"/>
    <s v="ALIMENTACION DE EMPLEADOS CTA NUEVA"/>
    <s v="TRANSACCIONES DEL DIA 07/06/2018SPYRAL - GESTION ADMINISTRATIVA"/>
    <n v="8"/>
    <n v="0"/>
    <s v="VILLA LUCRE"/>
    <x v="2"/>
  </r>
  <r>
    <n v="18"/>
    <d v="2018-07-18T00:00:00"/>
    <x v="6"/>
    <x v="6"/>
    <x v="0"/>
    <s v="CAJA"/>
    <s v="ALIMENTACION DE EMPLEADOS CTA NUEVA"/>
    <s v="TRANSACCIONES DEL DIA 07/18/2018SPYRAL - GESTION ADMINISTRATIVA"/>
    <n v="24"/>
    <n v="0"/>
    <s v="VILLA LUCRE"/>
    <x v="2"/>
  </r>
  <r>
    <n v="18"/>
    <d v="2018-07-20T00:00:00"/>
    <x v="6"/>
    <x v="6"/>
    <x v="0"/>
    <s v="CAJA"/>
    <s v="ALIMENTACION DE EMPLEADOS CTA NUEVA"/>
    <s v="TRANSACCIONES DEL DIA 07/20/2018SPYRAL - GESTION ADMINISTRATIVA"/>
    <n v="8"/>
    <n v="0"/>
    <s v="VILLA LUCRE"/>
    <x v="2"/>
  </r>
  <r>
    <n v="18"/>
    <d v="2018-07-26T00:00:00"/>
    <x v="6"/>
    <x v="6"/>
    <x v="0"/>
    <s v="CAJA"/>
    <s v="ALIMENTACION DE EMPLEADOS CTA NUEVA"/>
    <s v="TRANSACCIONES DEL DIA 07/26/2018SPYRAL - GESTION ADMINISTRATIVA"/>
    <n v="24"/>
    <n v="0"/>
    <s v="VILLA LUCRE"/>
    <x v="2"/>
  </r>
  <r>
    <n v="18"/>
    <d v="2018-08-03T00:00:00"/>
    <x v="3"/>
    <x v="3"/>
    <x v="0"/>
    <s v="CAJA"/>
    <s v="ALIMENTACION DE EMPLEADOS CTA NUEVA"/>
    <s v="TRANSACCIONES DEL DIA 08/03/2018SPYRAL - GESTION ADMINISTRATIVA"/>
    <n v="32"/>
    <n v="0"/>
    <s v="VILLA LUCRE"/>
    <x v="2"/>
  </r>
  <r>
    <n v="18"/>
    <d v="2018-08-06T00:00:00"/>
    <x v="3"/>
    <x v="3"/>
    <x v="0"/>
    <s v="CAJA"/>
    <s v="ALIMENTACION DE EMPLEADOS CTA NUEVA"/>
    <s v="TRANSACCIONES DEL DIA 08/06/2018SPYRAL - GESTION ADMINISTRATIVA"/>
    <n v="8"/>
    <n v="0"/>
    <s v="VILLA LUCRE"/>
    <x v="2"/>
  </r>
  <r>
    <n v="18"/>
    <d v="2018-08-17T00:00:00"/>
    <x v="3"/>
    <x v="3"/>
    <x v="0"/>
    <s v="CAJA"/>
    <s v="ALIMENTACION DE EMPLEADOS CTA NUEVA"/>
    <s v="TRANSACCIONES DEL DIA 08/17/2018SPYRAL - GESTION ADMINISTRATIVA"/>
    <n v="16"/>
    <n v="0"/>
    <s v="VILLA LUCRE"/>
    <x v="2"/>
  </r>
  <r>
    <n v="18"/>
    <d v="2018-08-20T00:00:00"/>
    <x v="3"/>
    <x v="3"/>
    <x v="0"/>
    <s v="CAJA"/>
    <s v="ALIMENTACION DE EMPLEADOS CTA NUEVA"/>
    <s v="TRANSACCIONES DEL DIA 08/20/2018SPYRAL - GESTION ADMINISTRATIVA"/>
    <n v="48"/>
    <n v="0"/>
    <s v="VILLA LUCRE"/>
    <x v="2"/>
  </r>
  <r>
    <n v="18"/>
    <d v="2018-09-17T00:00:00"/>
    <x v="4"/>
    <x v="4"/>
    <x v="0"/>
    <s v="CAJA"/>
    <s v="ALIMENTACION DE EMPLEADOS CTA NUEVA"/>
    <s v="TRANSACCIONES DEL DIA 09/17/2018SPYRAL - GESTION ADMINISTRATIVA"/>
    <n v="32"/>
    <n v="0"/>
    <s v="VILLA LUCRE"/>
    <x v="2"/>
  </r>
  <r>
    <n v="18"/>
    <d v="2018-10-03T00:00:00"/>
    <x v="0"/>
    <x v="0"/>
    <x v="0"/>
    <s v="CAJA"/>
    <s v="ALIMENTACION DE EMPLEADOS CTA NUEVA"/>
    <s v="TRANSACCIONES DEL DIA 10/03/2018SPYRAL - GESTION ADMINISTRATIVA"/>
    <n v="16"/>
    <n v="0"/>
    <s v="VILLA LUCRE"/>
    <x v="2"/>
  </r>
  <r>
    <n v="18"/>
    <d v="2018-10-17T00:00:00"/>
    <x v="0"/>
    <x v="0"/>
    <x v="0"/>
    <s v="CAJA"/>
    <s v="ALIMENTACION DE EMPLEADOS CTA NUEVA"/>
    <s v="TRANSACCIONES DEL DIA 10/17/2018SPYRAL - GESTION ADMINISTRATIVA"/>
    <n v="24"/>
    <n v="0"/>
    <s v="VILLA LUCRE"/>
    <x v="2"/>
  </r>
  <r>
    <n v="18"/>
    <d v="2018-11-02T00:00:00"/>
    <x v="5"/>
    <x v="5"/>
    <x v="0"/>
    <s v="CAJA"/>
    <s v="ALIMENTACION DE EMPLEADOS CTA NUEVA"/>
    <s v="TRANSACCIONES DEL DIA 11/02/2018SPYRAL - GESTION ADMINISTRATIVA"/>
    <n v="32"/>
    <n v="0"/>
    <s v="VILLA LUCRE"/>
    <x v="2"/>
  </r>
  <r>
    <n v="18"/>
    <d v="2018-11-08T00:00:00"/>
    <x v="5"/>
    <x v="5"/>
    <x v="0"/>
    <s v="CAJA"/>
    <s v="ALIMENTACION DE EMPLEADOS CTA NUEVA"/>
    <s v="TRANSACCIONES DEL DIA 11/08/2018SPYRAL - GESTION ADMINISTRATIVA"/>
    <n v="32"/>
    <n v="0"/>
    <s v="VILLA LUCRE"/>
    <x v="2"/>
  </r>
  <r>
    <n v="18"/>
    <d v="2018-11-16T00:00:00"/>
    <x v="5"/>
    <x v="5"/>
    <x v="0"/>
    <s v="CAJA"/>
    <s v="ALIMENTACION DE EMPLEADOS CTA NUEVA"/>
    <s v="TRANSACCIONES DEL DIA 11/16/2018SPYRAL - GESTION ADMINISTRATIVA"/>
    <n v="16"/>
    <n v="0"/>
    <s v="VILLA LUCRE"/>
    <x v="2"/>
  </r>
  <r>
    <n v="18"/>
    <d v="2018-11-19T00:00:00"/>
    <x v="5"/>
    <x v="5"/>
    <x v="0"/>
    <s v="CAJA"/>
    <s v="ALIMENTACION DE EMPLEADOS CTA NUEVA"/>
    <s v="TRANSACCIONES DEL DIA 11/19/2018SPYRAL - GESTION ADMINISTRATIVA"/>
    <n v="24"/>
    <n v="0"/>
    <s v="VILLA LUCRE"/>
    <x v="2"/>
  </r>
  <r>
    <n v="18"/>
    <d v="2018-12-04T00:00:00"/>
    <x v="1"/>
    <x v="1"/>
    <x v="0"/>
    <s v="CAJA"/>
    <s v="ALIMENTACION DE EMPLEADOS CTA NUEVA"/>
    <s v="TRANSACCIONES DEL DIA 12/04/2018SPYRAL - GESTION ADMINISTRATIVA"/>
    <n v="24"/>
    <n v="0"/>
    <s v="VILLA LUCRE"/>
    <x v="2"/>
  </r>
  <r>
    <n v="18"/>
    <d v="2018-12-17T00:00:00"/>
    <x v="1"/>
    <x v="1"/>
    <x v="0"/>
    <s v="CAJA"/>
    <s v="ALIMENTACION DE EMPLEADOS CTA NUEVA"/>
    <s v="TRANSACCIONES DEL DIA 12/17/2018SPYRAL - GESTION ADMINISTRATIVA"/>
    <n v="40"/>
    <n v="0"/>
    <s v="VILLA LUCRE"/>
    <x v="2"/>
  </r>
  <r>
    <n v="18"/>
    <d v="2018-12-31T00:00:00"/>
    <x v="1"/>
    <x v="1"/>
    <x v="0"/>
    <s v="CAJA"/>
    <s v="CIERRE DE ANIO FISCAL"/>
    <s v="CIERRE_DE_CTAS_NOMINALES"/>
    <n v="0"/>
    <n v="960"/>
    <s v="VILLA LUCRE"/>
    <x v="2"/>
  </r>
  <r>
    <n v="18"/>
    <d v="2018-10-09T00:00:00"/>
    <x v="0"/>
    <x v="0"/>
    <x v="0"/>
    <s v="SERVICIOS PERSONALES"/>
    <s v="ALIMENTACION DE EMPLEADOS CTA NUEVA"/>
    <s v="TRANSACCIONES DEL DIA 10/09/2018SPYRAL - GESTION ADMINISTRATIVA"/>
    <n v="8"/>
    <n v="0"/>
    <s v="VILLA LUCRE"/>
    <x v="2"/>
  </r>
  <r>
    <n v="18"/>
    <d v="2018-10-15T00:00:00"/>
    <x v="0"/>
    <x v="0"/>
    <x v="0"/>
    <s v="SERVICIOS PERSONALES"/>
    <s v="ALIMENTACION DE EMPLEADOS CTA NUEVA"/>
    <s v="TRANSACCIONES DEL DIA 10/15/2018SPYRAL - GESTION ADMINISTRATIVA"/>
    <n v="8"/>
    <n v="0"/>
    <s v="VILLA LUCRE"/>
    <x v="2"/>
  </r>
  <r>
    <n v="18"/>
    <d v="2018-12-31T00:00:00"/>
    <x v="1"/>
    <x v="1"/>
    <x v="0"/>
    <s v="SERVICIOS PERSONALES"/>
    <s v="CIERRE DE ANIO FISCAL"/>
    <s v="CIERRE_DE_CTAS_NOMINALES"/>
    <n v="0"/>
    <n v="24"/>
    <s v="VILLA LUCRE"/>
    <x v="2"/>
  </r>
  <r>
    <n v="19"/>
    <d v="2018-09-24T00:00:00"/>
    <x v="4"/>
    <x v="4"/>
    <x v="0"/>
    <s v="ADMINISTRACION DE SUCURSALES"/>
    <s v="ALIMENTACION DE EMPLEADOS CTA NUEVA"/>
    <s v="TRANSACCIONES DEL DIA 09/24/2018SPYRAL - GESTION ADMINISTRATIVA"/>
    <n v="8"/>
    <n v="0"/>
    <s v="LOS ANDES"/>
    <x v="2"/>
  </r>
  <r>
    <n v="19"/>
    <d v="2018-12-31T00:00:00"/>
    <x v="1"/>
    <x v="1"/>
    <x v="0"/>
    <s v="ADMINISTRACION DE SUCURSALES"/>
    <s v="CIERRE DE ANIO FISCAL"/>
    <s v="CIERRE_DE_CTAS_NOMINALES"/>
    <n v="0"/>
    <n v="8"/>
    <s v="LOS ANDES"/>
    <x v="2"/>
  </r>
  <r>
    <n v="19"/>
    <d v="2018-06-05T00:00:00"/>
    <x v="2"/>
    <x v="2"/>
    <x v="0"/>
    <s v="CAJA"/>
    <s v="ALIMENTACION DE EMPLEADOS CTA NUEVA"/>
    <s v="TRANSACCIONES DEL DIA 06/05/2018SPYRAL - GESTION ADMINISTRATIVA"/>
    <n v="112"/>
    <n v="0"/>
    <s v="LOS ANDES"/>
    <x v="2"/>
  </r>
  <r>
    <n v="19"/>
    <d v="2018-06-06T00:00:00"/>
    <x v="2"/>
    <x v="2"/>
    <x v="0"/>
    <s v="CAJA"/>
    <s v="ALIMENTACION DE EMPLEADOS CTA NUEVA"/>
    <s v="TRANSACCIONES DEL DIA 06/06/2018SPYRAL - GESTION ADMINISTRATIVA"/>
    <n v="48"/>
    <n v="0"/>
    <s v="LOS ANDES"/>
    <x v="2"/>
  </r>
  <r>
    <n v="19"/>
    <d v="2018-06-08T00:00:00"/>
    <x v="2"/>
    <x v="2"/>
    <x v="0"/>
    <s v="CAJA"/>
    <s v="ALIMENTACION DE EMPLEADOS CTA NUEVA"/>
    <s v="TRANSACCIONES DEL DIA 06/08/2018SPYRAL - GESTION ADMINISTRATIVA"/>
    <n v="48"/>
    <n v="0"/>
    <s v="LOS ANDES"/>
    <x v="2"/>
  </r>
  <r>
    <n v="19"/>
    <d v="2018-06-11T00:00:00"/>
    <x v="2"/>
    <x v="2"/>
    <x v="0"/>
    <s v="CAJA"/>
    <s v="ALIMENTACION DE EMPLEADOS CTA NUEVA"/>
    <s v="TRANSACCIONES DEL DIA 06/11/2018SPYRAL - GESTION ADMINISTRATIVA"/>
    <n v="64"/>
    <n v="0"/>
    <s v="LOS ANDES"/>
    <x v="2"/>
  </r>
  <r>
    <n v="19"/>
    <d v="2018-06-14T00:00:00"/>
    <x v="2"/>
    <x v="2"/>
    <x v="0"/>
    <s v="CAJA"/>
    <s v="ALIMENTACION DE EMPLEADOS CTA NUEVA"/>
    <s v="TRANSACCIONES DEL DIA 06/14/2018SPYRAL - GESTION ADMINISTRATIVA"/>
    <n v="16"/>
    <n v="0"/>
    <s v="LOS ANDES"/>
    <x v="2"/>
  </r>
  <r>
    <n v="19"/>
    <d v="2018-06-15T00:00:00"/>
    <x v="2"/>
    <x v="2"/>
    <x v="0"/>
    <s v="CAJA"/>
    <s v="ALIMENTACION DE EMPLEADOS CTA NUEVA"/>
    <s v="TRANSACCIONES DEL DIA 06/15/2018SPYRAL - GESTION ADMINISTRATIVA"/>
    <n v="32"/>
    <n v="0"/>
    <s v="LOS ANDES"/>
    <x v="2"/>
  </r>
  <r>
    <n v="19"/>
    <d v="2018-06-20T00:00:00"/>
    <x v="2"/>
    <x v="2"/>
    <x v="0"/>
    <s v="CAJA"/>
    <s v="ALIMENTACION DE EMPLEADOS CTA NUEVA"/>
    <s v="TRANSACCIONES DEL DIA 06/20/2018SPYRAL - GESTION ADMINISTRATIVA"/>
    <n v="32"/>
    <n v="0"/>
    <s v="LOS ANDES"/>
    <x v="2"/>
  </r>
  <r>
    <n v="19"/>
    <d v="2018-06-21T00:00:00"/>
    <x v="2"/>
    <x v="2"/>
    <x v="0"/>
    <s v="CAJA"/>
    <s v="ALIMENTACION DE EMPLEADOS CTA NUEVA"/>
    <s v="TRANSACCIONES DEL DIA 06/21/2018SPYRAL - GESTION ADMINISTRATIVA"/>
    <n v="96"/>
    <n v="0"/>
    <s v="LOS ANDES"/>
    <x v="2"/>
  </r>
  <r>
    <n v="19"/>
    <d v="2018-06-26T00:00:00"/>
    <x v="2"/>
    <x v="2"/>
    <x v="0"/>
    <s v="CAJA"/>
    <s v="ALIMENTACION DE EMPLEADOS CTA NUEVA"/>
    <s v="TRANSACCIONES DEL DIA 06/26/2018SPYRAL - GESTION ADMINISTRATIVA"/>
    <n v="32"/>
    <n v="0"/>
    <s v="LOS ANDES"/>
    <x v="2"/>
  </r>
  <r>
    <n v="19"/>
    <d v="2018-06-27T00:00:00"/>
    <x v="2"/>
    <x v="2"/>
    <x v="0"/>
    <s v="CAJA"/>
    <s v="ALIMENTACION DE EMPLEADOS CTA NUEVA"/>
    <s v="TRANSACCIONES DEL DIA 06/27/2018SPYRAL - GESTION ADMINISTRATIVA"/>
    <n v="32"/>
    <n v="0"/>
    <s v="LOS ANDES"/>
    <x v="2"/>
  </r>
  <r>
    <n v="19"/>
    <d v="2018-06-29T00:00:00"/>
    <x v="2"/>
    <x v="2"/>
    <x v="0"/>
    <s v="CAJA"/>
    <s v="ALIMENTACION DE EMPLEADOS CTA NUEVA"/>
    <s v="TRANSACCIONES DEL DIA 06/29/2018SPYRAL - GESTION ADMINISTRATIVA"/>
    <n v="48"/>
    <n v="0"/>
    <s v="LOS ANDES"/>
    <x v="2"/>
  </r>
  <r>
    <n v="19"/>
    <d v="2018-07-02T00:00:00"/>
    <x v="6"/>
    <x v="6"/>
    <x v="0"/>
    <s v="CAJA"/>
    <s v="ALIMENTACION DE EMPLEADOS CTA NUEVA"/>
    <s v="TRANSACCIONES DEL DIA 07/02/2018SPYRAL - GESTION ADMINISTRATIVA"/>
    <n v="16"/>
    <n v="0"/>
    <s v="LOS ANDES"/>
    <x v="2"/>
  </r>
  <r>
    <n v="19"/>
    <d v="2018-07-04T00:00:00"/>
    <x v="6"/>
    <x v="6"/>
    <x v="0"/>
    <s v="CAJA"/>
    <s v="ALIMENTACION DE EMPLEADOS CTA NUEVA"/>
    <s v="TRANSACCIONES DEL DIA 07/04/2018SPYRAL - GESTION ADMINISTRATIVA"/>
    <n v="56"/>
    <n v="0"/>
    <s v="LOS ANDES"/>
    <x v="2"/>
  </r>
  <r>
    <n v="19"/>
    <d v="2018-07-06T00:00:00"/>
    <x v="6"/>
    <x v="6"/>
    <x v="0"/>
    <s v="CAJA"/>
    <s v="ALIMENTACION DE EMPLEADOS CTA NUEVA"/>
    <s v="TRANSACCIONES DEL DIA 07/06/2018SPYRAL - GESTION ADMINISTRATIVA"/>
    <n v="48"/>
    <n v="0"/>
    <s v="LOS ANDES"/>
    <x v="2"/>
  </r>
  <r>
    <n v="19"/>
    <d v="2018-07-09T00:00:00"/>
    <x v="6"/>
    <x v="6"/>
    <x v="0"/>
    <s v="CAJA"/>
    <s v="ALIMENTACION DE EMPLEADOS CTA NUEVA"/>
    <s v="TRANSACCIONES DEL DIA 07/09/2018SPYRAL - GESTION ADMINISTRATIVA"/>
    <n v="16"/>
    <n v="0"/>
    <s v="LOS ANDES"/>
    <x v="2"/>
  </r>
  <r>
    <n v="19"/>
    <d v="2018-07-12T00:00:00"/>
    <x v="6"/>
    <x v="6"/>
    <x v="0"/>
    <s v="CAJA"/>
    <s v="ALIMENTACION DE EMPLEADOS CTA NUEVA"/>
    <s v="TRANSACCIONES DEL DIA 07/12/2018SPYRAL - GESTION ADMINISTRATIVA"/>
    <n v="72"/>
    <n v="0"/>
    <s v="LOS ANDES"/>
    <x v="2"/>
  </r>
  <r>
    <n v="19"/>
    <d v="2018-07-17T00:00:00"/>
    <x v="6"/>
    <x v="6"/>
    <x v="0"/>
    <s v="CAJA"/>
    <s v="ALIMENTACION DE EMPLEADOS CTA NUEVA"/>
    <s v="TRANSACCIONES DEL DIA 07/17/2018SPYRAL - GESTION ADMINISTRATIVA"/>
    <n v="64"/>
    <n v="0"/>
    <s v="LOS ANDES"/>
    <x v="2"/>
  </r>
  <r>
    <n v="19"/>
    <d v="2018-07-21T00:00:00"/>
    <x v="6"/>
    <x v="6"/>
    <x v="0"/>
    <s v="CAJA"/>
    <s v="ALIMENTACION DE EMPLEADOS CTA NUEVA"/>
    <s v="TRANSACCIONES DEL DIA 07/21/2018SPYRAL - GESTION ADMINISTRATIVA"/>
    <n v="32"/>
    <n v="0"/>
    <s v="LOS ANDES"/>
    <x v="2"/>
  </r>
  <r>
    <n v="19"/>
    <d v="2018-07-24T00:00:00"/>
    <x v="6"/>
    <x v="6"/>
    <x v="0"/>
    <s v="CAJA"/>
    <s v="ALIMENTACION DE EMPLEADOS CTA NUEVA"/>
    <s v="TRANSACCIONES DEL DIA 07/24/2018SPYRAL - GESTION ADMINISTRATIVA"/>
    <n v="16"/>
    <n v="0"/>
    <s v="LOS ANDES"/>
    <x v="2"/>
  </r>
  <r>
    <n v="19"/>
    <d v="2018-07-25T00:00:00"/>
    <x v="6"/>
    <x v="6"/>
    <x v="0"/>
    <s v="CAJA"/>
    <s v="ALIMENTACION DE EMPLEADOS CTA NUEVA"/>
    <s v="TRANSACCIONES DEL DIA 07/25/2018SPYRAL - GESTION ADMINISTRATIVA"/>
    <n v="72"/>
    <n v="0"/>
    <s v="LOS ANDES"/>
    <x v="2"/>
  </r>
  <r>
    <n v="19"/>
    <d v="2018-07-26T00:00:00"/>
    <x v="6"/>
    <x v="6"/>
    <x v="0"/>
    <s v="CAJA"/>
    <s v="ALIMENTACION DE EMPLEADOS CTA NUEVA"/>
    <s v="TRANSACCIONES DEL DIA 07/26/2018SPYRAL - GESTION ADMINISTRATIVA"/>
    <n v="8"/>
    <n v="0"/>
    <s v="LOS ANDES"/>
    <x v="2"/>
  </r>
  <r>
    <n v="19"/>
    <d v="2018-07-30T00:00:00"/>
    <x v="6"/>
    <x v="6"/>
    <x v="0"/>
    <s v="CAJA"/>
    <s v="ALIMENTACION DE EMPLEADOS CTA NUEVA"/>
    <s v="TRANSACCIONES DEL DIA 07/30/2018SPYRAL - GESTION ADMINISTRATIVA"/>
    <n v="24"/>
    <n v="0"/>
    <s v="LOS ANDES"/>
    <x v="2"/>
  </r>
  <r>
    <n v="19"/>
    <d v="2018-08-02T00:00:00"/>
    <x v="3"/>
    <x v="3"/>
    <x v="0"/>
    <s v="CAJA"/>
    <s v="ALIMENTACION DE EMPLEADOS CTA NUEVA"/>
    <s v="TRANSACCIONES DEL DIA 08/02/2018SPYRAL - GESTION ADMINISTRATIVA"/>
    <n v="24"/>
    <n v="0"/>
    <s v="LOS ANDES"/>
    <x v="2"/>
  </r>
  <r>
    <n v="19"/>
    <d v="2018-08-03T00:00:00"/>
    <x v="3"/>
    <x v="3"/>
    <x v="0"/>
    <s v="CAJA"/>
    <s v="ALIMENTACION DE EMPLEADOS CTA NUEVA"/>
    <s v="TRANSACCIONES DEL DIA 08/03/2018SPYRAL - GESTION ADMINISTRATIVA"/>
    <n v="72"/>
    <n v="0"/>
    <s v="LOS ANDES"/>
    <x v="2"/>
  </r>
  <r>
    <n v="19"/>
    <d v="2018-08-07T00:00:00"/>
    <x v="3"/>
    <x v="3"/>
    <x v="0"/>
    <s v="CAJA"/>
    <s v="ALIMENTACION DE EMPLEADOS CTA NUEVA"/>
    <s v="TRANSACCIONES DEL DIA 08/07/2018SPYRAL - GESTION ADMINISTRATIVA"/>
    <n v="32"/>
    <n v="0"/>
    <s v="LOS ANDES"/>
    <x v="2"/>
  </r>
  <r>
    <n v="19"/>
    <d v="2018-08-09T00:00:00"/>
    <x v="3"/>
    <x v="3"/>
    <x v="0"/>
    <s v="CAJA"/>
    <s v="ALIMENTACION DE EMPLEADOS CTA NUEVA"/>
    <s v="TRANSACCIONES DEL DIA 08/09/2018SPYRAL - GESTION ADMINISTRATIVA"/>
    <n v="80"/>
    <n v="0"/>
    <s v="LOS ANDES"/>
    <x v="2"/>
  </r>
  <r>
    <n v="19"/>
    <d v="2018-08-13T00:00:00"/>
    <x v="3"/>
    <x v="3"/>
    <x v="0"/>
    <s v="CAJA"/>
    <s v="ALIMENTACION DE EMPLEADOS CTA NUEVA"/>
    <s v="TRANSACCIONES DEL DIA 08/13/2018SPYRAL - GESTION ADMINISTRATIVA"/>
    <n v="32"/>
    <n v="0"/>
    <s v="LOS ANDES"/>
    <x v="2"/>
  </r>
  <r>
    <n v="19"/>
    <d v="2018-08-16T00:00:00"/>
    <x v="3"/>
    <x v="3"/>
    <x v="0"/>
    <s v="CAJA"/>
    <s v="ALIMENTACION DE EMPLEADOS CTA NUEVA"/>
    <s v="TRANSACCIONES DEL DIA 08/16/2018SPYRAL - GESTION ADMINISTRATIVA"/>
    <n v="64"/>
    <n v="0"/>
    <s v="LOS ANDES"/>
    <x v="2"/>
  </r>
  <r>
    <n v="19"/>
    <d v="2018-08-17T00:00:00"/>
    <x v="3"/>
    <x v="3"/>
    <x v="0"/>
    <s v="CAJA"/>
    <s v="ALIMENTACION DE EMPLEADOS CTA NUEVA"/>
    <s v="TRANSACCIONES DEL DIA 08/17/2018SPYRAL - GESTION ADMINISTRATIVA"/>
    <n v="80"/>
    <n v="0"/>
    <s v="LOS ANDES"/>
    <x v="2"/>
  </r>
  <r>
    <n v="19"/>
    <d v="2018-08-21T00:00:00"/>
    <x v="3"/>
    <x v="3"/>
    <x v="0"/>
    <s v="CAJA"/>
    <s v="ALIMENTACION DE EMPLEADOS CTA NUEVA"/>
    <s v="TRANSACCIONES DEL DIA 08/21/2018SPYRAL - GESTION ADMINISTRATIVA"/>
    <n v="40"/>
    <n v="0"/>
    <s v="LOS ANDES"/>
    <x v="2"/>
  </r>
  <r>
    <n v="19"/>
    <d v="2018-08-22T00:00:00"/>
    <x v="3"/>
    <x v="3"/>
    <x v="0"/>
    <s v="CAJA"/>
    <s v="ALIMENTACION DE EMPLEADOS CTA NUEVA"/>
    <s v="TRANSACCIONES DEL DIA 08/22/2018SPYRAL - GESTION ADMINISTRATIVA"/>
    <n v="8"/>
    <n v="0"/>
    <s v="LOS ANDES"/>
    <x v="2"/>
  </r>
  <r>
    <n v="19"/>
    <d v="2018-08-23T00:00:00"/>
    <x v="3"/>
    <x v="3"/>
    <x v="0"/>
    <s v="CAJA"/>
    <s v="ALIMENTACION DE EMPLEADOS CTA NUEVA"/>
    <s v="TRANSACCIONES DEL DIA 08/23/2018SPYRAL - GESTION ADMINISTRATIVA"/>
    <n v="48"/>
    <n v="0"/>
    <s v="LOS ANDES"/>
    <x v="2"/>
  </r>
  <r>
    <n v="19"/>
    <d v="2018-08-24T00:00:00"/>
    <x v="3"/>
    <x v="3"/>
    <x v="0"/>
    <s v="CAJA"/>
    <s v="ALIMENTACION DE EMPLEADOS CTA NUEVA"/>
    <s v="TRANSACCIONES DEL DIA 08/24/2018SPYRAL - GESTION ADMINISTRATIVA"/>
    <n v="16"/>
    <n v="0"/>
    <s v="LOS ANDES"/>
    <x v="2"/>
  </r>
  <r>
    <n v="19"/>
    <d v="2018-08-27T00:00:00"/>
    <x v="3"/>
    <x v="3"/>
    <x v="0"/>
    <s v="CAJA"/>
    <s v="ALIMENTACION DE EMPLEADOS CTA NUEVA"/>
    <s v="TRANSACCIONES DEL DIA 08/27/2018SPYRAL - GESTION ADMINISTRATIVA"/>
    <n v="8"/>
    <n v="0"/>
    <s v="LOS ANDES"/>
    <x v="2"/>
  </r>
  <r>
    <n v="19"/>
    <d v="2018-08-31T00:00:00"/>
    <x v="3"/>
    <x v="3"/>
    <x v="0"/>
    <s v="CAJA"/>
    <s v="ALIMENTACION DE EMPLEADOS CTA NUEVA"/>
    <s v="TRANSACCIONES DEL DIA 08/31/2018SPYRAL - GESTION ADMINISTRATIVA"/>
    <n v="16"/>
    <n v="0"/>
    <s v="LOS ANDES"/>
    <x v="2"/>
  </r>
  <r>
    <n v="19"/>
    <d v="2018-09-05T00:00:00"/>
    <x v="4"/>
    <x v="4"/>
    <x v="0"/>
    <s v="CAJA"/>
    <s v="ALIMENTACION DE EMPLEADOS CTA NUEVA"/>
    <s v="TRANSACCIONES DEL DIA 09/05/2018SPYRAL - GESTION ADMINISTRATIVA"/>
    <n v="56"/>
    <n v="0"/>
    <s v="LOS ANDES"/>
    <x v="2"/>
  </r>
  <r>
    <n v="19"/>
    <d v="2018-09-07T00:00:00"/>
    <x v="4"/>
    <x v="4"/>
    <x v="0"/>
    <s v="CAJA"/>
    <s v="ALIMENTACION DE EMPLEADOS CTA NUEVA"/>
    <s v="TRANSACCIONES DEL DIA 09/07/2018SPYRAL - GESTION ADMINISTRATIVA"/>
    <n v="8"/>
    <n v="0"/>
    <s v="LOS ANDES"/>
    <x v="2"/>
  </r>
  <r>
    <n v="19"/>
    <d v="2018-09-10T00:00:00"/>
    <x v="4"/>
    <x v="4"/>
    <x v="0"/>
    <s v="CAJA"/>
    <s v="ALIMENTACION DE EMPLEADOS CTA NUEVA"/>
    <s v="TRANSACCIONES DEL DIA 09/10/2018SPYRAL - GESTION ADMINISTRATIVA"/>
    <n v="8"/>
    <n v="0"/>
    <s v="LOS ANDES"/>
    <x v="2"/>
  </r>
  <r>
    <n v="19"/>
    <d v="2018-09-12T00:00:00"/>
    <x v="4"/>
    <x v="4"/>
    <x v="0"/>
    <s v="CAJA"/>
    <s v="ALIMENTACION DE EMPLEADOS CTA NUEVA"/>
    <s v="TRANSACCIONES DEL DIA 09/12/2018SPYRAL - GESTION ADMINISTRATIVA"/>
    <n v="40"/>
    <n v="0"/>
    <s v="LOS ANDES"/>
    <x v="2"/>
  </r>
  <r>
    <n v="19"/>
    <d v="2018-09-17T00:00:00"/>
    <x v="4"/>
    <x v="4"/>
    <x v="0"/>
    <s v="CAJA"/>
    <s v="ALIMENTACION DE EMPLEADOS CTA NUEVA"/>
    <s v="TRANSACCIONES DEL DIA 09/17/2018SPYRAL - GESTION ADMINISTRATIVA"/>
    <n v="56"/>
    <n v="0"/>
    <s v="LOS ANDES"/>
    <x v="2"/>
  </r>
  <r>
    <n v="19"/>
    <d v="2018-09-19T00:00:00"/>
    <x v="4"/>
    <x v="4"/>
    <x v="0"/>
    <s v="CAJA"/>
    <s v="ALIMENTACION DE EMPLEADOS CTA NUEVA"/>
    <s v="TRANSACCIONES DEL DIA 09/19/2018SPYRAL - GESTION ADMINISTRATIVA"/>
    <n v="32"/>
    <n v="0"/>
    <s v="LOS ANDES"/>
    <x v="2"/>
  </r>
  <r>
    <n v="19"/>
    <d v="2018-09-25T00:00:00"/>
    <x v="4"/>
    <x v="4"/>
    <x v="0"/>
    <s v="CAJA"/>
    <s v="ALIMENTACION DE EMPLEADOS CTA NUEVA"/>
    <s v="TRANSACCIONES DEL DIA 09/25/2018SPYRAL - GESTION ADMINISTRATIVA"/>
    <n v="8"/>
    <n v="0"/>
    <s v="LOS ANDES"/>
    <x v="2"/>
  </r>
  <r>
    <n v="19"/>
    <d v="2018-10-02T00:00:00"/>
    <x v="0"/>
    <x v="0"/>
    <x v="0"/>
    <s v="CAJA"/>
    <s v="ALIMENTACION DE EMPLEADOS CTA NUEVA"/>
    <s v="TRANSACCIONES DEL DIA 10/02/2018SPYRAL - GESTION ADMINISTRATIVA"/>
    <n v="24"/>
    <n v="0"/>
    <s v="LOS ANDES"/>
    <x v="2"/>
  </r>
  <r>
    <n v="19"/>
    <d v="2018-10-09T00:00:00"/>
    <x v="0"/>
    <x v="0"/>
    <x v="0"/>
    <s v="CAJA"/>
    <s v="ALIMENTACION DE EMPLEADOS CTA NUEVA"/>
    <s v="TRANSACCIONES DEL DIA 10/09/2018SPYRAL - GESTION ADMINISTRATIVA"/>
    <n v="56"/>
    <n v="0"/>
    <s v="LOS ANDES"/>
    <x v="2"/>
  </r>
  <r>
    <n v="19"/>
    <d v="2018-10-17T00:00:00"/>
    <x v="0"/>
    <x v="0"/>
    <x v="0"/>
    <s v="CAJA"/>
    <s v="ALIMENTACION DE EMPLEADOS CTA NUEVA"/>
    <s v="TRANSACCIONES DEL DIA 10/17/2018SPYRAL - GESTION ADMINISTRATIVA"/>
    <n v="24"/>
    <n v="0"/>
    <s v="LOS ANDES"/>
    <x v="2"/>
  </r>
  <r>
    <n v="19"/>
    <d v="2018-10-18T00:00:00"/>
    <x v="0"/>
    <x v="0"/>
    <x v="0"/>
    <s v="CAJA"/>
    <s v="ALIMENTACION DE EMPLEADOS CTA NUEVA"/>
    <s v="TRANSACCIONES DEL DIA 10/18/2018SPYRAL - GESTION ADMINISTRATIVA"/>
    <n v="64"/>
    <n v="0"/>
    <s v="LOS ANDES"/>
    <x v="2"/>
  </r>
  <r>
    <n v="19"/>
    <d v="2018-10-19T00:00:00"/>
    <x v="0"/>
    <x v="0"/>
    <x v="0"/>
    <s v="CAJA"/>
    <s v="ALIMENTACION DE EMPLEADOS CTA NUEVA"/>
    <s v="TRANSACCIONES DEL DIA 10/19/2018SPYRAL - GESTION ADMINISTRATIVA"/>
    <n v="16"/>
    <n v="0"/>
    <s v="LOS ANDES"/>
    <x v="2"/>
  </r>
  <r>
    <n v="19"/>
    <d v="2018-10-22T00:00:00"/>
    <x v="0"/>
    <x v="0"/>
    <x v="0"/>
    <s v="CAJA"/>
    <s v="ALIMENTACION DE EMPLEADOS CTA NUEVA"/>
    <s v="TRANSACCIONES DEL DIA 10/22/2018SPYRAL - GESTION ADMINISTRATIVA"/>
    <n v="48"/>
    <n v="0"/>
    <s v="LOS ANDES"/>
    <x v="2"/>
  </r>
  <r>
    <n v="19"/>
    <d v="2018-10-26T00:00:00"/>
    <x v="0"/>
    <x v="0"/>
    <x v="0"/>
    <s v="CAJA"/>
    <s v="ALIMENTACION DE EMPLEADOS CTA NUEVA"/>
    <s v="TRANSACCIONES DEL DIA 10/26/2018SPYRAL - GESTION ADMINISTRATIVA"/>
    <n v="16"/>
    <n v="0"/>
    <s v="LOS ANDES"/>
    <x v="2"/>
  </r>
  <r>
    <n v="19"/>
    <d v="2018-10-27T00:00:00"/>
    <x v="0"/>
    <x v="0"/>
    <x v="0"/>
    <s v="CAJA"/>
    <s v="ALIMENTACION DE EMPLEADOS CTA NUEVA"/>
    <s v="TRANSACCIONES DEL DIA 10/27/2018SPYRAL - GESTION ADMINISTRATIVA"/>
    <n v="8"/>
    <n v="0"/>
    <s v="LOS ANDES"/>
    <x v="2"/>
  </r>
  <r>
    <n v="19"/>
    <d v="2018-11-01T00:00:00"/>
    <x v="5"/>
    <x v="5"/>
    <x v="0"/>
    <s v="CAJA"/>
    <s v="ALIMENTACION DE EMPLEADOS CTA NUEVA"/>
    <s v="TRANSACCIONES DEL DIA 11/01/2018SPYRAL - GESTION ADMINISTRATIVA"/>
    <n v="8"/>
    <n v="0"/>
    <s v="LOS ANDES"/>
    <x v="2"/>
  </r>
  <r>
    <n v="19"/>
    <d v="2018-11-06T00:00:00"/>
    <x v="5"/>
    <x v="5"/>
    <x v="0"/>
    <s v="CAJA"/>
    <s v="ALIMENTACION DE EMPLEADOS CTA NUEVA"/>
    <s v="TRANSACCIONES DEL DIA 11/06/2018SPYRAL - GESTION ADMINISTRATIVA"/>
    <n v="88"/>
    <n v="0"/>
    <s v="LOS ANDES"/>
    <x v="2"/>
  </r>
  <r>
    <n v="19"/>
    <d v="2018-11-07T00:00:00"/>
    <x v="5"/>
    <x v="5"/>
    <x v="0"/>
    <s v="CAJA"/>
    <s v="ALIMENTACION DE EMPLEADOS CTA NUEVA"/>
    <s v="TRANSACCIONES DEL DIA 11/07/2018SPYRAL - GESTION ADMINISTRATIVA"/>
    <n v="40"/>
    <n v="0"/>
    <s v="LOS ANDES"/>
    <x v="2"/>
  </r>
  <r>
    <n v="19"/>
    <d v="2018-11-09T00:00:00"/>
    <x v="5"/>
    <x v="5"/>
    <x v="0"/>
    <s v="CAJA"/>
    <s v="ALIMENTACION DE EMPLEADOS CTA NUEVA"/>
    <s v="TRANSACCIONES DEL DIA 11/09/2018SPYRAL - GESTION ADMINISTRATIVA"/>
    <n v="72"/>
    <n v="0"/>
    <s v="LOS ANDES"/>
    <x v="2"/>
  </r>
  <r>
    <n v="19"/>
    <d v="2018-11-12T00:00:00"/>
    <x v="5"/>
    <x v="5"/>
    <x v="0"/>
    <s v="CAJA"/>
    <s v="ALIMENTACION DE EMPLEADOS CTA NUEVA"/>
    <s v="TRANSACCIONES DEL DIA 11/12/2018SPYRAL - GESTION ADMINISTRATIVA"/>
    <n v="16"/>
    <n v="0"/>
    <s v="LOS ANDES"/>
    <x v="2"/>
  </r>
  <r>
    <n v="19"/>
    <d v="2018-11-13T00:00:00"/>
    <x v="5"/>
    <x v="5"/>
    <x v="0"/>
    <s v="CAJA"/>
    <s v="ALIMENTACION DE EMPLEADOS CTA NUEVA"/>
    <s v="TRANSACCIONES DEL DIA 11/13/2018SPYRAL - GESTION ADMINISTRATIVA"/>
    <n v="56"/>
    <n v="0"/>
    <s v="LOS ANDES"/>
    <x v="2"/>
  </r>
  <r>
    <n v="19"/>
    <d v="2018-11-15T00:00:00"/>
    <x v="5"/>
    <x v="5"/>
    <x v="0"/>
    <s v="CAJA"/>
    <s v="ALIMENTACION DE EMPLEADOS CTA NUEVA"/>
    <s v="TRANSACCIONES DEL DIA 11/15/2018SPYRAL - GESTION ADMINISTRATIVA"/>
    <n v="16"/>
    <n v="0"/>
    <s v="LOS ANDES"/>
    <x v="2"/>
  </r>
  <r>
    <n v="19"/>
    <d v="2018-11-16T00:00:00"/>
    <x v="5"/>
    <x v="5"/>
    <x v="0"/>
    <s v="CAJA"/>
    <s v="ALIMENTACION DE EMPLEADOS CTA NUEVA"/>
    <s v="TRANSACCIONES DEL DIA 11/16/2018SPYRAL - GESTION ADMINISTRATIVA"/>
    <n v="24"/>
    <n v="0"/>
    <s v="LOS ANDES"/>
    <x v="2"/>
  </r>
  <r>
    <n v="19"/>
    <d v="2018-11-19T00:00:00"/>
    <x v="5"/>
    <x v="5"/>
    <x v="0"/>
    <s v="CAJA"/>
    <s v="ALIMENTACION DE EMPLEADOS CTA NUEVA"/>
    <s v="TRANSACCIONES DEL DIA 11/19/2018SPYRAL - GESTION ADMINISTRATIVA"/>
    <n v="112"/>
    <n v="0"/>
    <s v="LOS ANDES"/>
    <x v="2"/>
  </r>
  <r>
    <n v="19"/>
    <d v="2018-11-20T00:00:00"/>
    <x v="5"/>
    <x v="5"/>
    <x v="0"/>
    <s v="CAJA"/>
    <s v="ALIMENTACION DE EMPLEADOS CTA NUEVA"/>
    <s v="TRANSACCIONES DEL DIA 11/20/2018SPYRAL - GESTION ADMINISTRATIVA"/>
    <n v="24"/>
    <n v="0"/>
    <s v="LOS ANDES"/>
    <x v="2"/>
  </r>
  <r>
    <n v="19"/>
    <d v="2018-11-26T00:00:00"/>
    <x v="5"/>
    <x v="5"/>
    <x v="0"/>
    <s v="CAJA"/>
    <s v="ALIMENTACION DE EMPLEADOS CTA NUEVA"/>
    <s v="TRANSACCIONES DEL DIA 11/26/2018SPYRAL - GESTION ADMINISTRATIVA"/>
    <n v="48"/>
    <n v="0"/>
    <s v="LOS ANDES"/>
    <x v="2"/>
  </r>
  <r>
    <n v="19"/>
    <d v="2018-11-27T00:00:00"/>
    <x v="5"/>
    <x v="5"/>
    <x v="0"/>
    <s v="CAJA"/>
    <s v="ALIMENTACION DE EMPLEADOS CTA NUEVA"/>
    <s v="TRANSACCIONES DEL DIA 11/27/2018SPYRAL - GESTION ADMINISTRATIVA"/>
    <n v="8"/>
    <n v="0"/>
    <s v="LOS ANDES"/>
    <x v="2"/>
  </r>
  <r>
    <n v="19"/>
    <d v="2018-11-29T00:00:00"/>
    <x v="5"/>
    <x v="5"/>
    <x v="0"/>
    <s v="CAJA"/>
    <s v="ALIMENTACION DE EMPLEADOS CTA NUEVA"/>
    <s v="TRANSACCIONES DEL DIA 11/29/2018SPYRAL - GESTION ADMINISTRATIVA"/>
    <n v="32"/>
    <n v="0"/>
    <s v="LOS ANDES"/>
    <x v="2"/>
  </r>
  <r>
    <n v="19"/>
    <d v="2018-12-04T00:00:00"/>
    <x v="1"/>
    <x v="1"/>
    <x v="0"/>
    <s v="CAJA"/>
    <s v="ALIMENTACION DE EMPLEADOS CTA NUEVA"/>
    <s v="TRANSACCIONES DEL DIA 12/04/2018SPYRAL - GESTION ADMINISTRATIVA"/>
    <n v="40"/>
    <n v="0"/>
    <s v="LOS ANDES"/>
    <x v="2"/>
  </r>
  <r>
    <n v="19"/>
    <d v="2018-12-05T00:00:00"/>
    <x v="1"/>
    <x v="1"/>
    <x v="0"/>
    <s v="CAJA"/>
    <s v="ALIMENTACION DE EMPLEADOS CTA NUEVA"/>
    <s v="TRANSACCIONES DEL DIA 12/05/2018SPYRAL - GESTION ADMINISTRATIVA"/>
    <n v="40"/>
    <n v="0"/>
    <s v="LOS ANDES"/>
    <x v="2"/>
  </r>
  <r>
    <n v="19"/>
    <d v="2018-12-06T00:00:00"/>
    <x v="1"/>
    <x v="1"/>
    <x v="0"/>
    <s v="CAJA"/>
    <s v="ALIMENTACION DE EMPLEADOS CTA NUEVA"/>
    <s v="TRANSACCIONES DEL DIA 12/06/2018SPYRAL - GESTION ADMINISTRATIVA"/>
    <n v="64"/>
    <n v="0"/>
    <s v="LOS ANDES"/>
    <x v="2"/>
  </r>
  <r>
    <n v="19"/>
    <d v="2018-12-11T00:00:00"/>
    <x v="1"/>
    <x v="1"/>
    <x v="0"/>
    <s v="CAJA"/>
    <s v="ALIMENTACION DE EMPLEADOS CTA NUEVA"/>
    <s v="TRANSACCIONES DEL DIA 12/11/2018SPYRAL - GESTION ADMINISTRATIVA"/>
    <n v="40"/>
    <n v="0"/>
    <s v="LOS ANDES"/>
    <x v="2"/>
  </r>
  <r>
    <n v="19"/>
    <d v="2018-12-12T00:00:00"/>
    <x v="1"/>
    <x v="1"/>
    <x v="0"/>
    <s v="CAJA"/>
    <s v="ALIMENTACION DE EMPLEADOS CTA NUEVA"/>
    <s v="TRANSACCIONES DEL DIA 12/12/2018SPYRAL - GESTION ADMINISTRATIVA"/>
    <n v="40"/>
    <n v="0"/>
    <s v="LOS ANDES"/>
    <x v="2"/>
  </r>
  <r>
    <n v="19"/>
    <d v="2018-12-13T00:00:00"/>
    <x v="1"/>
    <x v="1"/>
    <x v="0"/>
    <s v="CAJA"/>
    <s v="ALIMENTACION DE EMPLEADOS CTA NUEVA"/>
    <s v="TRANSACCIONES DEL DIA 12/13/2018SPYRAL - GESTION ADMINISTRATIVA"/>
    <n v="32"/>
    <n v="0"/>
    <s v="LOS ANDES"/>
    <x v="2"/>
  </r>
  <r>
    <n v="19"/>
    <d v="2018-12-14T00:00:00"/>
    <x v="1"/>
    <x v="1"/>
    <x v="0"/>
    <s v="CAJA"/>
    <s v="ALIMENTACION DE EMPLEADOS CTA NUEVA"/>
    <s v="TRANSACCIONES DEL DIA 12/14/2018SPYRAL - GESTION ADMINISTRATIVA"/>
    <n v="24"/>
    <n v="0"/>
    <s v="LOS ANDES"/>
    <x v="2"/>
  </r>
  <r>
    <n v="19"/>
    <d v="2018-12-19T00:00:00"/>
    <x v="1"/>
    <x v="1"/>
    <x v="0"/>
    <s v="CAJA"/>
    <s v="ALIMENTACION DE EMPLEADOS CTA NUEVA"/>
    <s v="TRANSACCIONES DEL DIA 12/19/2018SPYRAL - GESTION ADMINISTRATIVA"/>
    <n v="72"/>
    <n v="0"/>
    <s v="LOS ANDES"/>
    <x v="2"/>
  </r>
  <r>
    <n v="19"/>
    <d v="2018-12-20T00:00:00"/>
    <x v="1"/>
    <x v="1"/>
    <x v="0"/>
    <s v="CAJA"/>
    <s v="ALIMENTACION DE EMPLEADOS CTA NUEVA"/>
    <s v="TRANSACCIONES DEL DIA 12/20/2018SPYRAL - GESTION ADMINISTRATIVA"/>
    <n v="56"/>
    <n v="0"/>
    <s v="LOS ANDES"/>
    <x v="2"/>
  </r>
  <r>
    <n v="19"/>
    <d v="2018-12-24T00:00:00"/>
    <x v="1"/>
    <x v="1"/>
    <x v="0"/>
    <s v="CAJA"/>
    <s v="ALIMENTACION DE EMPLEADOS CTA NUEVA"/>
    <s v="TRANSACCIONES DEL DIA 12/24/2018SPYRAL - GESTION ADMINISTRATIVA"/>
    <n v="16"/>
    <n v="0"/>
    <s v="LOS ANDES"/>
    <x v="2"/>
  </r>
  <r>
    <n v="19"/>
    <d v="2018-12-27T00:00:00"/>
    <x v="1"/>
    <x v="1"/>
    <x v="0"/>
    <s v="CAJA"/>
    <s v="ALIMENTACION DE EMPLEADOS CTA NUEVA"/>
    <s v="TRANSACCIONES DEL DIA 12/27/2018SPYRAL - GESTION ADMINISTRATIVA"/>
    <n v="40"/>
    <n v="0"/>
    <s v="LOS ANDES"/>
    <x v="2"/>
  </r>
  <r>
    <n v="19"/>
    <d v="2018-12-28T00:00:00"/>
    <x v="1"/>
    <x v="1"/>
    <x v="0"/>
    <s v="CAJA"/>
    <s v="ALIMENTACION DE EMPLEADOS CTA NUEVA"/>
    <s v="TRANSACCIONES DEL DIA 12/28/2018SPYRAL - GESTION ADMINISTRATIVA"/>
    <n v="72"/>
    <n v="0"/>
    <s v="LOS ANDES"/>
    <x v="2"/>
  </r>
  <r>
    <n v="19"/>
    <d v="2018-12-31T00:00:00"/>
    <x v="1"/>
    <x v="1"/>
    <x v="0"/>
    <s v="CAJA"/>
    <s v="CIERRE DE ANIO FISCAL"/>
    <s v="CIERRE_DE_CTAS_NOMINALES"/>
    <n v="0"/>
    <n v="4232"/>
    <s v="LOS ANDES"/>
    <x v="2"/>
  </r>
  <r>
    <n v="19"/>
    <d v="2018-06-01T00:00:00"/>
    <x v="2"/>
    <x v="2"/>
    <x v="0"/>
    <s v="SERVICIOS PERSONALES"/>
    <s v="ALIMENTACION DE EMPLEADOS CTA NUEVA"/>
    <s v="TRANSACCIONES DEL DIA 06/01/2018SPYRAL - GESTION ADMINISTRATIVA"/>
    <n v="16"/>
    <n v="0"/>
    <s v="LOS ANDES"/>
    <x v="2"/>
  </r>
  <r>
    <n v="19"/>
    <d v="2018-06-14T00:00:00"/>
    <x v="2"/>
    <x v="2"/>
    <x v="0"/>
    <s v="SERVICIOS PERSONALES"/>
    <s v="ALIMENTACION DE EMPLEADOS CTA NUEVA"/>
    <s v="TRANSACCIONES DEL DIA 06/14/2018SPYRAL - GESTION ADMINISTRATIVA"/>
    <n v="16"/>
    <n v="0"/>
    <s v="LOS ANDES"/>
    <x v="2"/>
  </r>
  <r>
    <n v="19"/>
    <d v="2018-06-15T00:00:00"/>
    <x v="2"/>
    <x v="2"/>
    <x v="0"/>
    <s v="SERVICIOS PERSONALES"/>
    <s v="ALIMENTACION DE EMPLEADOS CTA NUEVA"/>
    <s v="TRANSACCIONES DEL DIA 06/15/2018SPYRAL - GESTION ADMINISTRATIVA"/>
    <n v="16"/>
    <n v="0"/>
    <s v="LOS ANDES"/>
    <x v="2"/>
  </r>
  <r>
    <n v="19"/>
    <d v="2018-06-21T00:00:00"/>
    <x v="2"/>
    <x v="2"/>
    <x v="0"/>
    <s v="SERVICIOS PERSONALES"/>
    <s v="ALIMENTACION DE EMPLEADOS CTA NUEVA"/>
    <s v="TRANSACCIONES DEL DIA 06/21/2018SPYRAL - GESTION ADMINISTRATIVA"/>
    <n v="16"/>
    <n v="0"/>
    <s v="LOS ANDES"/>
    <x v="2"/>
  </r>
  <r>
    <n v="19"/>
    <d v="2018-09-25T00:00:00"/>
    <x v="4"/>
    <x v="4"/>
    <x v="0"/>
    <s v="SERVICIOS PERSONALES"/>
    <s v="ALIMENTACION DE EMPLEADOS CTA NUEVA"/>
    <s v="TRANSACCIONES DEL DIA 09/25/2018SPYRAL - GESTION ADMINISTRATIVA"/>
    <n v="8"/>
    <n v="0"/>
    <s v="LOS ANDES"/>
    <x v="2"/>
  </r>
  <r>
    <n v="19"/>
    <d v="2018-11-06T00:00:00"/>
    <x v="5"/>
    <x v="5"/>
    <x v="0"/>
    <s v="SERVICIOS PERSONALES"/>
    <s v="ALIMENTACION DE EMPLEADOS CTA NUEVA"/>
    <s v="TRANSACCIONES DEL DIA 11/06/2018SPYRAL - GESTION ADMINISTRATIVA"/>
    <n v="8"/>
    <n v="0"/>
    <s v="LOS ANDES"/>
    <x v="2"/>
  </r>
  <r>
    <n v="19"/>
    <d v="2018-12-19T00:00:00"/>
    <x v="1"/>
    <x v="1"/>
    <x v="0"/>
    <s v="SERVICIOS PERSONALES"/>
    <s v="ALIMENTACION DE EMPLEADOS CTA NUEVA"/>
    <s v="TRANSACCIONES DEL DIA 12/19/2018SPYRAL - GESTION ADMINISTRATIVA"/>
    <n v="8"/>
    <n v="0"/>
    <s v="LOS ANDES"/>
    <x v="2"/>
  </r>
  <r>
    <n v="19"/>
    <d v="2018-12-20T00:00:00"/>
    <x v="1"/>
    <x v="1"/>
    <x v="0"/>
    <s v="SERVICIOS PERSONALES"/>
    <s v="ALIMENTACION DE EMPLEADOS CTA NUEVA"/>
    <s v="TRANSACCIONES DEL DIA 12/20/2018SPYRAL - GESTION ADMINISTRATIVA"/>
    <n v="8"/>
    <n v="0"/>
    <s v="LOS ANDES"/>
    <x v="2"/>
  </r>
  <r>
    <n v="19"/>
    <d v="2018-12-24T00:00:00"/>
    <x v="1"/>
    <x v="1"/>
    <x v="0"/>
    <s v="SERVICIOS PERSONALES"/>
    <s v="ALIMENTACION DE EMPLEADOS CTA NUEVA"/>
    <s v="TRANSACCIONES DEL DIA 12/24/2018SPYRAL - GESTION ADMINISTRATIVA"/>
    <n v="8"/>
    <n v="0"/>
    <s v="LOS ANDES"/>
    <x v="2"/>
  </r>
  <r>
    <n v="19"/>
    <d v="2018-12-27T00:00:00"/>
    <x v="1"/>
    <x v="1"/>
    <x v="0"/>
    <s v="SERVICIOS PERSONALES"/>
    <s v="ALIMENTACION DE EMPLEADOS CTA NUEVA"/>
    <s v="TRANSACCIONES DEL DIA 12/27/2018SPYRAL - GESTION ADMINISTRATIVA"/>
    <n v="8"/>
    <n v="0"/>
    <s v="LOS ANDES"/>
    <x v="2"/>
  </r>
  <r>
    <n v="19"/>
    <d v="2018-12-31T00:00:00"/>
    <x v="1"/>
    <x v="1"/>
    <x v="0"/>
    <s v="SERVICIOS PERSONALES"/>
    <s v="CIERRE DE ANIO FISCAL"/>
    <s v="CIERRE_DE_CTAS_NOMINALES"/>
    <n v="0"/>
    <n v="128"/>
    <s v="LOS ANDES"/>
    <x v="2"/>
  </r>
  <r>
    <n v="21"/>
    <d v="2018-10-08T00:00:00"/>
    <x v="0"/>
    <x v="0"/>
    <x v="0"/>
    <s v="ADMINISTRACION DE SUCURSALES"/>
    <s v="ALIMENTACION DE EMPLEADOS CTA NUEVA"/>
    <s v="TRANSACCIONES DEL DIA 10/08/2018SPYRAL - GESTION ADMINISTRATIVA"/>
    <n v="51.45"/>
    <n v="0"/>
    <s v="AVENIDA CUBA"/>
    <x v="2"/>
  </r>
  <r>
    <n v="21"/>
    <d v="2018-12-31T00:00:00"/>
    <x v="1"/>
    <x v="1"/>
    <x v="0"/>
    <s v="ADMINISTRACION DE SUCURSALES"/>
    <s v="CIERRE DE ANIO FISCAL"/>
    <s v="CIERRE_DE_CTAS_NOMINALES"/>
    <n v="0"/>
    <n v="51.45"/>
    <s v="AVENIDA CUBA"/>
    <x v="2"/>
  </r>
  <r>
    <n v="21"/>
    <d v="2018-09-20T00:00:00"/>
    <x v="4"/>
    <x v="4"/>
    <x v="0"/>
    <s v="SERVICIOS PERSONALES"/>
    <s v="ALIMENTACION DE EMPLEADOS CTA NUEVA"/>
    <s v="TRANSACCIONES DEL DIA 09/20/2018SPYRAL - GESTION ADMINISTRATIVA"/>
    <n v="8"/>
    <n v="0"/>
    <s v="AVENIDA CUBA"/>
    <x v="2"/>
  </r>
  <r>
    <n v="21"/>
    <d v="2018-12-31T00:00:00"/>
    <x v="1"/>
    <x v="1"/>
    <x v="0"/>
    <s v="SERVICIOS PERSONALES"/>
    <s v="CIERRE DE ANIO FISCAL"/>
    <s v="CIERRE_DE_CTAS_NOMINALES"/>
    <n v="0"/>
    <n v="8"/>
    <s v="AVENIDA CUBA"/>
    <x v="2"/>
  </r>
  <r>
    <n v="22"/>
    <d v="2018-07-23T00:00:00"/>
    <x v="6"/>
    <x v="6"/>
    <x v="0"/>
    <s v="ADMINISTRACION DE SUCURSALES"/>
    <s v="ALIMENTACION DE EMPLEADOS CTA NUEVA"/>
    <s v="TRANSACCIONES DEL DIA 07/23/2018SPYRAL - GESTION ADMINISTRATIVA"/>
    <n v="8"/>
    <n v="0"/>
    <s v="CHITRE"/>
    <x v="2"/>
  </r>
  <r>
    <n v="22"/>
    <d v="2018-10-19T00:00:00"/>
    <x v="0"/>
    <x v="0"/>
    <x v="0"/>
    <s v="ADMINISTRACION DE SUCURSALES"/>
    <s v="ALIMENTACION DE EMPLEADOS CTA NUEVA"/>
    <s v="TRANSACCIONES DEL DIA 10/19/2018SPYRAL - GESTION ADMINISTRATIVA"/>
    <n v="8"/>
    <n v="0"/>
    <s v="CHITRE"/>
    <x v="2"/>
  </r>
  <r>
    <n v="22"/>
    <d v="2018-12-01T00:00:00"/>
    <x v="1"/>
    <x v="1"/>
    <x v="0"/>
    <s v="ADMINISTRACION DE SUCURSALES"/>
    <s v="NC ALIMENTACION DE EMPLEADOS NVA"/>
    <s v="TRANSACCIONES DEL DIA 12/01/2018SPYRAL - GESTION ADMINISTRATIVA"/>
    <n v="23.99"/>
    <n v="0"/>
    <s v="CHITRE"/>
    <x v="2"/>
  </r>
  <r>
    <n v="22"/>
    <d v="2018-12-31T00:00:00"/>
    <x v="1"/>
    <x v="1"/>
    <x v="0"/>
    <s v="ADMINISTRACION DE SUCURSALES"/>
    <s v="CIERRE DE ANIO FISCAL"/>
    <s v="CIERRE_DE_CTAS_NOMINALES"/>
    <n v="0"/>
    <n v="63.97"/>
    <s v="CHITRE"/>
    <x v="2"/>
  </r>
  <r>
    <n v="22"/>
    <d v="2018-07-23T00:00:00"/>
    <x v="6"/>
    <x v="6"/>
    <x v="0"/>
    <s v="CAJA"/>
    <s v="ALIMENTACION DE EMPLEADOS CTA NUEVA"/>
    <s v="TRANSACCIONES DEL DIA 07/23/2018SPYRAL - GESTION ADMINISTRATIVA"/>
    <n v="8"/>
    <n v="0"/>
    <s v="CHITRE"/>
    <x v="2"/>
  </r>
  <r>
    <n v="22"/>
    <d v="2018-09-07T00:00:00"/>
    <x v="4"/>
    <x v="4"/>
    <x v="0"/>
    <s v="CAJA"/>
    <s v="ALIMENTACION DE EMPLEADOS CTA NUEVA"/>
    <s v="TRANSACCIONES DEL DIA 09/07/2018SPYRAL - GESTION ADMINISTRATIVA"/>
    <n v="8"/>
    <n v="0"/>
    <s v="CHITRE"/>
    <x v="2"/>
  </r>
  <r>
    <n v="22"/>
    <d v="2018-10-19T00:00:00"/>
    <x v="0"/>
    <x v="0"/>
    <x v="0"/>
    <s v="CAJA"/>
    <s v="ALIMENTACION DE EMPLEADOS CTA NUEVA"/>
    <s v="TRANSACCIONES DEL DIA 10/19/2018SPYRAL - GESTION ADMINISTRATIVA"/>
    <n v="32"/>
    <n v="0"/>
    <s v="CHITRE"/>
    <x v="2"/>
  </r>
  <r>
    <n v="22"/>
    <d v="2018-12-31T00:00:00"/>
    <x v="1"/>
    <x v="1"/>
    <x v="0"/>
    <s v="CAJA"/>
    <s v="CIERRE DE ANIO FISCAL"/>
    <s v="CIERRE_DE_CTAS_NOMINALES"/>
    <n v="0"/>
    <n v="48"/>
    <s v="CHITRE"/>
    <x v="2"/>
  </r>
  <r>
    <n v="23"/>
    <d v="2018-12-17T00:00:00"/>
    <x v="1"/>
    <x v="1"/>
    <x v="0"/>
    <s v="ADMINISTRACION DE SUCURSALES"/>
    <s v="ALIMENTACION DE EMPLEADOS CTA NUEVA"/>
    <s v="TRANSACCIONES DEL DIA 12/17/2018SPYRAL - GESTION ADMINISTRATIVA"/>
    <n v="8"/>
    <n v="0"/>
    <s v="LOS PUEBLOS"/>
    <x v="2"/>
  </r>
  <r>
    <n v="23"/>
    <d v="2018-12-31T00:00:00"/>
    <x v="1"/>
    <x v="1"/>
    <x v="0"/>
    <s v="ADMINISTRACION DE SUCURSALES"/>
    <s v="CIERRE DE ANIO FISCAL"/>
    <s v="CIERRE_DE_CTAS_NOMINALES"/>
    <n v="0"/>
    <n v="8"/>
    <s v="LOS PUEBLOS"/>
    <x v="2"/>
  </r>
  <r>
    <n v="23"/>
    <d v="2018-06-06T00:00:00"/>
    <x v="2"/>
    <x v="2"/>
    <x v="0"/>
    <s v="CAJA"/>
    <s v="ALIMENTACION DE EMPLEADOS CTA NUEVA"/>
    <s v="TRANSACCIONES DEL DIA 06/06/2018SPYRAL - GESTION ADMINISTRATIVA"/>
    <n v="24"/>
    <n v="0"/>
    <s v="LOS PUEBLOS"/>
    <x v="2"/>
  </r>
  <r>
    <n v="23"/>
    <d v="2018-06-15T00:00:00"/>
    <x v="2"/>
    <x v="2"/>
    <x v="0"/>
    <s v="CAJA"/>
    <s v="ALIMENTACION DE EMPLEADOS CTA NUEVA"/>
    <s v="TRANSACCIONES DEL DIA 06/15/2018SPYRAL - GESTION ADMINISTRATIVA"/>
    <n v="8"/>
    <n v="0"/>
    <s v="LOS PUEBLOS"/>
    <x v="2"/>
  </r>
  <r>
    <n v="23"/>
    <d v="2018-06-21T00:00:00"/>
    <x v="2"/>
    <x v="2"/>
    <x v="0"/>
    <s v="CAJA"/>
    <s v="ALIMENTACION DE EMPLEADOS CTA NUEVA"/>
    <s v="TRANSACCIONES DEL DIA 06/21/2018SPYRAL - GESTION ADMINISTRATIVA"/>
    <n v="16"/>
    <n v="0"/>
    <s v="LOS PUEBLOS"/>
    <x v="2"/>
  </r>
  <r>
    <n v="23"/>
    <d v="2018-07-06T00:00:00"/>
    <x v="6"/>
    <x v="6"/>
    <x v="0"/>
    <s v="CAJA"/>
    <s v="ALIMENTACION DE EMPLEADOS CTA NUEVA"/>
    <s v="TRANSACCIONES DEL DIA 07/06/2018SPYRAL - GESTION ADMINISTRATIVA"/>
    <n v="16"/>
    <n v="0"/>
    <s v="LOS PUEBLOS"/>
    <x v="2"/>
  </r>
  <r>
    <n v="23"/>
    <d v="2018-08-07T00:00:00"/>
    <x v="3"/>
    <x v="3"/>
    <x v="0"/>
    <s v="CAJA"/>
    <s v="ALIMENTACION DE EMPLEADOS CTA NUEVA"/>
    <s v="TRANSACCIONES DEL DIA 08/07/2018SPYRAL - GESTION ADMINISTRATIVA"/>
    <n v="16"/>
    <n v="0"/>
    <s v="LOS PUEBLOS"/>
    <x v="2"/>
  </r>
  <r>
    <n v="23"/>
    <d v="2018-08-24T00:00:00"/>
    <x v="3"/>
    <x v="3"/>
    <x v="0"/>
    <s v="CAJA"/>
    <s v="ALIMENTACION DE EMPLEADOS CTA NUEVA"/>
    <s v="TRANSACCIONES DEL DIA 08/24/2018SPYRAL - GESTION ADMINISTRATIVA"/>
    <n v="64"/>
    <n v="0"/>
    <s v="LOS PUEBLOS"/>
    <x v="2"/>
  </r>
  <r>
    <n v="23"/>
    <d v="2018-09-06T00:00:00"/>
    <x v="4"/>
    <x v="4"/>
    <x v="0"/>
    <s v="CAJA"/>
    <s v="ALIMENTACION DE EMPLEADOS CTA NUEVA"/>
    <s v="TRANSACCIONES DEL DIA 09/06/2018SPYRAL - GESTION ADMINISTRATIVA"/>
    <n v="64"/>
    <n v="0"/>
    <s v="LOS PUEBLOS"/>
    <x v="2"/>
  </r>
  <r>
    <n v="23"/>
    <d v="2018-09-11T00:00:00"/>
    <x v="4"/>
    <x v="4"/>
    <x v="0"/>
    <s v="CAJA"/>
    <s v="ALIMENTACION DE EMPLEADOS CTA NUEVA"/>
    <s v="TRANSACCIONES DEL DIA 09/11/2018SPYRAL - GESTION ADMINISTRATIVA"/>
    <n v="24"/>
    <n v="0"/>
    <s v="LOS PUEBLOS"/>
    <x v="2"/>
  </r>
  <r>
    <n v="23"/>
    <d v="2018-09-21T00:00:00"/>
    <x v="4"/>
    <x v="4"/>
    <x v="0"/>
    <s v="CAJA"/>
    <s v="ALIMENTACION DE EMPLEADOS CTA NUEVA"/>
    <s v="TRANSACCIONES DEL DIA 09/21/2018SPYRAL - GESTION ADMINISTRATIVA"/>
    <n v="16"/>
    <n v="0"/>
    <s v="LOS PUEBLOS"/>
    <x v="2"/>
  </r>
  <r>
    <n v="23"/>
    <d v="2018-10-04T00:00:00"/>
    <x v="0"/>
    <x v="0"/>
    <x v="0"/>
    <s v="CAJA"/>
    <s v="ALIMENTACION DE EMPLEADOS CTA NUEVA"/>
    <s v="TRANSACCIONES DEL DIA 10/04/2018SPYRAL - GESTION ADMINISTRATIVA"/>
    <n v="24"/>
    <n v="0"/>
    <s v="LOS PUEBLOS"/>
    <x v="2"/>
  </r>
  <r>
    <n v="23"/>
    <d v="2018-10-18T00:00:00"/>
    <x v="0"/>
    <x v="0"/>
    <x v="0"/>
    <s v="CAJA"/>
    <s v="ALIMENTACION DE EMPLEADOS CTA NUEVA"/>
    <s v="TRANSACCIONES DEL DIA 10/18/2018SPYRAL - GESTION ADMINISTRATIVA"/>
    <n v="32"/>
    <n v="0"/>
    <s v="LOS PUEBLOS"/>
    <x v="2"/>
  </r>
  <r>
    <n v="23"/>
    <d v="2018-11-06T00:00:00"/>
    <x v="5"/>
    <x v="5"/>
    <x v="0"/>
    <s v="CAJA"/>
    <s v="ALIMENTACION DE EMPLEADOS CTA NUEVA"/>
    <s v="TRANSACCIONES DEL DIA 11/06/2018SPYRAL - GESTION ADMINISTRATIVA"/>
    <n v="16"/>
    <n v="0"/>
    <s v="LOS PUEBLOS"/>
    <x v="2"/>
  </r>
  <r>
    <n v="23"/>
    <d v="2018-11-09T00:00:00"/>
    <x v="5"/>
    <x v="5"/>
    <x v="0"/>
    <s v="CAJA"/>
    <s v="ALIMENTACION DE EMPLEADOS CTA NUEVA"/>
    <s v="TRANSACCIONES DEL DIA 11/09/2018SPYRAL - GESTION ADMINISTRATIVA"/>
    <n v="48"/>
    <n v="0"/>
    <s v="LOS PUEBLOS"/>
    <x v="2"/>
  </r>
  <r>
    <n v="23"/>
    <d v="2018-11-13T00:00:00"/>
    <x v="5"/>
    <x v="5"/>
    <x v="0"/>
    <s v="CAJA"/>
    <s v="ALIMENTACION DE EMPLEADOS CTA NUEVA"/>
    <s v="TRANSACCIONES DEL DIA 11/13/2018SPYRAL - GESTION ADMINISTRATIVA"/>
    <n v="8"/>
    <n v="0"/>
    <s v="LOS PUEBLOS"/>
    <x v="2"/>
  </r>
  <r>
    <n v="23"/>
    <d v="2018-11-14T00:00:00"/>
    <x v="5"/>
    <x v="5"/>
    <x v="0"/>
    <s v="CAJA"/>
    <s v="ALIMENTACION DE EMPLEADOS CTA NUEVA"/>
    <s v="TRANSACCIONES DEL DIA 11/14/2018SPYRAL - GESTION ADMINISTRATIVA"/>
    <n v="16"/>
    <n v="0"/>
    <s v="LOS PUEBLOS"/>
    <x v="2"/>
  </r>
  <r>
    <n v="23"/>
    <d v="2018-11-20T00:00:00"/>
    <x v="5"/>
    <x v="5"/>
    <x v="0"/>
    <s v="CAJA"/>
    <s v="ALIMENTACION DE EMPLEADOS CTA NUEVA"/>
    <s v="TRANSACCIONES DEL DIA 11/20/2018SPYRAL - GESTION ADMINISTRATIVA"/>
    <n v="8"/>
    <n v="0"/>
    <s v="LOS PUEBLOS"/>
    <x v="2"/>
  </r>
  <r>
    <n v="23"/>
    <d v="2018-11-30T00:00:00"/>
    <x v="5"/>
    <x v="5"/>
    <x v="0"/>
    <s v="CAJA"/>
    <s v="ALIMENTACION DE EMPLEADOS CTA NUEVA"/>
    <s v="TRANSACCIONES DEL DIA 11/30/2018SPYRAL - GESTION ADMINISTRATIVA"/>
    <n v="8"/>
    <n v="0"/>
    <s v="LOS PUEBLOS"/>
    <x v="2"/>
  </r>
  <r>
    <n v="23"/>
    <d v="2018-12-05T00:00:00"/>
    <x v="1"/>
    <x v="1"/>
    <x v="0"/>
    <s v="CAJA"/>
    <s v="ALIMENTACION DE EMPLEADOS CTA NUEVA"/>
    <s v="TRANSACCIONES DEL DIA 12/05/2018SPYRAL - GESTION ADMINISTRATIVA"/>
    <n v="16"/>
    <n v="0"/>
    <s v="LOS PUEBLOS"/>
    <x v="2"/>
  </r>
  <r>
    <n v="23"/>
    <d v="2018-12-06T00:00:00"/>
    <x v="1"/>
    <x v="1"/>
    <x v="0"/>
    <s v="CAJA"/>
    <s v="ALIMENTACION DE EMPLEADOS CTA NUEVA"/>
    <s v="TRANSACCIONES DEL DIA 12/06/2018SPYRAL - GESTION ADMINISTRATIVA"/>
    <n v="24"/>
    <n v="0"/>
    <s v="LOS PUEBLOS"/>
    <x v="2"/>
  </r>
  <r>
    <n v="23"/>
    <d v="2018-12-17T00:00:00"/>
    <x v="1"/>
    <x v="1"/>
    <x v="0"/>
    <s v="CAJA"/>
    <s v="ALIMENTACION DE EMPLEADOS CTA NUEVA"/>
    <s v="TRANSACCIONES DEL DIA 12/17/2018SPYRAL - GESTION ADMINISTRATIVA"/>
    <n v="8"/>
    <n v="0"/>
    <s v="LOS PUEBLOS"/>
    <x v="2"/>
  </r>
  <r>
    <n v="23"/>
    <d v="2018-12-19T00:00:00"/>
    <x v="1"/>
    <x v="1"/>
    <x v="0"/>
    <s v="CAJA"/>
    <s v="ALIMENTACION DE EMPLEADOS CTA NUEVA"/>
    <s v="TRANSACCIONES DEL DIA 12/19/2018SPYRAL - GESTION ADMINISTRATIVA"/>
    <n v="16"/>
    <n v="0"/>
    <s v="LOS PUEBLOS"/>
    <x v="2"/>
  </r>
  <r>
    <n v="23"/>
    <d v="2018-12-31T00:00:00"/>
    <x v="1"/>
    <x v="1"/>
    <x v="0"/>
    <s v="CAJA"/>
    <s v="CIERRE DE ANIO FISCAL"/>
    <s v="CIERRE_DE_CTAS_NOMINALES"/>
    <n v="0"/>
    <n v="592"/>
    <s v="LOS PUEBLOS"/>
    <x v="2"/>
  </r>
  <r>
    <n v="23"/>
    <d v="2018-09-17T00:00:00"/>
    <x v="4"/>
    <x v="4"/>
    <x v="0"/>
    <s v="SERVICIOS PERSONALES"/>
    <s v="ALIMENTACION DE EMPLEADOS CTA NUEVA"/>
    <s v="TRANSACCIONES DEL DIA 09/17/2018SPYRAL - GESTION ADMINISTRATIVA"/>
    <n v="8"/>
    <n v="0"/>
    <s v="LOS PUEBLOS"/>
    <x v="2"/>
  </r>
  <r>
    <n v="23"/>
    <d v="2018-10-02T00:00:00"/>
    <x v="0"/>
    <x v="0"/>
    <x v="0"/>
    <s v="SERVICIOS PERSONALES"/>
    <s v="ALIMENTACION DE EMPLEADOS CTA NUEVA"/>
    <s v="TRANSACCIONES DEL DIA 10/02/2018SPYRAL - GESTION ADMINISTRATIVA"/>
    <n v="40"/>
    <n v="0"/>
    <s v="LOS PUEBLOS"/>
    <x v="2"/>
  </r>
  <r>
    <n v="23"/>
    <d v="2018-12-17T00:00:00"/>
    <x v="1"/>
    <x v="1"/>
    <x v="0"/>
    <s v="SERVICIOS PERSONALES"/>
    <s v="ALIMENTACION DE EMPLEADOS CTA NUEVA"/>
    <s v="TRANSACCIONES DEL DIA 12/17/2018SPYRAL - GESTION ADMINISTRATIVA"/>
    <n v="8"/>
    <n v="0"/>
    <s v="LOS PUEBLOS"/>
    <x v="2"/>
  </r>
  <r>
    <n v="23"/>
    <d v="2018-12-31T00:00:00"/>
    <x v="1"/>
    <x v="1"/>
    <x v="0"/>
    <s v="SERVICIOS PERSONALES"/>
    <s v="CIERRE DE ANIO FISCAL"/>
    <s v="CIERRE_DE_CTAS_NOMINALES"/>
    <n v="0"/>
    <n v="80"/>
    <s v="LOS PUEBLOS"/>
    <x v="2"/>
  </r>
  <r>
    <n v="26"/>
    <d v="2018-10-02T00:00:00"/>
    <x v="0"/>
    <x v="0"/>
    <x v="0"/>
    <s v="ADMINISTRACION DE SUCURSALES"/>
    <s v="ALIMENTACION DE EMPLEADOS CTA NUEVA"/>
    <s v="TRANSACCIONES DEL DIA 10/02/2018SPYRAL - GESTION ADMINISTRATIVA"/>
    <n v="8"/>
    <n v="0"/>
    <s v="TRANSISTMICA"/>
    <x v="2"/>
  </r>
  <r>
    <n v="26"/>
    <d v="2018-12-31T00:00:00"/>
    <x v="1"/>
    <x v="1"/>
    <x v="0"/>
    <s v="ADMINISTRACION DE SUCURSALES"/>
    <s v="CIERRE DE ANIO FISCAL"/>
    <s v="CIERRE_DE_CTAS_NOMINALES"/>
    <n v="0"/>
    <n v="8"/>
    <s v="TRANSISTMICA"/>
    <x v="2"/>
  </r>
  <r>
    <n v="26"/>
    <d v="2018-06-13T00:00:00"/>
    <x v="2"/>
    <x v="2"/>
    <x v="0"/>
    <s v="CAJA"/>
    <s v="ALIMENTACION DE EMPLEADOS CTA NUEVA"/>
    <s v="TRANSACCIONES DEL DIA 06/13/2018SPYRAL - GESTION ADMINISTRATIVA"/>
    <n v="64"/>
    <n v="0"/>
    <s v="TRANSISTMICA"/>
    <x v="2"/>
  </r>
  <r>
    <n v="26"/>
    <d v="2018-06-27T00:00:00"/>
    <x v="2"/>
    <x v="2"/>
    <x v="0"/>
    <s v="CAJA"/>
    <s v="ALIMENTACION DE EMPLEADOS CTA NUEVA"/>
    <s v="TRANSACCIONES DEL DIA 06/27/2018SPYRAL - GESTION ADMINISTRATIVA"/>
    <n v="112"/>
    <n v="0"/>
    <s v="TRANSISTMICA"/>
    <x v="2"/>
  </r>
  <r>
    <n v="26"/>
    <d v="2018-07-09T00:00:00"/>
    <x v="6"/>
    <x v="6"/>
    <x v="0"/>
    <s v="CAJA"/>
    <s v="ALIMENTACION DE EMPLEADOS CTA NUEVA"/>
    <s v="TRANSACCIONES DEL DIA 07/09/2018SPYRAL - GESTION ADMINISTRATIVA"/>
    <n v="72"/>
    <n v="0"/>
    <s v="TRANSISTMICA"/>
    <x v="2"/>
  </r>
  <r>
    <n v="26"/>
    <d v="2018-07-19T00:00:00"/>
    <x v="6"/>
    <x v="6"/>
    <x v="0"/>
    <s v="CAJA"/>
    <s v="ALIMENTACION DE EMPLEADOS CTA NUEVA"/>
    <s v="TRANSACCIONES DEL DIA 07/19/2018SPYRAL - GESTION ADMINISTRATIVA"/>
    <n v="72"/>
    <n v="0"/>
    <s v="TRANSISTMICA"/>
    <x v="2"/>
  </r>
  <r>
    <n v="26"/>
    <d v="2018-08-03T00:00:00"/>
    <x v="3"/>
    <x v="3"/>
    <x v="0"/>
    <s v="CAJA"/>
    <s v="ALIMENTACION DE EMPLEADOS CTA NUEVA"/>
    <s v="TRANSACCIONES DEL DIA 08/03/2018SPYRAL - GESTION ADMINISTRATIVA"/>
    <n v="80"/>
    <n v="0"/>
    <s v="TRANSISTMICA"/>
    <x v="2"/>
  </r>
  <r>
    <n v="26"/>
    <d v="2018-08-24T00:00:00"/>
    <x v="3"/>
    <x v="3"/>
    <x v="0"/>
    <s v="CAJA"/>
    <s v="ALIMENTACION DE EMPLEADOS CTA NUEVA"/>
    <s v="TRANSACCIONES DEL DIA 08/24/2018SPYRAL - GESTION ADMINISTRATIVA"/>
    <n v="112"/>
    <n v="0"/>
    <s v="TRANSISTMICA"/>
    <x v="2"/>
  </r>
  <r>
    <n v="26"/>
    <d v="2018-09-06T00:00:00"/>
    <x v="4"/>
    <x v="4"/>
    <x v="0"/>
    <s v="CAJA"/>
    <s v="ALIMENTACION DE EMPLEADOS CTA NUEVA"/>
    <s v="TRANSACCIONES DEL DIA 09/06/2018SPYRAL - GESTION ADMINISTRATIVA"/>
    <n v="88"/>
    <n v="0"/>
    <s v="TRANSISTMICA"/>
    <x v="2"/>
  </r>
  <r>
    <n v="26"/>
    <d v="2018-09-19T00:00:00"/>
    <x v="4"/>
    <x v="4"/>
    <x v="0"/>
    <s v="CAJA"/>
    <s v="ALIMENTACION DE EMPLEADOS CTA NUEVA"/>
    <s v="TRANSACCIONES DEL DIA 09/19/2018SPYRAL - GESTION ADMINISTRATIVA"/>
    <n v="56"/>
    <n v="0"/>
    <s v="TRANSISTMICA"/>
    <x v="2"/>
  </r>
  <r>
    <n v="26"/>
    <d v="2018-10-04T00:00:00"/>
    <x v="0"/>
    <x v="0"/>
    <x v="0"/>
    <s v="CAJA"/>
    <s v="ALIMENTACION DE EMPLEADOS CTA NUEVA"/>
    <s v="TRANSACCIONES DEL DIA 10/04/2018SPYRAL - GESTION ADMINISTRATIVA"/>
    <n v="48"/>
    <n v="0"/>
    <s v="TRANSISTMICA"/>
    <x v="2"/>
  </r>
  <r>
    <n v="26"/>
    <d v="2018-10-18T00:00:00"/>
    <x v="0"/>
    <x v="0"/>
    <x v="0"/>
    <s v="CAJA"/>
    <s v="ALIMENTACION DE EMPLEADOS CTA NUEVA"/>
    <s v="TRANSACCIONES DEL DIA 10/18/2018SPYRAL - GESTION ADMINISTRATIVA"/>
    <n v="72"/>
    <n v="0"/>
    <s v="TRANSISTMICA"/>
    <x v="2"/>
  </r>
  <r>
    <n v="26"/>
    <d v="2018-11-07T00:00:00"/>
    <x v="5"/>
    <x v="5"/>
    <x v="0"/>
    <s v="CAJA"/>
    <s v="ALIMENTACION DE EMPLEADOS CTA NUEVA"/>
    <s v="TRANSACCIONES DEL DIA 11/07/2018SPYRAL - GESTION ADMINISTRATIVA"/>
    <n v="96"/>
    <n v="0"/>
    <s v="TRANSISTMICA"/>
    <x v="2"/>
  </r>
  <r>
    <n v="26"/>
    <d v="2018-11-09T00:00:00"/>
    <x v="5"/>
    <x v="5"/>
    <x v="0"/>
    <s v="CAJA"/>
    <s v="ALIMENTACION DE EMPLEADOS CTA NUEVA"/>
    <s v="TRANSACCIONES DEL DIA 11/09/2018SPYRAL - GESTION ADMINISTRATIVA"/>
    <n v="8"/>
    <n v="0"/>
    <s v="TRANSISTMICA"/>
    <x v="2"/>
  </r>
  <r>
    <n v="26"/>
    <d v="2018-11-21T00:00:00"/>
    <x v="5"/>
    <x v="5"/>
    <x v="0"/>
    <s v="CAJA"/>
    <s v="ALIMENTACION DE EMPLEADOS CTA NUEVA"/>
    <s v="TRANSACCIONES DEL DIA 11/21/2018SPYRAL - GESTION ADMINISTRATIVA"/>
    <n v="96"/>
    <n v="0"/>
    <s v="TRANSISTMICA"/>
    <x v="2"/>
  </r>
  <r>
    <n v="26"/>
    <d v="2018-12-04T00:00:00"/>
    <x v="1"/>
    <x v="1"/>
    <x v="0"/>
    <s v="CAJA"/>
    <s v="ALIMENTACION DE EMPLEADOS CTA NUEVA"/>
    <s v="TRANSACCIONES DEL DIA 12/04/2018SPYRAL - GESTION ADMINISTRATIVA"/>
    <n v="64"/>
    <n v="0"/>
    <s v="TRANSISTMICA"/>
    <x v="2"/>
  </r>
  <r>
    <n v="26"/>
    <d v="2018-12-06T00:00:00"/>
    <x v="1"/>
    <x v="1"/>
    <x v="0"/>
    <s v="CAJA"/>
    <s v="ALIMENTACION DE EMPLEADOS CTA NUEVA"/>
    <s v="TRANSACCIONES DEL DIA 12/06/2018SPYRAL - GESTION ADMINISTRATIVA"/>
    <n v="16"/>
    <n v="0"/>
    <s v="TRANSISTMICA"/>
    <x v="2"/>
  </r>
  <r>
    <n v="26"/>
    <d v="2018-12-22T00:00:00"/>
    <x v="1"/>
    <x v="1"/>
    <x v="0"/>
    <s v="CAJA"/>
    <s v="ALIMENTACION DE EMPLEADOS CTA NUEVA"/>
    <s v="TRANSACCIONES DEL DIA 12/22/2018SPYRAL - GESTION ADMINISTRATIVA"/>
    <n v="40"/>
    <n v="0"/>
    <s v="TRANSISTMICA"/>
    <x v="2"/>
  </r>
  <r>
    <n v="26"/>
    <d v="2018-12-27T00:00:00"/>
    <x v="1"/>
    <x v="1"/>
    <x v="0"/>
    <s v="CAJA"/>
    <s v="ALIMENTACION DE EMPLEADOS CTA NUEVA"/>
    <s v="TRANSACCIONES DEL DIA 12/27/2018SPYRAL - GESTION ADMINISTRATIVA"/>
    <n v="24"/>
    <n v="0"/>
    <s v="TRANSISTMICA"/>
    <x v="2"/>
  </r>
  <r>
    <n v="26"/>
    <d v="2018-12-31T00:00:00"/>
    <x v="1"/>
    <x v="1"/>
    <x v="0"/>
    <s v="CAJA"/>
    <s v="CIERRE DE ANIO FISCAL"/>
    <s v="CIERRE_DE_CTAS_NOMINALES"/>
    <n v="0"/>
    <n v="1792"/>
    <s v="TRANSISTMICA"/>
    <x v="2"/>
  </r>
  <r>
    <n v="26"/>
    <d v="2018-06-13T00:00:00"/>
    <x v="2"/>
    <x v="2"/>
    <x v="0"/>
    <s v="SERVICIOS PERSONALES"/>
    <s v="ALIMENTACION DE EMPLEADOS CTA NUEVA"/>
    <s v="TRANSACCIONES DEL DIA 06/13/2018SPYRAL - GESTION ADMINISTRATIVA"/>
    <n v="8"/>
    <n v="0"/>
    <s v="TRANSISTMICA"/>
    <x v="2"/>
  </r>
  <r>
    <n v="26"/>
    <d v="2018-07-19T00:00:00"/>
    <x v="6"/>
    <x v="6"/>
    <x v="0"/>
    <s v="SERVICIOS PERSONALES"/>
    <s v="ALIMENTACION DE EMPLEADOS CTA NUEVA"/>
    <s v="TRANSACCIONES DEL DIA 07/19/2018SPYRAL - GESTION ADMINISTRATIVA"/>
    <n v="56"/>
    <n v="0"/>
    <s v="TRANSISTMICA"/>
    <x v="2"/>
  </r>
  <r>
    <n v="26"/>
    <d v="2018-08-03T00:00:00"/>
    <x v="3"/>
    <x v="3"/>
    <x v="0"/>
    <s v="SERVICIOS PERSONALES"/>
    <s v="ALIMENTACION DE EMPLEADOS CTA NUEVA"/>
    <s v="TRANSACCIONES DEL DIA 08/03/2018SPYRAL - GESTION ADMINISTRATIVA"/>
    <n v="24"/>
    <n v="0"/>
    <s v="TRANSISTMICA"/>
    <x v="2"/>
  </r>
  <r>
    <n v="26"/>
    <d v="2018-08-24T00:00:00"/>
    <x v="3"/>
    <x v="3"/>
    <x v="0"/>
    <s v="SERVICIOS PERSONALES"/>
    <s v="ALIMENTACION DE EMPLEADOS CTA NUEVA"/>
    <s v="TRANSACCIONES DEL DIA 08/24/2018SPYRAL - GESTION ADMINISTRATIVA"/>
    <n v="8"/>
    <n v="0"/>
    <s v="TRANSISTMICA"/>
    <x v="2"/>
  </r>
  <r>
    <n v="26"/>
    <d v="2018-09-19T00:00:00"/>
    <x v="4"/>
    <x v="4"/>
    <x v="0"/>
    <s v="SERVICIOS PERSONALES"/>
    <s v="ALIMENTACION DE EMPLEADOS CTA NUEVA"/>
    <s v="TRANSACCIONES DEL DIA 09/19/2018SPYRAL - GESTION ADMINISTRATIVA"/>
    <n v="32"/>
    <n v="0"/>
    <s v="TRANSISTMICA"/>
    <x v="2"/>
  </r>
  <r>
    <n v="26"/>
    <d v="2018-10-02T00:00:00"/>
    <x v="0"/>
    <x v="0"/>
    <x v="0"/>
    <s v="SERVICIOS PERSONALES"/>
    <s v="ALIMENTACION DE EMPLEADOS CTA NUEVA"/>
    <s v="TRANSACCIONES DEL DIA 10/02/2018SPYRAL - GESTION ADMINISTRATIVA"/>
    <n v="16"/>
    <n v="0"/>
    <s v="TRANSISTMICA"/>
    <x v="2"/>
  </r>
  <r>
    <n v="26"/>
    <d v="2018-10-18T00:00:00"/>
    <x v="0"/>
    <x v="0"/>
    <x v="0"/>
    <s v="SERVICIOS PERSONALES"/>
    <s v="ALIMENTACION DE EMPLEADOS CTA NUEVA"/>
    <s v="TRANSACCIONES DEL DIA 10/18/2018SPYRAL - GESTION ADMINISTRATIVA"/>
    <n v="16"/>
    <n v="0"/>
    <s v="TRANSISTMICA"/>
    <x v="2"/>
  </r>
  <r>
    <n v="26"/>
    <d v="2018-11-09T00:00:00"/>
    <x v="5"/>
    <x v="5"/>
    <x v="0"/>
    <s v="SERVICIOS PERSONALES"/>
    <s v="ALIMENTACION DE EMPLEADOS CTA NUEVA"/>
    <s v="TRANSACCIONES DEL DIA 11/09/2018SPYRAL - GESTION ADMINISTRATIVA"/>
    <n v="8"/>
    <n v="0"/>
    <s v="TRANSISTMICA"/>
    <x v="2"/>
  </r>
  <r>
    <n v="26"/>
    <d v="2018-12-04T00:00:00"/>
    <x v="1"/>
    <x v="1"/>
    <x v="0"/>
    <s v="SERVICIOS PERSONALES"/>
    <s v="ALIMENTACION DE EMPLEADOS CTA NUEVA"/>
    <s v="TRANSACCIONES DEL DIA 12/04/2018SPYRAL - GESTION ADMINISTRATIVA"/>
    <n v="16"/>
    <n v="0"/>
    <s v="TRANSISTMICA"/>
    <x v="2"/>
  </r>
  <r>
    <n v="26"/>
    <d v="2018-12-31T00:00:00"/>
    <x v="1"/>
    <x v="1"/>
    <x v="0"/>
    <s v="SERVICIOS PERSONALES"/>
    <s v="CIERRE DE ANIO FISCAL"/>
    <s v="CIERRE_DE_CTAS_NOMINALES"/>
    <n v="0"/>
    <n v="184"/>
    <s v="TRANSISTMICA"/>
    <x v="2"/>
  </r>
  <r>
    <n v="27"/>
    <d v="2018-07-17T00:00:00"/>
    <x v="6"/>
    <x v="6"/>
    <x v="0"/>
    <s v="ADMINISTRACION DE SUCURSALES"/>
    <s v="NC ALIMENTACION DE EMPLEADOS NVA"/>
    <s v="TRANSACCIONES DEL DIA 07/17/2018SPYRAL - GESTION ADMINISTRATIVA"/>
    <n v="25.99"/>
    <n v="0"/>
    <s v="ZONA LIBRE"/>
    <x v="2"/>
  </r>
  <r>
    <n v="27"/>
    <d v="2018-12-31T00:00:00"/>
    <x v="1"/>
    <x v="1"/>
    <x v="0"/>
    <s v="ADMINISTRACION DE SUCURSALES"/>
    <s v="CIERRE DE ANIO FISCAL"/>
    <s v="CIERRE_DE_CTAS_NOMINALES"/>
    <n v="0"/>
    <n v="25.99"/>
    <s v="ZONA LIBRE"/>
    <x v="2"/>
  </r>
  <r>
    <n v="29"/>
    <d v="2018-06-07T00:00:00"/>
    <x v="2"/>
    <x v="2"/>
    <x v="0"/>
    <s v="ADMINISTRACION DE SUCURSALES"/>
    <s v="NC ALIMENTACION DE EMPLEADOS NVA"/>
    <s v="TRANSACCIONES DEL DIA 06/07/2018SPYRAL - GESTION ADMINISTRATIVA"/>
    <n v="21.98"/>
    <n v="0"/>
    <s v="PARQUE LEFEVRE"/>
    <x v="2"/>
  </r>
  <r>
    <n v="29"/>
    <d v="2018-10-16T00:00:00"/>
    <x v="0"/>
    <x v="0"/>
    <x v="0"/>
    <s v="ADMINISTRACION DE SUCURSALES"/>
    <s v="NC ALIMENTACION DE EMPLEADOS NVA"/>
    <s v="TRANSACCIONES DEL DIA 10/16/2018SPYRAL - GESTION ADMINISTRATIVA"/>
    <n v="23.99"/>
    <n v="0"/>
    <s v="PARQUE LEFEVRE"/>
    <x v="2"/>
  </r>
  <r>
    <n v="29"/>
    <d v="2018-12-31T00:00:00"/>
    <x v="1"/>
    <x v="1"/>
    <x v="0"/>
    <s v="ADMINISTRACION DE SUCURSALES"/>
    <s v="CIERRE DE ANIO FISCAL"/>
    <s v="CIERRE_DE_CTAS_NOMINALES"/>
    <n v="0"/>
    <n v="45.97"/>
    <s v="PARQUE LEFEVRE"/>
    <x v="2"/>
  </r>
  <r>
    <n v="30"/>
    <d v="2018-06-21T00:00:00"/>
    <x v="2"/>
    <x v="2"/>
    <x v="0"/>
    <s v="ADMINISTRACION DE SUCURSALES"/>
    <s v="ALIMENTACION DE EMPLEADOS CTA NUEVA"/>
    <s v="TRANSACCIONES DEL DIA 06/21/2018SPYRAL - GESTION ADMINISTRATIVA"/>
    <n v="15"/>
    <n v="0"/>
    <s v="DAVID"/>
    <x v="2"/>
  </r>
  <r>
    <n v="30"/>
    <d v="2018-12-31T00:00:00"/>
    <x v="1"/>
    <x v="1"/>
    <x v="0"/>
    <s v="ADMINISTRACION DE SUCURSALES"/>
    <s v="CIERRE DE ANIO FISCAL"/>
    <s v="CIERRE_DE_CTAS_NOMINALES"/>
    <n v="0"/>
    <n v="15"/>
    <s v="DAVID"/>
    <x v="2"/>
  </r>
  <r>
    <n v="30"/>
    <d v="2018-06-06T00:00:00"/>
    <x v="2"/>
    <x v="2"/>
    <x v="0"/>
    <s v="CAJA"/>
    <s v="ALIMENTACION DE EMPLEADOS CTA NUEVA"/>
    <s v="TRANSACCIONES DEL DIA 06/06/2018SPYRAL - GESTION ADMINISTRATIVA"/>
    <n v="16"/>
    <n v="0"/>
    <s v="DAVID"/>
    <x v="2"/>
  </r>
  <r>
    <n v="30"/>
    <d v="2018-06-08T00:00:00"/>
    <x v="2"/>
    <x v="2"/>
    <x v="0"/>
    <s v="CAJA"/>
    <s v="ALIMENTACION DE EMPLEADOS CTA NUEVA"/>
    <s v="TRANSACCIONES DEL DIA 06/08/2018SPYRAL - GESTION ADMINISTRATIVA"/>
    <n v="16"/>
    <n v="0"/>
    <s v="DAVID"/>
    <x v="2"/>
  </r>
  <r>
    <n v="30"/>
    <d v="2018-06-20T00:00:00"/>
    <x v="2"/>
    <x v="2"/>
    <x v="0"/>
    <s v="CAJA"/>
    <s v="ALIMENTACION DE EMPLEADOS CTA NUEVA"/>
    <s v="TRANSACCIONES DEL DIA 06/20/2018SPYRAL - GESTION ADMINISTRATIVA"/>
    <n v="24"/>
    <n v="0"/>
    <s v="DAVID"/>
    <x v="2"/>
  </r>
  <r>
    <n v="30"/>
    <d v="2018-06-22T00:00:00"/>
    <x v="2"/>
    <x v="2"/>
    <x v="0"/>
    <s v="CAJA"/>
    <s v="ALIMENTACION DE EMPLEADOS CTA NUEVA"/>
    <s v="TRANSACCIONES DEL DIA 06/22/2018SPYRAL - GESTION ADMINISTRATIVA"/>
    <n v="8"/>
    <n v="0"/>
    <s v="DAVID"/>
    <x v="2"/>
  </r>
  <r>
    <n v="30"/>
    <d v="2018-07-06T00:00:00"/>
    <x v="6"/>
    <x v="6"/>
    <x v="0"/>
    <s v="CAJA"/>
    <s v="ALIMENTACION DE EMPLEADOS CTA NUEVA"/>
    <s v="TRANSACCIONES DEL DIA 07/06/2018SPYRAL - GESTION ADMINISTRATIVA"/>
    <n v="8"/>
    <n v="0"/>
    <s v="DAVID"/>
    <x v="2"/>
  </r>
  <r>
    <n v="30"/>
    <d v="2018-07-23T00:00:00"/>
    <x v="6"/>
    <x v="6"/>
    <x v="0"/>
    <s v="CAJA"/>
    <s v="ALIMENTACION DE EMPLEADOS CTA NUEVA"/>
    <s v="TRANSACCIONES DEL DIA 07/23/2018SPYRAL - GESTION ADMINISTRATIVA"/>
    <n v="24"/>
    <n v="0"/>
    <s v="DAVID"/>
    <x v="2"/>
  </r>
  <r>
    <n v="30"/>
    <d v="2018-08-06T00:00:00"/>
    <x v="3"/>
    <x v="3"/>
    <x v="0"/>
    <s v="CAJA"/>
    <s v="ALIMENTACION DE EMPLEADOS CTA NUEVA"/>
    <s v="TRANSACCIONES DEL DIA 08/06/2018SPYRAL - GESTION ADMINISTRATIVA"/>
    <n v="24"/>
    <n v="0"/>
    <s v="DAVID"/>
    <x v="2"/>
  </r>
  <r>
    <n v="30"/>
    <d v="2018-08-08T00:00:00"/>
    <x v="3"/>
    <x v="3"/>
    <x v="0"/>
    <s v="CAJA"/>
    <s v="ALIMENTACION DE EMPLEADOS CTA NUEVA"/>
    <s v="TRANSACCIONES DEL DIA 08/08/2018SPYRAL - GESTION ADMINISTRATIVA"/>
    <n v="8"/>
    <n v="0"/>
    <s v="DAVID"/>
    <x v="2"/>
  </r>
  <r>
    <n v="30"/>
    <d v="2018-09-07T00:00:00"/>
    <x v="4"/>
    <x v="4"/>
    <x v="0"/>
    <s v="CAJA"/>
    <s v="ALIMENTACION DE EMPLEADOS CTA NUEVA"/>
    <s v="TRANSACCIONES DEL DIA 09/07/2018SPYRAL - GESTION ADMINISTRATIVA"/>
    <n v="56"/>
    <n v="0"/>
    <s v="DAVID"/>
    <x v="2"/>
  </r>
  <r>
    <n v="30"/>
    <d v="2018-09-08T00:00:00"/>
    <x v="4"/>
    <x v="4"/>
    <x v="0"/>
    <s v="CAJA"/>
    <s v="ALIMENTACION DE EMPLEADOS CTA NUEVA"/>
    <s v="TRANSACCIONES DEL DIA 09/08/2018SPYRAL - GESTION ADMINISTRATIVA"/>
    <n v="8"/>
    <n v="0"/>
    <s v="DAVID"/>
    <x v="2"/>
  </r>
  <r>
    <n v="30"/>
    <d v="2018-09-18T00:00:00"/>
    <x v="4"/>
    <x v="4"/>
    <x v="0"/>
    <s v="CAJA"/>
    <s v="ALIMENTACION DE EMPLEADOS CTA NUEVA"/>
    <s v="TRANSACCIONES DEL DIA 09/18/2018SPYRAL - GESTION ADMINISTRATIVA"/>
    <n v="48"/>
    <n v="0"/>
    <s v="DAVID"/>
    <x v="2"/>
  </r>
  <r>
    <n v="30"/>
    <d v="2018-10-01T00:00:00"/>
    <x v="0"/>
    <x v="0"/>
    <x v="0"/>
    <s v="CAJA"/>
    <s v="ALIMENTACION DE EMPLEADOS CTA NUEVA"/>
    <s v="TRANSACCIONES DEL DIA 10/01/2018SPYRAL - GESTION ADMINISTRATIVA"/>
    <n v="8"/>
    <n v="0"/>
    <s v="DAVID"/>
    <x v="2"/>
  </r>
  <r>
    <n v="30"/>
    <d v="2018-10-02T00:00:00"/>
    <x v="0"/>
    <x v="0"/>
    <x v="0"/>
    <s v="CAJA"/>
    <s v="ALIMENTACION DE EMPLEADOS CTA NUEVA"/>
    <s v="TRANSACCIONES DEL DIA 10/02/2018SPYRAL - GESTION ADMINISTRATIVA"/>
    <n v="16"/>
    <n v="0"/>
    <s v="DAVID"/>
    <x v="2"/>
  </r>
  <r>
    <n v="30"/>
    <d v="2018-10-04T00:00:00"/>
    <x v="0"/>
    <x v="0"/>
    <x v="0"/>
    <s v="CAJA"/>
    <s v="ALIMENTACION DE EMPLEADOS CTA NUEVA"/>
    <s v="TRANSACCIONES DEL DIA 10/04/2018SPYRAL - GESTION ADMINISTRATIVA"/>
    <n v="16"/>
    <n v="0"/>
    <s v="DAVID"/>
    <x v="2"/>
  </r>
  <r>
    <n v="30"/>
    <d v="2018-10-12T00:00:00"/>
    <x v="0"/>
    <x v="0"/>
    <x v="0"/>
    <s v="CAJA"/>
    <s v="ALIMENTACION DE EMPLEADOS CTA NUEVA"/>
    <s v="TRANSACCIONES DEL DIA 10/12/2018SPYRAL - GESTION ADMINISTRATIVA"/>
    <n v="8"/>
    <n v="0"/>
    <s v="DAVID"/>
    <x v="2"/>
  </r>
  <r>
    <n v="30"/>
    <d v="2018-10-17T00:00:00"/>
    <x v="0"/>
    <x v="0"/>
    <x v="0"/>
    <s v="CAJA"/>
    <s v="ALIMENTACION DE EMPLEADOS CTA NUEVA"/>
    <s v="TRANSACCIONES DEL DIA 10/17/2018SPYRAL - GESTION ADMINISTRATIVA"/>
    <n v="8"/>
    <n v="0"/>
    <s v="DAVID"/>
    <x v="2"/>
  </r>
  <r>
    <n v="30"/>
    <d v="2018-10-19T00:00:00"/>
    <x v="0"/>
    <x v="0"/>
    <x v="0"/>
    <s v="CAJA"/>
    <s v="ALIMENTACION DE EMPLEADOS CTA NUEVA"/>
    <s v="TRANSACCIONES DEL DIA 10/19/2018SPYRAL - GESTION ADMINISTRATIVA"/>
    <n v="16"/>
    <n v="0"/>
    <s v="DAVID"/>
    <x v="2"/>
  </r>
  <r>
    <n v="30"/>
    <d v="2018-11-01T00:00:00"/>
    <x v="5"/>
    <x v="5"/>
    <x v="0"/>
    <s v="CAJA"/>
    <s v="ALIMENTACION DE EMPLEADOS CTA NUEVA"/>
    <s v="TRANSACCIONES DEL DIA 11/01/2018SPYRAL - GESTION ADMINISTRATIVA"/>
    <n v="8"/>
    <n v="0"/>
    <s v="DAVID"/>
    <x v="2"/>
  </r>
  <r>
    <n v="30"/>
    <d v="2018-11-02T00:00:00"/>
    <x v="5"/>
    <x v="5"/>
    <x v="0"/>
    <s v="CAJA"/>
    <s v="ALIMENTACION DE EMPLEADOS CTA NUEVA"/>
    <s v="TRANSACCIONES DEL DIA 11/02/2018SPYRAL - GESTION ADMINISTRATIVA"/>
    <n v="8"/>
    <n v="0"/>
    <s v="DAVID"/>
    <x v="2"/>
  </r>
  <r>
    <n v="30"/>
    <d v="2018-11-07T00:00:00"/>
    <x v="5"/>
    <x v="5"/>
    <x v="0"/>
    <s v="CAJA"/>
    <s v="ALIMENTACION DE EMPLEADOS CTA NUEVA"/>
    <s v="TRANSACCIONES DEL DIA 11/07/2018SPYRAL - GESTION ADMINISTRATIVA"/>
    <n v="24"/>
    <n v="0"/>
    <s v="DAVID"/>
    <x v="2"/>
  </r>
  <r>
    <n v="30"/>
    <d v="2018-11-09T00:00:00"/>
    <x v="5"/>
    <x v="5"/>
    <x v="0"/>
    <s v="CAJA"/>
    <s v="ALIMENTACION DE EMPLEADOS CTA NUEVA"/>
    <s v="TRANSACCIONES DEL DIA 11/09/2018SPYRAL - GESTION ADMINISTRATIVA"/>
    <n v="16"/>
    <n v="0"/>
    <s v="DAVID"/>
    <x v="2"/>
  </r>
  <r>
    <n v="30"/>
    <d v="2018-11-15T00:00:00"/>
    <x v="5"/>
    <x v="5"/>
    <x v="0"/>
    <s v="CAJA"/>
    <s v="ALIMENTACION DE EMPLEADOS CTA NUEVA"/>
    <s v="TRANSACCIONES DEL DIA 11/15/2018SPYRAL - GESTION ADMINISTRATIVA"/>
    <n v="16"/>
    <n v="0"/>
    <s v="DAVID"/>
    <x v="2"/>
  </r>
  <r>
    <n v="30"/>
    <d v="2018-11-20T00:00:00"/>
    <x v="5"/>
    <x v="5"/>
    <x v="0"/>
    <s v="CAJA"/>
    <s v="ALIMENTACION DE EMPLEADOS CTA NUEVA"/>
    <s v="TRANSACCIONES DEL DIA 11/20/2018SPYRAL - GESTION ADMINISTRATIVA"/>
    <n v="48"/>
    <n v="0"/>
    <s v="DAVID"/>
    <x v="2"/>
  </r>
  <r>
    <n v="30"/>
    <d v="2018-11-22T00:00:00"/>
    <x v="5"/>
    <x v="5"/>
    <x v="0"/>
    <s v="CAJA"/>
    <s v="ALIMENTACION DE EMPLEADOS CTA NUEVA"/>
    <s v="TRANSACCIONES DEL DIA 11/22/2018SPYRAL - GESTION ADMINISTRATIVA"/>
    <n v="16"/>
    <n v="0"/>
    <s v="DAVID"/>
    <x v="2"/>
  </r>
  <r>
    <n v="30"/>
    <d v="2018-12-06T00:00:00"/>
    <x v="1"/>
    <x v="1"/>
    <x v="0"/>
    <s v="CAJA"/>
    <s v="ALIMENTACION DE EMPLEADOS CTA NUEVA"/>
    <s v="TRANSACCIONES DEL DIA 12/06/2018SPYRAL - GESTION ADMINISTRATIVA"/>
    <n v="40"/>
    <n v="0"/>
    <s v="DAVID"/>
    <x v="2"/>
  </r>
  <r>
    <n v="30"/>
    <d v="2018-12-14T00:00:00"/>
    <x v="1"/>
    <x v="1"/>
    <x v="0"/>
    <s v="CAJA"/>
    <s v="ALIMENTACION DE EMPLEADOS CTA NUEVA"/>
    <s v="TRANSACCIONES DEL DIA 12/14/2018SPYRAL - GESTION ADMINISTRATIVA"/>
    <n v="16"/>
    <n v="0"/>
    <s v="DAVID"/>
    <x v="2"/>
  </r>
  <r>
    <n v="30"/>
    <d v="2018-12-24T00:00:00"/>
    <x v="1"/>
    <x v="1"/>
    <x v="0"/>
    <s v="CAJA"/>
    <s v="ALIMENTACION DE EMPLEADOS CTA NUEVA"/>
    <s v="TRANSACCIONES DEL DIA 12/24/2018SPYRAL - GESTION ADMINISTRATIVA"/>
    <n v="40"/>
    <n v="0"/>
    <s v="DAVID"/>
    <x v="2"/>
  </r>
  <r>
    <n v="30"/>
    <d v="2018-12-31T00:00:00"/>
    <x v="1"/>
    <x v="1"/>
    <x v="0"/>
    <s v="CAJA"/>
    <s v="CIERRE DE ANIO FISCAL"/>
    <s v="CIERRE_DE_CTAS_NOMINALES"/>
    <n v="0"/>
    <n v="1416"/>
    <s v="DAVID"/>
    <x v="2"/>
  </r>
  <r>
    <n v="30"/>
    <d v="2018-12-06T00:00:00"/>
    <x v="1"/>
    <x v="1"/>
    <x v="0"/>
    <s v="SERVICIOS PERSONALES"/>
    <s v="ALIMENTACION DE EMPLEADOS CTA NUEVA"/>
    <s v="TRANSACCIONES DEL DIA 12/06/2018SPYRAL - GESTION ADMINISTRATIVA"/>
    <n v="8"/>
    <n v="0"/>
    <s v="DAVID"/>
    <x v="2"/>
  </r>
  <r>
    <n v="30"/>
    <d v="2018-12-10T00:00:00"/>
    <x v="1"/>
    <x v="1"/>
    <x v="0"/>
    <s v="SERVICIOS PERSONALES"/>
    <s v="ALIMENTACION DE EMPLEADOS CTA NUEVA"/>
    <s v="TRANSACCIONES DEL DIA 12/10/2018SPYRAL - GESTION ADMINISTRATIVA"/>
    <n v="8"/>
    <n v="0"/>
    <s v="DAVID"/>
    <x v="2"/>
  </r>
  <r>
    <n v="30"/>
    <d v="2018-12-31T00:00:00"/>
    <x v="1"/>
    <x v="1"/>
    <x v="0"/>
    <s v="SERVICIOS PERSONALES"/>
    <s v="CIERRE DE ANIO FISCAL"/>
    <s v="CIERRE_DE_CTAS_NOMINALES"/>
    <n v="0"/>
    <n v="16"/>
    <s v="DAVID"/>
    <x v="2"/>
  </r>
  <r>
    <n v="32"/>
    <d v="2018-06-07T00:00:00"/>
    <x v="2"/>
    <x v="2"/>
    <x v="0"/>
    <s v="ADMINISTRACION DE SUCURSALES"/>
    <s v="NC ALIMENTACION DE EMPLEADOS NVA"/>
    <s v="TRANSACCIONES DEL DIA 06/07/2018SPYRAL - GESTION ADMINISTRATIVA"/>
    <n v="25.19"/>
    <n v="0"/>
    <s v="PLAZA LAS AMERICAS"/>
    <x v="2"/>
  </r>
  <r>
    <n v="32"/>
    <d v="2018-09-03T00:00:00"/>
    <x v="4"/>
    <x v="4"/>
    <x v="0"/>
    <s v="ADMINISTRACION DE SUCURSALES"/>
    <s v="NC ALIMENTACION DE EMPLEADOS NVA"/>
    <s v="TRANSACCIONES DEL DIA 09/03/2018SPYRAL - GESTION ADMINISTRATIVA"/>
    <n v="21.29"/>
    <n v="0"/>
    <s v="PLAZA LAS AMERICAS"/>
    <x v="2"/>
  </r>
  <r>
    <n v="32"/>
    <d v="2018-10-16T00:00:00"/>
    <x v="0"/>
    <x v="0"/>
    <x v="0"/>
    <s v="ADMINISTRACION DE SUCURSALES"/>
    <s v="NC ALIMENTACION DE EMPLEADOS NVA"/>
    <s v="TRANSACCIONES DEL DIA 10/16/2018SPYRAL - GESTION ADMINISTRATIVA"/>
    <n v="11.21"/>
    <n v="0"/>
    <s v="PLAZA LAS AMERICAS"/>
    <x v="2"/>
  </r>
  <r>
    <n v="32"/>
    <d v="2018-11-08T00:00:00"/>
    <x v="5"/>
    <x v="5"/>
    <x v="0"/>
    <s v="ADMINISTRACION DE SUCURSALES"/>
    <s v="NC ALIMENTACION DE EMPLEADOS NVA"/>
    <s v="TRANSACCIONES DEL DIA 11/08/2018SPYRAL - GESTION ADMINISTRATIVA"/>
    <n v="21.2"/>
    <n v="0"/>
    <s v="PLAZA LAS AMERICAS"/>
    <x v="2"/>
  </r>
  <r>
    <n v="32"/>
    <d v="2018-11-30T00:00:00"/>
    <x v="5"/>
    <x v="5"/>
    <x v="0"/>
    <s v="ADMINISTRACION DE SUCURSALES"/>
    <s v="ALIMENTACION DE EMPLEADOS CTA NUEVA"/>
    <s v="TRANSACCIONES DEL DIA 11/30/2018SPYRAL - GESTION ADMINISTRATIVA"/>
    <n v="26.16"/>
    <n v="0"/>
    <s v="PLAZA LAS AMERICAS"/>
    <x v="2"/>
  </r>
  <r>
    <n v="32"/>
    <d v="2018-12-31T00:00:00"/>
    <x v="1"/>
    <x v="1"/>
    <x v="0"/>
    <s v="ADMINISTRACION DE SUCURSALES"/>
    <s v="CIERRE DE ANIO FISCAL"/>
    <s v="CIERRE_DE_CTAS_NOMINALES"/>
    <n v="0"/>
    <n v="287.55"/>
    <s v="PLAZA LAS AMERICAS"/>
    <x v="2"/>
  </r>
  <r>
    <n v="33"/>
    <d v="2018-07-04T00:00:00"/>
    <x v="6"/>
    <x v="6"/>
    <x v="0"/>
    <s v="ADMINISTRACION DE SUCURSALES"/>
    <s v="ALIMENTACION DE EMPLEADOS CTA NUEVA"/>
    <s v="TRANSACCIONES DEL DIA 07/04/2018SPYRAL - GESTION ADMINISTRATIVA"/>
    <n v="23.99"/>
    <n v="0"/>
    <s v="CORONADO"/>
    <x v="2"/>
  </r>
  <r>
    <n v="33"/>
    <d v="2018-09-11T00:00:00"/>
    <x v="4"/>
    <x v="4"/>
    <x v="0"/>
    <s v="ADMINISTRACION DE SUCURSALES"/>
    <s v="NC ALIMENTACION DE EMPLEADOS NVA"/>
    <s v="TRANSACCIONES DEL DIA 09/11/2018SPYRAL - GESTION ADMINISTRATIVA"/>
    <n v="17.98"/>
    <n v="0"/>
    <s v="CORONADO"/>
    <x v="2"/>
  </r>
  <r>
    <n v="33"/>
    <d v="2018-11-09T00:00:00"/>
    <x v="5"/>
    <x v="5"/>
    <x v="0"/>
    <s v="ADMINISTRACION DE SUCURSALES"/>
    <s v="NC ALIMENTACION DE EMPLEADOS NVA"/>
    <s v="TRANSACCIONES DEL DIA 11/09/2018SPYRAL - GESTION ADMINISTRATIVA"/>
    <n v="42.97"/>
    <n v="0"/>
    <s v="CORONADO"/>
    <x v="2"/>
  </r>
  <r>
    <n v="33"/>
    <d v="2018-12-12T00:00:00"/>
    <x v="1"/>
    <x v="1"/>
    <x v="0"/>
    <s v="ADMINISTRACION DE SUCURSALES"/>
    <s v="NC ALIMENTACION DE EMPLEADOS NVA"/>
    <s v="TRANSACCIONES DEL DIA 12/12/2018SPYRAL - GESTION ADMINISTRATIVA"/>
    <n v="24.48"/>
    <n v="0"/>
    <s v="CORONADO"/>
    <x v="2"/>
  </r>
  <r>
    <n v="33"/>
    <d v="2018-12-31T00:00:00"/>
    <x v="1"/>
    <x v="1"/>
    <x v="0"/>
    <s v="ADMINISTRACION DE SUCURSALES"/>
    <s v="CIERRE DE ANIO FISCAL"/>
    <s v="CIERRE_DE_CTAS_NOMINALES"/>
    <n v="0"/>
    <n v="348.31"/>
    <s v="CORONADO"/>
    <x v="2"/>
  </r>
  <r>
    <n v="34"/>
    <d v="2018-11-16T00:00:00"/>
    <x v="5"/>
    <x v="5"/>
    <x v="0"/>
    <s v="ADMINISTRACION DE SUCURSALES"/>
    <s v="NC ALIMENTACION DE EMPLEADOS NVA"/>
    <s v="TRANSACCIONES DEL DIA 11/16/2018SPYRAL - GESTION ADMINISTRATIVA"/>
    <n v="69.28"/>
    <n v="0"/>
    <s v="ALBROOK MALL"/>
    <x v="2"/>
  </r>
  <r>
    <n v="34"/>
    <d v="2018-12-04T00:00:00"/>
    <x v="1"/>
    <x v="1"/>
    <x v="0"/>
    <s v="ADMINISTRACION DE SUCURSALES"/>
    <s v="NC ALIMENTACION DE EMPLEADOS NVA"/>
    <s v="TRANSACCIONES DEL DIA 12/04/2018SPYRAL - GESTION ADMINISTRATIVA"/>
    <n v="104.5"/>
    <n v="0"/>
    <s v="ALBROOK MALL"/>
    <x v="2"/>
  </r>
  <r>
    <n v="34"/>
    <d v="2018-12-10T00:00:00"/>
    <x v="1"/>
    <x v="1"/>
    <x v="0"/>
    <s v="ADMINISTRACION DE SUCURSALES"/>
    <s v="NC ALIMENTACION DE EMPLEADOS NVA"/>
    <s v="TRANSACCIONES DEL DIA 12/10/2018SPYRAL - GESTION ADMINISTRATIVA"/>
    <n v="110"/>
    <n v="0"/>
    <s v="ALBROOK MALL"/>
    <x v="2"/>
  </r>
  <r>
    <n v="34"/>
    <d v="2018-12-31T00:00:00"/>
    <x v="1"/>
    <x v="1"/>
    <x v="0"/>
    <s v="ADMINISTRACION DE SUCURSALES"/>
    <s v="CIERRE DE ANIO FISCAL"/>
    <s v="CIERRE_DE_CTAS_NOMINALES"/>
    <n v="0"/>
    <n v="299.77999999999997"/>
    <s v="ALBROOK MALL"/>
    <x v="2"/>
  </r>
  <r>
    <n v="34"/>
    <d v="2018-12-31T00:00:00"/>
    <x v="1"/>
    <x v="1"/>
    <x v="0"/>
    <s v="SERVICIOS PERSONALES"/>
    <s v="CIERRE DE ANIO FISCAL"/>
    <s v="CIERRE_DE_CTAS_NOMINALES"/>
    <n v="0"/>
    <n v="16"/>
    <s v="ALBROOK MALL"/>
    <x v="2"/>
  </r>
  <r>
    <n v="35"/>
    <d v="2018-06-01T00:00:00"/>
    <x v="2"/>
    <x v="2"/>
    <x v="0"/>
    <s v="ADMINISTRACION DE SUCURSALES"/>
    <s v="NC ALIMENTACION DE EMPLEADOS NVA"/>
    <s v="TRANSACCIONES DEL DIA 06/01/2018SPYRAL - GESTION ADMINISTRATIVA"/>
    <n v="17.96"/>
    <n v="0"/>
    <s v="PANAMA PACIFICO"/>
    <x v="2"/>
  </r>
  <r>
    <n v="35"/>
    <d v="2018-12-31T00:00:00"/>
    <x v="1"/>
    <x v="1"/>
    <x v="0"/>
    <s v="ADMINISTRACION DE SUCURSALES"/>
    <s v="CIERRE DE ANIO FISCAL"/>
    <s v="CIERRE_DE_CTAS_NOMINALES"/>
    <n v="0"/>
    <n v="66.92"/>
    <s v="PANAMA PACIFICO"/>
    <x v="2"/>
  </r>
  <r>
    <n v="36"/>
    <d v="2018-12-31T00:00:00"/>
    <x v="1"/>
    <x v="1"/>
    <x v="0"/>
    <s v="CAJA"/>
    <s v="CIERRE DE ANIO FISCAL"/>
    <s v="CIERRE_DE_CTAS_NOMINALES"/>
    <n v="0"/>
    <n v="8"/>
    <s v="AUTOBANCO VIA PORRAS 2"/>
    <x v="2"/>
  </r>
  <r>
    <n v="37"/>
    <d v="2018-06-01T00:00:00"/>
    <x v="2"/>
    <x v="2"/>
    <x v="0"/>
    <s v="ADMINISTRACION DE SUCURSALES"/>
    <s v="NC ALIMENTACION DE EMPLEADOS NVA"/>
    <s v="TRANSACCIONES DEL DIA 06/01/2018SPYRAL - GESTION ADMINISTRATIVA"/>
    <n v="10.5"/>
    <n v="0"/>
    <s v="PENONOME"/>
    <x v="2"/>
  </r>
  <r>
    <n v="37"/>
    <d v="2018-07-02T00:00:00"/>
    <x v="6"/>
    <x v="6"/>
    <x v="0"/>
    <s v="ADMINISTRACION DE SUCURSALES"/>
    <s v="NC ALIMENTACION DE EMPLEADOS NVA"/>
    <s v="TRANSACCIONES DEL DIA 07/02/2018SPYRAL - GESTION ADMINISTRATIVA"/>
    <n v="14.25"/>
    <n v="0"/>
    <s v="PENONOME"/>
    <x v="2"/>
  </r>
  <r>
    <n v="37"/>
    <d v="2018-07-04T00:00:00"/>
    <x v="6"/>
    <x v="6"/>
    <x v="0"/>
    <s v="ADMINISTRACION DE SUCURSALES"/>
    <s v="NC ALIMENTACION DE EMPLEADOS NVA"/>
    <s v="TRANSACCIONES DEL DIA 07/04/2018SPYRAL - GESTION ADMINISTRATIVA"/>
    <n v="9.5"/>
    <n v="0"/>
    <s v="PENONOME"/>
    <x v="2"/>
  </r>
  <r>
    <n v="37"/>
    <d v="2018-07-12T00:00:00"/>
    <x v="6"/>
    <x v="6"/>
    <x v="0"/>
    <s v="ADMINISTRACION DE SUCURSALES"/>
    <s v="NC ALIMENTACION DE EMPLEADOS NVA"/>
    <s v="TRANSACCIONES DEL DIA 07/12/2018SPYRAL - GESTION ADMINISTRATIVA"/>
    <n v="14.25"/>
    <n v="0"/>
    <s v="PENONOME"/>
    <x v="2"/>
  </r>
  <r>
    <n v="37"/>
    <d v="2018-07-17T00:00:00"/>
    <x v="6"/>
    <x v="6"/>
    <x v="0"/>
    <s v="ADMINISTRACION DE SUCURSALES"/>
    <s v="NC ALIMENTACION DE EMPLEADOS NVA"/>
    <s v="TRANSACCIONES DEL DIA 07/17/2018SPYRAL - GESTION ADMINISTRATIVA"/>
    <n v="13.6"/>
    <n v="0"/>
    <s v="PENONOME"/>
    <x v="2"/>
  </r>
  <r>
    <n v="37"/>
    <d v="2018-08-09T00:00:00"/>
    <x v="3"/>
    <x v="3"/>
    <x v="0"/>
    <s v="ADMINISTRACION DE SUCURSALES"/>
    <s v="NC ALIMENTACION DE EMPLEADOS NVA"/>
    <s v="TRANSACCIONES DEL DIA 08/09/2018SPYRAL - GESTION ADMINISTRATIVA"/>
    <n v="8.5"/>
    <n v="0"/>
    <s v="PENONOME"/>
    <x v="2"/>
  </r>
  <r>
    <n v="37"/>
    <d v="2018-08-23T00:00:00"/>
    <x v="3"/>
    <x v="3"/>
    <x v="0"/>
    <s v="ADMINISTRACION DE SUCURSALES"/>
    <s v="NC ALIMENTACION DE EMPLEADOS NVA"/>
    <s v="TRANSACCIONES DEL DIA 08/23/2018SPYRAL - GESTION ADMINISTRATIVA"/>
    <n v="14.25"/>
    <n v="0"/>
    <s v="PENONOME"/>
    <x v="2"/>
  </r>
  <r>
    <n v="37"/>
    <d v="2018-10-02T00:00:00"/>
    <x v="0"/>
    <x v="0"/>
    <x v="0"/>
    <s v="ADMINISTRACION DE SUCURSALES"/>
    <s v="NC ALIMENTACION DE EMPLEADOS NVA"/>
    <s v="TRANSACCIONES DEL DIA 10/02/2018SPYRAL - GESTION ADMINISTRATIVA"/>
    <n v="16.3"/>
    <n v="0"/>
    <s v="PENONOME"/>
    <x v="2"/>
  </r>
  <r>
    <n v="37"/>
    <d v="2018-10-16T00:00:00"/>
    <x v="0"/>
    <x v="0"/>
    <x v="0"/>
    <s v="ADMINISTRACION DE SUCURSALES"/>
    <s v="NC ALIMENTACION DE EMPLEADOS NVA"/>
    <s v="TRANSACCIONES DEL DIA 10/16/2018SPYRAL - GESTION ADMINISTRATIVA"/>
    <n v="23.9"/>
    <n v="0"/>
    <s v="PENONOME"/>
    <x v="2"/>
  </r>
  <r>
    <n v="37"/>
    <d v="2018-12-31T00:00:00"/>
    <x v="1"/>
    <x v="1"/>
    <x v="0"/>
    <s v="ADMINISTRACION DE SUCURSALES"/>
    <s v="CIERRE DE ANIO FISCAL"/>
    <s v="CIERRE_DE_CTAS_NOMINALES"/>
    <n v="0"/>
    <n v="210.85"/>
    <s v="PENONOME"/>
    <x v="2"/>
  </r>
  <r>
    <n v="38"/>
    <d v="2018-06-26T00:00:00"/>
    <x v="2"/>
    <x v="2"/>
    <x v="0"/>
    <s v="CAJA"/>
    <s v="ALIMENTACION DE EMPLEADOS CTA NUEVA"/>
    <s v="TRANSACCIONES DEL DIA 06/26/2018SPYRAL - GESTION ADMINISTRATIVA"/>
    <n v="8"/>
    <n v="0"/>
    <s v="ALBROOK"/>
    <x v="2"/>
  </r>
  <r>
    <n v="38"/>
    <d v="2018-08-07T00:00:00"/>
    <x v="3"/>
    <x v="3"/>
    <x v="0"/>
    <s v="CAJA"/>
    <s v="ALIMENTACION DE EMPLEADOS CTA NUEVA"/>
    <s v="TRANSACCIONES DEL DIA 08/07/2018SPYRAL - GESTION ADMINISTRATIVA"/>
    <n v="8"/>
    <n v="0"/>
    <s v="ALBROOK"/>
    <x v="2"/>
  </r>
  <r>
    <n v="38"/>
    <d v="2018-08-13T00:00:00"/>
    <x v="3"/>
    <x v="3"/>
    <x v="0"/>
    <s v="CAJA"/>
    <s v="ALIMENTACION DE EMPLEADOS CTA NUEVA"/>
    <s v="TRANSACCIONES DEL DIA 08/13/2018SPYRAL - GESTION ADMINISTRATIVA"/>
    <n v="8"/>
    <n v="0"/>
    <s v="ALBROOK"/>
    <x v="2"/>
  </r>
  <r>
    <n v="38"/>
    <d v="2018-08-14T00:00:00"/>
    <x v="3"/>
    <x v="3"/>
    <x v="0"/>
    <s v="CAJA"/>
    <s v="ALIMENTACION DE EMPLEADOS CTA NUEVA"/>
    <s v="TRANSACCIONES DEL DIA 08/14/2018SPYRAL - GESTION ADMINISTRATIVA"/>
    <n v="8"/>
    <n v="0"/>
    <s v="ALBROOK"/>
    <x v="2"/>
  </r>
  <r>
    <n v="38"/>
    <d v="2018-08-24T00:00:00"/>
    <x v="3"/>
    <x v="3"/>
    <x v="0"/>
    <s v="CAJA"/>
    <s v="ALIMENTACION DE EMPLEADOS CTA NUEVA"/>
    <s v="TRANSACCIONES DEL DIA 08/24/2018SPYRAL - GESTION ADMINISTRATIVA"/>
    <n v="8"/>
    <n v="0"/>
    <s v="ALBROOK"/>
    <x v="2"/>
  </r>
  <r>
    <n v="38"/>
    <d v="2018-10-09T00:00:00"/>
    <x v="0"/>
    <x v="0"/>
    <x v="0"/>
    <s v="CAJA"/>
    <s v="ALIMENTACION DE EMPLEADOS CTA NUEVA"/>
    <s v="TRANSACCIONES DEL DIA 10/09/2018SPYRAL - GESTION ADMINISTRATIVA"/>
    <n v="8"/>
    <n v="0"/>
    <s v="ALBROOK"/>
    <x v="2"/>
  </r>
  <r>
    <n v="38"/>
    <d v="2018-10-22T00:00:00"/>
    <x v="0"/>
    <x v="0"/>
    <x v="0"/>
    <s v="CAJA"/>
    <s v="ALIMENTACION DE EMPLEADOS CTA NUEVA"/>
    <s v="TRANSACCIONES DEL DIA 10/22/2018SPYRAL - GESTION ADMINISTRATIVA"/>
    <n v="16"/>
    <n v="0"/>
    <s v="ALBROOK"/>
    <x v="2"/>
  </r>
  <r>
    <n v="38"/>
    <d v="2018-10-24T00:00:00"/>
    <x v="0"/>
    <x v="0"/>
    <x v="0"/>
    <s v="CAJA"/>
    <s v="ALIMENTACION DE EMPLEADOS CTA NUEVA"/>
    <s v="TRANSACCIONES DEL DIA 10/24/2018SPYRAL - GESTION ADMINISTRATIVA"/>
    <n v="32"/>
    <n v="0"/>
    <s v="ALBROOK"/>
    <x v="2"/>
  </r>
  <r>
    <n v="38"/>
    <d v="2018-11-07T00:00:00"/>
    <x v="5"/>
    <x v="5"/>
    <x v="0"/>
    <s v="CAJA"/>
    <s v="ALIMENTACION DE EMPLEADOS CTA NUEVA"/>
    <s v="TRANSACCIONES DEL DIA 11/07/2018SPYRAL - GESTION ADMINISTRATIVA"/>
    <n v="16"/>
    <n v="0"/>
    <s v="ALBROOK"/>
    <x v="2"/>
  </r>
  <r>
    <n v="38"/>
    <d v="2018-12-05T00:00:00"/>
    <x v="1"/>
    <x v="1"/>
    <x v="0"/>
    <s v="CAJA"/>
    <s v="ALIMENTACION DE EMPLEADOS CTA NUEVA"/>
    <s v="TRANSACCIONES DEL DIA 12/05/2018SPYRAL - GESTION ADMINISTRATIVA"/>
    <n v="8"/>
    <n v="0"/>
    <s v="ALBROOK"/>
    <x v="2"/>
  </r>
  <r>
    <n v="38"/>
    <d v="2018-12-06T00:00:00"/>
    <x v="1"/>
    <x v="1"/>
    <x v="0"/>
    <s v="CAJA"/>
    <s v="ALIMENTACION DE EMPLEADOS CTA NUEVA"/>
    <s v="TRANSACCIONES DEL DIA 12/06/2018SPYRAL - GESTION ADMINISTRATIVA"/>
    <n v="8"/>
    <n v="0"/>
    <s v="ALBROOK"/>
    <x v="2"/>
  </r>
  <r>
    <n v="38"/>
    <d v="2018-12-28T00:00:00"/>
    <x v="1"/>
    <x v="1"/>
    <x v="0"/>
    <s v="CAJA"/>
    <s v="ALIMENTACION DE EMPLEADOS CTA NUEVA"/>
    <s v="TRANSACCIONES DEL DIA 12/28/2018SPYRAL - GESTION ADMINISTRATIVA"/>
    <n v="8"/>
    <n v="0"/>
    <s v="ALBROOK"/>
    <x v="2"/>
  </r>
  <r>
    <n v="38"/>
    <d v="2018-12-31T00:00:00"/>
    <x v="1"/>
    <x v="1"/>
    <x v="0"/>
    <s v="CAJA"/>
    <s v="CIERRE DE ANIO FISCAL"/>
    <s v="CIERRE_DE_CTAS_NOMINALES"/>
    <n v="0"/>
    <n v="184"/>
    <s v="ALBROOK"/>
    <x v="2"/>
  </r>
  <r>
    <n v="38"/>
    <d v="2018-06-11T00:00:00"/>
    <x v="2"/>
    <x v="2"/>
    <x v="0"/>
    <s v="SERVICIOS PERSONALES"/>
    <s v="ALIMENTACION DE EMPLEADOS CTA NUEVA"/>
    <s v="TRANSACCIONES DEL DIA 06/11/2018SPYRAL - GESTION ADMINISTRATIVA"/>
    <n v="8"/>
    <n v="0"/>
    <s v="ALBROOK"/>
    <x v="2"/>
  </r>
  <r>
    <n v="38"/>
    <d v="2018-07-03T00:00:00"/>
    <x v="6"/>
    <x v="6"/>
    <x v="0"/>
    <s v="SERVICIOS PERSONALES"/>
    <s v="ALIMENTACION DE EMPLEADOS CTA NUEVA"/>
    <s v="TRANSACCIONES DEL DIA 07/03/2018SPYRAL - GESTION ADMINISTRATIVA"/>
    <n v="16"/>
    <n v="0"/>
    <s v="ALBROOK"/>
    <x v="2"/>
  </r>
  <r>
    <n v="38"/>
    <d v="2018-07-14T00:00:00"/>
    <x v="6"/>
    <x v="6"/>
    <x v="0"/>
    <s v="SERVICIOS PERSONALES"/>
    <s v="ALIMENTACION DE EMPLEADOS CTA NUEVA"/>
    <s v="TRANSACCIONES DEL DIA 07/14/2018SPYRAL - GESTION ADMINISTRATIVA"/>
    <n v="8"/>
    <n v="0"/>
    <s v="ALBROOK"/>
    <x v="2"/>
  </r>
  <r>
    <n v="38"/>
    <d v="2018-12-31T00:00:00"/>
    <x v="1"/>
    <x v="1"/>
    <x v="0"/>
    <s v="SERVICIOS PERSONALES"/>
    <s v="CIERRE DE ANIO FISCAL"/>
    <s v="CIERRE_DE_CTAS_NOMINALES"/>
    <n v="0"/>
    <n v="40"/>
    <s v="ALBROOK"/>
    <x v="2"/>
  </r>
  <r>
    <n v="39"/>
    <d v="2018-06-07T00:00:00"/>
    <x v="2"/>
    <x v="2"/>
    <x v="0"/>
    <s v="ADMINISTRACION DE SUCURSALES"/>
    <s v="NC ALIMENTACION DE EMPLEADOS NVA"/>
    <s v="TRANSACCIONES DEL DIA 06/07/2018SPYRAL - GESTION ADMINISTRATIVA"/>
    <n v="123.62"/>
    <n v="0"/>
    <s v="SUCURSAL DE VISTA ALEGRE"/>
    <x v="2"/>
  </r>
  <r>
    <n v="39"/>
    <d v="2018-06-21T00:00:00"/>
    <x v="2"/>
    <x v="2"/>
    <x v="0"/>
    <s v="ADMINISTRACION DE SUCURSALES"/>
    <s v="ALIMENTACION DE EMPLEADOS CTA NUEVA"/>
    <s v="TRANSACCIONES DEL DIA 06/21/2018SPYRAL - GESTION ADMINISTRATIVA"/>
    <n v="6.75"/>
    <n v="0"/>
    <s v="SUCURSAL DE VISTA ALEGRE"/>
    <x v="2"/>
  </r>
  <r>
    <n v="39"/>
    <d v="2018-07-06T00:00:00"/>
    <x v="6"/>
    <x v="6"/>
    <x v="0"/>
    <s v="ADMINISTRACION DE SUCURSALES"/>
    <s v="ALIMENTACION DE EMPLEADOS CTA NUEVA"/>
    <s v="TRANSACCIONES DEL DIA 07/06/2018SPYRAL - GESTION ADMINISTRATIVA"/>
    <n v="8"/>
    <n v="0"/>
    <s v="SUCURSAL DE VISTA ALEGRE"/>
    <x v="2"/>
  </r>
  <r>
    <n v="39"/>
    <d v="2018-07-16T00:00:00"/>
    <x v="6"/>
    <x v="6"/>
    <x v="0"/>
    <s v="ADMINISTRACION DE SUCURSALES"/>
    <s v="ALIMENTACION DE EMPLEADOS CTA NUEVA"/>
    <s v="TRANSACCIONES DEL DIA 07/16/2018SPYRAL - GESTION ADMINISTRATIVA"/>
    <n v="8"/>
    <n v="0"/>
    <s v="SUCURSAL DE VISTA ALEGRE"/>
    <x v="2"/>
  </r>
  <r>
    <n v="39"/>
    <d v="2018-09-11T00:00:00"/>
    <x v="4"/>
    <x v="4"/>
    <x v="0"/>
    <s v="ADMINISTRACION DE SUCURSALES"/>
    <s v="NC ALIMENTACION DE EMPLEADOS NVA"/>
    <s v="TRANSACCIONES DEL DIA 09/11/2018SPYRAL - GESTION ADMINISTRATIVA"/>
    <n v="161.53"/>
    <n v="0"/>
    <s v="SUCURSAL DE VISTA ALEGRE"/>
    <x v="2"/>
  </r>
  <r>
    <n v="39"/>
    <d v="2018-10-16T00:00:00"/>
    <x v="0"/>
    <x v="0"/>
    <x v="0"/>
    <s v="ADMINISTRACION DE SUCURSALES"/>
    <s v="NC ALIMENTACION DE EMPLEADOS NVA"/>
    <s v="TRANSACCIONES DEL DIA 10/16/2018SPYRAL - GESTION ADMINISTRATIVA"/>
    <n v="97.84"/>
    <n v="0"/>
    <s v="SUCURSAL DE VISTA ALEGRE"/>
    <x v="2"/>
  </r>
  <r>
    <n v="39"/>
    <d v="2018-12-31T00:00:00"/>
    <x v="1"/>
    <x v="1"/>
    <x v="0"/>
    <s v="ADMINISTRACION DE SUCURSALES"/>
    <s v="CIERRE DE ANIO FISCAL"/>
    <s v="CIERRE_DE_CTAS_NOMINALES"/>
    <n v="0"/>
    <n v="824.94"/>
    <s v="SUCURSAL DE VISTA ALEGRE"/>
    <x v="2"/>
  </r>
  <r>
    <n v="39"/>
    <d v="2018-06-05T00:00:00"/>
    <x v="2"/>
    <x v="2"/>
    <x v="0"/>
    <s v="CAJA"/>
    <s v="ALIMENTACION DE EMPLEADOS CTA NUEVA"/>
    <s v="TRANSACCIONES DEL DIA 06/05/2018SPYRAL - GESTION ADMINISTRATIVA"/>
    <n v="16"/>
    <n v="0"/>
    <s v="SUCURSAL DE VISTA ALEGRE"/>
    <x v="2"/>
  </r>
  <r>
    <n v="39"/>
    <d v="2018-06-20T00:00:00"/>
    <x v="2"/>
    <x v="2"/>
    <x v="0"/>
    <s v="CAJA"/>
    <s v="ALIMENTACION DE EMPLEADOS CTA NUEVA"/>
    <s v="TRANSACCIONES DEL DIA 06/20/2018SPYRAL - GESTION ADMINISTRATIVA"/>
    <n v="8"/>
    <n v="0"/>
    <s v="SUCURSAL DE VISTA ALEGRE"/>
    <x v="2"/>
  </r>
  <r>
    <n v="39"/>
    <d v="2018-06-28T00:00:00"/>
    <x v="2"/>
    <x v="2"/>
    <x v="0"/>
    <s v="CAJA"/>
    <s v="ALIMENTACION DE EMPLEADOS CTA NUEVA"/>
    <s v="TRANSACCIONES DEL DIA 06/28/2018SPYRAL - GESTION ADMINISTRATIVA"/>
    <n v="16"/>
    <n v="0"/>
    <s v="SUCURSAL DE VISTA ALEGRE"/>
    <x v="2"/>
  </r>
  <r>
    <n v="39"/>
    <d v="2018-07-03T00:00:00"/>
    <x v="6"/>
    <x v="6"/>
    <x v="0"/>
    <s v="CAJA"/>
    <s v="ALIMENTACION DE EMPLEADOS CTA NUEVA"/>
    <s v="TRANSACCIONES DEL DIA 07/03/2018SPYRAL - GESTION ADMINISTRATIVA"/>
    <n v="8"/>
    <n v="0"/>
    <s v="SUCURSAL DE VISTA ALEGRE"/>
    <x v="2"/>
  </r>
  <r>
    <n v="39"/>
    <d v="2018-07-06T00:00:00"/>
    <x v="6"/>
    <x v="6"/>
    <x v="0"/>
    <s v="CAJA"/>
    <s v="ALIMENTACION DE EMPLEADOS CTA NUEVA"/>
    <s v="TRANSACCIONES DEL DIA 07/06/2018SPYRAL - GESTION ADMINISTRATIVA"/>
    <n v="8"/>
    <n v="0"/>
    <s v="SUCURSAL DE VISTA ALEGRE"/>
    <x v="2"/>
  </r>
  <r>
    <n v="39"/>
    <d v="2018-07-09T00:00:00"/>
    <x v="6"/>
    <x v="6"/>
    <x v="0"/>
    <s v="CAJA"/>
    <s v="ALIMENTACION DE EMPLEADOS CTA NUEVA"/>
    <s v="TRANSACCIONES DEL DIA 07/09/2018SPYRAL - GESTION ADMINISTRATIVA"/>
    <n v="8"/>
    <n v="0"/>
    <s v="SUCURSAL DE VISTA ALEGRE"/>
    <x v="2"/>
  </r>
  <r>
    <n v="39"/>
    <d v="2018-07-17T00:00:00"/>
    <x v="6"/>
    <x v="6"/>
    <x v="0"/>
    <s v="CAJA"/>
    <s v="ALIMENTACION DE EMPLEADOS CTA NUEVA"/>
    <s v="TRANSACCIONES DEL DIA 07/17/2018SPYRAL - GESTION ADMINISTRATIVA"/>
    <n v="8"/>
    <n v="0"/>
    <s v="SUCURSAL DE VISTA ALEGRE"/>
    <x v="2"/>
  </r>
  <r>
    <n v="39"/>
    <d v="2018-07-21T00:00:00"/>
    <x v="6"/>
    <x v="6"/>
    <x v="0"/>
    <s v="CAJA"/>
    <s v="ALIMENTACION DE EMPLEADOS CTA NUEVA"/>
    <s v="TRANSACCIONES DEL DIA 07/21/2018SPYRAL - GESTION ADMINISTRATIVA"/>
    <n v="8"/>
    <n v="0"/>
    <s v="SUCURSAL DE VISTA ALEGRE"/>
    <x v="2"/>
  </r>
  <r>
    <n v="39"/>
    <d v="2018-07-25T00:00:00"/>
    <x v="6"/>
    <x v="6"/>
    <x v="0"/>
    <s v="CAJA"/>
    <s v="ALIMENTACION DE EMPLEADOS CTA NUEVA"/>
    <s v="TRANSACCIONES DEL DIA 07/25/2018SPYRAL - GESTION ADMINISTRATIVA"/>
    <n v="16"/>
    <n v="0"/>
    <s v="SUCURSAL DE VISTA ALEGRE"/>
    <x v="2"/>
  </r>
  <r>
    <n v="39"/>
    <d v="2018-07-28T00:00:00"/>
    <x v="6"/>
    <x v="6"/>
    <x v="0"/>
    <s v="CAJA"/>
    <s v="ALIMENTACION DE EMPLEADOS CTA NUEVA"/>
    <s v="TRANSACCIONES DEL DIA 07/28/2018SPYRAL - GESTION ADMINISTRATIVA"/>
    <n v="16"/>
    <n v="0"/>
    <s v="SUCURSAL DE VISTA ALEGRE"/>
    <x v="2"/>
  </r>
  <r>
    <n v="39"/>
    <d v="2018-08-02T00:00:00"/>
    <x v="3"/>
    <x v="3"/>
    <x v="0"/>
    <s v="CAJA"/>
    <s v="ALIMENTACION DE EMPLEADOS CTA NUEVA"/>
    <s v="TRANSACCIONES DEL DIA 08/02/2018SPYRAL - GESTION ADMINISTRATIVA"/>
    <n v="24"/>
    <n v="0"/>
    <s v="SUCURSAL DE VISTA ALEGRE"/>
    <x v="2"/>
  </r>
  <r>
    <n v="39"/>
    <d v="2018-08-06T00:00:00"/>
    <x v="3"/>
    <x v="3"/>
    <x v="0"/>
    <s v="CAJA"/>
    <s v="ALIMENTACION DE EMPLEADOS CTA NUEVA"/>
    <s v="TRANSACCIONES DEL DIA 08/06/2018SPYRAL - GESTION ADMINISTRATIVA"/>
    <n v="32"/>
    <n v="0"/>
    <s v="SUCURSAL DE VISTA ALEGRE"/>
    <x v="2"/>
  </r>
  <r>
    <n v="39"/>
    <d v="2018-08-07T00:00:00"/>
    <x v="3"/>
    <x v="3"/>
    <x v="0"/>
    <s v="CAJA"/>
    <s v="ALIMENTACION DE EMPLEADOS CTA NUEVA"/>
    <s v="TRANSACCIONES DEL DIA 08/07/2018SPYRAL - GESTION ADMINISTRATIVA"/>
    <n v="8"/>
    <n v="0"/>
    <s v="SUCURSAL DE VISTA ALEGRE"/>
    <x v="2"/>
  </r>
  <r>
    <n v="39"/>
    <d v="2018-08-15T00:00:00"/>
    <x v="3"/>
    <x v="3"/>
    <x v="0"/>
    <s v="CAJA"/>
    <s v="ALIMENTACION DE EMPLEADOS CTA NUEVA"/>
    <s v="TRANSACCIONES DEL DIA 08/15/2018SPYRAL - GESTION ADMINISTRATIVA"/>
    <n v="16"/>
    <n v="0"/>
    <s v="SUCURSAL DE VISTA ALEGRE"/>
    <x v="2"/>
  </r>
  <r>
    <n v="39"/>
    <d v="2018-08-16T00:00:00"/>
    <x v="3"/>
    <x v="3"/>
    <x v="0"/>
    <s v="CAJA"/>
    <s v="ALIMENTACION DE EMPLEADOS CTA NUEVA"/>
    <s v="TRANSACCIONES DEL DIA 08/16/2018SPYRAL - GESTION ADMINISTRATIVA"/>
    <n v="8"/>
    <n v="0"/>
    <s v="SUCURSAL DE VISTA ALEGRE"/>
    <x v="2"/>
  </r>
  <r>
    <n v="39"/>
    <d v="2018-08-21T00:00:00"/>
    <x v="3"/>
    <x v="3"/>
    <x v="0"/>
    <s v="CAJA"/>
    <s v="ALIMENTACION DE EMPLEADOS CTA NUEVA"/>
    <s v="TRANSACCIONES DEL DIA 08/21/2018SPYRAL - GESTION ADMINISTRATIVA"/>
    <n v="8"/>
    <n v="0"/>
    <s v="SUCURSAL DE VISTA ALEGRE"/>
    <x v="2"/>
  </r>
  <r>
    <n v="39"/>
    <d v="2018-08-22T00:00:00"/>
    <x v="3"/>
    <x v="3"/>
    <x v="0"/>
    <s v="CAJA"/>
    <s v="ALIMENTACION DE EMPLEADOS CTA NUEVA"/>
    <s v="TRANSACCIONES DEL DIA 08/22/2018SPYRAL - GESTION ADMINISTRATIVA"/>
    <n v="16"/>
    <n v="0"/>
    <s v="SUCURSAL DE VISTA ALEGRE"/>
    <x v="2"/>
  </r>
  <r>
    <n v="39"/>
    <d v="2018-08-23T00:00:00"/>
    <x v="3"/>
    <x v="3"/>
    <x v="0"/>
    <s v="CAJA"/>
    <s v="ALIMENTACION DE EMPLEADOS CTA NUEVA"/>
    <s v="TRANSACCIONES DEL DIA 08/23/2018SPYRAL - GESTION ADMINISTRATIVA"/>
    <n v="16"/>
    <n v="0"/>
    <s v="SUCURSAL DE VISTA ALEGRE"/>
    <x v="2"/>
  </r>
  <r>
    <n v="39"/>
    <d v="2018-08-24T00:00:00"/>
    <x v="3"/>
    <x v="3"/>
    <x v="0"/>
    <s v="CAJA"/>
    <s v="ALIMENTACION DE EMPLEADOS CTA NUEVA"/>
    <s v="TRANSACCIONES DEL DIA 08/24/2018SPYRAL - GESTION ADMINISTRATIVA"/>
    <n v="24"/>
    <n v="0"/>
    <s v="SUCURSAL DE VISTA ALEGRE"/>
    <x v="2"/>
  </r>
  <r>
    <n v="39"/>
    <d v="2018-09-05T00:00:00"/>
    <x v="4"/>
    <x v="4"/>
    <x v="0"/>
    <s v="CAJA"/>
    <s v="ALIMENTACION DE EMPLEADOS CTA NUEVA"/>
    <s v="TRANSACCIONES DEL DIA 09/05/2018SPYRAL - GESTION ADMINISTRATIVA"/>
    <n v="32"/>
    <n v="0"/>
    <s v="SUCURSAL DE VISTA ALEGRE"/>
    <x v="2"/>
  </r>
  <r>
    <n v="39"/>
    <d v="2018-09-06T00:00:00"/>
    <x v="4"/>
    <x v="4"/>
    <x v="0"/>
    <s v="CAJA"/>
    <s v="ALIMENTACION DE EMPLEADOS CTA NUEVA"/>
    <s v="TRANSACCIONES DEL DIA 09/06/2018SPYRAL - GESTION ADMINISTRATIVA"/>
    <n v="32"/>
    <n v="0"/>
    <s v="SUCURSAL DE VISTA ALEGRE"/>
    <x v="2"/>
  </r>
  <r>
    <n v="39"/>
    <d v="2018-09-12T00:00:00"/>
    <x v="4"/>
    <x v="4"/>
    <x v="0"/>
    <s v="CAJA"/>
    <s v="ALIMENTACION DE EMPLEADOS CTA NUEVA"/>
    <s v="TRANSACCIONES DEL DIA 09/12/2018SPYRAL - GESTION ADMINISTRATIVA"/>
    <n v="8"/>
    <n v="0"/>
    <s v="SUCURSAL DE VISTA ALEGRE"/>
    <x v="2"/>
  </r>
  <r>
    <n v="39"/>
    <d v="2018-09-19T00:00:00"/>
    <x v="4"/>
    <x v="4"/>
    <x v="0"/>
    <s v="CAJA"/>
    <s v="ALIMENTACION DE EMPLEADOS CTA NUEVA"/>
    <s v="TRANSACCIONES DEL DIA 09/19/2018SPYRAL - GESTION ADMINISTRATIVA"/>
    <n v="24"/>
    <n v="0"/>
    <s v="SUCURSAL DE VISTA ALEGRE"/>
    <x v="2"/>
  </r>
  <r>
    <n v="39"/>
    <d v="2018-09-21T00:00:00"/>
    <x v="4"/>
    <x v="4"/>
    <x v="0"/>
    <s v="CAJA"/>
    <s v="ALIMENTACION DE EMPLEADOS CTA NUEVA"/>
    <s v="TRANSACCIONES DEL DIA 09/21/2018SPYRAL - GESTION ADMINISTRATIVA"/>
    <n v="8"/>
    <n v="0"/>
    <s v="SUCURSAL DE VISTA ALEGRE"/>
    <x v="2"/>
  </r>
  <r>
    <n v="39"/>
    <d v="2018-10-02T00:00:00"/>
    <x v="0"/>
    <x v="0"/>
    <x v="0"/>
    <s v="CAJA"/>
    <s v="ALIMENTACION DE EMPLEADOS CTA NUEVA"/>
    <s v="TRANSACCIONES DEL DIA 10/02/2018SPYRAL - GESTION ADMINISTRATIVA"/>
    <n v="16"/>
    <n v="0"/>
    <s v="SUCURSAL DE VISTA ALEGRE"/>
    <x v="2"/>
  </r>
  <r>
    <n v="39"/>
    <d v="2018-10-03T00:00:00"/>
    <x v="0"/>
    <x v="0"/>
    <x v="0"/>
    <s v="CAJA"/>
    <s v="ALIMENTACION DE EMPLEADOS CTA NUEVA"/>
    <s v="TRANSACCIONES DEL DIA 10/03/2018SPYRAL - GESTION ADMINISTRATIVA"/>
    <n v="24"/>
    <n v="0"/>
    <s v="SUCURSAL DE VISTA ALEGRE"/>
    <x v="2"/>
  </r>
  <r>
    <n v="39"/>
    <d v="2018-10-04T00:00:00"/>
    <x v="0"/>
    <x v="0"/>
    <x v="0"/>
    <s v="CAJA"/>
    <s v="ALIMENTACION DE EMPLEADOS CTA NUEVA"/>
    <s v="TRANSACCIONES DEL DIA 10/04/2018SPYRAL - GESTION ADMINISTRATIVA"/>
    <n v="16"/>
    <n v="0"/>
    <s v="SUCURSAL DE VISTA ALEGRE"/>
    <x v="2"/>
  </r>
  <r>
    <n v="39"/>
    <d v="2018-10-08T00:00:00"/>
    <x v="0"/>
    <x v="0"/>
    <x v="0"/>
    <s v="CAJA"/>
    <s v="ALIMENTACION DE EMPLEADOS CTA NUEVA"/>
    <s v="TRANSACCIONES DEL DIA 10/08/2018SPYRAL - GESTION ADMINISTRATIVA"/>
    <n v="16"/>
    <n v="0"/>
    <s v="SUCURSAL DE VISTA ALEGRE"/>
    <x v="2"/>
  </r>
  <r>
    <n v="39"/>
    <d v="2018-10-10T00:00:00"/>
    <x v="0"/>
    <x v="0"/>
    <x v="0"/>
    <s v="CAJA"/>
    <s v="ALIMENTACION DE EMPLEADOS CTA NUEVA"/>
    <s v="TRANSACCIONES DEL DIA 10/10/2018SPYRAL - GESTION ADMINISTRATIVA"/>
    <n v="16"/>
    <n v="0"/>
    <s v="SUCURSAL DE VISTA ALEGRE"/>
    <x v="2"/>
  </r>
  <r>
    <n v="39"/>
    <d v="2018-10-12T00:00:00"/>
    <x v="0"/>
    <x v="0"/>
    <x v="0"/>
    <s v="CAJA"/>
    <s v="ALIMENTACION DE EMPLEADOS CTA NUEVA"/>
    <s v="TRANSACCIONES DEL DIA 10/12/2018SPYRAL - GESTION ADMINISTRATIVA"/>
    <n v="16"/>
    <n v="0"/>
    <s v="SUCURSAL DE VISTA ALEGRE"/>
    <x v="2"/>
  </r>
  <r>
    <n v="39"/>
    <d v="2018-10-17T00:00:00"/>
    <x v="0"/>
    <x v="0"/>
    <x v="0"/>
    <s v="CAJA"/>
    <s v="ALIMENTACION DE EMPLEADOS CTA NUEVA"/>
    <s v="TRANSACCIONES DEL DIA 10/17/2018SPYRAL - GESTION ADMINISTRATIVA"/>
    <n v="16"/>
    <n v="0"/>
    <s v="SUCURSAL DE VISTA ALEGRE"/>
    <x v="2"/>
  </r>
  <r>
    <n v="39"/>
    <d v="2018-11-06T00:00:00"/>
    <x v="5"/>
    <x v="5"/>
    <x v="0"/>
    <s v="CAJA"/>
    <s v="ALIMENTACION DE EMPLEADOS CTA NUEVA"/>
    <s v="TRANSACCIONES DEL DIA 11/06/2018SPYRAL - GESTION ADMINISTRATIVA"/>
    <n v="40"/>
    <n v="0"/>
    <s v="SUCURSAL DE VISTA ALEGRE"/>
    <x v="2"/>
  </r>
  <r>
    <n v="39"/>
    <d v="2018-11-09T00:00:00"/>
    <x v="5"/>
    <x v="5"/>
    <x v="0"/>
    <s v="CAJA"/>
    <s v="ALIMENTACION DE EMPLEADOS CTA NUEVA"/>
    <s v="TRANSACCIONES DEL DIA 11/09/2018SPYRAL - GESTION ADMINISTRATIVA"/>
    <n v="16"/>
    <n v="0"/>
    <s v="SUCURSAL DE VISTA ALEGRE"/>
    <x v="2"/>
  </r>
  <r>
    <n v="39"/>
    <d v="2018-11-12T00:00:00"/>
    <x v="5"/>
    <x v="5"/>
    <x v="0"/>
    <s v="CAJA"/>
    <s v="ALIMENTACION DE EMPLEADOS CTA NUEVA"/>
    <s v="TRANSACCIONES DEL DIA 11/12/2018SPYRAL - GESTION ADMINISTRATIVA"/>
    <n v="16"/>
    <n v="0"/>
    <s v="SUCURSAL DE VISTA ALEGRE"/>
    <x v="2"/>
  </r>
  <r>
    <n v="39"/>
    <d v="2018-11-19T00:00:00"/>
    <x v="5"/>
    <x v="5"/>
    <x v="0"/>
    <s v="CAJA"/>
    <s v="ALIMENTACION DE EMPLEADOS CTA NUEVA"/>
    <s v="TRANSACCIONES DEL DIA 11/19/2018SPYRAL - GESTION ADMINISTRATIVA"/>
    <n v="16"/>
    <n v="0"/>
    <s v="SUCURSAL DE VISTA ALEGRE"/>
    <x v="2"/>
  </r>
  <r>
    <n v="39"/>
    <d v="2018-11-20T00:00:00"/>
    <x v="5"/>
    <x v="5"/>
    <x v="0"/>
    <s v="CAJA"/>
    <s v="ALIMENTACION DE EMPLEADOS CTA NUEVA"/>
    <s v="TRANSACCIONES DEL DIA 11/20/2018SPYRAL - GESTION ADMINISTRATIVA"/>
    <n v="16"/>
    <n v="0"/>
    <s v="SUCURSAL DE VISTA ALEGRE"/>
    <x v="2"/>
  </r>
  <r>
    <n v="39"/>
    <d v="2018-11-22T00:00:00"/>
    <x v="5"/>
    <x v="5"/>
    <x v="0"/>
    <s v="CAJA"/>
    <s v="ALIMENTACION DE EMPLEADOS CTA NUEVA"/>
    <s v="TRANSACCIONES DEL DIA 11/22/2018SPYRAL - GESTION ADMINISTRATIVA"/>
    <n v="8"/>
    <n v="0"/>
    <s v="SUCURSAL DE VISTA ALEGRE"/>
    <x v="2"/>
  </r>
  <r>
    <n v="39"/>
    <d v="2018-12-04T00:00:00"/>
    <x v="1"/>
    <x v="1"/>
    <x v="0"/>
    <s v="CAJA"/>
    <s v="ALIMENTACION DE EMPLEADOS CTA NUEVA"/>
    <s v="TRANSACCIONES DEL DIA 12/04/2018SPYRAL - GESTION ADMINISTRATIVA"/>
    <n v="48"/>
    <n v="0"/>
    <s v="SUCURSAL DE VISTA ALEGRE"/>
    <x v="2"/>
  </r>
  <r>
    <n v="39"/>
    <d v="2018-12-11T00:00:00"/>
    <x v="1"/>
    <x v="1"/>
    <x v="0"/>
    <s v="CAJA"/>
    <s v="ALIMENTACION DE EMPLEADOS CTA NUEVA"/>
    <s v="TRANSACCIONES DEL DIA 12/11/2018SPYRAL - GESTION ADMINISTRATIVA"/>
    <n v="40"/>
    <n v="0"/>
    <s v="SUCURSAL DE VISTA ALEGRE"/>
    <x v="2"/>
  </r>
  <r>
    <n v="39"/>
    <d v="2018-12-13T00:00:00"/>
    <x v="1"/>
    <x v="1"/>
    <x v="0"/>
    <s v="CAJA"/>
    <s v="ALIMENTACION DE EMPLEADOS CTA NUEVA"/>
    <s v="TRANSACCIONES DEL DIA 12/13/2018SPYRAL - GESTION ADMINISTRATIVA"/>
    <n v="24"/>
    <n v="0"/>
    <s v="SUCURSAL DE VISTA ALEGRE"/>
    <x v="2"/>
  </r>
  <r>
    <n v="39"/>
    <d v="2018-12-17T00:00:00"/>
    <x v="1"/>
    <x v="1"/>
    <x v="0"/>
    <s v="CAJA"/>
    <s v="ALIMENTACION DE EMPLEADOS CTA NUEVA"/>
    <s v="TRANSACCIONES DEL DIA 12/17/2018SPYRAL - GESTION ADMINISTRATIVA"/>
    <n v="32"/>
    <n v="0"/>
    <s v="SUCURSAL DE VISTA ALEGRE"/>
    <x v="2"/>
  </r>
  <r>
    <n v="39"/>
    <d v="2018-12-22T00:00:00"/>
    <x v="1"/>
    <x v="1"/>
    <x v="0"/>
    <s v="CAJA"/>
    <s v="ALIMENTACION DE EMPLEADOS CTA NUEVA"/>
    <s v="TRANSACCIONES DEL DIA 12/22/2018SPYRAL - GESTION ADMINISTRATIVA"/>
    <n v="32"/>
    <n v="0"/>
    <s v="SUCURSAL DE VISTA ALEGRE"/>
    <x v="2"/>
  </r>
  <r>
    <n v="39"/>
    <d v="2018-12-24T00:00:00"/>
    <x v="1"/>
    <x v="1"/>
    <x v="0"/>
    <s v="CAJA"/>
    <s v="ALIMENTACION DE EMPLEADOS CTA NUEVA"/>
    <s v="TRANSACCIONES DEL DIA 12/24/2018SPYRAL - GESTION ADMINISTRATIVA"/>
    <n v="24"/>
    <n v="0"/>
    <s v="SUCURSAL DE VISTA ALEGRE"/>
    <x v="2"/>
  </r>
  <r>
    <n v="39"/>
    <d v="2018-12-28T00:00:00"/>
    <x v="1"/>
    <x v="1"/>
    <x v="0"/>
    <s v="CAJA"/>
    <s v="ALIMENTACION DE EMPLEADOS CTA NUEVA"/>
    <s v="TRANSACCIONES DEL DIA 12/28/2018SPYRAL - GESTION ADMINISTRATIVA"/>
    <n v="40"/>
    <n v="0"/>
    <s v="SUCURSAL DE VISTA ALEGRE"/>
    <x v="2"/>
  </r>
  <r>
    <n v="39"/>
    <d v="2018-12-31T00:00:00"/>
    <x v="1"/>
    <x v="1"/>
    <x v="0"/>
    <s v="CAJA"/>
    <s v="CIERRE DE ANIO FISCAL"/>
    <s v="CIERRE_DE_CTAS_NOMINALES"/>
    <n v="0"/>
    <n v="1152"/>
    <s v="SUCURSAL DE VISTA ALEGRE"/>
    <x v="2"/>
  </r>
  <r>
    <n v="39"/>
    <d v="2018-06-25T00:00:00"/>
    <x v="2"/>
    <x v="2"/>
    <x v="0"/>
    <s v="SERVICIOS PERSONALES"/>
    <s v="ALIMENTACION DE EMPLEADOS CTA NUEVA"/>
    <s v="TRANSACCIONES DEL DIA 06/25/2018SPYRAL - GESTION ADMINISTRATIVA"/>
    <n v="8"/>
    <n v="0"/>
    <s v="SUCURSAL DE VISTA ALEGRE"/>
    <x v="2"/>
  </r>
  <r>
    <n v="39"/>
    <d v="2018-07-06T00:00:00"/>
    <x v="6"/>
    <x v="6"/>
    <x v="0"/>
    <s v="SERVICIOS PERSONALES"/>
    <s v="ALIMENTACION DE EMPLEADOS CTA NUEVA"/>
    <s v="TRANSACCIONES DEL DIA 07/06/2018SPYRAL - GESTION ADMINISTRATIVA"/>
    <n v="8"/>
    <n v="0"/>
    <s v="SUCURSAL DE VISTA ALEGRE"/>
    <x v="2"/>
  </r>
  <r>
    <n v="39"/>
    <d v="2018-07-12T00:00:00"/>
    <x v="6"/>
    <x v="6"/>
    <x v="0"/>
    <s v="SERVICIOS PERSONALES"/>
    <s v="ALIMENTACION DE EMPLEADOS CTA NUEVA"/>
    <s v="TRANSACCIONES DEL DIA 07/12/2018SPYRAL - GESTION ADMINISTRATIVA"/>
    <n v="8"/>
    <n v="0"/>
    <s v="SUCURSAL DE VISTA ALEGRE"/>
    <x v="2"/>
  </r>
  <r>
    <n v="39"/>
    <d v="2018-08-13T00:00:00"/>
    <x v="3"/>
    <x v="3"/>
    <x v="0"/>
    <s v="SERVICIOS PERSONALES"/>
    <s v="ALIMENTACION DE EMPLEADOS CTA NUEVA"/>
    <s v="TRANSACCIONES DEL DIA 08/13/2018SPYRAL - GESTION ADMINISTRATIVA"/>
    <n v="8"/>
    <n v="0"/>
    <s v="SUCURSAL DE VISTA ALEGRE"/>
    <x v="2"/>
  </r>
  <r>
    <n v="39"/>
    <d v="2018-08-21T00:00:00"/>
    <x v="3"/>
    <x v="3"/>
    <x v="0"/>
    <s v="SERVICIOS PERSONALES"/>
    <s v="ALIMENTACION DE EMPLEADOS CTA NUEVA"/>
    <s v="TRANSACCIONES DEL DIA 08/21/2018SPYRAL - GESTION ADMINISTRATIVA"/>
    <n v="8"/>
    <n v="0"/>
    <s v="SUCURSAL DE VISTA ALEGRE"/>
    <x v="2"/>
  </r>
  <r>
    <n v="39"/>
    <d v="2018-08-31T00:00:00"/>
    <x v="3"/>
    <x v="3"/>
    <x v="0"/>
    <s v="SERVICIOS PERSONALES"/>
    <s v="ALIMENTACION DE EMPLEADOS CTA NUEVA"/>
    <s v="TRANSACCIONES DEL DIA 08/31/2018SPYRAL - GESTION ADMINISTRATIVA"/>
    <n v="8"/>
    <n v="0"/>
    <s v="SUCURSAL DE VISTA ALEGRE"/>
    <x v="2"/>
  </r>
  <r>
    <n v="39"/>
    <d v="2018-10-12T00:00:00"/>
    <x v="0"/>
    <x v="0"/>
    <x v="0"/>
    <s v="SERVICIOS PERSONALES"/>
    <s v="ALIMENTACION DE EMPLEADOS CTA NUEVA"/>
    <s v="TRANSACCIONES DEL DIA 10/12/2018SPYRAL - GESTION ADMINISTRATIVA"/>
    <n v="8"/>
    <n v="0"/>
    <s v="SUCURSAL DE VISTA ALEGRE"/>
    <x v="2"/>
  </r>
  <r>
    <n v="39"/>
    <d v="2018-10-17T00:00:00"/>
    <x v="0"/>
    <x v="0"/>
    <x v="0"/>
    <s v="SERVICIOS PERSONALES"/>
    <s v="ALIMENTACION DE EMPLEADOS CTA NUEVA"/>
    <s v="TRANSACCIONES DEL DIA 10/17/2018SPYRAL - GESTION ADMINISTRATIVA"/>
    <n v="8"/>
    <n v="0"/>
    <s v="SUCURSAL DE VISTA ALEGRE"/>
    <x v="2"/>
  </r>
  <r>
    <n v="39"/>
    <d v="2018-10-29T00:00:00"/>
    <x v="0"/>
    <x v="0"/>
    <x v="0"/>
    <s v="SERVICIOS PERSONALES"/>
    <s v="ALIMENTACION DE EMPLEADOS CTA NUEVA"/>
    <s v="TRANSACCIONES DEL DIA 10/29/2018SPYRAL - GESTION ADMINISTRATIVA"/>
    <n v="8"/>
    <n v="0"/>
    <s v="SUCURSAL DE VISTA ALEGRE"/>
    <x v="2"/>
  </r>
  <r>
    <n v="39"/>
    <d v="2018-11-02T00:00:00"/>
    <x v="5"/>
    <x v="5"/>
    <x v="0"/>
    <s v="SERVICIOS PERSONALES"/>
    <s v="ALIMENTACION DE EMPLEADOS CTA NUEVA"/>
    <s v="TRANSACCIONES DEL DIA 11/02/2018SPYRAL - GESTION ADMINISTRATIVA"/>
    <n v="8"/>
    <n v="0"/>
    <s v="SUCURSAL DE VISTA ALEGRE"/>
    <x v="2"/>
  </r>
  <r>
    <n v="39"/>
    <d v="2018-11-19T00:00:00"/>
    <x v="5"/>
    <x v="5"/>
    <x v="0"/>
    <s v="SERVICIOS PERSONALES"/>
    <s v="ALIMENTACION DE EMPLEADOS CTA NUEVA"/>
    <s v="TRANSACCIONES DEL DIA 11/19/2018SPYRAL - GESTION ADMINISTRATIVA"/>
    <n v="8"/>
    <n v="0"/>
    <s v="SUCURSAL DE VISTA ALEGRE"/>
    <x v="2"/>
  </r>
  <r>
    <n v="39"/>
    <d v="2018-12-04T00:00:00"/>
    <x v="1"/>
    <x v="1"/>
    <x v="0"/>
    <s v="SERVICIOS PERSONALES"/>
    <s v="ALIMENTACION DE EMPLEADOS CTA NUEVA"/>
    <s v="TRANSACCIONES DEL DIA 12/04/2018SPYRAL - GESTION ADMINISTRATIVA"/>
    <n v="8"/>
    <n v="0"/>
    <s v="SUCURSAL DE VISTA ALEGRE"/>
    <x v="2"/>
  </r>
  <r>
    <n v="39"/>
    <d v="2018-12-28T00:00:00"/>
    <x v="1"/>
    <x v="1"/>
    <x v="0"/>
    <s v="SERVICIOS PERSONALES"/>
    <s v="ALIMENTACION DE EMPLEADOS CTA NUEVA"/>
    <s v="TRANSACCIONES DEL DIA 12/28/2018SPYRAL - GESTION ADMINISTRATIVA"/>
    <n v="8"/>
    <n v="0"/>
    <s v="SUCURSAL DE VISTA ALEGRE"/>
    <x v="2"/>
  </r>
  <r>
    <n v="39"/>
    <d v="2018-12-31T00:00:00"/>
    <x v="1"/>
    <x v="1"/>
    <x v="0"/>
    <s v="SERVICIOS PERSONALES"/>
    <s v="CIERRE DE ANIO FISCAL"/>
    <s v="CIERRE_DE_CTAS_NOMINALES"/>
    <n v="0"/>
    <n v="192"/>
    <s v="SUCURSAL DE VISTA ALEGRE"/>
    <x v="2"/>
  </r>
  <r>
    <n v="40"/>
    <d v="2018-11-26T00:00:00"/>
    <x v="5"/>
    <x v="5"/>
    <x v="0"/>
    <s v="ADMINISTRACION DE SUCURSALES"/>
    <s v="ALIMENTACION DE EMPLEADOS CTA NUEVA"/>
    <s v="TRANSACCIONES DEL DIA 11/26/2018SPYRAL - GESTION ADMINISTRATIVA"/>
    <n v="15"/>
    <n v="0"/>
    <s v="LAS TABLAS"/>
    <x v="2"/>
  </r>
  <r>
    <n v="40"/>
    <d v="2018-12-31T00:00:00"/>
    <x v="1"/>
    <x v="1"/>
    <x v="0"/>
    <s v="ADMINISTRACION DE SUCURSALES"/>
    <s v="CIERRE DE ANIO FISCAL"/>
    <s v="CIERRE_DE_CTAS_NOMINALES"/>
    <n v="0"/>
    <n v="28.5"/>
    <s v="LAS TABLAS"/>
    <x v="2"/>
  </r>
  <r>
    <n v="41"/>
    <d v="2018-08-14T00:00:00"/>
    <x v="3"/>
    <x v="3"/>
    <x v="0"/>
    <s v="ADMINISTRACION DE SUCURSALES"/>
    <s v="NC ALIMENTACION DE EMPLEADOS NVA"/>
    <s v="TRANSACCIONES DEL DIA 08/14/2018SPYRAL - GESTION ADMINISTRATIVA"/>
    <n v="42.85"/>
    <n v="0"/>
    <s v="24 DE DICIEMBRE"/>
    <x v="2"/>
  </r>
  <r>
    <n v="41"/>
    <d v="2018-12-31T00:00:00"/>
    <x v="1"/>
    <x v="1"/>
    <x v="0"/>
    <s v="ADMINISTRACION DE SUCURSALES"/>
    <s v="CIERRE DE ANIO FISCAL"/>
    <s v="CIERRE_DE_CTAS_NOMINALES"/>
    <n v="0"/>
    <n v="42.85"/>
    <s v="24 DE DICIEMBRE"/>
    <x v="2"/>
  </r>
  <r>
    <n v="43"/>
    <d v="2018-06-05T00:00:00"/>
    <x v="2"/>
    <x v="2"/>
    <x v="0"/>
    <s v="CAJA"/>
    <s v="ALIMENTACION DE EMPLEADOS CTA NUEVA"/>
    <s v="TRANSACCIONES DEL DIA 06/05/2018SPYRAL - GESTION ADMINISTRATIVA"/>
    <n v="40"/>
    <n v="0"/>
    <s v="COSTA DEL ESTE"/>
    <x v="2"/>
  </r>
  <r>
    <n v="43"/>
    <d v="2018-06-18T00:00:00"/>
    <x v="2"/>
    <x v="2"/>
    <x v="0"/>
    <s v="CAJA"/>
    <s v="ALIMENTACION DE EMPLEADOS CTA NUEVA"/>
    <s v="TRANSACCIONES DEL DIA 06/18/2018SPYRAL - GESTION ADMINISTRATIVA"/>
    <n v="8"/>
    <n v="0"/>
    <s v="COSTA DEL ESTE"/>
    <x v="2"/>
  </r>
  <r>
    <n v="43"/>
    <d v="2018-06-19T00:00:00"/>
    <x v="2"/>
    <x v="2"/>
    <x v="0"/>
    <s v="CAJA"/>
    <s v="ALIMENTACION DE EMPLEADOS CTA NUEVA"/>
    <s v="TRANSACCIONES DEL DIA 06/19/2018SPYRAL - GESTION ADMINISTRATIVA"/>
    <n v="8"/>
    <n v="0"/>
    <s v="COSTA DEL ESTE"/>
    <x v="2"/>
  </r>
  <r>
    <n v="43"/>
    <d v="2018-06-22T00:00:00"/>
    <x v="2"/>
    <x v="2"/>
    <x v="0"/>
    <s v="CAJA"/>
    <s v="ALIMENTACION DE EMPLEADOS CTA NUEVA"/>
    <s v="TRANSACCIONES DEL DIA 06/22/2018SPYRAL - GESTION ADMINISTRATIVA"/>
    <n v="8"/>
    <n v="0"/>
    <s v="COSTA DEL ESTE"/>
    <x v="2"/>
  </r>
  <r>
    <n v="43"/>
    <d v="2018-06-25T00:00:00"/>
    <x v="2"/>
    <x v="2"/>
    <x v="0"/>
    <s v="CAJA"/>
    <s v="ALIMENTACION DE EMPLEADOS CTA NUEVA"/>
    <s v="TRANSACCIONES DEL DIA 06/25/2018SPYRAL - GESTION ADMINISTRATIVA"/>
    <n v="16"/>
    <n v="0"/>
    <s v="COSTA DEL ESTE"/>
    <x v="2"/>
  </r>
  <r>
    <n v="43"/>
    <d v="2018-07-04T00:00:00"/>
    <x v="6"/>
    <x v="6"/>
    <x v="0"/>
    <s v="CAJA"/>
    <s v="ALIMENTACION DE EMPLEADOS CTA NUEVA"/>
    <s v="TRANSACCIONES DEL DIA 07/04/2018SPYRAL - GESTION ADMINISTRATIVA"/>
    <n v="16"/>
    <n v="0"/>
    <s v="COSTA DEL ESTE"/>
    <x v="2"/>
  </r>
  <r>
    <n v="43"/>
    <d v="2018-07-06T00:00:00"/>
    <x v="6"/>
    <x v="6"/>
    <x v="0"/>
    <s v="CAJA"/>
    <s v="ALIMENTACION DE EMPLEADOS CTA NUEVA"/>
    <s v="TRANSACCIONES DEL DIA 07/06/2018SPYRAL - GESTION ADMINISTRATIVA"/>
    <n v="24"/>
    <n v="0"/>
    <s v="COSTA DEL ESTE"/>
    <x v="2"/>
  </r>
  <r>
    <n v="43"/>
    <d v="2018-07-16T00:00:00"/>
    <x v="6"/>
    <x v="6"/>
    <x v="0"/>
    <s v="CAJA"/>
    <s v="ALIMENTACION DE EMPLEADOS CTA NUEVA"/>
    <s v="TRANSACCIONES DEL DIA 07/16/2018SPYRAL - GESTION ADMINISTRATIVA"/>
    <n v="8"/>
    <n v="0"/>
    <s v="COSTA DEL ESTE"/>
    <x v="2"/>
  </r>
  <r>
    <n v="43"/>
    <d v="2018-07-20T00:00:00"/>
    <x v="6"/>
    <x v="6"/>
    <x v="0"/>
    <s v="CAJA"/>
    <s v="ALIMENTACION DE EMPLEADOS CTA NUEVA"/>
    <s v="TRANSACCIONES DEL DIA 07/20/2018SPYRAL - GESTION ADMINISTRATIVA"/>
    <n v="8"/>
    <n v="0"/>
    <s v="COSTA DEL ESTE"/>
    <x v="2"/>
  </r>
  <r>
    <n v="43"/>
    <d v="2018-08-06T00:00:00"/>
    <x v="3"/>
    <x v="3"/>
    <x v="0"/>
    <s v="CAJA"/>
    <s v="ALIMENTACION DE EMPLEADOS CTA NUEVA"/>
    <s v="TRANSACCIONES DEL DIA 08/06/2018SPYRAL - GESTION ADMINISTRATIVA"/>
    <n v="8"/>
    <n v="0"/>
    <s v="COSTA DEL ESTE"/>
    <x v="2"/>
  </r>
  <r>
    <n v="43"/>
    <d v="2018-08-09T00:00:00"/>
    <x v="3"/>
    <x v="3"/>
    <x v="0"/>
    <s v="CAJA"/>
    <s v="ALIMENTACION DE EMPLEADOS CTA NUEVA"/>
    <s v="TRANSACCIONES DEL DIA 08/09/2018SPYRAL - GESTION ADMINISTRATIVA"/>
    <n v="16"/>
    <n v="0"/>
    <s v="COSTA DEL ESTE"/>
    <x v="2"/>
  </r>
  <r>
    <n v="43"/>
    <d v="2018-08-22T00:00:00"/>
    <x v="3"/>
    <x v="3"/>
    <x v="0"/>
    <s v="CAJA"/>
    <s v="ALIMENTACION DE EMPLEADOS CTA NUEVA"/>
    <s v="TRANSACCIONES DEL DIA 08/22/2018SPYRAL - GESTION ADMINISTRATIVA"/>
    <n v="24"/>
    <n v="0"/>
    <s v="COSTA DEL ESTE"/>
    <x v="2"/>
  </r>
  <r>
    <n v="43"/>
    <d v="2018-09-05T00:00:00"/>
    <x v="4"/>
    <x v="4"/>
    <x v="0"/>
    <s v="CAJA"/>
    <s v="ALIMENTACION DE EMPLEADOS CTA NUEVA"/>
    <s v="TRANSACCIONES DEL DIA 09/05/2018SPYRAL - GESTION ADMINISTRATIVA"/>
    <n v="8"/>
    <n v="0"/>
    <s v="COSTA DEL ESTE"/>
    <x v="2"/>
  </r>
  <r>
    <n v="43"/>
    <d v="2018-11-06T00:00:00"/>
    <x v="5"/>
    <x v="5"/>
    <x v="0"/>
    <s v="CAJA"/>
    <s v="ALIMENTACION DE EMPLEADOS CTA NUEVA"/>
    <s v="TRANSACCIONES DEL DIA 11/06/2018SPYRAL - GESTION ADMINISTRATIVA"/>
    <n v="8"/>
    <n v="0"/>
    <s v="COSTA DEL ESTE"/>
    <x v="2"/>
  </r>
  <r>
    <n v="43"/>
    <d v="2018-11-07T00:00:00"/>
    <x v="5"/>
    <x v="5"/>
    <x v="0"/>
    <s v="CAJA"/>
    <s v="ALIMENTACION DE EMPLEADOS CTA NUEVA"/>
    <s v="TRANSACCIONES DEL DIA 11/07/2018SPYRAL - GESTION ADMINISTRATIVA"/>
    <n v="8"/>
    <n v="0"/>
    <s v="COSTA DEL ESTE"/>
    <x v="2"/>
  </r>
  <r>
    <n v="43"/>
    <d v="2018-11-12T00:00:00"/>
    <x v="5"/>
    <x v="5"/>
    <x v="0"/>
    <s v="CAJA"/>
    <s v="ALIMENTACION DE EMPLEADOS CTA NUEVA"/>
    <s v="TRANSACCIONES DEL DIA 11/12/2018SPYRAL - GESTION ADMINISTRATIVA"/>
    <n v="8"/>
    <n v="0"/>
    <s v="COSTA DEL ESTE"/>
    <x v="2"/>
  </r>
  <r>
    <n v="43"/>
    <d v="2018-12-04T00:00:00"/>
    <x v="1"/>
    <x v="1"/>
    <x v="0"/>
    <s v="CAJA"/>
    <s v="ALIMENTACION DE EMPLEADOS CTA NUEVA"/>
    <s v="TRANSACCIONES DEL DIA 12/04/2018SPYRAL - GESTION ADMINISTRATIVA"/>
    <n v="8"/>
    <n v="0"/>
    <s v="COSTA DEL ESTE"/>
    <x v="2"/>
  </r>
  <r>
    <n v="43"/>
    <d v="2018-12-06T00:00:00"/>
    <x v="1"/>
    <x v="1"/>
    <x v="0"/>
    <s v="CAJA"/>
    <s v="ALIMENTACION DE EMPLEADOS CTA NUEVA"/>
    <s v="TRANSACCIONES DEL DIA 12/06/2018SPYRAL - GESTION ADMINISTRATIVA"/>
    <n v="16"/>
    <n v="0"/>
    <s v="COSTA DEL ESTE"/>
    <x v="2"/>
  </r>
  <r>
    <n v="43"/>
    <d v="2018-12-17T00:00:00"/>
    <x v="1"/>
    <x v="1"/>
    <x v="0"/>
    <s v="CAJA"/>
    <s v="ALIMENTACION DE EMPLEADOS CTA NUEVA"/>
    <s v="TRANSACCIONES DEL DIA 12/17/2018SPYRAL - GESTION ADMINISTRATIVA"/>
    <n v="8"/>
    <n v="0"/>
    <s v="COSTA DEL ESTE"/>
    <x v="2"/>
  </r>
  <r>
    <n v="43"/>
    <d v="2018-12-18T00:00:00"/>
    <x v="1"/>
    <x v="1"/>
    <x v="0"/>
    <s v="CAJA"/>
    <s v="ALIMENTACION DE EMPLEADOS CTA NUEVA"/>
    <s v="TRANSACCIONES DEL DIA 12/18/2018SPYRAL - GESTION ADMINISTRATIVA"/>
    <n v="8"/>
    <n v="0"/>
    <s v="COSTA DEL ESTE"/>
    <x v="2"/>
  </r>
  <r>
    <n v="43"/>
    <d v="2018-12-19T00:00:00"/>
    <x v="1"/>
    <x v="1"/>
    <x v="0"/>
    <s v="CAJA"/>
    <s v="ALIMENTACION DE EMPLEADOS CTA NUEVA"/>
    <s v="TRANSACCIONES DEL DIA 12/19/2018SPYRAL - GESTION ADMINISTRATIVA"/>
    <n v="8"/>
    <n v="0"/>
    <s v="COSTA DEL ESTE"/>
    <x v="2"/>
  </r>
  <r>
    <n v="43"/>
    <d v="2018-12-28T00:00:00"/>
    <x v="1"/>
    <x v="1"/>
    <x v="0"/>
    <s v="CAJA"/>
    <s v="ALIMENTACION DE EMPLEADOS CTA NUEVA"/>
    <s v="TRANSACCIONES DEL DIA 12/28/2018SPYRAL - GESTION ADMINISTRATIVA"/>
    <n v="8"/>
    <n v="0"/>
    <s v="COSTA DEL ESTE"/>
    <x v="2"/>
  </r>
  <r>
    <n v="43"/>
    <d v="2018-12-31T00:00:00"/>
    <x v="1"/>
    <x v="1"/>
    <x v="0"/>
    <s v="CAJA"/>
    <s v="CIERRE DE ANIO FISCAL"/>
    <s v="CIERRE_DE_CTAS_NOMINALES"/>
    <n v="0"/>
    <n v="400"/>
    <s v="COSTA DEL ESTE"/>
    <x v="2"/>
  </r>
  <r>
    <n v="43"/>
    <d v="2018-07-16T00:00:00"/>
    <x v="6"/>
    <x v="6"/>
    <x v="0"/>
    <s v="SERVICIOS PERSONALES"/>
    <s v="ALIMENTACION DE EMPLEADOS CTA NUEVA"/>
    <s v="TRANSACCIONES DEL DIA 07/16/2018SPYRAL - GESTION ADMINISTRATIVA"/>
    <n v="8"/>
    <n v="0"/>
    <s v="COSTA DEL ESTE"/>
    <x v="2"/>
  </r>
  <r>
    <n v="43"/>
    <d v="2018-08-16T00:00:00"/>
    <x v="3"/>
    <x v="3"/>
    <x v="0"/>
    <s v="SERVICIOS PERSONALES"/>
    <s v="ALIMENTACION DE EMPLEADOS CTA NUEVA"/>
    <s v="TRANSACCIONES DEL DIA 08/16/2018SPYRAL - GESTION ADMINISTRATIVA"/>
    <n v="8"/>
    <n v="0"/>
    <s v="COSTA DEL ESTE"/>
    <x v="2"/>
  </r>
  <r>
    <n v="43"/>
    <d v="2018-08-28T00:00:00"/>
    <x v="3"/>
    <x v="3"/>
    <x v="0"/>
    <s v="SERVICIOS PERSONALES"/>
    <s v="ALIMENTACION DE EMPLEADOS CTA NUEVA"/>
    <s v="TRANSACCIONES DEL DIA 08/28/2018SPYRAL - GESTION ADMINISTRATIVA"/>
    <n v="8"/>
    <n v="0"/>
    <s v="COSTA DEL ESTE"/>
    <x v="2"/>
  </r>
  <r>
    <n v="43"/>
    <d v="2018-08-31T00:00:00"/>
    <x v="3"/>
    <x v="3"/>
    <x v="0"/>
    <s v="SERVICIOS PERSONALES"/>
    <s v="ALIMENTACION DE EMPLEADOS CTA NUEVA"/>
    <s v="TRANSACCIONES DEL DIA 08/31/2018SPYRAL - GESTION ADMINISTRATIVA"/>
    <n v="8"/>
    <n v="0"/>
    <s v="COSTA DEL ESTE"/>
    <x v="2"/>
  </r>
  <r>
    <n v="43"/>
    <d v="2018-09-12T00:00:00"/>
    <x v="4"/>
    <x v="4"/>
    <x v="0"/>
    <s v="SERVICIOS PERSONALES"/>
    <s v="ALIMENTACION DE EMPLEADOS CTA NUEVA"/>
    <s v="TRANSACCIONES DEL DIA 09/12/2018SPYRAL - GESTION ADMINISTRATIVA"/>
    <n v="8"/>
    <n v="0"/>
    <s v="COSTA DEL ESTE"/>
    <x v="2"/>
  </r>
  <r>
    <n v="43"/>
    <d v="2018-09-24T00:00:00"/>
    <x v="4"/>
    <x v="4"/>
    <x v="0"/>
    <s v="SERVICIOS PERSONALES"/>
    <s v="ALIMENTACION DE EMPLEADOS CTA NUEVA"/>
    <s v="TRANSACCIONES DEL DIA 09/24/2018SPYRAL - GESTION ADMINISTRATIVA"/>
    <n v="8"/>
    <n v="0"/>
    <s v="COSTA DEL ESTE"/>
    <x v="2"/>
  </r>
  <r>
    <n v="43"/>
    <d v="2018-10-27T00:00:00"/>
    <x v="0"/>
    <x v="0"/>
    <x v="0"/>
    <s v="SERVICIOS PERSONALES"/>
    <s v="ALIMENTACION DE EMPLEADOS CTA NUEVA"/>
    <s v="TRANSACCIONES DEL DIA 10/27/2018SPYRAL - GESTION ADMINISTRATIVA"/>
    <n v="8"/>
    <n v="0"/>
    <s v="COSTA DEL ESTE"/>
    <x v="2"/>
  </r>
  <r>
    <n v="43"/>
    <d v="2018-11-30T00:00:00"/>
    <x v="5"/>
    <x v="5"/>
    <x v="0"/>
    <s v="SERVICIOS PERSONALES"/>
    <s v="ALIMENTACION DE EMPLEADOS CTA NUEVA"/>
    <s v="TRANSACCIONES DEL DIA 11/30/2018SPYRAL - GESTION ADMINISTRATIVA"/>
    <n v="8"/>
    <n v="0"/>
    <s v="COSTA DEL ESTE"/>
    <x v="2"/>
  </r>
  <r>
    <n v="43"/>
    <d v="2018-12-06T00:00:00"/>
    <x v="1"/>
    <x v="1"/>
    <x v="0"/>
    <s v="SERVICIOS PERSONALES"/>
    <s v="ALIMENTACION DE EMPLEADOS CTA NUEVA"/>
    <s v="TRANSACCIONES DEL DIA 12/06/2018SPYRAL - GESTION ADMINISTRATIVA"/>
    <n v="8"/>
    <n v="0"/>
    <s v="COSTA DEL ESTE"/>
    <x v="2"/>
  </r>
  <r>
    <n v="43"/>
    <d v="2018-12-13T00:00:00"/>
    <x v="1"/>
    <x v="1"/>
    <x v="0"/>
    <s v="SERVICIOS PERSONALES"/>
    <s v="ALIMENTACION DE EMPLEADOS CTA NUEVA"/>
    <s v="TRANSACCIONES DEL DIA 12/13/2018SPYRAL - GESTION ADMINISTRATIVA"/>
    <n v="16"/>
    <n v="0"/>
    <s v="COSTA DEL ESTE"/>
    <x v="2"/>
  </r>
  <r>
    <n v="43"/>
    <d v="2018-12-31T00:00:00"/>
    <x v="1"/>
    <x v="1"/>
    <x v="0"/>
    <s v="SERVICIOS PERSONALES"/>
    <s v="CIERRE DE ANIO FISCAL"/>
    <s v="CIERRE_DE_CTAS_NOMINALES"/>
    <n v="0"/>
    <n v="168"/>
    <s v="COSTA DEL ESTE"/>
    <x v="2"/>
  </r>
  <r>
    <n v="44"/>
    <d v="2018-06-20T00:00:00"/>
    <x v="2"/>
    <x v="2"/>
    <x v="0"/>
    <s v="ADMINISTRACION DE SUCURSALES"/>
    <s v="NC ALIMENTACION DE EMPLEADOS NVA"/>
    <s v="TRANSACCIONES DEL DIA 06/20/2018SPYRAL - GESTION ADMINISTRATIVA"/>
    <n v="35.36"/>
    <n v="0"/>
    <s v="MULTI PLAZA"/>
    <x v="2"/>
  </r>
  <r>
    <n v="44"/>
    <d v="2018-06-20T00:00:00"/>
    <x v="2"/>
    <x v="2"/>
    <x v="0"/>
    <s v="ADMINISTRACION DE SUCURSALES"/>
    <s v="ALIMENTACION DE EMPLEADOS CTA NUEVA"/>
    <s v="TRANSACCIONES DEL DIA 06/20/2018SPYRAL - GESTION ADMINISTRATIVA"/>
    <n v="8"/>
    <n v="0"/>
    <s v="MULTI PLAZA"/>
    <x v="2"/>
  </r>
  <r>
    <n v="44"/>
    <d v="2018-07-17T00:00:00"/>
    <x v="6"/>
    <x v="6"/>
    <x v="0"/>
    <s v="ADMINISTRACION DE SUCURSALES"/>
    <s v="ALIMENTACION DE EMPLEADOS CTA NUEVA"/>
    <s v="TRANSACCIONES DEL DIA 07/17/2018SPYRAL - GESTION ADMINISTRATIVA"/>
    <n v="8"/>
    <n v="0"/>
    <s v="MULTI PLAZA"/>
    <x v="2"/>
  </r>
  <r>
    <n v="44"/>
    <d v="2018-07-31T00:00:00"/>
    <x v="6"/>
    <x v="6"/>
    <x v="0"/>
    <s v="ADMINISTRACION DE SUCURSALES"/>
    <s v="ALIMENTACION DE EMPLEADOS CTA NUEVA"/>
    <s v="TRANSACCIONES DEL DIA 07/31/2018SPYRAL - GESTION ADMINISTRATIVA"/>
    <n v="8"/>
    <n v="0"/>
    <s v="MULTI PLAZA"/>
    <x v="2"/>
  </r>
  <r>
    <n v="44"/>
    <d v="2018-08-16T00:00:00"/>
    <x v="3"/>
    <x v="3"/>
    <x v="0"/>
    <s v="ADMINISTRACION DE SUCURSALES"/>
    <s v="ALIMENTACION DE EMPLEADOS CTA NUEVA"/>
    <s v="TRANSACCIONES DEL DIA 08/16/2018SPYRAL - GESTION ADMINISTRATIVA"/>
    <n v="8"/>
    <n v="0"/>
    <s v="MULTI PLAZA"/>
    <x v="2"/>
  </r>
  <r>
    <n v="44"/>
    <d v="2018-10-15T00:00:00"/>
    <x v="0"/>
    <x v="0"/>
    <x v="0"/>
    <s v="ADMINISTRACION DE SUCURSALES"/>
    <s v="ALIMENTACION DE EMPLEADOS CTA NUEVA"/>
    <s v="TRANSACCIONES DEL DIA 10/15/2018SPYRAL - GESTION ADMINISTRATIVA"/>
    <n v="8"/>
    <n v="0"/>
    <s v="MULTI PLAZA"/>
    <x v="2"/>
  </r>
  <r>
    <n v="44"/>
    <d v="2018-11-08T00:00:00"/>
    <x v="5"/>
    <x v="5"/>
    <x v="0"/>
    <s v="ADMINISTRACION DE SUCURSALES"/>
    <s v="NC ALIMENTACION DE EMPLEADOS NVA"/>
    <s v="TRANSACCIONES DEL DIA 11/08/2018SPYRAL - GESTION ADMINISTRATIVA"/>
    <n v="27.85"/>
    <n v="0"/>
    <s v="MULTI PLAZA"/>
    <x v="2"/>
  </r>
  <r>
    <n v="44"/>
    <d v="2018-11-19T00:00:00"/>
    <x v="5"/>
    <x v="5"/>
    <x v="0"/>
    <s v="ADMINISTRACION DE SUCURSALES"/>
    <s v="ALIMENTACION DE EMPLEADOS CTA NUEVA"/>
    <s v="TRANSACCIONES DEL DIA 11/19/2018SPYRAL - GESTION ADMINISTRATIVA"/>
    <n v="8"/>
    <n v="0"/>
    <s v="MULTI PLAZA"/>
    <x v="2"/>
  </r>
  <r>
    <n v="44"/>
    <d v="2018-12-31T00:00:00"/>
    <x v="1"/>
    <x v="1"/>
    <x v="0"/>
    <s v="ADMINISTRACION DE SUCURSALES"/>
    <s v="CIERRE DE ANIO FISCAL"/>
    <s v="CIERRE_DE_CTAS_NOMINALES"/>
    <n v="0"/>
    <n v="127.21"/>
    <s v="MULTI PLAZA"/>
    <x v="2"/>
  </r>
  <r>
    <n v="44"/>
    <d v="2018-06-05T00:00:00"/>
    <x v="2"/>
    <x v="2"/>
    <x v="0"/>
    <s v="CAJA"/>
    <s v="ALIMENTACION DE EMPLEADOS CTA NUEVA"/>
    <s v="TRANSACCIONES DEL DIA 06/05/2018SPYRAL - GESTION ADMINISTRATIVA"/>
    <n v="32"/>
    <n v="0"/>
    <s v="MULTI PLAZA"/>
    <x v="2"/>
  </r>
  <r>
    <n v="44"/>
    <d v="2018-06-06T00:00:00"/>
    <x v="2"/>
    <x v="2"/>
    <x v="0"/>
    <s v="CAJA"/>
    <s v="ALIMENTACION DE EMPLEADOS CTA NUEVA"/>
    <s v="TRANSACCIONES DEL DIA 06/06/2018SPYRAL - GESTION ADMINISTRATIVA"/>
    <n v="8"/>
    <n v="0"/>
    <s v="MULTI PLAZA"/>
    <x v="2"/>
  </r>
  <r>
    <n v="44"/>
    <d v="2018-06-18T00:00:00"/>
    <x v="2"/>
    <x v="2"/>
    <x v="0"/>
    <s v="CAJA"/>
    <s v="ALIMENTACION DE EMPLEADOS CTA NUEVA"/>
    <s v="TRANSACCIONES DEL DIA 06/18/2018SPYRAL - GESTION ADMINISTRATIVA"/>
    <n v="8"/>
    <n v="0"/>
    <s v="MULTI PLAZA"/>
    <x v="2"/>
  </r>
  <r>
    <n v="44"/>
    <d v="2018-06-20T00:00:00"/>
    <x v="2"/>
    <x v="2"/>
    <x v="0"/>
    <s v="CAJA"/>
    <s v="ALIMENTACION DE EMPLEADOS CTA NUEVA"/>
    <s v="TRANSACCIONES DEL DIA 06/20/2018SPYRAL - GESTION ADMINISTRATIVA"/>
    <n v="32"/>
    <n v="0"/>
    <s v="MULTI PLAZA"/>
    <x v="2"/>
  </r>
  <r>
    <n v="44"/>
    <d v="2018-06-21T00:00:00"/>
    <x v="2"/>
    <x v="2"/>
    <x v="0"/>
    <s v="CAJA"/>
    <s v="ALIMENTACION DE EMPLEADOS CTA NUEVA"/>
    <s v="TRANSACCIONES DEL DIA 06/21/2018SPYRAL - GESTION ADMINISTRATIVA"/>
    <n v="8"/>
    <n v="0"/>
    <s v="MULTI PLAZA"/>
    <x v="2"/>
  </r>
  <r>
    <n v="44"/>
    <d v="2018-06-26T00:00:00"/>
    <x v="2"/>
    <x v="2"/>
    <x v="0"/>
    <s v="CAJA"/>
    <s v="ALIMENTACION DE EMPLEADOS CTA NUEVA"/>
    <s v="TRANSACCIONES DEL DIA 06/26/2018SPYRAL - GESTION ADMINISTRATIVA"/>
    <n v="8"/>
    <n v="0"/>
    <s v="MULTI PLAZA"/>
    <x v="2"/>
  </r>
  <r>
    <n v="44"/>
    <d v="2018-07-03T00:00:00"/>
    <x v="6"/>
    <x v="6"/>
    <x v="0"/>
    <s v="CAJA"/>
    <s v="ALIMENTACION DE EMPLEADOS CTA NUEVA"/>
    <s v="TRANSACCIONES DEL DIA 07/03/2018SPYRAL - GESTION ADMINISTRATIVA"/>
    <n v="16"/>
    <n v="0"/>
    <s v="MULTI PLAZA"/>
    <x v="2"/>
  </r>
  <r>
    <n v="44"/>
    <d v="2018-07-06T00:00:00"/>
    <x v="6"/>
    <x v="6"/>
    <x v="0"/>
    <s v="CAJA"/>
    <s v="ALIMENTACION DE EMPLEADOS CTA NUEVA"/>
    <s v="TRANSACCIONES DEL DIA 07/06/2018SPYRAL - GESTION ADMINISTRATIVA"/>
    <n v="16"/>
    <n v="0"/>
    <s v="MULTI PLAZA"/>
    <x v="2"/>
  </r>
  <r>
    <n v="44"/>
    <d v="2018-07-20T00:00:00"/>
    <x v="6"/>
    <x v="6"/>
    <x v="0"/>
    <s v="CAJA"/>
    <s v="ALIMENTACION DE EMPLEADOS CTA NUEVA"/>
    <s v="TRANSACCIONES DEL DIA 07/20/2018SPYRAL - GESTION ADMINISTRATIVA"/>
    <n v="8"/>
    <n v="0"/>
    <s v="MULTI PLAZA"/>
    <x v="2"/>
  </r>
  <r>
    <n v="44"/>
    <d v="2018-07-24T00:00:00"/>
    <x v="6"/>
    <x v="6"/>
    <x v="0"/>
    <s v="CAJA"/>
    <s v="ALIMENTACION DE EMPLEADOS CTA NUEVA"/>
    <s v="TRANSACCIONES DEL DIA 07/24/2018SPYRAL - GESTION ADMINISTRATIVA"/>
    <n v="16"/>
    <n v="0"/>
    <s v="MULTI PLAZA"/>
    <x v="2"/>
  </r>
  <r>
    <n v="44"/>
    <d v="2018-08-02T00:00:00"/>
    <x v="3"/>
    <x v="3"/>
    <x v="0"/>
    <s v="CAJA"/>
    <s v="ALIMENTACION DE EMPLEADOS CTA NUEVA"/>
    <s v="TRANSACCIONES DEL DIA 08/02/2018SPYRAL - GESTION ADMINISTRATIVA"/>
    <n v="8"/>
    <n v="0"/>
    <s v="MULTI PLAZA"/>
    <x v="2"/>
  </r>
  <r>
    <n v="44"/>
    <d v="2018-08-06T00:00:00"/>
    <x v="3"/>
    <x v="3"/>
    <x v="0"/>
    <s v="CAJA"/>
    <s v="ALIMENTACION DE EMPLEADOS CTA NUEVA"/>
    <s v="TRANSACCIONES DEL DIA 08/06/2018SPYRAL - GESTION ADMINISTRATIVA"/>
    <n v="48"/>
    <n v="0"/>
    <s v="MULTI PLAZA"/>
    <x v="2"/>
  </r>
  <r>
    <n v="44"/>
    <d v="2018-08-17T00:00:00"/>
    <x v="3"/>
    <x v="3"/>
    <x v="0"/>
    <s v="CAJA"/>
    <s v="ALIMENTACION DE EMPLEADOS CTA NUEVA"/>
    <s v="TRANSACCIONES DEL DIA 08/17/2018SPYRAL - GESTION ADMINISTRATIVA"/>
    <n v="16"/>
    <n v="0"/>
    <s v="MULTI PLAZA"/>
    <x v="2"/>
  </r>
  <r>
    <n v="44"/>
    <d v="2018-08-22T00:00:00"/>
    <x v="3"/>
    <x v="3"/>
    <x v="0"/>
    <s v="CAJA"/>
    <s v="ALIMENTACION DE EMPLEADOS CTA NUEVA"/>
    <s v="TRANSACCIONES DEL DIA 08/22/2018SPYRAL - GESTION ADMINISTRATIVA"/>
    <n v="16"/>
    <n v="0"/>
    <s v="MULTI PLAZA"/>
    <x v="2"/>
  </r>
  <r>
    <n v="44"/>
    <d v="2018-08-28T00:00:00"/>
    <x v="3"/>
    <x v="3"/>
    <x v="0"/>
    <s v="CAJA"/>
    <s v="ALIMENTACION DE EMPLEADOS CTA NUEVA"/>
    <s v="TRANSACCIONES DEL DIA 08/28/2018SPYRAL - GESTION ADMINISTRATIVA"/>
    <n v="8"/>
    <n v="0"/>
    <s v="MULTI PLAZA"/>
    <x v="2"/>
  </r>
  <r>
    <n v="44"/>
    <d v="2018-09-07T00:00:00"/>
    <x v="4"/>
    <x v="4"/>
    <x v="0"/>
    <s v="CAJA"/>
    <s v="ALIMENTACION DE EMPLEADOS CTA NUEVA"/>
    <s v="TRANSACCIONES DEL DIA 09/07/2018SPYRAL - GESTION ADMINISTRATIVA"/>
    <n v="32"/>
    <n v="0"/>
    <s v="MULTI PLAZA"/>
    <x v="2"/>
  </r>
  <r>
    <n v="44"/>
    <d v="2018-09-12T00:00:00"/>
    <x v="4"/>
    <x v="4"/>
    <x v="0"/>
    <s v="CAJA"/>
    <s v="ALIMENTACION DE EMPLEADOS CTA NUEVA"/>
    <s v="TRANSACCIONES DEL DIA 09/12/2018SPYRAL - GESTION ADMINISTRATIVA"/>
    <n v="8"/>
    <n v="0"/>
    <s v="MULTI PLAZA"/>
    <x v="2"/>
  </r>
  <r>
    <n v="44"/>
    <d v="2018-09-18T00:00:00"/>
    <x v="4"/>
    <x v="4"/>
    <x v="0"/>
    <s v="CAJA"/>
    <s v="ALIMENTACION DE EMPLEADOS CTA NUEVA"/>
    <s v="TRANSACCIONES DEL DIA 09/18/2018SPYRAL - GESTION ADMINISTRATIVA"/>
    <n v="16"/>
    <n v="0"/>
    <s v="MULTI PLAZA"/>
    <x v="2"/>
  </r>
  <r>
    <n v="44"/>
    <d v="2018-09-24T00:00:00"/>
    <x v="4"/>
    <x v="4"/>
    <x v="0"/>
    <s v="CAJA"/>
    <s v="ALIMENTACION DE EMPLEADOS CTA NUEVA"/>
    <s v="TRANSACCIONES DEL DIA 09/24/2018SPYRAL - GESTION ADMINISTRATIVA"/>
    <n v="16"/>
    <n v="0"/>
    <s v="MULTI PLAZA"/>
    <x v="2"/>
  </r>
  <r>
    <n v="44"/>
    <d v="2018-09-25T00:00:00"/>
    <x v="4"/>
    <x v="4"/>
    <x v="0"/>
    <s v="CAJA"/>
    <s v="ALIMENTACION DE EMPLEADOS CTA NUEVA"/>
    <s v="TRANSACCIONES DEL DIA 09/25/2018SPYRAL - GESTION ADMINISTRATIVA"/>
    <n v="8"/>
    <n v="0"/>
    <s v="MULTI PLAZA"/>
    <x v="2"/>
  </r>
  <r>
    <n v="44"/>
    <d v="2018-10-02T00:00:00"/>
    <x v="0"/>
    <x v="0"/>
    <x v="0"/>
    <s v="CAJA"/>
    <s v="ALIMENTACION DE EMPLEADOS CTA NUEVA"/>
    <s v="TRANSACCIONES DEL DIA 10/02/2018SPYRAL - GESTION ADMINISTRATIVA"/>
    <n v="32"/>
    <n v="0"/>
    <s v="MULTI PLAZA"/>
    <x v="2"/>
  </r>
  <r>
    <n v="44"/>
    <d v="2018-10-03T00:00:00"/>
    <x v="0"/>
    <x v="0"/>
    <x v="0"/>
    <s v="CAJA"/>
    <s v="ALIMENTACION DE EMPLEADOS CTA NUEVA"/>
    <s v="TRANSACCIONES DEL DIA 10/03/2018SPYRAL - GESTION ADMINISTRATIVA"/>
    <n v="16"/>
    <n v="0"/>
    <s v="MULTI PLAZA"/>
    <x v="2"/>
  </r>
  <r>
    <n v="44"/>
    <d v="2018-10-08T00:00:00"/>
    <x v="0"/>
    <x v="0"/>
    <x v="0"/>
    <s v="CAJA"/>
    <s v="ALIMENTACION DE EMPLEADOS CTA NUEVA"/>
    <s v="TRANSACCIONES DEL DIA 10/08/2018SPYRAL - GESTION ADMINISTRATIVA"/>
    <n v="16"/>
    <n v="0"/>
    <s v="MULTI PLAZA"/>
    <x v="2"/>
  </r>
  <r>
    <n v="44"/>
    <d v="2018-10-09T00:00:00"/>
    <x v="0"/>
    <x v="0"/>
    <x v="0"/>
    <s v="CAJA"/>
    <s v="ALIMENTACION DE EMPLEADOS CTA NUEVA"/>
    <s v="TRANSACCIONES DEL DIA 10/09/2018SPYRAL - GESTION ADMINISTRATIVA"/>
    <n v="8"/>
    <n v="0"/>
    <s v="MULTI PLAZA"/>
    <x v="2"/>
  </r>
  <r>
    <n v="44"/>
    <d v="2018-10-15T00:00:00"/>
    <x v="0"/>
    <x v="0"/>
    <x v="0"/>
    <s v="CAJA"/>
    <s v="ALIMENTACION DE EMPLEADOS CTA NUEVA"/>
    <s v="TRANSACCIONES DEL DIA 10/15/2018SPYRAL - GESTION ADMINISTRATIVA"/>
    <n v="16"/>
    <n v="0"/>
    <s v="MULTI PLAZA"/>
    <x v="2"/>
  </r>
  <r>
    <n v="44"/>
    <d v="2018-10-19T00:00:00"/>
    <x v="0"/>
    <x v="0"/>
    <x v="0"/>
    <s v="CAJA"/>
    <s v="ALIMENTACION DE EMPLEADOS CTA NUEVA"/>
    <s v="TRANSACCIONES DEL DIA 10/19/2018SPYRAL - GESTION ADMINISTRATIVA"/>
    <n v="8"/>
    <n v="0"/>
    <s v="MULTI PLAZA"/>
    <x v="2"/>
  </r>
  <r>
    <n v="44"/>
    <d v="2018-10-22T00:00:00"/>
    <x v="0"/>
    <x v="0"/>
    <x v="0"/>
    <s v="CAJA"/>
    <s v="ALIMENTACION DE EMPLEADOS CTA NUEVA"/>
    <s v="TRANSACCIONES DEL DIA 10/22/2018SPYRAL - GESTION ADMINISTRATIVA"/>
    <n v="16"/>
    <n v="0"/>
    <s v="MULTI PLAZA"/>
    <x v="2"/>
  </r>
  <r>
    <n v="44"/>
    <d v="2018-10-24T00:00:00"/>
    <x v="0"/>
    <x v="0"/>
    <x v="0"/>
    <s v="CAJA"/>
    <s v="ALIMENTACION DE EMPLEADOS CTA NUEVA"/>
    <s v="TRANSACCIONES DEL DIA 10/24/2018SPYRAL - GESTION ADMINISTRATIVA"/>
    <n v="8"/>
    <n v="0"/>
    <s v="MULTI PLAZA"/>
    <x v="2"/>
  </r>
  <r>
    <n v="44"/>
    <d v="2018-10-26T00:00:00"/>
    <x v="0"/>
    <x v="0"/>
    <x v="0"/>
    <s v="CAJA"/>
    <s v="ALIMENTACION DE EMPLEADOS CTA NUEVA"/>
    <s v="TRANSACCIONES DEL DIA 10/26/2018SPYRAL - GESTION ADMINISTRATIVA"/>
    <n v="8"/>
    <n v="0"/>
    <s v="MULTI PLAZA"/>
    <x v="2"/>
  </r>
  <r>
    <n v="44"/>
    <d v="2018-11-08T00:00:00"/>
    <x v="5"/>
    <x v="5"/>
    <x v="0"/>
    <s v="CAJA"/>
    <s v="ALIMENTACION DE EMPLEADOS CTA NUEVA"/>
    <s v="TRANSACCIONES DEL DIA 11/08/2018SPYRAL - GESTION ADMINISTRATIVA"/>
    <n v="24"/>
    <n v="0"/>
    <s v="MULTI PLAZA"/>
    <x v="2"/>
  </r>
  <r>
    <n v="44"/>
    <d v="2018-11-14T00:00:00"/>
    <x v="5"/>
    <x v="5"/>
    <x v="0"/>
    <s v="CAJA"/>
    <s v="ALIMENTACION DE EMPLEADOS CTA NUEVA"/>
    <s v="TRANSACCIONES DEL DIA 11/14/2018SPYRAL - GESTION ADMINISTRATIVA"/>
    <n v="32"/>
    <n v="0"/>
    <s v="MULTI PLAZA"/>
    <x v="2"/>
  </r>
  <r>
    <n v="44"/>
    <d v="2018-11-15T00:00:00"/>
    <x v="5"/>
    <x v="5"/>
    <x v="0"/>
    <s v="CAJA"/>
    <s v="ALIMENTACION DE EMPLEADOS CTA NUEVA"/>
    <s v="TRANSACCIONES DEL DIA 11/15/2018SPYRAL - GESTION ADMINISTRATIVA"/>
    <n v="24"/>
    <n v="0"/>
    <s v="MULTI PLAZA"/>
    <x v="2"/>
  </r>
  <r>
    <n v="44"/>
    <d v="2018-11-19T00:00:00"/>
    <x v="5"/>
    <x v="5"/>
    <x v="0"/>
    <s v="CAJA"/>
    <s v="ALIMENTACION DE EMPLEADOS CTA NUEVA"/>
    <s v="TRANSACCIONES DEL DIA 11/19/2018SPYRAL - GESTION ADMINISTRATIVA"/>
    <n v="16"/>
    <n v="0"/>
    <s v="MULTI PLAZA"/>
    <x v="2"/>
  </r>
  <r>
    <n v="44"/>
    <d v="2018-11-20T00:00:00"/>
    <x v="5"/>
    <x v="5"/>
    <x v="0"/>
    <s v="CAJA"/>
    <s v="ALIMENTACION DE EMPLEADOS CTA NUEVA"/>
    <s v="TRANSACCIONES DEL DIA 11/20/2018SPYRAL - GESTION ADMINISTRATIVA"/>
    <n v="16"/>
    <n v="0"/>
    <s v="MULTI PLAZA"/>
    <x v="2"/>
  </r>
  <r>
    <n v="44"/>
    <d v="2018-11-27T00:00:00"/>
    <x v="5"/>
    <x v="5"/>
    <x v="0"/>
    <s v="CAJA"/>
    <s v="ALIMENTACION DE EMPLEADOS CTA NUEVA"/>
    <s v="TRANSACCIONES DEL DIA 11/27/2018SPYRAL - GESTION ADMINISTRATIVA"/>
    <n v="8"/>
    <n v="0"/>
    <s v="MULTI PLAZA"/>
    <x v="2"/>
  </r>
  <r>
    <n v="44"/>
    <d v="2018-12-05T00:00:00"/>
    <x v="1"/>
    <x v="1"/>
    <x v="0"/>
    <s v="CAJA"/>
    <s v="ALIMENTACION DE EMPLEADOS CTA NUEVA"/>
    <s v="TRANSACCIONES DEL DIA 12/05/2018SPYRAL - GESTION ADMINISTRATIVA"/>
    <n v="24"/>
    <n v="0"/>
    <s v="MULTI PLAZA"/>
    <x v="2"/>
  </r>
  <r>
    <n v="44"/>
    <d v="2018-12-06T00:00:00"/>
    <x v="1"/>
    <x v="1"/>
    <x v="0"/>
    <s v="CAJA"/>
    <s v="ALIMENTACION DE EMPLEADOS CTA NUEVA"/>
    <s v="TRANSACCIONES DEL DIA 12/06/2018SPYRAL - GESTION ADMINISTRATIVA"/>
    <n v="8"/>
    <n v="0"/>
    <s v="MULTI PLAZA"/>
    <x v="2"/>
  </r>
  <r>
    <n v="44"/>
    <d v="2018-12-11T00:00:00"/>
    <x v="1"/>
    <x v="1"/>
    <x v="0"/>
    <s v="CAJA"/>
    <s v="ALIMENTACION DE EMPLEADOS CTA NUEVA"/>
    <s v="TRANSACCIONES DEL DIA 12/11/2018SPYRAL - GESTION ADMINISTRATIVA"/>
    <n v="24"/>
    <n v="0"/>
    <s v="MULTI PLAZA"/>
    <x v="2"/>
  </r>
  <r>
    <n v="44"/>
    <d v="2018-12-13T00:00:00"/>
    <x v="1"/>
    <x v="1"/>
    <x v="0"/>
    <s v="CAJA"/>
    <s v="ALIMENTACION DE EMPLEADOS CTA NUEVA"/>
    <s v="TRANSACCIONES DEL DIA 12/13/2018SPYRAL - GESTION ADMINISTRATIVA"/>
    <n v="16"/>
    <n v="0"/>
    <s v="MULTI PLAZA"/>
    <x v="2"/>
  </r>
  <r>
    <n v="44"/>
    <d v="2018-12-14T00:00:00"/>
    <x v="1"/>
    <x v="1"/>
    <x v="0"/>
    <s v="CAJA"/>
    <s v="ALIMENTACION DE EMPLEADOS CTA NUEVA"/>
    <s v="TRANSACCIONES DEL DIA 12/14/2018SPYRAL - GESTION ADMINISTRATIVA"/>
    <n v="16"/>
    <n v="0"/>
    <s v="MULTI PLAZA"/>
    <x v="2"/>
  </r>
  <r>
    <n v="44"/>
    <d v="2018-12-17T00:00:00"/>
    <x v="1"/>
    <x v="1"/>
    <x v="0"/>
    <s v="CAJA"/>
    <s v="ALIMENTACION DE EMPLEADOS CTA NUEVA"/>
    <s v="TRANSACCIONES DEL DIA 12/17/2018SPYRAL - GESTION ADMINISTRATIVA"/>
    <n v="8"/>
    <n v="0"/>
    <s v="MULTI PLAZA"/>
    <x v="2"/>
  </r>
  <r>
    <n v="44"/>
    <d v="2018-12-21T00:00:00"/>
    <x v="1"/>
    <x v="1"/>
    <x v="0"/>
    <s v="CAJA"/>
    <s v="ALIMENTACION DE EMPLEADOS CTA NUEVA"/>
    <s v="TRANSACCIONES DEL DIA 12/21/2018SPYRAL - GESTION ADMINISTRATIVA"/>
    <n v="72"/>
    <n v="0"/>
    <s v="MULTI PLAZA"/>
    <x v="2"/>
  </r>
  <r>
    <n v="44"/>
    <d v="2018-12-22T00:00:00"/>
    <x v="1"/>
    <x v="1"/>
    <x v="0"/>
    <s v="CAJA"/>
    <s v="ALIMENTACION DE EMPLEADOS CTA NUEVA"/>
    <s v="TRANSACCIONES DEL DIA 12/22/2018SPYRAL - GESTION ADMINISTRATIVA"/>
    <n v="16"/>
    <n v="0"/>
    <s v="MULTI PLAZA"/>
    <x v="2"/>
  </r>
  <r>
    <n v="44"/>
    <d v="2018-12-24T00:00:00"/>
    <x v="1"/>
    <x v="1"/>
    <x v="0"/>
    <s v="CAJA"/>
    <s v="ALIMENTACION DE EMPLEADOS CTA NUEVA"/>
    <s v="TRANSACCIONES DEL DIA 12/24/2018SPYRAL - GESTION ADMINISTRATIVA"/>
    <n v="16"/>
    <n v="0"/>
    <s v="MULTI PLAZA"/>
    <x v="2"/>
  </r>
  <r>
    <n v="44"/>
    <d v="2018-12-28T00:00:00"/>
    <x v="1"/>
    <x v="1"/>
    <x v="0"/>
    <s v="CAJA"/>
    <s v="ALIMENTACION DE EMPLEADOS CTA NUEVA"/>
    <s v="TRANSACCIONES DEL DIA 12/28/2018SPYRAL - GESTION ADMINISTRATIVA"/>
    <n v="16"/>
    <n v="0"/>
    <s v="MULTI PLAZA"/>
    <x v="2"/>
  </r>
  <r>
    <n v="44"/>
    <d v="2018-12-31T00:00:00"/>
    <x v="1"/>
    <x v="1"/>
    <x v="0"/>
    <s v="CAJA"/>
    <s v="CIERRE DE ANIO FISCAL"/>
    <s v="CIERRE_DE_CTAS_NOMINALES"/>
    <n v="0"/>
    <n v="1424"/>
    <s v="MULTI PLAZA"/>
    <x v="2"/>
  </r>
  <r>
    <n v="44"/>
    <d v="2018-06-28T00:00:00"/>
    <x v="2"/>
    <x v="2"/>
    <x v="0"/>
    <s v="SERVICIOS PERSONALES"/>
    <s v="ALIMENTACION DE EMPLEADOS CTA NUEVA"/>
    <s v="TRANSACCIONES DEL DIA 06/28/2018SPYRAL - GESTION ADMINISTRATIVA"/>
    <n v="8"/>
    <n v="0"/>
    <s v="MULTI PLAZA"/>
    <x v="2"/>
  </r>
  <r>
    <n v="44"/>
    <d v="2018-07-17T00:00:00"/>
    <x v="6"/>
    <x v="6"/>
    <x v="0"/>
    <s v="SERVICIOS PERSONALES"/>
    <s v="ALIMENTACION DE EMPLEADOS CTA NUEVA"/>
    <s v="TRANSACCIONES DEL DIA 07/17/2018SPYRAL - GESTION ADMINISTRATIVA"/>
    <n v="8"/>
    <n v="0"/>
    <s v="MULTI PLAZA"/>
    <x v="2"/>
  </r>
  <r>
    <n v="44"/>
    <d v="2018-10-09T00:00:00"/>
    <x v="0"/>
    <x v="0"/>
    <x v="0"/>
    <s v="SERVICIOS PERSONALES"/>
    <s v="ALIMENTACION DE EMPLEADOS CTA NUEVA"/>
    <s v="TRANSACCIONES DEL DIA 10/09/2018SPYRAL - GESTION ADMINISTRATIVA"/>
    <n v="8"/>
    <n v="0"/>
    <s v="MULTI PLAZA"/>
    <x v="2"/>
  </r>
  <r>
    <n v="44"/>
    <d v="2018-10-15T00:00:00"/>
    <x v="0"/>
    <x v="0"/>
    <x v="0"/>
    <s v="SERVICIOS PERSONALES"/>
    <s v="ALIMENTACION DE EMPLEADOS CTA NUEVA"/>
    <s v="TRANSACCIONES DEL DIA 10/15/2018SPYRAL - GESTION ADMINISTRATIVA"/>
    <n v="8"/>
    <n v="0"/>
    <s v="MULTI PLAZA"/>
    <x v="2"/>
  </r>
  <r>
    <n v="44"/>
    <d v="2018-11-30T00:00:00"/>
    <x v="5"/>
    <x v="5"/>
    <x v="0"/>
    <s v="SERVICIOS PERSONALES"/>
    <s v="ALIMENTACION DE EMPLEADOS CTA NUEVA"/>
    <s v="TRANSACCIONES DEL DIA 11/30/2018SPYRAL - GESTION ADMINISTRATIVA"/>
    <n v="8"/>
    <n v="0"/>
    <s v="MULTI PLAZA"/>
    <x v="2"/>
  </r>
  <r>
    <n v="44"/>
    <d v="2018-12-31T00:00:00"/>
    <x v="1"/>
    <x v="1"/>
    <x v="0"/>
    <s v="SERVICIOS PERSONALES"/>
    <s v="CIERRE DE ANIO FISCAL"/>
    <s v="CIERRE_DE_CTAS_NOMINALES"/>
    <n v="0"/>
    <n v="104"/>
    <s v="MULTI PLAZA"/>
    <x v="2"/>
  </r>
  <r>
    <n v="46"/>
    <d v="2018-08-17T00:00:00"/>
    <x v="3"/>
    <x v="3"/>
    <x v="0"/>
    <s v="ADMINISTRACION DE SUCURSALES"/>
    <s v="NC ALIMENTACION DE EMPLEADOS NVA"/>
    <s v="TRANSACCIONES DEL DIA 08/17/2018SPYRAL - GESTION ADMINISTRATIVA"/>
    <n v="27.47"/>
    <n v="0"/>
    <s v="TERMINAL DE ALBROOK"/>
    <x v="2"/>
  </r>
  <r>
    <n v="46"/>
    <d v="2018-10-02T00:00:00"/>
    <x v="0"/>
    <x v="0"/>
    <x v="0"/>
    <s v="ADMINISTRACION DE SUCURSALES"/>
    <s v="ALIMENTACION DE EMPLEADOS CTA NUEVA"/>
    <s v="TRANSACCIONES DEL DIA 10/02/2018SPYRAL - GESTION ADMINISTRATIVA"/>
    <n v="8"/>
    <n v="0"/>
    <s v="TERMINAL DE ALBROOK"/>
    <x v="2"/>
  </r>
  <r>
    <n v="46"/>
    <d v="2018-10-16T00:00:00"/>
    <x v="0"/>
    <x v="0"/>
    <x v="0"/>
    <s v="ADMINISTRACION DE SUCURSALES"/>
    <s v="NC ALIMENTACION DE EMPLEADOS NVA"/>
    <s v="TRANSACCIONES DEL DIA 10/16/2018SPYRAL - GESTION ADMINISTRATIVA"/>
    <n v="47.58"/>
    <n v="0"/>
    <s v="TERMINAL DE ALBROOK"/>
    <x v="2"/>
  </r>
  <r>
    <n v="46"/>
    <d v="2018-12-31T00:00:00"/>
    <x v="1"/>
    <x v="1"/>
    <x v="0"/>
    <s v="ADMINISTRACION DE SUCURSALES"/>
    <s v="CIERRE DE ANIO FISCAL"/>
    <s v="CIERRE_DE_CTAS_NOMINALES"/>
    <n v="0"/>
    <n v="123.05"/>
    <s v="TERMINAL DE ALBROOK"/>
    <x v="2"/>
  </r>
  <r>
    <n v="46"/>
    <d v="2018-06-01T00:00:00"/>
    <x v="2"/>
    <x v="2"/>
    <x v="0"/>
    <s v="CAJA"/>
    <s v="ALIMENTACION DE EMPLEADOS CTA NUEVA"/>
    <s v="TRANSACCIONES DEL DIA 06/01/2018SPYRAL - GESTION ADMINISTRATIVA"/>
    <n v="24"/>
    <n v="0"/>
    <s v="TERMINAL DE ALBROOK"/>
    <x v="2"/>
  </r>
  <r>
    <n v="46"/>
    <d v="2018-06-02T00:00:00"/>
    <x v="2"/>
    <x v="2"/>
    <x v="0"/>
    <s v="CAJA"/>
    <s v="ALIMENTACION DE EMPLEADOS CTA NUEVA"/>
    <s v="TRANSACCIONES DEL DIA 06/02/2018SPYRAL - GESTION ADMINISTRATIVA"/>
    <n v="8"/>
    <n v="0"/>
    <s v="TERMINAL DE ALBROOK"/>
    <x v="2"/>
  </r>
  <r>
    <n v="46"/>
    <d v="2018-06-06T00:00:00"/>
    <x v="2"/>
    <x v="2"/>
    <x v="0"/>
    <s v="CAJA"/>
    <s v="ALIMENTACION DE EMPLEADOS CTA NUEVA"/>
    <s v="TRANSACCIONES DEL DIA 06/06/2018SPYRAL - GESTION ADMINISTRATIVA"/>
    <n v="8"/>
    <n v="0"/>
    <s v="TERMINAL DE ALBROOK"/>
    <x v="2"/>
  </r>
  <r>
    <n v="46"/>
    <d v="2018-06-15T00:00:00"/>
    <x v="2"/>
    <x v="2"/>
    <x v="0"/>
    <s v="CAJA"/>
    <s v="ALIMENTACION DE EMPLEADOS CTA NUEVA"/>
    <s v="TRANSACCIONES DEL DIA 06/15/2018SPYRAL - GESTION ADMINISTRATIVA"/>
    <n v="8"/>
    <n v="0"/>
    <s v="TERMINAL DE ALBROOK"/>
    <x v="2"/>
  </r>
  <r>
    <n v="46"/>
    <d v="2018-06-18T00:00:00"/>
    <x v="2"/>
    <x v="2"/>
    <x v="0"/>
    <s v="CAJA"/>
    <s v="ALIMENTACION DE EMPLEADOS CTA NUEVA"/>
    <s v="TRANSACCIONES DEL DIA 06/18/2018SPYRAL - GESTION ADMINISTRATIVA"/>
    <n v="24"/>
    <n v="0"/>
    <s v="TERMINAL DE ALBROOK"/>
    <x v="2"/>
  </r>
  <r>
    <n v="46"/>
    <d v="2018-06-20T00:00:00"/>
    <x v="2"/>
    <x v="2"/>
    <x v="0"/>
    <s v="CAJA"/>
    <s v="ALIMENTACION DE EMPLEADOS CTA NUEVA"/>
    <s v="TRANSACCIONES DEL DIA 06/20/2018SPYRAL - GESTION ADMINISTRATIVA"/>
    <n v="8"/>
    <n v="0"/>
    <s v="TERMINAL DE ALBROOK"/>
    <x v="2"/>
  </r>
  <r>
    <n v="46"/>
    <d v="2018-07-03T00:00:00"/>
    <x v="6"/>
    <x v="6"/>
    <x v="0"/>
    <s v="CAJA"/>
    <s v="ALIMENTACION DE EMPLEADOS CTA NUEVA"/>
    <s v="TRANSACCIONES DEL DIA 07/03/2018SPYRAL - GESTION ADMINISTRATIVA"/>
    <n v="32"/>
    <n v="0"/>
    <s v="TERMINAL DE ALBROOK"/>
    <x v="2"/>
  </r>
  <r>
    <n v="46"/>
    <d v="2018-07-04T00:00:00"/>
    <x v="6"/>
    <x v="6"/>
    <x v="0"/>
    <s v="CAJA"/>
    <s v="ALIMENTACION DE EMPLEADOS CTA NUEVA"/>
    <s v="TRANSACCIONES DEL DIA 07/04/2018SPYRAL - GESTION ADMINISTRATIVA"/>
    <n v="16"/>
    <n v="0"/>
    <s v="TERMINAL DE ALBROOK"/>
    <x v="2"/>
  </r>
  <r>
    <n v="46"/>
    <d v="2018-07-16T00:00:00"/>
    <x v="6"/>
    <x v="6"/>
    <x v="0"/>
    <s v="CAJA"/>
    <s v="ALIMENTACION DE EMPLEADOS CTA NUEVA"/>
    <s v="TRANSACCIONES DEL DIA 07/16/2018SPYRAL - GESTION ADMINISTRATIVA"/>
    <n v="16"/>
    <n v="0"/>
    <s v="TERMINAL DE ALBROOK"/>
    <x v="2"/>
  </r>
  <r>
    <n v="46"/>
    <d v="2018-07-17T00:00:00"/>
    <x v="6"/>
    <x v="6"/>
    <x v="0"/>
    <s v="CAJA"/>
    <s v="ALIMENTACION DE EMPLEADOS CTA NUEVA"/>
    <s v="TRANSACCIONES DEL DIA 07/17/2018SPYRAL - GESTION ADMINISTRATIVA"/>
    <n v="8"/>
    <n v="0"/>
    <s v="TERMINAL DE ALBROOK"/>
    <x v="2"/>
  </r>
  <r>
    <n v="46"/>
    <d v="2018-07-20T00:00:00"/>
    <x v="6"/>
    <x v="6"/>
    <x v="0"/>
    <s v="CAJA"/>
    <s v="ALIMENTACION DE EMPLEADOS CTA NUEVA"/>
    <s v="TRANSACCIONES DEL DIA 07/20/2018SPYRAL - GESTION ADMINISTRATIVA"/>
    <n v="16"/>
    <n v="0"/>
    <s v="TERMINAL DE ALBROOK"/>
    <x v="2"/>
  </r>
  <r>
    <n v="46"/>
    <d v="2018-07-27T00:00:00"/>
    <x v="6"/>
    <x v="6"/>
    <x v="0"/>
    <s v="CAJA"/>
    <s v="ALIMENTACION DE EMPLEADOS CTA NUEVA"/>
    <s v="TRANSACCIONES DEL DIA 07/27/2018SPYRAL - GESTION ADMINISTRATIVA"/>
    <n v="8"/>
    <n v="0"/>
    <s v="TERMINAL DE ALBROOK"/>
    <x v="2"/>
  </r>
  <r>
    <n v="46"/>
    <d v="2018-07-28T00:00:00"/>
    <x v="6"/>
    <x v="6"/>
    <x v="0"/>
    <s v="CAJA"/>
    <s v="ALIMENTACION DE EMPLEADOS CTA NUEVA"/>
    <s v="TRANSACCIONES DEL DIA 07/28/2018SPYRAL - GESTION ADMINISTRATIVA"/>
    <n v="8"/>
    <n v="0"/>
    <s v="TERMINAL DE ALBROOK"/>
    <x v="2"/>
  </r>
  <r>
    <n v="46"/>
    <d v="2018-08-07T00:00:00"/>
    <x v="3"/>
    <x v="3"/>
    <x v="0"/>
    <s v="CAJA"/>
    <s v="ALIMENTACION DE EMPLEADOS CTA NUEVA"/>
    <s v="TRANSACCIONES DEL DIA 08/07/2018SPYRAL - GESTION ADMINISTRATIVA"/>
    <n v="56"/>
    <n v="0"/>
    <s v="TERMINAL DE ALBROOK"/>
    <x v="2"/>
  </r>
  <r>
    <n v="46"/>
    <d v="2018-08-09T00:00:00"/>
    <x v="3"/>
    <x v="3"/>
    <x v="0"/>
    <s v="CAJA"/>
    <s v="ALIMENTACION DE EMPLEADOS CTA NUEVA"/>
    <s v="TRANSACCIONES DEL DIA 08/09/2018SPYRAL - GESTION ADMINISTRATIVA"/>
    <n v="16"/>
    <n v="0"/>
    <s v="TERMINAL DE ALBROOK"/>
    <x v="2"/>
  </r>
  <r>
    <n v="46"/>
    <d v="2018-08-17T00:00:00"/>
    <x v="3"/>
    <x v="3"/>
    <x v="0"/>
    <s v="CAJA"/>
    <s v="ALIMENTACION DE EMPLEADOS CTA NUEVA"/>
    <s v="TRANSACCIONES DEL DIA 08/17/2018SPYRAL - GESTION ADMINISTRATIVA"/>
    <n v="48"/>
    <n v="0"/>
    <s v="TERMINAL DE ALBROOK"/>
    <x v="2"/>
  </r>
  <r>
    <n v="46"/>
    <d v="2018-08-20T00:00:00"/>
    <x v="3"/>
    <x v="3"/>
    <x v="0"/>
    <s v="CAJA"/>
    <s v="ALIMENTACION DE EMPLEADOS CTA NUEVA"/>
    <s v="TRANSACCIONES DEL DIA 08/20/2018SPYRAL - GESTION ADMINISTRATIVA"/>
    <n v="32"/>
    <n v="0"/>
    <s v="TERMINAL DE ALBROOK"/>
    <x v="2"/>
  </r>
  <r>
    <n v="46"/>
    <d v="2018-08-21T00:00:00"/>
    <x v="3"/>
    <x v="3"/>
    <x v="0"/>
    <s v="CAJA"/>
    <s v="ALIMENTACION DE EMPLEADOS CTA NUEVA"/>
    <s v="TRANSACCIONES DEL DIA 08/21/2018SPYRAL - GESTION ADMINISTRATIVA"/>
    <n v="8"/>
    <n v="0"/>
    <s v="TERMINAL DE ALBROOK"/>
    <x v="2"/>
  </r>
  <r>
    <n v="46"/>
    <d v="2018-08-23T00:00:00"/>
    <x v="3"/>
    <x v="3"/>
    <x v="0"/>
    <s v="CAJA"/>
    <s v="ALIMENTACION DE EMPLEADOS CTA NUEVA"/>
    <s v="TRANSACCIONES DEL DIA 08/23/2018SPYRAL - GESTION ADMINISTRATIVA"/>
    <n v="8"/>
    <n v="0"/>
    <s v="TERMINAL DE ALBROOK"/>
    <x v="2"/>
  </r>
  <r>
    <n v="46"/>
    <d v="2018-08-24T00:00:00"/>
    <x v="3"/>
    <x v="3"/>
    <x v="0"/>
    <s v="CAJA"/>
    <s v="ALIMENTACION DE EMPLEADOS CTA NUEVA"/>
    <s v="TRANSACCIONES DEL DIA 08/24/2018SPYRAL - GESTION ADMINISTRATIVA"/>
    <n v="16"/>
    <n v="0"/>
    <s v="TERMINAL DE ALBROOK"/>
    <x v="2"/>
  </r>
  <r>
    <n v="46"/>
    <d v="2018-09-03T00:00:00"/>
    <x v="4"/>
    <x v="4"/>
    <x v="0"/>
    <s v="CAJA"/>
    <s v="ALIMENTACION DE EMPLEADOS CTA NUEVA"/>
    <s v="TRANSACCIONES DEL DIA 09/03/2018SPYRAL - GESTION ADMINISTRATIVA"/>
    <n v="8"/>
    <n v="0"/>
    <s v="TERMINAL DE ALBROOK"/>
    <x v="2"/>
  </r>
  <r>
    <n v="46"/>
    <d v="2018-09-05T00:00:00"/>
    <x v="4"/>
    <x v="4"/>
    <x v="0"/>
    <s v="CAJA"/>
    <s v="ALIMENTACION DE EMPLEADOS CTA NUEVA"/>
    <s v="TRANSACCIONES DEL DIA 09/05/2018SPYRAL - GESTION ADMINISTRATIVA"/>
    <n v="24"/>
    <n v="0"/>
    <s v="TERMINAL DE ALBROOK"/>
    <x v="2"/>
  </r>
  <r>
    <n v="46"/>
    <d v="2018-09-08T00:00:00"/>
    <x v="4"/>
    <x v="4"/>
    <x v="0"/>
    <s v="CAJA"/>
    <s v="ALIMENTACION DE EMPLEADOS CTA NUEVA"/>
    <s v="TRANSACCIONES DEL DIA 09/08/2018SPYRAL - GESTION ADMINISTRATIVA"/>
    <n v="8"/>
    <n v="0"/>
    <s v="TERMINAL DE ALBROOK"/>
    <x v="2"/>
  </r>
  <r>
    <n v="46"/>
    <d v="2018-09-10T00:00:00"/>
    <x v="4"/>
    <x v="4"/>
    <x v="0"/>
    <s v="CAJA"/>
    <s v="ALIMENTACION DE EMPLEADOS CTA NUEVA"/>
    <s v="TRANSACCIONES DEL DIA 09/10/2018SPYRAL - GESTION ADMINISTRATIVA"/>
    <n v="8"/>
    <n v="0"/>
    <s v="TERMINAL DE ALBROOK"/>
    <x v="2"/>
  </r>
  <r>
    <n v="46"/>
    <d v="2018-09-17T00:00:00"/>
    <x v="4"/>
    <x v="4"/>
    <x v="0"/>
    <s v="CAJA"/>
    <s v="ALIMENTACION DE EMPLEADOS CTA NUEVA"/>
    <s v="TRANSACCIONES DEL DIA 09/17/2018SPYRAL - GESTION ADMINISTRATIVA"/>
    <n v="24"/>
    <n v="0"/>
    <s v="TERMINAL DE ALBROOK"/>
    <x v="2"/>
  </r>
  <r>
    <n v="46"/>
    <d v="2018-09-20T00:00:00"/>
    <x v="4"/>
    <x v="4"/>
    <x v="0"/>
    <s v="CAJA"/>
    <s v="ALIMENTACION DE EMPLEADOS CTA NUEVA"/>
    <s v="TRANSACCIONES DEL DIA 09/20/2018SPYRAL - GESTION ADMINISTRATIVA"/>
    <n v="16"/>
    <n v="0"/>
    <s v="TERMINAL DE ALBROOK"/>
    <x v="2"/>
  </r>
  <r>
    <n v="46"/>
    <d v="2018-10-01T00:00:00"/>
    <x v="0"/>
    <x v="0"/>
    <x v="0"/>
    <s v="CAJA"/>
    <s v="ALIMENTACION DE EMPLEADOS CTA NUEVA"/>
    <s v="TRANSACCIONES DEL DIA 10/01/2018SPYRAL - GESTION ADMINISTRATIVA"/>
    <n v="8"/>
    <n v="0"/>
    <s v="TERMINAL DE ALBROOK"/>
    <x v="2"/>
  </r>
  <r>
    <n v="46"/>
    <d v="2018-10-02T00:00:00"/>
    <x v="0"/>
    <x v="0"/>
    <x v="0"/>
    <s v="CAJA"/>
    <s v="ALIMENTACION DE EMPLEADOS CTA NUEVA"/>
    <s v="TRANSACCIONES DEL DIA 10/02/2018SPYRAL - GESTION ADMINISTRATIVA"/>
    <n v="24"/>
    <n v="0"/>
    <s v="TERMINAL DE ALBROOK"/>
    <x v="2"/>
  </r>
  <r>
    <n v="46"/>
    <d v="2018-10-03T00:00:00"/>
    <x v="0"/>
    <x v="0"/>
    <x v="0"/>
    <s v="CAJA"/>
    <s v="ALIMENTACION DE EMPLEADOS CTA NUEVA"/>
    <s v="TRANSACCIONES DEL DIA 10/03/2018SPYRAL - GESTION ADMINISTRATIVA"/>
    <n v="24"/>
    <n v="0"/>
    <s v="TERMINAL DE ALBROOK"/>
    <x v="2"/>
  </r>
  <r>
    <n v="46"/>
    <d v="2018-10-15T00:00:00"/>
    <x v="0"/>
    <x v="0"/>
    <x v="0"/>
    <s v="CAJA"/>
    <s v="ALIMENTACION DE EMPLEADOS CTA NUEVA"/>
    <s v="TRANSACCIONES DEL DIA 10/15/2018SPYRAL - GESTION ADMINISTRATIVA"/>
    <n v="40"/>
    <n v="0"/>
    <s v="TERMINAL DE ALBROOK"/>
    <x v="2"/>
  </r>
  <r>
    <n v="46"/>
    <d v="2018-10-18T00:00:00"/>
    <x v="0"/>
    <x v="0"/>
    <x v="0"/>
    <s v="CAJA"/>
    <s v="ALIMENTACION DE EMPLEADOS CTA NUEVA"/>
    <s v="TRANSACCIONES DEL DIA 10/18/2018SPYRAL - GESTION ADMINISTRATIVA"/>
    <n v="40"/>
    <n v="0"/>
    <s v="TERMINAL DE ALBROOK"/>
    <x v="2"/>
  </r>
  <r>
    <n v="46"/>
    <d v="2018-10-29T00:00:00"/>
    <x v="0"/>
    <x v="0"/>
    <x v="0"/>
    <s v="CAJA"/>
    <s v="ALIMENTACION DE EMPLEADOS CTA NUEVA"/>
    <s v="TRANSACCIONES DEL DIA 10/29/2018SPYRAL - GESTION ADMINISTRATIVA"/>
    <n v="8"/>
    <n v="0"/>
    <s v="TERMINAL DE ALBROOK"/>
    <x v="2"/>
  </r>
  <r>
    <n v="46"/>
    <d v="2018-11-01T00:00:00"/>
    <x v="5"/>
    <x v="5"/>
    <x v="0"/>
    <s v="CAJA"/>
    <s v="ALIMENTACION DE EMPLEADOS CTA NUEVA"/>
    <s v="TRANSACCIONES DEL DIA 11/01/2018SPYRAL - GESTION ADMINISTRATIVA"/>
    <n v="24"/>
    <n v="0"/>
    <s v="TERMINAL DE ALBROOK"/>
    <x v="2"/>
  </r>
  <r>
    <n v="46"/>
    <d v="2018-11-02T00:00:00"/>
    <x v="5"/>
    <x v="5"/>
    <x v="0"/>
    <s v="CAJA"/>
    <s v="ALIMENTACION DE EMPLEADOS CTA NUEVA"/>
    <s v="TRANSACCIONES DEL DIA 11/02/2018SPYRAL - GESTION ADMINISTRATIVA"/>
    <n v="40"/>
    <n v="0"/>
    <s v="TERMINAL DE ALBROOK"/>
    <x v="2"/>
  </r>
  <r>
    <n v="46"/>
    <d v="2018-11-06T00:00:00"/>
    <x v="5"/>
    <x v="5"/>
    <x v="0"/>
    <s v="CAJA"/>
    <s v="ALIMENTACION DE EMPLEADOS CTA NUEVA"/>
    <s v="TRANSACCIONES DEL DIA 11/06/2018SPYRAL - GESTION ADMINISTRATIVA"/>
    <n v="8"/>
    <n v="0"/>
    <s v="TERMINAL DE ALBROOK"/>
    <x v="2"/>
  </r>
  <r>
    <n v="46"/>
    <d v="2018-11-07T00:00:00"/>
    <x v="5"/>
    <x v="5"/>
    <x v="0"/>
    <s v="CAJA"/>
    <s v="ALIMENTACION DE EMPLEADOS CTA NUEVA"/>
    <s v="TRANSACCIONES DEL DIA 11/07/2018SPYRAL - GESTION ADMINISTRATIVA"/>
    <n v="16"/>
    <n v="0"/>
    <s v="TERMINAL DE ALBROOK"/>
    <x v="2"/>
  </r>
  <r>
    <n v="46"/>
    <d v="2018-11-12T00:00:00"/>
    <x v="5"/>
    <x v="5"/>
    <x v="0"/>
    <s v="CAJA"/>
    <s v="ALIMENTACION DE EMPLEADOS CTA NUEVA"/>
    <s v="TRANSACCIONES DEL DIA 11/12/2018SPYRAL - GESTION ADMINISTRATIVA"/>
    <n v="24"/>
    <n v="0"/>
    <s v="TERMINAL DE ALBROOK"/>
    <x v="2"/>
  </r>
  <r>
    <n v="46"/>
    <d v="2018-11-13T00:00:00"/>
    <x v="5"/>
    <x v="5"/>
    <x v="0"/>
    <s v="CAJA"/>
    <s v="ALIMENTACION DE EMPLEADOS CTA NUEVA"/>
    <s v="TRANSACCIONES DEL DIA 11/13/2018SPYRAL - GESTION ADMINISTRATIVA"/>
    <n v="24"/>
    <n v="0"/>
    <s v="TERMINAL DE ALBROOK"/>
    <x v="2"/>
  </r>
  <r>
    <n v="46"/>
    <d v="2018-11-14T00:00:00"/>
    <x v="5"/>
    <x v="5"/>
    <x v="0"/>
    <s v="CAJA"/>
    <s v="ALIMENTACION DE EMPLEADOS CTA NUEVA"/>
    <s v="TRANSACCIONES DEL DIA 11/14/2018SPYRAL - GESTION ADMINISTRATIVA"/>
    <n v="16"/>
    <n v="0"/>
    <s v="TERMINAL DE ALBROOK"/>
    <x v="2"/>
  </r>
  <r>
    <n v="46"/>
    <d v="2018-11-16T00:00:00"/>
    <x v="5"/>
    <x v="5"/>
    <x v="0"/>
    <s v="CAJA"/>
    <s v="ALIMENTACION DE EMPLEADOS CTA NUEVA"/>
    <s v="TRANSACCIONES DEL DIA 11/16/2018SPYRAL - GESTION ADMINISTRATIVA"/>
    <n v="40"/>
    <n v="0"/>
    <s v="TERMINAL DE ALBROOK"/>
    <x v="2"/>
  </r>
  <r>
    <n v="46"/>
    <d v="2018-11-19T00:00:00"/>
    <x v="5"/>
    <x v="5"/>
    <x v="0"/>
    <s v="CAJA"/>
    <s v="ALIMENTACION DE EMPLEADOS CTA NUEVA"/>
    <s v="TRANSACCIONES DEL DIA 11/19/2018SPYRAL - GESTION ADMINISTRATIVA"/>
    <n v="16"/>
    <n v="0"/>
    <s v="TERMINAL DE ALBROOK"/>
    <x v="2"/>
  </r>
  <r>
    <n v="46"/>
    <d v="2018-11-30T00:00:00"/>
    <x v="5"/>
    <x v="5"/>
    <x v="0"/>
    <s v="CAJA"/>
    <s v="ALIMENTACION DE EMPLEADOS CTA NUEVA"/>
    <s v="TRANSACCIONES DEL DIA 11/30/2018SPYRAL - GESTION ADMINISTRATIVA"/>
    <n v="24"/>
    <n v="0"/>
    <s v="TERMINAL DE ALBROOK"/>
    <x v="2"/>
  </r>
  <r>
    <n v="46"/>
    <d v="2018-12-04T00:00:00"/>
    <x v="1"/>
    <x v="1"/>
    <x v="0"/>
    <s v="CAJA"/>
    <s v="ALIMENTACION DE EMPLEADOS CTA NUEVA"/>
    <s v="TRANSACCIONES DEL DIA 12/04/2018SPYRAL - GESTION ADMINISTRATIVA"/>
    <n v="40"/>
    <n v="0"/>
    <s v="TERMINAL DE ALBROOK"/>
    <x v="2"/>
  </r>
  <r>
    <n v="46"/>
    <d v="2018-12-12T00:00:00"/>
    <x v="1"/>
    <x v="1"/>
    <x v="0"/>
    <s v="CAJA"/>
    <s v="ALIMENTACION DE EMPLEADOS CTA NUEVA"/>
    <s v="TRANSACCIONES DEL DIA 12/12/2018SPYRAL - GESTION ADMINISTRATIVA"/>
    <n v="24"/>
    <n v="0"/>
    <s v="TERMINAL DE ALBROOK"/>
    <x v="2"/>
  </r>
  <r>
    <n v="46"/>
    <d v="2018-12-17T00:00:00"/>
    <x v="1"/>
    <x v="1"/>
    <x v="0"/>
    <s v="CAJA"/>
    <s v="ALIMENTACION DE EMPLEADOS CTA NUEVA"/>
    <s v="TRANSACCIONES DEL DIA 12/17/2018SPYRAL - GESTION ADMINISTRATIVA"/>
    <n v="32"/>
    <n v="0"/>
    <s v="TERMINAL DE ALBROOK"/>
    <x v="2"/>
  </r>
  <r>
    <n v="46"/>
    <d v="2018-12-21T00:00:00"/>
    <x v="1"/>
    <x v="1"/>
    <x v="0"/>
    <s v="CAJA"/>
    <s v="ALIMENTACION DE EMPLEADOS CTA NUEVA"/>
    <s v="TRANSACCIONES DEL DIA 12/21/2018SPYRAL - GESTION ADMINISTRATIVA"/>
    <n v="8"/>
    <n v="0"/>
    <s v="TERMINAL DE ALBROOK"/>
    <x v="2"/>
  </r>
  <r>
    <n v="46"/>
    <d v="2018-12-24T00:00:00"/>
    <x v="1"/>
    <x v="1"/>
    <x v="0"/>
    <s v="CAJA"/>
    <s v="ALIMENTACION DE EMPLEADOS CTA NUEVA"/>
    <s v="TRANSACCIONES DEL DIA 12/24/2018SPYRAL - GESTION ADMINISTRATIVA"/>
    <n v="8"/>
    <n v="0"/>
    <s v="TERMINAL DE ALBROOK"/>
    <x v="2"/>
  </r>
  <r>
    <n v="46"/>
    <d v="2018-12-31T00:00:00"/>
    <x v="1"/>
    <x v="1"/>
    <x v="0"/>
    <s v="CAJA"/>
    <s v="CIERRE DE ANIO FISCAL"/>
    <s v="CIERRE_DE_CTAS_NOMINALES"/>
    <n v="0"/>
    <n v="1200"/>
    <s v="TERMINAL DE ALBROOK"/>
    <x v="2"/>
  </r>
  <r>
    <n v="46"/>
    <d v="2018-06-02T00:00:00"/>
    <x v="2"/>
    <x v="2"/>
    <x v="0"/>
    <s v="SERVICIOS PERSONALES"/>
    <s v="ALIMENTACION DE EMPLEADOS CTA NUEVA"/>
    <s v="TRANSACCIONES DEL DIA 06/02/2018SPYRAL - GESTION ADMINISTRATIVA"/>
    <n v="8"/>
    <n v="0"/>
    <s v="TERMINAL DE ALBROOK"/>
    <x v="2"/>
  </r>
  <r>
    <n v="46"/>
    <d v="2018-06-06T00:00:00"/>
    <x v="2"/>
    <x v="2"/>
    <x v="0"/>
    <s v="SERVICIOS PERSONALES"/>
    <s v="ALIMENTACION DE EMPLEADOS CTA NUEVA"/>
    <s v="TRANSACCIONES DEL DIA 06/06/2018SPYRAL - GESTION ADMINISTRATIVA"/>
    <n v="8"/>
    <n v="0"/>
    <s v="TERMINAL DE ALBROOK"/>
    <x v="2"/>
  </r>
  <r>
    <n v="46"/>
    <d v="2018-06-11T00:00:00"/>
    <x v="2"/>
    <x v="2"/>
    <x v="0"/>
    <s v="SERVICIOS PERSONALES"/>
    <s v="ALIMENTACION DE EMPLEADOS CTA NUEVA"/>
    <s v="TRANSACCIONES DEL DIA 06/11/2018SPYRAL - GESTION ADMINISTRATIVA"/>
    <n v="32"/>
    <n v="0"/>
    <s v="TERMINAL DE ALBROOK"/>
    <x v="2"/>
  </r>
  <r>
    <n v="46"/>
    <d v="2018-06-15T00:00:00"/>
    <x v="2"/>
    <x v="2"/>
    <x v="0"/>
    <s v="SERVICIOS PERSONALES"/>
    <s v="ALIMENTACION DE EMPLEADOS CTA NUEVA"/>
    <s v="TRANSACCIONES DEL DIA 06/15/2018SPYRAL - GESTION ADMINISTRATIVA"/>
    <n v="8"/>
    <n v="0"/>
    <s v="TERMINAL DE ALBROOK"/>
    <x v="2"/>
  </r>
  <r>
    <n v="46"/>
    <d v="2018-06-28T00:00:00"/>
    <x v="2"/>
    <x v="2"/>
    <x v="0"/>
    <s v="SERVICIOS PERSONALES"/>
    <s v="ALIMENTACION DE EMPLEADOS CTA NUEVA"/>
    <s v="TRANSACCIONES DEL DIA 06/28/2018SPYRAL - GESTION ADMINISTRATIVA"/>
    <n v="8"/>
    <n v="0"/>
    <s v="TERMINAL DE ALBROOK"/>
    <x v="2"/>
  </r>
  <r>
    <n v="46"/>
    <d v="2018-08-09T00:00:00"/>
    <x v="3"/>
    <x v="3"/>
    <x v="0"/>
    <s v="SERVICIOS PERSONALES"/>
    <s v="ALIMENTACION DE EMPLEADOS CTA NUEVA"/>
    <s v="TRANSACCIONES DEL DIA 08/09/2018SPYRAL - GESTION ADMINISTRATIVA"/>
    <n v="8"/>
    <n v="0"/>
    <s v="TERMINAL DE ALBROOK"/>
    <x v="2"/>
  </r>
  <r>
    <n v="46"/>
    <d v="2018-08-17T00:00:00"/>
    <x v="3"/>
    <x v="3"/>
    <x v="0"/>
    <s v="SERVICIOS PERSONALES"/>
    <s v="ALIMENTACION DE EMPLEADOS CTA NUEVA"/>
    <s v="TRANSACCIONES DEL DIA 08/17/2018SPYRAL - GESTION ADMINISTRATIVA"/>
    <n v="8"/>
    <n v="0"/>
    <s v="TERMINAL DE ALBROOK"/>
    <x v="2"/>
  </r>
  <r>
    <n v="46"/>
    <d v="2018-08-29T00:00:00"/>
    <x v="3"/>
    <x v="3"/>
    <x v="0"/>
    <s v="SERVICIOS PERSONALES"/>
    <s v="ALIMENTACION DE EMPLEADOS CTA NUEVA"/>
    <s v="TRANSACCIONES DEL DIA 08/29/2018SPYRAL - GESTION ADMINISTRATIVA"/>
    <n v="8"/>
    <n v="0"/>
    <s v="TERMINAL DE ALBROOK"/>
    <x v="2"/>
  </r>
  <r>
    <n v="46"/>
    <d v="2018-09-03T00:00:00"/>
    <x v="4"/>
    <x v="4"/>
    <x v="0"/>
    <s v="SERVICIOS PERSONALES"/>
    <s v="ALIMENTACION DE EMPLEADOS CTA NUEVA"/>
    <s v="TRANSACCIONES DEL DIA 09/03/2018SPYRAL - GESTION ADMINISTRATIVA"/>
    <n v="8"/>
    <n v="0"/>
    <s v="TERMINAL DE ALBROOK"/>
    <x v="2"/>
  </r>
  <r>
    <n v="46"/>
    <d v="2018-09-14T00:00:00"/>
    <x v="4"/>
    <x v="4"/>
    <x v="0"/>
    <s v="SERVICIOS PERSONALES"/>
    <s v="ALIMENTACION DE EMPLEADOS CTA NUEVA"/>
    <s v="TRANSACCIONES DEL DIA 09/14/2018SPYRAL - GESTION ADMINISTRATIVA"/>
    <n v="8"/>
    <n v="0"/>
    <s v="TERMINAL DE ALBROOK"/>
    <x v="2"/>
  </r>
  <r>
    <n v="46"/>
    <d v="2018-10-08T00:00:00"/>
    <x v="0"/>
    <x v="0"/>
    <x v="0"/>
    <s v="SERVICIOS PERSONALES"/>
    <s v="ALIMENTACION DE EMPLEADOS CTA NUEVA"/>
    <s v="TRANSACCIONES DEL DIA 10/08/2018SPYRAL - GESTION ADMINISTRATIVA"/>
    <n v="8"/>
    <n v="0"/>
    <s v="TERMINAL DE ALBROOK"/>
    <x v="2"/>
  </r>
  <r>
    <n v="46"/>
    <d v="2018-10-18T00:00:00"/>
    <x v="0"/>
    <x v="0"/>
    <x v="0"/>
    <s v="SERVICIOS PERSONALES"/>
    <s v="ALIMENTACION DE EMPLEADOS CTA NUEVA"/>
    <s v="TRANSACCIONES DEL DIA 10/18/2018SPYRAL - GESTION ADMINISTRATIVA"/>
    <n v="8"/>
    <n v="0"/>
    <s v="TERMINAL DE ALBROOK"/>
    <x v="2"/>
  </r>
  <r>
    <n v="46"/>
    <d v="2018-10-19T00:00:00"/>
    <x v="0"/>
    <x v="0"/>
    <x v="0"/>
    <s v="SERVICIOS PERSONALES"/>
    <s v="ALIMENTACION DE EMPLEADOS CTA NUEVA"/>
    <s v="TRANSACCIONES DEL DIA 10/19/2018SPYRAL - GESTION ADMINISTRATIVA"/>
    <n v="8"/>
    <n v="0"/>
    <s v="TERMINAL DE ALBROOK"/>
    <x v="2"/>
  </r>
  <r>
    <n v="46"/>
    <d v="2018-11-13T00:00:00"/>
    <x v="5"/>
    <x v="5"/>
    <x v="0"/>
    <s v="SERVICIOS PERSONALES"/>
    <s v="ALIMENTACION DE EMPLEADOS CTA NUEVA"/>
    <s v="TRANSACCIONES DEL DIA 11/13/2018SPYRAL - GESTION ADMINISTRATIVA"/>
    <n v="8"/>
    <n v="0"/>
    <s v="TERMINAL DE ALBROOK"/>
    <x v="2"/>
  </r>
  <r>
    <n v="46"/>
    <d v="2018-12-21T00:00:00"/>
    <x v="1"/>
    <x v="1"/>
    <x v="0"/>
    <s v="SERVICIOS PERSONALES"/>
    <s v="ALIMENTACION DE EMPLEADOS CTA NUEVA"/>
    <s v="TRANSACCIONES DEL DIA 12/21/2018SPYRAL - GESTION ADMINISTRATIVA"/>
    <n v="8"/>
    <n v="0"/>
    <s v="TERMINAL DE ALBROOK"/>
    <x v="2"/>
  </r>
  <r>
    <n v="46"/>
    <d v="2018-12-31T00:00:00"/>
    <x v="1"/>
    <x v="1"/>
    <x v="0"/>
    <s v="SERVICIOS PERSONALES"/>
    <s v="CIERRE DE ANIO FISCAL"/>
    <s v="CIERRE_DE_CTAS_NOMINALES"/>
    <n v="0"/>
    <n v="240"/>
    <s v="TERMINAL DE ALBROOK"/>
    <x v="2"/>
  </r>
  <r>
    <n v="49"/>
    <d v="2018-06-05T00:00:00"/>
    <x v="2"/>
    <x v="2"/>
    <x v="0"/>
    <s v="CAJA"/>
    <s v="ALIMENTACION DE EMPLEADOS CTA NUEVA"/>
    <s v="TRANSACCIONES DEL DIA 06/05/2018SPYRAL - GESTION ADMINISTRATIVA"/>
    <n v="8"/>
    <n v="0"/>
    <s v="BRISAS DEL GOLF"/>
    <x v="2"/>
  </r>
  <r>
    <n v="49"/>
    <d v="2018-06-13T00:00:00"/>
    <x v="2"/>
    <x v="2"/>
    <x v="0"/>
    <s v="CAJA"/>
    <s v="ALIMENTACION DE EMPLEADOS CTA NUEVA"/>
    <s v="TRANSACCIONES DEL DIA 06/13/2018SPYRAL - GESTION ADMINISTRATIVA"/>
    <n v="8"/>
    <n v="0"/>
    <s v="BRISAS DEL GOLF"/>
    <x v="2"/>
  </r>
  <r>
    <n v="49"/>
    <d v="2018-06-29T00:00:00"/>
    <x v="2"/>
    <x v="2"/>
    <x v="0"/>
    <s v="CAJA"/>
    <s v="ALIMENTACION DE EMPLEADOS CTA NUEVA"/>
    <s v="TRANSACCIONES DEL DIA 06/29/2018SPYRAL - GESTION ADMINISTRATIVA"/>
    <n v="8"/>
    <n v="0"/>
    <s v="BRISAS DEL GOLF"/>
    <x v="2"/>
  </r>
  <r>
    <n v="49"/>
    <d v="2018-07-04T00:00:00"/>
    <x v="6"/>
    <x v="6"/>
    <x v="0"/>
    <s v="CAJA"/>
    <s v="ALIMENTACION DE EMPLEADOS CTA NUEVA"/>
    <s v="TRANSACCIONES DEL DIA 07/04/2018SPYRAL - GESTION ADMINISTRATIVA"/>
    <n v="8"/>
    <n v="0"/>
    <s v="BRISAS DEL GOLF"/>
    <x v="2"/>
  </r>
  <r>
    <n v="49"/>
    <d v="2018-07-06T00:00:00"/>
    <x v="6"/>
    <x v="6"/>
    <x v="0"/>
    <s v="CAJA"/>
    <s v="ALIMENTACION DE EMPLEADOS CTA NUEVA"/>
    <s v="TRANSACCIONES DEL DIA 07/06/2018SPYRAL - GESTION ADMINISTRATIVA"/>
    <n v="8"/>
    <n v="0"/>
    <s v="BRISAS DEL GOLF"/>
    <x v="2"/>
  </r>
  <r>
    <n v="49"/>
    <d v="2018-07-09T00:00:00"/>
    <x v="6"/>
    <x v="6"/>
    <x v="0"/>
    <s v="CAJA"/>
    <s v="ALIMENTACION DE EMPLEADOS CTA NUEVA"/>
    <s v="TRANSACCIONES DEL DIA 07/09/2018SPYRAL - GESTION ADMINISTRATIVA"/>
    <n v="8"/>
    <n v="0"/>
    <s v="BRISAS DEL GOLF"/>
    <x v="2"/>
  </r>
  <r>
    <n v="49"/>
    <d v="2018-07-14T00:00:00"/>
    <x v="6"/>
    <x v="6"/>
    <x v="0"/>
    <s v="CAJA"/>
    <s v="ALIMENTACION DE EMPLEADOS CTA NUEVA"/>
    <s v="TRANSACCIONES DEL DIA 07/14/2018SPYRAL - GESTION ADMINISTRATIVA"/>
    <n v="8"/>
    <n v="0"/>
    <s v="BRISAS DEL GOLF"/>
    <x v="2"/>
  </r>
  <r>
    <n v="49"/>
    <d v="2018-07-20T00:00:00"/>
    <x v="6"/>
    <x v="6"/>
    <x v="0"/>
    <s v="CAJA"/>
    <s v="ALIMENTACION DE EMPLEADOS CTA NUEVA"/>
    <s v="TRANSACCIONES DEL DIA 07/20/2018SPYRAL - GESTION ADMINISTRATIVA"/>
    <n v="8"/>
    <n v="0"/>
    <s v="BRISAS DEL GOLF"/>
    <x v="2"/>
  </r>
  <r>
    <n v="49"/>
    <d v="2018-08-07T00:00:00"/>
    <x v="3"/>
    <x v="3"/>
    <x v="0"/>
    <s v="CAJA"/>
    <s v="ALIMENTACION DE EMPLEADOS CTA NUEVA"/>
    <s v="TRANSACCIONES DEL DIA 08/07/2018SPYRAL - GESTION ADMINISTRATIVA"/>
    <n v="24"/>
    <n v="0"/>
    <s v="BRISAS DEL GOLF"/>
    <x v="2"/>
  </r>
  <r>
    <n v="49"/>
    <d v="2018-08-13T00:00:00"/>
    <x v="3"/>
    <x v="3"/>
    <x v="0"/>
    <s v="CAJA"/>
    <s v="ALIMENTACION DE EMPLEADOS CTA NUEVA"/>
    <s v="TRANSACCIONES DEL DIA 08/13/2018SPYRAL - GESTION ADMINISTRATIVA"/>
    <n v="8"/>
    <n v="0"/>
    <s v="BRISAS DEL GOLF"/>
    <x v="2"/>
  </r>
  <r>
    <n v="49"/>
    <d v="2018-08-21T00:00:00"/>
    <x v="3"/>
    <x v="3"/>
    <x v="0"/>
    <s v="CAJA"/>
    <s v="ALIMENTACION DE EMPLEADOS CTA NUEVA"/>
    <s v="TRANSACCIONES DEL DIA 08/21/2018SPYRAL - GESTION ADMINISTRATIVA"/>
    <n v="24"/>
    <n v="0"/>
    <s v="BRISAS DEL GOLF"/>
    <x v="2"/>
  </r>
  <r>
    <n v="49"/>
    <d v="2018-08-24T00:00:00"/>
    <x v="3"/>
    <x v="3"/>
    <x v="0"/>
    <s v="CAJA"/>
    <s v="ALIMENTACION DE EMPLEADOS CTA NUEVA"/>
    <s v="TRANSACCIONES DEL DIA 08/24/2018SPYRAL - GESTION ADMINISTRATIVA"/>
    <n v="24"/>
    <n v="0"/>
    <s v="BRISAS DEL GOLF"/>
    <x v="2"/>
  </r>
  <r>
    <n v="49"/>
    <d v="2018-09-07T00:00:00"/>
    <x v="4"/>
    <x v="4"/>
    <x v="0"/>
    <s v="CAJA"/>
    <s v="ALIMENTACION DE EMPLEADOS CTA NUEVA"/>
    <s v="TRANSACCIONES DEL DIA 09/07/2018SPYRAL - GESTION ADMINISTRATIVA"/>
    <n v="8"/>
    <n v="0"/>
    <s v="BRISAS DEL GOLF"/>
    <x v="2"/>
  </r>
  <r>
    <n v="49"/>
    <d v="2018-09-08T00:00:00"/>
    <x v="4"/>
    <x v="4"/>
    <x v="0"/>
    <s v="CAJA"/>
    <s v="ALIMENTACION DE EMPLEADOS CTA NUEVA"/>
    <s v="TRANSACCIONES DEL DIA 09/08/2018SPYRAL - GESTION ADMINISTRATIVA"/>
    <n v="16"/>
    <n v="0"/>
    <s v="BRISAS DEL GOLF"/>
    <x v="2"/>
  </r>
  <r>
    <n v="49"/>
    <d v="2018-09-10T00:00:00"/>
    <x v="4"/>
    <x v="4"/>
    <x v="0"/>
    <s v="CAJA"/>
    <s v="ALIMENTACION DE EMPLEADOS CTA NUEVA"/>
    <s v="TRANSACCIONES DEL DIA 09/10/2018SPYRAL - GESTION ADMINISTRATIVA"/>
    <n v="8"/>
    <n v="0"/>
    <s v="BRISAS DEL GOLF"/>
    <x v="2"/>
  </r>
  <r>
    <n v="49"/>
    <d v="2018-09-12T00:00:00"/>
    <x v="4"/>
    <x v="4"/>
    <x v="0"/>
    <s v="CAJA"/>
    <s v="ALIMENTACION DE EMPLEADOS CTA NUEVA"/>
    <s v="TRANSACCIONES DEL DIA 09/12/2018SPYRAL - GESTION ADMINISTRATIVA"/>
    <n v="8"/>
    <n v="0"/>
    <s v="BRISAS DEL GOLF"/>
    <x v="2"/>
  </r>
  <r>
    <n v="49"/>
    <d v="2018-09-18T00:00:00"/>
    <x v="4"/>
    <x v="4"/>
    <x v="0"/>
    <s v="CAJA"/>
    <s v="ALIMENTACION DE EMPLEADOS CTA NUEVA"/>
    <s v="TRANSACCIONES DEL DIA 09/18/2018SPYRAL - GESTION ADMINISTRATIVA"/>
    <n v="8"/>
    <n v="0"/>
    <s v="BRISAS DEL GOLF"/>
    <x v="2"/>
  </r>
  <r>
    <n v="49"/>
    <d v="2018-09-26T00:00:00"/>
    <x v="4"/>
    <x v="4"/>
    <x v="0"/>
    <s v="CAJA"/>
    <s v="ALIMENTACION DE EMPLEADOS CTA NUEVA"/>
    <s v="TRANSACCIONES DEL DIA 09/26/2018SPYRAL - GESTION ADMINISTRATIVA"/>
    <n v="8"/>
    <n v="0"/>
    <s v="BRISAS DEL GOLF"/>
    <x v="2"/>
  </r>
  <r>
    <n v="49"/>
    <d v="2018-10-05T00:00:00"/>
    <x v="0"/>
    <x v="0"/>
    <x v="0"/>
    <s v="CAJA"/>
    <s v="ALIMENTACION DE EMPLEADOS CTA NUEVA"/>
    <s v="TRANSACCIONES DEL DIA 10/05/2018SPYRAL - GESTION ADMINISTRATIVA"/>
    <n v="8"/>
    <n v="0"/>
    <s v="BRISAS DEL GOLF"/>
    <x v="2"/>
  </r>
  <r>
    <n v="49"/>
    <d v="2018-10-12T00:00:00"/>
    <x v="0"/>
    <x v="0"/>
    <x v="0"/>
    <s v="CAJA"/>
    <s v="ALIMENTACION DE EMPLEADOS CTA NUEVA"/>
    <s v="TRANSACCIONES DEL DIA 10/12/2018SPYRAL - GESTION ADMINISTRATIVA"/>
    <n v="8"/>
    <n v="0"/>
    <s v="BRISAS DEL GOLF"/>
    <x v="2"/>
  </r>
  <r>
    <n v="49"/>
    <d v="2018-10-17T00:00:00"/>
    <x v="0"/>
    <x v="0"/>
    <x v="0"/>
    <s v="CAJA"/>
    <s v="ALIMENTACION DE EMPLEADOS CTA NUEVA"/>
    <s v="TRANSACCIONES DEL DIA 10/17/2018SPYRAL - GESTION ADMINISTRATIVA"/>
    <n v="32"/>
    <n v="0"/>
    <s v="BRISAS DEL GOLF"/>
    <x v="2"/>
  </r>
  <r>
    <n v="49"/>
    <d v="2018-10-22T00:00:00"/>
    <x v="0"/>
    <x v="0"/>
    <x v="0"/>
    <s v="CAJA"/>
    <s v="ALIMENTACION DE EMPLEADOS CTA NUEVA"/>
    <s v="TRANSACCIONES DEL DIA 10/22/2018SPYRAL - GESTION ADMINISTRATIVA"/>
    <n v="8"/>
    <n v="0"/>
    <s v="BRISAS DEL GOLF"/>
    <x v="2"/>
  </r>
  <r>
    <n v="49"/>
    <d v="2018-10-24T00:00:00"/>
    <x v="0"/>
    <x v="0"/>
    <x v="0"/>
    <s v="CAJA"/>
    <s v="ALIMENTACION DE EMPLEADOS CTA NUEVA"/>
    <s v="TRANSACCIONES DEL DIA 10/24/2018SPYRAL - GESTION ADMINISTRATIVA"/>
    <n v="8"/>
    <n v="0"/>
    <s v="BRISAS DEL GOLF"/>
    <x v="2"/>
  </r>
  <r>
    <n v="49"/>
    <d v="2018-11-02T00:00:00"/>
    <x v="5"/>
    <x v="5"/>
    <x v="0"/>
    <s v="CAJA"/>
    <s v="ALIMENTACION DE EMPLEADOS CTA NUEVA"/>
    <s v="TRANSACCIONES DEL DIA 11/02/2018SPYRAL - GESTION ADMINISTRATIVA"/>
    <n v="24"/>
    <n v="0"/>
    <s v="BRISAS DEL GOLF"/>
    <x v="2"/>
  </r>
  <r>
    <n v="49"/>
    <d v="2018-11-09T00:00:00"/>
    <x v="5"/>
    <x v="5"/>
    <x v="0"/>
    <s v="CAJA"/>
    <s v="ALIMENTACION DE EMPLEADOS CTA NUEVA"/>
    <s v="TRANSACCIONES DEL DIA 11/09/2018SPYRAL - GESTION ADMINISTRATIVA"/>
    <n v="8"/>
    <n v="0"/>
    <s v="BRISAS DEL GOLF"/>
    <x v="2"/>
  </r>
  <r>
    <n v="49"/>
    <d v="2018-11-12T00:00:00"/>
    <x v="5"/>
    <x v="5"/>
    <x v="0"/>
    <s v="CAJA"/>
    <s v="ALIMENTACION DE EMPLEADOS CTA NUEVA"/>
    <s v="TRANSACCIONES DEL DIA 11/12/2018SPYRAL - GESTION ADMINISTRATIVA"/>
    <n v="16"/>
    <n v="0"/>
    <s v="BRISAS DEL GOLF"/>
    <x v="2"/>
  </r>
  <r>
    <n v="49"/>
    <d v="2018-11-14T00:00:00"/>
    <x v="5"/>
    <x v="5"/>
    <x v="0"/>
    <s v="CAJA"/>
    <s v="ALIMENTACION DE EMPLEADOS CTA NUEVA"/>
    <s v="TRANSACCIONES DEL DIA 11/14/2018SPYRAL - GESTION ADMINISTRATIVA"/>
    <n v="8"/>
    <n v="0"/>
    <s v="BRISAS DEL GOLF"/>
    <x v="2"/>
  </r>
  <r>
    <n v="49"/>
    <d v="2018-11-16T00:00:00"/>
    <x v="5"/>
    <x v="5"/>
    <x v="0"/>
    <s v="CAJA"/>
    <s v="ALIMENTACION DE EMPLEADOS CTA NUEVA"/>
    <s v="TRANSACCIONES DEL DIA 11/16/2018SPYRAL - GESTION ADMINISTRATIVA"/>
    <n v="8"/>
    <n v="0"/>
    <s v="BRISAS DEL GOLF"/>
    <x v="2"/>
  </r>
  <r>
    <n v="49"/>
    <d v="2018-11-19T00:00:00"/>
    <x v="5"/>
    <x v="5"/>
    <x v="0"/>
    <s v="CAJA"/>
    <s v="ALIMENTACION DE EMPLEADOS CTA NUEVA"/>
    <s v="TRANSACCIONES DEL DIA 11/19/2018SPYRAL - GESTION ADMINISTRATIVA"/>
    <n v="8"/>
    <n v="0"/>
    <s v="BRISAS DEL GOLF"/>
    <x v="2"/>
  </r>
  <r>
    <n v="49"/>
    <d v="2018-11-20T00:00:00"/>
    <x v="5"/>
    <x v="5"/>
    <x v="0"/>
    <s v="CAJA"/>
    <s v="ALIMENTACION DE EMPLEADOS CTA NUEVA"/>
    <s v="TRANSACCIONES DEL DIA 11/20/2018SPYRAL - GESTION ADMINISTRATIVA"/>
    <n v="8"/>
    <n v="0"/>
    <s v="BRISAS DEL GOLF"/>
    <x v="2"/>
  </r>
  <r>
    <n v="49"/>
    <d v="2018-11-23T00:00:00"/>
    <x v="5"/>
    <x v="5"/>
    <x v="0"/>
    <s v="CAJA"/>
    <s v="ALIMENTACION DE EMPLEADOS CTA NUEVA"/>
    <s v="TRANSACCIONES DEL DIA 11/23/2018SPYRAL - GESTION ADMINISTRATIVA"/>
    <n v="8"/>
    <n v="0"/>
    <s v="BRISAS DEL GOLF"/>
    <x v="2"/>
  </r>
  <r>
    <n v="49"/>
    <d v="2018-11-27T00:00:00"/>
    <x v="5"/>
    <x v="5"/>
    <x v="0"/>
    <s v="CAJA"/>
    <s v="ALIMENTACION DE EMPLEADOS CTA NUEVA"/>
    <s v="TRANSACCIONES DEL DIA 11/27/2018SPYRAL - GESTION ADMINISTRATIVA"/>
    <n v="8"/>
    <n v="0"/>
    <s v="BRISAS DEL GOLF"/>
    <x v="2"/>
  </r>
  <r>
    <n v="49"/>
    <d v="2018-12-05T00:00:00"/>
    <x v="1"/>
    <x v="1"/>
    <x v="0"/>
    <s v="CAJA"/>
    <s v="ALIMENTACION DE EMPLEADOS CTA NUEVA"/>
    <s v="TRANSACCIONES DEL DIA 12/05/2018SPYRAL - GESTION ADMINISTRATIVA"/>
    <n v="8"/>
    <n v="0"/>
    <s v="BRISAS DEL GOLF"/>
    <x v="2"/>
  </r>
  <r>
    <n v="49"/>
    <d v="2018-12-11T00:00:00"/>
    <x v="1"/>
    <x v="1"/>
    <x v="0"/>
    <s v="CAJA"/>
    <s v="ALIMENTACION DE EMPLEADOS CTA NUEVA"/>
    <s v="TRANSACCIONES DEL DIA 12/11/2018SPYRAL - GESTION ADMINISTRATIVA"/>
    <n v="24"/>
    <n v="0"/>
    <s v="BRISAS DEL GOLF"/>
    <x v="2"/>
  </r>
  <r>
    <n v="49"/>
    <d v="2018-12-13T00:00:00"/>
    <x v="1"/>
    <x v="1"/>
    <x v="0"/>
    <s v="CAJA"/>
    <s v="ALIMENTACION DE EMPLEADOS CTA NUEVA"/>
    <s v="TRANSACCIONES DEL DIA 12/13/2018SPYRAL - GESTION ADMINISTRATIVA"/>
    <n v="8"/>
    <n v="0"/>
    <s v="BRISAS DEL GOLF"/>
    <x v="2"/>
  </r>
  <r>
    <n v="49"/>
    <d v="2018-12-17T00:00:00"/>
    <x v="1"/>
    <x v="1"/>
    <x v="0"/>
    <s v="CAJA"/>
    <s v="ALIMENTACION DE EMPLEADOS CTA NUEVA"/>
    <s v="TRANSACCIONES DEL DIA 12/17/2018SPYRAL - GESTION ADMINISTRATIVA"/>
    <n v="32"/>
    <n v="0"/>
    <s v="BRISAS DEL GOLF"/>
    <x v="2"/>
  </r>
  <r>
    <n v="49"/>
    <d v="2018-12-18T00:00:00"/>
    <x v="1"/>
    <x v="1"/>
    <x v="0"/>
    <s v="CAJA"/>
    <s v="ALIMENTACION DE EMPLEADOS CTA NUEVA"/>
    <s v="TRANSACCIONES DEL DIA 12/18/2018SPYRAL - GESTION ADMINISTRATIVA"/>
    <n v="8"/>
    <n v="0"/>
    <s v="BRISAS DEL GOLF"/>
    <x v="2"/>
  </r>
  <r>
    <n v="49"/>
    <d v="2018-12-27T00:00:00"/>
    <x v="1"/>
    <x v="1"/>
    <x v="0"/>
    <s v="CAJA"/>
    <s v="ALIMENTACION DE EMPLEADOS CTA NUEVA"/>
    <s v="TRANSACCIONES DEL DIA 12/27/2018SPYRAL - GESTION ADMINISTRATIVA"/>
    <n v="8"/>
    <n v="0"/>
    <s v="BRISAS DEL GOLF"/>
    <x v="2"/>
  </r>
  <r>
    <n v="49"/>
    <d v="2018-12-31T00:00:00"/>
    <x v="1"/>
    <x v="1"/>
    <x v="0"/>
    <s v="CAJA"/>
    <s v="CIERRE DE ANIO FISCAL"/>
    <s v="CIERRE_DE_CTAS_NOMINALES"/>
    <n v="0"/>
    <n v="520"/>
    <s v="BRISAS DEL GOLF"/>
    <x v="2"/>
  </r>
  <r>
    <n v="49"/>
    <d v="2018-07-09T00:00:00"/>
    <x v="6"/>
    <x v="6"/>
    <x v="0"/>
    <s v="SERVICIOS PERSONALES"/>
    <s v="ALIMENTACION DE EMPLEADOS CTA NUEVA"/>
    <s v="TRANSACCIONES DEL DIA 07/09/2018SPYRAL - GESTION ADMINISTRATIVA"/>
    <n v="24"/>
    <n v="0"/>
    <s v="BRISAS DEL GOLF"/>
    <x v="2"/>
  </r>
  <r>
    <n v="49"/>
    <d v="2018-07-12T00:00:00"/>
    <x v="6"/>
    <x v="6"/>
    <x v="0"/>
    <s v="SERVICIOS PERSONALES"/>
    <s v="ALIMENTACION DE EMPLEADOS CTA NUEVA"/>
    <s v="TRANSACCIONES DEL DIA 07/12/2018SPYRAL - GESTION ADMINISTRATIVA"/>
    <n v="8"/>
    <n v="0"/>
    <s v="BRISAS DEL GOLF"/>
    <x v="2"/>
  </r>
  <r>
    <n v="49"/>
    <d v="2018-12-31T00:00:00"/>
    <x v="1"/>
    <x v="1"/>
    <x v="0"/>
    <s v="SERVICIOS PERSONALES"/>
    <s v="CIERRE DE ANIO FISCAL"/>
    <s v="CIERRE_DE_CTAS_NOMINALES"/>
    <n v="0"/>
    <n v="48"/>
    <s v="BRISAS DEL GOLF"/>
    <x v="2"/>
  </r>
  <r>
    <n v="51"/>
    <d v="2018-07-17T00:00:00"/>
    <x v="6"/>
    <x v="6"/>
    <x v="0"/>
    <s v="ADMINISTRACION DE SUCURSALES"/>
    <s v="ALIMENTACION DE EMPLEADOS CTA NUEVA"/>
    <s v="TRANSACCIONES DEL DIA 07/17/2018SPYRAL - GESTION ADMINISTRATIVA"/>
    <n v="8"/>
    <n v="0"/>
    <s v="PUENTE CENTENARIO"/>
    <x v="2"/>
  </r>
  <r>
    <n v="51"/>
    <d v="2018-12-28T00:00:00"/>
    <x v="1"/>
    <x v="1"/>
    <x v="0"/>
    <s v="ADMINISTRACION DE SUCURSALES"/>
    <s v="ALIMENTACION DE EMPLEADOS CTA NUEVA"/>
    <s v="TRANSACCIONES DEL DIA 12/28/2018SPYRAL - GESTION ADMINISTRATIVA"/>
    <n v="8"/>
    <n v="0"/>
    <s v="PUENTE CENTENARIO"/>
    <x v="2"/>
  </r>
  <r>
    <n v="51"/>
    <d v="2018-12-31T00:00:00"/>
    <x v="1"/>
    <x v="1"/>
    <x v="0"/>
    <s v="ADMINISTRACION DE SUCURSALES"/>
    <s v="CIERRE DE ANIO FISCAL"/>
    <s v="CIERRE_DE_CTAS_NOMINALES"/>
    <n v="0"/>
    <n v="16"/>
    <s v="PUENTE CENTENARIO"/>
    <x v="2"/>
  </r>
  <r>
    <n v="51"/>
    <d v="2018-06-05T00:00:00"/>
    <x v="2"/>
    <x v="2"/>
    <x v="0"/>
    <s v="CAJA"/>
    <s v="ALIMENTACION DE EMPLEADOS CTA NUEVA"/>
    <s v="TRANSACCIONES DEL DIA 06/05/2018SPYRAL - GESTION ADMINISTRATIVA"/>
    <n v="40"/>
    <n v="0"/>
    <s v="PUENTE CENTENARIO"/>
    <x v="2"/>
  </r>
  <r>
    <n v="51"/>
    <d v="2018-06-26T00:00:00"/>
    <x v="2"/>
    <x v="2"/>
    <x v="0"/>
    <s v="CAJA"/>
    <s v="ALIMENTACION DE EMPLEADOS CTA NUEVA"/>
    <s v="TRANSACCIONES DEL DIA 06/26/2018SPYRAL - GESTION ADMINISTRATIVA"/>
    <n v="32"/>
    <n v="0"/>
    <s v="PUENTE CENTENARIO"/>
    <x v="2"/>
  </r>
  <r>
    <n v="51"/>
    <d v="2018-07-06T00:00:00"/>
    <x v="6"/>
    <x v="6"/>
    <x v="0"/>
    <s v="CAJA"/>
    <s v="ALIMENTACION DE EMPLEADOS CTA NUEVA"/>
    <s v="TRANSACCIONES DEL DIA 07/06/2018SPYRAL - GESTION ADMINISTRATIVA"/>
    <n v="8"/>
    <n v="0"/>
    <s v="PUENTE CENTENARIO"/>
    <x v="2"/>
  </r>
  <r>
    <n v="51"/>
    <d v="2018-07-20T00:00:00"/>
    <x v="6"/>
    <x v="6"/>
    <x v="0"/>
    <s v="CAJA"/>
    <s v="ALIMENTACION DE EMPLEADOS CTA NUEVA"/>
    <s v="TRANSACCIONES DEL DIA 07/20/2018SPYRAL - GESTION ADMINISTRATIVA"/>
    <n v="24"/>
    <n v="0"/>
    <s v="PUENTE CENTENARIO"/>
    <x v="2"/>
  </r>
  <r>
    <n v="51"/>
    <d v="2018-08-22T00:00:00"/>
    <x v="3"/>
    <x v="3"/>
    <x v="0"/>
    <s v="CAJA"/>
    <s v="ALIMENTACION DE EMPLEADOS CTA NUEVA"/>
    <s v="TRANSACCIONES DEL DIA 08/22/2018SPYRAL - GESTION ADMINISTRATIVA"/>
    <n v="88"/>
    <n v="0"/>
    <s v="PUENTE CENTENARIO"/>
    <x v="2"/>
  </r>
  <r>
    <n v="51"/>
    <d v="2018-08-23T00:00:00"/>
    <x v="3"/>
    <x v="3"/>
    <x v="0"/>
    <s v="CAJA"/>
    <s v="ALIMENTACION DE EMPLEADOS CTA NUEVA"/>
    <s v="TRANSACCIONES DEL DIA 08/23/2018SPYRAL - GESTION ADMINISTRATIVA"/>
    <n v="8"/>
    <n v="0"/>
    <s v="PUENTE CENTENARIO"/>
    <x v="2"/>
  </r>
  <r>
    <n v="51"/>
    <d v="2018-09-06T00:00:00"/>
    <x v="4"/>
    <x v="4"/>
    <x v="0"/>
    <s v="CAJA"/>
    <s v="ALIMENTACION DE EMPLEADOS CTA NUEVA"/>
    <s v="TRANSACCIONES DEL DIA 09/06/2018SPYRAL - GESTION ADMINISTRATIVA"/>
    <n v="24"/>
    <n v="0"/>
    <s v="PUENTE CENTENARIO"/>
    <x v="2"/>
  </r>
  <r>
    <n v="51"/>
    <d v="2018-09-10T00:00:00"/>
    <x v="4"/>
    <x v="4"/>
    <x v="0"/>
    <s v="CAJA"/>
    <s v="ALIMENTACION DE EMPLEADOS CTA NUEVA"/>
    <s v="TRANSACCIONES DEL DIA 09/10/2018SPYRAL - GESTION ADMINISTRATIVA"/>
    <n v="8"/>
    <n v="0"/>
    <s v="PUENTE CENTENARIO"/>
    <x v="2"/>
  </r>
  <r>
    <n v="51"/>
    <d v="2018-09-20T00:00:00"/>
    <x v="4"/>
    <x v="4"/>
    <x v="0"/>
    <s v="CAJA"/>
    <s v="ALIMENTACION DE EMPLEADOS CTA NUEVA"/>
    <s v="TRANSACCIONES DEL DIA 09/20/2018SPYRAL - GESTION ADMINISTRATIVA"/>
    <n v="8"/>
    <n v="0"/>
    <s v="PUENTE CENTENARIO"/>
    <x v="2"/>
  </r>
  <r>
    <n v="51"/>
    <d v="2018-10-03T00:00:00"/>
    <x v="0"/>
    <x v="0"/>
    <x v="0"/>
    <s v="CAJA"/>
    <s v="ALIMENTACION DE EMPLEADOS CTA NUEVA"/>
    <s v="TRANSACCIONES DEL DIA 10/03/2018SPYRAL - GESTION ADMINISTRATIVA"/>
    <n v="8"/>
    <n v="0"/>
    <s v="PUENTE CENTENARIO"/>
    <x v="2"/>
  </r>
  <r>
    <n v="51"/>
    <d v="2018-10-08T00:00:00"/>
    <x v="0"/>
    <x v="0"/>
    <x v="0"/>
    <s v="CAJA"/>
    <s v="ALIMENTACION DE EMPLEADOS CTA NUEVA"/>
    <s v="TRANSACCIONES DEL DIA 10/08/2018SPYRAL - GESTION ADMINISTRATIVA"/>
    <n v="8"/>
    <n v="0"/>
    <s v="PUENTE CENTENARIO"/>
    <x v="2"/>
  </r>
  <r>
    <n v="51"/>
    <d v="2018-10-18T00:00:00"/>
    <x v="0"/>
    <x v="0"/>
    <x v="0"/>
    <s v="CAJA"/>
    <s v="ALIMENTACION DE EMPLEADOS CTA NUEVA"/>
    <s v="TRANSACCIONES DEL DIA 10/18/2018SPYRAL - GESTION ADMINISTRATIVA"/>
    <n v="48"/>
    <n v="0"/>
    <s v="PUENTE CENTENARIO"/>
    <x v="2"/>
  </r>
  <r>
    <n v="51"/>
    <d v="2018-11-02T00:00:00"/>
    <x v="5"/>
    <x v="5"/>
    <x v="0"/>
    <s v="CAJA"/>
    <s v="ALIMENTACION DE EMPLEADOS CTA NUEVA"/>
    <s v="TRANSACCIONES DEL DIA 11/02/2018SPYRAL - GESTION ADMINISTRATIVA"/>
    <n v="40"/>
    <n v="0"/>
    <s v="PUENTE CENTENARIO"/>
    <x v="2"/>
  </r>
  <r>
    <n v="51"/>
    <d v="2018-11-13T00:00:00"/>
    <x v="5"/>
    <x v="5"/>
    <x v="0"/>
    <s v="CAJA"/>
    <s v="ALIMENTACION DE EMPLEADOS CTA NUEVA"/>
    <s v="TRANSACCIONES DEL DIA 11/13/2018SPYRAL - GESTION ADMINISTRATIVA"/>
    <n v="24"/>
    <n v="0"/>
    <s v="PUENTE CENTENARIO"/>
    <x v="2"/>
  </r>
  <r>
    <n v="51"/>
    <d v="2018-11-15T00:00:00"/>
    <x v="5"/>
    <x v="5"/>
    <x v="0"/>
    <s v="CAJA"/>
    <s v="ALIMENTACION DE EMPLEADOS CTA NUEVA"/>
    <s v="TRANSACCIONES DEL DIA 11/15/2018SPYRAL - GESTION ADMINISTRATIVA"/>
    <n v="24"/>
    <n v="0"/>
    <s v="PUENTE CENTENARIO"/>
    <x v="2"/>
  </r>
  <r>
    <n v="51"/>
    <d v="2018-11-20T00:00:00"/>
    <x v="5"/>
    <x v="5"/>
    <x v="0"/>
    <s v="CAJA"/>
    <s v="ALIMENTACION DE EMPLEADOS CTA NUEVA"/>
    <s v="TRANSACCIONES DEL DIA 11/20/2018SPYRAL - GESTION ADMINISTRATIVA"/>
    <n v="32"/>
    <n v="0"/>
    <s v="PUENTE CENTENARIO"/>
    <x v="2"/>
  </r>
  <r>
    <n v="51"/>
    <d v="2018-12-10T00:00:00"/>
    <x v="1"/>
    <x v="1"/>
    <x v="0"/>
    <s v="CAJA"/>
    <s v="ALIMENTACION DE EMPLEADOS CTA NUEVA"/>
    <s v="TRANSACCIONES DEL DIA 12/10/2018SPYRAL - GESTION ADMINISTRATIVA"/>
    <n v="24"/>
    <n v="0"/>
    <s v="PUENTE CENTENARIO"/>
    <x v="2"/>
  </r>
  <r>
    <n v="51"/>
    <d v="2018-12-11T00:00:00"/>
    <x v="1"/>
    <x v="1"/>
    <x v="0"/>
    <s v="CAJA"/>
    <s v="ALIMENTACION DE EMPLEADOS CTA NUEVA"/>
    <s v="TRANSACCIONES DEL DIA 12/11/2018SPYRAL - GESTION ADMINISTRATIVA"/>
    <n v="48"/>
    <n v="0"/>
    <s v="PUENTE CENTENARIO"/>
    <x v="2"/>
  </r>
  <r>
    <n v="51"/>
    <d v="2018-12-20T00:00:00"/>
    <x v="1"/>
    <x v="1"/>
    <x v="0"/>
    <s v="CAJA"/>
    <s v="ALIMENTACION DE EMPLEADOS CTA NUEVA"/>
    <s v="TRANSACCIONES DEL DIA 12/20/2018SPYRAL - GESTION ADMINISTRATIVA"/>
    <n v="24"/>
    <n v="0"/>
    <s v="PUENTE CENTENARIO"/>
    <x v="2"/>
  </r>
  <r>
    <n v="51"/>
    <d v="2018-12-31T00:00:00"/>
    <x v="1"/>
    <x v="1"/>
    <x v="0"/>
    <s v="CAJA"/>
    <s v="CIERRE DE ANIO FISCAL"/>
    <s v="CIERRE_DE_CTAS_NOMINALES"/>
    <n v="0"/>
    <n v="856"/>
    <s v="PUENTE CENTENARIO"/>
    <x v="2"/>
  </r>
  <r>
    <n v="51"/>
    <d v="2018-06-18T00:00:00"/>
    <x v="2"/>
    <x v="2"/>
    <x v="0"/>
    <s v="SERVICIOS PERSONALES"/>
    <s v="ALIMENTACION DE EMPLEADOS CTA NUEVA"/>
    <s v="TRANSACCIONES DEL DIA 06/18/2018SPYRAL - GESTION ADMINISTRATIVA"/>
    <n v="16"/>
    <n v="0"/>
    <s v="PUENTE CENTENARIO"/>
    <x v="2"/>
  </r>
  <r>
    <n v="51"/>
    <d v="2018-07-06T00:00:00"/>
    <x v="6"/>
    <x v="6"/>
    <x v="0"/>
    <s v="SERVICIOS PERSONALES"/>
    <s v="ALIMENTACION DE EMPLEADOS CTA NUEVA"/>
    <s v="TRANSACCIONES DEL DIA 07/06/2018SPYRAL - GESTION ADMINISTRATIVA"/>
    <n v="8"/>
    <n v="0"/>
    <s v="PUENTE CENTENARIO"/>
    <x v="2"/>
  </r>
  <r>
    <n v="51"/>
    <d v="2018-07-12T00:00:00"/>
    <x v="6"/>
    <x v="6"/>
    <x v="0"/>
    <s v="SERVICIOS PERSONALES"/>
    <s v="ALIMENTACION DE EMPLEADOS CTA NUEVA"/>
    <s v="TRANSACCIONES DEL DIA 07/12/2018SPYRAL - GESTION ADMINISTRATIVA"/>
    <n v="24"/>
    <n v="0"/>
    <s v="PUENTE CENTENARIO"/>
    <x v="2"/>
  </r>
  <r>
    <n v="51"/>
    <d v="2018-07-27T00:00:00"/>
    <x v="6"/>
    <x v="6"/>
    <x v="0"/>
    <s v="SERVICIOS PERSONALES"/>
    <s v="ALIMENTACION DE EMPLEADOS CTA NUEVA"/>
    <s v="TRANSACCIONES DEL DIA 07/27/2018SPYRAL - GESTION ADMINISTRATIVA"/>
    <n v="8"/>
    <n v="0"/>
    <s v="PUENTE CENTENARIO"/>
    <x v="2"/>
  </r>
  <r>
    <n v="51"/>
    <d v="2018-10-26T00:00:00"/>
    <x v="0"/>
    <x v="0"/>
    <x v="0"/>
    <s v="SERVICIOS PERSONALES"/>
    <s v="ALIMENTACION DE EMPLEADOS CTA NUEVA"/>
    <s v="TRANSACCIONES DEL DIA 10/26/2018SPYRAL - GESTION ADMINISTRATIVA"/>
    <n v="24"/>
    <n v="0"/>
    <s v="PUENTE CENTENARIO"/>
    <x v="2"/>
  </r>
  <r>
    <n v="51"/>
    <d v="2018-12-31T00:00:00"/>
    <x v="1"/>
    <x v="1"/>
    <x v="0"/>
    <s v="SERVICIOS PERSONALES"/>
    <s v="CIERRE DE ANIO FISCAL"/>
    <s v="CIERRE_DE_CTAS_NOMINALES"/>
    <n v="0"/>
    <n v="112"/>
    <s v="PUENTE CENTENARIO"/>
    <x v="2"/>
  </r>
  <r>
    <n v="53"/>
    <d v="2018-07-16T00:00:00"/>
    <x v="6"/>
    <x v="6"/>
    <x v="0"/>
    <s v="ADMINISTRACION DE SUCURSALES"/>
    <s v="OTROS EGRESOS 17"/>
    <s v="OTROS EGRESOS 1.P.O (OR:53/DES:53 TRN:86 PERF:300086 CAU: 17"/>
    <n v="4.8"/>
    <n v="0"/>
    <s v="AGUADULCE"/>
    <x v="2"/>
  </r>
  <r>
    <n v="53"/>
    <d v="2018-10-24T00:00:00"/>
    <x v="0"/>
    <x v="0"/>
    <x v="0"/>
    <s v="ADMINISTRACION DE SUCURSALES"/>
    <s v="NC ALIMENTACION DE EMPLEADOS NVA"/>
    <s v="TRANSACCIONES DEL DIA 10/24/2018SPYRAL - GESTION ADMINISTRATIVA"/>
    <n v="14.65"/>
    <n v="0"/>
    <s v="AGUADULCE"/>
    <x v="2"/>
  </r>
  <r>
    <n v="53"/>
    <d v="2018-12-31T00:00:00"/>
    <x v="1"/>
    <x v="1"/>
    <x v="0"/>
    <s v="ADMINISTRACION DE SUCURSALES"/>
    <s v="CIERRE DE ANIO FISCAL"/>
    <s v="CIERRE_DE_CTAS_NOMINALES"/>
    <n v="0"/>
    <n v="45.43"/>
    <s v="AGUADULCE"/>
    <x v="2"/>
  </r>
  <r>
    <n v="54"/>
    <d v="2018-08-23T00:00:00"/>
    <x v="3"/>
    <x v="3"/>
    <x v="0"/>
    <s v="ADMINISTRACION DE SUCURSALES"/>
    <s v="NC ALIMENTACION DE EMPLEADOS NVA"/>
    <s v="TRANSACCIONES DEL DIA 08/23/2018SPYRAL - GESTION ADMINISTRATIVA"/>
    <n v="24.62"/>
    <n v="0"/>
    <s v="SABANITAS"/>
    <x v="2"/>
  </r>
  <r>
    <n v="54"/>
    <d v="2018-12-31T00:00:00"/>
    <x v="1"/>
    <x v="1"/>
    <x v="0"/>
    <s v="ADMINISTRACION DE SUCURSALES"/>
    <s v="CIERRE DE ANIO FISCAL"/>
    <s v="CIERRE_DE_CTAS_NOMINALES"/>
    <n v="0"/>
    <n v="24.62"/>
    <s v="SABANITAS"/>
    <x v="2"/>
  </r>
  <r>
    <n v="68"/>
    <d v="2018-07-06T00:00:00"/>
    <x v="6"/>
    <x v="6"/>
    <x v="0"/>
    <s v="CAJA"/>
    <s v="ALIMENTACION DE EMPLEADOS CTA NUEVA"/>
    <s v="TRANSACCIONES DEL DIA 07/06/2018SPYRAL - GESTION ADMINISTRATIVA"/>
    <n v="8"/>
    <n v="0"/>
    <s v="ALTOS DE PANAMA"/>
    <x v="2"/>
  </r>
  <r>
    <n v="68"/>
    <d v="2018-07-12T00:00:00"/>
    <x v="6"/>
    <x v="6"/>
    <x v="0"/>
    <s v="CAJA"/>
    <s v="ALIMENTACION DE EMPLEADOS CTA NUEVA"/>
    <s v="TRANSACCIONES DEL DIA 07/12/2018SPYRAL - GESTION ADMINISTRATIVA"/>
    <n v="8"/>
    <n v="0"/>
    <s v="ALTOS DE PANAMA"/>
    <x v="2"/>
  </r>
  <r>
    <n v="68"/>
    <d v="2018-10-17T00:00:00"/>
    <x v="0"/>
    <x v="0"/>
    <x v="0"/>
    <s v="CAJA"/>
    <s v="ALIMENTACION DE EMPLEADOS CTA NUEVA"/>
    <s v="TRANSACCIONES DEL DIA 10/17/2018SPYRAL - GESTION ADMINISTRATIVA"/>
    <n v="16"/>
    <n v="0"/>
    <s v="ALTOS DE PANAMA"/>
    <x v="2"/>
  </r>
  <r>
    <n v="68"/>
    <d v="2018-10-26T00:00:00"/>
    <x v="0"/>
    <x v="0"/>
    <x v="0"/>
    <s v="CAJA"/>
    <s v="ALIMENTACION DE EMPLEADOS CTA NUEVA"/>
    <s v="TRANSACCIONES DEL DIA 10/26/2018SPYRAL - GESTION ADMINISTRATIVA"/>
    <n v="16"/>
    <n v="0"/>
    <s v="ALTOS DE PANAMA"/>
    <x v="2"/>
  </r>
  <r>
    <n v="68"/>
    <d v="2018-12-11T00:00:00"/>
    <x v="1"/>
    <x v="1"/>
    <x v="0"/>
    <s v="CAJA"/>
    <s v="ALIMENTACION DE EMPLEADOS CTA NUEVA"/>
    <s v="TRANSACCIONES DEL DIA 12/11/2018SPYRAL - GESTION ADMINISTRATIVA"/>
    <n v="8"/>
    <n v="0"/>
    <s v="ALTOS DE PANAMA"/>
    <x v="2"/>
  </r>
  <r>
    <n v="68"/>
    <d v="2018-12-13T00:00:00"/>
    <x v="1"/>
    <x v="1"/>
    <x v="0"/>
    <s v="CAJA"/>
    <s v="ALIMENTACION DE EMPLEADOS CTA NUEVA"/>
    <s v="TRANSACCIONES DEL DIA 12/13/2018SPYRAL - GESTION ADMINISTRATIVA"/>
    <n v="8"/>
    <n v="0"/>
    <s v="ALTOS DE PANAMA"/>
    <x v="2"/>
  </r>
  <r>
    <n v="68"/>
    <d v="2018-12-31T00:00:00"/>
    <x v="1"/>
    <x v="1"/>
    <x v="0"/>
    <s v="CAJA"/>
    <s v="CIERRE DE ANIO FISCAL"/>
    <s v="CIERRE_DE_CTAS_NOMINALES"/>
    <n v="0"/>
    <n v="64"/>
    <s v="ALTOS DE PANAMA"/>
    <x v="2"/>
  </r>
  <r>
    <n v="68"/>
    <d v="2018-07-26T00:00:00"/>
    <x v="6"/>
    <x v="6"/>
    <x v="0"/>
    <s v="SERVICIOS PERSONALES"/>
    <s v="ALIMENTACION DE EMPLEADOS CTA NUEVA"/>
    <s v="TRANSACCIONES DEL DIA 07/26/2018SPYRAL - GESTION ADMINISTRATIVA"/>
    <n v="8"/>
    <n v="0"/>
    <s v="ALTOS DE PANAMA"/>
    <x v="2"/>
  </r>
  <r>
    <n v="68"/>
    <d v="2018-08-24T00:00:00"/>
    <x v="3"/>
    <x v="3"/>
    <x v="0"/>
    <s v="SERVICIOS PERSONALES"/>
    <s v="ALIMENTACION DE EMPLEADOS CTA NUEVA"/>
    <s v="TRANSACCIONES DEL DIA 08/24/2018SPYRAL - GESTION ADMINISTRATIVA"/>
    <n v="8"/>
    <n v="0"/>
    <s v="ALTOS DE PANAMA"/>
    <x v="2"/>
  </r>
  <r>
    <n v="68"/>
    <d v="2018-09-12T00:00:00"/>
    <x v="4"/>
    <x v="4"/>
    <x v="0"/>
    <s v="SERVICIOS PERSONALES"/>
    <s v="ALIMENTACION DE EMPLEADOS CTA NUEVA"/>
    <s v="TRANSACCIONES DEL DIA 09/12/2018SPYRAL - GESTION ADMINISTRATIVA"/>
    <n v="8"/>
    <n v="0"/>
    <s v="ALTOS DE PANAMA"/>
    <x v="2"/>
  </r>
  <r>
    <n v="68"/>
    <d v="2018-12-31T00:00:00"/>
    <x v="1"/>
    <x v="1"/>
    <x v="0"/>
    <s v="SERVICIOS PERSONALES"/>
    <s v="CIERRE DE ANIO FISCAL"/>
    <s v="CIERRE_DE_CTAS_NOMINALES"/>
    <n v="0"/>
    <n v="40"/>
    <s v="ALTOS DE PANAMA"/>
    <x v="2"/>
  </r>
  <r>
    <n v="69"/>
    <d v="2018-06-04T00:00:00"/>
    <x v="2"/>
    <x v="2"/>
    <x v="0"/>
    <s v="ADMINISTRACION DE SUCURSALES"/>
    <s v="NC ALIMENTACION DE EMPLEADOS NVA"/>
    <s v="TRANSACCIONES DEL DIA 06/04/2018SPYRAL - GESTION ADMINISTRATIVA"/>
    <n v="96"/>
    <n v="0"/>
    <s v="VERSALLES"/>
    <x v="2"/>
  </r>
  <r>
    <n v="69"/>
    <d v="2018-06-19T00:00:00"/>
    <x v="2"/>
    <x v="2"/>
    <x v="0"/>
    <s v="ADMINISTRACION DE SUCURSALES"/>
    <s v="NC ALIMENTACION DE EMPLEADOS NVA"/>
    <s v="TRANSACCIONES DEL DIA 06/19/2018SPYRAL - GESTION ADMINISTRATIVA"/>
    <n v="80"/>
    <n v="0"/>
    <s v="VERSALLES"/>
    <x v="2"/>
  </r>
  <r>
    <n v="69"/>
    <d v="2018-07-02T00:00:00"/>
    <x v="6"/>
    <x v="6"/>
    <x v="0"/>
    <s v="ADMINISTRACION DE SUCURSALES"/>
    <s v="NC ALIMENTACION DE EMPLEADOS NVA"/>
    <s v="TRANSACCIONES DEL DIA 07/02/2018SPYRAL - GESTION ADMINISTRATIVA"/>
    <n v="96"/>
    <n v="0"/>
    <s v="VERSALLES"/>
    <x v="2"/>
  </r>
  <r>
    <n v="69"/>
    <d v="2018-07-16T00:00:00"/>
    <x v="6"/>
    <x v="6"/>
    <x v="0"/>
    <s v="ADMINISTRACION DE SUCURSALES"/>
    <s v="NC ALIMENTACION DE EMPLEADOS NVA"/>
    <s v="TRANSACCIONES DEL DIA 07/16/2018SPYRAL - GESTION ADMINISTRATIVA"/>
    <n v="112"/>
    <n v="0"/>
    <s v="VERSALLES"/>
    <x v="2"/>
  </r>
  <r>
    <n v="69"/>
    <d v="2018-08-01T00:00:00"/>
    <x v="3"/>
    <x v="3"/>
    <x v="0"/>
    <s v="ADMINISTRACION DE SUCURSALES"/>
    <s v="NC ALIMENTACION DE EMPLEADOS NVA"/>
    <s v="TRANSACCIONES DEL DIA 08/01/2018SPYRAL - GESTION ADMINISTRATIVA"/>
    <n v="104"/>
    <n v="0"/>
    <s v="VERSALLES"/>
    <x v="2"/>
  </r>
  <r>
    <n v="69"/>
    <d v="2018-08-16T00:00:00"/>
    <x v="3"/>
    <x v="3"/>
    <x v="0"/>
    <s v="ADMINISTRACION DE SUCURSALES"/>
    <s v="NC ALIMENTACION DE EMPLEADOS NVA"/>
    <s v="TRANSACCIONES DEL DIA 08/16/2018SPYRAL - GESTION ADMINISTRATIVA"/>
    <n v="112"/>
    <n v="0"/>
    <s v="VERSALLES"/>
    <x v="2"/>
  </r>
  <r>
    <n v="69"/>
    <d v="2018-09-01T00:00:00"/>
    <x v="4"/>
    <x v="4"/>
    <x v="0"/>
    <s v="ADMINISTRACION DE SUCURSALES"/>
    <s v="NC ALIMENTACION DE EMPLEADOS NVA"/>
    <s v="TRANSACCIONES DEL DIA 09/01/2018SPYRAL - GESTION ADMINISTRATIVA"/>
    <n v="104"/>
    <n v="0"/>
    <s v="VERSALLES"/>
    <x v="2"/>
  </r>
  <r>
    <n v="69"/>
    <d v="2018-09-17T00:00:00"/>
    <x v="4"/>
    <x v="4"/>
    <x v="0"/>
    <s v="ADMINISTRACION DE SUCURSALES"/>
    <s v="NC ALIMENTACION DE EMPLEADOS NVA"/>
    <s v="TRANSACCIONES DEL DIA 09/17/2018SPYRAL - GESTION ADMINISTRATIVA"/>
    <n v="96"/>
    <n v="0"/>
    <s v="VERSALLES"/>
    <x v="2"/>
  </r>
  <r>
    <n v="69"/>
    <d v="2018-10-01T00:00:00"/>
    <x v="0"/>
    <x v="0"/>
    <x v="0"/>
    <s v="ADMINISTRACION DE SUCURSALES"/>
    <s v="NC ALIMENTACION DE EMPLEADOS NVA"/>
    <s v="TRANSACCIONES DEL DIA 10/01/2018SPYRAL - GESTION ADMINISTRATIVA"/>
    <n v="104"/>
    <n v="0"/>
    <s v="VERSALLES"/>
    <x v="2"/>
  </r>
  <r>
    <n v="69"/>
    <d v="2018-10-16T00:00:00"/>
    <x v="0"/>
    <x v="0"/>
    <x v="0"/>
    <s v="ADMINISTRACION DE SUCURSALES"/>
    <s v="NC ALIMENTACION DE EMPLEADOS NVA"/>
    <s v="TRANSACCIONES DEL DIA 10/16/2018SPYRAL - GESTION ADMINISTRATIVA"/>
    <n v="112"/>
    <n v="0"/>
    <s v="VERSALLES"/>
    <x v="2"/>
  </r>
  <r>
    <n v="69"/>
    <d v="2018-11-01T00:00:00"/>
    <x v="5"/>
    <x v="5"/>
    <x v="0"/>
    <s v="ADMINISTRACION DE SUCURSALES"/>
    <s v="NC ALIMENTACION DE EMPLEADOS NVA"/>
    <s v="TRANSACCIONES DEL DIA 11/01/2018SPYRAL - GESTION ADMINISTRATIVA"/>
    <n v="80"/>
    <n v="0"/>
    <s v="VERSALLES"/>
    <x v="2"/>
  </r>
  <r>
    <n v="69"/>
    <d v="2018-11-16T00:00:00"/>
    <x v="5"/>
    <x v="5"/>
    <x v="0"/>
    <s v="ADMINISTRACION DE SUCURSALES"/>
    <s v="NC ALIMENTACION DE EMPLEADOS NVA"/>
    <s v="TRANSACCIONES DEL DIA 11/16/2018SPYRAL - GESTION ADMINISTRATIVA"/>
    <n v="96"/>
    <n v="0"/>
    <s v="VERSALLES"/>
    <x v="2"/>
  </r>
  <r>
    <n v="69"/>
    <d v="2018-12-01T00:00:00"/>
    <x v="1"/>
    <x v="1"/>
    <x v="0"/>
    <s v="ADMINISTRACION DE SUCURSALES"/>
    <s v="NC ALIMENTACION DE EMPLEADOS NVA"/>
    <s v="TRANSACCIONES DEL DIA 12/01/2018SPYRAL - GESTION ADMINISTRATIVA"/>
    <n v="96"/>
    <n v="0"/>
    <s v="VERSALLES"/>
    <x v="2"/>
  </r>
  <r>
    <n v="69"/>
    <d v="2018-12-17T00:00:00"/>
    <x v="1"/>
    <x v="1"/>
    <x v="0"/>
    <s v="ADMINISTRACION DE SUCURSALES"/>
    <s v="NC ALIMENTACION DE EMPLEADOS NVA"/>
    <s v="TRANSACCIONES DEL DIA 12/17/2018SPYRAL - GESTION ADMINISTRATIVA"/>
    <n v="96"/>
    <n v="0"/>
    <s v="VERSALLES"/>
    <x v="2"/>
  </r>
  <r>
    <n v="69"/>
    <d v="2018-12-31T00:00:00"/>
    <x v="1"/>
    <x v="1"/>
    <x v="0"/>
    <s v="ADMINISTRACION DE SUCURSALES"/>
    <s v="CIERRE DE ANIO FISCAL"/>
    <s v="CIERRE_DE_CTAS_NOMINALES"/>
    <n v="0"/>
    <n v="2364"/>
    <s v="VERSALLES"/>
    <x v="2"/>
  </r>
  <r>
    <n v="69"/>
    <d v="2018-12-31T00:00:00"/>
    <x v="1"/>
    <x v="1"/>
    <x v="0"/>
    <s v="CAJA"/>
    <s v="CIERRE DE ANIO FISCAL"/>
    <s v="CIERRE_DE_CTAS_NOMINALES"/>
    <n v="0"/>
    <n v="40"/>
    <s v="VERSALLES"/>
    <x v="2"/>
  </r>
  <r>
    <n v="69"/>
    <d v="2018-12-31T00:00:00"/>
    <x v="1"/>
    <x v="1"/>
    <x v="0"/>
    <s v="SERVICIOS PERSONALES"/>
    <s v="CIERRE DE ANIO FISCAL"/>
    <s v="CIERRE_DE_CTAS_NOMINALES"/>
    <n v="0"/>
    <n v="8"/>
    <s v="VERSALLES"/>
    <x v="2"/>
  </r>
  <r>
    <n v="71"/>
    <d v="2018-08-09T00:00:00"/>
    <x v="3"/>
    <x v="3"/>
    <x v="0"/>
    <s v="ADMINISTRACION DE SUCURSALES"/>
    <s v="NC ALIMENTACION DE EMPLEADOS NVA"/>
    <s v="TRANSACCIONES DEL DIA 08/09/2018SPYRAL - GESTION ADMINISTRATIVA"/>
    <n v="27.8"/>
    <n v="0"/>
    <s v="SAN FRANCISCO"/>
    <x v="2"/>
  </r>
  <r>
    <n v="71"/>
    <d v="2018-10-10T00:00:00"/>
    <x v="0"/>
    <x v="0"/>
    <x v="0"/>
    <s v="ADMINISTRACION DE SUCURSALES"/>
    <s v="NC ALIMENTACION DE EMPLEADOS NVA"/>
    <s v="TRANSACCIONES DEL DIA 10/10/2018SPYRAL - GESTION ADMINISTRATIVA"/>
    <n v="26.12"/>
    <n v="0"/>
    <s v="SAN FRANCISCO"/>
    <x v="2"/>
  </r>
  <r>
    <n v="71"/>
    <d v="2018-12-31T00:00:00"/>
    <x v="1"/>
    <x v="1"/>
    <x v="0"/>
    <s v="ADMINISTRACION DE SUCURSALES"/>
    <s v="CIERRE DE ANIO FISCAL"/>
    <s v="CIERRE_DE_CTAS_NOMINALES"/>
    <n v="0"/>
    <n v="80.87"/>
    <s v="SAN FRANCISCO"/>
    <x v="2"/>
  </r>
  <r>
    <n v="71"/>
    <d v="2018-12-31T00:00:00"/>
    <x v="1"/>
    <x v="1"/>
    <x v="0"/>
    <s v="CAJA"/>
    <s v="CIERRE DE ANIO FISCAL"/>
    <s v="CIERRE_DE_CTAS_NOMINALES"/>
    <n v="0"/>
    <n v="16"/>
    <s v="SAN FRANCISCO"/>
    <x v="2"/>
  </r>
  <r>
    <n v="72"/>
    <d v="2018-09-07T00:00:00"/>
    <x v="4"/>
    <x v="4"/>
    <x v="0"/>
    <s v="ADMINISTRACION DE SUCURSALES"/>
    <s v="ALIMENTACION DE EMPLEADOS CTA NUEVA"/>
    <s v="TRANSACCIONES DEL DIA 09/07/2018SPYRAL - GESTION ADMINISTRATIVA"/>
    <n v="8"/>
    <n v="0"/>
    <s v="PLAZA BANCO GENERAL"/>
    <x v="2"/>
  </r>
  <r>
    <n v="72"/>
    <d v="2018-12-31T00:00:00"/>
    <x v="1"/>
    <x v="1"/>
    <x v="0"/>
    <s v="ADMINISTRACION DE SUCURSALES"/>
    <s v="CIERRE DE ANIO FISCAL"/>
    <s v="CIERRE_DE_CTAS_NOMINALES"/>
    <n v="0"/>
    <n v="41.49"/>
    <s v="PLAZA BANCO GENERAL"/>
    <x v="2"/>
  </r>
  <r>
    <n v="72"/>
    <d v="2018-08-27T00:00:00"/>
    <x v="3"/>
    <x v="3"/>
    <x v="0"/>
    <s v="CAJA"/>
    <s v="ALIMENTACION DE EMPLEADOS CTA NUEVA"/>
    <s v="TRANSACCIONES DEL DIA 08/27/2018SPYRAL - GESTION ADMINISTRATIVA"/>
    <n v="8"/>
    <n v="0"/>
    <s v="PLAZA BANCO GENERAL"/>
    <x v="2"/>
  </r>
  <r>
    <n v="72"/>
    <d v="2018-10-18T00:00:00"/>
    <x v="0"/>
    <x v="0"/>
    <x v="0"/>
    <s v="CAJA"/>
    <s v="ALIMENTACION DE EMPLEADOS CTA NUEVA"/>
    <s v="TRANSACCIONES DEL DIA 10/18/2018SPYRAL - GESTION ADMINISTRATIVA"/>
    <n v="8"/>
    <n v="0"/>
    <s v="PLAZA BANCO GENERAL"/>
    <x v="2"/>
  </r>
  <r>
    <n v="72"/>
    <d v="2018-11-09T00:00:00"/>
    <x v="5"/>
    <x v="5"/>
    <x v="0"/>
    <s v="CAJA"/>
    <s v="ALIMENTACION DE EMPLEADOS CTA NUEVA"/>
    <s v="TRANSACCIONES DEL DIA 11/09/2018SPYRAL - GESTION ADMINISTRATIVA"/>
    <n v="8"/>
    <n v="0"/>
    <s v="PLAZA BANCO GENERAL"/>
    <x v="2"/>
  </r>
  <r>
    <n v="72"/>
    <d v="2018-12-31T00:00:00"/>
    <x v="1"/>
    <x v="1"/>
    <x v="0"/>
    <s v="CAJA"/>
    <s v="CIERRE DE ANIO FISCAL"/>
    <s v="CIERRE_DE_CTAS_NOMINALES"/>
    <n v="0"/>
    <n v="24"/>
    <s v="PLAZA BANCO GENERAL"/>
    <x v="2"/>
  </r>
  <r>
    <n v="73"/>
    <d v="2018-06-11T00:00:00"/>
    <x v="2"/>
    <x v="2"/>
    <x v="0"/>
    <s v="ADMINISTRACION DE SUCURSALES"/>
    <s v="NC ALIMENTACION DE EMPLEADOS NVA"/>
    <s v="TRANSACCIONES DEL DIA 06/11/2018SPYRAL - GESTION ADMINISTRATIVA"/>
    <n v="61.64"/>
    <n v="0"/>
    <s v="LA CHORRERA - PARQUE 10 DE NOV."/>
    <x v="2"/>
  </r>
  <r>
    <n v="73"/>
    <d v="2018-07-04T00:00:00"/>
    <x v="6"/>
    <x v="6"/>
    <x v="0"/>
    <s v="ADMINISTRACION DE SUCURSALES"/>
    <s v="NC ALIMENTACION DE EMPLEADOS NVA"/>
    <s v="TRANSACCIONES DEL DIA 07/04/2018SPYRAL - GESTION ADMINISTRATIVA"/>
    <n v="30.85"/>
    <n v="0"/>
    <s v="LA CHORRERA - PARQUE 10 DE NOV."/>
    <x v="2"/>
  </r>
  <r>
    <n v="73"/>
    <d v="2018-07-17T00:00:00"/>
    <x v="6"/>
    <x v="6"/>
    <x v="0"/>
    <s v="ADMINISTRACION DE SUCURSALES"/>
    <s v="ALIMENTACION DE EMPLEADOS CTA NUEVA"/>
    <s v="TRANSACCIONES DEL DIA 07/17/2018SPYRAL - GESTION ADMINISTRATIVA"/>
    <n v="16"/>
    <n v="0"/>
    <s v="LA CHORRERA - PARQUE 10 DE NOV."/>
    <x v="2"/>
  </r>
  <r>
    <n v="73"/>
    <d v="2018-09-03T00:00:00"/>
    <x v="4"/>
    <x v="4"/>
    <x v="0"/>
    <s v="ADMINISTRACION DE SUCURSALES"/>
    <s v="NC ALIMENTACION DE EMPLEADOS NVA"/>
    <s v="TRANSACCIONES DEL DIA 09/03/2018SPYRAL - GESTION ADMINISTRATIVA"/>
    <n v="76.75"/>
    <n v="0"/>
    <s v="LA CHORRERA - PARQUE 10 DE NOV."/>
    <x v="2"/>
  </r>
  <r>
    <n v="73"/>
    <d v="2018-10-16T00:00:00"/>
    <x v="0"/>
    <x v="0"/>
    <x v="0"/>
    <s v="ADMINISTRACION DE SUCURSALES"/>
    <s v="NC ALIMENTACION DE EMPLEADOS NVA"/>
    <s v="TRANSACCIONES DEL DIA 10/16/2018SPYRAL - GESTION ADMINISTRATIVA"/>
    <n v="55.06"/>
    <n v="0"/>
    <s v="LA CHORRERA - PARQUE 10 DE NOV."/>
    <x v="2"/>
  </r>
  <r>
    <n v="73"/>
    <d v="2018-12-10T00:00:00"/>
    <x v="1"/>
    <x v="1"/>
    <x v="0"/>
    <s v="ADMINISTRACION DE SUCURSALES"/>
    <s v="NC ALIMENTACION DE EMPLEADOS NVA"/>
    <s v="TRANSACCIONES DEL DIA 12/10/2018SPYRAL - GESTION ADMINISTRATIVA"/>
    <n v="86.97"/>
    <n v="0"/>
    <s v="LA CHORRERA - PARQUE 10 DE NOV."/>
    <x v="2"/>
  </r>
  <r>
    <n v="73"/>
    <d v="2018-12-21T00:00:00"/>
    <x v="1"/>
    <x v="1"/>
    <x v="0"/>
    <s v="ADMINISTRACION DE SUCURSALES"/>
    <s v="ALIMENTACION DE EMPLEADOS CTA NUEVA"/>
    <s v="TRANSACCIONES DEL DIA 12/21/2018SPYRAL - GESTION ADMINISTRATIVA"/>
    <n v="8"/>
    <n v="0"/>
    <s v="LA CHORRERA - PARQUE 10 DE NOV."/>
    <x v="2"/>
  </r>
  <r>
    <n v="73"/>
    <d v="2018-12-31T00:00:00"/>
    <x v="1"/>
    <x v="1"/>
    <x v="0"/>
    <s v="ADMINISTRACION DE SUCURSALES"/>
    <s v="CIERRE DE ANIO FISCAL"/>
    <s v="CIERRE_DE_CTAS_NOMINALES"/>
    <n v="0"/>
    <n v="591.85"/>
    <s v="LA CHORRERA - PARQUE 10 DE NOV."/>
    <x v="2"/>
  </r>
  <r>
    <n v="73"/>
    <d v="2018-06-01T00:00:00"/>
    <x v="2"/>
    <x v="2"/>
    <x v="0"/>
    <s v="CAJA"/>
    <s v="ALIMENTACION DE EMPLEADOS CTA NUEVA"/>
    <s v="TRANSACCIONES DEL DIA 06/01/2018SPYRAL - GESTION ADMINISTRATIVA"/>
    <n v="16"/>
    <n v="0"/>
    <s v="LA CHORRERA - PARQUE 10 DE NOV."/>
    <x v="2"/>
  </r>
  <r>
    <n v="73"/>
    <d v="2018-06-05T00:00:00"/>
    <x v="2"/>
    <x v="2"/>
    <x v="0"/>
    <s v="CAJA"/>
    <s v="ALIMENTACION DE EMPLEADOS CTA NUEVA"/>
    <s v="TRANSACCIONES DEL DIA 06/05/2018SPYRAL - GESTION ADMINISTRATIVA"/>
    <n v="48"/>
    <n v="0"/>
    <s v="LA CHORRERA - PARQUE 10 DE NOV."/>
    <x v="2"/>
  </r>
  <r>
    <n v="73"/>
    <d v="2018-06-06T00:00:00"/>
    <x v="2"/>
    <x v="2"/>
    <x v="0"/>
    <s v="CAJA"/>
    <s v="ALIMENTACION DE EMPLEADOS CTA NUEVA"/>
    <s v="TRANSACCIONES DEL DIA 06/06/2018SPYRAL - GESTION ADMINISTRATIVA"/>
    <n v="48"/>
    <n v="0"/>
    <s v="LA CHORRERA - PARQUE 10 DE NOV."/>
    <x v="2"/>
  </r>
  <r>
    <n v="73"/>
    <d v="2018-06-08T00:00:00"/>
    <x v="2"/>
    <x v="2"/>
    <x v="0"/>
    <s v="CAJA"/>
    <s v="ALIMENTACION DE EMPLEADOS CTA NUEVA"/>
    <s v="TRANSACCIONES DEL DIA 06/08/2018SPYRAL - GESTION ADMINISTRATIVA"/>
    <n v="8"/>
    <n v="0"/>
    <s v="LA CHORRERA - PARQUE 10 DE NOV."/>
    <x v="2"/>
  </r>
  <r>
    <n v="73"/>
    <d v="2018-06-11T00:00:00"/>
    <x v="2"/>
    <x v="2"/>
    <x v="0"/>
    <s v="CAJA"/>
    <s v="ALIMENTACION DE EMPLEADOS CTA NUEVA"/>
    <s v="TRANSACCIONES DEL DIA 06/11/2018SPYRAL - GESTION ADMINISTRATIVA"/>
    <n v="32"/>
    <n v="0"/>
    <s v="LA CHORRERA - PARQUE 10 DE NOV."/>
    <x v="2"/>
  </r>
  <r>
    <n v="73"/>
    <d v="2018-06-18T00:00:00"/>
    <x v="2"/>
    <x v="2"/>
    <x v="0"/>
    <s v="CAJA"/>
    <s v="ALIMENTACION DE EMPLEADOS CTA NUEVA"/>
    <s v="TRANSACCIONES DEL DIA 06/18/2018SPYRAL - GESTION ADMINISTRATIVA"/>
    <n v="72"/>
    <n v="0"/>
    <s v="LA CHORRERA - PARQUE 10 DE NOV."/>
    <x v="2"/>
  </r>
  <r>
    <n v="73"/>
    <d v="2018-06-21T00:00:00"/>
    <x v="2"/>
    <x v="2"/>
    <x v="0"/>
    <s v="CAJA"/>
    <s v="ALIMENTACION DE EMPLEADOS CTA NUEVA"/>
    <s v="TRANSACCIONES DEL DIA 06/21/2018SPYRAL - GESTION ADMINISTRATIVA"/>
    <n v="32"/>
    <n v="0"/>
    <s v="LA CHORRERA - PARQUE 10 DE NOV."/>
    <x v="2"/>
  </r>
  <r>
    <n v="73"/>
    <d v="2018-06-28T00:00:00"/>
    <x v="2"/>
    <x v="2"/>
    <x v="0"/>
    <s v="CAJA"/>
    <s v="ALIMENTACION DE EMPLEADOS CTA NUEVA"/>
    <s v="TRANSACCIONES DEL DIA 06/28/2018SPYRAL - GESTION ADMINISTRATIVA"/>
    <n v="32"/>
    <n v="0"/>
    <s v="LA CHORRERA - PARQUE 10 DE NOV."/>
    <x v="2"/>
  </r>
  <r>
    <n v="73"/>
    <d v="2018-07-03T00:00:00"/>
    <x v="6"/>
    <x v="6"/>
    <x v="0"/>
    <s v="CAJA"/>
    <s v="ALIMENTACION DE EMPLEADOS CTA NUEVA"/>
    <s v="TRANSACCIONES DEL DIA 07/03/2018SPYRAL - GESTION ADMINISTRATIVA"/>
    <n v="24"/>
    <n v="0"/>
    <s v="LA CHORRERA - PARQUE 10 DE NOV."/>
    <x v="2"/>
  </r>
  <r>
    <n v="73"/>
    <d v="2018-07-06T00:00:00"/>
    <x v="6"/>
    <x v="6"/>
    <x v="0"/>
    <s v="CAJA"/>
    <s v="ALIMENTACION DE EMPLEADOS CTA NUEVA"/>
    <s v="TRANSACCIONES DEL DIA 07/06/2018SPYRAL - GESTION ADMINISTRATIVA"/>
    <n v="80"/>
    <n v="0"/>
    <s v="LA CHORRERA - PARQUE 10 DE NOV."/>
    <x v="2"/>
  </r>
  <r>
    <n v="73"/>
    <d v="2018-07-12T00:00:00"/>
    <x v="6"/>
    <x v="6"/>
    <x v="0"/>
    <s v="CAJA"/>
    <s v="ALIMENTACION DE EMPLEADOS CTA NUEVA"/>
    <s v="TRANSACCIONES DEL DIA 07/12/2018SPYRAL - GESTION ADMINISTRATIVA"/>
    <n v="8"/>
    <n v="0"/>
    <s v="LA CHORRERA - PARQUE 10 DE NOV."/>
    <x v="2"/>
  </r>
  <r>
    <n v="73"/>
    <d v="2018-07-14T00:00:00"/>
    <x v="6"/>
    <x v="6"/>
    <x v="0"/>
    <s v="CAJA"/>
    <s v="ALIMENTACION DE EMPLEADOS CTA NUEVA"/>
    <s v="TRANSACCIONES DEL DIA 07/14/2018SPYRAL - GESTION ADMINISTRATIVA"/>
    <n v="8"/>
    <n v="0"/>
    <s v="LA CHORRERA - PARQUE 10 DE NOV."/>
    <x v="2"/>
  </r>
  <r>
    <n v="73"/>
    <d v="2018-07-20T00:00:00"/>
    <x v="6"/>
    <x v="6"/>
    <x v="0"/>
    <s v="CAJA"/>
    <s v="ALIMENTACION DE EMPLEADOS"/>
    <s v="TRANSACCIONES DEL DIA 07/20/2018SPYRAL - GESTION ADMINISTRATIVA"/>
    <n v="8"/>
    <n v="0"/>
    <s v="LA CHORRERA - PARQUE 10 DE NOV."/>
    <x v="2"/>
  </r>
  <r>
    <n v="73"/>
    <d v="2018-07-21T00:00:00"/>
    <x v="6"/>
    <x v="6"/>
    <x v="0"/>
    <s v="CAJA"/>
    <s v="ALIMENTACION DE EMPLEADOS CTA NUEVA"/>
    <s v="TRANSACCIONES DEL DIA 07/21/2018SPYRAL - GESTION ADMINISTRATIVA"/>
    <n v="8"/>
    <n v="0"/>
    <s v="LA CHORRERA - PARQUE 10 DE NOV."/>
    <x v="2"/>
  </r>
  <r>
    <n v="73"/>
    <d v="2018-07-24T00:00:00"/>
    <x v="6"/>
    <x v="6"/>
    <x v="0"/>
    <s v="CAJA"/>
    <s v="ALIMENTACION DE EMPLEADOS CTA NUEVA"/>
    <s v="TRANSACCIONES DEL DIA 07/24/2018SPYRAL - GESTION ADMINISTRATIVA"/>
    <n v="8"/>
    <n v="0"/>
    <s v="LA CHORRERA - PARQUE 10 DE NOV."/>
    <x v="2"/>
  </r>
  <r>
    <n v="73"/>
    <d v="2018-07-26T00:00:00"/>
    <x v="6"/>
    <x v="6"/>
    <x v="0"/>
    <s v="CAJA"/>
    <s v="CORRECCION REG.20/07/2018 CENA"/>
    <s v="CORRECCION REG.20/07/2018 CENA"/>
    <n v="32"/>
    <n v="0"/>
    <s v="LA CHORRERA - PARQUE 10 DE NOV."/>
    <x v="2"/>
  </r>
  <r>
    <n v="73"/>
    <d v="2018-07-30T00:00:00"/>
    <x v="6"/>
    <x v="6"/>
    <x v="0"/>
    <s v="CAJA"/>
    <s v="ALIMENTACION DE EMPLEADOS CTA NUEVA"/>
    <s v="TRANSACCIONES DEL DIA 07/30/2018SPYRAL - GESTION ADMINISTRATIVA"/>
    <n v="16"/>
    <n v="0"/>
    <s v="LA CHORRERA - PARQUE 10 DE NOV."/>
    <x v="2"/>
  </r>
  <r>
    <n v="73"/>
    <d v="2018-08-03T00:00:00"/>
    <x v="3"/>
    <x v="3"/>
    <x v="0"/>
    <s v="CAJA"/>
    <s v="ALIMENTACION DE EMPLEADOS CTA NUEVA"/>
    <s v="TRANSACCIONES DEL DIA 08/03/2018SPYRAL - GESTION ADMINISTRATIVA"/>
    <n v="80"/>
    <n v="0"/>
    <s v="LA CHORRERA - PARQUE 10 DE NOV."/>
    <x v="2"/>
  </r>
  <r>
    <n v="73"/>
    <d v="2018-08-09T00:00:00"/>
    <x v="3"/>
    <x v="3"/>
    <x v="0"/>
    <s v="CAJA"/>
    <s v="ALIMENTACION DE EMPLEADOS CTA NUEVA"/>
    <s v="TRANSACCIONES DEL DIA 08/09/2018SPYRAL - GESTION ADMINISTRATIVA"/>
    <n v="72"/>
    <n v="0"/>
    <s v="LA CHORRERA - PARQUE 10 DE NOV."/>
    <x v="2"/>
  </r>
  <r>
    <n v="73"/>
    <d v="2018-08-14T00:00:00"/>
    <x v="3"/>
    <x v="3"/>
    <x v="0"/>
    <s v="CAJA"/>
    <s v="ALIMENTACION DE EMPLEADOS CTA NUEVA"/>
    <s v="TRANSACCIONES DEL DIA 08/14/2018SPYRAL - GESTION ADMINISTRATIVA"/>
    <n v="24"/>
    <n v="0"/>
    <s v="LA CHORRERA - PARQUE 10 DE NOV."/>
    <x v="2"/>
  </r>
  <r>
    <n v="73"/>
    <d v="2018-08-17T00:00:00"/>
    <x v="3"/>
    <x v="3"/>
    <x v="0"/>
    <s v="CAJA"/>
    <s v="ALIMENTACION DE EMPLEADOS CTA NUEVA"/>
    <s v="TRANSACCIONES DEL DIA 08/17/2018SPYRAL - GESTION ADMINISTRATIVA"/>
    <n v="16"/>
    <n v="0"/>
    <s v="LA CHORRERA - PARQUE 10 DE NOV."/>
    <x v="2"/>
  </r>
  <r>
    <n v="73"/>
    <d v="2018-08-20T00:00:00"/>
    <x v="3"/>
    <x v="3"/>
    <x v="0"/>
    <s v="CAJA"/>
    <s v="ALIMENTACION DE EMPLEADOS CTA NUEVA"/>
    <s v="TRANSACCIONES DEL DIA 08/20/2018SPYRAL - GESTION ADMINISTRATIVA"/>
    <n v="40"/>
    <n v="0"/>
    <s v="LA CHORRERA - PARQUE 10 DE NOV."/>
    <x v="2"/>
  </r>
  <r>
    <n v="73"/>
    <d v="2018-08-21T00:00:00"/>
    <x v="3"/>
    <x v="3"/>
    <x v="0"/>
    <s v="CAJA"/>
    <s v="ALIMENTACION DE EMPLEADOS CTA NUEVA"/>
    <s v="TRANSACCIONES DEL DIA 08/21/2018SPYRAL - GESTION ADMINISTRATIVA"/>
    <n v="8"/>
    <n v="0"/>
    <s v="LA CHORRERA - PARQUE 10 DE NOV."/>
    <x v="2"/>
  </r>
  <r>
    <n v="73"/>
    <d v="2018-08-22T00:00:00"/>
    <x v="3"/>
    <x v="3"/>
    <x v="0"/>
    <s v="CAJA"/>
    <s v="ALIMENTACION DE EMPLEADOS CTA NUEVA"/>
    <s v="TRANSACCIONES DEL DIA 08/22/2018SPYRAL - GESTION ADMINISTRATIVA"/>
    <n v="48"/>
    <n v="0"/>
    <s v="LA CHORRERA - PARQUE 10 DE NOV."/>
    <x v="2"/>
  </r>
  <r>
    <n v="73"/>
    <d v="2018-08-23T00:00:00"/>
    <x v="3"/>
    <x v="3"/>
    <x v="0"/>
    <s v="CAJA"/>
    <s v="ALIMENTACION DE EMPLEADOS CTA NUEVA"/>
    <s v="TRANSACCIONES DEL DIA 08/23/2018SPYRAL - GESTION ADMINISTRATIVA"/>
    <n v="8"/>
    <n v="0"/>
    <s v="LA CHORRERA - PARQUE 10 DE NOV."/>
    <x v="2"/>
  </r>
  <r>
    <n v="73"/>
    <d v="2018-08-24T00:00:00"/>
    <x v="3"/>
    <x v="3"/>
    <x v="0"/>
    <s v="CAJA"/>
    <s v="ALIMENTACION DE EMPLEADOS CTA NUEVA"/>
    <s v="TRANSACCIONES DEL DIA 08/24/2018SPYRAL - GESTION ADMINISTRATIVA"/>
    <n v="16"/>
    <n v="0"/>
    <s v="LA CHORRERA - PARQUE 10 DE NOV."/>
    <x v="2"/>
  </r>
  <r>
    <n v="73"/>
    <d v="2018-08-27T00:00:00"/>
    <x v="3"/>
    <x v="3"/>
    <x v="0"/>
    <s v="CAJA"/>
    <s v="ALIMENTACION DE EMPLEADOS CTA NUEVA"/>
    <s v="TRANSACCIONES DEL DIA 08/27/2018SPYRAL - GESTION ADMINISTRATIVA"/>
    <n v="16"/>
    <n v="0"/>
    <s v="LA CHORRERA - PARQUE 10 DE NOV."/>
    <x v="2"/>
  </r>
  <r>
    <n v="73"/>
    <d v="2018-09-03T00:00:00"/>
    <x v="4"/>
    <x v="4"/>
    <x v="0"/>
    <s v="CAJA"/>
    <s v="ALIMENTACION DE EMPLEADOS CTA NUEVA"/>
    <s v="TRANSACCIONES DEL DIA 09/03/2018SPYRAL - GESTION ADMINISTRATIVA"/>
    <n v="8"/>
    <n v="0"/>
    <s v="LA CHORRERA - PARQUE 10 DE NOV."/>
    <x v="2"/>
  </r>
  <r>
    <n v="73"/>
    <d v="2018-09-05T00:00:00"/>
    <x v="4"/>
    <x v="4"/>
    <x v="0"/>
    <s v="CAJA"/>
    <s v="ALIMENTACION DE EMPLEADOS CTA NUEVA"/>
    <s v="TRANSACCIONES DEL DIA 09/05/2018SPYRAL - GESTION ADMINISTRATIVA"/>
    <n v="48"/>
    <n v="0"/>
    <s v="LA CHORRERA - PARQUE 10 DE NOV."/>
    <x v="2"/>
  </r>
  <r>
    <n v="73"/>
    <d v="2018-09-07T00:00:00"/>
    <x v="4"/>
    <x v="4"/>
    <x v="0"/>
    <s v="CAJA"/>
    <s v="ALIMENTACION DE EMPLEADOS CTA NUEVA"/>
    <s v="TRANSACCIONES DEL DIA 09/07/2018SPYRAL - GESTION ADMINISTRATIVA"/>
    <n v="48"/>
    <n v="0"/>
    <s v="LA CHORRERA - PARQUE 10 DE NOV."/>
    <x v="2"/>
  </r>
  <r>
    <n v="73"/>
    <d v="2018-09-11T00:00:00"/>
    <x v="4"/>
    <x v="4"/>
    <x v="0"/>
    <s v="CAJA"/>
    <s v="ALIMENTACION DE EMPLEADOS CTA NUEVA"/>
    <s v="TRANSACCIONES DEL DIA 09/11/2018SPYRAL - GESTION ADMINISTRATIVA"/>
    <n v="24"/>
    <n v="0"/>
    <s v="LA CHORRERA - PARQUE 10 DE NOV."/>
    <x v="2"/>
  </r>
  <r>
    <n v="73"/>
    <d v="2018-09-19T00:00:00"/>
    <x v="4"/>
    <x v="4"/>
    <x v="0"/>
    <s v="CAJA"/>
    <s v="ALIMENTACION DE EMPLEADOS CTA NUEVA"/>
    <s v="TRANSACCIONES DEL DIA 09/19/2018SPYRAL - GESTION ADMINISTRATIVA"/>
    <n v="48"/>
    <n v="0"/>
    <s v="LA CHORRERA - PARQUE 10 DE NOV."/>
    <x v="2"/>
  </r>
  <r>
    <n v="73"/>
    <d v="2018-09-20T00:00:00"/>
    <x v="4"/>
    <x v="4"/>
    <x v="0"/>
    <s v="CAJA"/>
    <s v="ALIMENTACION DE EMPLEADOS CTA NUEVA"/>
    <s v="TRANSACCIONES DEL DIA 09/20/2018SPYRAL - GESTION ADMINISTRATIVA"/>
    <n v="16"/>
    <n v="0"/>
    <s v="LA CHORRERA - PARQUE 10 DE NOV."/>
    <x v="2"/>
  </r>
  <r>
    <n v="73"/>
    <d v="2018-09-25T00:00:00"/>
    <x v="4"/>
    <x v="4"/>
    <x v="0"/>
    <s v="CAJA"/>
    <s v="ALIMENTACION DE EMPLEADOS CTA NUEVA"/>
    <s v="TRANSACCIONES DEL DIA 09/25/2018SPYRAL - GESTION ADMINISTRATIVA"/>
    <n v="8"/>
    <n v="0"/>
    <s v="LA CHORRERA - PARQUE 10 DE NOV."/>
    <x v="2"/>
  </r>
  <r>
    <n v="73"/>
    <d v="2018-09-26T00:00:00"/>
    <x v="4"/>
    <x v="4"/>
    <x v="0"/>
    <s v="CAJA"/>
    <s v="ALIMENTACION DE EMPLEADOS CTA NUEVA"/>
    <s v="TRANSACCIONES DEL DIA 09/26/2018SPYRAL - GESTION ADMINISTRATIVA"/>
    <n v="24"/>
    <n v="0"/>
    <s v="LA CHORRERA - PARQUE 10 DE NOV."/>
    <x v="2"/>
  </r>
  <r>
    <n v="73"/>
    <d v="2018-10-05T00:00:00"/>
    <x v="0"/>
    <x v="0"/>
    <x v="0"/>
    <s v="CAJA"/>
    <s v="ALIMENTACION DE EMPLEADOS CTA NUEVA"/>
    <s v="TRANSACCIONES DEL DIA 10/05/2018SPYRAL - GESTION ADMINISTRATIVA"/>
    <n v="16"/>
    <n v="0"/>
    <s v="LA CHORRERA - PARQUE 10 DE NOV."/>
    <x v="2"/>
  </r>
  <r>
    <n v="73"/>
    <d v="2018-10-08T00:00:00"/>
    <x v="0"/>
    <x v="0"/>
    <x v="0"/>
    <s v="CAJA"/>
    <s v="ALIMENTACION DE EMPLEADOS CTA NUEVA"/>
    <s v="TRANSACCIONES DEL DIA 10/08/2018SPYRAL - GESTION ADMINISTRATIVA"/>
    <n v="48"/>
    <n v="0"/>
    <s v="LA CHORRERA - PARQUE 10 DE NOV."/>
    <x v="2"/>
  </r>
  <r>
    <n v="73"/>
    <d v="2018-10-10T00:00:00"/>
    <x v="0"/>
    <x v="0"/>
    <x v="0"/>
    <s v="CAJA"/>
    <s v="ALIMENTACION DE EMPLEADOS CTA NUEVA"/>
    <s v="TRANSACCIONES DEL DIA 10/10/2018SPYRAL - GESTION ADMINISTRATIVA"/>
    <n v="32"/>
    <n v="0"/>
    <s v="LA CHORRERA - PARQUE 10 DE NOV."/>
    <x v="2"/>
  </r>
  <r>
    <n v="73"/>
    <d v="2018-10-15T00:00:00"/>
    <x v="0"/>
    <x v="0"/>
    <x v="0"/>
    <s v="CAJA"/>
    <s v="ALIMENTACION DE EMPLEADOS CTA NUEVA"/>
    <s v="TRANSACCIONES DEL DIA 10/15/2018SPYRAL - GESTION ADMINISTRATIVA"/>
    <n v="32"/>
    <n v="0"/>
    <s v="LA CHORRERA - PARQUE 10 DE NOV."/>
    <x v="2"/>
  </r>
  <r>
    <n v="73"/>
    <d v="2018-10-17T00:00:00"/>
    <x v="0"/>
    <x v="0"/>
    <x v="0"/>
    <s v="CAJA"/>
    <s v="ALIMENTACION DE EMPLEADOS CTA NUEVA"/>
    <s v="TRANSACCIONES DEL DIA 10/17/2018SPYRAL - GESTION ADMINISTRATIVA"/>
    <n v="8"/>
    <n v="0"/>
    <s v="LA CHORRERA - PARQUE 10 DE NOV."/>
    <x v="2"/>
  </r>
  <r>
    <n v="73"/>
    <d v="2018-10-18T00:00:00"/>
    <x v="0"/>
    <x v="0"/>
    <x v="0"/>
    <s v="CAJA"/>
    <s v="ALIMENTACION DE EMPLEADOS CTA NUEVA"/>
    <s v="TRANSACCIONES DEL DIA 10/18/2018SPYRAL - GESTION ADMINISTRATIVA"/>
    <n v="40"/>
    <n v="0"/>
    <s v="LA CHORRERA - PARQUE 10 DE NOV."/>
    <x v="2"/>
  </r>
  <r>
    <n v="73"/>
    <d v="2018-10-24T00:00:00"/>
    <x v="0"/>
    <x v="0"/>
    <x v="0"/>
    <s v="CAJA"/>
    <s v="ALIMENTACION DE EMPLEADOS CTA NUEVA"/>
    <s v="TRANSACCIONES DEL DIA 10/24/2018SPYRAL - GESTION ADMINISTRATIVA"/>
    <n v="16"/>
    <n v="0"/>
    <s v="LA CHORRERA - PARQUE 10 DE NOV."/>
    <x v="2"/>
  </r>
  <r>
    <n v="73"/>
    <d v="2018-11-02T00:00:00"/>
    <x v="5"/>
    <x v="5"/>
    <x v="0"/>
    <s v="CAJA"/>
    <s v="ALIMENTACION DE EMPLEADOS CTA NUEVA"/>
    <s v="TRANSACCIONES DEL DIA 11/02/2018SPYRAL - GESTION ADMINISTRATIVA"/>
    <n v="40"/>
    <n v="0"/>
    <s v="LA CHORRERA - PARQUE 10 DE NOV."/>
    <x v="2"/>
  </r>
  <r>
    <n v="73"/>
    <d v="2018-11-09T00:00:00"/>
    <x v="5"/>
    <x v="5"/>
    <x v="0"/>
    <s v="CAJA"/>
    <s v="ALIMENTACION DE EMPLEADOS CTA NUEVA"/>
    <s v="TRANSACCIONES DEL DIA 11/09/2018SPYRAL - GESTION ADMINISTRATIVA"/>
    <n v="16"/>
    <n v="0"/>
    <s v="LA CHORRERA - PARQUE 10 DE NOV."/>
    <x v="2"/>
  </r>
  <r>
    <n v="73"/>
    <d v="2018-11-12T00:00:00"/>
    <x v="5"/>
    <x v="5"/>
    <x v="0"/>
    <s v="CAJA"/>
    <s v="ALIMENTACION DE EMPLEADOS CTA NUEVA"/>
    <s v="TRANSACCIONES DEL DIA 11/12/2018SPYRAL - GESTION ADMINISTRATIVA"/>
    <n v="160"/>
    <n v="0"/>
    <s v="LA CHORRERA - PARQUE 10 DE NOV."/>
    <x v="2"/>
  </r>
  <r>
    <n v="73"/>
    <d v="2018-11-13T00:00:00"/>
    <x v="5"/>
    <x v="5"/>
    <x v="0"/>
    <s v="CAJA"/>
    <s v="ALIMENTACION DE EMPLEADOS CTA NUEVA"/>
    <s v="TRANSACCIONES DEL DIA 11/13/2018SPYRAL - GESTION ADMINISTRATIVA"/>
    <n v="16"/>
    <n v="0"/>
    <s v="LA CHORRERA - PARQUE 10 DE NOV."/>
    <x v="2"/>
  </r>
  <r>
    <n v="73"/>
    <d v="2018-11-14T00:00:00"/>
    <x v="5"/>
    <x v="5"/>
    <x v="0"/>
    <s v="CAJA"/>
    <s v="ALIMENTACION DE EMPLEADOS CTA NUEVA"/>
    <s v="TRANSACCIONES DEL DIA 11/14/2018SPYRAL - GESTION ADMINISTRATIVA"/>
    <n v="40"/>
    <n v="0"/>
    <s v="LA CHORRERA - PARQUE 10 DE NOV."/>
    <x v="2"/>
  </r>
  <r>
    <n v="73"/>
    <d v="2018-11-19T00:00:00"/>
    <x v="5"/>
    <x v="5"/>
    <x v="0"/>
    <s v="CAJA"/>
    <s v="ALIMENTACION DE EMPLEADOS CTA NUEVA"/>
    <s v="TRANSACCIONES DEL DIA 11/19/2018SPYRAL - GESTION ADMINISTRATIVA"/>
    <n v="56"/>
    <n v="0"/>
    <s v="LA CHORRERA - PARQUE 10 DE NOV."/>
    <x v="2"/>
  </r>
  <r>
    <n v="73"/>
    <d v="2018-11-22T00:00:00"/>
    <x v="5"/>
    <x v="5"/>
    <x v="0"/>
    <s v="CAJA"/>
    <s v="ALIMENTACION DE EMPLEADOS CTA NUEVA"/>
    <s v="TRANSACCIONES DEL DIA 11/22/2018SPYRAL - GESTION ADMINISTRATIVA"/>
    <n v="8"/>
    <n v="0"/>
    <s v="LA CHORRERA - PARQUE 10 DE NOV."/>
    <x v="2"/>
  </r>
  <r>
    <n v="73"/>
    <d v="2018-11-23T00:00:00"/>
    <x v="5"/>
    <x v="5"/>
    <x v="0"/>
    <s v="CAJA"/>
    <s v="ALIMENTACION DE EMPLEADOS CTA NUEVA"/>
    <s v="TRANSACCIONES DEL DIA 11/23/2018SPYRAL - GESTION ADMINISTRATIVA"/>
    <n v="40"/>
    <n v="0"/>
    <s v="LA CHORRERA - PARQUE 10 DE NOV."/>
    <x v="2"/>
  </r>
  <r>
    <n v="73"/>
    <d v="2018-11-27T00:00:00"/>
    <x v="5"/>
    <x v="5"/>
    <x v="0"/>
    <s v="CAJA"/>
    <s v="ALIMENTACION DE EMPLEADOS CTA NUEVA"/>
    <s v="TRANSACCIONES DEL DIA 11/27/2018SPYRAL - GESTION ADMINISTRATIVA"/>
    <n v="24"/>
    <n v="0"/>
    <s v="LA CHORRERA - PARQUE 10 DE NOV."/>
    <x v="2"/>
  </r>
  <r>
    <n v="73"/>
    <d v="2018-12-06T00:00:00"/>
    <x v="1"/>
    <x v="1"/>
    <x v="0"/>
    <s v="CAJA"/>
    <s v="ALIMENTACION DE EMPLEADOS CTA NUEVA"/>
    <s v="TRANSACCIONES DEL DIA 12/06/2018SPYRAL - GESTION ADMINISTRATIVA"/>
    <n v="80"/>
    <n v="0"/>
    <s v="LA CHORRERA - PARQUE 10 DE NOV."/>
    <x v="2"/>
  </r>
  <r>
    <n v="73"/>
    <d v="2018-12-10T00:00:00"/>
    <x v="1"/>
    <x v="1"/>
    <x v="0"/>
    <s v="CAJA"/>
    <s v="ALIMENTACION DE EMPLEADOS CTA NUEVA"/>
    <s v="TRANSACCIONES DEL DIA 12/10/2018SPYRAL - GESTION ADMINISTRATIVA"/>
    <n v="40"/>
    <n v="0"/>
    <s v="LA CHORRERA - PARQUE 10 DE NOV."/>
    <x v="2"/>
  </r>
  <r>
    <n v="73"/>
    <d v="2018-12-11T00:00:00"/>
    <x v="1"/>
    <x v="1"/>
    <x v="0"/>
    <s v="CAJA"/>
    <s v="ALIMENTACION DE EMPLEADOS CTA NUEVA"/>
    <s v="TRANSACCIONES DEL DIA 12/11/2018SPYRAL - GESTION ADMINISTRATIVA"/>
    <n v="40"/>
    <n v="0"/>
    <s v="LA CHORRERA - PARQUE 10 DE NOV."/>
    <x v="2"/>
  </r>
  <r>
    <n v="73"/>
    <d v="2018-12-13T00:00:00"/>
    <x v="1"/>
    <x v="1"/>
    <x v="0"/>
    <s v="CAJA"/>
    <s v="ALIMENTACION DE EMPLEADOS CTA NUEVA"/>
    <s v="TRANSACCIONES DEL DIA 12/13/2018SPYRAL - GESTION ADMINISTRATIVA"/>
    <n v="32"/>
    <n v="0"/>
    <s v="LA CHORRERA - PARQUE 10 DE NOV."/>
    <x v="2"/>
  </r>
  <r>
    <n v="73"/>
    <d v="2018-12-14T00:00:00"/>
    <x v="1"/>
    <x v="1"/>
    <x v="0"/>
    <s v="CAJA"/>
    <s v="ALIMENTACION DE EMPLEADOS CTA NUEVA"/>
    <s v="TRANSACCIONES DEL DIA 12/14/2018SPYRAL - GESTION ADMINISTRATIVA"/>
    <n v="32"/>
    <n v="0"/>
    <s v="LA CHORRERA - PARQUE 10 DE NOV."/>
    <x v="2"/>
  </r>
  <r>
    <n v="73"/>
    <d v="2018-12-17T00:00:00"/>
    <x v="1"/>
    <x v="1"/>
    <x v="0"/>
    <s v="CAJA"/>
    <s v="ALIMENTACION DE EMPLEADOS CTA NUEVA"/>
    <s v="TRANSACCIONES DEL DIA 12/17/2018SPYRAL - GESTION ADMINISTRATIVA"/>
    <n v="96"/>
    <n v="0"/>
    <s v="LA CHORRERA - PARQUE 10 DE NOV."/>
    <x v="2"/>
  </r>
  <r>
    <n v="73"/>
    <d v="2018-12-20T00:00:00"/>
    <x v="1"/>
    <x v="1"/>
    <x v="0"/>
    <s v="CAJA"/>
    <s v="ALIMENTACION DE EMPLEADOS CTA NUEVA"/>
    <s v="TRANSACCIONES DEL DIA 12/20/2018SPYRAL - GESTION ADMINISTRATIVA"/>
    <n v="40"/>
    <n v="0"/>
    <s v="LA CHORRERA - PARQUE 10 DE NOV."/>
    <x v="2"/>
  </r>
  <r>
    <n v="73"/>
    <d v="2018-12-21T00:00:00"/>
    <x v="1"/>
    <x v="1"/>
    <x v="0"/>
    <s v="CAJA"/>
    <s v="ALIMENTACION DE EMPLEADOS CTA NUEVA"/>
    <s v="TRANSACCIONES DEL DIA 12/21/2018SPYRAL - GESTION ADMINISTRATIVA"/>
    <n v="16"/>
    <n v="0"/>
    <s v="LA CHORRERA - PARQUE 10 DE NOV."/>
    <x v="2"/>
  </r>
  <r>
    <n v="73"/>
    <d v="2018-12-22T00:00:00"/>
    <x v="1"/>
    <x v="1"/>
    <x v="0"/>
    <s v="CAJA"/>
    <s v="ALIMENTACION DE EMPLEADOS CTA NUEVA"/>
    <s v="TRANSACCIONES DEL DIA 12/22/2018SPYRAL - GESTION ADMINISTRATIVA"/>
    <n v="24"/>
    <n v="0"/>
    <s v="LA CHORRERA - PARQUE 10 DE NOV."/>
    <x v="2"/>
  </r>
  <r>
    <n v="73"/>
    <d v="2018-12-31T00:00:00"/>
    <x v="1"/>
    <x v="1"/>
    <x v="0"/>
    <s v="CAJA"/>
    <s v="CIERRE DE ANIO FISCAL"/>
    <s v="CIERRE_DE_CTAS_NOMINALES"/>
    <n v="0"/>
    <n v="3600"/>
    <s v="LA CHORRERA - PARQUE 10 DE NOV."/>
    <x v="2"/>
  </r>
  <r>
    <n v="73"/>
    <d v="2018-07-09T00:00:00"/>
    <x v="6"/>
    <x v="6"/>
    <x v="0"/>
    <s v="SERVICIOS PERSONALES"/>
    <s v="ALIMENTACION DE EMPLEADOS CTA NUEVA"/>
    <s v="TRANSACCIONES DEL DIA 07/09/2018SPYRAL - GESTION ADMINISTRATIVA"/>
    <n v="16"/>
    <n v="0"/>
    <s v="LA CHORRERA - PARQUE 10 DE NOV."/>
    <x v="2"/>
  </r>
  <r>
    <n v="73"/>
    <d v="2018-08-13T00:00:00"/>
    <x v="3"/>
    <x v="3"/>
    <x v="0"/>
    <s v="SERVICIOS PERSONALES"/>
    <s v="ALIMENTACION DE EMPLEADOS CTA NUEVA"/>
    <s v="TRANSACCIONES DEL DIA 08/13/2018SPYRAL - GESTION ADMINISTRATIVA"/>
    <n v="8"/>
    <n v="0"/>
    <s v="LA CHORRERA - PARQUE 10 DE NOV."/>
    <x v="2"/>
  </r>
  <r>
    <n v="73"/>
    <d v="2018-08-24T00:00:00"/>
    <x v="3"/>
    <x v="3"/>
    <x v="0"/>
    <s v="SERVICIOS PERSONALES"/>
    <s v="ALIMENTACION DE EMPLEADOS CTA NUEVA"/>
    <s v="TRANSACCIONES DEL DIA 08/24/2018SPYRAL - GESTION ADMINISTRATIVA"/>
    <n v="8"/>
    <n v="0"/>
    <s v="LA CHORRERA - PARQUE 10 DE NOV."/>
    <x v="2"/>
  </r>
  <r>
    <n v="73"/>
    <d v="2018-08-27T00:00:00"/>
    <x v="3"/>
    <x v="3"/>
    <x v="0"/>
    <s v="SERVICIOS PERSONALES"/>
    <s v="ALIMENTACION DE EMPLEADOS CTA NUEVA"/>
    <s v="TRANSACCIONES DEL DIA 08/27/2018SPYRAL - GESTION ADMINISTRATIVA"/>
    <n v="8"/>
    <n v="0"/>
    <s v="LA CHORRERA - PARQUE 10 DE NOV."/>
    <x v="2"/>
  </r>
  <r>
    <n v="73"/>
    <d v="2018-09-03T00:00:00"/>
    <x v="4"/>
    <x v="4"/>
    <x v="0"/>
    <s v="SERVICIOS PERSONALES"/>
    <s v="ALIMENTACION DE EMPLEADOS CTA NUEVA"/>
    <s v="TRANSACCIONES DEL DIA 09/03/2018SPYRAL - GESTION ADMINISTRATIVA"/>
    <n v="8"/>
    <n v="0"/>
    <s v="LA CHORRERA - PARQUE 10 DE NOV."/>
    <x v="2"/>
  </r>
  <r>
    <n v="73"/>
    <d v="2018-09-05T00:00:00"/>
    <x v="4"/>
    <x v="4"/>
    <x v="0"/>
    <s v="SERVICIOS PERSONALES"/>
    <s v="ALIMENTACION DE EMPLEADOS CTA NUEVA"/>
    <s v="TRANSACCIONES DEL DIA 09/05/2018SPYRAL - GESTION ADMINISTRATIVA"/>
    <n v="16"/>
    <n v="0"/>
    <s v="LA CHORRERA - PARQUE 10 DE NOV."/>
    <x v="2"/>
  </r>
  <r>
    <n v="73"/>
    <d v="2018-09-14T00:00:00"/>
    <x v="4"/>
    <x v="4"/>
    <x v="0"/>
    <s v="SERVICIOS PERSONALES"/>
    <s v="ALIMENTACION DE EMPLEADOS CTA NUEVA"/>
    <s v="TRANSACCIONES DEL DIA 09/14/2018SPYRAL - GESTION ADMINISTRATIVA"/>
    <n v="16"/>
    <n v="0"/>
    <s v="LA CHORRERA - PARQUE 10 DE NOV."/>
    <x v="2"/>
  </r>
  <r>
    <n v="73"/>
    <d v="2018-09-24T00:00:00"/>
    <x v="4"/>
    <x v="4"/>
    <x v="0"/>
    <s v="SERVICIOS PERSONALES"/>
    <s v="ALIMENTACION DE EMPLEADOS CTA NUEVA"/>
    <s v="TRANSACCIONES DEL DIA 09/24/2018SPYRAL - GESTION ADMINISTRATIVA"/>
    <n v="8"/>
    <n v="0"/>
    <s v="LA CHORRERA - PARQUE 10 DE NOV."/>
    <x v="2"/>
  </r>
  <r>
    <n v="73"/>
    <d v="2018-10-01T00:00:00"/>
    <x v="0"/>
    <x v="0"/>
    <x v="0"/>
    <s v="SERVICIOS PERSONALES"/>
    <s v="ALIMENTACION DE EMPLEADOS CTA NUEVA"/>
    <s v="TRANSACCIONES DEL DIA 10/01/2018SPYRAL - GESTION ADMINISTRATIVA"/>
    <n v="8"/>
    <n v="0"/>
    <s v="LA CHORRERA - PARQUE 10 DE NOV."/>
    <x v="2"/>
  </r>
  <r>
    <n v="73"/>
    <d v="2018-10-04T00:00:00"/>
    <x v="0"/>
    <x v="0"/>
    <x v="0"/>
    <s v="SERVICIOS PERSONALES"/>
    <s v="ALIMENTACION DE EMPLEADOS CTA NUEVA"/>
    <s v="TRANSACCIONES DEL DIA 10/04/2018SPYRAL - GESTION ADMINISTRATIVA"/>
    <n v="8"/>
    <n v="0"/>
    <s v="LA CHORRERA - PARQUE 10 DE NOV."/>
    <x v="2"/>
  </r>
  <r>
    <n v="73"/>
    <d v="2018-10-05T00:00:00"/>
    <x v="0"/>
    <x v="0"/>
    <x v="0"/>
    <s v="SERVICIOS PERSONALES"/>
    <s v="ALIMENTACION DE EMPLEADOS CTA NUEVA"/>
    <s v="TRANSACCIONES DEL DIA 10/05/2018SPYRAL - GESTION ADMINISTRATIVA"/>
    <n v="8"/>
    <n v="0"/>
    <s v="LA CHORRERA - PARQUE 10 DE NOV."/>
    <x v="2"/>
  </r>
  <r>
    <n v="73"/>
    <d v="2018-10-08T00:00:00"/>
    <x v="0"/>
    <x v="0"/>
    <x v="0"/>
    <s v="SERVICIOS PERSONALES"/>
    <s v="ALIMENTACION DE EMPLEADOS CTA NUEVA"/>
    <s v="TRANSACCIONES DEL DIA 10/08/2018SPYRAL - GESTION ADMINISTRATIVA"/>
    <n v="24"/>
    <n v="0"/>
    <s v="LA CHORRERA - PARQUE 10 DE NOV."/>
    <x v="2"/>
  </r>
  <r>
    <n v="73"/>
    <d v="2018-10-10T00:00:00"/>
    <x v="0"/>
    <x v="0"/>
    <x v="0"/>
    <s v="SERVICIOS PERSONALES"/>
    <s v="ALIMENTACION DE EMPLEADOS CTA NUEVA"/>
    <s v="TRANSACCIONES DEL DIA 10/10/2018SPYRAL - GESTION ADMINISTRATIVA"/>
    <n v="8"/>
    <n v="0"/>
    <s v="LA CHORRERA - PARQUE 10 DE NOV."/>
    <x v="2"/>
  </r>
  <r>
    <n v="73"/>
    <d v="2018-10-15T00:00:00"/>
    <x v="0"/>
    <x v="0"/>
    <x v="0"/>
    <s v="SERVICIOS PERSONALES"/>
    <s v="ALIMENTACION DE EMPLEADOS CTA NUEVA"/>
    <s v="TRANSACCIONES DEL DIA 10/15/2018SPYRAL - GESTION ADMINISTRATIVA"/>
    <n v="8"/>
    <n v="0"/>
    <s v="LA CHORRERA - PARQUE 10 DE NOV."/>
    <x v="2"/>
  </r>
  <r>
    <n v="73"/>
    <d v="2018-10-26T00:00:00"/>
    <x v="0"/>
    <x v="0"/>
    <x v="0"/>
    <s v="SERVICIOS PERSONALES"/>
    <s v="ALIMENTACION DE EMPLEADOS CTA NUEVA"/>
    <s v="TRANSACCIONES DEL DIA 10/26/2018SPYRAL - GESTION ADMINISTRATIVA"/>
    <n v="8"/>
    <n v="0"/>
    <s v="LA CHORRERA - PARQUE 10 DE NOV."/>
    <x v="2"/>
  </r>
  <r>
    <n v="73"/>
    <d v="2018-12-10T00:00:00"/>
    <x v="1"/>
    <x v="1"/>
    <x v="0"/>
    <s v="SERVICIOS PERSONALES"/>
    <s v="ALIMENTACION DE EMPLEADOS CTA NUEVA"/>
    <s v="TRANSACCIONES DEL DIA 12/10/2018SPYRAL - GESTION ADMINISTRATIVA"/>
    <n v="8"/>
    <n v="0"/>
    <s v="LA CHORRERA - PARQUE 10 DE NOV."/>
    <x v="2"/>
  </r>
  <r>
    <n v="73"/>
    <d v="2018-12-11T00:00:00"/>
    <x v="1"/>
    <x v="1"/>
    <x v="0"/>
    <s v="SERVICIOS PERSONALES"/>
    <s v="ALIMENTACION DE EMPLEADOS CTA NUEVA"/>
    <s v="TRANSACCIONES DEL DIA 12/11/2018SPYRAL - GESTION ADMINISTRATIVA"/>
    <n v="8"/>
    <n v="0"/>
    <s v="LA CHORRERA - PARQUE 10 DE NOV."/>
    <x v="2"/>
  </r>
  <r>
    <n v="73"/>
    <d v="2018-12-22T00:00:00"/>
    <x v="1"/>
    <x v="1"/>
    <x v="0"/>
    <s v="SERVICIOS PERSONALES"/>
    <s v="ALIMENTACION DE EMPLEADOS CTA NUEVA"/>
    <s v="TRANSACCIONES DEL DIA 12/22/2018SPYRAL - GESTION ADMINISTRATIVA"/>
    <n v="8"/>
    <n v="0"/>
    <s v="LA CHORRERA - PARQUE 10 DE NOV."/>
    <x v="2"/>
  </r>
  <r>
    <n v="73"/>
    <d v="2018-12-31T00:00:00"/>
    <x v="1"/>
    <x v="1"/>
    <x v="0"/>
    <s v="SERVICIOS PERSONALES"/>
    <s v="CIERRE DE ANIO FISCAL"/>
    <s v="CIERRE_DE_CTAS_NOMINALES"/>
    <n v="0"/>
    <n v="352"/>
    <s v="LA CHORRERA - PARQUE 10 DE NOV."/>
    <x v="2"/>
  </r>
  <r>
    <n v="74"/>
    <d v="2018-08-14T00:00:00"/>
    <x v="3"/>
    <x v="3"/>
    <x v="0"/>
    <s v="ADMINISTRACION DE SUCURSALES"/>
    <s v="NC ALIMENTACION DE EMPLEADOS NVA"/>
    <s v="TRANSACCIONES DEL DIA 08/14/2018SPYRAL - GESTION ADMINISTRATIVA"/>
    <n v="39.979999999999997"/>
    <n v="0"/>
    <s v="COSTA DEL ESTE - CENTENARIO"/>
    <x v="2"/>
  </r>
  <r>
    <n v="74"/>
    <d v="2018-12-31T00:00:00"/>
    <x v="1"/>
    <x v="1"/>
    <x v="0"/>
    <s v="ADMINISTRACION DE SUCURSALES"/>
    <s v="CIERRE DE ANIO FISCAL"/>
    <s v="CIERRE_DE_CTAS_NOMINALES"/>
    <n v="0"/>
    <n v="39.979999999999997"/>
    <s v="COSTA DEL ESTE - CENTENARIO"/>
    <x v="2"/>
  </r>
  <r>
    <n v="76"/>
    <d v="2018-06-01T00:00:00"/>
    <x v="2"/>
    <x v="2"/>
    <x v="0"/>
    <s v="ADMINISTRACION DE SUCURSALES"/>
    <s v="NC ALIMENTACION DE EMPLEADOS NVA"/>
    <s v="TRANSACCIONES DEL DIA 06/01/2018SPYRAL - GESTION ADMINISTRATIVA"/>
    <n v="18.75"/>
    <n v="0"/>
    <s v="CLAYTON"/>
    <x v="2"/>
  </r>
  <r>
    <n v="76"/>
    <d v="2018-08-17T00:00:00"/>
    <x v="3"/>
    <x v="3"/>
    <x v="0"/>
    <s v="ADMINISTRACION DE SUCURSALES"/>
    <s v="NC ALIMENTACION DE EMPLEADOS NVA"/>
    <s v="TRANSACCIONES DEL DIA 08/17/2018SPYRAL - GESTION ADMINISTRATIVA"/>
    <n v="14.45"/>
    <n v="0"/>
    <s v="CLAYTON"/>
    <x v="2"/>
  </r>
  <r>
    <n v="76"/>
    <d v="2018-10-16T00:00:00"/>
    <x v="0"/>
    <x v="0"/>
    <x v="0"/>
    <s v="ADMINISTRACION DE SUCURSALES"/>
    <s v="NC ALIMENTACION DE EMPLEADOS NVA"/>
    <s v="TRANSACCIONES DEL DIA 10/16/2018SPYRAL - GESTION ADMINISTRATIVA"/>
    <n v="12.65"/>
    <n v="0"/>
    <s v="CLAYTON"/>
    <x v="2"/>
  </r>
  <r>
    <n v="76"/>
    <d v="2018-12-01T00:00:00"/>
    <x v="1"/>
    <x v="1"/>
    <x v="0"/>
    <s v="ADMINISTRACION DE SUCURSALES"/>
    <s v="NC ALIMENTACION DE EMPLEADOS NVA"/>
    <s v="TRANSACCIONES DEL DIA 12/01/2018SPYRAL - GESTION ADMINISTRATIVA"/>
    <n v="29.75"/>
    <n v="0"/>
    <s v="CLAYTON"/>
    <x v="2"/>
  </r>
  <r>
    <n v="76"/>
    <d v="2018-12-31T00:00:00"/>
    <x v="1"/>
    <x v="1"/>
    <x v="0"/>
    <s v="ADMINISTRACION DE SUCURSALES"/>
    <s v="CIERRE DE ANIO FISCAL"/>
    <s v="CIERRE_DE_CTAS_NOMINALES"/>
    <n v="0"/>
    <n v="104.35"/>
    <s v="CLAYTON"/>
    <x v="2"/>
  </r>
  <r>
    <n v="76"/>
    <d v="2018-08-17T00:00:00"/>
    <x v="3"/>
    <x v="3"/>
    <x v="0"/>
    <s v="CAJA"/>
    <s v="ALIMENTACION DE EMPLEADOS CTA NUEVA"/>
    <s v="TRANSACCIONES DEL DIA 08/17/2018SPYRAL - GESTION ADMINISTRATIVA"/>
    <n v="16"/>
    <n v="0"/>
    <s v="CLAYTON"/>
    <x v="2"/>
  </r>
  <r>
    <n v="76"/>
    <d v="2018-08-21T00:00:00"/>
    <x v="3"/>
    <x v="3"/>
    <x v="0"/>
    <s v="CAJA"/>
    <s v="ALIMENTACION DE EMPLEADOS CTA NUEVA"/>
    <s v="TRANSACCIONES DEL DIA 08/21/2018SPYRAL - GESTION ADMINISTRATIVA"/>
    <n v="8"/>
    <n v="0"/>
    <s v="CLAYTON"/>
    <x v="2"/>
  </r>
  <r>
    <n v="76"/>
    <d v="2018-09-05T00:00:00"/>
    <x v="4"/>
    <x v="4"/>
    <x v="0"/>
    <s v="CAJA"/>
    <s v="ALIMENTACION DE EMPLEADOS CTA NUEVA"/>
    <s v="TRANSACCIONES DEL DIA 09/05/2018SPYRAL - GESTION ADMINISTRATIVA"/>
    <n v="16"/>
    <n v="0"/>
    <s v="CLAYTON"/>
    <x v="2"/>
  </r>
  <r>
    <n v="76"/>
    <d v="2018-12-31T00:00:00"/>
    <x v="1"/>
    <x v="1"/>
    <x v="0"/>
    <s v="CAJA"/>
    <s v="CIERRE DE ANIO FISCAL"/>
    <s v="CIERRE_DE_CTAS_NOMINALES"/>
    <n v="0"/>
    <n v="40"/>
    <s v="CLAYTON"/>
    <x v="2"/>
  </r>
  <r>
    <n v="76"/>
    <d v="2018-11-13T00:00:00"/>
    <x v="5"/>
    <x v="5"/>
    <x v="0"/>
    <s v="SERVICIOS PERSONALES"/>
    <s v="ALIMENTACION DE EMPLEADOS CTA NUEVA"/>
    <s v="TRANSACCIONES DEL DIA 11/13/2018SPYRAL - GESTION ADMINISTRATIVA"/>
    <n v="8"/>
    <n v="0"/>
    <s v="CLAYTON"/>
    <x v="2"/>
  </r>
  <r>
    <n v="76"/>
    <d v="2018-12-31T00:00:00"/>
    <x v="1"/>
    <x v="1"/>
    <x v="0"/>
    <s v="SERVICIOS PERSONALES"/>
    <s v="CIERRE DE ANIO FISCAL"/>
    <s v="CIERRE_DE_CTAS_NOMINALES"/>
    <n v="0"/>
    <n v="8"/>
    <s v="CLAYTON"/>
    <x v="2"/>
  </r>
  <r>
    <n v="77"/>
    <d v="2018-07-04T00:00:00"/>
    <x v="6"/>
    <x v="6"/>
    <x v="0"/>
    <s v="ADMINISTRACION DE SUCURSALES"/>
    <s v="NC ALIMENTACION DE EMPLEADOS NVA"/>
    <s v="TRANSACCIONES DEL DIA 07/04/2018SPYRAL - GESTION ADMINISTRATIVA"/>
    <n v="25.8"/>
    <n v="0"/>
    <s v="MARBELLA"/>
    <x v="2"/>
  </r>
  <r>
    <n v="77"/>
    <d v="2018-08-23T00:00:00"/>
    <x v="3"/>
    <x v="3"/>
    <x v="0"/>
    <s v="ADMINISTRACION DE SUCURSALES"/>
    <s v="NC ALIMENTACION DE EMPLEADOS NVA"/>
    <s v="TRANSACCIONES DEL DIA 08/23/2018SPYRAL - GESTION ADMINISTRATIVA"/>
    <n v="31.6"/>
    <n v="0"/>
    <s v="MARBELLA"/>
    <x v="2"/>
  </r>
  <r>
    <n v="77"/>
    <d v="2018-09-24T00:00:00"/>
    <x v="4"/>
    <x v="4"/>
    <x v="0"/>
    <s v="ADMINISTRACION DE SUCURSALES"/>
    <s v="NC ALIMENTACION DE EMPLEADOS NVA"/>
    <s v="TRANSACCIONES DEL DIA 09/24/2018SPYRAL - GESTION ADMINISTRATIVA"/>
    <n v="14.19"/>
    <n v="0"/>
    <s v="MARBELLA"/>
    <x v="2"/>
  </r>
  <r>
    <n v="77"/>
    <d v="2018-10-16T00:00:00"/>
    <x v="0"/>
    <x v="0"/>
    <x v="0"/>
    <s v="ADMINISTRACION DE SUCURSALES"/>
    <s v="NC ALIMENTACION DE EMPLEADOS NVA"/>
    <s v="TRANSACCIONES DEL DIA 10/16/2018SPYRAL - GESTION ADMINISTRATIVA"/>
    <n v="70.099999999999994"/>
    <n v="0"/>
    <s v="MARBELLA"/>
    <x v="2"/>
  </r>
  <r>
    <n v="77"/>
    <d v="2018-12-12T00:00:00"/>
    <x v="1"/>
    <x v="1"/>
    <x v="0"/>
    <s v="ADMINISTRACION DE SUCURSALES"/>
    <s v="NC ALIMENTACION DE EMPLEADOS NVA"/>
    <s v="TRANSACCIONES DEL DIA 12/12/2018SPYRAL - GESTION ADMINISTRATIVA"/>
    <n v="40.47"/>
    <n v="0"/>
    <s v="MARBELLA"/>
    <x v="2"/>
  </r>
  <r>
    <n v="77"/>
    <d v="2018-12-31T00:00:00"/>
    <x v="1"/>
    <x v="1"/>
    <x v="0"/>
    <s v="ADMINISTRACION DE SUCURSALES"/>
    <s v="CIERRE DE ANIO FISCAL"/>
    <s v="CIERRE_DE_CTAS_NOMINALES"/>
    <n v="0"/>
    <n v="214.26"/>
    <s v="MARBELLA"/>
    <x v="2"/>
  </r>
  <r>
    <n v="78"/>
    <d v="2018-11-19T00:00:00"/>
    <x v="5"/>
    <x v="5"/>
    <x v="0"/>
    <s v="ADMINISTRACION DE SUCURSALES"/>
    <s v="NC ALIMENTACION DE EMPLEADOS NVA"/>
    <s v="TRANSACCIONES DEL DIA 11/19/2018SPYRAL - GESTION ADMINISTRATIVA"/>
    <n v="43.32"/>
    <n v="0"/>
    <s v="PLAZA CAROLINA"/>
    <x v="2"/>
  </r>
  <r>
    <n v="78"/>
    <d v="2018-12-31T00:00:00"/>
    <x v="1"/>
    <x v="1"/>
    <x v="0"/>
    <s v="ADMINISTRACION DE SUCURSALES"/>
    <s v="CIERRE DE ANIO FISCAL"/>
    <s v="CIERRE_DE_CTAS_NOMINALES"/>
    <n v="0"/>
    <n v="43.32"/>
    <s v="PLAZA CAROLINA"/>
    <x v="2"/>
  </r>
  <r>
    <n v="78"/>
    <d v="2018-12-31T00:00:00"/>
    <x v="1"/>
    <x v="1"/>
    <x v="0"/>
    <s v="CAJA"/>
    <s v="CIERRE DE ANIO FISCAL"/>
    <s v="CIERRE_DE_CTAS_NOMINALES"/>
    <n v="0"/>
    <n v="16"/>
    <s v="PLAZA CAROLINA"/>
    <x v="2"/>
  </r>
  <r>
    <n v="80"/>
    <d v="2018-06-08T00:00:00"/>
    <x v="2"/>
    <x v="2"/>
    <x v="0"/>
    <s v="CAJA"/>
    <s v="ALIMENTACION DE EMPLEADOS CTA NUEVA"/>
    <s v="TRANSACCIONES DEL DIA 06/08/2018SPYRAL - GESTION ADMINISTRATIVA"/>
    <n v="16"/>
    <n v="0"/>
    <s v="VIA SIMON BOLIVAR"/>
    <x v="2"/>
  </r>
  <r>
    <n v="80"/>
    <d v="2018-06-20T00:00:00"/>
    <x v="2"/>
    <x v="2"/>
    <x v="0"/>
    <s v="CAJA"/>
    <s v="ALIMENTACION DE EMPLEADOS CTA NUEVA"/>
    <s v="TRANSACCIONES DEL DIA 06/20/2018SPYRAL - GESTION ADMINISTRATIVA"/>
    <n v="40"/>
    <n v="0"/>
    <s v="VIA SIMON BOLIVAR"/>
    <x v="2"/>
  </r>
  <r>
    <n v="80"/>
    <d v="2018-06-28T00:00:00"/>
    <x v="2"/>
    <x v="2"/>
    <x v="0"/>
    <s v="CAJA"/>
    <s v="ALIMENTACION DE EMPLEADOS CTA NUEVA"/>
    <s v="TRANSACCIONES DEL DIA 06/28/2018SPYRAL - GESTION ADMINISTRATIVA"/>
    <n v="8"/>
    <n v="0"/>
    <s v="VIA SIMON BOLIVAR"/>
    <x v="2"/>
  </r>
  <r>
    <n v="80"/>
    <d v="2018-07-04T00:00:00"/>
    <x v="6"/>
    <x v="6"/>
    <x v="0"/>
    <s v="CAJA"/>
    <s v="ALIMENTACION DE EMPLEADOS CTA NUEVA"/>
    <s v="TRANSACCIONES DEL DIA 07/04/2018SPYRAL - GESTION ADMINISTRATIVA"/>
    <n v="24"/>
    <n v="0"/>
    <s v="VIA SIMON BOLIVAR"/>
    <x v="2"/>
  </r>
  <r>
    <n v="80"/>
    <d v="2018-07-06T00:00:00"/>
    <x v="6"/>
    <x v="6"/>
    <x v="0"/>
    <s v="CAJA"/>
    <s v="ALIMENTACION DE EMPLEADOS CTA NUEVA"/>
    <s v="TRANSACCIONES DEL DIA 07/06/2018SPYRAL - GESTION ADMINISTRATIVA"/>
    <n v="8"/>
    <n v="0"/>
    <s v="VIA SIMON BOLIVAR"/>
    <x v="2"/>
  </r>
  <r>
    <n v="80"/>
    <d v="2018-07-20T00:00:00"/>
    <x v="6"/>
    <x v="6"/>
    <x v="0"/>
    <s v="CAJA"/>
    <s v="ALIMENTACION DE EMPLEADOS CTA NUEVA"/>
    <s v="TRANSACCIONES DEL DIA 07/20/2018SPYRAL - GESTION ADMINISTRATIVA"/>
    <n v="8"/>
    <n v="0"/>
    <s v="VIA SIMON BOLIVAR"/>
    <x v="2"/>
  </r>
  <r>
    <n v="80"/>
    <d v="2018-08-09T00:00:00"/>
    <x v="3"/>
    <x v="3"/>
    <x v="0"/>
    <s v="CAJA"/>
    <s v="ALIMENTACION DE EMPLEADOS CTA NUEVA"/>
    <s v="TRANSACCIONES DEL DIA 08/09/2018SPYRAL - GESTION ADMINISTRATIVA"/>
    <n v="48"/>
    <n v="0"/>
    <s v="VIA SIMON BOLIVAR"/>
    <x v="2"/>
  </r>
  <r>
    <n v="80"/>
    <d v="2018-08-14T00:00:00"/>
    <x v="3"/>
    <x v="3"/>
    <x v="0"/>
    <s v="CAJA"/>
    <s v="ALIMENTACION DE EMPLEADOS CTA NUEVA"/>
    <s v="TRANSACCIONES DEL DIA 08/14/2018SPYRAL - GESTION ADMINISTRATIVA"/>
    <n v="16"/>
    <n v="0"/>
    <s v="VIA SIMON BOLIVAR"/>
    <x v="2"/>
  </r>
  <r>
    <n v="80"/>
    <d v="2018-08-22T00:00:00"/>
    <x v="3"/>
    <x v="3"/>
    <x v="0"/>
    <s v="CAJA"/>
    <s v="ALIMENTACION DE EMPLEADOS CTA NUEVA"/>
    <s v="TRANSACCIONES DEL DIA 08/22/2018SPYRAL - GESTION ADMINISTRATIVA"/>
    <n v="24"/>
    <n v="0"/>
    <s v="VIA SIMON BOLIVAR"/>
    <x v="2"/>
  </r>
  <r>
    <n v="80"/>
    <d v="2018-08-29T00:00:00"/>
    <x v="3"/>
    <x v="3"/>
    <x v="0"/>
    <s v="CAJA"/>
    <s v="ALIMENTACION DE EMPLEADOS CTA NUEVA"/>
    <s v="TRANSACCIONES DEL DIA 08/29/2018SPYRAL - GESTION ADMINISTRATIVA"/>
    <n v="8"/>
    <n v="0"/>
    <s v="VIA SIMON BOLIVAR"/>
    <x v="2"/>
  </r>
  <r>
    <n v="80"/>
    <d v="2018-09-17T00:00:00"/>
    <x v="4"/>
    <x v="4"/>
    <x v="0"/>
    <s v="CAJA"/>
    <s v="ALIMENTACION DE EMPLEADOS CTA NUEVA"/>
    <s v="TRANSACCIONES DEL DIA 09/17/2018SPYRAL - GESTION ADMINISTRATIVA"/>
    <n v="8"/>
    <n v="0"/>
    <s v="VIA SIMON BOLIVAR"/>
    <x v="2"/>
  </r>
  <r>
    <n v="80"/>
    <d v="2018-10-02T00:00:00"/>
    <x v="0"/>
    <x v="0"/>
    <x v="0"/>
    <s v="CAJA"/>
    <s v="ALIMENTACION DE EMPLEADOS CTA NUEVA"/>
    <s v="TRANSACCIONES DEL DIA 10/02/2018SPYRAL - GESTION ADMINISTRATIVA"/>
    <n v="8"/>
    <n v="0"/>
    <s v="VIA SIMON BOLIVAR"/>
    <x v="2"/>
  </r>
  <r>
    <n v="80"/>
    <d v="2018-10-17T00:00:00"/>
    <x v="0"/>
    <x v="0"/>
    <x v="0"/>
    <s v="CAJA"/>
    <s v="ALIMENTACION DE EMPLEADOS CTA NUEVA"/>
    <s v="TRANSACCIONES DEL DIA 10/17/2018SPYRAL - GESTION ADMINISTRATIVA"/>
    <n v="16"/>
    <n v="0"/>
    <s v="VIA SIMON BOLIVAR"/>
    <x v="2"/>
  </r>
  <r>
    <n v="80"/>
    <d v="2018-10-27T00:00:00"/>
    <x v="0"/>
    <x v="0"/>
    <x v="0"/>
    <s v="CAJA"/>
    <s v="ALIMENTACION DE EMPLEADOS CTA NUEVA"/>
    <s v="TRANSACCIONES DEL DIA 10/27/2018SPYRAL - GESTION ADMINISTRATIVA"/>
    <n v="8"/>
    <n v="0"/>
    <s v="VIA SIMON BOLIVAR"/>
    <x v="2"/>
  </r>
  <r>
    <n v="80"/>
    <d v="2018-11-02T00:00:00"/>
    <x v="5"/>
    <x v="5"/>
    <x v="0"/>
    <s v="CAJA"/>
    <s v="ALIMENTACION DE EMPLEADOS CTA NUEVA"/>
    <s v="TRANSACCIONES DEL DIA 11/02/2018SPYRAL - GESTION ADMINISTRATIVA"/>
    <n v="16"/>
    <n v="0"/>
    <s v="VIA SIMON BOLIVAR"/>
    <x v="2"/>
  </r>
  <r>
    <n v="80"/>
    <d v="2018-11-07T00:00:00"/>
    <x v="5"/>
    <x v="5"/>
    <x v="0"/>
    <s v="CAJA"/>
    <s v="ALIMENTACION DE EMPLEADOS CTA NUEVA"/>
    <s v="TRANSACCIONES DEL DIA 11/07/2018SPYRAL - GESTION ADMINISTRATIVA"/>
    <n v="16"/>
    <n v="0"/>
    <s v="VIA SIMON BOLIVAR"/>
    <x v="2"/>
  </r>
  <r>
    <n v="80"/>
    <d v="2018-11-09T00:00:00"/>
    <x v="5"/>
    <x v="5"/>
    <x v="0"/>
    <s v="CAJA"/>
    <s v="ALIMENTACION DE EMPLEADOS CTA NUEVA"/>
    <s v="TRANSACCIONES DEL DIA 11/09/2018SPYRAL - GESTION ADMINISTRATIVA"/>
    <n v="8"/>
    <n v="0"/>
    <s v="VIA SIMON BOLIVAR"/>
    <x v="2"/>
  </r>
  <r>
    <n v="80"/>
    <d v="2018-11-14T00:00:00"/>
    <x v="5"/>
    <x v="5"/>
    <x v="0"/>
    <s v="CAJA"/>
    <s v="ALIMENTACION DE EMPLEADOS CTA NUEVA"/>
    <s v="TRANSACCIONES DEL DIA 11/14/2018SPYRAL - GESTION ADMINISTRATIVA"/>
    <n v="8"/>
    <n v="0"/>
    <s v="VIA SIMON BOLIVAR"/>
    <x v="2"/>
  </r>
  <r>
    <n v="80"/>
    <d v="2018-11-19T00:00:00"/>
    <x v="5"/>
    <x v="5"/>
    <x v="0"/>
    <s v="CAJA"/>
    <s v="ALIMENTACION DE EMPLEADOS CTA NUEVA"/>
    <s v="TRANSACCIONES DEL DIA 11/19/2018SPYRAL - GESTION ADMINISTRATIVA"/>
    <n v="24"/>
    <n v="0"/>
    <s v="VIA SIMON BOLIVAR"/>
    <x v="2"/>
  </r>
  <r>
    <n v="80"/>
    <d v="2018-11-22T00:00:00"/>
    <x v="5"/>
    <x v="5"/>
    <x v="0"/>
    <s v="CAJA"/>
    <s v="ALIMENTACION DE EMPLEADOS CTA NUEVA"/>
    <s v="TRANSACCIONES DEL DIA 11/22/2018SPYRAL - GESTION ADMINISTRATIVA"/>
    <n v="8"/>
    <n v="0"/>
    <s v="VIA SIMON BOLIVAR"/>
    <x v="2"/>
  </r>
  <r>
    <n v="80"/>
    <d v="2018-11-30T00:00:00"/>
    <x v="5"/>
    <x v="5"/>
    <x v="0"/>
    <s v="CAJA"/>
    <s v="ALIMENTACION DE EMPLEADOS CTA NUEVA"/>
    <s v="TRANSACCIONES DEL DIA 11/30/2018SPYRAL - GESTION ADMINISTRATIVA"/>
    <n v="16"/>
    <n v="0"/>
    <s v="VIA SIMON BOLIVAR"/>
    <x v="2"/>
  </r>
  <r>
    <n v="80"/>
    <d v="2018-12-04T00:00:00"/>
    <x v="1"/>
    <x v="1"/>
    <x v="0"/>
    <s v="CAJA"/>
    <s v="ALIMENTACION DE EMPLEADOS CTA NUEVA"/>
    <s v="TRANSACCIONES DEL DIA 12/04/2018SPYRAL - GESTION ADMINISTRATIVA"/>
    <n v="16"/>
    <n v="0"/>
    <s v="VIA SIMON BOLIVAR"/>
    <x v="2"/>
  </r>
  <r>
    <n v="80"/>
    <d v="2018-12-17T00:00:00"/>
    <x v="1"/>
    <x v="1"/>
    <x v="0"/>
    <s v="CAJA"/>
    <s v="ALIMENTACION DE EMPLEADOS CTA NUEVA"/>
    <s v="TRANSACCIONES DEL DIA 12/17/2018SPYRAL - GESTION ADMINISTRATIVA"/>
    <n v="8"/>
    <n v="0"/>
    <s v="VIA SIMON BOLIVAR"/>
    <x v="2"/>
  </r>
  <r>
    <n v="80"/>
    <d v="2018-12-20T00:00:00"/>
    <x v="1"/>
    <x v="1"/>
    <x v="0"/>
    <s v="CAJA"/>
    <s v="ALIMENTACION DE EMPLEADOS CTA NUEVA"/>
    <s v="TRANSACCIONES DEL DIA 12/20/2018SPYRAL - GESTION ADMINISTRATIVA"/>
    <n v="8"/>
    <n v="0"/>
    <s v="VIA SIMON BOLIVAR"/>
    <x v="2"/>
  </r>
  <r>
    <n v="80"/>
    <d v="2018-12-31T00:00:00"/>
    <x v="1"/>
    <x v="1"/>
    <x v="0"/>
    <s v="CAJA"/>
    <s v="CIERRE DE ANIO FISCAL"/>
    <s v="CIERRE_DE_CTAS_NOMINALES"/>
    <n v="0"/>
    <n v="712"/>
    <s v="VIA SIMON BOLIVAR"/>
    <x v="2"/>
  </r>
  <r>
    <n v="80"/>
    <d v="2018-08-22T00:00:00"/>
    <x v="3"/>
    <x v="3"/>
    <x v="0"/>
    <s v="SERVICIOS PERSONALES"/>
    <s v="ALIMENTACION DE EMPLEADOS CTA NUEVA"/>
    <s v="TRANSACCIONES DEL DIA 08/22/2018SPYRAL - GESTION ADMINISTRATIVA"/>
    <n v="8"/>
    <n v="0"/>
    <s v="VIA SIMON BOLIVAR"/>
    <x v="2"/>
  </r>
  <r>
    <n v="80"/>
    <d v="2018-12-31T00:00:00"/>
    <x v="1"/>
    <x v="1"/>
    <x v="0"/>
    <s v="SERVICIOS PERSONALES"/>
    <s v="CIERRE DE ANIO FISCAL"/>
    <s v="CIERRE_DE_CTAS_NOMINALES"/>
    <n v="0"/>
    <n v="8"/>
    <s v="VIA SIMON BOLIVAR"/>
    <x v="2"/>
  </r>
  <r>
    <n v="89"/>
    <d v="2018-12-31T00:00:00"/>
    <x v="1"/>
    <x v="1"/>
    <x v="0"/>
    <s v="CAJA"/>
    <s v="CIERRE DE ANIO FISCAL"/>
    <s v="CIERRE_DE_CTAS_NOMINALES"/>
    <n v="0"/>
    <n v="24"/>
    <s v="JUSTO AROSEMENA"/>
    <x v="2"/>
  </r>
  <r>
    <n v="89"/>
    <d v="2018-06-18T00:00:00"/>
    <x v="2"/>
    <x v="2"/>
    <x v="0"/>
    <s v="SERVICIOS PERSONALES"/>
    <s v="ALIMENTACION DE EMPLEADOS CTA NUEVA"/>
    <s v="TRANSACCIONES DEL DIA 06/18/2018SPYRAL - GESTION ADMINISTRATIVA"/>
    <n v="8"/>
    <n v="0"/>
    <s v="JUSTO AROSEMENA"/>
    <x v="2"/>
  </r>
  <r>
    <n v="89"/>
    <d v="2018-07-28T00:00:00"/>
    <x v="6"/>
    <x v="6"/>
    <x v="0"/>
    <s v="SERVICIOS PERSONALES"/>
    <s v="ALIMENTACION DE EMPLEADOS CTA NUEVA"/>
    <s v="TRANSACCIONES DEL DIA 07/28/2018SPYRAL - GESTION ADMINISTRATIVA"/>
    <n v="8"/>
    <n v="0"/>
    <s v="JUSTO AROSEMENA"/>
    <x v="2"/>
  </r>
  <r>
    <n v="89"/>
    <d v="2018-12-31T00:00:00"/>
    <x v="1"/>
    <x v="1"/>
    <x v="0"/>
    <s v="SERVICIOS PERSONALES"/>
    <s v="CIERRE DE ANIO FISCAL"/>
    <s v="CIERRE_DE_CTAS_NOMINALES"/>
    <n v="0"/>
    <n v="24"/>
    <s v="JUSTO AROSEMENA"/>
    <x v="2"/>
  </r>
  <r>
    <n v="91"/>
    <d v="2018-06-16T00:00:00"/>
    <x v="2"/>
    <x v="2"/>
    <x v="0"/>
    <s v="NEGOCIOS"/>
    <s v="ALIMENTACION DE EMPLEADOS CTA NUEVA"/>
    <s v="TRANSACCIONES DEL DIA 06/16/2018SPYRAL - GESTION ADMINISTRATIVA"/>
    <n v="30.3"/>
    <n v="0"/>
    <s v="NEGOCIOS"/>
    <x v="2"/>
  </r>
  <r>
    <n v="91"/>
    <d v="2018-12-31T00:00:00"/>
    <x v="1"/>
    <x v="1"/>
    <x v="0"/>
    <s v="NEGOCIOS"/>
    <s v="CIERRE DE ANIO FISCAL"/>
    <s v="CIERRE_DE_CTAS_NOMINALES"/>
    <n v="0"/>
    <n v="653.6"/>
    <s v="NEGOCIOS"/>
    <x v="2"/>
  </r>
  <r>
    <n v="91"/>
    <d v="2018-08-02T00:00:00"/>
    <x v="3"/>
    <x v="3"/>
    <x v="0"/>
    <s v="BANCA CORPORATIVA"/>
    <s v="ALIMENTACION DE EMPLEADOS CTA NUEVA"/>
    <s v="TRANSACCIONES DEL DIA 08/02/2018SPYRAL - GESTION ADMINISTRATIVA"/>
    <n v="15.76"/>
    <n v="0"/>
    <s v="NEGOCIOS"/>
    <x v="2"/>
  </r>
  <r>
    <n v="91"/>
    <d v="2018-09-20T00:00:00"/>
    <x v="4"/>
    <x v="4"/>
    <x v="0"/>
    <s v="BANCA CORPORATIVA"/>
    <s v="ALIMENTACION DE EMPLEADOS CTA NUEVA"/>
    <s v="TRANSACCIONES DEL DIA 09/20/2018SPYRAL - GESTION ADMINISTRATIVA"/>
    <n v="20.329999999999998"/>
    <n v="0"/>
    <s v="NEGOCIOS"/>
    <x v="2"/>
  </r>
  <r>
    <n v="91"/>
    <d v="2018-11-23T00:00:00"/>
    <x v="5"/>
    <x v="5"/>
    <x v="0"/>
    <s v="BANCA CORPORATIVA"/>
    <s v="NC ALIMENTACION DE EMPLEADOS NVA"/>
    <s v="TRANSACCIONES DEL DIA 11/23/2018SPYRAL - GESTION ADMINISTRATIVA"/>
    <n v="54.5"/>
    <n v="0"/>
    <s v="NEGOCIOS"/>
    <x v="2"/>
  </r>
  <r>
    <n v="91"/>
    <d v="2018-12-01T00:00:00"/>
    <x v="1"/>
    <x v="1"/>
    <x v="0"/>
    <s v="BANCA CORPORATIVA"/>
    <s v="NC ALIMENTACION DE EMPLEADOS NVA"/>
    <s v="TRANSACCIONES DEL DIA 12/01/2018SPYRAL - GESTION ADMINISTRATIVA"/>
    <n v="32.9"/>
    <n v="0"/>
    <s v="NEGOCIOS"/>
    <x v="2"/>
  </r>
  <r>
    <n v="91"/>
    <d v="2018-12-19T00:00:00"/>
    <x v="1"/>
    <x v="1"/>
    <x v="0"/>
    <s v="BANCA CORPORATIVA"/>
    <s v="ALIMENTACION DE EMPLEADOS CTA NUEVA"/>
    <s v="TRANSACCIONES DEL DIA 12/19/2018SPYRAL - GESTION ADMINISTRATIVA"/>
    <n v="77.900000000000006"/>
    <n v="0"/>
    <s v="NEGOCIOS"/>
    <x v="2"/>
  </r>
  <r>
    <n v="91"/>
    <d v="2018-12-20T00:00:00"/>
    <x v="1"/>
    <x v="1"/>
    <x v="0"/>
    <s v="BANCA CORPORATIVA"/>
    <s v="NC ALIMENTACION DE EMPLEADOS NVA"/>
    <s v="TRANSACCIONES DEL DIA 12/20/2018SPYRAL - GESTION ADMINISTRATIVA"/>
    <n v="10.75"/>
    <n v="0"/>
    <s v="NEGOCIOS"/>
    <x v="2"/>
  </r>
  <r>
    <n v="91"/>
    <d v="2018-12-31T00:00:00"/>
    <x v="1"/>
    <x v="1"/>
    <x v="0"/>
    <s v="BANCA CORPORATIVA"/>
    <s v="CIERRE DE ANIO FISCAL"/>
    <s v="CIERRE_DE_CTAS_NOMINALES"/>
    <n v="0"/>
    <n v="353.47"/>
    <s v="NEGOCIOS"/>
    <x v="2"/>
  </r>
  <r>
    <n v="91"/>
    <d v="2018-06-01T00:00:00"/>
    <x v="2"/>
    <x v="2"/>
    <x v="0"/>
    <s v="INTERINOS"/>
    <s v="NC ALIMENTACION DE EMPLEADOS NVA"/>
    <s v="TRANSACCIONES DEL DIA 06/01/2018SPYRAL - GESTION ADMINISTRATIVA"/>
    <n v="51.75"/>
    <n v="0"/>
    <s v="NEGOCIOS"/>
    <x v="2"/>
  </r>
  <r>
    <n v="91"/>
    <d v="2018-06-20T00:00:00"/>
    <x v="2"/>
    <x v="2"/>
    <x v="0"/>
    <s v="INTERINOS"/>
    <s v="NC ALIMENTACION DE EMPLEADOS NVA"/>
    <s v="TRANSACCIONES DEL DIA 06/20/2018SPYRAL - GESTION ADMINISTRATIVA"/>
    <n v="23.75"/>
    <n v="0"/>
    <s v="NEGOCIOS"/>
    <x v="2"/>
  </r>
  <r>
    <n v="91"/>
    <d v="2018-08-09T00:00:00"/>
    <x v="3"/>
    <x v="3"/>
    <x v="0"/>
    <s v="INTERINOS"/>
    <s v="NC ALIMENTACION DE EMPLEADOS NVA"/>
    <s v="TRANSACCIONES DEL DIA 08/09/2018SPYRAL - GESTION ADMINISTRATIVA"/>
    <n v="64.099999999999994"/>
    <n v="0"/>
    <s v="NEGOCIOS"/>
    <x v="2"/>
  </r>
  <r>
    <n v="91"/>
    <d v="2018-08-14T00:00:00"/>
    <x v="3"/>
    <x v="3"/>
    <x v="0"/>
    <s v="INTERINOS"/>
    <s v="NC ALIMENTACION DE EMPLEADOS NVA"/>
    <s v="TRANSACCIONES DEL DIA 08/14/2018SPYRAL - GESTION ADMINISTRATIVA"/>
    <n v="95"/>
    <n v="0"/>
    <s v="NEGOCIOS"/>
    <x v="2"/>
  </r>
  <r>
    <n v="91"/>
    <d v="2018-09-03T00:00:00"/>
    <x v="4"/>
    <x v="4"/>
    <x v="0"/>
    <s v="INTERINOS"/>
    <s v="NC ALIMENTACION DE EMPLEADOS NVA"/>
    <s v="TRANSACCIONES DEL DIA 09/03/2018SPYRAL - GESTION ADMINISTRATIVA"/>
    <n v="49.5"/>
    <n v="0"/>
    <s v="NEGOCIOS"/>
    <x v="2"/>
  </r>
  <r>
    <n v="91"/>
    <d v="2018-11-06T00:00:00"/>
    <x v="5"/>
    <x v="5"/>
    <x v="0"/>
    <s v="INTERINOS"/>
    <s v="NC ALIMENTACION DE EMPLEADOS NVA"/>
    <s v="TRANSACCIONES DEL DIA 11/06/2018SPYRAL - GESTION ADMINISTRATIVA"/>
    <n v="45.7"/>
    <n v="0"/>
    <s v="NEGOCIOS"/>
    <x v="2"/>
  </r>
  <r>
    <n v="91"/>
    <d v="2018-12-31T00:00:00"/>
    <x v="1"/>
    <x v="1"/>
    <x v="0"/>
    <s v="INTERINOS"/>
    <s v="CIERRE DE ANIO FISCAL"/>
    <s v="CIERRE_DE_CTAS_NOMINALES"/>
    <n v="0"/>
    <n v="654.17999999999995"/>
    <s v="NEGOCIOS"/>
    <x v="2"/>
  </r>
  <r>
    <n v="91"/>
    <d v="2018-12-31T00:00:00"/>
    <x v="1"/>
    <x v="1"/>
    <x v="0"/>
    <s v="ZONA LIBRE"/>
    <s v="CIERRE DE ANIO FISCAL"/>
    <s v="CIERRE_DE_CTAS_NOMINALES"/>
    <n v="0"/>
    <n v="195.02"/>
    <s v="NEGOCIOS"/>
    <x v="2"/>
  </r>
  <r>
    <n v="91"/>
    <d v="2018-06-20T00:00:00"/>
    <x v="2"/>
    <x v="2"/>
    <x v="0"/>
    <s v="HIPOTECAS"/>
    <s v="NC ALIMENTACION DE EMPLEADOS NVA"/>
    <s v="TRANSACCIONES DEL DIA 06/20/2018SPYRAL - GESTION ADMINISTRATIVA"/>
    <n v="100.8"/>
    <n v="0"/>
    <s v="NEGOCIOS"/>
    <x v="2"/>
  </r>
  <r>
    <n v="91"/>
    <d v="2018-07-20T00:00:00"/>
    <x v="6"/>
    <x v="6"/>
    <x v="0"/>
    <s v="HIPOTECAS"/>
    <s v="NC ALIMENTACION DE EMPLEADOS NVA"/>
    <s v="TRANSACCIONES DEL DIA 07/20/2018SPYRAL - GESTION ADMINISTRATIVA"/>
    <n v="0"/>
    <n v="5"/>
    <s v="NEGOCIOS"/>
    <x v="2"/>
  </r>
  <r>
    <n v="91"/>
    <d v="2018-07-27T00:00:00"/>
    <x v="6"/>
    <x v="6"/>
    <x v="0"/>
    <s v="HIPOTECAS"/>
    <s v="ALIMENTACION DE EMPLEADOS CTA NUEVA"/>
    <s v="TRANSACCIONES DEL DIA 07/27/2018SPYRAL - GESTION ADMINISTRATIVA"/>
    <n v="55"/>
    <n v="0"/>
    <s v="NEGOCIOS"/>
    <x v="2"/>
  </r>
  <r>
    <n v="91"/>
    <d v="2018-09-25T00:00:00"/>
    <x v="4"/>
    <x v="4"/>
    <x v="0"/>
    <s v="HIPOTECAS"/>
    <s v="ALIMENTACION DE EMPLEADOS CTA NUEVA"/>
    <s v="TRANSACCIONES DEL DIA 09/25/2018SPYRAL - GESTION ADMINISTRATIVA"/>
    <n v="15"/>
    <n v="0"/>
    <s v="NEGOCIOS"/>
    <x v="2"/>
  </r>
  <r>
    <n v="91"/>
    <d v="2018-12-31T00:00:00"/>
    <x v="1"/>
    <x v="1"/>
    <x v="0"/>
    <s v="HIPOTECAS"/>
    <s v="CIERRE DE ANIO FISCAL"/>
    <s v="CIERRE_DE_CTAS_NOMINALES"/>
    <n v="0"/>
    <n v="395.85"/>
    <s v="NEGOCIOS"/>
    <x v="2"/>
  </r>
  <r>
    <n v="91"/>
    <d v="2018-09-17T00:00:00"/>
    <x v="4"/>
    <x v="4"/>
    <x v="0"/>
    <s v="CANALES EXTERNOS HIP"/>
    <s v="ALIMENTACION DE EMPLEADOS CTA NUEVA"/>
    <s v="TRANSACCIONES DEL DIA 09/17/2018SPYRAL - GESTION ADMINISTRATIVA"/>
    <n v="12"/>
    <n v="0"/>
    <s v="NEGOCIOS"/>
    <x v="2"/>
  </r>
  <r>
    <n v="91"/>
    <d v="2018-10-24T00:00:00"/>
    <x v="0"/>
    <x v="0"/>
    <x v="0"/>
    <s v="CANALES EXTERNOS HIP"/>
    <s v="ALIMENTACION DE EMPLEADOS CTA NUEVA"/>
    <s v="TRANSACCIONES DEL DIA 10/24/2018SPYRAL - GESTION ADMINISTRATIVA"/>
    <n v="10"/>
    <n v="0"/>
    <s v="NEGOCIOS"/>
    <x v="2"/>
  </r>
  <r>
    <n v="91"/>
    <d v="2018-12-31T00:00:00"/>
    <x v="1"/>
    <x v="1"/>
    <x v="0"/>
    <s v="CANALES EXTERNOS HIP"/>
    <s v="CIERRE DE ANIO FISCAL"/>
    <s v="CIERRE_DE_CTAS_NOMINALES"/>
    <n v="0"/>
    <n v="201.26"/>
    <s v="NEGOCIOS"/>
    <x v="2"/>
  </r>
  <r>
    <n v="91"/>
    <d v="2018-06-11T00:00:00"/>
    <x v="2"/>
    <x v="2"/>
    <x v="0"/>
    <s v="GESTION HIPOTECARIA"/>
    <s v="ALIMENTACION DE EMPLEADOS CTA NUEVA"/>
    <s v="TRANSACCIONES DEL DIA 06/11/2018SPYRAL - GESTION ADMINISTRATIVA"/>
    <n v="15"/>
    <n v="0"/>
    <s v="NEGOCIOS"/>
    <x v="2"/>
  </r>
  <r>
    <n v="91"/>
    <d v="2018-06-15T00:00:00"/>
    <x v="2"/>
    <x v="2"/>
    <x v="0"/>
    <s v="GESTION HIPOTECARIA"/>
    <s v="ALIMENTACION DE EMPLEADOS CTA NUEVA"/>
    <s v="TRANSACCIONES DEL DIA 06/15/2018SPYRAL - GESTION ADMINISTRATIVA"/>
    <n v="10"/>
    <n v="0"/>
    <s v="NEGOCIOS"/>
    <x v="2"/>
  </r>
  <r>
    <n v="91"/>
    <d v="2018-08-02T00:00:00"/>
    <x v="3"/>
    <x v="3"/>
    <x v="0"/>
    <s v="GESTION HIPOTECARIA"/>
    <s v="ALIMENTACION DE EMPLEADOS CTA NUEVA"/>
    <s v="TRANSACCIONES DEL DIA 08/02/2018SPYRAL - GESTION ADMINISTRATIVA"/>
    <n v="5"/>
    <n v="0"/>
    <s v="NEGOCIOS"/>
    <x v="2"/>
  </r>
  <r>
    <n v="91"/>
    <d v="2018-08-09T00:00:00"/>
    <x v="3"/>
    <x v="3"/>
    <x v="0"/>
    <s v="GESTION HIPOTECARIA"/>
    <s v="ALIMENTACION DE EMPLEADOS CTA NUEVA"/>
    <s v="TRANSACCIONES DEL DIA 08/09/2018SPYRAL - GESTION ADMINISTRATIVA"/>
    <n v="10"/>
    <n v="0"/>
    <s v="NEGOCIOS"/>
    <x v="2"/>
  </r>
  <r>
    <n v="91"/>
    <d v="2018-12-31T00:00:00"/>
    <x v="1"/>
    <x v="1"/>
    <x v="0"/>
    <s v="GESTION HIPOTECARIA"/>
    <s v="CIERRE DE ANIO FISCAL"/>
    <s v="CIERRE_DE_CTAS_NOMINALES"/>
    <n v="0"/>
    <n v="70"/>
    <s v="NEGOCIOS"/>
    <x v="2"/>
  </r>
  <r>
    <n v="91"/>
    <d v="2018-11-20T00:00:00"/>
    <x v="5"/>
    <x v="5"/>
    <x v="0"/>
    <s v="BANCA DE CONSUMO"/>
    <s v="ALIMENTACION DE EMPLEADOS CTA NUEVA"/>
    <s v="TRANSACCIONES DEL DIA 11/20/2018SPYRAL - GESTION ADMINISTRATIVA"/>
    <n v="41.69"/>
    <n v="0"/>
    <s v="NEGOCIOS"/>
    <x v="2"/>
  </r>
  <r>
    <n v="91"/>
    <d v="2018-12-31T00:00:00"/>
    <x v="1"/>
    <x v="1"/>
    <x v="0"/>
    <s v="BANCA DE CONSUMO"/>
    <s v="CIERRE DE ANIO FISCAL"/>
    <s v="CIERRE_DE_CTAS_NOMINALES"/>
    <n v="0"/>
    <n v="686.36"/>
    <s v="NEGOCIOS"/>
    <x v="2"/>
  </r>
  <r>
    <n v="91"/>
    <d v="2018-06-13T00:00:00"/>
    <x v="2"/>
    <x v="2"/>
    <x v="0"/>
    <s v="CANALES DE DISTRIBUCION"/>
    <s v="ALIMENTACION DE EMPLEADOS CTA NUEVA"/>
    <s v="TRANSACCIONES DEL DIA 06/13/2018SPYRAL - GESTION ADMINISTRATIVA"/>
    <n v="297.57"/>
    <n v="0"/>
    <s v="NEGOCIOS"/>
    <x v="2"/>
  </r>
  <r>
    <n v="91"/>
    <d v="2018-07-02T00:00:00"/>
    <x v="6"/>
    <x v="6"/>
    <x v="0"/>
    <s v="CANALES DE DISTRIBUCION"/>
    <s v="NC ALIMENTACION DE EMPLEADOS NVA"/>
    <s v="TRANSACCIONES DEL DIA 07/02/2018SPYRAL - GESTION ADMINISTRATIVA"/>
    <n v="52.7"/>
    <n v="0"/>
    <s v="NEGOCIOS"/>
    <x v="2"/>
  </r>
  <r>
    <n v="91"/>
    <d v="2018-07-25T00:00:00"/>
    <x v="6"/>
    <x v="6"/>
    <x v="0"/>
    <s v="CANALES DE DISTRIBUCION"/>
    <s v="ALIMENTACION DE EMPLEADOS CTA NUEVA"/>
    <s v="TRANSACCIONES DEL DIA 07/25/2018SPYRAL - GESTION ADMINISTRATIVA"/>
    <n v="32"/>
    <n v="0"/>
    <s v="NEGOCIOS"/>
    <x v="2"/>
  </r>
  <r>
    <n v="91"/>
    <d v="2018-08-03T00:00:00"/>
    <x v="3"/>
    <x v="3"/>
    <x v="0"/>
    <s v="CANALES DE DISTRIBUCION"/>
    <s v="NC ALIMENTACION DE EMPLEADOS NVA"/>
    <s v="TRANSACCIONES DEL DIA 08/03/2018SPYRAL - GESTION ADMINISTRATIVA"/>
    <n v="47.85"/>
    <n v="0"/>
    <s v="NEGOCIOS"/>
    <x v="2"/>
  </r>
  <r>
    <n v="91"/>
    <d v="2018-08-03T00:00:00"/>
    <x v="3"/>
    <x v="3"/>
    <x v="0"/>
    <s v="CANALES DE DISTRIBUCION"/>
    <s v="ALIMENTACION DE EMPLEADOS CTA NUEVA"/>
    <s v="TRANSACCIONES DEL DIA 08/03/2018SPYRAL - GESTION ADMINISTRATIVA"/>
    <n v="1073.46"/>
    <n v="0"/>
    <s v="NEGOCIOS"/>
    <x v="2"/>
  </r>
  <r>
    <n v="91"/>
    <d v="2018-09-17T00:00:00"/>
    <x v="4"/>
    <x v="4"/>
    <x v="0"/>
    <s v="CANALES DE DISTRIBUCION"/>
    <s v="ALIMENTACION DE EMPLEADOS CTA NUEVA"/>
    <s v="TRANSACCIONES DEL DIA 09/17/2018SPYRAL - GESTION ADMINISTRATIVA"/>
    <n v="40.340000000000003"/>
    <n v="0"/>
    <s v="NEGOCIOS"/>
    <x v="2"/>
  </r>
  <r>
    <n v="91"/>
    <d v="2018-09-24T00:00:00"/>
    <x v="4"/>
    <x v="4"/>
    <x v="0"/>
    <s v="CANALES DE DISTRIBUCION"/>
    <s v="NC ALIMENTACION DE EMPLEADOS NVA"/>
    <s v="TRANSACCIONES DEL DIA 09/24/2018SPYRAL - GESTION ADMINISTRATIVA"/>
    <n v="15.1"/>
    <n v="0"/>
    <s v="NEGOCIOS"/>
    <x v="2"/>
  </r>
  <r>
    <n v="91"/>
    <d v="2018-09-24T00:00:00"/>
    <x v="4"/>
    <x v="4"/>
    <x v="0"/>
    <s v="CANALES DE DISTRIBUCION"/>
    <s v="ALIMENTACION DE EMPLEADOS CTA NUEVA"/>
    <s v="TRANSACCIONES DEL DIA 09/24/2018SPYRAL - GESTION ADMINISTRATIVA"/>
    <n v="21.45"/>
    <n v="0"/>
    <s v="NEGOCIOS"/>
    <x v="2"/>
  </r>
  <r>
    <n v="91"/>
    <d v="2018-09-27T00:00:00"/>
    <x v="4"/>
    <x v="4"/>
    <x v="0"/>
    <s v="CANALES DE DISTRIBUCION"/>
    <s v="ALIMENTACION DE EMPLEADOS CTA NUEVA"/>
    <s v="TRANSACCIONES DEL DIA 09/27/2018SPYRAL - GESTION ADMINISTRATIVA"/>
    <n v="120.18"/>
    <n v="0"/>
    <s v="NEGOCIOS"/>
    <x v="2"/>
  </r>
  <r>
    <n v="91"/>
    <d v="2018-10-01T00:00:00"/>
    <x v="0"/>
    <x v="0"/>
    <x v="0"/>
    <s v="CANALES DE DISTRIBUCION"/>
    <s v="ALIMENTACION DE EMPLEADOS CTA NUEVA"/>
    <s v="TRANSACCIONES DEL DIA 10/01/2018SPYRAL - GESTION ADMINISTRATIVA"/>
    <n v="24"/>
    <n v="0"/>
    <s v="NEGOCIOS"/>
    <x v="2"/>
  </r>
  <r>
    <n v="91"/>
    <d v="2018-10-02T00:00:00"/>
    <x v="0"/>
    <x v="0"/>
    <x v="0"/>
    <s v="CANALES DE DISTRIBUCION"/>
    <s v="NC ALIMENTACION DE EMPLEADOS NVA"/>
    <s v="TRANSACCIONES DEL DIA 10/02/2018SPYRAL - GESTION ADMINISTRATIVA"/>
    <n v="60"/>
    <n v="0"/>
    <s v="NEGOCIOS"/>
    <x v="2"/>
  </r>
  <r>
    <n v="91"/>
    <d v="2018-10-02T00:00:00"/>
    <x v="0"/>
    <x v="0"/>
    <x v="0"/>
    <s v="CANALES DE DISTRIBUCION"/>
    <s v="NC ALIMENTACION DE EMPLEADOS NVA"/>
    <s v="TRANSACCIONES DEL DIA 10/02/2018SPYRAL - GESTION ADMINISTRATIVA"/>
    <n v="0"/>
    <n v="297.57"/>
    <s v="NEGOCIOS"/>
    <x v="2"/>
  </r>
  <r>
    <n v="91"/>
    <d v="2018-10-16T00:00:00"/>
    <x v="0"/>
    <x v="0"/>
    <x v="0"/>
    <s v="CANALES DE DISTRIBUCION"/>
    <s v="NC ALIMENTACION DE EMPLEADOS NVA"/>
    <s v="TRANSACCIONES DEL DIA 10/16/2018SPYRAL - GESTION ADMINISTRATIVA"/>
    <n v="20"/>
    <n v="0"/>
    <s v="NEGOCIOS"/>
    <x v="2"/>
  </r>
  <r>
    <n v="91"/>
    <d v="2018-10-22T00:00:00"/>
    <x v="0"/>
    <x v="0"/>
    <x v="0"/>
    <s v="CANALES DE DISTRIBUCION"/>
    <s v="ALIMENTACION DE EMPLEADOS CTA NUEVA"/>
    <s v="TRANSACCIONES DEL DIA 10/22/2018SPYRAL - GESTION ADMINISTRATIVA"/>
    <n v="8"/>
    <n v="0"/>
    <s v="NEGOCIOS"/>
    <x v="2"/>
  </r>
  <r>
    <n v="91"/>
    <d v="2018-10-23T00:00:00"/>
    <x v="0"/>
    <x v="0"/>
    <x v="0"/>
    <s v="CANALES DE DISTRIBUCION"/>
    <s v="ALIMENTACION DE EMPLEADOS CTA NUEVA"/>
    <s v="TRANSACCIONES DEL DIA 10/23/2018SPYRAL - GESTION ADMINISTRATIVA"/>
    <n v="8"/>
    <n v="0"/>
    <s v="NEGOCIOS"/>
    <x v="2"/>
  </r>
  <r>
    <n v="91"/>
    <d v="2018-10-24T00:00:00"/>
    <x v="0"/>
    <x v="0"/>
    <x v="0"/>
    <s v="CANALES DE DISTRIBUCION"/>
    <s v="ALIMENTACION DE EMPLEADOS CTA NUEVA"/>
    <s v="TRANSACCIONES DEL DIA 10/24/2018SPYRAL - GESTION ADMINISTRATIVA"/>
    <n v="16"/>
    <n v="0"/>
    <s v="NEGOCIOS"/>
    <x v="2"/>
  </r>
  <r>
    <n v="91"/>
    <d v="2018-10-26T00:00:00"/>
    <x v="0"/>
    <x v="0"/>
    <x v="0"/>
    <s v="CANALES DE DISTRIBUCION"/>
    <s v="ALIMENTACION DE EMPLEADOS CTA NUEVA"/>
    <s v="TRANSACCIONES DEL DIA 10/26/2018SPYRAL - GESTION ADMINISTRATIVA"/>
    <n v="16"/>
    <n v="0"/>
    <s v="NEGOCIOS"/>
    <x v="2"/>
  </r>
  <r>
    <n v="91"/>
    <d v="2018-10-27T00:00:00"/>
    <x v="0"/>
    <x v="0"/>
    <x v="0"/>
    <s v="CANALES DE DISTRIBUCION"/>
    <s v="ALIMENTACION DE EMPLEADOS CTA NUEVA"/>
    <s v="TRANSACCIONES DEL DIA 10/27/2018SPYRAL - GESTION ADMINISTRATIVA"/>
    <n v="496.11"/>
    <n v="0"/>
    <s v="NEGOCIOS"/>
    <x v="2"/>
  </r>
  <r>
    <n v="91"/>
    <d v="2018-10-29T00:00:00"/>
    <x v="0"/>
    <x v="0"/>
    <x v="0"/>
    <s v="CANALES DE DISTRIBUCION"/>
    <s v="ALIMENTACION DE EMPLEADOS CTA NUEVA"/>
    <s v="TRANSACCIONES DEL DIA 10/29/2018SPYRAL - GESTION ADMINISTRATIVA"/>
    <n v="48"/>
    <n v="0"/>
    <s v="NEGOCIOS"/>
    <x v="2"/>
  </r>
  <r>
    <n v="91"/>
    <d v="2018-11-06T00:00:00"/>
    <x v="5"/>
    <x v="5"/>
    <x v="0"/>
    <s v="CANALES DE DISTRIBUCION"/>
    <s v="NC ALIMENTACION DE EMPLEADOS NVA"/>
    <s v="TRANSACCIONES DEL DIA 11/06/2018SPYRAL - GESTION ADMINISTRATIVA"/>
    <n v="48.5"/>
    <n v="0"/>
    <s v="NEGOCIOS"/>
    <x v="2"/>
  </r>
  <r>
    <n v="91"/>
    <d v="2018-11-07T00:00:00"/>
    <x v="5"/>
    <x v="5"/>
    <x v="0"/>
    <s v="CANALES DE DISTRIBUCION"/>
    <s v="ALIMENTACION DE EMPLEADOS CTA NUEVA"/>
    <s v="TRANSACCIONES DEL DIA 11/07/2018SPYRAL - GESTION ADMINISTRATIVA"/>
    <n v="11.38"/>
    <n v="0"/>
    <s v="NEGOCIOS"/>
    <x v="2"/>
  </r>
  <r>
    <n v="91"/>
    <d v="2018-11-26T00:00:00"/>
    <x v="5"/>
    <x v="5"/>
    <x v="0"/>
    <s v="CANALES DE DISTRIBUCION"/>
    <s v="ALIMENTACION DE EMPLEADOS CTA NUEVA"/>
    <s v="TRANSACCIONES DEL DIA 11/26/2018SPYRAL - GESTION ADMINISTRATIVA"/>
    <n v="25.4"/>
    <n v="0"/>
    <s v="NEGOCIOS"/>
    <x v="2"/>
  </r>
  <r>
    <n v="91"/>
    <d v="2018-11-30T00:00:00"/>
    <x v="5"/>
    <x v="5"/>
    <x v="0"/>
    <s v="CANALES DE DISTRIBUCION"/>
    <s v="ALIMENTACION DE EMPLEADOS CTA NUEVA"/>
    <s v="TRANSACCIONES DEL DIA 11/30/2018SPYRAL - GESTION ADMINISTRATIVA"/>
    <n v="8"/>
    <n v="0"/>
    <s v="NEGOCIOS"/>
    <x v="2"/>
  </r>
  <r>
    <n v="91"/>
    <d v="2018-12-12T00:00:00"/>
    <x v="1"/>
    <x v="1"/>
    <x v="0"/>
    <s v="CANALES DE DISTRIBUCION"/>
    <s v="ALIMENTACION DE EMPLEADOS CTA NUEVA"/>
    <s v="TRANSACCIONES DEL DIA 12/12/2018SPYRAL - GESTION ADMINISTRATIVA"/>
    <n v="535.41"/>
    <n v="0"/>
    <s v="NEGOCIOS"/>
    <x v="2"/>
  </r>
  <r>
    <n v="91"/>
    <d v="2018-12-12T00:00:00"/>
    <x v="1"/>
    <x v="1"/>
    <x v="0"/>
    <s v="CANALES DE DISTRIBUCION"/>
    <s v="NC ALIMENTACION DE EMPLEADOS NVA"/>
    <s v="TRANSACCIONES DEL DIA 12/12/2018SPYRAL - GESTION ADMINISTRATIVA"/>
    <n v="127.57"/>
    <n v="0"/>
    <s v="NEGOCIOS"/>
    <x v="2"/>
  </r>
  <r>
    <n v="91"/>
    <d v="2018-12-14T00:00:00"/>
    <x v="1"/>
    <x v="1"/>
    <x v="0"/>
    <s v="CANALES DE DISTRIBUCION"/>
    <s v="NC ALIMENTACION DE EMPLEADOS NVA"/>
    <s v="TRANSACCIONES DEL DIA 12/14/2018SPYRAL - GESTION ADMINISTRATIVA"/>
    <n v="76.5"/>
    <n v="0"/>
    <s v="NEGOCIOS"/>
    <x v="2"/>
  </r>
  <r>
    <n v="91"/>
    <d v="2018-12-27T00:00:00"/>
    <x v="1"/>
    <x v="1"/>
    <x v="0"/>
    <s v="CANALES DE DISTRIBUCION"/>
    <s v="NC ALIMENTACION DE EMPLEADOS NVA"/>
    <s v="TRANSACCIONES DEL DIA 12/27/2018SPYRAL - GESTION ADMINISTRATIVA"/>
    <n v="38.5"/>
    <n v="0"/>
    <s v="NEGOCIOS"/>
    <x v="2"/>
  </r>
  <r>
    <n v="91"/>
    <d v="2018-12-31T00:00:00"/>
    <x v="1"/>
    <x v="1"/>
    <x v="0"/>
    <s v="CANALES DE DISTRIBUCION"/>
    <s v="CIERRE DE ANIO FISCAL"/>
    <s v="CIERRE_DE_CTAS_NOMINALES"/>
    <n v="0"/>
    <n v="4035.26"/>
    <s v="NEGOCIOS"/>
    <x v="2"/>
  </r>
  <r>
    <n v="91"/>
    <d v="2018-08-03T00:00:00"/>
    <x v="3"/>
    <x v="3"/>
    <x v="0"/>
    <s v="CENTRO DE TARJETAS"/>
    <s v="NC ALIMENTACION DE EMPLEADOS NVA"/>
    <s v="TRANSACCIONES DEL DIA 08/03/2018SPYRAL - GESTION ADMINISTRATIVA"/>
    <n v="479.83"/>
    <n v="0"/>
    <s v="NEGOCIOS"/>
    <x v="2"/>
  </r>
  <r>
    <n v="91"/>
    <d v="2018-09-11T00:00:00"/>
    <x v="4"/>
    <x v="4"/>
    <x v="0"/>
    <s v="CENTRO DE TARJETAS"/>
    <s v="NC ALIMENTACION DE EMPLEADOS NVA"/>
    <s v="TRANSACCIONES DEL DIA 09/11/2018SPYRAL - GESTION ADMINISTRATIVA"/>
    <n v="23.99"/>
    <n v="0"/>
    <s v="NEGOCIOS"/>
    <x v="2"/>
  </r>
  <r>
    <n v="91"/>
    <d v="2018-10-02T00:00:00"/>
    <x v="0"/>
    <x v="0"/>
    <x v="0"/>
    <s v="CENTRO DE TARJETAS"/>
    <s v="NC ALIMENTACION DE EMPLEADOS NVA"/>
    <s v="TRANSACCIONES DEL DIA 10/02/2018SPYRAL - GESTION ADMINISTRATIVA"/>
    <n v="333.89"/>
    <n v="0"/>
    <s v="NEGOCIOS"/>
    <x v="2"/>
  </r>
  <r>
    <n v="91"/>
    <d v="2018-12-31T00:00:00"/>
    <x v="1"/>
    <x v="1"/>
    <x v="0"/>
    <s v="CENTRO DE TARJETAS"/>
    <s v="CIERRE DE ANIO FISCAL"/>
    <s v="CIERRE_DE_CTAS_NOMINALES"/>
    <n v="0"/>
    <n v="1066.3399999999999"/>
    <s v="NEGOCIOS"/>
    <x v="2"/>
  </r>
  <r>
    <n v="91"/>
    <d v="2018-11-29T00:00:00"/>
    <x v="5"/>
    <x v="5"/>
    <x v="0"/>
    <s v="EMISOR DE TARJETAS"/>
    <s v="ALIMENTACION DE EMPLEADOS CTA NUEVA"/>
    <s v="TRANSACCIONES DEL DIA 11/29/2018SPYRAL - GESTION ADMINISTRATIVA"/>
    <n v="6.28"/>
    <n v="0"/>
    <s v="NEGOCIOS"/>
    <x v="2"/>
  </r>
  <r>
    <n v="91"/>
    <d v="2018-12-31T00:00:00"/>
    <x v="1"/>
    <x v="1"/>
    <x v="0"/>
    <s v="EMISOR DE TARJETAS"/>
    <s v="CIERRE DE ANIO FISCAL"/>
    <s v="CIERRE_DE_CTAS_NOMINALES"/>
    <n v="0"/>
    <n v="6.28"/>
    <s v="NEGOCIOS"/>
    <x v="2"/>
  </r>
  <r>
    <n v="91"/>
    <d v="2018-09-06T00:00:00"/>
    <x v="4"/>
    <x v="4"/>
    <x v="0"/>
    <s v="CANALES ALTERNOS"/>
    <s v="ALIMENTACION DE EMPLEADOS CTA NUEVA"/>
    <s v="TRANSACCIONES DEL DIA 09/06/2018SPYRAL - GESTION ADMINISTRATIVA"/>
    <n v="62.42"/>
    <n v="0"/>
    <s v="NEGOCIOS"/>
    <x v="2"/>
  </r>
  <r>
    <n v="91"/>
    <d v="2018-10-15T00:00:00"/>
    <x v="0"/>
    <x v="0"/>
    <x v="0"/>
    <s v="CANALES ALTERNOS"/>
    <s v="ALIMENTACION DE EMPLEADOS CTA NUEVA"/>
    <s v="TRANSACCIONES DEL DIA 10/15/2018SPYRAL - GESTION ADMINISTRATIVA"/>
    <n v="44.68"/>
    <n v="0"/>
    <s v="NEGOCIOS"/>
    <x v="2"/>
  </r>
  <r>
    <n v="91"/>
    <d v="2018-10-18T00:00:00"/>
    <x v="0"/>
    <x v="0"/>
    <x v="0"/>
    <s v="CANALES ALTERNOS"/>
    <s v="ALIMENTACION DE EMPLEADOS CTA NUEVA"/>
    <s v="TRANSACCIONES DEL DIA 10/18/2018SPYRAL - GESTION ADMINISTRATIVA"/>
    <n v="36.479999999999997"/>
    <n v="0"/>
    <s v="NEGOCIOS"/>
    <x v="2"/>
  </r>
  <r>
    <n v="91"/>
    <d v="2018-10-26T00:00:00"/>
    <x v="0"/>
    <x v="0"/>
    <x v="0"/>
    <s v="CANALES ALTERNOS"/>
    <s v="ALIMENTACION DE EMPLEADOS CTA NUEVA"/>
    <s v="TRANSACCIONES DEL DIA 10/26/2018SPYRAL - GESTION ADMINISTRATIVA"/>
    <n v="13.7"/>
    <n v="0"/>
    <s v="NEGOCIOS"/>
    <x v="2"/>
  </r>
  <r>
    <n v="91"/>
    <d v="2018-11-06T00:00:00"/>
    <x v="5"/>
    <x v="5"/>
    <x v="0"/>
    <s v="CANALES ALTERNOS"/>
    <s v="ALIMENTACION DE EMPLEADOS CTA NUEVA"/>
    <s v="TRANSACCIONES DEL DIA 11/06/2018SPYRAL - GESTION ADMINISTRATIVA"/>
    <n v="153.04"/>
    <n v="0"/>
    <s v="NEGOCIOS"/>
    <x v="2"/>
  </r>
  <r>
    <n v="91"/>
    <d v="2018-12-07T00:00:00"/>
    <x v="1"/>
    <x v="1"/>
    <x v="0"/>
    <s v="CANALES ALTERNOS"/>
    <s v="ALIMENTACION DE EMPLEADOS CTA NUEVA"/>
    <s v="TRANSACCIONES DEL DIA 12/07/2018SPYRAL - GESTION ADMINISTRATIVA"/>
    <n v="60.95"/>
    <n v="0"/>
    <s v="NEGOCIOS"/>
    <x v="2"/>
  </r>
  <r>
    <n v="91"/>
    <d v="2018-12-14T00:00:00"/>
    <x v="1"/>
    <x v="1"/>
    <x v="0"/>
    <s v="CANALES ALTERNOS"/>
    <s v="ALIMENTACION DE EMPLEADOS CTA NUEVA"/>
    <s v="TRANSACCIONES DEL DIA 12/14/2018SPYRAL - GESTION ADMINISTRATIVA"/>
    <n v="79.8"/>
    <n v="0"/>
    <s v="NEGOCIOS"/>
    <x v="2"/>
  </r>
  <r>
    <n v="91"/>
    <d v="2018-12-27T00:00:00"/>
    <x v="1"/>
    <x v="1"/>
    <x v="0"/>
    <s v="CANALES ALTERNOS"/>
    <s v="ALIMENTACION DE EMPLEADOS CTA NUEVA"/>
    <s v="TRANSACCIONES DEL DIA 12/27/2018SPYRAL - GESTION ADMINISTRATIVA"/>
    <n v="52.55"/>
    <n v="0"/>
    <s v="NEGOCIOS"/>
    <x v="2"/>
  </r>
  <r>
    <n v="91"/>
    <d v="2018-12-31T00:00:00"/>
    <x v="1"/>
    <x v="1"/>
    <x v="0"/>
    <s v="CANALES ALTERNOS"/>
    <s v="CIERRE DE ANIO FISCAL"/>
    <s v="CIERRE_DE_CTAS_NOMINALES"/>
    <n v="0"/>
    <n v="880.25"/>
    <s v="NEGOCIOS"/>
    <x v="2"/>
  </r>
  <r>
    <n v="91"/>
    <d v="2018-06-06T00:00:00"/>
    <x v="2"/>
    <x v="2"/>
    <x v="0"/>
    <s v="TELEMERCADEO"/>
    <s v="ALIMENTACION DE EMPLEADOS CTA NUEVA"/>
    <s v="TRANSACCIONES DEL DIA 06/06/2018SPYRAL - GESTION ADMINISTRATIVA"/>
    <n v="33"/>
    <n v="0"/>
    <s v="NEGOCIOS"/>
    <x v="2"/>
  </r>
  <r>
    <n v="91"/>
    <d v="2018-06-11T00:00:00"/>
    <x v="2"/>
    <x v="2"/>
    <x v="0"/>
    <s v="TELEMERCADEO"/>
    <s v="NC ALIMENTACION DE EMPLEADOS NVA"/>
    <s v="TRANSACCIONES DEL DIA 06/11/2018SPYRAL - GESTION ADMINISTRATIVA"/>
    <n v="137.13999999999999"/>
    <n v="0"/>
    <s v="NEGOCIOS"/>
    <x v="2"/>
  </r>
  <r>
    <n v="91"/>
    <d v="2018-06-11T00:00:00"/>
    <x v="2"/>
    <x v="2"/>
    <x v="0"/>
    <s v="TELEMERCADEO"/>
    <s v="ALIMENTACION DE EMPLEADOS CTA NUEVA"/>
    <s v="TRANSACCIONES DEL DIA 06/11/2018SPYRAL - GESTION ADMINISTRATIVA"/>
    <n v="35.26"/>
    <n v="0"/>
    <s v="NEGOCIOS"/>
    <x v="2"/>
  </r>
  <r>
    <n v="91"/>
    <d v="2018-06-18T00:00:00"/>
    <x v="2"/>
    <x v="2"/>
    <x v="0"/>
    <s v="TELEMERCADEO"/>
    <s v="ALIMENTACION DE EMPLEADOS CTA NUEVA"/>
    <s v="TRANSACCIONES DEL DIA 06/18/2018SPYRAL - GESTION ADMINISTRATIVA"/>
    <n v="47.99"/>
    <n v="0"/>
    <s v="NEGOCIOS"/>
    <x v="2"/>
  </r>
  <r>
    <n v="91"/>
    <d v="2018-06-20T00:00:00"/>
    <x v="2"/>
    <x v="2"/>
    <x v="0"/>
    <s v="TELEMERCADEO"/>
    <s v="ALIMENTACION DE EMPLEADOS CTA NUEVA"/>
    <s v="TRANSACCIONES DEL DIA 06/20/2018SPYRAL - GESTION ADMINISTRATIVA"/>
    <n v="14.24"/>
    <n v="0"/>
    <s v="NEGOCIOS"/>
    <x v="2"/>
  </r>
  <r>
    <n v="91"/>
    <d v="2018-07-09T00:00:00"/>
    <x v="6"/>
    <x v="6"/>
    <x v="0"/>
    <s v="TELEMERCADEO"/>
    <s v="ALIMENTACION DE EMPLEADOS CTA NUEVA"/>
    <s v="TRANSACCIONES DEL DIA 07/09/2018SPYRAL - GESTION ADMINISTRATIVA"/>
    <n v="9.1300000000000008"/>
    <n v="0"/>
    <s v="NEGOCIOS"/>
    <x v="2"/>
  </r>
  <r>
    <n v="91"/>
    <d v="2018-07-12T00:00:00"/>
    <x v="6"/>
    <x v="6"/>
    <x v="0"/>
    <s v="TELEMERCADEO"/>
    <s v="NC ALIMENTACION DE EMPLEADOS NVA"/>
    <s v="TRANSACCIONES DEL DIA 07/12/2018SPYRAL - GESTION ADMINISTRATIVA"/>
    <n v="171.22"/>
    <n v="0"/>
    <s v="NEGOCIOS"/>
    <x v="2"/>
  </r>
  <r>
    <n v="91"/>
    <d v="2018-07-19T00:00:00"/>
    <x v="6"/>
    <x v="6"/>
    <x v="0"/>
    <s v="TELEMERCADEO"/>
    <s v="ALIMENTACION DE EMPLEADOS CTA NUEVA"/>
    <s v="TRANSACCIONES DEL DIA 07/19/2018SPYRAL - GESTION ADMINISTRATIVA"/>
    <n v="88.9"/>
    <n v="0"/>
    <s v="NEGOCIOS"/>
    <x v="2"/>
  </r>
  <r>
    <n v="91"/>
    <d v="2018-07-20T00:00:00"/>
    <x v="6"/>
    <x v="6"/>
    <x v="0"/>
    <s v="TELEMERCADEO"/>
    <s v="ALIMENTACION DE EMPLEADOS CTA NUEVA"/>
    <s v="TRANSACCIONES DEL DIA 07/20/2018SPYRAL - GESTION ADMINISTRATIVA"/>
    <n v="11.49"/>
    <n v="0"/>
    <s v="NEGOCIOS"/>
    <x v="2"/>
  </r>
  <r>
    <n v="91"/>
    <d v="2018-07-21T00:00:00"/>
    <x v="6"/>
    <x v="6"/>
    <x v="0"/>
    <s v="TELEMERCADEO"/>
    <s v="ALIMENTACION DE EMPLEADOS CTA NUEVA"/>
    <s v="TRANSACCIONES DEL DIA 07/21/2018SPYRAL - GESTION ADMINISTRATIVA"/>
    <n v="118.93"/>
    <n v="0"/>
    <s v="NEGOCIOS"/>
    <x v="2"/>
  </r>
  <r>
    <n v="91"/>
    <d v="2018-07-24T00:00:00"/>
    <x v="6"/>
    <x v="6"/>
    <x v="0"/>
    <s v="TELEMERCADEO"/>
    <s v="ALIMENTACION DE EMPLEADOS CTA NUEVA"/>
    <s v="TRANSACCIONES DEL DIA 07/24/2018SPYRAL - GESTION ADMINISTRATIVA"/>
    <n v="44.97"/>
    <n v="0"/>
    <s v="NEGOCIOS"/>
    <x v="2"/>
  </r>
  <r>
    <n v="91"/>
    <d v="2018-07-26T00:00:00"/>
    <x v="6"/>
    <x v="6"/>
    <x v="0"/>
    <s v="TELEMERCADEO"/>
    <s v="NC ALIMENTACION DE EMPLEADOS NVA"/>
    <s v="TRANSACCIONES DEL DIA 07/26/2018SPYRAL - GESTION ADMINISTRATIVA"/>
    <n v="555.41"/>
    <n v="0"/>
    <s v="NEGOCIOS"/>
    <x v="2"/>
  </r>
  <r>
    <n v="91"/>
    <d v="2018-07-27T00:00:00"/>
    <x v="6"/>
    <x v="6"/>
    <x v="0"/>
    <s v="TELEMERCADEO"/>
    <s v="ALIMENTACION DE EMPLEADOS CTA NUEVA"/>
    <s v="TRANSACCIONES DEL DIA 07/27/2018SPYRAL - GESTION ADMINISTRATIVA"/>
    <n v="186.25"/>
    <n v="0"/>
    <s v="NEGOCIOS"/>
    <x v="2"/>
  </r>
  <r>
    <n v="91"/>
    <d v="2018-08-03T00:00:00"/>
    <x v="3"/>
    <x v="3"/>
    <x v="0"/>
    <s v="TELEMERCADEO"/>
    <s v="NC ALIMENTACION DE EMPLEADOS NVA"/>
    <s v="TRANSACCIONES DEL DIA 08/03/2018SPYRAL - GESTION ADMINISTRATIVA"/>
    <n v="37.18"/>
    <n v="0"/>
    <s v="NEGOCIOS"/>
    <x v="2"/>
  </r>
  <r>
    <n v="91"/>
    <d v="2018-08-13T00:00:00"/>
    <x v="3"/>
    <x v="3"/>
    <x v="0"/>
    <s v="TELEMERCADEO"/>
    <s v="ALIMENTACION DE EMPLEADOS CTA NUEVA"/>
    <s v="TRANSACCIONES DEL DIA 08/13/2018SPYRAL - GESTION ADMINISTRATIVA"/>
    <n v="59.73"/>
    <n v="0"/>
    <s v="NEGOCIOS"/>
    <x v="2"/>
  </r>
  <r>
    <n v="91"/>
    <d v="2018-08-14T00:00:00"/>
    <x v="3"/>
    <x v="3"/>
    <x v="0"/>
    <s v="TELEMERCADEO"/>
    <s v="NC ALIMENTACION DE EMPLEADOS NVA"/>
    <s v="TRANSACCIONES DEL DIA 08/14/2018SPYRAL - GESTION ADMINISTRATIVA"/>
    <n v="319.06"/>
    <n v="0"/>
    <s v="NEGOCIOS"/>
    <x v="2"/>
  </r>
  <r>
    <n v="91"/>
    <d v="2018-08-23T00:00:00"/>
    <x v="3"/>
    <x v="3"/>
    <x v="0"/>
    <s v="TELEMERCADEO"/>
    <s v="ALIMENTACION DE EMPLEADOS CTA NUEVA"/>
    <s v="TRANSACCIONES DEL DIA 08/23/2018SPYRAL - GESTION ADMINISTRATIVA"/>
    <n v="125.2"/>
    <n v="0"/>
    <s v="NEGOCIOS"/>
    <x v="2"/>
  </r>
  <r>
    <n v="91"/>
    <d v="2018-08-30T00:00:00"/>
    <x v="3"/>
    <x v="3"/>
    <x v="0"/>
    <s v="TELEMERCADEO"/>
    <s v="ALIMENTACION DE EMPLEADOS CTA NUEVA"/>
    <s v="TRANSACCIONES DEL DIA 08/30/2018SPYRAL - GESTION ADMINISTRATIVA"/>
    <n v="23.89"/>
    <n v="0"/>
    <s v="NEGOCIOS"/>
    <x v="2"/>
  </r>
  <r>
    <n v="91"/>
    <d v="2018-08-31T00:00:00"/>
    <x v="3"/>
    <x v="3"/>
    <x v="0"/>
    <s v="TELEMERCADEO"/>
    <s v="ALIMENTACION DE EMPLEADOS CTA NUEVA"/>
    <s v="TRANSACCIONES DEL DIA 08/31/2018SPYRAL - GESTION ADMINISTRATIVA"/>
    <n v="18.079999999999998"/>
    <n v="0"/>
    <s v="NEGOCIOS"/>
    <x v="2"/>
  </r>
  <r>
    <n v="91"/>
    <d v="2018-09-06T00:00:00"/>
    <x v="4"/>
    <x v="4"/>
    <x v="0"/>
    <s v="TELEMERCADEO"/>
    <s v="NC ALIMENTACION DE EMPLEADOS NVA"/>
    <s v="TRANSACCIONES DEL DIA 09/06/2018SPYRAL - GESTION ADMINISTRATIVA"/>
    <n v="453.48"/>
    <n v="0"/>
    <s v="NEGOCIOS"/>
    <x v="2"/>
  </r>
  <r>
    <n v="91"/>
    <d v="2018-09-11T00:00:00"/>
    <x v="4"/>
    <x v="4"/>
    <x v="0"/>
    <s v="TELEMERCADEO"/>
    <s v="NC ALIMENTACION DE EMPLEADOS NVA"/>
    <s v="TRANSACCIONES DEL DIA 09/11/2018SPYRAL - GESTION ADMINISTRATIVA"/>
    <n v="17.2"/>
    <n v="0"/>
    <s v="NEGOCIOS"/>
    <x v="2"/>
  </r>
  <r>
    <n v="91"/>
    <d v="2018-09-18T00:00:00"/>
    <x v="4"/>
    <x v="4"/>
    <x v="0"/>
    <s v="TELEMERCADEO"/>
    <s v="ALIMENTACION DE EMPLEADOS CTA NUEVA"/>
    <s v="TRANSACCIONES DEL DIA 09/18/2018SPYRAL - GESTION ADMINISTRATIVA"/>
    <n v="41.74"/>
    <n v="0"/>
    <s v="NEGOCIOS"/>
    <x v="2"/>
  </r>
  <r>
    <n v="91"/>
    <d v="2018-10-01T00:00:00"/>
    <x v="0"/>
    <x v="0"/>
    <x v="0"/>
    <s v="TELEMERCADEO"/>
    <s v="ALIMENTACION DE EMPLEADOS CTA NUEVA"/>
    <s v="TRANSACCIONES DEL DIA 10/01/2018SPYRAL - GESTION ADMINISTRATIVA"/>
    <n v="29.42"/>
    <n v="0"/>
    <s v="NEGOCIOS"/>
    <x v="2"/>
  </r>
  <r>
    <n v="91"/>
    <d v="2018-10-05T00:00:00"/>
    <x v="0"/>
    <x v="0"/>
    <x v="0"/>
    <s v="TELEMERCADEO"/>
    <s v="ALIMENTACION DE EMPLEADOS CTA NUEVA"/>
    <s v="TRANSACCIONES DEL DIA 10/05/2018SPYRAL - GESTION ADMINISTRATIVA"/>
    <n v="70.75"/>
    <n v="0"/>
    <s v="NEGOCIOS"/>
    <x v="2"/>
  </r>
  <r>
    <n v="91"/>
    <d v="2018-10-17T00:00:00"/>
    <x v="0"/>
    <x v="0"/>
    <x v="0"/>
    <s v="TELEMERCADEO"/>
    <s v="ALIMENTACION DE EMPLEADOS CTA NUEVA"/>
    <s v="TRANSACCIONES DEL DIA 10/17/2018SPYRAL - GESTION ADMINISTRATIVA"/>
    <n v="33"/>
    <n v="0"/>
    <s v="NEGOCIOS"/>
    <x v="2"/>
  </r>
  <r>
    <n v="91"/>
    <d v="2018-11-06T00:00:00"/>
    <x v="5"/>
    <x v="5"/>
    <x v="0"/>
    <s v="TELEMERCADEO"/>
    <s v="NC ALIMENTACION DE EMPLEADOS NVA"/>
    <s v="TRANSACCIONES DEL DIA 11/06/2018SPYRAL - GESTION ADMINISTRATIVA"/>
    <n v="243.88"/>
    <n v="0"/>
    <s v="NEGOCIOS"/>
    <x v="2"/>
  </r>
  <r>
    <n v="91"/>
    <d v="2018-11-07T00:00:00"/>
    <x v="5"/>
    <x v="5"/>
    <x v="0"/>
    <s v="TELEMERCADEO"/>
    <s v="ALIMENTACION DE EMPLEADOS CTA NUEVA"/>
    <s v="TRANSACCIONES DEL DIA 11/07/2018SPYRAL - GESTION ADMINISTRATIVA"/>
    <n v="30.87"/>
    <n v="0"/>
    <s v="NEGOCIOS"/>
    <x v="2"/>
  </r>
  <r>
    <n v="91"/>
    <d v="2018-12-31T00:00:00"/>
    <x v="1"/>
    <x v="1"/>
    <x v="0"/>
    <s v="TELEMERCADEO"/>
    <s v="CIERRE DE ANIO FISCAL"/>
    <s v="CIERRE_DE_CTAS_NOMINALES"/>
    <n v="0"/>
    <n v="5347.21"/>
    <s v="NEGOCIOS"/>
    <x v="2"/>
  </r>
  <r>
    <n v="91"/>
    <d v="2018-06-01T00:00:00"/>
    <x v="2"/>
    <x v="2"/>
    <x v="0"/>
    <s v="BANCA EN LINEA"/>
    <s v="ALIMENTACION DE EMPLEADOS CTA NUEVA"/>
    <s v="TRANSACCIONES DEL DIA 06/01/2018SPYRAL - GESTION ADMINISTRATIVA"/>
    <n v="118.18"/>
    <n v="0"/>
    <s v="NEGOCIOS"/>
    <x v="2"/>
  </r>
  <r>
    <n v="91"/>
    <d v="2018-08-14T00:00:00"/>
    <x v="3"/>
    <x v="3"/>
    <x v="0"/>
    <s v="BANCA EN LINEA"/>
    <s v="ALIMENTACION DE EMPLEADOS CTA NUEVA"/>
    <s v="TRANSACCIONES DEL DIA 08/14/2018SPYRAL - GESTION ADMINISTRATIVA"/>
    <n v="152"/>
    <n v="0"/>
    <s v="NEGOCIOS"/>
    <x v="2"/>
  </r>
  <r>
    <n v="91"/>
    <d v="2018-09-14T00:00:00"/>
    <x v="4"/>
    <x v="4"/>
    <x v="0"/>
    <s v="BANCA EN LINEA"/>
    <s v="NC ALIMENTACION DE EMPLEADOS NVA"/>
    <s v="TRANSACCIONES DEL DIA 09/14/2018SPYRAL - GESTION ADMINISTRATIVA"/>
    <n v="226.21"/>
    <n v="0"/>
    <s v="NEGOCIOS"/>
    <x v="2"/>
  </r>
  <r>
    <n v="91"/>
    <d v="2018-10-05T00:00:00"/>
    <x v="0"/>
    <x v="0"/>
    <x v="0"/>
    <s v="BANCA EN LINEA"/>
    <s v="ALIMENTACION DE EMPLEADOS CTA NUEVA"/>
    <s v="TRANSACCIONES DEL DIA 10/05/2018SPYRAL - GESTION ADMINISTRATIVA"/>
    <n v="172"/>
    <n v="0"/>
    <s v="NEGOCIOS"/>
    <x v="2"/>
  </r>
  <r>
    <n v="91"/>
    <d v="2018-10-16T00:00:00"/>
    <x v="0"/>
    <x v="0"/>
    <x v="0"/>
    <s v="BANCA EN LINEA"/>
    <s v="NC ALIMENTACION DE EMPLEADOS NVA"/>
    <s v="TRANSACCIONES DEL DIA 10/16/2018SPYRAL - GESTION ADMINISTRATIVA"/>
    <n v="228.5"/>
    <n v="0"/>
    <s v="NEGOCIOS"/>
    <x v="2"/>
  </r>
  <r>
    <n v="91"/>
    <d v="2018-11-15T00:00:00"/>
    <x v="5"/>
    <x v="5"/>
    <x v="0"/>
    <s v="BANCA EN LINEA"/>
    <s v="NC ALIMENTACION DE EMPLEADOS NVA"/>
    <s v="TRANSACCIONES DEL DIA 11/15/2018SPYRAL - GESTION ADMINISTRATIVA"/>
    <n v="246.37"/>
    <n v="0"/>
    <s v="NEGOCIOS"/>
    <x v="2"/>
  </r>
  <r>
    <n v="91"/>
    <d v="2018-12-31T00:00:00"/>
    <x v="1"/>
    <x v="1"/>
    <x v="0"/>
    <s v="BANCA EN LINEA"/>
    <s v="CIERRE DE ANIO FISCAL"/>
    <s v="CIERRE_DE_CTAS_NOMINALES"/>
    <n v="0"/>
    <n v="1293.83"/>
    <s v="NEGOCIOS"/>
    <x v="2"/>
  </r>
  <r>
    <n v="91"/>
    <d v="2018-06-08T00:00:00"/>
    <x v="2"/>
    <x v="2"/>
    <x v="0"/>
    <s v="ATM"/>
    <s v="ALIMENTACION DE EMPLEADOS CTA NUEVA"/>
    <s v="TRANSACCIONES DEL DIA 06/08/2018SPYRAL - GESTION ADMINISTRATIVA"/>
    <n v="51.97"/>
    <n v="0"/>
    <s v="NEGOCIOS"/>
    <x v="2"/>
  </r>
  <r>
    <n v="91"/>
    <d v="2018-07-03T00:00:00"/>
    <x v="6"/>
    <x v="6"/>
    <x v="0"/>
    <s v="ATM"/>
    <s v="ALIMENTACION DE EMPLEADOS CTA NUEVA"/>
    <s v="TRANSACCIONES DEL DIA 07/03/2018SPYRAL - GESTION ADMINISTRATIVA"/>
    <n v="51.31"/>
    <n v="0"/>
    <s v="NEGOCIOS"/>
    <x v="2"/>
  </r>
  <r>
    <n v="91"/>
    <d v="2018-07-16T00:00:00"/>
    <x v="6"/>
    <x v="6"/>
    <x v="0"/>
    <s v="ATM"/>
    <s v="ALIMENTACION DE EMPLEADOS CTA NUEVA"/>
    <s v="TRANSACCIONES DEL DIA 07/16/2018SPYRAL - GESTION ADMINISTRATIVA"/>
    <n v="64.900000000000006"/>
    <n v="0"/>
    <s v="NEGOCIOS"/>
    <x v="2"/>
  </r>
  <r>
    <n v="91"/>
    <d v="2018-09-12T00:00:00"/>
    <x v="4"/>
    <x v="4"/>
    <x v="0"/>
    <s v="ATM"/>
    <s v="ALIMENTACION DE EMPLEADOS CTA NUEVA"/>
    <s v="TRANSACCIONES DEL DIA 09/12/2018SPYRAL - GESTION ADMINISTRATIVA"/>
    <n v="59.97"/>
    <n v="0"/>
    <s v="NEGOCIOS"/>
    <x v="2"/>
  </r>
  <r>
    <n v="91"/>
    <d v="2018-10-26T00:00:00"/>
    <x v="0"/>
    <x v="0"/>
    <x v="0"/>
    <s v="ATM"/>
    <s v="ALIMENTACION DE EMPLEADOS CTA NUEVA"/>
    <s v="TRANSACCIONES DEL DIA 10/26/2018SPYRAL - GESTION ADMINISTRATIVA"/>
    <n v="10"/>
    <n v="0"/>
    <s v="NEGOCIOS"/>
    <x v="2"/>
  </r>
  <r>
    <n v="91"/>
    <d v="2018-11-01T00:00:00"/>
    <x v="5"/>
    <x v="5"/>
    <x v="0"/>
    <s v="ATM"/>
    <s v="ALIMENTACION DE EMPLEADOS CTA NUEVA"/>
    <s v="TRANSACCIONES DEL DIA 11/01/2018SPYRAL - GESTION ADMINISTRATIVA"/>
    <n v="116.49"/>
    <n v="0"/>
    <s v="NEGOCIOS"/>
    <x v="2"/>
  </r>
  <r>
    <n v="91"/>
    <d v="2018-11-23T00:00:00"/>
    <x v="5"/>
    <x v="5"/>
    <x v="0"/>
    <s v="ATM"/>
    <s v="ALIMENTACION DE EMPLEADOS CTA NUEVA"/>
    <s v="TRANSACCIONES DEL DIA 11/23/2018SPYRAL - GESTION ADMINISTRATIVA"/>
    <n v="10"/>
    <n v="0"/>
    <s v="NEGOCIOS"/>
    <x v="2"/>
  </r>
  <r>
    <n v="91"/>
    <d v="2018-11-27T00:00:00"/>
    <x v="5"/>
    <x v="5"/>
    <x v="0"/>
    <s v="ATM"/>
    <s v="ALIMENTACION DE EMPLEADOS CTA NUEVA"/>
    <s v="TRANSACCIONES DEL DIA 11/27/2018SPYRAL - GESTION ADMINISTRATIVA"/>
    <n v="38.950000000000003"/>
    <n v="0"/>
    <s v="NEGOCIOS"/>
    <x v="2"/>
  </r>
  <r>
    <n v="91"/>
    <d v="2018-12-13T00:00:00"/>
    <x v="1"/>
    <x v="1"/>
    <x v="0"/>
    <s v="ATM"/>
    <s v="ALIMENTACION DE EMPLEADOS CTA NUEVA"/>
    <s v="TRANSACCIONES DEL DIA 12/13/2018SPYRAL - GESTION ADMINISTRATIVA"/>
    <n v="39.340000000000003"/>
    <n v="0"/>
    <s v="NEGOCIOS"/>
    <x v="2"/>
  </r>
  <r>
    <n v="91"/>
    <d v="2018-12-20T00:00:00"/>
    <x v="1"/>
    <x v="1"/>
    <x v="0"/>
    <s v="ATM"/>
    <s v="ALIMENTACION DE EMPLEADOS CTA NUEVA"/>
    <s v="TRANSACCIONES DEL DIA 12/20/2018SPYRAL - GESTION ADMINISTRATIVA"/>
    <n v="10"/>
    <n v="0"/>
    <s v="NEGOCIOS"/>
    <x v="2"/>
  </r>
  <r>
    <n v="91"/>
    <d v="2018-12-31T00:00:00"/>
    <x v="1"/>
    <x v="1"/>
    <x v="0"/>
    <s v="ATM"/>
    <s v="CIERRE DE ANIO FISCAL"/>
    <s v="CIERRE_DE_CTAS_NOMINALES"/>
    <n v="0"/>
    <n v="640.76"/>
    <s v="NEGOCIOS"/>
    <x v="2"/>
  </r>
  <r>
    <n v="91"/>
    <d v="2018-06-01T00:00:00"/>
    <x v="2"/>
    <x v="2"/>
    <x v="0"/>
    <s v="ATENCION A CLIENTES"/>
    <s v="NC ALIMENTACION DE EMPLEADOS NVA"/>
    <s v="TRANSACCIONES DEL DIA 06/01/2018SPYRAL - GESTION ADMINISTRATIVA"/>
    <n v="28.2"/>
    <n v="0"/>
    <s v="NEGOCIOS"/>
    <x v="2"/>
  </r>
  <r>
    <n v="91"/>
    <d v="2018-06-01T00:00:00"/>
    <x v="2"/>
    <x v="2"/>
    <x v="0"/>
    <s v="ATENCION A CLIENTES"/>
    <s v="ALIMENTACION DE EMPLEADOS CTA NUEVA"/>
    <s v="TRANSACCIONES DEL DIA 06/01/2018SPYRAL - GESTION ADMINISTRATIVA"/>
    <n v="22.59"/>
    <n v="0"/>
    <s v="NEGOCIOS"/>
    <x v="2"/>
  </r>
  <r>
    <n v="91"/>
    <d v="2018-06-08T00:00:00"/>
    <x v="2"/>
    <x v="2"/>
    <x v="0"/>
    <s v="ATENCION A CLIENTES"/>
    <s v="ALIMENTACION DE EMPLEADOS CTA NUEVA"/>
    <s v="TRANSACCIONES DEL DIA 06/08/2018SPYRAL - GESTION ADMINISTRATIVA"/>
    <n v="22.45"/>
    <n v="0"/>
    <s v="NEGOCIOS"/>
    <x v="2"/>
  </r>
  <r>
    <n v="91"/>
    <d v="2018-06-29T00:00:00"/>
    <x v="2"/>
    <x v="2"/>
    <x v="0"/>
    <s v="ATENCION A CLIENTES"/>
    <s v="ALIMENTACION DE EMPLEADOS CTA NUEVA"/>
    <s v="TRANSACCIONES DEL DIA 06/29/2018SPYRAL - GESTION ADMINISTRATIVA"/>
    <n v="86.21"/>
    <n v="0"/>
    <s v="NEGOCIOS"/>
    <x v="2"/>
  </r>
  <r>
    <n v="91"/>
    <d v="2018-07-02T00:00:00"/>
    <x v="6"/>
    <x v="6"/>
    <x v="0"/>
    <s v="ATENCION A CLIENTES"/>
    <s v="NC ALIMENTACION DE EMPLEADOS NVA"/>
    <s v="TRANSACCIONES DEL DIA 07/02/2018SPYRAL - GESTION ADMINISTRATIVA"/>
    <n v="42.98"/>
    <n v="0"/>
    <s v="NEGOCIOS"/>
    <x v="2"/>
  </r>
  <r>
    <n v="91"/>
    <d v="2018-07-21T00:00:00"/>
    <x v="6"/>
    <x v="6"/>
    <x v="0"/>
    <s v="ATENCION A CLIENTES"/>
    <s v="ALIMENTACION DE EMPLEADOS CTA NUEVA"/>
    <s v="TRANSACCIONES DEL DIA 07/21/2018SPYRAL - GESTION ADMINISTRATIVA"/>
    <n v="24.65"/>
    <n v="0"/>
    <s v="NEGOCIOS"/>
    <x v="2"/>
  </r>
  <r>
    <n v="91"/>
    <d v="2018-07-26T00:00:00"/>
    <x v="6"/>
    <x v="6"/>
    <x v="0"/>
    <s v="ATENCION A CLIENTES"/>
    <s v="NC ALIMENTACION DE EMPLEADOS NVA"/>
    <s v="TRANSACCIONES DEL DIA 07/26/2018SPYRAL - GESTION ADMINISTRATIVA"/>
    <n v="243.82"/>
    <n v="0"/>
    <s v="NEGOCIOS"/>
    <x v="2"/>
  </r>
  <r>
    <n v="91"/>
    <d v="2018-08-07T00:00:00"/>
    <x v="3"/>
    <x v="3"/>
    <x v="0"/>
    <s v="ATENCION A CLIENTES"/>
    <s v="ALIMENTACION DE EMPLEADOS CTA NUEVA"/>
    <s v="TRANSACCIONES DEL DIA 08/07/2018SPYRAL - GESTION ADMINISTRATIVA"/>
    <n v="14.39"/>
    <n v="0"/>
    <s v="NEGOCIOS"/>
    <x v="2"/>
  </r>
  <r>
    <n v="91"/>
    <d v="2018-08-15T00:00:00"/>
    <x v="3"/>
    <x v="3"/>
    <x v="0"/>
    <s v="ATENCION A CLIENTES"/>
    <s v="ALIMENTACION DE EMPLEADOS CTA NUEVA"/>
    <s v="TRANSACCIONES DEL DIA 08/15/2018SPYRAL - GESTION ADMINISTRATIVA"/>
    <n v="46.03"/>
    <n v="0"/>
    <s v="NEGOCIOS"/>
    <x v="2"/>
  </r>
  <r>
    <n v="91"/>
    <d v="2018-08-23T00:00:00"/>
    <x v="3"/>
    <x v="3"/>
    <x v="0"/>
    <s v="ATENCION A CLIENTES"/>
    <s v="ALIMENTACION DE EMPLEADOS CTA NUEVA"/>
    <s v="TRANSACCIONES DEL DIA 08/23/2018SPYRAL - GESTION ADMINISTRATIVA"/>
    <n v="68.2"/>
    <n v="0"/>
    <s v="NEGOCIOS"/>
    <x v="2"/>
  </r>
  <r>
    <n v="91"/>
    <d v="2018-08-27T00:00:00"/>
    <x v="3"/>
    <x v="3"/>
    <x v="0"/>
    <s v="ATENCION A CLIENTES"/>
    <s v="ALIMENTACION DE EMPLEADOS CTA NUEVA"/>
    <s v="TRANSACCIONES DEL DIA 08/27/2018SPYRAL - GESTION ADMINISTRATIVA"/>
    <n v="35.909999999999997"/>
    <n v="0"/>
    <s v="NEGOCIOS"/>
    <x v="2"/>
  </r>
  <r>
    <n v="91"/>
    <d v="2018-08-28T00:00:00"/>
    <x v="3"/>
    <x v="3"/>
    <x v="0"/>
    <s v="ATENCION A CLIENTES"/>
    <s v="ALIMENTACION DE EMPLEADOS CTA NUEVA"/>
    <s v="TRANSACCIONES DEL DIA 08/28/2018SPYRAL - GESTION ADMINISTRATIVA"/>
    <n v="68.2"/>
    <n v="0"/>
    <s v="NEGOCIOS"/>
    <x v="2"/>
  </r>
  <r>
    <n v="91"/>
    <d v="2018-09-03T00:00:00"/>
    <x v="4"/>
    <x v="4"/>
    <x v="0"/>
    <s v="ATENCION A CLIENTES"/>
    <s v="NC ALIMENTACION DE EMPLEADOS NVA"/>
    <s v="TRANSACCIONES DEL DIA 09/03/2018SPYRAL - GESTION ADMINISTRATIVA"/>
    <n v="204.83"/>
    <n v="0"/>
    <s v="NEGOCIOS"/>
    <x v="2"/>
  </r>
  <r>
    <n v="91"/>
    <d v="2018-09-08T00:00:00"/>
    <x v="4"/>
    <x v="4"/>
    <x v="0"/>
    <s v="ATENCION A CLIENTES"/>
    <s v="ALIMENTACION DE EMPLEADOS CTA NUEVA"/>
    <s v="TRANSACCIONES DEL DIA 09/08/2018SPYRAL - GESTION ADMINISTRATIVA"/>
    <n v="32.729999999999997"/>
    <n v="0"/>
    <s v="NEGOCIOS"/>
    <x v="2"/>
  </r>
  <r>
    <n v="91"/>
    <d v="2018-10-16T00:00:00"/>
    <x v="0"/>
    <x v="0"/>
    <x v="0"/>
    <s v="ATENCION A CLIENTES"/>
    <s v="NC ALIMENTACION DE EMPLEADOS NVA"/>
    <s v="TRANSACCIONES DEL DIA 10/16/2018SPYRAL - GESTION ADMINISTRATIVA"/>
    <n v="133.57"/>
    <n v="0"/>
    <s v="NEGOCIOS"/>
    <x v="2"/>
  </r>
  <r>
    <n v="91"/>
    <d v="2018-10-24T00:00:00"/>
    <x v="0"/>
    <x v="0"/>
    <x v="0"/>
    <s v="ATENCION A CLIENTES"/>
    <s v="ALIMENTACION DE EMPLEADOS CTA NUEVA"/>
    <s v="TRANSACCIONES DEL DIA 10/24/2018SPYRAL - GESTION ADMINISTRATIVA"/>
    <n v="312.82"/>
    <n v="0"/>
    <s v="NEGOCIOS"/>
    <x v="2"/>
  </r>
  <r>
    <n v="91"/>
    <d v="2018-11-12T00:00:00"/>
    <x v="5"/>
    <x v="5"/>
    <x v="0"/>
    <s v="ATENCION A CLIENTES"/>
    <s v="ALIMENTACION DE EMPLEADOS CTA NUEVA"/>
    <s v="TRANSACCIONES DEL DIA 11/12/2018SPYRAL - GESTION ADMINISTRATIVA"/>
    <n v="77.7"/>
    <n v="0"/>
    <s v="NEGOCIOS"/>
    <x v="2"/>
  </r>
  <r>
    <n v="91"/>
    <d v="2018-11-13T00:00:00"/>
    <x v="5"/>
    <x v="5"/>
    <x v="0"/>
    <s v="ATENCION A CLIENTES"/>
    <s v="NC ALIMENTACION DE EMPLEADOS NVA"/>
    <s v="TRANSACCIONES DEL DIA 11/13/2018SPYRAL - GESTION ADMINISTRATIVA"/>
    <n v="19"/>
    <n v="0"/>
    <s v="NEGOCIOS"/>
    <x v="2"/>
  </r>
  <r>
    <n v="91"/>
    <d v="2018-11-30T00:00:00"/>
    <x v="5"/>
    <x v="5"/>
    <x v="0"/>
    <s v="ATENCION A CLIENTES"/>
    <s v="NC ALIMENTACION DE EMPLEADOS NVA"/>
    <s v="TRANSACCIONES DEL DIA 11/30/2018SPYRAL - GESTION ADMINISTRATIVA"/>
    <n v="214.34"/>
    <n v="0"/>
    <s v="NEGOCIOS"/>
    <x v="2"/>
  </r>
  <r>
    <n v="91"/>
    <d v="2018-11-30T00:00:00"/>
    <x v="5"/>
    <x v="5"/>
    <x v="0"/>
    <s v="ATENCION A CLIENTES"/>
    <s v="ALIMENTACION DE EMPLEADOS CTA NUEVA"/>
    <s v="TRANSACCIONES DEL DIA 11/30/2018SPYRAL - GESTION ADMINISTRATIVA"/>
    <n v="130.66"/>
    <n v="0"/>
    <s v="NEGOCIOS"/>
    <x v="2"/>
  </r>
  <r>
    <n v="91"/>
    <d v="2018-12-04T00:00:00"/>
    <x v="1"/>
    <x v="1"/>
    <x v="0"/>
    <s v="ATENCION A CLIENTES"/>
    <s v="NC ALIMENTACION DE EMPLEADOS NVA"/>
    <s v="TRANSACCIONES DEL DIA 12/04/2018SPYRAL - GESTION ADMINISTRATIVA"/>
    <n v="78.25"/>
    <n v="0"/>
    <s v="NEGOCIOS"/>
    <x v="2"/>
  </r>
  <r>
    <n v="91"/>
    <d v="2018-12-18T00:00:00"/>
    <x v="1"/>
    <x v="1"/>
    <x v="0"/>
    <s v="ATENCION A CLIENTES"/>
    <s v="ALIMENTACION DE EMPLEADOS CTA NUEVA"/>
    <s v="TRANSACCIONES DEL DIA 12/18/2018SPYRAL - GESTION ADMINISTRATIVA"/>
    <n v="78.650000000000006"/>
    <n v="0"/>
    <s v="NEGOCIOS"/>
    <x v="2"/>
  </r>
  <r>
    <n v="91"/>
    <d v="2018-12-26T00:00:00"/>
    <x v="1"/>
    <x v="1"/>
    <x v="0"/>
    <s v="ATENCION A CLIENTES"/>
    <s v="ALIMENTACION DE EMPLEADOS CTA NUEVA"/>
    <s v="TRANSACCIONES DEL DIA 12/26/2018SPYRAL - GESTION ADMINISTRATIVA"/>
    <n v="111.91"/>
    <n v="0"/>
    <s v="NEGOCIOS"/>
    <x v="2"/>
  </r>
  <r>
    <n v="91"/>
    <d v="2018-12-27T00:00:00"/>
    <x v="1"/>
    <x v="1"/>
    <x v="0"/>
    <s v="ATENCION A CLIENTES"/>
    <s v="ALIMENTACION DE EMPLEADOS CTA NUEVA"/>
    <s v="TRANSACCIONES DEL DIA 12/27/2018SPYRAL - GESTION ADMINISTRATIVA"/>
    <n v="26.65"/>
    <n v="0"/>
    <s v="NEGOCIOS"/>
    <x v="2"/>
  </r>
  <r>
    <n v="91"/>
    <d v="2018-12-31T00:00:00"/>
    <x v="1"/>
    <x v="1"/>
    <x v="0"/>
    <s v="ATENCION A CLIENTES"/>
    <s v="CIERRE DE ANIO FISCAL"/>
    <s v="CIERRE_DE_CTAS_NOMINALES"/>
    <n v="0"/>
    <n v="3039.58"/>
    <s v="NEGOCIOS"/>
    <x v="2"/>
  </r>
  <r>
    <n v="91"/>
    <d v="2018-12-31T00:00:00"/>
    <x v="1"/>
    <x v="1"/>
    <x v="0"/>
    <s v="GESTION Y CONTROL CANALES ALTERNOS"/>
    <s v="CIERRE DE ANIO FISCAL"/>
    <s v="CIERRE_DE_CTAS_NOMINALES"/>
    <n v="0"/>
    <n v="130.24"/>
    <s v="NEGOCIOS"/>
    <x v="2"/>
  </r>
  <r>
    <n v="91"/>
    <d v="2018-06-13T00:00:00"/>
    <x v="2"/>
    <x v="2"/>
    <x v="0"/>
    <s v="DESARROLLO DE PRODUCTOS"/>
    <s v="ALIMENTACION DE EMPLEADOS CTA NUEVA"/>
    <s v="TRANSACCIONES DEL DIA 06/13/2018SPYRAL - GESTION ADMINISTRATIVA"/>
    <n v="34.24"/>
    <n v="0"/>
    <s v="NEGOCIOS"/>
    <x v="2"/>
  </r>
  <r>
    <n v="91"/>
    <d v="2018-07-24T00:00:00"/>
    <x v="6"/>
    <x v="6"/>
    <x v="0"/>
    <s v="DESARROLLO DE PRODUCTOS"/>
    <s v="ALIMENTACION DE EMPLEADOS CTA NUEVA"/>
    <s v="TRANSACCIONES DEL DIA 07/24/2018SPYRAL - GESTION ADMINISTRATIVA"/>
    <n v="173.26"/>
    <n v="0"/>
    <s v="NEGOCIOS"/>
    <x v="2"/>
  </r>
  <r>
    <n v="91"/>
    <d v="2018-09-25T00:00:00"/>
    <x v="4"/>
    <x v="4"/>
    <x v="0"/>
    <s v="DESARROLLO DE PRODUCTOS"/>
    <s v="ALIMENTACION DE EMPLEADOS CTA NUEVA"/>
    <s v="TRANSACCIONES DEL DIA 09/25/2018SPYRAL - GESTION ADMINISTRATIVA"/>
    <n v="376.16"/>
    <n v="0"/>
    <s v="NEGOCIOS"/>
    <x v="2"/>
  </r>
  <r>
    <n v="91"/>
    <d v="2018-10-02T00:00:00"/>
    <x v="0"/>
    <x v="0"/>
    <x v="0"/>
    <s v="DESARROLLO DE PRODUCTOS"/>
    <s v="ALIMENTACION DE EMPLEADOS CTA NUEVA"/>
    <s v="TRANSACCIONES DEL DIA 10/02/2018SPYRAL - GESTION ADMINISTRATIVA"/>
    <n v="61.38"/>
    <n v="0"/>
    <s v="NEGOCIOS"/>
    <x v="2"/>
  </r>
  <r>
    <n v="91"/>
    <d v="2018-11-06T00:00:00"/>
    <x v="5"/>
    <x v="5"/>
    <x v="0"/>
    <s v="DESARROLLO DE PRODUCTOS"/>
    <s v="ALIMENTACION DE EMPLEADOS CTA NUEVA"/>
    <s v="TRANSACCIONES DEL DIA 11/06/2018SPYRAL - GESTION ADMINISTRATIVA"/>
    <n v="1252.82"/>
    <n v="0"/>
    <s v="NEGOCIOS"/>
    <x v="2"/>
  </r>
  <r>
    <n v="91"/>
    <d v="2018-11-08T00:00:00"/>
    <x v="5"/>
    <x v="5"/>
    <x v="0"/>
    <s v="DESARROLLO DE PRODUCTOS"/>
    <s v="ALIMENTACION DE EMPLEADOS CTA NUEVA"/>
    <s v="TRANSACCIONES DEL DIA 11/08/2018SPYRAL - GESTION ADMINISTRATIVA"/>
    <n v="341.81"/>
    <n v="0"/>
    <s v="NEGOCIOS"/>
    <x v="2"/>
  </r>
  <r>
    <n v="91"/>
    <d v="2018-12-26T00:00:00"/>
    <x v="1"/>
    <x v="1"/>
    <x v="0"/>
    <s v="DESARROLLO DE PRODUCTOS"/>
    <s v="ALIMENTACION DE EMPLEADOS CTA NUEVA"/>
    <s v="TRANSACCIONES DEL DIA 12/26/2018SPYRAL - GESTION ADMINISTRATIVA"/>
    <n v="331"/>
    <n v="0"/>
    <s v="NEGOCIOS"/>
    <x v="2"/>
  </r>
  <r>
    <n v="91"/>
    <d v="2018-12-31T00:00:00"/>
    <x v="1"/>
    <x v="1"/>
    <x v="0"/>
    <s v="DESARROLLO DE PRODUCTOS"/>
    <s v="CIERRE DE ANIO FISCAL"/>
    <s v="CIERRE_DE_CTAS_NOMINALES"/>
    <n v="0"/>
    <n v="2868.43"/>
    <s v="NEGOCIOS"/>
    <x v="2"/>
  </r>
  <r>
    <n v="91"/>
    <d v="2018-11-16T00:00:00"/>
    <x v="5"/>
    <x v="5"/>
    <x v="0"/>
    <s v="VENTAS CONSUMO"/>
    <s v="NC ALIMENTACION DE EMPLEADOS NVA"/>
    <s v="TRANSACCIONES DEL DIA 11/16/2018SPYRAL - GESTION ADMINISTRATIVA"/>
    <n v="94.88"/>
    <n v="0"/>
    <s v="NEGOCIOS"/>
    <x v="2"/>
  </r>
  <r>
    <n v="91"/>
    <d v="2018-12-14T00:00:00"/>
    <x v="1"/>
    <x v="1"/>
    <x v="0"/>
    <s v="VENTAS CONSUMO"/>
    <s v="NC ALIMENTACION DE EMPLEADOS NVA"/>
    <s v="TRANSACCIONES DEL DIA 12/14/2018SPYRAL - GESTION ADMINISTRATIVA"/>
    <n v="83.97"/>
    <n v="0"/>
    <s v="NEGOCIOS"/>
    <x v="2"/>
  </r>
  <r>
    <n v="91"/>
    <d v="2018-12-31T00:00:00"/>
    <x v="1"/>
    <x v="1"/>
    <x v="0"/>
    <s v="VENTAS CONSUMO"/>
    <s v="CIERRE DE ANIO FISCAL"/>
    <s v="CIERRE_DE_CTAS_NOMINALES"/>
    <n v="0"/>
    <n v="178.85"/>
    <s v="NEGOCIOS"/>
    <x v="2"/>
  </r>
  <r>
    <n v="91"/>
    <d v="2018-06-11T00:00:00"/>
    <x v="2"/>
    <x v="2"/>
    <x v="0"/>
    <s v="FUERZAS DE VENTAS PANAMA"/>
    <s v="ALIMENTACION DE EMPLEADOS CTA NUEVA"/>
    <s v="TRANSACCIONES DEL DIA 06/11/2018SPYRAL - GESTION ADMINISTRATIVA"/>
    <n v="10"/>
    <n v="0"/>
    <s v="NEGOCIOS"/>
    <x v="2"/>
  </r>
  <r>
    <n v="91"/>
    <d v="2018-06-20T00:00:00"/>
    <x v="2"/>
    <x v="2"/>
    <x v="0"/>
    <s v="FUERZAS DE VENTAS PANAMA"/>
    <s v="NC ALIMENTACION DE EMPLEADOS NVA"/>
    <s v="TRANSACCIONES DEL DIA 06/20/2018SPYRAL - GESTION ADMINISTRATIVA"/>
    <n v="38.5"/>
    <n v="0"/>
    <s v="NEGOCIOS"/>
    <x v="2"/>
  </r>
  <r>
    <n v="91"/>
    <d v="2018-07-14T00:00:00"/>
    <x v="6"/>
    <x v="6"/>
    <x v="0"/>
    <s v="FUERZAS DE VENTAS PANAMA"/>
    <s v="ALIMENTACION DE EMPLEADOS CTA NUEVA"/>
    <s v="TRANSACCIONES DEL DIA 07/14/2018SPYRAL - GESTION ADMINISTRATIVA"/>
    <n v="20"/>
    <n v="0"/>
    <s v="NEGOCIOS"/>
    <x v="2"/>
  </r>
  <r>
    <n v="91"/>
    <d v="2018-08-01T00:00:00"/>
    <x v="3"/>
    <x v="3"/>
    <x v="0"/>
    <s v="FUERZAS DE VENTAS PANAMA"/>
    <s v="ALIMENTACION DE EMPLEADOS CTA NUEVA"/>
    <s v="TRANSACCIONES DEL DIA 08/01/2018SPYRAL - GESTION ADMINISTRATIVA"/>
    <n v="5"/>
    <n v="0"/>
    <s v="NEGOCIOS"/>
    <x v="2"/>
  </r>
  <r>
    <n v="91"/>
    <d v="2018-08-02T00:00:00"/>
    <x v="3"/>
    <x v="3"/>
    <x v="0"/>
    <s v="FUERZAS DE VENTAS PANAMA"/>
    <s v="ALIMENTACION DE EMPLEADOS CTA NUEVA"/>
    <s v="TRANSACCIONES DEL DIA 08/02/2018SPYRAL - GESTION ADMINISTRATIVA"/>
    <n v="10"/>
    <n v="0"/>
    <s v="NEGOCIOS"/>
    <x v="2"/>
  </r>
  <r>
    <n v="91"/>
    <d v="2018-08-03T00:00:00"/>
    <x v="3"/>
    <x v="3"/>
    <x v="0"/>
    <s v="FUERZAS DE VENTAS PANAMA"/>
    <s v="NC ALIMENTACION DE EMPLEADOS NVA"/>
    <s v="TRANSACCIONES DEL DIA 08/03/2018SPYRAL - GESTION ADMINISTRATIVA"/>
    <n v="23.94"/>
    <n v="0"/>
    <s v="NEGOCIOS"/>
    <x v="2"/>
  </r>
  <r>
    <n v="91"/>
    <d v="2018-08-09T00:00:00"/>
    <x v="3"/>
    <x v="3"/>
    <x v="0"/>
    <s v="FUERZAS DE VENTAS PANAMA"/>
    <s v="ALIMENTACION DE EMPLEADOS CTA NUEVA"/>
    <s v="TRANSACCIONES DEL DIA 08/09/2018SPYRAL - GESTION ADMINISTRATIVA"/>
    <n v="20"/>
    <n v="0"/>
    <s v="NEGOCIOS"/>
    <x v="2"/>
  </r>
  <r>
    <n v="91"/>
    <d v="2018-08-21T00:00:00"/>
    <x v="3"/>
    <x v="3"/>
    <x v="0"/>
    <s v="FUERZAS DE VENTAS PANAMA"/>
    <s v="ALIMENTACION DE EMPLEADOS CTA NUEVA"/>
    <s v="TRANSACCIONES DEL DIA 08/21/2018SPYRAL - GESTION ADMINISTRATIVA"/>
    <n v="20"/>
    <n v="0"/>
    <s v="NEGOCIOS"/>
    <x v="2"/>
  </r>
  <r>
    <n v="91"/>
    <d v="2018-09-05T00:00:00"/>
    <x v="4"/>
    <x v="4"/>
    <x v="0"/>
    <s v="FUERZAS DE VENTAS PANAMA"/>
    <s v="ALIMENTACION DE EMPLEADOS CTA NUEVA"/>
    <s v="TRANSACCIONES DEL DIA 09/05/2018SPYRAL - GESTION ADMINISTRATIVA"/>
    <n v="10"/>
    <n v="0"/>
    <s v="NEGOCIOS"/>
    <x v="2"/>
  </r>
  <r>
    <n v="91"/>
    <d v="2018-09-07T00:00:00"/>
    <x v="4"/>
    <x v="4"/>
    <x v="0"/>
    <s v="FUERZAS DE VENTAS PANAMA"/>
    <s v="ALIMENTACION DE EMPLEADOS CTA NUEVA"/>
    <s v="TRANSACCIONES DEL DIA 09/07/2018SPYRAL - GESTION ADMINISTRATIVA"/>
    <n v="5"/>
    <n v="0"/>
    <s v="NEGOCIOS"/>
    <x v="2"/>
  </r>
  <r>
    <n v="91"/>
    <d v="2018-09-08T00:00:00"/>
    <x v="4"/>
    <x v="4"/>
    <x v="0"/>
    <s v="FUERZAS DE VENTAS PANAMA"/>
    <s v="ALIMENTACION DE EMPLEADOS CTA NUEVA"/>
    <s v="TRANSACCIONES DEL DIA 09/08/2018SPYRAL - GESTION ADMINISTRATIVA"/>
    <n v="15"/>
    <n v="0"/>
    <s v="NEGOCIOS"/>
    <x v="2"/>
  </r>
  <r>
    <n v="91"/>
    <d v="2018-09-11T00:00:00"/>
    <x v="4"/>
    <x v="4"/>
    <x v="0"/>
    <s v="FUERZAS DE VENTAS PANAMA"/>
    <s v="ALIMENTACION DE EMPLEADOS CTA NUEVA"/>
    <s v="TRANSACCIONES DEL DIA 09/11/2018SPYRAL - GESTION ADMINISTRATIVA"/>
    <n v="24"/>
    <n v="0"/>
    <s v="NEGOCIOS"/>
    <x v="2"/>
  </r>
  <r>
    <n v="91"/>
    <d v="2018-09-21T00:00:00"/>
    <x v="4"/>
    <x v="4"/>
    <x v="0"/>
    <s v="FUERZAS DE VENTAS PANAMA"/>
    <s v="ALIMENTACION DE EMPLEADOS CTA NUEVA"/>
    <s v="TRANSACCIONES DEL DIA 09/21/2018SPYRAL - GESTION ADMINISTRATIVA"/>
    <n v="25"/>
    <n v="0"/>
    <s v="NEGOCIOS"/>
    <x v="2"/>
  </r>
  <r>
    <n v="91"/>
    <d v="2018-10-01T00:00:00"/>
    <x v="0"/>
    <x v="0"/>
    <x v="0"/>
    <s v="FUERZAS DE VENTAS PANAMA"/>
    <s v="ALIMENTACION DE EMPLEADOS CTA NUEVA"/>
    <s v="TRANSACCIONES DEL DIA 10/01/2018SPYRAL - GESTION ADMINISTRATIVA"/>
    <n v="5"/>
    <n v="0"/>
    <s v="NEGOCIOS"/>
    <x v="2"/>
  </r>
  <r>
    <n v="91"/>
    <d v="2018-10-12T00:00:00"/>
    <x v="0"/>
    <x v="0"/>
    <x v="0"/>
    <s v="FUERZAS DE VENTAS PANAMA"/>
    <s v="ALIMENTACION DE EMPLEADOS CTA NUEVA"/>
    <s v="TRANSACCIONES DEL DIA 10/12/2018SPYRAL - GESTION ADMINISTRATIVA"/>
    <n v="10"/>
    <n v="0"/>
    <s v="NEGOCIOS"/>
    <x v="2"/>
  </r>
  <r>
    <n v="91"/>
    <d v="2018-10-22T00:00:00"/>
    <x v="0"/>
    <x v="0"/>
    <x v="0"/>
    <s v="FUERZAS DE VENTAS PANAMA"/>
    <s v="ALIMENTACION DE EMPLEADOS CTA NUEVA"/>
    <s v="TRANSACCIONES DEL DIA 10/22/2018SPYRAL - GESTION ADMINISTRATIVA"/>
    <n v="10"/>
    <n v="0"/>
    <s v="NEGOCIOS"/>
    <x v="2"/>
  </r>
  <r>
    <n v="91"/>
    <d v="2018-10-26T00:00:00"/>
    <x v="0"/>
    <x v="0"/>
    <x v="0"/>
    <s v="FUERZAS DE VENTAS PANAMA"/>
    <s v="ALIMENTACION DE EMPLEADOS CTA NUEVA"/>
    <s v="TRANSACCIONES DEL DIA 10/26/2018SPYRAL - GESTION ADMINISTRATIVA"/>
    <n v="10"/>
    <n v="0"/>
    <s v="NEGOCIOS"/>
    <x v="2"/>
  </r>
  <r>
    <n v="91"/>
    <d v="2018-11-06T00:00:00"/>
    <x v="5"/>
    <x v="5"/>
    <x v="0"/>
    <s v="FUERZAS DE VENTAS PANAMA"/>
    <s v="ALIMENTACION DE EMPLEADOS CTA NUEVA"/>
    <s v="TRANSACCIONES DEL DIA 11/06/2018SPYRAL - GESTION ADMINISTRATIVA"/>
    <n v="10"/>
    <n v="0"/>
    <s v="NEGOCIOS"/>
    <x v="2"/>
  </r>
  <r>
    <n v="91"/>
    <d v="2018-11-12T00:00:00"/>
    <x v="5"/>
    <x v="5"/>
    <x v="0"/>
    <s v="FUERZAS DE VENTAS PANAMA"/>
    <s v="ALIMENTACION DE EMPLEADOS CTA NUEVA"/>
    <s v="TRANSACCIONES DEL DIA 11/12/2018SPYRAL - GESTION ADMINISTRATIVA"/>
    <n v="40.25"/>
    <n v="0"/>
    <s v="NEGOCIOS"/>
    <x v="2"/>
  </r>
  <r>
    <n v="91"/>
    <d v="2018-12-31T00:00:00"/>
    <x v="1"/>
    <x v="1"/>
    <x v="0"/>
    <s v="FUERZAS DE VENTAS PANAMA"/>
    <s v="CIERRE DE ANIO FISCAL"/>
    <s v="CIERRE_DE_CTAS_NOMINALES"/>
    <n v="0"/>
    <n v="824.96"/>
    <s v="NEGOCIOS"/>
    <x v="2"/>
  </r>
  <r>
    <n v="91"/>
    <d v="2018-11-27T00:00:00"/>
    <x v="5"/>
    <x v="5"/>
    <x v="0"/>
    <s v="FUERZA DE VENTAS AUTOS"/>
    <s v="ALIMENTACION DE EMPLEADOS CTA NUEVA"/>
    <s v="TRANSACCIONES DEL DIA 11/27/2018SPYRAL - GESTION ADMINISTRATIVA"/>
    <n v="28.97"/>
    <n v="0"/>
    <s v="NEGOCIOS"/>
    <x v="2"/>
  </r>
  <r>
    <n v="91"/>
    <d v="2018-12-31T00:00:00"/>
    <x v="1"/>
    <x v="1"/>
    <x v="0"/>
    <s v="FUERZA DE VENTAS AUTOS"/>
    <s v="CIERRE DE ANIO FISCAL"/>
    <s v="CIERRE_DE_CTAS_NOMINALES"/>
    <n v="0"/>
    <n v="335.59"/>
    <s v="NEGOCIOS"/>
    <x v="2"/>
  </r>
  <r>
    <n v="91"/>
    <d v="2018-07-05T00:00:00"/>
    <x v="6"/>
    <x v="6"/>
    <x v="0"/>
    <s v="FUERZA DE VENTAS INTERIOR"/>
    <s v="ALIMENTACION DE EMPLEADOS CTA NUEVA"/>
    <s v="TRANSACCIONES DEL DIA 07/05/2018SPYRAL - GESTION ADMINISTRATIVA"/>
    <n v="490"/>
    <n v="0"/>
    <s v="NEGOCIOS"/>
    <x v="2"/>
  </r>
  <r>
    <n v="91"/>
    <d v="2018-08-16T00:00:00"/>
    <x v="3"/>
    <x v="3"/>
    <x v="0"/>
    <s v="FUERZA DE VENTAS INTERIOR"/>
    <s v="ALIMENTACION DE EMPLEADOS CTA NUEVA"/>
    <s v="TRANSACCIONES DEL DIA 08/16/2018SPYRAL - GESTION ADMINISTRATIVA"/>
    <n v="280"/>
    <n v="0"/>
    <s v="NEGOCIOS"/>
    <x v="2"/>
  </r>
  <r>
    <n v="91"/>
    <d v="2018-12-31T00:00:00"/>
    <x v="1"/>
    <x v="1"/>
    <x v="0"/>
    <s v="FUERZA DE VENTAS INTERIOR"/>
    <s v="CIERRE DE ANIO FISCAL"/>
    <s v="CIERRE_DE_CTAS_NOMINALES"/>
    <n v="0"/>
    <n v="3806"/>
    <s v="NEGOCIOS"/>
    <x v="2"/>
  </r>
  <r>
    <n v="91"/>
    <d v="2018-07-06T00:00:00"/>
    <x v="6"/>
    <x v="6"/>
    <x v="0"/>
    <s v="SEGMENTO DE NEGOCIOS"/>
    <s v="ALIMENTACION DE EMPLEADOS CTA NUEVA"/>
    <s v="TRANSACCIONES DEL DIA 07/06/2018SPYRAL - GESTION ADMINISTRATIVA"/>
    <n v="32.049999999999997"/>
    <n v="0"/>
    <s v="NEGOCIOS"/>
    <x v="2"/>
  </r>
  <r>
    <n v="91"/>
    <d v="2018-10-02T00:00:00"/>
    <x v="0"/>
    <x v="0"/>
    <x v="0"/>
    <s v="SEGMENTO DE NEGOCIOS"/>
    <s v="NC ALIMENTACION DE EMPLEADOS NVA"/>
    <s v="TRANSACCIONES DEL DIA 10/02/2018SPYRAL - GESTION ADMINISTRATIVA"/>
    <n v="0"/>
    <n v="32.049999999999997"/>
    <s v="NEGOCIOS"/>
    <x v="2"/>
  </r>
  <r>
    <n v="91"/>
    <d v="2018-10-19T00:00:00"/>
    <x v="0"/>
    <x v="0"/>
    <x v="0"/>
    <s v="SEGMENTO DE NEGOCIOS"/>
    <s v="NC ALIMENTACION DE EMPLEADOS NVA"/>
    <s v="TRANSACCIONES DEL DIA 10/19/2018SPYRAL - GESTION ADMINISTRATIVA"/>
    <n v="27.55"/>
    <n v="0"/>
    <s v="NEGOCIOS"/>
    <x v="2"/>
  </r>
  <r>
    <n v="91"/>
    <d v="2018-10-22T00:00:00"/>
    <x v="0"/>
    <x v="0"/>
    <x v="0"/>
    <s v="SEGMENTO DE NEGOCIOS"/>
    <s v="ALIMENTACION DE EMPLEADOS CTA NUEVA"/>
    <s v="TRANSACCIONES DEL DIA 10/22/2018SPYRAL - GESTION ADMINISTRATIVA"/>
    <n v="22.5"/>
    <n v="0"/>
    <s v="NEGOCIOS"/>
    <x v="2"/>
  </r>
  <r>
    <n v="91"/>
    <d v="2018-11-29T00:00:00"/>
    <x v="5"/>
    <x v="5"/>
    <x v="0"/>
    <s v="SEGMENTO DE NEGOCIOS"/>
    <s v="ALIMENTACION DE EMPLEADOS CTA NUEVA"/>
    <s v="TRANSACCIONES DEL DIA 11/29/2018SPYRAL - GESTION ADMINISTRATIVA"/>
    <n v="219.25"/>
    <n v="0"/>
    <s v="NEGOCIOS"/>
    <x v="2"/>
  </r>
  <r>
    <n v="91"/>
    <d v="2018-12-31T00:00:00"/>
    <x v="1"/>
    <x v="1"/>
    <x v="0"/>
    <s v="SEGMENTO DE NEGOCIOS"/>
    <s v="CIERRE DE ANIO FISCAL"/>
    <s v="CIERRE_DE_CTAS_NOMINALES"/>
    <n v="0"/>
    <n v="306.87"/>
    <s v="NEGOCIOS"/>
    <x v="2"/>
  </r>
  <r>
    <n v="91"/>
    <d v="2018-06-18T00:00:00"/>
    <x v="2"/>
    <x v="2"/>
    <x v="0"/>
    <s v="BANCA PRIVADA"/>
    <s v="ALIMENTACION DE EMPLEADOS CTA NUEVA"/>
    <s v="TRANSACCIONES DEL DIA 06/18/2018SPYRAL - GESTION ADMINISTRATIVA"/>
    <n v="112.77"/>
    <n v="0"/>
    <s v="NEGOCIOS"/>
    <x v="2"/>
  </r>
  <r>
    <n v="91"/>
    <d v="2018-07-06T00:00:00"/>
    <x v="6"/>
    <x v="6"/>
    <x v="0"/>
    <s v="BANCA PRIVADA"/>
    <s v="ALIMENTACION DE EMPLEADOS CTA NUEVA"/>
    <s v="TRANSACCIONES DEL DIA 07/06/2018SPYRAL - GESTION ADMINISTRATIVA"/>
    <n v="8.9"/>
    <n v="0"/>
    <s v="NEGOCIOS"/>
    <x v="2"/>
  </r>
  <r>
    <n v="91"/>
    <d v="2018-07-12T00:00:00"/>
    <x v="6"/>
    <x v="6"/>
    <x v="0"/>
    <s v="BANCA PRIVADA"/>
    <s v="ALIMENTACION DE EMPLEADOS CTA NUEVA"/>
    <s v="TRANSACCIONES DEL DIA 07/12/2018SPYRAL - GESTION ADMINISTRATIVA"/>
    <n v="182.22"/>
    <n v="0"/>
    <s v="NEGOCIOS"/>
    <x v="2"/>
  </r>
  <r>
    <n v="91"/>
    <d v="2018-07-19T00:00:00"/>
    <x v="6"/>
    <x v="6"/>
    <x v="0"/>
    <s v="BANCA PRIVADA"/>
    <s v="ALIMENTACION DE EMPLEADOS CTA NUEVA"/>
    <s v="TRANSACCIONES DEL DIA 07/19/2018SPYRAL - GESTION ADMINISTRATIVA"/>
    <n v="26.23"/>
    <n v="0"/>
    <s v="NEGOCIOS"/>
    <x v="2"/>
  </r>
  <r>
    <n v="91"/>
    <d v="2018-08-13T00:00:00"/>
    <x v="3"/>
    <x v="3"/>
    <x v="0"/>
    <s v="BANCA PRIVADA"/>
    <s v="ALIMENTACION DE EMPLEADOS CTA NUEVA"/>
    <s v="TRANSACCIONES DEL DIA 08/13/2018SPYRAL - GESTION ADMINISTRATIVA"/>
    <n v="816.22"/>
    <n v="0"/>
    <s v="NEGOCIOS"/>
    <x v="2"/>
  </r>
  <r>
    <n v="91"/>
    <d v="2018-08-15T00:00:00"/>
    <x v="3"/>
    <x v="3"/>
    <x v="0"/>
    <s v="BANCA PRIVADA"/>
    <s v="ALIMENTACION DE EMPLEADOS CTA NUEVA"/>
    <s v="TRANSACCIONES DEL DIA 08/15/2018SPYRAL - GESTION ADMINISTRATIVA"/>
    <n v="42.94"/>
    <n v="0"/>
    <s v="NEGOCIOS"/>
    <x v="2"/>
  </r>
  <r>
    <n v="91"/>
    <d v="2018-08-29T00:00:00"/>
    <x v="3"/>
    <x v="3"/>
    <x v="0"/>
    <s v="BANCA PRIVADA"/>
    <s v="ALIMENTACION DE EMPLEADOS CTA NUEVA"/>
    <s v="TRANSACCIONES DEL DIA 08/29/2018SPYRAL - GESTION ADMINISTRATIVA"/>
    <n v="9.4499999999999993"/>
    <n v="0"/>
    <s v="NEGOCIOS"/>
    <x v="2"/>
  </r>
  <r>
    <n v="91"/>
    <d v="2018-09-07T00:00:00"/>
    <x v="4"/>
    <x v="4"/>
    <x v="0"/>
    <s v="BANCA PRIVADA"/>
    <s v="ALIMENTACION DE EMPLEADOS CTA NUEVA"/>
    <s v="TRANSACCIONES DEL DIA 09/07/2018SPYRAL - GESTION ADMINISTRATIVA"/>
    <n v="53.82"/>
    <n v="0"/>
    <s v="NEGOCIOS"/>
    <x v="2"/>
  </r>
  <r>
    <n v="91"/>
    <d v="2018-09-18T00:00:00"/>
    <x v="4"/>
    <x v="4"/>
    <x v="0"/>
    <s v="BANCA PRIVADA"/>
    <s v="ALIMENTACION DE EMPLEADOS CTA NUEVA"/>
    <s v="TRANSACCIONES DEL DIA 09/18/2018SPYRAL - GESTION ADMINISTRATIVA"/>
    <n v="166.14"/>
    <n v="0"/>
    <s v="NEGOCIOS"/>
    <x v="2"/>
  </r>
  <r>
    <n v="91"/>
    <d v="2018-11-16T00:00:00"/>
    <x v="5"/>
    <x v="5"/>
    <x v="0"/>
    <s v="BANCA PRIVADA"/>
    <s v="ALIMENTACION DE EMPLEADOS CTA NUEVA"/>
    <s v="TRANSACCIONES DEL DIA 11/16/2018SPYRAL - GESTION ADMINISTRATIVA"/>
    <n v="16.510000000000002"/>
    <n v="0"/>
    <s v="NEGOCIOS"/>
    <x v="2"/>
  </r>
  <r>
    <n v="91"/>
    <d v="2018-12-27T00:00:00"/>
    <x v="1"/>
    <x v="1"/>
    <x v="0"/>
    <s v="BANCA PRIVADA"/>
    <s v="NC ALIMENTACION DE EMPLEADOS NVA"/>
    <s v="TRANSACCIONES DEL DIA 12/27/2018SPYRAL - GESTION ADMINISTRATIVA"/>
    <n v="130.75"/>
    <n v="0"/>
    <s v="NEGOCIOS"/>
    <x v="2"/>
  </r>
  <r>
    <n v="91"/>
    <d v="2018-12-31T00:00:00"/>
    <x v="1"/>
    <x v="1"/>
    <x v="0"/>
    <s v="BANCA PRIVADA"/>
    <s v="CIERRE DE ANIO FISCAL"/>
    <s v="CIERRE_DE_CTAS_NOMINALES"/>
    <n v="0"/>
    <n v="2933.98"/>
    <s v="NEGOCIOS"/>
    <x v="2"/>
  </r>
  <r>
    <n v="91"/>
    <d v="2018-06-21T00:00:00"/>
    <x v="2"/>
    <x v="2"/>
    <x v="0"/>
    <s v="CAMPAðA"/>
    <s v="ALIMENTACION DE EMPLEADOS CTA NUEVA"/>
    <s v="TRANSACCIONES DEL DIA 06/21/2018SPYRAL - GESTION ADMINISTRATIVA"/>
    <n v="22.28"/>
    <n v="0"/>
    <s v="NEGOCIOS"/>
    <x v="2"/>
  </r>
  <r>
    <n v="91"/>
    <d v="2018-10-24T00:00:00"/>
    <x v="0"/>
    <x v="0"/>
    <x v="0"/>
    <s v="CAMPAðA"/>
    <s v="ALIMENTACION DE EMPLEADOS CTA NUEVA"/>
    <s v="TRANSACCIONES DEL DIA 10/24/2018SPYRAL - GESTION ADMINISTRATIVA"/>
    <n v="25.28"/>
    <n v="0"/>
    <s v="NEGOCIOS"/>
    <x v="2"/>
  </r>
  <r>
    <n v="91"/>
    <d v="2018-12-31T00:00:00"/>
    <x v="1"/>
    <x v="1"/>
    <x v="0"/>
    <s v="CAMPAðA"/>
    <s v="CIERRE DE ANIO FISCAL"/>
    <s v="CIERRE_DE_CTAS_NOMINALES"/>
    <n v="0"/>
    <n v="47.56"/>
    <s v="NEGOCIOS"/>
    <x v="2"/>
  </r>
  <r>
    <n v="91"/>
    <d v="2018-06-23T00:00:00"/>
    <x v="2"/>
    <x v="2"/>
    <x v="0"/>
    <s v="BANCA COMERCIAL"/>
    <s v="NC ALIMENTACION DE EMPLEADOS NVA"/>
    <s v="TRANSACCIONES DEL DIA 06/23/2018SPYRAL - GESTION ADMINISTRATIVA"/>
    <n v="16.75"/>
    <n v="0"/>
    <s v="NEGOCIOS"/>
    <x v="2"/>
  </r>
  <r>
    <n v="91"/>
    <d v="2018-07-02T00:00:00"/>
    <x v="6"/>
    <x v="6"/>
    <x v="0"/>
    <s v="BANCA COMERCIAL"/>
    <s v="NC ALIMENTACION DE EMPLEADOS NVA"/>
    <s v="TRANSACCIONES DEL DIA 07/02/2018SPYRAL - GESTION ADMINISTRATIVA"/>
    <n v="19.649999999999999"/>
    <n v="0"/>
    <s v="NEGOCIOS"/>
    <x v="2"/>
  </r>
  <r>
    <n v="91"/>
    <d v="2018-08-09T00:00:00"/>
    <x v="3"/>
    <x v="3"/>
    <x v="0"/>
    <s v="BANCA COMERCIAL"/>
    <s v="NC ALIMENTACION DE EMPLEADOS NVA"/>
    <s v="TRANSACCIONES DEL DIA 08/09/2018SPYRAL - GESTION ADMINISTRATIVA"/>
    <n v="177.7"/>
    <n v="0"/>
    <s v="NEGOCIOS"/>
    <x v="2"/>
  </r>
  <r>
    <n v="91"/>
    <d v="2018-09-03T00:00:00"/>
    <x v="4"/>
    <x v="4"/>
    <x v="0"/>
    <s v="BANCA COMERCIAL"/>
    <s v="NC ALIMENTACION DE EMPLEADOS NVA"/>
    <s v="TRANSACCIONES DEL DIA 09/03/2018SPYRAL - GESTION ADMINISTRATIVA"/>
    <n v="86.3"/>
    <n v="0"/>
    <s v="NEGOCIOS"/>
    <x v="2"/>
  </r>
  <r>
    <n v="91"/>
    <d v="2018-09-11T00:00:00"/>
    <x v="4"/>
    <x v="4"/>
    <x v="0"/>
    <s v="BANCA COMERCIAL"/>
    <s v="NC ALIMENTACION DE EMPLEADOS NVA"/>
    <s v="TRANSACCIONES DEL DIA 09/11/2018SPYRAL - GESTION ADMINISTRATIVA"/>
    <n v="112"/>
    <n v="0"/>
    <s v="NEGOCIOS"/>
    <x v="2"/>
  </r>
  <r>
    <n v="91"/>
    <d v="2018-11-06T00:00:00"/>
    <x v="5"/>
    <x v="5"/>
    <x v="0"/>
    <s v="BANCA COMERCIAL"/>
    <s v="NC ALIMENTACION DE EMPLEADOS NVA"/>
    <s v="TRANSACCIONES DEL DIA 11/06/2018SPYRAL - GESTION ADMINISTRATIVA"/>
    <n v="116.25"/>
    <n v="0"/>
    <s v="NEGOCIOS"/>
    <x v="2"/>
  </r>
  <r>
    <n v="91"/>
    <d v="2018-11-23T00:00:00"/>
    <x v="5"/>
    <x v="5"/>
    <x v="0"/>
    <s v="BANCA COMERCIAL"/>
    <s v="NC ALIMENTACION DE EMPLEADOS NVA"/>
    <s v="TRANSACCIONES DEL DIA 11/23/2018SPYRAL - GESTION ADMINISTRATIVA"/>
    <n v="47.25"/>
    <n v="0"/>
    <s v="NEGOCIOS"/>
    <x v="2"/>
  </r>
  <r>
    <n v="91"/>
    <d v="2018-12-04T00:00:00"/>
    <x v="1"/>
    <x v="1"/>
    <x v="0"/>
    <s v="BANCA COMERCIAL"/>
    <s v="NC ALIMENTACION DE EMPLEADOS NVA"/>
    <s v="TRANSACCIONES DEL DIA 12/04/2018SPYRAL - GESTION ADMINISTRATIVA"/>
    <n v="20.75"/>
    <n v="0"/>
    <s v="NEGOCIOS"/>
    <x v="2"/>
  </r>
  <r>
    <n v="91"/>
    <d v="2018-12-31T00:00:00"/>
    <x v="1"/>
    <x v="1"/>
    <x v="0"/>
    <s v="BANCA COMERCIAL"/>
    <s v="CIERRE DE ANIO FISCAL"/>
    <s v="CIERRE_DE_CTAS_NOMINALES"/>
    <n v="0"/>
    <n v="918.99"/>
    <s v="NEGOCIOS"/>
    <x v="2"/>
  </r>
  <r>
    <n v="91"/>
    <d v="2018-06-20T00:00:00"/>
    <x v="2"/>
    <x v="2"/>
    <x v="0"/>
    <s v="BANCA COMERCIAL INTERIOR"/>
    <s v="NC ALIMENTACION DE EMPLEADOS NVA"/>
    <s v="TRANSACCIONES DEL DIA 06/20/2018SPYRAL - GESTION ADMINISTRATIVA"/>
    <n v="324.01"/>
    <n v="0"/>
    <s v="NEGOCIOS"/>
    <x v="2"/>
  </r>
  <r>
    <n v="91"/>
    <d v="2018-07-12T00:00:00"/>
    <x v="6"/>
    <x v="6"/>
    <x v="0"/>
    <s v="BANCA COMERCIAL INTERIOR"/>
    <s v="NC ALIMENTACION DE EMPLEADOS NVA"/>
    <s v="TRANSACCIONES DEL DIA 07/12/2018SPYRAL - GESTION ADMINISTRATIVA"/>
    <n v="34.47"/>
    <n v="0"/>
    <s v="NEGOCIOS"/>
    <x v="2"/>
  </r>
  <r>
    <n v="91"/>
    <d v="2018-07-26T00:00:00"/>
    <x v="6"/>
    <x v="6"/>
    <x v="0"/>
    <s v="BANCA COMERCIAL INTERIOR"/>
    <s v="NC ALIMENTACION DE EMPLEADOS NVA"/>
    <s v="TRANSACCIONES DEL DIA 07/26/2018SPYRAL - GESTION ADMINISTRATIVA"/>
    <n v="376.61"/>
    <n v="0"/>
    <s v="NEGOCIOS"/>
    <x v="2"/>
  </r>
  <r>
    <n v="91"/>
    <d v="2018-08-03T00:00:00"/>
    <x v="3"/>
    <x v="3"/>
    <x v="0"/>
    <s v="BANCA COMERCIAL INTERIOR"/>
    <s v="NC ALIMENTACION DE EMPLEADOS NVA"/>
    <s v="TRANSACCIONES DEL DIA 08/03/2018SPYRAL - GESTION ADMINISTRATIVA"/>
    <n v="33.549999999999997"/>
    <n v="0"/>
    <s v="NEGOCIOS"/>
    <x v="2"/>
  </r>
  <r>
    <n v="91"/>
    <d v="2018-09-11T00:00:00"/>
    <x v="4"/>
    <x v="4"/>
    <x v="0"/>
    <s v="BANCA COMERCIAL INTERIOR"/>
    <s v="NC ALIMENTACION DE EMPLEADOS NVA"/>
    <s v="TRANSACCIONES DEL DIA 09/11/2018SPYRAL - GESTION ADMINISTRATIVA"/>
    <n v="195.56"/>
    <n v="0"/>
    <s v="NEGOCIOS"/>
    <x v="2"/>
  </r>
  <r>
    <n v="91"/>
    <d v="2018-09-11T00:00:00"/>
    <x v="4"/>
    <x v="4"/>
    <x v="0"/>
    <s v="BANCA COMERCIAL INTERIOR"/>
    <s v="ALIMENTACION DE EMPLEADOS CTA NUEVA"/>
    <s v="TRANSACCIONES DEL DIA 09/11/2018SPYRAL - GESTION ADMINISTRATIVA"/>
    <n v="10.46"/>
    <n v="0"/>
    <s v="NEGOCIOS"/>
    <x v="2"/>
  </r>
  <r>
    <n v="91"/>
    <d v="2018-09-14T00:00:00"/>
    <x v="4"/>
    <x v="4"/>
    <x v="0"/>
    <s v="BANCA COMERCIAL INTERIOR"/>
    <s v="NC ALIMENTACION DE EMPLEADOS NVA"/>
    <s v="TRANSACCIONES DEL DIA 09/14/2018SPYRAL - GESTION ADMINISTRATIVA"/>
    <n v="154.13"/>
    <n v="0"/>
    <s v="NEGOCIOS"/>
    <x v="2"/>
  </r>
  <r>
    <n v="91"/>
    <d v="2018-10-10T00:00:00"/>
    <x v="0"/>
    <x v="0"/>
    <x v="0"/>
    <s v="BANCA COMERCIAL INTERIOR"/>
    <s v="NC ALIMENTACION DE EMPLEADOS NVA"/>
    <s v="TRANSACCIONES DEL DIA 10/10/2018SPYRAL - GESTION ADMINISTRATIVA"/>
    <n v="112.62"/>
    <n v="0"/>
    <s v="NEGOCIOS"/>
    <x v="2"/>
  </r>
  <r>
    <n v="91"/>
    <d v="2018-10-19T00:00:00"/>
    <x v="0"/>
    <x v="0"/>
    <x v="0"/>
    <s v="BANCA COMERCIAL INTERIOR"/>
    <s v="NC ALIMENTACION DE EMPLEADOS NVA"/>
    <s v="TRANSACCIONES DEL DIA 10/19/2018SPYRAL - GESTION ADMINISTRATIVA"/>
    <n v="54.63"/>
    <n v="0"/>
    <s v="NEGOCIOS"/>
    <x v="2"/>
  </r>
  <r>
    <n v="91"/>
    <d v="2018-11-09T00:00:00"/>
    <x v="5"/>
    <x v="5"/>
    <x v="0"/>
    <s v="BANCA COMERCIAL INTERIOR"/>
    <s v="NC ALIMENTACION DE EMPLEADOS NVA"/>
    <s v="TRANSACCIONES DEL DIA 11/09/2018SPYRAL - GESTION ADMINISTRATIVA"/>
    <n v="264.52"/>
    <n v="0"/>
    <s v="NEGOCIOS"/>
    <x v="2"/>
  </r>
  <r>
    <n v="91"/>
    <d v="2018-11-21T00:00:00"/>
    <x v="5"/>
    <x v="5"/>
    <x v="0"/>
    <s v="BANCA COMERCIAL INTERIOR"/>
    <s v="NC ALIMENTACION DE EMPLEADOS NVA"/>
    <s v="TRANSACCIONES DEL DIA 11/21/2018SPYRAL - GESTION ADMINISTRATIVA"/>
    <n v="374.62"/>
    <n v="0"/>
    <s v="NEGOCIOS"/>
    <x v="2"/>
  </r>
  <r>
    <n v="91"/>
    <d v="2018-12-07T00:00:00"/>
    <x v="1"/>
    <x v="1"/>
    <x v="0"/>
    <s v="BANCA COMERCIAL INTERIOR"/>
    <s v="NC ALIMENTACION DE EMPLEADOS NVA"/>
    <s v="TRANSACCIONES DEL DIA 12/07/2018SPYRAL - GESTION ADMINISTRATIVA"/>
    <n v="194.17"/>
    <n v="0"/>
    <s v="NEGOCIOS"/>
    <x v="2"/>
  </r>
  <r>
    <n v="91"/>
    <d v="2018-12-27T00:00:00"/>
    <x v="1"/>
    <x v="1"/>
    <x v="0"/>
    <s v="BANCA COMERCIAL INTERIOR"/>
    <s v="NC ALIMENTACION DE EMPLEADOS NVA"/>
    <s v="TRANSACCIONES DEL DIA 12/27/2018SPYRAL - GESTION ADMINISTRATIVA"/>
    <n v="131.99"/>
    <n v="0"/>
    <s v="NEGOCIOS"/>
    <x v="2"/>
  </r>
  <r>
    <n v="91"/>
    <d v="2018-12-31T00:00:00"/>
    <x v="1"/>
    <x v="1"/>
    <x v="0"/>
    <s v="BANCA COMERCIAL INTERIOR"/>
    <s v="CIERRE DE ANIO FISCAL"/>
    <s v="CIERRE_DE_CTAS_NOMINALES"/>
    <n v="0"/>
    <n v="3533.74"/>
    <s v="NEGOCIOS"/>
    <x v="2"/>
  </r>
  <r>
    <n v="91"/>
    <d v="2018-12-31T00:00:00"/>
    <x v="1"/>
    <x v="1"/>
    <x v="0"/>
    <s v="BANCA COMERCIAL CENTRO"/>
    <s v="CIERRE DE ANIO FISCAL"/>
    <s v="CIERRE_DE_CTAS_NOMINALES"/>
    <n v="0"/>
    <n v="12.78"/>
    <s v="NEGOCIOS"/>
    <x v="2"/>
  </r>
  <r>
    <n v="91"/>
    <d v="2018-06-11T00:00:00"/>
    <x v="2"/>
    <x v="2"/>
    <x v="0"/>
    <s v="BANCA COMERCIAL PERIFERIA"/>
    <s v="NC ALIMENTACION DE EMPLEADOS NVA"/>
    <s v="TRANSACCIONES DEL DIA 06/11/2018SPYRAL - GESTION ADMINISTRATIVA"/>
    <n v="47.75"/>
    <n v="0"/>
    <s v="NEGOCIOS"/>
    <x v="2"/>
  </r>
  <r>
    <n v="91"/>
    <d v="2018-06-27T00:00:00"/>
    <x v="2"/>
    <x v="2"/>
    <x v="0"/>
    <s v="BANCA COMERCIAL PERIFERIA"/>
    <s v="ALIMENTACION DE EMPLEADOS CTA NUEVA"/>
    <s v="TRANSACCIONES DEL DIA 06/27/2018SPYRAL - GESTION ADMINISTRATIVA"/>
    <n v="224.35"/>
    <n v="0"/>
    <s v="NEGOCIOS"/>
    <x v="2"/>
  </r>
  <r>
    <n v="91"/>
    <d v="2018-07-17T00:00:00"/>
    <x v="6"/>
    <x v="6"/>
    <x v="0"/>
    <s v="BANCA COMERCIAL PERIFERIA"/>
    <s v="NC ALIMENTACION DE EMPLEADOS NVA"/>
    <s v="TRANSACCIONES DEL DIA 07/17/2018SPYRAL - GESTION ADMINISTRATIVA"/>
    <n v="53.85"/>
    <n v="0"/>
    <s v="NEGOCIOS"/>
    <x v="2"/>
  </r>
  <r>
    <n v="91"/>
    <d v="2018-07-26T00:00:00"/>
    <x v="6"/>
    <x v="6"/>
    <x v="0"/>
    <s v="BANCA COMERCIAL PERIFERIA"/>
    <s v="NC ALIMENTACION DE EMPLEADOS NVA"/>
    <s v="TRANSACCIONES DEL DIA 07/26/2018SPYRAL - GESTION ADMINISTRATIVA"/>
    <n v="202.75"/>
    <n v="0"/>
    <s v="NEGOCIOS"/>
    <x v="2"/>
  </r>
  <r>
    <n v="91"/>
    <d v="2018-08-03T00:00:00"/>
    <x v="3"/>
    <x v="3"/>
    <x v="0"/>
    <s v="BANCA COMERCIAL PERIFERIA"/>
    <s v="NC ALIMENTACION DE EMPLEADOS NVA"/>
    <s v="TRANSACCIONES DEL DIA 08/03/2018SPYRAL - GESTION ADMINISTRATIVA"/>
    <n v="20.75"/>
    <n v="0"/>
    <s v="NEGOCIOS"/>
    <x v="2"/>
  </r>
  <r>
    <n v="91"/>
    <d v="2018-08-28T00:00:00"/>
    <x v="3"/>
    <x v="3"/>
    <x v="0"/>
    <s v="BANCA COMERCIAL PERIFERIA"/>
    <s v="ALIMENTACION DE EMPLEADOS CTA NUEVA"/>
    <s v="TRANSACCIONES DEL DIA 08/28/2018SPYRAL - GESTION ADMINISTRATIVA"/>
    <n v="132.62"/>
    <n v="0"/>
    <s v="NEGOCIOS"/>
    <x v="2"/>
  </r>
  <r>
    <n v="91"/>
    <d v="2018-12-31T00:00:00"/>
    <x v="1"/>
    <x v="1"/>
    <x v="0"/>
    <s v="BANCA COMERCIAL PERIFERIA"/>
    <s v="CIERRE DE ANIO FISCAL"/>
    <s v="CIERRE_DE_CTAS_NOMINALES"/>
    <n v="0"/>
    <n v="909.75"/>
    <s v="NEGOCIOS"/>
    <x v="2"/>
  </r>
  <r>
    <n v="91"/>
    <d v="2018-09-06T00:00:00"/>
    <x v="4"/>
    <x v="4"/>
    <x v="0"/>
    <s v="MERCADEO"/>
    <s v="NC ALIMENTACION DE EMPLEADOS NVA"/>
    <s v="TRANSACCIONES DEL DIA 09/06/2018SPYRAL - GESTION ADMINISTRATIVA"/>
    <n v="163.9"/>
    <n v="0"/>
    <s v="NEGOCIOS"/>
    <x v="2"/>
  </r>
  <r>
    <n v="91"/>
    <d v="2018-12-27T00:00:00"/>
    <x v="1"/>
    <x v="1"/>
    <x v="0"/>
    <s v="MERCADEO"/>
    <s v="ALIMENTACION DE EMPLEADOS CTA NUEVA"/>
    <s v="TRANSACCIONES DEL DIA 12/27/2018SPYRAL - GESTION ADMINISTRATIVA"/>
    <n v="40"/>
    <n v="0"/>
    <s v="NEGOCIOS"/>
    <x v="2"/>
  </r>
  <r>
    <n v="91"/>
    <d v="2018-12-31T00:00:00"/>
    <x v="1"/>
    <x v="1"/>
    <x v="0"/>
    <s v="MERCADEO"/>
    <s v="CIERRE DE ANIO FISCAL"/>
    <s v="CIERRE_DE_CTAS_NOMINALES"/>
    <n v="0"/>
    <n v="203.9"/>
    <s v="NEGOCIOS"/>
    <x v="2"/>
  </r>
  <r>
    <n v="91"/>
    <d v="2018-06-29T00:00:00"/>
    <x v="2"/>
    <x v="2"/>
    <x v="0"/>
    <s v="IMAGEN CORPORATIVA"/>
    <s v="ALIMENTACION DE EMPLEADOS CTA NUEVA"/>
    <s v="TRANSACCIONES DEL DIA 06/29/2018SPYRAL - GESTION ADMINISTRATIVA"/>
    <n v="10"/>
    <n v="0"/>
    <s v="NEGOCIOS"/>
    <x v="2"/>
  </r>
  <r>
    <n v="91"/>
    <d v="2018-08-08T00:00:00"/>
    <x v="3"/>
    <x v="3"/>
    <x v="0"/>
    <s v="IMAGEN CORPORATIVA"/>
    <s v="ALIMENTACION DE EMPLEADOS CTA NUEVA"/>
    <s v="TRANSACCIONES DEL DIA 08/08/2018SPYRAL - GESTION ADMINISTRATIVA"/>
    <n v="8.99"/>
    <n v="0"/>
    <s v="NEGOCIOS"/>
    <x v="2"/>
  </r>
  <r>
    <n v="91"/>
    <d v="2018-12-05T00:00:00"/>
    <x v="1"/>
    <x v="1"/>
    <x v="0"/>
    <s v="IMAGEN CORPORATIVA"/>
    <s v="ALIMENTACION DE EMPLEADOS CTA NUEVA"/>
    <s v="TRANSACCIONES DEL DIA 12/05/2018SPYRAL - GESTION ADMINISTRATIVA"/>
    <n v="22.74"/>
    <n v="0"/>
    <s v="NEGOCIOS"/>
    <x v="2"/>
  </r>
  <r>
    <n v="91"/>
    <d v="2018-12-31T00:00:00"/>
    <x v="1"/>
    <x v="1"/>
    <x v="0"/>
    <s v="IMAGEN CORPORATIVA"/>
    <s v="CIERRE DE ANIO FISCAL"/>
    <s v="CIERRE_DE_CTAS_NOMINALES"/>
    <n v="0"/>
    <n v="101.74"/>
    <s v="NEGOCIOS"/>
    <x v="2"/>
  </r>
  <r>
    <n v="95"/>
    <d v="2018-10-16T00:00:00"/>
    <x v="0"/>
    <x v="0"/>
    <x v="0"/>
    <s v="ADMINISTRACION DE SUCURSALES"/>
    <s v="NC ALIMENTACION DE EMPLEADOS NVA"/>
    <s v="TRANSACCIONES DEL DIA 10/16/2018SPYRAL - GESTION ADMINISTRATIVA"/>
    <n v="61.6"/>
    <n v="0"/>
    <s v="BOULEVARD EL DORADO"/>
    <x v="2"/>
  </r>
  <r>
    <n v="95"/>
    <d v="2018-12-31T00:00:00"/>
    <x v="1"/>
    <x v="1"/>
    <x v="0"/>
    <s v="ADMINISTRACION DE SUCURSALES"/>
    <s v="CIERRE DE ANIO FISCAL"/>
    <s v="CIERRE_DE_CTAS_NOMINALES"/>
    <n v="0"/>
    <n v="247.66"/>
    <s v="BOULEVARD EL DORADO"/>
    <x v="2"/>
  </r>
  <r>
    <n v="95"/>
    <d v="2018-06-08T00:00:00"/>
    <x v="2"/>
    <x v="2"/>
    <x v="0"/>
    <s v="CAJA"/>
    <s v="ALIMENTACION DE EMPLEADOS CTA NUEVA"/>
    <s v="TRANSACCIONES DEL DIA 06/08/2018SPYRAL - GESTION ADMINISTRATIVA"/>
    <n v="8"/>
    <n v="0"/>
    <s v="BOULEVARD EL DORADO"/>
    <x v="2"/>
  </r>
  <r>
    <n v="95"/>
    <d v="2018-06-20T00:00:00"/>
    <x v="2"/>
    <x v="2"/>
    <x v="0"/>
    <s v="CAJA"/>
    <s v="ALIMENTACION DE EMPLEADOS CTA NUEVA"/>
    <s v="TRANSACCIONES DEL DIA 06/20/2018SPYRAL - GESTION ADMINISTRATIVA"/>
    <n v="16"/>
    <n v="0"/>
    <s v="BOULEVARD EL DORADO"/>
    <x v="2"/>
  </r>
  <r>
    <n v="95"/>
    <d v="2018-07-04T00:00:00"/>
    <x v="6"/>
    <x v="6"/>
    <x v="0"/>
    <s v="CAJA"/>
    <s v="ALIMENTACION DE EMPLEADOS CTA NUEVA"/>
    <s v="TRANSACCIONES DEL DIA 07/04/2018SPYRAL - GESTION ADMINISTRATIVA"/>
    <n v="16"/>
    <n v="0"/>
    <s v="BOULEVARD EL DORADO"/>
    <x v="2"/>
  </r>
  <r>
    <n v="95"/>
    <d v="2018-07-27T00:00:00"/>
    <x v="6"/>
    <x v="6"/>
    <x v="0"/>
    <s v="CAJA"/>
    <s v="ALIMENTACION DE EMPLEADOS CTA NUEVA"/>
    <s v="TRANSACCIONES DEL DIA 07/27/2018SPYRAL - GESTION ADMINISTRATIVA"/>
    <n v="16"/>
    <n v="0"/>
    <s v="BOULEVARD EL DORADO"/>
    <x v="2"/>
  </r>
  <r>
    <n v="95"/>
    <d v="2018-08-28T00:00:00"/>
    <x v="3"/>
    <x v="3"/>
    <x v="0"/>
    <s v="CAJA"/>
    <s v="ALIMENTACION DE EMPLEADOS CTA NUEVA"/>
    <s v="TRANSACCIONES DEL DIA 08/28/2018SPYRAL - GESTION ADMINISTRATIVA"/>
    <n v="16"/>
    <n v="0"/>
    <s v="BOULEVARD EL DORADO"/>
    <x v="2"/>
  </r>
  <r>
    <n v="95"/>
    <d v="2018-09-07T00:00:00"/>
    <x v="4"/>
    <x v="4"/>
    <x v="0"/>
    <s v="CAJA"/>
    <s v="ALIMENTACION DE EMPLEADOS CTA NUEVA"/>
    <s v="TRANSACCIONES DEL DIA 09/07/2018SPYRAL - GESTION ADMINISTRATIVA"/>
    <n v="16"/>
    <n v="0"/>
    <s v="BOULEVARD EL DORADO"/>
    <x v="2"/>
  </r>
  <r>
    <n v="95"/>
    <d v="2018-09-18T00:00:00"/>
    <x v="4"/>
    <x v="4"/>
    <x v="0"/>
    <s v="CAJA"/>
    <s v="ALIMENTACION DE EMPLEADOS CTA NUEVA"/>
    <s v="TRANSACCIONES DEL DIA 09/18/2018SPYRAL - GESTION ADMINISTRATIVA"/>
    <n v="32"/>
    <n v="0"/>
    <s v="BOULEVARD EL DORADO"/>
    <x v="2"/>
  </r>
  <r>
    <n v="95"/>
    <d v="2018-09-24T00:00:00"/>
    <x v="4"/>
    <x v="4"/>
    <x v="0"/>
    <s v="CAJA"/>
    <s v="ALIMENTACION DE EMPLEADOS CTA NUEVA"/>
    <s v="TRANSACCIONES DEL DIA 09/24/2018SPYRAL - GESTION ADMINISTRATIVA"/>
    <n v="8"/>
    <n v="0"/>
    <s v="BOULEVARD EL DORADO"/>
    <x v="2"/>
  </r>
  <r>
    <n v="95"/>
    <d v="2018-10-04T00:00:00"/>
    <x v="0"/>
    <x v="0"/>
    <x v="0"/>
    <s v="CAJA"/>
    <s v="ALIMENTACION DE EMPLEADOS CTA NUEVA"/>
    <s v="TRANSACCIONES DEL DIA 10/04/2018SPYRAL - GESTION ADMINISTRATIVA"/>
    <n v="8"/>
    <n v="0"/>
    <s v="BOULEVARD EL DORADO"/>
    <x v="2"/>
  </r>
  <r>
    <n v="95"/>
    <d v="2018-10-18T00:00:00"/>
    <x v="0"/>
    <x v="0"/>
    <x v="0"/>
    <s v="CAJA"/>
    <s v="ALIMENTACION DE EMPLEADOS CTA NUEVA"/>
    <s v="TRANSACCIONES DEL DIA 10/18/2018SPYRAL - GESTION ADMINISTRATIVA"/>
    <n v="48"/>
    <n v="0"/>
    <s v="BOULEVARD EL DORADO"/>
    <x v="2"/>
  </r>
  <r>
    <n v="95"/>
    <d v="2018-10-22T00:00:00"/>
    <x v="0"/>
    <x v="0"/>
    <x v="0"/>
    <s v="CAJA"/>
    <s v="ALIMENTACION DE EMPLEADOS CTA NUEVA"/>
    <s v="TRANSACCIONES DEL DIA 10/22/2018SPYRAL - GESTION ADMINISTRATIVA"/>
    <n v="8"/>
    <n v="0"/>
    <s v="BOULEVARD EL DORADO"/>
    <x v="2"/>
  </r>
  <r>
    <n v="95"/>
    <d v="2018-10-26T00:00:00"/>
    <x v="0"/>
    <x v="0"/>
    <x v="0"/>
    <s v="CAJA"/>
    <s v="ALIMENTACION DE EMPLEADOS CTA NUEVA"/>
    <s v="TRANSACCIONES DEL DIA 10/26/2018SPYRAL - GESTION ADMINISTRATIVA"/>
    <n v="24"/>
    <n v="0"/>
    <s v="BOULEVARD EL DORADO"/>
    <x v="2"/>
  </r>
  <r>
    <n v="95"/>
    <d v="2018-11-07T00:00:00"/>
    <x v="5"/>
    <x v="5"/>
    <x v="0"/>
    <s v="CAJA"/>
    <s v="ALIMENTACION DE EMPLEADOS CTA NUEVA"/>
    <s v="TRANSACCIONES DEL DIA 11/07/2018SPYRAL - GESTION ADMINISTRATIVA"/>
    <n v="64"/>
    <n v="0"/>
    <s v="BOULEVARD EL DORADO"/>
    <x v="2"/>
  </r>
  <r>
    <n v="95"/>
    <d v="2018-11-16T00:00:00"/>
    <x v="5"/>
    <x v="5"/>
    <x v="0"/>
    <s v="CAJA"/>
    <s v="ALIMENTACION DE EMPLEADOS CTA NUEVA"/>
    <s v="TRANSACCIONES DEL DIA 11/16/2018SPYRAL - GESTION ADMINISTRATIVA"/>
    <n v="16"/>
    <n v="0"/>
    <s v="BOULEVARD EL DORADO"/>
    <x v="2"/>
  </r>
  <r>
    <n v="95"/>
    <d v="2018-11-19T00:00:00"/>
    <x v="5"/>
    <x v="5"/>
    <x v="0"/>
    <s v="CAJA"/>
    <s v="ALIMENTACION DE EMPLEADOS CTA NUEVA"/>
    <s v="TRANSACCIONES DEL DIA 11/19/2018SPYRAL - GESTION ADMINISTRATIVA"/>
    <n v="16"/>
    <n v="0"/>
    <s v="BOULEVARD EL DORADO"/>
    <x v="2"/>
  </r>
  <r>
    <n v="95"/>
    <d v="2018-11-20T00:00:00"/>
    <x v="5"/>
    <x v="5"/>
    <x v="0"/>
    <s v="CAJA"/>
    <s v="ALIMENTACION DE EMPLEADOS CTA NUEVA"/>
    <s v="TRANSACCIONES DEL DIA 11/20/2018SPYRAL - GESTION ADMINISTRATIVA"/>
    <n v="8"/>
    <n v="0"/>
    <s v="BOULEVARD EL DORADO"/>
    <x v="2"/>
  </r>
  <r>
    <n v="95"/>
    <d v="2018-12-04T00:00:00"/>
    <x v="1"/>
    <x v="1"/>
    <x v="0"/>
    <s v="CAJA"/>
    <s v="ALIMENTACION DE EMPLEADOS CTA NUEVA"/>
    <s v="TRANSACCIONES DEL DIA 12/04/2018SPYRAL - GESTION ADMINISTRATIVA"/>
    <n v="24"/>
    <n v="0"/>
    <s v="BOULEVARD EL DORADO"/>
    <x v="2"/>
  </r>
  <r>
    <n v="95"/>
    <d v="2018-12-17T00:00:00"/>
    <x v="1"/>
    <x v="1"/>
    <x v="0"/>
    <s v="CAJA"/>
    <s v="ALIMENTACION DE EMPLEADOS CTA NUEVA"/>
    <s v="TRANSACCIONES DEL DIA 12/17/2018SPYRAL - GESTION ADMINISTRATIVA"/>
    <n v="32"/>
    <n v="0"/>
    <s v="BOULEVARD EL DORADO"/>
    <x v="2"/>
  </r>
  <r>
    <n v="95"/>
    <d v="2018-12-21T00:00:00"/>
    <x v="1"/>
    <x v="1"/>
    <x v="0"/>
    <s v="CAJA"/>
    <s v="ALIMENTACION DE EMPLEADOS CTA NUEVA"/>
    <s v="TRANSACCIONES DEL DIA 12/21/2018SPYRAL - GESTION ADMINISTRATIVA"/>
    <n v="8"/>
    <n v="0"/>
    <s v="BOULEVARD EL DORADO"/>
    <x v="2"/>
  </r>
  <r>
    <n v="95"/>
    <d v="2018-12-24T00:00:00"/>
    <x v="1"/>
    <x v="1"/>
    <x v="0"/>
    <s v="CAJA"/>
    <s v="ALIMENTACION DE EMPLEADOS CTA NUEVA"/>
    <s v="TRANSACCIONES DEL DIA 12/24/2018SPYRAL - GESTION ADMINISTRATIVA"/>
    <n v="8"/>
    <n v="0"/>
    <s v="BOULEVARD EL DORADO"/>
    <x v="2"/>
  </r>
  <r>
    <n v="95"/>
    <d v="2018-12-31T00:00:00"/>
    <x v="1"/>
    <x v="1"/>
    <x v="0"/>
    <s v="CAJA"/>
    <s v="CIERRE DE ANIO FISCAL"/>
    <s v="CIERRE_DE_CTAS_NOMINALES"/>
    <n v="0"/>
    <n v="840"/>
    <s v="BOULEVARD EL DORADO"/>
    <x v="2"/>
  </r>
  <r>
    <n v="95"/>
    <d v="2018-07-17T00:00:00"/>
    <x v="6"/>
    <x v="6"/>
    <x v="0"/>
    <s v="SERVICIOS PERSONALES"/>
    <s v="ALIMENTACION DE EMPLEADOS CTA NUEVA"/>
    <s v="TRANSACCIONES DEL DIA 07/17/2018SPYRAL - GESTION ADMINISTRATIVA"/>
    <n v="8"/>
    <n v="0"/>
    <s v="BOULEVARD EL DORADO"/>
    <x v="2"/>
  </r>
  <r>
    <n v="95"/>
    <d v="2018-07-27T00:00:00"/>
    <x v="6"/>
    <x v="6"/>
    <x v="0"/>
    <s v="SERVICIOS PERSONALES"/>
    <s v="ALIMENTACION DE EMPLEADOS CTA NUEVA"/>
    <s v="TRANSACCIONES DEL DIA 07/27/2018SPYRAL - GESTION ADMINISTRATIVA"/>
    <n v="8"/>
    <n v="0"/>
    <s v="BOULEVARD EL DORADO"/>
    <x v="2"/>
  </r>
  <r>
    <n v="95"/>
    <d v="2018-09-17T00:00:00"/>
    <x v="4"/>
    <x v="4"/>
    <x v="0"/>
    <s v="SERVICIOS PERSONALES"/>
    <s v="ALIMENTACION DE EMPLEADOS CTA NUEVA"/>
    <s v="TRANSACCIONES DEL DIA 09/17/2018SPYRAL - GESTION ADMINISTRATIVA"/>
    <n v="8"/>
    <n v="0"/>
    <s v="BOULEVARD EL DORADO"/>
    <x v="2"/>
  </r>
  <r>
    <n v="95"/>
    <d v="2018-09-24T00:00:00"/>
    <x v="4"/>
    <x v="4"/>
    <x v="0"/>
    <s v="SERVICIOS PERSONALES"/>
    <s v="ALIMENTACION DE EMPLEADOS CTA NUEVA"/>
    <s v="TRANSACCIONES DEL DIA 09/24/2018SPYRAL - GESTION ADMINISTRATIVA"/>
    <n v="8"/>
    <n v="0"/>
    <s v="BOULEVARD EL DORADO"/>
    <x v="2"/>
  </r>
  <r>
    <n v="95"/>
    <d v="2018-10-22T00:00:00"/>
    <x v="0"/>
    <x v="0"/>
    <x v="0"/>
    <s v="SERVICIOS PERSONALES"/>
    <s v="ALIMENTACION DE EMPLEADOS CTA NUEVA"/>
    <s v="TRANSACCIONES DEL DIA 10/22/2018SPYRAL - GESTION ADMINISTRATIVA"/>
    <n v="8"/>
    <n v="0"/>
    <s v="BOULEVARD EL DORADO"/>
    <x v="2"/>
  </r>
  <r>
    <n v="95"/>
    <d v="2018-10-26T00:00:00"/>
    <x v="0"/>
    <x v="0"/>
    <x v="0"/>
    <s v="SERVICIOS PERSONALES"/>
    <s v="ALIMENTACION DE EMPLEADOS CTA NUEVA"/>
    <s v="TRANSACCIONES DEL DIA 10/26/2018SPYRAL - GESTION ADMINISTRATIVA"/>
    <n v="8"/>
    <n v="0"/>
    <s v="BOULEVARD EL DORADO"/>
    <x v="2"/>
  </r>
  <r>
    <n v="95"/>
    <d v="2018-11-02T00:00:00"/>
    <x v="5"/>
    <x v="5"/>
    <x v="0"/>
    <s v="SERVICIOS PERSONALES"/>
    <s v="ALIMENTACION DE EMPLEADOS CTA NUEVA"/>
    <s v="TRANSACCIONES DEL DIA 11/02/2018SPYRAL - GESTION ADMINISTRATIVA"/>
    <n v="8"/>
    <n v="0"/>
    <s v="BOULEVARD EL DORADO"/>
    <x v="2"/>
  </r>
  <r>
    <n v="95"/>
    <d v="2018-12-06T00:00:00"/>
    <x v="1"/>
    <x v="1"/>
    <x v="0"/>
    <s v="SERVICIOS PERSONALES"/>
    <s v="ALIMENTACION DE EMPLEADOS CTA NUEVA"/>
    <s v="TRANSACCIONES DEL DIA 12/06/2018SPYRAL - GESTION ADMINISTRATIVA"/>
    <n v="16"/>
    <n v="0"/>
    <s v="BOULEVARD EL DORADO"/>
    <x v="2"/>
  </r>
  <r>
    <n v="95"/>
    <d v="2018-12-21T00:00:00"/>
    <x v="1"/>
    <x v="1"/>
    <x v="0"/>
    <s v="SERVICIOS PERSONALES"/>
    <s v="ALIMENTACION DE EMPLEADOS CTA NUEVA"/>
    <s v="TRANSACCIONES DEL DIA 12/21/2018SPYRAL - GESTION ADMINISTRATIVA"/>
    <n v="8"/>
    <n v="0"/>
    <s v="BOULEVARD EL DORADO"/>
    <x v="2"/>
  </r>
  <r>
    <n v="95"/>
    <d v="2018-12-31T00:00:00"/>
    <x v="1"/>
    <x v="1"/>
    <x v="0"/>
    <s v="SERVICIOS PERSONALES"/>
    <s v="CIERRE DE ANIO FISCAL"/>
    <s v="CIERRE_DE_CTAS_NOMINALES"/>
    <n v="0"/>
    <n v="104"/>
    <s v="BOULEVARD EL DORADO"/>
    <x v="2"/>
  </r>
  <r>
    <n v="97"/>
    <d v="2018-06-20T00:00:00"/>
    <x v="2"/>
    <x v="2"/>
    <x v="0"/>
    <s v="ADMINISTRACION DE SUCURSALES"/>
    <s v="ALIMENTACION DE EMPLEADOS CTA NUEVA"/>
    <s v="TRANSACCIONES DEL DIA 06/20/2018SPYRAL - GESTION ADMINISTRATIVA"/>
    <n v="8"/>
    <n v="0"/>
    <s v="SAN SEBASTIAN"/>
    <x v="2"/>
  </r>
  <r>
    <n v="97"/>
    <d v="2018-10-03T00:00:00"/>
    <x v="0"/>
    <x v="0"/>
    <x v="0"/>
    <s v="ADMINISTRACION DE SUCURSALES"/>
    <s v="ALIMENTACION DE EMPLEADOS CTA NUEVA"/>
    <s v="TRANSACCIONES DEL DIA 10/03/2018SPYRAL - GESTION ADMINISTRATIVA"/>
    <n v="8"/>
    <n v="0"/>
    <s v="SAN SEBASTIAN"/>
    <x v="2"/>
  </r>
  <r>
    <n v="97"/>
    <d v="2018-12-31T00:00:00"/>
    <x v="1"/>
    <x v="1"/>
    <x v="0"/>
    <s v="ADMINISTRACION DE SUCURSALES"/>
    <s v="CIERRE DE ANIO FISCAL"/>
    <s v="CIERRE_DE_CTAS_NOMINALES"/>
    <n v="0"/>
    <n v="16"/>
    <s v="SAN SEBASTIAN"/>
    <x v="2"/>
  </r>
  <r>
    <n v="97"/>
    <d v="2018-06-01T00:00:00"/>
    <x v="2"/>
    <x v="2"/>
    <x v="0"/>
    <s v="CAJA"/>
    <s v="ALIMENTACION DE EMPLEADOS CTA NUEVA"/>
    <s v="TRANSACCIONES DEL DIA 06/01/2018SPYRAL - GESTION ADMINISTRATIVA"/>
    <n v="56"/>
    <n v="0"/>
    <s v="SAN SEBASTIAN"/>
    <x v="2"/>
  </r>
  <r>
    <n v="97"/>
    <d v="2018-06-05T00:00:00"/>
    <x v="2"/>
    <x v="2"/>
    <x v="0"/>
    <s v="CAJA"/>
    <s v="ALIMENTACION DE EMPLEADOS CTA NUEVA"/>
    <s v="TRANSACCIONES DEL DIA 06/05/2018SPYRAL - GESTION ADMINISTRATIVA"/>
    <n v="16"/>
    <n v="0"/>
    <s v="SAN SEBASTIAN"/>
    <x v="2"/>
  </r>
  <r>
    <n v="97"/>
    <d v="2018-06-08T00:00:00"/>
    <x v="2"/>
    <x v="2"/>
    <x v="0"/>
    <s v="CAJA"/>
    <s v="ALIMENTACION DE EMPLEADOS CTA NUEVA"/>
    <s v="TRANSACCIONES DEL DIA 06/08/2018SPYRAL - GESTION ADMINISTRATIVA"/>
    <n v="16"/>
    <n v="0"/>
    <s v="SAN SEBASTIAN"/>
    <x v="2"/>
  </r>
  <r>
    <n v="97"/>
    <d v="2018-06-13T00:00:00"/>
    <x v="2"/>
    <x v="2"/>
    <x v="0"/>
    <s v="CAJA"/>
    <s v="ALIMENTACION DE EMPLEADOS CTA NUEVA"/>
    <s v="TRANSACCIONES DEL DIA 06/13/2018SPYRAL - GESTION ADMINISTRATIVA"/>
    <n v="40"/>
    <n v="0"/>
    <s v="SAN SEBASTIAN"/>
    <x v="2"/>
  </r>
  <r>
    <n v="97"/>
    <d v="2018-06-15T00:00:00"/>
    <x v="2"/>
    <x v="2"/>
    <x v="0"/>
    <s v="CAJA"/>
    <s v="ALIMENTACION DE EMPLEADOS CTA NUEVA"/>
    <s v="TRANSACCIONES DEL DIA 06/15/2018SPYRAL - GESTION ADMINISTRATIVA"/>
    <n v="8"/>
    <n v="0"/>
    <s v="SAN SEBASTIAN"/>
    <x v="2"/>
  </r>
  <r>
    <n v="97"/>
    <d v="2018-06-20T00:00:00"/>
    <x v="2"/>
    <x v="2"/>
    <x v="0"/>
    <s v="CAJA"/>
    <s v="ALIMENTACION DE EMPLEADOS CTA NUEVA"/>
    <s v="TRANSACCIONES DEL DIA 06/20/2018SPYRAL - GESTION ADMINISTRATIVA"/>
    <n v="72"/>
    <n v="0"/>
    <s v="SAN SEBASTIAN"/>
    <x v="2"/>
  </r>
  <r>
    <n v="97"/>
    <d v="2018-06-21T00:00:00"/>
    <x v="2"/>
    <x v="2"/>
    <x v="0"/>
    <s v="CAJA"/>
    <s v="ALIMENTACION DE EMPLEADOS CTA NUEVA"/>
    <s v="TRANSACCIONES DEL DIA 06/21/2018SPYRAL - GESTION ADMINISTRATIVA"/>
    <n v="16"/>
    <n v="0"/>
    <s v="SAN SEBASTIAN"/>
    <x v="2"/>
  </r>
  <r>
    <n v="97"/>
    <d v="2018-06-25T00:00:00"/>
    <x v="2"/>
    <x v="2"/>
    <x v="0"/>
    <s v="CAJA"/>
    <s v="ALIMENTACION DE EMPLEADOS CTA NUEVA"/>
    <s v="TRANSACCIONES DEL DIA 06/25/2018SPYRAL - GESTION ADMINISTRATIVA"/>
    <n v="16"/>
    <n v="0"/>
    <s v="SAN SEBASTIAN"/>
    <x v="2"/>
  </r>
  <r>
    <n v="97"/>
    <d v="2018-06-26T00:00:00"/>
    <x v="2"/>
    <x v="2"/>
    <x v="0"/>
    <s v="CAJA"/>
    <s v="ALIMENTACION DE EMPLEADOS CTA NUEVA"/>
    <s v="TRANSACCIONES DEL DIA 06/26/2018SPYRAL - GESTION ADMINISTRATIVA"/>
    <n v="24"/>
    <n v="0"/>
    <s v="SAN SEBASTIAN"/>
    <x v="2"/>
  </r>
  <r>
    <n v="97"/>
    <d v="2018-06-28T00:00:00"/>
    <x v="2"/>
    <x v="2"/>
    <x v="0"/>
    <s v="CAJA"/>
    <s v="ALIMENTACION DE EMPLEADOS CTA NUEVA"/>
    <s v="TRANSACCIONES DEL DIA 06/28/2018SPYRAL - GESTION ADMINISTRATIVA"/>
    <n v="24"/>
    <n v="0"/>
    <s v="SAN SEBASTIAN"/>
    <x v="2"/>
  </r>
  <r>
    <n v="97"/>
    <d v="2018-06-29T00:00:00"/>
    <x v="2"/>
    <x v="2"/>
    <x v="0"/>
    <s v="CAJA"/>
    <s v="ALIMENTACION DE EMPLEADOS CTA NUEVA"/>
    <s v="TRANSACCIONES DEL DIA 06/29/2018SPYRAL - GESTION ADMINISTRATIVA"/>
    <n v="8"/>
    <n v="0"/>
    <s v="SAN SEBASTIAN"/>
    <x v="2"/>
  </r>
  <r>
    <n v="97"/>
    <d v="2018-07-03T00:00:00"/>
    <x v="6"/>
    <x v="6"/>
    <x v="0"/>
    <s v="CAJA"/>
    <s v="ALIMENTACION DE EMPLEADOS CTA NUEVA"/>
    <s v="TRANSACCIONES DEL DIA 07/03/2018SPYRAL - GESTION ADMINISTRATIVA"/>
    <n v="56"/>
    <n v="0"/>
    <s v="SAN SEBASTIAN"/>
    <x v="2"/>
  </r>
  <r>
    <n v="97"/>
    <d v="2018-07-04T00:00:00"/>
    <x v="6"/>
    <x v="6"/>
    <x v="0"/>
    <s v="CAJA"/>
    <s v="ALIMENTACION DE EMPLEADOS CTA NUEVA"/>
    <s v="TRANSACCIONES DEL DIA 07/04/2018SPYRAL - GESTION ADMINISTRATIVA"/>
    <n v="8"/>
    <n v="0"/>
    <s v="SAN SEBASTIAN"/>
    <x v="2"/>
  </r>
  <r>
    <n v="97"/>
    <d v="2018-07-06T00:00:00"/>
    <x v="6"/>
    <x v="6"/>
    <x v="0"/>
    <s v="CAJA"/>
    <s v="ALIMENTACION DE EMPLEADOS CTA NUEVA"/>
    <s v="TRANSACCIONES DEL DIA 07/06/2018SPYRAL - GESTION ADMINISTRATIVA"/>
    <n v="24"/>
    <n v="0"/>
    <s v="SAN SEBASTIAN"/>
    <x v="2"/>
  </r>
  <r>
    <n v="97"/>
    <d v="2018-07-09T00:00:00"/>
    <x v="6"/>
    <x v="6"/>
    <x v="0"/>
    <s v="CAJA"/>
    <s v="ALIMENTACION DE EMPLEADOS CTA NUEVA"/>
    <s v="TRANSACCIONES DEL DIA 07/09/2018SPYRAL - GESTION ADMINISTRATIVA"/>
    <n v="24"/>
    <n v="0"/>
    <s v="SAN SEBASTIAN"/>
    <x v="2"/>
  </r>
  <r>
    <n v="97"/>
    <d v="2018-07-12T00:00:00"/>
    <x v="6"/>
    <x v="6"/>
    <x v="0"/>
    <s v="CAJA"/>
    <s v="ALIMENTACION DE EMPLEADOS CTA NUEVA"/>
    <s v="TRANSACCIONES DEL DIA 07/12/2018SPYRAL - GESTION ADMINISTRATIVA"/>
    <n v="16"/>
    <n v="0"/>
    <s v="SAN SEBASTIAN"/>
    <x v="2"/>
  </r>
  <r>
    <n v="97"/>
    <d v="2018-07-14T00:00:00"/>
    <x v="6"/>
    <x v="6"/>
    <x v="0"/>
    <s v="CAJA"/>
    <s v="ALIMENTACION DE EMPLEADOS CTA NUEVA"/>
    <s v="TRANSACCIONES DEL DIA 07/14/2018SPYRAL - GESTION ADMINISTRATIVA"/>
    <n v="16"/>
    <n v="0"/>
    <s v="SAN SEBASTIAN"/>
    <x v="2"/>
  </r>
  <r>
    <n v="97"/>
    <d v="2018-07-16T00:00:00"/>
    <x v="6"/>
    <x v="6"/>
    <x v="0"/>
    <s v="CAJA"/>
    <s v="ALIMENTACION DE EMPLEADOS CTA NUEVA"/>
    <s v="TRANSACCIONES DEL DIA 07/16/2018SPYRAL - GESTION ADMINISTRATIVA"/>
    <n v="56"/>
    <n v="0"/>
    <s v="SAN SEBASTIAN"/>
    <x v="2"/>
  </r>
  <r>
    <n v="97"/>
    <d v="2018-07-21T00:00:00"/>
    <x v="6"/>
    <x v="6"/>
    <x v="0"/>
    <s v="CAJA"/>
    <s v="ALIMENTACION DE EMPLEADOS CTA NUEVA"/>
    <s v="TRANSACCIONES DEL DIA 07/21/2018SPYRAL - GESTION ADMINISTRATIVA"/>
    <n v="40"/>
    <n v="0"/>
    <s v="SAN SEBASTIAN"/>
    <x v="2"/>
  </r>
  <r>
    <n v="97"/>
    <d v="2018-07-25T00:00:00"/>
    <x v="6"/>
    <x v="6"/>
    <x v="0"/>
    <s v="CAJA"/>
    <s v="ALIMENTACION DE EMPLEADOS CTA NUEVA"/>
    <s v="TRANSACCIONES DEL DIA 07/25/2018SPYRAL - GESTION ADMINISTRATIVA"/>
    <n v="24"/>
    <n v="0"/>
    <s v="SAN SEBASTIAN"/>
    <x v="2"/>
  </r>
  <r>
    <n v="97"/>
    <d v="2018-07-27T00:00:00"/>
    <x v="6"/>
    <x v="6"/>
    <x v="0"/>
    <s v="CAJA"/>
    <s v="ALIMENTACION DE EMPLEADOS CTA NUEVA"/>
    <s v="TRANSACCIONES DEL DIA 07/27/2018SPYRAL - GESTION ADMINISTRATIVA"/>
    <n v="24"/>
    <n v="0"/>
    <s v="SAN SEBASTIAN"/>
    <x v="2"/>
  </r>
  <r>
    <n v="97"/>
    <d v="2018-07-30T00:00:00"/>
    <x v="6"/>
    <x v="6"/>
    <x v="0"/>
    <s v="CAJA"/>
    <s v="ALIMENTACION DE EMPLEADOS CTA NUEVA"/>
    <s v="TRANSACCIONES DEL DIA 07/30/2018SPYRAL - GESTION ADMINISTRATIVA"/>
    <n v="56"/>
    <n v="0"/>
    <s v="SAN SEBASTIAN"/>
    <x v="2"/>
  </r>
  <r>
    <n v="97"/>
    <d v="2018-08-02T00:00:00"/>
    <x v="3"/>
    <x v="3"/>
    <x v="0"/>
    <s v="CAJA"/>
    <s v="ALIMENTACION DE EMPLEADOS CTA NUEVA"/>
    <s v="TRANSACCIONES DEL DIA 08/02/2018SPYRAL - GESTION ADMINISTRATIVA"/>
    <n v="56"/>
    <n v="0"/>
    <s v="SAN SEBASTIAN"/>
    <x v="2"/>
  </r>
  <r>
    <n v="97"/>
    <d v="2018-08-03T00:00:00"/>
    <x v="3"/>
    <x v="3"/>
    <x v="0"/>
    <s v="CAJA"/>
    <s v="ALIMENTACION DE EMPLEADOS CTA NUEVA"/>
    <s v="TRANSACCIONES DEL DIA 08/03/2018SPYRAL - GESTION ADMINISTRATIVA"/>
    <n v="8"/>
    <n v="0"/>
    <s v="SAN SEBASTIAN"/>
    <x v="2"/>
  </r>
  <r>
    <n v="97"/>
    <d v="2018-08-06T00:00:00"/>
    <x v="3"/>
    <x v="3"/>
    <x v="0"/>
    <s v="CAJA"/>
    <s v="ALIMENTACION DE EMPLEADOS CTA NUEVA"/>
    <s v="TRANSACCIONES DEL DIA 08/06/2018SPYRAL - GESTION ADMINISTRATIVA"/>
    <n v="24"/>
    <n v="0"/>
    <s v="SAN SEBASTIAN"/>
    <x v="2"/>
  </r>
  <r>
    <n v="97"/>
    <d v="2018-08-07T00:00:00"/>
    <x v="3"/>
    <x v="3"/>
    <x v="0"/>
    <s v="CAJA"/>
    <s v="ALIMENTACION DE EMPLEADOS CTA NUEVA"/>
    <s v="TRANSACCIONES DEL DIA 08/07/2018SPYRAL - GESTION ADMINISTRATIVA"/>
    <n v="16"/>
    <n v="0"/>
    <s v="SAN SEBASTIAN"/>
    <x v="2"/>
  </r>
  <r>
    <n v="97"/>
    <d v="2018-08-09T00:00:00"/>
    <x v="3"/>
    <x v="3"/>
    <x v="0"/>
    <s v="CAJA"/>
    <s v="ALIMENTACION DE EMPLEADOS CTA NUEVA"/>
    <s v="TRANSACCIONES DEL DIA 08/09/2018SPYRAL - GESTION ADMINISTRATIVA"/>
    <n v="16"/>
    <n v="0"/>
    <s v="SAN SEBASTIAN"/>
    <x v="2"/>
  </r>
  <r>
    <n v="97"/>
    <d v="2018-08-10T00:00:00"/>
    <x v="3"/>
    <x v="3"/>
    <x v="0"/>
    <s v="CAJA"/>
    <s v="ALIMENTACION DE EMPLEADOS CTA NUEVA"/>
    <s v="TRANSACCIONES DEL DIA 08/10/2018SPYRAL - GESTION ADMINISTRATIVA"/>
    <n v="24"/>
    <n v="0"/>
    <s v="SAN SEBASTIAN"/>
    <x v="2"/>
  </r>
  <r>
    <n v="97"/>
    <d v="2018-08-14T00:00:00"/>
    <x v="3"/>
    <x v="3"/>
    <x v="0"/>
    <s v="CAJA"/>
    <s v="ALIMENTACION DE EMPLEADOS CTA NUEVA"/>
    <s v="TRANSACCIONES DEL DIA 08/14/2018SPYRAL - GESTION ADMINISTRATIVA"/>
    <n v="32"/>
    <n v="0"/>
    <s v="SAN SEBASTIAN"/>
    <x v="2"/>
  </r>
  <r>
    <n v="97"/>
    <d v="2018-08-17T00:00:00"/>
    <x v="3"/>
    <x v="3"/>
    <x v="0"/>
    <s v="CAJA"/>
    <s v="ALIMENTACION DE EMPLEADOS CTA NUEVA"/>
    <s v="TRANSACCIONES DEL DIA 08/17/2018SPYRAL - GESTION ADMINISTRATIVA"/>
    <n v="8"/>
    <n v="0"/>
    <s v="SAN SEBASTIAN"/>
    <x v="2"/>
  </r>
  <r>
    <n v="97"/>
    <d v="2018-08-20T00:00:00"/>
    <x v="3"/>
    <x v="3"/>
    <x v="0"/>
    <s v="CAJA"/>
    <s v="ALIMENTACION DE EMPLEADOS CTA NUEVA"/>
    <s v="TRANSACCIONES DEL DIA 08/20/2018SPYRAL - GESTION ADMINISTRATIVA"/>
    <n v="112"/>
    <n v="0"/>
    <s v="SAN SEBASTIAN"/>
    <x v="2"/>
  </r>
  <r>
    <n v="97"/>
    <d v="2018-08-22T00:00:00"/>
    <x v="3"/>
    <x v="3"/>
    <x v="0"/>
    <s v="CAJA"/>
    <s v="ALIMENTACION DE EMPLEADOS CTA NUEVA"/>
    <s v="TRANSACCIONES DEL DIA 08/22/2018SPYRAL - GESTION ADMINISTRATIVA"/>
    <n v="8"/>
    <n v="0"/>
    <s v="SAN SEBASTIAN"/>
    <x v="2"/>
  </r>
  <r>
    <n v="97"/>
    <d v="2018-08-23T00:00:00"/>
    <x v="3"/>
    <x v="3"/>
    <x v="0"/>
    <s v="CAJA"/>
    <s v="ALIMENTACION DE EMPLEADOS CTA NUEVA"/>
    <s v="TRANSACCIONES DEL DIA 08/23/2018SPYRAL - GESTION ADMINISTRATIVA"/>
    <n v="16"/>
    <n v="0"/>
    <s v="SAN SEBASTIAN"/>
    <x v="2"/>
  </r>
  <r>
    <n v="97"/>
    <d v="2018-08-24T00:00:00"/>
    <x v="3"/>
    <x v="3"/>
    <x v="0"/>
    <s v="CAJA"/>
    <s v="ALIMENTACION DE EMPLEADOS CTA NUEVA"/>
    <s v="TRANSACCIONES DEL DIA 08/24/2018SPYRAL - GESTION ADMINISTRATIVA"/>
    <n v="32"/>
    <n v="0"/>
    <s v="SAN SEBASTIAN"/>
    <x v="2"/>
  </r>
  <r>
    <n v="97"/>
    <d v="2018-08-28T00:00:00"/>
    <x v="3"/>
    <x v="3"/>
    <x v="0"/>
    <s v="CAJA"/>
    <s v="ALIMENTACION DE EMPLEADOS CTA NUEVA"/>
    <s v="TRANSACCIONES DEL DIA 08/28/2018SPYRAL - GESTION ADMINISTRATIVA"/>
    <n v="16"/>
    <n v="0"/>
    <s v="SAN SEBASTIAN"/>
    <x v="2"/>
  </r>
  <r>
    <n v="97"/>
    <d v="2018-08-29T00:00:00"/>
    <x v="3"/>
    <x v="3"/>
    <x v="0"/>
    <s v="CAJA"/>
    <s v="ALIMENTACION DE EMPLEADOS CTA NUEVA"/>
    <s v="TRANSACCIONES DEL DIA 08/29/2018SPYRAL - GESTION ADMINISTRATIVA"/>
    <n v="8"/>
    <n v="0"/>
    <s v="SAN SEBASTIAN"/>
    <x v="2"/>
  </r>
  <r>
    <n v="97"/>
    <d v="2018-08-31T00:00:00"/>
    <x v="3"/>
    <x v="3"/>
    <x v="0"/>
    <s v="CAJA"/>
    <s v="ALIMENTACION DE EMPLEADOS CTA NUEVA"/>
    <s v="TRANSACCIONES DEL DIA 08/31/2018SPYRAL - GESTION ADMINISTRATIVA"/>
    <n v="16"/>
    <n v="0"/>
    <s v="SAN SEBASTIAN"/>
    <x v="2"/>
  </r>
  <r>
    <n v="97"/>
    <d v="2018-09-05T00:00:00"/>
    <x v="4"/>
    <x v="4"/>
    <x v="0"/>
    <s v="CAJA"/>
    <s v="ALIMENTACION DE EMPLEADOS CTA NUEVA"/>
    <s v="TRANSACCIONES DEL DIA 09/05/2018SPYRAL - GESTION ADMINISTRATIVA"/>
    <n v="64"/>
    <n v="0"/>
    <s v="SAN SEBASTIAN"/>
    <x v="2"/>
  </r>
  <r>
    <n v="97"/>
    <d v="2018-09-07T00:00:00"/>
    <x v="4"/>
    <x v="4"/>
    <x v="0"/>
    <s v="CAJA"/>
    <s v="ALIMENTACION DE EMPLEADOS CTA NUEVA"/>
    <s v="TRANSACCIONES DEL DIA 09/07/2018SPYRAL - GESTION ADMINISTRATIVA"/>
    <n v="32"/>
    <n v="0"/>
    <s v="SAN SEBASTIAN"/>
    <x v="2"/>
  </r>
  <r>
    <n v="97"/>
    <d v="2018-09-08T00:00:00"/>
    <x v="4"/>
    <x v="4"/>
    <x v="0"/>
    <s v="CAJA"/>
    <s v="ALIMENTACION DE EMPLEADOS CTA NUEVA"/>
    <s v="TRANSACCIONES DEL DIA 09/08/2018SPYRAL - GESTION ADMINISTRATIVA"/>
    <n v="16"/>
    <n v="0"/>
    <s v="SAN SEBASTIAN"/>
    <x v="2"/>
  </r>
  <r>
    <n v="97"/>
    <d v="2018-09-10T00:00:00"/>
    <x v="4"/>
    <x v="4"/>
    <x v="0"/>
    <s v="CAJA"/>
    <s v="ALIMENTACION DE EMPLEADOS CTA NUEVA"/>
    <s v="TRANSACCIONES DEL DIA 09/10/2018SPYRAL - GESTION ADMINISTRATIVA"/>
    <n v="32"/>
    <n v="0"/>
    <s v="SAN SEBASTIAN"/>
    <x v="2"/>
  </r>
  <r>
    <n v="97"/>
    <d v="2018-09-11T00:00:00"/>
    <x v="4"/>
    <x v="4"/>
    <x v="0"/>
    <s v="CAJA"/>
    <s v="ALIMENTACION DE EMPLEADOS CTA NUEVA"/>
    <s v="TRANSACCIONES DEL DIA 09/11/2018SPYRAL - GESTION ADMINISTRATIVA"/>
    <n v="16"/>
    <n v="0"/>
    <s v="SAN SEBASTIAN"/>
    <x v="2"/>
  </r>
  <r>
    <n v="97"/>
    <d v="2018-09-14T00:00:00"/>
    <x v="4"/>
    <x v="4"/>
    <x v="0"/>
    <s v="CAJA"/>
    <s v="ALIMENTACION DE EMPLEADOS CTA NUEVA"/>
    <s v="TRANSACCIONES DEL DIA 09/14/2018SPYRAL - GESTION ADMINISTRATIVA"/>
    <n v="32"/>
    <n v="0"/>
    <s v="SAN SEBASTIAN"/>
    <x v="2"/>
  </r>
  <r>
    <n v="97"/>
    <d v="2018-09-19T00:00:00"/>
    <x v="4"/>
    <x v="4"/>
    <x v="0"/>
    <s v="CAJA"/>
    <s v="ALIMENTACION DE EMPLEADOS CTA NUEVA"/>
    <s v="TRANSACCIONES DEL DIA 09/19/2018SPYRAL - GESTION ADMINISTRATIVA"/>
    <n v="48"/>
    <n v="0"/>
    <s v="SAN SEBASTIAN"/>
    <x v="2"/>
  </r>
  <r>
    <n v="97"/>
    <d v="2018-09-20T00:00:00"/>
    <x v="4"/>
    <x v="4"/>
    <x v="0"/>
    <s v="CAJA"/>
    <s v="ALIMENTACION DE EMPLEADOS CTA NUEVA"/>
    <s v="TRANSACCIONES DEL DIA 09/20/2018SPYRAL - GESTION ADMINISTRATIVA"/>
    <n v="24"/>
    <n v="0"/>
    <s v="SAN SEBASTIAN"/>
    <x v="2"/>
  </r>
  <r>
    <n v="97"/>
    <d v="2018-09-21T00:00:00"/>
    <x v="4"/>
    <x v="4"/>
    <x v="0"/>
    <s v="CAJA"/>
    <s v="ALIMENTACION DE EMPLEADOS CTA NUEVA"/>
    <s v="TRANSACCIONES DEL DIA 09/21/2018SPYRAL - GESTION ADMINISTRATIVA"/>
    <n v="8"/>
    <n v="0"/>
    <s v="SAN SEBASTIAN"/>
    <x v="2"/>
  </r>
  <r>
    <n v="97"/>
    <d v="2018-09-24T00:00:00"/>
    <x v="4"/>
    <x v="4"/>
    <x v="0"/>
    <s v="CAJA"/>
    <s v="ALIMENTACION DE EMPLEADOS CTA NUEVA"/>
    <s v="TRANSACCIONES DEL DIA 09/24/2018SPYRAL - GESTION ADMINISTRATIVA"/>
    <n v="8"/>
    <n v="0"/>
    <s v="SAN SEBASTIAN"/>
    <x v="2"/>
  </r>
  <r>
    <n v="97"/>
    <d v="2018-09-26T00:00:00"/>
    <x v="4"/>
    <x v="4"/>
    <x v="0"/>
    <s v="CAJA"/>
    <s v="ALIMENTACION DE EMPLEADOS CTA NUEVA"/>
    <s v="TRANSACCIONES DEL DIA 09/26/2018SPYRAL - GESTION ADMINISTRATIVA"/>
    <n v="24"/>
    <n v="0"/>
    <s v="SAN SEBASTIAN"/>
    <x v="2"/>
  </r>
  <r>
    <n v="97"/>
    <d v="2018-10-01T00:00:00"/>
    <x v="0"/>
    <x v="0"/>
    <x v="0"/>
    <s v="CAJA"/>
    <s v="ALIMENTACION DE EMPLEADOS CTA NUEVA"/>
    <s v="TRANSACCIONES DEL DIA 10/01/2018SPYRAL - GESTION ADMINISTRATIVA"/>
    <n v="16"/>
    <n v="0"/>
    <s v="SAN SEBASTIAN"/>
    <x v="2"/>
  </r>
  <r>
    <n v="97"/>
    <d v="2018-10-03T00:00:00"/>
    <x v="0"/>
    <x v="0"/>
    <x v="0"/>
    <s v="CAJA"/>
    <s v="ALIMENTACION DE EMPLEADOS CTA NUEVA"/>
    <s v="TRANSACCIONES DEL DIA 10/03/2018SPYRAL - GESTION ADMINISTRATIVA"/>
    <n v="80"/>
    <n v="0"/>
    <s v="SAN SEBASTIAN"/>
    <x v="2"/>
  </r>
  <r>
    <n v="97"/>
    <d v="2018-10-08T00:00:00"/>
    <x v="0"/>
    <x v="0"/>
    <x v="0"/>
    <s v="CAJA"/>
    <s v="ALIMENTACION DE EMPLEADOS CTA NUEVA"/>
    <s v="TRANSACCIONES DEL DIA 10/08/2018SPYRAL - GESTION ADMINISTRATIVA"/>
    <n v="64"/>
    <n v="0"/>
    <s v="SAN SEBASTIAN"/>
    <x v="2"/>
  </r>
  <r>
    <n v="97"/>
    <d v="2018-10-10T00:00:00"/>
    <x v="0"/>
    <x v="0"/>
    <x v="0"/>
    <s v="CAJA"/>
    <s v="ALIMENTACION DE EMPLEADOS CTA NUEVA"/>
    <s v="TRANSACCIONES DEL DIA 10/10/2018SPYRAL - GESTION ADMINISTRATIVA"/>
    <n v="16"/>
    <n v="0"/>
    <s v="SAN SEBASTIAN"/>
    <x v="2"/>
  </r>
  <r>
    <n v="97"/>
    <d v="2018-10-12T00:00:00"/>
    <x v="0"/>
    <x v="0"/>
    <x v="0"/>
    <s v="CAJA"/>
    <s v="ALIMENTACION DE EMPLEADOS CTA NUEVA"/>
    <s v="TRANSACCIONES DEL DIA 10/12/2018SPYRAL - GESTION ADMINISTRATIVA"/>
    <n v="24"/>
    <n v="0"/>
    <s v="SAN SEBASTIAN"/>
    <x v="2"/>
  </r>
  <r>
    <n v="97"/>
    <d v="2018-10-15T00:00:00"/>
    <x v="0"/>
    <x v="0"/>
    <x v="0"/>
    <s v="CAJA"/>
    <s v="ALIMENTACION DE EMPLEADOS CTA NUEVA"/>
    <s v="TRANSACCIONES DEL DIA 10/15/2018SPYRAL - GESTION ADMINISTRATIVA"/>
    <n v="32"/>
    <n v="0"/>
    <s v="SAN SEBASTIAN"/>
    <x v="2"/>
  </r>
  <r>
    <n v="97"/>
    <d v="2018-10-17T00:00:00"/>
    <x v="0"/>
    <x v="0"/>
    <x v="0"/>
    <s v="CAJA"/>
    <s v="ALIMENTACION DE EMPLEADOS CTA NUEVA"/>
    <s v="TRANSACCIONES DEL DIA 10/17/2018SPYRAL - GESTION ADMINISTRATIVA"/>
    <n v="56"/>
    <n v="0"/>
    <s v="SAN SEBASTIAN"/>
    <x v="2"/>
  </r>
  <r>
    <n v="97"/>
    <d v="2018-10-18T00:00:00"/>
    <x v="0"/>
    <x v="0"/>
    <x v="0"/>
    <s v="CAJA"/>
    <s v="ALIMENTACION DE EMPLEADOS CTA NUEVA"/>
    <s v="TRANSACCIONES DEL DIA 10/18/2018SPYRAL - GESTION ADMINISTRATIVA"/>
    <n v="40"/>
    <n v="0"/>
    <s v="SAN SEBASTIAN"/>
    <x v="2"/>
  </r>
  <r>
    <n v="97"/>
    <d v="2018-10-19T00:00:00"/>
    <x v="0"/>
    <x v="0"/>
    <x v="0"/>
    <s v="CAJA"/>
    <s v="ALIMENTACION DE EMPLEADOS CTA NUEVA"/>
    <s v="TRANSACCIONES DEL DIA 10/19/2018SPYRAL - GESTION ADMINISTRATIVA"/>
    <n v="16"/>
    <n v="0"/>
    <s v="SAN SEBASTIAN"/>
    <x v="2"/>
  </r>
  <r>
    <n v="97"/>
    <d v="2018-10-22T00:00:00"/>
    <x v="0"/>
    <x v="0"/>
    <x v="0"/>
    <s v="CAJA"/>
    <s v="ALIMENTACION DE EMPLEADOS CTA NUEVA"/>
    <s v="TRANSACCIONES DEL DIA 10/22/2018SPYRAL - GESTION ADMINISTRATIVA"/>
    <n v="24"/>
    <n v="0"/>
    <s v="SAN SEBASTIAN"/>
    <x v="2"/>
  </r>
  <r>
    <n v="97"/>
    <d v="2018-10-24T00:00:00"/>
    <x v="0"/>
    <x v="0"/>
    <x v="0"/>
    <s v="CAJA"/>
    <s v="ALIMENTACION DE EMPLEADOS CTA NUEVA"/>
    <s v="TRANSACCIONES DEL DIA 10/24/2018SPYRAL - GESTION ADMINISTRATIVA"/>
    <n v="16"/>
    <n v="0"/>
    <s v="SAN SEBASTIAN"/>
    <x v="2"/>
  </r>
  <r>
    <n v="97"/>
    <d v="2018-10-26T00:00:00"/>
    <x v="0"/>
    <x v="0"/>
    <x v="0"/>
    <s v="CAJA"/>
    <s v="ALIMENTACION DE EMPLEADOS CTA NUEVA"/>
    <s v="TRANSACCIONES DEL DIA 10/26/2018SPYRAL - GESTION ADMINISTRATIVA"/>
    <n v="24"/>
    <n v="0"/>
    <s v="SAN SEBASTIAN"/>
    <x v="2"/>
  </r>
  <r>
    <n v="97"/>
    <d v="2018-10-29T00:00:00"/>
    <x v="0"/>
    <x v="0"/>
    <x v="0"/>
    <s v="CAJA"/>
    <s v="ALIMENTACION DE EMPLEADOS CTA NUEVA"/>
    <s v="TRANSACCIONES DEL DIA 10/29/2018SPYRAL - GESTION ADMINISTRATIVA"/>
    <n v="24"/>
    <n v="0"/>
    <s v="SAN SEBASTIAN"/>
    <x v="2"/>
  </r>
  <r>
    <n v="97"/>
    <d v="2018-11-02T00:00:00"/>
    <x v="5"/>
    <x v="5"/>
    <x v="0"/>
    <s v="CAJA"/>
    <s v="ALIMENTACION DE EMPLEADOS CTA NUEVA"/>
    <s v="TRANSACCIONES DEL DIA 11/02/2018SPYRAL - GESTION ADMINISTRATIVA"/>
    <n v="88"/>
    <n v="0"/>
    <s v="SAN SEBASTIAN"/>
    <x v="2"/>
  </r>
  <r>
    <n v="97"/>
    <d v="2018-11-06T00:00:00"/>
    <x v="5"/>
    <x v="5"/>
    <x v="0"/>
    <s v="CAJA"/>
    <s v="ALIMENTACION DE EMPLEADOS CTA NUEVA"/>
    <s v="TRANSACCIONES DEL DIA 11/06/2018SPYRAL - GESTION ADMINISTRATIVA"/>
    <n v="32"/>
    <n v="0"/>
    <s v="SAN SEBASTIAN"/>
    <x v="2"/>
  </r>
  <r>
    <n v="97"/>
    <d v="2018-11-09T00:00:00"/>
    <x v="5"/>
    <x v="5"/>
    <x v="0"/>
    <s v="CAJA"/>
    <s v="ALIMENTACION DE EMPLEADOS CTA NUEVA"/>
    <s v="TRANSACCIONES DEL DIA 11/09/2018SPYRAL - GESTION ADMINISTRATIVA"/>
    <n v="40"/>
    <n v="0"/>
    <s v="SAN SEBASTIAN"/>
    <x v="2"/>
  </r>
  <r>
    <n v="97"/>
    <d v="2018-11-12T00:00:00"/>
    <x v="5"/>
    <x v="5"/>
    <x v="0"/>
    <s v="CAJA"/>
    <s v="ALIMENTACION DE EMPLEADOS CTA NUEVA"/>
    <s v="TRANSACCIONES DEL DIA 11/12/2018SPYRAL - GESTION ADMINISTRATIVA"/>
    <n v="16"/>
    <n v="0"/>
    <s v="SAN SEBASTIAN"/>
    <x v="2"/>
  </r>
  <r>
    <n v="97"/>
    <d v="2018-11-13T00:00:00"/>
    <x v="5"/>
    <x v="5"/>
    <x v="0"/>
    <s v="CAJA"/>
    <s v="ALIMENTACION DE EMPLEADOS CTA NUEVA"/>
    <s v="TRANSACCIONES DEL DIA 11/13/2018SPYRAL - GESTION ADMINISTRATIVA"/>
    <n v="16"/>
    <n v="0"/>
    <s v="SAN SEBASTIAN"/>
    <x v="2"/>
  </r>
  <r>
    <n v="97"/>
    <d v="2018-11-14T00:00:00"/>
    <x v="5"/>
    <x v="5"/>
    <x v="0"/>
    <s v="CAJA"/>
    <s v="ALIMENTACION DE EMPLEADOS CTA NUEVA"/>
    <s v="TRANSACCIONES DEL DIA 11/14/2018SPYRAL - GESTION ADMINISTRATIVA"/>
    <n v="16"/>
    <n v="0"/>
    <s v="SAN SEBASTIAN"/>
    <x v="2"/>
  </r>
  <r>
    <n v="97"/>
    <d v="2018-11-16T00:00:00"/>
    <x v="5"/>
    <x v="5"/>
    <x v="0"/>
    <s v="CAJA"/>
    <s v="ALIMENTACION DE EMPLEADOS CTA NUEVA"/>
    <s v="TRANSACCIONES DEL DIA 11/16/2018SPYRAL - GESTION ADMINISTRATIVA"/>
    <n v="8"/>
    <n v="0"/>
    <s v="SAN SEBASTIAN"/>
    <x v="2"/>
  </r>
  <r>
    <n v="97"/>
    <d v="2018-11-19T00:00:00"/>
    <x v="5"/>
    <x v="5"/>
    <x v="0"/>
    <s v="CAJA"/>
    <s v="ALIMENTACION DE EMPLEADOS CTA NUEVA"/>
    <s v="TRANSACCIONES DEL DIA 11/19/2018SPYRAL - GESTION ADMINISTRATIVA"/>
    <n v="112"/>
    <n v="0"/>
    <s v="SAN SEBASTIAN"/>
    <x v="2"/>
  </r>
  <r>
    <n v="97"/>
    <d v="2018-11-20T00:00:00"/>
    <x v="5"/>
    <x v="5"/>
    <x v="0"/>
    <s v="CAJA"/>
    <s v="ALIMENTACION DE EMPLEADOS CTA NUEVA"/>
    <s v="TRANSACCIONES DEL DIA 11/20/2018SPYRAL - GESTION ADMINISTRATIVA"/>
    <n v="24"/>
    <n v="0"/>
    <s v="SAN SEBASTIAN"/>
    <x v="2"/>
  </r>
  <r>
    <n v="97"/>
    <d v="2018-11-21T00:00:00"/>
    <x v="5"/>
    <x v="5"/>
    <x v="0"/>
    <s v="CAJA"/>
    <s v="ALIMENTACION DE EMPLEADOS CTA NUEVA"/>
    <s v="TRANSACCIONES DEL DIA 11/21/2018SPYRAL - GESTION ADMINISTRATIVA"/>
    <n v="8"/>
    <n v="0"/>
    <s v="SAN SEBASTIAN"/>
    <x v="2"/>
  </r>
  <r>
    <n v="97"/>
    <d v="2018-11-22T00:00:00"/>
    <x v="5"/>
    <x v="5"/>
    <x v="0"/>
    <s v="CAJA"/>
    <s v="ALIMENTACION DE EMPLEADOS CTA NUEVA"/>
    <s v="TRANSACCIONES DEL DIA 11/22/2018SPYRAL - GESTION ADMINISTRATIVA"/>
    <n v="16"/>
    <n v="0"/>
    <s v="SAN SEBASTIAN"/>
    <x v="2"/>
  </r>
  <r>
    <n v="97"/>
    <d v="2018-11-26T00:00:00"/>
    <x v="5"/>
    <x v="5"/>
    <x v="0"/>
    <s v="CAJA"/>
    <s v="ALIMENTACION DE EMPLEADOS CTA NUEVA"/>
    <s v="TRANSACCIONES DEL DIA 11/26/2018SPYRAL - GESTION ADMINISTRATIVA"/>
    <n v="24"/>
    <n v="0"/>
    <s v="SAN SEBASTIAN"/>
    <x v="2"/>
  </r>
  <r>
    <n v="97"/>
    <d v="2018-11-27T00:00:00"/>
    <x v="5"/>
    <x v="5"/>
    <x v="0"/>
    <s v="CAJA"/>
    <s v="ALIMENTACION DE EMPLEADOS CTA NUEVA"/>
    <s v="TRANSACCIONES DEL DIA 11/27/2018SPYRAL - GESTION ADMINISTRATIVA"/>
    <n v="16"/>
    <n v="0"/>
    <s v="SAN SEBASTIAN"/>
    <x v="2"/>
  </r>
  <r>
    <n v="97"/>
    <d v="2018-11-29T00:00:00"/>
    <x v="5"/>
    <x v="5"/>
    <x v="0"/>
    <s v="CAJA"/>
    <s v="ALIMENTACION DE EMPLEADOS CTA NUEVA"/>
    <s v="TRANSACCIONES DEL DIA 11/29/2018SPYRAL - GESTION ADMINISTRATIVA"/>
    <n v="24"/>
    <n v="0"/>
    <s v="SAN SEBASTIAN"/>
    <x v="2"/>
  </r>
  <r>
    <n v="97"/>
    <d v="2018-12-04T00:00:00"/>
    <x v="1"/>
    <x v="1"/>
    <x v="0"/>
    <s v="CAJA"/>
    <s v="ALIMENTACION DE EMPLEADOS CTA NUEVA"/>
    <s v="TRANSACCIONES DEL DIA 12/04/2018SPYRAL - GESTION ADMINISTRATIVA"/>
    <n v="64"/>
    <n v="0"/>
    <s v="SAN SEBASTIAN"/>
    <x v="2"/>
  </r>
  <r>
    <n v="97"/>
    <d v="2018-12-06T00:00:00"/>
    <x v="1"/>
    <x v="1"/>
    <x v="0"/>
    <s v="CAJA"/>
    <s v="ALIMENTACION DE EMPLEADOS CTA NUEVA"/>
    <s v="TRANSACCIONES DEL DIA 12/06/2018SPYRAL - GESTION ADMINISTRATIVA"/>
    <n v="8"/>
    <n v="0"/>
    <s v="SAN SEBASTIAN"/>
    <x v="2"/>
  </r>
  <r>
    <n v="97"/>
    <d v="2018-12-11T00:00:00"/>
    <x v="1"/>
    <x v="1"/>
    <x v="0"/>
    <s v="CAJA"/>
    <s v="ALIMENTACION DE EMPLEADOS CTA NUEVA"/>
    <s v="TRANSACCIONES DEL DIA 12/11/2018SPYRAL - GESTION ADMINISTRATIVA"/>
    <n v="24"/>
    <n v="0"/>
    <s v="SAN SEBASTIAN"/>
    <x v="2"/>
  </r>
  <r>
    <n v="97"/>
    <d v="2018-12-12T00:00:00"/>
    <x v="1"/>
    <x v="1"/>
    <x v="0"/>
    <s v="CAJA"/>
    <s v="ALIMENTACION DE EMPLEADOS CTA NUEVA"/>
    <s v="TRANSACCIONES DEL DIA 12/12/2018SPYRAL - GESTION ADMINISTRATIVA"/>
    <n v="40"/>
    <n v="0"/>
    <s v="SAN SEBASTIAN"/>
    <x v="2"/>
  </r>
  <r>
    <n v="97"/>
    <d v="2018-12-13T00:00:00"/>
    <x v="1"/>
    <x v="1"/>
    <x v="0"/>
    <s v="CAJA"/>
    <s v="ALIMENTACION DE EMPLEADOS CTA NUEVA"/>
    <s v="TRANSACCIONES DEL DIA 12/13/2018SPYRAL - GESTION ADMINISTRATIVA"/>
    <n v="24"/>
    <n v="0"/>
    <s v="SAN SEBASTIAN"/>
    <x v="2"/>
  </r>
  <r>
    <n v="97"/>
    <d v="2018-12-17T00:00:00"/>
    <x v="1"/>
    <x v="1"/>
    <x v="0"/>
    <s v="CAJA"/>
    <s v="ALIMENTACION DE EMPLEADOS CTA NUEVA"/>
    <s v="TRANSACCIONES DEL DIA 12/17/2018SPYRAL - GESTION ADMINISTRATIVA"/>
    <n v="72"/>
    <n v="0"/>
    <s v="SAN SEBASTIAN"/>
    <x v="2"/>
  </r>
  <r>
    <n v="97"/>
    <d v="2018-12-19T00:00:00"/>
    <x v="1"/>
    <x v="1"/>
    <x v="0"/>
    <s v="CAJA"/>
    <s v="ALIMENTACION DE EMPLEADOS CTA NUEVA"/>
    <s v="TRANSACCIONES DEL DIA 12/19/2018SPYRAL - GESTION ADMINISTRATIVA"/>
    <n v="8"/>
    <n v="0"/>
    <s v="SAN SEBASTIAN"/>
    <x v="2"/>
  </r>
  <r>
    <n v="97"/>
    <d v="2018-12-21T00:00:00"/>
    <x v="1"/>
    <x v="1"/>
    <x v="0"/>
    <s v="CAJA"/>
    <s v="ALIMENTACION DE EMPLEADOS CTA NUEVA"/>
    <s v="TRANSACCIONES DEL DIA 12/21/2018SPYRAL - GESTION ADMINISTRATIVA"/>
    <n v="16"/>
    <n v="0"/>
    <s v="SAN SEBASTIAN"/>
    <x v="2"/>
  </r>
  <r>
    <n v="97"/>
    <d v="2018-12-24T00:00:00"/>
    <x v="1"/>
    <x v="1"/>
    <x v="0"/>
    <s v="CAJA"/>
    <s v="ALIMENTACION DE EMPLEADOS CTA NUEVA"/>
    <s v="TRANSACCIONES DEL DIA 12/24/2018SPYRAL - GESTION ADMINISTRATIVA"/>
    <n v="24"/>
    <n v="0"/>
    <s v="SAN SEBASTIAN"/>
    <x v="2"/>
  </r>
  <r>
    <n v="97"/>
    <d v="2018-12-31T00:00:00"/>
    <x v="1"/>
    <x v="1"/>
    <x v="0"/>
    <s v="CAJA"/>
    <s v="CIERRE DE ANIO FISCAL"/>
    <s v="CIERRE_DE_CTAS_NOMINALES"/>
    <n v="0"/>
    <n v="3872"/>
    <s v="SAN SEBASTIAN"/>
    <x v="2"/>
  </r>
  <r>
    <n v="97"/>
    <d v="2018-06-13T00:00:00"/>
    <x v="2"/>
    <x v="2"/>
    <x v="0"/>
    <s v="SERVICIOS PERSONALES"/>
    <s v="ALIMENTACION DE EMPLEADOS CTA NUEVA"/>
    <s v="TRANSACCIONES DEL DIA 06/13/2018SPYRAL - GESTION ADMINISTRATIVA"/>
    <n v="8"/>
    <n v="0"/>
    <s v="SAN SEBASTIAN"/>
    <x v="2"/>
  </r>
  <r>
    <n v="97"/>
    <d v="2018-06-15T00:00:00"/>
    <x v="2"/>
    <x v="2"/>
    <x v="0"/>
    <s v="SERVICIOS PERSONALES"/>
    <s v="ALIMENTACION DE EMPLEADOS CTA NUEVA"/>
    <s v="TRANSACCIONES DEL DIA 06/15/2018SPYRAL - GESTION ADMINISTRATIVA"/>
    <n v="8"/>
    <n v="0"/>
    <s v="SAN SEBASTIAN"/>
    <x v="2"/>
  </r>
  <r>
    <n v="97"/>
    <d v="2018-06-21T00:00:00"/>
    <x v="2"/>
    <x v="2"/>
    <x v="0"/>
    <s v="SERVICIOS PERSONALES"/>
    <s v="ALIMENTACION DE EMPLEADOS CTA NUEVA"/>
    <s v="TRANSACCIONES DEL DIA 06/21/2018SPYRAL - GESTION ADMINISTRATIVA"/>
    <n v="8"/>
    <n v="0"/>
    <s v="SAN SEBASTIAN"/>
    <x v="2"/>
  </r>
  <r>
    <n v="97"/>
    <d v="2018-06-25T00:00:00"/>
    <x v="2"/>
    <x v="2"/>
    <x v="0"/>
    <s v="SERVICIOS PERSONALES"/>
    <s v="ALIMENTACION DE EMPLEADOS CTA NUEVA"/>
    <s v="TRANSACCIONES DEL DIA 06/25/2018SPYRAL - GESTION ADMINISTRATIVA"/>
    <n v="8"/>
    <n v="0"/>
    <s v="SAN SEBASTIAN"/>
    <x v="2"/>
  </r>
  <r>
    <n v="97"/>
    <d v="2018-06-26T00:00:00"/>
    <x v="2"/>
    <x v="2"/>
    <x v="0"/>
    <s v="SERVICIOS PERSONALES"/>
    <s v="ALIMENTACION DE EMPLEADOS CTA NUEVA"/>
    <s v="TRANSACCIONES DEL DIA 06/26/2018SPYRAL - GESTION ADMINISTRATIVA"/>
    <n v="8"/>
    <n v="0"/>
    <s v="SAN SEBASTIAN"/>
    <x v="2"/>
  </r>
  <r>
    <n v="97"/>
    <d v="2018-07-12T00:00:00"/>
    <x v="6"/>
    <x v="6"/>
    <x v="0"/>
    <s v="SERVICIOS PERSONALES"/>
    <s v="ALIMENTACION DE EMPLEADOS CTA NUEVA"/>
    <s v="TRANSACCIONES DEL DIA 07/12/2018SPYRAL - GESTION ADMINISTRATIVA"/>
    <n v="8"/>
    <n v="0"/>
    <s v="SAN SEBASTIAN"/>
    <x v="2"/>
  </r>
  <r>
    <n v="97"/>
    <d v="2018-07-21T00:00:00"/>
    <x v="6"/>
    <x v="6"/>
    <x v="0"/>
    <s v="SERVICIOS PERSONALES"/>
    <s v="ALIMENTACION DE EMPLEADOS CTA NUEVA"/>
    <s v="TRANSACCIONES DEL DIA 07/21/2018SPYRAL - GESTION ADMINISTRATIVA"/>
    <n v="8"/>
    <n v="0"/>
    <s v="SAN SEBASTIAN"/>
    <x v="2"/>
  </r>
  <r>
    <n v="97"/>
    <d v="2018-07-27T00:00:00"/>
    <x v="6"/>
    <x v="6"/>
    <x v="0"/>
    <s v="SERVICIOS PERSONALES"/>
    <s v="ALIMENTACION DE EMPLEADOS CTA NUEVA"/>
    <s v="TRANSACCIONES DEL DIA 07/27/2018SPYRAL - GESTION ADMINISTRATIVA"/>
    <n v="8"/>
    <n v="0"/>
    <s v="SAN SEBASTIAN"/>
    <x v="2"/>
  </r>
  <r>
    <n v="97"/>
    <d v="2018-07-30T00:00:00"/>
    <x v="6"/>
    <x v="6"/>
    <x v="0"/>
    <s v="SERVICIOS PERSONALES"/>
    <s v="ALIMENTACION DE EMPLEADOS CTA NUEVA"/>
    <s v="TRANSACCIONES DEL DIA 07/30/2018SPYRAL - GESTION ADMINISTRATIVA"/>
    <n v="24"/>
    <n v="0"/>
    <s v="SAN SEBASTIAN"/>
    <x v="2"/>
  </r>
  <r>
    <n v="97"/>
    <d v="2018-08-03T00:00:00"/>
    <x v="3"/>
    <x v="3"/>
    <x v="0"/>
    <s v="SERVICIOS PERSONALES"/>
    <s v="ALIMENTACION DE EMPLEADOS CTA NUEVA"/>
    <s v="TRANSACCIONES DEL DIA 08/03/2018SPYRAL - GESTION ADMINISTRATIVA"/>
    <n v="8"/>
    <n v="0"/>
    <s v="SAN SEBASTIAN"/>
    <x v="2"/>
  </r>
  <r>
    <n v="97"/>
    <d v="2018-08-07T00:00:00"/>
    <x v="3"/>
    <x v="3"/>
    <x v="0"/>
    <s v="SERVICIOS PERSONALES"/>
    <s v="ALIMENTACION DE EMPLEADOS CTA NUEVA"/>
    <s v="TRANSACCIONES DEL DIA 08/07/2018SPYRAL - GESTION ADMINISTRATIVA"/>
    <n v="8"/>
    <n v="0"/>
    <s v="SAN SEBASTIAN"/>
    <x v="2"/>
  </r>
  <r>
    <n v="97"/>
    <d v="2018-08-23T00:00:00"/>
    <x v="3"/>
    <x v="3"/>
    <x v="0"/>
    <s v="SERVICIOS PERSONALES"/>
    <s v="ALIMENTACION DE EMPLEADOS CTA NUEVA"/>
    <s v="TRANSACCIONES DEL DIA 08/23/2018SPYRAL - GESTION ADMINISTRATIVA"/>
    <n v="8"/>
    <n v="0"/>
    <s v="SAN SEBASTIAN"/>
    <x v="2"/>
  </r>
  <r>
    <n v="97"/>
    <d v="2018-08-24T00:00:00"/>
    <x v="3"/>
    <x v="3"/>
    <x v="0"/>
    <s v="SERVICIOS PERSONALES"/>
    <s v="ALIMENTACION DE EMPLEADOS CTA NUEVA"/>
    <s v="TRANSACCIONES DEL DIA 08/24/2018SPYRAL - GESTION ADMINISTRATIVA"/>
    <n v="8"/>
    <n v="0"/>
    <s v="SAN SEBASTIAN"/>
    <x v="2"/>
  </r>
  <r>
    <n v="97"/>
    <d v="2018-09-20T00:00:00"/>
    <x v="4"/>
    <x v="4"/>
    <x v="0"/>
    <s v="SERVICIOS PERSONALES"/>
    <s v="ALIMENTACION DE EMPLEADOS CTA NUEVA"/>
    <s v="TRANSACCIONES DEL DIA 09/20/2018SPYRAL - GESTION ADMINISTRATIVA"/>
    <n v="8"/>
    <n v="0"/>
    <s v="SAN SEBASTIAN"/>
    <x v="2"/>
  </r>
  <r>
    <n v="97"/>
    <d v="2018-10-01T00:00:00"/>
    <x v="0"/>
    <x v="0"/>
    <x v="0"/>
    <s v="SERVICIOS PERSONALES"/>
    <s v="ALIMENTACION DE EMPLEADOS CTA NUEVA"/>
    <s v="TRANSACCIONES DEL DIA 10/01/2018SPYRAL - GESTION ADMINISTRATIVA"/>
    <n v="8"/>
    <n v="0"/>
    <s v="SAN SEBASTIAN"/>
    <x v="2"/>
  </r>
  <r>
    <n v="97"/>
    <d v="2018-10-03T00:00:00"/>
    <x v="0"/>
    <x v="0"/>
    <x v="0"/>
    <s v="SERVICIOS PERSONALES"/>
    <s v="ALIMENTACION DE EMPLEADOS CTA NUEVA"/>
    <s v="TRANSACCIONES DEL DIA 10/03/2018SPYRAL - GESTION ADMINISTRATIVA"/>
    <n v="8"/>
    <n v="0"/>
    <s v="SAN SEBASTIAN"/>
    <x v="2"/>
  </r>
  <r>
    <n v="97"/>
    <d v="2018-10-15T00:00:00"/>
    <x v="0"/>
    <x v="0"/>
    <x v="0"/>
    <s v="SERVICIOS PERSONALES"/>
    <s v="ALIMENTACION DE EMPLEADOS CTA NUEVA"/>
    <s v="TRANSACCIONES DEL DIA 10/15/2018SPYRAL - GESTION ADMINISTRATIVA"/>
    <n v="8"/>
    <n v="0"/>
    <s v="SAN SEBASTIAN"/>
    <x v="2"/>
  </r>
  <r>
    <n v="97"/>
    <d v="2018-10-24T00:00:00"/>
    <x v="0"/>
    <x v="0"/>
    <x v="0"/>
    <s v="SERVICIOS PERSONALES"/>
    <s v="ALIMENTACION DE EMPLEADOS CTA NUEVA"/>
    <s v="TRANSACCIONES DEL DIA 10/24/2018SPYRAL - GESTION ADMINISTRATIVA"/>
    <n v="8"/>
    <n v="0"/>
    <s v="SAN SEBASTIAN"/>
    <x v="2"/>
  </r>
  <r>
    <n v="97"/>
    <d v="2018-11-02T00:00:00"/>
    <x v="5"/>
    <x v="5"/>
    <x v="0"/>
    <s v="SERVICIOS PERSONALES"/>
    <s v="ALIMENTACION DE EMPLEADOS CTA NUEVA"/>
    <s v="TRANSACCIONES DEL DIA 11/02/2018SPYRAL - GESTION ADMINISTRATIVA"/>
    <n v="8"/>
    <n v="0"/>
    <s v="SAN SEBASTIAN"/>
    <x v="2"/>
  </r>
  <r>
    <n v="97"/>
    <d v="2018-11-06T00:00:00"/>
    <x v="5"/>
    <x v="5"/>
    <x v="0"/>
    <s v="SERVICIOS PERSONALES"/>
    <s v="ALIMENTACION DE EMPLEADOS CTA NUEVA"/>
    <s v="TRANSACCIONES DEL DIA 11/06/2018SPYRAL - GESTION ADMINISTRATIVA"/>
    <n v="8"/>
    <n v="0"/>
    <s v="SAN SEBASTIAN"/>
    <x v="2"/>
  </r>
  <r>
    <n v="97"/>
    <d v="2018-11-13T00:00:00"/>
    <x v="5"/>
    <x v="5"/>
    <x v="0"/>
    <s v="SERVICIOS PERSONALES"/>
    <s v="ALIMENTACION DE EMPLEADOS CTA NUEVA"/>
    <s v="TRANSACCIONES DEL DIA 11/13/2018SPYRAL - GESTION ADMINISTRATIVA"/>
    <n v="8"/>
    <n v="0"/>
    <s v="SAN SEBASTIAN"/>
    <x v="2"/>
  </r>
  <r>
    <n v="97"/>
    <d v="2018-11-26T00:00:00"/>
    <x v="5"/>
    <x v="5"/>
    <x v="0"/>
    <s v="SERVICIOS PERSONALES"/>
    <s v="ALIMENTACION DE EMPLEADOS CTA NUEVA"/>
    <s v="TRANSACCIONES DEL DIA 11/26/2018SPYRAL - GESTION ADMINISTRATIVA"/>
    <n v="8"/>
    <n v="0"/>
    <s v="SAN SEBASTIAN"/>
    <x v="2"/>
  </r>
  <r>
    <n v="97"/>
    <d v="2018-12-04T00:00:00"/>
    <x v="1"/>
    <x v="1"/>
    <x v="0"/>
    <s v="SERVICIOS PERSONALES"/>
    <s v="ALIMENTACION DE EMPLEADOS CTA NUEVA"/>
    <s v="TRANSACCIONES DEL DIA 12/04/2018SPYRAL - GESTION ADMINISTRATIVA"/>
    <n v="16"/>
    <n v="0"/>
    <s v="SAN SEBASTIAN"/>
    <x v="2"/>
  </r>
  <r>
    <n v="97"/>
    <d v="2018-12-31T00:00:00"/>
    <x v="1"/>
    <x v="1"/>
    <x v="0"/>
    <s v="SERVICIOS PERSONALES"/>
    <s v="CIERRE DE ANIO FISCAL"/>
    <s v="CIERRE_DE_CTAS_NOMINALES"/>
    <n v="0"/>
    <n v="240"/>
    <s v="SAN SEBASTIAN"/>
    <x v="2"/>
  </r>
  <r>
    <n v="98"/>
    <d v="2018-11-19T00:00:00"/>
    <x v="5"/>
    <x v="5"/>
    <x v="0"/>
    <s v="ADMINISTRACION DE SUCURSALES"/>
    <s v="ALIMENTACION DE EMPLEADOS CTA NUEVA"/>
    <s v="TRANSACCIONES DEL DIA 11/19/2018SPYRAL - GESTION ADMINISTRATIVA"/>
    <n v="30"/>
    <n v="0"/>
    <s v="SANTIAGO INTERAMERICANA"/>
    <x v="2"/>
  </r>
  <r>
    <n v="98"/>
    <d v="2018-12-31T00:00:00"/>
    <x v="1"/>
    <x v="1"/>
    <x v="0"/>
    <s v="ADMINISTRACION DE SUCURSALES"/>
    <s v="CIERRE DE ANIO FISCAL"/>
    <s v="CIERRE_DE_CTAS_NOMINALES"/>
    <n v="0"/>
    <n v="30"/>
    <s v="SANTIAGO INTERAMERICANA"/>
    <x v="2"/>
  </r>
  <r>
    <n v="101"/>
    <d v="2018-07-17T00:00:00"/>
    <x v="6"/>
    <x v="6"/>
    <x v="0"/>
    <s v="CAJA"/>
    <s v="ALIMENTACION DE EMPLEADOS CTA NUEVA"/>
    <s v="TRANSACCIONES DEL DIA 07/17/2018SPYRAL - GESTION ADMINISTRATIVA"/>
    <n v="8"/>
    <n v="0"/>
    <s v="VILLA ZAITA"/>
    <x v="2"/>
  </r>
  <r>
    <n v="101"/>
    <d v="2018-12-31T00:00:00"/>
    <x v="1"/>
    <x v="1"/>
    <x v="0"/>
    <s v="CAJA"/>
    <s v="CIERRE DE ANIO FISCAL"/>
    <s v="CIERRE_DE_CTAS_NOMINALES"/>
    <n v="0"/>
    <n v="8"/>
    <s v="VILLA ZAITA"/>
    <x v="2"/>
  </r>
  <r>
    <n v="103"/>
    <d v="2018-07-12T00:00:00"/>
    <x v="6"/>
    <x v="6"/>
    <x v="0"/>
    <s v="ADMINISTRACION DE SUCURSALES"/>
    <s v="NC ALIMENTACION DE EMPLEADOS NVA"/>
    <s v="TRANSACCIONES DEL DIA 07/12/2018SPYRAL - GESTION ADMINISTRATIVA"/>
    <n v="27.24"/>
    <n v="0"/>
    <s v="TOWN CENTER COSTA DEL ESTE"/>
    <x v="2"/>
  </r>
  <r>
    <n v="103"/>
    <d v="2018-11-06T00:00:00"/>
    <x v="5"/>
    <x v="5"/>
    <x v="0"/>
    <s v="ADMINISTRACION DE SUCURSALES"/>
    <s v="NC ALIMENTACION DE EMPLEADOS NVA"/>
    <s v="TRANSACCIONES DEL DIA 11/06/2018SPYRAL - GESTION ADMINISTRATIVA"/>
    <n v="28.5"/>
    <n v="0"/>
    <s v="TOWN CENTER COSTA DEL ESTE"/>
    <x v="2"/>
  </r>
  <r>
    <n v="103"/>
    <d v="2018-12-31T00:00:00"/>
    <x v="1"/>
    <x v="1"/>
    <x v="0"/>
    <s v="ADMINISTRACION DE SUCURSALES"/>
    <s v="CIERRE DE ANIO FISCAL"/>
    <s v="CIERRE_DE_CTAS_NOMINALES"/>
    <n v="0"/>
    <n v="55.74"/>
    <s v="TOWN CENTER COSTA DEL ESTE"/>
    <x v="2"/>
  </r>
  <r>
    <n v="125"/>
    <d v="2018-06-07T00:00:00"/>
    <x v="2"/>
    <x v="2"/>
    <x v="0"/>
    <s v="ADMINISTRACION DE SUCURSALES"/>
    <s v="NC ALIMENTACION DE EMPLEADOS NVA"/>
    <s v="TRANSACCIONES DEL DIA 06/07/2018SPYRAL - GESTION ADMINISTRATIVA"/>
    <n v="32.299999999999997"/>
    <n v="0"/>
    <s v="COSTA VERDE"/>
    <x v="2"/>
  </r>
  <r>
    <n v="125"/>
    <d v="2018-08-03T00:00:00"/>
    <x v="3"/>
    <x v="3"/>
    <x v="0"/>
    <s v="ADMINISTRACION DE SUCURSALES"/>
    <s v="NC ALIMENTACION DE EMPLEADOS NVA"/>
    <s v="TRANSACCIONES DEL DIA 08/03/2018SPYRAL - GESTION ADMINISTRATIVA"/>
    <n v="27.48"/>
    <n v="0"/>
    <s v="COSTA VERDE"/>
    <x v="2"/>
  </r>
  <r>
    <n v="125"/>
    <d v="2018-08-17T00:00:00"/>
    <x v="3"/>
    <x v="3"/>
    <x v="0"/>
    <s v="ADMINISTRACION DE SUCURSALES"/>
    <s v="NC ALIMENTACION DE EMPLEADOS NVA"/>
    <s v="TRANSACCIONES DEL DIA 08/17/2018SPYRAL - GESTION ADMINISTRATIVA"/>
    <n v="33.76"/>
    <n v="0"/>
    <s v="COSTA VERDE"/>
    <x v="2"/>
  </r>
  <r>
    <n v="125"/>
    <d v="2018-10-02T00:00:00"/>
    <x v="0"/>
    <x v="0"/>
    <x v="0"/>
    <s v="ADMINISTRACION DE SUCURSALES"/>
    <s v="NC ALIMENTACION DE EMPLEADOS NVA"/>
    <s v="TRANSACCIONES DEL DIA 10/02/2018SPYRAL - GESTION ADMINISTRATIVA"/>
    <n v="26.16"/>
    <n v="0"/>
    <s v="COSTA VERDE"/>
    <x v="2"/>
  </r>
  <r>
    <n v="125"/>
    <d v="2018-10-23T00:00:00"/>
    <x v="0"/>
    <x v="0"/>
    <x v="0"/>
    <s v="ADMINISTRACION DE SUCURSALES"/>
    <s v="NC ALIMENTACION DE EMPLEADOS NVA"/>
    <s v="TRANSACCIONES DEL DIA 10/23/2018SPYRAL - GESTION ADMINISTRATIVA"/>
    <n v="27.95"/>
    <n v="0"/>
    <s v="COSTA VERDE"/>
    <x v="2"/>
  </r>
  <r>
    <n v="125"/>
    <d v="2018-12-07T00:00:00"/>
    <x v="1"/>
    <x v="1"/>
    <x v="0"/>
    <s v="ADMINISTRACION DE SUCURSALES"/>
    <s v="NC ALIMENTACION DE EMPLEADOS NVA"/>
    <s v="TRANSACCIONES DEL DIA 12/07/2018SPYRAL - GESTION ADMINISTRATIVA"/>
    <n v="25.67"/>
    <n v="0"/>
    <s v="COSTA VERDE"/>
    <x v="2"/>
  </r>
  <r>
    <n v="125"/>
    <d v="2018-12-31T00:00:00"/>
    <x v="1"/>
    <x v="1"/>
    <x v="0"/>
    <s v="ADMINISTRACION DE SUCURSALES"/>
    <s v="CIERRE DE ANIO FISCAL"/>
    <s v="CIERRE_DE_CTAS_NOMINALES"/>
    <n v="0"/>
    <n v="230.08"/>
    <s v="COSTA VERDE"/>
    <x v="2"/>
  </r>
  <r>
    <n v="131"/>
    <d v="2018-12-31T00:00:00"/>
    <x v="1"/>
    <x v="1"/>
    <x v="0"/>
    <s v="ADMINISTRACION DE SUCURSALES"/>
    <s v="CIERRE DE ANIO FISCAL"/>
    <s v="CIERRE_DE_CTAS_NOMINALES"/>
    <n v="0"/>
    <n v="47"/>
    <s v="PLAZA LOS ANGELES"/>
    <x v="2"/>
  </r>
  <r>
    <n v="157"/>
    <d v="2018-08-10T00:00:00"/>
    <x v="3"/>
    <x v="3"/>
    <x v="0"/>
    <s v="ADMINISTRACION DE SUCURSALES"/>
    <s v="ALIMENTACION DE EMPLEADOS CTA NUEVA"/>
    <s v="TRANSACCIONES DEL DIA 08/10/2018SPYRAL - GESTION ADMINISTRATIVA"/>
    <n v="29.98"/>
    <n v="0"/>
    <s v="SAN MATEO"/>
    <x v="2"/>
  </r>
  <r>
    <n v="157"/>
    <d v="2018-08-14T00:00:00"/>
    <x v="3"/>
    <x v="3"/>
    <x v="0"/>
    <s v="ADMINISTRACION DE SUCURSALES"/>
    <s v="NC ALIMENTACION DE EMPLEADOS NVA"/>
    <s v="TRANSACCIONES DEL DIA 08/14/2018SPYRAL - GESTION ADMINISTRATIVA"/>
    <n v="29.98"/>
    <n v="0"/>
    <s v="SAN MATEO"/>
    <x v="2"/>
  </r>
  <r>
    <n v="157"/>
    <d v="2018-11-27T00:00:00"/>
    <x v="5"/>
    <x v="5"/>
    <x v="0"/>
    <s v="ADMINISTRACION DE SUCURSALES"/>
    <s v="NC ALIMENTACION DE EMPLEADOS NVA"/>
    <s v="TRANSACCIONES DEL DIA 11/27/2018SPYRAL - GESTION ADMINISTRATIVA"/>
    <n v="85.93"/>
    <n v="0"/>
    <s v="SAN MATEO"/>
    <x v="2"/>
  </r>
  <r>
    <n v="157"/>
    <d v="2018-12-21T00:00:00"/>
    <x v="1"/>
    <x v="1"/>
    <x v="0"/>
    <s v="ADMINISTRACION DE SUCURSALES"/>
    <s v="NC ALIMENTACION DE EMPLEADOS NVA"/>
    <s v="TRANSACCIONES DEL DIA 12/21/2018SPYRAL - GESTION ADMINISTRATIVA"/>
    <n v="36.950000000000003"/>
    <n v="0"/>
    <s v="SAN MATEO"/>
    <x v="2"/>
  </r>
  <r>
    <n v="157"/>
    <d v="2018-12-28T00:00:00"/>
    <x v="1"/>
    <x v="1"/>
    <x v="0"/>
    <s v="ADMINISTRACION DE SUCURSALES"/>
    <s v="NC ALIMENTACION DE EMPLEADOS NVA"/>
    <s v="TRANSACCIONES DEL DIA 12/28/2018SPYRAL - GESTION ADMINISTRATIVA"/>
    <n v="77.040000000000006"/>
    <n v="0"/>
    <s v="SAN MATEO"/>
    <x v="2"/>
  </r>
  <r>
    <n v="157"/>
    <d v="2018-12-31T00:00:00"/>
    <x v="1"/>
    <x v="1"/>
    <x v="0"/>
    <s v="ADMINISTRACION DE SUCURSALES"/>
    <s v="CIERRE DE ANIO FISCAL"/>
    <s v="CIERRE_DE_CTAS_NOMINALES"/>
    <n v="0"/>
    <n v="332.67"/>
    <s v="SAN MATEO"/>
    <x v="2"/>
  </r>
  <r>
    <n v="157"/>
    <d v="2018-07-09T00:00:00"/>
    <x v="6"/>
    <x v="6"/>
    <x v="0"/>
    <s v="CAJA"/>
    <s v="ALIMENTACION DE EMPLEADOS CTA NUEVA"/>
    <s v="TRANSACCIONES DEL DIA 07/09/2018SPYRAL - GESTION ADMINISTRATIVA"/>
    <n v="8"/>
    <n v="0"/>
    <s v="SAN MATEO"/>
    <x v="2"/>
  </r>
  <r>
    <n v="157"/>
    <d v="2018-12-31T00:00:00"/>
    <x v="1"/>
    <x v="1"/>
    <x v="0"/>
    <s v="CAJA"/>
    <s v="CIERRE DE ANIO FISCAL"/>
    <s v="CIERRE_DE_CTAS_NOMINALES"/>
    <n v="0"/>
    <n v="8"/>
    <s v="SAN MATEO"/>
    <x v="2"/>
  </r>
  <r>
    <n v="162"/>
    <d v="2018-06-07T00:00:00"/>
    <x v="2"/>
    <x v="2"/>
    <x v="0"/>
    <s v="ADMINISTRACION DE SUCURSALES"/>
    <s v="NC ALIMENTACION DE EMPLEADOS NVA"/>
    <s v="TRANSACCIONES DEL DIA 06/07/2018SPYRAL - GESTION ADMINISTRATIVA"/>
    <n v="23.96"/>
    <n v="0"/>
    <s v="BRISAS DEL GOLF ARRAIJAN"/>
    <x v="2"/>
  </r>
  <r>
    <n v="162"/>
    <d v="2018-08-17T00:00:00"/>
    <x v="3"/>
    <x v="3"/>
    <x v="0"/>
    <s v="ADMINISTRACION DE SUCURSALES"/>
    <s v="NC ALIMENTACION DE EMPLEADOS NVA"/>
    <s v="TRANSACCIONES DEL DIA 08/17/2018SPYRAL - GESTION ADMINISTRATIVA"/>
    <n v="13.99"/>
    <n v="0"/>
    <s v="BRISAS DEL GOLF ARRAIJAN"/>
    <x v="2"/>
  </r>
  <r>
    <n v="162"/>
    <d v="2018-09-03T00:00:00"/>
    <x v="4"/>
    <x v="4"/>
    <x v="0"/>
    <s v="ADMINISTRACION DE SUCURSALES"/>
    <s v="NC ALIMENTACION DE EMPLEADOS NVA"/>
    <s v="TRANSACCIONES DEL DIA 09/03/2018SPYRAL - GESTION ADMINISTRATIVA"/>
    <n v="7.7"/>
    <n v="0"/>
    <s v="BRISAS DEL GOLF ARRAIJAN"/>
    <x v="2"/>
  </r>
  <r>
    <n v="162"/>
    <d v="2018-10-16T00:00:00"/>
    <x v="0"/>
    <x v="0"/>
    <x v="0"/>
    <s v="ADMINISTRACION DE SUCURSALES"/>
    <s v="NC ALIMENTACION DE EMPLEADOS NVA"/>
    <s v="TRANSACCIONES DEL DIA 10/16/2018SPYRAL - GESTION ADMINISTRATIVA"/>
    <n v="23.53"/>
    <n v="0"/>
    <s v="BRISAS DEL GOLF ARRAIJAN"/>
    <x v="2"/>
  </r>
  <r>
    <n v="162"/>
    <d v="2018-12-12T00:00:00"/>
    <x v="1"/>
    <x v="1"/>
    <x v="0"/>
    <s v="ADMINISTRACION DE SUCURSALES"/>
    <s v="NC ALIMENTACION DE EMPLEADOS NVA"/>
    <s v="TRANSACCIONES DEL DIA 12/12/2018SPYRAL - GESTION ADMINISTRATIVA"/>
    <n v="26.97"/>
    <n v="0"/>
    <s v="BRISAS DEL GOLF ARRAIJAN"/>
    <x v="2"/>
  </r>
  <r>
    <n v="162"/>
    <d v="2018-12-31T00:00:00"/>
    <x v="1"/>
    <x v="1"/>
    <x v="0"/>
    <s v="ADMINISTRACION DE SUCURSALES"/>
    <s v="CIERRE DE ANIO FISCAL"/>
    <s v="CIERRE_DE_CTAS_NOMINALES"/>
    <n v="0"/>
    <n v="154.49"/>
    <s v="BRISAS DEL GOLF ARRAIJAN"/>
    <x v="2"/>
  </r>
  <r>
    <n v="164"/>
    <d v="2018-06-20T00:00:00"/>
    <x v="2"/>
    <x v="2"/>
    <x v="0"/>
    <s v="ADMINISTRACION DE SUCURSALES"/>
    <s v="ALIMENTACION DE EMPLEADOS CTA NUEVA"/>
    <s v="TRANSACCIONES DEL DIA 06/20/2018SPYRAL - GESTION ADMINISTRATIVA"/>
    <n v="24.42"/>
    <n v="0"/>
    <s v="PASEO ARRAIJAN"/>
    <x v="2"/>
  </r>
  <r>
    <n v="164"/>
    <d v="2018-07-04T00:00:00"/>
    <x v="6"/>
    <x v="6"/>
    <x v="0"/>
    <s v="ADMINISTRACION DE SUCURSALES"/>
    <s v="NC ALIMENTACION DE EMPLEADOS NVA"/>
    <s v="TRANSACCIONES DEL DIA 07/04/2018SPYRAL - GESTION ADMINISTRATIVA"/>
    <n v="27.98"/>
    <n v="0"/>
    <s v="PASEO ARRAIJAN"/>
    <x v="2"/>
  </r>
  <r>
    <n v="164"/>
    <d v="2018-08-09T00:00:00"/>
    <x v="3"/>
    <x v="3"/>
    <x v="0"/>
    <s v="ADMINISTRACION DE SUCURSALES"/>
    <s v="NC ALIMENTACION DE EMPLEADOS NVA"/>
    <s v="TRANSACCIONES DEL DIA 08/09/2018SPYRAL - GESTION ADMINISTRATIVA"/>
    <n v="44.85"/>
    <n v="0"/>
    <s v="PASEO ARRAIJAN"/>
    <x v="2"/>
  </r>
  <r>
    <n v="164"/>
    <d v="2018-08-23T00:00:00"/>
    <x v="3"/>
    <x v="3"/>
    <x v="0"/>
    <s v="ADMINISTRACION DE SUCURSALES"/>
    <s v="NC ALIMENTACION DE EMPLEADOS NVA"/>
    <s v="TRANSACCIONES DEL DIA 08/23/2018SPYRAL - GESTION ADMINISTRATIVA"/>
    <n v="40.450000000000003"/>
    <n v="0"/>
    <s v="PASEO ARRAIJAN"/>
    <x v="2"/>
  </r>
  <r>
    <n v="164"/>
    <d v="2018-09-11T00:00:00"/>
    <x v="4"/>
    <x v="4"/>
    <x v="0"/>
    <s v="ADMINISTRACION DE SUCURSALES"/>
    <s v="NC ALIMENTACION DE EMPLEADOS NVA"/>
    <s v="TRANSACCIONES DEL DIA 09/11/2018SPYRAL - GESTION ADMINISTRATIVA"/>
    <n v="25.39"/>
    <n v="0"/>
    <s v="PASEO ARRAIJAN"/>
    <x v="2"/>
  </r>
  <r>
    <n v="164"/>
    <d v="2018-10-23T00:00:00"/>
    <x v="0"/>
    <x v="0"/>
    <x v="0"/>
    <s v="ADMINISTRACION DE SUCURSALES"/>
    <s v="NC ALIMENTACION DE EMPLEADOS NVA"/>
    <s v="TRANSACCIONES DEL DIA 10/23/2018SPYRAL - GESTION ADMINISTRATIVA"/>
    <n v="45.45"/>
    <n v="0"/>
    <s v="PASEO ARRAIJAN"/>
    <x v="2"/>
  </r>
  <r>
    <n v="164"/>
    <d v="2018-11-06T00:00:00"/>
    <x v="5"/>
    <x v="5"/>
    <x v="0"/>
    <s v="ADMINISTRACION DE SUCURSALES"/>
    <s v="NC ALIMENTACION DE EMPLEADOS NVA"/>
    <s v="TRANSACCIONES DEL DIA 11/06/2018SPYRAL - GESTION ADMINISTRATIVA"/>
    <n v="22.48"/>
    <n v="0"/>
    <s v="PASEO ARRAIJAN"/>
    <x v="2"/>
  </r>
  <r>
    <n v="164"/>
    <d v="2018-11-09T00:00:00"/>
    <x v="5"/>
    <x v="5"/>
    <x v="0"/>
    <s v="ADMINISTRACION DE SUCURSALES"/>
    <s v="NC ALIMENTACION DE EMPLEADOS NVA"/>
    <s v="TRANSACCIONES DEL DIA 11/09/2018SPYRAL - GESTION ADMINISTRATIVA"/>
    <n v="26.98"/>
    <n v="0"/>
    <s v="PASEO ARRAIJAN"/>
    <x v="2"/>
  </r>
  <r>
    <n v="164"/>
    <d v="2018-11-16T00:00:00"/>
    <x v="5"/>
    <x v="5"/>
    <x v="0"/>
    <s v="ADMINISTRACION DE SUCURSALES"/>
    <s v="NC ALIMENTACION DE EMPLEADOS NVA"/>
    <s v="TRANSACCIONES DEL DIA 11/16/2018SPYRAL - GESTION ADMINISTRATIVA"/>
    <n v="19.96"/>
    <n v="0"/>
    <s v="PASEO ARRAIJAN"/>
    <x v="2"/>
  </r>
  <r>
    <n v="164"/>
    <d v="2018-12-31T00:00:00"/>
    <x v="1"/>
    <x v="1"/>
    <x v="0"/>
    <s v="ADMINISTRACION DE SUCURSALES"/>
    <s v="CIERRE DE ANIO FISCAL"/>
    <s v="CIERRE_DE_CTAS_NOMINALES"/>
    <n v="0"/>
    <n v="311.75"/>
    <s v="PASEO ARRAIJAN"/>
    <x v="2"/>
  </r>
  <r>
    <n v="164"/>
    <d v="2018-06-28T00:00:00"/>
    <x v="2"/>
    <x v="2"/>
    <x v="0"/>
    <s v="SERVICIOS PERSONALES"/>
    <s v="ALIMENTACION DE EMPLEADOS CTA NUEVA"/>
    <s v="TRANSACCIONES DEL DIA 06/28/2018SPYRAL - GESTION ADMINISTRATIVA"/>
    <n v="8"/>
    <n v="0"/>
    <s v="PASEO ARRAIJAN"/>
    <x v="2"/>
  </r>
  <r>
    <n v="164"/>
    <d v="2018-12-31T00:00:00"/>
    <x v="1"/>
    <x v="1"/>
    <x v="0"/>
    <s v="SERVICIOS PERSONALES"/>
    <s v="CIERRE DE ANIO FISCAL"/>
    <s v="CIERRE_DE_CTAS_NOMINALES"/>
    <n v="0"/>
    <n v="8"/>
    <s v="PASEO ARRAIJAN"/>
    <x v="2"/>
  </r>
  <r>
    <n v="1"/>
    <d v="2018-10-16T00:00:00"/>
    <x v="0"/>
    <x v="0"/>
    <x v="0"/>
    <s v="ADMINISTRACION DE SUCURSALES"/>
    <s v="NC  RECONOCIMIENTOS"/>
    <s v="TRANSACCIONES DEL DIA 10/16/2018SPYRAL - GESTION ADMINISTRATIVA"/>
    <n v="11.9"/>
    <n v="0"/>
    <s v="CASA MATRIZ"/>
    <x v="3"/>
  </r>
  <r>
    <n v="1"/>
    <d v="2018-12-31T00:00:00"/>
    <x v="1"/>
    <x v="1"/>
    <x v="0"/>
    <s v="ADMINISTRACION DE SUCURSALES"/>
    <s v="CIERRE DE ANIO FISCAL"/>
    <s v="CIERRE_DE_CTAS_NOMINALES"/>
    <n v="0"/>
    <n v="11.9"/>
    <s v="CASA MATRIZ"/>
    <x v="3"/>
  </r>
  <r>
    <n v="4"/>
    <d v="2018-12-31T00:00:00"/>
    <x v="1"/>
    <x v="1"/>
    <x v="0"/>
    <s v="ADMINISTRACION DE SUCURSALES"/>
    <s v="CIERRE DE ANIO FISCAL"/>
    <s v="CIERRE_DE_CTAS_NOMINALES"/>
    <n v="0"/>
    <n v="25"/>
    <s v="VIA ARGENTINA"/>
    <x v="3"/>
  </r>
  <r>
    <n v="7"/>
    <d v="2018-12-01T00:00:00"/>
    <x v="1"/>
    <x v="1"/>
    <x v="0"/>
    <s v="ADMINISTRACION DE SUCURSALES"/>
    <s v="NC  RECONOCIMIENTOS"/>
    <s v="TRANSACCIONES DEL DIA 12/01/2018SPYRAL - GESTION ADMINISTRATIVA"/>
    <n v="35.96"/>
    <n v="0"/>
    <s v="CHANIS"/>
    <x v="3"/>
  </r>
  <r>
    <n v="7"/>
    <d v="2018-12-31T00:00:00"/>
    <x v="1"/>
    <x v="1"/>
    <x v="0"/>
    <s v="ADMINISTRACION DE SUCURSALES"/>
    <s v="CIERRE DE ANIO FISCAL"/>
    <s v="CIERRE_DE_CTAS_NOMINALES"/>
    <n v="0"/>
    <n v="35.96"/>
    <s v="CHANIS"/>
    <x v="3"/>
  </r>
  <r>
    <n v="8"/>
    <d v="2018-12-14T00:00:00"/>
    <x v="1"/>
    <x v="1"/>
    <x v="0"/>
    <s v="ADMINISTRACION DE SUCURSALES"/>
    <s v="NC  RECONOCIMIENTOS"/>
    <s v="TRANSACCIONES DEL DIA 12/14/2018SPYRAL - GESTION ADMINISTRATIVA"/>
    <n v="48.48"/>
    <n v="0"/>
    <s v="PLAZA TOCUMEN"/>
    <x v="3"/>
  </r>
  <r>
    <n v="8"/>
    <d v="2018-12-31T00:00:00"/>
    <x v="1"/>
    <x v="1"/>
    <x v="0"/>
    <s v="ADMINISTRACION DE SUCURSALES"/>
    <s v="CIERRE DE ANIO FISCAL"/>
    <s v="CIERRE_DE_CTAS_NOMINALES"/>
    <n v="0"/>
    <n v="48.48"/>
    <s v="PLAZA TOCUMEN"/>
    <x v="3"/>
  </r>
  <r>
    <n v="9"/>
    <d v="2018-12-26T00:00:00"/>
    <x v="1"/>
    <x v="1"/>
    <x v="0"/>
    <s v="ADMINISTRACION DE SUCURSALES"/>
    <s v="NC  RECONOCIMIENTOS"/>
    <s v="TRANSACCIONES DEL DIA 12/26/2018SPYRAL - GESTION ADMINISTRATIVA"/>
    <n v="57"/>
    <n v="0"/>
    <s v="SANTIAGO"/>
    <x v="3"/>
  </r>
  <r>
    <n v="9"/>
    <d v="2018-12-31T00:00:00"/>
    <x v="1"/>
    <x v="1"/>
    <x v="0"/>
    <s v="ADMINISTRACION DE SUCURSALES"/>
    <s v="CIERRE DE ANIO FISCAL"/>
    <s v="CIERRE_DE_CTAS_NOMINALES"/>
    <n v="0"/>
    <n v="74.2"/>
    <s v="SANTIAGO"/>
    <x v="3"/>
  </r>
  <r>
    <n v="11"/>
    <d v="2018-12-14T00:00:00"/>
    <x v="1"/>
    <x v="1"/>
    <x v="0"/>
    <s v="ADMINISTRACION DE SUCURSALES"/>
    <s v="NC  RECONOCIMIENTOS"/>
    <s v="TRANSACCIONES DEL DIA 12/14/2018SPYRAL - GESTION ADMINISTRATIVA"/>
    <n v="64.92"/>
    <n v="0"/>
    <s v="COLON"/>
    <x v="3"/>
  </r>
  <r>
    <n v="11"/>
    <d v="2018-12-31T00:00:00"/>
    <x v="1"/>
    <x v="1"/>
    <x v="0"/>
    <s v="ADMINISTRACION DE SUCURSALES"/>
    <s v="CIERRE DE ANIO FISCAL"/>
    <s v="CIERRE_DE_CTAS_NOMINALES"/>
    <n v="0"/>
    <n v="64.92"/>
    <s v="COLON"/>
    <x v="3"/>
  </r>
  <r>
    <n v="15"/>
    <d v="2018-12-12T00:00:00"/>
    <x v="1"/>
    <x v="1"/>
    <x v="0"/>
    <s v="ADMINISTRACION DE SUCURSALES"/>
    <s v="NC  RECONOCIMIENTOS"/>
    <s v="TRANSACCIONES DEL DIA 12/12/2018SPYRAL - GESTION ADMINISTRATIVA"/>
    <n v="70.819999999999993"/>
    <n v="0"/>
    <s v="LA CHORRERA"/>
    <x v="3"/>
  </r>
  <r>
    <n v="15"/>
    <d v="2018-12-31T00:00:00"/>
    <x v="1"/>
    <x v="1"/>
    <x v="0"/>
    <s v="ADMINISTRACION DE SUCURSALES"/>
    <s v="CIERRE DE ANIO FISCAL"/>
    <s v="CIERRE_DE_CTAS_NOMINALES"/>
    <n v="0"/>
    <n v="70.819999999999993"/>
    <s v="LA CHORRERA"/>
    <x v="3"/>
  </r>
  <r>
    <n v="17"/>
    <d v="2018-12-31T00:00:00"/>
    <x v="1"/>
    <x v="1"/>
    <x v="0"/>
    <s v="ADMINISTRACION DE SUCURSALES"/>
    <s v="CIERRE DE ANIO FISCAL"/>
    <s v="CIERRE_DE_CTAS_NOMINALES"/>
    <n v="0"/>
    <n v="29.26"/>
    <s v="LOS ANGELES"/>
    <x v="3"/>
  </r>
  <r>
    <n v="18"/>
    <d v="2018-07-12T00:00:00"/>
    <x v="6"/>
    <x v="6"/>
    <x v="0"/>
    <s v="ADMINISTRACION DE SUCURSALES"/>
    <s v="NC  RECONOCIMIENTOS"/>
    <s v="TRANSACCIONES DEL DIA 07/12/2018SPYRAL - GESTION ADMINISTRATIVA"/>
    <n v="25"/>
    <n v="0"/>
    <s v="VILLA LUCRE"/>
    <x v="3"/>
  </r>
  <r>
    <n v="18"/>
    <d v="2018-12-31T00:00:00"/>
    <x v="1"/>
    <x v="1"/>
    <x v="0"/>
    <s v="ADMINISTRACION DE SUCURSALES"/>
    <s v="CIERRE DE ANIO FISCAL"/>
    <s v="CIERRE_DE_CTAS_NOMINALES"/>
    <n v="0"/>
    <n v="25"/>
    <s v="VILLA LUCRE"/>
    <x v="3"/>
  </r>
  <r>
    <n v="19"/>
    <d v="2018-12-28T00:00:00"/>
    <x v="1"/>
    <x v="1"/>
    <x v="0"/>
    <s v="ADMINISTRACION DE SUCURSALES"/>
    <s v="NC  RECONOCIMIENTOS"/>
    <s v="TRANSACCIONES DEL DIA 12/28/2018SPYRAL - GESTION ADMINISTRATIVA"/>
    <n v="81.260000000000005"/>
    <n v="0"/>
    <s v="LOS ANDES"/>
    <x v="3"/>
  </r>
  <r>
    <n v="19"/>
    <d v="2018-12-31T00:00:00"/>
    <x v="1"/>
    <x v="1"/>
    <x v="0"/>
    <s v="ADMINISTRACION DE SUCURSALES"/>
    <s v="CIERRE DE ANIO FISCAL"/>
    <s v="CIERRE_DE_CTAS_NOMINALES"/>
    <n v="0"/>
    <n v="81.260000000000005"/>
    <s v="LOS ANDES"/>
    <x v="3"/>
  </r>
  <r>
    <n v="27"/>
    <d v="2018-11-13T00:00:00"/>
    <x v="5"/>
    <x v="5"/>
    <x v="0"/>
    <s v="ADMINISTRACION DE SUCURSALES"/>
    <s v="NC  RECONOCIMIENTOS"/>
    <s v="TRANSACCIONES DEL DIA 11/13/2018SPYRAL - GESTION ADMINISTRATIVA"/>
    <n v="20"/>
    <n v="0"/>
    <s v="ZONA LIBRE"/>
    <x v="3"/>
  </r>
  <r>
    <n v="27"/>
    <d v="2018-12-31T00:00:00"/>
    <x v="1"/>
    <x v="1"/>
    <x v="0"/>
    <s v="ADMINISTRACION DE SUCURSALES"/>
    <s v="CIERRE DE ANIO FISCAL"/>
    <s v="CIERRE_DE_CTAS_NOMINALES"/>
    <n v="0"/>
    <n v="20"/>
    <s v="ZONA LIBRE"/>
    <x v="3"/>
  </r>
  <r>
    <n v="30"/>
    <d v="2018-06-28T00:00:00"/>
    <x v="2"/>
    <x v="2"/>
    <x v="0"/>
    <s v="ADMINISTRACION DE SUCURSALES"/>
    <s v="RECONOCIMIENTO"/>
    <s v="TRANSACCIONES DEL DIA 06/28/2018SPYRAL - GESTION ADMINISTRATIVA"/>
    <n v="73.790000000000006"/>
    <n v="0"/>
    <s v="DAVID"/>
    <x v="3"/>
  </r>
  <r>
    <n v="30"/>
    <d v="2018-09-28T00:00:00"/>
    <x v="4"/>
    <x v="4"/>
    <x v="0"/>
    <s v="ADMINISTRACION DE SUCURSALES"/>
    <s v="NC  RECONOCIMIENTOS"/>
    <s v="TRANSACCIONES DEL DIA 09/28/2018SPYRAL - GESTION ADMINISTRATIVA"/>
    <n v="0"/>
    <n v="73.790000000000006"/>
    <s v="DAVID"/>
    <x v="3"/>
  </r>
  <r>
    <n v="34"/>
    <d v="2018-11-16T00:00:00"/>
    <x v="5"/>
    <x v="5"/>
    <x v="0"/>
    <s v="ADMINISTRACION DE SUCURSALES"/>
    <s v="NC  RECONOCIMIENTOS"/>
    <s v="TRANSACCIONES DEL DIA 11/16/2018SPYRAL - GESTION ADMINISTRATIVA"/>
    <n v="51.35"/>
    <n v="0"/>
    <s v="ALBROOK MALL"/>
    <x v="3"/>
  </r>
  <r>
    <n v="34"/>
    <d v="2018-12-12T00:00:00"/>
    <x v="1"/>
    <x v="1"/>
    <x v="0"/>
    <s v="ADMINISTRACION DE SUCURSALES"/>
    <s v="NC  RECONOCIMIENTOS"/>
    <s v="TRANSACCIONES DEL DIA 12/12/2018SPYRAL - GESTION ADMINISTRATIVA"/>
    <n v="68.459999999999994"/>
    <n v="0"/>
    <s v="ALBROOK MALL"/>
    <x v="3"/>
  </r>
  <r>
    <n v="34"/>
    <d v="2018-12-31T00:00:00"/>
    <x v="1"/>
    <x v="1"/>
    <x v="0"/>
    <s v="ADMINISTRACION DE SUCURSALES"/>
    <s v="CIERRE DE ANIO FISCAL"/>
    <s v="CIERRE_DE_CTAS_NOMINALES"/>
    <n v="0"/>
    <n v="119.81"/>
    <s v="ALBROOK MALL"/>
    <x v="3"/>
  </r>
  <r>
    <n v="37"/>
    <d v="2018-12-04T00:00:00"/>
    <x v="1"/>
    <x v="1"/>
    <x v="0"/>
    <s v="ADMINISTRACION DE SUCURSALES"/>
    <s v="NC  RECONOCIMIENTOS"/>
    <s v="TRANSACCIONES DEL DIA 12/04/2018SPYRAL - GESTION ADMINISTRATIVA"/>
    <n v="46.98"/>
    <n v="0"/>
    <s v="PENONOME"/>
    <x v="3"/>
  </r>
  <r>
    <n v="37"/>
    <d v="2018-12-31T00:00:00"/>
    <x v="1"/>
    <x v="1"/>
    <x v="0"/>
    <s v="ADMINISTRACION DE SUCURSALES"/>
    <s v="CIERRE DE ANIO FISCAL"/>
    <s v="CIERRE_DE_CTAS_NOMINALES"/>
    <n v="0"/>
    <n v="46.98"/>
    <s v="PENONOME"/>
    <x v="3"/>
  </r>
  <r>
    <n v="44"/>
    <d v="2018-12-28T00:00:00"/>
    <x v="1"/>
    <x v="1"/>
    <x v="0"/>
    <s v="ADMINISTRACION DE SUCURSALES"/>
    <s v="NC  RECONOCIMIENTOS"/>
    <s v="TRANSACCIONES DEL DIA 12/28/2018SPYRAL - GESTION ADMINISTRATIVA"/>
    <n v="60"/>
    <n v="0"/>
    <s v="MULTI PLAZA"/>
    <x v="3"/>
  </r>
  <r>
    <n v="44"/>
    <d v="2018-12-31T00:00:00"/>
    <x v="1"/>
    <x v="1"/>
    <x v="0"/>
    <s v="ADMINISTRACION DE SUCURSALES"/>
    <s v="CIERRE DE ANIO FISCAL"/>
    <s v="CIERRE_DE_CTAS_NOMINALES"/>
    <n v="0"/>
    <n v="60"/>
    <s v="MULTI PLAZA"/>
    <x v="3"/>
  </r>
  <r>
    <n v="46"/>
    <d v="2018-11-16T00:00:00"/>
    <x v="5"/>
    <x v="5"/>
    <x v="0"/>
    <s v="ADMINISTRACION DE SUCURSALES"/>
    <s v="NC  RECONOCIMIENTOS"/>
    <s v="TRANSACCIONES DEL DIA 11/16/2018SPYRAL - GESTION ADMINISTRATIVA"/>
    <n v="59.16"/>
    <n v="0"/>
    <s v="TERMINAL DE ALBROOK"/>
    <x v="3"/>
  </r>
  <r>
    <n v="46"/>
    <d v="2018-12-01T00:00:00"/>
    <x v="1"/>
    <x v="1"/>
    <x v="0"/>
    <s v="ADMINISTRACION DE SUCURSALES"/>
    <s v="NC  RECONOCIMIENTOS"/>
    <s v="TRANSACCIONES DEL DIA 12/01/2018SPYRAL - GESTION ADMINISTRATIVA"/>
    <n v="74.680000000000007"/>
    <n v="0"/>
    <s v="TERMINAL DE ALBROOK"/>
    <x v="3"/>
  </r>
  <r>
    <n v="46"/>
    <d v="2018-12-31T00:00:00"/>
    <x v="1"/>
    <x v="1"/>
    <x v="0"/>
    <s v="ADMINISTRACION DE SUCURSALES"/>
    <s v="CIERRE DE ANIO FISCAL"/>
    <s v="CIERRE_DE_CTAS_NOMINALES"/>
    <n v="0"/>
    <n v="133.84"/>
    <s v="TERMINAL DE ALBROOK"/>
    <x v="3"/>
  </r>
  <r>
    <n v="53"/>
    <d v="2018-12-27T00:00:00"/>
    <x v="1"/>
    <x v="1"/>
    <x v="0"/>
    <s v="ADMINISTRACION DE SUCURSALES"/>
    <s v="NC  RECONOCIMIENTOS"/>
    <s v="TRANSACCIONES DEL DIA 12/27/2018SPYRAL - GESTION ADMINISTRATIVA"/>
    <n v="40"/>
    <n v="0"/>
    <s v="AGUADULCE"/>
    <x v="3"/>
  </r>
  <r>
    <n v="53"/>
    <d v="2018-12-31T00:00:00"/>
    <x v="1"/>
    <x v="1"/>
    <x v="0"/>
    <s v="ADMINISTRACION DE SUCURSALES"/>
    <s v="CIERRE DE ANIO FISCAL"/>
    <s v="CIERRE_DE_CTAS_NOMINALES"/>
    <n v="0"/>
    <n v="40"/>
    <s v="AGUADULCE"/>
    <x v="3"/>
  </r>
  <r>
    <n v="54"/>
    <d v="2018-12-20T00:00:00"/>
    <x v="1"/>
    <x v="1"/>
    <x v="0"/>
    <s v="ADMINISTRACION DE SUCURSALES"/>
    <s v="NC  RECONOCIMIENTOS"/>
    <s v="TRANSACCIONES DEL DIA 12/20/2018SPYRAL - GESTION ADMINISTRATIVA"/>
    <n v="17.5"/>
    <n v="0"/>
    <s v="SABANITAS"/>
    <x v="3"/>
  </r>
  <r>
    <n v="54"/>
    <d v="2018-12-21T00:00:00"/>
    <x v="1"/>
    <x v="1"/>
    <x v="0"/>
    <s v="ADMINISTRACION DE SUCURSALES"/>
    <s v="NC  RECONOCIMIENTOS"/>
    <s v="TRANSACCIONES DEL DIA 12/21/2018SPYRAL - GESTION ADMINISTRATIVA"/>
    <n v="42.97"/>
    <n v="0"/>
    <s v="SABANITAS"/>
    <x v="3"/>
  </r>
  <r>
    <n v="54"/>
    <d v="2018-12-31T00:00:00"/>
    <x v="1"/>
    <x v="1"/>
    <x v="0"/>
    <s v="ADMINISTRACION DE SUCURSALES"/>
    <s v="CIERRE DE ANIO FISCAL"/>
    <s v="CIERRE_DE_CTAS_NOMINALES"/>
    <n v="0"/>
    <n v="60.47"/>
    <s v="SABANITAS"/>
    <x v="3"/>
  </r>
  <r>
    <n v="66"/>
    <d v="2018-12-31T00:00:00"/>
    <x v="1"/>
    <x v="1"/>
    <x v="0"/>
    <s v="ADMINISTRACION DE SUCURSALES"/>
    <s v="CIERRE DE ANIO FISCAL"/>
    <s v="CIERRE_DE_CTAS_NOMINALES"/>
    <n v="0"/>
    <n v="247.61"/>
    <s v="METROMALL"/>
    <x v="3"/>
  </r>
  <r>
    <n v="71"/>
    <d v="2018-08-09T00:00:00"/>
    <x v="3"/>
    <x v="3"/>
    <x v="0"/>
    <s v="ADMINISTRACION DE SUCURSALES"/>
    <s v="RECONOCIMIENTO"/>
    <s v="TRANSACCIONES DEL DIA 08/09/2018SPYRAL - GESTION ADMINISTRATIVA"/>
    <n v="10.7"/>
    <n v="0"/>
    <s v="SAN FRANCISCO"/>
    <x v="3"/>
  </r>
  <r>
    <n v="71"/>
    <d v="2018-12-31T00:00:00"/>
    <x v="1"/>
    <x v="1"/>
    <x v="0"/>
    <s v="ADMINISTRACION DE SUCURSALES"/>
    <s v="CIERRE DE ANIO FISCAL"/>
    <s v="CIERRE_DE_CTAS_NOMINALES"/>
    <n v="0"/>
    <n v="16.05"/>
    <s v="SAN FRANCISCO"/>
    <x v="3"/>
  </r>
  <r>
    <n v="72"/>
    <d v="2018-09-11T00:00:00"/>
    <x v="4"/>
    <x v="4"/>
    <x v="0"/>
    <s v="ADMINISTRACION DE SUCURSALES"/>
    <s v="NC  RECONOCIMIENTOS"/>
    <s v="TRANSACCIONES DEL DIA 09/11/2018SPYRAL - GESTION ADMINISTRATIVA"/>
    <n v="49.98"/>
    <n v="0"/>
    <s v="PLAZA BANCO GENERAL"/>
    <x v="3"/>
  </r>
  <r>
    <n v="72"/>
    <d v="2018-12-31T00:00:00"/>
    <x v="1"/>
    <x v="1"/>
    <x v="0"/>
    <s v="ADMINISTRACION DE SUCURSALES"/>
    <s v="CIERRE DE ANIO FISCAL"/>
    <s v="CIERRE_DE_CTAS_NOMINALES"/>
    <n v="0"/>
    <n v="49.98"/>
    <s v="PLAZA BANCO GENERAL"/>
    <x v="3"/>
  </r>
  <r>
    <n v="76"/>
    <d v="2018-12-21T00:00:00"/>
    <x v="1"/>
    <x v="1"/>
    <x v="0"/>
    <s v="ADMINISTRACION DE SUCURSALES"/>
    <s v="NC  RECONOCIMIENTOS"/>
    <s v="TRANSACCIONES DEL DIA 12/21/2018SPYRAL - GESTION ADMINISTRATIVA"/>
    <n v="21.21"/>
    <n v="0"/>
    <s v="CLAYTON"/>
    <x v="3"/>
  </r>
  <r>
    <n v="76"/>
    <d v="2018-12-31T00:00:00"/>
    <x v="1"/>
    <x v="1"/>
    <x v="0"/>
    <s v="ADMINISTRACION DE SUCURSALES"/>
    <s v="CIERRE DE ANIO FISCAL"/>
    <s v="CIERRE_DE_CTAS_NOMINALES"/>
    <n v="0"/>
    <n v="21.21"/>
    <s v="CLAYTON"/>
    <x v="3"/>
  </r>
  <r>
    <n v="78"/>
    <d v="2018-06-01T00:00:00"/>
    <x v="2"/>
    <x v="2"/>
    <x v="0"/>
    <s v="ADMINISTRACION DE SUCURSALES"/>
    <s v="NC  RECONOCIMIENTOS"/>
    <s v="TRANSACCIONES DEL DIA 06/01/2018SPYRAL - GESTION ADMINISTRATIVA"/>
    <n v="37.47"/>
    <n v="0"/>
    <s v="PLAZA CAROLINA"/>
    <x v="3"/>
  </r>
  <r>
    <n v="78"/>
    <d v="2018-12-31T00:00:00"/>
    <x v="1"/>
    <x v="1"/>
    <x v="0"/>
    <s v="ADMINISTRACION DE SUCURSALES"/>
    <s v="CIERRE DE ANIO FISCAL"/>
    <s v="CIERRE_DE_CTAS_NOMINALES"/>
    <n v="0"/>
    <n v="37.47"/>
    <s v="PLAZA CAROLINA"/>
    <x v="3"/>
  </r>
  <r>
    <n v="79"/>
    <d v="2018-12-27T00:00:00"/>
    <x v="1"/>
    <x v="1"/>
    <x v="0"/>
    <s v="ADMINISTRACION DE SUCURSALES"/>
    <s v="NC  RECONOCIMIENTOS"/>
    <s v="TRANSACCIONES DEL DIA 12/27/2018SPYRAL - GESTION ADMINISTRATIVA"/>
    <n v="31.98"/>
    <n v="0"/>
    <s v="PLAZA CORDOBA"/>
    <x v="3"/>
  </r>
  <r>
    <n v="79"/>
    <d v="2018-12-31T00:00:00"/>
    <x v="1"/>
    <x v="1"/>
    <x v="0"/>
    <s v="ADMINISTRACION DE SUCURSALES"/>
    <s v="CIERRE DE ANIO FISCAL"/>
    <s v="CIERRE_DE_CTAS_NOMINALES"/>
    <n v="0"/>
    <n v="31.98"/>
    <s v="PLAZA CORDOBA"/>
    <x v="3"/>
  </r>
  <r>
    <n v="89"/>
    <d v="2018-07-26T00:00:00"/>
    <x v="6"/>
    <x v="6"/>
    <x v="0"/>
    <s v="ADMINISTRACION DE SUCURSALES"/>
    <s v="NC  RECONOCIMIENTOS"/>
    <s v="TRANSACCIONES DEL DIA 07/26/2018SPYRAL - GESTION ADMINISTRATIVA"/>
    <n v="25"/>
    <n v="0"/>
    <s v="JUSTO AROSEMENA"/>
    <x v="3"/>
  </r>
  <r>
    <n v="89"/>
    <d v="2018-12-31T00:00:00"/>
    <x v="1"/>
    <x v="1"/>
    <x v="0"/>
    <s v="ADMINISTRACION DE SUCURSALES"/>
    <s v="CIERRE DE ANIO FISCAL"/>
    <s v="CIERRE_DE_CTAS_NOMINALES"/>
    <n v="0"/>
    <n v="50"/>
    <s v="JUSTO AROSEMENA"/>
    <x v="3"/>
  </r>
  <r>
    <n v="91"/>
    <d v="2018-06-01T00:00:00"/>
    <x v="2"/>
    <x v="2"/>
    <x v="0"/>
    <s v="HIPOTECAS"/>
    <s v="NC  RECONOCIMIENTOS"/>
    <s v="TRANSACCIONES DEL DIA 06/01/2018SPYRAL - GESTION ADMINISTRATIVA"/>
    <n v="400"/>
    <n v="0"/>
    <s v="NEGOCIOS"/>
    <x v="3"/>
  </r>
  <r>
    <n v="91"/>
    <d v="2018-07-12T00:00:00"/>
    <x v="6"/>
    <x v="6"/>
    <x v="0"/>
    <s v="HIPOTECAS"/>
    <s v="NC  RECONOCIMIENTOS"/>
    <s v="TRANSACCIONES DEL DIA 07/12/2018SPYRAL - GESTION ADMINISTRATIVA"/>
    <n v="32.97"/>
    <n v="0"/>
    <s v="NEGOCIOS"/>
    <x v="3"/>
  </r>
  <r>
    <n v="91"/>
    <d v="2018-12-31T00:00:00"/>
    <x v="1"/>
    <x v="1"/>
    <x v="0"/>
    <s v="HIPOTECAS"/>
    <s v="CIERRE DE ANIO FISCAL"/>
    <s v="CIERRE_DE_CTAS_NOMINALES"/>
    <n v="0"/>
    <n v="432.97"/>
    <s v="NEGOCIOS"/>
    <x v="3"/>
  </r>
  <r>
    <n v="91"/>
    <d v="2018-12-31T00:00:00"/>
    <x v="1"/>
    <x v="1"/>
    <x v="0"/>
    <s v="CANALES EXTERNOS HIP"/>
    <s v="CIERRE DE ANIO FISCAL"/>
    <s v="CIERRE_DE_CTAS_NOMINALES"/>
    <n v="0"/>
    <n v="200"/>
    <s v="NEGOCIOS"/>
    <x v="3"/>
  </r>
  <r>
    <n v="91"/>
    <d v="2018-09-14T00:00:00"/>
    <x v="4"/>
    <x v="4"/>
    <x v="0"/>
    <s v="GESTION HIPOTECARIA"/>
    <s v="NC  RECONOCIMIENTOS"/>
    <s v="TRANSACCIONES DEL DIA 09/14/2018SPYRAL - GESTION ADMINISTRATIVA"/>
    <n v="41.71"/>
    <n v="0"/>
    <s v="NEGOCIOS"/>
    <x v="3"/>
  </r>
  <r>
    <n v="91"/>
    <d v="2018-12-31T00:00:00"/>
    <x v="1"/>
    <x v="1"/>
    <x v="0"/>
    <s v="GESTION HIPOTECARIA"/>
    <s v="CIERRE DE ANIO FISCAL"/>
    <s v="CIERRE_DE_CTAS_NOMINALES"/>
    <n v="0"/>
    <n v="41.71"/>
    <s v="NEGOCIOS"/>
    <x v="3"/>
  </r>
  <r>
    <n v="91"/>
    <d v="2018-09-28T00:00:00"/>
    <x v="4"/>
    <x v="4"/>
    <x v="0"/>
    <s v="BANCA DE CONSUMO"/>
    <s v="NC  RECONOCIMIENTOS"/>
    <s v="TRANSACCIONES DEL DIA 09/28/2018SPYRAL - GESTION ADMINISTRATIVA"/>
    <n v="73.790000000000006"/>
    <n v="0"/>
    <s v="NEGOCIOS"/>
    <x v="3"/>
  </r>
  <r>
    <n v="91"/>
    <d v="2018-12-31T00:00:00"/>
    <x v="1"/>
    <x v="1"/>
    <x v="0"/>
    <s v="BANCA DE CONSUMO"/>
    <s v="CIERRE DE ANIO FISCAL"/>
    <s v="CIERRE_DE_CTAS_NOMINALES"/>
    <n v="0"/>
    <n v="6415.82"/>
    <s v="NEGOCIOS"/>
    <x v="3"/>
  </r>
  <r>
    <n v="91"/>
    <d v="2018-07-02T00:00:00"/>
    <x v="6"/>
    <x v="6"/>
    <x v="0"/>
    <s v="CANALES DE DISTRIBUCION"/>
    <s v="RECONOCIMIENTO"/>
    <s v="TRANSACCIONES DEL DIA 07/02/2018SPYRAL - GESTION ADMINISTRATIVA"/>
    <n v="91.13"/>
    <n v="0"/>
    <s v="NEGOCIOS"/>
    <x v="3"/>
  </r>
  <r>
    <n v="91"/>
    <d v="2018-08-14T00:00:00"/>
    <x v="3"/>
    <x v="3"/>
    <x v="0"/>
    <s v="CANALES DE DISTRIBUCION"/>
    <s v="RECONOCIMIENTO"/>
    <s v="TRANSACCIONES DEL DIA 08/14/2018SPYRAL - GESTION ADMINISTRATIVA"/>
    <n v="10360"/>
    <n v="0"/>
    <s v="NEGOCIOS"/>
    <x v="3"/>
  </r>
  <r>
    <n v="91"/>
    <d v="2018-09-14T00:00:00"/>
    <x v="4"/>
    <x v="4"/>
    <x v="0"/>
    <s v="CANALES DE DISTRIBUCION"/>
    <s v="RECONOCIMIENTO"/>
    <s v="TRANSACCIONES DEL DIA 09/14/2018SPYRAL - GESTION ADMINISTRATIVA"/>
    <n v="75.94"/>
    <n v="0"/>
    <s v="NEGOCIOS"/>
    <x v="3"/>
  </r>
  <r>
    <n v="91"/>
    <d v="2018-10-22T00:00:00"/>
    <x v="0"/>
    <x v="0"/>
    <x v="0"/>
    <s v="CANALES DE DISTRIBUCION"/>
    <s v="RECONOCIMIENTO"/>
    <s v="TRANSACCIONES DEL DIA 10/22/2018SPYRAL - GESTION ADMINISTRATIVA"/>
    <n v="500"/>
    <n v="0"/>
    <s v="NEGOCIOS"/>
    <x v="3"/>
  </r>
  <r>
    <n v="91"/>
    <d v="2018-10-27T00:00:00"/>
    <x v="0"/>
    <x v="0"/>
    <x v="0"/>
    <s v="CANALES DE DISTRIBUCION"/>
    <s v="RECONOCIMIENTO"/>
    <s v="TRANSACCIONES DEL DIA 10/27/2018SPYRAL - GESTION ADMINISTRATIVA"/>
    <n v="46100"/>
    <n v="0"/>
    <s v="NEGOCIOS"/>
    <x v="3"/>
  </r>
  <r>
    <n v="91"/>
    <d v="2018-11-19T00:00:00"/>
    <x v="5"/>
    <x v="5"/>
    <x v="0"/>
    <s v="CANALES DE DISTRIBUCION"/>
    <s v="RECONOCIMIENTO"/>
    <s v="TRANSACCIONES DEL DIA 11/19/2018SPYRAL - GESTION ADMINISTRATIVA"/>
    <n v="1618.93"/>
    <n v="0"/>
    <s v="NEGOCIOS"/>
    <x v="3"/>
  </r>
  <r>
    <n v="91"/>
    <d v="2018-11-27T00:00:00"/>
    <x v="5"/>
    <x v="5"/>
    <x v="0"/>
    <s v="CANALES DE DISTRIBUCION"/>
    <s v="NC  RECONOCIMIENTOS"/>
    <s v="TRANSACCIONES DEL DIA 11/27/2018SPYRAL - GESTION ADMINISTRATIVA"/>
    <n v="363.8"/>
    <n v="0"/>
    <s v="NEGOCIOS"/>
    <x v="3"/>
  </r>
  <r>
    <n v="91"/>
    <d v="2018-12-03T00:00:00"/>
    <x v="1"/>
    <x v="1"/>
    <x v="0"/>
    <s v="CANALES DE DISTRIBUCION"/>
    <s v="RECONOCIMIENTO"/>
    <s v="TRANSACCIONES DEL DIA 12/03/2018SPYRAL - GESTION ADMINISTRATIVA"/>
    <n v="200"/>
    <n v="0"/>
    <s v="NEGOCIOS"/>
    <x v="3"/>
  </r>
  <r>
    <n v="91"/>
    <d v="2018-12-04T00:00:00"/>
    <x v="1"/>
    <x v="1"/>
    <x v="0"/>
    <s v="CANALES DE DISTRIBUCION"/>
    <s v="NC  RECONOCIMIENTOS"/>
    <s v="TRANSACCIONES DEL DIA 12/04/2018SPYRAL - GESTION ADMINISTRATIVA"/>
    <n v="89.5"/>
    <n v="0"/>
    <s v="NEGOCIOS"/>
    <x v="3"/>
  </r>
  <r>
    <n v="91"/>
    <d v="2018-12-10T00:00:00"/>
    <x v="1"/>
    <x v="1"/>
    <x v="0"/>
    <s v="CANALES DE DISTRIBUCION"/>
    <s v="RECONOCIMIENTO"/>
    <s v="TRANSACCIONES DEL DIA 12/10/2018SPYRAL - GESTION ADMINISTRATIVA"/>
    <n v="124.53"/>
    <n v="0"/>
    <s v="NEGOCIOS"/>
    <x v="3"/>
  </r>
  <r>
    <n v="91"/>
    <d v="2018-12-12T00:00:00"/>
    <x v="1"/>
    <x v="1"/>
    <x v="0"/>
    <s v="CANALES DE DISTRIBUCION"/>
    <s v="NC  RECONOCIMIENTOS"/>
    <s v="TRANSACCIONES DEL DIA 12/12/2018SPYRAL - GESTION ADMINISTRATIVA"/>
    <n v="69.930000000000007"/>
    <n v="0"/>
    <s v="NEGOCIOS"/>
    <x v="3"/>
  </r>
  <r>
    <n v="91"/>
    <d v="2018-12-14T00:00:00"/>
    <x v="1"/>
    <x v="1"/>
    <x v="0"/>
    <s v="CANALES DE DISTRIBUCION"/>
    <s v="NC  RECONOCIMIENTOS"/>
    <s v="TRANSACCIONES DEL DIA 12/14/2018SPYRAL - GESTION ADMINISTRATIVA"/>
    <n v="135.12"/>
    <n v="0"/>
    <s v="NEGOCIOS"/>
    <x v="3"/>
  </r>
  <r>
    <n v="91"/>
    <d v="2018-12-20T00:00:00"/>
    <x v="1"/>
    <x v="1"/>
    <x v="0"/>
    <s v="CANALES DE DISTRIBUCION"/>
    <s v="NC  RECONOCIMIENTOS"/>
    <s v="TRANSACCIONES DEL DIA 12/20/2018SPYRAL - GESTION ADMINISTRATIVA"/>
    <n v="11"/>
    <n v="0"/>
    <s v="NEGOCIOS"/>
    <x v="3"/>
  </r>
  <r>
    <n v="91"/>
    <d v="2018-12-21T00:00:00"/>
    <x v="1"/>
    <x v="1"/>
    <x v="0"/>
    <s v="CANALES DE DISTRIBUCION"/>
    <s v="NC  RECONOCIMIENTOS"/>
    <s v="TRANSACCIONES DEL DIA 12/21/2018SPYRAL - GESTION ADMINISTRATIVA"/>
    <n v="44.97"/>
    <n v="0"/>
    <s v="NEGOCIOS"/>
    <x v="3"/>
  </r>
  <r>
    <n v="91"/>
    <d v="2018-12-31T00:00:00"/>
    <x v="1"/>
    <x v="1"/>
    <x v="0"/>
    <s v="CANALES DE DISTRIBUCION"/>
    <s v="CIERRE DE ANIO FISCAL"/>
    <s v="CIERRE_DE_CTAS_NOMINALES"/>
    <n v="0"/>
    <n v="138667.6"/>
    <s v="NEGOCIOS"/>
    <x v="3"/>
  </r>
  <r>
    <n v="91"/>
    <d v="2018-07-27T00:00:00"/>
    <x v="6"/>
    <x v="6"/>
    <x v="0"/>
    <s v="CENTRO DE TARJETAS"/>
    <s v="NC  RECONOCIMIENTOS"/>
    <s v="TRANSACCIONES DEL DIA 07/27/2018SPYRAL - GESTION ADMINISTRATIVA"/>
    <n v="0"/>
    <n v="308.68"/>
    <s v="NEGOCIOS"/>
    <x v="3"/>
  </r>
  <r>
    <n v="91"/>
    <d v="2018-09-11T00:00:00"/>
    <x v="4"/>
    <x v="4"/>
    <x v="0"/>
    <s v="CENTRO DE TARJETAS"/>
    <s v="NC  RECONOCIMIENTOS"/>
    <s v="TRANSACCIONES DEL DIA 09/11/2018SPYRAL - GESTION ADMINISTRATIVA"/>
    <n v="254.35"/>
    <n v="0"/>
    <s v="NEGOCIOS"/>
    <x v="3"/>
  </r>
  <r>
    <n v="91"/>
    <d v="2018-09-28T00:00:00"/>
    <x v="4"/>
    <x v="4"/>
    <x v="0"/>
    <s v="CENTRO DE TARJETAS"/>
    <s v="NC  RECONOCIMIENTOS"/>
    <s v="TRANSACCIONES DEL DIA 09/28/2018SPYRAL - GESTION ADMINISTRATIVA"/>
    <n v="0.01"/>
    <n v="0"/>
    <s v="NEGOCIOS"/>
    <x v="3"/>
  </r>
  <r>
    <n v="91"/>
    <d v="2018-09-28T00:00:00"/>
    <x v="4"/>
    <x v="4"/>
    <x v="0"/>
    <s v="CENTRO DE TARJETAS"/>
    <s v="NC  RECONOCIMIENTOS"/>
    <s v="TRANSACCIONES DEL DIA 09/28/2018SPYRAL - GESTION ADMINISTRATIVA"/>
    <n v="0"/>
    <n v="0.01"/>
    <s v="NEGOCIOS"/>
    <x v="3"/>
  </r>
  <r>
    <n v="91"/>
    <d v="2018-12-04T00:00:00"/>
    <x v="1"/>
    <x v="1"/>
    <x v="0"/>
    <s v="CENTRO DE TARJETAS"/>
    <s v="NC  RECONOCIMIENTOS"/>
    <s v="TRANSACCIONES DEL DIA 12/04/2018SPYRAL - GESTION ADMINISTRATIVA"/>
    <n v="24.28"/>
    <n v="0"/>
    <s v="NEGOCIOS"/>
    <x v="3"/>
  </r>
  <r>
    <n v="91"/>
    <d v="2018-12-31T00:00:00"/>
    <x v="1"/>
    <x v="1"/>
    <x v="0"/>
    <s v="CENTRO DE TARJETAS"/>
    <s v="CIERRE DE ANIO FISCAL"/>
    <s v="CIERRE_DE_CTAS_NOMINALES"/>
    <n v="0"/>
    <n v="278.63"/>
    <s v="NEGOCIOS"/>
    <x v="3"/>
  </r>
  <r>
    <n v="91"/>
    <d v="2018-07-16T00:00:00"/>
    <x v="6"/>
    <x v="6"/>
    <x v="0"/>
    <s v="CANALES ALTERNOS"/>
    <s v="RECONOCIMIENTO"/>
    <s v="TRANSACCIONES DEL DIA 07/16/2018SPYRAL - GESTION ADMINISTRATIVA"/>
    <n v="162.5"/>
    <n v="0"/>
    <s v="NEGOCIOS"/>
    <x v="3"/>
  </r>
  <r>
    <n v="91"/>
    <d v="2018-09-25T00:00:00"/>
    <x v="4"/>
    <x v="4"/>
    <x v="0"/>
    <s v="CANALES ALTERNOS"/>
    <s v="RECONOCIMIENTO"/>
    <s v="TRANSACCIONES DEL DIA 09/25/2018SPYRAL - GESTION ADMINISTRATIVA"/>
    <n v="101.44"/>
    <n v="0"/>
    <s v="NEGOCIOS"/>
    <x v="3"/>
  </r>
  <r>
    <n v="91"/>
    <d v="2018-12-31T00:00:00"/>
    <x v="1"/>
    <x v="1"/>
    <x v="0"/>
    <s v="CANALES ALTERNOS"/>
    <s v="CIERRE DE ANIO FISCAL"/>
    <s v="CIERRE_DE_CTAS_NOMINALES"/>
    <n v="0"/>
    <n v="263.94"/>
    <s v="NEGOCIOS"/>
    <x v="3"/>
  </r>
  <r>
    <n v="91"/>
    <d v="2018-06-15T00:00:00"/>
    <x v="2"/>
    <x v="2"/>
    <x v="0"/>
    <s v="TELEMERCADEO"/>
    <s v="NC  RECONOCIMIENTOS"/>
    <s v="TRANSACCIONES DEL DIA 06/15/2018SPYRAL - GESTION ADMINISTRATIVA"/>
    <n v="135"/>
    <n v="0"/>
    <s v="NEGOCIOS"/>
    <x v="3"/>
  </r>
  <r>
    <n v="91"/>
    <d v="2018-07-27T00:00:00"/>
    <x v="6"/>
    <x v="6"/>
    <x v="0"/>
    <s v="TELEMERCADEO"/>
    <s v="RECONOCIMIENTO"/>
    <s v="TRANSACCIONES DEL DIA 07/27/2018SPYRAL - GESTION ADMINISTRATIVA"/>
    <n v="24.95"/>
    <n v="0"/>
    <s v="NEGOCIOS"/>
    <x v="3"/>
  </r>
  <r>
    <n v="91"/>
    <d v="2018-08-23T00:00:00"/>
    <x v="3"/>
    <x v="3"/>
    <x v="0"/>
    <s v="TELEMERCADEO"/>
    <s v="NC  RECONOCIMIENTOS"/>
    <s v="TRANSACCIONES DEL DIA 08/23/2018SPYRAL - GESTION ADMINISTRATIVA"/>
    <n v="210"/>
    <n v="0"/>
    <s v="NEGOCIOS"/>
    <x v="3"/>
  </r>
  <r>
    <n v="91"/>
    <d v="2018-09-20T00:00:00"/>
    <x v="4"/>
    <x v="4"/>
    <x v="0"/>
    <s v="TELEMERCADEO"/>
    <s v="RECONOCIMIENTO"/>
    <s v="TRANSACCIONES DEL DIA 09/20/2018SPYRAL - GESTION ADMINISTRATIVA"/>
    <n v="43.2"/>
    <n v="0"/>
    <s v="NEGOCIOS"/>
    <x v="3"/>
  </r>
  <r>
    <n v="91"/>
    <d v="2018-11-08T00:00:00"/>
    <x v="5"/>
    <x v="5"/>
    <x v="0"/>
    <s v="TELEMERCADEO"/>
    <s v="RECONOCIMIENTO"/>
    <s v="TRANSACCIONES DEL DIA 11/08/2018SPYRAL - GESTION ADMINISTRATIVA"/>
    <n v="56.49"/>
    <n v="0"/>
    <s v="NEGOCIOS"/>
    <x v="3"/>
  </r>
  <r>
    <n v="91"/>
    <d v="2018-12-31T00:00:00"/>
    <x v="1"/>
    <x v="1"/>
    <x v="0"/>
    <s v="TELEMERCADEO"/>
    <s v="CIERRE DE ANIO FISCAL"/>
    <s v="CIERRE_DE_CTAS_NOMINALES"/>
    <n v="0"/>
    <n v="1304.6199999999999"/>
    <s v="NEGOCIOS"/>
    <x v="3"/>
  </r>
  <r>
    <n v="91"/>
    <d v="2018-12-31T00:00:00"/>
    <x v="1"/>
    <x v="1"/>
    <x v="0"/>
    <s v="BANCA EN LINEA"/>
    <s v="CIERRE DE ANIO FISCAL"/>
    <s v="CIERRE_DE_CTAS_NOMINALES"/>
    <n v="0"/>
    <n v="4127"/>
    <s v="NEGOCIOS"/>
    <x v="3"/>
  </r>
  <r>
    <n v="91"/>
    <d v="2018-06-11T00:00:00"/>
    <x v="2"/>
    <x v="2"/>
    <x v="0"/>
    <s v="ATENCION A CLIENTES"/>
    <s v="RECONOCIMIENTO"/>
    <s v="TRANSACCIONES DEL DIA 06/11/2018SPYRAL - GESTION ADMINISTRATIVA"/>
    <n v="84"/>
    <n v="0"/>
    <s v="NEGOCIOS"/>
    <x v="3"/>
  </r>
  <r>
    <n v="91"/>
    <d v="2018-12-31T00:00:00"/>
    <x v="1"/>
    <x v="1"/>
    <x v="0"/>
    <s v="ATENCION A CLIENTES"/>
    <s v="CIERRE DE ANIO FISCAL"/>
    <s v="CIERRE_DE_CTAS_NOMINALES"/>
    <n v="0"/>
    <n v="348.89"/>
    <s v="NEGOCIOS"/>
    <x v="3"/>
  </r>
  <r>
    <n v="91"/>
    <d v="2018-07-16T00:00:00"/>
    <x v="6"/>
    <x v="6"/>
    <x v="0"/>
    <s v="DESARROLLO DE PRODUCTOS"/>
    <s v="RECONOCIMIENTO"/>
    <s v="TRANSACCIONES DEL DIA 07/16/2018SPYRAL - GESTION ADMINISTRATIVA"/>
    <n v="390"/>
    <n v="0"/>
    <s v="NEGOCIOS"/>
    <x v="3"/>
  </r>
  <r>
    <n v="91"/>
    <d v="2018-08-23T00:00:00"/>
    <x v="3"/>
    <x v="3"/>
    <x v="0"/>
    <s v="DESARROLLO DE PRODUCTOS"/>
    <s v="RECONOCIMIENTO"/>
    <s v="TRANSACCIONES DEL DIA 08/23/2018SPYRAL - GESTION ADMINISTRATIVA"/>
    <n v="134.82"/>
    <n v="0"/>
    <s v="NEGOCIOS"/>
    <x v="3"/>
  </r>
  <r>
    <n v="91"/>
    <d v="2018-09-20T00:00:00"/>
    <x v="4"/>
    <x v="4"/>
    <x v="0"/>
    <s v="DESARROLLO DE PRODUCTOS"/>
    <s v="RECONOCIMIENTO"/>
    <s v="TRANSACCIONES DEL DIA 09/20/2018SPYRAL - GESTION ADMINISTRATIVA"/>
    <n v="80.06"/>
    <n v="0"/>
    <s v="NEGOCIOS"/>
    <x v="3"/>
  </r>
  <r>
    <n v="91"/>
    <d v="2018-09-25T00:00:00"/>
    <x v="4"/>
    <x v="4"/>
    <x v="0"/>
    <s v="DESARROLLO DE PRODUCTOS"/>
    <s v="RECONOCIMIENTO"/>
    <s v="TRANSACCIONES DEL DIA 09/25/2018SPYRAL - GESTION ADMINISTRATIVA"/>
    <n v="201.99"/>
    <n v="0"/>
    <s v="NEGOCIOS"/>
    <x v="3"/>
  </r>
  <r>
    <n v="91"/>
    <d v="2018-12-31T00:00:00"/>
    <x v="1"/>
    <x v="1"/>
    <x v="0"/>
    <s v="DESARROLLO DE PRODUCTOS"/>
    <s v="CIERRE DE ANIO FISCAL"/>
    <s v="CIERRE_DE_CTAS_NOMINALES"/>
    <n v="0"/>
    <n v="806.87"/>
    <s v="NEGOCIOS"/>
    <x v="3"/>
  </r>
  <r>
    <n v="91"/>
    <d v="2018-07-27T00:00:00"/>
    <x v="6"/>
    <x v="6"/>
    <x v="0"/>
    <s v="VENTAS CONSUMO"/>
    <s v="NC  RECONOCIMIENTOS"/>
    <s v="TRANSACCIONES DEL DIA 07/27/2018SPYRAL - GESTION ADMINISTRATIVA"/>
    <n v="308.68"/>
    <n v="0"/>
    <s v="NEGOCIOS"/>
    <x v="3"/>
  </r>
  <r>
    <n v="91"/>
    <d v="2018-11-08T00:00:00"/>
    <x v="5"/>
    <x v="5"/>
    <x v="0"/>
    <s v="VENTAS CONSUMO"/>
    <s v="RECONOCIMIENTO"/>
    <s v="TRANSACCIONES DEL DIA 11/08/2018SPYRAL - GESTION ADMINISTRATIVA"/>
    <n v="25"/>
    <n v="0"/>
    <s v="NEGOCIOS"/>
    <x v="3"/>
  </r>
  <r>
    <n v="91"/>
    <d v="2018-12-31T00:00:00"/>
    <x v="1"/>
    <x v="1"/>
    <x v="0"/>
    <s v="VENTAS CONSUMO"/>
    <s v="CIERRE DE ANIO FISCAL"/>
    <s v="CIERRE_DE_CTAS_NOMINALES"/>
    <n v="0"/>
    <n v="333.68"/>
    <s v="NEGOCIOS"/>
    <x v="3"/>
  </r>
  <r>
    <n v="91"/>
    <d v="2018-06-11T00:00:00"/>
    <x v="2"/>
    <x v="2"/>
    <x v="0"/>
    <s v="FUERZAS DE VENTAS PANAMA"/>
    <s v="RECONOCIMIENTO"/>
    <s v="TRANSACCIONES DEL DIA 06/11/2018SPYRAL - GESTION ADMINISTRATIVA"/>
    <n v="22.89"/>
    <n v="0"/>
    <s v="NEGOCIOS"/>
    <x v="3"/>
  </r>
  <r>
    <n v="91"/>
    <d v="2018-06-20T00:00:00"/>
    <x v="2"/>
    <x v="2"/>
    <x v="0"/>
    <s v="FUERZAS DE VENTAS PANAMA"/>
    <s v="RECONOCIMIENTO"/>
    <s v="TRANSACCIONES DEL DIA 06/20/2018SPYRAL - GESTION ADMINISTRATIVA"/>
    <n v="25"/>
    <n v="0"/>
    <s v="NEGOCIOS"/>
    <x v="3"/>
  </r>
  <r>
    <n v="91"/>
    <d v="2018-07-10T00:00:00"/>
    <x v="6"/>
    <x v="6"/>
    <x v="0"/>
    <s v="FUERZAS DE VENTAS PANAMA"/>
    <s v="RECONOCIMIENTO"/>
    <s v="TRANSACCIONES DEL DIA 07/10/2018SPYRAL - GESTION ADMINISTRATIVA"/>
    <n v="75"/>
    <n v="0"/>
    <s v="NEGOCIOS"/>
    <x v="3"/>
  </r>
  <r>
    <n v="91"/>
    <d v="2018-08-03T00:00:00"/>
    <x v="3"/>
    <x v="3"/>
    <x v="0"/>
    <s v="FUERZAS DE VENTAS PANAMA"/>
    <s v="NC  RECONOCIMIENTOS"/>
    <s v="TRANSACCIONES DEL DIA 08/03/2018SPYRAL - GESTION ADMINISTRATIVA"/>
    <n v="26.25"/>
    <n v="0"/>
    <s v="NEGOCIOS"/>
    <x v="3"/>
  </r>
  <r>
    <n v="91"/>
    <d v="2018-08-23T00:00:00"/>
    <x v="3"/>
    <x v="3"/>
    <x v="0"/>
    <s v="FUERZAS DE VENTAS PANAMA"/>
    <s v="NC  RECONOCIMIENTOS"/>
    <s v="TRANSACCIONES DEL DIA 08/23/2018SPYRAL - GESTION ADMINISTRATIVA"/>
    <n v="25"/>
    <n v="0"/>
    <s v="NEGOCIOS"/>
    <x v="3"/>
  </r>
  <r>
    <n v="91"/>
    <d v="2018-09-11T00:00:00"/>
    <x v="4"/>
    <x v="4"/>
    <x v="0"/>
    <s v="FUERZAS DE VENTAS PANAMA"/>
    <s v="NC  RECONOCIMIENTOS"/>
    <s v="TRANSACCIONES DEL DIA 09/11/2018SPYRAL - GESTION ADMINISTRATIVA"/>
    <n v="50"/>
    <n v="0"/>
    <s v="NEGOCIOS"/>
    <x v="3"/>
  </r>
  <r>
    <n v="91"/>
    <d v="2018-09-14T00:00:00"/>
    <x v="4"/>
    <x v="4"/>
    <x v="0"/>
    <s v="FUERZAS DE VENTAS PANAMA"/>
    <s v="NC  RECONOCIMIENTOS"/>
    <s v="TRANSACCIONES DEL DIA 09/14/2018SPYRAL - GESTION ADMINISTRATIVA"/>
    <n v="100"/>
    <n v="0"/>
    <s v="NEGOCIOS"/>
    <x v="3"/>
  </r>
  <r>
    <n v="91"/>
    <d v="2018-09-20T00:00:00"/>
    <x v="4"/>
    <x v="4"/>
    <x v="0"/>
    <s v="FUERZAS DE VENTAS PANAMA"/>
    <s v="NC  RECONOCIMIENTOS"/>
    <s v="TRANSACCIONES DEL DIA 09/20/2018SPYRAL - GESTION ADMINISTRATIVA"/>
    <n v="75"/>
    <n v="0"/>
    <s v="NEGOCIOS"/>
    <x v="3"/>
  </r>
  <r>
    <n v="91"/>
    <d v="2018-10-02T00:00:00"/>
    <x v="0"/>
    <x v="0"/>
    <x v="0"/>
    <s v="FUERZAS DE VENTAS PANAMA"/>
    <s v="NC  RECONOCIMIENTOS"/>
    <s v="TRANSACCIONES DEL DIA 10/02/2018SPYRAL - GESTION ADMINISTRATIVA"/>
    <n v="100"/>
    <n v="0"/>
    <s v="NEGOCIOS"/>
    <x v="3"/>
  </r>
  <r>
    <n v="91"/>
    <d v="2018-11-08T00:00:00"/>
    <x v="5"/>
    <x v="5"/>
    <x v="0"/>
    <s v="FUERZAS DE VENTAS PANAMA"/>
    <s v="NC  RECONOCIMIENTOS"/>
    <s v="TRANSACCIONES DEL DIA 11/08/2018SPYRAL - GESTION ADMINISTRATIVA"/>
    <n v="25"/>
    <n v="0"/>
    <s v="NEGOCIOS"/>
    <x v="3"/>
  </r>
  <r>
    <n v="91"/>
    <d v="2018-11-27T00:00:00"/>
    <x v="5"/>
    <x v="5"/>
    <x v="0"/>
    <s v="FUERZAS DE VENTAS PANAMA"/>
    <s v="NC  RECONOCIMIENTOS"/>
    <s v="TRANSACCIONES DEL DIA 11/27/2018SPYRAL - GESTION ADMINISTRATIVA"/>
    <n v="75"/>
    <n v="0"/>
    <s v="NEGOCIOS"/>
    <x v="3"/>
  </r>
  <r>
    <n v="91"/>
    <d v="2018-12-04T00:00:00"/>
    <x v="1"/>
    <x v="1"/>
    <x v="0"/>
    <s v="FUERZAS DE VENTAS PANAMA"/>
    <s v="NC  RECONOCIMIENTOS"/>
    <s v="TRANSACCIONES DEL DIA 12/04/2018SPYRAL - GESTION ADMINISTRATIVA"/>
    <n v="25"/>
    <n v="0"/>
    <s v="NEGOCIOS"/>
    <x v="3"/>
  </r>
  <r>
    <n v="91"/>
    <d v="2018-12-31T00:00:00"/>
    <x v="1"/>
    <x v="1"/>
    <x v="0"/>
    <s v="FUERZAS DE VENTAS PANAMA"/>
    <s v="CIERRE DE ANIO FISCAL"/>
    <s v="CIERRE_DE_CTAS_NOMINALES"/>
    <n v="0"/>
    <n v="2498.0100000000002"/>
    <s v="NEGOCIOS"/>
    <x v="3"/>
  </r>
  <r>
    <n v="91"/>
    <d v="2018-10-02T00:00:00"/>
    <x v="0"/>
    <x v="0"/>
    <x v="0"/>
    <s v="FUERZA DE VENTAS AUTOS"/>
    <s v="RECONOCIMIENTO"/>
    <s v="TRANSACCIONES DEL DIA 10/02/2018SPYRAL - GESTION ADMINISTRATIVA"/>
    <n v="75"/>
    <n v="0"/>
    <s v="NEGOCIOS"/>
    <x v="3"/>
  </r>
  <r>
    <n v="91"/>
    <d v="2018-12-31T00:00:00"/>
    <x v="1"/>
    <x v="1"/>
    <x v="0"/>
    <s v="FUERZA DE VENTAS AUTOS"/>
    <s v="CIERRE DE ANIO FISCAL"/>
    <s v="CIERRE_DE_CTAS_NOMINALES"/>
    <n v="0"/>
    <n v="75"/>
    <s v="NEGOCIOS"/>
    <x v="3"/>
  </r>
  <r>
    <n v="91"/>
    <d v="2018-06-19T00:00:00"/>
    <x v="2"/>
    <x v="2"/>
    <x v="0"/>
    <s v="SEGMENTO DE NEGOCIOS"/>
    <s v="RECONOCIMIENTO"/>
    <s v="TRANSACCIONES DEL DIA 06/19/2018SPYRAL - GESTION ADMINISTRATIVA"/>
    <n v="413"/>
    <n v="0"/>
    <s v="NEGOCIOS"/>
    <x v="3"/>
  </r>
  <r>
    <n v="91"/>
    <d v="2018-08-20T00:00:00"/>
    <x v="3"/>
    <x v="3"/>
    <x v="0"/>
    <s v="SEGMENTO DE NEGOCIOS"/>
    <s v="RECONOCIMIENTO"/>
    <s v="TRANSACCIONES DEL DIA 08/20/2018SPYRAL - GESTION ADMINISTRATIVA"/>
    <n v="48"/>
    <n v="0"/>
    <s v="NEGOCIOS"/>
    <x v="3"/>
  </r>
  <r>
    <n v="91"/>
    <d v="2018-09-26T00:00:00"/>
    <x v="4"/>
    <x v="4"/>
    <x v="0"/>
    <s v="SEGMENTO DE NEGOCIOS"/>
    <s v="NC  RECONOCIMIENTOS"/>
    <s v="TRANSACCIONES DEL DIA 09/26/2018SPYRAL - GESTION ADMINISTRATIVA"/>
    <n v="0"/>
    <n v="420"/>
    <s v="NEGOCIOS"/>
    <x v="3"/>
  </r>
  <r>
    <n v="91"/>
    <d v="2018-10-24T00:00:00"/>
    <x v="0"/>
    <x v="0"/>
    <x v="0"/>
    <s v="SEGMENTO DE NEGOCIOS"/>
    <s v="NC  RECONOCIMIENTOS"/>
    <s v="TRANSACCIONES DEL DIA 10/24/2018SPYRAL - GESTION ADMINISTRATIVA"/>
    <n v="1254.5"/>
    <n v="0"/>
    <s v="NEGOCIOS"/>
    <x v="3"/>
  </r>
  <r>
    <n v="91"/>
    <d v="2018-11-21T00:00:00"/>
    <x v="5"/>
    <x v="5"/>
    <x v="0"/>
    <s v="SEGMENTO DE NEGOCIOS"/>
    <s v="RECONOCIMIENTO"/>
    <s v="TRANSACCIONES DEL DIA 11/21/2018SPYRAL - GESTION ADMINISTRATIVA"/>
    <n v="203.77"/>
    <n v="0"/>
    <s v="NEGOCIOS"/>
    <x v="3"/>
  </r>
  <r>
    <n v="91"/>
    <d v="2018-12-11T00:00:00"/>
    <x v="1"/>
    <x v="1"/>
    <x v="0"/>
    <s v="SEGMENTO DE NEGOCIOS"/>
    <s v="RECONOCIMIENTO"/>
    <s v="TRANSACCIONES DEL DIA 12/11/2018SPYRAL - GESTION ADMINISTRATIVA"/>
    <n v="396"/>
    <n v="0"/>
    <s v="NEGOCIOS"/>
    <x v="3"/>
  </r>
  <r>
    <n v="91"/>
    <d v="2018-12-31T00:00:00"/>
    <x v="1"/>
    <x v="1"/>
    <x v="0"/>
    <s v="SEGMENTO DE NEGOCIOS"/>
    <s v="CIERRE DE ANIO FISCAL"/>
    <s v="CIERRE_DE_CTAS_NOMINALES"/>
    <n v="0"/>
    <n v="2315.27"/>
    <s v="NEGOCIOS"/>
    <x v="3"/>
  </r>
  <r>
    <n v="91"/>
    <d v="2018-12-31T00:00:00"/>
    <x v="1"/>
    <x v="1"/>
    <x v="0"/>
    <s v="BANCA PRIVADA"/>
    <s v="CIERRE DE ANIO FISCAL"/>
    <s v="CIERRE_DE_CTAS_NOMINALES"/>
    <n v="0"/>
    <n v="33.46"/>
    <s v="NEGOCIOS"/>
    <x v="3"/>
  </r>
  <r>
    <n v="91"/>
    <d v="2018-06-21T00:00:00"/>
    <x v="2"/>
    <x v="2"/>
    <x v="0"/>
    <s v="CAMPAðA"/>
    <s v="RECONOCIMIENTO"/>
    <s v="TRANSACCIONES DEL DIA 06/21/2018SPYRAL - GESTION ADMINISTRATIVA"/>
    <n v="106.12"/>
    <n v="0"/>
    <s v="NEGOCIOS"/>
    <x v="3"/>
  </r>
  <r>
    <n v="91"/>
    <d v="2018-12-31T00:00:00"/>
    <x v="1"/>
    <x v="1"/>
    <x v="0"/>
    <s v="CAMPAðA"/>
    <s v="CIERRE DE ANIO FISCAL"/>
    <s v="CIERRE_DE_CTAS_NOMINALES"/>
    <n v="0"/>
    <n v="106.12"/>
    <s v="NEGOCIOS"/>
    <x v="3"/>
  </r>
  <r>
    <n v="91"/>
    <d v="2018-06-11T00:00:00"/>
    <x v="2"/>
    <x v="2"/>
    <x v="0"/>
    <s v="BANCA COMERCIAL"/>
    <s v="NC  RECONOCIMIENTOS"/>
    <s v="TRANSACCIONES DEL DIA 06/11/2018SPYRAL - GESTION ADMINISTRATIVA"/>
    <n v="95.96"/>
    <n v="0"/>
    <s v="NEGOCIOS"/>
    <x v="3"/>
  </r>
  <r>
    <n v="91"/>
    <d v="2018-06-15T00:00:00"/>
    <x v="2"/>
    <x v="2"/>
    <x v="0"/>
    <s v="BANCA COMERCIAL"/>
    <s v="NC  RECONOCIMIENTOS"/>
    <s v="TRANSACCIONES DEL DIA 06/15/2018SPYRAL - GESTION ADMINISTRATIVA"/>
    <n v="71.97"/>
    <n v="0"/>
    <s v="NEGOCIOS"/>
    <x v="3"/>
  </r>
  <r>
    <n v="91"/>
    <d v="2018-12-31T00:00:00"/>
    <x v="1"/>
    <x v="1"/>
    <x v="0"/>
    <s v="BANCA COMERCIAL"/>
    <s v="CIERRE DE ANIO FISCAL"/>
    <s v="CIERRE_DE_CTAS_NOMINALES"/>
    <n v="0"/>
    <n v="167.93"/>
    <s v="NEGOCIOS"/>
    <x v="3"/>
  </r>
  <r>
    <n v="91"/>
    <d v="2018-07-17T00:00:00"/>
    <x v="6"/>
    <x v="6"/>
    <x v="0"/>
    <s v="BANCA COMERCIAL INTERIOR"/>
    <s v="NC  RECONOCIMIENTOS"/>
    <s v="TRANSACCIONES DEL DIA 07/17/2018SPYRAL - GESTION ADMINISTRATIVA"/>
    <n v="76.98"/>
    <n v="0"/>
    <s v="NEGOCIOS"/>
    <x v="3"/>
  </r>
  <r>
    <n v="91"/>
    <d v="2018-12-31T00:00:00"/>
    <x v="1"/>
    <x v="1"/>
    <x v="0"/>
    <s v="BANCA COMERCIAL INTERIOR"/>
    <s v="CIERRE DE ANIO FISCAL"/>
    <s v="CIERRE_DE_CTAS_NOMINALES"/>
    <n v="0"/>
    <n v="76.98"/>
    <s v="NEGOCIOS"/>
    <x v="3"/>
  </r>
  <r>
    <n v="91"/>
    <d v="2018-06-14T00:00:00"/>
    <x v="2"/>
    <x v="2"/>
    <x v="0"/>
    <s v="BANCA COMERCIAL PERIFERIA"/>
    <s v="RECONOCIMIENTO"/>
    <s v="TRANSACCIONES DEL DIA 06/14/2018SPYRAL - GESTION ADMINISTRATIVA"/>
    <n v="95.96"/>
    <n v="0"/>
    <s v="NEGOCIOS"/>
    <x v="3"/>
  </r>
  <r>
    <n v="91"/>
    <d v="2018-07-26T00:00:00"/>
    <x v="6"/>
    <x v="6"/>
    <x v="0"/>
    <s v="BANCA COMERCIAL PERIFERIA"/>
    <s v="NC  RECONOCIMIENTOS"/>
    <s v="TRANSACCIONES DEL DIA 07/26/2018SPYRAL - GESTION ADMINISTRATIVA"/>
    <n v="279.51"/>
    <n v="0"/>
    <s v="NEGOCIOS"/>
    <x v="3"/>
  </r>
  <r>
    <n v="91"/>
    <d v="2018-12-31T00:00:00"/>
    <x v="1"/>
    <x v="1"/>
    <x v="0"/>
    <s v="BANCA COMERCIAL PERIFERIA"/>
    <s v="CIERRE DE ANIO FISCAL"/>
    <s v="CIERRE_DE_CTAS_NOMINALES"/>
    <n v="0"/>
    <n v="375.47"/>
    <s v="NEGOCIOS"/>
    <x v="3"/>
  </r>
  <r>
    <n v="91"/>
    <d v="2018-08-23T00:00:00"/>
    <x v="3"/>
    <x v="3"/>
    <x v="0"/>
    <s v="SERVICIOS AL CLIENTE"/>
    <s v="RECONOCIMIENTO"/>
    <s v="TRANSACCIONES DEL DIA 08/23/2018SPYRAL - GESTION ADMINISTRATIVA"/>
    <n v="80"/>
    <n v="0"/>
    <s v="NEGOCIOS"/>
    <x v="3"/>
  </r>
  <r>
    <n v="91"/>
    <d v="2018-10-01T00:00:00"/>
    <x v="0"/>
    <x v="0"/>
    <x v="0"/>
    <s v="SERVICIOS AL CLIENTE"/>
    <s v="NC  RECONOCIMIENTOS"/>
    <s v="TRANSACCIONES DEL DIA 10/01/2018SPYRAL - GESTION ADMINISTRATIVA"/>
    <n v="0"/>
    <n v="358.92"/>
    <s v="NEGOCIOS"/>
    <x v="3"/>
  </r>
  <r>
    <n v="91"/>
    <d v="2018-12-07T00:00:00"/>
    <x v="1"/>
    <x v="1"/>
    <x v="0"/>
    <s v="SERVICIOS AL CLIENTE"/>
    <s v="RECONOCIMIENTO"/>
    <s v="TRANSACCIONES DEL DIA 12/07/2018SPYRAL - GESTION ADMINISTRATIVA"/>
    <n v="100"/>
    <n v="0"/>
    <s v="NEGOCIOS"/>
    <x v="3"/>
  </r>
  <r>
    <n v="91"/>
    <d v="2018-12-20T00:00:00"/>
    <x v="1"/>
    <x v="1"/>
    <x v="0"/>
    <s v="SERVICIOS AL CLIENTE"/>
    <s v="RECONOCIMIENTO"/>
    <s v="TRANSACCIONES DEL DIA 12/20/2018SPYRAL - GESTION ADMINISTRATIVA"/>
    <n v="133.30000000000001"/>
    <n v="0"/>
    <s v="NEGOCIOS"/>
    <x v="3"/>
  </r>
  <r>
    <n v="91"/>
    <d v="2018-12-31T00:00:00"/>
    <x v="1"/>
    <x v="1"/>
    <x v="0"/>
    <s v="SERVICIOS AL CLIENTE"/>
    <s v="CIERRE DE ANIO FISCAL"/>
    <s v="CIERRE_DE_CTAS_NOMINALES"/>
    <n v="0"/>
    <n v="313.3"/>
    <s v="NEGOCIOS"/>
    <x v="3"/>
  </r>
  <r>
    <n v="95"/>
    <d v="2018-12-31T00:00:00"/>
    <x v="1"/>
    <x v="1"/>
    <x v="0"/>
    <s v="ADMINISTRACION DE SUCURSALES"/>
    <s v="CIERRE DE ANIO FISCAL"/>
    <s v="CIERRE_DE_CTAS_NOMINALES"/>
    <n v="0"/>
    <n v="25"/>
    <s v="BOULEVARD EL DORADO"/>
    <x v="3"/>
  </r>
  <r>
    <n v="98"/>
    <d v="2018-08-03T00:00:00"/>
    <x v="3"/>
    <x v="3"/>
    <x v="0"/>
    <s v="ADMINISTRACION DE SUCURSALES"/>
    <s v="NC  RECONOCIMIENTOS"/>
    <s v="TRANSACCIONES DEL DIA 08/03/2018SPYRAL - GESTION ADMINISTRATIVA"/>
    <n v="5.99"/>
    <n v="0"/>
    <s v="SANTIAGO INTERAMERICANA"/>
    <x v="3"/>
  </r>
  <r>
    <n v="98"/>
    <d v="2018-12-04T00:00:00"/>
    <x v="1"/>
    <x v="1"/>
    <x v="0"/>
    <s v="ADMINISTRACION DE SUCURSALES"/>
    <s v="NC  RECONOCIMIENTOS"/>
    <s v="TRANSACCIONES DEL DIA 12/04/2018SPYRAL - GESTION ADMINISTRATIVA"/>
    <n v="49.2"/>
    <n v="0"/>
    <s v="SANTIAGO INTERAMERICANA"/>
    <x v="3"/>
  </r>
  <r>
    <n v="98"/>
    <d v="2018-12-31T00:00:00"/>
    <x v="1"/>
    <x v="1"/>
    <x v="0"/>
    <s v="ADMINISTRACION DE SUCURSALES"/>
    <s v="CIERRE DE ANIO FISCAL"/>
    <s v="CIERRE_DE_CTAS_NOMINALES"/>
    <n v="0"/>
    <n v="55.19"/>
    <s v="SANTIAGO INTERAMERICANA"/>
    <x v="3"/>
  </r>
  <r>
    <n v="162"/>
    <d v="2018-12-12T00:00:00"/>
    <x v="1"/>
    <x v="1"/>
    <x v="0"/>
    <s v="ADMINISTRACION DE SUCURSALES"/>
    <s v="NC  RECONOCIMIENTOS"/>
    <s v="TRANSACCIONES DEL DIA 12/12/2018SPYRAL - GESTION ADMINISTRATIVA"/>
    <n v="29.37"/>
    <n v="0"/>
    <s v="BRISAS DEL GOLF ARRAIJAN"/>
    <x v="3"/>
  </r>
  <r>
    <n v="162"/>
    <d v="2018-12-31T00:00:00"/>
    <x v="1"/>
    <x v="1"/>
    <x v="0"/>
    <s v="ADMINISTRACION DE SUCURSALES"/>
    <s v="CIERRE DE ANIO FISCAL"/>
    <s v="CIERRE_DE_CTAS_NOMINALES"/>
    <n v="0"/>
    <n v="29.37"/>
    <s v="BRISAS DEL GOLF ARRAIJAN"/>
    <x v="3"/>
  </r>
  <r>
    <n v="1"/>
    <d v="2018-06-01T00:00:00"/>
    <x v="2"/>
    <x v="2"/>
    <x v="0"/>
    <s v="ADMINISTRACION DE SUCURSALES"/>
    <s v="NC GASTO NO DEDUCIBLES"/>
    <s v="TRANSACCIONES DEL DIA 06/01/2018SPYRAL - GESTION ADMINISTRATIVA"/>
    <n v="10.75"/>
    <n v="0"/>
    <s v="CASA MATRIZ"/>
    <x v="4"/>
  </r>
  <r>
    <n v="1"/>
    <d v="2018-06-20T00:00:00"/>
    <x v="2"/>
    <x v="2"/>
    <x v="0"/>
    <s v="ADMINISTRACION DE SUCURSALES"/>
    <s v="NC GASTO NO DEDUCIBLES"/>
    <s v="TRANSACCIONES DEL DIA 06/20/2018SPYRAL - GESTION ADMINISTRATIVA"/>
    <n v="42.13"/>
    <n v="0"/>
    <s v="CASA MATRIZ"/>
    <x v="4"/>
  </r>
  <r>
    <n v="1"/>
    <d v="2018-07-02T00:00:00"/>
    <x v="6"/>
    <x v="6"/>
    <x v="0"/>
    <s v="ADMINISTRACION DE SUCURSALES"/>
    <s v="NC GASTO NO DEDUCIBLES"/>
    <s v="TRANSACCIONES DEL DIA 07/02/2018SPYRAL - GESTION ADMINISTRATIVA"/>
    <n v="86.47"/>
    <n v="0"/>
    <s v="CASA MATRIZ"/>
    <x v="4"/>
  </r>
  <r>
    <n v="1"/>
    <d v="2018-08-09T00:00:00"/>
    <x v="3"/>
    <x v="3"/>
    <x v="0"/>
    <s v="ADMINISTRACION DE SUCURSALES"/>
    <s v="NC GASTO NO DEDUCIBLES"/>
    <s v="TRANSACCIONES DEL DIA 08/09/2018SPYRAL - GESTION ADMINISTRATIVA"/>
    <n v="78.8"/>
    <n v="0"/>
    <s v="CASA MATRIZ"/>
    <x v="4"/>
  </r>
  <r>
    <n v="1"/>
    <d v="2018-08-14T00:00:00"/>
    <x v="3"/>
    <x v="3"/>
    <x v="0"/>
    <s v="ADMINISTRACION DE SUCURSALES"/>
    <s v="NC GASTO NO DEDUCIBLES"/>
    <s v="TRANSACCIONES DEL DIA 08/14/2018SPYRAL - GESTION ADMINISTRATIVA"/>
    <n v="57.76"/>
    <n v="0"/>
    <s v="CASA MATRIZ"/>
    <x v="4"/>
  </r>
  <r>
    <n v="1"/>
    <d v="2018-10-10T00:00:00"/>
    <x v="0"/>
    <x v="0"/>
    <x v="0"/>
    <s v="ADMINISTRACION DE SUCURSALES"/>
    <s v="NC GASTO NO DEDUCIBLES"/>
    <s v="TRANSACCIONES DEL DIA 10/10/2018SPYRAL - GESTION ADMINISTRATIVA"/>
    <n v="60.31"/>
    <n v="0"/>
    <s v="CASA MATRIZ"/>
    <x v="4"/>
  </r>
  <r>
    <n v="1"/>
    <d v="2018-11-09T00:00:00"/>
    <x v="5"/>
    <x v="5"/>
    <x v="0"/>
    <s v="ADMINISTRACION DE SUCURSALES"/>
    <s v="NC GASTO NO DEDUCIBLES"/>
    <s v="TRANSACCIONES DEL DIA 11/09/2018SPYRAL - GESTION ADMINISTRATIVA"/>
    <n v="99.56"/>
    <n v="0"/>
    <s v="CASA MATRIZ"/>
    <x v="4"/>
  </r>
  <r>
    <n v="1"/>
    <d v="2018-11-19T00:00:00"/>
    <x v="5"/>
    <x v="5"/>
    <x v="0"/>
    <s v="ADMINISTRACION DE SUCURSALES"/>
    <s v="NC GASTO NO DEDUCIBLES"/>
    <s v="TRANSACCIONES DEL DIA 11/19/2018SPYRAL - GESTION ADMINISTRATIVA"/>
    <n v="107.4"/>
    <n v="0"/>
    <s v="CASA MATRIZ"/>
    <x v="4"/>
  </r>
  <r>
    <n v="1"/>
    <d v="2018-11-23T00:00:00"/>
    <x v="5"/>
    <x v="5"/>
    <x v="0"/>
    <s v="ADMINISTRACION DE SUCURSALES"/>
    <s v="NC GASTO NO DEDUCIBLES"/>
    <s v="TRANSACCIONES DEL DIA 11/23/2018SPYRAL - GESTION ADMINISTRATIVA"/>
    <n v="40.68"/>
    <n v="0"/>
    <s v="CASA MATRIZ"/>
    <x v="4"/>
  </r>
  <r>
    <n v="1"/>
    <d v="2018-12-31T00:00:00"/>
    <x v="1"/>
    <x v="1"/>
    <x v="0"/>
    <s v="ADMINISTRACION DE SUCURSALES"/>
    <s v="CIERRE DE ANIO FISCAL"/>
    <s v="CIERRE_DE_CTAS_NOMINALES"/>
    <n v="0"/>
    <n v="760.82"/>
    <s v="CASA MATRIZ"/>
    <x v="4"/>
  </r>
  <r>
    <n v="2"/>
    <d v="2018-06-06T00:00:00"/>
    <x v="2"/>
    <x v="2"/>
    <x v="0"/>
    <s v="ADMINISTRACION DE SUCURSALES"/>
    <s v="GASTOS NO DEDUCIBLES"/>
    <s v="TRANSACCIONES DEL DIA 06/06/2018SPYRAL - GESTION ADMINISTRATIVA"/>
    <n v="48.2"/>
    <n v="0"/>
    <s v="PAITILLA"/>
    <x v="4"/>
  </r>
  <r>
    <n v="2"/>
    <d v="2018-07-06T00:00:00"/>
    <x v="6"/>
    <x v="6"/>
    <x v="0"/>
    <s v="ADMINISTRACION DE SUCURSALES"/>
    <s v="GASTOS NO DEDUCIBLES"/>
    <s v="TRANSACCIONES DEL DIA 07/06/2018SPYRAL - GESTION ADMINISTRATIVA"/>
    <n v="47.95"/>
    <n v="0"/>
    <s v="PAITILLA"/>
    <x v="4"/>
  </r>
  <r>
    <n v="2"/>
    <d v="2018-09-17T00:00:00"/>
    <x v="4"/>
    <x v="4"/>
    <x v="0"/>
    <s v="ADMINISTRACION DE SUCURSALES"/>
    <s v="GASTOS NO DEDUCIBLES"/>
    <s v="TRANSACCIONES DEL DIA 09/17/2018SPYRAL - GESTION ADMINISTRATIVA"/>
    <n v="88.43"/>
    <n v="0"/>
    <s v="PAITILLA"/>
    <x v="4"/>
  </r>
  <r>
    <n v="2"/>
    <d v="2018-10-01T00:00:00"/>
    <x v="0"/>
    <x v="0"/>
    <x v="0"/>
    <s v="ADMINISTRACION DE SUCURSALES"/>
    <s v="GASTOS NO DEDUCIBLES"/>
    <s v="TRANSACCIONES DEL DIA 10/01/2018SPYRAL - GESTION ADMINISTRATIVA"/>
    <n v="50.37"/>
    <n v="0"/>
    <s v="PAITILLA"/>
    <x v="4"/>
  </r>
  <r>
    <n v="2"/>
    <d v="2018-12-31T00:00:00"/>
    <x v="1"/>
    <x v="1"/>
    <x v="0"/>
    <s v="ADMINISTRACION DE SUCURSALES"/>
    <s v="CIERRE DE ANIO FISCAL"/>
    <s v="CIERRE_DE_CTAS_NOMINALES"/>
    <n v="0"/>
    <n v="389.15"/>
    <s v="PAITILLA"/>
    <x v="4"/>
  </r>
  <r>
    <n v="3"/>
    <d v="2018-06-01T00:00:00"/>
    <x v="2"/>
    <x v="2"/>
    <x v="0"/>
    <s v="ADMINISTRACION DE SUCURSALES"/>
    <s v="NC GASTO NO DEDUCIBLES"/>
    <s v="TRANSACCIONES DEL DIA 06/01/2018SPYRAL - GESTION ADMINISTRATIVA"/>
    <n v="8.6999999999999993"/>
    <n v="0"/>
    <s v="EL DORADO"/>
    <x v="4"/>
  </r>
  <r>
    <n v="3"/>
    <d v="2018-06-01T00:00:00"/>
    <x v="2"/>
    <x v="2"/>
    <x v="0"/>
    <s v="ADMINISTRACION DE SUCURSALES"/>
    <s v="GASTOS NO DEDUCIBLES"/>
    <s v="TRANSACCIONES DEL DIA 06/01/2018SPYRAL - GESTION ADMINISTRATIVA"/>
    <n v="187.5"/>
    <n v="0"/>
    <s v="EL DORADO"/>
    <x v="4"/>
  </r>
  <r>
    <n v="3"/>
    <d v="2018-08-20T00:00:00"/>
    <x v="3"/>
    <x v="3"/>
    <x v="0"/>
    <s v="ADMINISTRACION DE SUCURSALES"/>
    <s v="GASTOS NO DEDUCIBLES"/>
    <s v="TRANSACCIONES DEL DIA 08/20/2018SPYRAL - GESTION ADMINISTRATIVA"/>
    <n v="202.5"/>
    <n v="0"/>
    <s v="EL DORADO"/>
    <x v="4"/>
  </r>
  <r>
    <n v="3"/>
    <d v="2018-10-10T00:00:00"/>
    <x v="0"/>
    <x v="0"/>
    <x v="0"/>
    <s v="ADMINISTRACION DE SUCURSALES"/>
    <s v="GASTOS NO DEDUCIBLES"/>
    <s v="TRANSACCIONES DEL DIA 10/10/2018SPYRAL - GESTION ADMINISTRATIVA"/>
    <n v="195"/>
    <n v="0"/>
    <s v="EL DORADO"/>
    <x v="4"/>
  </r>
  <r>
    <n v="3"/>
    <d v="2018-10-16T00:00:00"/>
    <x v="0"/>
    <x v="0"/>
    <x v="0"/>
    <s v="ADMINISTRACION DE SUCURSALES"/>
    <s v="NC GASTO NO DEDUCIBLES"/>
    <s v="TRANSACCIONES DEL DIA 10/16/2018SPYRAL - GESTION ADMINISTRATIVA"/>
    <n v="9.99"/>
    <n v="0"/>
    <s v="EL DORADO"/>
    <x v="4"/>
  </r>
  <r>
    <n v="3"/>
    <d v="2018-12-18T00:00:00"/>
    <x v="1"/>
    <x v="1"/>
    <x v="0"/>
    <s v="ADMINISTRACION DE SUCURSALES"/>
    <s v="GASTOS NO DEDUCIBLES"/>
    <s v="TRANSACCIONES DEL DIA 12/18/2018SPYRAL - GESTION ADMINISTRATIVA"/>
    <n v="195"/>
    <n v="0"/>
    <s v="EL DORADO"/>
    <x v="4"/>
  </r>
  <r>
    <n v="3"/>
    <d v="2018-12-28T00:00:00"/>
    <x v="1"/>
    <x v="1"/>
    <x v="0"/>
    <s v="ADMINISTRACION DE SUCURSALES"/>
    <s v="NC GASTO NO DEDUCIBLES"/>
    <s v="TRANSACCIONES DEL DIA 12/28/2018SPYRAL - GESTION ADMINISTRATIVA"/>
    <n v="203"/>
    <n v="0"/>
    <s v="EL DORADO"/>
    <x v="4"/>
  </r>
  <r>
    <n v="3"/>
    <d v="2018-12-31T00:00:00"/>
    <x v="1"/>
    <x v="1"/>
    <x v="0"/>
    <s v="ADMINISTRACION DE SUCURSALES"/>
    <s v="CIERRE DE ANIO FISCAL"/>
    <s v="CIERRE_DE_CTAS_NOMINALES"/>
    <n v="0"/>
    <n v="1392.64"/>
    <s v="EL DORADO"/>
    <x v="4"/>
  </r>
  <r>
    <n v="4"/>
    <d v="2018-06-11T00:00:00"/>
    <x v="2"/>
    <x v="2"/>
    <x v="0"/>
    <s v="ADMINISTRACION DE SUCURSALES"/>
    <s v="NC GASTO NO DEDUCIBLES"/>
    <s v="TRANSACCIONES DEL DIA 06/11/2018SPYRAL - GESTION ADMINISTRATIVA"/>
    <n v="53.41"/>
    <n v="0"/>
    <s v="VIA ARGENTINA"/>
    <x v="4"/>
  </r>
  <r>
    <n v="4"/>
    <d v="2018-07-17T00:00:00"/>
    <x v="6"/>
    <x v="6"/>
    <x v="0"/>
    <s v="ADMINISTRACION DE SUCURSALES"/>
    <s v="NC GASTO NO DEDUCIBLES"/>
    <s v="TRANSACCIONES DEL DIA 07/17/2018SPYRAL - GESTION ADMINISTRATIVA"/>
    <n v="40.19"/>
    <n v="0"/>
    <s v="VIA ARGENTINA"/>
    <x v="4"/>
  </r>
  <r>
    <n v="4"/>
    <d v="2018-09-03T00:00:00"/>
    <x v="4"/>
    <x v="4"/>
    <x v="0"/>
    <s v="ADMINISTRACION DE SUCURSALES"/>
    <s v="NC GASTO NO DEDUCIBLES"/>
    <s v="TRANSACCIONES DEL DIA 09/03/2018SPYRAL - GESTION ADMINISTRATIVA"/>
    <n v="45.62"/>
    <n v="0"/>
    <s v="VIA ARGENTINA"/>
    <x v="4"/>
  </r>
  <r>
    <n v="4"/>
    <d v="2018-10-02T00:00:00"/>
    <x v="0"/>
    <x v="0"/>
    <x v="0"/>
    <s v="ADMINISTRACION DE SUCURSALES"/>
    <s v="NC GASTO NO DEDUCIBLES"/>
    <s v="TRANSACCIONES DEL DIA 10/02/2018SPYRAL - GESTION ADMINISTRATIVA"/>
    <n v="49.32"/>
    <n v="0"/>
    <s v="VIA ARGENTINA"/>
    <x v="4"/>
  </r>
  <r>
    <n v="4"/>
    <d v="2018-10-10T00:00:00"/>
    <x v="0"/>
    <x v="0"/>
    <x v="0"/>
    <s v="ADMINISTRACION DE SUCURSALES"/>
    <s v="NC GASTO NO DEDUCIBLES"/>
    <s v="TRANSACCIONES DEL DIA 10/10/2018SPYRAL - GESTION ADMINISTRATIVA"/>
    <n v="49.58"/>
    <n v="0"/>
    <s v="VIA ARGENTINA"/>
    <x v="4"/>
  </r>
  <r>
    <n v="4"/>
    <d v="2018-11-08T00:00:00"/>
    <x v="5"/>
    <x v="5"/>
    <x v="0"/>
    <s v="ADMINISTRACION DE SUCURSALES"/>
    <s v="NC GASTO NO DEDUCIBLES"/>
    <s v="TRANSACCIONES DEL DIA 11/08/2018SPYRAL - GESTION ADMINISTRATIVA"/>
    <n v="47.35"/>
    <n v="0"/>
    <s v="VIA ARGENTINA"/>
    <x v="4"/>
  </r>
  <r>
    <n v="4"/>
    <d v="2018-11-16T00:00:00"/>
    <x v="5"/>
    <x v="5"/>
    <x v="0"/>
    <s v="ADMINISTRACION DE SUCURSALES"/>
    <s v="NC GASTO NO DEDUCIBLES"/>
    <s v="TRANSACCIONES DEL DIA 11/16/2018SPYRAL - GESTION ADMINISTRATIVA"/>
    <n v="36.11"/>
    <n v="0"/>
    <s v="VIA ARGENTINA"/>
    <x v="4"/>
  </r>
  <r>
    <n v="4"/>
    <d v="2018-12-31T00:00:00"/>
    <x v="1"/>
    <x v="1"/>
    <x v="0"/>
    <s v="ADMINISTRACION DE SUCURSALES"/>
    <s v="CIERRE DE ANIO FISCAL"/>
    <s v="CIERRE_DE_CTAS_NOMINALES"/>
    <n v="0"/>
    <n v="321.58"/>
    <s v="VIA ARGENTINA"/>
    <x v="4"/>
  </r>
  <r>
    <n v="5"/>
    <d v="2018-06-20T00:00:00"/>
    <x v="2"/>
    <x v="2"/>
    <x v="0"/>
    <s v="ADMINISTRACION DE SUCURSALES"/>
    <s v="NC GASTO NO DEDUCIBLES"/>
    <s v="TRANSACCIONES DEL DIA 06/20/2018SPYRAL - GESTION ADMINISTRATIVA"/>
    <n v="211"/>
    <n v="0"/>
    <s v="VIA PORRAS"/>
    <x v="4"/>
  </r>
  <r>
    <n v="5"/>
    <d v="2018-08-23T00:00:00"/>
    <x v="3"/>
    <x v="3"/>
    <x v="0"/>
    <s v="ADMINISTRACION DE SUCURSALES"/>
    <s v="NC GASTO NO DEDUCIBLES"/>
    <s v="TRANSACCIONES DEL DIA 08/23/2018SPYRAL - GESTION ADMINISTRATIVA"/>
    <n v="211"/>
    <n v="0"/>
    <s v="VIA PORRAS"/>
    <x v="4"/>
  </r>
  <r>
    <n v="5"/>
    <d v="2018-10-10T00:00:00"/>
    <x v="0"/>
    <x v="0"/>
    <x v="0"/>
    <s v="ADMINISTRACION DE SUCURSALES"/>
    <s v="NC GASTO NO DEDUCIBLES"/>
    <s v="TRANSACCIONES DEL DIA 10/10/2018SPYRAL - GESTION ADMINISTRATIVA"/>
    <n v="95"/>
    <n v="0"/>
    <s v="VIA PORRAS"/>
    <x v="4"/>
  </r>
  <r>
    <n v="5"/>
    <d v="2018-11-09T00:00:00"/>
    <x v="5"/>
    <x v="5"/>
    <x v="0"/>
    <s v="ADMINISTRACION DE SUCURSALES"/>
    <s v="NC GASTO NO DEDUCIBLES"/>
    <s v="TRANSACCIONES DEL DIA 11/09/2018SPYRAL - GESTION ADMINISTRATIVA"/>
    <n v="170.48"/>
    <n v="0"/>
    <s v="VIA PORRAS"/>
    <x v="4"/>
  </r>
  <r>
    <n v="5"/>
    <d v="2018-12-20T00:00:00"/>
    <x v="1"/>
    <x v="1"/>
    <x v="0"/>
    <s v="ADMINISTRACION DE SUCURSALES"/>
    <s v="NC GASTO NO DEDUCIBLES"/>
    <s v="TRANSACCIONES DEL DIA 12/20/2018SPYRAL - GESTION ADMINISTRATIVA"/>
    <n v="86"/>
    <n v="0"/>
    <s v="VIA PORRAS"/>
    <x v="4"/>
  </r>
  <r>
    <n v="5"/>
    <d v="2018-12-31T00:00:00"/>
    <x v="1"/>
    <x v="1"/>
    <x v="0"/>
    <s v="ADMINISTRACION DE SUCURSALES"/>
    <s v="CIERRE DE ANIO FISCAL"/>
    <s v="CIERRE_DE_CTAS_NOMINALES"/>
    <n v="0"/>
    <n v="1022.8"/>
    <s v="VIA PORRAS"/>
    <x v="4"/>
  </r>
  <r>
    <n v="6"/>
    <d v="2018-06-01T00:00:00"/>
    <x v="2"/>
    <x v="2"/>
    <x v="0"/>
    <s v="ADMINISTRACION DE SUCURSALES"/>
    <s v="NC GASTO NO DEDUCIBLES"/>
    <s v="TRANSACCIONES DEL DIA 06/01/2018SPYRAL - GESTION ADMINISTRATIVA"/>
    <n v="140.30000000000001"/>
    <n v="0"/>
    <s v="EL INGENIO"/>
    <x v="4"/>
  </r>
  <r>
    <n v="6"/>
    <d v="2018-08-23T00:00:00"/>
    <x v="3"/>
    <x v="3"/>
    <x v="0"/>
    <s v="ADMINISTRACION DE SUCURSALES"/>
    <s v="NC GASTO NO DEDUCIBLES"/>
    <s v="TRANSACCIONES DEL DIA 08/23/2018SPYRAL - GESTION ADMINISTRATIVA"/>
    <n v="63.77"/>
    <n v="0"/>
    <s v="EL INGENIO"/>
    <x v="4"/>
  </r>
  <r>
    <n v="6"/>
    <d v="2018-12-20T00:00:00"/>
    <x v="1"/>
    <x v="1"/>
    <x v="0"/>
    <s v="ADMINISTRACION DE SUCURSALES"/>
    <s v="NC GASTO NO DEDUCIBLES"/>
    <s v="TRANSACCIONES DEL DIA 12/20/2018SPYRAL - GESTION ADMINISTRATIVA"/>
    <n v="263.25"/>
    <n v="0"/>
    <s v="EL INGENIO"/>
    <x v="4"/>
  </r>
  <r>
    <n v="6"/>
    <d v="2018-12-31T00:00:00"/>
    <x v="1"/>
    <x v="1"/>
    <x v="0"/>
    <s v="ADMINISTRACION DE SUCURSALES"/>
    <s v="CIERRE DE ANIO FISCAL"/>
    <s v="CIERRE_DE_CTAS_NOMINALES"/>
    <n v="0"/>
    <n v="467.32"/>
    <s v="EL INGENIO"/>
    <x v="4"/>
  </r>
  <r>
    <n v="7"/>
    <d v="2018-06-04T00:00:00"/>
    <x v="2"/>
    <x v="2"/>
    <x v="0"/>
    <s v="ADMINISTRACION DE SUCURSALES"/>
    <s v="GASTOS NO DEDUCIBLES"/>
    <s v="TRANSACCIONES DEL DIA 06/04/2018SPYRAL - GESTION ADMINISTRATIVA"/>
    <n v="18"/>
    <n v="0"/>
    <s v="CHANIS"/>
    <x v="4"/>
  </r>
  <r>
    <n v="7"/>
    <d v="2018-06-07T00:00:00"/>
    <x v="2"/>
    <x v="2"/>
    <x v="0"/>
    <s v="ADMINISTRACION DE SUCURSALES"/>
    <s v="NC GASTO NO DEDUCIBLES"/>
    <s v="TRANSACCIONES DEL DIA 06/07/2018SPYRAL - GESTION ADMINISTRATIVA"/>
    <n v="10.25"/>
    <n v="0"/>
    <s v="CHANIS"/>
    <x v="4"/>
  </r>
  <r>
    <n v="7"/>
    <d v="2018-06-15T00:00:00"/>
    <x v="2"/>
    <x v="2"/>
    <x v="0"/>
    <s v="ADMINISTRACION DE SUCURSALES"/>
    <s v="NC GASTO NO DEDUCIBLES"/>
    <s v="TRANSACCIONES DEL DIA 06/15/2018SPYRAL - GESTION ADMINISTRATIVA"/>
    <n v="30.84"/>
    <n v="0"/>
    <s v="CHANIS"/>
    <x v="4"/>
  </r>
  <r>
    <n v="7"/>
    <d v="2018-09-03T00:00:00"/>
    <x v="4"/>
    <x v="4"/>
    <x v="0"/>
    <s v="ADMINISTRACION DE SUCURSALES"/>
    <s v="NC GASTO NO DEDUCIBLES"/>
    <s v="TRANSACCIONES DEL DIA 09/03/2018SPYRAL - GESTION ADMINISTRATIVA"/>
    <n v="60"/>
    <n v="0"/>
    <s v="CHANIS"/>
    <x v="4"/>
  </r>
  <r>
    <n v="7"/>
    <d v="2018-11-06T00:00:00"/>
    <x v="5"/>
    <x v="5"/>
    <x v="0"/>
    <s v="ADMINISTRACION DE SUCURSALES"/>
    <s v="NC GASTO NO DEDUCIBLES"/>
    <s v="TRANSACCIONES DEL DIA 11/06/2018SPYRAL - GESTION ADMINISTRATIVA"/>
    <n v="34.99"/>
    <n v="0"/>
    <s v="CHANIS"/>
    <x v="4"/>
  </r>
  <r>
    <n v="7"/>
    <d v="2018-12-01T00:00:00"/>
    <x v="1"/>
    <x v="1"/>
    <x v="0"/>
    <s v="ADMINISTRACION DE SUCURSALES"/>
    <s v="NC GASTO NO DEDUCIBLES"/>
    <s v="TRANSACCIONES DEL DIA 12/01/2018SPYRAL - GESTION ADMINISTRATIVA"/>
    <n v="15.95"/>
    <n v="0"/>
    <s v="CHANIS"/>
    <x v="4"/>
  </r>
  <r>
    <n v="7"/>
    <d v="2018-12-27T00:00:00"/>
    <x v="1"/>
    <x v="1"/>
    <x v="0"/>
    <s v="ADMINISTRACION DE SUCURSALES"/>
    <s v="NC GASTO NO DEDUCIBLES"/>
    <s v="TRANSACCIONES DEL DIA 12/27/2018SPYRAL - GESTION ADMINISTRATIVA"/>
    <n v="68"/>
    <n v="0"/>
    <s v="CHANIS"/>
    <x v="4"/>
  </r>
  <r>
    <n v="7"/>
    <d v="2018-12-31T00:00:00"/>
    <x v="1"/>
    <x v="1"/>
    <x v="0"/>
    <s v="ADMINISTRACION DE SUCURSALES"/>
    <s v="CIERRE DE ANIO FISCAL"/>
    <s v="CIERRE_DE_CTAS_NOMINALES"/>
    <n v="0"/>
    <n v="263.70999999999998"/>
    <s v="CHANIS"/>
    <x v="4"/>
  </r>
  <r>
    <n v="8"/>
    <d v="2018-06-07T00:00:00"/>
    <x v="2"/>
    <x v="2"/>
    <x v="0"/>
    <s v="ADMINISTRACION DE SUCURSALES"/>
    <s v="NC GASTO NO DEDUCIBLES"/>
    <s v="TRANSACCIONES DEL DIA 06/07/2018SPYRAL - GESTION ADMINISTRATIVA"/>
    <n v="20.99"/>
    <n v="0"/>
    <s v="PLAZA TOCUMEN"/>
    <x v="4"/>
  </r>
  <r>
    <n v="8"/>
    <d v="2018-07-12T00:00:00"/>
    <x v="6"/>
    <x v="6"/>
    <x v="0"/>
    <s v="ADMINISTRACION DE SUCURSALES"/>
    <s v="NC GASTO NO DEDUCIBLES"/>
    <s v="TRANSACCIONES DEL DIA 07/12/2018SPYRAL - GESTION ADMINISTRATIVA"/>
    <n v="21.2"/>
    <n v="0"/>
    <s v="PLAZA TOCUMEN"/>
    <x v="4"/>
  </r>
  <r>
    <n v="8"/>
    <d v="2018-08-14T00:00:00"/>
    <x v="3"/>
    <x v="3"/>
    <x v="0"/>
    <s v="ADMINISTRACION DE SUCURSALES"/>
    <s v="NC GASTO NO DEDUCIBLES"/>
    <s v="TRANSACCIONES DEL DIA 08/14/2018SPYRAL - GESTION ADMINISTRATIVA"/>
    <n v="14.25"/>
    <n v="0"/>
    <s v="PLAZA TOCUMEN"/>
    <x v="4"/>
  </r>
  <r>
    <n v="8"/>
    <d v="2018-09-14T00:00:00"/>
    <x v="4"/>
    <x v="4"/>
    <x v="0"/>
    <s v="ADMINISTRACION DE SUCURSALES"/>
    <s v="NC GASTO NO DEDUCIBLES"/>
    <s v="TRANSACCIONES DEL DIA 09/14/2018SPYRAL - GESTION ADMINISTRATIVA"/>
    <n v="16.149999999999999"/>
    <n v="0"/>
    <s v="PLAZA TOCUMEN"/>
    <x v="4"/>
  </r>
  <r>
    <n v="8"/>
    <d v="2018-10-22T00:00:00"/>
    <x v="0"/>
    <x v="0"/>
    <x v="0"/>
    <s v="ADMINISTRACION DE SUCURSALES"/>
    <s v="GASTOS NO DEDUCIBLES"/>
    <s v="TRANSACCIONES DEL DIA 10/22/2018SPYRAL - GESTION ADMINISTRATIVA"/>
    <n v="19.100000000000001"/>
    <n v="0"/>
    <s v="PLAZA TOCUMEN"/>
    <x v="4"/>
  </r>
  <r>
    <n v="8"/>
    <d v="2018-11-06T00:00:00"/>
    <x v="5"/>
    <x v="5"/>
    <x v="0"/>
    <s v="ADMINISTRACION DE SUCURSALES"/>
    <s v="NC GASTO NO DEDUCIBLES"/>
    <s v="TRANSACCIONES DEL DIA 11/06/2018SPYRAL - GESTION ADMINISTRATIVA"/>
    <n v="25.02"/>
    <n v="0"/>
    <s v="PLAZA TOCUMEN"/>
    <x v="4"/>
  </r>
  <r>
    <n v="8"/>
    <d v="2018-11-29T00:00:00"/>
    <x v="5"/>
    <x v="5"/>
    <x v="0"/>
    <s v="ADMINISTRACION DE SUCURSALES"/>
    <s v="GASTOS NO DEDUCIBLES"/>
    <s v="TRANSACCIONES DEL DIA 11/29/2018SPYRAL - GESTION ADMINISTRATIVA"/>
    <n v="32.299999999999997"/>
    <n v="0"/>
    <s v="PLAZA TOCUMEN"/>
    <x v="4"/>
  </r>
  <r>
    <n v="8"/>
    <d v="2018-12-31T00:00:00"/>
    <x v="1"/>
    <x v="1"/>
    <x v="0"/>
    <s v="ADMINISTRACION DE SUCURSALES"/>
    <s v="CIERRE DE ANIO FISCAL"/>
    <s v="CIERRE_DE_CTAS_NOMINALES"/>
    <n v="0"/>
    <n v="251.37"/>
    <s v="PLAZA TOCUMEN"/>
    <x v="4"/>
  </r>
  <r>
    <n v="9"/>
    <d v="2018-08-03T00:00:00"/>
    <x v="3"/>
    <x v="3"/>
    <x v="0"/>
    <s v="ADMINISTRACION DE SUCURSALES"/>
    <s v="NC GASTO NO DEDUCIBLES"/>
    <s v="TRANSACCIONES DEL DIA 08/03/2018SPYRAL - GESTION ADMINISTRATIVA"/>
    <n v="90"/>
    <n v="0"/>
    <s v="SANTIAGO"/>
    <x v="4"/>
  </r>
  <r>
    <n v="9"/>
    <d v="2018-08-23T00:00:00"/>
    <x v="3"/>
    <x v="3"/>
    <x v="0"/>
    <s v="ADMINISTRACION DE SUCURSALES"/>
    <s v="NC GASTO NO DEDUCIBLES"/>
    <s v="TRANSACCIONES DEL DIA 08/23/2018SPYRAL - GESTION ADMINISTRATIVA"/>
    <n v="128.04"/>
    <n v="0"/>
    <s v="SANTIAGO"/>
    <x v="4"/>
  </r>
  <r>
    <n v="9"/>
    <d v="2018-10-17T00:00:00"/>
    <x v="0"/>
    <x v="0"/>
    <x v="0"/>
    <s v="ADMINISTRACION DE SUCURSALES"/>
    <s v="GASTOS NO DEDUCIBLES"/>
    <s v="TRANSACCIONES DEL DIA 10/17/2018SPYRAL - GESTION ADMINISTRATIVA"/>
    <n v="36"/>
    <n v="0"/>
    <s v="SANTIAGO"/>
    <x v="4"/>
  </r>
  <r>
    <n v="9"/>
    <d v="2018-11-16T00:00:00"/>
    <x v="5"/>
    <x v="5"/>
    <x v="0"/>
    <s v="ADMINISTRACION DE SUCURSALES"/>
    <s v="NC GASTO NO DEDUCIBLES"/>
    <s v="TRANSACCIONES DEL DIA 11/16/2018SPYRAL - GESTION ADMINISTRATIVA"/>
    <n v="125.21"/>
    <n v="0"/>
    <s v="SANTIAGO"/>
    <x v="4"/>
  </r>
  <r>
    <n v="9"/>
    <d v="2018-12-14T00:00:00"/>
    <x v="1"/>
    <x v="1"/>
    <x v="0"/>
    <s v="ADMINISTRACION DE SUCURSALES"/>
    <s v="NC GASTO NO DEDUCIBLES"/>
    <s v="TRANSACCIONES DEL DIA 12/14/2018SPYRAL - GESTION ADMINISTRATIVA"/>
    <n v="90"/>
    <n v="0"/>
    <s v="SANTIAGO"/>
    <x v="4"/>
  </r>
  <r>
    <n v="9"/>
    <d v="2018-12-31T00:00:00"/>
    <x v="1"/>
    <x v="1"/>
    <x v="0"/>
    <s v="ADMINISTRACION DE SUCURSALES"/>
    <s v="CIERRE DE ANIO FISCAL"/>
    <s v="CIERRE_DE_CTAS_NOMINALES"/>
    <n v="0"/>
    <n v="737.23"/>
    <s v="SANTIAGO"/>
    <x v="4"/>
  </r>
  <r>
    <n v="10"/>
    <d v="2018-06-15T00:00:00"/>
    <x v="2"/>
    <x v="2"/>
    <x v="0"/>
    <s v="ADMINISTRACION DE SUCURSALES"/>
    <s v="NC GASTO NO DEDUCIBLES"/>
    <s v="TRANSACCIONES DEL DIA 06/15/2018SPYRAL - GESTION ADMINISTRATIVA"/>
    <n v="65"/>
    <n v="0"/>
    <s v="OBARRIO"/>
    <x v="4"/>
  </r>
  <r>
    <n v="10"/>
    <d v="2018-06-15T00:00:00"/>
    <x v="2"/>
    <x v="2"/>
    <x v="0"/>
    <s v="ADMINISTRACION DE SUCURSALES"/>
    <s v="GASTOS NO DEDUCIBLES"/>
    <s v="TRANSACCIONES DEL DIA 06/15/2018SPYRAL - GESTION ADMINISTRATIVA"/>
    <n v="12.93"/>
    <n v="0"/>
    <s v="OBARRIO"/>
    <x v="4"/>
  </r>
  <r>
    <n v="10"/>
    <d v="2018-09-11T00:00:00"/>
    <x v="4"/>
    <x v="4"/>
    <x v="0"/>
    <s v="ADMINISTRACION DE SUCURSALES"/>
    <s v="NC GASTO NO DEDUCIBLES"/>
    <s v="TRANSACCIONES DEL DIA 09/11/2018SPYRAL - GESTION ADMINISTRATIVA"/>
    <n v="197.14"/>
    <n v="0"/>
    <s v="OBARRIO"/>
    <x v="4"/>
  </r>
  <r>
    <n v="10"/>
    <d v="2018-11-13T00:00:00"/>
    <x v="5"/>
    <x v="5"/>
    <x v="0"/>
    <s v="ADMINISTRACION DE SUCURSALES"/>
    <s v="NC GASTO NO DEDUCIBLES"/>
    <s v="TRANSACCIONES DEL DIA 11/13/2018SPYRAL - GESTION ADMINISTRATIVA"/>
    <n v="145.18"/>
    <n v="0"/>
    <s v="OBARRIO"/>
    <x v="4"/>
  </r>
  <r>
    <n v="10"/>
    <d v="2018-12-07T00:00:00"/>
    <x v="1"/>
    <x v="1"/>
    <x v="0"/>
    <s v="ADMINISTRACION DE SUCURSALES"/>
    <s v="NC GASTO NO DEDUCIBLES"/>
    <s v="TRANSACCIONES DEL DIA 12/07/2018SPYRAL - GESTION ADMINISTRATIVA"/>
    <n v="76.7"/>
    <n v="0"/>
    <s v="OBARRIO"/>
    <x v="4"/>
  </r>
  <r>
    <n v="10"/>
    <d v="2018-12-31T00:00:00"/>
    <x v="1"/>
    <x v="1"/>
    <x v="0"/>
    <s v="ADMINISTRACION DE SUCURSALES"/>
    <s v="CIERRE DE ANIO FISCAL"/>
    <s v="CIERRE_DE_CTAS_NOMINALES"/>
    <n v="0"/>
    <n v="710.15"/>
    <s v="OBARRIO"/>
    <x v="4"/>
  </r>
  <r>
    <n v="11"/>
    <d v="2018-07-02T00:00:00"/>
    <x v="6"/>
    <x v="6"/>
    <x v="0"/>
    <s v="ADMINISTRACION DE SUCURSALES"/>
    <s v="NC GASTO NO DEDUCIBLES"/>
    <s v="TRANSACCIONES DEL DIA 07/02/2018SPYRAL - GESTION ADMINISTRATIVA"/>
    <n v="36.950000000000003"/>
    <n v="0"/>
    <s v="COLON"/>
    <x v="4"/>
  </r>
  <r>
    <n v="11"/>
    <d v="2018-09-18T00:00:00"/>
    <x v="4"/>
    <x v="4"/>
    <x v="0"/>
    <s v="ADMINISTRACION DE SUCURSALES"/>
    <s v="NC GASTO NO DEDUCIBLES"/>
    <s v="TRANSACCIONES DEL DIA 09/18/2018SPYRAL - GESTION ADMINISTRATIVA"/>
    <n v="88.74"/>
    <n v="0"/>
    <s v="COLON"/>
    <x v="4"/>
  </r>
  <r>
    <n v="11"/>
    <d v="2018-12-12T00:00:00"/>
    <x v="1"/>
    <x v="1"/>
    <x v="0"/>
    <s v="ADMINISTRACION DE SUCURSALES"/>
    <s v="NC GASTO NO DEDUCIBLES"/>
    <s v="TRANSACCIONES DEL DIA 12/12/2018SPYRAL - GESTION ADMINISTRATIVA"/>
    <n v="151.84"/>
    <n v="0"/>
    <s v="COLON"/>
    <x v="4"/>
  </r>
  <r>
    <n v="11"/>
    <d v="2018-12-31T00:00:00"/>
    <x v="1"/>
    <x v="1"/>
    <x v="0"/>
    <s v="ADMINISTRACION DE SUCURSALES"/>
    <s v="CIERRE DE ANIO FISCAL"/>
    <s v="CIERRE_DE_CTAS_NOMINALES"/>
    <n v="0"/>
    <n v="449.62"/>
    <s v="COLON"/>
    <x v="4"/>
  </r>
  <r>
    <n v="13"/>
    <d v="2018-06-01T00:00:00"/>
    <x v="2"/>
    <x v="2"/>
    <x v="0"/>
    <s v="ADMINISTRACION DE SUCURSALES"/>
    <s v="NC GASTO NO DEDUCIBLES"/>
    <s v="TRANSACCIONES DEL DIA 06/01/2018SPYRAL - GESTION ADMINISTRATIVA"/>
    <n v="88.19"/>
    <n v="0"/>
    <s v="HATO PINTADO"/>
    <x v="4"/>
  </r>
  <r>
    <n v="13"/>
    <d v="2018-06-20T00:00:00"/>
    <x v="2"/>
    <x v="2"/>
    <x v="0"/>
    <s v="ADMINISTRACION DE SUCURSALES"/>
    <s v="NC GASTO NO DEDUCIBLES"/>
    <s v="TRANSACCIONES DEL DIA 06/20/2018SPYRAL - GESTION ADMINISTRATIVA"/>
    <n v="86.74"/>
    <n v="0"/>
    <s v="HATO PINTADO"/>
    <x v="4"/>
  </r>
  <r>
    <n v="13"/>
    <d v="2018-07-12T00:00:00"/>
    <x v="6"/>
    <x v="6"/>
    <x v="0"/>
    <s v="ADMINISTRACION DE SUCURSALES"/>
    <s v="NC GASTO NO DEDUCIBLES"/>
    <s v="TRANSACCIONES DEL DIA 07/12/2018SPYRAL - GESTION ADMINISTRATIVA"/>
    <n v="65.22"/>
    <n v="0"/>
    <s v="HATO PINTADO"/>
    <x v="4"/>
  </r>
  <r>
    <n v="13"/>
    <d v="2018-08-09T00:00:00"/>
    <x v="3"/>
    <x v="3"/>
    <x v="0"/>
    <s v="ADMINISTRACION DE SUCURSALES"/>
    <s v="NC GASTO NO DEDUCIBLES"/>
    <s v="TRANSACCIONES DEL DIA 08/09/2018SPYRAL - GESTION ADMINISTRATIVA"/>
    <n v="152.08000000000001"/>
    <n v="0"/>
    <s v="HATO PINTADO"/>
    <x v="4"/>
  </r>
  <r>
    <n v="13"/>
    <d v="2018-09-03T00:00:00"/>
    <x v="4"/>
    <x v="4"/>
    <x v="0"/>
    <s v="ADMINISTRACION DE SUCURSALES"/>
    <s v="NC GASTO NO DEDUCIBLES"/>
    <s v="TRANSACCIONES DEL DIA 09/03/2018SPYRAL - GESTION ADMINISTRATIVA"/>
    <n v="26.1"/>
    <n v="0"/>
    <s v="HATO PINTADO"/>
    <x v="4"/>
  </r>
  <r>
    <n v="13"/>
    <d v="2018-09-11T00:00:00"/>
    <x v="4"/>
    <x v="4"/>
    <x v="0"/>
    <s v="ADMINISTRACION DE SUCURSALES"/>
    <s v="NC GASTO NO DEDUCIBLES"/>
    <s v="TRANSACCIONES DEL DIA 09/11/2018SPYRAL - GESTION ADMINISTRATIVA"/>
    <n v="89.33"/>
    <n v="0"/>
    <s v="HATO PINTADO"/>
    <x v="4"/>
  </r>
  <r>
    <n v="13"/>
    <d v="2018-10-02T00:00:00"/>
    <x v="0"/>
    <x v="0"/>
    <x v="0"/>
    <s v="ADMINISTRACION DE SUCURSALES"/>
    <s v="NC GASTO NO DEDUCIBLES"/>
    <s v="TRANSACCIONES DEL DIA 10/02/2018SPYRAL - GESTION ADMINISTRATIVA"/>
    <n v="103.39"/>
    <n v="0"/>
    <s v="HATO PINTADO"/>
    <x v="4"/>
  </r>
  <r>
    <n v="13"/>
    <d v="2018-10-23T00:00:00"/>
    <x v="0"/>
    <x v="0"/>
    <x v="0"/>
    <s v="ADMINISTRACION DE SUCURSALES"/>
    <s v="NC GASTO NO DEDUCIBLES"/>
    <s v="TRANSACCIONES DEL DIA 10/23/2018SPYRAL - GESTION ADMINISTRATIVA"/>
    <n v="91.81"/>
    <n v="0"/>
    <s v="HATO PINTADO"/>
    <x v="4"/>
  </r>
  <r>
    <n v="13"/>
    <d v="2018-11-06T00:00:00"/>
    <x v="5"/>
    <x v="5"/>
    <x v="0"/>
    <s v="ADMINISTRACION DE SUCURSALES"/>
    <s v="NC GASTO NO DEDUCIBLES"/>
    <s v="TRANSACCIONES DEL DIA 11/06/2018SPYRAL - GESTION ADMINISTRATIVA"/>
    <n v="84.26"/>
    <n v="0"/>
    <s v="HATO PINTADO"/>
    <x v="4"/>
  </r>
  <r>
    <n v="13"/>
    <d v="2018-11-09T00:00:00"/>
    <x v="5"/>
    <x v="5"/>
    <x v="0"/>
    <s v="ADMINISTRACION DE SUCURSALES"/>
    <s v="NC GASTO NO DEDUCIBLES"/>
    <s v="TRANSACCIONES DEL DIA 11/09/2018SPYRAL - GESTION ADMINISTRATIVA"/>
    <n v="17.05"/>
    <n v="0"/>
    <s v="HATO PINTADO"/>
    <x v="4"/>
  </r>
  <r>
    <n v="13"/>
    <d v="2018-12-07T00:00:00"/>
    <x v="1"/>
    <x v="1"/>
    <x v="0"/>
    <s v="ADMINISTRACION DE SUCURSALES"/>
    <s v="NC GASTO NO DEDUCIBLES"/>
    <s v="TRANSACCIONES DEL DIA 12/07/2018SPYRAL - GESTION ADMINISTRATIVA"/>
    <n v="79.73"/>
    <n v="0"/>
    <s v="HATO PINTADO"/>
    <x v="4"/>
  </r>
  <r>
    <n v="13"/>
    <d v="2018-12-31T00:00:00"/>
    <x v="1"/>
    <x v="1"/>
    <x v="0"/>
    <s v="ADMINISTRACION DE SUCURSALES"/>
    <s v="CIERRE DE ANIO FISCAL"/>
    <s v="CIERRE_DE_CTAS_NOMINALES"/>
    <n v="0"/>
    <n v="1634.07"/>
    <s v="HATO PINTADO"/>
    <x v="4"/>
  </r>
  <r>
    <n v="14"/>
    <d v="2018-08-09T00:00:00"/>
    <x v="3"/>
    <x v="3"/>
    <x v="0"/>
    <s v="ADMINISTRACION DE SUCURSALES"/>
    <s v="NC GASTO NO DEDUCIBLES"/>
    <s v="TRANSACCIONES DEL DIA 08/09/2018SPYRAL - GESTION ADMINISTRATIVA"/>
    <n v="102.39"/>
    <n v="0"/>
    <s v="RIO ABAJO"/>
    <x v="4"/>
  </r>
  <r>
    <n v="14"/>
    <d v="2018-11-06T00:00:00"/>
    <x v="5"/>
    <x v="5"/>
    <x v="0"/>
    <s v="ADMINISTRACION DE SUCURSALES"/>
    <s v="NC GASTO NO DEDUCIBLES"/>
    <s v="TRANSACCIONES DEL DIA 11/06/2018SPYRAL - GESTION ADMINISTRATIVA"/>
    <n v="64.069999999999993"/>
    <n v="0"/>
    <s v="RIO ABAJO"/>
    <x v="4"/>
  </r>
  <r>
    <n v="14"/>
    <d v="2018-12-31T00:00:00"/>
    <x v="1"/>
    <x v="1"/>
    <x v="0"/>
    <s v="ADMINISTRACION DE SUCURSALES"/>
    <s v="CIERRE DE ANIO FISCAL"/>
    <s v="CIERRE_DE_CTAS_NOMINALES"/>
    <n v="0"/>
    <n v="359.06"/>
    <s v="RIO ABAJO"/>
    <x v="4"/>
  </r>
  <r>
    <n v="15"/>
    <d v="2018-08-09T00:00:00"/>
    <x v="3"/>
    <x v="3"/>
    <x v="0"/>
    <s v="ADMINISTRACION DE SUCURSALES"/>
    <s v="NC GASTO NO DEDUCIBLES"/>
    <s v="TRANSACCIONES DEL DIA 08/09/2018SPYRAL - GESTION ADMINISTRATIVA"/>
    <n v="28.82"/>
    <n v="0"/>
    <s v="LA CHORRERA"/>
    <x v="4"/>
  </r>
  <r>
    <n v="15"/>
    <d v="2018-12-20T00:00:00"/>
    <x v="1"/>
    <x v="1"/>
    <x v="0"/>
    <s v="ADMINISTRACION DE SUCURSALES"/>
    <s v="NC GASTO NO DEDUCIBLES"/>
    <s v="TRANSACCIONES DEL DIA 12/20/2018SPYRAL - GESTION ADMINISTRATIVA"/>
    <n v="389"/>
    <n v="0"/>
    <s v="LA CHORRERA"/>
    <x v="4"/>
  </r>
  <r>
    <n v="15"/>
    <d v="2018-12-27T00:00:00"/>
    <x v="1"/>
    <x v="1"/>
    <x v="0"/>
    <s v="ADMINISTRACION DE SUCURSALES"/>
    <s v="NC GASTO NO DEDUCIBLES"/>
    <s v="TRANSACCIONES DEL DIA 12/27/2018SPYRAL - GESTION ADMINISTRATIVA"/>
    <n v="96"/>
    <n v="0"/>
    <s v="LA CHORRERA"/>
    <x v="4"/>
  </r>
  <r>
    <n v="15"/>
    <d v="2018-12-31T00:00:00"/>
    <x v="1"/>
    <x v="1"/>
    <x v="0"/>
    <s v="ADMINISTRACION DE SUCURSALES"/>
    <s v="CIERRE DE ANIO FISCAL"/>
    <s v="CIERRE_DE_CTAS_NOMINALES"/>
    <n v="0"/>
    <n v="599.23"/>
    <s v="LA CHORRERA"/>
    <x v="4"/>
  </r>
  <r>
    <n v="16"/>
    <d v="2018-06-23T00:00:00"/>
    <x v="2"/>
    <x v="2"/>
    <x v="0"/>
    <s v="ADMINISTRACION DE SUCURSALES"/>
    <s v="NC GASTO NO DEDUCIBLES"/>
    <s v="TRANSACCIONES DEL DIA 06/23/2018SPYRAL - GESTION ADMINISTRATIVA"/>
    <n v="55.35"/>
    <n v="0"/>
    <s v="AVENIDA CENTRAL"/>
    <x v="4"/>
  </r>
  <r>
    <n v="16"/>
    <d v="2018-11-09T00:00:00"/>
    <x v="5"/>
    <x v="5"/>
    <x v="0"/>
    <s v="ADMINISTRACION DE SUCURSALES"/>
    <s v="NC GASTO NO DEDUCIBLES"/>
    <s v="TRANSACCIONES DEL DIA 11/09/2018SPYRAL - GESTION ADMINISTRATIVA"/>
    <n v="41.1"/>
    <n v="0"/>
    <s v="AVENIDA CENTRAL"/>
    <x v="4"/>
  </r>
  <r>
    <n v="16"/>
    <d v="2018-12-01T00:00:00"/>
    <x v="1"/>
    <x v="1"/>
    <x v="0"/>
    <s v="ADMINISTRACION DE SUCURSALES"/>
    <s v="NC GASTO NO DEDUCIBLES"/>
    <s v="TRANSACCIONES DEL DIA 12/01/2018SPYRAL - GESTION ADMINISTRATIVA"/>
    <n v="126"/>
    <n v="0"/>
    <s v="AVENIDA CENTRAL"/>
    <x v="4"/>
  </r>
  <r>
    <n v="16"/>
    <d v="2018-12-10T00:00:00"/>
    <x v="1"/>
    <x v="1"/>
    <x v="0"/>
    <s v="ADMINISTRACION DE SUCURSALES"/>
    <s v="NC GASTO NO DEDUCIBLES"/>
    <s v="TRANSACCIONES DEL DIA 12/10/2018SPYRAL - GESTION ADMINISTRATIVA"/>
    <n v="100"/>
    <n v="0"/>
    <s v="AVENIDA CENTRAL"/>
    <x v="4"/>
  </r>
  <r>
    <n v="16"/>
    <d v="2018-12-26T00:00:00"/>
    <x v="1"/>
    <x v="1"/>
    <x v="0"/>
    <s v="ADMINISTRACION DE SUCURSALES"/>
    <s v="NC GASTO NO DEDUCIBLES"/>
    <s v="TRANSACCIONES DEL DIA 12/26/2018SPYRAL - GESTION ADMINISTRATIVA"/>
    <n v="95.63"/>
    <n v="0"/>
    <s v="AVENIDA CENTRAL"/>
    <x v="4"/>
  </r>
  <r>
    <n v="16"/>
    <d v="2018-12-31T00:00:00"/>
    <x v="1"/>
    <x v="1"/>
    <x v="0"/>
    <s v="ADMINISTRACION DE SUCURSALES"/>
    <s v="CIERRE DE ANIO FISCAL"/>
    <s v="CIERRE_DE_CTAS_NOMINALES"/>
    <n v="0"/>
    <n v="591.87"/>
    <s v="AVENIDA CENTRAL"/>
    <x v="4"/>
  </r>
  <r>
    <n v="17"/>
    <d v="2018-06-01T00:00:00"/>
    <x v="2"/>
    <x v="2"/>
    <x v="0"/>
    <s v="ADMINISTRACION DE SUCURSALES"/>
    <s v="NC GASTO NO DEDUCIBLES"/>
    <s v="TRANSACCIONES DEL DIA 06/01/2018SPYRAL - GESTION ADMINISTRATIVA"/>
    <n v="40.89"/>
    <n v="0"/>
    <s v="LOS ANGELES"/>
    <x v="4"/>
  </r>
  <r>
    <n v="17"/>
    <d v="2018-07-12T00:00:00"/>
    <x v="6"/>
    <x v="6"/>
    <x v="0"/>
    <s v="ADMINISTRACION DE SUCURSALES"/>
    <s v="NC GASTO NO DEDUCIBLES"/>
    <s v="TRANSACCIONES DEL DIA 07/12/2018SPYRAL - GESTION ADMINISTRATIVA"/>
    <n v="45.65"/>
    <n v="0"/>
    <s v="LOS ANGELES"/>
    <x v="4"/>
  </r>
  <r>
    <n v="17"/>
    <d v="2018-08-17T00:00:00"/>
    <x v="3"/>
    <x v="3"/>
    <x v="0"/>
    <s v="ADMINISTRACION DE SUCURSALES"/>
    <s v="NC GASTO NO DEDUCIBLES"/>
    <s v="TRANSACCIONES DEL DIA 08/17/2018SPYRAL - GESTION ADMINISTRATIVA"/>
    <n v="49.46"/>
    <n v="0"/>
    <s v="LOS ANGELES"/>
    <x v="4"/>
  </r>
  <r>
    <n v="17"/>
    <d v="2018-10-16T00:00:00"/>
    <x v="0"/>
    <x v="0"/>
    <x v="0"/>
    <s v="ADMINISTRACION DE SUCURSALES"/>
    <s v="NC GASTO NO DEDUCIBLES"/>
    <s v="TRANSACCIONES DEL DIA 10/16/2018SPYRAL - GESTION ADMINISTRATIVA"/>
    <n v="35.119999999999997"/>
    <n v="0"/>
    <s v="LOS ANGELES"/>
    <x v="4"/>
  </r>
  <r>
    <n v="17"/>
    <d v="2018-11-23T00:00:00"/>
    <x v="5"/>
    <x v="5"/>
    <x v="0"/>
    <s v="ADMINISTRACION DE SUCURSALES"/>
    <s v="NC GASTO NO DEDUCIBLES"/>
    <s v="TRANSACCIONES DEL DIA 11/23/2018SPYRAL - GESTION ADMINISTRATIVA"/>
    <n v="34.54"/>
    <n v="0"/>
    <s v="LOS ANGELES"/>
    <x v="4"/>
  </r>
  <r>
    <n v="17"/>
    <d v="2018-12-31T00:00:00"/>
    <x v="1"/>
    <x v="1"/>
    <x v="0"/>
    <s v="ADMINISTRACION DE SUCURSALES"/>
    <s v="CIERRE DE ANIO FISCAL"/>
    <s v="CIERRE_DE_CTAS_NOMINALES"/>
    <n v="0"/>
    <n v="248.26"/>
    <s v="LOS ANGELES"/>
    <x v="4"/>
  </r>
  <r>
    <n v="18"/>
    <d v="2018-06-07T00:00:00"/>
    <x v="2"/>
    <x v="2"/>
    <x v="0"/>
    <s v="ADMINISTRACION DE SUCURSALES"/>
    <s v="NC GASTO NO DEDUCIBLES"/>
    <s v="TRANSACCIONES DEL DIA 06/07/2018SPYRAL - GESTION ADMINISTRATIVA"/>
    <n v="152.75"/>
    <n v="0"/>
    <s v="VILLA LUCRE"/>
    <x v="4"/>
  </r>
  <r>
    <n v="18"/>
    <d v="2018-06-23T00:00:00"/>
    <x v="2"/>
    <x v="2"/>
    <x v="0"/>
    <s v="ADMINISTRACION DE SUCURSALES"/>
    <s v="NC GASTO NO DEDUCIBLES"/>
    <s v="TRANSACCIONES DEL DIA 06/23/2018SPYRAL - GESTION ADMINISTRATIVA"/>
    <n v="27.75"/>
    <n v="0"/>
    <s v="VILLA LUCRE"/>
    <x v="4"/>
  </r>
  <r>
    <n v="18"/>
    <d v="2018-08-14T00:00:00"/>
    <x v="3"/>
    <x v="3"/>
    <x v="0"/>
    <s v="ADMINISTRACION DE SUCURSALES"/>
    <s v="NC GASTO NO DEDUCIBLES"/>
    <s v="TRANSACCIONES DEL DIA 08/14/2018SPYRAL - GESTION ADMINISTRATIVA"/>
    <n v="126.25"/>
    <n v="0"/>
    <s v="VILLA LUCRE"/>
    <x v="4"/>
  </r>
  <r>
    <n v="18"/>
    <d v="2018-10-16T00:00:00"/>
    <x v="0"/>
    <x v="0"/>
    <x v="0"/>
    <s v="ADMINISTRACION DE SUCURSALES"/>
    <s v="NC GASTO NO DEDUCIBLES"/>
    <s v="TRANSACCIONES DEL DIA 10/16/2018SPYRAL - GESTION ADMINISTRATIVA"/>
    <n v="77.349999999999994"/>
    <n v="0"/>
    <s v="VILLA LUCRE"/>
    <x v="4"/>
  </r>
  <r>
    <n v="18"/>
    <d v="2018-11-08T00:00:00"/>
    <x v="5"/>
    <x v="5"/>
    <x v="0"/>
    <s v="ADMINISTRACION DE SUCURSALES"/>
    <s v="NC GASTO NO DEDUCIBLES"/>
    <s v="TRANSACCIONES DEL DIA 11/08/2018SPYRAL - GESTION ADMINISTRATIVA"/>
    <n v="90"/>
    <n v="0"/>
    <s v="VILLA LUCRE"/>
    <x v="4"/>
  </r>
  <r>
    <n v="18"/>
    <d v="2018-12-04T00:00:00"/>
    <x v="1"/>
    <x v="1"/>
    <x v="0"/>
    <s v="ADMINISTRACION DE SUCURSALES"/>
    <s v="NC GASTO NO DEDUCIBLES"/>
    <s v="TRANSACCIONES DEL DIA 12/04/2018SPYRAL - GESTION ADMINISTRATIVA"/>
    <n v="43.7"/>
    <n v="0"/>
    <s v="VILLA LUCRE"/>
    <x v="4"/>
  </r>
  <r>
    <n v="18"/>
    <d v="2018-12-31T00:00:00"/>
    <x v="1"/>
    <x v="1"/>
    <x v="0"/>
    <s v="ADMINISTRACION DE SUCURSALES"/>
    <s v="CIERRE DE ANIO FISCAL"/>
    <s v="CIERRE_DE_CTAS_NOMINALES"/>
    <n v="0"/>
    <n v="582.41"/>
    <s v="VILLA LUCRE"/>
    <x v="4"/>
  </r>
  <r>
    <n v="19"/>
    <d v="2018-07-12T00:00:00"/>
    <x v="6"/>
    <x v="6"/>
    <x v="0"/>
    <s v="ADMINISTRACION DE SUCURSALES"/>
    <s v="NC GASTO NO DEDUCIBLES"/>
    <s v="TRANSACCIONES DEL DIA 07/12/2018SPYRAL - GESTION ADMINISTRATIVA"/>
    <n v="184.05"/>
    <n v="0"/>
    <s v="LOS ANDES"/>
    <x v="4"/>
  </r>
  <r>
    <n v="19"/>
    <d v="2018-11-08T00:00:00"/>
    <x v="5"/>
    <x v="5"/>
    <x v="0"/>
    <s v="ADMINISTRACION DE SUCURSALES"/>
    <s v="NC GASTO NO DEDUCIBLES"/>
    <s v="TRANSACCIONES DEL DIA 11/08/2018SPYRAL - GESTION ADMINISTRATIVA"/>
    <n v="145.59"/>
    <n v="0"/>
    <s v="LOS ANDES"/>
    <x v="4"/>
  </r>
  <r>
    <n v="19"/>
    <d v="2018-12-28T00:00:00"/>
    <x v="1"/>
    <x v="1"/>
    <x v="0"/>
    <s v="ADMINISTRACION DE SUCURSALES"/>
    <s v="NC GASTO NO DEDUCIBLES"/>
    <s v="TRANSACCIONES DEL DIA 12/28/2018SPYRAL - GESTION ADMINISTRATIVA"/>
    <n v="305.58999999999997"/>
    <n v="0"/>
    <s v="LOS ANDES"/>
    <x v="4"/>
  </r>
  <r>
    <n v="19"/>
    <d v="2018-12-31T00:00:00"/>
    <x v="1"/>
    <x v="1"/>
    <x v="0"/>
    <s v="ADMINISTRACION DE SUCURSALES"/>
    <s v="CIERRE DE ANIO FISCAL"/>
    <s v="CIERRE_DE_CTAS_NOMINALES"/>
    <n v="0"/>
    <n v="801.28"/>
    <s v="LOS ANDES"/>
    <x v="4"/>
  </r>
  <r>
    <n v="20"/>
    <d v="2018-06-15T00:00:00"/>
    <x v="2"/>
    <x v="2"/>
    <x v="0"/>
    <s v="ADMINISTRACION DE SUCURSALES"/>
    <s v="NC GASTO NO DEDUCIBLES"/>
    <s v="TRANSACCIONES DEL DIA 06/15/2018SPYRAL - GESTION ADMINISTRATIVA"/>
    <n v="25.68"/>
    <n v="0"/>
    <s v="VIA ESPANA"/>
    <x v="4"/>
  </r>
  <r>
    <n v="20"/>
    <d v="2018-08-23T00:00:00"/>
    <x v="3"/>
    <x v="3"/>
    <x v="0"/>
    <s v="ADMINISTRACION DE SUCURSALES"/>
    <s v="NC GASTO NO DEDUCIBLES"/>
    <s v="TRANSACCIONES DEL DIA 08/23/2018SPYRAL - GESTION ADMINISTRATIVA"/>
    <n v="29.96"/>
    <n v="0"/>
    <s v="VIA ESPANA"/>
    <x v="4"/>
  </r>
  <r>
    <n v="20"/>
    <d v="2018-09-20T00:00:00"/>
    <x v="4"/>
    <x v="4"/>
    <x v="0"/>
    <s v="ADMINISTRACION DE SUCURSALES"/>
    <s v="NC GASTO NO DEDUCIBLES"/>
    <s v="TRANSACCIONES DEL DIA 09/20/2018SPYRAL - GESTION ADMINISTRATIVA"/>
    <n v="25"/>
    <n v="0"/>
    <s v="VIA ESPANA"/>
    <x v="4"/>
  </r>
  <r>
    <n v="20"/>
    <d v="2018-12-14T00:00:00"/>
    <x v="1"/>
    <x v="1"/>
    <x v="0"/>
    <s v="ADMINISTRACION DE SUCURSALES"/>
    <s v="NC GASTO NO DEDUCIBLES"/>
    <s v="TRANSACCIONES DEL DIA 12/14/2018SPYRAL - GESTION ADMINISTRATIVA"/>
    <n v="31.9"/>
    <n v="0"/>
    <s v="VIA ESPANA"/>
    <x v="4"/>
  </r>
  <r>
    <n v="20"/>
    <d v="2018-12-27T00:00:00"/>
    <x v="1"/>
    <x v="1"/>
    <x v="0"/>
    <s v="ADMINISTRACION DE SUCURSALES"/>
    <s v="NC GASTO NO DEDUCIBLES"/>
    <s v="TRANSACCIONES DEL DIA 12/27/2018SPYRAL - GESTION ADMINISTRATIVA"/>
    <n v="130.5"/>
    <n v="0"/>
    <s v="VIA ESPANA"/>
    <x v="4"/>
  </r>
  <r>
    <n v="20"/>
    <d v="2018-12-31T00:00:00"/>
    <x v="1"/>
    <x v="1"/>
    <x v="0"/>
    <s v="ADMINISTRACION DE SUCURSALES"/>
    <s v="CIERRE DE ANIO FISCAL"/>
    <s v="CIERRE_DE_CTAS_NOMINALES"/>
    <n v="0"/>
    <n v="325.76"/>
    <s v="VIA ESPANA"/>
    <x v="4"/>
  </r>
  <r>
    <n v="21"/>
    <d v="2018-06-01T00:00:00"/>
    <x v="2"/>
    <x v="2"/>
    <x v="0"/>
    <s v="ADMINISTRACION DE SUCURSALES"/>
    <s v="NC GASTO NO DEDUCIBLES"/>
    <s v="TRANSACCIONES DEL DIA 06/01/2018SPYRAL - GESTION ADMINISTRATIVA"/>
    <n v="110.69"/>
    <n v="0"/>
    <s v="AVENIDA CUBA"/>
    <x v="4"/>
  </r>
  <r>
    <n v="21"/>
    <d v="2018-11-16T00:00:00"/>
    <x v="5"/>
    <x v="5"/>
    <x v="0"/>
    <s v="ADMINISTRACION DE SUCURSALES"/>
    <s v="NC GASTO NO DEDUCIBLES"/>
    <s v="TRANSACCIONES DEL DIA 11/16/2018SPYRAL - GESTION ADMINISTRATIVA"/>
    <n v="285.70999999999998"/>
    <n v="0"/>
    <s v="AVENIDA CUBA"/>
    <x v="4"/>
  </r>
  <r>
    <n v="21"/>
    <d v="2018-12-20T00:00:00"/>
    <x v="1"/>
    <x v="1"/>
    <x v="0"/>
    <s v="ADMINISTRACION DE SUCURSALES"/>
    <s v="NC GASTO NO DEDUCIBLES"/>
    <s v="TRANSACCIONES DEL DIA 12/20/2018SPYRAL - GESTION ADMINISTRATIVA"/>
    <n v="175"/>
    <n v="0"/>
    <s v="AVENIDA CUBA"/>
    <x v="4"/>
  </r>
  <r>
    <n v="21"/>
    <d v="2018-12-31T00:00:00"/>
    <x v="1"/>
    <x v="1"/>
    <x v="0"/>
    <s v="ADMINISTRACION DE SUCURSALES"/>
    <s v="CIERRE DE ANIO FISCAL"/>
    <s v="CIERRE_DE_CTAS_NOMINALES"/>
    <n v="0"/>
    <n v="571.4"/>
    <s v="AVENIDA CUBA"/>
    <x v="4"/>
  </r>
  <r>
    <n v="22"/>
    <d v="2018-06-01T00:00:00"/>
    <x v="2"/>
    <x v="2"/>
    <x v="0"/>
    <s v="ADMINISTRACION DE SUCURSALES"/>
    <s v="NC GASTO NO DEDUCIBLES"/>
    <s v="TRANSACCIONES DEL DIA 06/01/2018SPYRAL - GESTION ADMINISTRATIVA"/>
    <n v="98.21"/>
    <n v="0"/>
    <s v="CHITRE"/>
    <x v="4"/>
  </r>
  <r>
    <n v="22"/>
    <d v="2018-09-24T00:00:00"/>
    <x v="4"/>
    <x v="4"/>
    <x v="0"/>
    <s v="ADMINISTRACION DE SUCURSALES"/>
    <s v="NC GASTO NO DEDUCIBLES"/>
    <s v="TRANSACCIONES DEL DIA 09/24/2018SPYRAL - GESTION ADMINISTRATIVA"/>
    <n v="148.26"/>
    <n v="0"/>
    <s v="CHITRE"/>
    <x v="4"/>
  </r>
  <r>
    <n v="22"/>
    <d v="2018-12-01T00:00:00"/>
    <x v="1"/>
    <x v="1"/>
    <x v="0"/>
    <s v="ADMINISTRACION DE SUCURSALES"/>
    <s v="NC GASTO NO DEDUCIBLES"/>
    <s v="TRANSACCIONES DEL DIA 12/01/2018SPYRAL - GESTION ADMINISTRATIVA"/>
    <n v="113.68"/>
    <n v="0"/>
    <s v="CHITRE"/>
    <x v="4"/>
  </r>
  <r>
    <n v="22"/>
    <d v="2018-12-31T00:00:00"/>
    <x v="1"/>
    <x v="1"/>
    <x v="0"/>
    <s v="ADMINISTRACION DE SUCURSALES"/>
    <s v="CIERRE DE ANIO FISCAL"/>
    <s v="CIERRE_DE_CTAS_NOMINALES"/>
    <n v="0"/>
    <n v="446.58"/>
    <s v="CHITRE"/>
    <x v="4"/>
  </r>
  <r>
    <n v="23"/>
    <d v="2018-06-23T00:00:00"/>
    <x v="2"/>
    <x v="2"/>
    <x v="0"/>
    <s v="ADMINISTRACION DE SUCURSALES"/>
    <s v="NC GASTO NO DEDUCIBLES"/>
    <s v="TRANSACCIONES DEL DIA 06/23/2018SPYRAL - GESTION ADMINISTRATIVA"/>
    <n v="64.2"/>
    <n v="0"/>
    <s v="LOS PUEBLOS"/>
    <x v="4"/>
  </r>
  <r>
    <n v="23"/>
    <d v="2018-07-12T00:00:00"/>
    <x v="6"/>
    <x v="6"/>
    <x v="0"/>
    <s v="ADMINISTRACION DE SUCURSALES"/>
    <s v="NC GASTO NO DEDUCIBLES"/>
    <s v="TRANSACCIONES DEL DIA 07/12/2018SPYRAL - GESTION ADMINISTRATIVA"/>
    <n v="142.33000000000001"/>
    <n v="0"/>
    <s v="LOS PUEBLOS"/>
    <x v="4"/>
  </r>
  <r>
    <n v="23"/>
    <d v="2018-08-14T00:00:00"/>
    <x v="3"/>
    <x v="3"/>
    <x v="0"/>
    <s v="ADMINISTRACION DE SUCURSALES"/>
    <s v="NC GASTO NO DEDUCIBLES"/>
    <s v="TRANSACCIONES DEL DIA 08/14/2018SPYRAL - GESTION ADMINISTRATIVA"/>
    <n v="84.6"/>
    <n v="0"/>
    <s v="LOS PUEBLOS"/>
    <x v="4"/>
  </r>
  <r>
    <n v="23"/>
    <d v="2018-09-11T00:00:00"/>
    <x v="4"/>
    <x v="4"/>
    <x v="0"/>
    <s v="ADMINISTRACION DE SUCURSALES"/>
    <s v="NC GASTO NO DEDUCIBLES"/>
    <s v="TRANSACCIONES DEL DIA 09/11/2018SPYRAL - GESTION ADMINISTRATIVA"/>
    <n v="75.599999999999994"/>
    <n v="0"/>
    <s v="LOS PUEBLOS"/>
    <x v="4"/>
  </r>
  <r>
    <n v="23"/>
    <d v="2018-10-16T00:00:00"/>
    <x v="0"/>
    <x v="0"/>
    <x v="0"/>
    <s v="ADMINISTRACION DE SUCURSALES"/>
    <s v="NC GASTO NO DEDUCIBLES"/>
    <s v="TRANSACCIONES DEL DIA 10/16/2018SPYRAL - GESTION ADMINISTRATIVA"/>
    <n v="125"/>
    <n v="0"/>
    <s v="LOS PUEBLOS"/>
    <x v="4"/>
  </r>
  <r>
    <n v="23"/>
    <d v="2018-10-18T00:00:00"/>
    <x v="0"/>
    <x v="0"/>
    <x v="0"/>
    <s v="ADMINISTRACION DE SUCURSALES"/>
    <s v="GASTOS NO DEDUCIBLES"/>
    <s v="TRANSACCIONES DEL DIA 10/18/2018SPYRAL - GESTION ADMINISTRATIVA"/>
    <n v="44.6"/>
    <n v="0"/>
    <s v="LOS PUEBLOS"/>
    <x v="4"/>
  </r>
  <r>
    <n v="23"/>
    <d v="2018-12-14T00:00:00"/>
    <x v="1"/>
    <x v="1"/>
    <x v="0"/>
    <s v="ADMINISTRACION DE SUCURSALES"/>
    <s v="NC GASTO NO DEDUCIBLES"/>
    <s v="TRANSACCIONES DEL DIA 12/14/2018SPYRAL - GESTION ADMINISTRATIVA"/>
    <n v="215.6"/>
    <n v="0"/>
    <s v="LOS PUEBLOS"/>
    <x v="4"/>
  </r>
  <r>
    <n v="23"/>
    <d v="2018-12-31T00:00:00"/>
    <x v="1"/>
    <x v="1"/>
    <x v="0"/>
    <s v="ADMINISTRACION DE SUCURSALES"/>
    <s v="CIERRE DE ANIO FISCAL"/>
    <s v="CIERRE_DE_CTAS_NOMINALES"/>
    <n v="0"/>
    <n v="835.37"/>
    <s v="LOS PUEBLOS"/>
    <x v="4"/>
  </r>
  <r>
    <n v="26"/>
    <d v="2018-06-11T00:00:00"/>
    <x v="2"/>
    <x v="2"/>
    <x v="0"/>
    <s v="ADMINISTRACION DE SUCURSALES"/>
    <s v="GASTOS NO DEDUCIBLES"/>
    <s v="TRANSACCIONES DEL DIA 06/11/2018SPYRAL - GESTION ADMINISTRATIVA"/>
    <n v="85"/>
    <n v="0"/>
    <s v="TRANSISTMICA"/>
    <x v="4"/>
  </r>
  <r>
    <n v="26"/>
    <d v="2018-07-16T00:00:00"/>
    <x v="6"/>
    <x v="6"/>
    <x v="0"/>
    <s v="ADMINISTRACION DE SUCURSALES"/>
    <s v="GASTOS NO DEDUCIBLES"/>
    <s v="TRANSACCIONES DEL DIA 07/16/2018SPYRAL - GESTION ADMINISTRATIVA"/>
    <n v="85"/>
    <n v="0"/>
    <s v="TRANSISTMICA"/>
    <x v="4"/>
  </r>
  <r>
    <n v="26"/>
    <d v="2018-08-29T00:00:00"/>
    <x v="3"/>
    <x v="3"/>
    <x v="0"/>
    <s v="ADMINISTRACION DE SUCURSALES"/>
    <s v="GASTOS NO DEDUCIBLES"/>
    <s v="TRANSACCIONES DEL DIA 08/29/2018SPYRAL - GESTION ADMINISTRATIVA"/>
    <n v="169.85"/>
    <n v="0"/>
    <s v="TRANSISTMICA"/>
    <x v="4"/>
  </r>
  <r>
    <n v="26"/>
    <d v="2018-09-11T00:00:00"/>
    <x v="4"/>
    <x v="4"/>
    <x v="0"/>
    <s v="ADMINISTRACION DE SUCURSALES"/>
    <s v="NC GASTO NO DEDUCIBLES"/>
    <s v="TRANSACCIONES DEL DIA 09/11/2018SPYRAL - GESTION ADMINISTRATIVA"/>
    <n v="5.89"/>
    <n v="0"/>
    <s v="TRANSISTMICA"/>
    <x v="4"/>
  </r>
  <r>
    <n v="26"/>
    <d v="2018-10-12T00:00:00"/>
    <x v="0"/>
    <x v="0"/>
    <x v="0"/>
    <s v="ADMINISTRACION DE SUCURSALES"/>
    <s v="GASTOS NO DEDUCIBLES"/>
    <s v="TRANSACCIONES DEL DIA 10/12/2018SPYRAL - GESTION ADMINISTRATIVA"/>
    <n v="85"/>
    <n v="0"/>
    <s v="TRANSISTMICA"/>
    <x v="4"/>
  </r>
  <r>
    <n v="26"/>
    <d v="2018-11-02T00:00:00"/>
    <x v="5"/>
    <x v="5"/>
    <x v="0"/>
    <s v="ADMINISTRACION DE SUCURSALES"/>
    <s v="GASTOS NO DEDUCIBLES"/>
    <s v="TRANSACCIONES DEL DIA 11/02/2018SPYRAL - GESTION ADMINISTRATIVA"/>
    <n v="85"/>
    <n v="0"/>
    <s v="TRANSISTMICA"/>
    <x v="4"/>
  </r>
  <r>
    <n v="26"/>
    <d v="2018-12-04T00:00:00"/>
    <x v="1"/>
    <x v="1"/>
    <x v="0"/>
    <s v="ADMINISTRACION DE SUCURSALES"/>
    <s v="NC GASTO NO DEDUCIBLES"/>
    <s v="TRANSACCIONES DEL DIA 12/04/2018SPYRAL - GESTION ADMINISTRATIVA"/>
    <n v="79.75"/>
    <n v="0"/>
    <s v="TRANSISTMICA"/>
    <x v="4"/>
  </r>
  <r>
    <n v="26"/>
    <d v="2018-12-24T00:00:00"/>
    <x v="1"/>
    <x v="1"/>
    <x v="0"/>
    <s v="ADMINISTRACION DE SUCURSALES"/>
    <s v="NC GASTO NO DEDUCIBLES"/>
    <s v="TRANSACCIONES DEL DIA 12/24/2018SPYRAL - GESTION ADMINISTRATIVA"/>
    <n v="246.72"/>
    <n v="0"/>
    <s v="TRANSISTMICA"/>
    <x v="4"/>
  </r>
  <r>
    <n v="26"/>
    <d v="2018-12-31T00:00:00"/>
    <x v="1"/>
    <x v="1"/>
    <x v="0"/>
    <s v="ADMINISTRACION DE SUCURSALES"/>
    <s v="CIERRE DE ANIO FISCAL"/>
    <s v="CIERRE_DE_CTAS_NOMINALES"/>
    <n v="0"/>
    <n v="1266.1099999999999"/>
    <s v="TRANSISTMICA"/>
    <x v="4"/>
  </r>
  <r>
    <n v="27"/>
    <d v="2018-06-07T00:00:00"/>
    <x v="2"/>
    <x v="2"/>
    <x v="0"/>
    <s v="ADMINISTRACION DE SUCURSALES"/>
    <s v="NC GASTO NO DEDUCIBLES"/>
    <s v="TRANSACCIONES DEL DIA 06/07/2018SPYRAL - GESTION ADMINISTRATIVA"/>
    <n v="87.91"/>
    <n v="0"/>
    <s v="ZONA LIBRE"/>
    <x v="4"/>
  </r>
  <r>
    <n v="27"/>
    <d v="2018-06-15T00:00:00"/>
    <x v="2"/>
    <x v="2"/>
    <x v="0"/>
    <s v="ADMINISTRACION DE SUCURSALES"/>
    <s v="NC GASTO NO DEDUCIBLES"/>
    <s v="TRANSACCIONES DEL DIA 06/15/2018SPYRAL - GESTION ADMINISTRATIVA"/>
    <n v="197.93"/>
    <n v="0"/>
    <s v="ZONA LIBRE"/>
    <x v="4"/>
  </r>
  <r>
    <n v="27"/>
    <d v="2018-07-17T00:00:00"/>
    <x v="6"/>
    <x v="6"/>
    <x v="0"/>
    <s v="ADMINISTRACION DE SUCURSALES"/>
    <s v="NC GASTO NO DEDUCIBLES"/>
    <s v="TRANSACCIONES DEL DIA 07/17/2018SPYRAL - GESTION ADMINISTRATIVA"/>
    <n v="38.18"/>
    <n v="0"/>
    <s v="ZONA LIBRE"/>
    <x v="4"/>
  </r>
  <r>
    <n v="27"/>
    <d v="2018-08-03T00:00:00"/>
    <x v="3"/>
    <x v="3"/>
    <x v="0"/>
    <s v="ADMINISTRACION DE SUCURSALES"/>
    <s v="NC GASTO NO DEDUCIBLES"/>
    <s v="TRANSACCIONES DEL DIA 08/03/2018SPYRAL - GESTION ADMINISTRATIVA"/>
    <n v="85.12"/>
    <n v="0"/>
    <s v="ZONA LIBRE"/>
    <x v="4"/>
  </r>
  <r>
    <n v="27"/>
    <d v="2018-11-13T00:00:00"/>
    <x v="5"/>
    <x v="5"/>
    <x v="0"/>
    <s v="ADMINISTRACION DE SUCURSALES"/>
    <s v="NC GASTO NO DEDUCIBLES"/>
    <s v="TRANSACCIONES DEL DIA 11/13/2018SPYRAL - GESTION ADMINISTRATIVA"/>
    <n v="87.62"/>
    <n v="0"/>
    <s v="ZONA LIBRE"/>
    <x v="4"/>
  </r>
  <r>
    <n v="27"/>
    <d v="2018-12-07T00:00:00"/>
    <x v="1"/>
    <x v="1"/>
    <x v="0"/>
    <s v="ADMINISTRACION DE SUCURSALES"/>
    <s v="NC GASTO NO DEDUCIBLES"/>
    <s v="TRANSACCIONES DEL DIA 12/07/2018SPYRAL - GESTION ADMINISTRATIVA"/>
    <n v="40.119999999999997"/>
    <n v="0"/>
    <s v="ZONA LIBRE"/>
    <x v="4"/>
  </r>
  <r>
    <n v="27"/>
    <d v="2018-12-31T00:00:00"/>
    <x v="1"/>
    <x v="1"/>
    <x v="0"/>
    <s v="ADMINISTRACION DE SUCURSALES"/>
    <s v="CIERRE DE ANIO FISCAL"/>
    <s v="CIERRE_DE_CTAS_NOMINALES"/>
    <n v="0"/>
    <n v="737.42"/>
    <s v="ZONA LIBRE"/>
    <x v="4"/>
  </r>
  <r>
    <n v="28"/>
    <d v="2018-08-14T00:00:00"/>
    <x v="3"/>
    <x v="3"/>
    <x v="0"/>
    <s v="ADMINISTRACION DE SUCURSALES"/>
    <s v="NC GASTO NO DEDUCIBLES"/>
    <s v="TRANSACCIONES DEL DIA 08/14/2018SPYRAL - GESTION ADMINISTRATIVA"/>
    <n v="71.92"/>
    <n v="0"/>
    <s v="PLAZA GALAPAGO"/>
    <x v="4"/>
  </r>
  <r>
    <n v="28"/>
    <d v="2018-12-24T00:00:00"/>
    <x v="1"/>
    <x v="1"/>
    <x v="0"/>
    <s v="ADMINISTRACION DE SUCURSALES"/>
    <s v="GASTOS NO DEDUCIBLES"/>
    <s v="TRANSACCIONES DEL DIA 12/24/2018SPYRAL - GESTION ADMINISTRATIVA"/>
    <n v="57.08"/>
    <n v="0"/>
    <s v="PLAZA GALAPAGO"/>
    <x v="4"/>
  </r>
  <r>
    <n v="28"/>
    <d v="2018-12-31T00:00:00"/>
    <x v="1"/>
    <x v="1"/>
    <x v="0"/>
    <s v="ADMINISTRACION DE SUCURSALES"/>
    <s v="CIERRE DE ANIO FISCAL"/>
    <s v="CIERRE_DE_CTAS_NOMINALES"/>
    <n v="0"/>
    <n v="191.99"/>
    <s v="PLAZA GALAPAGO"/>
    <x v="4"/>
  </r>
  <r>
    <n v="29"/>
    <d v="2018-07-12T00:00:00"/>
    <x v="6"/>
    <x v="6"/>
    <x v="0"/>
    <s v="ADMINISTRACION DE SUCURSALES"/>
    <s v="NC GASTO NO DEDUCIBLES"/>
    <s v="TRANSACCIONES DEL DIA 07/12/2018SPYRAL - GESTION ADMINISTRATIVA"/>
    <n v="79.14"/>
    <n v="0"/>
    <s v="PARQUE LEFEVRE"/>
    <x v="4"/>
  </r>
  <r>
    <n v="29"/>
    <d v="2018-08-09T00:00:00"/>
    <x v="3"/>
    <x v="3"/>
    <x v="0"/>
    <s v="ADMINISTRACION DE SUCURSALES"/>
    <s v="NC GASTO NO DEDUCIBLES"/>
    <s v="TRANSACCIONES DEL DIA 08/09/2018SPYRAL - GESTION ADMINISTRATIVA"/>
    <n v="45.48"/>
    <n v="0"/>
    <s v="PARQUE LEFEVRE"/>
    <x v="4"/>
  </r>
  <r>
    <n v="29"/>
    <d v="2018-10-10T00:00:00"/>
    <x v="0"/>
    <x v="0"/>
    <x v="0"/>
    <s v="ADMINISTRACION DE SUCURSALES"/>
    <s v="NC GASTO NO DEDUCIBLES"/>
    <s v="TRANSACCIONES DEL DIA 10/10/2018SPYRAL - GESTION ADMINISTRATIVA"/>
    <n v="89.85"/>
    <n v="0"/>
    <s v="PARQUE LEFEVRE"/>
    <x v="4"/>
  </r>
  <r>
    <n v="29"/>
    <d v="2018-11-08T00:00:00"/>
    <x v="5"/>
    <x v="5"/>
    <x v="0"/>
    <s v="ADMINISTRACION DE SUCURSALES"/>
    <s v="NC GASTO NO DEDUCIBLES"/>
    <s v="TRANSACCIONES DEL DIA 11/08/2018SPYRAL - GESTION ADMINISTRATIVA"/>
    <n v="88.95"/>
    <n v="0"/>
    <s v="PARQUE LEFEVRE"/>
    <x v="4"/>
  </r>
  <r>
    <n v="29"/>
    <d v="2018-12-20T00:00:00"/>
    <x v="1"/>
    <x v="1"/>
    <x v="0"/>
    <s v="ADMINISTRACION DE SUCURSALES"/>
    <s v="NC GASTO NO DEDUCIBLES"/>
    <s v="TRANSACCIONES DEL DIA 12/20/2018SPYRAL - GESTION ADMINISTRATIVA"/>
    <n v="118"/>
    <n v="0"/>
    <s v="PARQUE LEFEVRE"/>
    <x v="4"/>
  </r>
  <r>
    <n v="29"/>
    <d v="2018-12-28T00:00:00"/>
    <x v="1"/>
    <x v="1"/>
    <x v="0"/>
    <s v="ADMINISTRACION DE SUCURSALES"/>
    <s v="NC GASTO NO DEDUCIBLES"/>
    <s v="TRANSACCIONES DEL DIA 12/28/2018SPYRAL - GESTION ADMINISTRATIVA"/>
    <n v="90.4"/>
    <n v="0"/>
    <s v="PARQUE LEFEVRE"/>
    <x v="4"/>
  </r>
  <r>
    <n v="29"/>
    <d v="2018-12-31T00:00:00"/>
    <x v="1"/>
    <x v="1"/>
    <x v="0"/>
    <s v="ADMINISTRACION DE SUCURSALES"/>
    <s v="CIERRE DE ANIO FISCAL"/>
    <s v="CIERRE_DE_CTAS_NOMINALES"/>
    <n v="0"/>
    <n v="660.28"/>
    <s v="PARQUE LEFEVRE"/>
    <x v="4"/>
  </r>
  <r>
    <n v="30"/>
    <d v="2018-07-09T00:00:00"/>
    <x v="6"/>
    <x v="6"/>
    <x v="0"/>
    <s v="ADMINISTRACION DE SUCURSALES"/>
    <s v="GASTOS NO DEDUCIBLES"/>
    <s v="TRANSACCIONES DEL DIA 07/09/2018SPYRAL - GESTION ADMINISTRATIVA"/>
    <n v="9.3000000000000007"/>
    <n v="0"/>
    <s v="DAVID"/>
    <x v="4"/>
  </r>
  <r>
    <n v="30"/>
    <d v="2018-07-12T00:00:00"/>
    <x v="6"/>
    <x v="6"/>
    <x v="0"/>
    <s v="ADMINISTRACION DE SUCURSALES"/>
    <s v="NC GASTO NO DEDUCIBLES"/>
    <s v="TRANSACCIONES DEL DIA 07/12/2018SPYRAL - GESTION ADMINISTRATIVA"/>
    <n v="329.8"/>
    <n v="0"/>
    <s v="DAVID"/>
    <x v="4"/>
  </r>
  <r>
    <n v="30"/>
    <d v="2018-11-13T00:00:00"/>
    <x v="5"/>
    <x v="5"/>
    <x v="0"/>
    <s v="ADMINISTRACION DE SUCURSALES"/>
    <s v="NC GASTO NO DEDUCIBLES"/>
    <s v="TRANSACCIONES DEL DIA 11/13/2018SPYRAL - GESTION ADMINISTRATIVA"/>
    <n v="35"/>
    <n v="0"/>
    <s v="DAVID"/>
    <x v="4"/>
  </r>
  <r>
    <n v="30"/>
    <d v="2018-11-20T00:00:00"/>
    <x v="5"/>
    <x v="5"/>
    <x v="0"/>
    <s v="ADMINISTRACION DE SUCURSALES"/>
    <s v="NC GASTO NO DEDUCIBLES"/>
    <s v="TRANSACCIONES DEL DIA 11/20/2018SPYRAL - GESTION ADMINISTRATIVA"/>
    <n v="373"/>
    <n v="0"/>
    <s v="DAVID"/>
    <x v="4"/>
  </r>
  <r>
    <n v="30"/>
    <d v="2018-12-31T00:00:00"/>
    <x v="1"/>
    <x v="1"/>
    <x v="0"/>
    <s v="ADMINISTRACION DE SUCURSALES"/>
    <s v="CIERRE DE ANIO FISCAL"/>
    <s v="CIERRE_DE_CTAS_NOMINALES"/>
    <n v="0"/>
    <n v="751.78"/>
    <s v="DAVID"/>
    <x v="4"/>
  </r>
  <r>
    <n v="32"/>
    <d v="2018-06-07T00:00:00"/>
    <x v="2"/>
    <x v="2"/>
    <x v="0"/>
    <s v="ADMINISTRACION DE SUCURSALES"/>
    <s v="NC GASTO NO DEDUCIBLES"/>
    <s v="TRANSACCIONES DEL DIA 06/07/2018SPYRAL - GESTION ADMINISTRATIVA"/>
    <n v="42.38"/>
    <n v="0"/>
    <s v="PLAZA LAS AMERICAS"/>
    <x v="4"/>
  </r>
  <r>
    <n v="32"/>
    <d v="2018-09-03T00:00:00"/>
    <x v="4"/>
    <x v="4"/>
    <x v="0"/>
    <s v="ADMINISTRACION DE SUCURSALES"/>
    <s v="NC GASTO NO DEDUCIBLES"/>
    <s v="TRANSACCIONES DEL DIA 09/03/2018SPYRAL - GESTION ADMINISTRATIVA"/>
    <n v="38.32"/>
    <n v="0"/>
    <s v="PLAZA LAS AMERICAS"/>
    <x v="4"/>
  </r>
  <r>
    <n v="32"/>
    <d v="2018-10-16T00:00:00"/>
    <x v="0"/>
    <x v="0"/>
    <x v="0"/>
    <s v="ADMINISTRACION DE SUCURSALES"/>
    <s v="NC GASTO NO DEDUCIBLES"/>
    <s v="TRANSACCIONES DEL DIA 10/16/2018SPYRAL - GESTION ADMINISTRATIVA"/>
    <n v="49.33"/>
    <n v="0"/>
    <s v="PLAZA LAS AMERICAS"/>
    <x v="4"/>
  </r>
  <r>
    <n v="32"/>
    <d v="2018-11-08T00:00:00"/>
    <x v="5"/>
    <x v="5"/>
    <x v="0"/>
    <s v="ADMINISTRACION DE SUCURSALES"/>
    <s v="NC GASTO NO DEDUCIBLES"/>
    <s v="TRANSACCIONES DEL DIA 11/08/2018SPYRAL - GESTION ADMINISTRATIVA"/>
    <n v="38.119999999999997"/>
    <n v="0"/>
    <s v="PLAZA LAS AMERICAS"/>
    <x v="4"/>
  </r>
  <r>
    <n v="32"/>
    <d v="2018-12-31T00:00:00"/>
    <x v="1"/>
    <x v="1"/>
    <x v="0"/>
    <s v="ADMINISTRACION DE SUCURSALES"/>
    <s v="CIERRE DE ANIO FISCAL"/>
    <s v="CIERRE_DE_CTAS_NOMINALES"/>
    <n v="0"/>
    <n v="299.69"/>
    <s v="PLAZA LAS AMERICAS"/>
    <x v="4"/>
  </r>
  <r>
    <n v="33"/>
    <d v="2018-07-04T00:00:00"/>
    <x v="6"/>
    <x v="6"/>
    <x v="0"/>
    <s v="ADMINISTRACION DE SUCURSALES"/>
    <s v="NC GASTO NO DEDUCIBLES"/>
    <s v="TRANSACCIONES DEL DIA 07/04/2018SPYRAL - GESTION ADMINISTRATIVA"/>
    <n v="58.95"/>
    <n v="0"/>
    <s v="CORONADO"/>
    <x v="4"/>
  </r>
  <r>
    <n v="33"/>
    <d v="2018-07-04T00:00:00"/>
    <x v="6"/>
    <x v="6"/>
    <x v="0"/>
    <s v="ADMINISTRACION DE SUCURSALES"/>
    <s v="GASTOS NO DEDUCIBLES"/>
    <s v="TRANSACCIONES DEL DIA 07/04/2018SPYRAL - GESTION ADMINISTRATIVA"/>
    <n v="8.3800000000000008"/>
    <n v="0"/>
    <s v="CORONADO"/>
    <x v="4"/>
  </r>
  <r>
    <n v="33"/>
    <d v="2018-08-14T00:00:00"/>
    <x v="3"/>
    <x v="3"/>
    <x v="0"/>
    <s v="ADMINISTRACION DE SUCURSALES"/>
    <s v="NC GASTO NO DEDUCIBLES"/>
    <s v="TRANSACCIONES DEL DIA 08/14/2018SPYRAL - GESTION ADMINISTRATIVA"/>
    <n v="15.98"/>
    <n v="0"/>
    <s v="CORONADO"/>
    <x v="4"/>
  </r>
  <r>
    <n v="33"/>
    <d v="2018-09-11T00:00:00"/>
    <x v="4"/>
    <x v="4"/>
    <x v="0"/>
    <s v="ADMINISTRACION DE SUCURSALES"/>
    <s v="NC GASTO NO DEDUCIBLES"/>
    <s v="TRANSACCIONES DEL DIA 09/11/2018SPYRAL - GESTION ADMINISTRATIVA"/>
    <n v="20.94"/>
    <n v="0"/>
    <s v="CORONADO"/>
    <x v="4"/>
  </r>
  <r>
    <n v="33"/>
    <d v="2018-09-24T00:00:00"/>
    <x v="4"/>
    <x v="4"/>
    <x v="0"/>
    <s v="ADMINISTRACION DE SUCURSALES"/>
    <s v="NC GASTO NO DEDUCIBLES"/>
    <s v="TRANSACCIONES DEL DIA 09/24/2018SPYRAL - GESTION ADMINISTRATIVA"/>
    <n v="22.54"/>
    <n v="0"/>
    <s v="CORONADO"/>
    <x v="4"/>
  </r>
  <r>
    <n v="33"/>
    <d v="2018-12-20T00:00:00"/>
    <x v="1"/>
    <x v="1"/>
    <x v="0"/>
    <s v="ADMINISTRACION DE SUCURSALES"/>
    <s v="NC GASTO NO DEDUCIBLES"/>
    <s v="TRANSACCIONES DEL DIA 12/20/2018SPYRAL - GESTION ADMINISTRATIVA"/>
    <n v="107"/>
    <n v="0"/>
    <s v="CORONADO"/>
    <x v="4"/>
  </r>
  <r>
    <n v="33"/>
    <d v="2018-12-31T00:00:00"/>
    <x v="1"/>
    <x v="1"/>
    <x v="0"/>
    <s v="ADMINISTRACION DE SUCURSALES"/>
    <s v="CIERRE DE ANIO FISCAL"/>
    <s v="CIERRE_DE_CTAS_NOMINALES"/>
    <n v="0"/>
    <n v="291.83"/>
    <s v="CORONADO"/>
    <x v="4"/>
  </r>
  <r>
    <n v="34"/>
    <d v="2018-09-06T00:00:00"/>
    <x v="4"/>
    <x v="4"/>
    <x v="0"/>
    <s v="ADMINISTRACION DE SUCURSALES"/>
    <s v="NC GASTO NO DEDUCIBLES"/>
    <s v="TRANSACCIONES DEL DIA 09/06/2018SPYRAL - GESTION ADMINISTRATIVA"/>
    <n v="88.75"/>
    <n v="0"/>
    <s v="ALBROOK MALL"/>
    <x v="4"/>
  </r>
  <r>
    <n v="34"/>
    <d v="2018-12-01T00:00:00"/>
    <x v="1"/>
    <x v="1"/>
    <x v="0"/>
    <s v="ADMINISTRACION DE SUCURSALES"/>
    <s v="NC GASTO NO DEDUCIBLES"/>
    <s v="TRANSACCIONES DEL DIA 12/01/2018SPYRAL - GESTION ADMINISTRATIVA"/>
    <n v="105.75"/>
    <n v="0"/>
    <s v="ALBROOK MALL"/>
    <x v="4"/>
  </r>
  <r>
    <n v="34"/>
    <d v="2018-12-27T00:00:00"/>
    <x v="1"/>
    <x v="1"/>
    <x v="0"/>
    <s v="ADMINISTRACION DE SUCURSALES"/>
    <s v="NC GASTO NO DEDUCIBLES"/>
    <s v="TRANSACCIONES DEL DIA 12/27/2018SPYRAL - GESTION ADMINISTRATIVA"/>
    <n v="132.9"/>
    <n v="0"/>
    <s v="ALBROOK MALL"/>
    <x v="4"/>
  </r>
  <r>
    <n v="34"/>
    <d v="2018-12-28T00:00:00"/>
    <x v="1"/>
    <x v="1"/>
    <x v="0"/>
    <s v="ADMINISTRACION DE SUCURSALES"/>
    <s v="NC GASTO NO DEDUCIBLES"/>
    <s v="TRANSACCIONES DEL DIA 12/28/2018SPYRAL - GESTION ADMINISTRATIVA"/>
    <n v="163.36000000000001"/>
    <n v="0"/>
    <s v="ALBROOK MALL"/>
    <x v="4"/>
  </r>
  <r>
    <n v="34"/>
    <d v="2018-12-31T00:00:00"/>
    <x v="1"/>
    <x v="1"/>
    <x v="0"/>
    <s v="ADMINISTRACION DE SUCURSALES"/>
    <s v="CIERRE DE ANIO FISCAL"/>
    <s v="CIERRE_DE_CTAS_NOMINALES"/>
    <n v="0"/>
    <n v="853.49"/>
    <s v="ALBROOK MALL"/>
    <x v="4"/>
  </r>
  <r>
    <n v="35"/>
    <d v="2018-06-07T00:00:00"/>
    <x v="2"/>
    <x v="2"/>
    <x v="0"/>
    <s v="ADMINISTRACION DE SUCURSALES"/>
    <s v="NC GASTO NO DEDUCIBLES"/>
    <s v="TRANSACCIONES DEL DIA 06/07/2018SPYRAL - GESTION ADMINISTRATIVA"/>
    <n v="35"/>
    <n v="0"/>
    <s v="PANAMA PACIFICO"/>
    <x v="4"/>
  </r>
  <r>
    <n v="35"/>
    <d v="2018-07-02T00:00:00"/>
    <x v="6"/>
    <x v="6"/>
    <x v="0"/>
    <s v="ADMINISTRACION DE SUCURSALES"/>
    <s v="NC GASTO NO DEDUCIBLES"/>
    <s v="TRANSACCIONES DEL DIA 07/02/2018SPYRAL - GESTION ADMINISTRATIVA"/>
    <n v="48.05"/>
    <n v="0"/>
    <s v="PANAMA PACIFICO"/>
    <x v="4"/>
  </r>
  <r>
    <n v="35"/>
    <d v="2018-10-05T00:00:00"/>
    <x v="0"/>
    <x v="0"/>
    <x v="0"/>
    <s v="ADMINISTRACION DE SUCURSALES"/>
    <s v="GASTOS NO DEDUCIBLES"/>
    <s v="TRANSACCIONES DEL DIA 10/05/2018SPYRAL - GESTION ADMINISTRATIVA"/>
    <n v="28"/>
    <n v="0"/>
    <s v="PANAMA PACIFICO"/>
    <x v="4"/>
  </r>
  <r>
    <n v="35"/>
    <d v="2018-12-07T00:00:00"/>
    <x v="1"/>
    <x v="1"/>
    <x v="0"/>
    <s v="ADMINISTRACION DE SUCURSALES"/>
    <s v="NC GASTO NO DEDUCIBLES"/>
    <s v="TRANSACCIONES DEL DIA 12/07/2018SPYRAL - GESTION ADMINISTRATIVA"/>
    <n v="36.380000000000003"/>
    <n v="0"/>
    <s v="PANAMA PACIFICO"/>
    <x v="4"/>
  </r>
  <r>
    <n v="35"/>
    <d v="2018-12-28T00:00:00"/>
    <x v="1"/>
    <x v="1"/>
    <x v="0"/>
    <s v="ADMINISTRACION DE SUCURSALES"/>
    <s v="NC GASTO NO DEDUCIBLES"/>
    <s v="TRANSACCIONES DEL DIA 12/28/2018SPYRAL - GESTION ADMINISTRATIVA"/>
    <n v="41"/>
    <n v="0"/>
    <s v="PANAMA PACIFICO"/>
    <x v="4"/>
  </r>
  <r>
    <n v="35"/>
    <d v="2018-12-31T00:00:00"/>
    <x v="1"/>
    <x v="1"/>
    <x v="0"/>
    <s v="ADMINISTRACION DE SUCURSALES"/>
    <s v="CIERRE DE ANIO FISCAL"/>
    <s v="CIERRE_DE_CTAS_NOMINALES"/>
    <n v="0"/>
    <n v="245.94"/>
    <s v="PANAMA PACIFICO"/>
    <x v="4"/>
  </r>
  <r>
    <n v="38"/>
    <d v="2018-07-02T00:00:00"/>
    <x v="6"/>
    <x v="6"/>
    <x v="0"/>
    <s v="ADMINISTRACION DE SUCURSALES"/>
    <s v="NC GASTO NO DEDUCIBLES"/>
    <s v="TRANSACCIONES DEL DIA 07/02/2018SPYRAL - GESTION ADMINISTRATIVA"/>
    <n v="154.26"/>
    <n v="0"/>
    <s v="ALBROOK"/>
    <x v="4"/>
  </r>
  <r>
    <n v="38"/>
    <d v="2018-11-07T00:00:00"/>
    <x v="5"/>
    <x v="5"/>
    <x v="0"/>
    <s v="ADMINISTRACION DE SUCURSALES"/>
    <s v="GASTOS NO DEDUCIBLES"/>
    <s v="TRANSACCIONES DEL DIA 11/07/2018SPYRAL - GESTION ADMINISTRATIVA"/>
    <n v="195.75"/>
    <n v="0"/>
    <s v="ALBROOK"/>
    <x v="4"/>
  </r>
  <r>
    <n v="38"/>
    <d v="2018-11-09T00:00:00"/>
    <x v="5"/>
    <x v="5"/>
    <x v="0"/>
    <s v="ADMINISTRACION DE SUCURSALES"/>
    <s v="NC GASTO NO DEDUCIBLES"/>
    <s v="TRANSACCIONES DEL DIA 11/09/2018SPYRAL - GESTION ADMINISTRATIVA"/>
    <n v="33.770000000000003"/>
    <n v="0"/>
    <s v="ALBROOK"/>
    <x v="4"/>
  </r>
  <r>
    <n v="38"/>
    <d v="2018-12-21T00:00:00"/>
    <x v="1"/>
    <x v="1"/>
    <x v="0"/>
    <s v="ADMINISTRACION DE SUCURSALES"/>
    <s v="GASTOS NO DEDUCIBLES"/>
    <s v="TRANSACCIONES DEL DIA 12/21/2018SPYRAL - GESTION ADMINISTRATIVA"/>
    <n v="168"/>
    <n v="0"/>
    <s v="ALBROOK"/>
    <x v="4"/>
  </r>
  <r>
    <n v="38"/>
    <d v="2018-12-26T00:00:00"/>
    <x v="1"/>
    <x v="1"/>
    <x v="0"/>
    <s v="ADMINISTRACION DE SUCURSALES"/>
    <s v="NC GASTO NO DEDUCIBLES"/>
    <s v="TRANSACCIONES DEL DIA 12/26/2018SPYRAL - GESTION ADMINISTRATIVA"/>
    <n v="85.02"/>
    <n v="0"/>
    <s v="ALBROOK"/>
    <x v="4"/>
  </r>
  <r>
    <n v="38"/>
    <d v="2018-12-28T00:00:00"/>
    <x v="1"/>
    <x v="1"/>
    <x v="0"/>
    <s v="ADMINISTRACION DE SUCURSALES"/>
    <s v="NC GASTO NO DEDUCIBLES"/>
    <s v="TRANSACCIONES DEL DIA 12/28/2018SPYRAL - GESTION ADMINISTRATIVA"/>
    <n v="9.2899999999999991"/>
    <n v="0"/>
    <s v="ALBROOK"/>
    <x v="4"/>
  </r>
  <r>
    <n v="38"/>
    <d v="2018-12-28T00:00:00"/>
    <x v="1"/>
    <x v="1"/>
    <x v="0"/>
    <s v="ADMINISTRACION DE SUCURSALES"/>
    <s v="GASTOS NO DEDUCIBLES"/>
    <s v="TRANSACCIONES DEL DIA 12/28/2018SPYRAL - GESTION ADMINISTRATIVA"/>
    <n v="196"/>
    <n v="0"/>
    <s v="ALBROOK"/>
    <x v="4"/>
  </r>
  <r>
    <n v="38"/>
    <d v="2018-12-31T00:00:00"/>
    <x v="1"/>
    <x v="1"/>
    <x v="0"/>
    <s v="ADMINISTRACION DE SUCURSALES"/>
    <s v="CIERRE DE ANIO FISCAL"/>
    <s v="CIERRE_DE_CTAS_NOMINALES"/>
    <n v="0"/>
    <n v="1003.81"/>
    <s v="ALBROOK"/>
    <x v="4"/>
  </r>
  <r>
    <n v="39"/>
    <d v="2018-06-07T00:00:00"/>
    <x v="2"/>
    <x v="2"/>
    <x v="0"/>
    <s v="ADMINISTRACION DE SUCURSALES"/>
    <s v="NC GASTO NO DEDUCIBLES"/>
    <s v="TRANSACCIONES DEL DIA 06/07/2018SPYRAL - GESTION ADMINISTRATIVA"/>
    <n v="70.739999999999995"/>
    <n v="0"/>
    <s v="SUCURSAL DE VISTA ALEGRE"/>
    <x v="4"/>
  </r>
  <r>
    <n v="39"/>
    <d v="2018-07-12T00:00:00"/>
    <x v="6"/>
    <x v="6"/>
    <x v="0"/>
    <s v="ADMINISTRACION DE SUCURSALES"/>
    <s v="NC GASTO NO DEDUCIBLES"/>
    <s v="TRANSACCIONES DEL DIA 07/12/2018SPYRAL - GESTION ADMINISTRATIVA"/>
    <n v="160"/>
    <n v="0"/>
    <s v="SUCURSAL DE VISTA ALEGRE"/>
    <x v="4"/>
  </r>
  <r>
    <n v="39"/>
    <d v="2018-10-16T00:00:00"/>
    <x v="0"/>
    <x v="0"/>
    <x v="0"/>
    <s v="ADMINISTRACION DE SUCURSALES"/>
    <s v="NC GASTO NO DEDUCIBLES"/>
    <s v="TRANSACCIONES DEL DIA 10/16/2018SPYRAL - GESTION ADMINISTRATIVA"/>
    <n v="135.12"/>
    <n v="0"/>
    <s v="SUCURSAL DE VISTA ALEGRE"/>
    <x v="4"/>
  </r>
  <r>
    <n v="39"/>
    <d v="2018-12-31T00:00:00"/>
    <x v="1"/>
    <x v="1"/>
    <x v="0"/>
    <s v="ADMINISTRACION DE SUCURSALES"/>
    <s v="CIERRE DE ANIO FISCAL"/>
    <s v="CIERRE_DE_CTAS_NOMINALES"/>
    <n v="0"/>
    <n v="489.3"/>
    <s v="SUCURSAL DE VISTA ALEGRE"/>
    <x v="4"/>
  </r>
  <r>
    <n v="40"/>
    <d v="2018-09-03T00:00:00"/>
    <x v="4"/>
    <x v="4"/>
    <x v="0"/>
    <s v="ADMINISTRACION DE SUCURSALES"/>
    <s v="NC GASTO NO DEDUCIBLES"/>
    <s v="TRANSACCIONES DEL DIA 09/03/2018SPYRAL - GESTION ADMINISTRATIVA"/>
    <n v="71"/>
    <n v="0"/>
    <s v="LAS TABLAS"/>
    <x v="4"/>
  </r>
  <r>
    <n v="40"/>
    <d v="2018-11-23T00:00:00"/>
    <x v="5"/>
    <x v="5"/>
    <x v="0"/>
    <s v="ADMINISTRACION DE SUCURSALES"/>
    <s v="NC GASTO NO DEDUCIBLES"/>
    <s v="TRANSACCIONES DEL DIA 11/23/2018SPYRAL - GESTION ADMINISTRATIVA"/>
    <n v="25"/>
    <n v="0"/>
    <s v="LAS TABLAS"/>
    <x v="4"/>
  </r>
  <r>
    <n v="40"/>
    <d v="2018-12-31T00:00:00"/>
    <x v="1"/>
    <x v="1"/>
    <x v="0"/>
    <s v="ADMINISTRACION DE SUCURSALES"/>
    <s v="CIERRE DE ANIO FISCAL"/>
    <s v="CIERRE_DE_CTAS_NOMINALES"/>
    <n v="0"/>
    <n v="136"/>
    <s v="LAS TABLAS"/>
    <x v="4"/>
  </r>
  <r>
    <n v="41"/>
    <d v="2018-09-11T00:00:00"/>
    <x v="4"/>
    <x v="4"/>
    <x v="0"/>
    <s v="ADMINISTRACION DE SUCURSALES"/>
    <s v="NC GASTO NO DEDUCIBLES"/>
    <s v="TRANSACCIONES DEL DIA 09/11/2018SPYRAL - GESTION ADMINISTRATIVA"/>
    <n v="22.75"/>
    <n v="0"/>
    <s v="24 DE DICIEMBRE"/>
    <x v="4"/>
  </r>
  <r>
    <n v="41"/>
    <d v="2018-11-06T00:00:00"/>
    <x v="5"/>
    <x v="5"/>
    <x v="0"/>
    <s v="ADMINISTRACION DE SUCURSALES"/>
    <s v="NC GASTO NO DEDUCIBLES"/>
    <s v="TRANSACCIONES DEL DIA 11/06/2018SPYRAL - GESTION ADMINISTRATIVA"/>
    <n v="21.2"/>
    <n v="0"/>
    <s v="24 DE DICIEMBRE"/>
    <x v="4"/>
  </r>
  <r>
    <n v="41"/>
    <d v="2018-12-04T00:00:00"/>
    <x v="1"/>
    <x v="1"/>
    <x v="0"/>
    <s v="ADMINISTRACION DE SUCURSALES"/>
    <s v="NC GASTO NO DEDUCIBLES"/>
    <s v="TRANSACCIONES DEL DIA 12/04/2018SPYRAL - GESTION ADMINISTRATIVA"/>
    <n v="70.86"/>
    <n v="0"/>
    <s v="24 DE DICIEMBRE"/>
    <x v="4"/>
  </r>
  <r>
    <n v="41"/>
    <d v="2018-12-20T00:00:00"/>
    <x v="1"/>
    <x v="1"/>
    <x v="0"/>
    <s v="ADMINISTRACION DE SUCURSALES"/>
    <s v="NC GASTO NO DEDUCIBLES"/>
    <s v="TRANSACCIONES DEL DIA 12/20/2018SPYRAL - GESTION ADMINISTRATIVA"/>
    <n v="200"/>
    <n v="0"/>
    <s v="24 DE DICIEMBRE"/>
    <x v="4"/>
  </r>
  <r>
    <n v="41"/>
    <d v="2018-12-31T00:00:00"/>
    <x v="1"/>
    <x v="1"/>
    <x v="0"/>
    <s v="ADMINISTRACION DE SUCURSALES"/>
    <s v="CIERRE DE ANIO FISCAL"/>
    <s v="CIERRE_DE_CTAS_NOMINALES"/>
    <n v="0"/>
    <n v="402.31"/>
    <s v="24 DE DICIEMBRE"/>
    <x v="4"/>
  </r>
  <r>
    <n v="42"/>
    <d v="2018-07-26T00:00:00"/>
    <x v="6"/>
    <x v="6"/>
    <x v="0"/>
    <s v="ADMINISTRACION DE SUCURSALES"/>
    <s v="NC GASTO NO DEDUCIBLES"/>
    <s v="TRANSACCIONES DEL DIA 07/26/2018SPYRAL - GESTION ADMINISTRATIVA"/>
    <n v="88"/>
    <n v="0"/>
    <s v="DAVID - TERRONAL"/>
    <x v="4"/>
  </r>
  <r>
    <n v="42"/>
    <d v="2018-09-03T00:00:00"/>
    <x v="4"/>
    <x v="4"/>
    <x v="0"/>
    <s v="ADMINISTRACION DE SUCURSALES"/>
    <s v="NC GASTO NO DEDUCIBLES"/>
    <s v="TRANSACCIONES DEL DIA 09/03/2018SPYRAL - GESTION ADMINISTRATIVA"/>
    <n v="7.89"/>
    <n v="0"/>
    <s v="DAVID - TERRONAL"/>
    <x v="4"/>
  </r>
  <r>
    <n v="42"/>
    <d v="2018-09-11T00:00:00"/>
    <x v="4"/>
    <x v="4"/>
    <x v="0"/>
    <s v="ADMINISTRACION DE SUCURSALES"/>
    <s v="NC GASTO NO DEDUCIBLES"/>
    <s v="TRANSACCIONES DEL DIA 09/11/2018SPYRAL - GESTION ADMINISTRATIVA"/>
    <n v="39"/>
    <n v="0"/>
    <s v="DAVID - TERRONAL"/>
    <x v="4"/>
  </r>
  <r>
    <n v="42"/>
    <d v="2018-11-09T00:00:00"/>
    <x v="5"/>
    <x v="5"/>
    <x v="0"/>
    <s v="ADMINISTRACION DE SUCURSALES"/>
    <s v="NC GASTO NO DEDUCIBLES"/>
    <s v="TRANSACCIONES DEL DIA 11/09/2018SPYRAL - GESTION ADMINISTRATIVA"/>
    <n v="88.65"/>
    <n v="0"/>
    <s v="DAVID - TERRONAL"/>
    <x v="4"/>
  </r>
  <r>
    <n v="42"/>
    <d v="2018-12-20T00:00:00"/>
    <x v="1"/>
    <x v="1"/>
    <x v="0"/>
    <s v="ADMINISTRACION DE SUCURSALES"/>
    <s v="NC GASTO NO DEDUCIBLES"/>
    <s v="TRANSACCIONES DEL DIA 12/20/2018SPYRAL - GESTION ADMINISTRATIVA"/>
    <n v="18.27"/>
    <n v="0"/>
    <s v="DAVID - TERRONAL"/>
    <x v="4"/>
  </r>
  <r>
    <n v="42"/>
    <d v="2018-12-26T00:00:00"/>
    <x v="1"/>
    <x v="1"/>
    <x v="0"/>
    <s v="ADMINISTRACION DE SUCURSALES"/>
    <s v="NC GASTO NO DEDUCIBLES"/>
    <s v="TRANSACCIONES DEL DIA 12/26/2018SPYRAL - GESTION ADMINISTRATIVA"/>
    <n v="13.53"/>
    <n v="0"/>
    <s v="DAVID - TERRONAL"/>
    <x v="4"/>
  </r>
  <r>
    <n v="42"/>
    <d v="2018-12-31T00:00:00"/>
    <x v="1"/>
    <x v="1"/>
    <x v="0"/>
    <s v="ADMINISTRACION DE SUCURSALES"/>
    <s v="CIERRE DE ANIO FISCAL"/>
    <s v="CIERRE_DE_CTAS_NOMINALES"/>
    <n v="0"/>
    <n v="488"/>
    <s v="DAVID - TERRONAL"/>
    <x v="4"/>
  </r>
  <r>
    <n v="43"/>
    <d v="2018-06-07T00:00:00"/>
    <x v="2"/>
    <x v="2"/>
    <x v="0"/>
    <s v="ADMINISTRACION DE SUCURSALES"/>
    <s v="NC GASTO NO DEDUCIBLES"/>
    <s v="TRANSACCIONES DEL DIA 06/07/2018SPYRAL - GESTION ADMINISTRATIVA"/>
    <n v="48.5"/>
    <n v="0"/>
    <s v="COSTA DEL ESTE"/>
    <x v="4"/>
  </r>
  <r>
    <n v="43"/>
    <d v="2018-07-04T00:00:00"/>
    <x v="6"/>
    <x v="6"/>
    <x v="0"/>
    <s v="ADMINISTRACION DE SUCURSALES"/>
    <s v="NC GASTO NO DEDUCIBLES"/>
    <s v="TRANSACCIONES DEL DIA 07/04/2018SPYRAL - GESTION ADMINISTRATIVA"/>
    <n v="28.77"/>
    <n v="0"/>
    <s v="COSTA DEL ESTE"/>
    <x v="4"/>
  </r>
  <r>
    <n v="43"/>
    <d v="2018-08-23T00:00:00"/>
    <x v="3"/>
    <x v="3"/>
    <x v="0"/>
    <s v="ADMINISTRACION DE SUCURSALES"/>
    <s v="NC GASTO NO DEDUCIBLES"/>
    <s v="TRANSACCIONES DEL DIA 08/23/2018SPYRAL - GESTION ADMINISTRATIVA"/>
    <n v="47"/>
    <n v="0"/>
    <s v="COSTA DEL ESTE"/>
    <x v="4"/>
  </r>
  <r>
    <n v="43"/>
    <d v="2018-09-06T00:00:00"/>
    <x v="4"/>
    <x v="4"/>
    <x v="0"/>
    <s v="ADMINISTRACION DE SUCURSALES"/>
    <s v="NC GASTO NO DEDUCIBLES"/>
    <s v="TRANSACCIONES DEL DIA 09/06/2018SPYRAL - GESTION ADMINISTRATIVA"/>
    <n v="48.5"/>
    <n v="0"/>
    <s v="COSTA DEL ESTE"/>
    <x v="4"/>
  </r>
  <r>
    <n v="43"/>
    <d v="2018-10-16T00:00:00"/>
    <x v="0"/>
    <x v="0"/>
    <x v="0"/>
    <s v="ADMINISTRACION DE SUCURSALES"/>
    <s v="NC GASTO NO DEDUCIBLES"/>
    <s v="TRANSACCIONES DEL DIA 10/16/2018SPYRAL - GESTION ADMINISTRATIVA"/>
    <n v="50"/>
    <n v="0"/>
    <s v="COSTA DEL ESTE"/>
    <x v="4"/>
  </r>
  <r>
    <n v="43"/>
    <d v="2018-11-09T00:00:00"/>
    <x v="5"/>
    <x v="5"/>
    <x v="0"/>
    <s v="ADMINISTRACION DE SUCURSALES"/>
    <s v="NC GASTO NO DEDUCIBLES"/>
    <s v="TRANSACCIONES DEL DIA 11/09/2018SPYRAL - GESTION ADMINISTRATIVA"/>
    <n v="52.5"/>
    <n v="0"/>
    <s v="COSTA DEL ESTE"/>
    <x v="4"/>
  </r>
  <r>
    <n v="43"/>
    <d v="2018-12-31T00:00:00"/>
    <x v="1"/>
    <x v="1"/>
    <x v="0"/>
    <s v="ADMINISTRACION DE SUCURSALES"/>
    <s v="CIERRE DE ANIO FISCAL"/>
    <s v="CIERRE_DE_CTAS_NOMINALES"/>
    <n v="0"/>
    <n v="338.72"/>
    <s v="COSTA DEL ESTE"/>
    <x v="4"/>
  </r>
  <r>
    <n v="44"/>
    <d v="2018-08-23T00:00:00"/>
    <x v="3"/>
    <x v="3"/>
    <x v="0"/>
    <s v="ADMINISTRACION DE SUCURSALES"/>
    <s v="NC GASTO NO DEDUCIBLES"/>
    <s v="TRANSACCIONES DEL DIA 08/23/2018SPYRAL - GESTION ADMINISTRATIVA"/>
    <n v="0.01"/>
    <n v="0"/>
    <s v="MULTI PLAZA"/>
    <x v="4"/>
  </r>
  <r>
    <n v="44"/>
    <d v="2018-08-23T00:00:00"/>
    <x v="3"/>
    <x v="3"/>
    <x v="0"/>
    <s v="ADMINISTRACION DE SUCURSALES"/>
    <s v="NC GASTO NO DEDUCIBLES"/>
    <s v="TRANSACCIONES DEL DIA 08/23/2018SPYRAL - GESTION ADMINISTRATIVA"/>
    <n v="0"/>
    <n v="0.01"/>
    <s v="MULTI PLAZA"/>
    <x v="4"/>
  </r>
  <r>
    <n v="44"/>
    <d v="2018-08-29T00:00:00"/>
    <x v="3"/>
    <x v="3"/>
    <x v="0"/>
    <s v="ADMINISTRACION DE SUCURSALES"/>
    <s v="NC GASTO NO DEDUCIBLES"/>
    <s v="TRANSACCIONES DEL DIA 08/29/2018SPYRAL - GESTION ADMINISTRATIVA"/>
    <n v="52.89"/>
    <n v="0"/>
    <s v="MULTI PLAZA"/>
    <x v="4"/>
  </r>
  <r>
    <n v="44"/>
    <d v="2018-09-18T00:00:00"/>
    <x v="4"/>
    <x v="4"/>
    <x v="0"/>
    <s v="ADMINISTRACION DE SUCURSALES"/>
    <s v="NC GASTO NO DEDUCIBLES"/>
    <s v="TRANSACCIONES DEL DIA 09/18/2018SPYRAL - GESTION ADMINISTRATIVA"/>
    <n v="35.08"/>
    <n v="0"/>
    <s v="MULTI PLAZA"/>
    <x v="4"/>
  </r>
  <r>
    <n v="44"/>
    <d v="2018-10-19T00:00:00"/>
    <x v="0"/>
    <x v="0"/>
    <x v="0"/>
    <s v="ADMINISTRACION DE SUCURSALES"/>
    <s v="NC GASTO NO DEDUCIBLES"/>
    <s v="TRANSACCIONES DEL DIA 10/19/2018SPYRAL - GESTION ADMINISTRATIVA"/>
    <n v="58.3"/>
    <n v="0"/>
    <s v="MULTI PLAZA"/>
    <x v="4"/>
  </r>
  <r>
    <n v="44"/>
    <d v="2018-11-19T00:00:00"/>
    <x v="5"/>
    <x v="5"/>
    <x v="0"/>
    <s v="ADMINISTRACION DE SUCURSALES"/>
    <s v="NC GASTO NO DEDUCIBLES"/>
    <s v="TRANSACCIONES DEL DIA 11/19/2018SPYRAL - GESTION ADMINISTRATIVA"/>
    <n v="55.87"/>
    <n v="0"/>
    <s v="MULTI PLAZA"/>
    <x v="4"/>
  </r>
  <r>
    <n v="44"/>
    <d v="2018-12-12T00:00:00"/>
    <x v="1"/>
    <x v="1"/>
    <x v="0"/>
    <s v="ADMINISTRACION DE SUCURSALES"/>
    <s v="NC GASTO NO DEDUCIBLES"/>
    <s v="TRANSACCIONES DEL DIA 12/12/2018SPYRAL - GESTION ADMINISTRATIVA"/>
    <n v="35.04"/>
    <n v="0"/>
    <s v="MULTI PLAZA"/>
    <x v="4"/>
  </r>
  <r>
    <n v="44"/>
    <d v="2018-12-28T00:00:00"/>
    <x v="1"/>
    <x v="1"/>
    <x v="0"/>
    <s v="ADMINISTRACION DE SUCURSALES"/>
    <s v="NC GASTO NO DEDUCIBLES"/>
    <s v="TRANSACCIONES DEL DIA 12/28/2018SPYRAL - GESTION ADMINISTRATIVA"/>
    <n v="207"/>
    <n v="0"/>
    <s v="MULTI PLAZA"/>
    <x v="4"/>
  </r>
  <r>
    <n v="44"/>
    <d v="2018-12-31T00:00:00"/>
    <x v="1"/>
    <x v="1"/>
    <x v="0"/>
    <s v="ADMINISTRACION DE SUCURSALES"/>
    <s v="CIERRE DE ANIO FISCAL"/>
    <s v="CIERRE_DE_CTAS_NOMINALES"/>
    <n v="0"/>
    <n v="685.47"/>
    <s v="MULTI PLAZA"/>
    <x v="4"/>
  </r>
  <r>
    <n v="45"/>
    <d v="2018-06-29T00:00:00"/>
    <x v="2"/>
    <x v="2"/>
    <x v="0"/>
    <s v="ADMINISTRACION DE SUCURSALES"/>
    <s v="GASTOS NO DEDUCIBLES"/>
    <s v="TRANSACCIONES DEL DIA 06/29/2018SPYRAL - GESTION ADMINISTRATIVA"/>
    <n v="22.75"/>
    <n v="0"/>
    <s v="HOSPITAL PUNTA PACIFICA"/>
    <x v="4"/>
  </r>
  <r>
    <n v="45"/>
    <d v="2018-09-18T00:00:00"/>
    <x v="4"/>
    <x v="4"/>
    <x v="0"/>
    <s v="ADMINISTRACION DE SUCURSALES"/>
    <s v="NC GASTO NO DEDUCIBLES"/>
    <s v="TRANSACCIONES DEL DIA 09/18/2018SPYRAL - GESTION ADMINISTRATIVA"/>
    <n v="30"/>
    <n v="0"/>
    <s v="HOSPITAL PUNTA PACIFICA"/>
    <x v="4"/>
  </r>
  <r>
    <n v="45"/>
    <d v="2018-12-12T00:00:00"/>
    <x v="1"/>
    <x v="1"/>
    <x v="0"/>
    <s v="ADMINISTRACION DE SUCURSALES"/>
    <s v="NC GASTO NO DEDUCIBLES"/>
    <s v="TRANSACCIONES DEL DIA 12/12/2018SPYRAL - GESTION ADMINISTRATIVA"/>
    <n v="76.13"/>
    <n v="0"/>
    <s v="HOSPITAL PUNTA PACIFICA"/>
    <x v="4"/>
  </r>
  <r>
    <n v="45"/>
    <d v="2018-12-24T00:00:00"/>
    <x v="1"/>
    <x v="1"/>
    <x v="0"/>
    <s v="ADMINISTRACION DE SUCURSALES"/>
    <s v="NC GASTO NO DEDUCIBLES"/>
    <s v="TRANSACCIONES DEL DIA 12/24/2018SPYRAL - GESTION ADMINISTRATIVA"/>
    <n v="93.92"/>
    <n v="0"/>
    <s v="HOSPITAL PUNTA PACIFICA"/>
    <x v="4"/>
  </r>
  <r>
    <n v="45"/>
    <d v="2018-12-28T00:00:00"/>
    <x v="1"/>
    <x v="1"/>
    <x v="0"/>
    <s v="ADMINISTRACION DE SUCURSALES"/>
    <s v="NC GASTO NO DEDUCIBLES"/>
    <s v="TRANSACCIONES DEL DIA 12/28/2018SPYRAL - GESTION ADMINISTRATIVA"/>
    <n v="49.95"/>
    <n v="0"/>
    <s v="HOSPITAL PUNTA PACIFICA"/>
    <x v="4"/>
  </r>
  <r>
    <n v="45"/>
    <d v="2018-12-31T00:00:00"/>
    <x v="1"/>
    <x v="1"/>
    <x v="0"/>
    <s v="ADMINISTRACION DE SUCURSALES"/>
    <s v="CIERRE DE ANIO FISCAL"/>
    <s v="CIERRE_DE_CTAS_NOMINALES"/>
    <n v="0"/>
    <n v="314.81"/>
    <s v="HOSPITAL PUNTA PACIFICA"/>
    <x v="4"/>
  </r>
  <r>
    <n v="46"/>
    <d v="2018-06-20T00:00:00"/>
    <x v="2"/>
    <x v="2"/>
    <x v="0"/>
    <s v="ADMINISTRACION DE SUCURSALES"/>
    <s v="NC GASTO NO DEDUCIBLES"/>
    <s v="TRANSACCIONES DEL DIA 06/20/2018SPYRAL - GESTION ADMINISTRATIVA"/>
    <n v="86.92"/>
    <n v="0"/>
    <s v="TERMINAL DE ALBROOK"/>
    <x v="4"/>
  </r>
  <r>
    <n v="46"/>
    <d v="2018-07-06T00:00:00"/>
    <x v="6"/>
    <x v="6"/>
    <x v="0"/>
    <s v="ADMINISTRACION DE SUCURSALES"/>
    <s v="GASTOS NO DEDUCIBLES"/>
    <s v="TRANSACCIONES DEL DIA 07/06/2018SPYRAL - GESTION ADMINISTRATIVA"/>
    <n v="16.850000000000001"/>
    <n v="0"/>
    <s v="TERMINAL DE ALBROOK"/>
    <x v="4"/>
  </r>
  <r>
    <n v="46"/>
    <d v="2018-07-17T00:00:00"/>
    <x v="6"/>
    <x v="6"/>
    <x v="0"/>
    <s v="ADMINISTRACION DE SUCURSALES"/>
    <s v="NC GASTO NO DEDUCIBLES"/>
    <s v="TRANSACCIONES DEL DIA 07/17/2018SPYRAL - GESTION ADMINISTRATIVA"/>
    <n v="47.98"/>
    <n v="0"/>
    <s v="TERMINAL DE ALBROOK"/>
    <x v="4"/>
  </r>
  <r>
    <n v="46"/>
    <d v="2018-08-09T00:00:00"/>
    <x v="3"/>
    <x v="3"/>
    <x v="0"/>
    <s v="ADMINISTRACION DE SUCURSALES"/>
    <s v="GASTOS NO DEDUCIBLES"/>
    <s v="TRANSACCIONES DEL DIA 08/09/2018SPYRAL - GESTION ADMINISTRATIVA"/>
    <n v="13.92"/>
    <n v="0"/>
    <s v="TERMINAL DE ALBROOK"/>
    <x v="4"/>
  </r>
  <r>
    <n v="46"/>
    <d v="2018-08-17T00:00:00"/>
    <x v="3"/>
    <x v="3"/>
    <x v="0"/>
    <s v="ADMINISTRACION DE SUCURSALES"/>
    <s v="NC GASTO NO DEDUCIBLES"/>
    <s v="TRANSACCIONES DEL DIA 08/17/2018SPYRAL - GESTION ADMINISTRATIVA"/>
    <n v="29.77"/>
    <n v="0"/>
    <s v="TERMINAL DE ALBROOK"/>
    <x v="4"/>
  </r>
  <r>
    <n v="46"/>
    <d v="2018-09-03T00:00:00"/>
    <x v="4"/>
    <x v="4"/>
    <x v="0"/>
    <s v="ADMINISTRACION DE SUCURSALES"/>
    <s v="NC GASTO NO DEDUCIBLES"/>
    <s v="TRANSACCIONES DEL DIA 09/03/2018SPYRAL - GESTION ADMINISTRATIVA"/>
    <n v="28"/>
    <n v="0"/>
    <s v="TERMINAL DE ALBROOK"/>
    <x v="4"/>
  </r>
  <r>
    <n v="46"/>
    <d v="2018-09-11T00:00:00"/>
    <x v="4"/>
    <x v="4"/>
    <x v="0"/>
    <s v="ADMINISTRACION DE SUCURSALES"/>
    <s v="NC GASTO NO DEDUCIBLES"/>
    <s v="TRANSACCIONES DEL DIA 09/11/2018SPYRAL - GESTION ADMINISTRATIVA"/>
    <n v="54.04"/>
    <n v="0"/>
    <s v="TERMINAL DE ALBROOK"/>
    <x v="4"/>
  </r>
  <r>
    <n v="46"/>
    <d v="2018-10-04T00:00:00"/>
    <x v="0"/>
    <x v="0"/>
    <x v="0"/>
    <s v="ADMINISTRACION DE SUCURSALES"/>
    <s v="NC GASTO NO DEDUCIBLES"/>
    <s v="TRANSACCIONES DEL DIA 10/04/2018SPYRAL - GESTION ADMINISTRATIVA"/>
    <n v="41.19"/>
    <n v="0"/>
    <s v="TERMINAL DE ALBROOK"/>
    <x v="4"/>
  </r>
  <r>
    <n v="46"/>
    <d v="2018-10-23T00:00:00"/>
    <x v="0"/>
    <x v="0"/>
    <x v="0"/>
    <s v="ADMINISTRACION DE SUCURSALES"/>
    <s v="NC GASTO NO DEDUCIBLES"/>
    <s v="TRANSACCIONES DEL DIA 10/23/2018SPYRAL - GESTION ADMINISTRATIVA"/>
    <n v="22.49"/>
    <n v="0"/>
    <s v="TERMINAL DE ALBROOK"/>
    <x v="4"/>
  </r>
  <r>
    <n v="46"/>
    <d v="2018-11-06T00:00:00"/>
    <x v="5"/>
    <x v="5"/>
    <x v="0"/>
    <s v="ADMINISTRACION DE SUCURSALES"/>
    <s v="NC GASTO NO DEDUCIBLES"/>
    <s v="TRANSACCIONES DEL DIA 11/06/2018SPYRAL - GESTION ADMINISTRATIVA"/>
    <n v="52.18"/>
    <n v="0"/>
    <s v="TERMINAL DE ALBROOK"/>
    <x v="4"/>
  </r>
  <r>
    <n v="46"/>
    <d v="2018-11-09T00:00:00"/>
    <x v="5"/>
    <x v="5"/>
    <x v="0"/>
    <s v="ADMINISTRACION DE SUCURSALES"/>
    <s v="NC GASTO NO DEDUCIBLES"/>
    <s v="TRANSACCIONES DEL DIA 11/09/2018SPYRAL - GESTION ADMINISTRATIVA"/>
    <n v="20.36"/>
    <n v="0"/>
    <s v="TERMINAL DE ALBROOK"/>
    <x v="4"/>
  </r>
  <r>
    <n v="46"/>
    <d v="2018-11-23T00:00:00"/>
    <x v="5"/>
    <x v="5"/>
    <x v="0"/>
    <s v="ADMINISTRACION DE SUCURSALES"/>
    <s v="NC GASTO NO DEDUCIBLES"/>
    <s v="TRANSACCIONES DEL DIA 11/23/2018SPYRAL - GESTION ADMINISTRATIVA"/>
    <n v="34.33"/>
    <n v="0"/>
    <s v="TERMINAL DE ALBROOK"/>
    <x v="4"/>
  </r>
  <r>
    <n v="46"/>
    <d v="2018-12-24T00:00:00"/>
    <x v="1"/>
    <x v="1"/>
    <x v="0"/>
    <s v="ADMINISTRACION DE SUCURSALES"/>
    <s v="NC GASTO NO DEDUCIBLES"/>
    <s v="TRANSACCIONES DEL DIA 12/24/2018SPYRAL - GESTION ADMINISTRATIVA"/>
    <n v="149.85"/>
    <n v="0"/>
    <s v="TERMINAL DE ALBROOK"/>
    <x v="4"/>
  </r>
  <r>
    <n v="46"/>
    <d v="2018-12-31T00:00:00"/>
    <x v="1"/>
    <x v="1"/>
    <x v="0"/>
    <s v="ADMINISTRACION DE SUCURSALES"/>
    <s v="CIERRE DE ANIO FISCAL"/>
    <s v="CIERRE_DE_CTAS_NOMINALES"/>
    <n v="0"/>
    <n v="842.72"/>
    <s v="TERMINAL DE ALBROOK"/>
    <x v="4"/>
  </r>
  <r>
    <n v="47"/>
    <d v="2018-07-24T00:00:00"/>
    <x v="6"/>
    <x v="6"/>
    <x v="0"/>
    <s v="ADMINISTRACION DE SUCURSALES"/>
    <s v="NC GASTO NO DEDUCIBLES"/>
    <s v="TRANSACCIONES DEL DIA 07/24/2018SPYRAL - GESTION ADMINISTRATIVA"/>
    <n v="10.92"/>
    <n v="0"/>
    <s v="CONCEPCION"/>
    <x v="4"/>
  </r>
  <r>
    <n v="47"/>
    <d v="2018-09-11T00:00:00"/>
    <x v="4"/>
    <x v="4"/>
    <x v="0"/>
    <s v="ADMINISTRACION DE SUCURSALES"/>
    <s v="NC GASTO NO DEDUCIBLES"/>
    <s v="TRANSACCIONES DEL DIA 09/11/2018SPYRAL - GESTION ADMINISTRATIVA"/>
    <n v="29.74"/>
    <n v="0"/>
    <s v="CONCEPCION"/>
    <x v="4"/>
  </r>
  <r>
    <n v="47"/>
    <d v="2018-10-23T00:00:00"/>
    <x v="0"/>
    <x v="0"/>
    <x v="0"/>
    <s v="ADMINISTRACION DE SUCURSALES"/>
    <s v="NC GASTO NO DEDUCIBLES"/>
    <s v="TRANSACCIONES DEL DIA 10/23/2018SPYRAL - GESTION ADMINISTRATIVA"/>
    <n v="72.569999999999993"/>
    <n v="0"/>
    <s v="CONCEPCION"/>
    <x v="4"/>
  </r>
  <r>
    <n v="47"/>
    <d v="2018-12-31T00:00:00"/>
    <x v="1"/>
    <x v="1"/>
    <x v="0"/>
    <s v="ADMINISTRACION DE SUCURSALES"/>
    <s v="CIERRE DE ANIO FISCAL"/>
    <s v="CIERRE_DE_CTAS_NOMINALES"/>
    <n v="0"/>
    <n v="250.78"/>
    <s v="CONCEPCION"/>
    <x v="4"/>
  </r>
  <r>
    <n v="48"/>
    <d v="2018-06-20T00:00:00"/>
    <x v="2"/>
    <x v="2"/>
    <x v="0"/>
    <s v="ADMINISTRACION DE SUCURSALES"/>
    <s v="NC GASTO NO DEDUCIBLES"/>
    <s v="TRANSACCIONES DEL DIA 06/20/2018SPYRAL - GESTION ADMINISTRATIVA"/>
    <n v="18"/>
    <n v="0"/>
    <s v="BOQUETE"/>
    <x v="4"/>
  </r>
  <r>
    <n v="48"/>
    <d v="2018-11-16T00:00:00"/>
    <x v="5"/>
    <x v="5"/>
    <x v="0"/>
    <s v="ADMINISTRACION DE SUCURSALES"/>
    <s v="NC GASTO NO DEDUCIBLES"/>
    <s v="TRANSACCIONES DEL DIA 11/16/2018SPYRAL - GESTION ADMINISTRATIVA"/>
    <n v="16.64"/>
    <n v="0"/>
    <s v="BOQUETE"/>
    <x v="4"/>
  </r>
  <r>
    <n v="48"/>
    <d v="2018-12-31T00:00:00"/>
    <x v="1"/>
    <x v="1"/>
    <x v="0"/>
    <s v="ADMINISTRACION DE SUCURSALES"/>
    <s v="CIERRE DE ANIO FISCAL"/>
    <s v="CIERRE_DE_CTAS_NOMINALES"/>
    <n v="0"/>
    <n v="34.64"/>
    <s v="BOQUETE"/>
    <x v="4"/>
  </r>
  <r>
    <n v="49"/>
    <d v="2018-06-18T00:00:00"/>
    <x v="2"/>
    <x v="2"/>
    <x v="0"/>
    <s v="ADMINISTRACION DE SUCURSALES"/>
    <s v="GASTOS NO DEDUCIBLES"/>
    <s v="TRANSACCIONES DEL DIA 06/18/2018SPYRAL - GESTION ADMINISTRATIVA"/>
    <n v="61.83"/>
    <n v="0"/>
    <s v="BRISAS DEL GOLF"/>
    <x v="4"/>
  </r>
  <r>
    <n v="49"/>
    <d v="2018-07-02T00:00:00"/>
    <x v="6"/>
    <x v="6"/>
    <x v="0"/>
    <s v="ADMINISTRACION DE SUCURSALES"/>
    <s v="NC GASTO NO DEDUCIBLES"/>
    <s v="TRANSACCIONES DEL DIA 07/02/2018SPYRAL - GESTION ADMINISTRATIVA"/>
    <n v="45.4"/>
    <n v="0"/>
    <s v="BRISAS DEL GOLF"/>
    <x v="4"/>
  </r>
  <r>
    <n v="49"/>
    <d v="2018-07-12T00:00:00"/>
    <x v="6"/>
    <x v="6"/>
    <x v="0"/>
    <s v="ADMINISTRACION DE SUCURSALES"/>
    <s v="GASTOS NO DEDUCIBLES"/>
    <s v="TRANSACCIONES DEL DIA 07/12/2018SPYRAL - GESTION ADMINISTRATIVA"/>
    <n v="30"/>
    <n v="0"/>
    <s v="BRISAS DEL GOLF"/>
    <x v="4"/>
  </r>
  <r>
    <n v="49"/>
    <d v="2018-08-14T00:00:00"/>
    <x v="3"/>
    <x v="3"/>
    <x v="0"/>
    <s v="ADMINISTRACION DE SUCURSALES"/>
    <s v="NC GASTO NO DEDUCIBLES"/>
    <s v="TRANSACCIONES DEL DIA 08/14/2018SPYRAL - GESTION ADMINISTRATIVA"/>
    <n v="65.489999999999995"/>
    <n v="0"/>
    <s v="BRISAS DEL GOLF"/>
    <x v="4"/>
  </r>
  <r>
    <n v="49"/>
    <d v="2018-09-06T00:00:00"/>
    <x v="4"/>
    <x v="4"/>
    <x v="0"/>
    <s v="ADMINISTRACION DE SUCURSALES"/>
    <s v="NC GASTO NO DEDUCIBLES"/>
    <s v="TRANSACCIONES DEL DIA 09/06/2018SPYRAL - GESTION ADMINISTRATIVA"/>
    <n v="34.049999999999997"/>
    <n v="0"/>
    <s v="BRISAS DEL GOLF"/>
    <x v="4"/>
  </r>
  <r>
    <n v="49"/>
    <d v="2018-09-08T00:00:00"/>
    <x v="4"/>
    <x v="4"/>
    <x v="0"/>
    <s v="ADMINISTRACION DE SUCURSALES"/>
    <s v="GASTOS NO DEDUCIBLES"/>
    <s v="TRANSACCIONES DEL DIA 09/08/2018SPYRAL - GESTION ADMINISTRATIVA"/>
    <n v="47"/>
    <n v="0"/>
    <s v="BRISAS DEL GOLF"/>
    <x v="4"/>
  </r>
  <r>
    <n v="49"/>
    <d v="2018-09-18T00:00:00"/>
    <x v="4"/>
    <x v="4"/>
    <x v="0"/>
    <s v="ADMINISTRACION DE SUCURSALES"/>
    <s v="NC GASTO NO DEDUCIBLES"/>
    <s v="TRANSACCIONES DEL DIA 09/18/2018SPYRAL - GESTION ADMINISTRATIVA"/>
    <n v="83.55"/>
    <n v="0"/>
    <s v="BRISAS DEL GOLF"/>
    <x v="4"/>
  </r>
  <r>
    <n v="49"/>
    <d v="2018-10-16T00:00:00"/>
    <x v="0"/>
    <x v="0"/>
    <x v="0"/>
    <s v="ADMINISTRACION DE SUCURSALES"/>
    <s v="NC GASTO NO DEDUCIBLES"/>
    <s v="TRANSACCIONES DEL DIA 10/16/2018SPYRAL - GESTION ADMINISTRATIVA"/>
    <n v="65.3"/>
    <n v="0"/>
    <s v="BRISAS DEL GOLF"/>
    <x v="4"/>
  </r>
  <r>
    <n v="49"/>
    <d v="2018-11-06T00:00:00"/>
    <x v="5"/>
    <x v="5"/>
    <x v="0"/>
    <s v="ADMINISTRACION DE SUCURSALES"/>
    <s v="NC GASTO NO DEDUCIBLES"/>
    <s v="TRANSACCIONES DEL DIA 11/06/2018SPYRAL - GESTION ADMINISTRATIVA"/>
    <n v="67.23"/>
    <n v="0"/>
    <s v="BRISAS DEL GOLF"/>
    <x v="4"/>
  </r>
  <r>
    <n v="49"/>
    <d v="2018-11-27T00:00:00"/>
    <x v="5"/>
    <x v="5"/>
    <x v="0"/>
    <s v="ADMINISTRACION DE SUCURSALES"/>
    <s v="NC GASTO NO DEDUCIBLES"/>
    <s v="TRANSACCIONES DEL DIA 11/27/2018SPYRAL - GESTION ADMINISTRATIVA"/>
    <n v="30.4"/>
    <n v="0"/>
    <s v="BRISAS DEL GOLF"/>
    <x v="4"/>
  </r>
  <r>
    <n v="49"/>
    <d v="2018-12-28T00:00:00"/>
    <x v="1"/>
    <x v="1"/>
    <x v="0"/>
    <s v="ADMINISTRACION DE SUCURSALES"/>
    <s v="NC GASTO NO DEDUCIBLES"/>
    <s v="TRANSACCIONES DEL DIA 12/28/2018SPYRAL - GESTION ADMINISTRATIVA"/>
    <n v="187.14"/>
    <n v="0"/>
    <s v="BRISAS DEL GOLF"/>
    <x v="4"/>
  </r>
  <r>
    <n v="49"/>
    <d v="2018-12-31T00:00:00"/>
    <x v="1"/>
    <x v="1"/>
    <x v="0"/>
    <s v="ADMINISTRACION DE SUCURSALES"/>
    <s v="CIERRE DE ANIO FISCAL"/>
    <s v="CIERRE_DE_CTAS_NOMINALES"/>
    <n v="0"/>
    <n v="1026.32"/>
    <s v="BRISAS DEL GOLF"/>
    <x v="4"/>
  </r>
  <r>
    <n v="51"/>
    <d v="2018-07-12T00:00:00"/>
    <x v="6"/>
    <x v="6"/>
    <x v="0"/>
    <s v="ADMINISTRACION DE SUCURSALES"/>
    <s v="NC GASTO NO DEDUCIBLES"/>
    <s v="TRANSACCIONES DEL DIA 07/12/2018SPYRAL - GESTION ADMINISTRATIVA"/>
    <n v="162.25"/>
    <n v="0"/>
    <s v="PUENTE CENTENARIO"/>
    <x v="4"/>
  </r>
  <r>
    <n v="51"/>
    <d v="2018-10-01T00:00:00"/>
    <x v="0"/>
    <x v="0"/>
    <x v="0"/>
    <s v="ADMINISTRACION DE SUCURSALES"/>
    <s v="GASTOS NO DEDUCIBLES"/>
    <s v="TRANSACCIONES DEL DIA 10/01/2018SPYRAL - GESTION ADMINISTRATIVA"/>
    <n v="39.99"/>
    <n v="0"/>
    <s v="PUENTE CENTENARIO"/>
    <x v="4"/>
  </r>
  <r>
    <n v="51"/>
    <d v="2018-10-04T00:00:00"/>
    <x v="0"/>
    <x v="0"/>
    <x v="0"/>
    <s v="ADMINISTRACION DE SUCURSALES"/>
    <s v="NC GASTO NO DEDUCIBLES"/>
    <s v="TRANSACCIONES DEL DIA 10/04/2018SPYRAL - GESTION ADMINISTRATIVA"/>
    <n v="270"/>
    <n v="0"/>
    <s v="PUENTE CENTENARIO"/>
    <x v="4"/>
  </r>
  <r>
    <n v="51"/>
    <d v="2018-12-27T00:00:00"/>
    <x v="1"/>
    <x v="1"/>
    <x v="0"/>
    <s v="ADMINISTRACION DE SUCURSALES"/>
    <s v="NC GASTO NO DEDUCIBLES"/>
    <s v="TRANSACCIONES DEL DIA 12/27/2018SPYRAL - GESTION ADMINISTRATIVA"/>
    <n v="188.37"/>
    <n v="0"/>
    <s v="PUENTE CENTENARIO"/>
    <x v="4"/>
  </r>
  <r>
    <n v="51"/>
    <d v="2018-12-31T00:00:00"/>
    <x v="1"/>
    <x v="1"/>
    <x v="0"/>
    <s v="ADMINISTRACION DE SUCURSALES"/>
    <s v="CIERRE DE ANIO FISCAL"/>
    <s v="CIERRE_DE_CTAS_NOMINALES"/>
    <n v="0"/>
    <n v="828.22"/>
    <s v="PUENTE CENTENARIO"/>
    <x v="4"/>
  </r>
  <r>
    <n v="53"/>
    <d v="2018-08-23T00:00:00"/>
    <x v="3"/>
    <x v="3"/>
    <x v="0"/>
    <s v="ADMINISTRACION DE SUCURSALES"/>
    <s v="NC GASTO NO DEDUCIBLES"/>
    <s v="TRANSACCIONES DEL DIA 08/23/2018SPYRAL - GESTION ADMINISTRATIVA"/>
    <n v="86.93"/>
    <n v="0"/>
    <s v="AGUADULCE"/>
    <x v="4"/>
  </r>
  <r>
    <n v="53"/>
    <d v="2018-08-27T00:00:00"/>
    <x v="3"/>
    <x v="3"/>
    <x v="0"/>
    <s v="ADMINISTRACION DE SUCURSALES"/>
    <s v="GASTOS NO DEDUCIBLES"/>
    <s v="TRANSACCIONES DEL DIA 08/27/2018SPYRAL - GESTION ADMINISTRATIVA"/>
    <n v="16.82"/>
    <n v="0"/>
    <s v="AGUADULCE"/>
    <x v="4"/>
  </r>
  <r>
    <n v="53"/>
    <d v="2018-10-24T00:00:00"/>
    <x v="0"/>
    <x v="0"/>
    <x v="0"/>
    <s v="ADMINISTRACION DE SUCURSALES"/>
    <s v="NC GASTO NO DEDUCIBLES"/>
    <s v="TRANSACCIONES DEL DIA 10/24/2018SPYRAL - GESTION ADMINISTRATIVA"/>
    <n v="47.09"/>
    <n v="0"/>
    <s v="AGUADULCE"/>
    <x v="4"/>
  </r>
  <r>
    <n v="53"/>
    <d v="2018-11-12T00:00:00"/>
    <x v="5"/>
    <x v="5"/>
    <x v="0"/>
    <s v="ADMINISTRACION DE SUCURSALES"/>
    <s v="GASTOS NO DEDUCIBLES"/>
    <s v="TRANSACCIONES DEL DIA 11/12/2018SPYRAL - GESTION ADMINISTRATIVA"/>
    <n v="26.24"/>
    <n v="0"/>
    <s v="AGUADULCE"/>
    <x v="4"/>
  </r>
  <r>
    <n v="53"/>
    <d v="2018-12-04T00:00:00"/>
    <x v="1"/>
    <x v="1"/>
    <x v="0"/>
    <s v="ADMINISTRACION DE SUCURSALES"/>
    <s v="NC GASTO NO DEDUCIBLES"/>
    <s v="TRANSACCIONES DEL DIA 12/04/2018SPYRAL - GESTION ADMINISTRATIVA"/>
    <n v="20.82"/>
    <n v="0"/>
    <s v="AGUADULCE"/>
    <x v="4"/>
  </r>
  <r>
    <n v="53"/>
    <d v="2018-12-07T00:00:00"/>
    <x v="1"/>
    <x v="1"/>
    <x v="0"/>
    <s v="ADMINISTRACION DE SUCURSALES"/>
    <s v="NC GASTO NO DEDUCIBLES"/>
    <s v="TRANSACCIONES DEL DIA 12/07/2018SPYRAL - GESTION ADMINISTRATIVA"/>
    <n v="19.75"/>
    <n v="0"/>
    <s v="AGUADULCE"/>
    <x v="4"/>
  </r>
  <r>
    <n v="53"/>
    <d v="2018-12-27T00:00:00"/>
    <x v="1"/>
    <x v="1"/>
    <x v="0"/>
    <s v="ADMINISTRACION DE SUCURSALES"/>
    <s v="NC GASTO NO DEDUCIBLES"/>
    <s v="TRANSACCIONES DEL DIA 12/27/2018SPYRAL - GESTION ADMINISTRATIVA"/>
    <n v="107.59"/>
    <n v="0"/>
    <s v="AGUADULCE"/>
    <x v="4"/>
  </r>
  <r>
    <n v="53"/>
    <d v="2018-12-31T00:00:00"/>
    <x v="1"/>
    <x v="1"/>
    <x v="0"/>
    <s v="ADMINISTRACION DE SUCURSALES"/>
    <s v="CIERRE DE ANIO FISCAL"/>
    <s v="CIERRE_DE_CTAS_NOMINALES"/>
    <n v="0"/>
    <n v="564.02"/>
    <s v="AGUADULCE"/>
    <x v="4"/>
  </r>
  <r>
    <n v="54"/>
    <d v="2018-07-21T00:00:00"/>
    <x v="6"/>
    <x v="6"/>
    <x v="0"/>
    <s v="ADMINISTRACION DE SUCURSALES"/>
    <s v="GASTOS NO DEDUCIBLES"/>
    <s v="TRANSACCIONES DEL DIA 07/21/2018SPYRAL - GESTION ADMINISTRATIVA"/>
    <n v="149.5"/>
    <n v="0"/>
    <s v="SABANITAS"/>
    <x v="4"/>
  </r>
  <r>
    <n v="54"/>
    <d v="2018-10-10T00:00:00"/>
    <x v="0"/>
    <x v="0"/>
    <x v="0"/>
    <s v="ADMINISTRACION DE SUCURSALES"/>
    <s v="NC GASTO NO DEDUCIBLES"/>
    <s v="TRANSACCIONES DEL DIA 10/10/2018SPYRAL - GESTION ADMINISTRATIVA"/>
    <n v="66.97"/>
    <n v="0"/>
    <s v="SABANITAS"/>
    <x v="4"/>
  </r>
  <r>
    <n v="54"/>
    <d v="2018-12-21T00:00:00"/>
    <x v="1"/>
    <x v="1"/>
    <x v="0"/>
    <s v="ADMINISTRACION DE SUCURSALES"/>
    <s v="NC GASTO NO DEDUCIBLES"/>
    <s v="TRANSACCIONES DEL DIA 12/21/2018SPYRAL - GESTION ADMINISTRATIVA"/>
    <n v="75"/>
    <n v="0"/>
    <s v="SABANITAS"/>
    <x v="4"/>
  </r>
  <r>
    <n v="54"/>
    <d v="2018-12-31T00:00:00"/>
    <x v="1"/>
    <x v="1"/>
    <x v="0"/>
    <s v="ADMINISTRACION DE SUCURSALES"/>
    <s v="CIERRE DE ANIO FISCAL"/>
    <s v="CIERRE_DE_CTAS_NOMINALES"/>
    <n v="0"/>
    <n v="521.47"/>
    <s v="SABANITAS"/>
    <x v="4"/>
  </r>
  <r>
    <n v="66"/>
    <d v="2018-06-15T00:00:00"/>
    <x v="2"/>
    <x v="2"/>
    <x v="0"/>
    <s v="ADMINISTRACION DE SUCURSALES"/>
    <s v="NC GASTO NO DEDUCIBLES"/>
    <s v="TRANSACCIONES DEL DIA 06/15/2018SPYRAL - GESTION ADMINISTRATIVA"/>
    <n v="31.02"/>
    <n v="0"/>
    <s v="METROMALL"/>
    <x v="4"/>
  </r>
  <r>
    <n v="66"/>
    <d v="2018-11-09T00:00:00"/>
    <x v="5"/>
    <x v="5"/>
    <x v="0"/>
    <s v="ADMINISTRACION DE SUCURSALES"/>
    <s v="NC GASTO NO DEDUCIBLES"/>
    <s v="TRANSACCIONES DEL DIA 11/09/2018SPYRAL - GESTION ADMINISTRATIVA"/>
    <n v="39.200000000000003"/>
    <n v="0"/>
    <s v="METROMALL"/>
    <x v="4"/>
  </r>
  <r>
    <n v="66"/>
    <d v="2018-11-16T00:00:00"/>
    <x v="5"/>
    <x v="5"/>
    <x v="0"/>
    <s v="ADMINISTRACION DE SUCURSALES"/>
    <s v="NC GASTO NO DEDUCIBLES"/>
    <s v="TRANSACCIONES DEL DIA 11/16/2018SPYRAL - GESTION ADMINISTRATIVA"/>
    <n v="39.200000000000003"/>
    <n v="0"/>
    <s v="METROMALL"/>
    <x v="4"/>
  </r>
  <r>
    <n v="66"/>
    <d v="2018-12-31T00:00:00"/>
    <x v="1"/>
    <x v="1"/>
    <x v="0"/>
    <s v="ADMINISTRACION DE SUCURSALES"/>
    <s v="CIERRE DE ANIO FISCAL"/>
    <s v="CIERRE_DE_CTAS_NOMINALES"/>
    <n v="0"/>
    <n v="207.06"/>
    <s v="METROMALL"/>
    <x v="4"/>
  </r>
  <r>
    <n v="69"/>
    <d v="2018-06-01T00:00:00"/>
    <x v="2"/>
    <x v="2"/>
    <x v="0"/>
    <s v="ADMINISTRACION DE SUCURSALES"/>
    <s v="NC GASTO NO DEDUCIBLES"/>
    <s v="TRANSACCIONES DEL DIA 06/01/2018SPYRAL - GESTION ADMINISTRATIVA"/>
    <n v="46.56"/>
    <n v="0"/>
    <s v="VERSALLES"/>
    <x v="4"/>
  </r>
  <r>
    <n v="69"/>
    <d v="2018-06-20T00:00:00"/>
    <x v="2"/>
    <x v="2"/>
    <x v="0"/>
    <s v="ADMINISTRACION DE SUCURSALES"/>
    <s v="NC GASTO NO DEDUCIBLES"/>
    <s v="TRANSACCIONES DEL DIA 06/20/2018SPYRAL - GESTION ADMINISTRATIVA"/>
    <n v="102.84"/>
    <n v="0"/>
    <s v="VERSALLES"/>
    <x v="4"/>
  </r>
  <r>
    <n v="69"/>
    <d v="2018-09-14T00:00:00"/>
    <x v="4"/>
    <x v="4"/>
    <x v="0"/>
    <s v="ADMINISTRACION DE SUCURSALES"/>
    <s v="NC GASTO NO DEDUCIBLES"/>
    <s v="TRANSACCIONES DEL DIA 09/14/2018SPYRAL - GESTION ADMINISTRATIVA"/>
    <n v="48.01"/>
    <n v="0"/>
    <s v="VERSALLES"/>
    <x v="4"/>
  </r>
  <r>
    <n v="69"/>
    <d v="2018-11-09T00:00:00"/>
    <x v="5"/>
    <x v="5"/>
    <x v="0"/>
    <s v="ADMINISTRACION DE SUCURSALES"/>
    <s v="NC GASTO NO DEDUCIBLES"/>
    <s v="TRANSACCIONES DEL DIA 11/09/2018SPYRAL - GESTION ADMINISTRATIVA"/>
    <n v="175.13"/>
    <n v="0"/>
    <s v="VERSALLES"/>
    <x v="4"/>
  </r>
  <r>
    <n v="69"/>
    <d v="2018-12-07T00:00:00"/>
    <x v="1"/>
    <x v="1"/>
    <x v="0"/>
    <s v="ADMINISTRACION DE SUCURSALES"/>
    <s v="NC GASTO NO DEDUCIBLES"/>
    <s v="TRANSACCIONES DEL DIA 12/07/2018SPYRAL - GESTION ADMINISTRATIVA"/>
    <n v="48.56"/>
    <n v="0"/>
    <s v="VERSALLES"/>
    <x v="4"/>
  </r>
  <r>
    <n v="69"/>
    <d v="2018-12-31T00:00:00"/>
    <x v="1"/>
    <x v="1"/>
    <x v="0"/>
    <s v="ADMINISTRACION DE SUCURSALES"/>
    <s v="CIERRE DE ANIO FISCAL"/>
    <s v="CIERRE_DE_CTAS_NOMINALES"/>
    <n v="0"/>
    <n v="421.1"/>
    <s v="VERSALLES"/>
    <x v="4"/>
  </r>
  <r>
    <n v="70"/>
    <d v="2018-06-07T00:00:00"/>
    <x v="2"/>
    <x v="2"/>
    <x v="0"/>
    <s v="ADMINISTRACION DE SUCURSALES"/>
    <s v="NC GASTO NO DEDUCIBLES"/>
    <s v="TRANSACCIONES DEL DIA 06/07/2018SPYRAL - GESTION ADMINISTRATIVA"/>
    <n v="43.05"/>
    <n v="0"/>
    <s v="BUSINESS PARK"/>
    <x v="4"/>
  </r>
  <r>
    <n v="70"/>
    <d v="2018-06-23T00:00:00"/>
    <x v="2"/>
    <x v="2"/>
    <x v="0"/>
    <s v="ADMINISTRACION DE SUCURSALES"/>
    <s v="NC GASTO NO DEDUCIBLES"/>
    <s v="TRANSACCIONES DEL DIA 06/23/2018SPYRAL - GESTION ADMINISTRATIVA"/>
    <n v="24"/>
    <n v="0"/>
    <s v="BUSINESS PARK"/>
    <x v="4"/>
  </r>
  <r>
    <n v="70"/>
    <d v="2018-07-26T00:00:00"/>
    <x v="6"/>
    <x v="6"/>
    <x v="0"/>
    <s v="ADMINISTRACION DE SUCURSALES"/>
    <s v="NC GASTO NO DEDUCIBLES"/>
    <s v="TRANSACCIONES DEL DIA 07/26/2018SPYRAL - GESTION ADMINISTRATIVA"/>
    <n v="13.26"/>
    <n v="0"/>
    <s v="BUSINESS PARK"/>
    <x v="4"/>
  </r>
  <r>
    <n v="70"/>
    <d v="2018-08-03T00:00:00"/>
    <x v="3"/>
    <x v="3"/>
    <x v="0"/>
    <s v="ADMINISTRACION DE SUCURSALES"/>
    <s v="NC GASTO NO DEDUCIBLES"/>
    <s v="TRANSACCIONES DEL DIA 08/03/2018SPYRAL - GESTION ADMINISTRATIVA"/>
    <n v="45"/>
    <n v="0"/>
    <s v="BUSINESS PARK"/>
    <x v="4"/>
  </r>
  <r>
    <n v="70"/>
    <d v="2018-08-14T00:00:00"/>
    <x v="3"/>
    <x v="3"/>
    <x v="0"/>
    <s v="ADMINISTRACION DE SUCURSALES"/>
    <s v="NC GASTO NO DEDUCIBLES"/>
    <s v="TRANSACCIONES DEL DIA 08/14/2018SPYRAL - GESTION ADMINISTRATIVA"/>
    <n v="25"/>
    <n v="0"/>
    <s v="BUSINESS PARK"/>
    <x v="4"/>
  </r>
  <r>
    <n v="70"/>
    <d v="2018-09-20T00:00:00"/>
    <x v="4"/>
    <x v="4"/>
    <x v="0"/>
    <s v="ADMINISTRACION DE SUCURSALES"/>
    <s v="NC GASTO NO DEDUCIBLES"/>
    <s v="TRANSACCIONES DEL DIA 09/20/2018SPYRAL - GESTION ADMINISTRATIVA"/>
    <n v="14.3"/>
    <n v="0"/>
    <s v="BUSINESS PARK"/>
    <x v="4"/>
  </r>
  <r>
    <n v="70"/>
    <d v="2018-10-04T00:00:00"/>
    <x v="0"/>
    <x v="0"/>
    <x v="0"/>
    <s v="ADMINISTRACION DE SUCURSALES"/>
    <s v="NC GASTO NO DEDUCIBLES"/>
    <s v="TRANSACCIONES DEL DIA 10/04/2018SPYRAL - GESTION ADMINISTRATIVA"/>
    <n v="35"/>
    <n v="0"/>
    <s v="BUSINESS PARK"/>
    <x v="4"/>
  </r>
  <r>
    <n v="70"/>
    <d v="2018-10-23T00:00:00"/>
    <x v="0"/>
    <x v="0"/>
    <x v="0"/>
    <s v="ADMINISTRACION DE SUCURSALES"/>
    <s v="NC GASTO NO DEDUCIBLES"/>
    <s v="TRANSACCIONES DEL DIA 10/23/2018SPYRAL - GESTION ADMINISTRATIVA"/>
    <n v="28"/>
    <n v="0"/>
    <s v="BUSINESS PARK"/>
    <x v="4"/>
  </r>
  <r>
    <n v="70"/>
    <d v="2018-12-28T00:00:00"/>
    <x v="1"/>
    <x v="1"/>
    <x v="0"/>
    <s v="ADMINISTRACION DE SUCURSALES"/>
    <s v="NC GASTO NO DEDUCIBLES"/>
    <s v="TRANSACCIONES DEL DIA 12/28/2018SPYRAL - GESTION ADMINISTRATIVA"/>
    <n v="75"/>
    <n v="0"/>
    <s v="BUSINESS PARK"/>
    <x v="4"/>
  </r>
  <r>
    <n v="70"/>
    <d v="2018-12-31T00:00:00"/>
    <x v="1"/>
    <x v="1"/>
    <x v="0"/>
    <s v="ADMINISTRACION DE SUCURSALES"/>
    <s v="CIERRE DE ANIO FISCAL"/>
    <s v="CIERRE_DE_CTAS_NOMINALES"/>
    <n v="0"/>
    <n v="388.61"/>
    <s v="BUSINESS PARK"/>
    <x v="4"/>
  </r>
  <r>
    <n v="71"/>
    <d v="2018-06-01T00:00:00"/>
    <x v="2"/>
    <x v="2"/>
    <x v="0"/>
    <s v="ADMINISTRACION DE SUCURSALES"/>
    <s v="NC GASTO NO DEDUCIBLES"/>
    <s v="TRANSACCIONES DEL DIA 06/01/2018SPYRAL - GESTION ADMINISTRATIVA"/>
    <n v="35.880000000000003"/>
    <n v="0"/>
    <s v="SAN FRANCISCO"/>
    <x v="4"/>
  </r>
  <r>
    <n v="71"/>
    <d v="2018-06-29T00:00:00"/>
    <x v="2"/>
    <x v="2"/>
    <x v="0"/>
    <s v="ADMINISTRACION DE SUCURSALES"/>
    <s v="GASTOS NO DEDUCIBLES"/>
    <s v="TRANSACCIONES DEL DIA 06/29/2018SPYRAL - GESTION ADMINISTRATIVA"/>
    <n v="22"/>
    <n v="0"/>
    <s v="SAN FRANCISCO"/>
    <x v="4"/>
  </r>
  <r>
    <n v="71"/>
    <d v="2018-07-12T00:00:00"/>
    <x v="6"/>
    <x v="6"/>
    <x v="0"/>
    <s v="ADMINISTRACION DE SUCURSALES"/>
    <s v="GASTOS NO DEDUCIBLES"/>
    <s v="TRANSACCIONES DEL DIA 07/12/2018SPYRAL - GESTION ADMINISTRATIVA"/>
    <n v="24.57"/>
    <n v="0"/>
    <s v="SAN FRANCISCO"/>
    <x v="4"/>
  </r>
  <r>
    <n v="71"/>
    <d v="2018-08-24T00:00:00"/>
    <x v="3"/>
    <x v="3"/>
    <x v="0"/>
    <s v="ADMINISTRACION DE SUCURSALES"/>
    <s v="GASTOS NO DEDUCIBLES"/>
    <s v="TRANSACCIONES DEL DIA 08/24/2018SPYRAL - GESTION ADMINISTRATIVA"/>
    <n v="29.33"/>
    <n v="0"/>
    <s v="SAN FRANCISCO"/>
    <x v="4"/>
  </r>
  <r>
    <n v="71"/>
    <d v="2018-10-01T00:00:00"/>
    <x v="0"/>
    <x v="0"/>
    <x v="0"/>
    <s v="ADMINISTRACION DE SUCURSALES"/>
    <s v="GASTOS NO DEDUCIBLES"/>
    <s v="TRANSACCIONES DEL DIA 10/01/2018SPYRAL - GESTION ADMINISTRATIVA"/>
    <n v="23.03"/>
    <n v="0"/>
    <s v="SAN FRANCISCO"/>
    <x v="4"/>
  </r>
  <r>
    <n v="71"/>
    <d v="2018-11-02T00:00:00"/>
    <x v="5"/>
    <x v="5"/>
    <x v="0"/>
    <s v="ADMINISTRACION DE SUCURSALES"/>
    <s v="GASTOS NO DEDUCIBLES"/>
    <s v="TRANSACCIONES DEL DIA 11/02/2018SPYRAL - GESTION ADMINISTRATIVA"/>
    <n v="26.49"/>
    <n v="0"/>
    <s v="SAN FRANCISCO"/>
    <x v="4"/>
  </r>
  <r>
    <n v="71"/>
    <d v="2018-12-31T00:00:00"/>
    <x v="1"/>
    <x v="1"/>
    <x v="0"/>
    <s v="ADMINISTRACION DE SUCURSALES"/>
    <s v="CIERRE DE ANIO FISCAL"/>
    <s v="CIERRE_DE_CTAS_NOMINALES"/>
    <n v="0"/>
    <n v="315.25"/>
    <s v="SAN FRANCISCO"/>
    <x v="4"/>
  </r>
  <r>
    <n v="72"/>
    <d v="2018-07-02T00:00:00"/>
    <x v="6"/>
    <x v="6"/>
    <x v="0"/>
    <s v="ADMINISTRACION DE SUCURSALES"/>
    <s v="NC GASTO NO DEDUCIBLES"/>
    <s v="TRANSACCIONES DEL DIA 07/02/2018SPYRAL - GESTION ADMINISTRATIVA"/>
    <n v="35.39"/>
    <n v="0"/>
    <s v="PLAZA BANCO GENERAL"/>
    <x v="4"/>
  </r>
  <r>
    <n v="72"/>
    <d v="2018-08-09T00:00:00"/>
    <x v="3"/>
    <x v="3"/>
    <x v="0"/>
    <s v="ADMINISTRACION DE SUCURSALES"/>
    <s v="NC GASTO NO DEDUCIBLES"/>
    <s v="TRANSACCIONES DEL DIA 08/09/2018SPYRAL - GESTION ADMINISTRATIVA"/>
    <n v="40.299999999999997"/>
    <n v="0"/>
    <s v="PLAZA BANCO GENERAL"/>
    <x v="4"/>
  </r>
  <r>
    <n v="72"/>
    <d v="2018-08-23T00:00:00"/>
    <x v="3"/>
    <x v="3"/>
    <x v="0"/>
    <s v="ADMINISTRACION DE SUCURSALES"/>
    <s v="NC GASTO NO DEDUCIBLES"/>
    <s v="TRANSACCIONES DEL DIA 08/23/2018SPYRAL - GESTION ADMINISTRATIVA"/>
    <n v="35.659999999999997"/>
    <n v="0"/>
    <s v="PLAZA BANCO GENERAL"/>
    <x v="4"/>
  </r>
  <r>
    <n v="72"/>
    <d v="2018-10-02T00:00:00"/>
    <x v="0"/>
    <x v="0"/>
    <x v="0"/>
    <s v="ADMINISTRACION DE SUCURSALES"/>
    <s v="NC GASTO NO DEDUCIBLES"/>
    <s v="TRANSACCIONES DEL DIA 10/02/2018SPYRAL - GESTION ADMINISTRATIVA"/>
    <n v="37.799999999999997"/>
    <n v="0"/>
    <s v="PLAZA BANCO GENERAL"/>
    <x v="4"/>
  </r>
  <r>
    <n v="72"/>
    <d v="2018-10-16T00:00:00"/>
    <x v="0"/>
    <x v="0"/>
    <x v="0"/>
    <s v="ADMINISTRACION DE SUCURSALES"/>
    <s v="NC GASTO NO DEDUCIBLES"/>
    <s v="TRANSACCIONES DEL DIA 10/16/2018SPYRAL - GESTION ADMINISTRATIVA"/>
    <n v="54.2"/>
    <n v="0"/>
    <s v="PLAZA BANCO GENERAL"/>
    <x v="4"/>
  </r>
  <r>
    <n v="72"/>
    <d v="2018-11-08T00:00:00"/>
    <x v="5"/>
    <x v="5"/>
    <x v="0"/>
    <s v="ADMINISTRACION DE SUCURSALES"/>
    <s v="NC GASTO NO DEDUCIBLES"/>
    <s v="TRANSACCIONES DEL DIA 11/08/2018SPYRAL - GESTION ADMINISTRATIVA"/>
    <n v="37.700000000000003"/>
    <n v="0"/>
    <s v="PLAZA BANCO GENERAL"/>
    <x v="4"/>
  </r>
  <r>
    <n v="72"/>
    <d v="2018-12-12T00:00:00"/>
    <x v="1"/>
    <x v="1"/>
    <x v="0"/>
    <s v="ADMINISTRACION DE SUCURSALES"/>
    <s v="NC GASTO NO DEDUCIBLES"/>
    <s v="TRANSACCIONES DEL DIA 12/12/2018SPYRAL - GESTION ADMINISTRATIVA"/>
    <n v="31.38"/>
    <n v="0"/>
    <s v="PLAZA BANCO GENERAL"/>
    <x v="4"/>
  </r>
  <r>
    <n v="72"/>
    <d v="2018-12-20T00:00:00"/>
    <x v="1"/>
    <x v="1"/>
    <x v="0"/>
    <s v="ADMINISTRACION DE SUCURSALES"/>
    <s v="NC GASTO NO DEDUCIBLES"/>
    <s v="TRANSACCIONES DEL DIA 12/20/2018SPYRAL - GESTION ADMINISTRATIVA"/>
    <n v="187.25"/>
    <n v="0"/>
    <s v="PLAZA BANCO GENERAL"/>
    <x v="4"/>
  </r>
  <r>
    <n v="72"/>
    <d v="2018-12-28T00:00:00"/>
    <x v="1"/>
    <x v="1"/>
    <x v="0"/>
    <s v="ADMINISTRACION DE SUCURSALES"/>
    <s v="NC GASTO NO DEDUCIBLES"/>
    <s v="TRANSACCIONES DEL DIA 12/28/2018SPYRAL - GESTION ADMINISTRATIVA"/>
    <n v="120.4"/>
    <n v="0"/>
    <s v="PLAZA BANCO GENERAL"/>
    <x v="4"/>
  </r>
  <r>
    <n v="72"/>
    <d v="2018-12-31T00:00:00"/>
    <x v="1"/>
    <x v="1"/>
    <x v="0"/>
    <s v="ADMINISTRACION DE SUCURSALES"/>
    <s v="CIERRE DE ANIO FISCAL"/>
    <s v="CIERRE_DE_CTAS_NOMINALES"/>
    <n v="0"/>
    <n v="803.33"/>
    <s v="PLAZA BANCO GENERAL"/>
    <x v="4"/>
  </r>
  <r>
    <n v="73"/>
    <d v="2018-06-11T00:00:00"/>
    <x v="2"/>
    <x v="2"/>
    <x v="0"/>
    <s v="ADMINISTRACION DE SUCURSALES"/>
    <s v="NC GASTO NO DEDUCIBLES"/>
    <s v="TRANSACCIONES DEL DIA 06/11/2018SPYRAL - GESTION ADMINISTRATIVA"/>
    <n v="83.51"/>
    <n v="0"/>
    <s v="LA CHORRERA - PARQUE 10 DE NOV."/>
    <x v="4"/>
  </r>
  <r>
    <n v="73"/>
    <d v="2018-09-03T00:00:00"/>
    <x v="4"/>
    <x v="4"/>
    <x v="0"/>
    <s v="ADMINISTRACION DE SUCURSALES"/>
    <s v="NC GASTO NO DEDUCIBLES"/>
    <s v="TRANSACCIONES DEL DIA 09/03/2018SPYRAL - GESTION ADMINISTRATIVA"/>
    <n v="124.78"/>
    <n v="0"/>
    <s v="LA CHORRERA - PARQUE 10 DE NOV."/>
    <x v="4"/>
  </r>
  <r>
    <n v="73"/>
    <d v="2018-10-16T00:00:00"/>
    <x v="0"/>
    <x v="0"/>
    <x v="0"/>
    <s v="ADMINISTRACION DE SUCURSALES"/>
    <s v="NC GASTO NO DEDUCIBLES"/>
    <s v="TRANSACCIONES DEL DIA 10/16/2018SPYRAL - GESTION ADMINISTRATIVA"/>
    <n v="129.9"/>
    <n v="0"/>
    <s v="LA CHORRERA - PARQUE 10 DE NOV."/>
    <x v="4"/>
  </r>
  <r>
    <n v="73"/>
    <d v="2018-11-27T00:00:00"/>
    <x v="5"/>
    <x v="5"/>
    <x v="0"/>
    <s v="ADMINISTRACION DE SUCURSALES"/>
    <s v="NC GASTO NO DEDUCIBLES"/>
    <s v="TRANSACCIONES DEL DIA 11/27/2018SPYRAL - GESTION ADMINISTRATIVA"/>
    <n v="69.209999999999994"/>
    <n v="0"/>
    <s v="LA CHORRERA - PARQUE 10 DE NOV."/>
    <x v="4"/>
  </r>
  <r>
    <n v="73"/>
    <d v="2018-12-10T00:00:00"/>
    <x v="1"/>
    <x v="1"/>
    <x v="0"/>
    <s v="ADMINISTRACION DE SUCURSALES"/>
    <s v="NC GASTO NO DEDUCIBLES"/>
    <s v="TRANSACCIONES DEL DIA 12/10/2018SPYRAL - GESTION ADMINISTRATIVA"/>
    <n v="47.06"/>
    <n v="0"/>
    <s v="LA CHORRERA - PARQUE 10 DE NOV."/>
    <x v="4"/>
  </r>
  <r>
    <n v="73"/>
    <d v="2018-12-31T00:00:00"/>
    <x v="1"/>
    <x v="1"/>
    <x v="0"/>
    <s v="ADMINISTRACION DE SUCURSALES"/>
    <s v="CIERRE DE ANIO FISCAL"/>
    <s v="CIERRE_DE_CTAS_NOMINALES"/>
    <n v="0"/>
    <n v="655.20000000000005"/>
    <s v="LA CHORRERA - PARQUE 10 DE NOV."/>
    <x v="4"/>
  </r>
  <r>
    <n v="74"/>
    <d v="2018-07-02T00:00:00"/>
    <x v="6"/>
    <x v="6"/>
    <x v="0"/>
    <s v="ADMINISTRACION DE SUCURSALES"/>
    <s v="NC GASTO NO DEDUCIBLES"/>
    <s v="TRANSACCIONES DEL DIA 07/02/2018SPYRAL - GESTION ADMINISTRATIVA"/>
    <n v="32.9"/>
    <n v="0"/>
    <s v="COSTA DEL ESTE - CENTENARIO"/>
    <x v="4"/>
  </r>
  <r>
    <n v="74"/>
    <d v="2018-07-17T00:00:00"/>
    <x v="6"/>
    <x v="6"/>
    <x v="0"/>
    <s v="ADMINISTRACION DE SUCURSALES"/>
    <s v="NC GASTO NO DEDUCIBLES"/>
    <s v="TRANSACCIONES DEL DIA 07/17/2018SPYRAL - GESTION ADMINISTRATIVA"/>
    <n v="28.75"/>
    <n v="0"/>
    <s v="COSTA DEL ESTE - CENTENARIO"/>
    <x v="4"/>
  </r>
  <r>
    <n v="74"/>
    <d v="2018-09-20T00:00:00"/>
    <x v="4"/>
    <x v="4"/>
    <x v="0"/>
    <s v="ADMINISTRACION DE SUCURSALES"/>
    <s v="NC GASTO NO DEDUCIBLES"/>
    <s v="TRANSACCIONES DEL DIA 09/20/2018SPYRAL - GESTION ADMINISTRATIVA"/>
    <n v="37.75"/>
    <n v="0"/>
    <s v="COSTA DEL ESTE - CENTENARIO"/>
    <x v="4"/>
  </r>
  <r>
    <n v="74"/>
    <d v="2018-10-23T00:00:00"/>
    <x v="0"/>
    <x v="0"/>
    <x v="0"/>
    <s v="ADMINISTRACION DE SUCURSALES"/>
    <s v="NC GASTO NO DEDUCIBLES"/>
    <s v="TRANSACCIONES DEL DIA 10/23/2018SPYRAL - GESTION ADMINISTRATIVA"/>
    <n v="35.92"/>
    <n v="0"/>
    <s v="COSTA DEL ESTE - CENTENARIO"/>
    <x v="4"/>
  </r>
  <r>
    <n v="74"/>
    <d v="2018-11-06T00:00:00"/>
    <x v="5"/>
    <x v="5"/>
    <x v="0"/>
    <s v="ADMINISTRACION DE SUCURSALES"/>
    <s v="NC GASTO NO DEDUCIBLES"/>
    <s v="TRANSACCIONES DEL DIA 11/06/2018SPYRAL - GESTION ADMINISTRATIVA"/>
    <n v="42.54"/>
    <n v="0"/>
    <s v="COSTA DEL ESTE - CENTENARIO"/>
    <x v="4"/>
  </r>
  <r>
    <n v="74"/>
    <d v="2018-12-28T00:00:00"/>
    <x v="1"/>
    <x v="1"/>
    <x v="0"/>
    <s v="ADMINISTRACION DE SUCURSALES"/>
    <s v="NC GASTO NO DEDUCIBLES"/>
    <s v="TRANSACCIONES DEL DIA 12/28/2018SPYRAL - GESTION ADMINISTRATIVA"/>
    <n v="123"/>
    <n v="0"/>
    <s v="COSTA DEL ESTE - CENTENARIO"/>
    <x v="4"/>
  </r>
  <r>
    <n v="74"/>
    <d v="2018-12-31T00:00:00"/>
    <x v="1"/>
    <x v="1"/>
    <x v="0"/>
    <s v="ADMINISTRACION DE SUCURSALES"/>
    <s v="CIERRE DE ANIO FISCAL"/>
    <s v="CIERRE_DE_CTAS_NOMINALES"/>
    <n v="0"/>
    <n v="405.23"/>
    <s v="COSTA DEL ESTE - CENTENARIO"/>
    <x v="4"/>
  </r>
  <r>
    <n v="76"/>
    <d v="2018-07-02T00:00:00"/>
    <x v="6"/>
    <x v="6"/>
    <x v="0"/>
    <s v="ADMINISTRACION DE SUCURSALES"/>
    <s v="NC GASTO NO DEDUCIBLES"/>
    <s v="TRANSACCIONES DEL DIA 07/02/2018SPYRAL - GESTION ADMINISTRATIVA"/>
    <n v="23.96"/>
    <n v="0"/>
    <s v="CLAYTON"/>
    <x v="4"/>
  </r>
  <r>
    <n v="76"/>
    <d v="2018-07-12T00:00:00"/>
    <x v="6"/>
    <x v="6"/>
    <x v="0"/>
    <s v="ADMINISTRACION DE SUCURSALES"/>
    <s v="NC GASTO NO DEDUCIBLES"/>
    <s v="TRANSACCIONES DEL DIA 07/12/2018SPYRAL - GESTION ADMINISTRATIVA"/>
    <n v="14.3"/>
    <n v="0"/>
    <s v="CLAYTON"/>
    <x v="4"/>
  </r>
  <r>
    <n v="76"/>
    <d v="2018-07-26T00:00:00"/>
    <x v="6"/>
    <x v="6"/>
    <x v="0"/>
    <s v="ADMINISTRACION DE SUCURSALES"/>
    <s v="NC GASTO NO DEDUCIBLES"/>
    <s v="TRANSACCIONES DEL DIA 07/26/2018SPYRAL - GESTION ADMINISTRATIVA"/>
    <n v="20.54"/>
    <n v="0"/>
    <s v="CLAYTON"/>
    <x v="4"/>
  </r>
  <r>
    <n v="76"/>
    <d v="2018-09-11T00:00:00"/>
    <x v="4"/>
    <x v="4"/>
    <x v="0"/>
    <s v="ADMINISTRACION DE SUCURSALES"/>
    <s v="NC GASTO NO DEDUCIBLES"/>
    <s v="TRANSACCIONES DEL DIA 09/11/2018SPYRAL - GESTION ADMINISTRATIVA"/>
    <n v="144.53"/>
    <n v="0"/>
    <s v="CLAYTON"/>
    <x v="4"/>
  </r>
  <r>
    <n v="76"/>
    <d v="2018-09-18T00:00:00"/>
    <x v="4"/>
    <x v="4"/>
    <x v="0"/>
    <s v="ADMINISTRACION DE SUCURSALES"/>
    <s v="NC GASTO NO DEDUCIBLES"/>
    <s v="TRANSACCIONES DEL DIA 09/18/2018SPYRAL - GESTION ADMINISTRATIVA"/>
    <n v="18.95"/>
    <n v="0"/>
    <s v="CLAYTON"/>
    <x v="4"/>
  </r>
  <r>
    <n v="76"/>
    <d v="2018-11-09T00:00:00"/>
    <x v="5"/>
    <x v="5"/>
    <x v="0"/>
    <s v="ADMINISTRACION DE SUCURSALES"/>
    <s v="NC GASTO NO DEDUCIBLES"/>
    <s v="TRANSACCIONES DEL DIA 11/09/2018SPYRAL - GESTION ADMINISTRATIVA"/>
    <n v="18.34"/>
    <n v="0"/>
    <s v="CLAYTON"/>
    <x v="4"/>
  </r>
  <r>
    <n v="76"/>
    <d v="2018-12-28T00:00:00"/>
    <x v="1"/>
    <x v="1"/>
    <x v="0"/>
    <s v="ADMINISTRACION DE SUCURSALES"/>
    <s v="NC GASTO NO DEDUCIBLES"/>
    <s v="TRANSACCIONES DEL DIA 12/28/2018SPYRAL - GESTION ADMINISTRATIVA"/>
    <n v="121.45"/>
    <n v="0"/>
    <s v="CLAYTON"/>
    <x v="4"/>
  </r>
  <r>
    <n v="76"/>
    <d v="2018-12-31T00:00:00"/>
    <x v="1"/>
    <x v="1"/>
    <x v="0"/>
    <s v="ADMINISTRACION DE SUCURSALES"/>
    <s v="CIERRE DE ANIO FISCAL"/>
    <s v="CIERRE_DE_CTAS_NOMINALES"/>
    <n v="0"/>
    <n v="407.49"/>
    <s v="CLAYTON"/>
    <x v="4"/>
  </r>
  <r>
    <n v="77"/>
    <d v="2018-07-24T00:00:00"/>
    <x v="6"/>
    <x v="6"/>
    <x v="0"/>
    <s v="ADMINISTRACION DE SUCURSALES"/>
    <s v="NC GASTO NO DEDUCIBLES"/>
    <s v="TRANSACCIONES DEL DIA 07/24/2018SPYRAL - GESTION ADMINISTRATIVA"/>
    <n v="134.71"/>
    <n v="0"/>
    <s v="MARBELLA"/>
    <x v="4"/>
  </r>
  <r>
    <n v="77"/>
    <d v="2018-09-06T00:00:00"/>
    <x v="4"/>
    <x v="4"/>
    <x v="0"/>
    <s v="ADMINISTRACION DE SUCURSALES"/>
    <s v="NC GASTO NO DEDUCIBLES"/>
    <s v="TRANSACCIONES DEL DIA 09/06/2018SPYRAL - GESTION ADMINISTRATIVA"/>
    <n v="75.099999999999994"/>
    <n v="0"/>
    <s v="MARBELLA"/>
    <x v="4"/>
  </r>
  <r>
    <n v="77"/>
    <d v="2018-11-08T00:00:00"/>
    <x v="5"/>
    <x v="5"/>
    <x v="0"/>
    <s v="ADMINISTRACION DE SUCURSALES"/>
    <s v="NC GASTO NO DEDUCIBLES"/>
    <s v="TRANSACCIONES DEL DIA 11/08/2018SPYRAL - GESTION ADMINISTRATIVA"/>
    <n v="83.29"/>
    <n v="0"/>
    <s v="MARBELLA"/>
    <x v="4"/>
  </r>
  <r>
    <n v="77"/>
    <d v="2018-12-12T00:00:00"/>
    <x v="1"/>
    <x v="1"/>
    <x v="0"/>
    <s v="ADMINISTRACION DE SUCURSALES"/>
    <s v="NC GASTO NO DEDUCIBLES"/>
    <s v="TRANSACCIONES DEL DIA 12/12/2018SPYRAL - GESTION ADMINISTRATIVA"/>
    <n v="19.95"/>
    <n v="0"/>
    <s v="MARBELLA"/>
    <x v="4"/>
  </r>
  <r>
    <n v="77"/>
    <d v="2018-12-31T00:00:00"/>
    <x v="1"/>
    <x v="1"/>
    <x v="0"/>
    <s v="ADMINISTRACION DE SUCURSALES"/>
    <s v="CIERRE DE ANIO FISCAL"/>
    <s v="CIERRE_DE_CTAS_NOMINALES"/>
    <n v="0"/>
    <n v="389.26"/>
    <s v="MARBELLA"/>
    <x v="4"/>
  </r>
  <r>
    <n v="78"/>
    <d v="2018-06-01T00:00:00"/>
    <x v="2"/>
    <x v="2"/>
    <x v="0"/>
    <s v="ADMINISTRACION DE SUCURSALES"/>
    <s v="NC GASTO NO DEDUCIBLES"/>
    <s v="TRANSACCIONES DEL DIA 06/01/2018SPYRAL - GESTION ADMINISTRATIVA"/>
    <n v="78.66"/>
    <n v="0"/>
    <s v="PLAZA CAROLINA"/>
    <x v="4"/>
  </r>
  <r>
    <n v="78"/>
    <d v="2018-08-03T00:00:00"/>
    <x v="3"/>
    <x v="3"/>
    <x v="0"/>
    <s v="ADMINISTRACION DE SUCURSALES"/>
    <s v="NC GASTO NO DEDUCIBLES"/>
    <s v="TRANSACCIONES DEL DIA 08/03/2018SPYRAL - GESTION ADMINISTRATIVA"/>
    <n v="81.2"/>
    <n v="0"/>
    <s v="PLAZA CAROLINA"/>
    <x v="4"/>
  </r>
  <r>
    <n v="78"/>
    <d v="2018-09-03T00:00:00"/>
    <x v="4"/>
    <x v="4"/>
    <x v="0"/>
    <s v="ADMINISTRACION DE SUCURSALES"/>
    <s v="NC GASTO NO DEDUCIBLES"/>
    <s v="TRANSACCIONES DEL DIA 09/03/2018SPYRAL - GESTION ADMINISTRATIVA"/>
    <n v="29.17"/>
    <n v="0"/>
    <s v="PLAZA CAROLINA"/>
    <x v="4"/>
  </r>
  <r>
    <n v="78"/>
    <d v="2018-11-06T00:00:00"/>
    <x v="5"/>
    <x v="5"/>
    <x v="0"/>
    <s v="ADMINISTRACION DE SUCURSALES"/>
    <s v="NC GASTO NO DEDUCIBLES"/>
    <s v="TRANSACCIONES DEL DIA 11/06/2018SPYRAL - GESTION ADMINISTRATIVA"/>
    <n v="41.68"/>
    <n v="0"/>
    <s v="PLAZA CAROLINA"/>
    <x v="4"/>
  </r>
  <r>
    <n v="78"/>
    <d v="2018-12-21T00:00:00"/>
    <x v="1"/>
    <x v="1"/>
    <x v="0"/>
    <s v="ADMINISTRACION DE SUCURSALES"/>
    <s v="GASTOS NO DEDUCIBLES"/>
    <s v="TRANSACCIONES DEL DIA 12/21/2018SPYRAL - GESTION ADMINISTRATIVA"/>
    <n v="160.63"/>
    <n v="0"/>
    <s v="PLAZA CAROLINA"/>
    <x v="4"/>
  </r>
  <r>
    <n v="78"/>
    <d v="2018-12-28T00:00:00"/>
    <x v="1"/>
    <x v="1"/>
    <x v="0"/>
    <s v="ADMINISTRACION DE SUCURSALES"/>
    <s v="GASTOS NO DEDUCIBLES"/>
    <s v="TRANSACCIONES DEL DIA 12/28/2018SPYRAL - GESTION ADMINISTRATIVA"/>
    <n v="89"/>
    <n v="0"/>
    <s v="PLAZA CAROLINA"/>
    <x v="4"/>
  </r>
  <r>
    <n v="78"/>
    <d v="2018-12-31T00:00:00"/>
    <x v="1"/>
    <x v="1"/>
    <x v="0"/>
    <s v="ADMINISTRACION DE SUCURSALES"/>
    <s v="CIERRE DE ANIO FISCAL"/>
    <s v="CIERRE_DE_CTAS_NOMINALES"/>
    <n v="0"/>
    <n v="554.47"/>
    <s v="PLAZA CAROLINA"/>
    <x v="4"/>
  </r>
  <r>
    <n v="79"/>
    <d v="2018-09-05T00:00:00"/>
    <x v="4"/>
    <x v="4"/>
    <x v="0"/>
    <s v="ADMINISTRACION DE SUCURSALES"/>
    <s v="GASTOS NO DEDUCIBLES"/>
    <s v="TRANSACCIONES DEL DIA 09/05/2018SPYRAL - GESTION ADMINISTRATIVA"/>
    <n v="41.71"/>
    <n v="0"/>
    <s v="PLAZA CORDOBA"/>
    <x v="4"/>
  </r>
  <r>
    <n v="79"/>
    <d v="2018-10-19T00:00:00"/>
    <x v="0"/>
    <x v="0"/>
    <x v="0"/>
    <s v="ADMINISTRACION DE SUCURSALES"/>
    <s v="NC GASTO NO DEDUCIBLES"/>
    <s v="TRANSACCIONES DEL DIA 10/19/2018SPYRAL - GESTION ADMINISTRATIVA"/>
    <n v="40.18"/>
    <n v="0"/>
    <s v="PLAZA CORDOBA"/>
    <x v="4"/>
  </r>
  <r>
    <n v="79"/>
    <d v="2018-12-27T00:00:00"/>
    <x v="1"/>
    <x v="1"/>
    <x v="0"/>
    <s v="ADMINISTRACION DE SUCURSALES"/>
    <s v="NC GASTO NO DEDUCIBLES"/>
    <s v="TRANSACCIONES DEL DIA 12/27/2018SPYRAL - GESTION ADMINISTRATIVA"/>
    <n v="115.38"/>
    <n v="0"/>
    <s v="PLAZA CORDOBA"/>
    <x v="4"/>
  </r>
  <r>
    <n v="79"/>
    <d v="2018-12-31T00:00:00"/>
    <x v="1"/>
    <x v="1"/>
    <x v="0"/>
    <s v="ADMINISTRACION DE SUCURSALES"/>
    <s v="CIERRE DE ANIO FISCAL"/>
    <s v="CIERRE_DE_CTAS_NOMINALES"/>
    <n v="0"/>
    <n v="388"/>
    <s v="PLAZA CORDOBA"/>
    <x v="4"/>
  </r>
  <r>
    <n v="80"/>
    <d v="2018-06-01T00:00:00"/>
    <x v="2"/>
    <x v="2"/>
    <x v="0"/>
    <s v="ADMINISTRACION DE SUCURSALES"/>
    <s v="NC GASTO NO DEDUCIBLES"/>
    <s v="TRANSACCIONES DEL DIA 06/01/2018SPYRAL - GESTION ADMINISTRATIVA"/>
    <n v="24.86"/>
    <n v="0"/>
    <s v="VIA SIMON BOLIVAR"/>
    <x v="4"/>
  </r>
  <r>
    <n v="80"/>
    <d v="2018-06-07T00:00:00"/>
    <x v="2"/>
    <x v="2"/>
    <x v="0"/>
    <s v="ADMINISTRACION DE SUCURSALES"/>
    <s v="NC GASTO NO DEDUCIBLES"/>
    <s v="TRANSACCIONES DEL DIA 06/07/2018SPYRAL - GESTION ADMINISTRATIVA"/>
    <n v="29.39"/>
    <n v="0"/>
    <s v="VIA SIMON BOLIVAR"/>
    <x v="4"/>
  </r>
  <r>
    <n v="80"/>
    <d v="2018-06-15T00:00:00"/>
    <x v="2"/>
    <x v="2"/>
    <x v="0"/>
    <s v="ADMINISTRACION DE SUCURSALES"/>
    <s v="NC GASTO NO DEDUCIBLES"/>
    <s v="TRANSACCIONES DEL DIA 06/15/2018SPYRAL - GESTION ADMINISTRATIVA"/>
    <n v="29.09"/>
    <n v="0"/>
    <s v="VIA SIMON BOLIVAR"/>
    <x v="4"/>
  </r>
  <r>
    <n v="80"/>
    <d v="2018-08-09T00:00:00"/>
    <x v="3"/>
    <x v="3"/>
    <x v="0"/>
    <s v="ADMINISTRACION DE SUCURSALES"/>
    <s v="NC GASTO NO DEDUCIBLES"/>
    <s v="TRANSACCIONES DEL DIA 08/09/2018SPYRAL - GESTION ADMINISTRATIVA"/>
    <n v="24.5"/>
    <n v="0"/>
    <s v="VIA SIMON BOLIVAR"/>
    <x v="4"/>
  </r>
  <r>
    <n v="80"/>
    <d v="2018-09-03T00:00:00"/>
    <x v="4"/>
    <x v="4"/>
    <x v="0"/>
    <s v="ADMINISTRACION DE SUCURSALES"/>
    <s v="NC GASTO NO DEDUCIBLES"/>
    <s v="TRANSACCIONES DEL DIA 09/03/2018SPYRAL - GESTION ADMINISTRATIVA"/>
    <n v="82.16"/>
    <n v="0"/>
    <s v="VIA SIMON BOLIVAR"/>
    <x v="4"/>
  </r>
  <r>
    <n v="80"/>
    <d v="2018-09-11T00:00:00"/>
    <x v="4"/>
    <x v="4"/>
    <x v="0"/>
    <s v="ADMINISTRACION DE SUCURSALES"/>
    <s v="NC GASTO NO DEDUCIBLES"/>
    <s v="TRANSACCIONES DEL DIA 09/11/2018SPYRAL - GESTION ADMINISTRATIVA"/>
    <n v="51.8"/>
    <n v="0"/>
    <s v="VIA SIMON BOLIVAR"/>
    <x v="4"/>
  </r>
  <r>
    <n v="80"/>
    <d v="2018-11-23T00:00:00"/>
    <x v="5"/>
    <x v="5"/>
    <x v="0"/>
    <s v="ADMINISTRACION DE SUCURSALES"/>
    <s v="NC GASTO NO DEDUCIBLES"/>
    <s v="TRANSACCIONES DEL DIA 11/23/2018SPYRAL - GESTION ADMINISTRATIVA"/>
    <n v="44.02"/>
    <n v="0"/>
    <s v="VIA SIMON BOLIVAR"/>
    <x v="4"/>
  </r>
  <r>
    <n v="80"/>
    <d v="2018-12-31T00:00:00"/>
    <x v="1"/>
    <x v="1"/>
    <x v="0"/>
    <s v="ADMINISTRACION DE SUCURSALES"/>
    <s v="CIERRE DE ANIO FISCAL"/>
    <s v="CIERRE_DE_CTAS_NOMINALES"/>
    <n v="0"/>
    <n v="460.74"/>
    <s v="VIA SIMON BOLIVAR"/>
    <x v="4"/>
  </r>
  <r>
    <n v="89"/>
    <d v="2018-06-20T00:00:00"/>
    <x v="2"/>
    <x v="2"/>
    <x v="0"/>
    <s v="ADMINISTRACION DE SUCURSALES"/>
    <s v="NC GASTO NO DEDUCIBLES"/>
    <s v="TRANSACCIONES DEL DIA 06/20/2018SPYRAL - GESTION ADMINISTRATIVA"/>
    <n v="28.26"/>
    <n v="0"/>
    <s v="JUSTO AROSEMENA"/>
    <x v="4"/>
  </r>
  <r>
    <n v="89"/>
    <d v="2018-08-16T00:00:00"/>
    <x v="3"/>
    <x v="3"/>
    <x v="0"/>
    <s v="ADMINISTRACION DE SUCURSALES"/>
    <s v="GASTOS NO DEDUCIBLES"/>
    <s v="TRANSACCIONES DEL DIA 08/16/2018SPYRAL - GESTION ADMINISTRATIVA"/>
    <n v="47.57"/>
    <n v="0"/>
    <s v="JUSTO AROSEMENA"/>
    <x v="4"/>
  </r>
  <r>
    <n v="89"/>
    <d v="2018-09-03T00:00:00"/>
    <x v="4"/>
    <x v="4"/>
    <x v="0"/>
    <s v="ADMINISTRACION DE SUCURSALES"/>
    <s v="NC GASTO NO DEDUCIBLES"/>
    <s v="TRANSACCIONES DEL DIA 09/03/2018SPYRAL - GESTION ADMINISTRATIVA"/>
    <n v="42.34"/>
    <n v="0"/>
    <s v="JUSTO AROSEMENA"/>
    <x v="4"/>
  </r>
  <r>
    <n v="89"/>
    <d v="2018-10-02T00:00:00"/>
    <x v="0"/>
    <x v="0"/>
    <x v="0"/>
    <s v="ADMINISTRACION DE SUCURSALES"/>
    <s v="NC GASTO NO DEDUCIBLES"/>
    <s v="TRANSACCIONES DEL DIA 10/02/2018SPYRAL - GESTION ADMINISTRATIVA"/>
    <n v="30.65"/>
    <n v="0"/>
    <s v="JUSTO AROSEMENA"/>
    <x v="4"/>
  </r>
  <r>
    <n v="89"/>
    <d v="2018-10-10T00:00:00"/>
    <x v="0"/>
    <x v="0"/>
    <x v="0"/>
    <s v="ADMINISTRACION DE SUCURSALES"/>
    <s v="NC GASTO NO DEDUCIBLES"/>
    <s v="TRANSACCIONES DEL DIA 10/10/2018SPYRAL - GESTION ADMINISTRATIVA"/>
    <n v="28.18"/>
    <n v="0"/>
    <s v="JUSTO AROSEMENA"/>
    <x v="4"/>
  </r>
  <r>
    <n v="89"/>
    <d v="2018-12-21T00:00:00"/>
    <x v="1"/>
    <x v="1"/>
    <x v="0"/>
    <s v="ADMINISTRACION DE SUCURSALES"/>
    <s v="GASTOS NO DEDUCIBLES"/>
    <s v="TRANSACCIONES DEL DIA 12/21/2018SPYRAL - GESTION ADMINISTRATIVA"/>
    <n v="27.96"/>
    <n v="0"/>
    <s v="JUSTO AROSEMENA"/>
    <x v="4"/>
  </r>
  <r>
    <n v="89"/>
    <d v="2018-12-27T00:00:00"/>
    <x v="1"/>
    <x v="1"/>
    <x v="0"/>
    <s v="ADMINISTRACION DE SUCURSALES"/>
    <s v="NC GASTO NO DEDUCIBLES"/>
    <s v="TRANSACCIONES DEL DIA 12/27/2018SPYRAL - GESTION ADMINISTRATIVA"/>
    <n v="107.45"/>
    <n v="0"/>
    <s v="JUSTO AROSEMENA"/>
    <x v="4"/>
  </r>
  <r>
    <n v="89"/>
    <d v="2018-12-31T00:00:00"/>
    <x v="1"/>
    <x v="1"/>
    <x v="0"/>
    <s v="ADMINISTRACION DE SUCURSALES"/>
    <s v="CIERRE DE ANIO FISCAL"/>
    <s v="CIERRE_DE_CTAS_NOMINALES"/>
    <n v="0"/>
    <n v="428.77"/>
    <s v="JUSTO AROSEMENA"/>
    <x v="4"/>
  </r>
  <r>
    <n v="91"/>
    <d v="2018-12-31T00:00:00"/>
    <x v="1"/>
    <x v="1"/>
    <x v="0"/>
    <s v="NEGOCIOS"/>
    <s v="CIERRE DE ANIO FISCAL"/>
    <s v="CIERRE_DE_CTAS_NOMINALES"/>
    <n v="0"/>
    <n v="65.94"/>
    <s v="NEGOCIOS"/>
    <x v="4"/>
  </r>
  <r>
    <n v="91"/>
    <d v="2018-12-12T00:00:00"/>
    <x v="1"/>
    <x v="1"/>
    <x v="0"/>
    <s v="BANCA CORPORATIVA"/>
    <s v="NC GASTO NO DEDUCIBLES"/>
    <s v="TRANSACCIONES DEL DIA 12/12/2018SPYRAL - GESTION ADMINISTRATIVA"/>
    <n v="1876.36"/>
    <n v="0"/>
    <s v="NEGOCIOS"/>
    <x v="4"/>
  </r>
  <r>
    <n v="91"/>
    <d v="2018-12-21T00:00:00"/>
    <x v="1"/>
    <x v="1"/>
    <x v="0"/>
    <s v="BANCA CORPORATIVA"/>
    <s v="NC GASTO NO DEDUCIBLES"/>
    <s v="TRANSACCIONES DEL DIA 12/21/2018SPYRAL - GESTION ADMINISTRATIVA"/>
    <n v="684.29"/>
    <n v="0"/>
    <s v="NEGOCIOS"/>
    <x v="4"/>
  </r>
  <r>
    <n v="91"/>
    <d v="2018-12-31T00:00:00"/>
    <x v="1"/>
    <x v="1"/>
    <x v="0"/>
    <s v="BANCA CORPORATIVA"/>
    <s v="CIERRE DE ANIO FISCAL"/>
    <s v="CIERRE_DE_CTAS_NOMINALES"/>
    <n v="0"/>
    <n v="2785.65"/>
    <s v="NEGOCIOS"/>
    <x v="4"/>
  </r>
  <r>
    <n v="91"/>
    <d v="2018-07-06T00:00:00"/>
    <x v="6"/>
    <x v="6"/>
    <x v="0"/>
    <s v="CUENTAS CORPORATIVAS"/>
    <s v="GASTOS NO DEDUCIBLES"/>
    <s v="TRANSACCIONES DEL DIA 07/06/2018SPYRAL - GESTION ADMINISTRATIVA"/>
    <n v="52"/>
    <n v="0"/>
    <s v="NEGOCIOS"/>
    <x v="4"/>
  </r>
  <r>
    <n v="91"/>
    <d v="2018-12-31T00:00:00"/>
    <x v="1"/>
    <x v="1"/>
    <x v="0"/>
    <s v="CUENTAS CORPORATIVAS"/>
    <s v="CIERRE DE ANIO FISCAL"/>
    <s v="CIERRE_DE_CTAS_NOMINALES"/>
    <n v="0"/>
    <n v="52"/>
    <s v="NEGOCIOS"/>
    <x v="4"/>
  </r>
  <r>
    <n v="91"/>
    <d v="2018-06-19T00:00:00"/>
    <x v="2"/>
    <x v="2"/>
    <x v="0"/>
    <s v="HIPOTECAS"/>
    <s v="NC GASTO NO DEDUCIBLES"/>
    <s v="TRANSACCIONES DEL DIA 06/19/2018SPYRAL - GESTION ADMINISTRATIVA"/>
    <n v="250"/>
    <n v="0"/>
    <s v="NEGOCIOS"/>
    <x v="4"/>
  </r>
  <r>
    <n v="91"/>
    <d v="2018-12-31T00:00:00"/>
    <x v="1"/>
    <x v="1"/>
    <x v="0"/>
    <s v="HIPOTECAS"/>
    <s v="CIERRE DE ANIO FISCAL"/>
    <s v="CIERRE_DE_CTAS_NOMINALES"/>
    <n v="0"/>
    <n v="292.89"/>
    <s v="NEGOCIOS"/>
    <x v="4"/>
  </r>
  <r>
    <n v="91"/>
    <d v="2018-06-19T00:00:00"/>
    <x v="2"/>
    <x v="2"/>
    <x v="0"/>
    <s v="CANALES EXTERNOS HIP"/>
    <s v="GASTOS NO DEDUCIBLES"/>
    <s v="TRANSACCIONES DEL DIA 06/19/2018SPYRAL - GESTION ADMINISTRATIVA"/>
    <n v="120"/>
    <n v="0"/>
    <s v="NEGOCIOS"/>
    <x v="4"/>
  </r>
  <r>
    <n v="91"/>
    <d v="2018-12-21T00:00:00"/>
    <x v="1"/>
    <x v="1"/>
    <x v="0"/>
    <s v="CANALES EXTERNOS HIP"/>
    <s v="GASTOS NO DEDUCIBLES"/>
    <s v="TRANSACCIONES DEL DIA 12/21/2018SPYRAL - GESTION ADMINISTRATIVA"/>
    <n v="39.5"/>
    <n v="0"/>
    <s v="NEGOCIOS"/>
    <x v="4"/>
  </r>
  <r>
    <n v="91"/>
    <d v="2018-12-27T00:00:00"/>
    <x v="1"/>
    <x v="1"/>
    <x v="0"/>
    <s v="CANALES EXTERNOS HIP"/>
    <s v="GASTOS NO DEDUCIBLES"/>
    <s v="TRANSACCIONES DEL DIA 12/27/2018SPYRAL - GESTION ADMINISTRATIVA"/>
    <n v="283.58"/>
    <n v="0"/>
    <s v="NEGOCIOS"/>
    <x v="4"/>
  </r>
  <r>
    <n v="91"/>
    <d v="2018-12-31T00:00:00"/>
    <x v="1"/>
    <x v="1"/>
    <x v="0"/>
    <s v="CANALES EXTERNOS HIP"/>
    <s v="CIERRE DE ANIO FISCAL"/>
    <s v="CIERRE_DE_CTAS_NOMINALES"/>
    <n v="0"/>
    <n v="706.98"/>
    <s v="NEGOCIOS"/>
    <x v="4"/>
  </r>
  <r>
    <n v="91"/>
    <d v="2018-06-20T00:00:00"/>
    <x v="2"/>
    <x v="2"/>
    <x v="0"/>
    <s v="GESTION HIPOTECARIA"/>
    <s v="GASTOS NO DEDUCIBLES"/>
    <s v="TRANSACCIONES DEL DIA 06/20/2018SPYRAL - GESTION ADMINISTRATIVA"/>
    <n v="46.99"/>
    <n v="0"/>
    <s v="NEGOCIOS"/>
    <x v="4"/>
  </r>
  <r>
    <n v="91"/>
    <d v="2018-06-29T00:00:00"/>
    <x v="2"/>
    <x v="2"/>
    <x v="0"/>
    <s v="GESTION HIPOTECARIA"/>
    <s v="GASTOS NO DEDUCIBLES"/>
    <s v="TRANSACCIONES DEL DIA 06/29/2018SPYRAL - GESTION ADMINISTRATIVA"/>
    <n v="153.57"/>
    <n v="0"/>
    <s v="NEGOCIOS"/>
    <x v="4"/>
  </r>
  <r>
    <n v="91"/>
    <d v="2018-08-31T00:00:00"/>
    <x v="3"/>
    <x v="3"/>
    <x v="0"/>
    <s v="GESTION HIPOTECARIA"/>
    <s v="GASTOS NO DEDUCIBLES"/>
    <s v="TRANSACCIONES DEL DIA 08/31/2018SPYRAL - GESTION ADMINISTRATIVA"/>
    <n v="237.6"/>
    <n v="0"/>
    <s v="NEGOCIOS"/>
    <x v="4"/>
  </r>
  <r>
    <n v="91"/>
    <d v="2018-11-01T00:00:00"/>
    <x v="5"/>
    <x v="5"/>
    <x v="0"/>
    <s v="GESTION HIPOTECARIA"/>
    <s v="GASTOS NO DEDUCIBLES"/>
    <s v="TRANSACCIONES DEL DIA 11/01/2018SPYRAL - GESTION ADMINISTRATIVA"/>
    <n v="232.73"/>
    <n v="0"/>
    <s v="NEGOCIOS"/>
    <x v="4"/>
  </r>
  <r>
    <n v="91"/>
    <d v="2018-11-27T00:00:00"/>
    <x v="5"/>
    <x v="5"/>
    <x v="0"/>
    <s v="GESTION HIPOTECARIA"/>
    <s v="GASTOS NO DEDUCIBLES"/>
    <s v="TRANSACCIONES DEL DIA 11/27/2018SPYRAL - GESTION ADMINISTRATIVA"/>
    <n v="56.06"/>
    <n v="0"/>
    <s v="NEGOCIOS"/>
    <x v="4"/>
  </r>
  <r>
    <n v="91"/>
    <d v="2018-11-30T00:00:00"/>
    <x v="5"/>
    <x v="5"/>
    <x v="0"/>
    <s v="GESTION HIPOTECARIA"/>
    <s v="GASTOS NO DEDUCIBLES"/>
    <s v="TRANSACCIONES DEL DIA 11/30/2018SPYRAL - GESTION ADMINISTRATIVA"/>
    <n v="53.55"/>
    <n v="0"/>
    <s v="NEGOCIOS"/>
    <x v="4"/>
  </r>
  <r>
    <n v="91"/>
    <d v="2018-12-05T00:00:00"/>
    <x v="1"/>
    <x v="1"/>
    <x v="0"/>
    <s v="GESTION HIPOTECARIA"/>
    <s v="GASTOS NO DEDUCIBLES"/>
    <s v="TRANSACCIONES DEL DIA 12/05/2018SPYRAL - GESTION ADMINISTRATIVA"/>
    <n v="339.5"/>
    <n v="0"/>
    <s v="NEGOCIOS"/>
    <x v="4"/>
  </r>
  <r>
    <n v="91"/>
    <d v="2018-12-14T00:00:00"/>
    <x v="1"/>
    <x v="1"/>
    <x v="0"/>
    <s v="GESTION HIPOTECARIA"/>
    <s v="GASTOS NO DEDUCIBLES"/>
    <s v="TRANSACCIONES DEL DIA 12/14/2018SPYRAL - GESTION ADMINISTRATIVA"/>
    <n v="365.04"/>
    <n v="0"/>
    <s v="NEGOCIOS"/>
    <x v="4"/>
  </r>
  <r>
    <n v="91"/>
    <d v="2018-12-28T00:00:00"/>
    <x v="1"/>
    <x v="1"/>
    <x v="0"/>
    <s v="GESTION HIPOTECARIA"/>
    <s v="GASTOS NO DEDUCIBLES"/>
    <s v="TRANSACCIONES DEL DIA 12/28/2018SPYRAL - GESTION ADMINISTRATIVA"/>
    <n v="391.87"/>
    <n v="0"/>
    <s v="NEGOCIOS"/>
    <x v="4"/>
  </r>
  <r>
    <n v="91"/>
    <d v="2018-12-31T00:00:00"/>
    <x v="1"/>
    <x v="1"/>
    <x v="0"/>
    <s v="GESTION HIPOTECARIA"/>
    <s v="CIERRE DE ANIO FISCAL"/>
    <s v="CIERRE_DE_CTAS_NOMINALES"/>
    <n v="0"/>
    <n v="2024.77"/>
    <s v="NEGOCIOS"/>
    <x v="4"/>
  </r>
  <r>
    <n v="91"/>
    <d v="2018-10-03T00:00:00"/>
    <x v="0"/>
    <x v="0"/>
    <x v="0"/>
    <s v="BANCA DE CONSUMO"/>
    <s v="GASTOS NO DEDUCIBLES"/>
    <s v="TRANSACCIONES DEL DIA 10/03/2018SPYRAL - GESTION ADMINISTRATIVA"/>
    <n v="252.9"/>
    <n v="0"/>
    <s v="NEGOCIOS"/>
    <x v="4"/>
  </r>
  <r>
    <n v="91"/>
    <d v="2018-12-27T00:00:00"/>
    <x v="1"/>
    <x v="1"/>
    <x v="0"/>
    <s v="BANCA DE CONSUMO"/>
    <s v="GASTOS NO DEDUCIBLES"/>
    <s v="TRANSACCIONES DEL DIA 12/27/2018SPYRAL - GESTION ADMINISTRATIVA"/>
    <n v="376.89"/>
    <n v="0"/>
    <s v="NEGOCIOS"/>
    <x v="4"/>
  </r>
  <r>
    <n v="91"/>
    <d v="2018-12-31T00:00:00"/>
    <x v="1"/>
    <x v="1"/>
    <x v="0"/>
    <s v="BANCA DE CONSUMO"/>
    <s v="CIERRE DE ANIO FISCAL"/>
    <s v="CIERRE_DE_CTAS_NOMINALES"/>
    <n v="0"/>
    <n v="807.13"/>
    <s v="NEGOCIOS"/>
    <x v="4"/>
  </r>
  <r>
    <n v="91"/>
    <d v="2018-07-24T00:00:00"/>
    <x v="6"/>
    <x v="6"/>
    <x v="0"/>
    <s v="CANALES DE DISTRIBUCION"/>
    <s v="GASTOS NO DEDUCIBLES"/>
    <s v="TRANSACCIONES DEL DIA 07/24/2018SPYRAL - GESTION ADMINISTRATIVA"/>
    <n v="31.6"/>
    <n v="0"/>
    <s v="NEGOCIOS"/>
    <x v="4"/>
  </r>
  <r>
    <n v="91"/>
    <d v="2018-07-27T00:00:00"/>
    <x v="6"/>
    <x v="6"/>
    <x v="0"/>
    <s v="CANALES DE DISTRIBUCION"/>
    <s v="GASTOS NO DEDUCIBLES"/>
    <s v="TRANSACCIONES DEL DIA 07/27/2018SPYRAL - GESTION ADMINISTRATIVA"/>
    <n v="61.5"/>
    <n v="0"/>
    <s v="NEGOCIOS"/>
    <x v="4"/>
  </r>
  <r>
    <n v="91"/>
    <d v="2018-08-03T00:00:00"/>
    <x v="3"/>
    <x v="3"/>
    <x v="0"/>
    <s v="CANALES DE DISTRIBUCION"/>
    <s v="NC GASTO NO DEDUCIBLES"/>
    <s v="TRANSACCIONES DEL DIA 08/03/2018SPYRAL - GESTION ADMINISTRATIVA"/>
    <n v="42.69"/>
    <n v="0"/>
    <s v="NEGOCIOS"/>
    <x v="4"/>
  </r>
  <r>
    <n v="91"/>
    <d v="2018-08-23T00:00:00"/>
    <x v="3"/>
    <x v="3"/>
    <x v="0"/>
    <s v="CANALES DE DISTRIBUCION"/>
    <s v="NC GASTO NO DEDUCIBLES"/>
    <s v="TRANSACCIONES DEL DIA 08/23/2018SPYRAL - GESTION ADMINISTRATIVA"/>
    <n v="84"/>
    <n v="0"/>
    <s v="NEGOCIOS"/>
    <x v="4"/>
  </r>
  <r>
    <n v="91"/>
    <d v="2018-08-29T00:00:00"/>
    <x v="3"/>
    <x v="3"/>
    <x v="0"/>
    <s v="CANALES DE DISTRIBUCION"/>
    <s v="GASTOS NO DEDUCIBLES"/>
    <s v="TRANSACCIONES DEL DIA 08/29/2018SPYRAL - GESTION ADMINISTRATIVA"/>
    <n v="37"/>
    <n v="0"/>
    <s v="NEGOCIOS"/>
    <x v="4"/>
  </r>
  <r>
    <n v="91"/>
    <d v="2018-09-03T00:00:00"/>
    <x v="4"/>
    <x v="4"/>
    <x v="0"/>
    <s v="CANALES DE DISTRIBUCION"/>
    <s v="NC GASTO NO DEDUCIBLES"/>
    <s v="TRANSACCIONES DEL DIA 09/03/2018SPYRAL - GESTION ADMINISTRATIVA"/>
    <n v="64.849999999999994"/>
    <n v="0"/>
    <s v="NEGOCIOS"/>
    <x v="4"/>
  </r>
  <r>
    <n v="91"/>
    <d v="2018-09-06T00:00:00"/>
    <x v="4"/>
    <x v="4"/>
    <x v="0"/>
    <s v="CANALES DE DISTRIBUCION"/>
    <s v="NC GASTO NO DEDUCIBLES"/>
    <s v="TRANSACCIONES DEL DIA 09/06/2018SPYRAL - GESTION ADMINISTRATIVA"/>
    <n v="25.68"/>
    <n v="0"/>
    <s v="NEGOCIOS"/>
    <x v="4"/>
  </r>
  <r>
    <n v="91"/>
    <d v="2018-10-02T00:00:00"/>
    <x v="0"/>
    <x v="0"/>
    <x v="0"/>
    <s v="CANALES DE DISTRIBUCION"/>
    <s v="NC GASTO NO DEDUCIBLES"/>
    <s v="TRANSACCIONES DEL DIA 10/02/2018SPYRAL - GESTION ADMINISTRATIVA"/>
    <n v="25.95"/>
    <n v="0"/>
    <s v="NEGOCIOS"/>
    <x v="4"/>
  </r>
  <r>
    <n v="91"/>
    <d v="2018-10-10T00:00:00"/>
    <x v="0"/>
    <x v="0"/>
    <x v="0"/>
    <s v="CANALES DE DISTRIBUCION"/>
    <s v="GASTOS NO DEDUCIBLES"/>
    <s v="TRANSACCIONES DEL DIA 10/10/2018SPYRAL - GESTION ADMINISTRATIVA"/>
    <n v="19.32"/>
    <n v="0"/>
    <s v="NEGOCIOS"/>
    <x v="4"/>
  </r>
  <r>
    <n v="91"/>
    <d v="2018-10-16T00:00:00"/>
    <x v="0"/>
    <x v="0"/>
    <x v="0"/>
    <s v="CANALES DE DISTRIBUCION"/>
    <s v="NC GASTO NO DEDUCIBLES"/>
    <s v="TRANSACCIONES DEL DIA 10/16/2018SPYRAL - GESTION ADMINISTRATIVA"/>
    <n v="20"/>
    <n v="0"/>
    <s v="NEGOCIOS"/>
    <x v="4"/>
  </r>
  <r>
    <n v="91"/>
    <d v="2018-11-08T00:00:00"/>
    <x v="5"/>
    <x v="5"/>
    <x v="0"/>
    <s v="CANALES DE DISTRIBUCION"/>
    <s v="NC GASTO NO DEDUCIBLES"/>
    <s v="TRANSACCIONES DEL DIA 11/08/2018SPYRAL - GESTION ADMINISTRATIVA"/>
    <n v="27.5"/>
    <n v="0"/>
    <s v="NEGOCIOS"/>
    <x v="4"/>
  </r>
  <r>
    <n v="91"/>
    <d v="2018-11-09T00:00:00"/>
    <x v="5"/>
    <x v="5"/>
    <x v="0"/>
    <s v="CANALES DE DISTRIBUCION"/>
    <s v="NC GASTO NO DEDUCIBLES"/>
    <s v="TRANSACCIONES DEL DIA 11/09/2018SPYRAL - GESTION ADMINISTRATIVA"/>
    <n v="34.24"/>
    <n v="0"/>
    <s v="NEGOCIOS"/>
    <x v="4"/>
  </r>
  <r>
    <n v="91"/>
    <d v="2018-12-14T00:00:00"/>
    <x v="1"/>
    <x v="1"/>
    <x v="0"/>
    <s v="CANALES DE DISTRIBUCION"/>
    <s v="NC GASTO NO DEDUCIBLES"/>
    <s v="TRANSACCIONES DEL DIA 12/14/2018SPYRAL - GESTION ADMINISTRATIVA"/>
    <n v="102.25"/>
    <n v="0"/>
    <s v="NEGOCIOS"/>
    <x v="4"/>
  </r>
  <r>
    <n v="91"/>
    <d v="2018-12-20T00:00:00"/>
    <x v="1"/>
    <x v="1"/>
    <x v="0"/>
    <s v="CANALES DE DISTRIBUCION"/>
    <s v="NC GASTO NO DEDUCIBLES"/>
    <s v="TRANSACCIONES DEL DIA 12/20/2018SPYRAL - GESTION ADMINISTRATIVA"/>
    <n v="112.11"/>
    <n v="0"/>
    <s v="NEGOCIOS"/>
    <x v="4"/>
  </r>
  <r>
    <n v="91"/>
    <d v="2018-12-27T00:00:00"/>
    <x v="1"/>
    <x v="1"/>
    <x v="0"/>
    <s v="CANALES DE DISTRIBUCION"/>
    <s v="GASTOS NO DEDUCIBLES"/>
    <s v="TRANSACCIONES DEL DIA 12/27/2018SPYRAL - GESTION ADMINISTRATIVA"/>
    <n v="440"/>
    <n v="0"/>
    <s v="NEGOCIOS"/>
    <x v="4"/>
  </r>
  <r>
    <n v="91"/>
    <d v="2018-12-31T00:00:00"/>
    <x v="1"/>
    <x v="1"/>
    <x v="0"/>
    <s v="CANALES DE DISTRIBUCION"/>
    <s v="CIERRE DE ANIO FISCAL"/>
    <s v="CIERRE_DE_CTAS_NOMINALES"/>
    <n v="0"/>
    <n v="2116.38"/>
    <s v="NEGOCIOS"/>
    <x v="4"/>
  </r>
  <r>
    <n v="91"/>
    <d v="2018-06-11T00:00:00"/>
    <x v="2"/>
    <x v="2"/>
    <x v="0"/>
    <s v="CENTRO DE TARJETAS"/>
    <s v="GASTOS NO DEDUCIBLES"/>
    <s v="TRANSACCIONES DEL DIA 06/11/2018SPYRAL - GESTION ADMINISTRATIVA"/>
    <n v="154.21"/>
    <n v="0"/>
    <s v="NEGOCIOS"/>
    <x v="4"/>
  </r>
  <r>
    <n v="91"/>
    <d v="2018-06-19T00:00:00"/>
    <x v="2"/>
    <x v="2"/>
    <x v="0"/>
    <s v="CENTRO DE TARJETAS"/>
    <s v="GASTOS NO DEDUCIBLES"/>
    <s v="TRANSACCIONES DEL DIA 06/19/2018SPYRAL - GESTION ADMINISTRATIVA"/>
    <n v="34.229999999999997"/>
    <n v="0"/>
    <s v="NEGOCIOS"/>
    <x v="4"/>
  </r>
  <r>
    <n v="91"/>
    <d v="2018-06-28T00:00:00"/>
    <x v="2"/>
    <x v="2"/>
    <x v="0"/>
    <s v="CENTRO DE TARJETAS"/>
    <s v="GASTOS NO DEDUCIBLES"/>
    <s v="TRANSACCIONES DEL DIA 06/28/2018SPYRAL - GESTION ADMINISTRATIVA"/>
    <n v="36.75"/>
    <n v="0"/>
    <s v="NEGOCIOS"/>
    <x v="4"/>
  </r>
  <r>
    <n v="91"/>
    <d v="2018-08-06T00:00:00"/>
    <x v="3"/>
    <x v="3"/>
    <x v="0"/>
    <s v="CENTRO DE TARJETAS"/>
    <s v="GASTOS NO DEDUCIBLES"/>
    <s v="TRANSACCIONES DEL DIA 08/06/2018SPYRAL - GESTION ADMINISTRATIVA"/>
    <n v="578.27"/>
    <n v="0"/>
    <s v="NEGOCIOS"/>
    <x v="4"/>
  </r>
  <r>
    <n v="91"/>
    <d v="2018-10-02T00:00:00"/>
    <x v="0"/>
    <x v="0"/>
    <x v="0"/>
    <s v="CENTRO DE TARJETAS"/>
    <s v="NC GASTO NO DEDUCIBLES"/>
    <s v="TRANSACCIONES DEL DIA 10/02/2018SPYRAL - GESTION ADMINISTRATIVA"/>
    <n v="555.79999999999995"/>
    <n v="0"/>
    <s v="NEGOCIOS"/>
    <x v="4"/>
  </r>
  <r>
    <n v="91"/>
    <d v="2018-10-17T00:00:00"/>
    <x v="0"/>
    <x v="0"/>
    <x v="0"/>
    <s v="CENTRO DE TARJETAS"/>
    <s v="GASTOS NO DEDUCIBLES"/>
    <s v="TRANSACCIONES DEL DIA 10/17/2018SPYRAL - GESTION ADMINISTRATIVA"/>
    <n v="1233.6400000000001"/>
    <n v="0"/>
    <s v="NEGOCIOS"/>
    <x v="4"/>
  </r>
  <r>
    <n v="91"/>
    <d v="2018-11-02T00:00:00"/>
    <x v="5"/>
    <x v="5"/>
    <x v="0"/>
    <s v="CENTRO DE TARJETAS"/>
    <s v="GASTOS NO DEDUCIBLES"/>
    <s v="TRANSACCIONES DEL DIA 11/02/2018SPYRAL - GESTION ADMINISTRATIVA"/>
    <n v="603.97"/>
    <n v="0"/>
    <s v="NEGOCIOS"/>
    <x v="4"/>
  </r>
  <r>
    <n v="91"/>
    <d v="2018-11-07T00:00:00"/>
    <x v="5"/>
    <x v="5"/>
    <x v="0"/>
    <s v="CENTRO DE TARJETAS"/>
    <s v="GASTOS NO DEDUCIBLES"/>
    <s v="TRANSACCIONES DEL DIA 11/07/2018SPYRAL - GESTION ADMINISTRATIVA"/>
    <n v="81.86"/>
    <n v="0"/>
    <s v="NEGOCIOS"/>
    <x v="4"/>
  </r>
  <r>
    <n v="91"/>
    <d v="2018-11-27T00:00:00"/>
    <x v="5"/>
    <x v="5"/>
    <x v="0"/>
    <s v="CENTRO DE TARJETAS"/>
    <s v="GASTOS NO DEDUCIBLES"/>
    <s v="TRANSACCIONES DEL DIA 11/27/2018SPYRAL - GESTION ADMINISTRATIVA"/>
    <n v="269.86"/>
    <n v="0"/>
    <s v="NEGOCIOS"/>
    <x v="4"/>
  </r>
  <r>
    <n v="91"/>
    <d v="2018-12-21T00:00:00"/>
    <x v="1"/>
    <x v="1"/>
    <x v="0"/>
    <s v="CENTRO DE TARJETAS"/>
    <s v="NC GASTO NO DEDUCIBLES"/>
    <s v="TRANSACCIONES DEL DIA 12/21/2018SPYRAL - GESTION ADMINISTRATIVA"/>
    <n v="0"/>
    <n v="555.79999999999995"/>
    <s v="NEGOCIOS"/>
    <x v="4"/>
  </r>
  <r>
    <n v="91"/>
    <d v="2018-12-24T00:00:00"/>
    <x v="1"/>
    <x v="1"/>
    <x v="0"/>
    <s v="CENTRO DE TARJETAS"/>
    <s v="GASTOS NO DEDUCIBLES"/>
    <s v="TRANSACCIONES DEL DIA 12/24/2018SPYRAL - GESTION ADMINISTRATIVA"/>
    <n v="693.93"/>
    <n v="0"/>
    <s v="NEGOCIOS"/>
    <x v="4"/>
  </r>
  <r>
    <n v="91"/>
    <d v="2018-12-26T00:00:00"/>
    <x v="1"/>
    <x v="1"/>
    <x v="0"/>
    <s v="CENTRO DE TARJETAS"/>
    <s v="GASTOS NO DEDUCIBLES"/>
    <s v="TRANSACCIONES DEL DIA 12/26/2018SPYRAL - GESTION ADMINISTRATIVA"/>
    <n v="983.06"/>
    <n v="0"/>
    <s v="NEGOCIOS"/>
    <x v="4"/>
  </r>
  <r>
    <n v="91"/>
    <d v="2018-12-28T00:00:00"/>
    <x v="1"/>
    <x v="1"/>
    <x v="0"/>
    <s v="CENTRO DE TARJETAS"/>
    <s v="GASTOS NO DEDUCIBLES"/>
    <s v="TRANSACCIONES DEL DIA 12/28/2018SPYRAL - GESTION ADMINISTRATIVA"/>
    <n v="103.74"/>
    <n v="0"/>
    <s v="NEGOCIOS"/>
    <x v="4"/>
  </r>
  <r>
    <n v="91"/>
    <d v="2018-12-31T00:00:00"/>
    <x v="1"/>
    <x v="1"/>
    <x v="0"/>
    <s v="CENTRO DE TARJETAS"/>
    <s v="CIERRE DE ANIO FISCAL"/>
    <s v="CIERRE_DE_CTAS_NOMINALES"/>
    <n v="0"/>
    <n v="7170.13"/>
    <s v="NEGOCIOS"/>
    <x v="4"/>
  </r>
  <r>
    <n v="91"/>
    <d v="2018-06-16T00:00:00"/>
    <x v="2"/>
    <x v="2"/>
    <x v="0"/>
    <s v="CANALES ALTERNOS"/>
    <s v="GASTOS NO DEDUCIBLES"/>
    <s v="TRANSACCIONES DEL DIA 06/16/2018SPYRAL - GESTION ADMINISTRATIVA"/>
    <n v="54.1"/>
    <n v="0"/>
    <s v="NEGOCIOS"/>
    <x v="4"/>
  </r>
  <r>
    <n v="91"/>
    <d v="2018-07-25T00:00:00"/>
    <x v="6"/>
    <x v="6"/>
    <x v="0"/>
    <s v="CANALES ALTERNOS"/>
    <s v="GASTOS NO DEDUCIBLES"/>
    <s v="TRANSACCIONES DEL DIA 07/25/2018SPYRAL - GESTION ADMINISTRATIVA"/>
    <n v="1719.06"/>
    <n v="0"/>
    <s v="NEGOCIOS"/>
    <x v="4"/>
  </r>
  <r>
    <n v="91"/>
    <d v="2018-09-19T00:00:00"/>
    <x v="4"/>
    <x v="4"/>
    <x v="0"/>
    <s v="CANALES ALTERNOS"/>
    <s v="GASTOS NO DEDUCIBLES"/>
    <s v="TRANSACCIONES DEL DIA 09/19/2018SPYRAL - GESTION ADMINISTRATIVA"/>
    <n v="592.47"/>
    <n v="0"/>
    <s v="NEGOCIOS"/>
    <x v="4"/>
  </r>
  <r>
    <n v="91"/>
    <d v="2018-10-10T00:00:00"/>
    <x v="0"/>
    <x v="0"/>
    <x v="0"/>
    <s v="CANALES ALTERNOS"/>
    <s v="GASTOS NO DEDUCIBLES"/>
    <s v="TRANSACCIONES DEL DIA 10/10/2018SPYRAL - GESTION ADMINISTRATIVA"/>
    <n v="394.99"/>
    <n v="0"/>
    <s v="NEGOCIOS"/>
    <x v="4"/>
  </r>
  <r>
    <n v="91"/>
    <d v="2018-12-24T00:00:00"/>
    <x v="1"/>
    <x v="1"/>
    <x v="0"/>
    <s v="CANALES ALTERNOS"/>
    <s v="GASTOS NO DEDUCIBLES"/>
    <s v="TRANSACCIONES DEL DIA 12/24/2018SPYRAL - GESTION ADMINISTRATIVA"/>
    <n v="629.41"/>
    <n v="0"/>
    <s v="NEGOCIOS"/>
    <x v="4"/>
  </r>
  <r>
    <n v="91"/>
    <d v="2018-12-28T00:00:00"/>
    <x v="1"/>
    <x v="1"/>
    <x v="0"/>
    <s v="CANALES ALTERNOS"/>
    <s v="GASTOS NO DEDUCIBLES"/>
    <s v="TRANSACCIONES DEL DIA 12/28/2018SPYRAL - GESTION ADMINISTRATIVA"/>
    <n v="140.93"/>
    <n v="0"/>
    <s v="NEGOCIOS"/>
    <x v="4"/>
  </r>
  <r>
    <n v="91"/>
    <d v="2018-12-31T00:00:00"/>
    <x v="1"/>
    <x v="1"/>
    <x v="0"/>
    <s v="CANALES ALTERNOS"/>
    <s v="CIERRE DE ANIO FISCAL"/>
    <s v="CIERRE_DE_CTAS_NOMINALES"/>
    <n v="0"/>
    <n v="3530.96"/>
    <s v="NEGOCIOS"/>
    <x v="4"/>
  </r>
  <r>
    <n v="91"/>
    <d v="2018-06-15T00:00:00"/>
    <x v="2"/>
    <x v="2"/>
    <x v="0"/>
    <s v="TELEMERCADEO"/>
    <s v="NC GASTO NO DEDUCIBLES"/>
    <s v="TRANSACCIONES DEL DIA 06/15/2018SPYRAL - GESTION ADMINISTRATIVA"/>
    <n v="114.97"/>
    <n v="0"/>
    <s v="NEGOCIOS"/>
    <x v="4"/>
  </r>
  <r>
    <n v="91"/>
    <d v="2018-06-19T00:00:00"/>
    <x v="2"/>
    <x v="2"/>
    <x v="0"/>
    <s v="TELEMERCADEO"/>
    <s v="GASTOS NO DEDUCIBLES"/>
    <s v="TRANSACCIONES DEL DIA 06/19/2018SPYRAL - GESTION ADMINISTRATIVA"/>
    <n v="107.45"/>
    <n v="0"/>
    <s v="NEGOCIOS"/>
    <x v="4"/>
  </r>
  <r>
    <n v="91"/>
    <d v="2018-06-20T00:00:00"/>
    <x v="2"/>
    <x v="2"/>
    <x v="0"/>
    <s v="TELEMERCADEO"/>
    <s v="NC GASTO NO DEDUCIBLES"/>
    <s v="TRANSACCIONES DEL DIA 06/20/2018SPYRAL - GESTION ADMINISTRATIVA"/>
    <n v="135.55000000000001"/>
    <n v="0"/>
    <s v="NEGOCIOS"/>
    <x v="4"/>
  </r>
  <r>
    <n v="91"/>
    <d v="2018-06-20T00:00:00"/>
    <x v="2"/>
    <x v="2"/>
    <x v="0"/>
    <s v="TELEMERCADEO"/>
    <s v="GASTOS NO DEDUCIBLES"/>
    <s v="TRANSACCIONES DEL DIA 06/20/2018SPYRAL - GESTION ADMINISTRATIVA"/>
    <n v="25"/>
    <n v="0"/>
    <s v="NEGOCIOS"/>
    <x v="4"/>
  </r>
  <r>
    <n v="91"/>
    <d v="2018-06-22T00:00:00"/>
    <x v="2"/>
    <x v="2"/>
    <x v="0"/>
    <s v="TELEMERCADEO"/>
    <s v="GASTOS NO DEDUCIBLES"/>
    <s v="TRANSACCIONES DEL DIA 06/22/2018SPYRAL - GESTION ADMINISTRATIVA"/>
    <n v="76"/>
    <n v="0"/>
    <s v="NEGOCIOS"/>
    <x v="4"/>
  </r>
  <r>
    <n v="91"/>
    <d v="2018-07-09T00:00:00"/>
    <x v="6"/>
    <x v="6"/>
    <x v="0"/>
    <s v="TELEMERCADEO"/>
    <s v="GASTOS NO DEDUCIBLES"/>
    <s v="TRANSACCIONES DEL DIA 07/09/2018SPYRAL - GESTION ADMINISTRATIVA"/>
    <n v="53.93"/>
    <n v="0"/>
    <s v="NEGOCIOS"/>
    <x v="4"/>
  </r>
  <r>
    <n v="91"/>
    <d v="2018-07-16T00:00:00"/>
    <x v="6"/>
    <x v="6"/>
    <x v="0"/>
    <s v="TELEMERCADEO"/>
    <s v="GASTOS NO DEDUCIBLES"/>
    <s v="TRANSACCIONES DEL DIA 07/16/2018SPYRAL - GESTION ADMINISTRATIVA"/>
    <n v="8"/>
    <n v="0"/>
    <s v="NEGOCIOS"/>
    <x v="4"/>
  </r>
  <r>
    <n v="91"/>
    <d v="2018-07-26T00:00:00"/>
    <x v="6"/>
    <x v="6"/>
    <x v="0"/>
    <s v="TELEMERCADEO"/>
    <s v="NC GASTO NO DEDUCIBLES"/>
    <s v="TRANSACCIONES DEL DIA 07/26/2018SPYRAL - GESTION ADMINISTRATIVA"/>
    <n v="420.14"/>
    <n v="0"/>
    <s v="NEGOCIOS"/>
    <x v="4"/>
  </r>
  <r>
    <n v="91"/>
    <d v="2018-07-27T00:00:00"/>
    <x v="6"/>
    <x v="6"/>
    <x v="0"/>
    <s v="TELEMERCADEO"/>
    <s v="GASTOS NO DEDUCIBLES"/>
    <s v="TRANSACCIONES DEL DIA 07/27/2018SPYRAL - GESTION ADMINISTRATIVA"/>
    <n v="2.5"/>
    <n v="0"/>
    <s v="NEGOCIOS"/>
    <x v="4"/>
  </r>
  <r>
    <n v="91"/>
    <d v="2018-08-03T00:00:00"/>
    <x v="3"/>
    <x v="3"/>
    <x v="0"/>
    <s v="TELEMERCADEO"/>
    <s v="NC GASTO NO DEDUCIBLES"/>
    <s v="TRANSACCIONES DEL DIA 08/03/2018SPYRAL - GESTION ADMINISTRATIVA"/>
    <n v="2.14"/>
    <n v="0"/>
    <s v="NEGOCIOS"/>
    <x v="4"/>
  </r>
  <r>
    <n v="91"/>
    <d v="2018-08-14T00:00:00"/>
    <x v="3"/>
    <x v="3"/>
    <x v="0"/>
    <s v="TELEMERCADEO"/>
    <s v="NC GASTO NO DEDUCIBLES"/>
    <s v="TRANSACCIONES DEL DIA 08/14/2018SPYRAL - GESTION ADMINISTRATIVA"/>
    <n v="146.36000000000001"/>
    <n v="0"/>
    <s v="NEGOCIOS"/>
    <x v="4"/>
  </r>
  <r>
    <n v="91"/>
    <d v="2018-09-06T00:00:00"/>
    <x v="4"/>
    <x v="4"/>
    <x v="0"/>
    <s v="TELEMERCADEO"/>
    <s v="NC GASTO NO DEDUCIBLES"/>
    <s v="TRANSACCIONES DEL DIA 09/06/2018SPYRAL - GESTION ADMINISTRATIVA"/>
    <n v="8.57"/>
    <n v="0"/>
    <s v="NEGOCIOS"/>
    <x v="4"/>
  </r>
  <r>
    <n v="91"/>
    <d v="2018-09-18T00:00:00"/>
    <x v="4"/>
    <x v="4"/>
    <x v="0"/>
    <s v="TELEMERCADEO"/>
    <s v="GASTOS NO DEDUCIBLES"/>
    <s v="TRANSACCIONES DEL DIA 09/18/2018SPYRAL - GESTION ADMINISTRATIVA"/>
    <n v="36.35"/>
    <n v="0"/>
    <s v="NEGOCIOS"/>
    <x v="4"/>
  </r>
  <r>
    <n v="91"/>
    <d v="2018-09-24T00:00:00"/>
    <x v="4"/>
    <x v="4"/>
    <x v="0"/>
    <s v="TELEMERCADEO"/>
    <s v="NC GASTO NO DEDUCIBLES"/>
    <s v="TRANSACCIONES DEL DIA 09/24/2018SPYRAL - GESTION ADMINISTRATIVA"/>
    <n v="178.7"/>
    <n v="0"/>
    <s v="NEGOCIOS"/>
    <x v="4"/>
  </r>
  <r>
    <n v="91"/>
    <d v="2018-10-10T00:00:00"/>
    <x v="0"/>
    <x v="0"/>
    <x v="0"/>
    <s v="TELEMERCADEO"/>
    <s v="NC GASTO NO DEDUCIBLES"/>
    <s v="TRANSACCIONES DEL DIA 10/10/2018SPYRAL - GESTION ADMINISTRATIVA"/>
    <n v="65.86"/>
    <n v="0"/>
    <s v="NEGOCIOS"/>
    <x v="4"/>
  </r>
  <r>
    <n v="91"/>
    <d v="2018-10-18T00:00:00"/>
    <x v="0"/>
    <x v="0"/>
    <x v="0"/>
    <s v="TELEMERCADEO"/>
    <s v="GASTOS NO DEDUCIBLES"/>
    <s v="TRANSACCIONES DEL DIA 10/18/2018SPYRAL - GESTION ADMINISTRATIVA"/>
    <n v="49.5"/>
    <n v="0"/>
    <s v="NEGOCIOS"/>
    <x v="4"/>
  </r>
  <r>
    <n v="91"/>
    <d v="2018-11-12T00:00:00"/>
    <x v="5"/>
    <x v="5"/>
    <x v="0"/>
    <s v="TELEMERCADEO"/>
    <s v="GASTOS NO DEDUCIBLES"/>
    <s v="TRANSACCIONES DEL DIA 11/12/2018SPYRAL - GESTION ADMINISTRATIVA"/>
    <n v="96.8"/>
    <n v="0"/>
    <s v="NEGOCIOS"/>
    <x v="4"/>
  </r>
  <r>
    <n v="91"/>
    <d v="2018-12-12T00:00:00"/>
    <x v="1"/>
    <x v="1"/>
    <x v="0"/>
    <s v="TELEMERCADEO"/>
    <s v="GASTOS NO DEDUCIBLES"/>
    <s v="TRANSACCIONES DEL DIA 12/12/2018SPYRAL - GESTION ADMINISTRATIVA"/>
    <n v="69.790000000000006"/>
    <n v="0"/>
    <s v="NEGOCIOS"/>
    <x v="4"/>
  </r>
  <r>
    <n v="91"/>
    <d v="2018-12-14T00:00:00"/>
    <x v="1"/>
    <x v="1"/>
    <x v="0"/>
    <s v="TELEMERCADEO"/>
    <s v="NC GASTO NO DEDUCIBLES"/>
    <s v="TRANSACCIONES DEL DIA 12/14/2018SPYRAL - GESTION ADMINISTRATIVA"/>
    <n v="424.76"/>
    <n v="0"/>
    <s v="NEGOCIOS"/>
    <x v="4"/>
  </r>
  <r>
    <n v="91"/>
    <d v="2018-12-18T00:00:00"/>
    <x v="1"/>
    <x v="1"/>
    <x v="0"/>
    <s v="TELEMERCADEO"/>
    <s v="GASTOS NO DEDUCIBLES"/>
    <s v="TRANSACCIONES DEL DIA 12/18/2018SPYRAL - GESTION ADMINISTRATIVA"/>
    <n v="139.69"/>
    <n v="0"/>
    <s v="NEGOCIOS"/>
    <x v="4"/>
  </r>
  <r>
    <n v="91"/>
    <d v="2018-12-27T00:00:00"/>
    <x v="1"/>
    <x v="1"/>
    <x v="0"/>
    <s v="TELEMERCADEO"/>
    <s v="NC GASTO NO DEDUCIBLES"/>
    <s v="TRANSACCIONES DEL DIA 12/27/2018SPYRAL - GESTION ADMINISTRATIVA"/>
    <n v="1020"/>
    <n v="0"/>
    <s v="NEGOCIOS"/>
    <x v="4"/>
  </r>
  <r>
    <n v="91"/>
    <d v="2018-12-28T00:00:00"/>
    <x v="1"/>
    <x v="1"/>
    <x v="0"/>
    <s v="TELEMERCADEO"/>
    <s v="NC GASTO NO DEDUCIBLES"/>
    <s v="TRANSACCIONES DEL DIA 12/28/2018SPYRAL - GESTION ADMINISTRATIVA"/>
    <n v="130.16"/>
    <n v="0"/>
    <s v="NEGOCIOS"/>
    <x v="4"/>
  </r>
  <r>
    <n v="91"/>
    <d v="2018-12-28T00:00:00"/>
    <x v="1"/>
    <x v="1"/>
    <x v="0"/>
    <s v="TELEMERCADEO"/>
    <s v="GASTOS NO DEDUCIBLES"/>
    <s v="TRANSACCIONES DEL DIA 12/28/2018SPYRAL - GESTION ADMINISTRATIVA"/>
    <n v="75.260000000000005"/>
    <n v="0"/>
    <s v="NEGOCIOS"/>
    <x v="4"/>
  </r>
  <r>
    <n v="91"/>
    <d v="2018-12-31T00:00:00"/>
    <x v="1"/>
    <x v="1"/>
    <x v="0"/>
    <s v="TELEMERCADEO"/>
    <s v="CIERRE DE ANIO FISCAL"/>
    <s v="CIERRE_DE_CTAS_NOMINALES"/>
    <n v="0"/>
    <n v="4275.12"/>
    <s v="NEGOCIOS"/>
    <x v="4"/>
  </r>
  <r>
    <n v="91"/>
    <d v="2018-06-11T00:00:00"/>
    <x v="2"/>
    <x v="2"/>
    <x v="0"/>
    <s v="BANCA EN LINEA"/>
    <s v="GASTOS NO DEDUCIBLES"/>
    <s v="TRANSACCIONES DEL DIA 06/11/2018SPYRAL - GESTION ADMINISTRATIVA"/>
    <n v="120"/>
    <n v="0"/>
    <s v="NEGOCIOS"/>
    <x v="4"/>
  </r>
  <r>
    <n v="91"/>
    <d v="2018-07-20T00:00:00"/>
    <x v="6"/>
    <x v="6"/>
    <x v="0"/>
    <s v="BANCA EN LINEA"/>
    <s v="GASTOS NO DEDUCIBLES"/>
    <s v="TRANSACCIONES DEL DIA 07/20/2018SPYRAL - GESTION ADMINISTRATIVA"/>
    <n v="281.54000000000002"/>
    <n v="0"/>
    <s v="NEGOCIOS"/>
    <x v="4"/>
  </r>
  <r>
    <n v="91"/>
    <d v="2018-09-14T00:00:00"/>
    <x v="4"/>
    <x v="4"/>
    <x v="0"/>
    <s v="BANCA EN LINEA"/>
    <s v="NC GASTO NO DEDUCIBLES"/>
    <s v="TRANSACCIONES DEL DIA 09/14/2018SPYRAL - GESTION ADMINISTRATIVA"/>
    <n v="129"/>
    <n v="0"/>
    <s v="NEGOCIOS"/>
    <x v="4"/>
  </r>
  <r>
    <n v="91"/>
    <d v="2018-12-31T00:00:00"/>
    <x v="1"/>
    <x v="1"/>
    <x v="0"/>
    <s v="BANCA EN LINEA"/>
    <s v="CIERRE DE ANIO FISCAL"/>
    <s v="CIERRE_DE_CTAS_NOMINALES"/>
    <n v="0"/>
    <n v="1027.56"/>
    <s v="NEGOCIOS"/>
    <x v="4"/>
  </r>
  <r>
    <n v="91"/>
    <d v="2018-06-08T00:00:00"/>
    <x v="2"/>
    <x v="2"/>
    <x v="0"/>
    <s v="ATM"/>
    <s v="GASTOS NO DEDUCIBLES"/>
    <s v="TRANSACCIONES DEL DIA 06/08/2018SPYRAL - GESTION ADMINISTRATIVA"/>
    <n v="20.95"/>
    <n v="0"/>
    <s v="NEGOCIOS"/>
    <x v="4"/>
  </r>
  <r>
    <n v="91"/>
    <d v="2018-06-20T00:00:00"/>
    <x v="2"/>
    <x v="2"/>
    <x v="0"/>
    <s v="ATM"/>
    <s v="GASTOS NO DEDUCIBLES"/>
    <s v="TRANSACCIONES DEL DIA 06/20/2018SPYRAL - GESTION ADMINISTRATIVA"/>
    <n v="37.29"/>
    <n v="0"/>
    <s v="NEGOCIOS"/>
    <x v="4"/>
  </r>
  <r>
    <n v="91"/>
    <d v="2018-07-16T00:00:00"/>
    <x v="6"/>
    <x v="6"/>
    <x v="0"/>
    <s v="ATM"/>
    <s v="GASTOS NO DEDUCIBLES"/>
    <s v="TRANSACCIONES DEL DIA 07/16/2018SPYRAL - GESTION ADMINISTRATIVA"/>
    <n v="25.95"/>
    <n v="0"/>
    <s v="NEGOCIOS"/>
    <x v="4"/>
  </r>
  <r>
    <n v="91"/>
    <d v="2018-08-23T00:00:00"/>
    <x v="3"/>
    <x v="3"/>
    <x v="0"/>
    <s v="ATM"/>
    <s v="GASTOS NO DEDUCIBLES"/>
    <s v="TRANSACCIONES DEL DIA 08/23/2018SPYRAL - GESTION ADMINISTRATIVA"/>
    <n v="79.48"/>
    <n v="0"/>
    <s v="NEGOCIOS"/>
    <x v="4"/>
  </r>
  <r>
    <n v="91"/>
    <d v="2018-09-07T00:00:00"/>
    <x v="4"/>
    <x v="4"/>
    <x v="0"/>
    <s v="ATM"/>
    <s v="GASTOS NO DEDUCIBLES"/>
    <s v="TRANSACCIONES DEL DIA 09/07/2018SPYRAL - GESTION ADMINISTRATIVA"/>
    <n v="25.95"/>
    <n v="0"/>
    <s v="NEGOCIOS"/>
    <x v="4"/>
  </r>
  <r>
    <n v="91"/>
    <d v="2018-09-12T00:00:00"/>
    <x v="4"/>
    <x v="4"/>
    <x v="0"/>
    <s v="ATM"/>
    <s v="GASTOS NO DEDUCIBLES"/>
    <s v="TRANSACCIONES DEL DIA 09/12/2018SPYRAL - GESTION ADMINISTRATIVA"/>
    <n v="25.95"/>
    <n v="0"/>
    <s v="NEGOCIOS"/>
    <x v="4"/>
  </r>
  <r>
    <n v="91"/>
    <d v="2018-10-24T00:00:00"/>
    <x v="0"/>
    <x v="0"/>
    <x v="0"/>
    <s v="ATM"/>
    <s v="GASTOS NO DEDUCIBLES"/>
    <s v="TRANSACCIONES DEL DIA 10/24/2018SPYRAL - GESTION ADMINISTRATIVA"/>
    <n v="25.95"/>
    <n v="0"/>
    <s v="NEGOCIOS"/>
    <x v="4"/>
  </r>
  <r>
    <n v="91"/>
    <d v="2018-12-07T00:00:00"/>
    <x v="1"/>
    <x v="1"/>
    <x v="0"/>
    <s v="ATM"/>
    <s v="NC GASTO NO DEDUCIBLES"/>
    <s v="TRANSACCIONES DEL DIA 12/07/2018SPYRAL - GESTION ADMINISTRATIVA"/>
    <n v="329.94"/>
    <n v="0"/>
    <s v="NEGOCIOS"/>
    <x v="4"/>
  </r>
  <r>
    <n v="91"/>
    <d v="2018-12-31T00:00:00"/>
    <x v="1"/>
    <x v="1"/>
    <x v="0"/>
    <s v="ATM"/>
    <s v="CIERRE DE ANIO FISCAL"/>
    <s v="CIERRE_DE_CTAS_NOMINALES"/>
    <n v="0"/>
    <n v="979.14"/>
    <s v="NEGOCIOS"/>
    <x v="4"/>
  </r>
  <r>
    <n v="91"/>
    <d v="2018-06-01T00:00:00"/>
    <x v="2"/>
    <x v="2"/>
    <x v="0"/>
    <s v="ATENCION A CLIENTES"/>
    <s v="NC GASTO NO DEDUCIBLES"/>
    <s v="TRANSACCIONES DEL DIA 06/01/2018SPYRAL - GESTION ADMINISTRATIVA"/>
    <n v="80"/>
    <n v="0"/>
    <s v="NEGOCIOS"/>
    <x v="4"/>
  </r>
  <r>
    <n v="91"/>
    <d v="2018-06-01T00:00:00"/>
    <x v="2"/>
    <x v="2"/>
    <x v="0"/>
    <s v="ATENCION A CLIENTES"/>
    <s v="GASTOS NO DEDUCIBLES"/>
    <s v="TRANSACCIONES DEL DIA 06/01/2018SPYRAL - GESTION ADMINISTRATIVA"/>
    <n v="11.8"/>
    <n v="0"/>
    <s v="NEGOCIOS"/>
    <x v="4"/>
  </r>
  <r>
    <n v="91"/>
    <d v="2018-06-08T00:00:00"/>
    <x v="2"/>
    <x v="2"/>
    <x v="0"/>
    <s v="ATENCION A CLIENTES"/>
    <s v="GASTOS NO DEDUCIBLES"/>
    <s v="TRANSACCIONES DEL DIA 06/08/2018SPYRAL - GESTION ADMINISTRATIVA"/>
    <n v="51.92"/>
    <n v="0"/>
    <s v="NEGOCIOS"/>
    <x v="4"/>
  </r>
  <r>
    <n v="91"/>
    <d v="2018-07-02T00:00:00"/>
    <x v="6"/>
    <x v="6"/>
    <x v="0"/>
    <s v="ATENCION A CLIENTES"/>
    <s v="NC GASTO NO DEDUCIBLES"/>
    <s v="TRANSACCIONES DEL DIA 07/02/2018SPYRAL - GESTION ADMINISTRATIVA"/>
    <n v="12.64"/>
    <n v="0"/>
    <s v="NEGOCIOS"/>
    <x v="4"/>
  </r>
  <r>
    <n v="91"/>
    <d v="2018-07-21T00:00:00"/>
    <x v="6"/>
    <x v="6"/>
    <x v="0"/>
    <s v="ATENCION A CLIENTES"/>
    <s v="GASTOS NO DEDUCIBLES"/>
    <s v="TRANSACCIONES DEL DIA 07/21/2018SPYRAL - GESTION ADMINISTRATIVA"/>
    <n v="54.79"/>
    <n v="0"/>
    <s v="NEGOCIOS"/>
    <x v="4"/>
  </r>
  <r>
    <n v="91"/>
    <d v="2018-08-15T00:00:00"/>
    <x v="3"/>
    <x v="3"/>
    <x v="0"/>
    <s v="ATENCION A CLIENTES"/>
    <s v="GASTOS NO DEDUCIBLES"/>
    <s v="TRANSACCIONES DEL DIA 08/15/2018SPYRAL - GESTION ADMINISTRATIVA"/>
    <n v="100"/>
    <n v="0"/>
    <s v="NEGOCIOS"/>
    <x v="4"/>
  </r>
  <r>
    <n v="91"/>
    <d v="2018-08-27T00:00:00"/>
    <x v="3"/>
    <x v="3"/>
    <x v="0"/>
    <s v="ATENCION A CLIENTES"/>
    <s v="GASTOS NO DEDUCIBLES"/>
    <s v="TRANSACCIONES DEL DIA 08/27/2018SPYRAL - GESTION ADMINISTRATIVA"/>
    <n v="41.08"/>
    <n v="0"/>
    <s v="NEGOCIOS"/>
    <x v="4"/>
  </r>
  <r>
    <n v="91"/>
    <d v="2018-09-07T00:00:00"/>
    <x v="4"/>
    <x v="4"/>
    <x v="0"/>
    <s v="ATENCION A CLIENTES"/>
    <s v="GASTOS NO DEDUCIBLES"/>
    <s v="TRANSACCIONES DEL DIA 09/07/2018SPYRAL - GESTION ADMINISTRATIVA"/>
    <n v="54.2"/>
    <n v="0"/>
    <s v="NEGOCIOS"/>
    <x v="4"/>
  </r>
  <r>
    <n v="91"/>
    <d v="2018-09-08T00:00:00"/>
    <x v="4"/>
    <x v="4"/>
    <x v="0"/>
    <s v="ATENCION A CLIENTES"/>
    <s v="GASTOS NO DEDUCIBLES"/>
    <s v="TRANSACCIONES DEL DIA 09/08/2018SPYRAL - GESTION ADMINISTRATIVA"/>
    <n v="81.099999999999994"/>
    <n v="0"/>
    <s v="NEGOCIOS"/>
    <x v="4"/>
  </r>
  <r>
    <n v="91"/>
    <d v="2018-10-24T00:00:00"/>
    <x v="0"/>
    <x v="0"/>
    <x v="0"/>
    <s v="ATENCION A CLIENTES"/>
    <s v="GASTOS NO DEDUCIBLES"/>
    <s v="TRANSACCIONES DEL DIA 10/24/2018SPYRAL - GESTION ADMINISTRATIVA"/>
    <n v="25"/>
    <n v="0"/>
    <s v="NEGOCIOS"/>
    <x v="4"/>
  </r>
  <r>
    <n v="91"/>
    <d v="2018-11-12T00:00:00"/>
    <x v="5"/>
    <x v="5"/>
    <x v="0"/>
    <s v="ATENCION A CLIENTES"/>
    <s v="GASTOS NO DEDUCIBLES"/>
    <s v="TRANSACCIONES DEL DIA 11/12/2018SPYRAL - GESTION ADMINISTRATIVA"/>
    <n v="54.66"/>
    <n v="0"/>
    <s v="NEGOCIOS"/>
    <x v="4"/>
  </r>
  <r>
    <n v="91"/>
    <d v="2018-12-04T00:00:00"/>
    <x v="1"/>
    <x v="1"/>
    <x v="0"/>
    <s v="ATENCION A CLIENTES"/>
    <s v="GASTOS NO DEDUCIBLES"/>
    <s v="TRANSACCIONES DEL DIA 12/04/2018SPYRAL - GESTION ADMINISTRATIVA"/>
    <n v="282.94"/>
    <n v="0"/>
    <s v="NEGOCIOS"/>
    <x v="4"/>
  </r>
  <r>
    <n v="91"/>
    <d v="2018-12-04T00:00:00"/>
    <x v="1"/>
    <x v="1"/>
    <x v="0"/>
    <s v="ATENCION A CLIENTES"/>
    <s v="NC GASTO NO DEDUCIBLES"/>
    <s v="TRANSACCIONES DEL DIA 12/04/2018SPYRAL - GESTION ADMINISTRATIVA"/>
    <n v="80.25"/>
    <n v="0"/>
    <s v="NEGOCIOS"/>
    <x v="4"/>
  </r>
  <r>
    <n v="91"/>
    <d v="2018-12-13T00:00:00"/>
    <x v="1"/>
    <x v="1"/>
    <x v="0"/>
    <s v="ATENCION A CLIENTES"/>
    <s v="GASTOS NO DEDUCIBLES"/>
    <s v="TRANSACCIONES DEL DIA 12/13/2018SPYRAL - GESTION ADMINISTRATIVA"/>
    <n v="221.25"/>
    <n v="0"/>
    <s v="NEGOCIOS"/>
    <x v="4"/>
  </r>
  <r>
    <n v="91"/>
    <d v="2018-12-17T00:00:00"/>
    <x v="1"/>
    <x v="1"/>
    <x v="0"/>
    <s v="ATENCION A CLIENTES"/>
    <s v="GASTOS NO DEDUCIBLES"/>
    <s v="TRANSACCIONES DEL DIA 12/17/2018SPYRAL - GESTION ADMINISTRATIVA"/>
    <n v="138.66"/>
    <n v="0"/>
    <s v="NEGOCIOS"/>
    <x v="4"/>
  </r>
  <r>
    <n v="91"/>
    <d v="2018-12-20T00:00:00"/>
    <x v="1"/>
    <x v="1"/>
    <x v="0"/>
    <s v="ATENCION A CLIENTES"/>
    <s v="NC GASTO NO DEDUCIBLES"/>
    <s v="TRANSACCIONES DEL DIA 12/20/2018SPYRAL - GESTION ADMINISTRATIVA"/>
    <n v="56.5"/>
    <n v="0"/>
    <s v="NEGOCIOS"/>
    <x v="4"/>
  </r>
  <r>
    <n v="91"/>
    <d v="2018-12-26T00:00:00"/>
    <x v="1"/>
    <x v="1"/>
    <x v="0"/>
    <s v="ATENCION A CLIENTES"/>
    <s v="GASTOS NO DEDUCIBLES"/>
    <s v="TRANSACCIONES DEL DIA 12/26/2018SPYRAL - GESTION ADMINISTRATIVA"/>
    <n v="498"/>
    <n v="0"/>
    <s v="NEGOCIOS"/>
    <x v="4"/>
  </r>
  <r>
    <n v="91"/>
    <d v="2018-12-28T00:00:00"/>
    <x v="1"/>
    <x v="1"/>
    <x v="0"/>
    <s v="ATENCION A CLIENTES"/>
    <s v="GASTOS NO DEDUCIBLES"/>
    <s v="TRANSACCIONES DEL DIA 12/28/2018SPYRAL - GESTION ADMINISTRATIVA"/>
    <n v="66.86"/>
    <n v="0"/>
    <s v="NEGOCIOS"/>
    <x v="4"/>
  </r>
  <r>
    <n v="91"/>
    <d v="2018-12-31T00:00:00"/>
    <x v="1"/>
    <x v="1"/>
    <x v="0"/>
    <s v="ATENCION A CLIENTES"/>
    <s v="CIERRE DE ANIO FISCAL"/>
    <s v="CIERRE_DE_CTAS_NOMINALES"/>
    <n v="0"/>
    <n v="2262.7600000000002"/>
    <s v="NEGOCIOS"/>
    <x v="4"/>
  </r>
  <r>
    <n v="91"/>
    <d v="2018-07-05T00:00:00"/>
    <x v="6"/>
    <x v="6"/>
    <x v="0"/>
    <s v="GESTION Y CONTROL CANALES ALTERNOS"/>
    <s v="GASTOS NO DEDUCIBLES"/>
    <s v="TRANSACCIONES DEL DIA 07/05/2018SPYRAL - GESTION ADMINISTRATIVA"/>
    <n v="25"/>
    <n v="0"/>
    <s v="NEGOCIOS"/>
    <x v="4"/>
  </r>
  <r>
    <n v="91"/>
    <d v="2018-12-20T00:00:00"/>
    <x v="1"/>
    <x v="1"/>
    <x v="0"/>
    <s v="GESTION Y CONTROL CANALES ALTERNOS"/>
    <s v="NC GASTO NO DEDUCIBLES"/>
    <s v="TRANSACCIONES DEL DIA 12/20/2018SPYRAL - GESTION ADMINISTRATIVA"/>
    <n v="154.43"/>
    <n v="0"/>
    <s v="NEGOCIOS"/>
    <x v="4"/>
  </r>
  <r>
    <n v="91"/>
    <d v="2018-12-24T00:00:00"/>
    <x v="1"/>
    <x v="1"/>
    <x v="0"/>
    <s v="GESTION Y CONTROL CANALES ALTERNOS"/>
    <s v="NC GASTO NO DEDUCIBLES"/>
    <s v="TRANSACCIONES DEL DIA 12/24/2018SPYRAL - GESTION ADMINISTRATIVA"/>
    <n v="475"/>
    <n v="0"/>
    <s v="NEGOCIOS"/>
    <x v="4"/>
  </r>
  <r>
    <n v="91"/>
    <d v="2018-12-27T00:00:00"/>
    <x v="1"/>
    <x v="1"/>
    <x v="0"/>
    <s v="GESTION Y CONTROL CANALES ALTERNOS"/>
    <s v="NC GASTO NO DEDUCIBLES"/>
    <s v="TRANSACCIONES DEL DIA 12/27/2018SPYRAL - GESTION ADMINISTRATIVA"/>
    <n v="101.26"/>
    <n v="0"/>
    <s v="NEGOCIOS"/>
    <x v="4"/>
  </r>
  <r>
    <n v="91"/>
    <d v="2018-12-31T00:00:00"/>
    <x v="1"/>
    <x v="1"/>
    <x v="0"/>
    <s v="GESTION Y CONTROL CANALES ALTERNOS"/>
    <s v="CIERRE DE ANIO FISCAL"/>
    <s v="CIERRE_DE_CTAS_NOMINALES"/>
    <n v="0"/>
    <n v="1250.5"/>
    <s v="NEGOCIOS"/>
    <x v="4"/>
  </r>
  <r>
    <n v="91"/>
    <d v="2018-06-06T00:00:00"/>
    <x v="2"/>
    <x v="2"/>
    <x v="0"/>
    <s v="DESARROLLO DE PRODUCTOS"/>
    <s v="GASTOS NO DEDUCIBLES"/>
    <s v="TRANSACCIONES DEL DIA 06/06/2018SPYRAL - GESTION ADMINISTRATIVA"/>
    <n v="62.6"/>
    <n v="0"/>
    <s v="NEGOCIOS"/>
    <x v="4"/>
  </r>
  <r>
    <n v="91"/>
    <d v="2018-06-26T00:00:00"/>
    <x v="2"/>
    <x v="2"/>
    <x v="0"/>
    <s v="DESARROLLO DE PRODUCTOS"/>
    <s v="GASTOS NO DEDUCIBLES"/>
    <s v="TRANSACCIONES DEL DIA 06/26/2018SPYRAL - GESTION ADMINISTRATIVA"/>
    <n v="75.900000000000006"/>
    <n v="0"/>
    <s v="NEGOCIOS"/>
    <x v="4"/>
  </r>
  <r>
    <n v="91"/>
    <d v="2018-06-27T00:00:00"/>
    <x v="2"/>
    <x v="2"/>
    <x v="0"/>
    <s v="DESARROLLO DE PRODUCTOS"/>
    <s v="GASTOS NO DEDUCIBLES"/>
    <s v="TRANSACCIONES DEL DIA 06/27/2018SPYRAL - GESTION ADMINISTRATIVA"/>
    <n v="67.5"/>
    <n v="0"/>
    <s v="NEGOCIOS"/>
    <x v="4"/>
  </r>
  <r>
    <n v="91"/>
    <d v="2018-06-28T00:00:00"/>
    <x v="2"/>
    <x v="2"/>
    <x v="0"/>
    <s v="DESARROLLO DE PRODUCTOS"/>
    <s v="GASTOS NO DEDUCIBLES"/>
    <s v="TRANSACCIONES DEL DIA 06/28/2018SPYRAL - GESTION ADMINISTRATIVA"/>
    <n v="70"/>
    <n v="0"/>
    <s v="NEGOCIOS"/>
    <x v="4"/>
  </r>
  <r>
    <n v="91"/>
    <d v="2018-07-30T00:00:00"/>
    <x v="6"/>
    <x v="6"/>
    <x v="0"/>
    <s v="DESARROLLO DE PRODUCTOS"/>
    <s v="GASTOS NO DEDUCIBLES"/>
    <s v="TRANSACCIONES DEL DIA 07/30/2018SPYRAL - GESTION ADMINISTRATIVA"/>
    <n v="30"/>
    <n v="0"/>
    <s v="NEGOCIOS"/>
    <x v="4"/>
  </r>
  <r>
    <n v="91"/>
    <d v="2018-08-08T00:00:00"/>
    <x v="3"/>
    <x v="3"/>
    <x v="0"/>
    <s v="DESARROLLO DE PRODUCTOS"/>
    <s v="GASTOS NO DEDUCIBLES"/>
    <s v="TRANSACCIONES DEL DIA 08/08/2018SPYRAL - GESTION ADMINISTRATIVA"/>
    <n v="7696.4"/>
    <n v="0"/>
    <s v="NEGOCIOS"/>
    <x v="4"/>
  </r>
  <r>
    <n v="91"/>
    <d v="2018-09-11T00:00:00"/>
    <x v="4"/>
    <x v="4"/>
    <x v="0"/>
    <s v="DESARROLLO DE PRODUCTOS"/>
    <s v="GASTOS NO DEDUCIBLES"/>
    <s v="TRANSACCIONES DEL DIA 09/11/2018SPYRAL - GESTION ADMINISTRATIVA"/>
    <n v="35"/>
    <n v="0"/>
    <s v="NEGOCIOS"/>
    <x v="4"/>
  </r>
  <r>
    <n v="91"/>
    <d v="2018-09-25T00:00:00"/>
    <x v="4"/>
    <x v="4"/>
    <x v="0"/>
    <s v="DESARROLLO DE PRODUCTOS"/>
    <s v="GASTOS NO DEDUCIBLES"/>
    <s v="TRANSACCIONES DEL DIA 09/25/2018SPYRAL - GESTION ADMINISTRATIVA"/>
    <n v="26"/>
    <n v="0"/>
    <s v="NEGOCIOS"/>
    <x v="4"/>
  </r>
  <r>
    <n v="91"/>
    <d v="2018-10-05T00:00:00"/>
    <x v="0"/>
    <x v="0"/>
    <x v="0"/>
    <s v="DESARROLLO DE PRODUCTOS"/>
    <s v="GASTOS NO DEDUCIBLES"/>
    <s v="TRANSACCIONES DEL DIA 10/05/2018SPYRAL - GESTION ADMINISTRATIVA"/>
    <n v="22.7"/>
    <n v="0"/>
    <s v="NEGOCIOS"/>
    <x v="4"/>
  </r>
  <r>
    <n v="91"/>
    <d v="2018-10-11T00:00:00"/>
    <x v="0"/>
    <x v="0"/>
    <x v="0"/>
    <s v="DESARROLLO DE PRODUCTOS"/>
    <s v="GASTOS NO DEDUCIBLES"/>
    <s v="TRANSACCIONES DEL DIA 10/11/2018SPYRAL - GESTION ADMINISTRATIVA"/>
    <n v="136"/>
    <n v="0"/>
    <s v="NEGOCIOS"/>
    <x v="4"/>
  </r>
  <r>
    <n v="91"/>
    <d v="2018-11-23T00:00:00"/>
    <x v="5"/>
    <x v="5"/>
    <x v="0"/>
    <s v="DESARROLLO DE PRODUCTOS"/>
    <s v="GASTOS NO DEDUCIBLES"/>
    <s v="TRANSACCIONES DEL DIA 11/23/2018SPYRAL - GESTION ADMINISTRATIVA"/>
    <n v="140.19999999999999"/>
    <n v="0"/>
    <s v="NEGOCIOS"/>
    <x v="4"/>
  </r>
  <r>
    <n v="91"/>
    <d v="2018-11-24T00:00:00"/>
    <x v="5"/>
    <x v="5"/>
    <x v="0"/>
    <s v="DESARROLLO DE PRODUCTOS"/>
    <s v="GASTOS NO DEDUCIBLES"/>
    <s v="TRANSACCIONES DEL DIA 11/24/2018SPYRAL - GESTION ADMINISTRATIVA"/>
    <n v="146.9"/>
    <n v="0"/>
    <s v="NEGOCIOS"/>
    <x v="4"/>
  </r>
  <r>
    <n v="91"/>
    <d v="2018-12-31T00:00:00"/>
    <x v="1"/>
    <x v="1"/>
    <x v="0"/>
    <s v="DESARROLLO DE PRODUCTOS"/>
    <s v="CIERRE DE ANIO FISCAL"/>
    <s v="CIERRE_DE_CTAS_NOMINALES"/>
    <n v="0"/>
    <n v="8748.9599999999991"/>
    <s v="NEGOCIOS"/>
    <x v="4"/>
  </r>
  <r>
    <n v="91"/>
    <d v="2018-09-13T00:00:00"/>
    <x v="4"/>
    <x v="4"/>
    <x v="0"/>
    <s v="VENTAS CONSUMO"/>
    <s v="GASTOS NO DEDUCIBLES"/>
    <s v="TRANSACCIONES DEL DIA 09/13/2018SPYRAL - GESTION ADMINISTRATIVA"/>
    <n v="99.47"/>
    <n v="0"/>
    <s v="NEGOCIOS"/>
    <x v="4"/>
  </r>
  <r>
    <n v="91"/>
    <d v="2018-11-26T00:00:00"/>
    <x v="5"/>
    <x v="5"/>
    <x v="0"/>
    <s v="VENTAS CONSUMO"/>
    <s v="GASTOS NO DEDUCIBLES"/>
    <s v="TRANSACCIONES DEL DIA 11/26/2018SPYRAL - GESTION ADMINISTRATIVA"/>
    <n v="115.5"/>
    <n v="0"/>
    <s v="NEGOCIOS"/>
    <x v="4"/>
  </r>
  <r>
    <n v="91"/>
    <d v="2018-12-14T00:00:00"/>
    <x v="1"/>
    <x v="1"/>
    <x v="0"/>
    <s v="VENTAS CONSUMO"/>
    <s v="NC GASTO NO DEDUCIBLES"/>
    <s v="TRANSACCIONES DEL DIA 12/14/2018SPYRAL - GESTION ADMINISTRATIVA"/>
    <n v="21.98"/>
    <n v="0"/>
    <s v="NEGOCIOS"/>
    <x v="4"/>
  </r>
  <r>
    <n v="91"/>
    <d v="2018-12-21T00:00:00"/>
    <x v="1"/>
    <x v="1"/>
    <x v="0"/>
    <s v="VENTAS CONSUMO"/>
    <s v="NC GASTO NO DEDUCIBLES"/>
    <s v="TRANSACCIONES DEL DIA 12/21/2018SPYRAL - GESTION ADMINISTRATIVA"/>
    <n v="555.79999999999995"/>
    <n v="0"/>
    <s v="NEGOCIOS"/>
    <x v="4"/>
  </r>
  <r>
    <n v="91"/>
    <d v="2018-12-24T00:00:00"/>
    <x v="1"/>
    <x v="1"/>
    <x v="0"/>
    <s v="VENTAS CONSUMO"/>
    <s v="NC GASTO NO DEDUCIBLES"/>
    <s v="TRANSACCIONES DEL DIA 12/24/2018SPYRAL - GESTION ADMINISTRATIVA"/>
    <n v="1008.31"/>
    <n v="0"/>
    <s v="NEGOCIOS"/>
    <x v="4"/>
  </r>
  <r>
    <n v="91"/>
    <d v="2018-12-28T00:00:00"/>
    <x v="1"/>
    <x v="1"/>
    <x v="0"/>
    <s v="VENTAS CONSUMO"/>
    <s v="GASTOS NO DEDUCIBLES"/>
    <s v="TRANSACCIONES DEL DIA 12/28/2018SPYRAL - GESTION ADMINISTRATIVA"/>
    <n v="70"/>
    <n v="0"/>
    <s v="NEGOCIOS"/>
    <x v="4"/>
  </r>
  <r>
    <n v="91"/>
    <d v="2018-12-31T00:00:00"/>
    <x v="1"/>
    <x v="1"/>
    <x v="0"/>
    <s v="VENTAS CONSUMO"/>
    <s v="CIERRE DE ANIO FISCAL"/>
    <s v="CIERRE_DE_CTAS_NOMINALES"/>
    <n v="0"/>
    <n v="4787.0600000000004"/>
    <s v="NEGOCIOS"/>
    <x v="4"/>
  </r>
  <r>
    <n v="91"/>
    <d v="2018-06-20T00:00:00"/>
    <x v="2"/>
    <x v="2"/>
    <x v="0"/>
    <s v="FUERZAS DE VENTAS PANAMA"/>
    <s v="GASTOS NO DEDUCIBLES"/>
    <s v="TRANSACCIONES DEL DIA 06/20/2018SPYRAL - GESTION ADMINISTRATIVA"/>
    <n v="30.53"/>
    <n v="0"/>
    <s v="NEGOCIOS"/>
    <x v="4"/>
  </r>
  <r>
    <n v="91"/>
    <d v="2018-07-16T00:00:00"/>
    <x v="6"/>
    <x v="6"/>
    <x v="0"/>
    <s v="FUERZAS DE VENTAS PANAMA"/>
    <s v="GASTOS NO DEDUCIBLES"/>
    <s v="TRANSACCIONES DEL DIA 07/16/2018SPYRAL - GESTION ADMINISTRATIVA"/>
    <n v="22.75"/>
    <n v="0"/>
    <s v="NEGOCIOS"/>
    <x v="4"/>
  </r>
  <r>
    <n v="91"/>
    <d v="2018-08-09T00:00:00"/>
    <x v="3"/>
    <x v="3"/>
    <x v="0"/>
    <s v="FUERZAS DE VENTAS PANAMA"/>
    <s v="NC GASTO NO DEDUCIBLES"/>
    <s v="TRANSACCIONES DEL DIA 08/09/2018SPYRAL - GESTION ADMINISTRATIVA"/>
    <n v="436.59"/>
    <n v="0"/>
    <s v="NEGOCIOS"/>
    <x v="4"/>
  </r>
  <r>
    <n v="91"/>
    <d v="2018-08-15T00:00:00"/>
    <x v="3"/>
    <x v="3"/>
    <x v="0"/>
    <s v="FUERZAS DE VENTAS PANAMA"/>
    <s v="GASTOS NO DEDUCIBLES"/>
    <s v="TRANSACCIONES DEL DIA 08/15/2018SPYRAL - GESTION ADMINISTRATIVA"/>
    <n v="40"/>
    <n v="0"/>
    <s v="NEGOCIOS"/>
    <x v="4"/>
  </r>
  <r>
    <n v="91"/>
    <d v="2018-09-05T00:00:00"/>
    <x v="4"/>
    <x v="4"/>
    <x v="0"/>
    <s v="FUERZAS DE VENTAS PANAMA"/>
    <s v="GASTOS NO DEDUCIBLES"/>
    <s v="TRANSACCIONES DEL DIA 09/05/2018SPYRAL - GESTION ADMINISTRATIVA"/>
    <n v="22"/>
    <n v="0"/>
    <s v="NEGOCIOS"/>
    <x v="4"/>
  </r>
  <r>
    <n v="91"/>
    <d v="2018-09-06T00:00:00"/>
    <x v="4"/>
    <x v="4"/>
    <x v="0"/>
    <s v="FUERZAS DE VENTAS PANAMA"/>
    <s v="GASTOS NO DEDUCIBLES"/>
    <s v="TRANSACCIONES DEL DIA 09/06/2018SPYRAL - GESTION ADMINISTRATIVA"/>
    <n v="128"/>
    <n v="0"/>
    <s v="NEGOCIOS"/>
    <x v="4"/>
  </r>
  <r>
    <n v="91"/>
    <d v="2018-09-08T00:00:00"/>
    <x v="4"/>
    <x v="4"/>
    <x v="0"/>
    <s v="FUERZAS DE VENTAS PANAMA"/>
    <s v="GASTOS NO DEDUCIBLES"/>
    <s v="TRANSACCIONES DEL DIA 09/08/2018SPYRAL - GESTION ADMINISTRATIVA"/>
    <n v="64.55"/>
    <n v="0"/>
    <s v="NEGOCIOS"/>
    <x v="4"/>
  </r>
  <r>
    <n v="91"/>
    <d v="2018-09-22T00:00:00"/>
    <x v="4"/>
    <x v="4"/>
    <x v="0"/>
    <s v="FUERZAS DE VENTAS PANAMA"/>
    <s v="GASTOS NO DEDUCIBLES"/>
    <s v="TRANSACCIONES DEL DIA 09/22/2018SPYRAL - GESTION ADMINISTRATIVA"/>
    <n v="44.62"/>
    <n v="0"/>
    <s v="NEGOCIOS"/>
    <x v="4"/>
  </r>
  <r>
    <n v="91"/>
    <d v="2018-09-26T00:00:00"/>
    <x v="4"/>
    <x v="4"/>
    <x v="0"/>
    <s v="FUERZAS DE VENTAS PANAMA"/>
    <s v="GASTOS NO DEDUCIBLES"/>
    <s v="TRANSACCIONES DEL DIA 09/26/2018SPYRAL - GESTION ADMINISTRATIVA"/>
    <n v="99.89"/>
    <n v="0"/>
    <s v="NEGOCIOS"/>
    <x v="4"/>
  </r>
  <r>
    <n v="91"/>
    <d v="2018-09-27T00:00:00"/>
    <x v="4"/>
    <x v="4"/>
    <x v="0"/>
    <s v="FUERZAS DE VENTAS PANAMA"/>
    <s v="GASTOS NO DEDUCIBLES"/>
    <s v="TRANSACCIONES DEL DIA 09/27/2018SPYRAL - GESTION ADMINISTRATIVA"/>
    <n v="17.28"/>
    <n v="0"/>
    <s v="NEGOCIOS"/>
    <x v="4"/>
  </r>
  <r>
    <n v="91"/>
    <d v="2018-10-01T00:00:00"/>
    <x v="0"/>
    <x v="0"/>
    <x v="0"/>
    <s v="FUERZAS DE VENTAS PANAMA"/>
    <s v="GASTOS NO DEDUCIBLES"/>
    <s v="TRANSACCIONES DEL DIA 10/01/2018SPYRAL - GESTION ADMINISTRATIVA"/>
    <n v="24.5"/>
    <n v="0"/>
    <s v="NEGOCIOS"/>
    <x v="4"/>
  </r>
  <r>
    <n v="91"/>
    <d v="2018-10-04T00:00:00"/>
    <x v="0"/>
    <x v="0"/>
    <x v="0"/>
    <s v="FUERZAS DE VENTAS PANAMA"/>
    <s v="GASTOS NO DEDUCIBLES"/>
    <s v="TRANSACCIONES DEL DIA 10/04/2018SPYRAL - GESTION ADMINISTRATIVA"/>
    <n v="15.75"/>
    <n v="0"/>
    <s v="NEGOCIOS"/>
    <x v="4"/>
  </r>
  <r>
    <n v="91"/>
    <d v="2018-11-01T00:00:00"/>
    <x v="5"/>
    <x v="5"/>
    <x v="0"/>
    <s v="FUERZAS DE VENTAS PANAMA"/>
    <s v="GASTOS NO DEDUCIBLES"/>
    <s v="TRANSACCIONES DEL DIA 11/01/2018SPYRAL - GESTION ADMINISTRATIVA"/>
    <n v="64"/>
    <n v="0"/>
    <s v="NEGOCIOS"/>
    <x v="4"/>
  </r>
  <r>
    <n v="91"/>
    <d v="2018-11-13T00:00:00"/>
    <x v="5"/>
    <x v="5"/>
    <x v="0"/>
    <s v="FUERZAS DE VENTAS PANAMA"/>
    <s v="NC GASTO NO DEDUCIBLES"/>
    <s v="TRANSACCIONES DEL DIA 11/13/2018SPYRAL - GESTION ADMINISTRATIVA"/>
    <n v="351.69"/>
    <n v="0"/>
    <s v="NEGOCIOS"/>
    <x v="4"/>
  </r>
  <r>
    <n v="91"/>
    <d v="2018-12-12T00:00:00"/>
    <x v="1"/>
    <x v="1"/>
    <x v="0"/>
    <s v="FUERZAS DE VENTAS PANAMA"/>
    <s v="GASTOS NO DEDUCIBLES"/>
    <s v="TRANSACCIONES DEL DIA 12/12/2018SPYRAL - GESTION ADMINISTRATIVA"/>
    <n v="99.43"/>
    <n v="0"/>
    <s v="NEGOCIOS"/>
    <x v="4"/>
  </r>
  <r>
    <n v="91"/>
    <d v="2018-12-14T00:00:00"/>
    <x v="1"/>
    <x v="1"/>
    <x v="0"/>
    <s v="FUERZAS DE VENTAS PANAMA"/>
    <s v="NC GASTO NO DEDUCIBLES"/>
    <s v="TRANSACCIONES DEL DIA 12/14/2018SPYRAL - GESTION ADMINISTRATIVA"/>
    <n v="1329.68"/>
    <n v="0"/>
    <s v="NEGOCIOS"/>
    <x v="4"/>
  </r>
  <r>
    <n v="91"/>
    <d v="2018-12-24T00:00:00"/>
    <x v="1"/>
    <x v="1"/>
    <x v="0"/>
    <s v="FUERZAS DE VENTAS PANAMA"/>
    <s v="GASTOS NO DEDUCIBLES"/>
    <s v="TRANSACCIONES DEL DIA 12/24/2018SPYRAL - GESTION ADMINISTRATIVA"/>
    <n v="362.5"/>
    <n v="0"/>
    <s v="NEGOCIOS"/>
    <x v="4"/>
  </r>
  <r>
    <n v="91"/>
    <d v="2018-12-24T00:00:00"/>
    <x v="1"/>
    <x v="1"/>
    <x v="0"/>
    <s v="FUERZAS DE VENTAS PANAMA"/>
    <s v="NC GASTO NO DEDUCIBLES"/>
    <s v="TRANSACCIONES DEL DIA 12/24/2018SPYRAL - GESTION ADMINISTRATIVA"/>
    <n v="113.14"/>
    <n v="0"/>
    <s v="NEGOCIOS"/>
    <x v="4"/>
  </r>
  <r>
    <n v="91"/>
    <d v="2018-12-26T00:00:00"/>
    <x v="1"/>
    <x v="1"/>
    <x v="0"/>
    <s v="FUERZAS DE VENTAS PANAMA"/>
    <s v="NC GASTO NO DEDUCIBLES"/>
    <s v="TRANSACCIONES DEL DIA 12/26/2018SPYRAL - GESTION ADMINISTRATIVA"/>
    <n v="826.3"/>
    <n v="0"/>
    <s v="NEGOCIOS"/>
    <x v="4"/>
  </r>
  <r>
    <n v="91"/>
    <d v="2018-12-28T00:00:00"/>
    <x v="1"/>
    <x v="1"/>
    <x v="0"/>
    <s v="FUERZAS DE VENTAS PANAMA"/>
    <s v="GASTOS NO DEDUCIBLES"/>
    <s v="TRANSACCIONES DEL DIA 12/28/2018SPYRAL - GESTION ADMINISTRATIVA"/>
    <n v="474"/>
    <n v="0"/>
    <s v="NEGOCIOS"/>
    <x v="4"/>
  </r>
  <r>
    <n v="91"/>
    <d v="2018-12-31T00:00:00"/>
    <x v="1"/>
    <x v="1"/>
    <x v="0"/>
    <s v="FUERZAS DE VENTAS PANAMA"/>
    <s v="CIERRE DE ANIO FISCAL"/>
    <s v="CIERRE_DE_CTAS_NOMINALES"/>
    <n v="0"/>
    <n v="5238.29"/>
    <s v="NEGOCIOS"/>
    <x v="4"/>
  </r>
  <r>
    <n v="91"/>
    <d v="2018-11-09T00:00:00"/>
    <x v="5"/>
    <x v="5"/>
    <x v="0"/>
    <s v="FUERZA DE VENTAS AUTOS"/>
    <s v="GASTOS NO DEDUCIBLES"/>
    <s v="TRANSACCIONES DEL DIA 11/09/2018SPYRAL - GESTION ADMINISTRATIVA"/>
    <n v="184.87"/>
    <n v="0"/>
    <s v="NEGOCIOS"/>
    <x v="4"/>
  </r>
  <r>
    <n v="91"/>
    <d v="2018-12-19T00:00:00"/>
    <x v="1"/>
    <x v="1"/>
    <x v="0"/>
    <s v="FUERZA DE VENTAS AUTOS"/>
    <s v="GASTOS NO DEDUCIBLES"/>
    <s v="TRANSACCIONES DEL DIA 12/19/2018SPYRAL - GESTION ADMINISTRATIVA"/>
    <n v="144"/>
    <n v="0"/>
    <s v="NEGOCIOS"/>
    <x v="4"/>
  </r>
  <r>
    <n v="91"/>
    <d v="2018-12-28T00:00:00"/>
    <x v="1"/>
    <x v="1"/>
    <x v="0"/>
    <s v="FUERZA DE VENTAS AUTOS"/>
    <s v="GASTOS NO DEDUCIBLES"/>
    <s v="TRANSACCIONES DEL DIA 12/28/2018SPYRAL - GESTION ADMINISTRATIVA"/>
    <n v="84"/>
    <n v="0"/>
    <s v="NEGOCIOS"/>
    <x v="4"/>
  </r>
  <r>
    <n v="91"/>
    <d v="2018-12-31T00:00:00"/>
    <x v="1"/>
    <x v="1"/>
    <x v="0"/>
    <s v="FUERZA DE VENTAS AUTOS"/>
    <s v="CIERRE DE ANIO FISCAL"/>
    <s v="CIERRE_DE_CTAS_NOMINALES"/>
    <n v="0"/>
    <n v="547.37"/>
    <s v="NEGOCIOS"/>
    <x v="4"/>
  </r>
  <r>
    <n v="91"/>
    <d v="2018-06-28T00:00:00"/>
    <x v="2"/>
    <x v="2"/>
    <x v="0"/>
    <s v="SEGMENTO DE NEGOCIOS"/>
    <s v="GASTOS NO DEDUCIBLES"/>
    <s v="TRANSACCIONES DEL DIA 06/28/2018SPYRAL - GESTION ADMINISTRATIVA"/>
    <n v="30"/>
    <n v="0"/>
    <s v="NEGOCIOS"/>
    <x v="4"/>
  </r>
  <r>
    <n v="91"/>
    <d v="2018-07-12T00:00:00"/>
    <x v="6"/>
    <x v="6"/>
    <x v="0"/>
    <s v="SEGMENTO DE NEGOCIOS"/>
    <s v="GASTOS NO DEDUCIBLES"/>
    <s v="TRANSACCIONES DEL DIA 07/12/2018SPYRAL - GESTION ADMINISTRATIVA"/>
    <n v="30"/>
    <n v="0"/>
    <s v="NEGOCIOS"/>
    <x v="4"/>
  </r>
  <r>
    <n v="91"/>
    <d v="2018-09-08T00:00:00"/>
    <x v="4"/>
    <x v="4"/>
    <x v="0"/>
    <s v="SEGMENTO DE NEGOCIOS"/>
    <s v="GASTOS NO DEDUCIBLES"/>
    <s v="TRANSACCIONES DEL DIA 09/08/2018SPYRAL - GESTION ADMINISTRATIVA"/>
    <n v="29.4"/>
    <n v="0"/>
    <s v="NEGOCIOS"/>
    <x v="4"/>
  </r>
  <r>
    <n v="91"/>
    <d v="2018-10-02T00:00:00"/>
    <x v="0"/>
    <x v="0"/>
    <x v="0"/>
    <s v="SEGMENTO DE NEGOCIOS"/>
    <s v="NC GASTO NO DEDUCIBLES"/>
    <s v="TRANSACCIONES DEL DIA 10/02/2018SPYRAL - GESTION ADMINISTRATIVA"/>
    <n v="32.049999999999997"/>
    <n v="0"/>
    <s v="NEGOCIOS"/>
    <x v="4"/>
  </r>
  <r>
    <n v="91"/>
    <d v="2018-10-12T00:00:00"/>
    <x v="0"/>
    <x v="0"/>
    <x v="0"/>
    <s v="SEGMENTO DE NEGOCIOS"/>
    <s v="GASTOS NO DEDUCIBLES"/>
    <s v="TRANSACCIONES DEL DIA 10/12/2018SPYRAL - GESTION ADMINISTRATIVA"/>
    <n v="32.97"/>
    <n v="0"/>
    <s v="NEGOCIOS"/>
    <x v="4"/>
  </r>
  <r>
    <n v="91"/>
    <d v="2018-10-17T00:00:00"/>
    <x v="0"/>
    <x v="0"/>
    <x v="0"/>
    <s v="SEGMENTO DE NEGOCIOS"/>
    <s v="GASTOS NO DEDUCIBLES"/>
    <s v="TRANSACCIONES DEL DIA 10/17/2018SPYRAL - GESTION ADMINISTRATIVA"/>
    <n v="7.06"/>
    <n v="0"/>
    <s v="NEGOCIOS"/>
    <x v="4"/>
  </r>
  <r>
    <n v="91"/>
    <d v="2018-11-06T00:00:00"/>
    <x v="5"/>
    <x v="5"/>
    <x v="0"/>
    <s v="SEGMENTO DE NEGOCIOS"/>
    <s v="NC GASTO NO DEDUCIBLES"/>
    <s v="TRANSACCIONES DEL DIA 11/06/2018SPYRAL - GESTION ADMINISTRATIVA"/>
    <n v="15.95"/>
    <n v="0"/>
    <s v="NEGOCIOS"/>
    <x v="4"/>
  </r>
  <r>
    <n v="91"/>
    <d v="2018-12-18T00:00:00"/>
    <x v="1"/>
    <x v="1"/>
    <x v="0"/>
    <s v="SEGMENTO DE NEGOCIOS"/>
    <s v="GASTOS NO DEDUCIBLES"/>
    <s v="TRANSACCIONES DEL DIA 12/18/2018SPYRAL - GESTION ADMINISTRATIVA"/>
    <n v="30"/>
    <n v="0"/>
    <s v="NEGOCIOS"/>
    <x v="4"/>
  </r>
  <r>
    <n v="91"/>
    <d v="2018-12-27T00:00:00"/>
    <x v="1"/>
    <x v="1"/>
    <x v="0"/>
    <s v="SEGMENTO DE NEGOCIOS"/>
    <s v="NC GASTO NO DEDUCIBLES"/>
    <s v="TRANSACCIONES DEL DIA 12/27/2018SPYRAL - GESTION ADMINISTRATIVA"/>
    <n v="245"/>
    <n v="0"/>
    <s v="NEGOCIOS"/>
    <x v="4"/>
  </r>
  <r>
    <n v="91"/>
    <d v="2018-12-31T00:00:00"/>
    <x v="1"/>
    <x v="1"/>
    <x v="0"/>
    <s v="SEGMENTO DE NEGOCIOS"/>
    <s v="CIERRE DE ANIO FISCAL"/>
    <s v="CIERRE_DE_CTAS_NOMINALES"/>
    <n v="0"/>
    <n v="772.87"/>
    <s v="NEGOCIOS"/>
    <x v="4"/>
  </r>
  <r>
    <n v="91"/>
    <d v="2018-10-17T00:00:00"/>
    <x v="0"/>
    <x v="0"/>
    <x v="0"/>
    <s v="BANCA PRIVADA"/>
    <s v="GASTOS NO DEDUCIBLES"/>
    <s v="TRANSACCIONES DEL DIA 10/17/2018SPYRAL - GESTION ADMINISTRATIVA"/>
    <n v="160.5"/>
    <n v="0"/>
    <s v="NEGOCIOS"/>
    <x v="4"/>
  </r>
  <r>
    <n v="91"/>
    <d v="2018-12-12T00:00:00"/>
    <x v="1"/>
    <x v="1"/>
    <x v="0"/>
    <s v="BANCA PRIVADA"/>
    <s v="GASTOS NO DEDUCIBLES"/>
    <s v="TRANSACCIONES DEL DIA 12/12/2018SPYRAL - GESTION ADMINISTRATIVA"/>
    <n v="70"/>
    <n v="0"/>
    <s v="NEGOCIOS"/>
    <x v="4"/>
  </r>
  <r>
    <n v="91"/>
    <d v="2018-12-20T00:00:00"/>
    <x v="1"/>
    <x v="1"/>
    <x v="0"/>
    <s v="BANCA PRIVADA"/>
    <s v="NC GASTO NO DEDUCIBLES"/>
    <s v="TRANSACCIONES DEL DIA 12/20/2018SPYRAL - GESTION ADMINISTRATIVA"/>
    <n v="2200"/>
    <n v="0"/>
    <s v="NEGOCIOS"/>
    <x v="4"/>
  </r>
  <r>
    <n v="91"/>
    <d v="2018-12-27T00:00:00"/>
    <x v="1"/>
    <x v="1"/>
    <x v="0"/>
    <s v="BANCA PRIVADA"/>
    <s v="NC GASTO NO DEDUCIBLES"/>
    <s v="TRANSACCIONES DEL DIA 12/27/2018SPYRAL - GESTION ADMINISTRATIVA"/>
    <n v="363.13"/>
    <n v="0"/>
    <s v="NEGOCIOS"/>
    <x v="4"/>
  </r>
  <r>
    <n v="91"/>
    <d v="2018-12-27T00:00:00"/>
    <x v="1"/>
    <x v="1"/>
    <x v="0"/>
    <s v="BANCA PRIVADA"/>
    <s v="GASTOS NO DEDUCIBLES"/>
    <s v="TRANSACCIONES DEL DIA 12/27/2018SPYRAL - GESTION ADMINISTRATIVA"/>
    <n v="86.5"/>
    <n v="0"/>
    <s v="NEGOCIOS"/>
    <x v="4"/>
  </r>
  <r>
    <n v="91"/>
    <d v="2018-12-31T00:00:00"/>
    <x v="1"/>
    <x v="1"/>
    <x v="0"/>
    <s v="BANCA PRIVADA"/>
    <s v="CIERRE DE ANIO FISCAL"/>
    <s v="CIERRE_DE_CTAS_NOMINALES"/>
    <n v="0"/>
    <n v="2880.13"/>
    <s v="NEGOCIOS"/>
    <x v="4"/>
  </r>
  <r>
    <n v="91"/>
    <d v="2018-12-12T00:00:00"/>
    <x v="1"/>
    <x v="1"/>
    <x v="0"/>
    <s v="BANCA COMERCIAL"/>
    <s v="NC GASTO NO DEDUCIBLES"/>
    <s v="TRANSACCIONES DEL DIA 12/12/2018SPYRAL - GESTION ADMINISTRATIVA"/>
    <n v="2693.42"/>
    <n v="0"/>
    <s v="NEGOCIOS"/>
    <x v="4"/>
  </r>
  <r>
    <n v="91"/>
    <d v="2018-12-31T00:00:00"/>
    <x v="1"/>
    <x v="1"/>
    <x v="0"/>
    <s v="BANCA COMERCIAL"/>
    <s v="CIERRE DE ANIO FISCAL"/>
    <s v="CIERRE_DE_CTAS_NOMINALES"/>
    <n v="0"/>
    <n v="2918.42"/>
    <s v="NEGOCIOS"/>
    <x v="4"/>
  </r>
  <r>
    <n v="91"/>
    <d v="2018-06-15T00:00:00"/>
    <x v="2"/>
    <x v="2"/>
    <x v="0"/>
    <s v="BANCA COMERCIAL INTERIOR"/>
    <s v="GASTOS NO DEDUCIBLES"/>
    <s v="TRANSACCIONES DEL DIA 06/15/2018SPYRAL - GESTION ADMINISTRATIVA"/>
    <n v="20"/>
    <n v="0"/>
    <s v="NEGOCIOS"/>
    <x v="4"/>
  </r>
  <r>
    <n v="91"/>
    <d v="2018-06-20T00:00:00"/>
    <x v="2"/>
    <x v="2"/>
    <x v="0"/>
    <s v="BANCA COMERCIAL INTERIOR"/>
    <s v="NC GASTO NO DEDUCIBLES"/>
    <s v="TRANSACCIONES DEL DIA 06/20/2018SPYRAL - GESTION ADMINISTRATIVA"/>
    <n v="29.85"/>
    <n v="0"/>
    <s v="NEGOCIOS"/>
    <x v="4"/>
  </r>
  <r>
    <n v="91"/>
    <d v="2018-07-12T00:00:00"/>
    <x v="6"/>
    <x v="6"/>
    <x v="0"/>
    <s v="BANCA COMERCIAL INTERIOR"/>
    <s v="NC GASTO NO DEDUCIBLES"/>
    <s v="TRANSACCIONES DEL DIA 07/12/2018SPYRAL - GESTION ADMINISTRATIVA"/>
    <n v="29.37"/>
    <n v="0"/>
    <s v="NEGOCIOS"/>
    <x v="4"/>
  </r>
  <r>
    <n v="91"/>
    <d v="2018-11-09T00:00:00"/>
    <x v="5"/>
    <x v="5"/>
    <x v="0"/>
    <s v="BANCA COMERCIAL INTERIOR"/>
    <s v="NC GASTO NO DEDUCIBLES"/>
    <s v="TRANSACCIONES DEL DIA 11/09/2018SPYRAL - GESTION ADMINISTRATIVA"/>
    <n v="64.61"/>
    <n v="0"/>
    <s v="NEGOCIOS"/>
    <x v="4"/>
  </r>
  <r>
    <n v="91"/>
    <d v="2018-12-26T00:00:00"/>
    <x v="1"/>
    <x v="1"/>
    <x v="0"/>
    <s v="BANCA COMERCIAL INTERIOR"/>
    <s v="NC GASTO NO DEDUCIBLES"/>
    <s v="TRANSACCIONES DEL DIA 12/26/2018SPYRAL - GESTION ADMINISTRATIVA"/>
    <n v="10"/>
    <n v="0"/>
    <s v="NEGOCIOS"/>
    <x v="4"/>
  </r>
  <r>
    <n v="91"/>
    <d v="2018-12-27T00:00:00"/>
    <x v="1"/>
    <x v="1"/>
    <x v="0"/>
    <s v="BANCA COMERCIAL INTERIOR"/>
    <s v="NC GASTO NO DEDUCIBLES"/>
    <s v="TRANSACCIONES DEL DIA 12/27/2018SPYRAL - GESTION ADMINISTRATIVA"/>
    <n v="319.27"/>
    <n v="0"/>
    <s v="NEGOCIOS"/>
    <x v="4"/>
  </r>
  <r>
    <n v="91"/>
    <d v="2018-12-28T00:00:00"/>
    <x v="1"/>
    <x v="1"/>
    <x v="0"/>
    <s v="BANCA COMERCIAL INTERIOR"/>
    <s v="NC GASTO NO DEDUCIBLES"/>
    <s v="TRANSACCIONES DEL DIA 12/28/2018SPYRAL - GESTION ADMINISTRATIVA"/>
    <n v="1100"/>
    <n v="0"/>
    <s v="NEGOCIOS"/>
    <x v="4"/>
  </r>
  <r>
    <n v="91"/>
    <d v="2018-12-31T00:00:00"/>
    <x v="1"/>
    <x v="1"/>
    <x v="0"/>
    <s v="BANCA COMERCIAL INTERIOR"/>
    <s v="CIERRE DE ANIO FISCAL"/>
    <s v="CIERRE_DE_CTAS_NOMINALES"/>
    <n v="0"/>
    <n v="1616.16"/>
    <s v="NEGOCIOS"/>
    <x v="4"/>
  </r>
  <r>
    <n v="91"/>
    <d v="2018-08-16T00:00:00"/>
    <x v="3"/>
    <x v="3"/>
    <x v="0"/>
    <s v="BANCA COMERCIAL PERIFERIA"/>
    <s v="GASTOS NO DEDUCIBLES"/>
    <s v="TRANSACCIONES DEL DIA 08/16/2018SPYRAL - GESTION ADMINISTRATIVA"/>
    <n v="156.84"/>
    <n v="0"/>
    <s v="NEGOCIOS"/>
    <x v="4"/>
  </r>
  <r>
    <n v="91"/>
    <d v="2018-12-31T00:00:00"/>
    <x v="1"/>
    <x v="1"/>
    <x v="0"/>
    <s v="BANCA COMERCIAL PERIFERIA"/>
    <s v="CIERRE DE ANIO FISCAL"/>
    <s v="CIERRE_DE_CTAS_NOMINALES"/>
    <n v="0"/>
    <n v="287.02"/>
    <s v="NEGOCIOS"/>
    <x v="4"/>
  </r>
  <r>
    <n v="91"/>
    <d v="2018-12-20T00:00:00"/>
    <x v="1"/>
    <x v="1"/>
    <x v="0"/>
    <s v="MERCADEO"/>
    <s v="NC GASTO NO DEDUCIBLES"/>
    <s v="TRANSACCIONES DEL DIA 12/20/2018SPYRAL - GESTION ADMINISTRATIVA"/>
    <n v="448.21"/>
    <n v="0"/>
    <s v="NEGOCIOS"/>
    <x v="4"/>
  </r>
  <r>
    <n v="91"/>
    <d v="2018-12-31T00:00:00"/>
    <x v="1"/>
    <x v="1"/>
    <x v="0"/>
    <s v="MERCADEO"/>
    <s v="CIERRE DE ANIO FISCAL"/>
    <s v="CIERRE_DE_CTAS_NOMINALES"/>
    <n v="0"/>
    <n v="1032.75"/>
    <s v="NEGOCIOS"/>
    <x v="4"/>
  </r>
  <r>
    <n v="91"/>
    <d v="2018-06-16T00:00:00"/>
    <x v="2"/>
    <x v="2"/>
    <x v="0"/>
    <s v="MERCADEO Y PUBLICIDAD"/>
    <s v="GASTOS NO DEDUCIBLES"/>
    <s v="TRANSACCIONES DEL DIA 06/16/2018SPYRAL - GESTION ADMINISTRATIVA"/>
    <n v="1020.63"/>
    <n v="0"/>
    <s v="NEGOCIOS"/>
    <x v="4"/>
  </r>
  <r>
    <n v="91"/>
    <d v="2018-09-07T00:00:00"/>
    <x v="4"/>
    <x v="4"/>
    <x v="0"/>
    <s v="MERCADEO Y PUBLICIDAD"/>
    <s v="GASTOS NO DEDUCIBLES"/>
    <s v="TRANSACCIONES DEL DIA 09/07/2018SPYRAL - GESTION ADMINISTRATIVA"/>
    <n v="1287"/>
    <n v="0"/>
    <s v="NEGOCIOS"/>
    <x v="4"/>
  </r>
  <r>
    <n v="91"/>
    <d v="2018-09-26T00:00:00"/>
    <x v="4"/>
    <x v="4"/>
    <x v="0"/>
    <s v="MERCADEO Y PUBLICIDAD"/>
    <s v="GASTOS NO DEDUCIBLES"/>
    <s v="TRANSACCIONES DEL DIA 09/26/2018SPYRAL - GESTION ADMINISTRATIVA"/>
    <n v="625"/>
    <n v="0"/>
    <s v="NEGOCIOS"/>
    <x v="4"/>
  </r>
  <r>
    <n v="91"/>
    <d v="2018-12-31T00:00:00"/>
    <x v="1"/>
    <x v="1"/>
    <x v="0"/>
    <s v="MERCADEO Y PUBLICIDAD"/>
    <s v="CIERRE DE ANIO FISCAL"/>
    <s v="CIERRE_DE_CTAS_NOMINALES"/>
    <n v="0"/>
    <n v="6997.73"/>
    <s v="NEGOCIOS"/>
    <x v="4"/>
  </r>
  <r>
    <n v="91"/>
    <d v="2018-06-13T00:00:00"/>
    <x v="2"/>
    <x v="2"/>
    <x v="0"/>
    <s v="SERVICIOS AL CLIENTE"/>
    <s v="GASTOS NO DEDUCIBLES"/>
    <s v="TRANSACCIONES DEL DIA 06/13/2018SPYRAL - GESTION ADMINISTRATIVA"/>
    <n v="44.58"/>
    <n v="0"/>
    <s v="NEGOCIOS"/>
    <x v="4"/>
  </r>
  <r>
    <n v="91"/>
    <d v="2018-10-04T00:00:00"/>
    <x v="0"/>
    <x v="0"/>
    <x v="0"/>
    <s v="SERVICIOS AL CLIENTE"/>
    <s v="NC GASTO NO DEDUCIBLES"/>
    <s v="TRANSACCIONES DEL DIA 10/04/2018SPYRAL - GESTION ADMINISTRATIVA"/>
    <n v="52.5"/>
    <n v="0"/>
    <s v="NEGOCIOS"/>
    <x v="4"/>
  </r>
  <r>
    <n v="91"/>
    <d v="2018-12-31T00:00:00"/>
    <x v="1"/>
    <x v="1"/>
    <x v="0"/>
    <s v="SERVICIOS AL CLIENTE"/>
    <s v="CIERRE DE ANIO FISCAL"/>
    <s v="CIERRE_DE_CTAS_NOMINALES"/>
    <n v="0"/>
    <n v="97.08"/>
    <s v="NEGOCIOS"/>
    <x v="4"/>
  </r>
  <r>
    <n v="91"/>
    <d v="2018-06-05T00:00:00"/>
    <x v="2"/>
    <x v="2"/>
    <x v="0"/>
    <s v="IMAGEN CORPORATIVA"/>
    <s v="GASTOS NO DEDUCIBLES"/>
    <s v="TRANSACCIONES DEL DIA 06/05/2018SPYRAL - GESTION ADMINISTRATIVA"/>
    <n v="92.32"/>
    <n v="0"/>
    <s v="NEGOCIOS"/>
    <x v="4"/>
  </r>
  <r>
    <n v="91"/>
    <d v="2018-07-03T00:00:00"/>
    <x v="6"/>
    <x v="6"/>
    <x v="0"/>
    <s v="IMAGEN CORPORATIVA"/>
    <s v="GASTOS NO DEDUCIBLES"/>
    <s v="TRANSACCIONES DEL DIA 07/03/2018SPYRAL - GESTION ADMINISTRATIVA"/>
    <n v="131.24"/>
    <n v="0"/>
    <s v="NEGOCIOS"/>
    <x v="4"/>
  </r>
  <r>
    <n v="91"/>
    <d v="2018-07-04T00:00:00"/>
    <x v="6"/>
    <x v="6"/>
    <x v="0"/>
    <s v="IMAGEN CORPORATIVA"/>
    <s v="GASTOS NO DEDUCIBLES"/>
    <s v="TRANSACCIONES DEL DIA 07/04/2018SPYRAL - GESTION ADMINISTRATIVA"/>
    <n v="118.45"/>
    <n v="0"/>
    <s v="NEGOCIOS"/>
    <x v="4"/>
  </r>
  <r>
    <n v="91"/>
    <d v="2018-07-04T00:00:00"/>
    <x v="6"/>
    <x v="6"/>
    <x v="0"/>
    <s v="IMAGEN CORPORATIVA"/>
    <s v="NC GASTO NO DEDUCIBLES"/>
    <s v="TRANSACCIONES DEL DIA 07/04/2018SPYRAL - GESTION ADMINISTRATIVA"/>
    <n v="0"/>
    <n v="131.24"/>
    <s v="NEGOCIOS"/>
    <x v="4"/>
  </r>
  <r>
    <n v="91"/>
    <d v="2018-07-11T00:00:00"/>
    <x v="6"/>
    <x v="6"/>
    <x v="0"/>
    <s v="IMAGEN CORPORATIVA"/>
    <s v="GASTOS NO DEDUCIBLES"/>
    <s v="TRANSACCIONES DEL DIA 07/11/2018SPYRAL - GESTION ADMINISTRATIVA"/>
    <n v="273.39999999999998"/>
    <n v="0"/>
    <s v="NEGOCIOS"/>
    <x v="4"/>
  </r>
  <r>
    <n v="91"/>
    <d v="2018-09-06T00:00:00"/>
    <x v="4"/>
    <x v="4"/>
    <x v="0"/>
    <s v="IMAGEN CORPORATIVA"/>
    <s v="GASTOS NO DEDUCIBLES"/>
    <s v="TRANSACCIONES DEL DIA 09/06/2018SPYRAL - GESTION ADMINISTRATIVA"/>
    <n v="253.24"/>
    <n v="0"/>
    <s v="NEGOCIOS"/>
    <x v="4"/>
  </r>
  <r>
    <n v="91"/>
    <d v="2018-10-03T00:00:00"/>
    <x v="0"/>
    <x v="0"/>
    <x v="0"/>
    <s v="IMAGEN CORPORATIVA"/>
    <s v="GASTOS NO DEDUCIBLES"/>
    <s v="TRANSACCIONES DEL DIA 10/03/2018SPYRAL - GESTION ADMINISTRATIVA"/>
    <n v="347.88"/>
    <n v="0"/>
    <s v="NEGOCIOS"/>
    <x v="4"/>
  </r>
  <r>
    <n v="91"/>
    <d v="2018-11-02T00:00:00"/>
    <x v="5"/>
    <x v="5"/>
    <x v="0"/>
    <s v="IMAGEN CORPORATIVA"/>
    <s v="GASTOS NO DEDUCIBLES"/>
    <s v="TRANSACCIONES DEL DIA 11/02/2018SPYRAL - GESTION ADMINISTRATIVA"/>
    <n v="331.86"/>
    <n v="0"/>
    <s v="NEGOCIOS"/>
    <x v="4"/>
  </r>
  <r>
    <n v="91"/>
    <d v="2018-12-06T00:00:00"/>
    <x v="1"/>
    <x v="1"/>
    <x v="0"/>
    <s v="IMAGEN CORPORATIVA"/>
    <s v="GASTOS NO DEDUCIBLES"/>
    <s v="TRANSACCIONES DEL DIA 12/06/2018SPYRAL - GESTION ADMINISTRATIVA"/>
    <n v="293.02"/>
    <n v="0"/>
    <s v="NEGOCIOS"/>
    <x v="4"/>
  </r>
  <r>
    <n v="91"/>
    <d v="2018-12-07T00:00:00"/>
    <x v="1"/>
    <x v="1"/>
    <x v="0"/>
    <s v="IMAGEN CORPORATIVA"/>
    <s v="GASTOS NO DEDUCIBLES"/>
    <s v="TRANSACCIONES DEL DIA 12/07/2018SPYRAL - GESTION ADMINISTRATIVA"/>
    <n v="107.5"/>
    <n v="0"/>
    <s v="NEGOCIOS"/>
    <x v="4"/>
  </r>
  <r>
    <n v="91"/>
    <d v="2018-12-31T00:00:00"/>
    <x v="1"/>
    <x v="1"/>
    <x v="0"/>
    <s v="IMAGEN CORPORATIVA"/>
    <s v="CIERRE DE ANIO FISCAL"/>
    <s v="CIERRE_DE_CTAS_NOMINALES"/>
    <n v="0"/>
    <n v="3166.57"/>
    <s v="NEGOCIOS"/>
    <x v="4"/>
  </r>
  <r>
    <n v="95"/>
    <d v="2018-06-28T00:00:00"/>
    <x v="2"/>
    <x v="2"/>
    <x v="0"/>
    <s v="ADMINISTRACION DE SUCURSALES"/>
    <s v="GASTOS NO DEDUCIBLES"/>
    <s v="TRANSACCIONES DEL DIA 06/28/2018SPYRAL - GESTION ADMINISTRATIVA"/>
    <n v="125.24"/>
    <n v="0"/>
    <s v="BOULEVARD EL DORADO"/>
    <x v="4"/>
  </r>
  <r>
    <n v="95"/>
    <d v="2018-07-02T00:00:00"/>
    <x v="6"/>
    <x v="6"/>
    <x v="0"/>
    <s v="ADMINISTRACION DE SUCURSALES"/>
    <s v="NC GASTO NO DEDUCIBLES"/>
    <s v="TRANSACCIONES DEL DIA 07/02/2018SPYRAL - GESTION ADMINISTRATIVA"/>
    <n v="60.26"/>
    <n v="0"/>
    <s v="BOULEVARD EL DORADO"/>
    <x v="4"/>
  </r>
  <r>
    <n v="95"/>
    <d v="2018-07-12T00:00:00"/>
    <x v="6"/>
    <x v="6"/>
    <x v="0"/>
    <s v="ADMINISTRACION DE SUCURSALES"/>
    <s v="NC GASTO NO DEDUCIBLES"/>
    <s v="TRANSACCIONES DEL DIA 07/12/2018SPYRAL - GESTION ADMINISTRATIVA"/>
    <n v="78.319999999999993"/>
    <n v="0"/>
    <s v="BOULEVARD EL DORADO"/>
    <x v="4"/>
  </r>
  <r>
    <n v="95"/>
    <d v="2018-08-14T00:00:00"/>
    <x v="3"/>
    <x v="3"/>
    <x v="0"/>
    <s v="ADMINISTRACION DE SUCURSALES"/>
    <s v="NC GASTO NO DEDUCIBLES"/>
    <s v="TRANSACCIONES DEL DIA 08/14/2018SPYRAL - GESTION ADMINISTRATIVA"/>
    <n v="63.22"/>
    <n v="0"/>
    <s v="BOULEVARD EL DORADO"/>
    <x v="4"/>
  </r>
  <r>
    <n v="95"/>
    <d v="2018-08-17T00:00:00"/>
    <x v="3"/>
    <x v="3"/>
    <x v="0"/>
    <s v="ADMINISTRACION DE SUCURSALES"/>
    <s v="GASTOS NO DEDUCIBLES"/>
    <s v="TRANSACCIONES DEL DIA 08/17/2018SPYRAL - GESTION ADMINISTRATIVA"/>
    <n v="30"/>
    <n v="0"/>
    <s v="BOULEVARD EL DORADO"/>
    <x v="4"/>
  </r>
  <r>
    <n v="95"/>
    <d v="2018-09-11T00:00:00"/>
    <x v="4"/>
    <x v="4"/>
    <x v="0"/>
    <s v="ADMINISTRACION DE SUCURSALES"/>
    <s v="NC GASTO NO DEDUCIBLES"/>
    <s v="TRANSACCIONES DEL DIA 09/11/2018SPYRAL - GESTION ADMINISTRATIVA"/>
    <n v="91.71"/>
    <n v="0"/>
    <s v="BOULEVARD EL DORADO"/>
    <x v="4"/>
  </r>
  <r>
    <n v="95"/>
    <d v="2018-10-16T00:00:00"/>
    <x v="0"/>
    <x v="0"/>
    <x v="0"/>
    <s v="ADMINISTRACION DE SUCURSALES"/>
    <s v="NC GASTO NO DEDUCIBLES"/>
    <s v="TRANSACCIONES DEL DIA 10/16/2018SPYRAL - GESTION ADMINISTRATIVA"/>
    <n v="61.3"/>
    <n v="0"/>
    <s v="BOULEVARD EL DORADO"/>
    <x v="4"/>
  </r>
  <r>
    <n v="95"/>
    <d v="2018-10-19T00:00:00"/>
    <x v="0"/>
    <x v="0"/>
    <x v="0"/>
    <s v="ADMINISTRACION DE SUCURSALES"/>
    <s v="NC GASTO NO DEDUCIBLES"/>
    <s v="TRANSACCIONES DEL DIA 10/19/2018SPYRAL - GESTION ADMINISTRATIVA"/>
    <n v="55.52"/>
    <n v="0"/>
    <s v="BOULEVARD EL DORADO"/>
    <x v="4"/>
  </r>
  <r>
    <n v="95"/>
    <d v="2018-11-08T00:00:00"/>
    <x v="5"/>
    <x v="5"/>
    <x v="0"/>
    <s v="ADMINISTRACION DE SUCURSALES"/>
    <s v="NC GASTO NO DEDUCIBLES"/>
    <s v="TRANSACCIONES DEL DIA 11/08/2018SPYRAL - GESTION ADMINISTRATIVA"/>
    <n v="92.24"/>
    <n v="0"/>
    <s v="BOULEVARD EL DORADO"/>
    <x v="4"/>
  </r>
  <r>
    <n v="95"/>
    <d v="2018-11-16T00:00:00"/>
    <x v="5"/>
    <x v="5"/>
    <x v="0"/>
    <s v="ADMINISTRACION DE SUCURSALES"/>
    <s v="NC GASTO NO DEDUCIBLES"/>
    <s v="TRANSACCIONES DEL DIA 11/16/2018SPYRAL - GESTION ADMINISTRATIVA"/>
    <n v="99.83"/>
    <n v="0"/>
    <s v="BOULEVARD EL DORADO"/>
    <x v="4"/>
  </r>
  <r>
    <n v="95"/>
    <d v="2018-12-07T00:00:00"/>
    <x v="1"/>
    <x v="1"/>
    <x v="0"/>
    <s v="ADMINISTRACION DE SUCURSALES"/>
    <s v="NC GASTO NO DEDUCIBLES"/>
    <s v="TRANSACCIONES DEL DIA 12/07/2018SPYRAL - GESTION ADMINISTRATIVA"/>
    <n v="105.28"/>
    <n v="0"/>
    <s v="BOULEVARD EL DORADO"/>
    <x v="4"/>
  </r>
  <r>
    <n v="95"/>
    <d v="2018-12-31T00:00:00"/>
    <x v="1"/>
    <x v="1"/>
    <x v="0"/>
    <s v="ADMINISTRACION DE SUCURSALES"/>
    <s v="CIERRE DE ANIO FISCAL"/>
    <s v="CIERRE_DE_CTAS_NOMINALES"/>
    <n v="0"/>
    <n v="1151"/>
    <s v="BOULEVARD EL DORADO"/>
    <x v="4"/>
  </r>
  <r>
    <n v="97"/>
    <d v="2018-09-11T00:00:00"/>
    <x v="4"/>
    <x v="4"/>
    <x v="0"/>
    <s v="ADMINISTRACION DE SUCURSALES"/>
    <s v="NC GASTO NO DEDUCIBLES"/>
    <s v="TRANSACCIONES DEL DIA 09/11/2018SPYRAL - GESTION ADMINISTRATIVA"/>
    <n v="176.12"/>
    <n v="0"/>
    <s v="SAN SEBASTIAN"/>
    <x v="4"/>
  </r>
  <r>
    <n v="97"/>
    <d v="2018-12-26T00:00:00"/>
    <x v="1"/>
    <x v="1"/>
    <x v="0"/>
    <s v="ADMINISTRACION DE SUCURSALES"/>
    <s v="NC GASTO NO DEDUCIBLES"/>
    <s v="TRANSACCIONES DEL DIA 12/26/2018SPYRAL - GESTION ADMINISTRATIVA"/>
    <n v="333.62"/>
    <n v="0"/>
    <s v="SAN SEBASTIAN"/>
    <x v="4"/>
  </r>
  <r>
    <n v="97"/>
    <d v="2018-12-31T00:00:00"/>
    <x v="1"/>
    <x v="1"/>
    <x v="0"/>
    <s v="ADMINISTRACION DE SUCURSALES"/>
    <s v="CIERRE DE ANIO FISCAL"/>
    <s v="CIERRE_DE_CTAS_NOMINALES"/>
    <n v="0"/>
    <n v="569.9"/>
    <s v="SAN SEBASTIAN"/>
    <x v="4"/>
  </r>
  <r>
    <n v="98"/>
    <d v="2018-07-12T00:00:00"/>
    <x v="6"/>
    <x v="6"/>
    <x v="0"/>
    <s v="ADMINISTRACION DE SUCURSALES"/>
    <s v="NC GASTO NO DEDUCIBLES"/>
    <s v="TRANSACCIONES DEL DIA 07/12/2018SPYRAL - GESTION ADMINISTRATIVA"/>
    <n v="34.07"/>
    <n v="0"/>
    <s v="SANTIAGO INTERAMERICANA"/>
    <x v="4"/>
  </r>
  <r>
    <n v="98"/>
    <d v="2018-08-03T00:00:00"/>
    <x v="3"/>
    <x v="3"/>
    <x v="0"/>
    <s v="ADMINISTRACION DE SUCURSALES"/>
    <s v="NC GASTO NO DEDUCIBLES"/>
    <s v="TRANSACCIONES DEL DIA 08/03/2018SPYRAL - GESTION ADMINISTRATIVA"/>
    <n v="40.86"/>
    <n v="0"/>
    <s v="SANTIAGO INTERAMERICANA"/>
    <x v="4"/>
  </r>
  <r>
    <n v="98"/>
    <d v="2018-10-16T00:00:00"/>
    <x v="0"/>
    <x v="0"/>
    <x v="0"/>
    <s v="ADMINISTRACION DE SUCURSALES"/>
    <s v="NC GASTO NO DEDUCIBLES"/>
    <s v="TRANSACCIONES DEL DIA 10/16/2018SPYRAL - GESTION ADMINISTRATIVA"/>
    <n v="30.23"/>
    <n v="0"/>
    <s v="SANTIAGO INTERAMERICANA"/>
    <x v="4"/>
  </r>
  <r>
    <n v="98"/>
    <d v="2018-11-16T00:00:00"/>
    <x v="5"/>
    <x v="5"/>
    <x v="0"/>
    <s v="ADMINISTRACION DE SUCURSALES"/>
    <s v="NC GASTO NO DEDUCIBLES"/>
    <s v="TRANSACCIONES DEL DIA 11/16/2018SPYRAL - GESTION ADMINISTRATIVA"/>
    <n v="55.05"/>
    <n v="0"/>
    <s v="SANTIAGO INTERAMERICANA"/>
    <x v="4"/>
  </r>
  <r>
    <n v="98"/>
    <d v="2018-12-31T00:00:00"/>
    <x v="1"/>
    <x v="1"/>
    <x v="0"/>
    <s v="ADMINISTRACION DE SUCURSALES"/>
    <s v="CIERRE DE ANIO FISCAL"/>
    <s v="CIERRE_DE_CTAS_NOMINALES"/>
    <n v="0"/>
    <n v="454.99"/>
    <s v="SANTIAGO INTERAMERICANA"/>
    <x v="4"/>
  </r>
  <r>
    <n v="99"/>
    <d v="2018-06-20T00:00:00"/>
    <x v="2"/>
    <x v="2"/>
    <x v="0"/>
    <s v="ADMINISTRACION DE SUCURSALES"/>
    <s v="NC GASTO NO DEDUCIBLES"/>
    <s v="TRANSACCIONES DEL DIA 06/20/2018SPYRAL - GESTION ADMINISTRATIVA"/>
    <n v="45.94"/>
    <n v="0"/>
    <s v="CIUDAD DEL SABER"/>
    <x v="4"/>
  </r>
  <r>
    <n v="99"/>
    <d v="2018-10-02T00:00:00"/>
    <x v="0"/>
    <x v="0"/>
    <x v="0"/>
    <s v="ADMINISTRACION DE SUCURSALES"/>
    <s v="NC GASTO NO DEDUCIBLES"/>
    <s v="TRANSACCIONES DEL DIA 10/02/2018SPYRAL - GESTION ADMINISTRATIVA"/>
    <n v="70"/>
    <n v="0"/>
    <s v="CIUDAD DEL SABER"/>
    <x v="4"/>
  </r>
  <r>
    <n v="99"/>
    <d v="2018-11-08T00:00:00"/>
    <x v="5"/>
    <x v="5"/>
    <x v="0"/>
    <s v="ADMINISTRACION DE SUCURSALES"/>
    <s v="NC GASTO NO DEDUCIBLES"/>
    <s v="TRANSACCIONES DEL DIA 11/08/2018SPYRAL - GESTION ADMINISTRATIVA"/>
    <n v="34.24"/>
    <n v="0"/>
    <s v="CIUDAD DEL SABER"/>
    <x v="4"/>
  </r>
  <r>
    <n v="99"/>
    <d v="2018-12-31T00:00:00"/>
    <x v="1"/>
    <x v="1"/>
    <x v="0"/>
    <s v="ADMINISTRACION DE SUCURSALES"/>
    <s v="CIERRE DE ANIO FISCAL"/>
    <s v="CIERRE_DE_CTAS_NOMINALES"/>
    <n v="0"/>
    <n v="269.43"/>
    <s v="CIUDAD DEL SABER"/>
    <x v="4"/>
  </r>
  <r>
    <n v="101"/>
    <d v="2018-07-18T00:00:00"/>
    <x v="6"/>
    <x v="6"/>
    <x v="0"/>
    <s v="ADMINISTRACION DE SUCURSALES"/>
    <s v="GASTOS NO DEDUCIBLES"/>
    <s v="TRANSACCIONES DEL DIA 07/18/2018SPYRAL - GESTION ADMINISTRATIVA"/>
    <n v="18"/>
    <n v="0"/>
    <s v="VILLA ZAITA"/>
    <x v="4"/>
  </r>
  <r>
    <n v="101"/>
    <d v="2018-08-08T00:00:00"/>
    <x v="3"/>
    <x v="3"/>
    <x v="0"/>
    <s v="ADMINISTRACION DE SUCURSALES"/>
    <s v="GASTOS NO DEDUCIBLES"/>
    <s v="TRANSACCIONES DEL DIA 08/08/2018SPYRAL - GESTION ADMINISTRATIVA"/>
    <n v="34.549999999999997"/>
    <n v="0"/>
    <s v="VILLA ZAITA"/>
    <x v="4"/>
  </r>
  <r>
    <n v="101"/>
    <d v="2018-09-07T00:00:00"/>
    <x v="4"/>
    <x v="4"/>
    <x v="0"/>
    <s v="ADMINISTRACION DE SUCURSALES"/>
    <s v="GASTOS NO DEDUCIBLES"/>
    <s v="TRANSACCIONES DEL DIA 09/07/2018SPYRAL - GESTION ADMINISTRATIVA"/>
    <n v="39.99"/>
    <n v="0"/>
    <s v="VILLA ZAITA"/>
    <x v="4"/>
  </r>
  <r>
    <n v="101"/>
    <d v="2018-09-18T00:00:00"/>
    <x v="4"/>
    <x v="4"/>
    <x v="0"/>
    <s v="ADMINISTRACION DE SUCURSALES"/>
    <s v="NC GASTO NO DEDUCIBLES"/>
    <s v="TRANSACCIONES DEL DIA 09/18/2018SPYRAL - GESTION ADMINISTRATIVA"/>
    <n v="31.15"/>
    <n v="0"/>
    <s v="VILLA ZAITA"/>
    <x v="4"/>
  </r>
  <r>
    <n v="101"/>
    <d v="2018-09-27T00:00:00"/>
    <x v="4"/>
    <x v="4"/>
    <x v="0"/>
    <s v="ADMINISTRACION DE SUCURSALES"/>
    <s v="GASTOS NO DEDUCIBLES"/>
    <s v="TRANSACCIONES DEL DIA 09/27/2018SPYRAL - GESTION ADMINISTRATIVA"/>
    <n v="24.98"/>
    <n v="0"/>
    <s v="VILLA ZAITA"/>
    <x v="4"/>
  </r>
  <r>
    <n v="101"/>
    <d v="2018-10-10T00:00:00"/>
    <x v="0"/>
    <x v="0"/>
    <x v="0"/>
    <s v="ADMINISTRACION DE SUCURSALES"/>
    <s v="NC GASTO NO DEDUCIBLES"/>
    <s v="TRANSACCIONES DEL DIA 10/10/2018SPYRAL - GESTION ADMINISTRATIVA"/>
    <n v="22.47"/>
    <n v="0"/>
    <s v="VILLA ZAITA"/>
    <x v="4"/>
  </r>
  <r>
    <n v="101"/>
    <d v="2018-11-13T00:00:00"/>
    <x v="5"/>
    <x v="5"/>
    <x v="0"/>
    <s v="ADMINISTRACION DE SUCURSALES"/>
    <s v="GASTOS NO DEDUCIBLES"/>
    <s v="TRANSACCIONES DEL DIA 11/13/2018SPYRAL - GESTION ADMINISTRATIVA"/>
    <n v="165.4"/>
    <n v="0"/>
    <s v="VILLA ZAITA"/>
    <x v="4"/>
  </r>
  <r>
    <n v="101"/>
    <d v="2018-11-16T00:00:00"/>
    <x v="5"/>
    <x v="5"/>
    <x v="0"/>
    <s v="ADMINISTRACION DE SUCURSALES"/>
    <s v="NC GASTO NO DEDUCIBLES"/>
    <s v="TRANSACCIONES DEL DIA 11/16/2018SPYRAL - GESTION ADMINISTRATIVA"/>
    <n v="30"/>
    <n v="0"/>
    <s v="VILLA ZAITA"/>
    <x v="4"/>
  </r>
  <r>
    <n v="101"/>
    <d v="2018-11-30T00:00:00"/>
    <x v="5"/>
    <x v="5"/>
    <x v="0"/>
    <s v="ADMINISTRACION DE SUCURSALES"/>
    <s v="GASTOS NO DEDUCIBLES"/>
    <s v="TRANSACCIONES DEL DIA 11/30/2018SPYRAL - GESTION ADMINISTRATIVA"/>
    <n v="20.8"/>
    <n v="0"/>
    <s v="VILLA ZAITA"/>
    <x v="4"/>
  </r>
  <r>
    <n v="101"/>
    <d v="2018-12-17T00:00:00"/>
    <x v="1"/>
    <x v="1"/>
    <x v="0"/>
    <s v="ADMINISTRACION DE SUCURSALES"/>
    <s v="GASTOS NO DEDUCIBLES"/>
    <s v="TRANSACCIONES DEL DIA 12/17/2018SPYRAL - GESTION ADMINISTRATIVA"/>
    <n v="15.95"/>
    <n v="0"/>
    <s v="VILLA ZAITA"/>
    <x v="4"/>
  </r>
  <r>
    <n v="101"/>
    <d v="2018-12-20T00:00:00"/>
    <x v="1"/>
    <x v="1"/>
    <x v="0"/>
    <s v="ADMINISTRACION DE SUCURSALES"/>
    <s v="NC GASTO NO DEDUCIBLES"/>
    <s v="TRANSACCIONES DEL DIA 12/20/2018SPYRAL - GESTION ADMINISTRATIVA"/>
    <n v="20.94"/>
    <n v="0"/>
    <s v="VILLA ZAITA"/>
    <x v="4"/>
  </r>
  <r>
    <n v="101"/>
    <d v="2018-12-31T00:00:00"/>
    <x v="1"/>
    <x v="1"/>
    <x v="0"/>
    <s v="ADMINISTRACION DE SUCURSALES"/>
    <s v="CIERRE DE ANIO FISCAL"/>
    <s v="CIERRE_DE_CTAS_NOMINALES"/>
    <n v="0"/>
    <n v="659.3"/>
    <s v="VILLA ZAITA"/>
    <x v="4"/>
  </r>
  <r>
    <n v="102"/>
    <d v="2018-07-17T00:00:00"/>
    <x v="6"/>
    <x v="6"/>
    <x v="0"/>
    <s v="ADMINISTRACION DE SUCURSALES"/>
    <s v="NC GASTO NO DEDUCIBLES"/>
    <s v="TRANSACCIONES DEL DIA 07/17/2018SPYRAL - GESTION ADMINISTRATIVA"/>
    <n v="27.9"/>
    <n v="0"/>
    <s v="AZUERO TERMINAL PLAZA"/>
    <x v="4"/>
  </r>
  <r>
    <n v="102"/>
    <d v="2018-08-23T00:00:00"/>
    <x v="3"/>
    <x v="3"/>
    <x v="0"/>
    <s v="ADMINISTRACION DE SUCURSALES"/>
    <s v="NC GASTO NO DEDUCIBLES"/>
    <s v="TRANSACCIONES DEL DIA 08/23/2018SPYRAL - GESTION ADMINISTRATIVA"/>
    <n v="15.95"/>
    <n v="0"/>
    <s v="AZUERO TERMINAL PLAZA"/>
    <x v="4"/>
  </r>
  <r>
    <n v="102"/>
    <d v="2018-11-06T00:00:00"/>
    <x v="5"/>
    <x v="5"/>
    <x v="0"/>
    <s v="ADMINISTRACION DE SUCURSALES"/>
    <s v="NC GASTO NO DEDUCIBLES"/>
    <s v="TRANSACCIONES DEL DIA 11/06/2018SPYRAL - GESTION ADMINISTRATIVA"/>
    <n v="18.95"/>
    <n v="0"/>
    <s v="AZUERO TERMINAL PLAZA"/>
    <x v="4"/>
  </r>
  <r>
    <n v="102"/>
    <d v="2018-12-31T00:00:00"/>
    <x v="1"/>
    <x v="1"/>
    <x v="0"/>
    <s v="ADMINISTRACION DE SUCURSALES"/>
    <s v="CIERRE DE ANIO FISCAL"/>
    <s v="CIERRE_DE_CTAS_NOMINALES"/>
    <n v="0"/>
    <n v="109.7"/>
    <s v="AZUERO TERMINAL PLAZA"/>
    <x v="4"/>
  </r>
  <r>
    <n v="103"/>
    <d v="2018-06-11T00:00:00"/>
    <x v="2"/>
    <x v="2"/>
    <x v="0"/>
    <s v="ADMINISTRACION DE SUCURSALES"/>
    <s v="NC GASTO NO DEDUCIBLES"/>
    <s v="TRANSACCIONES DEL DIA 06/11/2018SPYRAL - GESTION ADMINISTRATIVA"/>
    <n v="62.44"/>
    <n v="0"/>
    <s v="TOWN CENTER COSTA DEL ESTE"/>
    <x v="4"/>
  </r>
  <r>
    <n v="103"/>
    <d v="2018-07-17T00:00:00"/>
    <x v="6"/>
    <x v="6"/>
    <x v="0"/>
    <s v="ADMINISTRACION DE SUCURSALES"/>
    <s v="NC GASTO NO DEDUCIBLES"/>
    <s v="TRANSACCIONES DEL DIA 07/17/2018SPYRAL - GESTION ADMINISTRATIVA"/>
    <n v="43"/>
    <n v="0"/>
    <s v="TOWN CENTER COSTA DEL ESTE"/>
    <x v="4"/>
  </r>
  <r>
    <n v="103"/>
    <d v="2018-07-26T00:00:00"/>
    <x v="6"/>
    <x v="6"/>
    <x v="0"/>
    <s v="ADMINISTRACION DE SUCURSALES"/>
    <s v="NC GASTO NO DEDUCIBLES"/>
    <s v="TRANSACCIONES DEL DIA 07/26/2018SPYRAL - GESTION ADMINISTRATIVA"/>
    <n v="21.19"/>
    <n v="0"/>
    <s v="TOWN CENTER COSTA DEL ESTE"/>
    <x v="4"/>
  </r>
  <r>
    <n v="103"/>
    <d v="2018-08-14T00:00:00"/>
    <x v="3"/>
    <x v="3"/>
    <x v="0"/>
    <s v="ADMINISTRACION DE SUCURSALES"/>
    <s v="NC GASTO NO DEDUCIBLES"/>
    <s v="TRANSACCIONES DEL DIA 08/14/2018SPYRAL - GESTION ADMINISTRATIVA"/>
    <n v="21.57"/>
    <n v="0"/>
    <s v="TOWN CENTER COSTA DEL ESTE"/>
    <x v="4"/>
  </r>
  <r>
    <n v="103"/>
    <d v="2018-12-13T00:00:00"/>
    <x v="1"/>
    <x v="1"/>
    <x v="0"/>
    <s v="ADMINISTRACION DE SUCURSALES"/>
    <s v="GASTOS NO DEDUCIBLES"/>
    <s v="TRANSACCIONES DEL DIA 12/13/2018SPYRAL - GESTION ADMINISTRATIVA"/>
    <n v="18"/>
    <n v="0"/>
    <s v="TOWN CENTER COSTA DEL ESTE"/>
    <x v="4"/>
  </r>
  <r>
    <n v="103"/>
    <d v="2018-12-27T00:00:00"/>
    <x v="1"/>
    <x v="1"/>
    <x v="0"/>
    <s v="ADMINISTRACION DE SUCURSALES"/>
    <s v="NC GASTO NO DEDUCIBLES"/>
    <s v="TRANSACCIONES DEL DIA 12/27/2018SPYRAL - GESTION ADMINISTRATIVA"/>
    <n v="23.38"/>
    <n v="0"/>
    <s v="TOWN CENTER COSTA DEL ESTE"/>
    <x v="4"/>
  </r>
  <r>
    <n v="103"/>
    <d v="2018-12-31T00:00:00"/>
    <x v="1"/>
    <x v="1"/>
    <x v="0"/>
    <s v="ADMINISTRACION DE SUCURSALES"/>
    <s v="CIERRE DE ANIO FISCAL"/>
    <s v="CIERRE_DE_CTAS_NOMINALES"/>
    <n v="0"/>
    <n v="247.67"/>
    <s v="TOWN CENTER COSTA DEL ESTE"/>
    <x v="4"/>
  </r>
  <r>
    <n v="125"/>
    <d v="2018-06-01T00:00:00"/>
    <x v="2"/>
    <x v="2"/>
    <x v="0"/>
    <s v="ADMINISTRACION DE SUCURSALES"/>
    <s v="NC GASTO NO DEDUCIBLES"/>
    <s v="TRANSACCIONES DEL DIA 06/01/2018SPYRAL - GESTION ADMINISTRATIVA"/>
    <n v="29.9"/>
    <n v="0"/>
    <s v="COSTA VERDE"/>
    <x v="4"/>
  </r>
  <r>
    <n v="125"/>
    <d v="2018-07-02T00:00:00"/>
    <x v="6"/>
    <x v="6"/>
    <x v="0"/>
    <s v="ADMINISTRACION DE SUCURSALES"/>
    <s v="NC GASTO NO DEDUCIBLES"/>
    <s v="TRANSACCIONES DEL DIA 07/02/2018SPYRAL - GESTION ADMINISTRATIVA"/>
    <n v="52.26"/>
    <n v="0"/>
    <s v="COSTA VERDE"/>
    <x v="4"/>
  </r>
  <r>
    <n v="125"/>
    <d v="2018-08-17T00:00:00"/>
    <x v="3"/>
    <x v="3"/>
    <x v="0"/>
    <s v="ADMINISTRACION DE SUCURSALES"/>
    <s v="NC GASTO NO DEDUCIBLES"/>
    <s v="TRANSACCIONES DEL DIA 08/17/2018SPYRAL - GESTION ADMINISTRATIVA"/>
    <n v="91.99"/>
    <n v="0"/>
    <s v="COSTA VERDE"/>
    <x v="4"/>
  </r>
  <r>
    <n v="125"/>
    <d v="2018-10-02T00:00:00"/>
    <x v="0"/>
    <x v="0"/>
    <x v="0"/>
    <s v="ADMINISTRACION DE SUCURSALES"/>
    <s v="NC GASTO NO DEDUCIBLES"/>
    <s v="TRANSACCIONES DEL DIA 10/02/2018SPYRAL - GESTION ADMINISTRATIVA"/>
    <n v="22.95"/>
    <n v="0"/>
    <s v="COSTA VERDE"/>
    <x v="4"/>
  </r>
  <r>
    <n v="125"/>
    <d v="2018-10-23T00:00:00"/>
    <x v="0"/>
    <x v="0"/>
    <x v="0"/>
    <s v="ADMINISTRACION DE SUCURSALES"/>
    <s v="NC GASTO NO DEDUCIBLES"/>
    <s v="TRANSACCIONES DEL DIA 10/23/2018SPYRAL - GESTION ADMINISTRATIVA"/>
    <n v="30.8"/>
    <n v="0"/>
    <s v="COSTA VERDE"/>
    <x v="4"/>
  </r>
  <r>
    <n v="125"/>
    <d v="2018-12-27T00:00:00"/>
    <x v="1"/>
    <x v="1"/>
    <x v="0"/>
    <s v="ADMINISTRACION DE SUCURSALES"/>
    <s v="NC GASTO NO DEDUCIBLES"/>
    <s v="TRANSACCIONES DEL DIA 12/27/2018SPYRAL - GESTION ADMINISTRATIVA"/>
    <n v="242.83"/>
    <n v="0"/>
    <s v="COSTA VERDE"/>
    <x v="4"/>
  </r>
  <r>
    <n v="125"/>
    <d v="2018-12-31T00:00:00"/>
    <x v="1"/>
    <x v="1"/>
    <x v="0"/>
    <s v="ADMINISTRACION DE SUCURSALES"/>
    <s v="CIERRE DE ANIO FISCAL"/>
    <s v="CIERRE_DE_CTAS_NOMINALES"/>
    <n v="0"/>
    <n v="645.97"/>
    <s v="COSTA VERDE"/>
    <x v="4"/>
  </r>
  <r>
    <n v="131"/>
    <d v="2018-06-11T00:00:00"/>
    <x v="2"/>
    <x v="2"/>
    <x v="0"/>
    <s v="ADMINISTRACION DE SUCURSALES"/>
    <s v="NC GASTO NO DEDUCIBLES"/>
    <s v="TRANSACCIONES DEL DIA 06/11/2018SPYRAL - GESTION ADMINISTRATIVA"/>
    <n v="8.89"/>
    <n v="0"/>
    <s v="PLAZA LOS ANGELES"/>
    <x v="4"/>
  </r>
  <r>
    <n v="131"/>
    <d v="2018-06-11T00:00:00"/>
    <x v="2"/>
    <x v="2"/>
    <x v="0"/>
    <s v="ADMINISTRACION DE SUCURSALES"/>
    <s v="GASTOS NO DEDUCIBLES"/>
    <s v="TRANSACCIONES DEL DIA 06/11/2018SPYRAL - GESTION ADMINISTRATIVA"/>
    <n v="27.65"/>
    <n v="0"/>
    <s v="PLAZA LOS ANGELES"/>
    <x v="4"/>
  </r>
  <r>
    <n v="131"/>
    <d v="2018-10-10T00:00:00"/>
    <x v="0"/>
    <x v="0"/>
    <x v="0"/>
    <s v="ADMINISTRACION DE SUCURSALES"/>
    <s v="NC GASTO NO DEDUCIBLES"/>
    <s v="TRANSACCIONES DEL DIA 10/10/2018SPYRAL - GESTION ADMINISTRATIVA"/>
    <n v="22.51"/>
    <n v="0"/>
    <s v="PLAZA LOS ANGELES"/>
    <x v="4"/>
  </r>
  <r>
    <n v="131"/>
    <d v="2018-12-04T00:00:00"/>
    <x v="1"/>
    <x v="1"/>
    <x v="0"/>
    <s v="ADMINISTRACION DE SUCURSALES"/>
    <s v="NC GASTO NO DEDUCIBLES"/>
    <s v="TRANSACCIONES DEL DIA 12/04/2018SPYRAL - GESTION ADMINISTRATIVA"/>
    <n v="24.11"/>
    <n v="0"/>
    <s v="PLAZA LOS ANGELES"/>
    <x v="4"/>
  </r>
  <r>
    <n v="131"/>
    <d v="2018-12-31T00:00:00"/>
    <x v="1"/>
    <x v="1"/>
    <x v="0"/>
    <s v="ADMINISTRACION DE SUCURSALES"/>
    <s v="CIERRE DE ANIO FISCAL"/>
    <s v="CIERRE_DE_CTAS_NOMINALES"/>
    <n v="0"/>
    <n v="220.13"/>
    <s v="PLAZA LOS ANGELES"/>
    <x v="4"/>
  </r>
  <r>
    <n v="157"/>
    <d v="2018-08-14T00:00:00"/>
    <x v="3"/>
    <x v="3"/>
    <x v="0"/>
    <s v="ADMINISTRACION DE SUCURSALES"/>
    <s v="NC GASTO NO DEDUCIBLES"/>
    <s v="TRANSACCIONES DEL DIA 08/14/2018SPYRAL - GESTION ADMINISTRATIVA"/>
    <n v="58.05"/>
    <n v="0"/>
    <s v="SAN MATEO"/>
    <x v="4"/>
  </r>
  <r>
    <n v="157"/>
    <d v="2018-09-11T00:00:00"/>
    <x v="4"/>
    <x v="4"/>
    <x v="0"/>
    <s v="ADMINISTRACION DE SUCURSALES"/>
    <s v="NC GASTO NO DEDUCIBLES"/>
    <s v="TRANSACCIONES DEL DIA 09/11/2018SPYRAL - GESTION ADMINISTRATIVA"/>
    <n v="155.51"/>
    <n v="0"/>
    <s v="SAN MATEO"/>
    <x v="4"/>
  </r>
  <r>
    <n v="157"/>
    <d v="2018-12-21T00:00:00"/>
    <x v="1"/>
    <x v="1"/>
    <x v="0"/>
    <s v="ADMINISTRACION DE SUCURSALES"/>
    <s v="NC GASTO NO DEDUCIBLES"/>
    <s v="TRANSACCIONES DEL DIA 12/21/2018SPYRAL - GESTION ADMINISTRATIVA"/>
    <n v="44"/>
    <n v="0"/>
    <s v="SAN MATEO"/>
    <x v="4"/>
  </r>
  <r>
    <n v="157"/>
    <d v="2018-12-28T00:00:00"/>
    <x v="1"/>
    <x v="1"/>
    <x v="0"/>
    <s v="ADMINISTRACION DE SUCURSALES"/>
    <s v="NC GASTO NO DEDUCIBLES"/>
    <s v="TRANSACCIONES DEL DIA 12/28/2018SPYRAL - GESTION ADMINISTRATIVA"/>
    <n v="64.2"/>
    <n v="0"/>
    <s v="SAN MATEO"/>
    <x v="4"/>
  </r>
  <r>
    <n v="157"/>
    <d v="2018-12-31T00:00:00"/>
    <x v="1"/>
    <x v="1"/>
    <x v="0"/>
    <s v="ADMINISTRACION DE SUCURSALES"/>
    <s v="CIERRE DE ANIO FISCAL"/>
    <s v="CIERRE_DE_CTAS_NOMINALES"/>
    <n v="0"/>
    <n v="395.86"/>
    <s v="SAN MATEO"/>
    <x v="4"/>
  </r>
  <r>
    <n v="162"/>
    <d v="2018-07-02T00:00:00"/>
    <x v="6"/>
    <x v="6"/>
    <x v="0"/>
    <s v="ADMINISTRACION DE SUCURSALES"/>
    <s v="NC GASTO NO DEDUCIBLES"/>
    <s v="TRANSACCIONES DEL DIA 07/02/2018SPYRAL - GESTION ADMINISTRATIVA"/>
    <n v="33.090000000000003"/>
    <n v="0"/>
    <s v="BRISAS DEL GOLF ARRAIJAN"/>
    <x v="4"/>
  </r>
  <r>
    <n v="162"/>
    <d v="2018-11-16T00:00:00"/>
    <x v="5"/>
    <x v="5"/>
    <x v="0"/>
    <s v="ADMINISTRACION DE SUCURSALES"/>
    <s v="NC GASTO NO DEDUCIBLES"/>
    <s v="TRANSACCIONES DEL DIA 11/16/2018SPYRAL - GESTION ADMINISTRATIVA"/>
    <n v="15.41"/>
    <n v="0"/>
    <s v="BRISAS DEL GOLF ARRAIJAN"/>
    <x v="4"/>
  </r>
  <r>
    <n v="162"/>
    <d v="2018-12-12T00:00:00"/>
    <x v="1"/>
    <x v="1"/>
    <x v="0"/>
    <s v="ADMINISTRACION DE SUCURSALES"/>
    <s v="NC GASTO NO DEDUCIBLES"/>
    <s v="TRANSACCIONES DEL DIA 12/12/2018SPYRAL - GESTION ADMINISTRATIVA"/>
    <n v="9.35"/>
    <n v="0"/>
    <s v="BRISAS DEL GOLF ARRAIJAN"/>
    <x v="4"/>
  </r>
  <r>
    <n v="162"/>
    <d v="2018-12-31T00:00:00"/>
    <x v="1"/>
    <x v="1"/>
    <x v="0"/>
    <s v="ADMINISTRACION DE SUCURSALES"/>
    <s v="CIERRE DE ANIO FISCAL"/>
    <s v="CIERRE_DE_CTAS_NOMINALES"/>
    <n v="0"/>
    <n v="248.23"/>
    <s v="BRISAS DEL GOLF ARRAIJAN"/>
    <x v="4"/>
  </r>
  <r>
    <n v="164"/>
    <d v="2018-06-08T00:00:00"/>
    <x v="2"/>
    <x v="2"/>
    <x v="0"/>
    <s v="ADMINISTRACION DE SUCURSALES"/>
    <s v="GASTOS NO DEDUCIBLES"/>
    <s v="TRANSACCIONES DEL DIA 06/08/2018SPYRAL - GESTION ADMINISTRATIVA"/>
    <n v="61.42"/>
    <n v="0"/>
    <s v="PASEO ARRAIJAN"/>
    <x v="4"/>
  </r>
  <r>
    <n v="164"/>
    <d v="2018-08-09T00:00:00"/>
    <x v="3"/>
    <x v="3"/>
    <x v="0"/>
    <s v="ADMINISTRACION DE SUCURSALES"/>
    <s v="NC GASTO NO DEDUCIBLES"/>
    <s v="TRANSACCIONES DEL DIA 08/09/2018SPYRAL - GESTION ADMINISTRATIVA"/>
    <n v="33"/>
    <n v="0"/>
    <s v="PASEO ARRAIJAN"/>
    <x v="4"/>
  </r>
  <r>
    <n v="164"/>
    <d v="2018-10-02T00:00:00"/>
    <x v="0"/>
    <x v="0"/>
    <x v="0"/>
    <s v="ADMINISTRACION DE SUCURSALES"/>
    <s v="NC GASTO NO DEDUCIBLES"/>
    <s v="TRANSACCIONES DEL DIA 10/02/2018SPYRAL - GESTION ADMINISTRATIVA"/>
    <n v="85.2"/>
    <n v="0"/>
    <s v="PASEO ARRAIJAN"/>
    <x v="4"/>
  </r>
  <r>
    <n v="164"/>
    <d v="2018-11-09T00:00:00"/>
    <x v="5"/>
    <x v="5"/>
    <x v="0"/>
    <s v="ADMINISTRACION DE SUCURSALES"/>
    <s v="NC GASTO NO DEDUCIBLES"/>
    <s v="TRANSACCIONES DEL DIA 11/09/2018SPYRAL - GESTION ADMINISTRATIVA"/>
    <n v="35.94"/>
    <n v="0"/>
    <s v="PASEO ARRAIJAN"/>
    <x v="4"/>
  </r>
  <r>
    <n v="164"/>
    <d v="2018-11-16T00:00:00"/>
    <x v="5"/>
    <x v="5"/>
    <x v="0"/>
    <s v="ADMINISTRACION DE SUCURSALES"/>
    <s v="NC GASTO NO DEDUCIBLES"/>
    <s v="TRANSACCIONES DEL DIA 11/16/2018SPYRAL - GESTION ADMINISTRATIVA"/>
    <n v="36"/>
    <n v="0"/>
    <s v="PASEO ARRAIJAN"/>
    <x v="4"/>
  </r>
  <r>
    <n v="164"/>
    <d v="2018-12-20T00:00:00"/>
    <x v="1"/>
    <x v="1"/>
    <x v="0"/>
    <s v="ADMINISTRACION DE SUCURSALES"/>
    <s v="NC GASTO NO DEDUCIBLES"/>
    <s v="TRANSACCIONES DEL DIA 12/20/2018SPYRAL - GESTION ADMINISTRATIVA"/>
    <n v="232.38"/>
    <n v="0"/>
    <s v="PASEO ARRAIJAN"/>
    <x v="4"/>
  </r>
  <r>
    <n v="164"/>
    <d v="2018-12-28T00:00:00"/>
    <x v="1"/>
    <x v="1"/>
    <x v="0"/>
    <s v="ADMINISTRACION DE SUCURSALES"/>
    <s v="NC GASTO NO DEDUCIBLES"/>
    <s v="TRANSACCIONES DEL DIA 12/28/2018SPYRAL - GESTION ADMINISTRATIVA"/>
    <n v="104.68"/>
    <n v="0"/>
    <s v="PASEO ARRAIJAN"/>
    <x v="4"/>
  </r>
  <r>
    <n v="164"/>
    <d v="2018-12-31T00:00:00"/>
    <x v="1"/>
    <x v="1"/>
    <x v="0"/>
    <s v="ADMINISTRACION DE SUCURSALES"/>
    <s v="CIERRE DE ANIO FISCAL"/>
    <s v="CIERRE_DE_CTAS_NOMINALES"/>
    <n v="0"/>
    <n v="643.86"/>
    <s v="PASEO ARRAIJAN"/>
    <x v="4"/>
  </r>
  <r>
    <n v="165"/>
    <d v="2018-10-12T00:00:00"/>
    <x v="0"/>
    <x v="0"/>
    <x v="0"/>
    <s v="ADMINISTRACION DE SUCURSALES"/>
    <s v="GASTOS NO DEDUCIBLES"/>
    <s v="TRANSACCIONES DEL DIA 10/12/2018SPYRAL - GESTION ADMINISTRATIVA"/>
    <n v="24"/>
    <n v="0"/>
    <s v="PLAZA NUEVO TOCUMEN"/>
    <x v="4"/>
  </r>
  <r>
    <n v="165"/>
    <d v="2018-10-16T00:00:00"/>
    <x v="0"/>
    <x v="0"/>
    <x v="0"/>
    <s v="ADMINISTRACION DE SUCURSALES"/>
    <s v="NC GASTO NO DEDUCIBLES"/>
    <s v="TRANSACCIONES DEL DIA 10/16/2018SPYRAL - GESTION ADMINISTRATIVA"/>
    <n v="50.75"/>
    <n v="0"/>
    <s v="PLAZA NUEVO TOCUMEN"/>
    <x v="4"/>
  </r>
  <r>
    <n v="165"/>
    <d v="2018-12-31T00:00:00"/>
    <x v="1"/>
    <x v="1"/>
    <x v="0"/>
    <s v="ADMINISTRACION DE SUCURSALES"/>
    <s v="CIERRE DE ANIO FISCAL"/>
    <s v="CIERRE_DE_CTAS_NOMINALES"/>
    <n v="0"/>
    <n v="74.75"/>
    <s v="PLAZA NUEVO TOCUMEN"/>
    <x v="4"/>
  </r>
  <r>
    <n v="196"/>
    <d v="2018-06-15T00:00:00"/>
    <x v="2"/>
    <x v="2"/>
    <x v="0"/>
    <s v="ADMINISTRACION DE SUCURSALES"/>
    <s v="NC GASTO NO DEDUCIBLES"/>
    <s v="TRANSACCIONES DEL DIA 06/15/2018SPYRAL - GESTION ADMINISTRATIVA"/>
    <n v="25.53"/>
    <n v="0"/>
    <s v="SANTA MARIA"/>
    <x v="4"/>
  </r>
  <r>
    <n v="196"/>
    <d v="2018-09-20T00:00:00"/>
    <x v="4"/>
    <x v="4"/>
    <x v="0"/>
    <s v="ADMINISTRACION DE SUCURSALES"/>
    <s v="NC GASTO NO DEDUCIBLES"/>
    <s v="TRANSACCIONES DEL DIA 09/20/2018SPYRAL - GESTION ADMINISTRATIVA"/>
    <n v="23.54"/>
    <n v="0"/>
    <s v="SANTA MARIA"/>
    <x v="4"/>
  </r>
  <r>
    <n v="196"/>
    <d v="2018-10-04T00:00:00"/>
    <x v="0"/>
    <x v="0"/>
    <x v="0"/>
    <s v="ADMINISTRACION DE SUCURSALES"/>
    <s v="NC GASTO NO DEDUCIBLES"/>
    <s v="TRANSACCIONES DEL DIA 10/04/2018SPYRAL - GESTION ADMINISTRATIVA"/>
    <n v="39.119999999999997"/>
    <n v="0"/>
    <s v="SANTA MARIA"/>
    <x v="4"/>
  </r>
  <r>
    <n v="196"/>
    <d v="2018-10-16T00:00:00"/>
    <x v="0"/>
    <x v="0"/>
    <x v="0"/>
    <s v="ADMINISTRACION DE SUCURSALES"/>
    <s v="NC GASTO NO DEDUCIBLES"/>
    <s v="TRANSACCIONES DEL DIA 10/16/2018SPYRAL - GESTION ADMINISTRATIVA"/>
    <n v="25.39"/>
    <n v="0"/>
    <s v="SANTA MARIA"/>
    <x v="4"/>
  </r>
  <r>
    <n v="196"/>
    <d v="2018-12-31T00:00:00"/>
    <x v="1"/>
    <x v="1"/>
    <x v="0"/>
    <s v="ADMINISTRACION DE SUCURSALES"/>
    <s v="CIERRE DE ANIO FISCAL"/>
    <s v="CIERRE_DE_CTAS_NOMINALES"/>
    <n v="0"/>
    <n v="223.74"/>
    <s v="SANTA MARIA"/>
    <x v="4"/>
  </r>
  <r>
    <n v="1"/>
    <d v="2019-01-25T00:00:00"/>
    <x v="7"/>
    <x v="7"/>
    <x v="1"/>
    <s v="CAJA"/>
    <s v="PAGO NOMINA QUINCENA 2 ENERO 2019"/>
    <s v="TRANSACCIONES DEL DIA 01/25/2019 RECURSOS HUMANOS"/>
    <n v="14.86"/>
    <n v="0"/>
    <s v="CASA MATRIZ"/>
    <x v="0"/>
  </r>
  <r>
    <n v="1"/>
    <d v="2019-02-09T00:00:00"/>
    <x v="8"/>
    <x v="8"/>
    <x v="1"/>
    <s v="SERVICIOS PERSONALES"/>
    <s v="PAGO NOMINA QUINCENA 1 FEBRERO 2019"/>
    <s v="TRANSACCIONES DEL DIA 02/09/2019 RECURSOS HUMANOS"/>
    <n v="28.99"/>
    <n v="0"/>
    <s v="CASA MATRIZ"/>
    <x v="0"/>
  </r>
  <r>
    <n v="1"/>
    <d v="2019-02-25T00:00:00"/>
    <x v="8"/>
    <x v="8"/>
    <x v="1"/>
    <s v="SERVICIOS PERSONALES"/>
    <s v="PAGO NOMINA QUINCENA 2 FEBRERO 2019"/>
    <s v="TRANSACCIONES DEL DIA 02/25/2019 RECURSOS HUMANOS"/>
    <n v="159.63"/>
    <n v="0"/>
    <s v="CASA MATRIZ"/>
    <x v="0"/>
  </r>
  <r>
    <n v="1"/>
    <d v="2019-07-25T00:00:00"/>
    <x v="6"/>
    <x v="6"/>
    <x v="1"/>
    <s v="SERVICIOS PERSONALES"/>
    <s v="PAGO NOMINA QUINCENA 2 JULIO 2019"/>
    <s v="TRANSACCIONES DEL DIA 07/25/2019 RECURSOS HUMANOS"/>
    <n v="27.42"/>
    <n v="0"/>
    <s v="CASA MATRIZ"/>
    <x v="0"/>
  </r>
  <r>
    <n v="2"/>
    <d v="2019-03-09T00:00:00"/>
    <x v="9"/>
    <x v="9"/>
    <x v="1"/>
    <s v="ADMINISTRACION DE SUCURSALES"/>
    <s v="PAGO NOMINA QUINCENA 1 MARZO 2019"/>
    <s v="TRANSACCIONES DEL DIA 03/09/2019 RECURSOS HUMANOS"/>
    <n v="37.57"/>
    <n v="0"/>
    <s v="PAITILLA"/>
    <x v="0"/>
  </r>
  <r>
    <n v="2"/>
    <d v="2019-04-25T00:00:00"/>
    <x v="10"/>
    <x v="10"/>
    <x v="1"/>
    <s v="ADMINISTRACION DE SUCURSALES"/>
    <s v="PAGO NOMINA QUINCENA 2 ABRIL 2019"/>
    <s v="TRANSACCIONES DEL DIA 04/25/2019 RECURSOS HUMANOS"/>
    <n v="38.03"/>
    <n v="0"/>
    <s v="PAITILLA"/>
    <x v="0"/>
  </r>
  <r>
    <n v="2"/>
    <d v="2019-05-10T00:00:00"/>
    <x v="11"/>
    <x v="11"/>
    <x v="1"/>
    <s v="ADMINISTRACION DE SUCURSALES"/>
    <s v="PAGO NOMINA QUINCENA 1 MAYO 2019"/>
    <s v="TRANSACCIONES DEL DIA 05/10/2019 RECURSOS HUMANOS"/>
    <n v="38.03"/>
    <n v="0"/>
    <s v="PAITILLA"/>
    <x v="0"/>
  </r>
  <r>
    <n v="2"/>
    <d v="2019-01-25T00:00:00"/>
    <x v="7"/>
    <x v="7"/>
    <x v="1"/>
    <s v="CAJA"/>
    <s v="PAGO NOMINA QUINCENA 2 ENERO 2019"/>
    <s v="TRANSACCIONES DEL DIA 01/25/2019 RECURSOS HUMANOS"/>
    <n v="34.630000000000003"/>
    <n v="0"/>
    <s v="PAITILLA"/>
    <x v="0"/>
  </r>
  <r>
    <n v="2"/>
    <d v="2019-03-25T00:00:00"/>
    <x v="9"/>
    <x v="9"/>
    <x v="1"/>
    <s v="CAJA"/>
    <s v="PAGO NOMINA QUINCENA 2 MARZO 2019"/>
    <s v="TRANSACCIONES DEL DIA 03/25/2019 RECURSOS HUMANOS"/>
    <n v="30.38"/>
    <n v="0"/>
    <s v="PAITILLA"/>
    <x v="0"/>
  </r>
  <r>
    <n v="3"/>
    <d v="2019-01-10T00:00:00"/>
    <x v="7"/>
    <x v="7"/>
    <x v="1"/>
    <s v="CAJA"/>
    <s v="PAGO NOMINA QUINCENA 1 ENERO 2019"/>
    <s v="TRANSACCIONES DEL DIA 01/10/2019 RECURSOS HUMANOS"/>
    <n v="35.85"/>
    <n v="0"/>
    <s v="EL DORADO"/>
    <x v="0"/>
  </r>
  <r>
    <n v="3"/>
    <d v="2019-04-10T00:00:00"/>
    <x v="10"/>
    <x v="10"/>
    <x v="1"/>
    <s v="CAJA"/>
    <s v="PAGO NOMINA QUINCENA 1 ABRIL 2019"/>
    <s v="TRANSACCIONES DEL DIA 04/10/2019 RECURSOS HUMANOS"/>
    <n v="67.34"/>
    <n v="0"/>
    <s v="EL DORADO"/>
    <x v="0"/>
  </r>
  <r>
    <n v="3"/>
    <d v="2019-04-25T00:00:00"/>
    <x v="10"/>
    <x v="10"/>
    <x v="1"/>
    <s v="CAJA"/>
    <s v="PAGO NOMINA QUINCENA 2 ABRIL 2019"/>
    <s v="TRANSACCIONES DEL DIA 04/25/2019 RECURSOS HUMANOS"/>
    <n v="72.31"/>
    <n v="0"/>
    <s v="EL DORADO"/>
    <x v="0"/>
  </r>
  <r>
    <n v="3"/>
    <d v="2019-07-25T00:00:00"/>
    <x v="6"/>
    <x v="6"/>
    <x v="1"/>
    <s v="CAJA"/>
    <s v="PAGO NOMINA QUINCENA 2 JULIO 2019"/>
    <s v="TRANSACCIONES DEL DIA 07/25/2019 RECURSOS HUMANOS"/>
    <n v="16.78"/>
    <n v="0"/>
    <s v="EL DORADO"/>
    <x v="0"/>
  </r>
  <r>
    <n v="3"/>
    <d v="2019-07-25T00:00:00"/>
    <x v="6"/>
    <x v="6"/>
    <x v="1"/>
    <s v="SERVICIOS PERSONALES"/>
    <s v="PAGO NOMINA QUINCENA 2 JULIO 2019"/>
    <s v="TRANSACCIONES DEL DIA 07/25/2019 RECURSOS HUMANOS"/>
    <n v="65.59"/>
    <n v="0"/>
    <s v="EL DORADO"/>
    <x v="0"/>
  </r>
  <r>
    <n v="4"/>
    <d v="2019-04-10T00:00:00"/>
    <x v="10"/>
    <x v="10"/>
    <x v="1"/>
    <s v="ADMINISTRACION DE SUCURSALES"/>
    <s v="PAGO NOMINA QUINCENA 1 ABRIL 2019"/>
    <s v="TRANSACCIONES DEL DIA 04/10/2019 RECURSOS HUMANOS"/>
    <n v="34.770000000000003"/>
    <n v="0"/>
    <s v="VIA ARGENTINA"/>
    <x v="0"/>
  </r>
  <r>
    <n v="4"/>
    <d v="2019-02-25T00:00:00"/>
    <x v="8"/>
    <x v="8"/>
    <x v="1"/>
    <s v="CAJA"/>
    <s v="PAGO NOMINA QUINCENA 2 FEBRERO 2019"/>
    <s v="TRANSACCIONES DEL DIA 02/25/2019 RECURSOS HUMANOS"/>
    <n v="12.59"/>
    <n v="0"/>
    <s v="VIA ARGENTINA"/>
    <x v="0"/>
  </r>
  <r>
    <n v="4"/>
    <d v="2019-04-25T00:00:00"/>
    <x v="10"/>
    <x v="10"/>
    <x v="1"/>
    <s v="CAJA"/>
    <s v="PAGO NOMINA QUINCENA 2 ABRIL 2019"/>
    <s v="TRANSACCIONES DEL DIA 04/25/2019 RECURSOS HUMANOS"/>
    <n v="23.39"/>
    <n v="0"/>
    <s v="VIA ARGENTINA"/>
    <x v="0"/>
  </r>
  <r>
    <n v="4"/>
    <d v="2019-05-25T00:00:00"/>
    <x v="11"/>
    <x v="11"/>
    <x v="1"/>
    <s v="CAJA"/>
    <s v="PAGO NOMINA QUINCENA 2 MAYO 2019"/>
    <s v="TRANSACCIONES DEL DIA 05/25/2019 RECURSOS HUMANOS"/>
    <n v="60.62"/>
    <n v="0"/>
    <s v="VIA ARGENTINA"/>
    <x v="0"/>
  </r>
  <r>
    <n v="5"/>
    <d v="2019-02-09T00:00:00"/>
    <x v="8"/>
    <x v="8"/>
    <x v="1"/>
    <s v="ADMINISTRACION DE SUCURSALES"/>
    <s v="PAGO NOMINA QUINCENA 1 FEBRERO 2019"/>
    <s v="TRANSACCIONES DEL DIA 02/09/2019 RECURSOS HUMANOS"/>
    <n v="61"/>
    <n v="0"/>
    <s v="VIA PORRAS"/>
    <x v="0"/>
  </r>
  <r>
    <n v="5"/>
    <d v="2019-03-25T00:00:00"/>
    <x v="9"/>
    <x v="9"/>
    <x v="1"/>
    <s v="ADMINISTRACION DE SUCURSALES"/>
    <s v="PAGO NOMINA QUINCENA 2 MARZO 2019"/>
    <s v="TRANSACCIONES DEL DIA 03/25/2019 RECURSOS HUMANOS"/>
    <n v="447.12"/>
    <n v="0"/>
    <s v="VIA PORRAS"/>
    <x v="0"/>
  </r>
  <r>
    <n v="5"/>
    <d v="2019-05-25T00:00:00"/>
    <x v="11"/>
    <x v="11"/>
    <x v="1"/>
    <s v="ADMINISTRACION DE SUCURSALES"/>
    <s v="PAGO NOMINA QUINCENA 2 MAYO 2019"/>
    <s v="TRANSACCIONES DEL DIA 05/25/2019 RECURSOS HUMANOS"/>
    <n v="341.28"/>
    <n v="0"/>
    <s v="VIA PORRAS"/>
    <x v="0"/>
  </r>
  <r>
    <n v="5"/>
    <d v="2019-06-10T00:00:00"/>
    <x v="2"/>
    <x v="2"/>
    <x v="1"/>
    <s v="ADMINISTRACION DE SUCURSALES"/>
    <s v="PAGO NOMINA QUINCENA 1 JUNIO 2019"/>
    <s v="TRANSACCIONES DEL DIA 06/10/2019 RECURSOS HUMANOS"/>
    <n v="642.38"/>
    <n v="0"/>
    <s v="VIA PORRAS"/>
    <x v="0"/>
  </r>
  <r>
    <n v="5"/>
    <d v="2019-06-25T00:00:00"/>
    <x v="2"/>
    <x v="2"/>
    <x v="1"/>
    <s v="ADMINISTRACION DE SUCURSALES"/>
    <s v="PAGO NOMINA QUINCENA 2 JUNIO 2019"/>
    <s v="TRANSACCIONES DEL DIA 06/25/2019 RECURSOS HUMANOS"/>
    <n v="128.72"/>
    <n v="0"/>
    <s v="VIA PORRAS"/>
    <x v="0"/>
  </r>
  <r>
    <n v="5"/>
    <d v="2019-07-10T00:00:00"/>
    <x v="6"/>
    <x v="6"/>
    <x v="1"/>
    <s v="ADMINISTRACION DE SUCURSALES"/>
    <s v="PAGO NOMINA QUINCENA 1 JULIO 2019"/>
    <s v="TRANSACCIONES DEL DIA 07/10/2019 RECURSOS HUMANOS"/>
    <n v="138.13"/>
    <n v="0"/>
    <s v="VIA PORRAS"/>
    <x v="0"/>
  </r>
  <r>
    <n v="5"/>
    <d v="2019-01-10T00:00:00"/>
    <x v="7"/>
    <x v="7"/>
    <x v="1"/>
    <s v="CAJA"/>
    <s v="PAGO NOMINA QUINCENA 1 ENERO 2019"/>
    <s v="TRANSACCIONES DEL DIA 01/10/2019 RECURSOS HUMANOS"/>
    <n v="733.55"/>
    <n v="0"/>
    <s v="VIA PORRAS"/>
    <x v="0"/>
  </r>
  <r>
    <n v="5"/>
    <d v="2019-01-25T00:00:00"/>
    <x v="7"/>
    <x v="7"/>
    <x v="1"/>
    <s v="CAJA"/>
    <s v="PAGO NOMINA QUINCENA 2 ENERO 2019"/>
    <s v="TRANSACCIONES DEL DIA 01/25/2019 RECURSOS HUMANOS"/>
    <n v="665.62"/>
    <n v="0"/>
    <s v="VIA PORRAS"/>
    <x v="0"/>
  </r>
  <r>
    <n v="5"/>
    <d v="2019-02-09T00:00:00"/>
    <x v="8"/>
    <x v="8"/>
    <x v="1"/>
    <s v="CAJA"/>
    <s v="PAGO NOMINA QUINCENA 1 FEBRERO 2019"/>
    <s v="TRANSACCIONES DEL DIA 02/09/2019 RECURSOS HUMANOS"/>
    <n v="969.56"/>
    <n v="0"/>
    <s v="VIA PORRAS"/>
    <x v="0"/>
  </r>
  <r>
    <n v="5"/>
    <d v="2019-02-25T00:00:00"/>
    <x v="8"/>
    <x v="8"/>
    <x v="1"/>
    <s v="CAJA"/>
    <s v="PAGO NOMINA QUINCENA 2 FEBRERO 2019"/>
    <s v="TRANSACCIONES DEL DIA 02/25/2019 RECURSOS HUMANOS"/>
    <n v="646.41"/>
    <n v="0"/>
    <s v="VIA PORRAS"/>
    <x v="0"/>
  </r>
  <r>
    <n v="5"/>
    <d v="2019-03-09T00:00:00"/>
    <x v="9"/>
    <x v="9"/>
    <x v="1"/>
    <s v="CAJA"/>
    <s v="PAGO NOMINA QUINCENA 1 MARZO 2019"/>
    <s v="TRANSACCIONES DEL DIA 03/09/2019 RECURSOS HUMANOS"/>
    <n v="1181.26"/>
    <n v="0"/>
    <s v="VIA PORRAS"/>
    <x v="0"/>
  </r>
  <r>
    <n v="5"/>
    <d v="2019-03-25T00:00:00"/>
    <x v="9"/>
    <x v="9"/>
    <x v="1"/>
    <s v="CAJA"/>
    <s v="PAGO NOMINA QUINCENA 2 MARZO 2019"/>
    <s v="TRANSACCIONES DEL DIA 03/25/2019 RECURSOS HUMANOS"/>
    <n v="471.73"/>
    <n v="0"/>
    <s v="VIA PORRAS"/>
    <x v="0"/>
  </r>
  <r>
    <n v="5"/>
    <d v="2019-04-10T00:00:00"/>
    <x v="10"/>
    <x v="10"/>
    <x v="1"/>
    <s v="CAJA"/>
    <s v="PAGO NOMINA QUINCENA 1 ABRIL 2019"/>
    <s v="TRANSACCIONES DEL DIA 04/10/2019 RECURSOS HUMANOS"/>
    <n v="484.74"/>
    <n v="0"/>
    <s v="VIA PORRAS"/>
    <x v="0"/>
  </r>
  <r>
    <n v="5"/>
    <d v="2019-04-25T00:00:00"/>
    <x v="10"/>
    <x v="10"/>
    <x v="1"/>
    <s v="CAJA"/>
    <s v="PAGO NOMINA QUINCENA 2 ABRIL 2019"/>
    <s v="TRANSACCIONES DEL DIA 04/25/2019 RECURSOS HUMANOS"/>
    <n v="618.82000000000005"/>
    <n v="0"/>
    <s v="VIA PORRAS"/>
    <x v="0"/>
  </r>
  <r>
    <n v="5"/>
    <d v="2019-05-10T00:00:00"/>
    <x v="11"/>
    <x v="11"/>
    <x v="1"/>
    <s v="CAJA"/>
    <s v="PAGO NOMINA QUINCENA 1 MAYO 2019"/>
    <s v="TRANSACCIONES DEL DIA 05/10/2019 RECURSOS HUMANOS"/>
    <n v="681.89"/>
    <n v="0"/>
    <s v="VIA PORRAS"/>
    <x v="0"/>
  </r>
  <r>
    <n v="5"/>
    <d v="2019-05-25T00:00:00"/>
    <x v="11"/>
    <x v="11"/>
    <x v="1"/>
    <s v="CAJA"/>
    <s v="PAGO NOMINA QUINCENA 2 MAYO 2019"/>
    <s v="TRANSACCIONES DEL DIA 05/25/2019 RECURSOS HUMANOS"/>
    <n v="637.09"/>
    <n v="0"/>
    <s v="VIA PORRAS"/>
    <x v="0"/>
  </r>
  <r>
    <n v="5"/>
    <d v="2019-06-10T00:00:00"/>
    <x v="2"/>
    <x v="2"/>
    <x v="1"/>
    <s v="CAJA"/>
    <s v="PAGO NOMINA QUINCENA 1 JUNIO 2019"/>
    <s v="TRANSACCIONES DEL DIA 06/10/2019 RECURSOS HUMANOS"/>
    <n v="860.35"/>
    <n v="0"/>
    <s v="VIA PORRAS"/>
    <x v="0"/>
  </r>
  <r>
    <n v="5"/>
    <d v="2019-06-25T00:00:00"/>
    <x v="2"/>
    <x v="2"/>
    <x v="1"/>
    <s v="CAJA"/>
    <s v="PAGO NOMINA QUINCENA 2 JUNIO 2019"/>
    <s v="TRANSACCIONES DEL DIA 06/25/2019 RECURSOS HUMANOS"/>
    <n v="879.61"/>
    <n v="0"/>
    <s v="VIA PORRAS"/>
    <x v="0"/>
  </r>
  <r>
    <n v="5"/>
    <d v="2019-07-10T00:00:00"/>
    <x v="6"/>
    <x v="6"/>
    <x v="1"/>
    <s v="CAJA"/>
    <s v="PAGO NOMINA QUINCENA 1 JULIO 2019"/>
    <s v="TRANSACCIONES DEL DIA 07/10/2019 RECURSOS HUMANOS"/>
    <n v="839.9"/>
    <n v="0"/>
    <s v="VIA PORRAS"/>
    <x v="0"/>
  </r>
  <r>
    <n v="5"/>
    <d v="2019-07-25T00:00:00"/>
    <x v="6"/>
    <x v="6"/>
    <x v="1"/>
    <s v="CAJA"/>
    <s v="PAGO NOMINA QUINCENA 2 JULIO 2019"/>
    <s v="TRANSACCIONES DEL DIA 07/25/2019 RECURSOS HUMANOS"/>
    <n v="873.5"/>
    <n v="0"/>
    <s v="VIA PORRAS"/>
    <x v="0"/>
  </r>
  <r>
    <n v="5"/>
    <d v="2019-05-10T00:00:00"/>
    <x v="11"/>
    <x v="11"/>
    <x v="1"/>
    <s v="SERVICIOS PERSONALES"/>
    <s v="PAGO NOMINA QUINCENA 1 MAYO 2019"/>
    <s v="TRANSACCIONES DEL DIA 05/10/2019 RECURSOS HUMANOS"/>
    <n v="32.01"/>
    <n v="0"/>
    <s v="VIA PORRAS"/>
    <x v="0"/>
  </r>
  <r>
    <n v="5"/>
    <d v="2019-06-10T00:00:00"/>
    <x v="2"/>
    <x v="2"/>
    <x v="1"/>
    <s v="SERVICIOS PERSONALES"/>
    <s v="PAGO NOMINA QUINCENA 1 JUNIO 2019"/>
    <s v="TRANSACCIONES DEL DIA 06/10/2019 RECURSOS HUMANOS"/>
    <n v="48.99"/>
    <n v="0"/>
    <s v="VIA PORRAS"/>
    <x v="0"/>
  </r>
  <r>
    <n v="5"/>
    <d v="2019-07-10T00:00:00"/>
    <x v="6"/>
    <x v="6"/>
    <x v="1"/>
    <s v="SERVICIOS PERSONALES"/>
    <s v="PAGO NOMINA QUINCENA 1 JULIO 2019"/>
    <s v="TRANSACCIONES DEL DIA 07/10/2019 RECURSOS HUMANOS"/>
    <n v="31.77"/>
    <n v="0"/>
    <s v="VIA PORRAS"/>
    <x v="0"/>
  </r>
  <r>
    <n v="5"/>
    <d v="2019-07-25T00:00:00"/>
    <x v="6"/>
    <x v="6"/>
    <x v="1"/>
    <s v="SERVICIOS PERSONALES"/>
    <s v="PAGO NOMINA QUINCENA 2 JULIO 2019"/>
    <s v="TRANSACCIONES DEL DIA 07/25/2019 RECURSOS HUMANOS"/>
    <n v="23.73"/>
    <n v="0"/>
    <s v="VIA PORRAS"/>
    <x v="0"/>
  </r>
  <r>
    <n v="6"/>
    <d v="2019-01-10T00:00:00"/>
    <x v="7"/>
    <x v="7"/>
    <x v="1"/>
    <s v="CAJA"/>
    <s v="PAGO NOMINA QUINCENA 1 ENERO 2019"/>
    <s v="TRANSACCIONES DEL DIA 01/10/2019 RECURSOS HUMANOS"/>
    <n v="13.14"/>
    <n v="0"/>
    <s v="EL INGENIO"/>
    <x v="0"/>
  </r>
  <r>
    <n v="6"/>
    <d v="2019-01-25T00:00:00"/>
    <x v="7"/>
    <x v="7"/>
    <x v="1"/>
    <s v="CAJA"/>
    <s v="PAGO NOMINA QUINCENA 2 ENERO 2019"/>
    <s v="TRANSACCIONES DEL DIA 01/25/2019 RECURSOS HUMANOS"/>
    <n v="96.22"/>
    <n v="0"/>
    <s v="EL INGENIO"/>
    <x v="0"/>
  </r>
  <r>
    <n v="6"/>
    <d v="2019-05-25T00:00:00"/>
    <x v="11"/>
    <x v="11"/>
    <x v="1"/>
    <s v="SERVICIOS PERSONALES"/>
    <s v="PAGO NOMINA QUINCENA 2 MAYO 2019"/>
    <s v="TRANSACCIONES DEL DIA 05/25/2019 RECURSOS HUMANOS"/>
    <n v="38.090000000000003"/>
    <n v="0"/>
    <s v="EL INGENIO"/>
    <x v="0"/>
  </r>
  <r>
    <n v="6"/>
    <d v="2019-07-10T00:00:00"/>
    <x v="6"/>
    <x v="6"/>
    <x v="1"/>
    <s v="SERVICIOS PERSONALES"/>
    <s v="PAGO NOMINA QUINCENA 1 JULIO 2019"/>
    <s v="TRANSACCIONES DEL DIA 07/10/2019 RECURSOS HUMANOS"/>
    <n v="7.26"/>
    <n v="0"/>
    <s v="EL INGENIO"/>
    <x v="0"/>
  </r>
  <r>
    <n v="7"/>
    <d v="2019-04-10T00:00:00"/>
    <x v="10"/>
    <x v="10"/>
    <x v="1"/>
    <s v="CAJA"/>
    <s v="PAGO NOMINA QUINCENA 1 ABRIL 2019"/>
    <s v="TRANSACCIONES DEL DIA 04/10/2019 RECURSOS HUMANOS"/>
    <n v="81.55"/>
    <n v="0"/>
    <s v="CHANIS"/>
    <x v="0"/>
  </r>
  <r>
    <n v="7"/>
    <d v="2019-04-25T00:00:00"/>
    <x v="10"/>
    <x v="10"/>
    <x v="1"/>
    <s v="CAJA"/>
    <s v="PAGO NOMINA QUINCENA 2 ABRIL 2019"/>
    <s v="TRANSACCIONES DEL DIA 04/25/2019 RECURSOS HUMANOS"/>
    <n v="13.32"/>
    <n v="0"/>
    <s v="CHANIS"/>
    <x v="0"/>
  </r>
  <r>
    <n v="8"/>
    <d v="2019-04-25T00:00:00"/>
    <x v="10"/>
    <x v="10"/>
    <x v="1"/>
    <s v="SERVICIOS PERSONALES"/>
    <s v="PAGO NOMINA QUINCENA 2 ABRIL 2019"/>
    <s v="TRANSACCIONES DEL DIA 04/25/2019 RECURSOS HUMANOS"/>
    <n v="21.92"/>
    <n v="0"/>
    <s v="PLAZA TOCUMEN"/>
    <x v="0"/>
  </r>
  <r>
    <n v="9"/>
    <d v="2019-03-09T00:00:00"/>
    <x v="9"/>
    <x v="9"/>
    <x v="1"/>
    <s v="CAJA"/>
    <s v="PAGO NOMINA QUINCENA 1 MARZO 2019"/>
    <s v="TRANSACCIONES DEL DIA 03/09/2019 RECURSOS HUMANOS"/>
    <n v="9.5"/>
    <n v="0"/>
    <s v="SANTIAGO"/>
    <x v="0"/>
  </r>
  <r>
    <n v="10"/>
    <d v="2019-02-09T00:00:00"/>
    <x v="8"/>
    <x v="8"/>
    <x v="1"/>
    <s v="ADMINISTRACION DE SUCURSALES"/>
    <s v="PAGO NOMINA QUINCENA 1 FEBRERO 2019"/>
    <s v="TRANSACCIONES DEL DIA 02/09/2019 RECURSOS HUMANOS"/>
    <n v="66.95"/>
    <n v="0"/>
    <s v="OBARRIO"/>
    <x v="0"/>
  </r>
  <r>
    <n v="10"/>
    <d v="2019-01-10T00:00:00"/>
    <x v="7"/>
    <x v="7"/>
    <x v="1"/>
    <s v="CAJA"/>
    <s v="PAGO NOMINA QUINCENA 1 ENERO 2019"/>
    <s v="TRANSACCIONES DEL DIA 01/10/2019 RECURSOS HUMANOS"/>
    <n v="458.67"/>
    <n v="0"/>
    <s v="OBARRIO"/>
    <x v="0"/>
  </r>
  <r>
    <n v="10"/>
    <d v="2019-01-25T00:00:00"/>
    <x v="7"/>
    <x v="7"/>
    <x v="1"/>
    <s v="CAJA"/>
    <s v="PAGO NOMINA QUINCENA 2 ENERO 2019"/>
    <s v="TRANSACCIONES DEL DIA 01/25/2019 RECURSOS HUMANOS"/>
    <n v="414.52"/>
    <n v="0"/>
    <s v="OBARRIO"/>
    <x v="0"/>
  </r>
  <r>
    <n v="10"/>
    <d v="2019-02-09T00:00:00"/>
    <x v="8"/>
    <x v="8"/>
    <x v="1"/>
    <s v="CAJA"/>
    <s v="PAGO NOMINA QUINCENA 1 FEBRERO 2019"/>
    <s v="TRANSACCIONES DEL DIA 02/09/2019 RECURSOS HUMANOS"/>
    <n v="307.33999999999997"/>
    <n v="0"/>
    <s v="OBARRIO"/>
    <x v="0"/>
  </r>
  <r>
    <n v="10"/>
    <d v="2019-02-25T00:00:00"/>
    <x v="8"/>
    <x v="8"/>
    <x v="1"/>
    <s v="CAJA"/>
    <s v="PAGO NOMINA QUINCENA 2 FEBRERO 2019"/>
    <s v="TRANSACCIONES DEL DIA 02/25/2019 RECURSOS HUMANOS"/>
    <n v="371.65"/>
    <n v="0"/>
    <s v="OBARRIO"/>
    <x v="0"/>
  </r>
  <r>
    <n v="10"/>
    <d v="2019-03-09T00:00:00"/>
    <x v="9"/>
    <x v="9"/>
    <x v="1"/>
    <s v="CAJA"/>
    <s v="PAGO NOMINA QUINCENA 1 MARZO 2019"/>
    <s v="TRANSACCIONES DEL DIA 03/09/2019 RECURSOS HUMANOS"/>
    <n v="59.91"/>
    <n v="0"/>
    <s v="OBARRIO"/>
    <x v="0"/>
  </r>
  <r>
    <n v="10"/>
    <d v="2019-03-25T00:00:00"/>
    <x v="9"/>
    <x v="9"/>
    <x v="1"/>
    <s v="CAJA"/>
    <s v="PAGO NOMINA QUINCENA 2 MARZO 2019"/>
    <s v="TRANSACCIONES DEL DIA 03/25/2019 RECURSOS HUMANOS"/>
    <n v="488.85"/>
    <n v="0"/>
    <s v="OBARRIO"/>
    <x v="0"/>
  </r>
  <r>
    <n v="10"/>
    <d v="2019-04-10T00:00:00"/>
    <x v="10"/>
    <x v="10"/>
    <x v="1"/>
    <s v="CAJA"/>
    <s v="PAGO NOMINA QUINCENA 1 ABRIL 2019"/>
    <s v="TRANSACCIONES DEL DIA 04/10/2019 RECURSOS HUMANOS"/>
    <n v="298.99"/>
    <n v="0"/>
    <s v="OBARRIO"/>
    <x v="0"/>
  </r>
  <r>
    <n v="10"/>
    <d v="2019-04-25T00:00:00"/>
    <x v="10"/>
    <x v="10"/>
    <x v="1"/>
    <s v="CAJA"/>
    <s v="PAGO NOMINA QUINCENA 2 ABRIL 2019"/>
    <s v="TRANSACCIONES DEL DIA 04/25/2019 RECURSOS HUMANOS"/>
    <n v="290.17"/>
    <n v="0"/>
    <s v="OBARRIO"/>
    <x v="0"/>
  </r>
  <r>
    <n v="10"/>
    <d v="2019-05-10T00:00:00"/>
    <x v="11"/>
    <x v="11"/>
    <x v="1"/>
    <s v="CAJA"/>
    <s v="PAGO NOMINA QUINCENA 1 MAYO 2019"/>
    <s v="TRANSACCIONES DEL DIA 05/10/2019 RECURSOS HUMANOS"/>
    <n v="360.46"/>
    <n v="0"/>
    <s v="OBARRIO"/>
    <x v="0"/>
  </r>
  <r>
    <n v="10"/>
    <d v="2019-05-25T00:00:00"/>
    <x v="11"/>
    <x v="11"/>
    <x v="1"/>
    <s v="CAJA"/>
    <s v="PAGO NOMINA QUINCENA 2 MAYO 2019"/>
    <s v="TRANSACCIONES DEL DIA 05/25/2019 RECURSOS HUMANOS"/>
    <n v="473.77"/>
    <n v="0"/>
    <s v="OBARRIO"/>
    <x v="0"/>
  </r>
  <r>
    <n v="10"/>
    <d v="2019-06-10T00:00:00"/>
    <x v="2"/>
    <x v="2"/>
    <x v="1"/>
    <s v="CAJA"/>
    <s v="PAGO NOMINA QUINCENA 1 JUNIO 2019"/>
    <s v="TRANSACCIONES DEL DIA 06/10/2019 RECURSOS HUMANOS"/>
    <n v="307.27999999999997"/>
    <n v="0"/>
    <s v="OBARRIO"/>
    <x v="0"/>
  </r>
  <r>
    <n v="10"/>
    <d v="2019-06-25T00:00:00"/>
    <x v="2"/>
    <x v="2"/>
    <x v="1"/>
    <s v="CAJA"/>
    <s v="PAGO NOMINA QUINCENA 2 JUNIO 2019"/>
    <s v="TRANSACCIONES DEL DIA 06/25/2019 RECURSOS HUMANOS"/>
    <n v="351.43"/>
    <n v="0"/>
    <s v="OBARRIO"/>
    <x v="0"/>
  </r>
  <r>
    <n v="10"/>
    <d v="2019-07-25T00:00:00"/>
    <x v="6"/>
    <x v="6"/>
    <x v="1"/>
    <s v="CAJA"/>
    <s v="PAGO NOMINA QUINCENA 2 JULIO 2019"/>
    <s v="TRANSACCIONES DEL DIA 07/25/2019 RECURSOS HUMANOS"/>
    <n v="475.27"/>
    <n v="0"/>
    <s v="OBARRIO"/>
    <x v="0"/>
  </r>
  <r>
    <n v="10"/>
    <d v="2019-02-25T00:00:00"/>
    <x v="8"/>
    <x v="8"/>
    <x v="1"/>
    <s v="SERVICIOS PERSONALES"/>
    <s v="PAGO NOMINA QUINCENA 2 FEBRERO 2019"/>
    <s v="TRANSACCIONES DEL DIA 02/25/2019 RECURSOS HUMANOS"/>
    <n v="11.08"/>
    <n v="0"/>
    <s v="OBARRIO"/>
    <x v="0"/>
  </r>
  <r>
    <n v="10"/>
    <d v="2019-03-09T00:00:00"/>
    <x v="9"/>
    <x v="9"/>
    <x v="1"/>
    <s v="SERVICIOS PERSONALES"/>
    <s v="PAGO NOMINA QUINCENA 1 MARZO 2019"/>
    <s v="TRANSACCIONES DEL DIA 03/09/2019 RECURSOS HUMANOS"/>
    <n v="48.03"/>
    <n v="0"/>
    <s v="OBARRIO"/>
    <x v="0"/>
  </r>
  <r>
    <n v="10"/>
    <d v="2019-05-25T00:00:00"/>
    <x v="11"/>
    <x v="11"/>
    <x v="1"/>
    <s v="SERVICIOS PERSONALES"/>
    <s v="PAGO NOMINA QUINCENA 2 MAYO 2019"/>
    <s v="TRANSACCIONES DEL DIA 05/25/2019 RECURSOS HUMANOS"/>
    <n v="11.08"/>
    <n v="0"/>
    <s v="OBARRIO"/>
    <x v="0"/>
  </r>
  <r>
    <n v="10"/>
    <d v="2019-06-25T00:00:00"/>
    <x v="2"/>
    <x v="2"/>
    <x v="1"/>
    <s v="SERVICIOS PERSONALES"/>
    <s v="PAGO NOMINA QUINCENA 2 JUNIO 2019"/>
    <s v="TRANSACCIONES DEL DIA 06/25/2019 RECURSOS HUMANOS"/>
    <n v="29.15"/>
    <n v="0"/>
    <s v="OBARRIO"/>
    <x v="0"/>
  </r>
  <r>
    <n v="10"/>
    <d v="2019-07-10T00:00:00"/>
    <x v="6"/>
    <x v="6"/>
    <x v="1"/>
    <s v="SERVICIOS PERSONALES"/>
    <s v="PAGO NOMINA QUINCENA 1 JULIO 2019"/>
    <s v="TRANSACCIONES DEL DIA 07/10/2019 RECURSOS HUMANOS"/>
    <n v="27.99"/>
    <n v="0"/>
    <s v="OBARRIO"/>
    <x v="0"/>
  </r>
  <r>
    <n v="10"/>
    <d v="2019-07-25T00:00:00"/>
    <x v="6"/>
    <x v="6"/>
    <x v="1"/>
    <s v="SERVICIOS PERSONALES"/>
    <s v="PAGO NOMINA QUINCENA 2 JULIO 2019"/>
    <s v="TRANSACCIONES DEL DIA 07/25/2019 RECURSOS HUMANOS"/>
    <n v="48.99"/>
    <n v="0"/>
    <s v="OBARRIO"/>
    <x v="0"/>
  </r>
  <r>
    <n v="13"/>
    <d v="2019-01-10T00:00:00"/>
    <x v="7"/>
    <x v="7"/>
    <x v="1"/>
    <s v="ADMINISTRACION DE SUCURSALES"/>
    <s v="PAGO NOMINA QUINCENA 1 ENERO 2019"/>
    <s v="TRANSACCIONES DEL DIA 01/10/2019 RECURSOS HUMANOS"/>
    <n v="45.08"/>
    <n v="0"/>
    <s v="HATO PINTADO"/>
    <x v="0"/>
  </r>
  <r>
    <n v="13"/>
    <d v="2019-02-09T00:00:00"/>
    <x v="8"/>
    <x v="8"/>
    <x v="1"/>
    <s v="ADMINISTRACION DE SUCURSALES"/>
    <s v="PAGO NOMINA QUINCENA 1 FEBRERO 2019"/>
    <s v="TRANSACCIONES DEL DIA 02/09/2019 RECURSOS HUMANOS"/>
    <n v="43.11"/>
    <n v="0"/>
    <s v="HATO PINTADO"/>
    <x v="0"/>
  </r>
  <r>
    <n v="13"/>
    <d v="2019-04-10T00:00:00"/>
    <x v="10"/>
    <x v="10"/>
    <x v="1"/>
    <s v="ADMINISTRACION DE SUCURSALES"/>
    <s v="PAGO NOMINA QUINCENA 1 ABRIL 2019"/>
    <s v="TRANSACCIONES DEL DIA 04/10/2019 RECURSOS HUMANOS"/>
    <n v="81.08"/>
    <n v="0"/>
    <s v="HATO PINTADO"/>
    <x v="0"/>
  </r>
  <r>
    <n v="13"/>
    <d v="2019-04-25T00:00:00"/>
    <x v="10"/>
    <x v="10"/>
    <x v="1"/>
    <s v="ADMINISTRACION DE SUCURSALES"/>
    <s v="PAGO NOMINA QUINCENA 2 ABRIL 2019"/>
    <s v="TRANSACCIONES DEL DIA 04/25/2019 RECURSOS HUMANOS"/>
    <n v="47.78"/>
    <n v="0"/>
    <s v="HATO PINTADO"/>
    <x v="0"/>
  </r>
  <r>
    <n v="13"/>
    <d v="2019-05-10T00:00:00"/>
    <x v="11"/>
    <x v="11"/>
    <x v="1"/>
    <s v="ADMINISTRACION DE SUCURSALES"/>
    <s v="PAGO NOMINA QUINCENA 1 MAYO 2019"/>
    <s v="TRANSACCIONES DEL DIA 05/10/2019 RECURSOS HUMANOS"/>
    <n v="83.57"/>
    <n v="0"/>
    <s v="HATO PINTADO"/>
    <x v="0"/>
  </r>
  <r>
    <n v="13"/>
    <d v="2019-01-10T00:00:00"/>
    <x v="7"/>
    <x v="7"/>
    <x v="1"/>
    <s v="CAJA"/>
    <s v="PAGO NOMINA QUINCENA 1 ENERO 2019"/>
    <s v="TRANSACCIONES DEL DIA 01/10/2019 RECURSOS HUMANOS"/>
    <n v="723.12"/>
    <n v="0"/>
    <s v="HATO PINTADO"/>
    <x v="0"/>
  </r>
  <r>
    <n v="13"/>
    <d v="2019-01-25T00:00:00"/>
    <x v="7"/>
    <x v="7"/>
    <x v="1"/>
    <s v="CAJA"/>
    <s v="PAGO NOMINA QUINCENA 2 ENERO 2019"/>
    <s v="TRANSACCIONES DEL DIA 01/25/2019 RECURSOS HUMANOS"/>
    <n v="544.92999999999995"/>
    <n v="0"/>
    <s v="HATO PINTADO"/>
    <x v="0"/>
  </r>
  <r>
    <n v="13"/>
    <d v="2019-02-09T00:00:00"/>
    <x v="8"/>
    <x v="8"/>
    <x v="1"/>
    <s v="CAJA"/>
    <s v="PAGO NOMINA QUINCENA 1 FEBRERO 2019"/>
    <s v="TRANSACCIONES DEL DIA 02/09/2019 RECURSOS HUMANOS"/>
    <n v="714.31"/>
    <n v="0"/>
    <s v="HATO PINTADO"/>
    <x v="0"/>
  </r>
  <r>
    <n v="13"/>
    <d v="2019-02-25T00:00:00"/>
    <x v="8"/>
    <x v="8"/>
    <x v="1"/>
    <s v="CAJA"/>
    <s v="PAGO NOMINA QUINCENA 2 FEBRERO 2019"/>
    <s v="TRANSACCIONES DEL DIA 02/25/2019 RECURSOS HUMANOS"/>
    <n v="739.91"/>
    <n v="0"/>
    <s v="HATO PINTADO"/>
    <x v="0"/>
  </r>
  <r>
    <n v="13"/>
    <d v="2019-02-27T00:00:00"/>
    <x v="8"/>
    <x v="8"/>
    <x v="1"/>
    <s v="CAJA"/>
    <s v="PLANILLAS DE LIQUIDACIONES FEB 2019"/>
    <s v="TRANSACCIONES DEL DIA 02/27/2019 RECURSOS HUMANOS"/>
    <n v="75.819999999999993"/>
    <n v="0"/>
    <s v="HATO PINTADO"/>
    <x v="0"/>
  </r>
  <r>
    <n v="13"/>
    <d v="2019-03-09T00:00:00"/>
    <x v="9"/>
    <x v="9"/>
    <x v="1"/>
    <s v="CAJA"/>
    <s v="PAGO NOMINA QUINCENA 1 MARZO 2019"/>
    <s v="TRANSACCIONES DEL DIA 03/09/2019 RECURSOS HUMANOS"/>
    <n v="1090.04"/>
    <n v="0"/>
    <s v="HATO PINTADO"/>
    <x v="0"/>
  </r>
  <r>
    <n v="13"/>
    <d v="2019-03-25T00:00:00"/>
    <x v="9"/>
    <x v="9"/>
    <x v="1"/>
    <s v="CAJA"/>
    <s v="PAGO NOMINA QUINCENA 2 MARZO 2019"/>
    <s v="TRANSACCIONES DEL DIA 03/25/2019 RECURSOS HUMANOS"/>
    <n v="906.64"/>
    <n v="0"/>
    <s v="HATO PINTADO"/>
    <x v="0"/>
  </r>
  <r>
    <n v="13"/>
    <d v="2019-04-10T00:00:00"/>
    <x v="10"/>
    <x v="10"/>
    <x v="1"/>
    <s v="CAJA"/>
    <s v="PAGO NOMINA QUINCENA 1 ABRIL 2019"/>
    <s v="TRANSACCIONES DEL DIA 04/10/2019 RECURSOS HUMANOS"/>
    <n v="745.21"/>
    <n v="0"/>
    <s v="HATO PINTADO"/>
    <x v="0"/>
  </r>
  <r>
    <n v="13"/>
    <d v="2019-04-25T00:00:00"/>
    <x v="10"/>
    <x v="10"/>
    <x v="1"/>
    <s v="CAJA"/>
    <s v="PAGO NOMINA QUINCENA 2 ABRIL 2019"/>
    <s v="TRANSACCIONES DEL DIA 04/25/2019 RECURSOS HUMANOS"/>
    <n v="504.84"/>
    <n v="0"/>
    <s v="HATO PINTADO"/>
    <x v="0"/>
  </r>
  <r>
    <n v="13"/>
    <d v="2019-05-10T00:00:00"/>
    <x v="11"/>
    <x v="11"/>
    <x v="1"/>
    <s v="CAJA"/>
    <s v="PAGO NOMINA QUINCENA 1 MAYO 2019"/>
    <s v="TRANSACCIONES DEL DIA 05/10/2019 RECURSOS HUMANOS"/>
    <n v="597.71"/>
    <n v="0"/>
    <s v="HATO PINTADO"/>
    <x v="0"/>
  </r>
  <r>
    <n v="13"/>
    <d v="2019-05-25T00:00:00"/>
    <x v="11"/>
    <x v="11"/>
    <x v="1"/>
    <s v="CAJA"/>
    <s v="PAGO NOMINA QUINCENA 2 MAYO 2019"/>
    <s v="TRANSACCIONES DEL DIA 05/25/2019 RECURSOS HUMANOS"/>
    <n v="1045.49"/>
    <n v="0"/>
    <s v="HATO PINTADO"/>
    <x v="0"/>
  </r>
  <r>
    <n v="13"/>
    <d v="2019-06-10T00:00:00"/>
    <x v="2"/>
    <x v="2"/>
    <x v="1"/>
    <s v="CAJA"/>
    <s v="PAGO NOMINA QUINCENA 1 JUNIO 2019"/>
    <s v="TRANSACCIONES DEL DIA 06/10/2019 RECURSOS HUMANOS"/>
    <n v="1177.53"/>
    <n v="0"/>
    <s v="HATO PINTADO"/>
    <x v="0"/>
  </r>
  <r>
    <n v="13"/>
    <d v="2019-06-25T00:00:00"/>
    <x v="2"/>
    <x v="2"/>
    <x v="1"/>
    <s v="CAJA"/>
    <s v="PAGO NOMINA QUINCENA 2 JUNIO 2019"/>
    <s v="TRANSACCIONES DEL DIA 06/25/2019 RECURSOS HUMANOS"/>
    <n v="1192.95"/>
    <n v="0"/>
    <s v="HATO PINTADO"/>
    <x v="0"/>
  </r>
  <r>
    <n v="13"/>
    <d v="2019-07-10T00:00:00"/>
    <x v="6"/>
    <x v="6"/>
    <x v="1"/>
    <s v="CAJA"/>
    <s v="PAGO NOMINA QUINCENA 1 JULIO 2019"/>
    <s v="TRANSACCIONES DEL DIA 07/10/2019 RECURSOS HUMANOS"/>
    <n v="757.32"/>
    <n v="0"/>
    <s v="HATO PINTADO"/>
    <x v="0"/>
  </r>
  <r>
    <n v="13"/>
    <d v="2019-07-25T00:00:00"/>
    <x v="6"/>
    <x v="6"/>
    <x v="1"/>
    <s v="CAJA"/>
    <s v="PAGO NOMINA QUINCENA 2 JULIO 2019"/>
    <s v="TRANSACCIONES DEL DIA 07/25/2019 RECURSOS HUMANOS"/>
    <n v="566.5"/>
    <n v="0"/>
    <s v="HATO PINTADO"/>
    <x v="0"/>
  </r>
  <r>
    <n v="13"/>
    <d v="2019-01-10T00:00:00"/>
    <x v="7"/>
    <x v="7"/>
    <x v="1"/>
    <s v="SERVICIOS PERSONALES"/>
    <s v="PAGO NOMINA QUINCENA 1 ENERO 2019"/>
    <s v="TRANSACCIONES DEL DIA 01/10/2019 RECURSOS HUMANOS"/>
    <n v="52.04"/>
    <n v="0"/>
    <s v="HATO PINTADO"/>
    <x v="0"/>
  </r>
  <r>
    <n v="13"/>
    <d v="2019-02-09T00:00:00"/>
    <x v="8"/>
    <x v="8"/>
    <x v="1"/>
    <s v="SERVICIOS PERSONALES"/>
    <s v="PAGO NOMINA QUINCENA 1 FEBRERO 2019"/>
    <s v="TRANSACCIONES DEL DIA 02/09/2019 RECURSOS HUMANOS"/>
    <n v="27.18"/>
    <n v="0"/>
    <s v="HATO PINTADO"/>
    <x v="0"/>
  </r>
  <r>
    <n v="13"/>
    <d v="2019-02-25T00:00:00"/>
    <x v="8"/>
    <x v="8"/>
    <x v="1"/>
    <s v="SERVICIOS PERSONALES"/>
    <s v="PAGO NOMINA QUINCENA 2 FEBRERO 2019"/>
    <s v="TRANSACCIONES DEL DIA 02/25/2019 RECURSOS HUMANOS"/>
    <n v="27.72"/>
    <n v="0"/>
    <s v="HATO PINTADO"/>
    <x v="0"/>
  </r>
  <r>
    <n v="13"/>
    <d v="2019-03-09T00:00:00"/>
    <x v="9"/>
    <x v="9"/>
    <x v="1"/>
    <s v="SERVICIOS PERSONALES"/>
    <s v="PAGO NOMINA QUINCENA 1 MARZO 2019"/>
    <s v="TRANSACCIONES DEL DIA 03/09/2019 RECURSOS HUMANOS"/>
    <n v="38.9"/>
    <n v="0"/>
    <s v="HATO PINTADO"/>
    <x v="0"/>
  </r>
  <r>
    <n v="13"/>
    <d v="2019-04-10T00:00:00"/>
    <x v="10"/>
    <x v="10"/>
    <x v="1"/>
    <s v="SERVICIOS PERSONALES"/>
    <s v="PAGO NOMINA QUINCENA 1 ABRIL 2019"/>
    <s v="TRANSACCIONES DEL DIA 04/10/2019 RECURSOS HUMANOS"/>
    <n v="64.92"/>
    <n v="0"/>
    <s v="HATO PINTADO"/>
    <x v="0"/>
  </r>
  <r>
    <n v="13"/>
    <d v="2019-04-25T00:00:00"/>
    <x v="10"/>
    <x v="10"/>
    <x v="1"/>
    <s v="SERVICIOS PERSONALES"/>
    <s v="PAGO NOMINA QUINCENA 2 ABRIL 2019"/>
    <s v="TRANSACCIONES DEL DIA 04/25/2019 RECURSOS HUMANOS"/>
    <n v="48.4"/>
    <n v="0"/>
    <s v="HATO PINTADO"/>
    <x v="0"/>
  </r>
  <r>
    <n v="13"/>
    <d v="2019-05-10T00:00:00"/>
    <x v="11"/>
    <x v="11"/>
    <x v="1"/>
    <s v="SERVICIOS PERSONALES"/>
    <s v="PAGO NOMINA QUINCENA 1 MAYO 2019"/>
    <s v="TRANSACCIONES DEL DIA 05/10/2019 RECURSOS HUMANOS"/>
    <n v="27.47"/>
    <n v="0"/>
    <s v="HATO PINTADO"/>
    <x v="0"/>
  </r>
  <r>
    <n v="13"/>
    <d v="2019-06-25T00:00:00"/>
    <x v="2"/>
    <x v="2"/>
    <x v="1"/>
    <s v="SERVICIOS PERSONALES"/>
    <s v="PAGO NOMINA QUINCENA 2 JUNIO 2019"/>
    <s v="TRANSACCIONES DEL DIA 06/25/2019 RECURSOS HUMANOS"/>
    <n v="29.05"/>
    <n v="0"/>
    <s v="HATO PINTADO"/>
    <x v="0"/>
  </r>
  <r>
    <n v="13"/>
    <d v="2019-07-10T00:00:00"/>
    <x v="6"/>
    <x v="6"/>
    <x v="1"/>
    <s v="SERVICIOS PERSONALES"/>
    <s v="PAGO NOMINA QUINCENA 1 JULIO 2019"/>
    <s v="TRANSACCIONES DEL DIA 07/10/2019 RECURSOS HUMANOS"/>
    <n v="19.899999999999999"/>
    <n v="0"/>
    <s v="HATO PINTADO"/>
    <x v="0"/>
  </r>
  <r>
    <n v="13"/>
    <d v="2019-07-25T00:00:00"/>
    <x v="6"/>
    <x v="6"/>
    <x v="1"/>
    <s v="SERVICIOS PERSONALES"/>
    <s v="PAGO NOMINA QUINCENA 2 JULIO 2019"/>
    <s v="TRANSACCIONES DEL DIA 07/25/2019 RECURSOS HUMANOS"/>
    <n v="60.7"/>
    <n v="0"/>
    <s v="HATO PINTADO"/>
    <x v="0"/>
  </r>
  <r>
    <n v="15"/>
    <d v="2019-01-25T00:00:00"/>
    <x v="7"/>
    <x v="7"/>
    <x v="1"/>
    <s v="ADMINISTRACION DE SUCURSALES"/>
    <s v="PAGO NOMINA QUINCENA 2 ENERO 2019"/>
    <s v="TRANSACCIONES DEL DIA 01/25/2019 RECURSOS HUMANOS"/>
    <n v="43.5"/>
    <n v="0"/>
    <s v="LA CHORRERA"/>
    <x v="0"/>
  </r>
  <r>
    <n v="15"/>
    <d v="2019-02-09T00:00:00"/>
    <x v="8"/>
    <x v="8"/>
    <x v="1"/>
    <s v="ADMINISTRACION DE SUCURSALES"/>
    <s v="PAGO NOMINA QUINCENA 1 FEBRERO 2019"/>
    <s v="TRANSACCIONES DEL DIA 02/09/2019 RECURSOS HUMANOS"/>
    <n v="43.5"/>
    <n v="0"/>
    <s v="LA CHORRERA"/>
    <x v="0"/>
  </r>
  <r>
    <n v="15"/>
    <d v="2019-02-25T00:00:00"/>
    <x v="8"/>
    <x v="8"/>
    <x v="1"/>
    <s v="ADMINISTRACION DE SUCURSALES"/>
    <s v="PAGO NOMINA QUINCENA 2 FEBRERO 2019"/>
    <s v="TRANSACCIONES DEL DIA 02/25/2019 RECURSOS HUMANOS"/>
    <n v="43.5"/>
    <n v="0"/>
    <s v="LA CHORRERA"/>
    <x v="0"/>
  </r>
  <r>
    <n v="15"/>
    <d v="2019-01-10T00:00:00"/>
    <x v="7"/>
    <x v="7"/>
    <x v="1"/>
    <s v="CAJA"/>
    <s v="PAGO NOMINA QUINCENA 1 ENERO 2019"/>
    <s v="TRANSACCIONES DEL DIA 01/10/2019 RECURSOS HUMANOS"/>
    <n v="18.510000000000002"/>
    <n v="0"/>
    <s v="LA CHORRERA"/>
    <x v="0"/>
  </r>
  <r>
    <n v="15"/>
    <d v="2019-01-25T00:00:00"/>
    <x v="7"/>
    <x v="7"/>
    <x v="1"/>
    <s v="CAJA"/>
    <s v="PAGO NOMINA QUINCENA 2 ENERO 2019"/>
    <s v="TRANSACCIONES DEL DIA 01/25/2019 RECURSOS HUMANOS"/>
    <n v="37.36"/>
    <n v="0"/>
    <s v="LA CHORRERA"/>
    <x v="0"/>
  </r>
  <r>
    <n v="15"/>
    <d v="2019-06-10T00:00:00"/>
    <x v="2"/>
    <x v="2"/>
    <x v="1"/>
    <s v="CAJA"/>
    <s v="PAGO NOMINA QUINCENA 1 JUNIO 2019"/>
    <s v="TRANSACCIONES DEL DIA 06/10/2019 RECURSOS HUMANOS"/>
    <n v="31.9"/>
    <n v="0"/>
    <s v="LA CHORRERA"/>
    <x v="0"/>
  </r>
  <r>
    <n v="15"/>
    <d v="2019-07-10T00:00:00"/>
    <x v="6"/>
    <x v="6"/>
    <x v="1"/>
    <s v="CAJA"/>
    <s v="PAGO NOMINA QUINCENA 1 JULIO 2019"/>
    <s v="TRANSACCIONES DEL DIA 07/10/2019 RECURSOS HUMANOS"/>
    <n v="29.64"/>
    <n v="0"/>
    <s v="LA CHORRERA"/>
    <x v="0"/>
  </r>
  <r>
    <n v="15"/>
    <d v="2019-04-25T00:00:00"/>
    <x v="10"/>
    <x v="10"/>
    <x v="1"/>
    <s v="SERVICIOS PERSONALES"/>
    <s v="PAGO NOMINA QUINCENA 2 ABRIL 2019"/>
    <s v="TRANSACCIONES DEL DIA 04/25/2019 RECURSOS HUMANOS"/>
    <n v="16.88"/>
    <n v="0"/>
    <s v="LA CHORRERA"/>
    <x v="0"/>
  </r>
  <r>
    <n v="16"/>
    <d v="2019-01-25T00:00:00"/>
    <x v="7"/>
    <x v="7"/>
    <x v="1"/>
    <s v="CAJA"/>
    <s v="PAGO NOMINA QUINCENA 2 ENERO 2019"/>
    <s v="TRANSACCIONES DEL DIA 01/25/2019 RECURSOS HUMANOS"/>
    <n v="24.81"/>
    <n v="0"/>
    <s v="AVENIDA CENTRAL"/>
    <x v="0"/>
  </r>
  <r>
    <n v="17"/>
    <d v="2019-04-10T00:00:00"/>
    <x v="10"/>
    <x v="10"/>
    <x v="1"/>
    <s v="ADMINISTRACION DE SUCURSALES"/>
    <s v="PAGO NOMINA QUINCENA 1 ABRIL 2019"/>
    <s v="TRANSACCIONES DEL DIA 04/10/2019 RECURSOS HUMANOS"/>
    <n v="70.28"/>
    <n v="0"/>
    <s v="LOS ANGELES"/>
    <x v="0"/>
  </r>
  <r>
    <n v="17"/>
    <d v="2019-01-25T00:00:00"/>
    <x v="7"/>
    <x v="7"/>
    <x v="1"/>
    <s v="CAJA"/>
    <s v="PAGO NOMINA QUINCENA 2 ENERO 2019"/>
    <s v="TRANSACCIONES DEL DIA 01/25/2019 RECURSOS HUMANOS"/>
    <n v="44.6"/>
    <n v="0"/>
    <s v="LOS ANGELES"/>
    <x v="0"/>
  </r>
  <r>
    <n v="17"/>
    <d v="2019-02-25T00:00:00"/>
    <x v="8"/>
    <x v="8"/>
    <x v="1"/>
    <s v="CAJA"/>
    <s v="PAGO NOMINA QUINCENA 2 FEBRERO 2019"/>
    <s v="TRANSACCIONES DEL DIA 02/25/2019 RECURSOS HUMANOS"/>
    <n v="47.09"/>
    <n v="0"/>
    <s v="LOS ANGELES"/>
    <x v="0"/>
  </r>
  <r>
    <n v="17"/>
    <d v="2019-03-09T00:00:00"/>
    <x v="9"/>
    <x v="9"/>
    <x v="1"/>
    <s v="CAJA"/>
    <s v="PAGO NOMINA QUINCENA 1 MARZO 2019"/>
    <s v="TRANSACCIONES DEL DIA 03/09/2019 RECURSOS HUMANOS"/>
    <n v="29.99"/>
    <n v="0"/>
    <s v="LOS ANGELES"/>
    <x v="0"/>
  </r>
  <r>
    <n v="18"/>
    <d v="2019-03-09T00:00:00"/>
    <x v="9"/>
    <x v="9"/>
    <x v="1"/>
    <s v="ADMINISTRACION DE SUCURSALES"/>
    <s v="PAGO NOMINA QUINCENA 1 MARZO 2019"/>
    <s v="TRANSACCIONES DEL DIA 03/09/2019 RECURSOS HUMANOS"/>
    <n v="88.26"/>
    <n v="0"/>
    <s v="VILLA LUCRE"/>
    <x v="0"/>
  </r>
  <r>
    <n v="18"/>
    <d v="2019-01-10T00:00:00"/>
    <x v="7"/>
    <x v="7"/>
    <x v="1"/>
    <s v="CAJA"/>
    <s v="PAGO NOMINA QUINCENA 1 ENERO 2019"/>
    <s v="TRANSACCIONES DEL DIA 01/10/2019 RECURSOS HUMANOS"/>
    <n v="527.12"/>
    <n v="0"/>
    <s v="VILLA LUCRE"/>
    <x v="0"/>
  </r>
  <r>
    <n v="18"/>
    <d v="2019-01-25T00:00:00"/>
    <x v="7"/>
    <x v="7"/>
    <x v="1"/>
    <s v="CAJA"/>
    <s v="PAGO NOMINA QUINCENA 2 ENERO 2019"/>
    <s v="TRANSACCIONES DEL DIA 01/25/2019 RECURSOS HUMANOS"/>
    <n v="296.87"/>
    <n v="0"/>
    <s v="VILLA LUCRE"/>
    <x v="0"/>
  </r>
  <r>
    <n v="18"/>
    <d v="2019-02-09T00:00:00"/>
    <x v="8"/>
    <x v="8"/>
    <x v="1"/>
    <s v="CAJA"/>
    <s v="PAGO NOMINA QUINCENA 1 FEBRERO 2019"/>
    <s v="TRANSACCIONES DEL DIA 02/09/2019 RECURSOS HUMANOS"/>
    <n v="200.77"/>
    <n v="0"/>
    <s v="VILLA LUCRE"/>
    <x v="0"/>
  </r>
  <r>
    <n v="18"/>
    <d v="2019-02-25T00:00:00"/>
    <x v="8"/>
    <x v="8"/>
    <x v="1"/>
    <s v="CAJA"/>
    <s v="PAGO NOMINA QUINCENA 2 FEBRERO 2019"/>
    <s v="TRANSACCIONES DEL DIA 02/25/2019 RECURSOS HUMANOS"/>
    <n v="162.05000000000001"/>
    <n v="0"/>
    <s v="VILLA LUCRE"/>
    <x v="0"/>
  </r>
  <r>
    <n v="18"/>
    <d v="2019-03-09T00:00:00"/>
    <x v="9"/>
    <x v="9"/>
    <x v="1"/>
    <s v="CAJA"/>
    <s v="PAGO NOMINA QUINCENA 1 MARZO 2019"/>
    <s v="TRANSACCIONES DEL DIA 03/09/2019 RECURSOS HUMANOS"/>
    <n v="256.25"/>
    <n v="0"/>
    <s v="VILLA LUCRE"/>
    <x v="0"/>
  </r>
  <r>
    <n v="18"/>
    <d v="2019-03-25T00:00:00"/>
    <x v="9"/>
    <x v="9"/>
    <x v="1"/>
    <s v="CAJA"/>
    <s v="PAGO NOMINA QUINCENA 2 MARZO 2019"/>
    <s v="TRANSACCIONES DEL DIA 03/25/2019 RECURSOS HUMANOS"/>
    <n v="238"/>
    <n v="0"/>
    <s v="VILLA LUCRE"/>
    <x v="0"/>
  </r>
  <r>
    <n v="18"/>
    <d v="2019-04-10T00:00:00"/>
    <x v="10"/>
    <x v="10"/>
    <x v="1"/>
    <s v="CAJA"/>
    <s v="PAGO NOMINA QUINCENA 1 ABRIL 2019"/>
    <s v="TRANSACCIONES DEL DIA 04/10/2019 RECURSOS HUMANOS"/>
    <n v="349.69"/>
    <n v="0"/>
    <s v="VILLA LUCRE"/>
    <x v="0"/>
  </r>
  <r>
    <n v="18"/>
    <d v="2019-04-25T00:00:00"/>
    <x v="10"/>
    <x v="10"/>
    <x v="1"/>
    <s v="CAJA"/>
    <s v="PAGO NOMINA QUINCENA 2 ABRIL 2019"/>
    <s v="TRANSACCIONES DEL DIA 04/25/2019 RECURSOS HUMANOS"/>
    <n v="486.85"/>
    <n v="0"/>
    <s v="VILLA LUCRE"/>
    <x v="0"/>
  </r>
  <r>
    <n v="18"/>
    <d v="2019-05-10T00:00:00"/>
    <x v="11"/>
    <x v="11"/>
    <x v="1"/>
    <s v="CAJA"/>
    <s v="PAGO NOMINA QUINCENA 1 MAYO 2019"/>
    <s v="TRANSACCIONES DEL DIA 05/10/2019 RECURSOS HUMANOS"/>
    <n v="368.43"/>
    <n v="0"/>
    <s v="VILLA LUCRE"/>
    <x v="0"/>
  </r>
  <r>
    <n v="18"/>
    <d v="2019-05-25T00:00:00"/>
    <x v="11"/>
    <x v="11"/>
    <x v="1"/>
    <s v="CAJA"/>
    <s v="PAGO NOMINA QUINCENA 2 MAYO 2019"/>
    <s v="TRANSACCIONES DEL DIA 05/25/2019 RECURSOS HUMANOS"/>
    <n v="250.08"/>
    <n v="0"/>
    <s v="VILLA LUCRE"/>
    <x v="0"/>
  </r>
  <r>
    <n v="18"/>
    <d v="2019-06-10T00:00:00"/>
    <x v="2"/>
    <x v="2"/>
    <x v="1"/>
    <s v="CAJA"/>
    <s v="PAGO NOMINA QUINCENA 1 JUNIO 2019"/>
    <s v="TRANSACCIONES DEL DIA 06/10/2019 RECURSOS HUMANOS"/>
    <n v="518.83000000000004"/>
    <n v="0"/>
    <s v="VILLA LUCRE"/>
    <x v="0"/>
  </r>
  <r>
    <n v="18"/>
    <d v="2019-06-25T00:00:00"/>
    <x v="2"/>
    <x v="2"/>
    <x v="1"/>
    <s v="CAJA"/>
    <s v="PAGO NOMINA QUINCENA 2 JUNIO 2019"/>
    <s v="TRANSACCIONES DEL DIA 06/25/2019 RECURSOS HUMANOS"/>
    <n v="635.95000000000005"/>
    <n v="0"/>
    <s v="VILLA LUCRE"/>
    <x v="0"/>
  </r>
  <r>
    <n v="18"/>
    <d v="2019-07-10T00:00:00"/>
    <x v="6"/>
    <x v="6"/>
    <x v="1"/>
    <s v="CAJA"/>
    <s v="PAGO NOMINA QUINCENA 1 JULIO 2019"/>
    <s v="TRANSACCIONES DEL DIA 07/10/2019 RECURSOS HUMANOS"/>
    <n v="453.9"/>
    <n v="0"/>
    <s v="VILLA LUCRE"/>
    <x v="0"/>
  </r>
  <r>
    <n v="18"/>
    <d v="2019-07-25T00:00:00"/>
    <x v="6"/>
    <x v="6"/>
    <x v="1"/>
    <s v="CAJA"/>
    <s v="PAGO NOMINA QUINCENA 2 JULIO 2019"/>
    <s v="TRANSACCIONES DEL DIA 07/25/2019 RECURSOS HUMANOS"/>
    <n v="423.51"/>
    <n v="0"/>
    <s v="VILLA LUCRE"/>
    <x v="0"/>
  </r>
  <r>
    <n v="18"/>
    <d v="2019-05-10T00:00:00"/>
    <x v="11"/>
    <x v="11"/>
    <x v="1"/>
    <s v="SERVICIOS PERSONALES"/>
    <s v="PAGO NOMINA QUINCENA 1 MAYO 2019"/>
    <s v="TRANSACCIONES DEL DIA 05/10/2019 RECURSOS HUMANOS"/>
    <n v="14.18"/>
    <n v="0"/>
    <s v="VILLA LUCRE"/>
    <x v="0"/>
  </r>
  <r>
    <n v="18"/>
    <d v="2019-07-25T00:00:00"/>
    <x v="6"/>
    <x v="6"/>
    <x v="1"/>
    <s v="SERVICIOS PERSONALES"/>
    <s v="PAGO NOMINA QUINCENA 2 JULIO 2019"/>
    <s v="TRANSACCIONES DEL DIA 07/25/2019 RECURSOS HUMANOS"/>
    <n v="14.12"/>
    <n v="0"/>
    <s v="VILLA LUCRE"/>
    <x v="0"/>
  </r>
  <r>
    <n v="19"/>
    <d v="2019-02-09T00:00:00"/>
    <x v="8"/>
    <x v="8"/>
    <x v="1"/>
    <s v="ADMINISTRACION DE SUCURSALES"/>
    <s v="PAGO NOMINA QUINCENA 1 FEBRERO 2019"/>
    <s v="TRANSACCIONES DEL DIA 02/09/2019 RECURSOS HUMANOS"/>
    <n v="44.01"/>
    <n v="0"/>
    <s v="LOS ANDES"/>
    <x v="0"/>
  </r>
  <r>
    <n v="19"/>
    <d v="2019-02-25T00:00:00"/>
    <x v="8"/>
    <x v="8"/>
    <x v="1"/>
    <s v="ADMINISTRACION DE SUCURSALES"/>
    <s v="PAGO NOMINA QUINCENA 2 FEBRERO 2019"/>
    <s v="TRANSACCIONES DEL DIA 02/25/2019 RECURSOS HUMANOS"/>
    <n v="44.84"/>
    <n v="0"/>
    <s v="LOS ANDES"/>
    <x v="0"/>
  </r>
  <r>
    <n v="19"/>
    <d v="2019-07-25T00:00:00"/>
    <x v="6"/>
    <x v="6"/>
    <x v="1"/>
    <s v="ADMINISTRACION DE SUCURSALES"/>
    <s v="PAGO NOMINA QUINCENA 2 JULIO 2019"/>
    <s v="TRANSACCIONES DEL DIA 07/25/2019 RECURSOS HUMANOS"/>
    <n v="48.33"/>
    <n v="0"/>
    <s v="LOS ANDES"/>
    <x v="0"/>
  </r>
  <r>
    <n v="19"/>
    <d v="2019-01-10T00:00:00"/>
    <x v="7"/>
    <x v="7"/>
    <x v="1"/>
    <s v="CAJA"/>
    <s v="PAGO NOMINA QUINCENA 1 ENERO 2019"/>
    <s v="TRANSACCIONES DEL DIA 01/10/2019 RECURSOS HUMANOS"/>
    <n v="1470.44"/>
    <n v="0"/>
    <s v="LOS ANDES"/>
    <x v="0"/>
  </r>
  <r>
    <n v="19"/>
    <d v="2019-01-25T00:00:00"/>
    <x v="7"/>
    <x v="7"/>
    <x v="1"/>
    <s v="CAJA"/>
    <s v="PAGO NOMINA QUINCENA 2 ENERO 2019"/>
    <s v="TRANSACCIONES DEL DIA 01/25/2019 RECURSOS HUMANOS"/>
    <n v="1046.49"/>
    <n v="0"/>
    <s v="LOS ANDES"/>
    <x v="0"/>
  </r>
  <r>
    <n v="19"/>
    <d v="2019-02-09T00:00:00"/>
    <x v="8"/>
    <x v="8"/>
    <x v="1"/>
    <s v="CAJA"/>
    <s v="PAGO NOMINA QUINCENA 1 FEBRERO 2019"/>
    <s v="TRANSACCIONES DEL DIA 02/09/2019 RECURSOS HUMANOS"/>
    <n v="859.78"/>
    <n v="0"/>
    <s v="LOS ANDES"/>
    <x v="0"/>
  </r>
  <r>
    <n v="19"/>
    <d v="2019-02-25T00:00:00"/>
    <x v="8"/>
    <x v="8"/>
    <x v="1"/>
    <s v="CAJA"/>
    <s v="PAGO NOMINA QUINCENA 2 FEBRERO 2019"/>
    <s v="TRANSACCIONES DEL DIA 02/25/2019 RECURSOS HUMANOS"/>
    <n v="717.11"/>
    <n v="0"/>
    <s v="LOS ANDES"/>
    <x v="0"/>
  </r>
  <r>
    <n v="19"/>
    <d v="2019-03-09T00:00:00"/>
    <x v="9"/>
    <x v="9"/>
    <x v="1"/>
    <s v="CAJA"/>
    <s v="PAGO NOMINA QUINCENA 1 MARZO 2019"/>
    <s v="TRANSACCIONES DEL DIA 03/09/2019 RECURSOS HUMANOS"/>
    <n v="976.58"/>
    <n v="0"/>
    <s v="LOS ANDES"/>
    <x v="0"/>
  </r>
  <r>
    <n v="19"/>
    <d v="2019-03-25T00:00:00"/>
    <x v="9"/>
    <x v="9"/>
    <x v="1"/>
    <s v="CAJA"/>
    <s v="PAGO NOMINA QUINCENA 2 MARZO 2019"/>
    <s v="TRANSACCIONES DEL DIA 03/25/2019 RECURSOS HUMANOS"/>
    <n v="523.55999999999995"/>
    <n v="0"/>
    <s v="LOS ANDES"/>
    <x v="0"/>
  </r>
  <r>
    <n v="19"/>
    <d v="2019-04-10T00:00:00"/>
    <x v="10"/>
    <x v="10"/>
    <x v="1"/>
    <s v="CAJA"/>
    <s v="PAGO NOMINA QUINCENA 1 ABRIL 2019"/>
    <s v="TRANSACCIONES DEL DIA 04/10/2019 RECURSOS HUMANOS"/>
    <n v="743.95"/>
    <n v="0"/>
    <s v="LOS ANDES"/>
    <x v="0"/>
  </r>
  <r>
    <n v="19"/>
    <d v="2019-04-25T00:00:00"/>
    <x v="10"/>
    <x v="10"/>
    <x v="1"/>
    <s v="CAJA"/>
    <s v="PAGO NOMINA QUINCENA 2 ABRIL 2019"/>
    <s v="TRANSACCIONES DEL DIA 04/25/2019 RECURSOS HUMANOS"/>
    <n v="430.92"/>
    <n v="0"/>
    <s v="LOS ANDES"/>
    <x v="0"/>
  </r>
  <r>
    <n v="19"/>
    <d v="2019-05-10T00:00:00"/>
    <x v="11"/>
    <x v="11"/>
    <x v="1"/>
    <s v="CAJA"/>
    <s v="PAGO NOMINA QUINCENA 1 MAYO 2019"/>
    <s v="TRANSACCIONES DEL DIA 05/10/2019 RECURSOS HUMANOS"/>
    <n v="1143.8499999999999"/>
    <n v="0"/>
    <s v="LOS ANDES"/>
    <x v="0"/>
  </r>
  <r>
    <n v="19"/>
    <d v="2019-05-25T00:00:00"/>
    <x v="11"/>
    <x v="11"/>
    <x v="1"/>
    <s v="CAJA"/>
    <s v="PAGO NOMINA QUINCENA 2 MAYO 2019"/>
    <s v="TRANSACCIONES DEL DIA 05/25/2019 RECURSOS HUMANOS"/>
    <n v="1334.36"/>
    <n v="0"/>
    <s v="LOS ANDES"/>
    <x v="0"/>
  </r>
  <r>
    <n v="19"/>
    <d v="2019-06-10T00:00:00"/>
    <x v="2"/>
    <x v="2"/>
    <x v="1"/>
    <s v="CAJA"/>
    <s v="PAGO NOMINA QUINCENA 1 JUNIO 2019"/>
    <s v="TRANSACCIONES DEL DIA 06/10/2019 RECURSOS HUMANOS"/>
    <n v="1708.41"/>
    <n v="0"/>
    <s v="LOS ANDES"/>
    <x v="0"/>
  </r>
  <r>
    <n v="19"/>
    <d v="2019-06-25T00:00:00"/>
    <x v="2"/>
    <x v="2"/>
    <x v="1"/>
    <s v="CAJA"/>
    <s v="PAGO NOMINA QUINCENA 2 JUNIO 2019"/>
    <s v="TRANSACCIONES DEL DIA 06/25/2019 RECURSOS HUMANOS"/>
    <n v="1424.84"/>
    <n v="0"/>
    <s v="LOS ANDES"/>
    <x v="0"/>
  </r>
  <r>
    <n v="19"/>
    <d v="2019-07-10T00:00:00"/>
    <x v="6"/>
    <x v="6"/>
    <x v="1"/>
    <s v="CAJA"/>
    <s v="PAGO NOMINA QUINCENA 1 JULIO 2019"/>
    <s v="TRANSACCIONES DEL DIA 07/10/2019 RECURSOS HUMANOS"/>
    <n v="1660.09"/>
    <n v="0"/>
    <s v="LOS ANDES"/>
    <x v="0"/>
  </r>
  <r>
    <n v="19"/>
    <d v="2019-07-25T00:00:00"/>
    <x v="6"/>
    <x v="6"/>
    <x v="1"/>
    <s v="CAJA"/>
    <s v="PAGO NOMINA QUINCENA 2 JULIO 2019"/>
    <s v="TRANSACCIONES DEL DIA 07/25/2019 RECURSOS HUMANOS"/>
    <n v="1098.96"/>
    <n v="0"/>
    <s v="LOS ANDES"/>
    <x v="0"/>
  </r>
  <r>
    <n v="19"/>
    <d v="2019-01-10T00:00:00"/>
    <x v="7"/>
    <x v="7"/>
    <x v="1"/>
    <s v="SERVICIOS PERSONALES"/>
    <s v="PAGO NOMINA QUINCENA 1 ENERO 2019"/>
    <s v="TRANSACCIONES DEL DIA 01/10/2019 RECURSOS HUMANOS"/>
    <n v="34.21"/>
    <n v="0"/>
    <s v="LOS ANDES"/>
    <x v="0"/>
  </r>
  <r>
    <n v="19"/>
    <d v="2019-01-25T00:00:00"/>
    <x v="7"/>
    <x v="7"/>
    <x v="1"/>
    <s v="SERVICIOS PERSONALES"/>
    <s v="PAGO NOMINA QUINCENA 2 ENERO 2019"/>
    <s v="TRANSACCIONES DEL DIA 01/25/2019 RECURSOS HUMANOS"/>
    <n v="77.290000000000006"/>
    <n v="0"/>
    <s v="LOS ANDES"/>
    <x v="0"/>
  </r>
  <r>
    <n v="19"/>
    <d v="2019-02-25T00:00:00"/>
    <x v="8"/>
    <x v="8"/>
    <x v="1"/>
    <s v="SERVICIOS PERSONALES"/>
    <s v="PAGO NOMINA QUINCENA 2 FEBRERO 2019"/>
    <s v="TRANSACCIONES DEL DIA 02/25/2019 RECURSOS HUMANOS"/>
    <n v="21.76"/>
    <n v="0"/>
    <s v="LOS ANDES"/>
    <x v="0"/>
  </r>
  <r>
    <n v="19"/>
    <d v="2019-03-09T00:00:00"/>
    <x v="9"/>
    <x v="9"/>
    <x v="1"/>
    <s v="SERVICIOS PERSONALES"/>
    <s v="PAGO NOMINA QUINCENA 1 MARZO 2019"/>
    <s v="TRANSACCIONES DEL DIA 03/09/2019 RECURSOS HUMANOS"/>
    <n v="26.84"/>
    <n v="0"/>
    <s v="LOS ANDES"/>
    <x v="0"/>
  </r>
  <r>
    <n v="19"/>
    <d v="2019-03-25T00:00:00"/>
    <x v="9"/>
    <x v="9"/>
    <x v="1"/>
    <s v="SERVICIOS PERSONALES"/>
    <s v="PAGO NOMINA QUINCENA 2 MARZO 2019"/>
    <s v="TRANSACCIONES DEL DIA 03/25/2019 RECURSOS HUMANOS"/>
    <n v="82.95"/>
    <n v="0"/>
    <s v="LOS ANDES"/>
    <x v="0"/>
  </r>
  <r>
    <n v="19"/>
    <d v="2019-04-10T00:00:00"/>
    <x v="10"/>
    <x v="10"/>
    <x v="1"/>
    <s v="SERVICIOS PERSONALES"/>
    <s v="PAGO NOMINA QUINCENA 1 ABRIL 2019"/>
    <s v="TRANSACCIONES DEL DIA 04/10/2019 RECURSOS HUMANOS"/>
    <n v="98.4"/>
    <n v="0"/>
    <s v="LOS ANDES"/>
    <x v="0"/>
  </r>
  <r>
    <n v="19"/>
    <d v="2019-05-10T00:00:00"/>
    <x v="11"/>
    <x v="11"/>
    <x v="1"/>
    <s v="SERVICIOS PERSONALES"/>
    <s v="PAGO NOMINA QUINCENA 1 MAYO 2019"/>
    <s v="TRANSACCIONES DEL DIA 05/10/2019 RECURSOS HUMANOS"/>
    <n v="60.14"/>
    <n v="0"/>
    <s v="LOS ANDES"/>
    <x v="0"/>
  </r>
  <r>
    <n v="19"/>
    <d v="2019-05-25T00:00:00"/>
    <x v="11"/>
    <x v="11"/>
    <x v="1"/>
    <s v="SERVICIOS PERSONALES"/>
    <s v="PAGO NOMINA QUINCENA 2 MAYO 2019"/>
    <s v="TRANSACCIONES DEL DIA 05/25/2019 RECURSOS HUMANOS"/>
    <n v="150.13"/>
    <n v="0"/>
    <s v="LOS ANDES"/>
    <x v="0"/>
  </r>
  <r>
    <n v="19"/>
    <d v="2019-06-10T00:00:00"/>
    <x v="2"/>
    <x v="2"/>
    <x v="1"/>
    <s v="SERVICIOS PERSONALES"/>
    <s v="PAGO NOMINA QUINCENA 1 JUNIO 2019"/>
    <s v="TRANSACCIONES DEL DIA 06/10/2019 RECURSOS HUMANOS"/>
    <n v="48.98"/>
    <n v="0"/>
    <s v="LOS ANDES"/>
    <x v="0"/>
  </r>
  <r>
    <n v="19"/>
    <d v="2019-07-10T00:00:00"/>
    <x v="6"/>
    <x v="6"/>
    <x v="1"/>
    <s v="SERVICIOS PERSONALES"/>
    <s v="PAGO NOMINA QUINCENA 1 JULIO 2019"/>
    <s v="TRANSACCIONES DEL DIA 07/10/2019 RECURSOS HUMANOS"/>
    <n v="122.52"/>
    <n v="0"/>
    <s v="LOS ANDES"/>
    <x v="0"/>
  </r>
  <r>
    <n v="19"/>
    <d v="2019-07-25T00:00:00"/>
    <x v="6"/>
    <x v="6"/>
    <x v="1"/>
    <s v="SERVICIOS PERSONALES"/>
    <s v="PAGO NOMINA QUINCENA 2 JULIO 2019"/>
    <s v="TRANSACCIONES DEL DIA 07/25/2019 RECURSOS HUMANOS"/>
    <n v="85.88"/>
    <n v="0"/>
    <s v="LOS ANDES"/>
    <x v="0"/>
  </r>
  <r>
    <n v="20"/>
    <d v="2019-01-25T00:00:00"/>
    <x v="7"/>
    <x v="7"/>
    <x v="1"/>
    <s v="CAJA"/>
    <s v="PAGO NOMINA QUINCENA 2 ENERO 2019"/>
    <s v="TRANSACCIONES DEL DIA 01/25/2019 RECURSOS HUMANOS"/>
    <n v="112.16"/>
    <n v="0"/>
    <s v="VIA ESPANA"/>
    <x v="0"/>
  </r>
  <r>
    <n v="20"/>
    <d v="2019-04-10T00:00:00"/>
    <x v="10"/>
    <x v="10"/>
    <x v="1"/>
    <s v="CAJA"/>
    <s v="PAGO NOMINA QUINCENA 1 ABRIL 2019"/>
    <s v="TRANSACCIONES DEL DIA 04/10/2019 RECURSOS HUMANOS"/>
    <n v="135.44"/>
    <n v="0"/>
    <s v="VIA ESPANA"/>
    <x v="0"/>
  </r>
  <r>
    <n v="20"/>
    <d v="2019-04-25T00:00:00"/>
    <x v="10"/>
    <x v="10"/>
    <x v="1"/>
    <s v="CAJA"/>
    <s v="PAGO NOMINA QUINCENA 2 ABRIL 2019"/>
    <s v="TRANSACCIONES DEL DIA 04/25/2019 RECURSOS HUMANOS"/>
    <n v="112.93"/>
    <n v="0"/>
    <s v="VIA ESPANA"/>
    <x v="0"/>
  </r>
  <r>
    <n v="20"/>
    <d v="2019-06-10T00:00:00"/>
    <x v="2"/>
    <x v="2"/>
    <x v="1"/>
    <s v="CAJA"/>
    <s v="PAGO NOMINA QUINCENA 1 JUNIO 2019"/>
    <s v="TRANSACCIONES DEL DIA 06/10/2019 RECURSOS HUMANOS"/>
    <n v="9.8000000000000007"/>
    <n v="0"/>
    <s v="VIA ESPANA"/>
    <x v="0"/>
  </r>
  <r>
    <n v="21"/>
    <d v="2019-01-25T00:00:00"/>
    <x v="7"/>
    <x v="7"/>
    <x v="1"/>
    <s v="CAJA"/>
    <s v="PAGO NOMINA QUINCENA 2 ENERO 2019"/>
    <s v="TRANSACCIONES DEL DIA 01/25/2019 RECURSOS HUMANOS"/>
    <n v="26.33"/>
    <n v="0"/>
    <s v="AVENIDA CUBA"/>
    <x v="0"/>
  </r>
  <r>
    <n v="22"/>
    <d v="2019-05-10T00:00:00"/>
    <x v="11"/>
    <x v="11"/>
    <x v="1"/>
    <s v="ADMINISTRACION DE SUCURSALES"/>
    <s v="PAGO NOMINA QUINCENA 1 MAYO 2019"/>
    <s v="TRANSACCIONES DEL DIA 05/10/2019 RECURSOS HUMANOS"/>
    <n v="409.39"/>
    <n v="0"/>
    <s v="CHITRE"/>
    <x v="0"/>
  </r>
  <r>
    <n v="22"/>
    <d v="2019-01-10T00:00:00"/>
    <x v="7"/>
    <x v="7"/>
    <x v="1"/>
    <s v="CAJA"/>
    <s v="PAGO NOMINA QUINCENA 1 ENERO 2019"/>
    <s v="TRANSACCIONES DEL DIA 01/10/2019 RECURSOS HUMANOS"/>
    <n v="1011.2"/>
    <n v="0"/>
    <s v="CHITRE"/>
    <x v="0"/>
  </r>
  <r>
    <n v="22"/>
    <d v="2019-01-25T00:00:00"/>
    <x v="7"/>
    <x v="7"/>
    <x v="1"/>
    <s v="CAJA"/>
    <s v="PAGO NOMINA QUINCENA 2 ENERO 2019"/>
    <s v="TRANSACCIONES DEL DIA 01/25/2019 RECURSOS HUMANOS"/>
    <n v="947.29"/>
    <n v="0"/>
    <s v="CHITRE"/>
    <x v="0"/>
  </r>
  <r>
    <n v="22"/>
    <d v="2019-02-09T00:00:00"/>
    <x v="8"/>
    <x v="8"/>
    <x v="1"/>
    <s v="CAJA"/>
    <s v="PAGO NOMINA QUINCENA 1 FEBRERO 2019"/>
    <s v="TRANSACCIONES DEL DIA 02/09/2019 RECURSOS HUMANOS"/>
    <n v="812.98"/>
    <n v="0"/>
    <s v="CHITRE"/>
    <x v="0"/>
  </r>
  <r>
    <n v="22"/>
    <d v="2019-02-25T00:00:00"/>
    <x v="8"/>
    <x v="8"/>
    <x v="1"/>
    <s v="CAJA"/>
    <s v="PAGO NOMINA QUINCENA 2 FEBRERO 2019"/>
    <s v="TRANSACCIONES DEL DIA 02/25/2019 RECURSOS HUMANOS"/>
    <n v="287.85000000000002"/>
    <n v="0"/>
    <s v="CHITRE"/>
    <x v="0"/>
  </r>
  <r>
    <n v="22"/>
    <d v="2019-03-09T00:00:00"/>
    <x v="9"/>
    <x v="9"/>
    <x v="1"/>
    <s v="CAJA"/>
    <s v="PAGO NOMINA QUINCENA 1 MARZO 2019"/>
    <s v="TRANSACCIONES DEL DIA 03/09/2019 RECURSOS HUMANOS"/>
    <n v="371.73"/>
    <n v="0"/>
    <s v="CHITRE"/>
    <x v="0"/>
  </r>
  <r>
    <n v="22"/>
    <d v="2019-03-25T00:00:00"/>
    <x v="9"/>
    <x v="9"/>
    <x v="1"/>
    <s v="CAJA"/>
    <s v="PAGO NOMINA QUINCENA 2 MARZO 2019"/>
    <s v="TRANSACCIONES DEL DIA 03/25/2019 RECURSOS HUMANOS"/>
    <n v="523.57000000000005"/>
    <n v="0"/>
    <s v="CHITRE"/>
    <x v="0"/>
  </r>
  <r>
    <n v="22"/>
    <d v="2019-04-10T00:00:00"/>
    <x v="10"/>
    <x v="10"/>
    <x v="1"/>
    <s v="CAJA"/>
    <s v="PAGO NOMINA QUINCENA 1 ABRIL 2019"/>
    <s v="TRANSACCIONES DEL DIA 04/10/2019 RECURSOS HUMANOS"/>
    <n v="409.61"/>
    <n v="0"/>
    <s v="CHITRE"/>
    <x v="0"/>
  </r>
  <r>
    <n v="22"/>
    <d v="2019-04-25T00:00:00"/>
    <x v="10"/>
    <x v="10"/>
    <x v="1"/>
    <s v="CAJA"/>
    <s v="PAGO NOMINA QUINCENA 2 ABRIL 2019"/>
    <s v="TRANSACCIONES DEL DIA 04/25/2019 RECURSOS HUMANOS"/>
    <n v="384.42"/>
    <n v="0"/>
    <s v="CHITRE"/>
    <x v="0"/>
  </r>
  <r>
    <n v="22"/>
    <d v="2019-05-10T00:00:00"/>
    <x v="11"/>
    <x v="11"/>
    <x v="1"/>
    <s v="CAJA"/>
    <s v="PAGO NOMINA QUINCENA 1 MAYO 2019"/>
    <s v="TRANSACCIONES DEL DIA 05/10/2019 RECURSOS HUMANOS"/>
    <n v="571.58000000000004"/>
    <n v="0"/>
    <s v="CHITRE"/>
    <x v="0"/>
  </r>
  <r>
    <n v="22"/>
    <d v="2019-05-25T00:00:00"/>
    <x v="11"/>
    <x v="11"/>
    <x v="1"/>
    <s v="CAJA"/>
    <s v="PAGO NOMINA QUINCENA 2 MAYO 2019"/>
    <s v="TRANSACCIONES DEL DIA 05/25/2019 RECURSOS HUMANOS"/>
    <n v="703.22"/>
    <n v="0"/>
    <s v="CHITRE"/>
    <x v="0"/>
  </r>
  <r>
    <n v="22"/>
    <d v="2019-06-10T00:00:00"/>
    <x v="2"/>
    <x v="2"/>
    <x v="1"/>
    <s v="CAJA"/>
    <s v="PAGO NOMINA QUINCENA 1 JUNIO 2019"/>
    <s v="TRANSACCIONES DEL DIA 06/10/2019 RECURSOS HUMANOS"/>
    <n v="1072.24"/>
    <n v="0"/>
    <s v="CHITRE"/>
    <x v="0"/>
  </r>
  <r>
    <n v="22"/>
    <d v="2019-06-25T00:00:00"/>
    <x v="2"/>
    <x v="2"/>
    <x v="1"/>
    <s v="CAJA"/>
    <s v="PAGO NOMINA QUINCENA 2 JUNIO 2019"/>
    <s v="TRANSACCIONES DEL DIA 06/25/2019 RECURSOS HUMANOS"/>
    <n v="684.15"/>
    <n v="0"/>
    <s v="CHITRE"/>
    <x v="0"/>
  </r>
  <r>
    <n v="22"/>
    <d v="2019-07-10T00:00:00"/>
    <x v="6"/>
    <x v="6"/>
    <x v="1"/>
    <s v="CAJA"/>
    <s v="PAGO NOMINA QUINCENA 1 JULIO 2019"/>
    <s v="TRANSACCIONES DEL DIA 07/10/2019 RECURSOS HUMANOS"/>
    <n v="339.11"/>
    <n v="0"/>
    <s v="CHITRE"/>
    <x v="0"/>
  </r>
  <r>
    <n v="22"/>
    <d v="2019-07-25T00:00:00"/>
    <x v="6"/>
    <x v="6"/>
    <x v="1"/>
    <s v="CAJA"/>
    <s v="PAGO NOMINA QUINCENA 2 JULIO 2019"/>
    <s v="TRANSACCIONES DEL DIA 07/25/2019 RECURSOS HUMANOS"/>
    <n v="492.39"/>
    <n v="0"/>
    <s v="CHITRE"/>
    <x v="0"/>
  </r>
  <r>
    <n v="22"/>
    <d v="2019-01-25T00:00:00"/>
    <x v="7"/>
    <x v="7"/>
    <x v="1"/>
    <s v="SERVICIOS PERSONALES"/>
    <s v="PAGO NOMINA QUINCENA 2 ENERO 2019"/>
    <s v="TRANSACCIONES DEL DIA 01/25/2019 RECURSOS HUMANOS"/>
    <n v="6.74"/>
    <n v="0"/>
    <s v="CHITRE"/>
    <x v="0"/>
  </r>
  <r>
    <n v="22"/>
    <d v="2019-04-10T00:00:00"/>
    <x v="10"/>
    <x v="10"/>
    <x v="1"/>
    <s v="SERVICIOS PERSONALES"/>
    <s v="PAGO NOMINA QUINCENA 1 ABRIL 2019"/>
    <s v="TRANSACCIONES DEL DIA 04/10/2019 RECURSOS HUMANOS"/>
    <n v="13.79"/>
    <n v="0"/>
    <s v="CHITRE"/>
    <x v="0"/>
  </r>
  <r>
    <n v="22"/>
    <d v="2019-04-25T00:00:00"/>
    <x v="10"/>
    <x v="10"/>
    <x v="1"/>
    <s v="SERVICIOS PERSONALES"/>
    <s v="PAGO NOMINA QUINCENA 2 ABRIL 2019"/>
    <s v="TRANSACCIONES DEL DIA 04/25/2019 RECURSOS HUMANOS"/>
    <n v="33.229999999999997"/>
    <n v="0"/>
    <s v="CHITRE"/>
    <x v="0"/>
  </r>
  <r>
    <n v="22"/>
    <d v="2019-05-25T00:00:00"/>
    <x v="11"/>
    <x v="11"/>
    <x v="1"/>
    <s v="SERVICIOS PERSONALES"/>
    <s v="PAGO NOMINA QUINCENA 2 MAYO 2019"/>
    <s v="TRANSACCIONES DEL DIA 05/25/2019 RECURSOS HUMANOS"/>
    <n v="199.9"/>
    <n v="0"/>
    <s v="CHITRE"/>
    <x v="0"/>
  </r>
  <r>
    <n v="23"/>
    <d v="2019-01-10T00:00:00"/>
    <x v="7"/>
    <x v="7"/>
    <x v="1"/>
    <s v="ADMINISTRACION DE SUCURSALES"/>
    <s v="PAGO NOMINA QUINCENA 1 ENERO 2019"/>
    <s v="TRANSACCIONES DEL DIA 01/10/2019 RECURSOS HUMANOS"/>
    <n v="61.08"/>
    <n v="0"/>
    <s v="LOS PUEBLOS"/>
    <x v="0"/>
  </r>
  <r>
    <n v="23"/>
    <d v="2019-06-10T00:00:00"/>
    <x v="2"/>
    <x v="2"/>
    <x v="1"/>
    <s v="ADMINISTRACION DE SUCURSALES"/>
    <s v="PAGO NOMINA QUINCENA 1 JUNIO 2019"/>
    <s v="TRANSACCIONES DEL DIA 06/10/2019 RECURSOS HUMANOS"/>
    <n v="25.32"/>
    <n v="0"/>
    <s v="LOS PUEBLOS"/>
    <x v="0"/>
  </r>
  <r>
    <n v="23"/>
    <d v="2019-06-25T00:00:00"/>
    <x v="2"/>
    <x v="2"/>
    <x v="1"/>
    <s v="ADMINISTRACION DE SUCURSALES"/>
    <s v="PAGO NOMINA QUINCENA 2 JUNIO 2019"/>
    <s v="TRANSACCIONES DEL DIA 06/25/2019 RECURSOS HUMANOS"/>
    <n v="105.95"/>
    <n v="0"/>
    <s v="LOS PUEBLOS"/>
    <x v="0"/>
  </r>
  <r>
    <n v="23"/>
    <d v="2019-07-10T00:00:00"/>
    <x v="6"/>
    <x v="6"/>
    <x v="1"/>
    <s v="ADMINISTRACION DE SUCURSALES"/>
    <s v="PAGO NOMINA QUINCENA 1 JULIO 2019"/>
    <s v="TRANSACCIONES DEL DIA 07/10/2019 RECURSOS HUMANOS"/>
    <n v="42.15"/>
    <n v="0"/>
    <s v="LOS PUEBLOS"/>
    <x v="0"/>
  </r>
  <r>
    <n v="23"/>
    <d v="2019-07-25T00:00:00"/>
    <x v="6"/>
    <x v="6"/>
    <x v="1"/>
    <s v="ADMINISTRACION DE SUCURSALES"/>
    <s v="PAGO NOMINA QUINCENA 2 JULIO 2019"/>
    <s v="TRANSACCIONES DEL DIA 07/25/2019 RECURSOS HUMANOS"/>
    <n v="73.2"/>
    <n v="0"/>
    <s v="LOS PUEBLOS"/>
    <x v="0"/>
  </r>
  <r>
    <n v="23"/>
    <d v="2019-01-10T00:00:00"/>
    <x v="7"/>
    <x v="7"/>
    <x v="1"/>
    <s v="CAJA"/>
    <s v="PAGO NOMINA QUINCENA 1 ENERO 2019"/>
    <s v="TRANSACCIONES DEL DIA 01/10/2019 RECURSOS HUMANOS"/>
    <n v="481.58"/>
    <n v="0"/>
    <s v="LOS PUEBLOS"/>
    <x v="0"/>
  </r>
  <r>
    <n v="23"/>
    <d v="2019-01-25T00:00:00"/>
    <x v="7"/>
    <x v="7"/>
    <x v="1"/>
    <s v="CAJA"/>
    <s v="PAGO NOMINA QUINCENA 2 ENERO 2019"/>
    <s v="TRANSACCIONES DEL DIA 01/25/2019 RECURSOS HUMANOS"/>
    <n v="256.69"/>
    <n v="0"/>
    <s v="LOS PUEBLOS"/>
    <x v="0"/>
  </r>
  <r>
    <n v="23"/>
    <d v="2019-02-09T00:00:00"/>
    <x v="8"/>
    <x v="8"/>
    <x v="1"/>
    <s v="CAJA"/>
    <s v="PAGO NOMINA QUINCENA 1 FEBRERO 2019"/>
    <s v="TRANSACCIONES DEL DIA 02/09/2019 RECURSOS HUMANOS"/>
    <n v="414.19"/>
    <n v="0"/>
    <s v="LOS PUEBLOS"/>
    <x v="0"/>
  </r>
  <r>
    <n v="23"/>
    <d v="2019-02-25T00:00:00"/>
    <x v="8"/>
    <x v="8"/>
    <x v="1"/>
    <s v="CAJA"/>
    <s v="PAGO NOMINA QUINCENA 2 FEBRERO 2019"/>
    <s v="TRANSACCIONES DEL DIA 02/25/2019 RECURSOS HUMANOS"/>
    <n v="308.57"/>
    <n v="0"/>
    <s v="LOS PUEBLOS"/>
    <x v="0"/>
  </r>
  <r>
    <n v="23"/>
    <d v="2019-03-09T00:00:00"/>
    <x v="9"/>
    <x v="9"/>
    <x v="1"/>
    <s v="CAJA"/>
    <s v="PAGO NOMINA QUINCENA 1 MARZO 2019"/>
    <s v="TRANSACCIONES DEL DIA 03/09/2019 RECURSOS HUMANOS"/>
    <n v="261.7"/>
    <n v="0"/>
    <s v="LOS PUEBLOS"/>
    <x v="0"/>
  </r>
  <r>
    <n v="23"/>
    <d v="2019-03-25T00:00:00"/>
    <x v="9"/>
    <x v="9"/>
    <x v="1"/>
    <s v="CAJA"/>
    <s v="PAGO NOMINA QUINCENA 2 MARZO 2019"/>
    <s v="TRANSACCIONES DEL DIA 03/25/2019 RECURSOS HUMANOS"/>
    <n v="260.81"/>
    <n v="0"/>
    <s v="LOS PUEBLOS"/>
    <x v="0"/>
  </r>
  <r>
    <n v="23"/>
    <d v="2019-04-10T00:00:00"/>
    <x v="10"/>
    <x v="10"/>
    <x v="1"/>
    <s v="CAJA"/>
    <s v="PAGO NOMINA QUINCENA 1 ABRIL 2019"/>
    <s v="TRANSACCIONES DEL DIA 04/10/2019 RECURSOS HUMANOS"/>
    <n v="454.53"/>
    <n v="0"/>
    <s v="LOS PUEBLOS"/>
    <x v="0"/>
  </r>
  <r>
    <n v="23"/>
    <d v="2019-04-25T00:00:00"/>
    <x v="10"/>
    <x v="10"/>
    <x v="1"/>
    <s v="CAJA"/>
    <s v="PAGO NOMINA QUINCENA 2 ABRIL 2019"/>
    <s v="TRANSACCIONES DEL DIA 04/25/2019 RECURSOS HUMANOS"/>
    <n v="427.96"/>
    <n v="0"/>
    <s v="LOS PUEBLOS"/>
    <x v="0"/>
  </r>
  <r>
    <n v="23"/>
    <d v="2019-05-10T00:00:00"/>
    <x v="11"/>
    <x v="11"/>
    <x v="1"/>
    <s v="CAJA"/>
    <s v="PAGO NOMINA QUINCENA 1 MAYO 2019"/>
    <s v="TRANSACCIONES DEL DIA 05/10/2019 RECURSOS HUMANOS"/>
    <n v="440.66"/>
    <n v="0"/>
    <s v="LOS PUEBLOS"/>
    <x v="0"/>
  </r>
  <r>
    <n v="23"/>
    <d v="2019-05-25T00:00:00"/>
    <x v="11"/>
    <x v="11"/>
    <x v="1"/>
    <s v="CAJA"/>
    <s v="PAGO NOMINA QUINCENA 2 MAYO 2019"/>
    <s v="TRANSACCIONES DEL DIA 05/25/2019 RECURSOS HUMANOS"/>
    <n v="554.16"/>
    <n v="0"/>
    <s v="LOS PUEBLOS"/>
    <x v="0"/>
  </r>
  <r>
    <n v="23"/>
    <d v="2019-06-10T00:00:00"/>
    <x v="2"/>
    <x v="2"/>
    <x v="1"/>
    <s v="CAJA"/>
    <s v="PAGO NOMINA QUINCENA 1 JUNIO 2019"/>
    <s v="TRANSACCIONES DEL DIA 06/10/2019 RECURSOS HUMANOS"/>
    <n v="695.86"/>
    <n v="0"/>
    <s v="LOS PUEBLOS"/>
    <x v="0"/>
  </r>
  <r>
    <n v="23"/>
    <d v="2019-06-25T00:00:00"/>
    <x v="2"/>
    <x v="2"/>
    <x v="1"/>
    <s v="CAJA"/>
    <s v="PAGO NOMINA QUINCENA 2 JUNIO 2019"/>
    <s v="TRANSACCIONES DEL DIA 06/25/2019 RECURSOS HUMANOS"/>
    <n v="507.4"/>
    <n v="0"/>
    <s v="LOS PUEBLOS"/>
    <x v="0"/>
  </r>
  <r>
    <n v="23"/>
    <d v="2019-07-10T00:00:00"/>
    <x v="6"/>
    <x v="6"/>
    <x v="1"/>
    <s v="CAJA"/>
    <s v="PAGO NOMINA QUINCENA 1 JULIO 2019"/>
    <s v="TRANSACCIONES DEL DIA 07/10/2019 RECURSOS HUMANOS"/>
    <n v="706.08"/>
    <n v="0"/>
    <s v="LOS PUEBLOS"/>
    <x v="0"/>
  </r>
  <r>
    <n v="23"/>
    <d v="2019-07-25T00:00:00"/>
    <x v="6"/>
    <x v="6"/>
    <x v="1"/>
    <s v="CAJA"/>
    <s v="PAGO NOMINA QUINCENA 2 JULIO 2019"/>
    <s v="TRANSACCIONES DEL DIA 07/25/2019 RECURSOS HUMANOS"/>
    <n v="635.51"/>
    <n v="0"/>
    <s v="LOS PUEBLOS"/>
    <x v="0"/>
  </r>
  <r>
    <n v="23"/>
    <d v="2019-01-10T00:00:00"/>
    <x v="7"/>
    <x v="7"/>
    <x v="1"/>
    <s v="SERVICIOS PERSONALES"/>
    <s v="PAGO NOMINA QUINCENA 1 ENERO 2019"/>
    <s v="TRANSACCIONES DEL DIA 01/10/2019 RECURSOS HUMANOS"/>
    <n v="19.25"/>
    <n v="0"/>
    <s v="LOS PUEBLOS"/>
    <x v="0"/>
  </r>
  <r>
    <n v="23"/>
    <d v="2019-04-25T00:00:00"/>
    <x v="10"/>
    <x v="10"/>
    <x v="1"/>
    <s v="SERVICIOS PERSONALES"/>
    <s v="PAGO NOMINA QUINCENA 2 ABRIL 2019"/>
    <s v="TRANSACCIONES DEL DIA 04/25/2019 RECURSOS HUMANOS"/>
    <n v="26.38"/>
    <n v="0"/>
    <s v="LOS PUEBLOS"/>
    <x v="0"/>
  </r>
  <r>
    <n v="23"/>
    <d v="2019-05-10T00:00:00"/>
    <x v="11"/>
    <x v="11"/>
    <x v="1"/>
    <s v="SERVICIOS PERSONALES"/>
    <s v="PAGO NOMINA QUINCENA 1 MAYO 2019"/>
    <s v="TRANSACCIONES DEL DIA 05/10/2019 RECURSOS HUMANOS"/>
    <n v="27.06"/>
    <n v="0"/>
    <s v="LOS PUEBLOS"/>
    <x v="0"/>
  </r>
  <r>
    <n v="23"/>
    <d v="2019-06-25T00:00:00"/>
    <x v="2"/>
    <x v="2"/>
    <x v="1"/>
    <s v="SERVICIOS PERSONALES"/>
    <s v="PAGO NOMINA QUINCENA 2 JUNIO 2019"/>
    <s v="TRANSACCIONES DEL DIA 06/25/2019 RECURSOS HUMANOS"/>
    <n v="58.42"/>
    <n v="0"/>
    <s v="LOS PUEBLOS"/>
    <x v="0"/>
  </r>
  <r>
    <n v="23"/>
    <d v="2019-07-25T00:00:00"/>
    <x v="6"/>
    <x v="6"/>
    <x v="1"/>
    <s v="SERVICIOS PERSONALES"/>
    <s v="PAGO NOMINA QUINCENA 2 JULIO 2019"/>
    <s v="TRANSACCIONES DEL DIA 07/25/2019 RECURSOS HUMANOS"/>
    <n v="19.38"/>
    <n v="0"/>
    <s v="LOS PUEBLOS"/>
    <x v="0"/>
  </r>
  <r>
    <n v="26"/>
    <d v="2019-02-09T00:00:00"/>
    <x v="8"/>
    <x v="8"/>
    <x v="1"/>
    <s v="ADMINISTRACION DE SUCURSALES"/>
    <s v="PAGO NOMINA QUINCENA 1 FEBRERO 2019"/>
    <s v="TRANSACCIONES DEL DIA 02/09/2019 RECURSOS HUMANOS"/>
    <n v="110.17"/>
    <n v="0"/>
    <s v="TRANSISTMICA"/>
    <x v="0"/>
  </r>
  <r>
    <n v="26"/>
    <d v="2019-03-09T00:00:00"/>
    <x v="9"/>
    <x v="9"/>
    <x v="1"/>
    <s v="ADMINISTRACION DE SUCURSALES"/>
    <s v="PAGO NOMINA QUINCENA 1 MARZO 2019"/>
    <s v="TRANSACCIONES DEL DIA 03/09/2019 RECURSOS HUMANOS"/>
    <n v="21.27"/>
    <n v="0"/>
    <s v="TRANSISTMICA"/>
    <x v="0"/>
  </r>
  <r>
    <n v="26"/>
    <d v="2019-05-10T00:00:00"/>
    <x v="11"/>
    <x v="11"/>
    <x v="1"/>
    <s v="ADMINISTRACION DE SUCURSALES"/>
    <s v="PAGO NOMINA QUINCENA 1 MAYO 2019"/>
    <s v="TRANSACCIONES DEL DIA 05/10/2019 RECURSOS HUMANOS"/>
    <n v="74.62"/>
    <n v="0"/>
    <s v="TRANSISTMICA"/>
    <x v="0"/>
  </r>
  <r>
    <n v="26"/>
    <d v="2019-01-10T00:00:00"/>
    <x v="7"/>
    <x v="7"/>
    <x v="1"/>
    <s v="CAJA"/>
    <s v="PAGO NOMINA QUINCENA 1 ENERO 2019"/>
    <s v="TRANSACCIONES DEL DIA 01/10/2019 RECURSOS HUMANOS"/>
    <n v="627.95000000000005"/>
    <n v="0"/>
    <s v="TRANSISTMICA"/>
    <x v="0"/>
  </r>
  <r>
    <n v="26"/>
    <d v="2019-01-25T00:00:00"/>
    <x v="7"/>
    <x v="7"/>
    <x v="1"/>
    <s v="CAJA"/>
    <s v="PAGO NOMINA QUINCENA 2 ENERO 2019"/>
    <s v="TRANSACCIONES DEL DIA 01/25/2019 RECURSOS HUMANOS"/>
    <n v="351.07"/>
    <n v="0"/>
    <s v="TRANSISTMICA"/>
    <x v="0"/>
  </r>
  <r>
    <n v="26"/>
    <d v="2019-02-09T00:00:00"/>
    <x v="8"/>
    <x v="8"/>
    <x v="1"/>
    <s v="CAJA"/>
    <s v="PAGO NOMINA QUINCENA 1 FEBRERO 2019"/>
    <s v="TRANSACCIONES DEL DIA 02/09/2019 RECURSOS HUMANOS"/>
    <n v="478.22"/>
    <n v="0"/>
    <s v="TRANSISTMICA"/>
    <x v="0"/>
  </r>
  <r>
    <n v="26"/>
    <d v="2019-02-25T00:00:00"/>
    <x v="8"/>
    <x v="8"/>
    <x v="1"/>
    <s v="CAJA"/>
    <s v="PAGO NOMINA QUINCENA 2 FEBRERO 2019"/>
    <s v="TRANSACCIONES DEL DIA 02/25/2019 RECURSOS HUMANOS"/>
    <n v="395.45"/>
    <n v="0"/>
    <s v="TRANSISTMICA"/>
    <x v="0"/>
  </r>
  <r>
    <n v="26"/>
    <d v="2019-03-09T00:00:00"/>
    <x v="9"/>
    <x v="9"/>
    <x v="1"/>
    <s v="CAJA"/>
    <s v="PAGO NOMINA QUINCENA 1 MARZO 2019"/>
    <s v="TRANSACCIONES DEL DIA 03/09/2019 RECURSOS HUMANOS"/>
    <n v="199.74"/>
    <n v="0"/>
    <s v="TRANSISTMICA"/>
    <x v="0"/>
  </r>
  <r>
    <n v="26"/>
    <d v="2019-03-25T00:00:00"/>
    <x v="9"/>
    <x v="9"/>
    <x v="1"/>
    <s v="CAJA"/>
    <s v="PAGO NOMINA QUINCENA 2 MARZO 2019"/>
    <s v="TRANSACCIONES DEL DIA 03/25/2019 RECURSOS HUMANOS"/>
    <n v="294.52"/>
    <n v="0"/>
    <s v="TRANSISTMICA"/>
    <x v="0"/>
  </r>
  <r>
    <n v="26"/>
    <d v="2019-04-10T00:00:00"/>
    <x v="10"/>
    <x v="10"/>
    <x v="1"/>
    <s v="CAJA"/>
    <s v="PAGO NOMINA QUINCENA 1 ABRIL 2019"/>
    <s v="TRANSACCIONES DEL DIA 04/10/2019 RECURSOS HUMANOS"/>
    <n v="684.66"/>
    <n v="0"/>
    <s v="TRANSISTMICA"/>
    <x v="0"/>
  </r>
  <r>
    <n v="26"/>
    <d v="2019-04-25T00:00:00"/>
    <x v="10"/>
    <x v="10"/>
    <x v="1"/>
    <s v="CAJA"/>
    <s v="PAGO NOMINA QUINCENA 2 ABRIL 2019"/>
    <s v="TRANSACCIONES DEL DIA 04/25/2019 RECURSOS HUMANOS"/>
    <n v="644.11"/>
    <n v="0"/>
    <s v="TRANSISTMICA"/>
    <x v="0"/>
  </r>
  <r>
    <n v="26"/>
    <d v="2019-05-10T00:00:00"/>
    <x v="11"/>
    <x v="11"/>
    <x v="1"/>
    <s v="CAJA"/>
    <s v="PAGO NOMINA QUINCENA 1 MAYO 2019"/>
    <s v="TRANSACCIONES DEL DIA 05/10/2019 RECURSOS HUMANOS"/>
    <n v="365.42"/>
    <n v="0"/>
    <s v="TRANSISTMICA"/>
    <x v="0"/>
  </r>
  <r>
    <n v="26"/>
    <d v="2019-05-25T00:00:00"/>
    <x v="11"/>
    <x v="11"/>
    <x v="1"/>
    <s v="CAJA"/>
    <s v="PAGO NOMINA QUINCENA 2 MAYO 2019"/>
    <s v="TRANSACCIONES DEL DIA 05/25/2019 RECURSOS HUMANOS"/>
    <n v="808.05"/>
    <n v="0"/>
    <s v="TRANSISTMICA"/>
    <x v="0"/>
  </r>
  <r>
    <n v="26"/>
    <d v="2019-06-10T00:00:00"/>
    <x v="2"/>
    <x v="2"/>
    <x v="1"/>
    <s v="CAJA"/>
    <s v="PAGO NOMINA QUINCENA 1 JUNIO 2019"/>
    <s v="TRANSACCIONES DEL DIA 06/10/2019 RECURSOS HUMANOS"/>
    <n v="336.32"/>
    <n v="0"/>
    <s v="TRANSISTMICA"/>
    <x v="0"/>
  </r>
  <r>
    <n v="26"/>
    <d v="2019-06-25T00:00:00"/>
    <x v="2"/>
    <x v="2"/>
    <x v="1"/>
    <s v="CAJA"/>
    <s v="PAGO NOMINA QUINCENA 2 JUNIO 2019"/>
    <s v="TRANSACCIONES DEL DIA 06/25/2019 RECURSOS HUMANOS"/>
    <n v="583.38"/>
    <n v="0"/>
    <s v="TRANSISTMICA"/>
    <x v="0"/>
  </r>
  <r>
    <n v="26"/>
    <d v="2019-07-10T00:00:00"/>
    <x v="6"/>
    <x v="6"/>
    <x v="1"/>
    <s v="CAJA"/>
    <s v="PAGO NOMINA QUINCENA 1 JULIO 2019"/>
    <s v="TRANSACCIONES DEL DIA 07/10/2019 RECURSOS HUMANOS"/>
    <n v="575.63"/>
    <n v="0"/>
    <s v="TRANSISTMICA"/>
    <x v="0"/>
  </r>
  <r>
    <n v="26"/>
    <d v="2019-07-25T00:00:00"/>
    <x v="6"/>
    <x v="6"/>
    <x v="1"/>
    <s v="CAJA"/>
    <s v="PAGO NOMINA QUINCENA 2 JULIO 2019"/>
    <s v="TRANSACCIONES DEL DIA 07/25/2019 RECURSOS HUMANOS"/>
    <n v="430.45"/>
    <n v="0"/>
    <s v="TRANSISTMICA"/>
    <x v="0"/>
  </r>
  <r>
    <n v="26"/>
    <d v="2019-03-09T00:00:00"/>
    <x v="9"/>
    <x v="9"/>
    <x v="1"/>
    <s v="SERVICIOS PERSONALES"/>
    <s v="PAGO NOMINA QUINCENA 1 MARZO 2019"/>
    <s v="TRANSACCIONES DEL DIA 03/09/2019 RECURSOS HUMANOS"/>
    <n v="14.14"/>
    <n v="0"/>
    <s v="TRANSISTMICA"/>
    <x v="0"/>
  </r>
  <r>
    <n v="26"/>
    <d v="2019-04-10T00:00:00"/>
    <x v="10"/>
    <x v="10"/>
    <x v="1"/>
    <s v="SERVICIOS PERSONALES"/>
    <s v="PAGO NOMINA QUINCENA 1 ABRIL 2019"/>
    <s v="TRANSACCIONES DEL DIA 04/10/2019 RECURSOS HUMANOS"/>
    <n v="26.35"/>
    <n v="0"/>
    <s v="TRANSISTMICA"/>
    <x v="0"/>
  </r>
  <r>
    <n v="26"/>
    <d v="2019-04-25T00:00:00"/>
    <x v="10"/>
    <x v="10"/>
    <x v="1"/>
    <s v="SERVICIOS PERSONALES"/>
    <s v="PAGO NOMINA QUINCENA 2 ABRIL 2019"/>
    <s v="TRANSACCIONES DEL DIA 04/25/2019 RECURSOS HUMANOS"/>
    <n v="25.11"/>
    <n v="0"/>
    <s v="TRANSISTMICA"/>
    <x v="0"/>
  </r>
  <r>
    <n v="26"/>
    <d v="2019-05-10T00:00:00"/>
    <x v="11"/>
    <x v="11"/>
    <x v="1"/>
    <s v="SERVICIOS PERSONALES"/>
    <s v="PAGO NOMINA QUINCENA 1 MAYO 2019"/>
    <s v="TRANSACCIONES DEL DIA 05/10/2019 RECURSOS HUMANOS"/>
    <n v="42.8"/>
    <n v="0"/>
    <s v="TRANSISTMICA"/>
    <x v="0"/>
  </r>
  <r>
    <n v="26"/>
    <d v="2019-06-10T00:00:00"/>
    <x v="2"/>
    <x v="2"/>
    <x v="1"/>
    <s v="SERVICIOS PERSONALES"/>
    <s v="PAGO NOMINA QUINCENA 1 JUNIO 2019"/>
    <s v="TRANSACCIONES DEL DIA 06/10/2019 RECURSOS HUMANOS"/>
    <n v="28.31"/>
    <n v="0"/>
    <s v="TRANSISTMICA"/>
    <x v="0"/>
  </r>
  <r>
    <n v="26"/>
    <d v="2019-06-25T00:00:00"/>
    <x v="2"/>
    <x v="2"/>
    <x v="1"/>
    <s v="SERVICIOS PERSONALES"/>
    <s v="PAGO NOMINA QUINCENA 2 JUNIO 2019"/>
    <s v="TRANSACCIONES DEL DIA 06/25/2019 RECURSOS HUMANOS"/>
    <n v="15.46"/>
    <n v="0"/>
    <s v="TRANSISTMICA"/>
    <x v="0"/>
  </r>
  <r>
    <n v="26"/>
    <d v="2019-07-10T00:00:00"/>
    <x v="6"/>
    <x v="6"/>
    <x v="1"/>
    <s v="SERVICIOS PERSONALES"/>
    <s v="PAGO NOMINA QUINCENA 1 JULIO 2019"/>
    <s v="TRANSACCIONES DEL DIA 07/10/2019 RECURSOS HUMANOS"/>
    <n v="13.43"/>
    <n v="0"/>
    <s v="TRANSISTMICA"/>
    <x v="0"/>
  </r>
  <r>
    <n v="26"/>
    <d v="2019-07-25T00:00:00"/>
    <x v="6"/>
    <x v="6"/>
    <x v="1"/>
    <s v="SERVICIOS PERSONALES"/>
    <s v="PAGO NOMINA QUINCENA 2 JULIO 2019"/>
    <s v="TRANSACCIONES DEL DIA 07/25/2019 RECURSOS HUMANOS"/>
    <n v="132.22"/>
    <n v="0"/>
    <s v="TRANSISTMICA"/>
    <x v="0"/>
  </r>
  <r>
    <n v="28"/>
    <d v="2019-02-25T00:00:00"/>
    <x v="8"/>
    <x v="8"/>
    <x v="1"/>
    <s v="CAJA"/>
    <s v="PAGO NOMINA QUINCENA 2 FEBRERO 2019"/>
    <s v="TRANSACCIONES DEL DIA 02/25/2019 RECURSOS HUMANOS"/>
    <n v="10.29"/>
    <n v="0"/>
    <s v="PLAZA GALAPAGO"/>
    <x v="0"/>
  </r>
  <r>
    <n v="28"/>
    <d v="2019-05-25T00:00:00"/>
    <x v="11"/>
    <x v="11"/>
    <x v="1"/>
    <s v="CAJA"/>
    <s v="PAGO NOMINA QUINCENA 2 MAYO 2019"/>
    <s v="TRANSACCIONES DEL DIA 05/25/2019 RECURSOS HUMANOS"/>
    <n v="31.65"/>
    <n v="0"/>
    <s v="PLAZA GALAPAGO"/>
    <x v="0"/>
  </r>
  <r>
    <n v="28"/>
    <d v="2019-07-25T00:00:00"/>
    <x v="6"/>
    <x v="6"/>
    <x v="1"/>
    <s v="CAJA"/>
    <s v="PAGO NOMINA QUINCENA 2 JULIO 2019"/>
    <s v="TRANSACCIONES DEL DIA 07/25/2019 RECURSOS HUMANOS"/>
    <n v="14.46"/>
    <n v="0"/>
    <s v="PLAZA GALAPAGO"/>
    <x v="0"/>
  </r>
  <r>
    <n v="29"/>
    <d v="2019-01-10T00:00:00"/>
    <x v="7"/>
    <x v="7"/>
    <x v="1"/>
    <s v="CAJA"/>
    <s v="PAGO NOMINA QUINCENA 1 ENERO 2019"/>
    <s v="TRANSACCIONES DEL DIA 01/10/2019 RECURSOS HUMANOS"/>
    <n v="37.47"/>
    <n v="0"/>
    <s v="PARQUE LEFEVRE"/>
    <x v="0"/>
  </r>
  <r>
    <n v="29"/>
    <d v="2019-02-25T00:00:00"/>
    <x v="8"/>
    <x v="8"/>
    <x v="1"/>
    <s v="CAJA"/>
    <s v="PAGO NOMINA QUINCENA 2 FEBRERO 2019"/>
    <s v="TRANSACCIONES DEL DIA 02/25/2019 RECURSOS HUMANOS"/>
    <n v="45.85"/>
    <n v="0"/>
    <s v="PARQUE LEFEVRE"/>
    <x v="0"/>
  </r>
  <r>
    <n v="29"/>
    <d v="2019-05-25T00:00:00"/>
    <x v="11"/>
    <x v="11"/>
    <x v="1"/>
    <s v="CAJA"/>
    <s v="PAGO NOMINA QUINCENA 2 MAYO 2019"/>
    <s v="TRANSACCIONES DEL DIA 05/25/2019 RECURSOS HUMANOS"/>
    <n v="19.39"/>
    <n v="0"/>
    <s v="PARQUE LEFEVRE"/>
    <x v="0"/>
  </r>
  <r>
    <n v="29"/>
    <d v="2019-06-10T00:00:00"/>
    <x v="2"/>
    <x v="2"/>
    <x v="1"/>
    <s v="CAJA"/>
    <s v="PAGO NOMINA QUINCENA 1 JUNIO 2019"/>
    <s v="TRANSACCIONES DEL DIA 06/10/2019 RECURSOS HUMANOS"/>
    <n v="12.27"/>
    <n v="0"/>
    <s v="PARQUE LEFEVRE"/>
    <x v="0"/>
  </r>
  <r>
    <n v="29"/>
    <d v="2019-06-25T00:00:00"/>
    <x v="2"/>
    <x v="2"/>
    <x v="1"/>
    <s v="CAJA"/>
    <s v="PAGO NOMINA QUINCENA 2 JUNIO 2019"/>
    <s v="TRANSACCIONES DEL DIA 06/25/2019 RECURSOS HUMANOS"/>
    <n v="6.79"/>
    <n v="0"/>
    <s v="PARQUE LEFEVRE"/>
    <x v="0"/>
  </r>
  <r>
    <n v="29"/>
    <d v="2019-07-25T00:00:00"/>
    <x v="6"/>
    <x v="6"/>
    <x v="1"/>
    <s v="CAJA"/>
    <s v="PAGO NOMINA QUINCENA 2 JULIO 2019"/>
    <s v="TRANSACCIONES DEL DIA 07/25/2019 RECURSOS HUMANOS"/>
    <n v="13.64"/>
    <n v="0"/>
    <s v="PARQUE LEFEVRE"/>
    <x v="0"/>
  </r>
  <r>
    <n v="29"/>
    <d v="2019-03-09T00:00:00"/>
    <x v="9"/>
    <x v="9"/>
    <x v="1"/>
    <s v="SERVICIOS PERSONALES"/>
    <s v="PAGO NOMINA QUINCENA 1 MARZO 2019"/>
    <s v="TRANSACCIONES DEL DIA 03/09/2019 RECURSOS HUMANOS"/>
    <n v="28.12"/>
    <n v="0"/>
    <s v="PARQUE LEFEVRE"/>
    <x v="0"/>
  </r>
  <r>
    <n v="29"/>
    <d v="2019-05-25T00:00:00"/>
    <x v="11"/>
    <x v="11"/>
    <x v="1"/>
    <s v="SERVICIOS PERSONALES"/>
    <s v="PAGO NOMINA QUINCENA 2 MAYO 2019"/>
    <s v="TRANSACCIONES DEL DIA 05/25/2019 RECURSOS HUMANOS"/>
    <n v="10.27"/>
    <n v="0"/>
    <s v="PARQUE LEFEVRE"/>
    <x v="0"/>
  </r>
  <r>
    <n v="29"/>
    <d v="2019-07-25T00:00:00"/>
    <x v="6"/>
    <x v="6"/>
    <x v="1"/>
    <s v="SERVICIOS PERSONALES"/>
    <s v="PAGO NOMINA QUINCENA 2 JULIO 2019"/>
    <s v="TRANSACCIONES DEL DIA 07/25/2019 RECURSOS HUMANOS"/>
    <n v="20.25"/>
    <n v="0"/>
    <s v="PARQUE LEFEVRE"/>
    <x v="0"/>
  </r>
  <r>
    <n v="30"/>
    <d v="2019-01-10T00:00:00"/>
    <x v="7"/>
    <x v="7"/>
    <x v="1"/>
    <s v="ADMINISTRACION DE SUCURSALES"/>
    <s v="PAGO NOMINA QUINCENA 1 ENERO 2019"/>
    <s v="TRANSACCIONES DEL DIA 01/10/2019 RECURSOS HUMANOS"/>
    <n v="61.93"/>
    <n v="0"/>
    <s v="DAVID"/>
    <x v="0"/>
  </r>
  <r>
    <n v="30"/>
    <d v="2019-01-25T00:00:00"/>
    <x v="7"/>
    <x v="7"/>
    <x v="1"/>
    <s v="ADMINISTRACION DE SUCURSALES"/>
    <s v="PAGO NOMINA QUINCENA 2 ENERO 2019"/>
    <s v="TRANSACCIONES DEL DIA 01/25/2019 RECURSOS HUMANOS"/>
    <n v="147.4"/>
    <n v="0"/>
    <s v="DAVID"/>
    <x v="0"/>
  </r>
  <r>
    <n v="30"/>
    <d v="2019-02-09T00:00:00"/>
    <x v="8"/>
    <x v="8"/>
    <x v="1"/>
    <s v="ADMINISTRACION DE SUCURSALES"/>
    <s v="PAGO NOMINA QUINCENA 1 FEBRERO 2019"/>
    <s v="TRANSACCIONES DEL DIA 02/09/2019 RECURSOS HUMANOS"/>
    <n v="77.08"/>
    <n v="0"/>
    <s v="DAVID"/>
    <x v="0"/>
  </r>
  <r>
    <n v="30"/>
    <d v="2019-03-09T00:00:00"/>
    <x v="9"/>
    <x v="9"/>
    <x v="1"/>
    <s v="ADMINISTRACION DE SUCURSALES"/>
    <s v="PAGO NOMINA QUINCENA 1 MARZO 2019"/>
    <s v="TRANSACCIONES DEL DIA 03/09/2019 RECURSOS HUMANOS"/>
    <n v="127.17"/>
    <n v="0"/>
    <s v="DAVID"/>
    <x v="0"/>
  </r>
  <r>
    <n v="30"/>
    <d v="2019-04-10T00:00:00"/>
    <x v="10"/>
    <x v="10"/>
    <x v="1"/>
    <s v="ADMINISTRACION DE SUCURSALES"/>
    <s v="PAGO NOMINA QUINCENA 1 ABRIL 2019"/>
    <s v="TRANSACCIONES DEL DIA 04/10/2019 RECURSOS HUMANOS"/>
    <n v="69.34"/>
    <n v="0"/>
    <s v="DAVID"/>
    <x v="0"/>
  </r>
  <r>
    <n v="30"/>
    <d v="2019-04-25T00:00:00"/>
    <x v="10"/>
    <x v="10"/>
    <x v="1"/>
    <s v="ADMINISTRACION DE SUCURSALES"/>
    <s v="PAGO NOMINA QUINCENA 2 ABRIL 2019"/>
    <s v="TRANSACCIONES DEL DIA 04/25/2019 RECURSOS HUMANOS"/>
    <n v="30.08"/>
    <n v="0"/>
    <s v="DAVID"/>
    <x v="0"/>
  </r>
  <r>
    <n v="30"/>
    <d v="2019-05-10T00:00:00"/>
    <x v="11"/>
    <x v="11"/>
    <x v="1"/>
    <s v="ADMINISTRACION DE SUCURSALES"/>
    <s v="PAGO NOMINA QUINCENA 1 MAYO 2019"/>
    <s v="TRANSACCIONES DEL DIA 05/10/2019 RECURSOS HUMANOS"/>
    <n v="52.97"/>
    <n v="0"/>
    <s v="DAVID"/>
    <x v="0"/>
  </r>
  <r>
    <n v="30"/>
    <d v="2019-05-25T00:00:00"/>
    <x v="11"/>
    <x v="11"/>
    <x v="1"/>
    <s v="ADMINISTRACION DE SUCURSALES"/>
    <s v="PAGO NOMINA QUINCENA 2 MAYO 2019"/>
    <s v="TRANSACCIONES DEL DIA 05/25/2019 RECURSOS HUMANOS"/>
    <n v="101.66"/>
    <n v="0"/>
    <s v="DAVID"/>
    <x v="0"/>
  </r>
  <r>
    <n v="30"/>
    <d v="2019-06-10T00:00:00"/>
    <x v="2"/>
    <x v="2"/>
    <x v="1"/>
    <s v="ADMINISTRACION DE SUCURSALES"/>
    <s v="PAGO NOMINA QUINCENA 1 JUNIO 2019"/>
    <s v="TRANSACCIONES DEL DIA 06/10/2019 RECURSOS HUMANOS"/>
    <n v="27.65"/>
    <n v="0"/>
    <s v="DAVID"/>
    <x v="0"/>
  </r>
  <r>
    <n v="30"/>
    <d v="2019-07-25T00:00:00"/>
    <x v="6"/>
    <x v="6"/>
    <x v="1"/>
    <s v="ADMINISTRACION DE SUCURSALES"/>
    <s v="PAGO NOMINA QUINCENA 2 JULIO 2019"/>
    <s v="TRANSACCIONES DEL DIA 07/25/2019 RECURSOS HUMANOS"/>
    <n v="68.180000000000007"/>
    <n v="0"/>
    <s v="DAVID"/>
    <x v="0"/>
  </r>
  <r>
    <n v="30"/>
    <d v="2019-01-10T00:00:00"/>
    <x v="7"/>
    <x v="7"/>
    <x v="1"/>
    <s v="CAJA"/>
    <s v="PAGO NOMINA QUINCENA 1 ENERO 2019"/>
    <s v="TRANSACCIONES DEL DIA 01/10/2019 RECURSOS HUMANOS"/>
    <n v="792.61"/>
    <n v="0"/>
    <s v="DAVID"/>
    <x v="0"/>
  </r>
  <r>
    <n v="30"/>
    <d v="2019-01-25T00:00:00"/>
    <x v="7"/>
    <x v="7"/>
    <x v="1"/>
    <s v="CAJA"/>
    <s v="PAGO NOMINA QUINCENA 2 ENERO 2019"/>
    <s v="TRANSACCIONES DEL DIA 01/25/2019 RECURSOS HUMANOS"/>
    <n v="1065.3599999999999"/>
    <n v="0"/>
    <s v="DAVID"/>
    <x v="0"/>
  </r>
  <r>
    <n v="30"/>
    <d v="2019-02-09T00:00:00"/>
    <x v="8"/>
    <x v="8"/>
    <x v="1"/>
    <s v="CAJA"/>
    <s v="PAGO NOMINA QUINCENA 1 FEBRERO 2019"/>
    <s v="TRANSACCIONES DEL DIA 02/09/2019 RECURSOS HUMANOS"/>
    <n v="983.14"/>
    <n v="0"/>
    <s v="DAVID"/>
    <x v="0"/>
  </r>
  <r>
    <n v="30"/>
    <d v="2019-02-25T00:00:00"/>
    <x v="8"/>
    <x v="8"/>
    <x v="1"/>
    <s v="CAJA"/>
    <s v="PAGO NOMINA QUINCENA 2 FEBRERO 2019"/>
    <s v="TRANSACCIONES DEL DIA 02/25/2019 RECURSOS HUMANOS"/>
    <n v="536.64"/>
    <n v="0"/>
    <s v="DAVID"/>
    <x v="0"/>
  </r>
  <r>
    <n v="30"/>
    <d v="2019-03-09T00:00:00"/>
    <x v="9"/>
    <x v="9"/>
    <x v="1"/>
    <s v="CAJA"/>
    <s v="PAGO NOMINA QUINCENA 1 MARZO 2019"/>
    <s v="TRANSACCIONES DEL DIA 03/09/2019 RECURSOS HUMANOS"/>
    <n v="708.43"/>
    <n v="0"/>
    <s v="DAVID"/>
    <x v="0"/>
  </r>
  <r>
    <n v="30"/>
    <d v="2019-03-25T00:00:00"/>
    <x v="9"/>
    <x v="9"/>
    <x v="1"/>
    <s v="CAJA"/>
    <s v="PAGO NOMINA QUINCENA 2 MARZO 2019"/>
    <s v="TRANSACCIONES DEL DIA 03/25/2019 RECURSOS HUMANOS"/>
    <n v="369.72"/>
    <n v="0"/>
    <s v="DAVID"/>
    <x v="0"/>
  </r>
  <r>
    <n v="30"/>
    <d v="2019-04-10T00:00:00"/>
    <x v="10"/>
    <x v="10"/>
    <x v="1"/>
    <s v="CAJA"/>
    <s v="PAGO NOMINA QUINCENA 1 ABRIL 2019"/>
    <s v="TRANSACCIONES DEL DIA 04/10/2019 RECURSOS HUMANOS"/>
    <n v="560.6"/>
    <n v="0"/>
    <s v="DAVID"/>
    <x v="0"/>
  </r>
  <r>
    <n v="30"/>
    <d v="2019-04-16T00:00:00"/>
    <x v="10"/>
    <x v="10"/>
    <x v="1"/>
    <s v="CAJA"/>
    <s v="PLANILLAS DE LIQUIDACIONES ABR 2019"/>
    <s v="TRANSACCIONES DEL DIA 04/16/2019 RECURSOS HUMANOS"/>
    <n v="59.78"/>
    <n v="0"/>
    <s v="DAVID"/>
    <x v="0"/>
  </r>
  <r>
    <n v="30"/>
    <d v="2019-04-25T00:00:00"/>
    <x v="10"/>
    <x v="10"/>
    <x v="1"/>
    <s v="CAJA"/>
    <s v="PAGO NOMINA QUINCENA 2 ABRIL 2019"/>
    <s v="TRANSACCIONES DEL DIA 04/25/2019 RECURSOS HUMANOS"/>
    <n v="396.19"/>
    <n v="0"/>
    <s v="DAVID"/>
    <x v="0"/>
  </r>
  <r>
    <n v="30"/>
    <d v="2019-05-10T00:00:00"/>
    <x v="11"/>
    <x v="11"/>
    <x v="1"/>
    <s v="CAJA"/>
    <s v="PAGO NOMINA QUINCENA 1 MAYO 2019"/>
    <s v="TRANSACCIONES DEL DIA 05/10/2019 RECURSOS HUMANOS"/>
    <n v="597.52"/>
    <n v="0"/>
    <s v="DAVID"/>
    <x v="0"/>
  </r>
  <r>
    <n v="30"/>
    <d v="2019-05-25T00:00:00"/>
    <x v="11"/>
    <x v="11"/>
    <x v="1"/>
    <s v="CAJA"/>
    <s v="PAGO NOMINA QUINCENA 2 MAYO 2019"/>
    <s v="TRANSACCIONES DEL DIA 05/25/2019 RECURSOS HUMANOS"/>
    <n v="936.65"/>
    <n v="0"/>
    <s v="DAVID"/>
    <x v="0"/>
  </r>
  <r>
    <n v="30"/>
    <d v="2019-06-10T00:00:00"/>
    <x v="2"/>
    <x v="2"/>
    <x v="1"/>
    <s v="CAJA"/>
    <s v="PAGO NOMINA QUINCENA 1 JUNIO 2019"/>
    <s v="TRANSACCIONES DEL DIA 06/10/2019 RECURSOS HUMANOS"/>
    <n v="683.32"/>
    <n v="0"/>
    <s v="DAVID"/>
    <x v="0"/>
  </r>
  <r>
    <n v="30"/>
    <d v="2019-06-25T00:00:00"/>
    <x v="2"/>
    <x v="2"/>
    <x v="1"/>
    <s v="CAJA"/>
    <s v="PAGO NOMINA QUINCENA 2 JUNIO 2019"/>
    <s v="TRANSACCIONES DEL DIA 06/25/2019 RECURSOS HUMANOS"/>
    <n v="478.91"/>
    <n v="0"/>
    <s v="DAVID"/>
    <x v="0"/>
  </r>
  <r>
    <n v="30"/>
    <d v="2019-07-10T00:00:00"/>
    <x v="6"/>
    <x v="6"/>
    <x v="1"/>
    <s v="CAJA"/>
    <s v="PAGO NOMINA QUINCENA 1 JULIO 2019"/>
    <s v="TRANSACCIONES DEL DIA 07/10/2019 RECURSOS HUMANOS"/>
    <n v="551.41"/>
    <n v="0"/>
    <s v="DAVID"/>
    <x v="0"/>
  </r>
  <r>
    <n v="30"/>
    <d v="2019-07-25T00:00:00"/>
    <x v="6"/>
    <x v="6"/>
    <x v="1"/>
    <s v="CAJA"/>
    <s v="PAGO NOMINA QUINCENA 2 JULIO 2019"/>
    <s v="TRANSACCIONES DEL DIA 07/25/2019 RECURSOS HUMANOS"/>
    <n v="402.95"/>
    <n v="0"/>
    <s v="DAVID"/>
    <x v="0"/>
  </r>
  <r>
    <n v="30"/>
    <d v="2019-01-10T00:00:00"/>
    <x v="7"/>
    <x v="7"/>
    <x v="1"/>
    <s v="SERVICIOS PERSONALES"/>
    <s v="PAGO NOMINA QUINCENA 1 ENERO 2019"/>
    <s v="TRANSACCIONES DEL DIA 01/10/2019 RECURSOS HUMANOS"/>
    <n v="12.8"/>
    <n v="0"/>
    <s v="DAVID"/>
    <x v="0"/>
  </r>
  <r>
    <n v="30"/>
    <d v="2019-02-25T00:00:00"/>
    <x v="8"/>
    <x v="8"/>
    <x v="1"/>
    <s v="SERVICIOS PERSONALES"/>
    <s v="PAGO NOMINA QUINCENA 2 FEBRERO 2019"/>
    <s v="TRANSACCIONES DEL DIA 02/25/2019 RECURSOS HUMANOS"/>
    <n v="10.6"/>
    <n v="0"/>
    <s v="DAVID"/>
    <x v="0"/>
  </r>
  <r>
    <n v="30"/>
    <d v="2019-03-09T00:00:00"/>
    <x v="9"/>
    <x v="9"/>
    <x v="1"/>
    <s v="SERVICIOS PERSONALES"/>
    <s v="PAGO NOMINA QUINCENA 1 MARZO 2019"/>
    <s v="TRANSACCIONES DEL DIA 03/09/2019 RECURSOS HUMANOS"/>
    <n v="17.7"/>
    <n v="0"/>
    <s v="DAVID"/>
    <x v="0"/>
  </r>
  <r>
    <n v="30"/>
    <d v="2019-06-10T00:00:00"/>
    <x v="2"/>
    <x v="2"/>
    <x v="1"/>
    <s v="SERVICIOS PERSONALES"/>
    <s v="PAGO NOMINA QUINCENA 1 JUNIO 2019"/>
    <s v="TRANSACCIONES DEL DIA 06/10/2019 RECURSOS HUMANOS"/>
    <n v="72.849999999999994"/>
    <n v="0"/>
    <s v="DAVID"/>
    <x v="0"/>
  </r>
  <r>
    <n v="30"/>
    <d v="2019-06-25T00:00:00"/>
    <x v="2"/>
    <x v="2"/>
    <x v="1"/>
    <s v="SERVICIOS PERSONALES"/>
    <s v="PAGO NOMINA QUINCENA 2 JUNIO 2019"/>
    <s v="TRANSACCIONES DEL DIA 06/25/2019 RECURSOS HUMANOS"/>
    <n v="22.19"/>
    <n v="0"/>
    <s v="DAVID"/>
    <x v="0"/>
  </r>
  <r>
    <n v="30"/>
    <d v="2019-07-10T00:00:00"/>
    <x v="6"/>
    <x v="6"/>
    <x v="1"/>
    <s v="SERVICIOS PERSONALES"/>
    <s v="PAGO NOMINA QUINCENA 1 JULIO 2019"/>
    <s v="TRANSACCIONES DEL DIA 07/10/2019 RECURSOS HUMANOS"/>
    <n v="136.5"/>
    <n v="0"/>
    <s v="DAVID"/>
    <x v="0"/>
  </r>
  <r>
    <n v="30"/>
    <d v="2019-07-25T00:00:00"/>
    <x v="6"/>
    <x v="6"/>
    <x v="1"/>
    <s v="SERVICIOS PERSONALES"/>
    <s v="PAGO NOMINA QUINCENA 2 JULIO 2019"/>
    <s v="TRANSACCIONES DEL DIA 07/25/2019 RECURSOS HUMANOS"/>
    <n v="130.29"/>
    <n v="0"/>
    <s v="DAVID"/>
    <x v="0"/>
  </r>
  <r>
    <n v="32"/>
    <d v="2019-01-25T00:00:00"/>
    <x v="7"/>
    <x v="7"/>
    <x v="1"/>
    <s v="CAJA"/>
    <s v="PAGO NOMINA QUINCENA 2 ENERO 2019"/>
    <s v="TRANSACCIONES DEL DIA 01/25/2019 RECURSOS HUMANOS"/>
    <n v="50.37"/>
    <n v="0"/>
    <s v="PLAZA LAS AMERICAS"/>
    <x v="0"/>
  </r>
  <r>
    <n v="32"/>
    <d v="2019-02-25T00:00:00"/>
    <x v="8"/>
    <x v="8"/>
    <x v="1"/>
    <s v="SERVICIOS PERSONALES"/>
    <s v="PAGO NOMINA QUINCENA 2 FEBRERO 2019"/>
    <s v="TRANSACCIONES DEL DIA 02/25/2019 RECURSOS HUMANOS"/>
    <n v="17.510000000000002"/>
    <n v="0"/>
    <s v="PLAZA LAS AMERICAS"/>
    <x v="0"/>
  </r>
  <r>
    <n v="33"/>
    <d v="2019-05-25T00:00:00"/>
    <x v="11"/>
    <x v="11"/>
    <x v="1"/>
    <s v="CAJA"/>
    <s v="PAGO NOMINA QUINCENA 2 MAYO 2019"/>
    <s v="TRANSACCIONES DEL DIA 05/25/2019 RECURSOS HUMANOS"/>
    <n v="59.16"/>
    <n v="0"/>
    <s v="CORONADO"/>
    <x v="0"/>
  </r>
  <r>
    <n v="33"/>
    <d v="2019-07-25T00:00:00"/>
    <x v="6"/>
    <x v="6"/>
    <x v="1"/>
    <s v="CAJA"/>
    <s v="PAGO NOMINA QUINCENA 2 JULIO 2019"/>
    <s v="TRANSACCIONES DEL DIA 07/25/2019 RECURSOS HUMANOS"/>
    <n v="23.57"/>
    <n v="0"/>
    <s v="CORONADO"/>
    <x v="0"/>
  </r>
  <r>
    <n v="33"/>
    <d v="2019-01-10T00:00:00"/>
    <x v="7"/>
    <x v="7"/>
    <x v="1"/>
    <s v="SERVICIOS PERSONALES"/>
    <s v="PAGO NOMINA QUINCENA 1 ENERO 2019"/>
    <s v="TRANSACCIONES DEL DIA 01/10/2019 RECURSOS HUMANOS"/>
    <n v="30.67"/>
    <n v="0"/>
    <s v="CORONADO"/>
    <x v="0"/>
  </r>
  <r>
    <n v="34"/>
    <d v="2019-02-25T00:00:00"/>
    <x v="8"/>
    <x v="8"/>
    <x v="1"/>
    <s v="ADMINISTRACION DE SUCURSALES"/>
    <s v="PAGO NOMINA QUINCENA 2 FEBRERO 2019"/>
    <s v="TRANSACCIONES DEL DIA 02/25/2019 RECURSOS HUMANOS"/>
    <n v="21.09"/>
    <n v="0"/>
    <s v="ALBROOK MALL"/>
    <x v="0"/>
  </r>
  <r>
    <n v="34"/>
    <d v="2019-05-10T00:00:00"/>
    <x v="11"/>
    <x v="11"/>
    <x v="1"/>
    <s v="ADMINISTRACION DE SUCURSALES"/>
    <s v="PAGO NOMINA QUINCENA 1 MAYO 2019"/>
    <s v="TRANSACCIONES DEL DIA 05/10/2019 RECURSOS HUMANOS"/>
    <n v="67.13"/>
    <n v="0"/>
    <s v="ALBROOK MALL"/>
    <x v="0"/>
  </r>
  <r>
    <n v="34"/>
    <d v="2019-05-25T00:00:00"/>
    <x v="11"/>
    <x v="11"/>
    <x v="1"/>
    <s v="ADMINISTRACION DE SUCURSALES"/>
    <s v="PAGO NOMINA QUINCENA 2 MAYO 2019"/>
    <s v="TRANSACCIONES DEL DIA 05/25/2019 RECURSOS HUMANOS"/>
    <n v="91.9"/>
    <n v="0"/>
    <s v="ALBROOK MALL"/>
    <x v="0"/>
  </r>
  <r>
    <n v="34"/>
    <d v="2019-06-10T00:00:00"/>
    <x v="2"/>
    <x v="2"/>
    <x v="1"/>
    <s v="ADMINISTRACION DE SUCURSALES"/>
    <s v="PAGO NOMINA QUINCENA 1 JUNIO 2019"/>
    <s v="TRANSACCIONES DEL DIA 06/10/2019 RECURSOS HUMANOS"/>
    <n v="27.14"/>
    <n v="0"/>
    <s v="ALBROOK MALL"/>
    <x v="0"/>
  </r>
  <r>
    <n v="34"/>
    <d v="2019-06-25T00:00:00"/>
    <x v="2"/>
    <x v="2"/>
    <x v="1"/>
    <s v="ADMINISTRACION DE SUCURSALES"/>
    <s v="PAGO NOMINA QUINCENA 2 JUNIO 2019"/>
    <s v="TRANSACCIONES DEL DIA 06/25/2019 RECURSOS HUMANOS"/>
    <n v="20.86"/>
    <n v="0"/>
    <s v="ALBROOK MALL"/>
    <x v="0"/>
  </r>
  <r>
    <n v="34"/>
    <d v="2019-01-10T00:00:00"/>
    <x v="7"/>
    <x v="7"/>
    <x v="1"/>
    <s v="CAJA"/>
    <s v="PAGO NOMINA QUINCENA 1 ENERO 2019"/>
    <s v="TRANSACCIONES DEL DIA 01/10/2019 RECURSOS HUMANOS"/>
    <n v="303.73"/>
    <n v="0"/>
    <s v="ALBROOK MALL"/>
    <x v="0"/>
  </r>
  <r>
    <n v="34"/>
    <d v="2019-01-25T00:00:00"/>
    <x v="7"/>
    <x v="7"/>
    <x v="1"/>
    <s v="CAJA"/>
    <s v="PAGO NOMINA QUINCENA 2 ENERO 2019"/>
    <s v="TRANSACCIONES DEL DIA 01/25/2019 RECURSOS HUMANOS"/>
    <n v="263.83999999999997"/>
    <n v="0"/>
    <s v="ALBROOK MALL"/>
    <x v="0"/>
  </r>
  <r>
    <n v="34"/>
    <d v="2019-02-09T00:00:00"/>
    <x v="8"/>
    <x v="8"/>
    <x v="1"/>
    <s v="CAJA"/>
    <s v="PAGO NOMINA QUINCENA 1 FEBRERO 2019"/>
    <s v="TRANSACCIONES DEL DIA 02/09/2019 RECURSOS HUMANOS"/>
    <n v="387.82"/>
    <n v="0"/>
    <s v="ALBROOK MALL"/>
    <x v="0"/>
  </r>
  <r>
    <n v="34"/>
    <d v="2019-02-25T00:00:00"/>
    <x v="8"/>
    <x v="8"/>
    <x v="1"/>
    <s v="CAJA"/>
    <s v="PAGO NOMINA QUINCENA 2 FEBRERO 2019"/>
    <s v="TRANSACCIONES DEL DIA 02/25/2019 RECURSOS HUMANOS"/>
    <n v="231.33"/>
    <n v="0"/>
    <s v="ALBROOK MALL"/>
    <x v="0"/>
  </r>
  <r>
    <n v="34"/>
    <d v="2019-03-09T00:00:00"/>
    <x v="9"/>
    <x v="9"/>
    <x v="1"/>
    <s v="CAJA"/>
    <s v="PAGO NOMINA QUINCENA 1 MARZO 2019"/>
    <s v="TRANSACCIONES DEL DIA 03/09/2019 RECURSOS HUMANOS"/>
    <n v="480.58"/>
    <n v="0"/>
    <s v="ALBROOK MALL"/>
    <x v="0"/>
  </r>
  <r>
    <n v="34"/>
    <d v="2019-03-25T00:00:00"/>
    <x v="9"/>
    <x v="9"/>
    <x v="1"/>
    <s v="CAJA"/>
    <s v="PAGO NOMINA QUINCENA 2 MARZO 2019"/>
    <s v="TRANSACCIONES DEL DIA 03/25/2019 RECURSOS HUMANOS"/>
    <n v="456.32"/>
    <n v="0"/>
    <s v="ALBROOK MALL"/>
    <x v="0"/>
  </r>
  <r>
    <n v="34"/>
    <d v="2019-04-10T00:00:00"/>
    <x v="10"/>
    <x v="10"/>
    <x v="1"/>
    <s v="CAJA"/>
    <s v="PAGO NOMINA QUINCENA 1 ABRIL 2019"/>
    <s v="TRANSACCIONES DEL DIA 04/10/2019 RECURSOS HUMANOS"/>
    <n v="443.45"/>
    <n v="0"/>
    <s v="ALBROOK MALL"/>
    <x v="0"/>
  </r>
  <r>
    <n v="34"/>
    <d v="2019-04-25T00:00:00"/>
    <x v="10"/>
    <x v="10"/>
    <x v="1"/>
    <s v="CAJA"/>
    <s v="PAGO NOMINA QUINCENA 2 ABRIL 2019"/>
    <s v="TRANSACCIONES DEL DIA 04/25/2019 RECURSOS HUMANOS"/>
    <n v="379.26"/>
    <n v="0"/>
    <s v="ALBROOK MALL"/>
    <x v="0"/>
  </r>
  <r>
    <n v="34"/>
    <d v="2019-05-10T00:00:00"/>
    <x v="11"/>
    <x v="11"/>
    <x v="1"/>
    <s v="CAJA"/>
    <s v="PAGO NOMINA QUINCENA 1 MAYO 2019"/>
    <s v="TRANSACCIONES DEL DIA 05/10/2019 RECURSOS HUMANOS"/>
    <n v="355.04"/>
    <n v="0"/>
    <s v="ALBROOK MALL"/>
    <x v="0"/>
  </r>
  <r>
    <n v="34"/>
    <d v="2019-05-25T00:00:00"/>
    <x v="11"/>
    <x v="11"/>
    <x v="1"/>
    <s v="CAJA"/>
    <s v="PAGO NOMINA QUINCENA 2 MAYO 2019"/>
    <s v="TRANSACCIONES DEL DIA 05/25/2019 RECURSOS HUMANOS"/>
    <n v="365.4"/>
    <n v="0"/>
    <s v="ALBROOK MALL"/>
    <x v="0"/>
  </r>
  <r>
    <n v="34"/>
    <d v="2019-06-10T00:00:00"/>
    <x v="2"/>
    <x v="2"/>
    <x v="1"/>
    <s v="CAJA"/>
    <s v="PAGO NOMINA QUINCENA 1 JUNIO 2019"/>
    <s v="TRANSACCIONES DEL DIA 06/10/2019 RECURSOS HUMANOS"/>
    <n v="513.57000000000005"/>
    <n v="0"/>
    <s v="ALBROOK MALL"/>
    <x v="0"/>
  </r>
  <r>
    <n v="34"/>
    <d v="2019-06-25T00:00:00"/>
    <x v="2"/>
    <x v="2"/>
    <x v="1"/>
    <s v="CAJA"/>
    <s v="PAGO NOMINA QUINCENA 2 JUNIO 2019"/>
    <s v="TRANSACCIONES DEL DIA 06/25/2019 RECURSOS HUMANOS"/>
    <n v="617.16"/>
    <n v="0"/>
    <s v="ALBROOK MALL"/>
    <x v="0"/>
  </r>
  <r>
    <n v="34"/>
    <d v="2019-07-10T00:00:00"/>
    <x v="6"/>
    <x v="6"/>
    <x v="1"/>
    <s v="CAJA"/>
    <s v="PAGO NOMINA QUINCENA 1 JULIO 2019"/>
    <s v="TRANSACCIONES DEL DIA 07/10/2019 RECURSOS HUMANOS"/>
    <n v="531.46"/>
    <n v="0"/>
    <s v="ALBROOK MALL"/>
    <x v="0"/>
  </r>
  <r>
    <n v="34"/>
    <d v="2019-07-25T00:00:00"/>
    <x v="6"/>
    <x v="6"/>
    <x v="1"/>
    <s v="CAJA"/>
    <s v="PAGO NOMINA QUINCENA 2 JULIO 2019"/>
    <s v="TRANSACCIONES DEL DIA 07/25/2019 RECURSOS HUMANOS"/>
    <n v="540.30999999999995"/>
    <n v="0"/>
    <s v="ALBROOK MALL"/>
    <x v="0"/>
  </r>
  <r>
    <n v="34"/>
    <d v="2019-01-10T00:00:00"/>
    <x v="7"/>
    <x v="7"/>
    <x v="1"/>
    <s v="SERVICIOS PERSONALES"/>
    <s v="PAGO NOMINA QUINCENA 1 ENERO 2019"/>
    <s v="TRANSACCIONES DEL DIA 01/10/2019 RECURSOS HUMANOS"/>
    <n v="34.229999999999997"/>
    <n v="0"/>
    <s v="ALBROOK MALL"/>
    <x v="0"/>
  </r>
  <r>
    <n v="34"/>
    <d v="2019-04-10T00:00:00"/>
    <x v="10"/>
    <x v="10"/>
    <x v="1"/>
    <s v="SERVICIOS PERSONALES"/>
    <s v="PAGO NOMINA QUINCENA 1 ABRIL 2019"/>
    <s v="TRANSACCIONES DEL DIA 04/10/2019 RECURSOS HUMANOS"/>
    <n v="45.54"/>
    <n v="0"/>
    <s v="ALBROOK MALL"/>
    <x v="0"/>
  </r>
  <r>
    <n v="34"/>
    <d v="2019-04-25T00:00:00"/>
    <x v="10"/>
    <x v="10"/>
    <x v="1"/>
    <s v="SERVICIOS PERSONALES"/>
    <s v="PAGO NOMINA QUINCENA 2 ABRIL 2019"/>
    <s v="TRANSACCIONES DEL DIA 04/25/2019 RECURSOS HUMANOS"/>
    <n v="46.57"/>
    <n v="0"/>
    <s v="ALBROOK MALL"/>
    <x v="0"/>
  </r>
  <r>
    <n v="34"/>
    <d v="2019-05-10T00:00:00"/>
    <x v="11"/>
    <x v="11"/>
    <x v="1"/>
    <s v="SERVICIOS PERSONALES"/>
    <s v="PAGO NOMINA QUINCENA 1 MAYO 2019"/>
    <s v="TRANSACCIONES DEL DIA 05/10/2019 RECURSOS HUMANOS"/>
    <n v="143.35"/>
    <n v="0"/>
    <s v="ALBROOK MALL"/>
    <x v="0"/>
  </r>
  <r>
    <n v="34"/>
    <d v="2019-05-25T00:00:00"/>
    <x v="11"/>
    <x v="11"/>
    <x v="1"/>
    <s v="SERVICIOS PERSONALES"/>
    <s v="PAGO NOMINA QUINCENA 2 MAYO 2019"/>
    <s v="TRANSACCIONES DEL DIA 05/25/2019 RECURSOS HUMANOS"/>
    <n v="76.97"/>
    <n v="0"/>
    <s v="ALBROOK MALL"/>
    <x v="0"/>
  </r>
  <r>
    <n v="34"/>
    <d v="2019-06-10T00:00:00"/>
    <x v="2"/>
    <x v="2"/>
    <x v="1"/>
    <s v="SERVICIOS PERSONALES"/>
    <s v="PAGO NOMINA QUINCENA 1 JUNIO 2019"/>
    <s v="TRANSACCIONES DEL DIA 06/10/2019 RECURSOS HUMANOS"/>
    <n v="55.92"/>
    <n v="0"/>
    <s v="ALBROOK MALL"/>
    <x v="0"/>
  </r>
  <r>
    <n v="34"/>
    <d v="2019-06-25T00:00:00"/>
    <x v="2"/>
    <x v="2"/>
    <x v="1"/>
    <s v="SERVICIOS PERSONALES"/>
    <s v="PAGO NOMINA QUINCENA 2 JUNIO 2019"/>
    <s v="TRANSACCIONES DEL DIA 06/25/2019 RECURSOS HUMANOS"/>
    <n v="50.33"/>
    <n v="0"/>
    <s v="ALBROOK MALL"/>
    <x v="0"/>
  </r>
  <r>
    <n v="34"/>
    <d v="2019-07-10T00:00:00"/>
    <x v="6"/>
    <x v="6"/>
    <x v="1"/>
    <s v="SERVICIOS PERSONALES"/>
    <s v="PAGO NOMINA QUINCENA 1 JULIO 2019"/>
    <s v="TRANSACCIONES DEL DIA 07/10/2019 RECURSOS HUMANOS"/>
    <n v="17.600000000000001"/>
    <n v="0"/>
    <s v="ALBROOK MALL"/>
    <x v="0"/>
  </r>
  <r>
    <n v="34"/>
    <d v="2019-07-25T00:00:00"/>
    <x v="6"/>
    <x v="6"/>
    <x v="1"/>
    <s v="SERVICIOS PERSONALES"/>
    <s v="PAGO NOMINA QUINCENA 2 JULIO 2019"/>
    <s v="TRANSACCIONES DEL DIA 07/25/2019 RECURSOS HUMANOS"/>
    <n v="63.64"/>
    <n v="0"/>
    <s v="ALBROOK MALL"/>
    <x v="0"/>
  </r>
  <r>
    <n v="35"/>
    <d v="2019-05-25T00:00:00"/>
    <x v="11"/>
    <x v="11"/>
    <x v="1"/>
    <s v="CAJA"/>
    <s v="PAGO NOMINA QUINCENA 2 MAYO 2019"/>
    <s v="TRANSACCIONES DEL DIA 05/25/2019 RECURSOS HUMANOS"/>
    <n v="28.72"/>
    <n v="0"/>
    <s v="PANAMA PACIFICO"/>
    <x v="0"/>
  </r>
  <r>
    <n v="35"/>
    <d v="2019-05-25T00:00:00"/>
    <x v="11"/>
    <x v="11"/>
    <x v="1"/>
    <s v="SERVICIOS PERSONALES"/>
    <s v="PAGO NOMINA QUINCENA 2 MAYO 2019"/>
    <s v="TRANSACCIONES DEL DIA 05/25/2019 RECURSOS HUMANOS"/>
    <n v="32.130000000000003"/>
    <n v="0"/>
    <s v="PANAMA PACIFICO"/>
    <x v="0"/>
  </r>
  <r>
    <n v="38"/>
    <d v="2019-01-10T00:00:00"/>
    <x v="7"/>
    <x v="7"/>
    <x v="1"/>
    <s v="CAJA"/>
    <s v="PAGO NOMINA QUINCENA 1 ENERO 2019"/>
    <s v="TRANSACCIONES DEL DIA 01/10/2019 RECURSOS HUMANOS"/>
    <n v="77.209999999999994"/>
    <n v="0"/>
    <s v="ALBROOK"/>
    <x v="0"/>
  </r>
  <r>
    <n v="38"/>
    <d v="2019-01-25T00:00:00"/>
    <x v="7"/>
    <x v="7"/>
    <x v="1"/>
    <s v="CAJA"/>
    <s v="PAGO NOMINA QUINCENA 2 ENERO 2019"/>
    <s v="TRANSACCIONES DEL DIA 01/25/2019 RECURSOS HUMANOS"/>
    <n v="103.76"/>
    <n v="0"/>
    <s v="ALBROOK"/>
    <x v="0"/>
  </r>
  <r>
    <n v="38"/>
    <d v="2019-02-09T00:00:00"/>
    <x v="8"/>
    <x v="8"/>
    <x v="1"/>
    <s v="CAJA"/>
    <s v="PAGO NOMINA QUINCENA 1 FEBRERO 2019"/>
    <s v="TRANSACCIONES DEL DIA 02/09/2019 RECURSOS HUMANOS"/>
    <n v="84.8"/>
    <n v="0"/>
    <s v="ALBROOK"/>
    <x v="0"/>
  </r>
  <r>
    <n v="38"/>
    <d v="2019-02-25T00:00:00"/>
    <x v="8"/>
    <x v="8"/>
    <x v="1"/>
    <s v="CAJA"/>
    <s v="PAGO NOMINA QUINCENA 2 FEBRERO 2019"/>
    <s v="TRANSACCIONES DEL DIA 02/25/2019 RECURSOS HUMANOS"/>
    <n v="99.42"/>
    <n v="0"/>
    <s v="ALBROOK"/>
    <x v="0"/>
  </r>
  <r>
    <n v="38"/>
    <d v="2019-03-09T00:00:00"/>
    <x v="9"/>
    <x v="9"/>
    <x v="1"/>
    <s v="CAJA"/>
    <s v="PAGO NOMINA QUINCENA 1 MARZO 2019"/>
    <s v="TRANSACCIONES DEL DIA 03/09/2019 RECURSOS HUMANOS"/>
    <n v="131.81"/>
    <n v="0"/>
    <s v="ALBROOK"/>
    <x v="0"/>
  </r>
  <r>
    <n v="38"/>
    <d v="2019-03-25T00:00:00"/>
    <x v="9"/>
    <x v="9"/>
    <x v="1"/>
    <s v="CAJA"/>
    <s v="PAGO NOMINA QUINCENA 2 MARZO 2019"/>
    <s v="TRANSACCIONES DEL DIA 03/25/2019 RECURSOS HUMANOS"/>
    <n v="82.59"/>
    <n v="0"/>
    <s v="ALBROOK"/>
    <x v="0"/>
  </r>
  <r>
    <n v="38"/>
    <d v="2019-04-10T00:00:00"/>
    <x v="10"/>
    <x v="10"/>
    <x v="1"/>
    <s v="CAJA"/>
    <s v="PAGO NOMINA QUINCENA 1 ABRIL 2019"/>
    <s v="TRANSACCIONES DEL DIA 04/10/2019 RECURSOS HUMANOS"/>
    <n v="152.47999999999999"/>
    <n v="0"/>
    <s v="ALBROOK"/>
    <x v="0"/>
  </r>
  <r>
    <n v="38"/>
    <d v="2019-04-16T00:00:00"/>
    <x v="10"/>
    <x v="10"/>
    <x v="1"/>
    <s v="CAJA"/>
    <s v="PLANILLAS DE LIQUIDACIONES ABR 2019"/>
    <s v="TRANSACCIONES DEL DIA 04/16/2019 RECURSOS HUMANOS"/>
    <n v="20.72"/>
    <n v="0"/>
    <s v="ALBROOK"/>
    <x v="0"/>
  </r>
  <r>
    <n v="38"/>
    <d v="2019-04-25T00:00:00"/>
    <x v="10"/>
    <x v="10"/>
    <x v="1"/>
    <s v="CAJA"/>
    <s v="PAGO NOMINA QUINCENA 2 ABRIL 2019"/>
    <s v="TRANSACCIONES DEL DIA 04/25/2019 RECURSOS HUMANOS"/>
    <n v="56.89"/>
    <n v="0"/>
    <s v="ALBROOK"/>
    <x v="0"/>
  </r>
  <r>
    <n v="38"/>
    <d v="2019-05-10T00:00:00"/>
    <x v="11"/>
    <x v="11"/>
    <x v="1"/>
    <s v="CAJA"/>
    <s v="PAGO NOMINA QUINCENA 1 MAYO 2019"/>
    <s v="TRANSACCIONES DEL DIA 05/10/2019 RECURSOS HUMANOS"/>
    <n v="88.69"/>
    <n v="0"/>
    <s v="ALBROOK"/>
    <x v="0"/>
  </r>
  <r>
    <n v="38"/>
    <d v="2019-05-25T00:00:00"/>
    <x v="11"/>
    <x v="11"/>
    <x v="1"/>
    <s v="CAJA"/>
    <s v="PAGO NOMINA QUINCENA 2 MAYO 2019"/>
    <s v="TRANSACCIONES DEL DIA 05/25/2019 RECURSOS HUMANOS"/>
    <n v="122.35"/>
    <n v="0"/>
    <s v="ALBROOK"/>
    <x v="0"/>
  </r>
  <r>
    <n v="38"/>
    <d v="2019-06-10T00:00:00"/>
    <x v="2"/>
    <x v="2"/>
    <x v="1"/>
    <s v="CAJA"/>
    <s v="PAGO NOMINA QUINCENA 1 JUNIO 2019"/>
    <s v="TRANSACCIONES DEL DIA 06/10/2019 RECURSOS HUMANOS"/>
    <n v="203.87"/>
    <n v="0"/>
    <s v="ALBROOK"/>
    <x v="0"/>
  </r>
  <r>
    <n v="38"/>
    <d v="2019-06-25T00:00:00"/>
    <x v="2"/>
    <x v="2"/>
    <x v="1"/>
    <s v="CAJA"/>
    <s v="PAGO NOMINA QUINCENA 2 JUNIO 2019"/>
    <s v="TRANSACCIONES DEL DIA 06/25/2019 RECURSOS HUMANOS"/>
    <n v="123.55"/>
    <n v="0"/>
    <s v="ALBROOK"/>
    <x v="0"/>
  </r>
  <r>
    <n v="38"/>
    <d v="2019-07-10T00:00:00"/>
    <x v="6"/>
    <x v="6"/>
    <x v="1"/>
    <s v="CAJA"/>
    <s v="PAGO NOMINA QUINCENA 1 JULIO 2019"/>
    <s v="TRANSACCIONES DEL DIA 07/10/2019 RECURSOS HUMANOS"/>
    <n v="132.77000000000001"/>
    <n v="0"/>
    <s v="ALBROOK"/>
    <x v="0"/>
  </r>
  <r>
    <n v="38"/>
    <d v="2019-07-25T00:00:00"/>
    <x v="6"/>
    <x v="6"/>
    <x v="1"/>
    <s v="CAJA"/>
    <s v="PAGO NOMINA QUINCENA 2 JULIO 2019"/>
    <s v="TRANSACCIONES DEL DIA 07/25/2019 RECURSOS HUMANOS"/>
    <n v="173.93"/>
    <n v="0"/>
    <s v="ALBROOK"/>
    <x v="0"/>
  </r>
  <r>
    <n v="38"/>
    <d v="2019-02-09T00:00:00"/>
    <x v="8"/>
    <x v="8"/>
    <x v="1"/>
    <s v="SERVICIOS PERSONALES"/>
    <s v="PAGO NOMINA QUINCENA 1 FEBRERO 2019"/>
    <s v="TRANSACCIONES DEL DIA 02/09/2019 RECURSOS HUMANOS"/>
    <n v="77.61"/>
    <n v="0"/>
    <s v="ALBROOK"/>
    <x v="0"/>
  </r>
  <r>
    <n v="38"/>
    <d v="2019-03-09T00:00:00"/>
    <x v="9"/>
    <x v="9"/>
    <x v="1"/>
    <s v="SERVICIOS PERSONALES"/>
    <s v="PAGO NOMINA QUINCENA 1 MARZO 2019"/>
    <s v="TRANSACCIONES DEL DIA 03/09/2019 RECURSOS HUMANOS"/>
    <n v="12.49"/>
    <n v="0"/>
    <s v="ALBROOK"/>
    <x v="0"/>
  </r>
  <r>
    <n v="38"/>
    <d v="2019-05-10T00:00:00"/>
    <x v="11"/>
    <x v="11"/>
    <x v="1"/>
    <s v="SERVICIOS PERSONALES"/>
    <s v="PAGO NOMINA QUINCENA 1 MAYO 2019"/>
    <s v="TRANSACCIONES DEL DIA 05/10/2019 RECURSOS HUMANOS"/>
    <n v="25.48"/>
    <n v="0"/>
    <s v="ALBROOK"/>
    <x v="0"/>
  </r>
  <r>
    <n v="38"/>
    <d v="2019-07-25T00:00:00"/>
    <x v="6"/>
    <x v="6"/>
    <x v="1"/>
    <s v="SERVICIOS PERSONALES"/>
    <s v="PAGO NOMINA QUINCENA 2 JULIO 2019"/>
    <s v="TRANSACCIONES DEL DIA 07/25/2019 RECURSOS HUMANOS"/>
    <n v="23.39"/>
    <n v="0"/>
    <s v="ALBROOK"/>
    <x v="0"/>
  </r>
  <r>
    <n v="39"/>
    <d v="2019-05-25T00:00:00"/>
    <x v="11"/>
    <x v="11"/>
    <x v="1"/>
    <s v="ADMINISTRACION DE SUCURSALES"/>
    <s v="PAGO NOMINA QUINCENA 2 MAYO 2019"/>
    <s v="TRANSACCIONES DEL DIA 05/25/2019 RECURSOS HUMANOS"/>
    <n v="39.479999999999997"/>
    <n v="0"/>
    <s v="SUCURSAL DE VISTA ALEGRE"/>
    <x v="0"/>
  </r>
  <r>
    <n v="39"/>
    <d v="2019-07-10T00:00:00"/>
    <x v="6"/>
    <x v="6"/>
    <x v="1"/>
    <s v="ADMINISTRACION DE SUCURSALES"/>
    <s v="PAGO NOMINA QUINCENA 1 JULIO 2019"/>
    <s v="TRANSACCIONES DEL DIA 07/10/2019 RECURSOS HUMANOS"/>
    <n v="60.19"/>
    <n v="0"/>
    <s v="SUCURSAL DE VISTA ALEGRE"/>
    <x v="0"/>
  </r>
  <r>
    <n v="39"/>
    <d v="2019-01-10T00:00:00"/>
    <x v="7"/>
    <x v="7"/>
    <x v="1"/>
    <s v="CAJA"/>
    <s v="PAGO NOMINA QUINCENA 1 ENERO 2019"/>
    <s v="TRANSACCIONES DEL DIA 01/10/2019 RECURSOS HUMANOS"/>
    <n v="558.33000000000004"/>
    <n v="0"/>
    <s v="SUCURSAL DE VISTA ALEGRE"/>
    <x v="0"/>
  </r>
  <r>
    <n v="39"/>
    <d v="2019-01-25T00:00:00"/>
    <x v="7"/>
    <x v="7"/>
    <x v="1"/>
    <s v="CAJA"/>
    <s v="PAGO NOMINA QUINCENA 2 ENERO 2019"/>
    <s v="TRANSACCIONES DEL DIA 01/25/2019 RECURSOS HUMANOS"/>
    <n v="456.75"/>
    <n v="0"/>
    <s v="SUCURSAL DE VISTA ALEGRE"/>
    <x v="0"/>
  </r>
  <r>
    <n v="39"/>
    <d v="2019-02-09T00:00:00"/>
    <x v="8"/>
    <x v="8"/>
    <x v="1"/>
    <s v="CAJA"/>
    <s v="PAGO NOMINA QUINCENA 1 FEBRERO 2019"/>
    <s v="TRANSACCIONES DEL DIA 02/09/2019 RECURSOS HUMANOS"/>
    <n v="123.44"/>
    <n v="0"/>
    <s v="SUCURSAL DE VISTA ALEGRE"/>
    <x v="0"/>
  </r>
  <r>
    <n v="39"/>
    <d v="2019-02-25T00:00:00"/>
    <x v="8"/>
    <x v="8"/>
    <x v="1"/>
    <s v="CAJA"/>
    <s v="PAGO NOMINA QUINCENA 2 FEBRERO 2019"/>
    <s v="TRANSACCIONES DEL DIA 02/25/2019 RECURSOS HUMANOS"/>
    <n v="140.37"/>
    <n v="0"/>
    <s v="SUCURSAL DE VISTA ALEGRE"/>
    <x v="0"/>
  </r>
  <r>
    <n v="39"/>
    <d v="2019-03-09T00:00:00"/>
    <x v="9"/>
    <x v="9"/>
    <x v="1"/>
    <s v="CAJA"/>
    <s v="PAGO NOMINA QUINCENA 1 MARZO 2019"/>
    <s v="TRANSACCIONES DEL DIA 03/09/2019 RECURSOS HUMANOS"/>
    <n v="277.94"/>
    <n v="0"/>
    <s v="SUCURSAL DE VISTA ALEGRE"/>
    <x v="0"/>
  </r>
  <r>
    <n v="39"/>
    <d v="2019-03-25T00:00:00"/>
    <x v="9"/>
    <x v="9"/>
    <x v="1"/>
    <s v="CAJA"/>
    <s v="PAGO NOMINA QUINCENA 2 MARZO 2019"/>
    <s v="TRANSACCIONES DEL DIA 03/25/2019 RECURSOS HUMANOS"/>
    <n v="165.12"/>
    <n v="0"/>
    <s v="SUCURSAL DE VISTA ALEGRE"/>
    <x v="0"/>
  </r>
  <r>
    <n v="39"/>
    <d v="2019-04-10T00:00:00"/>
    <x v="10"/>
    <x v="10"/>
    <x v="1"/>
    <s v="CAJA"/>
    <s v="PAGO NOMINA QUINCENA 1 ABRIL 2019"/>
    <s v="TRANSACCIONES DEL DIA 04/10/2019 RECURSOS HUMANOS"/>
    <n v="277.35000000000002"/>
    <n v="0"/>
    <s v="SUCURSAL DE VISTA ALEGRE"/>
    <x v="0"/>
  </r>
  <r>
    <n v="39"/>
    <d v="2019-04-25T00:00:00"/>
    <x v="10"/>
    <x v="10"/>
    <x v="1"/>
    <s v="CAJA"/>
    <s v="PAGO NOMINA QUINCENA 2 ABRIL 2019"/>
    <s v="TRANSACCIONES DEL DIA 04/25/2019 RECURSOS HUMANOS"/>
    <n v="138.5"/>
    <n v="0"/>
    <s v="SUCURSAL DE VISTA ALEGRE"/>
    <x v="0"/>
  </r>
  <r>
    <n v="39"/>
    <d v="2019-05-10T00:00:00"/>
    <x v="11"/>
    <x v="11"/>
    <x v="1"/>
    <s v="CAJA"/>
    <s v="PAGO NOMINA QUINCENA 1 MAYO 2019"/>
    <s v="TRANSACCIONES DEL DIA 05/10/2019 RECURSOS HUMANOS"/>
    <n v="125.81"/>
    <n v="0"/>
    <s v="SUCURSAL DE VISTA ALEGRE"/>
    <x v="0"/>
  </r>
  <r>
    <n v="39"/>
    <d v="2019-05-25T00:00:00"/>
    <x v="11"/>
    <x v="11"/>
    <x v="1"/>
    <s v="CAJA"/>
    <s v="PAGO NOMINA QUINCENA 2 MAYO 2019"/>
    <s v="TRANSACCIONES DEL DIA 05/25/2019 RECURSOS HUMANOS"/>
    <n v="250.17"/>
    <n v="0"/>
    <s v="SUCURSAL DE VISTA ALEGRE"/>
    <x v="0"/>
  </r>
  <r>
    <n v="39"/>
    <d v="2019-06-10T00:00:00"/>
    <x v="2"/>
    <x v="2"/>
    <x v="1"/>
    <s v="CAJA"/>
    <s v="PAGO NOMINA QUINCENA 1 JUNIO 2019"/>
    <s v="TRANSACCIONES DEL DIA 06/10/2019 RECURSOS HUMANOS"/>
    <n v="391.96"/>
    <n v="0"/>
    <s v="SUCURSAL DE VISTA ALEGRE"/>
    <x v="0"/>
  </r>
  <r>
    <n v="39"/>
    <d v="2019-06-25T00:00:00"/>
    <x v="2"/>
    <x v="2"/>
    <x v="1"/>
    <s v="CAJA"/>
    <s v="PAGO NOMINA QUINCENA 2 JUNIO 2019"/>
    <s v="TRANSACCIONES DEL DIA 06/25/2019 RECURSOS HUMANOS"/>
    <n v="414.36"/>
    <n v="0"/>
    <s v="SUCURSAL DE VISTA ALEGRE"/>
    <x v="0"/>
  </r>
  <r>
    <n v="39"/>
    <d v="2019-07-10T00:00:00"/>
    <x v="6"/>
    <x v="6"/>
    <x v="1"/>
    <s v="CAJA"/>
    <s v="PAGO NOMINA QUINCENA 1 JULIO 2019"/>
    <s v="TRANSACCIONES DEL DIA 07/10/2019 RECURSOS HUMANOS"/>
    <n v="277.51"/>
    <n v="0"/>
    <s v="SUCURSAL DE VISTA ALEGRE"/>
    <x v="0"/>
  </r>
  <r>
    <n v="39"/>
    <d v="2019-07-25T00:00:00"/>
    <x v="6"/>
    <x v="6"/>
    <x v="1"/>
    <s v="CAJA"/>
    <s v="PAGO NOMINA QUINCENA 2 JULIO 2019"/>
    <s v="TRANSACCIONES DEL DIA 07/25/2019 RECURSOS HUMANOS"/>
    <n v="253.81"/>
    <n v="0"/>
    <s v="SUCURSAL DE VISTA ALEGRE"/>
    <x v="0"/>
  </r>
  <r>
    <n v="39"/>
    <d v="2019-01-10T00:00:00"/>
    <x v="7"/>
    <x v="7"/>
    <x v="1"/>
    <s v="SERVICIOS PERSONALES"/>
    <s v="PAGO NOMINA QUINCENA 1 ENERO 2019"/>
    <s v="TRANSACCIONES DEL DIA 01/10/2019 RECURSOS HUMANOS"/>
    <n v="40.99"/>
    <n v="0"/>
    <s v="SUCURSAL DE VISTA ALEGRE"/>
    <x v="0"/>
  </r>
  <r>
    <n v="39"/>
    <d v="2019-02-25T00:00:00"/>
    <x v="8"/>
    <x v="8"/>
    <x v="1"/>
    <s v="SERVICIOS PERSONALES"/>
    <s v="PAGO NOMINA QUINCENA 2 FEBRERO 2019"/>
    <s v="TRANSACCIONES DEL DIA 02/25/2019 RECURSOS HUMANOS"/>
    <n v="61.62"/>
    <n v="0"/>
    <s v="SUCURSAL DE VISTA ALEGRE"/>
    <x v="0"/>
  </r>
  <r>
    <n v="39"/>
    <d v="2019-03-25T00:00:00"/>
    <x v="9"/>
    <x v="9"/>
    <x v="1"/>
    <s v="SERVICIOS PERSONALES"/>
    <s v="PAGO NOMINA QUINCENA 2 MARZO 2019"/>
    <s v="TRANSACCIONES DEL DIA 03/25/2019 RECURSOS HUMANOS"/>
    <n v="15.73"/>
    <n v="0"/>
    <s v="SUCURSAL DE VISTA ALEGRE"/>
    <x v="0"/>
  </r>
  <r>
    <n v="39"/>
    <d v="2019-04-10T00:00:00"/>
    <x v="10"/>
    <x v="10"/>
    <x v="1"/>
    <s v="SERVICIOS PERSONALES"/>
    <s v="PAGO NOMINA QUINCENA 1 ABRIL 2019"/>
    <s v="TRANSACCIONES DEL DIA 04/10/2019 RECURSOS HUMANOS"/>
    <n v="64.510000000000005"/>
    <n v="0"/>
    <s v="SUCURSAL DE VISTA ALEGRE"/>
    <x v="0"/>
  </r>
  <r>
    <n v="39"/>
    <d v="2019-04-25T00:00:00"/>
    <x v="10"/>
    <x v="10"/>
    <x v="1"/>
    <s v="SERVICIOS PERSONALES"/>
    <s v="PAGO NOMINA QUINCENA 2 ABRIL 2019"/>
    <s v="TRANSACCIONES DEL DIA 04/25/2019 RECURSOS HUMANOS"/>
    <n v="61.3"/>
    <n v="0"/>
    <s v="SUCURSAL DE VISTA ALEGRE"/>
    <x v="0"/>
  </r>
  <r>
    <n v="39"/>
    <d v="2019-05-10T00:00:00"/>
    <x v="11"/>
    <x v="11"/>
    <x v="1"/>
    <s v="SERVICIOS PERSONALES"/>
    <s v="PAGO NOMINA QUINCENA 1 MAYO 2019"/>
    <s v="TRANSACCIONES DEL DIA 05/10/2019 RECURSOS HUMANOS"/>
    <n v="37.83"/>
    <n v="0"/>
    <s v="SUCURSAL DE VISTA ALEGRE"/>
    <x v="0"/>
  </r>
  <r>
    <n v="39"/>
    <d v="2019-05-25T00:00:00"/>
    <x v="11"/>
    <x v="11"/>
    <x v="1"/>
    <s v="SERVICIOS PERSONALES"/>
    <s v="PAGO NOMINA QUINCENA 2 MAYO 2019"/>
    <s v="TRANSACCIONES DEL DIA 05/25/2019 RECURSOS HUMANOS"/>
    <n v="125.74"/>
    <n v="0"/>
    <s v="SUCURSAL DE VISTA ALEGRE"/>
    <x v="0"/>
  </r>
  <r>
    <n v="39"/>
    <d v="2019-06-25T00:00:00"/>
    <x v="2"/>
    <x v="2"/>
    <x v="1"/>
    <s v="SERVICIOS PERSONALES"/>
    <s v="PAGO NOMINA QUINCENA 2 JUNIO 2019"/>
    <s v="TRANSACCIONES DEL DIA 06/25/2019 RECURSOS HUMANOS"/>
    <n v="30.68"/>
    <n v="0"/>
    <s v="SUCURSAL DE VISTA ALEGRE"/>
    <x v="0"/>
  </r>
  <r>
    <n v="39"/>
    <d v="2019-07-10T00:00:00"/>
    <x v="6"/>
    <x v="6"/>
    <x v="1"/>
    <s v="SERVICIOS PERSONALES"/>
    <s v="PAGO NOMINA QUINCENA 1 JULIO 2019"/>
    <s v="TRANSACCIONES DEL DIA 07/10/2019 RECURSOS HUMANOS"/>
    <n v="20.170000000000002"/>
    <n v="0"/>
    <s v="SUCURSAL DE VISTA ALEGRE"/>
    <x v="0"/>
  </r>
  <r>
    <n v="39"/>
    <d v="2019-07-25T00:00:00"/>
    <x v="6"/>
    <x v="6"/>
    <x v="1"/>
    <s v="SERVICIOS PERSONALES"/>
    <s v="PAGO NOMINA QUINCENA 2 JULIO 2019"/>
    <s v="TRANSACCIONES DEL DIA 07/25/2019 RECURSOS HUMANOS"/>
    <n v="107.83"/>
    <n v="0"/>
    <s v="SUCURSAL DE VISTA ALEGRE"/>
    <x v="0"/>
  </r>
  <r>
    <n v="40"/>
    <d v="2019-01-25T00:00:00"/>
    <x v="7"/>
    <x v="7"/>
    <x v="1"/>
    <s v="CAJA"/>
    <s v="PAGO NOMINA QUINCENA 2 ENERO 2019"/>
    <s v="TRANSACCIONES DEL DIA 01/25/2019 RECURSOS HUMANOS"/>
    <n v="17.45"/>
    <n v="0"/>
    <s v="LAS TABLAS"/>
    <x v="0"/>
  </r>
  <r>
    <n v="40"/>
    <d v="2019-04-25T00:00:00"/>
    <x v="10"/>
    <x v="10"/>
    <x v="1"/>
    <s v="SERVICIOS PERSONALES"/>
    <s v="PAGO NOMINA QUINCENA 2 ABRIL 2019"/>
    <s v="TRANSACCIONES DEL DIA 04/25/2019 RECURSOS HUMANOS"/>
    <n v="193.97"/>
    <n v="0"/>
    <s v="LAS TABLAS"/>
    <x v="0"/>
  </r>
  <r>
    <n v="40"/>
    <d v="2019-05-10T00:00:00"/>
    <x v="11"/>
    <x v="11"/>
    <x v="1"/>
    <s v="SERVICIOS PERSONALES"/>
    <s v="PAGO NOMINA QUINCENA 1 MAYO 2019"/>
    <s v="TRANSACCIONES DEL DIA 05/10/2019 RECURSOS HUMANOS"/>
    <n v="324.77"/>
    <n v="0"/>
    <s v="LAS TABLAS"/>
    <x v="0"/>
  </r>
  <r>
    <n v="41"/>
    <d v="2019-01-25T00:00:00"/>
    <x v="7"/>
    <x v="7"/>
    <x v="1"/>
    <s v="CAJA"/>
    <s v="PAGO NOMINA QUINCENA 2 ENERO 2019"/>
    <s v="TRANSACCIONES DEL DIA 01/25/2019 RECURSOS HUMANOS"/>
    <n v="41.31"/>
    <n v="0"/>
    <s v="24 DE DICIEMBRE"/>
    <x v="0"/>
  </r>
  <r>
    <n v="42"/>
    <d v="2019-04-25T00:00:00"/>
    <x v="10"/>
    <x v="10"/>
    <x v="1"/>
    <s v="ADMINISTRACION DE SUCURSALES"/>
    <s v="PAGO NOMINA QUINCENA 2 ABRIL 2019"/>
    <s v="TRANSACCIONES DEL DIA 04/25/2019 RECURSOS HUMANOS"/>
    <n v="138.09"/>
    <n v="0"/>
    <s v="DAVID - TERRONAL"/>
    <x v="0"/>
  </r>
  <r>
    <n v="42"/>
    <d v="2019-07-25T00:00:00"/>
    <x v="6"/>
    <x v="6"/>
    <x v="1"/>
    <s v="CAJA"/>
    <s v="PAGO NOMINA QUINCENA 2 JULIO 2019"/>
    <s v="TRANSACCIONES DEL DIA 07/25/2019 RECURSOS HUMANOS"/>
    <n v="85.85"/>
    <n v="0"/>
    <s v="DAVID - TERRONAL"/>
    <x v="0"/>
  </r>
  <r>
    <n v="43"/>
    <d v="2019-01-10T00:00:00"/>
    <x v="7"/>
    <x v="7"/>
    <x v="1"/>
    <s v="CAJA"/>
    <s v="PAGO NOMINA QUINCENA 1 ENERO 2019"/>
    <s v="TRANSACCIONES DEL DIA 01/10/2019 RECURSOS HUMANOS"/>
    <n v="567.08000000000004"/>
    <n v="0"/>
    <s v="COSTA DEL ESTE"/>
    <x v="0"/>
  </r>
  <r>
    <n v="43"/>
    <d v="2019-01-25T00:00:00"/>
    <x v="7"/>
    <x v="7"/>
    <x v="1"/>
    <s v="CAJA"/>
    <s v="PAGO NOMINA QUINCENA 2 ENERO 2019"/>
    <s v="TRANSACCIONES DEL DIA 01/25/2019 RECURSOS HUMANOS"/>
    <n v="246.08"/>
    <n v="0"/>
    <s v="COSTA DEL ESTE"/>
    <x v="0"/>
  </r>
  <r>
    <n v="43"/>
    <d v="2019-02-09T00:00:00"/>
    <x v="8"/>
    <x v="8"/>
    <x v="1"/>
    <s v="CAJA"/>
    <s v="PAGO NOMINA QUINCENA 1 FEBRERO 2019"/>
    <s v="TRANSACCIONES DEL DIA 02/09/2019 RECURSOS HUMANOS"/>
    <n v="209.59"/>
    <n v="0"/>
    <s v="COSTA DEL ESTE"/>
    <x v="0"/>
  </r>
  <r>
    <n v="43"/>
    <d v="2019-02-25T00:00:00"/>
    <x v="8"/>
    <x v="8"/>
    <x v="1"/>
    <s v="CAJA"/>
    <s v="PAGO NOMINA QUINCENA 2 FEBRERO 2019"/>
    <s v="TRANSACCIONES DEL DIA 02/25/2019 RECURSOS HUMANOS"/>
    <n v="319.01"/>
    <n v="0"/>
    <s v="COSTA DEL ESTE"/>
    <x v="0"/>
  </r>
  <r>
    <n v="43"/>
    <d v="2019-03-09T00:00:00"/>
    <x v="9"/>
    <x v="9"/>
    <x v="1"/>
    <s v="CAJA"/>
    <s v="PAGO NOMINA QUINCENA 1 MARZO 2019"/>
    <s v="TRANSACCIONES DEL DIA 03/09/2019 RECURSOS HUMANOS"/>
    <n v="258.82"/>
    <n v="0"/>
    <s v="COSTA DEL ESTE"/>
    <x v="0"/>
  </r>
  <r>
    <n v="43"/>
    <d v="2019-03-25T00:00:00"/>
    <x v="9"/>
    <x v="9"/>
    <x v="1"/>
    <s v="CAJA"/>
    <s v="PAGO NOMINA QUINCENA 2 MARZO 2019"/>
    <s v="TRANSACCIONES DEL DIA 03/25/2019 RECURSOS HUMANOS"/>
    <n v="231.75"/>
    <n v="0"/>
    <s v="COSTA DEL ESTE"/>
    <x v="0"/>
  </r>
  <r>
    <n v="43"/>
    <d v="2019-04-10T00:00:00"/>
    <x v="10"/>
    <x v="10"/>
    <x v="1"/>
    <s v="CAJA"/>
    <s v="PAGO NOMINA QUINCENA 1 ABRIL 2019"/>
    <s v="TRANSACCIONES DEL DIA 04/10/2019 RECURSOS HUMANOS"/>
    <n v="247.25"/>
    <n v="0"/>
    <s v="COSTA DEL ESTE"/>
    <x v="0"/>
  </r>
  <r>
    <n v="43"/>
    <d v="2019-04-25T00:00:00"/>
    <x v="10"/>
    <x v="10"/>
    <x v="1"/>
    <s v="CAJA"/>
    <s v="PAGO NOMINA QUINCENA 2 ABRIL 2019"/>
    <s v="TRANSACCIONES DEL DIA 04/25/2019 RECURSOS HUMANOS"/>
    <n v="330.37"/>
    <n v="0"/>
    <s v="COSTA DEL ESTE"/>
    <x v="0"/>
  </r>
  <r>
    <n v="43"/>
    <d v="2019-05-07T00:00:00"/>
    <x v="11"/>
    <x v="11"/>
    <x v="1"/>
    <s v="CAJA"/>
    <s v="PLANILLAS DE LIQUIDACIONES MAY 2019"/>
    <s v="TRANSACCIONES DEL DIA 05/07/2019 RECURSOS HUMANOS"/>
    <n v="114.74"/>
    <n v="0"/>
    <s v="COSTA DEL ESTE"/>
    <x v="0"/>
  </r>
  <r>
    <n v="43"/>
    <d v="2019-05-10T00:00:00"/>
    <x v="11"/>
    <x v="11"/>
    <x v="1"/>
    <s v="CAJA"/>
    <s v="PAGO NOMINA QUINCENA 1 MAYO 2019"/>
    <s v="TRANSACCIONES DEL DIA 05/10/2019 RECURSOS HUMANOS"/>
    <n v="252.32"/>
    <n v="0"/>
    <s v="COSTA DEL ESTE"/>
    <x v="0"/>
  </r>
  <r>
    <n v="43"/>
    <d v="2019-05-25T00:00:00"/>
    <x v="11"/>
    <x v="11"/>
    <x v="1"/>
    <s v="CAJA"/>
    <s v="PAGO NOMINA QUINCENA 2 MAYO 2019"/>
    <s v="TRANSACCIONES DEL DIA 05/25/2019 RECURSOS HUMANOS"/>
    <n v="213.47"/>
    <n v="0"/>
    <s v="COSTA DEL ESTE"/>
    <x v="0"/>
  </r>
  <r>
    <n v="43"/>
    <d v="2019-06-10T00:00:00"/>
    <x v="2"/>
    <x v="2"/>
    <x v="1"/>
    <s v="CAJA"/>
    <s v="PAGO NOMINA QUINCENA 1 JUNIO 2019"/>
    <s v="TRANSACCIONES DEL DIA 06/10/2019 RECURSOS HUMANOS"/>
    <n v="292.72000000000003"/>
    <n v="0"/>
    <s v="COSTA DEL ESTE"/>
    <x v="0"/>
  </r>
  <r>
    <n v="43"/>
    <d v="2019-06-25T00:00:00"/>
    <x v="2"/>
    <x v="2"/>
    <x v="1"/>
    <s v="CAJA"/>
    <s v="PAGO NOMINA QUINCENA 2 JUNIO 2019"/>
    <s v="TRANSACCIONES DEL DIA 06/25/2019 RECURSOS HUMANOS"/>
    <n v="318.88"/>
    <n v="0"/>
    <s v="COSTA DEL ESTE"/>
    <x v="0"/>
  </r>
  <r>
    <n v="43"/>
    <d v="2019-07-10T00:00:00"/>
    <x v="6"/>
    <x v="6"/>
    <x v="1"/>
    <s v="CAJA"/>
    <s v="PAGO NOMINA QUINCENA 1 JULIO 2019"/>
    <s v="TRANSACCIONES DEL DIA 07/10/2019 RECURSOS HUMANOS"/>
    <n v="173.93"/>
    <n v="0"/>
    <s v="COSTA DEL ESTE"/>
    <x v="0"/>
  </r>
  <r>
    <n v="43"/>
    <d v="2019-07-19T00:00:00"/>
    <x v="6"/>
    <x v="6"/>
    <x v="1"/>
    <s v="CAJA"/>
    <s v="PLANILLAS DE LIQUIDACIONES JUL 2019"/>
    <s v="TRANSACCIONES DEL DIA 07/19/2019 RECURSOS HUMANOS"/>
    <n v="16.68"/>
    <n v="0"/>
    <s v="COSTA DEL ESTE"/>
    <x v="0"/>
  </r>
  <r>
    <n v="43"/>
    <d v="2019-07-25T00:00:00"/>
    <x v="6"/>
    <x v="6"/>
    <x v="1"/>
    <s v="CAJA"/>
    <s v="PAGO NOMINA QUINCENA 2 JULIO 2019"/>
    <s v="TRANSACCIONES DEL DIA 07/25/2019 RECURSOS HUMANOS"/>
    <n v="250.81"/>
    <n v="0"/>
    <s v="COSTA DEL ESTE"/>
    <x v="0"/>
  </r>
  <r>
    <n v="43"/>
    <d v="2019-01-10T00:00:00"/>
    <x v="7"/>
    <x v="7"/>
    <x v="1"/>
    <s v="SERVICIOS PERSONALES"/>
    <s v="PAGO NOMINA QUINCENA 1 ENERO 2019"/>
    <s v="TRANSACCIONES DEL DIA 01/10/2019 RECURSOS HUMANOS"/>
    <n v="108.28"/>
    <n v="0"/>
    <s v="COSTA DEL ESTE"/>
    <x v="0"/>
  </r>
  <r>
    <n v="43"/>
    <d v="2019-03-09T00:00:00"/>
    <x v="9"/>
    <x v="9"/>
    <x v="1"/>
    <s v="SERVICIOS PERSONALES"/>
    <s v="PAGO NOMINA QUINCENA 1 MARZO 2019"/>
    <s v="TRANSACCIONES DEL DIA 03/09/2019 RECURSOS HUMANOS"/>
    <n v="12.27"/>
    <n v="0"/>
    <s v="COSTA DEL ESTE"/>
    <x v="0"/>
  </r>
  <r>
    <n v="43"/>
    <d v="2019-03-25T00:00:00"/>
    <x v="9"/>
    <x v="9"/>
    <x v="1"/>
    <s v="SERVICIOS PERSONALES"/>
    <s v="PAGO NOMINA QUINCENA 2 MARZO 2019"/>
    <s v="TRANSACCIONES DEL DIA 03/25/2019 RECURSOS HUMANOS"/>
    <n v="77.64"/>
    <n v="0"/>
    <s v="COSTA DEL ESTE"/>
    <x v="0"/>
  </r>
  <r>
    <n v="43"/>
    <d v="2019-04-10T00:00:00"/>
    <x v="10"/>
    <x v="10"/>
    <x v="1"/>
    <s v="SERVICIOS PERSONALES"/>
    <s v="PAGO NOMINA QUINCENA 1 ABRIL 2019"/>
    <s v="TRANSACCIONES DEL DIA 04/10/2019 RECURSOS HUMANOS"/>
    <n v="30.16"/>
    <n v="0"/>
    <s v="COSTA DEL ESTE"/>
    <x v="0"/>
  </r>
  <r>
    <n v="43"/>
    <d v="2019-05-10T00:00:00"/>
    <x v="11"/>
    <x v="11"/>
    <x v="1"/>
    <s v="SERVICIOS PERSONALES"/>
    <s v="PAGO NOMINA QUINCENA 1 MAYO 2019"/>
    <s v="TRANSACCIONES DEL DIA 05/10/2019 RECURSOS HUMANOS"/>
    <n v="32.380000000000003"/>
    <n v="0"/>
    <s v="COSTA DEL ESTE"/>
    <x v="0"/>
  </r>
  <r>
    <n v="43"/>
    <d v="2019-06-10T00:00:00"/>
    <x v="2"/>
    <x v="2"/>
    <x v="1"/>
    <s v="SERVICIOS PERSONALES"/>
    <s v="PAGO NOMINA QUINCENA 1 JUNIO 2019"/>
    <s v="TRANSACCIONES DEL DIA 06/10/2019 RECURSOS HUMANOS"/>
    <n v="22.88"/>
    <n v="0"/>
    <s v="COSTA DEL ESTE"/>
    <x v="0"/>
  </r>
  <r>
    <n v="43"/>
    <d v="2019-06-25T00:00:00"/>
    <x v="2"/>
    <x v="2"/>
    <x v="1"/>
    <s v="SERVICIOS PERSONALES"/>
    <s v="PAGO NOMINA QUINCENA 2 JUNIO 2019"/>
    <s v="TRANSACCIONES DEL DIA 06/25/2019 RECURSOS HUMANOS"/>
    <n v="119.39"/>
    <n v="0"/>
    <s v="COSTA DEL ESTE"/>
    <x v="0"/>
  </r>
  <r>
    <n v="43"/>
    <d v="2019-07-10T00:00:00"/>
    <x v="6"/>
    <x v="6"/>
    <x v="1"/>
    <s v="SERVICIOS PERSONALES"/>
    <s v="PAGO NOMINA QUINCENA 1 JULIO 2019"/>
    <s v="TRANSACCIONES DEL DIA 07/10/2019 RECURSOS HUMANOS"/>
    <n v="54.25"/>
    <n v="0"/>
    <s v="COSTA DEL ESTE"/>
    <x v="0"/>
  </r>
  <r>
    <n v="43"/>
    <d v="2019-07-25T00:00:00"/>
    <x v="6"/>
    <x v="6"/>
    <x v="1"/>
    <s v="SERVICIOS PERSONALES"/>
    <s v="PAGO NOMINA QUINCENA 2 JULIO 2019"/>
    <s v="TRANSACCIONES DEL DIA 07/25/2019 RECURSOS HUMANOS"/>
    <n v="46.01"/>
    <n v="0"/>
    <s v="COSTA DEL ESTE"/>
    <x v="0"/>
  </r>
  <r>
    <n v="44"/>
    <d v="2019-05-25T00:00:00"/>
    <x v="11"/>
    <x v="11"/>
    <x v="1"/>
    <s v="ADMINISTRACION DE SUCURSALES"/>
    <s v="PAGO NOMINA QUINCENA 2 MAYO 2019"/>
    <s v="TRANSACCIONES DEL DIA 05/25/2019 RECURSOS HUMANOS"/>
    <n v="58.94"/>
    <n v="0"/>
    <s v="MULTI PLAZA"/>
    <x v="0"/>
  </r>
  <r>
    <n v="44"/>
    <d v="2019-01-10T00:00:00"/>
    <x v="7"/>
    <x v="7"/>
    <x v="1"/>
    <s v="CAJA"/>
    <s v="PAGO NOMINA QUINCENA 1 ENERO 2019"/>
    <s v="TRANSACCIONES DEL DIA 01/10/2019 RECURSOS HUMANOS"/>
    <n v="384.96"/>
    <n v="0"/>
    <s v="MULTI PLAZA"/>
    <x v="0"/>
  </r>
  <r>
    <n v="44"/>
    <d v="2019-01-25T00:00:00"/>
    <x v="7"/>
    <x v="7"/>
    <x v="1"/>
    <s v="CAJA"/>
    <s v="PAGO NOMINA QUINCENA 2 ENERO 2019"/>
    <s v="TRANSACCIONES DEL DIA 01/25/2019 RECURSOS HUMANOS"/>
    <n v="397.34"/>
    <n v="0"/>
    <s v="MULTI PLAZA"/>
    <x v="0"/>
  </r>
  <r>
    <n v="44"/>
    <d v="2019-02-09T00:00:00"/>
    <x v="8"/>
    <x v="8"/>
    <x v="1"/>
    <s v="CAJA"/>
    <s v="PAGO NOMINA QUINCENA 1 FEBRERO 2019"/>
    <s v="TRANSACCIONES DEL DIA 02/09/2019 RECURSOS HUMANOS"/>
    <n v="295.97000000000003"/>
    <n v="0"/>
    <s v="MULTI PLAZA"/>
    <x v="0"/>
  </r>
  <r>
    <n v="44"/>
    <d v="2019-02-25T00:00:00"/>
    <x v="8"/>
    <x v="8"/>
    <x v="1"/>
    <s v="CAJA"/>
    <s v="PAGO NOMINA QUINCENA 2 FEBRERO 2019"/>
    <s v="TRANSACCIONES DEL DIA 02/25/2019 RECURSOS HUMANOS"/>
    <n v="127.85"/>
    <n v="0"/>
    <s v="MULTI PLAZA"/>
    <x v="0"/>
  </r>
  <r>
    <n v="44"/>
    <d v="2019-03-09T00:00:00"/>
    <x v="9"/>
    <x v="9"/>
    <x v="1"/>
    <s v="CAJA"/>
    <s v="PAGO NOMINA QUINCENA 1 MARZO 2019"/>
    <s v="TRANSACCIONES DEL DIA 03/09/2019 RECURSOS HUMANOS"/>
    <n v="297.5"/>
    <n v="0"/>
    <s v="MULTI PLAZA"/>
    <x v="0"/>
  </r>
  <r>
    <n v="44"/>
    <d v="2019-03-25T00:00:00"/>
    <x v="9"/>
    <x v="9"/>
    <x v="1"/>
    <s v="CAJA"/>
    <s v="PAGO NOMINA QUINCENA 2 MARZO 2019"/>
    <s v="TRANSACCIONES DEL DIA 03/25/2019 RECURSOS HUMANOS"/>
    <n v="87.89"/>
    <n v="0"/>
    <s v="MULTI PLAZA"/>
    <x v="0"/>
  </r>
  <r>
    <n v="44"/>
    <d v="2019-04-10T00:00:00"/>
    <x v="10"/>
    <x v="10"/>
    <x v="1"/>
    <s v="CAJA"/>
    <s v="PAGO NOMINA QUINCENA 1 ABRIL 2019"/>
    <s v="TRANSACCIONES DEL DIA 04/10/2019 RECURSOS HUMANOS"/>
    <n v="214.42"/>
    <n v="0"/>
    <s v="MULTI PLAZA"/>
    <x v="0"/>
  </r>
  <r>
    <n v="44"/>
    <d v="2019-04-25T00:00:00"/>
    <x v="10"/>
    <x v="10"/>
    <x v="1"/>
    <s v="CAJA"/>
    <s v="PAGO NOMINA QUINCENA 2 ABRIL 2019"/>
    <s v="TRANSACCIONES DEL DIA 04/25/2019 RECURSOS HUMANOS"/>
    <n v="149.43"/>
    <n v="0"/>
    <s v="MULTI PLAZA"/>
    <x v="0"/>
  </r>
  <r>
    <n v="44"/>
    <d v="2019-05-10T00:00:00"/>
    <x v="11"/>
    <x v="11"/>
    <x v="1"/>
    <s v="CAJA"/>
    <s v="PAGO NOMINA QUINCENA 1 MAYO 2019"/>
    <s v="TRANSACCIONES DEL DIA 05/10/2019 RECURSOS HUMANOS"/>
    <n v="215.34"/>
    <n v="0"/>
    <s v="MULTI PLAZA"/>
    <x v="0"/>
  </r>
  <r>
    <n v="44"/>
    <d v="2019-05-25T00:00:00"/>
    <x v="11"/>
    <x v="11"/>
    <x v="1"/>
    <s v="CAJA"/>
    <s v="PAGO NOMINA QUINCENA 2 MAYO 2019"/>
    <s v="TRANSACCIONES DEL DIA 05/25/2019 RECURSOS HUMANOS"/>
    <n v="305.62"/>
    <n v="0"/>
    <s v="MULTI PLAZA"/>
    <x v="0"/>
  </r>
  <r>
    <n v="44"/>
    <d v="2019-06-10T00:00:00"/>
    <x v="2"/>
    <x v="2"/>
    <x v="1"/>
    <s v="CAJA"/>
    <s v="PAGO NOMINA QUINCENA 1 JUNIO 2019"/>
    <s v="TRANSACCIONES DEL DIA 06/10/2019 RECURSOS HUMANOS"/>
    <n v="329.75"/>
    <n v="0"/>
    <s v="MULTI PLAZA"/>
    <x v="0"/>
  </r>
  <r>
    <n v="44"/>
    <d v="2019-06-25T00:00:00"/>
    <x v="2"/>
    <x v="2"/>
    <x v="1"/>
    <s v="CAJA"/>
    <s v="PAGO NOMINA QUINCENA 2 JUNIO 2019"/>
    <s v="TRANSACCIONES DEL DIA 06/25/2019 RECURSOS HUMANOS"/>
    <n v="330.73"/>
    <n v="0"/>
    <s v="MULTI PLAZA"/>
    <x v="0"/>
  </r>
  <r>
    <n v="44"/>
    <d v="2019-07-10T00:00:00"/>
    <x v="6"/>
    <x v="6"/>
    <x v="1"/>
    <s v="CAJA"/>
    <s v="PAGO NOMINA QUINCENA 1 JULIO 2019"/>
    <s v="TRANSACCIONES DEL DIA 07/10/2019 RECURSOS HUMANOS"/>
    <n v="170.64"/>
    <n v="0"/>
    <s v="MULTI PLAZA"/>
    <x v="0"/>
  </r>
  <r>
    <n v="44"/>
    <d v="2019-07-25T00:00:00"/>
    <x v="6"/>
    <x v="6"/>
    <x v="1"/>
    <s v="CAJA"/>
    <s v="PAGO NOMINA QUINCENA 2 JULIO 2019"/>
    <s v="TRANSACCIONES DEL DIA 07/25/2019 RECURSOS HUMANOS"/>
    <n v="246.93"/>
    <n v="0"/>
    <s v="MULTI PLAZA"/>
    <x v="0"/>
  </r>
  <r>
    <n v="44"/>
    <d v="2019-02-09T00:00:00"/>
    <x v="8"/>
    <x v="8"/>
    <x v="1"/>
    <s v="SERVICIOS PERSONALES"/>
    <s v="PAGO NOMINA QUINCENA 1 FEBRERO 2019"/>
    <s v="TRANSACCIONES DEL DIA 02/09/2019 RECURSOS HUMANOS"/>
    <n v="90.79"/>
    <n v="0"/>
    <s v="MULTI PLAZA"/>
    <x v="0"/>
  </r>
  <r>
    <n v="44"/>
    <d v="2019-04-10T00:00:00"/>
    <x v="10"/>
    <x v="10"/>
    <x v="1"/>
    <s v="SERVICIOS PERSONALES"/>
    <s v="PAGO NOMINA QUINCENA 1 ABRIL 2019"/>
    <s v="TRANSACCIONES DEL DIA 04/10/2019 RECURSOS HUMANOS"/>
    <n v="21.74"/>
    <n v="0"/>
    <s v="MULTI PLAZA"/>
    <x v="0"/>
  </r>
  <r>
    <n v="44"/>
    <d v="2019-05-25T00:00:00"/>
    <x v="11"/>
    <x v="11"/>
    <x v="1"/>
    <s v="SERVICIOS PERSONALES"/>
    <s v="PAGO NOMINA QUINCENA 2 MAYO 2019"/>
    <s v="TRANSACCIONES DEL DIA 05/25/2019 RECURSOS HUMANOS"/>
    <n v="37.630000000000003"/>
    <n v="0"/>
    <s v="MULTI PLAZA"/>
    <x v="0"/>
  </r>
  <r>
    <n v="44"/>
    <d v="2019-07-25T00:00:00"/>
    <x v="6"/>
    <x v="6"/>
    <x v="1"/>
    <s v="SERVICIOS PERSONALES"/>
    <s v="PAGO NOMINA QUINCENA 2 JULIO 2019"/>
    <s v="TRANSACCIONES DEL DIA 07/25/2019 RECURSOS HUMANOS"/>
    <n v="25.63"/>
    <n v="0"/>
    <s v="MULTI PLAZA"/>
    <x v="0"/>
  </r>
  <r>
    <n v="45"/>
    <d v="2019-01-25T00:00:00"/>
    <x v="7"/>
    <x v="7"/>
    <x v="1"/>
    <s v="CAJA"/>
    <s v="PAGO NOMINA QUINCENA 2 ENERO 2019"/>
    <s v="TRANSACCIONES DEL DIA 01/25/2019 RECURSOS HUMANOS"/>
    <n v="38.42"/>
    <n v="0"/>
    <s v="HOSPITAL PUNTA PACIFICA"/>
    <x v="0"/>
  </r>
  <r>
    <n v="45"/>
    <d v="2019-07-25T00:00:00"/>
    <x v="6"/>
    <x v="6"/>
    <x v="1"/>
    <s v="CAJA"/>
    <s v="PAGO NOMINA QUINCENA 2 JULIO 2019"/>
    <s v="TRANSACCIONES DEL DIA 07/25/2019 RECURSOS HUMANOS"/>
    <n v="40"/>
    <n v="0"/>
    <s v="HOSPITAL PUNTA PACIFICA"/>
    <x v="0"/>
  </r>
  <r>
    <n v="46"/>
    <d v="2019-03-25T00:00:00"/>
    <x v="9"/>
    <x v="9"/>
    <x v="1"/>
    <s v="ADMINISTRACION DE SUCURSALES"/>
    <s v="PAGO NOMINA QUINCENA 2 MARZO 2019"/>
    <s v="TRANSACCIONES DEL DIA 03/25/2019 RECURSOS HUMANOS"/>
    <n v="91.09"/>
    <n v="0"/>
    <s v="TERMINAL DE ALBROOK"/>
    <x v="0"/>
  </r>
  <r>
    <n v="46"/>
    <d v="2019-06-10T00:00:00"/>
    <x v="2"/>
    <x v="2"/>
    <x v="1"/>
    <s v="ADMINISTRACION DE SUCURSALES"/>
    <s v="PAGO NOMINA QUINCENA 1 JUNIO 2019"/>
    <s v="TRANSACCIONES DEL DIA 06/10/2019 RECURSOS HUMANOS"/>
    <n v="95.62"/>
    <n v="0"/>
    <s v="TERMINAL DE ALBROOK"/>
    <x v="0"/>
  </r>
  <r>
    <n v="46"/>
    <d v="2019-07-25T00:00:00"/>
    <x v="6"/>
    <x v="6"/>
    <x v="1"/>
    <s v="ADMINISTRACION DE SUCURSALES"/>
    <s v="PAGO NOMINA QUINCENA 2 JULIO 2019"/>
    <s v="TRANSACCIONES DEL DIA 07/25/2019 RECURSOS HUMANOS"/>
    <n v="52.96"/>
    <n v="0"/>
    <s v="TERMINAL DE ALBROOK"/>
    <x v="0"/>
  </r>
  <r>
    <n v="46"/>
    <d v="2019-01-10T00:00:00"/>
    <x v="7"/>
    <x v="7"/>
    <x v="1"/>
    <s v="CAJA"/>
    <s v="PAGO NOMINA QUINCENA 1 ENERO 2019"/>
    <s v="TRANSACCIONES DEL DIA 01/10/2019 RECURSOS HUMANOS"/>
    <n v="386.75"/>
    <n v="0"/>
    <s v="TERMINAL DE ALBROOK"/>
    <x v="0"/>
  </r>
  <r>
    <n v="46"/>
    <d v="2019-01-25T00:00:00"/>
    <x v="7"/>
    <x v="7"/>
    <x v="1"/>
    <s v="CAJA"/>
    <s v="PAGO NOMINA QUINCENA 2 ENERO 2019"/>
    <s v="TRANSACCIONES DEL DIA 01/25/2019 RECURSOS HUMANOS"/>
    <n v="455.83"/>
    <n v="0"/>
    <s v="TERMINAL DE ALBROOK"/>
    <x v="0"/>
  </r>
  <r>
    <n v="46"/>
    <d v="2019-02-09T00:00:00"/>
    <x v="8"/>
    <x v="8"/>
    <x v="1"/>
    <s v="CAJA"/>
    <s v="PAGO NOMINA QUINCENA 1 FEBRERO 2019"/>
    <s v="TRANSACCIONES DEL DIA 02/09/2019 RECURSOS HUMANOS"/>
    <n v="264.37"/>
    <n v="0"/>
    <s v="TERMINAL DE ALBROOK"/>
    <x v="0"/>
  </r>
  <r>
    <n v="46"/>
    <d v="2019-02-25T00:00:00"/>
    <x v="8"/>
    <x v="8"/>
    <x v="1"/>
    <s v="CAJA"/>
    <s v="PAGO NOMINA QUINCENA 2 FEBRERO 2019"/>
    <s v="TRANSACCIONES DEL DIA 02/25/2019 RECURSOS HUMANOS"/>
    <n v="215.46"/>
    <n v="0"/>
    <s v="TERMINAL DE ALBROOK"/>
    <x v="0"/>
  </r>
  <r>
    <n v="46"/>
    <d v="2019-03-09T00:00:00"/>
    <x v="9"/>
    <x v="9"/>
    <x v="1"/>
    <s v="CAJA"/>
    <s v="PAGO NOMINA QUINCENA 1 MARZO 2019"/>
    <s v="TRANSACCIONES DEL DIA 03/09/2019 RECURSOS HUMANOS"/>
    <n v="181.12"/>
    <n v="0"/>
    <s v="TERMINAL DE ALBROOK"/>
    <x v="0"/>
  </r>
  <r>
    <n v="46"/>
    <d v="2019-03-25T00:00:00"/>
    <x v="9"/>
    <x v="9"/>
    <x v="1"/>
    <s v="CAJA"/>
    <s v="PAGO NOMINA QUINCENA 2 MARZO 2019"/>
    <s v="TRANSACCIONES DEL DIA 03/25/2019 RECURSOS HUMANOS"/>
    <n v="242.02"/>
    <n v="0"/>
    <s v="TERMINAL DE ALBROOK"/>
    <x v="0"/>
  </r>
  <r>
    <n v="46"/>
    <d v="2019-04-10T00:00:00"/>
    <x v="10"/>
    <x v="10"/>
    <x v="1"/>
    <s v="CAJA"/>
    <s v="PAGO NOMINA QUINCENA 1 ABRIL 2019"/>
    <s v="TRANSACCIONES DEL DIA 04/10/2019 RECURSOS HUMANOS"/>
    <n v="322.91000000000003"/>
    <n v="0"/>
    <s v="TERMINAL DE ALBROOK"/>
    <x v="0"/>
  </r>
  <r>
    <n v="46"/>
    <d v="2019-04-25T00:00:00"/>
    <x v="10"/>
    <x v="10"/>
    <x v="1"/>
    <s v="CAJA"/>
    <s v="PAGO NOMINA QUINCENA 2 ABRIL 2019"/>
    <s v="TRANSACCIONES DEL DIA 04/25/2019 RECURSOS HUMANOS"/>
    <n v="321.02999999999997"/>
    <n v="0"/>
    <s v="TERMINAL DE ALBROOK"/>
    <x v="0"/>
  </r>
  <r>
    <n v="46"/>
    <d v="2019-05-10T00:00:00"/>
    <x v="11"/>
    <x v="11"/>
    <x v="1"/>
    <s v="CAJA"/>
    <s v="PAGO NOMINA QUINCENA 1 MAYO 2019"/>
    <s v="TRANSACCIONES DEL DIA 05/10/2019 RECURSOS HUMANOS"/>
    <n v="259.92"/>
    <n v="0"/>
    <s v="TERMINAL DE ALBROOK"/>
    <x v="0"/>
  </r>
  <r>
    <n v="46"/>
    <d v="2019-05-25T00:00:00"/>
    <x v="11"/>
    <x v="11"/>
    <x v="1"/>
    <s v="CAJA"/>
    <s v="PAGO NOMINA QUINCENA 2 MAYO 2019"/>
    <s v="TRANSACCIONES DEL DIA 05/25/2019 RECURSOS HUMANOS"/>
    <n v="486.39"/>
    <n v="0"/>
    <s v="TERMINAL DE ALBROOK"/>
    <x v="0"/>
  </r>
  <r>
    <n v="46"/>
    <d v="2019-06-10T00:00:00"/>
    <x v="2"/>
    <x v="2"/>
    <x v="1"/>
    <s v="CAJA"/>
    <s v="PAGO NOMINA QUINCENA 1 JUNIO 2019"/>
    <s v="TRANSACCIONES DEL DIA 06/10/2019 RECURSOS HUMANOS"/>
    <n v="216.64"/>
    <n v="0"/>
    <s v="TERMINAL DE ALBROOK"/>
    <x v="0"/>
  </r>
  <r>
    <n v="46"/>
    <d v="2019-06-25T00:00:00"/>
    <x v="2"/>
    <x v="2"/>
    <x v="1"/>
    <s v="CAJA"/>
    <s v="PAGO NOMINA QUINCENA 2 JUNIO 2019"/>
    <s v="TRANSACCIONES DEL DIA 06/25/2019 RECURSOS HUMANOS"/>
    <n v="318.58999999999997"/>
    <n v="0"/>
    <s v="TERMINAL DE ALBROOK"/>
    <x v="0"/>
  </r>
  <r>
    <n v="46"/>
    <d v="2019-07-10T00:00:00"/>
    <x v="6"/>
    <x v="6"/>
    <x v="1"/>
    <s v="CAJA"/>
    <s v="PAGO NOMINA QUINCENA 1 JULIO 2019"/>
    <s v="TRANSACCIONES DEL DIA 07/10/2019 RECURSOS HUMANOS"/>
    <n v="217.88"/>
    <n v="0"/>
    <s v="TERMINAL DE ALBROOK"/>
    <x v="0"/>
  </r>
  <r>
    <n v="46"/>
    <d v="2019-07-25T00:00:00"/>
    <x v="6"/>
    <x v="6"/>
    <x v="1"/>
    <s v="CAJA"/>
    <s v="PAGO NOMINA QUINCENA 2 JULIO 2019"/>
    <s v="TRANSACCIONES DEL DIA 07/25/2019 RECURSOS HUMANOS"/>
    <n v="257.58"/>
    <n v="0"/>
    <s v="TERMINAL DE ALBROOK"/>
    <x v="0"/>
  </r>
  <r>
    <n v="46"/>
    <d v="2019-01-25T00:00:00"/>
    <x v="7"/>
    <x v="7"/>
    <x v="1"/>
    <s v="SERVICIOS PERSONALES"/>
    <s v="PAGO NOMINA QUINCENA 2 ENERO 2019"/>
    <s v="TRANSACCIONES DEL DIA 01/25/2019 RECURSOS HUMANOS"/>
    <n v="26.94"/>
    <n v="0"/>
    <s v="TERMINAL DE ALBROOK"/>
    <x v="0"/>
  </r>
  <r>
    <n v="46"/>
    <d v="2019-02-09T00:00:00"/>
    <x v="8"/>
    <x v="8"/>
    <x v="1"/>
    <s v="SERVICIOS PERSONALES"/>
    <s v="PAGO NOMINA QUINCENA 1 FEBRERO 2019"/>
    <s v="TRANSACCIONES DEL DIA 02/09/2019 RECURSOS HUMANOS"/>
    <n v="25.26"/>
    <n v="0"/>
    <s v="TERMINAL DE ALBROOK"/>
    <x v="0"/>
  </r>
  <r>
    <n v="46"/>
    <d v="2019-03-09T00:00:00"/>
    <x v="9"/>
    <x v="9"/>
    <x v="1"/>
    <s v="SERVICIOS PERSONALES"/>
    <s v="PAGO NOMINA QUINCENA 1 MARZO 2019"/>
    <s v="TRANSACCIONES DEL DIA 03/09/2019 RECURSOS HUMANOS"/>
    <n v="15.93"/>
    <n v="0"/>
    <s v="TERMINAL DE ALBROOK"/>
    <x v="0"/>
  </r>
  <r>
    <n v="46"/>
    <d v="2019-03-25T00:00:00"/>
    <x v="9"/>
    <x v="9"/>
    <x v="1"/>
    <s v="SERVICIOS PERSONALES"/>
    <s v="PAGO NOMINA QUINCENA 2 MARZO 2019"/>
    <s v="TRANSACCIONES DEL DIA 03/25/2019 RECURSOS HUMANOS"/>
    <n v="39.42"/>
    <n v="0"/>
    <s v="TERMINAL DE ALBROOK"/>
    <x v="0"/>
  </r>
  <r>
    <n v="46"/>
    <d v="2019-04-10T00:00:00"/>
    <x v="10"/>
    <x v="10"/>
    <x v="1"/>
    <s v="SERVICIOS PERSONALES"/>
    <s v="PAGO NOMINA QUINCENA 1 ABRIL 2019"/>
    <s v="TRANSACCIONES DEL DIA 04/10/2019 RECURSOS HUMANOS"/>
    <n v="69.680000000000007"/>
    <n v="0"/>
    <s v="TERMINAL DE ALBROOK"/>
    <x v="0"/>
  </r>
  <r>
    <n v="46"/>
    <d v="2019-05-10T00:00:00"/>
    <x v="11"/>
    <x v="11"/>
    <x v="1"/>
    <s v="SERVICIOS PERSONALES"/>
    <s v="PAGO NOMINA QUINCENA 1 MAYO 2019"/>
    <s v="TRANSACCIONES DEL DIA 05/10/2019 RECURSOS HUMANOS"/>
    <n v="40.04"/>
    <n v="0"/>
    <s v="TERMINAL DE ALBROOK"/>
    <x v="0"/>
  </r>
  <r>
    <n v="46"/>
    <d v="2019-05-25T00:00:00"/>
    <x v="11"/>
    <x v="11"/>
    <x v="1"/>
    <s v="SERVICIOS PERSONALES"/>
    <s v="PAGO NOMINA QUINCENA 2 MAYO 2019"/>
    <s v="TRANSACCIONES DEL DIA 05/25/2019 RECURSOS HUMANOS"/>
    <n v="73.849999999999994"/>
    <n v="0"/>
    <s v="TERMINAL DE ALBROOK"/>
    <x v="0"/>
  </r>
  <r>
    <n v="46"/>
    <d v="2019-06-25T00:00:00"/>
    <x v="2"/>
    <x v="2"/>
    <x v="1"/>
    <s v="SERVICIOS PERSONALES"/>
    <s v="PAGO NOMINA QUINCENA 2 JUNIO 2019"/>
    <s v="TRANSACCIONES DEL DIA 06/25/2019 RECURSOS HUMANOS"/>
    <n v="24.18"/>
    <n v="0"/>
    <s v="TERMINAL DE ALBROOK"/>
    <x v="0"/>
  </r>
  <r>
    <n v="46"/>
    <d v="2019-07-10T00:00:00"/>
    <x v="6"/>
    <x v="6"/>
    <x v="1"/>
    <s v="SERVICIOS PERSONALES"/>
    <s v="PAGO NOMINA QUINCENA 1 JULIO 2019"/>
    <s v="TRANSACCIONES DEL DIA 07/10/2019 RECURSOS HUMANOS"/>
    <n v="33.020000000000003"/>
    <n v="0"/>
    <s v="TERMINAL DE ALBROOK"/>
    <x v="0"/>
  </r>
  <r>
    <n v="46"/>
    <d v="2019-07-25T00:00:00"/>
    <x v="6"/>
    <x v="6"/>
    <x v="1"/>
    <s v="SERVICIOS PERSONALES"/>
    <s v="PAGO NOMINA QUINCENA 2 JULIO 2019"/>
    <s v="TRANSACCIONES DEL DIA 07/25/2019 RECURSOS HUMANOS"/>
    <n v="80.47"/>
    <n v="0"/>
    <s v="TERMINAL DE ALBROOK"/>
    <x v="0"/>
  </r>
  <r>
    <n v="47"/>
    <d v="2019-07-25T00:00:00"/>
    <x v="6"/>
    <x v="6"/>
    <x v="1"/>
    <s v="ADMINISTRACION DE SUCURSALES"/>
    <s v="PAGO NOMINA QUINCENA 2 JULIO 2019"/>
    <s v="TRANSACCIONES DEL DIA 07/25/2019 RECURSOS HUMANOS"/>
    <n v="63.58"/>
    <n v="0"/>
    <s v="CONCEPCION"/>
    <x v="0"/>
  </r>
  <r>
    <n v="47"/>
    <d v="2019-01-25T00:00:00"/>
    <x v="7"/>
    <x v="7"/>
    <x v="1"/>
    <s v="CAJA"/>
    <s v="PAGO NOMINA QUINCENA 2 ENERO 2019"/>
    <s v="TRANSACCIONES DEL DIA 01/25/2019 RECURSOS HUMANOS"/>
    <n v="80.37"/>
    <n v="0"/>
    <s v="CONCEPCION"/>
    <x v="0"/>
  </r>
  <r>
    <n v="49"/>
    <d v="2019-01-10T00:00:00"/>
    <x v="7"/>
    <x v="7"/>
    <x v="1"/>
    <s v="ADMINISTRACION DE SUCURSALES"/>
    <s v="PAGO NOMINA QUINCENA 1 ENERO 2019"/>
    <s v="TRANSACCIONES DEL DIA 01/10/2019 RECURSOS HUMANOS"/>
    <n v="35.520000000000003"/>
    <n v="0"/>
    <s v="BRISAS DEL GOLF"/>
    <x v="0"/>
  </r>
  <r>
    <n v="49"/>
    <d v="2019-01-10T00:00:00"/>
    <x v="7"/>
    <x v="7"/>
    <x v="1"/>
    <s v="CAJA"/>
    <s v="PAGO NOMINA QUINCENA 1 ENERO 2019"/>
    <s v="TRANSACCIONES DEL DIA 01/10/2019 RECURSOS HUMANOS"/>
    <n v="449.4"/>
    <n v="0"/>
    <s v="BRISAS DEL GOLF"/>
    <x v="0"/>
  </r>
  <r>
    <n v="49"/>
    <d v="2019-01-25T00:00:00"/>
    <x v="7"/>
    <x v="7"/>
    <x v="1"/>
    <s v="CAJA"/>
    <s v="PAGO NOMINA QUINCENA 2 ENERO 2019"/>
    <s v="TRANSACCIONES DEL DIA 01/25/2019 RECURSOS HUMANOS"/>
    <n v="95.48"/>
    <n v="0"/>
    <s v="BRISAS DEL GOLF"/>
    <x v="0"/>
  </r>
  <r>
    <n v="49"/>
    <d v="2019-02-09T00:00:00"/>
    <x v="8"/>
    <x v="8"/>
    <x v="1"/>
    <s v="CAJA"/>
    <s v="PAGO NOMINA QUINCENA 1 FEBRERO 2019"/>
    <s v="TRANSACCIONES DEL DIA 02/09/2019 RECURSOS HUMANOS"/>
    <n v="39.020000000000003"/>
    <n v="0"/>
    <s v="BRISAS DEL GOLF"/>
    <x v="0"/>
  </r>
  <r>
    <n v="49"/>
    <d v="2019-03-09T00:00:00"/>
    <x v="9"/>
    <x v="9"/>
    <x v="1"/>
    <s v="CAJA"/>
    <s v="PAGO NOMINA QUINCENA 1 MARZO 2019"/>
    <s v="TRANSACCIONES DEL DIA 03/09/2019 RECURSOS HUMANOS"/>
    <n v="132.91"/>
    <n v="0"/>
    <s v="BRISAS DEL GOLF"/>
    <x v="0"/>
  </r>
  <r>
    <n v="49"/>
    <d v="2019-03-25T00:00:00"/>
    <x v="9"/>
    <x v="9"/>
    <x v="1"/>
    <s v="CAJA"/>
    <s v="PAGO NOMINA QUINCENA 2 MARZO 2019"/>
    <s v="TRANSACCIONES DEL DIA 03/25/2019 RECURSOS HUMANOS"/>
    <n v="155.74"/>
    <n v="0"/>
    <s v="BRISAS DEL GOLF"/>
    <x v="0"/>
  </r>
  <r>
    <n v="49"/>
    <d v="2019-04-10T00:00:00"/>
    <x v="10"/>
    <x v="10"/>
    <x v="1"/>
    <s v="CAJA"/>
    <s v="PAGO NOMINA QUINCENA 1 ABRIL 2019"/>
    <s v="TRANSACCIONES DEL DIA 04/10/2019 RECURSOS HUMANOS"/>
    <n v="226.17"/>
    <n v="0"/>
    <s v="BRISAS DEL GOLF"/>
    <x v="0"/>
  </r>
  <r>
    <n v="49"/>
    <d v="2019-04-25T00:00:00"/>
    <x v="10"/>
    <x v="10"/>
    <x v="1"/>
    <s v="CAJA"/>
    <s v="PAGO NOMINA QUINCENA 2 ABRIL 2019"/>
    <s v="TRANSACCIONES DEL DIA 04/25/2019 RECURSOS HUMANOS"/>
    <n v="168.11"/>
    <n v="0"/>
    <s v="BRISAS DEL GOLF"/>
    <x v="0"/>
  </r>
  <r>
    <n v="49"/>
    <d v="2019-05-10T00:00:00"/>
    <x v="11"/>
    <x v="11"/>
    <x v="1"/>
    <s v="CAJA"/>
    <s v="PAGO NOMINA QUINCENA 1 MAYO 2019"/>
    <s v="TRANSACCIONES DEL DIA 05/10/2019 RECURSOS HUMANOS"/>
    <n v="183.98"/>
    <n v="0"/>
    <s v="BRISAS DEL GOLF"/>
    <x v="0"/>
  </r>
  <r>
    <n v="49"/>
    <d v="2019-05-25T00:00:00"/>
    <x v="11"/>
    <x v="11"/>
    <x v="1"/>
    <s v="CAJA"/>
    <s v="PAGO NOMINA QUINCENA 2 MAYO 2019"/>
    <s v="TRANSACCIONES DEL DIA 05/25/2019 RECURSOS HUMANOS"/>
    <n v="226.28"/>
    <n v="0"/>
    <s v="BRISAS DEL GOLF"/>
    <x v="0"/>
  </r>
  <r>
    <n v="49"/>
    <d v="2019-06-10T00:00:00"/>
    <x v="2"/>
    <x v="2"/>
    <x v="1"/>
    <s v="CAJA"/>
    <s v="PAGO NOMINA QUINCENA 1 JUNIO 2019"/>
    <s v="TRANSACCIONES DEL DIA 06/10/2019 RECURSOS HUMANOS"/>
    <n v="208.07"/>
    <n v="0"/>
    <s v="BRISAS DEL GOLF"/>
    <x v="0"/>
  </r>
  <r>
    <n v="49"/>
    <d v="2019-06-25T00:00:00"/>
    <x v="2"/>
    <x v="2"/>
    <x v="1"/>
    <s v="CAJA"/>
    <s v="PAGO NOMINA QUINCENA 2 JUNIO 2019"/>
    <s v="TRANSACCIONES DEL DIA 06/25/2019 RECURSOS HUMANOS"/>
    <n v="241.12"/>
    <n v="0"/>
    <s v="BRISAS DEL GOLF"/>
    <x v="0"/>
  </r>
  <r>
    <n v="49"/>
    <d v="2019-07-10T00:00:00"/>
    <x v="6"/>
    <x v="6"/>
    <x v="1"/>
    <s v="CAJA"/>
    <s v="PAGO NOMINA QUINCENA 1 JULIO 2019"/>
    <s v="TRANSACCIONES DEL DIA 07/10/2019 RECURSOS HUMANOS"/>
    <n v="477.64"/>
    <n v="0"/>
    <s v="BRISAS DEL GOLF"/>
    <x v="0"/>
  </r>
  <r>
    <n v="49"/>
    <d v="2019-07-25T00:00:00"/>
    <x v="6"/>
    <x v="6"/>
    <x v="1"/>
    <s v="CAJA"/>
    <s v="PAGO NOMINA QUINCENA 2 JULIO 2019"/>
    <s v="TRANSACCIONES DEL DIA 07/25/2019 RECURSOS HUMANOS"/>
    <n v="812.13"/>
    <n v="0"/>
    <s v="BRISAS DEL GOLF"/>
    <x v="0"/>
  </r>
  <r>
    <n v="49"/>
    <d v="2019-01-10T00:00:00"/>
    <x v="7"/>
    <x v="7"/>
    <x v="1"/>
    <s v="SERVICIOS PERSONALES"/>
    <s v="PAGO NOMINA QUINCENA 1 ENERO 2019"/>
    <s v="TRANSACCIONES DEL DIA 01/10/2019 RECURSOS HUMANOS"/>
    <n v="18.760000000000002"/>
    <n v="0"/>
    <s v="BRISAS DEL GOLF"/>
    <x v="0"/>
  </r>
  <r>
    <n v="49"/>
    <d v="2019-02-25T00:00:00"/>
    <x v="8"/>
    <x v="8"/>
    <x v="1"/>
    <s v="SERVICIOS PERSONALES"/>
    <s v="PAGO NOMINA QUINCENA 2 FEBRERO 2019"/>
    <s v="TRANSACCIONES DEL DIA 02/25/2019 RECURSOS HUMANOS"/>
    <n v="10.71"/>
    <n v="0"/>
    <s v="BRISAS DEL GOLF"/>
    <x v="0"/>
  </r>
  <r>
    <n v="49"/>
    <d v="2019-05-25T00:00:00"/>
    <x v="11"/>
    <x v="11"/>
    <x v="1"/>
    <s v="SERVICIOS PERSONALES"/>
    <s v="PAGO NOMINA QUINCENA 2 MAYO 2019"/>
    <s v="TRANSACCIONES DEL DIA 05/25/2019 RECURSOS HUMANOS"/>
    <n v="31.22"/>
    <n v="0"/>
    <s v="BRISAS DEL GOLF"/>
    <x v="0"/>
  </r>
  <r>
    <n v="49"/>
    <d v="2019-07-10T00:00:00"/>
    <x v="6"/>
    <x v="6"/>
    <x v="1"/>
    <s v="SERVICIOS PERSONALES"/>
    <s v="PAGO NOMINA QUINCENA 1 JULIO 2019"/>
    <s v="TRANSACCIONES DEL DIA 07/10/2019 RECURSOS HUMANOS"/>
    <n v="29.77"/>
    <n v="0"/>
    <s v="BRISAS DEL GOLF"/>
    <x v="0"/>
  </r>
  <r>
    <n v="51"/>
    <d v="2019-01-25T00:00:00"/>
    <x v="7"/>
    <x v="7"/>
    <x v="1"/>
    <s v="ADMINISTRACION DE SUCURSALES"/>
    <s v="PAGO NOMINA QUINCENA 2 ENERO 2019"/>
    <s v="TRANSACCIONES DEL DIA 01/25/2019 RECURSOS HUMANOS"/>
    <n v="36.82"/>
    <n v="0"/>
    <s v="PUENTE CENTENARIO"/>
    <x v="0"/>
  </r>
  <r>
    <n v="51"/>
    <d v="2019-03-09T00:00:00"/>
    <x v="9"/>
    <x v="9"/>
    <x v="1"/>
    <s v="ADMINISTRACION DE SUCURSALES"/>
    <s v="PAGO NOMINA QUINCENA 1 MARZO 2019"/>
    <s v="TRANSACCIONES DEL DIA 03/09/2019 RECURSOS HUMANOS"/>
    <n v="42.17"/>
    <n v="0"/>
    <s v="PUENTE CENTENARIO"/>
    <x v="0"/>
  </r>
  <r>
    <n v="51"/>
    <d v="2019-05-10T00:00:00"/>
    <x v="11"/>
    <x v="11"/>
    <x v="1"/>
    <s v="ADMINISTRACION DE SUCURSALES"/>
    <s v="PAGO NOMINA QUINCENA 1 MAYO 2019"/>
    <s v="TRANSACCIONES DEL DIA 05/10/2019 RECURSOS HUMANOS"/>
    <n v="85.06"/>
    <n v="0"/>
    <s v="PUENTE CENTENARIO"/>
    <x v="0"/>
  </r>
  <r>
    <n v="51"/>
    <d v="2019-01-10T00:00:00"/>
    <x v="7"/>
    <x v="7"/>
    <x v="1"/>
    <s v="CAJA"/>
    <s v="PAGO NOMINA QUINCENA 1 ENERO 2019"/>
    <s v="TRANSACCIONES DEL DIA 01/10/2019 RECURSOS HUMANOS"/>
    <n v="514.46"/>
    <n v="0"/>
    <s v="PUENTE CENTENARIO"/>
    <x v="0"/>
  </r>
  <r>
    <n v="51"/>
    <d v="2019-01-25T00:00:00"/>
    <x v="7"/>
    <x v="7"/>
    <x v="1"/>
    <s v="CAJA"/>
    <s v="PAGO NOMINA QUINCENA 2 ENERO 2019"/>
    <s v="TRANSACCIONES DEL DIA 01/25/2019 RECURSOS HUMANOS"/>
    <n v="65.680000000000007"/>
    <n v="0"/>
    <s v="PUENTE CENTENARIO"/>
    <x v="0"/>
  </r>
  <r>
    <n v="51"/>
    <d v="2019-02-09T00:00:00"/>
    <x v="8"/>
    <x v="8"/>
    <x v="1"/>
    <s v="CAJA"/>
    <s v="PAGO NOMINA QUINCENA 1 FEBRERO 2019"/>
    <s v="TRANSACCIONES DEL DIA 02/09/2019 RECURSOS HUMANOS"/>
    <n v="212.88"/>
    <n v="0"/>
    <s v="PUENTE CENTENARIO"/>
    <x v="0"/>
  </r>
  <r>
    <n v="51"/>
    <d v="2019-02-25T00:00:00"/>
    <x v="8"/>
    <x v="8"/>
    <x v="1"/>
    <s v="CAJA"/>
    <s v="PAGO NOMINA QUINCENA 2 FEBRERO 2019"/>
    <s v="TRANSACCIONES DEL DIA 02/25/2019 RECURSOS HUMANOS"/>
    <n v="243.25"/>
    <n v="0"/>
    <s v="PUENTE CENTENARIO"/>
    <x v="0"/>
  </r>
  <r>
    <n v="51"/>
    <d v="2019-03-09T00:00:00"/>
    <x v="9"/>
    <x v="9"/>
    <x v="1"/>
    <s v="CAJA"/>
    <s v="PAGO NOMINA QUINCENA 1 MARZO 2019"/>
    <s v="TRANSACCIONES DEL DIA 03/09/2019 RECURSOS HUMANOS"/>
    <n v="247.68"/>
    <n v="0"/>
    <s v="PUENTE CENTENARIO"/>
    <x v="0"/>
  </r>
  <r>
    <n v="51"/>
    <d v="2019-03-25T00:00:00"/>
    <x v="9"/>
    <x v="9"/>
    <x v="1"/>
    <s v="CAJA"/>
    <s v="PAGO NOMINA QUINCENA 2 MARZO 2019"/>
    <s v="TRANSACCIONES DEL DIA 03/25/2019 RECURSOS HUMANOS"/>
    <n v="397.66"/>
    <n v="0"/>
    <s v="PUENTE CENTENARIO"/>
    <x v="0"/>
  </r>
  <r>
    <n v="51"/>
    <d v="2019-04-10T00:00:00"/>
    <x v="10"/>
    <x v="10"/>
    <x v="1"/>
    <s v="CAJA"/>
    <s v="PAGO NOMINA QUINCENA 1 ABRIL 2019"/>
    <s v="TRANSACCIONES DEL DIA 04/10/2019 RECURSOS HUMANOS"/>
    <n v="163.58000000000001"/>
    <n v="0"/>
    <s v="PUENTE CENTENARIO"/>
    <x v="0"/>
  </r>
  <r>
    <n v="51"/>
    <d v="2019-04-25T00:00:00"/>
    <x v="10"/>
    <x v="10"/>
    <x v="1"/>
    <s v="CAJA"/>
    <s v="PAGO NOMINA QUINCENA 2 ABRIL 2019"/>
    <s v="TRANSACCIONES DEL DIA 04/25/2019 RECURSOS HUMANOS"/>
    <n v="204.36"/>
    <n v="0"/>
    <s v="PUENTE CENTENARIO"/>
    <x v="0"/>
  </r>
  <r>
    <n v="51"/>
    <d v="2019-05-10T00:00:00"/>
    <x v="11"/>
    <x v="11"/>
    <x v="1"/>
    <s v="CAJA"/>
    <s v="PAGO NOMINA QUINCENA 1 MAYO 2019"/>
    <s v="TRANSACCIONES DEL DIA 05/10/2019 RECURSOS HUMANOS"/>
    <n v="303.57"/>
    <n v="0"/>
    <s v="PUENTE CENTENARIO"/>
    <x v="0"/>
  </r>
  <r>
    <n v="51"/>
    <d v="2019-05-25T00:00:00"/>
    <x v="11"/>
    <x v="11"/>
    <x v="1"/>
    <s v="CAJA"/>
    <s v="PAGO NOMINA QUINCENA 2 MAYO 2019"/>
    <s v="TRANSACCIONES DEL DIA 05/25/2019 RECURSOS HUMANOS"/>
    <n v="210.56"/>
    <n v="0"/>
    <s v="PUENTE CENTENARIO"/>
    <x v="0"/>
  </r>
  <r>
    <n v="51"/>
    <d v="2019-06-10T00:00:00"/>
    <x v="2"/>
    <x v="2"/>
    <x v="1"/>
    <s v="CAJA"/>
    <s v="PAGO NOMINA QUINCENA 1 JUNIO 2019"/>
    <s v="TRANSACCIONES DEL DIA 06/10/2019 RECURSOS HUMANOS"/>
    <n v="306.8"/>
    <n v="0"/>
    <s v="PUENTE CENTENARIO"/>
    <x v="0"/>
  </r>
  <r>
    <n v="51"/>
    <d v="2019-06-25T00:00:00"/>
    <x v="2"/>
    <x v="2"/>
    <x v="1"/>
    <s v="CAJA"/>
    <s v="PAGO NOMINA QUINCENA 2 JUNIO 2019"/>
    <s v="TRANSACCIONES DEL DIA 06/25/2019 RECURSOS HUMANOS"/>
    <n v="402.87"/>
    <n v="0"/>
    <s v="PUENTE CENTENARIO"/>
    <x v="0"/>
  </r>
  <r>
    <n v="51"/>
    <d v="2019-07-10T00:00:00"/>
    <x v="6"/>
    <x v="6"/>
    <x v="1"/>
    <s v="CAJA"/>
    <s v="PAGO NOMINA QUINCENA 1 JULIO 2019"/>
    <s v="TRANSACCIONES DEL DIA 07/10/2019 RECURSOS HUMANOS"/>
    <n v="392.27"/>
    <n v="0"/>
    <s v="PUENTE CENTENARIO"/>
    <x v="0"/>
  </r>
  <r>
    <n v="51"/>
    <d v="2019-07-25T00:00:00"/>
    <x v="6"/>
    <x v="6"/>
    <x v="1"/>
    <s v="CAJA"/>
    <s v="PAGO NOMINA QUINCENA 2 JULIO 2019"/>
    <s v="TRANSACCIONES DEL DIA 07/25/2019 RECURSOS HUMANOS"/>
    <n v="287.68"/>
    <n v="0"/>
    <s v="PUENTE CENTENARIO"/>
    <x v="0"/>
  </r>
  <r>
    <n v="51"/>
    <d v="2019-02-25T00:00:00"/>
    <x v="8"/>
    <x v="8"/>
    <x v="1"/>
    <s v="SERVICIOS PERSONALES"/>
    <s v="PAGO NOMINA QUINCENA 2 FEBRERO 2019"/>
    <s v="TRANSACCIONES DEL DIA 02/25/2019 RECURSOS HUMANOS"/>
    <n v="55.12"/>
    <n v="0"/>
    <s v="PUENTE CENTENARIO"/>
    <x v="0"/>
  </r>
  <r>
    <n v="51"/>
    <d v="2019-03-09T00:00:00"/>
    <x v="9"/>
    <x v="9"/>
    <x v="1"/>
    <s v="SERVICIOS PERSONALES"/>
    <s v="PAGO NOMINA QUINCENA 1 MARZO 2019"/>
    <s v="TRANSACCIONES DEL DIA 03/09/2019 RECURSOS HUMANOS"/>
    <n v="49.31"/>
    <n v="0"/>
    <s v="PUENTE CENTENARIO"/>
    <x v="0"/>
  </r>
  <r>
    <n v="51"/>
    <d v="2019-03-25T00:00:00"/>
    <x v="9"/>
    <x v="9"/>
    <x v="1"/>
    <s v="SERVICIOS PERSONALES"/>
    <s v="PAGO NOMINA QUINCENA 2 MARZO 2019"/>
    <s v="TRANSACCIONES DEL DIA 03/25/2019 RECURSOS HUMANOS"/>
    <n v="24.36"/>
    <n v="0"/>
    <s v="PUENTE CENTENARIO"/>
    <x v="0"/>
  </r>
  <r>
    <n v="51"/>
    <d v="2019-04-10T00:00:00"/>
    <x v="10"/>
    <x v="10"/>
    <x v="1"/>
    <s v="SERVICIOS PERSONALES"/>
    <s v="PAGO NOMINA QUINCENA 1 ABRIL 2019"/>
    <s v="TRANSACCIONES DEL DIA 04/10/2019 RECURSOS HUMANOS"/>
    <n v="77.55"/>
    <n v="0"/>
    <s v="PUENTE CENTENARIO"/>
    <x v="0"/>
  </r>
  <r>
    <n v="51"/>
    <d v="2019-04-25T00:00:00"/>
    <x v="10"/>
    <x v="10"/>
    <x v="1"/>
    <s v="SERVICIOS PERSONALES"/>
    <s v="PAGO NOMINA QUINCENA 2 ABRIL 2019"/>
    <s v="TRANSACCIONES DEL DIA 04/25/2019 RECURSOS HUMANOS"/>
    <n v="108.33"/>
    <n v="0"/>
    <s v="PUENTE CENTENARIO"/>
    <x v="0"/>
  </r>
  <r>
    <n v="51"/>
    <d v="2019-05-10T00:00:00"/>
    <x v="11"/>
    <x v="11"/>
    <x v="1"/>
    <s v="SERVICIOS PERSONALES"/>
    <s v="PAGO NOMINA QUINCENA 1 MAYO 2019"/>
    <s v="TRANSACCIONES DEL DIA 05/10/2019 RECURSOS HUMANOS"/>
    <n v="107.54"/>
    <n v="0"/>
    <s v="PUENTE CENTENARIO"/>
    <x v="0"/>
  </r>
  <r>
    <n v="51"/>
    <d v="2019-05-25T00:00:00"/>
    <x v="11"/>
    <x v="11"/>
    <x v="1"/>
    <s v="SERVICIOS PERSONALES"/>
    <s v="PAGO NOMINA QUINCENA 2 MAYO 2019"/>
    <s v="TRANSACCIONES DEL DIA 05/25/2019 RECURSOS HUMANOS"/>
    <n v="83.96"/>
    <n v="0"/>
    <s v="PUENTE CENTENARIO"/>
    <x v="0"/>
  </r>
  <r>
    <n v="51"/>
    <d v="2019-06-10T00:00:00"/>
    <x v="2"/>
    <x v="2"/>
    <x v="1"/>
    <s v="SERVICIOS PERSONALES"/>
    <s v="PAGO NOMINA QUINCENA 1 JUNIO 2019"/>
    <s v="TRANSACCIONES DEL DIA 06/10/2019 RECURSOS HUMANOS"/>
    <n v="12.91"/>
    <n v="0"/>
    <s v="PUENTE CENTENARIO"/>
    <x v="0"/>
  </r>
  <r>
    <n v="51"/>
    <d v="2019-06-25T00:00:00"/>
    <x v="2"/>
    <x v="2"/>
    <x v="1"/>
    <s v="SERVICIOS PERSONALES"/>
    <s v="PAGO NOMINA QUINCENA 2 JUNIO 2019"/>
    <s v="TRANSACCIONES DEL DIA 06/25/2019 RECURSOS HUMANOS"/>
    <n v="12.15"/>
    <n v="0"/>
    <s v="PUENTE CENTENARIO"/>
    <x v="0"/>
  </r>
  <r>
    <n v="51"/>
    <d v="2019-07-10T00:00:00"/>
    <x v="6"/>
    <x v="6"/>
    <x v="1"/>
    <s v="SERVICIOS PERSONALES"/>
    <s v="PAGO NOMINA QUINCENA 1 JULIO 2019"/>
    <s v="TRANSACCIONES DEL DIA 07/10/2019 RECURSOS HUMANOS"/>
    <n v="26.03"/>
    <n v="0"/>
    <s v="PUENTE CENTENARIO"/>
    <x v="0"/>
  </r>
  <r>
    <n v="51"/>
    <d v="2019-07-25T00:00:00"/>
    <x v="6"/>
    <x v="6"/>
    <x v="1"/>
    <s v="SERVICIOS PERSONALES"/>
    <s v="PAGO NOMINA QUINCENA 2 JULIO 2019"/>
    <s v="TRANSACCIONES DEL DIA 07/25/2019 RECURSOS HUMANOS"/>
    <n v="5.6"/>
    <n v="0"/>
    <s v="PUENTE CENTENARIO"/>
    <x v="0"/>
  </r>
  <r>
    <n v="66"/>
    <d v="2019-01-25T00:00:00"/>
    <x v="7"/>
    <x v="7"/>
    <x v="1"/>
    <s v="CAJA"/>
    <s v="PAGO NOMINA QUINCENA 2 ENERO 2019"/>
    <s v="TRANSACCIONES DEL DIA 01/25/2019 RECURSOS HUMANOS"/>
    <n v="39.33"/>
    <n v="0"/>
    <s v="METROMALL"/>
    <x v="0"/>
  </r>
  <r>
    <n v="69"/>
    <d v="2019-01-25T00:00:00"/>
    <x v="7"/>
    <x v="7"/>
    <x v="1"/>
    <s v="CAJA"/>
    <s v="PAGO NOMINA QUINCENA 2 ENERO 2019"/>
    <s v="TRANSACCIONES DEL DIA 01/25/2019 RECURSOS HUMANOS"/>
    <n v="13.8"/>
    <n v="0"/>
    <s v="VERSALLES"/>
    <x v="0"/>
  </r>
  <r>
    <n v="69"/>
    <d v="2019-04-10T00:00:00"/>
    <x v="10"/>
    <x v="10"/>
    <x v="1"/>
    <s v="CAJA"/>
    <s v="PAGO NOMINA QUINCENA 1 ABRIL 2019"/>
    <s v="TRANSACCIONES DEL DIA 04/10/2019 RECURSOS HUMANOS"/>
    <n v="85.58"/>
    <n v="0"/>
    <s v="VERSALLES"/>
    <x v="0"/>
  </r>
  <r>
    <n v="69"/>
    <d v="2019-04-25T00:00:00"/>
    <x v="10"/>
    <x v="10"/>
    <x v="1"/>
    <s v="CAJA"/>
    <s v="PAGO NOMINA QUINCENA 2 ABRIL 2019"/>
    <s v="TRANSACCIONES DEL DIA 04/25/2019 RECURSOS HUMANOS"/>
    <n v="50.11"/>
    <n v="0"/>
    <s v="VERSALLES"/>
    <x v="0"/>
  </r>
  <r>
    <n v="69"/>
    <d v="2019-05-10T00:00:00"/>
    <x v="11"/>
    <x v="11"/>
    <x v="1"/>
    <s v="CAJA"/>
    <s v="PAGO NOMINA QUINCENA 1 MAYO 2019"/>
    <s v="TRANSACCIONES DEL DIA 05/10/2019 RECURSOS HUMANOS"/>
    <n v="24.96"/>
    <n v="0"/>
    <s v="VERSALLES"/>
    <x v="0"/>
  </r>
  <r>
    <n v="69"/>
    <d v="2019-06-10T00:00:00"/>
    <x v="2"/>
    <x v="2"/>
    <x v="1"/>
    <s v="CAJA"/>
    <s v="PAGO NOMINA QUINCENA 1 JUNIO 2019"/>
    <s v="TRANSACCIONES DEL DIA 06/10/2019 RECURSOS HUMANOS"/>
    <n v="75.709999999999994"/>
    <n v="0"/>
    <s v="VERSALLES"/>
    <x v="0"/>
  </r>
  <r>
    <n v="70"/>
    <d v="2019-07-10T00:00:00"/>
    <x v="6"/>
    <x v="6"/>
    <x v="1"/>
    <s v="SERVICIOS PERSONALES"/>
    <s v="PAGO NOMINA QUINCENA 1 JULIO 2019"/>
    <s v="TRANSACCIONES DEL DIA 07/10/2019 RECURSOS HUMANOS"/>
    <n v="29.29"/>
    <n v="0"/>
    <s v="BUSINESS PARK"/>
    <x v="0"/>
  </r>
  <r>
    <n v="71"/>
    <d v="2019-01-25T00:00:00"/>
    <x v="7"/>
    <x v="7"/>
    <x v="1"/>
    <s v="CAJA"/>
    <s v="PAGO NOMINA QUINCENA 2 ENERO 2019"/>
    <s v="TRANSACCIONES DEL DIA 01/25/2019 RECURSOS HUMANOS"/>
    <n v="13.04"/>
    <n v="0"/>
    <s v="SAN FRANCISCO"/>
    <x v="0"/>
  </r>
  <r>
    <n v="71"/>
    <d v="2019-02-25T00:00:00"/>
    <x v="8"/>
    <x v="8"/>
    <x v="1"/>
    <s v="CAJA"/>
    <s v="PAGO NOMINA QUINCENA 2 FEBRERO 2019"/>
    <s v="TRANSACCIONES DEL DIA 02/25/2019 RECURSOS HUMANOS"/>
    <n v="45.01"/>
    <n v="0"/>
    <s v="SAN FRANCISCO"/>
    <x v="0"/>
  </r>
  <r>
    <n v="71"/>
    <d v="2019-03-25T00:00:00"/>
    <x v="9"/>
    <x v="9"/>
    <x v="1"/>
    <s v="CAJA"/>
    <s v="PAGO NOMINA QUINCENA 2 MARZO 2019"/>
    <s v="TRANSACCIONES DEL DIA 03/25/2019 RECURSOS HUMANOS"/>
    <n v="79.08"/>
    <n v="0"/>
    <s v="SAN FRANCISCO"/>
    <x v="0"/>
  </r>
  <r>
    <n v="71"/>
    <d v="2019-04-10T00:00:00"/>
    <x v="10"/>
    <x v="10"/>
    <x v="1"/>
    <s v="CAJA"/>
    <s v="PAGO NOMINA QUINCENA 1 ABRIL 2019"/>
    <s v="TRANSACCIONES DEL DIA 04/10/2019 RECURSOS HUMANOS"/>
    <n v="37.64"/>
    <n v="0"/>
    <s v="SAN FRANCISCO"/>
    <x v="0"/>
  </r>
  <r>
    <n v="71"/>
    <d v="2019-02-09T00:00:00"/>
    <x v="8"/>
    <x v="8"/>
    <x v="1"/>
    <s v="SERVICIOS PERSONALES"/>
    <s v="PAGO NOMINA QUINCENA 1 FEBRERO 2019"/>
    <s v="TRANSACCIONES DEL DIA 02/09/2019 RECURSOS HUMANOS"/>
    <n v="18.420000000000002"/>
    <n v="0"/>
    <s v="SAN FRANCISCO"/>
    <x v="0"/>
  </r>
  <r>
    <n v="71"/>
    <d v="2019-03-09T00:00:00"/>
    <x v="9"/>
    <x v="9"/>
    <x v="1"/>
    <s v="SERVICIOS PERSONALES"/>
    <s v="PAGO NOMINA QUINCENA 1 MARZO 2019"/>
    <s v="TRANSACCIONES DEL DIA 03/09/2019 RECURSOS HUMANOS"/>
    <n v="20.75"/>
    <n v="0"/>
    <s v="SAN FRANCISCO"/>
    <x v="0"/>
  </r>
  <r>
    <n v="71"/>
    <d v="2019-04-10T00:00:00"/>
    <x v="10"/>
    <x v="10"/>
    <x v="1"/>
    <s v="SERVICIOS PERSONALES"/>
    <s v="PAGO NOMINA QUINCENA 1 ABRIL 2019"/>
    <s v="TRANSACCIONES DEL DIA 04/10/2019 RECURSOS HUMANOS"/>
    <n v="21.76"/>
    <n v="0"/>
    <s v="SAN FRANCISCO"/>
    <x v="0"/>
  </r>
  <r>
    <n v="71"/>
    <d v="2019-04-25T00:00:00"/>
    <x v="10"/>
    <x v="10"/>
    <x v="1"/>
    <s v="SERVICIOS PERSONALES"/>
    <s v="PAGO NOMINA QUINCENA 2 ABRIL 2019"/>
    <s v="TRANSACCIONES DEL DIA 04/25/2019 RECURSOS HUMANOS"/>
    <n v="9.89"/>
    <n v="0"/>
    <s v="SAN FRANCISCO"/>
    <x v="0"/>
  </r>
  <r>
    <n v="71"/>
    <d v="2019-06-25T00:00:00"/>
    <x v="2"/>
    <x v="2"/>
    <x v="1"/>
    <s v="SERVICIOS PERSONALES"/>
    <s v="PAGO NOMINA QUINCENA 2 JUNIO 2019"/>
    <s v="TRANSACCIONES DEL DIA 06/25/2019 RECURSOS HUMANOS"/>
    <n v="34.840000000000003"/>
    <n v="0"/>
    <s v="SAN FRANCISCO"/>
    <x v="0"/>
  </r>
  <r>
    <n v="72"/>
    <d v="2019-04-10T00:00:00"/>
    <x v="10"/>
    <x v="10"/>
    <x v="1"/>
    <s v="CAJA"/>
    <s v="PAGO NOMINA QUINCENA 1 ABRIL 2019"/>
    <s v="TRANSACCIONES DEL DIA 04/10/2019 RECURSOS HUMANOS"/>
    <n v="93.66"/>
    <n v="0"/>
    <s v="PLAZA BANCO GENERAL"/>
    <x v="0"/>
  </r>
  <r>
    <n v="72"/>
    <d v="2019-04-25T00:00:00"/>
    <x v="10"/>
    <x v="10"/>
    <x v="1"/>
    <s v="CAJA"/>
    <s v="PAGO NOMINA QUINCENA 2 ABRIL 2019"/>
    <s v="TRANSACCIONES DEL DIA 04/25/2019 RECURSOS HUMANOS"/>
    <n v="63.22"/>
    <n v="0"/>
    <s v="PLAZA BANCO GENERAL"/>
    <x v="0"/>
  </r>
  <r>
    <n v="72"/>
    <d v="2019-02-09T00:00:00"/>
    <x v="8"/>
    <x v="8"/>
    <x v="1"/>
    <s v="SERVICIOS PERSONALES"/>
    <s v="PAGO NOMINA QUINCENA 1 FEBRERO 2019"/>
    <s v="TRANSACCIONES DEL DIA 02/09/2019 RECURSOS HUMANOS"/>
    <n v="51.37"/>
    <n v="0"/>
    <s v="PLAZA BANCO GENERAL"/>
    <x v="0"/>
  </r>
  <r>
    <n v="72"/>
    <d v="2019-02-25T00:00:00"/>
    <x v="8"/>
    <x v="8"/>
    <x v="1"/>
    <s v="SERVICIOS PERSONALES"/>
    <s v="PAGO NOMINA QUINCENA 2 FEBRERO 2019"/>
    <s v="TRANSACCIONES DEL DIA 02/25/2019 RECURSOS HUMANOS"/>
    <n v="28.57"/>
    <n v="0"/>
    <s v="PLAZA BANCO GENERAL"/>
    <x v="0"/>
  </r>
  <r>
    <n v="73"/>
    <d v="2019-03-09T00:00:00"/>
    <x v="9"/>
    <x v="9"/>
    <x v="1"/>
    <s v="ADMINISTRACION DE SUCURSALES"/>
    <s v="PAGO NOMINA QUINCENA 1 MARZO 2019"/>
    <s v="TRANSACCIONES DEL DIA 03/09/2019 RECURSOS HUMANOS"/>
    <n v="41.44"/>
    <n v="0"/>
    <s v="LA CHORRERA - PARQUE 10 DE NOV."/>
    <x v="0"/>
  </r>
  <r>
    <n v="73"/>
    <d v="2019-03-25T00:00:00"/>
    <x v="9"/>
    <x v="9"/>
    <x v="1"/>
    <s v="ADMINISTRACION DE SUCURSALES"/>
    <s v="PAGO NOMINA QUINCENA 2 MARZO 2019"/>
    <s v="TRANSACCIONES DEL DIA 03/25/2019 RECURSOS HUMANOS"/>
    <n v="50.49"/>
    <n v="0"/>
    <s v="LA CHORRERA - PARQUE 10 DE NOV."/>
    <x v="0"/>
  </r>
  <r>
    <n v="73"/>
    <d v="2019-04-10T00:00:00"/>
    <x v="10"/>
    <x v="10"/>
    <x v="1"/>
    <s v="ADMINISTRACION DE SUCURSALES"/>
    <s v="PAGO NOMINA QUINCENA 1 ABRIL 2019"/>
    <s v="TRANSACCIONES DEL DIA 04/10/2019 RECURSOS HUMANOS"/>
    <n v="83.32"/>
    <n v="0"/>
    <s v="LA CHORRERA - PARQUE 10 DE NOV."/>
    <x v="0"/>
  </r>
  <r>
    <n v="73"/>
    <d v="2019-04-25T00:00:00"/>
    <x v="10"/>
    <x v="10"/>
    <x v="1"/>
    <s v="ADMINISTRACION DE SUCURSALES"/>
    <s v="PAGO NOMINA QUINCENA 2 ABRIL 2019"/>
    <s v="TRANSACCIONES DEL DIA 04/25/2019 RECURSOS HUMANOS"/>
    <n v="88.18"/>
    <n v="0"/>
    <s v="LA CHORRERA - PARQUE 10 DE NOV."/>
    <x v="0"/>
  </r>
  <r>
    <n v="73"/>
    <d v="2019-05-10T00:00:00"/>
    <x v="11"/>
    <x v="11"/>
    <x v="1"/>
    <s v="ADMINISTRACION DE SUCURSALES"/>
    <s v="PAGO NOMINA QUINCENA 1 MAYO 2019"/>
    <s v="TRANSACCIONES DEL DIA 05/10/2019 RECURSOS HUMANOS"/>
    <n v="86.68"/>
    <n v="0"/>
    <s v="LA CHORRERA - PARQUE 10 DE NOV."/>
    <x v="0"/>
  </r>
  <r>
    <n v="73"/>
    <d v="2019-06-25T00:00:00"/>
    <x v="2"/>
    <x v="2"/>
    <x v="1"/>
    <s v="ADMINISTRACION DE SUCURSALES"/>
    <s v="PAGO NOMINA QUINCENA 2 JUNIO 2019"/>
    <s v="TRANSACCIONES DEL DIA 06/25/2019 RECURSOS HUMANOS"/>
    <n v="62.72"/>
    <n v="0"/>
    <s v="LA CHORRERA - PARQUE 10 DE NOV."/>
    <x v="0"/>
  </r>
  <r>
    <n v="73"/>
    <d v="2019-07-10T00:00:00"/>
    <x v="6"/>
    <x v="6"/>
    <x v="1"/>
    <s v="ADMINISTRACION DE SUCURSALES"/>
    <s v="PAGO NOMINA QUINCENA 1 JULIO 2019"/>
    <s v="TRANSACCIONES DEL DIA 07/10/2019 RECURSOS HUMANOS"/>
    <n v="57.16"/>
    <n v="0"/>
    <s v="LA CHORRERA - PARQUE 10 DE NOV."/>
    <x v="0"/>
  </r>
  <r>
    <n v="73"/>
    <d v="2019-07-25T00:00:00"/>
    <x v="6"/>
    <x v="6"/>
    <x v="1"/>
    <s v="ADMINISTRACION DE SUCURSALES"/>
    <s v="PAGO NOMINA QUINCENA 2 JULIO 2019"/>
    <s v="TRANSACCIONES DEL DIA 07/25/2019 RECURSOS HUMANOS"/>
    <n v="51.37"/>
    <n v="0"/>
    <s v="LA CHORRERA - PARQUE 10 DE NOV."/>
    <x v="0"/>
  </r>
  <r>
    <n v="73"/>
    <d v="2019-01-10T00:00:00"/>
    <x v="7"/>
    <x v="7"/>
    <x v="1"/>
    <s v="CAJA"/>
    <s v="PAGO NOMINA QUINCENA 1 ENERO 2019"/>
    <s v="TRANSACCIONES DEL DIA 01/10/2019 RECURSOS HUMANOS"/>
    <n v="1342.37"/>
    <n v="0"/>
    <s v="LA CHORRERA - PARQUE 10 DE NOV."/>
    <x v="0"/>
  </r>
  <r>
    <n v="73"/>
    <d v="2019-01-25T00:00:00"/>
    <x v="7"/>
    <x v="7"/>
    <x v="1"/>
    <s v="CAJA"/>
    <s v="PAGO NOMINA QUINCENA 2 ENERO 2019"/>
    <s v="TRANSACCIONES DEL DIA 01/25/2019 RECURSOS HUMANOS"/>
    <n v="1172.44"/>
    <n v="0"/>
    <s v="LA CHORRERA - PARQUE 10 DE NOV."/>
    <x v="0"/>
  </r>
  <r>
    <n v="73"/>
    <d v="2019-02-09T00:00:00"/>
    <x v="8"/>
    <x v="8"/>
    <x v="1"/>
    <s v="CAJA"/>
    <s v="PAGO NOMINA QUINCENA 1 FEBRERO 2019"/>
    <s v="TRANSACCIONES DEL DIA 02/09/2019 RECURSOS HUMANOS"/>
    <n v="725.25"/>
    <n v="0"/>
    <s v="LA CHORRERA - PARQUE 10 DE NOV."/>
    <x v="0"/>
  </r>
  <r>
    <n v="73"/>
    <d v="2019-02-25T00:00:00"/>
    <x v="8"/>
    <x v="8"/>
    <x v="1"/>
    <s v="CAJA"/>
    <s v="PAGO NOMINA QUINCENA 2 FEBRERO 2019"/>
    <s v="TRANSACCIONES DEL DIA 02/25/2019 RECURSOS HUMANOS"/>
    <n v="639.91999999999996"/>
    <n v="0"/>
    <s v="LA CHORRERA - PARQUE 10 DE NOV."/>
    <x v="0"/>
  </r>
  <r>
    <n v="73"/>
    <d v="2019-03-09T00:00:00"/>
    <x v="9"/>
    <x v="9"/>
    <x v="1"/>
    <s v="CAJA"/>
    <s v="PAGO NOMINA QUINCENA 1 MARZO 2019"/>
    <s v="TRANSACCIONES DEL DIA 03/09/2019 RECURSOS HUMANOS"/>
    <n v="827.43"/>
    <n v="0"/>
    <s v="LA CHORRERA - PARQUE 10 DE NOV."/>
    <x v="0"/>
  </r>
  <r>
    <n v="73"/>
    <d v="2019-03-25T00:00:00"/>
    <x v="9"/>
    <x v="9"/>
    <x v="1"/>
    <s v="CAJA"/>
    <s v="PAGO NOMINA QUINCENA 2 MARZO 2019"/>
    <s v="TRANSACCIONES DEL DIA 03/25/2019 RECURSOS HUMANOS"/>
    <n v="562.41"/>
    <n v="0"/>
    <s v="LA CHORRERA - PARQUE 10 DE NOV."/>
    <x v="0"/>
  </r>
  <r>
    <n v="73"/>
    <d v="2019-04-10T00:00:00"/>
    <x v="10"/>
    <x v="10"/>
    <x v="1"/>
    <s v="CAJA"/>
    <s v="PAGO NOMINA QUINCENA 1 ABRIL 2019"/>
    <s v="TRANSACCIONES DEL DIA 04/10/2019 RECURSOS HUMANOS"/>
    <n v="557.19000000000005"/>
    <n v="0"/>
    <s v="LA CHORRERA - PARQUE 10 DE NOV."/>
    <x v="0"/>
  </r>
  <r>
    <n v="73"/>
    <d v="2019-04-25T00:00:00"/>
    <x v="10"/>
    <x v="10"/>
    <x v="1"/>
    <s v="CAJA"/>
    <s v="PAGO NOMINA QUINCENA 2 ABRIL 2019"/>
    <s v="TRANSACCIONES DEL DIA 04/25/2019 RECURSOS HUMANOS"/>
    <n v="539.51"/>
    <n v="0"/>
    <s v="LA CHORRERA - PARQUE 10 DE NOV."/>
    <x v="0"/>
  </r>
  <r>
    <n v="73"/>
    <d v="2019-05-10T00:00:00"/>
    <x v="11"/>
    <x v="11"/>
    <x v="1"/>
    <s v="CAJA"/>
    <s v="PAGO NOMINA QUINCENA 1 MAYO 2019"/>
    <s v="TRANSACCIONES DEL DIA 05/10/2019 RECURSOS HUMANOS"/>
    <n v="671.12"/>
    <n v="0"/>
    <s v="LA CHORRERA - PARQUE 10 DE NOV."/>
    <x v="0"/>
  </r>
  <r>
    <n v="73"/>
    <d v="2019-05-25T00:00:00"/>
    <x v="11"/>
    <x v="11"/>
    <x v="1"/>
    <s v="CAJA"/>
    <s v="PAGO NOMINA QUINCENA 2 MAYO 2019"/>
    <s v="TRANSACCIONES DEL DIA 05/25/2019 RECURSOS HUMANOS"/>
    <n v="980.37"/>
    <n v="0"/>
    <s v="LA CHORRERA - PARQUE 10 DE NOV."/>
    <x v="0"/>
  </r>
  <r>
    <n v="73"/>
    <d v="2019-06-10T00:00:00"/>
    <x v="2"/>
    <x v="2"/>
    <x v="1"/>
    <s v="CAJA"/>
    <s v="PAGO NOMINA QUINCENA 1 JUNIO 2019"/>
    <s v="TRANSACCIONES DEL DIA 06/10/2019 RECURSOS HUMANOS"/>
    <n v="985.64"/>
    <n v="0"/>
    <s v="LA CHORRERA - PARQUE 10 DE NOV."/>
    <x v="0"/>
  </r>
  <r>
    <n v="73"/>
    <d v="2019-06-25T00:00:00"/>
    <x v="2"/>
    <x v="2"/>
    <x v="1"/>
    <s v="CAJA"/>
    <s v="PAGO NOMINA QUINCENA 2 JUNIO 2019"/>
    <s v="TRANSACCIONES DEL DIA 06/25/2019 RECURSOS HUMANOS"/>
    <n v="1352.47"/>
    <n v="0"/>
    <s v="LA CHORRERA - PARQUE 10 DE NOV."/>
    <x v="0"/>
  </r>
  <r>
    <n v="73"/>
    <d v="2019-07-10T00:00:00"/>
    <x v="6"/>
    <x v="6"/>
    <x v="1"/>
    <s v="CAJA"/>
    <s v="PAGO NOMINA QUINCENA 1 JULIO 2019"/>
    <s v="TRANSACCIONES DEL DIA 07/10/2019 RECURSOS HUMANOS"/>
    <n v="828.89"/>
    <n v="0"/>
    <s v="LA CHORRERA - PARQUE 10 DE NOV."/>
    <x v="0"/>
  </r>
  <r>
    <n v="73"/>
    <d v="2019-07-25T00:00:00"/>
    <x v="6"/>
    <x v="6"/>
    <x v="1"/>
    <s v="CAJA"/>
    <s v="PAGO NOMINA QUINCENA 2 JULIO 2019"/>
    <s v="TRANSACCIONES DEL DIA 07/25/2019 RECURSOS HUMANOS"/>
    <n v="834.96"/>
    <n v="0"/>
    <s v="LA CHORRERA - PARQUE 10 DE NOV."/>
    <x v="0"/>
  </r>
  <r>
    <n v="73"/>
    <d v="2019-01-25T00:00:00"/>
    <x v="7"/>
    <x v="7"/>
    <x v="1"/>
    <s v="SERVICIOS PERSONALES"/>
    <s v="PAGO NOMINA QUINCENA 2 ENERO 2019"/>
    <s v="TRANSACCIONES DEL DIA 01/25/2019 RECURSOS HUMANOS"/>
    <n v="57.39"/>
    <n v="0"/>
    <s v="LA CHORRERA - PARQUE 10 DE NOV."/>
    <x v="0"/>
  </r>
  <r>
    <n v="73"/>
    <d v="2019-02-09T00:00:00"/>
    <x v="8"/>
    <x v="8"/>
    <x v="1"/>
    <s v="SERVICIOS PERSONALES"/>
    <s v="PAGO NOMINA QUINCENA 1 FEBRERO 2019"/>
    <s v="TRANSACCIONES DEL DIA 02/09/2019 RECURSOS HUMANOS"/>
    <n v="114.95"/>
    <n v="0"/>
    <s v="LA CHORRERA - PARQUE 10 DE NOV."/>
    <x v="0"/>
  </r>
  <r>
    <n v="73"/>
    <d v="2019-02-25T00:00:00"/>
    <x v="8"/>
    <x v="8"/>
    <x v="1"/>
    <s v="SERVICIOS PERSONALES"/>
    <s v="PAGO NOMINA QUINCENA 2 FEBRERO 2019"/>
    <s v="TRANSACCIONES DEL DIA 02/25/2019 RECURSOS HUMANOS"/>
    <n v="60.58"/>
    <n v="0"/>
    <s v="LA CHORRERA - PARQUE 10 DE NOV."/>
    <x v="0"/>
  </r>
  <r>
    <n v="73"/>
    <d v="2019-03-09T00:00:00"/>
    <x v="9"/>
    <x v="9"/>
    <x v="1"/>
    <s v="SERVICIOS PERSONALES"/>
    <s v="PAGO NOMINA QUINCENA 1 MARZO 2019"/>
    <s v="TRANSACCIONES DEL DIA 03/09/2019 RECURSOS HUMANOS"/>
    <n v="61.2"/>
    <n v="0"/>
    <s v="LA CHORRERA - PARQUE 10 DE NOV."/>
    <x v="0"/>
  </r>
  <r>
    <n v="73"/>
    <d v="2019-03-25T00:00:00"/>
    <x v="9"/>
    <x v="9"/>
    <x v="1"/>
    <s v="SERVICIOS PERSONALES"/>
    <s v="PAGO NOMINA QUINCENA 2 MARZO 2019"/>
    <s v="TRANSACCIONES DEL DIA 03/25/2019 RECURSOS HUMANOS"/>
    <n v="72.62"/>
    <n v="0"/>
    <s v="LA CHORRERA - PARQUE 10 DE NOV."/>
    <x v="0"/>
  </r>
  <r>
    <n v="73"/>
    <d v="2019-04-10T00:00:00"/>
    <x v="10"/>
    <x v="10"/>
    <x v="1"/>
    <s v="SERVICIOS PERSONALES"/>
    <s v="PAGO NOMINA QUINCENA 1 ABRIL 2019"/>
    <s v="TRANSACCIONES DEL DIA 04/10/2019 RECURSOS HUMANOS"/>
    <n v="123.33"/>
    <n v="0"/>
    <s v="LA CHORRERA - PARQUE 10 DE NOV."/>
    <x v="0"/>
  </r>
  <r>
    <n v="73"/>
    <d v="2019-04-25T00:00:00"/>
    <x v="10"/>
    <x v="10"/>
    <x v="1"/>
    <s v="SERVICIOS PERSONALES"/>
    <s v="PAGO NOMINA QUINCENA 2 ABRIL 2019"/>
    <s v="TRANSACCIONES DEL DIA 04/25/2019 RECURSOS HUMANOS"/>
    <n v="130.63999999999999"/>
    <n v="0"/>
    <s v="LA CHORRERA - PARQUE 10 DE NOV."/>
    <x v="0"/>
  </r>
  <r>
    <n v="73"/>
    <d v="2019-05-10T00:00:00"/>
    <x v="11"/>
    <x v="11"/>
    <x v="1"/>
    <s v="SERVICIOS PERSONALES"/>
    <s v="PAGO NOMINA QUINCENA 1 MAYO 2019"/>
    <s v="TRANSACCIONES DEL DIA 05/10/2019 RECURSOS HUMANOS"/>
    <n v="108.19"/>
    <n v="0"/>
    <s v="LA CHORRERA - PARQUE 10 DE NOV."/>
    <x v="0"/>
  </r>
  <r>
    <n v="73"/>
    <d v="2019-05-25T00:00:00"/>
    <x v="11"/>
    <x v="11"/>
    <x v="1"/>
    <s v="SERVICIOS PERSONALES"/>
    <s v="PAGO NOMINA QUINCENA 2 MAYO 2019"/>
    <s v="TRANSACCIONES DEL DIA 05/25/2019 RECURSOS HUMANOS"/>
    <n v="269.23"/>
    <n v="0"/>
    <s v="LA CHORRERA - PARQUE 10 DE NOV."/>
    <x v="0"/>
  </r>
  <r>
    <n v="73"/>
    <d v="2019-06-10T00:00:00"/>
    <x v="2"/>
    <x v="2"/>
    <x v="1"/>
    <s v="SERVICIOS PERSONALES"/>
    <s v="PAGO NOMINA QUINCENA 1 JUNIO 2019"/>
    <s v="TRANSACCIONES DEL DIA 06/10/2019 RECURSOS HUMANOS"/>
    <n v="137.13"/>
    <n v="0"/>
    <s v="LA CHORRERA - PARQUE 10 DE NOV."/>
    <x v="0"/>
  </r>
  <r>
    <n v="73"/>
    <d v="2019-06-25T00:00:00"/>
    <x v="2"/>
    <x v="2"/>
    <x v="1"/>
    <s v="SERVICIOS PERSONALES"/>
    <s v="PAGO NOMINA QUINCENA 2 JUNIO 2019"/>
    <s v="TRANSACCIONES DEL DIA 06/25/2019 RECURSOS HUMANOS"/>
    <n v="275.07"/>
    <n v="0"/>
    <s v="LA CHORRERA - PARQUE 10 DE NOV."/>
    <x v="0"/>
  </r>
  <r>
    <n v="73"/>
    <d v="2019-07-10T00:00:00"/>
    <x v="6"/>
    <x v="6"/>
    <x v="1"/>
    <s v="SERVICIOS PERSONALES"/>
    <s v="PAGO NOMINA QUINCENA 1 JULIO 2019"/>
    <s v="TRANSACCIONES DEL DIA 07/10/2019 RECURSOS HUMANOS"/>
    <n v="117.15"/>
    <n v="0"/>
    <s v="LA CHORRERA - PARQUE 10 DE NOV."/>
    <x v="0"/>
  </r>
  <r>
    <n v="73"/>
    <d v="2019-07-25T00:00:00"/>
    <x v="6"/>
    <x v="6"/>
    <x v="1"/>
    <s v="SERVICIOS PERSONALES"/>
    <s v="PAGO NOMINA QUINCENA 2 JULIO 2019"/>
    <s v="TRANSACCIONES DEL DIA 07/25/2019 RECURSOS HUMANOS"/>
    <n v="410.35"/>
    <n v="0"/>
    <s v="LA CHORRERA - PARQUE 10 DE NOV."/>
    <x v="0"/>
  </r>
  <r>
    <n v="74"/>
    <d v="2019-01-25T00:00:00"/>
    <x v="7"/>
    <x v="7"/>
    <x v="1"/>
    <s v="CAJA"/>
    <s v="PAGO NOMINA QUINCENA 2 ENERO 2019"/>
    <s v="TRANSACCIONES DEL DIA 01/25/2019 RECURSOS HUMANOS"/>
    <n v="27.34"/>
    <n v="0"/>
    <s v="COSTA DEL ESTE - CENTENARIO"/>
    <x v="0"/>
  </r>
  <r>
    <n v="74"/>
    <d v="2019-03-25T00:00:00"/>
    <x v="9"/>
    <x v="9"/>
    <x v="1"/>
    <s v="SERVICIOS PERSONALES"/>
    <s v="PAGO NOMINA QUINCENA 2 MARZO 2019"/>
    <s v="TRANSACCIONES DEL DIA 03/25/2019 RECURSOS HUMANOS"/>
    <n v="26.83"/>
    <n v="0"/>
    <s v="COSTA DEL ESTE - CENTENARIO"/>
    <x v="0"/>
  </r>
  <r>
    <n v="74"/>
    <d v="2019-05-25T00:00:00"/>
    <x v="11"/>
    <x v="11"/>
    <x v="1"/>
    <s v="SERVICIOS PERSONALES"/>
    <s v="PAGO NOMINA QUINCENA 2 MAYO 2019"/>
    <s v="TRANSACCIONES DEL DIA 05/25/2019 RECURSOS HUMANOS"/>
    <n v="19.329999999999998"/>
    <n v="0"/>
    <s v="COSTA DEL ESTE - CENTENARIO"/>
    <x v="0"/>
  </r>
  <r>
    <n v="76"/>
    <d v="2019-03-09T00:00:00"/>
    <x v="9"/>
    <x v="9"/>
    <x v="1"/>
    <s v="CAJA"/>
    <s v="PAGO NOMINA QUINCENA 1 MARZO 2019"/>
    <s v="TRANSACCIONES DEL DIA 03/09/2019 RECURSOS HUMANOS"/>
    <n v="24.81"/>
    <n v="0"/>
    <s v="CLAYTON"/>
    <x v="0"/>
  </r>
  <r>
    <n v="76"/>
    <d v="2019-04-10T00:00:00"/>
    <x v="10"/>
    <x v="10"/>
    <x v="1"/>
    <s v="CAJA"/>
    <s v="PAGO NOMINA QUINCENA 1 ABRIL 2019"/>
    <s v="TRANSACCIONES DEL DIA 04/10/2019 RECURSOS HUMANOS"/>
    <n v="39.01"/>
    <n v="0"/>
    <s v="CLAYTON"/>
    <x v="0"/>
  </r>
  <r>
    <n v="76"/>
    <d v="2019-04-25T00:00:00"/>
    <x v="10"/>
    <x v="10"/>
    <x v="1"/>
    <s v="CAJA"/>
    <s v="PAGO NOMINA QUINCENA 2 ABRIL 2019"/>
    <s v="TRANSACCIONES DEL DIA 04/25/2019 RECURSOS HUMANOS"/>
    <n v="45.98"/>
    <n v="0"/>
    <s v="CLAYTON"/>
    <x v="0"/>
  </r>
  <r>
    <n v="76"/>
    <d v="2019-05-10T00:00:00"/>
    <x v="11"/>
    <x v="11"/>
    <x v="1"/>
    <s v="SERVICIOS PERSONALES"/>
    <s v="PAGO NOMINA QUINCENA 1 MAYO 2019"/>
    <s v="TRANSACCIONES DEL DIA 05/10/2019 RECURSOS HUMANOS"/>
    <n v="9.67"/>
    <n v="0"/>
    <s v="CLAYTON"/>
    <x v="0"/>
  </r>
  <r>
    <n v="77"/>
    <d v="2019-01-10T00:00:00"/>
    <x v="7"/>
    <x v="7"/>
    <x v="1"/>
    <s v="CAJA"/>
    <s v="PAGO NOMINA QUINCENA 1 ENERO 2019"/>
    <s v="TRANSACCIONES DEL DIA 01/10/2019 RECURSOS HUMANOS"/>
    <n v="17.62"/>
    <n v="0"/>
    <s v="MARBELLA"/>
    <x v="0"/>
  </r>
  <r>
    <n v="77"/>
    <d v="2019-01-25T00:00:00"/>
    <x v="7"/>
    <x v="7"/>
    <x v="1"/>
    <s v="CAJA"/>
    <s v="PAGO NOMINA QUINCENA 2 ENERO 2019"/>
    <s v="TRANSACCIONES DEL DIA 01/25/2019 RECURSOS HUMANOS"/>
    <n v="103.86"/>
    <n v="0"/>
    <s v="MARBELLA"/>
    <x v="0"/>
  </r>
  <r>
    <n v="77"/>
    <d v="2019-04-10T00:00:00"/>
    <x v="10"/>
    <x v="10"/>
    <x v="1"/>
    <s v="CAJA"/>
    <s v="PAGO NOMINA QUINCENA 1 ABRIL 2019"/>
    <s v="TRANSACCIONES DEL DIA 04/10/2019 RECURSOS HUMANOS"/>
    <n v="166.93"/>
    <n v="0"/>
    <s v="MARBELLA"/>
    <x v="0"/>
  </r>
  <r>
    <n v="77"/>
    <d v="2019-04-25T00:00:00"/>
    <x v="10"/>
    <x v="10"/>
    <x v="1"/>
    <s v="CAJA"/>
    <s v="PAGO NOMINA QUINCENA 2 ABRIL 2019"/>
    <s v="TRANSACCIONES DEL DIA 04/25/2019 RECURSOS HUMANOS"/>
    <n v="83.16"/>
    <n v="0"/>
    <s v="MARBELLA"/>
    <x v="0"/>
  </r>
  <r>
    <n v="77"/>
    <d v="2019-05-10T00:00:00"/>
    <x v="11"/>
    <x v="11"/>
    <x v="1"/>
    <s v="CAJA"/>
    <s v="PAGO NOMINA QUINCENA 1 MAYO 2019"/>
    <s v="TRANSACCIONES DEL DIA 05/10/2019 RECURSOS HUMANOS"/>
    <n v="10.050000000000001"/>
    <n v="0"/>
    <s v="MARBELLA"/>
    <x v="0"/>
  </r>
  <r>
    <n v="78"/>
    <d v="2019-03-25T00:00:00"/>
    <x v="9"/>
    <x v="9"/>
    <x v="1"/>
    <s v="ADMINISTRACION DE SUCURSALES"/>
    <s v="PAGO NOMINA QUINCENA 2 MARZO 2019"/>
    <s v="TRANSACCIONES DEL DIA 03/25/2019 RECURSOS HUMANOS"/>
    <n v="29.34"/>
    <n v="0"/>
    <s v="PLAZA CAROLINA"/>
    <x v="0"/>
  </r>
  <r>
    <n v="78"/>
    <d v="2019-04-10T00:00:00"/>
    <x v="10"/>
    <x v="10"/>
    <x v="1"/>
    <s v="CAJA"/>
    <s v="PAGO NOMINA QUINCENA 1 ABRIL 2019"/>
    <s v="TRANSACCIONES DEL DIA 04/10/2019 RECURSOS HUMANOS"/>
    <n v="45.5"/>
    <n v="0"/>
    <s v="PLAZA CAROLINA"/>
    <x v="0"/>
  </r>
  <r>
    <n v="78"/>
    <d v="2019-04-25T00:00:00"/>
    <x v="10"/>
    <x v="10"/>
    <x v="1"/>
    <s v="CAJA"/>
    <s v="PAGO NOMINA QUINCENA 2 ABRIL 2019"/>
    <s v="TRANSACCIONES DEL DIA 04/25/2019 RECURSOS HUMANOS"/>
    <n v="13.77"/>
    <n v="0"/>
    <s v="PLAZA CAROLINA"/>
    <x v="0"/>
  </r>
  <r>
    <n v="78"/>
    <d v="2019-07-10T00:00:00"/>
    <x v="6"/>
    <x v="6"/>
    <x v="1"/>
    <s v="CAJA"/>
    <s v="PAGO NOMINA QUINCENA 1 JULIO 2019"/>
    <s v="TRANSACCIONES DEL DIA 07/10/2019 RECURSOS HUMANOS"/>
    <n v="28.02"/>
    <n v="0"/>
    <s v="PLAZA CAROLINA"/>
    <x v="0"/>
  </r>
  <r>
    <n v="78"/>
    <d v="2019-07-10T00:00:00"/>
    <x v="6"/>
    <x v="6"/>
    <x v="1"/>
    <s v="SERVICIOS PERSONALES"/>
    <s v="PAGO NOMINA QUINCENA 1 JULIO 2019"/>
    <s v="TRANSACCIONES DEL DIA 07/10/2019 RECURSOS HUMANOS"/>
    <n v="23.72"/>
    <n v="0"/>
    <s v="PLAZA CAROLINA"/>
    <x v="0"/>
  </r>
  <r>
    <n v="79"/>
    <d v="2019-01-25T00:00:00"/>
    <x v="7"/>
    <x v="7"/>
    <x v="1"/>
    <s v="CAJA"/>
    <s v="PAGO NOMINA QUINCENA 2 ENERO 2019"/>
    <s v="TRANSACCIONES DEL DIA 01/25/2019 RECURSOS HUMANOS"/>
    <n v="23.89"/>
    <n v="0"/>
    <s v="PLAZA CORDOBA"/>
    <x v="0"/>
  </r>
  <r>
    <n v="79"/>
    <d v="2019-05-25T00:00:00"/>
    <x v="11"/>
    <x v="11"/>
    <x v="1"/>
    <s v="CAJA"/>
    <s v="PAGO NOMINA QUINCENA 2 MAYO 2019"/>
    <s v="TRANSACCIONES DEL DIA 05/25/2019 RECURSOS HUMANOS"/>
    <n v="25.31"/>
    <n v="0"/>
    <s v="PLAZA CORDOBA"/>
    <x v="0"/>
  </r>
  <r>
    <n v="79"/>
    <d v="2019-07-25T00:00:00"/>
    <x v="6"/>
    <x v="6"/>
    <x v="1"/>
    <s v="CAJA"/>
    <s v="PAGO NOMINA QUINCENA 2 JULIO 2019"/>
    <s v="TRANSACCIONES DEL DIA 07/25/2019 RECURSOS HUMANOS"/>
    <n v="14.35"/>
    <n v="0"/>
    <s v="PLAZA CORDOBA"/>
    <x v="0"/>
  </r>
  <r>
    <n v="80"/>
    <d v="2019-01-10T00:00:00"/>
    <x v="7"/>
    <x v="7"/>
    <x v="1"/>
    <s v="CAJA"/>
    <s v="PAGO NOMINA QUINCENA 1 ENERO 2019"/>
    <s v="TRANSACCIONES DEL DIA 01/10/2019 RECURSOS HUMANOS"/>
    <n v="254.22"/>
    <n v="0"/>
    <s v="VIA SIMON BOLIVAR"/>
    <x v="0"/>
  </r>
  <r>
    <n v="80"/>
    <d v="2019-01-25T00:00:00"/>
    <x v="7"/>
    <x v="7"/>
    <x v="1"/>
    <s v="CAJA"/>
    <s v="PAGO NOMINA QUINCENA 2 ENERO 2019"/>
    <s v="TRANSACCIONES DEL DIA 01/25/2019 RECURSOS HUMANOS"/>
    <n v="134.93"/>
    <n v="0"/>
    <s v="VIA SIMON BOLIVAR"/>
    <x v="0"/>
  </r>
  <r>
    <n v="80"/>
    <d v="2019-02-09T00:00:00"/>
    <x v="8"/>
    <x v="8"/>
    <x v="1"/>
    <s v="CAJA"/>
    <s v="PAGO NOMINA QUINCENA 1 FEBRERO 2019"/>
    <s v="TRANSACCIONES DEL DIA 02/09/2019 RECURSOS HUMANOS"/>
    <n v="85.49"/>
    <n v="0"/>
    <s v="VIA SIMON BOLIVAR"/>
    <x v="0"/>
  </r>
  <r>
    <n v="80"/>
    <d v="2019-02-25T00:00:00"/>
    <x v="8"/>
    <x v="8"/>
    <x v="1"/>
    <s v="CAJA"/>
    <s v="PAGO NOMINA QUINCENA 2 FEBRERO 2019"/>
    <s v="TRANSACCIONES DEL DIA 02/25/2019 RECURSOS HUMANOS"/>
    <n v="101.38"/>
    <n v="0"/>
    <s v="VIA SIMON BOLIVAR"/>
    <x v="0"/>
  </r>
  <r>
    <n v="80"/>
    <d v="2019-03-09T00:00:00"/>
    <x v="9"/>
    <x v="9"/>
    <x v="1"/>
    <s v="CAJA"/>
    <s v="PAGO NOMINA QUINCENA 1 MARZO 2019"/>
    <s v="TRANSACCIONES DEL DIA 03/09/2019 RECURSOS HUMANOS"/>
    <n v="105.88"/>
    <n v="0"/>
    <s v="VIA SIMON BOLIVAR"/>
    <x v="0"/>
  </r>
  <r>
    <n v="80"/>
    <d v="2019-03-25T00:00:00"/>
    <x v="9"/>
    <x v="9"/>
    <x v="1"/>
    <s v="CAJA"/>
    <s v="PAGO NOMINA QUINCENA 2 MARZO 2019"/>
    <s v="TRANSACCIONES DEL DIA 03/25/2019 RECURSOS HUMANOS"/>
    <n v="105.12"/>
    <n v="0"/>
    <s v="VIA SIMON BOLIVAR"/>
    <x v="0"/>
  </r>
  <r>
    <n v="80"/>
    <d v="2019-04-10T00:00:00"/>
    <x v="10"/>
    <x v="10"/>
    <x v="1"/>
    <s v="CAJA"/>
    <s v="PAGO NOMINA QUINCENA 1 ABRIL 2019"/>
    <s v="TRANSACCIONES DEL DIA 04/10/2019 RECURSOS HUMANOS"/>
    <n v="229.69"/>
    <n v="0"/>
    <s v="VIA SIMON BOLIVAR"/>
    <x v="0"/>
  </r>
  <r>
    <n v="80"/>
    <d v="2019-04-25T00:00:00"/>
    <x v="10"/>
    <x v="10"/>
    <x v="1"/>
    <s v="CAJA"/>
    <s v="PAGO NOMINA QUINCENA 2 ABRIL 2019"/>
    <s v="TRANSACCIONES DEL DIA 04/25/2019 RECURSOS HUMANOS"/>
    <n v="82.01"/>
    <n v="0"/>
    <s v="VIA SIMON BOLIVAR"/>
    <x v="0"/>
  </r>
  <r>
    <n v="80"/>
    <d v="2019-05-10T00:00:00"/>
    <x v="11"/>
    <x v="11"/>
    <x v="1"/>
    <s v="CAJA"/>
    <s v="PAGO NOMINA QUINCENA 1 MAYO 2019"/>
    <s v="TRANSACCIONES DEL DIA 05/10/2019 RECURSOS HUMANOS"/>
    <n v="132.81"/>
    <n v="0"/>
    <s v="VIA SIMON BOLIVAR"/>
    <x v="0"/>
  </r>
  <r>
    <n v="80"/>
    <d v="2019-05-25T00:00:00"/>
    <x v="11"/>
    <x v="11"/>
    <x v="1"/>
    <s v="CAJA"/>
    <s v="PAGO NOMINA QUINCENA 2 MAYO 2019"/>
    <s v="TRANSACCIONES DEL DIA 05/25/2019 RECURSOS HUMANOS"/>
    <n v="159.69999999999999"/>
    <n v="0"/>
    <s v="VIA SIMON BOLIVAR"/>
    <x v="0"/>
  </r>
  <r>
    <n v="80"/>
    <d v="2019-06-10T00:00:00"/>
    <x v="2"/>
    <x v="2"/>
    <x v="1"/>
    <s v="CAJA"/>
    <s v="PAGO NOMINA QUINCENA 1 JUNIO 2019"/>
    <s v="TRANSACCIONES DEL DIA 06/10/2019 RECURSOS HUMANOS"/>
    <n v="140"/>
    <n v="0"/>
    <s v="VIA SIMON BOLIVAR"/>
    <x v="0"/>
  </r>
  <r>
    <n v="80"/>
    <d v="2019-06-25T00:00:00"/>
    <x v="2"/>
    <x v="2"/>
    <x v="1"/>
    <s v="CAJA"/>
    <s v="PAGO NOMINA QUINCENA 2 JUNIO 2019"/>
    <s v="TRANSACCIONES DEL DIA 06/25/2019 RECURSOS HUMANOS"/>
    <n v="149.97999999999999"/>
    <n v="0"/>
    <s v="VIA SIMON BOLIVAR"/>
    <x v="0"/>
  </r>
  <r>
    <n v="80"/>
    <d v="2019-07-10T00:00:00"/>
    <x v="6"/>
    <x v="6"/>
    <x v="1"/>
    <s v="CAJA"/>
    <s v="PAGO NOMINA QUINCENA 1 JULIO 2019"/>
    <s v="TRANSACCIONES DEL DIA 07/10/2019 RECURSOS HUMANOS"/>
    <n v="121.62"/>
    <n v="0"/>
    <s v="VIA SIMON BOLIVAR"/>
    <x v="0"/>
  </r>
  <r>
    <n v="80"/>
    <d v="2019-07-25T00:00:00"/>
    <x v="6"/>
    <x v="6"/>
    <x v="1"/>
    <s v="CAJA"/>
    <s v="PAGO NOMINA QUINCENA 2 JULIO 2019"/>
    <s v="TRANSACCIONES DEL DIA 07/25/2019 RECURSOS HUMANOS"/>
    <n v="83.18"/>
    <n v="0"/>
    <s v="VIA SIMON BOLIVAR"/>
    <x v="0"/>
  </r>
  <r>
    <n v="89"/>
    <d v="2019-02-09T00:00:00"/>
    <x v="8"/>
    <x v="8"/>
    <x v="1"/>
    <s v="ADMINISTRACION DE SUCURSALES"/>
    <s v="PAGO NOMINA QUINCENA 1 FEBRERO 2019"/>
    <s v="TRANSACCIONES DEL DIA 02/09/2019 RECURSOS HUMANOS"/>
    <n v="42.78"/>
    <n v="0"/>
    <s v="JUSTO AROSEMENA"/>
    <x v="0"/>
  </r>
  <r>
    <n v="89"/>
    <d v="2019-01-25T00:00:00"/>
    <x v="7"/>
    <x v="7"/>
    <x v="1"/>
    <s v="CAJA"/>
    <s v="PAGO NOMINA QUINCENA 2 ENERO 2019"/>
    <s v="TRANSACCIONES DEL DIA 01/25/2019 RECURSOS HUMANOS"/>
    <n v="87.46"/>
    <n v="0"/>
    <s v="JUSTO AROSEMENA"/>
    <x v="0"/>
  </r>
  <r>
    <n v="91"/>
    <d v="2019-04-25T00:00:00"/>
    <x v="10"/>
    <x v="10"/>
    <x v="1"/>
    <s v="HIPOTECAS"/>
    <s v="PAGO NOMINA QUINCENA 2 ABRIL 2019"/>
    <s v="TRANSACCIONES DEL DIA 04/25/2019 RECURSOS HUMANOS"/>
    <n v="13.02"/>
    <n v="0"/>
    <s v="NEGOCIOS"/>
    <x v="0"/>
  </r>
  <r>
    <n v="91"/>
    <d v="2019-05-10T00:00:00"/>
    <x v="11"/>
    <x v="11"/>
    <x v="1"/>
    <s v="HIPOTECAS"/>
    <s v="PAGO NOMINA QUINCENA 1 MAYO 2019"/>
    <s v="TRANSACCIONES DEL DIA 05/10/2019 RECURSOS HUMANOS"/>
    <n v="38.590000000000003"/>
    <n v="0"/>
    <s v="NEGOCIOS"/>
    <x v="0"/>
  </r>
  <r>
    <n v="91"/>
    <d v="2019-01-10T00:00:00"/>
    <x v="7"/>
    <x v="7"/>
    <x v="1"/>
    <s v="GESTION HIPOTECARIA"/>
    <s v="PAGO NOMINA QUINCENA 1 ENERO 2019"/>
    <s v="TRANSACCIONES DEL DIA 01/10/2019 RECURSOS HUMANOS"/>
    <n v="68.19"/>
    <n v="0"/>
    <s v="NEGOCIOS"/>
    <x v="0"/>
  </r>
  <r>
    <n v="91"/>
    <d v="2019-01-25T00:00:00"/>
    <x v="7"/>
    <x v="7"/>
    <x v="1"/>
    <s v="GESTION HIPOTECARIA"/>
    <s v="PAGO NOMINA QUINCENA 2 ENERO 2019"/>
    <s v="TRANSACCIONES DEL DIA 01/25/2019 RECURSOS HUMANOS"/>
    <n v="105.16"/>
    <n v="0"/>
    <s v="NEGOCIOS"/>
    <x v="0"/>
  </r>
  <r>
    <n v="91"/>
    <d v="2019-02-09T00:00:00"/>
    <x v="8"/>
    <x v="8"/>
    <x v="1"/>
    <s v="GESTION HIPOTECARIA"/>
    <s v="PAGO NOMINA QUINCENA 1 FEBRERO 2019"/>
    <s v="TRANSACCIONES DEL DIA 02/09/2019 RECURSOS HUMANOS"/>
    <n v="318.22000000000003"/>
    <n v="0"/>
    <s v="NEGOCIOS"/>
    <x v="0"/>
  </r>
  <r>
    <n v="91"/>
    <d v="2019-03-09T00:00:00"/>
    <x v="9"/>
    <x v="9"/>
    <x v="1"/>
    <s v="GESTION HIPOTECARIA"/>
    <s v="PAGO NOMINA QUINCENA 1 MARZO 2019"/>
    <s v="TRANSACCIONES DEL DIA 03/09/2019 RECURSOS HUMANOS"/>
    <n v="259.77"/>
    <n v="0"/>
    <s v="NEGOCIOS"/>
    <x v="0"/>
  </r>
  <r>
    <n v="91"/>
    <d v="2019-03-25T00:00:00"/>
    <x v="9"/>
    <x v="9"/>
    <x v="1"/>
    <s v="GESTION HIPOTECARIA"/>
    <s v="PAGO NOMINA QUINCENA 2 MARZO 2019"/>
    <s v="TRANSACCIONES DEL DIA 03/25/2019 RECURSOS HUMANOS"/>
    <n v="1189.81"/>
    <n v="0"/>
    <s v="NEGOCIOS"/>
    <x v="0"/>
  </r>
  <r>
    <n v="91"/>
    <d v="2019-04-25T00:00:00"/>
    <x v="10"/>
    <x v="10"/>
    <x v="1"/>
    <s v="GESTION HIPOTECARIA"/>
    <s v="PAGO NOMINA QUINCENA 2 ABRIL 2019"/>
    <s v="TRANSACCIONES DEL DIA 04/25/2019 RECURSOS HUMANOS"/>
    <n v="518.6"/>
    <n v="0"/>
    <s v="NEGOCIOS"/>
    <x v="0"/>
  </r>
  <r>
    <n v="91"/>
    <d v="2019-05-10T00:00:00"/>
    <x v="11"/>
    <x v="11"/>
    <x v="1"/>
    <s v="GESTION HIPOTECARIA"/>
    <s v="PAGO NOMINA QUINCENA 1 MAYO 2019"/>
    <s v="TRANSACCIONES DEL DIA 05/10/2019 RECURSOS HUMANOS"/>
    <n v="542.38"/>
    <n v="0"/>
    <s v="NEGOCIOS"/>
    <x v="0"/>
  </r>
  <r>
    <n v="91"/>
    <d v="2019-05-25T00:00:00"/>
    <x v="11"/>
    <x v="11"/>
    <x v="1"/>
    <s v="GESTION HIPOTECARIA"/>
    <s v="PAGO NOMINA QUINCENA 2 MAYO 2019"/>
    <s v="TRANSACCIONES DEL DIA 05/25/2019 RECURSOS HUMANOS"/>
    <n v="328.77"/>
    <n v="0"/>
    <s v="NEGOCIOS"/>
    <x v="0"/>
  </r>
  <r>
    <n v="91"/>
    <d v="2019-06-10T00:00:00"/>
    <x v="2"/>
    <x v="2"/>
    <x v="1"/>
    <s v="GESTION HIPOTECARIA"/>
    <s v="PAGO NOMINA QUINCENA 1 JUNIO 2019"/>
    <s v="TRANSACCIONES DEL DIA 06/10/2019 RECURSOS HUMANOS"/>
    <n v="312.97000000000003"/>
    <n v="0"/>
    <s v="NEGOCIOS"/>
    <x v="0"/>
  </r>
  <r>
    <n v="91"/>
    <d v="2019-06-25T00:00:00"/>
    <x v="2"/>
    <x v="2"/>
    <x v="1"/>
    <s v="GESTION HIPOTECARIA"/>
    <s v="PAGO NOMINA QUINCENA 2 JUNIO 2019"/>
    <s v="TRANSACCIONES DEL DIA 06/25/2019 RECURSOS HUMANOS"/>
    <n v="683.57"/>
    <n v="0"/>
    <s v="NEGOCIOS"/>
    <x v="0"/>
  </r>
  <r>
    <n v="91"/>
    <d v="2019-07-10T00:00:00"/>
    <x v="6"/>
    <x v="6"/>
    <x v="1"/>
    <s v="GESTION HIPOTECARIA"/>
    <s v="PAGO NOMINA QUINCENA 1 JULIO 2019"/>
    <s v="TRANSACCIONES DEL DIA 07/10/2019 RECURSOS HUMANOS"/>
    <n v="254.94"/>
    <n v="0"/>
    <s v="NEGOCIOS"/>
    <x v="0"/>
  </r>
  <r>
    <n v="91"/>
    <d v="2019-07-25T00:00:00"/>
    <x v="6"/>
    <x v="6"/>
    <x v="1"/>
    <s v="GESTION HIPOTECARIA"/>
    <s v="PAGO NOMINA QUINCENA 2 JULIO 2019"/>
    <s v="TRANSACCIONES DEL DIA 07/25/2019 RECURSOS HUMANOS"/>
    <n v="249.64"/>
    <n v="0"/>
    <s v="NEGOCIOS"/>
    <x v="0"/>
  </r>
  <r>
    <n v="91"/>
    <d v="2019-05-10T00:00:00"/>
    <x v="11"/>
    <x v="11"/>
    <x v="1"/>
    <s v="BANCA DE CONSUMO"/>
    <s v="PAGO NOMINA QUINCENA 1 MAYO 2019"/>
    <s v="TRANSACCIONES DEL DIA 05/10/2019 RECURSOS HUMANOS"/>
    <n v="344.62"/>
    <n v="0"/>
    <s v="NEGOCIOS"/>
    <x v="0"/>
  </r>
  <r>
    <n v="91"/>
    <d v="2019-01-25T00:00:00"/>
    <x v="7"/>
    <x v="7"/>
    <x v="1"/>
    <s v="CANALES DE DISTRIBUCION"/>
    <s v="PAGO NOMINA QUINCENA 2 ENERO 2019"/>
    <s v="TRANSACCIONES DEL DIA 01/25/2019 RECURSOS HUMANOS"/>
    <n v="616.58000000000004"/>
    <n v="0"/>
    <s v="NEGOCIOS"/>
    <x v="0"/>
  </r>
  <r>
    <n v="91"/>
    <d v="2019-02-09T00:00:00"/>
    <x v="8"/>
    <x v="8"/>
    <x v="1"/>
    <s v="CANALES DE DISTRIBUCION"/>
    <s v="PAGO NOMINA QUINCENA 1 FEBRERO 2019"/>
    <s v="TRANSACCIONES DEL DIA 02/09/2019 RECURSOS HUMANOS"/>
    <n v="111.49"/>
    <n v="0"/>
    <s v="NEGOCIOS"/>
    <x v="0"/>
  </r>
  <r>
    <n v="91"/>
    <d v="2019-03-25T00:00:00"/>
    <x v="9"/>
    <x v="9"/>
    <x v="1"/>
    <s v="CANALES DE DISTRIBUCION"/>
    <s v="PAGO NOMINA QUINCENA 2 MARZO 2019"/>
    <s v="TRANSACCIONES DEL DIA 03/25/2019 RECURSOS HUMANOS"/>
    <n v="7.31"/>
    <n v="0"/>
    <s v="NEGOCIOS"/>
    <x v="0"/>
  </r>
  <r>
    <n v="91"/>
    <d v="2019-04-10T00:00:00"/>
    <x v="10"/>
    <x v="10"/>
    <x v="1"/>
    <s v="CANALES DE DISTRIBUCION"/>
    <s v="PAGO NOMINA QUINCENA 1 ABRIL 2019"/>
    <s v="TRANSACCIONES DEL DIA 04/10/2019 RECURSOS HUMANOS"/>
    <n v="767.82"/>
    <n v="0"/>
    <s v="NEGOCIOS"/>
    <x v="0"/>
  </r>
  <r>
    <n v="91"/>
    <d v="2019-04-25T00:00:00"/>
    <x v="10"/>
    <x v="10"/>
    <x v="1"/>
    <s v="CANALES DE DISTRIBUCION"/>
    <s v="PAGO NOMINA QUINCENA 2 ABRIL 2019"/>
    <s v="TRANSACCIONES DEL DIA 04/25/2019 RECURSOS HUMANOS"/>
    <n v="10767.85"/>
    <n v="0"/>
    <s v="NEGOCIOS"/>
    <x v="0"/>
  </r>
  <r>
    <n v="91"/>
    <d v="2019-04-29T00:00:00"/>
    <x v="10"/>
    <x v="10"/>
    <x v="1"/>
    <s v="CANALES DE DISTRIBUCION"/>
    <s v="PLANILLAS DE LIQUIDACIONES ABR 2019"/>
    <s v="TRANSACCIONES DEL DIA 04/29/2019 RECURSOS HUMANOS"/>
    <n v="691.7"/>
    <n v="0"/>
    <s v="NEGOCIOS"/>
    <x v="0"/>
  </r>
  <r>
    <n v="91"/>
    <d v="2019-05-10T00:00:00"/>
    <x v="11"/>
    <x v="11"/>
    <x v="1"/>
    <s v="CANALES DE DISTRIBUCION"/>
    <s v="PAGO NOMINA QUINCENA 1 MAYO 2019"/>
    <s v="TRANSACCIONES DEL DIA 05/10/2019 RECURSOS HUMANOS"/>
    <n v="2484.4899999999998"/>
    <n v="0"/>
    <s v="NEGOCIOS"/>
    <x v="0"/>
  </r>
  <r>
    <n v="91"/>
    <d v="2019-06-25T00:00:00"/>
    <x v="2"/>
    <x v="2"/>
    <x v="1"/>
    <s v="CANALES DE DISTRIBUCION"/>
    <s v="PAGO NOMINA QUINCENA 2 JUNIO 2019"/>
    <s v="TRANSACCIONES DEL DIA 06/25/2019 RECURSOS HUMANOS"/>
    <n v="519.55999999999995"/>
    <n v="0"/>
    <s v="NEGOCIOS"/>
    <x v="0"/>
  </r>
  <r>
    <n v="91"/>
    <d v="2019-07-10T00:00:00"/>
    <x v="6"/>
    <x v="6"/>
    <x v="1"/>
    <s v="CANALES DE DISTRIBUCION"/>
    <s v="PAGO NOMINA QUINCENA 1 JULIO 2019"/>
    <s v="TRANSACCIONES DEL DIA 07/10/2019 RECURSOS HUMANOS"/>
    <n v="25.14"/>
    <n v="0"/>
    <s v="NEGOCIOS"/>
    <x v="0"/>
  </r>
  <r>
    <n v="91"/>
    <d v="2019-07-25T00:00:00"/>
    <x v="6"/>
    <x v="6"/>
    <x v="1"/>
    <s v="CANALES DE DISTRIBUCION"/>
    <s v="PAGO NOMINA QUINCENA 2 JULIO 2019"/>
    <s v="TRANSACCIONES DEL DIA 07/25/2019 RECURSOS HUMANOS"/>
    <n v="1499.58"/>
    <n v="0"/>
    <s v="NEGOCIOS"/>
    <x v="0"/>
  </r>
  <r>
    <n v="91"/>
    <d v="2019-01-10T00:00:00"/>
    <x v="7"/>
    <x v="7"/>
    <x v="1"/>
    <s v="CENTRO DE TARJETAS"/>
    <s v="PAGO NOMINA QUINCENA 1 ENERO 2019"/>
    <s v="TRANSACCIONES DEL DIA 01/10/2019 RECURSOS HUMANOS"/>
    <n v="273.02999999999997"/>
    <n v="0"/>
    <s v="NEGOCIOS"/>
    <x v="0"/>
  </r>
  <r>
    <n v="91"/>
    <d v="2019-01-25T00:00:00"/>
    <x v="7"/>
    <x v="7"/>
    <x v="1"/>
    <s v="CENTRO DE TARJETAS"/>
    <s v="PAGO NOMINA QUINCENA 2 ENERO 2019"/>
    <s v="TRANSACCIONES DEL DIA 01/25/2019 RECURSOS HUMANOS"/>
    <n v="26.43"/>
    <n v="0"/>
    <s v="NEGOCIOS"/>
    <x v="0"/>
  </r>
  <r>
    <n v="91"/>
    <d v="2019-02-09T00:00:00"/>
    <x v="8"/>
    <x v="8"/>
    <x v="1"/>
    <s v="CENTRO DE TARJETAS"/>
    <s v="PAGO NOMINA QUINCENA 1 FEBRERO 2019"/>
    <s v="TRANSACCIONES DEL DIA 02/09/2019 RECURSOS HUMANOS"/>
    <n v="51.85"/>
    <n v="0"/>
    <s v="NEGOCIOS"/>
    <x v="0"/>
  </r>
  <r>
    <n v="91"/>
    <d v="2019-02-25T00:00:00"/>
    <x v="8"/>
    <x v="8"/>
    <x v="1"/>
    <s v="CENTRO DE TARJETAS"/>
    <s v="PAGO NOMINA QUINCENA 2 FEBRERO 2019"/>
    <s v="TRANSACCIONES DEL DIA 02/25/2019 RECURSOS HUMANOS"/>
    <n v="90.45"/>
    <n v="0"/>
    <s v="NEGOCIOS"/>
    <x v="0"/>
  </r>
  <r>
    <n v="91"/>
    <d v="2019-04-10T00:00:00"/>
    <x v="10"/>
    <x v="10"/>
    <x v="1"/>
    <s v="CENTRO DE TARJETAS"/>
    <s v="PAGO NOMINA QUINCENA 1 ABRIL 2019"/>
    <s v="TRANSACCIONES DEL DIA 04/10/2019 RECURSOS HUMANOS"/>
    <n v="147.93"/>
    <n v="0"/>
    <s v="NEGOCIOS"/>
    <x v="0"/>
  </r>
  <r>
    <n v="91"/>
    <d v="2019-04-25T00:00:00"/>
    <x v="10"/>
    <x v="10"/>
    <x v="1"/>
    <s v="CENTRO DE TARJETAS"/>
    <s v="PAGO NOMINA QUINCENA 2 ABRIL 2019"/>
    <s v="TRANSACCIONES DEL DIA 04/25/2019 RECURSOS HUMANOS"/>
    <n v="49.9"/>
    <n v="0"/>
    <s v="NEGOCIOS"/>
    <x v="0"/>
  </r>
  <r>
    <n v="91"/>
    <d v="2019-05-10T00:00:00"/>
    <x v="11"/>
    <x v="11"/>
    <x v="1"/>
    <s v="CENTRO DE TARJETAS"/>
    <s v="PAGO NOMINA QUINCENA 1 MAYO 2019"/>
    <s v="TRANSACCIONES DEL DIA 05/10/2019 RECURSOS HUMANOS"/>
    <n v="22.38"/>
    <n v="0"/>
    <s v="NEGOCIOS"/>
    <x v="0"/>
  </r>
  <r>
    <n v="91"/>
    <d v="2019-06-10T00:00:00"/>
    <x v="2"/>
    <x v="2"/>
    <x v="1"/>
    <s v="CENTRO DE TARJETAS"/>
    <s v="PAGO NOMINA QUINCENA 1 JUNIO 2019"/>
    <s v="TRANSACCIONES DEL DIA 06/10/2019 RECURSOS HUMANOS"/>
    <n v="24.26"/>
    <n v="0"/>
    <s v="NEGOCIOS"/>
    <x v="0"/>
  </r>
  <r>
    <n v="91"/>
    <d v="2019-04-10T00:00:00"/>
    <x v="10"/>
    <x v="10"/>
    <x v="1"/>
    <s v="CANALES ALTERNOS"/>
    <s v="PAGO NOMINA QUINCENA 1 ABRIL 2019"/>
    <s v="TRANSACCIONES DEL DIA 04/10/2019 RECURSOS HUMANOS"/>
    <n v="94.12"/>
    <n v="0"/>
    <s v="NEGOCIOS"/>
    <x v="0"/>
  </r>
  <r>
    <n v="91"/>
    <d v="2019-06-10T00:00:00"/>
    <x v="2"/>
    <x v="2"/>
    <x v="1"/>
    <s v="CANALES ALTERNOS"/>
    <s v="PAGO NOMINA QUINCENA 1 JUNIO 2019"/>
    <s v="TRANSACCIONES DEL DIA 06/10/2019 RECURSOS HUMANOS"/>
    <n v="132.47"/>
    <n v="0"/>
    <s v="NEGOCIOS"/>
    <x v="0"/>
  </r>
  <r>
    <n v="91"/>
    <d v="2019-07-10T00:00:00"/>
    <x v="6"/>
    <x v="6"/>
    <x v="1"/>
    <s v="CANALES ALTERNOS"/>
    <s v="PAGO NOMINA QUINCENA 1 JULIO 2019"/>
    <s v="TRANSACCIONES DEL DIA 07/10/2019 RECURSOS HUMANOS"/>
    <n v="9.9600000000000009"/>
    <n v="0"/>
    <s v="NEGOCIOS"/>
    <x v="0"/>
  </r>
  <r>
    <n v="91"/>
    <d v="2019-07-25T00:00:00"/>
    <x v="6"/>
    <x v="6"/>
    <x v="1"/>
    <s v="CANALES ALTERNOS"/>
    <s v="PAGO NOMINA QUINCENA 2 JULIO 2019"/>
    <s v="TRANSACCIONES DEL DIA 07/25/2019 RECURSOS HUMANOS"/>
    <n v="20.9"/>
    <n v="0"/>
    <s v="NEGOCIOS"/>
    <x v="0"/>
  </r>
  <r>
    <n v="91"/>
    <d v="2019-07-29T00:00:00"/>
    <x v="6"/>
    <x v="6"/>
    <x v="1"/>
    <s v="CANALES ALTERNOS"/>
    <s v="PLANILLAS DE LIQUIDACIONES JUL 2019"/>
    <s v="TRANSACCIONES DEL DIA 07/29/2019 RECURSOS HUMANOS"/>
    <n v="123.3"/>
    <n v="0"/>
    <s v="NEGOCIOS"/>
    <x v="0"/>
  </r>
  <r>
    <n v="91"/>
    <d v="2019-07-30T00:00:00"/>
    <x v="6"/>
    <x v="6"/>
    <x v="1"/>
    <s v="CANALES ALTERNOS"/>
    <s v="PLANILLAS DE LIQUIDACIONES JUL 2019"/>
    <s v="TRANSACCIONES DEL DIA 07/30/2019 RECURSOS HUMANOS"/>
    <n v="138.41"/>
    <n v="0"/>
    <s v="NEGOCIOS"/>
    <x v="0"/>
  </r>
  <r>
    <n v="91"/>
    <d v="2019-02-25T00:00:00"/>
    <x v="8"/>
    <x v="8"/>
    <x v="1"/>
    <s v="TELEMERCADEO"/>
    <s v="PAGO NOMINA QUINCENA 2 FEBRERO 2019"/>
    <s v="TRANSACCIONES DEL DIA 02/25/2019 RECURSOS HUMANOS"/>
    <n v="327.85"/>
    <n v="0"/>
    <s v="NEGOCIOS"/>
    <x v="0"/>
  </r>
  <r>
    <n v="91"/>
    <d v="2019-01-10T00:00:00"/>
    <x v="7"/>
    <x v="7"/>
    <x v="1"/>
    <s v="ATM"/>
    <s v="PAGO NOMINA QUINCENA 1 ENERO 2019"/>
    <s v="TRANSACCIONES DEL DIA 01/10/2019 RECURSOS HUMANOS"/>
    <n v="164.7"/>
    <n v="0"/>
    <s v="NEGOCIOS"/>
    <x v="0"/>
  </r>
  <r>
    <n v="91"/>
    <d v="2019-02-09T00:00:00"/>
    <x v="8"/>
    <x v="8"/>
    <x v="1"/>
    <s v="ATM"/>
    <s v="PAGO NOMINA QUINCENA 1 FEBRERO 2019"/>
    <s v="TRANSACCIONES DEL DIA 02/09/2019 RECURSOS HUMANOS"/>
    <n v="150.58000000000001"/>
    <n v="0"/>
    <s v="NEGOCIOS"/>
    <x v="0"/>
  </r>
  <r>
    <n v="91"/>
    <d v="2019-02-25T00:00:00"/>
    <x v="8"/>
    <x v="8"/>
    <x v="1"/>
    <s v="ATM"/>
    <s v="PAGO NOMINA QUINCENA 2 FEBRERO 2019"/>
    <s v="TRANSACCIONES DEL DIA 02/25/2019 RECURSOS HUMANOS"/>
    <n v="99.97"/>
    <n v="0"/>
    <s v="NEGOCIOS"/>
    <x v="0"/>
  </r>
  <r>
    <n v="91"/>
    <d v="2019-04-10T00:00:00"/>
    <x v="10"/>
    <x v="10"/>
    <x v="1"/>
    <s v="ATM"/>
    <s v="PAGO NOMINA QUINCENA 1 ABRIL 2019"/>
    <s v="TRANSACCIONES DEL DIA 04/10/2019 RECURSOS HUMANOS"/>
    <n v="45.01"/>
    <n v="0"/>
    <s v="NEGOCIOS"/>
    <x v="0"/>
  </r>
  <r>
    <n v="91"/>
    <d v="2019-05-10T00:00:00"/>
    <x v="11"/>
    <x v="11"/>
    <x v="1"/>
    <s v="ATM"/>
    <s v="PAGO NOMINA QUINCENA 1 MAYO 2019"/>
    <s v="TRANSACCIONES DEL DIA 05/10/2019 RECURSOS HUMANOS"/>
    <n v="18.37"/>
    <n v="0"/>
    <s v="NEGOCIOS"/>
    <x v="0"/>
  </r>
  <r>
    <n v="91"/>
    <d v="2019-05-25T00:00:00"/>
    <x v="11"/>
    <x v="11"/>
    <x v="1"/>
    <s v="ATM"/>
    <s v="PAGO NOMINA QUINCENA 2 MAYO 2019"/>
    <s v="TRANSACCIONES DEL DIA 05/25/2019 RECURSOS HUMANOS"/>
    <n v="13.97"/>
    <n v="0"/>
    <s v="NEGOCIOS"/>
    <x v="0"/>
  </r>
  <r>
    <n v="91"/>
    <d v="2019-06-25T00:00:00"/>
    <x v="2"/>
    <x v="2"/>
    <x v="1"/>
    <s v="ATM"/>
    <s v="PAGO NOMINA QUINCENA 2 JUNIO 2019"/>
    <s v="TRANSACCIONES DEL DIA 06/25/2019 RECURSOS HUMANOS"/>
    <n v="23.05"/>
    <n v="0"/>
    <s v="NEGOCIOS"/>
    <x v="0"/>
  </r>
  <r>
    <n v="91"/>
    <d v="2019-07-10T00:00:00"/>
    <x v="6"/>
    <x v="6"/>
    <x v="1"/>
    <s v="ATM"/>
    <s v="PAGO NOMINA QUINCENA 1 JULIO 2019"/>
    <s v="TRANSACCIONES DEL DIA 07/10/2019 RECURSOS HUMANOS"/>
    <n v="30.39"/>
    <n v="0"/>
    <s v="NEGOCIOS"/>
    <x v="0"/>
  </r>
  <r>
    <n v="91"/>
    <d v="2019-07-25T00:00:00"/>
    <x v="6"/>
    <x v="6"/>
    <x v="1"/>
    <s v="ATM"/>
    <s v="PAGO NOMINA QUINCENA 2 JULIO 2019"/>
    <s v="TRANSACCIONES DEL DIA 07/25/2019 RECURSOS HUMANOS"/>
    <n v="50.79"/>
    <n v="0"/>
    <s v="NEGOCIOS"/>
    <x v="0"/>
  </r>
  <r>
    <n v="91"/>
    <d v="2019-01-10T00:00:00"/>
    <x v="7"/>
    <x v="7"/>
    <x v="1"/>
    <s v="ATENCION A CLIENTES"/>
    <s v="PAGO NOMINA QUINCENA 1 ENERO 2019"/>
    <s v="TRANSACCIONES DEL DIA 01/10/2019 RECURSOS HUMANOS"/>
    <n v="2823.18"/>
    <n v="0"/>
    <s v="NEGOCIOS"/>
    <x v="0"/>
  </r>
  <r>
    <n v="91"/>
    <d v="2019-01-25T00:00:00"/>
    <x v="7"/>
    <x v="7"/>
    <x v="1"/>
    <s v="ATENCION A CLIENTES"/>
    <s v="PAGO NOMINA QUINCENA 2 ENERO 2019"/>
    <s v="TRANSACCIONES DEL DIA 01/25/2019 RECURSOS HUMANOS"/>
    <n v="838"/>
    <n v="0"/>
    <s v="NEGOCIOS"/>
    <x v="0"/>
  </r>
  <r>
    <n v="91"/>
    <d v="2019-02-04T00:00:00"/>
    <x v="8"/>
    <x v="8"/>
    <x v="1"/>
    <s v="ATENCION A CLIENTES"/>
    <s v="PLANILLAS DE LIQUIDACIONES FEB 2019"/>
    <s v="TRANSACCIONES DEL DIA 02/04/2019 RECURSOS HUMANOS"/>
    <n v="4.68"/>
    <n v="0"/>
    <s v="NEGOCIOS"/>
    <x v="0"/>
  </r>
  <r>
    <n v="91"/>
    <d v="2019-02-09T00:00:00"/>
    <x v="8"/>
    <x v="8"/>
    <x v="1"/>
    <s v="ATENCION A CLIENTES"/>
    <s v="PAGO NOMINA QUINCENA 1 FEBRERO 2019"/>
    <s v="TRANSACCIONES DEL DIA 02/09/2019 RECURSOS HUMANOS"/>
    <n v="5620.07"/>
    <n v="0"/>
    <s v="NEGOCIOS"/>
    <x v="0"/>
  </r>
  <r>
    <n v="91"/>
    <d v="2019-02-25T00:00:00"/>
    <x v="8"/>
    <x v="8"/>
    <x v="1"/>
    <s v="ATENCION A CLIENTES"/>
    <s v="PAGO NOMINA QUINCENA 2 FEBRERO 2019"/>
    <s v="TRANSACCIONES DEL DIA 02/25/2019 RECURSOS HUMANOS"/>
    <n v="983.17"/>
    <n v="0"/>
    <s v="NEGOCIOS"/>
    <x v="0"/>
  </r>
  <r>
    <n v="91"/>
    <d v="2019-03-09T00:00:00"/>
    <x v="9"/>
    <x v="9"/>
    <x v="1"/>
    <s v="ATENCION A CLIENTES"/>
    <s v="PAGO NOMINA QUINCENA 1 MARZO 2019"/>
    <s v="TRANSACCIONES DEL DIA 03/09/2019 RECURSOS HUMANOS"/>
    <n v="1232.6199999999999"/>
    <n v="0"/>
    <s v="NEGOCIOS"/>
    <x v="0"/>
  </r>
  <r>
    <n v="91"/>
    <d v="2019-03-25T00:00:00"/>
    <x v="9"/>
    <x v="9"/>
    <x v="1"/>
    <s v="ATENCION A CLIENTES"/>
    <s v="PAGO NOMINA QUINCENA 2 MARZO 2019"/>
    <s v="TRANSACCIONES DEL DIA 03/25/2019 RECURSOS HUMANOS"/>
    <n v="1283.31"/>
    <n v="0"/>
    <s v="NEGOCIOS"/>
    <x v="0"/>
  </r>
  <r>
    <n v="91"/>
    <d v="2019-04-10T00:00:00"/>
    <x v="10"/>
    <x v="10"/>
    <x v="1"/>
    <s v="ATENCION A CLIENTES"/>
    <s v="PAGO NOMINA QUINCENA 1 ABRIL 2019"/>
    <s v="TRANSACCIONES DEL DIA 04/10/2019 RECURSOS HUMANOS"/>
    <n v="2980.22"/>
    <n v="0"/>
    <s v="NEGOCIOS"/>
    <x v="0"/>
  </r>
  <r>
    <n v="91"/>
    <d v="2019-04-16T00:00:00"/>
    <x v="10"/>
    <x v="10"/>
    <x v="1"/>
    <s v="ATENCION A CLIENTES"/>
    <s v="PLANILLAS DE LIQUIDACIONES ABR 2019"/>
    <s v="TRANSACCIONES DEL DIA 04/16/2019 RECURSOS HUMANOS"/>
    <n v="61.81"/>
    <n v="0"/>
    <s v="NEGOCIOS"/>
    <x v="0"/>
  </r>
  <r>
    <n v="91"/>
    <d v="2019-04-25T00:00:00"/>
    <x v="10"/>
    <x v="10"/>
    <x v="1"/>
    <s v="ATENCION A CLIENTES"/>
    <s v="PAGO NOMINA QUINCENA 2 ABRIL 2019"/>
    <s v="TRANSACCIONES DEL DIA 04/25/2019 RECURSOS HUMANOS"/>
    <n v="1738.68"/>
    <n v="0"/>
    <s v="NEGOCIOS"/>
    <x v="0"/>
  </r>
  <r>
    <n v="91"/>
    <d v="2019-05-10T00:00:00"/>
    <x v="11"/>
    <x v="11"/>
    <x v="1"/>
    <s v="ATENCION A CLIENTES"/>
    <s v="PAGO NOMINA QUINCENA 1 MAYO 2019"/>
    <s v="TRANSACCIONES DEL DIA 05/10/2019 RECURSOS HUMANOS"/>
    <n v="1065.6300000000001"/>
    <n v="0"/>
    <s v="NEGOCIOS"/>
    <x v="0"/>
  </r>
  <r>
    <n v="91"/>
    <d v="2019-05-17T00:00:00"/>
    <x v="11"/>
    <x v="11"/>
    <x v="1"/>
    <s v="ATENCION A CLIENTES"/>
    <s v="PLANILLAS DE LIQUIDACIONES MAY 2019"/>
    <s v="TRANSACCIONES DEL DIA 05/17/2019 RECURSOS HUMANOS"/>
    <n v="2.27"/>
    <n v="0"/>
    <s v="NEGOCIOS"/>
    <x v="0"/>
  </r>
  <r>
    <n v="91"/>
    <d v="2019-05-25T00:00:00"/>
    <x v="11"/>
    <x v="11"/>
    <x v="1"/>
    <s v="ATENCION A CLIENTES"/>
    <s v="PAGO NOMINA QUINCENA 2 MAYO 2019"/>
    <s v="TRANSACCIONES DEL DIA 05/25/2019 RECURSOS HUMANOS"/>
    <n v="653.96"/>
    <n v="0"/>
    <s v="NEGOCIOS"/>
    <x v="0"/>
  </r>
  <r>
    <n v="91"/>
    <d v="2019-06-10T00:00:00"/>
    <x v="2"/>
    <x v="2"/>
    <x v="1"/>
    <s v="ATENCION A CLIENTES"/>
    <s v="PAGO NOMINA QUINCENA 1 JUNIO 2019"/>
    <s v="TRANSACCIONES DEL DIA 06/10/2019 RECURSOS HUMANOS"/>
    <n v="3294.23"/>
    <n v="0"/>
    <s v="NEGOCIOS"/>
    <x v="0"/>
  </r>
  <r>
    <n v="91"/>
    <d v="2019-06-25T00:00:00"/>
    <x v="2"/>
    <x v="2"/>
    <x v="1"/>
    <s v="ATENCION A CLIENTES"/>
    <s v="PAGO NOMINA QUINCENA 2 JUNIO 2019"/>
    <s v="TRANSACCIONES DEL DIA 06/25/2019 RECURSOS HUMANOS"/>
    <n v="944.15"/>
    <n v="0"/>
    <s v="NEGOCIOS"/>
    <x v="0"/>
  </r>
  <r>
    <n v="91"/>
    <d v="2019-07-10T00:00:00"/>
    <x v="6"/>
    <x v="6"/>
    <x v="1"/>
    <s v="ATENCION A CLIENTES"/>
    <s v="PAGO NOMINA QUINCENA 1 JULIO 2019"/>
    <s v="TRANSACCIONES DEL DIA 07/10/2019 RECURSOS HUMANOS"/>
    <n v="804.21"/>
    <n v="0"/>
    <s v="NEGOCIOS"/>
    <x v="0"/>
  </r>
  <r>
    <n v="91"/>
    <d v="2019-07-25T00:00:00"/>
    <x v="6"/>
    <x v="6"/>
    <x v="1"/>
    <s v="ATENCION A CLIENTES"/>
    <s v="PAGO NOMINA QUINCENA 2 JULIO 2019"/>
    <s v="TRANSACCIONES DEL DIA 07/25/2019 RECURSOS HUMANOS"/>
    <n v="1408.96"/>
    <n v="0"/>
    <s v="NEGOCIOS"/>
    <x v="0"/>
  </r>
  <r>
    <n v="91"/>
    <d v="2019-03-25T00:00:00"/>
    <x v="9"/>
    <x v="9"/>
    <x v="1"/>
    <s v="VENTAS CONSUMO"/>
    <s v="PAGO NOMINA QUINCENA 2 MARZO 2019"/>
    <s v="TRANSACCIONES DEL DIA 03/25/2019 RECURSOS HUMANOS"/>
    <n v="1290.4100000000001"/>
    <n v="0"/>
    <s v="NEGOCIOS"/>
    <x v="0"/>
  </r>
  <r>
    <n v="91"/>
    <d v="2019-04-10T00:00:00"/>
    <x v="10"/>
    <x v="10"/>
    <x v="1"/>
    <s v="VENTAS CONSUMO"/>
    <s v="PAGO NOMINA QUINCENA 1 ABRIL 2019"/>
    <s v="TRANSACCIONES DEL DIA 04/10/2019 RECURSOS HUMANOS"/>
    <n v="27.2"/>
    <n v="0"/>
    <s v="NEGOCIOS"/>
    <x v="0"/>
  </r>
  <r>
    <n v="91"/>
    <d v="2019-05-25T00:00:00"/>
    <x v="11"/>
    <x v="11"/>
    <x v="1"/>
    <s v="VENTAS CONSUMO"/>
    <s v="PAGO NOMINA QUINCENA 2 MAYO 2019"/>
    <s v="TRANSACCIONES DEL DIA 05/25/2019 RECURSOS HUMANOS"/>
    <n v="516.86"/>
    <n v="0"/>
    <s v="NEGOCIOS"/>
    <x v="0"/>
  </r>
  <r>
    <n v="91"/>
    <d v="2019-06-25T00:00:00"/>
    <x v="2"/>
    <x v="2"/>
    <x v="1"/>
    <s v="VENTAS CONSUMO"/>
    <s v="PAGO NOMINA QUINCENA 2 JUNIO 2019"/>
    <s v="TRANSACCIONES DEL DIA 06/25/2019 RECURSOS HUMANOS"/>
    <n v="83.12"/>
    <n v="0"/>
    <s v="NEGOCIOS"/>
    <x v="0"/>
  </r>
  <r>
    <n v="91"/>
    <d v="2019-01-10T00:00:00"/>
    <x v="7"/>
    <x v="7"/>
    <x v="1"/>
    <s v="FUERZAS DE VENTAS PANAMA"/>
    <s v="PAGO NOMINA QUINCENA 1 ENERO 2019"/>
    <s v="TRANSACCIONES DEL DIA 01/10/2019 RECURSOS HUMANOS"/>
    <n v="673.32"/>
    <n v="0"/>
    <s v="NEGOCIOS"/>
    <x v="0"/>
  </r>
  <r>
    <n v="91"/>
    <d v="2019-01-25T00:00:00"/>
    <x v="7"/>
    <x v="7"/>
    <x v="1"/>
    <s v="FUERZAS DE VENTAS PANAMA"/>
    <s v="PAGO NOMINA QUINCENA 2 ENERO 2019"/>
    <s v="TRANSACCIONES DEL DIA 01/25/2019 RECURSOS HUMANOS"/>
    <n v="151.41"/>
    <n v="0"/>
    <s v="NEGOCIOS"/>
    <x v="0"/>
  </r>
  <r>
    <n v="91"/>
    <d v="2019-02-09T00:00:00"/>
    <x v="8"/>
    <x v="8"/>
    <x v="1"/>
    <s v="FUERZAS DE VENTAS PANAMA"/>
    <s v="PAGO NOMINA QUINCENA 1 FEBRERO 2019"/>
    <s v="TRANSACCIONES DEL DIA 02/09/2019 RECURSOS HUMANOS"/>
    <n v="506.95"/>
    <n v="0"/>
    <s v="NEGOCIOS"/>
    <x v="0"/>
  </r>
  <r>
    <n v="91"/>
    <d v="2019-02-25T00:00:00"/>
    <x v="8"/>
    <x v="8"/>
    <x v="1"/>
    <s v="FUERZAS DE VENTAS PANAMA"/>
    <s v="PAGO NOMINA QUINCENA 2 FEBRERO 2019"/>
    <s v="TRANSACCIONES DEL DIA 02/25/2019 RECURSOS HUMANOS"/>
    <n v="156.97"/>
    <n v="0"/>
    <s v="NEGOCIOS"/>
    <x v="0"/>
  </r>
  <r>
    <n v="91"/>
    <d v="2019-03-09T00:00:00"/>
    <x v="9"/>
    <x v="9"/>
    <x v="1"/>
    <s v="FUERZAS DE VENTAS PANAMA"/>
    <s v="PAGO NOMINA QUINCENA 1 MARZO 2019"/>
    <s v="TRANSACCIONES DEL DIA 03/09/2019 RECURSOS HUMANOS"/>
    <n v="444.29"/>
    <n v="0"/>
    <s v="NEGOCIOS"/>
    <x v="0"/>
  </r>
  <r>
    <n v="91"/>
    <d v="2019-03-25T00:00:00"/>
    <x v="9"/>
    <x v="9"/>
    <x v="1"/>
    <s v="FUERZAS DE VENTAS PANAMA"/>
    <s v="PAGO NOMINA QUINCENA 2 MARZO 2019"/>
    <s v="TRANSACCIONES DEL DIA 03/25/2019 RECURSOS HUMANOS"/>
    <n v="16088.95"/>
    <n v="0"/>
    <s v="NEGOCIOS"/>
    <x v="0"/>
  </r>
  <r>
    <n v="91"/>
    <d v="2019-04-10T00:00:00"/>
    <x v="10"/>
    <x v="10"/>
    <x v="1"/>
    <s v="FUERZAS DE VENTAS PANAMA"/>
    <s v="PAGO NOMINA QUINCENA 1 ABRIL 2019"/>
    <s v="TRANSACCIONES DEL DIA 04/10/2019 RECURSOS HUMANOS"/>
    <n v="140"/>
    <n v="0"/>
    <s v="NEGOCIOS"/>
    <x v="0"/>
  </r>
  <r>
    <n v="91"/>
    <d v="2019-04-25T00:00:00"/>
    <x v="10"/>
    <x v="10"/>
    <x v="1"/>
    <s v="FUERZAS DE VENTAS PANAMA"/>
    <s v="PAGO NOMINA QUINCENA 2 ABRIL 2019"/>
    <s v="TRANSACCIONES DEL DIA 04/25/2019 RECURSOS HUMANOS"/>
    <n v="2256.5"/>
    <n v="0"/>
    <s v="NEGOCIOS"/>
    <x v="0"/>
  </r>
  <r>
    <n v="91"/>
    <d v="2019-05-10T00:00:00"/>
    <x v="11"/>
    <x v="11"/>
    <x v="1"/>
    <s v="FUERZAS DE VENTAS PANAMA"/>
    <s v="PAGO NOMINA QUINCENA 1 MAYO 2019"/>
    <s v="TRANSACCIONES DEL DIA 05/10/2019 RECURSOS HUMANOS"/>
    <n v="2309.17"/>
    <n v="0"/>
    <s v="NEGOCIOS"/>
    <x v="0"/>
  </r>
  <r>
    <n v="91"/>
    <d v="2019-05-25T00:00:00"/>
    <x v="11"/>
    <x v="11"/>
    <x v="1"/>
    <s v="FUERZAS DE VENTAS PANAMA"/>
    <s v="PAGO NOMINA QUINCENA 2 MAYO 2019"/>
    <s v="TRANSACCIONES DEL DIA 05/25/2019 RECURSOS HUMANOS"/>
    <n v="11432.58"/>
    <n v="0"/>
    <s v="NEGOCIOS"/>
    <x v="0"/>
  </r>
  <r>
    <n v="91"/>
    <d v="2019-06-10T00:00:00"/>
    <x v="2"/>
    <x v="2"/>
    <x v="1"/>
    <s v="FUERZAS DE VENTAS PANAMA"/>
    <s v="PAGO NOMINA QUINCENA 1 JUNIO 2019"/>
    <s v="TRANSACCIONES DEL DIA 06/10/2019 RECURSOS HUMANOS"/>
    <n v="537.59"/>
    <n v="0"/>
    <s v="NEGOCIOS"/>
    <x v="0"/>
  </r>
  <r>
    <n v="91"/>
    <d v="2019-06-25T00:00:00"/>
    <x v="2"/>
    <x v="2"/>
    <x v="1"/>
    <s v="FUERZAS DE VENTAS PANAMA"/>
    <s v="PAGO NOMINA QUINCENA 2 JUNIO 2019"/>
    <s v="TRANSACCIONES DEL DIA 06/25/2019 RECURSOS HUMANOS"/>
    <n v="910.15"/>
    <n v="0"/>
    <s v="NEGOCIOS"/>
    <x v="0"/>
  </r>
  <r>
    <n v="91"/>
    <d v="2019-07-10T00:00:00"/>
    <x v="6"/>
    <x v="6"/>
    <x v="1"/>
    <s v="FUERZAS DE VENTAS PANAMA"/>
    <s v="PAGO NOMINA QUINCENA 1 JULIO 2019"/>
    <s v="TRANSACCIONES DEL DIA 07/10/2019 RECURSOS HUMANOS"/>
    <n v="930.71"/>
    <n v="0"/>
    <s v="NEGOCIOS"/>
    <x v="0"/>
  </r>
  <r>
    <n v="91"/>
    <d v="2019-07-25T00:00:00"/>
    <x v="6"/>
    <x v="6"/>
    <x v="1"/>
    <s v="FUERZAS DE VENTAS PANAMA"/>
    <s v="PAGO NOMINA QUINCENA 2 JULIO 2019"/>
    <s v="TRANSACCIONES DEL DIA 07/25/2019 RECURSOS HUMANOS"/>
    <n v="1142.21"/>
    <n v="0"/>
    <s v="NEGOCIOS"/>
    <x v="0"/>
  </r>
  <r>
    <n v="91"/>
    <d v="2019-01-10T00:00:00"/>
    <x v="7"/>
    <x v="7"/>
    <x v="1"/>
    <s v="FUERZA DE VENTAS AUTOS"/>
    <s v="PAGO NOMINA QUINCENA 1 ENERO 2019"/>
    <s v="TRANSACCIONES DEL DIA 01/10/2019 RECURSOS HUMANOS"/>
    <n v="123.45"/>
    <n v="0"/>
    <s v="NEGOCIOS"/>
    <x v="0"/>
  </r>
  <r>
    <n v="91"/>
    <d v="2019-02-09T00:00:00"/>
    <x v="8"/>
    <x v="8"/>
    <x v="1"/>
    <s v="FUERZA DE VENTAS AUTOS"/>
    <s v="PAGO NOMINA QUINCENA 1 FEBRERO 2019"/>
    <s v="TRANSACCIONES DEL DIA 02/09/2019 RECURSOS HUMANOS"/>
    <n v="1127.55"/>
    <n v="0"/>
    <s v="NEGOCIOS"/>
    <x v="0"/>
  </r>
  <r>
    <n v="91"/>
    <d v="2019-02-25T00:00:00"/>
    <x v="8"/>
    <x v="8"/>
    <x v="1"/>
    <s v="FUERZA DE VENTAS AUTOS"/>
    <s v="PAGO NOMINA QUINCENA 2 FEBRERO 2019"/>
    <s v="TRANSACCIONES DEL DIA 02/25/2019 RECURSOS HUMANOS"/>
    <n v="191.12"/>
    <n v="0"/>
    <s v="NEGOCIOS"/>
    <x v="0"/>
  </r>
  <r>
    <n v="91"/>
    <d v="2019-03-09T00:00:00"/>
    <x v="9"/>
    <x v="9"/>
    <x v="1"/>
    <s v="FUERZA DE VENTAS AUTOS"/>
    <s v="PAGO NOMINA QUINCENA 1 MARZO 2019"/>
    <s v="TRANSACCIONES DEL DIA 03/09/2019 RECURSOS HUMANOS"/>
    <n v="305.36"/>
    <n v="0"/>
    <s v="NEGOCIOS"/>
    <x v="0"/>
  </r>
  <r>
    <n v="91"/>
    <d v="2019-03-12T00:00:00"/>
    <x v="9"/>
    <x v="9"/>
    <x v="1"/>
    <s v="FUERZA DE VENTAS AUTOS"/>
    <s v="PLANILLAS DE LIQUIDACIONES MAR 2019"/>
    <s v="TRANSACCIONES DEL DIA 03/12/2019 RECURSOS HUMANOS"/>
    <n v="158.78"/>
    <n v="0"/>
    <s v="NEGOCIOS"/>
    <x v="0"/>
  </r>
  <r>
    <n v="91"/>
    <d v="2019-04-10T00:00:00"/>
    <x v="10"/>
    <x v="10"/>
    <x v="1"/>
    <s v="FUERZA DE VENTAS AUTOS"/>
    <s v="PAGO NOMINA QUINCENA 1 ABRIL 2019"/>
    <s v="TRANSACCIONES DEL DIA 04/10/2019 RECURSOS HUMANOS"/>
    <n v="519.46"/>
    <n v="0"/>
    <s v="NEGOCIOS"/>
    <x v="0"/>
  </r>
  <r>
    <n v="91"/>
    <d v="2019-04-25T00:00:00"/>
    <x v="10"/>
    <x v="10"/>
    <x v="1"/>
    <s v="FUERZA DE VENTAS AUTOS"/>
    <s v="PAGO NOMINA QUINCENA 2 ABRIL 2019"/>
    <s v="TRANSACCIONES DEL DIA 04/25/2019 RECURSOS HUMANOS"/>
    <n v="537.95000000000005"/>
    <n v="0"/>
    <s v="NEGOCIOS"/>
    <x v="0"/>
  </r>
  <r>
    <n v="91"/>
    <d v="2019-05-10T00:00:00"/>
    <x v="11"/>
    <x v="11"/>
    <x v="1"/>
    <s v="FUERZA DE VENTAS AUTOS"/>
    <s v="PAGO NOMINA QUINCENA 1 MAYO 2019"/>
    <s v="TRANSACCIONES DEL DIA 05/10/2019 RECURSOS HUMANOS"/>
    <n v="1368.34"/>
    <n v="0"/>
    <s v="NEGOCIOS"/>
    <x v="0"/>
  </r>
  <r>
    <n v="91"/>
    <d v="2019-06-10T00:00:00"/>
    <x v="2"/>
    <x v="2"/>
    <x v="1"/>
    <s v="FUERZA DE VENTAS AUTOS"/>
    <s v="PAGO NOMINA QUINCENA 1 JUNIO 2019"/>
    <s v="TRANSACCIONES DEL DIA 06/10/2019 RECURSOS HUMANOS"/>
    <n v="329.69"/>
    <n v="0"/>
    <s v="NEGOCIOS"/>
    <x v="0"/>
  </r>
  <r>
    <n v="91"/>
    <d v="2019-06-25T00:00:00"/>
    <x v="2"/>
    <x v="2"/>
    <x v="1"/>
    <s v="FUERZA DE VENTAS AUTOS"/>
    <s v="PAGO NOMINA QUINCENA 2 JUNIO 2019"/>
    <s v="TRANSACCIONES DEL DIA 06/25/2019 RECURSOS HUMANOS"/>
    <n v="1553.8"/>
    <n v="0"/>
    <s v="NEGOCIOS"/>
    <x v="0"/>
  </r>
  <r>
    <n v="91"/>
    <d v="2019-07-10T00:00:00"/>
    <x v="6"/>
    <x v="6"/>
    <x v="1"/>
    <s v="FUERZA DE VENTAS AUTOS"/>
    <s v="PAGO NOMINA QUINCENA 1 JULIO 2019"/>
    <s v="TRANSACCIONES DEL DIA 07/10/2019 RECURSOS HUMANOS"/>
    <n v="163.72"/>
    <n v="0"/>
    <s v="NEGOCIOS"/>
    <x v="0"/>
  </r>
  <r>
    <n v="91"/>
    <d v="2019-01-10T00:00:00"/>
    <x v="7"/>
    <x v="7"/>
    <x v="1"/>
    <s v="IMAGEN CORPORATIVA"/>
    <s v="PAGO NOMINA QUINCENA 1 ENERO 2019"/>
    <s v="TRANSACCIONES DEL DIA 01/10/2019 RECURSOS HUMANOS"/>
    <n v="39.43"/>
    <n v="0"/>
    <s v="NEGOCIOS"/>
    <x v="0"/>
  </r>
  <r>
    <n v="91"/>
    <d v="2019-02-09T00:00:00"/>
    <x v="8"/>
    <x v="8"/>
    <x v="1"/>
    <s v="IMAGEN CORPORATIVA"/>
    <s v="PAGO NOMINA QUINCENA 1 FEBRERO 2019"/>
    <s v="TRANSACCIONES DEL DIA 02/09/2019 RECURSOS HUMANOS"/>
    <n v="271.64999999999998"/>
    <n v="0"/>
    <s v="NEGOCIOS"/>
    <x v="0"/>
  </r>
  <r>
    <n v="91"/>
    <d v="2019-03-09T00:00:00"/>
    <x v="9"/>
    <x v="9"/>
    <x v="1"/>
    <s v="IMAGEN CORPORATIVA"/>
    <s v="PAGO NOMINA QUINCENA 1 MARZO 2019"/>
    <s v="TRANSACCIONES DEL DIA 03/09/2019 RECURSOS HUMANOS"/>
    <n v="86.5"/>
    <n v="0"/>
    <s v="NEGOCIOS"/>
    <x v="0"/>
  </r>
  <r>
    <n v="91"/>
    <d v="2019-03-25T00:00:00"/>
    <x v="9"/>
    <x v="9"/>
    <x v="1"/>
    <s v="IMAGEN CORPORATIVA"/>
    <s v="PAGO NOMINA QUINCENA 2 MARZO 2019"/>
    <s v="TRANSACCIONES DEL DIA 03/25/2019 RECURSOS HUMANOS"/>
    <n v="37.49"/>
    <n v="0"/>
    <s v="NEGOCIOS"/>
    <x v="0"/>
  </r>
  <r>
    <n v="91"/>
    <d v="2019-04-25T00:00:00"/>
    <x v="10"/>
    <x v="10"/>
    <x v="1"/>
    <s v="IMAGEN CORPORATIVA"/>
    <s v="PAGO NOMINA QUINCENA 2 ABRIL 2019"/>
    <s v="TRANSACCIONES DEL DIA 04/25/2019 RECURSOS HUMANOS"/>
    <n v="181.36"/>
    <n v="0"/>
    <s v="NEGOCIOS"/>
    <x v="0"/>
  </r>
  <r>
    <n v="91"/>
    <d v="2019-06-10T00:00:00"/>
    <x v="2"/>
    <x v="2"/>
    <x v="1"/>
    <s v="IMAGEN CORPORATIVA"/>
    <s v="PAGO NOMINA QUINCENA 1 JUNIO 2019"/>
    <s v="TRANSACCIONES DEL DIA 06/10/2019 RECURSOS HUMANOS"/>
    <n v="29.16"/>
    <n v="0"/>
    <s v="NEGOCIOS"/>
    <x v="0"/>
  </r>
  <r>
    <n v="95"/>
    <d v="2019-01-25T00:00:00"/>
    <x v="7"/>
    <x v="7"/>
    <x v="1"/>
    <s v="ADMINISTRACION DE SUCURSALES"/>
    <s v="PAGO NOMINA QUINCENA 2 ENERO 2019"/>
    <s v="TRANSACCIONES DEL DIA 01/25/2019 RECURSOS HUMANOS"/>
    <n v="47.61"/>
    <n v="0"/>
    <s v="BOULEVARD EL DORADO"/>
    <x v="0"/>
  </r>
  <r>
    <n v="95"/>
    <d v="2019-02-09T00:00:00"/>
    <x v="8"/>
    <x v="8"/>
    <x v="1"/>
    <s v="ADMINISTRACION DE SUCURSALES"/>
    <s v="PAGO NOMINA QUINCENA 1 FEBRERO 2019"/>
    <s v="TRANSACCIONES DEL DIA 02/09/2019 RECURSOS HUMANOS"/>
    <n v="111.83"/>
    <n v="0"/>
    <s v="BOULEVARD EL DORADO"/>
    <x v="0"/>
  </r>
  <r>
    <n v="95"/>
    <d v="2019-04-10T00:00:00"/>
    <x v="10"/>
    <x v="10"/>
    <x v="1"/>
    <s v="ADMINISTRACION DE SUCURSALES"/>
    <s v="PAGO NOMINA QUINCENA 1 ABRIL 2019"/>
    <s v="TRANSACCIONES DEL DIA 04/10/2019 RECURSOS HUMANOS"/>
    <n v="13.68"/>
    <n v="0"/>
    <s v="BOULEVARD EL DORADO"/>
    <x v="0"/>
  </r>
  <r>
    <n v="95"/>
    <d v="2019-05-25T00:00:00"/>
    <x v="11"/>
    <x v="11"/>
    <x v="1"/>
    <s v="ADMINISTRACION DE SUCURSALES"/>
    <s v="PAGO NOMINA QUINCENA 2 MAYO 2019"/>
    <s v="TRANSACCIONES DEL DIA 05/25/2019 RECURSOS HUMANOS"/>
    <n v="50.38"/>
    <n v="0"/>
    <s v="BOULEVARD EL DORADO"/>
    <x v="0"/>
  </r>
  <r>
    <n v="95"/>
    <d v="2019-06-10T00:00:00"/>
    <x v="2"/>
    <x v="2"/>
    <x v="1"/>
    <s v="ADMINISTRACION DE SUCURSALES"/>
    <s v="PAGO NOMINA QUINCENA 1 JUNIO 2019"/>
    <s v="TRANSACCIONES DEL DIA 06/10/2019 RECURSOS HUMANOS"/>
    <n v="42.39"/>
    <n v="0"/>
    <s v="BOULEVARD EL DORADO"/>
    <x v="0"/>
  </r>
  <r>
    <n v="95"/>
    <d v="2019-01-10T00:00:00"/>
    <x v="7"/>
    <x v="7"/>
    <x v="1"/>
    <s v="CAJA"/>
    <s v="PAGO NOMINA QUINCENA 1 ENERO 2019"/>
    <s v="TRANSACCIONES DEL DIA 01/10/2019 RECURSOS HUMANOS"/>
    <n v="159.55000000000001"/>
    <n v="0"/>
    <s v="BOULEVARD EL DORADO"/>
    <x v="0"/>
  </r>
  <r>
    <n v="95"/>
    <d v="2019-01-25T00:00:00"/>
    <x v="7"/>
    <x v="7"/>
    <x v="1"/>
    <s v="CAJA"/>
    <s v="PAGO NOMINA QUINCENA 2 ENERO 2019"/>
    <s v="TRANSACCIONES DEL DIA 01/25/2019 RECURSOS HUMANOS"/>
    <n v="173.16"/>
    <n v="0"/>
    <s v="BOULEVARD EL DORADO"/>
    <x v="0"/>
  </r>
  <r>
    <n v="95"/>
    <d v="2019-02-09T00:00:00"/>
    <x v="8"/>
    <x v="8"/>
    <x v="1"/>
    <s v="CAJA"/>
    <s v="PAGO NOMINA QUINCENA 1 FEBRERO 2019"/>
    <s v="TRANSACCIONES DEL DIA 02/09/2019 RECURSOS HUMANOS"/>
    <n v="219.83"/>
    <n v="0"/>
    <s v="BOULEVARD EL DORADO"/>
    <x v="0"/>
  </r>
  <r>
    <n v="95"/>
    <d v="2019-02-25T00:00:00"/>
    <x v="8"/>
    <x v="8"/>
    <x v="1"/>
    <s v="CAJA"/>
    <s v="PAGO NOMINA QUINCENA 2 FEBRERO 2019"/>
    <s v="TRANSACCIONES DEL DIA 02/25/2019 RECURSOS HUMANOS"/>
    <n v="129.44999999999999"/>
    <n v="0"/>
    <s v="BOULEVARD EL DORADO"/>
    <x v="0"/>
  </r>
  <r>
    <n v="95"/>
    <d v="2019-03-09T00:00:00"/>
    <x v="9"/>
    <x v="9"/>
    <x v="1"/>
    <s v="CAJA"/>
    <s v="PAGO NOMINA QUINCENA 1 MARZO 2019"/>
    <s v="TRANSACCIONES DEL DIA 03/09/2019 RECURSOS HUMANOS"/>
    <n v="98.19"/>
    <n v="0"/>
    <s v="BOULEVARD EL DORADO"/>
    <x v="0"/>
  </r>
  <r>
    <n v="95"/>
    <d v="2019-03-25T00:00:00"/>
    <x v="9"/>
    <x v="9"/>
    <x v="1"/>
    <s v="CAJA"/>
    <s v="PAGO NOMINA QUINCENA 2 MARZO 2019"/>
    <s v="TRANSACCIONES DEL DIA 03/25/2019 RECURSOS HUMANOS"/>
    <n v="142.01"/>
    <n v="0"/>
    <s v="BOULEVARD EL DORADO"/>
    <x v="0"/>
  </r>
  <r>
    <n v="95"/>
    <d v="2019-04-10T00:00:00"/>
    <x v="10"/>
    <x v="10"/>
    <x v="1"/>
    <s v="CAJA"/>
    <s v="PAGO NOMINA QUINCENA 1 ABRIL 2019"/>
    <s v="TRANSACCIONES DEL DIA 04/10/2019 RECURSOS HUMANOS"/>
    <n v="206.84"/>
    <n v="0"/>
    <s v="BOULEVARD EL DORADO"/>
    <x v="0"/>
  </r>
  <r>
    <n v="95"/>
    <d v="2019-04-25T00:00:00"/>
    <x v="10"/>
    <x v="10"/>
    <x v="1"/>
    <s v="CAJA"/>
    <s v="PAGO NOMINA QUINCENA 2 ABRIL 2019"/>
    <s v="TRANSACCIONES DEL DIA 04/25/2019 RECURSOS HUMANOS"/>
    <n v="233.45"/>
    <n v="0"/>
    <s v="BOULEVARD EL DORADO"/>
    <x v="0"/>
  </r>
  <r>
    <n v="95"/>
    <d v="2019-05-10T00:00:00"/>
    <x v="11"/>
    <x v="11"/>
    <x v="1"/>
    <s v="CAJA"/>
    <s v="PAGO NOMINA QUINCENA 1 MAYO 2019"/>
    <s v="TRANSACCIONES DEL DIA 05/10/2019 RECURSOS HUMANOS"/>
    <n v="365.3"/>
    <n v="0"/>
    <s v="BOULEVARD EL DORADO"/>
    <x v="0"/>
  </r>
  <r>
    <n v="95"/>
    <d v="2019-05-25T00:00:00"/>
    <x v="11"/>
    <x v="11"/>
    <x v="1"/>
    <s v="CAJA"/>
    <s v="PAGO NOMINA QUINCENA 2 MAYO 2019"/>
    <s v="TRANSACCIONES DEL DIA 05/25/2019 RECURSOS HUMANOS"/>
    <n v="277.51"/>
    <n v="0"/>
    <s v="BOULEVARD EL DORADO"/>
    <x v="0"/>
  </r>
  <r>
    <n v="95"/>
    <d v="2019-06-10T00:00:00"/>
    <x v="2"/>
    <x v="2"/>
    <x v="1"/>
    <s v="CAJA"/>
    <s v="PAGO NOMINA QUINCENA 1 JUNIO 2019"/>
    <s v="TRANSACCIONES DEL DIA 06/10/2019 RECURSOS HUMANOS"/>
    <n v="9.5500000000000007"/>
    <n v="0"/>
    <s v="BOULEVARD EL DORADO"/>
    <x v="0"/>
  </r>
  <r>
    <n v="95"/>
    <d v="2019-06-25T00:00:00"/>
    <x v="2"/>
    <x v="2"/>
    <x v="1"/>
    <s v="CAJA"/>
    <s v="PAGO NOMINA QUINCENA 2 JUNIO 2019"/>
    <s v="TRANSACCIONES DEL DIA 06/25/2019 RECURSOS HUMANOS"/>
    <n v="32.5"/>
    <n v="0"/>
    <s v="BOULEVARD EL DORADO"/>
    <x v="0"/>
  </r>
  <r>
    <n v="95"/>
    <d v="2019-07-10T00:00:00"/>
    <x v="6"/>
    <x v="6"/>
    <x v="1"/>
    <s v="CAJA"/>
    <s v="PAGO NOMINA QUINCENA 1 JULIO 2019"/>
    <s v="TRANSACCIONES DEL DIA 07/10/2019 RECURSOS HUMANOS"/>
    <n v="173.81"/>
    <n v="0"/>
    <s v="BOULEVARD EL DORADO"/>
    <x v="0"/>
  </r>
  <r>
    <n v="95"/>
    <d v="2019-07-25T00:00:00"/>
    <x v="6"/>
    <x v="6"/>
    <x v="1"/>
    <s v="CAJA"/>
    <s v="PAGO NOMINA QUINCENA 2 JULIO 2019"/>
    <s v="TRANSACCIONES DEL DIA 07/25/2019 RECURSOS HUMANOS"/>
    <n v="42.2"/>
    <n v="0"/>
    <s v="BOULEVARD EL DORADO"/>
    <x v="0"/>
  </r>
  <r>
    <n v="95"/>
    <d v="2019-01-10T00:00:00"/>
    <x v="7"/>
    <x v="7"/>
    <x v="1"/>
    <s v="SERVICIOS PERSONALES"/>
    <s v="PAGO NOMINA QUINCENA 1 ENERO 2019"/>
    <s v="TRANSACCIONES DEL DIA 01/10/2019 RECURSOS HUMANOS"/>
    <n v="50.62"/>
    <n v="0"/>
    <s v="BOULEVARD EL DORADO"/>
    <x v="0"/>
  </r>
  <r>
    <n v="95"/>
    <d v="2019-01-25T00:00:00"/>
    <x v="7"/>
    <x v="7"/>
    <x v="1"/>
    <s v="SERVICIOS PERSONALES"/>
    <s v="PAGO NOMINA QUINCENA 2 ENERO 2019"/>
    <s v="TRANSACCIONES DEL DIA 01/25/2019 RECURSOS HUMANOS"/>
    <n v="29.42"/>
    <n v="0"/>
    <s v="BOULEVARD EL DORADO"/>
    <x v="0"/>
  </r>
  <r>
    <n v="95"/>
    <d v="2019-02-09T00:00:00"/>
    <x v="8"/>
    <x v="8"/>
    <x v="1"/>
    <s v="SERVICIOS PERSONALES"/>
    <s v="PAGO NOMINA QUINCENA 1 FEBRERO 2019"/>
    <s v="TRANSACCIONES DEL DIA 02/09/2019 RECURSOS HUMANOS"/>
    <n v="24.4"/>
    <n v="0"/>
    <s v="BOULEVARD EL DORADO"/>
    <x v="0"/>
  </r>
  <r>
    <n v="95"/>
    <d v="2019-02-25T00:00:00"/>
    <x v="8"/>
    <x v="8"/>
    <x v="1"/>
    <s v="SERVICIOS PERSONALES"/>
    <s v="PAGO NOMINA QUINCENA 2 FEBRERO 2019"/>
    <s v="TRANSACCIONES DEL DIA 02/25/2019 RECURSOS HUMANOS"/>
    <n v="56.43"/>
    <n v="0"/>
    <s v="BOULEVARD EL DORADO"/>
    <x v="0"/>
  </r>
  <r>
    <n v="95"/>
    <d v="2019-04-25T00:00:00"/>
    <x v="10"/>
    <x v="10"/>
    <x v="1"/>
    <s v="SERVICIOS PERSONALES"/>
    <s v="PAGO NOMINA QUINCENA 2 ABRIL 2019"/>
    <s v="TRANSACCIONES DEL DIA 04/25/2019 RECURSOS HUMANOS"/>
    <n v="29.35"/>
    <n v="0"/>
    <s v="BOULEVARD EL DORADO"/>
    <x v="0"/>
  </r>
  <r>
    <n v="95"/>
    <d v="2019-05-10T00:00:00"/>
    <x v="11"/>
    <x v="11"/>
    <x v="1"/>
    <s v="SERVICIOS PERSONALES"/>
    <s v="PAGO NOMINA QUINCENA 1 MAYO 2019"/>
    <s v="TRANSACCIONES DEL DIA 05/10/2019 RECURSOS HUMANOS"/>
    <n v="12.62"/>
    <n v="0"/>
    <s v="BOULEVARD EL DORADO"/>
    <x v="0"/>
  </r>
  <r>
    <n v="95"/>
    <d v="2019-05-25T00:00:00"/>
    <x v="11"/>
    <x v="11"/>
    <x v="1"/>
    <s v="SERVICIOS PERSONALES"/>
    <s v="PAGO NOMINA QUINCENA 2 MAYO 2019"/>
    <s v="TRANSACCIONES DEL DIA 05/25/2019 RECURSOS HUMANOS"/>
    <n v="51.31"/>
    <n v="0"/>
    <s v="BOULEVARD EL DORADO"/>
    <x v="0"/>
  </r>
  <r>
    <n v="95"/>
    <d v="2019-06-25T00:00:00"/>
    <x v="2"/>
    <x v="2"/>
    <x v="1"/>
    <s v="SERVICIOS PERSONALES"/>
    <s v="PAGO NOMINA QUINCENA 2 JUNIO 2019"/>
    <s v="TRANSACCIONES DEL DIA 06/25/2019 RECURSOS HUMANOS"/>
    <n v="81.11"/>
    <n v="0"/>
    <s v="BOULEVARD EL DORADO"/>
    <x v="0"/>
  </r>
  <r>
    <n v="97"/>
    <d v="2019-03-09T00:00:00"/>
    <x v="9"/>
    <x v="9"/>
    <x v="1"/>
    <s v="ADMINISTRACION DE SUCURSALES"/>
    <s v="PAGO NOMINA QUINCENA 1 MARZO 2019"/>
    <s v="TRANSACCIONES DEL DIA 03/09/2019 RECURSOS HUMANOS"/>
    <n v="32.450000000000003"/>
    <n v="0"/>
    <s v="SAN SEBASTIAN"/>
    <x v="0"/>
  </r>
  <r>
    <n v="97"/>
    <d v="2019-06-10T00:00:00"/>
    <x v="2"/>
    <x v="2"/>
    <x v="1"/>
    <s v="ADMINISTRACION DE SUCURSALES"/>
    <s v="PAGO NOMINA QUINCENA 1 JUNIO 2019"/>
    <s v="TRANSACCIONES DEL DIA 06/10/2019 RECURSOS HUMANOS"/>
    <n v="64.22"/>
    <n v="0"/>
    <s v="SAN SEBASTIAN"/>
    <x v="0"/>
  </r>
  <r>
    <n v="97"/>
    <d v="2019-06-25T00:00:00"/>
    <x v="2"/>
    <x v="2"/>
    <x v="1"/>
    <s v="ADMINISTRACION DE SUCURSALES"/>
    <s v="PAGO NOMINA QUINCENA 2 JUNIO 2019"/>
    <s v="TRANSACCIONES DEL DIA 06/25/2019 RECURSOS HUMANOS"/>
    <n v="65.63"/>
    <n v="0"/>
    <s v="SAN SEBASTIAN"/>
    <x v="0"/>
  </r>
  <r>
    <n v="97"/>
    <d v="2019-01-10T00:00:00"/>
    <x v="7"/>
    <x v="7"/>
    <x v="1"/>
    <s v="CAJA"/>
    <s v="PAGO NOMINA QUINCENA 1 ENERO 2019"/>
    <s v="TRANSACCIONES DEL DIA 01/10/2019 RECURSOS HUMANOS"/>
    <n v="543.25"/>
    <n v="0"/>
    <s v="SAN SEBASTIAN"/>
    <x v="0"/>
  </r>
  <r>
    <n v="97"/>
    <d v="2019-01-25T00:00:00"/>
    <x v="7"/>
    <x v="7"/>
    <x v="1"/>
    <s v="CAJA"/>
    <s v="PAGO NOMINA QUINCENA 2 ENERO 2019"/>
    <s v="TRANSACCIONES DEL DIA 01/25/2019 RECURSOS HUMANOS"/>
    <n v="358.78"/>
    <n v="0"/>
    <s v="SAN SEBASTIAN"/>
    <x v="0"/>
  </r>
  <r>
    <n v="97"/>
    <d v="2019-02-09T00:00:00"/>
    <x v="8"/>
    <x v="8"/>
    <x v="1"/>
    <s v="CAJA"/>
    <s v="PAGO NOMINA QUINCENA 1 FEBRERO 2019"/>
    <s v="TRANSACCIONES DEL DIA 02/09/2019 RECURSOS HUMANOS"/>
    <n v="411.2"/>
    <n v="0"/>
    <s v="SAN SEBASTIAN"/>
    <x v="0"/>
  </r>
  <r>
    <n v="97"/>
    <d v="2019-02-25T00:00:00"/>
    <x v="8"/>
    <x v="8"/>
    <x v="1"/>
    <s v="CAJA"/>
    <s v="PAGO NOMINA QUINCENA 2 FEBRERO 2019"/>
    <s v="TRANSACCIONES DEL DIA 02/25/2019 RECURSOS HUMANOS"/>
    <n v="486.58"/>
    <n v="0"/>
    <s v="SAN SEBASTIAN"/>
    <x v="0"/>
  </r>
  <r>
    <n v="97"/>
    <d v="2019-03-09T00:00:00"/>
    <x v="9"/>
    <x v="9"/>
    <x v="1"/>
    <s v="CAJA"/>
    <s v="PAGO NOMINA QUINCENA 1 MARZO 2019"/>
    <s v="TRANSACCIONES DEL DIA 03/09/2019 RECURSOS HUMANOS"/>
    <n v="474.74"/>
    <n v="0"/>
    <s v="SAN SEBASTIAN"/>
    <x v="0"/>
  </r>
  <r>
    <n v="97"/>
    <d v="2019-03-25T00:00:00"/>
    <x v="9"/>
    <x v="9"/>
    <x v="1"/>
    <s v="CAJA"/>
    <s v="PAGO NOMINA QUINCENA 2 MARZO 2019"/>
    <s v="TRANSACCIONES DEL DIA 03/25/2019 RECURSOS HUMANOS"/>
    <n v="516.62"/>
    <n v="0"/>
    <s v="SAN SEBASTIAN"/>
    <x v="0"/>
  </r>
  <r>
    <n v="97"/>
    <d v="2019-04-10T00:00:00"/>
    <x v="10"/>
    <x v="10"/>
    <x v="1"/>
    <s v="CAJA"/>
    <s v="PAGO NOMINA QUINCENA 1 ABRIL 2019"/>
    <s v="TRANSACCIONES DEL DIA 04/10/2019 RECURSOS HUMANOS"/>
    <n v="414.01"/>
    <n v="0"/>
    <s v="SAN SEBASTIAN"/>
    <x v="0"/>
  </r>
  <r>
    <n v="97"/>
    <d v="2019-04-25T00:00:00"/>
    <x v="10"/>
    <x v="10"/>
    <x v="1"/>
    <s v="CAJA"/>
    <s v="PAGO NOMINA QUINCENA 2 ABRIL 2019"/>
    <s v="TRANSACCIONES DEL DIA 04/25/2019 RECURSOS HUMANOS"/>
    <n v="391.03"/>
    <n v="0"/>
    <s v="SAN SEBASTIAN"/>
    <x v="0"/>
  </r>
  <r>
    <n v="97"/>
    <d v="2019-05-10T00:00:00"/>
    <x v="11"/>
    <x v="11"/>
    <x v="1"/>
    <s v="CAJA"/>
    <s v="PAGO NOMINA QUINCENA 1 MAYO 2019"/>
    <s v="TRANSACCIONES DEL DIA 05/10/2019 RECURSOS HUMANOS"/>
    <n v="448.2"/>
    <n v="0"/>
    <s v="SAN SEBASTIAN"/>
    <x v="0"/>
  </r>
  <r>
    <n v="97"/>
    <d v="2019-05-25T00:00:00"/>
    <x v="11"/>
    <x v="11"/>
    <x v="1"/>
    <s v="CAJA"/>
    <s v="PAGO NOMINA QUINCENA 2 MAYO 2019"/>
    <s v="TRANSACCIONES DEL DIA 05/25/2019 RECURSOS HUMANOS"/>
    <n v="522.20000000000005"/>
    <n v="0"/>
    <s v="SAN SEBASTIAN"/>
    <x v="0"/>
  </r>
  <r>
    <n v="97"/>
    <d v="2019-06-10T00:00:00"/>
    <x v="2"/>
    <x v="2"/>
    <x v="1"/>
    <s v="CAJA"/>
    <s v="PAGO NOMINA QUINCENA 1 JUNIO 2019"/>
    <s v="TRANSACCIONES DEL DIA 06/10/2019 RECURSOS HUMANOS"/>
    <n v="401.95"/>
    <n v="0"/>
    <s v="SAN SEBASTIAN"/>
    <x v="0"/>
  </r>
  <r>
    <n v="97"/>
    <d v="2019-06-25T00:00:00"/>
    <x v="2"/>
    <x v="2"/>
    <x v="1"/>
    <s v="CAJA"/>
    <s v="PAGO NOMINA QUINCENA 2 JUNIO 2019"/>
    <s v="TRANSACCIONES DEL DIA 06/25/2019 RECURSOS HUMANOS"/>
    <n v="594.01"/>
    <n v="0"/>
    <s v="SAN SEBASTIAN"/>
    <x v="0"/>
  </r>
  <r>
    <n v="97"/>
    <d v="2019-07-10T00:00:00"/>
    <x v="6"/>
    <x v="6"/>
    <x v="1"/>
    <s v="CAJA"/>
    <s v="PAGO NOMINA QUINCENA 1 JULIO 2019"/>
    <s v="TRANSACCIONES DEL DIA 07/10/2019 RECURSOS HUMANOS"/>
    <n v="562.02"/>
    <n v="0"/>
    <s v="SAN SEBASTIAN"/>
    <x v="0"/>
  </r>
  <r>
    <n v="97"/>
    <d v="2019-07-25T00:00:00"/>
    <x v="6"/>
    <x v="6"/>
    <x v="1"/>
    <s v="CAJA"/>
    <s v="PAGO NOMINA QUINCENA 2 JULIO 2019"/>
    <s v="TRANSACCIONES DEL DIA 07/25/2019 RECURSOS HUMANOS"/>
    <n v="481.35"/>
    <n v="0"/>
    <s v="SAN SEBASTIAN"/>
    <x v="0"/>
  </r>
  <r>
    <n v="97"/>
    <d v="2019-06-10T00:00:00"/>
    <x v="2"/>
    <x v="2"/>
    <x v="1"/>
    <s v="SERVICIOS PERSONALES"/>
    <s v="PAGO NOMINA QUINCENA 1 JUNIO 2019"/>
    <s v="TRANSACCIONES DEL DIA 06/10/2019 RECURSOS HUMANOS"/>
    <n v="31.75"/>
    <n v="0"/>
    <s v="SAN SEBASTIAN"/>
    <x v="0"/>
  </r>
  <r>
    <n v="98"/>
    <d v="2019-03-09T00:00:00"/>
    <x v="9"/>
    <x v="9"/>
    <x v="1"/>
    <s v="CAJA"/>
    <s v="PAGO NOMINA QUINCENA 1 MARZO 2019"/>
    <s v="TRANSACCIONES DEL DIA 03/09/2019 RECURSOS HUMANOS"/>
    <n v="6.56"/>
    <n v="0"/>
    <s v="SANTIAGO INTERAMERICANA"/>
    <x v="0"/>
  </r>
  <r>
    <n v="101"/>
    <d v="2019-01-10T00:00:00"/>
    <x v="7"/>
    <x v="7"/>
    <x v="1"/>
    <s v="CAJA"/>
    <s v="PAGO NOMINA QUINCENA 1 ENERO 2019"/>
    <s v="TRANSACCIONES DEL DIA 01/10/2019 RECURSOS HUMANOS"/>
    <n v="27.34"/>
    <n v="0"/>
    <s v="VILLA ZAITA"/>
    <x v="0"/>
  </r>
  <r>
    <n v="101"/>
    <d v="2019-01-25T00:00:00"/>
    <x v="7"/>
    <x v="7"/>
    <x v="1"/>
    <s v="CAJA"/>
    <s v="PAGO NOMINA QUINCENA 2 ENERO 2019"/>
    <s v="TRANSACCIONES DEL DIA 01/25/2019 RECURSOS HUMANOS"/>
    <n v="412.97"/>
    <n v="0"/>
    <s v="VILLA ZAITA"/>
    <x v="0"/>
  </r>
  <r>
    <n v="101"/>
    <d v="2019-04-10T00:00:00"/>
    <x v="10"/>
    <x v="10"/>
    <x v="1"/>
    <s v="CAJA"/>
    <s v="PAGO NOMINA QUINCENA 1 ABRIL 2019"/>
    <s v="TRANSACCIONES DEL DIA 04/10/2019 RECURSOS HUMANOS"/>
    <n v="71.099999999999994"/>
    <n v="0"/>
    <s v="VILLA ZAITA"/>
    <x v="0"/>
  </r>
  <r>
    <n v="101"/>
    <d v="2019-04-25T00:00:00"/>
    <x v="10"/>
    <x v="10"/>
    <x v="1"/>
    <s v="CAJA"/>
    <s v="PAGO NOMINA QUINCENA 2 ABRIL 2019"/>
    <s v="TRANSACCIONES DEL DIA 04/25/2019 RECURSOS HUMANOS"/>
    <n v="59.35"/>
    <n v="0"/>
    <s v="VILLA ZAITA"/>
    <x v="0"/>
  </r>
  <r>
    <n v="102"/>
    <d v="2019-02-09T00:00:00"/>
    <x v="8"/>
    <x v="8"/>
    <x v="1"/>
    <s v="CAJA"/>
    <s v="PAGO NOMINA QUINCENA 1 FEBRERO 2019"/>
    <s v="TRANSACCIONES DEL DIA 02/09/2019 RECURSOS HUMANOS"/>
    <n v="16.690000000000001"/>
    <n v="0"/>
    <s v="AZUERO TERMINAL PLAZA"/>
    <x v="0"/>
  </r>
  <r>
    <n v="102"/>
    <d v="2019-04-25T00:00:00"/>
    <x v="10"/>
    <x v="10"/>
    <x v="1"/>
    <s v="CAJA"/>
    <s v="PAGO NOMINA QUINCENA 2 ABRIL 2019"/>
    <s v="TRANSACCIONES DEL DIA 04/25/2019 RECURSOS HUMANOS"/>
    <n v="7.42"/>
    <n v="0"/>
    <s v="AZUERO TERMINAL PLAZA"/>
    <x v="0"/>
  </r>
  <r>
    <n v="102"/>
    <d v="2019-05-10T00:00:00"/>
    <x v="11"/>
    <x v="11"/>
    <x v="1"/>
    <s v="CAJA"/>
    <s v="PAGO NOMINA QUINCENA 1 MAYO 2019"/>
    <s v="TRANSACCIONES DEL DIA 05/10/2019 RECURSOS HUMANOS"/>
    <n v="9.66"/>
    <n v="0"/>
    <s v="AZUERO TERMINAL PLAZA"/>
    <x v="0"/>
  </r>
  <r>
    <n v="102"/>
    <d v="2019-05-10T00:00:00"/>
    <x v="11"/>
    <x v="11"/>
    <x v="1"/>
    <s v="SERVICIOS PERSONALES"/>
    <s v="PAGO NOMINA QUINCENA 1 MAYO 2019"/>
    <s v="TRANSACCIONES DEL DIA 05/10/2019 RECURSOS HUMANOS"/>
    <n v="334.93"/>
    <n v="0"/>
    <s v="AZUERO TERMINAL PLAZA"/>
    <x v="0"/>
  </r>
  <r>
    <n v="125"/>
    <d v="2019-01-25T00:00:00"/>
    <x v="7"/>
    <x v="7"/>
    <x v="1"/>
    <s v="CAJA"/>
    <s v="PAGO NOMINA QUINCENA 2 ENERO 2019"/>
    <s v="TRANSACCIONES DEL DIA 01/25/2019 RECURSOS HUMANOS"/>
    <n v="83.6"/>
    <n v="0"/>
    <s v="COSTA VERDE"/>
    <x v="0"/>
  </r>
  <r>
    <n v="125"/>
    <d v="2019-02-09T00:00:00"/>
    <x v="8"/>
    <x v="8"/>
    <x v="1"/>
    <s v="CAJA"/>
    <s v="PAGO NOMINA QUINCENA 1 FEBRERO 2019"/>
    <s v="TRANSACCIONES DEL DIA 02/09/2019 RECURSOS HUMANOS"/>
    <n v="22.42"/>
    <n v="0"/>
    <s v="COSTA VERDE"/>
    <x v="0"/>
  </r>
  <r>
    <n v="125"/>
    <d v="2019-04-10T00:00:00"/>
    <x v="10"/>
    <x v="10"/>
    <x v="1"/>
    <s v="CAJA"/>
    <s v="PAGO NOMINA QUINCENA 1 ABRIL 2019"/>
    <s v="TRANSACCIONES DEL DIA 04/10/2019 RECURSOS HUMANOS"/>
    <n v="37.5"/>
    <n v="0"/>
    <s v="COSTA VERDE"/>
    <x v="0"/>
  </r>
  <r>
    <n v="125"/>
    <d v="2019-04-25T00:00:00"/>
    <x v="10"/>
    <x v="10"/>
    <x v="1"/>
    <s v="CAJA"/>
    <s v="PAGO NOMINA QUINCENA 2 ABRIL 2019"/>
    <s v="TRANSACCIONES DEL DIA 04/25/2019 RECURSOS HUMANOS"/>
    <n v="20.239999999999998"/>
    <n v="0"/>
    <s v="COSTA VERDE"/>
    <x v="0"/>
  </r>
  <r>
    <n v="125"/>
    <d v="2019-06-10T00:00:00"/>
    <x v="2"/>
    <x v="2"/>
    <x v="1"/>
    <s v="CAJA"/>
    <s v="PAGO NOMINA QUINCENA 1 JUNIO 2019"/>
    <s v="TRANSACCIONES DEL DIA 06/10/2019 RECURSOS HUMANOS"/>
    <n v="106.5"/>
    <n v="0"/>
    <s v="COSTA VERDE"/>
    <x v="0"/>
  </r>
  <r>
    <n v="125"/>
    <d v="2019-06-25T00:00:00"/>
    <x v="2"/>
    <x v="2"/>
    <x v="1"/>
    <s v="CAJA"/>
    <s v="PAGO NOMINA QUINCENA 2 JUNIO 2019"/>
    <s v="TRANSACCIONES DEL DIA 06/25/2019 RECURSOS HUMANOS"/>
    <n v="182.59"/>
    <n v="0"/>
    <s v="COSTA VERDE"/>
    <x v="0"/>
  </r>
  <r>
    <n v="125"/>
    <d v="2019-07-10T00:00:00"/>
    <x v="6"/>
    <x v="6"/>
    <x v="1"/>
    <s v="CAJA"/>
    <s v="PAGO NOMINA QUINCENA 1 JULIO 2019"/>
    <s v="TRANSACCIONES DEL DIA 07/10/2019 RECURSOS HUMANOS"/>
    <n v="186.05"/>
    <n v="0"/>
    <s v="COSTA VERDE"/>
    <x v="0"/>
  </r>
  <r>
    <n v="125"/>
    <d v="2019-07-25T00:00:00"/>
    <x v="6"/>
    <x v="6"/>
    <x v="1"/>
    <s v="CAJA"/>
    <s v="PAGO NOMINA QUINCENA 2 JULIO 2019"/>
    <s v="TRANSACCIONES DEL DIA 07/25/2019 RECURSOS HUMANOS"/>
    <n v="262.45"/>
    <n v="0"/>
    <s v="COSTA VERDE"/>
    <x v="0"/>
  </r>
  <r>
    <n v="125"/>
    <d v="2019-02-09T00:00:00"/>
    <x v="8"/>
    <x v="8"/>
    <x v="1"/>
    <s v="SERVICIOS PERSONALES"/>
    <s v="PAGO NOMINA QUINCENA 1 FEBRERO 2019"/>
    <s v="TRANSACCIONES DEL DIA 02/09/2019 RECURSOS HUMANOS"/>
    <n v="36.630000000000003"/>
    <n v="0"/>
    <s v="COSTA VERDE"/>
    <x v="0"/>
  </r>
  <r>
    <n v="125"/>
    <d v="2019-03-25T00:00:00"/>
    <x v="9"/>
    <x v="9"/>
    <x v="1"/>
    <s v="SERVICIOS PERSONALES"/>
    <s v="PAGO NOMINA QUINCENA 2 MARZO 2019"/>
    <s v="TRANSACCIONES DEL DIA 03/25/2019 RECURSOS HUMANOS"/>
    <n v="17.670000000000002"/>
    <n v="0"/>
    <s v="COSTA VERDE"/>
    <x v="0"/>
  </r>
  <r>
    <n v="125"/>
    <d v="2019-07-10T00:00:00"/>
    <x v="6"/>
    <x v="6"/>
    <x v="1"/>
    <s v="SERVICIOS PERSONALES"/>
    <s v="PAGO NOMINA QUINCENA 1 JULIO 2019"/>
    <s v="TRANSACCIONES DEL DIA 07/10/2019 RECURSOS HUMANOS"/>
    <n v="57.69"/>
    <n v="0"/>
    <s v="COSTA VERDE"/>
    <x v="0"/>
  </r>
  <r>
    <n v="125"/>
    <d v="2019-07-25T00:00:00"/>
    <x v="6"/>
    <x v="6"/>
    <x v="1"/>
    <s v="SERVICIOS PERSONALES"/>
    <s v="PAGO NOMINA QUINCENA 2 JULIO 2019"/>
    <s v="TRANSACCIONES DEL DIA 07/25/2019 RECURSOS HUMANOS"/>
    <n v="144.43"/>
    <n v="0"/>
    <s v="COSTA VERDE"/>
    <x v="0"/>
  </r>
  <r>
    <n v="154"/>
    <d v="2019-06-25T00:00:00"/>
    <x v="2"/>
    <x v="2"/>
    <x v="1"/>
    <s v="CAJA"/>
    <s v="PAGO NOMINA QUINCENA 2 JUNIO 2019"/>
    <s v="TRANSACCIONES DEL DIA 06/25/2019 RECURSOS HUMANOS"/>
    <n v="28.91"/>
    <n v="0"/>
    <s v="CASCO VIEJO"/>
    <x v="0"/>
  </r>
  <r>
    <n v="164"/>
    <d v="2019-01-25T00:00:00"/>
    <x v="7"/>
    <x v="7"/>
    <x v="1"/>
    <s v="CAJA"/>
    <s v="PAGO NOMINA QUINCENA 2 ENERO 2019"/>
    <s v="TRANSACCIONES DEL DIA 01/25/2019 RECURSOS HUMANOS"/>
    <n v="27.71"/>
    <n v="0"/>
    <s v="PASEO ARRAIJAN"/>
    <x v="0"/>
  </r>
  <r>
    <n v="164"/>
    <d v="2019-04-25T00:00:00"/>
    <x v="10"/>
    <x v="10"/>
    <x v="1"/>
    <s v="CAJA"/>
    <s v="PAGO NOMINA QUINCENA 2 ABRIL 2019"/>
    <s v="TRANSACCIONES DEL DIA 04/25/2019 RECURSOS HUMANOS"/>
    <n v="80.13"/>
    <n v="0"/>
    <s v="PASEO ARRAIJAN"/>
    <x v="0"/>
  </r>
  <r>
    <n v="164"/>
    <d v="2019-07-25T00:00:00"/>
    <x v="6"/>
    <x v="6"/>
    <x v="1"/>
    <s v="CAJA"/>
    <s v="PAGO NOMINA QUINCENA 2 JULIO 2019"/>
    <s v="TRANSACCIONES DEL DIA 07/25/2019 RECURSOS HUMANOS"/>
    <n v="26.02"/>
    <n v="0"/>
    <s v="PASEO ARRAIJAN"/>
    <x v="0"/>
  </r>
  <r>
    <n v="164"/>
    <d v="2019-04-10T00:00:00"/>
    <x v="10"/>
    <x v="10"/>
    <x v="1"/>
    <s v="SERVICIOS PERSONALES"/>
    <s v="PAGO NOMINA QUINCENA 1 ABRIL 2019"/>
    <s v="TRANSACCIONES DEL DIA 04/10/2019 RECURSOS HUMANOS"/>
    <n v="31.11"/>
    <n v="0"/>
    <s v="PASEO ARRAIJAN"/>
    <x v="0"/>
  </r>
  <r>
    <n v="165"/>
    <d v="2019-07-25T00:00:00"/>
    <x v="6"/>
    <x v="6"/>
    <x v="1"/>
    <s v="SERVICIOS PERSONALES"/>
    <s v="PAGO NOMINA QUINCENA 2 JULIO 2019"/>
    <s v="TRANSACCIONES DEL DIA 07/25/2019 RECURSOS HUMANOS"/>
    <n v="44.13"/>
    <n v="0"/>
    <s v="PLAZA NUEVO TOCUMEN"/>
    <x v="0"/>
  </r>
  <r>
    <n v="196"/>
    <d v="2019-01-25T00:00:00"/>
    <x v="7"/>
    <x v="7"/>
    <x v="1"/>
    <s v="CAJA"/>
    <s v="PAGO NOMINA QUINCENA 2 ENERO 2019"/>
    <s v="TRANSACCIONES DEL DIA 01/25/2019 RECURSOS HUMANOS"/>
    <n v="100.79"/>
    <n v="0"/>
    <s v="SANTA MARIA"/>
    <x v="0"/>
  </r>
  <r>
    <n v="196"/>
    <d v="2019-02-09T00:00:00"/>
    <x v="8"/>
    <x v="8"/>
    <x v="1"/>
    <s v="SERVICIOS PERSONALES"/>
    <s v="PAGO NOMINA QUINCENA 1 FEBRERO 2019"/>
    <s v="TRANSACCIONES DEL DIA 02/09/2019 RECURSOS HUMANOS"/>
    <n v="23.25"/>
    <n v="0"/>
    <s v="SANTA MARIA"/>
    <x v="0"/>
  </r>
  <r>
    <n v="1"/>
    <d v="2019-02-14T00:00:00"/>
    <x v="8"/>
    <x v="8"/>
    <x v="1"/>
    <s v="ADMINISTRACION DE SUCURSALES"/>
    <s v="OTROS EGRESOS 18"/>
    <s v="OTROS EGRESOS 1.P.O (OR:1/DES:1 TRN:86 PERF:300086 CAU: 18"/>
    <n v="11.3"/>
    <n v="0"/>
    <s v="CASA MATRIZ"/>
    <x v="1"/>
  </r>
  <r>
    <n v="1"/>
    <d v="2019-02-20T00:00:00"/>
    <x v="8"/>
    <x v="8"/>
    <x v="1"/>
    <s v="ADMINISTRACION DE SUCURSALES"/>
    <s v="OTROS EGRESOS 18"/>
    <s v="OTROS EGRESOS 1.P.O (OR:1/DES:1 TRN:86 PERF:300086 CAU: 18"/>
    <n v="5"/>
    <n v="0"/>
    <s v="CASA MATRIZ"/>
    <x v="1"/>
  </r>
  <r>
    <n v="1"/>
    <d v="2019-03-18T00:00:00"/>
    <x v="9"/>
    <x v="9"/>
    <x v="1"/>
    <s v="ADMINISTRACION DE SUCURSALES"/>
    <s v="OTROS EGRESOS 18"/>
    <s v="OTROS EGRESOS 1.P.O (OR:1/DES:1 TRN:86 PERF:300086 CAU: 18"/>
    <n v="5"/>
    <n v="0"/>
    <s v="CASA MATRIZ"/>
    <x v="1"/>
  </r>
  <r>
    <n v="1"/>
    <d v="2019-04-01T00:00:00"/>
    <x v="10"/>
    <x v="10"/>
    <x v="1"/>
    <s v="ADMINISTRACION DE SUCURSALES"/>
    <s v="OTROS EGRESOS 18"/>
    <s v="OTROS EGRESOS 1.P.O (OR:1/DES:1 TRN:86 PERF:300086 CAU: 18"/>
    <n v="10"/>
    <n v="0"/>
    <s v="CASA MATRIZ"/>
    <x v="1"/>
  </r>
  <r>
    <n v="1"/>
    <d v="2019-04-26T00:00:00"/>
    <x v="10"/>
    <x v="10"/>
    <x v="1"/>
    <s v="ADMINISTRACION DE SUCURSALES"/>
    <s v="OTROS EGRESOS 18"/>
    <s v="OTROS EGRESOS 1.P.O (OR:1/DES:1 TRN:86 PERF:300086 CAU: 18"/>
    <n v="5"/>
    <n v="0"/>
    <s v="CASA MATRIZ"/>
    <x v="1"/>
  </r>
  <r>
    <n v="1"/>
    <d v="2019-05-03T00:00:00"/>
    <x v="11"/>
    <x v="11"/>
    <x v="1"/>
    <s v="ADMINISTRACION DE SUCURSALES"/>
    <s v="OTROS EGRESOS 18"/>
    <s v="OTROS EGRESOS 1.P.O (OR:1/DES:1 TRN:86 PERF:300086 CAU: 18"/>
    <n v="2.25"/>
    <n v="0"/>
    <s v="CASA MATRIZ"/>
    <x v="1"/>
  </r>
  <r>
    <n v="1"/>
    <d v="2019-05-13T00:00:00"/>
    <x v="11"/>
    <x v="11"/>
    <x v="1"/>
    <s v="ADMINISTRACION DE SUCURSALES"/>
    <s v="OTROS EGRESOS 18"/>
    <s v="OTROS EGRESOS 1.P.O (OR:1/DES:1 TRN:86 PERF:300086 CAU: 18"/>
    <n v="3"/>
    <n v="0"/>
    <s v="CASA MATRIZ"/>
    <x v="1"/>
  </r>
  <r>
    <n v="1"/>
    <d v="2019-05-21T00:00:00"/>
    <x v="11"/>
    <x v="11"/>
    <x v="1"/>
    <s v="ADMINISTRACION DE SUCURSALES"/>
    <s v="OTROS EGRESOS 18"/>
    <s v="OTROS EGRESOS 1.P.O (OR:1/DES:1 TRN:86 PERF:300086 CAU: 18"/>
    <n v="2"/>
    <n v="0"/>
    <s v="CASA MATRIZ"/>
    <x v="1"/>
  </r>
  <r>
    <n v="1"/>
    <d v="2019-07-15T00:00:00"/>
    <x v="6"/>
    <x v="6"/>
    <x v="1"/>
    <s v="ADMINISTRACION DE SUCURSALES"/>
    <s v="OTROS EGRESOS 18"/>
    <s v="OTROS EGRESOS 1.P.O (OR:1/DES:1 TRN:86 PERF:300086 CAU: 18"/>
    <n v="2.5"/>
    <n v="0"/>
    <s v="CASA MATRIZ"/>
    <x v="1"/>
  </r>
  <r>
    <n v="1"/>
    <d v="2019-07-16T00:00:00"/>
    <x v="6"/>
    <x v="6"/>
    <x v="1"/>
    <s v="ADMINISTRACION DE SUCURSALES"/>
    <s v="OTROS EGRESOS 18"/>
    <s v="OTROS EGRESOS 1.P.O (OR:1/DES:1 TRN:86 PERF:300086 CAU: 18"/>
    <n v="5"/>
    <n v="0"/>
    <s v="CASA MATRIZ"/>
    <x v="1"/>
  </r>
  <r>
    <n v="2"/>
    <d v="2019-01-16T00:00:00"/>
    <x v="7"/>
    <x v="7"/>
    <x v="1"/>
    <s v="ADMINISTRACION DE SUCURSALES"/>
    <s v="OTROS EGRESOS 18"/>
    <s v="OTROS EGRESOS 1.P.O (OR:2/DES:2 TRN:86 PERF:300086 CAU: 18"/>
    <n v="3"/>
    <n v="0"/>
    <s v="PAITILLA"/>
    <x v="1"/>
  </r>
  <r>
    <n v="2"/>
    <d v="2019-01-18T00:00:00"/>
    <x v="7"/>
    <x v="7"/>
    <x v="1"/>
    <s v="ADMINISTRACION DE SUCURSALES"/>
    <s v="OTROS EGRESOS 18"/>
    <s v="OTROS EGRESOS 1.P.O (OR:2/DES:2 TRN:86 PERF:300086 CAU: 18"/>
    <n v="3"/>
    <n v="0"/>
    <s v="PAITILLA"/>
    <x v="1"/>
  </r>
  <r>
    <n v="2"/>
    <d v="2019-02-19T00:00:00"/>
    <x v="8"/>
    <x v="8"/>
    <x v="1"/>
    <s v="ADMINISTRACION DE SUCURSALES"/>
    <s v="OTROS EGRESOS 18"/>
    <s v="OTROS EGRESOS 1.P.O (OR:2/DES:2 TRN:86 PERF:300086 CAU: 18"/>
    <n v="20.5"/>
    <n v="0"/>
    <s v="PAITILLA"/>
    <x v="1"/>
  </r>
  <r>
    <n v="2"/>
    <d v="2019-02-22T00:00:00"/>
    <x v="8"/>
    <x v="8"/>
    <x v="1"/>
    <s v="ADMINISTRACION DE SUCURSALES"/>
    <s v="OTROS EGRESOS 18"/>
    <s v="OTROS EGRESOS 1.P.O (OR:2/DES:2 TRN:86 PERF:300086 CAU: 18"/>
    <n v="10.25"/>
    <n v="0"/>
    <s v="PAITILLA"/>
    <x v="1"/>
  </r>
  <r>
    <n v="2"/>
    <d v="2019-06-10T00:00:00"/>
    <x v="2"/>
    <x v="2"/>
    <x v="1"/>
    <s v="ADMINISTRACION DE SUCURSALES"/>
    <s v="OTROS EGRESOS 18"/>
    <s v="OTROS EGRESOS 1.P.O (OR:2/DES:2 TRN:86 PERF:300086 CAU: 18"/>
    <n v="3"/>
    <n v="0"/>
    <s v="PAITILLA"/>
    <x v="1"/>
  </r>
  <r>
    <n v="3"/>
    <d v="2019-01-10T00:00:00"/>
    <x v="7"/>
    <x v="7"/>
    <x v="1"/>
    <s v="ADMINISTRACION DE SUCURSALES"/>
    <s v="OTROS EGRESOS 18"/>
    <s v="OTROS EGRESOS 1.P.O (OR:3/DES:3 TRN:86 PERF:300086 CAU: 18"/>
    <n v="6.85"/>
    <n v="0"/>
    <s v="EL DORADO"/>
    <x v="1"/>
  </r>
  <r>
    <n v="3"/>
    <d v="2019-01-21T00:00:00"/>
    <x v="7"/>
    <x v="7"/>
    <x v="1"/>
    <s v="ADMINISTRACION DE SUCURSALES"/>
    <s v="OTROS EGRESOS 18"/>
    <s v="OTROS EGRESOS 1.P.O (OR:3/DES:3 TRN:86 PERF:300086 CAU: 18"/>
    <n v="4.5"/>
    <n v="0"/>
    <s v="EL DORADO"/>
    <x v="1"/>
  </r>
  <r>
    <n v="3"/>
    <d v="2019-01-30T00:00:00"/>
    <x v="7"/>
    <x v="7"/>
    <x v="1"/>
    <s v="ADMINISTRACION DE SUCURSALES"/>
    <s v="OTROS EGRESOS 18"/>
    <s v="OTROS EGRESOS 1.P.O (OR:3/DES:3 TRN:86 PERF:300086 CAU: 18"/>
    <n v="9.1999999999999993"/>
    <n v="0"/>
    <s v="EL DORADO"/>
    <x v="1"/>
  </r>
  <r>
    <n v="3"/>
    <d v="2019-03-20T00:00:00"/>
    <x v="9"/>
    <x v="9"/>
    <x v="1"/>
    <s v="ADMINISTRACION DE SUCURSALES"/>
    <s v="OTROS EGRESOS 18"/>
    <s v="OTROS EGRESOS 1.P.O (OR:3/DES:3 TRN:86 PERF:300086 CAU: 18"/>
    <n v="6.85"/>
    <n v="0"/>
    <s v="EL DORADO"/>
    <x v="1"/>
  </r>
  <r>
    <n v="3"/>
    <d v="2019-04-04T00:00:00"/>
    <x v="10"/>
    <x v="10"/>
    <x v="1"/>
    <s v="ADMINISTRACION DE SUCURSALES"/>
    <s v="OTROS EGRESOS 18"/>
    <s v="OTROS EGRESOS 1.P.O (OR:3/DES:3 TRN:86 PERF:300086 CAU: 18"/>
    <n v="4.75"/>
    <n v="0"/>
    <s v="EL DORADO"/>
    <x v="1"/>
  </r>
  <r>
    <n v="3"/>
    <d v="2019-05-14T00:00:00"/>
    <x v="11"/>
    <x v="11"/>
    <x v="1"/>
    <s v="ADMINISTRACION DE SUCURSALES"/>
    <s v="OTROS EGRESOS 18"/>
    <s v="OTROS EGRESOS 1.P.O (OR:3/DES:3 TRN:86 PERF:300086 CAU: 18"/>
    <n v="3"/>
    <n v="0"/>
    <s v="EL DORADO"/>
    <x v="1"/>
  </r>
  <r>
    <n v="3"/>
    <d v="2019-05-27T00:00:00"/>
    <x v="11"/>
    <x v="11"/>
    <x v="1"/>
    <s v="ADMINISTRACION DE SUCURSALES"/>
    <s v="OTROS EGRESOS 18"/>
    <s v="OTROS EGRESOS 1.P.O (OR:3/DES:3 TRN:86 PERF:300086 CAU: 18"/>
    <n v="2.7"/>
    <n v="0"/>
    <s v="EL DORADO"/>
    <x v="1"/>
  </r>
  <r>
    <n v="3"/>
    <d v="2019-06-04T00:00:00"/>
    <x v="2"/>
    <x v="2"/>
    <x v="1"/>
    <s v="ADMINISTRACION DE SUCURSALES"/>
    <s v="OTROS EGRESOS 18"/>
    <s v="OTROS EGRESOS 1.P.O (OR:3/DES:3 TRN:86 PERF:300086 CAU: 18"/>
    <n v="2.4"/>
    <n v="0"/>
    <s v="EL DORADO"/>
    <x v="1"/>
  </r>
  <r>
    <n v="3"/>
    <d v="2019-06-14T00:00:00"/>
    <x v="2"/>
    <x v="2"/>
    <x v="1"/>
    <s v="ADMINISTRACION DE SUCURSALES"/>
    <s v="OTROS EGRESOS 18"/>
    <s v="OTROS EGRESOS 1.P.O (OR:3/DES:3 TRN:86 PERF:300086 CAU: 18"/>
    <n v="8.35"/>
    <n v="0"/>
    <s v="EL DORADO"/>
    <x v="1"/>
  </r>
  <r>
    <n v="3"/>
    <d v="2019-07-05T00:00:00"/>
    <x v="6"/>
    <x v="6"/>
    <x v="1"/>
    <s v="ADMINISTRACION DE SUCURSALES"/>
    <s v="OTROS EGRESOS 18"/>
    <s v="OTROS EGRESOS 1.P.O (OR:3/DES:3 TRN:86 PERF:300086 CAU: 18"/>
    <n v="9.1999999999999993"/>
    <n v="0"/>
    <s v="EL DORADO"/>
    <x v="1"/>
  </r>
  <r>
    <n v="3"/>
    <d v="2019-07-22T00:00:00"/>
    <x v="6"/>
    <x v="6"/>
    <x v="1"/>
    <s v="ADMINISTRACION DE SUCURSALES"/>
    <s v="OTROS EGRESOS 18"/>
    <s v="OTROS EGRESOS 1.P.O (OR:3/DES:3 TRN:86 PERF:300086 CAU: 18"/>
    <n v="1.8"/>
    <n v="0"/>
    <s v="EL DORADO"/>
    <x v="1"/>
  </r>
  <r>
    <n v="3"/>
    <d v="2019-07-29T00:00:00"/>
    <x v="6"/>
    <x v="6"/>
    <x v="1"/>
    <s v="ADMINISTRACION DE SUCURSALES"/>
    <s v="OTROS EGRESOS 18"/>
    <s v="OTROS EGRESOS 1.P.O (OR:3/DES:3 TRN:86 PERF:300086 CAU: 18"/>
    <n v="1.8"/>
    <n v="0"/>
    <s v="EL DORADO"/>
    <x v="1"/>
  </r>
  <r>
    <n v="4"/>
    <d v="2019-03-23T00:00:00"/>
    <x v="9"/>
    <x v="9"/>
    <x v="1"/>
    <s v="ADMINISTRACION DE SUCURSALES"/>
    <s v="OTROS EGRESOS 18"/>
    <s v="OTROS EGRESOS 1.P.O (OR:4/DES:4 TRN:86 PERF:300086 CAU: 18"/>
    <n v="5.55"/>
    <n v="0"/>
    <s v="VIA ARGENTINA"/>
    <x v="1"/>
  </r>
  <r>
    <n v="4"/>
    <d v="2019-05-09T00:00:00"/>
    <x v="11"/>
    <x v="11"/>
    <x v="1"/>
    <s v="ADMINISTRACION DE SUCURSALES"/>
    <s v="OTROS EGRESOS 18"/>
    <s v="OTROS EGRESOS 1.P.O (OR:4/DES:4 TRN:86 PERF:300086 CAU: 18"/>
    <n v="1.8"/>
    <n v="0"/>
    <s v="VIA ARGENTINA"/>
    <x v="1"/>
  </r>
  <r>
    <n v="4"/>
    <d v="2019-05-21T00:00:00"/>
    <x v="11"/>
    <x v="11"/>
    <x v="1"/>
    <s v="ADMINISTRACION DE SUCURSALES"/>
    <s v="OTROS EGRESOS 18"/>
    <s v="OTROS EGRESOS 1.P.O (OR:4/DES:4 TRN:86 PERF:300086 CAU: 18"/>
    <n v="10.25"/>
    <n v="0"/>
    <s v="VIA ARGENTINA"/>
    <x v="1"/>
  </r>
  <r>
    <n v="4"/>
    <d v="2019-06-06T00:00:00"/>
    <x v="2"/>
    <x v="2"/>
    <x v="1"/>
    <s v="ADMINISTRACION DE SUCURSALES"/>
    <s v="OTROS EGRESOS 18"/>
    <s v="OTROS EGRESOS 1.P.O (OR:4/DES:4 TRN:86 PERF:300086 CAU: 18"/>
    <n v="2.4"/>
    <n v="0"/>
    <s v="VIA ARGENTINA"/>
    <x v="1"/>
  </r>
  <r>
    <n v="4"/>
    <d v="2019-06-08T00:00:00"/>
    <x v="2"/>
    <x v="2"/>
    <x v="1"/>
    <s v="ADMINISTRACION DE SUCURSALES"/>
    <s v="OTROS EGRESOS 18"/>
    <s v="OTROS EGRESOS 1.P.O (OR:4/DES:4 TRN:86 PERF:300086 CAU: 18"/>
    <n v="3"/>
    <n v="0"/>
    <s v="VIA ARGENTINA"/>
    <x v="1"/>
  </r>
  <r>
    <n v="4"/>
    <d v="2019-06-19T00:00:00"/>
    <x v="2"/>
    <x v="2"/>
    <x v="1"/>
    <s v="ADMINISTRACION DE SUCURSALES"/>
    <s v="OTROS EGRESOS 18"/>
    <s v="OTROS EGRESOS 1.P.O (OR:4/DES:4 TRN:86 PERF:300086 CAU: 18"/>
    <n v="2.4"/>
    <n v="0"/>
    <s v="VIA ARGENTINA"/>
    <x v="1"/>
  </r>
  <r>
    <n v="4"/>
    <d v="2019-06-24T00:00:00"/>
    <x v="2"/>
    <x v="2"/>
    <x v="1"/>
    <s v="ADMINISTRACION DE SUCURSALES"/>
    <s v="OTROS EGRESOS 18"/>
    <s v="OTROS EGRESOS 1.P.O (OR:4/DES:4 TRN:86 PERF:300086 CAU: 18"/>
    <n v="2.25"/>
    <n v="0"/>
    <s v="VIA ARGENTINA"/>
    <x v="1"/>
  </r>
  <r>
    <n v="4"/>
    <d v="2019-07-16T00:00:00"/>
    <x v="6"/>
    <x v="6"/>
    <x v="1"/>
    <s v="ADMINISTRACION DE SUCURSALES"/>
    <s v="OTROS EGRESOS 18"/>
    <s v="OTROS EGRESOS 1.P.O (OR:4/DES:4 TRN:86 PERF:300086 CAU: 18"/>
    <n v="1.8"/>
    <n v="0"/>
    <s v="VIA ARGENTINA"/>
    <x v="1"/>
  </r>
  <r>
    <n v="4"/>
    <d v="2019-07-30T00:00:00"/>
    <x v="6"/>
    <x v="6"/>
    <x v="1"/>
    <s v="ADMINISTRACION DE SUCURSALES"/>
    <s v="OTROS EGRESOS 18"/>
    <s v="OTROS EGRESOS 1.P.O (OR:4/DES:4 TRN:86 PERF:300086 CAU: 18"/>
    <n v="10.25"/>
    <n v="0"/>
    <s v="VIA ARGENTINA"/>
    <x v="1"/>
  </r>
  <r>
    <n v="5"/>
    <d v="2019-01-10T00:00:00"/>
    <x v="7"/>
    <x v="7"/>
    <x v="1"/>
    <s v="ADMINISTRACION DE SUCURSALES"/>
    <s v="OTROS EGRESOS 18"/>
    <s v="OTROS EGRESOS 1.P.O (OR:5/DES:5 TRN:86 PERF:300086 CAU: 18"/>
    <n v="1.8"/>
    <n v="0"/>
    <s v="VIA PORRAS"/>
    <x v="1"/>
  </r>
  <r>
    <n v="5"/>
    <d v="2019-01-14T00:00:00"/>
    <x v="7"/>
    <x v="7"/>
    <x v="1"/>
    <s v="ADMINISTRACION DE SUCURSALES"/>
    <s v="OTROS EGRESOS 18"/>
    <s v="OTROS EGRESOS 1.P.O (OR:5/DES:5 TRN:86 PERF:300086 CAU: 18"/>
    <n v="1.8"/>
    <n v="0"/>
    <s v="VIA PORRAS"/>
    <x v="1"/>
  </r>
  <r>
    <n v="5"/>
    <d v="2019-01-18T00:00:00"/>
    <x v="7"/>
    <x v="7"/>
    <x v="1"/>
    <s v="ADMINISTRACION DE SUCURSALES"/>
    <s v="OTROS EGRESOS 18"/>
    <s v="OTROS EGRESOS 1.P.O (OR:5/DES:5 TRN:86 PERF:300086 CAU: 18"/>
    <n v="4.75"/>
    <n v="0"/>
    <s v="VIA PORRAS"/>
    <x v="1"/>
  </r>
  <r>
    <n v="5"/>
    <d v="2019-02-20T00:00:00"/>
    <x v="8"/>
    <x v="8"/>
    <x v="1"/>
    <s v="ADMINISTRACION DE SUCURSALES"/>
    <s v="OTROS EGRESOS 18"/>
    <s v="OTROS EGRESOS 1.P.O (OR:5/DES:5 TRN:86 PERF:300086 CAU: 18"/>
    <n v="9.1999999999999993"/>
    <n v="0"/>
    <s v="VIA PORRAS"/>
    <x v="1"/>
  </r>
  <r>
    <n v="5"/>
    <d v="2019-02-21T00:00:00"/>
    <x v="8"/>
    <x v="8"/>
    <x v="1"/>
    <s v="ADMINISTRACION DE SUCURSALES"/>
    <s v="OTROS EGRESOS 18"/>
    <s v="OTROS EGRESOS 1.P.O (OR:5/DES:5 TRN:86 PERF:300086 CAU: 18"/>
    <n v="7.15"/>
    <n v="0"/>
    <s v="VIA PORRAS"/>
    <x v="1"/>
  </r>
  <r>
    <n v="5"/>
    <d v="2019-02-22T00:00:00"/>
    <x v="8"/>
    <x v="8"/>
    <x v="1"/>
    <s v="ADMINISTRACION DE SUCURSALES"/>
    <s v="OTROS EGRESOS 18"/>
    <s v="OTROS EGRESOS 1.P.O (OR:5/DES:5 TRN:86 PERF:300086 CAU: 18"/>
    <n v="9.1999999999999993"/>
    <n v="0"/>
    <s v="VIA PORRAS"/>
    <x v="1"/>
  </r>
  <r>
    <n v="5"/>
    <d v="2019-03-07T00:00:00"/>
    <x v="9"/>
    <x v="9"/>
    <x v="1"/>
    <s v="ADMINISTRACION DE SUCURSALES"/>
    <s v="OTROS EGRESOS 18"/>
    <s v="OTROS EGRESOS 1.P.O (OR:5/DES:5 TRN:86 PERF:300086 CAU: 18"/>
    <n v="3"/>
    <n v="0"/>
    <s v="VIA PORRAS"/>
    <x v="1"/>
  </r>
  <r>
    <n v="5"/>
    <d v="2019-03-12T00:00:00"/>
    <x v="9"/>
    <x v="9"/>
    <x v="1"/>
    <s v="ADMINISTRACION DE SUCURSALES"/>
    <s v="OTROS EGRESOS 18"/>
    <s v="OTROS EGRESOS 1.P.O (OR:5/DES:5 TRN:86 PERF:300086 CAU: 18"/>
    <n v="1.8"/>
    <n v="0"/>
    <s v="VIA PORRAS"/>
    <x v="1"/>
  </r>
  <r>
    <n v="5"/>
    <d v="2019-03-30T00:00:00"/>
    <x v="9"/>
    <x v="9"/>
    <x v="1"/>
    <s v="ADMINISTRACION DE SUCURSALES"/>
    <s v="OTROS EGRESOS 18"/>
    <s v="OTROS EGRESOS 1.P.O (OR:5/DES:5 TRN:86 PERF:300086 CAU: 18"/>
    <n v="2.4"/>
    <n v="0"/>
    <s v="VIA PORRAS"/>
    <x v="1"/>
  </r>
  <r>
    <n v="5"/>
    <d v="2019-07-26T00:00:00"/>
    <x v="6"/>
    <x v="6"/>
    <x v="1"/>
    <s v="ADMINISTRACION DE SUCURSALES"/>
    <s v="VIATICOS 2"/>
    <s v="TRANSACCIONES DEL DIA 07/26/2019SPYRAL - GESTION ADMINISTRATIVA"/>
    <n v="1.8"/>
    <n v="0"/>
    <s v="VIA PORRAS"/>
    <x v="1"/>
  </r>
  <r>
    <n v="5"/>
    <d v="2019-07-25T00:00:00"/>
    <x v="6"/>
    <x v="6"/>
    <x v="1"/>
    <s v="CAJA"/>
    <s v="VIATICOS 2"/>
    <s v="TRANSACCIONES DEL DIA 07/25/2019SPYRAL - GESTION ADMINISTRATIVA"/>
    <n v="1.8"/>
    <n v="0"/>
    <s v="VIA PORRAS"/>
    <x v="1"/>
  </r>
  <r>
    <n v="5"/>
    <d v="2019-07-26T00:00:00"/>
    <x v="6"/>
    <x v="6"/>
    <x v="1"/>
    <s v="CAJA"/>
    <s v="VIATICOS 2"/>
    <s v="TRANSACCIONES DEL DIA 07/26/2019SPYRAL - GESTION ADMINISTRATIVA"/>
    <n v="6"/>
    <n v="0"/>
    <s v="VIA PORRAS"/>
    <x v="1"/>
  </r>
  <r>
    <n v="5"/>
    <d v="2019-03-29T00:00:00"/>
    <x v="9"/>
    <x v="9"/>
    <x v="1"/>
    <s v="SERVICIOS PERSONALES"/>
    <s v="VIATICOS 2"/>
    <s v="TRANSACCIONES DEL DIA 03/29/2019SPYRAL - GESTION ADMINISTRATIVA"/>
    <n v="9.1999999999999993"/>
    <n v="0"/>
    <s v="VIA PORRAS"/>
    <x v="1"/>
  </r>
  <r>
    <n v="6"/>
    <d v="2019-02-21T00:00:00"/>
    <x v="8"/>
    <x v="8"/>
    <x v="1"/>
    <s v="ADMINISTRACION DE SUCURSALES"/>
    <s v="OTROS EGRESOS 18"/>
    <s v="OTROS EGRESOS 1.P.O (OR:6/DES:6 TRN:86 PERF:300086 CAU: 18"/>
    <n v="18.399999999999999"/>
    <n v="0"/>
    <s v="EL INGENIO"/>
    <x v="1"/>
  </r>
  <r>
    <n v="6"/>
    <d v="2019-04-01T00:00:00"/>
    <x v="10"/>
    <x v="10"/>
    <x v="1"/>
    <s v="ADMINISTRACION DE SUCURSALES"/>
    <s v="OTROS EGRESOS 18"/>
    <s v="OTROS EGRESOS 1.P.O (OR:6/DES:6 TRN:86 PERF:300086 CAU: 18"/>
    <n v="2.7"/>
    <n v="0"/>
    <s v="EL INGENIO"/>
    <x v="1"/>
  </r>
  <r>
    <n v="6"/>
    <d v="2019-04-08T00:00:00"/>
    <x v="10"/>
    <x v="10"/>
    <x v="1"/>
    <s v="ADMINISTRACION DE SUCURSALES"/>
    <s v="OTROS EGRESOS 18"/>
    <s v="OTROS EGRESOS 1.P.O (OR:6/DES:6 TRN:86 PERF:300086 CAU: 18"/>
    <n v="4.8"/>
    <n v="0"/>
    <s v="EL INGENIO"/>
    <x v="1"/>
  </r>
  <r>
    <n v="6"/>
    <d v="2019-04-15T00:00:00"/>
    <x v="10"/>
    <x v="10"/>
    <x v="1"/>
    <s v="ADMINISTRACION DE SUCURSALES"/>
    <s v="OTROS EGRESOS 18"/>
    <s v="OTROS EGRESOS 1.P.O (OR:6/DES:6 TRN:86 PERF:300086 CAU: 18"/>
    <n v="2.25"/>
    <n v="0"/>
    <s v="EL INGENIO"/>
    <x v="1"/>
  </r>
  <r>
    <n v="6"/>
    <d v="2019-04-16T00:00:00"/>
    <x v="10"/>
    <x v="10"/>
    <x v="1"/>
    <s v="ADMINISTRACION DE SUCURSALES"/>
    <s v="OTROS EGRESOS 18"/>
    <s v="OTROS EGRESOS 1.P.O (OR:6/DES:6 TRN:86 PERF:300086 CAU: 18"/>
    <n v="2.25"/>
    <n v="0"/>
    <s v="EL INGENIO"/>
    <x v="1"/>
  </r>
  <r>
    <n v="6"/>
    <d v="2019-04-24T00:00:00"/>
    <x v="10"/>
    <x v="10"/>
    <x v="1"/>
    <s v="ADMINISTRACION DE SUCURSALES"/>
    <s v="OTROS EGRESOS 18"/>
    <s v="OTROS EGRESOS 1.P.O (OR:6/DES:6 TRN:86 PERF:300086 CAU: 18"/>
    <n v="9.1999999999999993"/>
    <n v="0"/>
    <s v="EL INGENIO"/>
    <x v="1"/>
  </r>
  <r>
    <n v="6"/>
    <d v="2019-04-25T00:00:00"/>
    <x v="10"/>
    <x v="10"/>
    <x v="1"/>
    <s v="ADMINISTRACION DE SUCURSALES"/>
    <s v="OTROS EGRESOS 18"/>
    <s v="OTROS EGRESOS 1.P.O (OR:6/DES:6 TRN:86 PERF:300086 CAU: 18"/>
    <n v="2.7"/>
    <n v="0"/>
    <s v="EL INGENIO"/>
    <x v="1"/>
  </r>
  <r>
    <n v="6"/>
    <d v="2019-05-31T00:00:00"/>
    <x v="11"/>
    <x v="11"/>
    <x v="1"/>
    <s v="ADMINISTRACION DE SUCURSALES"/>
    <s v="OTROS EGRESOS 18"/>
    <s v="OTROS EGRESOS 1.P.O (OR:6/DES:6 TRN:86 PERF:300086 CAU: 18"/>
    <n v="6.75"/>
    <n v="0"/>
    <s v="EL INGENIO"/>
    <x v="1"/>
  </r>
  <r>
    <n v="6"/>
    <d v="2019-06-19T00:00:00"/>
    <x v="2"/>
    <x v="2"/>
    <x v="1"/>
    <s v="ADMINISTRACION DE SUCURSALES"/>
    <s v="OTROS EGRESOS 18"/>
    <s v="OTROS EGRESOS 1.P.O (OR:6/DES:6 TRN:86 PERF:300086 CAU: 18"/>
    <n v="7.6"/>
    <n v="0"/>
    <s v="EL INGENIO"/>
    <x v="1"/>
  </r>
  <r>
    <n v="6"/>
    <d v="2019-06-26T00:00:00"/>
    <x v="2"/>
    <x v="2"/>
    <x v="1"/>
    <s v="ADMINISTRACION DE SUCURSALES"/>
    <s v="OTROS EGRESOS 18"/>
    <s v="OTROS EGRESOS 1.P.O (OR:6/DES:6 TRN:86 PERF:300086 CAU: 18"/>
    <n v="4.75"/>
    <n v="0"/>
    <s v="EL INGENIO"/>
    <x v="1"/>
  </r>
  <r>
    <n v="6"/>
    <d v="2019-07-18T00:00:00"/>
    <x v="6"/>
    <x v="6"/>
    <x v="1"/>
    <s v="ADMINISTRACION DE SUCURSALES"/>
    <s v="OTROS EGRESOS 18"/>
    <s v="OTROS EGRESOS 1.P.O (OR:6/DES:6 TRN:86 PERF:300086 CAU: 18"/>
    <n v="2.25"/>
    <n v="0"/>
    <s v="EL INGENIO"/>
    <x v="1"/>
  </r>
  <r>
    <n v="6"/>
    <d v="2019-07-25T00:00:00"/>
    <x v="6"/>
    <x v="6"/>
    <x v="1"/>
    <s v="ADMINISTRACION DE SUCURSALES"/>
    <s v="OTROS EGRESOS 18"/>
    <s v="OTROS EGRESOS 1.P.O (OR:6/DES:6 TRN:86 PERF:300086 CAU: 18"/>
    <n v="2.25"/>
    <n v="0"/>
    <s v="EL INGENIO"/>
    <x v="1"/>
  </r>
  <r>
    <n v="7"/>
    <d v="2019-01-29T00:00:00"/>
    <x v="7"/>
    <x v="7"/>
    <x v="1"/>
    <s v="ADMINISTRACION DE SUCURSALES"/>
    <s v="OTROS EGRESOS 18"/>
    <s v="OTROS EGRESOS 1.P.O (OR:7/DES:7 TRN:86 PERF:300086 CAU: 18"/>
    <n v="14.7"/>
    <n v="0"/>
    <s v="CHANIS"/>
    <x v="1"/>
  </r>
  <r>
    <n v="7"/>
    <d v="2019-02-20T00:00:00"/>
    <x v="8"/>
    <x v="8"/>
    <x v="1"/>
    <s v="ADMINISTRACION DE SUCURSALES"/>
    <s v="OTROS EGRESOS 18"/>
    <s v="OTROS EGRESOS 1.P.O (OR:7/DES:7 TRN:86 PERF:300086 CAU: 18"/>
    <n v="7.35"/>
    <n v="0"/>
    <s v="CHANIS"/>
    <x v="1"/>
  </r>
  <r>
    <n v="7"/>
    <d v="2019-03-15T00:00:00"/>
    <x v="9"/>
    <x v="9"/>
    <x v="1"/>
    <s v="ADMINISTRACION DE SUCURSALES"/>
    <s v="OTROS EGRESOS 18"/>
    <s v="OTROS EGRESOS 1.P.O (OR:7/DES:7 TRN:86 PERF:300086 CAU: 18"/>
    <n v="3.95"/>
    <n v="0"/>
    <s v="CHANIS"/>
    <x v="1"/>
  </r>
  <r>
    <n v="7"/>
    <d v="2019-03-18T00:00:00"/>
    <x v="9"/>
    <x v="9"/>
    <x v="1"/>
    <s v="ADMINISTRACION DE SUCURSALES"/>
    <s v="OTROS EGRESOS 18"/>
    <s v="OTROS EGRESOS 1.P.O (OR:7/DES:7 TRN:86 PERF:300086 CAU: 18"/>
    <n v="3.95"/>
    <n v="0"/>
    <s v="CHANIS"/>
    <x v="1"/>
  </r>
  <r>
    <n v="7"/>
    <d v="2019-04-09T00:00:00"/>
    <x v="10"/>
    <x v="10"/>
    <x v="1"/>
    <s v="ADMINISTRACION DE SUCURSALES"/>
    <s v="OTROS EGRESOS 18"/>
    <s v="OTROS EGRESOS 1.P.O (OR:7/DES:7 TRN:86 PERF:300086 CAU: 18"/>
    <n v="3"/>
    <n v="0"/>
    <s v="CHANIS"/>
    <x v="1"/>
  </r>
  <r>
    <n v="7"/>
    <d v="2019-06-17T00:00:00"/>
    <x v="2"/>
    <x v="2"/>
    <x v="1"/>
    <s v="ADMINISTRACION DE SUCURSALES"/>
    <s v="OTROS EGRESOS 18"/>
    <s v="OTROS EGRESOS 1.P.O (OR:7/DES:7 TRN:86 PERF:300086 CAU: 18"/>
    <n v="4.2"/>
    <n v="0"/>
    <s v="CHANIS"/>
    <x v="1"/>
  </r>
  <r>
    <n v="7"/>
    <d v="2019-06-24T00:00:00"/>
    <x v="2"/>
    <x v="2"/>
    <x v="1"/>
    <s v="ADMINISTRACION DE SUCURSALES"/>
    <s v="OTROS EGRESOS 18"/>
    <s v="OTROS EGRESOS 1.P.O (OR:7/DES:7 TRN:86 PERF:300086 CAU: 18"/>
    <n v="1.8"/>
    <n v="0"/>
    <s v="CHANIS"/>
    <x v="1"/>
  </r>
  <r>
    <n v="7"/>
    <d v="2019-07-27T00:00:00"/>
    <x v="6"/>
    <x v="6"/>
    <x v="1"/>
    <s v="ADMINISTRACION DE SUCURSALES"/>
    <s v="OTROS EGRESOS 18"/>
    <s v="OTROS EGRESOS 1.P.O (OR:7/DES:7 TRN:86 PERF:300086 CAU: 18"/>
    <n v="7.35"/>
    <n v="0"/>
    <s v="CHANIS"/>
    <x v="1"/>
  </r>
  <r>
    <n v="8"/>
    <d v="2019-03-19T00:00:00"/>
    <x v="9"/>
    <x v="9"/>
    <x v="1"/>
    <s v="ADMINISTRACION DE SUCURSALES"/>
    <s v="OTROS EGRESOS 18"/>
    <s v="OTROS EGRESOS 1.P.O (OR:8/DES:8 TRN:86 PERF:300086 CAU: 18"/>
    <n v="7.35"/>
    <n v="0"/>
    <s v="PLAZA TOCUMEN"/>
    <x v="1"/>
  </r>
  <r>
    <n v="8"/>
    <d v="2019-04-11T00:00:00"/>
    <x v="10"/>
    <x v="10"/>
    <x v="1"/>
    <s v="ADMINISTRACION DE SUCURSALES"/>
    <s v="OTROS EGRESOS 18"/>
    <s v="OTROS EGRESOS 1.P.O (OR:8/DES:8 TRN:86 PERF:300086 CAU: 18"/>
    <n v="2.1"/>
    <n v="0"/>
    <s v="PLAZA TOCUMEN"/>
    <x v="1"/>
  </r>
  <r>
    <n v="8"/>
    <d v="2019-04-23T00:00:00"/>
    <x v="10"/>
    <x v="10"/>
    <x v="1"/>
    <s v="ADMINISTRACION DE SUCURSALES"/>
    <s v="OTROS EGRESOS 18"/>
    <s v="OTROS EGRESOS 1.P.O (OR:8/DES:8 TRN:86 PERF:300086 CAU: 18"/>
    <n v="3.7"/>
    <n v="0"/>
    <s v="PLAZA TOCUMEN"/>
    <x v="1"/>
  </r>
  <r>
    <n v="8"/>
    <d v="2019-04-26T00:00:00"/>
    <x v="10"/>
    <x v="10"/>
    <x v="1"/>
    <s v="ADMINISTRACION DE SUCURSALES"/>
    <s v="OTROS EGRESOS 18"/>
    <s v="OTROS EGRESOS 1.P.O (OR:8/DES:8 TRN:86 PERF:300086 CAU: 18"/>
    <n v="9.1999999999999993"/>
    <n v="0"/>
    <s v="PLAZA TOCUMEN"/>
    <x v="1"/>
  </r>
  <r>
    <n v="9"/>
    <d v="2019-01-18T00:00:00"/>
    <x v="7"/>
    <x v="7"/>
    <x v="1"/>
    <s v="ADMINISTRACION DE SUCURSALES"/>
    <s v="VIATICOS"/>
    <s v="TRANSACCIONES DEL DIA 01/18/2019SPYRAL - GESTION ADMINISTRATIVA"/>
    <n v="130"/>
    <n v="0"/>
    <s v="SANTIAGO"/>
    <x v="1"/>
  </r>
  <r>
    <n v="9"/>
    <d v="2019-02-18T00:00:00"/>
    <x v="8"/>
    <x v="8"/>
    <x v="1"/>
    <s v="ADMINISTRACION DE SUCURSALES"/>
    <s v="OTROS EGRESOS 18"/>
    <s v="OTROS EGRESOS 1.P.O (OR:9/DES:9 TRN:86 PERF:300086 CAU: 18"/>
    <n v="18"/>
    <n v="0"/>
    <s v="SANTIAGO"/>
    <x v="1"/>
  </r>
  <r>
    <n v="9"/>
    <d v="2019-02-18T00:00:00"/>
    <x v="8"/>
    <x v="8"/>
    <x v="1"/>
    <s v="ADMINISTRACION DE SUCURSALES"/>
    <s v="VIATICOS"/>
    <s v="TRANSACCIONES DEL DIA 02/18/2019SPYRAL - GESTION ADMINISTRATIVA"/>
    <n v="137.5"/>
    <n v="0"/>
    <s v="SANTIAGO"/>
    <x v="1"/>
  </r>
  <r>
    <n v="9"/>
    <d v="2019-03-20T00:00:00"/>
    <x v="9"/>
    <x v="9"/>
    <x v="1"/>
    <s v="ADMINISTRACION DE SUCURSALES"/>
    <s v="VIATICOS 2"/>
    <s v="TRANSACCIONES DEL DIA 03/20/2019SPYRAL - GESTION ADMINISTRATIVA"/>
    <n v="130"/>
    <n v="0"/>
    <s v="SANTIAGO"/>
    <x v="1"/>
  </r>
  <r>
    <n v="9"/>
    <d v="2019-06-27T00:00:00"/>
    <x v="2"/>
    <x v="2"/>
    <x v="1"/>
    <s v="ADMINISTRACION DE SUCURSALES"/>
    <s v="VIATICOS 2"/>
    <s v="TRANSACCIONES DEL DIA 06/27/2019SPYRAL - GESTION ADMINISTRATIVA"/>
    <n v="100"/>
    <n v="0"/>
    <s v="SANTIAGO"/>
    <x v="1"/>
  </r>
  <r>
    <n v="9"/>
    <d v="2019-07-15T00:00:00"/>
    <x v="6"/>
    <x v="6"/>
    <x v="1"/>
    <s v="ADMINISTRACION DE SUCURSALES"/>
    <s v="VIATICOS 2"/>
    <s v="TRANSACCIONES DEL DIA 07/15/2019SPYRAL - GESTION ADMINISTRATIVA"/>
    <n v="122"/>
    <n v="0"/>
    <s v="SANTIAGO"/>
    <x v="1"/>
  </r>
  <r>
    <n v="10"/>
    <d v="2019-02-19T00:00:00"/>
    <x v="8"/>
    <x v="8"/>
    <x v="1"/>
    <s v="ADMINISTRACION DE SUCURSALES"/>
    <s v="OTROS EGRESOS 18"/>
    <s v="OTROS EGRESOS 1.P.O (OR:10/DES:10 TRN:86 PERF:300086 CAU: 18"/>
    <n v="10.25"/>
    <n v="0"/>
    <s v="OBARRIO"/>
    <x v="1"/>
  </r>
  <r>
    <n v="10"/>
    <d v="2019-02-20T00:00:00"/>
    <x v="8"/>
    <x v="8"/>
    <x v="1"/>
    <s v="ADMINISTRACION DE SUCURSALES"/>
    <s v="OTROS EGRESOS 18"/>
    <s v="OTROS EGRESOS 1.P.O (OR:10/DES:10 TRN:86 PERF:300086 CAU: 18"/>
    <n v="10.25"/>
    <n v="0"/>
    <s v="OBARRIO"/>
    <x v="1"/>
  </r>
  <r>
    <n v="11"/>
    <d v="2019-02-05T00:00:00"/>
    <x v="8"/>
    <x v="8"/>
    <x v="1"/>
    <s v="ADMINISTRACION DE SUCURSALES"/>
    <s v="VIATICOS"/>
    <s v="TRANSACCIONES DEL DIA 02/05/2019SPYRAL - GESTION ADMINISTRATIVA"/>
    <n v="46.4"/>
    <n v="0"/>
    <s v="COLON"/>
    <x v="1"/>
  </r>
  <r>
    <n v="11"/>
    <d v="2019-04-15T00:00:00"/>
    <x v="10"/>
    <x v="10"/>
    <x v="1"/>
    <s v="ADMINISTRACION DE SUCURSALES"/>
    <s v="VIATICOS 2"/>
    <s v="TRANSACCIONES DEL DIA 04/15/2019SPYRAL - GESTION ADMINISTRATIVA"/>
    <n v="44.4"/>
    <n v="0"/>
    <s v="COLON"/>
    <x v="1"/>
  </r>
  <r>
    <n v="13"/>
    <d v="2019-02-19T00:00:00"/>
    <x v="8"/>
    <x v="8"/>
    <x v="1"/>
    <s v="ADMINISTRACION DE SUCURSALES"/>
    <s v="OTROS EGRESOS 18"/>
    <s v="OTROS EGRESOS 1.P.O (OR:13/DES:13 TRN:86 PERF:300086 CAU: 18"/>
    <n v="25.9"/>
    <n v="0"/>
    <s v="HATO PINTADO"/>
    <x v="1"/>
  </r>
  <r>
    <n v="13"/>
    <d v="2019-04-22T00:00:00"/>
    <x v="10"/>
    <x v="10"/>
    <x v="1"/>
    <s v="ADMINISTRACION DE SUCURSALES"/>
    <s v="OTROS EGRESOS 18"/>
    <s v="OTROS EGRESOS 1.P.O (OR:13/DES:13 TRN:86 PERF:300086 CAU: 18"/>
    <n v="16.399999999999999"/>
    <n v="0"/>
    <s v="HATO PINTADO"/>
    <x v="1"/>
  </r>
  <r>
    <n v="13"/>
    <d v="2019-05-15T00:00:00"/>
    <x v="11"/>
    <x v="11"/>
    <x v="1"/>
    <s v="ADMINISTRACION DE SUCURSALES"/>
    <s v="OTROS EGRESOS 18"/>
    <s v="OTROS EGRESOS 1.P.O (OR:13/DES:13 TRN:86 PERF:300086 CAU: 18"/>
    <n v="3"/>
    <n v="0"/>
    <s v="HATO PINTADO"/>
    <x v="1"/>
  </r>
  <r>
    <n v="13"/>
    <d v="2019-06-29T00:00:00"/>
    <x v="2"/>
    <x v="2"/>
    <x v="1"/>
    <s v="ADMINISTRACION DE SUCURSALES"/>
    <s v="OTROS EGRESOS 18"/>
    <s v="OTROS EGRESOS 1.P.O (OR:13/DES:13 TRN:86 PERF:300086 CAU: 18"/>
    <n v="9"/>
    <n v="0"/>
    <s v="HATO PINTADO"/>
    <x v="1"/>
  </r>
  <r>
    <n v="14"/>
    <d v="2019-07-26T00:00:00"/>
    <x v="6"/>
    <x v="6"/>
    <x v="1"/>
    <s v="ADMINISTRACION DE SUCURSALES"/>
    <s v="OTROS EGRESOS 18"/>
    <s v="OTROS EGRESOS 1.P.O (OR:14/DES:14 TRN:86 PERF:300086 CAU: 18"/>
    <n v="8.4"/>
    <n v="0"/>
    <s v="RIO ABAJO"/>
    <x v="1"/>
  </r>
  <r>
    <n v="14"/>
    <d v="2019-02-01T00:00:00"/>
    <x v="8"/>
    <x v="8"/>
    <x v="1"/>
    <s v="CAJA"/>
    <s v="VIATICOS"/>
    <s v="TRANSACCIONES DEL DIA 02/01/2019SPYRAL - GESTION ADMINISTRATIVA"/>
    <n v="126"/>
    <n v="0"/>
    <s v="RIO ABAJO"/>
    <x v="1"/>
  </r>
  <r>
    <n v="15"/>
    <d v="2019-01-17T00:00:00"/>
    <x v="7"/>
    <x v="7"/>
    <x v="1"/>
    <s v="ADMINISTRACION DE SUCURSALES"/>
    <s v="OTROS EGRESOS 18"/>
    <s v="OTROS EGRESOS 1.P.O (OR:15/DES:15 TRN:86 PERF:300086 CAU: 18"/>
    <n v="18"/>
    <n v="0"/>
    <s v="LA CHORRERA"/>
    <x v="1"/>
  </r>
  <r>
    <n v="15"/>
    <d v="2019-01-24T00:00:00"/>
    <x v="7"/>
    <x v="7"/>
    <x v="1"/>
    <s v="ADMINISTRACION DE SUCURSALES"/>
    <s v="VIATICOS"/>
    <s v="TRANSACCIONES DEL DIA 01/24/2019SPYRAL - GESTION ADMINISTRATIVA"/>
    <n v="19"/>
    <n v="0"/>
    <s v="LA CHORRERA"/>
    <x v="1"/>
  </r>
  <r>
    <n v="15"/>
    <d v="2019-01-30T00:00:00"/>
    <x v="7"/>
    <x v="7"/>
    <x v="1"/>
    <s v="ADMINISTRACION DE SUCURSALES"/>
    <s v="OTROS EGRESOS 18"/>
    <s v="OTROS EGRESOS 1.P.O (OR:15/DES:15 TRN:86 PERF:300086 CAU: 18"/>
    <n v="9"/>
    <n v="0"/>
    <s v="LA CHORRERA"/>
    <x v="1"/>
  </r>
  <r>
    <n v="15"/>
    <d v="2019-02-08T00:00:00"/>
    <x v="8"/>
    <x v="8"/>
    <x v="1"/>
    <s v="ADMINISTRACION DE SUCURSALES"/>
    <s v="OTROS EGRESOS 18"/>
    <s v="OTROS EGRESOS 1.P.O (OR:15/DES:15 TRN:86 PERF:300086 CAU: 18"/>
    <n v="2.25"/>
    <n v="0"/>
    <s v="LA CHORRERA"/>
    <x v="1"/>
  </r>
  <r>
    <n v="15"/>
    <d v="2019-02-19T00:00:00"/>
    <x v="8"/>
    <x v="8"/>
    <x v="1"/>
    <s v="ADMINISTRACION DE SUCURSALES"/>
    <s v="OTROS EGRESOS 18"/>
    <s v="OTROS EGRESOS 1.P.O (OR:15/DES:15 TRN:86 PERF:300086 CAU: 18"/>
    <n v="25"/>
    <n v="0"/>
    <s v="LA CHORRERA"/>
    <x v="1"/>
  </r>
  <r>
    <n v="15"/>
    <d v="2019-02-25T00:00:00"/>
    <x v="8"/>
    <x v="8"/>
    <x v="1"/>
    <s v="ADMINISTRACION DE SUCURSALES"/>
    <s v="OTROS EGRESOS 18"/>
    <s v="OTROS EGRESOS 1.P.O (OR:15/DES:15 TRN:86 PERF:300086 CAU: 18"/>
    <n v="25"/>
    <n v="0"/>
    <s v="LA CHORRERA"/>
    <x v="1"/>
  </r>
  <r>
    <n v="15"/>
    <d v="2019-03-25T00:00:00"/>
    <x v="9"/>
    <x v="9"/>
    <x v="1"/>
    <s v="ADMINISTRACION DE SUCURSALES"/>
    <s v="OTROS EGRESOS 18"/>
    <s v="OTROS EGRESOS 1.P.O (OR:15/DES:15 TRN:86 PERF:300086 CAU: 18"/>
    <n v="2.25"/>
    <n v="0"/>
    <s v="LA CHORRERA"/>
    <x v="1"/>
  </r>
  <r>
    <n v="15"/>
    <d v="2019-03-27T00:00:00"/>
    <x v="9"/>
    <x v="9"/>
    <x v="1"/>
    <s v="ADMINISTRACION DE SUCURSALES"/>
    <s v="VIATICOS 2"/>
    <s v="TRANSACCIONES DEL DIA 03/27/2019SPYRAL - GESTION ADMINISTRATIVA"/>
    <n v="19"/>
    <n v="0"/>
    <s v="LA CHORRERA"/>
    <x v="1"/>
  </r>
  <r>
    <n v="15"/>
    <d v="2019-05-20T00:00:00"/>
    <x v="11"/>
    <x v="11"/>
    <x v="1"/>
    <s v="ADMINISTRACION DE SUCURSALES"/>
    <s v="VIATICOS 2"/>
    <s v="TRANSACCIONES DEL DIA 05/20/2019SPYRAL - GESTION ADMINISTRATIVA"/>
    <n v="19"/>
    <n v="0"/>
    <s v="LA CHORRERA"/>
    <x v="1"/>
  </r>
  <r>
    <n v="15"/>
    <d v="2019-06-18T00:00:00"/>
    <x v="2"/>
    <x v="2"/>
    <x v="1"/>
    <s v="ADMINISTRACION DE SUCURSALES"/>
    <s v="OTROS EGRESOS 18"/>
    <s v="OTROS EGRESOS 1.P.O (OR:15/DES:15 TRN:86 PERF:300086 CAU: 18"/>
    <n v="12"/>
    <n v="0"/>
    <s v="LA CHORRERA"/>
    <x v="1"/>
  </r>
  <r>
    <n v="15"/>
    <d v="2019-07-15T00:00:00"/>
    <x v="6"/>
    <x v="6"/>
    <x v="1"/>
    <s v="ADMINISTRACION DE SUCURSALES"/>
    <s v="OTROS EGRESOS 18"/>
    <s v="OTROS EGRESOS 1.P.O (OR:15/DES:15 TRN:86 PERF:300086 CAU: 18"/>
    <n v="10.5"/>
    <n v="0"/>
    <s v="LA CHORRERA"/>
    <x v="1"/>
  </r>
  <r>
    <n v="16"/>
    <d v="2019-02-18T00:00:00"/>
    <x v="8"/>
    <x v="8"/>
    <x v="1"/>
    <s v="ADMINISTRACION DE SUCURSALES"/>
    <s v="OTROS EGRESOS 18"/>
    <s v="OTROS EGRESOS 1.P.O (OR:16/DES:16 TRN:86 PERF:300086 CAU: 18"/>
    <n v="12.08"/>
    <n v="0"/>
    <s v="AVENIDA CENTRAL"/>
    <x v="1"/>
  </r>
  <r>
    <n v="16"/>
    <d v="2019-07-25T00:00:00"/>
    <x v="6"/>
    <x v="6"/>
    <x v="1"/>
    <s v="ADMINISTRACION DE SUCURSALES"/>
    <s v="OTROS EGRESOS 18"/>
    <s v="OTROS EGRESOS 1.P.O (OR:16/DES:16 TRN:86 PERF:300086 CAU: 18"/>
    <n v="12.08"/>
    <n v="0"/>
    <s v="AVENIDA CENTRAL"/>
    <x v="1"/>
  </r>
  <r>
    <n v="17"/>
    <d v="2019-01-08T00:00:00"/>
    <x v="7"/>
    <x v="7"/>
    <x v="1"/>
    <s v="ADMINISTRACION DE SUCURSALES"/>
    <s v="OTROS EGRESOS 18"/>
    <s v="OTROS EGRESOS 1.P.O (OR:17/DES:17 TRN:86 PERF:300086 CAU: 18"/>
    <n v="2.4"/>
    <n v="0"/>
    <s v="LOS ANGELES"/>
    <x v="1"/>
  </r>
  <r>
    <n v="17"/>
    <d v="2019-01-11T00:00:00"/>
    <x v="7"/>
    <x v="7"/>
    <x v="1"/>
    <s v="ADMINISTRACION DE SUCURSALES"/>
    <s v="OTROS EGRESOS 18"/>
    <s v="OTROS EGRESOS 1.P.O (OR:17/DES:17 TRN:86 PERF:300086 CAU: 18"/>
    <n v="3"/>
    <n v="0"/>
    <s v="LOS ANGELES"/>
    <x v="1"/>
  </r>
  <r>
    <n v="17"/>
    <d v="2019-01-28T00:00:00"/>
    <x v="7"/>
    <x v="7"/>
    <x v="1"/>
    <s v="ADMINISTRACION DE SUCURSALES"/>
    <s v="OTROS EGRESOS 18"/>
    <s v="OTROS EGRESOS 1.P.O (OR:17/DES:17 TRN:86 PERF:300086 CAU: 18"/>
    <n v="5.25"/>
    <n v="0"/>
    <s v="LOS ANGELES"/>
    <x v="1"/>
  </r>
  <r>
    <n v="17"/>
    <d v="2019-02-13T00:00:00"/>
    <x v="8"/>
    <x v="8"/>
    <x v="1"/>
    <s v="ADMINISTRACION DE SUCURSALES"/>
    <s v="OTROS EGRESOS 18"/>
    <s v="OTROS EGRESOS 1.P.O (OR:17/DES:17 TRN:86 PERF:300086 CAU: 18"/>
    <n v="2.4"/>
    <n v="0"/>
    <s v="LOS ANGELES"/>
    <x v="1"/>
  </r>
  <r>
    <n v="17"/>
    <d v="2019-02-20T00:00:00"/>
    <x v="8"/>
    <x v="8"/>
    <x v="1"/>
    <s v="ADMINISTRACION DE SUCURSALES"/>
    <s v="OTROS EGRESOS 18"/>
    <s v="OTROS EGRESOS 1.P.O (OR:17/DES:17 TRN:86 PERF:300086 CAU: 18"/>
    <n v="9.1999999999999993"/>
    <n v="0"/>
    <s v="LOS ANGELES"/>
    <x v="1"/>
  </r>
  <r>
    <n v="17"/>
    <d v="2019-03-07T00:00:00"/>
    <x v="9"/>
    <x v="9"/>
    <x v="1"/>
    <s v="ADMINISTRACION DE SUCURSALES"/>
    <s v="OTROS EGRESOS 18"/>
    <s v="OTROS EGRESOS 1.P.O (OR:17/DES:17 TRN:86 PERF:300086 CAU: 18"/>
    <n v="3.15"/>
    <n v="0"/>
    <s v="LOS ANGELES"/>
    <x v="1"/>
  </r>
  <r>
    <n v="17"/>
    <d v="2019-03-15T00:00:00"/>
    <x v="9"/>
    <x v="9"/>
    <x v="1"/>
    <s v="ADMINISTRACION DE SUCURSALES"/>
    <s v="OTROS EGRESOS 18"/>
    <s v="OTROS EGRESOS 1.P.O (OR:17/DES:17 TRN:86 PERF:300086 CAU: 18"/>
    <n v="4.75"/>
    <n v="0"/>
    <s v="LOS ANGELES"/>
    <x v="1"/>
  </r>
  <r>
    <n v="17"/>
    <d v="2019-03-18T00:00:00"/>
    <x v="9"/>
    <x v="9"/>
    <x v="1"/>
    <s v="ADMINISTRACION DE SUCURSALES"/>
    <s v="OTROS EGRESOS 18"/>
    <s v="OTROS EGRESOS 1.P.O (OR:17/DES:17 TRN:86 PERF:300086 CAU: 18"/>
    <n v="3"/>
    <n v="0"/>
    <s v="LOS ANGELES"/>
    <x v="1"/>
  </r>
  <r>
    <n v="17"/>
    <d v="2019-03-19T00:00:00"/>
    <x v="9"/>
    <x v="9"/>
    <x v="1"/>
    <s v="ADMINISTRACION DE SUCURSALES"/>
    <s v="OTROS EGRESOS 18"/>
    <s v="OTROS EGRESOS 1.P.O (OR:17/DES:17 TRN:86 PERF:300086 CAU: 18"/>
    <n v="3"/>
    <n v="0"/>
    <s v="LOS ANGELES"/>
    <x v="1"/>
  </r>
  <r>
    <n v="17"/>
    <d v="2019-03-22T00:00:00"/>
    <x v="9"/>
    <x v="9"/>
    <x v="1"/>
    <s v="ADMINISTRACION DE SUCURSALES"/>
    <s v="OTROS EGRESOS 18"/>
    <s v="OTROS EGRESOS 1.P.O (OR:17/DES:17 TRN:86 PERF:300086 CAU: 18"/>
    <n v="6.85"/>
    <n v="0"/>
    <s v="LOS ANGELES"/>
    <x v="1"/>
  </r>
  <r>
    <n v="17"/>
    <d v="2019-03-27T00:00:00"/>
    <x v="9"/>
    <x v="9"/>
    <x v="1"/>
    <s v="ADMINISTRACION DE SUCURSALES"/>
    <s v="OTROS EGRESOS 18"/>
    <s v="OTROS EGRESOS 1.P.O (OR:17/DES:17 TRN:86 PERF:300086 CAU: 18"/>
    <n v="3.15"/>
    <n v="0"/>
    <s v="LOS ANGELES"/>
    <x v="1"/>
  </r>
  <r>
    <n v="17"/>
    <d v="2019-04-25T00:00:00"/>
    <x v="10"/>
    <x v="10"/>
    <x v="1"/>
    <s v="ADMINISTRACION DE SUCURSALES"/>
    <s v="OTROS EGRESOS 18"/>
    <s v="OTROS EGRESOS 1.P.O (OR:17/DES:17 TRN:86 PERF:300086 CAU: 18"/>
    <n v="2.4"/>
    <n v="0"/>
    <s v="LOS ANGELES"/>
    <x v="1"/>
  </r>
  <r>
    <n v="17"/>
    <d v="2019-06-19T00:00:00"/>
    <x v="2"/>
    <x v="2"/>
    <x v="1"/>
    <s v="ADMINISTRACION DE SUCURSALES"/>
    <s v="OTROS EGRESOS 18"/>
    <s v="OTROS EGRESOS 1.P.O (OR:17/DES:17 TRN:86 PERF:300086 CAU: 18"/>
    <n v="3"/>
    <n v="0"/>
    <s v="LOS ANGELES"/>
    <x v="1"/>
  </r>
  <r>
    <n v="17"/>
    <d v="2019-07-25T00:00:00"/>
    <x v="6"/>
    <x v="6"/>
    <x v="1"/>
    <s v="ADMINISTRACION DE SUCURSALES"/>
    <s v="OTROS EGRESOS 18"/>
    <s v="OTROS EGRESOS 1.P.O (OR:17/DES:17 TRN:86 PERF:300086 CAU: 18"/>
    <n v="9.1999999999999993"/>
    <n v="0"/>
    <s v="LOS ANGELES"/>
    <x v="1"/>
  </r>
  <r>
    <n v="18"/>
    <d v="2019-01-30T00:00:00"/>
    <x v="7"/>
    <x v="7"/>
    <x v="1"/>
    <s v="ADMINISTRACION DE SUCURSALES"/>
    <s v="OTROS EGRESOS 18"/>
    <s v="OTROS EGRESOS 1.P.O (OR:18/DES:18 TRN:86 PERF:300086 CAU: 18"/>
    <n v="5"/>
    <n v="0"/>
    <s v="VILLA LUCRE"/>
    <x v="1"/>
  </r>
  <r>
    <n v="18"/>
    <d v="2019-02-14T00:00:00"/>
    <x v="8"/>
    <x v="8"/>
    <x v="1"/>
    <s v="ADMINISTRACION DE SUCURSALES"/>
    <s v="OTROS EGRESOS 18"/>
    <s v="OTROS EGRESOS 1.P.O (OR:18/DES:18 TRN:86 PERF:300086 CAU: 18"/>
    <n v="7.45"/>
    <n v="0"/>
    <s v="VILLA LUCRE"/>
    <x v="1"/>
  </r>
  <r>
    <n v="18"/>
    <d v="2019-02-21T00:00:00"/>
    <x v="8"/>
    <x v="8"/>
    <x v="1"/>
    <s v="ADMINISTRACION DE SUCURSALES"/>
    <s v="OTROS EGRESOS 18"/>
    <s v="OTROS EGRESOS 1.P.O (OR:18/DES:18 TRN:86 PERF:300086 CAU: 18"/>
    <n v="7.45"/>
    <n v="0"/>
    <s v="VILLA LUCRE"/>
    <x v="1"/>
  </r>
  <r>
    <n v="18"/>
    <d v="2019-04-03T00:00:00"/>
    <x v="10"/>
    <x v="10"/>
    <x v="1"/>
    <s v="ADMINISTRACION DE SUCURSALES"/>
    <s v="OTROS EGRESOS 18"/>
    <s v="OTROS EGRESOS 1.P.O (OR:18/DES:18 TRN:86 PERF:300086 CAU: 18"/>
    <n v="14.35"/>
    <n v="0"/>
    <s v="VILLA LUCRE"/>
    <x v="1"/>
  </r>
  <r>
    <n v="18"/>
    <d v="2019-04-10T00:00:00"/>
    <x v="10"/>
    <x v="10"/>
    <x v="1"/>
    <s v="ADMINISTRACION DE SUCURSALES"/>
    <s v="OTROS EGRESOS 18"/>
    <s v="OTROS EGRESOS 1.P.O (OR:18/DES:18 TRN:86 PERF:300086 CAU: 18"/>
    <n v="2.1"/>
    <n v="0"/>
    <s v="VILLA LUCRE"/>
    <x v="1"/>
  </r>
  <r>
    <n v="18"/>
    <d v="2019-07-02T00:00:00"/>
    <x v="6"/>
    <x v="6"/>
    <x v="1"/>
    <s v="ADMINISTRACION DE SUCURSALES"/>
    <s v="OTROS EGRESOS 18"/>
    <s v="OTROS EGRESOS 1.P.O (OR:18/DES:18 TRN:86 PERF:300086 CAU: 18"/>
    <n v="4.75"/>
    <n v="0"/>
    <s v="VILLA LUCRE"/>
    <x v="1"/>
  </r>
  <r>
    <n v="18"/>
    <d v="2019-07-08T00:00:00"/>
    <x v="6"/>
    <x v="6"/>
    <x v="1"/>
    <s v="ADMINISTRACION DE SUCURSALES"/>
    <s v="OTROS EGRESOS 18"/>
    <s v="OTROS EGRESOS 1.P.O (OR:18/DES:18 TRN:86 PERF:300086 CAU: 18"/>
    <n v="3.7"/>
    <n v="0"/>
    <s v="VILLA LUCRE"/>
    <x v="1"/>
  </r>
  <r>
    <n v="18"/>
    <d v="2019-07-12T00:00:00"/>
    <x v="6"/>
    <x v="6"/>
    <x v="1"/>
    <s v="ADMINISTRACION DE SUCURSALES"/>
    <s v="OTROS EGRESOS 18"/>
    <s v="OTROS EGRESOS 1.P.O (OR:18/DES:18 TRN:86 PERF:300086 CAU: 18"/>
    <n v="5.55"/>
    <n v="0"/>
    <s v="VILLA LUCRE"/>
    <x v="1"/>
  </r>
  <r>
    <n v="18"/>
    <d v="2019-07-15T00:00:00"/>
    <x v="6"/>
    <x v="6"/>
    <x v="1"/>
    <s v="ADMINISTRACION DE SUCURSALES"/>
    <s v="OTROS EGRESOS 18"/>
    <s v="OTROS EGRESOS 1.P.O (OR:18/DES:18 TRN:86 PERF:300086 CAU: 18"/>
    <n v="4.75"/>
    <n v="0"/>
    <s v="VILLA LUCRE"/>
    <x v="1"/>
  </r>
  <r>
    <n v="18"/>
    <d v="2019-07-26T00:00:00"/>
    <x v="6"/>
    <x v="6"/>
    <x v="1"/>
    <s v="ADMINISTRACION DE SUCURSALES"/>
    <s v="OTROS EGRESOS 18"/>
    <s v="OTROS EGRESOS 1.P.O (OR:18/DES:18 TRN:86 PERF:300086 CAU: 18"/>
    <n v="14.35"/>
    <n v="0"/>
    <s v="VILLA LUCRE"/>
    <x v="1"/>
  </r>
  <r>
    <n v="19"/>
    <d v="2019-02-16T00:00:00"/>
    <x v="8"/>
    <x v="8"/>
    <x v="1"/>
    <s v="ADMINISTRACION DE SUCURSALES"/>
    <s v="OTROS EGRESOS 18"/>
    <s v="OTROS EGRESOS 1.P.O (OR:19/DES:19 TRN:86 PERF:300086 CAU: 18"/>
    <n v="10.5"/>
    <n v="0"/>
    <s v="LOS ANDES"/>
    <x v="1"/>
  </r>
  <r>
    <n v="19"/>
    <d v="2019-05-09T00:00:00"/>
    <x v="11"/>
    <x v="11"/>
    <x v="1"/>
    <s v="ADMINISTRACION DE SUCURSALES"/>
    <s v="OTROS EGRESOS 18"/>
    <s v="OTROS EGRESOS 1.P.O (OR:19/DES:19 TRN:86 PERF:300086 CAU: 18"/>
    <n v="5.55"/>
    <n v="0"/>
    <s v="LOS ANDES"/>
    <x v="1"/>
  </r>
  <r>
    <n v="19"/>
    <d v="2019-07-22T00:00:00"/>
    <x v="6"/>
    <x v="6"/>
    <x v="1"/>
    <s v="ADMINISTRACION DE SUCURSALES"/>
    <s v="OTROS EGRESOS 18"/>
    <s v="OTROS EGRESOS 1.P.O (OR:19/DES:19 TRN:86 PERF:300086 CAU: 18"/>
    <n v="51.2"/>
    <n v="0"/>
    <s v="LOS ANDES"/>
    <x v="1"/>
  </r>
  <r>
    <n v="20"/>
    <d v="2019-02-22T00:00:00"/>
    <x v="8"/>
    <x v="8"/>
    <x v="1"/>
    <s v="ADMINISTRACION DE SUCURSALES"/>
    <s v="OTROS EGRESOS 18"/>
    <s v="OTROS EGRESOS 1.P.O (OR:20/DES:20 TRN:86 PERF:300086 CAU: 18"/>
    <n v="12.65"/>
    <n v="0"/>
    <s v="VIA ESPANA"/>
    <x v="1"/>
  </r>
  <r>
    <n v="20"/>
    <d v="2019-03-27T00:00:00"/>
    <x v="9"/>
    <x v="9"/>
    <x v="1"/>
    <s v="ADMINISTRACION DE SUCURSALES"/>
    <s v="OTROS EGRESOS 18"/>
    <s v="OTROS EGRESOS 1.P.O (OR:20/DES:20 TRN:86 PERF:300086 CAU: 18"/>
    <n v="2.25"/>
    <n v="0"/>
    <s v="VIA ESPANA"/>
    <x v="1"/>
  </r>
  <r>
    <n v="20"/>
    <d v="2019-04-08T00:00:00"/>
    <x v="10"/>
    <x v="10"/>
    <x v="1"/>
    <s v="ADMINISTRACION DE SUCURSALES"/>
    <s v="OTROS EGRESOS 18"/>
    <s v="OTROS EGRESOS 1.P.O (OR:20/DES:20 TRN:86 PERF:300086 CAU: 18"/>
    <n v="2.4"/>
    <n v="0"/>
    <s v="VIA ESPANA"/>
    <x v="1"/>
  </r>
  <r>
    <n v="20"/>
    <d v="2019-04-10T00:00:00"/>
    <x v="10"/>
    <x v="10"/>
    <x v="1"/>
    <s v="ADMINISTRACION DE SUCURSALES"/>
    <s v="OTROS EGRESOS 18"/>
    <s v="OTROS EGRESOS 1.P.O (OR:20/DES:20 TRN:86 PERF:300086 CAU: 18"/>
    <n v="2.4"/>
    <n v="0"/>
    <s v="VIA ESPANA"/>
    <x v="1"/>
  </r>
  <r>
    <n v="20"/>
    <d v="2019-04-12T00:00:00"/>
    <x v="10"/>
    <x v="10"/>
    <x v="1"/>
    <s v="ADMINISTRACION DE SUCURSALES"/>
    <s v="OTROS EGRESOS 18"/>
    <s v="OTROS EGRESOS 1.P.O (OR:20/DES:20 TRN:86 PERF:300086 CAU: 18"/>
    <n v="2.4"/>
    <n v="0"/>
    <s v="VIA ESPANA"/>
    <x v="1"/>
  </r>
  <r>
    <n v="20"/>
    <d v="2019-05-02T00:00:00"/>
    <x v="11"/>
    <x v="11"/>
    <x v="1"/>
    <s v="ADMINISTRACION DE SUCURSALES"/>
    <s v="OTROS EGRESOS 18"/>
    <s v="OTROS EGRESOS 1.P.O (OR:20/DES:20 TRN:86 PERF:300086 CAU: 18"/>
    <n v="10"/>
    <n v="0"/>
    <s v="VIA ESPANA"/>
    <x v="1"/>
  </r>
  <r>
    <n v="20"/>
    <d v="2019-06-13T00:00:00"/>
    <x v="2"/>
    <x v="2"/>
    <x v="1"/>
    <s v="ADMINISTRACION DE SUCURSALES"/>
    <s v="OTROS EGRESOS 18"/>
    <s v="OTROS EGRESOS 1.P.O (OR:20/DES:20 TRN:86 PERF:300086 CAU: 18"/>
    <n v="10.25"/>
    <n v="0"/>
    <s v="VIA ESPANA"/>
    <x v="1"/>
  </r>
  <r>
    <n v="20"/>
    <d v="2019-06-14T00:00:00"/>
    <x v="2"/>
    <x v="2"/>
    <x v="1"/>
    <s v="ADMINISTRACION DE SUCURSALES"/>
    <s v="OTROS EGRESOS 18"/>
    <s v="OTROS EGRESOS 1.P.O (OR:20/DES:20 TRN:86 PERF:300086 CAU: 18"/>
    <n v="2.4"/>
    <n v="0"/>
    <s v="VIA ESPANA"/>
    <x v="1"/>
  </r>
  <r>
    <n v="20"/>
    <d v="2019-06-27T00:00:00"/>
    <x v="2"/>
    <x v="2"/>
    <x v="1"/>
    <s v="ADMINISTRACION DE SUCURSALES"/>
    <s v="OTROS EGRESOS 18"/>
    <s v="OTROS EGRESOS 1.P.O (OR:20/DES:20 TRN:86 PERF:300086 CAU: 18"/>
    <n v="10.25"/>
    <n v="0"/>
    <s v="VIA ESPANA"/>
    <x v="1"/>
  </r>
  <r>
    <n v="20"/>
    <d v="2019-07-24T00:00:00"/>
    <x v="6"/>
    <x v="6"/>
    <x v="1"/>
    <s v="ADMINISTRACION DE SUCURSALES"/>
    <s v="OTROS EGRESOS 18"/>
    <s v="OTROS EGRESOS 1.P.O (OR:20/DES:20 TRN:86 PERF:300086 CAU: 18"/>
    <n v="3.6"/>
    <n v="0"/>
    <s v="VIA ESPANA"/>
    <x v="1"/>
  </r>
  <r>
    <n v="21"/>
    <d v="2019-02-21T00:00:00"/>
    <x v="8"/>
    <x v="8"/>
    <x v="1"/>
    <s v="ADMINISTRACION DE SUCURSALES"/>
    <s v="OTROS EGRESOS 18"/>
    <s v="OTROS EGRESOS 1.P.O (OR:21/DES:21 TRN:86 PERF:300086 CAU: 18"/>
    <n v="3"/>
    <n v="0"/>
    <s v="AVENIDA CUBA"/>
    <x v="1"/>
  </r>
  <r>
    <n v="21"/>
    <d v="2019-05-08T00:00:00"/>
    <x v="11"/>
    <x v="11"/>
    <x v="1"/>
    <s v="ADMINISTRACION DE SUCURSALES"/>
    <s v="OTROS EGRESOS 18"/>
    <s v="OTROS EGRESOS 1.P.O (OR:21/DES:21 TRN:86 PERF:300086 CAU: 18"/>
    <n v="3.6"/>
    <n v="0"/>
    <s v="AVENIDA CUBA"/>
    <x v="1"/>
  </r>
  <r>
    <n v="21"/>
    <d v="2019-05-22T00:00:00"/>
    <x v="11"/>
    <x v="11"/>
    <x v="1"/>
    <s v="ADMINISTRACION DE SUCURSALES"/>
    <s v="OTROS EGRESOS 18"/>
    <s v="OTROS EGRESOS 1.P.O (OR:21/DES:21 TRN:86 PERF:300086 CAU: 18"/>
    <n v="21.6"/>
    <n v="0"/>
    <s v="AVENIDA CUBA"/>
    <x v="1"/>
  </r>
  <r>
    <n v="21"/>
    <d v="2019-05-28T00:00:00"/>
    <x v="11"/>
    <x v="11"/>
    <x v="1"/>
    <s v="ADMINISTRACION DE SUCURSALES"/>
    <s v="OTROS EGRESOS 18"/>
    <s v="OTROS EGRESOS 1.P.O (OR:21/DES:21 TRN:86 PERF:300086 CAU: 18"/>
    <n v="4.5"/>
    <n v="0"/>
    <s v="AVENIDA CUBA"/>
    <x v="1"/>
  </r>
  <r>
    <n v="21"/>
    <d v="2019-05-29T00:00:00"/>
    <x v="11"/>
    <x v="11"/>
    <x v="1"/>
    <s v="ADMINISTRACION DE SUCURSALES"/>
    <s v="OTROS EGRESOS 18"/>
    <s v="OTROS EGRESOS 1.P.O (OR:21/DES:21 TRN:86 PERF:300086 CAU: 18"/>
    <n v="4.5"/>
    <n v="0"/>
    <s v="AVENIDA CUBA"/>
    <x v="1"/>
  </r>
  <r>
    <n v="21"/>
    <d v="2019-06-21T00:00:00"/>
    <x v="2"/>
    <x v="2"/>
    <x v="1"/>
    <s v="ADMINISTRACION DE SUCURSALES"/>
    <s v="OTROS EGRESOS 18"/>
    <s v="OTROS EGRESOS 1.P.O (OR:21/DES:21 TRN:86 PERF:300086 CAU: 18"/>
    <n v="3.5"/>
    <n v="0"/>
    <s v="AVENIDA CUBA"/>
    <x v="1"/>
  </r>
  <r>
    <n v="22"/>
    <d v="2019-01-03T00:00:00"/>
    <x v="7"/>
    <x v="7"/>
    <x v="1"/>
    <s v="ADMINISTRACION DE SUCURSALES"/>
    <s v="OTROS EGRESOS 18"/>
    <s v="OTROS EGRESOS 1.P.O (OR:22/DES:22 TRN:86 PERF:300086 CAU: 18"/>
    <n v="14"/>
    <n v="0"/>
    <s v="CHITRE"/>
    <x v="1"/>
  </r>
  <r>
    <n v="22"/>
    <d v="2019-01-05T00:00:00"/>
    <x v="7"/>
    <x v="7"/>
    <x v="1"/>
    <s v="ADMINISTRACION DE SUCURSALES"/>
    <s v="OTROS EGRESOS 18"/>
    <s v="OTROS EGRESOS 1.P.O (OR:22/DES:22 TRN:86 PERF:300086 CAU: 18"/>
    <n v="70"/>
    <n v="0"/>
    <s v="CHITRE"/>
    <x v="1"/>
  </r>
  <r>
    <n v="22"/>
    <d v="2019-01-31T00:00:00"/>
    <x v="7"/>
    <x v="7"/>
    <x v="1"/>
    <s v="ADMINISTRACION DE SUCURSALES"/>
    <s v="OTROS EGRESOS 18"/>
    <s v="OTROS EGRESOS 1.P.O (OR:22/DES:22 TRN:86 PERF:300086 CAU: 18"/>
    <n v="14"/>
    <n v="0"/>
    <s v="CHITRE"/>
    <x v="1"/>
  </r>
  <r>
    <n v="22"/>
    <d v="2019-06-15T00:00:00"/>
    <x v="2"/>
    <x v="2"/>
    <x v="1"/>
    <s v="ADMINISTRACION DE SUCURSALES"/>
    <s v="VIATICOS 2"/>
    <s v="TRANSACCIONES DEL DIA 06/15/2019SPYRAL - GESTION ADMINISTRATIVA"/>
    <n v="359"/>
    <n v="0"/>
    <s v="CHITRE"/>
    <x v="1"/>
  </r>
  <r>
    <n v="22"/>
    <d v="2019-06-26T00:00:00"/>
    <x v="2"/>
    <x v="2"/>
    <x v="1"/>
    <s v="ADMINISTRACION DE SUCURSALES"/>
    <s v="OTROS EGRESOS 18"/>
    <s v="OTROS EGRESOS 1.P.O (OR:22/DES:22 TRN:86 PERF:300086 CAU: 18"/>
    <n v="14"/>
    <n v="0"/>
    <s v="CHITRE"/>
    <x v="1"/>
  </r>
  <r>
    <n v="22"/>
    <d v="2019-07-03T00:00:00"/>
    <x v="6"/>
    <x v="6"/>
    <x v="1"/>
    <s v="ADMINISTRACION DE SUCURSALES"/>
    <s v="OTROS EGRESOS 18"/>
    <s v="OTROS EGRESOS 1.P.O (OR:22/DES:22 TRN:86 PERF:300086 CAU: 18"/>
    <n v="6.6"/>
    <n v="0"/>
    <s v="CHITRE"/>
    <x v="1"/>
  </r>
  <r>
    <n v="22"/>
    <d v="2019-03-27T00:00:00"/>
    <x v="9"/>
    <x v="9"/>
    <x v="1"/>
    <s v="SERVICIOS PERSONALES"/>
    <s v="VIATICOS 2"/>
    <s v="TRANSACCIONES DEL DIA 03/27/2019SPYRAL - GESTION ADMINISTRATIVA"/>
    <n v="143"/>
    <n v="0"/>
    <s v="CHITRE"/>
    <x v="1"/>
  </r>
  <r>
    <n v="23"/>
    <d v="2019-01-18T00:00:00"/>
    <x v="7"/>
    <x v="7"/>
    <x v="1"/>
    <s v="ADMINISTRACION DE SUCURSALES"/>
    <s v="OTROS EGRESOS 18"/>
    <s v="OTROS EGRESOS 1.P.O (OR:23/DES:23 TRN:86 PERF:300086 CAU: 18"/>
    <n v="10.6"/>
    <n v="0"/>
    <s v="LOS PUEBLOS"/>
    <x v="1"/>
  </r>
  <r>
    <n v="23"/>
    <d v="2019-01-31T00:00:00"/>
    <x v="7"/>
    <x v="7"/>
    <x v="1"/>
    <s v="ADMINISTRACION DE SUCURSALES"/>
    <s v="OTROS EGRESOS 18"/>
    <s v="OTROS EGRESOS 1.P.O (OR:23/DES:23 TRN:86 PERF:300086 CAU: 18"/>
    <n v="6.5"/>
    <n v="0"/>
    <s v="LOS PUEBLOS"/>
    <x v="1"/>
  </r>
  <r>
    <n v="23"/>
    <d v="2019-02-04T00:00:00"/>
    <x v="8"/>
    <x v="8"/>
    <x v="1"/>
    <s v="ADMINISTRACION DE SUCURSALES"/>
    <s v="OTROS EGRESOS 18"/>
    <s v="OTROS EGRESOS 1.P.O (OR:23/DES:23 TRN:86 PERF:300086 CAU: 18"/>
    <n v="6.4"/>
    <n v="0"/>
    <s v="LOS PUEBLOS"/>
    <x v="1"/>
  </r>
  <r>
    <n v="23"/>
    <d v="2019-02-05T00:00:00"/>
    <x v="8"/>
    <x v="8"/>
    <x v="1"/>
    <s v="ADMINISTRACION DE SUCURSALES"/>
    <s v="OTROS EGRESOS 18"/>
    <s v="OTROS EGRESOS 1.P.O (OR:23/DES:23 TRN:86 PERF:300086 CAU: 18"/>
    <n v="6.4"/>
    <n v="0"/>
    <s v="LOS PUEBLOS"/>
    <x v="1"/>
  </r>
  <r>
    <n v="23"/>
    <d v="2019-03-22T00:00:00"/>
    <x v="9"/>
    <x v="9"/>
    <x v="1"/>
    <s v="ADMINISTRACION DE SUCURSALES"/>
    <s v="OTROS EGRESOS 18"/>
    <s v="OTROS EGRESOS 1.P.O (OR:23/DES:23 TRN:86 PERF:300086 CAU: 18"/>
    <n v="6.5"/>
    <n v="0"/>
    <s v="LOS PUEBLOS"/>
    <x v="1"/>
  </r>
  <r>
    <n v="23"/>
    <d v="2019-04-03T00:00:00"/>
    <x v="10"/>
    <x v="10"/>
    <x v="1"/>
    <s v="ADMINISTRACION DE SUCURSALES"/>
    <s v="OTROS EGRESOS 18"/>
    <s v="OTROS EGRESOS 1.P.O (OR:23/DES:23 TRN:86 PERF:300086 CAU: 18"/>
    <n v="6.4"/>
    <n v="0"/>
    <s v="LOS PUEBLOS"/>
    <x v="1"/>
  </r>
  <r>
    <n v="23"/>
    <d v="2019-05-06T00:00:00"/>
    <x v="11"/>
    <x v="11"/>
    <x v="1"/>
    <s v="ADMINISTRACION DE SUCURSALES"/>
    <s v="OTROS EGRESOS 18"/>
    <s v="OTROS EGRESOS 1.P.O (OR:23/DES:23 TRN:86 PERF:300086 CAU: 18"/>
    <n v="3"/>
    <n v="0"/>
    <s v="LOS PUEBLOS"/>
    <x v="1"/>
  </r>
  <r>
    <n v="23"/>
    <d v="2019-05-11T00:00:00"/>
    <x v="11"/>
    <x v="11"/>
    <x v="1"/>
    <s v="ADMINISTRACION DE SUCURSALES"/>
    <s v="OTROS EGRESOS 18"/>
    <s v="OTROS EGRESOS 1.P.O (OR:23/DES:23 TRN:86 PERF:300086 CAU: 18"/>
    <n v="6.4"/>
    <n v="0"/>
    <s v="LOS PUEBLOS"/>
    <x v="1"/>
  </r>
  <r>
    <n v="23"/>
    <d v="2019-06-07T00:00:00"/>
    <x v="2"/>
    <x v="2"/>
    <x v="1"/>
    <s v="ADMINISTRACION DE SUCURSALES"/>
    <s v="OTROS EGRESOS 18"/>
    <s v="OTROS EGRESOS 1.P.O (OR:23/DES:23 TRN:86 PERF:300086 CAU: 18"/>
    <n v="3.7"/>
    <n v="0"/>
    <s v="LOS PUEBLOS"/>
    <x v="1"/>
  </r>
  <r>
    <n v="23"/>
    <d v="2019-06-13T00:00:00"/>
    <x v="2"/>
    <x v="2"/>
    <x v="1"/>
    <s v="ADMINISTRACION DE SUCURSALES"/>
    <s v="OTROS EGRESOS 18"/>
    <s v="OTROS EGRESOS 1.P.O (OR:23/DES:23 TRN:86 PERF:300086 CAU: 18"/>
    <n v="3.15"/>
    <n v="0"/>
    <s v="LOS PUEBLOS"/>
    <x v="1"/>
  </r>
  <r>
    <n v="23"/>
    <d v="2019-06-18T00:00:00"/>
    <x v="2"/>
    <x v="2"/>
    <x v="1"/>
    <s v="ADMINISTRACION DE SUCURSALES"/>
    <s v="OTROS EGRESOS 18"/>
    <s v="OTROS EGRESOS 1.P.O (OR:23/DES:23 TRN:86 PERF:300086 CAU: 18"/>
    <n v="3.15"/>
    <n v="0"/>
    <s v="LOS PUEBLOS"/>
    <x v="1"/>
  </r>
  <r>
    <n v="23"/>
    <d v="2019-07-04T00:00:00"/>
    <x v="6"/>
    <x v="6"/>
    <x v="1"/>
    <s v="ADMINISTRACION DE SUCURSALES"/>
    <s v="OTROS EGRESOS 18"/>
    <s v="OTROS EGRESOS 1.P.O (OR:23/DES:23 TRN:86 PERF:300086 CAU: 18"/>
    <n v="3.7"/>
    <n v="0"/>
    <s v="LOS PUEBLOS"/>
    <x v="1"/>
  </r>
  <r>
    <n v="26"/>
    <d v="2019-02-14T00:00:00"/>
    <x v="8"/>
    <x v="8"/>
    <x v="1"/>
    <s v="ADMINISTRACION DE SUCURSALES"/>
    <s v="OTROS EGRESOS 18"/>
    <s v="OTROS EGRESOS 1.P.O (OR:26/DES:26 TRN:86 PERF:300086 CAU: 18"/>
    <n v="9.1999999999999993"/>
    <n v="0"/>
    <s v="TRANSISTMICA"/>
    <x v="1"/>
  </r>
  <r>
    <n v="26"/>
    <d v="2019-04-01T00:00:00"/>
    <x v="10"/>
    <x v="10"/>
    <x v="1"/>
    <s v="ADMINISTRACION DE SUCURSALES"/>
    <s v="OTROS EGRESOS 18"/>
    <s v="OTROS EGRESOS 1.P.O (OR:26/DES:26 TRN:86 PERF:300086 CAU: 18"/>
    <n v="2.4"/>
    <n v="0"/>
    <s v="TRANSISTMICA"/>
    <x v="1"/>
  </r>
  <r>
    <n v="26"/>
    <d v="2019-07-29T00:00:00"/>
    <x v="6"/>
    <x v="6"/>
    <x v="1"/>
    <s v="ADMINISTRACION DE SUCURSALES"/>
    <s v="OTROS EGRESOS 18"/>
    <s v="OTROS EGRESOS 1.P.O (OR:26/DES:26 TRN:86 PERF:300086 CAU: 18"/>
    <n v="9.1999999999999993"/>
    <n v="0"/>
    <s v="TRANSISTMICA"/>
    <x v="1"/>
  </r>
  <r>
    <n v="27"/>
    <d v="2019-02-27T00:00:00"/>
    <x v="8"/>
    <x v="8"/>
    <x v="1"/>
    <s v="ADMINISTRACION DE SUCURSALES"/>
    <s v="VIATICOS"/>
    <s v="TRANSACCIONES DEL DIA 02/27/2019SPYRAL - GESTION ADMINISTRATIVA"/>
    <n v="51.6"/>
    <n v="0"/>
    <s v="ZONA LIBRE"/>
    <x v="1"/>
  </r>
  <r>
    <n v="27"/>
    <d v="2019-03-29T00:00:00"/>
    <x v="9"/>
    <x v="9"/>
    <x v="1"/>
    <s v="ADMINISTRACION DE SUCURSALES"/>
    <s v="VIATICOS 2"/>
    <s v="TRANSACCIONES DEL DIA 03/29/2019SPYRAL - GESTION ADMINISTRATIVA"/>
    <n v="42"/>
    <n v="0"/>
    <s v="ZONA LIBRE"/>
    <x v="1"/>
  </r>
  <r>
    <n v="27"/>
    <d v="2019-04-02T00:00:00"/>
    <x v="10"/>
    <x v="10"/>
    <x v="1"/>
    <s v="ADMINISTRACION DE SUCURSALES"/>
    <s v="VIATICOS 2"/>
    <s v="TRANSACCIONES DEL DIA 04/02/2019SPYRAL - GESTION ADMINISTRATIVA"/>
    <n v="41.6"/>
    <n v="0"/>
    <s v="ZONA LIBRE"/>
    <x v="1"/>
  </r>
  <r>
    <n v="27"/>
    <d v="2019-04-26T00:00:00"/>
    <x v="10"/>
    <x v="10"/>
    <x v="1"/>
    <s v="ADMINISTRACION DE SUCURSALES"/>
    <s v="VIATICOS 2"/>
    <s v="TRANSACCIONES DEL DIA 04/26/2019SPYRAL - GESTION ADMINISTRATIVA"/>
    <n v="43.4"/>
    <n v="0"/>
    <s v="ZONA LIBRE"/>
    <x v="1"/>
  </r>
  <r>
    <n v="27"/>
    <d v="2019-06-27T00:00:00"/>
    <x v="2"/>
    <x v="2"/>
    <x v="1"/>
    <s v="ADMINISTRACION DE SUCURSALES"/>
    <s v="VIATICOS 2"/>
    <s v="TRANSACCIONES DEL DIA 06/27/2019SPYRAL - GESTION ADMINISTRATIVA"/>
    <n v="32"/>
    <n v="0"/>
    <s v="ZONA LIBRE"/>
    <x v="1"/>
  </r>
  <r>
    <n v="27"/>
    <d v="2019-07-26T00:00:00"/>
    <x v="6"/>
    <x v="6"/>
    <x v="1"/>
    <s v="ADMINISTRACION DE SUCURSALES"/>
    <s v="VIATICOS 2"/>
    <s v="TRANSACCIONES DEL DIA 07/26/2019SPYRAL - GESTION ADMINISTRATIVA"/>
    <n v="46"/>
    <n v="0"/>
    <s v="ZONA LIBRE"/>
    <x v="1"/>
  </r>
  <r>
    <n v="27"/>
    <d v="2019-06-27T00:00:00"/>
    <x v="2"/>
    <x v="2"/>
    <x v="1"/>
    <s v="CAJA"/>
    <s v="VIATICOS 2"/>
    <s v="TRANSACCIONES DEL DIA 06/27/2019SPYRAL - GESTION ADMINISTRATIVA"/>
    <n v="32"/>
    <n v="0"/>
    <s v="ZONA LIBRE"/>
    <x v="1"/>
  </r>
  <r>
    <n v="27"/>
    <d v="2019-06-27T00:00:00"/>
    <x v="2"/>
    <x v="2"/>
    <x v="1"/>
    <s v="SERVICIOS PERSONALES"/>
    <s v="VIATICOS 2"/>
    <s v="TRANSACCIONES DEL DIA 06/27/2019SPYRAL - GESTION ADMINISTRATIVA"/>
    <n v="64"/>
    <n v="0"/>
    <s v="ZONA LIBRE"/>
    <x v="1"/>
  </r>
  <r>
    <n v="28"/>
    <d v="2019-02-18T00:00:00"/>
    <x v="8"/>
    <x v="8"/>
    <x v="1"/>
    <s v="ADMINISTRACION DE SUCURSALES"/>
    <s v="OTROS EGRESOS 18"/>
    <s v="OTROS EGRESOS 1.P.O (OR:28/DES:28 TRN:86 PERF:300086 CAU: 18"/>
    <n v="7.45"/>
    <n v="0"/>
    <s v="PLAZA GALAPAGO"/>
    <x v="1"/>
  </r>
  <r>
    <n v="28"/>
    <d v="2019-04-27T00:00:00"/>
    <x v="10"/>
    <x v="10"/>
    <x v="1"/>
    <s v="ADMINISTRACION DE SUCURSALES"/>
    <s v="OTROS EGRESOS 18"/>
    <s v="OTROS EGRESOS 1.P.O (OR:28/DES:28 TRN:86 PERF:300086 CAU: 18"/>
    <n v="4.75"/>
    <n v="0"/>
    <s v="PLAZA GALAPAGO"/>
    <x v="1"/>
  </r>
  <r>
    <n v="28"/>
    <d v="2019-07-05T00:00:00"/>
    <x v="6"/>
    <x v="6"/>
    <x v="1"/>
    <s v="ADMINISTRACION DE SUCURSALES"/>
    <s v="OTROS EGRESOS 18"/>
    <s v="OTROS EGRESOS 1.P.O (OR:28/DES:28 TRN:86 PERF:300086 CAU: 18"/>
    <n v="11.15"/>
    <n v="0"/>
    <s v="PLAZA GALAPAGO"/>
    <x v="1"/>
  </r>
  <r>
    <n v="29"/>
    <d v="2019-01-07T00:00:00"/>
    <x v="7"/>
    <x v="7"/>
    <x v="1"/>
    <s v="ADMINISTRACION DE SUCURSALES"/>
    <s v="OTROS EGRESOS 18"/>
    <s v="OTROS EGRESOS 1.P.O (OR:29/DES:29 TRN:86 PERF:300086 CAU: 18"/>
    <n v="9.65"/>
    <n v="0"/>
    <s v="PARQUE LEFEVRE"/>
    <x v="1"/>
  </r>
  <r>
    <n v="29"/>
    <d v="2019-02-04T00:00:00"/>
    <x v="8"/>
    <x v="8"/>
    <x v="1"/>
    <s v="ADMINISTRACION DE SUCURSALES"/>
    <s v="OTROS EGRESOS 18"/>
    <s v="OTROS EGRESOS 1.P.O (OR:29/DES:29 TRN:86 PERF:300086 CAU: 18"/>
    <n v="2.4"/>
    <n v="0"/>
    <s v="PARQUE LEFEVRE"/>
    <x v="1"/>
  </r>
  <r>
    <n v="29"/>
    <d v="2019-02-21T00:00:00"/>
    <x v="8"/>
    <x v="8"/>
    <x v="1"/>
    <s v="ADMINISTRACION DE SUCURSALES"/>
    <s v="OTROS EGRESOS 18"/>
    <s v="OTROS EGRESOS 1.P.O (OR:29/DES:29 TRN:86 PERF:300086 CAU: 18"/>
    <n v="2.4"/>
    <n v="0"/>
    <s v="PARQUE LEFEVRE"/>
    <x v="1"/>
  </r>
  <r>
    <n v="29"/>
    <d v="2019-07-10T00:00:00"/>
    <x v="6"/>
    <x v="6"/>
    <x v="1"/>
    <s v="ADMINISTRACION DE SUCURSALES"/>
    <s v="OTROS EGRESOS 18"/>
    <s v="OTROS EGRESOS 1.P.O (OR:29/DES:29 TRN:86 PERF:300086 CAU: 18"/>
    <n v="2.4"/>
    <n v="0"/>
    <s v="PARQUE LEFEVRE"/>
    <x v="1"/>
  </r>
  <r>
    <n v="30"/>
    <d v="2019-01-16T00:00:00"/>
    <x v="7"/>
    <x v="7"/>
    <x v="1"/>
    <s v="ADMINISTRACION DE SUCURSALES"/>
    <s v="VIATICOS"/>
    <s v="TRANSACCIONES DEL DIA 01/16/2019SPYRAL - GESTION ADMINISTRATIVA"/>
    <n v="19.489999999999998"/>
    <n v="0"/>
    <s v="DAVID"/>
    <x v="1"/>
  </r>
  <r>
    <n v="30"/>
    <d v="2019-02-04T00:00:00"/>
    <x v="8"/>
    <x v="8"/>
    <x v="1"/>
    <s v="ADMINISTRACION DE SUCURSALES"/>
    <s v="VIATICOS"/>
    <s v="TRANSACCIONES DEL DIA 02/04/2019SPYRAL - GESTION ADMINISTRATIVA"/>
    <n v="536.4"/>
    <n v="0"/>
    <s v="DAVID"/>
    <x v="1"/>
  </r>
  <r>
    <n v="30"/>
    <d v="2019-02-06T00:00:00"/>
    <x v="8"/>
    <x v="8"/>
    <x v="1"/>
    <s v="ADMINISTRACION DE SUCURSALES"/>
    <s v="VIATICOS"/>
    <s v="TRANSACCIONES DEL DIA 02/06/2019SPYRAL - GESTION ADMINISTRATIVA"/>
    <n v="25"/>
    <n v="0"/>
    <s v="DAVID"/>
    <x v="1"/>
  </r>
  <r>
    <n v="30"/>
    <d v="2019-02-18T00:00:00"/>
    <x v="8"/>
    <x v="8"/>
    <x v="1"/>
    <s v="ADMINISTRACION DE SUCURSALES"/>
    <s v="VIATICOS"/>
    <s v="TRANSACCIONES DEL DIA 02/18/2019SPYRAL - GESTION ADMINISTRATIVA"/>
    <n v="29.33"/>
    <n v="0"/>
    <s v="DAVID"/>
    <x v="1"/>
  </r>
  <r>
    <n v="30"/>
    <d v="2019-03-13T00:00:00"/>
    <x v="9"/>
    <x v="9"/>
    <x v="1"/>
    <s v="ADMINISTRACION DE SUCURSALES"/>
    <s v="VIATICOS 2"/>
    <s v="TRANSACCIONES DEL DIA 03/13/2019SPYRAL - GESTION ADMINISTRATIVA"/>
    <n v="132"/>
    <n v="0"/>
    <s v="DAVID"/>
    <x v="1"/>
  </r>
  <r>
    <n v="30"/>
    <d v="2019-03-28T00:00:00"/>
    <x v="9"/>
    <x v="9"/>
    <x v="1"/>
    <s v="ADMINISTRACION DE SUCURSALES"/>
    <s v="VIATICOS 2"/>
    <s v="TRANSACCIONES DEL DIA 03/28/2019SPYRAL - GESTION ADMINISTRATIVA"/>
    <n v="33.65"/>
    <n v="0"/>
    <s v="DAVID"/>
    <x v="1"/>
  </r>
  <r>
    <n v="30"/>
    <d v="2019-04-22T00:00:00"/>
    <x v="10"/>
    <x v="10"/>
    <x v="1"/>
    <s v="ADMINISTRACION DE SUCURSALES"/>
    <s v="VIATICOS 2"/>
    <s v="TRANSACCIONES DEL DIA 04/22/2019SPYRAL - GESTION ADMINISTRATIVA"/>
    <n v="172"/>
    <n v="0"/>
    <s v="DAVID"/>
    <x v="1"/>
  </r>
  <r>
    <n v="30"/>
    <d v="2019-05-21T00:00:00"/>
    <x v="11"/>
    <x v="11"/>
    <x v="1"/>
    <s v="ADMINISTRACION DE SUCURSALES"/>
    <s v="VIATICOS 2"/>
    <s v="TRANSACCIONES DEL DIA 05/21/2019SPYRAL - GESTION ADMINISTRATIVA"/>
    <n v="30.77"/>
    <n v="0"/>
    <s v="DAVID"/>
    <x v="1"/>
  </r>
  <r>
    <n v="30"/>
    <d v="2019-05-27T00:00:00"/>
    <x v="11"/>
    <x v="11"/>
    <x v="1"/>
    <s v="ADMINISTRACION DE SUCURSALES"/>
    <s v="VIATICOS 2"/>
    <s v="TRANSACCIONES DEL DIA 05/27/2019SPYRAL - GESTION ADMINISTRATIVA"/>
    <n v="30.77"/>
    <n v="0"/>
    <s v="DAVID"/>
    <x v="1"/>
  </r>
  <r>
    <n v="30"/>
    <d v="2019-05-29T00:00:00"/>
    <x v="11"/>
    <x v="11"/>
    <x v="1"/>
    <s v="ADMINISTRACION DE SUCURSALES"/>
    <s v="NC VIATICOS"/>
    <s v="TRANSACCIONES DEL DIA 05/29/2019SPYRAL - GESTION ADMINISTRATIVA"/>
    <n v="0"/>
    <n v="30.77"/>
    <s v="DAVID"/>
    <x v="1"/>
  </r>
  <r>
    <n v="30"/>
    <d v="2019-06-27T00:00:00"/>
    <x v="2"/>
    <x v="2"/>
    <x v="1"/>
    <s v="CAJA"/>
    <s v="VIATICOS 2"/>
    <s v="TRANSACCIONES DEL DIA 06/27/2019SPYRAL - GESTION ADMINISTRATIVA"/>
    <n v="20"/>
    <n v="0"/>
    <s v="DAVID"/>
    <x v="1"/>
  </r>
  <r>
    <n v="30"/>
    <d v="2019-03-13T00:00:00"/>
    <x v="9"/>
    <x v="9"/>
    <x v="1"/>
    <s v="SERVICIOS PERSONALES"/>
    <s v="VIATICOS 2"/>
    <s v="TRANSACCIONES DEL DIA 03/13/2019SPYRAL - GESTION ADMINISTRATIVA"/>
    <n v="96"/>
    <n v="0"/>
    <s v="DAVID"/>
    <x v="1"/>
  </r>
  <r>
    <n v="32"/>
    <d v="2019-02-01T00:00:00"/>
    <x v="8"/>
    <x v="8"/>
    <x v="1"/>
    <s v="ADMINISTRACION DE SUCURSALES"/>
    <s v="OTROS EGRESOS 18"/>
    <s v="OTROS EGRESOS 1.P.O (OR:32/DES:32 TRN:86 PERF:300086 CAU: 18"/>
    <n v="31.3"/>
    <n v="0"/>
    <s v="PLAZA LAS AMERICAS"/>
    <x v="1"/>
  </r>
  <r>
    <n v="32"/>
    <d v="2019-05-08T00:00:00"/>
    <x v="11"/>
    <x v="11"/>
    <x v="1"/>
    <s v="ADMINISTRACION DE SUCURSALES"/>
    <s v="OTROS EGRESOS 18"/>
    <s v="OTROS EGRESOS 1.P.O (OR:32/DES:32 TRN:86 PERF:300086 CAU: 18"/>
    <n v="16.350000000000001"/>
    <n v="0"/>
    <s v="PLAZA LAS AMERICAS"/>
    <x v="1"/>
  </r>
  <r>
    <n v="32"/>
    <d v="2019-05-22T00:00:00"/>
    <x v="11"/>
    <x v="11"/>
    <x v="1"/>
    <s v="ADMINISTRACION DE SUCURSALES"/>
    <s v="OTROS EGRESOS 18"/>
    <s v="OTROS EGRESOS 1.P.O (OR:32/DES:32 TRN:86 PERF:300086 CAU: 18"/>
    <n v="16.399999999999999"/>
    <n v="0"/>
    <s v="PLAZA LAS AMERICAS"/>
    <x v="1"/>
  </r>
  <r>
    <n v="33"/>
    <d v="2019-02-13T00:00:00"/>
    <x v="8"/>
    <x v="8"/>
    <x v="1"/>
    <s v="ADMINISTRACION DE SUCURSALES"/>
    <s v="OTROS EGRESOS 18"/>
    <s v="OTROS EGRESOS 1.P.O (OR:33/DES:33 TRN:86 PERF:300086 CAU: 18"/>
    <n v="9"/>
    <n v="0"/>
    <s v="CORONADO"/>
    <x v="1"/>
  </r>
  <r>
    <n v="33"/>
    <d v="2019-02-18T00:00:00"/>
    <x v="8"/>
    <x v="8"/>
    <x v="1"/>
    <s v="ADMINISTRACION DE SUCURSALES"/>
    <s v="OTROS EGRESOS 18"/>
    <s v="OTROS EGRESOS 1.P.O (OR:33/DES:33 TRN:86 PERF:300086 CAU: 18"/>
    <n v="26"/>
    <n v="0"/>
    <s v="CORONADO"/>
    <x v="1"/>
  </r>
  <r>
    <n v="33"/>
    <d v="2019-03-08T00:00:00"/>
    <x v="9"/>
    <x v="9"/>
    <x v="1"/>
    <s v="ADMINISTRACION DE SUCURSALES"/>
    <s v="OTROS EGRESOS 18"/>
    <s v="OTROS EGRESOS 1.P.O (OR:33/DES:33 TRN:86 PERF:300086 CAU: 18"/>
    <n v="26"/>
    <n v="0"/>
    <s v="CORONADO"/>
    <x v="1"/>
  </r>
  <r>
    <n v="33"/>
    <d v="2019-03-14T00:00:00"/>
    <x v="9"/>
    <x v="9"/>
    <x v="1"/>
    <s v="ADMINISTRACION DE SUCURSALES"/>
    <s v="OTROS EGRESOS 18"/>
    <s v="OTROS EGRESOS 1.P.O (OR:33/DES:33 TRN:86 PERF:300086 CAU: 18"/>
    <n v="26"/>
    <n v="0"/>
    <s v="CORONADO"/>
    <x v="1"/>
  </r>
  <r>
    <n v="33"/>
    <d v="2019-03-22T00:00:00"/>
    <x v="9"/>
    <x v="9"/>
    <x v="1"/>
    <s v="ADMINISTRACION DE SUCURSALES"/>
    <s v="OTROS EGRESOS 18"/>
    <s v="OTROS EGRESOS 1.P.O (OR:33/DES:33 TRN:86 PERF:300086 CAU: 18"/>
    <n v="26"/>
    <n v="0"/>
    <s v="CORONADO"/>
    <x v="1"/>
  </r>
  <r>
    <n v="33"/>
    <d v="2019-03-23T00:00:00"/>
    <x v="9"/>
    <x v="9"/>
    <x v="1"/>
    <s v="ADMINISTRACION DE SUCURSALES"/>
    <s v="VIATICOS 2"/>
    <s v="TRANSACCIONES DEL DIA 03/23/2019SPYRAL - GESTION ADMINISTRATIVA"/>
    <n v="34"/>
    <n v="0"/>
    <s v="CORONADO"/>
    <x v="1"/>
  </r>
  <r>
    <n v="33"/>
    <d v="2019-03-27T00:00:00"/>
    <x v="9"/>
    <x v="9"/>
    <x v="1"/>
    <s v="ADMINISTRACION DE SUCURSALES"/>
    <s v="OTROS EGRESOS 18"/>
    <s v="OTROS EGRESOS 1.P.O (OR:33/DES:33 TRN:86 PERF:300086 CAU: 18"/>
    <n v="26"/>
    <n v="0"/>
    <s v="CORONADO"/>
    <x v="1"/>
  </r>
  <r>
    <n v="33"/>
    <d v="2019-04-22T00:00:00"/>
    <x v="10"/>
    <x v="10"/>
    <x v="1"/>
    <s v="ADMINISTRACION DE SUCURSALES"/>
    <s v="OTROS EGRESOS 18"/>
    <s v="OTROS EGRESOS 1.P.O (OR:33/DES:33 TRN:86 PERF:300086 CAU: 18"/>
    <n v="26"/>
    <n v="0"/>
    <s v="CORONADO"/>
    <x v="1"/>
  </r>
  <r>
    <n v="33"/>
    <d v="2019-04-23T00:00:00"/>
    <x v="10"/>
    <x v="10"/>
    <x v="1"/>
    <s v="ADMINISTRACION DE SUCURSALES"/>
    <s v="OTROS EGRESOS 18"/>
    <s v="OTROS EGRESOS 1.P.O (OR:33/DES:33 TRN:86 PERF:300086 CAU: 18"/>
    <n v="26"/>
    <n v="0"/>
    <s v="CORONADO"/>
    <x v="1"/>
  </r>
  <r>
    <n v="33"/>
    <d v="2019-04-27T00:00:00"/>
    <x v="10"/>
    <x v="10"/>
    <x v="1"/>
    <s v="ADMINISTRACION DE SUCURSALES"/>
    <s v="OTROS EGRESOS 18"/>
    <s v="OTROS EGRESOS 1.P.O (OR:33/DES:33 TRN:86 PERF:300086 CAU: 18"/>
    <n v="26"/>
    <n v="0"/>
    <s v="CORONADO"/>
    <x v="1"/>
  </r>
  <r>
    <n v="33"/>
    <d v="2019-05-09T00:00:00"/>
    <x v="11"/>
    <x v="11"/>
    <x v="1"/>
    <s v="ADMINISTRACION DE SUCURSALES"/>
    <s v="VIATICOS 2"/>
    <s v="TRANSACCIONES DEL DIA 05/09/2019SPYRAL - GESTION ADMINISTRATIVA"/>
    <n v="60"/>
    <n v="0"/>
    <s v="CORONADO"/>
    <x v="1"/>
  </r>
  <r>
    <n v="33"/>
    <d v="2019-05-13T00:00:00"/>
    <x v="11"/>
    <x v="11"/>
    <x v="1"/>
    <s v="ADMINISTRACION DE SUCURSALES"/>
    <s v="OTROS EGRESOS 18"/>
    <s v="OTROS EGRESOS 1.P.O (OR:33/DES:33 TRN:86 PERF:300086 CAU: 18"/>
    <n v="26"/>
    <n v="0"/>
    <s v="CORONADO"/>
    <x v="1"/>
  </r>
  <r>
    <n v="33"/>
    <d v="2019-05-14T00:00:00"/>
    <x v="11"/>
    <x v="11"/>
    <x v="1"/>
    <s v="ADMINISTRACION DE SUCURSALES"/>
    <s v="OTROS EGRESOS 18"/>
    <s v="OTROS EGRESOS 1.P.O (OR:33/DES:33 TRN:86 PERF:300086 CAU: 18"/>
    <n v="26"/>
    <n v="0"/>
    <s v="CORONADO"/>
    <x v="1"/>
  </r>
  <r>
    <n v="33"/>
    <d v="2019-05-29T00:00:00"/>
    <x v="11"/>
    <x v="11"/>
    <x v="1"/>
    <s v="ADMINISTRACION DE SUCURSALES"/>
    <s v="OTROS EGRESOS 18"/>
    <s v="OTROS EGRESOS 1.P.O (OR:33/DES:33 TRN:86 PERF:300086 CAU: 18"/>
    <n v="9"/>
    <n v="0"/>
    <s v="CORONADO"/>
    <x v="1"/>
  </r>
  <r>
    <n v="33"/>
    <d v="2019-05-30T00:00:00"/>
    <x v="11"/>
    <x v="11"/>
    <x v="1"/>
    <s v="ADMINISTRACION DE SUCURSALES"/>
    <s v="OTROS EGRESOS 18"/>
    <s v="OTROS EGRESOS 1.P.O (OR:33/DES:33 TRN:86 PERF:300086 CAU: 18"/>
    <n v="9"/>
    <n v="0"/>
    <s v="CORONADO"/>
    <x v="1"/>
  </r>
  <r>
    <n v="33"/>
    <d v="2019-06-11T00:00:00"/>
    <x v="2"/>
    <x v="2"/>
    <x v="1"/>
    <s v="ADMINISTRACION DE SUCURSALES"/>
    <s v="VIATICOS 2"/>
    <s v="TRANSACCIONES DEL DIA 06/11/2019SPYRAL - GESTION ADMINISTRATIVA"/>
    <n v="26"/>
    <n v="0"/>
    <s v="CORONADO"/>
    <x v="1"/>
  </r>
  <r>
    <n v="33"/>
    <d v="2019-06-21T00:00:00"/>
    <x v="2"/>
    <x v="2"/>
    <x v="1"/>
    <s v="ADMINISTRACION DE SUCURSALES"/>
    <s v="OTROS EGRESOS 18"/>
    <s v="OTROS EGRESOS 1.P.O (OR:33/DES:33 TRN:86 PERF:300086 CAU: 18"/>
    <n v="52"/>
    <n v="0"/>
    <s v="CORONADO"/>
    <x v="1"/>
  </r>
  <r>
    <n v="33"/>
    <d v="2019-07-02T00:00:00"/>
    <x v="6"/>
    <x v="6"/>
    <x v="1"/>
    <s v="ADMINISTRACION DE SUCURSALES"/>
    <s v="VIATICOS 2"/>
    <s v="TRANSACCIONES DEL DIA 07/02/2019SPYRAL - GESTION ADMINISTRATIVA"/>
    <n v="120"/>
    <n v="0"/>
    <s v="CORONADO"/>
    <x v="1"/>
  </r>
  <r>
    <n v="33"/>
    <d v="2019-07-13T00:00:00"/>
    <x v="6"/>
    <x v="6"/>
    <x v="1"/>
    <s v="ADMINISTRACION DE SUCURSALES"/>
    <s v="VIATICOS 2"/>
    <s v="TRANSACCIONES DEL DIA 07/13/2019SPYRAL - GESTION ADMINISTRATIVA"/>
    <n v="26"/>
    <n v="0"/>
    <s v="CORONADO"/>
    <x v="1"/>
  </r>
  <r>
    <n v="33"/>
    <d v="2019-07-16T00:00:00"/>
    <x v="6"/>
    <x v="6"/>
    <x v="1"/>
    <s v="ADMINISTRACION DE SUCURSALES"/>
    <s v="OTROS EGRESOS 18"/>
    <s v="OTROS EGRESOS 1.P.O (OR:33/DES:33 TRN:86 PERF:300086 CAU: 18"/>
    <n v="26"/>
    <n v="0"/>
    <s v="CORONADO"/>
    <x v="1"/>
  </r>
  <r>
    <n v="33"/>
    <d v="2019-07-17T00:00:00"/>
    <x v="6"/>
    <x v="6"/>
    <x v="1"/>
    <s v="ADMINISTRACION DE SUCURSALES"/>
    <s v="VIATICOS 2"/>
    <s v="TRANSACCIONES DEL DIA 07/17/2019SPYRAL - GESTION ADMINISTRATIVA"/>
    <n v="34"/>
    <n v="0"/>
    <s v="CORONADO"/>
    <x v="1"/>
  </r>
  <r>
    <n v="33"/>
    <d v="2019-04-30T00:00:00"/>
    <x v="10"/>
    <x v="10"/>
    <x v="1"/>
    <s v="CAJA"/>
    <s v="VIATICOS 2"/>
    <s v="TRANSACCIONES DEL DIA 04/30/2019SPYRAL - GESTION ADMINISTRATIVA"/>
    <n v="676"/>
    <n v="0"/>
    <s v="CORONADO"/>
    <x v="1"/>
  </r>
  <r>
    <n v="33"/>
    <d v="2019-05-16T00:00:00"/>
    <x v="11"/>
    <x v="11"/>
    <x v="1"/>
    <s v="CAJA"/>
    <s v="VIATICOS 2"/>
    <s v="TRANSACCIONES DEL DIA 05/16/2019SPYRAL - GESTION ADMINISTRATIVA"/>
    <n v="676"/>
    <n v="0"/>
    <s v="CORONADO"/>
    <x v="1"/>
  </r>
  <r>
    <n v="33"/>
    <d v="2019-06-01T00:00:00"/>
    <x v="2"/>
    <x v="2"/>
    <x v="1"/>
    <s v="CAJA"/>
    <s v="VIATICOS 2"/>
    <s v="TRANSACCIONES DEL DIA 06/01/2019SPYRAL - GESTION ADMINISTRATIVA"/>
    <n v="338"/>
    <n v="0"/>
    <s v="CORONADO"/>
    <x v="1"/>
  </r>
  <r>
    <n v="33"/>
    <d v="2019-06-15T00:00:00"/>
    <x v="2"/>
    <x v="2"/>
    <x v="1"/>
    <s v="CAJA"/>
    <s v="VIATICOS 2"/>
    <s v="TRANSACCIONES DEL DIA 06/15/2019SPYRAL - GESTION ADMINISTRATIVA"/>
    <n v="432"/>
    <n v="0"/>
    <s v="CORONADO"/>
    <x v="1"/>
  </r>
  <r>
    <n v="33"/>
    <d v="2019-07-02T00:00:00"/>
    <x v="6"/>
    <x v="6"/>
    <x v="1"/>
    <s v="CAJA"/>
    <s v="VIATICOS 2"/>
    <s v="TRANSACCIONES DEL DIA 07/02/2019SPYRAL - GESTION ADMINISTRATIVA"/>
    <n v="338"/>
    <n v="0"/>
    <s v="CORONADO"/>
    <x v="1"/>
  </r>
  <r>
    <n v="33"/>
    <d v="2019-07-16T00:00:00"/>
    <x v="6"/>
    <x v="6"/>
    <x v="1"/>
    <s v="CAJA"/>
    <s v="VIATICOS 2"/>
    <s v="TRANSACCIONES DEL DIA 07/16/2019SPYRAL - GESTION ADMINISTRATIVA"/>
    <n v="338"/>
    <n v="0"/>
    <s v="CORONADO"/>
    <x v="1"/>
  </r>
  <r>
    <n v="33"/>
    <d v="2019-07-30T00:00:00"/>
    <x v="6"/>
    <x v="6"/>
    <x v="1"/>
    <s v="CAJA"/>
    <s v="VIATICOS 2"/>
    <s v="TRANSACCIONES DEL DIA 07/30/2019SPYRAL - GESTION ADMINISTRATIVA"/>
    <n v="572"/>
    <n v="0"/>
    <s v="CORONADO"/>
    <x v="1"/>
  </r>
  <r>
    <n v="33"/>
    <d v="2019-04-04T00:00:00"/>
    <x v="10"/>
    <x v="10"/>
    <x v="1"/>
    <s v="SERVICIOS PERSONALES"/>
    <s v="VIATICOS 2"/>
    <s v="TRANSACCIONES DEL DIA 04/04/2019SPYRAL - GESTION ADMINISTRATIVA"/>
    <n v="221"/>
    <n v="0"/>
    <s v="CORONADO"/>
    <x v="1"/>
  </r>
  <r>
    <n v="34"/>
    <d v="2019-01-17T00:00:00"/>
    <x v="7"/>
    <x v="7"/>
    <x v="1"/>
    <s v="ADMINISTRACION DE SUCURSALES"/>
    <s v="OTROS EGRESOS 18"/>
    <s v="OTROS EGRESOS 1.P.O (OR:34/DES:34 TRN:86 PERF:300086 CAU: 18"/>
    <n v="3"/>
    <n v="0"/>
    <s v="ALBROOK MALL"/>
    <x v="1"/>
  </r>
  <r>
    <n v="34"/>
    <d v="2019-02-13T00:00:00"/>
    <x v="8"/>
    <x v="8"/>
    <x v="1"/>
    <s v="ADMINISTRACION DE SUCURSALES"/>
    <s v="VIATICOS"/>
    <s v="TRANSACCIONES DEL DIA 02/13/2019SPYRAL - GESTION ADMINISTRATIVA"/>
    <n v="12"/>
    <n v="0"/>
    <s v="ALBROOK MALL"/>
    <x v="1"/>
  </r>
  <r>
    <n v="34"/>
    <d v="2019-04-16T00:00:00"/>
    <x v="10"/>
    <x v="10"/>
    <x v="1"/>
    <s v="ADMINISTRACION DE SUCURSALES"/>
    <s v="VIATICOS 2"/>
    <s v="TRANSACCIONES DEL DIA 04/16/2019SPYRAL - GESTION ADMINISTRATIVA"/>
    <n v="12"/>
    <n v="0"/>
    <s v="ALBROOK MALL"/>
    <x v="1"/>
  </r>
  <r>
    <n v="35"/>
    <d v="2019-02-19T00:00:00"/>
    <x v="8"/>
    <x v="8"/>
    <x v="1"/>
    <s v="ADMINISTRACION DE SUCURSALES"/>
    <s v="OTROS EGRESOS 18"/>
    <s v="OTROS EGRESOS 1.P.O (OR:35/DES:35 TRN:86 PERF:300086 CAU: 18"/>
    <n v="40"/>
    <n v="0"/>
    <s v="PANAMA PACIFICO"/>
    <x v="1"/>
  </r>
  <r>
    <n v="35"/>
    <d v="2019-04-25T00:00:00"/>
    <x v="10"/>
    <x v="10"/>
    <x v="1"/>
    <s v="ADMINISTRACION DE SUCURSALES"/>
    <s v="OTROS EGRESOS 18"/>
    <s v="OTROS EGRESOS 1.P.O (OR:35/DES:35 TRN:86 PERF:300086 CAU: 18"/>
    <n v="50"/>
    <n v="0"/>
    <s v="PANAMA PACIFICO"/>
    <x v="1"/>
  </r>
  <r>
    <n v="35"/>
    <d v="2019-05-10T00:00:00"/>
    <x v="11"/>
    <x v="11"/>
    <x v="1"/>
    <s v="ADMINISTRACION DE SUCURSALES"/>
    <s v="OTROS EGRESOS 18"/>
    <s v="OTROS EGRESOS 1.P.O (OR:35/DES:35 TRN:86 PERF:300086 CAU: 18"/>
    <n v="15"/>
    <n v="0"/>
    <s v="PANAMA PACIFICO"/>
    <x v="1"/>
  </r>
  <r>
    <n v="35"/>
    <d v="2019-06-19T00:00:00"/>
    <x v="2"/>
    <x v="2"/>
    <x v="1"/>
    <s v="ADMINISTRACION DE SUCURSALES"/>
    <s v="OTROS EGRESOS 18"/>
    <s v="OTROS EGRESOS 1.P.O (OR:35/DES:35 TRN:86 PERF:300086 CAU: 18"/>
    <n v="22.5"/>
    <n v="0"/>
    <s v="PANAMA PACIFICO"/>
    <x v="1"/>
  </r>
  <r>
    <n v="35"/>
    <d v="2019-07-02T00:00:00"/>
    <x v="6"/>
    <x v="6"/>
    <x v="1"/>
    <s v="ADMINISTRACION DE SUCURSALES"/>
    <s v="OTROS EGRESOS 18"/>
    <s v="OTROS EGRESOS 1.P.O (OR:35/DES:35 TRN:86 PERF:300086 CAU: 18"/>
    <n v="50"/>
    <n v="0"/>
    <s v="PANAMA PACIFICO"/>
    <x v="1"/>
  </r>
  <r>
    <n v="37"/>
    <d v="2019-03-13T00:00:00"/>
    <x v="9"/>
    <x v="9"/>
    <x v="1"/>
    <s v="ADMINISTRACION DE SUCURSALES"/>
    <s v="OTROS EGRESOS 18"/>
    <s v="OTROS EGRESOS 1.P.O (OR:37/DES:37 TRN:86 PERF:300086 CAU: 18"/>
    <n v="2.25"/>
    <n v="0"/>
    <s v="PENONOME"/>
    <x v="1"/>
  </r>
  <r>
    <n v="37"/>
    <d v="2019-05-16T00:00:00"/>
    <x v="11"/>
    <x v="11"/>
    <x v="1"/>
    <s v="ADMINISTRACION DE SUCURSALES"/>
    <s v="VIATICOS 2"/>
    <s v="TRANSACCIONES DEL DIA 05/16/2019SPYRAL - GESTION ADMINISTRATIVA"/>
    <n v="110.5"/>
    <n v="0"/>
    <s v="PENONOME"/>
    <x v="1"/>
  </r>
  <r>
    <n v="37"/>
    <d v="2019-06-04T00:00:00"/>
    <x v="2"/>
    <x v="2"/>
    <x v="1"/>
    <s v="ADMINISTRACION DE SUCURSALES"/>
    <s v="NC VIATICOS"/>
    <s v="TRANSACCIONES DEL DIA 06/04/2019SPYRAL - GESTION ADMINISTRATIVA"/>
    <n v="0"/>
    <n v="25.5"/>
    <s v="PENONOME"/>
    <x v="1"/>
  </r>
  <r>
    <n v="37"/>
    <d v="2019-06-13T00:00:00"/>
    <x v="2"/>
    <x v="2"/>
    <x v="1"/>
    <s v="ADMINISTRACION DE SUCURSALES"/>
    <s v="OTROS EGRESOS 18"/>
    <s v="OTROS EGRESOS 1.P.O (OR:37/DES:37 TRN:86 PERF:300086 CAU: 18"/>
    <n v="2.75"/>
    <n v="0"/>
    <s v="PENONOME"/>
    <x v="1"/>
  </r>
  <r>
    <n v="37"/>
    <d v="2019-07-05T00:00:00"/>
    <x v="6"/>
    <x v="6"/>
    <x v="1"/>
    <s v="ADMINISTRACION DE SUCURSALES"/>
    <s v="OTROS EGRESOS 18"/>
    <s v="OTROS EGRESOS 1.P.O (OR:37/DES:37 TRN:86 PERF:300086 CAU: 18"/>
    <n v="4"/>
    <n v="0"/>
    <s v="PENONOME"/>
    <x v="1"/>
  </r>
  <r>
    <n v="37"/>
    <d v="2019-07-05T00:00:00"/>
    <x v="6"/>
    <x v="6"/>
    <x v="1"/>
    <s v="ADMINISTRACION DE SUCURSALES"/>
    <s v="VIATICOS 2"/>
    <s v="TRANSACCIONES DEL DIA 07/05/2019SPYRAL - GESTION ADMINISTRATIVA"/>
    <n v="306"/>
    <n v="0"/>
    <s v="PENONOME"/>
    <x v="1"/>
  </r>
  <r>
    <n v="37"/>
    <d v="2019-07-30T00:00:00"/>
    <x v="6"/>
    <x v="6"/>
    <x v="1"/>
    <s v="ADMINISTRACION DE SUCURSALES"/>
    <s v="VIATICOS 2"/>
    <s v="TRANSACCIONES DEL DIA 07/30/2019SPYRAL - GESTION ADMINISTRATIVA"/>
    <n v="110.5"/>
    <n v="0"/>
    <s v="PENONOME"/>
    <x v="1"/>
  </r>
  <r>
    <n v="37"/>
    <d v="2019-04-30T00:00:00"/>
    <x v="10"/>
    <x v="10"/>
    <x v="1"/>
    <s v="CAJA"/>
    <s v="VIATICOS 2"/>
    <s v="TRANSACCIONES DEL DIA 04/30/2019SPYRAL - GESTION ADMINISTRATIVA"/>
    <n v="110.5"/>
    <n v="0"/>
    <s v="PENONOME"/>
    <x v="1"/>
  </r>
  <r>
    <n v="37"/>
    <d v="2019-06-01T00:00:00"/>
    <x v="2"/>
    <x v="2"/>
    <x v="1"/>
    <s v="CAJA"/>
    <s v="VIATICOS 2"/>
    <s v="TRANSACCIONES DEL DIA 06/01/2019SPYRAL - GESTION ADMINISTRATIVA"/>
    <n v="234"/>
    <n v="0"/>
    <s v="PENONOME"/>
    <x v="1"/>
  </r>
  <r>
    <n v="37"/>
    <d v="2019-06-15T00:00:00"/>
    <x v="2"/>
    <x v="2"/>
    <x v="1"/>
    <s v="CAJA"/>
    <s v="VIATICOS 2"/>
    <s v="TRANSACCIONES DEL DIA 06/15/2019SPYRAL - GESTION ADMINISTRATIVA"/>
    <n v="216"/>
    <n v="0"/>
    <s v="PENONOME"/>
    <x v="1"/>
  </r>
  <r>
    <n v="37"/>
    <d v="2019-07-05T00:00:00"/>
    <x v="6"/>
    <x v="6"/>
    <x v="1"/>
    <s v="SERVICIOS PERSONALES"/>
    <s v="VIATICOS 2"/>
    <s v="TRANSACCIONES DEL DIA 07/05/2019SPYRAL - GESTION ADMINISTRATIVA"/>
    <n v="149.5"/>
    <n v="0"/>
    <s v="PENONOME"/>
    <x v="1"/>
  </r>
  <r>
    <n v="38"/>
    <d v="2019-01-24T00:00:00"/>
    <x v="7"/>
    <x v="7"/>
    <x v="1"/>
    <s v="ADMINISTRACION DE SUCURSALES"/>
    <s v="OTROS EGRESOS 18"/>
    <s v="OTROS EGRESOS 1.P.O (OR:38/DES:38 TRN:86 PERF:300086 CAU: 18"/>
    <n v="17.399999999999999"/>
    <n v="0"/>
    <s v="ALBROOK"/>
    <x v="1"/>
  </r>
  <r>
    <n v="38"/>
    <d v="2019-02-18T00:00:00"/>
    <x v="8"/>
    <x v="8"/>
    <x v="1"/>
    <s v="ADMINISTRACION DE SUCURSALES"/>
    <s v="VIATICOS"/>
    <s v="TRANSACCIONES DEL DIA 02/18/2019SPYRAL - GESTION ADMINISTRATIVA"/>
    <n v="12"/>
    <n v="0"/>
    <s v="ALBROOK"/>
    <x v="1"/>
  </r>
  <r>
    <n v="38"/>
    <d v="2019-02-22T00:00:00"/>
    <x v="8"/>
    <x v="8"/>
    <x v="1"/>
    <s v="ADMINISTRACION DE SUCURSALES"/>
    <s v="OTROS EGRESOS 18"/>
    <s v="OTROS EGRESOS 1.P.O (OR:38/DES:38 TRN:86 PERF:300086 CAU: 18"/>
    <n v="23.05"/>
    <n v="0"/>
    <s v="ALBROOK"/>
    <x v="1"/>
  </r>
  <r>
    <n v="38"/>
    <d v="2019-03-02T00:00:00"/>
    <x v="9"/>
    <x v="9"/>
    <x v="1"/>
    <s v="ADMINISTRACION DE SUCURSALES"/>
    <s v="OTROS EGRESOS 18"/>
    <s v="OTROS EGRESOS 1.P.O (OR:38/DES:38 TRN:86 PERF:300086 CAU: 18"/>
    <n v="52.2"/>
    <n v="0"/>
    <s v="ALBROOK"/>
    <x v="1"/>
  </r>
  <r>
    <n v="38"/>
    <d v="2019-03-27T00:00:00"/>
    <x v="9"/>
    <x v="9"/>
    <x v="1"/>
    <s v="ADMINISTRACION DE SUCURSALES"/>
    <s v="OTROS EGRESOS 18"/>
    <s v="OTROS EGRESOS 1.P.O (OR:38/DES:38 TRN:86 PERF:300086 CAU: 18"/>
    <n v="17.399999999999999"/>
    <n v="0"/>
    <s v="ALBROOK"/>
    <x v="1"/>
  </r>
  <r>
    <n v="38"/>
    <d v="2019-05-18T00:00:00"/>
    <x v="11"/>
    <x v="11"/>
    <x v="1"/>
    <s v="ADMINISTRACION DE SUCURSALES"/>
    <s v="VIATICOS 2"/>
    <s v="TRANSACCIONES DEL DIA 05/18/2019SPYRAL - GESTION ADMINISTRATIVA"/>
    <n v="12"/>
    <n v="0"/>
    <s v="ALBROOK"/>
    <x v="1"/>
  </r>
  <r>
    <n v="38"/>
    <d v="2019-05-22T00:00:00"/>
    <x v="11"/>
    <x v="11"/>
    <x v="1"/>
    <s v="ADMINISTRACION DE SUCURSALES"/>
    <s v="OTROS EGRESOS 18"/>
    <s v="OTROS EGRESOS 1.P.O (OR:38/DES:38 TRN:86 PERF:300086 CAU: 18"/>
    <n v="34.799999999999997"/>
    <n v="0"/>
    <s v="ALBROOK"/>
    <x v="1"/>
  </r>
  <r>
    <n v="38"/>
    <d v="2019-01-03T00:00:00"/>
    <x v="7"/>
    <x v="7"/>
    <x v="1"/>
    <s v="CAJA"/>
    <s v="VIATICOS"/>
    <s v="TRANSACCIONES DEL DIA 01/03/2019SPYRAL - GESTION ADMINISTRATIVA"/>
    <n v="139.19999999999999"/>
    <n v="0"/>
    <s v="ALBROOK"/>
    <x v="1"/>
  </r>
  <r>
    <n v="38"/>
    <d v="2019-02-01T00:00:00"/>
    <x v="8"/>
    <x v="8"/>
    <x v="1"/>
    <s v="CAJA"/>
    <s v="VIATICOS"/>
    <s v="TRANSACCIONES DEL DIA 02/01/2019SPYRAL - GESTION ADMINISTRATIVA"/>
    <n v="18"/>
    <n v="0"/>
    <s v="ALBROOK"/>
    <x v="1"/>
  </r>
  <r>
    <n v="38"/>
    <d v="2019-02-08T00:00:00"/>
    <x v="8"/>
    <x v="8"/>
    <x v="1"/>
    <s v="CAJA"/>
    <s v="VIATICOS"/>
    <s v="TRANSACCIONES DEL DIA 02/08/2019SPYRAL - GESTION ADMINISTRATIVA"/>
    <n v="139.19999999999999"/>
    <n v="0"/>
    <s v="ALBROOK"/>
    <x v="1"/>
  </r>
  <r>
    <n v="38"/>
    <d v="2019-03-11T00:00:00"/>
    <x v="9"/>
    <x v="9"/>
    <x v="1"/>
    <s v="CAJA"/>
    <s v="VIATICOS"/>
    <s v="TRANSACCIONES DEL DIA 03/11/2019SPYRAL - GESTION ADMINISTRATIVA"/>
    <n v="139.19999999999999"/>
    <n v="0"/>
    <s v="ALBROOK"/>
    <x v="1"/>
  </r>
  <r>
    <n v="38"/>
    <d v="2019-05-07T00:00:00"/>
    <x v="11"/>
    <x v="11"/>
    <x v="1"/>
    <s v="CAJA"/>
    <s v="VIATICOS 2"/>
    <s v="TRANSACCIONES DEL DIA 05/07/2019SPYRAL - GESTION ADMINISTRATIVA"/>
    <n v="147.9"/>
    <n v="0"/>
    <s v="ALBROOK"/>
    <x v="1"/>
  </r>
  <r>
    <n v="38"/>
    <d v="2019-06-22T00:00:00"/>
    <x v="2"/>
    <x v="2"/>
    <x v="1"/>
    <s v="CAJA"/>
    <s v="VIATICOS 2"/>
    <s v="TRANSACCIONES DEL DIA 06/22/2019SPYRAL - GESTION ADMINISTRATIVA"/>
    <n v="95.7"/>
    <n v="0"/>
    <s v="ALBROOK"/>
    <x v="1"/>
  </r>
  <r>
    <n v="38"/>
    <d v="2019-06-25T00:00:00"/>
    <x v="2"/>
    <x v="2"/>
    <x v="1"/>
    <s v="CAJA"/>
    <s v="VIATICOS 2"/>
    <s v="TRANSACCIONES DEL DIA 06/25/2019SPYRAL - GESTION ADMINISTRATIVA"/>
    <n v="69.599999999999994"/>
    <n v="0"/>
    <s v="ALBROOK"/>
    <x v="1"/>
  </r>
  <r>
    <n v="38"/>
    <d v="2019-07-09T00:00:00"/>
    <x v="6"/>
    <x v="6"/>
    <x v="1"/>
    <s v="CAJA"/>
    <s v="VIATICOS 2"/>
    <s v="TRANSACCIONES DEL DIA 07/09/2019SPYRAL - GESTION ADMINISTRATIVA"/>
    <n v="139.19999999999999"/>
    <n v="0"/>
    <s v="ALBROOK"/>
    <x v="1"/>
  </r>
  <r>
    <n v="38"/>
    <d v="2019-07-26T00:00:00"/>
    <x v="6"/>
    <x v="6"/>
    <x v="1"/>
    <s v="CAJA"/>
    <s v="VIATICOS 2"/>
    <s v="TRANSACCIONES DEL DIA 07/26/2019SPYRAL - GESTION ADMINISTRATIVA"/>
    <n v="1.8"/>
    <n v="0"/>
    <s v="ALBROOK"/>
    <x v="1"/>
  </r>
  <r>
    <n v="39"/>
    <d v="2019-01-03T00:00:00"/>
    <x v="7"/>
    <x v="7"/>
    <x v="1"/>
    <s v="ADMINISTRACION DE SUCURSALES"/>
    <s v="OTROS EGRESOS 18"/>
    <s v="OTROS EGRESOS 1.P.O (OR:39/DES:39 TRN:86 PERF:300086 CAU: 18"/>
    <n v="15"/>
    <n v="0"/>
    <s v="SUCURSAL DE VISTA ALEGRE"/>
    <x v="1"/>
  </r>
  <r>
    <n v="39"/>
    <d v="2019-03-27T00:00:00"/>
    <x v="9"/>
    <x v="9"/>
    <x v="1"/>
    <s v="ADMINISTRACION DE SUCURSALES"/>
    <s v="VIATICOS 2"/>
    <s v="TRANSACCIONES DEL DIA 03/27/2019SPYRAL - GESTION ADMINISTRATIVA"/>
    <n v="143"/>
    <n v="0"/>
    <s v="SUCURSAL DE VISTA ALEGRE"/>
    <x v="1"/>
  </r>
  <r>
    <n v="39"/>
    <d v="2019-04-01T00:00:00"/>
    <x v="10"/>
    <x v="10"/>
    <x v="1"/>
    <s v="ADMINISTRACION DE SUCURSALES"/>
    <s v="OTROS EGRESOS 18"/>
    <s v="OTROS EGRESOS 1.P.O (OR:39/DES:39 TRN:86 PERF:300086 CAU: 18"/>
    <n v="9"/>
    <n v="0"/>
    <s v="SUCURSAL DE VISTA ALEGRE"/>
    <x v="1"/>
  </r>
  <r>
    <n v="40"/>
    <d v="2019-01-17T00:00:00"/>
    <x v="7"/>
    <x v="7"/>
    <x v="1"/>
    <s v="ADMINISTRACION DE SUCURSALES"/>
    <s v="OTROS EGRESOS 18"/>
    <s v="OTROS EGRESOS 1.P.O (OR:40/DES:40 TRN:86 PERF:300086 CAU: 18"/>
    <n v="14"/>
    <n v="0"/>
    <s v="LAS TABLAS"/>
    <x v="1"/>
  </r>
  <r>
    <n v="40"/>
    <d v="2019-02-01T00:00:00"/>
    <x v="8"/>
    <x v="8"/>
    <x v="1"/>
    <s v="ADMINISTRACION DE SUCURSALES"/>
    <s v="OTROS EGRESOS 18"/>
    <s v="OTROS EGRESOS 1.P.O (OR:40/DES:40 TRN:86 PERF:300086 CAU: 18"/>
    <n v="7"/>
    <n v="0"/>
    <s v="LAS TABLAS"/>
    <x v="1"/>
  </r>
  <r>
    <n v="40"/>
    <d v="2019-02-27T00:00:00"/>
    <x v="8"/>
    <x v="8"/>
    <x v="1"/>
    <s v="ADMINISTRACION DE SUCURSALES"/>
    <s v="OTROS EGRESOS 18"/>
    <s v="OTROS EGRESOS 1.P.O (OR:40/DES:40 TRN:86 PERF:300086 CAU: 18"/>
    <n v="28"/>
    <n v="0"/>
    <s v="LAS TABLAS"/>
    <x v="1"/>
  </r>
  <r>
    <n v="40"/>
    <d v="2019-03-01T00:00:00"/>
    <x v="9"/>
    <x v="9"/>
    <x v="1"/>
    <s v="ADMINISTRACION DE SUCURSALES"/>
    <s v="OTROS EGRESOS 18"/>
    <s v="OTROS EGRESOS 1.P.O (OR:40/DES:40 TRN:86 PERF:300086 CAU: 18"/>
    <n v="14"/>
    <n v="0"/>
    <s v="LAS TABLAS"/>
    <x v="1"/>
  </r>
  <r>
    <n v="40"/>
    <d v="2019-03-14T00:00:00"/>
    <x v="9"/>
    <x v="9"/>
    <x v="1"/>
    <s v="ADMINISTRACION DE SUCURSALES"/>
    <s v="OTROS EGRESOS 18"/>
    <s v="OTROS EGRESOS 1.P.O (OR:40/DES:40 TRN:86 PERF:300086 CAU: 18"/>
    <n v="14"/>
    <n v="0"/>
    <s v="LAS TABLAS"/>
    <x v="1"/>
  </r>
  <r>
    <n v="40"/>
    <d v="2019-04-08T00:00:00"/>
    <x v="10"/>
    <x v="10"/>
    <x v="1"/>
    <s v="ADMINISTRACION DE SUCURSALES"/>
    <s v="OTROS EGRESOS 18"/>
    <s v="OTROS EGRESOS 1.P.O (OR:40/DES:40 TRN:86 PERF:300086 CAU: 18"/>
    <n v="14"/>
    <n v="0"/>
    <s v="LAS TABLAS"/>
    <x v="1"/>
  </r>
  <r>
    <n v="40"/>
    <d v="2019-06-01T00:00:00"/>
    <x v="2"/>
    <x v="2"/>
    <x v="1"/>
    <s v="ADMINISTRACION DE SUCURSALES"/>
    <s v="VIATICOS 2"/>
    <s v="TRANSACCIONES DEL DIA 06/01/2019SPYRAL - GESTION ADMINISTRATIVA"/>
    <n v="144"/>
    <n v="0"/>
    <s v="LAS TABLAS"/>
    <x v="1"/>
  </r>
  <r>
    <n v="40"/>
    <d v="2019-06-12T00:00:00"/>
    <x v="2"/>
    <x v="2"/>
    <x v="1"/>
    <s v="ADMINISTRACION DE SUCURSALES"/>
    <s v="OTROS EGRESOS 18"/>
    <s v="OTROS EGRESOS 1.P.O (OR:40/DES:40 TRN:86 PERF:300086 CAU: 18"/>
    <n v="14"/>
    <n v="0"/>
    <s v="LAS TABLAS"/>
    <x v="1"/>
  </r>
  <r>
    <n v="40"/>
    <d v="2019-06-14T00:00:00"/>
    <x v="2"/>
    <x v="2"/>
    <x v="1"/>
    <s v="ADMINISTRACION DE SUCURSALES"/>
    <s v="VIATICOS 2"/>
    <s v="TRANSACCIONES DEL DIA 06/14/2019SPYRAL - GESTION ADMINISTRATIVA"/>
    <n v="131"/>
    <n v="0"/>
    <s v="LAS TABLAS"/>
    <x v="1"/>
  </r>
  <r>
    <n v="40"/>
    <d v="2019-06-15T00:00:00"/>
    <x v="2"/>
    <x v="2"/>
    <x v="1"/>
    <s v="ADMINISTRACION DE SUCURSALES"/>
    <s v="VIATICOS 2"/>
    <s v="TRANSACCIONES DEL DIA 06/15/2019SPYRAL - GESTION ADMINISTRATIVA"/>
    <n v="312"/>
    <n v="0"/>
    <s v="LAS TABLAS"/>
    <x v="1"/>
  </r>
  <r>
    <n v="40"/>
    <d v="2019-06-27T00:00:00"/>
    <x v="2"/>
    <x v="2"/>
    <x v="1"/>
    <s v="ADMINISTRACION DE SUCURSALES"/>
    <s v="VIATICOS 2"/>
    <s v="TRANSACCIONES DEL DIA 06/27/2019SPYRAL - GESTION ADMINISTRATIVA"/>
    <n v="114"/>
    <n v="0"/>
    <s v="LAS TABLAS"/>
    <x v="1"/>
  </r>
  <r>
    <n v="40"/>
    <d v="2019-07-09T00:00:00"/>
    <x v="6"/>
    <x v="6"/>
    <x v="1"/>
    <s v="ADMINISTRACION DE SUCURSALES"/>
    <s v="NC VIATICOS"/>
    <s v="TRANSACCIONES DEL DIA 07/09/2019SPYRAL - GESTION ADMINISTRATIVA"/>
    <n v="0"/>
    <n v="36"/>
    <s v="LAS TABLAS"/>
    <x v="1"/>
  </r>
  <r>
    <n v="40"/>
    <d v="2019-07-15T00:00:00"/>
    <x v="6"/>
    <x v="6"/>
    <x v="1"/>
    <s v="ADMINISTRACION DE SUCURSALES"/>
    <s v="OTROS EGRESOS 18"/>
    <s v="OTROS EGRESOS 1.P.O (OR:40/DES:40 TRN:86 PERF:300086 CAU: 18"/>
    <n v="14"/>
    <n v="0"/>
    <s v="LAS TABLAS"/>
    <x v="1"/>
  </r>
  <r>
    <n v="40"/>
    <d v="2019-07-29T00:00:00"/>
    <x v="6"/>
    <x v="6"/>
    <x v="1"/>
    <s v="ADMINISTRACION DE SUCURSALES"/>
    <s v="OTROS EGRESOS 18"/>
    <s v="OTROS EGRESOS 1.P.O (OR:40/DES:40 TRN:86 PERF:300086 CAU: 18"/>
    <n v="7"/>
    <n v="0"/>
    <s v="LAS TABLAS"/>
    <x v="1"/>
  </r>
  <r>
    <n v="40"/>
    <d v="2019-07-30T00:00:00"/>
    <x v="6"/>
    <x v="6"/>
    <x v="1"/>
    <s v="ADMINISTRACION DE SUCURSALES"/>
    <s v="VIATICOS 2"/>
    <s v="TRANSACCIONES DEL DIA 07/30/2019SPYRAL - GESTION ADMINISTRATIVA"/>
    <n v="182"/>
    <n v="0"/>
    <s v="LAS TABLAS"/>
    <x v="1"/>
  </r>
  <r>
    <n v="40"/>
    <d v="2019-01-02T00:00:00"/>
    <x v="7"/>
    <x v="7"/>
    <x v="1"/>
    <s v="CAJA"/>
    <s v="VIATICOS"/>
    <s v="TRANSACCIONES DEL DIA 01/02/2019SPYRAL - GESTION ADMINISTRATIVA"/>
    <n v="77"/>
    <n v="0"/>
    <s v="LAS TABLAS"/>
    <x v="1"/>
  </r>
  <r>
    <n v="40"/>
    <d v="2019-01-15T00:00:00"/>
    <x v="7"/>
    <x v="7"/>
    <x v="1"/>
    <s v="CAJA"/>
    <s v="VIATICOS"/>
    <s v="TRANSACCIONES DEL DIA 01/15/2019SPYRAL - GESTION ADMINISTRATIVA"/>
    <n v="98"/>
    <n v="0"/>
    <s v="LAS TABLAS"/>
    <x v="1"/>
  </r>
  <r>
    <n v="40"/>
    <d v="2019-04-05T00:00:00"/>
    <x v="10"/>
    <x v="10"/>
    <x v="1"/>
    <s v="CAJA"/>
    <s v="VIATICOS 2"/>
    <s v="TRANSACCIONES DEL DIA 04/05/2019SPYRAL - GESTION ADMINISTRATIVA"/>
    <n v="84"/>
    <n v="0"/>
    <s v="LAS TABLAS"/>
    <x v="1"/>
  </r>
  <r>
    <n v="40"/>
    <d v="2019-04-30T00:00:00"/>
    <x v="10"/>
    <x v="10"/>
    <x v="1"/>
    <s v="CAJA"/>
    <s v="VIATICOS 2"/>
    <s v="TRANSACCIONES DEL DIA 04/30/2019SPYRAL - GESTION ADMINISTRATIVA"/>
    <n v="182"/>
    <n v="0"/>
    <s v="LAS TABLAS"/>
    <x v="1"/>
  </r>
  <r>
    <n v="40"/>
    <d v="2019-07-02T00:00:00"/>
    <x v="6"/>
    <x v="6"/>
    <x v="1"/>
    <s v="CAJA"/>
    <s v="VIATICOS 2"/>
    <s v="TRANSACCIONES DEL DIA 07/02/2019SPYRAL - GESTION ADMINISTRATIVA"/>
    <n v="182"/>
    <n v="0"/>
    <s v="LAS TABLAS"/>
    <x v="1"/>
  </r>
  <r>
    <n v="40"/>
    <d v="2019-07-16T00:00:00"/>
    <x v="6"/>
    <x v="6"/>
    <x v="1"/>
    <s v="CAJA"/>
    <s v="VIATICOS 2"/>
    <s v="TRANSACCIONES DEL DIA 07/16/2019SPYRAL - GESTION ADMINISTRATIVA"/>
    <n v="182"/>
    <n v="0"/>
    <s v="LAS TABLAS"/>
    <x v="1"/>
  </r>
  <r>
    <n v="40"/>
    <d v="2019-03-01T00:00:00"/>
    <x v="9"/>
    <x v="9"/>
    <x v="1"/>
    <s v="SERVICIOS PERSONALES"/>
    <s v="VIATICOS"/>
    <s v="TRANSACCIONES DEL DIA 03/01/2019SPYRAL - GESTION ADMINISTRATIVA"/>
    <n v="140"/>
    <n v="0"/>
    <s v="LAS TABLAS"/>
    <x v="1"/>
  </r>
  <r>
    <n v="40"/>
    <d v="2019-03-14T00:00:00"/>
    <x v="9"/>
    <x v="9"/>
    <x v="1"/>
    <s v="SERVICIOS PERSONALES"/>
    <s v="VIATICOS"/>
    <s v="TRANSACCIONES DEL DIA 03/14/2019SPYRAL - GESTION ADMINISTRATIVA"/>
    <n v="168"/>
    <n v="0"/>
    <s v="LAS TABLAS"/>
    <x v="1"/>
  </r>
  <r>
    <n v="40"/>
    <d v="2019-03-27T00:00:00"/>
    <x v="9"/>
    <x v="9"/>
    <x v="1"/>
    <s v="SERVICIOS PERSONALES"/>
    <s v="VIATICOS 2"/>
    <s v="TRANSACCIONES DEL DIA 03/27/2019SPYRAL - GESTION ADMINISTRATIVA"/>
    <n v="234"/>
    <n v="0"/>
    <s v="LAS TABLAS"/>
    <x v="1"/>
  </r>
  <r>
    <n v="40"/>
    <d v="2019-04-01T00:00:00"/>
    <x v="10"/>
    <x v="10"/>
    <x v="1"/>
    <s v="SERVICIOS PERSONALES"/>
    <s v="VIATICOS 2"/>
    <s v="TRANSACCIONES DEL DIA 04/01/2019SPYRAL - GESTION ADMINISTRATIVA"/>
    <n v="91"/>
    <n v="0"/>
    <s v="LAS TABLAS"/>
    <x v="1"/>
  </r>
  <r>
    <n v="40"/>
    <d v="2019-04-12T00:00:00"/>
    <x v="10"/>
    <x v="10"/>
    <x v="1"/>
    <s v="SERVICIOS PERSONALES"/>
    <s v="VIATICOS 2"/>
    <s v="TRANSACCIONES DEL DIA 04/12/2019SPYRAL - GESTION ADMINISTRATIVA"/>
    <n v="182"/>
    <n v="0"/>
    <s v="LAS TABLAS"/>
    <x v="1"/>
  </r>
  <r>
    <n v="40"/>
    <d v="2019-05-16T00:00:00"/>
    <x v="11"/>
    <x v="11"/>
    <x v="1"/>
    <s v="SERVICIOS PERSONALES"/>
    <s v="VIATICOS 2"/>
    <s v="TRANSACCIONES DEL DIA 05/16/2019SPYRAL - GESTION ADMINISTRATIVA"/>
    <n v="182"/>
    <n v="0"/>
    <s v="LAS TABLAS"/>
    <x v="1"/>
  </r>
  <r>
    <n v="40"/>
    <d v="2019-06-01T00:00:00"/>
    <x v="2"/>
    <x v="2"/>
    <x v="1"/>
    <s v="SERVICIOS PERSONALES"/>
    <s v="VIATICOS 2"/>
    <s v="TRANSACCIONES DEL DIA 06/01/2019SPYRAL - GESTION ADMINISTRATIVA"/>
    <n v="266"/>
    <n v="0"/>
    <s v="LAS TABLAS"/>
    <x v="1"/>
  </r>
  <r>
    <n v="41"/>
    <d v="2019-04-12T00:00:00"/>
    <x v="10"/>
    <x v="10"/>
    <x v="1"/>
    <s v="ADMINISTRACION DE SUCURSALES"/>
    <s v="OTROS EGRESOS 18"/>
    <s v="OTROS EGRESOS 1.P.O (OR:41/DES:41 TRN:86 PERF:300086 CAU: 18"/>
    <n v="14.35"/>
    <n v="0"/>
    <s v="24 DE DICIEMBRE"/>
    <x v="1"/>
  </r>
  <r>
    <n v="41"/>
    <d v="2019-04-26T00:00:00"/>
    <x v="10"/>
    <x v="10"/>
    <x v="1"/>
    <s v="ADMINISTRACION DE SUCURSALES"/>
    <s v="OTROS EGRESOS 18"/>
    <s v="OTROS EGRESOS 1.P.O (OR:41/DES:41 TRN:86 PERF:300086 CAU: 18"/>
    <n v="16.399999999999999"/>
    <n v="0"/>
    <s v="24 DE DICIEMBRE"/>
    <x v="1"/>
  </r>
  <r>
    <n v="41"/>
    <d v="2019-05-23T00:00:00"/>
    <x v="11"/>
    <x v="11"/>
    <x v="1"/>
    <s v="ADMINISTRACION DE SUCURSALES"/>
    <s v="OTROS EGRESOS 18"/>
    <s v="OTROS EGRESOS 1.P.O (OR:41/DES:41 TRN:86 PERF:300086 CAU: 18"/>
    <n v="16.399999999999999"/>
    <n v="0"/>
    <s v="24 DE DICIEMBRE"/>
    <x v="1"/>
  </r>
  <r>
    <n v="41"/>
    <d v="2019-07-25T00:00:00"/>
    <x v="6"/>
    <x v="6"/>
    <x v="1"/>
    <s v="ADMINISTRACION DE SUCURSALES"/>
    <s v="OTROS EGRESOS 18"/>
    <s v="OTROS EGRESOS 1.P.O (OR:41/DES:41 TRN:86 PERF:300086 CAU: 18"/>
    <n v="16.399999999999999"/>
    <n v="0"/>
    <s v="24 DE DICIEMBRE"/>
    <x v="1"/>
  </r>
  <r>
    <n v="42"/>
    <d v="2019-06-28T00:00:00"/>
    <x v="2"/>
    <x v="2"/>
    <x v="1"/>
    <s v="ADMINISTRACION DE SUCURSALES"/>
    <s v="OTROS EGRESOS 18"/>
    <s v="OTROS EGRESOS 1.P.O (OR:42/DES:42 TRN:86 PERF:300086 CAU: 18"/>
    <n v="16"/>
    <n v="0"/>
    <s v="DAVID - TERRONAL"/>
    <x v="1"/>
  </r>
  <r>
    <n v="42"/>
    <d v="2019-07-20T00:00:00"/>
    <x v="6"/>
    <x v="6"/>
    <x v="1"/>
    <s v="ADMINISTRACION DE SUCURSALES"/>
    <s v="VIATICOS 2"/>
    <s v="TRANSACCIONES DEL DIA 07/20/2019SPYRAL - GESTION ADMINISTRATIVA"/>
    <n v="40"/>
    <n v="0"/>
    <s v="DAVID - TERRONAL"/>
    <x v="1"/>
  </r>
  <r>
    <n v="42"/>
    <d v="2019-07-29T00:00:00"/>
    <x v="6"/>
    <x v="6"/>
    <x v="1"/>
    <s v="ADMINISTRACION DE SUCURSALES"/>
    <s v="NC VIATICOS"/>
    <s v="TRANSACCIONES DEL DIA 07/29/2019SPYRAL - GESTION ADMINISTRATIVA"/>
    <n v="0"/>
    <n v="40"/>
    <s v="DAVID - TERRONAL"/>
    <x v="1"/>
  </r>
  <r>
    <n v="43"/>
    <d v="2019-01-21T00:00:00"/>
    <x v="7"/>
    <x v="7"/>
    <x v="1"/>
    <s v="ADMINISTRACION DE SUCURSALES"/>
    <s v="OTROS EGRESOS 18"/>
    <s v="OTROS EGRESOS 1.P.O (OR:43/DES:43 TRN:86 PERF:300086 CAU: 18"/>
    <n v="2.25"/>
    <n v="0"/>
    <s v="COSTA DEL ESTE"/>
    <x v="1"/>
  </r>
  <r>
    <n v="43"/>
    <d v="2019-02-14T00:00:00"/>
    <x v="8"/>
    <x v="8"/>
    <x v="1"/>
    <s v="ADMINISTRACION DE SUCURSALES"/>
    <s v="OTROS EGRESOS 18"/>
    <s v="OTROS EGRESOS 1.P.O (OR:43/DES:43 TRN:86 PERF:300086 CAU: 18"/>
    <n v="7.35"/>
    <n v="0"/>
    <s v="COSTA DEL ESTE"/>
    <x v="1"/>
  </r>
  <r>
    <n v="43"/>
    <d v="2019-03-14T00:00:00"/>
    <x v="9"/>
    <x v="9"/>
    <x v="1"/>
    <s v="ADMINISTRACION DE SUCURSALES"/>
    <s v="OTROS EGRESOS 18"/>
    <s v="OTROS EGRESOS 1.P.O (OR:43/DES:43 TRN:86 PERF:300086 CAU: 18"/>
    <n v="7.35"/>
    <n v="0"/>
    <s v="COSTA DEL ESTE"/>
    <x v="1"/>
  </r>
  <r>
    <n v="43"/>
    <d v="2019-04-10T00:00:00"/>
    <x v="10"/>
    <x v="10"/>
    <x v="1"/>
    <s v="ADMINISTRACION DE SUCURSALES"/>
    <s v="OTROS EGRESOS 18"/>
    <s v="OTROS EGRESOS 1.P.O (OR:43/DES:43 TRN:86 PERF:300086 CAU: 18"/>
    <n v="6.85"/>
    <n v="0"/>
    <s v="COSTA DEL ESTE"/>
    <x v="1"/>
  </r>
  <r>
    <n v="43"/>
    <d v="2019-05-03T00:00:00"/>
    <x v="11"/>
    <x v="11"/>
    <x v="1"/>
    <s v="ADMINISTRACION DE SUCURSALES"/>
    <s v="OTROS EGRESOS 18"/>
    <s v="OTROS EGRESOS 1.P.O (OR:43/DES:43 TRN:86 PERF:300086 CAU: 18"/>
    <n v="3.5"/>
    <n v="0"/>
    <s v="COSTA DEL ESTE"/>
    <x v="1"/>
  </r>
  <r>
    <n v="43"/>
    <d v="2019-06-04T00:00:00"/>
    <x v="2"/>
    <x v="2"/>
    <x v="1"/>
    <s v="ADMINISTRACION DE SUCURSALES"/>
    <s v="OTROS EGRESOS 18"/>
    <s v="OTROS EGRESOS 1.P.O (OR:43/DES:43 TRN:86 PERF:300086 CAU: 18"/>
    <n v="7.35"/>
    <n v="0"/>
    <s v="COSTA DEL ESTE"/>
    <x v="1"/>
  </r>
  <r>
    <n v="43"/>
    <d v="2019-07-11T00:00:00"/>
    <x v="6"/>
    <x v="6"/>
    <x v="1"/>
    <s v="ADMINISTRACION DE SUCURSALES"/>
    <s v="OTROS EGRESOS 18"/>
    <s v="OTROS EGRESOS 1.P.O (OR:43/DES:43 TRN:86 PERF:300086 CAU: 18"/>
    <n v="1.8"/>
    <n v="0"/>
    <s v="COSTA DEL ESTE"/>
    <x v="1"/>
  </r>
  <r>
    <n v="43"/>
    <d v="2019-07-26T00:00:00"/>
    <x v="6"/>
    <x v="6"/>
    <x v="1"/>
    <s v="ADMINISTRACION DE SUCURSALES"/>
    <s v="OTROS EGRESOS 18"/>
    <s v="OTROS EGRESOS 1.P.O (OR:43/DES:43 TRN:86 PERF:300086 CAU: 18"/>
    <n v="7.35"/>
    <n v="0"/>
    <s v="COSTA DEL ESTE"/>
    <x v="1"/>
  </r>
  <r>
    <n v="44"/>
    <d v="2019-02-19T00:00:00"/>
    <x v="8"/>
    <x v="8"/>
    <x v="1"/>
    <s v="ADMINISTRACION DE SUCURSALES"/>
    <s v="OTROS EGRESOS 18"/>
    <s v="OTROS EGRESOS 1.P.O (OR:44/DES:44 TRN:86 PERF:300086 CAU: 18"/>
    <n v="9.1999999999999993"/>
    <n v="0"/>
    <s v="MULTI PLAZA"/>
    <x v="1"/>
  </r>
  <r>
    <n v="44"/>
    <d v="2019-02-21T00:00:00"/>
    <x v="8"/>
    <x v="8"/>
    <x v="1"/>
    <s v="ADMINISTRACION DE SUCURSALES"/>
    <s v="OTROS EGRESOS 18"/>
    <s v="OTROS EGRESOS 1.P.O (OR:44/DES:44 TRN:86 PERF:300086 CAU: 18"/>
    <n v="9.1999999999999993"/>
    <n v="0"/>
    <s v="MULTI PLAZA"/>
    <x v="1"/>
  </r>
  <r>
    <n v="44"/>
    <d v="2019-06-03T00:00:00"/>
    <x v="2"/>
    <x v="2"/>
    <x v="1"/>
    <s v="ADMINISTRACION DE SUCURSALES"/>
    <s v="OTROS EGRESOS 18"/>
    <s v="OTROS EGRESOS 1.P.O (OR:44/DES:44 TRN:86 PERF:300086 CAU: 18"/>
    <n v="2.25"/>
    <n v="0"/>
    <s v="MULTI PLAZA"/>
    <x v="1"/>
  </r>
  <r>
    <n v="45"/>
    <d v="2019-04-23T00:00:00"/>
    <x v="10"/>
    <x v="10"/>
    <x v="1"/>
    <s v="ADMINISTRACION DE SUCURSALES"/>
    <s v="OTROS EGRESOS 18"/>
    <s v="OTROS EGRESOS 1.P.O (OR:45/DES:45 TRN:86 PERF:300086 CAU: 18"/>
    <n v="2.4"/>
    <n v="0"/>
    <s v="HOSPITAL PUNTA PACIFICA"/>
    <x v="1"/>
  </r>
  <r>
    <n v="46"/>
    <d v="2019-02-13T00:00:00"/>
    <x v="8"/>
    <x v="8"/>
    <x v="1"/>
    <s v="ADMINISTRACION DE SUCURSALES"/>
    <s v="VIATICOS"/>
    <s v="TRANSACCIONES DEL DIA 02/13/2019SPYRAL - GESTION ADMINISTRATIVA"/>
    <n v="12"/>
    <n v="0"/>
    <s v="TERMINAL DE ALBROOK"/>
    <x v="1"/>
  </r>
  <r>
    <n v="46"/>
    <d v="2019-02-22T00:00:00"/>
    <x v="8"/>
    <x v="8"/>
    <x v="1"/>
    <s v="ADMINISTRACION DE SUCURSALES"/>
    <s v="OTROS EGRESOS 18"/>
    <s v="OTROS EGRESOS 1.P.O (OR:46/DES:46 TRN:86 PERF:300086 CAU: 18"/>
    <n v="3"/>
    <n v="0"/>
    <s v="TERMINAL DE ALBROOK"/>
    <x v="1"/>
  </r>
  <r>
    <n v="46"/>
    <d v="2019-04-24T00:00:00"/>
    <x v="10"/>
    <x v="10"/>
    <x v="1"/>
    <s v="ADMINISTRACION DE SUCURSALES"/>
    <s v="VIATICOS 2"/>
    <s v="TRANSACCIONES DEL DIA 04/24/2019SPYRAL - GESTION ADMINISTRATIVA"/>
    <n v="12"/>
    <n v="0"/>
    <s v="TERMINAL DE ALBROOK"/>
    <x v="1"/>
  </r>
  <r>
    <n v="46"/>
    <d v="2019-04-29T00:00:00"/>
    <x v="10"/>
    <x v="10"/>
    <x v="1"/>
    <s v="ADMINISTRACION DE SUCURSALES"/>
    <s v="VIATICOS 2"/>
    <s v="TRANSACCIONES DEL DIA 04/29/2019SPYRAL - GESTION ADMINISTRATIVA"/>
    <n v="12"/>
    <n v="0"/>
    <s v="TERMINAL DE ALBROOK"/>
    <x v="1"/>
  </r>
  <r>
    <n v="46"/>
    <d v="2019-05-10T00:00:00"/>
    <x v="11"/>
    <x v="11"/>
    <x v="1"/>
    <s v="ADMINISTRACION DE SUCURSALES"/>
    <s v="VIATICOS 2"/>
    <s v="TRANSACCIONES DEL DIA 05/10/2019SPYRAL - GESTION ADMINISTRATIVA"/>
    <n v="12"/>
    <n v="0"/>
    <s v="TERMINAL DE ALBROOK"/>
    <x v="1"/>
  </r>
  <r>
    <n v="46"/>
    <d v="2019-06-06T00:00:00"/>
    <x v="2"/>
    <x v="2"/>
    <x v="1"/>
    <s v="ADMINISTRACION DE SUCURSALES"/>
    <s v="VIATICOS 2"/>
    <s v="TRANSACCIONES DEL DIA 06/06/2019SPYRAL - GESTION ADMINISTRATIVA"/>
    <n v="12"/>
    <n v="0"/>
    <s v="TERMINAL DE ALBROOK"/>
    <x v="1"/>
  </r>
  <r>
    <n v="46"/>
    <d v="2019-06-20T00:00:00"/>
    <x v="2"/>
    <x v="2"/>
    <x v="1"/>
    <s v="ADMINISTRACION DE SUCURSALES"/>
    <s v="VIATICOS 2"/>
    <s v="TRANSACCIONES DEL DIA 06/20/2019SPYRAL - GESTION ADMINISTRATIVA"/>
    <n v="12"/>
    <n v="0"/>
    <s v="TERMINAL DE ALBROOK"/>
    <x v="1"/>
  </r>
  <r>
    <n v="46"/>
    <d v="2019-07-16T00:00:00"/>
    <x v="6"/>
    <x v="6"/>
    <x v="1"/>
    <s v="ADMINISTRACION DE SUCURSALES"/>
    <s v="VIATICOS 2"/>
    <s v="TRANSACCIONES DEL DIA 07/16/2019SPYRAL - GESTION ADMINISTRATIVA"/>
    <n v="12"/>
    <n v="0"/>
    <s v="TERMINAL DE ALBROOK"/>
    <x v="1"/>
  </r>
  <r>
    <n v="46"/>
    <d v="2019-07-26T00:00:00"/>
    <x v="6"/>
    <x v="6"/>
    <x v="1"/>
    <s v="ADMINISTRACION DE SUCURSALES"/>
    <s v="VIATICOS 2"/>
    <s v="TRANSACCIONES DEL DIA 07/26/2019SPYRAL - GESTION ADMINISTRATIVA"/>
    <n v="12"/>
    <n v="0"/>
    <s v="TERMINAL DE ALBROOK"/>
    <x v="1"/>
  </r>
  <r>
    <n v="47"/>
    <d v="2019-01-29T00:00:00"/>
    <x v="7"/>
    <x v="7"/>
    <x v="1"/>
    <s v="ADMINISTRACION DE SUCURSALES"/>
    <s v="OTROS EGRESOS 18"/>
    <s v="OTROS EGRESOS 1.P.O (OR:47/DES:47 TRN:86 PERF:300086 CAU: 18"/>
    <n v="22.5"/>
    <n v="0"/>
    <s v="CONCEPCION"/>
    <x v="1"/>
  </r>
  <r>
    <n v="47"/>
    <d v="2019-03-14T00:00:00"/>
    <x v="9"/>
    <x v="9"/>
    <x v="1"/>
    <s v="ADMINISTRACION DE SUCURSALES"/>
    <s v="OTROS EGRESOS 18"/>
    <s v="OTROS EGRESOS 1.P.O (OR:47/DES:47 TRN:86 PERF:300086 CAU: 18"/>
    <n v="22.5"/>
    <n v="0"/>
    <s v="CONCEPCION"/>
    <x v="1"/>
  </r>
  <r>
    <n v="47"/>
    <d v="2019-04-06T00:00:00"/>
    <x v="10"/>
    <x v="10"/>
    <x v="1"/>
    <s v="ADMINISTRACION DE SUCURSALES"/>
    <s v="OTROS EGRESOS 18"/>
    <s v="OTROS EGRESOS 1.P.O (OR:47/DES:47 TRN:86 PERF:300086 CAU: 18"/>
    <n v="22.5"/>
    <n v="0"/>
    <s v="CONCEPCION"/>
    <x v="1"/>
  </r>
  <r>
    <n v="47"/>
    <d v="2019-05-16T00:00:00"/>
    <x v="11"/>
    <x v="11"/>
    <x v="1"/>
    <s v="ADMINISTRACION DE SUCURSALES"/>
    <s v="OTROS EGRESOS 18"/>
    <s v="OTROS EGRESOS 1.P.O (OR:47/DES:47 TRN:86 PERF:300086 CAU: 18"/>
    <n v="22.5"/>
    <n v="0"/>
    <s v="CONCEPCION"/>
    <x v="1"/>
  </r>
  <r>
    <n v="47"/>
    <d v="2019-05-17T00:00:00"/>
    <x v="11"/>
    <x v="11"/>
    <x v="1"/>
    <s v="ADMINISTRACION DE SUCURSALES"/>
    <s v="OTROS EGRESOS 18"/>
    <s v="OTROS EGRESOS 1.P.O (OR:47/DES:47 TRN:86 PERF:300086 CAU: 18"/>
    <n v="22.5"/>
    <n v="0"/>
    <s v="CONCEPCION"/>
    <x v="1"/>
  </r>
  <r>
    <n v="47"/>
    <d v="2019-06-27T00:00:00"/>
    <x v="2"/>
    <x v="2"/>
    <x v="1"/>
    <s v="ADMINISTRACION DE SUCURSALES"/>
    <s v="VIATICOS 2"/>
    <s v="TRANSACCIONES DEL DIA 06/27/2019SPYRAL - GESTION ADMINISTRATIVA"/>
    <n v="10"/>
    <n v="0"/>
    <s v="CONCEPCION"/>
    <x v="1"/>
  </r>
  <r>
    <n v="48"/>
    <d v="2019-01-02T00:00:00"/>
    <x v="7"/>
    <x v="7"/>
    <x v="1"/>
    <s v="ADMINISTRACION DE SUCURSALES"/>
    <s v="VIATICOS"/>
    <s v="TRANSACCIONES DEL DIA 01/02/2019SPYRAL - GESTION ADMINISTRATIVA"/>
    <n v="242"/>
    <n v="0"/>
    <s v="BOQUETE"/>
    <x v="1"/>
  </r>
  <r>
    <n v="48"/>
    <d v="2019-01-08T00:00:00"/>
    <x v="7"/>
    <x v="7"/>
    <x v="1"/>
    <s v="ADMINISTRACION DE SUCURSALES"/>
    <s v="NC VIATICOS"/>
    <s v="TRANSACCIONES DEL DIA 01/08/2019SPYRAL - GESTION ADMINISTRATIVA"/>
    <n v="0"/>
    <n v="220"/>
    <s v="BOQUETE"/>
    <x v="1"/>
  </r>
  <r>
    <n v="48"/>
    <d v="2019-02-04T00:00:00"/>
    <x v="8"/>
    <x v="8"/>
    <x v="1"/>
    <s v="ADMINISTRACION DE SUCURSALES"/>
    <s v="VIATICOS"/>
    <s v="TRANSACCIONES DEL DIA 02/04/2019SPYRAL - GESTION ADMINISTRATIVA"/>
    <n v="183.93"/>
    <n v="0"/>
    <s v="BOQUETE"/>
    <x v="1"/>
  </r>
  <r>
    <n v="48"/>
    <d v="2019-02-04T00:00:00"/>
    <x v="8"/>
    <x v="8"/>
    <x v="1"/>
    <s v="ADMINISTRACION DE SUCURSALES"/>
    <s v="NC VIATICOS"/>
    <s v="TRANSACCIONES DEL DIA 02/04/2019SPYRAL - GESTION ADMINISTRATIVA"/>
    <n v="0"/>
    <n v="183.93"/>
    <s v="BOQUETE"/>
    <x v="1"/>
  </r>
  <r>
    <n v="48"/>
    <d v="2019-02-05T00:00:00"/>
    <x v="8"/>
    <x v="8"/>
    <x v="1"/>
    <s v="ADMINISTRACION DE SUCURSALES"/>
    <s v="VIATICOS"/>
    <s v="TRANSACCIONES DEL DIA 02/05/2019SPYRAL - GESTION ADMINISTRATIVA"/>
    <n v="359.78"/>
    <n v="0"/>
    <s v="BOQUETE"/>
    <x v="1"/>
  </r>
  <r>
    <n v="48"/>
    <d v="2019-02-12T00:00:00"/>
    <x v="8"/>
    <x v="8"/>
    <x v="1"/>
    <s v="ADMINISTRACION DE SUCURSALES"/>
    <s v="OTROS EGRESOS 18"/>
    <s v="OTROS EGRESOS 1.P.O (OR:48/DES:48 TRN:86 PERF:300086 CAU: 18"/>
    <n v="22"/>
    <n v="0"/>
    <s v="BOQUETE"/>
    <x v="1"/>
  </r>
  <r>
    <n v="48"/>
    <d v="2019-02-13T00:00:00"/>
    <x v="8"/>
    <x v="8"/>
    <x v="1"/>
    <s v="ADMINISTRACION DE SUCURSALES"/>
    <s v="OTROS EGRESOS 18"/>
    <s v="OTROS EGRESOS 1.P.O (OR:48/DES:48 TRN:86 PERF:300086 CAU: 18"/>
    <n v="22"/>
    <n v="0"/>
    <s v="BOQUETE"/>
    <x v="1"/>
  </r>
  <r>
    <n v="48"/>
    <d v="2019-02-26T00:00:00"/>
    <x v="8"/>
    <x v="8"/>
    <x v="1"/>
    <s v="ADMINISTRACION DE SUCURSALES"/>
    <s v="VIATICOS"/>
    <s v="TRANSACCIONES DEL DIA 02/26/2019SPYRAL - GESTION ADMINISTRATIVA"/>
    <n v="183.93"/>
    <n v="0"/>
    <s v="BOQUETE"/>
    <x v="1"/>
  </r>
  <r>
    <n v="48"/>
    <d v="2019-03-08T00:00:00"/>
    <x v="9"/>
    <x v="9"/>
    <x v="1"/>
    <s v="ADMINISTRACION DE SUCURSALES"/>
    <s v="OTROS EGRESOS 18"/>
    <s v="OTROS EGRESOS 1.P.O (OR:48/DES:48 TRN:86 PERF:300086 CAU: 18"/>
    <n v="3.5"/>
    <n v="0"/>
    <s v="BOQUETE"/>
    <x v="1"/>
  </r>
  <r>
    <n v="48"/>
    <d v="2019-03-13T00:00:00"/>
    <x v="9"/>
    <x v="9"/>
    <x v="1"/>
    <s v="ADMINISTRACION DE SUCURSALES"/>
    <s v="OTROS EGRESOS 18"/>
    <s v="OTROS EGRESOS 1.P.O (OR:48/DES:48 TRN:86 PERF:300086 CAU: 18"/>
    <n v="7"/>
    <n v="0"/>
    <s v="BOQUETE"/>
    <x v="1"/>
  </r>
  <r>
    <n v="48"/>
    <d v="2019-03-20T00:00:00"/>
    <x v="9"/>
    <x v="9"/>
    <x v="1"/>
    <s v="ADMINISTRACION DE SUCURSALES"/>
    <s v="VIATICOS 2"/>
    <s v="TRANSACCIONES DEL DIA 03/20/2019SPYRAL - GESTION ADMINISTRATIVA"/>
    <n v="193"/>
    <n v="0"/>
    <s v="BOQUETE"/>
    <x v="1"/>
  </r>
  <r>
    <n v="48"/>
    <d v="2019-04-10T00:00:00"/>
    <x v="10"/>
    <x v="10"/>
    <x v="1"/>
    <s v="ADMINISTRACION DE SUCURSALES"/>
    <s v="OTROS EGRESOS 18"/>
    <s v="OTROS EGRESOS 1.P.O (OR:48/DES:48 TRN:86 PERF:300086 CAU: 18"/>
    <n v="44"/>
    <n v="0"/>
    <s v="BOQUETE"/>
    <x v="1"/>
  </r>
  <r>
    <n v="48"/>
    <d v="2019-05-06T00:00:00"/>
    <x v="11"/>
    <x v="11"/>
    <x v="1"/>
    <s v="ADMINISTRACION DE SUCURSALES"/>
    <s v="OTROS EGRESOS 18"/>
    <s v="OTROS EGRESOS 1.P.O (OR:48/DES:48 TRN:86 PERF:300086 CAU: 18"/>
    <n v="22"/>
    <n v="0"/>
    <s v="BOQUETE"/>
    <x v="1"/>
  </r>
  <r>
    <n v="48"/>
    <d v="2019-05-07T00:00:00"/>
    <x v="11"/>
    <x v="11"/>
    <x v="1"/>
    <s v="ADMINISTRACION DE SUCURSALES"/>
    <s v="OTROS EGRESOS 18"/>
    <s v="OTROS EGRESOS 1.P.O (OR:48/DES:48 TRN:86 PERF:300086 CAU: 18"/>
    <n v="22"/>
    <n v="0"/>
    <s v="BOQUETE"/>
    <x v="1"/>
  </r>
  <r>
    <n v="48"/>
    <d v="2019-05-21T00:00:00"/>
    <x v="11"/>
    <x v="11"/>
    <x v="1"/>
    <s v="ADMINISTRACION DE SUCURSALES"/>
    <s v="OTROS EGRESOS 18"/>
    <s v="OTROS EGRESOS 1.P.O (OR:48/DES:48 TRN:86 PERF:300086 CAU: 18"/>
    <n v="22"/>
    <n v="0"/>
    <s v="BOQUETE"/>
    <x v="1"/>
  </r>
  <r>
    <n v="48"/>
    <d v="2019-06-27T00:00:00"/>
    <x v="2"/>
    <x v="2"/>
    <x v="1"/>
    <s v="ADMINISTRACION DE SUCURSALES"/>
    <s v="OTROS EGRESOS 18"/>
    <s v="OTROS EGRESOS 1.P.O (OR:48/DES:48 TRN:86 PERF:300086 CAU: 18"/>
    <n v="22"/>
    <n v="0"/>
    <s v="BOQUETE"/>
    <x v="1"/>
  </r>
  <r>
    <n v="48"/>
    <d v="2019-07-24T00:00:00"/>
    <x v="6"/>
    <x v="6"/>
    <x v="1"/>
    <s v="ADMINISTRACION DE SUCURSALES"/>
    <s v="OTROS EGRESOS 18"/>
    <s v="OTROS EGRESOS 1.P.O (OR:48/DES:48 TRN:86 PERF:300086 CAU: 18"/>
    <n v="44"/>
    <n v="0"/>
    <s v="BOQUETE"/>
    <x v="1"/>
  </r>
  <r>
    <n v="48"/>
    <d v="2019-01-02T00:00:00"/>
    <x v="7"/>
    <x v="7"/>
    <x v="1"/>
    <s v="CAJA"/>
    <s v="VIATICOS"/>
    <s v="TRANSACCIONES DEL DIA 01/02/2019SPYRAL - GESTION ADMINISTRATIVA"/>
    <n v="242"/>
    <n v="0"/>
    <s v="BOQUETE"/>
    <x v="1"/>
  </r>
  <r>
    <n v="48"/>
    <d v="2019-01-15T00:00:00"/>
    <x v="7"/>
    <x v="7"/>
    <x v="1"/>
    <s v="CAJA"/>
    <s v="VIATICOS"/>
    <s v="TRANSACCIONES DEL DIA 01/15/2019SPYRAL - GESTION ADMINISTRATIVA"/>
    <n v="88"/>
    <n v="0"/>
    <s v="BOQUETE"/>
    <x v="1"/>
  </r>
  <r>
    <n v="48"/>
    <d v="2019-03-01T00:00:00"/>
    <x v="9"/>
    <x v="9"/>
    <x v="1"/>
    <s v="SERVICIOS PERSONALES"/>
    <s v="VIATICOS"/>
    <s v="TRANSACCIONES DEL DIA 03/01/2019SPYRAL - GESTION ADMINISTRATIVA"/>
    <n v="171.6"/>
    <n v="0"/>
    <s v="BOQUETE"/>
    <x v="1"/>
  </r>
  <r>
    <n v="48"/>
    <d v="2019-03-14T00:00:00"/>
    <x v="9"/>
    <x v="9"/>
    <x v="1"/>
    <s v="SERVICIOS PERSONALES"/>
    <s v="VIATICOS"/>
    <s v="TRANSACCIONES DEL DIA 03/14/2019SPYRAL - GESTION ADMINISTRATIVA"/>
    <n v="187.2"/>
    <n v="0"/>
    <s v="BOQUETE"/>
    <x v="1"/>
  </r>
  <r>
    <n v="49"/>
    <d v="2019-01-24T00:00:00"/>
    <x v="7"/>
    <x v="7"/>
    <x v="1"/>
    <s v="ADMINISTRACION DE SUCURSALES"/>
    <s v="VIATICOS"/>
    <s v="TRANSACCIONES DEL DIA 01/24/2019SPYRAL - GESTION ADMINISTRATIVA"/>
    <n v="6.3"/>
    <n v="0"/>
    <s v="BRISAS DEL GOLF"/>
    <x v="1"/>
  </r>
  <r>
    <n v="49"/>
    <d v="2019-05-03T00:00:00"/>
    <x v="11"/>
    <x v="11"/>
    <x v="1"/>
    <s v="ADMINISTRACION DE SUCURSALES"/>
    <s v="VIATICOS 2"/>
    <s v="TRANSACCIONES DEL DIA 05/03/2019SPYRAL - GESTION ADMINISTRATIVA"/>
    <n v="8.9499999999999993"/>
    <n v="0"/>
    <s v="BRISAS DEL GOLF"/>
    <x v="1"/>
  </r>
  <r>
    <n v="49"/>
    <d v="2019-07-13T00:00:00"/>
    <x v="6"/>
    <x v="6"/>
    <x v="1"/>
    <s v="ADMINISTRACION DE SUCURSALES"/>
    <s v="VIATICOS 2"/>
    <s v="TRANSACCIONES DEL DIA 07/13/2019SPYRAL - GESTION ADMINISTRATIVA"/>
    <n v="8.9499999999999993"/>
    <n v="0"/>
    <s v="BRISAS DEL GOLF"/>
    <x v="1"/>
  </r>
  <r>
    <n v="49"/>
    <d v="2019-03-11T00:00:00"/>
    <x v="9"/>
    <x v="9"/>
    <x v="1"/>
    <s v="SERVICIOS PERSONALES"/>
    <s v="VIATICOS"/>
    <s v="TRANSACCIONES DEL DIA 03/11/2019SPYRAL - GESTION ADMINISTRATIVA"/>
    <n v="6.3"/>
    <n v="0"/>
    <s v="BRISAS DEL GOLF"/>
    <x v="1"/>
  </r>
  <r>
    <n v="51"/>
    <d v="2019-03-13T00:00:00"/>
    <x v="9"/>
    <x v="9"/>
    <x v="1"/>
    <s v="ADMINISTRACION DE SUCURSALES"/>
    <s v="OTROS EGRESOS 18"/>
    <s v="OTROS EGRESOS 1.P.O (OR:51/DES:51 TRN:86 PERF:300086 CAU: 18"/>
    <n v="3.15"/>
    <n v="0"/>
    <s v="PUENTE CENTENARIO"/>
    <x v="1"/>
  </r>
  <r>
    <n v="51"/>
    <d v="2019-05-06T00:00:00"/>
    <x v="11"/>
    <x v="11"/>
    <x v="1"/>
    <s v="ADMINISTRACION DE SUCURSALES"/>
    <s v="OTROS EGRESOS 18"/>
    <s v="OTROS EGRESOS 1.P.O (OR:51/DES:51 TRN:86 PERF:300086 CAU: 18"/>
    <n v="3.15"/>
    <n v="0"/>
    <s v="PUENTE CENTENARIO"/>
    <x v="1"/>
  </r>
  <r>
    <n v="51"/>
    <d v="2019-05-09T00:00:00"/>
    <x v="11"/>
    <x v="11"/>
    <x v="1"/>
    <s v="ADMINISTRACION DE SUCURSALES"/>
    <s v="VIATICOS 2"/>
    <s v="TRANSACCIONES DEL DIA 05/09/2019SPYRAL - GESTION ADMINISTRATIVA"/>
    <n v="5.4"/>
    <n v="0"/>
    <s v="PUENTE CENTENARIO"/>
    <x v="1"/>
  </r>
  <r>
    <n v="51"/>
    <d v="2019-06-27T00:00:00"/>
    <x v="2"/>
    <x v="2"/>
    <x v="1"/>
    <s v="ADMINISTRACION DE SUCURSALES"/>
    <s v="OTROS EGRESOS 18"/>
    <s v="OTROS EGRESOS 1.P.O (OR:51/DES:51 TRN:86 PERF:300086 CAU: 18"/>
    <n v="6.4"/>
    <n v="0"/>
    <s v="PUENTE CENTENARIO"/>
    <x v="1"/>
  </r>
  <r>
    <n v="53"/>
    <d v="2019-01-25T00:00:00"/>
    <x v="7"/>
    <x v="7"/>
    <x v="1"/>
    <s v="ADMINISTRACION DE SUCURSALES"/>
    <s v="OTROS EGRESOS 18"/>
    <s v="OTROS EGRESOS 1.P.O (OR:53/DES:53 TRN:86 PERF:300086 CAU: 18"/>
    <n v="36"/>
    <n v="0"/>
    <s v="AGUADULCE"/>
    <x v="1"/>
  </r>
  <r>
    <n v="53"/>
    <d v="2019-01-29T00:00:00"/>
    <x v="7"/>
    <x v="7"/>
    <x v="1"/>
    <s v="ADMINISTRACION DE SUCURSALES"/>
    <s v="OTROS EGRESOS 18"/>
    <s v="OTROS EGRESOS 1.P.O (OR:53/DES:53 TRN:86 PERF:300086 CAU: 18"/>
    <n v="11.5"/>
    <n v="0"/>
    <s v="AGUADULCE"/>
    <x v="1"/>
  </r>
  <r>
    <n v="53"/>
    <d v="2019-02-01T00:00:00"/>
    <x v="8"/>
    <x v="8"/>
    <x v="1"/>
    <s v="ADMINISTRACION DE SUCURSALES"/>
    <s v="VIATICOS"/>
    <s v="TRANSACCIONES DEL DIA 02/01/2019SPYRAL - GESTION ADMINISTRATIVA"/>
    <n v="110.5"/>
    <n v="0"/>
    <s v="AGUADULCE"/>
    <x v="1"/>
  </r>
  <r>
    <n v="53"/>
    <d v="2019-02-05T00:00:00"/>
    <x v="8"/>
    <x v="8"/>
    <x v="1"/>
    <s v="ADMINISTRACION DE SUCURSALES"/>
    <s v="OTROS EGRESOS 18"/>
    <s v="OTROS EGRESOS 1.P.O (OR:53/DES:53 TRN:86 PERF:300086 CAU: 18"/>
    <n v="18"/>
    <n v="0"/>
    <s v="AGUADULCE"/>
    <x v="1"/>
  </r>
  <r>
    <n v="53"/>
    <d v="2019-02-11T00:00:00"/>
    <x v="8"/>
    <x v="8"/>
    <x v="1"/>
    <s v="ADMINISTRACION DE SUCURSALES"/>
    <s v="OTROS EGRESOS 18"/>
    <s v="OTROS EGRESOS 1.P.O (OR:53/DES:53 TRN:86 PERF:300086 CAU: 18"/>
    <n v="18"/>
    <n v="0"/>
    <s v="AGUADULCE"/>
    <x v="1"/>
  </r>
  <r>
    <n v="53"/>
    <d v="2019-02-25T00:00:00"/>
    <x v="8"/>
    <x v="8"/>
    <x v="1"/>
    <s v="ADMINISTRACION DE SUCURSALES"/>
    <s v="OTROS EGRESOS 18"/>
    <s v="OTROS EGRESOS 1.P.O (OR:53/DES:53 TRN:86 PERF:300086 CAU: 18"/>
    <n v="3.25"/>
    <n v="0"/>
    <s v="AGUADULCE"/>
    <x v="1"/>
  </r>
  <r>
    <n v="53"/>
    <d v="2019-03-01T00:00:00"/>
    <x v="9"/>
    <x v="9"/>
    <x v="1"/>
    <s v="ADMINISTRACION DE SUCURSALES"/>
    <s v="OTROS EGRESOS 18"/>
    <s v="OTROS EGRESOS 1.P.O (OR:53/DES:53 TRN:86 PERF:300086 CAU: 18"/>
    <n v="18"/>
    <n v="0"/>
    <s v="AGUADULCE"/>
    <x v="1"/>
  </r>
  <r>
    <n v="53"/>
    <d v="2019-03-09T00:00:00"/>
    <x v="9"/>
    <x v="9"/>
    <x v="1"/>
    <s v="ADMINISTRACION DE SUCURSALES"/>
    <s v="OTROS EGRESOS 18"/>
    <s v="OTROS EGRESOS 1.P.O (OR:53/DES:53 TRN:86 PERF:300086 CAU: 18"/>
    <n v="18"/>
    <n v="0"/>
    <s v="AGUADULCE"/>
    <x v="1"/>
  </r>
  <r>
    <n v="53"/>
    <d v="2019-03-11T00:00:00"/>
    <x v="9"/>
    <x v="9"/>
    <x v="1"/>
    <s v="ADMINISTRACION DE SUCURSALES"/>
    <s v="OTROS EGRESOS 18"/>
    <s v="OTROS EGRESOS 1.P.O (OR:53/DES:53 TRN:86 PERF:300086 CAU: 18"/>
    <n v="18"/>
    <n v="0"/>
    <s v="AGUADULCE"/>
    <x v="1"/>
  </r>
  <r>
    <n v="53"/>
    <d v="2019-03-25T00:00:00"/>
    <x v="9"/>
    <x v="9"/>
    <x v="1"/>
    <s v="ADMINISTRACION DE SUCURSALES"/>
    <s v="OTROS EGRESOS 18"/>
    <s v="OTROS EGRESOS 1.P.O (OR:53/DES:53 TRN:86 PERF:300086 CAU: 18"/>
    <n v="30"/>
    <n v="0"/>
    <s v="AGUADULCE"/>
    <x v="1"/>
  </r>
  <r>
    <n v="53"/>
    <d v="2019-03-27T00:00:00"/>
    <x v="9"/>
    <x v="9"/>
    <x v="1"/>
    <s v="ADMINISTRACION DE SUCURSALES"/>
    <s v="VIATICOS 2"/>
    <s v="TRANSACCIONES DEL DIA 03/27/2019SPYRAL - GESTION ADMINISTRATIVA"/>
    <n v="162.5"/>
    <n v="0"/>
    <s v="AGUADULCE"/>
    <x v="1"/>
  </r>
  <r>
    <n v="53"/>
    <d v="2019-03-29T00:00:00"/>
    <x v="9"/>
    <x v="9"/>
    <x v="1"/>
    <s v="ADMINISTRACION DE SUCURSALES"/>
    <s v="OTROS EGRESOS 18"/>
    <s v="OTROS EGRESOS 1.P.O (OR:53/DES:53 TRN:86 PERF:300086 CAU: 18"/>
    <n v="8"/>
    <n v="0"/>
    <s v="AGUADULCE"/>
    <x v="1"/>
  </r>
  <r>
    <n v="53"/>
    <d v="2019-04-03T00:00:00"/>
    <x v="10"/>
    <x v="10"/>
    <x v="1"/>
    <s v="ADMINISTRACION DE SUCURSALES"/>
    <s v="OTROS EGRESOS 18"/>
    <s v="OTROS EGRESOS 1.P.O (OR:53/DES:53 TRN:86 PERF:300086 CAU: 18"/>
    <n v="9"/>
    <n v="0"/>
    <s v="AGUADULCE"/>
    <x v="1"/>
  </r>
  <r>
    <n v="53"/>
    <d v="2019-04-25T00:00:00"/>
    <x v="10"/>
    <x v="10"/>
    <x v="1"/>
    <s v="ADMINISTRACION DE SUCURSALES"/>
    <s v="OTROS EGRESOS 18"/>
    <s v="OTROS EGRESOS 1.P.O (OR:53/DES:53 TRN:86 PERF:300086 CAU: 18"/>
    <n v="8"/>
    <n v="0"/>
    <s v="AGUADULCE"/>
    <x v="1"/>
  </r>
  <r>
    <n v="53"/>
    <d v="2019-05-28T00:00:00"/>
    <x v="11"/>
    <x v="11"/>
    <x v="1"/>
    <s v="ADMINISTRACION DE SUCURSALES"/>
    <s v="OTROS EGRESOS 18"/>
    <s v="OTROS EGRESOS 1.P.O (OR:53/DES:53 TRN:86 PERF:300086 CAU: 18"/>
    <n v="24"/>
    <n v="0"/>
    <s v="AGUADULCE"/>
    <x v="1"/>
  </r>
  <r>
    <n v="53"/>
    <d v="2019-06-17T00:00:00"/>
    <x v="2"/>
    <x v="2"/>
    <x v="1"/>
    <s v="ADMINISTRACION DE SUCURSALES"/>
    <s v="OTROS EGRESOS 18"/>
    <s v="OTROS EGRESOS 1.P.O (OR:53/DES:53 TRN:86 PERF:300086 CAU: 18"/>
    <n v="18"/>
    <n v="0"/>
    <s v="AGUADULCE"/>
    <x v="1"/>
  </r>
  <r>
    <n v="53"/>
    <d v="2019-06-19T00:00:00"/>
    <x v="2"/>
    <x v="2"/>
    <x v="1"/>
    <s v="ADMINISTRACION DE SUCURSALES"/>
    <s v="OTROS EGRESOS 18"/>
    <s v="OTROS EGRESOS 1.P.O (OR:53/DES:53 TRN:86 PERF:300086 CAU: 18"/>
    <n v="24"/>
    <n v="0"/>
    <s v="AGUADULCE"/>
    <x v="1"/>
  </r>
  <r>
    <n v="53"/>
    <d v="2019-06-27T00:00:00"/>
    <x v="2"/>
    <x v="2"/>
    <x v="1"/>
    <s v="ADMINISTRACION DE SUCURSALES"/>
    <s v="VIATICOS 2"/>
    <s v="TRANSACCIONES DEL DIA 06/27/2019SPYRAL - GESTION ADMINISTRATIVA"/>
    <n v="76"/>
    <n v="0"/>
    <s v="AGUADULCE"/>
    <x v="1"/>
  </r>
  <r>
    <n v="53"/>
    <d v="2019-06-28T00:00:00"/>
    <x v="2"/>
    <x v="2"/>
    <x v="1"/>
    <s v="ADMINISTRACION DE SUCURSALES"/>
    <s v="OTROS EGRESOS 18"/>
    <s v="OTROS EGRESOS 1.P.O (OR:53/DES:53 TRN:86 PERF:300086 CAU: 18"/>
    <n v="18"/>
    <n v="0"/>
    <s v="AGUADULCE"/>
    <x v="1"/>
  </r>
  <r>
    <n v="53"/>
    <d v="2019-07-11T00:00:00"/>
    <x v="6"/>
    <x v="6"/>
    <x v="1"/>
    <s v="ADMINISTRACION DE SUCURSALES"/>
    <s v="OTROS EGRESOS 18"/>
    <s v="OTROS EGRESOS 1.P.O (OR:53/DES:53 TRN:86 PERF:300086 CAU: 18"/>
    <n v="5"/>
    <n v="0"/>
    <s v="AGUADULCE"/>
    <x v="1"/>
  </r>
  <r>
    <n v="53"/>
    <d v="2019-03-27T00:00:00"/>
    <x v="9"/>
    <x v="9"/>
    <x v="1"/>
    <s v="CAJA"/>
    <s v="VIATICOS 2"/>
    <s v="TRANSACCIONES DEL DIA 03/27/2019SPYRAL - GESTION ADMINISTRATIVA"/>
    <n v="234"/>
    <n v="0"/>
    <s v="AGUADULCE"/>
    <x v="1"/>
  </r>
  <r>
    <n v="53"/>
    <d v="2019-04-12T00:00:00"/>
    <x v="10"/>
    <x v="10"/>
    <x v="1"/>
    <s v="CAJA"/>
    <s v="VIATICOS 2"/>
    <s v="TRANSACCIONES DEL DIA 04/12/2019SPYRAL - GESTION ADMINISTRATIVA"/>
    <n v="234"/>
    <n v="0"/>
    <s v="AGUADULCE"/>
    <x v="1"/>
  </r>
  <r>
    <n v="53"/>
    <d v="2019-07-16T00:00:00"/>
    <x v="6"/>
    <x v="6"/>
    <x v="1"/>
    <s v="CAJA"/>
    <s v="VIATICOS 2"/>
    <s v="TRANSACCIONES DEL DIA 07/16/2019SPYRAL - GESTION ADMINISTRATIVA"/>
    <n v="149.5"/>
    <n v="0"/>
    <s v="AGUADULCE"/>
    <x v="1"/>
  </r>
  <r>
    <n v="53"/>
    <d v="2019-01-02T00:00:00"/>
    <x v="7"/>
    <x v="7"/>
    <x v="1"/>
    <s v="SERVICIOS PERSONALES"/>
    <s v="VIATICOS"/>
    <s v="TRANSACCIONES DEL DIA 01/02/2019SPYRAL - GESTION ADMINISTRATIVA"/>
    <n v="126.5"/>
    <n v="0"/>
    <s v="AGUADULCE"/>
    <x v="1"/>
  </r>
  <r>
    <n v="54"/>
    <d v="2019-01-15T00:00:00"/>
    <x v="7"/>
    <x v="7"/>
    <x v="1"/>
    <s v="ADMINISTRACION DE SUCURSALES"/>
    <s v="VIATICOS"/>
    <s v="TRANSACCIONES DEL DIA 01/15/2019SPYRAL - GESTION ADMINISTRATIVA"/>
    <n v="52"/>
    <n v="0"/>
    <s v="SABANITAS"/>
    <x v="1"/>
  </r>
  <r>
    <n v="54"/>
    <d v="2019-02-26T00:00:00"/>
    <x v="8"/>
    <x v="8"/>
    <x v="1"/>
    <s v="ADMINISTRACION DE SUCURSALES"/>
    <s v="VIATICOS"/>
    <s v="TRANSACCIONES DEL DIA 02/26/2019SPYRAL - GESTION ADMINISTRATIVA"/>
    <n v="39"/>
    <n v="0"/>
    <s v="SABANITAS"/>
    <x v="1"/>
  </r>
  <r>
    <n v="54"/>
    <d v="2019-03-08T00:00:00"/>
    <x v="9"/>
    <x v="9"/>
    <x v="1"/>
    <s v="ADMINISTRACION DE SUCURSALES"/>
    <s v="VIATICOS"/>
    <s v="TRANSACCIONES DEL DIA 03/08/2019SPYRAL - GESTION ADMINISTRATIVA"/>
    <n v="42"/>
    <n v="0"/>
    <s v="SABANITAS"/>
    <x v="1"/>
  </r>
  <r>
    <n v="54"/>
    <d v="2019-03-25T00:00:00"/>
    <x v="9"/>
    <x v="9"/>
    <x v="1"/>
    <s v="ADMINISTRACION DE SUCURSALES"/>
    <s v="VIATICOS 2"/>
    <s v="TRANSACCIONES DEL DIA 03/25/2019SPYRAL - GESTION ADMINISTRATIVA"/>
    <n v="39"/>
    <n v="0"/>
    <s v="SABANITAS"/>
    <x v="1"/>
  </r>
  <r>
    <n v="54"/>
    <d v="2019-04-29T00:00:00"/>
    <x v="10"/>
    <x v="10"/>
    <x v="1"/>
    <s v="ADMINISTRACION DE SUCURSALES"/>
    <s v="VIATICOS 2"/>
    <s v="TRANSACCIONES DEL DIA 04/29/2019SPYRAL - GESTION ADMINISTRATIVA"/>
    <n v="32"/>
    <n v="0"/>
    <s v="SABANITAS"/>
    <x v="1"/>
  </r>
  <r>
    <n v="54"/>
    <d v="2019-05-22T00:00:00"/>
    <x v="11"/>
    <x v="11"/>
    <x v="1"/>
    <s v="ADMINISTRACION DE SUCURSALES"/>
    <s v="VIATICOS 2"/>
    <s v="TRANSACCIONES DEL DIA 05/22/2019SPYRAL - GESTION ADMINISTRATIVA"/>
    <n v="39"/>
    <n v="0"/>
    <s v="SABANITAS"/>
    <x v="1"/>
  </r>
  <r>
    <n v="54"/>
    <d v="2019-01-11T00:00:00"/>
    <x v="7"/>
    <x v="7"/>
    <x v="1"/>
    <s v="CAJA"/>
    <s v="VIATICOS"/>
    <s v="TRANSACCIONES DEL DIA 01/11/2019SPYRAL - GESTION ADMINISTRATIVA"/>
    <n v="59.3"/>
    <n v="0"/>
    <s v="SABANITAS"/>
    <x v="1"/>
  </r>
  <r>
    <n v="66"/>
    <d v="2019-02-04T00:00:00"/>
    <x v="8"/>
    <x v="8"/>
    <x v="1"/>
    <s v="ADMINISTRACION DE SUCURSALES"/>
    <s v="OTROS EGRESOS 18"/>
    <s v="OTROS EGRESOS 1.P.O (OR:66/DES:66 TRN:86 PERF:300086 CAU: 18"/>
    <n v="6.4"/>
    <n v="0"/>
    <s v="METROMALL"/>
    <x v="1"/>
  </r>
  <r>
    <n v="66"/>
    <d v="2019-02-20T00:00:00"/>
    <x v="8"/>
    <x v="8"/>
    <x v="1"/>
    <s v="ADMINISTRACION DE SUCURSALES"/>
    <s v="OTROS EGRESOS 18"/>
    <s v="OTROS EGRESOS 1.P.O (OR:66/DES:66 TRN:86 PERF:300086 CAU: 18"/>
    <n v="7.4"/>
    <n v="0"/>
    <s v="METROMALL"/>
    <x v="1"/>
  </r>
  <r>
    <n v="66"/>
    <d v="2019-04-23T00:00:00"/>
    <x v="10"/>
    <x v="10"/>
    <x v="1"/>
    <s v="ADMINISTRACION DE SUCURSALES"/>
    <s v="OTROS EGRESOS 18"/>
    <s v="OTROS EGRESOS 1.P.O (OR:66/DES:66 TRN:86 PERF:300086 CAU: 18"/>
    <n v="3.7"/>
    <n v="0"/>
    <s v="METROMALL"/>
    <x v="1"/>
  </r>
  <r>
    <n v="66"/>
    <d v="2019-05-22T00:00:00"/>
    <x v="11"/>
    <x v="11"/>
    <x v="1"/>
    <s v="ADMINISTRACION DE SUCURSALES"/>
    <s v="OTROS EGRESOS 18"/>
    <s v="OTROS EGRESOS 1.P.O (OR:66/DES:66 TRN:86 PERF:300086 CAU: 18"/>
    <n v="16.7"/>
    <n v="0"/>
    <s v="METROMALL"/>
    <x v="1"/>
  </r>
  <r>
    <n v="68"/>
    <d v="2019-04-09T00:00:00"/>
    <x v="10"/>
    <x v="10"/>
    <x v="1"/>
    <s v="ADMINISTRACION DE SUCURSALES"/>
    <s v="OTROS EGRESOS 18"/>
    <s v="OTROS EGRESOS 1.P.O (OR:68/DES:68 TRN:86 PERF:300086 CAU: 18"/>
    <n v="4.75"/>
    <n v="0"/>
    <s v="ALTOS DE PANAMA"/>
    <x v="1"/>
  </r>
  <r>
    <n v="68"/>
    <d v="2019-04-27T00:00:00"/>
    <x v="10"/>
    <x v="10"/>
    <x v="1"/>
    <s v="ADMINISTRACION DE SUCURSALES"/>
    <s v="OTROS EGRESOS 18"/>
    <s v="OTROS EGRESOS 1.P.O (OR:68/DES:68 TRN:86 PERF:300086 CAU: 18"/>
    <n v="6.6"/>
    <n v="0"/>
    <s v="ALTOS DE PANAMA"/>
    <x v="1"/>
  </r>
  <r>
    <n v="69"/>
    <d v="2019-03-12T00:00:00"/>
    <x v="9"/>
    <x v="9"/>
    <x v="1"/>
    <s v="ADMINISTRACION DE SUCURSALES"/>
    <s v="OTROS EGRESOS 18"/>
    <s v="OTROS EGRESOS 1.P.O (OR:69/DES:69 TRN:86 PERF:300086 CAU: 18"/>
    <n v="2.1"/>
    <n v="0"/>
    <s v="VERSALLES"/>
    <x v="1"/>
  </r>
  <r>
    <n v="69"/>
    <d v="2019-04-25T00:00:00"/>
    <x v="10"/>
    <x v="10"/>
    <x v="1"/>
    <s v="ADMINISTRACION DE SUCURSALES"/>
    <s v="OTROS EGRESOS 18"/>
    <s v="OTROS EGRESOS 1.P.O (OR:69/DES:69 TRN:86 PERF:300086 CAU: 18"/>
    <n v="8.4"/>
    <n v="0"/>
    <s v="VERSALLES"/>
    <x v="1"/>
  </r>
  <r>
    <n v="69"/>
    <d v="2019-04-26T00:00:00"/>
    <x v="10"/>
    <x v="10"/>
    <x v="1"/>
    <s v="ADMINISTRACION DE SUCURSALES"/>
    <s v="OTROS EGRESOS 18"/>
    <s v="OTROS EGRESOS 1.P.O (OR:69/DES:69 TRN:86 PERF:300086 CAU: 18"/>
    <n v="9.1999999999999993"/>
    <n v="0"/>
    <s v="VERSALLES"/>
    <x v="1"/>
  </r>
  <r>
    <n v="69"/>
    <d v="2019-05-22T00:00:00"/>
    <x v="11"/>
    <x v="11"/>
    <x v="1"/>
    <s v="ADMINISTRACION DE SUCURSALES"/>
    <s v="OTROS EGRESOS 18"/>
    <s v="OTROS EGRESOS 1.P.O (OR:69/DES:69 TRN:86 PERF:300086 CAU: 18"/>
    <n v="9.1999999999999993"/>
    <n v="0"/>
    <s v="VERSALLES"/>
    <x v="1"/>
  </r>
  <r>
    <n v="69"/>
    <d v="2019-07-04T00:00:00"/>
    <x v="6"/>
    <x v="6"/>
    <x v="1"/>
    <s v="ADMINISTRACION DE SUCURSALES"/>
    <s v="OTROS EGRESOS 18"/>
    <s v="OTROS EGRESOS 1.P.O (OR:69/DES:69 TRN:86 PERF:300086 CAU: 18"/>
    <n v="3.7"/>
    <n v="0"/>
    <s v="VERSALLES"/>
    <x v="1"/>
  </r>
  <r>
    <n v="69"/>
    <d v="2019-07-25T00:00:00"/>
    <x v="6"/>
    <x v="6"/>
    <x v="1"/>
    <s v="ADMINISTRACION DE SUCURSALES"/>
    <s v="OTROS EGRESOS 18"/>
    <s v="OTROS EGRESOS 1.P.O (OR:69/DES:69 TRN:86 PERF:300086 CAU: 18"/>
    <n v="9.1999999999999993"/>
    <n v="0"/>
    <s v="VERSALLES"/>
    <x v="1"/>
  </r>
  <r>
    <n v="69"/>
    <d v="2019-07-30T00:00:00"/>
    <x v="6"/>
    <x v="6"/>
    <x v="1"/>
    <s v="ADMINISTRACION DE SUCURSALES"/>
    <s v="OTROS EGRESOS 18"/>
    <s v="OTROS EGRESOS 1.P.O (OR:69/DES:69 TRN:86 PERF:300086 CAU: 18"/>
    <n v="9.1999999999999993"/>
    <n v="0"/>
    <s v="VERSALLES"/>
    <x v="1"/>
  </r>
  <r>
    <n v="70"/>
    <d v="2019-02-02T00:00:00"/>
    <x v="8"/>
    <x v="8"/>
    <x v="1"/>
    <s v="ADMINISTRACION DE SUCURSALES"/>
    <s v="OTROS EGRESOS 18"/>
    <s v="OTROS EGRESOS 1.P.O (OR:70/DES:70 TRN:86 PERF:300086 CAU: 18"/>
    <n v="2.25"/>
    <n v="0"/>
    <s v="BUSINESS PARK"/>
    <x v="1"/>
  </r>
  <r>
    <n v="70"/>
    <d v="2019-02-22T00:00:00"/>
    <x v="8"/>
    <x v="8"/>
    <x v="1"/>
    <s v="ADMINISTRACION DE SUCURSALES"/>
    <s v="OTROS EGRESOS 18"/>
    <s v="OTROS EGRESOS 1.P.O (OR:70/DES:70 TRN:86 PERF:300086 CAU: 18"/>
    <n v="3.6"/>
    <n v="0"/>
    <s v="BUSINESS PARK"/>
    <x v="1"/>
  </r>
  <r>
    <n v="70"/>
    <d v="2019-04-16T00:00:00"/>
    <x v="10"/>
    <x v="10"/>
    <x v="1"/>
    <s v="ADMINISTRACION DE SUCURSALES"/>
    <s v="OTROS EGRESOS 18"/>
    <s v="OTROS EGRESOS 1.P.O (OR:70/DES:70 TRN:86 PERF:300086 CAU: 18"/>
    <n v="2.9"/>
    <n v="0"/>
    <s v="BUSINESS PARK"/>
    <x v="1"/>
  </r>
  <r>
    <n v="70"/>
    <d v="2019-06-07T00:00:00"/>
    <x v="2"/>
    <x v="2"/>
    <x v="1"/>
    <s v="ADMINISTRACION DE SUCURSALES"/>
    <s v="OTROS EGRESOS 18"/>
    <s v="OTROS EGRESOS 1.P.O (OR:70/DES:70 TRN:86 PERF:300086 CAU: 18"/>
    <n v="1.8"/>
    <n v="0"/>
    <s v="BUSINESS PARK"/>
    <x v="1"/>
  </r>
  <r>
    <n v="70"/>
    <d v="2019-07-09T00:00:00"/>
    <x v="6"/>
    <x v="6"/>
    <x v="1"/>
    <s v="ADMINISTRACION DE SUCURSALES"/>
    <s v="OTROS EGRESOS 18"/>
    <s v="OTROS EGRESOS 1.P.O (OR:70/DES:70 TRN:86 PERF:300086 CAU: 18"/>
    <n v="2.4"/>
    <n v="0"/>
    <s v="BUSINESS PARK"/>
    <x v="1"/>
  </r>
  <r>
    <n v="70"/>
    <d v="2019-07-11T00:00:00"/>
    <x v="6"/>
    <x v="6"/>
    <x v="1"/>
    <s v="ADMINISTRACION DE SUCURSALES"/>
    <s v="OTROS EGRESOS 18"/>
    <s v="OTROS EGRESOS 1.P.O (OR:70/DES:70 TRN:86 PERF:300086 CAU: 18"/>
    <n v="2.4"/>
    <n v="0"/>
    <s v="BUSINESS PARK"/>
    <x v="1"/>
  </r>
  <r>
    <n v="70"/>
    <d v="2019-07-18T00:00:00"/>
    <x v="6"/>
    <x v="6"/>
    <x v="1"/>
    <s v="ADMINISTRACION DE SUCURSALES"/>
    <s v="OTROS EGRESOS 18"/>
    <s v="OTROS EGRESOS 1.P.O (OR:70/DES:70 TRN:86 PERF:300086 CAU: 18"/>
    <n v="1.8"/>
    <n v="0"/>
    <s v="BUSINESS PARK"/>
    <x v="1"/>
  </r>
  <r>
    <n v="70"/>
    <d v="2019-07-29T00:00:00"/>
    <x v="6"/>
    <x v="6"/>
    <x v="1"/>
    <s v="ADMINISTRACION DE SUCURSALES"/>
    <s v="OTROS EGRESOS 18"/>
    <s v="OTROS EGRESOS 1.P.O (OR:70/DES:70 TRN:86 PERF:300086 CAU: 18"/>
    <n v="7.35"/>
    <n v="0"/>
    <s v="BUSINESS PARK"/>
    <x v="1"/>
  </r>
  <r>
    <n v="70"/>
    <d v="2019-07-30T00:00:00"/>
    <x v="6"/>
    <x v="6"/>
    <x v="1"/>
    <s v="ADMINISTRACION DE SUCURSALES"/>
    <s v="OTROS EGRESOS 18"/>
    <s v="OTROS EGRESOS 1.P.O (OR:70/DES:70 TRN:86 PERF:300086 CAU: 18"/>
    <n v="14.55"/>
    <n v="0"/>
    <s v="BUSINESS PARK"/>
    <x v="1"/>
  </r>
  <r>
    <n v="71"/>
    <d v="2019-01-10T00:00:00"/>
    <x v="7"/>
    <x v="7"/>
    <x v="1"/>
    <s v="ADMINISTRACION DE SUCURSALES"/>
    <s v="OTROS EGRESOS 18"/>
    <s v="OTROS EGRESOS 1.P.O (OR:71/DES:71 TRN:86 PERF:300086 CAU: 18"/>
    <n v="3"/>
    <n v="0"/>
    <s v="SAN FRANCISCO"/>
    <x v="1"/>
  </r>
  <r>
    <n v="71"/>
    <d v="2019-02-08T00:00:00"/>
    <x v="8"/>
    <x v="8"/>
    <x v="1"/>
    <s v="ADMINISTRACION DE SUCURSALES"/>
    <s v="OTROS EGRESOS 18"/>
    <s v="OTROS EGRESOS 1.P.O (OR:71/DES:71 TRN:86 PERF:300086 CAU: 18"/>
    <n v="2.4"/>
    <n v="0"/>
    <s v="SAN FRANCISCO"/>
    <x v="1"/>
  </r>
  <r>
    <n v="71"/>
    <d v="2019-03-07T00:00:00"/>
    <x v="9"/>
    <x v="9"/>
    <x v="1"/>
    <s v="ADMINISTRACION DE SUCURSALES"/>
    <s v="OTROS EGRESOS 18"/>
    <s v="OTROS EGRESOS 1.P.O (OR:71/DES:71 TRN:86 PERF:300086 CAU: 18"/>
    <n v="1.8"/>
    <n v="0"/>
    <s v="SAN FRANCISCO"/>
    <x v="1"/>
  </r>
  <r>
    <n v="71"/>
    <d v="2019-03-09T00:00:00"/>
    <x v="9"/>
    <x v="9"/>
    <x v="1"/>
    <s v="ADMINISTRACION DE SUCURSALES"/>
    <s v="OTROS EGRESOS 18"/>
    <s v="OTROS EGRESOS 1.P.O (OR:71/DES:71 TRN:86 PERF:300086 CAU: 18"/>
    <n v="2.4"/>
    <n v="0"/>
    <s v="SAN FRANCISCO"/>
    <x v="1"/>
  </r>
  <r>
    <n v="71"/>
    <d v="2019-03-11T00:00:00"/>
    <x v="9"/>
    <x v="9"/>
    <x v="1"/>
    <s v="ADMINISTRACION DE SUCURSALES"/>
    <s v="OTROS EGRESOS 18"/>
    <s v="OTROS EGRESOS 1.P.O (OR:71/DES:71 TRN:86 PERF:300086 CAU: 18"/>
    <n v="1.8"/>
    <n v="0"/>
    <s v="SAN FRANCISCO"/>
    <x v="1"/>
  </r>
  <r>
    <n v="71"/>
    <d v="2019-03-18T00:00:00"/>
    <x v="9"/>
    <x v="9"/>
    <x v="1"/>
    <s v="ADMINISTRACION DE SUCURSALES"/>
    <s v="OTROS EGRESOS 18"/>
    <s v="OTROS EGRESOS 1.P.O (OR:71/DES:71 TRN:86 PERF:300086 CAU: 18"/>
    <n v="1.8"/>
    <n v="0"/>
    <s v="SAN FRANCISCO"/>
    <x v="1"/>
  </r>
  <r>
    <n v="71"/>
    <d v="2019-03-30T00:00:00"/>
    <x v="9"/>
    <x v="9"/>
    <x v="1"/>
    <s v="ADMINISTRACION DE SUCURSALES"/>
    <s v="OTROS EGRESOS 18"/>
    <s v="OTROS EGRESOS 1.P.O (OR:71/DES:71 TRN:86 PERF:300086 CAU: 18"/>
    <n v="1.8"/>
    <n v="0"/>
    <s v="SAN FRANCISCO"/>
    <x v="1"/>
  </r>
  <r>
    <n v="71"/>
    <d v="2019-05-27T00:00:00"/>
    <x v="11"/>
    <x v="11"/>
    <x v="1"/>
    <s v="ADMINISTRACION DE SUCURSALES"/>
    <s v="OTROS EGRESOS 18"/>
    <s v="OTROS EGRESOS 1.P.O (OR:71/DES:71 TRN:86 PERF:300086 CAU: 18"/>
    <n v="2.4"/>
    <n v="0"/>
    <s v="SAN FRANCISCO"/>
    <x v="1"/>
  </r>
  <r>
    <n v="71"/>
    <d v="2019-07-22T00:00:00"/>
    <x v="6"/>
    <x v="6"/>
    <x v="1"/>
    <s v="ADMINISTRACION DE SUCURSALES"/>
    <s v="OTROS EGRESOS 18"/>
    <s v="OTROS EGRESOS 1.P.O (OR:71/DES:71 TRN:86 PERF:300086 CAU: 18"/>
    <n v="1.8"/>
    <n v="0"/>
    <s v="SAN FRANCISCO"/>
    <x v="1"/>
  </r>
  <r>
    <n v="71"/>
    <d v="2019-07-24T00:00:00"/>
    <x v="6"/>
    <x v="6"/>
    <x v="1"/>
    <s v="ADMINISTRACION DE SUCURSALES"/>
    <s v="OTROS EGRESOS 18"/>
    <s v="OTROS EGRESOS 1.P.O (OR:71/DES:71 TRN:86 PERF:300086 CAU: 18"/>
    <n v="1.8"/>
    <n v="0"/>
    <s v="SAN FRANCISCO"/>
    <x v="1"/>
  </r>
  <r>
    <n v="72"/>
    <d v="2019-01-07T00:00:00"/>
    <x v="7"/>
    <x v="7"/>
    <x v="1"/>
    <s v="ADMINISTRACION DE SUCURSALES"/>
    <s v="OTROS EGRESOS 18"/>
    <s v="OTROS EGRESOS 1.P.O (OR:72/DES:72 TRN:86 PERF:300086 CAU: 18"/>
    <n v="1.8"/>
    <n v="0"/>
    <s v="PLAZA BANCO GENERAL"/>
    <x v="1"/>
  </r>
  <r>
    <n v="72"/>
    <d v="2019-01-08T00:00:00"/>
    <x v="7"/>
    <x v="7"/>
    <x v="1"/>
    <s v="ADMINISTRACION DE SUCURSALES"/>
    <s v="OTROS EGRESOS 18"/>
    <s v="OTROS EGRESOS 1.P.O (OR:72/DES:72 TRN:86 PERF:300086 CAU: 18"/>
    <n v="1.8"/>
    <n v="0"/>
    <s v="PLAZA BANCO GENERAL"/>
    <x v="1"/>
  </r>
  <r>
    <n v="72"/>
    <d v="2019-01-17T00:00:00"/>
    <x v="7"/>
    <x v="7"/>
    <x v="1"/>
    <s v="ADMINISTRACION DE SUCURSALES"/>
    <s v="OTROS EGRESOS 18"/>
    <s v="OTROS EGRESOS 1.P.O (OR:72/DES:72 TRN:86 PERF:300086 CAU: 18"/>
    <n v="1.8"/>
    <n v="0"/>
    <s v="PLAZA BANCO GENERAL"/>
    <x v="1"/>
  </r>
  <r>
    <n v="72"/>
    <d v="2019-07-24T00:00:00"/>
    <x v="6"/>
    <x v="6"/>
    <x v="1"/>
    <s v="ADMINISTRACION DE SUCURSALES"/>
    <s v="OTROS EGRESOS 18"/>
    <s v="OTROS EGRESOS 1.P.O (OR:72/DES:72 TRN:86 PERF:300086 CAU: 18"/>
    <n v="7.65"/>
    <n v="0"/>
    <s v="PLAZA BANCO GENERAL"/>
    <x v="1"/>
  </r>
  <r>
    <n v="73"/>
    <d v="2019-01-18T00:00:00"/>
    <x v="7"/>
    <x v="7"/>
    <x v="1"/>
    <s v="ADMINISTRACION DE SUCURSALES"/>
    <s v="OTROS EGRESOS 18"/>
    <s v="OTROS EGRESOS 1.P.O (OR:73/DES:73 TRN:86 PERF:300086 CAU: 18"/>
    <n v="12"/>
    <n v="0"/>
    <s v="LA CHORRERA - PARQUE 10 DE NOV."/>
    <x v="1"/>
  </r>
  <r>
    <n v="73"/>
    <d v="2019-01-23T00:00:00"/>
    <x v="7"/>
    <x v="7"/>
    <x v="1"/>
    <s v="ADMINISTRACION DE SUCURSALES"/>
    <s v="OTROS EGRESOS 18"/>
    <s v="OTROS EGRESOS 1.P.O (OR:73/DES:73 TRN:86 PERF:300086 CAU: 18"/>
    <n v="4.5"/>
    <n v="0"/>
    <s v="LA CHORRERA - PARQUE 10 DE NOV."/>
    <x v="1"/>
  </r>
  <r>
    <n v="73"/>
    <d v="2019-02-06T00:00:00"/>
    <x v="8"/>
    <x v="8"/>
    <x v="1"/>
    <s v="ADMINISTRACION DE SUCURSALES"/>
    <s v="OTROS EGRESOS 18"/>
    <s v="OTROS EGRESOS 1.P.O (OR:73/DES:73 TRN:86 PERF:300086 CAU: 18"/>
    <n v="2.25"/>
    <n v="0"/>
    <s v="LA CHORRERA - PARQUE 10 DE NOV."/>
    <x v="1"/>
  </r>
  <r>
    <n v="73"/>
    <d v="2019-02-11T00:00:00"/>
    <x v="8"/>
    <x v="8"/>
    <x v="1"/>
    <s v="ADMINISTRACION DE SUCURSALES"/>
    <s v="OTROS EGRESOS 18"/>
    <s v="OTROS EGRESOS 1.P.O (OR:73/DES:73 TRN:86 PERF:300086 CAU: 18"/>
    <n v="4.5"/>
    <n v="0"/>
    <s v="LA CHORRERA - PARQUE 10 DE NOV."/>
    <x v="1"/>
  </r>
  <r>
    <n v="73"/>
    <d v="2019-03-11T00:00:00"/>
    <x v="9"/>
    <x v="9"/>
    <x v="1"/>
    <s v="ADMINISTRACION DE SUCURSALES"/>
    <s v="OTROS EGRESOS 18"/>
    <s v="OTROS EGRESOS 1.P.O (OR:73/DES:73 TRN:86 PERF:300086 CAU: 18"/>
    <n v="2.25"/>
    <n v="0"/>
    <s v="LA CHORRERA - PARQUE 10 DE NOV."/>
    <x v="1"/>
  </r>
  <r>
    <n v="73"/>
    <d v="2019-03-13T00:00:00"/>
    <x v="9"/>
    <x v="9"/>
    <x v="1"/>
    <s v="ADMINISTRACION DE SUCURSALES"/>
    <s v="OTROS EGRESOS 18"/>
    <s v="OTROS EGRESOS 1.P.O (OR:73/DES:73 TRN:86 PERF:300086 CAU: 18"/>
    <n v="12"/>
    <n v="0"/>
    <s v="LA CHORRERA - PARQUE 10 DE NOV."/>
    <x v="1"/>
  </r>
  <r>
    <n v="73"/>
    <d v="2019-03-15T00:00:00"/>
    <x v="9"/>
    <x v="9"/>
    <x v="1"/>
    <s v="ADMINISTRACION DE SUCURSALES"/>
    <s v="OTROS EGRESOS 18"/>
    <s v="OTROS EGRESOS 1.P.O (OR:73/DES:73 TRN:86 PERF:300086 CAU: 18"/>
    <n v="10.5"/>
    <n v="0"/>
    <s v="LA CHORRERA - PARQUE 10 DE NOV."/>
    <x v="1"/>
  </r>
  <r>
    <n v="73"/>
    <d v="2019-05-16T00:00:00"/>
    <x v="11"/>
    <x v="11"/>
    <x v="1"/>
    <s v="ADMINISTRACION DE SUCURSALES"/>
    <s v="OTROS EGRESOS 18"/>
    <s v="OTROS EGRESOS 1.P.O (OR:73/DES:73 TRN:86 PERF:300086 CAU: 18"/>
    <n v="5"/>
    <n v="0"/>
    <s v="LA CHORRERA - PARQUE 10 DE NOV."/>
    <x v="1"/>
  </r>
  <r>
    <n v="73"/>
    <d v="2019-05-27T00:00:00"/>
    <x v="11"/>
    <x v="11"/>
    <x v="1"/>
    <s v="ADMINISTRACION DE SUCURSALES"/>
    <s v="OTROS EGRESOS 18"/>
    <s v="OTROS EGRESOS 1.P.O (OR:73/DES:73 TRN:86 PERF:300086 CAU: 18"/>
    <n v="12"/>
    <n v="0"/>
    <s v="LA CHORRERA - PARQUE 10 DE NOV."/>
    <x v="1"/>
  </r>
  <r>
    <n v="73"/>
    <d v="2019-05-29T00:00:00"/>
    <x v="11"/>
    <x v="11"/>
    <x v="1"/>
    <s v="ADMINISTRACION DE SUCURSALES"/>
    <s v="NC VIATICOS"/>
    <s v="TRANSACCIONES DEL DIA 05/29/2019SPYRAL - GESTION ADMINISTRATIVA"/>
    <n v="0"/>
    <n v="57"/>
    <s v="LA CHORRERA - PARQUE 10 DE NOV."/>
    <x v="1"/>
  </r>
  <r>
    <n v="73"/>
    <d v="2019-05-06T00:00:00"/>
    <x v="11"/>
    <x v="11"/>
    <x v="1"/>
    <s v="CAJA"/>
    <s v="VIATICOS 2"/>
    <s v="TRANSACCIONES DEL DIA 05/06/2019SPYRAL - GESTION ADMINISTRATIVA"/>
    <n v="380"/>
    <n v="0"/>
    <s v="LA CHORRERA - PARQUE 10 DE NOV."/>
    <x v="1"/>
  </r>
  <r>
    <n v="73"/>
    <d v="2019-05-15T00:00:00"/>
    <x v="11"/>
    <x v="11"/>
    <x v="1"/>
    <s v="CAJA"/>
    <s v="VIATICOS 2"/>
    <s v="TRANSACCIONES DEL DIA 05/15/2019SPYRAL - GESTION ADMINISTRATIVA"/>
    <n v="152"/>
    <n v="0"/>
    <s v="LA CHORRERA - PARQUE 10 DE NOV."/>
    <x v="1"/>
  </r>
  <r>
    <n v="73"/>
    <d v="2019-03-27T00:00:00"/>
    <x v="9"/>
    <x v="9"/>
    <x v="1"/>
    <s v="SERVICIOS PERSONALES"/>
    <s v="VIATICOS 2"/>
    <s v="TRANSACCIONES DEL DIA 03/27/2019SPYRAL - GESTION ADMINISTRATIVA"/>
    <n v="117"/>
    <n v="0"/>
    <s v="LA CHORRERA - PARQUE 10 DE NOV."/>
    <x v="1"/>
  </r>
  <r>
    <n v="73"/>
    <d v="2019-04-12T00:00:00"/>
    <x v="10"/>
    <x v="10"/>
    <x v="1"/>
    <s v="SERVICIOS PERSONALES"/>
    <s v="VIATICOS 2"/>
    <s v="TRANSACCIONES DEL DIA 04/12/2019SPYRAL - GESTION ADMINISTRATIVA"/>
    <n v="338"/>
    <n v="0"/>
    <s v="LA CHORRERA - PARQUE 10 DE NOV."/>
    <x v="1"/>
  </r>
  <r>
    <n v="74"/>
    <d v="2019-02-15T00:00:00"/>
    <x v="8"/>
    <x v="8"/>
    <x v="1"/>
    <s v="ADMINISTRACION DE SUCURSALES"/>
    <s v="OTROS EGRESOS 18"/>
    <s v="OTROS EGRESOS 1.P.O (OR:74/DES:74 TRN:86 PERF:300086 CAU: 18"/>
    <n v="7.35"/>
    <n v="0"/>
    <s v="COSTA DEL ESTE - CENTENARIO"/>
    <x v="1"/>
  </r>
  <r>
    <n v="74"/>
    <d v="2019-02-20T00:00:00"/>
    <x v="8"/>
    <x v="8"/>
    <x v="1"/>
    <s v="ADMINISTRACION DE SUCURSALES"/>
    <s v="OTROS EGRESOS 18"/>
    <s v="OTROS EGRESOS 1.P.O (OR:74/DES:74 TRN:86 PERF:300086 CAU: 18"/>
    <n v="7.35"/>
    <n v="0"/>
    <s v="COSTA DEL ESTE - CENTENARIO"/>
    <x v="1"/>
  </r>
  <r>
    <n v="74"/>
    <d v="2019-02-22T00:00:00"/>
    <x v="8"/>
    <x v="8"/>
    <x v="1"/>
    <s v="ADMINISTRACION DE SUCURSALES"/>
    <s v="OTROS EGRESOS 18"/>
    <s v="OTROS EGRESOS 1.P.O (OR:74/DES:74 TRN:86 PERF:300086 CAU: 18"/>
    <n v="2.9"/>
    <n v="0"/>
    <s v="COSTA DEL ESTE - CENTENARIO"/>
    <x v="1"/>
  </r>
  <r>
    <n v="74"/>
    <d v="2019-02-25T00:00:00"/>
    <x v="8"/>
    <x v="8"/>
    <x v="1"/>
    <s v="ADMINISTRACION DE SUCURSALES"/>
    <s v="OTROS EGRESOS 18"/>
    <s v="OTROS EGRESOS 1.P.O (OR:74/DES:74 TRN:86 PERF:300086 CAU: 18"/>
    <n v="4.05"/>
    <n v="0"/>
    <s v="COSTA DEL ESTE - CENTENARIO"/>
    <x v="1"/>
  </r>
  <r>
    <n v="74"/>
    <d v="2019-04-23T00:00:00"/>
    <x v="10"/>
    <x v="10"/>
    <x v="1"/>
    <s v="ADMINISTRACION DE SUCURSALES"/>
    <s v="OTROS EGRESOS 18"/>
    <s v="OTROS EGRESOS 1.P.O (OR:74/DES:74 TRN:86 PERF:300086 CAU: 18"/>
    <n v="1.8"/>
    <n v="0"/>
    <s v="COSTA DEL ESTE - CENTENARIO"/>
    <x v="1"/>
  </r>
  <r>
    <n v="74"/>
    <d v="2019-07-31T00:00:00"/>
    <x v="6"/>
    <x v="6"/>
    <x v="1"/>
    <s v="ADMINISTRACION DE SUCURSALES"/>
    <s v="OTROS EGRESOS 18"/>
    <s v="OTROS EGRESOS 1.P.O (OR:74/DES:74 TRN:86 PERF:300086 CAU: 18"/>
    <n v="22.05"/>
    <n v="0"/>
    <s v="COSTA DEL ESTE - CENTENARIO"/>
    <x v="1"/>
  </r>
  <r>
    <n v="76"/>
    <d v="2019-02-14T00:00:00"/>
    <x v="8"/>
    <x v="8"/>
    <x v="1"/>
    <s v="ADMINISTRACION DE SUCURSALES"/>
    <s v="OTROS EGRESOS 18"/>
    <s v="OTROS EGRESOS 1.P.O (OR:76/DES:76 TRN:86 PERF:300086 CAU: 18"/>
    <n v="6.4"/>
    <n v="0"/>
    <s v="CLAYTON"/>
    <x v="1"/>
  </r>
  <r>
    <n v="76"/>
    <d v="2019-02-15T00:00:00"/>
    <x v="8"/>
    <x v="8"/>
    <x v="1"/>
    <s v="ADMINISTRACION DE SUCURSALES"/>
    <s v="OTROS EGRESOS 18"/>
    <s v="OTROS EGRESOS 1.P.O (OR:76/DES:76 TRN:86 PERF:300086 CAU: 18"/>
    <n v="8.6999999999999993"/>
    <n v="0"/>
    <s v="CLAYTON"/>
    <x v="1"/>
  </r>
  <r>
    <n v="76"/>
    <d v="2019-03-12T00:00:00"/>
    <x v="9"/>
    <x v="9"/>
    <x v="1"/>
    <s v="ADMINISTRACION DE SUCURSALES"/>
    <s v="OTROS EGRESOS 18"/>
    <s v="OTROS EGRESOS 1.P.O (OR:76/DES:76 TRN:86 PERF:300086 CAU: 18"/>
    <n v="3.15"/>
    <n v="0"/>
    <s v="CLAYTON"/>
    <x v="1"/>
  </r>
  <r>
    <n v="76"/>
    <d v="2019-04-15T00:00:00"/>
    <x v="10"/>
    <x v="10"/>
    <x v="1"/>
    <s v="ADMINISTRACION DE SUCURSALES"/>
    <s v="OTROS EGRESOS 18"/>
    <s v="OTROS EGRESOS 1.P.O (OR:76/DES:76 TRN:86 PERF:300086 CAU: 18"/>
    <n v="6.85"/>
    <n v="0"/>
    <s v="CLAYTON"/>
    <x v="1"/>
  </r>
  <r>
    <n v="76"/>
    <d v="2019-05-04T00:00:00"/>
    <x v="11"/>
    <x v="11"/>
    <x v="1"/>
    <s v="ADMINISTRACION DE SUCURSALES"/>
    <s v="OTROS EGRESOS 18"/>
    <s v="OTROS EGRESOS 1.P.O (OR:76/DES:76 TRN:86 PERF:300086 CAU: 18"/>
    <n v="2.65"/>
    <n v="0"/>
    <s v="CLAYTON"/>
    <x v="1"/>
  </r>
  <r>
    <n v="76"/>
    <d v="2019-05-08T00:00:00"/>
    <x v="11"/>
    <x v="11"/>
    <x v="1"/>
    <s v="ADMINISTRACION DE SUCURSALES"/>
    <s v="VIATICOS 2"/>
    <s v="TRANSACCIONES DEL DIA 05/08/2019SPYRAL - GESTION ADMINISTRATIVA"/>
    <n v="12"/>
    <n v="0"/>
    <s v="CLAYTON"/>
    <x v="1"/>
  </r>
  <r>
    <n v="76"/>
    <d v="2019-05-14T00:00:00"/>
    <x v="11"/>
    <x v="11"/>
    <x v="1"/>
    <s v="ADMINISTRACION DE SUCURSALES"/>
    <s v="VIATICOS 2"/>
    <s v="TRANSACCIONES DEL DIA 05/14/2019SPYRAL - GESTION ADMINISTRATIVA"/>
    <n v="12"/>
    <n v="0"/>
    <s v="CLAYTON"/>
    <x v="1"/>
  </r>
  <r>
    <n v="76"/>
    <d v="2019-05-15T00:00:00"/>
    <x v="11"/>
    <x v="11"/>
    <x v="1"/>
    <s v="ADMINISTRACION DE SUCURSALES"/>
    <s v="OTROS EGRESOS 18"/>
    <s v="OTROS EGRESOS 1.P.O (OR:76/DES:76 TRN:86 PERF:300086 CAU: 18"/>
    <n v="8.6999999999999993"/>
    <n v="0"/>
    <s v="CLAYTON"/>
    <x v="1"/>
  </r>
  <r>
    <n v="76"/>
    <d v="2019-05-25T00:00:00"/>
    <x v="11"/>
    <x v="11"/>
    <x v="1"/>
    <s v="ADMINISTRACION DE SUCURSALES"/>
    <s v="OTROS EGRESOS 18"/>
    <s v="OTROS EGRESOS 1.P.O (OR:76/DES:76 TRN:86 PERF:300086 CAU: 18"/>
    <n v="7.65"/>
    <n v="0"/>
    <s v="CLAYTON"/>
    <x v="1"/>
  </r>
  <r>
    <n v="76"/>
    <d v="2019-05-25T00:00:00"/>
    <x v="11"/>
    <x v="11"/>
    <x v="1"/>
    <s v="ADMINISTRACION DE SUCURSALES"/>
    <s v="VIATICOS 2"/>
    <s v="TRANSACCIONES DEL DIA 05/25/2019SPYRAL - GESTION ADMINISTRATIVA"/>
    <n v="12"/>
    <n v="0"/>
    <s v="CLAYTON"/>
    <x v="1"/>
  </r>
  <r>
    <n v="76"/>
    <d v="2019-06-13T00:00:00"/>
    <x v="2"/>
    <x v="2"/>
    <x v="1"/>
    <s v="ADMINISTRACION DE SUCURSALES"/>
    <s v="VIATICOS 2"/>
    <s v="TRANSACCIONES DEL DIA 06/13/2019SPYRAL - GESTION ADMINISTRATIVA"/>
    <n v="12"/>
    <n v="0"/>
    <s v="CLAYTON"/>
    <x v="1"/>
  </r>
  <r>
    <n v="76"/>
    <d v="2019-06-29T00:00:00"/>
    <x v="2"/>
    <x v="2"/>
    <x v="1"/>
    <s v="ADMINISTRACION DE SUCURSALES"/>
    <s v="OTROS EGRESOS 18"/>
    <s v="OTROS EGRESOS 1.P.O (OR:76/DES:76 TRN:86 PERF:300086 CAU: 18"/>
    <n v="8.6999999999999993"/>
    <n v="0"/>
    <s v="CLAYTON"/>
    <x v="1"/>
  </r>
  <r>
    <n v="76"/>
    <d v="2019-07-17T00:00:00"/>
    <x v="6"/>
    <x v="6"/>
    <x v="1"/>
    <s v="ADMINISTRACION DE SUCURSALES"/>
    <s v="VIATICOS 2"/>
    <s v="TRANSACCIONES DEL DIA 07/17/2019SPYRAL - GESTION ADMINISTRATIVA"/>
    <n v="12"/>
    <n v="0"/>
    <s v="CLAYTON"/>
    <x v="1"/>
  </r>
  <r>
    <n v="76"/>
    <d v="2019-07-31T00:00:00"/>
    <x v="6"/>
    <x v="6"/>
    <x v="1"/>
    <s v="ADMINISTRACION DE SUCURSALES"/>
    <s v="OTROS EGRESOS 18"/>
    <s v="OTROS EGRESOS 1.P.O (OR:76/DES:76 TRN:86 PERF:300086 CAU: 18"/>
    <n v="8.35"/>
    <n v="0"/>
    <s v="CLAYTON"/>
    <x v="1"/>
  </r>
  <r>
    <n v="77"/>
    <d v="2019-04-11T00:00:00"/>
    <x v="10"/>
    <x v="10"/>
    <x v="1"/>
    <s v="ADMINISTRACION DE SUCURSALES"/>
    <s v="OTROS EGRESOS 18"/>
    <s v="OTROS EGRESOS 1.P.O (OR:77/DES:77 TRN:86 PERF:300086 CAU: 18"/>
    <n v="1.8"/>
    <n v="0"/>
    <s v="MARBELLA"/>
    <x v="1"/>
  </r>
  <r>
    <n v="77"/>
    <d v="2019-06-20T00:00:00"/>
    <x v="2"/>
    <x v="2"/>
    <x v="1"/>
    <s v="ADMINISTRACION DE SUCURSALES"/>
    <s v="OTROS EGRESOS 18"/>
    <s v="OTROS EGRESOS 1.P.O (OR:77/DES:77 TRN:86 PERF:300086 CAU: 18"/>
    <n v="1.8"/>
    <n v="0"/>
    <s v="MARBELLA"/>
    <x v="1"/>
  </r>
  <r>
    <n v="77"/>
    <d v="2019-06-27T00:00:00"/>
    <x v="2"/>
    <x v="2"/>
    <x v="1"/>
    <s v="ADMINISTRACION DE SUCURSALES"/>
    <s v="OTROS EGRESOS 18"/>
    <s v="OTROS EGRESOS 1.P.O (OR:77/DES:77 TRN:86 PERF:300086 CAU: 18"/>
    <n v="1.8"/>
    <n v="0"/>
    <s v="MARBELLA"/>
    <x v="1"/>
  </r>
  <r>
    <n v="78"/>
    <d v="2019-02-08T00:00:00"/>
    <x v="8"/>
    <x v="8"/>
    <x v="1"/>
    <s v="ADMINISTRACION DE SUCURSALES"/>
    <s v="OTROS EGRESOS 18"/>
    <s v="OTROS EGRESOS 1.P.O (OR:78/DES:78 TRN:86 PERF:300086 CAU: 18"/>
    <n v="7.2"/>
    <n v="0"/>
    <s v="PLAZA CAROLINA"/>
    <x v="1"/>
  </r>
  <r>
    <n v="78"/>
    <d v="2019-02-13T00:00:00"/>
    <x v="8"/>
    <x v="8"/>
    <x v="1"/>
    <s v="ADMINISTRACION DE SUCURSALES"/>
    <s v="OTROS EGRESOS 18"/>
    <s v="OTROS EGRESOS 1.P.O (OR:78/DES:78 TRN:86 PERF:300086 CAU: 18"/>
    <n v="2.25"/>
    <n v="0"/>
    <s v="PLAZA CAROLINA"/>
    <x v="1"/>
  </r>
  <r>
    <n v="78"/>
    <d v="2019-02-15T00:00:00"/>
    <x v="8"/>
    <x v="8"/>
    <x v="1"/>
    <s v="ADMINISTRACION DE SUCURSALES"/>
    <s v="OTROS EGRESOS 18"/>
    <s v="OTROS EGRESOS 1.P.O (OR:78/DES:78 TRN:86 PERF:300086 CAU: 18"/>
    <n v="7.35"/>
    <n v="0"/>
    <s v="PLAZA CAROLINA"/>
    <x v="1"/>
  </r>
  <r>
    <n v="78"/>
    <d v="2019-02-19T00:00:00"/>
    <x v="8"/>
    <x v="8"/>
    <x v="1"/>
    <s v="ADMINISTRACION DE SUCURSALES"/>
    <s v="OTROS EGRESOS 18"/>
    <s v="OTROS EGRESOS 1.P.O (OR:78/DES:78 TRN:86 PERF:300086 CAU: 18"/>
    <n v="7.35"/>
    <n v="0"/>
    <s v="PLAZA CAROLINA"/>
    <x v="1"/>
  </r>
  <r>
    <n v="78"/>
    <d v="2019-06-06T00:00:00"/>
    <x v="2"/>
    <x v="2"/>
    <x v="1"/>
    <s v="ADMINISTRACION DE SUCURSALES"/>
    <s v="OTROS EGRESOS 18"/>
    <s v="OTROS EGRESOS 1.P.O (OR:78/DES:78 TRN:86 PERF:300086 CAU: 18"/>
    <n v="6.5"/>
    <n v="0"/>
    <s v="PLAZA CAROLINA"/>
    <x v="1"/>
  </r>
  <r>
    <n v="78"/>
    <d v="2019-06-13T00:00:00"/>
    <x v="2"/>
    <x v="2"/>
    <x v="1"/>
    <s v="ADMINISTRACION DE SUCURSALES"/>
    <s v="OTROS EGRESOS 18"/>
    <s v="OTROS EGRESOS 1.P.O (OR:78/DES:78 TRN:86 PERF:300086 CAU: 18"/>
    <n v="6"/>
    <n v="0"/>
    <s v="PLAZA CAROLINA"/>
    <x v="1"/>
  </r>
  <r>
    <n v="78"/>
    <d v="2019-07-19T00:00:00"/>
    <x v="6"/>
    <x v="6"/>
    <x v="1"/>
    <s v="ADMINISTRACION DE SUCURSALES"/>
    <s v="OTROS EGRESOS 18"/>
    <s v="OTROS EGRESOS 1.P.O (OR:78/DES:78 TRN:86 PERF:300086 CAU: 18"/>
    <n v="7.35"/>
    <n v="0"/>
    <s v="PLAZA CAROLINA"/>
    <x v="1"/>
  </r>
  <r>
    <n v="79"/>
    <d v="2019-01-18T00:00:00"/>
    <x v="7"/>
    <x v="7"/>
    <x v="1"/>
    <s v="ADMINISTRACION DE SUCURSALES"/>
    <s v="OTROS EGRESOS 18"/>
    <s v="OTROS EGRESOS 1.P.O (OR:79/DES:79 TRN:86 PERF:300086 CAU: 18"/>
    <n v="0.3"/>
    <n v="0"/>
    <s v="PLAZA CORDOBA"/>
    <x v="1"/>
  </r>
  <r>
    <n v="79"/>
    <d v="2019-01-29T00:00:00"/>
    <x v="7"/>
    <x v="7"/>
    <x v="1"/>
    <s v="ADMINISTRACION DE SUCURSALES"/>
    <s v="OTROS EGRESOS 18"/>
    <s v="OTROS EGRESOS 1.P.O (OR:79/DES:79 TRN:86 PERF:300086 CAU: 18"/>
    <n v="3"/>
    <n v="0"/>
    <s v="PLAZA CORDOBA"/>
    <x v="1"/>
  </r>
  <r>
    <n v="79"/>
    <d v="2019-02-07T00:00:00"/>
    <x v="8"/>
    <x v="8"/>
    <x v="1"/>
    <s v="ADMINISTRACION DE SUCURSALES"/>
    <s v="OTROS EGRESOS 18"/>
    <s v="OTROS EGRESOS 1.P.O (OR:79/DES:79 TRN:86 PERF:300086 CAU: 18"/>
    <n v="2.4"/>
    <n v="0"/>
    <s v="PLAZA CORDOBA"/>
    <x v="1"/>
  </r>
  <r>
    <n v="79"/>
    <d v="2019-04-23T00:00:00"/>
    <x v="10"/>
    <x v="10"/>
    <x v="1"/>
    <s v="ADMINISTRACION DE SUCURSALES"/>
    <s v="OTROS EGRESOS 18"/>
    <s v="OTROS EGRESOS 1.P.O (OR:79/DES:79 TRN:86 PERF:300086 CAU: 18"/>
    <n v="3"/>
    <n v="0"/>
    <s v="PLAZA CORDOBA"/>
    <x v="1"/>
  </r>
  <r>
    <n v="79"/>
    <d v="2019-05-31T00:00:00"/>
    <x v="11"/>
    <x v="11"/>
    <x v="1"/>
    <s v="ADMINISTRACION DE SUCURSALES"/>
    <s v="OTROS EGRESOS 18"/>
    <s v="OTROS EGRESOS 1.P.O (OR:79/DES:79 TRN:86 PERF:300086 CAU: 18"/>
    <n v="2.25"/>
    <n v="0"/>
    <s v="PLAZA CORDOBA"/>
    <x v="1"/>
  </r>
  <r>
    <n v="80"/>
    <d v="2019-02-13T00:00:00"/>
    <x v="8"/>
    <x v="8"/>
    <x v="1"/>
    <s v="ADMINISTRACION DE SUCURSALES"/>
    <s v="OTROS EGRESOS 18"/>
    <s v="OTROS EGRESOS 1.P.O (OR:80/DES:80 TRN:86 PERF:300086 CAU: 18"/>
    <n v="9.1999999999999993"/>
    <n v="0"/>
    <s v="VIA SIMON BOLIVAR"/>
    <x v="1"/>
  </r>
  <r>
    <n v="80"/>
    <d v="2019-06-14T00:00:00"/>
    <x v="2"/>
    <x v="2"/>
    <x v="1"/>
    <s v="ADMINISTRACION DE SUCURSALES"/>
    <s v="VIATICOS 2"/>
    <s v="TRANSACCIONES DEL DIA 06/14/2019SPYRAL - GESTION ADMINISTRATIVA"/>
    <n v="12"/>
    <n v="0"/>
    <s v="VIA SIMON BOLIVAR"/>
    <x v="1"/>
  </r>
  <r>
    <n v="80"/>
    <d v="2019-07-13T00:00:00"/>
    <x v="6"/>
    <x v="6"/>
    <x v="1"/>
    <s v="ADMINISTRACION DE SUCURSALES"/>
    <s v="VIATICOS 2"/>
    <s v="TRANSACCIONES DEL DIA 07/13/2019SPYRAL - GESTION ADMINISTRATIVA"/>
    <n v="12"/>
    <n v="0"/>
    <s v="VIA SIMON BOLIVAR"/>
    <x v="1"/>
  </r>
  <r>
    <n v="80"/>
    <d v="2019-04-05T00:00:00"/>
    <x v="10"/>
    <x v="10"/>
    <x v="1"/>
    <s v="CAJA"/>
    <s v="VIATICOS 2"/>
    <s v="TRANSACCIONES DEL DIA 04/05/2019SPYRAL - GESTION ADMINISTRATIVA"/>
    <n v="147.9"/>
    <n v="0"/>
    <s v="VIA SIMON BOLIVAR"/>
    <x v="1"/>
  </r>
  <r>
    <n v="89"/>
    <d v="2019-01-04T00:00:00"/>
    <x v="7"/>
    <x v="7"/>
    <x v="1"/>
    <s v="ADMINISTRACION DE SUCURSALES"/>
    <s v="OTROS EGRESOS 18"/>
    <s v="OTROS EGRESOS 1.P.O (OR:89/DES:89 TRN:86 PERF:300086 CAU: 18"/>
    <n v="1.1000000000000001"/>
    <n v="0"/>
    <s v="JUSTO AROSEMENA"/>
    <x v="1"/>
  </r>
  <r>
    <n v="89"/>
    <d v="2019-01-07T00:00:00"/>
    <x v="7"/>
    <x v="7"/>
    <x v="1"/>
    <s v="ADMINISTRACION DE SUCURSALES"/>
    <s v="OTROS EGRESOS 18"/>
    <s v="OTROS EGRESOS 1.P.O (OR:89/DES:89 TRN:86 PERF:300086 CAU: 18"/>
    <n v="2.4"/>
    <n v="0"/>
    <s v="JUSTO AROSEMENA"/>
    <x v="1"/>
  </r>
  <r>
    <n v="89"/>
    <d v="2019-01-28T00:00:00"/>
    <x v="7"/>
    <x v="7"/>
    <x v="1"/>
    <s v="ADMINISTRACION DE SUCURSALES"/>
    <s v="OTROS EGRESOS 18"/>
    <s v="OTROS EGRESOS 1.P.O (OR:89/DES:89 TRN:86 PERF:300086 CAU: 18"/>
    <n v="3"/>
    <n v="0"/>
    <s v="JUSTO AROSEMENA"/>
    <x v="1"/>
  </r>
  <r>
    <n v="89"/>
    <d v="2019-02-19T00:00:00"/>
    <x v="8"/>
    <x v="8"/>
    <x v="1"/>
    <s v="ADMINISTRACION DE SUCURSALES"/>
    <s v="OTROS EGRESOS 18"/>
    <s v="OTROS EGRESOS 1.P.O (OR:89/DES:89 TRN:86 PERF:300086 CAU: 18"/>
    <n v="11.3"/>
    <n v="0"/>
    <s v="JUSTO AROSEMENA"/>
    <x v="1"/>
  </r>
  <r>
    <n v="89"/>
    <d v="2019-03-12T00:00:00"/>
    <x v="9"/>
    <x v="9"/>
    <x v="1"/>
    <s v="ADMINISTRACION DE SUCURSALES"/>
    <s v="OTROS EGRESOS 18"/>
    <s v="OTROS EGRESOS 1.P.O (OR:89/DES:89 TRN:86 PERF:300086 CAU: 18"/>
    <n v="3"/>
    <n v="0"/>
    <s v="JUSTO AROSEMENA"/>
    <x v="1"/>
  </r>
  <r>
    <n v="89"/>
    <d v="2019-03-13T00:00:00"/>
    <x v="9"/>
    <x v="9"/>
    <x v="1"/>
    <s v="ADMINISTRACION DE SUCURSALES"/>
    <s v="OTROS EGRESOS 18"/>
    <s v="OTROS EGRESOS 1.P.O (OR:89/DES:89 TRN:86 PERF:300086 CAU: 18"/>
    <n v="3"/>
    <n v="0"/>
    <s v="JUSTO AROSEMENA"/>
    <x v="1"/>
  </r>
  <r>
    <n v="89"/>
    <d v="2019-03-22T00:00:00"/>
    <x v="9"/>
    <x v="9"/>
    <x v="1"/>
    <s v="ADMINISTRACION DE SUCURSALES"/>
    <s v="CORRRECCION DEL 21/03/2019 POR CAUSA DE REGISTRO DE VIATICO MAL"/>
    <s v="CORRECCION DE REGISTRO DE VIATICO MAL POSTEADO"/>
    <n v="11.3"/>
    <n v="0"/>
    <s v="JUSTO AROSEMENA"/>
    <x v="1"/>
  </r>
  <r>
    <n v="89"/>
    <d v="2019-04-15T00:00:00"/>
    <x v="10"/>
    <x v="10"/>
    <x v="1"/>
    <s v="ADMINISTRACION DE SUCURSALES"/>
    <s v="VIATICOS 2"/>
    <s v="TRANSACCIONES DEL DIA 04/15/2019SPYRAL - GESTION ADMINISTRATIVA"/>
    <n v="5"/>
    <n v="0"/>
    <s v="JUSTO AROSEMENA"/>
    <x v="1"/>
  </r>
  <r>
    <n v="89"/>
    <d v="2019-07-25T00:00:00"/>
    <x v="6"/>
    <x v="6"/>
    <x v="1"/>
    <s v="ADMINISTRACION DE SUCURSALES"/>
    <s v="OTROS EGRESOS 18"/>
    <s v="OTROS EGRESOS 1.P.O (OR:89/DES:89 TRN:86 PERF:300086 CAU: 18"/>
    <n v="11.3"/>
    <n v="0"/>
    <s v="JUSTO AROSEMENA"/>
    <x v="1"/>
  </r>
  <r>
    <n v="91"/>
    <d v="2019-01-19T00:00:00"/>
    <x v="7"/>
    <x v="7"/>
    <x v="1"/>
    <s v="BANCA CORPORATIVA"/>
    <s v="NC VIATICOS"/>
    <s v="TRANSACCIONES DEL DIA 01/19/2019SPYRAL - GESTION ADMINISTRATIVA"/>
    <n v="23.85"/>
    <n v="0"/>
    <s v="NEGOCIOS"/>
    <x v="1"/>
  </r>
  <r>
    <n v="91"/>
    <d v="2019-02-15T00:00:00"/>
    <x v="8"/>
    <x v="8"/>
    <x v="1"/>
    <s v="BANCA CORPORATIVA"/>
    <s v="NC VIATICOS"/>
    <s v="TRANSACCIONES DEL DIA 02/15/2019SPYRAL - GESTION ADMINISTRATIVA"/>
    <n v="23"/>
    <n v="0"/>
    <s v="NEGOCIOS"/>
    <x v="1"/>
  </r>
  <r>
    <n v="91"/>
    <d v="2019-03-22T00:00:00"/>
    <x v="9"/>
    <x v="9"/>
    <x v="1"/>
    <s v="BANCA CORPORATIVA"/>
    <s v="NC VIATICOS"/>
    <s v="TRANSACCIONES DEL DIA 03/22/2019SPYRAL - GESTION ADMINISTRATIVA"/>
    <n v="32.200000000000003"/>
    <n v="0"/>
    <s v="NEGOCIOS"/>
    <x v="1"/>
  </r>
  <r>
    <n v="91"/>
    <d v="2019-03-23T00:00:00"/>
    <x v="9"/>
    <x v="9"/>
    <x v="1"/>
    <s v="BANCA CORPORATIVA"/>
    <s v="VIATICOS 2"/>
    <s v="TRANSACCIONES DEL DIA 03/23/2019SPYRAL - GESTION ADMINISTRATIVA"/>
    <n v="14.95"/>
    <n v="0"/>
    <s v="NEGOCIOS"/>
    <x v="1"/>
  </r>
  <r>
    <n v="91"/>
    <d v="2019-03-27T00:00:00"/>
    <x v="9"/>
    <x v="9"/>
    <x v="1"/>
    <s v="BANCA CORPORATIVA"/>
    <s v="VIATICOS 2"/>
    <s v="TRANSACCIONES DEL DIA 03/27/2019SPYRAL - GESTION ADMINISTRATIVA"/>
    <n v="383.94"/>
    <n v="0"/>
    <s v="NEGOCIOS"/>
    <x v="1"/>
  </r>
  <r>
    <n v="91"/>
    <d v="2019-04-22T00:00:00"/>
    <x v="10"/>
    <x v="10"/>
    <x v="1"/>
    <s v="BANCA CORPORATIVA"/>
    <s v="VIATICOS 2"/>
    <s v="TRANSACCIONES DEL DIA 04/22/2019SPYRAL - GESTION ADMINISTRATIVA"/>
    <n v="7.28"/>
    <n v="0"/>
    <s v="NEGOCIOS"/>
    <x v="1"/>
  </r>
  <r>
    <n v="91"/>
    <d v="2019-05-03T00:00:00"/>
    <x v="11"/>
    <x v="11"/>
    <x v="1"/>
    <s v="BANCA CORPORATIVA"/>
    <s v="NC VIATICOS"/>
    <s v="TRANSACCIONES DEL DIA 05/03/2019SPYRAL - GESTION ADMINISTRATIVA"/>
    <n v="36.799999999999997"/>
    <n v="0"/>
    <s v="NEGOCIOS"/>
    <x v="1"/>
  </r>
  <r>
    <n v="91"/>
    <d v="2019-05-16T00:00:00"/>
    <x v="11"/>
    <x v="11"/>
    <x v="1"/>
    <s v="BANCA CORPORATIVA"/>
    <s v="NC VIATICOS"/>
    <s v="TRANSACCIONES DEL DIA 05/16/2019SPYRAL - GESTION ADMINISTRATIVA"/>
    <n v="0"/>
    <n v="23"/>
    <s v="NEGOCIOS"/>
    <x v="1"/>
  </r>
  <r>
    <n v="91"/>
    <d v="2019-05-17T00:00:00"/>
    <x v="11"/>
    <x v="11"/>
    <x v="1"/>
    <s v="BANCA CORPORATIVA"/>
    <s v="NC VIATICOS"/>
    <s v="TRANSACCIONES DEL DIA 05/17/2019SPYRAL - GESTION ADMINISTRATIVA"/>
    <n v="46"/>
    <n v="0"/>
    <s v="NEGOCIOS"/>
    <x v="1"/>
  </r>
  <r>
    <n v="91"/>
    <d v="2019-06-20T00:00:00"/>
    <x v="2"/>
    <x v="2"/>
    <x v="1"/>
    <s v="BANCA CORPORATIVA"/>
    <s v="NC VIATICOS"/>
    <s v="TRANSACCIONES DEL DIA 06/20/2019SPYRAL - GESTION ADMINISTRATIVA"/>
    <n v="4.5999999999999996"/>
    <n v="0"/>
    <s v="NEGOCIOS"/>
    <x v="1"/>
  </r>
  <r>
    <n v="91"/>
    <d v="2019-07-12T00:00:00"/>
    <x v="6"/>
    <x v="6"/>
    <x v="1"/>
    <s v="BANCA CORPORATIVA"/>
    <s v="NC VIATICOS"/>
    <s v="TRANSACCIONES DEL DIA 07/12/2019SPYRAL - GESTION ADMINISTRATIVA"/>
    <n v="6.9"/>
    <n v="0"/>
    <s v="NEGOCIOS"/>
    <x v="1"/>
  </r>
  <r>
    <n v="91"/>
    <d v="2019-07-18T00:00:00"/>
    <x v="6"/>
    <x v="6"/>
    <x v="1"/>
    <s v="BANCA CORPORATIVA"/>
    <s v="NC VIATICOS"/>
    <s v="TRANSACCIONES DEL DIA 07/18/2019SPYRAL - GESTION ADMINISTRATIVA"/>
    <n v="13.8"/>
    <n v="0"/>
    <s v="NEGOCIOS"/>
    <x v="1"/>
  </r>
  <r>
    <n v="91"/>
    <d v="2019-07-11T00:00:00"/>
    <x v="6"/>
    <x v="6"/>
    <x v="1"/>
    <s v="INTERINOS"/>
    <s v="NC VIATICOS"/>
    <s v="TRANSACCIONES DEL DIA 07/11/2019SPYRAL - GESTION ADMINISTRATIVA"/>
    <n v="93.15"/>
    <n v="0"/>
    <s v="NEGOCIOS"/>
    <x v="1"/>
  </r>
  <r>
    <n v="91"/>
    <d v="2019-06-04T00:00:00"/>
    <x v="2"/>
    <x v="2"/>
    <x v="1"/>
    <s v="CUENTAS CORPORATIVAS"/>
    <s v="VIATICOS 2"/>
    <s v="TRANSACCIONES DEL DIA 06/04/2019SPYRAL - GESTION ADMINISTRATIVA"/>
    <n v="180"/>
    <n v="0"/>
    <s v="NEGOCIOS"/>
    <x v="1"/>
  </r>
  <r>
    <n v="91"/>
    <d v="2019-06-20T00:00:00"/>
    <x v="2"/>
    <x v="2"/>
    <x v="1"/>
    <s v="CUENTAS CORPORATIVAS"/>
    <s v="NC VIATICOS"/>
    <s v="TRANSACCIONES DEL DIA 06/20/2019SPYRAL - GESTION ADMINISTRATIVA"/>
    <n v="4902.58"/>
    <n v="0"/>
    <s v="NEGOCIOS"/>
    <x v="1"/>
  </r>
  <r>
    <n v="91"/>
    <d v="2019-01-19T00:00:00"/>
    <x v="7"/>
    <x v="7"/>
    <x v="1"/>
    <s v="ZONA LIBRE"/>
    <s v="NC VIATICOS"/>
    <s v="TRANSACCIONES DEL DIA 01/19/2019SPYRAL - GESTION ADMINISTRATIVA"/>
    <n v="77.650000000000006"/>
    <n v="0"/>
    <s v="NEGOCIOS"/>
    <x v="1"/>
  </r>
  <r>
    <n v="91"/>
    <d v="2019-02-15T00:00:00"/>
    <x v="8"/>
    <x v="8"/>
    <x v="1"/>
    <s v="ZONA LIBRE"/>
    <s v="NC VIATICOS"/>
    <s v="TRANSACCIONES DEL DIA 02/15/2019SPYRAL - GESTION ADMINISTRATIVA"/>
    <n v="114.25"/>
    <n v="0"/>
    <s v="NEGOCIOS"/>
    <x v="1"/>
  </r>
  <r>
    <n v="91"/>
    <d v="2019-03-14T00:00:00"/>
    <x v="9"/>
    <x v="9"/>
    <x v="1"/>
    <s v="ZONA LIBRE"/>
    <s v="VIATICOS"/>
    <s v="TRANSACCIONES DEL DIA 03/14/2019SPYRAL - GESTION ADMINISTRATIVA"/>
    <n v="4.5999999999999996"/>
    <n v="0"/>
    <s v="NEGOCIOS"/>
    <x v="1"/>
  </r>
  <r>
    <n v="91"/>
    <d v="2019-03-22T00:00:00"/>
    <x v="9"/>
    <x v="9"/>
    <x v="1"/>
    <s v="ZONA LIBRE"/>
    <s v="NC VIATICOS"/>
    <s v="TRANSACCIONES DEL DIA 03/22/2019SPYRAL - GESTION ADMINISTRATIVA"/>
    <n v="102.8"/>
    <n v="0"/>
    <s v="NEGOCIOS"/>
    <x v="1"/>
  </r>
  <r>
    <n v="91"/>
    <d v="2019-04-26T00:00:00"/>
    <x v="10"/>
    <x v="10"/>
    <x v="1"/>
    <s v="ZONA LIBRE"/>
    <s v="NC VIATICOS"/>
    <s v="TRANSACCIONES DEL DIA 04/26/2019SPYRAL - GESTION ADMINISTRATIVA"/>
    <n v="121.75"/>
    <n v="0"/>
    <s v="NEGOCIOS"/>
    <x v="1"/>
  </r>
  <r>
    <n v="91"/>
    <d v="2019-05-16T00:00:00"/>
    <x v="11"/>
    <x v="11"/>
    <x v="1"/>
    <s v="ZONA LIBRE"/>
    <s v="NC VIATICOS"/>
    <s v="TRANSACCIONES DEL DIA 05/16/2019SPYRAL - GESTION ADMINISTRATIVA"/>
    <n v="0"/>
    <n v="92.1"/>
    <s v="NEGOCIOS"/>
    <x v="1"/>
  </r>
  <r>
    <n v="91"/>
    <d v="2019-05-17T00:00:00"/>
    <x v="11"/>
    <x v="11"/>
    <x v="1"/>
    <s v="ZONA LIBRE"/>
    <s v="NC VIATICOS"/>
    <s v="TRANSACCIONES DEL DIA 05/17/2019SPYRAL - GESTION ADMINISTRATIVA"/>
    <n v="184.2"/>
    <n v="0"/>
    <s v="NEGOCIOS"/>
    <x v="1"/>
  </r>
  <r>
    <n v="91"/>
    <d v="2019-06-20T00:00:00"/>
    <x v="2"/>
    <x v="2"/>
    <x v="1"/>
    <s v="ZONA LIBRE"/>
    <s v="NC VIATICOS"/>
    <s v="TRANSACCIONES DEL DIA 06/20/2019SPYRAL - GESTION ADMINISTRATIVA"/>
    <n v="150.44999999999999"/>
    <n v="0"/>
    <s v="NEGOCIOS"/>
    <x v="1"/>
  </r>
  <r>
    <n v="91"/>
    <d v="2019-06-27T00:00:00"/>
    <x v="2"/>
    <x v="2"/>
    <x v="1"/>
    <s v="ZONA LIBRE"/>
    <s v="VIATICOS 2"/>
    <s v="TRANSACCIONES DEL DIA 06/27/2019SPYRAL - GESTION ADMINISTRATIVA"/>
    <n v="32"/>
    <n v="0"/>
    <s v="NEGOCIOS"/>
    <x v="1"/>
  </r>
  <r>
    <n v="91"/>
    <d v="2019-07-12T00:00:00"/>
    <x v="6"/>
    <x v="6"/>
    <x v="1"/>
    <s v="ZONA LIBRE"/>
    <s v="NC VIATICOS"/>
    <s v="TRANSACCIONES DEL DIA 07/12/2019SPYRAL - GESTION ADMINISTRATIVA"/>
    <n v="86.05"/>
    <n v="0"/>
    <s v="NEGOCIOS"/>
    <x v="1"/>
  </r>
  <r>
    <n v="91"/>
    <d v="2019-01-11T00:00:00"/>
    <x v="7"/>
    <x v="7"/>
    <x v="1"/>
    <s v="HIPOTECAS"/>
    <s v="VIATICOS 2"/>
    <s v="TRANSACCIONES DEL DIA 01/11/2019SPYRAL - GESTION ADMINISTRATIVA"/>
    <n v="25"/>
    <n v="0"/>
    <s v="NEGOCIOS"/>
    <x v="1"/>
  </r>
  <r>
    <n v="91"/>
    <d v="2019-01-15T00:00:00"/>
    <x v="7"/>
    <x v="7"/>
    <x v="1"/>
    <s v="HIPOTECAS"/>
    <s v="VIATICOS"/>
    <s v="TRANSACCIONES DEL DIA 01/15/2019SPYRAL - GESTION ADMINISTRATIVA"/>
    <n v="24"/>
    <n v="0"/>
    <s v="NEGOCIOS"/>
    <x v="1"/>
  </r>
  <r>
    <n v="91"/>
    <d v="2019-01-18T00:00:00"/>
    <x v="7"/>
    <x v="7"/>
    <x v="1"/>
    <s v="HIPOTECAS"/>
    <s v="VIATICOS"/>
    <s v="TRANSACCIONES DEL DIA 01/18/2019SPYRAL - GESTION ADMINISTRATIVA"/>
    <n v="20"/>
    <n v="0"/>
    <s v="NEGOCIOS"/>
    <x v="1"/>
  </r>
  <r>
    <n v="91"/>
    <d v="2019-02-08T00:00:00"/>
    <x v="8"/>
    <x v="8"/>
    <x v="1"/>
    <s v="HIPOTECAS"/>
    <s v="VIATICOS"/>
    <s v="TRANSACCIONES DEL DIA 02/08/2019SPYRAL - GESTION ADMINISTRATIVA"/>
    <n v="10"/>
    <n v="0"/>
    <s v="NEGOCIOS"/>
    <x v="1"/>
  </r>
  <r>
    <n v="91"/>
    <d v="2019-02-14T00:00:00"/>
    <x v="8"/>
    <x v="8"/>
    <x v="1"/>
    <s v="HIPOTECAS"/>
    <s v="VIATICOS"/>
    <s v="TRANSACCIONES DEL DIA 02/14/2019SPYRAL - GESTION ADMINISTRATIVA"/>
    <n v="10"/>
    <n v="0"/>
    <s v="NEGOCIOS"/>
    <x v="1"/>
  </r>
  <r>
    <n v="91"/>
    <d v="2019-02-15T00:00:00"/>
    <x v="8"/>
    <x v="8"/>
    <x v="1"/>
    <s v="HIPOTECAS"/>
    <s v="VIATICOS"/>
    <s v="TRANSACCIONES DEL DIA 02/15/2019SPYRAL - GESTION ADMINISTRATIVA"/>
    <n v="73"/>
    <n v="0"/>
    <s v="NEGOCIOS"/>
    <x v="1"/>
  </r>
  <r>
    <n v="91"/>
    <d v="2019-02-19T00:00:00"/>
    <x v="8"/>
    <x v="8"/>
    <x v="1"/>
    <s v="HIPOTECAS"/>
    <s v="VIATICOS 2"/>
    <s v="TRANSACCIONES DEL DIA 02/19/2019SPYRAL - GESTION ADMINISTRATIVA"/>
    <n v="1539.2"/>
    <n v="0"/>
    <s v="NEGOCIOS"/>
    <x v="1"/>
  </r>
  <r>
    <n v="91"/>
    <d v="2019-02-19T00:00:00"/>
    <x v="8"/>
    <x v="8"/>
    <x v="1"/>
    <s v="HIPOTECAS"/>
    <s v="VIATICOS"/>
    <s v="TRANSACCIONES DEL DIA 02/19/2019SPYRAL - GESTION ADMINISTRATIVA"/>
    <n v="64"/>
    <n v="0"/>
    <s v="NEGOCIOS"/>
    <x v="1"/>
  </r>
  <r>
    <n v="91"/>
    <d v="2019-02-20T00:00:00"/>
    <x v="8"/>
    <x v="8"/>
    <x v="1"/>
    <s v="HIPOTECAS"/>
    <s v="VIATICOS 2"/>
    <s v="TRANSACCIONES DEL DIA 02/20/2019SPYRAL - GESTION ADMINISTRATIVA"/>
    <n v="353.6"/>
    <n v="0"/>
    <s v="NEGOCIOS"/>
    <x v="1"/>
  </r>
  <r>
    <n v="91"/>
    <d v="2019-02-20T00:00:00"/>
    <x v="8"/>
    <x v="8"/>
    <x v="1"/>
    <s v="HIPOTECAS"/>
    <s v="VIATICOS"/>
    <s v="TRANSACCIONES DEL DIA 02/20/2019SPYRAL - GESTION ADMINISTRATIVA"/>
    <n v="8"/>
    <n v="0"/>
    <s v="NEGOCIOS"/>
    <x v="1"/>
  </r>
  <r>
    <n v="91"/>
    <d v="2019-02-21T00:00:00"/>
    <x v="8"/>
    <x v="8"/>
    <x v="1"/>
    <s v="HIPOTECAS"/>
    <s v="NC VIATICOS"/>
    <s v="TRANSACCIONES DEL DIA 02/21/2019SPYRAL - GESTION ADMINISTRATIVA"/>
    <n v="0"/>
    <n v="2.4"/>
    <s v="NEGOCIOS"/>
    <x v="1"/>
  </r>
  <r>
    <n v="91"/>
    <d v="2019-02-22T00:00:00"/>
    <x v="8"/>
    <x v="8"/>
    <x v="1"/>
    <s v="HIPOTECAS"/>
    <s v="VIATICOS"/>
    <s v="TRANSACCIONES DEL DIA 02/22/2019SPYRAL - GESTION ADMINISTRATIVA"/>
    <n v="20.8"/>
    <n v="0"/>
    <s v="NEGOCIOS"/>
    <x v="1"/>
  </r>
  <r>
    <n v="91"/>
    <d v="2019-02-25T00:00:00"/>
    <x v="8"/>
    <x v="8"/>
    <x v="1"/>
    <s v="HIPOTECAS"/>
    <s v="VIATICOS"/>
    <s v="TRANSACCIONES DEL DIA 02/25/2019SPYRAL - GESTION ADMINISTRATIVA"/>
    <n v="74.400000000000006"/>
    <n v="0"/>
    <s v="NEGOCIOS"/>
    <x v="1"/>
  </r>
  <r>
    <n v="91"/>
    <d v="2019-03-08T00:00:00"/>
    <x v="9"/>
    <x v="9"/>
    <x v="1"/>
    <s v="HIPOTECAS"/>
    <s v="VIATICOS"/>
    <s v="TRANSACCIONES DEL DIA 03/08/2019SPYRAL - GESTION ADMINISTRATIVA"/>
    <n v="24"/>
    <n v="0"/>
    <s v="NEGOCIOS"/>
    <x v="1"/>
  </r>
  <r>
    <n v="91"/>
    <d v="2019-03-14T00:00:00"/>
    <x v="9"/>
    <x v="9"/>
    <x v="1"/>
    <s v="HIPOTECAS"/>
    <s v="VIATICOS 2"/>
    <s v="TRANSACCIONES DEL DIA 03/14/2019SPYRAL - GESTION ADMINISTRATIVA"/>
    <n v="35"/>
    <n v="0"/>
    <s v="NEGOCIOS"/>
    <x v="1"/>
  </r>
  <r>
    <n v="91"/>
    <d v="2019-03-15T00:00:00"/>
    <x v="9"/>
    <x v="9"/>
    <x v="1"/>
    <s v="HIPOTECAS"/>
    <s v="VIATICOS"/>
    <s v="TRANSACCIONES DEL DIA 03/15/2019SPYRAL - GESTION ADMINISTRATIVA"/>
    <n v="26"/>
    <n v="0"/>
    <s v="NEGOCIOS"/>
    <x v="1"/>
  </r>
  <r>
    <n v="91"/>
    <d v="2019-03-22T00:00:00"/>
    <x v="9"/>
    <x v="9"/>
    <x v="1"/>
    <s v="HIPOTECAS"/>
    <s v="VIATICOS"/>
    <s v="TRANSACCIONES DEL DIA 03/22/2019SPYRAL - GESTION ADMINISTRATIVA"/>
    <n v="30"/>
    <n v="0"/>
    <s v="NEGOCIOS"/>
    <x v="1"/>
  </r>
  <r>
    <n v="91"/>
    <d v="2019-04-05T00:00:00"/>
    <x v="10"/>
    <x v="10"/>
    <x v="1"/>
    <s v="HIPOTECAS"/>
    <s v="VIATICOS 2"/>
    <s v="TRANSACCIONES DEL DIA 04/05/2019SPYRAL - GESTION ADMINISTRATIVA"/>
    <n v="25"/>
    <n v="0"/>
    <s v="NEGOCIOS"/>
    <x v="1"/>
  </r>
  <r>
    <n v="91"/>
    <d v="2019-04-17T00:00:00"/>
    <x v="10"/>
    <x v="10"/>
    <x v="1"/>
    <s v="HIPOTECAS"/>
    <s v="VIATICOS 2"/>
    <s v="TRANSACCIONES DEL DIA 04/17/2019SPYRAL - GESTION ADMINISTRATIVA"/>
    <n v="1451.8"/>
    <n v="0"/>
    <s v="NEGOCIOS"/>
    <x v="1"/>
  </r>
  <r>
    <n v="91"/>
    <d v="2019-04-24T00:00:00"/>
    <x v="10"/>
    <x v="10"/>
    <x v="1"/>
    <s v="HIPOTECAS"/>
    <s v="VIATICOS 2"/>
    <s v="TRANSACCIONES DEL DIA 04/24/2019SPYRAL - GESTION ADMINISTRATIVA"/>
    <n v="56"/>
    <n v="0"/>
    <s v="NEGOCIOS"/>
    <x v="1"/>
  </r>
  <r>
    <n v="91"/>
    <d v="2019-05-14T00:00:00"/>
    <x v="11"/>
    <x v="11"/>
    <x v="1"/>
    <s v="HIPOTECAS"/>
    <s v="VIATICOS 2"/>
    <s v="TRANSACCIONES DEL DIA 05/14/2019SPYRAL - GESTION ADMINISTRATIVA"/>
    <n v="25"/>
    <n v="0"/>
    <s v="NEGOCIOS"/>
    <x v="1"/>
  </r>
  <r>
    <n v="91"/>
    <d v="2019-05-17T00:00:00"/>
    <x v="11"/>
    <x v="11"/>
    <x v="1"/>
    <s v="HIPOTECAS"/>
    <s v="VIATICOS 2"/>
    <s v="TRANSACCIONES DEL DIA 05/17/2019SPYRAL - GESTION ADMINISTRATIVA"/>
    <n v="63.2"/>
    <n v="0"/>
    <s v="NEGOCIOS"/>
    <x v="1"/>
  </r>
  <r>
    <n v="91"/>
    <d v="2019-05-20T00:00:00"/>
    <x v="11"/>
    <x v="11"/>
    <x v="1"/>
    <s v="HIPOTECAS"/>
    <s v="NC VIATICOS"/>
    <s v="TRANSACCIONES DEL DIA 05/20/2019SPYRAL - GESTION ADMINISTRATIVA"/>
    <n v="0"/>
    <n v="9.1999999999999993"/>
    <s v="NEGOCIOS"/>
    <x v="1"/>
  </r>
  <r>
    <n v="91"/>
    <d v="2019-05-24T00:00:00"/>
    <x v="11"/>
    <x v="11"/>
    <x v="1"/>
    <s v="HIPOTECAS"/>
    <s v="VIATICOS 2"/>
    <s v="TRANSACCIONES DEL DIA 05/24/2019SPYRAL - GESTION ADMINISTRATIVA"/>
    <n v="10"/>
    <n v="0"/>
    <s v="NEGOCIOS"/>
    <x v="1"/>
  </r>
  <r>
    <n v="91"/>
    <d v="2019-05-25T00:00:00"/>
    <x v="11"/>
    <x v="11"/>
    <x v="1"/>
    <s v="HIPOTECAS"/>
    <s v="VIATICOS 2"/>
    <s v="TRANSACCIONES DEL DIA 05/25/2019SPYRAL - GESTION ADMINISTRATIVA"/>
    <n v="10"/>
    <n v="0"/>
    <s v="NEGOCIOS"/>
    <x v="1"/>
  </r>
  <r>
    <n v="91"/>
    <d v="2019-05-27T00:00:00"/>
    <x v="11"/>
    <x v="11"/>
    <x v="1"/>
    <s v="HIPOTECAS"/>
    <s v="VIATICOS 2"/>
    <s v="TRANSACCIONES DEL DIA 05/27/2019SPYRAL - GESTION ADMINISTRATIVA"/>
    <n v="24"/>
    <n v="0"/>
    <s v="NEGOCIOS"/>
    <x v="1"/>
  </r>
  <r>
    <n v="91"/>
    <d v="2019-05-30T00:00:00"/>
    <x v="11"/>
    <x v="11"/>
    <x v="1"/>
    <s v="HIPOTECAS"/>
    <s v="VIATICOS"/>
    <s v="TRANSACCIONES DEL DIA 05/30/2019SPYRAL - GESTION ADMINISTRATIVA"/>
    <n v="20"/>
    <n v="0"/>
    <s v="NEGOCIOS"/>
    <x v="1"/>
  </r>
  <r>
    <n v="91"/>
    <d v="2019-06-07T00:00:00"/>
    <x v="2"/>
    <x v="2"/>
    <x v="1"/>
    <s v="HIPOTECAS"/>
    <s v="VIATICOS 2"/>
    <s v="TRANSACCIONES DEL DIA 06/07/2019SPYRAL - GESTION ADMINISTRATIVA"/>
    <n v="24"/>
    <n v="0"/>
    <s v="NEGOCIOS"/>
    <x v="1"/>
  </r>
  <r>
    <n v="91"/>
    <d v="2019-06-08T00:00:00"/>
    <x v="2"/>
    <x v="2"/>
    <x v="1"/>
    <s v="HIPOTECAS"/>
    <s v="VIATICOS 2"/>
    <s v="TRANSACCIONES DEL DIA 06/08/2019SPYRAL - GESTION ADMINISTRATIVA"/>
    <n v="20"/>
    <n v="0"/>
    <s v="NEGOCIOS"/>
    <x v="1"/>
  </r>
  <r>
    <n v="91"/>
    <d v="2019-06-13T00:00:00"/>
    <x v="2"/>
    <x v="2"/>
    <x v="1"/>
    <s v="HIPOTECAS"/>
    <s v="VIATICOS 2"/>
    <s v="TRANSACCIONES DEL DIA 06/13/2019SPYRAL - GESTION ADMINISTRATIVA"/>
    <n v="22.17"/>
    <n v="0"/>
    <s v="NEGOCIOS"/>
    <x v="1"/>
  </r>
  <r>
    <n v="91"/>
    <d v="2019-06-21T00:00:00"/>
    <x v="2"/>
    <x v="2"/>
    <x v="1"/>
    <s v="HIPOTECAS"/>
    <s v="VIATICOS 2"/>
    <s v="TRANSACCIONES DEL DIA 06/21/2019SPYRAL - GESTION ADMINISTRATIVA"/>
    <n v="25"/>
    <n v="0"/>
    <s v="NEGOCIOS"/>
    <x v="1"/>
  </r>
  <r>
    <n v="91"/>
    <d v="2019-06-25T00:00:00"/>
    <x v="2"/>
    <x v="2"/>
    <x v="1"/>
    <s v="HIPOTECAS"/>
    <s v="VIATICOS 2"/>
    <s v="TRANSACCIONES DEL DIA 06/25/2019SPYRAL - GESTION ADMINISTRATIVA"/>
    <n v="205.8"/>
    <n v="0"/>
    <s v="NEGOCIOS"/>
    <x v="1"/>
  </r>
  <r>
    <n v="91"/>
    <d v="2019-06-27T00:00:00"/>
    <x v="2"/>
    <x v="2"/>
    <x v="1"/>
    <s v="HIPOTECAS"/>
    <s v="VIATICOS 2"/>
    <s v="TRANSACCIONES DEL DIA 06/27/2019SPYRAL - GESTION ADMINISTRATIVA"/>
    <n v="25"/>
    <n v="0"/>
    <s v="NEGOCIOS"/>
    <x v="1"/>
  </r>
  <r>
    <n v="91"/>
    <d v="2019-07-05T00:00:00"/>
    <x v="6"/>
    <x v="6"/>
    <x v="1"/>
    <s v="HIPOTECAS"/>
    <s v="VIATICOS 2"/>
    <s v="TRANSACCIONES DEL DIA 07/05/2019SPYRAL - GESTION ADMINISTRATIVA"/>
    <n v="10"/>
    <n v="0"/>
    <s v="NEGOCIOS"/>
    <x v="1"/>
  </r>
  <r>
    <n v="91"/>
    <d v="2019-07-08T00:00:00"/>
    <x v="6"/>
    <x v="6"/>
    <x v="1"/>
    <s v="HIPOTECAS"/>
    <s v="VIATICOS 2"/>
    <s v="TRANSACCIONES DEL DIA 07/08/2019SPYRAL - GESTION ADMINISTRATIVA"/>
    <n v="20"/>
    <n v="0"/>
    <s v="NEGOCIOS"/>
    <x v="1"/>
  </r>
  <r>
    <n v="91"/>
    <d v="2019-07-12T00:00:00"/>
    <x v="6"/>
    <x v="6"/>
    <x v="1"/>
    <s v="HIPOTECAS"/>
    <s v="VIATICOS 2"/>
    <s v="TRANSACCIONES DEL DIA 07/12/2019SPYRAL - GESTION ADMINISTRATIVA"/>
    <n v="25"/>
    <n v="0"/>
    <s v="NEGOCIOS"/>
    <x v="1"/>
  </r>
  <r>
    <n v="91"/>
    <d v="2019-07-30T00:00:00"/>
    <x v="6"/>
    <x v="6"/>
    <x v="1"/>
    <s v="HIPOTECAS"/>
    <s v="VIATICOS 2"/>
    <s v="TRANSACCIONES DEL DIA 07/30/2019SPYRAL - GESTION ADMINISTRATIVA"/>
    <n v="50"/>
    <n v="0"/>
    <s v="NEGOCIOS"/>
    <x v="1"/>
  </r>
  <r>
    <n v="91"/>
    <d v="2019-02-01T00:00:00"/>
    <x v="8"/>
    <x v="8"/>
    <x v="1"/>
    <s v="CANALES EXTERNOS HIP"/>
    <s v="VIATICOS"/>
    <s v="TRANSACCIONES DEL DIA 02/01/2019SPYRAL - GESTION ADMINISTRATIVA"/>
    <n v="5"/>
    <n v="0"/>
    <s v="NEGOCIOS"/>
    <x v="1"/>
  </r>
  <r>
    <n v="91"/>
    <d v="2019-01-04T00:00:00"/>
    <x v="7"/>
    <x v="7"/>
    <x v="1"/>
    <s v="GESTION HIPOTECARIA"/>
    <s v="VIATICOS"/>
    <s v="TRANSACCIONES DEL DIA 01/04/2019SPYRAL - GESTION ADMINISTRATIVA"/>
    <n v="24"/>
    <n v="0"/>
    <s v="NEGOCIOS"/>
    <x v="1"/>
  </r>
  <r>
    <n v="91"/>
    <d v="2019-01-18T00:00:00"/>
    <x v="7"/>
    <x v="7"/>
    <x v="1"/>
    <s v="GESTION HIPOTECARIA"/>
    <s v="VIATICOS"/>
    <s v="TRANSACCIONES DEL DIA 01/18/2019SPYRAL - GESTION ADMINISTRATIVA"/>
    <n v="12"/>
    <n v="0"/>
    <s v="NEGOCIOS"/>
    <x v="1"/>
  </r>
  <r>
    <n v="91"/>
    <d v="2019-02-08T00:00:00"/>
    <x v="8"/>
    <x v="8"/>
    <x v="1"/>
    <s v="GESTION HIPOTECARIA"/>
    <s v="VIATICOS"/>
    <s v="TRANSACCIONES DEL DIA 02/08/2019SPYRAL - GESTION ADMINISTRATIVA"/>
    <n v="8"/>
    <n v="0"/>
    <s v="NEGOCIOS"/>
    <x v="1"/>
  </r>
  <r>
    <n v="91"/>
    <d v="2019-02-12T00:00:00"/>
    <x v="8"/>
    <x v="8"/>
    <x v="1"/>
    <s v="GESTION HIPOTECARIA"/>
    <s v="VIATICOS"/>
    <s v="TRANSACCIONES DEL DIA 02/12/2019SPYRAL - GESTION ADMINISTRATIVA"/>
    <n v="24"/>
    <n v="0"/>
    <s v="NEGOCIOS"/>
    <x v="1"/>
  </r>
  <r>
    <n v="91"/>
    <d v="2019-02-20T00:00:00"/>
    <x v="8"/>
    <x v="8"/>
    <x v="1"/>
    <s v="GESTION HIPOTECARIA"/>
    <s v="VIATICOS"/>
    <s v="TRANSACCIONES DEL DIA 02/20/2019SPYRAL - GESTION ADMINISTRATIVA"/>
    <n v="4.8"/>
    <n v="0"/>
    <s v="NEGOCIOS"/>
    <x v="1"/>
  </r>
  <r>
    <n v="91"/>
    <d v="2019-03-28T00:00:00"/>
    <x v="9"/>
    <x v="9"/>
    <x v="1"/>
    <s v="GESTION HIPOTECARIA"/>
    <s v="VIATICOS 2"/>
    <s v="TRANSACCIONES DEL DIA 03/28/2019SPYRAL - GESTION ADMINISTRATIVA"/>
    <n v="11"/>
    <n v="0"/>
    <s v="NEGOCIOS"/>
    <x v="1"/>
  </r>
  <r>
    <n v="91"/>
    <d v="2019-04-12T00:00:00"/>
    <x v="10"/>
    <x v="10"/>
    <x v="1"/>
    <s v="GESTION HIPOTECARIA"/>
    <s v="VIATICOS 2"/>
    <s v="TRANSACCIONES DEL DIA 04/12/2019SPYRAL - GESTION ADMINISTRATIVA"/>
    <n v="9.6"/>
    <n v="0"/>
    <s v="NEGOCIOS"/>
    <x v="1"/>
  </r>
  <r>
    <n v="91"/>
    <d v="2019-05-09T00:00:00"/>
    <x v="11"/>
    <x v="11"/>
    <x v="1"/>
    <s v="GESTION HIPOTECARIA"/>
    <s v="NC VIATICOS"/>
    <s v="TRANSACCIONES DEL DIA 05/09/2019SPYRAL - GESTION ADMINISTRATIVA"/>
    <n v="28.95"/>
    <n v="0"/>
    <s v="NEGOCIOS"/>
    <x v="1"/>
  </r>
  <r>
    <n v="91"/>
    <d v="2019-05-17T00:00:00"/>
    <x v="11"/>
    <x v="11"/>
    <x v="1"/>
    <s v="GESTION HIPOTECARIA"/>
    <s v="VIATICOS 2"/>
    <s v="TRANSACCIONES DEL DIA 05/17/2019SPYRAL - GESTION ADMINISTRATIVA"/>
    <n v="24"/>
    <n v="0"/>
    <s v="NEGOCIOS"/>
    <x v="1"/>
  </r>
  <r>
    <n v="91"/>
    <d v="2019-05-24T00:00:00"/>
    <x v="11"/>
    <x v="11"/>
    <x v="1"/>
    <s v="GESTION HIPOTECARIA"/>
    <s v="VIATICOS 2"/>
    <s v="TRANSACCIONES DEL DIA 05/24/2019SPYRAL - GESTION ADMINISTRATIVA"/>
    <n v="796.6"/>
    <n v="0"/>
    <s v="NEGOCIOS"/>
    <x v="1"/>
  </r>
  <r>
    <n v="91"/>
    <d v="2019-06-07T00:00:00"/>
    <x v="2"/>
    <x v="2"/>
    <x v="1"/>
    <s v="GESTION HIPOTECARIA"/>
    <s v="VIATICOS 2"/>
    <s v="TRANSACCIONES DEL DIA 06/07/2019SPYRAL - GESTION ADMINISTRATIVA"/>
    <n v="9.43"/>
    <n v="0"/>
    <s v="NEGOCIOS"/>
    <x v="1"/>
  </r>
  <r>
    <n v="91"/>
    <d v="2019-06-21T00:00:00"/>
    <x v="2"/>
    <x v="2"/>
    <x v="1"/>
    <s v="GESTION HIPOTECARIA"/>
    <s v="VIATICOS 2"/>
    <s v="TRANSACCIONES DEL DIA 06/21/2019SPYRAL - GESTION ADMINISTRATIVA"/>
    <n v="412.62"/>
    <n v="0"/>
    <s v="NEGOCIOS"/>
    <x v="1"/>
  </r>
  <r>
    <n v="91"/>
    <d v="2019-07-11T00:00:00"/>
    <x v="6"/>
    <x v="6"/>
    <x v="1"/>
    <s v="GESTION HIPOTECARIA"/>
    <s v="NC VIATICOS"/>
    <s v="TRANSACCIONES DEL DIA 07/11/2019SPYRAL - GESTION ADMINISTRATIVA"/>
    <n v="10"/>
    <n v="0"/>
    <s v="NEGOCIOS"/>
    <x v="1"/>
  </r>
  <r>
    <n v="91"/>
    <d v="2019-07-12T00:00:00"/>
    <x v="6"/>
    <x v="6"/>
    <x v="1"/>
    <s v="GESTION HIPOTECARIA"/>
    <s v="NC VIATICOS"/>
    <s v="TRANSACCIONES DEL DIA 07/12/2019SPYRAL - GESTION ADMINISTRATIVA"/>
    <n v="20.67"/>
    <n v="0"/>
    <s v="NEGOCIOS"/>
    <x v="1"/>
  </r>
  <r>
    <n v="91"/>
    <d v="2019-01-02T00:00:00"/>
    <x v="7"/>
    <x v="7"/>
    <x v="1"/>
    <s v="BANCA DE CONSUMO"/>
    <s v="VIATICOS"/>
    <s v="TRANSACCIONES DEL DIA 01/02/2019SPYRAL - GESTION ADMINISTRATIVA"/>
    <n v="190"/>
    <n v="0"/>
    <s v="NEGOCIOS"/>
    <x v="1"/>
  </r>
  <r>
    <n v="91"/>
    <d v="2019-01-08T00:00:00"/>
    <x v="7"/>
    <x v="7"/>
    <x v="1"/>
    <s v="BANCA DE CONSUMO"/>
    <s v="VIATICOS"/>
    <s v="TRANSACCIONES DEL DIA 01/08/2019SPYRAL - GESTION ADMINISTRATIVA"/>
    <n v="220"/>
    <n v="0"/>
    <s v="NEGOCIOS"/>
    <x v="1"/>
  </r>
  <r>
    <n v="91"/>
    <d v="2019-02-04T00:00:00"/>
    <x v="8"/>
    <x v="8"/>
    <x v="1"/>
    <s v="BANCA DE CONSUMO"/>
    <s v="VIATICOS 2"/>
    <s v="TRANSACCIONES DEL DIA 02/04/2019SPYRAL - GESTION ADMINISTRATIVA"/>
    <n v="303.89999999999998"/>
    <n v="0"/>
    <s v="NEGOCIOS"/>
    <x v="1"/>
  </r>
  <r>
    <n v="91"/>
    <d v="2019-03-09T00:00:00"/>
    <x v="9"/>
    <x v="9"/>
    <x v="1"/>
    <s v="BANCA DE CONSUMO"/>
    <s v="NC VIATICOS"/>
    <s v="TRANSACCIONES DEL DIA 03/09/2019SPYRAL - GESTION ADMINISTRATIVA"/>
    <n v="796.5"/>
    <n v="0"/>
    <s v="NEGOCIOS"/>
    <x v="1"/>
  </r>
  <r>
    <n v="91"/>
    <d v="2019-03-12T00:00:00"/>
    <x v="9"/>
    <x v="9"/>
    <x v="1"/>
    <s v="BANCA DE CONSUMO"/>
    <s v="VIATICOS"/>
    <s v="TRANSACCIONES DEL DIA 03/12/2019SPYRAL - GESTION ADMINISTRATIVA"/>
    <n v="382.02"/>
    <n v="0"/>
    <s v="NEGOCIOS"/>
    <x v="1"/>
  </r>
  <r>
    <n v="91"/>
    <d v="2019-03-20T00:00:00"/>
    <x v="9"/>
    <x v="9"/>
    <x v="1"/>
    <s v="BANCA DE CONSUMO"/>
    <s v="VIATICOS 2"/>
    <s v="TRANSACCIONES DEL DIA 03/20/2019SPYRAL - GESTION ADMINISTRATIVA"/>
    <n v="120.6"/>
    <n v="0"/>
    <s v="NEGOCIOS"/>
    <x v="1"/>
  </r>
  <r>
    <n v="91"/>
    <d v="2019-03-26T00:00:00"/>
    <x v="9"/>
    <x v="9"/>
    <x v="1"/>
    <s v="BANCA DE CONSUMO"/>
    <s v="VIATICOS 2"/>
    <s v="TRANSACCIONES DEL DIA 03/26/2019SPYRAL - GESTION ADMINISTRATIVA"/>
    <n v="675.9"/>
    <n v="0"/>
    <s v="NEGOCIOS"/>
    <x v="1"/>
  </r>
  <r>
    <n v="91"/>
    <d v="2019-03-27T00:00:00"/>
    <x v="9"/>
    <x v="9"/>
    <x v="1"/>
    <s v="BANCA DE CONSUMO"/>
    <s v="VIATICOS"/>
    <s v="TRANSACCIONES DEL DIA 03/27/2019SPYRAL - GESTION ADMINISTRATIVA"/>
    <n v="140.46"/>
    <n v="0"/>
    <s v="NEGOCIOS"/>
    <x v="1"/>
  </r>
  <r>
    <n v="91"/>
    <d v="2019-04-22T00:00:00"/>
    <x v="10"/>
    <x v="10"/>
    <x v="1"/>
    <s v="BANCA DE CONSUMO"/>
    <s v="VIATICOS 2"/>
    <s v="TRANSACCIONES DEL DIA 04/22/2019SPYRAL - GESTION ADMINISTRATIVA"/>
    <n v="40.4"/>
    <n v="0"/>
    <s v="NEGOCIOS"/>
    <x v="1"/>
  </r>
  <r>
    <n v="91"/>
    <d v="2019-04-24T00:00:00"/>
    <x v="10"/>
    <x v="10"/>
    <x v="1"/>
    <s v="BANCA DE CONSUMO"/>
    <s v="VIATICOS"/>
    <s v="TRANSACCIONES DEL DIA 04/24/2019SPYRAL - GESTION ADMINISTRATIVA"/>
    <n v="139.03"/>
    <n v="0"/>
    <s v="NEGOCIOS"/>
    <x v="1"/>
  </r>
  <r>
    <n v="91"/>
    <d v="2019-06-10T00:00:00"/>
    <x v="2"/>
    <x v="2"/>
    <x v="1"/>
    <s v="BANCA DE CONSUMO"/>
    <s v="NC VIATICOS"/>
    <s v="TRANSACCIONES DEL DIA 06/10/2019SPYRAL - GESTION ADMINISTRATIVA"/>
    <n v="2549.17"/>
    <n v="0"/>
    <s v="NEGOCIOS"/>
    <x v="1"/>
  </r>
  <r>
    <n v="91"/>
    <d v="2019-06-11T00:00:00"/>
    <x v="2"/>
    <x v="2"/>
    <x v="1"/>
    <s v="BANCA DE CONSUMO"/>
    <s v="VIATICOS 2"/>
    <s v="TRANSACCIONES DEL DIA 06/11/2019SPYRAL - GESTION ADMINISTRATIVA"/>
    <n v="382.02"/>
    <n v="0"/>
    <s v="NEGOCIOS"/>
    <x v="1"/>
  </r>
  <r>
    <n v="91"/>
    <d v="2019-06-26T00:00:00"/>
    <x v="2"/>
    <x v="2"/>
    <x v="1"/>
    <s v="BANCA DE CONSUMO"/>
    <s v="VIATICOS 2"/>
    <s v="TRANSACCIONES DEL DIA 06/26/2019SPYRAL - GESTION ADMINISTRATIVA"/>
    <n v="2322.9"/>
    <n v="0"/>
    <s v="NEGOCIOS"/>
    <x v="1"/>
  </r>
  <r>
    <n v="91"/>
    <d v="2019-06-27T00:00:00"/>
    <x v="2"/>
    <x v="2"/>
    <x v="1"/>
    <s v="BANCA DE CONSUMO"/>
    <s v="VIATICOS 2"/>
    <s v="TRANSACCIONES DEL DIA 06/27/2019SPYRAL - GESTION ADMINISTRATIVA"/>
    <n v="719.83"/>
    <n v="0"/>
    <s v="NEGOCIOS"/>
    <x v="1"/>
  </r>
  <r>
    <n v="91"/>
    <d v="2019-06-28T00:00:00"/>
    <x v="2"/>
    <x v="2"/>
    <x v="1"/>
    <s v="BANCA DE CONSUMO"/>
    <s v="NC VIATICOS"/>
    <s v="TRANSACCIONES DEL DIA 06/28/2019SPYRAL - GESTION ADMINISTRATIVA"/>
    <n v="0"/>
    <n v="382.02"/>
    <s v="NEGOCIOS"/>
    <x v="1"/>
  </r>
  <r>
    <n v="91"/>
    <d v="2019-07-03T00:00:00"/>
    <x v="6"/>
    <x v="6"/>
    <x v="1"/>
    <s v="BANCA DE CONSUMO"/>
    <s v="NC VIATICOS"/>
    <s v="TRANSACCIONES DEL DIA 07/03/2019SPYRAL - GESTION ADMINISTRATIVA"/>
    <n v="1578.84"/>
    <n v="0"/>
    <s v="NEGOCIOS"/>
    <x v="1"/>
  </r>
  <r>
    <n v="91"/>
    <d v="2019-01-03T00:00:00"/>
    <x v="7"/>
    <x v="7"/>
    <x v="1"/>
    <s v="CANALES DE DISTRIBUCION"/>
    <s v="VIATICOS 2"/>
    <s v="TRANSACCIONES DEL DIA 01/03/2019SPYRAL - GESTION ADMINISTRATIVA"/>
    <n v="150"/>
    <n v="0"/>
    <s v="NEGOCIOS"/>
    <x v="1"/>
  </r>
  <r>
    <n v="91"/>
    <d v="2019-01-11T00:00:00"/>
    <x v="7"/>
    <x v="7"/>
    <x v="1"/>
    <s v="CANALES DE DISTRIBUCION"/>
    <s v="VIATICOS"/>
    <s v="TRANSACCIONES DEL DIA 01/11/2019SPYRAL - GESTION ADMINISTRATIVA"/>
    <n v="29.4"/>
    <n v="0"/>
    <s v="NEGOCIOS"/>
    <x v="1"/>
  </r>
  <r>
    <n v="91"/>
    <d v="2019-01-17T00:00:00"/>
    <x v="7"/>
    <x v="7"/>
    <x v="1"/>
    <s v="CANALES DE DISTRIBUCION"/>
    <s v="VIATICOS"/>
    <s v="TRANSACCIONES DEL DIA 01/17/2019SPYRAL - GESTION ADMINISTRATIVA"/>
    <n v="16"/>
    <n v="0"/>
    <s v="NEGOCIOS"/>
    <x v="1"/>
  </r>
  <r>
    <n v="91"/>
    <d v="2019-01-22T00:00:00"/>
    <x v="7"/>
    <x v="7"/>
    <x v="1"/>
    <s v="CANALES DE DISTRIBUCION"/>
    <s v="VIATICOS"/>
    <s v="TRANSACCIONES DEL DIA 01/22/2019SPYRAL - GESTION ADMINISTRATIVA"/>
    <n v="85"/>
    <n v="0"/>
    <s v="NEGOCIOS"/>
    <x v="1"/>
  </r>
  <r>
    <n v="91"/>
    <d v="2019-02-04T00:00:00"/>
    <x v="8"/>
    <x v="8"/>
    <x v="1"/>
    <s v="CANALES DE DISTRIBUCION"/>
    <s v="VIATICOS 2"/>
    <s v="TRANSACCIONES DEL DIA 02/04/2019SPYRAL - GESTION ADMINISTRATIVA"/>
    <n v="150"/>
    <n v="0"/>
    <s v="NEGOCIOS"/>
    <x v="1"/>
  </r>
  <r>
    <n v="91"/>
    <d v="2019-02-11T00:00:00"/>
    <x v="8"/>
    <x v="8"/>
    <x v="1"/>
    <s v="CANALES DE DISTRIBUCION"/>
    <s v="VIATICOS 2"/>
    <s v="TRANSACCIONES DEL DIA 02/11/2019SPYRAL - GESTION ADMINISTRATIVA"/>
    <n v="1050.5999999999999"/>
    <n v="0"/>
    <s v="NEGOCIOS"/>
    <x v="1"/>
  </r>
  <r>
    <n v="91"/>
    <d v="2019-02-19T00:00:00"/>
    <x v="8"/>
    <x v="8"/>
    <x v="1"/>
    <s v="CANALES DE DISTRIBUCION"/>
    <s v="NC VIATICOS"/>
    <s v="TRANSACCIONES DEL DIA 02/19/2019SPYRAL - GESTION ADMINISTRATIVA"/>
    <n v="39.9"/>
    <n v="0"/>
    <s v="NEGOCIOS"/>
    <x v="1"/>
  </r>
  <r>
    <n v="91"/>
    <d v="2019-02-20T00:00:00"/>
    <x v="8"/>
    <x v="8"/>
    <x v="1"/>
    <s v="CANALES DE DISTRIBUCION"/>
    <s v="VIATICOS"/>
    <s v="TRANSACCIONES DEL DIA 02/20/2019SPYRAL - GESTION ADMINISTRATIVA"/>
    <n v="21"/>
    <n v="0"/>
    <s v="NEGOCIOS"/>
    <x v="1"/>
  </r>
  <r>
    <n v="91"/>
    <d v="2019-02-22T00:00:00"/>
    <x v="8"/>
    <x v="8"/>
    <x v="1"/>
    <s v="CANALES DE DISTRIBUCION"/>
    <s v="VIATICOS 2"/>
    <s v="TRANSACCIONES DEL DIA 02/22/2019SPYRAL - GESTION ADMINISTRATIVA"/>
    <n v="1026.1199999999999"/>
    <n v="0"/>
    <s v="NEGOCIOS"/>
    <x v="1"/>
  </r>
  <r>
    <n v="91"/>
    <d v="2019-02-26T00:00:00"/>
    <x v="8"/>
    <x v="8"/>
    <x v="1"/>
    <s v="CANALES DE DISTRIBUCION"/>
    <s v="VIATICOS"/>
    <s v="TRANSACCIONES DEL DIA 02/26/2019SPYRAL - GESTION ADMINISTRATIVA"/>
    <n v="366.01"/>
    <n v="0"/>
    <s v="NEGOCIOS"/>
    <x v="1"/>
  </r>
  <r>
    <n v="91"/>
    <d v="2019-02-26T00:00:00"/>
    <x v="8"/>
    <x v="8"/>
    <x v="1"/>
    <s v="CANALES DE DISTRIBUCION"/>
    <s v="NC VIATICOS"/>
    <s v="TRANSACCIONES DEL DIA 02/26/2019SPYRAL - GESTION ADMINISTRATIVA"/>
    <n v="56.9"/>
    <n v="0"/>
    <s v="NEGOCIOS"/>
    <x v="1"/>
  </r>
  <r>
    <n v="91"/>
    <d v="2019-03-01T00:00:00"/>
    <x v="9"/>
    <x v="9"/>
    <x v="1"/>
    <s v="CANALES DE DISTRIBUCION"/>
    <s v="VIATICOS 2"/>
    <s v="TRANSACCIONES DEL DIA 03/01/2019SPYRAL - GESTION ADMINISTRATIVA"/>
    <n v="150"/>
    <n v="0"/>
    <s v="NEGOCIOS"/>
    <x v="1"/>
  </r>
  <r>
    <n v="91"/>
    <d v="2019-03-07T00:00:00"/>
    <x v="9"/>
    <x v="9"/>
    <x v="1"/>
    <s v="CANALES DE DISTRIBUCION"/>
    <s v="VIATICOS"/>
    <s v="TRANSACCIONES DEL DIA 03/07/2019SPYRAL - GESTION ADMINISTRATIVA"/>
    <n v="195.57"/>
    <n v="0"/>
    <s v="NEGOCIOS"/>
    <x v="1"/>
  </r>
  <r>
    <n v="91"/>
    <d v="2019-03-15T00:00:00"/>
    <x v="9"/>
    <x v="9"/>
    <x v="1"/>
    <s v="CANALES DE DISTRIBUCION"/>
    <s v="VIATICOS"/>
    <s v="TRANSACCIONES DEL DIA 03/15/2019SPYRAL - GESTION ADMINISTRATIVA"/>
    <n v="132"/>
    <n v="0"/>
    <s v="NEGOCIOS"/>
    <x v="1"/>
  </r>
  <r>
    <n v="91"/>
    <d v="2019-03-16T00:00:00"/>
    <x v="9"/>
    <x v="9"/>
    <x v="1"/>
    <s v="CANALES DE DISTRIBUCION"/>
    <s v="VIATICOS"/>
    <s v="TRANSACCIONES DEL DIA 03/16/2019SPYRAL - GESTION ADMINISTRATIVA"/>
    <n v="136"/>
    <n v="0"/>
    <s v="NEGOCIOS"/>
    <x v="1"/>
  </r>
  <r>
    <n v="91"/>
    <d v="2019-03-20T00:00:00"/>
    <x v="9"/>
    <x v="9"/>
    <x v="1"/>
    <s v="CANALES DE DISTRIBUCION"/>
    <s v="VIATICOS 2"/>
    <s v="TRANSACCIONES DEL DIA 03/20/2019SPYRAL - GESTION ADMINISTRATIVA"/>
    <n v="293.3"/>
    <n v="0"/>
    <s v="NEGOCIOS"/>
    <x v="1"/>
  </r>
  <r>
    <n v="91"/>
    <d v="2019-03-26T00:00:00"/>
    <x v="9"/>
    <x v="9"/>
    <x v="1"/>
    <s v="CANALES DE DISTRIBUCION"/>
    <s v="VIATICOS 2"/>
    <s v="TRANSACCIONES DEL DIA 03/26/2019SPYRAL - GESTION ADMINISTRATIVA"/>
    <n v="90.01"/>
    <n v="0"/>
    <s v="NEGOCIOS"/>
    <x v="1"/>
  </r>
  <r>
    <n v="91"/>
    <d v="2019-03-26T00:00:00"/>
    <x v="9"/>
    <x v="9"/>
    <x v="1"/>
    <s v="CANALES DE DISTRIBUCION"/>
    <s v="NC VIATICOS"/>
    <s v="TRANSACCIONES DEL DIA 03/26/2019SPYRAL - GESTION ADMINISTRATIVA"/>
    <n v="235.9"/>
    <n v="0"/>
    <s v="NEGOCIOS"/>
    <x v="1"/>
  </r>
  <r>
    <n v="91"/>
    <d v="2019-03-27T00:00:00"/>
    <x v="9"/>
    <x v="9"/>
    <x v="1"/>
    <s v="CANALES DE DISTRIBUCION"/>
    <s v="VIATICOS 2"/>
    <s v="TRANSACCIONES DEL DIA 03/27/2019SPYRAL - GESTION ADMINISTRATIVA"/>
    <n v="1083.51"/>
    <n v="0"/>
    <s v="NEGOCIOS"/>
    <x v="1"/>
  </r>
  <r>
    <n v="91"/>
    <d v="2019-03-27T00:00:00"/>
    <x v="9"/>
    <x v="9"/>
    <x v="1"/>
    <s v="CANALES DE DISTRIBUCION"/>
    <s v="VIATICOS"/>
    <s v="TRANSACCIONES DEL DIA 03/27/2019SPYRAL - GESTION ADMINISTRATIVA"/>
    <n v="70.23"/>
    <n v="0"/>
    <s v="NEGOCIOS"/>
    <x v="1"/>
  </r>
  <r>
    <n v="91"/>
    <d v="2019-03-29T00:00:00"/>
    <x v="9"/>
    <x v="9"/>
    <x v="1"/>
    <s v="CANALES DE DISTRIBUCION"/>
    <s v="VIATICOS 2"/>
    <s v="TRANSACCIONES DEL DIA 03/29/2019SPYRAL - GESTION ADMINISTRATIVA"/>
    <n v="107"/>
    <n v="0"/>
    <s v="NEGOCIOS"/>
    <x v="1"/>
  </r>
  <r>
    <n v="91"/>
    <d v="2019-04-02T00:00:00"/>
    <x v="10"/>
    <x v="10"/>
    <x v="1"/>
    <s v="CANALES DE DISTRIBUCION"/>
    <s v="VIATICOS 2"/>
    <s v="TRANSACCIONES DEL DIA 04/02/2019SPYRAL - GESTION ADMINISTRATIVA"/>
    <n v="150"/>
    <n v="0"/>
    <s v="NEGOCIOS"/>
    <x v="1"/>
  </r>
  <r>
    <n v="91"/>
    <d v="2019-04-05T00:00:00"/>
    <x v="10"/>
    <x v="10"/>
    <x v="1"/>
    <s v="CANALES DE DISTRIBUCION"/>
    <s v="NC VIATICOS"/>
    <s v="TRANSACCIONES DEL DIA 04/05/2019SPYRAL - GESTION ADMINISTRATIVA"/>
    <n v="22"/>
    <n v="0"/>
    <s v="NEGOCIOS"/>
    <x v="1"/>
  </r>
  <r>
    <n v="91"/>
    <d v="2019-04-06T00:00:00"/>
    <x v="10"/>
    <x v="10"/>
    <x v="1"/>
    <s v="CANALES DE DISTRIBUCION"/>
    <s v="VIATICOS 2"/>
    <s v="TRANSACCIONES DEL DIA 04/06/2019SPYRAL - GESTION ADMINISTRATIVA"/>
    <n v="19.399999999999999"/>
    <n v="0"/>
    <s v="NEGOCIOS"/>
    <x v="1"/>
  </r>
  <r>
    <n v="91"/>
    <d v="2019-04-08T00:00:00"/>
    <x v="10"/>
    <x v="10"/>
    <x v="1"/>
    <s v="CANALES DE DISTRIBUCION"/>
    <s v="VIATICOS"/>
    <s v="TRANSACCIONES DEL DIA 04/08/2019SPYRAL - GESTION ADMINISTRATIVA"/>
    <n v="919"/>
    <n v="0"/>
    <s v="NEGOCIOS"/>
    <x v="1"/>
  </r>
  <r>
    <n v="91"/>
    <d v="2019-04-22T00:00:00"/>
    <x v="10"/>
    <x v="10"/>
    <x v="1"/>
    <s v="CANALES DE DISTRIBUCION"/>
    <s v="VIATICOS 2"/>
    <s v="TRANSACCIONES DEL DIA 04/22/2019SPYRAL - GESTION ADMINISTRATIVA"/>
    <n v="1322.7"/>
    <n v="0"/>
    <s v="NEGOCIOS"/>
    <x v="1"/>
  </r>
  <r>
    <n v="91"/>
    <d v="2019-04-26T00:00:00"/>
    <x v="10"/>
    <x v="10"/>
    <x v="1"/>
    <s v="CANALES DE DISTRIBUCION"/>
    <s v="VIATICOS 2"/>
    <s v="TRANSACCIONES DEL DIA 04/26/2019SPYRAL - GESTION ADMINISTRATIVA"/>
    <n v="88"/>
    <n v="0"/>
    <s v="NEGOCIOS"/>
    <x v="1"/>
  </r>
  <r>
    <n v="91"/>
    <d v="2019-05-02T00:00:00"/>
    <x v="11"/>
    <x v="11"/>
    <x v="1"/>
    <s v="CANALES DE DISTRIBUCION"/>
    <s v="VIATICOS 2"/>
    <s v="TRANSACCIONES DEL DIA 05/02/2019SPYRAL - GESTION ADMINISTRATIVA"/>
    <n v="30.26"/>
    <n v="0"/>
    <s v="NEGOCIOS"/>
    <x v="1"/>
  </r>
  <r>
    <n v="91"/>
    <d v="2019-05-03T00:00:00"/>
    <x v="11"/>
    <x v="11"/>
    <x v="1"/>
    <s v="CANALES DE DISTRIBUCION"/>
    <s v="VIATICOS 2"/>
    <s v="TRANSACCIONES DEL DIA 05/03/2019SPYRAL - GESTION ADMINISTRATIVA"/>
    <n v="235"/>
    <n v="0"/>
    <s v="NEGOCIOS"/>
    <x v="1"/>
  </r>
  <r>
    <n v="91"/>
    <d v="2019-05-17T00:00:00"/>
    <x v="11"/>
    <x v="11"/>
    <x v="1"/>
    <s v="CANALES DE DISTRIBUCION"/>
    <s v="VIATICOS 2"/>
    <s v="TRANSACCIONES DEL DIA 05/17/2019SPYRAL - GESTION ADMINISTRATIVA"/>
    <n v="24"/>
    <n v="0"/>
    <s v="NEGOCIOS"/>
    <x v="1"/>
  </r>
  <r>
    <n v="91"/>
    <d v="2019-05-24T00:00:00"/>
    <x v="11"/>
    <x v="11"/>
    <x v="1"/>
    <s v="CANALES DE DISTRIBUCION"/>
    <s v="VIATICOS 2"/>
    <s v="TRANSACCIONES DEL DIA 05/24/2019SPYRAL - GESTION ADMINISTRATIVA"/>
    <n v="167.3"/>
    <n v="0"/>
    <s v="NEGOCIOS"/>
    <x v="1"/>
  </r>
  <r>
    <n v="91"/>
    <d v="2019-05-27T00:00:00"/>
    <x v="11"/>
    <x v="11"/>
    <x v="1"/>
    <s v="CANALES DE DISTRIBUCION"/>
    <s v="VIATICOS 2"/>
    <s v="TRANSACCIONES DEL DIA 05/27/2019SPYRAL - GESTION ADMINISTRATIVA"/>
    <n v="59"/>
    <n v="0"/>
    <s v="NEGOCIOS"/>
    <x v="1"/>
  </r>
  <r>
    <n v="91"/>
    <d v="2019-05-28T00:00:00"/>
    <x v="11"/>
    <x v="11"/>
    <x v="1"/>
    <s v="CANALES DE DISTRIBUCION"/>
    <s v="VIATICOS 2"/>
    <s v="TRANSACCIONES DEL DIA 05/28/2019SPYRAL - GESTION ADMINISTRATIVA"/>
    <n v="130"/>
    <n v="0"/>
    <s v="NEGOCIOS"/>
    <x v="1"/>
  </r>
  <r>
    <n v="91"/>
    <d v="2019-06-03T00:00:00"/>
    <x v="2"/>
    <x v="2"/>
    <x v="1"/>
    <s v="CANALES DE DISTRIBUCION"/>
    <s v="VIATICOS 2"/>
    <s v="TRANSACCIONES DEL DIA 06/03/2019SPYRAL - GESTION ADMINISTRATIVA"/>
    <n v="90"/>
    <n v="0"/>
    <s v="NEGOCIOS"/>
    <x v="1"/>
  </r>
  <r>
    <n v="91"/>
    <d v="2019-06-05T00:00:00"/>
    <x v="2"/>
    <x v="2"/>
    <x v="1"/>
    <s v="CANALES DE DISTRIBUCION"/>
    <s v="NC VIATICOS"/>
    <s v="TRANSACCIONES DEL DIA 06/05/2019SPYRAL - GESTION ADMINISTRATIVA"/>
    <n v="4.28"/>
    <n v="0"/>
    <s v="NEGOCIOS"/>
    <x v="1"/>
  </r>
  <r>
    <n v="91"/>
    <d v="2019-06-08T00:00:00"/>
    <x v="2"/>
    <x v="2"/>
    <x v="1"/>
    <s v="CANALES DE DISTRIBUCION"/>
    <s v="VIATICOS 2"/>
    <s v="TRANSACCIONES DEL DIA 06/08/2019SPYRAL - GESTION ADMINISTRATIVA"/>
    <n v="60"/>
    <n v="0"/>
    <s v="NEGOCIOS"/>
    <x v="1"/>
  </r>
  <r>
    <n v="91"/>
    <d v="2019-06-10T00:00:00"/>
    <x v="2"/>
    <x v="2"/>
    <x v="1"/>
    <s v="CANALES DE DISTRIBUCION"/>
    <s v="VIATICOS 2"/>
    <s v="TRANSACCIONES DEL DIA 06/10/2019SPYRAL - GESTION ADMINISTRATIVA"/>
    <n v="263.01"/>
    <n v="0"/>
    <s v="NEGOCIOS"/>
    <x v="1"/>
  </r>
  <r>
    <n v="91"/>
    <d v="2019-06-13T00:00:00"/>
    <x v="2"/>
    <x v="2"/>
    <x v="1"/>
    <s v="CANALES DE DISTRIBUCION"/>
    <s v="VIATICOS 2"/>
    <s v="TRANSACCIONES DEL DIA 06/13/2019SPYRAL - GESTION ADMINISTRATIVA"/>
    <n v="38"/>
    <n v="0"/>
    <s v="NEGOCIOS"/>
    <x v="1"/>
  </r>
  <r>
    <n v="91"/>
    <d v="2019-06-21T00:00:00"/>
    <x v="2"/>
    <x v="2"/>
    <x v="1"/>
    <s v="CANALES DE DISTRIBUCION"/>
    <s v="VIATICOS 2"/>
    <s v="TRANSACCIONES DEL DIA 06/21/2019SPYRAL - GESTION ADMINISTRATIVA"/>
    <n v="40"/>
    <n v="0"/>
    <s v="NEGOCIOS"/>
    <x v="1"/>
  </r>
  <r>
    <n v="91"/>
    <d v="2019-06-21T00:00:00"/>
    <x v="2"/>
    <x v="2"/>
    <x v="1"/>
    <s v="CANALES DE DISTRIBUCION"/>
    <s v="VIATICOS"/>
    <s v="TRANSACCIONES DEL DIA 06/21/2019SPYRAL - GESTION ADMINISTRATIVA"/>
    <n v="70.23"/>
    <n v="0"/>
    <s v="NEGOCIOS"/>
    <x v="1"/>
  </r>
  <r>
    <n v="91"/>
    <d v="2019-06-22T00:00:00"/>
    <x v="2"/>
    <x v="2"/>
    <x v="1"/>
    <s v="CANALES DE DISTRIBUCION"/>
    <s v="VIATICOS 2"/>
    <s v="TRANSACCIONES DEL DIA 06/22/2019SPYRAL - GESTION ADMINISTRATIVA"/>
    <n v="30"/>
    <n v="0"/>
    <s v="NEGOCIOS"/>
    <x v="1"/>
  </r>
  <r>
    <n v="91"/>
    <d v="2019-06-25T00:00:00"/>
    <x v="2"/>
    <x v="2"/>
    <x v="1"/>
    <s v="CANALES DE DISTRIBUCION"/>
    <s v="VIATICOS 2"/>
    <s v="TRANSACCIONES DEL DIA 06/25/2019SPYRAL - GESTION ADMINISTRATIVA"/>
    <n v="1059.9000000000001"/>
    <n v="0"/>
    <s v="NEGOCIOS"/>
    <x v="1"/>
  </r>
  <r>
    <n v="91"/>
    <d v="2019-06-27T00:00:00"/>
    <x v="2"/>
    <x v="2"/>
    <x v="1"/>
    <s v="CANALES DE DISTRIBUCION"/>
    <s v="VIATICOS 2"/>
    <s v="TRANSACCIONES DEL DIA 06/27/2019SPYRAL - GESTION ADMINISTRATIVA"/>
    <n v="168"/>
    <n v="0"/>
    <s v="NEGOCIOS"/>
    <x v="1"/>
  </r>
  <r>
    <n v="91"/>
    <d v="2019-07-02T00:00:00"/>
    <x v="6"/>
    <x v="6"/>
    <x v="1"/>
    <s v="CANALES DE DISTRIBUCION"/>
    <s v="VIATICOS 2"/>
    <s v="TRANSACCIONES DEL DIA 07/02/2019SPYRAL - GESTION ADMINISTRATIVA"/>
    <n v="52"/>
    <n v="0"/>
    <s v="NEGOCIOS"/>
    <x v="1"/>
  </r>
  <r>
    <n v="91"/>
    <d v="2019-07-08T00:00:00"/>
    <x v="6"/>
    <x v="6"/>
    <x v="1"/>
    <s v="CANALES DE DISTRIBUCION"/>
    <s v="VIATICOS 2"/>
    <s v="TRANSACCIONES DEL DIA 07/08/2019SPYRAL - GESTION ADMINISTRATIVA"/>
    <n v="180"/>
    <n v="0"/>
    <s v="NEGOCIOS"/>
    <x v="1"/>
  </r>
  <r>
    <n v="91"/>
    <d v="2019-07-09T00:00:00"/>
    <x v="6"/>
    <x v="6"/>
    <x v="1"/>
    <s v="CANALES DE DISTRIBUCION"/>
    <s v="VIATICOS"/>
    <s v="TRANSACCIONES DEL DIA 07/09/2019SPYRAL - GESTION ADMINISTRATIVA"/>
    <n v="1170"/>
    <n v="0"/>
    <s v="NEGOCIOS"/>
    <x v="1"/>
  </r>
  <r>
    <n v="91"/>
    <d v="2019-07-09T00:00:00"/>
    <x v="6"/>
    <x v="6"/>
    <x v="1"/>
    <s v="CANALES DE DISTRIBUCION"/>
    <s v="VIATICOS 2"/>
    <s v="TRANSACCIONES DEL DIA 07/09/2019SPYRAL - GESTION ADMINISTRATIVA"/>
    <n v="104"/>
    <n v="0"/>
    <s v="NEGOCIOS"/>
    <x v="1"/>
  </r>
  <r>
    <n v="91"/>
    <d v="2019-07-18T00:00:00"/>
    <x v="6"/>
    <x v="6"/>
    <x v="1"/>
    <s v="CANALES DE DISTRIBUCION"/>
    <s v="NC VIATICOS"/>
    <s v="TRANSACCIONES DEL DIA 07/18/2019SPYRAL - GESTION ADMINISTRATIVA"/>
    <n v="1086.1400000000001"/>
    <n v="0"/>
    <s v="NEGOCIOS"/>
    <x v="1"/>
  </r>
  <r>
    <n v="91"/>
    <d v="2019-07-18T00:00:00"/>
    <x v="6"/>
    <x v="6"/>
    <x v="1"/>
    <s v="CANALES DE DISTRIBUCION"/>
    <s v="VIATICOS 2"/>
    <s v="TRANSACCIONES DEL DIA 07/18/2019SPYRAL - GESTION ADMINISTRATIVA"/>
    <n v="40"/>
    <n v="0"/>
    <s v="NEGOCIOS"/>
    <x v="1"/>
  </r>
  <r>
    <n v="91"/>
    <d v="2019-07-19T00:00:00"/>
    <x v="6"/>
    <x v="6"/>
    <x v="1"/>
    <s v="CANALES DE DISTRIBUCION"/>
    <s v="NC VIATICOS"/>
    <s v="TRANSACCIONES DEL DIA 07/19/2019SPYRAL - GESTION ADMINISTRATIVA"/>
    <n v="224"/>
    <n v="0"/>
    <s v="NEGOCIOS"/>
    <x v="1"/>
  </r>
  <r>
    <n v="91"/>
    <d v="2019-07-20T00:00:00"/>
    <x v="6"/>
    <x v="6"/>
    <x v="1"/>
    <s v="CANALES DE DISTRIBUCION"/>
    <s v="VIATICOS 2"/>
    <s v="TRANSACCIONES DEL DIA 07/20/2019SPYRAL - GESTION ADMINISTRATIVA"/>
    <n v="16"/>
    <n v="0"/>
    <s v="NEGOCIOS"/>
    <x v="1"/>
  </r>
  <r>
    <n v="91"/>
    <d v="2019-07-23T00:00:00"/>
    <x v="6"/>
    <x v="6"/>
    <x v="1"/>
    <s v="CANALES DE DISTRIBUCION"/>
    <s v="VIATICOS 2"/>
    <s v="TRANSACCIONES DEL DIA 07/23/2019SPYRAL - GESTION ADMINISTRATIVA"/>
    <n v="64"/>
    <n v="0"/>
    <s v="NEGOCIOS"/>
    <x v="1"/>
  </r>
  <r>
    <n v="91"/>
    <d v="2019-07-25T00:00:00"/>
    <x v="6"/>
    <x v="6"/>
    <x v="1"/>
    <s v="CANALES DE DISTRIBUCION"/>
    <s v="VIATICOS 2"/>
    <s v="TRANSACCIONES DEL DIA 07/25/2019SPYRAL - GESTION ADMINISTRATIVA"/>
    <n v="450"/>
    <n v="0"/>
    <s v="NEGOCIOS"/>
    <x v="1"/>
  </r>
  <r>
    <n v="91"/>
    <d v="2019-07-26T00:00:00"/>
    <x v="6"/>
    <x v="6"/>
    <x v="1"/>
    <s v="CANALES DE DISTRIBUCION"/>
    <s v="VIATICOS 2"/>
    <s v="TRANSACCIONES DEL DIA 07/26/2019SPYRAL - GESTION ADMINISTRATIVA"/>
    <n v="106"/>
    <n v="0"/>
    <s v="NEGOCIOS"/>
    <x v="1"/>
  </r>
  <r>
    <n v="91"/>
    <d v="2019-07-29T00:00:00"/>
    <x v="6"/>
    <x v="6"/>
    <x v="1"/>
    <s v="CANALES DE DISTRIBUCION"/>
    <s v="NC VIATICOS"/>
    <s v="TRANSACCIONES DEL DIA 07/29/2019SPYRAL - GESTION ADMINISTRATIVA"/>
    <n v="0"/>
    <n v="40"/>
    <s v="NEGOCIOS"/>
    <x v="1"/>
  </r>
  <r>
    <n v="91"/>
    <d v="2019-07-30T00:00:00"/>
    <x v="6"/>
    <x v="6"/>
    <x v="1"/>
    <s v="CANALES DE DISTRIBUCION"/>
    <s v="VIATICOS 2"/>
    <s v="TRANSACCIONES DEL DIA 07/30/2019SPYRAL - GESTION ADMINISTRATIVA"/>
    <n v="32"/>
    <n v="0"/>
    <s v="NEGOCIOS"/>
    <x v="1"/>
  </r>
  <r>
    <n v="91"/>
    <d v="2019-05-03T00:00:00"/>
    <x v="11"/>
    <x v="11"/>
    <x v="1"/>
    <s v="ADMINISTRACION DE SUCURSALES"/>
    <s v="VIATICOS"/>
    <s v="TRANSACCIONES DEL DIA 05/03/2019SPYRAL - GESTION ADMINISTRATIVA"/>
    <n v="245.24"/>
    <n v="0"/>
    <s v="NEGOCIOS"/>
    <x v="1"/>
  </r>
  <r>
    <n v="91"/>
    <d v="2019-06-14T00:00:00"/>
    <x v="2"/>
    <x v="2"/>
    <x v="1"/>
    <s v="ADMINISTRACION DE SUCURSALES"/>
    <s v="VIATICOS 2"/>
    <s v="TRANSACCIONES DEL DIA 06/14/2019SPYRAL - GESTION ADMINISTRATIVA"/>
    <n v="28"/>
    <n v="0"/>
    <s v="NEGOCIOS"/>
    <x v="1"/>
  </r>
  <r>
    <n v="91"/>
    <d v="2019-03-09T00:00:00"/>
    <x v="9"/>
    <x v="9"/>
    <x v="1"/>
    <s v="PERSONALES"/>
    <s v="VIATICOS"/>
    <s v="TRANSACCIONES DEL DIA 03/09/2019SPYRAL - GESTION ADMINISTRATIVA"/>
    <n v="150"/>
    <n v="0"/>
    <s v="NEGOCIOS"/>
    <x v="1"/>
  </r>
  <r>
    <n v="91"/>
    <d v="2019-05-17T00:00:00"/>
    <x v="11"/>
    <x v="11"/>
    <x v="1"/>
    <s v="CENTRO DE TARJETAS"/>
    <s v="VIATICOS 2"/>
    <s v="TRANSACCIONES DEL DIA 05/17/2019SPYRAL - GESTION ADMINISTRATIVA"/>
    <n v="47.45"/>
    <n v="0"/>
    <s v="NEGOCIOS"/>
    <x v="1"/>
  </r>
  <r>
    <n v="91"/>
    <d v="2019-06-21T00:00:00"/>
    <x v="2"/>
    <x v="2"/>
    <x v="1"/>
    <s v="CENTRO DE TARJETAS"/>
    <s v="VIATICOS 2"/>
    <s v="TRANSACCIONES DEL DIA 06/21/2019SPYRAL - GESTION ADMINISTRATIVA"/>
    <n v="260"/>
    <n v="0"/>
    <s v="NEGOCIOS"/>
    <x v="1"/>
  </r>
  <r>
    <n v="91"/>
    <d v="2019-07-05T00:00:00"/>
    <x v="6"/>
    <x v="6"/>
    <x v="1"/>
    <s v="CENTRO DE TARJETAS"/>
    <s v="NC VIATICOS"/>
    <s v="TRANSACCIONES DEL DIA 07/05/2019SPYRAL - GESTION ADMINISTRATIVA"/>
    <n v="1872.76"/>
    <n v="0"/>
    <s v="NEGOCIOS"/>
    <x v="1"/>
  </r>
  <r>
    <n v="91"/>
    <d v="2019-07-11T00:00:00"/>
    <x v="6"/>
    <x v="6"/>
    <x v="1"/>
    <s v="CENTRO DE TARJETAS"/>
    <s v="VIATICOS 2"/>
    <s v="TRANSACCIONES DEL DIA 07/11/2019SPYRAL - GESTION ADMINISTRATIVA"/>
    <n v="30"/>
    <n v="0"/>
    <s v="NEGOCIOS"/>
    <x v="1"/>
  </r>
  <r>
    <n v="91"/>
    <d v="2019-07-12T00:00:00"/>
    <x v="6"/>
    <x v="6"/>
    <x v="1"/>
    <s v="CENTRO DE TARJETAS"/>
    <s v="NC VIATICOS"/>
    <s v="TRANSACCIONES DEL DIA 07/12/2019SPYRAL - GESTION ADMINISTRATIVA"/>
    <n v="882.45"/>
    <n v="0"/>
    <s v="NEGOCIOS"/>
    <x v="1"/>
  </r>
  <r>
    <n v="91"/>
    <d v="2019-07-13T00:00:00"/>
    <x v="6"/>
    <x v="6"/>
    <x v="1"/>
    <s v="CENTRO DE TARJETAS"/>
    <s v="VIATICOS 2"/>
    <s v="TRANSACCIONES DEL DIA 07/13/2019SPYRAL - GESTION ADMINISTRATIVA"/>
    <n v="24.65"/>
    <n v="0"/>
    <s v="NEGOCIOS"/>
    <x v="1"/>
  </r>
  <r>
    <n v="91"/>
    <d v="2019-07-17T00:00:00"/>
    <x v="6"/>
    <x v="6"/>
    <x v="1"/>
    <s v="CENTRO DE TARJETAS"/>
    <s v="VIATICOS 2"/>
    <s v="TRANSACCIONES DEL DIA 07/17/2019SPYRAL - GESTION ADMINISTRATIVA"/>
    <n v="609"/>
    <n v="0"/>
    <s v="NEGOCIOS"/>
    <x v="1"/>
  </r>
  <r>
    <n v="91"/>
    <d v="2019-07-04T00:00:00"/>
    <x v="6"/>
    <x v="6"/>
    <x v="1"/>
    <s v="AFILIACIONES DE COMERCIOS"/>
    <s v="VIATICOS"/>
    <s v="TRANSACCIONES DEL DIA 07/04/2019SPYRAL - GESTION ADMINISTRATIVA"/>
    <n v="1789.9"/>
    <n v="0"/>
    <s v="NEGOCIOS"/>
    <x v="1"/>
  </r>
  <r>
    <n v="91"/>
    <d v="2019-06-18T00:00:00"/>
    <x v="2"/>
    <x v="2"/>
    <x v="1"/>
    <s v="EMISOR DE TARJETAS"/>
    <s v="NC VIATICOS"/>
    <s v="TRANSACCIONES DEL DIA 06/18/2019SPYRAL - GESTION ADMINISTRATIVA"/>
    <n v="2723.68"/>
    <n v="0"/>
    <s v="NEGOCIOS"/>
    <x v="1"/>
  </r>
  <r>
    <n v="91"/>
    <d v="2019-07-04T00:00:00"/>
    <x v="6"/>
    <x v="6"/>
    <x v="1"/>
    <s v="EMISOR DE TARJETAS"/>
    <s v="NC VIATICOS"/>
    <s v="TRANSACCIONES DEL DIA 07/04/2019SPYRAL - GESTION ADMINISTRATIVA"/>
    <n v="0"/>
    <n v="2723.68"/>
    <s v="NEGOCIOS"/>
    <x v="1"/>
  </r>
  <r>
    <n v="91"/>
    <d v="2019-03-08T00:00:00"/>
    <x v="9"/>
    <x v="9"/>
    <x v="1"/>
    <s v="CANALES ALTERNOS"/>
    <s v="VIATICOS"/>
    <s v="TRANSACCIONES DEL DIA 03/08/2019SPYRAL - GESTION ADMINISTRATIVA"/>
    <n v="24"/>
    <n v="0"/>
    <s v="NEGOCIOS"/>
    <x v="1"/>
  </r>
  <r>
    <n v="91"/>
    <d v="2019-03-15T00:00:00"/>
    <x v="9"/>
    <x v="9"/>
    <x v="1"/>
    <s v="CANALES ALTERNOS"/>
    <s v="VIATICOS"/>
    <s v="TRANSACCIONES DEL DIA 03/15/2019SPYRAL - GESTION ADMINISTRATIVA"/>
    <n v="261"/>
    <n v="0"/>
    <s v="NEGOCIOS"/>
    <x v="1"/>
  </r>
  <r>
    <n v="91"/>
    <d v="2019-03-20T00:00:00"/>
    <x v="9"/>
    <x v="9"/>
    <x v="1"/>
    <s v="CANALES ALTERNOS"/>
    <s v="VIATICOS 2"/>
    <s v="TRANSACCIONES DEL DIA 03/20/2019SPYRAL - GESTION ADMINISTRATIVA"/>
    <n v="172.7"/>
    <n v="0"/>
    <s v="NEGOCIOS"/>
    <x v="1"/>
  </r>
  <r>
    <n v="91"/>
    <d v="2019-04-01T00:00:00"/>
    <x v="10"/>
    <x v="10"/>
    <x v="1"/>
    <s v="CANALES ALTERNOS"/>
    <s v="VIATICOS 2"/>
    <s v="TRANSACCIONES DEL DIA 04/01/2019SPYRAL - GESTION ADMINISTRATIVA"/>
    <n v="37.479999999999997"/>
    <n v="0"/>
    <s v="NEGOCIOS"/>
    <x v="1"/>
  </r>
  <r>
    <n v="91"/>
    <d v="2019-04-11T00:00:00"/>
    <x v="10"/>
    <x v="10"/>
    <x v="1"/>
    <s v="CANALES ALTERNOS"/>
    <s v="VIATICOS 2"/>
    <s v="TRANSACCIONES DEL DIA 04/11/2019SPYRAL - GESTION ADMINISTRATIVA"/>
    <n v="21.4"/>
    <n v="0"/>
    <s v="NEGOCIOS"/>
    <x v="1"/>
  </r>
  <r>
    <n v="91"/>
    <d v="2019-04-22T00:00:00"/>
    <x v="10"/>
    <x v="10"/>
    <x v="1"/>
    <s v="CANALES ALTERNOS"/>
    <s v="VIATICOS 2"/>
    <s v="TRANSACCIONES DEL DIA 04/22/2019SPYRAL - GESTION ADMINISTRATIVA"/>
    <n v="418.1"/>
    <n v="0"/>
    <s v="NEGOCIOS"/>
    <x v="1"/>
  </r>
  <r>
    <n v="91"/>
    <d v="2019-04-22T00:00:00"/>
    <x v="10"/>
    <x v="10"/>
    <x v="1"/>
    <s v="CANALES ALTERNOS"/>
    <s v="VIATICOS"/>
    <s v="TRANSACCIONES DEL DIA 04/22/2019SPYRAL - GESTION ADMINISTRATIVA"/>
    <n v="200.88"/>
    <n v="0"/>
    <s v="NEGOCIOS"/>
    <x v="1"/>
  </r>
  <r>
    <n v="91"/>
    <d v="2019-04-25T00:00:00"/>
    <x v="10"/>
    <x v="10"/>
    <x v="1"/>
    <s v="CANALES ALTERNOS"/>
    <s v="VIATICOS 2"/>
    <s v="TRANSACCIONES DEL DIA 04/25/2019SPYRAL - GESTION ADMINISTRATIVA"/>
    <n v="26.2"/>
    <n v="0"/>
    <s v="NEGOCIOS"/>
    <x v="1"/>
  </r>
  <r>
    <n v="91"/>
    <d v="2019-05-03T00:00:00"/>
    <x v="11"/>
    <x v="11"/>
    <x v="1"/>
    <s v="CANALES ALTERNOS"/>
    <s v="VIATICOS 2"/>
    <s v="TRANSACCIONES DEL DIA 05/03/2019SPYRAL - GESTION ADMINISTRATIVA"/>
    <n v="475"/>
    <n v="0"/>
    <s v="NEGOCIOS"/>
    <x v="1"/>
  </r>
  <r>
    <n v="91"/>
    <d v="2019-05-03T00:00:00"/>
    <x v="11"/>
    <x v="11"/>
    <x v="1"/>
    <s v="CANALES ALTERNOS"/>
    <s v="NC VIATICOS"/>
    <s v="TRANSACCIONES DEL DIA 05/03/2019SPYRAL - GESTION ADMINISTRATIVA"/>
    <n v="2023.13"/>
    <n v="0"/>
    <s v="NEGOCIOS"/>
    <x v="1"/>
  </r>
  <r>
    <n v="91"/>
    <d v="2019-05-07T00:00:00"/>
    <x v="11"/>
    <x v="11"/>
    <x v="1"/>
    <s v="CANALES ALTERNOS"/>
    <s v="VIATICOS 2"/>
    <s v="TRANSACCIONES DEL DIA 05/07/2019SPYRAL - GESTION ADMINISTRATIVA"/>
    <n v="26.2"/>
    <n v="0"/>
    <s v="NEGOCIOS"/>
    <x v="1"/>
  </r>
  <r>
    <n v="91"/>
    <d v="2019-05-24T00:00:00"/>
    <x v="11"/>
    <x v="11"/>
    <x v="1"/>
    <s v="CANALES ALTERNOS"/>
    <s v="VIATICOS 2"/>
    <s v="TRANSACCIONES DEL DIA 05/24/2019SPYRAL - GESTION ADMINISTRATIVA"/>
    <n v="10"/>
    <n v="0"/>
    <s v="NEGOCIOS"/>
    <x v="1"/>
  </r>
  <r>
    <n v="91"/>
    <d v="2019-05-28T00:00:00"/>
    <x v="11"/>
    <x v="11"/>
    <x v="1"/>
    <s v="CANALES ALTERNOS"/>
    <s v="VIATICOS 2"/>
    <s v="TRANSACCIONES DEL DIA 05/28/2019SPYRAL - GESTION ADMINISTRATIVA"/>
    <n v="14.6"/>
    <n v="0"/>
    <s v="NEGOCIOS"/>
    <x v="1"/>
  </r>
  <r>
    <n v="91"/>
    <d v="2019-06-07T00:00:00"/>
    <x v="2"/>
    <x v="2"/>
    <x v="1"/>
    <s v="CANALES ALTERNOS"/>
    <s v="VIATICOS 2"/>
    <s v="TRANSACCIONES DEL DIA 06/07/2019SPYRAL - GESTION ADMINISTRATIVA"/>
    <n v="247"/>
    <n v="0"/>
    <s v="NEGOCIOS"/>
    <x v="1"/>
  </r>
  <r>
    <n v="91"/>
    <d v="2019-06-25T00:00:00"/>
    <x v="2"/>
    <x v="2"/>
    <x v="1"/>
    <s v="CANALES ALTERNOS"/>
    <s v="VIATICOS 2"/>
    <s v="TRANSACCIONES DEL DIA 06/25/2019SPYRAL - GESTION ADMINISTRATIVA"/>
    <n v="27.4"/>
    <n v="0"/>
    <s v="NEGOCIOS"/>
    <x v="1"/>
  </r>
  <r>
    <n v="91"/>
    <d v="2019-06-28T00:00:00"/>
    <x v="2"/>
    <x v="2"/>
    <x v="1"/>
    <s v="CANALES ALTERNOS"/>
    <s v="VIATICOS"/>
    <s v="TRANSACCIONES DEL DIA 06/28/2019SPYRAL - GESTION ADMINISTRATIVA"/>
    <n v="123"/>
    <n v="0"/>
    <s v="NEGOCIOS"/>
    <x v="1"/>
  </r>
  <r>
    <n v="91"/>
    <d v="2019-07-10T00:00:00"/>
    <x v="6"/>
    <x v="6"/>
    <x v="1"/>
    <s v="CANALES ALTERNOS"/>
    <s v="VIATICOS 2"/>
    <s v="TRANSACCIONES DEL DIA 07/10/2019SPYRAL - GESTION ADMINISTRATIVA"/>
    <n v="130.18"/>
    <n v="0"/>
    <s v="NEGOCIOS"/>
    <x v="1"/>
  </r>
  <r>
    <n v="91"/>
    <d v="2019-07-11T00:00:00"/>
    <x v="6"/>
    <x v="6"/>
    <x v="1"/>
    <s v="CANALES ALTERNOS"/>
    <s v="NC VIATICOS"/>
    <s v="TRANSACCIONES DEL DIA 07/11/2019SPYRAL - GESTION ADMINISTRATIVA"/>
    <n v="10"/>
    <n v="0"/>
    <s v="NEGOCIOS"/>
    <x v="1"/>
  </r>
  <r>
    <n v="91"/>
    <d v="2019-07-23T00:00:00"/>
    <x v="6"/>
    <x v="6"/>
    <x v="1"/>
    <s v="CANALES ALTERNOS"/>
    <s v="VIATICOS 2"/>
    <s v="TRANSACCIONES DEL DIA 07/23/2019SPYRAL - GESTION ADMINISTRATIVA"/>
    <n v="13.91"/>
    <n v="0"/>
    <s v="NEGOCIOS"/>
    <x v="1"/>
  </r>
  <r>
    <n v="91"/>
    <d v="2019-07-26T00:00:00"/>
    <x v="6"/>
    <x v="6"/>
    <x v="1"/>
    <s v="CANALES ALTERNOS"/>
    <s v="VIATICOS 2"/>
    <s v="TRANSACCIONES DEL DIA 07/26/2019SPYRAL - GESTION ADMINISTRATIVA"/>
    <n v="75.599999999999994"/>
    <n v="0"/>
    <s v="NEGOCIOS"/>
    <x v="1"/>
  </r>
  <r>
    <n v="91"/>
    <d v="2019-01-19T00:00:00"/>
    <x v="7"/>
    <x v="7"/>
    <x v="1"/>
    <s v="TELEMERCADEO"/>
    <s v="NC VIATICOS"/>
    <s v="TRANSACCIONES DEL DIA 01/19/2019SPYRAL - GESTION ADMINISTRATIVA"/>
    <n v="442"/>
    <n v="0"/>
    <s v="NEGOCIOS"/>
    <x v="1"/>
  </r>
  <r>
    <n v="91"/>
    <d v="2019-02-15T00:00:00"/>
    <x v="8"/>
    <x v="8"/>
    <x v="1"/>
    <s v="TELEMERCADEO"/>
    <s v="NC VIATICOS"/>
    <s v="TRANSACCIONES DEL DIA 02/15/2019SPYRAL - GESTION ADMINISTRATIVA"/>
    <n v="448.15"/>
    <n v="0"/>
    <s v="NEGOCIOS"/>
    <x v="1"/>
  </r>
  <r>
    <n v="91"/>
    <d v="2019-03-20T00:00:00"/>
    <x v="9"/>
    <x v="9"/>
    <x v="1"/>
    <s v="TELEMERCADEO"/>
    <s v="VIATICOS 2"/>
    <s v="TRANSACCIONES DEL DIA 03/20/2019SPYRAL - GESTION ADMINISTRATIVA"/>
    <n v="18.399999999999999"/>
    <n v="0"/>
    <s v="NEGOCIOS"/>
    <x v="1"/>
  </r>
  <r>
    <n v="91"/>
    <d v="2019-03-22T00:00:00"/>
    <x v="9"/>
    <x v="9"/>
    <x v="1"/>
    <s v="TELEMERCADEO"/>
    <s v="NC VIATICOS"/>
    <s v="TRANSACCIONES DEL DIA 03/22/2019SPYRAL - GESTION ADMINISTRATIVA"/>
    <n v="444.3"/>
    <n v="0"/>
    <s v="NEGOCIOS"/>
    <x v="1"/>
  </r>
  <r>
    <n v="91"/>
    <d v="2019-03-27T00:00:00"/>
    <x v="9"/>
    <x v="9"/>
    <x v="1"/>
    <s v="TELEMERCADEO"/>
    <s v="VIATICOS 2"/>
    <s v="TRANSACCIONES DEL DIA 03/27/2019SPYRAL - GESTION ADMINISTRATIVA"/>
    <n v="17.12"/>
    <n v="0"/>
    <s v="NEGOCIOS"/>
    <x v="1"/>
  </r>
  <r>
    <n v="91"/>
    <d v="2019-04-05T00:00:00"/>
    <x v="10"/>
    <x v="10"/>
    <x v="1"/>
    <s v="TELEMERCADEO"/>
    <s v="VIATICOS 2"/>
    <s v="TRANSACCIONES DEL DIA 04/05/2019SPYRAL - GESTION ADMINISTRATIVA"/>
    <n v="51.99"/>
    <n v="0"/>
    <s v="NEGOCIOS"/>
    <x v="1"/>
  </r>
  <r>
    <n v="91"/>
    <d v="2019-04-15T00:00:00"/>
    <x v="10"/>
    <x v="10"/>
    <x v="1"/>
    <s v="TELEMERCADEO"/>
    <s v="VIATICOS 2"/>
    <s v="TRANSACCIONES DEL DIA 04/15/2019SPYRAL - GESTION ADMINISTRATIVA"/>
    <n v="26.13"/>
    <n v="0"/>
    <s v="NEGOCIOS"/>
    <x v="1"/>
  </r>
  <r>
    <n v="91"/>
    <d v="2019-04-26T00:00:00"/>
    <x v="10"/>
    <x v="10"/>
    <x v="1"/>
    <s v="TELEMERCADEO"/>
    <s v="NC VIATICOS"/>
    <s v="TRANSACCIONES DEL DIA 04/26/2019SPYRAL - GESTION ADMINISTRATIVA"/>
    <n v="349.8"/>
    <n v="0"/>
    <s v="NEGOCIOS"/>
    <x v="1"/>
  </r>
  <r>
    <n v="91"/>
    <d v="2019-05-15T00:00:00"/>
    <x v="11"/>
    <x v="11"/>
    <x v="1"/>
    <s v="TELEMERCADEO"/>
    <s v="VIATICOS 2"/>
    <s v="TRANSACCIONES DEL DIA 05/15/2019SPYRAL - GESTION ADMINISTRATIVA"/>
    <n v="10.7"/>
    <n v="0"/>
    <s v="NEGOCIOS"/>
    <x v="1"/>
  </r>
  <r>
    <n v="91"/>
    <d v="2019-05-16T00:00:00"/>
    <x v="11"/>
    <x v="11"/>
    <x v="1"/>
    <s v="TELEMERCADEO"/>
    <s v="NC VIATICOS"/>
    <s v="TRANSACCIONES DEL DIA 05/16/2019SPYRAL - GESTION ADMINISTRATIVA"/>
    <n v="0"/>
    <n v="342.3"/>
    <s v="NEGOCIOS"/>
    <x v="1"/>
  </r>
  <r>
    <n v="91"/>
    <d v="2019-05-17T00:00:00"/>
    <x v="11"/>
    <x v="11"/>
    <x v="1"/>
    <s v="TELEMERCADEO"/>
    <s v="NC VIATICOS"/>
    <s v="TRANSACCIONES DEL DIA 05/17/2019SPYRAL - GESTION ADMINISTRATIVA"/>
    <n v="684.6"/>
    <n v="0"/>
    <s v="NEGOCIOS"/>
    <x v="1"/>
  </r>
  <r>
    <n v="91"/>
    <d v="2019-06-06T00:00:00"/>
    <x v="2"/>
    <x v="2"/>
    <x v="1"/>
    <s v="TELEMERCADEO"/>
    <s v="VIATICOS 2"/>
    <s v="TRANSACCIONES DEL DIA 06/06/2019SPYRAL - GESTION ADMINISTRATIVA"/>
    <n v="12.75"/>
    <n v="0"/>
    <s v="NEGOCIOS"/>
    <x v="1"/>
  </r>
  <r>
    <n v="91"/>
    <d v="2019-06-14T00:00:00"/>
    <x v="2"/>
    <x v="2"/>
    <x v="1"/>
    <s v="TELEMERCADEO"/>
    <s v="VIATICOS 2"/>
    <s v="TRANSACCIONES DEL DIA 06/14/2019SPYRAL - GESTION ADMINISTRATIVA"/>
    <n v="16.05"/>
    <n v="0"/>
    <s v="NEGOCIOS"/>
    <x v="1"/>
  </r>
  <r>
    <n v="91"/>
    <d v="2019-06-20T00:00:00"/>
    <x v="2"/>
    <x v="2"/>
    <x v="1"/>
    <s v="TELEMERCADEO"/>
    <s v="NC VIATICOS"/>
    <s v="TRANSACCIONES DEL DIA 06/20/2019SPYRAL - GESTION ADMINISTRATIVA"/>
    <n v="395.2"/>
    <n v="0"/>
    <s v="NEGOCIOS"/>
    <x v="1"/>
  </r>
  <r>
    <n v="91"/>
    <d v="2019-06-22T00:00:00"/>
    <x v="2"/>
    <x v="2"/>
    <x v="1"/>
    <s v="TELEMERCADEO"/>
    <s v="VIATICOS 2"/>
    <s v="TRANSACCIONES DEL DIA 06/22/2019SPYRAL - GESTION ADMINISTRATIVA"/>
    <n v="37.450000000000003"/>
    <n v="0"/>
    <s v="NEGOCIOS"/>
    <x v="1"/>
  </r>
  <r>
    <n v="91"/>
    <d v="2019-06-24T00:00:00"/>
    <x v="2"/>
    <x v="2"/>
    <x v="1"/>
    <s v="TELEMERCADEO"/>
    <s v="VIATICOS 2"/>
    <s v="TRANSACCIONES DEL DIA 06/24/2019SPYRAL - GESTION ADMINISTRATIVA"/>
    <n v="10.7"/>
    <n v="0"/>
    <s v="NEGOCIOS"/>
    <x v="1"/>
  </r>
  <r>
    <n v="91"/>
    <d v="2019-07-03T00:00:00"/>
    <x v="6"/>
    <x v="6"/>
    <x v="1"/>
    <s v="TELEMERCADEO"/>
    <s v="VIATICOS 2"/>
    <s v="TRANSACCIONES DEL DIA 07/03/2019SPYRAL - GESTION ADMINISTRATIVA"/>
    <n v="16.05"/>
    <n v="0"/>
    <s v="NEGOCIOS"/>
    <x v="1"/>
  </r>
  <r>
    <n v="91"/>
    <d v="2019-07-12T00:00:00"/>
    <x v="6"/>
    <x v="6"/>
    <x v="1"/>
    <s v="TELEMERCADEO"/>
    <s v="NC VIATICOS"/>
    <s v="TRANSACCIONES DEL DIA 07/12/2019SPYRAL - GESTION ADMINISTRATIVA"/>
    <n v="344.25"/>
    <n v="0"/>
    <s v="NEGOCIOS"/>
    <x v="1"/>
  </r>
  <r>
    <n v="91"/>
    <d v="2019-07-13T00:00:00"/>
    <x v="6"/>
    <x v="6"/>
    <x v="1"/>
    <s v="TELEMERCADEO"/>
    <s v="VIATICOS 2"/>
    <s v="TRANSACCIONES DEL DIA 07/13/2019SPYRAL - GESTION ADMINISTRATIVA"/>
    <n v="16.05"/>
    <n v="0"/>
    <s v="NEGOCIOS"/>
    <x v="1"/>
  </r>
  <r>
    <n v="91"/>
    <d v="2019-07-16T00:00:00"/>
    <x v="6"/>
    <x v="6"/>
    <x v="1"/>
    <s v="TELEMERCADEO"/>
    <s v="VIATICOS 2"/>
    <s v="TRANSACCIONES DEL DIA 07/16/2019SPYRAL - GESTION ADMINISTRATIVA"/>
    <n v="16.05"/>
    <n v="0"/>
    <s v="NEGOCIOS"/>
    <x v="1"/>
  </r>
  <r>
    <n v="91"/>
    <d v="2019-01-03T00:00:00"/>
    <x v="7"/>
    <x v="7"/>
    <x v="1"/>
    <s v="ATM"/>
    <s v="VIATICOS"/>
    <s v="TRANSACCIONES DEL DIA 01/03/2019SPYRAL - GESTION ADMINISTRATIVA"/>
    <n v="10"/>
    <n v="0"/>
    <s v="NEGOCIOS"/>
    <x v="1"/>
  </r>
  <r>
    <n v="91"/>
    <d v="2019-01-04T00:00:00"/>
    <x v="7"/>
    <x v="7"/>
    <x v="1"/>
    <s v="ATM"/>
    <s v="VIATICOS 2"/>
    <s v="TRANSACCIONES DEL DIA 01/04/2019SPYRAL - GESTION ADMINISTRATIVA"/>
    <n v="4.5999999999999996"/>
    <n v="0"/>
    <s v="NEGOCIOS"/>
    <x v="1"/>
  </r>
  <r>
    <n v="91"/>
    <d v="2019-01-10T00:00:00"/>
    <x v="7"/>
    <x v="7"/>
    <x v="1"/>
    <s v="ATM"/>
    <s v="VIATICOS"/>
    <s v="TRANSACCIONES DEL DIA 01/10/2019SPYRAL - GESTION ADMINISTRATIVA"/>
    <n v="27"/>
    <n v="0"/>
    <s v="NEGOCIOS"/>
    <x v="1"/>
  </r>
  <r>
    <n v="91"/>
    <d v="2019-01-14T00:00:00"/>
    <x v="7"/>
    <x v="7"/>
    <x v="1"/>
    <s v="ATM"/>
    <s v="VIATICOS 2"/>
    <s v="TRANSACCIONES DEL DIA 01/14/2019SPYRAL - GESTION ADMINISTRATIVA"/>
    <n v="20"/>
    <n v="0"/>
    <s v="NEGOCIOS"/>
    <x v="1"/>
  </r>
  <r>
    <n v="91"/>
    <d v="2019-01-18T00:00:00"/>
    <x v="7"/>
    <x v="7"/>
    <x v="1"/>
    <s v="ATM"/>
    <s v="VIATICOS"/>
    <s v="TRANSACCIONES DEL DIA 01/18/2019SPYRAL - GESTION ADMINISTRATIVA"/>
    <n v="102.06"/>
    <n v="0"/>
    <s v="NEGOCIOS"/>
    <x v="1"/>
  </r>
  <r>
    <n v="91"/>
    <d v="2019-01-19T00:00:00"/>
    <x v="7"/>
    <x v="7"/>
    <x v="1"/>
    <s v="ATM"/>
    <s v="NC VIATICOS"/>
    <s v="TRANSACCIONES DEL DIA 01/19/2019SPYRAL - GESTION ADMINISTRATIVA"/>
    <n v="269.14999999999998"/>
    <n v="0"/>
    <s v="NEGOCIOS"/>
    <x v="1"/>
  </r>
  <r>
    <n v="91"/>
    <d v="2019-01-22T00:00:00"/>
    <x v="7"/>
    <x v="7"/>
    <x v="1"/>
    <s v="ATM"/>
    <s v="VIATICOS"/>
    <s v="TRANSACCIONES DEL DIA 01/22/2019SPYRAL - GESTION ADMINISTRATIVA"/>
    <n v="10"/>
    <n v="0"/>
    <s v="NEGOCIOS"/>
    <x v="1"/>
  </r>
  <r>
    <n v="91"/>
    <d v="2019-01-24T00:00:00"/>
    <x v="7"/>
    <x v="7"/>
    <x v="1"/>
    <s v="ATM"/>
    <s v="VIATICOS"/>
    <s v="TRANSACCIONES DEL DIA 01/24/2019SPYRAL - GESTION ADMINISTRATIVA"/>
    <n v="64"/>
    <n v="0"/>
    <s v="NEGOCIOS"/>
    <x v="1"/>
  </r>
  <r>
    <n v="91"/>
    <d v="2019-01-29T00:00:00"/>
    <x v="7"/>
    <x v="7"/>
    <x v="1"/>
    <s v="ATM"/>
    <s v="VIATICOS"/>
    <s v="TRANSACCIONES DEL DIA 01/29/2019SPYRAL - GESTION ADMINISTRATIVA"/>
    <n v="12.3"/>
    <n v="0"/>
    <s v="NEGOCIOS"/>
    <x v="1"/>
  </r>
  <r>
    <n v="91"/>
    <d v="2019-01-30T00:00:00"/>
    <x v="7"/>
    <x v="7"/>
    <x v="1"/>
    <s v="ATM"/>
    <s v="VIATICOS"/>
    <s v="TRANSACCIONES DEL DIA 01/30/2019SPYRAL - GESTION ADMINISTRATIVA"/>
    <n v="51.5"/>
    <n v="0"/>
    <s v="NEGOCIOS"/>
    <x v="1"/>
  </r>
  <r>
    <n v="91"/>
    <d v="2019-02-08T00:00:00"/>
    <x v="8"/>
    <x v="8"/>
    <x v="1"/>
    <s v="ATM"/>
    <s v="VIATICOS"/>
    <s v="TRANSACCIONES DEL DIA 02/08/2019SPYRAL - GESTION ADMINISTRATIVA"/>
    <n v="14.3"/>
    <n v="0"/>
    <s v="NEGOCIOS"/>
    <x v="1"/>
  </r>
  <r>
    <n v="91"/>
    <d v="2019-02-13T00:00:00"/>
    <x v="8"/>
    <x v="8"/>
    <x v="1"/>
    <s v="ATM"/>
    <s v="VIATICOS"/>
    <s v="TRANSACCIONES DEL DIA 02/13/2019SPYRAL - GESTION ADMINISTRATIVA"/>
    <n v="20"/>
    <n v="0"/>
    <s v="NEGOCIOS"/>
    <x v="1"/>
  </r>
  <r>
    <n v="91"/>
    <d v="2019-02-15T00:00:00"/>
    <x v="8"/>
    <x v="8"/>
    <x v="1"/>
    <s v="ATM"/>
    <s v="NC VIATICOS"/>
    <s v="TRANSACCIONES DEL DIA 02/15/2019SPYRAL - GESTION ADMINISTRATIVA"/>
    <n v="193.8"/>
    <n v="0"/>
    <s v="NEGOCIOS"/>
    <x v="1"/>
  </r>
  <r>
    <n v="91"/>
    <d v="2019-03-08T00:00:00"/>
    <x v="9"/>
    <x v="9"/>
    <x v="1"/>
    <s v="ATM"/>
    <s v="VIATICOS"/>
    <s v="TRANSACCIONES DEL DIA 03/08/2019SPYRAL - GESTION ADMINISTRATIVA"/>
    <n v="9.1999999999999993"/>
    <n v="0"/>
    <s v="NEGOCIOS"/>
    <x v="1"/>
  </r>
  <r>
    <n v="91"/>
    <d v="2019-03-11T00:00:00"/>
    <x v="9"/>
    <x v="9"/>
    <x v="1"/>
    <s v="ATM"/>
    <s v="VIATICOS"/>
    <s v="TRANSACCIONES DEL DIA 03/11/2019SPYRAL - GESTION ADMINISTRATIVA"/>
    <n v="22.3"/>
    <n v="0"/>
    <s v="NEGOCIOS"/>
    <x v="1"/>
  </r>
  <r>
    <n v="91"/>
    <d v="2019-03-15T00:00:00"/>
    <x v="9"/>
    <x v="9"/>
    <x v="1"/>
    <s v="ATM"/>
    <s v="VIATICOS"/>
    <s v="TRANSACCIONES DEL DIA 03/15/2019SPYRAL - GESTION ADMINISTRATIVA"/>
    <n v="15"/>
    <n v="0"/>
    <s v="NEGOCIOS"/>
    <x v="1"/>
  </r>
  <r>
    <n v="91"/>
    <d v="2019-03-22T00:00:00"/>
    <x v="9"/>
    <x v="9"/>
    <x v="1"/>
    <s v="ATM"/>
    <s v="NC VIATICOS"/>
    <s v="TRANSACCIONES DEL DIA 03/22/2019SPYRAL - GESTION ADMINISTRATIVA"/>
    <n v="147.19999999999999"/>
    <n v="0"/>
    <s v="NEGOCIOS"/>
    <x v="1"/>
  </r>
  <r>
    <n v="91"/>
    <d v="2019-03-26T00:00:00"/>
    <x v="9"/>
    <x v="9"/>
    <x v="1"/>
    <s v="ATM"/>
    <s v="VIATICOS 2"/>
    <s v="TRANSACCIONES DEL DIA 03/26/2019SPYRAL - GESTION ADMINISTRATIVA"/>
    <n v="10"/>
    <n v="0"/>
    <s v="NEGOCIOS"/>
    <x v="1"/>
  </r>
  <r>
    <n v="91"/>
    <d v="2019-03-27T00:00:00"/>
    <x v="9"/>
    <x v="9"/>
    <x v="1"/>
    <s v="ATM"/>
    <s v="VIATICOS 2"/>
    <s v="TRANSACCIONES DEL DIA 03/27/2019SPYRAL - GESTION ADMINISTRATIVA"/>
    <n v="34.6"/>
    <n v="0"/>
    <s v="NEGOCIOS"/>
    <x v="1"/>
  </r>
  <r>
    <n v="91"/>
    <d v="2019-04-06T00:00:00"/>
    <x v="10"/>
    <x v="10"/>
    <x v="1"/>
    <s v="ATM"/>
    <s v="VIATICOS 2"/>
    <s v="TRANSACCIONES DEL DIA 04/06/2019SPYRAL - GESTION ADMINISTRATIVA"/>
    <n v="10"/>
    <n v="0"/>
    <s v="NEGOCIOS"/>
    <x v="1"/>
  </r>
  <r>
    <n v="91"/>
    <d v="2019-04-09T00:00:00"/>
    <x v="10"/>
    <x v="10"/>
    <x v="1"/>
    <s v="ATM"/>
    <s v="VIATICOS 2"/>
    <s v="TRANSACCIONES DEL DIA 04/09/2019SPYRAL - GESTION ADMINISTRATIVA"/>
    <n v="25"/>
    <n v="0"/>
    <s v="NEGOCIOS"/>
    <x v="1"/>
  </r>
  <r>
    <n v="91"/>
    <d v="2019-04-12T00:00:00"/>
    <x v="10"/>
    <x v="10"/>
    <x v="1"/>
    <s v="ATM"/>
    <s v="VIATICOS 2"/>
    <s v="TRANSACCIONES DEL DIA 04/12/2019SPYRAL - GESTION ADMINISTRATIVA"/>
    <n v="25"/>
    <n v="0"/>
    <s v="NEGOCIOS"/>
    <x v="1"/>
  </r>
  <r>
    <n v="91"/>
    <d v="2019-04-13T00:00:00"/>
    <x v="10"/>
    <x v="10"/>
    <x v="1"/>
    <s v="ATM"/>
    <s v="NC VIATICOS"/>
    <s v="TRANSACCIONES DEL DIA 04/13/2019SPYRAL - GESTION ADMINISTRATIVA"/>
    <n v="0"/>
    <n v="25"/>
    <s v="NEGOCIOS"/>
    <x v="1"/>
  </r>
  <r>
    <n v="91"/>
    <d v="2019-04-16T00:00:00"/>
    <x v="10"/>
    <x v="10"/>
    <x v="1"/>
    <s v="ATM"/>
    <s v="VIATICOS 2"/>
    <s v="TRANSACCIONES DEL DIA 04/16/2019SPYRAL - GESTION ADMINISTRATIVA"/>
    <n v="4.5999999999999996"/>
    <n v="0"/>
    <s v="NEGOCIOS"/>
    <x v="1"/>
  </r>
  <r>
    <n v="91"/>
    <d v="2019-04-22T00:00:00"/>
    <x v="10"/>
    <x v="10"/>
    <x v="1"/>
    <s v="ATM"/>
    <s v="VIATICOS 2"/>
    <s v="TRANSACCIONES DEL DIA 04/22/2019SPYRAL - GESTION ADMINISTRATIVA"/>
    <n v="22.3"/>
    <n v="0"/>
    <s v="NEGOCIOS"/>
    <x v="1"/>
  </r>
  <r>
    <n v="91"/>
    <d v="2019-04-26T00:00:00"/>
    <x v="10"/>
    <x v="10"/>
    <x v="1"/>
    <s v="ATM"/>
    <s v="NC VIATICOS"/>
    <s v="TRANSACCIONES DEL DIA 04/26/2019SPYRAL - GESTION ADMINISTRATIVA"/>
    <n v="143"/>
    <n v="0"/>
    <s v="NEGOCIOS"/>
    <x v="1"/>
  </r>
  <r>
    <n v="91"/>
    <d v="2019-04-29T00:00:00"/>
    <x v="10"/>
    <x v="10"/>
    <x v="1"/>
    <s v="ATM"/>
    <s v="VIATICOS 2"/>
    <s v="TRANSACCIONES DEL DIA 04/29/2019SPYRAL - GESTION ADMINISTRATIVA"/>
    <n v="7.7"/>
    <n v="0"/>
    <s v="NEGOCIOS"/>
    <x v="1"/>
  </r>
  <r>
    <n v="91"/>
    <d v="2019-05-02T00:00:00"/>
    <x v="11"/>
    <x v="11"/>
    <x v="1"/>
    <s v="ATM"/>
    <s v="VIATICOS 2"/>
    <s v="TRANSACCIONES DEL DIA 05/02/2019SPYRAL - GESTION ADMINISTRATIVA"/>
    <n v="7.7"/>
    <n v="0"/>
    <s v="NEGOCIOS"/>
    <x v="1"/>
  </r>
  <r>
    <n v="91"/>
    <d v="2019-05-03T00:00:00"/>
    <x v="11"/>
    <x v="11"/>
    <x v="1"/>
    <s v="ATM"/>
    <s v="VIATICOS"/>
    <s v="TRANSACCIONES DEL DIA 05/03/2019SPYRAL - GESTION ADMINISTRATIVA"/>
    <n v="70.23"/>
    <n v="0"/>
    <s v="NEGOCIOS"/>
    <x v="1"/>
  </r>
  <r>
    <n v="91"/>
    <d v="2019-05-04T00:00:00"/>
    <x v="11"/>
    <x v="11"/>
    <x v="1"/>
    <s v="ATM"/>
    <s v="VIATICOS 2"/>
    <s v="TRANSACCIONES DEL DIA 05/04/2019SPYRAL - GESTION ADMINISTRATIVA"/>
    <n v="4.5999999999999996"/>
    <n v="0"/>
    <s v="NEGOCIOS"/>
    <x v="1"/>
  </r>
  <r>
    <n v="91"/>
    <d v="2019-05-06T00:00:00"/>
    <x v="11"/>
    <x v="11"/>
    <x v="1"/>
    <s v="ATM"/>
    <s v="VIATICOS 2"/>
    <s v="TRANSACCIONES DEL DIA 05/06/2019SPYRAL - GESTION ADMINISTRATIVA"/>
    <n v="4.78"/>
    <n v="0"/>
    <s v="NEGOCIOS"/>
    <x v="1"/>
  </r>
  <r>
    <n v="91"/>
    <d v="2019-05-08T00:00:00"/>
    <x v="11"/>
    <x v="11"/>
    <x v="1"/>
    <s v="ATM"/>
    <s v="VIATICOS 2"/>
    <s v="TRANSACCIONES DEL DIA 05/08/2019SPYRAL - GESTION ADMINISTRATIVA"/>
    <n v="24"/>
    <n v="0"/>
    <s v="NEGOCIOS"/>
    <x v="1"/>
  </r>
  <r>
    <n v="91"/>
    <d v="2019-05-10T00:00:00"/>
    <x v="11"/>
    <x v="11"/>
    <x v="1"/>
    <s v="ATM"/>
    <s v="VIATICOS 2"/>
    <s v="TRANSACCIONES DEL DIA 05/10/2019SPYRAL - GESTION ADMINISTRATIVA"/>
    <n v="14.05"/>
    <n v="0"/>
    <s v="NEGOCIOS"/>
    <x v="1"/>
  </r>
  <r>
    <n v="91"/>
    <d v="2019-05-13T00:00:00"/>
    <x v="11"/>
    <x v="11"/>
    <x v="1"/>
    <s v="ATM"/>
    <s v="VIATICOS 2"/>
    <s v="TRANSACCIONES DEL DIA 05/13/2019SPYRAL - GESTION ADMINISTRATIVA"/>
    <n v="11"/>
    <n v="0"/>
    <s v="NEGOCIOS"/>
    <x v="1"/>
  </r>
  <r>
    <n v="91"/>
    <d v="2019-05-14T00:00:00"/>
    <x v="11"/>
    <x v="11"/>
    <x v="1"/>
    <s v="ATM"/>
    <s v="VIATICOS 2"/>
    <s v="TRANSACCIONES DEL DIA 05/14/2019SPYRAL - GESTION ADMINISTRATIVA"/>
    <n v="17.68"/>
    <n v="0"/>
    <s v="NEGOCIOS"/>
    <x v="1"/>
  </r>
  <r>
    <n v="91"/>
    <d v="2019-05-16T00:00:00"/>
    <x v="11"/>
    <x v="11"/>
    <x v="1"/>
    <s v="ATM"/>
    <s v="NC VIATICOS"/>
    <s v="TRANSACCIONES DEL DIA 05/16/2019SPYRAL - GESTION ADMINISTRATIVA"/>
    <n v="0"/>
    <n v="191.9"/>
    <s v="NEGOCIOS"/>
    <x v="1"/>
  </r>
  <r>
    <n v="91"/>
    <d v="2019-05-17T00:00:00"/>
    <x v="11"/>
    <x v="11"/>
    <x v="1"/>
    <s v="ATM"/>
    <s v="VIATICOS 2"/>
    <s v="TRANSACCIONES DEL DIA 05/17/2019SPYRAL - GESTION ADMINISTRATIVA"/>
    <n v="20.22"/>
    <n v="0"/>
    <s v="NEGOCIOS"/>
    <x v="1"/>
  </r>
  <r>
    <n v="91"/>
    <d v="2019-05-17T00:00:00"/>
    <x v="11"/>
    <x v="11"/>
    <x v="1"/>
    <s v="ATM"/>
    <s v="NC VIATICOS"/>
    <s v="TRANSACCIONES DEL DIA 05/17/2019SPYRAL - GESTION ADMINISTRATIVA"/>
    <n v="383.8"/>
    <n v="0"/>
    <s v="NEGOCIOS"/>
    <x v="1"/>
  </r>
  <r>
    <n v="91"/>
    <d v="2019-05-21T00:00:00"/>
    <x v="11"/>
    <x v="11"/>
    <x v="1"/>
    <s v="ATM"/>
    <s v="VIATICOS 2"/>
    <s v="TRANSACCIONES DEL DIA 05/21/2019SPYRAL - GESTION ADMINISTRATIVA"/>
    <n v="30.35"/>
    <n v="0"/>
    <s v="NEGOCIOS"/>
    <x v="1"/>
  </r>
  <r>
    <n v="91"/>
    <d v="2019-05-22T00:00:00"/>
    <x v="11"/>
    <x v="11"/>
    <x v="1"/>
    <s v="ATM"/>
    <s v="VIATICOS 2"/>
    <s v="TRANSACCIONES DEL DIA 05/22/2019SPYRAL - GESTION ADMINISTRATIVA"/>
    <n v="10"/>
    <n v="0"/>
    <s v="NEGOCIOS"/>
    <x v="1"/>
  </r>
  <r>
    <n v="91"/>
    <d v="2019-05-25T00:00:00"/>
    <x v="11"/>
    <x v="11"/>
    <x v="1"/>
    <s v="ATM"/>
    <s v="VIATICOS 2"/>
    <s v="TRANSACCIONES DEL DIA 05/25/2019SPYRAL - GESTION ADMINISTRATIVA"/>
    <n v="15.35"/>
    <n v="0"/>
    <s v="NEGOCIOS"/>
    <x v="1"/>
  </r>
  <r>
    <n v="91"/>
    <d v="2019-05-29T00:00:00"/>
    <x v="11"/>
    <x v="11"/>
    <x v="1"/>
    <s v="ATM"/>
    <s v="VIATICOS 2"/>
    <s v="TRANSACCIONES DEL DIA 05/29/2019SPYRAL - GESTION ADMINISTRATIVA"/>
    <n v="5"/>
    <n v="0"/>
    <s v="NEGOCIOS"/>
    <x v="1"/>
  </r>
  <r>
    <n v="91"/>
    <d v="2019-06-01T00:00:00"/>
    <x v="2"/>
    <x v="2"/>
    <x v="1"/>
    <s v="ATM"/>
    <s v="VIATICOS 2"/>
    <s v="TRANSACCIONES DEL DIA 06/01/2019SPYRAL - GESTION ADMINISTRATIVA"/>
    <n v="10"/>
    <n v="0"/>
    <s v="NEGOCIOS"/>
    <x v="1"/>
  </r>
  <r>
    <n v="91"/>
    <d v="2019-06-15T00:00:00"/>
    <x v="2"/>
    <x v="2"/>
    <x v="1"/>
    <s v="ATM"/>
    <s v="VIATICOS 2"/>
    <s v="TRANSACCIONES DEL DIA 06/15/2019SPYRAL - GESTION ADMINISTRATIVA"/>
    <n v="73.53"/>
    <n v="0"/>
    <s v="NEGOCIOS"/>
    <x v="1"/>
  </r>
  <r>
    <n v="91"/>
    <d v="2019-06-20T00:00:00"/>
    <x v="2"/>
    <x v="2"/>
    <x v="1"/>
    <s v="ATM"/>
    <s v="NC VIATICOS"/>
    <s v="TRANSACCIONES DEL DIA 06/20/2019SPYRAL - GESTION ADMINISTRATIVA"/>
    <n v="187.45"/>
    <n v="0"/>
    <s v="NEGOCIOS"/>
    <x v="1"/>
  </r>
  <r>
    <n v="91"/>
    <d v="2019-06-21T00:00:00"/>
    <x v="2"/>
    <x v="2"/>
    <x v="1"/>
    <s v="ATM"/>
    <s v="VIATICOS 2"/>
    <s v="TRANSACCIONES DEL DIA 06/21/2019SPYRAL - GESTION ADMINISTRATIVA"/>
    <n v="37"/>
    <n v="0"/>
    <s v="NEGOCIOS"/>
    <x v="1"/>
  </r>
  <r>
    <n v="91"/>
    <d v="2019-07-02T00:00:00"/>
    <x v="6"/>
    <x v="6"/>
    <x v="1"/>
    <s v="ATM"/>
    <s v="VIATICOS 2"/>
    <s v="TRANSACCIONES DEL DIA 07/02/2019SPYRAL - GESTION ADMINISTRATIVA"/>
    <n v="9.9"/>
    <n v="0"/>
    <s v="NEGOCIOS"/>
    <x v="1"/>
  </r>
  <r>
    <n v="91"/>
    <d v="2019-07-08T00:00:00"/>
    <x v="6"/>
    <x v="6"/>
    <x v="1"/>
    <s v="ATM"/>
    <s v="VIATICOS 2"/>
    <s v="TRANSACCIONES DEL DIA 07/08/2019SPYRAL - GESTION ADMINISTRATIVA"/>
    <n v="10"/>
    <n v="0"/>
    <s v="NEGOCIOS"/>
    <x v="1"/>
  </r>
  <r>
    <n v="91"/>
    <d v="2019-07-10T00:00:00"/>
    <x v="6"/>
    <x v="6"/>
    <x v="1"/>
    <s v="ATM"/>
    <s v="VIATICOS 2"/>
    <s v="TRANSACCIONES DEL DIA 07/10/2019SPYRAL - GESTION ADMINISTRATIVA"/>
    <n v="12"/>
    <n v="0"/>
    <s v="NEGOCIOS"/>
    <x v="1"/>
  </r>
  <r>
    <n v="91"/>
    <d v="2019-07-11T00:00:00"/>
    <x v="6"/>
    <x v="6"/>
    <x v="1"/>
    <s v="ATM"/>
    <s v="NC VIATICOS"/>
    <s v="TRANSACCIONES DEL DIA 07/11/2019SPYRAL - GESTION ADMINISTRATIVA"/>
    <n v="30"/>
    <n v="0"/>
    <s v="NEGOCIOS"/>
    <x v="1"/>
  </r>
  <r>
    <n v="91"/>
    <d v="2019-07-12T00:00:00"/>
    <x v="6"/>
    <x v="6"/>
    <x v="1"/>
    <s v="ATM"/>
    <s v="NC VIATICOS"/>
    <s v="TRANSACCIONES DEL DIA 07/12/2019SPYRAL - GESTION ADMINISTRATIVA"/>
    <n v="223.1"/>
    <n v="0"/>
    <s v="NEGOCIOS"/>
    <x v="1"/>
  </r>
  <r>
    <n v="91"/>
    <d v="2019-07-17T00:00:00"/>
    <x v="6"/>
    <x v="6"/>
    <x v="1"/>
    <s v="ATM"/>
    <s v="VIATICOS 2"/>
    <s v="TRANSACCIONES DEL DIA 07/17/2019SPYRAL - GESTION ADMINISTRATIVA"/>
    <n v="96.05"/>
    <n v="0"/>
    <s v="NEGOCIOS"/>
    <x v="1"/>
  </r>
  <r>
    <n v="91"/>
    <d v="2019-07-23T00:00:00"/>
    <x v="6"/>
    <x v="6"/>
    <x v="1"/>
    <s v="ATM"/>
    <s v="VIATICOS 2"/>
    <s v="TRANSACCIONES DEL DIA 07/23/2019SPYRAL - GESTION ADMINISTRATIVA"/>
    <n v="10"/>
    <n v="0"/>
    <s v="NEGOCIOS"/>
    <x v="1"/>
  </r>
  <r>
    <n v="91"/>
    <d v="2019-07-23T00:00:00"/>
    <x v="6"/>
    <x v="6"/>
    <x v="1"/>
    <s v="ATM"/>
    <s v="VIATICOS"/>
    <s v="TRANSACCIONES DEL DIA 07/23/2019SPYRAL - GESTION ADMINISTRATIVA"/>
    <n v="96"/>
    <n v="0"/>
    <s v="NEGOCIOS"/>
    <x v="1"/>
  </r>
  <r>
    <n v="91"/>
    <d v="2019-07-25T00:00:00"/>
    <x v="6"/>
    <x v="6"/>
    <x v="1"/>
    <s v="ATM"/>
    <s v="VIATICOS 2"/>
    <s v="TRANSACCIONES DEL DIA 07/25/2019SPYRAL - GESTION ADMINISTRATIVA"/>
    <n v="13.8"/>
    <n v="0"/>
    <s v="NEGOCIOS"/>
    <x v="1"/>
  </r>
  <r>
    <n v="91"/>
    <d v="2019-07-30T00:00:00"/>
    <x v="6"/>
    <x v="6"/>
    <x v="1"/>
    <s v="ATM"/>
    <s v="VIATICOS 2"/>
    <s v="TRANSACCIONES DEL DIA 07/30/2019SPYRAL - GESTION ADMINISTRATIVA"/>
    <n v="109"/>
    <n v="0"/>
    <s v="NEGOCIOS"/>
    <x v="1"/>
  </r>
  <r>
    <n v="91"/>
    <d v="2019-01-19T00:00:00"/>
    <x v="7"/>
    <x v="7"/>
    <x v="1"/>
    <s v="ATENCION A CLIENTES"/>
    <s v="NC VIATICOS"/>
    <s v="TRANSACCIONES DEL DIA 01/19/2019SPYRAL - GESTION ADMINISTRATIVA"/>
    <n v="603.04999999999995"/>
    <n v="0"/>
    <s v="NEGOCIOS"/>
    <x v="1"/>
  </r>
  <r>
    <n v="91"/>
    <d v="2019-02-15T00:00:00"/>
    <x v="8"/>
    <x v="8"/>
    <x v="1"/>
    <s v="ATENCION A CLIENTES"/>
    <s v="NC VIATICOS"/>
    <s v="TRANSACCIONES DEL DIA 02/15/2019SPYRAL - GESTION ADMINISTRATIVA"/>
    <n v="524.4"/>
    <n v="0"/>
    <s v="NEGOCIOS"/>
    <x v="1"/>
  </r>
  <r>
    <n v="91"/>
    <d v="2019-03-22T00:00:00"/>
    <x v="9"/>
    <x v="9"/>
    <x v="1"/>
    <s v="ATENCION A CLIENTES"/>
    <s v="NC VIATICOS"/>
    <s v="TRANSACCIONES DEL DIA 03/22/2019SPYRAL - GESTION ADMINISTRATIVA"/>
    <n v="552.95000000000005"/>
    <n v="0"/>
    <s v="NEGOCIOS"/>
    <x v="1"/>
  </r>
  <r>
    <n v="91"/>
    <d v="2019-04-26T00:00:00"/>
    <x v="10"/>
    <x v="10"/>
    <x v="1"/>
    <s v="ATENCION A CLIENTES"/>
    <s v="NC VIATICOS"/>
    <s v="TRANSACCIONES DEL DIA 04/26/2019SPYRAL - GESTION ADMINISTRATIVA"/>
    <n v="571.54999999999995"/>
    <n v="0"/>
    <s v="NEGOCIOS"/>
    <x v="1"/>
  </r>
  <r>
    <n v="91"/>
    <d v="2019-05-16T00:00:00"/>
    <x v="11"/>
    <x v="11"/>
    <x v="1"/>
    <s v="ATENCION A CLIENTES"/>
    <s v="NC VIATICOS"/>
    <s v="TRANSACCIONES DEL DIA 05/16/2019SPYRAL - GESTION ADMINISTRATIVA"/>
    <n v="0"/>
    <n v="614.4"/>
    <s v="NEGOCIOS"/>
    <x v="1"/>
  </r>
  <r>
    <n v="91"/>
    <d v="2019-05-17T00:00:00"/>
    <x v="11"/>
    <x v="11"/>
    <x v="1"/>
    <s v="ATENCION A CLIENTES"/>
    <s v="NC VIATICOS"/>
    <s v="TRANSACCIONES DEL DIA 05/17/2019SPYRAL - GESTION ADMINISTRATIVA"/>
    <n v="1228.8"/>
    <n v="0"/>
    <s v="NEGOCIOS"/>
    <x v="1"/>
  </r>
  <r>
    <n v="91"/>
    <d v="2019-06-01T00:00:00"/>
    <x v="2"/>
    <x v="2"/>
    <x v="1"/>
    <s v="ATENCION A CLIENTES"/>
    <s v="NC VIATICOS"/>
    <s v="TRANSACCIONES DEL DIA 06/01/2019SPYRAL - GESTION ADMINISTRATIVA"/>
    <n v="1227.23"/>
    <n v="0"/>
    <s v="NEGOCIOS"/>
    <x v="1"/>
  </r>
  <r>
    <n v="91"/>
    <d v="2019-06-20T00:00:00"/>
    <x v="2"/>
    <x v="2"/>
    <x v="1"/>
    <s v="ATENCION A CLIENTES"/>
    <s v="NC VIATICOS"/>
    <s v="TRANSACCIONES DEL DIA 06/20/2019SPYRAL - GESTION ADMINISTRATIVA"/>
    <n v="743.3"/>
    <n v="0"/>
    <s v="NEGOCIOS"/>
    <x v="1"/>
  </r>
  <r>
    <n v="91"/>
    <d v="2019-07-12T00:00:00"/>
    <x v="6"/>
    <x v="6"/>
    <x v="1"/>
    <s v="ATENCION A CLIENTES"/>
    <s v="NC VIATICOS"/>
    <s v="TRANSACCIONES DEL DIA 07/12/2019SPYRAL - GESTION ADMINISTRATIVA"/>
    <n v="771.1"/>
    <n v="0"/>
    <s v="NEGOCIOS"/>
    <x v="1"/>
  </r>
  <r>
    <n v="91"/>
    <d v="2019-01-08T00:00:00"/>
    <x v="7"/>
    <x v="7"/>
    <x v="1"/>
    <s v="DESARROLLO DE PRODUCTOS"/>
    <s v="VIATICOS"/>
    <s v="TRANSACCIONES DEL DIA 01/08/2019SPYRAL - GESTION ADMINISTRATIVA"/>
    <n v="246.2"/>
    <n v="0"/>
    <s v="NEGOCIOS"/>
    <x v="1"/>
  </r>
  <r>
    <n v="91"/>
    <d v="2019-01-11T00:00:00"/>
    <x v="7"/>
    <x v="7"/>
    <x v="1"/>
    <s v="DESARROLLO DE PRODUCTOS"/>
    <s v="VIATICOS"/>
    <s v="TRANSACCIONES DEL DIA 01/11/2019SPYRAL - GESTION ADMINISTRATIVA"/>
    <n v="11.5"/>
    <n v="0"/>
    <s v="NEGOCIOS"/>
    <x v="1"/>
  </r>
  <r>
    <n v="91"/>
    <d v="2019-02-05T00:00:00"/>
    <x v="8"/>
    <x v="8"/>
    <x v="1"/>
    <s v="DESARROLLO DE PRODUCTOS"/>
    <s v="VIATICOS"/>
    <s v="TRANSACCIONES DEL DIA 02/05/2019SPYRAL - GESTION ADMINISTRATIVA"/>
    <n v="42"/>
    <n v="0"/>
    <s v="NEGOCIOS"/>
    <x v="1"/>
  </r>
  <r>
    <n v="91"/>
    <d v="2019-02-07T00:00:00"/>
    <x v="8"/>
    <x v="8"/>
    <x v="1"/>
    <s v="DESARROLLO DE PRODUCTOS"/>
    <s v="NC VIATICOS"/>
    <s v="TRANSACCIONES DEL DIA 02/07/2019SPYRAL - GESTION ADMINISTRATIVA"/>
    <n v="517.79"/>
    <n v="0"/>
    <s v="NEGOCIOS"/>
    <x v="1"/>
  </r>
  <r>
    <n v="91"/>
    <d v="2019-02-11T00:00:00"/>
    <x v="8"/>
    <x v="8"/>
    <x v="1"/>
    <s v="DESARROLLO DE PRODUCTOS"/>
    <s v="VIATICOS"/>
    <s v="TRANSACCIONES DEL DIA 02/11/2019SPYRAL - GESTION ADMINISTRATIVA"/>
    <n v="12.9"/>
    <n v="0"/>
    <s v="NEGOCIOS"/>
    <x v="1"/>
  </r>
  <r>
    <n v="91"/>
    <d v="2019-02-13T00:00:00"/>
    <x v="8"/>
    <x v="8"/>
    <x v="1"/>
    <s v="DESARROLLO DE PRODUCTOS"/>
    <s v="VIATICOS"/>
    <s v="TRANSACCIONES DEL DIA 02/13/2019SPYRAL - GESTION ADMINISTRATIVA"/>
    <n v="128"/>
    <n v="0"/>
    <s v="NEGOCIOS"/>
    <x v="1"/>
  </r>
  <r>
    <n v="91"/>
    <d v="2019-02-18T00:00:00"/>
    <x v="8"/>
    <x v="8"/>
    <x v="1"/>
    <s v="DESARROLLO DE PRODUCTOS"/>
    <s v="VIATICOS 2"/>
    <s v="TRANSACCIONES DEL DIA 02/18/2019SPYRAL - GESTION ADMINISTRATIVA"/>
    <n v="48"/>
    <n v="0"/>
    <s v="NEGOCIOS"/>
    <x v="1"/>
  </r>
  <r>
    <n v="91"/>
    <d v="2019-02-25T00:00:00"/>
    <x v="8"/>
    <x v="8"/>
    <x v="1"/>
    <s v="DESARROLLO DE PRODUCTOS"/>
    <s v="VIATICOS"/>
    <s v="TRANSACCIONES DEL DIA 02/25/2019SPYRAL - GESTION ADMINISTRATIVA"/>
    <n v="9.85"/>
    <n v="0"/>
    <s v="NEGOCIOS"/>
    <x v="1"/>
  </r>
  <r>
    <n v="91"/>
    <d v="2019-02-26T00:00:00"/>
    <x v="8"/>
    <x v="8"/>
    <x v="1"/>
    <s v="DESARROLLO DE PRODUCTOS"/>
    <s v="VIATICOS"/>
    <s v="TRANSACCIONES DEL DIA 02/26/2019SPYRAL - GESTION ADMINISTRATIVA"/>
    <n v="10.25"/>
    <n v="0"/>
    <s v="NEGOCIOS"/>
    <x v="1"/>
  </r>
  <r>
    <n v="91"/>
    <d v="2019-03-01T00:00:00"/>
    <x v="9"/>
    <x v="9"/>
    <x v="1"/>
    <s v="DESARROLLO DE PRODUCTOS"/>
    <s v="VIATICOS"/>
    <s v="TRANSACCIONES DEL DIA 03/01/2019SPYRAL - GESTION ADMINISTRATIVA"/>
    <n v="28.95"/>
    <n v="0"/>
    <s v="NEGOCIOS"/>
    <x v="1"/>
  </r>
  <r>
    <n v="91"/>
    <d v="2019-03-06T00:00:00"/>
    <x v="9"/>
    <x v="9"/>
    <x v="1"/>
    <s v="DESARROLLO DE PRODUCTOS"/>
    <s v="VIATICOS"/>
    <s v="TRANSACCIONES DEL DIA 03/06/2019SPYRAL - GESTION ADMINISTRATIVA"/>
    <n v="42.5"/>
    <n v="0"/>
    <s v="NEGOCIOS"/>
    <x v="1"/>
  </r>
  <r>
    <n v="91"/>
    <d v="2019-03-12T00:00:00"/>
    <x v="9"/>
    <x v="9"/>
    <x v="1"/>
    <s v="DESARROLLO DE PRODUCTOS"/>
    <s v="VIATICOS"/>
    <s v="TRANSACCIONES DEL DIA 03/12/2019SPYRAL - GESTION ADMINISTRATIVA"/>
    <n v="436"/>
    <n v="0"/>
    <s v="NEGOCIOS"/>
    <x v="1"/>
  </r>
  <r>
    <n v="91"/>
    <d v="2019-03-21T00:00:00"/>
    <x v="9"/>
    <x v="9"/>
    <x v="1"/>
    <s v="DESARROLLO DE PRODUCTOS"/>
    <s v="VIATICOS 2"/>
    <s v="TRANSACCIONES DEL DIA 03/21/2019SPYRAL - GESTION ADMINISTRATIVA"/>
    <n v="33.25"/>
    <n v="0"/>
    <s v="NEGOCIOS"/>
    <x v="1"/>
  </r>
  <r>
    <n v="91"/>
    <d v="2019-03-27T00:00:00"/>
    <x v="9"/>
    <x v="9"/>
    <x v="1"/>
    <s v="DESARROLLO DE PRODUCTOS"/>
    <s v="NC VIATICOS"/>
    <s v="TRANSACCIONES DEL DIA 03/27/2019SPYRAL - GESTION ADMINISTRATIVA"/>
    <n v="32.65"/>
    <n v="0"/>
    <s v="NEGOCIOS"/>
    <x v="1"/>
  </r>
  <r>
    <n v="91"/>
    <d v="2019-04-08T00:00:00"/>
    <x v="10"/>
    <x v="10"/>
    <x v="1"/>
    <s v="DESARROLLO DE PRODUCTOS"/>
    <s v="VIATICOS 2"/>
    <s v="TRANSACCIONES DEL DIA 04/08/2019SPYRAL - GESTION ADMINISTRATIVA"/>
    <n v="16.3"/>
    <n v="0"/>
    <s v="NEGOCIOS"/>
    <x v="1"/>
  </r>
  <r>
    <n v="91"/>
    <d v="2019-04-22T00:00:00"/>
    <x v="10"/>
    <x v="10"/>
    <x v="1"/>
    <s v="DESARROLLO DE PRODUCTOS"/>
    <s v="VIATICOS"/>
    <s v="TRANSACCIONES DEL DIA 04/22/2019SPYRAL - GESTION ADMINISTRATIVA"/>
    <n v="393.11"/>
    <n v="0"/>
    <s v="NEGOCIOS"/>
    <x v="1"/>
  </r>
  <r>
    <n v="91"/>
    <d v="2019-04-22T00:00:00"/>
    <x v="10"/>
    <x v="10"/>
    <x v="1"/>
    <s v="DESARROLLO DE PRODUCTOS"/>
    <s v="VIATICOS 2"/>
    <s v="TRANSACCIONES DEL DIA 04/22/2019SPYRAL - GESTION ADMINISTRATIVA"/>
    <n v="662.4"/>
    <n v="0"/>
    <s v="NEGOCIOS"/>
    <x v="1"/>
  </r>
  <r>
    <n v="91"/>
    <d v="2019-05-03T00:00:00"/>
    <x v="11"/>
    <x v="11"/>
    <x v="1"/>
    <s v="DESARROLLO DE PRODUCTOS"/>
    <s v="VIATICOS 2"/>
    <s v="TRANSACCIONES DEL DIA 05/03/2019SPYRAL - GESTION ADMINISTRATIVA"/>
    <n v="435"/>
    <n v="0"/>
    <s v="NEGOCIOS"/>
    <x v="1"/>
  </r>
  <r>
    <n v="91"/>
    <d v="2019-05-07T00:00:00"/>
    <x v="11"/>
    <x v="11"/>
    <x v="1"/>
    <s v="DESARROLLO DE PRODUCTOS"/>
    <s v="VIATICOS 2"/>
    <s v="TRANSACCIONES DEL DIA 05/07/2019SPYRAL - GESTION ADMINISTRATIVA"/>
    <n v="23.05"/>
    <n v="0"/>
    <s v="NEGOCIOS"/>
    <x v="1"/>
  </r>
  <r>
    <n v="91"/>
    <d v="2019-05-17T00:00:00"/>
    <x v="11"/>
    <x v="11"/>
    <x v="1"/>
    <s v="DESARROLLO DE PRODUCTOS"/>
    <s v="VIATICOS"/>
    <s v="TRANSACCIONES DEL DIA 05/17/2019SPYRAL - GESTION ADMINISTRATIVA"/>
    <n v="26.78"/>
    <n v="0"/>
    <s v="NEGOCIOS"/>
    <x v="1"/>
  </r>
  <r>
    <n v="91"/>
    <d v="2019-06-03T00:00:00"/>
    <x v="2"/>
    <x v="2"/>
    <x v="1"/>
    <s v="DESARROLLO DE PRODUCTOS"/>
    <s v="NC VIATICOS"/>
    <s v="TRANSACCIONES DEL DIA 06/03/2019SPYRAL - GESTION ADMINISTRATIVA"/>
    <n v="0"/>
    <n v="26.78"/>
    <s v="NEGOCIOS"/>
    <x v="1"/>
  </r>
  <r>
    <n v="91"/>
    <d v="2019-07-10T00:00:00"/>
    <x v="6"/>
    <x v="6"/>
    <x v="1"/>
    <s v="DESARROLLO DE PRODUCTOS"/>
    <s v="VIATICOS 2"/>
    <s v="TRANSACCIONES DEL DIA 07/10/2019SPYRAL - GESTION ADMINISTRATIVA"/>
    <n v="20.85"/>
    <n v="0"/>
    <s v="NEGOCIOS"/>
    <x v="1"/>
  </r>
  <r>
    <n v="91"/>
    <d v="2019-07-11T00:00:00"/>
    <x v="6"/>
    <x v="6"/>
    <x v="1"/>
    <s v="DESARROLLO DE PRODUCTOS"/>
    <s v="VIATICOS 2"/>
    <s v="TRANSACCIONES DEL DIA 07/11/2019SPYRAL - GESTION ADMINISTRATIVA"/>
    <n v="12.9"/>
    <n v="0"/>
    <s v="NEGOCIOS"/>
    <x v="1"/>
  </r>
  <r>
    <n v="91"/>
    <d v="2019-07-24T00:00:00"/>
    <x v="6"/>
    <x v="6"/>
    <x v="1"/>
    <s v="DESARROLLO DE PRODUCTOS"/>
    <s v="VIATICOS"/>
    <s v="TRANSACCIONES DEL DIA 07/24/2019SPYRAL - GESTION ADMINISTRATIVA"/>
    <n v="265"/>
    <n v="0"/>
    <s v="NEGOCIOS"/>
    <x v="1"/>
  </r>
  <r>
    <n v="91"/>
    <d v="2019-01-19T00:00:00"/>
    <x v="7"/>
    <x v="7"/>
    <x v="1"/>
    <s v="VENTAS CONSUMO"/>
    <s v="NC VIATICOS"/>
    <s v="TRANSACCIONES DEL DIA 01/19/2019SPYRAL - GESTION ADMINISTRATIVA"/>
    <n v="532.04999999999995"/>
    <n v="0"/>
    <s v="NEGOCIOS"/>
    <x v="1"/>
  </r>
  <r>
    <n v="91"/>
    <d v="2019-02-15T00:00:00"/>
    <x v="8"/>
    <x v="8"/>
    <x v="1"/>
    <s v="VENTAS CONSUMO"/>
    <s v="NC VIATICOS"/>
    <s v="TRANSACCIONES DEL DIA 02/15/2019SPYRAL - GESTION ADMINISTRATIVA"/>
    <n v="622.45000000000005"/>
    <n v="0"/>
    <s v="NEGOCIOS"/>
    <x v="1"/>
  </r>
  <r>
    <n v="91"/>
    <d v="2019-02-22T00:00:00"/>
    <x v="8"/>
    <x v="8"/>
    <x v="1"/>
    <s v="VENTAS CONSUMO"/>
    <s v="NC VIATICOS"/>
    <s v="TRANSACCIONES DEL DIA 02/22/2019SPYRAL - GESTION ADMINISTRATIVA"/>
    <n v="157.69999999999999"/>
    <n v="0"/>
    <s v="NEGOCIOS"/>
    <x v="1"/>
  </r>
  <r>
    <n v="91"/>
    <d v="2019-03-22T00:00:00"/>
    <x v="9"/>
    <x v="9"/>
    <x v="1"/>
    <s v="VENTAS CONSUMO"/>
    <s v="NC VIATICOS"/>
    <s v="TRANSACCIONES DEL DIA 03/22/2019SPYRAL - GESTION ADMINISTRATIVA"/>
    <n v="386.65"/>
    <n v="0"/>
    <s v="NEGOCIOS"/>
    <x v="1"/>
  </r>
  <r>
    <n v="91"/>
    <d v="2019-04-17T00:00:00"/>
    <x v="10"/>
    <x v="10"/>
    <x v="1"/>
    <s v="VENTAS CONSUMO"/>
    <s v="VIATICOS 2"/>
    <s v="TRANSACCIONES DEL DIA 04/17/2019SPYRAL - GESTION ADMINISTRATIVA"/>
    <n v="19.420000000000002"/>
    <n v="0"/>
    <s v="NEGOCIOS"/>
    <x v="1"/>
  </r>
  <r>
    <n v="91"/>
    <d v="2019-04-18T00:00:00"/>
    <x v="10"/>
    <x v="10"/>
    <x v="1"/>
    <s v="VENTAS CONSUMO"/>
    <s v="NC VIATICOS"/>
    <s v="TRANSACCIONES DEL DIA 04/18/2019SPYRAL - GESTION ADMINISTRATIVA"/>
    <n v="297.27999999999997"/>
    <n v="0"/>
    <s v="NEGOCIOS"/>
    <x v="1"/>
  </r>
  <r>
    <n v="91"/>
    <d v="2019-05-10T00:00:00"/>
    <x v="11"/>
    <x v="11"/>
    <x v="1"/>
    <s v="VENTAS CONSUMO"/>
    <s v="VIATICOS 2"/>
    <s v="TRANSACCIONES DEL DIA 05/10/2019SPYRAL - GESTION ADMINISTRATIVA"/>
    <n v="10.25"/>
    <n v="0"/>
    <s v="NEGOCIOS"/>
    <x v="1"/>
  </r>
  <r>
    <n v="91"/>
    <d v="2019-05-30T00:00:00"/>
    <x v="11"/>
    <x v="11"/>
    <x v="1"/>
    <s v="VENTAS CONSUMO"/>
    <s v="VIATICOS 2"/>
    <s v="TRANSACCIONES DEL DIA 05/30/2019SPYRAL - GESTION ADMINISTRATIVA"/>
    <n v="95.6"/>
    <n v="0"/>
    <s v="NEGOCIOS"/>
    <x v="1"/>
  </r>
  <r>
    <n v="91"/>
    <d v="2019-06-05T00:00:00"/>
    <x v="2"/>
    <x v="2"/>
    <x v="1"/>
    <s v="VENTAS CONSUMO"/>
    <s v="NC VIATICOS"/>
    <s v="TRANSACCIONES DEL DIA 06/05/2019SPYRAL - GESTION ADMINISTRATIVA"/>
    <n v="170"/>
    <n v="0"/>
    <s v="NEGOCIOS"/>
    <x v="1"/>
  </r>
  <r>
    <n v="91"/>
    <d v="2019-07-10T00:00:00"/>
    <x v="6"/>
    <x v="6"/>
    <x v="1"/>
    <s v="VENTAS CONSUMO"/>
    <s v="VIATICOS 2"/>
    <s v="TRANSACCIONES DEL DIA 07/10/2019SPYRAL - GESTION ADMINISTRATIVA"/>
    <n v="125.68"/>
    <n v="0"/>
    <s v="NEGOCIOS"/>
    <x v="1"/>
  </r>
  <r>
    <n v="91"/>
    <d v="2019-07-11T00:00:00"/>
    <x v="6"/>
    <x v="6"/>
    <x v="1"/>
    <s v="VENTAS CONSUMO"/>
    <s v="NC VIATICOS"/>
    <s v="TRANSACCIONES DEL DIA 07/11/2019SPYRAL - GESTION ADMINISTRATIVA"/>
    <n v="20.25"/>
    <n v="0"/>
    <s v="NEGOCIOS"/>
    <x v="1"/>
  </r>
  <r>
    <n v="91"/>
    <d v="2019-07-19T00:00:00"/>
    <x v="6"/>
    <x v="6"/>
    <x v="1"/>
    <s v="VENTAS CONSUMO"/>
    <s v="VIATICOS 2"/>
    <s v="TRANSACCIONES DEL DIA 07/19/2019SPYRAL - GESTION ADMINISTRATIVA"/>
    <n v="18.68"/>
    <n v="0"/>
    <s v="NEGOCIOS"/>
    <x v="1"/>
  </r>
  <r>
    <n v="91"/>
    <d v="2019-01-03T00:00:00"/>
    <x v="7"/>
    <x v="7"/>
    <x v="1"/>
    <s v="FUERZAS DE VENTAS PANAMA"/>
    <s v="VIATICOS 2"/>
    <s v="TRANSACCIONES DEL DIA 01/03/2019SPYRAL - GESTION ADMINISTRATIVA"/>
    <n v="2100"/>
    <n v="0"/>
    <s v="NEGOCIOS"/>
    <x v="1"/>
  </r>
  <r>
    <n v="91"/>
    <d v="2019-01-14T00:00:00"/>
    <x v="7"/>
    <x v="7"/>
    <x v="1"/>
    <s v="FUERZAS DE VENTAS PANAMA"/>
    <s v="VIATICOS"/>
    <s v="TRANSACCIONES DEL DIA 01/14/2019SPYRAL - GESTION ADMINISTRATIVA"/>
    <n v="43.86"/>
    <n v="0"/>
    <s v="NEGOCIOS"/>
    <x v="1"/>
  </r>
  <r>
    <n v="91"/>
    <d v="2019-01-15T00:00:00"/>
    <x v="7"/>
    <x v="7"/>
    <x v="1"/>
    <s v="FUERZAS DE VENTAS PANAMA"/>
    <s v="VIATICOS"/>
    <s v="TRANSACCIONES DEL DIA 01/15/2019SPYRAL - GESTION ADMINISTRATIVA"/>
    <n v="20.9"/>
    <n v="0"/>
    <s v="NEGOCIOS"/>
    <x v="1"/>
  </r>
  <r>
    <n v="91"/>
    <d v="2019-01-17T00:00:00"/>
    <x v="7"/>
    <x v="7"/>
    <x v="1"/>
    <s v="FUERZAS DE VENTAS PANAMA"/>
    <s v="VIATICOS"/>
    <s v="TRANSACCIONES DEL DIA 01/17/2019SPYRAL - GESTION ADMINISTRATIVA"/>
    <n v="10.07"/>
    <n v="0"/>
    <s v="NEGOCIOS"/>
    <x v="1"/>
  </r>
  <r>
    <n v="91"/>
    <d v="2019-01-21T00:00:00"/>
    <x v="7"/>
    <x v="7"/>
    <x v="1"/>
    <s v="FUERZAS DE VENTAS PANAMA"/>
    <s v="VIATICOS"/>
    <s v="TRANSACCIONES DEL DIA 01/21/2019SPYRAL - GESTION ADMINISTRATIVA"/>
    <n v="88.61"/>
    <n v="0"/>
    <s v="NEGOCIOS"/>
    <x v="1"/>
  </r>
  <r>
    <n v="91"/>
    <d v="2019-01-24T00:00:00"/>
    <x v="7"/>
    <x v="7"/>
    <x v="1"/>
    <s v="FUERZAS DE VENTAS PANAMA"/>
    <s v="VIATICOS"/>
    <s v="TRANSACCIONES DEL DIA 01/24/2019SPYRAL - GESTION ADMINISTRATIVA"/>
    <n v="21.1"/>
    <n v="0"/>
    <s v="NEGOCIOS"/>
    <x v="1"/>
  </r>
  <r>
    <n v="91"/>
    <d v="2019-01-25T00:00:00"/>
    <x v="7"/>
    <x v="7"/>
    <x v="1"/>
    <s v="FUERZAS DE VENTAS PANAMA"/>
    <s v="VIATICOS"/>
    <s v="TRANSACCIONES DEL DIA 01/25/2019SPYRAL - GESTION ADMINISTRATIVA"/>
    <n v="6.25"/>
    <n v="0"/>
    <s v="NEGOCIOS"/>
    <x v="1"/>
  </r>
  <r>
    <n v="91"/>
    <d v="2019-02-02T00:00:00"/>
    <x v="8"/>
    <x v="8"/>
    <x v="1"/>
    <s v="FUERZAS DE VENTAS PANAMA"/>
    <s v="VIATICOS"/>
    <s v="TRANSACCIONES DEL DIA 02/02/2019SPYRAL - GESTION ADMINISTRATIVA"/>
    <n v="37.14"/>
    <n v="0"/>
    <s v="NEGOCIOS"/>
    <x v="1"/>
  </r>
  <r>
    <n v="91"/>
    <d v="2019-02-04T00:00:00"/>
    <x v="8"/>
    <x v="8"/>
    <x v="1"/>
    <s v="FUERZAS DE VENTAS PANAMA"/>
    <s v="VIATICOS 2"/>
    <s v="TRANSACCIONES DEL DIA 02/04/2019SPYRAL - GESTION ADMINISTRATIVA"/>
    <n v="2250"/>
    <n v="0"/>
    <s v="NEGOCIOS"/>
    <x v="1"/>
  </r>
  <r>
    <n v="91"/>
    <d v="2019-02-06T00:00:00"/>
    <x v="8"/>
    <x v="8"/>
    <x v="1"/>
    <s v="FUERZAS DE VENTAS PANAMA"/>
    <s v="VIATICOS"/>
    <s v="TRANSACCIONES DEL DIA 02/06/2019SPYRAL - GESTION ADMINISTRATIVA"/>
    <n v="10.57"/>
    <n v="0"/>
    <s v="NEGOCIOS"/>
    <x v="1"/>
  </r>
  <r>
    <n v="91"/>
    <d v="2019-02-08T00:00:00"/>
    <x v="8"/>
    <x v="8"/>
    <x v="1"/>
    <s v="FUERZAS DE VENTAS PANAMA"/>
    <s v="VIATICOS"/>
    <s v="TRANSACCIONES DEL DIA 02/08/2019SPYRAL - GESTION ADMINISTRATIVA"/>
    <n v="20.51"/>
    <n v="0"/>
    <s v="NEGOCIOS"/>
    <x v="1"/>
  </r>
  <r>
    <n v="91"/>
    <d v="2019-02-09T00:00:00"/>
    <x v="8"/>
    <x v="8"/>
    <x v="1"/>
    <s v="FUERZAS DE VENTAS PANAMA"/>
    <s v="VIATICOS"/>
    <s v="TRANSACCIONES DEL DIA 02/09/2019SPYRAL - GESTION ADMINISTRATIVA"/>
    <n v="154.85"/>
    <n v="0"/>
    <s v="NEGOCIOS"/>
    <x v="1"/>
  </r>
  <r>
    <n v="91"/>
    <d v="2019-02-15T00:00:00"/>
    <x v="8"/>
    <x v="8"/>
    <x v="1"/>
    <s v="FUERZAS DE VENTAS PANAMA"/>
    <s v="VIATICOS"/>
    <s v="TRANSACCIONES DEL DIA 02/15/2019SPYRAL - GESTION ADMINISTRATIVA"/>
    <n v="20.69"/>
    <n v="0"/>
    <s v="NEGOCIOS"/>
    <x v="1"/>
  </r>
  <r>
    <n v="91"/>
    <d v="2019-02-18T00:00:00"/>
    <x v="8"/>
    <x v="8"/>
    <x v="1"/>
    <s v="FUERZAS DE VENTAS PANAMA"/>
    <s v="VIATICOS"/>
    <s v="TRANSACCIONES DEL DIA 02/18/2019SPYRAL - GESTION ADMINISTRATIVA"/>
    <n v="5.96"/>
    <n v="0"/>
    <s v="NEGOCIOS"/>
    <x v="1"/>
  </r>
  <r>
    <n v="91"/>
    <d v="2019-02-25T00:00:00"/>
    <x v="8"/>
    <x v="8"/>
    <x v="1"/>
    <s v="FUERZAS DE VENTAS PANAMA"/>
    <s v="VIATICOS"/>
    <s v="TRANSACCIONES DEL DIA 02/25/2019SPYRAL - GESTION ADMINISTRATIVA"/>
    <n v="293"/>
    <n v="0"/>
    <s v="NEGOCIOS"/>
    <x v="1"/>
  </r>
  <r>
    <n v="91"/>
    <d v="2019-03-01T00:00:00"/>
    <x v="9"/>
    <x v="9"/>
    <x v="1"/>
    <s v="FUERZAS DE VENTAS PANAMA"/>
    <s v="VIATICOS 2"/>
    <s v="TRANSACCIONES DEL DIA 03/01/2019SPYRAL - GESTION ADMINISTRATIVA"/>
    <n v="1950"/>
    <n v="0"/>
    <s v="NEGOCIOS"/>
    <x v="1"/>
  </r>
  <r>
    <n v="91"/>
    <d v="2019-03-06T00:00:00"/>
    <x v="9"/>
    <x v="9"/>
    <x v="1"/>
    <s v="FUERZAS DE VENTAS PANAMA"/>
    <s v="VIATICOS"/>
    <s v="TRANSACCIONES DEL DIA 03/06/2019SPYRAL - GESTION ADMINISTRATIVA"/>
    <n v="21.24"/>
    <n v="0"/>
    <s v="NEGOCIOS"/>
    <x v="1"/>
  </r>
  <r>
    <n v="91"/>
    <d v="2019-03-11T00:00:00"/>
    <x v="9"/>
    <x v="9"/>
    <x v="1"/>
    <s v="FUERZAS DE VENTAS PANAMA"/>
    <s v="VIATICOS"/>
    <s v="TRANSACCIONES DEL DIA 03/11/2019SPYRAL - GESTION ADMINISTRATIVA"/>
    <n v="5.22"/>
    <n v="0"/>
    <s v="NEGOCIOS"/>
    <x v="1"/>
  </r>
  <r>
    <n v="91"/>
    <d v="2019-03-15T00:00:00"/>
    <x v="9"/>
    <x v="9"/>
    <x v="1"/>
    <s v="FUERZAS DE VENTAS PANAMA"/>
    <s v="VIATICOS"/>
    <s v="TRANSACCIONES DEL DIA 03/15/2019SPYRAL - GESTION ADMINISTRATIVA"/>
    <n v="17.27"/>
    <n v="0"/>
    <s v="NEGOCIOS"/>
    <x v="1"/>
  </r>
  <r>
    <n v="91"/>
    <d v="2019-03-18T00:00:00"/>
    <x v="9"/>
    <x v="9"/>
    <x v="1"/>
    <s v="FUERZAS DE VENTAS PANAMA"/>
    <s v="VIATICOS"/>
    <s v="TRANSACCIONES DEL DIA 03/18/2019SPYRAL - GESTION ADMINISTRATIVA"/>
    <n v="11.36"/>
    <n v="0"/>
    <s v="NEGOCIOS"/>
    <x v="1"/>
  </r>
  <r>
    <n v="91"/>
    <d v="2019-03-20T00:00:00"/>
    <x v="9"/>
    <x v="9"/>
    <x v="1"/>
    <s v="FUERZAS DE VENTAS PANAMA"/>
    <s v="VIATICOS 2"/>
    <s v="TRANSACCIONES DEL DIA 03/20/2019SPYRAL - GESTION ADMINISTRATIVA"/>
    <n v="10.54"/>
    <n v="0"/>
    <s v="NEGOCIOS"/>
    <x v="1"/>
  </r>
  <r>
    <n v="91"/>
    <d v="2019-04-02T00:00:00"/>
    <x v="10"/>
    <x v="10"/>
    <x v="1"/>
    <s v="FUERZAS DE VENTAS PANAMA"/>
    <s v="VIATICOS 2"/>
    <s v="TRANSACCIONES DEL DIA 04/02/2019SPYRAL - GESTION ADMINISTRATIVA"/>
    <n v="2100"/>
    <n v="0"/>
    <s v="NEGOCIOS"/>
    <x v="1"/>
  </r>
  <r>
    <n v="91"/>
    <d v="2019-04-04T00:00:00"/>
    <x v="10"/>
    <x v="10"/>
    <x v="1"/>
    <s v="FUERZAS DE VENTAS PANAMA"/>
    <s v="VIATICOS 2"/>
    <s v="TRANSACCIONES DEL DIA 04/04/2019SPYRAL - GESTION ADMINISTRATIVA"/>
    <n v="24"/>
    <n v="0"/>
    <s v="NEGOCIOS"/>
    <x v="1"/>
  </r>
  <r>
    <n v="91"/>
    <d v="2019-04-05T00:00:00"/>
    <x v="10"/>
    <x v="10"/>
    <x v="1"/>
    <s v="FUERZAS DE VENTAS PANAMA"/>
    <s v="VIATICOS 2"/>
    <s v="TRANSACCIONES DEL DIA 04/05/2019SPYRAL - GESTION ADMINISTRATIVA"/>
    <n v="24.93"/>
    <n v="0"/>
    <s v="NEGOCIOS"/>
    <x v="1"/>
  </r>
  <r>
    <n v="91"/>
    <d v="2019-04-06T00:00:00"/>
    <x v="10"/>
    <x v="10"/>
    <x v="1"/>
    <s v="FUERZAS DE VENTAS PANAMA"/>
    <s v="VIATICOS 2"/>
    <s v="TRANSACCIONES DEL DIA 04/06/2019SPYRAL - GESTION ADMINISTRATIVA"/>
    <n v="53.35"/>
    <n v="0"/>
    <s v="NEGOCIOS"/>
    <x v="1"/>
  </r>
  <r>
    <n v="91"/>
    <d v="2019-04-11T00:00:00"/>
    <x v="10"/>
    <x v="10"/>
    <x v="1"/>
    <s v="FUERZAS DE VENTAS PANAMA"/>
    <s v="VIATICOS 2"/>
    <s v="TRANSACCIONES DEL DIA 04/11/2019SPYRAL - GESTION ADMINISTRATIVA"/>
    <n v="10.58"/>
    <n v="0"/>
    <s v="NEGOCIOS"/>
    <x v="1"/>
  </r>
  <r>
    <n v="91"/>
    <d v="2019-04-15T00:00:00"/>
    <x v="10"/>
    <x v="10"/>
    <x v="1"/>
    <s v="FUERZAS DE VENTAS PANAMA"/>
    <s v="VIATICOS 2"/>
    <s v="TRANSACCIONES DEL DIA 04/15/2019SPYRAL - GESTION ADMINISTRATIVA"/>
    <n v="9.67"/>
    <n v="0"/>
    <s v="NEGOCIOS"/>
    <x v="1"/>
  </r>
  <r>
    <n v="91"/>
    <d v="2019-04-23T00:00:00"/>
    <x v="10"/>
    <x v="10"/>
    <x v="1"/>
    <s v="FUERZAS DE VENTAS PANAMA"/>
    <s v="VIATICOS 2"/>
    <s v="TRANSACCIONES DEL DIA 04/23/2019SPYRAL - GESTION ADMINISTRATIVA"/>
    <n v="7.62"/>
    <n v="0"/>
    <s v="NEGOCIOS"/>
    <x v="1"/>
  </r>
  <r>
    <n v="91"/>
    <d v="2019-04-26T00:00:00"/>
    <x v="10"/>
    <x v="10"/>
    <x v="1"/>
    <s v="FUERZAS DE VENTAS PANAMA"/>
    <s v="VIATICOS 2"/>
    <s v="TRANSACCIONES DEL DIA 04/26/2019SPYRAL - GESTION ADMINISTRATIVA"/>
    <n v="29.3"/>
    <n v="0"/>
    <s v="NEGOCIOS"/>
    <x v="1"/>
  </r>
  <r>
    <n v="91"/>
    <d v="2019-04-29T00:00:00"/>
    <x v="10"/>
    <x v="10"/>
    <x v="1"/>
    <s v="FUERZAS DE VENTAS PANAMA"/>
    <s v="VIATICOS 2"/>
    <s v="TRANSACCIONES DEL DIA 04/29/2019SPYRAL - GESTION ADMINISTRATIVA"/>
    <n v="8"/>
    <n v="0"/>
    <s v="NEGOCIOS"/>
    <x v="1"/>
  </r>
  <r>
    <n v="91"/>
    <d v="2019-05-02T00:00:00"/>
    <x v="11"/>
    <x v="11"/>
    <x v="1"/>
    <s v="FUERZAS DE VENTAS PANAMA"/>
    <s v="VIATICOS 2"/>
    <s v="TRANSACCIONES DEL DIA 05/02/2019SPYRAL - GESTION ADMINISTRATIVA"/>
    <n v="10"/>
    <n v="0"/>
    <s v="NEGOCIOS"/>
    <x v="1"/>
  </r>
  <r>
    <n v="91"/>
    <d v="2019-05-03T00:00:00"/>
    <x v="11"/>
    <x v="11"/>
    <x v="1"/>
    <s v="FUERZAS DE VENTAS PANAMA"/>
    <s v="VIATICOS 2"/>
    <s v="TRANSACCIONES DEL DIA 05/03/2019SPYRAL - GESTION ADMINISTRATIVA"/>
    <n v="2100"/>
    <n v="0"/>
    <s v="NEGOCIOS"/>
    <x v="1"/>
  </r>
  <r>
    <n v="91"/>
    <d v="2019-05-04T00:00:00"/>
    <x v="11"/>
    <x v="11"/>
    <x v="1"/>
    <s v="FUERZAS DE VENTAS PANAMA"/>
    <s v="VIATICOS 2"/>
    <s v="TRANSACCIONES DEL DIA 05/04/2019SPYRAL - GESTION ADMINISTRATIVA"/>
    <n v="14.05"/>
    <n v="0"/>
    <s v="NEGOCIOS"/>
    <x v="1"/>
  </r>
  <r>
    <n v="91"/>
    <d v="2019-05-10T00:00:00"/>
    <x v="11"/>
    <x v="11"/>
    <x v="1"/>
    <s v="FUERZAS DE VENTAS PANAMA"/>
    <s v="VIATICOS 2"/>
    <s v="TRANSACCIONES DEL DIA 05/10/2019SPYRAL - GESTION ADMINISTRATIVA"/>
    <n v="23.86"/>
    <n v="0"/>
    <s v="NEGOCIOS"/>
    <x v="1"/>
  </r>
  <r>
    <n v="91"/>
    <d v="2019-05-16T00:00:00"/>
    <x v="11"/>
    <x v="11"/>
    <x v="1"/>
    <s v="FUERZAS DE VENTAS PANAMA"/>
    <s v="VIATICOS 2"/>
    <s v="TRANSACCIONES DEL DIA 05/16/2019SPYRAL - GESTION ADMINISTRATIVA"/>
    <n v="21.05"/>
    <n v="0"/>
    <s v="NEGOCIOS"/>
    <x v="1"/>
  </r>
  <r>
    <n v="91"/>
    <d v="2019-05-21T00:00:00"/>
    <x v="11"/>
    <x v="11"/>
    <x v="1"/>
    <s v="FUERZAS DE VENTAS PANAMA"/>
    <s v="VIATICOS 2"/>
    <s v="TRANSACCIONES DEL DIA 05/21/2019SPYRAL - GESTION ADMINISTRATIVA"/>
    <n v="55"/>
    <n v="0"/>
    <s v="NEGOCIOS"/>
    <x v="1"/>
  </r>
  <r>
    <n v="91"/>
    <d v="2019-05-22T00:00:00"/>
    <x v="11"/>
    <x v="11"/>
    <x v="1"/>
    <s v="FUERZAS DE VENTAS PANAMA"/>
    <s v="VIATICOS 2"/>
    <s v="TRANSACCIONES DEL DIA 05/22/2019SPYRAL - GESTION ADMINISTRATIVA"/>
    <n v="7.78"/>
    <n v="0"/>
    <s v="NEGOCIOS"/>
    <x v="1"/>
  </r>
  <r>
    <n v="91"/>
    <d v="2019-06-04T00:00:00"/>
    <x v="2"/>
    <x v="2"/>
    <x v="1"/>
    <s v="FUERZAS DE VENTAS PANAMA"/>
    <s v="VIATICOS 2"/>
    <s v="TRANSACCIONES DEL DIA 06/04/2019SPYRAL - GESTION ADMINISTRATIVA"/>
    <n v="4.93"/>
    <n v="0"/>
    <s v="NEGOCIOS"/>
    <x v="1"/>
  </r>
  <r>
    <n v="91"/>
    <d v="2019-06-06T00:00:00"/>
    <x v="2"/>
    <x v="2"/>
    <x v="1"/>
    <s v="FUERZAS DE VENTAS PANAMA"/>
    <s v="VIATICOS 2"/>
    <s v="TRANSACCIONES DEL DIA 06/06/2019SPYRAL - GESTION ADMINISTRATIVA"/>
    <n v="1957.19"/>
    <n v="0"/>
    <s v="NEGOCIOS"/>
    <x v="1"/>
  </r>
  <r>
    <n v="91"/>
    <d v="2019-06-07T00:00:00"/>
    <x v="2"/>
    <x v="2"/>
    <x v="1"/>
    <s v="FUERZAS DE VENTAS PANAMA"/>
    <s v="VIATICOS 2"/>
    <s v="TRANSACCIONES DEL DIA 06/07/2019SPYRAL - GESTION ADMINISTRATIVA"/>
    <n v="8.82"/>
    <n v="0"/>
    <s v="NEGOCIOS"/>
    <x v="1"/>
  </r>
  <r>
    <n v="91"/>
    <d v="2019-06-13T00:00:00"/>
    <x v="2"/>
    <x v="2"/>
    <x v="1"/>
    <s v="FUERZAS DE VENTAS PANAMA"/>
    <s v="VIATICOS 2"/>
    <s v="TRANSACCIONES DEL DIA 06/13/2019SPYRAL - GESTION ADMINISTRATIVA"/>
    <n v="71.489999999999995"/>
    <n v="0"/>
    <s v="NEGOCIOS"/>
    <x v="1"/>
  </r>
  <r>
    <n v="91"/>
    <d v="2019-06-14T00:00:00"/>
    <x v="2"/>
    <x v="2"/>
    <x v="1"/>
    <s v="FUERZAS DE VENTAS PANAMA"/>
    <s v="VIATICOS 2"/>
    <s v="TRANSACCIONES DEL DIA 06/14/2019SPYRAL - GESTION ADMINISTRATIVA"/>
    <n v="25"/>
    <n v="0"/>
    <s v="NEGOCIOS"/>
    <x v="1"/>
  </r>
  <r>
    <n v="91"/>
    <d v="2019-06-18T00:00:00"/>
    <x v="2"/>
    <x v="2"/>
    <x v="1"/>
    <s v="FUERZAS DE VENTAS PANAMA"/>
    <s v="VIATICOS 2"/>
    <s v="TRANSACCIONES DEL DIA 06/18/2019SPYRAL - GESTION ADMINISTRATIVA"/>
    <n v="3.13"/>
    <n v="0"/>
    <s v="NEGOCIOS"/>
    <x v="1"/>
  </r>
  <r>
    <n v="91"/>
    <d v="2019-06-20T00:00:00"/>
    <x v="2"/>
    <x v="2"/>
    <x v="1"/>
    <s v="FUERZAS DE VENTAS PANAMA"/>
    <s v="VIATICOS 2"/>
    <s v="TRANSACCIONES DEL DIA 06/20/2019SPYRAL - GESTION ADMINISTRATIVA"/>
    <n v="4.25"/>
    <n v="0"/>
    <s v="NEGOCIOS"/>
    <x v="1"/>
  </r>
  <r>
    <n v="91"/>
    <d v="2019-06-22T00:00:00"/>
    <x v="2"/>
    <x v="2"/>
    <x v="1"/>
    <s v="FUERZAS DE VENTAS PANAMA"/>
    <s v="VIATICOS 2"/>
    <s v="TRANSACCIONES DEL DIA 06/22/2019SPYRAL - GESTION ADMINISTRATIVA"/>
    <n v="125"/>
    <n v="0"/>
    <s v="NEGOCIOS"/>
    <x v="1"/>
  </r>
  <r>
    <n v="91"/>
    <d v="2019-06-27T00:00:00"/>
    <x v="2"/>
    <x v="2"/>
    <x v="1"/>
    <s v="FUERZAS DE VENTAS PANAMA"/>
    <s v="VIATICOS 2"/>
    <s v="TRANSACCIONES DEL DIA 06/27/2019SPYRAL - GESTION ADMINISTRATIVA"/>
    <n v="9.3800000000000008"/>
    <n v="0"/>
    <s v="NEGOCIOS"/>
    <x v="1"/>
  </r>
  <r>
    <n v="91"/>
    <d v="2019-07-05T00:00:00"/>
    <x v="6"/>
    <x v="6"/>
    <x v="1"/>
    <s v="FUERZAS DE VENTAS PANAMA"/>
    <s v="VIATICOS 2"/>
    <s v="TRANSACCIONES DEL DIA 07/05/2019SPYRAL - GESTION ADMINISTRATIVA"/>
    <n v="8.52"/>
    <n v="0"/>
    <s v="NEGOCIOS"/>
    <x v="1"/>
  </r>
  <r>
    <n v="91"/>
    <d v="2019-07-08T00:00:00"/>
    <x v="6"/>
    <x v="6"/>
    <x v="1"/>
    <s v="FUERZAS DE VENTAS PANAMA"/>
    <s v="VIATICOS 2"/>
    <s v="TRANSACCIONES DEL DIA 07/08/2019SPYRAL - GESTION ADMINISTRATIVA"/>
    <n v="2017"/>
    <n v="0"/>
    <s v="NEGOCIOS"/>
    <x v="1"/>
  </r>
  <r>
    <n v="91"/>
    <d v="2019-07-10T00:00:00"/>
    <x v="6"/>
    <x v="6"/>
    <x v="1"/>
    <s v="FUERZAS DE VENTAS PANAMA"/>
    <s v="VIATICOS 2"/>
    <s v="TRANSACCIONES DEL DIA 07/10/2019SPYRAL - GESTION ADMINISTRATIVA"/>
    <n v="205.5"/>
    <n v="0"/>
    <s v="NEGOCIOS"/>
    <x v="1"/>
  </r>
  <r>
    <n v="91"/>
    <d v="2019-07-11T00:00:00"/>
    <x v="6"/>
    <x v="6"/>
    <x v="1"/>
    <s v="FUERZAS DE VENTAS PANAMA"/>
    <s v="VIATICOS 2"/>
    <s v="TRANSACCIONES DEL DIA 07/11/2019SPYRAL - GESTION ADMINISTRATIVA"/>
    <n v="20"/>
    <n v="0"/>
    <s v="NEGOCIOS"/>
    <x v="1"/>
  </r>
  <r>
    <n v="91"/>
    <d v="2019-07-13T00:00:00"/>
    <x v="6"/>
    <x v="6"/>
    <x v="1"/>
    <s v="FUERZAS DE VENTAS PANAMA"/>
    <s v="VIATICOS 2"/>
    <s v="TRANSACCIONES DEL DIA 07/13/2019SPYRAL - GESTION ADMINISTRATIVA"/>
    <n v="425"/>
    <n v="0"/>
    <s v="NEGOCIOS"/>
    <x v="1"/>
  </r>
  <r>
    <n v="91"/>
    <d v="2019-07-20T00:00:00"/>
    <x v="6"/>
    <x v="6"/>
    <x v="1"/>
    <s v="FUERZAS DE VENTAS PANAMA"/>
    <s v="VIATICOS 2"/>
    <s v="TRANSACCIONES DEL DIA 07/20/2019SPYRAL - GESTION ADMINISTRATIVA"/>
    <n v="81"/>
    <n v="0"/>
    <s v="NEGOCIOS"/>
    <x v="1"/>
  </r>
  <r>
    <n v="91"/>
    <d v="2019-07-25T00:00:00"/>
    <x v="6"/>
    <x v="6"/>
    <x v="1"/>
    <s v="FUERZAS DE VENTAS PANAMA"/>
    <s v="VIATICOS 2"/>
    <s v="TRANSACCIONES DEL DIA 07/25/2019SPYRAL - GESTION ADMINISTRATIVA"/>
    <n v="13.15"/>
    <n v="0"/>
    <s v="NEGOCIOS"/>
    <x v="1"/>
  </r>
  <r>
    <n v="91"/>
    <d v="2019-01-03T00:00:00"/>
    <x v="7"/>
    <x v="7"/>
    <x v="1"/>
    <s v="FUERZA DE VENTAS AUTOS"/>
    <s v="VIATICOS 2"/>
    <s v="TRANSACCIONES DEL DIA 01/03/2019SPYRAL - GESTION ADMINISTRATIVA"/>
    <n v="150"/>
    <n v="0"/>
    <s v="NEGOCIOS"/>
    <x v="1"/>
  </r>
  <r>
    <n v="91"/>
    <d v="2019-01-03T00:00:00"/>
    <x v="7"/>
    <x v="7"/>
    <x v="1"/>
    <s v="FUERZA DE VENTAS AUTOS"/>
    <s v="VIATICOS"/>
    <s v="TRANSACCIONES DEL DIA 01/03/2019SPYRAL - GESTION ADMINISTRATIVA"/>
    <n v="24"/>
    <n v="0"/>
    <s v="NEGOCIOS"/>
    <x v="1"/>
  </r>
  <r>
    <n v="91"/>
    <d v="2019-01-04T00:00:00"/>
    <x v="7"/>
    <x v="7"/>
    <x v="1"/>
    <s v="FUERZA DE VENTAS AUTOS"/>
    <s v="VIATICOS"/>
    <s v="TRANSACCIONES DEL DIA 01/04/2019SPYRAL - GESTION ADMINISTRATIVA"/>
    <n v="24"/>
    <n v="0"/>
    <s v="NEGOCIOS"/>
    <x v="1"/>
  </r>
  <r>
    <n v="91"/>
    <d v="2019-01-10T00:00:00"/>
    <x v="7"/>
    <x v="7"/>
    <x v="1"/>
    <s v="FUERZA DE VENTAS AUTOS"/>
    <s v="VIATICOS"/>
    <s v="TRANSACCIONES DEL DIA 01/10/2019SPYRAL - GESTION ADMINISTRATIVA"/>
    <n v="95.9"/>
    <n v="0"/>
    <s v="NEGOCIOS"/>
    <x v="1"/>
  </r>
  <r>
    <n v="91"/>
    <d v="2019-01-11T00:00:00"/>
    <x v="7"/>
    <x v="7"/>
    <x v="1"/>
    <s v="FUERZA DE VENTAS AUTOS"/>
    <s v="VIATICOS"/>
    <s v="TRANSACCIONES DEL DIA 01/11/2019SPYRAL - GESTION ADMINISTRATIVA"/>
    <n v="24"/>
    <n v="0"/>
    <s v="NEGOCIOS"/>
    <x v="1"/>
  </r>
  <r>
    <n v="91"/>
    <d v="2019-02-04T00:00:00"/>
    <x v="8"/>
    <x v="8"/>
    <x v="1"/>
    <s v="FUERZA DE VENTAS AUTOS"/>
    <s v="VIATICOS 2"/>
    <s v="TRANSACCIONES DEL DIA 02/04/2019SPYRAL - GESTION ADMINISTRATIVA"/>
    <n v="150"/>
    <n v="0"/>
    <s v="NEGOCIOS"/>
    <x v="1"/>
  </r>
  <r>
    <n v="91"/>
    <d v="2019-02-07T00:00:00"/>
    <x v="8"/>
    <x v="8"/>
    <x v="1"/>
    <s v="FUERZA DE VENTAS AUTOS"/>
    <s v="VIATICOS"/>
    <s v="TRANSACCIONES DEL DIA 02/07/2019SPYRAL - GESTION ADMINISTRATIVA"/>
    <n v="77"/>
    <n v="0"/>
    <s v="NEGOCIOS"/>
    <x v="1"/>
  </r>
  <r>
    <n v="91"/>
    <d v="2019-02-08T00:00:00"/>
    <x v="8"/>
    <x v="8"/>
    <x v="1"/>
    <s v="FUERZA DE VENTAS AUTOS"/>
    <s v="VIATICOS"/>
    <s v="TRANSACCIONES DEL DIA 02/08/2019SPYRAL - GESTION ADMINISTRATIVA"/>
    <n v="24"/>
    <n v="0"/>
    <s v="NEGOCIOS"/>
    <x v="1"/>
  </r>
  <r>
    <n v="91"/>
    <d v="2019-02-15T00:00:00"/>
    <x v="8"/>
    <x v="8"/>
    <x v="1"/>
    <s v="FUERZA DE VENTAS AUTOS"/>
    <s v="VIATICOS"/>
    <s v="TRANSACCIONES DEL DIA 02/15/2019SPYRAL - GESTION ADMINISTRATIVA"/>
    <n v="93"/>
    <n v="0"/>
    <s v="NEGOCIOS"/>
    <x v="1"/>
  </r>
  <r>
    <n v="91"/>
    <d v="2019-03-01T00:00:00"/>
    <x v="9"/>
    <x v="9"/>
    <x v="1"/>
    <s v="FUERZA DE VENTAS AUTOS"/>
    <s v="VIATICOS 2"/>
    <s v="TRANSACCIONES DEL DIA 03/01/2019SPYRAL - GESTION ADMINISTRATIVA"/>
    <n v="150"/>
    <n v="0"/>
    <s v="NEGOCIOS"/>
    <x v="1"/>
  </r>
  <r>
    <n v="91"/>
    <d v="2019-03-07T00:00:00"/>
    <x v="9"/>
    <x v="9"/>
    <x v="1"/>
    <s v="FUERZA DE VENTAS AUTOS"/>
    <s v="VIATICOS"/>
    <s v="TRANSACCIONES DEL DIA 03/07/2019SPYRAL - GESTION ADMINISTRATIVA"/>
    <n v="53"/>
    <n v="0"/>
    <s v="NEGOCIOS"/>
    <x v="1"/>
  </r>
  <r>
    <n v="91"/>
    <d v="2019-03-11T00:00:00"/>
    <x v="9"/>
    <x v="9"/>
    <x v="1"/>
    <s v="FUERZA DE VENTAS AUTOS"/>
    <s v="VIATICOS"/>
    <s v="TRANSACCIONES DEL DIA 03/11/2019SPYRAL - GESTION ADMINISTRATIVA"/>
    <n v="8"/>
    <n v="0"/>
    <s v="NEGOCIOS"/>
    <x v="1"/>
  </r>
  <r>
    <n v="91"/>
    <d v="2019-03-18T00:00:00"/>
    <x v="9"/>
    <x v="9"/>
    <x v="1"/>
    <s v="FUERZA DE VENTAS AUTOS"/>
    <s v="VIATICOS"/>
    <s v="TRANSACCIONES DEL DIA 03/18/2019SPYRAL - GESTION ADMINISTRATIVA"/>
    <n v="48"/>
    <n v="0"/>
    <s v="NEGOCIOS"/>
    <x v="1"/>
  </r>
  <r>
    <n v="91"/>
    <d v="2019-04-02T00:00:00"/>
    <x v="10"/>
    <x v="10"/>
    <x v="1"/>
    <s v="FUERZA DE VENTAS AUTOS"/>
    <s v="VIATICOS 2"/>
    <s v="TRANSACCIONES DEL DIA 04/02/2019SPYRAL - GESTION ADMINISTRATIVA"/>
    <n v="150"/>
    <n v="0"/>
    <s v="NEGOCIOS"/>
    <x v="1"/>
  </r>
  <r>
    <n v="91"/>
    <d v="2019-04-04T00:00:00"/>
    <x v="10"/>
    <x v="10"/>
    <x v="1"/>
    <s v="FUERZA DE VENTAS AUTOS"/>
    <s v="VIATICOS 2"/>
    <s v="TRANSACCIONES DEL DIA 04/04/2019SPYRAL - GESTION ADMINISTRATIVA"/>
    <n v="513.4"/>
    <n v="0"/>
    <s v="NEGOCIOS"/>
    <x v="1"/>
  </r>
  <r>
    <n v="91"/>
    <d v="2019-04-22T00:00:00"/>
    <x v="10"/>
    <x v="10"/>
    <x v="1"/>
    <s v="FUERZA DE VENTAS AUTOS"/>
    <s v="NC VIATICOS"/>
    <s v="TRANSACCIONES DEL DIA 04/22/2019SPYRAL - GESTION ADMINISTRATIVA"/>
    <n v="0"/>
    <n v="24"/>
    <s v="NEGOCIOS"/>
    <x v="1"/>
  </r>
  <r>
    <n v="91"/>
    <d v="2019-05-03T00:00:00"/>
    <x v="11"/>
    <x v="11"/>
    <x v="1"/>
    <s v="FUERZA DE VENTAS AUTOS"/>
    <s v="VIATICOS 2"/>
    <s v="TRANSACCIONES DEL DIA 05/03/2019SPYRAL - GESTION ADMINISTRATIVA"/>
    <n v="150"/>
    <n v="0"/>
    <s v="NEGOCIOS"/>
    <x v="1"/>
  </r>
  <r>
    <n v="91"/>
    <d v="2019-05-09T00:00:00"/>
    <x v="11"/>
    <x v="11"/>
    <x v="1"/>
    <s v="FUERZA DE VENTAS AUTOS"/>
    <s v="VIATICOS 2"/>
    <s v="TRANSACCIONES DEL DIA 05/09/2019SPYRAL - GESTION ADMINISTRATIVA"/>
    <n v="8"/>
    <n v="0"/>
    <s v="NEGOCIOS"/>
    <x v="1"/>
  </r>
  <r>
    <n v="91"/>
    <d v="2019-05-17T00:00:00"/>
    <x v="11"/>
    <x v="11"/>
    <x v="1"/>
    <s v="FUERZA DE VENTAS AUTOS"/>
    <s v="VIATICOS 2"/>
    <s v="TRANSACCIONES DEL DIA 05/17/2019SPYRAL - GESTION ADMINISTRATIVA"/>
    <n v="103.5"/>
    <n v="0"/>
    <s v="NEGOCIOS"/>
    <x v="1"/>
  </r>
  <r>
    <n v="91"/>
    <d v="2019-05-18T00:00:00"/>
    <x v="11"/>
    <x v="11"/>
    <x v="1"/>
    <s v="FUERZA DE VENTAS AUTOS"/>
    <s v="VIATICOS 2"/>
    <s v="TRANSACCIONES DEL DIA 05/18/2019SPYRAL - GESTION ADMINISTRATIVA"/>
    <n v="25.2"/>
    <n v="0"/>
    <s v="NEGOCIOS"/>
    <x v="1"/>
  </r>
  <r>
    <n v="91"/>
    <d v="2019-05-24T00:00:00"/>
    <x v="11"/>
    <x v="11"/>
    <x v="1"/>
    <s v="FUERZA DE VENTAS AUTOS"/>
    <s v="VIATICOS 2"/>
    <s v="TRANSACCIONES DEL DIA 05/24/2019SPYRAL - GESTION ADMINISTRATIVA"/>
    <n v="50.5"/>
    <n v="0"/>
    <s v="NEGOCIOS"/>
    <x v="1"/>
  </r>
  <r>
    <n v="91"/>
    <d v="2019-06-06T00:00:00"/>
    <x v="2"/>
    <x v="2"/>
    <x v="1"/>
    <s v="FUERZA DE VENTAS AUTOS"/>
    <s v="VIATICOS 2"/>
    <s v="TRANSACCIONES DEL DIA 06/06/2019SPYRAL - GESTION ADMINISTRATIVA"/>
    <n v="150"/>
    <n v="0"/>
    <s v="NEGOCIOS"/>
    <x v="1"/>
  </r>
  <r>
    <n v="91"/>
    <d v="2019-06-07T00:00:00"/>
    <x v="2"/>
    <x v="2"/>
    <x v="1"/>
    <s v="FUERZA DE VENTAS AUTOS"/>
    <s v="VIATICOS 2"/>
    <s v="TRANSACCIONES DEL DIA 06/07/2019SPYRAL - GESTION ADMINISTRATIVA"/>
    <n v="53"/>
    <n v="0"/>
    <s v="NEGOCIOS"/>
    <x v="1"/>
  </r>
  <r>
    <n v="91"/>
    <d v="2019-07-08T00:00:00"/>
    <x v="6"/>
    <x v="6"/>
    <x v="1"/>
    <s v="FUERZA DE VENTAS AUTOS"/>
    <s v="VIATICOS 2"/>
    <s v="TRANSACCIONES DEL DIA 07/08/2019SPYRAL - GESTION ADMINISTRATIVA"/>
    <n v="150"/>
    <n v="0"/>
    <s v="NEGOCIOS"/>
    <x v="1"/>
  </r>
  <r>
    <n v="91"/>
    <d v="2019-03-13T00:00:00"/>
    <x v="9"/>
    <x v="9"/>
    <x v="1"/>
    <s v="FUERZA DE VENTAS INTERIOR"/>
    <s v="VIATICOS 2"/>
    <s v="TRANSACCIONES DEL DIA 03/13/2019SPYRAL - GESTION ADMINISTRATIVA"/>
    <n v="1320"/>
    <n v="0"/>
    <s v="NEGOCIOS"/>
    <x v="1"/>
  </r>
  <r>
    <n v="91"/>
    <d v="2019-06-20T00:00:00"/>
    <x v="2"/>
    <x v="2"/>
    <x v="1"/>
    <s v="FUERZA DE VENTAS INTERIOR"/>
    <s v="VIATICOS 2"/>
    <s v="TRANSACCIONES DEL DIA 06/20/2019SPYRAL - GESTION ADMINISTRATIVA"/>
    <n v="260"/>
    <n v="0"/>
    <s v="NEGOCIOS"/>
    <x v="1"/>
  </r>
  <r>
    <n v="91"/>
    <d v="2019-04-22T00:00:00"/>
    <x v="10"/>
    <x v="10"/>
    <x v="1"/>
    <s v="SEGMENTO DE NEGOCIOS"/>
    <s v="VIATICOS 2"/>
    <s v="TRANSACCIONES DEL DIA 04/22/2019SPYRAL - GESTION ADMINISTRATIVA"/>
    <n v="44.4"/>
    <n v="0"/>
    <s v="NEGOCIOS"/>
    <x v="1"/>
  </r>
  <r>
    <n v="91"/>
    <d v="2019-05-02T00:00:00"/>
    <x v="11"/>
    <x v="11"/>
    <x v="1"/>
    <s v="SEGMENTO DE NEGOCIOS"/>
    <s v="VIATICOS 2"/>
    <s v="TRANSACCIONES DEL DIA 05/02/2019SPYRAL - GESTION ADMINISTRATIVA"/>
    <n v="22.5"/>
    <n v="0"/>
    <s v="NEGOCIOS"/>
    <x v="1"/>
  </r>
  <r>
    <n v="91"/>
    <d v="2019-06-10T00:00:00"/>
    <x v="2"/>
    <x v="2"/>
    <x v="1"/>
    <s v="SEGMENTO DE NEGOCIOS"/>
    <s v="VIATICOS 2"/>
    <s v="TRANSACCIONES DEL DIA 06/10/2019SPYRAL - GESTION ADMINISTRATIVA"/>
    <n v="26.56"/>
    <n v="0"/>
    <s v="NEGOCIOS"/>
    <x v="1"/>
  </r>
  <r>
    <n v="91"/>
    <d v="2019-06-13T00:00:00"/>
    <x v="2"/>
    <x v="2"/>
    <x v="1"/>
    <s v="SEGMENTO DE NEGOCIOS"/>
    <s v="VIATICOS 2"/>
    <s v="TRANSACCIONES DEL DIA 06/13/2019SPYRAL - GESTION ADMINISTRATIVA"/>
    <n v="8.92"/>
    <n v="0"/>
    <s v="NEGOCIOS"/>
    <x v="1"/>
  </r>
  <r>
    <n v="91"/>
    <d v="2019-06-15T00:00:00"/>
    <x v="2"/>
    <x v="2"/>
    <x v="1"/>
    <s v="SEGMENTO DE NEGOCIOS"/>
    <s v="VIATICOS 2"/>
    <s v="TRANSACCIONES DEL DIA 06/15/2019SPYRAL - GESTION ADMINISTRATIVA"/>
    <n v="46.1"/>
    <n v="0"/>
    <s v="NEGOCIOS"/>
    <x v="1"/>
  </r>
  <r>
    <n v="91"/>
    <d v="2019-06-19T00:00:00"/>
    <x v="2"/>
    <x v="2"/>
    <x v="1"/>
    <s v="SEGMENTO DE NEGOCIOS"/>
    <s v="VIATICOS 2"/>
    <s v="TRANSACCIONES DEL DIA 06/19/2019SPYRAL - GESTION ADMINISTRATIVA"/>
    <n v="18.149999999999999"/>
    <n v="0"/>
    <s v="NEGOCIOS"/>
    <x v="1"/>
  </r>
  <r>
    <n v="91"/>
    <d v="2019-06-21T00:00:00"/>
    <x v="2"/>
    <x v="2"/>
    <x v="1"/>
    <s v="SEGMENTO DE NEGOCIOS"/>
    <s v="VIATICOS 2"/>
    <s v="TRANSACCIONES DEL DIA 06/21/2019SPYRAL - GESTION ADMINISTRATIVA"/>
    <n v="152.36000000000001"/>
    <n v="0"/>
    <s v="NEGOCIOS"/>
    <x v="1"/>
  </r>
  <r>
    <n v="91"/>
    <d v="2019-07-03T00:00:00"/>
    <x v="6"/>
    <x v="6"/>
    <x v="1"/>
    <s v="SEGMENTO DE NEGOCIOS"/>
    <s v="VIATICOS 2"/>
    <s v="TRANSACCIONES DEL DIA 07/03/2019SPYRAL - GESTION ADMINISTRATIVA"/>
    <n v="49"/>
    <n v="0"/>
    <s v="NEGOCIOS"/>
    <x v="1"/>
  </r>
  <r>
    <n v="91"/>
    <d v="2019-07-08T00:00:00"/>
    <x v="6"/>
    <x v="6"/>
    <x v="1"/>
    <s v="SEGMENTO DE NEGOCIOS"/>
    <s v="VIATICOS 2"/>
    <s v="TRANSACCIONES DEL DIA 07/08/2019SPYRAL - GESTION ADMINISTRATIVA"/>
    <n v="64.33"/>
    <n v="0"/>
    <s v="NEGOCIOS"/>
    <x v="1"/>
  </r>
  <r>
    <n v="91"/>
    <d v="2019-07-13T00:00:00"/>
    <x v="6"/>
    <x v="6"/>
    <x v="1"/>
    <s v="SEGMENTO DE NEGOCIOS"/>
    <s v="VIATICOS"/>
    <s v="TRANSACCIONES DEL DIA 07/13/2019SPYRAL - GESTION ADMINISTRATIVA"/>
    <n v="70.23"/>
    <n v="0"/>
    <s v="NEGOCIOS"/>
    <x v="1"/>
  </r>
  <r>
    <n v="91"/>
    <d v="2019-07-13T00:00:00"/>
    <x v="6"/>
    <x v="6"/>
    <x v="1"/>
    <s v="SEGMENTO DE NEGOCIOS"/>
    <s v="VIATICOS 2"/>
    <s v="TRANSACCIONES DEL DIA 07/13/2019SPYRAL - GESTION ADMINISTRATIVA"/>
    <n v="26.38"/>
    <n v="0"/>
    <s v="NEGOCIOS"/>
    <x v="1"/>
  </r>
  <r>
    <n v="91"/>
    <d v="2019-07-15T00:00:00"/>
    <x v="6"/>
    <x v="6"/>
    <x v="1"/>
    <s v="SEGMENTO DE NEGOCIOS"/>
    <s v="VIATICOS 2"/>
    <s v="TRANSACCIONES DEL DIA 07/15/2019SPYRAL - GESTION ADMINISTRATIVA"/>
    <n v="17.28"/>
    <n v="0"/>
    <s v="NEGOCIOS"/>
    <x v="1"/>
  </r>
  <r>
    <n v="91"/>
    <d v="2019-07-19T00:00:00"/>
    <x v="6"/>
    <x v="6"/>
    <x v="1"/>
    <s v="SEGMENTO DE NEGOCIOS"/>
    <s v="VIATICOS 2"/>
    <s v="TRANSACCIONES DEL DIA 07/19/2019SPYRAL - GESTION ADMINISTRATIVA"/>
    <n v="8.4"/>
    <n v="0"/>
    <s v="NEGOCIOS"/>
    <x v="1"/>
  </r>
  <r>
    <n v="91"/>
    <d v="2019-07-24T00:00:00"/>
    <x v="6"/>
    <x v="6"/>
    <x v="1"/>
    <s v="SEGMENTO DE NEGOCIOS"/>
    <s v="VIATICOS 2"/>
    <s v="TRANSACCIONES DEL DIA 07/24/2019SPYRAL - GESTION ADMINISTRATIVA"/>
    <n v="10.25"/>
    <n v="0"/>
    <s v="NEGOCIOS"/>
    <x v="1"/>
  </r>
  <r>
    <n v="91"/>
    <d v="2019-07-25T00:00:00"/>
    <x v="6"/>
    <x v="6"/>
    <x v="1"/>
    <s v="SEGMENTO DE NEGOCIOS"/>
    <s v="VIATICOS 2"/>
    <s v="TRANSACCIONES DEL DIA 07/25/2019SPYRAL - GESTION ADMINISTRATIVA"/>
    <n v="35.1"/>
    <n v="0"/>
    <s v="NEGOCIOS"/>
    <x v="1"/>
  </r>
  <r>
    <n v="91"/>
    <d v="2019-07-29T00:00:00"/>
    <x v="6"/>
    <x v="6"/>
    <x v="1"/>
    <s v="SEGMENTO DE NEGOCIOS"/>
    <s v="VIATICOS"/>
    <s v="TRANSACCIONES DEL DIA 07/29/2019SPYRAL - GESTION ADMINISTRATIVA"/>
    <n v="130.18"/>
    <n v="0"/>
    <s v="NEGOCIOS"/>
    <x v="1"/>
  </r>
  <r>
    <n v="91"/>
    <d v="2019-01-02T00:00:00"/>
    <x v="7"/>
    <x v="7"/>
    <x v="1"/>
    <s v="BANCA PRIVADA"/>
    <s v="VIATICOS"/>
    <s v="TRANSACCIONES DEL DIA 01/02/2019SPYRAL - GESTION ADMINISTRATIVA"/>
    <n v="31.5"/>
    <n v="0"/>
    <s v="NEGOCIOS"/>
    <x v="1"/>
  </r>
  <r>
    <n v="91"/>
    <d v="2019-01-19T00:00:00"/>
    <x v="7"/>
    <x v="7"/>
    <x v="1"/>
    <s v="BANCA PRIVADA"/>
    <s v="NC VIATICOS"/>
    <s v="TRANSACCIONES DEL DIA 01/19/2019SPYRAL - GESTION ADMINISTRATIVA"/>
    <n v="63.75"/>
    <n v="0"/>
    <s v="NEGOCIOS"/>
    <x v="1"/>
  </r>
  <r>
    <n v="91"/>
    <d v="2019-02-15T00:00:00"/>
    <x v="8"/>
    <x v="8"/>
    <x v="1"/>
    <s v="BANCA PRIVADA"/>
    <s v="NC VIATICOS"/>
    <s v="TRANSACCIONES DEL DIA 02/15/2019SPYRAL - GESTION ADMINISTRATIVA"/>
    <n v="60.95"/>
    <n v="0"/>
    <s v="NEGOCIOS"/>
    <x v="1"/>
  </r>
  <r>
    <n v="91"/>
    <d v="2019-03-22T00:00:00"/>
    <x v="9"/>
    <x v="9"/>
    <x v="1"/>
    <s v="BANCA PRIVADA"/>
    <s v="NC VIATICOS"/>
    <s v="TRANSACCIONES DEL DIA 03/22/2019SPYRAL - GESTION ADMINISTRATIVA"/>
    <n v="54.2"/>
    <n v="0"/>
    <s v="NEGOCIOS"/>
    <x v="1"/>
  </r>
  <r>
    <n v="91"/>
    <d v="2019-04-26T00:00:00"/>
    <x v="10"/>
    <x v="10"/>
    <x v="1"/>
    <s v="BANCA PRIVADA"/>
    <s v="NC VIATICOS"/>
    <s v="TRANSACCIONES DEL DIA 04/26/2019SPYRAL - GESTION ADMINISTRATIVA"/>
    <n v="51.8"/>
    <n v="0"/>
    <s v="NEGOCIOS"/>
    <x v="1"/>
  </r>
  <r>
    <n v="91"/>
    <d v="2019-05-16T00:00:00"/>
    <x v="11"/>
    <x v="11"/>
    <x v="1"/>
    <s v="BANCA PRIVADA"/>
    <s v="NC VIATICOS"/>
    <s v="TRANSACCIONES DEL DIA 05/16/2019SPYRAL - GESTION ADMINISTRATIVA"/>
    <n v="0"/>
    <n v="0.6"/>
    <s v="NEGOCIOS"/>
    <x v="1"/>
  </r>
  <r>
    <n v="91"/>
    <d v="2019-05-17T00:00:00"/>
    <x v="11"/>
    <x v="11"/>
    <x v="1"/>
    <s v="BANCA PRIVADA"/>
    <s v="NC VIATICOS"/>
    <s v="TRANSACCIONES DEL DIA 05/17/2019SPYRAL - GESTION ADMINISTRATIVA"/>
    <n v="1.2"/>
    <n v="0"/>
    <s v="NEGOCIOS"/>
    <x v="1"/>
  </r>
  <r>
    <n v="91"/>
    <d v="2019-01-14T00:00:00"/>
    <x v="7"/>
    <x v="7"/>
    <x v="1"/>
    <s v="BANCA COMERCIAL"/>
    <s v="VIATICOS"/>
    <s v="TRANSACCIONES DEL DIA 01/14/2019SPYRAL - GESTION ADMINISTRATIVA"/>
    <n v="62.73"/>
    <n v="0"/>
    <s v="NEGOCIOS"/>
    <x v="1"/>
  </r>
  <r>
    <n v="91"/>
    <d v="2019-01-14T00:00:00"/>
    <x v="7"/>
    <x v="7"/>
    <x v="1"/>
    <s v="BANCA COMERCIAL"/>
    <s v="VIATICOS 2"/>
    <s v="TRANSACCIONES DEL DIA 01/14/2019SPYRAL - GESTION ADMINISTRATIVA"/>
    <n v="649.29999999999995"/>
    <n v="0"/>
    <s v="NEGOCIOS"/>
    <x v="1"/>
  </r>
  <r>
    <n v="91"/>
    <d v="2019-01-17T00:00:00"/>
    <x v="7"/>
    <x v="7"/>
    <x v="1"/>
    <s v="BANCA COMERCIAL"/>
    <s v="VIATICOS"/>
    <s v="TRANSACCIONES DEL DIA 01/17/2019SPYRAL - GESTION ADMINISTRATIVA"/>
    <n v="225.46"/>
    <n v="0"/>
    <s v="NEGOCIOS"/>
    <x v="1"/>
  </r>
  <r>
    <n v="91"/>
    <d v="2019-01-18T00:00:00"/>
    <x v="7"/>
    <x v="7"/>
    <x v="1"/>
    <s v="BANCA COMERCIAL"/>
    <s v="VIATICOS"/>
    <s v="TRANSACCIONES DEL DIA 01/18/2019SPYRAL - GESTION ADMINISTRATIVA"/>
    <n v="419.77"/>
    <n v="0"/>
    <s v="NEGOCIOS"/>
    <x v="1"/>
  </r>
  <r>
    <n v="91"/>
    <d v="2019-01-22T00:00:00"/>
    <x v="7"/>
    <x v="7"/>
    <x v="1"/>
    <s v="BANCA COMERCIAL"/>
    <s v="VIATICOS"/>
    <s v="TRANSACCIONES DEL DIA 01/22/2019SPYRAL - GESTION ADMINISTRATIVA"/>
    <n v="170"/>
    <n v="0"/>
    <s v="NEGOCIOS"/>
    <x v="1"/>
  </r>
  <r>
    <n v="91"/>
    <d v="2019-02-05T00:00:00"/>
    <x v="8"/>
    <x v="8"/>
    <x v="1"/>
    <s v="BANCA COMERCIAL"/>
    <s v="VIATICOS"/>
    <s v="TRANSACCIONES DEL DIA 02/05/2019SPYRAL - GESTION ADMINISTRATIVA"/>
    <n v="175.85"/>
    <n v="0"/>
    <s v="NEGOCIOS"/>
    <x v="1"/>
  </r>
  <r>
    <n v="91"/>
    <d v="2019-02-08T00:00:00"/>
    <x v="8"/>
    <x v="8"/>
    <x v="1"/>
    <s v="BANCA COMERCIAL"/>
    <s v="VIATICOS"/>
    <s v="TRANSACCIONES DEL DIA 02/08/2019SPYRAL - GESTION ADMINISTRATIVA"/>
    <n v="39"/>
    <n v="0"/>
    <s v="NEGOCIOS"/>
    <x v="1"/>
  </r>
  <r>
    <n v="91"/>
    <d v="2019-02-12T00:00:00"/>
    <x v="8"/>
    <x v="8"/>
    <x v="1"/>
    <s v="BANCA COMERCIAL"/>
    <s v="VIATICOS"/>
    <s v="TRANSACCIONES DEL DIA 02/12/2019SPYRAL - GESTION ADMINISTRATIVA"/>
    <n v="91.18"/>
    <n v="0"/>
    <s v="NEGOCIOS"/>
    <x v="1"/>
  </r>
  <r>
    <n v="91"/>
    <d v="2019-02-18T00:00:00"/>
    <x v="8"/>
    <x v="8"/>
    <x v="1"/>
    <s v="BANCA COMERCIAL"/>
    <s v="VIATICOS"/>
    <s v="TRANSACCIONES DEL DIA 02/18/2019SPYRAL - GESTION ADMINISTRATIVA"/>
    <n v="32.01"/>
    <n v="0"/>
    <s v="NEGOCIOS"/>
    <x v="1"/>
  </r>
  <r>
    <n v="91"/>
    <d v="2019-02-18T00:00:00"/>
    <x v="8"/>
    <x v="8"/>
    <x v="1"/>
    <s v="BANCA COMERCIAL"/>
    <s v="VIATICOS 2"/>
    <s v="TRANSACCIONES DEL DIA 02/18/2019SPYRAL - GESTION ADMINISTRATIVA"/>
    <n v="259.26"/>
    <n v="0"/>
    <s v="NEGOCIOS"/>
    <x v="1"/>
  </r>
  <r>
    <n v="91"/>
    <d v="2019-02-22T00:00:00"/>
    <x v="8"/>
    <x v="8"/>
    <x v="1"/>
    <s v="BANCA COMERCIAL"/>
    <s v="VIATICOS"/>
    <s v="TRANSACCIONES DEL DIA 02/22/2019SPYRAL - GESTION ADMINISTRATIVA"/>
    <n v="85.51"/>
    <n v="0"/>
    <s v="NEGOCIOS"/>
    <x v="1"/>
  </r>
  <r>
    <n v="91"/>
    <d v="2019-02-26T00:00:00"/>
    <x v="8"/>
    <x v="8"/>
    <x v="1"/>
    <s v="BANCA COMERCIAL"/>
    <s v="VIATICOS"/>
    <s v="TRANSACCIONES DEL DIA 02/26/2019SPYRAL - GESTION ADMINISTRATIVA"/>
    <n v="584.82000000000005"/>
    <n v="0"/>
    <s v="NEGOCIOS"/>
    <x v="1"/>
  </r>
  <r>
    <n v="91"/>
    <d v="2019-03-19T00:00:00"/>
    <x v="9"/>
    <x v="9"/>
    <x v="1"/>
    <s v="BANCA COMERCIAL"/>
    <s v="VIATICOS"/>
    <s v="TRANSACCIONES DEL DIA 03/19/2019SPYRAL - GESTION ADMINISTRATIVA"/>
    <n v="34"/>
    <n v="0"/>
    <s v="NEGOCIOS"/>
    <x v="1"/>
  </r>
  <r>
    <n v="91"/>
    <d v="2019-03-20T00:00:00"/>
    <x v="9"/>
    <x v="9"/>
    <x v="1"/>
    <s v="BANCA COMERCIAL"/>
    <s v="VIATICOS 2"/>
    <s v="TRANSACCIONES DEL DIA 03/20/2019SPYRAL - GESTION ADMINISTRATIVA"/>
    <n v="1496"/>
    <n v="0"/>
    <s v="NEGOCIOS"/>
    <x v="1"/>
  </r>
  <r>
    <n v="91"/>
    <d v="2019-03-26T00:00:00"/>
    <x v="9"/>
    <x v="9"/>
    <x v="1"/>
    <s v="BANCA COMERCIAL"/>
    <s v="VIATICOS 2"/>
    <s v="TRANSACCIONES DEL DIA 03/26/2019SPYRAL - GESTION ADMINISTRATIVA"/>
    <n v="1060.6500000000001"/>
    <n v="0"/>
    <s v="NEGOCIOS"/>
    <x v="1"/>
  </r>
  <r>
    <n v="91"/>
    <d v="2019-04-03T00:00:00"/>
    <x v="10"/>
    <x v="10"/>
    <x v="1"/>
    <s v="BANCA COMERCIAL"/>
    <s v="VIATICOS 2"/>
    <s v="TRANSACCIONES DEL DIA 04/03/2019SPYRAL - GESTION ADMINISTRATIVA"/>
    <n v="16"/>
    <n v="0"/>
    <s v="NEGOCIOS"/>
    <x v="1"/>
  </r>
  <r>
    <n v="91"/>
    <d v="2019-04-05T00:00:00"/>
    <x v="10"/>
    <x v="10"/>
    <x v="1"/>
    <s v="BANCA COMERCIAL"/>
    <s v="VIATICOS 2"/>
    <s v="TRANSACCIONES DEL DIA 04/05/2019SPYRAL - GESTION ADMINISTRATIVA"/>
    <n v="187.8"/>
    <n v="0"/>
    <s v="NEGOCIOS"/>
    <x v="1"/>
  </r>
  <r>
    <n v="91"/>
    <d v="2019-04-09T00:00:00"/>
    <x v="10"/>
    <x v="10"/>
    <x v="1"/>
    <s v="BANCA COMERCIAL"/>
    <s v="VIATICOS 2"/>
    <s v="TRANSACCIONES DEL DIA 04/09/2019SPYRAL - GESTION ADMINISTRATIVA"/>
    <n v="41"/>
    <n v="0"/>
    <s v="NEGOCIOS"/>
    <x v="1"/>
  </r>
  <r>
    <n v="91"/>
    <d v="2019-04-22T00:00:00"/>
    <x v="10"/>
    <x v="10"/>
    <x v="1"/>
    <s v="BANCA COMERCIAL"/>
    <s v="VIATICOS 2"/>
    <s v="TRANSACCIONES DEL DIA 04/22/2019SPYRAL - GESTION ADMINISTRATIVA"/>
    <n v="1418.66"/>
    <n v="0"/>
    <s v="NEGOCIOS"/>
    <x v="1"/>
  </r>
  <r>
    <n v="91"/>
    <d v="2019-04-22T00:00:00"/>
    <x v="10"/>
    <x v="10"/>
    <x v="1"/>
    <s v="BANCA COMERCIAL"/>
    <s v="VIATICOS"/>
    <s v="TRANSACCIONES DEL DIA 04/22/2019SPYRAL - GESTION ADMINISTRATIVA"/>
    <n v="888.12"/>
    <n v="0"/>
    <s v="NEGOCIOS"/>
    <x v="1"/>
  </r>
  <r>
    <n v="91"/>
    <d v="2019-04-24T00:00:00"/>
    <x v="10"/>
    <x v="10"/>
    <x v="1"/>
    <s v="BANCA COMERCIAL"/>
    <s v="VIATICOS"/>
    <s v="TRANSACCIONES DEL DIA 04/24/2019SPYRAL - GESTION ADMINISTRATIVA"/>
    <n v="228"/>
    <n v="0"/>
    <s v="NEGOCIOS"/>
    <x v="1"/>
  </r>
  <r>
    <n v="91"/>
    <d v="2019-05-03T00:00:00"/>
    <x v="11"/>
    <x v="11"/>
    <x v="1"/>
    <s v="BANCA COMERCIAL"/>
    <s v="VIATICOS 2"/>
    <s v="TRANSACCIONES DEL DIA 05/03/2019SPYRAL - GESTION ADMINISTRATIVA"/>
    <n v="1330.46"/>
    <n v="0"/>
    <s v="NEGOCIOS"/>
    <x v="1"/>
  </r>
  <r>
    <n v="91"/>
    <d v="2019-05-03T00:00:00"/>
    <x v="11"/>
    <x v="11"/>
    <x v="1"/>
    <s v="BANCA COMERCIAL"/>
    <s v="VIATICOS"/>
    <s v="TRANSACCIONES DEL DIA 05/03/2019SPYRAL - GESTION ADMINISTRATIVA"/>
    <n v="70.23"/>
    <n v="0"/>
    <s v="NEGOCIOS"/>
    <x v="1"/>
  </r>
  <r>
    <n v="91"/>
    <d v="2019-05-21T00:00:00"/>
    <x v="11"/>
    <x v="11"/>
    <x v="1"/>
    <s v="BANCA COMERCIAL"/>
    <s v="NC VIATICOS"/>
    <s v="TRANSACCIONES DEL DIA 05/21/2019SPYRAL - GESTION ADMINISTRATIVA"/>
    <n v="197.95"/>
    <n v="0"/>
    <s v="NEGOCIOS"/>
    <x v="1"/>
  </r>
  <r>
    <n v="91"/>
    <d v="2019-05-24T00:00:00"/>
    <x v="11"/>
    <x v="11"/>
    <x v="1"/>
    <s v="BANCA COMERCIAL"/>
    <s v="VIATICOS 2"/>
    <s v="TRANSACCIONES DEL DIA 05/24/2019SPYRAL - GESTION ADMINISTRATIVA"/>
    <n v="514.4"/>
    <n v="0"/>
    <s v="NEGOCIOS"/>
    <x v="1"/>
  </r>
  <r>
    <n v="91"/>
    <d v="2019-05-28T00:00:00"/>
    <x v="11"/>
    <x v="11"/>
    <x v="1"/>
    <s v="BANCA COMERCIAL"/>
    <s v="VIATICOS 2"/>
    <s v="TRANSACCIONES DEL DIA 05/28/2019SPYRAL - GESTION ADMINISTRATIVA"/>
    <n v="120.41"/>
    <n v="0"/>
    <s v="NEGOCIOS"/>
    <x v="1"/>
  </r>
  <r>
    <n v="91"/>
    <d v="2019-06-01T00:00:00"/>
    <x v="2"/>
    <x v="2"/>
    <x v="1"/>
    <s v="BANCA COMERCIAL"/>
    <s v="VIATICOS 2"/>
    <s v="TRANSACCIONES DEL DIA 06/01/2019SPYRAL - GESTION ADMINISTRATIVA"/>
    <n v="20"/>
    <n v="0"/>
    <s v="NEGOCIOS"/>
    <x v="1"/>
  </r>
  <r>
    <n v="91"/>
    <d v="2019-06-03T00:00:00"/>
    <x v="2"/>
    <x v="2"/>
    <x v="1"/>
    <s v="BANCA COMERCIAL"/>
    <s v="VIATICOS 2"/>
    <s v="TRANSACCIONES DEL DIA 06/03/2019SPYRAL - GESTION ADMINISTRATIVA"/>
    <n v="57.25"/>
    <n v="0"/>
    <s v="NEGOCIOS"/>
    <x v="1"/>
  </r>
  <r>
    <n v="91"/>
    <d v="2019-06-05T00:00:00"/>
    <x v="2"/>
    <x v="2"/>
    <x v="1"/>
    <s v="BANCA COMERCIAL"/>
    <s v="VIATICOS"/>
    <s v="TRANSACCIONES DEL DIA 06/05/2019SPYRAL - GESTION ADMINISTRATIVA"/>
    <n v="1304.44"/>
    <n v="0"/>
    <s v="NEGOCIOS"/>
    <x v="1"/>
  </r>
  <r>
    <n v="91"/>
    <d v="2019-06-07T00:00:00"/>
    <x v="2"/>
    <x v="2"/>
    <x v="1"/>
    <s v="BANCA COMERCIAL"/>
    <s v="NC VIATICOS"/>
    <s v="TRANSACCIONES DEL DIA 06/07/2019SPYRAL - GESTION ADMINISTRATIVA"/>
    <n v="174.78"/>
    <n v="0"/>
    <s v="NEGOCIOS"/>
    <x v="1"/>
  </r>
  <r>
    <n v="91"/>
    <d v="2019-06-13T00:00:00"/>
    <x v="2"/>
    <x v="2"/>
    <x v="1"/>
    <s v="BANCA COMERCIAL"/>
    <s v="NC VIATICOS"/>
    <s v="TRANSACCIONES DEL DIA 06/13/2019SPYRAL - GESTION ADMINISTRATIVA"/>
    <n v="349.6"/>
    <n v="0"/>
    <s v="NEGOCIOS"/>
    <x v="1"/>
  </r>
  <r>
    <n v="91"/>
    <d v="2019-06-14T00:00:00"/>
    <x v="2"/>
    <x v="2"/>
    <x v="1"/>
    <s v="BANCA COMERCIAL"/>
    <s v="VIATICOS 2"/>
    <s v="TRANSACCIONES DEL DIA 06/14/2019SPYRAL - GESTION ADMINISTRATIVA"/>
    <n v="97.37"/>
    <n v="0"/>
    <s v="NEGOCIOS"/>
    <x v="1"/>
  </r>
  <r>
    <n v="91"/>
    <d v="2019-06-19T00:00:00"/>
    <x v="2"/>
    <x v="2"/>
    <x v="1"/>
    <s v="BANCA COMERCIAL"/>
    <s v="VIATICOS"/>
    <s v="TRANSACCIONES DEL DIA 06/19/2019SPYRAL - GESTION ADMINISTRATIVA"/>
    <n v="130.16999999999999"/>
    <n v="0"/>
    <s v="NEGOCIOS"/>
    <x v="1"/>
  </r>
  <r>
    <n v="91"/>
    <d v="2019-06-21T00:00:00"/>
    <x v="2"/>
    <x v="2"/>
    <x v="1"/>
    <s v="BANCA COMERCIAL"/>
    <s v="VIATICOS 2"/>
    <s v="TRANSACCIONES DEL DIA 06/21/2019SPYRAL - GESTION ADMINISTRATIVA"/>
    <n v="606.51"/>
    <n v="0"/>
    <s v="NEGOCIOS"/>
    <x v="1"/>
  </r>
  <r>
    <n v="91"/>
    <d v="2019-06-21T00:00:00"/>
    <x v="2"/>
    <x v="2"/>
    <x v="1"/>
    <s v="BANCA COMERCIAL"/>
    <s v="VIATICOS"/>
    <s v="TRANSACCIONES DEL DIA 06/21/2019SPYRAL - GESTION ADMINISTRATIVA"/>
    <n v="1363.47"/>
    <n v="0"/>
    <s v="NEGOCIOS"/>
    <x v="1"/>
  </r>
  <r>
    <n v="91"/>
    <d v="2019-06-25T00:00:00"/>
    <x v="2"/>
    <x v="2"/>
    <x v="1"/>
    <s v="BANCA COMERCIAL"/>
    <s v="VIATICOS 2"/>
    <s v="TRANSACCIONES DEL DIA 06/25/2019SPYRAL - GESTION ADMINISTRATIVA"/>
    <n v="544.79999999999995"/>
    <n v="0"/>
    <s v="NEGOCIOS"/>
    <x v="1"/>
  </r>
  <r>
    <n v="91"/>
    <d v="2019-07-04T00:00:00"/>
    <x v="6"/>
    <x v="6"/>
    <x v="1"/>
    <s v="BANCA COMERCIAL"/>
    <s v="VIATICOS"/>
    <s v="TRANSACCIONES DEL DIA 07/04/2019SPYRAL - GESTION ADMINISTRATIVA"/>
    <n v="79"/>
    <n v="0"/>
    <s v="NEGOCIOS"/>
    <x v="1"/>
  </r>
  <r>
    <n v="91"/>
    <d v="2019-07-05T00:00:00"/>
    <x v="6"/>
    <x v="6"/>
    <x v="1"/>
    <s v="BANCA COMERCIAL"/>
    <s v="VIATICOS 2"/>
    <s v="TRANSACCIONES DEL DIA 07/05/2019SPYRAL - GESTION ADMINISTRATIVA"/>
    <n v="522.36"/>
    <n v="0"/>
    <s v="NEGOCIOS"/>
    <x v="1"/>
  </r>
  <r>
    <n v="91"/>
    <d v="2019-07-08T00:00:00"/>
    <x v="6"/>
    <x v="6"/>
    <x v="1"/>
    <s v="BANCA COMERCIAL"/>
    <s v="VIATICOS 2"/>
    <s v="TRANSACCIONES DEL DIA 07/08/2019SPYRAL - GESTION ADMINISTRATIVA"/>
    <n v="25"/>
    <n v="0"/>
    <s v="NEGOCIOS"/>
    <x v="1"/>
  </r>
  <r>
    <n v="91"/>
    <d v="2019-07-08T00:00:00"/>
    <x v="6"/>
    <x v="6"/>
    <x v="1"/>
    <s v="BANCA COMERCIAL"/>
    <s v="NC VIATICOS"/>
    <s v="TRANSACCIONES DEL DIA 07/08/2019SPYRAL - GESTION ADMINISTRATIVA"/>
    <n v="190.52"/>
    <n v="0"/>
    <s v="NEGOCIOS"/>
    <x v="1"/>
  </r>
  <r>
    <n v="91"/>
    <d v="2019-07-10T00:00:00"/>
    <x v="6"/>
    <x v="6"/>
    <x v="1"/>
    <s v="BANCA COMERCIAL"/>
    <s v="VIATICOS 2"/>
    <s v="TRANSACCIONES DEL DIA 07/10/2019SPYRAL - GESTION ADMINISTRATIVA"/>
    <n v="869.85"/>
    <n v="0"/>
    <s v="NEGOCIOS"/>
    <x v="1"/>
  </r>
  <r>
    <n v="91"/>
    <d v="2019-07-18T00:00:00"/>
    <x v="6"/>
    <x v="6"/>
    <x v="1"/>
    <s v="BANCA COMERCIAL"/>
    <s v="NC VIATICOS"/>
    <s v="TRANSACCIONES DEL DIA 07/18/2019SPYRAL - GESTION ADMINISTRATIVA"/>
    <n v="179.24"/>
    <n v="0"/>
    <s v="NEGOCIOS"/>
    <x v="1"/>
  </r>
  <r>
    <n v="91"/>
    <d v="2019-07-23T00:00:00"/>
    <x v="6"/>
    <x v="6"/>
    <x v="1"/>
    <s v="BANCA COMERCIAL"/>
    <s v="VIATICOS"/>
    <s v="TRANSACCIONES DEL DIA 07/23/2019SPYRAL - GESTION ADMINISTRATIVA"/>
    <n v="96"/>
    <n v="0"/>
    <s v="NEGOCIOS"/>
    <x v="1"/>
  </r>
  <r>
    <n v="91"/>
    <d v="2019-07-29T00:00:00"/>
    <x v="6"/>
    <x v="6"/>
    <x v="1"/>
    <s v="BANCA COMERCIAL"/>
    <s v="VIATICOS 2"/>
    <s v="TRANSACCIONES DEL DIA 07/29/2019SPYRAL - GESTION ADMINISTRATIVA"/>
    <n v="40"/>
    <n v="0"/>
    <s v="NEGOCIOS"/>
    <x v="1"/>
  </r>
  <r>
    <n v="91"/>
    <d v="2019-07-29T00:00:00"/>
    <x v="6"/>
    <x v="6"/>
    <x v="1"/>
    <s v="BANCA COMERCIAL"/>
    <s v="VIATICOS"/>
    <s v="TRANSACCIONES DEL DIA 07/29/2019SPYRAL - GESTION ADMINISTRATIVA"/>
    <n v="149.46"/>
    <n v="0"/>
    <s v="NEGOCIOS"/>
    <x v="1"/>
  </r>
  <r>
    <n v="91"/>
    <d v="2019-01-22T00:00:00"/>
    <x v="7"/>
    <x v="7"/>
    <x v="1"/>
    <s v="BANCA COMERCIAL INTERIOR"/>
    <s v="NC VIATICOS"/>
    <s v="TRANSACCIONES DEL DIA 01/22/2019SPYRAL - GESTION ADMINISTRATIVA"/>
    <n v="367.45"/>
    <n v="0"/>
    <s v="NEGOCIOS"/>
    <x v="1"/>
  </r>
  <r>
    <n v="91"/>
    <d v="2019-02-08T00:00:00"/>
    <x v="8"/>
    <x v="8"/>
    <x v="1"/>
    <s v="BANCA COMERCIAL INTERIOR"/>
    <s v="VIATICOS"/>
    <s v="TRANSACCIONES DEL DIA 02/08/2019SPYRAL - GESTION ADMINISTRATIVA"/>
    <n v="22"/>
    <n v="0"/>
    <s v="NEGOCIOS"/>
    <x v="1"/>
  </r>
  <r>
    <n v="91"/>
    <d v="2019-02-13T00:00:00"/>
    <x v="8"/>
    <x v="8"/>
    <x v="1"/>
    <s v="BANCA COMERCIAL INTERIOR"/>
    <s v="NC VIATICOS"/>
    <s v="TRANSACCIONES DEL DIA 02/13/2019SPYRAL - GESTION ADMINISTRATIVA"/>
    <n v="16.05"/>
    <n v="0"/>
    <s v="NEGOCIOS"/>
    <x v="1"/>
  </r>
  <r>
    <n v="91"/>
    <d v="2019-02-15T00:00:00"/>
    <x v="8"/>
    <x v="8"/>
    <x v="1"/>
    <s v="BANCA COMERCIAL INTERIOR"/>
    <s v="NC VIATICOS"/>
    <s v="TRANSACCIONES DEL DIA 02/15/2019SPYRAL - GESTION ADMINISTRATIVA"/>
    <n v="47.11"/>
    <n v="0"/>
    <s v="NEGOCIOS"/>
    <x v="1"/>
  </r>
  <r>
    <n v="91"/>
    <d v="2019-03-07T00:00:00"/>
    <x v="9"/>
    <x v="9"/>
    <x v="1"/>
    <s v="BANCA COMERCIAL INTERIOR"/>
    <s v="NC VIATICOS"/>
    <s v="TRANSACCIONES DEL DIA 03/07/2019SPYRAL - GESTION ADMINISTRATIVA"/>
    <n v="40"/>
    <n v="0"/>
    <s v="NEGOCIOS"/>
    <x v="1"/>
  </r>
  <r>
    <n v="91"/>
    <d v="2019-03-12T00:00:00"/>
    <x v="9"/>
    <x v="9"/>
    <x v="1"/>
    <s v="BANCA COMERCIAL INTERIOR"/>
    <s v="NC VIATICOS"/>
    <s v="TRANSACCIONES DEL DIA 03/12/2019SPYRAL - GESTION ADMINISTRATIVA"/>
    <n v="631.71"/>
    <n v="0"/>
    <s v="NEGOCIOS"/>
    <x v="1"/>
  </r>
  <r>
    <n v="91"/>
    <d v="2019-03-21T00:00:00"/>
    <x v="9"/>
    <x v="9"/>
    <x v="1"/>
    <s v="BANCA COMERCIAL INTERIOR"/>
    <s v="VIATICOS 2"/>
    <s v="TRANSACCIONES DEL DIA 03/21/2019SPYRAL - GESTION ADMINISTRATIVA"/>
    <n v="204.35"/>
    <n v="0"/>
    <s v="NEGOCIOS"/>
    <x v="1"/>
  </r>
  <r>
    <n v="91"/>
    <d v="2019-04-02T00:00:00"/>
    <x v="10"/>
    <x v="10"/>
    <x v="1"/>
    <s v="BANCA COMERCIAL INTERIOR"/>
    <s v="VIATICOS 2"/>
    <s v="TRANSACCIONES DEL DIA 04/02/2019SPYRAL - GESTION ADMINISTRATIVA"/>
    <n v="37.270000000000003"/>
    <n v="0"/>
    <s v="NEGOCIOS"/>
    <x v="1"/>
  </r>
  <r>
    <n v="91"/>
    <d v="2019-04-03T00:00:00"/>
    <x v="10"/>
    <x v="10"/>
    <x v="1"/>
    <s v="BANCA COMERCIAL INTERIOR"/>
    <s v="NC VIATICOS"/>
    <s v="TRANSACCIONES DEL DIA 04/03/2019SPYRAL - GESTION ADMINISTRATIVA"/>
    <n v="484.22"/>
    <n v="0"/>
    <s v="NEGOCIOS"/>
    <x v="1"/>
  </r>
  <r>
    <n v="91"/>
    <d v="2019-04-06T00:00:00"/>
    <x v="10"/>
    <x v="10"/>
    <x v="1"/>
    <s v="BANCA COMERCIAL INTERIOR"/>
    <s v="VIATICOS"/>
    <s v="TRANSACCIONES DEL DIA 04/06/2019SPYRAL - GESTION ADMINISTRATIVA"/>
    <n v="87"/>
    <n v="0"/>
    <s v="NEGOCIOS"/>
    <x v="1"/>
  </r>
  <r>
    <n v="91"/>
    <d v="2019-04-22T00:00:00"/>
    <x v="10"/>
    <x v="10"/>
    <x v="1"/>
    <s v="BANCA COMERCIAL INTERIOR"/>
    <s v="VIATICOS 2"/>
    <s v="TRANSACCIONES DEL DIA 04/22/2019SPYRAL - GESTION ADMINISTRATIVA"/>
    <n v="94.85"/>
    <n v="0"/>
    <s v="NEGOCIOS"/>
    <x v="1"/>
  </r>
  <r>
    <n v="91"/>
    <d v="2019-04-25T00:00:00"/>
    <x v="10"/>
    <x v="10"/>
    <x v="1"/>
    <s v="BANCA COMERCIAL INTERIOR"/>
    <s v="NC VIATICOS"/>
    <s v="TRANSACCIONES DEL DIA 04/25/2019SPYRAL - GESTION ADMINISTRATIVA"/>
    <n v="398.73"/>
    <n v="0"/>
    <s v="NEGOCIOS"/>
    <x v="1"/>
  </r>
  <r>
    <n v="91"/>
    <d v="2019-05-15T00:00:00"/>
    <x v="11"/>
    <x v="11"/>
    <x v="1"/>
    <s v="BANCA COMERCIAL INTERIOR"/>
    <s v="VIATICOS 2"/>
    <s v="TRANSACCIONES DEL DIA 05/15/2019SPYRAL - GESTION ADMINISTRATIVA"/>
    <n v="127.12"/>
    <n v="0"/>
    <s v="NEGOCIOS"/>
    <x v="1"/>
  </r>
  <r>
    <n v="91"/>
    <d v="2019-05-27T00:00:00"/>
    <x v="11"/>
    <x v="11"/>
    <x v="1"/>
    <s v="BANCA COMERCIAL INTERIOR"/>
    <s v="NC VIATICOS"/>
    <s v="TRANSACCIONES DEL DIA 05/27/2019SPYRAL - GESTION ADMINISTRATIVA"/>
    <n v="67"/>
    <n v="0"/>
    <s v="NEGOCIOS"/>
    <x v="1"/>
  </r>
  <r>
    <n v="91"/>
    <d v="2019-05-29T00:00:00"/>
    <x v="11"/>
    <x v="11"/>
    <x v="1"/>
    <s v="BANCA COMERCIAL INTERIOR"/>
    <s v="VIATICOS 2"/>
    <s v="TRANSACCIONES DEL DIA 05/29/2019SPYRAL - GESTION ADMINISTRATIVA"/>
    <n v="42"/>
    <n v="0"/>
    <s v="NEGOCIOS"/>
    <x v="1"/>
  </r>
  <r>
    <n v="91"/>
    <d v="2019-06-01T00:00:00"/>
    <x v="2"/>
    <x v="2"/>
    <x v="1"/>
    <s v="BANCA COMERCIAL INTERIOR"/>
    <s v="VIATICOS 2"/>
    <s v="TRANSACCIONES DEL DIA 06/01/2019SPYRAL - GESTION ADMINISTRATIVA"/>
    <n v="35"/>
    <n v="0"/>
    <s v="NEGOCIOS"/>
    <x v="1"/>
  </r>
  <r>
    <n v="91"/>
    <d v="2019-06-10T00:00:00"/>
    <x v="2"/>
    <x v="2"/>
    <x v="1"/>
    <s v="BANCA COMERCIAL INTERIOR"/>
    <s v="VIATICOS 2"/>
    <s v="TRANSACCIONES DEL DIA 06/10/2019SPYRAL - GESTION ADMINISTRATIVA"/>
    <n v="12.39"/>
    <n v="0"/>
    <s v="NEGOCIOS"/>
    <x v="1"/>
  </r>
  <r>
    <n v="91"/>
    <d v="2019-06-10T00:00:00"/>
    <x v="2"/>
    <x v="2"/>
    <x v="1"/>
    <s v="BANCA COMERCIAL INTERIOR"/>
    <s v="NC VIATICOS"/>
    <s v="TRANSACCIONES DEL DIA 06/10/2019SPYRAL - GESTION ADMINISTRATIVA"/>
    <n v="270.98"/>
    <n v="0"/>
    <s v="NEGOCIOS"/>
    <x v="1"/>
  </r>
  <r>
    <n v="91"/>
    <d v="2019-06-27T00:00:00"/>
    <x v="2"/>
    <x v="2"/>
    <x v="1"/>
    <s v="BANCA COMERCIAL INTERIOR"/>
    <s v="VIATICOS 2"/>
    <s v="TRANSACCIONES DEL DIA 06/27/2019SPYRAL - GESTION ADMINISTRATIVA"/>
    <n v="56.55"/>
    <n v="0"/>
    <s v="NEGOCIOS"/>
    <x v="1"/>
  </r>
  <r>
    <n v="91"/>
    <d v="2019-07-11T00:00:00"/>
    <x v="6"/>
    <x v="6"/>
    <x v="1"/>
    <s v="BANCA COMERCIAL INTERIOR"/>
    <s v="VIATICOS 2"/>
    <s v="TRANSACCIONES DEL DIA 07/11/2019SPYRAL - GESTION ADMINISTRATIVA"/>
    <n v="58.3"/>
    <n v="0"/>
    <s v="NEGOCIOS"/>
    <x v="1"/>
  </r>
  <r>
    <n v="91"/>
    <d v="2019-07-11T00:00:00"/>
    <x v="6"/>
    <x v="6"/>
    <x v="1"/>
    <s v="BANCA COMERCIAL INTERIOR"/>
    <s v="NC VIATICOS"/>
    <s v="TRANSACCIONES DEL DIA 07/11/2019SPYRAL - GESTION ADMINISTRATIVA"/>
    <n v="68.680000000000007"/>
    <n v="0"/>
    <s v="NEGOCIOS"/>
    <x v="1"/>
  </r>
  <r>
    <n v="91"/>
    <d v="2019-07-17T00:00:00"/>
    <x v="6"/>
    <x v="6"/>
    <x v="1"/>
    <s v="BANCA COMERCIAL INTERIOR"/>
    <s v="VIATICOS 2"/>
    <s v="TRANSACCIONES DEL DIA 07/17/2019SPYRAL - GESTION ADMINISTRATIVA"/>
    <n v="855.52"/>
    <n v="0"/>
    <s v="NEGOCIOS"/>
    <x v="1"/>
  </r>
  <r>
    <n v="91"/>
    <d v="2019-07-23T00:00:00"/>
    <x v="6"/>
    <x v="6"/>
    <x v="1"/>
    <s v="BANCA COMERCIAL INTERIOR"/>
    <s v="VIATICOS 2"/>
    <s v="TRANSACCIONES DEL DIA 07/23/2019SPYRAL - GESTION ADMINISTRATIVA"/>
    <n v="21.4"/>
    <n v="0"/>
    <s v="NEGOCIOS"/>
    <x v="1"/>
  </r>
  <r>
    <n v="91"/>
    <d v="2019-01-11T00:00:00"/>
    <x v="7"/>
    <x v="7"/>
    <x v="1"/>
    <s v="BANCA COMERCIAL CENTRO"/>
    <s v="VIATICOS"/>
    <s v="TRANSACCIONES DEL DIA 01/11/2019SPYRAL - GESTION ADMINISTRATIVA"/>
    <n v="138"/>
    <n v="0"/>
    <s v="NEGOCIOS"/>
    <x v="1"/>
  </r>
  <r>
    <n v="91"/>
    <d v="2019-01-28T00:00:00"/>
    <x v="7"/>
    <x v="7"/>
    <x v="1"/>
    <s v="BANCA COMERCIAL CENTRO"/>
    <s v="VIATICOS"/>
    <s v="TRANSACCIONES DEL DIA 01/28/2019SPYRAL - GESTION ADMINISTRATIVA"/>
    <n v="87.75"/>
    <n v="0"/>
    <s v="NEGOCIOS"/>
    <x v="1"/>
  </r>
  <r>
    <n v="91"/>
    <d v="2019-02-01T00:00:00"/>
    <x v="8"/>
    <x v="8"/>
    <x v="1"/>
    <s v="BANCA COMERCIAL CENTRO"/>
    <s v="VIATICOS"/>
    <s v="TRANSACCIONES DEL DIA 02/01/2019SPYRAL - GESTION ADMINISTRATIVA"/>
    <n v="30"/>
    <n v="0"/>
    <s v="NEGOCIOS"/>
    <x v="1"/>
  </r>
  <r>
    <n v="91"/>
    <d v="2019-02-02T00:00:00"/>
    <x v="8"/>
    <x v="8"/>
    <x v="1"/>
    <s v="BANCA COMERCIAL CENTRO"/>
    <s v="VIATICOS"/>
    <s v="TRANSACCIONES DEL DIA 02/02/2019SPYRAL - GESTION ADMINISTRATIVA"/>
    <n v="40"/>
    <n v="0"/>
    <s v="NEGOCIOS"/>
    <x v="1"/>
  </r>
  <r>
    <n v="91"/>
    <d v="2019-02-16T00:00:00"/>
    <x v="8"/>
    <x v="8"/>
    <x v="1"/>
    <s v="BANCA COMERCIAL CENTRO"/>
    <s v="VIATICOS"/>
    <s v="TRANSACCIONES DEL DIA 02/16/2019SPYRAL - GESTION ADMINISTRATIVA"/>
    <n v="33"/>
    <n v="0"/>
    <s v="NEGOCIOS"/>
    <x v="1"/>
  </r>
  <r>
    <n v="91"/>
    <d v="2019-02-18T00:00:00"/>
    <x v="8"/>
    <x v="8"/>
    <x v="1"/>
    <s v="BANCA COMERCIAL CENTRO"/>
    <s v="VIATICOS"/>
    <s v="TRANSACCIONES DEL DIA 02/18/2019SPYRAL - GESTION ADMINISTRATIVA"/>
    <n v="56.25"/>
    <n v="0"/>
    <s v="NEGOCIOS"/>
    <x v="1"/>
  </r>
  <r>
    <n v="91"/>
    <d v="2019-02-25T00:00:00"/>
    <x v="8"/>
    <x v="8"/>
    <x v="1"/>
    <s v="BANCA COMERCIAL CENTRO"/>
    <s v="VIATICOS"/>
    <s v="TRANSACCIONES DEL DIA 02/25/2019SPYRAL - GESTION ADMINISTRATIVA"/>
    <n v="35"/>
    <n v="0"/>
    <s v="NEGOCIOS"/>
    <x v="1"/>
  </r>
  <r>
    <n v="91"/>
    <d v="2019-03-06T00:00:00"/>
    <x v="9"/>
    <x v="9"/>
    <x v="1"/>
    <s v="BANCA COMERCIAL CENTRO"/>
    <s v="VIATICOS"/>
    <s v="TRANSACCIONES DEL DIA 03/06/2019SPYRAL - GESTION ADMINISTRATIVA"/>
    <n v="196.4"/>
    <n v="0"/>
    <s v="NEGOCIOS"/>
    <x v="1"/>
  </r>
  <r>
    <n v="91"/>
    <d v="2019-03-11T00:00:00"/>
    <x v="9"/>
    <x v="9"/>
    <x v="1"/>
    <s v="BANCA COMERCIAL CENTRO"/>
    <s v="VIATICOS"/>
    <s v="TRANSACCIONES DEL DIA 03/11/2019SPYRAL - GESTION ADMINISTRATIVA"/>
    <n v="93.11"/>
    <n v="0"/>
    <s v="NEGOCIOS"/>
    <x v="1"/>
  </r>
  <r>
    <n v="91"/>
    <d v="2019-03-12T00:00:00"/>
    <x v="9"/>
    <x v="9"/>
    <x v="1"/>
    <s v="BANCA COMERCIAL CENTRO"/>
    <s v="VIATICOS"/>
    <s v="TRANSACCIONES DEL DIA 03/12/2019SPYRAL - GESTION ADMINISTRATIVA"/>
    <n v="32"/>
    <n v="0"/>
    <s v="NEGOCIOS"/>
    <x v="1"/>
  </r>
  <r>
    <n v="91"/>
    <d v="2019-03-13T00:00:00"/>
    <x v="9"/>
    <x v="9"/>
    <x v="1"/>
    <s v="BANCA COMERCIAL CENTRO"/>
    <s v="VIATICOS"/>
    <s v="TRANSACCIONES DEL DIA 03/13/2019SPYRAL - GESTION ADMINISTRATIVA"/>
    <n v="60.85"/>
    <n v="0"/>
    <s v="NEGOCIOS"/>
    <x v="1"/>
  </r>
  <r>
    <n v="91"/>
    <d v="2019-03-16T00:00:00"/>
    <x v="9"/>
    <x v="9"/>
    <x v="1"/>
    <s v="BANCA COMERCIAL CENTRO"/>
    <s v="VIATICOS"/>
    <s v="TRANSACCIONES DEL DIA 03/16/2019SPYRAL - GESTION ADMINISTRATIVA"/>
    <n v="83"/>
    <n v="0"/>
    <s v="NEGOCIOS"/>
    <x v="1"/>
  </r>
  <r>
    <n v="91"/>
    <d v="2019-03-20T00:00:00"/>
    <x v="9"/>
    <x v="9"/>
    <x v="1"/>
    <s v="BANCA COMERCIAL CENTRO"/>
    <s v="VIATICOS"/>
    <s v="TRANSACCIONES DEL DIA 03/20/2019SPYRAL - GESTION ADMINISTRATIVA"/>
    <n v="70.239999999999995"/>
    <n v="0"/>
    <s v="NEGOCIOS"/>
    <x v="1"/>
  </r>
  <r>
    <n v="91"/>
    <d v="2019-03-26T00:00:00"/>
    <x v="9"/>
    <x v="9"/>
    <x v="1"/>
    <s v="BANCA COMERCIAL CENTRO"/>
    <s v="VIATICOS 2"/>
    <s v="TRANSACCIONES DEL DIA 03/26/2019SPYRAL - GESTION ADMINISTRATIVA"/>
    <n v="46.02"/>
    <n v="0"/>
    <s v="NEGOCIOS"/>
    <x v="1"/>
  </r>
  <r>
    <n v="91"/>
    <d v="2019-03-29T00:00:00"/>
    <x v="9"/>
    <x v="9"/>
    <x v="1"/>
    <s v="BANCA COMERCIAL CENTRO"/>
    <s v="VIATICOS 2"/>
    <s v="TRANSACCIONES DEL DIA 03/29/2019SPYRAL - GESTION ADMINISTRATIVA"/>
    <n v="34"/>
    <n v="0"/>
    <s v="NEGOCIOS"/>
    <x v="1"/>
  </r>
  <r>
    <n v="91"/>
    <d v="2019-04-02T00:00:00"/>
    <x v="10"/>
    <x v="10"/>
    <x v="1"/>
    <s v="BANCA COMERCIAL CENTRO"/>
    <s v="VIATICOS 2"/>
    <s v="TRANSACCIONES DEL DIA 04/02/2019SPYRAL - GESTION ADMINISTRATIVA"/>
    <n v="72"/>
    <n v="0"/>
    <s v="NEGOCIOS"/>
    <x v="1"/>
  </r>
  <r>
    <n v="91"/>
    <d v="2019-04-16T00:00:00"/>
    <x v="10"/>
    <x v="10"/>
    <x v="1"/>
    <s v="BANCA COMERCIAL CENTRO"/>
    <s v="VIATICOS 2"/>
    <s v="TRANSACCIONES DEL DIA 04/16/2019SPYRAL - GESTION ADMINISTRATIVA"/>
    <n v="138.07"/>
    <n v="0"/>
    <s v="NEGOCIOS"/>
    <x v="1"/>
  </r>
  <r>
    <n v="91"/>
    <d v="2019-04-22T00:00:00"/>
    <x v="10"/>
    <x v="10"/>
    <x v="1"/>
    <s v="BANCA COMERCIAL CENTRO"/>
    <s v="VIATICOS 2"/>
    <s v="TRANSACCIONES DEL DIA 04/22/2019SPYRAL - GESTION ADMINISTRATIVA"/>
    <n v="117.7"/>
    <n v="0"/>
    <s v="NEGOCIOS"/>
    <x v="1"/>
  </r>
  <r>
    <n v="91"/>
    <d v="2019-04-25T00:00:00"/>
    <x v="10"/>
    <x v="10"/>
    <x v="1"/>
    <s v="BANCA COMERCIAL CENTRO"/>
    <s v="VIATICOS 2"/>
    <s v="TRANSACCIONES DEL DIA 04/25/2019SPYRAL - GESTION ADMINISTRATIVA"/>
    <n v="44.22"/>
    <n v="0"/>
    <s v="NEGOCIOS"/>
    <x v="1"/>
  </r>
  <r>
    <n v="91"/>
    <d v="2019-05-03T00:00:00"/>
    <x v="11"/>
    <x v="11"/>
    <x v="1"/>
    <s v="BANCA COMERCIAL CENTRO"/>
    <s v="VIATICOS 2"/>
    <s v="TRANSACCIONES DEL DIA 05/03/2019SPYRAL - GESTION ADMINISTRATIVA"/>
    <n v="379.7"/>
    <n v="0"/>
    <s v="NEGOCIOS"/>
    <x v="1"/>
  </r>
  <r>
    <n v="91"/>
    <d v="2019-05-06T00:00:00"/>
    <x v="11"/>
    <x v="11"/>
    <x v="1"/>
    <s v="BANCA COMERCIAL CENTRO"/>
    <s v="VIATICOS 2"/>
    <s v="TRANSACCIONES DEL DIA 05/06/2019SPYRAL - GESTION ADMINISTRATIVA"/>
    <n v="76.349999999999994"/>
    <n v="0"/>
    <s v="NEGOCIOS"/>
    <x v="1"/>
  </r>
  <r>
    <n v="91"/>
    <d v="2019-05-08T00:00:00"/>
    <x v="11"/>
    <x v="11"/>
    <x v="1"/>
    <s v="BANCA COMERCIAL CENTRO"/>
    <s v="VIATICOS 2"/>
    <s v="TRANSACCIONES DEL DIA 05/08/2019SPYRAL - GESTION ADMINISTRATIVA"/>
    <n v="38"/>
    <n v="0"/>
    <s v="NEGOCIOS"/>
    <x v="1"/>
  </r>
  <r>
    <n v="91"/>
    <d v="2019-05-16T00:00:00"/>
    <x v="11"/>
    <x v="11"/>
    <x v="1"/>
    <s v="BANCA COMERCIAL CENTRO"/>
    <s v="VIATICOS 2"/>
    <s v="TRANSACCIONES DEL DIA 05/16/2019SPYRAL - GESTION ADMINISTRATIVA"/>
    <n v="50"/>
    <n v="0"/>
    <s v="NEGOCIOS"/>
    <x v="1"/>
  </r>
  <r>
    <n v="91"/>
    <d v="2019-05-24T00:00:00"/>
    <x v="11"/>
    <x v="11"/>
    <x v="1"/>
    <s v="BANCA COMERCIAL CENTRO"/>
    <s v="VIATICOS"/>
    <s v="TRANSACCIONES DEL DIA 05/24/2019SPYRAL - GESTION ADMINISTRATIVA"/>
    <n v="44"/>
    <n v="0"/>
    <s v="NEGOCIOS"/>
    <x v="1"/>
  </r>
  <r>
    <n v="91"/>
    <d v="2019-06-05T00:00:00"/>
    <x v="2"/>
    <x v="2"/>
    <x v="1"/>
    <s v="BANCA COMERCIAL CENTRO"/>
    <s v="VIATICOS 2"/>
    <s v="TRANSACCIONES DEL DIA 06/05/2019SPYRAL - GESTION ADMINISTRATIVA"/>
    <n v="82"/>
    <n v="0"/>
    <s v="NEGOCIOS"/>
    <x v="1"/>
  </r>
  <r>
    <n v="91"/>
    <d v="2019-06-06T00:00:00"/>
    <x v="2"/>
    <x v="2"/>
    <x v="1"/>
    <s v="BANCA COMERCIAL CENTRO"/>
    <s v="VIATICOS 2"/>
    <s v="TRANSACCIONES DEL DIA 06/06/2019SPYRAL - GESTION ADMINISTRATIVA"/>
    <n v="37"/>
    <n v="0"/>
    <s v="NEGOCIOS"/>
    <x v="1"/>
  </r>
  <r>
    <n v="91"/>
    <d v="2019-06-15T00:00:00"/>
    <x v="2"/>
    <x v="2"/>
    <x v="1"/>
    <s v="BANCA COMERCIAL CENTRO"/>
    <s v="VIATICOS 2"/>
    <s v="TRANSACCIONES DEL DIA 06/15/2019SPYRAL - GESTION ADMINISTRATIVA"/>
    <n v="212.87"/>
    <n v="0"/>
    <s v="NEGOCIOS"/>
    <x v="1"/>
  </r>
  <r>
    <n v="91"/>
    <d v="2019-06-18T00:00:00"/>
    <x v="2"/>
    <x v="2"/>
    <x v="1"/>
    <s v="BANCA COMERCIAL CENTRO"/>
    <s v="VIATICOS 2"/>
    <s v="TRANSACCIONES DEL DIA 06/18/2019SPYRAL - GESTION ADMINISTRATIVA"/>
    <n v="39"/>
    <n v="0"/>
    <s v="NEGOCIOS"/>
    <x v="1"/>
  </r>
  <r>
    <n v="91"/>
    <d v="2019-06-19T00:00:00"/>
    <x v="2"/>
    <x v="2"/>
    <x v="1"/>
    <s v="BANCA COMERCIAL CENTRO"/>
    <s v="VIATICOS 2"/>
    <s v="TRANSACCIONES DEL DIA 06/19/2019SPYRAL - GESTION ADMINISTRATIVA"/>
    <n v="41"/>
    <n v="0"/>
    <s v="NEGOCIOS"/>
    <x v="1"/>
  </r>
  <r>
    <n v="91"/>
    <d v="2019-06-21T00:00:00"/>
    <x v="2"/>
    <x v="2"/>
    <x v="1"/>
    <s v="BANCA COMERCIAL CENTRO"/>
    <s v="VIATICOS 2"/>
    <s v="TRANSACCIONES DEL DIA 06/21/2019SPYRAL - GESTION ADMINISTRATIVA"/>
    <n v="77"/>
    <n v="0"/>
    <s v="NEGOCIOS"/>
    <x v="1"/>
  </r>
  <r>
    <n v="91"/>
    <d v="2019-07-03T00:00:00"/>
    <x v="6"/>
    <x v="6"/>
    <x v="1"/>
    <s v="BANCA COMERCIAL CENTRO"/>
    <s v="VIATICOS 2"/>
    <s v="TRANSACCIONES DEL DIA 07/03/2019SPYRAL - GESTION ADMINISTRATIVA"/>
    <n v="136.99"/>
    <n v="0"/>
    <s v="NEGOCIOS"/>
    <x v="1"/>
  </r>
  <r>
    <n v="91"/>
    <d v="2019-07-08T00:00:00"/>
    <x v="6"/>
    <x v="6"/>
    <x v="1"/>
    <s v="BANCA COMERCIAL CENTRO"/>
    <s v="VIATICOS 2"/>
    <s v="TRANSACCIONES DEL DIA 07/08/2019SPYRAL - GESTION ADMINISTRATIVA"/>
    <n v="72.989999999999995"/>
    <n v="0"/>
    <s v="NEGOCIOS"/>
    <x v="1"/>
  </r>
  <r>
    <n v="91"/>
    <d v="2019-07-15T00:00:00"/>
    <x v="6"/>
    <x v="6"/>
    <x v="1"/>
    <s v="BANCA COMERCIAL CENTRO"/>
    <s v="VIATICOS 2"/>
    <s v="TRANSACCIONES DEL DIA 07/15/2019SPYRAL - GESTION ADMINISTRATIVA"/>
    <n v="187.65"/>
    <n v="0"/>
    <s v="NEGOCIOS"/>
    <x v="1"/>
  </r>
  <r>
    <n v="91"/>
    <d v="2019-07-16T00:00:00"/>
    <x v="6"/>
    <x v="6"/>
    <x v="1"/>
    <s v="BANCA COMERCIAL CENTRO"/>
    <s v="VIATICOS 2"/>
    <s v="TRANSACCIONES DEL DIA 07/16/2019SPYRAL - GESTION ADMINISTRATIVA"/>
    <n v="38"/>
    <n v="0"/>
    <s v="NEGOCIOS"/>
    <x v="1"/>
  </r>
  <r>
    <n v="91"/>
    <d v="2019-07-24T00:00:00"/>
    <x v="6"/>
    <x v="6"/>
    <x v="1"/>
    <s v="BANCA COMERCIAL CENTRO"/>
    <s v="VIATICOS 2"/>
    <s v="TRANSACCIONES DEL DIA 07/24/2019SPYRAL - GESTION ADMINISTRATIVA"/>
    <n v="80.849999999999994"/>
    <n v="0"/>
    <s v="NEGOCIOS"/>
    <x v="1"/>
  </r>
  <r>
    <n v="91"/>
    <d v="2019-07-26T00:00:00"/>
    <x v="6"/>
    <x v="6"/>
    <x v="1"/>
    <s v="BANCA COMERCIAL CENTRO"/>
    <s v="VIATICOS 2"/>
    <s v="TRANSACCIONES DEL DIA 07/26/2019SPYRAL - GESTION ADMINISTRATIVA"/>
    <n v="54.29"/>
    <n v="0"/>
    <s v="NEGOCIOS"/>
    <x v="1"/>
  </r>
  <r>
    <n v="91"/>
    <d v="2019-07-29T00:00:00"/>
    <x v="6"/>
    <x v="6"/>
    <x v="1"/>
    <s v="BANCA COMERCIAL CENTRO"/>
    <s v="VIATICOS 2"/>
    <s v="TRANSACCIONES DEL DIA 07/29/2019SPYRAL - GESTION ADMINISTRATIVA"/>
    <n v="36"/>
    <n v="0"/>
    <s v="NEGOCIOS"/>
    <x v="1"/>
  </r>
  <r>
    <n v="91"/>
    <d v="2019-01-04T00:00:00"/>
    <x v="7"/>
    <x v="7"/>
    <x v="1"/>
    <s v="BANCA COMERCIAL PERIFERIA"/>
    <s v="VIATICOS"/>
    <s v="TRANSACCIONES DEL DIA 01/04/2019SPYRAL - GESTION ADMINISTRATIVA"/>
    <n v="82.6"/>
    <n v="0"/>
    <s v="NEGOCIOS"/>
    <x v="1"/>
  </r>
  <r>
    <n v="91"/>
    <d v="2019-01-07T00:00:00"/>
    <x v="7"/>
    <x v="7"/>
    <x v="1"/>
    <s v="BANCA COMERCIAL PERIFERIA"/>
    <s v="VIATICOS"/>
    <s v="TRANSACCIONES DEL DIA 01/07/2019SPYRAL - GESTION ADMINISTRATIVA"/>
    <n v="87"/>
    <n v="0"/>
    <s v="NEGOCIOS"/>
    <x v="1"/>
  </r>
  <r>
    <n v="91"/>
    <d v="2019-01-15T00:00:00"/>
    <x v="7"/>
    <x v="7"/>
    <x v="1"/>
    <s v="BANCA COMERCIAL PERIFERIA"/>
    <s v="VIATICOS"/>
    <s v="TRANSACCIONES DEL DIA 01/15/2019SPYRAL - GESTION ADMINISTRATIVA"/>
    <n v="181.33"/>
    <n v="0"/>
    <s v="NEGOCIOS"/>
    <x v="1"/>
  </r>
  <r>
    <n v="91"/>
    <d v="2019-01-18T00:00:00"/>
    <x v="7"/>
    <x v="7"/>
    <x v="1"/>
    <s v="BANCA COMERCIAL PERIFERIA"/>
    <s v="VIATICOS"/>
    <s v="TRANSACCIONES DEL DIA 01/18/2019SPYRAL - GESTION ADMINISTRATIVA"/>
    <n v="98.86"/>
    <n v="0"/>
    <s v="NEGOCIOS"/>
    <x v="1"/>
  </r>
  <r>
    <n v="91"/>
    <d v="2019-01-25T00:00:00"/>
    <x v="7"/>
    <x v="7"/>
    <x v="1"/>
    <s v="BANCA COMERCIAL PERIFERIA"/>
    <s v="VIATICOS"/>
    <s v="TRANSACCIONES DEL DIA 01/25/2019SPYRAL - GESTION ADMINISTRATIVA"/>
    <n v="112.22"/>
    <n v="0"/>
    <s v="NEGOCIOS"/>
    <x v="1"/>
  </r>
  <r>
    <n v="91"/>
    <d v="2019-02-04T00:00:00"/>
    <x v="8"/>
    <x v="8"/>
    <x v="1"/>
    <s v="BANCA COMERCIAL PERIFERIA"/>
    <s v="VIATICOS"/>
    <s v="TRANSACCIONES DEL DIA 02/04/2019SPYRAL - GESTION ADMINISTRATIVA"/>
    <n v="117.85"/>
    <n v="0"/>
    <s v="NEGOCIOS"/>
    <x v="1"/>
  </r>
  <r>
    <n v="91"/>
    <d v="2019-02-06T00:00:00"/>
    <x v="8"/>
    <x v="8"/>
    <x v="1"/>
    <s v="BANCA COMERCIAL PERIFERIA"/>
    <s v="VIATICOS"/>
    <s v="TRANSACCIONES DEL DIA 02/06/2019SPYRAL - GESTION ADMINISTRATIVA"/>
    <n v="334.41"/>
    <n v="0"/>
    <s v="NEGOCIOS"/>
    <x v="1"/>
  </r>
  <r>
    <n v="91"/>
    <d v="2019-02-08T00:00:00"/>
    <x v="8"/>
    <x v="8"/>
    <x v="1"/>
    <s v="BANCA COMERCIAL PERIFERIA"/>
    <s v="VIATICOS"/>
    <s v="TRANSACCIONES DEL DIA 02/08/2019SPYRAL - GESTION ADMINISTRATIVA"/>
    <n v="47.6"/>
    <n v="0"/>
    <s v="NEGOCIOS"/>
    <x v="1"/>
  </r>
  <r>
    <n v="91"/>
    <d v="2019-02-19T00:00:00"/>
    <x v="8"/>
    <x v="8"/>
    <x v="1"/>
    <s v="BANCA COMERCIAL PERIFERIA"/>
    <s v="VIATICOS"/>
    <s v="TRANSACCIONES DEL DIA 02/19/2019SPYRAL - GESTION ADMINISTRATIVA"/>
    <n v="156.4"/>
    <n v="0"/>
    <s v="NEGOCIOS"/>
    <x v="1"/>
  </r>
  <r>
    <n v="91"/>
    <d v="2019-02-22T00:00:00"/>
    <x v="8"/>
    <x v="8"/>
    <x v="1"/>
    <s v="BANCA COMERCIAL PERIFERIA"/>
    <s v="VIATICOS"/>
    <s v="TRANSACCIONES DEL DIA 02/22/2019SPYRAL - GESTION ADMINISTRATIVA"/>
    <n v="232.86"/>
    <n v="0"/>
    <s v="NEGOCIOS"/>
    <x v="1"/>
  </r>
  <r>
    <n v="91"/>
    <d v="2019-03-06T00:00:00"/>
    <x v="9"/>
    <x v="9"/>
    <x v="1"/>
    <s v="BANCA COMERCIAL PERIFERIA"/>
    <s v="VIATICOS"/>
    <s v="TRANSACCIONES DEL DIA 03/06/2019SPYRAL - GESTION ADMINISTRATIVA"/>
    <n v="161.44999999999999"/>
    <n v="0"/>
    <s v="NEGOCIOS"/>
    <x v="1"/>
  </r>
  <r>
    <n v="91"/>
    <d v="2019-03-08T00:00:00"/>
    <x v="9"/>
    <x v="9"/>
    <x v="1"/>
    <s v="BANCA COMERCIAL PERIFERIA"/>
    <s v="VIATICOS"/>
    <s v="TRANSACCIONES DEL DIA 03/08/2019SPYRAL - GESTION ADMINISTRATIVA"/>
    <n v="98.1"/>
    <n v="0"/>
    <s v="NEGOCIOS"/>
    <x v="1"/>
  </r>
  <r>
    <n v="91"/>
    <d v="2019-03-13T00:00:00"/>
    <x v="9"/>
    <x v="9"/>
    <x v="1"/>
    <s v="BANCA COMERCIAL PERIFERIA"/>
    <s v="VIATICOS"/>
    <s v="TRANSACCIONES DEL DIA 03/13/2019SPYRAL - GESTION ADMINISTRATIVA"/>
    <n v="100.15"/>
    <n v="0"/>
    <s v="NEGOCIOS"/>
    <x v="1"/>
  </r>
  <r>
    <n v="91"/>
    <d v="2019-03-20T00:00:00"/>
    <x v="9"/>
    <x v="9"/>
    <x v="1"/>
    <s v="BANCA COMERCIAL PERIFERIA"/>
    <s v="VIATICOS"/>
    <s v="TRANSACCIONES DEL DIA 03/20/2019SPYRAL - GESTION ADMINISTRATIVA"/>
    <n v="115.25"/>
    <n v="0"/>
    <s v="NEGOCIOS"/>
    <x v="1"/>
  </r>
  <r>
    <n v="91"/>
    <d v="2019-03-23T00:00:00"/>
    <x v="9"/>
    <x v="9"/>
    <x v="1"/>
    <s v="BANCA COMERCIAL PERIFERIA"/>
    <s v="VIATICOS 2"/>
    <s v="TRANSACCIONES DEL DIA 03/23/2019SPYRAL - GESTION ADMINISTRATIVA"/>
    <n v="64"/>
    <n v="0"/>
    <s v="NEGOCIOS"/>
    <x v="1"/>
  </r>
  <r>
    <n v="91"/>
    <d v="2019-03-26T00:00:00"/>
    <x v="9"/>
    <x v="9"/>
    <x v="1"/>
    <s v="BANCA COMERCIAL PERIFERIA"/>
    <s v="VIATICOS 2"/>
    <s v="TRANSACCIONES DEL DIA 03/26/2019SPYRAL - GESTION ADMINISTRATIVA"/>
    <n v="61.92"/>
    <n v="0"/>
    <s v="NEGOCIOS"/>
    <x v="1"/>
  </r>
  <r>
    <n v="91"/>
    <d v="2019-03-26T00:00:00"/>
    <x v="9"/>
    <x v="9"/>
    <x v="1"/>
    <s v="BANCA COMERCIAL PERIFERIA"/>
    <s v="NC VIATICOS"/>
    <s v="TRANSACCIONES DEL DIA 03/26/2019SPYRAL - GESTION ADMINISTRATIVA"/>
    <n v="166.26"/>
    <n v="0"/>
    <s v="NEGOCIOS"/>
    <x v="1"/>
  </r>
  <r>
    <n v="91"/>
    <d v="2019-04-02T00:00:00"/>
    <x v="10"/>
    <x v="10"/>
    <x v="1"/>
    <s v="BANCA COMERCIAL PERIFERIA"/>
    <s v="VIATICOS 2"/>
    <s v="TRANSACCIONES DEL DIA 04/02/2019SPYRAL - GESTION ADMINISTRATIVA"/>
    <n v="47.1"/>
    <n v="0"/>
    <s v="NEGOCIOS"/>
    <x v="1"/>
  </r>
  <r>
    <n v="91"/>
    <d v="2019-04-03T00:00:00"/>
    <x v="10"/>
    <x v="10"/>
    <x v="1"/>
    <s v="BANCA COMERCIAL PERIFERIA"/>
    <s v="VIATICOS 2"/>
    <s v="TRANSACCIONES DEL DIA 04/03/2019SPYRAL - GESTION ADMINISTRATIVA"/>
    <n v="145.25"/>
    <n v="0"/>
    <s v="NEGOCIOS"/>
    <x v="1"/>
  </r>
  <r>
    <n v="91"/>
    <d v="2019-04-03T00:00:00"/>
    <x v="10"/>
    <x v="10"/>
    <x v="1"/>
    <s v="BANCA COMERCIAL PERIFERIA"/>
    <s v="NC VIATICOS"/>
    <s v="TRANSACCIONES DEL DIA 04/03/2019SPYRAL - GESTION ADMINISTRATIVA"/>
    <n v="43.34"/>
    <n v="0"/>
    <s v="NEGOCIOS"/>
    <x v="1"/>
  </r>
  <r>
    <n v="91"/>
    <d v="2019-04-05T00:00:00"/>
    <x v="10"/>
    <x v="10"/>
    <x v="1"/>
    <s v="BANCA COMERCIAL PERIFERIA"/>
    <s v="VIATICOS 2"/>
    <s v="TRANSACCIONES DEL DIA 04/05/2019SPYRAL - GESTION ADMINISTRATIVA"/>
    <n v="33"/>
    <n v="0"/>
    <s v="NEGOCIOS"/>
    <x v="1"/>
  </r>
  <r>
    <n v="91"/>
    <d v="2019-04-08T00:00:00"/>
    <x v="10"/>
    <x v="10"/>
    <x v="1"/>
    <s v="BANCA COMERCIAL PERIFERIA"/>
    <s v="VIATICOS 2"/>
    <s v="TRANSACCIONES DEL DIA 04/08/2019SPYRAL - GESTION ADMINISTRATIVA"/>
    <n v="31.93"/>
    <n v="0"/>
    <s v="NEGOCIOS"/>
    <x v="1"/>
  </r>
  <r>
    <n v="91"/>
    <d v="2019-04-18T00:00:00"/>
    <x v="10"/>
    <x v="10"/>
    <x v="1"/>
    <s v="BANCA COMERCIAL PERIFERIA"/>
    <s v="NC VIATICOS"/>
    <s v="TRANSACCIONES DEL DIA 04/18/2019SPYRAL - GESTION ADMINISTRATIVA"/>
    <n v="160.51"/>
    <n v="0"/>
    <s v="NEGOCIOS"/>
    <x v="1"/>
  </r>
  <r>
    <n v="91"/>
    <d v="2019-04-29T00:00:00"/>
    <x v="10"/>
    <x v="10"/>
    <x v="1"/>
    <s v="BANCA COMERCIAL PERIFERIA"/>
    <s v="NC VIATICOS"/>
    <s v="TRANSACCIONES DEL DIA 04/29/2019SPYRAL - GESTION ADMINISTRATIVA"/>
    <n v="50.6"/>
    <n v="0"/>
    <s v="NEGOCIOS"/>
    <x v="1"/>
  </r>
  <r>
    <n v="91"/>
    <d v="2019-05-03T00:00:00"/>
    <x v="11"/>
    <x v="11"/>
    <x v="1"/>
    <s v="BANCA COMERCIAL PERIFERIA"/>
    <s v="VIATICOS 2"/>
    <s v="TRANSACCIONES DEL DIA 05/03/2019SPYRAL - GESTION ADMINISTRATIVA"/>
    <n v="38.200000000000003"/>
    <n v="0"/>
    <s v="NEGOCIOS"/>
    <x v="1"/>
  </r>
  <r>
    <n v="91"/>
    <d v="2019-05-06T00:00:00"/>
    <x v="11"/>
    <x v="11"/>
    <x v="1"/>
    <s v="BANCA COMERCIAL PERIFERIA"/>
    <s v="VIATICOS 2"/>
    <s v="TRANSACCIONES DEL DIA 05/06/2019SPYRAL - GESTION ADMINISTRATIVA"/>
    <n v="213.19"/>
    <n v="0"/>
    <s v="NEGOCIOS"/>
    <x v="1"/>
  </r>
  <r>
    <n v="91"/>
    <d v="2019-05-07T00:00:00"/>
    <x v="11"/>
    <x v="11"/>
    <x v="1"/>
    <s v="BANCA COMERCIAL PERIFERIA"/>
    <s v="VIATICOS 2"/>
    <s v="TRANSACCIONES DEL DIA 05/07/2019SPYRAL - GESTION ADMINISTRATIVA"/>
    <n v="360.16"/>
    <n v="0"/>
    <s v="NEGOCIOS"/>
    <x v="1"/>
  </r>
  <r>
    <n v="91"/>
    <d v="2019-05-21T00:00:00"/>
    <x v="11"/>
    <x v="11"/>
    <x v="1"/>
    <s v="BANCA COMERCIAL PERIFERIA"/>
    <s v="NC VIATICOS"/>
    <s v="TRANSACCIONES DEL DIA 05/21/2019SPYRAL - GESTION ADMINISTRATIVA"/>
    <n v="35"/>
    <n v="0"/>
    <s v="NEGOCIOS"/>
    <x v="1"/>
  </r>
  <r>
    <n v="91"/>
    <d v="2019-05-23T00:00:00"/>
    <x v="11"/>
    <x v="11"/>
    <x v="1"/>
    <s v="BANCA COMERCIAL PERIFERIA"/>
    <s v="VIATICOS 2"/>
    <s v="TRANSACCIONES DEL DIA 05/23/2019SPYRAL - GESTION ADMINISTRATIVA"/>
    <n v="55.75"/>
    <n v="0"/>
    <s v="NEGOCIOS"/>
    <x v="1"/>
  </r>
  <r>
    <n v="91"/>
    <d v="2019-05-28T00:00:00"/>
    <x v="11"/>
    <x v="11"/>
    <x v="1"/>
    <s v="BANCA COMERCIAL PERIFERIA"/>
    <s v="VIATICOS 2"/>
    <s v="TRANSACCIONES DEL DIA 05/28/2019SPYRAL - GESTION ADMINISTRATIVA"/>
    <n v="226.93"/>
    <n v="0"/>
    <s v="NEGOCIOS"/>
    <x v="1"/>
  </r>
  <r>
    <n v="91"/>
    <d v="2019-06-01T00:00:00"/>
    <x v="2"/>
    <x v="2"/>
    <x v="1"/>
    <s v="BANCA COMERCIAL PERIFERIA"/>
    <s v="VIATICOS 2"/>
    <s v="TRANSACCIONES DEL DIA 06/01/2019SPYRAL - GESTION ADMINISTRATIVA"/>
    <n v="163.58000000000001"/>
    <n v="0"/>
    <s v="NEGOCIOS"/>
    <x v="1"/>
  </r>
  <r>
    <n v="91"/>
    <d v="2019-06-04T00:00:00"/>
    <x v="2"/>
    <x v="2"/>
    <x v="1"/>
    <s v="BANCA COMERCIAL PERIFERIA"/>
    <s v="VIATICOS 2"/>
    <s v="TRANSACCIONES DEL DIA 06/04/2019SPYRAL - GESTION ADMINISTRATIVA"/>
    <n v="112.6"/>
    <n v="0"/>
    <s v="NEGOCIOS"/>
    <x v="1"/>
  </r>
  <r>
    <n v="91"/>
    <d v="2019-06-10T00:00:00"/>
    <x v="2"/>
    <x v="2"/>
    <x v="1"/>
    <s v="BANCA COMERCIAL PERIFERIA"/>
    <s v="NC VIATICOS"/>
    <s v="TRANSACCIONES DEL DIA 06/10/2019SPYRAL - GESTION ADMINISTRATIVA"/>
    <n v="295.16000000000003"/>
    <n v="0"/>
    <s v="NEGOCIOS"/>
    <x v="1"/>
  </r>
  <r>
    <n v="91"/>
    <d v="2019-06-11T00:00:00"/>
    <x v="2"/>
    <x v="2"/>
    <x v="1"/>
    <s v="BANCA COMERCIAL PERIFERIA"/>
    <s v="VIATICOS 2"/>
    <s v="TRANSACCIONES DEL DIA 06/11/2019SPYRAL - GESTION ADMINISTRATIVA"/>
    <n v="59.6"/>
    <n v="0"/>
    <s v="NEGOCIOS"/>
    <x v="1"/>
  </r>
  <r>
    <n v="91"/>
    <d v="2019-06-12T00:00:00"/>
    <x v="2"/>
    <x v="2"/>
    <x v="1"/>
    <s v="BANCA COMERCIAL PERIFERIA"/>
    <s v="VIATICOS 2"/>
    <s v="TRANSACCIONES DEL DIA 06/12/2019SPYRAL - GESTION ADMINISTRATIVA"/>
    <n v="13.4"/>
    <n v="0"/>
    <s v="NEGOCIOS"/>
    <x v="1"/>
  </r>
  <r>
    <n v="91"/>
    <d v="2019-06-17T00:00:00"/>
    <x v="2"/>
    <x v="2"/>
    <x v="1"/>
    <s v="BANCA COMERCIAL PERIFERIA"/>
    <s v="NC VIATICOS"/>
    <s v="TRANSACCIONES DEL DIA 06/17/2019SPYRAL - GESTION ADMINISTRATIVA"/>
    <n v="56.16"/>
    <n v="0"/>
    <s v="NEGOCIOS"/>
    <x v="1"/>
  </r>
  <r>
    <n v="91"/>
    <d v="2019-06-20T00:00:00"/>
    <x v="2"/>
    <x v="2"/>
    <x v="1"/>
    <s v="BANCA COMERCIAL PERIFERIA"/>
    <s v="NC VIATICOS"/>
    <s v="TRANSACCIONES DEL DIA 06/20/2019SPYRAL - GESTION ADMINISTRATIVA"/>
    <n v="368.12"/>
    <n v="0"/>
    <s v="NEGOCIOS"/>
    <x v="1"/>
  </r>
  <r>
    <n v="91"/>
    <d v="2019-06-21T00:00:00"/>
    <x v="2"/>
    <x v="2"/>
    <x v="1"/>
    <s v="BANCA COMERCIAL PERIFERIA"/>
    <s v="VIATICOS 2"/>
    <s v="TRANSACCIONES DEL DIA 06/21/2019SPYRAL - GESTION ADMINISTRATIVA"/>
    <n v="34.65"/>
    <n v="0"/>
    <s v="NEGOCIOS"/>
    <x v="1"/>
  </r>
  <r>
    <n v="91"/>
    <d v="2019-06-27T00:00:00"/>
    <x v="2"/>
    <x v="2"/>
    <x v="1"/>
    <s v="BANCA COMERCIAL PERIFERIA"/>
    <s v="NC VIATICOS"/>
    <s v="TRANSACCIONES DEL DIA 06/27/2019SPYRAL - GESTION ADMINISTRATIVA"/>
    <n v="0"/>
    <n v="719.44"/>
    <s v="NEGOCIOS"/>
    <x v="1"/>
  </r>
  <r>
    <n v="91"/>
    <d v="2019-07-02T00:00:00"/>
    <x v="6"/>
    <x v="6"/>
    <x v="1"/>
    <s v="BANCA COMERCIAL PERIFERIA"/>
    <s v="VIATICOS 2"/>
    <s v="TRANSACCIONES DEL DIA 07/02/2019SPYRAL - GESTION ADMINISTRATIVA"/>
    <n v="42.6"/>
    <n v="0"/>
    <s v="NEGOCIOS"/>
    <x v="1"/>
  </r>
  <r>
    <n v="91"/>
    <d v="2019-07-03T00:00:00"/>
    <x v="6"/>
    <x v="6"/>
    <x v="1"/>
    <s v="BANCA COMERCIAL PERIFERIA"/>
    <s v="VIATICOS 2"/>
    <s v="TRANSACCIONES DEL DIA 07/03/2019SPYRAL - GESTION ADMINISTRATIVA"/>
    <n v="213.7"/>
    <n v="0"/>
    <s v="NEGOCIOS"/>
    <x v="1"/>
  </r>
  <r>
    <n v="91"/>
    <d v="2019-07-05T00:00:00"/>
    <x v="6"/>
    <x v="6"/>
    <x v="1"/>
    <s v="BANCA COMERCIAL PERIFERIA"/>
    <s v="VIATICOS 2"/>
    <s v="TRANSACCIONES DEL DIA 07/05/2019SPYRAL - GESTION ADMINISTRATIVA"/>
    <n v="70.3"/>
    <n v="0"/>
    <s v="NEGOCIOS"/>
    <x v="1"/>
  </r>
  <r>
    <n v="91"/>
    <d v="2019-07-09T00:00:00"/>
    <x v="6"/>
    <x v="6"/>
    <x v="1"/>
    <s v="BANCA COMERCIAL PERIFERIA"/>
    <s v="VIATICOS 2"/>
    <s v="TRANSACCIONES DEL DIA 07/09/2019SPYRAL - GESTION ADMINISTRATIVA"/>
    <n v="66.569999999999993"/>
    <n v="0"/>
    <s v="NEGOCIOS"/>
    <x v="1"/>
  </r>
  <r>
    <n v="91"/>
    <d v="2019-03-22T00:00:00"/>
    <x v="9"/>
    <x v="9"/>
    <x v="1"/>
    <s v="MERCADEO"/>
    <s v="NC VIATICOS"/>
    <s v="TRANSACCIONES DEL DIA 03/22/2019SPYRAL - GESTION ADMINISTRATIVA"/>
    <n v="99.66"/>
    <n v="0"/>
    <s v="NEGOCIOS"/>
    <x v="1"/>
  </r>
  <r>
    <n v="91"/>
    <d v="2019-03-27T00:00:00"/>
    <x v="9"/>
    <x v="9"/>
    <x v="1"/>
    <s v="MERCADEO"/>
    <s v="VIATICOS 2"/>
    <s v="TRANSACCIONES DEL DIA 03/27/2019SPYRAL - GESTION ADMINISTRATIVA"/>
    <n v="24"/>
    <n v="0"/>
    <s v="NEGOCIOS"/>
    <x v="1"/>
  </r>
  <r>
    <n v="91"/>
    <d v="2019-03-27T00:00:00"/>
    <x v="9"/>
    <x v="9"/>
    <x v="1"/>
    <s v="MERCADEO"/>
    <s v="NC VIATICOS"/>
    <s v="TRANSACCIONES DEL DIA 03/27/2019SPYRAL - GESTION ADMINISTRATIVA"/>
    <n v="343.33"/>
    <n v="0"/>
    <s v="NEGOCIOS"/>
    <x v="1"/>
  </r>
  <r>
    <n v="91"/>
    <d v="2019-04-03T00:00:00"/>
    <x v="10"/>
    <x v="10"/>
    <x v="1"/>
    <s v="MERCADEO"/>
    <s v="NC VIATICOS"/>
    <s v="TRANSACCIONES DEL DIA 04/03/2019SPYRAL - GESTION ADMINISTRATIVA"/>
    <n v="1.03"/>
    <n v="0"/>
    <s v="NEGOCIOS"/>
    <x v="1"/>
  </r>
  <r>
    <n v="91"/>
    <d v="2019-04-25T00:00:00"/>
    <x v="10"/>
    <x v="10"/>
    <x v="1"/>
    <s v="MERCADEO"/>
    <s v="NC VIATICOS"/>
    <s v="TRANSACCIONES DEL DIA 04/25/2019SPYRAL - GESTION ADMINISTRATIVA"/>
    <n v="393.28"/>
    <n v="0"/>
    <s v="NEGOCIOS"/>
    <x v="1"/>
  </r>
  <r>
    <n v="91"/>
    <d v="2019-05-02T00:00:00"/>
    <x v="11"/>
    <x v="11"/>
    <x v="1"/>
    <s v="MERCADEO"/>
    <s v="VIATICOS 2"/>
    <s v="TRANSACCIONES DEL DIA 05/02/2019SPYRAL - GESTION ADMINISTRATIVA"/>
    <n v="14"/>
    <n v="0"/>
    <s v="NEGOCIOS"/>
    <x v="1"/>
  </r>
  <r>
    <n v="91"/>
    <d v="2019-05-03T00:00:00"/>
    <x v="11"/>
    <x v="11"/>
    <x v="1"/>
    <s v="MERCADEO"/>
    <s v="VIATICOS 2"/>
    <s v="TRANSACCIONES DEL DIA 05/03/2019SPYRAL - GESTION ADMINISTRATIVA"/>
    <n v="170"/>
    <n v="0"/>
    <s v="NEGOCIOS"/>
    <x v="1"/>
  </r>
  <r>
    <n v="91"/>
    <d v="2019-05-23T00:00:00"/>
    <x v="11"/>
    <x v="11"/>
    <x v="1"/>
    <s v="MERCADEO"/>
    <s v="NC VIATICOS"/>
    <s v="TRANSACCIONES DEL DIA 05/23/2019SPYRAL - GESTION ADMINISTRATIVA"/>
    <n v="0"/>
    <n v="14"/>
    <s v="NEGOCIOS"/>
    <x v="1"/>
  </r>
  <r>
    <n v="91"/>
    <d v="2019-05-24T00:00:00"/>
    <x v="11"/>
    <x v="11"/>
    <x v="1"/>
    <s v="MERCADEO"/>
    <s v="VIATICOS 2"/>
    <s v="TRANSACCIONES DEL DIA 05/24/2019SPYRAL - GESTION ADMINISTRATIVA"/>
    <n v="401"/>
    <n v="0"/>
    <s v="NEGOCIOS"/>
    <x v="1"/>
  </r>
  <r>
    <n v="91"/>
    <d v="2019-05-25T00:00:00"/>
    <x v="11"/>
    <x v="11"/>
    <x v="1"/>
    <s v="MERCADEO"/>
    <s v="VIATICOS"/>
    <s v="TRANSACCIONES DEL DIA 05/25/2019SPYRAL - GESTION ADMINISTRATIVA"/>
    <n v="50.25"/>
    <n v="0"/>
    <s v="NEGOCIOS"/>
    <x v="1"/>
  </r>
  <r>
    <n v="91"/>
    <d v="2019-06-05T00:00:00"/>
    <x v="2"/>
    <x v="2"/>
    <x v="1"/>
    <s v="MERCADEO"/>
    <s v="NC VIATICOS"/>
    <s v="TRANSACCIONES DEL DIA 06/05/2019SPYRAL - GESTION ADMINISTRATIVA"/>
    <n v="1436.31"/>
    <n v="0"/>
    <s v="NEGOCIOS"/>
    <x v="1"/>
  </r>
  <r>
    <n v="91"/>
    <d v="2019-06-07T00:00:00"/>
    <x v="2"/>
    <x v="2"/>
    <x v="1"/>
    <s v="MERCADEO"/>
    <s v="NC VIATICOS"/>
    <s v="TRANSACCIONES DEL DIA 06/07/2019SPYRAL - GESTION ADMINISTRATIVA"/>
    <n v="421.36"/>
    <n v="0"/>
    <s v="NEGOCIOS"/>
    <x v="1"/>
  </r>
  <r>
    <n v="91"/>
    <d v="2019-06-08T00:00:00"/>
    <x v="2"/>
    <x v="2"/>
    <x v="1"/>
    <s v="MERCADEO"/>
    <s v="VIATICOS 2"/>
    <s v="TRANSACCIONES DEL DIA 06/08/2019SPYRAL - GESTION ADMINISTRATIVA"/>
    <n v="120"/>
    <n v="0"/>
    <s v="NEGOCIOS"/>
    <x v="1"/>
  </r>
  <r>
    <n v="91"/>
    <d v="2019-06-13T00:00:00"/>
    <x v="2"/>
    <x v="2"/>
    <x v="1"/>
    <s v="MERCADEO"/>
    <s v="NC VIATICOS"/>
    <s v="TRANSACCIONES DEL DIA 06/13/2019SPYRAL - GESTION ADMINISTRATIVA"/>
    <n v="72.48"/>
    <n v="0"/>
    <s v="NEGOCIOS"/>
    <x v="1"/>
  </r>
  <r>
    <n v="91"/>
    <d v="2019-06-17T00:00:00"/>
    <x v="2"/>
    <x v="2"/>
    <x v="1"/>
    <s v="MERCADEO"/>
    <s v="NC VIATICOS"/>
    <s v="TRANSACCIONES DEL DIA 06/17/2019SPYRAL - GESTION ADMINISTRATIVA"/>
    <n v="261.10000000000002"/>
    <n v="0"/>
    <s v="NEGOCIOS"/>
    <x v="1"/>
  </r>
  <r>
    <n v="91"/>
    <d v="2019-06-18T00:00:00"/>
    <x v="2"/>
    <x v="2"/>
    <x v="1"/>
    <s v="MERCADEO"/>
    <s v="NC VIATICOS"/>
    <s v="TRANSACCIONES DEL DIA 06/18/2019SPYRAL - GESTION ADMINISTRATIVA"/>
    <n v="417.29"/>
    <n v="0"/>
    <s v="NEGOCIOS"/>
    <x v="1"/>
  </r>
  <r>
    <n v="91"/>
    <d v="2019-06-25T00:00:00"/>
    <x v="2"/>
    <x v="2"/>
    <x v="1"/>
    <s v="MERCADEO"/>
    <s v="VIATICOS 2"/>
    <s v="TRANSACCIONES DEL DIA 06/25/2019SPYRAL - GESTION ADMINISTRATIVA"/>
    <n v="831.18"/>
    <n v="0"/>
    <s v="NEGOCIOS"/>
    <x v="1"/>
  </r>
  <r>
    <n v="91"/>
    <d v="2019-07-23T00:00:00"/>
    <x v="6"/>
    <x v="6"/>
    <x v="1"/>
    <s v="MERCADEO"/>
    <s v="VIATICOS"/>
    <s v="TRANSACCIONES DEL DIA 07/23/2019SPYRAL - GESTION ADMINISTRATIVA"/>
    <n v="50.25"/>
    <n v="0"/>
    <s v="NEGOCIOS"/>
    <x v="1"/>
  </r>
  <r>
    <n v="91"/>
    <d v="2019-05-15T00:00:00"/>
    <x v="11"/>
    <x v="11"/>
    <x v="1"/>
    <s v="MERCADEO Y PUBLICIDAD"/>
    <s v="VIATICOS 2"/>
    <s v="TRANSACCIONES DEL DIA 05/15/2019SPYRAL - GESTION ADMINISTRATIVA"/>
    <n v="258.66000000000003"/>
    <n v="0"/>
    <s v="NEGOCIOS"/>
    <x v="1"/>
  </r>
  <r>
    <n v="91"/>
    <d v="2019-04-02T00:00:00"/>
    <x v="10"/>
    <x v="10"/>
    <x v="1"/>
    <s v="SERVICIOS AL CLIENTE"/>
    <s v="VIATICOS 2"/>
    <s v="TRANSACCIONES DEL DIA 04/02/2019SPYRAL - GESTION ADMINISTRATIVA"/>
    <n v="66.900000000000006"/>
    <n v="0"/>
    <s v="NEGOCIOS"/>
    <x v="1"/>
  </r>
  <r>
    <n v="91"/>
    <d v="2019-04-15T00:00:00"/>
    <x v="10"/>
    <x v="10"/>
    <x v="1"/>
    <s v="SERVICIOS AL CLIENTE"/>
    <s v="VIATICOS 2"/>
    <s v="TRANSACCIONES DEL DIA 04/15/2019SPYRAL - GESTION ADMINISTRATIVA"/>
    <n v="32.549999999999997"/>
    <n v="0"/>
    <s v="NEGOCIOS"/>
    <x v="1"/>
  </r>
  <r>
    <n v="91"/>
    <d v="2019-05-06T00:00:00"/>
    <x v="11"/>
    <x v="11"/>
    <x v="1"/>
    <s v="SERVICIOS AL CLIENTE"/>
    <s v="VIATICOS 2"/>
    <s v="TRANSACCIONES DEL DIA 05/06/2019SPYRAL - GESTION ADMINISTRATIVA"/>
    <n v="51.55"/>
    <n v="0"/>
    <s v="NEGOCIOS"/>
    <x v="1"/>
  </r>
  <r>
    <n v="91"/>
    <d v="2019-06-12T00:00:00"/>
    <x v="2"/>
    <x v="2"/>
    <x v="1"/>
    <s v="SERVICIOS AL CLIENTE"/>
    <s v="VIATICOS 2"/>
    <s v="TRANSACCIONES DEL DIA 06/12/2019SPYRAL - GESTION ADMINISTRATIVA"/>
    <n v="17"/>
    <n v="0"/>
    <s v="NEGOCIOS"/>
    <x v="1"/>
  </r>
  <r>
    <n v="91"/>
    <d v="2019-06-27T00:00:00"/>
    <x v="2"/>
    <x v="2"/>
    <x v="1"/>
    <s v="SERVICIOS AL CLIENTE"/>
    <s v="VIATICOS 2"/>
    <s v="TRANSACCIONES DEL DIA 06/27/2019SPYRAL - GESTION ADMINISTRATIVA"/>
    <n v="5"/>
    <n v="0"/>
    <s v="NEGOCIOS"/>
    <x v="1"/>
  </r>
  <r>
    <n v="91"/>
    <d v="2019-07-03T00:00:00"/>
    <x v="6"/>
    <x v="6"/>
    <x v="1"/>
    <s v="SERVICIOS AL CLIENTE"/>
    <s v="VIATICOS 2"/>
    <s v="TRANSACCIONES DEL DIA 07/03/2019SPYRAL - GESTION ADMINISTRATIVA"/>
    <n v="119"/>
    <n v="0"/>
    <s v="NEGOCIOS"/>
    <x v="1"/>
  </r>
  <r>
    <n v="91"/>
    <d v="2019-01-07T00:00:00"/>
    <x v="7"/>
    <x v="7"/>
    <x v="1"/>
    <s v="IMAGEN CORPORATIVA"/>
    <s v="VIATICOS"/>
    <s v="TRANSACCIONES DEL DIA 01/07/2019SPYRAL - GESTION ADMINISTRATIVA"/>
    <n v="407"/>
    <n v="0"/>
    <s v="NEGOCIOS"/>
    <x v="1"/>
  </r>
  <r>
    <n v="91"/>
    <d v="2019-01-18T00:00:00"/>
    <x v="7"/>
    <x v="7"/>
    <x v="1"/>
    <s v="IMAGEN CORPORATIVA"/>
    <s v="VIATICOS"/>
    <s v="TRANSACCIONES DEL DIA 01/18/2019SPYRAL - GESTION ADMINISTRATIVA"/>
    <n v="256.42"/>
    <n v="0"/>
    <s v="NEGOCIOS"/>
    <x v="1"/>
  </r>
  <r>
    <n v="91"/>
    <d v="2019-02-14T00:00:00"/>
    <x v="8"/>
    <x v="8"/>
    <x v="1"/>
    <s v="IMAGEN CORPORATIVA"/>
    <s v="VIATICOS"/>
    <s v="TRANSACCIONES DEL DIA 02/14/2019SPYRAL - GESTION ADMINISTRATIVA"/>
    <n v="5"/>
    <n v="0"/>
    <s v="NEGOCIOS"/>
    <x v="1"/>
  </r>
  <r>
    <n v="91"/>
    <d v="2019-02-15T00:00:00"/>
    <x v="8"/>
    <x v="8"/>
    <x v="1"/>
    <s v="IMAGEN CORPORATIVA"/>
    <s v="VIATICOS"/>
    <s v="TRANSACCIONES DEL DIA 02/15/2019SPYRAL - GESTION ADMINISTRATIVA"/>
    <n v="5"/>
    <n v="0"/>
    <s v="NEGOCIOS"/>
    <x v="1"/>
  </r>
  <r>
    <n v="91"/>
    <d v="2019-02-18T00:00:00"/>
    <x v="8"/>
    <x v="8"/>
    <x v="1"/>
    <s v="IMAGEN CORPORATIVA"/>
    <s v="VIATICOS"/>
    <s v="TRANSACCIONES DEL DIA 02/18/2019SPYRAL - GESTION ADMINISTRATIVA"/>
    <n v="28.17"/>
    <n v="0"/>
    <s v="NEGOCIOS"/>
    <x v="1"/>
  </r>
  <r>
    <n v="91"/>
    <d v="2019-02-22T00:00:00"/>
    <x v="8"/>
    <x v="8"/>
    <x v="1"/>
    <s v="IMAGEN CORPORATIVA"/>
    <s v="VIATICOS"/>
    <s v="TRANSACCIONES DEL DIA 02/22/2019SPYRAL - GESTION ADMINISTRATIVA"/>
    <n v="10"/>
    <n v="0"/>
    <s v="NEGOCIOS"/>
    <x v="1"/>
  </r>
  <r>
    <n v="91"/>
    <d v="2019-02-26T00:00:00"/>
    <x v="8"/>
    <x v="8"/>
    <x v="1"/>
    <s v="IMAGEN CORPORATIVA"/>
    <s v="VIATICOS"/>
    <s v="TRANSACCIONES DEL DIA 02/26/2019SPYRAL - GESTION ADMINISTRATIVA"/>
    <n v="181"/>
    <n v="0"/>
    <s v="NEGOCIOS"/>
    <x v="1"/>
  </r>
  <r>
    <n v="91"/>
    <d v="2019-03-07T00:00:00"/>
    <x v="9"/>
    <x v="9"/>
    <x v="1"/>
    <s v="IMAGEN CORPORATIVA"/>
    <s v="VIATICOS"/>
    <s v="TRANSACCIONES DEL DIA 03/07/2019SPYRAL - GESTION ADMINISTRATIVA"/>
    <n v="176"/>
    <n v="0"/>
    <s v="NEGOCIOS"/>
    <x v="1"/>
  </r>
  <r>
    <n v="91"/>
    <d v="2019-03-13T00:00:00"/>
    <x v="9"/>
    <x v="9"/>
    <x v="1"/>
    <s v="IMAGEN CORPORATIVA"/>
    <s v="VIATICOS"/>
    <s v="TRANSACCIONES DEL DIA 03/13/2019SPYRAL - GESTION ADMINISTRATIVA"/>
    <n v="71"/>
    <n v="0"/>
    <s v="NEGOCIOS"/>
    <x v="1"/>
  </r>
  <r>
    <n v="91"/>
    <d v="2019-03-14T00:00:00"/>
    <x v="9"/>
    <x v="9"/>
    <x v="1"/>
    <s v="IMAGEN CORPORATIVA"/>
    <s v="VIATICOS"/>
    <s v="TRANSACCIONES DEL DIA 03/14/2019SPYRAL - GESTION ADMINISTRATIVA"/>
    <n v="101"/>
    <n v="0"/>
    <s v="NEGOCIOS"/>
    <x v="1"/>
  </r>
  <r>
    <n v="91"/>
    <d v="2019-03-29T00:00:00"/>
    <x v="9"/>
    <x v="9"/>
    <x v="1"/>
    <s v="IMAGEN CORPORATIVA"/>
    <s v="NC VIATICOS"/>
    <s v="TRANSACCIONES DEL DIA 03/29/2019SPYRAL - GESTION ADMINISTRATIVA"/>
    <n v="120.6"/>
    <n v="0"/>
    <s v="NEGOCIOS"/>
    <x v="1"/>
  </r>
  <r>
    <n v="91"/>
    <d v="2019-04-03T00:00:00"/>
    <x v="10"/>
    <x v="10"/>
    <x v="1"/>
    <s v="IMAGEN CORPORATIVA"/>
    <s v="VIATICOS 2"/>
    <s v="TRANSACCIONES DEL DIA 04/03/2019SPYRAL - GESTION ADMINISTRATIVA"/>
    <n v="27.1"/>
    <n v="0"/>
    <s v="NEGOCIOS"/>
    <x v="1"/>
  </r>
  <r>
    <n v="91"/>
    <d v="2019-04-23T00:00:00"/>
    <x v="10"/>
    <x v="10"/>
    <x v="1"/>
    <s v="IMAGEN CORPORATIVA"/>
    <s v="VIATICOS 2"/>
    <s v="TRANSACCIONES DEL DIA 04/23/2019SPYRAL - GESTION ADMINISTRATIVA"/>
    <n v="42"/>
    <n v="0"/>
    <s v="NEGOCIOS"/>
    <x v="1"/>
  </r>
  <r>
    <n v="91"/>
    <d v="2019-05-23T00:00:00"/>
    <x v="11"/>
    <x v="11"/>
    <x v="1"/>
    <s v="IMAGEN CORPORATIVA"/>
    <s v="NC VIATICOS"/>
    <s v="TRANSACCIONES DEL DIA 05/23/2019SPYRAL - GESTION ADMINISTRATIVA"/>
    <n v="14"/>
    <n v="0"/>
    <s v="NEGOCIOS"/>
    <x v="1"/>
  </r>
  <r>
    <n v="91"/>
    <d v="2019-05-24T00:00:00"/>
    <x v="11"/>
    <x v="11"/>
    <x v="1"/>
    <s v="IMAGEN CORPORATIVA"/>
    <s v="VIATICOS 2"/>
    <s v="TRANSACCIONES DEL DIA 05/24/2019SPYRAL - GESTION ADMINISTRATIVA"/>
    <n v="5"/>
    <n v="0"/>
    <s v="NEGOCIOS"/>
    <x v="1"/>
  </r>
  <r>
    <n v="91"/>
    <d v="2019-05-29T00:00:00"/>
    <x v="11"/>
    <x v="11"/>
    <x v="1"/>
    <s v="IMAGEN CORPORATIVA"/>
    <s v="NC VIATICOS"/>
    <s v="TRANSACCIONES DEL DIA 05/29/2019SPYRAL - GESTION ADMINISTRATIVA"/>
    <n v="28"/>
    <n v="0"/>
    <s v="NEGOCIOS"/>
    <x v="1"/>
  </r>
  <r>
    <n v="91"/>
    <d v="2019-06-01T00:00:00"/>
    <x v="2"/>
    <x v="2"/>
    <x v="1"/>
    <s v="IMAGEN CORPORATIVA"/>
    <s v="VIATICOS 2"/>
    <s v="TRANSACCIONES DEL DIA 06/01/2019SPYRAL - GESTION ADMINISTRATIVA"/>
    <n v="10"/>
    <n v="0"/>
    <s v="NEGOCIOS"/>
    <x v="1"/>
  </r>
  <r>
    <n v="91"/>
    <d v="2019-06-12T00:00:00"/>
    <x v="2"/>
    <x v="2"/>
    <x v="1"/>
    <s v="IMAGEN CORPORATIVA"/>
    <s v="VIATICOS 2"/>
    <s v="TRANSACCIONES DEL DIA 06/12/2019SPYRAL - GESTION ADMINISTRATIVA"/>
    <n v="42"/>
    <n v="0"/>
    <s v="NEGOCIOS"/>
    <x v="1"/>
  </r>
  <r>
    <n v="91"/>
    <d v="2019-06-26T00:00:00"/>
    <x v="2"/>
    <x v="2"/>
    <x v="1"/>
    <s v="IMAGEN CORPORATIVA"/>
    <s v="VIATICOS 2"/>
    <s v="TRANSACCIONES DEL DIA 06/26/2019SPYRAL - GESTION ADMINISTRATIVA"/>
    <n v="477.97"/>
    <n v="0"/>
    <s v="NEGOCIOS"/>
    <x v="1"/>
  </r>
  <r>
    <n v="91"/>
    <d v="2019-07-02T00:00:00"/>
    <x v="6"/>
    <x v="6"/>
    <x v="1"/>
    <s v="IMAGEN CORPORATIVA"/>
    <s v="VIATICOS 2"/>
    <s v="TRANSACCIONES DEL DIA 07/02/2019SPYRAL - GESTION ADMINISTRATIVA"/>
    <n v="5"/>
    <n v="0"/>
    <s v="NEGOCIOS"/>
    <x v="1"/>
  </r>
  <r>
    <n v="95"/>
    <d v="2019-01-04T00:00:00"/>
    <x v="7"/>
    <x v="7"/>
    <x v="1"/>
    <s v="ADMINISTRACION DE SUCURSALES"/>
    <s v="OTROS EGRESOS 18"/>
    <s v="OTROS EGRESOS 1.P.O (OR:95/DES:95 TRN:86 PERF:300086 CAU: 18"/>
    <n v="2.4"/>
    <n v="0"/>
    <s v="BOULEVARD EL DORADO"/>
    <x v="1"/>
  </r>
  <r>
    <n v="95"/>
    <d v="2019-01-17T00:00:00"/>
    <x v="7"/>
    <x v="7"/>
    <x v="1"/>
    <s v="ADMINISTRACION DE SUCURSALES"/>
    <s v="OTROS EGRESOS 18"/>
    <s v="OTROS EGRESOS 1.P.O (OR:95/DES:95 TRN:86 PERF:300086 CAU: 18"/>
    <n v="2.7"/>
    <n v="0"/>
    <s v="BOULEVARD EL DORADO"/>
    <x v="1"/>
  </r>
  <r>
    <n v="95"/>
    <d v="2019-01-18T00:00:00"/>
    <x v="7"/>
    <x v="7"/>
    <x v="1"/>
    <s v="ADMINISTRACION DE SUCURSALES"/>
    <s v="OTROS EGRESOS 18"/>
    <s v="OTROS EGRESOS 1.P.O (OR:95/DES:95 TRN:86 PERF:300086 CAU: 18"/>
    <n v="3.5"/>
    <n v="0"/>
    <s v="BOULEVARD EL DORADO"/>
    <x v="1"/>
  </r>
  <r>
    <n v="95"/>
    <d v="2019-01-31T00:00:00"/>
    <x v="7"/>
    <x v="7"/>
    <x v="1"/>
    <s v="ADMINISTRACION DE SUCURSALES"/>
    <s v="OTROS EGRESOS 18"/>
    <s v="OTROS EGRESOS 1.P.O (OR:95/DES:95 TRN:86 PERF:300086 CAU: 18"/>
    <n v="3"/>
    <n v="0"/>
    <s v="BOULEVARD EL DORADO"/>
    <x v="1"/>
  </r>
  <r>
    <n v="95"/>
    <d v="2019-02-01T00:00:00"/>
    <x v="8"/>
    <x v="8"/>
    <x v="1"/>
    <s v="ADMINISTRACION DE SUCURSALES"/>
    <s v="OTROS EGRESOS 18"/>
    <s v="OTROS EGRESOS 1.P.O (OR:95/DES:95 TRN:86 PERF:300086 CAU: 18"/>
    <n v="3"/>
    <n v="0"/>
    <s v="BOULEVARD EL DORADO"/>
    <x v="1"/>
  </r>
  <r>
    <n v="95"/>
    <d v="2019-02-12T00:00:00"/>
    <x v="8"/>
    <x v="8"/>
    <x v="1"/>
    <s v="ADMINISTRACION DE SUCURSALES"/>
    <s v="OTROS EGRESOS 18"/>
    <s v="OTROS EGRESOS 1.P.O (OR:95/DES:95 TRN:86 PERF:300086 CAU: 18"/>
    <n v="3"/>
    <n v="0"/>
    <s v="BOULEVARD EL DORADO"/>
    <x v="1"/>
  </r>
  <r>
    <n v="95"/>
    <d v="2019-02-16T00:00:00"/>
    <x v="8"/>
    <x v="8"/>
    <x v="1"/>
    <s v="ADMINISTRACION DE SUCURSALES"/>
    <s v="OTROS EGRESOS 18"/>
    <s v="OTROS EGRESOS 1.P.O (OR:95/DES:95 TRN:86 PERF:300086 CAU: 18"/>
    <n v="2.25"/>
    <n v="0"/>
    <s v="BOULEVARD EL DORADO"/>
    <x v="1"/>
  </r>
  <r>
    <n v="95"/>
    <d v="2019-02-18T00:00:00"/>
    <x v="8"/>
    <x v="8"/>
    <x v="1"/>
    <s v="ADMINISTRACION DE SUCURSALES"/>
    <s v="OTROS EGRESOS 18"/>
    <s v="OTROS EGRESOS 1.P.O (OR:95/DES:95 TRN:86 PERF:300086 CAU: 18"/>
    <n v="9.1999999999999993"/>
    <n v="0"/>
    <s v="BOULEVARD EL DORADO"/>
    <x v="1"/>
  </r>
  <r>
    <n v="95"/>
    <d v="2019-04-03T00:00:00"/>
    <x v="10"/>
    <x v="10"/>
    <x v="1"/>
    <s v="ADMINISTRACION DE SUCURSALES"/>
    <s v="OTROS EGRESOS 18"/>
    <s v="OTROS EGRESOS 1.P.O (OR:95/DES:95 TRN:86 PERF:300086 CAU: 18"/>
    <n v="2.4"/>
    <n v="0"/>
    <s v="BOULEVARD EL DORADO"/>
    <x v="1"/>
  </r>
  <r>
    <n v="97"/>
    <d v="2019-01-07T00:00:00"/>
    <x v="7"/>
    <x v="7"/>
    <x v="1"/>
    <s v="ADMINISTRACION DE SUCURSALES"/>
    <s v="OTROS EGRESOS 18"/>
    <s v="OTROS EGRESOS 1.P.O (OR:97/DES:97 TRN:86 PERF:300086 CAU: 18"/>
    <n v="6.6"/>
    <n v="0"/>
    <s v="SAN SEBASTIAN"/>
    <x v="1"/>
  </r>
  <r>
    <n v="97"/>
    <d v="2019-02-19T00:00:00"/>
    <x v="8"/>
    <x v="8"/>
    <x v="1"/>
    <s v="ADMINISTRACION DE SUCURSALES"/>
    <s v="OTROS EGRESOS 18"/>
    <s v="OTROS EGRESOS 1.P.O (OR:97/DES:97 TRN:86 PERF:300086 CAU: 18"/>
    <n v="10.25"/>
    <n v="0"/>
    <s v="SAN SEBASTIAN"/>
    <x v="1"/>
  </r>
  <r>
    <n v="97"/>
    <d v="2019-03-12T00:00:00"/>
    <x v="9"/>
    <x v="9"/>
    <x v="1"/>
    <s v="ADMINISTRACION DE SUCURSALES"/>
    <s v="OTROS EGRESOS 18"/>
    <s v="OTROS EGRESOS 1.P.O (OR:97/DES:97 TRN:86 PERF:300086 CAU: 18"/>
    <n v="3"/>
    <n v="0"/>
    <s v="SAN SEBASTIAN"/>
    <x v="1"/>
  </r>
  <r>
    <n v="97"/>
    <d v="2019-03-18T00:00:00"/>
    <x v="9"/>
    <x v="9"/>
    <x v="1"/>
    <s v="ADMINISTRACION DE SUCURSALES"/>
    <s v="OTROS EGRESOS 18"/>
    <s v="OTROS EGRESOS 1.P.O (OR:97/DES:97 TRN:86 PERF:300086 CAU: 18"/>
    <n v="3"/>
    <n v="0"/>
    <s v="SAN SEBASTIAN"/>
    <x v="1"/>
  </r>
  <r>
    <n v="97"/>
    <d v="2019-04-23T00:00:00"/>
    <x v="10"/>
    <x v="10"/>
    <x v="1"/>
    <s v="ADMINISTRACION DE SUCURSALES"/>
    <s v="OTROS EGRESOS 18"/>
    <s v="OTROS EGRESOS 1.P.O (OR:97/DES:97 TRN:86 PERF:300086 CAU: 18"/>
    <n v="2.4"/>
    <n v="0"/>
    <s v="SAN SEBASTIAN"/>
    <x v="1"/>
  </r>
  <r>
    <n v="97"/>
    <d v="2019-05-08T00:00:00"/>
    <x v="11"/>
    <x v="11"/>
    <x v="1"/>
    <s v="ADMINISTRACION DE SUCURSALES"/>
    <s v="OTROS EGRESOS 18"/>
    <s v="OTROS EGRESOS 1.P.O (OR:97/DES:97 TRN:86 PERF:300086 CAU: 18"/>
    <n v="4.8"/>
    <n v="0"/>
    <s v="SAN SEBASTIAN"/>
    <x v="1"/>
  </r>
  <r>
    <n v="97"/>
    <d v="2019-06-21T00:00:00"/>
    <x v="2"/>
    <x v="2"/>
    <x v="1"/>
    <s v="ADMINISTRACION DE SUCURSALES"/>
    <s v="OTROS EGRESOS 18"/>
    <s v="OTROS EGRESOS 1.P.O (OR:97/DES:97 TRN:86 PERF:300086 CAU: 18"/>
    <n v="12.07"/>
    <n v="0"/>
    <s v="SAN SEBASTIAN"/>
    <x v="1"/>
  </r>
  <r>
    <n v="97"/>
    <d v="2019-07-12T00:00:00"/>
    <x v="6"/>
    <x v="6"/>
    <x v="1"/>
    <s v="ADMINISTRACION DE SUCURSALES"/>
    <s v="OTROS EGRESOS 18"/>
    <s v="OTROS EGRESOS 1.P.O (OR:97/DES:97 TRN:86 PERF:300086 CAU: 18"/>
    <n v="4.8"/>
    <n v="0"/>
    <s v="SAN SEBASTIAN"/>
    <x v="1"/>
  </r>
  <r>
    <n v="97"/>
    <d v="2019-07-13T00:00:00"/>
    <x v="6"/>
    <x v="6"/>
    <x v="1"/>
    <s v="ADMINISTRACION DE SUCURSALES"/>
    <s v="OTROS EGRESOS 18"/>
    <s v="OTROS EGRESOS 1.P.O (OR:97/DES:97 TRN:86 PERF:300086 CAU: 18"/>
    <n v="2.4"/>
    <n v="0"/>
    <s v="SAN SEBASTIAN"/>
    <x v="1"/>
  </r>
  <r>
    <n v="97"/>
    <d v="2019-07-25T00:00:00"/>
    <x v="6"/>
    <x v="6"/>
    <x v="1"/>
    <s v="ADMINISTRACION DE SUCURSALES"/>
    <s v="OTROS EGRESOS 18"/>
    <s v="OTROS EGRESOS 1.P.O (OR:97/DES:97 TRN:86 PERF:300086 CAU: 18"/>
    <n v="2.4"/>
    <n v="0"/>
    <s v="SAN SEBASTIAN"/>
    <x v="1"/>
  </r>
  <r>
    <n v="97"/>
    <d v="2019-05-25T00:00:00"/>
    <x v="11"/>
    <x v="11"/>
    <x v="1"/>
    <s v="CAJA"/>
    <s v="VIATICOS 2"/>
    <s v="TRANSACCIONES DEL DIA 05/25/2019SPYRAL - GESTION ADMINISTRATIVA"/>
    <n v="24"/>
    <n v="0"/>
    <s v="SAN SEBASTIAN"/>
    <x v="1"/>
  </r>
  <r>
    <n v="98"/>
    <d v="2019-02-07T00:00:00"/>
    <x v="8"/>
    <x v="8"/>
    <x v="1"/>
    <s v="ADMINISTRACION DE SUCURSALES"/>
    <s v="NC VIATICOS"/>
    <s v="TRANSACCIONES DEL DIA 02/07/2019SPYRAL - GESTION ADMINISTRATIVA"/>
    <n v="28"/>
    <n v="0"/>
    <s v="SANTIAGO INTERAMERICANA"/>
    <x v="1"/>
  </r>
  <r>
    <n v="98"/>
    <d v="2019-03-26T00:00:00"/>
    <x v="9"/>
    <x v="9"/>
    <x v="1"/>
    <s v="ADMINISTRACION DE SUCURSALES"/>
    <s v="VIATICOS 2"/>
    <s v="TRANSACCIONES DEL DIA 03/26/2019SPYRAL - GESTION ADMINISTRATIVA"/>
    <n v="30"/>
    <n v="0"/>
    <s v="SANTIAGO INTERAMERICANA"/>
    <x v="1"/>
  </r>
  <r>
    <n v="98"/>
    <d v="2019-04-12T00:00:00"/>
    <x v="10"/>
    <x v="10"/>
    <x v="1"/>
    <s v="ADMINISTRACION DE SUCURSALES"/>
    <s v="NC VIATICOS"/>
    <s v="TRANSACCIONES DEL DIA 04/12/2019SPYRAL - GESTION ADMINISTRATIVA"/>
    <n v="35"/>
    <n v="0"/>
    <s v="SANTIAGO INTERAMERICANA"/>
    <x v="1"/>
  </r>
  <r>
    <n v="98"/>
    <d v="2019-04-22T00:00:00"/>
    <x v="10"/>
    <x v="10"/>
    <x v="1"/>
    <s v="ADMINISTRACION DE SUCURSALES"/>
    <s v="VIATICOS"/>
    <s v="TRANSACCIONES DEL DIA 04/22/2019SPYRAL - GESTION ADMINISTRATIVA"/>
    <n v="163.91"/>
    <n v="0"/>
    <s v="SANTIAGO INTERAMERICANA"/>
    <x v="1"/>
  </r>
  <r>
    <n v="98"/>
    <d v="2019-05-21T00:00:00"/>
    <x v="11"/>
    <x v="11"/>
    <x v="1"/>
    <s v="ADMINISTRACION DE SUCURSALES"/>
    <s v="NC VIATICOS"/>
    <s v="TRANSACCIONES DEL DIA 05/21/2019SPYRAL - GESTION ADMINISTRATIVA"/>
    <n v="28"/>
    <n v="0"/>
    <s v="SANTIAGO INTERAMERICANA"/>
    <x v="1"/>
  </r>
  <r>
    <n v="98"/>
    <d v="2019-05-22T00:00:00"/>
    <x v="11"/>
    <x v="11"/>
    <x v="1"/>
    <s v="ADMINISTRACION DE SUCURSALES"/>
    <s v="VIATICOS 2"/>
    <s v="TRANSACCIONES DEL DIA 05/22/2019SPYRAL - GESTION ADMINISTRATIVA"/>
    <n v="30"/>
    <n v="0"/>
    <s v="SANTIAGO INTERAMERICANA"/>
    <x v="1"/>
  </r>
  <r>
    <n v="98"/>
    <d v="2019-05-31T00:00:00"/>
    <x v="11"/>
    <x v="11"/>
    <x v="1"/>
    <s v="ADMINISTRACION DE SUCURSALES"/>
    <s v="OTROS EGRESOS 18"/>
    <s v="OTROS EGRESOS 1.P.O (OR:98/DES:98 TRN:86 PERF:300086 CAU: 18"/>
    <n v="2.65"/>
    <n v="0"/>
    <s v="SANTIAGO INTERAMERICANA"/>
    <x v="1"/>
  </r>
  <r>
    <n v="98"/>
    <d v="2019-07-26T00:00:00"/>
    <x v="6"/>
    <x v="6"/>
    <x v="1"/>
    <s v="ADMINISTRACION DE SUCURSALES"/>
    <s v="VIATICOS 2"/>
    <s v="TRANSACCIONES DEL DIA 07/26/2019SPYRAL - GESTION ADMINISTRATIVA"/>
    <n v="1350"/>
    <n v="0"/>
    <s v="SANTIAGO INTERAMERICANA"/>
    <x v="1"/>
  </r>
  <r>
    <n v="99"/>
    <d v="2019-02-22T00:00:00"/>
    <x v="8"/>
    <x v="8"/>
    <x v="1"/>
    <s v="ADMINISTRACION DE SUCURSALES"/>
    <s v="OTROS EGRESOS 18"/>
    <s v="OTROS EGRESOS 1.P.O (OR:99/DES:99 TRN:86 PERF:300086 CAU: 18"/>
    <n v="11.2"/>
    <n v="0"/>
    <s v="CIUDAD DEL SABER"/>
    <x v="1"/>
  </r>
  <r>
    <n v="99"/>
    <d v="2019-04-17T00:00:00"/>
    <x v="10"/>
    <x v="10"/>
    <x v="1"/>
    <s v="ADMINISTRACION DE SUCURSALES"/>
    <s v="VIATICOS 2"/>
    <s v="TRANSACCIONES DEL DIA 04/17/2019SPYRAL - GESTION ADMINISTRATIVA"/>
    <n v="12"/>
    <n v="0"/>
    <s v="CIUDAD DEL SABER"/>
    <x v="1"/>
  </r>
  <r>
    <n v="99"/>
    <d v="2019-06-15T00:00:00"/>
    <x v="2"/>
    <x v="2"/>
    <x v="1"/>
    <s v="ADMINISTRACION DE SUCURSALES"/>
    <s v="VIATICOS 2"/>
    <s v="TRANSACCIONES DEL DIA 06/15/2019SPYRAL - GESTION ADMINISTRATIVA"/>
    <n v="12"/>
    <n v="0"/>
    <s v="CIUDAD DEL SABER"/>
    <x v="1"/>
  </r>
  <r>
    <n v="99"/>
    <d v="2019-06-18T00:00:00"/>
    <x v="2"/>
    <x v="2"/>
    <x v="1"/>
    <s v="ADMINISTRACION DE SUCURSALES"/>
    <s v="VIATICOS 2"/>
    <s v="TRANSACCIONES DEL DIA 06/18/2019SPYRAL - GESTION ADMINISTRATIVA"/>
    <n v="12"/>
    <n v="0"/>
    <s v="CIUDAD DEL SABER"/>
    <x v="1"/>
  </r>
  <r>
    <n v="101"/>
    <d v="2019-01-14T00:00:00"/>
    <x v="7"/>
    <x v="7"/>
    <x v="1"/>
    <s v="ADMINISTRACION DE SUCURSALES"/>
    <s v="OTROS EGRESOS 18"/>
    <s v="OTROS EGRESOS 1.P.O (OR:101/DES:101 TRN:86 PERF:300086 CAU: 18"/>
    <n v="14.9"/>
    <n v="0"/>
    <s v="VILLA ZAITA"/>
    <x v="1"/>
  </r>
  <r>
    <n v="101"/>
    <d v="2019-07-04T00:00:00"/>
    <x v="6"/>
    <x v="6"/>
    <x v="1"/>
    <s v="ADMINISTRACION DE SUCURSALES"/>
    <s v="OTROS EGRESOS 18"/>
    <s v="OTROS EGRESOS 1.P.O (OR:101/DES:101 TRN:86 PERF:300086 CAU: 18"/>
    <n v="7.45"/>
    <n v="0"/>
    <s v="VILLA ZAITA"/>
    <x v="1"/>
  </r>
  <r>
    <n v="102"/>
    <d v="2019-03-27T00:00:00"/>
    <x v="9"/>
    <x v="9"/>
    <x v="1"/>
    <s v="ADMINISTRACION DE SUCURSALES"/>
    <s v="VIATICOS 2"/>
    <s v="TRANSACCIONES DEL DIA 03/27/2019SPYRAL - GESTION ADMINISTRATIVA"/>
    <n v="91"/>
    <n v="0"/>
    <s v="AZUERO TERMINAL PLAZA"/>
    <x v="1"/>
  </r>
  <r>
    <n v="102"/>
    <d v="2019-05-28T00:00:00"/>
    <x v="11"/>
    <x v="11"/>
    <x v="1"/>
    <s v="ADMINISTRACION DE SUCURSALES"/>
    <s v="NC VIATICOS"/>
    <s v="TRANSACCIONES DEL DIA 05/28/2019SPYRAL - GESTION ADMINISTRATIVA"/>
    <n v="34"/>
    <n v="0"/>
    <s v="AZUERO TERMINAL PLAZA"/>
    <x v="1"/>
  </r>
  <r>
    <n v="103"/>
    <d v="2019-02-13T00:00:00"/>
    <x v="8"/>
    <x v="8"/>
    <x v="1"/>
    <s v="ADMINISTRACION DE SUCURSALES"/>
    <s v="OTROS EGRESOS 18"/>
    <s v="OTROS EGRESOS 1.P.O (OR:103/DES:103 TRN:86 PERF:300086 CAU: 18"/>
    <n v="7.35"/>
    <n v="0"/>
    <s v="TOWN CENTER COSTA DEL ESTE"/>
    <x v="1"/>
  </r>
  <r>
    <n v="103"/>
    <d v="2019-04-16T00:00:00"/>
    <x v="10"/>
    <x v="10"/>
    <x v="1"/>
    <s v="ADMINISTRACION DE SUCURSALES"/>
    <s v="OTROS EGRESOS 18"/>
    <s v="OTROS EGRESOS 1.P.O (OR:103/DES:103 TRN:86 PERF:300086 CAU: 18"/>
    <n v="7.35"/>
    <n v="0"/>
    <s v="TOWN CENTER COSTA DEL ESTE"/>
    <x v="1"/>
  </r>
  <r>
    <n v="125"/>
    <d v="2019-02-02T00:00:00"/>
    <x v="8"/>
    <x v="8"/>
    <x v="1"/>
    <s v="ADMINISTRACION DE SUCURSALES"/>
    <s v="OTROS EGRESOS 18"/>
    <s v="OTROS EGRESOS 1.P.O (OR:125/DES:125 TRN:86 PERF:300086 CAU: 18"/>
    <n v="9.75"/>
    <n v="0"/>
    <s v="COSTA VERDE"/>
    <x v="1"/>
  </r>
  <r>
    <n v="125"/>
    <d v="2019-02-26T00:00:00"/>
    <x v="8"/>
    <x v="8"/>
    <x v="1"/>
    <s v="ADMINISTRACION DE SUCURSALES"/>
    <s v="OTROS EGRESOS 18"/>
    <s v="OTROS EGRESOS 1.P.O (OR:125/DES:125 TRN:86 PERF:300086 CAU: 18"/>
    <n v="9.75"/>
    <n v="0"/>
    <s v="COSTA VERDE"/>
    <x v="1"/>
  </r>
  <r>
    <n v="125"/>
    <d v="2019-03-16T00:00:00"/>
    <x v="9"/>
    <x v="9"/>
    <x v="1"/>
    <s v="ADMINISTRACION DE SUCURSALES"/>
    <s v="OTROS EGRESOS 18"/>
    <s v="OTROS EGRESOS 1.P.O (OR:125/DES:125 TRN:86 PERF:300086 CAU: 18"/>
    <n v="4.5"/>
    <n v="0"/>
    <s v="COSTA VERDE"/>
    <x v="1"/>
  </r>
  <r>
    <n v="125"/>
    <d v="2019-04-25T00:00:00"/>
    <x v="10"/>
    <x v="10"/>
    <x v="1"/>
    <s v="ADMINISTRACION DE SUCURSALES"/>
    <s v="OTROS EGRESOS 18"/>
    <s v="OTROS EGRESOS 1.P.O (OR:125/DES:125 TRN:86 PERF:300086 CAU: 18"/>
    <n v="4.5"/>
    <n v="0"/>
    <s v="COSTA VERDE"/>
    <x v="1"/>
  </r>
  <r>
    <n v="125"/>
    <d v="2019-05-17T00:00:00"/>
    <x v="11"/>
    <x v="11"/>
    <x v="1"/>
    <s v="ADMINISTRACION DE SUCURSALES"/>
    <s v="OTROS EGRESOS 18"/>
    <s v="OTROS EGRESOS 1.P.O (OR:125/DES:125 TRN:86 PERF:300086 CAU: 18"/>
    <n v="9"/>
    <n v="0"/>
    <s v="COSTA VERDE"/>
    <x v="1"/>
  </r>
  <r>
    <n v="125"/>
    <d v="2019-07-05T00:00:00"/>
    <x v="6"/>
    <x v="6"/>
    <x v="1"/>
    <s v="ADMINISTRACION DE SUCURSALES"/>
    <s v="OTROS EGRESOS 18"/>
    <s v="OTROS EGRESOS 1.P.O (OR:125/DES:125 TRN:86 PERF:300086 CAU: 18"/>
    <n v="14.25"/>
    <n v="0"/>
    <s v="COSTA VERDE"/>
    <x v="1"/>
  </r>
  <r>
    <n v="125"/>
    <d v="2019-07-27T00:00:00"/>
    <x v="6"/>
    <x v="6"/>
    <x v="1"/>
    <s v="ADMINISTRACION DE SUCURSALES"/>
    <s v="OTROS EGRESOS 18"/>
    <s v="OTROS EGRESOS 1.P.O (OR:125/DES:125 TRN:86 PERF:300086 CAU: 18"/>
    <n v="9"/>
    <n v="0"/>
    <s v="COSTA VERDE"/>
    <x v="1"/>
  </r>
  <r>
    <n v="125"/>
    <d v="2019-07-29T00:00:00"/>
    <x v="6"/>
    <x v="6"/>
    <x v="1"/>
    <s v="ADMINISTRACION DE SUCURSALES"/>
    <s v="OTROS EGRESOS 18"/>
    <s v="OTROS EGRESOS 1.P.O (OR:125/DES:125 TRN:86 PERF:300086 CAU: 18"/>
    <n v="9"/>
    <n v="0"/>
    <s v="COSTA VERDE"/>
    <x v="1"/>
  </r>
  <r>
    <n v="125"/>
    <d v="2019-07-31T00:00:00"/>
    <x v="6"/>
    <x v="6"/>
    <x v="1"/>
    <s v="ADMINISTRACION DE SUCURSALES"/>
    <s v="OTROS EGRESOS 18"/>
    <s v="OTROS EGRESOS 1.P.O (OR:125/DES:125 TRN:86 PERF:300086 CAU: 18"/>
    <n v="4.5"/>
    <n v="0"/>
    <s v="COSTA VERDE"/>
    <x v="1"/>
  </r>
  <r>
    <n v="131"/>
    <d v="2019-01-31T00:00:00"/>
    <x v="7"/>
    <x v="7"/>
    <x v="1"/>
    <s v="ADMINISTRACION DE SUCURSALES"/>
    <s v="OTROS EGRESOS 18"/>
    <s v="OTROS EGRESOS 1.P.O (OR:131/DES:131 TRN:86 PERF:300086 CAU: 18"/>
    <n v="9.1999999999999993"/>
    <n v="0"/>
    <s v="PLAZA LOS ANGELES"/>
    <x v="1"/>
  </r>
  <r>
    <n v="131"/>
    <d v="2019-02-20T00:00:00"/>
    <x v="8"/>
    <x v="8"/>
    <x v="1"/>
    <s v="ADMINISTRACION DE SUCURSALES"/>
    <s v="OTROS EGRESOS 18"/>
    <s v="OTROS EGRESOS 1.P.O (OR:131/DES:131 TRN:86 PERF:300086 CAU: 18"/>
    <n v="9.1999999999999993"/>
    <n v="0"/>
    <s v="PLAZA LOS ANGELES"/>
    <x v="1"/>
  </r>
  <r>
    <n v="131"/>
    <d v="2019-03-23T00:00:00"/>
    <x v="9"/>
    <x v="9"/>
    <x v="1"/>
    <s v="ADMINISTRACION DE SUCURSALES"/>
    <s v="OTROS EGRESOS 18"/>
    <s v="OTROS EGRESOS 1.P.O (OR:131/DES:131 TRN:86 PERF:300086 CAU: 18"/>
    <n v="4.8"/>
    <n v="0"/>
    <s v="PLAZA LOS ANGELES"/>
    <x v="1"/>
  </r>
  <r>
    <n v="131"/>
    <d v="2019-04-25T00:00:00"/>
    <x v="10"/>
    <x v="10"/>
    <x v="1"/>
    <s v="ADMINISTRACION DE SUCURSALES"/>
    <s v="OTROS EGRESOS 18"/>
    <s v="OTROS EGRESOS 1.P.O (OR:131/DES:131 TRN:86 PERF:300086 CAU: 18"/>
    <n v="2.7"/>
    <n v="0"/>
    <s v="PLAZA LOS ANGELES"/>
    <x v="1"/>
  </r>
  <r>
    <n v="154"/>
    <d v="2019-06-27T00:00:00"/>
    <x v="2"/>
    <x v="2"/>
    <x v="1"/>
    <s v="ADMINISTRACION DE SUCURSALES"/>
    <s v="OTROS EGRESOS 18"/>
    <s v="OTROS EGRESOS 1.P.O (OR:154/DES:154 TRN:86 PERF:300086 CAU: 18"/>
    <n v="12"/>
    <n v="0"/>
    <s v="CASCO VIEJO"/>
    <x v="1"/>
  </r>
  <r>
    <n v="154"/>
    <d v="2019-07-26T00:00:00"/>
    <x v="6"/>
    <x v="6"/>
    <x v="1"/>
    <s v="ADMINISTRACION DE SUCURSALES"/>
    <s v="OTROS EGRESOS 18"/>
    <s v="OTROS EGRESOS 1.P.O (OR:154/DES:154 TRN:86 PERF:300086 CAU: 18"/>
    <n v="12"/>
    <n v="0"/>
    <s v="CASCO VIEJO"/>
    <x v="1"/>
  </r>
  <r>
    <n v="157"/>
    <d v="2019-03-13T00:00:00"/>
    <x v="9"/>
    <x v="9"/>
    <x v="1"/>
    <s v="ADMINISTRACION DE SUCURSALES"/>
    <s v="VIATICOS 2"/>
    <s v="TRANSACCIONES DEL DIA 03/13/2019SPYRAL - GESTION ADMINISTRATIVA"/>
    <n v="120"/>
    <n v="0"/>
    <s v="SAN MATEO"/>
    <x v="1"/>
  </r>
  <r>
    <n v="157"/>
    <d v="2019-03-19T00:00:00"/>
    <x v="9"/>
    <x v="9"/>
    <x v="1"/>
    <s v="ADMINISTRACION DE SUCURSALES"/>
    <s v="VIATICOS 2"/>
    <s v="TRANSACCIONES DEL DIA 03/19/2019SPYRAL - GESTION ADMINISTRATIVA"/>
    <n v="80"/>
    <n v="0"/>
    <s v="SAN MATEO"/>
    <x v="1"/>
  </r>
  <r>
    <n v="157"/>
    <d v="2019-05-18T00:00:00"/>
    <x v="11"/>
    <x v="11"/>
    <x v="1"/>
    <s v="ADMINISTRACION DE SUCURSALES"/>
    <s v="VIATICOS 2"/>
    <s v="TRANSACCIONES DEL DIA 05/18/2019SPYRAL - GESTION ADMINISTRATIVA"/>
    <n v="40"/>
    <n v="0"/>
    <s v="SAN MATEO"/>
    <x v="1"/>
  </r>
  <r>
    <n v="157"/>
    <d v="2019-07-22T00:00:00"/>
    <x v="6"/>
    <x v="6"/>
    <x v="1"/>
    <s v="ADMINISTRACION DE SUCURSALES"/>
    <s v="OTROS EGRESOS 18"/>
    <s v="OTROS EGRESOS 1.P.O (OR:157/DES:157 TRN:86 PERF:300086 CAU: 18"/>
    <n v="15"/>
    <n v="0"/>
    <s v="SAN MATEO"/>
    <x v="1"/>
  </r>
  <r>
    <n v="157"/>
    <d v="2019-07-30T00:00:00"/>
    <x v="6"/>
    <x v="6"/>
    <x v="1"/>
    <s v="ADMINISTRACION DE SUCURSALES"/>
    <s v="OTROS EGRESOS 18"/>
    <s v="OTROS EGRESOS 1.P.O (OR:157/DES:157 TRN:86 PERF:300086 CAU: 18"/>
    <n v="5"/>
    <n v="0"/>
    <s v="SAN MATEO"/>
    <x v="1"/>
  </r>
  <r>
    <n v="157"/>
    <d v="2019-03-13T00:00:00"/>
    <x v="9"/>
    <x v="9"/>
    <x v="1"/>
    <s v="SERVICIOS PERSONALES"/>
    <s v="VIATICOS 2"/>
    <s v="TRANSACCIONES DEL DIA 03/13/2019SPYRAL - GESTION ADMINISTRATIVA"/>
    <n v="516"/>
    <n v="0"/>
    <s v="SAN MATEO"/>
    <x v="1"/>
  </r>
  <r>
    <n v="162"/>
    <d v="2019-01-25T00:00:00"/>
    <x v="7"/>
    <x v="7"/>
    <x v="1"/>
    <s v="ADMINISTRACION DE SUCURSALES"/>
    <s v="VIATICOS"/>
    <s v="TRANSACCIONES DEL DIA 01/25/2019SPYRAL - GESTION ADMINISTRATIVA"/>
    <n v="19"/>
    <n v="0"/>
    <s v="BRISAS DEL GOLF ARRAIJAN"/>
    <x v="1"/>
  </r>
  <r>
    <n v="162"/>
    <d v="2019-03-26T00:00:00"/>
    <x v="9"/>
    <x v="9"/>
    <x v="1"/>
    <s v="ADMINISTRACION DE SUCURSALES"/>
    <s v="VIATICOS 2"/>
    <s v="TRANSACCIONES DEL DIA 03/26/2019SPYRAL - GESTION ADMINISTRATIVA"/>
    <n v="19"/>
    <n v="0"/>
    <s v="BRISAS DEL GOLF ARRAIJAN"/>
    <x v="1"/>
  </r>
  <r>
    <n v="162"/>
    <d v="2019-05-29T00:00:00"/>
    <x v="11"/>
    <x v="11"/>
    <x v="1"/>
    <s v="ADMINISTRACION DE SUCURSALES"/>
    <s v="VIATICOS 2"/>
    <s v="TRANSACCIONES DEL DIA 05/29/2019SPYRAL - GESTION ADMINISTRATIVA"/>
    <n v="19"/>
    <n v="0"/>
    <s v="BRISAS DEL GOLF ARRAIJAN"/>
    <x v="1"/>
  </r>
  <r>
    <n v="162"/>
    <d v="2019-06-12T00:00:00"/>
    <x v="2"/>
    <x v="2"/>
    <x v="1"/>
    <s v="ADMINISTRACION DE SUCURSALES"/>
    <s v="OTROS EGRESOS 18"/>
    <s v="OTROS EGRESOS 1.P.O (OR:162/DES:162 TRN:86 PERF:300086 CAU: 18"/>
    <n v="3"/>
    <n v="0"/>
    <s v="BRISAS DEL GOLF ARRAIJAN"/>
    <x v="1"/>
  </r>
  <r>
    <n v="162"/>
    <d v="2019-07-25T00:00:00"/>
    <x v="6"/>
    <x v="6"/>
    <x v="1"/>
    <s v="ADMINISTRACION DE SUCURSALES"/>
    <s v="VIATICOS 2"/>
    <s v="TRANSACCIONES DEL DIA 07/25/2019SPYRAL - GESTION ADMINISTRATIVA"/>
    <n v="19"/>
    <n v="0"/>
    <s v="BRISAS DEL GOLF ARRAIJAN"/>
    <x v="1"/>
  </r>
  <r>
    <n v="164"/>
    <d v="2019-01-10T00:00:00"/>
    <x v="7"/>
    <x v="7"/>
    <x v="1"/>
    <s v="ADMINISTRACION DE SUCURSALES"/>
    <s v="OTROS EGRESOS 18"/>
    <s v="OTROS EGRESOS 1.P.O (OR:164/DES:164 TRN:86 PERF:300086 CAU: 18"/>
    <n v="18.75"/>
    <n v="0"/>
    <s v="PASEO ARRAIJAN"/>
    <x v="1"/>
  </r>
  <r>
    <n v="164"/>
    <d v="2019-01-11T00:00:00"/>
    <x v="7"/>
    <x v="7"/>
    <x v="1"/>
    <s v="ADMINISTRACION DE SUCURSALES"/>
    <s v="OTROS EGRESOS 18"/>
    <s v="OTROS EGRESOS 1.P.O (OR:164/DES:164 TRN:86 PERF:300086 CAU: 18"/>
    <n v="18.75"/>
    <n v="0"/>
    <s v="PASEO ARRAIJAN"/>
    <x v="1"/>
  </r>
  <r>
    <n v="164"/>
    <d v="2019-01-24T00:00:00"/>
    <x v="7"/>
    <x v="7"/>
    <x v="1"/>
    <s v="ADMINISTRACION DE SUCURSALES"/>
    <s v="VIATICOS"/>
    <s v="TRANSACCIONES DEL DIA 01/24/2019SPYRAL - GESTION ADMINISTRATIVA"/>
    <n v="19"/>
    <n v="0"/>
    <s v="PASEO ARRAIJAN"/>
    <x v="1"/>
  </r>
  <r>
    <n v="164"/>
    <d v="2019-04-09T00:00:00"/>
    <x v="10"/>
    <x v="10"/>
    <x v="1"/>
    <s v="ADMINISTRACION DE SUCURSALES"/>
    <s v="OTROS EGRESOS 18"/>
    <s v="OTROS EGRESOS 1.P.O (OR:164/DES:164 TRN:86 PERF:300086 CAU: 18"/>
    <n v="4.5"/>
    <n v="0"/>
    <s v="PASEO ARRAIJAN"/>
    <x v="1"/>
  </r>
  <r>
    <n v="164"/>
    <d v="2019-05-10T00:00:00"/>
    <x v="11"/>
    <x v="11"/>
    <x v="1"/>
    <s v="ADMINISTRACION DE SUCURSALES"/>
    <s v="OTROS EGRESOS 18"/>
    <s v="OTROS EGRESOS 1.P.O (OR:164/DES:164 TRN:86 PERF:300086 CAU: 18"/>
    <n v="12"/>
    <n v="0"/>
    <s v="PASEO ARRAIJAN"/>
    <x v="1"/>
  </r>
  <r>
    <n v="164"/>
    <d v="2019-05-30T00:00:00"/>
    <x v="11"/>
    <x v="11"/>
    <x v="1"/>
    <s v="ADMINISTRACION DE SUCURSALES"/>
    <s v="VIATICOS 2"/>
    <s v="TRANSACCIONES DEL DIA 05/30/2019SPYRAL - GESTION ADMINISTRATIVA"/>
    <n v="19"/>
    <n v="0"/>
    <s v="PASEO ARRAIJAN"/>
    <x v="1"/>
  </r>
  <r>
    <n v="164"/>
    <d v="2019-06-18T00:00:00"/>
    <x v="2"/>
    <x v="2"/>
    <x v="1"/>
    <s v="ADMINISTRACION DE SUCURSALES"/>
    <s v="OTROS EGRESOS 18"/>
    <s v="OTROS EGRESOS 1.P.O (OR:164/DES:164 TRN:86 PERF:300086 CAU: 18"/>
    <n v="23.25"/>
    <n v="0"/>
    <s v="PASEO ARRAIJAN"/>
    <x v="1"/>
  </r>
  <r>
    <n v="164"/>
    <d v="2019-07-08T00:00:00"/>
    <x v="6"/>
    <x v="6"/>
    <x v="1"/>
    <s v="ADMINISTRACION DE SUCURSALES"/>
    <s v="OTROS EGRESOS 18"/>
    <s v="OTROS EGRESOS 1.P.O (OR:164/DES:164 TRN:86 PERF:300086 CAU: 18"/>
    <n v="9"/>
    <n v="0"/>
    <s v="PASEO ARRAIJAN"/>
    <x v="1"/>
  </r>
  <r>
    <n v="164"/>
    <d v="2019-07-29T00:00:00"/>
    <x v="6"/>
    <x v="6"/>
    <x v="1"/>
    <s v="ADMINISTRACION DE SUCURSALES"/>
    <s v="OTROS EGRESOS 18"/>
    <s v="OTROS EGRESOS 1.P.O (OR:164/DES:164 TRN:86 PERF:300086 CAU: 18"/>
    <n v="12"/>
    <n v="0"/>
    <s v="PASEO ARRAIJAN"/>
    <x v="1"/>
  </r>
  <r>
    <n v="164"/>
    <d v="2019-07-30T00:00:00"/>
    <x v="6"/>
    <x v="6"/>
    <x v="1"/>
    <s v="ADMINISTRACION DE SUCURSALES"/>
    <s v="VIATICOS 2"/>
    <s v="TRANSACCIONES DEL DIA 07/30/2019SPYRAL - GESTION ADMINISTRATIVA"/>
    <n v="19"/>
    <n v="0"/>
    <s v="PASEO ARRAIJAN"/>
    <x v="1"/>
  </r>
  <r>
    <n v="165"/>
    <d v="2019-02-18T00:00:00"/>
    <x v="8"/>
    <x v="8"/>
    <x v="1"/>
    <s v="ADMINISTRACION DE SUCURSALES"/>
    <s v="OTROS EGRESOS 18"/>
    <s v="OTROS EGRESOS 1.P.O (OR:165/DES:165 TRN:86 PERF:300086 CAU: 18"/>
    <n v="9.5500000000000007"/>
    <n v="0"/>
    <s v="PLAZA NUEVO TOCUMEN"/>
    <x v="1"/>
  </r>
  <r>
    <n v="165"/>
    <d v="2019-02-21T00:00:00"/>
    <x v="8"/>
    <x v="8"/>
    <x v="1"/>
    <s v="ADMINISTRACION DE SUCURSALES"/>
    <s v="OTROS EGRESOS 18"/>
    <s v="OTROS EGRESOS 1.P.O (OR:165/DES:165 TRN:86 PERF:300086 CAU: 18"/>
    <n v="110.45"/>
    <n v="0"/>
    <s v="PLAZA NUEVO TOCUMEN"/>
    <x v="1"/>
  </r>
  <r>
    <n v="165"/>
    <d v="2019-03-11T00:00:00"/>
    <x v="9"/>
    <x v="9"/>
    <x v="1"/>
    <s v="ADMINISTRACION DE SUCURSALES"/>
    <s v="OTROS EGRESOS 18"/>
    <s v="OTROS EGRESOS 1.P.O (OR:165/DES:165 TRN:86 PERF:300086 CAU: 18"/>
    <n v="4.2"/>
    <n v="0"/>
    <s v="PLAZA NUEVO TOCUMEN"/>
    <x v="1"/>
  </r>
  <r>
    <n v="165"/>
    <d v="2019-04-12T00:00:00"/>
    <x v="10"/>
    <x v="10"/>
    <x v="1"/>
    <s v="ADMINISTRACION DE SUCURSALES"/>
    <s v="OTROS EGRESOS 18"/>
    <s v="OTROS EGRESOS 1.P.O (OR:165/DES:165 TRN:86 PERF:300086 CAU: 18"/>
    <n v="14.35"/>
    <n v="0"/>
    <s v="PLAZA NUEVO TOCUMEN"/>
    <x v="1"/>
  </r>
  <r>
    <n v="165"/>
    <d v="2019-04-25T00:00:00"/>
    <x v="10"/>
    <x v="10"/>
    <x v="1"/>
    <s v="ADMINISTRACION DE SUCURSALES"/>
    <s v="OTROS EGRESOS 18"/>
    <s v="OTROS EGRESOS 1.P.O (OR:165/DES:165 TRN:86 PERF:300086 CAU: 18"/>
    <n v="16.399999999999999"/>
    <n v="0"/>
    <s v="PLAZA NUEVO TOCUMEN"/>
    <x v="1"/>
  </r>
  <r>
    <n v="165"/>
    <d v="2019-05-10T00:00:00"/>
    <x v="11"/>
    <x v="11"/>
    <x v="1"/>
    <s v="ADMINISTRACION DE SUCURSALES"/>
    <s v="OTROS EGRESOS 18"/>
    <s v="OTROS EGRESOS 1.P.O (OR:165/DES:165 TRN:86 PERF:300086 CAU: 18"/>
    <n v="9.5500000000000007"/>
    <n v="0"/>
    <s v="PLAZA NUEVO TOCUMEN"/>
    <x v="1"/>
  </r>
  <r>
    <n v="165"/>
    <d v="2019-05-13T00:00:00"/>
    <x v="11"/>
    <x v="11"/>
    <x v="1"/>
    <s v="ADMINISTRACION DE SUCURSALES"/>
    <s v="OTROS EGRESOS 18"/>
    <s v="OTROS EGRESOS 1.P.O (OR:165/DES:165 TRN:86 PERF:300086 CAU: 18"/>
    <n v="4.2"/>
    <n v="0"/>
    <s v="PLAZA NUEVO TOCUMEN"/>
    <x v="1"/>
  </r>
  <r>
    <n v="165"/>
    <d v="2019-05-22T00:00:00"/>
    <x v="11"/>
    <x v="11"/>
    <x v="1"/>
    <s v="ADMINISTRACION DE SUCURSALES"/>
    <s v="OTROS EGRESOS 18"/>
    <s v="OTROS EGRESOS 1.P.O (OR:165/DES:165 TRN:86 PERF:300086 CAU: 18"/>
    <n v="16.399999999999999"/>
    <n v="0"/>
    <s v="PLAZA NUEVO TOCUMEN"/>
    <x v="1"/>
  </r>
  <r>
    <n v="165"/>
    <d v="2019-06-18T00:00:00"/>
    <x v="2"/>
    <x v="2"/>
    <x v="1"/>
    <s v="ADMINISTRACION DE SUCURSALES"/>
    <s v="OTROS EGRESOS 18"/>
    <s v="OTROS EGRESOS 1.P.O (OR:165/DES:165 TRN:86 PERF:300086 CAU: 18"/>
    <n v="9.5500000000000007"/>
    <n v="0"/>
    <s v="PLAZA NUEVO TOCUMEN"/>
    <x v="1"/>
  </r>
  <r>
    <n v="165"/>
    <d v="2019-07-12T00:00:00"/>
    <x v="6"/>
    <x v="6"/>
    <x v="1"/>
    <s v="ADMINISTRACION DE SUCURSALES"/>
    <s v="OTROS EGRESOS 18"/>
    <s v="OTROS EGRESOS 1.P.O (OR:165/DES:165 TRN:86 PERF:300086 CAU: 18"/>
    <n v="9.5500000000000007"/>
    <n v="0"/>
    <s v="PLAZA NUEVO TOCUMEN"/>
    <x v="1"/>
  </r>
  <r>
    <n v="196"/>
    <d v="2019-01-02T00:00:00"/>
    <x v="7"/>
    <x v="7"/>
    <x v="1"/>
    <s v="ADMINISTRACION DE SUCURSALES"/>
    <s v="OTROS EGRESOS 18"/>
    <s v="OTROS EGRESOS 1.P.O (OR:196/DES:196 TRN:86 PERF:300086 CAU: 18"/>
    <n v="3.6"/>
    <n v="0"/>
    <s v="SANTA MARIA"/>
    <x v="1"/>
  </r>
  <r>
    <n v="196"/>
    <d v="2019-02-15T00:00:00"/>
    <x v="8"/>
    <x v="8"/>
    <x v="1"/>
    <s v="ADMINISTRACION DE SUCURSALES"/>
    <s v="OTROS EGRESOS 18"/>
    <s v="OTROS EGRESOS 1.P.O (OR:196/DES:196 TRN:86 PERF:300086 CAU: 18"/>
    <n v="7.35"/>
    <n v="0"/>
    <s v="SANTA MARIA"/>
    <x v="1"/>
  </r>
  <r>
    <n v="196"/>
    <d v="2019-02-19T00:00:00"/>
    <x v="8"/>
    <x v="8"/>
    <x v="1"/>
    <s v="ADMINISTRACION DE SUCURSALES"/>
    <s v="OTROS EGRESOS 18"/>
    <s v="OTROS EGRESOS 1.P.O (OR:196/DES:196 TRN:86 PERF:300086 CAU: 18"/>
    <n v="2.4"/>
    <n v="0"/>
    <s v="SANTA MARIA"/>
    <x v="1"/>
  </r>
  <r>
    <n v="196"/>
    <d v="2019-02-28T00:00:00"/>
    <x v="8"/>
    <x v="8"/>
    <x v="1"/>
    <s v="ADMINISTRACION DE SUCURSALES"/>
    <s v="OTROS EGRESOS 18"/>
    <s v="OTROS EGRESOS 1.P.O (OR:196/DES:196 TRN:86 PERF:300086 CAU: 18"/>
    <n v="7.35"/>
    <n v="0"/>
    <s v="SANTA MARIA"/>
    <x v="1"/>
  </r>
  <r>
    <n v="196"/>
    <d v="2019-03-08T00:00:00"/>
    <x v="9"/>
    <x v="9"/>
    <x v="1"/>
    <s v="ADMINISTRACION DE SUCURSALES"/>
    <s v="OTROS EGRESOS 18"/>
    <s v="OTROS EGRESOS 1.P.O (OR:196/DES:196 TRN:86 PERF:300086 CAU: 18"/>
    <n v="14.7"/>
    <n v="0"/>
    <s v="SANTA MARIA"/>
    <x v="1"/>
  </r>
  <r>
    <n v="196"/>
    <d v="2019-03-19T00:00:00"/>
    <x v="9"/>
    <x v="9"/>
    <x v="1"/>
    <s v="ADMINISTRACION DE SUCURSALES"/>
    <s v="OTROS EGRESOS 18"/>
    <s v="OTROS EGRESOS 1.P.O (OR:196/DES:196 TRN:86 PERF:300086 CAU: 18"/>
    <n v="2.4"/>
    <n v="0"/>
    <s v="SANTA MARIA"/>
    <x v="1"/>
  </r>
  <r>
    <n v="196"/>
    <d v="2019-03-21T00:00:00"/>
    <x v="9"/>
    <x v="9"/>
    <x v="1"/>
    <s v="ADMINISTRACION DE SUCURSALES"/>
    <s v="OTROS EGRESOS 18"/>
    <s v="OTROS EGRESOS 1.P.O (OR:196/DES:196 TRN:86 PERF:300086 CAU: 18"/>
    <n v="7.35"/>
    <n v="0"/>
    <s v="SANTA MARIA"/>
    <x v="1"/>
  </r>
  <r>
    <n v="196"/>
    <d v="2019-04-08T00:00:00"/>
    <x v="10"/>
    <x v="10"/>
    <x v="1"/>
    <s v="ADMINISTRACION DE SUCURSALES"/>
    <s v="OTROS EGRESOS 18"/>
    <s v="OTROS EGRESOS 1.P.O (OR:196/DES:196 TRN:86 PERF:300086 CAU: 18"/>
    <n v="1.8"/>
    <n v="0"/>
    <s v="SANTA MARIA"/>
    <x v="1"/>
  </r>
  <r>
    <n v="196"/>
    <d v="2019-04-17T00:00:00"/>
    <x v="10"/>
    <x v="10"/>
    <x v="1"/>
    <s v="ADMINISTRACION DE SUCURSALES"/>
    <s v="OTROS EGRESOS 18"/>
    <s v="OTROS EGRESOS 1.P.O (OR:196/DES:196 TRN:86 PERF:300086 CAU: 18"/>
    <n v="16.95"/>
    <n v="0"/>
    <s v="SANTA MARIA"/>
    <x v="1"/>
  </r>
  <r>
    <n v="196"/>
    <d v="2019-04-24T00:00:00"/>
    <x v="10"/>
    <x v="10"/>
    <x v="1"/>
    <s v="ADMINISTRACION DE SUCURSALES"/>
    <s v="OTROS EGRESOS 18"/>
    <s v="OTROS EGRESOS 1.P.O (OR:196/DES:196 TRN:86 PERF:300086 CAU: 18"/>
    <n v="7.35"/>
    <n v="0"/>
    <s v="SANTA MARIA"/>
    <x v="1"/>
  </r>
  <r>
    <n v="196"/>
    <d v="2019-04-26T00:00:00"/>
    <x v="10"/>
    <x v="10"/>
    <x v="1"/>
    <s v="ADMINISTRACION DE SUCURSALES"/>
    <s v="OTROS EGRESOS 18"/>
    <s v="OTROS EGRESOS 1.P.O (OR:196/DES:196 TRN:86 PERF:300086 CAU: 18"/>
    <n v="2.25"/>
    <n v="0"/>
    <s v="SANTA MARIA"/>
    <x v="1"/>
  </r>
  <r>
    <n v="196"/>
    <d v="2019-05-16T00:00:00"/>
    <x v="11"/>
    <x v="11"/>
    <x v="1"/>
    <s v="ADMINISTRACION DE SUCURSALES"/>
    <s v="OTROS EGRESOS 18"/>
    <s v="OTROS EGRESOS 1.P.O (OR:196/DES:196 TRN:86 PERF:300086 CAU: 18"/>
    <n v="3"/>
    <n v="0"/>
    <s v="SANTA MARIA"/>
    <x v="1"/>
  </r>
  <r>
    <n v="196"/>
    <d v="2019-06-10T00:00:00"/>
    <x v="2"/>
    <x v="2"/>
    <x v="1"/>
    <s v="ADMINISTRACION DE SUCURSALES"/>
    <s v="OTROS EGRESOS 18"/>
    <s v="OTROS EGRESOS 1.P.O (OR:196/DES:196 TRN:86 PERF:300086 CAU: 18"/>
    <n v="2.4"/>
    <n v="0"/>
    <s v="SANTA MARIA"/>
    <x v="1"/>
  </r>
  <r>
    <n v="196"/>
    <d v="2019-06-21T00:00:00"/>
    <x v="2"/>
    <x v="2"/>
    <x v="1"/>
    <s v="ADMINISTRACION DE SUCURSALES"/>
    <s v="OTROS EGRESOS 18"/>
    <s v="OTROS EGRESOS 1.P.O (OR:196/DES:196 TRN:86 PERF:300086 CAU: 18"/>
    <n v="14.7"/>
    <n v="0"/>
    <s v="SANTA MARIA"/>
    <x v="1"/>
  </r>
  <r>
    <n v="196"/>
    <d v="2019-07-25T00:00:00"/>
    <x v="6"/>
    <x v="6"/>
    <x v="1"/>
    <s v="ADMINISTRACION DE SUCURSALES"/>
    <s v="OTROS EGRESOS 18"/>
    <s v="OTROS EGRESOS 1.P.O (OR:196/DES:196 TRN:86 PERF:300086 CAU: 18"/>
    <n v="21.9"/>
    <n v="0"/>
    <s v="SANTA MARIA"/>
    <x v="1"/>
  </r>
  <r>
    <n v="1"/>
    <d v="2019-02-26T00:00:00"/>
    <x v="8"/>
    <x v="8"/>
    <x v="1"/>
    <s v="ADMINISTRACION DE SUCURSALES"/>
    <s v="NC ALIMENTACION DE EMPLEADOS NVA"/>
    <s v="TRANSACCIONES DEL DIA 02/26/2019SPYRAL - GESTION ADMINISTRATIVA"/>
    <n v="115.77"/>
    <n v="0"/>
    <s v="CASA MATRIZ"/>
    <x v="2"/>
  </r>
  <r>
    <n v="1"/>
    <d v="2019-05-03T00:00:00"/>
    <x v="11"/>
    <x v="11"/>
    <x v="1"/>
    <s v="ADMINISTRACION DE SUCURSALES"/>
    <s v="NC ALIMENTACION DE EMPLEADOS NVA"/>
    <s v="TRANSACCIONES DEL DIA 05/03/2019SPYRAL - GESTION ADMINISTRATIVA"/>
    <n v="23.99"/>
    <n v="0"/>
    <s v="CASA MATRIZ"/>
    <x v="2"/>
  </r>
  <r>
    <n v="1"/>
    <d v="2019-06-10T00:00:00"/>
    <x v="2"/>
    <x v="2"/>
    <x v="1"/>
    <s v="ADMINISTRACION DE SUCURSALES"/>
    <s v="NC ALIMENTACION DE EMPLEADOS NVA"/>
    <s v="TRANSACCIONES DEL DIA 06/10/2019SPYRAL - GESTION ADMINISTRATIVA"/>
    <n v="83.03"/>
    <n v="0"/>
    <s v="CASA MATRIZ"/>
    <x v="2"/>
  </r>
  <r>
    <n v="1"/>
    <d v="2019-07-23T00:00:00"/>
    <x v="6"/>
    <x v="6"/>
    <x v="1"/>
    <s v="ADMINISTRACION DE SUCURSALES"/>
    <s v="NC ALIMENTACION DE EMPLEADOS NVA"/>
    <s v="TRANSACCIONES DEL DIA 07/23/2019SPYRAL - GESTION ADMINISTRATIVA"/>
    <n v="71.97"/>
    <n v="0"/>
    <s v="CASA MATRIZ"/>
    <x v="2"/>
  </r>
  <r>
    <n v="1"/>
    <d v="2019-01-03T00:00:00"/>
    <x v="7"/>
    <x v="7"/>
    <x v="1"/>
    <s v="CAJA"/>
    <s v="ALIMENTACION DE EMPLEADOS CTA NUEVA"/>
    <s v="TRANSACCIONES DEL DIA 01/03/2019SPYRAL - GESTION ADMINISTRATIVA"/>
    <n v="56"/>
    <n v="0"/>
    <s v="CASA MATRIZ"/>
    <x v="2"/>
  </r>
  <r>
    <n v="1"/>
    <d v="2019-01-18T00:00:00"/>
    <x v="7"/>
    <x v="7"/>
    <x v="1"/>
    <s v="CAJA"/>
    <s v="ALIMENTACION DE EMPLEADOS CTA NUEVA"/>
    <s v="TRANSACCIONES DEL DIA 01/18/2019SPYRAL - GESTION ADMINISTRATIVA"/>
    <n v="8"/>
    <n v="0"/>
    <s v="CASA MATRIZ"/>
    <x v="2"/>
  </r>
  <r>
    <n v="1"/>
    <d v="2019-03-21T00:00:00"/>
    <x v="9"/>
    <x v="9"/>
    <x v="1"/>
    <s v="CAJA"/>
    <s v="ALIMENTACION DE EMPLEADOS CTA NUEVA"/>
    <s v="TRANSACCIONES DEL DIA 03/21/2019SPYRAL - GESTION ADMINISTRATIVA"/>
    <n v="8"/>
    <n v="0"/>
    <s v="CASA MATRIZ"/>
    <x v="2"/>
  </r>
  <r>
    <n v="1"/>
    <d v="2019-04-16T00:00:00"/>
    <x v="10"/>
    <x v="10"/>
    <x v="1"/>
    <s v="CAJA"/>
    <s v="ALIMENTACION DE EMPLEADOS CTA NUEVA"/>
    <s v="TRANSACCIONES DEL DIA 04/16/2019SPYRAL - GESTION ADMINISTRATIVA"/>
    <n v="16"/>
    <n v="0"/>
    <s v="CASA MATRIZ"/>
    <x v="2"/>
  </r>
  <r>
    <n v="1"/>
    <d v="2019-05-04T00:00:00"/>
    <x v="11"/>
    <x v="11"/>
    <x v="1"/>
    <s v="CAJA"/>
    <s v="ALIMENTACION DE EMPLEADOS CTA NUEVA"/>
    <s v="TRANSACCIONES DEL DIA 05/04/2019SPYRAL - GESTION ADMINISTRATIVA"/>
    <n v="16"/>
    <n v="0"/>
    <s v="CASA MATRIZ"/>
    <x v="2"/>
  </r>
  <r>
    <n v="1"/>
    <d v="2019-05-06T00:00:00"/>
    <x v="11"/>
    <x v="11"/>
    <x v="1"/>
    <s v="CAJA"/>
    <s v="ALIMENTACION DE EMPLEADOS CTA NUEVA"/>
    <s v="TRANSACCIONES DEL DIA 05/06/2019SPYRAL - GESTION ADMINISTRATIVA"/>
    <n v="8"/>
    <n v="0"/>
    <s v="CASA MATRIZ"/>
    <x v="2"/>
  </r>
  <r>
    <n v="1"/>
    <d v="2019-07-04T00:00:00"/>
    <x v="6"/>
    <x v="6"/>
    <x v="1"/>
    <s v="CAJA"/>
    <s v="ALIMENTACION DE EMPLEADOS CTA NUEVA"/>
    <s v="TRANSACCIONES DEL DIA 07/04/2019SPYRAL - GESTION ADMINISTRATIVA"/>
    <n v="16"/>
    <n v="0"/>
    <s v="CASA MATRIZ"/>
    <x v="2"/>
  </r>
  <r>
    <n v="1"/>
    <d v="2019-07-10T00:00:00"/>
    <x v="6"/>
    <x v="6"/>
    <x v="1"/>
    <s v="CAJA"/>
    <s v="ALIMENTACION DE EMPLEADOS CTA NUEVA"/>
    <s v="TRANSACCIONES DEL DIA 07/10/2019SPYRAL - GESTION ADMINISTRATIVA"/>
    <n v="8"/>
    <n v="0"/>
    <s v="CASA MATRIZ"/>
    <x v="2"/>
  </r>
  <r>
    <n v="1"/>
    <d v="2019-07-18T00:00:00"/>
    <x v="6"/>
    <x v="6"/>
    <x v="1"/>
    <s v="CAJA"/>
    <s v="ALIMENTACION DE EMPLEADOS CTA NUEVA"/>
    <s v="TRANSACCIONES DEL DIA 07/18/2019SPYRAL - GESTION ADMINISTRATIVA"/>
    <n v="32"/>
    <n v="0"/>
    <s v="CASA MATRIZ"/>
    <x v="2"/>
  </r>
  <r>
    <n v="1"/>
    <d v="2019-07-19T00:00:00"/>
    <x v="6"/>
    <x v="6"/>
    <x v="1"/>
    <s v="CAJA"/>
    <s v="ALIMENTACION DE EMPLEADOS CTA NUEVA"/>
    <s v="TRANSACCIONES DEL DIA 07/19/2019SPYRAL - GESTION ADMINISTRATIVA"/>
    <n v="8"/>
    <n v="0"/>
    <s v="CASA MATRIZ"/>
    <x v="2"/>
  </r>
  <r>
    <n v="1"/>
    <d v="2019-07-19T00:00:00"/>
    <x v="6"/>
    <x v="6"/>
    <x v="1"/>
    <s v="CAJA"/>
    <s v="NC ALIMENTACION DE EMPLEADOS NVA"/>
    <s v="TRANSACCIONES DEL DIA 07/19/2019SPYRAL - GESTION ADMINISTRATIVA"/>
    <n v="0"/>
    <n v="8"/>
    <s v="CASA MATRIZ"/>
    <x v="2"/>
  </r>
  <r>
    <n v="5"/>
    <d v="2019-02-15T00:00:00"/>
    <x v="8"/>
    <x v="8"/>
    <x v="1"/>
    <s v="ADMINISTRACION DE SUCURSALES"/>
    <s v="ALIMENTACION DE EMPLEADOS CTA NUEVA"/>
    <s v="TRANSACCIONES DEL DIA 02/15/2019SPYRAL - GESTION ADMINISTRATIVA"/>
    <n v="24"/>
    <n v="0"/>
    <s v="VIA PORRAS"/>
    <x v="2"/>
  </r>
  <r>
    <n v="5"/>
    <d v="2019-02-26T00:00:00"/>
    <x v="8"/>
    <x v="8"/>
    <x v="1"/>
    <s v="ADMINISTRACION DE SUCURSALES"/>
    <s v="NC ALIMENTACION DE EMPLEADOS NVA"/>
    <s v="TRANSACCIONES DEL DIA 02/26/2019SPYRAL - GESTION ADMINISTRATIVA"/>
    <n v="157.56"/>
    <n v="0"/>
    <s v="VIA PORRAS"/>
    <x v="2"/>
  </r>
  <r>
    <n v="5"/>
    <d v="2019-05-03T00:00:00"/>
    <x v="11"/>
    <x v="11"/>
    <x v="1"/>
    <s v="ADMINISTRACION DE SUCURSALES"/>
    <s v="NC ALIMENTACION DE EMPLEADOS NVA"/>
    <s v="TRANSACCIONES DEL DIA 05/03/2019SPYRAL - GESTION ADMINISTRATIVA"/>
    <n v="118.89"/>
    <n v="0"/>
    <s v="VIA PORRAS"/>
    <x v="2"/>
  </r>
  <r>
    <n v="5"/>
    <d v="2019-05-10T00:00:00"/>
    <x v="11"/>
    <x v="11"/>
    <x v="1"/>
    <s v="ADMINISTRACION DE SUCURSALES"/>
    <s v="ALIMENTACION DE EMPLEADOS CTA NUEVA"/>
    <s v="TRANSACCIONES DEL DIA 05/10/2019SPYRAL - GESTION ADMINISTRATIVA"/>
    <n v="32"/>
    <n v="0"/>
    <s v="VIA PORRAS"/>
    <x v="2"/>
  </r>
  <r>
    <n v="5"/>
    <d v="2019-05-28T00:00:00"/>
    <x v="11"/>
    <x v="11"/>
    <x v="1"/>
    <s v="ADMINISTRACION DE SUCURSALES"/>
    <s v="ALIMENTACION DE EMPLEADOS CTA NUEVA"/>
    <s v="TRANSACCIONES DEL DIA 05/28/2019SPYRAL - GESTION ADMINISTRATIVA"/>
    <n v="8"/>
    <n v="0"/>
    <s v="VIA PORRAS"/>
    <x v="2"/>
  </r>
  <r>
    <n v="5"/>
    <d v="2019-05-29T00:00:00"/>
    <x v="11"/>
    <x v="11"/>
    <x v="1"/>
    <s v="ADMINISTRACION DE SUCURSALES"/>
    <s v="ALIMENTACION DE EMPLEADOS CTA NUEVA"/>
    <s v="TRANSACCIONES DEL DIA 05/29/2019SPYRAL - GESTION ADMINISTRATIVA"/>
    <n v="8"/>
    <n v="0"/>
    <s v="VIA PORRAS"/>
    <x v="2"/>
  </r>
  <r>
    <n v="5"/>
    <d v="2019-06-17T00:00:00"/>
    <x v="2"/>
    <x v="2"/>
    <x v="1"/>
    <s v="ADMINISTRACION DE SUCURSALES"/>
    <s v="NC ALIMENTACION DE EMPLEADOS NVA"/>
    <s v="TRANSACCIONES DEL DIA 06/17/2019SPYRAL - GESTION ADMINISTRATIVA"/>
    <n v="100.96"/>
    <n v="0"/>
    <s v="VIA PORRAS"/>
    <x v="2"/>
  </r>
  <r>
    <n v="5"/>
    <d v="2019-06-18T00:00:00"/>
    <x v="2"/>
    <x v="2"/>
    <x v="1"/>
    <s v="ADMINISTRACION DE SUCURSALES"/>
    <s v="ALIMENTACION DE EMPLEADOS CTA NUEVA"/>
    <s v="TRANSACCIONES DEL DIA 06/18/2019SPYRAL - GESTION ADMINISTRATIVA"/>
    <n v="8"/>
    <n v="0"/>
    <s v="VIA PORRAS"/>
    <x v="2"/>
  </r>
  <r>
    <n v="5"/>
    <d v="2019-01-04T00:00:00"/>
    <x v="7"/>
    <x v="7"/>
    <x v="1"/>
    <s v="CAJA"/>
    <s v="ALIMENTACION DE EMPLEADOS CTA NUEVA"/>
    <s v="TRANSACCIONES DEL DIA 01/04/2019SPYRAL - GESTION ADMINISTRATIVA"/>
    <n v="32"/>
    <n v="0"/>
    <s v="VIA PORRAS"/>
    <x v="2"/>
  </r>
  <r>
    <n v="5"/>
    <d v="2019-01-10T00:00:00"/>
    <x v="7"/>
    <x v="7"/>
    <x v="1"/>
    <s v="CAJA"/>
    <s v="ALIMENTACION DE EMPLEADOS CTA NUEVA"/>
    <s v="TRANSACCIONES DEL DIA 01/10/2019SPYRAL - GESTION ADMINISTRATIVA"/>
    <n v="8"/>
    <n v="0"/>
    <s v="VIA PORRAS"/>
    <x v="2"/>
  </r>
  <r>
    <n v="5"/>
    <d v="2019-01-14T00:00:00"/>
    <x v="7"/>
    <x v="7"/>
    <x v="1"/>
    <s v="CAJA"/>
    <s v="ALIMENTACION DE EMPLEADOS CTA NUEVA"/>
    <s v="TRANSACCIONES DEL DIA 01/14/2019SPYRAL - GESTION ADMINISTRATIVA"/>
    <n v="8"/>
    <n v="0"/>
    <s v="VIA PORRAS"/>
    <x v="2"/>
  </r>
  <r>
    <n v="5"/>
    <d v="2019-01-21T00:00:00"/>
    <x v="7"/>
    <x v="7"/>
    <x v="1"/>
    <s v="CAJA"/>
    <s v="ALIMENTACION DE EMPLEADOS CTA NUEVA"/>
    <s v="TRANSACCIONES DEL DIA 01/21/2019SPYRAL - GESTION ADMINISTRATIVA"/>
    <n v="8"/>
    <n v="0"/>
    <s v="VIA PORRAS"/>
    <x v="2"/>
  </r>
  <r>
    <n v="5"/>
    <d v="2019-01-22T00:00:00"/>
    <x v="7"/>
    <x v="7"/>
    <x v="1"/>
    <s v="CAJA"/>
    <s v="ALIMENTACION DE EMPLEADOS CTA NUEVA"/>
    <s v="TRANSACCIONES DEL DIA 01/22/2019SPYRAL - GESTION ADMINISTRATIVA"/>
    <n v="8"/>
    <n v="0"/>
    <s v="VIA PORRAS"/>
    <x v="2"/>
  </r>
  <r>
    <n v="5"/>
    <d v="2019-02-04T00:00:00"/>
    <x v="8"/>
    <x v="8"/>
    <x v="1"/>
    <s v="CAJA"/>
    <s v="ALIMENTACION DE EMPLEADOS CTA NUEVA"/>
    <s v="TRANSACCIONES DEL DIA 02/04/2019SPYRAL - GESTION ADMINISTRATIVA"/>
    <n v="24"/>
    <n v="0"/>
    <s v="VIA PORRAS"/>
    <x v="2"/>
  </r>
  <r>
    <n v="5"/>
    <d v="2019-02-08T00:00:00"/>
    <x v="8"/>
    <x v="8"/>
    <x v="1"/>
    <s v="CAJA"/>
    <s v="ALIMENTACION DE EMPLEADOS CTA NUEVA"/>
    <s v="TRANSACCIONES DEL DIA 02/08/2019SPYRAL - GESTION ADMINISTRATIVA"/>
    <n v="8"/>
    <n v="0"/>
    <s v="VIA PORRAS"/>
    <x v="2"/>
  </r>
  <r>
    <n v="5"/>
    <d v="2019-02-13T00:00:00"/>
    <x v="8"/>
    <x v="8"/>
    <x v="1"/>
    <s v="CAJA"/>
    <s v="ALIMENTACION DE EMPLEADOS CTA NUEVA"/>
    <s v="TRANSACCIONES DEL DIA 02/13/2019SPYRAL - GESTION ADMINISTRATIVA"/>
    <n v="48"/>
    <n v="0"/>
    <s v="VIA PORRAS"/>
    <x v="2"/>
  </r>
  <r>
    <n v="5"/>
    <d v="2019-02-20T00:00:00"/>
    <x v="8"/>
    <x v="8"/>
    <x v="1"/>
    <s v="CAJA"/>
    <s v="ALIMENTACION DE EMPLEADOS CTA NUEVA"/>
    <s v="TRANSACCIONES DEL DIA 02/20/2019SPYRAL - GESTION ADMINISTRATIVA"/>
    <n v="8"/>
    <n v="0"/>
    <s v="VIA PORRAS"/>
    <x v="2"/>
  </r>
  <r>
    <n v="5"/>
    <d v="2019-03-07T00:00:00"/>
    <x v="9"/>
    <x v="9"/>
    <x v="1"/>
    <s v="CAJA"/>
    <s v="ALIMENTACION DE EMPLEADOS CTA NUEVA"/>
    <s v="TRANSACCIONES DEL DIA 03/07/2019SPYRAL - GESTION ADMINISTRATIVA"/>
    <n v="32"/>
    <n v="0"/>
    <s v="VIA PORRAS"/>
    <x v="2"/>
  </r>
  <r>
    <n v="5"/>
    <d v="2019-03-20T00:00:00"/>
    <x v="9"/>
    <x v="9"/>
    <x v="1"/>
    <s v="CAJA"/>
    <s v="ALIMENTACION DE EMPLEADOS CTA NUEVA"/>
    <s v="TRANSACCIONES DEL DIA 03/20/2019SPYRAL - GESTION ADMINISTRATIVA"/>
    <n v="8"/>
    <n v="0"/>
    <s v="VIA PORRAS"/>
    <x v="2"/>
  </r>
  <r>
    <n v="5"/>
    <d v="2019-03-26T00:00:00"/>
    <x v="9"/>
    <x v="9"/>
    <x v="1"/>
    <s v="CAJA"/>
    <s v="ALIMENTACION DE EMPLEADOS CTA NUEVA"/>
    <s v="TRANSACCIONES DEL DIA 03/26/2019SPYRAL - GESTION ADMINISTRATIVA"/>
    <n v="8"/>
    <n v="0"/>
    <s v="VIA PORRAS"/>
    <x v="2"/>
  </r>
  <r>
    <n v="5"/>
    <d v="2019-04-18T00:00:00"/>
    <x v="10"/>
    <x v="10"/>
    <x v="1"/>
    <s v="CAJA"/>
    <s v="ALIMENTACION DE EMPLEADOS CTA NUEVA"/>
    <s v="TRANSACCIONES DEL DIA 04/18/2019SPYRAL - GESTION ADMINISTRATIVA"/>
    <n v="32"/>
    <n v="0"/>
    <s v="VIA PORRAS"/>
    <x v="2"/>
  </r>
  <r>
    <n v="5"/>
    <d v="2019-04-25T00:00:00"/>
    <x v="10"/>
    <x v="10"/>
    <x v="1"/>
    <s v="CAJA"/>
    <s v="ALIMENTACION DE EMPLEADOS CTA NUEVA"/>
    <s v="TRANSACCIONES DEL DIA 04/25/2019SPYRAL - GESTION ADMINISTRATIVA"/>
    <n v="8"/>
    <n v="0"/>
    <s v="VIA PORRAS"/>
    <x v="2"/>
  </r>
  <r>
    <n v="5"/>
    <d v="2019-05-03T00:00:00"/>
    <x v="11"/>
    <x v="11"/>
    <x v="1"/>
    <s v="CAJA"/>
    <s v="ALIMENTACION DE EMPLEADOS CTA NUEVA"/>
    <s v="TRANSACCIONES DEL DIA 05/03/2019SPYRAL - GESTION ADMINISTRATIVA"/>
    <n v="8"/>
    <n v="0"/>
    <s v="VIA PORRAS"/>
    <x v="2"/>
  </r>
  <r>
    <n v="5"/>
    <d v="2019-05-06T00:00:00"/>
    <x v="11"/>
    <x v="11"/>
    <x v="1"/>
    <s v="CAJA"/>
    <s v="ALIMENTACION DE EMPLEADOS CTA NUEVA"/>
    <s v="TRANSACCIONES DEL DIA 05/06/2019SPYRAL - GESTION ADMINISTRATIVA"/>
    <n v="24"/>
    <n v="0"/>
    <s v="VIA PORRAS"/>
    <x v="2"/>
  </r>
  <r>
    <n v="5"/>
    <d v="2019-06-06T00:00:00"/>
    <x v="2"/>
    <x v="2"/>
    <x v="1"/>
    <s v="CAJA"/>
    <s v="CORRIGE  RECHAZO 05-JUNIO-2019"/>
    <s v="CORRECCION DE RECHAZOS EN LA INTERFAZ CONTABLE"/>
    <n v="8"/>
    <n v="0"/>
    <s v="VIA PORRAS"/>
    <x v="2"/>
  </r>
  <r>
    <n v="5"/>
    <d v="2019-06-06T00:00:00"/>
    <x v="2"/>
    <x v="2"/>
    <x v="1"/>
    <s v="CAJA"/>
    <s v="ALIMENTACION DE EMPLEADOS CTA NUEVA"/>
    <s v="TRANSACCIONES DEL DIA 06/06/2019SPYRAL - GESTION ADMINISTRATIVA"/>
    <n v="8"/>
    <n v="0"/>
    <s v="VIA PORRAS"/>
    <x v="2"/>
  </r>
  <r>
    <n v="5"/>
    <d v="2019-06-08T00:00:00"/>
    <x v="2"/>
    <x v="2"/>
    <x v="1"/>
    <s v="CAJA"/>
    <s v="NC ALIMENTACION DE EMPLEADOS NVA"/>
    <s v="TRANSACCIONES DEL DIA 06/08/2019SPYRAL - GESTION ADMINISTRATIVA"/>
    <n v="8"/>
    <n v="0"/>
    <s v="VIA PORRAS"/>
    <x v="2"/>
  </r>
  <r>
    <n v="5"/>
    <d v="2019-06-08T00:00:00"/>
    <x v="2"/>
    <x v="2"/>
    <x v="1"/>
    <s v="CAJA"/>
    <s v="ALIMENTACION DE EMPLEADOS CTA NUEVA"/>
    <s v="TRANSACCIONES DEL DIA 06/08/2019SPYRAL - GESTION ADMINISTRATIVA"/>
    <n v="8"/>
    <n v="0"/>
    <s v="VIA PORRAS"/>
    <x v="2"/>
  </r>
  <r>
    <n v="5"/>
    <d v="2019-06-10T00:00:00"/>
    <x v="2"/>
    <x v="2"/>
    <x v="1"/>
    <s v="CAJA"/>
    <s v="CORRECCION DE RECHAZO REG. 08/06/2019"/>
    <s v="REGISTRO DE ENTRADA DE ADMINISTRACION"/>
    <n v="0"/>
    <n v="8"/>
    <s v="VIA PORRAS"/>
    <x v="2"/>
  </r>
  <r>
    <n v="5"/>
    <d v="2019-06-12T00:00:00"/>
    <x v="2"/>
    <x v="2"/>
    <x v="1"/>
    <s v="CAJA"/>
    <s v="ALIMENTACION DE EMPLEADOS CTA NUEVA"/>
    <s v="TRANSACCIONES DEL DIA 06/12/2019SPYRAL - GESTION ADMINISTRATIVA"/>
    <n v="8"/>
    <n v="0"/>
    <s v="VIA PORRAS"/>
    <x v="2"/>
  </r>
  <r>
    <n v="5"/>
    <d v="2019-06-18T00:00:00"/>
    <x v="2"/>
    <x v="2"/>
    <x v="1"/>
    <s v="CAJA"/>
    <s v="ALIMENTACION DE EMPLEADOS CTA NUEVA"/>
    <s v="TRANSACCIONES DEL DIA 06/18/2019SPYRAL - GESTION ADMINISTRATIVA"/>
    <n v="8"/>
    <n v="0"/>
    <s v="VIA PORRAS"/>
    <x v="2"/>
  </r>
  <r>
    <n v="5"/>
    <d v="2019-06-26T00:00:00"/>
    <x v="2"/>
    <x v="2"/>
    <x v="1"/>
    <s v="CAJA"/>
    <s v="ALIMENTACION DE EMPLEADOS CTA NUEVA"/>
    <s v="TRANSACCIONES DEL DIA 06/26/2019SPYRAL - GESTION ADMINISTRATIVA"/>
    <n v="8"/>
    <n v="0"/>
    <s v="VIA PORRAS"/>
    <x v="2"/>
  </r>
  <r>
    <n v="5"/>
    <d v="2019-07-05T00:00:00"/>
    <x v="6"/>
    <x v="6"/>
    <x v="1"/>
    <s v="CAJA"/>
    <s v="ALIMENTACION DE EMPLEADOS CTA NUEVA"/>
    <s v="TRANSACCIONES DEL DIA 07/05/2019SPYRAL - GESTION ADMINISTRATIVA"/>
    <n v="24"/>
    <n v="0"/>
    <s v="VIA PORRAS"/>
    <x v="2"/>
  </r>
  <r>
    <n v="5"/>
    <d v="2019-07-10T00:00:00"/>
    <x v="6"/>
    <x v="6"/>
    <x v="1"/>
    <s v="CAJA"/>
    <s v="ALIMENTACION DE EMPLEADOS CTA NUEVA"/>
    <s v="TRANSACCIONES DEL DIA 07/10/2019SPYRAL - GESTION ADMINISTRATIVA"/>
    <n v="8"/>
    <n v="0"/>
    <s v="VIA PORRAS"/>
    <x v="2"/>
  </r>
  <r>
    <n v="5"/>
    <d v="2019-07-13T00:00:00"/>
    <x v="6"/>
    <x v="6"/>
    <x v="1"/>
    <s v="CAJA"/>
    <s v="ALIMENTACION DE EMPLEADOS CTA NUEVA"/>
    <s v="TRANSACCIONES DEL DIA 07/13/2019SPYRAL - GESTION ADMINISTRATIVA"/>
    <n v="8"/>
    <n v="0"/>
    <s v="VIA PORRAS"/>
    <x v="2"/>
  </r>
  <r>
    <n v="5"/>
    <d v="2019-07-18T00:00:00"/>
    <x v="6"/>
    <x v="6"/>
    <x v="1"/>
    <s v="CAJA"/>
    <s v="ALIMENTACION DE EMPLEADOS CTA NUEVA"/>
    <s v="TRANSACCIONES DEL DIA 07/18/2019SPYRAL - GESTION ADMINISTRATIVA"/>
    <n v="16"/>
    <n v="0"/>
    <s v="VIA PORRAS"/>
    <x v="2"/>
  </r>
  <r>
    <n v="5"/>
    <d v="2019-07-25T00:00:00"/>
    <x v="6"/>
    <x v="6"/>
    <x v="1"/>
    <s v="CAJA"/>
    <s v="ALIMENTACION DE EMPLEADOS CTA NUEVA"/>
    <s v="TRANSACCIONES DEL DIA 07/25/2019SPYRAL - GESTION ADMINISTRATIVA"/>
    <n v="8"/>
    <n v="0"/>
    <s v="VIA PORRAS"/>
    <x v="2"/>
  </r>
  <r>
    <n v="5"/>
    <d v="2019-07-26T00:00:00"/>
    <x v="6"/>
    <x v="6"/>
    <x v="1"/>
    <s v="CAJA"/>
    <s v="ALIMENTACION DE EMPLEADOS CTA NUEVA"/>
    <s v="TRANSACCIONES DEL DIA 07/26/2019SPYRAL - GESTION ADMINISTRATIVA"/>
    <n v="16"/>
    <n v="0"/>
    <s v="VIA PORRAS"/>
    <x v="2"/>
  </r>
  <r>
    <n v="5"/>
    <d v="2019-07-27T00:00:00"/>
    <x v="6"/>
    <x v="6"/>
    <x v="1"/>
    <s v="CAJA"/>
    <s v="ALIMENTACION DE EMPLEADOS CTA NUEVA"/>
    <s v="TRANSACCIONES DEL DIA 07/27/2019SPYRAL - GESTION ADMINISTRATIVA"/>
    <n v="24"/>
    <n v="0"/>
    <s v="VIA PORRAS"/>
    <x v="2"/>
  </r>
  <r>
    <n v="5"/>
    <d v="2019-07-30T00:00:00"/>
    <x v="6"/>
    <x v="6"/>
    <x v="1"/>
    <s v="CAJA"/>
    <s v="ALIMENTACION DE EMPLEADOS CTA NUEVA"/>
    <s v="TRANSACCIONES DEL DIA 07/30/2019SPYRAL - GESTION ADMINISTRATIVA"/>
    <n v="8"/>
    <n v="0"/>
    <s v="VIA PORRAS"/>
    <x v="2"/>
  </r>
  <r>
    <n v="5"/>
    <d v="2019-04-09T00:00:00"/>
    <x v="10"/>
    <x v="10"/>
    <x v="1"/>
    <s v="SERVICIOS PERSONALES"/>
    <s v="ALIMENTACION DE EMPLEADOS CTA NUEVA"/>
    <s v="TRANSACCIONES DEL DIA 04/09/2019SPYRAL - GESTION ADMINISTRATIVA"/>
    <n v="8"/>
    <n v="0"/>
    <s v="VIA PORRAS"/>
    <x v="2"/>
  </r>
  <r>
    <n v="5"/>
    <d v="2019-05-07T00:00:00"/>
    <x v="11"/>
    <x v="11"/>
    <x v="1"/>
    <s v="SERVICIOS PERSONALES"/>
    <s v="ALIMENTACION DE EMPLEADOS CTA NUEVA"/>
    <s v="TRANSACCIONES DEL DIA 05/07/2019SPYRAL - GESTION ADMINISTRATIVA"/>
    <n v="8"/>
    <n v="0"/>
    <s v="VIA PORRAS"/>
    <x v="2"/>
  </r>
  <r>
    <n v="5"/>
    <d v="2019-05-10T00:00:00"/>
    <x v="11"/>
    <x v="11"/>
    <x v="1"/>
    <s v="SERVICIOS PERSONALES"/>
    <s v="ALIMENTACION DE EMPLEADOS CTA NUEVA"/>
    <s v="TRANSACCIONES DEL DIA 05/10/2019SPYRAL - GESTION ADMINISTRATIVA"/>
    <n v="8"/>
    <n v="0"/>
    <s v="VIA PORRAS"/>
    <x v="2"/>
  </r>
  <r>
    <n v="5"/>
    <d v="2019-07-04T00:00:00"/>
    <x v="6"/>
    <x v="6"/>
    <x v="1"/>
    <s v="SERVICIOS PERSONALES"/>
    <s v="ALIMENTACION DE EMPLEADOS CTA NUEVA"/>
    <s v="TRANSACCIONES DEL DIA 07/04/2019SPYRAL - GESTION ADMINISTRATIVA"/>
    <n v="8"/>
    <n v="0"/>
    <s v="VIA PORRAS"/>
    <x v="2"/>
  </r>
  <r>
    <n v="7"/>
    <d v="2019-02-15T00:00:00"/>
    <x v="8"/>
    <x v="8"/>
    <x v="1"/>
    <s v="ADMINISTRACION DE SUCURSALES"/>
    <s v="NC ALIMENTACION DE EMPLEADOS NVA"/>
    <s v="TRANSACCIONES DEL DIA 02/15/2019SPYRAL - GESTION ADMINISTRATIVA"/>
    <n v="25.25"/>
    <n v="0"/>
    <s v="CHANIS"/>
    <x v="2"/>
  </r>
  <r>
    <n v="7"/>
    <d v="2019-04-18T00:00:00"/>
    <x v="10"/>
    <x v="10"/>
    <x v="1"/>
    <s v="ADMINISTRACION DE SUCURSALES"/>
    <s v="NC ALIMENTACION DE EMPLEADOS NVA"/>
    <s v="TRANSACCIONES DEL DIA 04/18/2019SPYRAL - GESTION ADMINISTRATIVA"/>
    <n v="9.99"/>
    <n v="0"/>
    <s v="CHANIS"/>
    <x v="2"/>
  </r>
  <r>
    <n v="7"/>
    <d v="2019-05-27T00:00:00"/>
    <x v="11"/>
    <x v="11"/>
    <x v="1"/>
    <s v="ADMINISTRACION DE SUCURSALES"/>
    <s v="NC ALIMENTACION DE EMPLEADOS NVA"/>
    <s v="TRANSACCIONES DEL DIA 05/27/2019SPYRAL - GESTION ADMINISTRATIVA"/>
    <n v="10.199999999999999"/>
    <n v="0"/>
    <s v="CHANIS"/>
    <x v="2"/>
  </r>
  <r>
    <n v="7"/>
    <d v="2019-07-23T00:00:00"/>
    <x v="6"/>
    <x v="6"/>
    <x v="1"/>
    <s v="ADMINISTRACION DE SUCURSALES"/>
    <s v="NC ALIMENTACION DE EMPLEADOS NVA"/>
    <s v="TRANSACCIONES DEL DIA 07/23/2019SPYRAL - GESTION ADMINISTRATIVA"/>
    <n v="7.47"/>
    <n v="0"/>
    <s v="CHANIS"/>
    <x v="2"/>
  </r>
  <r>
    <n v="8"/>
    <d v="2019-01-03T00:00:00"/>
    <x v="7"/>
    <x v="7"/>
    <x v="1"/>
    <s v="ADMINISTRACION DE SUCURSALES"/>
    <s v="NC ALIMENTACION DE EMPLEADOS NVA"/>
    <s v="TRANSACCIONES DEL DIA 01/03/2019SPYRAL - GESTION ADMINISTRATIVA"/>
    <n v="45.02"/>
    <n v="0"/>
    <s v="PLAZA TOCUMEN"/>
    <x v="2"/>
  </r>
  <r>
    <n v="8"/>
    <d v="2019-03-11T00:00:00"/>
    <x v="9"/>
    <x v="9"/>
    <x v="1"/>
    <s v="ADMINISTRACION DE SUCURSALES"/>
    <s v="NC ALIMENTACION DE EMPLEADOS NVA"/>
    <s v="TRANSACCIONES DEL DIA 03/11/2019SPYRAL - GESTION ADMINISTRATIVA"/>
    <n v="0"/>
    <n v="136"/>
    <s v="PLAZA TOCUMEN"/>
    <x v="2"/>
  </r>
  <r>
    <n v="8"/>
    <d v="2019-03-12T00:00:00"/>
    <x v="9"/>
    <x v="9"/>
    <x v="1"/>
    <s v="ADMINISTRACION DE SUCURSALES"/>
    <s v="NC ALIMENTACION DE EMPLEADOS NVA"/>
    <s v="TRANSACCIONES DEL DIA 03/12/2019SPYRAL - GESTION ADMINISTRATIVA"/>
    <n v="272"/>
    <n v="0"/>
    <s v="PLAZA TOCUMEN"/>
    <x v="2"/>
  </r>
  <r>
    <n v="8"/>
    <d v="2019-04-22T00:00:00"/>
    <x v="10"/>
    <x v="10"/>
    <x v="1"/>
    <s v="ADMINISTRACION DE SUCURSALES"/>
    <s v="ALIMENTACION DE EMPLEADOS CTA NUEVA"/>
    <s v="TRANSACCIONES DEL DIA 04/22/2019SPYRAL - GESTION ADMINISTRATIVA"/>
    <n v="56.66"/>
    <n v="0"/>
    <s v="PLAZA TOCUMEN"/>
    <x v="2"/>
  </r>
  <r>
    <n v="8"/>
    <d v="2019-05-16T00:00:00"/>
    <x v="11"/>
    <x v="11"/>
    <x v="1"/>
    <s v="ADMINISTRACION DE SUCURSALES"/>
    <s v="NC ALIMENTACION DE EMPLEADOS NVA"/>
    <s v="TRANSACCIONES DEL DIA 05/16/2019SPYRAL - GESTION ADMINISTRATIVA"/>
    <n v="112"/>
    <n v="0"/>
    <s v="PLAZA TOCUMEN"/>
    <x v="2"/>
  </r>
  <r>
    <n v="8"/>
    <d v="2019-05-27T00:00:00"/>
    <x v="11"/>
    <x v="11"/>
    <x v="1"/>
    <s v="ADMINISTRACION DE SUCURSALES"/>
    <s v="NC ALIMENTACION DE EMPLEADOS NVA"/>
    <s v="TRANSACCIONES DEL DIA 05/27/2019SPYRAL - GESTION ADMINISTRATIVA"/>
    <n v="35.979999999999997"/>
    <n v="0"/>
    <s v="PLAZA TOCUMEN"/>
    <x v="2"/>
  </r>
  <r>
    <n v="8"/>
    <d v="2019-07-03T00:00:00"/>
    <x v="6"/>
    <x v="6"/>
    <x v="1"/>
    <s v="ADMINISTRACION DE SUCURSALES"/>
    <s v="NC ALIMENTACION DE EMPLEADOS NVA"/>
    <s v="TRANSACCIONES DEL DIA 07/03/2019SPYRAL - GESTION ADMINISTRATIVA"/>
    <n v="88"/>
    <n v="0"/>
    <s v="PLAZA TOCUMEN"/>
    <x v="2"/>
  </r>
  <r>
    <n v="8"/>
    <d v="2019-07-29T00:00:00"/>
    <x v="6"/>
    <x v="6"/>
    <x v="1"/>
    <s v="ADMINISTRACION DE SUCURSALES"/>
    <s v="NC ALIMENTACION DE EMPLEADOS NVA"/>
    <s v="TRANSACCIONES DEL DIA 07/29/2019SPYRAL - GESTION ADMINISTRATIVA"/>
    <n v="128"/>
    <n v="0"/>
    <s v="PLAZA TOCUMEN"/>
    <x v="2"/>
  </r>
  <r>
    <n v="9"/>
    <d v="2019-05-15T00:00:00"/>
    <x v="11"/>
    <x v="11"/>
    <x v="1"/>
    <s v="ADMINISTRACION DE SUCURSALES"/>
    <s v="ALIMENTACION DE EMPLEADOS CTA NUEVA"/>
    <s v="TRANSACCIONES DEL DIA 05/15/2019SPYRAL - GESTION ADMINISTRATIVA"/>
    <n v="130"/>
    <n v="0"/>
    <s v="SANTIAGO"/>
    <x v="2"/>
  </r>
  <r>
    <n v="10"/>
    <d v="2019-01-11T00:00:00"/>
    <x v="7"/>
    <x v="7"/>
    <x v="1"/>
    <s v="ADMINISTRACION DE SUCURSALES"/>
    <s v="ALIMENTACION DE EMPLEADOS CTA NUEVA"/>
    <s v="TRANSACCIONES DEL DIA 01/11/2019SPYRAL - GESTION ADMINISTRATIVA"/>
    <n v="8"/>
    <n v="0"/>
    <s v="OBARRIO"/>
    <x v="2"/>
  </r>
  <r>
    <n v="10"/>
    <d v="2019-03-22T00:00:00"/>
    <x v="9"/>
    <x v="9"/>
    <x v="1"/>
    <s v="ADMINISTRACION DE SUCURSALES"/>
    <s v="NC ALIMENTACION DE EMPLEADOS NVA"/>
    <s v="TRANSACCIONES DEL DIA 03/22/2019SPYRAL - GESTION ADMINISTRATIVA"/>
    <n v="14.3"/>
    <n v="0"/>
    <s v="OBARRIO"/>
    <x v="2"/>
  </r>
  <r>
    <n v="10"/>
    <d v="2019-01-08T00:00:00"/>
    <x v="7"/>
    <x v="7"/>
    <x v="1"/>
    <s v="CAJA"/>
    <s v="ALIMENTACION DE EMPLEADOS CTA NUEVA"/>
    <s v="TRANSACCIONES DEL DIA 01/08/2019SPYRAL - GESTION ADMINISTRATIVA"/>
    <n v="16"/>
    <n v="0"/>
    <s v="OBARRIO"/>
    <x v="2"/>
  </r>
  <r>
    <n v="10"/>
    <d v="2019-01-15T00:00:00"/>
    <x v="7"/>
    <x v="7"/>
    <x v="1"/>
    <s v="CAJA"/>
    <s v="ALIMENTACION DE EMPLEADOS CTA NUEVA"/>
    <s v="TRANSACCIONES DEL DIA 01/15/2019SPYRAL - GESTION ADMINISTRATIVA"/>
    <n v="8"/>
    <n v="0"/>
    <s v="OBARRIO"/>
    <x v="2"/>
  </r>
  <r>
    <n v="10"/>
    <d v="2019-03-06T00:00:00"/>
    <x v="9"/>
    <x v="9"/>
    <x v="1"/>
    <s v="CAJA"/>
    <s v="ALIMENTACION DE EMPLEADOS CTA NUEVA"/>
    <s v="TRANSACCIONES DEL DIA 03/06/2019SPYRAL - GESTION ADMINISTRATIVA"/>
    <n v="16"/>
    <n v="0"/>
    <s v="OBARRIO"/>
    <x v="2"/>
  </r>
  <r>
    <n v="10"/>
    <d v="2019-03-11T00:00:00"/>
    <x v="9"/>
    <x v="9"/>
    <x v="1"/>
    <s v="CAJA"/>
    <s v="ALIMENTACION DE EMPLEADOS CTA NUEVA"/>
    <s v="TRANSACCIONES DEL DIA 03/11/2019SPYRAL - GESTION ADMINISTRATIVA"/>
    <n v="8"/>
    <n v="0"/>
    <s v="OBARRIO"/>
    <x v="2"/>
  </r>
  <r>
    <n v="10"/>
    <d v="2019-03-21T00:00:00"/>
    <x v="9"/>
    <x v="9"/>
    <x v="1"/>
    <s v="CAJA"/>
    <s v="ALIMENTACION DE EMPLEADOS CTA NUEVA"/>
    <s v="TRANSACCIONES DEL DIA 03/21/2019SPYRAL - GESTION ADMINISTRATIVA"/>
    <n v="8"/>
    <n v="0"/>
    <s v="OBARRIO"/>
    <x v="2"/>
  </r>
  <r>
    <n v="10"/>
    <d v="2019-04-24T00:00:00"/>
    <x v="10"/>
    <x v="10"/>
    <x v="1"/>
    <s v="CAJA"/>
    <s v="ALIMENTACION DE EMPLEADOS CTA NUEVA"/>
    <s v="TRANSACCIONES DEL DIA 04/24/2019SPYRAL - GESTION ADMINISTRATIVA"/>
    <n v="32"/>
    <n v="0"/>
    <s v="OBARRIO"/>
    <x v="2"/>
  </r>
  <r>
    <n v="10"/>
    <d v="2019-05-08T00:00:00"/>
    <x v="11"/>
    <x v="11"/>
    <x v="1"/>
    <s v="CAJA"/>
    <s v="ALIMENTACION DE EMPLEADOS CTA NUEVA"/>
    <s v="TRANSACCIONES DEL DIA 05/08/2019SPYRAL - GESTION ADMINISTRATIVA"/>
    <n v="24"/>
    <n v="0"/>
    <s v="OBARRIO"/>
    <x v="2"/>
  </r>
  <r>
    <n v="10"/>
    <d v="2019-07-11T00:00:00"/>
    <x v="6"/>
    <x v="6"/>
    <x v="1"/>
    <s v="CAJA"/>
    <s v="ALIMENTACION DE EMPLEADOS CTA NUEVA"/>
    <s v="TRANSACCIONES DEL DIA 07/11/2019SPYRAL - GESTION ADMINISTRATIVA"/>
    <n v="16"/>
    <n v="0"/>
    <s v="OBARRIO"/>
    <x v="2"/>
  </r>
  <r>
    <n v="10"/>
    <d v="2019-02-08T00:00:00"/>
    <x v="8"/>
    <x v="8"/>
    <x v="1"/>
    <s v="SERVICIOS PERSONALES"/>
    <s v="ALIMENTACION DE EMPLEADOS CTA NUEVA"/>
    <s v="TRANSACCIONES DEL DIA 02/08/2019SPYRAL - GESTION ADMINISTRATIVA"/>
    <n v="8"/>
    <n v="0"/>
    <s v="OBARRIO"/>
    <x v="2"/>
  </r>
  <r>
    <n v="10"/>
    <d v="2019-06-27T00:00:00"/>
    <x v="2"/>
    <x v="2"/>
    <x v="1"/>
    <s v="SERVICIOS PERSONALES"/>
    <s v="ALIMENTACION DE EMPLEADOS CTA NUEVA"/>
    <s v="TRANSACCIONES DEL DIA 06/27/2019SPYRAL - GESTION ADMINISTRATIVA"/>
    <n v="16"/>
    <n v="0"/>
    <s v="OBARRIO"/>
    <x v="2"/>
  </r>
  <r>
    <n v="13"/>
    <d v="2019-03-12T00:00:00"/>
    <x v="9"/>
    <x v="9"/>
    <x v="1"/>
    <s v="ADMINISTRACION DE SUCURSALES"/>
    <s v="ALIMENTACION DE EMPLEADOS CTA NUEVA"/>
    <s v="TRANSACCIONES DEL DIA 03/12/2019SPYRAL - GESTION ADMINISTRATIVA"/>
    <n v="8"/>
    <n v="0"/>
    <s v="HATO PINTADO"/>
    <x v="2"/>
  </r>
  <r>
    <n v="13"/>
    <d v="2019-03-29T00:00:00"/>
    <x v="9"/>
    <x v="9"/>
    <x v="1"/>
    <s v="ADMINISTRACION DE SUCURSALES"/>
    <s v="ALIMENTACION DE EMPLEADOS CTA NUEVA"/>
    <s v="TRANSACCIONES DEL DIA 03/29/2019SPYRAL - GESTION ADMINISTRATIVA"/>
    <n v="8"/>
    <n v="0"/>
    <s v="HATO PINTADO"/>
    <x v="2"/>
  </r>
  <r>
    <n v="13"/>
    <d v="2019-04-06T00:00:00"/>
    <x v="10"/>
    <x v="10"/>
    <x v="1"/>
    <s v="ADMINISTRACION DE SUCURSALES"/>
    <s v="ALIMENTACION DE EMPLEADOS CTA NUEVA"/>
    <s v="TRANSACCIONES DEL DIA 04/06/2019SPYRAL - GESTION ADMINISTRATIVA"/>
    <n v="16"/>
    <n v="0"/>
    <s v="HATO PINTADO"/>
    <x v="2"/>
  </r>
  <r>
    <n v="13"/>
    <d v="2019-07-30T00:00:00"/>
    <x v="6"/>
    <x v="6"/>
    <x v="1"/>
    <s v="ADMINISTRACION DE SUCURSALES"/>
    <s v="ALIMENTACION DE EMPLEADOS CTA NUEVA"/>
    <s v="TRANSACCIONES DEL DIA 07/30/2019SPYRAL - GESTION ADMINISTRATIVA"/>
    <n v="8"/>
    <n v="0"/>
    <s v="HATO PINTADO"/>
    <x v="2"/>
  </r>
  <r>
    <n v="13"/>
    <d v="2019-01-07T00:00:00"/>
    <x v="7"/>
    <x v="7"/>
    <x v="1"/>
    <s v="CAJA"/>
    <s v="ALIMENTACION DE EMPLEADOS CTA NUEVA"/>
    <s v="TRANSACCIONES DEL DIA 01/07/2019SPYRAL - GESTION ADMINISTRATIVA"/>
    <n v="16"/>
    <n v="0"/>
    <s v="HATO PINTADO"/>
    <x v="2"/>
  </r>
  <r>
    <n v="13"/>
    <d v="2019-01-11T00:00:00"/>
    <x v="7"/>
    <x v="7"/>
    <x v="1"/>
    <s v="CAJA"/>
    <s v="ALIMENTACION DE EMPLEADOS CTA NUEVA"/>
    <s v="TRANSACCIONES DEL DIA 01/11/2019SPYRAL - GESTION ADMINISTRATIVA"/>
    <n v="16"/>
    <n v="0"/>
    <s v="HATO PINTADO"/>
    <x v="2"/>
  </r>
  <r>
    <n v="13"/>
    <d v="2019-01-16T00:00:00"/>
    <x v="7"/>
    <x v="7"/>
    <x v="1"/>
    <s v="CAJA"/>
    <s v="ALIMENTACION DE EMPLEADOS CTA NUEVA"/>
    <s v="TRANSACCIONES DEL DIA 01/16/2019SPYRAL - GESTION ADMINISTRATIVA"/>
    <n v="56"/>
    <n v="0"/>
    <s v="HATO PINTADO"/>
    <x v="2"/>
  </r>
  <r>
    <n v="13"/>
    <d v="2019-01-21T00:00:00"/>
    <x v="7"/>
    <x v="7"/>
    <x v="1"/>
    <s v="CAJA"/>
    <s v="ALIMENTACION DE EMPLEADOS CTA NUEVA"/>
    <s v="TRANSACCIONES DEL DIA 01/21/2019SPYRAL - GESTION ADMINISTRATIVA"/>
    <n v="88"/>
    <n v="0"/>
    <s v="HATO PINTADO"/>
    <x v="2"/>
  </r>
  <r>
    <n v="13"/>
    <d v="2019-01-23T00:00:00"/>
    <x v="7"/>
    <x v="7"/>
    <x v="1"/>
    <s v="CAJA"/>
    <s v="ALIMENTACION DE EMPLEADOS CTA NUEVA"/>
    <s v="TRANSACCIONES DEL DIA 01/23/2019SPYRAL - GESTION ADMINISTRATIVA"/>
    <n v="48"/>
    <n v="0"/>
    <s v="HATO PINTADO"/>
    <x v="2"/>
  </r>
  <r>
    <n v="13"/>
    <d v="2019-01-31T00:00:00"/>
    <x v="7"/>
    <x v="7"/>
    <x v="1"/>
    <s v="CAJA"/>
    <s v="ALIMENTACION DE EMPLEADOS CTA NUEVA"/>
    <s v="TRANSACCIONES DEL DIA 01/31/2019SPYRAL - GESTION ADMINISTRATIVA"/>
    <n v="16"/>
    <n v="0"/>
    <s v="HATO PINTADO"/>
    <x v="2"/>
  </r>
  <r>
    <n v="13"/>
    <d v="2019-02-04T00:00:00"/>
    <x v="8"/>
    <x v="8"/>
    <x v="1"/>
    <s v="CAJA"/>
    <s v="ALIMENTACION DE EMPLEADOS CTA NUEVA"/>
    <s v="TRANSACCIONES DEL DIA 02/04/2019SPYRAL - GESTION ADMINISTRATIVA"/>
    <n v="80"/>
    <n v="0"/>
    <s v="HATO PINTADO"/>
    <x v="2"/>
  </r>
  <r>
    <n v="13"/>
    <d v="2019-02-08T00:00:00"/>
    <x v="8"/>
    <x v="8"/>
    <x v="1"/>
    <s v="CAJA"/>
    <s v="ALIMENTACION DE EMPLEADOS CTA NUEVA"/>
    <s v="TRANSACCIONES DEL DIA 02/08/2019SPYRAL - GESTION ADMINISTRATIVA"/>
    <n v="72"/>
    <n v="0"/>
    <s v="HATO PINTADO"/>
    <x v="2"/>
  </r>
  <r>
    <n v="13"/>
    <d v="2019-02-13T00:00:00"/>
    <x v="8"/>
    <x v="8"/>
    <x v="1"/>
    <s v="CAJA"/>
    <s v="ALIMENTACION DE EMPLEADOS CTA NUEVA"/>
    <s v="TRANSACCIONES DEL DIA 02/13/2019SPYRAL - GESTION ADMINISTRATIVA"/>
    <n v="40"/>
    <n v="0"/>
    <s v="HATO PINTADO"/>
    <x v="2"/>
  </r>
  <r>
    <n v="13"/>
    <d v="2019-02-15T00:00:00"/>
    <x v="8"/>
    <x v="8"/>
    <x v="1"/>
    <s v="CAJA"/>
    <s v="ALIMENTACION DE EMPLEADOS CTA NUEVA"/>
    <s v="TRANSACCIONES DEL DIA 02/15/2019SPYRAL - GESTION ADMINISTRATIVA"/>
    <n v="16"/>
    <n v="0"/>
    <s v="HATO PINTADO"/>
    <x v="2"/>
  </r>
  <r>
    <n v="13"/>
    <d v="2019-02-18T00:00:00"/>
    <x v="8"/>
    <x v="8"/>
    <x v="1"/>
    <s v="CAJA"/>
    <s v="ALIMENTACION DE EMPLEADOS CTA NUEVA"/>
    <s v="TRANSACCIONES DEL DIA 02/18/2019SPYRAL - GESTION ADMINISTRATIVA"/>
    <n v="40"/>
    <n v="0"/>
    <s v="HATO PINTADO"/>
    <x v="2"/>
  </r>
  <r>
    <n v="13"/>
    <d v="2019-02-20T00:00:00"/>
    <x v="8"/>
    <x v="8"/>
    <x v="1"/>
    <s v="CAJA"/>
    <s v="ALIMENTACION DE EMPLEADOS CTA NUEVA"/>
    <s v="TRANSACCIONES DEL DIA 02/20/2019SPYRAL - GESTION ADMINISTRATIVA"/>
    <n v="40"/>
    <n v="0"/>
    <s v="HATO PINTADO"/>
    <x v="2"/>
  </r>
  <r>
    <n v="13"/>
    <d v="2019-02-25T00:00:00"/>
    <x v="8"/>
    <x v="8"/>
    <x v="1"/>
    <s v="CAJA"/>
    <s v="ALIMENTACION DE EMPLEADOS CTA NUEVA"/>
    <s v="TRANSACCIONES DEL DIA 02/25/2019SPYRAL - GESTION ADMINISTRATIVA"/>
    <n v="16"/>
    <n v="0"/>
    <s v="HATO PINTADO"/>
    <x v="2"/>
  </r>
  <r>
    <n v="13"/>
    <d v="2019-03-06T00:00:00"/>
    <x v="9"/>
    <x v="9"/>
    <x v="1"/>
    <s v="CAJA"/>
    <s v="ALIMENTACION DE EMPLEADOS CTA NUEVA"/>
    <s v="TRANSACCIONES DEL DIA 03/06/2019SPYRAL - GESTION ADMINISTRATIVA"/>
    <n v="40"/>
    <n v="0"/>
    <s v="HATO PINTADO"/>
    <x v="2"/>
  </r>
  <r>
    <n v="13"/>
    <d v="2019-03-07T00:00:00"/>
    <x v="9"/>
    <x v="9"/>
    <x v="1"/>
    <s v="CAJA"/>
    <s v="ALIMENTACION DE EMPLEADOS CTA NUEVA"/>
    <s v="TRANSACCIONES DEL DIA 03/07/2019SPYRAL - GESTION ADMINISTRATIVA"/>
    <n v="80"/>
    <n v="0"/>
    <s v="HATO PINTADO"/>
    <x v="2"/>
  </r>
  <r>
    <n v="13"/>
    <d v="2019-03-12T00:00:00"/>
    <x v="9"/>
    <x v="9"/>
    <x v="1"/>
    <s v="CAJA"/>
    <s v="ALIMENTACION DE EMPLEADOS CTA NUEVA"/>
    <s v="TRANSACCIONES DEL DIA 03/12/2019SPYRAL - GESTION ADMINISTRATIVA"/>
    <n v="56"/>
    <n v="0"/>
    <s v="HATO PINTADO"/>
    <x v="2"/>
  </r>
  <r>
    <n v="13"/>
    <d v="2019-03-19T00:00:00"/>
    <x v="9"/>
    <x v="9"/>
    <x v="1"/>
    <s v="CAJA"/>
    <s v="ALIMENTACION DE EMPLEADOS CTA NUEVA"/>
    <s v="TRANSACCIONES DEL DIA 03/19/2019SPYRAL - GESTION ADMINISTRATIVA"/>
    <n v="96"/>
    <n v="0"/>
    <s v="HATO PINTADO"/>
    <x v="2"/>
  </r>
  <r>
    <n v="13"/>
    <d v="2019-03-23T00:00:00"/>
    <x v="9"/>
    <x v="9"/>
    <x v="1"/>
    <s v="CAJA"/>
    <s v="ALIMENTACION DE EMPLEADOS CTA NUEVA"/>
    <s v="TRANSACCIONES DEL DIA 03/23/2019SPYRAL - GESTION ADMINISTRATIVA"/>
    <n v="24"/>
    <n v="0"/>
    <s v="HATO PINTADO"/>
    <x v="2"/>
  </r>
  <r>
    <n v="13"/>
    <d v="2019-03-25T00:00:00"/>
    <x v="9"/>
    <x v="9"/>
    <x v="1"/>
    <s v="CAJA"/>
    <s v="ALIMENTACION DE EMPLEADOS CTA NUEVA"/>
    <s v="TRANSACCIONES DEL DIA 03/25/2019SPYRAL - GESTION ADMINISTRATIVA"/>
    <n v="40"/>
    <n v="0"/>
    <s v="HATO PINTADO"/>
    <x v="2"/>
  </r>
  <r>
    <n v="13"/>
    <d v="2019-03-27T00:00:00"/>
    <x v="9"/>
    <x v="9"/>
    <x v="1"/>
    <s v="CAJA"/>
    <s v="ALIMENTACION DE EMPLEADOS CTA NUEVA"/>
    <s v="TRANSACCIONES DEL DIA 03/27/2019SPYRAL - GESTION ADMINISTRATIVA"/>
    <n v="16"/>
    <n v="0"/>
    <s v="HATO PINTADO"/>
    <x v="2"/>
  </r>
  <r>
    <n v="13"/>
    <d v="2019-03-28T00:00:00"/>
    <x v="9"/>
    <x v="9"/>
    <x v="1"/>
    <s v="CAJA"/>
    <s v="ALIMENTACION DE EMPLEADOS CTA NUEVA"/>
    <s v="TRANSACCIONES DEL DIA 03/28/2019SPYRAL - GESTION ADMINISTRATIVA"/>
    <n v="16"/>
    <n v="0"/>
    <s v="HATO PINTADO"/>
    <x v="2"/>
  </r>
  <r>
    <n v="13"/>
    <d v="2019-04-03T00:00:00"/>
    <x v="10"/>
    <x v="10"/>
    <x v="1"/>
    <s v="CAJA"/>
    <s v="ALIMENTACION DE EMPLEADOS CTA NUEVA"/>
    <s v="TRANSACCIONES DEL DIA 04/03/2019SPYRAL - GESTION ADMINISTRATIVA"/>
    <n v="40"/>
    <n v="0"/>
    <s v="HATO PINTADO"/>
    <x v="2"/>
  </r>
  <r>
    <n v="13"/>
    <d v="2019-04-04T00:00:00"/>
    <x v="10"/>
    <x v="10"/>
    <x v="1"/>
    <s v="CAJA"/>
    <s v="ALIMENTACION DE EMPLEADOS CTA NUEVA"/>
    <s v="TRANSACCIONES DEL DIA 04/04/2019SPYRAL - GESTION ADMINISTRATIVA"/>
    <n v="8"/>
    <n v="0"/>
    <s v="HATO PINTADO"/>
    <x v="2"/>
  </r>
  <r>
    <n v="13"/>
    <d v="2019-04-06T00:00:00"/>
    <x v="10"/>
    <x v="10"/>
    <x v="1"/>
    <s v="CAJA"/>
    <s v="ALIMENTACION DE EMPLEADOS CTA NUEVA"/>
    <s v="TRANSACCIONES DEL DIA 04/06/2019SPYRAL - GESTION ADMINISTRATIVA"/>
    <n v="8"/>
    <n v="0"/>
    <s v="HATO PINTADO"/>
    <x v="2"/>
  </r>
  <r>
    <n v="13"/>
    <d v="2019-04-16T00:00:00"/>
    <x v="10"/>
    <x v="10"/>
    <x v="1"/>
    <s v="CAJA"/>
    <s v="ALIMENTACION DE EMPLEADOS CTA NUEVA"/>
    <s v="TRANSACCIONES DEL DIA 04/16/2019SPYRAL - GESTION ADMINISTRATIVA"/>
    <n v="16"/>
    <n v="0"/>
    <s v="HATO PINTADO"/>
    <x v="2"/>
  </r>
  <r>
    <n v="13"/>
    <d v="2019-04-17T00:00:00"/>
    <x v="10"/>
    <x v="10"/>
    <x v="1"/>
    <s v="CAJA"/>
    <s v="ALIMENTACION DE EMPLEADOS CTA NUEVA"/>
    <s v="TRANSACCIONES DEL DIA 04/17/2019SPYRAL - GESTION ADMINISTRATIVA"/>
    <n v="48"/>
    <n v="0"/>
    <s v="HATO PINTADO"/>
    <x v="2"/>
  </r>
  <r>
    <n v="13"/>
    <d v="2019-04-22T00:00:00"/>
    <x v="10"/>
    <x v="10"/>
    <x v="1"/>
    <s v="CAJA"/>
    <s v="ALIMENTACION DE EMPLEADOS CTA NUEVA"/>
    <s v="TRANSACCIONES DEL DIA 04/22/2019SPYRAL - GESTION ADMINISTRATIVA"/>
    <n v="16"/>
    <n v="0"/>
    <s v="HATO PINTADO"/>
    <x v="2"/>
  </r>
  <r>
    <n v="13"/>
    <d v="2019-04-24T00:00:00"/>
    <x v="10"/>
    <x v="10"/>
    <x v="1"/>
    <s v="CAJA"/>
    <s v="ALIMENTACION DE EMPLEADOS CTA NUEVA"/>
    <s v="TRANSACCIONES DEL DIA 04/24/2019SPYRAL - GESTION ADMINISTRATIVA"/>
    <n v="16"/>
    <n v="0"/>
    <s v="HATO PINTADO"/>
    <x v="2"/>
  </r>
  <r>
    <n v="13"/>
    <d v="2019-04-25T00:00:00"/>
    <x v="10"/>
    <x v="10"/>
    <x v="1"/>
    <s v="CAJA"/>
    <s v="ALIMENTACION DE EMPLEADOS CTA NUEVA"/>
    <s v="TRANSACCIONES DEL DIA 04/25/2019SPYRAL - GESTION ADMINISTRATIVA"/>
    <n v="48"/>
    <n v="0"/>
    <s v="HATO PINTADO"/>
    <x v="2"/>
  </r>
  <r>
    <n v="13"/>
    <d v="2019-05-04T00:00:00"/>
    <x v="11"/>
    <x v="11"/>
    <x v="1"/>
    <s v="CAJA"/>
    <s v="ALIMENTACION DE EMPLEADOS CTA NUEVA"/>
    <s v="TRANSACCIONES DEL DIA 05/04/2019SPYRAL - GESTION ADMINISTRATIVA"/>
    <n v="40"/>
    <n v="0"/>
    <s v="HATO PINTADO"/>
    <x v="2"/>
  </r>
  <r>
    <n v="13"/>
    <d v="2019-05-06T00:00:00"/>
    <x v="11"/>
    <x v="11"/>
    <x v="1"/>
    <s v="CAJA"/>
    <s v="ALIMENTACION DE EMPLEADOS CTA NUEVA"/>
    <s v="TRANSACCIONES DEL DIA 05/06/2019SPYRAL - GESTION ADMINISTRATIVA"/>
    <n v="88"/>
    <n v="0"/>
    <s v="HATO PINTADO"/>
    <x v="2"/>
  </r>
  <r>
    <n v="13"/>
    <d v="2019-05-07T00:00:00"/>
    <x v="11"/>
    <x v="11"/>
    <x v="1"/>
    <s v="CAJA"/>
    <s v="ALIMENTACION DE EMPLEADOS CTA NUEVA"/>
    <s v="TRANSACCIONES DEL DIA 05/07/2019SPYRAL - GESTION ADMINISTRATIVA"/>
    <n v="16"/>
    <n v="0"/>
    <s v="HATO PINTADO"/>
    <x v="2"/>
  </r>
  <r>
    <n v="13"/>
    <d v="2019-05-13T00:00:00"/>
    <x v="11"/>
    <x v="11"/>
    <x v="1"/>
    <s v="CAJA"/>
    <s v="ALIMENTACION DE EMPLEADOS CTA NUEVA"/>
    <s v="TRANSACCIONES DEL DIA 05/13/2019SPYRAL - GESTION ADMINISTRATIVA"/>
    <n v="48"/>
    <n v="0"/>
    <s v="HATO PINTADO"/>
    <x v="2"/>
  </r>
  <r>
    <n v="13"/>
    <d v="2019-05-15T00:00:00"/>
    <x v="11"/>
    <x v="11"/>
    <x v="1"/>
    <s v="CAJA"/>
    <s v="ALIMENTACION DE EMPLEADOS CTA NUEVA"/>
    <s v="TRANSACCIONES DEL DIA 05/15/2019SPYRAL - GESTION ADMINISTRATIVA"/>
    <n v="40"/>
    <n v="0"/>
    <s v="HATO PINTADO"/>
    <x v="2"/>
  </r>
  <r>
    <n v="13"/>
    <d v="2019-05-16T00:00:00"/>
    <x v="11"/>
    <x v="11"/>
    <x v="1"/>
    <s v="CAJA"/>
    <s v="ALIMENTACION DE EMPLEADOS CTA NUEVA"/>
    <s v="TRANSACCIONES DEL DIA 05/16/2019SPYRAL - GESTION ADMINISTRATIVA"/>
    <n v="24"/>
    <n v="0"/>
    <s v="HATO PINTADO"/>
    <x v="2"/>
  </r>
  <r>
    <n v="13"/>
    <d v="2019-05-18T00:00:00"/>
    <x v="11"/>
    <x v="11"/>
    <x v="1"/>
    <s v="CAJA"/>
    <s v="ALIMENTACION DE EMPLEADOS CTA NUEVA"/>
    <s v="TRANSACCIONES DEL DIA 05/18/2019SPYRAL - GESTION ADMINISTRATIVA"/>
    <n v="16"/>
    <n v="0"/>
    <s v="HATO PINTADO"/>
    <x v="2"/>
  </r>
  <r>
    <n v="13"/>
    <d v="2019-05-20T00:00:00"/>
    <x v="11"/>
    <x v="11"/>
    <x v="1"/>
    <s v="CAJA"/>
    <s v="ALIMENTACION DE EMPLEADOS CTA NUEVA"/>
    <s v="TRANSACCIONES DEL DIA 05/20/2019SPYRAL - GESTION ADMINISTRATIVA"/>
    <n v="56"/>
    <n v="0"/>
    <s v="HATO PINTADO"/>
    <x v="2"/>
  </r>
  <r>
    <n v="13"/>
    <d v="2019-05-21T00:00:00"/>
    <x v="11"/>
    <x v="11"/>
    <x v="1"/>
    <s v="CAJA"/>
    <s v="ALIMENTACION DE EMPLEADOS CTA NUEVA"/>
    <s v="TRANSACCIONES DEL DIA 05/21/2019SPYRAL - GESTION ADMINISTRATIVA"/>
    <n v="56"/>
    <n v="0"/>
    <s v="HATO PINTADO"/>
    <x v="2"/>
  </r>
  <r>
    <n v="13"/>
    <d v="2019-05-22T00:00:00"/>
    <x v="11"/>
    <x v="11"/>
    <x v="1"/>
    <s v="CAJA"/>
    <s v="ALIMENTACION DE EMPLEADOS CTA NUEVA"/>
    <s v="TRANSACCIONES DEL DIA 05/22/2019SPYRAL - GESTION ADMINISTRATIVA"/>
    <n v="8"/>
    <n v="0"/>
    <s v="HATO PINTADO"/>
    <x v="2"/>
  </r>
  <r>
    <n v="13"/>
    <d v="2019-05-27T00:00:00"/>
    <x v="11"/>
    <x v="11"/>
    <x v="1"/>
    <s v="CAJA"/>
    <s v="ALIMENTACION DE EMPLEADOS CTA NUEVA"/>
    <s v="TRANSACCIONES DEL DIA 05/27/2019SPYRAL - GESTION ADMINISTRATIVA"/>
    <n v="16"/>
    <n v="0"/>
    <s v="HATO PINTADO"/>
    <x v="2"/>
  </r>
  <r>
    <n v="13"/>
    <d v="2019-05-28T00:00:00"/>
    <x v="11"/>
    <x v="11"/>
    <x v="1"/>
    <s v="CAJA"/>
    <s v="ALIMENTACION DE EMPLEADOS CTA NUEVA"/>
    <s v="TRANSACCIONES DEL DIA 05/28/2019SPYRAL - GESTION ADMINISTRATIVA"/>
    <n v="16"/>
    <n v="0"/>
    <s v="HATO PINTADO"/>
    <x v="2"/>
  </r>
  <r>
    <n v="13"/>
    <d v="2019-05-30T00:00:00"/>
    <x v="11"/>
    <x v="11"/>
    <x v="1"/>
    <s v="CAJA"/>
    <s v="ALIMENTACION DE EMPLEADOS CTA NUEVA"/>
    <s v="TRANSACCIONES DEL DIA 05/30/2019SPYRAL - GESTION ADMINISTRATIVA"/>
    <n v="16"/>
    <n v="0"/>
    <s v="HATO PINTADO"/>
    <x v="2"/>
  </r>
  <r>
    <n v="13"/>
    <d v="2019-06-01T00:00:00"/>
    <x v="2"/>
    <x v="2"/>
    <x v="1"/>
    <s v="CAJA"/>
    <s v="ALIMENTACION DE EMPLEADOS CTA NUEVA"/>
    <s v="TRANSACCIONES DEL DIA 06/01/2019SPYRAL - GESTION ADMINISTRATIVA"/>
    <n v="16"/>
    <n v="0"/>
    <s v="HATO PINTADO"/>
    <x v="2"/>
  </r>
  <r>
    <n v="13"/>
    <d v="2019-06-03T00:00:00"/>
    <x v="2"/>
    <x v="2"/>
    <x v="1"/>
    <s v="CAJA"/>
    <s v="ALIMENTACION DE EMPLEADOS CTA NUEVA"/>
    <s v="TRANSACCIONES DEL DIA 06/03/2019SPYRAL - GESTION ADMINISTRATIVA"/>
    <n v="48"/>
    <n v="0"/>
    <s v="HATO PINTADO"/>
    <x v="2"/>
  </r>
  <r>
    <n v="13"/>
    <d v="2019-06-05T00:00:00"/>
    <x v="2"/>
    <x v="2"/>
    <x v="1"/>
    <s v="CAJA"/>
    <s v="ALIMENTACION DE EMPLEADOS CTA NUEVA"/>
    <s v="TRANSACCIONES DEL DIA 06/05/2019SPYRAL - GESTION ADMINISTRATIVA"/>
    <n v="24"/>
    <n v="0"/>
    <s v="HATO PINTADO"/>
    <x v="2"/>
  </r>
  <r>
    <n v="13"/>
    <d v="2019-06-06T00:00:00"/>
    <x v="2"/>
    <x v="2"/>
    <x v="1"/>
    <s v="CAJA"/>
    <s v="CORRIGE RECHAZO 05/JUNIO/2019"/>
    <s v="CORRECCION DE RECHAZOS EN LA INTERFAZ CONTABLE"/>
    <n v="24"/>
    <n v="0"/>
    <s v="HATO PINTADO"/>
    <x v="2"/>
  </r>
  <r>
    <n v="13"/>
    <d v="2019-06-06T00:00:00"/>
    <x v="2"/>
    <x v="2"/>
    <x v="1"/>
    <s v="CAJA"/>
    <s v="ALIMENTACION DE EMPLEADOS CTA NUEVA"/>
    <s v="TRANSACCIONES DEL DIA 06/06/2019SPYRAL - GESTION ADMINISTRATIVA"/>
    <n v="8"/>
    <n v="0"/>
    <s v="HATO PINTADO"/>
    <x v="2"/>
  </r>
  <r>
    <n v="13"/>
    <d v="2019-06-07T00:00:00"/>
    <x v="2"/>
    <x v="2"/>
    <x v="1"/>
    <s v="CAJA"/>
    <s v="ALIMENTACION DE EMPLEADOS CTA NUEVA"/>
    <s v="TRANSACCIONES DEL DIA 06/07/2019SPYRAL - GESTION ADMINISTRATIVA"/>
    <n v="8"/>
    <n v="0"/>
    <s v="HATO PINTADO"/>
    <x v="2"/>
  </r>
  <r>
    <n v="13"/>
    <d v="2019-06-08T00:00:00"/>
    <x v="2"/>
    <x v="2"/>
    <x v="1"/>
    <s v="CAJA"/>
    <s v="NC ALIMENTACION DE EMPLEADOS NVA"/>
    <s v="TRANSACCIONES DEL DIA 06/08/2019SPYRAL - GESTION ADMINISTRATIVA"/>
    <n v="24"/>
    <n v="0"/>
    <s v="HATO PINTADO"/>
    <x v="2"/>
  </r>
  <r>
    <n v="13"/>
    <d v="2019-06-10T00:00:00"/>
    <x v="2"/>
    <x v="2"/>
    <x v="1"/>
    <s v="CAJA"/>
    <s v="CORRECCION DE RECHAZO REG. 08/06/2019"/>
    <s v="REGISTRO DE ENTRADA DE ADMINISTRACION"/>
    <n v="0"/>
    <n v="24"/>
    <s v="HATO PINTADO"/>
    <x v="2"/>
  </r>
  <r>
    <n v="13"/>
    <d v="2019-06-13T00:00:00"/>
    <x v="2"/>
    <x v="2"/>
    <x v="1"/>
    <s v="CAJA"/>
    <s v="ALIMENTACION DE EMPLEADOS CTA NUEVA"/>
    <s v="TRANSACCIONES DEL DIA 06/13/2019SPYRAL - GESTION ADMINISTRATIVA"/>
    <n v="16"/>
    <n v="0"/>
    <s v="HATO PINTADO"/>
    <x v="2"/>
  </r>
  <r>
    <n v="13"/>
    <d v="2019-06-18T00:00:00"/>
    <x v="2"/>
    <x v="2"/>
    <x v="1"/>
    <s v="CAJA"/>
    <s v="ALIMENTACION DE EMPLEADOS CTA NUEVA"/>
    <s v="TRANSACCIONES DEL DIA 06/18/2019SPYRAL - GESTION ADMINISTRATIVA"/>
    <n v="16"/>
    <n v="0"/>
    <s v="HATO PINTADO"/>
    <x v="2"/>
  </r>
  <r>
    <n v="13"/>
    <d v="2019-06-21T00:00:00"/>
    <x v="2"/>
    <x v="2"/>
    <x v="1"/>
    <s v="CAJA"/>
    <s v="ALIMENTACION DE EMPLEADOS CTA NUEVA"/>
    <s v="TRANSACCIONES DEL DIA 06/21/2019SPYRAL - GESTION ADMINISTRATIVA"/>
    <n v="64"/>
    <n v="0"/>
    <s v="HATO PINTADO"/>
    <x v="2"/>
  </r>
  <r>
    <n v="13"/>
    <d v="2019-06-27T00:00:00"/>
    <x v="2"/>
    <x v="2"/>
    <x v="1"/>
    <s v="CAJA"/>
    <s v="ALIMENTACION DE EMPLEADOS CTA NUEVA"/>
    <s v="TRANSACCIONES DEL DIA 06/27/2019SPYRAL - GESTION ADMINISTRATIVA"/>
    <n v="8"/>
    <n v="0"/>
    <s v="HATO PINTADO"/>
    <x v="2"/>
  </r>
  <r>
    <n v="13"/>
    <d v="2019-07-03T00:00:00"/>
    <x v="6"/>
    <x v="6"/>
    <x v="1"/>
    <s v="CAJA"/>
    <s v="ALIMENTACION DE EMPLEADOS CTA NUEVA"/>
    <s v="TRANSACCIONES DEL DIA 07/03/2019SPYRAL - GESTION ADMINISTRATIVA"/>
    <n v="56"/>
    <n v="0"/>
    <s v="HATO PINTADO"/>
    <x v="2"/>
  </r>
  <r>
    <n v="13"/>
    <d v="2019-07-08T00:00:00"/>
    <x v="6"/>
    <x v="6"/>
    <x v="1"/>
    <s v="CAJA"/>
    <s v="ALIMENTACION DE EMPLEADOS CTA NUEVA"/>
    <s v="TRANSACCIONES DEL DIA 07/08/2019SPYRAL - GESTION ADMINISTRATIVA"/>
    <n v="40"/>
    <n v="0"/>
    <s v="HATO PINTADO"/>
    <x v="2"/>
  </r>
  <r>
    <n v="13"/>
    <d v="2019-07-10T00:00:00"/>
    <x v="6"/>
    <x v="6"/>
    <x v="1"/>
    <s v="CAJA"/>
    <s v="ALIMENTACION DE EMPLEADOS CTA NUEVA"/>
    <s v="TRANSACCIONES DEL DIA 07/10/2019SPYRAL - GESTION ADMINISTRATIVA"/>
    <n v="16"/>
    <n v="0"/>
    <s v="HATO PINTADO"/>
    <x v="2"/>
  </r>
  <r>
    <n v="13"/>
    <d v="2019-07-11T00:00:00"/>
    <x v="6"/>
    <x v="6"/>
    <x v="1"/>
    <s v="CAJA"/>
    <s v="ALIMENTACION DE EMPLEADOS CTA NUEVA"/>
    <s v="TRANSACCIONES DEL DIA 07/11/2019SPYRAL - GESTION ADMINISTRATIVA"/>
    <n v="16"/>
    <n v="0"/>
    <s v="HATO PINTADO"/>
    <x v="2"/>
  </r>
  <r>
    <n v="13"/>
    <d v="2019-07-15T00:00:00"/>
    <x v="6"/>
    <x v="6"/>
    <x v="1"/>
    <s v="CAJA"/>
    <s v="ALIMENTACION DE EMPLEADOS CTA NUEVA"/>
    <s v="TRANSACCIONES DEL DIA 07/15/2019SPYRAL - GESTION ADMINISTRATIVA"/>
    <n v="24"/>
    <n v="0"/>
    <s v="HATO PINTADO"/>
    <x v="2"/>
  </r>
  <r>
    <n v="13"/>
    <d v="2019-07-18T00:00:00"/>
    <x v="6"/>
    <x v="6"/>
    <x v="1"/>
    <s v="CAJA"/>
    <s v="ALIMENTACION DE EMPLEADOS CTA NUEVA"/>
    <s v="TRANSACCIONES DEL DIA 07/18/2019SPYRAL - GESTION ADMINISTRATIVA"/>
    <n v="56"/>
    <n v="0"/>
    <s v="HATO PINTADO"/>
    <x v="2"/>
  </r>
  <r>
    <n v="13"/>
    <d v="2019-07-19T00:00:00"/>
    <x v="6"/>
    <x v="6"/>
    <x v="1"/>
    <s v="CAJA"/>
    <s v="ALIMENTACION DE EMPLEADOS CTA NUEVA"/>
    <s v="TRANSACCIONES DEL DIA 07/19/2019SPYRAL - GESTION ADMINISTRATIVA"/>
    <n v="32"/>
    <n v="0"/>
    <s v="HATO PINTADO"/>
    <x v="2"/>
  </r>
  <r>
    <n v="13"/>
    <d v="2019-07-23T00:00:00"/>
    <x v="6"/>
    <x v="6"/>
    <x v="1"/>
    <s v="CAJA"/>
    <s v="ALIMENTACION DE EMPLEADOS CTA NUEVA"/>
    <s v="TRANSACCIONES DEL DIA 07/23/2019SPYRAL - GESTION ADMINISTRATIVA"/>
    <n v="24"/>
    <n v="0"/>
    <s v="HATO PINTADO"/>
    <x v="2"/>
  </r>
  <r>
    <n v="13"/>
    <d v="2019-07-29T00:00:00"/>
    <x v="6"/>
    <x v="6"/>
    <x v="1"/>
    <s v="CAJA"/>
    <s v="ALIMENTACION DE EMPLEADOS CTA NUEVA"/>
    <s v="TRANSACCIONES DEL DIA 07/29/2019SPYRAL - GESTION ADMINISTRATIVA"/>
    <n v="8"/>
    <n v="0"/>
    <s v="HATO PINTADO"/>
    <x v="2"/>
  </r>
  <r>
    <n v="13"/>
    <d v="2019-07-30T00:00:00"/>
    <x v="6"/>
    <x v="6"/>
    <x v="1"/>
    <s v="CAJA"/>
    <s v="ALIMENTACION DE EMPLEADOS CTA NUEVA"/>
    <s v="TRANSACCIONES DEL DIA 07/30/2019SPYRAL - GESTION ADMINISTRATIVA"/>
    <n v="32"/>
    <n v="0"/>
    <s v="HATO PINTADO"/>
    <x v="2"/>
  </r>
  <r>
    <n v="13"/>
    <d v="2019-01-03T00:00:00"/>
    <x v="7"/>
    <x v="7"/>
    <x v="1"/>
    <s v="SERVICIOS PERSONALES"/>
    <s v="ALIMENTACION DE EMPLEADOS CTA NUEVA"/>
    <s v="TRANSACCIONES DEL DIA 01/03/2019SPYRAL - GESTION ADMINISTRATIVA"/>
    <n v="8"/>
    <n v="0"/>
    <s v="HATO PINTADO"/>
    <x v="2"/>
  </r>
  <r>
    <n v="13"/>
    <d v="2019-01-04T00:00:00"/>
    <x v="7"/>
    <x v="7"/>
    <x v="1"/>
    <s v="SERVICIOS PERSONALES"/>
    <s v="ALIMENTACION DE EMPLEADOS CTA NUEVA"/>
    <s v="TRANSACCIONES DEL DIA 01/04/2019SPYRAL - GESTION ADMINISTRATIVA"/>
    <n v="8"/>
    <n v="0"/>
    <s v="HATO PINTADO"/>
    <x v="2"/>
  </r>
  <r>
    <n v="13"/>
    <d v="2019-01-21T00:00:00"/>
    <x v="7"/>
    <x v="7"/>
    <x v="1"/>
    <s v="SERVICIOS PERSONALES"/>
    <s v="ALIMENTACION DE EMPLEADOS CTA NUEVA"/>
    <s v="TRANSACCIONES DEL DIA 01/21/2019SPYRAL - GESTION ADMINISTRATIVA"/>
    <n v="8"/>
    <n v="0"/>
    <s v="HATO PINTADO"/>
    <x v="2"/>
  </r>
  <r>
    <n v="13"/>
    <d v="2019-01-31T00:00:00"/>
    <x v="7"/>
    <x v="7"/>
    <x v="1"/>
    <s v="SERVICIOS PERSONALES"/>
    <s v="ALIMENTACION DE EMPLEADOS CTA NUEVA"/>
    <s v="TRANSACCIONES DEL DIA 01/31/2019SPYRAL - GESTION ADMINISTRATIVA"/>
    <n v="8"/>
    <n v="0"/>
    <s v="HATO PINTADO"/>
    <x v="2"/>
  </r>
  <r>
    <n v="13"/>
    <d v="2019-02-18T00:00:00"/>
    <x v="8"/>
    <x v="8"/>
    <x v="1"/>
    <s v="SERVICIOS PERSONALES"/>
    <s v="ALIMENTACION DE EMPLEADOS CTA NUEVA"/>
    <s v="TRANSACCIONES DEL DIA 02/18/2019SPYRAL - GESTION ADMINISTRATIVA"/>
    <n v="8"/>
    <n v="0"/>
    <s v="HATO PINTADO"/>
    <x v="2"/>
  </r>
  <r>
    <n v="13"/>
    <d v="2019-02-19T00:00:00"/>
    <x v="8"/>
    <x v="8"/>
    <x v="1"/>
    <s v="SERVICIOS PERSONALES"/>
    <s v="ALIMENTACION DE EMPLEADOS CTA NUEVA"/>
    <s v="TRANSACCIONES DEL DIA 02/19/2019SPYRAL - GESTION ADMINISTRATIVA"/>
    <n v="8"/>
    <n v="0"/>
    <s v="HATO PINTADO"/>
    <x v="2"/>
  </r>
  <r>
    <n v="13"/>
    <d v="2019-03-19T00:00:00"/>
    <x v="9"/>
    <x v="9"/>
    <x v="1"/>
    <s v="SERVICIOS PERSONALES"/>
    <s v="ALIMENTACION DE EMPLEADOS CTA NUEVA"/>
    <s v="TRANSACCIONES DEL DIA 03/19/2019SPYRAL - GESTION ADMINISTRATIVA"/>
    <n v="8"/>
    <n v="0"/>
    <s v="HATO PINTADO"/>
    <x v="2"/>
  </r>
  <r>
    <n v="13"/>
    <d v="2019-03-29T00:00:00"/>
    <x v="9"/>
    <x v="9"/>
    <x v="1"/>
    <s v="SERVICIOS PERSONALES"/>
    <s v="ALIMENTACION DE EMPLEADOS CTA NUEVA"/>
    <s v="TRANSACCIONES DEL DIA 03/29/2019SPYRAL - GESTION ADMINISTRATIVA"/>
    <n v="8"/>
    <n v="0"/>
    <s v="HATO PINTADO"/>
    <x v="2"/>
  </r>
  <r>
    <n v="13"/>
    <d v="2019-04-17T00:00:00"/>
    <x v="10"/>
    <x v="10"/>
    <x v="1"/>
    <s v="SERVICIOS PERSONALES"/>
    <s v="ALIMENTACION DE EMPLEADOS CTA NUEVA"/>
    <s v="TRANSACCIONES DEL DIA 04/17/2019SPYRAL - GESTION ADMINISTRATIVA"/>
    <n v="8"/>
    <n v="0"/>
    <s v="HATO PINTADO"/>
    <x v="2"/>
  </r>
  <r>
    <n v="13"/>
    <d v="2019-06-03T00:00:00"/>
    <x v="2"/>
    <x v="2"/>
    <x v="1"/>
    <s v="SERVICIOS PERSONALES"/>
    <s v="ALIMENTACION DE EMPLEADOS CTA NUEVA"/>
    <s v="TRANSACCIONES DEL DIA 06/03/2019SPYRAL - GESTION ADMINISTRATIVA"/>
    <n v="8"/>
    <n v="0"/>
    <s v="HATO PINTADO"/>
    <x v="2"/>
  </r>
  <r>
    <n v="13"/>
    <d v="2019-06-27T00:00:00"/>
    <x v="2"/>
    <x v="2"/>
    <x v="1"/>
    <s v="SERVICIOS PERSONALES"/>
    <s v="ALIMENTACION DE EMPLEADOS CTA NUEVA"/>
    <s v="TRANSACCIONES DEL DIA 06/27/2019SPYRAL - GESTION ADMINISTRATIVA"/>
    <n v="8"/>
    <n v="0"/>
    <s v="HATO PINTADO"/>
    <x v="2"/>
  </r>
  <r>
    <n v="13"/>
    <d v="2019-07-08T00:00:00"/>
    <x v="6"/>
    <x v="6"/>
    <x v="1"/>
    <s v="SERVICIOS PERSONALES"/>
    <s v="ALIMENTACION DE EMPLEADOS CTA NUEVA"/>
    <s v="TRANSACCIONES DEL DIA 07/08/2019SPYRAL - GESTION ADMINISTRATIVA"/>
    <n v="8"/>
    <n v="0"/>
    <s v="HATO PINTADO"/>
    <x v="2"/>
  </r>
  <r>
    <n v="15"/>
    <d v="2019-04-03T00:00:00"/>
    <x v="10"/>
    <x v="10"/>
    <x v="1"/>
    <s v="ADMINISTRACION DE SUCURSALES"/>
    <s v="NC ALIMENTACION DE EMPLEADOS NVA"/>
    <s v="TRANSACCIONES DEL DIA 04/03/2019SPYRAL - GESTION ADMINISTRATIVA"/>
    <n v="30.95"/>
    <n v="0"/>
    <s v="LA CHORRERA"/>
    <x v="2"/>
  </r>
  <r>
    <n v="15"/>
    <d v="2019-04-29T00:00:00"/>
    <x v="10"/>
    <x v="10"/>
    <x v="1"/>
    <s v="ADMINISTRACION DE SUCURSALES"/>
    <s v="NC ALIMENTACION DE EMPLEADOS NVA"/>
    <s v="TRANSACCIONES DEL DIA 04/29/2019SPYRAL - GESTION ADMINISTRATIVA"/>
    <n v="32.799999999999997"/>
    <n v="0"/>
    <s v="LA CHORRERA"/>
    <x v="2"/>
  </r>
  <r>
    <n v="15"/>
    <d v="2019-05-24T00:00:00"/>
    <x v="11"/>
    <x v="11"/>
    <x v="1"/>
    <s v="ADMINISTRACION DE SUCURSALES"/>
    <s v="NC ALIMENTACION DE EMPLEADOS NVA"/>
    <s v="TRANSACCIONES DEL DIA 05/24/2019SPYRAL - GESTION ADMINISTRATIVA"/>
    <n v="23.99"/>
    <n v="0"/>
    <s v="LA CHORRERA"/>
    <x v="2"/>
  </r>
  <r>
    <n v="15"/>
    <d v="2019-06-03T00:00:00"/>
    <x v="2"/>
    <x v="2"/>
    <x v="1"/>
    <s v="ADMINISTRACION DE SUCURSALES"/>
    <s v="NC ALIMENTACION DE EMPLEADOS NVA"/>
    <s v="TRANSACCIONES DEL DIA 06/03/2019SPYRAL - GESTION ADMINISTRATIVA"/>
    <n v="23.99"/>
    <n v="0"/>
    <s v="LA CHORRERA"/>
    <x v="2"/>
  </r>
  <r>
    <n v="16"/>
    <d v="2019-01-16T00:00:00"/>
    <x v="7"/>
    <x v="7"/>
    <x v="1"/>
    <s v="CAJA"/>
    <s v="ALIMENTACION DE EMPLEADOS CTA NUEVA"/>
    <s v="TRANSACCIONES DEL DIA 01/16/2019SPYRAL - GESTION ADMINISTRATIVA"/>
    <n v="8"/>
    <n v="0"/>
    <s v="AVENIDA CENTRAL"/>
    <x v="2"/>
  </r>
  <r>
    <n v="18"/>
    <d v="2019-04-03T00:00:00"/>
    <x v="10"/>
    <x v="10"/>
    <x v="1"/>
    <s v="ADMINISTRACION DE SUCURSALES"/>
    <s v="NC ALIMENTACION DE EMPLEADOS NVA"/>
    <s v="TRANSACCIONES DEL DIA 04/03/2019SPYRAL - GESTION ADMINISTRATIVA"/>
    <n v="149.80000000000001"/>
    <n v="0"/>
    <s v="VILLA LUCRE"/>
    <x v="2"/>
  </r>
  <r>
    <n v="18"/>
    <d v="2019-05-24T00:00:00"/>
    <x v="11"/>
    <x v="11"/>
    <x v="1"/>
    <s v="ADMINISTRACION DE SUCURSALES"/>
    <s v="NC ALIMENTACION DE EMPLEADOS NVA"/>
    <s v="TRANSACCIONES DEL DIA 05/24/2019SPYRAL - GESTION ADMINISTRATIVA"/>
    <n v="148"/>
    <n v="0"/>
    <s v="VILLA LUCRE"/>
    <x v="2"/>
  </r>
  <r>
    <n v="18"/>
    <d v="2019-07-09T00:00:00"/>
    <x v="6"/>
    <x v="6"/>
    <x v="1"/>
    <s v="ADMINISTRACION DE SUCURSALES"/>
    <s v="NC ALIMENTACION DE EMPLEADOS NVA"/>
    <s v="TRANSACCIONES DEL DIA 07/09/2019SPYRAL - GESTION ADMINISTRATIVA"/>
    <n v="0"/>
    <n v="297.8"/>
    <s v="VILLA LUCRE"/>
    <x v="2"/>
  </r>
  <r>
    <n v="18"/>
    <d v="2019-07-26T00:00:00"/>
    <x v="6"/>
    <x v="6"/>
    <x v="1"/>
    <s v="ADMINISTRACION DE SUCURSALES"/>
    <s v="NC ALIMENTACION DE EMPLEADOS NVA"/>
    <s v="TRANSACCIONES DEL DIA 07/26/2019SPYRAL - GESTION ADMINISTRATIVA"/>
    <n v="116"/>
    <n v="0"/>
    <s v="VILLA LUCRE"/>
    <x v="2"/>
  </r>
  <r>
    <n v="18"/>
    <d v="2019-01-02T00:00:00"/>
    <x v="7"/>
    <x v="7"/>
    <x v="1"/>
    <s v="CAJA"/>
    <s v="ALIMENTACION DE EMPLEADOS CTA NUEVA"/>
    <s v="TRANSACCIONES DEL DIA 01/02/2019SPYRAL - GESTION ADMINISTRATIVA"/>
    <n v="32"/>
    <n v="0"/>
    <s v="VILLA LUCRE"/>
    <x v="2"/>
  </r>
  <r>
    <n v="18"/>
    <d v="2019-01-21T00:00:00"/>
    <x v="7"/>
    <x v="7"/>
    <x v="1"/>
    <s v="CAJA"/>
    <s v="ALIMENTACION DE EMPLEADOS CTA NUEVA"/>
    <s v="TRANSACCIONES DEL DIA 01/21/2019SPYRAL - GESTION ADMINISTRATIVA"/>
    <n v="32"/>
    <n v="0"/>
    <s v="VILLA LUCRE"/>
    <x v="2"/>
  </r>
  <r>
    <n v="18"/>
    <d v="2019-02-04T00:00:00"/>
    <x v="8"/>
    <x v="8"/>
    <x v="1"/>
    <s v="CAJA"/>
    <s v="ALIMENTACION DE EMPLEADOS CTA NUEVA"/>
    <s v="TRANSACCIONES DEL DIA 02/04/2019SPYRAL - GESTION ADMINISTRATIVA"/>
    <n v="32"/>
    <n v="0"/>
    <s v="VILLA LUCRE"/>
    <x v="2"/>
  </r>
  <r>
    <n v="18"/>
    <d v="2019-02-11T00:00:00"/>
    <x v="8"/>
    <x v="8"/>
    <x v="1"/>
    <s v="CAJA"/>
    <s v="ALIMENTACION DE EMPLEADOS CTA NUEVA"/>
    <s v="TRANSACCIONES DEL DIA 02/11/2019SPYRAL - GESTION ADMINISTRATIVA"/>
    <n v="8"/>
    <n v="0"/>
    <s v="VILLA LUCRE"/>
    <x v="2"/>
  </r>
  <r>
    <n v="18"/>
    <d v="2019-02-19T00:00:00"/>
    <x v="8"/>
    <x v="8"/>
    <x v="1"/>
    <s v="CAJA"/>
    <s v="ALIMENTACION DE EMPLEADOS CTA NUEVA"/>
    <s v="TRANSACCIONES DEL DIA 02/19/2019SPYRAL - GESTION ADMINISTRATIVA"/>
    <n v="32"/>
    <n v="0"/>
    <s v="VILLA LUCRE"/>
    <x v="2"/>
  </r>
  <r>
    <n v="18"/>
    <d v="2019-02-21T00:00:00"/>
    <x v="8"/>
    <x v="8"/>
    <x v="1"/>
    <s v="CAJA"/>
    <s v="ALIMENTACION DE EMPLEADOS CTA NUEVA"/>
    <s v="TRANSACCIONES DEL DIA 02/21/2019SPYRAL - GESTION ADMINISTRATIVA"/>
    <n v="8"/>
    <n v="0"/>
    <s v="VILLA LUCRE"/>
    <x v="2"/>
  </r>
  <r>
    <n v="18"/>
    <d v="2019-03-06T00:00:00"/>
    <x v="9"/>
    <x v="9"/>
    <x v="1"/>
    <s v="CAJA"/>
    <s v="ALIMENTACION DE EMPLEADOS CTA NUEVA"/>
    <s v="TRANSACCIONES DEL DIA 03/06/2019SPYRAL - GESTION ADMINISTRATIVA"/>
    <n v="48"/>
    <n v="0"/>
    <s v="VILLA LUCRE"/>
    <x v="2"/>
  </r>
  <r>
    <n v="18"/>
    <d v="2019-03-19T00:00:00"/>
    <x v="9"/>
    <x v="9"/>
    <x v="1"/>
    <s v="CAJA"/>
    <s v="ALIMENTACION DE EMPLEADOS CTA NUEVA"/>
    <s v="TRANSACCIONES DEL DIA 03/19/2019SPYRAL - GESTION ADMINISTRATIVA"/>
    <n v="32"/>
    <n v="0"/>
    <s v="VILLA LUCRE"/>
    <x v="2"/>
  </r>
  <r>
    <n v="18"/>
    <d v="2019-03-26T00:00:00"/>
    <x v="9"/>
    <x v="9"/>
    <x v="1"/>
    <s v="CAJA"/>
    <s v="ALIMENTACION DE EMPLEADOS CTA NUEVA"/>
    <s v="TRANSACCIONES DEL DIA 03/26/2019SPYRAL - GESTION ADMINISTRATIVA"/>
    <n v="8"/>
    <n v="0"/>
    <s v="VILLA LUCRE"/>
    <x v="2"/>
  </r>
  <r>
    <n v="18"/>
    <d v="2019-04-02T00:00:00"/>
    <x v="10"/>
    <x v="10"/>
    <x v="1"/>
    <s v="CAJA"/>
    <s v="ALIMENTACION DE EMPLEADOS CTA NUEVA"/>
    <s v="TRANSACCIONES DEL DIA 04/02/2019SPYRAL - GESTION ADMINISTRATIVA"/>
    <n v="24"/>
    <n v="0"/>
    <s v="VILLA LUCRE"/>
    <x v="2"/>
  </r>
  <r>
    <n v="18"/>
    <d v="2019-04-16T00:00:00"/>
    <x v="10"/>
    <x v="10"/>
    <x v="1"/>
    <s v="CAJA"/>
    <s v="ALIMENTACION DE EMPLEADOS CTA NUEVA"/>
    <s v="TRANSACCIONES DEL DIA 04/16/2019SPYRAL - GESTION ADMINISTRATIVA"/>
    <n v="56"/>
    <n v="0"/>
    <s v="VILLA LUCRE"/>
    <x v="2"/>
  </r>
  <r>
    <n v="18"/>
    <d v="2019-05-04T00:00:00"/>
    <x v="11"/>
    <x v="11"/>
    <x v="1"/>
    <s v="CAJA"/>
    <s v="ALIMENTACION DE EMPLEADOS CTA NUEVA"/>
    <s v="TRANSACCIONES DEL DIA 05/04/2019SPYRAL - GESTION ADMINISTRATIVA"/>
    <n v="80"/>
    <n v="0"/>
    <s v="VILLA LUCRE"/>
    <x v="2"/>
  </r>
  <r>
    <n v="18"/>
    <d v="2019-05-07T00:00:00"/>
    <x v="11"/>
    <x v="11"/>
    <x v="1"/>
    <s v="CAJA"/>
    <s v="ALIMENTACION DE EMPLEADOS CTA NUEVA"/>
    <s v="TRANSACCIONES DEL DIA 05/07/2019SPYRAL - GESTION ADMINISTRATIVA"/>
    <n v="8"/>
    <n v="0"/>
    <s v="VILLA LUCRE"/>
    <x v="2"/>
  </r>
  <r>
    <n v="18"/>
    <d v="2019-05-08T00:00:00"/>
    <x v="11"/>
    <x v="11"/>
    <x v="1"/>
    <s v="CAJA"/>
    <s v="ALIMENTACION DE EMPLEADOS CTA NUEVA"/>
    <s v="TRANSACCIONES DEL DIA 05/08/2019SPYRAL - GESTION ADMINISTRATIVA"/>
    <n v="8"/>
    <n v="0"/>
    <s v="VILLA LUCRE"/>
    <x v="2"/>
  </r>
  <r>
    <n v="18"/>
    <d v="2019-05-18T00:00:00"/>
    <x v="11"/>
    <x v="11"/>
    <x v="1"/>
    <s v="CAJA"/>
    <s v="ALIMENTACION DE EMPLEADOS CTA NUEVA"/>
    <s v="TRANSACCIONES DEL DIA 05/18/2019SPYRAL - GESTION ADMINISTRATIVA"/>
    <n v="64"/>
    <n v="0"/>
    <s v="VILLA LUCRE"/>
    <x v="2"/>
  </r>
  <r>
    <n v="18"/>
    <d v="2019-05-28T00:00:00"/>
    <x v="11"/>
    <x v="11"/>
    <x v="1"/>
    <s v="CAJA"/>
    <s v="ALIMENTACION DE EMPLEADOS CTA NUEVA"/>
    <s v="TRANSACCIONES DEL DIA 05/28/2019SPYRAL - GESTION ADMINISTRATIVA"/>
    <n v="8"/>
    <n v="0"/>
    <s v="VILLA LUCRE"/>
    <x v="2"/>
  </r>
  <r>
    <n v="18"/>
    <d v="2019-06-04T00:00:00"/>
    <x v="2"/>
    <x v="2"/>
    <x v="1"/>
    <s v="CAJA"/>
    <s v="ALIMENTACION DE EMPLEADOS CTA NUEVA"/>
    <s v="TRANSACCIONES DEL DIA 06/04/2019SPYRAL - GESTION ADMINISTRATIVA"/>
    <n v="72"/>
    <n v="0"/>
    <s v="VILLA LUCRE"/>
    <x v="2"/>
  </r>
  <r>
    <n v="18"/>
    <d v="2019-06-08T00:00:00"/>
    <x v="2"/>
    <x v="2"/>
    <x v="1"/>
    <s v="CAJA"/>
    <s v="ALIMENTACION DE EMPLEADOS CTA NUEVA"/>
    <s v="TRANSACCIONES DEL DIA 06/08/2019SPYRAL - GESTION ADMINISTRATIVA"/>
    <n v="8"/>
    <n v="0"/>
    <s v="VILLA LUCRE"/>
    <x v="2"/>
  </r>
  <r>
    <n v="18"/>
    <d v="2019-06-18T00:00:00"/>
    <x v="2"/>
    <x v="2"/>
    <x v="1"/>
    <s v="CAJA"/>
    <s v="ALIMENTACION DE EMPLEADOS CTA NUEVA"/>
    <s v="TRANSACCIONES DEL DIA 06/18/2019SPYRAL - GESTION ADMINISTRATIVA"/>
    <n v="32"/>
    <n v="0"/>
    <s v="VILLA LUCRE"/>
    <x v="2"/>
  </r>
  <r>
    <n v="18"/>
    <d v="2019-06-27T00:00:00"/>
    <x v="2"/>
    <x v="2"/>
    <x v="1"/>
    <s v="CAJA"/>
    <s v="ALIMENTACION DE EMPLEADOS CTA NUEVA"/>
    <s v="TRANSACCIONES DEL DIA 06/27/2019SPYRAL - GESTION ADMINISTRATIVA"/>
    <n v="8"/>
    <n v="0"/>
    <s v="VILLA LUCRE"/>
    <x v="2"/>
  </r>
  <r>
    <n v="18"/>
    <d v="2019-07-02T00:00:00"/>
    <x v="6"/>
    <x v="6"/>
    <x v="1"/>
    <s v="CAJA"/>
    <s v="ALIMENTACION DE EMPLEADOS CTA NUEVA"/>
    <s v="TRANSACCIONES DEL DIA 07/02/2019SPYRAL - GESTION ADMINISTRATIVA"/>
    <n v="32"/>
    <n v="0"/>
    <s v="VILLA LUCRE"/>
    <x v="2"/>
  </r>
  <r>
    <n v="18"/>
    <d v="2019-07-04T00:00:00"/>
    <x v="6"/>
    <x v="6"/>
    <x v="1"/>
    <s v="CAJA"/>
    <s v="ALIMENTACION DE EMPLEADOS CTA NUEVA"/>
    <s v="TRANSACCIONES DEL DIA 07/04/2019SPYRAL - GESTION ADMINISTRATIVA"/>
    <n v="8"/>
    <n v="0"/>
    <s v="VILLA LUCRE"/>
    <x v="2"/>
  </r>
  <r>
    <n v="18"/>
    <d v="2019-07-18T00:00:00"/>
    <x v="6"/>
    <x v="6"/>
    <x v="1"/>
    <s v="CAJA"/>
    <s v="ALIMENTACION DE EMPLEADOS CTA NUEVA"/>
    <s v="TRANSACCIONES DEL DIA 07/18/2019SPYRAL - GESTION ADMINISTRATIVA"/>
    <n v="48"/>
    <n v="0"/>
    <s v="VILLA LUCRE"/>
    <x v="2"/>
  </r>
  <r>
    <n v="18"/>
    <d v="2019-07-23T00:00:00"/>
    <x v="6"/>
    <x v="6"/>
    <x v="1"/>
    <s v="CAJA"/>
    <s v="ALIMENTACION DE EMPLEADOS CTA NUEVA"/>
    <s v="TRANSACCIONES DEL DIA 07/23/2019SPYRAL - GESTION ADMINISTRATIVA"/>
    <n v="16"/>
    <n v="0"/>
    <s v="VILLA LUCRE"/>
    <x v="2"/>
  </r>
  <r>
    <n v="19"/>
    <d v="2019-01-03T00:00:00"/>
    <x v="7"/>
    <x v="7"/>
    <x v="1"/>
    <s v="ADMINISTRACION DE SUCURSALES"/>
    <s v="ALIMENTACION DE EMPLEADOS CTA NUEVA"/>
    <s v="TRANSACCIONES DEL DIA 01/03/2019SPYRAL - GESTION ADMINISTRATIVA"/>
    <n v="8"/>
    <n v="0"/>
    <s v="LOS ANDES"/>
    <x v="2"/>
  </r>
  <r>
    <n v="19"/>
    <d v="2019-01-21T00:00:00"/>
    <x v="7"/>
    <x v="7"/>
    <x v="1"/>
    <s v="ADMINISTRACION DE SUCURSALES"/>
    <s v="ALIMENTACION DE EMPLEADOS CTA NUEVA"/>
    <s v="TRANSACCIONES DEL DIA 01/21/2019SPYRAL - GESTION ADMINISTRATIVA"/>
    <n v="8"/>
    <n v="0"/>
    <s v="LOS ANDES"/>
    <x v="2"/>
  </r>
  <r>
    <n v="19"/>
    <d v="2019-01-03T00:00:00"/>
    <x v="7"/>
    <x v="7"/>
    <x v="1"/>
    <s v="CAJA"/>
    <s v="ALIMENTACION DE EMPLEADOS CTA NUEVA"/>
    <s v="TRANSACCIONES DEL DIA 01/03/2019SPYRAL - GESTION ADMINISTRATIVA"/>
    <n v="24"/>
    <n v="0"/>
    <s v="LOS ANDES"/>
    <x v="2"/>
  </r>
  <r>
    <n v="19"/>
    <d v="2019-01-04T00:00:00"/>
    <x v="7"/>
    <x v="7"/>
    <x v="1"/>
    <s v="CAJA"/>
    <s v="ALIMENTACION DE EMPLEADOS CTA NUEVA"/>
    <s v="TRANSACCIONES DEL DIA 01/04/2019SPYRAL - GESTION ADMINISTRATIVA"/>
    <n v="24"/>
    <n v="0"/>
    <s v="LOS ANDES"/>
    <x v="2"/>
  </r>
  <r>
    <n v="19"/>
    <d v="2019-01-05T00:00:00"/>
    <x v="7"/>
    <x v="7"/>
    <x v="1"/>
    <s v="CAJA"/>
    <s v="ALIMENTACION DE EMPLEADOS CTA NUEVA"/>
    <s v="TRANSACCIONES DEL DIA 01/05/2019SPYRAL - GESTION ADMINISTRATIVA"/>
    <n v="72"/>
    <n v="0"/>
    <s v="LOS ANDES"/>
    <x v="2"/>
  </r>
  <r>
    <n v="19"/>
    <d v="2019-01-11T00:00:00"/>
    <x v="7"/>
    <x v="7"/>
    <x v="1"/>
    <s v="CAJA"/>
    <s v="ALIMENTACION DE EMPLEADOS CTA NUEVA"/>
    <s v="TRANSACCIONES DEL DIA 01/11/2019SPYRAL - GESTION ADMINISTRATIVA"/>
    <n v="8"/>
    <n v="0"/>
    <s v="LOS ANDES"/>
    <x v="2"/>
  </r>
  <r>
    <n v="19"/>
    <d v="2019-01-14T00:00:00"/>
    <x v="7"/>
    <x v="7"/>
    <x v="1"/>
    <s v="CAJA"/>
    <s v="ALIMENTACION DE EMPLEADOS CTA NUEVA"/>
    <s v="TRANSACCIONES DEL DIA 01/14/2019SPYRAL - GESTION ADMINISTRATIVA"/>
    <n v="24"/>
    <n v="0"/>
    <s v="LOS ANDES"/>
    <x v="2"/>
  </r>
  <r>
    <n v="19"/>
    <d v="2019-01-15T00:00:00"/>
    <x v="7"/>
    <x v="7"/>
    <x v="1"/>
    <s v="CAJA"/>
    <s v="ALIMENTACION DE EMPLEADOS CTA NUEVA"/>
    <s v="TRANSACCIONES DEL DIA 01/15/2019SPYRAL - GESTION ADMINISTRATIVA"/>
    <n v="8"/>
    <n v="0"/>
    <s v="LOS ANDES"/>
    <x v="2"/>
  </r>
  <r>
    <n v="19"/>
    <d v="2019-01-16T00:00:00"/>
    <x v="7"/>
    <x v="7"/>
    <x v="1"/>
    <s v="CAJA"/>
    <s v="ALIMENTACION DE EMPLEADOS CTA NUEVA"/>
    <s v="TRANSACCIONES DEL DIA 01/16/2019SPYRAL - GESTION ADMINISTRATIVA"/>
    <n v="64"/>
    <n v="0"/>
    <s v="LOS ANDES"/>
    <x v="2"/>
  </r>
  <r>
    <n v="19"/>
    <d v="2019-01-17T00:00:00"/>
    <x v="7"/>
    <x v="7"/>
    <x v="1"/>
    <s v="CAJA"/>
    <s v="ALIMENTACION DE EMPLEADOS CTA NUEVA"/>
    <s v="TRANSACCIONES DEL DIA 01/17/2019SPYRAL - GESTION ADMINISTRATIVA"/>
    <n v="24"/>
    <n v="0"/>
    <s v="LOS ANDES"/>
    <x v="2"/>
  </r>
  <r>
    <n v="19"/>
    <d v="2019-01-18T00:00:00"/>
    <x v="7"/>
    <x v="7"/>
    <x v="1"/>
    <s v="CAJA"/>
    <s v="ALIMENTACION DE EMPLEADOS CTA NUEVA"/>
    <s v="TRANSACCIONES DEL DIA 01/18/2019SPYRAL - GESTION ADMINISTRATIVA"/>
    <n v="8"/>
    <n v="0"/>
    <s v="LOS ANDES"/>
    <x v="2"/>
  </r>
  <r>
    <n v="19"/>
    <d v="2019-01-21T00:00:00"/>
    <x v="7"/>
    <x v="7"/>
    <x v="1"/>
    <s v="CAJA"/>
    <s v="ALIMENTACION DE EMPLEADOS CTA NUEVA"/>
    <s v="TRANSACCIONES DEL DIA 01/21/2019SPYRAL - GESTION ADMINISTRATIVA"/>
    <n v="16"/>
    <n v="0"/>
    <s v="LOS ANDES"/>
    <x v="2"/>
  </r>
  <r>
    <n v="19"/>
    <d v="2019-01-30T00:00:00"/>
    <x v="7"/>
    <x v="7"/>
    <x v="1"/>
    <s v="CAJA"/>
    <s v="ALIMENTACION DE EMPLEADOS CTA NUEVA"/>
    <s v="TRANSACCIONES DEL DIA 01/30/2019SPYRAL - GESTION ADMINISTRATIVA"/>
    <n v="8"/>
    <n v="0"/>
    <s v="LOS ANDES"/>
    <x v="2"/>
  </r>
  <r>
    <n v="19"/>
    <d v="2019-02-01T00:00:00"/>
    <x v="8"/>
    <x v="8"/>
    <x v="1"/>
    <s v="CAJA"/>
    <s v="ALIMENTACION DE EMPLEADOS CTA NUEVA"/>
    <s v="TRANSACCIONES DEL DIA 02/01/2019SPYRAL - GESTION ADMINISTRATIVA"/>
    <n v="72"/>
    <n v="0"/>
    <s v="LOS ANDES"/>
    <x v="2"/>
  </r>
  <r>
    <n v="19"/>
    <d v="2019-02-04T00:00:00"/>
    <x v="8"/>
    <x v="8"/>
    <x v="1"/>
    <s v="CAJA"/>
    <s v="ALIMENTACION DE EMPLEADOS CTA NUEVA"/>
    <s v="TRANSACCIONES DEL DIA 02/04/2019SPYRAL - GESTION ADMINISTRATIVA"/>
    <n v="8"/>
    <n v="0"/>
    <s v="LOS ANDES"/>
    <x v="2"/>
  </r>
  <r>
    <n v="19"/>
    <d v="2019-02-05T00:00:00"/>
    <x v="8"/>
    <x v="8"/>
    <x v="1"/>
    <s v="CAJA"/>
    <s v="ALIMENTACION DE EMPLEADOS CTA NUEVA"/>
    <s v="TRANSACCIONES DEL DIA 02/05/2019SPYRAL - GESTION ADMINISTRATIVA"/>
    <n v="32"/>
    <n v="0"/>
    <s v="LOS ANDES"/>
    <x v="2"/>
  </r>
  <r>
    <n v="19"/>
    <d v="2019-02-08T00:00:00"/>
    <x v="8"/>
    <x v="8"/>
    <x v="1"/>
    <s v="CAJA"/>
    <s v="ALIMENTACION DE EMPLEADOS CTA NUEVA"/>
    <s v="TRANSACCIONES DEL DIA 02/08/2019SPYRAL - GESTION ADMINISTRATIVA"/>
    <n v="24"/>
    <n v="0"/>
    <s v="LOS ANDES"/>
    <x v="2"/>
  </r>
  <r>
    <n v="19"/>
    <d v="2019-02-11T00:00:00"/>
    <x v="8"/>
    <x v="8"/>
    <x v="1"/>
    <s v="CAJA"/>
    <s v="ALIMENTACION DE EMPLEADOS CTA NUEVA"/>
    <s v="TRANSACCIONES DEL DIA 02/11/2019SPYRAL - GESTION ADMINISTRATIVA"/>
    <n v="32"/>
    <n v="0"/>
    <s v="LOS ANDES"/>
    <x v="2"/>
  </r>
  <r>
    <n v="19"/>
    <d v="2019-02-13T00:00:00"/>
    <x v="8"/>
    <x v="8"/>
    <x v="1"/>
    <s v="CAJA"/>
    <s v="ALIMENTACION DE EMPLEADOS CTA NUEVA"/>
    <s v="TRANSACCIONES DEL DIA 02/13/2019SPYRAL - GESTION ADMINISTRATIVA"/>
    <n v="24"/>
    <n v="0"/>
    <s v="LOS ANDES"/>
    <x v="2"/>
  </r>
  <r>
    <n v="19"/>
    <d v="2019-02-15T00:00:00"/>
    <x v="8"/>
    <x v="8"/>
    <x v="1"/>
    <s v="CAJA"/>
    <s v="ALIMENTACION DE EMPLEADOS CTA NUEVA"/>
    <s v="TRANSACCIONES DEL DIA 02/15/2019SPYRAL - GESTION ADMINISTRATIVA"/>
    <n v="16"/>
    <n v="0"/>
    <s v="LOS ANDES"/>
    <x v="2"/>
  </r>
  <r>
    <n v="19"/>
    <d v="2019-02-18T00:00:00"/>
    <x v="8"/>
    <x v="8"/>
    <x v="1"/>
    <s v="CAJA"/>
    <s v="ALIMENTACION DE EMPLEADOS CTA NUEVA"/>
    <s v="TRANSACCIONES DEL DIA 02/18/2019SPYRAL - GESTION ADMINISTRATIVA"/>
    <n v="48"/>
    <n v="0"/>
    <s v="LOS ANDES"/>
    <x v="2"/>
  </r>
  <r>
    <n v="19"/>
    <d v="2019-02-27T00:00:00"/>
    <x v="8"/>
    <x v="8"/>
    <x v="1"/>
    <s v="CAJA"/>
    <s v="ALIMENTACION DE EMPLEADOS CTA NUEVA"/>
    <s v="TRANSACCIONES DEL DIA 02/27/2019SPYRAL - GESTION ADMINISTRATIVA"/>
    <n v="32"/>
    <n v="0"/>
    <s v="LOS ANDES"/>
    <x v="2"/>
  </r>
  <r>
    <n v="19"/>
    <d v="2019-03-08T00:00:00"/>
    <x v="9"/>
    <x v="9"/>
    <x v="1"/>
    <s v="CAJA"/>
    <s v="ALIMENTACION DE EMPLEADOS CTA NUEVA"/>
    <s v="TRANSACCIONES DEL DIA 03/08/2019SPYRAL - GESTION ADMINISTRATIVA"/>
    <n v="96"/>
    <n v="0"/>
    <s v="LOS ANDES"/>
    <x v="2"/>
  </r>
  <r>
    <n v="19"/>
    <d v="2019-03-12T00:00:00"/>
    <x v="9"/>
    <x v="9"/>
    <x v="1"/>
    <s v="CAJA"/>
    <s v="ALIMENTACION DE EMPLEADOS CTA NUEVA"/>
    <s v="TRANSACCIONES DEL DIA 03/12/2019SPYRAL - GESTION ADMINISTRATIVA"/>
    <n v="32"/>
    <n v="0"/>
    <s v="LOS ANDES"/>
    <x v="2"/>
  </r>
  <r>
    <n v="19"/>
    <d v="2019-03-18T00:00:00"/>
    <x v="9"/>
    <x v="9"/>
    <x v="1"/>
    <s v="CAJA"/>
    <s v="ALIMENTACION DE EMPLEADOS CTA NUEVA"/>
    <s v="TRANSACCIONES DEL DIA 03/18/2019SPYRAL - GESTION ADMINISTRATIVA"/>
    <n v="72"/>
    <n v="0"/>
    <s v="LOS ANDES"/>
    <x v="2"/>
  </r>
  <r>
    <n v="19"/>
    <d v="2019-03-20T00:00:00"/>
    <x v="9"/>
    <x v="9"/>
    <x v="1"/>
    <s v="CAJA"/>
    <s v="ALIMENTACION DE EMPLEADOS CTA NUEVA"/>
    <s v="TRANSACCIONES DEL DIA 03/20/2019SPYRAL - GESTION ADMINISTRATIVA"/>
    <n v="8"/>
    <n v="0"/>
    <s v="LOS ANDES"/>
    <x v="2"/>
  </r>
  <r>
    <n v="19"/>
    <d v="2019-03-29T00:00:00"/>
    <x v="9"/>
    <x v="9"/>
    <x v="1"/>
    <s v="CAJA"/>
    <s v="ALIMENTACION DE EMPLEADOS CTA NUEVA"/>
    <s v="TRANSACCIONES DEL DIA 03/29/2019SPYRAL - GESTION ADMINISTRATIVA"/>
    <n v="8"/>
    <n v="0"/>
    <s v="LOS ANDES"/>
    <x v="2"/>
  </r>
  <r>
    <n v="19"/>
    <d v="2019-04-01T00:00:00"/>
    <x v="10"/>
    <x v="10"/>
    <x v="1"/>
    <s v="CAJA"/>
    <s v="ALIMENTACION DE EMPLEADOS CTA NUEVA"/>
    <s v="TRANSACCIONES DEL DIA 04/01/2019SPYRAL - GESTION ADMINISTRATIVA"/>
    <n v="32"/>
    <n v="0"/>
    <s v="LOS ANDES"/>
    <x v="2"/>
  </r>
  <r>
    <n v="19"/>
    <d v="2019-04-03T00:00:00"/>
    <x v="10"/>
    <x v="10"/>
    <x v="1"/>
    <s v="CAJA"/>
    <s v="ALIMENTACION DE EMPLEADOS CTA NUEVA"/>
    <s v="TRANSACCIONES DEL DIA 04/03/2019SPYRAL - GESTION ADMINISTRATIVA"/>
    <n v="48"/>
    <n v="0"/>
    <s v="LOS ANDES"/>
    <x v="2"/>
  </r>
  <r>
    <n v="19"/>
    <d v="2019-04-04T00:00:00"/>
    <x v="10"/>
    <x v="10"/>
    <x v="1"/>
    <s v="CAJA"/>
    <s v="ALIMENTACION DE EMPLEADOS CTA NUEVA"/>
    <s v="TRANSACCIONES DEL DIA 04/04/2019SPYRAL - GESTION ADMINISTRATIVA"/>
    <n v="16"/>
    <n v="0"/>
    <s v="LOS ANDES"/>
    <x v="2"/>
  </r>
  <r>
    <n v="19"/>
    <d v="2019-04-06T00:00:00"/>
    <x v="10"/>
    <x v="10"/>
    <x v="1"/>
    <s v="CAJA"/>
    <s v="ALIMENTACION DE EMPLEADOS CTA NUEVA"/>
    <s v="TRANSACCIONES DEL DIA 04/06/2019SPYRAL - GESTION ADMINISTRATIVA"/>
    <n v="40"/>
    <n v="0"/>
    <s v="LOS ANDES"/>
    <x v="2"/>
  </r>
  <r>
    <n v="19"/>
    <d v="2019-04-09T00:00:00"/>
    <x v="10"/>
    <x v="10"/>
    <x v="1"/>
    <s v="CAJA"/>
    <s v="ALIMENTACION DE EMPLEADOS CTA NUEVA"/>
    <s v="TRANSACCIONES DEL DIA 04/09/2019SPYRAL - GESTION ADMINISTRATIVA"/>
    <n v="8"/>
    <n v="0"/>
    <s v="LOS ANDES"/>
    <x v="2"/>
  </r>
  <r>
    <n v="19"/>
    <d v="2019-04-11T00:00:00"/>
    <x v="10"/>
    <x v="10"/>
    <x v="1"/>
    <s v="CAJA"/>
    <s v="ALIMENTACION DE EMPLEADOS CTA NUEVA"/>
    <s v="TRANSACCIONES DEL DIA 04/11/2019SPYRAL - GESTION ADMINISTRATIVA"/>
    <n v="8"/>
    <n v="0"/>
    <s v="LOS ANDES"/>
    <x v="2"/>
  </r>
  <r>
    <n v="19"/>
    <d v="2019-04-15T00:00:00"/>
    <x v="10"/>
    <x v="10"/>
    <x v="1"/>
    <s v="CAJA"/>
    <s v="ALIMENTACION DE EMPLEADOS CTA NUEVA"/>
    <s v="TRANSACCIONES DEL DIA 04/15/2019SPYRAL - GESTION ADMINISTRATIVA"/>
    <n v="40"/>
    <n v="0"/>
    <s v="LOS ANDES"/>
    <x v="2"/>
  </r>
  <r>
    <n v="19"/>
    <d v="2019-04-16T00:00:00"/>
    <x v="10"/>
    <x v="10"/>
    <x v="1"/>
    <s v="CAJA"/>
    <s v="ALIMENTACION DE EMPLEADOS CTA NUEVA"/>
    <s v="TRANSACCIONES DEL DIA 04/16/2019SPYRAL - GESTION ADMINISTRATIVA"/>
    <n v="40"/>
    <n v="0"/>
    <s v="LOS ANDES"/>
    <x v="2"/>
  </r>
  <r>
    <n v="19"/>
    <d v="2019-04-17T00:00:00"/>
    <x v="10"/>
    <x v="10"/>
    <x v="1"/>
    <s v="CAJA"/>
    <s v="ALIMENTACION DE EMPLEADOS CTA NUEVA"/>
    <s v="TRANSACCIONES DEL DIA 04/17/2019SPYRAL - GESTION ADMINISTRATIVA"/>
    <n v="48"/>
    <n v="0"/>
    <s v="LOS ANDES"/>
    <x v="2"/>
  </r>
  <r>
    <n v="19"/>
    <d v="2019-04-18T00:00:00"/>
    <x v="10"/>
    <x v="10"/>
    <x v="1"/>
    <s v="CAJA"/>
    <s v="ALIMENTACION DE EMPLEADOS CTA NUEVA"/>
    <s v="TRANSACCIONES DEL DIA 04/18/2019SPYRAL - GESTION ADMINISTRATIVA"/>
    <n v="48"/>
    <n v="0"/>
    <s v="LOS ANDES"/>
    <x v="2"/>
  </r>
  <r>
    <n v="19"/>
    <d v="2019-04-23T00:00:00"/>
    <x v="10"/>
    <x v="10"/>
    <x v="1"/>
    <s v="CAJA"/>
    <s v="ALIMENTACION DE EMPLEADOS CTA NUEVA"/>
    <s v="TRANSACCIONES DEL DIA 04/23/2019SPYRAL - GESTION ADMINISTRATIVA"/>
    <n v="32"/>
    <n v="0"/>
    <s v="LOS ANDES"/>
    <x v="2"/>
  </r>
  <r>
    <n v="19"/>
    <d v="2019-04-24T00:00:00"/>
    <x v="10"/>
    <x v="10"/>
    <x v="1"/>
    <s v="CAJA"/>
    <s v="ALIMENTACION DE EMPLEADOS CTA NUEVA"/>
    <s v="TRANSACCIONES DEL DIA 04/24/2019SPYRAL - GESTION ADMINISTRATIVA"/>
    <n v="16"/>
    <n v="0"/>
    <s v="LOS ANDES"/>
    <x v="2"/>
  </r>
  <r>
    <n v="19"/>
    <d v="2019-04-26T00:00:00"/>
    <x v="10"/>
    <x v="10"/>
    <x v="1"/>
    <s v="CAJA"/>
    <s v="ALIMENTACION DE EMPLEADOS CTA NUEVA"/>
    <s v="TRANSACCIONES DEL DIA 04/26/2019SPYRAL - GESTION ADMINISTRATIVA"/>
    <n v="16"/>
    <n v="0"/>
    <s v="LOS ANDES"/>
    <x v="2"/>
  </r>
  <r>
    <n v="19"/>
    <d v="2019-05-02T00:00:00"/>
    <x v="11"/>
    <x v="11"/>
    <x v="1"/>
    <s v="CAJA"/>
    <s v="ALIMENTACION DE EMPLEADOS CTA NUEVA"/>
    <s v="TRANSACCIONES DEL DIA 05/02/2019SPYRAL - GESTION ADMINISTRATIVA"/>
    <n v="88"/>
    <n v="0"/>
    <s v="LOS ANDES"/>
    <x v="2"/>
  </r>
  <r>
    <n v="19"/>
    <d v="2019-05-04T00:00:00"/>
    <x v="11"/>
    <x v="11"/>
    <x v="1"/>
    <s v="CAJA"/>
    <s v="ALIMENTACION DE EMPLEADOS CTA NUEVA"/>
    <s v="TRANSACCIONES DEL DIA 05/04/2019SPYRAL - GESTION ADMINISTRATIVA"/>
    <n v="48"/>
    <n v="0"/>
    <s v="LOS ANDES"/>
    <x v="2"/>
  </r>
  <r>
    <n v="19"/>
    <d v="2019-05-06T00:00:00"/>
    <x v="11"/>
    <x v="11"/>
    <x v="1"/>
    <s v="CAJA"/>
    <s v="ALIMENTACION DE EMPLEADOS CTA NUEVA"/>
    <s v="TRANSACCIONES DEL DIA 05/06/2019SPYRAL - GESTION ADMINISTRATIVA"/>
    <n v="56"/>
    <n v="0"/>
    <s v="LOS ANDES"/>
    <x v="2"/>
  </r>
  <r>
    <n v="19"/>
    <d v="2019-05-08T00:00:00"/>
    <x v="11"/>
    <x v="11"/>
    <x v="1"/>
    <s v="CAJA"/>
    <s v="ALIMENTACION DE EMPLEADOS CTA NUEVA"/>
    <s v="TRANSACCIONES DEL DIA 05/08/2019SPYRAL - GESTION ADMINISTRATIVA"/>
    <n v="16"/>
    <n v="0"/>
    <s v="LOS ANDES"/>
    <x v="2"/>
  </r>
  <r>
    <n v="19"/>
    <d v="2019-05-09T00:00:00"/>
    <x v="11"/>
    <x v="11"/>
    <x v="1"/>
    <s v="CAJA"/>
    <s v="ALIMENTACION DE EMPLEADOS CTA NUEVA"/>
    <s v="TRANSACCIONES DEL DIA 05/09/2019SPYRAL - GESTION ADMINISTRATIVA"/>
    <n v="56"/>
    <n v="0"/>
    <s v="LOS ANDES"/>
    <x v="2"/>
  </r>
  <r>
    <n v="19"/>
    <d v="2019-05-13T00:00:00"/>
    <x v="11"/>
    <x v="11"/>
    <x v="1"/>
    <s v="CAJA"/>
    <s v="ALIMENTACION DE EMPLEADOS CTA NUEVA"/>
    <s v="TRANSACCIONES DEL DIA 05/13/2019SPYRAL - GESTION ADMINISTRATIVA"/>
    <n v="40"/>
    <n v="0"/>
    <s v="LOS ANDES"/>
    <x v="2"/>
  </r>
  <r>
    <n v="19"/>
    <d v="2019-05-15T00:00:00"/>
    <x v="11"/>
    <x v="11"/>
    <x v="1"/>
    <s v="CAJA"/>
    <s v="ALIMENTACION DE EMPLEADOS CTA NUEVA"/>
    <s v="TRANSACCIONES DEL DIA 05/15/2019SPYRAL - GESTION ADMINISTRATIVA"/>
    <n v="64"/>
    <n v="0"/>
    <s v="LOS ANDES"/>
    <x v="2"/>
  </r>
  <r>
    <n v="19"/>
    <d v="2019-05-16T00:00:00"/>
    <x v="11"/>
    <x v="11"/>
    <x v="1"/>
    <s v="CAJA"/>
    <s v="ALIMENTACION DE EMPLEADOS CTA NUEVA"/>
    <s v="TRANSACCIONES DEL DIA 05/16/2019SPYRAL - GESTION ADMINISTRATIVA"/>
    <n v="48"/>
    <n v="0"/>
    <s v="LOS ANDES"/>
    <x v="2"/>
  </r>
  <r>
    <n v="19"/>
    <d v="2019-05-18T00:00:00"/>
    <x v="11"/>
    <x v="11"/>
    <x v="1"/>
    <s v="CAJA"/>
    <s v="ALIMENTACION DE EMPLEADOS CTA NUEVA"/>
    <s v="TRANSACCIONES DEL DIA 05/18/2019SPYRAL - GESTION ADMINISTRATIVA"/>
    <n v="64"/>
    <n v="0"/>
    <s v="LOS ANDES"/>
    <x v="2"/>
  </r>
  <r>
    <n v="19"/>
    <d v="2019-05-25T00:00:00"/>
    <x v="11"/>
    <x v="11"/>
    <x v="1"/>
    <s v="CAJA"/>
    <s v="ALIMENTACION DE EMPLEADOS CTA NUEVA"/>
    <s v="TRANSACCIONES DEL DIA 05/25/2019SPYRAL - GESTION ADMINISTRATIVA"/>
    <n v="40"/>
    <n v="0"/>
    <s v="LOS ANDES"/>
    <x v="2"/>
  </r>
  <r>
    <n v="19"/>
    <d v="2019-05-29T00:00:00"/>
    <x v="11"/>
    <x v="11"/>
    <x v="1"/>
    <s v="CAJA"/>
    <s v="ALIMENTACION DE EMPLEADOS CTA NUEVA"/>
    <s v="TRANSACCIONES DEL DIA 05/29/2019SPYRAL - GESTION ADMINISTRATIVA"/>
    <n v="16"/>
    <n v="0"/>
    <s v="LOS ANDES"/>
    <x v="2"/>
  </r>
  <r>
    <n v="19"/>
    <d v="2019-05-30T00:00:00"/>
    <x v="11"/>
    <x v="11"/>
    <x v="1"/>
    <s v="CAJA"/>
    <s v="ALIMENTACION DE EMPLEADOS CTA NUEVA"/>
    <s v="TRANSACCIONES DEL DIA 05/30/2019SPYRAL - GESTION ADMINISTRATIVA"/>
    <n v="32"/>
    <n v="0"/>
    <s v="LOS ANDES"/>
    <x v="2"/>
  </r>
  <r>
    <n v="19"/>
    <d v="2019-06-01T00:00:00"/>
    <x v="2"/>
    <x v="2"/>
    <x v="1"/>
    <s v="CAJA"/>
    <s v="ALIMENTACION DE EMPLEADOS CTA NUEVA"/>
    <s v="TRANSACCIONES DEL DIA 06/01/2019SPYRAL - GESTION ADMINISTRATIVA"/>
    <n v="88"/>
    <n v="0"/>
    <s v="LOS ANDES"/>
    <x v="2"/>
  </r>
  <r>
    <n v="19"/>
    <d v="2019-06-04T00:00:00"/>
    <x v="2"/>
    <x v="2"/>
    <x v="1"/>
    <s v="CAJA"/>
    <s v="ALIMENTACION DE EMPLEADOS CTA NUEVA"/>
    <s v="TRANSACCIONES DEL DIA 06/04/2019SPYRAL - GESTION ADMINISTRATIVA"/>
    <n v="48"/>
    <n v="0"/>
    <s v="LOS ANDES"/>
    <x v="2"/>
  </r>
  <r>
    <n v="19"/>
    <d v="2019-06-06T00:00:00"/>
    <x v="2"/>
    <x v="2"/>
    <x v="1"/>
    <s v="CAJA"/>
    <s v="ALIMENTACION DE EMPLEADOS CTA NUEVA"/>
    <s v="TRANSACCIONES DEL DIA 06/06/2019SPYRAL - GESTION ADMINISTRATIVA"/>
    <n v="32"/>
    <n v="0"/>
    <s v="LOS ANDES"/>
    <x v="2"/>
  </r>
  <r>
    <n v="19"/>
    <d v="2019-06-07T00:00:00"/>
    <x v="2"/>
    <x v="2"/>
    <x v="1"/>
    <s v="CAJA"/>
    <s v="ALIMENTACION DE EMPLEADOS CTA NUEVA"/>
    <s v="TRANSACCIONES DEL DIA 06/07/2019SPYRAL - GESTION ADMINISTRATIVA"/>
    <n v="32"/>
    <n v="0"/>
    <s v="LOS ANDES"/>
    <x v="2"/>
  </r>
  <r>
    <n v="19"/>
    <d v="2019-06-08T00:00:00"/>
    <x v="2"/>
    <x v="2"/>
    <x v="1"/>
    <s v="CAJA"/>
    <s v="ALIMENTACION DE EMPLEADOS CTA NUEVA"/>
    <s v="TRANSACCIONES DEL DIA 06/08/2019SPYRAL - GESTION ADMINISTRATIVA"/>
    <n v="40"/>
    <n v="0"/>
    <s v="LOS ANDES"/>
    <x v="2"/>
  </r>
  <r>
    <n v="19"/>
    <d v="2019-06-11T00:00:00"/>
    <x v="2"/>
    <x v="2"/>
    <x v="1"/>
    <s v="CAJA"/>
    <s v="ALIMENTACION DE EMPLEADOS CTA NUEVA"/>
    <s v="TRANSACCIONES DEL DIA 06/11/2019SPYRAL - GESTION ADMINISTRATIVA"/>
    <n v="16"/>
    <n v="0"/>
    <s v="LOS ANDES"/>
    <x v="2"/>
  </r>
  <r>
    <n v="19"/>
    <d v="2019-06-13T00:00:00"/>
    <x v="2"/>
    <x v="2"/>
    <x v="1"/>
    <s v="CAJA"/>
    <s v="ALIMENTACION DE EMPLEADOS CTA NUEVA"/>
    <s v="TRANSACCIONES DEL DIA 06/13/2019SPYRAL - GESTION ADMINISTRATIVA"/>
    <n v="16"/>
    <n v="0"/>
    <s v="LOS ANDES"/>
    <x v="2"/>
  </r>
  <r>
    <n v="19"/>
    <d v="2019-06-14T00:00:00"/>
    <x v="2"/>
    <x v="2"/>
    <x v="1"/>
    <s v="CAJA"/>
    <s v="ALIMENTACION DE EMPLEADOS CTA NUEVA"/>
    <s v="TRANSACCIONES DEL DIA 06/14/2019SPYRAL - GESTION ADMINISTRATIVA"/>
    <n v="48"/>
    <n v="0"/>
    <s v="LOS ANDES"/>
    <x v="2"/>
  </r>
  <r>
    <n v="19"/>
    <d v="2019-06-15T00:00:00"/>
    <x v="2"/>
    <x v="2"/>
    <x v="1"/>
    <s v="CAJA"/>
    <s v="ALIMENTACION DE EMPLEADOS CTA NUEVA"/>
    <s v="TRANSACCIONES DEL DIA 06/15/2019SPYRAL - GESTION ADMINISTRATIVA"/>
    <n v="48"/>
    <n v="0"/>
    <s v="LOS ANDES"/>
    <x v="2"/>
  </r>
  <r>
    <n v="19"/>
    <d v="2019-06-18T00:00:00"/>
    <x v="2"/>
    <x v="2"/>
    <x v="1"/>
    <s v="CAJA"/>
    <s v="ALIMENTACION DE EMPLEADOS CTA NUEVA"/>
    <s v="TRANSACCIONES DEL DIA 06/18/2019SPYRAL - GESTION ADMINISTRATIVA"/>
    <n v="40"/>
    <n v="0"/>
    <s v="LOS ANDES"/>
    <x v="2"/>
  </r>
  <r>
    <n v="19"/>
    <d v="2019-06-19T00:00:00"/>
    <x v="2"/>
    <x v="2"/>
    <x v="1"/>
    <s v="CAJA"/>
    <s v="ALIMENTACION DE EMPLEADOS CTA NUEVA"/>
    <s v="TRANSACCIONES DEL DIA 06/19/2019SPYRAL - GESTION ADMINISTRATIVA"/>
    <n v="8"/>
    <n v="0"/>
    <s v="LOS ANDES"/>
    <x v="2"/>
  </r>
  <r>
    <n v="19"/>
    <d v="2019-06-21T00:00:00"/>
    <x v="2"/>
    <x v="2"/>
    <x v="1"/>
    <s v="CAJA"/>
    <s v="ALIMENTACION DE EMPLEADOS CTA NUEVA"/>
    <s v="TRANSACCIONES DEL DIA 06/21/2019SPYRAL - GESTION ADMINISTRATIVA"/>
    <n v="8"/>
    <n v="0"/>
    <s v="LOS ANDES"/>
    <x v="2"/>
  </r>
  <r>
    <n v="19"/>
    <d v="2019-06-25T00:00:00"/>
    <x v="2"/>
    <x v="2"/>
    <x v="1"/>
    <s v="CAJA"/>
    <s v="ALIMENTACION DE EMPLEADOS CTA NUEVA"/>
    <s v="TRANSACCIONES DEL DIA 06/25/2019SPYRAL - GESTION ADMINISTRATIVA"/>
    <n v="48"/>
    <n v="0"/>
    <s v="LOS ANDES"/>
    <x v="2"/>
  </r>
  <r>
    <n v="19"/>
    <d v="2019-06-27T00:00:00"/>
    <x v="2"/>
    <x v="2"/>
    <x v="1"/>
    <s v="CAJA"/>
    <s v="ALIMENTACION DE EMPLEADOS CTA NUEVA"/>
    <s v="TRANSACCIONES DEL DIA 06/27/2019SPYRAL - GESTION ADMINISTRATIVA"/>
    <n v="24"/>
    <n v="0"/>
    <s v="LOS ANDES"/>
    <x v="2"/>
  </r>
  <r>
    <n v="19"/>
    <d v="2019-07-02T00:00:00"/>
    <x v="6"/>
    <x v="6"/>
    <x v="1"/>
    <s v="CAJA"/>
    <s v="ALIMENTACION DE EMPLEADOS CTA NUEVA"/>
    <s v="TRANSACCIONES DEL DIA 07/02/2019SPYRAL - GESTION ADMINISTRATIVA"/>
    <n v="56"/>
    <n v="0"/>
    <s v="LOS ANDES"/>
    <x v="2"/>
  </r>
  <r>
    <n v="19"/>
    <d v="2019-07-03T00:00:00"/>
    <x v="6"/>
    <x v="6"/>
    <x v="1"/>
    <s v="CAJA"/>
    <s v="ALIMENTACION DE EMPLEADOS CTA NUEVA"/>
    <s v="TRANSACCIONES DEL DIA 07/03/2019SPYRAL - GESTION ADMINISTRATIVA"/>
    <n v="40"/>
    <n v="0"/>
    <s v="LOS ANDES"/>
    <x v="2"/>
  </r>
  <r>
    <n v="19"/>
    <d v="2019-07-04T00:00:00"/>
    <x v="6"/>
    <x v="6"/>
    <x v="1"/>
    <s v="CAJA"/>
    <s v="ALIMENTACION DE EMPLEADOS CTA NUEVA"/>
    <s v="TRANSACCIONES DEL DIA 07/04/2019SPYRAL - GESTION ADMINISTRATIVA"/>
    <n v="16"/>
    <n v="0"/>
    <s v="LOS ANDES"/>
    <x v="2"/>
  </r>
  <r>
    <n v="19"/>
    <d v="2019-07-08T00:00:00"/>
    <x v="6"/>
    <x v="6"/>
    <x v="1"/>
    <s v="CAJA"/>
    <s v="ALIMENTACION DE EMPLEADOS CTA NUEVA"/>
    <s v="TRANSACCIONES DEL DIA 07/08/2019SPYRAL - GESTION ADMINISTRATIVA"/>
    <n v="40"/>
    <n v="0"/>
    <s v="LOS ANDES"/>
    <x v="2"/>
  </r>
  <r>
    <n v="19"/>
    <d v="2019-07-11T00:00:00"/>
    <x v="6"/>
    <x v="6"/>
    <x v="1"/>
    <s v="CAJA"/>
    <s v="ALIMENTACION DE EMPLEADOS CTA NUEVA"/>
    <s v="TRANSACCIONES DEL DIA 07/11/2019SPYRAL - GESTION ADMINISTRATIVA"/>
    <n v="8"/>
    <n v="0"/>
    <s v="LOS ANDES"/>
    <x v="2"/>
  </r>
  <r>
    <n v="19"/>
    <d v="2019-07-13T00:00:00"/>
    <x v="6"/>
    <x v="6"/>
    <x v="1"/>
    <s v="CAJA"/>
    <s v="ALIMENTACION DE EMPLEADOS CTA NUEVA"/>
    <s v="TRANSACCIONES DEL DIA 07/13/2019SPYRAL - GESTION ADMINISTRATIVA"/>
    <n v="24"/>
    <n v="0"/>
    <s v="LOS ANDES"/>
    <x v="2"/>
  </r>
  <r>
    <n v="19"/>
    <d v="2019-07-16T00:00:00"/>
    <x v="6"/>
    <x v="6"/>
    <x v="1"/>
    <s v="CAJA"/>
    <s v="ALIMENTACION DE EMPLEADOS CTA NUEVA"/>
    <s v="TRANSACCIONES DEL DIA 07/16/2019SPYRAL - GESTION ADMINISTRATIVA"/>
    <n v="40"/>
    <n v="0"/>
    <s v="LOS ANDES"/>
    <x v="2"/>
  </r>
  <r>
    <n v="19"/>
    <d v="2019-07-18T00:00:00"/>
    <x v="6"/>
    <x v="6"/>
    <x v="1"/>
    <s v="CAJA"/>
    <s v="ALIMENTACION DE EMPLEADOS CTA NUEVA"/>
    <s v="TRANSACCIONES DEL DIA 07/18/2019SPYRAL - GESTION ADMINISTRATIVA"/>
    <n v="48"/>
    <n v="0"/>
    <s v="LOS ANDES"/>
    <x v="2"/>
  </r>
  <r>
    <n v="19"/>
    <d v="2019-07-19T00:00:00"/>
    <x v="6"/>
    <x v="6"/>
    <x v="1"/>
    <s v="CAJA"/>
    <s v="ALIMENTACION DE EMPLEADOS CTA NUEVA"/>
    <s v="TRANSACCIONES DEL DIA 07/19/2019SPYRAL - GESTION ADMINISTRATIVA"/>
    <n v="16"/>
    <n v="0"/>
    <s v="LOS ANDES"/>
    <x v="2"/>
  </r>
  <r>
    <n v="19"/>
    <d v="2019-07-20T00:00:00"/>
    <x v="6"/>
    <x v="6"/>
    <x v="1"/>
    <s v="CAJA"/>
    <s v="ALIMENTACION DE EMPLEADOS CTA NUEVA"/>
    <s v="TRANSACCIONES DEL DIA 07/20/2019SPYRAL - GESTION ADMINISTRATIVA"/>
    <n v="32"/>
    <n v="0"/>
    <s v="LOS ANDES"/>
    <x v="2"/>
  </r>
  <r>
    <n v="19"/>
    <d v="2019-07-23T00:00:00"/>
    <x v="6"/>
    <x v="6"/>
    <x v="1"/>
    <s v="CAJA"/>
    <s v="ALIMENTACION DE EMPLEADOS CTA NUEVA"/>
    <s v="TRANSACCIONES DEL DIA 07/23/2019SPYRAL - GESTION ADMINISTRATIVA"/>
    <n v="8"/>
    <n v="0"/>
    <s v="LOS ANDES"/>
    <x v="2"/>
  </r>
  <r>
    <n v="19"/>
    <d v="2019-07-25T00:00:00"/>
    <x v="6"/>
    <x v="6"/>
    <x v="1"/>
    <s v="CAJA"/>
    <s v="ALIMENTACION DE EMPLEADOS CTA NUEVA"/>
    <s v="TRANSACCIONES DEL DIA 07/25/2019SPYRAL - GESTION ADMINISTRATIVA"/>
    <n v="8"/>
    <n v="0"/>
    <s v="LOS ANDES"/>
    <x v="2"/>
  </r>
  <r>
    <n v="19"/>
    <d v="2019-07-26T00:00:00"/>
    <x v="6"/>
    <x v="6"/>
    <x v="1"/>
    <s v="CAJA"/>
    <s v="ALIMENTACION DE EMPLEADOS CTA NUEVA"/>
    <s v="TRANSACCIONES DEL DIA 07/26/2019SPYRAL - GESTION ADMINISTRATIVA"/>
    <n v="8"/>
    <n v="0"/>
    <s v="LOS ANDES"/>
    <x v="2"/>
  </r>
  <r>
    <n v="19"/>
    <d v="2019-07-27T00:00:00"/>
    <x v="6"/>
    <x v="6"/>
    <x v="1"/>
    <s v="CAJA"/>
    <s v="ALIMENTACION DE EMPLEADOS CTA NUEVA"/>
    <s v="TRANSACCIONES DEL DIA 07/27/2019SPYRAL - GESTION ADMINISTRATIVA"/>
    <n v="16"/>
    <n v="0"/>
    <s v="LOS ANDES"/>
    <x v="2"/>
  </r>
  <r>
    <n v="19"/>
    <d v="2019-07-30T00:00:00"/>
    <x v="6"/>
    <x v="6"/>
    <x v="1"/>
    <s v="CAJA"/>
    <s v="ALIMENTACION DE EMPLEADOS CTA NUEVA"/>
    <s v="TRANSACCIONES DEL DIA 07/30/2019SPYRAL - GESTION ADMINISTRATIVA"/>
    <n v="40"/>
    <n v="0"/>
    <s v="LOS ANDES"/>
    <x v="2"/>
  </r>
  <r>
    <n v="19"/>
    <d v="2019-01-21T00:00:00"/>
    <x v="7"/>
    <x v="7"/>
    <x v="1"/>
    <s v="SERVICIOS PERSONALES"/>
    <s v="ALIMENTACION DE EMPLEADOS CTA NUEVA"/>
    <s v="TRANSACCIONES DEL DIA 01/21/2019SPYRAL - GESTION ADMINISTRATIVA"/>
    <n v="8"/>
    <n v="0"/>
    <s v="LOS ANDES"/>
    <x v="2"/>
  </r>
  <r>
    <n v="19"/>
    <d v="2019-02-15T00:00:00"/>
    <x v="8"/>
    <x v="8"/>
    <x v="1"/>
    <s v="SERVICIOS PERSONALES"/>
    <s v="ALIMENTACION DE EMPLEADOS CTA NUEVA"/>
    <s v="TRANSACCIONES DEL DIA 02/15/2019SPYRAL - GESTION ADMINISTRATIVA"/>
    <n v="8"/>
    <n v="0"/>
    <s v="LOS ANDES"/>
    <x v="2"/>
  </r>
  <r>
    <n v="19"/>
    <d v="2019-02-27T00:00:00"/>
    <x v="8"/>
    <x v="8"/>
    <x v="1"/>
    <s v="SERVICIOS PERSONALES"/>
    <s v="ALIMENTACION DE EMPLEADOS CTA NUEVA"/>
    <s v="TRANSACCIONES DEL DIA 02/27/2019SPYRAL - GESTION ADMINISTRATIVA"/>
    <n v="16"/>
    <n v="0"/>
    <s v="LOS ANDES"/>
    <x v="2"/>
  </r>
  <r>
    <n v="19"/>
    <d v="2019-03-08T00:00:00"/>
    <x v="9"/>
    <x v="9"/>
    <x v="1"/>
    <s v="SERVICIOS PERSONALES"/>
    <s v="ALIMENTACION DE EMPLEADOS CTA NUEVA"/>
    <s v="TRANSACCIONES DEL DIA 03/08/2019SPYRAL - GESTION ADMINISTRATIVA"/>
    <n v="16"/>
    <n v="0"/>
    <s v="LOS ANDES"/>
    <x v="2"/>
  </r>
  <r>
    <n v="19"/>
    <d v="2019-04-06T00:00:00"/>
    <x v="10"/>
    <x v="10"/>
    <x v="1"/>
    <s v="SERVICIOS PERSONALES"/>
    <s v="ALIMENTACION DE EMPLEADOS CTA NUEVA"/>
    <s v="TRANSACCIONES DEL DIA 04/06/2019SPYRAL - GESTION ADMINISTRATIVA"/>
    <n v="8"/>
    <n v="0"/>
    <s v="LOS ANDES"/>
    <x v="2"/>
  </r>
  <r>
    <n v="19"/>
    <d v="2019-05-03T00:00:00"/>
    <x v="11"/>
    <x v="11"/>
    <x v="1"/>
    <s v="SERVICIOS PERSONALES"/>
    <s v="ALIMENTACION DE EMPLEADOS CTA NUEVA"/>
    <s v="TRANSACCIONES DEL DIA 05/03/2019SPYRAL - GESTION ADMINISTRATIVA"/>
    <n v="8"/>
    <n v="0"/>
    <s v="LOS ANDES"/>
    <x v="2"/>
  </r>
  <r>
    <n v="19"/>
    <d v="2019-05-09T00:00:00"/>
    <x v="11"/>
    <x v="11"/>
    <x v="1"/>
    <s v="SERVICIOS PERSONALES"/>
    <s v="ALIMENTACION DE EMPLEADOS CTA NUEVA"/>
    <s v="TRANSACCIONES DEL DIA 05/09/2019SPYRAL - GESTION ADMINISTRATIVA"/>
    <n v="8"/>
    <n v="0"/>
    <s v="LOS ANDES"/>
    <x v="2"/>
  </r>
  <r>
    <n v="19"/>
    <d v="2019-06-13T00:00:00"/>
    <x v="2"/>
    <x v="2"/>
    <x v="1"/>
    <s v="SERVICIOS PERSONALES"/>
    <s v="ALIMENTACION DE EMPLEADOS CTA NUEVA"/>
    <s v="TRANSACCIONES DEL DIA 06/13/2019SPYRAL - GESTION ADMINISTRATIVA"/>
    <n v="24"/>
    <n v="0"/>
    <s v="LOS ANDES"/>
    <x v="2"/>
  </r>
  <r>
    <n v="19"/>
    <d v="2019-06-27T00:00:00"/>
    <x v="2"/>
    <x v="2"/>
    <x v="1"/>
    <s v="SERVICIOS PERSONALES"/>
    <s v="ALIMENTACION DE EMPLEADOS CTA NUEVA"/>
    <s v="TRANSACCIONES DEL DIA 06/27/2019SPYRAL - GESTION ADMINISTRATIVA"/>
    <n v="8"/>
    <n v="0"/>
    <s v="LOS ANDES"/>
    <x v="2"/>
  </r>
  <r>
    <n v="19"/>
    <d v="2019-07-02T00:00:00"/>
    <x v="6"/>
    <x v="6"/>
    <x v="1"/>
    <s v="SERVICIOS PERSONALES"/>
    <s v="ALIMENTACION DE EMPLEADOS CTA NUEVA"/>
    <s v="TRANSACCIONES DEL DIA 07/02/2019SPYRAL - GESTION ADMINISTRATIVA"/>
    <n v="8"/>
    <n v="0"/>
    <s v="LOS ANDES"/>
    <x v="2"/>
  </r>
  <r>
    <n v="19"/>
    <d v="2019-07-13T00:00:00"/>
    <x v="6"/>
    <x v="6"/>
    <x v="1"/>
    <s v="SERVICIOS PERSONALES"/>
    <s v="ALIMENTACION DE EMPLEADOS CTA NUEVA"/>
    <s v="TRANSACCIONES DEL DIA 07/13/2019SPYRAL - GESTION ADMINISTRATIVA"/>
    <n v="16"/>
    <n v="0"/>
    <s v="LOS ANDES"/>
    <x v="2"/>
  </r>
  <r>
    <n v="19"/>
    <d v="2019-07-27T00:00:00"/>
    <x v="6"/>
    <x v="6"/>
    <x v="1"/>
    <s v="SERVICIOS PERSONALES"/>
    <s v="ALIMENTACION DE EMPLEADOS CTA NUEVA"/>
    <s v="TRANSACCIONES DEL DIA 07/27/2019SPYRAL - GESTION ADMINISTRATIVA"/>
    <n v="8"/>
    <n v="0"/>
    <s v="LOS ANDES"/>
    <x v="2"/>
  </r>
  <r>
    <n v="20"/>
    <d v="2019-05-27T00:00:00"/>
    <x v="11"/>
    <x v="11"/>
    <x v="1"/>
    <s v="ADMINISTRACION DE SUCURSALES"/>
    <s v="NC ALIMENTACION DE EMPLEADOS NVA"/>
    <s v="TRANSACCIONES DEL DIA 05/27/2019SPYRAL - GESTION ADMINISTRATIVA"/>
    <n v="55.64"/>
    <n v="0"/>
    <s v="VIA ESPANA"/>
    <x v="2"/>
  </r>
  <r>
    <n v="20"/>
    <d v="2019-03-19T00:00:00"/>
    <x v="9"/>
    <x v="9"/>
    <x v="1"/>
    <s v="CAJA"/>
    <s v="ALIMENTACION DE EMPLEADOS CTA NUEVA"/>
    <s v="TRANSACCIONES DEL DIA 03/19/2019SPYRAL - GESTION ADMINISTRATIVA"/>
    <n v="8"/>
    <n v="0"/>
    <s v="VIA ESPANA"/>
    <x v="2"/>
  </r>
  <r>
    <n v="21"/>
    <d v="2019-03-07T00:00:00"/>
    <x v="9"/>
    <x v="9"/>
    <x v="1"/>
    <s v="ADMINISTRACION DE SUCURSALES"/>
    <s v="NC ALIMENTACION DE EMPLEADOS NVA"/>
    <s v="TRANSACCIONES DEL DIA 03/07/2019SPYRAL - GESTION ADMINISTRATIVA"/>
    <n v="60"/>
    <n v="0"/>
    <s v="AVENIDA CUBA"/>
    <x v="2"/>
  </r>
  <r>
    <n v="21"/>
    <d v="2019-06-17T00:00:00"/>
    <x v="2"/>
    <x v="2"/>
    <x v="1"/>
    <s v="ADMINISTRACION DE SUCURSALES"/>
    <s v="NC ALIMENTACION DE EMPLEADOS NVA"/>
    <s v="TRANSACCIONES DEL DIA 06/17/2019SPYRAL - GESTION ADMINISTRATIVA"/>
    <n v="47.98"/>
    <n v="0"/>
    <s v="AVENIDA CUBA"/>
    <x v="2"/>
  </r>
  <r>
    <n v="22"/>
    <d v="2019-01-02T00:00:00"/>
    <x v="7"/>
    <x v="7"/>
    <x v="1"/>
    <s v="ADMINISTRACION DE SUCURSALES"/>
    <s v="ALIMENTACION DE EMPLEADOS CTA NUEVA"/>
    <s v="TRANSACCIONES DEL DIA 01/02/2019SPYRAL - GESTION ADMINISTRATIVA"/>
    <n v="16"/>
    <n v="0"/>
    <s v="CHITRE"/>
    <x v="2"/>
  </r>
  <r>
    <n v="22"/>
    <d v="2019-03-13T00:00:00"/>
    <x v="9"/>
    <x v="9"/>
    <x v="1"/>
    <s v="ADMINISTRACION DE SUCURSALES"/>
    <s v="NC ALIMENTACION DE EMPLEADOS NVA"/>
    <s v="TRANSACCIONES DEL DIA 03/13/2019SPYRAL - GESTION ADMINISTRATIVA"/>
    <n v="67.16"/>
    <n v="0"/>
    <s v="CHITRE"/>
    <x v="2"/>
  </r>
  <r>
    <n v="22"/>
    <d v="2019-03-25T00:00:00"/>
    <x v="9"/>
    <x v="9"/>
    <x v="1"/>
    <s v="ADMINISTRACION DE SUCURSALES"/>
    <s v="ALIMENTACION DE EMPLEADOS CTA NUEVA"/>
    <s v="TRANSACCIONES DEL DIA 03/25/2019SPYRAL - GESTION ADMINISTRATIVA"/>
    <n v="8"/>
    <n v="0"/>
    <s v="CHITRE"/>
    <x v="2"/>
  </r>
  <r>
    <n v="22"/>
    <d v="2019-03-27T00:00:00"/>
    <x v="9"/>
    <x v="9"/>
    <x v="1"/>
    <s v="ADMINISTRACION DE SUCURSALES"/>
    <s v="ALIMENTACION DE EMPLEADOS CTA NUEVA"/>
    <s v="TRANSACCIONES DEL DIA 03/27/2019SPYRAL - GESTION ADMINISTRATIVA"/>
    <n v="8"/>
    <n v="0"/>
    <s v="CHITRE"/>
    <x v="2"/>
  </r>
  <r>
    <n v="22"/>
    <d v="2019-01-02T00:00:00"/>
    <x v="7"/>
    <x v="7"/>
    <x v="1"/>
    <s v="CAJA"/>
    <s v="ALIMENTACION DE EMPLEADOS CTA NUEVA"/>
    <s v="TRANSACCIONES DEL DIA 01/02/2019SPYRAL - GESTION ADMINISTRATIVA"/>
    <n v="32"/>
    <n v="0"/>
    <s v="CHITRE"/>
    <x v="2"/>
  </r>
  <r>
    <n v="22"/>
    <d v="2019-01-02T00:00:00"/>
    <x v="7"/>
    <x v="7"/>
    <x v="1"/>
    <s v="SERVICIOS PERSONALES"/>
    <s v="ALIMENTACION DE EMPLEADOS CTA NUEVA"/>
    <s v="TRANSACCIONES DEL DIA 01/02/2019SPYRAL - GESTION ADMINISTRATIVA"/>
    <n v="8"/>
    <n v="0"/>
    <s v="CHITRE"/>
    <x v="2"/>
  </r>
  <r>
    <n v="23"/>
    <d v="2019-06-01T00:00:00"/>
    <x v="2"/>
    <x v="2"/>
    <x v="1"/>
    <s v="ADMINISTRACION DE SUCURSALES"/>
    <s v="ALIMENTACION DE EMPLEADOS CTA NUEVA"/>
    <s v="TRANSACCIONES DEL DIA 06/01/2019SPYRAL - GESTION ADMINISTRATIVA"/>
    <n v="8"/>
    <n v="0"/>
    <s v="LOS PUEBLOS"/>
    <x v="2"/>
  </r>
  <r>
    <n v="23"/>
    <d v="2019-01-02T00:00:00"/>
    <x v="7"/>
    <x v="7"/>
    <x v="1"/>
    <s v="CAJA"/>
    <s v="ALIMENTACION DE EMPLEADOS CTA NUEVA"/>
    <s v="TRANSACCIONES DEL DIA 01/02/2019SPYRAL - GESTION ADMINISTRATIVA"/>
    <n v="16"/>
    <n v="0"/>
    <s v="LOS PUEBLOS"/>
    <x v="2"/>
  </r>
  <r>
    <n v="23"/>
    <d v="2019-01-03T00:00:00"/>
    <x v="7"/>
    <x v="7"/>
    <x v="1"/>
    <s v="CAJA"/>
    <s v="ALIMENTACION DE EMPLEADOS CTA NUEVA"/>
    <s v="TRANSACCIONES DEL DIA 01/03/2019SPYRAL - GESTION ADMINISTRATIVA"/>
    <n v="8"/>
    <n v="0"/>
    <s v="LOS PUEBLOS"/>
    <x v="2"/>
  </r>
  <r>
    <n v="23"/>
    <d v="2019-02-07T00:00:00"/>
    <x v="8"/>
    <x v="8"/>
    <x v="1"/>
    <s v="CAJA"/>
    <s v="ALIMENTACION DE EMPLEADOS CTA NUEVA"/>
    <s v="TRANSACCIONES DEL DIA 02/07/2019SPYRAL - GESTION ADMINISTRATIVA"/>
    <n v="16"/>
    <n v="0"/>
    <s v="LOS PUEBLOS"/>
    <x v="2"/>
  </r>
  <r>
    <n v="23"/>
    <d v="2019-02-18T00:00:00"/>
    <x v="8"/>
    <x v="8"/>
    <x v="1"/>
    <s v="CAJA"/>
    <s v="ALIMENTACION DE EMPLEADOS CTA NUEVA"/>
    <s v="TRANSACCIONES DEL DIA 02/18/2019SPYRAL - GESTION ADMINISTRATIVA"/>
    <n v="16"/>
    <n v="0"/>
    <s v="LOS PUEBLOS"/>
    <x v="2"/>
  </r>
  <r>
    <n v="23"/>
    <d v="2019-03-06T00:00:00"/>
    <x v="9"/>
    <x v="9"/>
    <x v="1"/>
    <s v="CAJA"/>
    <s v="ALIMENTACION DE EMPLEADOS CTA NUEVA"/>
    <s v="TRANSACCIONES DEL DIA 03/06/2019SPYRAL - GESTION ADMINISTRATIVA"/>
    <n v="16"/>
    <n v="0"/>
    <s v="LOS PUEBLOS"/>
    <x v="2"/>
  </r>
  <r>
    <n v="23"/>
    <d v="2019-03-11T00:00:00"/>
    <x v="9"/>
    <x v="9"/>
    <x v="1"/>
    <s v="CAJA"/>
    <s v="ALIMENTACION DE EMPLEADOS CTA NUEVA"/>
    <s v="TRANSACCIONES DEL DIA 03/11/2019SPYRAL - GESTION ADMINISTRATIVA"/>
    <n v="24"/>
    <n v="0"/>
    <s v="LOS PUEBLOS"/>
    <x v="2"/>
  </r>
  <r>
    <n v="23"/>
    <d v="2019-03-18T00:00:00"/>
    <x v="9"/>
    <x v="9"/>
    <x v="1"/>
    <s v="CAJA"/>
    <s v="ALIMENTACION DE EMPLEADOS CTA NUEVA"/>
    <s v="TRANSACCIONES DEL DIA 03/18/2019SPYRAL - GESTION ADMINISTRATIVA"/>
    <n v="24"/>
    <n v="0"/>
    <s v="LOS PUEBLOS"/>
    <x v="2"/>
  </r>
  <r>
    <n v="23"/>
    <d v="2019-03-19T00:00:00"/>
    <x v="9"/>
    <x v="9"/>
    <x v="1"/>
    <s v="CAJA"/>
    <s v="ALIMENTACION DE EMPLEADOS CTA NUEVA"/>
    <s v="TRANSACCIONES DEL DIA 03/19/2019SPYRAL - GESTION ADMINISTRATIVA"/>
    <n v="16"/>
    <n v="0"/>
    <s v="LOS PUEBLOS"/>
    <x v="2"/>
  </r>
  <r>
    <n v="23"/>
    <d v="2019-04-02T00:00:00"/>
    <x v="10"/>
    <x v="10"/>
    <x v="1"/>
    <s v="CAJA"/>
    <s v="ALIMENTACION DE EMPLEADOS CTA NUEVA"/>
    <s v="TRANSACCIONES DEL DIA 04/02/2019SPYRAL - GESTION ADMINISTRATIVA"/>
    <n v="16"/>
    <n v="0"/>
    <s v="LOS PUEBLOS"/>
    <x v="2"/>
  </r>
  <r>
    <n v="23"/>
    <d v="2019-04-23T00:00:00"/>
    <x v="10"/>
    <x v="10"/>
    <x v="1"/>
    <s v="CAJA"/>
    <s v="ALIMENTACION DE EMPLEADOS CTA NUEVA"/>
    <s v="TRANSACCIONES DEL DIA 04/23/2019SPYRAL - GESTION ADMINISTRATIVA"/>
    <n v="48"/>
    <n v="0"/>
    <s v="LOS PUEBLOS"/>
    <x v="2"/>
  </r>
  <r>
    <n v="23"/>
    <d v="2019-05-07T00:00:00"/>
    <x v="11"/>
    <x v="11"/>
    <x v="1"/>
    <s v="CAJA"/>
    <s v="ALIMENTACION DE EMPLEADOS CTA NUEVA"/>
    <s v="TRANSACCIONES DEL DIA 05/07/2019SPYRAL - GESTION ADMINISTRATIVA"/>
    <n v="80"/>
    <n v="0"/>
    <s v="LOS PUEBLOS"/>
    <x v="2"/>
  </r>
  <r>
    <n v="23"/>
    <d v="2019-05-16T00:00:00"/>
    <x v="11"/>
    <x v="11"/>
    <x v="1"/>
    <s v="CAJA"/>
    <s v="ALIMENTACION DE EMPLEADOS CTA NUEVA"/>
    <s v="TRANSACCIONES DEL DIA 05/16/2019SPYRAL - GESTION ADMINISTRATIVA"/>
    <n v="8"/>
    <n v="0"/>
    <s v="LOS PUEBLOS"/>
    <x v="2"/>
  </r>
  <r>
    <n v="23"/>
    <d v="2019-05-21T00:00:00"/>
    <x v="11"/>
    <x v="11"/>
    <x v="1"/>
    <s v="CAJA"/>
    <s v="ALIMENTACION DE EMPLEADOS CTA NUEVA"/>
    <s v="TRANSACCIONES DEL DIA 05/21/2019SPYRAL - GESTION ADMINISTRATIVA"/>
    <n v="24"/>
    <n v="0"/>
    <s v="LOS PUEBLOS"/>
    <x v="2"/>
  </r>
  <r>
    <n v="23"/>
    <d v="2019-06-01T00:00:00"/>
    <x v="2"/>
    <x v="2"/>
    <x v="1"/>
    <s v="CAJA"/>
    <s v="ALIMENTACION DE EMPLEADOS CTA NUEVA"/>
    <s v="TRANSACCIONES DEL DIA 06/01/2019SPYRAL - GESTION ADMINISTRATIVA"/>
    <n v="32"/>
    <n v="0"/>
    <s v="LOS PUEBLOS"/>
    <x v="2"/>
  </r>
  <r>
    <n v="23"/>
    <d v="2019-06-08T00:00:00"/>
    <x v="2"/>
    <x v="2"/>
    <x v="1"/>
    <s v="CAJA"/>
    <s v="ALIMENTACION DE EMPLEADOS CTA NUEVA"/>
    <s v="TRANSACCIONES DEL DIA 06/08/2019SPYRAL - GESTION ADMINISTRATIVA"/>
    <n v="16"/>
    <n v="0"/>
    <s v="LOS PUEBLOS"/>
    <x v="2"/>
  </r>
  <r>
    <n v="23"/>
    <d v="2019-06-14T00:00:00"/>
    <x v="2"/>
    <x v="2"/>
    <x v="1"/>
    <s v="CAJA"/>
    <s v="ALIMENTACION DE EMPLEADOS CTA NUEVA"/>
    <s v="TRANSACCIONES DEL DIA 06/14/2019SPYRAL - GESTION ADMINISTRATIVA"/>
    <n v="8"/>
    <n v="0"/>
    <s v="LOS PUEBLOS"/>
    <x v="2"/>
  </r>
  <r>
    <n v="23"/>
    <d v="2019-06-18T00:00:00"/>
    <x v="2"/>
    <x v="2"/>
    <x v="1"/>
    <s v="CAJA"/>
    <s v="ALIMENTACION DE EMPLEADOS CTA NUEVA"/>
    <s v="TRANSACCIONES DEL DIA 06/18/2019SPYRAL - GESTION ADMINISTRATIVA"/>
    <n v="24"/>
    <n v="0"/>
    <s v="LOS PUEBLOS"/>
    <x v="2"/>
  </r>
  <r>
    <n v="23"/>
    <d v="2019-06-21T00:00:00"/>
    <x v="2"/>
    <x v="2"/>
    <x v="1"/>
    <s v="CAJA"/>
    <s v="ALIMENTACION DE EMPLEADOS CTA NUEVA"/>
    <s v="TRANSACCIONES DEL DIA 06/21/2019SPYRAL - GESTION ADMINISTRATIVA"/>
    <n v="16"/>
    <n v="0"/>
    <s v="LOS PUEBLOS"/>
    <x v="2"/>
  </r>
  <r>
    <n v="23"/>
    <d v="2019-06-22T00:00:00"/>
    <x v="2"/>
    <x v="2"/>
    <x v="1"/>
    <s v="CAJA"/>
    <s v="ALIMENTACION DE EMPLEADOS CTA NUEVA"/>
    <s v="TRANSACCIONES DEL DIA 06/22/2019SPYRAL - GESTION ADMINISTRATIVA"/>
    <n v="16"/>
    <n v="0"/>
    <s v="LOS PUEBLOS"/>
    <x v="2"/>
  </r>
  <r>
    <n v="23"/>
    <d v="2019-07-08T00:00:00"/>
    <x v="6"/>
    <x v="6"/>
    <x v="1"/>
    <s v="CAJA"/>
    <s v="ALIMENTACION DE EMPLEADOS CTA NUEVA"/>
    <s v="TRANSACCIONES DEL DIA 07/08/2019SPYRAL - GESTION ADMINISTRATIVA"/>
    <n v="8"/>
    <n v="0"/>
    <s v="LOS PUEBLOS"/>
    <x v="2"/>
  </r>
  <r>
    <n v="23"/>
    <d v="2019-07-10T00:00:00"/>
    <x v="6"/>
    <x v="6"/>
    <x v="1"/>
    <s v="CAJA"/>
    <s v="ALIMENTACION DE EMPLEADOS CTA NUEVA"/>
    <s v="TRANSACCIONES DEL DIA 07/10/2019SPYRAL - GESTION ADMINISTRATIVA"/>
    <n v="8"/>
    <n v="0"/>
    <s v="LOS PUEBLOS"/>
    <x v="2"/>
  </r>
  <r>
    <n v="23"/>
    <d v="2019-07-11T00:00:00"/>
    <x v="6"/>
    <x v="6"/>
    <x v="1"/>
    <s v="CAJA"/>
    <s v="ALIMENTACION DE EMPLEADOS CTA NUEVA"/>
    <s v="TRANSACCIONES DEL DIA 07/11/2019SPYRAL - GESTION ADMINISTRATIVA"/>
    <n v="16"/>
    <n v="0"/>
    <s v="LOS PUEBLOS"/>
    <x v="2"/>
  </r>
  <r>
    <n v="23"/>
    <d v="2019-07-17T00:00:00"/>
    <x v="6"/>
    <x v="6"/>
    <x v="1"/>
    <s v="CAJA"/>
    <s v="ALIMENTACION DE EMPLEADOS CTA NUEVA"/>
    <s v="TRANSACCIONES DEL DIA 07/17/2019SPYRAL - GESTION ADMINISTRATIVA"/>
    <n v="24"/>
    <n v="0"/>
    <s v="LOS PUEBLOS"/>
    <x v="2"/>
  </r>
  <r>
    <n v="23"/>
    <d v="2019-07-24T00:00:00"/>
    <x v="6"/>
    <x v="6"/>
    <x v="1"/>
    <s v="CAJA"/>
    <s v="ALIMENTACION DE EMPLEADOS CTA NUEVA"/>
    <s v="TRANSACCIONES DEL DIA 07/24/2019SPYRAL - GESTION ADMINISTRATIVA"/>
    <n v="24"/>
    <n v="0"/>
    <s v="LOS PUEBLOS"/>
    <x v="2"/>
  </r>
  <r>
    <n v="23"/>
    <d v="2019-04-02T00:00:00"/>
    <x v="10"/>
    <x v="10"/>
    <x v="1"/>
    <s v="SERVICIOS PERSONALES"/>
    <s v="ALIMENTACION DE EMPLEADOS CTA NUEVA"/>
    <s v="TRANSACCIONES DEL DIA 04/02/2019SPYRAL - GESTION ADMINISTRATIVA"/>
    <n v="8"/>
    <n v="0"/>
    <s v="LOS PUEBLOS"/>
    <x v="2"/>
  </r>
  <r>
    <n v="23"/>
    <d v="2019-04-12T00:00:00"/>
    <x v="10"/>
    <x v="10"/>
    <x v="1"/>
    <s v="SERVICIOS PERSONALES"/>
    <s v="ALIMENTACION DE EMPLEADOS CTA NUEVA"/>
    <s v="TRANSACCIONES DEL DIA 04/12/2019SPYRAL - GESTION ADMINISTRATIVA"/>
    <n v="8"/>
    <n v="0"/>
    <s v="LOS PUEBLOS"/>
    <x v="2"/>
  </r>
  <r>
    <n v="23"/>
    <d v="2019-05-25T00:00:00"/>
    <x v="11"/>
    <x v="11"/>
    <x v="1"/>
    <s v="SERVICIOS PERSONALES"/>
    <s v="ALIMENTACION DE EMPLEADOS CTA NUEVA"/>
    <s v="TRANSACCIONES DEL DIA 05/25/2019SPYRAL - GESTION ADMINISTRATIVA"/>
    <n v="8"/>
    <n v="0"/>
    <s v="LOS PUEBLOS"/>
    <x v="2"/>
  </r>
  <r>
    <n v="23"/>
    <d v="2019-06-01T00:00:00"/>
    <x v="2"/>
    <x v="2"/>
    <x v="1"/>
    <s v="SERVICIOS PERSONALES"/>
    <s v="ALIMENTACION DE EMPLEADOS CTA NUEVA"/>
    <s v="TRANSACCIONES DEL DIA 06/01/2019SPYRAL - GESTION ADMINISTRATIVA"/>
    <n v="8"/>
    <n v="0"/>
    <s v="LOS PUEBLOS"/>
    <x v="2"/>
  </r>
  <r>
    <n v="23"/>
    <d v="2019-06-08T00:00:00"/>
    <x v="2"/>
    <x v="2"/>
    <x v="1"/>
    <s v="SERVICIOS PERSONALES"/>
    <s v="ALIMENTACION DE EMPLEADOS CTA NUEVA"/>
    <s v="TRANSACCIONES DEL DIA 06/08/2019SPYRAL - GESTION ADMINISTRATIVA"/>
    <n v="8"/>
    <n v="0"/>
    <s v="LOS PUEBLOS"/>
    <x v="2"/>
  </r>
  <r>
    <n v="23"/>
    <d v="2019-06-22T00:00:00"/>
    <x v="2"/>
    <x v="2"/>
    <x v="1"/>
    <s v="SERVICIOS PERSONALES"/>
    <s v="ALIMENTACION DE EMPLEADOS CTA NUEVA"/>
    <s v="TRANSACCIONES DEL DIA 06/22/2019SPYRAL - GESTION ADMINISTRATIVA"/>
    <n v="8"/>
    <n v="0"/>
    <s v="LOS PUEBLOS"/>
    <x v="2"/>
  </r>
  <r>
    <n v="26"/>
    <d v="2019-04-22T00:00:00"/>
    <x v="10"/>
    <x v="10"/>
    <x v="1"/>
    <s v="ADMINISTRACION DE SUCURSALES"/>
    <s v="ALIMENTACION DE EMPLEADOS CTA NUEVA"/>
    <s v="TRANSACCIONES DEL DIA 04/22/2019SPYRAL - GESTION ADMINISTRATIVA"/>
    <n v="8"/>
    <n v="0"/>
    <s v="TRANSISTMICA"/>
    <x v="2"/>
  </r>
  <r>
    <n v="26"/>
    <d v="2019-05-02T00:00:00"/>
    <x v="11"/>
    <x v="11"/>
    <x v="1"/>
    <s v="ADMINISTRACION DE SUCURSALES"/>
    <s v="ALIMENTACION DE EMPLEADOS CTA NUEVA"/>
    <s v="TRANSACCIONES DEL DIA 05/02/2019SPYRAL - GESTION ADMINISTRATIVA"/>
    <n v="8"/>
    <n v="0"/>
    <s v="TRANSISTMICA"/>
    <x v="2"/>
  </r>
  <r>
    <n v="26"/>
    <d v="2019-01-07T00:00:00"/>
    <x v="7"/>
    <x v="7"/>
    <x v="1"/>
    <s v="CAJA"/>
    <s v="ALIMENTACION DE EMPLEADOS CTA NUEVA"/>
    <s v="TRANSACCIONES DEL DIA 01/07/2019SPYRAL - GESTION ADMINISTRATIVA"/>
    <n v="40"/>
    <n v="0"/>
    <s v="TRANSISTMICA"/>
    <x v="2"/>
  </r>
  <r>
    <n v="26"/>
    <d v="2019-01-22T00:00:00"/>
    <x v="7"/>
    <x v="7"/>
    <x v="1"/>
    <s v="CAJA"/>
    <s v="ALIMENTACION DE EMPLEADOS CTA NUEVA"/>
    <s v="TRANSACCIONES DEL DIA 01/22/2019SPYRAL - GESTION ADMINISTRATIVA"/>
    <n v="80"/>
    <n v="0"/>
    <s v="TRANSISTMICA"/>
    <x v="2"/>
  </r>
  <r>
    <n v="26"/>
    <d v="2019-02-04T00:00:00"/>
    <x v="8"/>
    <x v="8"/>
    <x v="1"/>
    <s v="CAJA"/>
    <s v="ALIMENTACION DE EMPLEADOS CTA NUEVA"/>
    <s v="TRANSACCIONES DEL DIA 02/04/2019SPYRAL - GESTION ADMINISTRATIVA"/>
    <n v="96"/>
    <n v="0"/>
    <s v="TRANSISTMICA"/>
    <x v="2"/>
  </r>
  <r>
    <n v="26"/>
    <d v="2019-02-20T00:00:00"/>
    <x v="8"/>
    <x v="8"/>
    <x v="1"/>
    <s v="CAJA"/>
    <s v="ALIMENTACION DE EMPLEADOS CTA NUEVA"/>
    <s v="TRANSACCIONES DEL DIA 02/20/2019SPYRAL - GESTION ADMINISTRATIVA"/>
    <n v="48"/>
    <n v="0"/>
    <s v="TRANSISTMICA"/>
    <x v="2"/>
  </r>
  <r>
    <n v="26"/>
    <d v="2019-03-11T00:00:00"/>
    <x v="9"/>
    <x v="9"/>
    <x v="1"/>
    <s v="CAJA"/>
    <s v="ALIMENTACION DE EMPLEADOS CTA NUEVA"/>
    <s v="TRANSACCIONES DEL DIA 03/11/2019SPYRAL - GESTION ADMINISTRATIVA"/>
    <n v="80"/>
    <n v="0"/>
    <s v="TRANSISTMICA"/>
    <x v="2"/>
  </r>
  <r>
    <n v="26"/>
    <d v="2019-03-14T00:00:00"/>
    <x v="9"/>
    <x v="9"/>
    <x v="1"/>
    <s v="CAJA"/>
    <s v="ALIMENTACION DE EMPLEADOS CTA NUEVA"/>
    <s v="TRANSACCIONES DEL DIA 03/14/2019SPYRAL - GESTION ADMINISTRATIVA"/>
    <n v="16"/>
    <n v="0"/>
    <s v="TRANSISTMICA"/>
    <x v="2"/>
  </r>
  <r>
    <n v="26"/>
    <d v="2019-03-18T00:00:00"/>
    <x v="9"/>
    <x v="9"/>
    <x v="1"/>
    <s v="CAJA"/>
    <s v="ALIMENTACION DE EMPLEADOS CTA NUEVA"/>
    <s v="TRANSACCIONES DEL DIA 03/18/2019SPYRAL - GESTION ADMINISTRATIVA"/>
    <n v="56"/>
    <n v="0"/>
    <s v="TRANSISTMICA"/>
    <x v="2"/>
  </r>
  <r>
    <n v="26"/>
    <d v="2019-04-03T00:00:00"/>
    <x v="10"/>
    <x v="10"/>
    <x v="1"/>
    <s v="CAJA"/>
    <s v="ALIMENTACION DE EMPLEADOS CTA NUEVA"/>
    <s v="TRANSACCIONES DEL DIA 04/03/2019SPYRAL - GESTION ADMINISTRATIVA"/>
    <n v="64"/>
    <n v="0"/>
    <s v="TRANSISTMICA"/>
    <x v="2"/>
  </r>
  <r>
    <n v="26"/>
    <d v="2019-04-24T00:00:00"/>
    <x v="10"/>
    <x v="10"/>
    <x v="1"/>
    <s v="CAJA"/>
    <s v="ALIMENTACION DE EMPLEADOS CTA NUEVA"/>
    <s v="TRANSACCIONES DEL DIA 04/24/2019SPYRAL - GESTION ADMINISTRATIVA"/>
    <n v="104"/>
    <n v="0"/>
    <s v="TRANSISTMICA"/>
    <x v="2"/>
  </r>
  <r>
    <n v="26"/>
    <d v="2019-05-04T00:00:00"/>
    <x v="11"/>
    <x v="11"/>
    <x v="1"/>
    <s v="CAJA"/>
    <s v="ALIMENTACION DE EMPLEADOS CTA NUEVA"/>
    <s v="TRANSACCIONES DEL DIA 05/04/2019SPYRAL - GESTION ADMINISTRATIVA"/>
    <n v="80"/>
    <n v="0"/>
    <s v="TRANSISTMICA"/>
    <x v="2"/>
  </r>
  <r>
    <n v="26"/>
    <d v="2019-05-16T00:00:00"/>
    <x v="11"/>
    <x v="11"/>
    <x v="1"/>
    <s v="CAJA"/>
    <s v="ALIMENTACION DE EMPLEADOS CTA NUEVA"/>
    <s v="TRANSACCIONES DEL DIA 05/16/2019SPYRAL - GESTION ADMINISTRATIVA"/>
    <n v="24"/>
    <n v="0"/>
    <s v="TRANSISTMICA"/>
    <x v="2"/>
  </r>
  <r>
    <n v="26"/>
    <d v="2019-05-21T00:00:00"/>
    <x v="11"/>
    <x v="11"/>
    <x v="1"/>
    <s v="CAJA"/>
    <s v="ALIMENTACION DE EMPLEADOS CTA NUEVA"/>
    <s v="TRANSACCIONES DEL DIA 05/21/2019SPYRAL - GESTION ADMINISTRATIVA"/>
    <n v="72"/>
    <n v="0"/>
    <s v="TRANSISTMICA"/>
    <x v="2"/>
  </r>
  <r>
    <n v="26"/>
    <d v="2019-05-29T00:00:00"/>
    <x v="11"/>
    <x v="11"/>
    <x v="1"/>
    <s v="CAJA"/>
    <s v="ALIMENTACION DE EMPLEADOS CTA NUEVA"/>
    <s v="TRANSACCIONES DEL DIA 05/29/2019SPYRAL - GESTION ADMINISTRATIVA"/>
    <n v="8"/>
    <n v="0"/>
    <s v="TRANSISTMICA"/>
    <x v="2"/>
  </r>
  <r>
    <n v="26"/>
    <d v="2019-06-04T00:00:00"/>
    <x v="2"/>
    <x v="2"/>
    <x v="1"/>
    <s v="CAJA"/>
    <s v="ALIMENTACION DE EMPLEADOS CTA NUEVA"/>
    <s v="TRANSACCIONES DEL DIA 06/04/2019SPYRAL - GESTION ADMINISTRATIVA"/>
    <n v="104"/>
    <n v="0"/>
    <s v="TRANSISTMICA"/>
    <x v="2"/>
  </r>
  <r>
    <n v="26"/>
    <d v="2019-06-25T00:00:00"/>
    <x v="2"/>
    <x v="2"/>
    <x v="1"/>
    <s v="CAJA"/>
    <s v="ALIMENTACION DE EMPLEADOS CTA NUEVA"/>
    <s v="TRANSACCIONES DEL DIA 06/25/2019SPYRAL - GESTION ADMINISTRATIVA"/>
    <n v="80"/>
    <n v="0"/>
    <s v="TRANSISTMICA"/>
    <x v="2"/>
  </r>
  <r>
    <n v="26"/>
    <d v="2019-07-03T00:00:00"/>
    <x v="6"/>
    <x v="6"/>
    <x v="1"/>
    <s v="CAJA"/>
    <s v="ALIMENTACION DE EMPLEADOS CTA NUEVA"/>
    <s v="TRANSACCIONES DEL DIA 07/03/2019SPYRAL - GESTION ADMINISTRATIVA"/>
    <n v="24"/>
    <n v="0"/>
    <s v="TRANSISTMICA"/>
    <x v="2"/>
  </r>
  <r>
    <n v="26"/>
    <d v="2019-07-08T00:00:00"/>
    <x v="6"/>
    <x v="6"/>
    <x v="1"/>
    <s v="CAJA"/>
    <s v="ALIMENTACION DE EMPLEADOS CTA NUEVA"/>
    <s v="TRANSACCIONES DEL DIA 07/08/2019SPYRAL - GESTION ADMINISTRATIVA"/>
    <n v="24"/>
    <n v="0"/>
    <s v="TRANSISTMICA"/>
    <x v="2"/>
  </r>
  <r>
    <n v="26"/>
    <d v="2019-07-11T00:00:00"/>
    <x v="6"/>
    <x v="6"/>
    <x v="1"/>
    <s v="CAJA"/>
    <s v="ALIMENTACION DE EMPLEADOS CTA NUEVA"/>
    <s v="TRANSACCIONES DEL DIA 07/11/2019SPYRAL - GESTION ADMINISTRATIVA"/>
    <n v="8"/>
    <n v="0"/>
    <s v="TRANSISTMICA"/>
    <x v="2"/>
  </r>
  <r>
    <n v="26"/>
    <d v="2019-07-19T00:00:00"/>
    <x v="6"/>
    <x v="6"/>
    <x v="1"/>
    <s v="CAJA"/>
    <s v="ALIMENTACION DE EMPLEADOS CTA NUEVA"/>
    <s v="TRANSACCIONES DEL DIA 07/19/2019SPYRAL - GESTION ADMINISTRATIVA"/>
    <n v="56"/>
    <n v="0"/>
    <s v="TRANSISTMICA"/>
    <x v="2"/>
  </r>
  <r>
    <n v="26"/>
    <d v="2019-07-22T00:00:00"/>
    <x v="6"/>
    <x v="6"/>
    <x v="1"/>
    <s v="CAJA"/>
    <s v="ALIMENTACION DE EMPLEADOS CTA NUEVA"/>
    <s v="TRANSACCIONES DEL DIA 07/22/2019SPYRAL - GESTION ADMINISTRATIVA"/>
    <n v="8"/>
    <n v="0"/>
    <s v="TRANSISTMICA"/>
    <x v="2"/>
  </r>
  <r>
    <n v="26"/>
    <d v="2019-01-11T00:00:00"/>
    <x v="7"/>
    <x v="7"/>
    <x v="1"/>
    <s v="SERVICIOS PERSONALES"/>
    <s v="ALIMENTACION DE EMPLEADOS CTA NUEVA"/>
    <s v="TRANSACCIONES DEL DIA 01/11/2019SPYRAL - GESTION ADMINISTRATIVA"/>
    <n v="16"/>
    <n v="0"/>
    <s v="TRANSISTMICA"/>
    <x v="2"/>
  </r>
  <r>
    <n v="26"/>
    <d v="2019-03-18T00:00:00"/>
    <x v="9"/>
    <x v="9"/>
    <x v="1"/>
    <s v="SERVICIOS PERSONALES"/>
    <s v="ALIMENTACION DE EMPLEADOS CTA NUEVA"/>
    <s v="TRANSACCIONES DEL DIA 03/18/2019SPYRAL - GESTION ADMINISTRATIVA"/>
    <n v="8"/>
    <n v="0"/>
    <s v="TRANSISTMICA"/>
    <x v="2"/>
  </r>
  <r>
    <n v="26"/>
    <d v="2019-05-02T00:00:00"/>
    <x v="11"/>
    <x v="11"/>
    <x v="1"/>
    <s v="SERVICIOS PERSONALES"/>
    <s v="ALIMENTACION DE EMPLEADOS CTA NUEVA"/>
    <s v="TRANSACCIONES DEL DIA 05/02/2019SPYRAL - GESTION ADMINISTRATIVA"/>
    <n v="16"/>
    <n v="0"/>
    <s v="TRANSISTMICA"/>
    <x v="2"/>
  </r>
  <r>
    <n v="26"/>
    <d v="2019-05-22T00:00:00"/>
    <x v="11"/>
    <x v="11"/>
    <x v="1"/>
    <s v="SERVICIOS PERSONALES"/>
    <s v="ALIMENTACION DE EMPLEADOS CTA NUEVA"/>
    <s v="TRANSACCIONES DEL DIA 05/22/2019SPYRAL - GESTION ADMINISTRATIVA"/>
    <n v="8"/>
    <n v="0"/>
    <s v="TRANSISTMICA"/>
    <x v="2"/>
  </r>
  <r>
    <n v="26"/>
    <d v="2019-07-11T00:00:00"/>
    <x v="6"/>
    <x v="6"/>
    <x v="1"/>
    <s v="SERVICIOS PERSONALES"/>
    <s v="ALIMENTACION DE EMPLEADOS CTA NUEVA"/>
    <s v="TRANSACCIONES DEL DIA 07/11/2019SPYRAL - GESTION ADMINISTRATIVA"/>
    <n v="32"/>
    <n v="0"/>
    <s v="TRANSISTMICA"/>
    <x v="2"/>
  </r>
  <r>
    <n v="30"/>
    <d v="2019-03-29T00:00:00"/>
    <x v="9"/>
    <x v="9"/>
    <x v="1"/>
    <s v="ADMINISTRACION DE SUCURSALES"/>
    <s v="ALIMENTACION DE EMPLEADOS CTA NUEVA"/>
    <s v="TRANSACCIONES DEL DIA 03/29/2019SPYRAL - GESTION ADMINISTRATIVA"/>
    <n v="70"/>
    <n v="0"/>
    <s v="DAVID"/>
    <x v="2"/>
  </r>
  <r>
    <n v="30"/>
    <d v="2019-07-02T00:00:00"/>
    <x v="6"/>
    <x v="6"/>
    <x v="1"/>
    <s v="ADMINISTRACION DE SUCURSALES"/>
    <s v="ALIMENTACION DE EMPLEADOS CTA NUEVA"/>
    <s v="TRANSACCIONES DEL DIA 07/02/2019SPYRAL - GESTION ADMINISTRATIVA"/>
    <n v="8"/>
    <n v="0"/>
    <s v="DAVID"/>
    <x v="2"/>
  </r>
  <r>
    <n v="30"/>
    <d v="2019-07-05T00:00:00"/>
    <x v="6"/>
    <x v="6"/>
    <x v="1"/>
    <s v="ADMINISTRACION DE SUCURSALES"/>
    <s v="ALIMENTACION DE EMPLEADOS CTA NUEVA"/>
    <s v="TRANSACCIONES DEL DIA 07/05/2019SPYRAL - GESTION ADMINISTRATIVA"/>
    <n v="8"/>
    <n v="0"/>
    <s v="DAVID"/>
    <x v="2"/>
  </r>
  <r>
    <n v="30"/>
    <d v="2019-01-08T00:00:00"/>
    <x v="7"/>
    <x v="7"/>
    <x v="1"/>
    <s v="CAJA"/>
    <s v="ALIMENTACION DE EMPLEADOS CTA NUEVA"/>
    <s v="TRANSACCIONES DEL DIA 01/08/2019SPYRAL - GESTION ADMINISTRATIVA"/>
    <n v="56"/>
    <n v="0"/>
    <s v="DAVID"/>
    <x v="2"/>
  </r>
  <r>
    <n v="30"/>
    <d v="2019-01-10T00:00:00"/>
    <x v="7"/>
    <x v="7"/>
    <x v="1"/>
    <s v="CAJA"/>
    <s v="ALIMENTACION DE EMPLEADOS CTA NUEVA"/>
    <s v="TRANSACCIONES DEL DIA 01/10/2019SPYRAL - GESTION ADMINISTRATIVA"/>
    <n v="24"/>
    <n v="0"/>
    <s v="DAVID"/>
    <x v="2"/>
  </r>
  <r>
    <n v="30"/>
    <d v="2019-01-11T00:00:00"/>
    <x v="7"/>
    <x v="7"/>
    <x v="1"/>
    <s v="CAJA"/>
    <s v="ALIMENTACION DE EMPLEADOS CTA NUEVA"/>
    <s v="TRANSACCIONES DEL DIA 01/11/2019SPYRAL - GESTION ADMINISTRATIVA"/>
    <n v="8"/>
    <n v="0"/>
    <s v="DAVID"/>
    <x v="2"/>
  </r>
  <r>
    <n v="30"/>
    <d v="2019-01-14T00:00:00"/>
    <x v="7"/>
    <x v="7"/>
    <x v="1"/>
    <s v="CAJA"/>
    <s v="ALIMENTACION DE EMPLEADOS CTA NUEVA"/>
    <s v="TRANSACCIONES DEL DIA 01/14/2019SPYRAL - GESTION ADMINISTRATIVA"/>
    <n v="24"/>
    <n v="0"/>
    <s v="DAVID"/>
    <x v="2"/>
  </r>
  <r>
    <n v="30"/>
    <d v="2019-01-16T00:00:00"/>
    <x v="7"/>
    <x v="7"/>
    <x v="1"/>
    <s v="CAJA"/>
    <s v="ALIMENTACION DE EMPLEADOS CTA NUEVA"/>
    <s v="TRANSACCIONES DEL DIA 01/16/2019SPYRAL - GESTION ADMINISTRATIVA"/>
    <n v="8"/>
    <n v="0"/>
    <s v="DAVID"/>
    <x v="2"/>
  </r>
  <r>
    <n v="30"/>
    <d v="2019-01-18T00:00:00"/>
    <x v="7"/>
    <x v="7"/>
    <x v="1"/>
    <s v="CAJA"/>
    <s v="ALIMENTACION DE EMPLEADOS CTA NUEVA"/>
    <s v="TRANSACCIONES DEL DIA 01/18/2019SPYRAL - GESTION ADMINISTRATIVA"/>
    <n v="32"/>
    <n v="0"/>
    <s v="DAVID"/>
    <x v="2"/>
  </r>
  <r>
    <n v="30"/>
    <d v="2019-01-22T00:00:00"/>
    <x v="7"/>
    <x v="7"/>
    <x v="1"/>
    <s v="CAJA"/>
    <s v="ALIMENTACION DE EMPLEADOS CTA NUEVA"/>
    <s v="TRANSACCIONES DEL DIA 01/22/2019SPYRAL - GESTION ADMINISTRATIVA"/>
    <n v="24"/>
    <n v="0"/>
    <s v="DAVID"/>
    <x v="2"/>
  </r>
  <r>
    <n v="30"/>
    <d v="2019-02-01T00:00:00"/>
    <x v="8"/>
    <x v="8"/>
    <x v="1"/>
    <s v="CAJA"/>
    <s v="ALIMENTACION DE EMPLEADOS CTA NUEVA"/>
    <s v="TRANSACCIONES DEL DIA 02/01/2019SPYRAL - GESTION ADMINISTRATIVA"/>
    <n v="24"/>
    <n v="0"/>
    <s v="DAVID"/>
    <x v="2"/>
  </r>
  <r>
    <n v="30"/>
    <d v="2019-02-05T00:00:00"/>
    <x v="8"/>
    <x v="8"/>
    <x v="1"/>
    <s v="CAJA"/>
    <s v="ALIMENTACION DE EMPLEADOS [EMPL]"/>
    <s v="TRANSACCIONES DEL DIA 02/05/2019SPYRAL - GESTION ADMINISTRATIVA"/>
    <n v="8"/>
    <n v="0"/>
    <s v="DAVID"/>
    <x v="2"/>
  </r>
  <r>
    <n v="30"/>
    <d v="2019-02-05T00:00:00"/>
    <x v="8"/>
    <x v="8"/>
    <x v="1"/>
    <s v="CAJA"/>
    <s v="ALIMENTACION DE EMPLEADOS CTA NUEVA"/>
    <s v="TRANSACCIONES DEL DIA 02/05/2019SPYRAL - GESTION ADMINISTRATIVA"/>
    <n v="24"/>
    <n v="0"/>
    <s v="DAVID"/>
    <x v="2"/>
  </r>
  <r>
    <n v="30"/>
    <d v="2019-02-08T00:00:00"/>
    <x v="8"/>
    <x v="8"/>
    <x v="1"/>
    <s v="CAJA"/>
    <s v="ALIMENTACION DE EMPLEADOS CTA NUEVA"/>
    <s v="TRANSACCIONES DEL DIA 02/08/2019SPYRAL - GESTION ADMINISTRATIVA"/>
    <n v="16"/>
    <n v="0"/>
    <s v="DAVID"/>
    <x v="2"/>
  </r>
  <r>
    <n v="30"/>
    <d v="2019-02-11T00:00:00"/>
    <x v="8"/>
    <x v="8"/>
    <x v="1"/>
    <s v="CAJA"/>
    <s v="ALIMENTACION DE EMPLEADOS CTA NUEVA"/>
    <s v="TRANSACCIONES DEL DIA 02/11/2019SPYRAL - GESTION ADMINISTRATIVA"/>
    <n v="8"/>
    <n v="0"/>
    <s v="DAVID"/>
    <x v="2"/>
  </r>
  <r>
    <n v="30"/>
    <d v="2019-02-15T00:00:00"/>
    <x v="8"/>
    <x v="8"/>
    <x v="1"/>
    <s v="CAJA"/>
    <s v="ALIMENTACION DE EMPLEADOS CTA NUEVA"/>
    <s v="TRANSACCIONES DEL DIA 02/15/2019SPYRAL - GESTION ADMINISTRATIVA"/>
    <n v="16"/>
    <n v="0"/>
    <s v="DAVID"/>
    <x v="2"/>
  </r>
  <r>
    <n v="30"/>
    <d v="2019-02-18T00:00:00"/>
    <x v="8"/>
    <x v="8"/>
    <x v="1"/>
    <s v="CAJA"/>
    <s v="ALIMENTACION DE EMPLEADOS CTA NUEVA"/>
    <s v="TRANSACCIONES DEL DIA 02/18/2019SPYRAL - GESTION ADMINISTRATIVA"/>
    <n v="16"/>
    <n v="0"/>
    <s v="DAVID"/>
    <x v="2"/>
  </r>
  <r>
    <n v="30"/>
    <d v="2019-02-21T00:00:00"/>
    <x v="8"/>
    <x v="8"/>
    <x v="1"/>
    <s v="CAJA"/>
    <s v="ALIMENTACION DE EMPLEADOS CTA NUEVA"/>
    <s v="TRANSACCIONES DEL DIA 02/21/2019SPYRAL - GESTION ADMINISTRATIVA"/>
    <n v="16"/>
    <n v="0"/>
    <s v="DAVID"/>
    <x v="2"/>
  </r>
  <r>
    <n v="30"/>
    <d v="2019-02-22T00:00:00"/>
    <x v="8"/>
    <x v="8"/>
    <x v="1"/>
    <s v="CAJA"/>
    <s v="ALIMENTACION DE EMPLEADOS CTA NUEVA"/>
    <s v="TRANSACCIONES DEL DIA 02/22/2019SPYRAL - GESTION ADMINISTRATIVA"/>
    <n v="16"/>
    <n v="0"/>
    <s v="DAVID"/>
    <x v="2"/>
  </r>
  <r>
    <n v="30"/>
    <d v="2019-03-06T00:00:00"/>
    <x v="9"/>
    <x v="9"/>
    <x v="1"/>
    <s v="CAJA"/>
    <s v="ALIMENTACION DE EMPLEADOS CTA NUEVA"/>
    <s v="TRANSACCIONES DEL DIA 03/06/2019SPYRAL - GESTION ADMINISTRATIVA"/>
    <n v="24"/>
    <n v="0"/>
    <s v="DAVID"/>
    <x v="2"/>
  </r>
  <r>
    <n v="30"/>
    <d v="2019-03-11T00:00:00"/>
    <x v="9"/>
    <x v="9"/>
    <x v="1"/>
    <s v="CAJA"/>
    <s v="ALIMENTACION DE EMPLEADOS CTA NUEVA"/>
    <s v="TRANSACCIONES DEL DIA 03/11/2019SPYRAL - GESTION ADMINISTRATIVA"/>
    <n v="24"/>
    <n v="0"/>
    <s v="DAVID"/>
    <x v="2"/>
  </r>
  <r>
    <n v="30"/>
    <d v="2019-03-12T00:00:00"/>
    <x v="9"/>
    <x v="9"/>
    <x v="1"/>
    <s v="CAJA"/>
    <s v="ALIMENTACION DE EMPLEADOS CTA NUEVA"/>
    <s v="TRANSACCIONES DEL DIA 03/12/2019SPYRAL - GESTION ADMINISTRATIVA"/>
    <n v="8"/>
    <n v="0"/>
    <s v="DAVID"/>
    <x v="2"/>
  </r>
  <r>
    <n v="30"/>
    <d v="2019-03-18T00:00:00"/>
    <x v="9"/>
    <x v="9"/>
    <x v="1"/>
    <s v="CAJA"/>
    <s v="ALIMENTACION DE EMPLEADOS CTA NUEVA"/>
    <s v="TRANSACCIONES DEL DIA 03/18/2019SPYRAL - GESTION ADMINISTRATIVA"/>
    <n v="8"/>
    <n v="0"/>
    <s v="DAVID"/>
    <x v="2"/>
  </r>
  <r>
    <n v="30"/>
    <d v="2019-03-20T00:00:00"/>
    <x v="9"/>
    <x v="9"/>
    <x v="1"/>
    <s v="CAJA"/>
    <s v="ALIMENTACION DE EMPLEADOS CTA NUEVA"/>
    <s v="TRANSACCIONES DEL DIA 03/20/2019SPYRAL - GESTION ADMINISTRATIVA"/>
    <n v="8"/>
    <n v="0"/>
    <s v="DAVID"/>
    <x v="2"/>
  </r>
  <r>
    <n v="30"/>
    <d v="2019-03-22T00:00:00"/>
    <x v="9"/>
    <x v="9"/>
    <x v="1"/>
    <s v="CAJA"/>
    <s v="ALIMENTACION DE EMPLEADOS CTA NUEVA"/>
    <s v="TRANSACCIONES DEL DIA 03/22/2019SPYRAL - GESTION ADMINISTRATIVA"/>
    <n v="16"/>
    <n v="0"/>
    <s v="DAVID"/>
    <x v="2"/>
  </r>
  <r>
    <n v="30"/>
    <d v="2019-03-23T00:00:00"/>
    <x v="9"/>
    <x v="9"/>
    <x v="1"/>
    <s v="CAJA"/>
    <s v="ALIMENTACION DE EMPLEADOS CTA NUEVA"/>
    <s v="TRANSACCIONES DEL DIA 03/23/2019SPYRAL - GESTION ADMINISTRATIVA"/>
    <n v="8"/>
    <n v="0"/>
    <s v="DAVID"/>
    <x v="2"/>
  </r>
  <r>
    <n v="30"/>
    <d v="2019-04-03T00:00:00"/>
    <x v="10"/>
    <x v="10"/>
    <x v="1"/>
    <s v="CAJA"/>
    <s v="ALIMENTACION DE EMPLEADOS CTA NUEVA"/>
    <s v="TRANSACCIONES DEL DIA 04/03/2019SPYRAL - GESTION ADMINISTRATIVA"/>
    <n v="40"/>
    <n v="0"/>
    <s v="DAVID"/>
    <x v="2"/>
  </r>
  <r>
    <n v="30"/>
    <d v="2019-04-05T00:00:00"/>
    <x v="10"/>
    <x v="10"/>
    <x v="1"/>
    <s v="CAJA"/>
    <s v="ALIMENTACION DE EMPLEADOS CTA NUEVA"/>
    <s v="TRANSACCIONES DEL DIA 04/05/2019SPYRAL - GESTION ADMINISTRATIVA"/>
    <n v="24"/>
    <n v="0"/>
    <s v="DAVID"/>
    <x v="2"/>
  </r>
  <r>
    <n v="30"/>
    <d v="2019-04-08T00:00:00"/>
    <x v="10"/>
    <x v="10"/>
    <x v="1"/>
    <s v="CAJA"/>
    <s v="ALIMENTACION DE EMPLEADOS CTA NUEVA"/>
    <s v="TRANSACCIONES DEL DIA 04/08/2019SPYRAL - GESTION ADMINISTRATIVA"/>
    <n v="8"/>
    <n v="0"/>
    <s v="DAVID"/>
    <x v="2"/>
  </r>
  <r>
    <n v="30"/>
    <d v="2019-04-15T00:00:00"/>
    <x v="10"/>
    <x v="10"/>
    <x v="1"/>
    <s v="CAJA"/>
    <s v="ALIMENTACION DE EMPLEADOS CTA NUEVA"/>
    <s v="TRANSACCIONES DEL DIA 04/15/2019SPYRAL - GESTION ADMINISTRATIVA"/>
    <n v="8"/>
    <n v="0"/>
    <s v="DAVID"/>
    <x v="2"/>
  </r>
  <r>
    <n v="30"/>
    <d v="2019-04-16T00:00:00"/>
    <x v="10"/>
    <x v="10"/>
    <x v="1"/>
    <s v="CAJA"/>
    <s v="ALIMENTACION DE EMPLEADOS CTA NUEVA"/>
    <s v="TRANSACCIONES DEL DIA 04/16/2019SPYRAL - GESTION ADMINISTRATIVA"/>
    <n v="16"/>
    <n v="0"/>
    <s v="DAVID"/>
    <x v="2"/>
  </r>
  <r>
    <n v="30"/>
    <d v="2019-04-17T00:00:00"/>
    <x v="10"/>
    <x v="10"/>
    <x v="1"/>
    <s v="CAJA"/>
    <s v="ALIMENTACION DE EMPLEADOS CTA NUEVA"/>
    <s v="TRANSACCIONES DEL DIA 04/17/2019SPYRAL - GESTION ADMINISTRATIVA"/>
    <n v="24"/>
    <n v="0"/>
    <s v="DAVID"/>
    <x v="2"/>
  </r>
  <r>
    <n v="30"/>
    <d v="2019-04-26T00:00:00"/>
    <x v="10"/>
    <x v="10"/>
    <x v="1"/>
    <s v="CAJA"/>
    <s v="ALIMENTACION DE EMPLEADOS CTA NUEVA"/>
    <s v="TRANSACCIONES DEL DIA 04/26/2019SPYRAL - GESTION ADMINISTRATIVA"/>
    <n v="24"/>
    <n v="0"/>
    <s v="DAVID"/>
    <x v="2"/>
  </r>
  <r>
    <n v="30"/>
    <d v="2019-04-29T00:00:00"/>
    <x v="10"/>
    <x v="10"/>
    <x v="1"/>
    <s v="CAJA"/>
    <s v="ALIMENTACION DE EMPLEADOS CTA NUEVA"/>
    <s v="TRANSACCIONES DEL DIA 04/29/2019SPYRAL - GESTION ADMINISTRATIVA"/>
    <n v="8"/>
    <n v="0"/>
    <s v="DAVID"/>
    <x v="2"/>
  </r>
  <r>
    <n v="30"/>
    <d v="2019-05-03T00:00:00"/>
    <x v="11"/>
    <x v="11"/>
    <x v="1"/>
    <s v="CAJA"/>
    <s v="ALIMENTACION DE EMPLEADOS CTA NUEVA"/>
    <s v="TRANSACCIONES DEL DIA 05/03/2019SPYRAL - GESTION ADMINISTRATIVA"/>
    <n v="16"/>
    <n v="0"/>
    <s v="DAVID"/>
    <x v="2"/>
  </r>
  <r>
    <n v="30"/>
    <d v="2019-05-04T00:00:00"/>
    <x v="11"/>
    <x v="11"/>
    <x v="1"/>
    <s v="CAJA"/>
    <s v="ALIMENTACION DE EMPLEADOS CTA NUEVA"/>
    <s v="TRANSACCIONES DEL DIA 05/04/2019SPYRAL - GESTION ADMINISTRATIVA"/>
    <n v="8"/>
    <n v="0"/>
    <s v="DAVID"/>
    <x v="2"/>
  </r>
  <r>
    <n v="30"/>
    <d v="2019-05-06T00:00:00"/>
    <x v="11"/>
    <x v="11"/>
    <x v="1"/>
    <s v="CAJA"/>
    <s v="ALIMENTACION DE EMPLEADOS CTA NUEVA"/>
    <s v="TRANSACCIONES DEL DIA 05/06/2019SPYRAL - GESTION ADMINISTRATIVA"/>
    <n v="40"/>
    <n v="0"/>
    <s v="DAVID"/>
    <x v="2"/>
  </r>
  <r>
    <n v="30"/>
    <d v="2019-05-07T00:00:00"/>
    <x v="11"/>
    <x v="11"/>
    <x v="1"/>
    <s v="CAJA"/>
    <s v="ALIMENTACION DE EMPLEADOS CTA NUEVA"/>
    <s v="TRANSACCIONES DEL DIA 05/07/2019SPYRAL - GESTION ADMINISTRATIVA"/>
    <n v="8"/>
    <n v="0"/>
    <s v="DAVID"/>
    <x v="2"/>
  </r>
  <r>
    <n v="30"/>
    <d v="2019-05-13T00:00:00"/>
    <x v="11"/>
    <x v="11"/>
    <x v="1"/>
    <s v="CAJA"/>
    <s v="ALIMENTACION DE EMPLEADOS CTA NUEVA"/>
    <s v="TRANSACCIONES DEL DIA 05/13/2019SPYRAL - GESTION ADMINISTRATIVA"/>
    <n v="8"/>
    <n v="0"/>
    <s v="DAVID"/>
    <x v="2"/>
  </r>
  <r>
    <n v="30"/>
    <d v="2019-05-16T00:00:00"/>
    <x v="11"/>
    <x v="11"/>
    <x v="1"/>
    <s v="CAJA"/>
    <s v="ALIMENTACION DE EMPLEADOS CTA NUEVA"/>
    <s v="TRANSACCIONES DEL DIA 05/16/2019SPYRAL - GESTION ADMINISTRATIVA"/>
    <n v="8"/>
    <n v="0"/>
    <s v="DAVID"/>
    <x v="2"/>
  </r>
  <r>
    <n v="30"/>
    <d v="2019-05-18T00:00:00"/>
    <x v="11"/>
    <x v="11"/>
    <x v="1"/>
    <s v="CAJA"/>
    <s v="ALIMENTACION DE EMPLEADOS CTA NUEVA"/>
    <s v="TRANSACCIONES DEL DIA 05/18/2019SPYRAL - GESTION ADMINISTRATIVA"/>
    <n v="24"/>
    <n v="0"/>
    <s v="DAVID"/>
    <x v="2"/>
  </r>
  <r>
    <n v="30"/>
    <d v="2019-05-21T00:00:00"/>
    <x v="11"/>
    <x v="11"/>
    <x v="1"/>
    <s v="CAJA"/>
    <s v="ALIMENTACION DE EMPLEADOS CTA NUEVA"/>
    <s v="TRANSACCIONES DEL DIA 05/21/2019SPYRAL - GESTION ADMINISTRATIVA"/>
    <n v="8"/>
    <n v="0"/>
    <s v="DAVID"/>
    <x v="2"/>
  </r>
  <r>
    <n v="30"/>
    <d v="2019-05-23T00:00:00"/>
    <x v="11"/>
    <x v="11"/>
    <x v="1"/>
    <s v="CAJA"/>
    <s v="ALIMENTACION DE EMPLEADOS CTA NUEVA"/>
    <s v="TRANSACCIONES DEL DIA 05/23/2019SPYRAL - GESTION ADMINISTRATIVA"/>
    <n v="16"/>
    <n v="0"/>
    <s v="DAVID"/>
    <x v="2"/>
  </r>
  <r>
    <n v="30"/>
    <d v="2019-05-24T00:00:00"/>
    <x v="11"/>
    <x v="11"/>
    <x v="1"/>
    <s v="CAJA"/>
    <s v="ALIMENTACION DE EMPLEADOS CTA NUEVA"/>
    <s v="TRANSACCIONES DEL DIA 05/24/2019SPYRAL - GESTION ADMINISTRATIVA"/>
    <n v="8"/>
    <n v="0"/>
    <s v="DAVID"/>
    <x v="2"/>
  </r>
  <r>
    <n v="30"/>
    <d v="2019-05-29T00:00:00"/>
    <x v="11"/>
    <x v="11"/>
    <x v="1"/>
    <s v="CAJA"/>
    <s v="ALIMENTACION DE EMPLEADOS CTA NUEVA"/>
    <s v="TRANSACCIONES DEL DIA 05/29/2019SPYRAL - GESTION ADMINISTRATIVA"/>
    <n v="8"/>
    <n v="0"/>
    <s v="DAVID"/>
    <x v="2"/>
  </r>
  <r>
    <n v="30"/>
    <d v="2019-06-19T00:00:00"/>
    <x v="2"/>
    <x v="2"/>
    <x v="1"/>
    <s v="CAJA"/>
    <s v="ALIMENTACION DE EMPLEADOS CTA NUEVA"/>
    <s v="TRANSACCIONES DEL DIA 06/19/2019SPYRAL - GESTION ADMINISTRATIVA"/>
    <n v="80"/>
    <n v="0"/>
    <s v="DAVID"/>
    <x v="2"/>
  </r>
  <r>
    <n v="30"/>
    <d v="2019-06-21T00:00:00"/>
    <x v="2"/>
    <x v="2"/>
    <x v="1"/>
    <s v="CAJA"/>
    <s v="ALIMENTACION DE EMPLEADOS CTA NUEVA"/>
    <s v="TRANSACCIONES DEL DIA 06/21/2019SPYRAL - GESTION ADMINISTRATIVA"/>
    <n v="16"/>
    <n v="0"/>
    <s v="DAVID"/>
    <x v="2"/>
  </r>
  <r>
    <n v="30"/>
    <d v="2019-06-25T00:00:00"/>
    <x v="2"/>
    <x v="2"/>
    <x v="1"/>
    <s v="CAJA"/>
    <s v="ALIMENTACION DE EMPLEADOS CTA NUEVA"/>
    <s v="TRANSACCIONES DEL DIA 06/25/2019SPYRAL - GESTION ADMINISTRATIVA"/>
    <n v="16"/>
    <n v="0"/>
    <s v="DAVID"/>
    <x v="2"/>
  </r>
  <r>
    <n v="30"/>
    <d v="2019-06-26T00:00:00"/>
    <x v="2"/>
    <x v="2"/>
    <x v="1"/>
    <s v="CAJA"/>
    <s v="ALIMENTACION DE EMPLEADOS CTA NUEVA"/>
    <s v="TRANSACCIONES DEL DIA 06/26/2019SPYRAL - GESTION ADMINISTRATIVA"/>
    <n v="8"/>
    <n v="0"/>
    <s v="DAVID"/>
    <x v="2"/>
  </r>
  <r>
    <n v="30"/>
    <d v="2019-07-03T00:00:00"/>
    <x v="6"/>
    <x v="6"/>
    <x v="1"/>
    <s v="CAJA"/>
    <s v="ALIMENTACION DE EMPLEADOS CTA NUEVA"/>
    <s v="TRANSACCIONES DEL DIA 07/03/2019SPYRAL - GESTION ADMINISTRATIVA"/>
    <n v="24"/>
    <n v="0"/>
    <s v="DAVID"/>
    <x v="2"/>
  </r>
  <r>
    <n v="30"/>
    <d v="2019-07-04T00:00:00"/>
    <x v="6"/>
    <x v="6"/>
    <x v="1"/>
    <s v="CAJA"/>
    <s v="ALIMENTACION DE EMPLEADOS CTA NUEVA"/>
    <s v="TRANSACCIONES DEL DIA 07/04/2019SPYRAL - GESTION ADMINISTRATIVA"/>
    <n v="24"/>
    <n v="0"/>
    <s v="DAVID"/>
    <x v="2"/>
  </r>
  <r>
    <n v="30"/>
    <d v="2019-07-05T00:00:00"/>
    <x v="6"/>
    <x v="6"/>
    <x v="1"/>
    <s v="CAJA"/>
    <s v="ALIMENTACION DE EMPLEADOS CTA NUEVA"/>
    <s v="TRANSACCIONES DEL DIA 07/05/2019SPYRAL - GESTION ADMINISTRATIVA"/>
    <n v="8"/>
    <n v="0"/>
    <s v="DAVID"/>
    <x v="2"/>
  </r>
  <r>
    <n v="30"/>
    <d v="2019-07-09T00:00:00"/>
    <x v="6"/>
    <x v="6"/>
    <x v="1"/>
    <s v="CAJA"/>
    <s v="ALIMENTACION DE EMPLEADOS CTA NUEVA"/>
    <s v="TRANSACCIONES DEL DIA 07/09/2019SPYRAL - GESTION ADMINISTRATIVA"/>
    <n v="16"/>
    <n v="0"/>
    <s v="DAVID"/>
    <x v="2"/>
  </r>
  <r>
    <n v="30"/>
    <d v="2019-07-11T00:00:00"/>
    <x v="6"/>
    <x v="6"/>
    <x v="1"/>
    <s v="CAJA"/>
    <s v="ALIMENTACION DE EMPLEADOS CTA NUEVA"/>
    <s v="TRANSACCIONES DEL DIA 07/11/2019SPYRAL - GESTION ADMINISTRATIVA"/>
    <n v="16"/>
    <n v="0"/>
    <s v="DAVID"/>
    <x v="2"/>
  </r>
  <r>
    <n v="30"/>
    <d v="2019-07-13T00:00:00"/>
    <x v="6"/>
    <x v="6"/>
    <x v="1"/>
    <s v="CAJA"/>
    <s v="ALIMENTACION DE EMPLEADOS CTA NUEVA"/>
    <s v="TRANSACCIONES DEL DIA 07/13/2019SPYRAL - GESTION ADMINISTRATIVA"/>
    <n v="8"/>
    <n v="0"/>
    <s v="DAVID"/>
    <x v="2"/>
  </r>
  <r>
    <n v="30"/>
    <d v="2019-07-16T00:00:00"/>
    <x v="6"/>
    <x v="6"/>
    <x v="1"/>
    <s v="CAJA"/>
    <s v="ALIMENTACION DE EMPLEADOS CTA NUEVA"/>
    <s v="TRANSACCIONES DEL DIA 07/16/2019SPYRAL - GESTION ADMINISTRATIVA"/>
    <n v="32"/>
    <n v="0"/>
    <s v="DAVID"/>
    <x v="2"/>
  </r>
  <r>
    <n v="30"/>
    <d v="2019-07-17T00:00:00"/>
    <x v="6"/>
    <x v="6"/>
    <x v="1"/>
    <s v="CAJA"/>
    <s v="ALIMENTACION DE EMPLEADOS CTA NUEVA"/>
    <s v="TRANSACCIONES DEL DIA 07/17/2019SPYRAL - GESTION ADMINISTRATIVA"/>
    <n v="16"/>
    <n v="0"/>
    <s v="DAVID"/>
    <x v="2"/>
  </r>
  <r>
    <n v="30"/>
    <d v="2019-07-22T00:00:00"/>
    <x v="6"/>
    <x v="6"/>
    <x v="1"/>
    <s v="CAJA"/>
    <s v="ALIMENTACION DE EMPLEADOS CTA NUEVA"/>
    <s v="TRANSACCIONES DEL DIA 07/22/2019SPYRAL - GESTION ADMINISTRATIVA"/>
    <n v="16"/>
    <n v="0"/>
    <s v="DAVID"/>
    <x v="2"/>
  </r>
  <r>
    <n v="30"/>
    <d v="2019-07-24T00:00:00"/>
    <x v="6"/>
    <x v="6"/>
    <x v="1"/>
    <s v="CAJA"/>
    <s v="ALIMENTACION DE EMPLEADOS CTA NUEVA"/>
    <s v="TRANSACCIONES DEL DIA 07/24/2019SPYRAL - GESTION ADMINISTRATIVA"/>
    <n v="8"/>
    <n v="0"/>
    <s v="DAVID"/>
    <x v="2"/>
  </r>
  <r>
    <n v="30"/>
    <d v="2019-07-25T00:00:00"/>
    <x v="6"/>
    <x v="6"/>
    <x v="1"/>
    <s v="CAJA"/>
    <s v="ALIMENTACION DE EMPLEADOS CTA NUEVA"/>
    <s v="TRANSACCIONES DEL DIA 07/25/2019SPYRAL - GESTION ADMINISTRATIVA"/>
    <n v="8"/>
    <n v="0"/>
    <s v="DAVID"/>
    <x v="2"/>
  </r>
  <r>
    <n v="30"/>
    <d v="2019-07-26T00:00:00"/>
    <x v="6"/>
    <x v="6"/>
    <x v="1"/>
    <s v="CAJA"/>
    <s v="ALIMENTACION DE EMPLEADOS CTA NUEVA"/>
    <s v="TRANSACCIONES DEL DIA 07/26/2019SPYRAL - GESTION ADMINISTRATIVA"/>
    <n v="8"/>
    <n v="0"/>
    <s v="DAVID"/>
    <x v="2"/>
  </r>
  <r>
    <n v="30"/>
    <d v="2019-02-18T00:00:00"/>
    <x v="8"/>
    <x v="8"/>
    <x v="1"/>
    <s v="SERVICIOS PERSONALES"/>
    <s v="ALIMENTACION DE EMPLEADOS CTA NUEVA"/>
    <s v="TRANSACCIONES DEL DIA 02/18/2019SPYRAL - GESTION ADMINISTRATIVA"/>
    <n v="8"/>
    <n v="0"/>
    <s v="DAVID"/>
    <x v="2"/>
  </r>
  <r>
    <n v="32"/>
    <d v="2019-04-05T00:00:00"/>
    <x v="10"/>
    <x v="10"/>
    <x v="1"/>
    <s v="ADMINISTRACION DE SUCURSALES"/>
    <s v="NC ALIMENTACION DE EMPLEADOS NVA"/>
    <s v="TRANSACCIONES DEL DIA 04/05/2019SPYRAL - GESTION ADMINISTRATIVA"/>
    <n v="57.27"/>
    <n v="0"/>
    <s v="PLAZA LAS AMERICAS"/>
    <x v="2"/>
  </r>
  <r>
    <n v="32"/>
    <d v="2019-06-03T00:00:00"/>
    <x v="2"/>
    <x v="2"/>
    <x v="1"/>
    <s v="ADMINISTRACION DE SUCURSALES"/>
    <s v="NC ALIMENTACION DE EMPLEADOS NVA"/>
    <s v="TRANSACCIONES DEL DIA 06/03/2019SPYRAL - GESTION ADMINISTRATIVA"/>
    <n v="24.07"/>
    <n v="0"/>
    <s v="PLAZA LAS AMERICAS"/>
    <x v="2"/>
  </r>
  <r>
    <n v="33"/>
    <d v="2019-03-09T00:00:00"/>
    <x v="9"/>
    <x v="9"/>
    <x v="1"/>
    <s v="ADMINISTRACION DE SUCURSALES"/>
    <s v="NC ALIMENTACION DE EMPLEADOS NVA"/>
    <s v="TRANSACCIONES DEL DIA 03/09/2019SPYRAL - GESTION ADMINISTRATIVA"/>
    <n v="40.75"/>
    <n v="0"/>
    <s v="CORONADO"/>
    <x v="2"/>
  </r>
  <r>
    <n v="33"/>
    <d v="2019-04-11T00:00:00"/>
    <x v="10"/>
    <x v="10"/>
    <x v="1"/>
    <s v="ADMINISTRACION DE SUCURSALES"/>
    <s v="NC ALIMENTACION DE EMPLEADOS NVA"/>
    <s v="TRANSACCIONES DEL DIA 04/11/2019SPYRAL - GESTION ADMINISTRATIVA"/>
    <n v="23.99"/>
    <n v="0"/>
    <s v="CORONADO"/>
    <x v="2"/>
  </r>
  <r>
    <n v="33"/>
    <d v="2019-04-29T00:00:00"/>
    <x v="10"/>
    <x v="10"/>
    <x v="1"/>
    <s v="CAJA"/>
    <s v="ALIMENTACION DE EMPLEADOS CTA NUEVA"/>
    <s v="TRANSACCIONES DEL DIA 04/29/2019SPYRAL - GESTION ADMINISTRATIVA"/>
    <n v="8"/>
    <n v="0"/>
    <s v="CORONADO"/>
    <x v="2"/>
  </r>
  <r>
    <n v="34"/>
    <d v="2019-01-16T00:00:00"/>
    <x v="7"/>
    <x v="7"/>
    <x v="1"/>
    <s v="CAJA"/>
    <s v="ALIMENTACION DE EMPLEADOS CTA NUEVA"/>
    <s v="TRANSACCIONES DEL DIA 01/16/2019SPYRAL - GESTION ADMINISTRATIVA"/>
    <n v="8"/>
    <n v="0"/>
    <s v="ALBROOK MALL"/>
    <x v="2"/>
  </r>
  <r>
    <n v="34"/>
    <d v="2019-02-01T00:00:00"/>
    <x v="8"/>
    <x v="8"/>
    <x v="1"/>
    <s v="CAJA"/>
    <s v="ALIMENTACION DE EMPLEADOS CTA NUEVA"/>
    <s v="TRANSACCIONES DEL DIA 02/01/2019SPYRAL - GESTION ADMINISTRATIVA"/>
    <n v="8"/>
    <n v="0"/>
    <s v="ALBROOK MALL"/>
    <x v="2"/>
  </r>
  <r>
    <n v="34"/>
    <d v="2019-02-18T00:00:00"/>
    <x v="8"/>
    <x v="8"/>
    <x v="1"/>
    <s v="CAJA"/>
    <s v="ALIMENTACION DE EMPLEADOS CTA NUEVA"/>
    <s v="TRANSACCIONES DEL DIA 02/18/2019SPYRAL - GESTION ADMINISTRATIVA"/>
    <n v="8"/>
    <n v="0"/>
    <s v="ALBROOK MALL"/>
    <x v="2"/>
  </r>
  <r>
    <n v="34"/>
    <d v="2019-03-21T00:00:00"/>
    <x v="9"/>
    <x v="9"/>
    <x v="1"/>
    <s v="CAJA"/>
    <s v="ALIMENTACION DE EMPLEADOS CTA NUEVA"/>
    <s v="TRANSACCIONES DEL DIA 03/21/2019SPYRAL - GESTION ADMINISTRATIVA"/>
    <n v="8"/>
    <n v="0"/>
    <s v="ALBROOK MALL"/>
    <x v="2"/>
  </r>
  <r>
    <n v="34"/>
    <d v="2019-04-24T00:00:00"/>
    <x v="10"/>
    <x v="10"/>
    <x v="1"/>
    <s v="CAJA"/>
    <s v="ALIMENTACION DE EMPLEADOS CTA NUEVA"/>
    <s v="TRANSACCIONES DEL DIA 04/24/2019SPYRAL - GESTION ADMINISTRATIVA"/>
    <n v="8"/>
    <n v="0"/>
    <s v="ALBROOK MALL"/>
    <x v="2"/>
  </r>
  <r>
    <n v="35"/>
    <d v="2019-03-01T00:00:00"/>
    <x v="9"/>
    <x v="9"/>
    <x v="1"/>
    <s v="ADMINISTRACION DE SUCURSALES"/>
    <s v="NC ALIMENTACION DE EMPLEADOS NVA"/>
    <s v="TRANSACCIONES DEL DIA 03/01/2019SPYRAL - GESTION ADMINISTRATIVA"/>
    <n v="12.9"/>
    <n v="0"/>
    <s v="PANAMA PACIFICO"/>
    <x v="2"/>
  </r>
  <r>
    <n v="35"/>
    <d v="2019-05-28T00:00:00"/>
    <x v="11"/>
    <x v="11"/>
    <x v="1"/>
    <s v="ADMINISTRACION DE SUCURSALES"/>
    <s v="NC ALIMENTACION DE EMPLEADOS NVA"/>
    <s v="TRANSACCIONES DEL DIA 05/28/2019SPYRAL - GESTION ADMINISTRATIVA"/>
    <n v="15.66"/>
    <n v="0"/>
    <s v="PANAMA PACIFICO"/>
    <x v="2"/>
  </r>
  <r>
    <n v="37"/>
    <d v="2019-03-15T00:00:00"/>
    <x v="9"/>
    <x v="9"/>
    <x v="1"/>
    <s v="ADMINISTRACION DE SUCURSALES"/>
    <s v="NC ALIMENTACION DE EMPLEADOS NVA"/>
    <s v="TRANSACCIONES DEL DIA 03/15/2019SPYRAL - GESTION ADMINISTRATIVA"/>
    <n v="9.5"/>
    <n v="0"/>
    <s v="PENONOME"/>
    <x v="2"/>
  </r>
  <r>
    <n v="37"/>
    <d v="2019-05-10T00:00:00"/>
    <x v="11"/>
    <x v="11"/>
    <x v="1"/>
    <s v="ADMINISTRACION DE SUCURSALES"/>
    <s v="NC ALIMENTACION DE EMPLEADOS NVA"/>
    <s v="TRANSACCIONES DEL DIA 05/10/2019SPYRAL - GESTION ADMINISTRATIVA"/>
    <n v="9.5"/>
    <n v="0"/>
    <s v="PENONOME"/>
    <x v="2"/>
  </r>
  <r>
    <n v="37"/>
    <d v="2019-06-25T00:00:00"/>
    <x v="2"/>
    <x v="2"/>
    <x v="1"/>
    <s v="ADMINISTRACION DE SUCURSALES"/>
    <s v="NC ALIMENTACION DE EMPLEADOS NVA"/>
    <s v="TRANSACCIONES DEL DIA 06/25/2019SPYRAL - GESTION ADMINISTRATIVA"/>
    <n v="18"/>
    <n v="0"/>
    <s v="PENONOME"/>
    <x v="2"/>
  </r>
  <r>
    <n v="38"/>
    <d v="2019-03-15T00:00:00"/>
    <x v="9"/>
    <x v="9"/>
    <x v="1"/>
    <s v="ADMINISTRACION DE SUCURSALES"/>
    <s v="NC ALIMENTACION DE EMPLEADOS NVA"/>
    <s v="TRANSACCIONES DEL DIA 03/15/2019SPYRAL - GESTION ADMINISTRATIVA"/>
    <n v="53.96"/>
    <n v="0"/>
    <s v="ALBROOK"/>
    <x v="2"/>
  </r>
  <r>
    <n v="38"/>
    <d v="2019-01-04T00:00:00"/>
    <x v="7"/>
    <x v="7"/>
    <x v="1"/>
    <s v="CAJA"/>
    <s v="ALIMENTACION DE EMPLEADOS CTA NUEVA"/>
    <s v="TRANSACCIONES DEL DIA 01/04/2019SPYRAL - GESTION ADMINISTRATIVA"/>
    <n v="8"/>
    <n v="0"/>
    <s v="ALBROOK"/>
    <x v="2"/>
  </r>
  <r>
    <n v="38"/>
    <d v="2019-01-15T00:00:00"/>
    <x v="7"/>
    <x v="7"/>
    <x v="1"/>
    <s v="CAJA"/>
    <s v="ALIMENTACION DE EMPLEADOS CTA NUEVA"/>
    <s v="TRANSACCIONES DEL DIA 01/15/2019SPYRAL - GESTION ADMINISTRATIVA"/>
    <n v="32"/>
    <n v="0"/>
    <s v="ALBROOK"/>
    <x v="2"/>
  </r>
  <r>
    <n v="38"/>
    <d v="2019-02-08T00:00:00"/>
    <x v="8"/>
    <x v="8"/>
    <x v="1"/>
    <s v="CAJA"/>
    <s v="ALIMENTACION DE EMPLEADOS CTA NUEVA"/>
    <s v="TRANSACCIONES DEL DIA 02/08/2019SPYRAL - GESTION ADMINISTRATIVA"/>
    <n v="16"/>
    <n v="0"/>
    <s v="ALBROOK"/>
    <x v="2"/>
  </r>
  <r>
    <n v="38"/>
    <d v="2019-02-14T00:00:00"/>
    <x v="8"/>
    <x v="8"/>
    <x v="1"/>
    <s v="CAJA"/>
    <s v="ALIMENTACION DE EMPLEADOS CTA NUEVA"/>
    <s v="TRANSACCIONES DEL DIA 02/14/2019SPYRAL - GESTION ADMINISTRATIVA"/>
    <n v="8"/>
    <n v="0"/>
    <s v="ALBROOK"/>
    <x v="2"/>
  </r>
  <r>
    <n v="38"/>
    <d v="2019-03-23T00:00:00"/>
    <x v="9"/>
    <x v="9"/>
    <x v="1"/>
    <s v="CAJA"/>
    <s v="ALIMENTACION DE EMPLEADOS CTA NUEVA"/>
    <s v="TRANSACCIONES DEL DIA 03/23/2019SPYRAL - GESTION ADMINISTRATIVA"/>
    <n v="8"/>
    <n v="0"/>
    <s v="ALBROOK"/>
    <x v="2"/>
  </r>
  <r>
    <n v="38"/>
    <d v="2019-04-12T00:00:00"/>
    <x v="10"/>
    <x v="10"/>
    <x v="1"/>
    <s v="CAJA"/>
    <s v="ALIMENTACION DE EMPLEADOS CTA NUEVA"/>
    <s v="TRANSACCIONES DEL DIA 04/12/2019SPYRAL - GESTION ADMINISTRATIVA"/>
    <n v="8"/>
    <n v="0"/>
    <s v="ALBROOK"/>
    <x v="2"/>
  </r>
  <r>
    <n v="38"/>
    <d v="2019-04-22T00:00:00"/>
    <x v="10"/>
    <x v="10"/>
    <x v="1"/>
    <s v="CAJA"/>
    <s v="ALIMENTACION DE EMPLEADOS CTA NUEVA"/>
    <s v="TRANSACCIONES DEL DIA 04/22/2019SPYRAL - GESTION ADMINISTRATIVA"/>
    <n v="8"/>
    <n v="0"/>
    <s v="ALBROOK"/>
    <x v="2"/>
  </r>
  <r>
    <n v="38"/>
    <d v="2019-05-07T00:00:00"/>
    <x v="11"/>
    <x v="11"/>
    <x v="1"/>
    <s v="CAJA"/>
    <s v="ALIMENTACION DE EMPLEADOS CTA NUEVA"/>
    <s v="TRANSACCIONES DEL DIA 05/07/2019SPYRAL - GESTION ADMINISTRATIVA"/>
    <n v="16"/>
    <n v="0"/>
    <s v="ALBROOK"/>
    <x v="2"/>
  </r>
  <r>
    <n v="38"/>
    <d v="2019-05-15T00:00:00"/>
    <x v="11"/>
    <x v="11"/>
    <x v="1"/>
    <s v="CAJA"/>
    <s v="ALIMENTACION DE EMPLEADOS CTA NUEVA"/>
    <s v="TRANSACCIONES DEL DIA 05/15/2019SPYRAL - GESTION ADMINISTRATIVA"/>
    <n v="8"/>
    <n v="0"/>
    <s v="ALBROOK"/>
    <x v="2"/>
  </r>
  <r>
    <n v="38"/>
    <d v="2019-06-03T00:00:00"/>
    <x v="2"/>
    <x v="2"/>
    <x v="1"/>
    <s v="CAJA"/>
    <s v="ALIMENTACION DE EMPLEADOS CTA NUEVA"/>
    <s v="TRANSACCIONES DEL DIA 06/03/2019SPYRAL - GESTION ADMINISTRATIVA"/>
    <n v="8"/>
    <n v="0"/>
    <s v="ALBROOK"/>
    <x v="2"/>
  </r>
  <r>
    <n v="38"/>
    <d v="2019-06-19T00:00:00"/>
    <x v="2"/>
    <x v="2"/>
    <x v="1"/>
    <s v="CAJA"/>
    <s v="ALIMENTACION DE EMPLEADOS CTA NUEVA"/>
    <s v="TRANSACCIONES DEL DIA 06/19/2019SPYRAL - GESTION ADMINISTRATIVA"/>
    <n v="8"/>
    <n v="0"/>
    <s v="ALBROOK"/>
    <x v="2"/>
  </r>
  <r>
    <n v="38"/>
    <d v="2019-06-21T00:00:00"/>
    <x v="2"/>
    <x v="2"/>
    <x v="1"/>
    <s v="CAJA"/>
    <s v="ALIMENTACION DE EMPLEADOS CTA NUEVA"/>
    <s v="TRANSACCIONES DEL DIA 06/21/2019SPYRAL - GESTION ADMINISTRATIVA"/>
    <n v="8"/>
    <n v="0"/>
    <s v="ALBROOK"/>
    <x v="2"/>
  </r>
  <r>
    <n v="38"/>
    <d v="2019-07-03T00:00:00"/>
    <x v="6"/>
    <x v="6"/>
    <x v="1"/>
    <s v="CAJA"/>
    <s v="ALIMENTACION DE EMPLEADOS CTA NUEVA"/>
    <s v="TRANSACCIONES DEL DIA 07/03/2019SPYRAL - GESTION ADMINISTRATIVA"/>
    <n v="8"/>
    <n v="0"/>
    <s v="ALBROOK"/>
    <x v="2"/>
  </r>
  <r>
    <n v="38"/>
    <d v="2019-06-25T00:00:00"/>
    <x v="2"/>
    <x v="2"/>
    <x v="1"/>
    <s v="SERVICIOS PERSONALES"/>
    <s v="ALIMENTACION DE EMPLEADOS CTA NUEVA"/>
    <s v="TRANSACCIONES DEL DIA 06/25/2019SPYRAL - GESTION ADMINISTRATIVA"/>
    <n v="8"/>
    <n v="0"/>
    <s v="ALBROOK"/>
    <x v="2"/>
  </r>
  <r>
    <n v="39"/>
    <d v="2019-01-03T00:00:00"/>
    <x v="7"/>
    <x v="7"/>
    <x v="1"/>
    <s v="ADMINISTRACION DE SUCURSALES"/>
    <s v="NC ALIMENTACION DE EMPLEADOS NVA"/>
    <s v="TRANSACCIONES DEL DIA 01/03/2019SPYRAL - GESTION ADMINISTRATIVA"/>
    <n v="115.45"/>
    <n v="0"/>
    <s v="SUCURSAL DE VISTA ALEGRE"/>
    <x v="2"/>
  </r>
  <r>
    <n v="39"/>
    <d v="2019-02-13T00:00:00"/>
    <x v="8"/>
    <x v="8"/>
    <x v="1"/>
    <s v="ADMINISTRACION DE SUCURSALES"/>
    <s v="ALIMENTACION DE EMPLEADOS CTA NUEVA"/>
    <s v="TRANSACCIONES DEL DIA 02/13/2019SPYRAL - GESTION ADMINISTRATIVA"/>
    <n v="16"/>
    <n v="0"/>
    <s v="SUCURSAL DE VISTA ALEGRE"/>
    <x v="2"/>
  </r>
  <r>
    <n v="39"/>
    <d v="2019-03-12T00:00:00"/>
    <x v="9"/>
    <x v="9"/>
    <x v="1"/>
    <s v="ADMINISTRACION DE SUCURSALES"/>
    <s v="NC ALIMENTACION DE EMPLEADOS NVA"/>
    <s v="TRANSACCIONES DEL DIA 03/12/2019SPYRAL - GESTION ADMINISTRATIVA"/>
    <n v="156.4"/>
    <n v="0"/>
    <s v="SUCURSAL DE VISTA ALEGRE"/>
    <x v="2"/>
  </r>
  <r>
    <n v="39"/>
    <d v="2019-04-05T00:00:00"/>
    <x v="10"/>
    <x v="10"/>
    <x v="1"/>
    <s v="ADMINISTRACION DE SUCURSALES"/>
    <s v="NC ALIMENTACION DE EMPLEADOS NVA"/>
    <s v="TRANSACCIONES DEL DIA 04/05/2019SPYRAL - GESTION ADMINISTRATIVA"/>
    <n v="124.33"/>
    <n v="0"/>
    <s v="SUCURSAL DE VISTA ALEGRE"/>
    <x v="2"/>
  </r>
  <r>
    <n v="39"/>
    <d v="2019-04-26T00:00:00"/>
    <x v="10"/>
    <x v="10"/>
    <x v="1"/>
    <s v="ADMINISTRACION DE SUCURSALES"/>
    <s v="ALIMENTACION DE EMPLEADOS CTA NUEVA"/>
    <s v="TRANSACCIONES DEL DIA 04/26/2019SPYRAL - GESTION ADMINISTRATIVA"/>
    <n v="8"/>
    <n v="0"/>
    <s v="SUCURSAL DE VISTA ALEGRE"/>
    <x v="2"/>
  </r>
  <r>
    <n v="39"/>
    <d v="2019-05-03T00:00:00"/>
    <x v="11"/>
    <x v="11"/>
    <x v="1"/>
    <s v="ADMINISTRACION DE SUCURSALES"/>
    <s v="NC ALIMENTACION DE EMPLEADOS NVA"/>
    <s v="TRANSACCIONES DEL DIA 05/03/2019SPYRAL - GESTION ADMINISTRATIVA"/>
    <n v="160.66"/>
    <n v="0"/>
    <s v="SUCURSAL DE VISTA ALEGRE"/>
    <x v="2"/>
  </r>
  <r>
    <n v="39"/>
    <d v="2019-06-10T00:00:00"/>
    <x v="2"/>
    <x v="2"/>
    <x v="1"/>
    <s v="ADMINISTRACION DE SUCURSALES"/>
    <s v="ALIMENTACION DE EMPLEADOS CTA NUEVA"/>
    <s v="TRANSACCIONES DEL DIA 06/10/2019SPYRAL - GESTION ADMINISTRATIVA"/>
    <n v="8"/>
    <n v="0"/>
    <s v="SUCURSAL DE VISTA ALEGRE"/>
    <x v="2"/>
  </r>
  <r>
    <n v="39"/>
    <d v="2019-07-05T00:00:00"/>
    <x v="6"/>
    <x v="6"/>
    <x v="1"/>
    <s v="ADMINISTRACION DE SUCURSALES"/>
    <s v="NC ALIMENTACION DE EMPLEADOS NVA"/>
    <s v="TRANSACCIONES DEL DIA 07/05/2019SPYRAL - GESTION ADMINISTRATIVA"/>
    <n v="124.33"/>
    <n v="0"/>
    <s v="SUCURSAL DE VISTA ALEGRE"/>
    <x v="2"/>
  </r>
  <r>
    <n v="39"/>
    <d v="2019-07-08T00:00:00"/>
    <x v="6"/>
    <x v="6"/>
    <x v="1"/>
    <s v="ADMINISTRACION DE SUCURSALES"/>
    <s v="ALIMENTACION DE EMPLEADOS CTA NUEVA"/>
    <s v="TRANSACCIONES DEL DIA 07/08/2019SPYRAL - GESTION ADMINISTRATIVA"/>
    <n v="8"/>
    <n v="0"/>
    <s v="SUCURSAL DE VISTA ALEGRE"/>
    <x v="2"/>
  </r>
  <r>
    <n v="39"/>
    <d v="2019-01-02T00:00:00"/>
    <x v="7"/>
    <x v="7"/>
    <x v="1"/>
    <s v="CAJA"/>
    <s v="ALIMENTACION DE EMPLEADOS CTA NUEVA"/>
    <s v="TRANSACCIONES DEL DIA 01/02/2019SPYRAL - GESTION ADMINISTRATIVA"/>
    <n v="8"/>
    <n v="0"/>
    <s v="SUCURSAL DE VISTA ALEGRE"/>
    <x v="2"/>
  </r>
  <r>
    <n v="39"/>
    <d v="2019-01-04T00:00:00"/>
    <x v="7"/>
    <x v="7"/>
    <x v="1"/>
    <s v="CAJA"/>
    <s v="ALIMENTACION DE EMPLEADOS CTA NUEVA"/>
    <s v="TRANSACCIONES DEL DIA 01/04/2019SPYRAL - GESTION ADMINISTRATIVA"/>
    <n v="32"/>
    <n v="0"/>
    <s v="SUCURSAL DE VISTA ALEGRE"/>
    <x v="2"/>
  </r>
  <r>
    <n v="39"/>
    <d v="2019-01-21T00:00:00"/>
    <x v="7"/>
    <x v="7"/>
    <x v="1"/>
    <s v="CAJA"/>
    <s v="ALIMENTACION DE EMPLEADOS CTA NUEVA"/>
    <s v="TRANSACCIONES DEL DIA 01/21/2019SPYRAL - GESTION ADMINISTRATIVA"/>
    <n v="16"/>
    <n v="0"/>
    <s v="SUCURSAL DE VISTA ALEGRE"/>
    <x v="2"/>
  </r>
  <r>
    <n v="39"/>
    <d v="2019-02-01T00:00:00"/>
    <x v="8"/>
    <x v="8"/>
    <x v="1"/>
    <s v="CAJA"/>
    <s v="ALIMENTACION DE EMPLEADOS CTA NUEVA"/>
    <s v="TRANSACCIONES DEL DIA 02/01/2019SPYRAL - GESTION ADMINISTRATIVA"/>
    <n v="40"/>
    <n v="0"/>
    <s v="SUCURSAL DE VISTA ALEGRE"/>
    <x v="2"/>
  </r>
  <r>
    <n v="39"/>
    <d v="2019-02-04T00:00:00"/>
    <x v="8"/>
    <x v="8"/>
    <x v="1"/>
    <s v="CAJA"/>
    <s v="ALIMENTACION DE EMPLEADOS CTA NUEVA"/>
    <s v="TRANSACCIONES DEL DIA 02/04/2019SPYRAL - GESTION ADMINISTRATIVA"/>
    <n v="16"/>
    <n v="0"/>
    <s v="SUCURSAL DE VISTA ALEGRE"/>
    <x v="2"/>
  </r>
  <r>
    <n v="39"/>
    <d v="2019-02-08T00:00:00"/>
    <x v="8"/>
    <x v="8"/>
    <x v="1"/>
    <s v="CAJA"/>
    <s v="ALIMENTACION DE EMPLEADOS CTA NUEVA"/>
    <s v="TRANSACCIONES DEL DIA 02/08/2019SPYRAL - GESTION ADMINISTRATIVA"/>
    <n v="8"/>
    <n v="0"/>
    <s v="SUCURSAL DE VISTA ALEGRE"/>
    <x v="2"/>
  </r>
  <r>
    <n v="39"/>
    <d v="2019-02-18T00:00:00"/>
    <x v="8"/>
    <x v="8"/>
    <x v="1"/>
    <s v="CAJA"/>
    <s v="ALIMENTACION DE EMPLEADOS CTA NUEVA"/>
    <s v="TRANSACCIONES DEL DIA 02/18/2019SPYRAL - GESTION ADMINISTRATIVA"/>
    <n v="32"/>
    <n v="0"/>
    <s v="SUCURSAL DE VISTA ALEGRE"/>
    <x v="2"/>
  </r>
  <r>
    <n v="39"/>
    <d v="2019-02-21T00:00:00"/>
    <x v="8"/>
    <x v="8"/>
    <x v="1"/>
    <s v="CAJA"/>
    <s v="ALIMENTACION DE EMPLEADOS CTA NUEVA"/>
    <s v="TRANSACCIONES DEL DIA 02/21/2019SPYRAL - GESTION ADMINISTRATIVA"/>
    <n v="8"/>
    <n v="0"/>
    <s v="SUCURSAL DE VISTA ALEGRE"/>
    <x v="2"/>
  </r>
  <r>
    <n v="39"/>
    <d v="2019-03-06T00:00:00"/>
    <x v="9"/>
    <x v="9"/>
    <x v="1"/>
    <s v="CAJA"/>
    <s v="ALIMENTACION DE EMPLEADOS CTA NUEVA"/>
    <s v="TRANSACCIONES DEL DIA 03/06/2019SPYRAL - GESTION ADMINISTRATIVA"/>
    <n v="16"/>
    <n v="0"/>
    <s v="SUCURSAL DE VISTA ALEGRE"/>
    <x v="2"/>
  </r>
  <r>
    <n v="39"/>
    <d v="2019-03-11T00:00:00"/>
    <x v="9"/>
    <x v="9"/>
    <x v="1"/>
    <s v="CAJA"/>
    <s v="ALIMENTACION DE EMPLEADOS CTA NUEVA"/>
    <s v="TRANSACCIONES DEL DIA 03/11/2019SPYRAL - GESTION ADMINISTRATIVA"/>
    <n v="16"/>
    <n v="0"/>
    <s v="SUCURSAL DE VISTA ALEGRE"/>
    <x v="2"/>
  </r>
  <r>
    <n v="39"/>
    <d v="2019-03-18T00:00:00"/>
    <x v="9"/>
    <x v="9"/>
    <x v="1"/>
    <s v="CAJA"/>
    <s v="ALIMENTACION DE EMPLEADOS CTA NUEVA"/>
    <s v="TRANSACCIONES DEL DIA 03/18/2019SPYRAL - GESTION ADMINISTRATIVA"/>
    <n v="24"/>
    <n v="0"/>
    <s v="SUCURSAL DE VISTA ALEGRE"/>
    <x v="2"/>
  </r>
  <r>
    <n v="39"/>
    <d v="2019-03-26T00:00:00"/>
    <x v="9"/>
    <x v="9"/>
    <x v="1"/>
    <s v="CAJA"/>
    <s v="ALIMENTACION DE EMPLEADOS CTA NUEVA"/>
    <s v="TRANSACCIONES DEL DIA 03/26/2019SPYRAL - GESTION ADMINISTRATIVA"/>
    <n v="8"/>
    <n v="0"/>
    <s v="SUCURSAL DE VISTA ALEGRE"/>
    <x v="2"/>
  </r>
  <r>
    <n v="39"/>
    <d v="2019-03-29T00:00:00"/>
    <x v="9"/>
    <x v="9"/>
    <x v="1"/>
    <s v="CAJA"/>
    <s v="ALIMENTACION DE EMPLEADOS CTA NUEVA"/>
    <s v="TRANSACCIONES DEL DIA 03/29/2019SPYRAL - GESTION ADMINISTRATIVA"/>
    <n v="8"/>
    <n v="0"/>
    <s v="SUCURSAL DE VISTA ALEGRE"/>
    <x v="2"/>
  </r>
  <r>
    <n v="39"/>
    <d v="2019-04-01T00:00:00"/>
    <x v="10"/>
    <x v="10"/>
    <x v="1"/>
    <s v="CAJA"/>
    <s v="ALIMENTACION DE EMPLEADOS CTA NUEVA"/>
    <s v="TRANSACCIONES DEL DIA 04/01/2019SPYRAL - GESTION ADMINISTRATIVA"/>
    <n v="8"/>
    <n v="0"/>
    <s v="SUCURSAL DE VISTA ALEGRE"/>
    <x v="2"/>
  </r>
  <r>
    <n v="39"/>
    <d v="2019-04-06T00:00:00"/>
    <x v="10"/>
    <x v="10"/>
    <x v="1"/>
    <s v="CAJA"/>
    <s v="ALIMENTACION DE EMPLEADOS CTA NUEVA"/>
    <s v="TRANSACCIONES DEL DIA 04/06/2019SPYRAL - GESTION ADMINISTRATIVA"/>
    <n v="16"/>
    <n v="0"/>
    <s v="SUCURSAL DE VISTA ALEGRE"/>
    <x v="2"/>
  </r>
  <r>
    <n v="39"/>
    <d v="2019-04-11T00:00:00"/>
    <x v="10"/>
    <x v="10"/>
    <x v="1"/>
    <s v="CAJA"/>
    <s v="ALIMENTACION DE EMPLEADOS CTA NUEVA"/>
    <s v="TRANSACCIONES DEL DIA 04/11/2019SPYRAL - GESTION ADMINISTRATIVA"/>
    <n v="8"/>
    <n v="0"/>
    <s v="SUCURSAL DE VISTA ALEGRE"/>
    <x v="2"/>
  </r>
  <r>
    <n v="39"/>
    <d v="2019-04-16T00:00:00"/>
    <x v="10"/>
    <x v="10"/>
    <x v="1"/>
    <s v="CAJA"/>
    <s v="ALIMENTACION DE EMPLEADOS CTA NUEVA"/>
    <s v="TRANSACCIONES DEL DIA 04/16/2019SPYRAL - GESTION ADMINISTRATIVA"/>
    <n v="8"/>
    <n v="0"/>
    <s v="SUCURSAL DE VISTA ALEGRE"/>
    <x v="2"/>
  </r>
  <r>
    <n v="39"/>
    <d v="2019-04-18T00:00:00"/>
    <x v="10"/>
    <x v="10"/>
    <x v="1"/>
    <s v="CAJA"/>
    <s v="ALIMENTACION DE EMPLEADOS CTA NUEVA"/>
    <s v="TRANSACCIONES DEL DIA 04/18/2019SPYRAL - GESTION ADMINISTRATIVA"/>
    <n v="8"/>
    <n v="0"/>
    <s v="SUCURSAL DE VISTA ALEGRE"/>
    <x v="2"/>
  </r>
  <r>
    <n v="39"/>
    <d v="2019-04-22T00:00:00"/>
    <x v="10"/>
    <x v="10"/>
    <x v="1"/>
    <s v="CAJA"/>
    <s v="ALIMENTACION DE EMPLEADOS CTA NUEVA"/>
    <s v="TRANSACCIONES DEL DIA 04/22/2019SPYRAL - GESTION ADMINISTRATIVA"/>
    <n v="8"/>
    <n v="0"/>
    <s v="SUCURSAL DE VISTA ALEGRE"/>
    <x v="2"/>
  </r>
  <r>
    <n v="39"/>
    <d v="2019-04-29T00:00:00"/>
    <x v="10"/>
    <x v="10"/>
    <x v="1"/>
    <s v="CAJA"/>
    <s v="ALIMENTACION DE EMPLEADOS CTA NUEVA"/>
    <s v="TRANSACCIONES DEL DIA 04/29/2019SPYRAL - GESTION ADMINISTRATIVA"/>
    <n v="24"/>
    <n v="0"/>
    <s v="SUCURSAL DE VISTA ALEGRE"/>
    <x v="2"/>
  </r>
  <r>
    <n v="39"/>
    <d v="2019-05-02T00:00:00"/>
    <x v="11"/>
    <x v="11"/>
    <x v="1"/>
    <s v="CAJA"/>
    <s v="ALIMENTACION DE EMPLEADOS CTA NUEVA"/>
    <s v="TRANSACCIONES DEL DIA 05/02/2019SPYRAL - GESTION ADMINISTRATIVA"/>
    <n v="8"/>
    <n v="0"/>
    <s v="SUCURSAL DE VISTA ALEGRE"/>
    <x v="2"/>
  </r>
  <r>
    <n v="39"/>
    <d v="2019-05-04T00:00:00"/>
    <x v="11"/>
    <x v="11"/>
    <x v="1"/>
    <s v="CAJA"/>
    <s v="ALIMENTACION DE EMPLEADOS CTA NUEVA"/>
    <s v="TRANSACCIONES DEL DIA 05/04/2019SPYRAL - GESTION ADMINISTRATIVA"/>
    <n v="16"/>
    <n v="0"/>
    <s v="SUCURSAL DE VISTA ALEGRE"/>
    <x v="2"/>
  </r>
  <r>
    <n v="39"/>
    <d v="2019-05-06T00:00:00"/>
    <x v="11"/>
    <x v="11"/>
    <x v="1"/>
    <s v="CAJA"/>
    <s v="ALIMENTACION DE EMPLEADOS CTA NUEVA"/>
    <s v="TRANSACCIONES DEL DIA 05/06/2019SPYRAL - GESTION ADMINISTRATIVA"/>
    <n v="16"/>
    <n v="0"/>
    <s v="SUCURSAL DE VISTA ALEGRE"/>
    <x v="2"/>
  </r>
  <r>
    <n v="39"/>
    <d v="2019-05-09T00:00:00"/>
    <x v="11"/>
    <x v="11"/>
    <x v="1"/>
    <s v="CAJA"/>
    <s v="ALIMENTACION DE EMPLEADOS CTA NUEVA"/>
    <s v="TRANSACCIONES DEL DIA 05/09/2019SPYRAL - GESTION ADMINISTRATIVA"/>
    <n v="8"/>
    <n v="0"/>
    <s v="SUCURSAL DE VISTA ALEGRE"/>
    <x v="2"/>
  </r>
  <r>
    <n v="39"/>
    <d v="2019-05-10T00:00:00"/>
    <x v="11"/>
    <x v="11"/>
    <x v="1"/>
    <s v="CAJA"/>
    <s v="ALIMENTACION DE EMPLEADOS CTA NUEVA"/>
    <s v="TRANSACCIONES DEL DIA 05/10/2019SPYRAL - GESTION ADMINISTRATIVA"/>
    <n v="16"/>
    <n v="0"/>
    <s v="SUCURSAL DE VISTA ALEGRE"/>
    <x v="2"/>
  </r>
  <r>
    <n v="39"/>
    <d v="2019-05-13T00:00:00"/>
    <x v="11"/>
    <x v="11"/>
    <x v="1"/>
    <s v="CAJA"/>
    <s v="ALIMENTACION DE EMPLEADOS CTA NUEVA"/>
    <s v="TRANSACCIONES DEL DIA 05/13/2019SPYRAL - GESTION ADMINISTRATIVA"/>
    <n v="8"/>
    <n v="0"/>
    <s v="SUCURSAL DE VISTA ALEGRE"/>
    <x v="2"/>
  </r>
  <r>
    <n v="39"/>
    <d v="2019-05-15T00:00:00"/>
    <x v="11"/>
    <x v="11"/>
    <x v="1"/>
    <s v="CAJA"/>
    <s v="ALIMENTACION DE EMPLEADOS CTA NUEVA"/>
    <s v="TRANSACCIONES DEL DIA 05/15/2019SPYRAL - GESTION ADMINISTRATIVA"/>
    <n v="16"/>
    <n v="0"/>
    <s v="SUCURSAL DE VISTA ALEGRE"/>
    <x v="2"/>
  </r>
  <r>
    <n v="39"/>
    <d v="2019-05-18T00:00:00"/>
    <x v="11"/>
    <x v="11"/>
    <x v="1"/>
    <s v="CAJA"/>
    <s v="ALIMENTACION DE EMPLEADOS CTA NUEVA"/>
    <s v="TRANSACCIONES DEL DIA 05/18/2019SPYRAL - GESTION ADMINISTRATIVA"/>
    <n v="56"/>
    <n v="0"/>
    <s v="SUCURSAL DE VISTA ALEGRE"/>
    <x v="2"/>
  </r>
  <r>
    <n v="39"/>
    <d v="2019-05-23T00:00:00"/>
    <x v="11"/>
    <x v="11"/>
    <x v="1"/>
    <s v="CAJA"/>
    <s v="ALIMENTACION DE EMPLEADOS CTA NUEVA"/>
    <s v="TRANSACCIONES DEL DIA 05/23/2019SPYRAL - GESTION ADMINISTRATIVA"/>
    <n v="8"/>
    <n v="0"/>
    <s v="SUCURSAL DE VISTA ALEGRE"/>
    <x v="2"/>
  </r>
  <r>
    <n v="39"/>
    <d v="2019-05-24T00:00:00"/>
    <x v="11"/>
    <x v="11"/>
    <x v="1"/>
    <s v="CAJA"/>
    <s v="ALIMENTACION DE EMPLEADOS CTA NUEVA"/>
    <s v="TRANSACCIONES DEL DIA 05/24/2019SPYRAL - GESTION ADMINISTRATIVA"/>
    <n v="8"/>
    <n v="0"/>
    <s v="SUCURSAL DE VISTA ALEGRE"/>
    <x v="2"/>
  </r>
  <r>
    <n v="39"/>
    <d v="2019-05-27T00:00:00"/>
    <x v="11"/>
    <x v="11"/>
    <x v="1"/>
    <s v="CAJA"/>
    <s v="ALIMENTACION DE EMPLEADOS CTA NUEVA"/>
    <s v="TRANSACCIONES DEL DIA 05/27/2019SPYRAL - GESTION ADMINISTRATIVA"/>
    <n v="16"/>
    <n v="0"/>
    <s v="SUCURSAL DE VISTA ALEGRE"/>
    <x v="2"/>
  </r>
  <r>
    <n v="39"/>
    <d v="2019-06-01T00:00:00"/>
    <x v="2"/>
    <x v="2"/>
    <x v="1"/>
    <s v="CAJA"/>
    <s v="ALIMENTACION DE EMPLEADOS CTA NUEVA"/>
    <s v="TRANSACCIONES DEL DIA 06/01/2019SPYRAL - GESTION ADMINISTRATIVA"/>
    <n v="16"/>
    <n v="0"/>
    <s v="SUCURSAL DE VISTA ALEGRE"/>
    <x v="2"/>
  </r>
  <r>
    <n v="39"/>
    <d v="2019-06-03T00:00:00"/>
    <x v="2"/>
    <x v="2"/>
    <x v="1"/>
    <s v="CAJA"/>
    <s v="ALIMENTACION DE EMPLEADOS CTA NUEVA"/>
    <s v="TRANSACCIONES DEL DIA 06/03/2019SPYRAL - GESTION ADMINISTRATIVA"/>
    <n v="24"/>
    <n v="0"/>
    <s v="SUCURSAL DE VISTA ALEGRE"/>
    <x v="2"/>
  </r>
  <r>
    <n v="39"/>
    <d v="2019-06-04T00:00:00"/>
    <x v="2"/>
    <x v="2"/>
    <x v="1"/>
    <s v="CAJA"/>
    <s v="ALIMENTACION DE EMPLEADOS CTA NUEVA"/>
    <s v="TRANSACCIONES DEL DIA 06/04/2019SPYRAL - GESTION ADMINISTRATIVA"/>
    <n v="16"/>
    <n v="0"/>
    <s v="SUCURSAL DE VISTA ALEGRE"/>
    <x v="2"/>
  </r>
  <r>
    <n v="39"/>
    <d v="2019-06-05T00:00:00"/>
    <x v="2"/>
    <x v="2"/>
    <x v="1"/>
    <s v="CAJA"/>
    <s v="ALIMENTACION DE EMPLEADOS CTA NUEVA"/>
    <s v="TRANSACCIONES DEL DIA 06/05/2019SPYRAL - GESTION ADMINISTRATIVA"/>
    <n v="8"/>
    <n v="0"/>
    <s v="SUCURSAL DE VISTA ALEGRE"/>
    <x v="2"/>
  </r>
  <r>
    <n v="39"/>
    <d v="2019-06-07T00:00:00"/>
    <x v="2"/>
    <x v="2"/>
    <x v="1"/>
    <s v="CAJA"/>
    <s v="ALIMENTACION DE EMPLEADOS CTA NUEVA"/>
    <s v="TRANSACCIONES DEL DIA 06/07/2019SPYRAL - GESTION ADMINISTRATIVA"/>
    <n v="8"/>
    <n v="0"/>
    <s v="SUCURSAL DE VISTA ALEGRE"/>
    <x v="2"/>
  </r>
  <r>
    <n v="39"/>
    <d v="2019-06-14T00:00:00"/>
    <x v="2"/>
    <x v="2"/>
    <x v="1"/>
    <s v="CAJA"/>
    <s v="ALIMENTACION DE EMPLEADOS CTA NUEVA"/>
    <s v="TRANSACCIONES DEL DIA 06/14/2019SPYRAL - GESTION ADMINISTRATIVA"/>
    <n v="16"/>
    <n v="0"/>
    <s v="SUCURSAL DE VISTA ALEGRE"/>
    <x v="2"/>
  </r>
  <r>
    <n v="39"/>
    <d v="2019-06-18T00:00:00"/>
    <x v="2"/>
    <x v="2"/>
    <x v="1"/>
    <s v="CAJA"/>
    <s v="ALIMENTACION DE EMPLEADOS CTA NUEVA"/>
    <s v="TRANSACCIONES DEL DIA 06/18/2019SPYRAL - GESTION ADMINISTRATIVA"/>
    <n v="8"/>
    <n v="0"/>
    <s v="SUCURSAL DE VISTA ALEGRE"/>
    <x v="2"/>
  </r>
  <r>
    <n v="39"/>
    <d v="2019-06-19T00:00:00"/>
    <x v="2"/>
    <x v="2"/>
    <x v="1"/>
    <s v="CAJA"/>
    <s v="ALIMENTACION DE EMPLEADOS CTA NUEVA"/>
    <s v="TRANSACCIONES DEL DIA 06/19/2019SPYRAL - GESTION ADMINISTRATIVA"/>
    <n v="16"/>
    <n v="0"/>
    <s v="SUCURSAL DE VISTA ALEGRE"/>
    <x v="2"/>
  </r>
  <r>
    <n v="39"/>
    <d v="2019-06-20T00:00:00"/>
    <x v="2"/>
    <x v="2"/>
    <x v="1"/>
    <s v="CAJA"/>
    <s v="ALIMENTACION DE EMPLEADOS CTA NUEVA"/>
    <s v="TRANSACCIONES DEL DIA 06/20/2019SPYRAL - GESTION ADMINISTRATIVA"/>
    <n v="8"/>
    <n v="0"/>
    <s v="SUCURSAL DE VISTA ALEGRE"/>
    <x v="2"/>
  </r>
  <r>
    <n v="39"/>
    <d v="2019-06-21T00:00:00"/>
    <x v="2"/>
    <x v="2"/>
    <x v="1"/>
    <s v="CAJA"/>
    <s v="ALIMENTACION DE EMPLEADOS CTA NUEVA"/>
    <s v="TRANSACCIONES DEL DIA 06/21/2019SPYRAL - GESTION ADMINISTRATIVA"/>
    <n v="16"/>
    <n v="0"/>
    <s v="SUCURSAL DE VISTA ALEGRE"/>
    <x v="2"/>
  </r>
  <r>
    <n v="39"/>
    <d v="2019-06-22T00:00:00"/>
    <x v="2"/>
    <x v="2"/>
    <x v="1"/>
    <s v="CAJA"/>
    <s v="ALIMENTACION DE EMPLEADOS CTA NUEVA"/>
    <s v="TRANSACCIONES DEL DIA 06/22/2019SPYRAL - GESTION ADMINISTRATIVA"/>
    <n v="16"/>
    <n v="0"/>
    <s v="SUCURSAL DE VISTA ALEGRE"/>
    <x v="2"/>
  </r>
  <r>
    <n v="39"/>
    <d v="2019-06-25T00:00:00"/>
    <x v="2"/>
    <x v="2"/>
    <x v="1"/>
    <s v="CAJA"/>
    <s v="ALIMENTACION DE EMPLEADOS CTA NUEVA"/>
    <s v="TRANSACCIONES DEL DIA 06/25/2019SPYRAL - GESTION ADMINISTRATIVA"/>
    <n v="16"/>
    <n v="0"/>
    <s v="SUCURSAL DE VISTA ALEGRE"/>
    <x v="2"/>
  </r>
  <r>
    <n v="39"/>
    <d v="2019-07-05T00:00:00"/>
    <x v="6"/>
    <x v="6"/>
    <x v="1"/>
    <s v="CAJA"/>
    <s v="ALIMENTACION DE EMPLEADOS CTA NUEVA"/>
    <s v="TRANSACCIONES DEL DIA 07/05/2019SPYRAL - GESTION ADMINISTRATIVA"/>
    <n v="32"/>
    <n v="0"/>
    <s v="SUCURSAL DE VISTA ALEGRE"/>
    <x v="2"/>
  </r>
  <r>
    <n v="39"/>
    <d v="2019-07-09T00:00:00"/>
    <x v="6"/>
    <x v="6"/>
    <x v="1"/>
    <s v="CAJA"/>
    <s v="ALIMENTACION DE EMPLEADOS CTA NUEVA"/>
    <s v="TRANSACCIONES DEL DIA 07/09/2019SPYRAL - GESTION ADMINISTRATIVA"/>
    <n v="8"/>
    <n v="0"/>
    <s v="SUCURSAL DE VISTA ALEGRE"/>
    <x v="2"/>
  </r>
  <r>
    <n v="39"/>
    <d v="2019-07-15T00:00:00"/>
    <x v="6"/>
    <x v="6"/>
    <x v="1"/>
    <s v="CAJA"/>
    <s v="ALIMENTACION DE EMPLEADOS CTA NUEVA"/>
    <s v="TRANSACCIONES DEL DIA 07/15/2019SPYRAL - GESTION ADMINISTRATIVA"/>
    <n v="16"/>
    <n v="0"/>
    <s v="SUCURSAL DE VISTA ALEGRE"/>
    <x v="2"/>
  </r>
  <r>
    <n v="39"/>
    <d v="2019-07-17T00:00:00"/>
    <x v="6"/>
    <x v="6"/>
    <x v="1"/>
    <s v="CAJA"/>
    <s v="ALIMENTACION DE EMPLEADOS CTA NUEVA"/>
    <s v="TRANSACCIONES DEL DIA 07/17/2019SPYRAL - GESTION ADMINISTRATIVA"/>
    <n v="8"/>
    <n v="0"/>
    <s v="SUCURSAL DE VISTA ALEGRE"/>
    <x v="2"/>
  </r>
  <r>
    <n v="39"/>
    <d v="2019-07-18T00:00:00"/>
    <x v="6"/>
    <x v="6"/>
    <x v="1"/>
    <s v="CAJA"/>
    <s v="ALIMENTACION DE EMPLEADOS CTA NUEVA"/>
    <s v="TRANSACCIONES DEL DIA 07/18/2019SPYRAL - GESTION ADMINISTRATIVA"/>
    <n v="24"/>
    <n v="0"/>
    <s v="SUCURSAL DE VISTA ALEGRE"/>
    <x v="2"/>
  </r>
  <r>
    <n v="39"/>
    <d v="2019-07-19T00:00:00"/>
    <x v="6"/>
    <x v="6"/>
    <x v="1"/>
    <s v="CAJA"/>
    <s v="ALIMENTACION DE EMPLEADOS CTA NUEVA"/>
    <s v="TRANSACCIONES DEL DIA 07/19/2019SPYRAL - GESTION ADMINISTRATIVA"/>
    <n v="8"/>
    <n v="0"/>
    <s v="SUCURSAL DE VISTA ALEGRE"/>
    <x v="2"/>
  </r>
  <r>
    <n v="39"/>
    <d v="2019-07-20T00:00:00"/>
    <x v="6"/>
    <x v="6"/>
    <x v="1"/>
    <s v="CAJA"/>
    <s v="ALIMENTACION DE EMPLEADOS CTA NUEVA"/>
    <s v="TRANSACCIONES DEL DIA 07/20/2019SPYRAL - GESTION ADMINISTRATIVA"/>
    <n v="8"/>
    <n v="0"/>
    <s v="SUCURSAL DE VISTA ALEGRE"/>
    <x v="2"/>
  </r>
  <r>
    <n v="39"/>
    <d v="2019-07-22T00:00:00"/>
    <x v="6"/>
    <x v="6"/>
    <x v="1"/>
    <s v="CAJA"/>
    <s v="ALIMENTACION DE EMPLEADOS CTA NUEVA"/>
    <s v="TRANSACCIONES DEL DIA 07/22/2019SPYRAL - GESTION ADMINISTRATIVA"/>
    <n v="8"/>
    <n v="0"/>
    <s v="SUCURSAL DE VISTA ALEGRE"/>
    <x v="2"/>
  </r>
  <r>
    <n v="39"/>
    <d v="2019-07-24T00:00:00"/>
    <x v="6"/>
    <x v="6"/>
    <x v="1"/>
    <s v="CAJA"/>
    <s v="ALIMENTACION DE EMPLEADOS CTA NUEVA"/>
    <s v="TRANSACCIONES DEL DIA 07/24/2019SPYRAL - GESTION ADMINISTRATIVA"/>
    <n v="8"/>
    <n v="0"/>
    <s v="SUCURSAL DE VISTA ALEGRE"/>
    <x v="2"/>
  </r>
  <r>
    <n v="39"/>
    <d v="2019-07-26T00:00:00"/>
    <x v="6"/>
    <x v="6"/>
    <x v="1"/>
    <s v="CAJA"/>
    <s v="ALIMENTACION DE EMPLEADOS CTA NUEVA"/>
    <s v="TRANSACCIONES DEL DIA 07/26/2019SPYRAL - GESTION ADMINISTRATIVA"/>
    <n v="16"/>
    <n v="0"/>
    <s v="SUCURSAL DE VISTA ALEGRE"/>
    <x v="2"/>
  </r>
  <r>
    <n v="39"/>
    <d v="2019-07-30T00:00:00"/>
    <x v="6"/>
    <x v="6"/>
    <x v="1"/>
    <s v="CAJA"/>
    <s v="ALIMENTACION DE EMPLEADOS CTA NUEVA"/>
    <s v="TRANSACCIONES DEL DIA 07/30/2019SPYRAL - GESTION ADMINISTRATIVA"/>
    <n v="8"/>
    <n v="0"/>
    <s v="SUCURSAL DE VISTA ALEGRE"/>
    <x v="2"/>
  </r>
  <r>
    <n v="39"/>
    <d v="2019-01-21T00:00:00"/>
    <x v="7"/>
    <x v="7"/>
    <x v="1"/>
    <s v="SERVICIOS PERSONALES"/>
    <s v="ALIMENTACION DE EMPLEADOS CTA NUEVA"/>
    <s v="TRANSACCIONES DEL DIA 01/21/2019SPYRAL - GESTION ADMINISTRATIVA"/>
    <n v="8"/>
    <n v="0"/>
    <s v="SUCURSAL DE VISTA ALEGRE"/>
    <x v="2"/>
  </r>
  <r>
    <n v="39"/>
    <d v="2019-02-01T00:00:00"/>
    <x v="8"/>
    <x v="8"/>
    <x v="1"/>
    <s v="SERVICIOS PERSONALES"/>
    <s v="ALIMENTACION DE EMPLEADOS CTA NUEVA"/>
    <s v="TRANSACCIONES DEL DIA 02/01/2019SPYRAL - GESTION ADMINISTRATIVA"/>
    <n v="8"/>
    <n v="0"/>
    <s v="SUCURSAL DE VISTA ALEGRE"/>
    <x v="2"/>
  </r>
  <r>
    <n v="39"/>
    <d v="2019-03-12T00:00:00"/>
    <x v="9"/>
    <x v="9"/>
    <x v="1"/>
    <s v="SERVICIOS PERSONALES"/>
    <s v="ALIMENTACION DE EMPLEADOS CTA NUEVA"/>
    <s v="TRANSACCIONES DEL DIA 03/12/2019SPYRAL - GESTION ADMINISTRATIVA"/>
    <n v="8"/>
    <n v="0"/>
    <s v="SUCURSAL DE VISTA ALEGRE"/>
    <x v="2"/>
  </r>
  <r>
    <n v="39"/>
    <d v="2019-03-29T00:00:00"/>
    <x v="9"/>
    <x v="9"/>
    <x v="1"/>
    <s v="SERVICIOS PERSONALES"/>
    <s v="ALIMENTACION DE EMPLEADOS CTA NUEVA"/>
    <s v="TRANSACCIONES DEL DIA 03/29/2019SPYRAL - GESTION ADMINISTRATIVA"/>
    <n v="8"/>
    <n v="0"/>
    <s v="SUCURSAL DE VISTA ALEGRE"/>
    <x v="2"/>
  </r>
  <r>
    <n v="39"/>
    <d v="2019-04-03T00:00:00"/>
    <x v="10"/>
    <x v="10"/>
    <x v="1"/>
    <s v="SERVICIOS PERSONALES"/>
    <s v="ALIMENTACION DE EMPLEADOS CTA NUEVA"/>
    <s v="TRANSACCIONES DEL DIA 04/03/2019SPYRAL - GESTION ADMINISTRATIVA"/>
    <n v="8"/>
    <n v="0"/>
    <s v="SUCURSAL DE VISTA ALEGRE"/>
    <x v="2"/>
  </r>
  <r>
    <n v="39"/>
    <d v="2019-04-29T00:00:00"/>
    <x v="10"/>
    <x v="10"/>
    <x v="1"/>
    <s v="SERVICIOS PERSONALES"/>
    <s v="ALIMENTACION DE EMPLEADOS CTA NUEVA"/>
    <s v="TRANSACCIONES DEL DIA 04/29/2019SPYRAL - GESTION ADMINISTRATIVA"/>
    <n v="24"/>
    <n v="0"/>
    <s v="SUCURSAL DE VISTA ALEGRE"/>
    <x v="2"/>
  </r>
  <r>
    <n v="39"/>
    <d v="2019-05-25T00:00:00"/>
    <x v="11"/>
    <x v="11"/>
    <x v="1"/>
    <s v="SERVICIOS PERSONALES"/>
    <s v="ALIMENTACION DE EMPLEADOS CTA NUEVA"/>
    <s v="TRANSACCIONES DEL DIA 05/25/2019SPYRAL - GESTION ADMINISTRATIVA"/>
    <n v="8"/>
    <n v="0"/>
    <s v="SUCURSAL DE VISTA ALEGRE"/>
    <x v="2"/>
  </r>
  <r>
    <n v="39"/>
    <d v="2019-07-08T00:00:00"/>
    <x v="6"/>
    <x v="6"/>
    <x v="1"/>
    <s v="SERVICIOS PERSONALES"/>
    <s v="ALIMENTACION DE EMPLEADOS CTA NUEVA"/>
    <s v="TRANSACCIONES DEL DIA 07/08/2019SPYRAL - GESTION ADMINISTRATIVA"/>
    <n v="32"/>
    <n v="0"/>
    <s v="SUCURSAL DE VISTA ALEGRE"/>
    <x v="2"/>
  </r>
  <r>
    <n v="39"/>
    <d v="2019-07-10T00:00:00"/>
    <x v="6"/>
    <x v="6"/>
    <x v="1"/>
    <s v="SERVICIOS PERSONALES"/>
    <s v="ALIMENTACION DE EMPLEADOS CTA NUEVA"/>
    <s v="TRANSACCIONES DEL DIA 07/10/2019SPYRAL - GESTION ADMINISTRATIVA"/>
    <n v="24"/>
    <n v="0"/>
    <s v="SUCURSAL DE VISTA ALEGRE"/>
    <x v="2"/>
  </r>
  <r>
    <n v="39"/>
    <d v="2019-07-13T00:00:00"/>
    <x v="6"/>
    <x v="6"/>
    <x v="1"/>
    <s v="SERVICIOS PERSONALES"/>
    <s v="ALIMENTACION DE EMPLEADOS CTA NUEVA"/>
    <s v="TRANSACCIONES DEL DIA 07/13/2019SPYRAL - GESTION ADMINISTRATIVA"/>
    <n v="24"/>
    <n v="0"/>
    <s v="SUCURSAL DE VISTA ALEGRE"/>
    <x v="2"/>
  </r>
  <r>
    <n v="39"/>
    <d v="2019-07-15T00:00:00"/>
    <x v="6"/>
    <x v="6"/>
    <x v="1"/>
    <s v="SERVICIOS PERSONALES"/>
    <s v="ALIMENTACION DE EMPLEADOS CTA NUEVA"/>
    <s v="TRANSACCIONES DEL DIA 07/15/2019SPYRAL - GESTION ADMINISTRATIVA"/>
    <n v="8"/>
    <n v="0"/>
    <s v="SUCURSAL DE VISTA ALEGRE"/>
    <x v="2"/>
  </r>
  <r>
    <n v="39"/>
    <d v="2019-07-16T00:00:00"/>
    <x v="6"/>
    <x v="6"/>
    <x v="1"/>
    <s v="SERVICIOS PERSONALES"/>
    <s v="ALIMENTACION DE EMPLEADOS CTA NUEVA"/>
    <s v="TRANSACCIONES DEL DIA 07/16/2019SPYRAL - GESTION ADMINISTRATIVA"/>
    <n v="8"/>
    <n v="0"/>
    <s v="SUCURSAL DE VISTA ALEGRE"/>
    <x v="2"/>
  </r>
  <r>
    <n v="39"/>
    <d v="2019-07-26T00:00:00"/>
    <x v="6"/>
    <x v="6"/>
    <x v="1"/>
    <s v="SERVICIOS PERSONALES"/>
    <s v="ALIMENTACION DE EMPLEADOS CTA NUEVA"/>
    <s v="TRANSACCIONES DEL DIA 07/26/2019SPYRAL - GESTION ADMINISTRATIVA"/>
    <n v="16"/>
    <n v="0"/>
    <s v="SUCURSAL DE VISTA ALEGRE"/>
    <x v="2"/>
  </r>
  <r>
    <n v="40"/>
    <d v="2019-03-19T00:00:00"/>
    <x v="9"/>
    <x v="9"/>
    <x v="1"/>
    <s v="ADMINISTRACION DE SUCURSALES"/>
    <s v="NC ALIMENTACION DE EMPLEADOS NVA"/>
    <s v="TRANSACCIONES DEL DIA 03/19/2019SPYRAL - GESTION ADMINISTRATIVA"/>
    <n v="12.99"/>
    <n v="0"/>
    <s v="LAS TABLAS"/>
    <x v="2"/>
  </r>
  <r>
    <n v="41"/>
    <d v="2019-03-09T00:00:00"/>
    <x v="9"/>
    <x v="9"/>
    <x v="1"/>
    <s v="ADMINISTRACION DE SUCURSALES"/>
    <s v="NC ALIMENTACION DE EMPLEADOS NVA"/>
    <s v="TRANSACCIONES DEL DIA 03/09/2019SPYRAL - GESTION ADMINISTRATIVA"/>
    <n v="23.99"/>
    <n v="0"/>
    <s v="24 DE DICIEMBRE"/>
    <x v="2"/>
  </r>
  <r>
    <n v="42"/>
    <d v="2019-01-10T00:00:00"/>
    <x v="7"/>
    <x v="7"/>
    <x v="1"/>
    <s v="ADMINISTRACION DE SUCURSALES"/>
    <s v="NC ALIMENTACION DE EMPLEADOS NVA"/>
    <s v="TRANSACCIONES DEL DIA 01/10/2019SPYRAL - GESTION ADMINISTRATIVA"/>
    <n v="10.199999999999999"/>
    <n v="0"/>
    <s v="DAVID - TERRONAL"/>
    <x v="2"/>
  </r>
  <r>
    <n v="42"/>
    <d v="2019-03-01T00:00:00"/>
    <x v="9"/>
    <x v="9"/>
    <x v="1"/>
    <s v="ADMINISTRACION DE SUCURSALES"/>
    <s v="NC ALIMENTACION DE EMPLEADOS NVA"/>
    <s v="TRANSACCIONES DEL DIA 03/01/2019SPYRAL - GESTION ADMINISTRATIVA"/>
    <n v="47.98"/>
    <n v="0"/>
    <s v="DAVID - TERRONAL"/>
    <x v="2"/>
  </r>
  <r>
    <n v="43"/>
    <d v="2019-01-04T00:00:00"/>
    <x v="7"/>
    <x v="7"/>
    <x v="1"/>
    <s v="CAJA"/>
    <s v="ALIMENTACION DE EMPLEADOS CTA NUEVA"/>
    <s v="TRANSACCIONES DEL DIA 01/04/2019SPYRAL - GESTION ADMINISTRATIVA"/>
    <n v="8"/>
    <n v="0"/>
    <s v="COSTA DEL ESTE"/>
    <x v="2"/>
  </r>
  <r>
    <n v="43"/>
    <d v="2019-01-05T00:00:00"/>
    <x v="7"/>
    <x v="7"/>
    <x v="1"/>
    <s v="CAJA"/>
    <s v="ALIMENTACION DE EMPLEADOS CTA NUEVA"/>
    <s v="TRANSACCIONES DEL DIA 01/05/2019SPYRAL - GESTION ADMINISTRATIVA"/>
    <n v="8"/>
    <n v="0"/>
    <s v="COSTA DEL ESTE"/>
    <x v="2"/>
  </r>
  <r>
    <n v="43"/>
    <d v="2019-01-08T00:00:00"/>
    <x v="7"/>
    <x v="7"/>
    <x v="1"/>
    <s v="CAJA"/>
    <s v="ALIMENTACION DE EMPLEADOS CTA NUEVA"/>
    <s v="TRANSACCIONES DEL DIA 01/08/2019SPYRAL - GESTION ADMINISTRATIVA"/>
    <n v="8"/>
    <n v="0"/>
    <s v="COSTA DEL ESTE"/>
    <x v="2"/>
  </r>
  <r>
    <n v="43"/>
    <d v="2019-01-18T00:00:00"/>
    <x v="7"/>
    <x v="7"/>
    <x v="1"/>
    <s v="CAJA"/>
    <s v="ALIMENTACION DE EMPLEADOS CTA NUEVA"/>
    <s v="TRANSACCIONES DEL DIA 01/18/2019SPYRAL - GESTION ADMINISTRATIVA"/>
    <n v="16"/>
    <n v="0"/>
    <s v="COSTA DEL ESTE"/>
    <x v="2"/>
  </r>
  <r>
    <n v="43"/>
    <d v="2019-02-04T00:00:00"/>
    <x v="8"/>
    <x v="8"/>
    <x v="1"/>
    <s v="CAJA"/>
    <s v="ALIMENTACION DE EMPLEADOS CTA NUEVA"/>
    <s v="TRANSACCIONES DEL DIA 02/04/2019SPYRAL - GESTION ADMINISTRATIVA"/>
    <n v="8"/>
    <n v="0"/>
    <s v="COSTA DEL ESTE"/>
    <x v="2"/>
  </r>
  <r>
    <n v="43"/>
    <d v="2019-03-08T00:00:00"/>
    <x v="9"/>
    <x v="9"/>
    <x v="1"/>
    <s v="CAJA"/>
    <s v="ALIMENTACION DE EMPLEADOS CTA NUEVA"/>
    <s v="TRANSACCIONES DEL DIA 03/08/2019SPYRAL - GESTION ADMINISTRATIVA"/>
    <n v="24"/>
    <n v="0"/>
    <s v="COSTA DEL ESTE"/>
    <x v="2"/>
  </r>
  <r>
    <n v="43"/>
    <d v="2019-03-18T00:00:00"/>
    <x v="9"/>
    <x v="9"/>
    <x v="1"/>
    <s v="CAJA"/>
    <s v="ALIMENTACION DE EMPLEADOS CTA NUEVA"/>
    <s v="TRANSACCIONES DEL DIA 03/18/2019SPYRAL - GESTION ADMINISTRATIVA"/>
    <n v="16"/>
    <n v="0"/>
    <s v="COSTA DEL ESTE"/>
    <x v="2"/>
  </r>
  <r>
    <n v="43"/>
    <d v="2019-03-21T00:00:00"/>
    <x v="9"/>
    <x v="9"/>
    <x v="1"/>
    <s v="CAJA"/>
    <s v="ALIMENTACION DE EMPLEADOS CTA NUEVA"/>
    <s v="TRANSACCIONES DEL DIA 03/21/2019SPYRAL - GESTION ADMINISTRATIVA"/>
    <n v="16"/>
    <n v="0"/>
    <s v="COSTA DEL ESTE"/>
    <x v="2"/>
  </r>
  <r>
    <n v="43"/>
    <d v="2019-03-23T00:00:00"/>
    <x v="9"/>
    <x v="9"/>
    <x v="1"/>
    <s v="CAJA"/>
    <s v="ALIMENTACION DE EMPLEADOS CTA NUEVA"/>
    <s v="TRANSACCIONES DEL DIA 03/23/2019SPYRAL - GESTION ADMINISTRATIVA"/>
    <n v="8"/>
    <n v="0"/>
    <s v="COSTA DEL ESTE"/>
    <x v="2"/>
  </r>
  <r>
    <n v="43"/>
    <d v="2019-03-26T00:00:00"/>
    <x v="9"/>
    <x v="9"/>
    <x v="1"/>
    <s v="CAJA"/>
    <s v="ALIMENTACION DE EMPLEADOS CTA NUEVA"/>
    <s v="TRANSACCIONES DEL DIA 03/26/2019SPYRAL - GESTION ADMINISTRATIVA"/>
    <n v="16"/>
    <n v="0"/>
    <s v="COSTA DEL ESTE"/>
    <x v="2"/>
  </r>
  <r>
    <n v="43"/>
    <d v="2019-04-12T00:00:00"/>
    <x v="10"/>
    <x v="10"/>
    <x v="1"/>
    <s v="CAJA"/>
    <s v="ALIMENTACION DE EMPLEADOS CTA NUEVA"/>
    <s v="TRANSACCIONES DEL DIA 04/12/2019SPYRAL - GESTION ADMINISTRATIVA"/>
    <n v="8"/>
    <n v="0"/>
    <s v="COSTA DEL ESTE"/>
    <x v="2"/>
  </r>
  <r>
    <n v="43"/>
    <d v="2019-04-22T00:00:00"/>
    <x v="10"/>
    <x v="10"/>
    <x v="1"/>
    <s v="CAJA"/>
    <s v="ALIMENTACION DE EMPLEADOS CTA NUEVA"/>
    <s v="TRANSACCIONES DEL DIA 04/22/2019SPYRAL - GESTION ADMINISTRATIVA"/>
    <n v="16"/>
    <n v="0"/>
    <s v="COSTA DEL ESTE"/>
    <x v="2"/>
  </r>
  <r>
    <n v="43"/>
    <d v="2019-05-06T00:00:00"/>
    <x v="11"/>
    <x v="11"/>
    <x v="1"/>
    <s v="CAJA"/>
    <s v="ALIMENTACION DE EMPLEADOS CTA NUEVA"/>
    <s v="TRANSACCIONES DEL DIA 05/06/2019SPYRAL - GESTION ADMINISTRATIVA"/>
    <n v="32"/>
    <n v="0"/>
    <s v="COSTA DEL ESTE"/>
    <x v="2"/>
  </r>
  <r>
    <n v="43"/>
    <d v="2019-05-08T00:00:00"/>
    <x v="11"/>
    <x v="11"/>
    <x v="1"/>
    <s v="CAJA"/>
    <s v="ALIMENTACION DE EMPLEADOS CTA NUEVA"/>
    <s v="TRANSACCIONES DEL DIA 05/08/2019SPYRAL - GESTION ADMINISTRATIVA"/>
    <n v="8"/>
    <n v="0"/>
    <s v="COSTA DEL ESTE"/>
    <x v="2"/>
  </r>
  <r>
    <n v="43"/>
    <d v="2019-05-18T00:00:00"/>
    <x v="11"/>
    <x v="11"/>
    <x v="1"/>
    <s v="CAJA"/>
    <s v="ALIMENTACION DE EMPLEADOS CTA NUEVA"/>
    <s v="TRANSACCIONES DEL DIA 05/18/2019SPYRAL - GESTION ADMINISTRATIVA"/>
    <n v="8"/>
    <n v="0"/>
    <s v="COSTA DEL ESTE"/>
    <x v="2"/>
  </r>
  <r>
    <n v="43"/>
    <d v="2019-05-25T00:00:00"/>
    <x v="11"/>
    <x v="11"/>
    <x v="1"/>
    <s v="CAJA"/>
    <s v="ALIMENTACION DE EMPLEADOS CTA NUEVA"/>
    <s v="TRANSACCIONES DEL DIA 05/25/2019SPYRAL - GESTION ADMINISTRATIVA"/>
    <n v="8"/>
    <n v="0"/>
    <s v="COSTA DEL ESTE"/>
    <x v="2"/>
  </r>
  <r>
    <n v="43"/>
    <d v="2019-06-20T00:00:00"/>
    <x v="2"/>
    <x v="2"/>
    <x v="1"/>
    <s v="CAJA"/>
    <s v="ALIMENTACION DE EMPLEADOS CTA NUEVA"/>
    <s v="TRANSACCIONES DEL DIA 06/20/2019SPYRAL - GESTION ADMINISTRATIVA"/>
    <n v="8"/>
    <n v="0"/>
    <s v="COSTA DEL ESTE"/>
    <x v="2"/>
  </r>
  <r>
    <n v="43"/>
    <d v="2019-07-03T00:00:00"/>
    <x v="6"/>
    <x v="6"/>
    <x v="1"/>
    <s v="CAJA"/>
    <s v="ALIMENTACION DE EMPLEADOS CTA NUEVA"/>
    <s v="TRANSACCIONES DEL DIA 07/03/2019SPYRAL - GESTION ADMINISTRATIVA"/>
    <n v="8"/>
    <n v="0"/>
    <s v="COSTA DEL ESTE"/>
    <x v="2"/>
  </r>
  <r>
    <n v="43"/>
    <d v="2019-07-15T00:00:00"/>
    <x v="6"/>
    <x v="6"/>
    <x v="1"/>
    <s v="CAJA"/>
    <s v="ALIMENTACION DE EMPLEADOS CTA NUEVA"/>
    <s v="TRANSACCIONES DEL DIA 07/15/2019SPYRAL - GESTION ADMINISTRATIVA"/>
    <n v="8"/>
    <n v="0"/>
    <s v="COSTA DEL ESTE"/>
    <x v="2"/>
  </r>
  <r>
    <n v="43"/>
    <d v="2019-07-16T00:00:00"/>
    <x v="6"/>
    <x v="6"/>
    <x v="1"/>
    <s v="CAJA"/>
    <s v="ALIMENTACION DE EMPLEADOS CTA NUEVA"/>
    <s v="TRANSACCIONES DEL DIA 07/16/2019SPYRAL - GESTION ADMINISTRATIVA"/>
    <n v="16"/>
    <n v="0"/>
    <s v="COSTA DEL ESTE"/>
    <x v="2"/>
  </r>
  <r>
    <n v="43"/>
    <d v="2019-07-29T00:00:00"/>
    <x v="6"/>
    <x v="6"/>
    <x v="1"/>
    <s v="CAJA"/>
    <s v="ALIMENTACION DE EMPLEADOS CTA NUEVA"/>
    <s v="TRANSACCIONES DEL DIA 07/29/2019SPYRAL - GESTION ADMINISTRATIVA"/>
    <n v="8"/>
    <n v="0"/>
    <s v="COSTA DEL ESTE"/>
    <x v="2"/>
  </r>
  <r>
    <n v="43"/>
    <d v="2019-02-25T00:00:00"/>
    <x v="8"/>
    <x v="8"/>
    <x v="1"/>
    <s v="SERVICIOS PERSONALES"/>
    <s v="ALIMENTACION DE EMPLEADOS CTA NUEVA"/>
    <s v="TRANSACCIONES DEL DIA 02/25/2019SPYRAL - GESTION ADMINISTRATIVA"/>
    <n v="8"/>
    <n v="0"/>
    <s v="COSTA DEL ESTE"/>
    <x v="2"/>
  </r>
  <r>
    <n v="43"/>
    <d v="2019-02-27T00:00:00"/>
    <x v="8"/>
    <x v="8"/>
    <x v="1"/>
    <s v="SERVICIOS PERSONALES"/>
    <s v="ALIMENTACION DE EMPLEADOS CTA NUEVA"/>
    <s v="TRANSACCIONES DEL DIA 02/27/2019SPYRAL - GESTION ADMINISTRATIVA"/>
    <n v="8"/>
    <n v="0"/>
    <s v="COSTA DEL ESTE"/>
    <x v="2"/>
  </r>
  <r>
    <n v="43"/>
    <d v="2019-03-13T00:00:00"/>
    <x v="9"/>
    <x v="9"/>
    <x v="1"/>
    <s v="SERVICIOS PERSONALES"/>
    <s v="ALIMENTACION DE EMPLEADOS CTA NUEVA"/>
    <s v="TRANSACCIONES DEL DIA 03/13/2019SPYRAL - GESTION ADMINISTRATIVA"/>
    <n v="8"/>
    <n v="0"/>
    <s v="COSTA DEL ESTE"/>
    <x v="2"/>
  </r>
  <r>
    <n v="43"/>
    <d v="2019-04-12T00:00:00"/>
    <x v="10"/>
    <x v="10"/>
    <x v="1"/>
    <s v="SERVICIOS PERSONALES"/>
    <s v="ALIMENTACION DE EMPLEADOS CTA NUEVA"/>
    <s v="TRANSACCIONES DEL DIA 04/12/2019SPYRAL - GESTION ADMINISTRATIVA"/>
    <n v="8"/>
    <n v="0"/>
    <s v="COSTA DEL ESTE"/>
    <x v="2"/>
  </r>
  <r>
    <n v="43"/>
    <d v="2019-04-15T00:00:00"/>
    <x v="10"/>
    <x v="10"/>
    <x v="1"/>
    <s v="SERVICIOS PERSONALES"/>
    <s v="ALIMENTACION DE EMPLEADOS CTA NUEVA"/>
    <s v="TRANSACCIONES DEL DIA 04/15/2019SPYRAL - GESTION ADMINISTRATIVA"/>
    <n v="8"/>
    <n v="0"/>
    <s v="COSTA DEL ESTE"/>
    <x v="2"/>
  </r>
  <r>
    <n v="43"/>
    <d v="2019-05-24T00:00:00"/>
    <x v="11"/>
    <x v="11"/>
    <x v="1"/>
    <s v="SERVICIOS PERSONALES"/>
    <s v="ALIMENTACION DE EMPLEADOS CTA NUEVA"/>
    <s v="TRANSACCIONES DEL DIA 05/24/2019SPYRAL - GESTION ADMINISTRATIVA"/>
    <n v="8"/>
    <n v="0"/>
    <s v="COSTA DEL ESTE"/>
    <x v="2"/>
  </r>
  <r>
    <n v="43"/>
    <d v="2019-05-29T00:00:00"/>
    <x v="11"/>
    <x v="11"/>
    <x v="1"/>
    <s v="SERVICIOS PERSONALES"/>
    <s v="ALIMENTACION DE EMPLEADOS CTA NUEVA"/>
    <s v="TRANSACCIONES DEL DIA 05/29/2019SPYRAL - GESTION ADMINISTRATIVA"/>
    <n v="8"/>
    <n v="0"/>
    <s v="COSTA DEL ESTE"/>
    <x v="2"/>
  </r>
  <r>
    <n v="43"/>
    <d v="2019-06-01T00:00:00"/>
    <x v="2"/>
    <x v="2"/>
    <x v="1"/>
    <s v="SERVICIOS PERSONALES"/>
    <s v="ALIMENTACION DE EMPLEADOS CTA NUEVA"/>
    <s v="TRANSACCIONES DEL DIA 06/01/2019SPYRAL - GESTION ADMINISTRATIVA"/>
    <n v="8"/>
    <n v="0"/>
    <s v="COSTA DEL ESTE"/>
    <x v="2"/>
  </r>
  <r>
    <n v="43"/>
    <d v="2019-06-03T00:00:00"/>
    <x v="2"/>
    <x v="2"/>
    <x v="1"/>
    <s v="SERVICIOS PERSONALES"/>
    <s v="ALIMENTACION DE EMPLEADOS CTA NUEVA"/>
    <s v="TRANSACCIONES DEL DIA 06/03/2019SPYRAL - GESTION ADMINISTRATIVA"/>
    <n v="8"/>
    <n v="0"/>
    <s v="COSTA DEL ESTE"/>
    <x v="2"/>
  </r>
  <r>
    <n v="43"/>
    <d v="2019-06-05T00:00:00"/>
    <x v="2"/>
    <x v="2"/>
    <x v="1"/>
    <s v="SERVICIOS PERSONALES"/>
    <s v="ALIMENTACION DE EMPLEADOS CTA NUEVA"/>
    <s v="TRANSACCIONES DEL DIA 06/05/2019SPYRAL - GESTION ADMINISTRATIVA"/>
    <n v="8"/>
    <n v="0"/>
    <s v="COSTA DEL ESTE"/>
    <x v="2"/>
  </r>
  <r>
    <n v="43"/>
    <d v="2019-06-06T00:00:00"/>
    <x v="2"/>
    <x v="2"/>
    <x v="1"/>
    <s v="SERVICIOS PERSONALES"/>
    <s v="ALIMENTACION DE EMPLEADOS CTA NUEVA"/>
    <s v="TRANSACCIONES DEL DIA 06/06/2019SPYRAL - GESTION ADMINISTRATIVA"/>
    <n v="8"/>
    <n v="0"/>
    <s v="COSTA DEL ESTE"/>
    <x v="2"/>
  </r>
  <r>
    <n v="43"/>
    <d v="2019-06-20T00:00:00"/>
    <x v="2"/>
    <x v="2"/>
    <x v="1"/>
    <s v="SERVICIOS PERSONALES"/>
    <s v="ALIMENTACION DE EMPLEADOS CTA NUEVA"/>
    <s v="TRANSACCIONES DEL DIA 06/20/2019SPYRAL - GESTION ADMINISTRATIVA"/>
    <n v="8"/>
    <n v="0"/>
    <s v="COSTA DEL ESTE"/>
    <x v="2"/>
  </r>
  <r>
    <n v="44"/>
    <d v="2019-04-17T00:00:00"/>
    <x v="10"/>
    <x v="10"/>
    <x v="1"/>
    <s v="ADMINISTRACION DE SUCURSALES"/>
    <s v="NC ALIMENTACION DE EMPLEADOS NVA"/>
    <s v="TRANSACCIONES DEL DIA 04/17/2019SPYRAL - GESTION ADMINISTRATIVA"/>
    <n v="61.6"/>
    <n v="0"/>
    <s v="MULTI PLAZA"/>
    <x v="2"/>
  </r>
  <r>
    <n v="44"/>
    <d v="2019-05-06T00:00:00"/>
    <x v="11"/>
    <x v="11"/>
    <x v="1"/>
    <s v="ADMINISTRACION DE SUCURSALES"/>
    <s v="ALIMENTACION DE EMPLEADOS CTA NUEVA"/>
    <s v="TRANSACCIONES DEL DIA 05/06/2019SPYRAL - GESTION ADMINISTRATIVA"/>
    <n v="16"/>
    <n v="0"/>
    <s v="MULTI PLAZA"/>
    <x v="2"/>
  </r>
  <r>
    <n v="44"/>
    <d v="2019-07-09T00:00:00"/>
    <x v="6"/>
    <x v="6"/>
    <x v="1"/>
    <s v="ADMINISTRACION DE SUCURSALES"/>
    <s v="NC ALIMENTACION DE EMPLEADOS NVA"/>
    <s v="TRANSACCIONES DEL DIA 07/09/2019SPYRAL - GESTION ADMINISTRATIVA"/>
    <n v="0"/>
    <n v="61.6"/>
    <s v="MULTI PLAZA"/>
    <x v="2"/>
  </r>
  <r>
    <n v="44"/>
    <d v="2019-01-02T00:00:00"/>
    <x v="7"/>
    <x v="7"/>
    <x v="1"/>
    <s v="CAJA"/>
    <s v="ALIMENTACION DE EMPLEADOS CTA NUEVA"/>
    <s v="TRANSACCIONES DEL DIA 01/02/2019SPYRAL - GESTION ADMINISTRATIVA"/>
    <n v="32"/>
    <n v="0"/>
    <s v="MULTI PLAZA"/>
    <x v="2"/>
  </r>
  <r>
    <n v="44"/>
    <d v="2019-01-03T00:00:00"/>
    <x v="7"/>
    <x v="7"/>
    <x v="1"/>
    <s v="CAJA"/>
    <s v="ALIMENTACION DE EMPLEADOS CTA NUEVA"/>
    <s v="TRANSACCIONES DEL DIA 01/03/2019SPYRAL - GESTION ADMINISTRATIVA"/>
    <n v="24"/>
    <n v="0"/>
    <s v="MULTI PLAZA"/>
    <x v="2"/>
  </r>
  <r>
    <n v="44"/>
    <d v="2019-01-11T00:00:00"/>
    <x v="7"/>
    <x v="7"/>
    <x v="1"/>
    <s v="CAJA"/>
    <s v="ALIMENTACION DE EMPLEADOS CTA NUEVA"/>
    <s v="TRANSACCIONES DEL DIA 01/11/2019SPYRAL - GESTION ADMINISTRATIVA"/>
    <n v="8"/>
    <n v="0"/>
    <s v="MULTI PLAZA"/>
    <x v="2"/>
  </r>
  <r>
    <n v="44"/>
    <d v="2019-01-17T00:00:00"/>
    <x v="7"/>
    <x v="7"/>
    <x v="1"/>
    <s v="CAJA"/>
    <s v="ALIMENTACION DE EMPLEADOS CTA NUEVA"/>
    <s v="TRANSACCIONES DEL DIA 01/17/2019SPYRAL - GESTION ADMINISTRATIVA"/>
    <n v="24"/>
    <n v="0"/>
    <s v="MULTI PLAZA"/>
    <x v="2"/>
  </r>
  <r>
    <n v="44"/>
    <d v="2019-01-22T00:00:00"/>
    <x v="7"/>
    <x v="7"/>
    <x v="1"/>
    <s v="CAJA"/>
    <s v="ALIMENTACION DE EMPLEADOS CTA NUEVA"/>
    <s v="TRANSACCIONES DEL DIA 01/22/2019SPYRAL - GESTION ADMINISTRATIVA"/>
    <n v="16"/>
    <n v="0"/>
    <s v="MULTI PLAZA"/>
    <x v="2"/>
  </r>
  <r>
    <n v="44"/>
    <d v="2019-01-24T00:00:00"/>
    <x v="7"/>
    <x v="7"/>
    <x v="1"/>
    <s v="CAJA"/>
    <s v="ALIMENTACION DE EMPLEADOS CTA NUEVA"/>
    <s v="TRANSACCIONES DEL DIA 01/24/2019SPYRAL - GESTION ADMINISTRATIVA"/>
    <n v="16"/>
    <n v="0"/>
    <s v="MULTI PLAZA"/>
    <x v="2"/>
  </r>
  <r>
    <n v="44"/>
    <d v="2019-02-01T00:00:00"/>
    <x v="8"/>
    <x v="8"/>
    <x v="1"/>
    <s v="CAJA"/>
    <s v="ALIMENTACION DE EMPLEADOS CTA NUEVA"/>
    <s v="TRANSACCIONES DEL DIA 02/01/2019SPYRAL - GESTION ADMINISTRATIVA"/>
    <n v="8"/>
    <n v="0"/>
    <s v="MULTI PLAZA"/>
    <x v="2"/>
  </r>
  <r>
    <n v="44"/>
    <d v="2019-02-04T00:00:00"/>
    <x v="8"/>
    <x v="8"/>
    <x v="1"/>
    <s v="CAJA"/>
    <s v="ALIMENTACION DE EMPLEADOS CTA NUEVA"/>
    <s v="TRANSACCIONES DEL DIA 02/04/2019SPYRAL - GESTION ADMINISTRATIVA"/>
    <n v="8"/>
    <n v="0"/>
    <s v="MULTI PLAZA"/>
    <x v="2"/>
  </r>
  <r>
    <n v="44"/>
    <d v="2019-02-07T00:00:00"/>
    <x v="8"/>
    <x v="8"/>
    <x v="1"/>
    <s v="CAJA"/>
    <s v="ALIMENTACION DE EMPLEADOS CTA NUEVA"/>
    <s v="TRANSACCIONES DEL DIA 02/07/2019SPYRAL - GESTION ADMINISTRATIVA"/>
    <n v="8"/>
    <n v="0"/>
    <s v="MULTI PLAZA"/>
    <x v="2"/>
  </r>
  <r>
    <n v="44"/>
    <d v="2019-02-08T00:00:00"/>
    <x v="8"/>
    <x v="8"/>
    <x v="1"/>
    <s v="CAJA"/>
    <s v="ALIMENTACION DE EMPLEADOS CTA NUEVA"/>
    <s v="TRANSACCIONES DEL DIA 02/08/2019SPYRAL - GESTION ADMINISTRATIVA"/>
    <n v="16"/>
    <n v="0"/>
    <s v="MULTI PLAZA"/>
    <x v="2"/>
  </r>
  <r>
    <n v="44"/>
    <d v="2019-02-11T00:00:00"/>
    <x v="8"/>
    <x v="8"/>
    <x v="1"/>
    <s v="CAJA"/>
    <s v="ALIMENTACION DE EMPLEADOS CTA NUEVA"/>
    <s v="TRANSACCIONES DEL DIA 02/11/2019SPYRAL - GESTION ADMINISTRATIVA"/>
    <n v="8"/>
    <n v="0"/>
    <s v="MULTI PLAZA"/>
    <x v="2"/>
  </r>
  <r>
    <n v="44"/>
    <d v="2019-02-13T00:00:00"/>
    <x v="8"/>
    <x v="8"/>
    <x v="1"/>
    <s v="CAJA"/>
    <s v="ALIMENTACION DE EMPLEADOS CTA NUEVA"/>
    <s v="TRANSACCIONES DEL DIA 02/13/2019SPYRAL - GESTION ADMINISTRATIVA"/>
    <n v="24"/>
    <n v="0"/>
    <s v="MULTI PLAZA"/>
    <x v="2"/>
  </r>
  <r>
    <n v="44"/>
    <d v="2019-02-18T00:00:00"/>
    <x v="8"/>
    <x v="8"/>
    <x v="1"/>
    <s v="CAJA"/>
    <s v="ALIMENTACION DE EMPLEADOS CTA NUEVA"/>
    <s v="TRANSACCIONES DEL DIA 02/18/2019SPYRAL - GESTION ADMINISTRATIVA"/>
    <n v="16"/>
    <n v="0"/>
    <s v="MULTI PLAZA"/>
    <x v="2"/>
  </r>
  <r>
    <n v="44"/>
    <d v="2019-02-19T00:00:00"/>
    <x v="8"/>
    <x v="8"/>
    <x v="1"/>
    <s v="CAJA"/>
    <s v="ALIMENTACION DE EMPLEADOS CTA NUEVA"/>
    <s v="TRANSACCIONES DEL DIA 02/19/2019SPYRAL - GESTION ADMINISTRATIVA"/>
    <n v="16"/>
    <n v="0"/>
    <s v="MULTI PLAZA"/>
    <x v="2"/>
  </r>
  <r>
    <n v="44"/>
    <d v="2019-02-25T00:00:00"/>
    <x v="8"/>
    <x v="8"/>
    <x v="1"/>
    <s v="CAJA"/>
    <s v="ALIMENTACION DE EMPLEADOS CTA NUEVA"/>
    <s v="TRANSACCIONES DEL DIA 02/25/2019SPYRAL - GESTION ADMINISTRATIVA"/>
    <n v="8"/>
    <n v="0"/>
    <s v="MULTI PLAZA"/>
    <x v="2"/>
  </r>
  <r>
    <n v="44"/>
    <d v="2019-03-12T00:00:00"/>
    <x v="9"/>
    <x v="9"/>
    <x v="1"/>
    <s v="CAJA"/>
    <s v="ALIMENTACION DE EMPLEADOS CTA NUEVA"/>
    <s v="TRANSACCIONES DEL DIA 03/12/2019SPYRAL - GESTION ADMINISTRATIVA"/>
    <n v="16"/>
    <n v="0"/>
    <s v="MULTI PLAZA"/>
    <x v="2"/>
  </r>
  <r>
    <n v="44"/>
    <d v="2019-03-19T00:00:00"/>
    <x v="9"/>
    <x v="9"/>
    <x v="1"/>
    <s v="CAJA"/>
    <s v="ALIMENTACION DE EMPLEADOS CTA NUEVA"/>
    <s v="TRANSACCIONES DEL DIA 03/19/2019SPYRAL - GESTION ADMINISTRATIVA"/>
    <n v="48"/>
    <n v="0"/>
    <s v="MULTI PLAZA"/>
    <x v="2"/>
  </r>
  <r>
    <n v="44"/>
    <d v="2019-03-23T00:00:00"/>
    <x v="9"/>
    <x v="9"/>
    <x v="1"/>
    <s v="CAJA"/>
    <s v="ALIMENTACION DE EMPLEADOS CTA NUEVA"/>
    <s v="TRANSACCIONES DEL DIA 03/23/2019SPYRAL - GESTION ADMINISTRATIVA"/>
    <n v="8"/>
    <n v="0"/>
    <s v="MULTI PLAZA"/>
    <x v="2"/>
  </r>
  <r>
    <n v="44"/>
    <d v="2019-03-27T00:00:00"/>
    <x v="9"/>
    <x v="9"/>
    <x v="1"/>
    <s v="CAJA"/>
    <s v="ALIMENTACION DE EMPLEADOS CTA NUEVA"/>
    <s v="TRANSACCIONES DEL DIA 03/27/2019SPYRAL - GESTION ADMINISTRATIVA"/>
    <n v="8"/>
    <n v="0"/>
    <s v="MULTI PLAZA"/>
    <x v="2"/>
  </r>
  <r>
    <n v="44"/>
    <d v="2019-04-06T00:00:00"/>
    <x v="10"/>
    <x v="10"/>
    <x v="1"/>
    <s v="CAJA"/>
    <s v="ALIMENTACION DE EMPLEADOS CTA NUEVA"/>
    <s v="TRANSACCIONES DEL DIA 04/06/2019SPYRAL - GESTION ADMINISTRATIVA"/>
    <n v="8"/>
    <n v="0"/>
    <s v="MULTI PLAZA"/>
    <x v="2"/>
  </r>
  <r>
    <n v="44"/>
    <d v="2019-04-10T00:00:00"/>
    <x v="10"/>
    <x v="10"/>
    <x v="1"/>
    <s v="CAJA"/>
    <s v="ALIMENTACION DE EMPLEADOS CTA NUEVA"/>
    <s v="TRANSACCIONES DEL DIA 04/10/2019SPYRAL - GESTION ADMINISTRATIVA"/>
    <n v="16"/>
    <n v="0"/>
    <s v="MULTI PLAZA"/>
    <x v="2"/>
  </r>
  <r>
    <n v="44"/>
    <d v="2019-04-16T00:00:00"/>
    <x v="10"/>
    <x v="10"/>
    <x v="1"/>
    <s v="CAJA"/>
    <s v="ALIMENTACION DE EMPLEADOS CTA NUEVA"/>
    <s v="TRANSACCIONES DEL DIA 04/16/2019SPYRAL - GESTION ADMINISTRATIVA"/>
    <n v="16"/>
    <n v="0"/>
    <s v="MULTI PLAZA"/>
    <x v="2"/>
  </r>
  <r>
    <n v="44"/>
    <d v="2019-04-18T00:00:00"/>
    <x v="10"/>
    <x v="10"/>
    <x v="1"/>
    <s v="CAJA"/>
    <s v="ALIMENTACION DE EMPLEADOS CTA NUEVA"/>
    <s v="TRANSACCIONES DEL DIA 04/18/2019SPYRAL - GESTION ADMINISTRATIVA"/>
    <n v="16"/>
    <n v="0"/>
    <s v="MULTI PLAZA"/>
    <x v="2"/>
  </r>
  <r>
    <n v="44"/>
    <d v="2019-04-22T00:00:00"/>
    <x v="10"/>
    <x v="10"/>
    <x v="1"/>
    <s v="CAJA"/>
    <s v="ALIMENTACION DE EMPLEADOS CTA NUEVA"/>
    <s v="TRANSACCIONES DEL DIA 04/22/2019SPYRAL - GESTION ADMINISTRATIVA"/>
    <n v="8"/>
    <n v="0"/>
    <s v="MULTI PLAZA"/>
    <x v="2"/>
  </r>
  <r>
    <n v="44"/>
    <d v="2019-04-25T00:00:00"/>
    <x v="10"/>
    <x v="10"/>
    <x v="1"/>
    <s v="CAJA"/>
    <s v="ALIMENTACION DE EMPLEADOS CTA NUEVA"/>
    <s v="TRANSACCIONES DEL DIA 04/25/2019SPYRAL - GESTION ADMINISTRATIVA"/>
    <n v="16"/>
    <n v="0"/>
    <s v="MULTI PLAZA"/>
    <x v="2"/>
  </r>
  <r>
    <n v="44"/>
    <d v="2019-05-06T00:00:00"/>
    <x v="11"/>
    <x v="11"/>
    <x v="1"/>
    <s v="CAJA"/>
    <s v="ALIMENTACION DE EMPLEADOS CTA NUEVA"/>
    <s v="TRANSACCIONES DEL DIA 05/06/2019SPYRAL - GESTION ADMINISTRATIVA"/>
    <n v="56"/>
    <n v="0"/>
    <s v="MULTI PLAZA"/>
    <x v="2"/>
  </r>
  <r>
    <n v="44"/>
    <d v="2019-05-07T00:00:00"/>
    <x v="11"/>
    <x v="11"/>
    <x v="1"/>
    <s v="CAJA"/>
    <s v="ALIMENTACION DE EMPLEADOS CTA NUEVA"/>
    <s v="TRANSACCIONES DEL DIA 05/07/2019SPYRAL - GESTION ADMINISTRATIVA"/>
    <n v="16"/>
    <n v="0"/>
    <s v="MULTI PLAZA"/>
    <x v="2"/>
  </r>
  <r>
    <n v="44"/>
    <d v="2019-05-10T00:00:00"/>
    <x v="11"/>
    <x v="11"/>
    <x v="1"/>
    <s v="CAJA"/>
    <s v="ALIMENTACION DE EMPLEADOS CTA NUEVA"/>
    <s v="TRANSACCIONES DEL DIA 05/10/2019SPYRAL - GESTION ADMINISTRATIVA"/>
    <n v="16"/>
    <n v="0"/>
    <s v="MULTI PLAZA"/>
    <x v="2"/>
  </r>
  <r>
    <n v="44"/>
    <d v="2019-05-15T00:00:00"/>
    <x v="11"/>
    <x v="11"/>
    <x v="1"/>
    <s v="CAJA"/>
    <s v="ALIMENTACION DE EMPLEADOS CTA NUEVA"/>
    <s v="TRANSACCIONES DEL DIA 05/15/2019SPYRAL - GESTION ADMINISTRATIVA"/>
    <n v="16"/>
    <n v="0"/>
    <s v="MULTI PLAZA"/>
    <x v="2"/>
  </r>
  <r>
    <n v="44"/>
    <d v="2019-05-16T00:00:00"/>
    <x v="11"/>
    <x v="11"/>
    <x v="1"/>
    <s v="CAJA"/>
    <s v="ALIMENTACION DE EMPLEADOS CTA NUEVA"/>
    <s v="TRANSACCIONES DEL DIA 05/16/2019SPYRAL - GESTION ADMINISTRATIVA"/>
    <n v="16"/>
    <n v="0"/>
    <s v="MULTI PLAZA"/>
    <x v="2"/>
  </r>
  <r>
    <n v="44"/>
    <d v="2019-05-18T00:00:00"/>
    <x v="11"/>
    <x v="11"/>
    <x v="1"/>
    <s v="CAJA"/>
    <s v="ALIMENTACION DE EMPLEADOS CTA NUEVA"/>
    <s v="TRANSACCIONES DEL DIA 05/18/2019SPYRAL - GESTION ADMINISTRATIVA"/>
    <n v="24"/>
    <n v="0"/>
    <s v="MULTI PLAZA"/>
    <x v="2"/>
  </r>
  <r>
    <n v="44"/>
    <d v="2019-05-23T00:00:00"/>
    <x v="11"/>
    <x v="11"/>
    <x v="1"/>
    <s v="CAJA"/>
    <s v="ALIMENTACION DE EMPLEADOS CTA NUEVA"/>
    <s v="TRANSACCIONES DEL DIA 05/23/2019SPYRAL - GESTION ADMINISTRATIVA"/>
    <n v="16"/>
    <n v="0"/>
    <s v="MULTI PLAZA"/>
    <x v="2"/>
  </r>
  <r>
    <n v="44"/>
    <d v="2019-05-24T00:00:00"/>
    <x v="11"/>
    <x v="11"/>
    <x v="1"/>
    <s v="CAJA"/>
    <s v="ALIMENTACION DE EMPLEADOS CTA NUEVA"/>
    <s v="TRANSACCIONES DEL DIA 05/24/2019SPYRAL - GESTION ADMINISTRATIVA"/>
    <n v="8"/>
    <n v="0"/>
    <s v="MULTI PLAZA"/>
    <x v="2"/>
  </r>
  <r>
    <n v="44"/>
    <d v="2019-05-30T00:00:00"/>
    <x v="11"/>
    <x v="11"/>
    <x v="1"/>
    <s v="CAJA"/>
    <s v="ALIMENTACION DE EMPLEADOS CTA NUEVA"/>
    <s v="TRANSACCIONES DEL DIA 05/30/2019SPYRAL - GESTION ADMINISTRATIVA"/>
    <n v="24"/>
    <n v="0"/>
    <s v="MULTI PLAZA"/>
    <x v="2"/>
  </r>
  <r>
    <n v="44"/>
    <d v="2019-06-03T00:00:00"/>
    <x v="2"/>
    <x v="2"/>
    <x v="1"/>
    <s v="CAJA"/>
    <s v="ALIMENTACION DE EMPLEADOS CTA NUEVA"/>
    <s v="TRANSACCIONES DEL DIA 06/03/2019SPYRAL - GESTION ADMINISTRATIVA"/>
    <n v="24"/>
    <n v="0"/>
    <s v="MULTI PLAZA"/>
    <x v="2"/>
  </r>
  <r>
    <n v="44"/>
    <d v="2019-06-06T00:00:00"/>
    <x v="2"/>
    <x v="2"/>
    <x v="1"/>
    <s v="CAJA"/>
    <s v="ALIMENTACION DE EMPLEADOS CTA NUEVA"/>
    <s v="TRANSACCIONES DEL DIA 06/06/2019SPYRAL - GESTION ADMINISTRATIVA"/>
    <n v="16"/>
    <n v="0"/>
    <s v="MULTI PLAZA"/>
    <x v="2"/>
  </r>
  <r>
    <n v="44"/>
    <d v="2019-06-12T00:00:00"/>
    <x v="2"/>
    <x v="2"/>
    <x v="1"/>
    <s v="CAJA"/>
    <s v="ALIMENTACION DE EMPLEADOS CTA NUEVA"/>
    <s v="TRANSACCIONES DEL DIA 06/12/2019SPYRAL - GESTION ADMINISTRATIVA"/>
    <n v="8"/>
    <n v="0"/>
    <s v="MULTI PLAZA"/>
    <x v="2"/>
  </r>
  <r>
    <n v="44"/>
    <d v="2019-06-14T00:00:00"/>
    <x v="2"/>
    <x v="2"/>
    <x v="1"/>
    <s v="CAJA"/>
    <s v="ALIMENTACION DE EMPLEADOS CTA NUEVA"/>
    <s v="TRANSACCIONES DEL DIA 06/14/2019SPYRAL - GESTION ADMINISTRATIVA"/>
    <n v="24"/>
    <n v="0"/>
    <s v="MULTI PLAZA"/>
    <x v="2"/>
  </r>
  <r>
    <n v="44"/>
    <d v="2019-06-19T00:00:00"/>
    <x v="2"/>
    <x v="2"/>
    <x v="1"/>
    <s v="CAJA"/>
    <s v="ALIMENTACION DE EMPLEADOS CTA NUEVA"/>
    <s v="TRANSACCIONES DEL DIA 06/19/2019SPYRAL - GESTION ADMINISTRATIVA"/>
    <n v="16"/>
    <n v="0"/>
    <s v="MULTI PLAZA"/>
    <x v="2"/>
  </r>
  <r>
    <n v="44"/>
    <d v="2019-06-20T00:00:00"/>
    <x v="2"/>
    <x v="2"/>
    <x v="1"/>
    <s v="CAJA"/>
    <s v="ALIMENTACION DE EMPLEADOS CTA NUEVA"/>
    <s v="TRANSACCIONES DEL DIA 06/20/2019SPYRAL - GESTION ADMINISTRATIVA"/>
    <n v="16"/>
    <n v="0"/>
    <s v="MULTI PLAZA"/>
    <x v="2"/>
  </r>
  <r>
    <n v="44"/>
    <d v="2019-06-26T00:00:00"/>
    <x v="2"/>
    <x v="2"/>
    <x v="1"/>
    <s v="CAJA"/>
    <s v="ALIMENTACION DE EMPLEADOS CTA NUEVA"/>
    <s v="TRANSACCIONES DEL DIA 06/26/2019SPYRAL - GESTION ADMINISTRATIVA"/>
    <n v="24"/>
    <n v="0"/>
    <s v="MULTI PLAZA"/>
    <x v="2"/>
  </r>
  <r>
    <n v="44"/>
    <d v="2019-06-27T00:00:00"/>
    <x v="2"/>
    <x v="2"/>
    <x v="1"/>
    <s v="CAJA"/>
    <s v="ALIMENTACION DE EMPLEADOS CTA NUEVA"/>
    <s v="TRANSACCIONES DEL DIA 06/27/2019SPYRAL - GESTION ADMINISTRATIVA"/>
    <n v="16"/>
    <n v="0"/>
    <s v="MULTI PLAZA"/>
    <x v="2"/>
  </r>
  <r>
    <n v="44"/>
    <d v="2019-07-03T00:00:00"/>
    <x v="6"/>
    <x v="6"/>
    <x v="1"/>
    <s v="CAJA"/>
    <s v="ALIMENTACION DE EMPLEADOS CTA NUEVA"/>
    <s v="TRANSACCIONES DEL DIA 07/03/2019SPYRAL - GESTION ADMINISTRATIVA"/>
    <n v="24"/>
    <n v="0"/>
    <s v="MULTI PLAZA"/>
    <x v="2"/>
  </r>
  <r>
    <n v="44"/>
    <d v="2019-07-05T00:00:00"/>
    <x v="6"/>
    <x v="6"/>
    <x v="1"/>
    <s v="CAJA"/>
    <s v="ALIMENTACION DE EMPLEADOS CTA NUEVA"/>
    <s v="TRANSACCIONES DEL DIA 07/05/2019SPYRAL - GESTION ADMINISTRATIVA"/>
    <n v="16"/>
    <n v="0"/>
    <s v="MULTI PLAZA"/>
    <x v="2"/>
  </r>
  <r>
    <n v="44"/>
    <d v="2019-07-09T00:00:00"/>
    <x v="6"/>
    <x v="6"/>
    <x v="1"/>
    <s v="CAJA"/>
    <s v="ALIMENTACION DE EMPLEADOS CTA NUEVA"/>
    <s v="TRANSACCIONES DEL DIA 07/09/2019SPYRAL - GESTION ADMINISTRATIVA"/>
    <n v="16"/>
    <n v="0"/>
    <s v="MULTI PLAZA"/>
    <x v="2"/>
  </r>
  <r>
    <n v="44"/>
    <d v="2019-07-11T00:00:00"/>
    <x v="6"/>
    <x v="6"/>
    <x v="1"/>
    <s v="CAJA"/>
    <s v="ALIMENTACION DE EMPLEADOS CTA NUEVA"/>
    <s v="TRANSACCIONES DEL DIA 07/11/2019SPYRAL - GESTION ADMINISTRATIVA"/>
    <n v="8"/>
    <n v="0"/>
    <s v="MULTI PLAZA"/>
    <x v="2"/>
  </r>
  <r>
    <n v="44"/>
    <d v="2019-07-16T00:00:00"/>
    <x v="6"/>
    <x v="6"/>
    <x v="1"/>
    <s v="CAJA"/>
    <s v="ALIMENTACION DE EMPLEADOS CTA NUEVA"/>
    <s v="TRANSACCIONES DEL DIA 07/16/2019SPYRAL - GESTION ADMINISTRATIVA"/>
    <n v="16"/>
    <n v="0"/>
    <s v="MULTI PLAZA"/>
    <x v="2"/>
  </r>
  <r>
    <n v="44"/>
    <d v="2019-07-17T00:00:00"/>
    <x v="6"/>
    <x v="6"/>
    <x v="1"/>
    <s v="CAJA"/>
    <s v="ALIMENTACION DE EMPLEADOS CTA NUEVA"/>
    <s v="TRANSACCIONES DEL DIA 07/17/2019SPYRAL - GESTION ADMINISTRATIVA"/>
    <n v="8"/>
    <n v="0"/>
    <s v="MULTI PLAZA"/>
    <x v="2"/>
  </r>
  <r>
    <n v="44"/>
    <d v="2019-07-22T00:00:00"/>
    <x v="6"/>
    <x v="6"/>
    <x v="1"/>
    <s v="CAJA"/>
    <s v="ALIMENTACION DE EMPLEADOS CTA NUEVA"/>
    <s v="TRANSACCIONES DEL DIA 07/22/2019SPYRAL - GESTION ADMINISTRATIVA"/>
    <n v="8"/>
    <n v="0"/>
    <s v="MULTI PLAZA"/>
    <x v="2"/>
  </r>
  <r>
    <n v="44"/>
    <d v="2019-07-24T00:00:00"/>
    <x v="6"/>
    <x v="6"/>
    <x v="1"/>
    <s v="CAJA"/>
    <s v="ALIMENTACION DE EMPLEADOS CTA NUEVA"/>
    <s v="TRANSACCIONES DEL DIA 07/24/2019SPYRAL - GESTION ADMINISTRATIVA"/>
    <n v="24"/>
    <n v="0"/>
    <s v="MULTI PLAZA"/>
    <x v="2"/>
  </r>
  <r>
    <n v="44"/>
    <d v="2019-01-10T00:00:00"/>
    <x v="7"/>
    <x v="7"/>
    <x v="1"/>
    <s v="SERVICIOS PERSONALES"/>
    <s v="ALIMENTACION DE EMPLEADOS CTA NUEVA"/>
    <s v="TRANSACCIONES DEL DIA 01/10/2019SPYRAL - GESTION ADMINISTRATIVA"/>
    <n v="8"/>
    <n v="0"/>
    <s v="MULTI PLAZA"/>
    <x v="2"/>
  </r>
  <r>
    <n v="44"/>
    <d v="2019-05-02T00:00:00"/>
    <x v="11"/>
    <x v="11"/>
    <x v="1"/>
    <s v="SERVICIOS PERSONALES"/>
    <s v="ALIMENTACION DE EMPLEADOS CTA NUEVA"/>
    <s v="TRANSACCIONES DEL DIA 05/02/2019SPYRAL - GESTION ADMINISTRATIVA"/>
    <n v="8"/>
    <n v="0"/>
    <s v="MULTI PLAZA"/>
    <x v="2"/>
  </r>
  <r>
    <n v="46"/>
    <d v="2019-02-25T00:00:00"/>
    <x v="8"/>
    <x v="8"/>
    <x v="1"/>
    <s v="ADMINISTRACION DE SUCURSALES"/>
    <s v="ALIMENTACION DE EMPLEADOS CTA NUEVA"/>
    <s v="TRANSACCIONES DEL DIA 02/25/2019SPYRAL - GESTION ADMINISTRATIVA"/>
    <n v="8"/>
    <n v="0"/>
    <s v="TERMINAL DE ALBROOK"/>
    <x v="2"/>
  </r>
  <r>
    <n v="46"/>
    <d v="2019-03-19T00:00:00"/>
    <x v="9"/>
    <x v="9"/>
    <x v="1"/>
    <s v="ADMINISTRACION DE SUCURSALES"/>
    <s v="ALIMENTACION DE EMPLEADOS CTA NUEVA"/>
    <s v="TRANSACCIONES DEL DIA 03/19/2019SPYRAL - GESTION ADMINISTRATIVA"/>
    <n v="8"/>
    <n v="0"/>
    <s v="TERMINAL DE ALBROOK"/>
    <x v="2"/>
  </r>
  <r>
    <n v="46"/>
    <d v="2019-05-14T00:00:00"/>
    <x v="11"/>
    <x v="11"/>
    <x v="1"/>
    <s v="ADMINISTRACION DE SUCURSALES"/>
    <s v="ALIMENTACION DE EMPLEADOS CTA NUEVA"/>
    <s v="TRANSACCIONES DEL DIA 05/14/2019SPYRAL - GESTION ADMINISTRATIVA"/>
    <n v="8"/>
    <n v="0"/>
    <s v="TERMINAL DE ALBROOK"/>
    <x v="2"/>
  </r>
  <r>
    <n v="46"/>
    <d v="2019-07-26T00:00:00"/>
    <x v="6"/>
    <x v="6"/>
    <x v="1"/>
    <s v="ADMINISTRACION DE SUCURSALES"/>
    <s v="NC ALIMENTACION DE EMPLEADOS NVA"/>
    <s v="TRANSACCIONES DEL DIA 07/26/2019SPYRAL - GESTION ADMINISTRATIVA"/>
    <n v="35.979999999999997"/>
    <n v="0"/>
    <s v="TERMINAL DE ALBROOK"/>
    <x v="2"/>
  </r>
  <r>
    <n v="46"/>
    <d v="2019-07-26T00:00:00"/>
    <x v="6"/>
    <x v="6"/>
    <x v="1"/>
    <s v="ADMINISTRACION DE SUCURSALES"/>
    <s v="ALIMENTACION DE EMPLEADOS CTA NUEVA"/>
    <s v="TRANSACCIONES DEL DIA 07/26/2019SPYRAL - GESTION ADMINISTRATIVA"/>
    <n v="16"/>
    <n v="0"/>
    <s v="TERMINAL DE ALBROOK"/>
    <x v="2"/>
  </r>
  <r>
    <n v="46"/>
    <d v="2019-01-04T00:00:00"/>
    <x v="7"/>
    <x v="7"/>
    <x v="1"/>
    <s v="CAJA"/>
    <s v="ALIMENTACION DE EMPLEADOS CTA NUEVA"/>
    <s v="TRANSACCIONES DEL DIA 01/04/2019SPYRAL - GESTION ADMINISTRATIVA"/>
    <n v="64"/>
    <n v="0"/>
    <s v="TERMINAL DE ALBROOK"/>
    <x v="2"/>
  </r>
  <r>
    <n v="46"/>
    <d v="2019-01-11T00:00:00"/>
    <x v="7"/>
    <x v="7"/>
    <x v="1"/>
    <s v="CAJA"/>
    <s v="ALIMENTACION DE EMPLEADOS CTA NUEVA"/>
    <s v="TRANSACCIONES DEL DIA 01/11/2019SPYRAL - GESTION ADMINISTRATIVA"/>
    <n v="8"/>
    <n v="0"/>
    <s v="TERMINAL DE ALBROOK"/>
    <x v="2"/>
  </r>
  <r>
    <n v="46"/>
    <d v="2019-01-15T00:00:00"/>
    <x v="7"/>
    <x v="7"/>
    <x v="1"/>
    <s v="CAJA"/>
    <s v="ALIMENTACION DE EMPLEADOS CTA NUEVA"/>
    <s v="TRANSACCIONES DEL DIA 01/15/2019SPYRAL - GESTION ADMINISTRATIVA"/>
    <n v="24"/>
    <n v="0"/>
    <s v="TERMINAL DE ALBROOK"/>
    <x v="2"/>
  </r>
  <r>
    <n v="46"/>
    <d v="2019-01-16T00:00:00"/>
    <x v="7"/>
    <x v="7"/>
    <x v="1"/>
    <s v="CAJA"/>
    <s v="ALIMENTACION DE EMPLEADOS CTA NUEVA"/>
    <s v="TRANSACCIONES DEL DIA 01/16/2019SPYRAL - GESTION ADMINISTRATIVA"/>
    <n v="16"/>
    <n v="0"/>
    <s v="TERMINAL DE ALBROOK"/>
    <x v="2"/>
  </r>
  <r>
    <n v="46"/>
    <d v="2019-01-18T00:00:00"/>
    <x v="7"/>
    <x v="7"/>
    <x v="1"/>
    <s v="CAJA"/>
    <s v="ALIMENTACION DE EMPLEADOS CTA NUEVA"/>
    <s v="TRANSACCIONES DEL DIA 01/18/2019SPYRAL - GESTION ADMINISTRATIVA"/>
    <n v="8"/>
    <n v="0"/>
    <s v="TERMINAL DE ALBROOK"/>
    <x v="2"/>
  </r>
  <r>
    <n v="46"/>
    <d v="2019-01-21T00:00:00"/>
    <x v="7"/>
    <x v="7"/>
    <x v="1"/>
    <s v="CAJA"/>
    <s v="ALIMENTACION DE EMPLEADOS CTA NUEVA"/>
    <s v="TRANSACCIONES DEL DIA 01/21/2019SPYRAL - GESTION ADMINISTRATIVA"/>
    <n v="8"/>
    <n v="0"/>
    <s v="TERMINAL DE ALBROOK"/>
    <x v="2"/>
  </r>
  <r>
    <n v="46"/>
    <d v="2019-01-30T00:00:00"/>
    <x v="7"/>
    <x v="7"/>
    <x v="1"/>
    <s v="CAJA"/>
    <s v="ALIMENTACION DE EMPLEADOS CTA NUEVA"/>
    <s v="TRANSACCIONES DEL DIA 01/30/2019SPYRAL - GESTION ADMINISTRATIVA"/>
    <n v="8"/>
    <n v="0"/>
    <s v="TERMINAL DE ALBROOK"/>
    <x v="2"/>
  </r>
  <r>
    <n v="46"/>
    <d v="2019-02-01T00:00:00"/>
    <x v="8"/>
    <x v="8"/>
    <x v="1"/>
    <s v="CAJA"/>
    <s v="ALIMENTACION DE EMPLEADOS CTA NUEVA"/>
    <s v="TRANSACCIONES DEL DIA 02/01/2019SPYRAL - GESTION ADMINISTRATIVA"/>
    <n v="16"/>
    <n v="0"/>
    <s v="TERMINAL DE ALBROOK"/>
    <x v="2"/>
  </r>
  <r>
    <n v="46"/>
    <d v="2019-02-04T00:00:00"/>
    <x v="8"/>
    <x v="8"/>
    <x v="1"/>
    <s v="CAJA"/>
    <s v="ALIMENTACION DE EMPLEADOS CTA NUEVA"/>
    <s v="TRANSACCIONES DEL DIA 02/04/2019SPYRAL - GESTION ADMINISTRATIVA"/>
    <n v="24"/>
    <n v="0"/>
    <s v="TERMINAL DE ALBROOK"/>
    <x v="2"/>
  </r>
  <r>
    <n v="46"/>
    <d v="2019-02-06T00:00:00"/>
    <x v="8"/>
    <x v="8"/>
    <x v="1"/>
    <s v="CAJA"/>
    <s v="ALIMENTACION DE EMPLEADOS CTA NUEVA"/>
    <s v="TRANSACCIONES DEL DIA 02/06/2019SPYRAL - GESTION ADMINISTRATIVA"/>
    <n v="16"/>
    <n v="0"/>
    <s v="TERMINAL DE ALBROOK"/>
    <x v="2"/>
  </r>
  <r>
    <n v="46"/>
    <d v="2019-02-18T00:00:00"/>
    <x v="8"/>
    <x v="8"/>
    <x v="1"/>
    <s v="CAJA"/>
    <s v="ALIMENTACION DE EMPLEADOS CTA NUEVA"/>
    <s v="TRANSACCIONES DEL DIA 02/18/2019SPYRAL - GESTION ADMINISTRATIVA"/>
    <n v="32"/>
    <n v="0"/>
    <s v="TERMINAL DE ALBROOK"/>
    <x v="2"/>
  </r>
  <r>
    <n v="46"/>
    <d v="2019-02-25T00:00:00"/>
    <x v="8"/>
    <x v="8"/>
    <x v="1"/>
    <s v="CAJA"/>
    <s v="ALIMENTACION DE EMPLEADOS CTA NUEVA"/>
    <s v="TRANSACCIONES DEL DIA 02/25/2019SPYRAL - GESTION ADMINISTRATIVA"/>
    <n v="24"/>
    <n v="0"/>
    <s v="TERMINAL DE ALBROOK"/>
    <x v="2"/>
  </r>
  <r>
    <n v="46"/>
    <d v="2019-03-06T00:00:00"/>
    <x v="9"/>
    <x v="9"/>
    <x v="1"/>
    <s v="CAJA"/>
    <s v="ALIMENTACION DE EMPLEADOS CTA NUEVA"/>
    <s v="TRANSACCIONES DEL DIA 03/06/2019SPYRAL - GESTION ADMINISTRATIVA"/>
    <n v="24"/>
    <n v="0"/>
    <s v="TERMINAL DE ALBROOK"/>
    <x v="2"/>
  </r>
  <r>
    <n v="46"/>
    <d v="2019-03-07T00:00:00"/>
    <x v="9"/>
    <x v="9"/>
    <x v="1"/>
    <s v="CAJA"/>
    <s v="ALIMENTACION DE EMPLEADOS CTA NUEVA"/>
    <s v="TRANSACCIONES DEL DIA 03/07/2019SPYRAL - GESTION ADMINISTRATIVA"/>
    <n v="64"/>
    <n v="0"/>
    <s v="TERMINAL DE ALBROOK"/>
    <x v="2"/>
  </r>
  <r>
    <n v="46"/>
    <d v="2019-03-16T00:00:00"/>
    <x v="9"/>
    <x v="9"/>
    <x v="1"/>
    <s v="CAJA"/>
    <s v="ALIMENTACION DE EMPLEADOS CTA NUEVA"/>
    <s v="TRANSACCIONES DEL DIA 03/16/2019SPYRAL - GESTION ADMINISTRATIVA"/>
    <n v="24"/>
    <n v="0"/>
    <s v="TERMINAL DE ALBROOK"/>
    <x v="2"/>
  </r>
  <r>
    <n v="46"/>
    <d v="2019-03-18T00:00:00"/>
    <x v="9"/>
    <x v="9"/>
    <x v="1"/>
    <s v="CAJA"/>
    <s v="ALIMENTACION DE EMPLEADOS CTA NUEVA"/>
    <s v="TRANSACCIONES DEL DIA 03/18/2019SPYRAL - GESTION ADMINISTRATIVA"/>
    <n v="24"/>
    <n v="0"/>
    <s v="TERMINAL DE ALBROOK"/>
    <x v="2"/>
  </r>
  <r>
    <n v="46"/>
    <d v="2019-03-21T00:00:00"/>
    <x v="9"/>
    <x v="9"/>
    <x v="1"/>
    <s v="CAJA"/>
    <s v="ALIMENTACION DE EMPLEADOS CTA NUEVA"/>
    <s v="TRANSACCIONES DEL DIA 03/21/2019SPYRAL - GESTION ADMINISTRATIVA"/>
    <n v="16"/>
    <n v="0"/>
    <s v="TERMINAL DE ALBROOK"/>
    <x v="2"/>
  </r>
  <r>
    <n v="46"/>
    <d v="2019-03-27T00:00:00"/>
    <x v="9"/>
    <x v="9"/>
    <x v="1"/>
    <s v="CAJA"/>
    <s v="ALIMENTACION DE EMPLEADOS CTA NUEVA"/>
    <s v="TRANSACCIONES DEL DIA 03/27/2019SPYRAL - GESTION ADMINISTRATIVA"/>
    <n v="8"/>
    <n v="0"/>
    <s v="TERMINAL DE ALBROOK"/>
    <x v="2"/>
  </r>
  <r>
    <n v="46"/>
    <d v="2019-03-28T00:00:00"/>
    <x v="9"/>
    <x v="9"/>
    <x v="1"/>
    <s v="CAJA"/>
    <s v="ALIMENTACION DE EMPLEADOS CTA NUEVA"/>
    <s v="TRANSACCIONES DEL DIA 03/28/2019SPYRAL - GESTION ADMINISTRATIVA"/>
    <n v="8"/>
    <n v="0"/>
    <s v="TERMINAL DE ALBROOK"/>
    <x v="2"/>
  </r>
  <r>
    <n v="46"/>
    <d v="2019-03-29T00:00:00"/>
    <x v="9"/>
    <x v="9"/>
    <x v="1"/>
    <s v="CAJA"/>
    <s v="ALIMENTACION DE EMPLEADOS CTA NUEVA"/>
    <s v="TRANSACCIONES DEL DIA 03/29/2019SPYRAL - GESTION ADMINISTRATIVA"/>
    <n v="8"/>
    <n v="0"/>
    <s v="TERMINAL DE ALBROOK"/>
    <x v="2"/>
  </r>
  <r>
    <n v="46"/>
    <d v="2019-04-01T00:00:00"/>
    <x v="10"/>
    <x v="10"/>
    <x v="1"/>
    <s v="CAJA"/>
    <s v="ALIMENTACION DE EMPLEADOS CTA NUEVA"/>
    <s v="TRANSACCIONES DEL DIA 04/01/2019SPYRAL - GESTION ADMINISTRATIVA"/>
    <n v="8"/>
    <n v="0"/>
    <s v="TERMINAL DE ALBROOK"/>
    <x v="2"/>
  </r>
  <r>
    <n v="46"/>
    <d v="2019-04-02T00:00:00"/>
    <x v="10"/>
    <x v="10"/>
    <x v="1"/>
    <s v="CAJA"/>
    <s v="ALIMENTACION DE EMPLEADOS CTA NUEVA"/>
    <s v="TRANSACCIONES DEL DIA 04/02/2019SPYRAL - GESTION ADMINISTRATIVA"/>
    <n v="16"/>
    <n v="0"/>
    <s v="TERMINAL DE ALBROOK"/>
    <x v="2"/>
  </r>
  <r>
    <n v="46"/>
    <d v="2019-04-03T00:00:00"/>
    <x v="10"/>
    <x v="10"/>
    <x v="1"/>
    <s v="CAJA"/>
    <s v="ALIMENTACION DE EMPLEADOS CTA NUEVA"/>
    <s v="TRANSACCIONES DEL DIA 04/03/2019SPYRAL - GESTION ADMINISTRATIVA"/>
    <n v="8"/>
    <n v="0"/>
    <s v="TERMINAL DE ALBROOK"/>
    <x v="2"/>
  </r>
  <r>
    <n v="46"/>
    <d v="2019-04-15T00:00:00"/>
    <x v="10"/>
    <x v="10"/>
    <x v="1"/>
    <s v="CAJA"/>
    <s v="ALIMENTACION DE EMPLEADOS CTA NUEVA"/>
    <s v="TRANSACCIONES DEL DIA 04/15/2019SPYRAL - GESTION ADMINISTRATIVA"/>
    <n v="24"/>
    <n v="0"/>
    <s v="TERMINAL DE ALBROOK"/>
    <x v="2"/>
  </r>
  <r>
    <n v="46"/>
    <d v="2019-04-16T00:00:00"/>
    <x v="10"/>
    <x v="10"/>
    <x v="1"/>
    <s v="CAJA"/>
    <s v="ALIMENTACION DE EMPLEADOS CTA NUEVA"/>
    <s v="TRANSACCIONES DEL DIA 04/16/2019SPYRAL - GESTION ADMINISTRATIVA"/>
    <n v="32"/>
    <n v="0"/>
    <s v="TERMINAL DE ALBROOK"/>
    <x v="2"/>
  </r>
  <r>
    <n v="46"/>
    <d v="2019-04-17T00:00:00"/>
    <x v="10"/>
    <x v="10"/>
    <x v="1"/>
    <s v="CAJA"/>
    <s v="ALIMENTACION DE EMPLEADOS CTA NUEVA"/>
    <s v="TRANSACCIONES DEL DIA 04/17/2019SPYRAL - GESTION ADMINISTRATIVA"/>
    <n v="16"/>
    <n v="0"/>
    <s v="TERMINAL DE ALBROOK"/>
    <x v="2"/>
  </r>
  <r>
    <n v="46"/>
    <d v="2019-04-22T00:00:00"/>
    <x v="10"/>
    <x v="10"/>
    <x v="1"/>
    <s v="CAJA"/>
    <s v="ALIMENTACION DE EMPLEADOS CTA NUEVA"/>
    <s v="TRANSACCIONES DEL DIA 04/22/2019SPYRAL - GESTION ADMINISTRATIVA"/>
    <n v="8"/>
    <n v="0"/>
    <s v="TERMINAL DE ALBROOK"/>
    <x v="2"/>
  </r>
  <r>
    <n v="46"/>
    <d v="2019-04-25T00:00:00"/>
    <x v="10"/>
    <x v="10"/>
    <x v="1"/>
    <s v="CAJA"/>
    <s v="ALIMENTACION DE EMPLEADOS CTA NUEVA"/>
    <s v="TRANSACCIONES DEL DIA 04/25/2019SPYRAL - GESTION ADMINISTRATIVA"/>
    <n v="8"/>
    <n v="0"/>
    <s v="TERMINAL DE ALBROOK"/>
    <x v="2"/>
  </r>
  <r>
    <n v="46"/>
    <d v="2019-04-29T00:00:00"/>
    <x v="10"/>
    <x v="10"/>
    <x v="1"/>
    <s v="CAJA"/>
    <s v="ALIMENTACION DE EMPLEADOS CTA NUEVA"/>
    <s v="TRANSACCIONES DEL DIA 04/29/2019SPYRAL - GESTION ADMINISTRATIVA"/>
    <n v="24"/>
    <n v="0"/>
    <s v="TERMINAL DE ALBROOK"/>
    <x v="2"/>
  </r>
  <r>
    <n v="46"/>
    <d v="2019-05-03T00:00:00"/>
    <x v="11"/>
    <x v="11"/>
    <x v="1"/>
    <s v="CAJA"/>
    <s v="ALIMENTACION DE EMPLEADOS CTA NUEVA"/>
    <s v="TRANSACCIONES DEL DIA 05/03/2019SPYRAL - GESTION ADMINISTRATIVA"/>
    <n v="32"/>
    <n v="0"/>
    <s v="TERMINAL DE ALBROOK"/>
    <x v="2"/>
  </r>
  <r>
    <n v="46"/>
    <d v="2019-05-04T00:00:00"/>
    <x v="11"/>
    <x v="11"/>
    <x v="1"/>
    <s v="CAJA"/>
    <s v="ALIMENTACION DE EMPLEADOS CTA NUEVA"/>
    <s v="TRANSACCIONES DEL DIA 05/04/2019SPYRAL - GESTION ADMINISTRATIVA"/>
    <n v="32"/>
    <n v="0"/>
    <s v="TERMINAL DE ALBROOK"/>
    <x v="2"/>
  </r>
  <r>
    <n v="46"/>
    <d v="2019-05-06T00:00:00"/>
    <x v="11"/>
    <x v="11"/>
    <x v="1"/>
    <s v="CAJA"/>
    <s v="ALIMENTACION DE EMPLEADOS CTA NUEVA"/>
    <s v="TRANSACCIONES DEL DIA 05/06/2019SPYRAL - GESTION ADMINISTRATIVA"/>
    <n v="16"/>
    <n v="0"/>
    <s v="TERMINAL DE ALBROOK"/>
    <x v="2"/>
  </r>
  <r>
    <n v="46"/>
    <d v="2019-05-16T00:00:00"/>
    <x v="11"/>
    <x v="11"/>
    <x v="1"/>
    <s v="CAJA"/>
    <s v="ALIMENTACION DE EMPLEADOS CTA NUEVA"/>
    <s v="TRANSACCIONES DEL DIA 05/16/2019SPYRAL - GESTION ADMINISTRATIVA"/>
    <n v="48"/>
    <n v="0"/>
    <s v="TERMINAL DE ALBROOK"/>
    <x v="2"/>
  </r>
  <r>
    <n v="46"/>
    <d v="2019-05-18T00:00:00"/>
    <x v="11"/>
    <x v="11"/>
    <x v="1"/>
    <s v="CAJA"/>
    <s v="ALIMENTACION DE EMPLEADOS CTA NUEVA"/>
    <s v="TRANSACCIONES DEL DIA 05/18/2019SPYRAL - GESTION ADMINISTRATIVA"/>
    <n v="32"/>
    <n v="0"/>
    <s v="TERMINAL DE ALBROOK"/>
    <x v="2"/>
  </r>
  <r>
    <n v="46"/>
    <d v="2019-06-01T00:00:00"/>
    <x v="2"/>
    <x v="2"/>
    <x v="1"/>
    <s v="CAJA"/>
    <s v="ALIMENTACION DE EMPLEADOS CTA NUEVA"/>
    <s v="TRANSACCIONES DEL DIA 06/01/2019SPYRAL - GESTION ADMINISTRATIVA"/>
    <n v="56"/>
    <n v="0"/>
    <s v="TERMINAL DE ALBROOK"/>
    <x v="2"/>
  </r>
  <r>
    <n v="46"/>
    <d v="2019-06-03T00:00:00"/>
    <x v="2"/>
    <x v="2"/>
    <x v="1"/>
    <s v="CAJA"/>
    <s v="ALIMENTACION DE EMPLEADOS CTA NUEVA"/>
    <s v="TRANSACCIONES DEL DIA 06/03/2019SPYRAL - GESTION ADMINISTRATIVA"/>
    <n v="24"/>
    <n v="0"/>
    <s v="TERMINAL DE ALBROOK"/>
    <x v="2"/>
  </r>
  <r>
    <n v="46"/>
    <d v="2019-06-13T00:00:00"/>
    <x v="2"/>
    <x v="2"/>
    <x v="1"/>
    <s v="CAJA"/>
    <s v="ALIMENTACION DE EMPLEADOS CTA NUEVA"/>
    <s v="TRANSACCIONES DEL DIA 06/13/2019SPYRAL - GESTION ADMINISTRATIVA"/>
    <n v="8"/>
    <n v="0"/>
    <s v="TERMINAL DE ALBROOK"/>
    <x v="2"/>
  </r>
  <r>
    <n v="46"/>
    <d v="2019-06-17T00:00:00"/>
    <x v="2"/>
    <x v="2"/>
    <x v="1"/>
    <s v="CAJA"/>
    <s v="ALIMENTACION DE EMPLEADOS CTA NUEVA"/>
    <s v="TRANSACCIONES DEL DIA 06/17/2019SPYRAL - GESTION ADMINISTRATIVA"/>
    <n v="24"/>
    <n v="0"/>
    <s v="TERMINAL DE ALBROOK"/>
    <x v="2"/>
  </r>
  <r>
    <n v="46"/>
    <d v="2019-06-19T00:00:00"/>
    <x v="2"/>
    <x v="2"/>
    <x v="1"/>
    <s v="CAJA"/>
    <s v="ALIMENTACION DE EMPLEADOS CTA NUEVA"/>
    <s v="TRANSACCIONES DEL DIA 06/19/2019SPYRAL - GESTION ADMINISTRATIVA"/>
    <n v="8"/>
    <n v="0"/>
    <s v="TERMINAL DE ALBROOK"/>
    <x v="2"/>
  </r>
  <r>
    <n v="46"/>
    <d v="2019-06-20T00:00:00"/>
    <x v="2"/>
    <x v="2"/>
    <x v="1"/>
    <s v="CAJA"/>
    <s v="ALIMENTACION DE EMPLEADOS CTA NUEVA"/>
    <s v="TRANSACCIONES DEL DIA 06/20/2019SPYRAL - GESTION ADMINISTRATIVA"/>
    <n v="8"/>
    <n v="0"/>
    <s v="TERMINAL DE ALBROOK"/>
    <x v="2"/>
  </r>
  <r>
    <n v="46"/>
    <d v="2019-06-21T00:00:00"/>
    <x v="2"/>
    <x v="2"/>
    <x v="1"/>
    <s v="CAJA"/>
    <s v="ALIMENTACION DE EMPLEADOS CTA NUEVA"/>
    <s v="TRANSACCIONES DEL DIA 06/21/2019SPYRAL - GESTION ADMINISTRATIVA"/>
    <n v="8"/>
    <n v="0"/>
    <s v="TERMINAL DE ALBROOK"/>
    <x v="2"/>
  </r>
  <r>
    <n v="46"/>
    <d v="2019-06-22T00:00:00"/>
    <x v="2"/>
    <x v="2"/>
    <x v="1"/>
    <s v="CAJA"/>
    <s v="ALIMENTACION DE EMPLEADOS CTA NUEVA"/>
    <s v="TRANSACCIONES DEL DIA 06/22/2019SPYRAL - GESTION ADMINISTRATIVA"/>
    <n v="8"/>
    <n v="0"/>
    <s v="TERMINAL DE ALBROOK"/>
    <x v="2"/>
  </r>
  <r>
    <n v="46"/>
    <d v="2019-07-02T00:00:00"/>
    <x v="6"/>
    <x v="6"/>
    <x v="1"/>
    <s v="CAJA"/>
    <s v="ALIMENTACION DE EMPLEADOS CTA NUEVA"/>
    <s v="TRANSACCIONES DEL DIA 07/02/2019SPYRAL - GESTION ADMINISTRATIVA"/>
    <n v="32"/>
    <n v="0"/>
    <s v="TERMINAL DE ALBROOK"/>
    <x v="2"/>
  </r>
  <r>
    <n v="46"/>
    <d v="2019-07-08T00:00:00"/>
    <x v="6"/>
    <x v="6"/>
    <x v="1"/>
    <s v="CAJA"/>
    <s v="ALIMENTACION DE EMPLEADOS CTA NUEVA"/>
    <s v="TRANSACCIONES DEL DIA 07/08/2019SPYRAL - GESTION ADMINISTRATIVA"/>
    <n v="32"/>
    <n v="0"/>
    <s v="TERMINAL DE ALBROOK"/>
    <x v="2"/>
  </r>
  <r>
    <n v="46"/>
    <d v="2019-07-13T00:00:00"/>
    <x v="6"/>
    <x v="6"/>
    <x v="1"/>
    <s v="CAJA"/>
    <s v="ALIMENTACION DE EMPLEADOS CTA NUEVA"/>
    <s v="TRANSACCIONES DEL DIA 07/13/2019SPYRAL - GESTION ADMINISTRATIVA"/>
    <n v="8"/>
    <n v="0"/>
    <s v="TERMINAL DE ALBROOK"/>
    <x v="2"/>
  </r>
  <r>
    <n v="46"/>
    <d v="2019-07-15T00:00:00"/>
    <x v="6"/>
    <x v="6"/>
    <x v="1"/>
    <s v="CAJA"/>
    <s v="ALIMENTACION DE EMPLEADOS CTA NUEVA"/>
    <s v="TRANSACCIONES DEL DIA 07/15/2019SPYRAL - GESTION ADMINISTRATIVA"/>
    <n v="24"/>
    <n v="0"/>
    <s v="TERMINAL DE ALBROOK"/>
    <x v="2"/>
  </r>
  <r>
    <n v="46"/>
    <d v="2019-07-16T00:00:00"/>
    <x v="6"/>
    <x v="6"/>
    <x v="1"/>
    <s v="CAJA"/>
    <s v="ALIMENTACION DE EMPLEADOS CTA NUEVA"/>
    <s v="TRANSACCIONES DEL DIA 07/16/2019SPYRAL - GESTION ADMINISTRATIVA"/>
    <n v="32"/>
    <n v="0"/>
    <s v="TERMINAL DE ALBROOK"/>
    <x v="2"/>
  </r>
  <r>
    <n v="46"/>
    <d v="2019-07-17T00:00:00"/>
    <x v="6"/>
    <x v="6"/>
    <x v="1"/>
    <s v="CAJA"/>
    <s v="ALIMENTACION DE EMPLEADOS CTA NUEVA"/>
    <s v="TRANSACCIONES DEL DIA 07/17/2019SPYRAL - GESTION ADMINISTRATIVA"/>
    <n v="16"/>
    <n v="0"/>
    <s v="TERMINAL DE ALBROOK"/>
    <x v="2"/>
  </r>
  <r>
    <n v="46"/>
    <d v="2019-07-30T00:00:00"/>
    <x v="6"/>
    <x v="6"/>
    <x v="1"/>
    <s v="CAJA"/>
    <s v="ALIMENTACION DE EMPLEADOS CTA NUEVA"/>
    <s v="TRANSACCIONES DEL DIA 07/30/2019SPYRAL - GESTION ADMINISTRATIVA"/>
    <n v="24"/>
    <n v="0"/>
    <s v="TERMINAL DE ALBROOK"/>
    <x v="2"/>
  </r>
  <r>
    <n v="46"/>
    <d v="2019-01-11T00:00:00"/>
    <x v="7"/>
    <x v="7"/>
    <x v="1"/>
    <s v="SERVICIOS PERSONALES"/>
    <s v="ALIMENTACION DE EMPLEADOS CTA NUEVA"/>
    <s v="TRANSACCIONES DEL DIA 01/11/2019SPYRAL - GESTION ADMINISTRATIVA"/>
    <n v="8"/>
    <n v="0"/>
    <s v="TERMINAL DE ALBROOK"/>
    <x v="2"/>
  </r>
  <r>
    <n v="46"/>
    <d v="2019-03-11T00:00:00"/>
    <x v="9"/>
    <x v="9"/>
    <x v="1"/>
    <s v="SERVICIOS PERSONALES"/>
    <s v="ALIMENTACION DE EMPLEADOS CTA NUEVA"/>
    <s v="TRANSACCIONES DEL DIA 03/11/2019SPYRAL - GESTION ADMINISTRATIVA"/>
    <n v="8"/>
    <n v="0"/>
    <s v="TERMINAL DE ALBROOK"/>
    <x v="2"/>
  </r>
  <r>
    <n v="46"/>
    <d v="2019-03-18T00:00:00"/>
    <x v="9"/>
    <x v="9"/>
    <x v="1"/>
    <s v="SERVICIOS PERSONALES"/>
    <s v="ALIMENTACION DE EMPLEADOS CTA NUEVA"/>
    <s v="TRANSACCIONES DEL DIA 03/18/2019SPYRAL - GESTION ADMINISTRATIVA"/>
    <n v="8"/>
    <n v="0"/>
    <s v="TERMINAL DE ALBROOK"/>
    <x v="2"/>
  </r>
  <r>
    <n v="46"/>
    <d v="2019-04-16T00:00:00"/>
    <x v="10"/>
    <x v="10"/>
    <x v="1"/>
    <s v="SERVICIOS PERSONALES"/>
    <s v="ALIMENTACION DE EMPLEADOS CTA NUEVA"/>
    <s v="TRANSACCIONES DEL DIA 04/16/2019SPYRAL - GESTION ADMINISTRATIVA"/>
    <n v="8"/>
    <n v="0"/>
    <s v="TERMINAL DE ALBROOK"/>
    <x v="2"/>
  </r>
  <r>
    <n v="46"/>
    <d v="2019-04-25T00:00:00"/>
    <x v="10"/>
    <x v="10"/>
    <x v="1"/>
    <s v="SERVICIOS PERSONALES"/>
    <s v="ALIMENTACION DE EMPLEADOS CTA NUEVA"/>
    <s v="TRANSACCIONES DEL DIA 04/25/2019SPYRAL - GESTION ADMINISTRATIVA"/>
    <n v="8"/>
    <n v="0"/>
    <s v="TERMINAL DE ALBROOK"/>
    <x v="2"/>
  </r>
  <r>
    <n v="46"/>
    <d v="2019-04-26T00:00:00"/>
    <x v="10"/>
    <x v="10"/>
    <x v="1"/>
    <s v="SERVICIOS PERSONALES"/>
    <s v="ALIMENTACION DE EMPLEADOS CTA NUEVA"/>
    <s v="TRANSACCIONES DEL DIA 04/26/2019SPYRAL - GESTION ADMINISTRATIVA"/>
    <n v="8"/>
    <n v="0"/>
    <s v="TERMINAL DE ALBROOK"/>
    <x v="2"/>
  </r>
  <r>
    <n v="46"/>
    <d v="2019-04-29T00:00:00"/>
    <x v="10"/>
    <x v="10"/>
    <x v="1"/>
    <s v="SERVICIOS PERSONALES"/>
    <s v="ALIMENTACION DE EMPLEADOS CTA NUEVA"/>
    <s v="TRANSACCIONES DEL DIA 04/29/2019SPYRAL - GESTION ADMINISTRATIVA"/>
    <n v="8"/>
    <n v="0"/>
    <s v="TERMINAL DE ALBROOK"/>
    <x v="2"/>
  </r>
  <r>
    <n v="46"/>
    <d v="2019-05-24T00:00:00"/>
    <x v="11"/>
    <x v="11"/>
    <x v="1"/>
    <s v="SERVICIOS PERSONALES"/>
    <s v="ALIMENTACION DE EMPLEADOS CTA NUEVA"/>
    <s v="TRANSACCIONES DEL DIA 05/24/2019SPYRAL - GESTION ADMINISTRATIVA"/>
    <n v="8"/>
    <n v="0"/>
    <s v="TERMINAL DE ALBROOK"/>
    <x v="2"/>
  </r>
  <r>
    <n v="46"/>
    <d v="2019-06-07T00:00:00"/>
    <x v="2"/>
    <x v="2"/>
    <x v="1"/>
    <s v="SERVICIOS PERSONALES"/>
    <s v="ALIMENTACION DE EMPLEADOS CTA NUEVA"/>
    <s v="TRANSACCIONES DEL DIA 06/07/2019SPYRAL - GESTION ADMINISTRATIVA"/>
    <n v="8"/>
    <n v="0"/>
    <s v="TERMINAL DE ALBROOK"/>
    <x v="2"/>
  </r>
  <r>
    <n v="46"/>
    <d v="2019-06-22T00:00:00"/>
    <x v="2"/>
    <x v="2"/>
    <x v="1"/>
    <s v="SERVICIOS PERSONALES"/>
    <s v="ALIMENTACION DE EMPLEADOS CTA NUEVA"/>
    <s v="TRANSACCIONES DEL DIA 06/22/2019SPYRAL - GESTION ADMINISTRATIVA"/>
    <n v="8"/>
    <n v="0"/>
    <s v="TERMINAL DE ALBROOK"/>
    <x v="2"/>
  </r>
  <r>
    <n v="46"/>
    <d v="2019-07-02T00:00:00"/>
    <x v="6"/>
    <x v="6"/>
    <x v="1"/>
    <s v="SERVICIOS PERSONALES"/>
    <s v="ALIMENTACION DE EMPLEADOS CTA NUEVA"/>
    <s v="TRANSACCIONES DEL DIA 07/02/2019SPYRAL - GESTION ADMINISTRATIVA"/>
    <n v="8"/>
    <n v="0"/>
    <s v="TERMINAL DE ALBROOK"/>
    <x v="2"/>
  </r>
  <r>
    <n v="46"/>
    <d v="2019-07-08T00:00:00"/>
    <x v="6"/>
    <x v="6"/>
    <x v="1"/>
    <s v="SERVICIOS PERSONALES"/>
    <s v="ALIMENTACION DE EMPLEADOS CTA NUEVA"/>
    <s v="TRANSACCIONES DEL DIA 07/08/2019SPYRAL - GESTION ADMINISTRATIVA"/>
    <n v="24"/>
    <n v="0"/>
    <s v="TERMINAL DE ALBROOK"/>
    <x v="2"/>
  </r>
  <r>
    <n v="46"/>
    <d v="2019-07-27T00:00:00"/>
    <x v="6"/>
    <x v="6"/>
    <x v="1"/>
    <s v="SERVICIOS PERSONALES"/>
    <s v="ALIMENTACION DE EMPLEADOS CTA NUEVA"/>
    <s v="TRANSACCIONES DEL DIA 07/27/2019SPYRAL - GESTION ADMINISTRATIVA"/>
    <n v="8"/>
    <n v="0"/>
    <s v="TERMINAL DE ALBROOK"/>
    <x v="2"/>
  </r>
  <r>
    <n v="47"/>
    <d v="2019-03-15T00:00:00"/>
    <x v="9"/>
    <x v="9"/>
    <x v="1"/>
    <s v="ADMINISTRACION DE SUCURSALES"/>
    <s v="NC ALIMENTACION DE EMPLEADOS NVA"/>
    <s v="TRANSACCIONES DEL DIA 03/15/2019SPYRAL - GESTION ADMINISTRATIVA"/>
    <n v="16.21"/>
    <n v="0"/>
    <s v="CONCEPCION"/>
    <x v="2"/>
  </r>
  <r>
    <n v="47"/>
    <d v="2019-06-03T00:00:00"/>
    <x v="2"/>
    <x v="2"/>
    <x v="1"/>
    <s v="ADMINISTRACION DE SUCURSALES"/>
    <s v="NC ALIMENTACION DE EMPLEADOS NVA"/>
    <s v="TRANSACCIONES DEL DIA 06/03/2019SPYRAL - GESTION ADMINISTRATIVA"/>
    <n v="9.65"/>
    <n v="0"/>
    <s v="CONCEPCION"/>
    <x v="2"/>
  </r>
  <r>
    <n v="49"/>
    <d v="2019-02-13T00:00:00"/>
    <x v="8"/>
    <x v="8"/>
    <x v="1"/>
    <s v="ADMINISTRACION DE SUCURSALES"/>
    <s v="NC ALIMENTACION DE EMPLEADOS NVA"/>
    <s v="TRANSACCIONES DEL DIA 02/13/2019SPYRAL - GESTION ADMINISTRATIVA"/>
    <n v="83.24"/>
    <n v="0"/>
    <s v="BRISAS DEL GOLF"/>
    <x v="2"/>
  </r>
  <r>
    <n v="49"/>
    <d v="2019-06-25T00:00:00"/>
    <x v="2"/>
    <x v="2"/>
    <x v="1"/>
    <s v="ADMINISTRACION DE SUCURSALES"/>
    <s v="NC ALIMENTACION DE EMPLEADOS NVA"/>
    <s v="TRANSACCIONES DEL DIA 06/25/2019SPYRAL - GESTION ADMINISTRATIVA"/>
    <n v="35.979999999999997"/>
    <n v="0"/>
    <s v="BRISAS DEL GOLF"/>
    <x v="2"/>
  </r>
  <r>
    <n v="49"/>
    <d v="2019-01-02T00:00:00"/>
    <x v="7"/>
    <x v="7"/>
    <x v="1"/>
    <s v="CAJA"/>
    <s v="ALIMENTACION DE EMPLEADOS CTA NUEVA"/>
    <s v="TRANSACCIONES DEL DIA 01/02/2019SPYRAL - GESTION ADMINISTRATIVA"/>
    <n v="16"/>
    <n v="0"/>
    <s v="BRISAS DEL GOLF"/>
    <x v="2"/>
  </r>
  <r>
    <n v="49"/>
    <d v="2019-01-21T00:00:00"/>
    <x v="7"/>
    <x v="7"/>
    <x v="1"/>
    <s v="CAJA"/>
    <s v="ALIMENTACION DE EMPLEADOS CTA NUEVA"/>
    <s v="TRANSACCIONES DEL DIA 01/21/2019SPYRAL - GESTION ADMINISTRATIVA"/>
    <n v="8"/>
    <n v="0"/>
    <s v="BRISAS DEL GOLF"/>
    <x v="2"/>
  </r>
  <r>
    <n v="49"/>
    <d v="2019-02-13T00:00:00"/>
    <x v="8"/>
    <x v="8"/>
    <x v="1"/>
    <s v="CAJA"/>
    <s v="ALIMENTACION DE EMPLEADOS CTA NUEVA"/>
    <s v="TRANSACCIONES DEL DIA 02/13/2019SPYRAL - GESTION ADMINISTRATIVA"/>
    <n v="8"/>
    <n v="0"/>
    <s v="BRISAS DEL GOLF"/>
    <x v="2"/>
  </r>
  <r>
    <n v="49"/>
    <d v="2019-02-18T00:00:00"/>
    <x v="8"/>
    <x v="8"/>
    <x v="1"/>
    <s v="CAJA"/>
    <s v="ALIMENTACION DE EMPLEADOS CTA NUEVA"/>
    <s v="TRANSACCIONES DEL DIA 02/18/2019SPYRAL - GESTION ADMINISTRATIVA"/>
    <n v="16"/>
    <n v="0"/>
    <s v="BRISAS DEL GOLF"/>
    <x v="2"/>
  </r>
  <r>
    <n v="49"/>
    <d v="2019-03-11T00:00:00"/>
    <x v="9"/>
    <x v="9"/>
    <x v="1"/>
    <s v="CAJA"/>
    <s v="ALIMENTACION DE EMPLEADOS CTA NUEVA"/>
    <s v="TRANSACCIONES DEL DIA 03/11/2019SPYRAL - GESTION ADMINISTRATIVA"/>
    <n v="40"/>
    <n v="0"/>
    <s v="BRISAS DEL GOLF"/>
    <x v="2"/>
  </r>
  <r>
    <n v="49"/>
    <d v="2019-03-18T00:00:00"/>
    <x v="9"/>
    <x v="9"/>
    <x v="1"/>
    <s v="CAJA"/>
    <s v="ALIMENTACION DE EMPLEADOS CTA NUEVA"/>
    <s v="TRANSACCIONES DEL DIA 03/18/2019SPYRAL - GESTION ADMINISTRATIVA"/>
    <n v="16"/>
    <n v="0"/>
    <s v="BRISAS DEL GOLF"/>
    <x v="2"/>
  </r>
  <r>
    <n v="49"/>
    <d v="2019-04-03T00:00:00"/>
    <x v="10"/>
    <x v="10"/>
    <x v="1"/>
    <s v="CAJA"/>
    <s v="ALIMENTACION DE EMPLEADOS CTA NUEVA"/>
    <s v="TRANSACCIONES DEL DIA 04/03/2019SPYRAL - GESTION ADMINISTRATIVA"/>
    <n v="24"/>
    <n v="0"/>
    <s v="BRISAS DEL GOLF"/>
    <x v="2"/>
  </r>
  <r>
    <n v="49"/>
    <d v="2019-04-09T00:00:00"/>
    <x v="10"/>
    <x v="10"/>
    <x v="1"/>
    <s v="CAJA"/>
    <s v="ALIMENTACION DE EMPLEADOS CTA NUEVA"/>
    <s v="TRANSACCIONES DEL DIA 04/09/2019SPYRAL - GESTION ADMINISTRATIVA"/>
    <n v="8"/>
    <n v="0"/>
    <s v="BRISAS DEL GOLF"/>
    <x v="2"/>
  </r>
  <r>
    <n v="49"/>
    <d v="2019-04-16T00:00:00"/>
    <x v="10"/>
    <x v="10"/>
    <x v="1"/>
    <s v="CAJA"/>
    <s v="ALIMENTACION DE EMPLEADOS CTA NUEVA"/>
    <s v="TRANSACCIONES DEL DIA 04/16/2019SPYRAL - GESTION ADMINISTRATIVA"/>
    <n v="8"/>
    <n v="0"/>
    <s v="BRISAS DEL GOLF"/>
    <x v="2"/>
  </r>
  <r>
    <n v="49"/>
    <d v="2019-04-23T00:00:00"/>
    <x v="10"/>
    <x v="10"/>
    <x v="1"/>
    <s v="CAJA"/>
    <s v="ALIMENTACION DE EMPLEADOS CTA NUEVA"/>
    <s v="TRANSACCIONES DEL DIA 04/23/2019SPYRAL - GESTION ADMINISTRATIVA"/>
    <n v="16"/>
    <n v="0"/>
    <s v="BRISAS DEL GOLF"/>
    <x v="2"/>
  </r>
  <r>
    <n v="49"/>
    <d v="2019-05-02T00:00:00"/>
    <x v="11"/>
    <x v="11"/>
    <x v="1"/>
    <s v="CAJA"/>
    <s v="ALIMENTACION DE EMPLEADOS CTA NUEVA"/>
    <s v="TRANSACCIONES DEL DIA 05/02/2019SPYRAL - GESTION ADMINISTRATIVA"/>
    <n v="16"/>
    <n v="0"/>
    <s v="BRISAS DEL GOLF"/>
    <x v="2"/>
  </r>
  <r>
    <n v="49"/>
    <d v="2019-05-03T00:00:00"/>
    <x v="11"/>
    <x v="11"/>
    <x v="1"/>
    <s v="CAJA"/>
    <s v="ALIMENTACION DE EMPLEADOS CTA NUEVA"/>
    <s v="TRANSACCIONES DEL DIA 05/03/2019SPYRAL - GESTION ADMINISTRATIVA"/>
    <n v="8"/>
    <n v="0"/>
    <s v="BRISAS DEL GOLF"/>
    <x v="2"/>
  </r>
  <r>
    <n v="49"/>
    <d v="2019-05-06T00:00:00"/>
    <x v="11"/>
    <x v="11"/>
    <x v="1"/>
    <s v="CAJA"/>
    <s v="ALIMENTACION DE EMPLEADOS CTA NUEVA"/>
    <s v="TRANSACCIONES DEL DIA 05/06/2019SPYRAL - GESTION ADMINISTRATIVA"/>
    <n v="16"/>
    <n v="0"/>
    <s v="BRISAS DEL GOLF"/>
    <x v="2"/>
  </r>
  <r>
    <n v="49"/>
    <d v="2019-05-07T00:00:00"/>
    <x v="11"/>
    <x v="11"/>
    <x v="1"/>
    <s v="CAJA"/>
    <s v="ALIMENTACION DE EMPLEADOS CTA NUEVA"/>
    <s v="TRANSACCIONES DEL DIA 05/07/2019SPYRAL - GESTION ADMINISTRATIVA"/>
    <n v="8"/>
    <n v="0"/>
    <s v="BRISAS DEL GOLF"/>
    <x v="2"/>
  </r>
  <r>
    <n v="49"/>
    <d v="2019-05-15T00:00:00"/>
    <x v="11"/>
    <x v="11"/>
    <x v="1"/>
    <s v="CAJA"/>
    <s v="ALIMENTACION DE EMPLEADOS CTA NUEVA"/>
    <s v="TRANSACCIONES DEL DIA 05/15/2019SPYRAL - GESTION ADMINISTRATIVA"/>
    <n v="8"/>
    <n v="0"/>
    <s v="BRISAS DEL GOLF"/>
    <x v="2"/>
  </r>
  <r>
    <n v="49"/>
    <d v="2019-05-18T00:00:00"/>
    <x v="11"/>
    <x v="11"/>
    <x v="1"/>
    <s v="CAJA"/>
    <s v="ALIMENTACION DE EMPLEADOS CTA NUEVA"/>
    <s v="TRANSACCIONES DEL DIA 05/18/2019SPYRAL - GESTION ADMINISTRATIVA"/>
    <n v="8"/>
    <n v="0"/>
    <s v="BRISAS DEL GOLF"/>
    <x v="2"/>
  </r>
  <r>
    <n v="49"/>
    <d v="2019-05-21T00:00:00"/>
    <x v="11"/>
    <x v="11"/>
    <x v="1"/>
    <s v="CAJA"/>
    <s v="ALIMENTACION DE EMPLEADOS CTA NUEVA"/>
    <s v="TRANSACCIONES DEL DIA 05/21/2019SPYRAL - GESTION ADMINISTRATIVA"/>
    <n v="8"/>
    <n v="0"/>
    <s v="BRISAS DEL GOLF"/>
    <x v="2"/>
  </r>
  <r>
    <n v="49"/>
    <d v="2019-05-28T00:00:00"/>
    <x v="11"/>
    <x v="11"/>
    <x v="1"/>
    <s v="CAJA"/>
    <s v="ALIMENTACION DE EMPLEADOS CTA NUEVA"/>
    <s v="TRANSACCIONES DEL DIA 05/28/2019SPYRAL - GESTION ADMINISTRATIVA"/>
    <n v="8"/>
    <n v="0"/>
    <s v="BRISAS DEL GOLF"/>
    <x v="2"/>
  </r>
  <r>
    <n v="49"/>
    <d v="2019-06-01T00:00:00"/>
    <x v="2"/>
    <x v="2"/>
    <x v="1"/>
    <s v="CAJA"/>
    <s v="ALIMENTACION DE EMPLEADOS CTA NUEVA"/>
    <s v="TRANSACCIONES DEL DIA 06/01/2019SPYRAL - GESTION ADMINISTRATIVA"/>
    <n v="16"/>
    <n v="0"/>
    <s v="BRISAS DEL GOLF"/>
    <x v="2"/>
  </r>
  <r>
    <n v="49"/>
    <d v="2019-06-04T00:00:00"/>
    <x v="2"/>
    <x v="2"/>
    <x v="1"/>
    <s v="CAJA"/>
    <s v="ALIMENTACION DE EMPLEADOS CTA NUEVA"/>
    <s v="TRANSACCIONES DEL DIA 06/04/2019SPYRAL - GESTION ADMINISTRATIVA"/>
    <n v="8"/>
    <n v="0"/>
    <s v="BRISAS DEL GOLF"/>
    <x v="2"/>
  </r>
  <r>
    <n v="49"/>
    <d v="2019-06-07T00:00:00"/>
    <x v="2"/>
    <x v="2"/>
    <x v="1"/>
    <s v="CAJA"/>
    <s v="ALIMENTACION DE EMPLEADOS CTA NUEVA"/>
    <s v="TRANSACCIONES DEL DIA 06/07/2019SPYRAL - GESTION ADMINISTRATIVA"/>
    <n v="16"/>
    <n v="0"/>
    <s v="BRISAS DEL GOLF"/>
    <x v="2"/>
  </r>
  <r>
    <n v="49"/>
    <d v="2019-06-08T00:00:00"/>
    <x v="2"/>
    <x v="2"/>
    <x v="1"/>
    <s v="CAJA"/>
    <s v="ALIMENTACION DE EMPLEADOS CTA NUEVA"/>
    <s v="TRANSACCIONES DEL DIA 06/08/2019SPYRAL - GESTION ADMINISTRATIVA"/>
    <n v="8"/>
    <n v="0"/>
    <s v="BRISAS DEL GOLF"/>
    <x v="2"/>
  </r>
  <r>
    <n v="49"/>
    <d v="2019-06-10T00:00:00"/>
    <x v="2"/>
    <x v="2"/>
    <x v="1"/>
    <s v="CAJA"/>
    <s v="ALIMENTACION DE EMPLEADOS CTA NUEVA"/>
    <s v="TRANSACCIONES DEL DIA 06/10/2019SPYRAL - GESTION ADMINISTRATIVA"/>
    <n v="8"/>
    <n v="0"/>
    <s v="BRISAS DEL GOLF"/>
    <x v="2"/>
  </r>
  <r>
    <n v="49"/>
    <d v="2019-06-15T00:00:00"/>
    <x v="2"/>
    <x v="2"/>
    <x v="1"/>
    <s v="CAJA"/>
    <s v="ALIMENTACION DE EMPLEADOS CTA NUEVA"/>
    <s v="TRANSACCIONES DEL DIA 06/15/2019SPYRAL - GESTION ADMINISTRATIVA"/>
    <n v="8"/>
    <n v="0"/>
    <s v="BRISAS DEL GOLF"/>
    <x v="2"/>
  </r>
  <r>
    <n v="49"/>
    <d v="2019-06-18T00:00:00"/>
    <x v="2"/>
    <x v="2"/>
    <x v="1"/>
    <s v="CAJA"/>
    <s v="ALIMENTACION DE EMPLEADOS CTA NUEVA"/>
    <s v="TRANSACCIONES DEL DIA 06/18/2019SPYRAL - GESTION ADMINISTRATIVA"/>
    <n v="16"/>
    <n v="0"/>
    <s v="BRISAS DEL GOLF"/>
    <x v="2"/>
  </r>
  <r>
    <n v="49"/>
    <d v="2019-06-21T00:00:00"/>
    <x v="2"/>
    <x v="2"/>
    <x v="1"/>
    <s v="CAJA"/>
    <s v="ALIMENTACION DE EMPLEADOS CTA NUEVA"/>
    <s v="TRANSACCIONES DEL DIA 06/21/2019SPYRAL - GESTION ADMINISTRATIVA"/>
    <n v="32"/>
    <n v="0"/>
    <s v="BRISAS DEL GOLF"/>
    <x v="2"/>
  </r>
  <r>
    <n v="49"/>
    <d v="2019-06-25T00:00:00"/>
    <x v="2"/>
    <x v="2"/>
    <x v="1"/>
    <s v="CAJA"/>
    <s v="ALIMENTACION DE EMPLEADOS CTA NUEVA"/>
    <s v="TRANSACCIONES DEL DIA 06/25/2019SPYRAL - GESTION ADMINISTRATIVA"/>
    <n v="32"/>
    <n v="0"/>
    <s v="BRISAS DEL GOLF"/>
    <x v="2"/>
  </r>
  <r>
    <n v="49"/>
    <d v="2019-06-27T00:00:00"/>
    <x v="2"/>
    <x v="2"/>
    <x v="1"/>
    <s v="CAJA"/>
    <s v="ALIMENTACION DE EMPLEADOS CTA NUEVA"/>
    <s v="TRANSACCIONES DEL DIA 06/27/2019SPYRAL - GESTION ADMINISTRATIVA"/>
    <n v="16"/>
    <n v="0"/>
    <s v="BRISAS DEL GOLF"/>
    <x v="2"/>
  </r>
  <r>
    <n v="49"/>
    <d v="2019-07-03T00:00:00"/>
    <x v="6"/>
    <x v="6"/>
    <x v="1"/>
    <s v="CAJA"/>
    <s v="ALIMENTACION DE EMPLEADOS CTA NUEVA"/>
    <s v="TRANSACCIONES DEL DIA 07/03/2019SPYRAL - GESTION ADMINISTRATIVA"/>
    <n v="32"/>
    <n v="0"/>
    <s v="BRISAS DEL GOLF"/>
    <x v="2"/>
  </r>
  <r>
    <n v="49"/>
    <d v="2019-07-04T00:00:00"/>
    <x v="6"/>
    <x v="6"/>
    <x v="1"/>
    <s v="CAJA"/>
    <s v="ALIMENTACION DE EMPLEADOS CTA NUEVA"/>
    <s v="TRANSACCIONES DEL DIA 07/04/2019SPYRAL - GESTION ADMINISTRATIVA"/>
    <n v="8"/>
    <n v="0"/>
    <s v="BRISAS DEL GOLF"/>
    <x v="2"/>
  </r>
  <r>
    <n v="49"/>
    <d v="2019-07-09T00:00:00"/>
    <x v="6"/>
    <x v="6"/>
    <x v="1"/>
    <s v="CAJA"/>
    <s v="ALIMENTACION DE EMPLEADOS CTA NUEVA"/>
    <s v="TRANSACCIONES DEL DIA 07/09/2019SPYRAL - GESTION ADMINISTRATIVA"/>
    <n v="8"/>
    <n v="0"/>
    <s v="BRISAS DEL GOLF"/>
    <x v="2"/>
  </r>
  <r>
    <n v="49"/>
    <d v="2019-07-17T00:00:00"/>
    <x v="6"/>
    <x v="6"/>
    <x v="1"/>
    <s v="CAJA"/>
    <s v="ALIMENTACION DE EMPLEADOS CTA NUEVA"/>
    <s v="TRANSACCIONES DEL DIA 07/17/2019SPYRAL - GESTION ADMINISTRATIVA"/>
    <n v="8"/>
    <n v="0"/>
    <s v="BRISAS DEL GOLF"/>
    <x v="2"/>
  </r>
  <r>
    <n v="49"/>
    <d v="2019-07-24T00:00:00"/>
    <x v="6"/>
    <x v="6"/>
    <x v="1"/>
    <s v="CAJA"/>
    <s v="ALIMENTACION DE EMPLEADOS CTA NUEVA"/>
    <s v="TRANSACCIONES DEL DIA 07/24/2019SPYRAL - GESTION ADMINISTRATIVA"/>
    <n v="8"/>
    <n v="0"/>
    <s v="BRISAS DEL GOLF"/>
    <x v="2"/>
  </r>
  <r>
    <n v="49"/>
    <d v="2019-07-29T00:00:00"/>
    <x v="6"/>
    <x v="6"/>
    <x v="1"/>
    <s v="CAJA"/>
    <s v="ALIMENTACION DE EMPLEADOS CTA NUEVA"/>
    <s v="TRANSACCIONES DEL DIA 07/29/2019SPYRAL - GESTION ADMINISTRATIVA"/>
    <n v="8"/>
    <n v="0"/>
    <s v="BRISAS DEL GOLF"/>
    <x v="2"/>
  </r>
  <r>
    <n v="49"/>
    <d v="2019-05-03T00:00:00"/>
    <x v="11"/>
    <x v="11"/>
    <x v="1"/>
    <s v="SERVICIOS PERSONALES"/>
    <s v="ALIMENTACION DE EMPLEADOS CTA NUEVA"/>
    <s v="TRANSACCIONES DEL DIA 05/03/2019SPYRAL - GESTION ADMINISTRATIVA"/>
    <n v="8"/>
    <n v="0"/>
    <s v="BRISAS DEL GOLF"/>
    <x v="2"/>
  </r>
  <r>
    <n v="49"/>
    <d v="2019-06-15T00:00:00"/>
    <x v="2"/>
    <x v="2"/>
    <x v="1"/>
    <s v="SERVICIOS PERSONALES"/>
    <s v="ALIMENTACION DE EMPLEADOS CTA NUEVA"/>
    <s v="TRANSACCIONES DEL DIA 06/15/2019SPYRAL - GESTION ADMINISTRATIVA"/>
    <n v="8"/>
    <n v="0"/>
    <s v="BRISAS DEL GOLF"/>
    <x v="2"/>
  </r>
  <r>
    <n v="51"/>
    <d v="2019-04-22T00:00:00"/>
    <x v="10"/>
    <x v="10"/>
    <x v="1"/>
    <s v="ADMINISTRACION DE SUCURSALES"/>
    <s v="ALIMENTACION DE EMPLEADOS CTA NUEVA"/>
    <s v="TRANSACCIONES DEL DIA 04/22/2019SPYRAL - GESTION ADMINISTRATIVA"/>
    <n v="8"/>
    <n v="0"/>
    <s v="PUENTE CENTENARIO"/>
    <x v="2"/>
  </r>
  <r>
    <n v="51"/>
    <d v="2019-05-09T00:00:00"/>
    <x v="11"/>
    <x v="11"/>
    <x v="1"/>
    <s v="ADMINISTRACION DE SUCURSALES"/>
    <s v="ALIMENTACION DE EMPLEADOS CTA NUEVA"/>
    <s v="TRANSACCIONES DEL DIA 05/09/2019SPYRAL - GESTION ADMINISTRATIVA"/>
    <n v="24"/>
    <n v="0"/>
    <s v="PUENTE CENTENARIO"/>
    <x v="2"/>
  </r>
  <r>
    <n v="51"/>
    <d v="2019-01-21T00:00:00"/>
    <x v="7"/>
    <x v="7"/>
    <x v="1"/>
    <s v="CAJA"/>
    <s v="ALIMENTACION DE EMPLEADOS CTA NUEVA"/>
    <s v="TRANSACCIONES DEL DIA 01/21/2019SPYRAL - GESTION ADMINISTRATIVA"/>
    <n v="24"/>
    <n v="0"/>
    <s v="PUENTE CENTENARIO"/>
    <x v="2"/>
  </r>
  <r>
    <n v="51"/>
    <d v="2019-01-25T00:00:00"/>
    <x v="7"/>
    <x v="7"/>
    <x v="1"/>
    <s v="CAJA"/>
    <s v="ALIMENTACION DE EMPLEADOS CTA NUEVA"/>
    <s v="TRANSACCIONES DEL DIA 01/25/2019SPYRAL - GESTION ADMINISTRATIVA"/>
    <n v="8"/>
    <n v="0"/>
    <s v="PUENTE CENTENARIO"/>
    <x v="2"/>
  </r>
  <r>
    <n v="51"/>
    <d v="2019-02-05T00:00:00"/>
    <x v="8"/>
    <x v="8"/>
    <x v="1"/>
    <s v="CAJA"/>
    <s v="ALIMENTACION DE EMPLEADOS CTA NUEVA"/>
    <s v="TRANSACCIONES DEL DIA 02/05/2019SPYRAL - GESTION ADMINISTRATIVA"/>
    <n v="32"/>
    <n v="0"/>
    <s v="PUENTE CENTENARIO"/>
    <x v="2"/>
  </r>
  <r>
    <n v="51"/>
    <d v="2019-02-15T00:00:00"/>
    <x v="8"/>
    <x v="8"/>
    <x v="1"/>
    <s v="CAJA"/>
    <s v="ALIMENTACION DE EMPLEADOS CTA NUEVA"/>
    <s v="TRANSACCIONES DEL DIA 02/15/2019SPYRAL - GESTION ADMINISTRATIVA"/>
    <n v="16"/>
    <n v="0"/>
    <s v="PUENTE CENTENARIO"/>
    <x v="2"/>
  </r>
  <r>
    <n v="51"/>
    <d v="2019-02-25T00:00:00"/>
    <x v="8"/>
    <x v="8"/>
    <x v="1"/>
    <s v="CAJA"/>
    <s v="ALIMENTACION DE EMPLEADOS CTA NUEVA"/>
    <s v="TRANSACCIONES DEL DIA 02/25/2019SPYRAL - GESTION ADMINISTRATIVA"/>
    <n v="32"/>
    <n v="0"/>
    <s v="PUENTE CENTENARIO"/>
    <x v="2"/>
  </r>
  <r>
    <n v="51"/>
    <d v="2019-02-26T00:00:00"/>
    <x v="8"/>
    <x v="8"/>
    <x v="1"/>
    <s v="CAJA"/>
    <s v="ALIMENTACION DE EMPLEADOS CTA NUEVA"/>
    <s v="TRANSACCIONES DEL DIA 02/26/2019SPYRAL - GESTION ADMINISTRATIVA"/>
    <n v="8"/>
    <n v="0"/>
    <s v="PUENTE CENTENARIO"/>
    <x v="2"/>
  </r>
  <r>
    <n v="51"/>
    <d v="2019-03-06T00:00:00"/>
    <x v="9"/>
    <x v="9"/>
    <x v="1"/>
    <s v="CAJA"/>
    <s v="ALIMENTACION DE EMPLEADOS CTA NUEVA"/>
    <s v="TRANSACCIONES DEL DIA 03/06/2019SPYRAL - GESTION ADMINISTRATIVA"/>
    <n v="16"/>
    <n v="0"/>
    <s v="PUENTE CENTENARIO"/>
    <x v="2"/>
  </r>
  <r>
    <n v="51"/>
    <d v="2019-03-12T00:00:00"/>
    <x v="9"/>
    <x v="9"/>
    <x v="1"/>
    <s v="CAJA"/>
    <s v="ALIMENTACION DE EMPLEADOS CTA NUEVA"/>
    <s v="TRANSACCIONES DEL DIA 03/12/2019SPYRAL - GESTION ADMINISTRATIVA"/>
    <n v="24"/>
    <n v="0"/>
    <s v="PUENTE CENTENARIO"/>
    <x v="2"/>
  </r>
  <r>
    <n v="51"/>
    <d v="2019-03-25T00:00:00"/>
    <x v="9"/>
    <x v="9"/>
    <x v="1"/>
    <s v="CAJA"/>
    <s v="ALIMENTACION DE EMPLEADOS CTA NUEVA"/>
    <s v="TRANSACCIONES DEL DIA 03/25/2019SPYRAL - GESTION ADMINISTRATIVA"/>
    <n v="24"/>
    <n v="0"/>
    <s v="PUENTE CENTENARIO"/>
    <x v="2"/>
  </r>
  <r>
    <n v="51"/>
    <d v="2019-04-05T00:00:00"/>
    <x v="10"/>
    <x v="10"/>
    <x v="1"/>
    <s v="CAJA"/>
    <s v="ALIMENTACION DE EMPLEADOS CTA NUEVA"/>
    <s v="TRANSACCIONES DEL DIA 04/05/2019SPYRAL - GESTION ADMINISTRATIVA"/>
    <n v="16"/>
    <n v="0"/>
    <s v="PUENTE CENTENARIO"/>
    <x v="2"/>
  </r>
  <r>
    <n v="51"/>
    <d v="2019-04-17T00:00:00"/>
    <x v="10"/>
    <x v="10"/>
    <x v="1"/>
    <s v="CAJA"/>
    <s v="ALIMENTACION DE EMPLEADOS CTA NUEVA"/>
    <s v="TRANSACCIONES DEL DIA 04/17/2019SPYRAL - GESTION ADMINISTRATIVA"/>
    <n v="40"/>
    <n v="0"/>
    <s v="PUENTE CENTENARIO"/>
    <x v="2"/>
  </r>
  <r>
    <n v="51"/>
    <d v="2019-05-02T00:00:00"/>
    <x v="11"/>
    <x v="11"/>
    <x v="1"/>
    <s v="CAJA"/>
    <s v="ALIMENTACION DE EMPLEADOS CTA NUEVA"/>
    <s v="TRANSACCIONES DEL DIA 05/02/2019SPYRAL - GESTION ADMINISTRATIVA"/>
    <n v="8"/>
    <n v="0"/>
    <s v="PUENTE CENTENARIO"/>
    <x v="2"/>
  </r>
  <r>
    <n v="51"/>
    <d v="2019-05-06T00:00:00"/>
    <x v="11"/>
    <x v="11"/>
    <x v="1"/>
    <s v="CAJA"/>
    <s v="ALIMENTACION DE EMPLEADOS CTA NUEVA"/>
    <s v="TRANSACCIONES DEL DIA 05/06/2019SPYRAL - GESTION ADMINISTRATIVA"/>
    <n v="32"/>
    <n v="0"/>
    <s v="PUENTE CENTENARIO"/>
    <x v="2"/>
  </r>
  <r>
    <n v="51"/>
    <d v="2019-05-07T00:00:00"/>
    <x v="11"/>
    <x v="11"/>
    <x v="1"/>
    <s v="CAJA"/>
    <s v="ALIMENTACION DE EMPLEADOS CTA NUEVA"/>
    <s v="TRANSACCIONES DEL DIA 05/07/2019SPYRAL - GESTION ADMINISTRATIVA"/>
    <n v="16"/>
    <n v="0"/>
    <s v="PUENTE CENTENARIO"/>
    <x v="2"/>
  </r>
  <r>
    <n v="51"/>
    <d v="2019-05-18T00:00:00"/>
    <x v="11"/>
    <x v="11"/>
    <x v="1"/>
    <s v="CAJA"/>
    <s v="ALIMENTACION DE EMPLEADOS CTA NUEVA"/>
    <s v="TRANSACCIONES DEL DIA 05/18/2019SPYRAL - GESTION ADMINISTRATIVA"/>
    <n v="40"/>
    <n v="0"/>
    <s v="PUENTE CENTENARIO"/>
    <x v="2"/>
  </r>
  <r>
    <n v="51"/>
    <d v="2019-05-21T00:00:00"/>
    <x v="11"/>
    <x v="11"/>
    <x v="1"/>
    <s v="CAJA"/>
    <s v="ALIMENTACION DE EMPLEADOS CTA NUEVA"/>
    <s v="TRANSACCIONES DEL DIA 05/21/2019SPYRAL - GESTION ADMINISTRATIVA"/>
    <n v="8"/>
    <n v="0"/>
    <s v="PUENTE CENTENARIO"/>
    <x v="2"/>
  </r>
  <r>
    <n v="51"/>
    <d v="2019-06-06T00:00:00"/>
    <x v="2"/>
    <x v="2"/>
    <x v="1"/>
    <s v="CAJA"/>
    <s v="CORRIGE RECHAZO 05/JUNIO/2019"/>
    <s v="CORRECCION DE RECHAZOS EN LA INTERFAZ CONTABLE"/>
    <n v="32"/>
    <n v="0"/>
    <s v="PUENTE CENTENARIO"/>
    <x v="2"/>
  </r>
  <r>
    <n v="51"/>
    <d v="2019-06-08T00:00:00"/>
    <x v="2"/>
    <x v="2"/>
    <x v="1"/>
    <s v="CAJA"/>
    <s v="NC ALIMENTACION DE EMPLEADOS NVA"/>
    <s v="TRANSACCIONES DEL DIA 06/08/2019SPYRAL - GESTION ADMINISTRATIVA"/>
    <n v="32"/>
    <n v="0"/>
    <s v="PUENTE CENTENARIO"/>
    <x v="2"/>
  </r>
  <r>
    <n v="51"/>
    <d v="2019-06-10T00:00:00"/>
    <x v="2"/>
    <x v="2"/>
    <x v="1"/>
    <s v="CAJA"/>
    <s v="CORRECCION DE RECHAZO REG. 08/06/2019"/>
    <s v="REGISTRO DE ENTRADA DE ADMINISTRACION"/>
    <n v="0"/>
    <n v="32"/>
    <s v="PUENTE CENTENARIO"/>
    <x v="2"/>
  </r>
  <r>
    <n v="51"/>
    <d v="2019-06-12T00:00:00"/>
    <x v="2"/>
    <x v="2"/>
    <x v="1"/>
    <s v="CAJA"/>
    <s v="ALIMENTACION DE EMPLEADOS CTA NUEVA"/>
    <s v="TRANSACCIONES DEL DIA 06/12/2019SPYRAL - GESTION ADMINISTRATIVA"/>
    <n v="16"/>
    <n v="0"/>
    <s v="PUENTE CENTENARIO"/>
    <x v="2"/>
  </r>
  <r>
    <n v="51"/>
    <d v="2019-06-19T00:00:00"/>
    <x v="2"/>
    <x v="2"/>
    <x v="1"/>
    <s v="CAJA"/>
    <s v="ALIMENTACION DE EMPLEADOS CTA NUEVA"/>
    <s v="TRANSACCIONES DEL DIA 06/19/2019SPYRAL - GESTION ADMINISTRATIVA"/>
    <n v="8"/>
    <n v="0"/>
    <s v="PUENTE CENTENARIO"/>
    <x v="2"/>
  </r>
  <r>
    <n v="51"/>
    <d v="2019-06-21T00:00:00"/>
    <x v="2"/>
    <x v="2"/>
    <x v="1"/>
    <s v="CAJA"/>
    <s v="ALIMENTACION DE EMPLEADOS CTA NUEVA"/>
    <s v="TRANSACCIONES DEL DIA 06/21/2019SPYRAL - GESTION ADMINISTRATIVA"/>
    <n v="16"/>
    <n v="0"/>
    <s v="PUENTE CENTENARIO"/>
    <x v="2"/>
  </r>
  <r>
    <n v="51"/>
    <d v="2019-06-27T00:00:00"/>
    <x v="2"/>
    <x v="2"/>
    <x v="1"/>
    <s v="CAJA"/>
    <s v="ALIMENTACION DE EMPLEADOS CTA NUEVA"/>
    <s v="TRANSACCIONES DEL DIA 06/27/2019SPYRAL - GESTION ADMINISTRATIVA"/>
    <n v="8"/>
    <n v="0"/>
    <s v="PUENTE CENTENARIO"/>
    <x v="2"/>
  </r>
  <r>
    <n v="51"/>
    <d v="2019-07-03T00:00:00"/>
    <x v="6"/>
    <x v="6"/>
    <x v="1"/>
    <s v="CAJA"/>
    <s v="ALIMENTACION DE EMPLEADOS CTA NUEVA"/>
    <s v="TRANSACCIONES DEL DIA 07/03/2019SPYRAL - GESTION ADMINISTRATIVA"/>
    <n v="8"/>
    <n v="0"/>
    <s v="PUENTE CENTENARIO"/>
    <x v="2"/>
  </r>
  <r>
    <n v="51"/>
    <d v="2019-07-04T00:00:00"/>
    <x v="6"/>
    <x v="6"/>
    <x v="1"/>
    <s v="CAJA"/>
    <s v="ALIMENTACION DE EMPLEADOS CTA NUEVA"/>
    <s v="TRANSACCIONES DEL DIA 07/04/2019SPYRAL - GESTION ADMINISTRATIVA"/>
    <n v="16"/>
    <n v="0"/>
    <s v="PUENTE CENTENARIO"/>
    <x v="2"/>
  </r>
  <r>
    <n v="51"/>
    <d v="2019-07-10T00:00:00"/>
    <x v="6"/>
    <x v="6"/>
    <x v="1"/>
    <s v="CAJA"/>
    <s v="ALIMENTACION DE EMPLEADOS CTA NUEVA"/>
    <s v="TRANSACCIONES DEL DIA 07/10/2019SPYRAL - GESTION ADMINISTRATIVA"/>
    <n v="16"/>
    <n v="0"/>
    <s v="PUENTE CENTENARIO"/>
    <x v="2"/>
  </r>
  <r>
    <n v="51"/>
    <d v="2019-07-18T00:00:00"/>
    <x v="6"/>
    <x v="6"/>
    <x v="1"/>
    <s v="CAJA"/>
    <s v="ALIMENTACION DE EMPLEADOS CTA NUEVA"/>
    <s v="TRANSACCIONES DEL DIA 07/18/2019SPYRAL - GESTION ADMINISTRATIVA"/>
    <n v="40"/>
    <n v="0"/>
    <s v="PUENTE CENTENARIO"/>
    <x v="2"/>
  </r>
  <r>
    <n v="51"/>
    <d v="2019-02-18T00:00:00"/>
    <x v="8"/>
    <x v="8"/>
    <x v="1"/>
    <s v="SERVICIOS PERSONALES"/>
    <s v="ALIMENTACION DE EMPLEADOS CTA NUEVA"/>
    <s v="TRANSACCIONES DEL DIA 02/18/2019SPYRAL - GESTION ADMINISTRATIVA"/>
    <n v="8"/>
    <n v="0"/>
    <s v="PUENTE CENTENARIO"/>
    <x v="2"/>
  </r>
  <r>
    <n v="51"/>
    <d v="2019-03-12T00:00:00"/>
    <x v="9"/>
    <x v="9"/>
    <x v="1"/>
    <s v="SERVICIOS PERSONALES"/>
    <s v="ALIMENTACION DE EMPLEADOS CTA NUEVA"/>
    <s v="TRANSACCIONES DEL DIA 03/12/2019SPYRAL - GESTION ADMINISTRATIVA"/>
    <n v="8"/>
    <n v="0"/>
    <s v="PUENTE CENTENARIO"/>
    <x v="2"/>
  </r>
  <r>
    <n v="51"/>
    <d v="2019-03-18T00:00:00"/>
    <x v="9"/>
    <x v="9"/>
    <x v="1"/>
    <s v="SERVICIOS PERSONALES"/>
    <s v="ALIMENTACION DE EMPLEADOS CTA NUEVA"/>
    <s v="TRANSACCIONES DEL DIA 03/18/2019SPYRAL - GESTION ADMINISTRATIVA"/>
    <n v="16"/>
    <n v="0"/>
    <s v="PUENTE CENTENARIO"/>
    <x v="2"/>
  </r>
  <r>
    <n v="51"/>
    <d v="2019-03-28T00:00:00"/>
    <x v="9"/>
    <x v="9"/>
    <x v="1"/>
    <s v="SERVICIOS PERSONALES"/>
    <s v="ALIMENTACION DE EMPLEADOS CTA NUEVA"/>
    <s v="TRANSACCIONES DEL DIA 03/28/2019SPYRAL - GESTION ADMINISTRATIVA"/>
    <n v="8"/>
    <n v="0"/>
    <s v="PUENTE CENTENARIO"/>
    <x v="2"/>
  </r>
  <r>
    <n v="51"/>
    <d v="2019-03-29T00:00:00"/>
    <x v="9"/>
    <x v="9"/>
    <x v="1"/>
    <s v="SERVICIOS PERSONALES"/>
    <s v="ALIMENTACION DE EMPLEADOS CTA NUEVA"/>
    <s v="TRANSACCIONES DEL DIA 03/29/2019SPYRAL - GESTION ADMINISTRATIVA"/>
    <n v="8"/>
    <n v="0"/>
    <s v="PUENTE CENTENARIO"/>
    <x v="2"/>
  </r>
  <r>
    <n v="51"/>
    <d v="2019-04-01T00:00:00"/>
    <x v="10"/>
    <x v="10"/>
    <x v="1"/>
    <s v="SERVICIOS PERSONALES"/>
    <s v="ALIMENTACION DE EMPLEADOS CTA NUEVA"/>
    <s v="TRANSACCIONES DEL DIA 04/01/2019SPYRAL - GESTION ADMINISTRATIVA"/>
    <n v="8"/>
    <n v="0"/>
    <s v="PUENTE CENTENARIO"/>
    <x v="2"/>
  </r>
  <r>
    <n v="51"/>
    <d v="2019-04-04T00:00:00"/>
    <x v="10"/>
    <x v="10"/>
    <x v="1"/>
    <s v="SERVICIOS PERSONALES"/>
    <s v="ALIMENTACION DE EMPLEADOS CTA NUEVA"/>
    <s v="TRANSACCIONES DEL DIA 04/04/2019SPYRAL - GESTION ADMINISTRATIVA"/>
    <n v="16"/>
    <n v="0"/>
    <s v="PUENTE CENTENARIO"/>
    <x v="2"/>
  </r>
  <r>
    <n v="51"/>
    <d v="2019-04-05T00:00:00"/>
    <x v="10"/>
    <x v="10"/>
    <x v="1"/>
    <s v="SERVICIOS PERSONALES"/>
    <s v="ALIMENTACION DE EMPLEADOS CTA NUEVA"/>
    <s v="TRANSACCIONES DEL DIA 04/05/2019SPYRAL - GESTION ADMINISTRATIVA"/>
    <n v="8"/>
    <n v="0"/>
    <s v="PUENTE CENTENARIO"/>
    <x v="2"/>
  </r>
  <r>
    <n v="51"/>
    <d v="2019-04-06T00:00:00"/>
    <x v="10"/>
    <x v="10"/>
    <x v="1"/>
    <s v="SERVICIOS PERSONALES"/>
    <s v="ALIMENTACION DE EMPLEADOS CTA NUEVA"/>
    <s v="TRANSACCIONES DEL DIA 04/06/2019SPYRAL - GESTION ADMINISTRATIVA"/>
    <n v="8"/>
    <n v="0"/>
    <s v="PUENTE CENTENARIO"/>
    <x v="2"/>
  </r>
  <r>
    <n v="51"/>
    <d v="2019-06-11T00:00:00"/>
    <x v="2"/>
    <x v="2"/>
    <x v="1"/>
    <s v="SERVICIOS PERSONALES"/>
    <s v="ALIMENTACION DE EMPLEADOS CTA NUEVA"/>
    <s v="TRANSACCIONES DEL DIA 06/11/2019SPYRAL - GESTION ADMINISTRATIVA"/>
    <n v="8"/>
    <n v="0"/>
    <s v="PUENTE CENTENARIO"/>
    <x v="2"/>
  </r>
  <r>
    <n v="51"/>
    <d v="2019-07-02T00:00:00"/>
    <x v="6"/>
    <x v="6"/>
    <x v="1"/>
    <s v="SERVICIOS PERSONALES"/>
    <s v="ALIMENTACION DE EMPLEADOS CTA NUEVA"/>
    <s v="TRANSACCIONES DEL DIA 07/02/2019SPYRAL - GESTION ADMINISTRATIVA"/>
    <n v="8"/>
    <n v="0"/>
    <s v="PUENTE CENTENARIO"/>
    <x v="2"/>
  </r>
  <r>
    <n v="54"/>
    <d v="2019-01-28T00:00:00"/>
    <x v="7"/>
    <x v="7"/>
    <x v="1"/>
    <s v="ADMINISTRACION DE SUCURSALES"/>
    <s v="NC ALIMENTACION DE EMPLEADOS NVA"/>
    <s v="TRANSACCIONES DEL DIA 01/28/2019SPYRAL - GESTION ADMINISTRATIVA"/>
    <n v="23.99"/>
    <n v="0"/>
    <s v="SABANITAS"/>
    <x v="2"/>
  </r>
  <r>
    <n v="54"/>
    <d v="2019-03-25T00:00:00"/>
    <x v="9"/>
    <x v="9"/>
    <x v="1"/>
    <s v="ADMINISTRACION DE SUCURSALES"/>
    <s v="OTROS EGRESOS 17"/>
    <s v="OTROS EGRESOS 1.P.O (OR:54/DES:54 TRN:86 PERF:300086 CAU: 17"/>
    <n v="5"/>
    <n v="0"/>
    <s v="SABANITAS"/>
    <x v="2"/>
  </r>
  <r>
    <n v="54"/>
    <d v="2019-04-03T00:00:00"/>
    <x v="10"/>
    <x v="10"/>
    <x v="1"/>
    <s v="ADMINISTRACION DE SUCURSALES"/>
    <s v="NC ALIMENTACION DE EMPLEADOS NVA"/>
    <s v="TRANSACCIONES DEL DIA 04/03/2019SPYRAL - GESTION ADMINISTRATIVA"/>
    <n v="25.99"/>
    <n v="0"/>
    <s v="SABANITAS"/>
    <x v="2"/>
  </r>
  <r>
    <n v="54"/>
    <d v="2019-05-02T00:00:00"/>
    <x v="11"/>
    <x v="11"/>
    <x v="1"/>
    <s v="ADMINISTRACION DE SUCURSALES"/>
    <s v="OTROS EGRESOS 17"/>
    <s v="OTROS EGRESOS 1.P.O (OR:54/DES:54 TRN:86 PERF:300086 CAU: 17"/>
    <n v="5"/>
    <n v="0"/>
    <s v="SABANITAS"/>
    <x v="2"/>
  </r>
  <r>
    <n v="54"/>
    <d v="2019-05-07T00:00:00"/>
    <x v="11"/>
    <x v="11"/>
    <x v="1"/>
    <s v="ADMINISTRACION DE SUCURSALES"/>
    <s v="OTROS EGRESOS 17"/>
    <s v="OTROS EGRESOS 1.P.O (OR:54/DES:54 TRN:86 PERF:300086 CAU: 17"/>
    <n v="10"/>
    <n v="0"/>
    <s v="SABANITAS"/>
    <x v="2"/>
  </r>
  <r>
    <n v="54"/>
    <d v="2019-06-20T00:00:00"/>
    <x v="2"/>
    <x v="2"/>
    <x v="1"/>
    <s v="ADMINISTRACION DE SUCURSALES"/>
    <s v="NC ALIMENTACION DE EMPLEADOS NVA"/>
    <s v="TRANSACCIONES DEL DIA 06/20/2019SPYRAL - GESTION ADMINISTRATIVA"/>
    <n v="17.989999999999998"/>
    <n v="0"/>
    <s v="SABANITAS"/>
    <x v="2"/>
  </r>
  <r>
    <n v="54"/>
    <d v="2019-07-26T00:00:00"/>
    <x v="6"/>
    <x v="6"/>
    <x v="1"/>
    <s v="ADMINISTRACION DE SUCURSALES"/>
    <s v="NC ALIMENTACION DE EMPLEADOS NVA"/>
    <s v="TRANSACCIONES DEL DIA 07/26/2019SPYRAL - GESTION ADMINISTRATIVA"/>
    <n v="26.91"/>
    <n v="0"/>
    <s v="SABANITAS"/>
    <x v="2"/>
  </r>
  <r>
    <n v="54"/>
    <d v="2019-07-30T00:00:00"/>
    <x v="6"/>
    <x v="6"/>
    <x v="1"/>
    <s v="ADMINISTRACION DE SUCURSALES"/>
    <s v="OTROS EGRESOS 17"/>
    <s v="OTROS EGRESOS 1.P.O (OR:54/DES:54 TRN:86 PERF:300086 CAU: 17"/>
    <n v="42"/>
    <n v="0"/>
    <s v="SABANITAS"/>
    <x v="2"/>
  </r>
  <r>
    <n v="68"/>
    <d v="2019-03-19T00:00:00"/>
    <x v="9"/>
    <x v="9"/>
    <x v="1"/>
    <s v="ADMINISTRACION DE SUCURSALES"/>
    <s v="ALIMENTACION DE EMPLEADOS CTA NUEVA"/>
    <s v="TRANSACCIONES DEL DIA 03/19/2019SPYRAL - GESTION ADMINISTRATIVA"/>
    <n v="8"/>
    <n v="0"/>
    <s v="ALTOS DE PANAMA"/>
    <x v="2"/>
  </r>
  <r>
    <n v="68"/>
    <d v="2019-03-26T00:00:00"/>
    <x v="9"/>
    <x v="9"/>
    <x v="1"/>
    <s v="CAJA"/>
    <s v="ALIMENTACION DE EMPLEADOS CTA NUEVA"/>
    <s v="TRANSACCIONES DEL DIA 03/26/2019SPYRAL - GESTION ADMINISTRATIVA"/>
    <n v="8"/>
    <n v="0"/>
    <s v="ALTOS DE PANAMA"/>
    <x v="2"/>
  </r>
  <r>
    <n v="68"/>
    <d v="2019-03-19T00:00:00"/>
    <x v="9"/>
    <x v="9"/>
    <x v="1"/>
    <s v="SERVICIOS PERSONALES"/>
    <s v="ALIMENTACION DE EMPLEADOS CTA NUEVA"/>
    <s v="TRANSACCIONES DEL DIA 03/19/2019SPYRAL - GESTION ADMINISTRATIVA"/>
    <n v="8"/>
    <n v="0"/>
    <s v="ALTOS DE PANAMA"/>
    <x v="2"/>
  </r>
  <r>
    <n v="68"/>
    <d v="2019-05-02T00:00:00"/>
    <x v="11"/>
    <x v="11"/>
    <x v="1"/>
    <s v="SERVICIOS PERSONALES"/>
    <s v="ALIMENTACION DE EMPLEADOS CTA NUEVA"/>
    <s v="TRANSACCIONES DEL DIA 05/02/2019SPYRAL - GESTION ADMINISTRATIVA"/>
    <n v="8"/>
    <n v="0"/>
    <s v="ALTOS DE PANAMA"/>
    <x v="2"/>
  </r>
  <r>
    <n v="69"/>
    <d v="2019-01-02T00:00:00"/>
    <x v="7"/>
    <x v="7"/>
    <x v="1"/>
    <s v="ADMINISTRACION DE SUCURSALES"/>
    <s v="NC ALIMENTACION DE EMPLEADOS NVA"/>
    <s v="TRANSACCIONES DEL DIA 01/02/2019SPYRAL - GESTION ADMINISTRATIVA"/>
    <n v="80"/>
    <n v="0"/>
    <s v="VERSALLES"/>
    <x v="2"/>
  </r>
  <r>
    <n v="69"/>
    <d v="2019-01-16T00:00:00"/>
    <x v="7"/>
    <x v="7"/>
    <x v="1"/>
    <s v="ADMINISTRACION DE SUCURSALES"/>
    <s v="NC ALIMENTACION DE EMPLEADOS NVA"/>
    <s v="TRANSACCIONES DEL DIA 01/16/2019SPYRAL - GESTION ADMINISTRATIVA"/>
    <n v="104"/>
    <n v="0"/>
    <s v="VERSALLES"/>
    <x v="2"/>
  </r>
  <r>
    <n v="69"/>
    <d v="2019-02-01T00:00:00"/>
    <x v="8"/>
    <x v="8"/>
    <x v="1"/>
    <s v="ADMINISTRACION DE SUCURSALES"/>
    <s v="NC ALIMENTACION DE EMPLEADOS NVA"/>
    <s v="TRANSACCIONES DEL DIA 02/01/2019SPYRAL - GESTION ADMINISTRATIVA"/>
    <n v="104"/>
    <n v="0"/>
    <s v="VERSALLES"/>
    <x v="2"/>
  </r>
  <r>
    <n v="69"/>
    <d v="2019-02-18T00:00:00"/>
    <x v="8"/>
    <x v="8"/>
    <x v="1"/>
    <s v="ADMINISTRACION DE SUCURSALES"/>
    <s v="NC ALIMENTACION DE EMPLEADOS NVA"/>
    <s v="TRANSACCIONES DEL DIA 02/18/2019SPYRAL - GESTION ADMINISTRATIVA"/>
    <n v="80"/>
    <n v="0"/>
    <s v="VERSALLES"/>
    <x v="2"/>
  </r>
  <r>
    <n v="69"/>
    <d v="2019-03-01T00:00:00"/>
    <x v="9"/>
    <x v="9"/>
    <x v="1"/>
    <s v="ADMINISTRACION DE SUCURSALES"/>
    <s v="NC ALIMENTACION DE EMPLEADOS NVA"/>
    <s v="TRANSACCIONES DEL DIA 03/01/2019SPYRAL - GESTION ADMINISTRATIVA"/>
    <n v="80"/>
    <n v="0"/>
    <s v="VERSALLES"/>
    <x v="2"/>
  </r>
  <r>
    <n v="69"/>
    <d v="2019-03-16T00:00:00"/>
    <x v="9"/>
    <x v="9"/>
    <x v="1"/>
    <s v="ADMINISTRACION DE SUCURSALES"/>
    <s v="NC ALIMENTACION DE EMPLEADOS NVA"/>
    <s v="TRANSACCIONES DEL DIA 03/16/2019SPYRAL - GESTION ADMINISTRATIVA"/>
    <n v="104"/>
    <n v="0"/>
    <s v="VERSALLES"/>
    <x v="2"/>
  </r>
  <r>
    <n v="69"/>
    <d v="2019-04-01T00:00:00"/>
    <x v="10"/>
    <x v="10"/>
    <x v="1"/>
    <s v="ADMINISTRACION DE SUCURSALES"/>
    <s v="NC ALIMENTACION DE EMPLEADOS NVA"/>
    <s v="TRANSACCIONES DEL DIA 04/01/2019SPYRAL - GESTION ADMINISTRATIVA"/>
    <n v="104"/>
    <n v="0"/>
    <s v="VERSALLES"/>
    <x v="2"/>
  </r>
  <r>
    <n v="69"/>
    <d v="2019-04-16T00:00:00"/>
    <x v="10"/>
    <x v="10"/>
    <x v="1"/>
    <s v="ADMINISTRACION DE SUCURSALES"/>
    <s v="NC ALIMENTACION DE EMPLEADOS NVA"/>
    <s v="TRANSACCIONES DEL DIA 04/16/2019SPYRAL - GESTION ADMINISTRATIVA"/>
    <n v="88"/>
    <n v="0"/>
    <s v="VERSALLES"/>
    <x v="2"/>
  </r>
  <r>
    <n v="69"/>
    <d v="2019-05-03T00:00:00"/>
    <x v="11"/>
    <x v="11"/>
    <x v="1"/>
    <s v="ADMINISTRACION DE SUCURSALES"/>
    <s v="NC ALIMENTACION DE EMPLEADOS NVA"/>
    <s v="TRANSACCIONES DEL DIA 05/03/2019SPYRAL - GESTION ADMINISTRATIVA"/>
    <n v="96"/>
    <n v="0"/>
    <s v="VERSALLES"/>
    <x v="2"/>
  </r>
  <r>
    <n v="69"/>
    <d v="2019-05-16T00:00:00"/>
    <x v="11"/>
    <x v="11"/>
    <x v="1"/>
    <s v="ADMINISTRACION DE SUCURSALES"/>
    <s v="NC ALIMENTACION DE EMPLEADOS NVA"/>
    <s v="TRANSACCIONES DEL DIA 05/16/2019SPYRAL - GESTION ADMINISTRATIVA"/>
    <n v="112"/>
    <n v="0"/>
    <s v="VERSALLES"/>
    <x v="2"/>
  </r>
  <r>
    <n v="69"/>
    <d v="2019-06-03T00:00:00"/>
    <x v="2"/>
    <x v="2"/>
    <x v="1"/>
    <s v="ADMINISTRACION DE SUCURSALES"/>
    <s v="NC ALIMENTACION DE EMPLEADOS NVA"/>
    <s v="TRANSACCIONES DEL DIA 06/03/2019SPYRAL - GESTION ADMINISTRATIVA"/>
    <n v="104"/>
    <n v="0"/>
    <s v="VERSALLES"/>
    <x v="2"/>
  </r>
  <r>
    <n v="69"/>
    <d v="2019-06-17T00:00:00"/>
    <x v="2"/>
    <x v="2"/>
    <x v="1"/>
    <s v="ADMINISTRACION DE SUCURSALES"/>
    <s v="NC ALIMENTACION DE EMPLEADOS NVA"/>
    <s v="TRANSACCIONES DEL DIA 06/17/2019SPYRAL - GESTION ADMINISTRATIVA"/>
    <n v="138.56"/>
    <n v="0"/>
    <s v="VERSALLES"/>
    <x v="2"/>
  </r>
  <r>
    <n v="69"/>
    <d v="2019-07-23T00:00:00"/>
    <x v="6"/>
    <x v="6"/>
    <x v="1"/>
    <s v="ADMINISTRACION DE SUCURSALES"/>
    <s v="NC ALIMENTACION DE EMPLEADOS NVA"/>
    <s v="TRANSACCIONES DEL DIA 07/23/2019SPYRAL - GESTION ADMINISTRATIVA"/>
    <n v="64"/>
    <n v="0"/>
    <s v="VERSALLES"/>
    <x v="2"/>
  </r>
  <r>
    <n v="69"/>
    <d v="2019-07-24T00:00:00"/>
    <x v="6"/>
    <x v="6"/>
    <x v="1"/>
    <s v="ADMINISTRACION DE SUCURSALES"/>
    <s v="NC ALIMENTACION DE EMPLEADOS NVA"/>
    <s v="TRANSACCIONES DEL DIA 07/24/2019SPYRAL - GESTION ADMINISTRATIVA"/>
    <n v="0"/>
    <n v="64"/>
    <s v="VERSALLES"/>
    <x v="2"/>
  </r>
  <r>
    <n v="70"/>
    <d v="2019-05-21T00:00:00"/>
    <x v="11"/>
    <x v="11"/>
    <x v="1"/>
    <s v="ADMINISTRACION DE SUCURSALES"/>
    <s v="NC ALIMENTACION DE EMPLEADOS NVA"/>
    <s v="TRANSACCIONES DEL DIA 05/21/2019SPYRAL - GESTION ADMINISTRATIVA"/>
    <n v="41.3"/>
    <n v="0"/>
    <s v="BUSINESS PARK"/>
    <x v="2"/>
  </r>
  <r>
    <n v="71"/>
    <d v="2019-05-24T00:00:00"/>
    <x v="11"/>
    <x v="11"/>
    <x v="1"/>
    <s v="ADMINISTRACION DE SUCURSALES"/>
    <s v="NC ALIMENTACION DE EMPLEADOS NVA"/>
    <s v="TRANSACCIONES DEL DIA 05/24/2019SPYRAL - GESTION ADMINISTRATIVA"/>
    <n v="25.66"/>
    <n v="0"/>
    <s v="SAN FRANCISCO"/>
    <x v="2"/>
  </r>
  <r>
    <n v="71"/>
    <d v="2019-06-10T00:00:00"/>
    <x v="2"/>
    <x v="2"/>
    <x v="1"/>
    <s v="ADMINISTRACION DE SUCURSALES"/>
    <s v="NC ALIMENTACION DE EMPLEADOS NVA"/>
    <s v="TRANSACCIONES DEL DIA 06/10/2019SPYRAL - GESTION ADMINISTRATIVA"/>
    <n v="30.25"/>
    <n v="0"/>
    <s v="SAN FRANCISCO"/>
    <x v="2"/>
  </r>
  <r>
    <n v="73"/>
    <d v="2019-01-07T00:00:00"/>
    <x v="7"/>
    <x v="7"/>
    <x v="1"/>
    <s v="ADMINISTRACION DE SUCURSALES"/>
    <s v="NC ALIMENTACION DE EMPLEADOS NVA"/>
    <s v="TRANSACCIONES DEL DIA 01/07/2019SPYRAL - GESTION ADMINISTRATIVA"/>
    <n v="64.95"/>
    <n v="0"/>
    <s v="LA CHORRERA - PARQUE 10 DE NOV."/>
    <x v="2"/>
  </r>
  <r>
    <n v="73"/>
    <d v="2019-01-10T00:00:00"/>
    <x v="7"/>
    <x v="7"/>
    <x v="1"/>
    <s v="ADMINISTRACION DE SUCURSALES"/>
    <s v="NC ALIMENTACION DE EMPLEADOS NVA"/>
    <s v="TRANSACCIONES DEL DIA 01/10/2019SPYRAL - GESTION ADMINISTRATIVA"/>
    <n v="64.95"/>
    <n v="0"/>
    <s v="LA CHORRERA - PARQUE 10 DE NOV."/>
    <x v="2"/>
  </r>
  <r>
    <n v="73"/>
    <d v="2019-03-19T00:00:00"/>
    <x v="9"/>
    <x v="9"/>
    <x v="1"/>
    <s v="ADMINISTRACION DE SUCURSALES"/>
    <s v="NC ALIMENTACION DE EMPLEADOS NVA"/>
    <s v="TRANSACCIONES DEL DIA 03/19/2019SPYRAL - GESTION ADMINISTRATIVA"/>
    <n v="147.55000000000001"/>
    <n v="0"/>
    <s v="LA CHORRERA - PARQUE 10 DE NOV."/>
    <x v="2"/>
  </r>
  <r>
    <n v="73"/>
    <d v="2019-05-15T00:00:00"/>
    <x v="11"/>
    <x v="11"/>
    <x v="1"/>
    <s v="ADMINISTRACION DE SUCURSALES"/>
    <s v="NC ALIMENTACION DE EMPLEADOS NVA"/>
    <s v="TRANSACCIONES DEL DIA 05/15/2019SPYRAL - GESTION ADMINISTRATIVA"/>
    <n v="64.95"/>
    <n v="0"/>
    <s v="LA CHORRERA - PARQUE 10 DE NOV."/>
    <x v="2"/>
  </r>
  <r>
    <n v="73"/>
    <d v="2019-07-12T00:00:00"/>
    <x v="6"/>
    <x v="6"/>
    <x v="1"/>
    <s v="ADMINISTRACION DE SUCURSALES"/>
    <s v="NC ALIMENTACION DE EMPLEADOS NVA"/>
    <s v="TRANSACCIONES DEL DIA 07/12/2019SPYRAL - GESTION ADMINISTRATIVA"/>
    <n v="115.77"/>
    <n v="0"/>
    <s v="LA CHORRERA - PARQUE 10 DE NOV."/>
    <x v="2"/>
  </r>
  <r>
    <n v="73"/>
    <d v="2019-01-02T00:00:00"/>
    <x v="7"/>
    <x v="7"/>
    <x v="1"/>
    <s v="CAJA"/>
    <s v="ALIMENTACION DE EMPLEADOS CTA NUEVA"/>
    <s v="TRANSACCIONES DEL DIA 01/02/2019SPYRAL - GESTION ADMINISTRATIVA"/>
    <n v="88"/>
    <n v="0"/>
    <s v="LA CHORRERA - PARQUE 10 DE NOV."/>
    <x v="2"/>
  </r>
  <r>
    <n v="73"/>
    <d v="2019-01-10T00:00:00"/>
    <x v="7"/>
    <x v="7"/>
    <x v="1"/>
    <s v="CAJA"/>
    <s v="ALIMENTACION DE EMPLEADOS CTA NUEVA"/>
    <s v="TRANSACCIONES DEL DIA 01/10/2019SPYRAL - GESTION ADMINISTRATIVA"/>
    <n v="56"/>
    <n v="0"/>
    <s v="LA CHORRERA - PARQUE 10 DE NOV."/>
    <x v="2"/>
  </r>
  <r>
    <n v="73"/>
    <d v="2019-01-11T00:00:00"/>
    <x v="7"/>
    <x v="7"/>
    <x v="1"/>
    <s v="CAJA"/>
    <s v="ALIMENTACION DE EMPLEADOS CTA NUEVA"/>
    <s v="TRANSACCIONES DEL DIA 01/11/2019SPYRAL - GESTION ADMINISTRATIVA"/>
    <n v="16"/>
    <n v="0"/>
    <s v="LA CHORRERA - PARQUE 10 DE NOV."/>
    <x v="2"/>
  </r>
  <r>
    <n v="73"/>
    <d v="2019-01-14T00:00:00"/>
    <x v="7"/>
    <x v="7"/>
    <x v="1"/>
    <s v="CAJA"/>
    <s v="ALIMENTACION DE EMPLEADOS CTA NUEVA"/>
    <s v="TRANSACCIONES DEL DIA 01/14/2019SPYRAL - GESTION ADMINISTRATIVA"/>
    <n v="32"/>
    <n v="0"/>
    <s v="LA CHORRERA - PARQUE 10 DE NOV."/>
    <x v="2"/>
  </r>
  <r>
    <n v="73"/>
    <d v="2019-01-18T00:00:00"/>
    <x v="7"/>
    <x v="7"/>
    <x v="1"/>
    <s v="CAJA"/>
    <s v="ALIMENTACION DE EMPLEADOS CTA NUEVA"/>
    <s v="TRANSACCIONES DEL DIA 01/18/2019SPYRAL - GESTION ADMINISTRATIVA"/>
    <n v="48"/>
    <n v="0"/>
    <s v="LA CHORRERA - PARQUE 10 DE NOV."/>
    <x v="2"/>
  </r>
  <r>
    <n v="73"/>
    <d v="2019-01-21T00:00:00"/>
    <x v="7"/>
    <x v="7"/>
    <x v="1"/>
    <s v="CAJA"/>
    <s v="ALIMENTACION DE EMPLEADOS CTA NUEVA"/>
    <s v="TRANSACCIONES DEL DIA 01/21/2019SPYRAL - GESTION ADMINISTRATIVA"/>
    <n v="8"/>
    <n v="0"/>
    <s v="LA CHORRERA - PARQUE 10 DE NOV."/>
    <x v="2"/>
  </r>
  <r>
    <n v="73"/>
    <d v="2019-01-22T00:00:00"/>
    <x v="7"/>
    <x v="7"/>
    <x v="1"/>
    <s v="CAJA"/>
    <s v="ALIMENTACION DE EMPLEADOS CTA NUEVA"/>
    <s v="TRANSACCIONES DEL DIA 01/22/2019SPYRAL - GESTION ADMINISTRATIVA"/>
    <n v="8"/>
    <n v="0"/>
    <s v="LA CHORRERA - PARQUE 10 DE NOV."/>
    <x v="2"/>
  </r>
  <r>
    <n v="73"/>
    <d v="2019-02-01T00:00:00"/>
    <x v="8"/>
    <x v="8"/>
    <x v="1"/>
    <s v="CAJA"/>
    <s v="ALIMENTACION DE EMPLEADOS CTA NUEVA"/>
    <s v="TRANSACCIONES DEL DIA 02/01/2019SPYRAL - GESTION ADMINISTRATIVA"/>
    <n v="8"/>
    <n v="0"/>
    <s v="LA CHORRERA - PARQUE 10 DE NOV."/>
    <x v="2"/>
  </r>
  <r>
    <n v="73"/>
    <d v="2019-02-07T00:00:00"/>
    <x v="8"/>
    <x v="8"/>
    <x v="1"/>
    <s v="CAJA"/>
    <s v="ALIMENTACION DE EMPLEADOS CTA NUEVA"/>
    <s v="TRANSACCIONES DEL DIA 02/07/2019SPYRAL - GESTION ADMINISTRATIVA"/>
    <n v="64"/>
    <n v="0"/>
    <s v="LA CHORRERA - PARQUE 10 DE NOV."/>
    <x v="2"/>
  </r>
  <r>
    <n v="73"/>
    <d v="2019-02-08T00:00:00"/>
    <x v="8"/>
    <x v="8"/>
    <x v="1"/>
    <s v="CAJA"/>
    <s v="ALIMENTACION DE EMPLEADOS CTA NUEVA"/>
    <s v="TRANSACCIONES DEL DIA 02/08/2019SPYRAL - GESTION ADMINISTRATIVA"/>
    <n v="40"/>
    <n v="0"/>
    <s v="LA CHORRERA - PARQUE 10 DE NOV."/>
    <x v="2"/>
  </r>
  <r>
    <n v="73"/>
    <d v="2019-02-11T00:00:00"/>
    <x v="8"/>
    <x v="8"/>
    <x v="1"/>
    <s v="CAJA"/>
    <s v="ALIMENTACION DE EMPLEADOS CTA NUEVA"/>
    <s v="TRANSACCIONES DEL DIA 02/11/2019SPYRAL - GESTION ADMINISTRATIVA"/>
    <n v="32"/>
    <n v="0"/>
    <s v="LA CHORRERA - PARQUE 10 DE NOV."/>
    <x v="2"/>
  </r>
  <r>
    <n v="73"/>
    <d v="2019-02-15T00:00:00"/>
    <x v="8"/>
    <x v="8"/>
    <x v="1"/>
    <s v="CAJA"/>
    <s v="ALIMENTACION DE EMPLEADOS CTA NUEVA"/>
    <s v="TRANSACCIONES DEL DIA 02/15/2019SPYRAL - GESTION ADMINISTRATIVA"/>
    <n v="16"/>
    <n v="0"/>
    <s v="LA CHORRERA - PARQUE 10 DE NOV."/>
    <x v="2"/>
  </r>
  <r>
    <n v="73"/>
    <d v="2019-02-25T00:00:00"/>
    <x v="8"/>
    <x v="8"/>
    <x v="1"/>
    <s v="CAJA"/>
    <s v="ALIMENTACION DE EMPLEADOS CTA NUEVA"/>
    <s v="TRANSACCIONES DEL DIA 02/25/2019SPYRAL - GESTION ADMINISTRATIVA"/>
    <n v="48"/>
    <n v="0"/>
    <s v="LA CHORRERA - PARQUE 10 DE NOV."/>
    <x v="2"/>
  </r>
  <r>
    <n v="73"/>
    <d v="2019-03-06T00:00:00"/>
    <x v="9"/>
    <x v="9"/>
    <x v="1"/>
    <s v="CAJA"/>
    <s v="ALIMENTACION DE EMPLEADOS CTA NUEVA"/>
    <s v="TRANSACCIONES DEL DIA 03/06/2019SPYRAL - GESTION ADMINISTRATIVA"/>
    <n v="64"/>
    <n v="0"/>
    <s v="LA CHORRERA - PARQUE 10 DE NOV."/>
    <x v="2"/>
  </r>
  <r>
    <n v="73"/>
    <d v="2019-03-07T00:00:00"/>
    <x v="9"/>
    <x v="9"/>
    <x v="1"/>
    <s v="CAJA"/>
    <s v="ALIMENTACION DE EMPLEADOS CTA NUEVA"/>
    <s v="TRANSACCIONES DEL DIA 03/07/2019SPYRAL - GESTION ADMINISTRATIVA"/>
    <n v="32"/>
    <n v="0"/>
    <s v="LA CHORRERA - PARQUE 10 DE NOV."/>
    <x v="2"/>
  </r>
  <r>
    <n v="73"/>
    <d v="2019-03-12T00:00:00"/>
    <x v="9"/>
    <x v="9"/>
    <x v="1"/>
    <s v="CAJA"/>
    <s v="ALIMENTACION DE EMPLEADOS CTA NUEVA"/>
    <s v="TRANSACCIONES DEL DIA 03/12/2019SPYRAL - GESTION ADMINISTRATIVA"/>
    <n v="16"/>
    <n v="0"/>
    <s v="LA CHORRERA - PARQUE 10 DE NOV."/>
    <x v="2"/>
  </r>
  <r>
    <n v="73"/>
    <d v="2019-03-15T00:00:00"/>
    <x v="9"/>
    <x v="9"/>
    <x v="1"/>
    <s v="CAJA"/>
    <s v="ALIMENTACION DE EMPLEADOS CTA NUEVA"/>
    <s v="TRANSACCIONES DEL DIA 03/15/2019SPYRAL - GESTION ADMINISTRATIVA"/>
    <n v="16"/>
    <n v="0"/>
    <s v="LA CHORRERA - PARQUE 10 DE NOV."/>
    <x v="2"/>
  </r>
  <r>
    <n v="73"/>
    <d v="2019-03-18T00:00:00"/>
    <x v="9"/>
    <x v="9"/>
    <x v="1"/>
    <s v="CAJA"/>
    <s v="ALIMENTACION DE EMPLEADOS CTA NUEVA"/>
    <s v="TRANSACCIONES DEL DIA 03/18/2019SPYRAL - GESTION ADMINISTRATIVA"/>
    <n v="40"/>
    <n v="0"/>
    <s v="LA CHORRERA - PARQUE 10 DE NOV."/>
    <x v="2"/>
  </r>
  <r>
    <n v="73"/>
    <d v="2019-03-20T00:00:00"/>
    <x v="9"/>
    <x v="9"/>
    <x v="1"/>
    <s v="CAJA"/>
    <s v="ALIMENTACION DE EMPLEADOS CTA NUEVA"/>
    <s v="TRANSACCIONES DEL DIA 03/20/2019SPYRAL - GESTION ADMINISTRATIVA"/>
    <n v="32"/>
    <n v="0"/>
    <s v="LA CHORRERA - PARQUE 10 DE NOV."/>
    <x v="2"/>
  </r>
  <r>
    <n v="73"/>
    <d v="2019-03-25T00:00:00"/>
    <x v="9"/>
    <x v="9"/>
    <x v="1"/>
    <s v="CAJA"/>
    <s v="ALIMENTACION DE EMPLEADOS CTA NUEVA"/>
    <s v="TRANSACCIONES DEL DIA 03/25/2019SPYRAL - GESTION ADMINISTRATIVA"/>
    <n v="16"/>
    <n v="0"/>
    <s v="LA CHORRERA - PARQUE 10 DE NOV."/>
    <x v="2"/>
  </r>
  <r>
    <n v="73"/>
    <d v="2019-04-02T00:00:00"/>
    <x v="10"/>
    <x v="10"/>
    <x v="1"/>
    <s v="CAJA"/>
    <s v="ALIMENTACION DE EMPLEADOS CTA NUEVA"/>
    <s v="TRANSACCIONES DEL DIA 04/02/2019SPYRAL - GESTION ADMINISTRATIVA"/>
    <n v="64"/>
    <n v="0"/>
    <s v="LA CHORRERA - PARQUE 10 DE NOV."/>
    <x v="2"/>
  </r>
  <r>
    <n v="73"/>
    <d v="2019-04-06T00:00:00"/>
    <x v="10"/>
    <x v="10"/>
    <x v="1"/>
    <s v="CAJA"/>
    <s v="ALIMENTACION DE EMPLEADOS CTA NUEVA"/>
    <s v="TRANSACCIONES DEL DIA 04/06/2019SPYRAL - GESTION ADMINISTRATIVA"/>
    <n v="24"/>
    <n v="0"/>
    <s v="LA CHORRERA - PARQUE 10 DE NOV."/>
    <x v="2"/>
  </r>
  <r>
    <n v="73"/>
    <d v="2019-04-15T00:00:00"/>
    <x v="10"/>
    <x v="10"/>
    <x v="1"/>
    <s v="CAJA"/>
    <s v="ALIMENTACION DE EMPLEADOS CTA NUEVA"/>
    <s v="TRANSACCIONES DEL DIA 04/15/2019SPYRAL - GESTION ADMINISTRATIVA"/>
    <n v="16"/>
    <n v="0"/>
    <s v="LA CHORRERA - PARQUE 10 DE NOV."/>
    <x v="2"/>
  </r>
  <r>
    <n v="73"/>
    <d v="2019-04-16T00:00:00"/>
    <x v="10"/>
    <x v="10"/>
    <x v="1"/>
    <s v="CAJA"/>
    <s v="ALIMENTACION DE EMPLEADOS CTA NUEVA"/>
    <s v="TRANSACCIONES DEL DIA 04/16/2019SPYRAL - GESTION ADMINISTRATIVA"/>
    <n v="24"/>
    <n v="0"/>
    <s v="LA CHORRERA - PARQUE 10 DE NOV."/>
    <x v="2"/>
  </r>
  <r>
    <n v="73"/>
    <d v="2019-04-17T00:00:00"/>
    <x v="10"/>
    <x v="10"/>
    <x v="1"/>
    <s v="CAJA"/>
    <s v="ALIMENTACION DE EMPLEADOS CTA NUEVA"/>
    <s v="TRANSACCIONES DEL DIA 04/17/2019SPYRAL - GESTION ADMINISTRATIVA"/>
    <n v="24"/>
    <n v="0"/>
    <s v="LA CHORRERA - PARQUE 10 DE NOV."/>
    <x v="2"/>
  </r>
  <r>
    <n v="73"/>
    <d v="2019-04-24T00:00:00"/>
    <x v="10"/>
    <x v="10"/>
    <x v="1"/>
    <s v="CAJA"/>
    <s v="ALIMENTACION DE EMPLEADOS CTA NUEVA"/>
    <s v="TRANSACCIONES DEL DIA 04/24/2019SPYRAL - GESTION ADMINISTRATIVA"/>
    <n v="56"/>
    <n v="0"/>
    <s v="LA CHORRERA - PARQUE 10 DE NOV."/>
    <x v="2"/>
  </r>
  <r>
    <n v="73"/>
    <d v="2019-04-25T00:00:00"/>
    <x v="10"/>
    <x v="10"/>
    <x v="1"/>
    <s v="CAJA"/>
    <s v="ALIMENTACION DE EMPLEADOS CTA NUEVA"/>
    <s v="TRANSACCIONES DEL DIA 04/25/2019SPYRAL - GESTION ADMINISTRATIVA"/>
    <n v="8"/>
    <n v="0"/>
    <s v="LA CHORRERA - PARQUE 10 DE NOV."/>
    <x v="2"/>
  </r>
  <r>
    <n v="73"/>
    <d v="2019-05-04T00:00:00"/>
    <x v="11"/>
    <x v="11"/>
    <x v="1"/>
    <s v="CAJA"/>
    <s v="ALIMENTACION DE EMPLEADOS CTA NUEVA"/>
    <s v="TRANSACCIONES DEL DIA 05/04/2019SPYRAL - GESTION ADMINISTRATIVA"/>
    <n v="96"/>
    <n v="0"/>
    <s v="LA CHORRERA - PARQUE 10 DE NOV."/>
    <x v="2"/>
  </r>
  <r>
    <n v="73"/>
    <d v="2019-05-07T00:00:00"/>
    <x v="11"/>
    <x v="11"/>
    <x v="1"/>
    <s v="CAJA"/>
    <s v="ALIMENTACION DE EMPLEADOS CTA NUEVA"/>
    <s v="TRANSACCIONES DEL DIA 05/07/2019SPYRAL - GESTION ADMINISTRATIVA"/>
    <n v="56"/>
    <n v="0"/>
    <s v="LA CHORRERA - PARQUE 10 DE NOV."/>
    <x v="2"/>
  </r>
  <r>
    <n v="73"/>
    <d v="2019-05-13T00:00:00"/>
    <x v="11"/>
    <x v="11"/>
    <x v="1"/>
    <s v="CAJA"/>
    <s v="ALIMENTACION DE EMPLEADOS CTA NUEVA"/>
    <s v="TRANSACCIONES DEL DIA 05/13/2019SPYRAL - GESTION ADMINISTRATIVA"/>
    <n v="48"/>
    <n v="0"/>
    <s v="LA CHORRERA - PARQUE 10 DE NOV."/>
    <x v="2"/>
  </r>
  <r>
    <n v="73"/>
    <d v="2019-05-16T00:00:00"/>
    <x v="11"/>
    <x v="11"/>
    <x v="1"/>
    <s v="CAJA"/>
    <s v="ALIMENTACION DE EMPLEADOS CTA NUEVA"/>
    <s v="TRANSACCIONES DEL DIA 05/16/2019SPYRAL - GESTION ADMINISTRATIVA"/>
    <n v="40"/>
    <n v="0"/>
    <s v="LA CHORRERA - PARQUE 10 DE NOV."/>
    <x v="2"/>
  </r>
  <r>
    <n v="73"/>
    <d v="2019-05-21T00:00:00"/>
    <x v="11"/>
    <x v="11"/>
    <x v="1"/>
    <s v="CAJA"/>
    <s v="ALIMENTACION DE EMPLEADOS CTA NUEVA"/>
    <s v="TRANSACCIONES DEL DIA 05/21/2019SPYRAL - GESTION ADMINISTRATIVA"/>
    <n v="72"/>
    <n v="0"/>
    <s v="LA CHORRERA - PARQUE 10 DE NOV."/>
    <x v="2"/>
  </r>
  <r>
    <n v="73"/>
    <d v="2019-05-23T00:00:00"/>
    <x v="11"/>
    <x v="11"/>
    <x v="1"/>
    <s v="CAJA"/>
    <s v="ALIMENTACION DE EMPLEADOS CTA NUEVA"/>
    <s v="TRANSACCIONES DEL DIA 05/23/2019SPYRAL - GESTION ADMINISTRATIVA"/>
    <n v="40"/>
    <n v="0"/>
    <s v="LA CHORRERA - PARQUE 10 DE NOV."/>
    <x v="2"/>
  </r>
  <r>
    <n v="73"/>
    <d v="2019-05-25T00:00:00"/>
    <x v="11"/>
    <x v="11"/>
    <x v="1"/>
    <s v="CAJA"/>
    <s v="ALIMENTACION DE EMPLEADOS CTA NUEVA"/>
    <s v="TRANSACCIONES DEL DIA 05/25/2019SPYRAL - GESTION ADMINISTRATIVA"/>
    <n v="24"/>
    <n v="0"/>
    <s v="LA CHORRERA - PARQUE 10 DE NOV."/>
    <x v="2"/>
  </r>
  <r>
    <n v="73"/>
    <d v="2019-06-01T00:00:00"/>
    <x v="2"/>
    <x v="2"/>
    <x v="1"/>
    <s v="CAJA"/>
    <s v="ALIMENTACION DE EMPLEADOS CTA NUEVA"/>
    <s v="TRANSACCIONES DEL DIA 06/01/2019SPYRAL - GESTION ADMINISTRATIVA"/>
    <n v="56"/>
    <n v="0"/>
    <s v="LA CHORRERA - PARQUE 10 DE NOV."/>
    <x v="2"/>
  </r>
  <r>
    <n v="73"/>
    <d v="2019-06-05T00:00:00"/>
    <x v="2"/>
    <x v="2"/>
    <x v="1"/>
    <s v="CAJA"/>
    <s v="ALIMENTACION DE EMPLEADOS CTA NUEVA"/>
    <s v="TRANSACCIONES DEL DIA 06/05/2019SPYRAL - GESTION ADMINISTRATIVA"/>
    <n v="24"/>
    <n v="0"/>
    <s v="LA CHORRERA - PARQUE 10 DE NOV."/>
    <x v="2"/>
  </r>
  <r>
    <n v="73"/>
    <d v="2019-06-06T00:00:00"/>
    <x v="2"/>
    <x v="2"/>
    <x v="1"/>
    <s v="CAJA"/>
    <s v="CORRIGE RECHAZO 05/JUNIO/2019"/>
    <s v="CORRECCION DE RECHAZOS EN LA INTERFAZ CONTABLE"/>
    <n v="80"/>
    <n v="0"/>
    <s v="LA CHORRERA - PARQUE 10 DE NOV."/>
    <x v="2"/>
  </r>
  <r>
    <n v="73"/>
    <d v="2019-06-08T00:00:00"/>
    <x v="2"/>
    <x v="2"/>
    <x v="1"/>
    <s v="CAJA"/>
    <s v="NC ALIMENTACION DE EMPLEADOS NVA"/>
    <s v="TRANSACCIONES DEL DIA 06/08/2019SPYRAL - GESTION ADMINISTRATIVA"/>
    <n v="80"/>
    <n v="0"/>
    <s v="LA CHORRERA - PARQUE 10 DE NOV."/>
    <x v="2"/>
  </r>
  <r>
    <n v="73"/>
    <d v="2019-06-10T00:00:00"/>
    <x v="2"/>
    <x v="2"/>
    <x v="1"/>
    <s v="CAJA"/>
    <s v="CORRECCION DE RECHAZO REG. 08/06/2019"/>
    <s v="REGISTRO DE ENTRADA DE ADMINISTRACION"/>
    <n v="0"/>
    <n v="80"/>
    <s v="LA CHORRERA - PARQUE 10 DE NOV."/>
    <x v="2"/>
  </r>
  <r>
    <n v="73"/>
    <d v="2019-06-10T00:00:00"/>
    <x v="2"/>
    <x v="2"/>
    <x v="1"/>
    <s v="CAJA"/>
    <s v="ALIMENTACION DE EMPLEADOS CTA NUEVA"/>
    <s v="TRANSACCIONES DEL DIA 06/10/2019SPYRAL - GESTION ADMINISTRATIVA"/>
    <n v="16"/>
    <n v="0"/>
    <s v="LA CHORRERA - PARQUE 10 DE NOV."/>
    <x v="2"/>
  </r>
  <r>
    <n v="73"/>
    <d v="2019-06-14T00:00:00"/>
    <x v="2"/>
    <x v="2"/>
    <x v="1"/>
    <s v="CAJA"/>
    <s v="ALIMENTACION DE EMPLEADOS CTA NUEVA"/>
    <s v="TRANSACCIONES DEL DIA 06/14/2019SPYRAL - GESTION ADMINISTRATIVA"/>
    <n v="8"/>
    <n v="0"/>
    <s v="LA CHORRERA - PARQUE 10 DE NOV."/>
    <x v="2"/>
  </r>
  <r>
    <n v="73"/>
    <d v="2019-06-15T00:00:00"/>
    <x v="2"/>
    <x v="2"/>
    <x v="1"/>
    <s v="CAJA"/>
    <s v="ALIMENTACION DE EMPLEADOS CTA NUEVA"/>
    <s v="TRANSACCIONES DEL DIA 06/15/2019SPYRAL - GESTION ADMINISTRATIVA"/>
    <n v="40"/>
    <n v="0"/>
    <s v="LA CHORRERA - PARQUE 10 DE NOV."/>
    <x v="2"/>
  </r>
  <r>
    <n v="73"/>
    <d v="2019-06-19T00:00:00"/>
    <x v="2"/>
    <x v="2"/>
    <x v="1"/>
    <s v="CAJA"/>
    <s v="ALIMENTACION DE EMPLEADOS CTA NUEVA"/>
    <s v="TRANSACCIONES DEL DIA 06/19/2019SPYRAL - GESTION ADMINISTRATIVA"/>
    <n v="56"/>
    <n v="0"/>
    <s v="LA CHORRERA - PARQUE 10 DE NOV."/>
    <x v="2"/>
  </r>
  <r>
    <n v="73"/>
    <d v="2019-06-20T00:00:00"/>
    <x v="2"/>
    <x v="2"/>
    <x v="1"/>
    <s v="CAJA"/>
    <s v="ALIMENTACION DE EMPLEADOS CTA NUEVA"/>
    <s v="TRANSACCIONES DEL DIA 06/20/2019SPYRAL - GESTION ADMINISTRATIVA"/>
    <n v="8"/>
    <n v="0"/>
    <s v="LA CHORRERA - PARQUE 10 DE NOV."/>
    <x v="2"/>
  </r>
  <r>
    <n v="73"/>
    <d v="2019-06-24T00:00:00"/>
    <x v="2"/>
    <x v="2"/>
    <x v="1"/>
    <s v="CAJA"/>
    <s v="ALIMENTACION DE EMPLEADOS CTA NUEVA"/>
    <s v="TRANSACCIONES DEL DIA 06/24/2019SPYRAL - GESTION ADMINISTRATIVA"/>
    <n v="24"/>
    <n v="0"/>
    <s v="LA CHORRERA - PARQUE 10 DE NOV."/>
    <x v="2"/>
  </r>
  <r>
    <n v="73"/>
    <d v="2019-07-02T00:00:00"/>
    <x v="6"/>
    <x v="6"/>
    <x v="1"/>
    <s v="CAJA"/>
    <s v="ALIMENTACION DE EMPLEADOS CTA NUEVA"/>
    <s v="TRANSACCIONES DEL DIA 07/02/2019SPYRAL - GESTION ADMINISTRATIVA"/>
    <n v="40"/>
    <n v="0"/>
    <s v="LA CHORRERA - PARQUE 10 DE NOV."/>
    <x v="2"/>
  </r>
  <r>
    <n v="73"/>
    <d v="2019-07-03T00:00:00"/>
    <x v="6"/>
    <x v="6"/>
    <x v="1"/>
    <s v="CAJA"/>
    <s v="ALIMENTACION DE EMPLEADOS CTA NUEVA"/>
    <s v="TRANSACCIONES DEL DIA 07/03/2019SPYRAL - GESTION ADMINISTRATIVA"/>
    <n v="48"/>
    <n v="0"/>
    <s v="LA CHORRERA - PARQUE 10 DE NOV."/>
    <x v="2"/>
  </r>
  <r>
    <n v="73"/>
    <d v="2019-07-08T00:00:00"/>
    <x v="6"/>
    <x v="6"/>
    <x v="1"/>
    <s v="CAJA"/>
    <s v="ALIMENTACION DE EMPLEADOS CTA NUEVA"/>
    <s v="TRANSACCIONES DEL DIA 07/08/2019SPYRAL - GESTION ADMINISTRATIVA"/>
    <n v="8"/>
    <n v="0"/>
    <s v="LA CHORRERA - PARQUE 10 DE NOV."/>
    <x v="2"/>
  </r>
  <r>
    <n v="73"/>
    <d v="2019-07-10T00:00:00"/>
    <x v="6"/>
    <x v="6"/>
    <x v="1"/>
    <s v="CAJA"/>
    <s v="ALIMENTACION DE EMPLEADOS CTA NUEVA"/>
    <s v="TRANSACCIONES DEL DIA 07/10/2019SPYRAL - GESTION ADMINISTRATIVA"/>
    <n v="8"/>
    <n v="0"/>
    <s v="LA CHORRERA - PARQUE 10 DE NOV."/>
    <x v="2"/>
  </r>
  <r>
    <n v="73"/>
    <d v="2019-07-11T00:00:00"/>
    <x v="6"/>
    <x v="6"/>
    <x v="1"/>
    <s v="CAJA"/>
    <s v="ALIMENTACION DE EMPLEADOS CTA NUEVA"/>
    <s v="TRANSACCIONES DEL DIA 07/11/2019SPYRAL - GESTION ADMINISTRATIVA"/>
    <n v="8"/>
    <n v="0"/>
    <s v="LA CHORRERA - PARQUE 10 DE NOV."/>
    <x v="2"/>
  </r>
  <r>
    <n v="73"/>
    <d v="2019-07-13T00:00:00"/>
    <x v="6"/>
    <x v="6"/>
    <x v="1"/>
    <s v="CAJA"/>
    <s v="ALIMENTACION DE EMPLEADOS CTA NUEVA"/>
    <s v="TRANSACCIONES DEL DIA 07/13/2019SPYRAL - GESTION ADMINISTRATIVA"/>
    <n v="16"/>
    <n v="0"/>
    <s v="LA CHORRERA - PARQUE 10 DE NOV."/>
    <x v="2"/>
  </r>
  <r>
    <n v="73"/>
    <d v="2019-07-17T00:00:00"/>
    <x v="6"/>
    <x v="6"/>
    <x v="1"/>
    <s v="CAJA"/>
    <s v="ALIMENTACION DE EMPLEADOS CTA NUEVA"/>
    <s v="TRANSACCIONES DEL DIA 07/17/2019SPYRAL - GESTION ADMINISTRATIVA"/>
    <n v="80"/>
    <n v="0"/>
    <s v="LA CHORRERA - PARQUE 10 DE NOV."/>
    <x v="2"/>
  </r>
  <r>
    <n v="73"/>
    <d v="2019-07-20T00:00:00"/>
    <x v="6"/>
    <x v="6"/>
    <x v="1"/>
    <s v="CAJA"/>
    <s v="ALIMENTACION DE EMPLEADOS CTA NUEVA"/>
    <s v="TRANSACCIONES DEL DIA 07/20/2019SPYRAL - GESTION ADMINISTRATIVA"/>
    <n v="8"/>
    <n v="0"/>
    <s v="LA CHORRERA - PARQUE 10 DE NOV."/>
    <x v="2"/>
  </r>
  <r>
    <n v="73"/>
    <d v="2019-07-22T00:00:00"/>
    <x v="6"/>
    <x v="6"/>
    <x v="1"/>
    <s v="CAJA"/>
    <s v="ALIMENTACION DE EMPLEADOS CTA NUEVA"/>
    <s v="TRANSACCIONES DEL DIA 07/22/2019SPYRAL - GESTION ADMINISTRATIVA"/>
    <n v="8"/>
    <n v="0"/>
    <s v="LA CHORRERA - PARQUE 10 DE NOV."/>
    <x v="2"/>
  </r>
  <r>
    <n v="73"/>
    <d v="2019-07-30T00:00:00"/>
    <x v="6"/>
    <x v="6"/>
    <x v="1"/>
    <s v="CAJA"/>
    <s v="ALIMENTACION DE EMPLEADOS CTA NUEVA"/>
    <s v="TRANSACCIONES DEL DIA 07/30/2019SPYRAL - GESTION ADMINISTRATIVA"/>
    <n v="8"/>
    <n v="0"/>
    <s v="LA CHORRERA - PARQUE 10 DE NOV."/>
    <x v="2"/>
  </r>
  <r>
    <n v="73"/>
    <d v="2019-01-10T00:00:00"/>
    <x v="7"/>
    <x v="7"/>
    <x v="1"/>
    <s v="SERVICIOS PERSONALES"/>
    <s v="ALIMENTACION DE EMPLEADOS CTA NUEVA"/>
    <s v="TRANSACCIONES DEL DIA 01/10/2019SPYRAL - GESTION ADMINISTRATIVA"/>
    <n v="16"/>
    <n v="0"/>
    <s v="LA CHORRERA - PARQUE 10 DE NOV."/>
    <x v="2"/>
  </r>
  <r>
    <n v="73"/>
    <d v="2019-01-15T00:00:00"/>
    <x v="7"/>
    <x v="7"/>
    <x v="1"/>
    <s v="SERVICIOS PERSONALES"/>
    <s v="ALIMENTACION DE EMPLEADOS CTA NUEVA"/>
    <s v="TRANSACCIONES DEL DIA 01/15/2019SPYRAL - GESTION ADMINISTRATIVA"/>
    <n v="8"/>
    <n v="0"/>
    <s v="LA CHORRERA - PARQUE 10 DE NOV."/>
    <x v="2"/>
  </r>
  <r>
    <n v="73"/>
    <d v="2019-01-21T00:00:00"/>
    <x v="7"/>
    <x v="7"/>
    <x v="1"/>
    <s v="SERVICIOS PERSONALES"/>
    <s v="ALIMENTACION DE EMPLEADOS CTA NUEVA"/>
    <s v="TRANSACCIONES DEL DIA 01/21/2019SPYRAL - GESTION ADMINISTRATIVA"/>
    <n v="8"/>
    <n v="0"/>
    <s v="LA CHORRERA - PARQUE 10 DE NOV."/>
    <x v="2"/>
  </r>
  <r>
    <n v="73"/>
    <d v="2019-01-31T00:00:00"/>
    <x v="7"/>
    <x v="7"/>
    <x v="1"/>
    <s v="SERVICIOS PERSONALES"/>
    <s v="ALIMENTACION DE EMPLEADOS CTA NUEVA"/>
    <s v="TRANSACCIONES DEL DIA 01/31/2019SPYRAL - GESTION ADMINISTRATIVA"/>
    <n v="8"/>
    <n v="0"/>
    <s v="LA CHORRERA - PARQUE 10 DE NOV."/>
    <x v="2"/>
  </r>
  <r>
    <n v="73"/>
    <d v="2019-02-07T00:00:00"/>
    <x v="8"/>
    <x v="8"/>
    <x v="1"/>
    <s v="SERVICIOS PERSONALES"/>
    <s v="ALIMENTACION DE EMPLEADOS CTA NUEVA"/>
    <s v="TRANSACCIONES DEL DIA 02/07/2019SPYRAL - GESTION ADMINISTRATIVA"/>
    <n v="8"/>
    <n v="0"/>
    <s v="LA CHORRERA - PARQUE 10 DE NOV."/>
    <x v="2"/>
  </r>
  <r>
    <n v="73"/>
    <d v="2019-02-08T00:00:00"/>
    <x v="8"/>
    <x v="8"/>
    <x v="1"/>
    <s v="SERVICIOS PERSONALES"/>
    <s v="ALIMENTACION DE EMPLEADOS CTA NUEVA"/>
    <s v="TRANSACCIONES DEL DIA 02/08/2019SPYRAL - GESTION ADMINISTRATIVA"/>
    <n v="8"/>
    <n v="0"/>
    <s v="LA CHORRERA - PARQUE 10 DE NOV."/>
    <x v="2"/>
  </r>
  <r>
    <n v="73"/>
    <d v="2019-02-15T00:00:00"/>
    <x v="8"/>
    <x v="8"/>
    <x v="1"/>
    <s v="SERVICIOS PERSONALES"/>
    <s v="ALIMENTACION DE EMPLEADOS CTA NUEVA"/>
    <s v="TRANSACCIONES DEL DIA 02/15/2019SPYRAL - GESTION ADMINISTRATIVA"/>
    <n v="8"/>
    <n v="0"/>
    <s v="LA CHORRERA - PARQUE 10 DE NOV."/>
    <x v="2"/>
  </r>
  <r>
    <n v="73"/>
    <d v="2019-03-06T00:00:00"/>
    <x v="9"/>
    <x v="9"/>
    <x v="1"/>
    <s v="SERVICIOS PERSONALES"/>
    <s v="ALIMENTACION DE EMPLEADOS CTA NUEVA"/>
    <s v="TRANSACCIONES DEL DIA 03/06/2019SPYRAL - GESTION ADMINISTRATIVA"/>
    <n v="16"/>
    <n v="0"/>
    <s v="LA CHORRERA - PARQUE 10 DE NOV."/>
    <x v="2"/>
  </r>
  <r>
    <n v="73"/>
    <d v="2019-03-07T00:00:00"/>
    <x v="9"/>
    <x v="9"/>
    <x v="1"/>
    <s v="SERVICIOS PERSONALES"/>
    <s v="ALIMENTACION DE EMPLEADOS CTA NUEVA"/>
    <s v="TRANSACCIONES DEL DIA 03/07/2019SPYRAL - GESTION ADMINISTRATIVA"/>
    <n v="8"/>
    <n v="0"/>
    <s v="LA CHORRERA - PARQUE 10 DE NOV."/>
    <x v="2"/>
  </r>
  <r>
    <n v="73"/>
    <d v="2019-03-12T00:00:00"/>
    <x v="9"/>
    <x v="9"/>
    <x v="1"/>
    <s v="SERVICIOS PERSONALES"/>
    <s v="ALIMENTACION DE EMPLEADOS CTA NUEVA"/>
    <s v="TRANSACCIONES DEL DIA 03/12/2019SPYRAL - GESTION ADMINISTRATIVA"/>
    <n v="8"/>
    <n v="0"/>
    <s v="LA CHORRERA - PARQUE 10 DE NOV."/>
    <x v="2"/>
  </r>
  <r>
    <n v="73"/>
    <d v="2019-03-15T00:00:00"/>
    <x v="9"/>
    <x v="9"/>
    <x v="1"/>
    <s v="SERVICIOS PERSONALES"/>
    <s v="ALIMENTACION DE EMPLEADOS CTA NUEVA"/>
    <s v="TRANSACCIONES DEL DIA 03/15/2019SPYRAL - GESTION ADMINISTRATIVA"/>
    <n v="24"/>
    <n v="0"/>
    <s v="LA CHORRERA - PARQUE 10 DE NOV."/>
    <x v="2"/>
  </r>
  <r>
    <n v="73"/>
    <d v="2019-03-18T00:00:00"/>
    <x v="9"/>
    <x v="9"/>
    <x v="1"/>
    <s v="SERVICIOS PERSONALES"/>
    <s v="ALIMENTACION DE EMPLEADOS CTA NUEVA"/>
    <s v="TRANSACCIONES DEL DIA 03/18/2019SPYRAL - GESTION ADMINISTRATIVA"/>
    <n v="8"/>
    <n v="0"/>
    <s v="LA CHORRERA - PARQUE 10 DE NOV."/>
    <x v="2"/>
  </r>
  <r>
    <n v="73"/>
    <d v="2019-03-28T00:00:00"/>
    <x v="9"/>
    <x v="9"/>
    <x v="1"/>
    <s v="SERVICIOS PERSONALES"/>
    <s v="ALIMENTACION DE EMPLEADOS CTA NUEVA"/>
    <s v="TRANSACCIONES DEL DIA 03/28/2019SPYRAL - GESTION ADMINISTRATIVA"/>
    <n v="32"/>
    <n v="0"/>
    <s v="LA CHORRERA - PARQUE 10 DE NOV."/>
    <x v="2"/>
  </r>
  <r>
    <n v="73"/>
    <d v="2019-04-02T00:00:00"/>
    <x v="10"/>
    <x v="10"/>
    <x v="1"/>
    <s v="SERVICIOS PERSONALES"/>
    <s v="ALIMENTACION DE EMPLEADOS CTA NUEVA"/>
    <s v="TRANSACCIONES DEL DIA 04/02/2019SPYRAL - GESTION ADMINISTRATIVA"/>
    <n v="16"/>
    <n v="0"/>
    <s v="LA CHORRERA - PARQUE 10 DE NOV."/>
    <x v="2"/>
  </r>
  <r>
    <n v="73"/>
    <d v="2019-04-06T00:00:00"/>
    <x v="10"/>
    <x v="10"/>
    <x v="1"/>
    <s v="SERVICIOS PERSONALES"/>
    <s v="ALIMENTACION DE EMPLEADOS CTA NUEVA"/>
    <s v="TRANSACCIONES DEL DIA 04/06/2019SPYRAL - GESTION ADMINISTRATIVA"/>
    <n v="8"/>
    <n v="0"/>
    <s v="LA CHORRERA - PARQUE 10 DE NOV."/>
    <x v="2"/>
  </r>
  <r>
    <n v="73"/>
    <d v="2019-04-10T00:00:00"/>
    <x v="10"/>
    <x v="10"/>
    <x v="1"/>
    <s v="SERVICIOS PERSONALES"/>
    <s v="ALIMENTACION DE EMPLEADOS CTA NUEVA"/>
    <s v="TRANSACCIONES DEL DIA 04/10/2019SPYRAL - GESTION ADMINISTRATIVA"/>
    <n v="8"/>
    <n v="0"/>
    <s v="LA CHORRERA - PARQUE 10 DE NOV."/>
    <x v="2"/>
  </r>
  <r>
    <n v="73"/>
    <d v="2019-04-12T00:00:00"/>
    <x v="10"/>
    <x v="10"/>
    <x v="1"/>
    <s v="SERVICIOS PERSONALES"/>
    <s v="ALIMENTACION DE EMPLEADOS CTA NUEVA"/>
    <s v="TRANSACCIONES DEL DIA 04/12/2019SPYRAL - GESTION ADMINISTRATIVA"/>
    <n v="8"/>
    <n v="0"/>
    <s v="LA CHORRERA - PARQUE 10 DE NOV."/>
    <x v="2"/>
  </r>
  <r>
    <n v="73"/>
    <d v="2019-04-15T00:00:00"/>
    <x v="10"/>
    <x v="10"/>
    <x v="1"/>
    <s v="SERVICIOS PERSONALES"/>
    <s v="ALIMENTACION DE EMPLEADOS CTA NUEVA"/>
    <s v="TRANSACCIONES DEL DIA 04/15/2019SPYRAL - GESTION ADMINISTRATIVA"/>
    <n v="8"/>
    <n v="0"/>
    <s v="LA CHORRERA - PARQUE 10 DE NOV."/>
    <x v="2"/>
  </r>
  <r>
    <n v="73"/>
    <d v="2019-04-16T00:00:00"/>
    <x v="10"/>
    <x v="10"/>
    <x v="1"/>
    <s v="SERVICIOS PERSONALES"/>
    <s v="ALIMENTACION DE EMPLEADOS CTA NUEVA"/>
    <s v="TRANSACCIONES DEL DIA 04/16/2019SPYRAL - GESTION ADMINISTRATIVA"/>
    <n v="16"/>
    <n v="0"/>
    <s v="LA CHORRERA - PARQUE 10 DE NOV."/>
    <x v="2"/>
  </r>
  <r>
    <n v="73"/>
    <d v="2019-04-17T00:00:00"/>
    <x v="10"/>
    <x v="10"/>
    <x v="1"/>
    <s v="SERVICIOS PERSONALES"/>
    <s v="ALIMENTACION DE EMPLEADOS CTA NUEVA"/>
    <s v="TRANSACCIONES DEL DIA 04/17/2019SPYRAL - GESTION ADMINISTRATIVA"/>
    <n v="8"/>
    <n v="0"/>
    <s v="LA CHORRERA - PARQUE 10 DE NOV."/>
    <x v="2"/>
  </r>
  <r>
    <n v="73"/>
    <d v="2019-04-24T00:00:00"/>
    <x v="10"/>
    <x v="10"/>
    <x v="1"/>
    <s v="SERVICIOS PERSONALES"/>
    <s v="ALIMENTACION DE EMPLEADOS CTA NUEVA"/>
    <s v="TRANSACCIONES DEL DIA 04/24/2019SPYRAL - GESTION ADMINISTRATIVA"/>
    <n v="16"/>
    <n v="0"/>
    <s v="LA CHORRERA - PARQUE 10 DE NOV."/>
    <x v="2"/>
  </r>
  <r>
    <n v="73"/>
    <d v="2019-04-25T00:00:00"/>
    <x v="10"/>
    <x v="10"/>
    <x v="1"/>
    <s v="SERVICIOS PERSONALES"/>
    <s v="ALIMENTACION DE EMPLEADOS CTA NUEVA"/>
    <s v="TRANSACCIONES DEL DIA 04/25/2019SPYRAL - GESTION ADMINISTRATIVA"/>
    <n v="32"/>
    <n v="0"/>
    <s v="LA CHORRERA - PARQUE 10 DE NOV."/>
    <x v="2"/>
  </r>
  <r>
    <n v="73"/>
    <d v="2019-04-29T00:00:00"/>
    <x v="10"/>
    <x v="10"/>
    <x v="1"/>
    <s v="SERVICIOS PERSONALES"/>
    <s v="ALIMENTACION DE EMPLEADOS CTA NUEVA"/>
    <s v="TRANSACCIONES DEL DIA 04/29/2019SPYRAL - GESTION ADMINISTRATIVA"/>
    <n v="8"/>
    <n v="0"/>
    <s v="LA CHORRERA - PARQUE 10 DE NOV."/>
    <x v="2"/>
  </r>
  <r>
    <n v="73"/>
    <d v="2019-05-04T00:00:00"/>
    <x v="11"/>
    <x v="11"/>
    <x v="1"/>
    <s v="SERVICIOS PERSONALES"/>
    <s v="ALIMENTACION DE EMPLEADOS CTA NUEVA"/>
    <s v="TRANSACCIONES DEL DIA 05/04/2019SPYRAL - GESTION ADMINISTRATIVA"/>
    <n v="16"/>
    <n v="0"/>
    <s v="LA CHORRERA - PARQUE 10 DE NOV."/>
    <x v="2"/>
  </r>
  <r>
    <n v="73"/>
    <d v="2019-05-07T00:00:00"/>
    <x v="11"/>
    <x v="11"/>
    <x v="1"/>
    <s v="SERVICIOS PERSONALES"/>
    <s v="ALIMENTACION DE EMPLEADOS CTA NUEVA"/>
    <s v="TRANSACCIONES DEL DIA 05/07/2019SPYRAL - GESTION ADMINISTRATIVA"/>
    <n v="8"/>
    <n v="0"/>
    <s v="LA CHORRERA - PARQUE 10 DE NOV."/>
    <x v="2"/>
  </r>
  <r>
    <n v="73"/>
    <d v="2019-05-13T00:00:00"/>
    <x v="11"/>
    <x v="11"/>
    <x v="1"/>
    <s v="SERVICIOS PERSONALES"/>
    <s v="ALIMENTACION DE EMPLEADOS CTA NUEVA"/>
    <s v="TRANSACCIONES DEL DIA 05/13/2019SPYRAL - GESTION ADMINISTRATIVA"/>
    <n v="24"/>
    <n v="0"/>
    <s v="LA CHORRERA - PARQUE 10 DE NOV."/>
    <x v="2"/>
  </r>
  <r>
    <n v="73"/>
    <d v="2019-05-16T00:00:00"/>
    <x v="11"/>
    <x v="11"/>
    <x v="1"/>
    <s v="SERVICIOS PERSONALES"/>
    <s v="ALIMENTACION DE EMPLEADOS CTA NUEVA"/>
    <s v="TRANSACCIONES DEL DIA 05/16/2019SPYRAL - GESTION ADMINISTRATIVA"/>
    <n v="8"/>
    <n v="0"/>
    <s v="LA CHORRERA - PARQUE 10 DE NOV."/>
    <x v="2"/>
  </r>
  <r>
    <n v="73"/>
    <d v="2019-05-21T00:00:00"/>
    <x v="11"/>
    <x v="11"/>
    <x v="1"/>
    <s v="SERVICIOS PERSONALES"/>
    <s v="ALIMENTACION DE EMPLEADOS CTA NUEVA"/>
    <s v="TRANSACCIONES DEL DIA 05/21/2019SPYRAL - GESTION ADMINISTRATIVA"/>
    <n v="8"/>
    <n v="0"/>
    <s v="LA CHORRERA - PARQUE 10 DE NOV."/>
    <x v="2"/>
  </r>
  <r>
    <n v="73"/>
    <d v="2019-05-23T00:00:00"/>
    <x v="11"/>
    <x v="11"/>
    <x v="1"/>
    <s v="SERVICIOS PERSONALES"/>
    <s v="ALIMENTACION DE EMPLEADOS CTA NUEVA"/>
    <s v="TRANSACCIONES DEL DIA 05/23/2019SPYRAL - GESTION ADMINISTRATIVA"/>
    <n v="56"/>
    <n v="0"/>
    <s v="LA CHORRERA - PARQUE 10 DE NOV."/>
    <x v="2"/>
  </r>
  <r>
    <n v="73"/>
    <d v="2019-05-25T00:00:00"/>
    <x v="11"/>
    <x v="11"/>
    <x v="1"/>
    <s v="SERVICIOS PERSONALES"/>
    <s v="ALIMENTACION DE EMPLEADOS CTA NUEVA"/>
    <s v="TRANSACCIONES DEL DIA 05/25/2019SPYRAL - GESTION ADMINISTRATIVA"/>
    <n v="8"/>
    <n v="0"/>
    <s v="LA CHORRERA - PARQUE 10 DE NOV."/>
    <x v="2"/>
  </r>
  <r>
    <n v="73"/>
    <d v="2019-06-08T00:00:00"/>
    <x v="2"/>
    <x v="2"/>
    <x v="1"/>
    <s v="SERVICIOS PERSONALES"/>
    <s v="NC ALIMENTACION DE EMPLEADOS NVA"/>
    <s v="TRANSACCIONES DEL DIA 06/08/2019SPYRAL - GESTION ADMINISTRATIVA"/>
    <n v="8"/>
    <n v="0"/>
    <s v="LA CHORRERA - PARQUE 10 DE NOV."/>
    <x v="2"/>
  </r>
  <r>
    <n v="73"/>
    <d v="2019-06-10T00:00:00"/>
    <x v="2"/>
    <x v="2"/>
    <x v="1"/>
    <s v="SERVICIOS PERSONALES"/>
    <s v="ALIMENTACION DE EMPLEADOS CTA NUEVA"/>
    <s v="TRANSACCIONES DEL DIA 06/10/2019SPYRAL - GESTION ADMINISTRATIVA"/>
    <n v="8"/>
    <n v="0"/>
    <s v="LA CHORRERA - PARQUE 10 DE NOV."/>
    <x v="2"/>
  </r>
  <r>
    <n v="73"/>
    <d v="2019-06-14T00:00:00"/>
    <x v="2"/>
    <x v="2"/>
    <x v="1"/>
    <s v="SERVICIOS PERSONALES"/>
    <s v="ALIMENTACION DE EMPLEADOS CTA NUEVA"/>
    <s v="TRANSACCIONES DEL DIA 06/14/2019SPYRAL - GESTION ADMINISTRATIVA"/>
    <n v="32"/>
    <n v="0"/>
    <s v="LA CHORRERA - PARQUE 10 DE NOV."/>
    <x v="2"/>
  </r>
  <r>
    <n v="73"/>
    <d v="2019-06-24T00:00:00"/>
    <x v="2"/>
    <x v="2"/>
    <x v="1"/>
    <s v="SERVICIOS PERSONALES"/>
    <s v="ALIMENTACION DE EMPLEADOS CTA NUEVA"/>
    <s v="TRANSACCIONES DEL DIA 06/24/2019SPYRAL - GESTION ADMINISTRATIVA"/>
    <n v="24"/>
    <n v="0"/>
    <s v="LA CHORRERA - PARQUE 10 DE NOV."/>
    <x v="2"/>
  </r>
  <r>
    <n v="73"/>
    <d v="2019-07-02T00:00:00"/>
    <x v="6"/>
    <x v="6"/>
    <x v="1"/>
    <s v="SERVICIOS PERSONALES"/>
    <s v="ALIMENTACION DE EMPLEADOS CTA NUEVA"/>
    <s v="TRANSACCIONES DEL DIA 07/02/2019SPYRAL - GESTION ADMINISTRATIVA"/>
    <n v="64"/>
    <n v="0"/>
    <s v="LA CHORRERA - PARQUE 10 DE NOV."/>
    <x v="2"/>
  </r>
  <r>
    <n v="73"/>
    <d v="2019-07-03T00:00:00"/>
    <x v="6"/>
    <x v="6"/>
    <x v="1"/>
    <s v="SERVICIOS PERSONALES"/>
    <s v="ALIMENTACION DE EMPLEADOS CTA NUEVA"/>
    <s v="TRANSACCIONES DEL DIA 07/03/2019SPYRAL - GESTION ADMINISTRATIVA"/>
    <n v="8"/>
    <n v="0"/>
    <s v="LA CHORRERA - PARQUE 10 DE NOV."/>
    <x v="2"/>
  </r>
  <r>
    <n v="73"/>
    <d v="2019-07-08T00:00:00"/>
    <x v="6"/>
    <x v="6"/>
    <x v="1"/>
    <s v="SERVICIOS PERSONALES"/>
    <s v="ALIMENTACION DE EMPLEADOS CTA NUEVA"/>
    <s v="TRANSACCIONES DEL DIA 07/08/2019SPYRAL - GESTION ADMINISTRATIVA"/>
    <n v="8"/>
    <n v="0"/>
    <s v="LA CHORRERA - PARQUE 10 DE NOV."/>
    <x v="2"/>
  </r>
  <r>
    <n v="73"/>
    <d v="2019-07-10T00:00:00"/>
    <x v="6"/>
    <x v="6"/>
    <x v="1"/>
    <s v="SERVICIOS PERSONALES"/>
    <s v="ALIMENTACION DE EMPLEADOS CTA NUEVA"/>
    <s v="TRANSACCIONES DEL DIA 07/10/2019SPYRAL - GESTION ADMINISTRATIVA"/>
    <n v="8"/>
    <n v="0"/>
    <s v="LA CHORRERA - PARQUE 10 DE NOV."/>
    <x v="2"/>
  </r>
  <r>
    <n v="73"/>
    <d v="2019-07-11T00:00:00"/>
    <x v="6"/>
    <x v="6"/>
    <x v="1"/>
    <s v="SERVICIOS PERSONALES"/>
    <s v="ALIMENTACION DE EMPLEADOS CTA NUEVA"/>
    <s v="TRANSACCIONES DEL DIA 07/11/2019SPYRAL - GESTION ADMINISTRATIVA"/>
    <n v="8"/>
    <n v="0"/>
    <s v="LA CHORRERA - PARQUE 10 DE NOV."/>
    <x v="2"/>
  </r>
  <r>
    <n v="73"/>
    <d v="2019-07-12T00:00:00"/>
    <x v="6"/>
    <x v="6"/>
    <x v="1"/>
    <s v="SERVICIOS PERSONALES"/>
    <s v="ALIMENTACION DE EMPLEADOS CTA NUEVA"/>
    <s v="TRANSACCIONES DEL DIA 07/12/2019SPYRAL - GESTION ADMINISTRATIVA"/>
    <n v="16"/>
    <n v="0"/>
    <s v="LA CHORRERA - PARQUE 10 DE NOV."/>
    <x v="2"/>
  </r>
  <r>
    <n v="73"/>
    <d v="2019-07-13T00:00:00"/>
    <x v="6"/>
    <x v="6"/>
    <x v="1"/>
    <s v="SERVICIOS PERSONALES"/>
    <s v="ALIMENTACION DE EMPLEADOS CTA NUEVA"/>
    <s v="TRANSACCIONES DEL DIA 07/13/2019SPYRAL - GESTION ADMINISTRATIVA"/>
    <n v="16"/>
    <n v="0"/>
    <s v="LA CHORRERA - PARQUE 10 DE NOV."/>
    <x v="2"/>
  </r>
  <r>
    <n v="73"/>
    <d v="2019-07-26T00:00:00"/>
    <x v="6"/>
    <x v="6"/>
    <x v="1"/>
    <s v="SERVICIOS PERSONALES"/>
    <s v="ALIMENTACION DE EMPLEADOS CTA NUEVA"/>
    <s v="TRANSACCIONES DEL DIA 07/26/2019SPYRAL - GESTION ADMINISTRATIVA"/>
    <n v="24"/>
    <n v="0"/>
    <s v="LA CHORRERA - PARQUE 10 DE NOV."/>
    <x v="2"/>
  </r>
  <r>
    <n v="73"/>
    <d v="2019-07-27T00:00:00"/>
    <x v="6"/>
    <x v="6"/>
    <x v="1"/>
    <s v="SERVICIOS PERSONALES"/>
    <s v="ALIMENTACION DE EMPLEADOS CTA NUEVA"/>
    <s v="TRANSACCIONES DEL DIA 07/27/2019SPYRAL - GESTION ADMINISTRATIVA"/>
    <n v="8"/>
    <n v="0"/>
    <s v="LA CHORRERA - PARQUE 10 DE NOV."/>
    <x v="2"/>
  </r>
  <r>
    <n v="74"/>
    <d v="2019-04-05T00:00:00"/>
    <x v="10"/>
    <x v="10"/>
    <x v="1"/>
    <s v="ADMINISTRACION DE SUCURSALES"/>
    <s v="NC ALIMENTACION DE EMPLEADOS NVA"/>
    <s v="TRANSACCIONES DEL DIA 04/05/2019SPYRAL - GESTION ADMINISTRATIVA"/>
    <n v="25.98"/>
    <n v="0"/>
    <s v="COSTA DEL ESTE - CENTENARIO"/>
    <x v="2"/>
  </r>
  <r>
    <n v="76"/>
    <d v="2019-02-19T00:00:00"/>
    <x v="8"/>
    <x v="8"/>
    <x v="1"/>
    <s v="ADMINISTRACION DE SUCURSALES"/>
    <s v="NC ALIMENTACION DE EMPLEADOS NVA"/>
    <s v="TRANSACCIONES DEL DIA 02/19/2019SPYRAL - GESTION ADMINISTRATIVA"/>
    <n v="14.35"/>
    <n v="0"/>
    <s v="CLAYTON"/>
    <x v="2"/>
  </r>
  <r>
    <n v="76"/>
    <d v="2019-04-11T00:00:00"/>
    <x v="10"/>
    <x v="10"/>
    <x v="1"/>
    <s v="ADMINISTRACION DE SUCURSALES"/>
    <s v="NC ALIMENTACION DE EMPLEADOS NVA"/>
    <s v="TRANSACCIONES DEL DIA 04/11/2019SPYRAL - GESTION ADMINISTRATIVA"/>
    <n v="14.03"/>
    <n v="0"/>
    <s v="CLAYTON"/>
    <x v="2"/>
  </r>
  <r>
    <n v="76"/>
    <d v="2019-05-24T00:00:00"/>
    <x v="11"/>
    <x v="11"/>
    <x v="1"/>
    <s v="ADMINISTRACION DE SUCURSALES"/>
    <s v="NC ALIMENTACION DE EMPLEADOS NVA"/>
    <s v="TRANSACCIONES DEL DIA 05/24/2019SPYRAL - GESTION ADMINISTRATIVA"/>
    <n v="23.99"/>
    <n v="0"/>
    <s v="CLAYTON"/>
    <x v="2"/>
  </r>
  <r>
    <n v="76"/>
    <d v="2019-02-25T00:00:00"/>
    <x v="8"/>
    <x v="8"/>
    <x v="1"/>
    <s v="CAJA"/>
    <s v="ALIMENTACION DE EMPLEADOS CTA NUEVA"/>
    <s v="TRANSACCIONES DEL DIA 02/25/2019SPYRAL - GESTION ADMINISTRATIVA"/>
    <n v="8"/>
    <n v="0"/>
    <s v="CLAYTON"/>
    <x v="2"/>
  </r>
  <r>
    <n v="76"/>
    <d v="2019-06-21T00:00:00"/>
    <x v="2"/>
    <x v="2"/>
    <x v="1"/>
    <s v="CAJA"/>
    <s v="ALIMENTACION DE EMPLEADOS CTA NUEVA"/>
    <s v="TRANSACCIONES DEL DIA 06/21/2019SPYRAL - GESTION ADMINISTRATIVA"/>
    <n v="8"/>
    <n v="0"/>
    <s v="CLAYTON"/>
    <x v="2"/>
  </r>
  <r>
    <n v="77"/>
    <d v="2019-03-15T00:00:00"/>
    <x v="9"/>
    <x v="9"/>
    <x v="1"/>
    <s v="ADMINISTRACION DE SUCURSALES"/>
    <s v="NC ALIMENTACION DE EMPLEADOS NVA"/>
    <s v="TRANSACCIONES DEL DIA 03/15/2019SPYRAL - GESTION ADMINISTRATIVA"/>
    <n v="4.8"/>
    <n v="0"/>
    <s v="MARBELLA"/>
    <x v="2"/>
  </r>
  <r>
    <n v="77"/>
    <d v="2019-05-24T00:00:00"/>
    <x v="11"/>
    <x v="11"/>
    <x v="1"/>
    <s v="ADMINISTRACION DE SUCURSALES"/>
    <s v="NC ALIMENTACION DE EMPLEADOS NVA"/>
    <s v="TRANSACCIONES DEL DIA 05/24/2019SPYRAL - GESTION ADMINISTRATIVA"/>
    <n v="23.95"/>
    <n v="0"/>
    <s v="MARBELLA"/>
    <x v="2"/>
  </r>
  <r>
    <n v="77"/>
    <d v="2019-07-26T00:00:00"/>
    <x v="6"/>
    <x v="6"/>
    <x v="1"/>
    <s v="ADMINISTRACION DE SUCURSALES"/>
    <s v="NC ALIMENTACION DE EMPLEADOS NVA"/>
    <s v="TRANSACCIONES DEL DIA 07/26/2019SPYRAL - GESTION ADMINISTRATIVA"/>
    <n v="26.2"/>
    <n v="0"/>
    <s v="MARBELLA"/>
    <x v="2"/>
  </r>
  <r>
    <n v="78"/>
    <d v="2019-07-05T00:00:00"/>
    <x v="6"/>
    <x v="6"/>
    <x v="1"/>
    <s v="ADMINISTRACION DE SUCURSALES"/>
    <s v="NC ALIMENTACION DE EMPLEADOS NVA"/>
    <s v="TRANSACCIONES DEL DIA 07/05/2019SPYRAL - GESTION ADMINISTRATIVA"/>
    <n v="46.2"/>
    <n v="0"/>
    <s v="PLAZA CAROLINA"/>
    <x v="2"/>
  </r>
  <r>
    <n v="79"/>
    <d v="2019-04-03T00:00:00"/>
    <x v="10"/>
    <x v="10"/>
    <x v="1"/>
    <s v="ADMINISTRACION DE SUCURSALES"/>
    <s v="NC ALIMENTACION DE EMPLEADOS NVA"/>
    <s v="TRANSACCIONES DEL DIA 04/03/2019SPYRAL - GESTION ADMINISTRATIVA"/>
    <n v="12.55"/>
    <n v="0"/>
    <s v="PLAZA CORDOBA"/>
    <x v="2"/>
  </r>
  <r>
    <n v="80"/>
    <d v="2019-01-04T00:00:00"/>
    <x v="7"/>
    <x v="7"/>
    <x v="1"/>
    <s v="CAJA"/>
    <s v="ALIMENTACION DE EMPLEADOS CTA NUEVA"/>
    <s v="TRANSACCIONES DEL DIA 01/04/2019SPYRAL - GESTION ADMINISTRATIVA"/>
    <n v="16"/>
    <n v="0"/>
    <s v="VIA SIMON BOLIVAR"/>
    <x v="2"/>
  </r>
  <r>
    <n v="80"/>
    <d v="2019-01-08T00:00:00"/>
    <x v="7"/>
    <x v="7"/>
    <x v="1"/>
    <s v="CAJA"/>
    <s v="ALIMENTACION DE EMPLEADOS CTA NUEVA"/>
    <s v="TRANSACCIONES DEL DIA 01/08/2019SPYRAL - GESTION ADMINISTRATIVA"/>
    <n v="8"/>
    <n v="0"/>
    <s v="VIA SIMON BOLIVAR"/>
    <x v="2"/>
  </r>
  <r>
    <n v="80"/>
    <d v="2019-01-18T00:00:00"/>
    <x v="7"/>
    <x v="7"/>
    <x v="1"/>
    <s v="CAJA"/>
    <s v="ALIMENTACION DE EMPLEADOS CTA NUEVA"/>
    <s v="TRANSACCIONES DEL DIA 01/18/2019SPYRAL - GESTION ADMINISTRATIVA"/>
    <n v="16"/>
    <n v="0"/>
    <s v="VIA SIMON BOLIVAR"/>
    <x v="2"/>
  </r>
  <r>
    <n v="80"/>
    <d v="2019-02-07T00:00:00"/>
    <x v="8"/>
    <x v="8"/>
    <x v="1"/>
    <s v="CAJA"/>
    <s v="ALIMENTACION DE EMPLEADOS CTA NUEVA"/>
    <s v="TRANSACCIONES DEL DIA 02/07/2019SPYRAL - GESTION ADMINISTRATIVA"/>
    <n v="16"/>
    <n v="0"/>
    <s v="VIA SIMON BOLIVAR"/>
    <x v="2"/>
  </r>
  <r>
    <n v="80"/>
    <d v="2019-02-25T00:00:00"/>
    <x v="8"/>
    <x v="8"/>
    <x v="1"/>
    <s v="CAJA"/>
    <s v="ALIMENTACION DE EMPLEADOS CTA NUEVA"/>
    <s v="TRANSACCIONES DEL DIA 02/25/2019SPYRAL - GESTION ADMINISTRATIVA"/>
    <n v="16"/>
    <n v="0"/>
    <s v="VIA SIMON BOLIVAR"/>
    <x v="2"/>
  </r>
  <r>
    <n v="80"/>
    <d v="2019-03-06T00:00:00"/>
    <x v="9"/>
    <x v="9"/>
    <x v="1"/>
    <s v="CAJA"/>
    <s v="ALIMENTACION DE EMPLEADOS CTA NUEVA"/>
    <s v="TRANSACCIONES DEL DIA 03/06/2019SPYRAL - GESTION ADMINISTRATIVA"/>
    <n v="8"/>
    <n v="0"/>
    <s v="VIA SIMON BOLIVAR"/>
    <x v="2"/>
  </r>
  <r>
    <n v="80"/>
    <d v="2019-03-12T00:00:00"/>
    <x v="9"/>
    <x v="9"/>
    <x v="1"/>
    <s v="CAJA"/>
    <s v="ALIMENTACION DE EMPLEADOS CTA NUEVA"/>
    <s v="TRANSACCIONES DEL DIA 03/12/2019SPYRAL - GESTION ADMINISTRATIVA"/>
    <n v="16"/>
    <n v="0"/>
    <s v="VIA SIMON BOLIVAR"/>
    <x v="2"/>
  </r>
  <r>
    <n v="80"/>
    <d v="2019-03-25T00:00:00"/>
    <x v="9"/>
    <x v="9"/>
    <x v="1"/>
    <s v="CAJA"/>
    <s v="ALIMENTACION DE EMPLEADOS CTA NUEVA"/>
    <s v="TRANSACCIONES DEL DIA 03/25/2019SPYRAL - GESTION ADMINISTRATIVA"/>
    <n v="24"/>
    <n v="0"/>
    <s v="VIA SIMON BOLIVAR"/>
    <x v="2"/>
  </r>
  <r>
    <n v="80"/>
    <d v="2019-04-06T00:00:00"/>
    <x v="10"/>
    <x v="10"/>
    <x v="1"/>
    <s v="CAJA"/>
    <s v="ALIMENTACION DE EMPLEADOS CTA NUEVA"/>
    <s v="TRANSACCIONES DEL DIA 04/06/2019SPYRAL - GESTION ADMINISTRATIVA"/>
    <n v="16"/>
    <n v="0"/>
    <s v="VIA SIMON BOLIVAR"/>
    <x v="2"/>
  </r>
  <r>
    <n v="80"/>
    <d v="2019-04-22T00:00:00"/>
    <x v="10"/>
    <x v="10"/>
    <x v="1"/>
    <s v="CAJA"/>
    <s v="ALIMENTACION DE EMPLEADOS CTA NUEVA"/>
    <s v="TRANSACCIONES DEL DIA 04/22/2019SPYRAL - GESTION ADMINISTRATIVA"/>
    <n v="24"/>
    <n v="0"/>
    <s v="VIA SIMON BOLIVAR"/>
    <x v="2"/>
  </r>
  <r>
    <n v="80"/>
    <d v="2019-05-02T00:00:00"/>
    <x v="11"/>
    <x v="11"/>
    <x v="1"/>
    <s v="CAJA"/>
    <s v="ALIMENTACION DE EMPLEADOS CTA NUEVA"/>
    <s v="TRANSACCIONES DEL DIA 05/02/2019SPYRAL - GESTION ADMINISTRATIVA"/>
    <n v="16"/>
    <n v="0"/>
    <s v="VIA SIMON BOLIVAR"/>
    <x v="2"/>
  </r>
  <r>
    <n v="80"/>
    <d v="2019-05-07T00:00:00"/>
    <x v="11"/>
    <x v="11"/>
    <x v="1"/>
    <s v="CAJA"/>
    <s v="ALIMENTACION DE EMPLEADOS CTA NUEVA"/>
    <s v="TRANSACCIONES DEL DIA 05/07/2019SPYRAL - GESTION ADMINISTRATIVA"/>
    <n v="24"/>
    <n v="0"/>
    <s v="VIA SIMON BOLIVAR"/>
    <x v="2"/>
  </r>
  <r>
    <n v="80"/>
    <d v="2019-05-21T00:00:00"/>
    <x v="11"/>
    <x v="11"/>
    <x v="1"/>
    <s v="CAJA"/>
    <s v="ALIMENTACION DE EMPLEADOS CTA NUEVA"/>
    <s v="TRANSACCIONES DEL DIA 05/21/2019SPYRAL - GESTION ADMINISTRATIVA"/>
    <n v="8"/>
    <n v="0"/>
    <s v="VIA SIMON BOLIVAR"/>
    <x v="2"/>
  </r>
  <r>
    <n v="80"/>
    <d v="2019-05-30T00:00:00"/>
    <x v="11"/>
    <x v="11"/>
    <x v="1"/>
    <s v="CAJA"/>
    <s v="ALIMENTACION DE EMPLEADOS CTA NUEVA"/>
    <s v="TRANSACCIONES DEL DIA 05/30/2019SPYRAL - GESTION ADMINISTRATIVA"/>
    <n v="8"/>
    <n v="0"/>
    <s v="VIA SIMON BOLIVAR"/>
    <x v="2"/>
  </r>
  <r>
    <n v="80"/>
    <d v="2019-06-19T00:00:00"/>
    <x v="2"/>
    <x v="2"/>
    <x v="1"/>
    <s v="CAJA"/>
    <s v="ALIMENTACION DE EMPLEADOS CTA NUEVA"/>
    <s v="TRANSACCIONES DEL DIA 06/19/2019SPYRAL - GESTION ADMINISTRATIVA"/>
    <n v="8"/>
    <n v="0"/>
    <s v="VIA SIMON BOLIVAR"/>
    <x v="2"/>
  </r>
  <r>
    <n v="80"/>
    <d v="2019-06-21T00:00:00"/>
    <x v="2"/>
    <x v="2"/>
    <x v="1"/>
    <s v="CAJA"/>
    <s v="ALIMENTACION DE EMPLEADOS CTA NUEVA"/>
    <s v="TRANSACCIONES DEL DIA 06/21/2019SPYRAL - GESTION ADMINISTRATIVA"/>
    <n v="16"/>
    <n v="0"/>
    <s v="VIA SIMON BOLIVAR"/>
    <x v="2"/>
  </r>
  <r>
    <n v="80"/>
    <d v="2019-07-18T00:00:00"/>
    <x v="6"/>
    <x v="6"/>
    <x v="1"/>
    <s v="CAJA"/>
    <s v="ALIMENTACION DE EMPLEADOS CTA NUEVA"/>
    <s v="TRANSACCIONES DEL DIA 07/18/2019SPYRAL - GESTION ADMINISTRATIVA"/>
    <n v="24"/>
    <n v="0"/>
    <s v="VIA SIMON BOLIVAR"/>
    <x v="2"/>
  </r>
  <r>
    <n v="80"/>
    <d v="2019-07-22T00:00:00"/>
    <x v="6"/>
    <x v="6"/>
    <x v="1"/>
    <s v="CAJA"/>
    <s v="ALIMENTACION DE EMPLEADOS CTA NUEVA"/>
    <s v="TRANSACCIONES DEL DIA 07/22/2019SPYRAL - GESTION ADMINISTRATIVA"/>
    <n v="16"/>
    <n v="0"/>
    <s v="VIA SIMON BOLIVAR"/>
    <x v="2"/>
  </r>
  <r>
    <n v="80"/>
    <d v="2019-07-25T00:00:00"/>
    <x v="6"/>
    <x v="6"/>
    <x v="1"/>
    <s v="CAJA"/>
    <s v="ALIMENTACION DE EMPLEADOS CTA NUEVA"/>
    <s v="TRANSACCIONES DEL DIA 07/25/2019SPYRAL - GESTION ADMINISTRATIVA"/>
    <n v="8"/>
    <n v="0"/>
    <s v="VIA SIMON BOLIVAR"/>
    <x v="2"/>
  </r>
  <r>
    <n v="80"/>
    <d v="2019-07-29T00:00:00"/>
    <x v="6"/>
    <x v="6"/>
    <x v="1"/>
    <s v="CAJA"/>
    <s v="ALIMENTACION DE EMPLEADOS CTA NUEVA"/>
    <s v="TRANSACCIONES DEL DIA 07/29/2019SPYRAL - GESTION ADMINISTRATIVA"/>
    <n v="8"/>
    <n v="0"/>
    <s v="VIA SIMON BOLIVAR"/>
    <x v="2"/>
  </r>
  <r>
    <n v="80"/>
    <d v="2019-07-30T00:00:00"/>
    <x v="6"/>
    <x v="6"/>
    <x v="1"/>
    <s v="CAJA"/>
    <s v="ALIMENTACION DE EMPLEADOS CTA NUEVA"/>
    <s v="TRANSACCIONES DEL DIA 07/30/2019SPYRAL - GESTION ADMINISTRATIVA"/>
    <n v="24"/>
    <n v="0"/>
    <s v="VIA SIMON BOLIVAR"/>
    <x v="2"/>
  </r>
  <r>
    <n v="91"/>
    <d v="2019-01-11T00:00:00"/>
    <x v="7"/>
    <x v="7"/>
    <x v="1"/>
    <s v="BANCA CORPORATIVA"/>
    <s v="ALIMENTACION DE EMPLEADOS CTA NUEVA"/>
    <s v="TRANSACCIONES DEL DIA 01/11/2019SPYRAL - GESTION ADMINISTRATIVA"/>
    <n v="86.16"/>
    <n v="0"/>
    <s v="NEGOCIOS"/>
    <x v="2"/>
  </r>
  <r>
    <n v="91"/>
    <d v="2019-01-14T00:00:00"/>
    <x v="7"/>
    <x v="7"/>
    <x v="1"/>
    <s v="BANCA CORPORATIVA"/>
    <s v="NC ALIMENTACION DE EMPLEADOS NVA"/>
    <s v="TRANSACCIONES DEL DIA 01/14/2019SPYRAL - GESTION ADMINISTRATIVA"/>
    <n v="89.6"/>
    <n v="0"/>
    <s v="NEGOCIOS"/>
    <x v="2"/>
  </r>
  <r>
    <n v="91"/>
    <d v="2019-01-30T00:00:00"/>
    <x v="7"/>
    <x v="7"/>
    <x v="1"/>
    <s v="BANCA CORPORATIVA"/>
    <s v="NC ALIMENTACION DE EMPLEADOS NVA"/>
    <s v="TRANSACCIONES DEL DIA 01/30/2019SPYRAL - GESTION ADMINISTRATIVA"/>
    <n v="31.5"/>
    <n v="0"/>
    <s v="NEGOCIOS"/>
    <x v="2"/>
  </r>
  <r>
    <n v="91"/>
    <d v="2019-02-01T00:00:00"/>
    <x v="8"/>
    <x v="8"/>
    <x v="1"/>
    <s v="BANCA CORPORATIVA"/>
    <s v="NC ALIMENTACION DE EMPLEADOS NVA"/>
    <s v="TRANSACCIONES DEL DIA 02/01/2019SPYRAL - GESTION ADMINISTRATIVA"/>
    <n v="39"/>
    <n v="0"/>
    <s v="NEGOCIOS"/>
    <x v="2"/>
  </r>
  <r>
    <n v="91"/>
    <d v="2019-02-05T00:00:00"/>
    <x v="8"/>
    <x v="8"/>
    <x v="1"/>
    <s v="BANCA CORPORATIVA"/>
    <s v="NC ALIMENTACION DE EMPLEADOS NVA"/>
    <s v="TRANSACCIONES DEL DIA 02/05/2019SPYRAL - GESTION ADMINISTRATIVA"/>
    <n v="27.75"/>
    <n v="0"/>
    <s v="NEGOCIOS"/>
    <x v="2"/>
  </r>
  <r>
    <n v="91"/>
    <d v="2019-02-08T00:00:00"/>
    <x v="8"/>
    <x v="8"/>
    <x v="1"/>
    <s v="BANCA CORPORATIVA"/>
    <s v="NC ALIMENTACION DE EMPLEADOS NVA"/>
    <s v="TRANSACCIONES DEL DIA 02/08/2019SPYRAL - GESTION ADMINISTRATIVA"/>
    <n v="158.94999999999999"/>
    <n v="0"/>
    <s v="NEGOCIOS"/>
    <x v="2"/>
  </r>
  <r>
    <n v="91"/>
    <d v="2019-04-03T00:00:00"/>
    <x v="10"/>
    <x v="10"/>
    <x v="1"/>
    <s v="BANCA CORPORATIVA"/>
    <s v="NC ALIMENTACION DE EMPLEADOS NVA"/>
    <s v="TRANSACCIONES DEL DIA 04/03/2019SPYRAL - GESTION ADMINISTRATIVA"/>
    <n v="20.75"/>
    <n v="0"/>
    <s v="NEGOCIOS"/>
    <x v="2"/>
  </r>
  <r>
    <n v="91"/>
    <d v="2019-05-17T00:00:00"/>
    <x v="11"/>
    <x v="11"/>
    <x v="1"/>
    <s v="BANCA CORPORATIVA"/>
    <s v="ALIMENTACION DE EMPLEADOS CTA NUEVA"/>
    <s v="TRANSACCIONES DEL DIA 05/17/2019SPYRAL - GESTION ADMINISTRATIVA"/>
    <n v="74.099999999999994"/>
    <n v="0"/>
    <s v="NEGOCIOS"/>
    <x v="2"/>
  </r>
  <r>
    <n v="91"/>
    <d v="2019-05-24T00:00:00"/>
    <x v="11"/>
    <x v="11"/>
    <x v="1"/>
    <s v="BANCA CORPORATIVA"/>
    <s v="NC ALIMENTACION DE EMPLEADOS NVA"/>
    <s v="TRANSACCIONES DEL DIA 05/24/2019SPYRAL - GESTION ADMINISTRATIVA"/>
    <n v="31.5"/>
    <n v="0"/>
    <s v="NEGOCIOS"/>
    <x v="2"/>
  </r>
  <r>
    <n v="91"/>
    <d v="2019-07-05T00:00:00"/>
    <x v="6"/>
    <x v="6"/>
    <x v="1"/>
    <s v="BANCA CORPORATIVA"/>
    <s v="NC ALIMENTACION DE EMPLEADOS NVA"/>
    <s v="TRANSACCIONES DEL DIA 07/05/2019SPYRAL - GESTION ADMINISTRATIVA"/>
    <n v="46.25"/>
    <n v="0"/>
    <s v="NEGOCIOS"/>
    <x v="2"/>
  </r>
  <r>
    <n v="91"/>
    <d v="2019-07-09T00:00:00"/>
    <x v="6"/>
    <x v="6"/>
    <x v="1"/>
    <s v="BANCA CORPORATIVA"/>
    <s v="ALIMENTACION DE EMPLEADOS CTA NUEVA"/>
    <s v="TRANSACCIONES DEL DIA 07/09/2019SPYRAL - GESTION ADMINISTRATIVA"/>
    <n v="7.44"/>
    <n v="0"/>
    <s v="NEGOCIOS"/>
    <x v="2"/>
  </r>
  <r>
    <n v="91"/>
    <d v="2019-07-12T00:00:00"/>
    <x v="6"/>
    <x v="6"/>
    <x v="1"/>
    <s v="BANCA CORPORATIVA"/>
    <s v="NC ALIMENTACION DE EMPLEADOS NVA"/>
    <s v="TRANSACCIONES DEL DIA 07/12/2019SPYRAL - GESTION ADMINISTRATIVA"/>
    <n v="27.57"/>
    <n v="0"/>
    <s v="NEGOCIOS"/>
    <x v="2"/>
  </r>
  <r>
    <n v="91"/>
    <d v="2019-07-23T00:00:00"/>
    <x v="6"/>
    <x v="6"/>
    <x v="1"/>
    <s v="BANCA CORPORATIVA"/>
    <s v="NC ALIMENTACION DE EMPLEADOS NVA"/>
    <s v="TRANSACCIONES DEL DIA 07/23/2019SPYRAL - GESTION ADMINISTRATIVA"/>
    <n v="15.75"/>
    <n v="0"/>
    <s v="NEGOCIOS"/>
    <x v="2"/>
  </r>
  <r>
    <n v="91"/>
    <d v="2019-01-21T00:00:00"/>
    <x v="7"/>
    <x v="7"/>
    <x v="1"/>
    <s v="INTERINOS"/>
    <s v="ALIMENTACION DE EMPLEADOS CTA NUEVA"/>
    <s v="TRANSACCIONES DEL DIA 01/21/2019SPYRAL - GESTION ADMINISTRATIVA"/>
    <n v="98.88"/>
    <n v="0"/>
    <s v="NEGOCIOS"/>
    <x v="2"/>
  </r>
  <r>
    <n v="91"/>
    <d v="2019-02-08T00:00:00"/>
    <x v="8"/>
    <x v="8"/>
    <x v="1"/>
    <s v="INTERINOS"/>
    <s v="NC ALIMENTACION DE EMPLEADOS NVA"/>
    <s v="TRANSACCIONES DEL DIA 02/08/2019SPYRAL - GESTION ADMINISTRATIVA"/>
    <n v="45.13"/>
    <n v="0"/>
    <s v="NEGOCIOS"/>
    <x v="2"/>
  </r>
  <r>
    <n v="91"/>
    <d v="2019-04-01T00:00:00"/>
    <x v="10"/>
    <x v="10"/>
    <x v="1"/>
    <s v="INTERINOS"/>
    <s v="ALIMENTACION DE EMPLEADOS CTA NUEVA"/>
    <s v="TRANSACCIONES DEL DIA 04/01/2019SPYRAL - GESTION ADMINISTRATIVA"/>
    <n v="60.19"/>
    <n v="0"/>
    <s v="NEGOCIOS"/>
    <x v="2"/>
  </r>
  <r>
    <n v="91"/>
    <d v="2019-04-11T00:00:00"/>
    <x v="10"/>
    <x v="10"/>
    <x v="1"/>
    <s v="INTERINOS"/>
    <s v="ALIMENTACION DE EMPLEADOS CTA NUEVA"/>
    <s v="TRANSACCIONES DEL DIA 04/11/2019SPYRAL - GESTION ADMINISTRATIVA"/>
    <n v="32.96"/>
    <n v="0"/>
    <s v="NEGOCIOS"/>
    <x v="2"/>
  </r>
  <r>
    <n v="91"/>
    <d v="2019-05-18T00:00:00"/>
    <x v="11"/>
    <x v="11"/>
    <x v="1"/>
    <s v="INTERINOS"/>
    <s v="ALIMENTACION DE EMPLEADOS CTA NUEVA"/>
    <s v="TRANSACCIONES DEL DIA 05/18/2019SPYRAL - GESTION ADMINISTRATIVA"/>
    <n v="12.5"/>
    <n v="0"/>
    <s v="NEGOCIOS"/>
    <x v="2"/>
  </r>
  <r>
    <n v="91"/>
    <d v="2019-07-11T00:00:00"/>
    <x v="6"/>
    <x v="6"/>
    <x v="1"/>
    <s v="INTERINOS"/>
    <s v="NC ALIMENTACION DE EMPLEADOS NVA"/>
    <s v="TRANSACCIONES DEL DIA 07/11/2019SPYRAL - GESTION ADMINISTRATIVA"/>
    <n v="0"/>
    <n v="93.15"/>
    <s v="NEGOCIOS"/>
    <x v="2"/>
  </r>
  <r>
    <n v="91"/>
    <d v="2019-07-26T00:00:00"/>
    <x v="6"/>
    <x v="6"/>
    <x v="1"/>
    <s v="INTERINOS"/>
    <s v="ALIMENTACION DE EMPLEADOS CTA NUEVA"/>
    <s v="TRANSACCIONES DEL DIA 07/26/2019SPYRAL - GESTION ADMINISTRATIVA"/>
    <n v="18.190000000000001"/>
    <n v="0"/>
    <s v="NEGOCIOS"/>
    <x v="2"/>
  </r>
  <r>
    <n v="91"/>
    <d v="2019-07-12T00:00:00"/>
    <x v="6"/>
    <x v="6"/>
    <x v="1"/>
    <s v="CUENTAS CORPORATIVAS"/>
    <s v="NC ALIMENTACION DE EMPLEADOS NVA"/>
    <s v="TRANSACCIONES DEL DIA 07/12/2019SPYRAL - GESTION ADMINISTRATIVA"/>
    <n v="62.39"/>
    <n v="0"/>
    <s v="NEGOCIOS"/>
    <x v="2"/>
  </r>
  <r>
    <n v="91"/>
    <d v="2019-03-12T00:00:00"/>
    <x v="9"/>
    <x v="9"/>
    <x v="1"/>
    <s v="HIPOTECAS"/>
    <s v="ALIMENTACION DE EMPLEADOS CTA NUEVA"/>
    <s v="TRANSACCIONES DEL DIA 03/12/2019SPYRAL - GESTION ADMINISTRATIVA"/>
    <n v="10"/>
    <n v="0"/>
    <s v="NEGOCIOS"/>
    <x v="2"/>
  </r>
  <r>
    <n v="91"/>
    <d v="2019-03-16T00:00:00"/>
    <x v="9"/>
    <x v="9"/>
    <x v="1"/>
    <s v="HIPOTECAS"/>
    <s v="ALIMENTACION DE EMPLEADOS CTA NUEVA"/>
    <s v="TRANSACCIONES DEL DIA 03/16/2019SPYRAL - GESTION ADMINISTRATIVA"/>
    <n v="24"/>
    <n v="0"/>
    <s v="NEGOCIOS"/>
    <x v="2"/>
  </r>
  <r>
    <n v="91"/>
    <d v="2019-03-20T00:00:00"/>
    <x v="9"/>
    <x v="9"/>
    <x v="1"/>
    <s v="HIPOTECAS"/>
    <s v="ALIMENTACION DE EMPLEADOS CTA NUEVA"/>
    <s v="TRANSACCIONES DEL DIA 03/20/2019SPYRAL - GESTION ADMINISTRATIVA"/>
    <n v="5"/>
    <n v="0"/>
    <s v="NEGOCIOS"/>
    <x v="2"/>
  </r>
  <r>
    <n v="91"/>
    <d v="2019-03-27T00:00:00"/>
    <x v="9"/>
    <x v="9"/>
    <x v="1"/>
    <s v="HIPOTECAS"/>
    <s v="ALIMENTACION DE EMPLEADOS CTA NUEVA"/>
    <s v="TRANSACCIONES DEL DIA 03/27/2019SPYRAL - GESTION ADMINISTRATIVA"/>
    <n v="7.33"/>
    <n v="0"/>
    <s v="NEGOCIOS"/>
    <x v="2"/>
  </r>
  <r>
    <n v="91"/>
    <d v="2019-03-29T00:00:00"/>
    <x v="9"/>
    <x v="9"/>
    <x v="1"/>
    <s v="HIPOTECAS"/>
    <s v="ALIMENTACION DE EMPLEADOS CTA NUEVA"/>
    <s v="TRANSACCIONES DEL DIA 03/29/2019SPYRAL - GESTION ADMINISTRATIVA"/>
    <n v="35"/>
    <n v="0"/>
    <s v="NEGOCIOS"/>
    <x v="2"/>
  </r>
  <r>
    <n v="91"/>
    <d v="2019-04-10T00:00:00"/>
    <x v="10"/>
    <x v="10"/>
    <x v="1"/>
    <s v="HIPOTECAS"/>
    <s v="ALIMENTACION DE EMPLEADOS CTA NUEVA"/>
    <s v="TRANSACCIONES DEL DIA 04/10/2019SPYRAL - GESTION ADMINISTRATIVA"/>
    <n v="20"/>
    <n v="0"/>
    <s v="NEGOCIOS"/>
    <x v="2"/>
  </r>
  <r>
    <n v="91"/>
    <d v="2019-01-16T00:00:00"/>
    <x v="7"/>
    <x v="7"/>
    <x v="1"/>
    <s v="GESTION HIPOTECARIA"/>
    <s v="ALIMENTACION DE EMPLEADOS CTA NUEVA"/>
    <s v="TRANSACCIONES DEL DIA 01/16/2019SPYRAL - GESTION ADMINISTRATIVA"/>
    <n v="16"/>
    <n v="0"/>
    <s v="NEGOCIOS"/>
    <x v="2"/>
  </r>
  <r>
    <n v="91"/>
    <d v="2019-01-18T00:00:00"/>
    <x v="7"/>
    <x v="7"/>
    <x v="1"/>
    <s v="GESTION HIPOTECARIA"/>
    <s v="ALIMENTACION DE EMPLEADOS CTA NUEVA"/>
    <s v="TRANSACCIONES DEL DIA 01/18/2019SPYRAL - GESTION ADMINISTRATIVA"/>
    <n v="10"/>
    <n v="0"/>
    <s v="NEGOCIOS"/>
    <x v="2"/>
  </r>
  <r>
    <n v="91"/>
    <d v="2019-04-23T00:00:00"/>
    <x v="10"/>
    <x v="10"/>
    <x v="1"/>
    <s v="GESTION HIPOTECARIA"/>
    <s v="NC ALIMENTACION DE EMPLEADOS NVA"/>
    <s v="TRANSACCIONES DEL DIA 04/23/2019SPYRAL - GESTION ADMINISTRATIVA"/>
    <n v="70.09"/>
    <n v="0"/>
    <s v="NEGOCIOS"/>
    <x v="2"/>
  </r>
  <r>
    <n v="91"/>
    <d v="2019-05-07T00:00:00"/>
    <x v="11"/>
    <x v="11"/>
    <x v="1"/>
    <s v="GESTION HIPOTECARIA"/>
    <s v="ALIMENTACION DE EMPLEADOS CTA NUEVA"/>
    <s v="TRANSACCIONES DEL DIA 05/07/2019SPYRAL - GESTION ADMINISTRATIVA"/>
    <n v="21.06"/>
    <n v="0"/>
    <s v="NEGOCIOS"/>
    <x v="2"/>
  </r>
  <r>
    <n v="91"/>
    <d v="2019-05-29T00:00:00"/>
    <x v="11"/>
    <x v="11"/>
    <x v="1"/>
    <s v="GESTION HIPOTECARIA"/>
    <s v="ALIMENTACION DE EMPLEADOS CTA NUEVA"/>
    <s v="TRANSACCIONES DEL DIA 05/29/2019SPYRAL - GESTION ADMINISTRATIVA"/>
    <n v="9.08"/>
    <n v="0"/>
    <s v="NEGOCIOS"/>
    <x v="2"/>
  </r>
  <r>
    <n v="91"/>
    <d v="2019-07-11T00:00:00"/>
    <x v="6"/>
    <x v="6"/>
    <x v="1"/>
    <s v="GESTION HIPOTECARIA"/>
    <s v="NC ALIMENTACION DE EMPLEADOS NVA"/>
    <s v="TRANSACCIONES DEL DIA 07/11/2019SPYRAL - GESTION ADMINISTRATIVA"/>
    <n v="0"/>
    <n v="10"/>
    <s v="NEGOCIOS"/>
    <x v="2"/>
  </r>
  <r>
    <n v="91"/>
    <d v="2019-04-12T00:00:00"/>
    <x v="10"/>
    <x v="10"/>
    <x v="1"/>
    <s v="BANCA DE CONSUMO"/>
    <s v="NC ALIMENTACION DE EMPLEADOS NVA"/>
    <s v="TRANSACCIONES DEL DIA 04/12/2019SPYRAL - GESTION ADMINISTRATIVA"/>
    <n v="3.5"/>
    <n v="0"/>
    <s v="NEGOCIOS"/>
    <x v="2"/>
  </r>
  <r>
    <n v="91"/>
    <d v="2019-05-25T00:00:00"/>
    <x v="11"/>
    <x v="11"/>
    <x v="1"/>
    <s v="BANCA DE CONSUMO"/>
    <s v="ALIMENTACION DE EMPLEADOS CTA NUEVA"/>
    <s v="TRANSACCIONES DEL DIA 05/25/2019SPYRAL - GESTION ADMINISTRATIVA"/>
    <n v="294.75"/>
    <n v="0"/>
    <s v="NEGOCIOS"/>
    <x v="2"/>
  </r>
  <r>
    <n v="91"/>
    <d v="2019-01-17T00:00:00"/>
    <x v="7"/>
    <x v="7"/>
    <x v="1"/>
    <s v="CANALES DE DISTRIBUCION"/>
    <s v="ALIMENTACION DE EMPLEADOS CTA NUEVA"/>
    <s v="TRANSACCIONES DEL DIA 01/17/2019SPYRAL - GESTION ADMINISTRATIVA"/>
    <n v="40"/>
    <n v="0"/>
    <s v="NEGOCIOS"/>
    <x v="2"/>
  </r>
  <r>
    <n v="91"/>
    <d v="2019-01-28T00:00:00"/>
    <x v="7"/>
    <x v="7"/>
    <x v="1"/>
    <s v="CANALES DE DISTRIBUCION"/>
    <s v="NC ALIMENTACION DE EMPLEADOS NVA"/>
    <s v="TRANSACCIONES DEL DIA 01/28/2019SPYRAL - GESTION ADMINISTRATIVA"/>
    <n v="58.5"/>
    <n v="0"/>
    <s v="NEGOCIOS"/>
    <x v="2"/>
  </r>
  <r>
    <n v="91"/>
    <d v="2019-02-08T00:00:00"/>
    <x v="8"/>
    <x v="8"/>
    <x v="1"/>
    <s v="CANALES DE DISTRIBUCION"/>
    <s v="ALIMENTACION DE EMPLEADOS CTA NUEVA"/>
    <s v="TRANSACCIONES DEL DIA 02/08/2019SPYRAL - GESTION ADMINISTRATIVA"/>
    <n v="574.17999999999995"/>
    <n v="0"/>
    <s v="NEGOCIOS"/>
    <x v="2"/>
  </r>
  <r>
    <n v="91"/>
    <d v="2019-02-27T00:00:00"/>
    <x v="8"/>
    <x v="8"/>
    <x v="1"/>
    <s v="CANALES DE DISTRIBUCION"/>
    <s v="NC ALIMENTACION DE EMPLEADOS NVA"/>
    <s v="TRANSACCIONES DEL DIA 02/27/2019SPYRAL - GESTION ADMINISTRATIVA"/>
    <n v="44"/>
    <n v="0"/>
    <s v="NEGOCIOS"/>
    <x v="2"/>
  </r>
  <r>
    <n v="91"/>
    <d v="2019-03-12T00:00:00"/>
    <x v="9"/>
    <x v="9"/>
    <x v="1"/>
    <s v="CANALES DE DISTRIBUCION"/>
    <s v="ALIMENTACION DE EMPLEADOS CTA NUEVA"/>
    <s v="TRANSACCIONES DEL DIA 03/12/2019SPYRAL - GESTION ADMINISTRATIVA"/>
    <n v="40"/>
    <n v="0"/>
    <s v="NEGOCIOS"/>
    <x v="2"/>
  </r>
  <r>
    <n v="91"/>
    <d v="2019-03-19T00:00:00"/>
    <x v="9"/>
    <x v="9"/>
    <x v="1"/>
    <s v="CANALES DE DISTRIBUCION"/>
    <s v="ALIMENTACION DE EMPLEADOS CTA NUEVA"/>
    <s v="TRANSACCIONES DEL DIA 03/19/2019SPYRAL - GESTION ADMINISTRATIVA"/>
    <n v="139.08000000000001"/>
    <n v="0"/>
    <s v="NEGOCIOS"/>
    <x v="2"/>
  </r>
  <r>
    <n v="91"/>
    <d v="2019-03-23T00:00:00"/>
    <x v="9"/>
    <x v="9"/>
    <x v="1"/>
    <s v="CANALES DE DISTRIBUCION"/>
    <s v="ALIMENTACION DE EMPLEADOS CTA NUEVA"/>
    <s v="TRANSACCIONES DEL DIA 03/23/2019SPYRAL - GESTION ADMINISTRATIVA"/>
    <n v="25.6"/>
    <n v="0"/>
    <s v="NEGOCIOS"/>
    <x v="2"/>
  </r>
  <r>
    <n v="91"/>
    <d v="2019-03-26T00:00:00"/>
    <x v="9"/>
    <x v="9"/>
    <x v="1"/>
    <s v="CANALES DE DISTRIBUCION"/>
    <s v="NC ALIMENTACION DE EMPLEADOS NVA"/>
    <s v="TRANSACCIONES DEL DIA 03/26/2019SPYRAL - GESTION ADMINISTRATIVA"/>
    <n v="41.19"/>
    <n v="0"/>
    <s v="NEGOCIOS"/>
    <x v="2"/>
  </r>
  <r>
    <n v="91"/>
    <d v="2019-04-01T00:00:00"/>
    <x v="10"/>
    <x v="10"/>
    <x v="1"/>
    <s v="CANALES DE DISTRIBUCION"/>
    <s v="ALIMENTACION DE EMPLEADOS CTA NUEVA"/>
    <s v="TRANSACCIONES DEL DIA 04/01/2019SPYRAL - GESTION ADMINISTRATIVA"/>
    <n v="70"/>
    <n v="0"/>
    <s v="NEGOCIOS"/>
    <x v="2"/>
  </r>
  <r>
    <n v="91"/>
    <d v="2019-04-03T00:00:00"/>
    <x v="10"/>
    <x v="10"/>
    <x v="1"/>
    <s v="CANALES DE DISTRIBUCION"/>
    <s v="NC ALIMENTACION DE EMPLEADOS NVA"/>
    <s v="TRANSACCIONES DEL DIA 04/03/2019SPYRAL - GESTION ADMINISTRATIVA"/>
    <n v="23.61"/>
    <n v="0"/>
    <s v="NEGOCIOS"/>
    <x v="2"/>
  </r>
  <r>
    <n v="91"/>
    <d v="2019-04-05T00:00:00"/>
    <x v="10"/>
    <x v="10"/>
    <x v="1"/>
    <s v="CANALES DE DISTRIBUCION"/>
    <s v="NC ALIMENTACION DE EMPLEADOS NVA"/>
    <s v="TRANSACCIONES DEL DIA 04/05/2019SPYRAL - GESTION ADMINISTRATIVA"/>
    <n v="66.59"/>
    <n v="0"/>
    <s v="NEGOCIOS"/>
    <x v="2"/>
  </r>
  <r>
    <n v="91"/>
    <d v="2019-04-11T00:00:00"/>
    <x v="10"/>
    <x v="10"/>
    <x v="1"/>
    <s v="CANALES DE DISTRIBUCION"/>
    <s v="NC ALIMENTACION DE EMPLEADOS NVA"/>
    <s v="TRANSACCIONES DEL DIA 04/11/2019SPYRAL - GESTION ADMINISTRATIVA"/>
    <n v="136.85"/>
    <n v="0"/>
    <s v="NEGOCIOS"/>
    <x v="2"/>
  </r>
  <r>
    <n v="91"/>
    <d v="2019-04-12T00:00:00"/>
    <x v="10"/>
    <x v="10"/>
    <x v="1"/>
    <s v="CANALES DE DISTRIBUCION"/>
    <s v="NC ALIMENTACION DE EMPLEADOS NVA"/>
    <s v="TRANSACCIONES DEL DIA 04/12/2019SPYRAL - GESTION ADMINISTRATIVA"/>
    <n v="46.28"/>
    <n v="0"/>
    <s v="NEGOCIOS"/>
    <x v="2"/>
  </r>
  <r>
    <n v="91"/>
    <d v="2019-04-16T00:00:00"/>
    <x v="10"/>
    <x v="10"/>
    <x v="1"/>
    <s v="CANALES DE DISTRIBUCION"/>
    <s v="ALIMENTACION DE EMPLEADOS CTA NUEVA"/>
    <s v="TRANSACCIONES DEL DIA 04/16/2019SPYRAL - GESTION ADMINISTRATIVA"/>
    <n v="522.97"/>
    <n v="0"/>
    <s v="NEGOCIOS"/>
    <x v="2"/>
  </r>
  <r>
    <n v="91"/>
    <d v="2019-05-03T00:00:00"/>
    <x v="11"/>
    <x v="11"/>
    <x v="1"/>
    <s v="CANALES DE DISTRIBUCION"/>
    <s v="NC ALIMENTACION DE EMPLEADOS NVA"/>
    <s v="TRANSACCIONES DEL DIA 05/03/2019SPYRAL - GESTION ADMINISTRATIVA"/>
    <n v="80.02"/>
    <n v="0"/>
    <s v="NEGOCIOS"/>
    <x v="2"/>
  </r>
  <r>
    <n v="91"/>
    <d v="2019-05-03T00:00:00"/>
    <x v="11"/>
    <x v="11"/>
    <x v="1"/>
    <s v="CANALES DE DISTRIBUCION"/>
    <s v="ALIMENTACION DE EMPLEADOS CTA NUEVA"/>
    <s v="TRANSACCIONES DEL DIA 05/03/2019SPYRAL - GESTION ADMINISTRATIVA"/>
    <n v="45"/>
    <n v="0"/>
    <s v="NEGOCIOS"/>
    <x v="2"/>
  </r>
  <r>
    <n v="91"/>
    <d v="2019-05-06T00:00:00"/>
    <x v="11"/>
    <x v="11"/>
    <x v="1"/>
    <s v="CANALES DE DISTRIBUCION"/>
    <s v="NC ALIMENTACION DE EMPLEADOS NVA"/>
    <s v="TRANSACCIONES DEL DIA 05/06/2019SPYRAL - GESTION ADMINISTRATIVA"/>
    <n v="21"/>
    <n v="0"/>
    <s v="NEGOCIOS"/>
    <x v="2"/>
  </r>
  <r>
    <n v="91"/>
    <d v="2019-05-09T00:00:00"/>
    <x v="11"/>
    <x v="11"/>
    <x v="1"/>
    <s v="CANALES DE DISTRIBUCION"/>
    <s v="NC ALIMENTACION DE EMPLEADOS NVA"/>
    <s v="TRANSACCIONES DEL DIA 05/09/2019SPYRAL - GESTION ADMINISTRATIVA"/>
    <n v="29.5"/>
    <n v="0"/>
    <s v="NEGOCIOS"/>
    <x v="2"/>
  </r>
  <r>
    <n v="91"/>
    <d v="2019-05-13T00:00:00"/>
    <x v="11"/>
    <x v="11"/>
    <x v="1"/>
    <s v="CANALES DE DISTRIBUCION"/>
    <s v="NC ALIMENTACION DE EMPLEADOS NVA"/>
    <s v="TRANSACCIONES DEL DIA 05/13/2019SPYRAL - GESTION ADMINISTRATIVA"/>
    <n v="64.650000000000006"/>
    <n v="0"/>
    <s v="NEGOCIOS"/>
    <x v="2"/>
  </r>
  <r>
    <n v="91"/>
    <d v="2019-05-21T00:00:00"/>
    <x v="11"/>
    <x v="11"/>
    <x v="1"/>
    <s v="CANALES DE DISTRIBUCION"/>
    <s v="NC ALIMENTACION DE EMPLEADOS NVA"/>
    <s v="TRANSACCIONES DEL DIA 05/21/2019SPYRAL - GESTION ADMINISTRATIVA"/>
    <n v="0"/>
    <n v="33.36"/>
    <s v="NEGOCIOS"/>
    <x v="2"/>
  </r>
  <r>
    <n v="91"/>
    <d v="2019-05-24T00:00:00"/>
    <x v="11"/>
    <x v="11"/>
    <x v="1"/>
    <s v="CANALES DE DISTRIBUCION"/>
    <s v="NC ALIMENTACION DE EMPLEADOS NVA"/>
    <s v="TRANSACCIONES DEL DIA 05/24/2019SPYRAL - GESTION ADMINISTRATIVA"/>
    <n v="17.5"/>
    <n v="0"/>
    <s v="NEGOCIOS"/>
    <x v="2"/>
  </r>
  <r>
    <n v="91"/>
    <d v="2019-05-27T00:00:00"/>
    <x v="11"/>
    <x v="11"/>
    <x v="1"/>
    <s v="CANALES DE DISTRIBUCION"/>
    <s v="NC ALIMENTACION DE EMPLEADOS NVA"/>
    <s v="TRANSACCIONES DEL DIA 05/27/2019SPYRAL - GESTION ADMINISTRATIVA"/>
    <n v="24"/>
    <n v="0"/>
    <s v="NEGOCIOS"/>
    <x v="2"/>
  </r>
  <r>
    <n v="91"/>
    <d v="2019-06-03T00:00:00"/>
    <x v="2"/>
    <x v="2"/>
    <x v="1"/>
    <s v="CANALES DE DISTRIBUCION"/>
    <s v="NC ALIMENTACION DE EMPLEADOS NVA"/>
    <s v="TRANSACCIONES DEL DIA 06/03/2019SPYRAL - GESTION ADMINISTRATIVA"/>
    <n v="94.5"/>
    <n v="0"/>
    <s v="NEGOCIOS"/>
    <x v="2"/>
  </r>
  <r>
    <n v="91"/>
    <d v="2019-06-17T00:00:00"/>
    <x v="2"/>
    <x v="2"/>
    <x v="1"/>
    <s v="CANALES DE DISTRIBUCION"/>
    <s v="NC ALIMENTACION DE EMPLEADOS NVA"/>
    <s v="TRANSACCIONES DEL DIA 06/17/2019SPYRAL - GESTION ADMINISTRATIVA"/>
    <n v="57.86"/>
    <n v="0"/>
    <s v="NEGOCIOS"/>
    <x v="2"/>
  </r>
  <r>
    <n v="91"/>
    <d v="2019-06-20T00:00:00"/>
    <x v="2"/>
    <x v="2"/>
    <x v="1"/>
    <s v="CANALES DE DISTRIBUCION"/>
    <s v="NC ALIMENTACION DE EMPLEADOS NVA"/>
    <s v="TRANSACCIONES DEL DIA 06/20/2019SPYRAL - GESTION ADMINISTRATIVA"/>
    <n v="105.34"/>
    <n v="0"/>
    <s v="NEGOCIOS"/>
    <x v="2"/>
  </r>
  <r>
    <n v="91"/>
    <d v="2019-06-25T00:00:00"/>
    <x v="2"/>
    <x v="2"/>
    <x v="1"/>
    <s v="CANALES DE DISTRIBUCION"/>
    <s v="NC ALIMENTACION DE EMPLEADOS NVA"/>
    <s v="TRANSACCIONES DEL DIA 06/25/2019SPYRAL - GESTION ADMINISTRATIVA"/>
    <n v="13.76"/>
    <n v="0"/>
    <s v="NEGOCIOS"/>
    <x v="2"/>
  </r>
  <r>
    <n v="91"/>
    <d v="2019-07-05T00:00:00"/>
    <x v="6"/>
    <x v="6"/>
    <x v="1"/>
    <s v="CANALES DE DISTRIBUCION"/>
    <s v="NC ALIMENTACION DE EMPLEADOS NVA"/>
    <s v="TRANSACCIONES DEL DIA 07/05/2019SPYRAL - GESTION ADMINISTRATIVA"/>
    <n v="16.75"/>
    <n v="0"/>
    <s v="NEGOCIOS"/>
    <x v="2"/>
  </r>
  <r>
    <n v="91"/>
    <d v="2019-07-12T00:00:00"/>
    <x v="6"/>
    <x v="6"/>
    <x v="1"/>
    <s v="CANALES DE DISTRIBUCION"/>
    <s v="NC ALIMENTACION DE EMPLEADOS NVA"/>
    <s v="TRANSACCIONES DEL DIA 07/12/2019SPYRAL - GESTION ADMINISTRATIVA"/>
    <n v="68"/>
    <n v="0"/>
    <s v="NEGOCIOS"/>
    <x v="2"/>
  </r>
  <r>
    <n v="91"/>
    <d v="2019-07-23T00:00:00"/>
    <x v="6"/>
    <x v="6"/>
    <x v="1"/>
    <s v="CANALES DE DISTRIBUCION"/>
    <s v="NC ALIMENTACION DE EMPLEADOS NVA"/>
    <s v="TRANSACCIONES DEL DIA 07/23/2019SPYRAL - GESTION ADMINISTRATIVA"/>
    <n v="24.16"/>
    <n v="0"/>
    <s v="NEGOCIOS"/>
    <x v="2"/>
  </r>
  <r>
    <n v="91"/>
    <d v="2019-03-27T00:00:00"/>
    <x v="9"/>
    <x v="9"/>
    <x v="1"/>
    <s v="AUTOS"/>
    <s v="ALIMENTACION DE EMPLEADOS CTA NUEVA"/>
    <s v="TRANSACCIONES DEL DIA 03/27/2019SPYRAL - GESTION ADMINISTRATIVA"/>
    <n v="10.1"/>
    <n v="0"/>
    <s v="NEGOCIOS"/>
    <x v="2"/>
  </r>
  <r>
    <n v="91"/>
    <d v="2019-03-13T00:00:00"/>
    <x v="9"/>
    <x v="9"/>
    <x v="1"/>
    <s v="CENTRO DE TARJETAS"/>
    <s v="NC ALIMENTACION DE EMPLEADOS NVA"/>
    <s v="TRANSACCIONES DEL DIA 03/13/2019SPYRAL - GESTION ADMINISTRATIVA"/>
    <n v="339.18"/>
    <n v="0"/>
    <s v="NEGOCIOS"/>
    <x v="2"/>
  </r>
  <r>
    <n v="91"/>
    <d v="2019-04-05T00:00:00"/>
    <x v="10"/>
    <x v="10"/>
    <x v="1"/>
    <s v="CENTRO DE TARJETAS"/>
    <s v="NC ALIMENTACION DE EMPLEADOS NVA"/>
    <s v="TRANSACCIONES DEL DIA 04/05/2019SPYRAL - GESTION ADMINISTRATIVA"/>
    <n v="131.61000000000001"/>
    <n v="0"/>
    <s v="NEGOCIOS"/>
    <x v="2"/>
  </r>
  <r>
    <n v="91"/>
    <d v="2019-07-23T00:00:00"/>
    <x v="6"/>
    <x v="6"/>
    <x v="1"/>
    <s v="CENTRO DE TARJETAS"/>
    <s v="NC ALIMENTACION DE EMPLEADOS NVA"/>
    <s v="TRANSACCIONES DEL DIA 07/23/2019SPYRAL - GESTION ADMINISTRATIVA"/>
    <n v="96.2"/>
    <n v="0"/>
    <s v="NEGOCIOS"/>
    <x v="2"/>
  </r>
  <r>
    <n v="91"/>
    <d v="2019-02-13T00:00:00"/>
    <x v="8"/>
    <x v="8"/>
    <x v="1"/>
    <s v="CANALES ALTERNOS"/>
    <s v="ALIMENTACION DE EMPLEADOS CTA NUEVA"/>
    <s v="TRANSACCIONES DEL DIA 02/13/2019SPYRAL - GESTION ADMINISTRATIVA"/>
    <n v="299"/>
    <n v="0"/>
    <s v="NEGOCIOS"/>
    <x v="2"/>
  </r>
  <r>
    <n v="91"/>
    <d v="2019-02-20T00:00:00"/>
    <x v="8"/>
    <x v="8"/>
    <x v="1"/>
    <s v="CANALES ALTERNOS"/>
    <s v="ALIMENTACION DE EMPLEADOS CTA NUEVA"/>
    <s v="TRANSACCIONES DEL DIA 02/20/2019SPYRAL - GESTION ADMINISTRATIVA"/>
    <n v="68.53"/>
    <n v="0"/>
    <s v="NEGOCIOS"/>
    <x v="2"/>
  </r>
  <r>
    <n v="91"/>
    <d v="2019-04-11T00:00:00"/>
    <x v="10"/>
    <x v="10"/>
    <x v="1"/>
    <s v="CANALES ALTERNOS"/>
    <s v="ALIMENTACION DE EMPLEADOS CTA NUEVA"/>
    <s v="TRANSACCIONES DEL DIA 04/11/2019SPYRAL - GESTION ADMINISTRATIVA"/>
    <n v="10"/>
    <n v="0"/>
    <s v="NEGOCIOS"/>
    <x v="2"/>
  </r>
  <r>
    <n v="91"/>
    <d v="2019-04-15T00:00:00"/>
    <x v="10"/>
    <x v="10"/>
    <x v="1"/>
    <s v="CANALES ALTERNOS"/>
    <s v="ALIMENTACION DE EMPLEADOS CTA NUEVA"/>
    <s v="TRANSACCIONES DEL DIA 04/15/2019SPYRAL - GESTION ADMINISTRATIVA"/>
    <n v="12.48"/>
    <n v="0"/>
    <s v="NEGOCIOS"/>
    <x v="2"/>
  </r>
  <r>
    <n v="91"/>
    <d v="2019-05-06T00:00:00"/>
    <x v="11"/>
    <x v="11"/>
    <x v="1"/>
    <s v="CANALES ALTERNOS"/>
    <s v="ALIMENTACION DE EMPLEADOS CTA NUEVA"/>
    <s v="TRANSACCIONES DEL DIA 05/06/2019SPYRAL - GESTION ADMINISTRATIVA"/>
    <n v="49.79"/>
    <n v="0"/>
    <s v="NEGOCIOS"/>
    <x v="2"/>
  </r>
  <r>
    <n v="91"/>
    <d v="2019-05-15T00:00:00"/>
    <x v="11"/>
    <x v="11"/>
    <x v="1"/>
    <s v="CANALES ALTERNOS"/>
    <s v="ALIMENTACION DE EMPLEADOS CTA NUEVA"/>
    <s v="TRANSACCIONES DEL DIA 05/15/2019SPYRAL - GESTION ADMINISTRATIVA"/>
    <n v="138.59"/>
    <n v="0"/>
    <s v="NEGOCIOS"/>
    <x v="2"/>
  </r>
  <r>
    <n v="91"/>
    <d v="2019-05-16T00:00:00"/>
    <x v="11"/>
    <x v="11"/>
    <x v="1"/>
    <s v="CANALES ALTERNOS"/>
    <s v="ALIMENTACION DE EMPLEADOS CTA NUEVA"/>
    <s v="TRANSACCIONES DEL DIA 05/16/2019SPYRAL - GESTION ADMINISTRATIVA"/>
    <n v="159.80000000000001"/>
    <n v="0"/>
    <s v="NEGOCIOS"/>
    <x v="2"/>
  </r>
  <r>
    <n v="91"/>
    <d v="2019-05-28T00:00:00"/>
    <x v="11"/>
    <x v="11"/>
    <x v="1"/>
    <s v="CANALES ALTERNOS"/>
    <s v="ALIMENTACION DE EMPLEADOS CTA NUEVA"/>
    <s v="TRANSACCIONES DEL DIA 05/28/2019SPYRAL - GESTION ADMINISTRATIVA"/>
    <n v="54.57"/>
    <n v="0"/>
    <s v="NEGOCIOS"/>
    <x v="2"/>
  </r>
  <r>
    <n v="91"/>
    <d v="2019-06-05T00:00:00"/>
    <x v="2"/>
    <x v="2"/>
    <x v="1"/>
    <s v="CANALES ALTERNOS"/>
    <s v="ALIMENTACION DE EMPLEADOS CTA NUEVA"/>
    <s v="TRANSACCIONES DEL DIA 06/05/2019SPYRAL - GESTION ADMINISTRATIVA"/>
    <n v="39.950000000000003"/>
    <n v="0"/>
    <s v="NEGOCIOS"/>
    <x v="2"/>
  </r>
  <r>
    <n v="91"/>
    <d v="2019-06-12T00:00:00"/>
    <x v="2"/>
    <x v="2"/>
    <x v="1"/>
    <s v="CANALES ALTERNOS"/>
    <s v="ALIMENTACION DE EMPLEADOS CTA NUEVA"/>
    <s v="TRANSACCIONES DEL DIA 06/12/2019SPYRAL - GESTION ADMINISTRATIVA"/>
    <n v="145.74"/>
    <n v="0"/>
    <s v="NEGOCIOS"/>
    <x v="2"/>
  </r>
  <r>
    <n v="91"/>
    <d v="2019-06-21T00:00:00"/>
    <x v="2"/>
    <x v="2"/>
    <x v="1"/>
    <s v="CANALES ALTERNOS"/>
    <s v="ALIMENTACION DE EMPLEADOS CTA NUEVA"/>
    <s v="TRANSACCIONES DEL DIA 06/21/2019SPYRAL - GESTION ADMINISTRATIVA"/>
    <n v="119.9"/>
    <n v="0"/>
    <s v="NEGOCIOS"/>
    <x v="2"/>
  </r>
  <r>
    <n v="91"/>
    <d v="2019-07-09T00:00:00"/>
    <x v="6"/>
    <x v="6"/>
    <x v="1"/>
    <s v="CANALES ALTERNOS"/>
    <s v="NC ALIMENTACION DE EMPLEADOS NVA"/>
    <s v="TRANSACCIONES DEL DIA 07/09/2019SPYRAL - GESTION ADMINISTRATIVA"/>
    <n v="0"/>
    <n v="119.9"/>
    <s v="NEGOCIOS"/>
    <x v="2"/>
  </r>
  <r>
    <n v="91"/>
    <d v="2019-07-11T00:00:00"/>
    <x v="6"/>
    <x v="6"/>
    <x v="1"/>
    <s v="CANALES ALTERNOS"/>
    <s v="NC ALIMENTACION DE EMPLEADOS NVA"/>
    <s v="TRANSACCIONES DEL DIA 07/11/2019SPYRAL - GESTION ADMINISTRATIVA"/>
    <n v="0"/>
    <n v="10"/>
    <s v="NEGOCIOS"/>
    <x v="2"/>
  </r>
  <r>
    <n v="91"/>
    <d v="2019-07-25T00:00:00"/>
    <x v="6"/>
    <x v="6"/>
    <x v="1"/>
    <s v="CANALES ALTERNOS"/>
    <s v="ALIMENTACION DE EMPLEADOS CTA NUEVA"/>
    <s v="TRANSACCIONES DEL DIA 07/25/2019SPYRAL - GESTION ADMINISTRATIVA"/>
    <n v="39.619999999999997"/>
    <n v="0"/>
    <s v="NEGOCIOS"/>
    <x v="2"/>
  </r>
  <r>
    <n v="91"/>
    <d v="2019-01-18T00:00:00"/>
    <x v="7"/>
    <x v="7"/>
    <x v="1"/>
    <s v="TELEMERCADEO"/>
    <s v="NC ALIMENTACION DE EMPLEADOS NVA"/>
    <s v="TRANSACCIONES DEL DIA 01/18/2019SPYRAL - GESTION ADMINISTRATIVA"/>
    <n v="325.32"/>
    <n v="0"/>
    <s v="NEGOCIOS"/>
    <x v="2"/>
  </r>
  <r>
    <n v="91"/>
    <d v="2019-01-22T00:00:00"/>
    <x v="7"/>
    <x v="7"/>
    <x v="1"/>
    <s v="TELEMERCADEO"/>
    <s v="NC ALIMENTACION DE EMPLEADOS NVA"/>
    <s v="TRANSACCIONES DEL DIA 01/22/2019SPYRAL - GESTION ADMINISTRATIVA"/>
    <n v="103.6"/>
    <n v="0"/>
    <s v="NEGOCIOS"/>
    <x v="2"/>
  </r>
  <r>
    <n v="91"/>
    <d v="2019-02-04T00:00:00"/>
    <x v="8"/>
    <x v="8"/>
    <x v="1"/>
    <s v="TELEMERCADEO"/>
    <s v="ALIMENTACION DE EMPLEADOS CTA NUEVA"/>
    <s v="TRANSACCIONES DEL DIA 02/04/2019SPYRAL - GESTION ADMINISTRATIVA"/>
    <n v="23.99"/>
    <n v="0"/>
    <s v="NEGOCIOS"/>
    <x v="2"/>
  </r>
  <r>
    <n v="91"/>
    <d v="2019-02-15T00:00:00"/>
    <x v="8"/>
    <x v="8"/>
    <x v="1"/>
    <s v="TELEMERCADEO"/>
    <s v="NC ALIMENTACION DE EMPLEADOS NVA"/>
    <s v="TRANSACCIONES DEL DIA 02/15/2019SPYRAL - GESTION ADMINISTRATIVA"/>
    <n v="62.65"/>
    <n v="0"/>
    <s v="NEGOCIOS"/>
    <x v="2"/>
  </r>
  <r>
    <n v="91"/>
    <d v="2019-02-26T00:00:00"/>
    <x v="8"/>
    <x v="8"/>
    <x v="1"/>
    <s v="TELEMERCADEO"/>
    <s v="ALIMENTACION DE EMPLEADOS CTA NUEVA"/>
    <s v="TRANSACCIONES DEL DIA 02/26/2019SPYRAL - GESTION ADMINISTRATIVA"/>
    <n v="75.5"/>
    <n v="0"/>
    <s v="NEGOCIOS"/>
    <x v="2"/>
  </r>
  <r>
    <n v="91"/>
    <d v="2019-04-11T00:00:00"/>
    <x v="10"/>
    <x v="10"/>
    <x v="1"/>
    <s v="TELEMERCADEO"/>
    <s v="NC ALIMENTACION DE EMPLEADOS NVA"/>
    <s v="TRANSACCIONES DEL DIA 04/11/2019SPYRAL - GESTION ADMINISTRATIVA"/>
    <n v="94.21"/>
    <n v="0"/>
    <s v="NEGOCIOS"/>
    <x v="2"/>
  </r>
  <r>
    <n v="91"/>
    <d v="2019-04-24T00:00:00"/>
    <x v="10"/>
    <x v="10"/>
    <x v="1"/>
    <s v="TELEMERCADEO"/>
    <s v="ALIMENTACION DE EMPLEADOS CTA NUEVA"/>
    <s v="TRANSACCIONES DEL DIA 04/24/2019SPYRAL - GESTION ADMINISTRATIVA"/>
    <n v="22.1"/>
    <n v="0"/>
    <s v="NEGOCIOS"/>
    <x v="2"/>
  </r>
  <r>
    <n v="91"/>
    <d v="2019-04-29T00:00:00"/>
    <x v="10"/>
    <x v="10"/>
    <x v="1"/>
    <s v="TELEMERCADEO"/>
    <s v="NC ALIMENTACION DE EMPLEADOS NVA"/>
    <s v="TRANSACCIONES DEL DIA 04/29/2019SPYRAL - GESTION ADMINISTRATIVA"/>
    <n v="81.349999999999994"/>
    <n v="0"/>
    <s v="NEGOCIOS"/>
    <x v="2"/>
  </r>
  <r>
    <n v="91"/>
    <d v="2019-05-07T00:00:00"/>
    <x v="11"/>
    <x v="11"/>
    <x v="1"/>
    <s v="TELEMERCADEO"/>
    <s v="ALIMENTACION DE EMPLEADOS CTA NUEVA"/>
    <s v="TRANSACCIONES DEL DIA 05/07/2019SPYRAL - GESTION ADMINISTRATIVA"/>
    <n v="159.9"/>
    <n v="0"/>
    <s v="NEGOCIOS"/>
    <x v="2"/>
  </r>
  <r>
    <n v="91"/>
    <d v="2019-05-09T00:00:00"/>
    <x v="11"/>
    <x v="11"/>
    <x v="1"/>
    <s v="TELEMERCADEO"/>
    <s v="ALIMENTACION DE EMPLEADOS CTA NUEVA"/>
    <s v="TRANSACCIONES DEL DIA 05/09/2019SPYRAL - GESTION ADMINISTRATIVA"/>
    <n v="14.5"/>
    <n v="0"/>
    <s v="NEGOCIOS"/>
    <x v="2"/>
  </r>
  <r>
    <n v="91"/>
    <d v="2019-05-10T00:00:00"/>
    <x v="11"/>
    <x v="11"/>
    <x v="1"/>
    <s v="TELEMERCADEO"/>
    <s v="NC ALIMENTACION DE EMPLEADOS NVA"/>
    <s v="TRANSACCIONES DEL DIA 05/10/2019SPYRAL - GESTION ADMINISTRATIVA"/>
    <n v="728.97"/>
    <n v="0"/>
    <s v="NEGOCIOS"/>
    <x v="2"/>
  </r>
  <r>
    <n v="91"/>
    <d v="2019-07-03T00:00:00"/>
    <x v="6"/>
    <x v="6"/>
    <x v="1"/>
    <s v="TELEMERCADEO"/>
    <s v="NC ALIMENTACION DE EMPLEADOS NVA"/>
    <s v="TRANSACCIONES DEL DIA 07/03/2019SPYRAL - GESTION ADMINISTRATIVA"/>
    <n v="264.39999999999998"/>
    <n v="0"/>
    <s v="NEGOCIOS"/>
    <x v="2"/>
  </r>
  <r>
    <n v="91"/>
    <d v="2019-07-05T00:00:00"/>
    <x v="6"/>
    <x v="6"/>
    <x v="1"/>
    <s v="TELEMERCADEO"/>
    <s v="NC ALIMENTACION DE EMPLEADOS NVA"/>
    <s v="TRANSACCIONES DEL DIA 07/05/2019SPYRAL - GESTION ADMINISTRATIVA"/>
    <n v="104.05"/>
    <n v="0"/>
    <s v="NEGOCIOS"/>
    <x v="2"/>
  </r>
  <r>
    <n v="91"/>
    <d v="2019-07-23T00:00:00"/>
    <x v="6"/>
    <x v="6"/>
    <x v="1"/>
    <s v="TELEMERCADEO"/>
    <s v="NC ALIMENTACION DE EMPLEADOS NVA"/>
    <s v="TRANSACCIONES DEL DIA 07/23/2019SPYRAL - GESTION ADMINISTRATIVA"/>
    <n v="29.56"/>
    <n v="0"/>
    <s v="NEGOCIOS"/>
    <x v="2"/>
  </r>
  <r>
    <n v="91"/>
    <d v="2019-01-08T00:00:00"/>
    <x v="7"/>
    <x v="7"/>
    <x v="1"/>
    <s v="ATM"/>
    <s v="ALIMENTACION DE EMPLEADOS CTA NUEVA"/>
    <s v="TRANSACCIONES DEL DIA 01/08/2019SPYRAL - GESTION ADMINISTRATIVA"/>
    <n v="77.97"/>
    <n v="0"/>
    <s v="NEGOCIOS"/>
    <x v="2"/>
  </r>
  <r>
    <n v="91"/>
    <d v="2019-01-30T00:00:00"/>
    <x v="7"/>
    <x v="7"/>
    <x v="1"/>
    <s v="ATM"/>
    <s v="ALIMENTACION DE EMPLEADOS CTA NUEVA"/>
    <s v="TRANSACCIONES DEL DIA 01/30/2019SPYRAL - GESTION ADMINISTRATIVA"/>
    <n v="75.48"/>
    <n v="0"/>
    <s v="NEGOCIOS"/>
    <x v="2"/>
  </r>
  <r>
    <n v="91"/>
    <d v="2019-03-29T00:00:00"/>
    <x v="9"/>
    <x v="9"/>
    <x v="1"/>
    <s v="ATM"/>
    <s v="ALIMENTACION DE EMPLEADOS CTA NUEVA"/>
    <s v="TRANSACCIONES DEL DIA 03/29/2019SPYRAL - GESTION ADMINISTRATIVA"/>
    <n v="19.45"/>
    <n v="0"/>
    <s v="NEGOCIOS"/>
    <x v="2"/>
  </r>
  <r>
    <n v="91"/>
    <d v="2019-04-16T00:00:00"/>
    <x v="10"/>
    <x v="10"/>
    <x v="1"/>
    <s v="ATM"/>
    <s v="ALIMENTACION DE EMPLEADOS CTA NUEVA"/>
    <s v="TRANSACCIONES DEL DIA 04/16/2019SPYRAL - GESTION ADMINISTRATIVA"/>
    <n v="10"/>
    <n v="0"/>
    <s v="NEGOCIOS"/>
    <x v="2"/>
  </r>
  <r>
    <n v="91"/>
    <d v="2019-05-04T00:00:00"/>
    <x v="11"/>
    <x v="11"/>
    <x v="1"/>
    <s v="ATM"/>
    <s v="ALIMENTACION DE EMPLEADOS CTA NUEVA"/>
    <s v="TRANSACCIONES DEL DIA 05/04/2019SPYRAL - GESTION ADMINISTRATIVA"/>
    <n v="10"/>
    <n v="0"/>
    <s v="NEGOCIOS"/>
    <x v="2"/>
  </r>
  <r>
    <n v="91"/>
    <d v="2019-05-15T00:00:00"/>
    <x v="11"/>
    <x v="11"/>
    <x v="1"/>
    <s v="ATM"/>
    <s v="ALIMENTACION DE EMPLEADOS CTA NUEVA"/>
    <s v="TRANSACCIONES DEL DIA 05/15/2019SPYRAL - GESTION ADMINISTRATIVA"/>
    <n v="10"/>
    <n v="0"/>
    <s v="NEGOCIOS"/>
    <x v="2"/>
  </r>
  <r>
    <n v="91"/>
    <d v="2019-05-22T00:00:00"/>
    <x v="11"/>
    <x v="11"/>
    <x v="1"/>
    <s v="ATM"/>
    <s v="ALIMENTACION DE EMPLEADOS CTA NUEVA"/>
    <s v="TRANSACCIONES DEL DIA 05/22/2019SPYRAL - GESTION ADMINISTRATIVA"/>
    <n v="59.8"/>
    <n v="0"/>
    <s v="NEGOCIOS"/>
    <x v="2"/>
  </r>
  <r>
    <n v="91"/>
    <d v="2019-07-11T00:00:00"/>
    <x v="6"/>
    <x v="6"/>
    <x v="1"/>
    <s v="ATM"/>
    <s v="NC ALIMENTACION DE EMPLEADOS NVA"/>
    <s v="TRANSACCIONES DEL DIA 07/11/2019SPYRAL - GESTION ADMINISTRATIVA"/>
    <n v="0"/>
    <n v="30"/>
    <s v="NEGOCIOS"/>
    <x v="2"/>
  </r>
  <r>
    <n v="91"/>
    <d v="2019-07-23T00:00:00"/>
    <x v="6"/>
    <x v="6"/>
    <x v="1"/>
    <s v="ATM"/>
    <s v="NC ALIMENTACION DE EMPLEADOS NVA"/>
    <s v="TRANSACCIONES DEL DIA 07/23/2019SPYRAL - GESTION ADMINISTRATIVA"/>
    <n v="66.099999999999994"/>
    <n v="0"/>
    <s v="NEGOCIOS"/>
    <x v="2"/>
  </r>
  <r>
    <n v="91"/>
    <d v="2019-03-01T00:00:00"/>
    <x v="9"/>
    <x v="9"/>
    <x v="1"/>
    <s v="ATENCION A CLIENTES"/>
    <s v="NC ALIMENTACION DE EMPLEADOS NVA"/>
    <s v="TRANSACCIONES DEL DIA 03/01/2019SPYRAL - GESTION ADMINISTRATIVA"/>
    <n v="71.97"/>
    <n v="0"/>
    <s v="NEGOCIOS"/>
    <x v="2"/>
  </r>
  <r>
    <n v="91"/>
    <d v="2019-03-12T00:00:00"/>
    <x v="9"/>
    <x v="9"/>
    <x v="1"/>
    <s v="ATENCION A CLIENTES"/>
    <s v="NC ALIMENTACION DE EMPLEADOS NVA"/>
    <s v="TRANSACCIONES DEL DIA 03/12/2019SPYRAL - GESTION ADMINISTRATIVA"/>
    <n v="158.16999999999999"/>
    <n v="0"/>
    <s v="NEGOCIOS"/>
    <x v="2"/>
  </r>
  <r>
    <n v="91"/>
    <d v="2019-03-12T00:00:00"/>
    <x v="9"/>
    <x v="9"/>
    <x v="1"/>
    <s v="ATENCION A CLIENTES"/>
    <s v="ALIMENTACION DE EMPLEADOS CTA NUEVA"/>
    <s v="TRANSACCIONES DEL DIA 03/12/2019SPYRAL - GESTION ADMINISTRATIVA"/>
    <n v="41.16"/>
    <n v="0"/>
    <s v="NEGOCIOS"/>
    <x v="2"/>
  </r>
  <r>
    <n v="91"/>
    <d v="2019-03-27T00:00:00"/>
    <x v="9"/>
    <x v="9"/>
    <x v="1"/>
    <s v="ATENCION A CLIENTES"/>
    <s v="ALIMENTACION DE EMPLEADOS CTA NUEVA"/>
    <s v="TRANSACCIONES DEL DIA 03/27/2019SPYRAL - GESTION ADMINISTRATIVA"/>
    <n v="15"/>
    <n v="0"/>
    <s v="NEGOCIOS"/>
    <x v="2"/>
  </r>
  <r>
    <n v="91"/>
    <d v="2019-04-22T00:00:00"/>
    <x v="10"/>
    <x v="10"/>
    <x v="1"/>
    <s v="ATENCION A CLIENTES"/>
    <s v="ALIMENTACION DE EMPLEADOS CTA NUEVA"/>
    <s v="TRANSACCIONES DEL DIA 04/22/2019SPYRAL - GESTION ADMINISTRATIVA"/>
    <n v="129.9"/>
    <n v="0"/>
    <s v="NEGOCIOS"/>
    <x v="2"/>
  </r>
  <r>
    <n v="91"/>
    <d v="2019-04-25T00:00:00"/>
    <x v="10"/>
    <x v="10"/>
    <x v="1"/>
    <s v="ATENCION A CLIENTES"/>
    <s v="ALIMENTACION DE EMPLEADOS CTA NUEVA"/>
    <s v="TRANSACCIONES DEL DIA 04/25/2019SPYRAL - GESTION ADMINISTRATIVA"/>
    <n v="129.9"/>
    <n v="0"/>
    <s v="NEGOCIOS"/>
    <x v="2"/>
  </r>
  <r>
    <n v="91"/>
    <d v="2019-05-07T00:00:00"/>
    <x v="11"/>
    <x v="11"/>
    <x v="1"/>
    <s v="ATENCION A CLIENTES"/>
    <s v="NC ALIMENTACION DE EMPLEADOS NVA"/>
    <s v="TRANSACCIONES DEL DIA 05/07/2019SPYRAL - GESTION ADMINISTRATIVA"/>
    <n v="142.87"/>
    <n v="0"/>
    <s v="NEGOCIOS"/>
    <x v="2"/>
  </r>
  <r>
    <n v="91"/>
    <d v="2019-05-08T00:00:00"/>
    <x v="11"/>
    <x v="11"/>
    <x v="1"/>
    <s v="ATENCION A CLIENTES"/>
    <s v="ALIMENTACION DE EMPLEADOS CTA NUEVA"/>
    <s v="TRANSACCIONES DEL DIA 05/08/2019SPYRAL - GESTION ADMINISTRATIVA"/>
    <n v="12.64"/>
    <n v="0"/>
    <s v="NEGOCIOS"/>
    <x v="2"/>
  </r>
  <r>
    <n v="91"/>
    <d v="2019-05-08T00:00:00"/>
    <x v="11"/>
    <x v="11"/>
    <x v="1"/>
    <s v="ATENCION A CLIENTES"/>
    <s v="NC ALIMENTACION DE EMPLEADOS NVA"/>
    <s v="TRANSACCIONES DEL DIA 05/08/2019SPYRAL - GESTION ADMINISTRATIVA"/>
    <n v="0"/>
    <n v="129.9"/>
    <s v="NEGOCIOS"/>
    <x v="2"/>
  </r>
  <r>
    <n v="91"/>
    <d v="2019-06-01T00:00:00"/>
    <x v="2"/>
    <x v="2"/>
    <x v="1"/>
    <s v="ATENCION A CLIENTES"/>
    <s v="ALIMENTACION DE EMPLEADOS CTA NUEVA"/>
    <s v="TRANSACCIONES DEL DIA 06/01/2019SPYRAL - GESTION ADMINISTRATIVA"/>
    <n v="80.489999999999995"/>
    <n v="0"/>
    <s v="NEGOCIOS"/>
    <x v="2"/>
  </r>
  <r>
    <n v="91"/>
    <d v="2019-06-03T00:00:00"/>
    <x v="2"/>
    <x v="2"/>
    <x v="1"/>
    <s v="ATENCION A CLIENTES"/>
    <s v="NC ALIMENTACION DE EMPLEADOS NVA"/>
    <s v="TRANSACCIONES DEL DIA 06/03/2019SPYRAL - GESTION ADMINISTRATIVA"/>
    <n v="38.159999999999997"/>
    <n v="0"/>
    <s v="NEGOCIOS"/>
    <x v="2"/>
  </r>
  <r>
    <n v="91"/>
    <d v="2019-06-27T00:00:00"/>
    <x v="2"/>
    <x v="2"/>
    <x v="1"/>
    <s v="ATENCION A CLIENTES"/>
    <s v="ALIMENTACION DE EMPLEADOS CTA NUEVA"/>
    <s v="TRANSACCIONES DEL DIA 06/27/2019SPYRAL - GESTION ADMINISTRATIVA"/>
    <n v="18.690000000000001"/>
    <n v="0"/>
    <s v="NEGOCIOS"/>
    <x v="2"/>
  </r>
  <r>
    <n v="91"/>
    <d v="2019-07-17T00:00:00"/>
    <x v="6"/>
    <x v="6"/>
    <x v="1"/>
    <s v="ATENCION A CLIENTES"/>
    <s v="ALIMENTACION DE EMPLEADOS CTA NUEVA"/>
    <s v="TRANSACCIONES DEL DIA 07/17/2019SPYRAL - GESTION ADMINISTRATIVA"/>
    <n v="153.85"/>
    <n v="0"/>
    <s v="NEGOCIOS"/>
    <x v="2"/>
  </r>
  <r>
    <n v="91"/>
    <d v="2019-01-02T00:00:00"/>
    <x v="7"/>
    <x v="7"/>
    <x v="1"/>
    <s v="DESARROLLO DE PRODUCTOS"/>
    <s v="ALIMENTACION DE EMPLEADOS CTA NUEVA"/>
    <s v="TRANSACCIONES DEL DIA 01/02/2019SPYRAL - GESTION ADMINISTRATIVA"/>
    <n v="28.5"/>
    <n v="0"/>
    <s v="NEGOCIOS"/>
    <x v="2"/>
  </r>
  <r>
    <n v="91"/>
    <d v="2019-02-25T00:00:00"/>
    <x v="8"/>
    <x v="8"/>
    <x v="1"/>
    <s v="DESARROLLO DE PRODUCTOS"/>
    <s v="ALIMENTACION DE EMPLEADOS CTA NUEVA"/>
    <s v="TRANSACCIONES DEL DIA 02/25/2019SPYRAL - GESTION ADMINISTRATIVA"/>
    <n v="24"/>
    <n v="0"/>
    <s v="NEGOCIOS"/>
    <x v="2"/>
  </r>
  <r>
    <n v="91"/>
    <d v="2019-05-28T00:00:00"/>
    <x v="11"/>
    <x v="11"/>
    <x v="1"/>
    <s v="DESARROLLO DE PRODUCTOS"/>
    <s v="ALIMENTACION DE EMPLEADOS CTA NUEVA"/>
    <s v="TRANSACCIONES DEL DIA 05/28/2019SPYRAL - GESTION ADMINISTRATIVA"/>
    <n v="117.45"/>
    <n v="0"/>
    <s v="NEGOCIOS"/>
    <x v="2"/>
  </r>
  <r>
    <n v="91"/>
    <d v="2019-02-22T00:00:00"/>
    <x v="8"/>
    <x v="8"/>
    <x v="1"/>
    <s v="VENTAS CONSUMO"/>
    <s v="NC ALIMENTACION DE EMPLEADOS NVA"/>
    <s v="TRANSACCIONES DEL DIA 02/22/2019SPYRAL - GESTION ADMINISTRATIVA"/>
    <n v="84.12"/>
    <n v="0"/>
    <s v="NEGOCIOS"/>
    <x v="2"/>
  </r>
  <r>
    <n v="91"/>
    <d v="2019-04-03T00:00:00"/>
    <x v="10"/>
    <x v="10"/>
    <x v="1"/>
    <s v="VENTAS CONSUMO"/>
    <s v="NC ALIMENTACION DE EMPLEADOS NVA"/>
    <s v="TRANSACCIONES DEL DIA 04/03/2019SPYRAL - GESTION ADMINISTRATIVA"/>
    <n v="297.3"/>
    <n v="0"/>
    <s v="NEGOCIOS"/>
    <x v="2"/>
  </r>
  <r>
    <n v="91"/>
    <d v="2019-05-21T00:00:00"/>
    <x v="11"/>
    <x v="11"/>
    <x v="1"/>
    <s v="VENTAS CONSUMO"/>
    <s v="NC ALIMENTACION DE EMPLEADOS NVA"/>
    <s v="TRANSACCIONES DEL DIA 05/21/2019SPYRAL - GESTION ADMINISTRATIVA"/>
    <n v="64.86"/>
    <n v="0"/>
    <s v="NEGOCIOS"/>
    <x v="2"/>
  </r>
  <r>
    <n v="91"/>
    <d v="2019-06-17T00:00:00"/>
    <x v="2"/>
    <x v="2"/>
    <x v="1"/>
    <s v="VENTAS CONSUMO"/>
    <s v="NC ALIMENTACION DE EMPLEADOS NVA"/>
    <s v="TRANSACCIONES DEL DIA 06/17/2019SPYRAL - GESTION ADMINISTRATIVA"/>
    <n v="173.06"/>
    <n v="0"/>
    <s v="NEGOCIOS"/>
    <x v="2"/>
  </r>
  <r>
    <n v="91"/>
    <d v="2019-07-05T00:00:00"/>
    <x v="6"/>
    <x v="6"/>
    <x v="1"/>
    <s v="VENTAS CONSUMO"/>
    <s v="NC ALIMENTACION DE EMPLEADOS NVA"/>
    <s v="TRANSACCIONES DEL DIA 07/05/2019SPYRAL - GESTION ADMINISTRATIVA"/>
    <n v="22.86"/>
    <n v="0"/>
    <s v="NEGOCIOS"/>
    <x v="2"/>
  </r>
  <r>
    <n v="91"/>
    <d v="2019-07-11T00:00:00"/>
    <x v="6"/>
    <x v="6"/>
    <x v="1"/>
    <s v="VENTAS CONSUMO"/>
    <s v="NC ALIMENTACION DE EMPLEADOS NVA"/>
    <s v="TRANSACCIONES DEL DIA 07/11/2019SPYRAL - GESTION ADMINISTRATIVA"/>
    <n v="0"/>
    <n v="20.25"/>
    <s v="NEGOCIOS"/>
    <x v="2"/>
  </r>
  <r>
    <n v="91"/>
    <d v="2019-01-15T00:00:00"/>
    <x v="7"/>
    <x v="7"/>
    <x v="1"/>
    <s v="FUERZAS DE VENTAS PANAMA"/>
    <s v="ALIMENTACION DE EMPLEADOS CTA NUEVA"/>
    <s v="TRANSACCIONES DEL DIA 01/15/2019SPYRAL - GESTION ADMINISTRATIVA"/>
    <n v="20"/>
    <n v="0"/>
    <s v="NEGOCIOS"/>
    <x v="2"/>
  </r>
  <r>
    <n v="91"/>
    <d v="2019-02-08T00:00:00"/>
    <x v="8"/>
    <x v="8"/>
    <x v="1"/>
    <s v="FUERZAS DE VENTAS PANAMA"/>
    <s v="ALIMENTACION DE EMPLEADOS CTA NUEVA"/>
    <s v="TRANSACCIONES DEL DIA 02/08/2019SPYRAL - GESTION ADMINISTRATIVA"/>
    <n v="10"/>
    <n v="0"/>
    <s v="NEGOCIOS"/>
    <x v="2"/>
  </r>
  <r>
    <n v="91"/>
    <d v="2019-02-22T00:00:00"/>
    <x v="8"/>
    <x v="8"/>
    <x v="1"/>
    <s v="FUERZAS DE VENTAS PANAMA"/>
    <s v="NC ALIMENTACION DE EMPLEADOS NVA"/>
    <s v="TRANSACCIONES DEL DIA 02/22/2019SPYRAL - GESTION ADMINISTRATIVA"/>
    <n v="27.5"/>
    <n v="0"/>
    <s v="NEGOCIOS"/>
    <x v="2"/>
  </r>
  <r>
    <n v="91"/>
    <d v="2019-03-21T00:00:00"/>
    <x v="9"/>
    <x v="9"/>
    <x v="1"/>
    <s v="FUERZAS DE VENTAS PANAMA"/>
    <s v="ALIMENTACION DE EMPLEADOS CTA NUEVA"/>
    <s v="TRANSACCIONES DEL DIA 03/21/2019SPYRAL - GESTION ADMINISTRATIVA"/>
    <n v="39.96"/>
    <n v="0"/>
    <s v="NEGOCIOS"/>
    <x v="2"/>
  </r>
  <r>
    <n v="91"/>
    <d v="2019-04-09T00:00:00"/>
    <x v="10"/>
    <x v="10"/>
    <x v="1"/>
    <s v="FUERZAS DE VENTAS PANAMA"/>
    <s v="ALIMENTACION DE EMPLEADOS CTA NUEVA"/>
    <s v="TRANSACCIONES DEL DIA 04/09/2019SPYRAL - GESTION ADMINISTRATIVA"/>
    <n v="16"/>
    <n v="0"/>
    <s v="NEGOCIOS"/>
    <x v="2"/>
  </r>
  <r>
    <n v="91"/>
    <d v="2019-04-10T00:00:00"/>
    <x v="10"/>
    <x v="10"/>
    <x v="1"/>
    <s v="FUERZAS DE VENTAS PANAMA"/>
    <s v="ALIMENTACION DE EMPLEADOS CTA NUEVA"/>
    <s v="TRANSACCIONES DEL DIA 04/10/2019SPYRAL - GESTION ADMINISTRATIVA"/>
    <n v="45.13"/>
    <n v="0"/>
    <s v="NEGOCIOS"/>
    <x v="2"/>
  </r>
  <r>
    <n v="91"/>
    <d v="2019-04-22T00:00:00"/>
    <x v="10"/>
    <x v="10"/>
    <x v="1"/>
    <s v="FUERZAS DE VENTAS PANAMA"/>
    <s v="ALIMENTACION DE EMPLEADOS CTA NUEVA"/>
    <s v="TRANSACCIONES DEL DIA 04/22/2019SPYRAL - GESTION ADMINISTRATIVA"/>
    <n v="20"/>
    <n v="0"/>
    <s v="NEGOCIOS"/>
    <x v="2"/>
  </r>
  <r>
    <n v="91"/>
    <d v="2019-07-18T00:00:00"/>
    <x v="6"/>
    <x v="6"/>
    <x v="1"/>
    <s v="FUERZAS DE VENTAS PANAMA"/>
    <s v="ALIMENTACION DE EMPLEADOS CTA NUEVA"/>
    <s v="TRANSACCIONES DEL DIA 07/18/2019SPYRAL - GESTION ADMINISTRATIVA"/>
    <n v="49.97"/>
    <n v="0"/>
    <s v="NEGOCIOS"/>
    <x v="2"/>
  </r>
  <r>
    <n v="91"/>
    <d v="2019-05-03T00:00:00"/>
    <x v="11"/>
    <x v="11"/>
    <x v="1"/>
    <s v="SEGMENTO DE NEGOCIOS"/>
    <s v="NC ALIMENTACION DE EMPLEADOS NVA"/>
    <s v="TRANSACCIONES DEL DIA 05/03/2019SPYRAL - GESTION ADMINISTRATIVA"/>
    <n v="51.51"/>
    <n v="0"/>
    <s v="NEGOCIOS"/>
    <x v="2"/>
  </r>
  <r>
    <n v="91"/>
    <d v="2019-07-23T00:00:00"/>
    <x v="6"/>
    <x v="6"/>
    <x v="1"/>
    <s v="SEGMENTO DE NEGOCIOS"/>
    <s v="NC ALIMENTACION DE EMPLEADOS NVA"/>
    <s v="TRANSACCIONES DEL DIA 07/23/2019SPYRAL - GESTION ADMINISTRATIVA"/>
    <n v="98.08"/>
    <n v="0"/>
    <s v="NEGOCIOS"/>
    <x v="2"/>
  </r>
  <r>
    <n v="91"/>
    <d v="2019-01-29T00:00:00"/>
    <x v="7"/>
    <x v="7"/>
    <x v="1"/>
    <s v="BANCA PRIVADA"/>
    <s v="ALIMENTACION DE EMPLEADOS CTA NUEVA"/>
    <s v="TRANSACCIONES DEL DIA 01/29/2019SPYRAL - GESTION ADMINISTRATIVA"/>
    <n v="34.24"/>
    <n v="0"/>
    <s v="NEGOCIOS"/>
    <x v="2"/>
  </r>
  <r>
    <n v="91"/>
    <d v="2019-03-01T00:00:00"/>
    <x v="9"/>
    <x v="9"/>
    <x v="1"/>
    <s v="BANCA PRIVADA"/>
    <s v="NC ALIMENTACION DE EMPLEADOS NVA"/>
    <s v="TRANSACCIONES DEL DIA 03/01/2019SPYRAL - GESTION ADMINISTRATIVA"/>
    <n v="38.96"/>
    <n v="0"/>
    <s v="NEGOCIOS"/>
    <x v="2"/>
  </r>
  <r>
    <n v="91"/>
    <d v="2019-04-23T00:00:00"/>
    <x v="10"/>
    <x v="10"/>
    <x v="1"/>
    <s v="BANCA PRIVADA"/>
    <s v="NC ALIMENTACION DE EMPLEADOS NVA"/>
    <s v="TRANSACCIONES DEL DIA 04/23/2019SPYRAL - GESTION ADMINISTRATIVA"/>
    <n v="73.75"/>
    <n v="0"/>
    <s v="NEGOCIOS"/>
    <x v="2"/>
  </r>
  <r>
    <n v="91"/>
    <d v="2019-05-07T00:00:00"/>
    <x v="11"/>
    <x v="11"/>
    <x v="1"/>
    <s v="BANCA PRIVADA"/>
    <s v="NC ALIMENTACION DE EMPLEADOS NVA"/>
    <s v="TRANSACCIONES DEL DIA 05/07/2019SPYRAL - GESTION ADMINISTRATIVA"/>
    <n v="5.16"/>
    <n v="0"/>
    <s v="NEGOCIOS"/>
    <x v="2"/>
  </r>
  <r>
    <n v="91"/>
    <d v="2019-05-10T00:00:00"/>
    <x v="11"/>
    <x v="11"/>
    <x v="1"/>
    <s v="BANCA PRIVADA"/>
    <s v="NC ALIMENTACION DE EMPLEADOS NVA"/>
    <s v="TRANSACCIONES DEL DIA 05/10/2019SPYRAL - GESTION ADMINISTRATIVA"/>
    <n v="91.6"/>
    <n v="0"/>
    <s v="NEGOCIOS"/>
    <x v="2"/>
  </r>
  <r>
    <n v="91"/>
    <d v="2019-06-03T00:00:00"/>
    <x v="2"/>
    <x v="2"/>
    <x v="1"/>
    <s v="BANCA PRIVADA"/>
    <s v="NC ALIMENTACION DE EMPLEADOS NVA"/>
    <s v="TRANSACCIONES DEL DIA 06/03/2019SPYRAL - GESTION ADMINISTRATIVA"/>
    <n v="65.12"/>
    <n v="0"/>
    <s v="NEGOCIOS"/>
    <x v="2"/>
  </r>
  <r>
    <n v="91"/>
    <d v="2019-06-26T00:00:00"/>
    <x v="2"/>
    <x v="2"/>
    <x v="1"/>
    <s v="BANCA PRIVADA"/>
    <s v="NC ALIMENTACION DE EMPLEADOS NVA"/>
    <s v="TRANSACCIONES DEL DIA 06/26/2019SPYRAL - GESTION ADMINISTRATIVA"/>
    <n v="137.63"/>
    <n v="0"/>
    <s v="NEGOCIOS"/>
    <x v="2"/>
  </r>
  <r>
    <n v="91"/>
    <d v="2019-07-09T00:00:00"/>
    <x v="6"/>
    <x v="6"/>
    <x v="1"/>
    <s v="BANCA PRIVADA"/>
    <s v="NC ALIMENTACION DE EMPLEADOS NVA"/>
    <s v="TRANSACCIONES DEL DIA 07/09/2019SPYRAL - GESTION ADMINISTRATIVA"/>
    <n v="0"/>
    <n v="21.98"/>
    <s v="NEGOCIOS"/>
    <x v="2"/>
  </r>
  <r>
    <n v="91"/>
    <d v="2019-01-22T00:00:00"/>
    <x v="7"/>
    <x v="7"/>
    <x v="1"/>
    <s v="BANCA COMERCIAL"/>
    <s v="NC ALIMENTACION DE EMPLEADOS NVA"/>
    <s v="TRANSACCIONES DEL DIA 01/22/2019SPYRAL - GESTION ADMINISTRATIVA"/>
    <n v="45.75"/>
    <n v="0"/>
    <s v="NEGOCIOS"/>
    <x v="2"/>
  </r>
  <r>
    <n v="91"/>
    <d v="2019-02-13T00:00:00"/>
    <x v="8"/>
    <x v="8"/>
    <x v="1"/>
    <s v="BANCA COMERCIAL"/>
    <s v="NC ALIMENTACION DE EMPLEADOS NVA"/>
    <s v="TRANSACCIONES DEL DIA 02/13/2019SPYRAL - GESTION ADMINISTRATIVA"/>
    <n v="158.47999999999999"/>
    <n v="0"/>
    <s v="NEGOCIOS"/>
    <x v="2"/>
  </r>
  <r>
    <n v="91"/>
    <d v="2019-02-19T00:00:00"/>
    <x v="8"/>
    <x v="8"/>
    <x v="1"/>
    <s v="BANCA COMERCIAL"/>
    <s v="NC ALIMENTACION DE EMPLEADOS NVA"/>
    <s v="TRANSACCIONES DEL DIA 02/19/2019SPYRAL - GESTION ADMINISTRATIVA"/>
    <n v="20.75"/>
    <n v="0"/>
    <s v="NEGOCIOS"/>
    <x v="2"/>
  </r>
  <r>
    <n v="91"/>
    <d v="2019-03-12T00:00:00"/>
    <x v="9"/>
    <x v="9"/>
    <x v="1"/>
    <s v="BANCA COMERCIAL"/>
    <s v="ALIMENTACION DE EMPLEADOS CTA NUEVA"/>
    <s v="TRANSACCIONES DEL DIA 03/12/2019SPYRAL - GESTION ADMINISTRATIVA"/>
    <n v="121.95"/>
    <n v="0"/>
    <s v="NEGOCIOS"/>
    <x v="2"/>
  </r>
  <r>
    <n v="91"/>
    <d v="2019-05-03T00:00:00"/>
    <x v="11"/>
    <x v="11"/>
    <x v="1"/>
    <s v="BANCA COMERCIAL"/>
    <s v="ALIMENTACION DE EMPLEADOS CTA NUEVA"/>
    <s v="TRANSACCIONES DEL DIA 05/03/2019SPYRAL - GESTION ADMINISTRATIVA"/>
    <n v="62.75"/>
    <n v="0"/>
    <s v="NEGOCIOS"/>
    <x v="2"/>
  </r>
  <r>
    <n v="91"/>
    <d v="2019-05-21T00:00:00"/>
    <x v="11"/>
    <x v="11"/>
    <x v="1"/>
    <s v="BANCA COMERCIAL"/>
    <s v="NC ALIMENTACION DE EMPLEADOS NVA"/>
    <s v="TRANSACCIONES DEL DIA 05/21/2019SPYRAL - GESTION ADMINISTRATIVA"/>
    <n v="21.58"/>
    <n v="0"/>
    <s v="NEGOCIOS"/>
    <x v="2"/>
  </r>
  <r>
    <n v="91"/>
    <d v="2019-06-10T00:00:00"/>
    <x v="2"/>
    <x v="2"/>
    <x v="1"/>
    <s v="BANCA COMERCIAL"/>
    <s v="NC ALIMENTACION DE EMPLEADOS NVA"/>
    <s v="TRANSACCIONES DEL DIA 06/10/2019SPYRAL - GESTION ADMINISTRATIVA"/>
    <n v="103"/>
    <n v="0"/>
    <s v="NEGOCIOS"/>
    <x v="2"/>
  </r>
  <r>
    <n v="91"/>
    <d v="2019-06-17T00:00:00"/>
    <x v="2"/>
    <x v="2"/>
    <x v="1"/>
    <s v="BANCA COMERCIAL"/>
    <s v="NC ALIMENTACION DE EMPLEADOS NVA"/>
    <s v="TRANSACCIONES DEL DIA 06/17/2019SPYRAL - GESTION ADMINISTRATIVA"/>
    <n v="153.63999999999999"/>
    <n v="0"/>
    <s v="NEGOCIOS"/>
    <x v="2"/>
  </r>
  <r>
    <n v="91"/>
    <d v="2019-01-03T00:00:00"/>
    <x v="7"/>
    <x v="7"/>
    <x v="1"/>
    <s v="BANCA COMERCIAL INTERIOR"/>
    <s v="NC ALIMENTACION DE EMPLEADOS NVA"/>
    <s v="TRANSACCIONES DEL DIA 01/03/2019SPYRAL - GESTION ADMINISTRATIVA"/>
    <n v="113.39"/>
    <n v="0"/>
    <s v="NEGOCIOS"/>
    <x v="2"/>
  </r>
  <r>
    <n v="91"/>
    <d v="2019-01-22T00:00:00"/>
    <x v="7"/>
    <x v="7"/>
    <x v="1"/>
    <s v="BANCA COMERCIAL INTERIOR"/>
    <s v="NC ALIMENTACION DE EMPLEADOS NVA"/>
    <s v="TRANSACCIONES DEL DIA 01/22/2019SPYRAL - GESTION ADMINISTRATIVA"/>
    <n v="50.36"/>
    <n v="0"/>
    <s v="NEGOCIOS"/>
    <x v="2"/>
  </r>
  <r>
    <n v="91"/>
    <d v="2019-02-13T00:00:00"/>
    <x v="8"/>
    <x v="8"/>
    <x v="1"/>
    <s v="BANCA COMERCIAL INTERIOR"/>
    <s v="NC ALIMENTACION DE EMPLEADOS NVA"/>
    <s v="TRANSACCIONES DEL DIA 02/13/2019SPYRAL - GESTION ADMINISTRATIVA"/>
    <n v="144.99"/>
    <n v="0"/>
    <s v="NEGOCIOS"/>
    <x v="2"/>
  </r>
  <r>
    <n v="91"/>
    <d v="2019-02-15T00:00:00"/>
    <x v="8"/>
    <x v="8"/>
    <x v="1"/>
    <s v="BANCA COMERCIAL INTERIOR"/>
    <s v="NC ALIMENTACION DE EMPLEADOS NVA"/>
    <s v="TRANSACCIONES DEL DIA 02/15/2019SPYRAL - GESTION ADMINISTRATIVA"/>
    <n v="16.260000000000002"/>
    <n v="0"/>
    <s v="NEGOCIOS"/>
    <x v="2"/>
  </r>
  <r>
    <n v="91"/>
    <d v="2019-02-22T00:00:00"/>
    <x v="8"/>
    <x v="8"/>
    <x v="1"/>
    <s v="BANCA COMERCIAL INTERIOR"/>
    <s v="NC ALIMENTACION DE EMPLEADOS NVA"/>
    <s v="TRANSACCIONES DEL DIA 02/22/2019SPYRAL - GESTION ADMINISTRATIVA"/>
    <n v="171.21"/>
    <n v="0"/>
    <s v="NEGOCIOS"/>
    <x v="2"/>
  </r>
  <r>
    <n v="91"/>
    <d v="2019-03-07T00:00:00"/>
    <x v="9"/>
    <x v="9"/>
    <x v="1"/>
    <s v="BANCA COMERCIAL INTERIOR"/>
    <s v="NC ALIMENTACION DE EMPLEADOS NVA"/>
    <s v="TRANSACCIONES DEL DIA 03/07/2019SPYRAL - GESTION ADMINISTRATIVA"/>
    <n v="57.09"/>
    <n v="0"/>
    <s v="NEGOCIOS"/>
    <x v="2"/>
  </r>
  <r>
    <n v="91"/>
    <d v="2019-04-11T00:00:00"/>
    <x v="10"/>
    <x v="10"/>
    <x v="1"/>
    <s v="BANCA COMERCIAL INTERIOR"/>
    <s v="NC ALIMENTACION DE EMPLEADOS NVA"/>
    <s v="TRANSACCIONES DEL DIA 04/11/2019SPYRAL - GESTION ADMINISTRATIVA"/>
    <n v="52.95"/>
    <n v="0"/>
    <s v="NEGOCIOS"/>
    <x v="2"/>
  </r>
  <r>
    <n v="91"/>
    <d v="2019-04-12T00:00:00"/>
    <x v="10"/>
    <x v="10"/>
    <x v="1"/>
    <s v="BANCA COMERCIAL INTERIOR"/>
    <s v="NC ALIMENTACION DE EMPLEADOS NVA"/>
    <s v="TRANSACCIONES DEL DIA 04/12/2019SPYRAL - GESTION ADMINISTRATIVA"/>
    <n v="8.5"/>
    <n v="0"/>
    <s v="NEGOCIOS"/>
    <x v="2"/>
  </r>
  <r>
    <n v="91"/>
    <d v="2019-07-11T00:00:00"/>
    <x v="6"/>
    <x v="6"/>
    <x v="1"/>
    <s v="BANCA COMERCIAL INTERIOR"/>
    <s v="NC ALIMENTACION DE EMPLEADOS NVA"/>
    <s v="TRANSACCIONES DEL DIA 07/11/2019SPYRAL - GESTION ADMINISTRATIVA"/>
    <n v="0"/>
    <n v="68.680000000000007"/>
    <s v="NEGOCIOS"/>
    <x v="2"/>
  </r>
  <r>
    <n v="91"/>
    <d v="2019-07-12T00:00:00"/>
    <x v="6"/>
    <x v="6"/>
    <x v="1"/>
    <s v="BANCA COMERCIAL INTERIOR"/>
    <s v="NC ALIMENTACION DE EMPLEADOS NVA"/>
    <s v="TRANSACCIONES DEL DIA 07/12/2019SPYRAL - GESTION ADMINISTRATIVA"/>
    <n v="49.5"/>
    <n v="0"/>
    <s v="NEGOCIOS"/>
    <x v="2"/>
  </r>
  <r>
    <n v="91"/>
    <d v="2019-06-14T00:00:00"/>
    <x v="2"/>
    <x v="2"/>
    <x v="1"/>
    <s v="BANCA COMERCIAL CENTRO"/>
    <s v="ALIMENTACION DE EMPLEADOS CTA NUEVA"/>
    <s v="TRANSACCIONES DEL DIA 06/14/2019SPYRAL - GESTION ADMINISTRATIVA"/>
    <n v="22.3"/>
    <n v="0"/>
    <s v="NEGOCIOS"/>
    <x v="2"/>
  </r>
  <r>
    <n v="91"/>
    <d v="2019-03-19T00:00:00"/>
    <x v="9"/>
    <x v="9"/>
    <x v="1"/>
    <s v="BANCA COMERCIAL PERIFERIA"/>
    <s v="NC ALIMENTACION DE EMPLEADOS NVA"/>
    <s v="TRANSACCIONES DEL DIA 03/19/2019SPYRAL - GESTION ADMINISTRATIVA"/>
    <n v="87.63"/>
    <n v="0"/>
    <s v="NEGOCIOS"/>
    <x v="2"/>
  </r>
  <r>
    <n v="91"/>
    <d v="2019-03-19T00:00:00"/>
    <x v="9"/>
    <x v="9"/>
    <x v="1"/>
    <s v="BANCA COMERCIAL PERIFERIA"/>
    <s v="ALIMENTACION DE EMPLEADOS CTA NUEVA"/>
    <s v="TRANSACCIONES DEL DIA 03/19/2019SPYRAL - GESTION ADMINISTRATIVA"/>
    <n v="100"/>
    <n v="0"/>
    <s v="NEGOCIOS"/>
    <x v="2"/>
  </r>
  <r>
    <n v="91"/>
    <d v="2019-04-03T00:00:00"/>
    <x v="10"/>
    <x v="10"/>
    <x v="1"/>
    <s v="IMAGEN CORPORATIVA"/>
    <s v="ALIMENTACION DE EMPLEADOS CTA NUEVA"/>
    <s v="TRANSACCIONES DEL DIA 04/03/2019SPYRAL - GESTION ADMINISTRATIVA"/>
    <n v="14.75"/>
    <n v="0"/>
    <s v="NEGOCIOS"/>
    <x v="2"/>
  </r>
  <r>
    <n v="95"/>
    <d v="2019-01-21T00:00:00"/>
    <x v="7"/>
    <x v="7"/>
    <x v="1"/>
    <s v="ADMINISTRACION DE SUCURSALES"/>
    <s v="ALIMENTACION DE EMPLEADOS CTA NUEVA"/>
    <s v="TRANSACCIONES DEL DIA 01/21/2019SPYRAL - GESTION ADMINISTRATIVA"/>
    <n v="16"/>
    <n v="0"/>
    <s v="BOULEVARD EL DORADO"/>
    <x v="2"/>
  </r>
  <r>
    <n v="95"/>
    <d v="2019-03-12T00:00:00"/>
    <x v="9"/>
    <x v="9"/>
    <x v="1"/>
    <s v="ADMINISTRACION DE SUCURSALES"/>
    <s v="NC ALIMENTACION DE EMPLEADOS NVA"/>
    <s v="TRANSACCIONES DEL DIA 03/12/2019SPYRAL - GESTION ADMINISTRATIVA"/>
    <n v="47.25"/>
    <n v="0"/>
    <s v="BOULEVARD EL DORADO"/>
    <x v="2"/>
  </r>
  <r>
    <n v="95"/>
    <d v="2019-05-21T00:00:00"/>
    <x v="11"/>
    <x v="11"/>
    <x v="1"/>
    <s v="ADMINISTRACION DE SUCURSALES"/>
    <s v="ALIMENTACION DE EMPLEADOS CTA NUEVA"/>
    <s v="TRANSACCIONES DEL DIA 05/21/2019SPYRAL - GESTION ADMINISTRATIVA"/>
    <n v="8"/>
    <n v="0"/>
    <s v="BOULEVARD EL DORADO"/>
    <x v="2"/>
  </r>
  <r>
    <n v="95"/>
    <d v="2019-06-10T00:00:00"/>
    <x v="2"/>
    <x v="2"/>
    <x v="1"/>
    <s v="ADMINISTRACION DE SUCURSALES"/>
    <s v="NC ALIMENTACION DE EMPLEADOS NVA"/>
    <s v="TRANSACCIONES DEL DIA 06/10/2019SPYRAL - GESTION ADMINISTRATIVA"/>
    <n v="67.5"/>
    <n v="0"/>
    <s v="BOULEVARD EL DORADO"/>
    <x v="2"/>
  </r>
  <r>
    <n v="95"/>
    <d v="2019-06-17T00:00:00"/>
    <x v="2"/>
    <x v="2"/>
    <x v="1"/>
    <s v="ADMINISTRACION DE SUCURSALES"/>
    <s v="NC ALIMENTACION DE EMPLEADOS NVA"/>
    <s v="TRANSACCIONES DEL DIA 06/17/2019SPYRAL - GESTION ADMINISTRATIVA"/>
    <n v="22.07"/>
    <n v="0"/>
    <s v="BOULEVARD EL DORADO"/>
    <x v="2"/>
  </r>
  <r>
    <n v="95"/>
    <d v="2019-01-02T00:00:00"/>
    <x v="7"/>
    <x v="7"/>
    <x v="1"/>
    <s v="CAJA"/>
    <s v="ALIMENTACION DE EMPLEADOS CTA NUEVA"/>
    <s v="TRANSACCIONES DEL DIA 01/02/2019SPYRAL - GESTION ADMINISTRATIVA"/>
    <n v="24"/>
    <n v="0"/>
    <s v="BOULEVARD EL DORADO"/>
    <x v="2"/>
  </r>
  <r>
    <n v="95"/>
    <d v="2019-01-18T00:00:00"/>
    <x v="7"/>
    <x v="7"/>
    <x v="1"/>
    <s v="CAJA"/>
    <s v="ALIMENTACION DE EMPLEADOS CTA NUEVA"/>
    <s v="TRANSACCIONES DEL DIA 01/18/2019SPYRAL - GESTION ADMINISTRATIVA"/>
    <n v="32"/>
    <n v="0"/>
    <s v="BOULEVARD EL DORADO"/>
    <x v="2"/>
  </r>
  <r>
    <n v="95"/>
    <d v="2019-02-04T00:00:00"/>
    <x v="8"/>
    <x v="8"/>
    <x v="1"/>
    <s v="CAJA"/>
    <s v="ALIMENTACION DE EMPLEADOS CTA NUEVA"/>
    <s v="TRANSACCIONES DEL DIA 02/04/2019SPYRAL - GESTION ADMINISTRATIVA"/>
    <n v="16"/>
    <n v="0"/>
    <s v="BOULEVARD EL DORADO"/>
    <x v="2"/>
  </r>
  <r>
    <n v="95"/>
    <d v="2019-02-11T00:00:00"/>
    <x v="8"/>
    <x v="8"/>
    <x v="1"/>
    <s v="CAJA"/>
    <s v="ALIMENTACION DE EMPLEADOS CTA NUEVA"/>
    <s v="TRANSACCIONES DEL DIA 02/11/2019SPYRAL - GESTION ADMINISTRATIVA"/>
    <n v="8"/>
    <n v="0"/>
    <s v="BOULEVARD EL DORADO"/>
    <x v="2"/>
  </r>
  <r>
    <n v="95"/>
    <d v="2019-03-08T00:00:00"/>
    <x v="9"/>
    <x v="9"/>
    <x v="1"/>
    <s v="CAJA"/>
    <s v="ALIMENTACION DE EMPLEADOS CTA NUEVA"/>
    <s v="TRANSACCIONES DEL DIA 03/08/2019SPYRAL - GESTION ADMINISTRATIVA"/>
    <n v="16"/>
    <n v="0"/>
    <s v="BOULEVARD EL DORADO"/>
    <x v="2"/>
  </r>
  <r>
    <n v="95"/>
    <d v="2019-03-11T00:00:00"/>
    <x v="9"/>
    <x v="9"/>
    <x v="1"/>
    <s v="CAJA"/>
    <s v="ALIMENTACION DE EMPLEADOS CTA NUEVA"/>
    <s v="TRANSACCIONES DEL DIA 03/11/2019SPYRAL - GESTION ADMINISTRATIVA"/>
    <n v="56"/>
    <n v="0"/>
    <s v="BOULEVARD EL DORADO"/>
    <x v="2"/>
  </r>
  <r>
    <n v="95"/>
    <d v="2019-03-18T00:00:00"/>
    <x v="9"/>
    <x v="9"/>
    <x v="1"/>
    <s v="CAJA"/>
    <s v="ALIMENTACION DE EMPLEADOS CTA NUEVA"/>
    <s v="TRANSACCIONES DEL DIA 03/18/2019SPYRAL - GESTION ADMINISTRATIVA"/>
    <n v="16"/>
    <n v="0"/>
    <s v="BOULEVARD EL DORADO"/>
    <x v="2"/>
  </r>
  <r>
    <n v="95"/>
    <d v="2019-04-01T00:00:00"/>
    <x v="10"/>
    <x v="10"/>
    <x v="1"/>
    <s v="CAJA"/>
    <s v="ALIMENTACION DE EMPLEADOS CTA NUEVA"/>
    <s v="TRANSACCIONES DEL DIA 04/01/2019SPYRAL - GESTION ADMINISTRATIVA"/>
    <n v="24"/>
    <n v="0"/>
    <s v="BOULEVARD EL DORADO"/>
    <x v="2"/>
  </r>
  <r>
    <n v="95"/>
    <d v="2019-04-05T00:00:00"/>
    <x v="10"/>
    <x v="10"/>
    <x v="1"/>
    <s v="CAJA"/>
    <s v="ALIMENTACION DE EMPLEADOS CTA NUEVA"/>
    <s v="TRANSACCIONES DEL DIA 04/05/2019SPYRAL - GESTION ADMINISTRATIVA"/>
    <n v="24"/>
    <n v="0"/>
    <s v="BOULEVARD EL DORADO"/>
    <x v="2"/>
  </r>
  <r>
    <n v="95"/>
    <d v="2019-04-06T00:00:00"/>
    <x v="10"/>
    <x v="10"/>
    <x v="1"/>
    <s v="CAJA"/>
    <s v="ALIMENTACION DE EMPLEADOS CTA NUEVA"/>
    <s v="TRANSACCIONES DEL DIA 04/06/2019SPYRAL - GESTION ADMINISTRATIVA"/>
    <n v="16"/>
    <n v="0"/>
    <s v="BOULEVARD EL DORADO"/>
    <x v="2"/>
  </r>
  <r>
    <n v="95"/>
    <d v="2019-04-11T00:00:00"/>
    <x v="10"/>
    <x v="10"/>
    <x v="1"/>
    <s v="CAJA"/>
    <s v="ALIMENTACION DE EMPLEADOS CTA NUEVA"/>
    <s v="TRANSACCIONES DEL DIA 04/11/2019SPYRAL - GESTION ADMINISTRATIVA"/>
    <n v="8"/>
    <n v="0"/>
    <s v="BOULEVARD EL DORADO"/>
    <x v="2"/>
  </r>
  <r>
    <n v="95"/>
    <d v="2019-04-16T00:00:00"/>
    <x v="10"/>
    <x v="10"/>
    <x v="1"/>
    <s v="CAJA"/>
    <s v="ALIMENTACION DE EMPLEADOS CTA NUEVA"/>
    <s v="TRANSACCIONES DEL DIA 04/16/2019SPYRAL - GESTION ADMINISTRATIVA"/>
    <n v="32"/>
    <n v="0"/>
    <s v="BOULEVARD EL DORADO"/>
    <x v="2"/>
  </r>
  <r>
    <n v="95"/>
    <d v="2019-04-17T00:00:00"/>
    <x v="10"/>
    <x v="10"/>
    <x v="1"/>
    <s v="CAJA"/>
    <s v="ALIMENTACION DE EMPLEADOS CTA NUEVA"/>
    <s v="TRANSACCIONES DEL DIA 04/17/2019SPYRAL - GESTION ADMINISTRATIVA"/>
    <n v="8"/>
    <n v="0"/>
    <s v="BOULEVARD EL DORADO"/>
    <x v="2"/>
  </r>
  <r>
    <n v="95"/>
    <d v="2019-04-25T00:00:00"/>
    <x v="10"/>
    <x v="10"/>
    <x v="1"/>
    <s v="CAJA"/>
    <s v="ALIMENTACION DE EMPLEADOS CTA NUEVA"/>
    <s v="TRANSACCIONES DEL DIA 04/25/2019SPYRAL - GESTION ADMINISTRATIVA"/>
    <n v="32"/>
    <n v="0"/>
    <s v="BOULEVARD EL DORADO"/>
    <x v="2"/>
  </r>
  <r>
    <n v="95"/>
    <d v="2019-05-03T00:00:00"/>
    <x v="11"/>
    <x v="11"/>
    <x v="1"/>
    <s v="CAJA"/>
    <s v="ALIMENTACION DE EMPLEADOS CTA NUEVA"/>
    <s v="TRANSACCIONES DEL DIA 05/03/2019SPYRAL - GESTION ADMINISTRATIVA"/>
    <n v="8"/>
    <n v="0"/>
    <s v="BOULEVARD EL DORADO"/>
    <x v="2"/>
  </r>
  <r>
    <n v="95"/>
    <d v="2019-05-04T00:00:00"/>
    <x v="11"/>
    <x v="11"/>
    <x v="1"/>
    <s v="CAJA"/>
    <s v="ALIMENTACION DE EMPLEADOS CTA NUEVA"/>
    <s v="TRANSACCIONES DEL DIA 05/04/2019SPYRAL - GESTION ADMINISTRATIVA"/>
    <n v="40"/>
    <n v="0"/>
    <s v="BOULEVARD EL DORADO"/>
    <x v="2"/>
  </r>
  <r>
    <n v="95"/>
    <d v="2019-06-14T00:00:00"/>
    <x v="2"/>
    <x v="2"/>
    <x v="1"/>
    <s v="CAJA"/>
    <s v="ALIMENTACION DE EMPLEADOS CTA NUEVA"/>
    <s v="TRANSACCIONES DEL DIA 06/14/2019SPYRAL - GESTION ADMINISTRATIVA"/>
    <n v="24"/>
    <n v="0"/>
    <s v="BOULEVARD EL DORADO"/>
    <x v="2"/>
  </r>
  <r>
    <n v="95"/>
    <d v="2019-06-18T00:00:00"/>
    <x v="2"/>
    <x v="2"/>
    <x v="1"/>
    <s v="CAJA"/>
    <s v="ALIMENTACION DE EMPLEADOS CTA NUEVA"/>
    <s v="TRANSACCIONES DEL DIA 06/18/2019SPYRAL - GESTION ADMINISTRATIVA"/>
    <n v="16"/>
    <n v="0"/>
    <s v="BOULEVARD EL DORADO"/>
    <x v="2"/>
  </r>
  <r>
    <n v="95"/>
    <d v="2019-07-05T00:00:00"/>
    <x v="6"/>
    <x v="6"/>
    <x v="1"/>
    <s v="CAJA"/>
    <s v="ALIMENTACION DE EMPLEADOS CTA NUEVA"/>
    <s v="TRANSACCIONES DEL DIA 07/05/2019SPYRAL - GESTION ADMINISTRATIVA"/>
    <n v="8"/>
    <n v="0"/>
    <s v="BOULEVARD EL DORADO"/>
    <x v="2"/>
  </r>
  <r>
    <n v="95"/>
    <d v="2019-07-08T00:00:00"/>
    <x v="6"/>
    <x v="6"/>
    <x v="1"/>
    <s v="CAJA"/>
    <s v="ALIMENTACION DE EMPLEADOS CTA NUEVA"/>
    <s v="TRANSACCIONES DEL DIA 07/08/2019SPYRAL - GESTION ADMINISTRATIVA"/>
    <n v="8"/>
    <n v="0"/>
    <s v="BOULEVARD EL DORADO"/>
    <x v="2"/>
  </r>
  <r>
    <n v="95"/>
    <d v="2019-07-20T00:00:00"/>
    <x v="6"/>
    <x v="6"/>
    <x v="1"/>
    <s v="CAJA"/>
    <s v="ALIMENTACION DE EMPLEADOS CTA NUEVA"/>
    <s v="TRANSACCIONES DEL DIA 07/20/2019SPYRAL - GESTION ADMINISTRATIVA"/>
    <n v="24"/>
    <n v="0"/>
    <s v="BOULEVARD EL DORADO"/>
    <x v="2"/>
  </r>
  <r>
    <n v="95"/>
    <d v="2019-07-25T00:00:00"/>
    <x v="6"/>
    <x v="6"/>
    <x v="1"/>
    <s v="CAJA"/>
    <s v="ALIMENTACION DE EMPLEADOS CTA NUEVA"/>
    <s v="TRANSACCIONES DEL DIA 07/25/2019SPYRAL - GESTION ADMINISTRATIVA"/>
    <n v="8"/>
    <n v="0"/>
    <s v="BOULEVARD EL DORADO"/>
    <x v="2"/>
  </r>
  <r>
    <n v="95"/>
    <d v="2019-01-16T00:00:00"/>
    <x v="7"/>
    <x v="7"/>
    <x v="1"/>
    <s v="SERVICIOS PERSONALES"/>
    <s v="ALIMENTACION DE EMPLEADOS CTA NUEVA"/>
    <s v="TRANSACCIONES DEL DIA 01/16/2019SPYRAL - GESTION ADMINISTRATIVA"/>
    <n v="8"/>
    <n v="0"/>
    <s v="BOULEVARD EL DORADO"/>
    <x v="2"/>
  </r>
  <r>
    <n v="95"/>
    <d v="2019-01-21T00:00:00"/>
    <x v="7"/>
    <x v="7"/>
    <x v="1"/>
    <s v="SERVICIOS PERSONALES"/>
    <s v="ALIMENTACION DE EMPLEADOS CTA NUEVA"/>
    <s v="TRANSACCIONES DEL DIA 01/21/2019SPYRAL - GESTION ADMINISTRATIVA"/>
    <n v="16"/>
    <n v="0"/>
    <s v="BOULEVARD EL DORADO"/>
    <x v="2"/>
  </r>
  <r>
    <n v="95"/>
    <d v="2019-02-11T00:00:00"/>
    <x v="8"/>
    <x v="8"/>
    <x v="1"/>
    <s v="SERVICIOS PERSONALES"/>
    <s v="ALIMENTACION DE EMPLEADOS CTA NUEVA"/>
    <s v="TRANSACCIONES DEL DIA 02/11/2019SPYRAL - GESTION ADMINISTRATIVA"/>
    <n v="8"/>
    <n v="0"/>
    <s v="BOULEVARD EL DORADO"/>
    <x v="2"/>
  </r>
  <r>
    <n v="95"/>
    <d v="2019-04-04T00:00:00"/>
    <x v="10"/>
    <x v="10"/>
    <x v="1"/>
    <s v="SERVICIOS PERSONALES"/>
    <s v="ALIMENTACION DE EMPLEADOS CTA NUEVA"/>
    <s v="TRANSACCIONES DEL DIA 04/04/2019SPYRAL - GESTION ADMINISTRATIVA"/>
    <n v="16"/>
    <n v="0"/>
    <s v="BOULEVARD EL DORADO"/>
    <x v="2"/>
  </r>
  <r>
    <n v="95"/>
    <d v="2019-04-16T00:00:00"/>
    <x v="10"/>
    <x v="10"/>
    <x v="1"/>
    <s v="SERVICIOS PERSONALES"/>
    <s v="ALIMENTACION DE EMPLEADOS CTA NUEVA"/>
    <s v="TRANSACCIONES DEL DIA 04/16/2019SPYRAL - GESTION ADMINISTRATIVA"/>
    <n v="8"/>
    <n v="0"/>
    <s v="BOULEVARD EL DORADO"/>
    <x v="2"/>
  </r>
  <r>
    <n v="95"/>
    <d v="2019-04-22T00:00:00"/>
    <x v="10"/>
    <x v="10"/>
    <x v="1"/>
    <s v="SERVICIOS PERSONALES"/>
    <s v="ALIMENTACION DE EMPLEADOS CTA NUEVA"/>
    <s v="TRANSACCIONES DEL DIA 04/22/2019SPYRAL - GESTION ADMINISTRATIVA"/>
    <n v="8"/>
    <n v="0"/>
    <s v="BOULEVARD EL DORADO"/>
    <x v="2"/>
  </r>
  <r>
    <n v="95"/>
    <d v="2019-05-22T00:00:00"/>
    <x v="11"/>
    <x v="11"/>
    <x v="1"/>
    <s v="SERVICIOS PERSONALES"/>
    <s v="ALIMENTACION DE EMPLEADOS CTA NUEVA"/>
    <s v="TRANSACCIONES DEL DIA 05/22/2019SPYRAL - GESTION ADMINISTRATIVA"/>
    <n v="24"/>
    <n v="0"/>
    <s v="BOULEVARD EL DORADO"/>
    <x v="2"/>
  </r>
  <r>
    <n v="95"/>
    <d v="2019-06-01T00:00:00"/>
    <x v="2"/>
    <x v="2"/>
    <x v="1"/>
    <s v="SERVICIOS PERSONALES"/>
    <s v="ALIMENTACION DE EMPLEADOS CTA NUEVA"/>
    <s v="TRANSACCIONES DEL DIA 06/01/2019SPYRAL - GESTION ADMINISTRATIVA"/>
    <n v="16"/>
    <n v="0"/>
    <s v="BOULEVARD EL DORADO"/>
    <x v="2"/>
  </r>
  <r>
    <n v="95"/>
    <d v="2019-07-16T00:00:00"/>
    <x v="6"/>
    <x v="6"/>
    <x v="1"/>
    <s v="SERVICIOS PERSONALES"/>
    <s v="ALIMENTACION DE EMPLEADOS CTA NUEVA"/>
    <s v="TRANSACCIONES DEL DIA 07/16/2019SPYRAL - GESTION ADMINISTRATIVA"/>
    <n v="8"/>
    <n v="0"/>
    <s v="BOULEVARD EL DORADO"/>
    <x v="2"/>
  </r>
  <r>
    <n v="95"/>
    <d v="2019-07-19T00:00:00"/>
    <x v="6"/>
    <x v="6"/>
    <x v="1"/>
    <s v="SERVICIOS PERSONALES"/>
    <s v="ALIMENTACION DE EMPLEADOS CTA NUEVA"/>
    <s v="TRANSACCIONES DEL DIA 07/19/2019SPYRAL - GESTION ADMINISTRATIVA"/>
    <n v="16"/>
    <n v="0"/>
    <s v="BOULEVARD EL DORADO"/>
    <x v="2"/>
  </r>
  <r>
    <n v="95"/>
    <d v="2019-07-22T00:00:00"/>
    <x v="6"/>
    <x v="6"/>
    <x v="1"/>
    <s v="SERVICIOS PERSONALES"/>
    <s v="ALIMENTACION DE EMPLEADOS CTA NUEVA"/>
    <s v="TRANSACCIONES DEL DIA 07/22/2019SPYRAL - GESTION ADMINISTRATIVA"/>
    <n v="16"/>
    <n v="0"/>
    <s v="BOULEVARD EL DORADO"/>
    <x v="2"/>
  </r>
  <r>
    <n v="95"/>
    <d v="2019-07-29T00:00:00"/>
    <x v="6"/>
    <x v="6"/>
    <x v="1"/>
    <s v="SERVICIOS PERSONALES"/>
    <s v="ALIMENTACION DE EMPLEADOS CTA NUEVA"/>
    <s v="TRANSACCIONES DEL DIA 07/29/2019SPYRAL - GESTION ADMINISTRATIVA"/>
    <n v="8"/>
    <n v="0"/>
    <s v="BOULEVARD EL DORADO"/>
    <x v="2"/>
  </r>
  <r>
    <n v="97"/>
    <d v="2019-03-23T00:00:00"/>
    <x v="9"/>
    <x v="9"/>
    <x v="1"/>
    <s v="ADMINISTRACION DE SUCURSALES"/>
    <s v="ALIMENTACION DE EMPLEADOS CTA NUEVA"/>
    <s v="TRANSACCIONES DEL DIA 03/23/2019SPYRAL - GESTION ADMINISTRATIVA"/>
    <n v="8"/>
    <n v="0"/>
    <s v="SAN SEBASTIAN"/>
    <x v="2"/>
  </r>
  <r>
    <n v="97"/>
    <d v="2019-05-13T00:00:00"/>
    <x v="11"/>
    <x v="11"/>
    <x v="1"/>
    <s v="ADMINISTRACION DE SUCURSALES"/>
    <s v="ALIMENTACION DE EMPLEADOS CTA NUEVA"/>
    <s v="TRANSACCIONES DEL DIA 05/13/2019SPYRAL - GESTION ADMINISTRATIVA"/>
    <n v="8"/>
    <n v="0"/>
    <s v="SAN SEBASTIAN"/>
    <x v="2"/>
  </r>
  <r>
    <n v="97"/>
    <d v="2019-05-30T00:00:00"/>
    <x v="11"/>
    <x v="11"/>
    <x v="1"/>
    <s v="ADMINISTRACION DE SUCURSALES"/>
    <s v="ALIMENTACION DE EMPLEADOS CTA NUEVA"/>
    <s v="TRANSACCIONES DEL DIA 05/30/2019SPYRAL - GESTION ADMINISTRATIVA"/>
    <n v="8"/>
    <n v="0"/>
    <s v="SAN SEBASTIAN"/>
    <x v="2"/>
  </r>
  <r>
    <n v="97"/>
    <d v="2019-01-03T00:00:00"/>
    <x v="7"/>
    <x v="7"/>
    <x v="1"/>
    <s v="CAJA"/>
    <s v="ALIMENTACION DE EMPLEADOS CTA NUEVA"/>
    <s v="TRANSACCIONES DEL DIA 01/03/2019SPYRAL - GESTION ADMINISTRATIVA"/>
    <n v="8"/>
    <n v="0"/>
    <s v="SAN SEBASTIAN"/>
    <x v="2"/>
  </r>
  <r>
    <n v="97"/>
    <d v="2019-01-04T00:00:00"/>
    <x v="7"/>
    <x v="7"/>
    <x v="1"/>
    <s v="CAJA"/>
    <s v="ALIMENTACION DE EMPLEADOS CTA NUEVA"/>
    <s v="TRANSACCIONES DEL DIA 01/04/2019SPYRAL - GESTION ADMINISTRATIVA"/>
    <n v="64"/>
    <n v="0"/>
    <s v="SAN SEBASTIAN"/>
    <x v="2"/>
  </r>
  <r>
    <n v="97"/>
    <d v="2019-01-05T00:00:00"/>
    <x v="7"/>
    <x v="7"/>
    <x v="1"/>
    <s v="CAJA"/>
    <s v="ALIMENTACION DE EMPLEADOS CTA NUEVA"/>
    <s v="TRANSACCIONES DEL DIA 01/05/2019SPYRAL - GESTION ADMINISTRATIVA"/>
    <n v="32"/>
    <n v="0"/>
    <s v="SAN SEBASTIAN"/>
    <x v="2"/>
  </r>
  <r>
    <n v="97"/>
    <d v="2019-01-10T00:00:00"/>
    <x v="7"/>
    <x v="7"/>
    <x v="1"/>
    <s v="CAJA"/>
    <s v="ALIMENTACION DE EMPLEADOS CTA NUEVA"/>
    <s v="TRANSACCIONES DEL DIA 01/10/2019SPYRAL - GESTION ADMINISTRATIVA"/>
    <n v="8"/>
    <n v="0"/>
    <s v="SAN SEBASTIAN"/>
    <x v="2"/>
  </r>
  <r>
    <n v="97"/>
    <d v="2019-01-11T00:00:00"/>
    <x v="7"/>
    <x v="7"/>
    <x v="1"/>
    <s v="CAJA"/>
    <s v="ALIMENTACION DE EMPLEADOS CTA NUEVA"/>
    <s v="TRANSACCIONES DEL DIA 01/11/2019SPYRAL - GESTION ADMINISTRATIVA"/>
    <n v="8"/>
    <n v="0"/>
    <s v="SAN SEBASTIAN"/>
    <x v="2"/>
  </r>
  <r>
    <n v="97"/>
    <d v="2019-01-14T00:00:00"/>
    <x v="7"/>
    <x v="7"/>
    <x v="1"/>
    <s v="CAJA"/>
    <s v="ALIMENTACION DE EMPLEADOS CTA NUEVA"/>
    <s v="TRANSACCIONES DEL DIA 01/14/2019SPYRAL - GESTION ADMINISTRATIVA"/>
    <n v="32"/>
    <n v="0"/>
    <s v="SAN SEBASTIAN"/>
    <x v="2"/>
  </r>
  <r>
    <n v="97"/>
    <d v="2019-01-15T00:00:00"/>
    <x v="7"/>
    <x v="7"/>
    <x v="1"/>
    <s v="CAJA"/>
    <s v="ALIMENTACION DE EMPLEADOS CTA NUEVA"/>
    <s v="TRANSACCIONES DEL DIA 01/15/2019SPYRAL - GESTION ADMINISTRATIVA"/>
    <n v="16"/>
    <n v="0"/>
    <s v="SAN SEBASTIAN"/>
    <x v="2"/>
  </r>
  <r>
    <n v="97"/>
    <d v="2019-01-21T00:00:00"/>
    <x v="7"/>
    <x v="7"/>
    <x v="1"/>
    <s v="CAJA"/>
    <s v="ALIMENTACION DE EMPLEADOS CTA NUEVA"/>
    <s v="TRANSACCIONES DEL DIA 01/21/2019SPYRAL - GESTION ADMINISTRATIVA"/>
    <n v="80"/>
    <n v="0"/>
    <s v="SAN SEBASTIAN"/>
    <x v="2"/>
  </r>
  <r>
    <n v="97"/>
    <d v="2019-01-22T00:00:00"/>
    <x v="7"/>
    <x v="7"/>
    <x v="1"/>
    <s v="CAJA"/>
    <s v="ALIMENTACION DE EMPLEADOS CTA NUEVA"/>
    <s v="TRANSACCIONES DEL DIA 01/22/2019SPYRAL - GESTION ADMINISTRATIVA"/>
    <n v="56"/>
    <n v="0"/>
    <s v="SAN SEBASTIAN"/>
    <x v="2"/>
  </r>
  <r>
    <n v="97"/>
    <d v="2019-01-30T00:00:00"/>
    <x v="7"/>
    <x v="7"/>
    <x v="1"/>
    <s v="CAJA"/>
    <s v="ALIMENTACION DE EMPLEADOS CTA NUEVA"/>
    <s v="TRANSACCIONES DEL DIA 01/30/2019SPYRAL - GESTION ADMINISTRATIVA"/>
    <n v="48"/>
    <n v="0"/>
    <s v="SAN SEBASTIAN"/>
    <x v="2"/>
  </r>
  <r>
    <n v="97"/>
    <d v="2019-02-01T00:00:00"/>
    <x v="8"/>
    <x v="8"/>
    <x v="1"/>
    <s v="CAJA"/>
    <s v="ALIMENTACION DE EMPLEADOS CTA NUEVA"/>
    <s v="TRANSACCIONES DEL DIA 02/01/2019SPYRAL - GESTION ADMINISTRATIVA"/>
    <n v="72"/>
    <n v="0"/>
    <s v="SAN SEBASTIAN"/>
    <x v="2"/>
  </r>
  <r>
    <n v="97"/>
    <d v="2019-02-04T00:00:00"/>
    <x v="8"/>
    <x v="8"/>
    <x v="1"/>
    <s v="CAJA"/>
    <s v="ALIMENTACION DE EMPLEADOS CTA NUEVA"/>
    <s v="TRANSACCIONES DEL DIA 02/04/2019SPYRAL - GESTION ADMINISTRATIVA"/>
    <n v="16"/>
    <n v="0"/>
    <s v="SAN SEBASTIAN"/>
    <x v="2"/>
  </r>
  <r>
    <n v="97"/>
    <d v="2019-02-08T00:00:00"/>
    <x v="8"/>
    <x v="8"/>
    <x v="1"/>
    <s v="CAJA"/>
    <s v="ALIMENTACION DE EMPLEADOS CTA NUEVA"/>
    <s v="TRANSACCIONES DEL DIA 02/08/2019SPYRAL - GESTION ADMINISTRATIVA"/>
    <n v="32"/>
    <n v="0"/>
    <s v="SAN SEBASTIAN"/>
    <x v="2"/>
  </r>
  <r>
    <n v="97"/>
    <d v="2019-02-11T00:00:00"/>
    <x v="8"/>
    <x v="8"/>
    <x v="1"/>
    <s v="CAJA"/>
    <s v="ALIMENTACION DE EMPLEADOS CTA NUEVA"/>
    <s v="TRANSACCIONES DEL DIA 02/11/2019SPYRAL - GESTION ADMINISTRATIVA"/>
    <n v="8"/>
    <n v="0"/>
    <s v="SAN SEBASTIAN"/>
    <x v="2"/>
  </r>
  <r>
    <n v="97"/>
    <d v="2019-02-13T00:00:00"/>
    <x v="8"/>
    <x v="8"/>
    <x v="1"/>
    <s v="CAJA"/>
    <s v="ALIMENTACION DE EMPLEADOS CTA NUEVA"/>
    <s v="TRANSACCIONES DEL DIA 02/13/2019SPYRAL - GESTION ADMINISTRATIVA"/>
    <n v="32"/>
    <n v="0"/>
    <s v="SAN SEBASTIAN"/>
    <x v="2"/>
  </r>
  <r>
    <n v="97"/>
    <d v="2019-02-15T00:00:00"/>
    <x v="8"/>
    <x v="8"/>
    <x v="1"/>
    <s v="CAJA"/>
    <s v="ALIMENTACION DE EMPLEADOS CTA NUEVA"/>
    <s v="TRANSACCIONES DEL DIA 02/15/2019SPYRAL - GESTION ADMINISTRATIVA"/>
    <n v="32"/>
    <n v="0"/>
    <s v="SAN SEBASTIAN"/>
    <x v="2"/>
  </r>
  <r>
    <n v="97"/>
    <d v="2019-02-18T00:00:00"/>
    <x v="8"/>
    <x v="8"/>
    <x v="1"/>
    <s v="CAJA"/>
    <s v="ALIMENTACION DE EMPLEADOS CTA NUEVA"/>
    <s v="TRANSACCIONES DEL DIA 02/18/2019SPYRAL - GESTION ADMINISTRATIVA"/>
    <n v="64"/>
    <n v="0"/>
    <s v="SAN SEBASTIAN"/>
    <x v="2"/>
  </r>
  <r>
    <n v="97"/>
    <d v="2019-02-20T00:00:00"/>
    <x v="8"/>
    <x v="8"/>
    <x v="1"/>
    <s v="CAJA"/>
    <s v="ALIMENTACION DE EMPLEADOS CTA NUEVA"/>
    <s v="TRANSACCIONES DEL DIA 02/20/2019SPYRAL - GESTION ADMINISTRATIVA"/>
    <n v="8"/>
    <n v="0"/>
    <s v="SAN SEBASTIAN"/>
    <x v="2"/>
  </r>
  <r>
    <n v="97"/>
    <d v="2019-02-21T00:00:00"/>
    <x v="8"/>
    <x v="8"/>
    <x v="1"/>
    <s v="CAJA"/>
    <s v="ALIMENTACION DE EMPLEADOS CTA NUEVA"/>
    <s v="TRANSACCIONES DEL DIA 02/21/2019SPYRAL - GESTION ADMINISTRATIVA"/>
    <n v="8"/>
    <n v="0"/>
    <s v="SAN SEBASTIAN"/>
    <x v="2"/>
  </r>
  <r>
    <n v="97"/>
    <d v="2019-02-25T00:00:00"/>
    <x v="8"/>
    <x v="8"/>
    <x v="1"/>
    <s v="CAJA"/>
    <s v="ALIMENTACION DE EMPLEADOS CTA NUEVA"/>
    <s v="TRANSACCIONES DEL DIA 02/25/2019SPYRAL - GESTION ADMINISTRATIVA"/>
    <n v="24"/>
    <n v="0"/>
    <s v="SAN SEBASTIAN"/>
    <x v="2"/>
  </r>
  <r>
    <n v="97"/>
    <d v="2019-02-27T00:00:00"/>
    <x v="8"/>
    <x v="8"/>
    <x v="1"/>
    <s v="CAJA"/>
    <s v="ALIMENTACION DE EMPLEADOS CTA NUEVA"/>
    <s v="TRANSACCIONES DEL DIA 02/27/2019SPYRAL - GESTION ADMINISTRATIVA"/>
    <n v="24"/>
    <n v="0"/>
    <s v="SAN SEBASTIAN"/>
    <x v="2"/>
  </r>
  <r>
    <n v="97"/>
    <d v="2019-03-06T00:00:00"/>
    <x v="9"/>
    <x v="9"/>
    <x v="1"/>
    <s v="CAJA"/>
    <s v="ALIMENTACION DE EMPLEADOS CTA NUEVA"/>
    <s v="TRANSACCIONES DEL DIA 03/06/2019SPYRAL - GESTION ADMINISTRATIVA"/>
    <n v="128"/>
    <n v="0"/>
    <s v="SAN SEBASTIAN"/>
    <x v="2"/>
  </r>
  <r>
    <n v="97"/>
    <d v="2019-03-11T00:00:00"/>
    <x v="9"/>
    <x v="9"/>
    <x v="1"/>
    <s v="CAJA"/>
    <s v="ALIMENTACION DE EMPLEADOS CTA NUEVA"/>
    <s v="TRANSACCIONES DEL DIA 03/11/2019SPYRAL - GESTION ADMINISTRATIVA"/>
    <n v="24"/>
    <n v="0"/>
    <s v="SAN SEBASTIAN"/>
    <x v="2"/>
  </r>
  <r>
    <n v="97"/>
    <d v="2019-03-13T00:00:00"/>
    <x v="9"/>
    <x v="9"/>
    <x v="1"/>
    <s v="CAJA"/>
    <s v="ALIMENTACION DE EMPLEADOS CTA NUEVA"/>
    <s v="TRANSACCIONES DEL DIA 03/13/2019SPYRAL - GESTION ADMINISTRATIVA"/>
    <n v="16"/>
    <n v="0"/>
    <s v="SAN SEBASTIAN"/>
    <x v="2"/>
  </r>
  <r>
    <n v="97"/>
    <d v="2019-03-18T00:00:00"/>
    <x v="9"/>
    <x v="9"/>
    <x v="1"/>
    <s v="CAJA"/>
    <s v="ALIMENTACION DE EMPLEADOS CTA NUEVA"/>
    <s v="TRANSACCIONES DEL DIA 03/18/2019SPYRAL - GESTION ADMINISTRATIVA"/>
    <n v="72"/>
    <n v="0"/>
    <s v="SAN SEBASTIAN"/>
    <x v="2"/>
  </r>
  <r>
    <n v="97"/>
    <d v="2019-03-19T00:00:00"/>
    <x v="9"/>
    <x v="9"/>
    <x v="1"/>
    <s v="CAJA"/>
    <s v="ALIMENTACION DE EMPLEADOS CTA NUEVA"/>
    <s v="TRANSACCIONES DEL DIA 03/19/2019SPYRAL - GESTION ADMINISTRATIVA"/>
    <n v="8"/>
    <n v="0"/>
    <s v="SAN SEBASTIAN"/>
    <x v="2"/>
  </r>
  <r>
    <n v="97"/>
    <d v="2019-03-21T00:00:00"/>
    <x v="9"/>
    <x v="9"/>
    <x v="1"/>
    <s v="CAJA"/>
    <s v="ALIMENTACION DE EMPLEADOS CTA NUEVA"/>
    <s v="TRANSACCIONES DEL DIA 03/21/2019SPYRAL - GESTION ADMINISTRATIVA"/>
    <n v="16"/>
    <n v="0"/>
    <s v="SAN SEBASTIAN"/>
    <x v="2"/>
  </r>
  <r>
    <n v="97"/>
    <d v="2019-03-25T00:00:00"/>
    <x v="9"/>
    <x v="9"/>
    <x v="1"/>
    <s v="CAJA"/>
    <s v="ALIMENTACION DE EMPLEADOS CTA NUEVA"/>
    <s v="TRANSACCIONES DEL DIA 03/25/2019SPYRAL - GESTION ADMINISTRATIVA"/>
    <n v="16"/>
    <n v="0"/>
    <s v="SAN SEBASTIAN"/>
    <x v="2"/>
  </r>
  <r>
    <n v="97"/>
    <d v="2019-03-26T00:00:00"/>
    <x v="9"/>
    <x v="9"/>
    <x v="1"/>
    <s v="CAJA"/>
    <s v="ALIMENTACION DE EMPLEADOS CTA NUEVA"/>
    <s v="TRANSACCIONES DEL DIA 03/26/2019SPYRAL - GESTION ADMINISTRATIVA"/>
    <n v="8"/>
    <n v="0"/>
    <s v="SAN SEBASTIAN"/>
    <x v="2"/>
  </r>
  <r>
    <n v="97"/>
    <d v="2019-03-28T00:00:00"/>
    <x v="9"/>
    <x v="9"/>
    <x v="1"/>
    <s v="CAJA"/>
    <s v="ALIMENTACION DE EMPLEADOS CTA NUEVA"/>
    <s v="TRANSACCIONES DEL DIA 03/28/2019SPYRAL - GESTION ADMINISTRATIVA"/>
    <n v="8"/>
    <n v="0"/>
    <s v="SAN SEBASTIAN"/>
    <x v="2"/>
  </r>
  <r>
    <n v="97"/>
    <d v="2019-03-29T00:00:00"/>
    <x v="9"/>
    <x v="9"/>
    <x v="1"/>
    <s v="CAJA"/>
    <s v="ALIMENTACION DE EMPLEADOS CTA NUEVA"/>
    <s v="TRANSACCIONES DEL DIA 03/29/2019SPYRAL - GESTION ADMINISTRATIVA"/>
    <n v="8"/>
    <n v="0"/>
    <s v="SAN SEBASTIAN"/>
    <x v="2"/>
  </r>
  <r>
    <n v="97"/>
    <d v="2019-04-01T00:00:00"/>
    <x v="10"/>
    <x v="10"/>
    <x v="1"/>
    <s v="CAJA"/>
    <s v="ALIMENTACION DE EMPLEADOS CTA NUEVA"/>
    <s v="TRANSACCIONES DEL DIA 04/01/2019SPYRAL - GESTION ADMINISTRATIVA"/>
    <n v="8"/>
    <n v="0"/>
    <s v="SAN SEBASTIAN"/>
    <x v="2"/>
  </r>
  <r>
    <n v="97"/>
    <d v="2019-04-02T00:00:00"/>
    <x v="10"/>
    <x v="10"/>
    <x v="1"/>
    <s v="CAJA"/>
    <s v="ALIMENTACION DE EMPLEADOS CTA NUEVA"/>
    <s v="TRANSACCIONES DEL DIA 04/02/2019SPYRAL - GESTION ADMINISTRATIVA"/>
    <n v="48"/>
    <n v="0"/>
    <s v="SAN SEBASTIAN"/>
    <x v="2"/>
  </r>
  <r>
    <n v="97"/>
    <d v="2019-04-04T00:00:00"/>
    <x v="10"/>
    <x v="10"/>
    <x v="1"/>
    <s v="CAJA"/>
    <s v="ALIMENTACION DE EMPLEADOS CTA NUEVA"/>
    <s v="TRANSACCIONES DEL DIA 04/04/2019SPYRAL - GESTION ADMINISTRATIVA"/>
    <n v="16"/>
    <n v="0"/>
    <s v="SAN SEBASTIAN"/>
    <x v="2"/>
  </r>
  <r>
    <n v="97"/>
    <d v="2019-04-06T00:00:00"/>
    <x v="10"/>
    <x v="10"/>
    <x v="1"/>
    <s v="CAJA"/>
    <s v="ALIMENTACION DE EMPLEADOS CTA NUEVA"/>
    <s v="TRANSACCIONES DEL DIA 04/06/2019SPYRAL - GESTION ADMINISTRATIVA"/>
    <n v="8"/>
    <n v="0"/>
    <s v="SAN SEBASTIAN"/>
    <x v="2"/>
  </r>
  <r>
    <n v="97"/>
    <d v="2019-04-08T00:00:00"/>
    <x v="10"/>
    <x v="10"/>
    <x v="1"/>
    <s v="CAJA"/>
    <s v="ALIMENTACION DE EMPLEADOS CTA NUEVA"/>
    <s v="TRANSACCIONES DEL DIA 04/08/2019SPYRAL - GESTION ADMINISTRATIVA"/>
    <n v="8"/>
    <n v="0"/>
    <s v="SAN SEBASTIAN"/>
    <x v="2"/>
  </r>
  <r>
    <n v="97"/>
    <d v="2019-04-09T00:00:00"/>
    <x v="10"/>
    <x v="10"/>
    <x v="1"/>
    <s v="CAJA"/>
    <s v="ALIMENTACION DE EMPLEADOS CTA NUEVA"/>
    <s v="TRANSACCIONES DEL DIA 04/09/2019SPYRAL - GESTION ADMINISTRATIVA"/>
    <n v="16"/>
    <n v="0"/>
    <s v="SAN SEBASTIAN"/>
    <x v="2"/>
  </r>
  <r>
    <n v="97"/>
    <d v="2019-04-10T00:00:00"/>
    <x v="10"/>
    <x v="10"/>
    <x v="1"/>
    <s v="CAJA"/>
    <s v="ALIMENTACION DE EMPLEADOS CTA NUEVA"/>
    <s v="TRANSACCIONES DEL DIA 04/10/2019SPYRAL - GESTION ADMINISTRATIVA"/>
    <n v="16"/>
    <n v="0"/>
    <s v="SAN SEBASTIAN"/>
    <x v="2"/>
  </r>
  <r>
    <n v="97"/>
    <d v="2019-04-12T00:00:00"/>
    <x v="10"/>
    <x v="10"/>
    <x v="1"/>
    <s v="CAJA"/>
    <s v="ALIMENTACION DE EMPLEADOS CTA NUEVA"/>
    <s v="TRANSACCIONES DEL DIA 04/12/2019SPYRAL - GESTION ADMINISTRATIVA"/>
    <n v="16"/>
    <n v="0"/>
    <s v="SAN SEBASTIAN"/>
    <x v="2"/>
  </r>
  <r>
    <n v="97"/>
    <d v="2019-04-15T00:00:00"/>
    <x v="10"/>
    <x v="10"/>
    <x v="1"/>
    <s v="CAJA"/>
    <s v="ALIMENTACION DE EMPLEADOS CTA NUEVA"/>
    <s v="TRANSACCIONES DEL DIA 04/15/2019SPYRAL - GESTION ADMINISTRATIVA"/>
    <n v="8"/>
    <n v="0"/>
    <s v="SAN SEBASTIAN"/>
    <x v="2"/>
  </r>
  <r>
    <n v="97"/>
    <d v="2019-04-16T00:00:00"/>
    <x v="10"/>
    <x v="10"/>
    <x v="1"/>
    <s v="CAJA"/>
    <s v="ALIMENTACION DE EMPLEADOS CTA NUEVA"/>
    <s v="TRANSACCIONES DEL DIA 04/16/2019SPYRAL - GESTION ADMINISTRATIVA"/>
    <n v="16"/>
    <n v="0"/>
    <s v="SAN SEBASTIAN"/>
    <x v="2"/>
  </r>
  <r>
    <n v="97"/>
    <d v="2019-04-17T00:00:00"/>
    <x v="10"/>
    <x v="10"/>
    <x v="1"/>
    <s v="CAJA"/>
    <s v="ALIMENTACION DE EMPLEADOS CTA NUEVA"/>
    <s v="TRANSACCIONES DEL DIA 04/17/2019SPYRAL - GESTION ADMINISTRATIVA"/>
    <n v="56"/>
    <n v="0"/>
    <s v="SAN SEBASTIAN"/>
    <x v="2"/>
  </r>
  <r>
    <n v="97"/>
    <d v="2019-04-18T00:00:00"/>
    <x v="10"/>
    <x v="10"/>
    <x v="1"/>
    <s v="CAJA"/>
    <s v="ALIMENTACION DE EMPLEADOS CTA NUEVA"/>
    <s v="TRANSACCIONES DEL DIA 04/18/2019SPYRAL - GESTION ADMINISTRATIVA"/>
    <n v="24"/>
    <n v="0"/>
    <s v="SAN SEBASTIAN"/>
    <x v="2"/>
  </r>
  <r>
    <n v="97"/>
    <d v="2019-04-22T00:00:00"/>
    <x v="10"/>
    <x v="10"/>
    <x v="1"/>
    <s v="CAJA"/>
    <s v="ALIMENTACION DE EMPLEADOS CTA NUEVA"/>
    <s v="TRANSACCIONES DEL DIA 04/22/2019SPYRAL - GESTION ADMINISTRATIVA"/>
    <n v="8"/>
    <n v="0"/>
    <s v="SAN SEBASTIAN"/>
    <x v="2"/>
  </r>
  <r>
    <n v="97"/>
    <d v="2019-04-24T00:00:00"/>
    <x v="10"/>
    <x v="10"/>
    <x v="1"/>
    <s v="CAJA"/>
    <s v="ALIMENTACION DE EMPLEADOS CTA NUEVA"/>
    <s v="TRANSACCIONES DEL DIA 04/24/2019SPYRAL - GESTION ADMINISTRATIVA"/>
    <n v="16"/>
    <n v="0"/>
    <s v="SAN SEBASTIAN"/>
    <x v="2"/>
  </r>
  <r>
    <n v="97"/>
    <d v="2019-04-26T00:00:00"/>
    <x v="10"/>
    <x v="10"/>
    <x v="1"/>
    <s v="CAJA"/>
    <s v="ALIMENTACION DE EMPLEADOS CTA NUEVA"/>
    <s v="TRANSACCIONES DEL DIA 04/26/2019SPYRAL - GESTION ADMINISTRATIVA"/>
    <n v="16"/>
    <n v="0"/>
    <s v="SAN SEBASTIAN"/>
    <x v="2"/>
  </r>
  <r>
    <n v="97"/>
    <d v="2019-05-02T00:00:00"/>
    <x v="11"/>
    <x v="11"/>
    <x v="1"/>
    <s v="CAJA"/>
    <s v="ALIMENTACION DE EMPLEADOS CTA NUEVA"/>
    <s v="TRANSACCIONES DEL DIA 05/02/2019SPYRAL - GESTION ADMINISTRATIVA"/>
    <n v="24"/>
    <n v="0"/>
    <s v="SAN SEBASTIAN"/>
    <x v="2"/>
  </r>
  <r>
    <n v="97"/>
    <d v="2019-05-06T00:00:00"/>
    <x v="11"/>
    <x v="11"/>
    <x v="1"/>
    <s v="CAJA"/>
    <s v="ALIMENTACION DE EMPLEADOS CTA NUEVA"/>
    <s v="TRANSACCIONES DEL DIA 05/06/2019SPYRAL - GESTION ADMINISTRATIVA"/>
    <n v="64"/>
    <n v="0"/>
    <s v="SAN SEBASTIAN"/>
    <x v="2"/>
  </r>
  <r>
    <n v="97"/>
    <d v="2019-05-07T00:00:00"/>
    <x v="11"/>
    <x v="11"/>
    <x v="1"/>
    <s v="CAJA"/>
    <s v="ALIMENTACION DE EMPLEADOS CTA NUEVA"/>
    <s v="TRANSACCIONES DEL DIA 05/07/2019SPYRAL - GESTION ADMINISTRATIVA"/>
    <n v="24"/>
    <n v="0"/>
    <s v="SAN SEBASTIAN"/>
    <x v="2"/>
  </r>
  <r>
    <n v="97"/>
    <d v="2019-05-09T00:00:00"/>
    <x v="11"/>
    <x v="11"/>
    <x v="1"/>
    <s v="CAJA"/>
    <s v="ALIMENTACION DE EMPLEADOS CTA NUEVA"/>
    <s v="TRANSACCIONES DEL DIA 05/09/2019SPYRAL - GESTION ADMINISTRATIVA"/>
    <n v="16"/>
    <n v="0"/>
    <s v="SAN SEBASTIAN"/>
    <x v="2"/>
  </r>
  <r>
    <n v="97"/>
    <d v="2019-05-10T00:00:00"/>
    <x v="11"/>
    <x v="11"/>
    <x v="1"/>
    <s v="CAJA"/>
    <s v="ALIMENTACION DE EMPLEADOS CTA NUEVA"/>
    <s v="TRANSACCIONES DEL DIA 05/10/2019SPYRAL - GESTION ADMINISTRATIVA"/>
    <n v="16"/>
    <n v="0"/>
    <s v="SAN SEBASTIAN"/>
    <x v="2"/>
  </r>
  <r>
    <n v="97"/>
    <d v="2019-05-13T00:00:00"/>
    <x v="11"/>
    <x v="11"/>
    <x v="1"/>
    <s v="CAJA"/>
    <s v="ALIMENTACION DE EMPLEADOS CTA NUEVA"/>
    <s v="TRANSACCIONES DEL DIA 05/13/2019SPYRAL - GESTION ADMINISTRATIVA"/>
    <n v="16"/>
    <n v="0"/>
    <s v="SAN SEBASTIAN"/>
    <x v="2"/>
  </r>
  <r>
    <n v="97"/>
    <d v="2019-05-15T00:00:00"/>
    <x v="11"/>
    <x v="11"/>
    <x v="1"/>
    <s v="CAJA"/>
    <s v="ALIMENTACION DE EMPLEADOS CTA NUEVA"/>
    <s v="TRANSACCIONES DEL DIA 05/15/2019SPYRAL - GESTION ADMINISTRATIVA"/>
    <n v="8"/>
    <n v="0"/>
    <s v="SAN SEBASTIAN"/>
    <x v="2"/>
  </r>
  <r>
    <n v="97"/>
    <d v="2019-05-18T00:00:00"/>
    <x v="11"/>
    <x v="11"/>
    <x v="1"/>
    <s v="CAJA"/>
    <s v="ALIMENTACION DE EMPLEADOS CTA NUEVA"/>
    <s v="TRANSACCIONES DEL DIA 05/18/2019SPYRAL - GESTION ADMINISTRATIVA"/>
    <n v="96"/>
    <n v="0"/>
    <s v="SAN SEBASTIAN"/>
    <x v="2"/>
  </r>
  <r>
    <n v="97"/>
    <d v="2019-05-21T00:00:00"/>
    <x v="11"/>
    <x v="11"/>
    <x v="1"/>
    <s v="CAJA"/>
    <s v="ALIMENTACION DE EMPLEADOS CTA NUEVA"/>
    <s v="TRANSACCIONES DEL DIA 05/21/2019SPYRAL - GESTION ADMINISTRATIVA"/>
    <n v="16"/>
    <n v="0"/>
    <s v="SAN SEBASTIAN"/>
    <x v="2"/>
  </r>
  <r>
    <n v="97"/>
    <d v="2019-05-22T00:00:00"/>
    <x v="11"/>
    <x v="11"/>
    <x v="1"/>
    <s v="CAJA"/>
    <s v="ALIMENTACION DE EMPLEADOS CTA NUEVA"/>
    <s v="TRANSACCIONES DEL DIA 05/22/2019SPYRAL - GESTION ADMINISTRATIVA"/>
    <n v="8"/>
    <n v="0"/>
    <s v="SAN SEBASTIAN"/>
    <x v="2"/>
  </r>
  <r>
    <n v="97"/>
    <d v="2019-05-23T00:00:00"/>
    <x v="11"/>
    <x v="11"/>
    <x v="1"/>
    <s v="CAJA"/>
    <s v="ALIMENTACION DE EMPLEADOS CTA NUEVA"/>
    <s v="TRANSACCIONES DEL DIA 05/23/2019SPYRAL - GESTION ADMINISTRATIVA"/>
    <n v="8"/>
    <n v="0"/>
    <s v="SAN SEBASTIAN"/>
    <x v="2"/>
  </r>
  <r>
    <n v="97"/>
    <d v="2019-05-25T00:00:00"/>
    <x v="11"/>
    <x v="11"/>
    <x v="1"/>
    <s v="CAJA"/>
    <s v="ALIMENTACION DE EMPLEADOS CTA NUEVA"/>
    <s v="TRANSACCIONES DEL DIA 05/25/2019SPYRAL - GESTION ADMINISTRATIVA"/>
    <n v="8"/>
    <n v="0"/>
    <s v="SAN SEBASTIAN"/>
    <x v="2"/>
  </r>
  <r>
    <n v="97"/>
    <d v="2019-05-28T00:00:00"/>
    <x v="11"/>
    <x v="11"/>
    <x v="1"/>
    <s v="CAJA"/>
    <s v="ALIMENTACION DE EMPLEADOS CTA NUEVA"/>
    <s v="TRANSACCIONES DEL DIA 05/28/2019SPYRAL - GESTION ADMINISTRATIVA"/>
    <n v="16"/>
    <n v="0"/>
    <s v="SAN SEBASTIAN"/>
    <x v="2"/>
  </r>
  <r>
    <n v="97"/>
    <d v="2019-05-29T00:00:00"/>
    <x v="11"/>
    <x v="11"/>
    <x v="1"/>
    <s v="CAJA"/>
    <s v="ALIMENTACION DE EMPLEADOS CTA NUEVA"/>
    <s v="TRANSACCIONES DEL DIA 05/29/2019SPYRAL - GESTION ADMINISTRATIVA"/>
    <n v="8"/>
    <n v="0"/>
    <s v="SAN SEBASTIAN"/>
    <x v="2"/>
  </r>
  <r>
    <n v="97"/>
    <d v="2019-05-30T00:00:00"/>
    <x v="11"/>
    <x v="11"/>
    <x v="1"/>
    <s v="CAJA"/>
    <s v="ALIMENTACION DE EMPLEADOS CTA NUEVA"/>
    <s v="TRANSACCIONES DEL DIA 05/30/2019SPYRAL - GESTION ADMINISTRATIVA"/>
    <n v="8"/>
    <n v="0"/>
    <s v="SAN SEBASTIAN"/>
    <x v="2"/>
  </r>
  <r>
    <n v="97"/>
    <d v="2019-06-01T00:00:00"/>
    <x v="2"/>
    <x v="2"/>
    <x v="1"/>
    <s v="CAJA"/>
    <s v="ALIMENTACION DE EMPLEADOS CTA NUEVA"/>
    <s v="TRANSACCIONES DEL DIA 06/01/2019SPYRAL - GESTION ADMINISTRATIVA"/>
    <n v="72"/>
    <n v="0"/>
    <s v="SAN SEBASTIAN"/>
    <x v="2"/>
  </r>
  <r>
    <n v="97"/>
    <d v="2019-06-07T00:00:00"/>
    <x v="2"/>
    <x v="2"/>
    <x v="1"/>
    <s v="CAJA"/>
    <s v="ALIMENTACION DE EMPLEADOS CTA NUEVA"/>
    <s v="TRANSACCIONES DEL DIA 06/07/2019SPYRAL - GESTION ADMINISTRATIVA"/>
    <n v="48"/>
    <n v="0"/>
    <s v="SAN SEBASTIAN"/>
    <x v="2"/>
  </r>
  <r>
    <n v="97"/>
    <d v="2019-06-08T00:00:00"/>
    <x v="2"/>
    <x v="2"/>
    <x v="1"/>
    <s v="CAJA"/>
    <s v="ALIMENTACION DE EMPLEADOS CTA NUEVA"/>
    <s v="TRANSACCIONES DEL DIA 06/08/2019SPYRAL - GESTION ADMINISTRATIVA"/>
    <n v="8"/>
    <n v="0"/>
    <s v="SAN SEBASTIAN"/>
    <x v="2"/>
  </r>
  <r>
    <n v="97"/>
    <d v="2019-06-12T00:00:00"/>
    <x v="2"/>
    <x v="2"/>
    <x v="1"/>
    <s v="CAJA"/>
    <s v="ALIMENTACION DE EMPLEADOS CTA NUEVA"/>
    <s v="TRANSACCIONES DEL DIA 06/12/2019SPYRAL - GESTION ADMINISTRATIVA"/>
    <n v="16"/>
    <n v="0"/>
    <s v="SAN SEBASTIAN"/>
    <x v="2"/>
  </r>
  <r>
    <n v="97"/>
    <d v="2019-06-13T00:00:00"/>
    <x v="2"/>
    <x v="2"/>
    <x v="1"/>
    <s v="CAJA"/>
    <s v="ALIMENTACION DE EMPLEADOS CTA NUEVA"/>
    <s v="TRANSACCIONES DEL DIA 06/13/2019SPYRAL - GESTION ADMINISTRATIVA"/>
    <n v="16"/>
    <n v="0"/>
    <s v="SAN SEBASTIAN"/>
    <x v="2"/>
  </r>
  <r>
    <n v="97"/>
    <d v="2019-06-14T00:00:00"/>
    <x v="2"/>
    <x v="2"/>
    <x v="1"/>
    <s v="CAJA"/>
    <s v="ALIMENTACION DE EMPLEADOS CTA NUEVA"/>
    <s v="TRANSACCIONES DEL DIA 06/14/2019SPYRAL - GESTION ADMINISTRATIVA"/>
    <n v="8"/>
    <n v="0"/>
    <s v="SAN SEBASTIAN"/>
    <x v="2"/>
  </r>
  <r>
    <n v="97"/>
    <d v="2019-06-17T00:00:00"/>
    <x v="2"/>
    <x v="2"/>
    <x v="1"/>
    <s v="CAJA"/>
    <s v="ALIMENTACION DE EMPLEADOS CTA NUEVA"/>
    <s v="TRANSACCIONES DEL DIA 06/17/2019SPYRAL - GESTION ADMINISTRATIVA"/>
    <n v="64"/>
    <n v="0"/>
    <s v="SAN SEBASTIAN"/>
    <x v="2"/>
  </r>
  <r>
    <n v="97"/>
    <d v="2019-06-19T00:00:00"/>
    <x v="2"/>
    <x v="2"/>
    <x v="1"/>
    <s v="CAJA"/>
    <s v="ALIMENTACION DE EMPLEADOS CTA NUEVA"/>
    <s v="TRANSACCIONES DEL DIA 06/19/2019SPYRAL - GESTION ADMINISTRATIVA"/>
    <n v="24"/>
    <n v="0"/>
    <s v="SAN SEBASTIAN"/>
    <x v="2"/>
  </r>
  <r>
    <n v="97"/>
    <d v="2019-06-20T00:00:00"/>
    <x v="2"/>
    <x v="2"/>
    <x v="1"/>
    <s v="CAJA"/>
    <s v="ALIMENTACION DE EMPLEADOS CTA NUEVA"/>
    <s v="TRANSACCIONES DEL DIA 06/20/2019SPYRAL - GESTION ADMINISTRATIVA"/>
    <n v="8"/>
    <n v="0"/>
    <s v="SAN SEBASTIAN"/>
    <x v="2"/>
  </r>
  <r>
    <n v="97"/>
    <d v="2019-06-21T00:00:00"/>
    <x v="2"/>
    <x v="2"/>
    <x v="1"/>
    <s v="CAJA"/>
    <s v="ALIMENTACION DE EMPLEADOS CTA NUEVA"/>
    <s v="TRANSACCIONES DEL DIA 06/21/2019SPYRAL - GESTION ADMINISTRATIVA"/>
    <n v="8"/>
    <n v="0"/>
    <s v="SAN SEBASTIAN"/>
    <x v="2"/>
  </r>
  <r>
    <n v="97"/>
    <d v="2019-06-22T00:00:00"/>
    <x v="2"/>
    <x v="2"/>
    <x v="1"/>
    <s v="CAJA"/>
    <s v="ALIMENTACION DE EMPLEADOS CTA NUEVA"/>
    <s v="TRANSACCIONES DEL DIA 06/22/2019SPYRAL - GESTION ADMINISTRATIVA"/>
    <n v="8"/>
    <n v="0"/>
    <s v="SAN SEBASTIAN"/>
    <x v="2"/>
  </r>
  <r>
    <n v="97"/>
    <d v="2019-06-25T00:00:00"/>
    <x v="2"/>
    <x v="2"/>
    <x v="1"/>
    <s v="CAJA"/>
    <s v="ALIMENTACION DE EMPLEADOS CTA NUEVA"/>
    <s v="TRANSACCIONES DEL DIA 06/25/2019SPYRAL - GESTION ADMINISTRATIVA"/>
    <n v="16"/>
    <n v="0"/>
    <s v="SAN SEBASTIAN"/>
    <x v="2"/>
  </r>
  <r>
    <n v="97"/>
    <d v="2019-06-26T00:00:00"/>
    <x v="2"/>
    <x v="2"/>
    <x v="1"/>
    <s v="CAJA"/>
    <s v="ALIMENTACION DE EMPLEADOS CTA NUEVA"/>
    <s v="TRANSACCIONES DEL DIA 06/26/2019SPYRAL - GESTION ADMINISTRATIVA"/>
    <n v="8"/>
    <n v="0"/>
    <s v="SAN SEBASTIAN"/>
    <x v="2"/>
  </r>
  <r>
    <n v="97"/>
    <d v="2019-06-27T00:00:00"/>
    <x v="2"/>
    <x v="2"/>
    <x v="1"/>
    <s v="CAJA"/>
    <s v="ALIMENTACION DE EMPLEADOS CTA NUEVA"/>
    <s v="TRANSACCIONES DEL DIA 06/27/2019SPYRAL - GESTION ADMINISTRATIVA"/>
    <n v="8"/>
    <n v="0"/>
    <s v="SAN SEBASTIAN"/>
    <x v="2"/>
  </r>
  <r>
    <n v="97"/>
    <d v="2019-07-02T00:00:00"/>
    <x v="6"/>
    <x v="6"/>
    <x v="1"/>
    <s v="CAJA"/>
    <s v="ALIMENTACION DE EMPLEADOS CTA NUEVA"/>
    <s v="TRANSACCIONES DEL DIA 07/02/2019SPYRAL - GESTION ADMINISTRATIVA"/>
    <n v="16"/>
    <n v="0"/>
    <s v="SAN SEBASTIAN"/>
    <x v="2"/>
  </r>
  <r>
    <n v="97"/>
    <d v="2019-07-03T00:00:00"/>
    <x v="6"/>
    <x v="6"/>
    <x v="1"/>
    <s v="CAJA"/>
    <s v="ALIMENTACION DE EMPLEADOS CTA NUEVA"/>
    <s v="TRANSACCIONES DEL DIA 07/03/2019SPYRAL - GESTION ADMINISTRATIVA"/>
    <n v="8"/>
    <n v="0"/>
    <s v="SAN SEBASTIAN"/>
    <x v="2"/>
  </r>
  <r>
    <n v="97"/>
    <d v="2019-07-04T00:00:00"/>
    <x v="6"/>
    <x v="6"/>
    <x v="1"/>
    <s v="CAJA"/>
    <s v="ALIMENTACION DE EMPLEADOS CTA NUEVA"/>
    <s v="TRANSACCIONES DEL DIA 07/04/2019SPYRAL - GESTION ADMINISTRATIVA"/>
    <n v="24"/>
    <n v="0"/>
    <s v="SAN SEBASTIAN"/>
    <x v="2"/>
  </r>
  <r>
    <n v="97"/>
    <d v="2019-07-05T00:00:00"/>
    <x v="6"/>
    <x v="6"/>
    <x v="1"/>
    <s v="CAJA"/>
    <s v="ALIMENTACION DE EMPLEADOS CTA NUEVA"/>
    <s v="TRANSACCIONES DEL DIA 07/05/2019SPYRAL - GESTION ADMINISTRATIVA"/>
    <n v="40"/>
    <n v="0"/>
    <s v="SAN SEBASTIAN"/>
    <x v="2"/>
  </r>
  <r>
    <n v="97"/>
    <d v="2019-07-08T00:00:00"/>
    <x v="6"/>
    <x v="6"/>
    <x v="1"/>
    <s v="CAJA"/>
    <s v="ALIMENTACION DE EMPLEADOS CTA NUEVA"/>
    <s v="TRANSACCIONES DEL DIA 07/08/2019SPYRAL - GESTION ADMINISTRATIVA"/>
    <n v="24"/>
    <n v="0"/>
    <s v="SAN SEBASTIAN"/>
    <x v="2"/>
  </r>
  <r>
    <n v="97"/>
    <d v="2019-07-10T00:00:00"/>
    <x v="6"/>
    <x v="6"/>
    <x v="1"/>
    <s v="CAJA"/>
    <s v="ALIMENTACION DE EMPLEADOS CTA NUEVA"/>
    <s v="TRANSACCIONES DEL DIA 07/10/2019SPYRAL - GESTION ADMINISTRATIVA"/>
    <n v="8"/>
    <n v="0"/>
    <s v="SAN SEBASTIAN"/>
    <x v="2"/>
  </r>
  <r>
    <n v="97"/>
    <d v="2019-07-11T00:00:00"/>
    <x v="6"/>
    <x v="6"/>
    <x v="1"/>
    <s v="CAJA"/>
    <s v="ALIMENTACION DE EMPLEADOS CTA NUEVA"/>
    <s v="TRANSACCIONES DEL DIA 07/11/2019SPYRAL - GESTION ADMINISTRATIVA"/>
    <n v="8"/>
    <n v="0"/>
    <s v="SAN SEBASTIAN"/>
    <x v="2"/>
  </r>
  <r>
    <n v="97"/>
    <d v="2019-07-13T00:00:00"/>
    <x v="6"/>
    <x v="6"/>
    <x v="1"/>
    <s v="CAJA"/>
    <s v="ALIMENTACION DE EMPLEADOS CTA NUEVA"/>
    <s v="TRANSACCIONES DEL DIA 07/13/2019SPYRAL - GESTION ADMINISTRATIVA"/>
    <n v="16"/>
    <n v="0"/>
    <s v="SAN SEBASTIAN"/>
    <x v="2"/>
  </r>
  <r>
    <n v="97"/>
    <d v="2019-07-16T00:00:00"/>
    <x v="6"/>
    <x v="6"/>
    <x v="1"/>
    <s v="CAJA"/>
    <s v="ALIMENTACION DE EMPLEADOS CTA NUEVA"/>
    <s v="TRANSACCIONES DEL DIA 07/16/2019SPYRAL - GESTION ADMINISTRATIVA"/>
    <n v="16"/>
    <n v="0"/>
    <s v="SAN SEBASTIAN"/>
    <x v="2"/>
  </r>
  <r>
    <n v="97"/>
    <d v="2019-07-17T00:00:00"/>
    <x v="6"/>
    <x v="6"/>
    <x v="1"/>
    <s v="CAJA"/>
    <s v="ALIMENTACION DE EMPLEADOS CTA NUEVA"/>
    <s v="TRANSACCIONES DEL DIA 07/17/2019SPYRAL - GESTION ADMINISTRATIVA"/>
    <n v="56"/>
    <n v="0"/>
    <s v="SAN SEBASTIAN"/>
    <x v="2"/>
  </r>
  <r>
    <n v="97"/>
    <d v="2019-07-18T00:00:00"/>
    <x v="6"/>
    <x v="6"/>
    <x v="1"/>
    <s v="CAJA"/>
    <s v="ALIMENTACION DE EMPLEADOS CTA NUEVA"/>
    <s v="TRANSACCIONES DEL DIA 07/18/2019SPYRAL - GESTION ADMINISTRATIVA"/>
    <n v="24"/>
    <n v="0"/>
    <s v="SAN SEBASTIAN"/>
    <x v="2"/>
  </r>
  <r>
    <n v="97"/>
    <d v="2019-07-19T00:00:00"/>
    <x v="6"/>
    <x v="6"/>
    <x v="1"/>
    <s v="CAJA"/>
    <s v="ALIMENTACION DE EMPLEADOS CTA NUEVA"/>
    <s v="TRANSACCIONES DEL DIA 07/19/2019SPYRAL - GESTION ADMINISTRATIVA"/>
    <n v="8"/>
    <n v="0"/>
    <s v="SAN SEBASTIAN"/>
    <x v="2"/>
  </r>
  <r>
    <n v="97"/>
    <d v="2019-07-20T00:00:00"/>
    <x v="6"/>
    <x v="6"/>
    <x v="1"/>
    <s v="CAJA"/>
    <s v="ALIMENTACION DE EMPLEADOS CTA NUEVA"/>
    <s v="TRANSACCIONES DEL DIA 07/20/2019SPYRAL - GESTION ADMINISTRATIVA"/>
    <n v="16"/>
    <n v="0"/>
    <s v="SAN SEBASTIAN"/>
    <x v="2"/>
  </r>
  <r>
    <n v="97"/>
    <d v="2019-07-23T00:00:00"/>
    <x v="6"/>
    <x v="6"/>
    <x v="1"/>
    <s v="CAJA"/>
    <s v="ALIMENTACION DE EMPLEADOS CTA NUEVA"/>
    <s v="TRANSACCIONES DEL DIA 07/23/2019SPYRAL - GESTION ADMINISTRATIVA"/>
    <n v="16"/>
    <n v="0"/>
    <s v="SAN SEBASTIAN"/>
    <x v="2"/>
  </r>
  <r>
    <n v="97"/>
    <d v="2019-07-24T00:00:00"/>
    <x v="6"/>
    <x v="6"/>
    <x v="1"/>
    <s v="CAJA"/>
    <s v="ALIMENTACION DE EMPLEADOS CTA NUEVA"/>
    <s v="TRANSACCIONES DEL DIA 07/24/2019SPYRAL - GESTION ADMINISTRATIVA"/>
    <n v="8"/>
    <n v="0"/>
    <s v="SAN SEBASTIAN"/>
    <x v="2"/>
  </r>
  <r>
    <n v="97"/>
    <d v="2019-07-25T00:00:00"/>
    <x v="6"/>
    <x v="6"/>
    <x v="1"/>
    <s v="CAJA"/>
    <s v="ALIMENTACION DE EMPLEADOS CTA NUEVA"/>
    <s v="TRANSACCIONES DEL DIA 07/25/2019SPYRAL - GESTION ADMINISTRATIVA"/>
    <n v="8"/>
    <n v="0"/>
    <s v="SAN SEBASTIAN"/>
    <x v="2"/>
  </r>
  <r>
    <n v="97"/>
    <d v="2019-07-26T00:00:00"/>
    <x v="6"/>
    <x v="6"/>
    <x v="1"/>
    <s v="CAJA"/>
    <s v="ALIMENTACION DE EMPLEADOS CTA NUEVA"/>
    <s v="TRANSACCIONES DEL DIA 07/26/2019SPYRAL - GESTION ADMINISTRATIVA"/>
    <n v="8"/>
    <n v="0"/>
    <s v="SAN SEBASTIAN"/>
    <x v="2"/>
  </r>
  <r>
    <n v="97"/>
    <d v="2019-07-27T00:00:00"/>
    <x v="6"/>
    <x v="6"/>
    <x v="1"/>
    <s v="CAJA"/>
    <s v="ALIMENTACION DE EMPLEADOS CTA NUEVA"/>
    <s v="TRANSACCIONES DEL DIA 07/27/2019SPYRAL - GESTION ADMINISTRATIVA"/>
    <n v="8"/>
    <n v="0"/>
    <s v="SAN SEBASTIAN"/>
    <x v="2"/>
  </r>
  <r>
    <n v="97"/>
    <d v="2019-01-05T00:00:00"/>
    <x v="7"/>
    <x v="7"/>
    <x v="1"/>
    <s v="SERVICIOS PERSONALES"/>
    <s v="ALIMENTACION DE EMPLEADOS CTA NUEVA"/>
    <s v="TRANSACCIONES DEL DIA 01/05/2019SPYRAL - GESTION ADMINISTRATIVA"/>
    <n v="8"/>
    <n v="0"/>
    <s v="SAN SEBASTIAN"/>
    <x v="2"/>
  </r>
  <r>
    <n v="97"/>
    <d v="2019-01-11T00:00:00"/>
    <x v="7"/>
    <x v="7"/>
    <x v="1"/>
    <s v="SERVICIOS PERSONALES"/>
    <s v="ALIMENTACION DE EMPLEADOS CTA NUEVA"/>
    <s v="TRANSACCIONES DEL DIA 01/11/2019SPYRAL - GESTION ADMINISTRATIVA"/>
    <n v="24"/>
    <n v="0"/>
    <s v="SAN SEBASTIAN"/>
    <x v="2"/>
  </r>
  <r>
    <n v="97"/>
    <d v="2019-01-22T00:00:00"/>
    <x v="7"/>
    <x v="7"/>
    <x v="1"/>
    <s v="SERVICIOS PERSONALES"/>
    <s v="ALIMENTACION DE EMPLEADOS CTA NUEVA"/>
    <s v="TRANSACCIONES DEL DIA 01/22/2019SPYRAL - GESTION ADMINISTRATIVA"/>
    <n v="8"/>
    <n v="0"/>
    <s v="SAN SEBASTIAN"/>
    <x v="2"/>
  </r>
  <r>
    <n v="97"/>
    <d v="2019-02-13T00:00:00"/>
    <x v="8"/>
    <x v="8"/>
    <x v="1"/>
    <s v="SERVICIOS PERSONALES"/>
    <s v="ALIMENTACION DE EMPLEADOS CTA NUEVA"/>
    <s v="TRANSACCIONES DEL DIA 02/13/2019SPYRAL - GESTION ADMINISTRATIVA"/>
    <n v="8"/>
    <n v="0"/>
    <s v="SAN SEBASTIAN"/>
    <x v="2"/>
  </r>
  <r>
    <n v="97"/>
    <d v="2019-03-11T00:00:00"/>
    <x v="9"/>
    <x v="9"/>
    <x v="1"/>
    <s v="SERVICIOS PERSONALES"/>
    <s v="ALIMENTACION DE EMPLEADOS CTA NUEVA"/>
    <s v="TRANSACCIONES DEL DIA 03/11/2019SPYRAL - GESTION ADMINISTRATIVA"/>
    <n v="8"/>
    <n v="0"/>
    <s v="SAN SEBASTIAN"/>
    <x v="2"/>
  </r>
  <r>
    <n v="97"/>
    <d v="2019-05-13T00:00:00"/>
    <x v="11"/>
    <x v="11"/>
    <x v="1"/>
    <s v="SERVICIOS PERSONALES"/>
    <s v="ALIMENTACION DE EMPLEADOS CTA NUEVA"/>
    <s v="TRANSACCIONES DEL DIA 05/13/2019SPYRAL - GESTION ADMINISTRATIVA"/>
    <n v="8"/>
    <n v="0"/>
    <s v="SAN SEBASTIAN"/>
    <x v="2"/>
  </r>
  <r>
    <n v="97"/>
    <d v="2019-05-29T00:00:00"/>
    <x v="11"/>
    <x v="11"/>
    <x v="1"/>
    <s v="SERVICIOS PERSONALES"/>
    <s v="ALIMENTACION DE EMPLEADOS CTA NUEVA"/>
    <s v="TRANSACCIONES DEL DIA 05/29/2019SPYRAL - GESTION ADMINISTRATIVA"/>
    <n v="8"/>
    <n v="0"/>
    <s v="SAN SEBASTIAN"/>
    <x v="2"/>
  </r>
  <r>
    <n v="97"/>
    <d v="2019-07-08T00:00:00"/>
    <x v="6"/>
    <x v="6"/>
    <x v="1"/>
    <s v="SERVICIOS PERSONALES"/>
    <s v="ALIMENTACION DE EMPLEADOS CTA NUEVA"/>
    <s v="TRANSACCIONES DEL DIA 07/08/2019SPYRAL - GESTION ADMINISTRATIVA"/>
    <n v="8"/>
    <n v="0"/>
    <s v="SAN SEBASTIAN"/>
    <x v="2"/>
  </r>
  <r>
    <n v="97"/>
    <d v="2019-07-13T00:00:00"/>
    <x v="6"/>
    <x v="6"/>
    <x v="1"/>
    <s v="SERVICIOS PERSONALES"/>
    <s v="ALIMENTACION DE EMPLEADOS CTA NUEVA"/>
    <s v="TRANSACCIONES DEL DIA 07/13/2019SPYRAL - GESTION ADMINISTRATIVA"/>
    <n v="8"/>
    <n v="0"/>
    <s v="SAN SEBASTIAN"/>
    <x v="2"/>
  </r>
  <r>
    <n v="97"/>
    <d v="2019-07-16T00:00:00"/>
    <x v="6"/>
    <x v="6"/>
    <x v="1"/>
    <s v="SERVICIOS PERSONALES"/>
    <s v="ALIMENTACION DE EMPLEADOS CTA NUEVA"/>
    <s v="TRANSACCIONES DEL DIA 07/16/2019SPYRAL - GESTION ADMINISTRATIVA"/>
    <n v="8"/>
    <n v="0"/>
    <s v="SAN SEBASTIAN"/>
    <x v="2"/>
  </r>
  <r>
    <n v="97"/>
    <d v="2019-07-17T00:00:00"/>
    <x v="6"/>
    <x v="6"/>
    <x v="1"/>
    <s v="SERVICIOS PERSONALES"/>
    <s v="ALIMENTACION DE EMPLEADOS CTA NUEVA"/>
    <s v="TRANSACCIONES DEL DIA 07/17/2019SPYRAL - GESTION ADMINISTRATIVA"/>
    <n v="8"/>
    <n v="0"/>
    <s v="SAN SEBASTIAN"/>
    <x v="2"/>
  </r>
  <r>
    <n v="97"/>
    <d v="2019-07-18T00:00:00"/>
    <x v="6"/>
    <x v="6"/>
    <x v="1"/>
    <s v="SERVICIOS PERSONALES"/>
    <s v="ALIMENTACION DE EMPLEADOS CTA NUEVA"/>
    <s v="TRANSACCIONES DEL DIA 07/18/2019SPYRAL - GESTION ADMINISTRATIVA"/>
    <n v="8"/>
    <n v="0"/>
    <s v="SAN SEBASTIAN"/>
    <x v="2"/>
  </r>
  <r>
    <n v="97"/>
    <d v="2019-07-19T00:00:00"/>
    <x v="6"/>
    <x v="6"/>
    <x v="1"/>
    <s v="SERVICIOS PERSONALES"/>
    <s v="ALIMENTACION DE EMPLEADOS CTA NUEVA"/>
    <s v="TRANSACCIONES DEL DIA 07/19/2019SPYRAL - GESTION ADMINISTRATIVA"/>
    <n v="8"/>
    <n v="0"/>
    <s v="SAN SEBASTIAN"/>
    <x v="2"/>
  </r>
  <r>
    <n v="97"/>
    <d v="2019-07-20T00:00:00"/>
    <x v="6"/>
    <x v="6"/>
    <x v="1"/>
    <s v="SERVICIOS PERSONALES"/>
    <s v="ALIMENTACION DE EMPLEADOS CTA NUEVA"/>
    <s v="TRANSACCIONES DEL DIA 07/20/2019SPYRAL - GESTION ADMINISTRATIVA"/>
    <n v="8"/>
    <n v="0"/>
    <s v="SAN SEBASTIAN"/>
    <x v="2"/>
  </r>
  <r>
    <n v="97"/>
    <d v="2019-07-23T00:00:00"/>
    <x v="6"/>
    <x v="6"/>
    <x v="1"/>
    <s v="SERVICIOS PERSONALES"/>
    <s v="ALIMENTACION DE EMPLEADOS CTA NUEVA"/>
    <s v="TRANSACCIONES DEL DIA 07/23/2019SPYRAL - GESTION ADMINISTRATIVA"/>
    <n v="8"/>
    <n v="0"/>
    <s v="SAN SEBASTIAN"/>
    <x v="2"/>
  </r>
  <r>
    <n v="99"/>
    <d v="2019-03-12T00:00:00"/>
    <x v="9"/>
    <x v="9"/>
    <x v="1"/>
    <s v="ADMINISTRACION DE SUCURSALES"/>
    <s v="NC ALIMENTACION DE EMPLEADOS NVA"/>
    <s v="TRANSACCIONES DEL DIA 03/12/2019SPYRAL - GESTION ADMINISTRATIVA"/>
    <n v="15.91"/>
    <n v="0"/>
    <s v="CIUDAD DEL SABER"/>
    <x v="2"/>
  </r>
  <r>
    <n v="99"/>
    <d v="2019-05-04T00:00:00"/>
    <x v="11"/>
    <x v="11"/>
    <x v="1"/>
    <s v="ADMINISTRACION DE SUCURSALES"/>
    <s v="ALIMENTACION DE EMPLEADOS CTA NUEVA"/>
    <s v="TRANSACCIONES DEL DIA 05/04/2019SPYRAL - GESTION ADMINISTRATIVA"/>
    <n v="8"/>
    <n v="0"/>
    <s v="CIUDAD DEL SABER"/>
    <x v="2"/>
  </r>
  <r>
    <n v="101"/>
    <d v="2019-01-18T00:00:00"/>
    <x v="7"/>
    <x v="7"/>
    <x v="1"/>
    <s v="CAJA"/>
    <s v="ALIMENTACION DE EMPLEADOS CTA NUEVA"/>
    <s v="TRANSACCIONES DEL DIA 01/18/2019SPYRAL - GESTION ADMINISTRATIVA"/>
    <n v="8"/>
    <n v="0"/>
    <s v="VILLA ZAITA"/>
    <x v="2"/>
  </r>
  <r>
    <n v="103"/>
    <d v="2019-03-07T00:00:00"/>
    <x v="9"/>
    <x v="9"/>
    <x v="1"/>
    <s v="ADMINISTRACION DE SUCURSALES"/>
    <s v="NC ALIMENTACION DE EMPLEADOS NVA"/>
    <s v="TRANSACCIONES DEL DIA 03/07/2019SPYRAL - GESTION ADMINISTRATIVA"/>
    <n v="23.99"/>
    <n v="0"/>
    <s v="TOWN CENTER COSTA DEL ESTE"/>
    <x v="2"/>
  </r>
  <r>
    <n v="103"/>
    <d v="2019-03-19T00:00:00"/>
    <x v="9"/>
    <x v="9"/>
    <x v="1"/>
    <s v="ADMINISTRACION DE SUCURSALES"/>
    <s v="NC ALIMENTACION DE EMPLEADOS NVA"/>
    <s v="TRANSACCIONES DEL DIA 03/19/2019SPYRAL - GESTION ADMINISTRATIVA"/>
    <n v="15.08"/>
    <n v="0"/>
    <s v="TOWN CENTER COSTA DEL ESTE"/>
    <x v="2"/>
  </r>
  <r>
    <n v="103"/>
    <d v="2019-05-27T00:00:00"/>
    <x v="11"/>
    <x v="11"/>
    <x v="1"/>
    <s v="ADMINISTRACION DE SUCURSALES"/>
    <s v="NC ALIMENTACION DE EMPLEADOS NVA"/>
    <s v="TRANSACCIONES DEL DIA 05/27/2019SPYRAL - GESTION ADMINISTRATIVA"/>
    <n v="40.5"/>
    <n v="0"/>
    <s v="TOWN CENTER COSTA DEL ESTE"/>
    <x v="2"/>
  </r>
  <r>
    <n v="103"/>
    <d v="2019-07-16T00:00:00"/>
    <x v="6"/>
    <x v="6"/>
    <x v="1"/>
    <s v="CAJA"/>
    <s v="ALIMENTACION DE EMPLEADOS CTA NUEVA"/>
    <s v="TRANSACCIONES DEL DIA 07/16/2019SPYRAL - GESTION ADMINISTRATIVA"/>
    <n v="8"/>
    <n v="0"/>
    <s v="TOWN CENTER COSTA DEL ESTE"/>
    <x v="2"/>
  </r>
  <r>
    <n v="125"/>
    <d v="2019-03-12T00:00:00"/>
    <x v="9"/>
    <x v="9"/>
    <x v="1"/>
    <s v="ADMINISTRACION DE SUCURSALES"/>
    <s v="NC ALIMENTACION DE EMPLEADOS NVA"/>
    <s v="TRANSACCIONES DEL DIA 03/12/2019SPYRAL - GESTION ADMINISTRATIVA"/>
    <n v="37.979999999999997"/>
    <n v="0"/>
    <s v="COSTA VERDE"/>
    <x v="2"/>
  </r>
  <r>
    <n v="125"/>
    <d v="2019-03-19T00:00:00"/>
    <x v="9"/>
    <x v="9"/>
    <x v="1"/>
    <s v="ADMINISTRACION DE SUCURSALES"/>
    <s v="NC ALIMENTACION DE EMPLEADOS NVA"/>
    <s v="TRANSACCIONES DEL DIA 03/19/2019SPYRAL - GESTION ADMINISTRATIVA"/>
    <n v="40.49"/>
    <n v="0"/>
    <s v="COSTA VERDE"/>
    <x v="2"/>
  </r>
  <r>
    <n v="125"/>
    <d v="2019-04-03T00:00:00"/>
    <x v="10"/>
    <x v="10"/>
    <x v="1"/>
    <s v="ADMINISTRACION DE SUCURSALES"/>
    <s v="NC ALIMENTACION DE EMPLEADOS NVA"/>
    <s v="TRANSACCIONES DEL DIA 04/03/2019SPYRAL - GESTION ADMINISTRATIVA"/>
    <n v="37.979999999999997"/>
    <n v="0"/>
    <s v="COSTA VERDE"/>
    <x v="2"/>
  </r>
  <r>
    <n v="125"/>
    <d v="2019-05-23T00:00:00"/>
    <x v="11"/>
    <x v="11"/>
    <x v="1"/>
    <s v="ADMINISTRACION DE SUCURSALES"/>
    <s v="NC ALIMENTACION DE EMPLEADOS NVA"/>
    <s v="TRANSACCIONES DEL DIA 05/23/2019SPYRAL - GESTION ADMINISTRATIVA"/>
    <n v="0"/>
    <n v="8"/>
    <s v="COSTA VERDE"/>
    <x v="2"/>
  </r>
  <r>
    <n v="125"/>
    <d v="2019-05-24T00:00:00"/>
    <x v="11"/>
    <x v="11"/>
    <x v="1"/>
    <s v="ADMINISTRACION DE SUCURSALES"/>
    <s v="NC ALIMENTACION DE EMPLEADOS NVA"/>
    <s v="TRANSACCIONES DEL DIA 05/24/2019SPYRAL - GESTION ADMINISTRATIVA"/>
    <n v="73.319999999999993"/>
    <n v="0"/>
    <s v="COSTA VERDE"/>
    <x v="2"/>
  </r>
  <r>
    <n v="125"/>
    <d v="2019-07-26T00:00:00"/>
    <x v="6"/>
    <x v="6"/>
    <x v="1"/>
    <s v="ADMINISTRACION DE SUCURSALES"/>
    <s v="NC ALIMENTACION DE EMPLEADOS NVA"/>
    <s v="TRANSACCIONES DEL DIA 07/26/2019SPYRAL - GESTION ADMINISTRATIVA"/>
    <n v="22.26"/>
    <n v="0"/>
    <s v="COSTA VERDE"/>
    <x v="2"/>
  </r>
  <r>
    <n v="125"/>
    <d v="2019-05-18T00:00:00"/>
    <x v="11"/>
    <x v="11"/>
    <x v="1"/>
    <s v="CAJA"/>
    <s v="ALIMENTACION DE EMPLEADOS CTA NUEVA"/>
    <s v="TRANSACCIONES DEL DIA 05/18/2019SPYRAL - GESTION ADMINISTRATIVA"/>
    <n v="80"/>
    <n v="0"/>
    <s v="COSTA VERDE"/>
    <x v="2"/>
  </r>
  <r>
    <n v="125"/>
    <d v="2019-05-22T00:00:00"/>
    <x v="11"/>
    <x v="11"/>
    <x v="1"/>
    <s v="CAJA"/>
    <s v="ALIMENTACION DE EMPLEADOS CTA NUEVA"/>
    <s v="TRANSACCIONES DEL DIA 05/22/2019SPYRAL - GESTION ADMINISTRATIVA"/>
    <n v="16"/>
    <n v="0"/>
    <s v="COSTA VERDE"/>
    <x v="2"/>
  </r>
  <r>
    <n v="125"/>
    <d v="2019-05-25T00:00:00"/>
    <x v="11"/>
    <x v="11"/>
    <x v="1"/>
    <s v="CAJA"/>
    <s v="NC ALIMENTACION DE EMPLEADOS NVA"/>
    <s v="TRANSACCIONES DEL DIA 05/25/2019SPYRAL - GESTION ADMINISTRATIVA"/>
    <n v="0"/>
    <n v="16"/>
    <s v="COSTA VERDE"/>
    <x v="2"/>
  </r>
  <r>
    <n v="125"/>
    <d v="2019-06-04T00:00:00"/>
    <x v="2"/>
    <x v="2"/>
    <x v="1"/>
    <s v="CAJA"/>
    <s v="ALIMENTACION DE EMPLEADOS CTA NUEVA"/>
    <s v="TRANSACCIONES DEL DIA 06/04/2019SPYRAL - GESTION ADMINISTRATIVA"/>
    <n v="16"/>
    <n v="0"/>
    <s v="COSTA VERDE"/>
    <x v="2"/>
  </r>
  <r>
    <n v="125"/>
    <d v="2019-06-07T00:00:00"/>
    <x v="2"/>
    <x v="2"/>
    <x v="1"/>
    <s v="CAJA"/>
    <s v="ALIMENTACION DE EMPLEADOS CTA NUEVA"/>
    <s v="TRANSACCIONES DEL DIA 06/07/2019SPYRAL - GESTION ADMINISTRATIVA"/>
    <n v="16"/>
    <n v="0"/>
    <s v="COSTA VERDE"/>
    <x v="2"/>
  </r>
  <r>
    <n v="125"/>
    <d v="2019-06-14T00:00:00"/>
    <x v="2"/>
    <x v="2"/>
    <x v="1"/>
    <s v="CAJA"/>
    <s v="ALIMENTACION DE EMPLEADOS CTA NUEVA"/>
    <s v="TRANSACCIONES DEL DIA 06/14/2019SPYRAL - GESTION ADMINISTRATIVA"/>
    <n v="16"/>
    <n v="0"/>
    <s v="COSTA VERDE"/>
    <x v="2"/>
  </r>
  <r>
    <n v="125"/>
    <d v="2019-06-19T00:00:00"/>
    <x v="2"/>
    <x v="2"/>
    <x v="1"/>
    <s v="CAJA"/>
    <s v="ALIMENTACION DE EMPLEADOS CTA NUEVA"/>
    <s v="TRANSACCIONES DEL DIA 06/19/2019SPYRAL - GESTION ADMINISTRATIVA"/>
    <n v="16"/>
    <n v="0"/>
    <s v="COSTA VERDE"/>
    <x v="2"/>
  </r>
  <r>
    <n v="125"/>
    <d v="2019-06-25T00:00:00"/>
    <x v="2"/>
    <x v="2"/>
    <x v="1"/>
    <s v="CAJA"/>
    <s v="ALIMENTACION DE EMPLEADOS CTA NUEVA"/>
    <s v="TRANSACCIONES DEL DIA 06/25/2019SPYRAL - GESTION ADMINISTRATIVA"/>
    <n v="8"/>
    <n v="0"/>
    <s v="COSTA VERDE"/>
    <x v="2"/>
  </r>
  <r>
    <n v="125"/>
    <d v="2019-07-04T00:00:00"/>
    <x v="6"/>
    <x v="6"/>
    <x v="1"/>
    <s v="CAJA"/>
    <s v="ALIMENTACION DE EMPLEADOS CTA NUEVA"/>
    <s v="TRANSACCIONES DEL DIA 07/04/2019SPYRAL - GESTION ADMINISTRATIVA"/>
    <n v="16"/>
    <n v="0"/>
    <s v="COSTA VERDE"/>
    <x v="2"/>
  </r>
  <r>
    <n v="125"/>
    <d v="2019-07-05T00:00:00"/>
    <x v="6"/>
    <x v="6"/>
    <x v="1"/>
    <s v="CAJA"/>
    <s v="ALIMENTACION DE EMPLEADOS CTA NUEVA"/>
    <s v="TRANSACCIONES DEL DIA 07/05/2019SPYRAL - GESTION ADMINISTRATIVA"/>
    <n v="24"/>
    <n v="0"/>
    <s v="COSTA VERDE"/>
    <x v="2"/>
  </r>
  <r>
    <n v="125"/>
    <d v="2019-07-08T00:00:00"/>
    <x v="6"/>
    <x v="6"/>
    <x v="1"/>
    <s v="CAJA"/>
    <s v="ALIMENTACION DE EMPLEADOS CTA NUEVA"/>
    <s v="TRANSACCIONES DEL DIA 07/08/2019SPYRAL - GESTION ADMINISTRATIVA"/>
    <n v="8"/>
    <n v="0"/>
    <s v="COSTA VERDE"/>
    <x v="2"/>
  </r>
  <r>
    <n v="125"/>
    <d v="2019-07-10T00:00:00"/>
    <x v="6"/>
    <x v="6"/>
    <x v="1"/>
    <s v="CAJA"/>
    <s v="ALIMENTACION DE EMPLEADOS CTA NUEVA"/>
    <s v="TRANSACCIONES DEL DIA 07/10/2019SPYRAL - GESTION ADMINISTRATIVA"/>
    <n v="24"/>
    <n v="0"/>
    <s v="COSTA VERDE"/>
    <x v="2"/>
  </r>
  <r>
    <n v="125"/>
    <d v="2019-07-13T00:00:00"/>
    <x v="6"/>
    <x v="6"/>
    <x v="1"/>
    <s v="CAJA"/>
    <s v="ALIMENTACION DE EMPLEADOS CTA NUEVA"/>
    <s v="TRANSACCIONES DEL DIA 07/13/2019SPYRAL - GESTION ADMINISTRATIVA"/>
    <n v="24"/>
    <n v="0"/>
    <s v="COSTA VERDE"/>
    <x v="2"/>
  </r>
  <r>
    <n v="125"/>
    <d v="2019-07-17T00:00:00"/>
    <x v="6"/>
    <x v="6"/>
    <x v="1"/>
    <s v="CAJA"/>
    <s v="ALIMENTACION DE EMPLEADOS CTA NUEVA"/>
    <s v="TRANSACCIONES DEL DIA 07/17/2019SPYRAL - GESTION ADMINISTRATIVA"/>
    <n v="56"/>
    <n v="0"/>
    <s v="COSTA VERDE"/>
    <x v="2"/>
  </r>
  <r>
    <n v="125"/>
    <d v="2019-07-20T00:00:00"/>
    <x v="6"/>
    <x v="6"/>
    <x v="1"/>
    <s v="CAJA"/>
    <s v="ALIMENTACION DE EMPLEADOS CTA NUEVA"/>
    <s v="TRANSACCIONES DEL DIA 07/20/2019SPYRAL - GESTION ADMINISTRATIVA"/>
    <n v="16"/>
    <n v="0"/>
    <s v="COSTA VERDE"/>
    <x v="2"/>
  </r>
  <r>
    <n v="125"/>
    <d v="2019-07-22T00:00:00"/>
    <x v="6"/>
    <x v="6"/>
    <x v="1"/>
    <s v="CAJA"/>
    <s v="ALIMENTACION DE EMPLEADOS CTA NUEVA"/>
    <s v="TRANSACCIONES DEL DIA 07/22/2019SPYRAL - GESTION ADMINISTRATIVA"/>
    <n v="16"/>
    <n v="0"/>
    <s v="COSTA VERDE"/>
    <x v="2"/>
  </r>
  <r>
    <n v="125"/>
    <d v="2019-07-26T00:00:00"/>
    <x v="6"/>
    <x v="6"/>
    <x v="1"/>
    <s v="CAJA"/>
    <s v="ALIMENTACION DE EMPLEADOS CTA NUEVA"/>
    <s v="TRANSACCIONES DEL DIA 07/26/2019SPYRAL - GESTION ADMINISTRATIVA"/>
    <n v="32"/>
    <n v="0"/>
    <s v="COSTA VERDE"/>
    <x v="2"/>
  </r>
  <r>
    <n v="125"/>
    <d v="2019-07-30T00:00:00"/>
    <x v="6"/>
    <x v="6"/>
    <x v="1"/>
    <s v="CAJA"/>
    <s v="ALIMENTACION DE EMPLEADOS CTA NUEVA"/>
    <s v="TRANSACCIONES DEL DIA 07/30/2019SPYRAL - GESTION ADMINISTRATIVA"/>
    <n v="16"/>
    <n v="0"/>
    <s v="COSTA VERDE"/>
    <x v="2"/>
  </r>
  <r>
    <n v="125"/>
    <d v="2019-06-14T00:00:00"/>
    <x v="2"/>
    <x v="2"/>
    <x v="1"/>
    <s v="SERVICIOS PERSONALES"/>
    <s v="ALIMENTACION DE EMPLEADOS CTA NUEVA"/>
    <s v="TRANSACCIONES DEL DIA 06/14/2019SPYRAL - GESTION ADMINISTRATIVA"/>
    <n v="8"/>
    <n v="0"/>
    <s v="COSTA VERDE"/>
    <x v="2"/>
  </r>
  <r>
    <n v="125"/>
    <d v="2019-06-21T00:00:00"/>
    <x v="2"/>
    <x v="2"/>
    <x v="1"/>
    <s v="SERVICIOS PERSONALES"/>
    <s v="ALIMENTACION DE EMPLEADOS CTA NUEVA"/>
    <s v="TRANSACCIONES DEL DIA 06/21/2019SPYRAL - GESTION ADMINISTRATIVA"/>
    <n v="16"/>
    <n v="0"/>
    <s v="COSTA VERDE"/>
    <x v="2"/>
  </r>
  <r>
    <n v="125"/>
    <d v="2019-07-02T00:00:00"/>
    <x v="6"/>
    <x v="6"/>
    <x v="1"/>
    <s v="SERVICIOS PERSONALES"/>
    <s v="ALIMENTACION DE EMPLEADOS CTA NUEVA"/>
    <s v="TRANSACCIONES DEL DIA 07/02/2019SPYRAL - GESTION ADMINISTRATIVA"/>
    <n v="8"/>
    <n v="0"/>
    <s v="COSTA VERDE"/>
    <x v="2"/>
  </r>
  <r>
    <n v="125"/>
    <d v="2019-07-03T00:00:00"/>
    <x v="6"/>
    <x v="6"/>
    <x v="1"/>
    <s v="SERVICIOS PERSONALES"/>
    <s v="ALIMENTACION DE EMPLEADOS CTA NUEVA"/>
    <s v="TRANSACCIONES DEL DIA 07/03/2019SPYRAL - GESTION ADMINISTRATIVA"/>
    <n v="32"/>
    <n v="0"/>
    <s v="COSTA VERDE"/>
    <x v="2"/>
  </r>
  <r>
    <n v="131"/>
    <d v="2019-02-22T00:00:00"/>
    <x v="8"/>
    <x v="8"/>
    <x v="1"/>
    <s v="ADMINISTRACION DE SUCURSALES"/>
    <s v="NC ALIMENTACION DE EMPLEADOS NVA"/>
    <s v="TRANSACCIONES DEL DIA 02/22/2019SPYRAL - GESTION ADMINISTRATIVA"/>
    <n v="41.84"/>
    <n v="0"/>
    <s v="PLAZA LOS ANGELES"/>
    <x v="2"/>
  </r>
  <r>
    <n v="131"/>
    <d v="2019-06-03T00:00:00"/>
    <x v="2"/>
    <x v="2"/>
    <x v="1"/>
    <s v="ADMINISTRACION DE SUCURSALES"/>
    <s v="NC ALIMENTACION DE EMPLEADOS NVA"/>
    <s v="TRANSACCIONES DEL DIA 06/03/2019SPYRAL - GESTION ADMINISTRATIVA"/>
    <n v="13.08"/>
    <n v="0"/>
    <s v="PLAZA LOS ANGELES"/>
    <x v="2"/>
  </r>
  <r>
    <n v="131"/>
    <d v="2019-06-20T00:00:00"/>
    <x v="2"/>
    <x v="2"/>
    <x v="1"/>
    <s v="CAJA"/>
    <s v="ALIMENTACION DE EMPLEADOS CTA NUEVA"/>
    <s v="TRANSACCIONES DEL DIA 06/20/2019SPYRAL - GESTION ADMINISTRATIVA"/>
    <n v="8"/>
    <n v="0"/>
    <s v="PLAZA LOS ANGELES"/>
    <x v="2"/>
  </r>
  <r>
    <n v="157"/>
    <d v="2019-03-19T00:00:00"/>
    <x v="9"/>
    <x v="9"/>
    <x v="1"/>
    <s v="ADMINISTRACION DE SUCURSALES"/>
    <s v="NC ALIMENTACION DE EMPLEADOS NVA"/>
    <s v="TRANSACCIONES DEL DIA 03/19/2019SPYRAL - GESTION ADMINISTRATIVA"/>
    <n v="35.950000000000003"/>
    <n v="0"/>
    <s v="SAN MATEO"/>
    <x v="2"/>
  </r>
  <r>
    <n v="157"/>
    <d v="2019-04-03T00:00:00"/>
    <x v="10"/>
    <x v="10"/>
    <x v="1"/>
    <s v="ADMINISTRACION DE SUCURSALES"/>
    <s v="NC ALIMENTACION DE EMPLEADOS NVA"/>
    <s v="TRANSACCIONES DEL DIA 04/03/2019SPYRAL - GESTION ADMINISTRATIVA"/>
    <n v="35.950000000000003"/>
    <n v="0"/>
    <s v="SAN MATEO"/>
    <x v="2"/>
  </r>
  <r>
    <n v="157"/>
    <d v="2019-05-07T00:00:00"/>
    <x v="11"/>
    <x v="11"/>
    <x v="1"/>
    <s v="ADMINISTRACION DE SUCURSALES"/>
    <s v="NC ALIMENTACION DE EMPLEADOS NVA"/>
    <s v="TRANSACCIONES DEL DIA 05/07/2019SPYRAL - GESTION ADMINISTRATIVA"/>
    <n v="35.950000000000003"/>
    <n v="0"/>
    <s v="SAN MATEO"/>
    <x v="2"/>
  </r>
  <r>
    <n v="157"/>
    <d v="2019-07-26T00:00:00"/>
    <x v="6"/>
    <x v="6"/>
    <x v="1"/>
    <s v="ADMINISTRACION DE SUCURSALES"/>
    <s v="NC ALIMENTACION DE EMPLEADOS NVA"/>
    <s v="TRANSACCIONES DEL DIA 07/26/2019SPYRAL - GESTION ADMINISTRATIVA"/>
    <n v="39.950000000000003"/>
    <n v="0"/>
    <s v="SAN MATEO"/>
    <x v="2"/>
  </r>
  <r>
    <n v="162"/>
    <d v="2019-04-03T00:00:00"/>
    <x v="10"/>
    <x v="10"/>
    <x v="1"/>
    <s v="ADMINISTRACION DE SUCURSALES"/>
    <s v="NC ALIMENTACION DE EMPLEADOS NVA"/>
    <s v="TRANSACCIONES DEL DIA 04/03/2019SPYRAL - GESTION ADMINISTRATIVA"/>
    <n v="24.2"/>
    <n v="0"/>
    <s v="BRISAS DEL GOLF ARRAIJAN"/>
    <x v="2"/>
  </r>
  <r>
    <n v="162"/>
    <d v="2019-06-17T00:00:00"/>
    <x v="2"/>
    <x v="2"/>
    <x v="1"/>
    <s v="ADMINISTRACION DE SUCURSALES"/>
    <s v="NC ALIMENTACION DE EMPLEADOS NVA"/>
    <s v="TRANSACCIONES DEL DIA 06/17/2019SPYRAL - GESTION ADMINISTRATIVA"/>
    <n v="10.91"/>
    <n v="0"/>
    <s v="BRISAS DEL GOLF ARRAIJAN"/>
    <x v="2"/>
  </r>
  <r>
    <n v="162"/>
    <d v="2019-07-02T00:00:00"/>
    <x v="6"/>
    <x v="6"/>
    <x v="1"/>
    <s v="ADMINISTRACION DE SUCURSALES"/>
    <s v="OTROS EGRESOS 17"/>
    <s v="OTROS EGRESOS 1.P.O (OR:162/DES:162 TRN:86 PERF:300086 CAU: 17"/>
    <n v="16"/>
    <n v="0"/>
    <s v="BRISAS DEL GOLF ARRAIJAN"/>
    <x v="2"/>
  </r>
  <r>
    <n v="164"/>
    <d v="2019-01-14T00:00:00"/>
    <x v="7"/>
    <x v="7"/>
    <x v="1"/>
    <s v="ADMINISTRACION DE SUCURSALES"/>
    <s v="NC ALIMENTACION DE EMPLEADOS NVA"/>
    <s v="TRANSACCIONES DEL DIA 01/14/2019SPYRAL - GESTION ADMINISTRATIVA"/>
    <n v="38.340000000000003"/>
    <n v="0"/>
    <s v="PASEO ARRAIJAN"/>
    <x v="2"/>
  </r>
  <r>
    <n v="164"/>
    <d v="2019-02-15T00:00:00"/>
    <x v="8"/>
    <x v="8"/>
    <x v="1"/>
    <s v="ADMINISTRACION DE SUCURSALES"/>
    <s v="NC ALIMENTACION DE EMPLEADOS NVA"/>
    <s v="TRANSACCIONES DEL DIA 02/15/2019SPYRAL - GESTION ADMINISTRATIVA"/>
    <n v="56.18"/>
    <n v="0"/>
    <s v="PASEO ARRAIJAN"/>
    <x v="2"/>
  </r>
  <r>
    <n v="164"/>
    <d v="2019-02-27T00:00:00"/>
    <x v="8"/>
    <x v="8"/>
    <x v="1"/>
    <s v="ADMINISTRACION DE SUCURSALES"/>
    <s v="NC ALIMENTACION DE EMPLEADOS NVA"/>
    <s v="TRANSACCIONES DEL DIA 02/27/2019SPYRAL - GESTION ADMINISTRATIVA"/>
    <n v="39.25"/>
    <n v="0"/>
    <s v="PASEO ARRAIJAN"/>
    <x v="2"/>
  </r>
  <r>
    <n v="164"/>
    <d v="2019-04-03T00:00:00"/>
    <x v="10"/>
    <x v="10"/>
    <x v="1"/>
    <s v="ADMINISTRACION DE SUCURSALES"/>
    <s v="NC ALIMENTACION DE EMPLEADOS NVA"/>
    <s v="TRANSACCIONES DEL DIA 04/03/2019SPYRAL - GESTION ADMINISTRATIVA"/>
    <n v="40.229999999999997"/>
    <n v="0"/>
    <s v="PASEO ARRAIJAN"/>
    <x v="2"/>
  </r>
  <r>
    <n v="165"/>
    <d v="2019-06-24T00:00:00"/>
    <x v="2"/>
    <x v="2"/>
    <x v="1"/>
    <s v="SERVICIOS PERSONALES"/>
    <s v="ALIMENTACION DE EMPLEADOS CTA NUEVA"/>
    <s v="TRANSACCIONES DEL DIA 06/24/2019SPYRAL - GESTION ADMINISTRATIVA"/>
    <n v="16"/>
    <n v="0"/>
    <s v="PLAZA NUEVO TOCUMEN"/>
    <x v="2"/>
  </r>
  <r>
    <n v="9"/>
    <d v="2019-06-20T00:00:00"/>
    <x v="2"/>
    <x v="2"/>
    <x v="1"/>
    <s v="ADMINISTRACION DE SUCURSALES"/>
    <s v="NC  RECONOCIMIENTOS"/>
    <s v="TRANSACCIONES DEL DIA 06/20/2019SPYRAL - GESTION ADMINISTRATIVA"/>
    <n v="23"/>
    <n v="0"/>
    <s v="SANTIAGO"/>
    <x v="3"/>
  </r>
  <r>
    <n v="33"/>
    <d v="2019-01-25T00:00:00"/>
    <x v="7"/>
    <x v="7"/>
    <x v="1"/>
    <s v="ADMINISTRACION DE SUCURSALES"/>
    <s v="NC  RECONOCIMIENTOS"/>
    <s v="TRANSACCIONES DEL DIA 01/25/2019SPYRAL - GESTION ADMINISTRATIVA"/>
    <n v="9.7799999999999994"/>
    <n v="0"/>
    <s v="CORONADO"/>
    <x v="3"/>
  </r>
  <r>
    <n v="40"/>
    <d v="2019-01-03T00:00:00"/>
    <x v="7"/>
    <x v="7"/>
    <x v="1"/>
    <s v="ADMINISTRACION DE SUCURSALES"/>
    <s v="NC  RECONOCIMIENTOS"/>
    <s v="TRANSACCIONES DEL DIA 01/03/2019SPYRAL - GESTION ADMINISTRATIVA"/>
    <n v="52.99"/>
    <n v="0"/>
    <s v="LAS TABLAS"/>
    <x v="3"/>
  </r>
  <r>
    <n v="42"/>
    <d v="2019-02-07T00:00:00"/>
    <x v="8"/>
    <x v="8"/>
    <x v="1"/>
    <s v="ADMINISTRACION DE SUCURSALES"/>
    <s v="NC  RECONOCIMIENTOS"/>
    <s v="TRANSACCIONES DEL DIA 02/07/2019SPYRAL - GESTION ADMINISTRATIVA"/>
    <n v="32.1"/>
    <n v="0"/>
    <s v="DAVID - TERRONAL"/>
    <x v="3"/>
  </r>
  <r>
    <n v="43"/>
    <d v="2019-05-27T00:00:00"/>
    <x v="11"/>
    <x v="11"/>
    <x v="1"/>
    <s v="ADMINISTRACION DE SUCURSALES"/>
    <s v="NC  RECONOCIMIENTOS"/>
    <s v="TRANSACCIONES DEL DIA 05/27/2019SPYRAL - GESTION ADMINISTRATIVA"/>
    <n v="17.989999999999998"/>
    <n v="0"/>
    <s v="COSTA DEL ESTE"/>
    <x v="3"/>
  </r>
  <r>
    <n v="54"/>
    <d v="2019-05-27T00:00:00"/>
    <x v="11"/>
    <x v="11"/>
    <x v="1"/>
    <s v="ADMINISTRACION DE SUCURSALES"/>
    <s v="NC  RECONOCIMIENTOS"/>
    <s v="TRANSACCIONES DEL DIA 05/27/2019SPYRAL - GESTION ADMINISTRATIVA"/>
    <n v="30"/>
    <n v="0"/>
    <s v="SABANITAS"/>
    <x v="3"/>
  </r>
  <r>
    <n v="68"/>
    <d v="2019-01-03T00:00:00"/>
    <x v="7"/>
    <x v="7"/>
    <x v="1"/>
    <s v="ADMINISTRACION DE SUCURSALES"/>
    <s v="NC  RECONOCIMIENTOS"/>
    <s v="TRANSACCIONES DEL DIA 01/03/2019SPYRAL - GESTION ADMINISTRATIVA"/>
    <n v="17.11"/>
    <n v="0"/>
    <s v="ALTOS DE PANAMA"/>
    <x v="3"/>
  </r>
  <r>
    <n v="73"/>
    <d v="2019-01-07T00:00:00"/>
    <x v="7"/>
    <x v="7"/>
    <x v="1"/>
    <s v="ADMINISTRACION DE SUCURSALES"/>
    <s v="NC  RECONOCIMIENTOS"/>
    <s v="TRANSACCIONES DEL DIA 01/07/2019SPYRAL - GESTION ADMINISTRATIVA"/>
    <n v="117.49"/>
    <n v="0"/>
    <s v="LA CHORRERA - PARQUE 10 DE NOV."/>
    <x v="3"/>
  </r>
  <r>
    <n v="76"/>
    <d v="2019-01-04T00:00:00"/>
    <x v="7"/>
    <x v="7"/>
    <x v="1"/>
    <s v="ADMINISTRACION DE SUCURSALES"/>
    <s v="NC  RECONOCIMIENTOS"/>
    <s v="TRANSACCIONES DEL DIA 01/04/2019SPYRAL - GESTION ADMINISTRATIVA"/>
    <n v="18.600000000000001"/>
    <n v="0"/>
    <s v="CLAYTON"/>
    <x v="3"/>
  </r>
  <r>
    <n v="91"/>
    <d v="2019-03-11T00:00:00"/>
    <x v="9"/>
    <x v="9"/>
    <x v="1"/>
    <s v="BANCA DE CONSUMO"/>
    <s v="RECONOCIMIENTO"/>
    <s v="TRANSACCIONES DEL DIA 03/11/2019SPYRAL - GESTION ADMINISTRATIVA"/>
    <n v="127.57"/>
    <n v="0"/>
    <s v="NEGOCIOS"/>
    <x v="3"/>
  </r>
  <r>
    <n v="91"/>
    <d v="2019-03-21T00:00:00"/>
    <x v="9"/>
    <x v="9"/>
    <x v="1"/>
    <s v="BANCA DE CONSUMO"/>
    <s v="RECONOCIMIENTO"/>
    <s v="TRANSACCIONES DEL DIA 03/21/2019SPYRAL - GESTION ADMINISTRATIVA"/>
    <n v="1396.4"/>
    <n v="0"/>
    <s v="NEGOCIOS"/>
    <x v="3"/>
  </r>
  <r>
    <n v="91"/>
    <d v="2019-04-30T00:00:00"/>
    <x v="10"/>
    <x v="10"/>
    <x v="1"/>
    <s v="BANCA DE CONSUMO"/>
    <s v="RECONOCIMIENTO"/>
    <s v="TRANSACCIONES DEL DIA 04/30/2019SPYRAL - GESTION ADMINISTRATIVA"/>
    <n v="1000"/>
    <n v="0"/>
    <s v="NEGOCIOS"/>
    <x v="3"/>
  </r>
  <r>
    <n v="91"/>
    <d v="2019-01-03T00:00:00"/>
    <x v="7"/>
    <x v="7"/>
    <x v="1"/>
    <s v="CANALES DE DISTRIBUCION"/>
    <s v="NC  RECONOCIMIENTOS"/>
    <s v="TRANSACCIONES DEL DIA 01/03/2019SPYRAL - GESTION ADMINISTRATIVA"/>
    <n v="30"/>
    <n v="0"/>
    <s v="NEGOCIOS"/>
    <x v="3"/>
  </r>
  <r>
    <n v="91"/>
    <d v="2019-01-10T00:00:00"/>
    <x v="7"/>
    <x v="7"/>
    <x v="1"/>
    <s v="CANALES DE DISTRIBUCION"/>
    <s v="NC  RECONOCIMIENTOS"/>
    <s v="TRANSACCIONES DEL DIA 01/10/2019SPYRAL - GESTION ADMINISTRATIVA"/>
    <n v="67.95"/>
    <n v="0"/>
    <s v="NEGOCIOS"/>
    <x v="3"/>
  </r>
  <r>
    <n v="91"/>
    <d v="2019-01-28T00:00:00"/>
    <x v="7"/>
    <x v="7"/>
    <x v="1"/>
    <s v="CANALES DE DISTRIBUCION"/>
    <s v="NC  RECONOCIMIENTOS"/>
    <s v="TRANSACCIONES DEL DIA 01/28/2019SPYRAL - GESTION ADMINISTRATIVA"/>
    <n v="49.1"/>
    <n v="0"/>
    <s v="NEGOCIOS"/>
    <x v="3"/>
  </r>
  <r>
    <n v="91"/>
    <d v="2019-01-29T00:00:00"/>
    <x v="7"/>
    <x v="7"/>
    <x v="1"/>
    <s v="CANALES DE DISTRIBUCION"/>
    <s v="PROVISION DEL MES ENERO 2019"/>
    <s v="PROVISION CUENTA DE RECONOCIMIENTOS"/>
    <n v="48000"/>
    <n v="0"/>
    <s v="NEGOCIOS"/>
    <x v="3"/>
  </r>
  <r>
    <n v="91"/>
    <d v="2019-02-02T00:00:00"/>
    <x v="8"/>
    <x v="8"/>
    <x v="1"/>
    <s v="CANALES DE DISTRIBUCION"/>
    <s v="RECONOCIMIENTO"/>
    <s v="TRANSACCIONES DEL DIA 02/02/2019SPYRAL - GESTION ADMINISTRATIVA"/>
    <n v="13570"/>
    <n v="0"/>
    <s v="NEGOCIOS"/>
    <x v="3"/>
  </r>
  <r>
    <n v="91"/>
    <d v="2019-02-26T00:00:00"/>
    <x v="8"/>
    <x v="8"/>
    <x v="1"/>
    <s v="CANALES DE DISTRIBUCION"/>
    <s v="REVERSI╦N - FEBRERO 2019"/>
    <s v="REVERSION PROVISION CUENTA DE RECONOCIMIENTOS"/>
    <n v="0"/>
    <n v="13600"/>
    <s v="NEGOCIOS"/>
    <x v="3"/>
  </r>
  <r>
    <n v="91"/>
    <d v="2019-04-30T00:00:00"/>
    <x v="10"/>
    <x v="10"/>
    <x v="1"/>
    <s v="CANALES DE DISTRIBUCION"/>
    <s v="REVERSION - ABRIL 2019"/>
    <s v="REVERSION PROVISION CUENTA DE RECONOCIMIENTOS"/>
    <n v="0"/>
    <n v="6000"/>
    <s v="NEGOCIOS"/>
    <x v="3"/>
  </r>
  <r>
    <n v="91"/>
    <d v="2019-04-30T00:00:00"/>
    <x v="10"/>
    <x v="10"/>
    <x v="1"/>
    <s v="CANALES DE DISTRIBUCION"/>
    <s v="RECONOCIMIENTO"/>
    <s v="TRANSACCIONES DEL DIA 04/30/2019SPYRAL - GESTION ADMINISTRATIVA"/>
    <n v="4850"/>
    <n v="0"/>
    <s v="NEGOCIOS"/>
    <x v="3"/>
  </r>
  <r>
    <n v="91"/>
    <d v="2019-05-02T00:00:00"/>
    <x v="11"/>
    <x v="11"/>
    <x v="1"/>
    <s v="CANALES DE DISTRIBUCION"/>
    <s v="RECONOCIMIENTO"/>
    <s v="TRANSACCIONES DEL DIA 05/02/2019SPYRAL - GESTION ADMINISTRATIVA"/>
    <n v="20320"/>
    <n v="0"/>
    <s v="NEGOCIOS"/>
    <x v="3"/>
  </r>
  <r>
    <n v="91"/>
    <d v="2019-05-13T00:00:00"/>
    <x v="11"/>
    <x v="11"/>
    <x v="1"/>
    <s v="CANALES DE DISTRIBUCION"/>
    <s v="NC  RECONOCIMIENTOS"/>
    <s v="TRANSACCIONES DEL DIA 05/13/2019SPYRAL - GESTION ADMINISTRATIVA"/>
    <n v="50"/>
    <n v="0"/>
    <s v="NEGOCIOS"/>
    <x v="3"/>
  </r>
  <r>
    <n v="91"/>
    <d v="2019-05-29T00:00:00"/>
    <x v="11"/>
    <x v="11"/>
    <x v="1"/>
    <s v="CANALES DE DISTRIBUCION"/>
    <s v="REVERSION MAYO 2019"/>
    <s v="REVERSION PROVISION CUENTA DE RECONOCIMIENTOS"/>
    <n v="0"/>
    <n v="10400"/>
    <s v="NEGOCIOS"/>
    <x v="3"/>
  </r>
  <r>
    <n v="91"/>
    <d v="2019-07-23T00:00:00"/>
    <x v="6"/>
    <x v="6"/>
    <x v="1"/>
    <s v="CANALES DE DISTRIBUCION"/>
    <s v="NC  RECONOCIMIENTOS"/>
    <s v="TRANSACCIONES DEL DIA 07/23/2019SPYRAL - GESTION ADMINISTRATIVA"/>
    <n v="15.5"/>
    <n v="0"/>
    <s v="NEGOCIOS"/>
    <x v="3"/>
  </r>
  <r>
    <n v="91"/>
    <d v="2019-07-30T00:00:00"/>
    <x v="6"/>
    <x v="6"/>
    <x v="1"/>
    <s v="CANALES DE DISTRIBUCION"/>
    <s v="RECONOCIMIENTO"/>
    <s v="TRANSACCIONES DEL DIA 07/30/2019SPYRAL - GESTION ADMINISTRATIVA"/>
    <n v="81.84"/>
    <n v="0"/>
    <s v="NEGOCIOS"/>
    <x v="3"/>
  </r>
  <r>
    <n v="91"/>
    <d v="2019-01-18T00:00:00"/>
    <x v="7"/>
    <x v="7"/>
    <x v="1"/>
    <s v="CENTRO DE TARJETAS"/>
    <s v="NC  RECONOCIMIENTOS"/>
    <s v="TRANSACCIONES DEL DIA 01/18/2019SPYRAL - GESTION ADMINISTRATIVA"/>
    <n v="53.73"/>
    <n v="0"/>
    <s v="NEGOCIOS"/>
    <x v="3"/>
  </r>
  <r>
    <n v="91"/>
    <d v="2019-07-05T00:00:00"/>
    <x v="6"/>
    <x v="6"/>
    <x v="1"/>
    <s v="CENTRO DE TARJETAS"/>
    <s v="NC  RECONOCIMIENTOS"/>
    <s v="TRANSACCIONES DEL DIA 07/05/2019SPYRAL - GESTION ADMINISTRATIVA"/>
    <n v="132.72"/>
    <n v="0"/>
    <s v="NEGOCIOS"/>
    <x v="3"/>
  </r>
  <r>
    <n v="91"/>
    <d v="2019-07-23T00:00:00"/>
    <x v="6"/>
    <x v="6"/>
    <x v="1"/>
    <s v="CENTRO DE TARJETAS"/>
    <s v="NC  RECONOCIMIENTOS"/>
    <s v="TRANSACCIONES DEL DIA 07/23/2019SPYRAL - GESTION ADMINISTRATIVA"/>
    <n v="19.75"/>
    <n v="0"/>
    <s v="NEGOCIOS"/>
    <x v="3"/>
  </r>
  <r>
    <n v="91"/>
    <d v="2019-05-15T00:00:00"/>
    <x v="11"/>
    <x v="11"/>
    <x v="1"/>
    <s v="TELEMERCADEO"/>
    <s v="NC  RECONOCIMIENTOS"/>
    <s v="TRANSACCIONES DEL DIA 05/15/2019SPYRAL - GESTION ADMINISTRATIVA"/>
    <n v="281.52999999999997"/>
    <n v="0"/>
    <s v="NEGOCIOS"/>
    <x v="3"/>
  </r>
  <r>
    <n v="91"/>
    <d v="2019-05-09T00:00:00"/>
    <x v="11"/>
    <x v="11"/>
    <x v="1"/>
    <s v="ATENCION A CLIENTES"/>
    <s v="RECONOCIMIENTO"/>
    <s v="TRANSACCIONES DEL DIA 05/09/2019SPYRAL - GESTION ADMINISTRATIVA"/>
    <n v="90.05"/>
    <n v="0"/>
    <s v="NEGOCIOS"/>
    <x v="3"/>
  </r>
  <r>
    <n v="91"/>
    <d v="2019-03-13T00:00:00"/>
    <x v="9"/>
    <x v="9"/>
    <x v="1"/>
    <s v="DESARROLLO DE PRODUCTOS"/>
    <s v="NC  RECONOCIMIENTOS"/>
    <s v="TRANSACCIONES DEL DIA 03/13/2019SPYRAL - GESTION ADMINISTRATIVA"/>
    <n v="4413.76"/>
    <n v="0"/>
    <s v="NEGOCIOS"/>
    <x v="3"/>
  </r>
  <r>
    <n v="91"/>
    <d v="2019-05-07T00:00:00"/>
    <x v="11"/>
    <x v="11"/>
    <x v="1"/>
    <s v="DESARROLLO DE PRODUCTOS"/>
    <s v="NC  RECONOCIMIENTOS"/>
    <s v="TRANSACCIONES DEL DIA 05/07/2019SPYRAL - GESTION ADMINISTRATIVA"/>
    <n v="84.53"/>
    <n v="0"/>
    <s v="NEGOCIOS"/>
    <x v="3"/>
  </r>
  <r>
    <n v="91"/>
    <d v="2019-01-22T00:00:00"/>
    <x v="7"/>
    <x v="7"/>
    <x v="1"/>
    <s v="FUERZAS DE VENTAS PANAMA"/>
    <s v="NC  RECONOCIMIENTOS"/>
    <s v="TRANSACCIONES DEL DIA 01/22/2019SPYRAL - GESTION ADMINISTRATIVA"/>
    <n v="125"/>
    <n v="0"/>
    <s v="NEGOCIOS"/>
    <x v="3"/>
  </r>
  <r>
    <n v="91"/>
    <d v="2019-02-01T00:00:00"/>
    <x v="8"/>
    <x v="8"/>
    <x v="1"/>
    <s v="FUERZAS DE VENTAS PANAMA"/>
    <s v="NC  RECONOCIMIENTOS"/>
    <s v="TRANSACCIONES DEL DIA 02/01/2019SPYRAL - GESTION ADMINISTRATIVA"/>
    <n v="25"/>
    <n v="0"/>
    <s v="NEGOCIOS"/>
    <x v="3"/>
  </r>
  <r>
    <n v="91"/>
    <d v="2019-03-26T00:00:00"/>
    <x v="9"/>
    <x v="9"/>
    <x v="1"/>
    <s v="FUERZAS DE VENTAS PANAMA"/>
    <s v="NC  RECONOCIMIENTOS"/>
    <s v="TRANSACCIONES DEL DIA 03/26/2019SPYRAL - GESTION ADMINISTRATIVA"/>
    <n v="150"/>
    <n v="0"/>
    <s v="NEGOCIOS"/>
    <x v="3"/>
  </r>
  <r>
    <n v="91"/>
    <d v="2019-04-11T00:00:00"/>
    <x v="10"/>
    <x v="10"/>
    <x v="1"/>
    <s v="FUERZAS DE VENTAS PANAMA"/>
    <s v="NC  RECONOCIMIENTOS"/>
    <s v="TRANSACCIONES DEL DIA 04/11/2019SPYRAL - GESTION ADMINISTRATIVA"/>
    <n v="63.57"/>
    <n v="0"/>
    <s v="NEGOCIOS"/>
    <x v="3"/>
  </r>
  <r>
    <n v="91"/>
    <d v="2019-05-24T00:00:00"/>
    <x v="11"/>
    <x v="11"/>
    <x v="1"/>
    <s v="FUERZAS DE VENTAS PANAMA"/>
    <s v="NC  RECONOCIMIENTOS"/>
    <s v="TRANSACCIONES DEL DIA 05/24/2019SPYRAL - GESTION ADMINISTRATIVA"/>
    <n v="25"/>
    <n v="0"/>
    <s v="NEGOCIOS"/>
    <x v="3"/>
  </r>
  <r>
    <n v="91"/>
    <d v="2019-05-28T00:00:00"/>
    <x v="11"/>
    <x v="11"/>
    <x v="1"/>
    <s v="FUERZAS DE VENTAS PANAMA"/>
    <s v="NC  RECONOCIMIENTOS"/>
    <s v="TRANSACCIONES DEL DIA 05/28/2019SPYRAL - GESTION ADMINISTRATIVA"/>
    <n v="175"/>
    <n v="0"/>
    <s v="NEGOCIOS"/>
    <x v="3"/>
  </r>
  <r>
    <n v="91"/>
    <d v="2019-06-03T00:00:00"/>
    <x v="2"/>
    <x v="2"/>
    <x v="1"/>
    <s v="FUERZAS DE VENTAS PANAMA"/>
    <s v="NC  RECONOCIMIENTOS"/>
    <s v="TRANSACCIONES DEL DIA 06/03/2019SPYRAL - GESTION ADMINISTRATIVA"/>
    <n v="100"/>
    <n v="0"/>
    <s v="NEGOCIOS"/>
    <x v="3"/>
  </r>
  <r>
    <n v="91"/>
    <d v="2019-07-08T00:00:00"/>
    <x v="6"/>
    <x v="6"/>
    <x v="1"/>
    <s v="FUERZAS DE VENTAS PANAMA"/>
    <s v="NC  RECONOCIMIENTOS"/>
    <s v="TRANSACCIONES DEL DIA 07/08/2019SPYRAL - GESTION ADMINISTRATIVA"/>
    <n v="25"/>
    <n v="0"/>
    <s v="NEGOCIOS"/>
    <x v="3"/>
  </r>
  <r>
    <n v="91"/>
    <d v="2019-02-13T00:00:00"/>
    <x v="8"/>
    <x v="8"/>
    <x v="1"/>
    <s v="FUERZA DE VENTAS AUTOS"/>
    <s v="RECONOCIMIENTO"/>
    <s v="TRANSACCIONES DEL DIA 02/13/2019SPYRAL - GESTION ADMINISTRATIVA"/>
    <n v="100"/>
    <n v="0"/>
    <s v="NEGOCIOS"/>
    <x v="3"/>
  </r>
  <r>
    <n v="91"/>
    <d v="2019-05-22T00:00:00"/>
    <x v="11"/>
    <x v="11"/>
    <x v="1"/>
    <s v="FUERZA DE VENTAS AUTOS"/>
    <s v="RECONOCIMIENTO"/>
    <s v="TRANSACCIONES DEL DIA 05/22/2019SPYRAL - GESTION ADMINISTRATIVA"/>
    <n v="50"/>
    <n v="0"/>
    <s v="NEGOCIOS"/>
    <x v="3"/>
  </r>
  <r>
    <n v="91"/>
    <d v="2019-07-09T00:00:00"/>
    <x v="6"/>
    <x v="6"/>
    <x v="1"/>
    <s v="BANCA PRIVADA"/>
    <s v="NC  RECONOCIMIENTOS"/>
    <s v="TRANSACCIONES DEL DIA 07/09/2019SPYRAL - GESTION ADMINISTRATIVA"/>
    <n v="21.98"/>
    <n v="0"/>
    <s v="NEGOCIOS"/>
    <x v="3"/>
  </r>
  <r>
    <n v="91"/>
    <d v="2019-07-11T00:00:00"/>
    <x v="6"/>
    <x v="6"/>
    <x v="1"/>
    <s v="CAMPAðA"/>
    <s v="RECONOCIMIENTO"/>
    <s v="TRANSACCIONES DEL DIA 07/11/2019SPYRAL - GESTION ADMINISTRATIVA"/>
    <n v="12.83"/>
    <n v="0"/>
    <s v="NEGOCIOS"/>
    <x v="3"/>
  </r>
  <r>
    <n v="98"/>
    <d v="2019-05-15T00:00:00"/>
    <x v="11"/>
    <x v="11"/>
    <x v="1"/>
    <s v="ADMINISTRACION DE SUCURSALES"/>
    <s v="NC  RECONOCIMIENTOS"/>
    <s v="TRANSACCIONES DEL DIA 05/15/2019SPYRAL - GESTION ADMINISTRATIVA"/>
    <n v="50"/>
    <n v="0"/>
    <s v="SANTIAGO INTERAMERICANA"/>
    <x v="3"/>
  </r>
  <r>
    <n v="164"/>
    <d v="2019-01-03T00:00:00"/>
    <x v="7"/>
    <x v="7"/>
    <x v="1"/>
    <s v="ADMINISTRACION DE SUCURSALES"/>
    <s v="NC  RECONOCIMIENTOS"/>
    <s v="TRANSACCIONES DEL DIA 01/03/2019SPYRAL - GESTION ADMINISTRATIVA"/>
    <n v="45"/>
    <n v="0"/>
    <s v="PASEO ARRAIJAN"/>
    <x v="3"/>
  </r>
  <r>
    <n v="1"/>
    <d v="2019-02-05T00:00:00"/>
    <x v="8"/>
    <x v="8"/>
    <x v="1"/>
    <s v="ADMINISTRACION DE SUCURSALES"/>
    <s v="NC GASTO NO DEDUCIBLES"/>
    <s v="TRANSACCIONES DEL DIA 02/05/2019SPYRAL - GESTION ADMINISTRATIVA"/>
    <n v="44.99"/>
    <n v="0"/>
    <s v="CASA MATRIZ"/>
    <x v="4"/>
  </r>
  <r>
    <n v="1"/>
    <d v="2019-03-07T00:00:00"/>
    <x v="9"/>
    <x v="9"/>
    <x v="1"/>
    <s v="ADMINISTRACION DE SUCURSALES"/>
    <s v="NC GASTO NO DEDUCIBLES"/>
    <s v="TRANSACCIONES DEL DIA 03/07/2019SPYRAL - GESTION ADMINISTRATIVA"/>
    <n v="63.01"/>
    <n v="0"/>
    <s v="CASA MATRIZ"/>
    <x v="4"/>
  </r>
  <r>
    <n v="1"/>
    <d v="2019-04-18T00:00:00"/>
    <x v="10"/>
    <x v="10"/>
    <x v="1"/>
    <s v="ADMINISTRACION DE SUCURSALES"/>
    <s v="NC GASTO NO DEDUCIBLES"/>
    <s v="TRANSACCIONES DEL DIA 04/18/2019SPYRAL - GESTION ADMINISTRATIVA"/>
    <n v="42.45"/>
    <n v="0"/>
    <s v="CASA MATRIZ"/>
    <x v="4"/>
  </r>
  <r>
    <n v="1"/>
    <d v="2019-04-23T00:00:00"/>
    <x v="10"/>
    <x v="10"/>
    <x v="1"/>
    <s v="ADMINISTRACION DE SUCURSALES"/>
    <s v="NC GASTO NO DEDUCIBLES"/>
    <s v="TRANSACCIONES DEL DIA 04/23/2019SPYRAL - GESTION ADMINISTRATIVA"/>
    <n v="42.45"/>
    <n v="0"/>
    <s v="CASA MATRIZ"/>
    <x v="4"/>
  </r>
  <r>
    <n v="1"/>
    <d v="2019-05-03T00:00:00"/>
    <x v="11"/>
    <x v="11"/>
    <x v="1"/>
    <s v="ADMINISTRACION DE SUCURSALES"/>
    <s v="NC GASTO NO DEDUCIBLES"/>
    <s v="TRANSACCIONES DEL DIA 05/03/2019SPYRAL - GESTION ADMINISTRATIVA"/>
    <n v="77.64"/>
    <n v="0"/>
    <s v="CASA MATRIZ"/>
    <x v="4"/>
  </r>
  <r>
    <n v="1"/>
    <d v="2019-05-07T00:00:00"/>
    <x v="11"/>
    <x v="11"/>
    <x v="1"/>
    <s v="ADMINISTRACION DE SUCURSALES"/>
    <s v="NC GASTO NO DEDUCIBLES"/>
    <s v="TRANSACCIONES DEL DIA 05/07/2019SPYRAL - GESTION ADMINISTRATIVA"/>
    <n v="53.37"/>
    <n v="0"/>
    <s v="CASA MATRIZ"/>
    <x v="4"/>
  </r>
  <r>
    <n v="1"/>
    <d v="2019-07-03T00:00:00"/>
    <x v="6"/>
    <x v="6"/>
    <x v="1"/>
    <s v="ADMINISTRACION DE SUCURSALES"/>
    <s v="NC GASTO NO DEDUCIBLES"/>
    <s v="TRANSACCIONES DEL DIA 07/03/2019SPYRAL - GESTION ADMINISTRATIVA"/>
    <n v="18.690000000000001"/>
    <n v="0"/>
    <s v="CASA MATRIZ"/>
    <x v="4"/>
  </r>
  <r>
    <n v="2"/>
    <d v="2019-02-27T00:00:00"/>
    <x v="8"/>
    <x v="8"/>
    <x v="1"/>
    <s v="ADMINISTRACION DE SUCURSALES"/>
    <s v="GASTOS NO DEDUCIBLES"/>
    <s v="TRANSACCIONES DEL DIA 02/27/2019SPYRAL - GESTION ADMINISTRATIVA"/>
    <n v="47.15"/>
    <n v="0"/>
    <s v="PAITILLA"/>
    <x v="4"/>
  </r>
  <r>
    <n v="2"/>
    <d v="2019-04-04T00:00:00"/>
    <x v="10"/>
    <x v="10"/>
    <x v="1"/>
    <s v="ADMINISTRACION DE SUCURSALES"/>
    <s v="GASTOS NO DEDUCIBLES"/>
    <s v="TRANSACCIONES DEL DIA 04/04/2019SPYRAL - GESTION ADMINISTRATIVA"/>
    <n v="121.01"/>
    <n v="0"/>
    <s v="PAITILLA"/>
    <x v="4"/>
  </r>
  <r>
    <n v="3"/>
    <d v="2019-05-27T00:00:00"/>
    <x v="11"/>
    <x v="11"/>
    <x v="1"/>
    <s v="ADMINISTRACION DE SUCURSALES"/>
    <s v="GASTOS NO DEDUCIBLES"/>
    <s v="TRANSACCIONES DEL DIA 05/27/2019SPYRAL - GESTION ADMINISTRATIVA"/>
    <n v="187.5"/>
    <n v="0"/>
    <s v="EL DORADO"/>
    <x v="4"/>
  </r>
  <r>
    <n v="3"/>
    <d v="2019-05-27T00:00:00"/>
    <x v="11"/>
    <x v="11"/>
    <x v="1"/>
    <s v="ADMINISTRACION DE SUCURSALES"/>
    <s v="NC GASTO NO DEDUCIBLES"/>
    <s v="TRANSACCIONES DEL DIA 05/27/2019SPYRAL - GESTION ADMINISTRATIVA"/>
    <n v="10.49"/>
    <n v="0"/>
    <s v="EL DORADO"/>
    <x v="4"/>
  </r>
  <r>
    <n v="4"/>
    <d v="2019-03-07T00:00:00"/>
    <x v="9"/>
    <x v="9"/>
    <x v="1"/>
    <s v="ADMINISTRACION DE SUCURSALES"/>
    <s v="NC GASTO NO DEDUCIBLES"/>
    <s v="TRANSACCIONES DEL DIA 03/07/2019SPYRAL - GESTION ADMINISTRATIVA"/>
    <n v="37.68"/>
    <n v="0"/>
    <s v="VIA ARGENTINA"/>
    <x v="4"/>
  </r>
  <r>
    <n v="4"/>
    <d v="2019-06-17T00:00:00"/>
    <x v="2"/>
    <x v="2"/>
    <x v="1"/>
    <s v="ADMINISTRACION DE SUCURSALES"/>
    <s v="NC GASTO NO DEDUCIBLES"/>
    <s v="TRANSACCIONES DEL DIA 06/17/2019SPYRAL - GESTION ADMINISTRATIVA"/>
    <n v="41.83"/>
    <n v="0"/>
    <s v="VIA ARGENTINA"/>
    <x v="4"/>
  </r>
  <r>
    <n v="5"/>
    <d v="2019-02-26T00:00:00"/>
    <x v="8"/>
    <x v="8"/>
    <x v="1"/>
    <s v="ADMINISTRACION DE SUCURSALES"/>
    <s v="NC GASTO NO DEDUCIBLES"/>
    <s v="TRANSACCIONES DEL DIA 02/26/2019SPYRAL - GESTION ADMINISTRATIVA"/>
    <n v="80"/>
    <n v="0"/>
    <s v="VIA PORRAS"/>
    <x v="4"/>
  </r>
  <r>
    <n v="5"/>
    <d v="2019-03-28T00:00:00"/>
    <x v="9"/>
    <x v="9"/>
    <x v="1"/>
    <s v="ADMINISTRACION DE SUCURSALES"/>
    <s v="NC GASTO NO DEDUCIBLES"/>
    <s v="TRANSACCIONES DEL DIA 03/28/2019SPYRAL - GESTION ADMINISTRATIVA"/>
    <n v="221.05"/>
    <n v="0"/>
    <s v="VIA PORRAS"/>
    <x v="4"/>
  </r>
  <r>
    <n v="5"/>
    <d v="2019-05-27T00:00:00"/>
    <x v="11"/>
    <x v="11"/>
    <x v="1"/>
    <s v="ADMINISTRACION DE SUCURSALES"/>
    <s v="NC GASTO NO DEDUCIBLES"/>
    <s v="TRANSACCIONES DEL DIA 05/27/2019SPYRAL - GESTION ADMINISTRATIVA"/>
    <n v="160"/>
    <n v="0"/>
    <s v="VIA PORRAS"/>
    <x v="4"/>
  </r>
  <r>
    <n v="5"/>
    <d v="2019-06-17T00:00:00"/>
    <x v="2"/>
    <x v="2"/>
    <x v="1"/>
    <s v="ADMINISTRACION DE SUCURSALES"/>
    <s v="NC GASTO NO DEDUCIBLES"/>
    <s v="TRANSACCIONES DEL DIA 06/17/2019SPYRAL - GESTION ADMINISTRATIVA"/>
    <n v="112"/>
    <n v="0"/>
    <s v="VIA PORRAS"/>
    <x v="4"/>
  </r>
  <r>
    <n v="5"/>
    <d v="2019-07-19T00:00:00"/>
    <x v="6"/>
    <x v="6"/>
    <x v="1"/>
    <s v="ADMINISTRACION DE SUCURSALES"/>
    <s v="NC GASTO NO DEDUCIBLES"/>
    <s v="TRANSACCIONES DEL DIA 07/19/2019SPYRAL - GESTION ADMINISTRATIVA"/>
    <n v="71.94"/>
    <n v="0"/>
    <s v="VIA PORRAS"/>
    <x v="4"/>
  </r>
  <r>
    <n v="6"/>
    <d v="2019-03-26T00:00:00"/>
    <x v="9"/>
    <x v="9"/>
    <x v="1"/>
    <s v="ADMINISTRACION DE SUCURSALES"/>
    <s v="NC GASTO NO DEDUCIBLES"/>
    <s v="TRANSACCIONES DEL DIA 03/26/2019SPYRAL - GESTION ADMINISTRATIVA"/>
    <n v="137.11000000000001"/>
    <n v="0"/>
    <s v="EL INGENIO"/>
    <x v="4"/>
  </r>
  <r>
    <n v="6"/>
    <d v="2019-07-05T00:00:00"/>
    <x v="6"/>
    <x v="6"/>
    <x v="1"/>
    <s v="ADMINISTRACION DE SUCURSALES"/>
    <s v="NC GASTO NO DEDUCIBLES"/>
    <s v="TRANSACCIONES DEL DIA 07/05/2019SPYRAL - GESTION ADMINISTRATIVA"/>
    <n v="78.95"/>
    <n v="0"/>
    <s v="EL INGENIO"/>
    <x v="4"/>
  </r>
  <r>
    <n v="7"/>
    <d v="2019-01-22T00:00:00"/>
    <x v="7"/>
    <x v="7"/>
    <x v="1"/>
    <s v="ADMINISTRACION DE SUCURSALES"/>
    <s v="NC GASTO NO DEDUCIBLES"/>
    <s v="TRANSACCIONES DEL DIA 01/22/2019SPYRAL - GESTION ADMINISTRATIVA"/>
    <n v="38.520000000000003"/>
    <n v="0"/>
    <s v="CHANIS"/>
    <x v="4"/>
  </r>
  <r>
    <n v="7"/>
    <d v="2019-03-19T00:00:00"/>
    <x v="9"/>
    <x v="9"/>
    <x v="1"/>
    <s v="ADMINISTRACION DE SUCURSALES"/>
    <s v="GASTOS NO DEDUCIBLES"/>
    <s v="TRANSACCIONES DEL DIA 03/19/2019SPYRAL - GESTION ADMINISTRATIVA"/>
    <n v="15.95"/>
    <n v="0"/>
    <s v="CHANIS"/>
    <x v="4"/>
  </r>
  <r>
    <n v="7"/>
    <d v="2019-05-06T00:00:00"/>
    <x v="11"/>
    <x v="11"/>
    <x v="1"/>
    <s v="ADMINISTRACION DE SUCURSALES"/>
    <s v="NC GASTO NO DEDUCIBLES"/>
    <s v="TRANSACCIONES DEL DIA 05/06/2019SPYRAL - GESTION ADMINISTRATIVA"/>
    <n v="55.52"/>
    <n v="0"/>
    <s v="CHANIS"/>
    <x v="4"/>
  </r>
  <r>
    <n v="7"/>
    <d v="2019-05-10T00:00:00"/>
    <x v="11"/>
    <x v="11"/>
    <x v="1"/>
    <s v="ADMINISTRACION DE SUCURSALES"/>
    <s v="NC GASTO NO DEDUCIBLES"/>
    <s v="TRANSACCIONES DEL DIA 05/10/2019SPYRAL - GESTION ADMINISTRATIVA"/>
    <n v="13.99"/>
    <n v="0"/>
    <s v="CHANIS"/>
    <x v="4"/>
  </r>
  <r>
    <n v="7"/>
    <d v="2019-06-20T00:00:00"/>
    <x v="2"/>
    <x v="2"/>
    <x v="1"/>
    <s v="ADMINISTRACION DE SUCURSALES"/>
    <s v="NC GASTO NO DEDUCIBLES"/>
    <s v="TRANSACCIONES DEL DIA 06/20/2019SPYRAL - GESTION ADMINISTRATIVA"/>
    <n v="35.5"/>
    <n v="0"/>
    <s v="CHANIS"/>
    <x v="4"/>
  </r>
  <r>
    <n v="8"/>
    <d v="2019-02-26T00:00:00"/>
    <x v="8"/>
    <x v="8"/>
    <x v="1"/>
    <s v="ADMINISTRACION DE SUCURSALES"/>
    <s v="NC GASTO NO DEDUCIBLES"/>
    <s v="TRANSACCIONES DEL DIA 02/26/2019SPYRAL - GESTION ADMINISTRATIVA"/>
    <n v="82.83"/>
    <n v="0"/>
    <s v="PLAZA TOCUMEN"/>
    <x v="4"/>
  </r>
  <r>
    <n v="8"/>
    <d v="2019-03-19T00:00:00"/>
    <x v="9"/>
    <x v="9"/>
    <x v="1"/>
    <s v="ADMINISTRACION DE SUCURSALES"/>
    <s v="NC GASTO NO DEDUCIBLES"/>
    <s v="TRANSACCIONES DEL DIA 03/19/2019SPYRAL - GESTION ADMINISTRATIVA"/>
    <n v="34.86"/>
    <n v="0"/>
    <s v="PLAZA TOCUMEN"/>
    <x v="4"/>
  </r>
  <r>
    <n v="8"/>
    <d v="2019-04-17T00:00:00"/>
    <x v="10"/>
    <x v="10"/>
    <x v="1"/>
    <s v="ADMINISTRACION DE SUCURSALES"/>
    <s v="GASTOS NO DEDUCIBLES"/>
    <s v="TRANSACCIONES DEL DIA 04/17/2019SPYRAL - GESTION ADMINISTRATIVA"/>
    <n v="24.08"/>
    <n v="0"/>
    <s v="PLAZA TOCUMEN"/>
    <x v="4"/>
  </r>
  <r>
    <n v="8"/>
    <d v="2019-06-17T00:00:00"/>
    <x v="2"/>
    <x v="2"/>
    <x v="1"/>
    <s v="ADMINISTRACION DE SUCURSALES"/>
    <s v="NC GASTO NO DEDUCIBLES"/>
    <s v="TRANSACCIONES DEL DIA 06/17/2019SPYRAL - GESTION ADMINISTRATIVA"/>
    <n v="20.85"/>
    <n v="0"/>
    <s v="PLAZA TOCUMEN"/>
    <x v="4"/>
  </r>
  <r>
    <n v="8"/>
    <d v="2019-07-03T00:00:00"/>
    <x v="6"/>
    <x v="6"/>
    <x v="1"/>
    <s v="ADMINISTRACION DE SUCURSALES"/>
    <s v="NC GASTO NO DEDUCIBLES"/>
    <s v="TRANSACCIONES DEL DIA 07/03/2019SPYRAL - GESTION ADMINISTRATIVA"/>
    <n v="19.350000000000001"/>
    <n v="0"/>
    <s v="PLAZA TOCUMEN"/>
    <x v="4"/>
  </r>
  <r>
    <n v="9"/>
    <d v="2019-01-30T00:00:00"/>
    <x v="7"/>
    <x v="7"/>
    <x v="1"/>
    <s v="ADMINISTRACION DE SUCURSALES"/>
    <s v="NC GASTO NO DEDUCIBLES"/>
    <s v="TRANSACCIONES DEL DIA 01/30/2019SPYRAL - GESTION ADMINISTRATIVA"/>
    <n v="354.12"/>
    <n v="0"/>
    <s v="SANTIAGO"/>
    <x v="4"/>
  </r>
  <r>
    <n v="9"/>
    <d v="2019-03-01T00:00:00"/>
    <x v="9"/>
    <x v="9"/>
    <x v="1"/>
    <s v="ADMINISTRACION DE SUCURSALES"/>
    <s v="NC GASTO NO DEDUCIBLES"/>
    <s v="TRANSACCIONES DEL DIA 03/01/2019SPYRAL - GESTION ADMINISTRATIVA"/>
    <n v="60.87"/>
    <n v="0"/>
    <s v="SANTIAGO"/>
    <x v="4"/>
  </r>
  <r>
    <n v="9"/>
    <d v="2019-04-05T00:00:00"/>
    <x v="10"/>
    <x v="10"/>
    <x v="1"/>
    <s v="ADMINISTRACION DE SUCURSALES"/>
    <s v="NC GASTO NO DEDUCIBLES"/>
    <s v="TRANSACCIONES DEL DIA 04/05/2019SPYRAL - GESTION ADMINISTRATIVA"/>
    <n v="51.46"/>
    <n v="0"/>
    <s v="SANTIAGO"/>
    <x v="4"/>
  </r>
  <r>
    <n v="9"/>
    <d v="2019-06-20T00:00:00"/>
    <x v="2"/>
    <x v="2"/>
    <x v="1"/>
    <s v="ADMINISTRACION DE SUCURSALES"/>
    <s v="NC GASTO NO DEDUCIBLES"/>
    <s v="TRANSACCIONES DEL DIA 06/20/2019SPYRAL - GESTION ADMINISTRATIVA"/>
    <n v="84.51"/>
    <n v="0"/>
    <s v="SANTIAGO"/>
    <x v="4"/>
  </r>
  <r>
    <n v="9"/>
    <d v="2019-07-26T00:00:00"/>
    <x v="6"/>
    <x v="6"/>
    <x v="1"/>
    <s v="ADMINISTRACION DE SUCURSALES"/>
    <s v="NC GASTO NO DEDUCIBLES"/>
    <s v="TRANSACCIONES DEL DIA 07/26/2019SPYRAL - GESTION ADMINISTRATIVA"/>
    <n v="90"/>
    <n v="0"/>
    <s v="SANTIAGO"/>
    <x v="4"/>
  </r>
  <r>
    <n v="10"/>
    <d v="2019-02-08T00:00:00"/>
    <x v="8"/>
    <x v="8"/>
    <x v="1"/>
    <s v="ADMINISTRACION DE SUCURSALES"/>
    <s v="GASTOS NO DEDUCIBLES"/>
    <s v="TRANSACCIONES DEL DIA 02/08/2019SPYRAL - GESTION ADMINISTRATIVA"/>
    <n v="17"/>
    <n v="0"/>
    <s v="OBARRIO"/>
    <x v="4"/>
  </r>
  <r>
    <n v="10"/>
    <d v="2019-02-15T00:00:00"/>
    <x v="8"/>
    <x v="8"/>
    <x v="1"/>
    <s v="ADMINISTRACION DE SUCURSALES"/>
    <s v="NC GASTO NO DEDUCIBLES"/>
    <s v="TRANSACCIONES DEL DIA 02/15/2019SPYRAL - GESTION ADMINISTRATIVA"/>
    <n v="142.96"/>
    <n v="0"/>
    <s v="OBARRIO"/>
    <x v="4"/>
  </r>
  <r>
    <n v="10"/>
    <d v="2019-02-19T00:00:00"/>
    <x v="8"/>
    <x v="8"/>
    <x v="1"/>
    <s v="ADMINISTRACION DE SUCURSALES"/>
    <s v="NC GASTO NO DEDUCIBLES"/>
    <s v="TRANSACCIONES DEL DIA 02/19/2019SPYRAL - GESTION ADMINISTRATIVA"/>
    <n v="188.88"/>
    <n v="0"/>
    <s v="OBARRIO"/>
    <x v="4"/>
  </r>
  <r>
    <n v="10"/>
    <d v="2019-04-23T00:00:00"/>
    <x v="10"/>
    <x v="10"/>
    <x v="1"/>
    <s v="ADMINISTRACION DE SUCURSALES"/>
    <s v="NC GASTO NO DEDUCIBLES"/>
    <s v="TRANSACCIONES DEL DIA 04/23/2019SPYRAL - GESTION ADMINISTRATIVA"/>
    <n v="73.5"/>
    <n v="0"/>
    <s v="OBARRIO"/>
    <x v="4"/>
  </r>
  <r>
    <n v="10"/>
    <d v="2019-05-21T00:00:00"/>
    <x v="11"/>
    <x v="11"/>
    <x v="1"/>
    <s v="ADMINISTRACION DE SUCURSALES"/>
    <s v="NC GASTO NO DEDUCIBLES"/>
    <s v="TRANSACCIONES DEL DIA 05/21/2019SPYRAL - GESTION ADMINISTRATIVA"/>
    <n v="82.55"/>
    <n v="0"/>
    <s v="OBARRIO"/>
    <x v="4"/>
  </r>
  <r>
    <n v="10"/>
    <d v="2019-06-25T00:00:00"/>
    <x v="2"/>
    <x v="2"/>
    <x v="1"/>
    <s v="ADMINISTRACION DE SUCURSALES"/>
    <s v="NC GASTO NO DEDUCIBLES"/>
    <s v="TRANSACCIONES DEL DIA 06/25/2019SPYRAL - GESTION ADMINISTRATIVA"/>
    <n v="95.71"/>
    <n v="0"/>
    <s v="OBARRIO"/>
    <x v="4"/>
  </r>
  <r>
    <n v="11"/>
    <d v="2019-01-28T00:00:00"/>
    <x v="7"/>
    <x v="7"/>
    <x v="1"/>
    <s v="ADMINISTRACION DE SUCURSALES"/>
    <s v="NC GASTO NO DEDUCIBLES"/>
    <s v="TRANSACCIONES DEL DIA 01/28/2019SPYRAL - GESTION ADMINISTRATIVA"/>
    <n v="236.39"/>
    <n v="0"/>
    <s v="COLON"/>
    <x v="4"/>
  </r>
  <r>
    <n v="11"/>
    <d v="2019-06-17T00:00:00"/>
    <x v="2"/>
    <x v="2"/>
    <x v="1"/>
    <s v="ADMINISTRACION DE SUCURSALES"/>
    <s v="NC GASTO NO DEDUCIBLES"/>
    <s v="TRANSACCIONES DEL DIA 06/17/2019SPYRAL - GESTION ADMINISTRATIVA"/>
    <n v="140.03"/>
    <n v="0"/>
    <s v="COLON"/>
    <x v="4"/>
  </r>
  <r>
    <n v="11"/>
    <d v="2019-07-26T00:00:00"/>
    <x v="6"/>
    <x v="6"/>
    <x v="1"/>
    <s v="ADMINISTRACION DE SUCURSALES"/>
    <s v="NC GASTO NO DEDUCIBLES"/>
    <s v="TRANSACCIONES DEL DIA 07/26/2019SPYRAL - GESTION ADMINISTRATIVA"/>
    <n v="107.29"/>
    <n v="0"/>
    <s v="COLON"/>
    <x v="4"/>
  </r>
  <r>
    <n v="13"/>
    <d v="2019-02-01T00:00:00"/>
    <x v="8"/>
    <x v="8"/>
    <x v="1"/>
    <s v="ADMINISTRACION DE SUCURSALES"/>
    <s v="NC GASTO NO DEDUCIBLES"/>
    <s v="TRANSACCIONES DEL DIA 02/01/2019SPYRAL - GESTION ADMINISTRATIVA"/>
    <n v="102.77"/>
    <n v="0"/>
    <s v="HATO PINTADO"/>
    <x v="4"/>
  </r>
  <r>
    <n v="13"/>
    <d v="2019-02-26T00:00:00"/>
    <x v="8"/>
    <x v="8"/>
    <x v="1"/>
    <s v="ADMINISTRACION DE SUCURSALES"/>
    <s v="NC GASTO NO DEDUCIBLES"/>
    <s v="TRANSACCIONES DEL DIA 02/26/2019SPYRAL - GESTION ADMINISTRATIVA"/>
    <n v="65.94"/>
    <n v="0"/>
    <s v="HATO PINTADO"/>
    <x v="4"/>
  </r>
  <r>
    <n v="13"/>
    <d v="2019-03-01T00:00:00"/>
    <x v="9"/>
    <x v="9"/>
    <x v="1"/>
    <s v="ADMINISTRACION DE SUCURSALES"/>
    <s v="NC GASTO NO DEDUCIBLES"/>
    <s v="TRANSACCIONES DEL DIA 03/01/2019SPYRAL - GESTION ADMINISTRATIVA"/>
    <n v="59.15"/>
    <n v="0"/>
    <s v="HATO PINTADO"/>
    <x v="4"/>
  </r>
  <r>
    <n v="13"/>
    <d v="2019-03-12T00:00:00"/>
    <x v="9"/>
    <x v="9"/>
    <x v="1"/>
    <s v="ADMINISTRACION DE SUCURSALES"/>
    <s v="NC GASTO NO DEDUCIBLES"/>
    <s v="TRANSACCIONES DEL DIA 03/12/2019SPYRAL - GESTION ADMINISTRATIVA"/>
    <n v="50.45"/>
    <n v="0"/>
    <s v="HATO PINTADO"/>
    <x v="4"/>
  </r>
  <r>
    <n v="13"/>
    <d v="2019-04-03T00:00:00"/>
    <x v="10"/>
    <x v="10"/>
    <x v="1"/>
    <s v="ADMINISTRACION DE SUCURSALES"/>
    <s v="NC GASTO NO DEDUCIBLES"/>
    <s v="TRANSACCIONES DEL DIA 04/03/2019SPYRAL - GESTION ADMINISTRATIVA"/>
    <n v="8.35"/>
    <n v="0"/>
    <s v="HATO PINTADO"/>
    <x v="4"/>
  </r>
  <r>
    <n v="13"/>
    <d v="2019-05-03T00:00:00"/>
    <x v="11"/>
    <x v="11"/>
    <x v="1"/>
    <s v="ADMINISTRACION DE SUCURSALES"/>
    <s v="NC GASTO NO DEDUCIBLES"/>
    <s v="TRANSACCIONES DEL DIA 05/03/2019SPYRAL - GESTION ADMINISTRATIVA"/>
    <n v="128.6"/>
    <n v="0"/>
    <s v="HATO PINTADO"/>
    <x v="4"/>
  </r>
  <r>
    <n v="13"/>
    <d v="2019-05-10T00:00:00"/>
    <x v="11"/>
    <x v="11"/>
    <x v="1"/>
    <s v="ADMINISTRACION DE SUCURSALES"/>
    <s v="NC GASTO NO DEDUCIBLES"/>
    <s v="TRANSACCIONES DEL DIA 05/10/2019SPYRAL - GESTION ADMINISTRATIVA"/>
    <n v="94.69"/>
    <n v="0"/>
    <s v="HATO PINTADO"/>
    <x v="4"/>
  </r>
  <r>
    <n v="13"/>
    <d v="2019-05-27T00:00:00"/>
    <x v="11"/>
    <x v="11"/>
    <x v="1"/>
    <s v="ADMINISTRACION DE SUCURSALES"/>
    <s v="NC GASTO NO DEDUCIBLES"/>
    <s v="TRANSACCIONES DEL DIA 05/27/2019SPYRAL - GESTION ADMINISTRATIVA"/>
    <n v="116.42"/>
    <n v="0"/>
    <s v="HATO PINTADO"/>
    <x v="4"/>
  </r>
  <r>
    <n v="13"/>
    <d v="2019-06-03T00:00:00"/>
    <x v="2"/>
    <x v="2"/>
    <x v="1"/>
    <s v="ADMINISTRACION DE SUCURSALES"/>
    <s v="NC GASTO NO DEDUCIBLES"/>
    <s v="TRANSACCIONES DEL DIA 06/03/2019SPYRAL - GESTION ADMINISTRATIVA"/>
    <n v="170.2"/>
    <n v="0"/>
    <s v="HATO PINTADO"/>
    <x v="4"/>
  </r>
  <r>
    <n v="13"/>
    <d v="2019-06-25T00:00:00"/>
    <x v="2"/>
    <x v="2"/>
    <x v="1"/>
    <s v="ADMINISTRACION DE SUCURSALES"/>
    <s v="NC GASTO NO DEDUCIBLES"/>
    <s v="TRANSACCIONES DEL DIA 06/25/2019SPYRAL - GESTION ADMINISTRATIVA"/>
    <n v="96.89"/>
    <n v="0"/>
    <s v="HATO PINTADO"/>
    <x v="4"/>
  </r>
  <r>
    <n v="13"/>
    <d v="2019-07-05T00:00:00"/>
    <x v="6"/>
    <x v="6"/>
    <x v="1"/>
    <s v="ADMINISTRACION DE SUCURSALES"/>
    <s v="NC GASTO NO DEDUCIBLES"/>
    <s v="TRANSACCIONES DEL DIA 07/05/2019SPYRAL - GESTION ADMINISTRATIVA"/>
    <n v="31.71"/>
    <n v="0"/>
    <s v="HATO PINTADO"/>
    <x v="4"/>
  </r>
  <r>
    <n v="14"/>
    <d v="2019-04-03T00:00:00"/>
    <x v="10"/>
    <x v="10"/>
    <x v="1"/>
    <s v="ADMINISTRACION DE SUCURSALES"/>
    <s v="NC GASTO NO DEDUCIBLES"/>
    <s v="TRANSACCIONES DEL DIA 04/03/2019SPYRAL - GESTION ADMINISTRATIVA"/>
    <n v="71.84"/>
    <n v="0"/>
    <s v="RIO ABAJO"/>
    <x v="4"/>
  </r>
  <r>
    <n v="14"/>
    <d v="2019-05-10T00:00:00"/>
    <x v="11"/>
    <x v="11"/>
    <x v="1"/>
    <s v="ADMINISTRACION DE SUCURSALES"/>
    <s v="NC GASTO NO DEDUCIBLES"/>
    <s v="TRANSACCIONES DEL DIA 05/10/2019SPYRAL - GESTION ADMINISTRATIVA"/>
    <n v="71.5"/>
    <n v="0"/>
    <s v="RIO ABAJO"/>
    <x v="4"/>
  </r>
  <r>
    <n v="15"/>
    <d v="2019-03-15T00:00:00"/>
    <x v="9"/>
    <x v="9"/>
    <x v="1"/>
    <s v="ADMINISTRACION DE SUCURSALES"/>
    <s v="NC GASTO NO DEDUCIBLES"/>
    <s v="TRANSACCIONES DEL DIA 03/15/2019SPYRAL - GESTION ADMINISTRATIVA"/>
    <n v="33.86"/>
    <n v="0"/>
    <s v="LA CHORRERA"/>
    <x v="4"/>
  </r>
  <r>
    <n v="16"/>
    <d v="2019-04-11T00:00:00"/>
    <x v="10"/>
    <x v="10"/>
    <x v="1"/>
    <s v="ADMINISTRACION DE SUCURSALES"/>
    <s v="NC GASTO NO DEDUCIBLES"/>
    <s v="TRANSACCIONES DEL DIA 04/11/2019SPYRAL - GESTION ADMINISTRATIVA"/>
    <n v="33"/>
    <n v="0"/>
    <s v="AVENIDA CENTRAL"/>
    <x v="4"/>
  </r>
  <r>
    <n v="16"/>
    <d v="2019-05-15T00:00:00"/>
    <x v="11"/>
    <x v="11"/>
    <x v="1"/>
    <s v="ADMINISTRACION DE SUCURSALES"/>
    <s v="NC GASTO NO DEDUCIBLES"/>
    <s v="TRANSACCIONES DEL DIA 05/15/2019SPYRAL - GESTION ADMINISTRATIVA"/>
    <n v="142.61000000000001"/>
    <n v="0"/>
    <s v="AVENIDA CENTRAL"/>
    <x v="4"/>
  </r>
  <r>
    <n v="16"/>
    <d v="2019-06-17T00:00:00"/>
    <x v="2"/>
    <x v="2"/>
    <x v="1"/>
    <s v="ADMINISTRACION DE SUCURSALES"/>
    <s v="NC GASTO NO DEDUCIBLES"/>
    <s v="TRANSACCIONES DEL DIA 06/17/2019SPYRAL - GESTION ADMINISTRATIVA"/>
    <n v="79.55"/>
    <n v="0"/>
    <s v="AVENIDA CENTRAL"/>
    <x v="4"/>
  </r>
  <r>
    <n v="17"/>
    <d v="2019-01-10T00:00:00"/>
    <x v="7"/>
    <x v="7"/>
    <x v="1"/>
    <s v="ADMINISTRACION DE SUCURSALES"/>
    <s v="NC GASTO NO DEDUCIBLES"/>
    <s v="TRANSACCIONES DEL DIA 01/10/2019SPYRAL - GESTION ADMINISTRATIVA"/>
    <n v="42.92"/>
    <n v="0"/>
    <s v="LOS ANGELES"/>
    <x v="4"/>
  </r>
  <r>
    <n v="17"/>
    <d v="2019-03-12T00:00:00"/>
    <x v="9"/>
    <x v="9"/>
    <x v="1"/>
    <s v="ADMINISTRACION DE SUCURSALES"/>
    <s v="NC GASTO NO DEDUCIBLES"/>
    <s v="TRANSACCIONES DEL DIA 03/12/2019SPYRAL - GESTION ADMINISTRATIVA"/>
    <n v="26.75"/>
    <n v="0"/>
    <s v="LOS ANGELES"/>
    <x v="4"/>
  </r>
  <r>
    <n v="17"/>
    <d v="2019-04-03T00:00:00"/>
    <x v="10"/>
    <x v="10"/>
    <x v="1"/>
    <s v="ADMINISTRACION DE SUCURSALES"/>
    <s v="NC GASTO NO DEDUCIBLES"/>
    <s v="TRANSACCIONES DEL DIA 04/03/2019SPYRAL - GESTION ADMINISTRATIVA"/>
    <n v="65.099999999999994"/>
    <n v="0"/>
    <s v="LOS ANGELES"/>
    <x v="4"/>
  </r>
  <r>
    <n v="17"/>
    <d v="2019-05-15T00:00:00"/>
    <x v="11"/>
    <x v="11"/>
    <x v="1"/>
    <s v="ADMINISTRACION DE SUCURSALES"/>
    <s v="NC GASTO NO DEDUCIBLES"/>
    <s v="TRANSACCIONES DEL DIA 05/15/2019SPYRAL - GESTION ADMINISTRATIVA"/>
    <n v="31.14"/>
    <n v="0"/>
    <s v="LOS ANGELES"/>
    <x v="4"/>
  </r>
  <r>
    <n v="17"/>
    <d v="2019-05-21T00:00:00"/>
    <x v="11"/>
    <x v="11"/>
    <x v="1"/>
    <s v="ADMINISTRACION DE SUCURSALES"/>
    <s v="NC GASTO NO DEDUCIBLES"/>
    <s v="TRANSACCIONES DEL DIA 05/21/2019SPYRAL - GESTION ADMINISTRATIVA"/>
    <n v="41.97"/>
    <n v="0"/>
    <s v="LOS ANGELES"/>
    <x v="4"/>
  </r>
  <r>
    <n v="17"/>
    <d v="2019-06-17T00:00:00"/>
    <x v="2"/>
    <x v="2"/>
    <x v="1"/>
    <s v="ADMINISTRACION DE SUCURSALES"/>
    <s v="NC GASTO NO DEDUCIBLES"/>
    <s v="TRANSACCIONES DEL DIA 06/17/2019SPYRAL - GESTION ADMINISTRATIVA"/>
    <n v="73.510000000000005"/>
    <n v="0"/>
    <s v="LOS ANGELES"/>
    <x v="4"/>
  </r>
  <r>
    <n v="17"/>
    <d v="2019-07-12T00:00:00"/>
    <x v="6"/>
    <x v="6"/>
    <x v="1"/>
    <s v="ADMINISTRACION DE SUCURSALES"/>
    <s v="NC GASTO NO DEDUCIBLES"/>
    <s v="TRANSACCIONES DEL DIA 07/12/2019SPYRAL - GESTION ADMINISTRATIVA"/>
    <n v="57.78"/>
    <n v="0"/>
    <s v="LOS ANGELES"/>
    <x v="4"/>
  </r>
  <r>
    <n v="18"/>
    <d v="2019-02-19T00:00:00"/>
    <x v="8"/>
    <x v="8"/>
    <x v="1"/>
    <s v="ADMINISTRACION DE SUCURSALES"/>
    <s v="NC GASTO NO DEDUCIBLES"/>
    <s v="TRANSACCIONES DEL DIA 02/19/2019SPYRAL - GESTION ADMINISTRATIVA"/>
    <n v="100.68"/>
    <n v="0"/>
    <s v="VILLA LUCRE"/>
    <x v="4"/>
  </r>
  <r>
    <n v="18"/>
    <d v="2019-04-03T00:00:00"/>
    <x v="10"/>
    <x v="10"/>
    <x v="1"/>
    <s v="ADMINISTRACION DE SUCURSALES"/>
    <s v="NC GASTO NO DEDUCIBLES"/>
    <s v="TRANSACCIONES DEL DIA 04/03/2019SPYRAL - GESTION ADMINISTRATIVA"/>
    <n v="62.27"/>
    <n v="0"/>
    <s v="VILLA LUCRE"/>
    <x v="4"/>
  </r>
  <r>
    <n v="18"/>
    <d v="2019-05-06T00:00:00"/>
    <x v="11"/>
    <x v="11"/>
    <x v="1"/>
    <s v="ADMINISTRACION DE SUCURSALES"/>
    <s v="NC GASTO NO DEDUCIBLES"/>
    <s v="TRANSACCIONES DEL DIA 05/06/2019SPYRAL - GESTION ADMINISTRATIVA"/>
    <n v="31.03"/>
    <n v="0"/>
    <s v="VILLA LUCRE"/>
    <x v="4"/>
  </r>
  <r>
    <n v="18"/>
    <d v="2019-05-24T00:00:00"/>
    <x v="11"/>
    <x v="11"/>
    <x v="1"/>
    <s v="ADMINISTRACION DE SUCURSALES"/>
    <s v="NC GASTO NO DEDUCIBLES"/>
    <s v="TRANSACCIONES DEL DIA 05/24/2019SPYRAL - GESTION ADMINISTRATIVA"/>
    <n v="43.73"/>
    <n v="0"/>
    <s v="VILLA LUCRE"/>
    <x v="4"/>
  </r>
  <r>
    <n v="18"/>
    <d v="2019-06-03T00:00:00"/>
    <x v="2"/>
    <x v="2"/>
    <x v="1"/>
    <s v="ADMINISTRACION DE SUCURSALES"/>
    <s v="NC GASTO NO DEDUCIBLES"/>
    <s v="TRANSACCIONES DEL DIA 06/03/2019SPYRAL - GESTION ADMINISTRATIVA"/>
    <n v="31.38"/>
    <n v="0"/>
    <s v="VILLA LUCRE"/>
    <x v="4"/>
  </r>
  <r>
    <n v="18"/>
    <d v="2019-06-17T00:00:00"/>
    <x v="2"/>
    <x v="2"/>
    <x v="1"/>
    <s v="ADMINISTRACION DE SUCURSALES"/>
    <s v="NC GASTO NO DEDUCIBLES"/>
    <s v="TRANSACCIONES DEL DIA 06/17/2019SPYRAL - GESTION ADMINISTRATIVA"/>
    <n v="35.06"/>
    <n v="0"/>
    <s v="VILLA LUCRE"/>
    <x v="4"/>
  </r>
  <r>
    <n v="18"/>
    <d v="2019-07-09T00:00:00"/>
    <x v="6"/>
    <x v="6"/>
    <x v="1"/>
    <s v="ADMINISTRACION DE SUCURSALES"/>
    <s v="NC GASTO NO DEDUCIBLES"/>
    <s v="TRANSACCIONES DEL DIA 07/09/2019SPYRAL - GESTION ADMINISTRATIVA"/>
    <n v="297.8"/>
    <n v="0"/>
    <s v="VILLA LUCRE"/>
    <x v="4"/>
  </r>
  <r>
    <n v="18"/>
    <d v="2019-07-23T00:00:00"/>
    <x v="6"/>
    <x v="6"/>
    <x v="1"/>
    <s v="ADMINISTRACION DE SUCURSALES"/>
    <s v="NC GASTO NO DEDUCIBLES"/>
    <s v="TRANSACCIONES DEL DIA 07/23/2019SPYRAL - GESTION ADMINISTRATIVA"/>
    <n v="10.7"/>
    <n v="0"/>
    <s v="VILLA LUCRE"/>
    <x v="4"/>
  </r>
  <r>
    <n v="18"/>
    <d v="2019-07-26T00:00:00"/>
    <x v="6"/>
    <x v="6"/>
    <x v="1"/>
    <s v="ADMINISTRACION DE SUCURSALES"/>
    <s v="NC GASTO NO DEDUCIBLES"/>
    <s v="TRANSACCIONES DEL DIA 07/26/2019SPYRAL - GESTION ADMINISTRATIVA"/>
    <n v="76.81"/>
    <n v="0"/>
    <s v="VILLA LUCRE"/>
    <x v="4"/>
  </r>
  <r>
    <n v="19"/>
    <d v="2019-02-05T00:00:00"/>
    <x v="8"/>
    <x v="8"/>
    <x v="1"/>
    <s v="ADMINISTRACION DE SUCURSALES"/>
    <s v="NC GASTO NO DEDUCIBLES"/>
    <s v="TRANSACCIONES DEL DIA 02/05/2019SPYRAL - GESTION ADMINISTRATIVA"/>
    <n v="79.86"/>
    <n v="0"/>
    <s v="LOS ANDES"/>
    <x v="4"/>
  </r>
  <r>
    <n v="19"/>
    <d v="2019-03-26T00:00:00"/>
    <x v="9"/>
    <x v="9"/>
    <x v="1"/>
    <s v="ADMINISTRACION DE SUCURSALES"/>
    <s v="NC GASTO NO DEDUCIBLES"/>
    <s v="TRANSACCIONES DEL DIA 03/26/2019SPYRAL - GESTION ADMINISTRATIVA"/>
    <n v="213.44"/>
    <n v="0"/>
    <s v="LOS ANDES"/>
    <x v="4"/>
  </r>
  <r>
    <n v="19"/>
    <d v="2019-04-23T00:00:00"/>
    <x v="10"/>
    <x v="10"/>
    <x v="1"/>
    <s v="ADMINISTRACION DE SUCURSALES"/>
    <s v="NC GASTO NO DEDUCIBLES"/>
    <s v="TRANSACCIONES DEL DIA 04/23/2019SPYRAL - GESTION ADMINISTRATIVA"/>
    <n v="52.02"/>
    <n v="0"/>
    <s v="LOS ANDES"/>
    <x v="4"/>
  </r>
  <r>
    <n v="19"/>
    <d v="2019-06-01T00:00:00"/>
    <x v="2"/>
    <x v="2"/>
    <x v="1"/>
    <s v="ADMINISTRACION DE SUCURSALES"/>
    <s v="GASTOS NO DEDUCIBLES"/>
    <s v="TRANSACCIONES DEL DIA 06/01/2019SPYRAL - GESTION ADMINISTRATIVA"/>
    <n v="30"/>
    <n v="0"/>
    <s v="LOS ANDES"/>
    <x v="4"/>
  </r>
  <r>
    <n v="19"/>
    <d v="2019-06-03T00:00:00"/>
    <x v="2"/>
    <x v="2"/>
    <x v="1"/>
    <s v="ADMINISTRACION DE SUCURSALES"/>
    <s v="NC GASTO NO DEDUCIBLES"/>
    <s v="TRANSACCIONES DEL DIA 06/03/2019SPYRAL - GESTION ADMINISTRATIVA"/>
    <n v="80.03"/>
    <n v="0"/>
    <s v="LOS ANDES"/>
    <x v="4"/>
  </r>
  <r>
    <n v="19"/>
    <d v="2019-06-10T00:00:00"/>
    <x v="2"/>
    <x v="2"/>
    <x v="1"/>
    <s v="ADMINISTRACION DE SUCURSALES"/>
    <s v="NC GASTO NO DEDUCIBLES"/>
    <s v="TRANSACCIONES DEL DIA 06/10/2019SPYRAL - GESTION ADMINISTRATIVA"/>
    <n v="0.27"/>
    <n v="0"/>
    <s v="LOS ANDES"/>
    <x v="4"/>
  </r>
  <r>
    <n v="19"/>
    <d v="2019-07-02T00:00:00"/>
    <x v="6"/>
    <x v="6"/>
    <x v="1"/>
    <s v="ADMINISTRACION DE SUCURSALES"/>
    <s v="GASTOS NO DEDUCIBLES"/>
    <s v="TRANSACCIONES DEL DIA 07/02/2019SPYRAL - GESTION ADMINISTRATIVA"/>
    <n v="30"/>
    <n v="0"/>
    <s v="LOS ANDES"/>
    <x v="4"/>
  </r>
  <r>
    <n v="19"/>
    <d v="2019-07-03T00:00:00"/>
    <x v="6"/>
    <x v="6"/>
    <x v="1"/>
    <s v="ADMINISTRACION DE SUCURSALES"/>
    <s v="NC GASTO NO DEDUCIBLES"/>
    <s v="TRANSACCIONES DEL DIA 07/03/2019SPYRAL - GESTION ADMINISTRATIVA"/>
    <n v="102.76"/>
    <n v="0"/>
    <s v="LOS ANDES"/>
    <x v="4"/>
  </r>
  <r>
    <n v="19"/>
    <d v="2019-07-05T00:00:00"/>
    <x v="6"/>
    <x v="6"/>
    <x v="1"/>
    <s v="ADMINISTRACION DE SUCURSALES"/>
    <s v="GASTOS NO DEDUCIBLES"/>
    <s v="TRANSACCIONES DEL DIA 07/05/2019SPYRAL - GESTION ADMINISTRATIVA"/>
    <n v="30"/>
    <n v="0"/>
    <s v="LOS ANDES"/>
    <x v="4"/>
  </r>
  <r>
    <n v="20"/>
    <d v="2019-01-16T00:00:00"/>
    <x v="7"/>
    <x v="7"/>
    <x v="1"/>
    <s v="ADMINISTRACION DE SUCURSALES"/>
    <s v="NC GASTO NO DEDUCIBLES"/>
    <s v="TRANSACCIONES DEL DIA 01/16/2019SPYRAL - GESTION ADMINISTRATIVA"/>
    <n v="15.95"/>
    <n v="0"/>
    <s v="VIA ESPANA"/>
    <x v="4"/>
  </r>
  <r>
    <n v="20"/>
    <d v="2019-01-25T00:00:00"/>
    <x v="7"/>
    <x v="7"/>
    <x v="1"/>
    <s v="ADMINISTRACION DE SUCURSALES"/>
    <s v="NC GASTO NO DEDUCIBLES"/>
    <s v="TRANSACCIONES DEL DIA 01/25/2019SPYRAL - GESTION ADMINISTRATIVA"/>
    <n v="15.95"/>
    <n v="0"/>
    <s v="VIA ESPANA"/>
    <x v="4"/>
  </r>
  <r>
    <n v="20"/>
    <d v="2019-03-12T00:00:00"/>
    <x v="9"/>
    <x v="9"/>
    <x v="1"/>
    <s v="ADMINISTRACION DE SUCURSALES"/>
    <s v="NC GASTO NO DEDUCIBLES"/>
    <s v="TRANSACCIONES DEL DIA 03/12/2019SPYRAL - GESTION ADMINISTRATIVA"/>
    <n v="19.95"/>
    <n v="0"/>
    <s v="VIA ESPANA"/>
    <x v="4"/>
  </r>
  <r>
    <n v="20"/>
    <d v="2019-06-20T00:00:00"/>
    <x v="2"/>
    <x v="2"/>
    <x v="1"/>
    <s v="ADMINISTRACION DE SUCURSALES"/>
    <s v="NC GASTO NO DEDUCIBLES"/>
    <s v="TRANSACCIONES DEL DIA 06/20/2019SPYRAL - GESTION ADMINISTRATIVA"/>
    <n v="30.04"/>
    <n v="0"/>
    <s v="VIA ESPANA"/>
    <x v="4"/>
  </r>
  <r>
    <n v="21"/>
    <d v="2019-04-05T00:00:00"/>
    <x v="10"/>
    <x v="10"/>
    <x v="1"/>
    <s v="ADMINISTRACION DE SUCURSALES"/>
    <s v="NC GASTO NO DEDUCIBLES"/>
    <s v="TRANSACCIONES DEL DIA 04/05/2019SPYRAL - GESTION ADMINISTRATIVA"/>
    <n v="53.9"/>
    <n v="0"/>
    <s v="AVENIDA CUBA"/>
    <x v="4"/>
  </r>
  <r>
    <n v="21"/>
    <d v="2019-04-06T00:00:00"/>
    <x v="10"/>
    <x v="10"/>
    <x v="1"/>
    <s v="ADMINISTRACION DE SUCURSALES"/>
    <s v="GASTOS NO DEDUCIBLES"/>
    <s v="TRANSACCIONES DEL DIA 04/06/2019SPYRAL - GESTION ADMINISTRATIVA"/>
    <n v="155"/>
    <n v="0"/>
    <s v="AVENIDA CUBA"/>
    <x v="4"/>
  </r>
  <r>
    <n v="22"/>
    <d v="2019-02-19T00:00:00"/>
    <x v="8"/>
    <x v="8"/>
    <x v="1"/>
    <s v="ADMINISTRACION DE SUCURSALES"/>
    <s v="NC GASTO NO DEDUCIBLES"/>
    <s v="TRANSACCIONES DEL DIA 02/19/2019SPYRAL - GESTION ADMINISTRATIVA"/>
    <n v="189.2"/>
    <n v="0"/>
    <s v="CHITRE"/>
    <x v="4"/>
  </r>
  <r>
    <n v="22"/>
    <d v="2019-03-13T00:00:00"/>
    <x v="9"/>
    <x v="9"/>
    <x v="1"/>
    <s v="ADMINISTRACION DE SUCURSALES"/>
    <s v="NC GASTO NO DEDUCIBLES"/>
    <s v="TRANSACCIONES DEL DIA 03/13/2019SPYRAL - GESTION ADMINISTRATIVA"/>
    <n v="114.05"/>
    <n v="0"/>
    <s v="CHITRE"/>
    <x v="4"/>
  </r>
  <r>
    <n v="22"/>
    <d v="2019-06-10T00:00:00"/>
    <x v="2"/>
    <x v="2"/>
    <x v="1"/>
    <s v="ADMINISTRACION DE SUCURSALES"/>
    <s v="NC GASTO NO DEDUCIBLES"/>
    <s v="TRANSACCIONES DEL DIA 06/10/2019SPYRAL - GESTION ADMINISTRATIVA"/>
    <n v="245.96"/>
    <n v="0"/>
    <s v="CHITRE"/>
    <x v="4"/>
  </r>
  <r>
    <n v="23"/>
    <d v="2019-01-18T00:00:00"/>
    <x v="7"/>
    <x v="7"/>
    <x v="1"/>
    <s v="ADMINISTRACION DE SUCURSALES"/>
    <s v="NC GASTO NO DEDUCIBLES"/>
    <s v="TRANSACCIONES DEL DIA 01/18/2019SPYRAL - GESTION ADMINISTRATIVA"/>
    <n v="85.13"/>
    <n v="0"/>
    <s v="LOS PUEBLOS"/>
    <x v="4"/>
  </r>
  <r>
    <n v="23"/>
    <d v="2019-03-07T00:00:00"/>
    <x v="9"/>
    <x v="9"/>
    <x v="1"/>
    <s v="ADMINISTRACION DE SUCURSALES"/>
    <s v="NC GASTO NO DEDUCIBLES"/>
    <s v="TRANSACCIONES DEL DIA 03/07/2019SPYRAL - GESTION ADMINISTRATIVA"/>
    <n v="86.12"/>
    <n v="0"/>
    <s v="LOS PUEBLOS"/>
    <x v="4"/>
  </r>
  <r>
    <n v="23"/>
    <d v="2019-04-03T00:00:00"/>
    <x v="10"/>
    <x v="10"/>
    <x v="1"/>
    <s v="ADMINISTRACION DE SUCURSALES"/>
    <s v="NC GASTO NO DEDUCIBLES"/>
    <s v="TRANSACCIONES DEL DIA 04/03/2019SPYRAL - GESTION ADMINISTRATIVA"/>
    <n v="89.56"/>
    <n v="0"/>
    <s v="LOS PUEBLOS"/>
    <x v="4"/>
  </r>
  <r>
    <n v="23"/>
    <d v="2019-05-03T00:00:00"/>
    <x v="11"/>
    <x v="11"/>
    <x v="1"/>
    <s v="ADMINISTRACION DE SUCURSALES"/>
    <s v="NC GASTO NO DEDUCIBLES"/>
    <s v="TRANSACCIONES DEL DIA 05/03/2019SPYRAL - GESTION ADMINISTRATIVA"/>
    <n v="66.81"/>
    <n v="0"/>
    <s v="LOS PUEBLOS"/>
    <x v="4"/>
  </r>
  <r>
    <n v="23"/>
    <d v="2019-06-03T00:00:00"/>
    <x v="2"/>
    <x v="2"/>
    <x v="1"/>
    <s v="ADMINISTRACION DE SUCURSALES"/>
    <s v="NC GASTO NO DEDUCIBLES"/>
    <s v="TRANSACCIONES DEL DIA 06/03/2019SPYRAL - GESTION ADMINISTRATIVA"/>
    <n v="93.56"/>
    <n v="0"/>
    <s v="LOS PUEBLOS"/>
    <x v="4"/>
  </r>
  <r>
    <n v="23"/>
    <d v="2019-07-03T00:00:00"/>
    <x v="6"/>
    <x v="6"/>
    <x v="1"/>
    <s v="ADMINISTRACION DE SUCURSALES"/>
    <s v="NC GASTO NO DEDUCIBLES"/>
    <s v="TRANSACCIONES DEL DIA 07/03/2019SPYRAL - GESTION ADMINISTRATIVA"/>
    <n v="94.23"/>
    <n v="0"/>
    <s v="LOS PUEBLOS"/>
    <x v="4"/>
  </r>
  <r>
    <n v="26"/>
    <d v="2019-02-07T00:00:00"/>
    <x v="8"/>
    <x v="8"/>
    <x v="1"/>
    <s v="ADMINISTRACION DE SUCURSALES"/>
    <s v="NC GASTO NO DEDUCIBLES"/>
    <s v="TRANSACCIONES DEL DIA 02/07/2019SPYRAL - GESTION ADMINISTRATIVA"/>
    <n v="101.68"/>
    <n v="0"/>
    <s v="TRANSISTMICA"/>
    <x v="4"/>
  </r>
  <r>
    <n v="26"/>
    <d v="2019-03-09T00:00:00"/>
    <x v="9"/>
    <x v="9"/>
    <x v="1"/>
    <s v="ADMINISTRACION DE SUCURSALES"/>
    <s v="NC GASTO NO DEDUCIBLES"/>
    <s v="TRANSACCIONES DEL DIA 03/09/2019SPYRAL - GESTION ADMINISTRATIVA"/>
    <n v="36.590000000000003"/>
    <n v="0"/>
    <s v="TRANSISTMICA"/>
    <x v="4"/>
  </r>
  <r>
    <n v="26"/>
    <d v="2019-03-27T00:00:00"/>
    <x v="9"/>
    <x v="9"/>
    <x v="1"/>
    <s v="ADMINISTRACION DE SUCURSALES"/>
    <s v="NC GASTO NO DEDUCIBLES"/>
    <s v="TRANSACCIONES DEL DIA 03/27/2019SPYRAL - GESTION ADMINISTRATIVA"/>
    <n v="85"/>
    <n v="0"/>
    <s v="TRANSISTMICA"/>
    <x v="4"/>
  </r>
  <r>
    <n v="26"/>
    <d v="2019-04-03T00:00:00"/>
    <x v="10"/>
    <x v="10"/>
    <x v="1"/>
    <s v="ADMINISTRACION DE SUCURSALES"/>
    <s v="NC GASTO NO DEDUCIBLES"/>
    <s v="TRANSACCIONES DEL DIA 04/03/2019SPYRAL - GESTION ADMINISTRATIVA"/>
    <n v="90"/>
    <n v="0"/>
    <s v="TRANSISTMICA"/>
    <x v="4"/>
  </r>
  <r>
    <n v="26"/>
    <d v="2019-05-03T00:00:00"/>
    <x v="11"/>
    <x v="11"/>
    <x v="1"/>
    <s v="ADMINISTRACION DE SUCURSALES"/>
    <s v="NC GASTO NO DEDUCIBLES"/>
    <s v="TRANSACCIONES DEL DIA 05/03/2019SPYRAL - GESTION ADMINISTRATIVA"/>
    <n v="84.3"/>
    <n v="0"/>
    <s v="TRANSISTMICA"/>
    <x v="4"/>
  </r>
  <r>
    <n v="26"/>
    <d v="2019-05-27T00:00:00"/>
    <x v="11"/>
    <x v="11"/>
    <x v="1"/>
    <s v="ADMINISTRACION DE SUCURSALES"/>
    <s v="NC GASTO NO DEDUCIBLES"/>
    <s v="TRANSACCIONES DEL DIA 05/27/2019SPYRAL - GESTION ADMINISTRATIVA"/>
    <n v="94.47"/>
    <n v="0"/>
    <s v="TRANSISTMICA"/>
    <x v="4"/>
  </r>
  <r>
    <n v="26"/>
    <d v="2019-07-23T00:00:00"/>
    <x v="6"/>
    <x v="6"/>
    <x v="1"/>
    <s v="ADMINISTRACION DE SUCURSALES"/>
    <s v="NC GASTO NO DEDUCIBLES"/>
    <s v="TRANSACCIONES DEL DIA 07/23/2019SPYRAL - GESTION ADMINISTRATIVA"/>
    <n v="85"/>
    <n v="0"/>
    <s v="TRANSISTMICA"/>
    <x v="4"/>
  </r>
  <r>
    <n v="27"/>
    <d v="2019-02-13T00:00:00"/>
    <x v="8"/>
    <x v="8"/>
    <x v="1"/>
    <s v="ADMINISTRACION DE SUCURSALES"/>
    <s v="NC GASTO NO DEDUCIBLES"/>
    <s v="TRANSACCIONES DEL DIA 02/13/2019SPYRAL - GESTION ADMINISTRATIVA"/>
    <n v="250"/>
    <n v="0"/>
    <s v="ZONA LIBRE"/>
    <x v="4"/>
  </r>
  <r>
    <n v="27"/>
    <d v="2019-04-29T00:00:00"/>
    <x v="10"/>
    <x v="10"/>
    <x v="1"/>
    <s v="ADMINISTRACION DE SUCURSALES"/>
    <s v="NC GASTO NO DEDUCIBLES"/>
    <s v="TRANSACCIONES DEL DIA 04/29/2019SPYRAL - GESTION ADMINISTRATIVA"/>
    <n v="75.75"/>
    <n v="0"/>
    <s v="ZONA LIBRE"/>
    <x v="4"/>
  </r>
  <r>
    <n v="27"/>
    <d v="2019-06-26T00:00:00"/>
    <x v="2"/>
    <x v="2"/>
    <x v="1"/>
    <s v="ADMINISTRACION DE SUCURSALES"/>
    <s v="NC GASTO NO DEDUCIBLES"/>
    <s v="TRANSACCIONES DEL DIA 06/26/2019SPYRAL - GESTION ADMINISTRATIVA"/>
    <n v="59.88"/>
    <n v="0"/>
    <s v="ZONA LIBRE"/>
    <x v="4"/>
  </r>
  <r>
    <n v="28"/>
    <d v="2019-01-05T00:00:00"/>
    <x v="7"/>
    <x v="7"/>
    <x v="1"/>
    <s v="ADMINISTRACION DE SUCURSALES"/>
    <s v="GASTOS NO DEDUCIBLES"/>
    <s v="TRANSACCIONES DEL DIA 01/05/2019SPYRAL - GESTION ADMINISTRATIVA"/>
    <n v="58.85"/>
    <n v="0"/>
    <s v="PLAZA GALAPAGO"/>
    <x v="4"/>
  </r>
  <r>
    <n v="28"/>
    <d v="2019-01-25T00:00:00"/>
    <x v="7"/>
    <x v="7"/>
    <x v="1"/>
    <s v="ADMINISTRACION DE SUCURSALES"/>
    <s v="NC GASTO NO DEDUCIBLES"/>
    <s v="TRANSACCIONES DEL DIA 01/25/2019SPYRAL - GESTION ADMINISTRATIVA"/>
    <n v="0"/>
    <n v="0.17"/>
    <s v="PLAZA GALAPAGO"/>
    <x v="4"/>
  </r>
  <r>
    <n v="28"/>
    <d v="2019-04-12T00:00:00"/>
    <x v="10"/>
    <x v="10"/>
    <x v="1"/>
    <s v="ADMINISTRACION DE SUCURSALES"/>
    <s v="NC GASTO NO DEDUCIBLES"/>
    <s v="TRANSACCIONES DEL DIA 04/12/2019SPYRAL - GESTION ADMINISTRATIVA"/>
    <n v="34.76"/>
    <n v="0"/>
    <s v="PLAZA GALAPAGO"/>
    <x v="4"/>
  </r>
  <r>
    <n v="28"/>
    <d v="2019-04-29T00:00:00"/>
    <x v="10"/>
    <x v="10"/>
    <x v="1"/>
    <s v="ADMINISTRACION DE SUCURSALES"/>
    <s v="NC GASTO NO DEDUCIBLES"/>
    <s v="TRANSACCIONES DEL DIA 04/29/2019SPYRAL - GESTION ADMINISTRATIVA"/>
    <n v="7.47"/>
    <n v="0"/>
    <s v="PLAZA GALAPAGO"/>
    <x v="4"/>
  </r>
  <r>
    <n v="28"/>
    <d v="2019-05-03T00:00:00"/>
    <x v="11"/>
    <x v="11"/>
    <x v="1"/>
    <s v="ADMINISTRACION DE SUCURSALES"/>
    <s v="NC GASTO NO DEDUCIBLES"/>
    <s v="TRANSACCIONES DEL DIA 05/03/2019SPYRAL - GESTION ADMINISTRATIVA"/>
    <n v="63.7"/>
    <n v="0"/>
    <s v="PLAZA GALAPAGO"/>
    <x v="4"/>
  </r>
  <r>
    <n v="29"/>
    <d v="2019-04-11T00:00:00"/>
    <x v="10"/>
    <x v="10"/>
    <x v="1"/>
    <s v="ADMINISTRACION DE SUCURSALES"/>
    <s v="NC GASTO NO DEDUCIBLES"/>
    <s v="TRANSACCIONES DEL DIA 04/11/2019SPYRAL - GESTION ADMINISTRATIVA"/>
    <n v="13.38"/>
    <n v="0"/>
    <s v="PARQUE LEFEVRE"/>
    <x v="4"/>
  </r>
  <r>
    <n v="29"/>
    <d v="2019-05-06T00:00:00"/>
    <x v="11"/>
    <x v="11"/>
    <x v="1"/>
    <s v="ADMINISTRACION DE SUCURSALES"/>
    <s v="NC GASTO NO DEDUCIBLES"/>
    <s v="TRANSACCIONES DEL DIA 05/06/2019SPYRAL - GESTION ADMINISTRATIVA"/>
    <n v="9.89"/>
    <n v="0"/>
    <s v="PARQUE LEFEVRE"/>
    <x v="4"/>
  </r>
  <r>
    <n v="29"/>
    <d v="2019-05-21T00:00:00"/>
    <x v="11"/>
    <x v="11"/>
    <x v="1"/>
    <s v="ADMINISTRACION DE SUCURSALES"/>
    <s v="NC GASTO NO DEDUCIBLES"/>
    <s v="TRANSACCIONES DEL DIA 05/21/2019SPYRAL - GESTION ADMINISTRATIVA"/>
    <n v="85.82"/>
    <n v="0"/>
    <s v="PARQUE LEFEVRE"/>
    <x v="4"/>
  </r>
  <r>
    <n v="29"/>
    <d v="2019-07-05T00:00:00"/>
    <x v="6"/>
    <x v="6"/>
    <x v="1"/>
    <s v="ADMINISTRACION DE SUCURSALES"/>
    <s v="NC GASTO NO DEDUCIBLES"/>
    <s v="TRANSACCIONES DEL DIA 07/05/2019SPYRAL - GESTION ADMINISTRATIVA"/>
    <n v="73.05"/>
    <n v="0"/>
    <s v="PARQUE LEFEVRE"/>
    <x v="4"/>
  </r>
  <r>
    <n v="32"/>
    <d v="2019-01-18T00:00:00"/>
    <x v="7"/>
    <x v="7"/>
    <x v="1"/>
    <s v="ADMINISTRACION DE SUCURSALES"/>
    <s v="NC GASTO NO DEDUCIBLES"/>
    <s v="TRANSACCIONES DEL DIA 01/18/2019SPYRAL - GESTION ADMINISTRATIVA"/>
    <n v="41.2"/>
    <n v="0"/>
    <s v="PLAZA LAS AMERICAS"/>
    <x v="4"/>
  </r>
  <r>
    <n v="32"/>
    <d v="2019-04-05T00:00:00"/>
    <x v="10"/>
    <x v="10"/>
    <x v="1"/>
    <s v="ADMINISTRACION DE SUCURSALES"/>
    <s v="NC GASTO NO DEDUCIBLES"/>
    <s v="TRANSACCIONES DEL DIA 04/05/2019SPYRAL - GESTION ADMINISTRATIVA"/>
    <n v="37.159999999999997"/>
    <n v="0"/>
    <s v="PLAZA LAS AMERICAS"/>
    <x v="4"/>
  </r>
  <r>
    <n v="32"/>
    <d v="2019-06-03T00:00:00"/>
    <x v="2"/>
    <x v="2"/>
    <x v="1"/>
    <s v="ADMINISTRACION DE SUCURSALES"/>
    <s v="NC GASTO NO DEDUCIBLES"/>
    <s v="TRANSACCIONES DEL DIA 06/03/2019SPYRAL - GESTION ADMINISTRATIVA"/>
    <n v="63.06"/>
    <n v="0"/>
    <s v="PLAZA LAS AMERICAS"/>
    <x v="4"/>
  </r>
  <r>
    <n v="33"/>
    <d v="2019-01-28T00:00:00"/>
    <x v="7"/>
    <x v="7"/>
    <x v="1"/>
    <s v="ADMINISTRACION DE SUCURSALES"/>
    <s v="NC GASTO NO DEDUCIBLES"/>
    <s v="TRANSACCIONES DEL DIA 01/28/2019SPYRAL - GESTION ADMINISTRATIVA"/>
    <n v="78"/>
    <n v="0"/>
    <s v="CORONADO"/>
    <x v="4"/>
  </r>
  <r>
    <n v="33"/>
    <d v="2019-03-09T00:00:00"/>
    <x v="9"/>
    <x v="9"/>
    <x v="1"/>
    <s v="ADMINISTRACION DE SUCURSALES"/>
    <s v="NC GASTO NO DEDUCIBLES"/>
    <s v="TRANSACCIONES DEL DIA 03/09/2019SPYRAL - GESTION ADMINISTRATIVA"/>
    <n v="32.049999999999997"/>
    <n v="0"/>
    <s v="CORONADO"/>
    <x v="4"/>
  </r>
  <r>
    <n v="33"/>
    <d v="2019-04-29T00:00:00"/>
    <x v="10"/>
    <x v="10"/>
    <x v="1"/>
    <s v="ADMINISTRACION DE SUCURSALES"/>
    <s v="NC GASTO NO DEDUCIBLES"/>
    <s v="TRANSACCIONES DEL DIA 04/29/2019SPYRAL - GESTION ADMINISTRATIVA"/>
    <n v="107.63"/>
    <n v="0"/>
    <s v="CORONADO"/>
    <x v="4"/>
  </r>
  <r>
    <n v="33"/>
    <d v="2019-06-10T00:00:00"/>
    <x v="2"/>
    <x v="2"/>
    <x v="1"/>
    <s v="ADMINISTRACION DE SUCURSALES"/>
    <s v="NC GASTO NO DEDUCIBLES"/>
    <s v="TRANSACCIONES DEL DIA 06/10/2019SPYRAL - GESTION ADMINISTRATIVA"/>
    <n v="34.880000000000003"/>
    <n v="0"/>
    <s v="CORONADO"/>
    <x v="4"/>
  </r>
  <r>
    <n v="33"/>
    <d v="2019-07-05T00:00:00"/>
    <x v="6"/>
    <x v="6"/>
    <x v="1"/>
    <s v="ADMINISTRACION DE SUCURSALES"/>
    <s v="NC GASTO NO DEDUCIBLES"/>
    <s v="TRANSACCIONES DEL DIA 07/05/2019SPYRAL - GESTION ADMINISTRATIVA"/>
    <n v="27.76"/>
    <n v="0"/>
    <s v="CORONADO"/>
    <x v="4"/>
  </r>
  <r>
    <n v="33"/>
    <d v="2019-07-23T00:00:00"/>
    <x v="6"/>
    <x v="6"/>
    <x v="1"/>
    <s v="ADMINISTRACION DE SUCURSALES"/>
    <s v="NC GASTO NO DEDUCIBLES"/>
    <s v="TRANSACCIONES DEL DIA 07/23/2019SPYRAL - GESTION ADMINISTRATIVA"/>
    <n v="21.3"/>
    <n v="0"/>
    <s v="CORONADO"/>
    <x v="4"/>
  </r>
  <r>
    <n v="34"/>
    <d v="2019-03-19T00:00:00"/>
    <x v="9"/>
    <x v="9"/>
    <x v="1"/>
    <s v="ADMINISTRACION DE SUCURSALES"/>
    <s v="NC GASTO NO DEDUCIBLES"/>
    <s v="TRANSACCIONES DEL DIA 03/19/2019SPYRAL - GESTION ADMINISTRATIVA"/>
    <n v="110"/>
    <n v="0"/>
    <s v="ALBROOK MALL"/>
    <x v="4"/>
  </r>
  <r>
    <n v="34"/>
    <d v="2019-03-29T00:00:00"/>
    <x v="9"/>
    <x v="9"/>
    <x v="1"/>
    <s v="ADMINISTRACION DE SUCURSALES"/>
    <s v="NC GASTO NO DEDUCIBLES"/>
    <s v="TRANSACCIONES DEL DIA 03/29/2019SPYRAL - GESTION ADMINISTRATIVA"/>
    <n v="10.69"/>
    <n v="0"/>
    <s v="ALBROOK MALL"/>
    <x v="4"/>
  </r>
  <r>
    <n v="34"/>
    <d v="2019-05-24T00:00:00"/>
    <x v="11"/>
    <x v="11"/>
    <x v="1"/>
    <s v="ADMINISTRACION DE SUCURSALES"/>
    <s v="NC GASTO NO DEDUCIBLES"/>
    <s v="TRANSACCIONES DEL DIA 05/24/2019SPYRAL - GESTION ADMINISTRATIVA"/>
    <n v="97.75"/>
    <n v="0"/>
    <s v="ALBROOK MALL"/>
    <x v="4"/>
  </r>
  <r>
    <n v="35"/>
    <d v="2019-02-05T00:00:00"/>
    <x v="8"/>
    <x v="8"/>
    <x v="1"/>
    <s v="ADMINISTRACION DE SUCURSALES"/>
    <s v="NC GASTO NO DEDUCIBLES"/>
    <s v="TRANSACCIONES DEL DIA 02/05/2019SPYRAL - GESTION ADMINISTRATIVA"/>
    <n v="37.520000000000003"/>
    <n v="0"/>
    <s v="PANAMA PACIFICO"/>
    <x v="4"/>
  </r>
  <r>
    <n v="35"/>
    <d v="2019-02-19T00:00:00"/>
    <x v="8"/>
    <x v="8"/>
    <x v="1"/>
    <s v="ADMINISTRACION DE SUCURSALES"/>
    <s v="NC GASTO NO DEDUCIBLES"/>
    <s v="TRANSACCIONES DEL DIA 02/19/2019SPYRAL - GESTION ADMINISTRATIVA"/>
    <n v="24.5"/>
    <n v="0"/>
    <s v="PANAMA PACIFICO"/>
    <x v="4"/>
  </r>
  <r>
    <n v="35"/>
    <d v="2019-02-26T00:00:00"/>
    <x v="8"/>
    <x v="8"/>
    <x v="1"/>
    <s v="ADMINISTRACION DE SUCURSALES"/>
    <s v="NC GASTO NO DEDUCIBLES"/>
    <s v="TRANSACCIONES DEL DIA 02/26/2019SPYRAL - GESTION ADMINISTRATIVA"/>
    <n v="10.99"/>
    <n v="0"/>
    <s v="PANAMA PACIFICO"/>
    <x v="4"/>
  </r>
  <r>
    <n v="35"/>
    <d v="2019-06-10T00:00:00"/>
    <x v="2"/>
    <x v="2"/>
    <x v="1"/>
    <s v="ADMINISTRACION DE SUCURSALES"/>
    <s v="NC GASTO NO DEDUCIBLES"/>
    <s v="TRANSACCIONES DEL DIA 06/10/2019SPYRAL - GESTION ADMINISTRATIVA"/>
    <n v="17.190000000000001"/>
    <n v="0"/>
    <s v="PANAMA PACIFICO"/>
    <x v="4"/>
  </r>
  <r>
    <n v="35"/>
    <d v="2019-06-20T00:00:00"/>
    <x v="2"/>
    <x v="2"/>
    <x v="1"/>
    <s v="ADMINISTRACION DE SUCURSALES"/>
    <s v="NC GASTO NO DEDUCIBLES"/>
    <s v="TRANSACCIONES DEL DIA 06/20/2019SPYRAL - GESTION ADMINISTRATIVA"/>
    <n v="21.88"/>
    <n v="0"/>
    <s v="PANAMA PACIFICO"/>
    <x v="4"/>
  </r>
  <r>
    <n v="37"/>
    <d v="2019-03-15T00:00:00"/>
    <x v="9"/>
    <x v="9"/>
    <x v="1"/>
    <s v="ADMINISTRACION DE SUCURSALES"/>
    <s v="NC GASTO NO DEDUCIBLES"/>
    <s v="TRANSACCIONES DEL DIA 03/15/2019SPYRAL - GESTION ADMINISTRATIVA"/>
    <n v="35.47"/>
    <n v="0"/>
    <s v="PENONOME"/>
    <x v="4"/>
  </r>
  <r>
    <n v="37"/>
    <d v="2019-04-11T00:00:00"/>
    <x v="10"/>
    <x v="10"/>
    <x v="1"/>
    <s v="ADMINISTRACION DE SUCURSALES"/>
    <s v="NC GASTO NO DEDUCIBLES"/>
    <s v="TRANSACCIONES DEL DIA 04/11/2019SPYRAL - GESTION ADMINISTRATIVA"/>
    <n v="17.02"/>
    <n v="0"/>
    <s v="PENONOME"/>
    <x v="4"/>
  </r>
  <r>
    <n v="38"/>
    <d v="2019-04-03T00:00:00"/>
    <x v="10"/>
    <x v="10"/>
    <x v="1"/>
    <s v="ADMINISTRACION DE SUCURSALES"/>
    <s v="NC GASTO NO DEDUCIBLES"/>
    <s v="TRANSACCIONES DEL DIA 04/03/2019SPYRAL - GESTION ADMINISTRATIVA"/>
    <n v="237"/>
    <n v="0"/>
    <s v="ALBROOK"/>
    <x v="4"/>
  </r>
  <r>
    <n v="38"/>
    <d v="2019-05-15T00:00:00"/>
    <x v="11"/>
    <x v="11"/>
    <x v="1"/>
    <s v="ADMINISTRACION DE SUCURSALES"/>
    <s v="NC GASTO NO DEDUCIBLES"/>
    <s v="TRANSACCIONES DEL DIA 05/15/2019SPYRAL - GESTION ADMINISTRATIVA"/>
    <n v="8.6999999999999993"/>
    <n v="0"/>
    <s v="ALBROOK"/>
    <x v="4"/>
  </r>
  <r>
    <n v="38"/>
    <d v="2019-07-19T00:00:00"/>
    <x v="6"/>
    <x v="6"/>
    <x v="1"/>
    <s v="ADMINISTRACION DE SUCURSALES"/>
    <s v="GASTOS NO DEDUCIBLES"/>
    <s v="TRANSACCIONES DEL DIA 07/19/2019SPYRAL - GESTION ADMINISTRATIVA"/>
    <n v="182.25"/>
    <n v="0"/>
    <s v="ALBROOK"/>
    <x v="4"/>
  </r>
  <r>
    <n v="39"/>
    <d v="2019-02-08T00:00:00"/>
    <x v="8"/>
    <x v="8"/>
    <x v="1"/>
    <s v="ADMINISTRACION DE SUCURSALES"/>
    <s v="GASTOS NO DEDUCIBLES"/>
    <s v="TRANSACCIONES DEL DIA 02/08/2019SPYRAL - GESTION ADMINISTRATIVA"/>
    <n v="22.27"/>
    <n v="0"/>
    <s v="SUCURSAL DE VISTA ALEGRE"/>
    <x v="4"/>
  </r>
  <r>
    <n v="39"/>
    <d v="2019-03-12T00:00:00"/>
    <x v="9"/>
    <x v="9"/>
    <x v="1"/>
    <s v="ADMINISTRACION DE SUCURSALES"/>
    <s v="NC GASTO NO DEDUCIBLES"/>
    <s v="TRANSACCIONES DEL DIA 03/12/2019SPYRAL - GESTION ADMINISTRATIVA"/>
    <n v="112.85"/>
    <n v="0"/>
    <s v="SUCURSAL DE VISTA ALEGRE"/>
    <x v="4"/>
  </r>
  <r>
    <n v="39"/>
    <d v="2019-05-03T00:00:00"/>
    <x v="11"/>
    <x v="11"/>
    <x v="1"/>
    <s v="ADMINISTRACION DE SUCURSALES"/>
    <s v="NC GASTO NO DEDUCIBLES"/>
    <s v="TRANSACCIONES DEL DIA 05/03/2019SPYRAL - GESTION ADMINISTRATIVA"/>
    <n v="33.44"/>
    <n v="0"/>
    <s v="SUCURSAL DE VISTA ALEGRE"/>
    <x v="4"/>
  </r>
  <r>
    <n v="39"/>
    <d v="2019-05-21T00:00:00"/>
    <x v="11"/>
    <x v="11"/>
    <x v="1"/>
    <s v="ADMINISTRACION DE SUCURSALES"/>
    <s v="NC GASTO NO DEDUCIBLES"/>
    <s v="TRANSACCIONES DEL DIA 05/21/2019SPYRAL - GESTION ADMINISTRATIVA"/>
    <n v="31.5"/>
    <n v="0"/>
    <s v="SUCURSAL DE VISTA ALEGRE"/>
    <x v="4"/>
  </r>
  <r>
    <n v="39"/>
    <d v="2019-07-03T00:00:00"/>
    <x v="6"/>
    <x v="6"/>
    <x v="1"/>
    <s v="ADMINISTRACION DE SUCURSALES"/>
    <s v="NC GASTO NO DEDUCIBLES"/>
    <s v="TRANSACCIONES DEL DIA 07/03/2019SPYRAL - GESTION ADMINISTRATIVA"/>
    <n v="129.52000000000001"/>
    <n v="0"/>
    <s v="SUCURSAL DE VISTA ALEGRE"/>
    <x v="4"/>
  </r>
  <r>
    <n v="40"/>
    <d v="2019-02-05T00:00:00"/>
    <x v="8"/>
    <x v="8"/>
    <x v="1"/>
    <s v="ADMINISTRACION DE SUCURSALES"/>
    <s v="NC GASTO NO DEDUCIBLES"/>
    <s v="TRANSACCIONES DEL DIA 02/05/2019SPYRAL - GESTION ADMINISTRATIVA"/>
    <n v="23.98"/>
    <n v="0"/>
    <s v="LAS TABLAS"/>
    <x v="4"/>
  </r>
  <r>
    <n v="40"/>
    <d v="2019-03-19T00:00:00"/>
    <x v="9"/>
    <x v="9"/>
    <x v="1"/>
    <s v="ADMINISTRACION DE SUCURSALES"/>
    <s v="NC GASTO NO DEDUCIBLES"/>
    <s v="TRANSACCIONES DEL DIA 03/19/2019SPYRAL - GESTION ADMINISTRATIVA"/>
    <n v="48"/>
    <n v="0"/>
    <s v="LAS TABLAS"/>
    <x v="4"/>
  </r>
  <r>
    <n v="40"/>
    <d v="2019-04-25T00:00:00"/>
    <x v="10"/>
    <x v="10"/>
    <x v="1"/>
    <s v="ADMINISTRACION DE SUCURSALES"/>
    <s v="NC GASTO NO DEDUCIBLES"/>
    <s v="TRANSACCIONES DEL DIA 04/25/2019SPYRAL - GESTION ADMINISTRATIVA"/>
    <n v="29.5"/>
    <n v="0"/>
    <s v="LAS TABLAS"/>
    <x v="4"/>
  </r>
  <r>
    <n v="41"/>
    <d v="2019-02-05T00:00:00"/>
    <x v="8"/>
    <x v="8"/>
    <x v="1"/>
    <s v="ADMINISTRACION DE SUCURSALES"/>
    <s v="NC GASTO NO DEDUCIBLES"/>
    <s v="TRANSACCIONES DEL DIA 02/05/2019SPYRAL - GESTION ADMINISTRATIVA"/>
    <n v="15.95"/>
    <n v="0"/>
    <s v="24 DE DICIEMBRE"/>
    <x v="4"/>
  </r>
  <r>
    <n v="41"/>
    <d v="2019-03-09T00:00:00"/>
    <x v="9"/>
    <x v="9"/>
    <x v="1"/>
    <s v="ADMINISTRACION DE SUCURSALES"/>
    <s v="NC GASTO NO DEDUCIBLES"/>
    <s v="TRANSACCIONES DEL DIA 03/09/2019SPYRAL - GESTION ADMINISTRATIVA"/>
    <n v="21.2"/>
    <n v="0"/>
    <s v="24 DE DICIEMBRE"/>
    <x v="4"/>
  </r>
  <r>
    <n v="41"/>
    <d v="2019-04-17T00:00:00"/>
    <x v="10"/>
    <x v="10"/>
    <x v="1"/>
    <s v="ADMINISTRACION DE SUCURSALES"/>
    <s v="NC GASTO NO DEDUCIBLES"/>
    <s v="TRANSACCIONES DEL DIA 04/17/2019SPYRAL - GESTION ADMINISTRATIVA"/>
    <n v="29.65"/>
    <n v="0"/>
    <s v="24 DE DICIEMBRE"/>
    <x v="4"/>
  </r>
  <r>
    <n v="41"/>
    <d v="2019-05-15T00:00:00"/>
    <x v="11"/>
    <x v="11"/>
    <x v="1"/>
    <s v="ADMINISTRACION DE SUCURSALES"/>
    <s v="NC GASTO NO DEDUCIBLES"/>
    <s v="TRANSACCIONES DEL DIA 05/15/2019SPYRAL - GESTION ADMINISTRATIVA"/>
    <n v="22.65"/>
    <n v="0"/>
    <s v="24 DE DICIEMBRE"/>
    <x v="4"/>
  </r>
  <r>
    <n v="41"/>
    <d v="2019-06-17T00:00:00"/>
    <x v="2"/>
    <x v="2"/>
    <x v="1"/>
    <s v="ADMINISTRACION DE SUCURSALES"/>
    <s v="NC GASTO NO DEDUCIBLES"/>
    <s v="TRANSACCIONES DEL DIA 06/17/2019SPYRAL - GESTION ADMINISTRATIVA"/>
    <n v="46.97"/>
    <n v="0"/>
    <s v="24 DE DICIEMBRE"/>
    <x v="4"/>
  </r>
  <r>
    <n v="42"/>
    <d v="2019-01-10T00:00:00"/>
    <x v="7"/>
    <x v="7"/>
    <x v="1"/>
    <s v="ADMINISTRACION DE SUCURSALES"/>
    <s v="NC GASTO NO DEDUCIBLES"/>
    <s v="TRANSACCIONES DEL DIA 01/10/2019SPYRAL - GESTION ADMINISTRATIVA"/>
    <n v="25.95"/>
    <n v="0"/>
    <s v="DAVID - TERRONAL"/>
    <x v="4"/>
  </r>
  <r>
    <n v="42"/>
    <d v="2019-04-03T00:00:00"/>
    <x v="10"/>
    <x v="10"/>
    <x v="1"/>
    <s v="ADMINISTRACION DE SUCURSALES"/>
    <s v="NC GASTO NO DEDUCIBLES"/>
    <s v="TRANSACCIONES DEL DIA 04/03/2019SPYRAL - GESTION ADMINISTRATIVA"/>
    <n v="75.97"/>
    <n v="0"/>
    <s v="DAVID - TERRONAL"/>
    <x v="4"/>
  </r>
  <r>
    <n v="42"/>
    <d v="2019-05-13T00:00:00"/>
    <x v="11"/>
    <x v="11"/>
    <x v="1"/>
    <s v="ADMINISTRACION DE SUCURSALES"/>
    <s v="NC GASTO NO DEDUCIBLES"/>
    <s v="TRANSACCIONES DEL DIA 05/13/2019SPYRAL - GESTION ADMINISTRATIVA"/>
    <n v="35"/>
    <n v="0"/>
    <s v="DAVID - TERRONAL"/>
    <x v="4"/>
  </r>
  <r>
    <n v="42"/>
    <d v="2019-05-14T00:00:00"/>
    <x v="11"/>
    <x v="11"/>
    <x v="1"/>
    <s v="ADMINISTRACION DE SUCURSALES"/>
    <s v="NC GASTO NO DEDUCIBLES"/>
    <s v="TRANSACCIONES DEL DIA 05/14/2019SPYRAL - GESTION ADMINISTRATIVA"/>
    <n v="0"/>
    <n v="5"/>
    <s v="DAVID - TERRONAL"/>
    <x v="4"/>
  </r>
  <r>
    <n v="42"/>
    <d v="2019-06-20T00:00:00"/>
    <x v="2"/>
    <x v="2"/>
    <x v="1"/>
    <s v="ADMINISTRACION DE SUCURSALES"/>
    <s v="NC GASTO NO DEDUCIBLES"/>
    <s v="TRANSACCIONES DEL DIA 06/20/2019SPYRAL - GESTION ADMINISTRATIVA"/>
    <n v="40.130000000000003"/>
    <n v="0"/>
    <s v="DAVID - TERRONAL"/>
    <x v="4"/>
  </r>
  <r>
    <n v="42"/>
    <d v="2019-07-26T00:00:00"/>
    <x v="6"/>
    <x v="6"/>
    <x v="1"/>
    <s v="ADMINISTRACION DE SUCURSALES"/>
    <s v="NC GASTO NO DEDUCIBLES"/>
    <s v="TRANSACCIONES DEL DIA 07/26/2019SPYRAL - GESTION ADMINISTRATIVA"/>
    <n v="69.55"/>
    <n v="0"/>
    <s v="DAVID - TERRONAL"/>
    <x v="4"/>
  </r>
  <r>
    <n v="43"/>
    <d v="2019-04-29T00:00:00"/>
    <x v="10"/>
    <x v="10"/>
    <x v="1"/>
    <s v="ADMINISTRACION DE SUCURSALES"/>
    <s v="NC GASTO NO DEDUCIBLES"/>
    <s v="TRANSACCIONES DEL DIA 04/29/2019SPYRAL - GESTION ADMINISTRATIVA"/>
    <n v="72.760000000000005"/>
    <n v="0"/>
    <s v="COSTA DEL ESTE"/>
    <x v="4"/>
  </r>
  <r>
    <n v="43"/>
    <d v="2019-06-03T00:00:00"/>
    <x v="2"/>
    <x v="2"/>
    <x v="1"/>
    <s v="ADMINISTRACION DE SUCURSALES"/>
    <s v="NC GASTO NO DEDUCIBLES"/>
    <s v="TRANSACCIONES DEL DIA 06/03/2019SPYRAL - GESTION ADMINISTRATIVA"/>
    <n v="67.3"/>
    <n v="0"/>
    <s v="COSTA DEL ESTE"/>
    <x v="4"/>
  </r>
  <r>
    <n v="43"/>
    <d v="2019-07-26T00:00:00"/>
    <x v="6"/>
    <x v="6"/>
    <x v="1"/>
    <s v="ADMINISTRACION DE SUCURSALES"/>
    <s v="NC GASTO NO DEDUCIBLES"/>
    <s v="TRANSACCIONES DEL DIA 07/26/2019SPYRAL - GESTION ADMINISTRATIVA"/>
    <n v="66.45"/>
    <n v="0"/>
    <s v="COSTA DEL ESTE"/>
    <x v="4"/>
  </r>
  <r>
    <n v="44"/>
    <d v="2019-02-13T00:00:00"/>
    <x v="8"/>
    <x v="8"/>
    <x v="1"/>
    <s v="ADMINISTRACION DE SUCURSALES"/>
    <s v="NC GASTO NO DEDUCIBLES"/>
    <s v="TRANSACCIONES DEL DIA 02/13/2019SPYRAL - GESTION ADMINISTRATIVA"/>
    <n v="43.39"/>
    <n v="0"/>
    <s v="MULTI PLAZA"/>
    <x v="4"/>
  </r>
  <r>
    <n v="44"/>
    <d v="2019-02-19T00:00:00"/>
    <x v="8"/>
    <x v="8"/>
    <x v="1"/>
    <s v="ADMINISTRACION DE SUCURSALES"/>
    <s v="NC GASTO NO DEDUCIBLES"/>
    <s v="TRANSACCIONES DEL DIA 02/19/2019SPYRAL - GESTION ADMINISTRATIVA"/>
    <n v="49.83"/>
    <n v="0"/>
    <s v="MULTI PLAZA"/>
    <x v="4"/>
  </r>
  <r>
    <n v="44"/>
    <d v="2019-04-05T00:00:00"/>
    <x v="10"/>
    <x v="10"/>
    <x v="1"/>
    <s v="ADMINISTRACION DE SUCURSALES"/>
    <s v="NC GASTO NO DEDUCIBLES"/>
    <s v="TRANSACCIONES DEL DIA 04/05/2019SPYRAL - GESTION ADMINISTRATIVA"/>
    <n v="66.959999999999994"/>
    <n v="0"/>
    <s v="MULTI PLAZA"/>
    <x v="4"/>
  </r>
  <r>
    <n v="44"/>
    <d v="2019-05-07T00:00:00"/>
    <x v="11"/>
    <x v="11"/>
    <x v="1"/>
    <s v="ADMINISTRACION DE SUCURSALES"/>
    <s v="NC GASTO NO DEDUCIBLES"/>
    <s v="TRANSACCIONES DEL DIA 05/07/2019SPYRAL - GESTION ADMINISTRATIVA"/>
    <n v="64.31"/>
    <n v="0"/>
    <s v="MULTI PLAZA"/>
    <x v="4"/>
  </r>
  <r>
    <n v="44"/>
    <d v="2019-05-21T00:00:00"/>
    <x v="11"/>
    <x v="11"/>
    <x v="1"/>
    <s v="ADMINISTRACION DE SUCURSALES"/>
    <s v="NC GASTO NO DEDUCIBLES"/>
    <s v="TRANSACCIONES DEL DIA 05/21/2019SPYRAL - GESTION ADMINISTRATIVA"/>
    <n v="56.62"/>
    <n v="0"/>
    <s v="MULTI PLAZA"/>
    <x v="4"/>
  </r>
  <r>
    <n v="44"/>
    <d v="2019-07-08T00:00:00"/>
    <x v="6"/>
    <x v="6"/>
    <x v="1"/>
    <s v="ADMINISTRACION DE SUCURSALES"/>
    <s v="NC GASTO NO DEDUCIBLES"/>
    <s v="TRANSACCIONES DEL DIA 07/08/2019SPYRAL - GESTION ADMINISTRATIVA"/>
    <n v="82.21"/>
    <n v="0"/>
    <s v="MULTI PLAZA"/>
    <x v="4"/>
  </r>
  <r>
    <n v="44"/>
    <d v="2019-07-09T00:00:00"/>
    <x v="6"/>
    <x v="6"/>
    <x v="1"/>
    <s v="ADMINISTRACION DE SUCURSALES"/>
    <s v="NC GASTO NO DEDUCIBLES"/>
    <s v="TRANSACCIONES DEL DIA 07/09/2019SPYRAL - GESTION ADMINISTRATIVA"/>
    <n v="61.6"/>
    <n v="0"/>
    <s v="MULTI PLAZA"/>
    <x v="4"/>
  </r>
  <r>
    <n v="45"/>
    <d v="2019-02-07T00:00:00"/>
    <x v="8"/>
    <x v="8"/>
    <x v="1"/>
    <s v="ADMINISTRACION DE SUCURSALES"/>
    <s v="NC GASTO NO DEDUCIBLES"/>
    <s v="TRANSACCIONES DEL DIA 02/07/2019SPYRAL - GESTION ADMINISTRATIVA"/>
    <n v="31.13"/>
    <n v="0"/>
    <s v="HOSPITAL PUNTA PACIFICA"/>
    <x v="4"/>
  </r>
  <r>
    <n v="45"/>
    <d v="2019-02-13T00:00:00"/>
    <x v="8"/>
    <x v="8"/>
    <x v="1"/>
    <s v="ADMINISTRACION DE SUCURSALES"/>
    <s v="GASTOS NO DEDUCIBLES"/>
    <s v="TRANSACCIONES DEL DIA 02/13/2019SPYRAL - GESTION ADMINISTRATIVA"/>
    <n v="18"/>
    <n v="0"/>
    <s v="HOSPITAL PUNTA PACIFICA"/>
    <x v="4"/>
  </r>
  <r>
    <n v="45"/>
    <d v="2019-03-01T00:00:00"/>
    <x v="9"/>
    <x v="9"/>
    <x v="1"/>
    <s v="ADMINISTRACION DE SUCURSALES"/>
    <s v="NC GASTO NO DEDUCIBLES"/>
    <s v="TRANSACCIONES DEL DIA 03/01/2019SPYRAL - GESTION ADMINISTRATIVA"/>
    <n v="26.15"/>
    <n v="0"/>
    <s v="HOSPITAL PUNTA PACIFICA"/>
    <x v="4"/>
  </r>
  <r>
    <n v="45"/>
    <d v="2019-03-07T00:00:00"/>
    <x v="9"/>
    <x v="9"/>
    <x v="1"/>
    <s v="ADMINISTRACION DE SUCURSALES"/>
    <s v="GASTOS NO DEDUCIBLES"/>
    <s v="TRANSACCIONES DEL DIA 03/07/2019SPYRAL - GESTION ADMINISTRATIVA"/>
    <n v="18"/>
    <n v="0"/>
    <s v="HOSPITAL PUNTA PACIFICA"/>
    <x v="4"/>
  </r>
  <r>
    <n v="45"/>
    <d v="2019-03-13T00:00:00"/>
    <x v="9"/>
    <x v="9"/>
    <x v="1"/>
    <s v="ADMINISTRACION DE SUCURSALES"/>
    <s v="NC GASTO NO DEDUCIBLES"/>
    <s v="TRANSACCIONES DEL DIA 03/13/2019SPYRAL - GESTION ADMINISTRATIVA"/>
    <n v="32.75"/>
    <n v="0"/>
    <s v="HOSPITAL PUNTA PACIFICA"/>
    <x v="4"/>
  </r>
  <r>
    <n v="45"/>
    <d v="2019-03-19T00:00:00"/>
    <x v="9"/>
    <x v="9"/>
    <x v="1"/>
    <s v="ADMINISTRACION DE SUCURSALES"/>
    <s v="NC GASTO NO DEDUCIBLES"/>
    <s v="TRANSACCIONES DEL DIA 03/19/2019SPYRAL - GESTION ADMINISTRATIVA"/>
    <n v="2.95"/>
    <n v="0"/>
    <s v="HOSPITAL PUNTA PACIFICA"/>
    <x v="4"/>
  </r>
  <r>
    <n v="45"/>
    <d v="2019-04-01T00:00:00"/>
    <x v="10"/>
    <x v="10"/>
    <x v="1"/>
    <s v="ADMINISTRACION DE SUCURSALES"/>
    <s v="GASTOS NO DEDUCIBLES"/>
    <s v="TRANSACCIONES DEL DIA 04/01/2019SPYRAL - GESTION ADMINISTRATIVA"/>
    <n v="18"/>
    <n v="0"/>
    <s v="HOSPITAL PUNTA PACIFICA"/>
    <x v="4"/>
  </r>
  <r>
    <n v="45"/>
    <d v="2019-04-11T00:00:00"/>
    <x v="10"/>
    <x v="10"/>
    <x v="1"/>
    <s v="ADMINISTRACION DE SUCURSALES"/>
    <s v="NC GASTO NO DEDUCIBLES"/>
    <s v="TRANSACCIONES DEL DIA 04/11/2019SPYRAL - GESTION ADMINISTRATIVA"/>
    <n v="29.98"/>
    <n v="0"/>
    <s v="HOSPITAL PUNTA PACIFICA"/>
    <x v="4"/>
  </r>
  <r>
    <n v="45"/>
    <d v="2019-04-16T00:00:00"/>
    <x v="10"/>
    <x v="10"/>
    <x v="1"/>
    <s v="ADMINISTRACION DE SUCURSALES"/>
    <s v="GASTOS NO DEDUCIBLES"/>
    <s v="TRANSACCIONES DEL DIA 04/16/2019SPYRAL - GESTION ADMINISTRATIVA"/>
    <n v="24.25"/>
    <n v="0"/>
    <s v="HOSPITAL PUNTA PACIFICA"/>
    <x v="4"/>
  </r>
  <r>
    <n v="45"/>
    <d v="2019-05-21T00:00:00"/>
    <x v="11"/>
    <x v="11"/>
    <x v="1"/>
    <s v="ADMINISTRACION DE SUCURSALES"/>
    <s v="NC GASTO NO DEDUCIBLES"/>
    <s v="TRANSACCIONES DEL DIA 05/21/2019SPYRAL - GESTION ADMINISTRATIVA"/>
    <n v="10.99"/>
    <n v="0"/>
    <s v="HOSPITAL PUNTA PACIFICA"/>
    <x v="4"/>
  </r>
  <r>
    <n v="45"/>
    <d v="2019-06-25T00:00:00"/>
    <x v="2"/>
    <x v="2"/>
    <x v="1"/>
    <s v="ADMINISTRACION DE SUCURSALES"/>
    <s v="GASTOS NO DEDUCIBLES"/>
    <s v="TRANSACCIONES DEL DIA 06/25/2019SPYRAL - GESTION ADMINISTRATIVA"/>
    <n v="72.459999999999994"/>
    <n v="0"/>
    <s v="HOSPITAL PUNTA PACIFICA"/>
    <x v="4"/>
  </r>
  <r>
    <n v="45"/>
    <d v="2019-06-25T00:00:00"/>
    <x v="2"/>
    <x v="2"/>
    <x v="1"/>
    <s v="ADMINISTRACION DE SUCURSALES"/>
    <s v="NC GASTO NO DEDUCIBLES"/>
    <s v="TRANSACCIONES DEL DIA 06/25/2019SPYRAL - GESTION ADMINISTRATIVA"/>
    <n v="52.06"/>
    <n v="0"/>
    <s v="HOSPITAL PUNTA PACIFICA"/>
    <x v="4"/>
  </r>
  <r>
    <n v="46"/>
    <d v="2019-01-14T00:00:00"/>
    <x v="7"/>
    <x v="7"/>
    <x v="1"/>
    <s v="ADMINISTRACION DE SUCURSALES"/>
    <s v="NC GASTO NO DEDUCIBLES"/>
    <s v="TRANSACCIONES DEL DIA 01/14/2019SPYRAL - GESTION ADMINISTRATIVA"/>
    <n v="36.950000000000003"/>
    <n v="0"/>
    <s v="TERMINAL DE ALBROOK"/>
    <x v="4"/>
  </r>
  <r>
    <n v="46"/>
    <d v="2019-01-22T00:00:00"/>
    <x v="7"/>
    <x v="7"/>
    <x v="1"/>
    <s v="ADMINISTRACION DE SUCURSALES"/>
    <s v="NC GASTO NO DEDUCIBLES"/>
    <s v="TRANSACCIONES DEL DIA 01/22/2019SPYRAL - GESTION ADMINISTRATIVA"/>
    <n v="20.8"/>
    <n v="0"/>
    <s v="TERMINAL DE ALBROOK"/>
    <x v="4"/>
  </r>
  <r>
    <n v="46"/>
    <d v="2019-02-01T00:00:00"/>
    <x v="8"/>
    <x v="8"/>
    <x v="1"/>
    <s v="ADMINISTRACION DE SUCURSALES"/>
    <s v="NC GASTO NO DEDUCIBLES"/>
    <s v="TRANSACCIONES DEL DIA 02/01/2019SPYRAL - GESTION ADMINISTRATIVA"/>
    <n v="13.5"/>
    <n v="0"/>
    <s v="TERMINAL DE ALBROOK"/>
    <x v="4"/>
  </r>
  <r>
    <n v="46"/>
    <d v="2019-02-13T00:00:00"/>
    <x v="8"/>
    <x v="8"/>
    <x v="1"/>
    <s v="ADMINISTRACION DE SUCURSALES"/>
    <s v="NC GASTO NO DEDUCIBLES"/>
    <s v="TRANSACCIONES DEL DIA 02/13/2019SPYRAL - GESTION ADMINISTRATIVA"/>
    <n v="23.55"/>
    <n v="0"/>
    <s v="TERMINAL DE ALBROOK"/>
    <x v="4"/>
  </r>
  <r>
    <n v="46"/>
    <d v="2019-02-26T00:00:00"/>
    <x v="8"/>
    <x v="8"/>
    <x v="1"/>
    <s v="ADMINISTRACION DE SUCURSALES"/>
    <s v="NC GASTO NO DEDUCIBLES"/>
    <s v="TRANSACCIONES DEL DIA 02/26/2019SPYRAL - GESTION ADMINISTRATIVA"/>
    <n v="16.350000000000001"/>
    <n v="0"/>
    <s v="TERMINAL DE ALBROOK"/>
    <x v="4"/>
  </r>
  <r>
    <n v="46"/>
    <d v="2019-04-03T00:00:00"/>
    <x v="10"/>
    <x v="10"/>
    <x v="1"/>
    <s v="ADMINISTRACION DE SUCURSALES"/>
    <s v="NC GASTO NO DEDUCIBLES"/>
    <s v="TRANSACCIONES DEL DIA 04/03/2019SPYRAL - GESTION ADMINISTRATIVA"/>
    <n v="95"/>
    <n v="0"/>
    <s v="TERMINAL DE ALBROOK"/>
    <x v="4"/>
  </r>
  <r>
    <n v="46"/>
    <d v="2019-05-03T00:00:00"/>
    <x v="11"/>
    <x v="11"/>
    <x v="1"/>
    <s v="ADMINISTRACION DE SUCURSALES"/>
    <s v="NC GASTO NO DEDUCIBLES"/>
    <s v="TRANSACCIONES DEL DIA 05/03/2019SPYRAL - GESTION ADMINISTRATIVA"/>
    <n v="81.069999999999993"/>
    <n v="0"/>
    <s v="TERMINAL DE ALBROOK"/>
    <x v="4"/>
  </r>
  <r>
    <n v="46"/>
    <d v="2019-06-10T00:00:00"/>
    <x v="2"/>
    <x v="2"/>
    <x v="1"/>
    <s v="ADMINISTRACION DE SUCURSALES"/>
    <s v="NC GASTO NO DEDUCIBLES"/>
    <s v="TRANSACCIONES DEL DIA 06/10/2019SPYRAL - GESTION ADMINISTRATIVA"/>
    <n v="50.97"/>
    <n v="0"/>
    <s v="TERMINAL DE ALBROOK"/>
    <x v="4"/>
  </r>
  <r>
    <n v="46"/>
    <d v="2019-07-23T00:00:00"/>
    <x v="6"/>
    <x v="6"/>
    <x v="1"/>
    <s v="ADMINISTRACION DE SUCURSALES"/>
    <s v="NC GASTO NO DEDUCIBLES"/>
    <s v="TRANSACCIONES DEL DIA 07/23/2019SPYRAL - GESTION ADMINISTRATIVA"/>
    <n v="35.409999999999997"/>
    <n v="0"/>
    <s v="TERMINAL DE ALBROOK"/>
    <x v="4"/>
  </r>
  <r>
    <n v="47"/>
    <d v="2019-04-05T00:00:00"/>
    <x v="10"/>
    <x v="10"/>
    <x v="1"/>
    <s v="ADMINISTRACION DE SUCURSALES"/>
    <s v="NC GASTO NO DEDUCIBLES"/>
    <s v="TRANSACCIONES DEL DIA 04/05/2019SPYRAL - GESTION ADMINISTRATIVA"/>
    <n v="26.08"/>
    <n v="0"/>
    <s v="CONCEPCION"/>
    <x v="4"/>
  </r>
  <r>
    <n v="47"/>
    <d v="2019-05-24T00:00:00"/>
    <x v="11"/>
    <x v="11"/>
    <x v="1"/>
    <s v="ADMINISTRACION DE SUCURSALES"/>
    <s v="NC GASTO NO DEDUCIBLES"/>
    <s v="TRANSACCIONES DEL DIA 05/24/2019SPYRAL - GESTION ADMINISTRATIVA"/>
    <n v="25.97"/>
    <n v="0"/>
    <s v="CONCEPCION"/>
    <x v="4"/>
  </r>
  <r>
    <n v="48"/>
    <d v="2019-02-07T00:00:00"/>
    <x v="8"/>
    <x v="8"/>
    <x v="1"/>
    <s v="ADMINISTRACION DE SUCURSALES"/>
    <s v="NC GASTO NO DEDUCIBLES"/>
    <s v="TRANSACCIONES DEL DIA 02/07/2019SPYRAL - GESTION ADMINISTRATIVA"/>
    <n v="18"/>
    <n v="0"/>
    <s v="BOQUETE"/>
    <x v="4"/>
  </r>
  <r>
    <n v="48"/>
    <d v="2019-03-12T00:00:00"/>
    <x v="9"/>
    <x v="9"/>
    <x v="1"/>
    <s v="ADMINISTRACION DE SUCURSALES"/>
    <s v="NC GASTO NO DEDUCIBLES"/>
    <s v="TRANSACCIONES DEL DIA 03/12/2019SPYRAL - GESTION ADMINISTRATIVA"/>
    <n v="18"/>
    <n v="0"/>
    <s v="BOQUETE"/>
    <x v="4"/>
  </r>
  <r>
    <n v="48"/>
    <d v="2019-06-25T00:00:00"/>
    <x v="2"/>
    <x v="2"/>
    <x v="1"/>
    <s v="ADMINISTRACION DE SUCURSALES"/>
    <s v="NC GASTO NO DEDUCIBLES"/>
    <s v="TRANSACCIONES DEL DIA 06/25/2019SPYRAL - GESTION ADMINISTRATIVA"/>
    <n v="18"/>
    <n v="0"/>
    <s v="BOQUETE"/>
    <x v="4"/>
  </r>
  <r>
    <n v="48"/>
    <d v="2019-07-26T00:00:00"/>
    <x v="6"/>
    <x v="6"/>
    <x v="1"/>
    <s v="ADMINISTRACION DE SUCURSALES"/>
    <s v="NC GASTO NO DEDUCIBLES"/>
    <s v="TRANSACCIONES DEL DIA 07/26/2019SPYRAL - GESTION ADMINISTRATIVA"/>
    <n v="18"/>
    <n v="0"/>
    <s v="BOQUETE"/>
    <x v="4"/>
  </r>
  <r>
    <n v="49"/>
    <d v="2019-01-10T00:00:00"/>
    <x v="7"/>
    <x v="7"/>
    <x v="1"/>
    <s v="ADMINISTRACION DE SUCURSALES"/>
    <s v="NC GASTO NO DEDUCIBLES"/>
    <s v="TRANSACCIONES DEL DIA 01/10/2019SPYRAL - GESTION ADMINISTRATIVA"/>
    <n v="51.8"/>
    <n v="0"/>
    <s v="BRISAS DEL GOLF"/>
    <x v="4"/>
  </r>
  <r>
    <n v="49"/>
    <d v="2019-03-01T00:00:00"/>
    <x v="9"/>
    <x v="9"/>
    <x v="1"/>
    <s v="ADMINISTRACION DE SUCURSALES"/>
    <s v="NC GASTO NO DEDUCIBLES"/>
    <s v="TRANSACCIONES DEL DIA 03/01/2019SPYRAL - GESTION ADMINISTRATIVA"/>
    <n v="65.44"/>
    <n v="0"/>
    <s v="BRISAS DEL GOLF"/>
    <x v="4"/>
  </r>
  <r>
    <n v="49"/>
    <d v="2019-03-22T00:00:00"/>
    <x v="9"/>
    <x v="9"/>
    <x v="1"/>
    <s v="ADMINISTRACION DE SUCURSALES"/>
    <s v="NC GASTO NO DEDUCIBLES"/>
    <s v="TRANSACCIONES DEL DIA 03/22/2019SPYRAL - GESTION ADMINISTRATIVA"/>
    <n v="44.15"/>
    <n v="0"/>
    <s v="BRISAS DEL GOLF"/>
    <x v="4"/>
  </r>
  <r>
    <n v="49"/>
    <d v="2019-03-23T00:00:00"/>
    <x v="9"/>
    <x v="9"/>
    <x v="1"/>
    <s v="ADMINISTRACION DE SUCURSALES"/>
    <s v="GASTOS NO DEDUCIBLES"/>
    <s v="TRANSACCIONES DEL DIA 03/23/2019SPYRAL - GESTION ADMINISTRATIVA"/>
    <n v="30"/>
    <n v="0"/>
    <s v="BRISAS DEL GOLF"/>
    <x v="4"/>
  </r>
  <r>
    <n v="49"/>
    <d v="2019-05-06T00:00:00"/>
    <x v="11"/>
    <x v="11"/>
    <x v="1"/>
    <s v="ADMINISTRACION DE SUCURSALES"/>
    <s v="NC GASTO NO DEDUCIBLES"/>
    <s v="TRANSACCIONES DEL DIA 05/06/2019SPYRAL - GESTION ADMINISTRATIVA"/>
    <n v="67.069999999999993"/>
    <n v="0"/>
    <s v="BRISAS DEL GOLF"/>
    <x v="4"/>
  </r>
  <r>
    <n v="49"/>
    <d v="2019-05-10T00:00:00"/>
    <x v="11"/>
    <x v="11"/>
    <x v="1"/>
    <s v="ADMINISTRACION DE SUCURSALES"/>
    <s v="GASTOS NO DEDUCIBLES"/>
    <s v="TRANSACCIONES DEL DIA 05/10/2019SPYRAL - GESTION ADMINISTRATIVA"/>
    <n v="30"/>
    <n v="0"/>
    <s v="BRISAS DEL GOLF"/>
    <x v="4"/>
  </r>
  <r>
    <n v="49"/>
    <d v="2019-05-10T00:00:00"/>
    <x v="11"/>
    <x v="11"/>
    <x v="1"/>
    <s v="ADMINISTRACION DE SUCURSALES"/>
    <s v="NC GASTO NO DEDUCIBLES"/>
    <s v="TRANSACCIONES DEL DIA 05/10/2019SPYRAL - GESTION ADMINISTRATIVA"/>
    <n v="45.28"/>
    <n v="0"/>
    <s v="BRISAS DEL GOLF"/>
    <x v="4"/>
  </r>
  <r>
    <n v="49"/>
    <d v="2019-06-26T00:00:00"/>
    <x v="2"/>
    <x v="2"/>
    <x v="1"/>
    <s v="ADMINISTRACION DE SUCURSALES"/>
    <s v="NC GASTO NO DEDUCIBLES"/>
    <s v="TRANSACCIONES DEL DIA 06/26/2019SPYRAL - GESTION ADMINISTRATIVA"/>
    <n v="60.45"/>
    <n v="0"/>
    <s v="BRISAS DEL GOLF"/>
    <x v="4"/>
  </r>
  <r>
    <n v="49"/>
    <d v="2019-07-23T00:00:00"/>
    <x v="6"/>
    <x v="6"/>
    <x v="1"/>
    <s v="ADMINISTRACION DE SUCURSALES"/>
    <s v="NC GASTO NO DEDUCIBLES"/>
    <s v="TRANSACCIONES DEL DIA 07/23/2019SPYRAL - GESTION ADMINISTRATIVA"/>
    <n v="36"/>
    <n v="0"/>
    <s v="BRISAS DEL GOLF"/>
    <x v="4"/>
  </r>
  <r>
    <n v="51"/>
    <d v="2019-04-02T00:00:00"/>
    <x v="10"/>
    <x v="10"/>
    <x v="1"/>
    <s v="ADMINISTRACION DE SUCURSALES"/>
    <s v="GASTOS NO DEDUCIBLES"/>
    <s v="TRANSACCIONES DEL DIA 04/02/2019SPYRAL - GESTION ADMINISTRATIVA"/>
    <n v="47"/>
    <n v="0"/>
    <s v="PUENTE CENTENARIO"/>
    <x v="4"/>
  </r>
  <r>
    <n v="51"/>
    <d v="2019-04-03T00:00:00"/>
    <x v="10"/>
    <x v="10"/>
    <x v="1"/>
    <s v="ADMINISTRACION DE SUCURSALES"/>
    <s v="NC GASTO NO DEDUCIBLES"/>
    <s v="TRANSACCIONES DEL DIA 04/03/2019SPYRAL - GESTION ADMINISTRATIVA"/>
    <n v="200.79"/>
    <n v="0"/>
    <s v="PUENTE CENTENARIO"/>
    <x v="4"/>
  </r>
  <r>
    <n v="51"/>
    <d v="2019-07-19T00:00:00"/>
    <x v="6"/>
    <x v="6"/>
    <x v="1"/>
    <s v="ADMINISTRACION DE SUCURSALES"/>
    <s v="GASTOS NO DEDUCIBLES"/>
    <s v="TRANSACCIONES DEL DIA 07/19/2019SPYRAL - GESTION ADMINISTRATIVA"/>
    <n v="30"/>
    <n v="0"/>
    <s v="PUENTE CENTENARIO"/>
    <x v="4"/>
  </r>
  <r>
    <n v="51"/>
    <d v="2019-07-26T00:00:00"/>
    <x v="6"/>
    <x v="6"/>
    <x v="1"/>
    <s v="ADMINISTRACION DE SUCURSALES"/>
    <s v="NC GASTO NO DEDUCIBLES"/>
    <s v="TRANSACCIONES DEL DIA 07/26/2019SPYRAL - GESTION ADMINISTRATIVA"/>
    <n v="138"/>
    <n v="0"/>
    <s v="PUENTE CENTENARIO"/>
    <x v="4"/>
  </r>
  <r>
    <n v="53"/>
    <d v="2019-03-07T00:00:00"/>
    <x v="9"/>
    <x v="9"/>
    <x v="1"/>
    <s v="ADMINISTRACION DE SUCURSALES"/>
    <s v="NC GASTO NO DEDUCIBLES"/>
    <s v="TRANSACCIONES DEL DIA 03/07/2019SPYRAL - GESTION ADMINISTRATIVA"/>
    <n v="36.450000000000003"/>
    <n v="0"/>
    <s v="AGUADULCE"/>
    <x v="4"/>
  </r>
  <r>
    <n v="53"/>
    <d v="2019-04-29T00:00:00"/>
    <x v="10"/>
    <x v="10"/>
    <x v="1"/>
    <s v="ADMINISTRACION DE SUCURSALES"/>
    <s v="NC GASTO NO DEDUCIBLES"/>
    <s v="TRANSACCIONES DEL DIA 04/29/2019SPYRAL - GESTION ADMINISTRATIVA"/>
    <n v="23.85"/>
    <n v="0"/>
    <s v="AGUADULCE"/>
    <x v="4"/>
  </r>
  <r>
    <n v="54"/>
    <d v="2019-02-15T00:00:00"/>
    <x v="8"/>
    <x v="8"/>
    <x v="1"/>
    <s v="ADMINISTRACION DE SUCURSALES"/>
    <s v="NC GASTO NO DEDUCIBLES"/>
    <s v="TRANSACCIONES DEL DIA 02/15/2019SPYRAL - GESTION ADMINISTRATIVA"/>
    <n v="46.18"/>
    <n v="0"/>
    <s v="SABANITAS"/>
    <x v="4"/>
  </r>
  <r>
    <n v="54"/>
    <d v="2019-05-06T00:00:00"/>
    <x v="11"/>
    <x v="11"/>
    <x v="1"/>
    <s v="ADMINISTRACION DE SUCURSALES"/>
    <s v="NC GASTO NO DEDUCIBLES"/>
    <s v="TRANSACCIONES DEL DIA 05/06/2019SPYRAL - GESTION ADMINISTRATIVA"/>
    <n v="48.62"/>
    <n v="0"/>
    <s v="SABANITAS"/>
    <x v="4"/>
  </r>
  <r>
    <n v="54"/>
    <d v="2019-05-27T00:00:00"/>
    <x v="11"/>
    <x v="11"/>
    <x v="1"/>
    <s v="ADMINISTRACION DE SUCURSALES"/>
    <s v="NC GASTO NO DEDUCIBLES"/>
    <s v="TRANSACCIONES DEL DIA 05/27/2019SPYRAL - GESTION ADMINISTRATIVA"/>
    <n v="48.16"/>
    <n v="0"/>
    <s v="SABANITAS"/>
    <x v="4"/>
  </r>
  <r>
    <n v="54"/>
    <d v="2019-07-08T00:00:00"/>
    <x v="6"/>
    <x v="6"/>
    <x v="1"/>
    <s v="ADMINISTRACION DE SUCURSALES"/>
    <s v="NC GASTO NO DEDUCIBLES"/>
    <s v="TRANSACCIONES DEL DIA 07/08/2019SPYRAL - GESTION ADMINISTRATIVA"/>
    <n v="35"/>
    <n v="0"/>
    <s v="SABANITAS"/>
    <x v="4"/>
  </r>
  <r>
    <n v="66"/>
    <d v="2019-03-27T00:00:00"/>
    <x v="9"/>
    <x v="9"/>
    <x v="1"/>
    <s v="ADMINISTRACION DE SUCURSALES"/>
    <s v="NC GASTO NO DEDUCIBLES"/>
    <s v="TRANSACCIONES DEL DIA 03/27/2019SPYRAL - GESTION ADMINISTRATIVA"/>
    <n v="60.5"/>
    <n v="0"/>
    <s v="METROMALL"/>
    <x v="4"/>
  </r>
  <r>
    <n v="66"/>
    <d v="2019-05-07T00:00:00"/>
    <x v="11"/>
    <x v="11"/>
    <x v="1"/>
    <s v="ADMINISTRACION DE SUCURSALES"/>
    <s v="NC GASTO NO DEDUCIBLES"/>
    <s v="TRANSACCIONES DEL DIA 05/07/2019SPYRAL - GESTION ADMINISTRATIVA"/>
    <n v="42.03"/>
    <n v="0"/>
    <s v="METROMALL"/>
    <x v="4"/>
  </r>
  <r>
    <n v="68"/>
    <d v="2019-02-22T00:00:00"/>
    <x v="8"/>
    <x v="8"/>
    <x v="1"/>
    <s v="ADMINISTRACION DE SUCURSALES"/>
    <s v="NC GASTO NO DEDUCIBLES"/>
    <s v="TRANSACCIONES DEL DIA 02/22/2019SPYRAL - GESTION ADMINISTRATIVA"/>
    <n v="17.66"/>
    <n v="0"/>
    <s v="ALTOS DE PANAMA"/>
    <x v="4"/>
  </r>
  <r>
    <n v="68"/>
    <d v="2019-03-26T00:00:00"/>
    <x v="9"/>
    <x v="9"/>
    <x v="1"/>
    <s v="ADMINISTRACION DE SUCURSALES"/>
    <s v="NC GASTO NO DEDUCIBLES"/>
    <s v="TRANSACCIONES DEL DIA 03/26/2019SPYRAL - GESTION ADMINISTRATIVA"/>
    <n v="39.86"/>
    <n v="0"/>
    <s v="ALTOS DE PANAMA"/>
    <x v="4"/>
  </r>
  <r>
    <n v="68"/>
    <d v="2019-05-09T00:00:00"/>
    <x v="11"/>
    <x v="11"/>
    <x v="1"/>
    <s v="ADMINISTRACION DE SUCURSALES"/>
    <s v="NC GASTO NO DEDUCIBLES"/>
    <s v="TRANSACCIONES DEL DIA 05/09/2019SPYRAL - GESTION ADMINISTRATIVA"/>
    <n v="32.82"/>
    <n v="0"/>
    <s v="ALTOS DE PANAMA"/>
    <x v="4"/>
  </r>
  <r>
    <n v="68"/>
    <d v="2019-06-26T00:00:00"/>
    <x v="2"/>
    <x v="2"/>
    <x v="1"/>
    <s v="ADMINISTRACION DE SUCURSALES"/>
    <s v="NC GASTO NO DEDUCIBLES"/>
    <s v="TRANSACCIONES DEL DIA 06/26/2019SPYRAL - GESTION ADMINISTRATIVA"/>
    <n v="23.99"/>
    <n v="0"/>
    <s v="ALTOS DE PANAMA"/>
    <x v="4"/>
  </r>
  <r>
    <n v="69"/>
    <d v="2019-02-13T00:00:00"/>
    <x v="8"/>
    <x v="8"/>
    <x v="1"/>
    <s v="ADMINISTRACION DE SUCURSALES"/>
    <s v="NC GASTO NO DEDUCIBLES"/>
    <s v="TRANSACCIONES DEL DIA 02/13/2019SPYRAL - GESTION ADMINISTRATIVA"/>
    <n v="81.83"/>
    <n v="0"/>
    <s v="VERSALLES"/>
    <x v="4"/>
  </r>
  <r>
    <n v="69"/>
    <d v="2019-06-17T00:00:00"/>
    <x v="2"/>
    <x v="2"/>
    <x v="1"/>
    <s v="ADMINISTRACION DE SUCURSALES"/>
    <s v="NC GASTO NO DEDUCIBLES"/>
    <s v="TRANSACCIONES DEL DIA 06/17/2019SPYRAL - GESTION ADMINISTRATIVA"/>
    <n v="82.43"/>
    <n v="0"/>
    <s v="VERSALLES"/>
    <x v="4"/>
  </r>
  <r>
    <n v="70"/>
    <d v="2019-04-12T00:00:00"/>
    <x v="10"/>
    <x v="10"/>
    <x v="1"/>
    <s v="ADMINISTRACION DE SUCURSALES"/>
    <s v="NC GASTO NO DEDUCIBLES"/>
    <s v="TRANSACCIONES DEL DIA 04/12/2019SPYRAL - GESTION ADMINISTRATIVA"/>
    <n v="25"/>
    <n v="0"/>
    <s v="BUSINESS PARK"/>
    <x v="4"/>
  </r>
  <r>
    <n v="70"/>
    <d v="2019-04-17T00:00:00"/>
    <x v="10"/>
    <x v="10"/>
    <x v="1"/>
    <s v="ADMINISTRACION DE SUCURSALES"/>
    <s v="NC GASTO NO DEDUCIBLES"/>
    <s v="TRANSACCIONES DEL DIA 04/17/2019SPYRAL - GESTION ADMINISTRATIVA"/>
    <n v="31.72"/>
    <n v="0"/>
    <s v="BUSINESS PARK"/>
    <x v="4"/>
  </r>
  <r>
    <n v="70"/>
    <d v="2019-06-03T00:00:00"/>
    <x v="2"/>
    <x v="2"/>
    <x v="1"/>
    <s v="ADMINISTRACION DE SUCURSALES"/>
    <s v="NC GASTO NO DEDUCIBLES"/>
    <s v="TRANSACCIONES DEL DIA 06/03/2019SPYRAL - GESTION ADMINISTRATIVA"/>
    <n v="28.75"/>
    <n v="0"/>
    <s v="BUSINESS PARK"/>
    <x v="4"/>
  </r>
  <r>
    <n v="70"/>
    <d v="2019-06-17T00:00:00"/>
    <x v="2"/>
    <x v="2"/>
    <x v="1"/>
    <s v="ADMINISTRACION DE SUCURSALES"/>
    <s v="NC GASTO NO DEDUCIBLES"/>
    <s v="TRANSACCIONES DEL DIA 06/17/2019SPYRAL - GESTION ADMINISTRATIVA"/>
    <n v="33.25"/>
    <n v="0"/>
    <s v="BUSINESS PARK"/>
    <x v="4"/>
  </r>
  <r>
    <n v="70"/>
    <d v="2019-07-03T00:00:00"/>
    <x v="6"/>
    <x v="6"/>
    <x v="1"/>
    <s v="ADMINISTRACION DE SUCURSALES"/>
    <s v="NC GASTO NO DEDUCIBLES"/>
    <s v="TRANSACCIONES DEL DIA 07/03/2019SPYRAL - GESTION ADMINISTRATIVA"/>
    <n v="10.99"/>
    <n v="0"/>
    <s v="BUSINESS PARK"/>
    <x v="4"/>
  </r>
  <r>
    <n v="70"/>
    <d v="2019-07-12T00:00:00"/>
    <x v="6"/>
    <x v="6"/>
    <x v="1"/>
    <s v="ADMINISTRACION DE SUCURSALES"/>
    <s v="NC GASTO NO DEDUCIBLES"/>
    <s v="TRANSACCIONES DEL DIA 07/12/2019SPYRAL - GESTION ADMINISTRATIVA"/>
    <n v="28"/>
    <n v="0"/>
    <s v="BUSINESS PARK"/>
    <x v="4"/>
  </r>
  <r>
    <n v="70"/>
    <d v="2019-07-23T00:00:00"/>
    <x v="6"/>
    <x v="6"/>
    <x v="1"/>
    <s v="ADMINISTRACION DE SUCURSALES"/>
    <s v="NC GASTO NO DEDUCIBLES"/>
    <s v="TRANSACCIONES DEL DIA 07/23/2019SPYRAL - GESTION ADMINISTRATIVA"/>
    <n v="34"/>
    <n v="0"/>
    <s v="BUSINESS PARK"/>
    <x v="4"/>
  </r>
  <r>
    <n v="71"/>
    <d v="2019-01-04T00:00:00"/>
    <x v="7"/>
    <x v="7"/>
    <x v="1"/>
    <s v="ADMINISTRACION DE SUCURSALES"/>
    <s v="GASTOS NO DEDUCIBLES"/>
    <s v="TRANSACCIONES DEL DIA 01/04/2019SPYRAL - GESTION ADMINISTRATIVA"/>
    <n v="15.95"/>
    <n v="0"/>
    <s v="SAN FRANCISCO"/>
    <x v="4"/>
  </r>
  <r>
    <n v="71"/>
    <d v="2019-03-01T00:00:00"/>
    <x v="9"/>
    <x v="9"/>
    <x v="1"/>
    <s v="ADMINISTRACION DE SUCURSALES"/>
    <s v="NC GASTO NO DEDUCIBLES"/>
    <s v="TRANSACCIONES DEL DIA 03/01/2019SPYRAL - GESTION ADMINISTRATIVA"/>
    <n v="15.92"/>
    <n v="0"/>
    <s v="SAN FRANCISCO"/>
    <x v="4"/>
  </r>
  <r>
    <n v="71"/>
    <d v="2019-03-08T00:00:00"/>
    <x v="9"/>
    <x v="9"/>
    <x v="1"/>
    <s v="ADMINISTRACION DE SUCURSALES"/>
    <s v="GASTOS NO DEDUCIBLES"/>
    <s v="TRANSACCIONES DEL DIA 03/08/2019SPYRAL - GESTION ADMINISTRATIVA"/>
    <n v="24.7"/>
    <n v="0"/>
    <s v="SAN FRANCISCO"/>
    <x v="4"/>
  </r>
  <r>
    <n v="71"/>
    <d v="2019-04-05T00:00:00"/>
    <x v="10"/>
    <x v="10"/>
    <x v="1"/>
    <s v="ADMINISTRACION DE SUCURSALES"/>
    <s v="NC GASTO NO DEDUCIBLES"/>
    <s v="TRANSACCIONES DEL DIA 04/05/2019SPYRAL - GESTION ADMINISTRATIVA"/>
    <n v="21.95"/>
    <n v="0"/>
    <s v="SAN FRANCISCO"/>
    <x v="4"/>
  </r>
  <r>
    <n v="71"/>
    <d v="2019-05-03T00:00:00"/>
    <x v="11"/>
    <x v="11"/>
    <x v="1"/>
    <s v="ADMINISTRACION DE SUCURSALES"/>
    <s v="NC GASTO NO DEDUCIBLES"/>
    <s v="TRANSACCIONES DEL DIA 05/03/2019SPYRAL - GESTION ADMINISTRATIVA"/>
    <n v="21.95"/>
    <n v="0"/>
    <s v="SAN FRANCISCO"/>
    <x v="4"/>
  </r>
  <r>
    <n v="71"/>
    <d v="2019-05-10T00:00:00"/>
    <x v="11"/>
    <x v="11"/>
    <x v="1"/>
    <s v="ADMINISTRACION DE SUCURSALES"/>
    <s v="NC GASTO NO DEDUCIBLES"/>
    <s v="TRANSACCIONES DEL DIA 05/10/2019SPYRAL - GESTION ADMINISTRATIVA"/>
    <n v="21.2"/>
    <n v="0"/>
    <s v="SAN FRANCISCO"/>
    <x v="4"/>
  </r>
  <r>
    <n v="72"/>
    <d v="2019-02-13T00:00:00"/>
    <x v="8"/>
    <x v="8"/>
    <x v="1"/>
    <s v="ADMINISTRACION DE SUCURSALES"/>
    <s v="NC GASTO NO DEDUCIBLES"/>
    <s v="TRANSACCIONES DEL DIA 02/13/2019SPYRAL - GESTION ADMINISTRATIVA"/>
    <n v="66.099999999999994"/>
    <n v="0"/>
    <s v="PLAZA BANCO GENERAL"/>
    <x v="4"/>
  </r>
  <r>
    <n v="72"/>
    <d v="2019-04-18T00:00:00"/>
    <x v="10"/>
    <x v="10"/>
    <x v="1"/>
    <s v="ADMINISTRACION DE SUCURSALES"/>
    <s v="NC GASTO NO DEDUCIBLES"/>
    <s v="TRANSACCIONES DEL DIA 04/18/2019SPYRAL - GESTION ADMINISTRATIVA"/>
    <n v="27.81"/>
    <n v="0"/>
    <s v="PLAZA BANCO GENERAL"/>
    <x v="4"/>
  </r>
  <r>
    <n v="72"/>
    <d v="2019-06-03T00:00:00"/>
    <x v="2"/>
    <x v="2"/>
    <x v="1"/>
    <s v="ADMINISTRACION DE SUCURSALES"/>
    <s v="NC GASTO NO DEDUCIBLES"/>
    <s v="TRANSACCIONES DEL DIA 06/03/2019SPYRAL - GESTION ADMINISTRATIVA"/>
    <n v="77.98"/>
    <n v="0"/>
    <s v="PLAZA BANCO GENERAL"/>
    <x v="4"/>
  </r>
  <r>
    <n v="72"/>
    <d v="2019-07-03T00:00:00"/>
    <x v="6"/>
    <x v="6"/>
    <x v="1"/>
    <s v="ADMINISTRACION DE SUCURSALES"/>
    <s v="NC GASTO NO DEDUCIBLES"/>
    <s v="TRANSACCIONES DEL DIA 07/03/2019SPYRAL - GESTION ADMINISTRATIVA"/>
    <n v="99.5"/>
    <n v="0"/>
    <s v="PLAZA BANCO GENERAL"/>
    <x v="4"/>
  </r>
  <r>
    <n v="73"/>
    <d v="2019-02-26T00:00:00"/>
    <x v="8"/>
    <x v="8"/>
    <x v="1"/>
    <s v="ADMINISTRACION DE SUCURSALES"/>
    <s v="NC GASTO NO DEDUCIBLES"/>
    <s v="TRANSACCIONES DEL DIA 02/26/2019SPYRAL - GESTION ADMINISTRATIVA"/>
    <n v="53.96"/>
    <n v="0"/>
    <s v="LA CHORRERA - PARQUE 10 DE NOV."/>
    <x v="4"/>
  </r>
  <r>
    <n v="73"/>
    <d v="2019-03-19T00:00:00"/>
    <x v="9"/>
    <x v="9"/>
    <x v="1"/>
    <s v="ADMINISTRACION DE SUCURSALES"/>
    <s v="NC GASTO NO DEDUCIBLES"/>
    <s v="TRANSACCIONES DEL DIA 03/19/2019SPYRAL - GESTION ADMINISTRATIVA"/>
    <n v="52.73"/>
    <n v="0"/>
    <s v="LA CHORRERA - PARQUE 10 DE NOV."/>
    <x v="4"/>
  </r>
  <r>
    <n v="73"/>
    <d v="2019-05-15T00:00:00"/>
    <x v="11"/>
    <x v="11"/>
    <x v="1"/>
    <s v="ADMINISTRACION DE SUCURSALES"/>
    <s v="NC GASTO NO DEDUCIBLES"/>
    <s v="TRANSACCIONES DEL DIA 05/15/2019SPYRAL - GESTION ADMINISTRATIVA"/>
    <n v="122.34"/>
    <n v="0"/>
    <s v="LA CHORRERA - PARQUE 10 DE NOV."/>
    <x v="4"/>
  </r>
  <r>
    <n v="73"/>
    <d v="2019-07-12T00:00:00"/>
    <x v="6"/>
    <x v="6"/>
    <x v="1"/>
    <s v="ADMINISTRACION DE SUCURSALES"/>
    <s v="NC GASTO NO DEDUCIBLES"/>
    <s v="TRANSACCIONES DEL DIA 07/12/2019SPYRAL - GESTION ADMINISTRATIVA"/>
    <n v="75.739999999999995"/>
    <n v="0"/>
    <s v="LA CHORRERA - PARQUE 10 DE NOV."/>
    <x v="4"/>
  </r>
  <r>
    <n v="74"/>
    <d v="2019-02-22T00:00:00"/>
    <x v="8"/>
    <x v="8"/>
    <x v="1"/>
    <s v="ADMINISTRACION DE SUCURSALES"/>
    <s v="NC GASTO NO DEDUCIBLES"/>
    <s v="TRANSACCIONES DEL DIA 02/22/2019SPYRAL - GESTION ADMINISTRATIVA"/>
    <n v="39.19"/>
    <n v="0"/>
    <s v="COSTA DEL ESTE - CENTENARIO"/>
    <x v="4"/>
  </r>
  <r>
    <n v="74"/>
    <d v="2019-04-23T00:00:00"/>
    <x v="10"/>
    <x v="10"/>
    <x v="1"/>
    <s v="ADMINISTRACION DE SUCURSALES"/>
    <s v="NC GASTO NO DEDUCIBLES"/>
    <s v="TRANSACCIONES DEL DIA 04/23/2019SPYRAL - GESTION ADMINISTRATIVA"/>
    <n v="41.14"/>
    <n v="0"/>
    <s v="COSTA DEL ESTE - CENTENARIO"/>
    <x v="4"/>
  </r>
  <r>
    <n v="74"/>
    <d v="2019-06-10T00:00:00"/>
    <x v="2"/>
    <x v="2"/>
    <x v="1"/>
    <s v="ADMINISTRACION DE SUCURSALES"/>
    <s v="NC GASTO NO DEDUCIBLES"/>
    <s v="TRANSACCIONES DEL DIA 06/10/2019SPYRAL - GESTION ADMINISTRATIVA"/>
    <n v="42.14"/>
    <n v="0"/>
    <s v="COSTA DEL ESTE - CENTENARIO"/>
    <x v="4"/>
  </r>
  <r>
    <n v="74"/>
    <d v="2019-06-25T00:00:00"/>
    <x v="2"/>
    <x v="2"/>
    <x v="1"/>
    <s v="ADMINISTRACION DE SUCURSALES"/>
    <s v="NC GASTO NO DEDUCIBLES"/>
    <s v="TRANSACCIONES DEL DIA 06/25/2019SPYRAL - GESTION ADMINISTRATIVA"/>
    <n v="40.26"/>
    <n v="0"/>
    <s v="COSTA DEL ESTE - CENTENARIO"/>
    <x v="4"/>
  </r>
  <r>
    <n v="76"/>
    <d v="2019-02-01T00:00:00"/>
    <x v="8"/>
    <x v="8"/>
    <x v="1"/>
    <s v="ADMINISTRACION DE SUCURSALES"/>
    <s v="NC GASTO NO DEDUCIBLES"/>
    <s v="TRANSACCIONES DEL DIA 02/01/2019SPYRAL - GESTION ADMINISTRATIVA"/>
    <n v="18.600000000000001"/>
    <n v="0"/>
    <s v="CLAYTON"/>
    <x v="4"/>
  </r>
  <r>
    <n v="76"/>
    <d v="2019-04-25T00:00:00"/>
    <x v="10"/>
    <x v="10"/>
    <x v="1"/>
    <s v="ADMINISTRACION DE SUCURSALES"/>
    <s v="NC GASTO NO DEDUCIBLES"/>
    <s v="TRANSACCIONES DEL DIA 04/25/2019SPYRAL - GESTION ADMINISTRATIVA"/>
    <n v="36.659999999999997"/>
    <n v="0"/>
    <s v="CLAYTON"/>
    <x v="4"/>
  </r>
  <r>
    <n v="76"/>
    <d v="2019-06-17T00:00:00"/>
    <x v="2"/>
    <x v="2"/>
    <x v="1"/>
    <s v="ADMINISTRACION DE SUCURSALES"/>
    <s v="NC GASTO NO DEDUCIBLES"/>
    <s v="TRANSACCIONES DEL DIA 06/17/2019SPYRAL - GESTION ADMINISTRATIVA"/>
    <n v="7.1"/>
    <n v="0"/>
    <s v="CLAYTON"/>
    <x v="4"/>
  </r>
  <r>
    <n v="76"/>
    <d v="2019-06-20T00:00:00"/>
    <x v="2"/>
    <x v="2"/>
    <x v="1"/>
    <s v="ADMINISTRACION DE SUCURSALES"/>
    <s v="NC GASTO NO DEDUCIBLES"/>
    <s v="TRANSACCIONES DEL DIA 06/20/2019SPYRAL - GESTION ADMINISTRATIVA"/>
    <n v="29.24"/>
    <n v="0"/>
    <s v="CLAYTON"/>
    <x v="4"/>
  </r>
  <r>
    <n v="76"/>
    <d v="2019-06-25T00:00:00"/>
    <x v="2"/>
    <x v="2"/>
    <x v="1"/>
    <s v="ADMINISTRACION DE SUCURSALES"/>
    <s v="NC GASTO NO DEDUCIBLES"/>
    <s v="TRANSACCIONES DEL DIA 06/25/2019SPYRAL - GESTION ADMINISTRATIVA"/>
    <n v="22.27"/>
    <n v="0"/>
    <s v="CLAYTON"/>
    <x v="4"/>
  </r>
  <r>
    <n v="76"/>
    <d v="2019-07-23T00:00:00"/>
    <x v="6"/>
    <x v="6"/>
    <x v="1"/>
    <s v="ADMINISTRACION DE SUCURSALES"/>
    <s v="NC GASTO NO DEDUCIBLES"/>
    <s v="TRANSACCIONES DEL DIA 07/23/2019SPYRAL - GESTION ADMINISTRATIVA"/>
    <n v="15.36"/>
    <n v="0"/>
    <s v="CLAYTON"/>
    <x v="4"/>
  </r>
  <r>
    <n v="77"/>
    <d v="2019-02-19T00:00:00"/>
    <x v="8"/>
    <x v="8"/>
    <x v="1"/>
    <s v="ADMINISTRACION DE SUCURSALES"/>
    <s v="NC GASTO NO DEDUCIBLES"/>
    <s v="TRANSACCIONES DEL DIA 02/19/2019SPYRAL - GESTION ADMINISTRATIVA"/>
    <n v="10.43"/>
    <n v="0"/>
    <s v="MARBELLA"/>
    <x v="4"/>
  </r>
  <r>
    <n v="77"/>
    <d v="2019-03-27T00:00:00"/>
    <x v="9"/>
    <x v="9"/>
    <x v="1"/>
    <s v="ADMINISTRACION DE SUCURSALES"/>
    <s v="NC GASTO NO DEDUCIBLES"/>
    <s v="TRANSACCIONES DEL DIA 03/27/2019SPYRAL - GESTION ADMINISTRATIVA"/>
    <n v="97.25"/>
    <n v="0"/>
    <s v="MARBELLA"/>
    <x v="4"/>
  </r>
  <r>
    <n v="77"/>
    <d v="2019-04-11T00:00:00"/>
    <x v="10"/>
    <x v="10"/>
    <x v="1"/>
    <s v="ADMINISTRACION DE SUCURSALES"/>
    <s v="NC GASTO NO DEDUCIBLES"/>
    <s v="TRANSACCIONES DEL DIA 04/11/2019SPYRAL - GESTION ADMINISTRATIVA"/>
    <n v="103.25"/>
    <n v="0"/>
    <s v="MARBELLA"/>
    <x v="4"/>
  </r>
  <r>
    <n v="77"/>
    <d v="2019-05-06T00:00:00"/>
    <x v="11"/>
    <x v="11"/>
    <x v="1"/>
    <s v="ADMINISTRACION DE SUCURSALES"/>
    <s v="NC GASTO NO DEDUCIBLES"/>
    <s v="TRANSACCIONES DEL DIA 05/06/2019SPYRAL - GESTION ADMINISTRATIVA"/>
    <n v="91"/>
    <n v="0"/>
    <s v="MARBELLA"/>
    <x v="4"/>
  </r>
  <r>
    <n v="77"/>
    <d v="2019-07-03T00:00:00"/>
    <x v="6"/>
    <x v="6"/>
    <x v="1"/>
    <s v="ADMINISTRACION DE SUCURSALES"/>
    <s v="NC GASTO NO DEDUCIBLES"/>
    <s v="TRANSACCIONES DEL DIA 07/03/2019SPYRAL - GESTION ADMINISTRATIVA"/>
    <n v="88.8"/>
    <n v="0"/>
    <s v="MARBELLA"/>
    <x v="4"/>
  </r>
  <r>
    <n v="78"/>
    <d v="2019-04-03T00:00:00"/>
    <x v="10"/>
    <x v="10"/>
    <x v="1"/>
    <s v="ADMINISTRACION DE SUCURSALES"/>
    <s v="NC GASTO NO DEDUCIBLES"/>
    <s v="TRANSACCIONES DEL DIA 04/03/2019SPYRAL - GESTION ADMINISTRATIVA"/>
    <n v="98.66"/>
    <n v="0"/>
    <s v="PLAZA CAROLINA"/>
    <x v="4"/>
  </r>
  <r>
    <n v="78"/>
    <d v="2019-05-06T00:00:00"/>
    <x v="11"/>
    <x v="11"/>
    <x v="1"/>
    <s v="ADMINISTRACION DE SUCURSALES"/>
    <s v="NC GASTO NO DEDUCIBLES"/>
    <s v="TRANSACCIONES DEL DIA 05/06/2019SPYRAL - GESTION ADMINISTRATIVA"/>
    <n v="24.57"/>
    <n v="0"/>
    <s v="PLAZA CAROLINA"/>
    <x v="4"/>
  </r>
  <r>
    <n v="78"/>
    <d v="2019-06-27T00:00:00"/>
    <x v="2"/>
    <x v="2"/>
    <x v="1"/>
    <s v="ADMINISTRACION DE SUCURSALES"/>
    <s v="GASTOS NO DEDUCIBLES"/>
    <s v="TRANSACCIONES DEL DIA 06/27/2019SPYRAL - GESTION ADMINISTRATIVA"/>
    <n v="75"/>
    <n v="0"/>
    <s v="PLAZA CAROLINA"/>
    <x v="4"/>
  </r>
  <r>
    <n v="79"/>
    <d v="2019-02-26T00:00:00"/>
    <x v="8"/>
    <x v="8"/>
    <x v="1"/>
    <s v="ADMINISTRACION DE SUCURSALES"/>
    <s v="NC GASTO NO DEDUCIBLES"/>
    <s v="TRANSACCIONES DEL DIA 02/26/2019SPYRAL - GESTION ADMINISTRATIVA"/>
    <n v="34.56"/>
    <n v="0"/>
    <s v="PLAZA CORDOBA"/>
    <x v="4"/>
  </r>
  <r>
    <n v="79"/>
    <d v="2019-05-13T00:00:00"/>
    <x v="11"/>
    <x v="11"/>
    <x v="1"/>
    <s v="ADMINISTRACION DE SUCURSALES"/>
    <s v="NC GASTO NO DEDUCIBLES"/>
    <s v="TRANSACCIONES DEL DIA 05/13/2019SPYRAL - GESTION ADMINISTRATIVA"/>
    <n v="24.82"/>
    <n v="0"/>
    <s v="PLAZA CORDOBA"/>
    <x v="4"/>
  </r>
  <r>
    <n v="80"/>
    <d v="2019-01-18T00:00:00"/>
    <x v="7"/>
    <x v="7"/>
    <x v="1"/>
    <s v="ADMINISTRACION DE SUCURSALES"/>
    <s v="NC GASTO NO DEDUCIBLES"/>
    <s v="TRANSACCIONES DEL DIA 01/18/2019SPYRAL - GESTION ADMINISTRATIVA"/>
    <n v="21.2"/>
    <n v="0"/>
    <s v="VIA SIMON BOLIVAR"/>
    <x v="4"/>
  </r>
  <r>
    <n v="80"/>
    <d v="2019-01-29T00:00:00"/>
    <x v="7"/>
    <x v="7"/>
    <x v="1"/>
    <s v="ADMINISTRACION DE SUCURSALES"/>
    <s v="NC GASTO NO DEDUCIBLES"/>
    <s v="TRANSACCIONES DEL DIA 01/29/2019SPYRAL - GESTION ADMINISTRATIVA"/>
    <n v="27.08"/>
    <n v="0"/>
    <s v="VIA SIMON BOLIVAR"/>
    <x v="4"/>
  </r>
  <r>
    <n v="80"/>
    <d v="2019-02-13T00:00:00"/>
    <x v="8"/>
    <x v="8"/>
    <x v="1"/>
    <s v="ADMINISTRACION DE SUCURSALES"/>
    <s v="NC GASTO NO DEDUCIBLES"/>
    <s v="TRANSACCIONES DEL DIA 02/13/2019SPYRAL - GESTION ADMINISTRATIVA"/>
    <n v="23.4"/>
    <n v="0"/>
    <s v="VIA SIMON BOLIVAR"/>
    <x v="4"/>
  </r>
  <r>
    <n v="80"/>
    <d v="2019-04-03T00:00:00"/>
    <x v="10"/>
    <x v="10"/>
    <x v="1"/>
    <s v="ADMINISTRACION DE SUCURSALES"/>
    <s v="NC GASTO NO DEDUCIBLES"/>
    <s v="TRANSACCIONES DEL DIA 04/03/2019SPYRAL - GESTION ADMINISTRATIVA"/>
    <n v="13.12"/>
    <n v="0"/>
    <s v="VIA SIMON BOLIVAR"/>
    <x v="4"/>
  </r>
  <r>
    <n v="80"/>
    <d v="2019-05-03T00:00:00"/>
    <x v="11"/>
    <x v="11"/>
    <x v="1"/>
    <s v="ADMINISTRACION DE SUCURSALES"/>
    <s v="NC GASTO NO DEDUCIBLES"/>
    <s v="TRANSACCIONES DEL DIA 05/03/2019SPYRAL - GESTION ADMINISTRATIVA"/>
    <n v="28.07"/>
    <n v="0"/>
    <s v="VIA SIMON BOLIVAR"/>
    <x v="4"/>
  </r>
  <r>
    <n v="80"/>
    <d v="2019-05-10T00:00:00"/>
    <x v="11"/>
    <x v="11"/>
    <x v="1"/>
    <s v="ADMINISTRACION DE SUCURSALES"/>
    <s v="NC GASTO NO DEDUCIBLES"/>
    <s v="TRANSACCIONES DEL DIA 05/10/2019SPYRAL - GESTION ADMINISTRATIVA"/>
    <n v="18.88"/>
    <n v="0"/>
    <s v="VIA SIMON BOLIVAR"/>
    <x v="4"/>
  </r>
  <r>
    <n v="80"/>
    <d v="2019-05-15T00:00:00"/>
    <x v="11"/>
    <x v="11"/>
    <x v="1"/>
    <s v="ADMINISTRACION DE SUCURSALES"/>
    <s v="NC GASTO NO DEDUCIBLES"/>
    <s v="TRANSACCIONES DEL DIA 05/15/2019SPYRAL - GESTION ADMINISTRATIVA"/>
    <n v="19.29"/>
    <n v="0"/>
    <s v="VIA SIMON BOLIVAR"/>
    <x v="4"/>
  </r>
  <r>
    <n v="80"/>
    <d v="2019-05-27T00:00:00"/>
    <x v="11"/>
    <x v="11"/>
    <x v="1"/>
    <s v="ADMINISTRACION DE SUCURSALES"/>
    <s v="NC GASTO NO DEDUCIBLES"/>
    <s v="TRANSACCIONES DEL DIA 05/27/2019SPYRAL - GESTION ADMINISTRATIVA"/>
    <n v="28.39"/>
    <n v="0"/>
    <s v="VIA SIMON BOLIVAR"/>
    <x v="4"/>
  </r>
  <r>
    <n v="89"/>
    <d v="2019-02-22T00:00:00"/>
    <x v="8"/>
    <x v="8"/>
    <x v="1"/>
    <s v="ADMINISTRACION DE SUCURSALES"/>
    <s v="NC GASTO NO DEDUCIBLES"/>
    <s v="TRANSACCIONES DEL DIA 02/22/2019SPYRAL - GESTION ADMINISTRATIVA"/>
    <n v="23.32"/>
    <n v="0"/>
    <s v="JUSTO AROSEMENA"/>
    <x v="4"/>
  </r>
  <r>
    <n v="89"/>
    <d v="2019-03-19T00:00:00"/>
    <x v="9"/>
    <x v="9"/>
    <x v="1"/>
    <s v="ADMINISTRACION DE SUCURSALES"/>
    <s v="NC GASTO NO DEDUCIBLES"/>
    <s v="TRANSACCIONES DEL DIA 03/19/2019SPYRAL - GESTION ADMINISTRATIVA"/>
    <n v="38.1"/>
    <n v="0"/>
    <s v="JUSTO AROSEMENA"/>
    <x v="4"/>
  </r>
  <r>
    <n v="89"/>
    <d v="2019-04-23T00:00:00"/>
    <x v="10"/>
    <x v="10"/>
    <x v="1"/>
    <s v="ADMINISTRACION DE SUCURSALES"/>
    <s v="NC GASTO NO DEDUCIBLES"/>
    <s v="TRANSACCIONES DEL DIA 04/23/2019SPYRAL - GESTION ADMINISTRATIVA"/>
    <n v="81.03"/>
    <n v="0"/>
    <s v="JUSTO AROSEMENA"/>
    <x v="4"/>
  </r>
  <r>
    <n v="89"/>
    <d v="2019-06-03T00:00:00"/>
    <x v="2"/>
    <x v="2"/>
    <x v="1"/>
    <s v="ADMINISTRACION DE SUCURSALES"/>
    <s v="NC GASTO NO DEDUCIBLES"/>
    <s v="TRANSACCIONES DEL DIA 06/03/2019SPYRAL - GESTION ADMINISTRATIVA"/>
    <n v="20.45"/>
    <n v="0"/>
    <s v="JUSTO AROSEMENA"/>
    <x v="4"/>
  </r>
  <r>
    <n v="89"/>
    <d v="2019-06-10T00:00:00"/>
    <x v="2"/>
    <x v="2"/>
    <x v="1"/>
    <s v="ADMINISTRACION DE SUCURSALES"/>
    <s v="NC GASTO NO DEDUCIBLES"/>
    <s v="TRANSACCIONES DEL DIA 06/10/2019SPYRAL - GESTION ADMINISTRATIVA"/>
    <n v="29.69"/>
    <n v="0"/>
    <s v="JUSTO AROSEMENA"/>
    <x v="4"/>
  </r>
  <r>
    <n v="89"/>
    <d v="2019-07-23T00:00:00"/>
    <x v="6"/>
    <x v="6"/>
    <x v="1"/>
    <s v="ADMINISTRACION DE SUCURSALES"/>
    <s v="GASTOS NO DEDUCIBLES"/>
    <s v="TRANSACCIONES DEL DIA 07/23/2019SPYRAL - GESTION ADMINISTRATIVA"/>
    <n v="23.29"/>
    <n v="0"/>
    <s v="JUSTO AROSEMENA"/>
    <x v="4"/>
  </r>
  <r>
    <n v="91"/>
    <d v="2019-02-26T00:00:00"/>
    <x v="8"/>
    <x v="8"/>
    <x v="1"/>
    <s v="BANCA CORPORATIVA"/>
    <s v="NC GASTO NO DEDUCIBLES"/>
    <s v="TRANSACCIONES DEL DIA 02/26/2019SPYRAL - GESTION ADMINISTRATIVA"/>
    <n v="65"/>
    <n v="0"/>
    <s v="NEGOCIOS"/>
    <x v="4"/>
  </r>
  <r>
    <n v="91"/>
    <d v="2019-02-22T00:00:00"/>
    <x v="8"/>
    <x v="8"/>
    <x v="1"/>
    <s v="HIPOTECAS"/>
    <s v="GASTOS NO DEDUCIBLES"/>
    <s v="TRANSACCIONES DEL DIA 02/22/2019SPYRAL - GESTION ADMINISTRATIVA"/>
    <n v="15.25"/>
    <n v="0"/>
    <s v="NEGOCIOS"/>
    <x v="4"/>
  </r>
  <r>
    <n v="91"/>
    <d v="2019-05-02T00:00:00"/>
    <x v="11"/>
    <x v="11"/>
    <x v="1"/>
    <s v="GESTION HIPOTECARIA"/>
    <s v="GASTOS NO DEDUCIBLES"/>
    <s v="TRANSACCIONES DEL DIA 05/02/2019SPYRAL - GESTION ADMINISTRATIVA"/>
    <n v="92"/>
    <n v="0"/>
    <s v="NEGOCIOS"/>
    <x v="4"/>
  </r>
  <r>
    <n v="91"/>
    <d v="2019-05-08T00:00:00"/>
    <x v="11"/>
    <x v="11"/>
    <x v="1"/>
    <s v="GESTION HIPOTECARIA"/>
    <s v="GASTOS NO DEDUCIBLES"/>
    <s v="TRANSACCIONES DEL DIA 05/08/2019SPYRAL - GESTION ADMINISTRATIVA"/>
    <n v="85.7"/>
    <n v="0"/>
    <s v="NEGOCIOS"/>
    <x v="4"/>
  </r>
  <r>
    <n v="91"/>
    <d v="2019-07-11T00:00:00"/>
    <x v="6"/>
    <x v="6"/>
    <x v="1"/>
    <s v="GESTION HIPOTECARIA"/>
    <s v="GASTOS NO DEDUCIBLES"/>
    <s v="TRANSACCIONES DEL DIA 07/11/2019SPYRAL - GESTION ADMINISTRATIVA"/>
    <n v="60.7"/>
    <n v="0"/>
    <s v="NEGOCIOS"/>
    <x v="4"/>
  </r>
  <r>
    <n v="91"/>
    <d v="2019-07-12T00:00:00"/>
    <x v="6"/>
    <x v="6"/>
    <x v="1"/>
    <s v="GESTION HIPOTECARIA"/>
    <s v="NC GASTO NO DEDUCIBLES"/>
    <s v="TRANSACCIONES DEL DIA 07/12/2019SPYRAL - GESTION ADMINISTRATIVA"/>
    <n v="186.42"/>
    <n v="0"/>
    <s v="NEGOCIOS"/>
    <x v="4"/>
  </r>
  <r>
    <n v="91"/>
    <d v="2019-07-18T00:00:00"/>
    <x v="6"/>
    <x v="6"/>
    <x v="1"/>
    <s v="GESTION HIPOTECARIA"/>
    <s v="GASTOS NO DEDUCIBLES"/>
    <s v="TRANSACCIONES DEL DIA 07/18/2019SPYRAL - GESTION ADMINISTRATIVA"/>
    <n v="148.85"/>
    <n v="0"/>
    <s v="NEGOCIOS"/>
    <x v="4"/>
  </r>
  <r>
    <n v="91"/>
    <d v="2019-04-12T00:00:00"/>
    <x v="10"/>
    <x v="10"/>
    <x v="1"/>
    <s v="BANCA DE CONSUMO"/>
    <s v="GASTOS NO DEDUCIBLES"/>
    <s v="TRANSACCIONES DEL DIA 04/12/2019SPYRAL - GESTION ADMINISTRATIVA"/>
    <n v="500"/>
    <n v="0"/>
    <s v="NEGOCIOS"/>
    <x v="4"/>
  </r>
  <r>
    <n v="91"/>
    <d v="2019-05-29T00:00:00"/>
    <x v="11"/>
    <x v="11"/>
    <x v="1"/>
    <s v="BANCA DE CONSUMO"/>
    <s v="GASTOS NO DEDUCIBLES"/>
    <s v="TRANSACCIONES DEL DIA 05/29/2019SPYRAL - GESTION ADMINISTRATIVA"/>
    <n v="3909"/>
    <n v="0"/>
    <s v="NEGOCIOS"/>
    <x v="4"/>
  </r>
  <r>
    <n v="91"/>
    <d v="2019-07-11T00:00:00"/>
    <x v="6"/>
    <x v="6"/>
    <x v="1"/>
    <s v="BANCA DE CONSUMO"/>
    <s v="GASTOS NO DEDUCIBLES"/>
    <s v="TRANSACCIONES DEL DIA 07/11/2019SPYRAL - GESTION ADMINISTRATIVA"/>
    <n v="147.5"/>
    <n v="0"/>
    <s v="NEGOCIOS"/>
    <x v="4"/>
  </r>
  <r>
    <n v="91"/>
    <d v="2019-01-28T00:00:00"/>
    <x v="7"/>
    <x v="7"/>
    <x v="1"/>
    <s v="CANALES DE DISTRIBUCION"/>
    <s v="NC GASTO NO DEDUCIBLES"/>
    <s v="TRANSACCIONES DEL DIA 01/28/2019SPYRAL - GESTION ADMINISTRATIVA"/>
    <n v="131.35"/>
    <n v="0"/>
    <s v="NEGOCIOS"/>
    <x v="4"/>
  </r>
  <r>
    <n v="91"/>
    <d v="2019-02-05T00:00:00"/>
    <x v="8"/>
    <x v="8"/>
    <x v="1"/>
    <s v="CANALES DE DISTRIBUCION"/>
    <s v="NC GASTO NO DEDUCIBLES"/>
    <s v="TRANSACCIONES DEL DIA 02/05/2019SPYRAL - GESTION ADMINISTRATIVA"/>
    <n v="29.96"/>
    <n v="0"/>
    <s v="NEGOCIOS"/>
    <x v="4"/>
  </r>
  <r>
    <n v="91"/>
    <d v="2019-02-22T00:00:00"/>
    <x v="8"/>
    <x v="8"/>
    <x v="1"/>
    <s v="CANALES DE DISTRIBUCION"/>
    <s v="NC GASTO NO DEDUCIBLES"/>
    <s v="TRANSACCIONES DEL DIA 02/22/2019SPYRAL - GESTION ADMINISTRATIVA"/>
    <n v="56.75"/>
    <n v="0"/>
    <s v="NEGOCIOS"/>
    <x v="4"/>
  </r>
  <r>
    <n v="91"/>
    <d v="2019-02-26T00:00:00"/>
    <x v="8"/>
    <x v="8"/>
    <x v="1"/>
    <s v="CANALES DE DISTRIBUCION"/>
    <s v="NC GASTO NO DEDUCIBLES"/>
    <s v="TRANSACCIONES DEL DIA 02/26/2019SPYRAL - GESTION ADMINISTRATIVA"/>
    <n v="26.25"/>
    <n v="0"/>
    <s v="NEGOCIOS"/>
    <x v="4"/>
  </r>
  <r>
    <n v="91"/>
    <d v="2019-03-14T00:00:00"/>
    <x v="9"/>
    <x v="9"/>
    <x v="1"/>
    <s v="CANALES DE DISTRIBUCION"/>
    <s v="GASTOS NO DEDUCIBLES"/>
    <s v="TRANSACCIONES DEL DIA 03/14/2019SPYRAL - GESTION ADMINISTRATIVA"/>
    <n v="3.35"/>
    <n v="0"/>
    <s v="NEGOCIOS"/>
    <x v="4"/>
  </r>
  <r>
    <n v="91"/>
    <d v="2019-03-26T00:00:00"/>
    <x v="9"/>
    <x v="9"/>
    <x v="1"/>
    <s v="CANALES DE DISTRIBUCION"/>
    <s v="NC GASTO NO DEDUCIBLES"/>
    <s v="TRANSACCIONES DEL DIA 03/26/2019SPYRAL - GESTION ADMINISTRATIVA"/>
    <n v="23.26"/>
    <n v="0"/>
    <s v="NEGOCIOS"/>
    <x v="4"/>
  </r>
  <r>
    <n v="91"/>
    <d v="2019-03-27T00:00:00"/>
    <x v="9"/>
    <x v="9"/>
    <x v="1"/>
    <s v="CANALES DE DISTRIBUCION"/>
    <s v="NC GASTO NO DEDUCIBLES"/>
    <s v="TRANSACCIONES DEL DIA 03/27/2019SPYRAL - GESTION ADMINISTRATIVA"/>
    <n v="18"/>
    <n v="0"/>
    <s v="NEGOCIOS"/>
    <x v="4"/>
  </r>
  <r>
    <n v="91"/>
    <d v="2019-04-01T00:00:00"/>
    <x v="10"/>
    <x v="10"/>
    <x v="1"/>
    <s v="CANALES DE DISTRIBUCION"/>
    <s v="GASTOS NO DEDUCIBLES"/>
    <s v="TRANSACCIONES DEL DIA 04/01/2019SPYRAL - GESTION ADMINISTRATIVA"/>
    <n v="27"/>
    <n v="0"/>
    <s v="NEGOCIOS"/>
    <x v="4"/>
  </r>
  <r>
    <n v="91"/>
    <d v="2019-04-11T00:00:00"/>
    <x v="10"/>
    <x v="10"/>
    <x v="1"/>
    <s v="CANALES DE DISTRIBUCION"/>
    <s v="NC GASTO NO DEDUCIBLES"/>
    <s v="TRANSACCIONES DEL DIA 04/11/2019SPYRAL - GESTION ADMINISTRATIVA"/>
    <n v="18"/>
    <n v="0"/>
    <s v="NEGOCIOS"/>
    <x v="4"/>
  </r>
  <r>
    <n v="91"/>
    <d v="2019-04-23T00:00:00"/>
    <x v="10"/>
    <x v="10"/>
    <x v="1"/>
    <s v="CANALES DE DISTRIBUCION"/>
    <s v="NC GASTO NO DEDUCIBLES"/>
    <s v="TRANSACCIONES DEL DIA 04/23/2019SPYRAL - GESTION ADMINISTRATIVA"/>
    <n v="23.19"/>
    <n v="0"/>
    <s v="NEGOCIOS"/>
    <x v="4"/>
  </r>
  <r>
    <n v="91"/>
    <d v="2019-04-23T00:00:00"/>
    <x v="10"/>
    <x v="10"/>
    <x v="1"/>
    <s v="CANALES DE DISTRIBUCION"/>
    <s v="GASTOS NO DEDUCIBLES"/>
    <s v="TRANSACCIONES DEL DIA 04/23/2019SPYRAL - GESTION ADMINISTRATIVA"/>
    <n v="15.95"/>
    <n v="0"/>
    <s v="NEGOCIOS"/>
    <x v="4"/>
  </r>
  <r>
    <n v="91"/>
    <d v="2019-05-15T00:00:00"/>
    <x v="11"/>
    <x v="11"/>
    <x v="1"/>
    <s v="CANALES DE DISTRIBUCION"/>
    <s v="NC GASTO NO DEDUCIBLES"/>
    <s v="TRANSACCIONES DEL DIA 05/15/2019SPYRAL - GESTION ADMINISTRATIVA"/>
    <n v="22.86"/>
    <n v="0"/>
    <s v="NEGOCIOS"/>
    <x v="4"/>
  </r>
  <r>
    <n v="91"/>
    <d v="2019-05-18T00:00:00"/>
    <x v="11"/>
    <x v="11"/>
    <x v="1"/>
    <s v="CANALES DE DISTRIBUCION"/>
    <s v="GASTOS NO DEDUCIBLES"/>
    <s v="TRANSACCIONES DEL DIA 05/18/2019SPYRAL - GESTION ADMINISTRATIVA"/>
    <n v="65.75"/>
    <n v="0"/>
    <s v="NEGOCIOS"/>
    <x v="4"/>
  </r>
  <r>
    <n v="91"/>
    <d v="2019-05-21T00:00:00"/>
    <x v="11"/>
    <x v="11"/>
    <x v="1"/>
    <s v="CANALES DE DISTRIBUCION"/>
    <s v="NC GASTO NO DEDUCIBLES"/>
    <s v="TRANSACCIONES DEL DIA 05/21/2019SPYRAL - GESTION ADMINISTRATIVA"/>
    <n v="32.1"/>
    <n v="0"/>
    <s v="NEGOCIOS"/>
    <x v="4"/>
  </r>
  <r>
    <n v="91"/>
    <d v="2019-05-21T00:00:00"/>
    <x v="11"/>
    <x v="11"/>
    <x v="1"/>
    <s v="CANALES DE DISTRIBUCION"/>
    <s v="GASTOS NO DEDUCIBLES"/>
    <s v="TRANSACCIONES DEL DIA 05/21/2019SPYRAL - GESTION ADMINISTRATIVA"/>
    <n v="32.68"/>
    <n v="0"/>
    <s v="NEGOCIOS"/>
    <x v="4"/>
  </r>
  <r>
    <n v="91"/>
    <d v="2019-06-03T00:00:00"/>
    <x v="2"/>
    <x v="2"/>
    <x v="1"/>
    <s v="CANALES DE DISTRIBUCION"/>
    <s v="NC GASTO NO DEDUCIBLES"/>
    <s v="TRANSACCIONES DEL DIA 06/03/2019SPYRAL - GESTION ADMINISTRATIVA"/>
    <n v="18"/>
    <n v="0"/>
    <s v="NEGOCIOS"/>
    <x v="4"/>
  </r>
  <r>
    <n v="91"/>
    <d v="2019-06-12T00:00:00"/>
    <x v="2"/>
    <x v="2"/>
    <x v="1"/>
    <s v="CANALES DE DISTRIBUCION"/>
    <s v="GASTOS NO DEDUCIBLES"/>
    <s v="TRANSACCIONES DEL DIA 06/12/2019SPYRAL - GESTION ADMINISTRATIVA"/>
    <n v="39"/>
    <n v="0"/>
    <s v="NEGOCIOS"/>
    <x v="4"/>
  </r>
  <r>
    <n v="91"/>
    <d v="2019-07-05T00:00:00"/>
    <x v="6"/>
    <x v="6"/>
    <x v="1"/>
    <s v="CANALES DE DISTRIBUCION"/>
    <s v="NC GASTO NO DEDUCIBLES"/>
    <s v="TRANSACCIONES DEL DIA 07/05/2019SPYRAL - GESTION ADMINISTRATIVA"/>
    <n v="11.26"/>
    <n v="0"/>
    <s v="NEGOCIOS"/>
    <x v="4"/>
  </r>
  <r>
    <n v="91"/>
    <d v="2019-07-09T00:00:00"/>
    <x v="6"/>
    <x v="6"/>
    <x v="1"/>
    <s v="CANALES DE DISTRIBUCION"/>
    <s v="GASTOS NO DEDUCIBLES"/>
    <s v="TRANSACCIONES DEL DIA 07/09/2019SPYRAL - GESTION ADMINISTRATIVA"/>
    <n v="29.95"/>
    <n v="0"/>
    <s v="NEGOCIOS"/>
    <x v="4"/>
  </r>
  <r>
    <n v="91"/>
    <d v="2019-07-26T00:00:00"/>
    <x v="6"/>
    <x v="6"/>
    <x v="1"/>
    <s v="CANALES DE DISTRIBUCION"/>
    <s v="NC GASTO NO DEDUCIBLES"/>
    <s v="TRANSACCIONES DEL DIA 07/26/2019SPYRAL - GESTION ADMINISTRATIVA"/>
    <n v="91.5"/>
    <n v="0"/>
    <s v="NEGOCIOS"/>
    <x v="4"/>
  </r>
  <r>
    <n v="91"/>
    <d v="2019-07-26T00:00:00"/>
    <x v="6"/>
    <x v="6"/>
    <x v="1"/>
    <s v="CANALES DE DISTRIBUCION"/>
    <s v="GASTOS NO DEDUCIBLES"/>
    <s v="TRANSACCIONES DEL DIA 07/26/2019SPYRAL - GESTION ADMINISTRATIVA"/>
    <n v="27"/>
    <n v="0"/>
    <s v="NEGOCIOS"/>
    <x v="4"/>
  </r>
  <r>
    <n v="91"/>
    <d v="2019-02-16T00:00:00"/>
    <x v="8"/>
    <x v="8"/>
    <x v="1"/>
    <s v="PERSONALES"/>
    <s v="GASTOS NO DEDUCIBLES"/>
    <s v="TRANSACCIONES DEL DIA 02/16/2019SPYRAL - GESTION ADMINISTRATIVA"/>
    <n v="1000"/>
    <n v="0"/>
    <s v="NEGOCIOS"/>
    <x v="4"/>
  </r>
  <r>
    <n v="91"/>
    <d v="2019-03-14T00:00:00"/>
    <x v="9"/>
    <x v="9"/>
    <x v="1"/>
    <s v="PERSONALES"/>
    <s v="NC GASTO NO DEDUCIBLES"/>
    <s v="TRANSACCIONES DEL DIA 03/14/2019SPYRAL - GESTION ADMINISTRATIVA"/>
    <n v="1000"/>
    <n v="0"/>
    <s v="NEGOCIOS"/>
    <x v="4"/>
  </r>
  <r>
    <n v="91"/>
    <d v="2019-06-04T00:00:00"/>
    <x v="2"/>
    <x v="2"/>
    <x v="1"/>
    <s v="PERSONALES"/>
    <s v="GASTOS NO DEDUCIBLES"/>
    <s v="TRANSACCIONES DEL DIA 06/04/2019SPYRAL - GESTION ADMINISTRATIVA"/>
    <n v="5100"/>
    <n v="0"/>
    <s v="NEGOCIOS"/>
    <x v="4"/>
  </r>
  <r>
    <n v="91"/>
    <d v="2019-06-28T00:00:00"/>
    <x v="2"/>
    <x v="2"/>
    <x v="1"/>
    <s v="PERSONALES"/>
    <s v="NC GASTO NO DEDUCIBLES"/>
    <s v="TRANSACCIONES DEL DIA 06/28/2019SPYRAL - GESTION ADMINISTRATIVA"/>
    <n v="1000"/>
    <n v="0"/>
    <s v="NEGOCIOS"/>
    <x v="4"/>
  </r>
  <r>
    <n v="91"/>
    <d v="2019-07-05T00:00:00"/>
    <x v="6"/>
    <x v="6"/>
    <x v="1"/>
    <s v="PERSONALES"/>
    <s v="NC GASTO NO DEDUCIBLES"/>
    <s v="TRANSACCIONES DEL DIA 07/05/2019SPYRAL - GESTION ADMINISTRATIVA"/>
    <n v="0"/>
    <n v="2550"/>
    <s v="NEGOCIOS"/>
    <x v="4"/>
  </r>
  <r>
    <n v="91"/>
    <d v="2019-01-29T00:00:00"/>
    <x v="7"/>
    <x v="7"/>
    <x v="1"/>
    <s v="CENTRO DE TARJETAS"/>
    <s v="GASTOS NO DEDUCIBLES"/>
    <s v="TRANSACCIONES DEL DIA 01/29/2019SPYRAL - GESTION ADMINISTRATIVA"/>
    <n v="141.36000000000001"/>
    <n v="0"/>
    <s v="NEGOCIOS"/>
    <x v="4"/>
  </r>
  <r>
    <n v="91"/>
    <d v="2019-03-13T00:00:00"/>
    <x v="9"/>
    <x v="9"/>
    <x v="1"/>
    <s v="CENTRO DE TARJETAS"/>
    <s v="NC GASTO NO DEDUCIBLES"/>
    <s v="TRANSACCIONES DEL DIA 03/13/2019SPYRAL - GESTION ADMINISTRATIVA"/>
    <n v="34.22"/>
    <n v="0"/>
    <s v="NEGOCIOS"/>
    <x v="4"/>
  </r>
  <r>
    <n v="91"/>
    <d v="2019-04-01T00:00:00"/>
    <x v="10"/>
    <x v="10"/>
    <x v="1"/>
    <s v="CENTRO DE TARJETAS"/>
    <s v="GASTOS NO DEDUCIBLES"/>
    <s v="TRANSACCIONES DEL DIA 04/01/2019SPYRAL - GESTION ADMINISTRATIVA"/>
    <n v="282.70999999999998"/>
    <n v="0"/>
    <s v="NEGOCIOS"/>
    <x v="4"/>
  </r>
  <r>
    <n v="91"/>
    <d v="2019-04-03T00:00:00"/>
    <x v="10"/>
    <x v="10"/>
    <x v="1"/>
    <s v="CENTRO DE TARJETAS"/>
    <s v="GASTOS NO DEDUCIBLES"/>
    <s v="TRANSACCIONES DEL DIA 04/03/2019SPYRAL - GESTION ADMINISTRATIVA"/>
    <n v="2544.39"/>
    <n v="0"/>
    <s v="NEGOCIOS"/>
    <x v="4"/>
  </r>
  <r>
    <n v="91"/>
    <d v="2019-06-03T00:00:00"/>
    <x v="2"/>
    <x v="2"/>
    <x v="1"/>
    <s v="CENTRO DE TARJETAS"/>
    <s v="NC GASTO NO DEDUCIBLES"/>
    <s v="TRANSACCIONES DEL DIA 06/03/2019SPYRAL - GESTION ADMINISTRATIVA"/>
    <n v="29.86"/>
    <n v="0"/>
    <s v="NEGOCIOS"/>
    <x v="4"/>
  </r>
  <r>
    <n v="91"/>
    <d v="2019-06-03T00:00:00"/>
    <x v="2"/>
    <x v="2"/>
    <x v="1"/>
    <s v="CENTRO DE TARJETAS"/>
    <s v="GASTOS NO DEDUCIBLES"/>
    <s v="TRANSACCIONES DEL DIA 06/03/2019SPYRAL - GESTION ADMINISTRATIVA"/>
    <n v="983.06"/>
    <n v="0"/>
    <s v="NEGOCIOS"/>
    <x v="4"/>
  </r>
  <r>
    <n v="91"/>
    <d v="2019-06-04T00:00:00"/>
    <x v="2"/>
    <x v="2"/>
    <x v="1"/>
    <s v="CENTRO DE TARJETAS"/>
    <s v="GASTOS NO DEDUCIBLES"/>
    <s v="TRANSACCIONES DEL DIA 06/04/2019SPYRAL - GESTION ADMINISTRATIVA"/>
    <n v="462.62"/>
    <n v="0"/>
    <s v="NEGOCIOS"/>
    <x v="4"/>
  </r>
  <r>
    <n v="91"/>
    <d v="2019-06-15T00:00:00"/>
    <x v="2"/>
    <x v="2"/>
    <x v="1"/>
    <s v="CENTRO DE TARJETAS"/>
    <s v="GASTOS NO DEDUCIBLES"/>
    <s v="TRANSACCIONES DEL DIA 06/15/2019SPYRAL - GESTION ADMINISTRATIVA"/>
    <n v="19.38"/>
    <n v="0"/>
    <s v="NEGOCIOS"/>
    <x v="4"/>
  </r>
  <r>
    <n v="91"/>
    <d v="2019-06-19T00:00:00"/>
    <x v="2"/>
    <x v="2"/>
    <x v="1"/>
    <s v="CENTRO DE TARJETAS"/>
    <s v="GASTOS NO DEDUCIBLES"/>
    <s v="TRANSACCIONES DEL DIA 06/19/2019SPYRAL - GESTION ADMINISTRATIVA"/>
    <n v="505.25"/>
    <n v="0"/>
    <s v="NEGOCIOS"/>
    <x v="4"/>
  </r>
  <r>
    <n v="91"/>
    <d v="2019-06-25T00:00:00"/>
    <x v="2"/>
    <x v="2"/>
    <x v="1"/>
    <s v="CENTRO DE TARJETAS"/>
    <s v="GASTOS NO DEDUCIBLES"/>
    <s v="TRANSACCIONES DEL DIA 06/25/2019SPYRAL - GESTION ADMINISTRATIVA"/>
    <n v="1379.52"/>
    <n v="0"/>
    <s v="NEGOCIOS"/>
    <x v="4"/>
  </r>
  <r>
    <n v="91"/>
    <d v="2019-07-03T00:00:00"/>
    <x v="6"/>
    <x v="6"/>
    <x v="1"/>
    <s v="CENTRO DE TARJETAS"/>
    <s v="NC GASTO NO DEDUCIBLES"/>
    <s v="TRANSACCIONES DEL DIA 07/03/2019SPYRAL - GESTION ADMINISTRATIVA"/>
    <n v="249.75"/>
    <n v="0"/>
    <s v="NEGOCIOS"/>
    <x v="4"/>
  </r>
  <r>
    <n v="91"/>
    <d v="2019-07-03T00:00:00"/>
    <x v="6"/>
    <x v="6"/>
    <x v="1"/>
    <s v="CENTRO DE TARJETAS"/>
    <s v="GASTOS NO DEDUCIBLES"/>
    <s v="TRANSACCIONES DEL DIA 07/03/2019SPYRAL - GESTION ADMINISTRATIVA"/>
    <n v="571.85"/>
    <n v="0"/>
    <s v="NEGOCIOS"/>
    <x v="4"/>
  </r>
  <r>
    <n v="91"/>
    <d v="2019-07-05T00:00:00"/>
    <x v="6"/>
    <x v="6"/>
    <x v="1"/>
    <s v="OPERACIONES DE CENTRO DE TARJETAS"/>
    <s v="NC GASTO NO DEDUCIBLES"/>
    <s v="TRANSACCIONES DEL DIA 07/05/2019SPYRAL - GESTION ADMINISTRATIVA"/>
    <n v="2550"/>
    <n v="0"/>
    <s v="NEGOCIOS"/>
    <x v="4"/>
  </r>
  <r>
    <n v="91"/>
    <d v="2019-07-16T00:00:00"/>
    <x v="6"/>
    <x v="6"/>
    <x v="1"/>
    <s v="OPERACIONES DE CENTRO DE TARJETAS"/>
    <s v="GASTOS NO DEDUCIBLES"/>
    <s v="TRANSACCIONES DEL DIA 07/16/2019SPYRAL - GESTION ADMINISTRATIVA"/>
    <n v="1000"/>
    <n v="0"/>
    <s v="NEGOCIOS"/>
    <x v="4"/>
  </r>
  <r>
    <n v="91"/>
    <d v="2019-05-22T00:00:00"/>
    <x v="11"/>
    <x v="11"/>
    <x v="1"/>
    <s v="EMISOR DE TARJETAS"/>
    <s v="GASTOS NO DEDUCIBLES"/>
    <s v="TRANSACCIONES DEL DIA 05/22/2019SPYRAL - GESTION ADMINISTRATIVA"/>
    <n v="600"/>
    <n v="0"/>
    <s v="NEGOCIOS"/>
    <x v="4"/>
  </r>
  <r>
    <n v="91"/>
    <d v="2019-04-17T00:00:00"/>
    <x v="10"/>
    <x v="10"/>
    <x v="1"/>
    <s v="CANALES ALTERNOS"/>
    <s v="GASTOS NO DEDUCIBLES"/>
    <s v="TRANSACCIONES DEL DIA 04/17/2019SPYRAL - GESTION ADMINISTRATIVA"/>
    <n v="2550"/>
    <n v="0"/>
    <s v="NEGOCIOS"/>
    <x v="4"/>
  </r>
  <r>
    <n v="91"/>
    <d v="2019-06-05T00:00:00"/>
    <x v="2"/>
    <x v="2"/>
    <x v="1"/>
    <s v="CANALES ALTERNOS"/>
    <s v="NC GASTO NO DEDUCIBLES"/>
    <s v="TRANSACCIONES DEL DIA 06/05/2019SPYRAL - GESTION ADMINISTRATIVA"/>
    <n v="0"/>
    <n v="2550"/>
    <s v="NEGOCIOS"/>
    <x v="4"/>
  </r>
  <r>
    <n v="91"/>
    <d v="2019-06-18T00:00:00"/>
    <x v="2"/>
    <x v="2"/>
    <x v="1"/>
    <s v="CANALES ALTERNOS"/>
    <s v="GASTOS NO DEDUCIBLES"/>
    <s v="TRANSACCIONES DEL DIA 06/18/2019SPYRAL - GESTION ADMINISTRATIVA"/>
    <n v="111.79"/>
    <n v="0"/>
    <s v="NEGOCIOS"/>
    <x v="4"/>
  </r>
  <r>
    <n v="91"/>
    <d v="2019-07-09T00:00:00"/>
    <x v="6"/>
    <x v="6"/>
    <x v="1"/>
    <s v="CANALES ALTERNOS"/>
    <s v="NC GASTO NO DEDUCIBLES"/>
    <s v="TRANSACCIONES DEL DIA 07/09/2019SPYRAL - GESTION ADMINISTRATIVA"/>
    <n v="119.9"/>
    <n v="0"/>
    <s v="NEGOCIOS"/>
    <x v="4"/>
  </r>
  <r>
    <n v="91"/>
    <d v="2019-07-22T00:00:00"/>
    <x v="6"/>
    <x v="6"/>
    <x v="1"/>
    <s v="CANALES ALTERNOS"/>
    <s v="GASTOS NO DEDUCIBLES"/>
    <s v="TRANSACCIONES DEL DIA 07/22/2019SPYRAL - GESTION ADMINISTRATIVA"/>
    <n v="4047.41"/>
    <n v="0"/>
    <s v="NEGOCIOS"/>
    <x v="4"/>
  </r>
  <r>
    <n v="91"/>
    <d v="2019-07-29T00:00:00"/>
    <x v="6"/>
    <x v="6"/>
    <x v="1"/>
    <s v="CANALES ALTERNOS"/>
    <s v="GASTOS NO DEDUCIBLES"/>
    <s v="TRANSACCIONES DEL DIA 07/29/2019SPYRAL - GESTION ADMINISTRATIVA"/>
    <n v="990"/>
    <n v="0"/>
    <s v="NEGOCIOS"/>
    <x v="4"/>
  </r>
  <r>
    <n v="91"/>
    <d v="2019-07-30T00:00:00"/>
    <x v="6"/>
    <x v="6"/>
    <x v="1"/>
    <s v="CANALES ALTERNOS"/>
    <s v="GASTOS NO DEDUCIBLES"/>
    <s v="TRANSACCIONES DEL DIA 07/30/2019SPYRAL - GESTION ADMINISTRATIVA"/>
    <n v="990"/>
    <n v="0"/>
    <s v="NEGOCIOS"/>
    <x v="4"/>
  </r>
  <r>
    <n v="91"/>
    <d v="2019-07-30T00:00:00"/>
    <x v="6"/>
    <x v="6"/>
    <x v="1"/>
    <s v="CANALES ALTERNOS"/>
    <s v="NC GASTO NO DEDUCIBLES"/>
    <s v="TRANSACCIONES DEL DIA 07/30/2019SPYRAL - GESTION ADMINISTRATIVA"/>
    <n v="0"/>
    <n v="990"/>
    <s v="NEGOCIOS"/>
    <x v="4"/>
  </r>
  <r>
    <n v="91"/>
    <d v="2019-02-09T00:00:00"/>
    <x v="8"/>
    <x v="8"/>
    <x v="1"/>
    <s v="TELEMERCADEO"/>
    <s v="GASTOS NO DEDUCIBLES"/>
    <s v="TRANSACCIONES DEL DIA 02/09/2019SPYRAL - GESTION ADMINISTRATIVA"/>
    <n v="20.100000000000001"/>
    <n v="0"/>
    <s v="NEGOCIOS"/>
    <x v="4"/>
  </r>
  <r>
    <n v="91"/>
    <d v="2019-02-18T00:00:00"/>
    <x v="8"/>
    <x v="8"/>
    <x v="1"/>
    <s v="TELEMERCADEO"/>
    <s v="GASTOS NO DEDUCIBLES"/>
    <s v="TRANSACCIONES DEL DIA 02/18/2019SPYRAL - GESTION ADMINISTRATIVA"/>
    <n v="58.47"/>
    <n v="0"/>
    <s v="NEGOCIOS"/>
    <x v="4"/>
  </r>
  <r>
    <n v="91"/>
    <d v="2019-03-06T00:00:00"/>
    <x v="9"/>
    <x v="9"/>
    <x v="1"/>
    <s v="TELEMERCADEO"/>
    <s v="GASTOS NO DEDUCIBLES"/>
    <s v="TRANSACCIONES DEL DIA 03/06/2019SPYRAL - GESTION ADMINISTRATIVA"/>
    <n v="19.559999999999999"/>
    <n v="0"/>
    <s v="NEGOCIOS"/>
    <x v="4"/>
  </r>
  <r>
    <n v="91"/>
    <d v="2019-03-14T00:00:00"/>
    <x v="9"/>
    <x v="9"/>
    <x v="1"/>
    <s v="TELEMERCADEO"/>
    <s v="GASTOS NO DEDUCIBLES"/>
    <s v="TRANSACCIONES DEL DIA 03/14/2019SPYRAL - GESTION ADMINISTRATIVA"/>
    <n v="69.45"/>
    <n v="0"/>
    <s v="NEGOCIOS"/>
    <x v="4"/>
  </r>
  <r>
    <n v="91"/>
    <d v="2019-04-05T00:00:00"/>
    <x v="10"/>
    <x v="10"/>
    <x v="1"/>
    <s v="TELEMERCADEO"/>
    <s v="NC GASTO NO DEDUCIBLES"/>
    <s v="TRANSACCIONES DEL DIA 04/05/2019SPYRAL - GESTION ADMINISTRATIVA"/>
    <n v="185.06"/>
    <n v="0"/>
    <s v="NEGOCIOS"/>
    <x v="4"/>
  </r>
  <r>
    <n v="91"/>
    <d v="2019-04-10T00:00:00"/>
    <x v="10"/>
    <x v="10"/>
    <x v="1"/>
    <s v="TELEMERCADEO"/>
    <s v="GASTOS NO DEDUCIBLES"/>
    <s v="TRANSACCIONES DEL DIA 04/10/2019SPYRAL - GESTION ADMINISTRATIVA"/>
    <n v="68.41"/>
    <n v="0"/>
    <s v="NEGOCIOS"/>
    <x v="4"/>
  </r>
  <r>
    <n v="91"/>
    <d v="2019-04-15T00:00:00"/>
    <x v="10"/>
    <x v="10"/>
    <x v="1"/>
    <s v="TELEMERCADEO"/>
    <s v="GASTOS NO DEDUCIBLES"/>
    <s v="TRANSACCIONES DEL DIA 04/15/2019SPYRAL - GESTION ADMINISTRATIVA"/>
    <n v="20.25"/>
    <n v="0"/>
    <s v="NEGOCIOS"/>
    <x v="4"/>
  </r>
  <r>
    <n v="91"/>
    <d v="2019-04-30T00:00:00"/>
    <x v="10"/>
    <x v="10"/>
    <x v="1"/>
    <s v="TELEMERCADEO"/>
    <s v="NC GASTO NO DEDUCIBLES"/>
    <s v="TRANSACCIONES DEL DIA 04/30/2019SPYRAL - GESTION ADMINISTRATIVA"/>
    <n v="764.79"/>
    <n v="0"/>
    <s v="NEGOCIOS"/>
    <x v="4"/>
  </r>
  <r>
    <n v="91"/>
    <d v="2019-05-10T00:00:00"/>
    <x v="11"/>
    <x v="11"/>
    <x v="1"/>
    <s v="TELEMERCADEO"/>
    <s v="NC GASTO NO DEDUCIBLES"/>
    <s v="TRANSACCIONES DEL DIA 05/10/2019SPYRAL - GESTION ADMINISTRATIVA"/>
    <n v="5.08"/>
    <n v="0"/>
    <s v="NEGOCIOS"/>
    <x v="4"/>
  </r>
  <r>
    <n v="91"/>
    <d v="2019-06-03T00:00:00"/>
    <x v="2"/>
    <x v="2"/>
    <x v="1"/>
    <s v="TELEMERCADEO"/>
    <s v="NC GASTO NO DEDUCIBLES"/>
    <s v="TRANSACCIONES DEL DIA 06/03/2019SPYRAL - GESTION ADMINISTRATIVA"/>
    <n v="59.68"/>
    <n v="0"/>
    <s v="NEGOCIOS"/>
    <x v="4"/>
  </r>
  <r>
    <n v="91"/>
    <d v="2019-06-12T00:00:00"/>
    <x v="2"/>
    <x v="2"/>
    <x v="1"/>
    <s v="TELEMERCADEO"/>
    <s v="GASTOS NO DEDUCIBLES"/>
    <s v="TRANSACCIONES DEL DIA 06/12/2019SPYRAL - GESTION ADMINISTRATIVA"/>
    <n v="25.95"/>
    <n v="0"/>
    <s v="NEGOCIOS"/>
    <x v="4"/>
  </r>
  <r>
    <n v="91"/>
    <d v="2019-06-18T00:00:00"/>
    <x v="2"/>
    <x v="2"/>
    <x v="1"/>
    <s v="TELEMERCADEO"/>
    <s v="GASTOS NO DEDUCIBLES"/>
    <s v="TRANSACCIONES DEL DIA 06/18/2019SPYRAL - GESTION ADMINISTRATIVA"/>
    <n v="37.68"/>
    <n v="0"/>
    <s v="NEGOCIOS"/>
    <x v="4"/>
  </r>
  <r>
    <n v="91"/>
    <d v="2019-06-22T00:00:00"/>
    <x v="2"/>
    <x v="2"/>
    <x v="1"/>
    <s v="TELEMERCADEO"/>
    <s v="GASTOS NO DEDUCIBLES"/>
    <s v="TRANSACCIONES DEL DIA 06/22/2019SPYRAL - GESTION ADMINISTRATIVA"/>
    <n v="26.75"/>
    <n v="0"/>
    <s v="NEGOCIOS"/>
    <x v="4"/>
  </r>
  <r>
    <n v="91"/>
    <d v="2019-06-25T00:00:00"/>
    <x v="2"/>
    <x v="2"/>
    <x v="1"/>
    <s v="TELEMERCADEO"/>
    <s v="NC GASTO NO DEDUCIBLES"/>
    <s v="TRANSACCIONES DEL DIA 06/25/2019SPYRAL - GESTION ADMINISTRATIVA"/>
    <n v="129.75"/>
    <n v="0"/>
    <s v="NEGOCIOS"/>
    <x v="4"/>
  </r>
  <r>
    <n v="91"/>
    <d v="2019-07-03T00:00:00"/>
    <x v="6"/>
    <x v="6"/>
    <x v="1"/>
    <s v="TELEMERCADEO"/>
    <s v="NC GASTO NO DEDUCIBLES"/>
    <s v="TRANSACCIONES DEL DIA 07/03/2019SPYRAL - GESTION ADMINISTRATIVA"/>
    <n v="195.78"/>
    <n v="0"/>
    <s v="NEGOCIOS"/>
    <x v="4"/>
  </r>
  <r>
    <n v="91"/>
    <d v="2019-07-04T00:00:00"/>
    <x v="6"/>
    <x v="6"/>
    <x v="1"/>
    <s v="TELEMERCADEO"/>
    <s v="GASTOS NO DEDUCIBLES"/>
    <s v="TRANSACCIONES DEL DIA 07/04/2019SPYRAL - GESTION ADMINISTRATIVA"/>
    <n v="63.2"/>
    <n v="0"/>
    <s v="NEGOCIOS"/>
    <x v="4"/>
  </r>
  <r>
    <n v="91"/>
    <d v="2019-01-08T00:00:00"/>
    <x v="7"/>
    <x v="7"/>
    <x v="1"/>
    <s v="ATM"/>
    <s v="GASTOS NO DEDUCIBLES"/>
    <s v="TRANSACCIONES DEL DIA 01/08/2019SPYRAL - GESTION ADMINISTRATIVA"/>
    <n v="25.95"/>
    <n v="0"/>
    <s v="NEGOCIOS"/>
    <x v="4"/>
  </r>
  <r>
    <n v="91"/>
    <d v="2019-01-30T00:00:00"/>
    <x v="7"/>
    <x v="7"/>
    <x v="1"/>
    <s v="ATM"/>
    <s v="GASTOS NO DEDUCIBLES"/>
    <s v="TRANSACCIONES DEL DIA 01/30/2019SPYRAL - GESTION ADMINISTRATIVA"/>
    <n v="25.95"/>
    <n v="0"/>
    <s v="NEGOCIOS"/>
    <x v="4"/>
  </r>
  <r>
    <n v="91"/>
    <d v="2019-03-28T00:00:00"/>
    <x v="9"/>
    <x v="9"/>
    <x v="1"/>
    <s v="ATM"/>
    <s v="GASTOS NO DEDUCIBLES"/>
    <s v="TRANSACCIONES DEL DIA 03/28/2019SPYRAL - GESTION ADMINISTRATIVA"/>
    <n v="96.45"/>
    <n v="0"/>
    <s v="NEGOCIOS"/>
    <x v="4"/>
  </r>
  <r>
    <n v="91"/>
    <d v="2019-04-06T00:00:00"/>
    <x v="10"/>
    <x v="10"/>
    <x v="1"/>
    <s v="ATM"/>
    <s v="GASTOS NO DEDUCIBLES"/>
    <s v="TRANSACCIONES DEL DIA 04/06/2019SPYRAL - GESTION ADMINISTRATIVA"/>
    <n v="136.80000000000001"/>
    <n v="0"/>
    <s v="NEGOCIOS"/>
    <x v="4"/>
  </r>
  <r>
    <n v="91"/>
    <d v="2019-04-09T00:00:00"/>
    <x v="10"/>
    <x v="10"/>
    <x v="1"/>
    <s v="ATM"/>
    <s v="GASTOS NO DEDUCIBLES"/>
    <s v="TRANSACCIONES DEL DIA 04/09/2019SPYRAL - GESTION ADMINISTRATIVA"/>
    <n v="106.93"/>
    <n v="0"/>
    <s v="NEGOCIOS"/>
    <x v="4"/>
  </r>
  <r>
    <n v="91"/>
    <d v="2019-04-24T00:00:00"/>
    <x v="10"/>
    <x v="10"/>
    <x v="1"/>
    <s v="ATM"/>
    <s v="GASTOS NO DEDUCIBLES"/>
    <s v="TRANSACCIONES DEL DIA 04/24/2019SPYRAL - GESTION ADMINISTRATIVA"/>
    <n v="91.91"/>
    <n v="0"/>
    <s v="NEGOCIOS"/>
    <x v="4"/>
  </r>
  <r>
    <n v="91"/>
    <d v="2019-05-04T00:00:00"/>
    <x v="11"/>
    <x v="11"/>
    <x v="1"/>
    <s v="ATM"/>
    <s v="GASTOS NO DEDUCIBLES"/>
    <s v="TRANSACCIONES DEL DIA 05/04/2019SPYRAL - GESTION ADMINISTRATIVA"/>
    <n v="25.95"/>
    <n v="0"/>
    <s v="NEGOCIOS"/>
    <x v="4"/>
  </r>
  <r>
    <n v="91"/>
    <d v="2019-05-22T00:00:00"/>
    <x v="11"/>
    <x v="11"/>
    <x v="1"/>
    <s v="ATM"/>
    <s v="GASTOS NO DEDUCIBLES"/>
    <s v="TRANSACCIONES DEL DIA 05/22/2019SPYRAL - GESTION ADMINISTRATIVA"/>
    <n v="33"/>
    <n v="0"/>
    <s v="NEGOCIOS"/>
    <x v="4"/>
  </r>
  <r>
    <n v="91"/>
    <d v="2019-07-25T00:00:00"/>
    <x v="6"/>
    <x v="6"/>
    <x v="1"/>
    <s v="ATM"/>
    <s v="GASTOS NO DEDUCIBLES"/>
    <s v="TRANSACCIONES DEL DIA 07/25/2019SPYRAL - GESTION ADMINISTRATIVA"/>
    <n v="25.95"/>
    <n v="0"/>
    <s v="NEGOCIOS"/>
    <x v="4"/>
  </r>
  <r>
    <n v="91"/>
    <d v="2019-02-26T00:00:00"/>
    <x v="8"/>
    <x v="8"/>
    <x v="1"/>
    <s v="ATENCION A CLIENTES"/>
    <s v="GASTOS NO DEDUCIBLES"/>
    <s v="TRANSACCIONES DEL DIA 02/26/2019SPYRAL - GESTION ADMINISTRATIVA"/>
    <n v="28"/>
    <n v="0"/>
    <s v="NEGOCIOS"/>
    <x v="4"/>
  </r>
  <r>
    <n v="91"/>
    <d v="2019-03-12T00:00:00"/>
    <x v="9"/>
    <x v="9"/>
    <x v="1"/>
    <s v="ATENCION A CLIENTES"/>
    <s v="GASTOS NO DEDUCIBLES"/>
    <s v="TRANSACCIONES DEL DIA 03/12/2019SPYRAL - GESTION ADMINISTRATIVA"/>
    <n v="41.97"/>
    <n v="0"/>
    <s v="NEGOCIOS"/>
    <x v="4"/>
  </r>
  <r>
    <n v="91"/>
    <d v="2019-03-27T00:00:00"/>
    <x v="9"/>
    <x v="9"/>
    <x v="1"/>
    <s v="ATENCION A CLIENTES"/>
    <s v="GASTOS NO DEDUCIBLES"/>
    <s v="TRANSACCIONES DEL DIA 03/27/2019SPYRAL - GESTION ADMINISTRATIVA"/>
    <n v="126.3"/>
    <n v="0"/>
    <s v="NEGOCIOS"/>
    <x v="4"/>
  </r>
  <r>
    <n v="91"/>
    <d v="2019-03-28T00:00:00"/>
    <x v="9"/>
    <x v="9"/>
    <x v="1"/>
    <s v="ATENCION A CLIENTES"/>
    <s v="GASTOS NO DEDUCIBLES"/>
    <s v="TRANSACCIONES DEL DIA 03/28/2019SPYRAL - GESTION ADMINISTRATIVA"/>
    <n v="28.75"/>
    <n v="0"/>
    <s v="NEGOCIOS"/>
    <x v="4"/>
  </r>
  <r>
    <n v="91"/>
    <d v="2019-04-01T00:00:00"/>
    <x v="10"/>
    <x v="10"/>
    <x v="1"/>
    <s v="ATENCION A CLIENTES"/>
    <s v="GASTOS NO DEDUCIBLES"/>
    <s v="TRANSACCIONES DEL DIA 04/01/2019SPYRAL - GESTION ADMINISTRATIVA"/>
    <n v="57.94"/>
    <n v="0"/>
    <s v="NEGOCIOS"/>
    <x v="4"/>
  </r>
  <r>
    <n v="91"/>
    <d v="2019-04-06T00:00:00"/>
    <x v="10"/>
    <x v="10"/>
    <x v="1"/>
    <s v="ATENCION A CLIENTES"/>
    <s v="GASTOS NO DEDUCIBLES"/>
    <s v="TRANSACCIONES DEL DIA 04/06/2019SPYRAL - GESTION ADMINISTRATIVA"/>
    <n v="41.95"/>
    <n v="0"/>
    <s v="NEGOCIOS"/>
    <x v="4"/>
  </r>
  <r>
    <n v="91"/>
    <d v="2019-04-11T00:00:00"/>
    <x v="10"/>
    <x v="10"/>
    <x v="1"/>
    <s v="ATENCION A CLIENTES"/>
    <s v="NC GASTO NO DEDUCIBLES"/>
    <s v="TRANSACCIONES DEL DIA 04/11/2019SPYRAL - GESTION ADMINISTRATIVA"/>
    <n v="400.7"/>
    <n v="0"/>
    <s v="NEGOCIOS"/>
    <x v="4"/>
  </r>
  <r>
    <n v="91"/>
    <d v="2019-04-22T00:00:00"/>
    <x v="10"/>
    <x v="10"/>
    <x v="1"/>
    <s v="ATENCION A CLIENTES"/>
    <s v="GASTOS NO DEDUCIBLES"/>
    <s v="TRANSACCIONES DEL DIA 04/22/2019SPYRAL - GESTION ADMINISTRATIVA"/>
    <n v="40.74"/>
    <n v="0"/>
    <s v="NEGOCIOS"/>
    <x v="4"/>
  </r>
  <r>
    <n v="91"/>
    <d v="2019-05-02T00:00:00"/>
    <x v="11"/>
    <x v="11"/>
    <x v="1"/>
    <s v="ATENCION A CLIENTES"/>
    <s v="GASTOS NO DEDUCIBLES"/>
    <s v="TRANSACCIONES DEL DIA 05/02/2019SPYRAL - GESTION ADMINISTRATIVA"/>
    <n v="46.13"/>
    <n v="0"/>
    <s v="NEGOCIOS"/>
    <x v="4"/>
  </r>
  <r>
    <n v="91"/>
    <d v="2019-06-06T00:00:00"/>
    <x v="2"/>
    <x v="2"/>
    <x v="1"/>
    <s v="ATENCION A CLIENTES"/>
    <s v="GASTOS NO DEDUCIBLES"/>
    <s v="TRANSACCIONES DEL DIA 06/06/2019SPYRAL - GESTION ADMINISTRATIVA"/>
    <n v="181.06"/>
    <n v="0"/>
    <s v="NEGOCIOS"/>
    <x v="4"/>
  </r>
  <r>
    <n v="91"/>
    <d v="2019-06-25T00:00:00"/>
    <x v="2"/>
    <x v="2"/>
    <x v="1"/>
    <s v="ATENCION A CLIENTES"/>
    <s v="NC GASTO NO DEDUCIBLES"/>
    <s v="TRANSACCIONES DEL DIA 06/25/2019SPYRAL - GESTION ADMINISTRATIVA"/>
    <n v="44.94"/>
    <n v="0"/>
    <s v="NEGOCIOS"/>
    <x v="4"/>
  </r>
  <r>
    <n v="91"/>
    <d v="2019-06-27T00:00:00"/>
    <x v="2"/>
    <x v="2"/>
    <x v="1"/>
    <s v="ATENCION A CLIENTES"/>
    <s v="GASTOS NO DEDUCIBLES"/>
    <s v="TRANSACCIONES DEL DIA 06/27/2019SPYRAL - GESTION ADMINISTRATIVA"/>
    <n v="22.5"/>
    <n v="0"/>
    <s v="NEGOCIOS"/>
    <x v="4"/>
  </r>
  <r>
    <n v="91"/>
    <d v="2019-07-17T00:00:00"/>
    <x v="6"/>
    <x v="6"/>
    <x v="1"/>
    <s v="ATENCION A CLIENTES"/>
    <s v="GASTOS NO DEDUCIBLES"/>
    <s v="TRANSACCIONES DEL DIA 07/17/2019SPYRAL - GESTION ADMINISTRATIVA"/>
    <n v="71.94"/>
    <n v="0"/>
    <s v="NEGOCIOS"/>
    <x v="4"/>
  </r>
  <r>
    <n v="91"/>
    <d v="2019-07-26T00:00:00"/>
    <x v="6"/>
    <x v="6"/>
    <x v="1"/>
    <s v="ATENCION A CLIENTES"/>
    <s v="GASTOS NO DEDUCIBLES"/>
    <s v="TRANSACCIONES DEL DIA 07/26/2019SPYRAL - GESTION ADMINISTRATIVA"/>
    <n v="44.84"/>
    <n v="0"/>
    <s v="NEGOCIOS"/>
    <x v="4"/>
  </r>
  <r>
    <n v="91"/>
    <d v="2019-02-26T00:00:00"/>
    <x v="8"/>
    <x v="8"/>
    <x v="1"/>
    <s v="GESTION Y CONTROL CANALES ALTERNOS"/>
    <s v="NC GASTO NO DEDUCIBLES"/>
    <s v="TRANSACCIONES DEL DIA 02/26/2019SPYRAL - GESTION ADMINISTRATIVA"/>
    <n v="69.900000000000006"/>
    <n v="0"/>
    <s v="NEGOCIOS"/>
    <x v="4"/>
  </r>
  <r>
    <n v="91"/>
    <d v="2019-04-03T00:00:00"/>
    <x v="10"/>
    <x v="10"/>
    <x v="1"/>
    <s v="GESTION Y CONTROL CANALES ALTERNOS"/>
    <s v="NC GASTO NO DEDUCIBLES"/>
    <s v="TRANSACCIONES DEL DIA 04/03/2019SPYRAL - GESTION ADMINISTRATIVA"/>
    <n v="74.849999999999994"/>
    <n v="0"/>
    <s v="NEGOCIOS"/>
    <x v="4"/>
  </r>
  <r>
    <n v="91"/>
    <d v="2019-04-23T00:00:00"/>
    <x v="10"/>
    <x v="10"/>
    <x v="1"/>
    <s v="GESTION Y CONTROL CANALES ALTERNOS"/>
    <s v="NC GASTO NO DEDUCIBLES"/>
    <s v="TRANSACCIONES DEL DIA 04/23/2019SPYRAL - GESTION ADMINISTRATIVA"/>
    <n v="70.42"/>
    <n v="0"/>
    <s v="NEGOCIOS"/>
    <x v="4"/>
  </r>
  <r>
    <n v="91"/>
    <d v="2019-06-03T00:00:00"/>
    <x v="2"/>
    <x v="2"/>
    <x v="1"/>
    <s v="GESTION Y CONTROL CANALES ALTERNOS"/>
    <s v="NC GASTO NO DEDUCIBLES"/>
    <s v="TRANSACCIONES DEL DIA 06/03/2019SPYRAL - GESTION ADMINISTRATIVA"/>
    <n v="96.25"/>
    <n v="0"/>
    <s v="NEGOCIOS"/>
    <x v="4"/>
  </r>
  <r>
    <n v="91"/>
    <d v="2019-02-01T00:00:00"/>
    <x v="8"/>
    <x v="8"/>
    <x v="1"/>
    <s v="DESARROLLO DE PRODUCTOS"/>
    <s v="GASTOS NO DEDUCIBLES"/>
    <s v="TRANSACCIONES DEL DIA 02/01/2019SPYRAL - GESTION ADMINISTRATIVA"/>
    <n v="66.900000000000006"/>
    <n v="0"/>
    <s v="NEGOCIOS"/>
    <x v="4"/>
  </r>
  <r>
    <n v="91"/>
    <d v="2019-02-02T00:00:00"/>
    <x v="8"/>
    <x v="8"/>
    <x v="1"/>
    <s v="DESARROLLO DE PRODUCTOS"/>
    <s v="GASTOS NO DEDUCIBLES"/>
    <s v="TRANSACCIONES DEL DIA 02/02/2019SPYRAL - GESTION ADMINISTRATIVA"/>
    <n v="25"/>
    <n v="0"/>
    <s v="NEGOCIOS"/>
    <x v="4"/>
  </r>
  <r>
    <n v="91"/>
    <d v="2019-02-20T00:00:00"/>
    <x v="8"/>
    <x v="8"/>
    <x v="1"/>
    <s v="DESARROLLO DE PRODUCTOS"/>
    <s v="GASTOS NO DEDUCIBLES"/>
    <s v="TRANSACCIONES DEL DIA 02/20/2019SPYRAL - GESTION ADMINISTRATIVA"/>
    <n v="25"/>
    <n v="0"/>
    <s v="NEGOCIOS"/>
    <x v="4"/>
  </r>
  <r>
    <n v="91"/>
    <d v="2019-02-27T00:00:00"/>
    <x v="8"/>
    <x v="8"/>
    <x v="1"/>
    <s v="DESARROLLO DE PRODUCTOS"/>
    <s v="GASTOS NO DEDUCIBLES"/>
    <s v="TRANSACCIONES DEL DIA 02/27/2019SPYRAL - GESTION ADMINISTRATIVA"/>
    <n v="72"/>
    <n v="0"/>
    <s v="NEGOCIOS"/>
    <x v="4"/>
  </r>
  <r>
    <n v="91"/>
    <d v="2019-03-25T00:00:00"/>
    <x v="9"/>
    <x v="9"/>
    <x v="1"/>
    <s v="DESARROLLO DE PRODUCTOS"/>
    <s v="GASTOS NO DEDUCIBLES"/>
    <s v="TRANSACCIONES DEL DIA 03/25/2019SPYRAL - GESTION ADMINISTRATIVA"/>
    <n v="30.75"/>
    <n v="0"/>
    <s v="NEGOCIOS"/>
    <x v="4"/>
  </r>
  <r>
    <n v="91"/>
    <d v="2019-04-02T00:00:00"/>
    <x v="10"/>
    <x v="10"/>
    <x v="1"/>
    <s v="DESARROLLO DE PRODUCTOS"/>
    <s v="GASTOS NO DEDUCIBLES"/>
    <s v="TRANSACCIONES DEL DIA 04/02/2019SPYRAL - GESTION ADMINISTRATIVA"/>
    <n v="35"/>
    <n v="0"/>
    <s v="NEGOCIOS"/>
    <x v="4"/>
  </r>
  <r>
    <n v="91"/>
    <d v="2019-04-18T00:00:00"/>
    <x v="10"/>
    <x v="10"/>
    <x v="1"/>
    <s v="DESARROLLO DE PRODUCTOS"/>
    <s v="GASTOS NO DEDUCIBLES"/>
    <s v="TRANSACCIONES DEL DIA 04/18/2019SPYRAL - GESTION ADMINISTRATIVA"/>
    <n v="68"/>
    <n v="0"/>
    <s v="NEGOCIOS"/>
    <x v="4"/>
  </r>
  <r>
    <n v="91"/>
    <d v="2019-05-02T00:00:00"/>
    <x v="11"/>
    <x v="11"/>
    <x v="1"/>
    <s v="DESARROLLO DE PRODUCTOS"/>
    <s v="GASTOS NO DEDUCIBLES"/>
    <s v="TRANSACCIONES DEL DIA 05/02/2019SPYRAL - GESTION ADMINISTRATIVA"/>
    <n v="30"/>
    <n v="0"/>
    <s v="NEGOCIOS"/>
    <x v="4"/>
  </r>
  <r>
    <n v="91"/>
    <d v="2019-05-16T00:00:00"/>
    <x v="11"/>
    <x v="11"/>
    <x v="1"/>
    <s v="DESARROLLO DE PRODUCTOS"/>
    <s v="GASTOS NO DEDUCIBLES"/>
    <s v="TRANSACCIONES DEL DIA 05/16/2019SPYRAL - GESTION ADMINISTRATIVA"/>
    <n v="40"/>
    <n v="0"/>
    <s v="NEGOCIOS"/>
    <x v="4"/>
  </r>
  <r>
    <n v="91"/>
    <d v="2019-06-04T00:00:00"/>
    <x v="2"/>
    <x v="2"/>
    <x v="1"/>
    <s v="DESARROLLO DE PRODUCTOS"/>
    <s v="GASTOS NO DEDUCIBLES"/>
    <s v="TRANSACCIONES DEL DIA 06/04/2019SPYRAL - GESTION ADMINISTRATIVA"/>
    <n v="156.19999999999999"/>
    <n v="0"/>
    <s v="NEGOCIOS"/>
    <x v="4"/>
  </r>
  <r>
    <n v="91"/>
    <d v="2019-06-10T00:00:00"/>
    <x v="2"/>
    <x v="2"/>
    <x v="1"/>
    <s v="DESARROLLO DE PRODUCTOS"/>
    <s v="NC GASTO NO DEDUCIBLES"/>
    <s v="TRANSACCIONES DEL DIA 06/10/2019SPYRAL - GESTION ADMINISTRATIVA"/>
    <n v="40"/>
    <n v="0"/>
    <s v="NEGOCIOS"/>
    <x v="4"/>
  </r>
  <r>
    <n v="91"/>
    <d v="2019-06-12T00:00:00"/>
    <x v="2"/>
    <x v="2"/>
    <x v="1"/>
    <s v="DESARROLLO DE PRODUCTOS"/>
    <s v="GASTOS NO DEDUCIBLES"/>
    <s v="TRANSACCIONES DEL DIA 06/12/2019SPYRAL - GESTION ADMINISTRATIVA"/>
    <n v="101.25"/>
    <n v="0"/>
    <s v="NEGOCIOS"/>
    <x v="4"/>
  </r>
  <r>
    <n v="91"/>
    <d v="2019-06-20T00:00:00"/>
    <x v="2"/>
    <x v="2"/>
    <x v="1"/>
    <s v="DESARROLLO DE PRODUCTOS"/>
    <s v="GASTOS NO DEDUCIBLES"/>
    <s v="TRANSACCIONES DEL DIA 06/20/2019SPYRAL - GESTION ADMINISTRATIVA"/>
    <n v="28"/>
    <n v="0"/>
    <s v="NEGOCIOS"/>
    <x v="4"/>
  </r>
  <r>
    <n v="91"/>
    <d v="2019-07-03T00:00:00"/>
    <x v="6"/>
    <x v="6"/>
    <x v="1"/>
    <s v="DESARROLLO DE PRODUCTOS"/>
    <s v="GASTOS NO DEDUCIBLES"/>
    <s v="TRANSACCIONES DEL DIA 07/03/2019SPYRAL - GESTION ADMINISTRATIVA"/>
    <n v="35"/>
    <n v="0"/>
    <s v="NEGOCIOS"/>
    <x v="4"/>
  </r>
  <r>
    <n v="91"/>
    <d v="2019-07-18T00:00:00"/>
    <x v="6"/>
    <x v="6"/>
    <x v="1"/>
    <s v="DESARROLLO DE PRODUCTOS"/>
    <s v="GASTOS NO DEDUCIBLES"/>
    <s v="TRANSACCIONES DEL DIA 07/18/2019SPYRAL - GESTION ADMINISTRATIVA"/>
    <n v="70.900000000000006"/>
    <n v="0"/>
    <s v="NEGOCIOS"/>
    <x v="4"/>
  </r>
  <r>
    <n v="91"/>
    <d v="2019-07-19T00:00:00"/>
    <x v="6"/>
    <x v="6"/>
    <x v="1"/>
    <s v="DESARROLLO DE PRODUCTOS"/>
    <s v="GASTOS NO DEDUCIBLES"/>
    <s v="TRANSACCIONES DEL DIA 07/19/2019SPYRAL - GESTION ADMINISTRATIVA"/>
    <n v="63.46"/>
    <n v="0"/>
    <s v="NEGOCIOS"/>
    <x v="4"/>
  </r>
  <r>
    <n v="91"/>
    <d v="2019-04-03T00:00:00"/>
    <x v="10"/>
    <x v="10"/>
    <x v="1"/>
    <s v="VENTAS CONSUMO"/>
    <s v="NC GASTO NO DEDUCIBLES"/>
    <s v="TRANSACCIONES DEL DIA 04/03/2019SPYRAL - GESTION ADMINISTRATIVA"/>
    <n v="225.98"/>
    <n v="0"/>
    <s v="NEGOCIOS"/>
    <x v="4"/>
  </r>
  <r>
    <n v="91"/>
    <d v="2019-04-15T00:00:00"/>
    <x v="10"/>
    <x v="10"/>
    <x v="1"/>
    <s v="VENTAS CONSUMO"/>
    <s v="GASTOS NO DEDUCIBLES"/>
    <s v="TRANSACCIONES DEL DIA 04/15/2019SPYRAL - GESTION ADMINISTRATIVA"/>
    <n v="59.38"/>
    <n v="0"/>
    <s v="NEGOCIOS"/>
    <x v="4"/>
  </r>
  <r>
    <n v="91"/>
    <d v="2019-06-17T00:00:00"/>
    <x v="2"/>
    <x v="2"/>
    <x v="1"/>
    <s v="VENTAS CONSUMO"/>
    <s v="NC GASTO NO DEDUCIBLES"/>
    <s v="TRANSACCIONES DEL DIA 06/17/2019SPYRAL - GESTION ADMINISTRATIVA"/>
    <n v="157.21"/>
    <n v="0"/>
    <s v="NEGOCIOS"/>
    <x v="4"/>
  </r>
  <r>
    <n v="91"/>
    <d v="2019-07-05T00:00:00"/>
    <x v="6"/>
    <x v="6"/>
    <x v="1"/>
    <s v="VENTAS CONSUMO"/>
    <s v="NC GASTO NO DEDUCIBLES"/>
    <s v="TRANSACCIONES DEL DIA 07/05/2019SPYRAL - GESTION ADMINISTRATIVA"/>
    <n v="256.23"/>
    <n v="0"/>
    <s v="NEGOCIOS"/>
    <x v="4"/>
  </r>
  <r>
    <n v="91"/>
    <d v="2019-01-04T00:00:00"/>
    <x v="7"/>
    <x v="7"/>
    <x v="1"/>
    <s v="FUERZAS DE VENTAS PANAMA"/>
    <s v="GASTOS NO DEDUCIBLES"/>
    <s v="TRANSACCIONES DEL DIA 01/04/2019SPYRAL - GESTION ADMINISTRATIVA"/>
    <n v="8.8000000000000007"/>
    <n v="0"/>
    <s v="NEGOCIOS"/>
    <x v="4"/>
  </r>
  <r>
    <n v="91"/>
    <d v="2019-01-29T00:00:00"/>
    <x v="7"/>
    <x v="7"/>
    <x v="1"/>
    <s v="FUERZAS DE VENTAS PANAMA"/>
    <s v="NC GASTO NO DEDUCIBLES"/>
    <s v="TRANSACCIONES DEL DIA 01/29/2019SPYRAL - GESTION ADMINISTRATIVA"/>
    <n v="182.15"/>
    <n v="0"/>
    <s v="NEGOCIOS"/>
    <x v="4"/>
  </r>
  <r>
    <n v="91"/>
    <d v="2019-01-31T00:00:00"/>
    <x v="7"/>
    <x v="7"/>
    <x v="1"/>
    <s v="FUERZAS DE VENTAS PANAMA"/>
    <s v="GASTOS NO DEDUCIBLES"/>
    <s v="TRANSACCIONES DEL DIA 01/31/2019SPYRAL - GESTION ADMINISTRATIVA"/>
    <n v="47.99"/>
    <n v="0"/>
    <s v="NEGOCIOS"/>
    <x v="4"/>
  </r>
  <r>
    <n v="91"/>
    <d v="2019-02-01T00:00:00"/>
    <x v="8"/>
    <x v="8"/>
    <x v="1"/>
    <s v="FUERZAS DE VENTAS PANAMA"/>
    <s v="GASTOS NO DEDUCIBLES"/>
    <s v="TRANSACCIONES DEL DIA 02/01/2019SPYRAL - GESTION ADMINISTRATIVA"/>
    <n v="113.89"/>
    <n v="0"/>
    <s v="NEGOCIOS"/>
    <x v="4"/>
  </r>
  <r>
    <n v="91"/>
    <d v="2019-02-19T00:00:00"/>
    <x v="8"/>
    <x v="8"/>
    <x v="1"/>
    <s v="FUERZAS DE VENTAS PANAMA"/>
    <s v="NC GASTO NO DEDUCIBLES"/>
    <s v="TRANSACCIONES DEL DIA 02/19/2019SPYRAL - GESTION ADMINISTRATIVA"/>
    <n v="47.52"/>
    <n v="0"/>
    <s v="NEGOCIOS"/>
    <x v="4"/>
  </r>
  <r>
    <n v="91"/>
    <d v="2019-03-06T00:00:00"/>
    <x v="9"/>
    <x v="9"/>
    <x v="1"/>
    <s v="FUERZAS DE VENTAS PANAMA"/>
    <s v="GASTOS NO DEDUCIBLES"/>
    <s v="TRANSACCIONES DEL DIA 03/06/2019SPYRAL - GESTION ADMINISTRATIVA"/>
    <n v="88"/>
    <n v="0"/>
    <s v="NEGOCIOS"/>
    <x v="4"/>
  </r>
  <r>
    <n v="91"/>
    <d v="2019-03-09T00:00:00"/>
    <x v="9"/>
    <x v="9"/>
    <x v="1"/>
    <s v="FUERZAS DE VENTAS PANAMA"/>
    <s v="NC GASTO NO DEDUCIBLES"/>
    <s v="TRANSACCIONES DEL DIA 03/09/2019SPYRAL - GESTION ADMINISTRATIVA"/>
    <n v="167.84"/>
    <n v="0"/>
    <s v="NEGOCIOS"/>
    <x v="4"/>
  </r>
  <r>
    <n v="91"/>
    <d v="2019-03-12T00:00:00"/>
    <x v="9"/>
    <x v="9"/>
    <x v="1"/>
    <s v="FUERZAS DE VENTAS PANAMA"/>
    <s v="GASTOS NO DEDUCIBLES"/>
    <s v="TRANSACCIONES DEL DIA 03/12/2019SPYRAL - GESTION ADMINISTRATIVA"/>
    <n v="12.95"/>
    <n v="0"/>
    <s v="NEGOCIOS"/>
    <x v="4"/>
  </r>
  <r>
    <n v="91"/>
    <d v="2019-03-27T00:00:00"/>
    <x v="9"/>
    <x v="9"/>
    <x v="1"/>
    <s v="FUERZAS DE VENTAS PANAMA"/>
    <s v="NC GASTO NO DEDUCIBLES"/>
    <s v="TRANSACCIONES DEL DIA 03/27/2019SPYRAL - GESTION ADMINISTRATIVA"/>
    <n v="294.31"/>
    <n v="0"/>
    <s v="NEGOCIOS"/>
    <x v="4"/>
  </r>
  <r>
    <n v="91"/>
    <d v="2019-04-03T00:00:00"/>
    <x v="10"/>
    <x v="10"/>
    <x v="1"/>
    <s v="FUERZAS DE VENTAS PANAMA"/>
    <s v="NC GASTO NO DEDUCIBLES"/>
    <s v="TRANSACCIONES DEL DIA 04/03/2019SPYRAL - GESTION ADMINISTRATIVA"/>
    <n v="36.85"/>
    <n v="0"/>
    <s v="NEGOCIOS"/>
    <x v="4"/>
  </r>
  <r>
    <n v="91"/>
    <d v="2019-04-05T00:00:00"/>
    <x v="10"/>
    <x v="10"/>
    <x v="1"/>
    <s v="FUERZAS DE VENTAS PANAMA"/>
    <s v="GASTOS NO DEDUCIBLES"/>
    <s v="TRANSACCIONES DEL DIA 04/05/2019SPYRAL - GESTION ADMINISTRATIVA"/>
    <n v="112.92"/>
    <n v="0"/>
    <s v="NEGOCIOS"/>
    <x v="4"/>
  </r>
  <r>
    <n v="91"/>
    <d v="2019-05-10T00:00:00"/>
    <x v="11"/>
    <x v="11"/>
    <x v="1"/>
    <s v="FUERZAS DE VENTAS PANAMA"/>
    <s v="GASTOS NO DEDUCIBLES"/>
    <s v="TRANSACCIONES DEL DIA 05/10/2019SPYRAL - GESTION ADMINISTRATIVA"/>
    <n v="81.73"/>
    <n v="0"/>
    <s v="NEGOCIOS"/>
    <x v="4"/>
  </r>
  <r>
    <n v="91"/>
    <d v="2019-06-01T00:00:00"/>
    <x v="2"/>
    <x v="2"/>
    <x v="1"/>
    <s v="FUERZAS DE VENTAS PANAMA"/>
    <s v="GASTOS NO DEDUCIBLES"/>
    <s v="TRANSACCIONES DEL DIA 06/01/2019SPYRAL - GESTION ADMINISTRATIVA"/>
    <n v="19.95"/>
    <n v="0"/>
    <s v="NEGOCIOS"/>
    <x v="4"/>
  </r>
  <r>
    <n v="91"/>
    <d v="2019-06-03T00:00:00"/>
    <x v="2"/>
    <x v="2"/>
    <x v="1"/>
    <s v="FUERZAS DE VENTAS PANAMA"/>
    <s v="NC GASTO NO DEDUCIBLES"/>
    <s v="TRANSACCIONES DEL DIA 06/03/2019SPYRAL - GESTION ADMINISTRATIVA"/>
    <n v="183.19"/>
    <n v="0"/>
    <s v="NEGOCIOS"/>
    <x v="4"/>
  </r>
  <r>
    <n v="91"/>
    <d v="2019-07-03T00:00:00"/>
    <x v="6"/>
    <x v="6"/>
    <x v="1"/>
    <s v="FUERZAS DE VENTAS PANAMA"/>
    <s v="GASTOS NO DEDUCIBLES"/>
    <s v="TRANSACCIONES DEL DIA 07/03/2019SPYRAL - GESTION ADMINISTRATIVA"/>
    <n v="22.5"/>
    <n v="0"/>
    <s v="NEGOCIOS"/>
    <x v="4"/>
  </r>
  <r>
    <n v="91"/>
    <d v="2019-07-08T00:00:00"/>
    <x v="6"/>
    <x v="6"/>
    <x v="1"/>
    <s v="FUERZAS DE VENTAS PANAMA"/>
    <s v="NC GASTO NO DEDUCIBLES"/>
    <s v="TRANSACCIONES DEL DIA 07/08/2019SPYRAL - GESTION ADMINISTRATIVA"/>
    <n v="318.62"/>
    <n v="0"/>
    <s v="NEGOCIOS"/>
    <x v="4"/>
  </r>
  <r>
    <n v="91"/>
    <d v="2019-07-23T00:00:00"/>
    <x v="6"/>
    <x v="6"/>
    <x v="1"/>
    <s v="FUERZAS DE VENTAS PANAMA"/>
    <s v="GASTOS NO DEDUCIBLES"/>
    <s v="TRANSACCIONES DEL DIA 07/23/2019SPYRAL - GESTION ADMINISTRATIVA"/>
    <n v="20"/>
    <n v="0"/>
    <s v="NEGOCIOS"/>
    <x v="4"/>
  </r>
  <r>
    <n v="91"/>
    <d v="2019-02-08T00:00:00"/>
    <x v="8"/>
    <x v="8"/>
    <x v="1"/>
    <s v="FUERZA DE VENTAS AUTOS"/>
    <s v="GASTOS NO DEDUCIBLES"/>
    <s v="TRANSACCIONES DEL DIA 02/08/2019SPYRAL - GESTION ADMINISTRATIVA"/>
    <n v="36"/>
    <n v="0"/>
    <s v="NEGOCIOS"/>
    <x v="4"/>
  </r>
  <r>
    <n v="91"/>
    <d v="2019-05-10T00:00:00"/>
    <x v="11"/>
    <x v="11"/>
    <x v="1"/>
    <s v="FUERZA DE VENTAS AUTOS"/>
    <s v="GASTOS NO DEDUCIBLES"/>
    <s v="TRANSACCIONES DEL DIA 05/10/2019SPYRAL - GESTION ADMINISTRATIVA"/>
    <n v="66"/>
    <n v="0"/>
    <s v="NEGOCIOS"/>
    <x v="4"/>
  </r>
  <r>
    <n v="91"/>
    <d v="2019-02-08T00:00:00"/>
    <x v="8"/>
    <x v="8"/>
    <x v="1"/>
    <s v="SEGMENTO DE NEGOCIOS"/>
    <s v="GASTOS NO DEDUCIBLES"/>
    <s v="TRANSACCIONES DEL DIA 02/08/2019SPYRAL - GESTION ADMINISTRATIVA"/>
    <n v="30"/>
    <n v="0"/>
    <s v="NEGOCIOS"/>
    <x v="4"/>
  </r>
  <r>
    <n v="91"/>
    <d v="2019-02-25T00:00:00"/>
    <x v="8"/>
    <x v="8"/>
    <x v="1"/>
    <s v="SEGMENTO DE NEGOCIOS"/>
    <s v="GASTOS NO DEDUCIBLES"/>
    <s v="TRANSACCIONES DEL DIA 02/25/2019SPYRAL - GESTION ADMINISTRATIVA"/>
    <n v="29.96"/>
    <n v="0"/>
    <s v="NEGOCIOS"/>
    <x v="4"/>
  </r>
  <r>
    <n v="91"/>
    <d v="2019-05-07T00:00:00"/>
    <x v="11"/>
    <x v="11"/>
    <x v="1"/>
    <s v="SEGMENTO DE NEGOCIOS"/>
    <s v="GASTOS NO DEDUCIBLES"/>
    <s v="TRANSACCIONES DEL DIA 05/07/2019SPYRAL - GESTION ADMINISTRATIVA"/>
    <n v="30"/>
    <n v="0"/>
    <s v="NEGOCIOS"/>
    <x v="4"/>
  </r>
  <r>
    <n v="91"/>
    <d v="2019-06-22T00:00:00"/>
    <x v="2"/>
    <x v="2"/>
    <x v="1"/>
    <s v="SEGMENTO DE NEGOCIOS"/>
    <s v="GASTOS NO DEDUCIBLES"/>
    <s v="TRANSACCIONES DEL DIA 06/22/2019SPYRAL - GESTION ADMINISTRATIVA"/>
    <n v="30"/>
    <n v="0"/>
    <s v="NEGOCIOS"/>
    <x v="4"/>
  </r>
  <r>
    <n v="91"/>
    <d v="2019-07-08T00:00:00"/>
    <x v="6"/>
    <x v="6"/>
    <x v="1"/>
    <s v="SEGMENTO DE NEGOCIOS"/>
    <s v="NC GASTO NO DEDUCIBLES"/>
    <s v="TRANSACCIONES DEL DIA 07/08/2019SPYRAL - GESTION ADMINISTRATIVA"/>
    <n v="96"/>
    <n v="0"/>
    <s v="NEGOCIOS"/>
    <x v="4"/>
  </r>
  <r>
    <n v="91"/>
    <d v="2019-07-19T00:00:00"/>
    <x v="6"/>
    <x v="6"/>
    <x v="1"/>
    <s v="SEGMENTO DE NEGOCIOS"/>
    <s v="GASTOS NO DEDUCIBLES"/>
    <s v="TRANSACCIONES DEL DIA 07/19/2019SPYRAL - GESTION ADMINISTRATIVA"/>
    <n v="30"/>
    <n v="0"/>
    <s v="NEGOCIOS"/>
    <x v="4"/>
  </r>
  <r>
    <n v="91"/>
    <d v="2019-07-23T00:00:00"/>
    <x v="6"/>
    <x v="6"/>
    <x v="1"/>
    <s v="SEGMENTO DE NEGOCIOS"/>
    <s v="NC GASTO NO DEDUCIBLES"/>
    <s v="TRANSACCIONES DEL DIA 07/23/2019SPYRAL - GESTION ADMINISTRATIVA"/>
    <n v="32"/>
    <n v="0"/>
    <s v="NEGOCIOS"/>
    <x v="4"/>
  </r>
  <r>
    <n v="91"/>
    <d v="2019-05-27T00:00:00"/>
    <x v="11"/>
    <x v="11"/>
    <x v="1"/>
    <s v="BANCA PRIVADA"/>
    <s v="NC GASTO NO DEDUCIBLES"/>
    <s v="TRANSACCIONES DEL DIA 05/27/2019SPYRAL - GESTION ADMINISTRATIVA"/>
    <n v="101.65"/>
    <n v="0"/>
    <s v="NEGOCIOS"/>
    <x v="4"/>
  </r>
  <r>
    <n v="91"/>
    <d v="2019-06-17T00:00:00"/>
    <x v="2"/>
    <x v="2"/>
    <x v="1"/>
    <s v="BANCA PRIVADA"/>
    <s v="NC GASTO NO DEDUCIBLES"/>
    <s v="TRANSACCIONES DEL DIA 06/17/2019SPYRAL - GESTION ADMINISTRATIVA"/>
    <n v="27"/>
    <n v="0"/>
    <s v="NEGOCIOS"/>
    <x v="4"/>
  </r>
  <r>
    <n v="91"/>
    <d v="2019-07-23T00:00:00"/>
    <x v="6"/>
    <x v="6"/>
    <x v="1"/>
    <s v="BANCA PRIVADA"/>
    <s v="NC GASTO NO DEDUCIBLES"/>
    <s v="TRANSACCIONES DEL DIA 07/23/2019SPYRAL - GESTION ADMINISTRATIVA"/>
    <n v="27"/>
    <n v="0"/>
    <s v="NEGOCIOS"/>
    <x v="4"/>
  </r>
  <r>
    <n v="91"/>
    <d v="2019-04-25T00:00:00"/>
    <x v="10"/>
    <x v="10"/>
    <x v="1"/>
    <s v="BANCA COMERCIAL INTERIOR"/>
    <s v="NC GASTO NO DEDUCIBLES"/>
    <s v="TRANSACCIONES DEL DIA 04/25/2019SPYRAL - GESTION ADMINISTRATIVA"/>
    <n v="17"/>
    <n v="0"/>
    <s v="NEGOCIOS"/>
    <x v="4"/>
  </r>
  <r>
    <n v="91"/>
    <d v="2019-05-21T00:00:00"/>
    <x v="11"/>
    <x v="11"/>
    <x v="1"/>
    <s v="BANCA COMERCIAL INTERIOR"/>
    <s v="NC GASTO NO DEDUCIBLES"/>
    <s v="TRANSACCIONES DEL DIA 05/21/2019SPYRAL - GESTION ADMINISTRATIVA"/>
    <n v="23.29"/>
    <n v="0"/>
    <s v="NEGOCIOS"/>
    <x v="4"/>
  </r>
  <r>
    <n v="91"/>
    <d v="2019-06-04T00:00:00"/>
    <x v="2"/>
    <x v="2"/>
    <x v="1"/>
    <s v="BANCA COMERCIAL INTERIOR"/>
    <s v="GASTOS NO DEDUCIBLES"/>
    <s v="TRANSACCIONES DEL DIA 06/04/2019SPYRAL - GESTION ADMINISTRATIVA"/>
    <n v="50"/>
    <n v="0"/>
    <s v="NEGOCIOS"/>
    <x v="4"/>
  </r>
  <r>
    <n v="91"/>
    <d v="2019-07-02T00:00:00"/>
    <x v="6"/>
    <x v="6"/>
    <x v="1"/>
    <s v="BANCA COMERCIAL INTERIOR"/>
    <s v="GASTOS NO DEDUCIBLES"/>
    <s v="TRANSACCIONES DEL DIA 07/02/2019SPYRAL - GESTION ADMINISTRATIVA"/>
    <n v="35"/>
    <n v="0"/>
    <s v="NEGOCIOS"/>
    <x v="4"/>
  </r>
  <r>
    <n v="91"/>
    <d v="2019-07-12T00:00:00"/>
    <x v="6"/>
    <x v="6"/>
    <x v="1"/>
    <s v="BANCA COMERCIAL INTERIOR"/>
    <s v="NC GASTO NO DEDUCIBLES"/>
    <s v="TRANSACCIONES DEL DIA 07/12/2019SPYRAL - GESTION ADMINISTRATIVA"/>
    <n v="5.0599999999999996"/>
    <n v="0"/>
    <s v="NEGOCIOS"/>
    <x v="4"/>
  </r>
  <r>
    <n v="91"/>
    <d v="2019-05-18T00:00:00"/>
    <x v="11"/>
    <x v="11"/>
    <x v="1"/>
    <s v="MERCADEO"/>
    <s v="GASTOS NO DEDUCIBLES"/>
    <s v="TRANSACCIONES DEL DIA 05/18/2019SPYRAL - GESTION ADMINISTRATIVA"/>
    <n v="526.63"/>
    <n v="0"/>
    <s v="NEGOCIOS"/>
    <x v="4"/>
  </r>
  <r>
    <n v="91"/>
    <d v="2019-07-04T00:00:00"/>
    <x v="6"/>
    <x v="6"/>
    <x v="1"/>
    <s v="MERCADEO"/>
    <s v="GASTOS NO DEDUCIBLES"/>
    <s v="TRANSACCIONES DEL DIA 07/04/2019SPYRAL - GESTION ADMINISTRATIVA"/>
    <n v="77.95"/>
    <n v="0"/>
    <s v="NEGOCIOS"/>
    <x v="4"/>
  </r>
  <r>
    <n v="91"/>
    <d v="2019-07-10T00:00:00"/>
    <x v="6"/>
    <x v="6"/>
    <x v="1"/>
    <s v="MERCADEO"/>
    <s v="GASTOS NO DEDUCIBLES"/>
    <s v="TRANSACCIONES DEL DIA 07/10/2019SPYRAL - GESTION ADMINISTRATIVA"/>
    <n v="12.5"/>
    <n v="0"/>
    <s v="NEGOCIOS"/>
    <x v="4"/>
  </r>
  <r>
    <n v="91"/>
    <d v="2019-02-20T00:00:00"/>
    <x v="8"/>
    <x v="8"/>
    <x v="1"/>
    <s v="MERCADEO Y PUBLICIDAD"/>
    <s v="GASTOS NO DEDUCIBLES"/>
    <s v="TRANSACCIONES DEL DIA 02/20/2019SPYRAL - GESTION ADMINISTRATIVA"/>
    <n v="625"/>
    <n v="0"/>
    <s v="NEGOCIOS"/>
    <x v="4"/>
  </r>
  <r>
    <n v="91"/>
    <d v="2019-03-23T00:00:00"/>
    <x v="9"/>
    <x v="9"/>
    <x v="1"/>
    <s v="MERCADEO Y PUBLICIDAD"/>
    <s v="GASTOS NO DEDUCIBLES"/>
    <s v="TRANSACCIONES DEL DIA 03/23/2019SPYRAL - GESTION ADMINISTRATIVA"/>
    <n v="1024.77"/>
    <n v="0"/>
    <s v="NEGOCIOS"/>
    <x v="4"/>
  </r>
  <r>
    <n v="91"/>
    <d v="2019-04-16T00:00:00"/>
    <x v="10"/>
    <x v="10"/>
    <x v="1"/>
    <s v="MERCADEO Y PUBLICIDAD"/>
    <s v="GASTOS NO DEDUCIBLES"/>
    <s v="TRANSACCIONES DEL DIA 04/16/2019SPYRAL - GESTION ADMINISTRATIVA"/>
    <n v="1076.46"/>
    <n v="0"/>
    <s v="NEGOCIOS"/>
    <x v="4"/>
  </r>
  <r>
    <n v="91"/>
    <d v="2019-05-25T00:00:00"/>
    <x v="11"/>
    <x v="11"/>
    <x v="1"/>
    <s v="MERCADEO Y PUBLICIDAD"/>
    <s v="GASTOS NO DEDUCIBLES"/>
    <s v="TRANSACCIONES DEL DIA 05/25/2019SPYRAL - GESTION ADMINISTRATIVA"/>
    <n v="1501.66"/>
    <n v="0"/>
    <s v="NEGOCIOS"/>
    <x v="4"/>
  </r>
  <r>
    <n v="91"/>
    <d v="2019-01-04T00:00:00"/>
    <x v="7"/>
    <x v="7"/>
    <x v="1"/>
    <s v="IMAGEN CORPORATIVA"/>
    <s v="GASTOS NO DEDUCIBLES"/>
    <s v="TRANSACCIONES DEL DIA 01/04/2019SPYRAL - GESTION ADMINISTRATIVA"/>
    <n v="297.89"/>
    <n v="0"/>
    <s v="NEGOCIOS"/>
    <x v="4"/>
  </r>
  <r>
    <n v="91"/>
    <d v="2019-02-05T00:00:00"/>
    <x v="8"/>
    <x v="8"/>
    <x v="1"/>
    <s v="IMAGEN CORPORATIVA"/>
    <s v="GASTOS NO DEDUCIBLES"/>
    <s v="TRANSACCIONES DEL DIA 02/05/2019SPYRAL - GESTION ADMINISTRATIVA"/>
    <n v="262.48"/>
    <n v="0"/>
    <s v="NEGOCIOS"/>
    <x v="4"/>
  </r>
  <r>
    <n v="91"/>
    <d v="2019-03-07T00:00:00"/>
    <x v="9"/>
    <x v="9"/>
    <x v="1"/>
    <s v="IMAGEN CORPORATIVA"/>
    <s v="GASTOS NO DEDUCIBLES"/>
    <s v="TRANSACCIONES DEL DIA 03/07/2019SPYRAL - GESTION ADMINISTRATIVA"/>
    <n v="255.93"/>
    <n v="0"/>
    <s v="NEGOCIOS"/>
    <x v="4"/>
  </r>
  <r>
    <n v="91"/>
    <d v="2019-04-05T00:00:00"/>
    <x v="10"/>
    <x v="10"/>
    <x v="1"/>
    <s v="IMAGEN CORPORATIVA"/>
    <s v="GASTOS NO DEDUCIBLES"/>
    <s v="TRANSACCIONES DEL DIA 04/05/2019SPYRAL - GESTION ADMINISTRATIVA"/>
    <n v="347.34"/>
    <n v="0"/>
    <s v="NEGOCIOS"/>
    <x v="4"/>
  </r>
  <r>
    <n v="91"/>
    <d v="2019-05-06T00:00:00"/>
    <x v="11"/>
    <x v="11"/>
    <x v="1"/>
    <s v="IMAGEN CORPORATIVA"/>
    <s v="GASTOS NO DEDUCIBLES"/>
    <s v="TRANSACCIONES DEL DIA 05/06/2019SPYRAL - GESTION ADMINISTRATIVA"/>
    <n v="292.12"/>
    <n v="0"/>
    <s v="NEGOCIOS"/>
    <x v="4"/>
  </r>
  <r>
    <n v="91"/>
    <d v="2019-06-05T00:00:00"/>
    <x v="2"/>
    <x v="2"/>
    <x v="1"/>
    <s v="IMAGEN CORPORATIVA"/>
    <s v="GASTOS NO DEDUCIBLES"/>
    <s v="TRANSACCIONES DEL DIA 06/05/2019SPYRAL - GESTION ADMINISTRATIVA"/>
    <n v="342.22"/>
    <n v="0"/>
    <s v="NEGOCIOS"/>
    <x v="4"/>
  </r>
  <r>
    <n v="91"/>
    <d v="2019-07-05T00:00:00"/>
    <x v="6"/>
    <x v="6"/>
    <x v="1"/>
    <s v="IMAGEN CORPORATIVA"/>
    <s v="GASTOS NO DEDUCIBLES"/>
    <s v="TRANSACCIONES DEL DIA 07/05/2019SPYRAL - GESTION ADMINISTRATIVA"/>
    <n v="455.09"/>
    <n v="0"/>
    <s v="NEGOCIOS"/>
    <x v="4"/>
  </r>
  <r>
    <n v="95"/>
    <d v="2019-01-28T00:00:00"/>
    <x v="7"/>
    <x v="7"/>
    <x v="1"/>
    <s v="ADMINISTRACION DE SUCURSALES"/>
    <s v="NC GASTO NO DEDUCIBLES"/>
    <s v="TRANSACCIONES DEL DIA 01/28/2019SPYRAL - GESTION ADMINISTRATIVA"/>
    <n v="48"/>
    <n v="0"/>
    <s v="BOULEVARD EL DORADO"/>
    <x v="4"/>
  </r>
  <r>
    <n v="95"/>
    <d v="2019-02-02T00:00:00"/>
    <x v="8"/>
    <x v="8"/>
    <x v="1"/>
    <s v="ADMINISTRACION DE SUCURSALES"/>
    <s v="GASTOS NO DEDUCIBLES"/>
    <s v="TRANSACCIONES DEL DIA 02/02/2019SPYRAL - GESTION ADMINISTRATIVA"/>
    <n v="30"/>
    <n v="0"/>
    <s v="BOULEVARD EL DORADO"/>
    <x v="4"/>
  </r>
  <r>
    <n v="95"/>
    <d v="2019-02-13T00:00:00"/>
    <x v="8"/>
    <x v="8"/>
    <x v="1"/>
    <s v="ADMINISTRACION DE SUCURSALES"/>
    <s v="NC GASTO NO DEDUCIBLES"/>
    <s v="TRANSACCIONES DEL DIA 02/13/2019SPYRAL - GESTION ADMINISTRATIVA"/>
    <n v="104.61"/>
    <n v="0"/>
    <s v="BOULEVARD EL DORADO"/>
    <x v="4"/>
  </r>
  <r>
    <n v="95"/>
    <d v="2019-04-05T00:00:00"/>
    <x v="10"/>
    <x v="10"/>
    <x v="1"/>
    <s v="ADMINISTRACION DE SUCURSALES"/>
    <s v="NC GASTO NO DEDUCIBLES"/>
    <s v="TRANSACCIONES DEL DIA 04/05/2019SPYRAL - GESTION ADMINISTRATIVA"/>
    <n v="152.85"/>
    <n v="0"/>
    <s v="BOULEVARD EL DORADO"/>
    <x v="4"/>
  </r>
  <r>
    <n v="95"/>
    <d v="2019-05-03T00:00:00"/>
    <x v="11"/>
    <x v="11"/>
    <x v="1"/>
    <s v="ADMINISTRACION DE SUCURSALES"/>
    <s v="NC GASTO NO DEDUCIBLES"/>
    <s v="TRANSACCIONES DEL DIA 05/03/2019SPYRAL - GESTION ADMINISTRATIVA"/>
    <n v="23.76"/>
    <n v="0"/>
    <s v="BOULEVARD EL DORADO"/>
    <x v="4"/>
  </r>
  <r>
    <n v="95"/>
    <d v="2019-05-15T00:00:00"/>
    <x v="11"/>
    <x v="11"/>
    <x v="1"/>
    <s v="ADMINISTRACION DE SUCURSALES"/>
    <s v="NC GASTO NO DEDUCIBLES"/>
    <s v="TRANSACCIONES DEL DIA 05/15/2019SPYRAL - GESTION ADMINISTRATIVA"/>
    <n v="92.79"/>
    <n v="0"/>
    <s v="BOULEVARD EL DORADO"/>
    <x v="4"/>
  </r>
  <r>
    <n v="95"/>
    <d v="2019-06-10T00:00:00"/>
    <x v="2"/>
    <x v="2"/>
    <x v="1"/>
    <s v="ADMINISTRACION DE SUCURSALES"/>
    <s v="NC GASTO NO DEDUCIBLES"/>
    <s v="TRANSACCIONES DEL DIA 06/10/2019SPYRAL - GESTION ADMINISTRATIVA"/>
    <n v="99.22"/>
    <n v="0"/>
    <s v="BOULEVARD EL DORADO"/>
    <x v="4"/>
  </r>
  <r>
    <n v="95"/>
    <d v="2019-07-03T00:00:00"/>
    <x v="6"/>
    <x v="6"/>
    <x v="1"/>
    <s v="ADMINISTRACION DE SUCURSALES"/>
    <s v="NC GASTO NO DEDUCIBLES"/>
    <s v="TRANSACCIONES DEL DIA 07/03/2019SPYRAL - GESTION ADMINISTRATIVA"/>
    <n v="61.5"/>
    <n v="0"/>
    <s v="BOULEVARD EL DORADO"/>
    <x v="4"/>
  </r>
  <r>
    <n v="95"/>
    <d v="2019-07-05T00:00:00"/>
    <x v="6"/>
    <x v="6"/>
    <x v="1"/>
    <s v="ADMINISTRACION DE SUCURSALES"/>
    <s v="NC GASTO NO DEDUCIBLES"/>
    <s v="TRANSACCIONES DEL DIA 07/05/2019SPYRAL - GESTION ADMINISTRATIVA"/>
    <n v="72.489999999999995"/>
    <n v="0"/>
    <s v="BOULEVARD EL DORADO"/>
    <x v="4"/>
  </r>
  <r>
    <n v="97"/>
    <d v="2019-05-07T00:00:00"/>
    <x v="11"/>
    <x v="11"/>
    <x v="1"/>
    <s v="ADMINISTRACION DE SUCURSALES"/>
    <s v="NC GASTO NO DEDUCIBLES"/>
    <s v="TRANSACCIONES DEL DIA 05/07/2019SPYRAL - GESTION ADMINISTRATIVA"/>
    <n v="163.47999999999999"/>
    <n v="0"/>
    <s v="SAN SEBASTIAN"/>
    <x v="4"/>
  </r>
  <r>
    <n v="98"/>
    <d v="2019-02-05T00:00:00"/>
    <x v="8"/>
    <x v="8"/>
    <x v="1"/>
    <s v="ADMINISTRACION DE SUCURSALES"/>
    <s v="NC GASTO NO DEDUCIBLES"/>
    <s v="TRANSACCIONES DEL DIA 02/05/2019SPYRAL - GESTION ADMINISTRATIVA"/>
    <n v="66.55"/>
    <n v="0"/>
    <s v="SANTIAGO INTERAMERICANA"/>
    <x v="4"/>
  </r>
  <r>
    <n v="98"/>
    <d v="2019-02-07T00:00:00"/>
    <x v="8"/>
    <x v="8"/>
    <x v="1"/>
    <s v="ADMINISTRACION DE SUCURSALES"/>
    <s v="NC GASTO NO DEDUCIBLES"/>
    <s v="TRANSACCIONES DEL DIA 02/07/2019SPYRAL - GESTION ADMINISTRATIVA"/>
    <n v="66.849999999999994"/>
    <n v="0"/>
    <s v="SANTIAGO INTERAMERICANA"/>
    <x v="4"/>
  </r>
  <r>
    <n v="98"/>
    <d v="2019-03-19T00:00:00"/>
    <x v="9"/>
    <x v="9"/>
    <x v="1"/>
    <s v="ADMINISTRACION DE SUCURSALES"/>
    <s v="NC GASTO NO DEDUCIBLES"/>
    <s v="TRANSACCIONES DEL DIA 03/19/2019SPYRAL - GESTION ADMINISTRATIVA"/>
    <n v="41.59"/>
    <n v="0"/>
    <s v="SANTIAGO INTERAMERICANA"/>
    <x v="4"/>
  </r>
  <r>
    <n v="98"/>
    <d v="2019-05-09T00:00:00"/>
    <x v="11"/>
    <x v="11"/>
    <x v="1"/>
    <s v="ADMINISTRACION DE SUCURSALES"/>
    <s v="NC GASTO NO DEDUCIBLES"/>
    <s v="TRANSACCIONES DEL DIA 05/09/2019SPYRAL - GESTION ADMINISTRATIVA"/>
    <n v="39.44"/>
    <n v="0"/>
    <s v="SANTIAGO INTERAMERICANA"/>
    <x v="4"/>
  </r>
  <r>
    <n v="98"/>
    <d v="2019-07-23T00:00:00"/>
    <x v="6"/>
    <x v="6"/>
    <x v="1"/>
    <s v="ADMINISTRACION DE SUCURSALES"/>
    <s v="NC GASTO NO DEDUCIBLES"/>
    <s v="TRANSACCIONES DEL DIA 07/23/2019SPYRAL - GESTION ADMINISTRATIVA"/>
    <n v="87.91"/>
    <n v="0"/>
    <s v="SANTIAGO INTERAMERICANA"/>
    <x v="4"/>
  </r>
  <r>
    <n v="99"/>
    <d v="2019-02-07T00:00:00"/>
    <x v="8"/>
    <x v="8"/>
    <x v="1"/>
    <s v="ADMINISTRACION DE SUCURSALES"/>
    <s v="NC GASTO NO DEDUCIBLES"/>
    <s v="TRANSACCIONES DEL DIA 02/07/2019SPYRAL - GESTION ADMINISTRATIVA"/>
    <n v="49.11"/>
    <n v="0"/>
    <s v="CIUDAD DEL SABER"/>
    <x v="4"/>
  </r>
  <r>
    <n v="99"/>
    <d v="2019-04-29T00:00:00"/>
    <x v="10"/>
    <x v="10"/>
    <x v="1"/>
    <s v="ADMINISTRACION DE SUCURSALES"/>
    <s v="NC GASTO NO DEDUCIBLES"/>
    <s v="TRANSACCIONES DEL DIA 04/29/2019SPYRAL - GESTION ADMINISTRATIVA"/>
    <n v="60"/>
    <n v="0"/>
    <s v="CIUDAD DEL SABER"/>
    <x v="4"/>
  </r>
  <r>
    <n v="99"/>
    <d v="2019-06-18T00:00:00"/>
    <x v="2"/>
    <x v="2"/>
    <x v="1"/>
    <s v="ADMINISTRACION DE SUCURSALES"/>
    <s v="GASTOS NO DEDUCIBLES"/>
    <s v="TRANSACCIONES DEL DIA 06/18/2019SPYRAL - GESTION ADMINISTRATIVA"/>
    <n v="25"/>
    <n v="0"/>
    <s v="CIUDAD DEL SABER"/>
    <x v="4"/>
  </r>
  <r>
    <n v="99"/>
    <d v="2019-07-12T00:00:00"/>
    <x v="6"/>
    <x v="6"/>
    <x v="1"/>
    <s v="ADMINISTRACION DE SUCURSALES"/>
    <s v="NC GASTO NO DEDUCIBLES"/>
    <s v="TRANSACCIONES DEL DIA 07/12/2019SPYRAL - GESTION ADMINISTRATIVA"/>
    <n v="25"/>
    <n v="0"/>
    <s v="CIUDAD DEL SABER"/>
    <x v="4"/>
  </r>
  <r>
    <n v="101"/>
    <d v="2019-01-25T00:00:00"/>
    <x v="7"/>
    <x v="7"/>
    <x v="1"/>
    <s v="ADMINISTRACION DE SUCURSALES"/>
    <s v="NC GASTO NO DEDUCIBLES"/>
    <s v="TRANSACCIONES DEL DIA 01/25/2019SPYRAL - GESTION ADMINISTRATIVA"/>
    <n v="48"/>
    <n v="0"/>
    <s v="VILLA ZAITA"/>
    <x v="4"/>
  </r>
  <r>
    <n v="101"/>
    <d v="2019-02-05T00:00:00"/>
    <x v="8"/>
    <x v="8"/>
    <x v="1"/>
    <s v="ADMINISTRACION DE SUCURSALES"/>
    <s v="NC GASTO NO DEDUCIBLES"/>
    <s v="TRANSACCIONES DEL DIA 02/05/2019SPYRAL - GESTION ADMINISTRATIVA"/>
    <n v="32.61"/>
    <n v="0"/>
    <s v="VILLA ZAITA"/>
    <x v="4"/>
  </r>
  <r>
    <n v="101"/>
    <d v="2019-02-05T00:00:00"/>
    <x v="8"/>
    <x v="8"/>
    <x v="1"/>
    <s v="ADMINISTRACION DE SUCURSALES"/>
    <s v="GASTOS NO DEDUCIBLES"/>
    <s v="TRANSACCIONES DEL DIA 02/05/2019SPYRAL - GESTION ADMINISTRATIVA"/>
    <n v="18"/>
    <n v="0"/>
    <s v="VILLA ZAITA"/>
    <x v="4"/>
  </r>
  <r>
    <n v="101"/>
    <d v="2019-04-11T00:00:00"/>
    <x v="10"/>
    <x v="10"/>
    <x v="1"/>
    <s v="ADMINISTRACION DE SUCURSALES"/>
    <s v="NC GASTO NO DEDUCIBLES"/>
    <s v="TRANSACCIONES DEL DIA 04/11/2019SPYRAL - GESTION ADMINISTRATIVA"/>
    <n v="67.16"/>
    <n v="0"/>
    <s v="VILLA ZAITA"/>
    <x v="4"/>
  </r>
  <r>
    <n v="101"/>
    <d v="2019-04-16T00:00:00"/>
    <x v="10"/>
    <x v="10"/>
    <x v="1"/>
    <s v="ADMINISTRACION DE SUCURSALES"/>
    <s v="GASTOS NO DEDUCIBLES"/>
    <s v="TRANSACCIONES DEL DIA 04/16/2019SPYRAL - GESTION ADMINISTRATIVA"/>
    <n v="52.5"/>
    <n v="0"/>
    <s v="VILLA ZAITA"/>
    <x v="4"/>
  </r>
  <r>
    <n v="101"/>
    <d v="2019-05-07T00:00:00"/>
    <x v="11"/>
    <x v="11"/>
    <x v="1"/>
    <s v="ADMINISTRACION DE SUCURSALES"/>
    <s v="NC GASTO NO DEDUCIBLES"/>
    <s v="TRANSACCIONES DEL DIA 05/07/2019SPYRAL - GESTION ADMINISTRATIVA"/>
    <n v="36.979999999999997"/>
    <n v="0"/>
    <s v="VILLA ZAITA"/>
    <x v="4"/>
  </r>
  <r>
    <n v="101"/>
    <d v="2019-05-10T00:00:00"/>
    <x v="11"/>
    <x v="11"/>
    <x v="1"/>
    <s v="ADMINISTRACION DE SUCURSALES"/>
    <s v="GASTOS NO DEDUCIBLES"/>
    <s v="TRANSACCIONES DEL DIA 05/10/2019SPYRAL - GESTION ADMINISTRATIVA"/>
    <n v="25.06"/>
    <n v="0"/>
    <s v="VILLA ZAITA"/>
    <x v="4"/>
  </r>
  <r>
    <n v="101"/>
    <d v="2019-06-25T00:00:00"/>
    <x v="2"/>
    <x v="2"/>
    <x v="1"/>
    <s v="ADMINISTRACION DE SUCURSALES"/>
    <s v="GASTOS NO DEDUCIBLES"/>
    <s v="TRANSACCIONES DEL DIA 06/25/2019SPYRAL - GESTION ADMINISTRATIVA"/>
    <n v="75.12"/>
    <n v="0"/>
    <s v="VILLA ZAITA"/>
    <x v="4"/>
  </r>
  <r>
    <n v="102"/>
    <d v="2019-04-05T00:00:00"/>
    <x v="10"/>
    <x v="10"/>
    <x v="1"/>
    <s v="ADMINISTRACION DE SUCURSALES"/>
    <s v="NC GASTO NO DEDUCIBLES"/>
    <s v="TRANSACCIONES DEL DIA 04/05/2019SPYRAL - GESTION ADMINISTRATIVA"/>
    <n v="18.95"/>
    <n v="0"/>
    <s v="AZUERO TERMINAL PLAZA"/>
    <x v="4"/>
  </r>
  <r>
    <n v="102"/>
    <d v="2019-05-09T00:00:00"/>
    <x v="11"/>
    <x v="11"/>
    <x v="1"/>
    <s v="ADMINISTRACION DE SUCURSALES"/>
    <s v="NC GASTO NO DEDUCIBLES"/>
    <s v="TRANSACCIONES DEL DIA 05/09/2019SPYRAL - GESTION ADMINISTRATIVA"/>
    <n v="20.67"/>
    <n v="0"/>
    <s v="AZUERO TERMINAL PLAZA"/>
    <x v="4"/>
  </r>
  <r>
    <n v="102"/>
    <d v="2019-07-05T00:00:00"/>
    <x v="6"/>
    <x v="6"/>
    <x v="1"/>
    <s v="ADMINISTRACION DE SUCURSALES"/>
    <s v="NC GASTO NO DEDUCIBLES"/>
    <s v="TRANSACCIONES DEL DIA 07/05/2019SPYRAL - GESTION ADMINISTRATIVA"/>
    <n v="23.62"/>
    <n v="0"/>
    <s v="AZUERO TERMINAL PLAZA"/>
    <x v="4"/>
  </r>
  <r>
    <n v="103"/>
    <d v="2019-03-22T00:00:00"/>
    <x v="9"/>
    <x v="9"/>
    <x v="1"/>
    <s v="ADMINISTRACION DE SUCURSALES"/>
    <s v="NC GASTO NO DEDUCIBLES"/>
    <s v="TRANSACCIONES DEL DIA 03/22/2019SPYRAL - GESTION ADMINISTRATIVA"/>
    <n v="27.85"/>
    <n v="0"/>
    <s v="TOWN CENTER COSTA DEL ESTE"/>
    <x v="4"/>
  </r>
  <r>
    <n v="103"/>
    <d v="2019-04-29T00:00:00"/>
    <x v="10"/>
    <x v="10"/>
    <x v="1"/>
    <s v="ADMINISTRACION DE SUCURSALES"/>
    <s v="NC GASTO NO DEDUCIBLES"/>
    <s v="TRANSACCIONES DEL DIA 04/29/2019SPYRAL - GESTION ADMINISTRATIVA"/>
    <n v="24.15"/>
    <n v="0"/>
    <s v="TOWN CENTER COSTA DEL ESTE"/>
    <x v="4"/>
  </r>
  <r>
    <n v="103"/>
    <d v="2019-05-24T00:00:00"/>
    <x v="11"/>
    <x v="11"/>
    <x v="1"/>
    <s v="ADMINISTRACION DE SUCURSALES"/>
    <s v="NC GASTO NO DEDUCIBLES"/>
    <s v="TRANSACCIONES DEL DIA 05/24/2019SPYRAL - GESTION ADMINISTRATIVA"/>
    <n v="99.51"/>
    <n v="0"/>
    <s v="TOWN CENTER COSTA DEL ESTE"/>
    <x v="4"/>
  </r>
  <r>
    <n v="103"/>
    <d v="2019-06-10T00:00:00"/>
    <x v="2"/>
    <x v="2"/>
    <x v="1"/>
    <s v="ADMINISTRACION DE SUCURSALES"/>
    <s v="NC GASTO NO DEDUCIBLES"/>
    <s v="TRANSACCIONES DEL DIA 06/10/2019SPYRAL - GESTION ADMINISTRATIVA"/>
    <n v="19.02"/>
    <n v="0"/>
    <s v="TOWN CENTER COSTA DEL ESTE"/>
    <x v="4"/>
  </r>
  <r>
    <n v="103"/>
    <d v="2019-07-23T00:00:00"/>
    <x v="6"/>
    <x v="6"/>
    <x v="1"/>
    <s v="ADMINISTRACION DE SUCURSALES"/>
    <s v="NC GASTO NO DEDUCIBLES"/>
    <s v="TRANSACCIONES DEL DIA 07/23/2019SPYRAL - GESTION ADMINISTRATIVA"/>
    <n v="14.51"/>
    <n v="0"/>
    <s v="TOWN CENTER COSTA DEL ESTE"/>
    <x v="4"/>
  </r>
  <r>
    <n v="125"/>
    <d v="2019-05-07T00:00:00"/>
    <x v="11"/>
    <x v="11"/>
    <x v="1"/>
    <s v="ADMINISTRACION DE SUCURSALES"/>
    <s v="NC GASTO NO DEDUCIBLES"/>
    <s v="TRANSACCIONES DEL DIA 05/07/2019SPYRAL - GESTION ADMINISTRATIVA"/>
    <n v="25.57"/>
    <n v="0"/>
    <s v="COSTA VERDE"/>
    <x v="4"/>
  </r>
  <r>
    <n v="125"/>
    <d v="2019-06-03T00:00:00"/>
    <x v="2"/>
    <x v="2"/>
    <x v="1"/>
    <s v="ADMINISTRACION DE SUCURSALES"/>
    <s v="NC GASTO NO DEDUCIBLES"/>
    <s v="TRANSACCIONES DEL DIA 06/03/2019SPYRAL - GESTION ADMINISTRATIVA"/>
    <n v="27.45"/>
    <n v="0"/>
    <s v="COSTA VERDE"/>
    <x v="4"/>
  </r>
  <r>
    <n v="125"/>
    <d v="2019-06-17T00:00:00"/>
    <x v="2"/>
    <x v="2"/>
    <x v="1"/>
    <s v="ADMINISTRACION DE SUCURSALES"/>
    <s v="NC GASTO NO DEDUCIBLES"/>
    <s v="TRANSACCIONES DEL DIA 06/17/2019SPYRAL - GESTION ADMINISTRATIVA"/>
    <n v="78"/>
    <n v="0"/>
    <s v="COSTA VERDE"/>
    <x v="4"/>
  </r>
  <r>
    <n v="131"/>
    <d v="2019-01-16T00:00:00"/>
    <x v="7"/>
    <x v="7"/>
    <x v="1"/>
    <s v="ADMINISTRACION DE SUCURSALES"/>
    <s v="NC GASTO NO DEDUCIBLES"/>
    <s v="TRANSACCIONES DEL DIA 01/16/2019SPYRAL - GESTION ADMINISTRATIVA"/>
    <n v="16.59"/>
    <n v="0"/>
    <s v="PLAZA LOS ANGELES"/>
    <x v="4"/>
  </r>
  <r>
    <n v="131"/>
    <d v="2019-01-23T00:00:00"/>
    <x v="7"/>
    <x v="7"/>
    <x v="1"/>
    <s v="ADMINISTRACION DE SUCURSALES"/>
    <s v="NC GASTO NO DEDUCIBLES"/>
    <s v="TRANSACCIONES DEL DIA 01/23/2019SPYRAL - GESTION ADMINISTRATIVA"/>
    <n v="0"/>
    <n v="16.59"/>
    <s v="PLAZA LOS ANGELES"/>
    <x v="4"/>
  </r>
  <r>
    <n v="131"/>
    <d v="2019-04-03T00:00:00"/>
    <x v="10"/>
    <x v="10"/>
    <x v="1"/>
    <s v="ADMINISTRACION DE SUCURSALES"/>
    <s v="NC GASTO NO DEDUCIBLES"/>
    <s v="TRANSACCIONES DEL DIA 04/03/2019SPYRAL - GESTION ADMINISTRATIVA"/>
    <n v="31.99"/>
    <n v="0"/>
    <s v="PLAZA LOS ANGELES"/>
    <x v="4"/>
  </r>
  <r>
    <n v="131"/>
    <d v="2019-05-21T00:00:00"/>
    <x v="11"/>
    <x v="11"/>
    <x v="1"/>
    <s v="ADMINISTRACION DE SUCURSALES"/>
    <s v="NC GASTO NO DEDUCIBLES"/>
    <s v="TRANSACCIONES DEL DIA 05/21/2019SPYRAL - GESTION ADMINISTRATIVA"/>
    <n v="37.31"/>
    <n v="0"/>
    <s v="PLAZA LOS ANGELES"/>
    <x v="4"/>
  </r>
  <r>
    <n v="131"/>
    <d v="2019-06-25T00:00:00"/>
    <x v="2"/>
    <x v="2"/>
    <x v="1"/>
    <s v="ADMINISTRACION DE SUCURSALES"/>
    <s v="NC GASTO NO DEDUCIBLES"/>
    <s v="TRANSACCIONES DEL DIA 06/25/2019SPYRAL - GESTION ADMINISTRATIVA"/>
    <n v="46.99"/>
    <n v="0"/>
    <s v="PLAZA LOS ANGELES"/>
    <x v="4"/>
  </r>
  <r>
    <n v="157"/>
    <d v="2019-03-19T00:00:00"/>
    <x v="9"/>
    <x v="9"/>
    <x v="1"/>
    <s v="ADMINISTRACION DE SUCURSALES"/>
    <s v="NC GASTO NO DEDUCIBLES"/>
    <s v="TRANSACCIONES DEL DIA 03/19/2019SPYRAL - GESTION ADMINISTRATIVA"/>
    <n v="71.349999999999994"/>
    <n v="0"/>
    <s v="SAN MATEO"/>
    <x v="4"/>
  </r>
  <r>
    <n v="157"/>
    <d v="2019-07-05T00:00:00"/>
    <x v="6"/>
    <x v="6"/>
    <x v="1"/>
    <s v="ADMINISTRACION DE SUCURSALES"/>
    <s v="NC GASTO NO DEDUCIBLES"/>
    <s v="TRANSACCIONES DEL DIA 07/05/2019SPYRAL - GESTION ADMINISTRATIVA"/>
    <n v="130.54"/>
    <n v="0"/>
    <s v="SAN MATEO"/>
    <x v="4"/>
  </r>
  <r>
    <n v="157"/>
    <d v="2019-07-12T00:00:00"/>
    <x v="6"/>
    <x v="6"/>
    <x v="1"/>
    <s v="ADMINISTRACION DE SUCURSALES"/>
    <s v="NC GASTO NO DEDUCIBLES"/>
    <s v="TRANSACCIONES DEL DIA 07/12/2019SPYRAL - GESTION ADMINISTRATIVA"/>
    <n v="39.950000000000003"/>
    <n v="0"/>
    <s v="SAN MATEO"/>
    <x v="4"/>
  </r>
  <r>
    <n v="157"/>
    <d v="2019-07-19T00:00:00"/>
    <x v="6"/>
    <x v="6"/>
    <x v="1"/>
    <s v="ADMINISTRACION DE SUCURSALES"/>
    <s v="NC GASTO NO DEDUCIBLES"/>
    <s v="TRANSACCIONES DEL DIA 07/19/2019SPYRAL - GESTION ADMINISTRATIVA"/>
    <n v="39.950000000000003"/>
    <n v="0"/>
    <s v="SAN MATEO"/>
    <x v="4"/>
  </r>
  <r>
    <n v="162"/>
    <d v="2019-01-16T00:00:00"/>
    <x v="7"/>
    <x v="7"/>
    <x v="1"/>
    <s v="ADMINISTRACION DE SUCURSALES"/>
    <s v="NC GASTO NO DEDUCIBLES"/>
    <s v="TRANSACCIONES DEL DIA 01/16/2019SPYRAL - GESTION ADMINISTRATIVA"/>
    <n v="17.55"/>
    <n v="0"/>
    <s v="BRISAS DEL GOLF ARRAIJAN"/>
    <x v="4"/>
  </r>
  <r>
    <n v="162"/>
    <d v="2019-02-07T00:00:00"/>
    <x v="8"/>
    <x v="8"/>
    <x v="1"/>
    <s v="ADMINISTRACION DE SUCURSALES"/>
    <s v="NC GASTO NO DEDUCIBLES"/>
    <s v="TRANSACCIONES DEL DIA 02/07/2019SPYRAL - GESTION ADMINISTRATIVA"/>
    <n v="17.07"/>
    <n v="0"/>
    <s v="BRISAS DEL GOLF ARRAIJAN"/>
    <x v="4"/>
  </r>
  <r>
    <n v="162"/>
    <d v="2019-04-03T00:00:00"/>
    <x v="10"/>
    <x v="10"/>
    <x v="1"/>
    <s v="ADMINISTRACION DE SUCURSALES"/>
    <s v="NC GASTO NO DEDUCIBLES"/>
    <s v="TRANSACCIONES DEL DIA 04/03/2019SPYRAL - GESTION ADMINISTRATIVA"/>
    <n v="16"/>
    <n v="0"/>
    <s v="BRISAS DEL GOLF ARRAIJAN"/>
    <x v="4"/>
  </r>
  <r>
    <n v="162"/>
    <d v="2019-06-25T00:00:00"/>
    <x v="2"/>
    <x v="2"/>
    <x v="1"/>
    <s v="ADMINISTRACION DE SUCURSALES"/>
    <s v="NC GASTO NO DEDUCIBLES"/>
    <s v="TRANSACCIONES DEL DIA 06/25/2019SPYRAL - GESTION ADMINISTRATIVA"/>
    <n v="11.49"/>
    <n v="0"/>
    <s v="BRISAS DEL GOLF ARRAIJAN"/>
    <x v="4"/>
  </r>
  <r>
    <n v="164"/>
    <d v="2019-01-10T00:00:00"/>
    <x v="7"/>
    <x v="7"/>
    <x v="1"/>
    <s v="ADMINISTRACION DE SUCURSALES"/>
    <s v="NC GASTO NO DEDUCIBLES"/>
    <s v="TRANSACCIONES DEL DIA 01/10/2019SPYRAL - GESTION ADMINISTRATIVA"/>
    <n v="33"/>
    <n v="0"/>
    <s v="PASEO ARRAIJAN"/>
    <x v="4"/>
  </r>
  <r>
    <n v="164"/>
    <d v="2019-01-23T00:00:00"/>
    <x v="7"/>
    <x v="7"/>
    <x v="1"/>
    <s v="ADMINISTRACION DE SUCURSALES"/>
    <s v="NC GASTO NO DEDUCIBLES"/>
    <s v="TRANSACCIONES DEL DIA 01/23/2019SPYRAL - GESTION ADMINISTRATIVA"/>
    <n v="16.59"/>
    <n v="0"/>
    <s v="PASEO ARRAIJAN"/>
    <x v="4"/>
  </r>
  <r>
    <n v="164"/>
    <d v="2019-01-25T00:00:00"/>
    <x v="7"/>
    <x v="7"/>
    <x v="1"/>
    <s v="ADMINISTRACION DE SUCURSALES"/>
    <s v="NC GASTO NO DEDUCIBLES"/>
    <s v="TRANSACCIONES DEL DIA 01/25/2019SPYRAL - GESTION ADMINISTRATIVA"/>
    <n v="40.92"/>
    <n v="0"/>
    <s v="PASEO ARRAIJAN"/>
    <x v="4"/>
  </r>
  <r>
    <n v="164"/>
    <d v="2019-02-15T00:00:00"/>
    <x v="8"/>
    <x v="8"/>
    <x v="1"/>
    <s v="ADMINISTRACION DE SUCURSALES"/>
    <s v="NC GASTO NO DEDUCIBLES"/>
    <s v="TRANSACCIONES DEL DIA 02/15/2019SPYRAL - GESTION ADMINISTRATIVA"/>
    <n v="23.78"/>
    <n v="0"/>
    <s v="PASEO ARRAIJAN"/>
    <x v="4"/>
  </r>
  <r>
    <n v="164"/>
    <d v="2019-02-27T00:00:00"/>
    <x v="8"/>
    <x v="8"/>
    <x v="1"/>
    <s v="ADMINISTRACION DE SUCURSALES"/>
    <s v="NC GASTO NO DEDUCIBLES"/>
    <s v="TRANSACCIONES DEL DIA 02/27/2019SPYRAL - GESTION ADMINISTRATIVA"/>
    <n v="23.98"/>
    <n v="0"/>
    <s v="PASEO ARRAIJAN"/>
    <x v="4"/>
  </r>
  <r>
    <n v="164"/>
    <d v="2019-04-03T00:00:00"/>
    <x v="10"/>
    <x v="10"/>
    <x v="1"/>
    <s v="ADMINISTRACION DE SUCURSALES"/>
    <s v="NC GASTO NO DEDUCIBLES"/>
    <s v="TRANSACCIONES DEL DIA 04/03/2019SPYRAL - GESTION ADMINISTRATIVA"/>
    <n v="27.6"/>
    <n v="0"/>
    <s v="PASEO ARRAIJAN"/>
    <x v="4"/>
  </r>
  <r>
    <n v="164"/>
    <d v="2019-06-03T00:00:00"/>
    <x v="2"/>
    <x v="2"/>
    <x v="1"/>
    <s v="ADMINISTRACION DE SUCURSALES"/>
    <s v="NC GASTO NO DEDUCIBLES"/>
    <s v="TRANSACCIONES DEL DIA 06/03/2019SPYRAL - GESTION ADMINISTRATIVA"/>
    <n v="73.05"/>
    <n v="0"/>
    <s v="PASEO ARRAIJAN"/>
    <x v="4"/>
  </r>
  <r>
    <n v="164"/>
    <d v="2019-07-26T00:00:00"/>
    <x v="6"/>
    <x v="6"/>
    <x v="1"/>
    <s v="ADMINISTRACION DE SUCURSALES"/>
    <s v="NC GASTO NO DEDUCIBLES"/>
    <s v="TRANSACCIONES DEL DIA 07/26/2019SPYRAL - GESTION ADMINISTRATIVA"/>
    <n v="30"/>
    <n v="0"/>
    <s v="PASEO ARRAIJAN"/>
    <x v="4"/>
  </r>
  <r>
    <n v="165"/>
    <d v="2019-02-22T00:00:00"/>
    <x v="8"/>
    <x v="8"/>
    <x v="1"/>
    <s v="ADMINISTRACION DE SUCURSALES"/>
    <s v="NC GASTO NO DEDUCIBLES"/>
    <s v="TRANSACCIONES DEL DIA 02/22/2019SPYRAL - GESTION ADMINISTRATIVA"/>
    <n v="44.91"/>
    <n v="0"/>
    <s v="PLAZA NUEVO TOCUMEN"/>
    <x v="4"/>
  </r>
  <r>
    <n v="165"/>
    <d v="2019-03-26T00:00:00"/>
    <x v="9"/>
    <x v="9"/>
    <x v="1"/>
    <s v="ADMINISTRACION DE SUCURSALES"/>
    <s v="NC GASTO NO DEDUCIBLES"/>
    <s v="TRANSACCIONES DEL DIA 03/26/2019SPYRAL - GESTION ADMINISTRATIVA"/>
    <n v="35.369999999999997"/>
    <n v="0"/>
    <s v="PLAZA NUEVO TOCUMEN"/>
    <x v="4"/>
  </r>
  <r>
    <n v="165"/>
    <d v="2019-05-09T00:00:00"/>
    <x v="11"/>
    <x v="11"/>
    <x v="1"/>
    <s v="ADMINISTRACION DE SUCURSALES"/>
    <s v="NC GASTO NO DEDUCIBLES"/>
    <s v="TRANSACCIONES DEL DIA 05/09/2019SPYRAL - GESTION ADMINISTRATIVA"/>
    <n v="32.799999999999997"/>
    <n v="0"/>
    <s v="PLAZA NUEVO TOCUMEN"/>
    <x v="4"/>
  </r>
  <r>
    <n v="165"/>
    <d v="2019-06-03T00:00:00"/>
    <x v="2"/>
    <x v="2"/>
    <x v="1"/>
    <s v="ADMINISTRACION DE SUCURSALES"/>
    <s v="NC GASTO NO DEDUCIBLES"/>
    <s v="TRANSACCIONES DEL DIA 06/03/2019SPYRAL - GESTION ADMINISTRATIVA"/>
    <n v="39"/>
    <n v="0"/>
    <s v="PLAZA NUEVO TOCUMEN"/>
    <x v="4"/>
  </r>
  <r>
    <n v="165"/>
    <d v="2019-07-08T00:00:00"/>
    <x v="6"/>
    <x v="6"/>
    <x v="1"/>
    <s v="ADMINISTRACION DE SUCURSALES"/>
    <s v="NC GASTO NO DEDUCIBLES"/>
    <s v="TRANSACCIONES DEL DIA 07/08/2019SPYRAL - GESTION ADMINISTRATIVA"/>
    <n v="35.75"/>
    <n v="0"/>
    <s v="PLAZA NUEVO TOCUMEN"/>
    <x v="4"/>
  </r>
  <r>
    <n v="165"/>
    <d v="2019-07-23T00:00:00"/>
    <x v="6"/>
    <x v="6"/>
    <x v="1"/>
    <s v="ADMINISTRACION DE SUCURSALES"/>
    <s v="NC GASTO NO DEDUCIBLES"/>
    <s v="TRANSACCIONES DEL DIA 07/23/2019SPYRAL - GESTION ADMINISTRATIVA"/>
    <n v="32.130000000000003"/>
    <n v="0"/>
    <s v="PLAZA NUEVO TOCUMEN"/>
    <x v="4"/>
  </r>
  <r>
    <n v="196"/>
    <d v="2019-02-15T00:00:00"/>
    <x v="8"/>
    <x v="8"/>
    <x v="1"/>
    <s v="ADMINISTRACION DE SUCURSALES"/>
    <s v="NC GASTO NO DEDUCIBLES"/>
    <s v="TRANSACCIONES DEL DIA 02/15/2019SPYRAL - GESTION ADMINISTRATIVA"/>
    <n v="38.64"/>
    <n v="0"/>
    <s v="SANTA MARIA"/>
    <x v="4"/>
  </r>
  <r>
    <n v="196"/>
    <d v="2019-03-27T00:00:00"/>
    <x v="9"/>
    <x v="9"/>
    <x v="1"/>
    <s v="ADMINISTRACION DE SUCURSALES"/>
    <s v="NC GASTO NO DEDUCIBLES"/>
    <s v="TRANSACCIONES DEL DIA 03/27/2019SPYRAL - GESTION ADMINISTRATIVA"/>
    <n v="31.55"/>
    <n v="0"/>
    <s v="SANTA MARIA"/>
    <x v="4"/>
  </r>
  <r>
    <n v="196"/>
    <d v="2019-05-09T00:00:00"/>
    <x v="11"/>
    <x v="11"/>
    <x v="1"/>
    <s v="ADMINISTRACION DE SUCURSALES"/>
    <s v="NC GASTO NO DEDUCIBLES"/>
    <s v="TRANSACCIONES DEL DIA 05/09/2019SPYRAL - GESTION ADMINISTRATIVA"/>
    <n v="43.38"/>
    <n v="0"/>
    <s v="SANTA MARIA"/>
    <x v="4"/>
  </r>
  <r>
    <n v="196"/>
    <d v="2019-06-03T00:00:00"/>
    <x v="2"/>
    <x v="2"/>
    <x v="1"/>
    <s v="ADMINISTRACION DE SUCURSALES"/>
    <s v="NC GASTO NO DEDUCIBLES"/>
    <s v="TRANSACCIONES DEL DIA 06/03/2019SPYRAL - GESTION ADMINISTRATIVA"/>
    <n v="25.47"/>
    <n v="0"/>
    <s v="SANTA MARIA"/>
    <x v="4"/>
  </r>
</pivotCacheRecords>
</file>

<file path=xl/pivotCache/pivotCacheRecords5.xml><?xml version="1.0" encoding="utf-8"?>
<pivotCacheRecords xmlns="http://schemas.openxmlformats.org/spreadsheetml/2006/main" xmlns:r="http://schemas.openxmlformats.org/officeDocument/2006/relationships" count="912">
  <r>
    <x v="0"/>
    <x v="0"/>
    <x v="0"/>
    <m/>
    <n v="340"/>
    <x v="0"/>
  </r>
  <r>
    <x v="0"/>
    <x v="0"/>
    <x v="0"/>
    <m/>
    <n v="340"/>
    <x v="1"/>
  </r>
  <r>
    <x v="0"/>
    <x v="1"/>
    <x v="1"/>
    <n v="-29.260000000000105"/>
    <n v="170.88399999999999"/>
    <x v="0"/>
  </r>
  <r>
    <x v="0"/>
    <x v="1"/>
    <x v="1"/>
    <n v="-29.260000000000105"/>
    <n v="170.88399999999999"/>
    <x v="1"/>
  </r>
  <r>
    <x v="0"/>
    <x v="2"/>
    <x v="2"/>
    <n v="23.049999999999983"/>
    <n v="206.5446"/>
    <x v="0"/>
  </r>
  <r>
    <x v="0"/>
    <x v="2"/>
    <x v="2"/>
    <n v="23.049999999999983"/>
    <n v="206.5446"/>
    <x v="1"/>
  </r>
  <r>
    <x v="0"/>
    <x v="3"/>
    <x v="3"/>
    <n v="165.64"/>
    <n v="1800"/>
    <x v="0"/>
  </r>
  <r>
    <x v="0"/>
    <x v="3"/>
    <x v="3"/>
    <n v="165.64"/>
    <n v="1800"/>
    <x v="1"/>
  </r>
  <r>
    <x v="0"/>
    <x v="4"/>
    <x v="4"/>
    <n v="215.24"/>
    <n v="1333.5740000000001"/>
    <x v="0"/>
  </r>
  <r>
    <x v="0"/>
    <x v="4"/>
    <x v="4"/>
    <n v="215.24"/>
    <n v="1333.5740000000001"/>
    <x v="1"/>
  </r>
  <r>
    <x v="0"/>
    <x v="5"/>
    <x v="5"/>
    <n v="0"/>
    <n v="100"/>
    <x v="0"/>
  </r>
  <r>
    <x v="0"/>
    <x v="5"/>
    <x v="5"/>
    <n v="0"/>
    <n v="100"/>
    <x v="1"/>
  </r>
  <r>
    <x v="1"/>
    <x v="0"/>
    <x v="0"/>
    <m/>
    <n v="232"/>
    <x v="0"/>
  </r>
  <r>
    <x v="1"/>
    <x v="0"/>
    <x v="0"/>
    <m/>
    <n v="232"/>
    <x v="1"/>
  </r>
  <r>
    <x v="1"/>
    <x v="1"/>
    <x v="1"/>
    <n v="-502.27"/>
    <n v="1918.165"/>
    <x v="0"/>
  </r>
  <r>
    <x v="1"/>
    <x v="1"/>
    <x v="1"/>
    <n v="-502.27"/>
    <n v="1918.165"/>
    <x v="1"/>
  </r>
  <r>
    <x v="1"/>
    <x v="2"/>
    <x v="2"/>
    <n v="29.5"/>
    <n v="34.444400000000002"/>
    <x v="0"/>
  </r>
  <r>
    <x v="1"/>
    <x v="2"/>
    <x v="2"/>
    <n v="29.5"/>
    <n v="34.444400000000002"/>
    <x v="1"/>
  </r>
  <r>
    <x v="1"/>
    <x v="3"/>
    <x v="3"/>
    <n v="13.960000000000036"/>
    <n v="1224"/>
    <x v="0"/>
  </r>
  <r>
    <x v="1"/>
    <x v="3"/>
    <x v="3"/>
    <n v="13.960000000000036"/>
    <n v="1224"/>
    <x v="1"/>
  </r>
  <r>
    <x v="1"/>
    <x v="4"/>
    <x v="4"/>
    <n v="-72"/>
    <n v="682.928"/>
    <x v="0"/>
  </r>
  <r>
    <x v="1"/>
    <x v="4"/>
    <x v="4"/>
    <n v="-72"/>
    <n v="682.928"/>
    <x v="1"/>
  </r>
  <r>
    <x v="1"/>
    <x v="5"/>
    <x v="5"/>
    <m/>
    <n v="100"/>
    <x v="0"/>
  </r>
  <r>
    <x v="1"/>
    <x v="5"/>
    <x v="5"/>
    <m/>
    <n v="100"/>
    <x v="1"/>
  </r>
  <r>
    <x v="2"/>
    <x v="0"/>
    <x v="0"/>
    <m/>
    <n v="368"/>
    <x v="0"/>
  </r>
  <r>
    <x v="2"/>
    <x v="0"/>
    <x v="0"/>
    <m/>
    <n v="368"/>
    <x v="1"/>
  </r>
  <r>
    <x v="2"/>
    <x v="1"/>
    <x v="1"/>
    <n v="-227.33000000000004"/>
    <n v="713.70420000000001"/>
    <x v="0"/>
  </r>
  <r>
    <x v="2"/>
    <x v="1"/>
    <x v="1"/>
    <n v="-227.33000000000004"/>
    <n v="713.70420000000001"/>
    <x v="1"/>
  </r>
  <r>
    <x v="2"/>
    <x v="2"/>
    <x v="2"/>
    <n v="6.0499999999999829"/>
    <n v="164.39859999999999"/>
    <x v="0"/>
  </r>
  <r>
    <x v="2"/>
    <x v="2"/>
    <x v="2"/>
    <n v="6.0499999999999829"/>
    <n v="164.39859999999999"/>
    <x v="1"/>
  </r>
  <r>
    <x v="2"/>
    <x v="3"/>
    <x v="3"/>
    <n v="-192.96000000000004"/>
    <n v="1944"/>
    <x v="0"/>
  </r>
  <r>
    <x v="2"/>
    <x v="3"/>
    <x v="3"/>
    <n v="-192.96000000000004"/>
    <n v="1944"/>
    <x v="1"/>
  </r>
  <r>
    <x v="2"/>
    <x v="4"/>
    <x v="4"/>
    <n v="-8"/>
    <n v="1627.5476000000001"/>
    <x v="0"/>
  </r>
  <r>
    <x v="2"/>
    <x v="4"/>
    <x v="4"/>
    <n v="-8"/>
    <n v="1627.5476000000001"/>
    <x v="1"/>
  </r>
  <r>
    <x v="2"/>
    <x v="5"/>
    <x v="5"/>
    <m/>
    <n v="264"/>
    <x v="0"/>
  </r>
  <r>
    <x v="2"/>
    <x v="5"/>
    <x v="5"/>
    <m/>
    <n v="264"/>
    <x v="1"/>
  </r>
  <r>
    <x v="3"/>
    <x v="0"/>
    <x v="0"/>
    <m/>
    <n v="246"/>
    <x v="0"/>
  </r>
  <r>
    <x v="3"/>
    <x v="0"/>
    <x v="0"/>
    <m/>
    <n v="246"/>
    <x v="1"/>
  </r>
  <r>
    <x v="3"/>
    <x v="1"/>
    <x v="1"/>
    <n v="-139.23000000000002"/>
    <n v="601.20060000000001"/>
    <x v="0"/>
  </r>
  <r>
    <x v="3"/>
    <x v="1"/>
    <x v="1"/>
    <n v="-139.23000000000002"/>
    <n v="601.20060000000001"/>
    <x v="1"/>
  </r>
  <r>
    <x v="3"/>
    <x v="2"/>
    <x v="2"/>
    <n v="14.399999999999991"/>
    <n v="41.252000000000002"/>
    <x v="0"/>
  </r>
  <r>
    <x v="3"/>
    <x v="2"/>
    <x v="2"/>
    <n v="14.399999999999991"/>
    <n v="41.252000000000002"/>
    <x v="1"/>
  </r>
  <r>
    <x v="3"/>
    <x v="3"/>
    <x v="3"/>
    <n v="79.510000000000048"/>
    <n v="1296"/>
    <x v="0"/>
  </r>
  <r>
    <x v="3"/>
    <x v="3"/>
    <x v="3"/>
    <n v="79.510000000000048"/>
    <n v="1296"/>
    <x v="1"/>
  </r>
  <r>
    <x v="3"/>
    <x v="4"/>
    <x v="4"/>
    <n v="-20.689999999999998"/>
    <n v="35.943600000000004"/>
    <x v="0"/>
  </r>
  <r>
    <x v="3"/>
    <x v="4"/>
    <x v="4"/>
    <n v="-20.689999999999998"/>
    <n v="35.943600000000004"/>
    <x v="1"/>
  </r>
  <r>
    <x v="3"/>
    <x v="5"/>
    <x v="5"/>
    <n v="-25"/>
    <n v="100"/>
    <x v="0"/>
  </r>
  <r>
    <x v="3"/>
    <x v="5"/>
    <x v="5"/>
    <n v="-25"/>
    <n v="100"/>
    <x v="1"/>
  </r>
  <r>
    <x v="4"/>
    <x v="0"/>
    <x v="0"/>
    <m/>
    <n v="666"/>
    <x v="0"/>
  </r>
  <r>
    <x v="4"/>
    <x v="0"/>
    <x v="0"/>
    <m/>
    <n v="666"/>
    <x v="1"/>
  </r>
  <r>
    <x v="4"/>
    <x v="1"/>
    <x v="1"/>
    <n v="4525.2200000000012"/>
    <n v="51258.410799999998"/>
    <x v="0"/>
  </r>
  <r>
    <x v="4"/>
    <x v="1"/>
    <x v="1"/>
    <n v="4525.2200000000012"/>
    <n v="51258.410799999998"/>
    <x v="1"/>
  </r>
  <r>
    <x v="4"/>
    <x v="2"/>
    <x v="2"/>
    <n v="32.700000000000003"/>
    <n v="243.5496"/>
    <x v="0"/>
  </r>
  <r>
    <x v="4"/>
    <x v="2"/>
    <x v="2"/>
    <n v="32.700000000000003"/>
    <n v="243.5496"/>
    <x v="1"/>
  </r>
  <r>
    <x v="4"/>
    <x v="3"/>
    <x v="3"/>
    <n v="395.67000000000007"/>
    <n v="3528"/>
    <x v="0"/>
  </r>
  <r>
    <x v="4"/>
    <x v="3"/>
    <x v="3"/>
    <n v="395.67000000000007"/>
    <n v="3528"/>
    <x v="1"/>
  </r>
  <r>
    <x v="4"/>
    <x v="4"/>
    <x v="4"/>
    <n v="412.58000000000015"/>
    <n v="2349.0025999999998"/>
    <x v="0"/>
  </r>
  <r>
    <x v="4"/>
    <x v="4"/>
    <x v="4"/>
    <n v="412.58000000000015"/>
    <n v="2349.0025999999998"/>
    <x v="1"/>
  </r>
  <r>
    <x v="4"/>
    <x v="5"/>
    <x v="5"/>
    <m/>
    <n v="420"/>
    <x v="0"/>
  </r>
  <r>
    <x v="4"/>
    <x v="5"/>
    <x v="5"/>
    <m/>
    <n v="420"/>
    <x v="1"/>
  </r>
  <r>
    <x v="5"/>
    <x v="0"/>
    <x v="0"/>
    <m/>
    <n v="178"/>
    <x v="0"/>
  </r>
  <r>
    <x v="5"/>
    <x v="0"/>
    <x v="0"/>
    <m/>
    <n v="178"/>
    <x v="1"/>
  </r>
  <r>
    <x v="5"/>
    <x v="1"/>
    <x v="1"/>
    <n v="-66.170000000000044"/>
    <n v="405.41660000000002"/>
    <x v="0"/>
  </r>
  <r>
    <x v="5"/>
    <x v="1"/>
    <x v="1"/>
    <n v="-66.170000000000044"/>
    <n v="405.41660000000002"/>
    <x v="1"/>
  </r>
  <r>
    <x v="5"/>
    <x v="2"/>
    <x v="2"/>
    <n v="55.699999999999989"/>
    <n v="93.071200000000005"/>
    <x v="0"/>
  </r>
  <r>
    <x v="5"/>
    <x v="2"/>
    <x v="2"/>
    <n v="55.699999999999989"/>
    <n v="93.071200000000005"/>
    <x v="1"/>
  </r>
  <r>
    <x v="5"/>
    <x v="3"/>
    <x v="3"/>
    <n v="216.06000000000012"/>
    <n v="936"/>
    <x v="0"/>
  </r>
  <r>
    <x v="5"/>
    <x v="3"/>
    <x v="3"/>
    <n v="216.06000000000012"/>
    <n v="936"/>
    <x v="1"/>
  </r>
  <r>
    <x v="5"/>
    <x v="4"/>
    <x v="4"/>
    <n v="0"/>
    <n v="17.971800000000002"/>
    <x v="0"/>
  </r>
  <r>
    <x v="5"/>
    <x v="4"/>
    <x v="4"/>
    <n v="0"/>
    <n v="17.971800000000002"/>
    <x v="1"/>
  </r>
  <r>
    <x v="5"/>
    <x v="5"/>
    <x v="5"/>
    <m/>
    <n v="100"/>
    <x v="0"/>
  </r>
  <r>
    <x v="5"/>
    <x v="5"/>
    <x v="5"/>
    <m/>
    <n v="100"/>
    <x v="1"/>
  </r>
  <r>
    <x v="6"/>
    <x v="0"/>
    <x v="0"/>
    <m/>
    <n v="136"/>
    <x v="0"/>
  </r>
  <r>
    <x v="6"/>
    <x v="0"/>
    <x v="0"/>
    <m/>
    <n v="136"/>
    <x v="1"/>
  </r>
  <r>
    <x v="6"/>
    <x v="1"/>
    <x v="1"/>
    <n v="-91.059999999999945"/>
    <n v="1056.9844000000001"/>
    <x v="0"/>
  </r>
  <r>
    <x v="6"/>
    <x v="1"/>
    <x v="1"/>
    <n v="-91.059999999999945"/>
    <n v="1056.9844000000001"/>
    <x v="1"/>
  </r>
  <r>
    <x v="6"/>
    <x v="2"/>
    <x v="2"/>
    <n v="-1.4500000000000028"/>
    <n v="122.74"/>
    <x v="0"/>
  </r>
  <r>
    <x v="6"/>
    <x v="2"/>
    <x v="2"/>
    <n v="-1.4500000000000028"/>
    <n v="122.74"/>
    <x v="1"/>
  </r>
  <r>
    <x v="6"/>
    <x v="3"/>
    <x v="3"/>
    <n v="133.80000000000001"/>
    <n v="720"/>
    <x v="0"/>
  </r>
  <r>
    <x v="6"/>
    <x v="3"/>
    <x v="3"/>
    <n v="133.80000000000001"/>
    <n v="720"/>
    <x v="1"/>
  </r>
  <r>
    <x v="6"/>
    <x v="4"/>
    <x v="4"/>
    <n v="44.91"/>
    <n v="317.98840000000001"/>
    <x v="0"/>
  </r>
  <r>
    <x v="6"/>
    <x v="4"/>
    <x v="4"/>
    <n v="44.91"/>
    <n v="317.98840000000001"/>
    <x v="1"/>
  </r>
  <r>
    <x v="6"/>
    <x v="5"/>
    <x v="5"/>
    <n v="0"/>
    <n v="100"/>
    <x v="0"/>
  </r>
  <r>
    <x v="6"/>
    <x v="5"/>
    <x v="5"/>
    <n v="0"/>
    <n v="100"/>
    <x v="1"/>
  </r>
  <r>
    <x v="7"/>
    <x v="0"/>
    <x v="0"/>
    <m/>
    <n v="218"/>
    <x v="0"/>
  </r>
  <r>
    <x v="7"/>
    <x v="0"/>
    <x v="0"/>
    <m/>
    <n v="218"/>
    <x v="1"/>
  </r>
  <r>
    <x v="7"/>
    <x v="1"/>
    <x v="1"/>
    <n v="-780.56000000000006"/>
    <n v="211.30160000000001"/>
    <x v="0"/>
  </r>
  <r>
    <x v="7"/>
    <x v="1"/>
    <x v="1"/>
    <n v="-780.56000000000006"/>
    <n v="211.30160000000001"/>
    <x v="1"/>
  </r>
  <r>
    <x v="7"/>
    <x v="2"/>
    <x v="2"/>
    <n v="1.5000000000000071"/>
    <n v="112.173"/>
    <x v="0"/>
  </r>
  <r>
    <x v="7"/>
    <x v="2"/>
    <x v="2"/>
    <n v="1.5000000000000071"/>
    <n v="112.173"/>
    <x v="1"/>
  </r>
  <r>
    <x v="7"/>
    <x v="3"/>
    <x v="3"/>
    <n v="79.610000000000014"/>
    <n v="1152"/>
    <x v="0"/>
  </r>
  <r>
    <x v="7"/>
    <x v="3"/>
    <x v="3"/>
    <n v="79.610000000000014"/>
    <n v="1152"/>
    <x v="1"/>
  </r>
  <r>
    <x v="7"/>
    <x v="4"/>
    <x v="4"/>
    <n v="-226.64999999999986"/>
    <n v="2755.7266"/>
    <x v="0"/>
  </r>
  <r>
    <x v="7"/>
    <x v="4"/>
    <x v="4"/>
    <n v="-226.64999999999986"/>
    <n v="2755.7266"/>
    <x v="1"/>
  </r>
  <r>
    <x v="7"/>
    <x v="5"/>
    <x v="5"/>
    <n v="0"/>
    <n v="100"/>
    <x v="0"/>
  </r>
  <r>
    <x v="7"/>
    <x v="5"/>
    <x v="5"/>
    <n v="0"/>
    <n v="100"/>
    <x v="1"/>
  </r>
  <r>
    <x v="8"/>
    <x v="0"/>
    <x v="0"/>
    <m/>
    <n v="300"/>
    <x v="0"/>
  </r>
  <r>
    <x v="8"/>
    <x v="0"/>
    <x v="0"/>
    <m/>
    <n v="300"/>
    <x v="1"/>
  </r>
  <r>
    <x v="8"/>
    <x v="1"/>
    <x v="1"/>
    <n v="-12.700000000000017"/>
    <n v="1402.21"/>
    <x v="0"/>
  </r>
  <r>
    <x v="8"/>
    <x v="1"/>
    <x v="1"/>
    <n v="-12.700000000000017"/>
    <n v="1402.21"/>
    <x v="1"/>
  </r>
  <r>
    <x v="8"/>
    <x v="2"/>
    <x v="2"/>
    <n v="592.49999999999989"/>
    <n v="1674.6702"/>
    <x v="0"/>
  </r>
  <r>
    <x v="8"/>
    <x v="2"/>
    <x v="2"/>
    <n v="592.49999999999989"/>
    <n v="1674.6702"/>
    <x v="1"/>
  </r>
  <r>
    <x v="8"/>
    <x v="3"/>
    <x v="3"/>
    <n v="372.98"/>
    <n v="1584"/>
    <x v="0"/>
  </r>
  <r>
    <x v="8"/>
    <x v="3"/>
    <x v="3"/>
    <n v="372.98"/>
    <n v="1584"/>
    <x v="1"/>
  </r>
  <r>
    <x v="8"/>
    <x v="4"/>
    <x v="4"/>
    <n v="91.03"/>
    <n v="68.382599999999996"/>
    <x v="0"/>
  </r>
  <r>
    <x v="8"/>
    <x v="4"/>
    <x v="4"/>
    <n v="91.03"/>
    <n v="68.382599999999996"/>
    <x v="1"/>
  </r>
  <r>
    <x v="8"/>
    <x v="5"/>
    <x v="5"/>
    <n v="5.7999999999999972"/>
    <n v="100"/>
    <x v="0"/>
  </r>
  <r>
    <x v="8"/>
    <x v="5"/>
    <x v="5"/>
    <n v="5.7999999999999972"/>
    <n v="100"/>
    <x v="1"/>
  </r>
  <r>
    <x v="9"/>
    <x v="0"/>
    <x v="0"/>
    <m/>
    <n v="382"/>
    <x v="0"/>
  </r>
  <r>
    <x v="9"/>
    <x v="0"/>
    <x v="0"/>
    <m/>
    <n v="382"/>
    <x v="1"/>
  </r>
  <r>
    <x v="9"/>
    <x v="1"/>
    <x v="1"/>
    <n v="1239.2100000000009"/>
    <n v="15281.15"/>
    <x v="0"/>
  </r>
  <r>
    <x v="9"/>
    <x v="1"/>
    <x v="1"/>
    <n v="1239.2100000000009"/>
    <n v="15281.15"/>
    <x v="1"/>
  </r>
  <r>
    <x v="9"/>
    <x v="2"/>
    <x v="2"/>
    <n v="0"/>
    <n v="35.663800000000002"/>
    <x v="0"/>
  </r>
  <r>
    <x v="9"/>
    <x v="2"/>
    <x v="2"/>
    <n v="0"/>
    <n v="35.663800000000002"/>
    <x v="1"/>
  </r>
  <r>
    <x v="9"/>
    <x v="3"/>
    <x v="3"/>
    <n v="387.4"/>
    <n v="2016"/>
    <x v="0"/>
  </r>
  <r>
    <x v="9"/>
    <x v="3"/>
    <x v="3"/>
    <n v="387.4"/>
    <n v="2016"/>
    <x v="1"/>
  </r>
  <r>
    <x v="9"/>
    <x v="4"/>
    <x v="4"/>
    <n v="-72.63"/>
    <n v="1096.279"/>
    <x v="0"/>
  </r>
  <r>
    <x v="9"/>
    <x v="4"/>
    <x v="4"/>
    <n v="-72.63"/>
    <n v="1096.279"/>
    <x v="1"/>
  </r>
  <r>
    <x v="9"/>
    <x v="5"/>
    <x v="5"/>
    <m/>
    <n v="100"/>
    <x v="0"/>
  </r>
  <r>
    <x v="9"/>
    <x v="5"/>
    <x v="5"/>
    <m/>
    <n v="100"/>
    <x v="1"/>
  </r>
  <r>
    <x v="10"/>
    <x v="0"/>
    <x v="0"/>
    <m/>
    <n v="246"/>
    <x v="0"/>
  </r>
  <r>
    <x v="10"/>
    <x v="0"/>
    <x v="0"/>
    <m/>
    <n v="246"/>
    <x v="1"/>
  </r>
  <r>
    <x v="10"/>
    <x v="1"/>
    <x v="1"/>
    <m/>
    <n v="0"/>
    <x v="0"/>
  </r>
  <r>
    <x v="10"/>
    <x v="1"/>
    <x v="1"/>
    <m/>
    <n v="0"/>
    <x v="1"/>
  </r>
  <r>
    <x v="10"/>
    <x v="2"/>
    <x v="2"/>
    <n v="-40.300000000000011"/>
    <n v="117.6598"/>
    <x v="0"/>
  </r>
  <r>
    <x v="10"/>
    <x v="2"/>
    <x v="2"/>
    <n v="-40.300000000000011"/>
    <n v="117.6598"/>
    <x v="1"/>
  </r>
  <r>
    <x v="10"/>
    <x v="3"/>
    <x v="3"/>
    <n v="311.61999999999989"/>
    <n v="1296"/>
    <x v="0"/>
  </r>
  <r>
    <x v="10"/>
    <x v="3"/>
    <x v="3"/>
    <n v="311.61999999999989"/>
    <n v="1296"/>
    <x v="1"/>
  </r>
  <r>
    <x v="10"/>
    <x v="4"/>
    <x v="4"/>
    <n v="-21.4"/>
    <n v="1401.7994000000001"/>
    <x v="0"/>
  </r>
  <r>
    <x v="10"/>
    <x v="4"/>
    <x v="4"/>
    <n v="-21.4"/>
    <n v="1401.7994000000001"/>
    <x v="1"/>
  </r>
  <r>
    <x v="10"/>
    <x v="5"/>
    <x v="5"/>
    <n v="0"/>
    <n v="100"/>
    <x v="0"/>
  </r>
  <r>
    <x v="10"/>
    <x v="5"/>
    <x v="5"/>
    <n v="0"/>
    <n v="100"/>
    <x v="1"/>
  </r>
  <r>
    <x v="11"/>
    <x v="0"/>
    <x v="0"/>
    <m/>
    <n v="382"/>
    <x v="0"/>
  </r>
  <r>
    <x v="11"/>
    <x v="0"/>
    <x v="0"/>
    <m/>
    <n v="382"/>
    <x v="1"/>
  </r>
  <r>
    <x v="11"/>
    <x v="1"/>
    <x v="1"/>
    <n v="6513.8500000000076"/>
    <n v="40799.469799999999"/>
    <x v="0"/>
  </r>
  <r>
    <x v="11"/>
    <x v="1"/>
    <x v="1"/>
    <n v="6513.8500000000076"/>
    <n v="40799.469799999999"/>
    <x v="1"/>
  </r>
  <r>
    <x v="11"/>
    <x v="2"/>
    <x v="2"/>
    <n v="-42.699999999999989"/>
    <n v="191.12100000000001"/>
    <x v="0"/>
  </r>
  <r>
    <x v="11"/>
    <x v="2"/>
    <x v="2"/>
    <n v="-42.699999999999989"/>
    <n v="191.12100000000001"/>
    <x v="1"/>
  </r>
  <r>
    <x v="11"/>
    <x v="3"/>
    <x v="3"/>
    <n v="175.00000000000045"/>
    <n v="2016"/>
    <x v="0"/>
  </r>
  <r>
    <x v="11"/>
    <x v="3"/>
    <x v="3"/>
    <n v="175.00000000000045"/>
    <n v="2016"/>
    <x v="1"/>
  </r>
  <r>
    <x v="11"/>
    <x v="4"/>
    <x v="4"/>
    <n v="1175.9999999999995"/>
    <n v="8638.4416000000001"/>
    <x v="0"/>
  </r>
  <r>
    <x v="11"/>
    <x v="4"/>
    <x v="4"/>
    <n v="1175.9999999999995"/>
    <n v="8638.4416000000001"/>
    <x v="1"/>
  </r>
  <r>
    <x v="11"/>
    <x v="5"/>
    <x v="5"/>
    <m/>
    <n v="100"/>
    <x v="0"/>
  </r>
  <r>
    <x v="11"/>
    <x v="5"/>
    <x v="5"/>
    <m/>
    <n v="100"/>
    <x v="1"/>
  </r>
  <r>
    <x v="12"/>
    <x v="0"/>
    <x v="0"/>
    <m/>
    <n v="164"/>
    <x v="0"/>
  </r>
  <r>
    <x v="12"/>
    <x v="0"/>
    <x v="0"/>
    <m/>
    <n v="164"/>
    <x v="1"/>
  </r>
  <r>
    <x v="12"/>
    <x v="1"/>
    <x v="1"/>
    <n v="-398.44"/>
    <n v="963.19839999999999"/>
    <x v="0"/>
  </r>
  <r>
    <x v="12"/>
    <x v="1"/>
    <x v="1"/>
    <n v="-398.44"/>
    <n v="963.19839999999999"/>
    <x v="1"/>
  </r>
  <r>
    <x v="12"/>
    <x v="2"/>
    <x v="2"/>
    <n v="2.4000000000000057"/>
    <n v="36.476599999999998"/>
    <x v="0"/>
  </r>
  <r>
    <x v="12"/>
    <x v="2"/>
    <x v="2"/>
    <n v="2.4000000000000057"/>
    <n v="36.476599999999998"/>
    <x v="1"/>
  </r>
  <r>
    <x v="12"/>
    <x v="3"/>
    <x v="3"/>
    <n v="-49.260000000000048"/>
    <n v="864"/>
    <x v="0"/>
  </r>
  <r>
    <x v="12"/>
    <x v="3"/>
    <x v="3"/>
    <n v="-49.260000000000048"/>
    <n v="864"/>
    <x v="1"/>
  </r>
  <r>
    <x v="12"/>
    <x v="4"/>
    <x v="4"/>
    <n v="0"/>
    <n v="17.971800000000002"/>
    <x v="0"/>
  </r>
  <r>
    <x v="12"/>
    <x v="4"/>
    <x v="4"/>
    <n v="0"/>
    <n v="17.971800000000002"/>
    <x v="1"/>
  </r>
  <r>
    <x v="12"/>
    <x v="5"/>
    <x v="5"/>
    <m/>
    <n v="100"/>
    <x v="0"/>
  </r>
  <r>
    <x v="12"/>
    <x v="5"/>
    <x v="5"/>
    <m/>
    <n v="100"/>
    <x v="1"/>
  </r>
  <r>
    <x v="13"/>
    <x v="0"/>
    <x v="0"/>
    <m/>
    <n v="192"/>
    <x v="0"/>
  </r>
  <r>
    <x v="13"/>
    <x v="0"/>
    <x v="0"/>
    <m/>
    <n v="192"/>
    <x v="1"/>
  </r>
  <r>
    <x v="13"/>
    <x v="1"/>
    <x v="1"/>
    <n v="-467.50000000000006"/>
    <n v="888.10699999999997"/>
    <x v="0"/>
  </r>
  <r>
    <x v="13"/>
    <x v="1"/>
    <x v="1"/>
    <n v="-467.50000000000006"/>
    <n v="888.10699999999997"/>
    <x v="1"/>
  </r>
  <r>
    <x v="13"/>
    <x v="2"/>
    <x v="2"/>
    <n v="32.399999999999977"/>
    <n v="372.38600000000002"/>
    <x v="0"/>
  </r>
  <r>
    <x v="13"/>
    <x v="2"/>
    <x v="2"/>
    <n v="32.399999999999977"/>
    <n v="372.38600000000002"/>
    <x v="1"/>
  </r>
  <r>
    <x v="13"/>
    <x v="3"/>
    <x v="3"/>
    <n v="-51.550000000000068"/>
    <n v="1008"/>
    <x v="0"/>
  </r>
  <r>
    <x v="13"/>
    <x v="3"/>
    <x v="3"/>
    <n v="-51.550000000000068"/>
    <n v="1008"/>
    <x v="1"/>
  </r>
  <r>
    <x v="13"/>
    <x v="4"/>
    <x v="4"/>
    <n v="26.79000000000002"/>
    <n v="423.01100000000002"/>
    <x v="0"/>
  </r>
  <r>
    <x v="13"/>
    <x v="4"/>
    <x v="4"/>
    <n v="26.79000000000002"/>
    <n v="423.01100000000002"/>
    <x v="1"/>
  </r>
  <r>
    <x v="13"/>
    <x v="5"/>
    <x v="5"/>
    <n v="0"/>
    <n v="100"/>
    <x v="0"/>
  </r>
  <r>
    <x v="13"/>
    <x v="5"/>
    <x v="5"/>
    <n v="0"/>
    <n v="100"/>
    <x v="1"/>
  </r>
  <r>
    <x v="14"/>
    <x v="0"/>
    <x v="0"/>
    <m/>
    <n v="192"/>
    <x v="0"/>
  </r>
  <r>
    <x v="14"/>
    <x v="0"/>
    <x v="0"/>
    <m/>
    <n v="192"/>
    <x v="1"/>
  </r>
  <r>
    <x v="14"/>
    <x v="1"/>
    <x v="1"/>
    <n v="-219.51000000000002"/>
    <n v="598.56960000000004"/>
    <x v="0"/>
  </r>
  <r>
    <x v="14"/>
    <x v="1"/>
    <x v="1"/>
    <n v="-219.51000000000002"/>
    <n v="598.56960000000004"/>
    <x v="1"/>
  </r>
  <r>
    <x v="14"/>
    <x v="2"/>
    <x v="2"/>
    <n v="-46.609999999999992"/>
    <n v="120.5048"/>
    <x v="0"/>
  </r>
  <r>
    <x v="14"/>
    <x v="2"/>
    <x v="2"/>
    <n v="-46.609999999999992"/>
    <n v="120.5048"/>
    <x v="1"/>
  </r>
  <r>
    <x v="14"/>
    <x v="3"/>
    <x v="3"/>
    <n v="81.37"/>
    <n v="1008"/>
    <x v="0"/>
  </r>
  <r>
    <x v="14"/>
    <x v="3"/>
    <x v="3"/>
    <n v="81.37"/>
    <n v="1008"/>
    <x v="1"/>
  </r>
  <r>
    <x v="14"/>
    <x v="4"/>
    <x v="4"/>
    <n v="8"/>
    <n v="143.77440000000001"/>
    <x v="0"/>
  </r>
  <r>
    <x v="14"/>
    <x v="4"/>
    <x v="4"/>
    <n v="8"/>
    <n v="143.77440000000001"/>
    <x v="1"/>
  </r>
  <r>
    <x v="14"/>
    <x v="5"/>
    <x v="5"/>
    <m/>
    <n v="100"/>
    <x v="0"/>
  </r>
  <r>
    <x v="14"/>
    <x v="5"/>
    <x v="5"/>
    <m/>
    <n v="100"/>
    <x v="1"/>
  </r>
  <r>
    <x v="15"/>
    <x v="0"/>
    <x v="0"/>
    <m/>
    <n v="192"/>
    <x v="0"/>
  </r>
  <r>
    <x v="15"/>
    <x v="0"/>
    <x v="0"/>
    <m/>
    <n v="192"/>
    <x v="1"/>
  </r>
  <r>
    <x v="15"/>
    <x v="1"/>
    <x v="1"/>
    <n v="-4.6999999999999318"/>
    <n v="1522.8358000000001"/>
    <x v="0"/>
  </r>
  <r>
    <x v="15"/>
    <x v="1"/>
    <x v="1"/>
    <n v="-4.6999999999999318"/>
    <n v="1522.8358000000001"/>
    <x v="1"/>
  </r>
  <r>
    <x v="15"/>
    <x v="2"/>
    <x v="2"/>
    <n v="12.900000000000006"/>
    <n v="211.13720000000001"/>
    <x v="0"/>
  </r>
  <r>
    <x v="15"/>
    <x v="2"/>
    <x v="2"/>
    <n v="12.900000000000006"/>
    <n v="211.13720000000001"/>
    <x v="1"/>
  </r>
  <r>
    <x v="15"/>
    <x v="3"/>
    <x v="3"/>
    <n v="296.56999999999994"/>
    <n v="1008"/>
    <x v="0"/>
  </r>
  <r>
    <x v="15"/>
    <x v="3"/>
    <x v="3"/>
    <n v="296.56999999999994"/>
    <n v="1008"/>
    <x v="1"/>
  </r>
  <r>
    <x v="15"/>
    <x v="4"/>
    <x v="4"/>
    <m/>
    <n v="238.77760000000001"/>
    <x v="0"/>
  </r>
  <r>
    <x v="15"/>
    <x v="4"/>
    <x v="4"/>
    <m/>
    <n v="238.77760000000001"/>
    <x v="1"/>
  </r>
  <r>
    <x v="15"/>
    <x v="5"/>
    <x v="5"/>
    <n v="-29.26"/>
    <n v="120"/>
    <x v="0"/>
  </r>
  <r>
    <x v="15"/>
    <x v="5"/>
    <x v="5"/>
    <n v="-29.26"/>
    <n v="120"/>
    <x v="1"/>
  </r>
  <r>
    <x v="16"/>
    <x v="0"/>
    <x v="0"/>
    <m/>
    <n v="408"/>
    <x v="0"/>
  </r>
  <r>
    <x v="16"/>
    <x v="0"/>
    <x v="0"/>
    <m/>
    <n v="408"/>
    <x v="1"/>
  </r>
  <r>
    <x v="16"/>
    <x v="1"/>
    <x v="1"/>
    <n v="1364.9800000000014"/>
    <n v="27089.0154"/>
    <x v="0"/>
  </r>
  <r>
    <x v="16"/>
    <x v="1"/>
    <x v="1"/>
    <n v="1364.9800000000014"/>
    <n v="27089.0154"/>
    <x v="1"/>
  </r>
  <r>
    <x v="16"/>
    <x v="2"/>
    <x v="2"/>
    <n v="-8.1499999999999915"/>
    <n v="194.77879999999999"/>
    <x v="0"/>
  </r>
  <r>
    <x v="16"/>
    <x v="2"/>
    <x v="2"/>
    <n v="-8.1499999999999915"/>
    <n v="194.77879999999999"/>
    <x v="1"/>
  </r>
  <r>
    <x v="16"/>
    <x v="3"/>
    <x v="3"/>
    <n v="624.85"/>
    <n v="2160"/>
    <x v="0"/>
  </r>
  <r>
    <x v="16"/>
    <x v="3"/>
    <x v="3"/>
    <n v="624.85"/>
    <n v="2160"/>
    <x v="1"/>
  </r>
  <r>
    <x v="16"/>
    <x v="4"/>
    <x v="4"/>
    <n v="117.73999999999978"/>
    <n v="5083.9492"/>
    <x v="0"/>
  </r>
  <r>
    <x v="16"/>
    <x v="4"/>
    <x v="4"/>
    <n v="117.73999999999978"/>
    <n v="5083.9492"/>
    <x v="1"/>
  </r>
  <r>
    <x v="16"/>
    <x v="5"/>
    <x v="5"/>
    <n v="0"/>
    <n v="288"/>
    <x v="0"/>
  </r>
  <r>
    <x v="16"/>
    <x v="5"/>
    <x v="5"/>
    <n v="0"/>
    <n v="288"/>
    <x v="1"/>
  </r>
  <r>
    <x v="17"/>
    <x v="0"/>
    <x v="0"/>
    <m/>
    <n v="394"/>
    <x v="0"/>
  </r>
  <r>
    <x v="17"/>
    <x v="0"/>
    <x v="0"/>
    <m/>
    <n v="394"/>
    <x v="1"/>
  </r>
  <r>
    <x v="17"/>
    <x v="1"/>
    <x v="1"/>
    <n v="4927.5199999999932"/>
    <n v="51422.146200000003"/>
    <x v="0"/>
  </r>
  <r>
    <x v="17"/>
    <x v="1"/>
    <x v="1"/>
    <n v="4927.5199999999932"/>
    <n v="51422.146200000003"/>
    <x v="1"/>
  </r>
  <r>
    <x v="17"/>
    <x v="2"/>
    <x v="2"/>
    <n v="-77.849999999999994"/>
    <n v="193.55940000000001"/>
    <x v="0"/>
  </r>
  <r>
    <x v="17"/>
    <x v="2"/>
    <x v="2"/>
    <n v="-77.849999999999994"/>
    <n v="193.55940000000001"/>
    <x v="1"/>
  </r>
  <r>
    <x v="17"/>
    <x v="3"/>
    <x v="3"/>
    <n v="452.32999999999993"/>
    <n v="2088"/>
    <x v="0"/>
  </r>
  <r>
    <x v="17"/>
    <x v="3"/>
    <x v="3"/>
    <n v="452.32999999999993"/>
    <n v="2088"/>
    <x v="1"/>
  </r>
  <r>
    <x v="17"/>
    <x v="4"/>
    <x v="4"/>
    <n v="1592"/>
    <n v="6809.1382000000003"/>
    <x v="0"/>
  </r>
  <r>
    <x v="17"/>
    <x v="4"/>
    <x v="4"/>
    <n v="1592"/>
    <n v="6809.1382000000003"/>
    <x v="1"/>
  </r>
  <r>
    <x v="17"/>
    <x v="5"/>
    <x v="5"/>
    <n v="0"/>
    <n v="264"/>
    <x v="0"/>
  </r>
  <r>
    <x v="17"/>
    <x v="5"/>
    <x v="5"/>
    <n v="0"/>
    <n v="264"/>
    <x v="1"/>
  </r>
  <r>
    <x v="18"/>
    <x v="0"/>
    <x v="0"/>
    <m/>
    <n v="218"/>
    <x v="0"/>
  </r>
  <r>
    <x v="18"/>
    <x v="0"/>
    <x v="0"/>
    <m/>
    <n v="218"/>
    <x v="1"/>
  </r>
  <r>
    <x v="18"/>
    <x v="1"/>
    <x v="1"/>
    <n v="-92.95999999999998"/>
    <n v="892.43340000000001"/>
    <x v="0"/>
  </r>
  <r>
    <x v="18"/>
    <x v="1"/>
    <x v="1"/>
    <n v="-92.95999999999998"/>
    <n v="892.43340000000001"/>
    <x v="1"/>
  </r>
  <r>
    <x v="18"/>
    <x v="2"/>
    <x v="2"/>
    <n v="20.350000000000364"/>
    <n v="121.0128"/>
    <x v="0"/>
  </r>
  <r>
    <x v="18"/>
    <x v="2"/>
    <x v="2"/>
    <n v="20.350000000000364"/>
    <n v="121.0128"/>
    <x v="1"/>
  </r>
  <r>
    <x v="18"/>
    <x v="3"/>
    <x v="3"/>
    <n v="-0.82999999999998408"/>
    <n v="1152"/>
    <x v="0"/>
  </r>
  <r>
    <x v="18"/>
    <x v="3"/>
    <x v="3"/>
    <n v="-0.82999999999998408"/>
    <n v="1152"/>
    <x v="1"/>
  </r>
  <r>
    <x v="18"/>
    <x v="4"/>
    <x v="4"/>
    <n v="63.64"/>
    <n v="36.550199999999997"/>
    <x v="0"/>
  </r>
  <r>
    <x v="18"/>
    <x v="4"/>
    <x v="4"/>
    <n v="63.64"/>
    <n v="36.550199999999997"/>
    <x v="1"/>
  </r>
  <r>
    <x v="18"/>
    <x v="5"/>
    <x v="5"/>
    <m/>
    <n v="168"/>
    <x v="0"/>
  </r>
  <r>
    <x v="18"/>
    <x v="5"/>
    <x v="5"/>
    <m/>
    <n v="168"/>
    <x v="1"/>
  </r>
  <r>
    <x v="19"/>
    <x v="0"/>
    <x v="0"/>
    <m/>
    <n v="218"/>
    <x v="0"/>
  </r>
  <r>
    <x v="19"/>
    <x v="0"/>
    <x v="0"/>
    <m/>
    <n v="218"/>
    <x v="1"/>
  </r>
  <r>
    <x v="19"/>
    <x v="1"/>
    <x v="1"/>
    <n v="-629.88999999999987"/>
    <n v="1193.9677999999999"/>
    <x v="0"/>
  </r>
  <r>
    <x v="19"/>
    <x v="1"/>
    <x v="1"/>
    <n v="-629.88999999999987"/>
    <n v="1193.9677999999999"/>
    <x v="1"/>
  </r>
  <r>
    <x v="19"/>
    <x v="2"/>
    <x v="2"/>
    <n v="28.15"/>
    <n v="50.802999999999997"/>
    <x v="0"/>
  </r>
  <r>
    <x v="19"/>
    <x v="2"/>
    <x v="2"/>
    <n v="28.15"/>
    <n v="50.802999999999997"/>
    <x v="1"/>
  </r>
  <r>
    <x v="19"/>
    <x v="3"/>
    <x v="3"/>
    <n v="208.89999999999998"/>
    <n v="1152"/>
    <x v="0"/>
  </r>
  <r>
    <x v="19"/>
    <x v="3"/>
    <x v="3"/>
    <n v="208.89999999999998"/>
    <n v="1152"/>
    <x v="1"/>
  </r>
  <r>
    <x v="19"/>
    <x v="4"/>
    <x v="4"/>
    <n v="107.98"/>
    <n v="391.67259999999999"/>
    <x v="0"/>
  </r>
  <r>
    <x v="19"/>
    <x v="4"/>
    <x v="4"/>
    <n v="107.98"/>
    <n v="391.67259999999999"/>
    <x v="1"/>
  </r>
  <r>
    <x v="19"/>
    <x v="5"/>
    <x v="5"/>
    <m/>
    <n v="192"/>
    <x v="0"/>
  </r>
  <r>
    <x v="19"/>
    <x v="5"/>
    <x v="5"/>
    <m/>
    <n v="192"/>
    <x v="1"/>
  </r>
  <r>
    <x v="20"/>
    <x v="0"/>
    <x v="0"/>
    <m/>
    <n v="354"/>
    <x v="0"/>
  </r>
  <r>
    <x v="20"/>
    <x v="0"/>
    <x v="0"/>
    <m/>
    <n v="354"/>
    <x v="1"/>
  </r>
  <r>
    <x v="20"/>
    <x v="1"/>
    <x v="1"/>
    <n v="2505.7099999999991"/>
    <n v="7196.2322000000004"/>
    <x v="0"/>
  </r>
  <r>
    <x v="20"/>
    <x v="1"/>
    <x v="1"/>
    <n v="2505.7099999999991"/>
    <n v="7196.2322000000004"/>
    <x v="1"/>
  </r>
  <r>
    <x v="20"/>
    <x v="2"/>
    <x v="2"/>
    <n v="-771.66000000000008"/>
    <n v="6382.9301999999998"/>
    <x v="0"/>
  </r>
  <r>
    <x v="20"/>
    <x v="2"/>
    <x v="2"/>
    <n v="-771.66000000000008"/>
    <n v="6382.9301999999998"/>
    <x v="1"/>
  </r>
  <r>
    <x v="20"/>
    <x v="3"/>
    <x v="3"/>
    <n v="462.77999999999992"/>
    <n v="1872"/>
    <x v="0"/>
  </r>
  <r>
    <x v="20"/>
    <x v="3"/>
    <x v="3"/>
    <n v="462.77999999999992"/>
    <n v="1872"/>
    <x v="1"/>
  </r>
  <r>
    <x v="20"/>
    <x v="4"/>
    <x v="4"/>
    <n v="115.17999999999998"/>
    <n v="220.26679999999999"/>
    <x v="0"/>
  </r>
  <r>
    <x v="20"/>
    <x v="4"/>
    <x v="4"/>
    <n v="115.17999999999998"/>
    <n v="220.26679999999999"/>
    <x v="1"/>
  </r>
  <r>
    <x v="20"/>
    <x v="5"/>
    <x v="5"/>
    <m/>
    <n v="240"/>
    <x v="0"/>
  </r>
  <r>
    <x v="20"/>
    <x v="5"/>
    <x v="5"/>
    <m/>
    <n v="240"/>
    <x v="1"/>
  </r>
  <r>
    <x v="21"/>
    <x v="0"/>
    <x v="0"/>
    <m/>
    <n v="462"/>
    <x v="0"/>
  </r>
  <r>
    <x v="21"/>
    <x v="0"/>
    <x v="0"/>
    <m/>
    <n v="462"/>
    <x v="1"/>
  </r>
  <r>
    <x v="21"/>
    <x v="1"/>
    <x v="1"/>
    <n v="2666.029999999997"/>
    <n v="25032.3734"/>
    <x v="0"/>
  </r>
  <r>
    <x v="21"/>
    <x v="1"/>
    <x v="1"/>
    <n v="2666.029999999997"/>
    <n v="25032.3734"/>
    <x v="1"/>
  </r>
  <r>
    <x v="21"/>
    <x v="2"/>
    <x v="2"/>
    <n v="31.40000000000002"/>
    <n v="177.30240000000001"/>
    <x v="0"/>
  </r>
  <r>
    <x v="21"/>
    <x v="2"/>
    <x v="2"/>
    <n v="31.40000000000002"/>
    <n v="177.30240000000001"/>
    <x v="1"/>
  </r>
  <r>
    <x v="21"/>
    <x v="3"/>
    <x v="3"/>
    <n v="431.96999999999991"/>
    <n v="2448"/>
    <x v="0"/>
  </r>
  <r>
    <x v="21"/>
    <x v="3"/>
    <x v="3"/>
    <n v="431.96999999999991"/>
    <n v="2448"/>
    <x v="1"/>
  </r>
  <r>
    <x v="21"/>
    <x v="4"/>
    <x v="4"/>
    <n v="416"/>
    <n v="406.45440000000002"/>
    <x v="0"/>
  </r>
  <r>
    <x v="21"/>
    <x v="4"/>
    <x v="4"/>
    <n v="416"/>
    <n v="406.45440000000002"/>
    <x v="1"/>
  </r>
  <r>
    <x v="21"/>
    <x v="5"/>
    <x v="5"/>
    <m/>
    <n v="336"/>
    <x v="0"/>
  </r>
  <r>
    <x v="21"/>
    <x v="5"/>
    <x v="5"/>
    <m/>
    <n v="336"/>
    <x v="1"/>
  </r>
  <r>
    <x v="22"/>
    <x v="0"/>
    <x v="0"/>
    <m/>
    <n v="0"/>
    <x v="0"/>
  </r>
  <r>
    <x v="22"/>
    <x v="0"/>
    <x v="0"/>
    <m/>
    <n v="0"/>
    <x v="1"/>
  </r>
  <r>
    <x v="22"/>
    <x v="1"/>
    <x v="1"/>
    <m/>
    <n v="0"/>
    <x v="0"/>
  </r>
  <r>
    <x v="22"/>
    <x v="1"/>
    <x v="1"/>
    <m/>
    <n v="0"/>
    <x v="1"/>
  </r>
  <r>
    <x v="22"/>
    <x v="2"/>
    <x v="2"/>
    <m/>
    <n v="0"/>
    <x v="0"/>
  </r>
  <r>
    <x v="22"/>
    <x v="2"/>
    <x v="2"/>
    <m/>
    <n v="0"/>
    <x v="1"/>
  </r>
  <r>
    <x v="22"/>
    <x v="3"/>
    <x v="3"/>
    <m/>
    <n v="0"/>
    <x v="0"/>
  </r>
  <r>
    <x v="22"/>
    <x v="3"/>
    <x v="3"/>
    <m/>
    <n v="0"/>
    <x v="1"/>
  </r>
  <r>
    <x v="22"/>
    <x v="4"/>
    <x v="4"/>
    <m/>
    <n v="0"/>
    <x v="0"/>
  </r>
  <r>
    <x v="22"/>
    <x v="4"/>
    <x v="4"/>
    <m/>
    <n v="0"/>
    <x v="1"/>
  </r>
  <r>
    <x v="22"/>
    <x v="5"/>
    <x v="5"/>
    <m/>
    <n v="0"/>
    <x v="0"/>
  </r>
  <r>
    <x v="22"/>
    <x v="5"/>
    <x v="5"/>
    <m/>
    <n v="0"/>
    <x v="1"/>
  </r>
  <r>
    <x v="23"/>
    <x v="0"/>
    <x v="0"/>
    <m/>
    <n v="408"/>
    <x v="0"/>
  </r>
  <r>
    <x v="23"/>
    <x v="0"/>
    <x v="0"/>
    <m/>
    <n v="408"/>
    <x v="1"/>
  </r>
  <r>
    <x v="23"/>
    <x v="1"/>
    <x v="1"/>
    <n v="3949.2099999999955"/>
    <n v="13320.9836"/>
    <x v="0"/>
  </r>
  <r>
    <x v="23"/>
    <x v="1"/>
    <x v="1"/>
    <n v="3949.2099999999955"/>
    <n v="13320.9836"/>
    <x v="1"/>
  </r>
  <r>
    <x v="23"/>
    <x v="2"/>
    <x v="2"/>
    <n v="3.7999999999999829"/>
    <n v="70.006600000000006"/>
    <x v="0"/>
  </r>
  <r>
    <x v="23"/>
    <x v="2"/>
    <x v="2"/>
    <n v="3.7999999999999829"/>
    <n v="70.006600000000006"/>
    <x v="1"/>
  </r>
  <r>
    <x v="23"/>
    <x v="3"/>
    <x v="3"/>
    <n v="153.1400000000001"/>
    <n v="2160"/>
    <x v="0"/>
  </r>
  <r>
    <x v="23"/>
    <x v="3"/>
    <x v="3"/>
    <n v="153.1400000000001"/>
    <n v="2160"/>
    <x v="1"/>
  </r>
  <r>
    <x v="23"/>
    <x v="4"/>
    <x v="4"/>
    <n v="496"/>
    <n v="2551.9938000000002"/>
    <x v="0"/>
  </r>
  <r>
    <x v="23"/>
    <x v="4"/>
    <x v="4"/>
    <n v="496"/>
    <n v="2551.9938000000002"/>
    <x v="1"/>
  </r>
  <r>
    <x v="23"/>
    <x v="5"/>
    <x v="5"/>
    <m/>
    <n v="100"/>
    <x v="0"/>
  </r>
  <r>
    <x v="23"/>
    <x v="5"/>
    <x v="5"/>
    <m/>
    <n v="100"/>
    <x v="1"/>
  </r>
  <r>
    <x v="24"/>
    <x v="0"/>
    <x v="0"/>
    <m/>
    <n v="232"/>
    <x v="0"/>
  </r>
  <r>
    <x v="24"/>
    <x v="0"/>
    <x v="0"/>
    <m/>
    <n v="232"/>
    <x v="1"/>
  </r>
  <r>
    <x v="24"/>
    <x v="1"/>
    <x v="1"/>
    <m/>
    <n v="253.34700000000001"/>
    <x v="0"/>
  </r>
  <r>
    <x v="24"/>
    <x v="1"/>
    <x v="1"/>
    <m/>
    <n v="253.34700000000001"/>
    <x v="1"/>
  </r>
  <r>
    <x v="24"/>
    <x v="2"/>
    <x v="2"/>
    <n v="180.7999999999995"/>
    <n v="352.36959999999999"/>
    <x v="0"/>
  </r>
  <r>
    <x v="24"/>
    <x v="2"/>
    <x v="2"/>
    <n v="180.7999999999995"/>
    <n v="352.36959999999999"/>
    <x v="1"/>
  </r>
  <r>
    <x v="24"/>
    <x v="3"/>
    <x v="3"/>
    <n v="185.09000000000003"/>
    <n v="1224"/>
    <x v="0"/>
  </r>
  <r>
    <x v="24"/>
    <x v="3"/>
    <x v="3"/>
    <n v="185.09000000000003"/>
    <n v="1224"/>
    <x v="1"/>
  </r>
  <r>
    <x v="24"/>
    <x v="4"/>
    <x v="4"/>
    <n v="0"/>
    <n v="105.5842"/>
    <x v="0"/>
  </r>
  <r>
    <x v="24"/>
    <x v="4"/>
    <x v="4"/>
    <n v="0"/>
    <n v="105.5842"/>
    <x v="1"/>
  </r>
  <r>
    <x v="24"/>
    <x v="5"/>
    <x v="5"/>
    <n v="0"/>
    <n v="100"/>
    <x v="0"/>
  </r>
  <r>
    <x v="24"/>
    <x v="5"/>
    <x v="5"/>
    <n v="0"/>
    <n v="100"/>
    <x v="1"/>
  </r>
  <r>
    <x v="25"/>
    <x v="0"/>
    <x v="0"/>
    <m/>
    <n v="124"/>
    <x v="0"/>
  </r>
  <r>
    <x v="25"/>
    <x v="0"/>
    <x v="0"/>
    <m/>
    <n v="124"/>
    <x v="1"/>
  </r>
  <r>
    <x v="25"/>
    <x v="1"/>
    <x v="1"/>
    <n v="16.97"/>
    <n v="629.56420000000003"/>
    <x v="0"/>
  </r>
  <r>
    <x v="25"/>
    <x v="1"/>
    <x v="1"/>
    <n v="16.97"/>
    <n v="629.56420000000003"/>
    <x v="1"/>
  </r>
  <r>
    <x v="25"/>
    <x v="2"/>
    <x v="2"/>
    <n v="-38.6"/>
    <n v="179.13140000000001"/>
    <x v="0"/>
  </r>
  <r>
    <x v="25"/>
    <x v="2"/>
    <x v="2"/>
    <n v="-38.6"/>
    <n v="179.13140000000001"/>
    <x v="1"/>
  </r>
  <r>
    <x v="25"/>
    <x v="3"/>
    <x v="3"/>
    <n v="101.61999999999998"/>
    <n v="648"/>
    <x v="0"/>
  </r>
  <r>
    <x v="25"/>
    <x v="3"/>
    <x v="3"/>
    <n v="101.61999999999998"/>
    <n v="648"/>
    <x v="1"/>
  </r>
  <r>
    <x v="25"/>
    <x v="4"/>
    <x v="4"/>
    <m/>
    <n v="35.224800000000002"/>
    <x v="0"/>
  </r>
  <r>
    <x v="25"/>
    <x v="4"/>
    <x v="4"/>
    <m/>
    <n v="35.224800000000002"/>
    <x v="1"/>
  </r>
  <r>
    <x v="25"/>
    <x v="5"/>
    <x v="5"/>
    <m/>
    <n v="48"/>
    <x v="0"/>
  </r>
  <r>
    <x v="25"/>
    <x v="5"/>
    <x v="5"/>
    <m/>
    <n v="48"/>
    <x v="1"/>
  </r>
  <r>
    <x v="26"/>
    <x v="0"/>
    <x v="0"/>
    <m/>
    <n v="218"/>
    <x v="0"/>
  </r>
  <r>
    <x v="26"/>
    <x v="0"/>
    <x v="0"/>
    <m/>
    <n v="218"/>
    <x v="1"/>
  </r>
  <r>
    <x v="26"/>
    <x v="1"/>
    <x v="1"/>
    <n v="-119.62"/>
    <n v="460.57560000000001"/>
    <x v="0"/>
  </r>
  <r>
    <x v="26"/>
    <x v="1"/>
    <x v="1"/>
    <n v="-119.62"/>
    <n v="460.57560000000001"/>
    <x v="1"/>
  </r>
  <r>
    <x v="26"/>
    <x v="2"/>
    <x v="2"/>
    <n v="8.4499999999999922"/>
    <n v="426.44040000000001"/>
    <x v="0"/>
  </r>
  <r>
    <x v="26"/>
    <x v="2"/>
    <x v="2"/>
    <n v="8.4499999999999922"/>
    <n v="426.44040000000001"/>
    <x v="1"/>
  </r>
  <r>
    <x v="26"/>
    <x v="3"/>
    <x v="3"/>
    <n v="33.680000000000064"/>
    <n v="1152"/>
    <x v="0"/>
  </r>
  <r>
    <x v="26"/>
    <x v="3"/>
    <x v="3"/>
    <n v="33.680000000000064"/>
    <n v="1152"/>
    <x v="1"/>
  </r>
  <r>
    <x v="26"/>
    <x v="4"/>
    <x v="4"/>
    <n v="0"/>
    <n v="49.377400000000002"/>
    <x v="0"/>
  </r>
  <r>
    <x v="26"/>
    <x v="4"/>
    <x v="4"/>
    <n v="0"/>
    <n v="49.377400000000002"/>
    <x v="1"/>
  </r>
  <r>
    <x v="26"/>
    <x v="5"/>
    <x v="5"/>
    <m/>
    <n v="144"/>
    <x v="0"/>
  </r>
  <r>
    <x v="26"/>
    <x v="5"/>
    <x v="5"/>
    <m/>
    <n v="144"/>
    <x v="1"/>
  </r>
  <r>
    <x v="27"/>
    <x v="0"/>
    <x v="0"/>
    <m/>
    <n v="612"/>
    <x v="0"/>
  </r>
  <r>
    <x v="27"/>
    <x v="0"/>
    <x v="0"/>
    <m/>
    <n v="612"/>
    <x v="1"/>
  </r>
  <r>
    <x v="27"/>
    <x v="1"/>
    <x v="1"/>
    <n v="-205.80000000000291"/>
    <n v="42669.412199999999"/>
    <x v="0"/>
  </r>
  <r>
    <x v="27"/>
    <x v="1"/>
    <x v="1"/>
    <n v="-205.80000000000291"/>
    <n v="42669.412199999999"/>
    <x v="1"/>
  </r>
  <r>
    <x v="27"/>
    <x v="2"/>
    <x v="2"/>
    <n v="1001.52"/>
    <n v="500.99900000000002"/>
    <x v="0"/>
  </r>
  <r>
    <x v="27"/>
    <x v="2"/>
    <x v="2"/>
    <n v="1001.52"/>
    <n v="500.99900000000002"/>
    <x v="1"/>
  </r>
  <r>
    <x v="27"/>
    <x v="3"/>
    <x v="3"/>
    <n v="-4.67999999999995"/>
    <n v="3240"/>
    <x v="0"/>
  </r>
  <r>
    <x v="27"/>
    <x v="3"/>
    <x v="3"/>
    <n v="-4.67999999999995"/>
    <n v="3240"/>
    <x v="1"/>
  </r>
  <r>
    <x v="27"/>
    <x v="4"/>
    <x v="4"/>
    <n v="246"/>
    <n v="6862.9763999999996"/>
    <x v="0"/>
  </r>
  <r>
    <x v="27"/>
    <x v="4"/>
    <x v="4"/>
    <n v="246"/>
    <n v="6862.9763999999996"/>
    <x v="1"/>
  </r>
  <r>
    <x v="27"/>
    <x v="5"/>
    <x v="5"/>
    <n v="0"/>
    <n v="100"/>
    <x v="0"/>
  </r>
  <r>
    <x v="27"/>
    <x v="5"/>
    <x v="5"/>
    <n v="0"/>
    <n v="100"/>
    <x v="1"/>
  </r>
  <r>
    <x v="28"/>
    <x v="0"/>
    <x v="0"/>
    <m/>
    <n v="192"/>
    <x v="0"/>
  </r>
  <r>
    <x v="28"/>
    <x v="0"/>
    <x v="0"/>
    <m/>
    <n v="192"/>
    <x v="1"/>
  </r>
  <r>
    <x v="28"/>
    <x v="1"/>
    <x v="1"/>
    <n v="55.51"/>
    <n v="779.14639999999997"/>
    <x v="0"/>
  </r>
  <r>
    <x v="28"/>
    <x v="1"/>
    <x v="1"/>
    <n v="55.51"/>
    <n v="779.14639999999997"/>
    <x v="1"/>
  </r>
  <r>
    <x v="28"/>
    <x v="2"/>
    <x v="2"/>
    <n v="64.050000000000011"/>
    <n v="20.5244"/>
    <x v="0"/>
  </r>
  <r>
    <x v="28"/>
    <x v="2"/>
    <x v="2"/>
    <n v="64.050000000000011"/>
    <n v="20.5244"/>
    <x v="1"/>
  </r>
  <r>
    <x v="28"/>
    <x v="3"/>
    <x v="3"/>
    <n v="9.8800000000000523"/>
    <n v="1008"/>
    <x v="0"/>
  </r>
  <r>
    <x v="28"/>
    <x v="3"/>
    <x v="3"/>
    <n v="9.8800000000000523"/>
    <n v="1008"/>
    <x v="1"/>
  </r>
  <r>
    <x v="28"/>
    <x v="4"/>
    <x v="4"/>
    <n v="-101.16000000000003"/>
    <n v="713.56979999999999"/>
    <x v="0"/>
  </r>
  <r>
    <x v="28"/>
    <x v="4"/>
    <x v="4"/>
    <n v="-101.16000000000003"/>
    <n v="713.56979999999999"/>
    <x v="1"/>
  </r>
  <r>
    <x v="28"/>
    <x v="5"/>
    <x v="5"/>
    <m/>
    <n v="100"/>
    <x v="0"/>
  </r>
  <r>
    <x v="28"/>
    <x v="5"/>
    <x v="5"/>
    <m/>
    <n v="100"/>
    <x v="1"/>
  </r>
  <r>
    <x v="29"/>
    <x v="0"/>
    <x v="0"/>
    <m/>
    <n v="96"/>
    <x v="0"/>
  </r>
  <r>
    <x v="29"/>
    <x v="0"/>
    <x v="0"/>
    <m/>
    <n v="96"/>
    <x v="1"/>
  </r>
  <r>
    <x v="29"/>
    <x v="1"/>
    <x v="1"/>
    <n v="-1075.98"/>
    <n v="2654.9915999999998"/>
    <x v="0"/>
  </r>
  <r>
    <x v="29"/>
    <x v="1"/>
    <x v="1"/>
    <n v="-1075.98"/>
    <n v="2654.9915999999998"/>
    <x v="1"/>
  </r>
  <r>
    <x v="29"/>
    <x v="2"/>
    <x v="2"/>
    <n v="2376"/>
    <n v="15234.602000000001"/>
    <x v="0"/>
  </r>
  <r>
    <x v="29"/>
    <x v="2"/>
    <x v="2"/>
    <n v="2376"/>
    <n v="15234.602000000001"/>
    <x v="1"/>
  </r>
  <r>
    <x v="29"/>
    <x v="3"/>
    <x v="3"/>
    <n v="243.57999999999998"/>
    <n v="504"/>
    <x v="0"/>
  </r>
  <r>
    <x v="29"/>
    <x v="3"/>
    <x v="3"/>
    <n v="243.57999999999998"/>
    <n v="504"/>
    <x v="1"/>
  </r>
  <r>
    <x v="29"/>
    <x v="4"/>
    <x v="4"/>
    <n v="-166.14999999999998"/>
    <n v="159.3424"/>
    <x v="0"/>
  </r>
  <r>
    <x v="29"/>
    <x v="4"/>
    <x v="4"/>
    <n v="-166.14999999999998"/>
    <n v="159.3424"/>
    <x v="1"/>
  </r>
  <r>
    <x v="29"/>
    <x v="5"/>
    <x v="5"/>
    <n v="9.7799999999999994"/>
    <n v="96"/>
    <x v="0"/>
  </r>
  <r>
    <x v="29"/>
    <x v="5"/>
    <x v="5"/>
    <n v="9.7799999999999994"/>
    <n v="96"/>
    <x v="1"/>
  </r>
  <r>
    <x v="30"/>
    <x v="0"/>
    <x v="0"/>
    <m/>
    <n v="272"/>
    <x v="0"/>
  </r>
  <r>
    <x v="30"/>
    <x v="0"/>
    <x v="0"/>
    <m/>
    <n v="272"/>
    <x v="1"/>
  </r>
  <r>
    <x v="30"/>
    <x v="1"/>
    <x v="1"/>
    <n v="2951.6299999999992"/>
    <n v="26982.4352"/>
    <x v="0"/>
  </r>
  <r>
    <x v="30"/>
    <x v="1"/>
    <x v="1"/>
    <n v="2951.6299999999992"/>
    <n v="26982.4352"/>
    <x v="1"/>
  </r>
  <r>
    <x v="30"/>
    <x v="2"/>
    <x v="2"/>
    <n v="-21.28"/>
    <n v="213.9212"/>
    <x v="0"/>
  </r>
  <r>
    <x v="30"/>
    <x v="2"/>
    <x v="2"/>
    <n v="-21.28"/>
    <n v="213.9212"/>
    <x v="1"/>
  </r>
  <r>
    <x v="30"/>
    <x v="3"/>
    <x v="3"/>
    <n v="-144.28999999999996"/>
    <n v="1440"/>
    <x v="0"/>
  </r>
  <r>
    <x v="30"/>
    <x v="3"/>
    <x v="3"/>
    <n v="-144.28999999999996"/>
    <n v="1440"/>
    <x v="1"/>
  </r>
  <r>
    <x v="30"/>
    <x v="4"/>
    <x v="4"/>
    <n v="8"/>
    <n v="762.20600000000002"/>
    <x v="0"/>
  </r>
  <r>
    <x v="30"/>
    <x v="4"/>
    <x v="4"/>
    <n v="8"/>
    <n v="762.20600000000002"/>
    <x v="1"/>
  </r>
  <r>
    <x v="30"/>
    <x v="5"/>
    <x v="5"/>
    <n v="0"/>
    <n v="100"/>
    <x v="0"/>
  </r>
  <r>
    <x v="30"/>
    <x v="5"/>
    <x v="5"/>
    <n v="0"/>
    <n v="100"/>
    <x v="1"/>
  </r>
  <r>
    <x v="31"/>
    <x v="0"/>
    <x v="0"/>
    <m/>
    <n v="82"/>
    <x v="0"/>
  </r>
  <r>
    <x v="31"/>
    <x v="0"/>
    <x v="0"/>
    <m/>
    <n v="82"/>
    <x v="1"/>
  </r>
  <r>
    <x v="31"/>
    <x v="1"/>
    <x v="1"/>
    <n v="-502.5"/>
    <n v="1353.848"/>
    <x v="0"/>
  </r>
  <r>
    <x v="31"/>
    <x v="1"/>
    <x v="1"/>
    <n v="-502.5"/>
    <n v="1353.848"/>
    <x v="1"/>
  </r>
  <r>
    <x v="31"/>
    <x v="2"/>
    <x v="2"/>
    <n v="-44.25"/>
    <n v="1137.9874"/>
    <x v="0"/>
  </r>
  <r>
    <x v="31"/>
    <x v="2"/>
    <x v="2"/>
    <n v="-44.25"/>
    <n v="1137.9874"/>
    <x v="1"/>
  </r>
  <r>
    <x v="31"/>
    <x v="3"/>
    <x v="3"/>
    <n v="54.569999999999993"/>
    <n v="432"/>
    <x v="0"/>
  </r>
  <r>
    <x v="31"/>
    <x v="3"/>
    <x v="3"/>
    <n v="54.569999999999993"/>
    <n v="432"/>
    <x v="1"/>
  </r>
  <r>
    <x v="31"/>
    <x v="4"/>
    <x v="4"/>
    <n v="-20.400000000000006"/>
    <n v="111.425"/>
    <x v="0"/>
  </r>
  <r>
    <x v="31"/>
    <x v="4"/>
    <x v="4"/>
    <n v="-20.400000000000006"/>
    <n v="111.425"/>
    <x v="1"/>
  </r>
  <r>
    <x v="31"/>
    <x v="5"/>
    <x v="5"/>
    <m/>
    <n v="48"/>
    <x v="0"/>
  </r>
  <r>
    <x v="31"/>
    <x v="5"/>
    <x v="5"/>
    <m/>
    <n v="48"/>
    <x v="1"/>
  </r>
  <r>
    <x v="32"/>
    <x v="0"/>
    <x v="0"/>
    <m/>
    <n v="192"/>
    <x v="0"/>
  </r>
  <r>
    <x v="32"/>
    <x v="0"/>
    <x v="0"/>
    <m/>
    <n v="192"/>
    <x v="1"/>
  </r>
  <r>
    <x v="32"/>
    <x v="1"/>
    <x v="1"/>
    <m/>
    <n v="191.46379999999999"/>
    <x v="0"/>
  </r>
  <r>
    <x v="32"/>
    <x v="1"/>
    <x v="1"/>
    <m/>
    <n v="191.46379999999999"/>
    <x v="1"/>
  </r>
  <r>
    <x v="32"/>
    <x v="2"/>
    <x v="2"/>
    <n v="288.79999999999973"/>
    <n v="4188.9110000000001"/>
    <x v="0"/>
  </r>
  <r>
    <x v="32"/>
    <x v="2"/>
    <x v="2"/>
    <n v="288.79999999999973"/>
    <n v="4188.9110000000001"/>
    <x v="1"/>
  </r>
  <r>
    <x v="32"/>
    <x v="3"/>
    <x v="3"/>
    <n v="52.489999999999995"/>
    <n v="1008"/>
    <x v="0"/>
  </r>
  <r>
    <x v="32"/>
    <x v="3"/>
    <x v="3"/>
    <n v="52.489999999999995"/>
    <n v="1008"/>
    <x v="1"/>
  </r>
  <r>
    <x v="32"/>
    <x v="4"/>
    <x v="4"/>
    <n v="-48.800000000000011"/>
    <n v="679.96259999999995"/>
    <x v="0"/>
  </r>
  <r>
    <x v="32"/>
    <x v="4"/>
    <x v="4"/>
    <n v="-48.800000000000011"/>
    <n v="679.96259999999995"/>
    <x v="1"/>
  </r>
  <r>
    <x v="32"/>
    <x v="5"/>
    <x v="5"/>
    <n v="0"/>
    <n v="96"/>
    <x v="0"/>
  </r>
  <r>
    <x v="32"/>
    <x v="5"/>
    <x v="5"/>
    <n v="0"/>
    <n v="96"/>
    <x v="1"/>
  </r>
  <r>
    <x v="33"/>
    <x v="0"/>
    <x v="0"/>
    <m/>
    <n v="394"/>
    <x v="0"/>
  </r>
  <r>
    <x v="33"/>
    <x v="0"/>
    <x v="0"/>
    <m/>
    <n v="394"/>
    <x v="1"/>
  </r>
  <r>
    <x v="33"/>
    <x v="1"/>
    <x v="1"/>
    <n v="314.21999999999889"/>
    <n v="5413.7133999999996"/>
    <x v="0"/>
  </r>
  <r>
    <x v="33"/>
    <x v="1"/>
    <x v="1"/>
    <n v="314.21999999999889"/>
    <n v="5413.7133999999996"/>
    <x v="1"/>
  </r>
  <r>
    <x v="33"/>
    <x v="2"/>
    <x v="2"/>
    <n v="446.15000000000055"/>
    <n v="2783.0902000000001"/>
    <x v="0"/>
  </r>
  <r>
    <x v="33"/>
    <x v="2"/>
    <x v="2"/>
    <n v="446.15000000000055"/>
    <n v="2783.0902000000001"/>
    <x v="1"/>
  </r>
  <r>
    <x v="33"/>
    <x v="3"/>
    <x v="3"/>
    <n v="266.23"/>
    <n v="2088"/>
    <x v="0"/>
  </r>
  <r>
    <x v="33"/>
    <x v="3"/>
    <x v="3"/>
    <n v="266.23"/>
    <n v="2088"/>
    <x v="1"/>
  </r>
  <r>
    <x v="33"/>
    <x v="4"/>
    <x v="4"/>
    <n v="149.96000000000004"/>
    <n v="413.35120000000001"/>
    <x v="0"/>
  </r>
  <r>
    <x v="33"/>
    <x v="4"/>
    <x v="4"/>
    <n v="149.96000000000004"/>
    <n v="413.35120000000001"/>
    <x v="1"/>
  </r>
  <r>
    <x v="33"/>
    <x v="5"/>
    <x v="5"/>
    <m/>
    <n v="100"/>
    <x v="0"/>
  </r>
  <r>
    <x v="33"/>
    <x v="5"/>
    <x v="5"/>
    <m/>
    <n v="100"/>
    <x v="1"/>
  </r>
  <r>
    <x v="34"/>
    <x v="0"/>
    <x v="0"/>
    <m/>
    <n v="354"/>
    <x v="0"/>
  </r>
  <r>
    <x v="34"/>
    <x v="0"/>
    <x v="0"/>
    <m/>
    <n v="354"/>
    <x v="1"/>
  </r>
  <r>
    <x v="34"/>
    <x v="1"/>
    <x v="1"/>
    <n v="2036.4400000000014"/>
    <n v="13343.515799999999"/>
    <x v="0"/>
  </r>
  <r>
    <x v="34"/>
    <x v="1"/>
    <x v="1"/>
    <n v="2036.4400000000014"/>
    <n v="13343.515799999999"/>
    <x v="1"/>
  </r>
  <r>
    <x v="34"/>
    <x v="2"/>
    <x v="2"/>
    <n v="98.75"/>
    <n v="669.07560000000001"/>
    <x v="0"/>
  </r>
  <r>
    <x v="34"/>
    <x v="2"/>
    <x v="2"/>
    <n v="98.75"/>
    <n v="669.07560000000001"/>
    <x v="1"/>
  </r>
  <r>
    <x v="34"/>
    <x v="3"/>
    <x v="3"/>
    <n v="206.14000000000004"/>
    <n v="1872"/>
    <x v="0"/>
  </r>
  <r>
    <x v="34"/>
    <x v="3"/>
    <x v="3"/>
    <n v="206.14000000000004"/>
    <n v="1872"/>
    <x v="1"/>
  </r>
  <r>
    <x v="34"/>
    <x v="4"/>
    <x v="4"/>
    <n v="885.97000000000025"/>
    <n v="5177.7618000000002"/>
    <x v="0"/>
  </r>
  <r>
    <x v="34"/>
    <x v="4"/>
    <x v="4"/>
    <n v="885.97000000000025"/>
    <n v="5177.7618000000002"/>
    <x v="1"/>
  </r>
  <r>
    <x v="34"/>
    <x v="5"/>
    <x v="5"/>
    <m/>
    <n v="192"/>
    <x v="0"/>
  </r>
  <r>
    <x v="34"/>
    <x v="5"/>
    <x v="5"/>
    <m/>
    <n v="192"/>
    <x v="1"/>
  </r>
  <r>
    <x v="35"/>
    <x v="0"/>
    <x v="0"/>
    <m/>
    <n v="124"/>
    <x v="0"/>
  </r>
  <r>
    <x v="35"/>
    <x v="0"/>
    <x v="0"/>
    <m/>
    <n v="124"/>
    <x v="1"/>
  </r>
  <r>
    <x v="35"/>
    <x v="1"/>
    <x v="1"/>
    <n v="-109.03000000000009"/>
    <n v="32.115000000000002"/>
    <x v="0"/>
  </r>
  <r>
    <x v="35"/>
    <x v="1"/>
    <x v="1"/>
    <n v="-109.03000000000009"/>
    <n v="32.115000000000002"/>
    <x v="1"/>
  </r>
  <r>
    <x v="35"/>
    <x v="2"/>
    <x v="2"/>
    <n v="2742.9999999999995"/>
    <n v="7923.7448000000004"/>
    <x v="0"/>
  </r>
  <r>
    <x v="35"/>
    <x v="2"/>
    <x v="2"/>
    <n v="2742.9999999999995"/>
    <n v="7923.7448000000004"/>
    <x v="1"/>
  </r>
  <r>
    <x v="35"/>
    <x v="3"/>
    <x v="3"/>
    <n v="61.480000000000018"/>
    <n v="648"/>
    <x v="0"/>
  </r>
  <r>
    <x v="35"/>
    <x v="3"/>
    <x v="3"/>
    <n v="61.480000000000018"/>
    <n v="648"/>
    <x v="1"/>
  </r>
  <r>
    <x v="35"/>
    <x v="4"/>
    <x v="4"/>
    <n v="-0.50999999999999801"/>
    <n v="19.768999999999998"/>
    <x v="0"/>
  </r>
  <r>
    <x v="35"/>
    <x v="4"/>
    <x v="4"/>
    <n v="-0.50999999999999801"/>
    <n v="19.768999999999998"/>
    <x v="1"/>
  </r>
  <r>
    <x v="35"/>
    <x v="5"/>
    <x v="5"/>
    <n v="52.99"/>
    <n v="120"/>
    <x v="0"/>
  </r>
  <r>
    <x v="35"/>
    <x v="5"/>
    <x v="5"/>
    <n v="52.99"/>
    <n v="120"/>
    <x v="1"/>
  </r>
  <r>
    <x v="36"/>
    <x v="0"/>
    <x v="0"/>
    <m/>
    <n v="192"/>
    <x v="0"/>
  </r>
  <r>
    <x v="36"/>
    <x v="0"/>
    <x v="0"/>
    <m/>
    <n v="192"/>
    <x v="1"/>
  </r>
  <r>
    <x v="36"/>
    <x v="1"/>
    <x v="1"/>
    <n v="41.309999999999988"/>
    <n v="43.317"/>
    <x v="0"/>
  </r>
  <r>
    <x v="36"/>
    <x v="1"/>
    <x v="1"/>
    <n v="41.309999999999988"/>
    <n v="43.317"/>
    <x v="1"/>
  </r>
  <r>
    <x v="36"/>
    <x v="2"/>
    <x v="2"/>
    <n v="54"/>
    <n v="34.8508"/>
    <x v="0"/>
  </r>
  <r>
    <x v="36"/>
    <x v="2"/>
    <x v="2"/>
    <n v="54"/>
    <n v="34.8508"/>
    <x v="1"/>
  </r>
  <r>
    <x v="36"/>
    <x v="3"/>
    <x v="3"/>
    <n v="48.919999999999902"/>
    <n v="1008"/>
    <x v="0"/>
  </r>
  <r>
    <x v="36"/>
    <x v="3"/>
    <x v="3"/>
    <n v="48.919999999999902"/>
    <n v="1008"/>
    <x v="1"/>
  </r>
  <r>
    <x v="36"/>
    <x v="4"/>
    <x v="4"/>
    <n v="23.990000000000002"/>
    <n v="347.70920000000001"/>
    <x v="0"/>
  </r>
  <r>
    <x v="36"/>
    <x v="4"/>
    <x v="4"/>
    <n v="23.990000000000002"/>
    <n v="347.70920000000001"/>
    <x v="1"/>
  </r>
  <r>
    <x v="36"/>
    <x v="5"/>
    <x v="5"/>
    <m/>
    <n v="168"/>
    <x v="0"/>
  </r>
  <r>
    <x v="36"/>
    <x v="5"/>
    <x v="5"/>
    <m/>
    <n v="168"/>
    <x v="1"/>
  </r>
  <r>
    <x v="37"/>
    <x v="0"/>
    <x v="0"/>
    <m/>
    <n v="178"/>
    <x v="0"/>
  </r>
  <r>
    <x v="37"/>
    <x v="0"/>
    <x v="0"/>
    <m/>
    <n v="178"/>
    <x v="1"/>
  </r>
  <r>
    <x v="37"/>
    <x v="1"/>
    <x v="1"/>
    <n v="223.94"/>
    <n v="997.30319999999995"/>
    <x v="0"/>
  </r>
  <r>
    <x v="37"/>
    <x v="1"/>
    <x v="1"/>
    <n v="223.94"/>
    <n v="997.30319999999995"/>
    <x v="1"/>
  </r>
  <r>
    <x v="37"/>
    <x v="2"/>
    <x v="2"/>
    <n v="16"/>
    <n v="60.9636"/>
    <x v="0"/>
  </r>
  <r>
    <x v="37"/>
    <x v="2"/>
    <x v="2"/>
    <n v="16"/>
    <n v="60.9636"/>
    <x v="1"/>
  </r>
  <r>
    <x v="37"/>
    <x v="3"/>
    <x v="3"/>
    <n v="8.9399999999999977"/>
    <n v="936"/>
    <x v="0"/>
  </r>
  <r>
    <x v="37"/>
    <x v="3"/>
    <x v="3"/>
    <n v="8.9399999999999977"/>
    <n v="936"/>
    <x v="1"/>
  </r>
  <r>
    <x v="37"/>
    <x v="4"/>
    <x v="4"/>
    <n v="58.179999999999993"/>
    <n v="307.76679999999999"/>
    <x v="0"/>
  </r>
  <r>
    <x v="37"/>
    <x v="4"/>
    <x v="4"/>
    <n v="58.179999999999993"/>
    <n v="307.76679999999999"/>
    <x v="1"/>
  </r>
  <r>
    <x v="37"/>
    <x v="5"/>
    <x v="5"/>
    <n v="32.1"/>
    <n v="120"/>
    <x v="0"/>
  </r>
  <r>
    <x v="37"/>
    <x v="5"/>
    <x v="5"/>
    <n v="32.1"/>
    <n v="120"/>
    <x v="1"/>
  </r>
  <r>
    <x v="38"/>
    <x v="0"/>
    <x v="0"/>
    <m/>
    <n v="408"/>
    <x v="0"/>
  </r>
  <r>
    <x v="38"/>
    <x v="0"/>
    <x v="0"/>
    <m/>
    <n v="408"/>
    <x v="1"/>
  </r>
  <r>
    <x v="38"/>
    <x v="1"/>
    <x v="1"/>
    <n v="698.42999999999483"/>
    <n v="26789.303800000002"/>
    <x v="0"/>
  </r>
  <r>
    <x v="38"/>
    <x v="1"/>
    <x v="1"/>
    <n v="698.42999999999483"/>
    <n v="26789.303800000002"/>
    <x v="1"/>
  </r>
  <r>
    <x v="38"/>
    <x v="2"/>
    <x v="2"/>
    <n v="-4.5"/>
    <n v="134.8312"/>
    <x v="0"/>
  </r>
  <r>
    <x v="38"/>
    <x v="2"/>
    <x v="2"/>
    <n v="-4.5"/>
    <n v="134.8312"/>
    <x v="1"/>
  </r>
  <r>
    <x v="38"/>
    <x v="3"/>
    <x v="3"/>
    <n v="143.05999999999995"/>
    <n v="2160"/>
    <x v="0"/>
  </r>
  <r>
    <x v="38"/>
    <x v="3"/>
    <x v="3"/>
    <n v="143.05999999999995"/>
    <n v="2160"/>
    <x v="1"/>
  </r>
  <r>
    <x v="38"/>
    <x v="4"/>
    <x v="4"/>
    <n v="144"/>
    <n v="1123.6859999999999"/>
    <x v="0"/>
  </r>
  <r>
    <x v="38"/>
    <x v="4"/>
    <x v="4"/>
    <n v="144"/>
    <n v="1123.6859999999999"/>
    <x v="1"/>
  </r>
  <r>
    <x v="38"/>
    <x v="5"/>
    <x v="5"/>
    <n v="17.989999999999998"/>
    <n v="100"/>
    <x v="0"/>
  </r>
  <r>
    <x v="38"/>
    <x v="5"/>
    <x v="5"/>
    <n v="17.989999999999998"/>
    <n v="100"/>
    <x v="1"/>
  </r>
  <r>
    <x v="39"/>
    <x v="0"/>
    <x v="0"/>
    <m/>
    <n v="218"/>
    <x v="0"/>
  </r>
  <r>
    <x v="39"/>
    <x v="0"/>
    <x v="0"/>
    <m/>
    <n v="218"/>
    <x v="1"/>
  </r>
  <r>
    <x v="39"/>
    <x v="1"/>
    <x v="1"/>
    <n v="1225.8300000000017"/>
    <n v="13850.691000000001"/>
    <x v="0"/>
  </r>
  <r>
    <x v="39"/>
    <x v="1"/>
    <x v="1"/>
    <n v="1225.8300000000017"/>
    <n v="13850.691000000001"/>
    <x v="1"/>
  </r>
  <r>
    <x v="39"/>
    <x v="2"/>
    <x v="2"/>
    <n v="-16.7"/>
    <n v="4.8769999999999998"/>
    <x v="0"/>
  </r>
  <r>
    <x v="39"/>
    <x v="2"/>
    <x v="2"/>
    <n v="-16.7"/>
    <n v="4.8769999999999998"/>
    <x v="1"/>
  </r>
  <r>
    <x v="39"/>
    <x v="3"/>
    <x v="3"/>
    <n v="183.63000000000011"/>
    <n v="1152"/>
    <x v="0"/>
  </r>
  <r>
    <x v="39"/>
    <x v="3"/>
    <x v="3"/>
    <n v="183.63000000000011"/>
    <n v="1152"/>
    <x v="1"/>
  </r>
  <r>
    <x v="39"/>
    <x v="4"/>
    <x v="4"/>
    <n v="168"/>
    <n v="4700.8130000000001"/>
    <x v="0"/>
  </r>
  <r>
    <x v="39"/>
    <x v="4"/>
    <x v="4"/>
    <n v="168"/>
    <n v="4700.8130000000001"/>
    <x v="1"/>
  </r>
  <r>
    <x v="39"/>
    <x v="5"/>
    <x v="5"/>
    <n v="0"/>
    <n v="120"/>
    <x v="0"/>
  </r>
  <r>
    <x v="39"/>
    <x v="5"/>
    <x v="5"/>
    <n v="0"/>
    <n v="120"/>
    <x v="1"/>
  </r>
  <r>
    <x v="40"/>
    <x v="0"/>
    <x v="0"/>
    <m/>
    <n v="96"/>
    <x v="0"/>
  </r>
  <r>
    <x v="40"/>
    <x v="0"/>
    <x v="0"/>
    <m/>
    <n v="96"/>
    <x v="1"/>
  </r>
  <r>
    <x v="40"/>
    <x v="1"/>
    <x v="1"/>
    <n v="78.42"/>
    <n v="310.56459999999998"/>
    <x v="0"/>
  </r>
  <r>
    <x v="40"/>
    <x v="1"/>
    <x v="1"/>
    <n v="78.42"/>
    <n v="310.56459999999998"/>
    <x v="1"/>
  </r>
  <r>
    <x v="40"/>
    <x v="2"/>
    <x v="2"/>
    <n v="2.4"/>
    <n v="9.7542000000000009"/>
    <x v="0"/>
  </r>
  <r>
    <x v="40"/>
    <x v="2"/>
    <x v="2"/>
    <n v="2.4"/>
    <n v="9.7542000000000009"/>
    <x v="1"/>
  </r>
  <r>
    <x v="40"/>
    <x v="3"/>
    <x v="3"/>
    <n v="294.66000000000003"/>
    <n v="504"/>
    <x v="0"/>
  </r>
  <r>
    <x v="40"/>
    <x v="3"/>
    <x v="3"/>
    <n v="294.66000000000003"/>
    <n v="504"/>
    <x v="1"/>
  </r>
  <r>
    <x v="40"/>
    <x v="4"/>
    <x v="4"/>
    <m/>
    <n v="99.406400000000005"/>
    <x v="0"/>
  </r>
  <r>
    <x v="40"/>
    <x v="4"/>
    <x v="4"/>
    <m/>
    <n v="99.406400000000005"/>
    <x v="1"/>
  </r>
  <r>
    <x v="40"/>
    <x v="5"/>
    <x v="5"/>
    <m/>
    <n v="120"/>
    <x v="0"/>
  </r>
  <r>
    <x v="40"/>
    <x v="5"/>
    <x v="5"/>
    <m/>
    <n v="120"/>
    <x v="1"/>
  </r>
  <r>
    <x v="41"/>
    <x v="0"/>
    <x v="0"/>
    <m/>
    <n v="300"/>
    <x v="0"/>
  </r>
  <r>
    <x v="41"/>
    <x v="0"/>
    <x v="0"/>
    <m/>
    <n v="300"/>
    <x v="1"/>
  </r>
  <r>
    <x v="41"/>
    <x v="1"/>
    <x v="1"/>
    <n v="2918.6500000000051"/>
    <n v="4524.0447999999997"/>
    <x v="0"/>
  </r>
  <r>
    <x v="41"/>
    <x v="1"/>
    <x v="1"/>
    <n v="2918.6500000000051"/>
    <n v="4524.0447999999997"/>
    <x v="1"/>
  </r>
  <r>
    <x v="41"/>
    <x v="2"/>
    <x v="2"/>
    <n v="8.6000000000000085"/>
    <n v="36.578200000000002"/>
    <x v="0"/>
  </r>
  <r>
    <x v="41"/>
    <x v="2"/>
    <x v="2"/>
    <n v="8.6000000000000085"/>
    <n v="36.578200000000002"/>
    <x v="1"/>
  </r>
  <r>
    <x v="41"/>
    <x v="3"/>
    <x v="3"/>
    <n v="128.75999999999988"/>
    <n v="1584"/>
    <x v="0"/>
  </r>
  <r>
    <x v="41"/>
    <x v="3"/>
    <x v="3"/>
    <n v="128.75999999999988"/>
    <n v="1584"/>
    <x v="1"/>
  </r>
  <r>
    <x v="41"/>
    <x v="4"/>
    <x v="4"/>
    <n v="843.97999999999979"/>
    <n v="2378.1842000000001"/>
    <x v="0"/>
  </r>
  <r>
    <x v="41"/>
    <x v="4"/>
    <x v="4"/>
    <n v="843.97999999999979"/>
    <n v="2378.1842000000001"/>
    <x v="1"/>
  </r>
  <r>
    <x v="41"/>
    <x v="5"/>
    <x v="5"/>
    <n v="0"/>
    <n v="120"/>
    <x v="0"/>
  </r>
  <r>
    <x v="41"/>
    <x v="5"/>
    <x v="5"/>
    <n v="0"/>
    <n v="120"/>
    <x v="1"/>
  </r>
  <r>
    <x v="42"/>
    <x v="0"/>
    <x v="0"/>
    <m/>
    <n v="110"/>
    <x v="0"/>
  </r>
  <r>
    <x v="42"/>
    <x v="0"/>
    <x v="0"/>
    <m/>
    <n v="110"/>
    <x v="1"/>
  </r>
  <r>
    <x v="42"/>
    <x v="1"/>
    <x v="1"/>
    <n v="-358.64000000000004"/>
    <n v="544.68399999999997"/>
    <x v="0"/>
  </r>
  <r>
    <x v="42"/>
    <x v="1"/>
    <x v="1"/>
    <n v="-358.64000000000004"/>
    <n v="544.68399999999997"/>
    <x v="1"/>
  </r>
  <r>
    <x v="42"/>
    <x v="2"/>
    <x v="2"/>
    <n v="-432.5"/>
    <n v="351.61779999999999"/>
    <x v="0"/>
  </r>
  <r>
    <x v="42"/>
    <x v="2"/>
    <x v="2"/>
    <n v="-432.5"/>
    <n v="351.61779999999999"/>
    <x v="1"/>
  </r>
  <r>
    <x v="42"/>
    <x v="3"/>
    <x v="3"/>
    <n v="-85.5"/>
    <n v="576"/>
    <x v="0"/>
  </r>
  <r>
    <x v="42"/>
    <x v="3"/>
    <x v="3"/>
    <n v="-85.5"/>
    <n v="576"/>
    <x v="1"/>
  </r>
  <r>
    <x v="42"/>
    <x v="4"/>
    <x v="4"/>
    <n v="25.86"/>
    <n v="0"/>
    <x v="0"/>
  </r>
  <r>
    <x v="42"/>
    <x v="4"/>
    <x v="4"/>
    <n v="25.86"/>
    <n v="0"/>
    <x v="1"/>
  </r>
  <r>
    <x v="42"/>
    <x v="5"/>
    <x v="5"/>
    <m/>
    <n v="120"/>
    <x v="0"/>
  </r>
  <r>
    <x v="42"/>
    <x v="5"/>
    <x v="5"/>
    <m/>
    <n v="120"/>
    <x v="1"/>
  </r>
  <r>
    <x v="43"/>
    <x v="0"/>
    <x v="0"/>
    <m/>
    <n v="110"/>
    <x v="0"/>
  </r>
  <r>
    <x v="43"/>
    <x v="0"/>
    <x v="0"/>
    <m/>
    <n v="110"/>
    <x v="1"/>
  </r>
  <r>
    <x v="43"/>
    <x v="1"/>
    <x v="1"/>
    <n v="-59.36"/>
    <n v="40.225999999999999"/>
    <x v="0"/>
  </r>
  <r>
    <x v="43"/>
    <x v="1"/>
    <x v="1"/>
    <n v="-59.36"/>
    <n v="40.225999999999999"/>
    <x v="1"/>
  </r>
  <r>
    <x v="43"/>
    <x v="2"/>
    <x v="2"/>
    <n v="-235.98999999999978"/>
    <n v="6270.5540000000001"/>
    <x v="0"/>
  </r>
  <r>
    <x v="43"/>
    <x v="2"/>
    <x v="2"/>
    <n v="-235.98999999999978"/>
    <n v="6270.5540000000001"/>
    <x v="1"/>
  </r>
  <r>
    <x v="43"/>
    <x v="3"/>
    <x v="3"/>
    <n v="72"/>
    <n v="576"/>
    <x v="0"/>
  </r>
  <r>
    <x v="43"/>
    <x v="3"/>
    <x v="3"/>
    <n v="72"/>
    <n v="576"/>
    <x v="1"/>
  </r>
  <r>
    <x v="43"/>
    <x v="4"/>
    <x v="4"/>
    <m/>
    <n v="0"/>
    <x v="0"/>
  </r>
  <r>
    <x v="43"/>
    <x v="4"/>
    <x v="4"/>
    <m/>
    <n v="0"/>
    <x v="1"/>
  </r>
  <r>
    <x v="43"/>
    <x v="5"/>
    <x v="5"/>
    <m/>
    <n v="120"/>
    <x v="0"/>
  </r>
  <r>
    <x v="43"/>
    <x v="5"/>
    <x v="5"/>
    <m/>
    <n v="120"/>
    <x v="1"/>
  </r>
  <r>
    <x v="44"/>
    <x v="0"/>
    <x v="0"/>
    <m/>
    <n v="368"/>
    <x v="0"/>
  </r>
  <r>
    <x v="44"/>
    <x v="0"/>
    <x v="0"/>
    <m/>
    <n v="368"/>
    <x v="1"/>
  </r>
  <r>
    <x v="44"/>
    <x v="1"/>
    <x v="1"/>
    <n v="2281.7600000000007"/>
    <n v="6578.7255999999998"/>
    <x v="0"/>
  </r>
  <r>
    <x v="44"/>
    <x v="1"/>
    <x v="1"/>
    <n v="2281.7600000000007"/>
    <n v="6578.7255999999998"/>
    <x v="1"/>
  </r>
  <r>
    <x v="44"/>
    <x v="2"/>
    <x v="2"/>
    <n v="-33.750000000000014"/>
    <n v="144.58539999999999"/>
    <x v="0"/>
  </r>
  <r>
    <x v="44"/>
    <x v="2"/>
    <x v="2"/>
    <n v="-33.750000000000014"/>
    <n v="144.58539999999999"/>
    <x v="1"/>
  </r>
  <r>
    <x v="44"/>
    <x v="3"/>
    <x v="3"/>
    <n v="121.25999999999999"/>
    <n v="1944"/>
    <x v="0"/>
  </r>
  <r>
    <x v="44"/>
    <x v="3"/>
    <x v="3"/>
    <n v="121.25999999999999"/>
    <n v="1944"/>
    <x v="1"/>
  </r>
  <r>
    <x v="44"/>
    <x v="4"/>
    <x v="4"/>
    <n v="519.22"/>
    <n v="753.64700000000005"/>
    <x v="0"/>
  </r>
  <r>
    <x v="44"/>
    <x v="4"/>
    <x v="4"/>
    <n v="519.22"/>
    <n v="753.64700000000005"/>
    <x v="1"/>
  </r>
  <r>
    <x v="44"/>
    <x v="5"/>
    <x v="5"/>
    <m/>
    <n v="192"/>
    <x v="0"/>
  </r>
  <r>
    <x v="44"/>
    <x v="5"/>
    <x v="5"/>
    <m/>
    <n v="192"/>
    <x v="1"/>
  </r>
  <r>
    <x v="45"/>
    <x v="0"/>
    <x v="0"/>
    <m/>
    <n v="382"/>
    <x v="0"/>
  </r>
  <r>
    <x v="45"/>
    <x v="0"/>
    <x v="0"/>
    <m/>
    <n v="382"/>
    <x v="1"/>
  </r>
  <r>
    <x v="45"/>
    <x v="1"/>
    <x v="1"/>
    <n v="2060.7400000000007"/>
    <n v="7603.6328000000003"/>
    <x v="0"/>
  </r>
  <r>
    <x v="45"/>
    <x v="1"/>
    <x v="1"/>
    <n v="2060.7400000000007"/>
    <n v="7603.6328000000003"/>
    <x v="1"/>
  </r>
  <r>
    <x v="45"/>
    <x v="2"/>
    <x v="2"/>
    <n v="-3.4000000000000057"/>
    <n v="57.2042"/>
    <x v="0"/>
  </r>
  <r>
    <x v="45"/>
    <x v="2"/>
    <x v="2"/>
    <n v="-3.4000000000000057"/>
    <n v="57.2042"/>
    <x v="1"/>
  </r>
  <r>
    <x v="45"/>
    <x v="3"/>
    <x v="3"/>
    <n v="248.18000000000006"/>
    <n v="2016"/>
    <x v="0"/>
  </r>
  <r>
    <x v="45"/>
    <x v="3"/>
    <x v="3"/>
    <n v="248.18000000000006"/>
    <n v="2016"/>
    <x v="1"/>
  </r>
  <r>
    <x v="45"/>
    <x v="4"/>
    <x v="4"/>
    <n v="272"/>
    <n v="646.98440000000005"/>
    <x v="0"/>
  </r>
  <r>
    <x v="45"/>
    <x v="4"/>
    <x v="4"/>
    <n v="272"/>
    <n v="646.98440000000005"/>
    <x v="1"/>
  </r>
  <r>
    <x v="45"/>
    <x v="5"/>
    <x v="5"/>
    <m/>
    <n v="192"/>
    <x v="0"/>
  </r>
  <r>
    <x v="45"/>
    <x v="5"/>
    <x v="5"/>
    <m/>
    <n v="192"/>
    <x v="1"/>
  </r>
  <r>
    <x v="46"/>
    <x v="0"/>
    <x v="0"/>
    <m/>
    <n v="110"/>
    <x v="0"/>
  </r>
  <r>
    <x v="46"/>
    <x v="0"/>
    <x v="0"/>
    <m/>
    <n v="110"/>
    <x v="1"/>
  </r>
  <r>
    <x v="46"/>
    <x v="1"/>
    <x v="1"/>
    <m/>
    <n v="3119.0362"/>
    <x v="0"/>
  </r>
  <r>
    <x v="46"/>
    <x v="1"/>
    <x v="1"/>
    <m/>
    <n v="3119.0362"/>
    <x v="1"/>
  </r>
  <r>
    <x v="46"/>
    <x v="2"/>
    <x v="2"/>
    <n v="510.23"/>
    <n v="6277.7475999999997"/>
    <x v="0"/>
  </r>
  <r>
    <x v="46"/>
    <x v="2"/>
    <x v="2"/>
    <n v="510.23"/>
    <n v="6277.7475999999997"/>
    <x v="1"/>
  </r>
  <r>
    <x v="46"/>
    <x v="3"/>
    <x v="3"/>
    <n v="-178.47999999999996"/>
    <n v="576"/>
    <x v="0"/>
  </r>
  <r>
    <x v="46"/>
    <x v="3"/>
    <x v="3"/>
    <n v="-178.47999999999996"/>
    <n v="576"/>
    <x v="1"/>
  </r>
  <r>
    <x v="46"/>
    <x v="4"/>
    <x v="4"/>
    <n v="-25.98"/>
    <n v="139.01179999999999"/>
    <x v="0"/>
  </r>
  <r>
    <x v="46"/>
    <x v="4"/>
    <x v="4"/>
    <n v="-25.98"/>
    <n v="139.01179999999999"/>
    <x v="1"/>
  </r>
  <r>
    <x v="46"/>
    <x v="5"/>
    <x v="5"/>
    <n v="0"/>
    <n v="72"/>
    <x v="0"/>
  </r>
  <r>
    <x v="46"/>
    <x v="5"/>
    <x v="5"/>
    <n v="0"/>
    <n v="72"/>
    <x v="1"/>
  </r>
  <r>
    <x v="47"/>
    <x v="0"/>
    <x v="0"/>
    <m/>
    <n v="150"/>
    <x v="0"/>
  </r>
  <r>
    <x v="47"/>
    <x v="0"/>
    <x v="0"/>
    <m/>
    <n v="150"/>
    <x v="1"/>
  </r>
  <r>
    <x v="47"/>
    <x v="1"/>
    <x v="1"/>
    <m/>
    <n v="306.26560000000001"/>
    <x v="0"/>
  </r>
  <r>
    <x v="47"/>
    <x v="1"/>
    <x v="1"/>
    <m/>
    <n v="306.26560000000001"/>
    <x v="1"/>
  </r>
  <r>
    <x v="47"/>
    <x v="2"/>
    <x v="2"/>
    <n v="189.89999999999986"/>
    <n v="286.12259999999998"/>
    <x v="0"/>
  </r>
  <r>
    <x v="47"/>
    <x v="2"/>
    <x v="2"/>
    <n v="189.89999999999986"/>
    <n v="286.12259999999998"/>
    <x v="1"/>
  </r>
  <r>
    <x v="47"/>
    <x v="3"/>
    <x v="3"/>
    <n v="-52.039999999999964"/>
    <n v="792"/>
    <x v="0"/>
  </r>
  <r>
    <x v="47"/>
    <x v="3"/>
    <x v="3"/>
    <n v="-52.039999999999964"/>
    <n v="792"/>
    <x v="1"/>
  </r>
  <r>
    <x v="47"/>
    <x v="4"/>
    <x v="4"/>
    <n v="156.88"/>
    <n v="62.901200000000003"/>
    <x v="0"/>
  </r>
  <r>
    <x v="47"/>
    <x v="4"/>
    <x v="4"/>
    <n v="156.88"/>
    <n v="62.901200000000003"/>
    <x v="1"/>
  </r>
  <r>
    <x v="47"/>
    <x v="5"/>
    <x v="5"/>
    <n v="30"/>
    <n v="96"/>
    <x v="0"/>
  </r>
  <r>
    <x v="47"/>
    <x v="5"/>
    <x v="5"/>
    <n v="30"/>
    <n v="96"/>
    <x v="1"/>
  </r>
  <r>
    <x v="48"/>
    <x v="0"/>
    <x v="0"/>
    <m/>
    <n v="164"/>
    <x v="0"/>
  </r>
  <r>
    <x v="48"/>
    <x v="0"/>
    <x v="0"/>
    <m/>
    <n v="164"/>
    <x v="1"/>
  </r>
  <r>
    <x v="48"/>
    <x v="1"/>
    <x v="1"/>
    <n v="-4.5399999999999991"/>
    <n v="291.95080000000002"/>
    <x v="0"/>
  </r>
  <r>
    <x v="48"/>
    <x v="1"/>
    <x v="1"/>
    <n v="-4.5399999999999991"/>
    <n v="291.95080000000002"/>
    <x v="1"/>
  </r>
  <r>
    <x v="48"/>
    <x v="2"/>
    <x v="2"/>
    <n v="34.200000000000003"/>
    <n v="44.808199999999999"/>
    <x v="0"/>
  </r>
  <r>
    <x v="48"/>
    <x v="2"/>
    <x v="2"/>
    <n v="34.200000000000003"/>
    <n v="44.808199999999999"/>
    <x v="1"/>
  </r>
  <r>
    <x v="48"/>
    <x v="3"/>
    <x v="3"/>
    <n v="4.8900000000000148"/>
    <n v="864"/>
    <x v="0"/>
  </r>
  <r>
    <x v="48"/>
    <x v="3"/>
    <x v="3"/>
    <n v="4.8900000000000148"/>
    <n v="864"/>
    <x v="1"/>
  </r>
  <r>
    <x v="48"/>
    <x v="4"/>
    <x v="4"/>
    <m/>
    <n v="30.327400000000001"/>
    <x v="0"/>
  </r>
  <r>
    <x v="48"/>
    <x v="4"/>
    <x v="4"/>
    <m/>
    <n v="30.327400000000001"/>
    <x v="1"/>
  </r>
  <r>
    <x v="48"/>
    <x v="5"/>
    <x v="5"/>
    <n v="-247.61"/>
    <n v="120"/>
    <x v="0"/>
  </r>
  <r>
    <x v="48"/>
    <x v="5"/>
    <x v="5"/>
    <n v="-247.61"/>
    <n v="120"/>
    <x v="1"/>
  </r>
  <r>
    <x v="49"/>
    <x v="0"/>
    <x v="0"/>
    <m/>
    <n v="124"/>
    <x v="0"/>
  </r>
  <r>
    <x v="49"/>
    <x v="0"/>
    <x v="0"/>
    <m/>
    <n v="124"/>
    <x v="1"/>
  </r>
  <r>
    <x v="49"/>
    <x v="1"/>
    <x v="1"/>
    <n v="-80.299999999999983"/>
    <n v="448.1798"/>
    <x v="0"/>
  </r>
  <r>
    <x v="49"/>
    <x v="1"/>
    <x v="1"/>
    <n v="-80.299999999999983"/>
    <n v="448.1798"/>
    <x v="1"/>
  </r>
  <r>
    <x v="49"/>
    <x v="2"/>
    <x v="2"/>
    <n v="4.75"/>
    <n v="19.305199999999999"/>
    <x v="0"/>
  </r>
  <r>
    <x v="49"/>
    <x v="2"/>
    <x v="2"/>
    <n v="4.75"/>
    <n v="19.305199999999999"/>
    <x v="1"/>
  </r>
  <r>
    <x v="49"/>
    <x v="3"/>
    <x v="3"/>
    <n v="114.33"/>
    <n v="648"/>
    <x v="0"/>
  </r>
  <r>
    <x v="49"/>
    <x v="3"/>
    <x v="3"/>
    <n v="114.33"/>
    <n v="648"/>
    <x v="1"/>
  </r>
  <r>
    <x v="49"/>
    <x v="4"/>
    <x v="4"/>
    <n v="16"/>
    <n v="629.01260000000002"/>
    <x v="0"/>
  </r>
  <r>
    <x v="49"/>
    <x v="4"/>
    <x v="4"/>
    <n v="16"/>
    <n v="629.01260000000002"/>
    <x v="1"/>
  </r>
  <r>
    <x v="49"/>
    <x v="5"/>
    <x v="5"/>
    <n v="17.11"/>
    <n v="72"/>
    <x v="0"/>
  </r>
  <r>
    <x v="49"/>
    <x v="5"/>
    <x v="5"/>
    <n v="17.11"/>
    <n v="72"/>
    <x v="1"/>
  </r>
  <r>
    <x v="50"/>
    <x v="0"/>
    <x v="0"/>
    <m/>
    <n v="204"/>
    <x v="0"/>
  </r>
  <r>
    <x v="50"/>
    <x v="0"/>
    <x v="0"/>
    <m/>
    <n v="204"/>
    <x v="1"/>
  </r>
  <r>
    <x v="50"/>
    <x v="1"/>
    <x v="1"/>
    <n v="207.83999999999997"/>
    <n v="691.97320000000002"/>
    <x v="0"/>
  </r>
  <r>
    <x v="50"/>
    <x v="1"/>
    <x v="1"/>
    <n v="207.83999999999997"/>
    <n v="691.97320000000002"/>
    <x v="1"/>
  </r>
  <r>
    <x v="50"/>
    <x v="2"/>
    <x v="2"/>
    <n v="23.15"/>
    <n v="77.220600000000005"/>
    <x v="0"/>
  </r>
  <r>
    <x v="50"/>
    <x v="2"/>
    <x v="2"/>
    <n v="23.15"/>
    <n v="77.220600000000005"/>
    <x v="1"/>
  </r>
  <r>
    <x v="50"/>
    <x v="3"/>
    <x v="3"/>
    <n v="164.25999999999988"/>
    <n v="1080"/>
    <x v="0"/>
  </r>
  <r>
    <x v="50"/>
    <x v="3"/>
    <x v="3"/>
    <n v="164.25999999999988"/>
    <n v="1080"/>
    <x v="1"/>
  </r>
  <r>
    <x v="50"/>
    <x v="4"/>
    <x v="4"/>
    <n v="166.55999999999995"/>
    <n v="4789.4813999999997"/>
    <x v="0"/>
  </r>
  <r>
    <x v="50"/>
    <x v="4"/>
    <x v="4"/>
    <n v="166.55999999999995"/>
    <n v="4789.4813999999997"/>
    <x v="1"/>
  </r>
  <r>
    <x v="50"/>
    <x v="5"/>
    <x v="5"/>
    <m/>
    <n v="144"/>
    <x v="0"/>
  </r>
  <r>
    <x v="50"/>
    <x v="5"/>
    <x v="5"/>
    <m/>
    <n v="144"/>
    <x v="1"/>
  </r>
  <r>
    <x v="51"/>
    <x v="0"/>
    <x v="0"/>
    <m/>
    <n v="150"/>
    <x v="0"/>
  </r>
  <r>
    <x v="51"/>
    <x v="0"/>
    <x v="0"/>
    <m/>
    <n v="150"/>
    <x v="1"/>
  </r>
  <r>
    <x v="51"/>
    <x v="1"/>
    <x v="1"/>
    <n v="4.6199999999999761"/>
    <n v="1049.884"/>
    <x v="0"/>
  </r>
  <r>
    <x v="51"/>
    <x v="1"/>
    <x v="1"/>
    <n v="4.6199999999999761"/>
    <n v="1049.884"/>
    <x v="1"/>
  </r>
  <r>
    <x v="51"/>
    <x v="2"/>
    <x v="2"/>
    <n v="31.699999999999996"/>
    <n v="54.664000000000001"/>
    <x v="0"/>
  </r>
  <r>
    <x v="51"/>
    <x v="2"/>
    <x v="2"/>
    <n v="31.699999999999996"/>
    <n v="54.664000000000001"/>
    <x v="1"/>
  </r>
  <r>
    <x v="51"/>
    <x v="3"/>
    <x v="3"/>
    <n v="105.71000000000004"/>
    <n v="792"/>
    <x v="0"/>
  </r>
  <r>
    <x v="51"/>
    <x v="3"/>
    <x v="3"/>
    <n v="105.71000000000004"/>
    <n v="792"/>
    <x v="1"/>
  </r>
  <r>
    <x v="51"/>
    <x v="4"/>
    <x v="4"/>
    <n v="41.3"/>
    <n v="290.0872"/>
    <x v="0"/>
  </r>
  <r>
    <x v="51"/>
    <x v="4"/>
    <x v="4"/>
    <n v="41.3"/>
    <n v="290.0872"/>
    <x v="1"/>
  </r>
  <r>
    <x v="51"/>
    <x v="5"/>
    <x v="5"/>
    <m/>
    <n v="120"/>
    <x v="0"/>
  </r>
  <r>
    <x v="51"/>
    <x v="5"/>
    <x v="5"/>
    <m/>
    <n v="120"/>
    <x v="1"/>
  </r>
  <r>
    <x v="52"/>
    <x v="0"/>
    <x v="0"/>
    <m/>
    <n v="246"/>
    <x v="0"/>
  </r>
  <r>
    <x v="52"/>
    <x v="0"/>
    <x v="0"/>
    <m/>
    <n v="246"/>
    <x v="1"/>
  </r>
  <r>
    <x v="52"/>
    <x v="1"/>
    <x v="1"/>
    <n v="-28"/>
    <n v="343.33479999999997"/>
    <x v="0"/>
  </r>
  <r>
    <x v="52"/>
    <x v="1"/>
    <x v="1"/>
    <n v="-28"/>
    <n v="343.33479999999997"/>
    <x v="1"/>
  </r>
  <r>
    <x v="52"/>
    <x v="2"/>
    <x v="2"/>
    <n v="8.6500000000000909"/>
    <n v="173.3398"/>
    <x v="0"/>
  </r>
  <r>
    <x v="52"/>
    <x v="2"/>
    <x v="2"/>
    <n v="8.6500000000000909"/>
    <n v="173.3398"/>
    <x v="1"/>
  </r>
  <r>
    <x v="52"/>
    <x v="3"/>
    <x v="3"/>
    <n v="-32.28000000000003"/>
    <n v="1296"/>
    <x v="0"/>
  </r>
  <r>
    <x v="52"/>
    <x v="3"/>
    <x v="3"/>
    <n v="-32.28000000000003"/>
    <n v="1296"/>
    <x v="1"/>
  </r>
  <r>
    <x v="52"/>
    <x v="4"/>
    <x v="4"/>
    <n v="12.959999999999994"/>
    <n v="135.19280000000001"/>
    <x v="0"/>
  </r>
  <r>
    <x v="52"/>
    <x v="4"/>
    <x v="4"/>
    <n v="12.959999999999994"/>
    <n v="135.19280000000001"/>
    <x v="1"/>
  </r>
  <r>
    <x v="52"/>
    <x v="5"/>
    <x v="5"/>
    <n v="-5.3500000000000014"/>
    <n v="216"/>
    <x v="0"/>
  </r>
  <r>
    <x v="52"/>
    <x v="5"/>
    <x v="5"/>
    <n v="-5.3500000000000014"/>
    <n v="216"/>
    <x v="1"/>
  </r>
  <r>
    <x v="53"/>
    <x v="0"/>
    <x v="0"/>
    <m/>
    <n v="272"/>
    <x v="0"/>
  </r>
  <r>
    <x v="53"/>
    <x v="0"/>
    <x v="0"/>
    <m/>
    <n v="272"/>
    <x v="1"/>
  </r>
  <r>
    <x v="53"/>
    <x v="1"/>
    <x v="1"/>
    <n v="8.7299999999999613"/>
    <n v="618.7636"/>
    <x v="0"/>
  </r>
  <r>
    <x v="53"/>
    <x v="1"/>
    <x v="1"/>
    <n v="8.7299999999999613"/>
    <n v="618.7636"/>
    <x v="1"/>
  </r>
  <r>
    <x v="53"/>
    <x v="2"/>
    <x v="2"/>
    <n v="-14.400000000000006"/>
    <n v="175.06720000000001"/>
    <x v="0"/>
  </r>
  <r>
    <x v="53"/>
    <x v="2"/>
    <x v="2"/>
    <n v="-14.400000000000006"/>
    <n v="175.06720000000001"/>
    <x v="1"/>
  </r>
  <r>
    <x v="53"/>
    <x v="3"/>
    <x v="3"/>
    <n v="48.139999999999873"/>
    <n v="1440"/>
    <x v="0"/>
  </r>
  <r>
    <x v="53"/>
    <x v="3"/>
    <x v="3"/>
    <n v="48.139999999999873"/>
    <n v="1440"/>
    <x v="1"/>
  </r>
  <r>
    <x v="53"/>
    <x v="4"/>
    <x v="4"/>
    <n v="-33.490000000000009"/>
    <n v="90.959800000000001"/>
    <x v="0"/>
  </r>
  <r>
    <x v="53"/>
    <x v="4"/>
    <x v="4"/>
    <n v="-33.490000000000009"/>
    <n v="90.959800000000001"/>
    <x v="1"/>
  </r>
  <r>
    <x v="53"/>
    <x v="5"/>
    <x v="5"/>
    <n v="0"/>
    <n v="168"/>
    <x v="0"/>
  </r>
  <r>
    <x v="53"/>
    <x v="5"/>
    <x v="5"/>
    <n v="0"/>
    <n v="168"/>
    <x v="1"/>
  </r>
  <r>
    <x v="54"/>
    <x v="0"/>
    <x v="0"/>
    <m/>
    <n v="422"/>
    <x v="0"/>
  </r>
  <r>
    <x v="54"/>
    <x v="0"/>
    <x v="0"/>
    <m/>
    <n v="422"/>
    <x v="1"/>
  </r>
  <r>
    <x v="54"/>
    <x v="1"/>
    <x v="1"/>
    <n v="4921.299999999992"/>
    <n v="37053.297200000001"/>
    <x v="0"/>
  </r>
  <r>
    <x v="54"/>
    <x v="1"/>
    <x v="1"/>
    <n v="4921.299999999992"/>
    <n v="37053.297200000001"/>
    <x v="1"/>
  </r>
  <r>
    <x v="54"/>
    <x v="2"/>
    <x v="2"/>
    <n v="868"/>
    <n v="1072.9594"/>
    <x v="0"/>
  </r>
  <r>
    <x v="54"/>
    <x v="2"/>
    <x v="2"/>
    <n v="868"/>
    <n v="1072.9594"/>
    <x v="1"/>
  </r>
  <r>
    <x v="54"/>
    <x v="3"/>
    <x v="3"/>
    <n v="104.02999999999997"/>
    <n v="2232"/>
    <x v="0"/>
  </r>
  <r>
    <x v="54"/>
    <x v="3"/>
    <x v="3"/>
    <n v="104.02999999999997"/>
    <n v="2232"/>
    <x v="1"/>
  </r>
  <r>
    <x v="54"/>
    <x v="4"/>
    <x v="4"/>
    <n v="921.58999999999924"/>
    <n v="8051.0335999999998"/>
    <x v="0"/>
  </r>
  <r>
    <x v="54"/>
    <x v="4"/>
    <x v="4"/>
    <n v="921.58999999999924"/>
    <n v="8051.0335999999998"/>
    <x v="1"/>
  </r>
  <r>
    <x v="54"/>
    <x v="5"/>
    <x v="5"/>
    <n v="117.49"/>
    <n v="216"/>
    <x v="0"/>
  </r>
  <r>
    <x v="54"/>
    <x v="5"/>
    <x v="5"/>
    <n v="117.49"/>
    <n v="216"/>
    <x v="1"/>
  </r>
  <r>
    <x v="55"/>
    <x v="0"/>
    <x v="0"/>
    <m/>
    <n v="246"/>
    <x v="0"/>
  </r>
  <r>
    <x v="55"/>
    <x v="0"/>
    <x v="0"/>
    <m/>
    <n v="246"/>
    <x v="1"/>
  </r>
  <r>
    <x v="55"/>
    <x v="1"/>
    <x v="1"/>
    <n v="-186.1"/>
    <n v="183.62780000000001"/>
    <x v="0"/>
  </r>
  <r>
    <x v="55"/>
    <x v="1"/>
    <x v="1"/>
    <n v="-186.1"/>
    <n v="183.62780000000001"/>
    <x v="1"/>
  </r>
  <r>
    <x v="55"/>
    <x v="2"/>
    <x v="2"/>
    <n v="38.15"/>
    <n v="59.845999999999997"/>
    <x v="0"/>
  </r>
  <r>
    <x v="55"/>
    <x v="2"/>
    <x v="2"/>
    <n v="38.15"/>
    <n v="59.845999999999997"/>
    <x v="1"/>
  </r>
  <r>
    <x v="55"/>
    <x v="3"/>
    <x v="3"/>
    <n v="58.359999999999957"/>
    <n v="1296"/>
    <x v="0"/>
  </r>
  <r>
    <x v="55"/>
    <x v="3"/>
    <x v="3"/>
    <n v="58.359999999999957"/>
    <n v="1296"/>
    <x v="1"/>
  </r>
  <r>
    <x v="55"/>
    <x v="4"/>
    <x v="4"/>
    <n v="25.979999999999997"/>
    <n v="62.451999999999998"/>
    <x v="0"/>
  </r>
  <r>
    <x v="55"/>
    <x v="4"/>
    <x v="4"/>
    <n v="25.979999999999997"/>
    <n v="62.451999999999998"/>
    <x v="1"/>
  </r>
  <r>
    <x v="55"/>
    <x v="5"/>
    <x v="5"/>
    <m/>
    <n v="120"/>
    <x v="0"/>
  </r>
  <r>
    <x v="55"/>
    <x v="5"/>
    <x v="5"/>
    <m/>
    <n v="120"/>
    <x v="1"/>
  </r>
  <r>
    <x v="56"/>
    <x v="0"/>
    <x v="0"/>
    <m/>
    <n v="124"/>
    <x v="0"/>
  </r>
  <r>
    <x v="56"/>
    <x v="0"/>
    <x v="0"/>
    <m/>
    <n v="124"/>
    <x v="1"/>
  </r>
  <r>
    <x v="56"/>
    <x v="1"/>
    <x v="1"/>
    <n v="119.46999999999997"/>
    <n v="742.90260000000001"/>
    <x v="0"/>
  </r>
  <r>
    <x v="56"/>
    <x v="1"/>
    <x v="1"/>
    <n v="119.46999999999997"/>
    <n v="742.90260000000001"/>
    <x v="1"/>
  </r>
  <r>
    <x v="56"/>
    <x v="2"/>
    <x v="2"/>
    <n v="66.800000000000011"/>
    <n v="95.509600000000006"/>
    <x v="0"/>
  </r>
  <r>
    <x v="56"/>
    <x v="2"/>
    <x v="2"/>
    <n v="66.800000000000011"/>
    <n v="95.509600000000006"/>
    <x v="1"/>
  </r>
  <r>
    <x v="56"/>
    <x v="3"/>
    <x v="3"/>
    <n v="83.810000000000059"/>
    <n v="648"/>
    <x v="0"/>
  </r>
  <r>
    <x v="56"/>
    <x v="3"/>
    <x v="3"/>
    <n v="83.810000000000059"/>
    <n v="648"/>
    <x v="1"/>
  </r>
  <r>
    <x v="56"/>
    <x v="4"/>
    <x v="4"/>
    <n v="39.620000000000005"/>
    <n v="355.68419999999998"/>
    <x v="0"/>
  </r>
  <r>
    <x v="56"/>
    <x v="4"/>
    <x v="4"/>
    <n v="39.620000000000005"/>
    <n v="355.68419999999998"/>
    <x v="1"/>
  </r>
  <r>
    <x v="56"/>
    <x v="5"/>
    <x v="5"/>
    <n v="18.600000000000001"/>
    <n v="120"/>
    <x v="0"/>
  </r>
  <r>
    <x v="56"/>
    <x v="5"/>
    <x v="5"/>
    <n v="18.600000000000001"/>
    <n v="120"/>
    <x v="1"/>
  </r>
  <r>
    <x v="57"/>
    <x v="0"/>
    <x v="0"/>
    <m/>
    <n v="192"/>
    <x v="0"/>
  </r>
  <r>
    <x v="57"/>
    <x v="0"/>
    <x v="0"/>
    <m/>
    <n v="192"/>
    <x v="1"/>
  </r>
  <r>
    <x v="57"/>
    <x v="1"/>
    <x v="1"/>
    <n v="309.46999999999997"/>
    <n v="1180.145"/>
    <x v="0"/>
  </r>
  <r>
    <x v="57"/>
    <x v="1"/>
    <x v="1"/>
    <n v="309.46999999999997"/>
    <n v="1180.145"/>
    <x v="1"/>
  </r>
  <r>
    <x v="57"/>
    <x v="2"/>
    <x v="2"/>
    <n v="5.3999999999999995"/>
    <n v="69.600200000000001"/>
    <x v="0"/>
  </r>
  <r>
    <x v="57"/>
    <x v="2"/>
    <x v="2"/>
    <n v="5.3999999999999995"/>
    <n v="69.600200000000001"/>
    <x v="1"/>
  </r>
  <r>
    <x v="57"/>
    <x v="3"/>
    <x v="3"/>
    <n v="314.52"/>
    <n v="1008"/>
    <x v="0"/>
  </r>
  <r>
    <x v="57"/>
    <x v="3"/>
    <x v="3"/>
    <n v="314.52"/>
    <n v="1008"/>
    <x v="1"/>
  </r>
  <r>
    <x v="57"/>
    <x v="4"/>
    <x v="4"/>
    <n v="22.849999999999994"/>
    <n v="129.39680000000001"/>
    <x v="0"/>
  </r>
  <r>
    <x v="57"/>
    <x v="4"/>
    <x v="4"/>
    <n v="22.849999999999994"/>
    <n v="129.39680000000001"/>
    <x v="1"/>
  </r>
  <r>
    <x v="57"/>
    <x v="5"/>
    <x v="5"/>
    <m/>
    <n v="120"/>
    <x v="0"/>
  </r>
  <r>
    <x v="57"/>
    <x v="5"/>
    <x v="5"/>
    <m/>
    <n v="120"/>
    <x v="1"/>
  </r>
  <r>
    <x v="58"/>
    <x v="0"/>
    <x v="0"/>
    <m/>
    <n v="178"/>
    <x v="0"/>
  </r>
  <r>
    <x v="58"/>
    <x v="0"/>
    <x v="0"/>
    <m/>
    <n v="178"/>
    <x v="1"/>
  </r>
  <r>
    <x v="58"/>
    <x v="1"/>
    <x v="1"/>
    <n v="-68.81"/>
    <n v="415.9828"/>
    <x v="0"/>
  </r>
  <r>
    <x v="58"/>
    <x v="1"/>
    <x v="1"/>
    <n v="-68.81"/>
    <n v="415.9828"/>
    <x v="1"/>
  </r>
  <r>
    <x v="58"/>
    <x v="2"/>
    <x v="2"/>
    <n v="37.499999999999545"/>
    <n v="130.4622"/>
    <x v="0"/>
  </r>
  <r>
    <x v="58"/>
    <x v="2"/>
    <x v="2"/>
    <n v="37.499999999999545"/>
    <n v="130.4622"/>
    <x v="1"/>
  </r>
  <r>
    <x v="58"/>
    <x v="3"/>
    <x v="3"/>
    <n v="124.10000000000002"/>
    <n v="936"/>
    <x v="0"/>
  </r>
  <r>
    <x v="58"/>
    <x v="3"/>
    <x v="3"/>
    <n v="124.10000000000002"/>
    <n v="936"/>
    <x v="1"/>
  </r>
  <r>
    <x v="58"/>
    <x v="4"/>
    <x v="4"/>
    <n v="30.20000000000001"/>
    <n v="0"/>
    <x v="0"/>
  </r>
  <r>
    <x v="58"/>
    <x v="4"/>
    <x v="4"/>
    <n v="30.20000000000001"/>
    <n v="0"/>
    <x v="1"/>
  </r>
  <r>
    <x v="58"/>
    <x v="5"/>
    <x v="5"/>
    <n v="0"/>
    <n v="120"/>
    <x v="0"/>
  </r>
  <r>
    <x v="58"/>
    <x v="5"/>
    <x v="5"/>
    <n v="0"/>
    <n v="120"/>
    <x v="1"/>
  </r>
  <r>
    <x v="59"/>
    <x v="0"/>
    <x v="0"/>
    <m/>
    <n v="124"/>
    <x v="0"/>
  </r>
  <r>
    <x v="59"/>
    <x v="0"/>
    <x v="0"/>
    <m/>
    <n v="124"/>
    <x v="1"/>
  </r>
  <r>
    <x v="59"/>
    <x v="1"/>
    <x v="1"/>
    <n v="-250.79999999999998"/>
    <n v="170.02340000000001"/>
    <x v="0"/>
  </r>
  <r>
    <x v="59"/>
    <x v="1"/>
    <x v="1"/>
    <n v="-250.79999999999998"/>
    <n v="170.02340000000001"/>
    <x v="1"/>
  </r>
  <r>
    <x v="59"/>
    <x v="2"/>
    <x v="2"/>
    <n v="10.95"/>
    <n v="81.691199999999995"/>
    <x v="0"/>
  </r>
  <r>
    <x v="59"/>
    <x v="2"/>
    <x v="2"/>
    <n v="10.95"/>
    <n v="81.691199999999995"/>
    <x v="1"/>
  </r>
  <r>
    <x v="59"/>
    <x v="3"/>
    <x v="3"/>
    <n v="-131.35000000000002"/>
    <n v="648"/>
    <x v="0"/>
  </r>
  <r>
    <x v="59"/>
    <x v="3"/>
    <x v="3"/>
    <n v="-131.35000000000002"/>
    <n v="648"/>
    <x v="1"/>
  </r>
  <r>
    <x v="59"/>
    <x v="4"/>
    <x v="4"/>
    <n v="12.55"/>
    <n v="74.133600000000001"/>
    <x v="0"/>
  </r>
  <r>
    <x v="59"/>
    <x v="4"/>
    <x v="4"/>
    <n v="12.55"/>
    <n v="74.133600000000001"/>
    <x v="1"/>
  </r>
  <r>
    <x v="59"/>
    <x v="5"/>
    <x v="5"/>
    <n v="0"/>
    <n v="96"/>
    <x v="0"/>
  </r>
  <r>
    <x v="59"/>
    <x v="5"/>
    <x v="5"/>
    <n v="0"/>
    <n v="96"/>
    <x v="1"/>
  </r>
  <r>
    <x v="60"/>
    <x v="0"/>
    <x v="0"/>
    <m/>
    <n v="354"/>
    <x v="0"/>
  </r>
  <r>
    <x v="60"/>
    <x v="0"/>
    <x v="0"/>
    <m/>
    <n v="354"/>
    <x v="1"/>
  </r>
  <r>
    <x v="60"/>
    <x v="1"/>
    <x v="1"/>
    <n v="-24.220000000000255"/>
    <n v="8757.9069999999992"/>
    <x v="0"/>
  </r>
  <r>
    <x v="60"/>
    <x v="1"/>
    <x v="1"/>
    <n v="-24.220000000000255"/>
    <n v="8757.9069999999992"/>
    <x v="1"/>
  </r>
  <r>
    <x v="60"/>
    <x v="2"/>
    <x v="2"/>
    <n v="169.50000000000003"/>
    <n v="71.530600000000007"/>
    <x v="0"/>
  </r>
  <r>
    <x v="60"/>
    <x v="2"/>
    <x v="2"/>
    <n v="169.50000000000003"/>
    <n v="71.530600000000007"/>
    <x v="1"/>
  </r>
  <r>
    <x v="60"/>
    <x v="3"/>
    <x v="3"/>
    <n v="4.5099999999999341"/>
    <n v="1872"/>
    <x v="0"/>
  </r>
  <r>
    <x v="60"/>
    <x v="3"/>
    <x v="3"/>
    <n v="4.5099999999999341"/>
    <n v="1872"/>
    <x v="1"/>
  </r>
  <r>
    <x v="60"/>
    <x v="4"/>
    <x v="4"/>
    <n v="-24"/>
    <n v="1689.348"/>
    <x v="0"/>
  </r>
  <r>
    <x v="60"/>
    <x v="4"/>
    <x v="4"/>
    <n v="-24"/>
    <n v="1689.348"/>
    <x v="1"/>
  </r>
  <r>
    <x v="60"/>
    <x v="5"/>
    <x v="5"/>
    <m/>
    <n v="136"/>
    <x v="0"/>
  </r>
  <r>
    <x v="60"/>
    <x v="5"/>
    <x v="5"/>
    <m/>
    <n v="136"/>
    <x v="1"/>
  </r>
  <r>
    <x v="61"/>
    <x v="0"/>
    <x v="0"/>
    <m/>
    <n v="204"/>
    <x v="0"/>
  </r>
  <r>
    <x v="61"/>
    <x v="0"/>
    <x v="0"/>
    <m/>
    <n v="204"/>
    <x v="1"/>
  </r>
  <r>
    <x v="61"/>
    <x v="1"/>
    <x v="1"/>
    <n v="-308.68000000000012"/>
    <n v="475.16860000000003"/>
    <x v="0"/>
  </r>
  <r>
    <x v="61"/>
    <x v="1"/>
    <x v="1"/>
    <n v="-308.68000000000012"/>
    <n v="475.16860000000003"/>
    <x v="1"/>
  </r>
  <r>
    <x v="61"/>
    <x v="2"/>
    <x v="2"/>
    <n v="-4.1500000000000057"/>
    <n v="92.664599999999993"/>
    <x v="0"/>
  </r>
  <r>
    <x v="61"/>
    <x v="2"/>
    <x v="2"/>
    <n v="-4.1500000000000057"/>
    <n v="92.664599999999993"/>
    <x v="1"/>
  </r>
  <r>
    <x v="61"/>
    <x v="3"/>
    <x v="3"/>
    <n v="99.519999999999982"/>
    <n v="1080"/>
    <x v="0"/>
  </r>
  <r>
    <x v="61"/>
    <x v="3"/>
    <x v="3"/>
    <n v="99.519999999999982"/>
    <n v="1080"/>
    <x v="1"/>
  </r>
  <r>
    <x v="61"/>
    <x v="4"/>
    <x v="4"/>
    <n v="-32"/>
    <n v="96.575800000000001"/>
    <x v="0"/>
  </r>
  <r>
    <x v="61"/>
    <x v="4"/>
    <x v="4"/>
    <n v="-32"/>
    <n v="96.575800000000001"/>
    <x v="1"/>
  </r>
  <r>
    <x v="61"/>
    <x v="5"/>
    <x v="5"/>
    <n v="-25"/>
    <n v="120"/>
    <x v="0"/>
  </r>
  <r>
    <x v="61"/>
    <x v="5"/>
    <x v="5"/>
    <n v="-25"/>
    <n v="120"/>
    <x v="1"/>
  </r>
  <r>
    <x v="62"/>
    <x v="0"/>
    <x v="0"/>
    <m/>
    <n v="490"/>
    <x v="0"/>
  </r>
  <r>
    <x v="62"/>
    <x v="0"/>
    <x v="0"/>
    <m/>
    <n v="490"/>
    <x v="1"/>
  </r>
  <r>
    <x v="62"/>
    <x v="1"/>
    <x v="1"/>
    <n v="789.71000000000049"/>
    <n v="4082.9839999999999"/>
    <x v="0"/>
  </r>
  <r>
    <x v="62"/>
    <x v="1"/>
    <x v="1"/>
    <n v="789.71000000000049"/>
    <n v="4082.9839999999999"/>
    <x v="1"/>
  </r>
  <r>
    <x v="62"/>
    <x v="2"/>
    <x v="2"/>
    <n v="-138.05000000000001"/>
    <n v="382.64819999999997"/>
    <x v="0"/>
  </r>
  <r>
    <x v="62"/>
    <x v="2"/>
    <x v="2"/>
    <n v="-138.05000000000001"/>
    <n v="382.64819999999997"/>
    <x v="1"/>
  </r>
  <r>
    <x v="62"/>
    <x v="3"/>
    <x v="3"/>
    <n v="397.13999999999987"/>
    <n v="2592"/>
    <x v="0"/>
  </r>
  <r>
    <x v="62"/>
    <x v="3"/>
    <x v="3"/>
    <n v="397.13999999999987"/>
    <n v="2592"/>
    <x v="1"/>
  </r>
  <r>
    <x v="62"/>
    <x v="4"/>
    <x v="4"/>
    <n v="102.75999999999999"/>
    <n v="1414.0652"/>
    <x v="0"/>
  </r>
  <r>
    <x v="62"/>
    <x v="4"/>
    <x v="4"/>
    <n v="102.75999999999999"/>
    <n v="1414.0652"/>
    <x v="1"/>
  </r>
  <r>
    <x v="62"/>
    <x v="5"/>
    <x v="5"/>
    <n v="-25"/>
    <n v="216"/>
    <x v="0"/>
  </r>
  <r>
    <x v="62"/>
    <x v="5"/>
    <x v="5"/>
    <n v="-25"/>
    <n v="216"/>
    <x v="1"/>
  </r>
  <r>
    <x v="63"/>
    <x v="0"/>
    <x v="0"/>
    <m/>
    <n v="382"/>
    <x v="0"/>
  </r>
  <r>
    <x v="63"/>
    <x v="0"/>
    <x v="0"/>
    <m/>
    <n v="382"/>
    <x v="1"/>
  </r>
  <r>
    <x v="63"/>
    <x v="1"/>
    <x v="1"/>
    <n v="1980.6400000000049"/>
    <n v="27837.8092"/>
    <x v="0"/>
  </r>
  <r>
    <x v="63"/>
    <x v="1"/>
    <x v="1"/>
    <n v="1980.6400000000049"/>
    <n v="27837.8092"/>
    <x v="1"/>
  </r>
  <r>
    <x v="63"/>
    <x v="2"/>
    <x v="2"/>
    <n v="51.670000000000016"/>
    <n v="173.3398"/>
    <x v="0"/>
  </r>
  <r>
    <x v="63"/>
    <x v="2"/>
    <x v="2"/>
    <n v="51.670000000000016"/>
    <n v="173.3398"/>
    <x v="1"/>
  </r>
  <r>
    <x v="63"/>
    <x v="3"/>
    <x v="3"/>
    <n v="103.32000000000005"/>
    <n v="2016"/>
    <x v="0"/>
  </r>
  <r>
    <x v="63"/>
    <x v="3"/>
    <x v="3"/>
    <n v="103.32000000000005"/>
    <n v="2016"/>
    <x v="1"/>
  </r>
  <r>
    <x v="63"/>
    <x v="4"/>
    <x v="4"/>
    <n v="960"/>
    <n v="8768.0630000000001"/>
    <x v="0"/>
  </r>
  <r>
    <x v="63"/>
    <x v="4"/>
    <x v="4"/>
    <n v="960"/>
    <n v="8768.0630000000001"/>
    <x v="1"/>
  </r>
  <r>
    <x v="63"/>
    <x v="5"/>
    <x v="5"/>
    <m/>
    <n v="168"/>
    <x v="0"/>
  </r>
  <r>
    <x v="63"/>
    <x v="5"/>
    <x v="5"/>
    <m/>
    <n v="168"/>
    <x v="1"/>
  </r>
  <r>
    <x v="64"/>
    <x v="0"/>
    <x v="0"/>
    <m/>
    <n v="192"/>
    <x v="0"/>
  </r>
  <r>
    <x v="64"/>
    <x v="0"/>
    <x v="0"/>
    <m/>
    <n v="192"/>
    <x v="1"/>
  </r>
  <r>
    <x v="64"/>
    <x v="1"/>
    <x v="1"/>
    <n v="6.5599999999999987"/>
    <n v="165.2226"/>
    <x v="0"/>
  </r>
  <r>
    <x v="64"/>
    <x v="1"/>
    <x v="1"/>
    <n v="6.5599999999999987"/>
    <n v="165.2226"/>
    <x v="1"/>
  </r>
  <r>
    <x v="64"/>
    <x v="2"/>
    <x v="2"/>
    <n v="1382.9499999999998"/>
    <n v="2930.9270000000001"/>
    <x v="0"/>
  </r>
  <r>
    <x v="64"/>
    <x v="2"/>
    <x v="2"/>
    <n v="1382.9499999999998"/>
    <n v="2930.9270000000001"/>
    <x v="1"/>
  </r>
  <r>
    <x v="64"/>
    <x v="3"/>
    <x v="3"/>
    <n v="7.5600000000000591"/>
    <n v="1008"/>
    <x v="0"/>
  </r>
  <r>
    <x v="64"/>
    <x v="3"/>
    <x v="3"/>
    <n v="7.5600000000000591"/>
    <n v="1008"/>
    <x v="1"/>
  </r>
  <r>
    <x v="64"/>
    <x v="4"/>
    <x v="4"/>
    <n v="0"/>
    <n v="182.23400000000001"/>
    <x v="0"/>
  </r>
  <r>
    <x v="64"/>
    <x v="4"/>
    <x v="4"/>
    <n v="0"/>
    <n v="182.23400000000001"/>
    <x v="1"/>
  </r>
  <r>
    <x v="64"/>
    <x v="5"/>
    <x v="5"/>
    <n v="50"/>
    <n v="144"/>
    <x v="0"/>
  </r>
  <r>
    <x v="64"/>
    <x v="5"/>
    <x v="5"/>
    <n v="50"/>
    <n v="144"/>
    <x v="1"/>
  </r>
  <r>
    <x v="65"/>
    <x v="0"/>
    <x v="0"/>
    <m/>
    <n v="82"/>
    <x v="0"/>
  </r>
  <r>
    <x v="65"/>
    <x v="0"/>
    <x v="0"/>
    <m/>
    <n v="82"/>
    <x v="1"/>
  </r>
  <r>
    <x v="65"/>
    <x v="1"/>
    <x v="1"/>
    <n v="0"/>
    <n v="108.95"/>
    <x v="0"/>
  </r>
  <r>
    <x v="65"/>
    <x v="1"/>
    <x v="1"/>
    <n v="0"/>
    <n v="108.95"/>
    <x v="1"/>
  </r>
  <r>
    <x v="65"/>
    <x v="2"/>
    <x v="2"/>
    <n v="14.700000000000003"/>
    <n v="43.5794"/>
    <x v="0"/>
  </r>
  <r>
    <x v="65"/>
    <x v="2"/>
    <x v="2"/>
    <n v="14.700000000000003"/>
    <n v="43.5794"/>
    <x v="1"/>
  </r>
  <r>
    <x v="65"/>
    <x v="3"/>
    <x v="3"/>
    <n v="39.860000000000014"/>
    <n v="432"/>
    <x v="0"/>
  </r>
  <r>
    <x v="65"/>
    <x v="3"/>
    <x v="3"/>
    <n v="39.860000000000014"/>
    <n v="432"/>
    <x v="1"/>
  </r>
  <r>
    <x v="65"/>
    <x v="4"/>
    <x v="4"/>
    <n v="23.91"/>
    <n v="0"/>
    <x v="0"/>
  </r>
  <r>
    <x v="65"/>
    <x v="4"/>
    <x v="4"/>
    <n v="23.91"/>
    <n v="0"/>
    <x v="1"/>
  </r>
  <r>
    <x v="65"/>
    <x v="5"/>
    <x v="5"/>
    <m/>
    <n v="72"/>
    <x v="0"/>
  </r>
  <r>
    <x v="65"/>
    <x v="5"/>
    <x v="5"/>
    <m/>
    <n v="72"/>
    <x v="1"/>
  </r>
  <r>
    <x v="66"/>
    <x v="0"/>
    <x v="0"/>
    <m/>
    <n v="178"/>
    <x v="0"/>
  </r>
  <r>
    <x v="66"/>
    <x v="0"/>
    <x v="0"/>
    <m/>
    <n v="178"/>
    <x v="1"/>
  </r>
  <r>
    <x v="66"/>
    <x v="1"/>
    <x v="1"/>
    <n v="169.98000000000013"/>
    <n v="1151.8915999999999"/>
    <x v="0"/>
  </r>
  <r>
    <x v="66"/>
    <x v="1"/>
    <x v="1"/>
    <n v="169.98000000000013"/>
    <n v="1151.8915999999999"/>
    <x v="1"/>
  </r>
  <r>
    <x v="66"/>
    <x v="2"/>
    <x v="2"/>
    <n v="-6.2999999999999972"/>
    <n v="234.94399999999999"/>
    <x v="0"/>
  </r>
  <r>
    <x v="66"/>
    <x v="2"/>
    <x v="2"/>
    <n v="-6.2999999999999972"/>
    <n v="234.94399999999999"/>
    <x v="1"/>
  </r>
  <r>
    <x v="66"/>
    <x v="3"/>
    <x v="3"/>
    <n v="120.3599999999999"/>
    <n v="936"/>
    <x v="0"/>
  </r>
  <r>
    <x v="66"/>
    <x v="3"/>
    <x v="3"/>
    <n v="120.3599999999999"/>
    <n v="936"/>
    <x v="1"/>
  </r>
  <r>
    <x v="66"/>
    <x v="4"/>
    <x v="4"/>
    <n v="8"/>
    <n v="74.123999999999995"/>
    <x v="0"/>
  </r>
  <r>
    <x v="66"/>
    <x v="4"/>
    <x v="4"/>
    <n v="8"/>
    <n v="74.123999999999995"/>
    <x v="1"/>
  </r>
  <r>
    <x v="66"/>
    <x v="5"/>
    <x v="5"/>
    <m/>
    <n v="72"/>
    <x v="0"/>
  </r>
  <r>
    <x v="66"/>
    <x v="5"/>
    <x v="5"/>
    <m/>
    <n v="72"/>
    <x v="1"/>
  </r>
  <r>
    <x v="67"/>
    <x v="0"/>
    <x v="0"/>
    <m/>
    <n v="110"/>
    <x v="0"/>
  </r>
  <r>
    <x v="67"/>
    <x v="0"/>
    <x v="0"/>
    <m/>
    <n v="110"/>
    <x v="1"/>
  </r>
  <r>
    <x v="67"/>
    <x v="1"/>
    <x v="1"/>
    <n v="312.33"/>
    <n v="123.5278"/>
    <x v="0"/>
  </r>
  <r>
    <x v="67"/>
    <x v="1"/>
    <x v="1"/>
    <n v="312.33"/>
    <n v="123.5278"/>
    <x v="1"/>
  </r>
  <r>
    <x v="67"/>
    <x v="2"/>
    <x v="2"/>
    <n v="111.00000000000023"/>
    <n v="1259.9146000000001"/>
    <x v="0"/>
  </r>
  <r>
    <x v="67"/>
    <x v="2"/>
    <x v="2"/>
    <n v="111.00000000000023"/>
    <n v="1259.9146000000001"/>
    <x v="1"/>
  </r>
  <r>
    <x v="67"/>
    <x v="3"/>
    <x v="3"/>
    <n v="16.340000000000003"/>
    <n v="576"/>
    <x v="0"/>
  </r>
  <r>
    <x v="67"/>
    <x v="3"/>
    <x v="3"/>
    <n v="16.340000000000003"/>
    <n v="576"/>
    <x v="1"/>
  </r>
  <r>
    <x v="67"/>
    <x v="4"/>
    <x v="4"/>
    <m/>
    <n v="70"/>
    <x v="0"/>
  </r>
  <r>
    <x v="67"/>
    <x v="4"/>
    <x v="4"/>
    <m/>
    <n v="70"/>
    <x v="1"/>
  </r>
  <r>
    <x v="67"/>
    <x v="5"/>
    <x v="5"/>
    <m/>
    <n v="72"/>
    <x v="0"/>
  </r>
  <r>
    <x v="67"/>
    <x v="5"/>
    <x v="5"/>
    <m/>
    <n v="72"/>
    <x v="1"/>
  </r>
  <r>
    <x v="68"/>
    <x v="0"/>
    <x v="0"/>
    <m/>
    <n v="0"/>
    <x v="0"/>
  </r>
  <r>
    <x v="68"/>
    <x v="0"/>
    <x v="0"/>
    <m/>
    <n v="0"/>
    <x v="1"/>
  </r>
  <r>
    <x v="68"/>
    <x v="1"/>
    <x v="1"/>
    <n v="-147.12999999999994"/>
    <n v="0"/>
    <x v="0"/>
  </r>
  <r>
    <x v="68"/>
    <x v="1"/>
    <x v="1"/>
    <n v="-147.12999999999994"/>
    <n v="0"/>
    <x v="1"/>
  </r>
  <r>
    <x v="68"/>
    <x v="2"/>
    <x v="2"/>
    <n v="3.7500000000000036"/>
    <n v="0"/>
    <x v="0"/>
  </r>
  <r>
    <x v="68"/>
    <x v="2"/>
    <x v="2"/>
    <n v="3.7500000000000036"/>
    <n v="0"/>
    <x v="1"/>
  </r>
  <r>
    <x v="68"/>
    <x v="3"/>
    <x v="3"/>
    <n v="126.94999999999996"/>
    <n v="0"/>
    <x v="0"/>
  </r>
  <r>
    <x v="68"/>
    <x v="3"/>
    <x v="3"/>
    <n v="126.94999999999996"/>
    <n v="0"/>
    <x v="1"/>
  </r>
  <r>
    <x v="68"/>
    <x v="4"/>
    <x v="4"/>
    <n v="87.57"/>
    <n v="0"/>
    <x v="0"/>
  </r>
  <r>
    <x v="68"/>
    <x v="4"/>
    <x v="4"/>
    <n v="87.57"/>
    <n v="0"/>
    <x v="1"/>
  </r>
  <r>
    <x v="68"/>
    <x v="5"/>
    <x v="5"/>
    <m/>
    <n v="0"/>
    <x v="0"/>
  </r>
  <r>
    <x v="68"/>
    <x v="5"/>
    <x v="5"/>
    <m/>
    <n v="0"/>
    <x v="1"/>
  </r>
  <r>
    <x v="69"/>
    <x v="0"/>
    <x v="0"/>
    <m/>
    <n v="136"/>
    <x v="0"/>
  </r>
  <r>
    <x v="69"/>
    <x v="0"/>
    <x v="0"/>
    <m/>
    <n v="136"/>
    <x v="1"/>
  </r>
  <r>
    <x v="69"/>
    <x v="1"/>
    <x v="1"/>
    <n v="876.9200000000003"/>
    <n v="0"/>
    <x v="0"/>
  </r>
  <r>
    <x v="69"/>
    <x v="1"/>
    <x v="1"/>
    <n v="876.9200000000003"/>
    <n v="0"/>
    <x v="1"/>
  </r>
  <r>
    <x v="69"/>
    <x v="2"/>
    <x v="2"/>
    <n v="4.75"/>
    <n v="408.96420000000001"/>
    <x v="0"/>
  </r>
  <r>
    <x v="69"/>
    <x v="2"/>
    <x v="2"/>
    <n v="4.75"/>
    <n v="408.96420000000001"/>
    <x v="1"/>
  </r>
  <r>
    <x v="69"/>
    <x v="3"/>
    <x v="3"/>
    <n v="-44.220000000000027"/>
    <n v="720"/>
    <x v="0"/>
  </r>
  <r>
    <x v="69"/>
    <x v="3"/>
    <x v="3"/>
    <n v="-44.220000000000027"/>
    <n v="720"/>
    <x v="1"/>
  </r>
  <r>
    <x v="69"/>
    <x v="4"/>
    <x v="4"/>
    <n v="595.26999999999987"/>
    <n v="526.95519999999999"/>
    <x v="0"/>
  </r>
  <r>
    <x v="69"/>
    <x v="4"/>
    <x v="4"/>
    <n v="595.26999999999987"/>
    <n v="526.95519999999999"/>
    <x v="1"/>
  </r>
  <r>
    <x v="69"/>
    <x v="5"/>
    <x v="5"/>
    <m/>
    <n v="72"/>
    <x v="0"/>
  </r>
  <r>
    <x v="69"/>
    <x v="5"/>
    <x v="5"/>
    <m/>
    <n v="72"/>
    <x v="1"/>
  </r>
  <r>
    <x v="70"/>
    <x v="0"/>
    <x v="0"/>
    <m/>
    <n v="124"/>
    <x v="0"/>
  </r>
  <r>
    <x v="70"/>
    <x v="0"/>
    <x v="0"/>
    <m/>
    <n v="124"/>
    <x v="1"/>
  </r>
  <r>
    <x v="70"/>
    <x v="1"/>
    <x v="1"/>
    <n v="-13.41"/>
    <n v="945.43140000000005"/>
    <x v="0"/>
  </r>
  <r>
    <x v="70"/>
    <x v="1"/>
    <x v="1"/>
    <n v="-13.41"/>
    <n v="945.43140000000005"/>
    <x v="1"/>
  </r>
  <r>
    <x v="70"/>
    <x v="2"/>
    <x v="2"/>
    <n v="-2.8999999999999773"/>
    <n v="127.3124"/>
    <x v="0"/>
  </r>
  <r>
    <x v="70"/>
    <x v="2"/>
    <x v="2"/>
    <n v="-2.8999999999999773"/>
    <n v="127.3124"/>
    <x v="1"/>
  </r>
  <r>
    <x v="70"/>
    <x v="3"/>
    <x v="3"/>
    <n v="-20.679999999999978"/>
    <n v="648"/>
    <x v="0"/>
  </r>
  <r>
    <x v="70"/>
    <x v="3"/>
    <x v="3"/>
    <n v="-20.679999999999978"/>
    <n v="648"/>
    <x v="1"/>
  </r>
  <r>
    <x v="70"/>
    <x v="4"/>
    <x v="4"/>
    <n v="15.920000000000002"/>
    <n v="370"/>
    <x v="0"/>
  </r>
  <r>
    <x v="70"/>
    <x v="4"/>
    <x v="4"/>
    <n v="15.920000000000002"/>
    <n v="370"/>
    <x v="1"/>
  </r>
  <r>
    <x v="70"/>
    <x v="5"/>
    <x v="5"/>
    <m/>
    <n v="72"/>
    <x v="0"/>
  </r>
  <r>
    <x v="70"/>
    <x v="5"/>
    <x v="5"/>
    <m/>
    <n v="72"/>
    <x v="1"/>
  </r>
  <r>
    <x v="71"/>
    <x v="0"/>
    <x v="0"/>
    <m/>
    <n v="150"/>
    <x v="0"/>
  </r>
  <r>
    <x v="71"/>
    <x v="0"/>
    <x v="0"/>
    <m/>
    <n v="150"/>
    <x v="1"/>
  </r>
  <r>
    <x v="71"/>
    <x v="1"/>
    <x v="1"/>
    <n v="-282.48999999999995"/>
    <n v="1636.8362"/>
    <x v="0"/>
  </r>
  <r>
    <x v="71"/>
    <x v="1"/>
    <x v="1"/>
    <n v="-282.48999999999995"/>
    <n v="1636.8362"/>
    <x v="1"/>
  </r>
  <r>
    <x v="71"/>
    <x v="2"/>
    <x v="2"/>
    <n v="651"/>
    <n v="893.68579999999997"/>
    <x v="0"/>
  </r>
  <r>
    <x v="71"/>
    <x v="2"/>
    <x v="2"/>
    <n v="651"/>
    <n v="893.68579999999997"/>
    <x v="1"/>
  </r>
  <r>
    <x v="71"/>
    <x v="3"/>
    <x v="3"/>
    <n v="207.69000000000005"/>
    <n v="792"/>
    <x v="0"/>
  </r>
  <r>
    <x v="71"/>
    <x v="3"/>
    <x v="3"/>
    <n v="207.69000000000005"/>
    <n v="792"/>
    <x v="1"/>
  </r>
  <r>
    <x v="71"/>
    <x v="4"/>
    <x v="4"/>
    <n v="75.009999999999991"/>
    <n v="2770.4839999999999"/>
    <x v="0"/>
  </r>
  <r>
    <x v="71"/>
    <x v="4"/>
    <x v="4"/>
    <n v="75.009999999999991"/>
    <n v="2770.4839999999999"/>
    <x v="1"/>
  </r>
  <r>
    <x v="71"/>
    <x v="5"/>
    <x v="5"/>
    <m/>
    <n v="72"/>
    <x v="0"/>
  </r>
  <r>
    <x v="71"/>
    <x v="5"/>
    <x v="5"/>
    <m/>
    <n v="72"/>
    <x v="1"/>
  </r>
  <r>
    <x v="72"/>
    <x v="0"/>
    <x v="0"/>
    <m/>
    <n v="82"/>
    <x v="0"/>
  </r>
  <r>
    <x v="72"/>
    <x v="0"/>
    <x v="0"/>
    <m/>
    <n v="82"/>
    <x v="1"/>
  </r>
  <r>
    <x v="72"/>
    <x v="1"/>
    <x v="1"/>
    <n v="-564.09"/>
    <n v="2505.0046000000002"/>
    <x v="0"/>
  </r>
  <r>
    <x v="72"/>
    <x v="1"/>
    <x v="1"/>
    <n v="-564.09"/>
    <n v="2505.0046000000002"/>
    <x v="1"/>
  </r>
  <r>
    <x v="72"/>
    <x v="2"/>
    <x v="2"/>
    <n v="-9.8999999999999773"/>
    <n v="234.94399999999999"/>
    <x v="0"/>
  </r>
  <r>
    <x v="72"/>
    <x v="2"/>
    <x v="2"/>
    <n v="-9.8999999999999773"/>
    <n v="234.94399999999999"/>
    <x v="1"/>
  </r>
  <r>
    <x v="72"/>
    <x v="3"/>
    <x v="3"/>
    <n v="-128.26999999999998"/>
    <n v="432"/>
    <x v="0"/>
  </r>
  <r>
    <x v="72"/>
    <x v="3"/>
    <x v="3"/>
    <n v="-128.26999999999998"/>
    <n v="432"/>
    <x v="1"/>
  </r>
  <r>
    <x v="72"/>
    <x v="4"/>
    <x v="4"/>
    <n v="-7.2299999999999898"/>
    <n v="106.9546"/>
    <x v="0"/>
  </r>
  <r>
    <x v="72"/>
    <x v="4"/>
    <x v="4"/>
    <n v="-7.2299999999999898"/>
    <n v="106.9546"/>
    <x v="1"/>
  </r>
  <r>
    <x v="72"/>
    <x v="5"/>
    <x v="5"/>
    <n v="0"/>
    <n v="72"/>
    <x v="0"/>
  </r>
  <r>
    <x v="72"/>
    <x v="5"/>
    <x v="5"/>
    <n v="0"/>
    <n v="72"/>
    <x v="1"/>
  </r>
  <r>
    <x v="73"/>
    <x v="0"/>
    <x v="0"/>
    <m/>
    <n v="164"/>
    <x v="0"/>
  </r>
  <r>
    <x v="73"/>
    <x v="0"/>
    <x v="0"/>
    <m/>
    <n v="164"/>
    <x v="1"/>
  </r>
  <r>
    <x v="73"/>
    <x v="1"/>
    <x v="1"/>
    <n v="135.51"/>
    <n v="2999.6093999999998"/>
    <x v="0"/>
  </r>
  <r>
    <x v="73"/>
    <x v="1"/>
    <x v="1"/>
    <n v="135.51"/>
    <n v="2999.6093999999998"/>
    <x v="1"/>
  </r>
  <r>
    <x v="73"/>
    <x v="2"/>
    <x v="2"/>
    <n v="-26"/>
    <n v="978.93320000000006"/>
    <x v="0"/>
  </r>
  <r>
    <x v="73"/>
    <x v="2"/>
    <x v="2"/>
    <n v="-26"/>
    <n v="978.93320000000006"/>
    <x v="1"/>
  </r>
  <r>
    <x v="73"/>
    <x v="3"/>
    <x v="3"/>
    <n v="213.67999999999995"/>
    <n v="864"/>
    <x v="0"/>
  </r>
  <r>
    <x v="73"/>
    <x v="3"/>
    <x v="3"/>
    <n v="213.67999999999995"/>
    <n v="864"/>
    <x v="1"/>
  </r>
  <r>
    <x v="73"/>
    <x v="4"/>
    <x v="4"/>
    <n v="140.20999999999998"/>
    <n v="162.465"/>
    <x v="0"/>
  </r>
  <r>
    <x v="73"/>
    <x v="4"/>
    <x v="4"/>
    <n v="140.20999999999998"/>
    <n v="162.465"/>
    <x v="1"/>
  </r>
  <r>
    <x v="73"/>
    <x v="5"/>
    <x v="5"/>
    <n v="45"/>
    <n v="72"/>
    <x v="0"/>
  </r>
  <r>
    <x v="73"/>
    <x v="5"/>
    <x v="5"/>
    <n v="45"/>
    <n v="72"/>
    <x v="1"/>
  </r>
  <r>
    <x v="74"/>
    <x v="0"/>
    <x v="0"/>
    <m/>
    <n v="0"/>
    <x v="0"/>
  </r>
  <r>
    <x v="74"/>
    <x v="0"/>
    <x v="0"/>
    <m/>
    <n v="0"/>
    <x v="1"/>
  </r>
  <r>
    <x v="74"/>
    <x v="1"/>
    <x v="1"/>
    <n v="44.13"/>
    <n v="0"/>
    <x v="0"/>
  </r>
  <r>
    <x v="74"/>
    <x v="1"/>
    <x v="1"/>
    <n v="44.13"/>
    <n v="0"/>
    <x v="1"/>
  </r>
  <r>
    <x v="74"/>
    <x v="2"/>
    <x v="2"/>
    <n v="204.20000000000002"/>
    <n v="0"/>
    <x v="0"/>
  </r>
  <r>
    <x v="74"/>
    <x v="2"/>
    <x v="2"/>
    <n v="204.20000000000002"/>
    <n v="0"/>
    <x v="1"/>
  </r>
  <r>
    <x v="74"/>
    <x v="3"/>
    <x v="3"/>
    <n v="219.95999999999998"/>
    <n v="0"/>
    <x v="0"/>
  </r>
  <r>
    <x v="74"/>
    <x v="3"/>
    <x v="3"/>
    <n v="219.95999999999998"/>
    <n v="0"/>
    <x v="1"/>
  </r>
  <r>
    <x v="74"/>
    <x v="4"/>
    <x v="4"/>
    <n v="16"/>
    <n v="0"/>
    <x v="0"/>
  </r>
  <r>
    <x v="74"/>
    <x v="4"/>
    <x v="4"/>
    <n v="16"/>
    <n v="0"/>
    <x v="1"/>
  </r>
  <r>
    <x v="74"/>
    <x v="5"/>
    <x v="5"/>
    <m/>
    <n v="0"/>
    <x v="0"/>
  </r>
  <r>
    <x v="74"/>
    <x v="5"/>
    <x v="5"/>
    <m/>
    <n v="0"/>
    <x v="1"/>
  </r>
  <r>
    <x v="75"/>
    <x v="0"/>
    <x v="0"/>
    <m/>
    <n v="124"/>
    <x v="0"/>
  </r>
  <r>
    <x v="75"/>
    <x v="0"/>
    <x v="0"/>
    <m/>
    <n v="124"/>
    <x v="1"/>
  </r>
  <r>
    <x v="75"/>
    <x v="1"/>
    <x v="1"/>
    <n v="97.52000000000001"/>
    <n v="713.27419999999995"/>
    <x v="0"/>
  </r>
  <r>
    <x v="75"/>
    <x v="1"/>
    <x v="1"/>
    <n v="97.52000000000001"/>
    <n v="713.27419999999995"/>
    <x v="1"/>
  </r>
  <r>
    <x v="75"/>
    <x v="2"/>
    <x v="2"/>
    <n v="83.85"/>
    <n v="195.78659999999999"/>
    <x v="0"/>
  </r>
  <r>
    <x v="75"/>
    <x v="2"/>
    <x v="2"/>
    <n v="83.85"/>
    <n v="195.78659999999999"/>
    <x v="1"/>
  </r>
  <r>
    <x v="75"/>
    <x v="3"/>
    <x v="3"/>
    <n v="28.879999999999995"/>
    <n v="648"/>
    <x v="0"/>
  </r>
  <r>
    <x v="75"/>
    <x v="3"/>
    <x v="3"/>
    <n v="28.879999999999995"/>
    <n v="648"/>
    <x v="1"/>
  </r>
  <r>
    <x v="75"/>
    <x v="4"/>
    <x v="4"/>
    <m/>
    <n v="62.580199999999998"/>
    <x v="0"/>
  </r>
  <r>
    <x v="75"/>
    <x v="4"/>
    <x v="4"/>
    <m/>
    <n v="62.580199999999998"/>
    <x v="1"/>
  </r>
  <r>
    <x v="75"/>
    <x v="5"/>
    <x v="5"/>
    <m/>
    <n v="72"/>
    <x v="0"/>
  </r>
  <r>
    <x v="75"/>
    <x v="5"/>
    <x v="5"/>
    <m/>
    <n v="7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Tabla dinámica3" cacheId="0" applyNumberFormats="0" applyBorderFormats="0" applyFontFormats="0" applyPatternFormats="0" applyAlignmentFormats="0" applyWidthHeightFormats="1" dataCaption="Valores" errorCaption="0" showError="1" missingCaption="0" updatedVersion="5" minRefreshableVersion="3" rowGrandTotals="0" itemPrintTitles="1" createdVersion="5" indent="0" outline="1" outlineData="1" multipleFieldFilters="0" fieldListSortAscending="1">
  <location ref="AD7:AF13" firstHeaderRow="0" firstDataRow="1" firstDataCol="1" rowPageCount="2" colPageCount="1"/>
  <pivotFields count="6">
    <pivotField axis="axisPage" showAll="0" defaultSubtotal="0">
      <items count="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s>
    </pivotField>
    <pivotField showAll="0"/>
    <pivotField axis="axisRow" showAll="0" defaultSubtotal="0">
      <items count="6">
        <item x="4"/>
        <item n="BRINDIS PARTICIPACIÓN" x="0"/>
        <item n="CELEBRACIONES" x="3"/>
        <item x="1"/>
        <item n="RECONOCIMIENTOS" x="5"/>
        <item n="VIÁTICOS" x="2"/>
      </items>
    </pivotField>
    <pivotField dataField="1" showAll="0" defaultSubtotal="0"/>
    <pivotField dataField="1" showAll="0" defaultSubtotal="0"/>
    <pivotField axis="axisPage" showAll="0" defaultSubtotal="0">
      <items count="1">
        <item x="0"/>
      </items>
    </pivotField>
  </pivotFields>
  <rowFields count="1">
    <field x="2"/>
  </rowFields>
  <rowItems count="6">
    <i>
      <x/>
    </i>
    <i>
      <x v="1"/>
    </i>
    <i>
      <x v="2"/>
    </i>
    <i>
      <x v="3"/>
    </i>
    <i>
      <x v="4"/>
    </i>
    <i>
      <x v="5"/>
    </i>
  </rowItems>
  <colFields count="1">
    <field x="-2"/>
  </colFields>
  <colItems count="2">
    <i>
      <x/>
    </i>
    <i i="1">
      <x v="1"/>
    </i>
  </colItems>
  <pageFields count="2">
    <pageField fld="5" item="0" hier="-1"/>
    <pageField fld="0" item="33" hier="-1"/>
  </pageFields>
  <dataFields count="2">
    <dataField name="Suma de BALANCE" fld="3" baseField="0" baseItem="0"/>
    <dataField name="Suma de PLA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T2" cacheId="1" applyNumberFormats="0" applyBorderFormats="0" applyFontFormats="0" applyPatternFormats="0" applyAlignmentFormats="0" applyWidthHeightFormats="1" dataCaption="Valores" updatedVersion="6" minRefreshableVersion="3" rowGrandTotals="0" itemPrintTitles="1" createdVersion="5" indent="0" compact="0" compactData="0" multipleFieldFilters="0" fieldListSortAscending="1">
  <location ref="AJ7:AP16" firstHeaderRow="0" firstDataRow="1" firstDataCol="5" rowPageCount="2" colPageCount="1"/>
  <pivotFields count="15">
    <pivotField axis="axisRow" compact="0" numFmtId="169" outline="0" showAll="0" defaultSubtotal="0">
      <items count="368">
        <item x="305"/>
        <item x="152"/>
        <item x="91"/>
        <item x="213"/>
        <item x="31"/>
        <item x="366"/>
        <item x="244"/>
        <item x="274"/>
        <item x="304"/>
        <item x="335"/>
        <item x="151"/>
        <item x="90"/>
        <item x="182"/>
        <item x="212"/>
        <item x="30"/>
        <item x="365"/>
        <item x="243"/>
        <item x="121"/>
        <item x="273"/>
        <item x="303"/>
        <item x="334"/>
        <item x="150"/>
        <item x="89"/>
        <item x="181"/>
        <item x="211"/>
        <item x="60"/>
        <item x="29"/>
        <item x="364"/>
        <item x="242"/>
        <item x="120"/>
        <item x="272"/>
        <item x="302"/>
        <item x="333"/>
        <item x="149"/>
        <item x="88"/>
        <item x="180"/>
        <item x="210"/>
        <item x="59"/>
        <item x="28"/>
        <item x="363"/>
        <item x="241"/>
        <item x="119"/>
        <item x="271"/>
        <item x="301"/>
        <item x="332"/>
        <item x="148"/>
        <item x="87"/>
        <item x="179"/>
        <item x="209"/>
        <item x="58"/>
        <item x="27"/>
        <item x="362"/>
        <item x="240"/>
        <item x="118"/>
        <item x="270"/>
        <item x="300"/>
        <item x="331"/>
        <item x="147"/>
        <item x="86"/>
        <item x="178"/>
        <item x="208"/>
        <item x="57"/>
        <item x="26"/>
        <item x="361"/>
        <item x="239"/>
        <item x="117"/>
        <item x="269"/>
        <item x="299"/>
        <item x="330"/>
        <item x="146"/>
        <item x="85"/>
        <item x="177"/>
        <item x="207"/>
        <item x="56"/>
        <item x="25"/>
        <item x="360"/>
        <item x="238"/>
        <item x="116"/>
        <item x="268"/>
        <item x="298"/>
        <item x="329"/>
        <item x="145"/>
        <item x="84"/>
        <item x="176"/>
        <item x="206"/>
        <item x="55"/>
        <item x="24"/>
        <item x="359"/>
        <item x="237"/>
        <item x="115"/>
        <item x="267"/>
        <item x="297"/>
        <item x="328"/>
        <item x="144"/>
        <item x="83"/>
        <item x="175"/>
        <item x="205"/>
        <item x="54"/>
        <item x="23"/>
        <item x="358"/>
        <item x="236"/>
        <item x="114"/>
        <item x="266"/>
        <item x="296"/>
        <item x="327"/>
        <item x="143"/>
        <item x="82"/>
        <item x="174"/>
        <item x="204"/>
        <item x="53"/>
        <item x="22"/>
        <item x="357"/>
        <item x="235"/>
        <item x="113"/>
        <item x="265"/>
        <item x="295"/>
        <item x="326"/>
        <item x="142"/>
        <item x="81"/>
        <item x="173"/>
        <item x="203"/>
        <item x="52"/>
        <item x="21"/>
        <item x="356"/>
        <item x="234"/>
        <item x="112"/>
        <item x="264"/>
        <item x="294"/>
        <item x="325"/>
        <item x="141"/>
        <item x="80"/>
        <item x="172"/>
        <item x="202"/>
        <item x="51"/>
        <item x="20"/>
        <item x="355"/>
        <item x="233"/>
        <item x="111"/>
        <item x="263"/>
        <item x="293"/>
        <item x="324"/>
        <item x="140"/>
        <item x="79"/>
        <item x="171"/>
        <item x="201"/>
        <item x="50"/>
        <item x="19"/>
        <item x="354"/>
        <item x="232"/>
        <item x="110"/>
        <item x="262"/>
        <item x="292"/>
        <item x="323"/>
        <item x="139"/>
        <item x="78"/>
        <item x="170"/>
        <item x="200"/>
        <item x="49"/>
        <item x="18"/>
        <item x="353"/>
        <item x="231"/>
        <item x="109"/>
        <item x="261"/>
        <item x="291"/>
        <item x="322"/>
        <item x="138"/>
        <item x="77"/>
        <item x="169"/>
        <item x="199"/>
        <item x="48"/>
        <item x="17"/>
        <item x="352"/>
        <item x="230"/>
        <item x="108"/>
        <item x="260"/>
        <item x="290"/>
        <item x="321"/>
        <item x="137"/>
        <item x="76"/>
        <item x="168"/>
        <item x="198"/>
        <item x="47"/>
        <item x="16"/>
        <item x="351"/>
        <item x="229"/>
        <item x="107"/>
        <item x="259"/>
        <item x="289"/>
        <item x="320"/>
        <item x="136"/>
        <item x="75"/>
        <item x="167"/>
        <item x="197"/>
        <item x="46"/>
        <item x="15"/>
        <item x="350"/>
        <item x="228"/>
        <item x="106"/>
        <item x="258"/>
        <item x="288"/>
        <item x="319"/>
        <item x="135"/>
        <item x="74"/>
        <item x="166"/>
        <item x="196"/>
        <item x="45"/>
        <item x="14"/>
        <item x="349"/>
        <item x="227"/>
        <item x="105"/>
        <item x="257"/>
        <item x="287"/>
        <item x="318"/>
        <item x="134"/>
        <item x="73"/>
        <item x="165"/>
        <item x="195"/>
        <item x="44"/>
        <item x="13"/>
        <item x="348"/>
        <item x="226"/>
        <item x="104"/>
        <item x="256"/>
        <item x="286"/>
        <item x="317"/>
        <item x="133"/>
        <item x="72"/>
        <item x="164"/>
        <item x="194"/>
        <item x="43"/>
        <item x="12"/>
        <item x="347"/>
        <item x="225"/>
        <item x="103"/>
        <item x="255"/>
        <item x="285"/>
        <item x="316"/>
        <item x="132"/>
        <item x="71"/>
        <item x="163"/>
        <item x="193"/>
        <item x="42"/>
        <item x="11"/>
        <item x="346"/>
        <item x="224"/>
        <item x="102"/>
        <item x="254"/>
        <item x="284"/>
        <item x="315"/>
        <item x="131"/>
        <item x="70"/>
        <item x="162"/>
        <item x="192"/>
        <item x="41"/>
        <item x="10"/>
        <item x="345"/>
        <item x="223"/>
        <item x="101"/>
        <item x="253"/>
        <item x="283"/>
        <item x="314"/>
        <item x="130"/>
        <item x="69"/>
        <item x="161"/>
        <item x="191"/>
        <item x="40"/>
        <item x="9"/>
        <item x="344"/>
        <item x="222"/>
        <item x="100"/>
        <item x="252"/>
        <item x="282"/>
        <item x="313"/>
        <item x="129"/>
        <item x="68"/>
        <item x="160"/>
        <item x="190"/>
        <item x="39"/>
        <item x="8"/>
        <item x="343"/>
        <item x="221"/>
        <item x="99"/>
        <item x="251"/>
        <item x="281"/>
        <item x="312"/>
        <item x="128"/>
        <item x="67"/>
        <item x="159"/>
        <item x="189"/>
        <item x="38"/>
        <item x="7"/>
        <item x="342"/>
        <item x="220"/>
        <item x="98"/>
        <item x="250"/>
        <item x="280"/>
        <item x="311"/>
        <item x="127"/>
        <item x="66"/>
        <item x="158"/>
        <item x="188"/>
        <item x="37"/>
        <item x="6"/>
        <item x="341"/>
        <item x="219"/>
        <item x="97"/>
        <item x="249"/>
        <item x="279"/>
        <item x="310"/>
        <item x="126"/>
        <item x="65"/>
        <item x="157"/>
        <item x="187"/>
        <item x="36"/>
        <item x="5"/>
        <item x="340"/>
        <item x="218"/>
        <item x="96"/>
        <item x="248"/>
        <item x="278"/>
        <item x="309"/>
        <item x="125"/>
        <item x="64"/>
        <item x="156"/>
        <item x="186"/>
        <item x="35"/>
        <item x="4"/>
        <item x="339"/>
        <item x="217"/>
        <item x="95"/>
        <item x="247"/>
        <item x="277"/>
        <item x="308"/>
        <item x="124"/>
        <item x="63"/>
        <item x="155"/>
        <item x="185"/>
        <item x="34"/>
        <item x="3"/>
        <item x="338"/>
        <item x="216"/>
        <item x="94"/>
        <item x="246"/>
        <item x="276"/>
        <item x="307"/>
        <item x="123"/>
        <item x="62"/>
        <item x="154"/>
        <item x="184"/>
        <item x="33"/>
        <item x="2"/>
        <item x="337"/>
        <item x="215"/>
        <item x="93"/>
        <item x="245"/>
        <item x="275"/>
        <item x="306"/>
        <item x="122"/>
        <item x="61"/>
        <item x="153"/>
        <item x="183"/>
        <item x="32"/>
        <item x="1"/>
        <item x="336"/>
        <item x="214"/>
        <item x="92"/>
        <item x="367"/>
        <item x="0"/>
      </items>
    </pivotField>
    <pivotField compact="0" outline="0" showAll="0"/>
    <pivotField axis="axisRow" compact="0" outline="0" showAll="0" defaultSubtotal="0">
      <items count="242">
        <item x="32"/>
        <item x="42"/>
        <item x="122"/>
        <item x="221"/>
        <item x="56"/>
        <item x="138"/>
        <item x="126"/>
        <item x="240"/>
        <item x="151"/>
        <item x="121"/>
        <item x="0"/>
        <item x="224"/>
        <item x="131"/>
        <item x="137"/>
        <item x="227"/>
        <item x="225"/>
        <item x="1"/>
        <item x="124"/>
        <item x="125"/>
        <item x="127"/>
        <item x="235"/>
        <item x="2"/>
        <item x="228"/>
        <item x="3"/>
        <item x="165"/>
        <item x="136"/>
        <item x="103"/>
        <item x="142"/>
        <item x="143"/>
        <item x="108"/>
        <item x="109"/>
        <item x="233"/>
        <item x="189"/>
        <item x="197"/>
        <item x="123"/>
        <item x="141"/>
        <item x="105"/>
        <item x="4"/>
        <item x="129"/>
        <item x="241"/>
        <item x="128"/>
        <item x="170"/>
        <item x="106"/>
        <item x="159"/>
        <item x="118"/>
        <item x="111"/>
        <item x="104"/>
        <item x="175"/>
        <item x="167"/>
        <item x="182"/>
        <item x="236"/>
        <item x="204"/>
        <item x="156"/>
        <item x="180"/>
        <item x="155"/>
        <item x="133"/>
        <item x="226"/>
        <item x="132"/>
        <item x="5"/>
        <item x="169"/>
        <item x="139"/>
        <item x="6"/>
        <item x="223"/>
        <item x="144"/>
        <item x="112"/>
        <item x="7"/>
        <item x="134"/>
        <item x="116"/>
        <item x="114"/>
        <item x="8"/>
        <item x="202"/>
        <item x="149"/>
        <item x="130"/>
        <item x="9"/>
        <item x="140"/>
        <item x="107"/>
        <item x="222"/>
        <item x="110"/>
        <item x="117"/>
        <item x="146"/>
        <item x="145"/>
        <item x="147"/>
        <item x="10"/>
        <item x="172"/>
        <item x="113"/>
        <item x="174"/>
        <item x="230"/>
        <item x="176"/>
        <item x="181"/>
        <item x="115"/>
        <item x="11"/>
        <item x="135"/>
        <item x="12"/>
        <item x="13"/>
        <item x="14"/>
        <item x="190"/>
        <item x="198"/>
        <item x="199"/>
        <item x="177"/>
        <item x="15"/>
        <item x="161"/>
        <item x="16"/>
        <item x="232"/>
        <item x="154"/>
        <item x="17"/>
        <item x="18"/>
        <item x="160"/>
        <item x="164"/>
        <item x="19"/>
        <item x="162"/>
        <item x="217"/>
        <item x="168"/>
        <item x="239"/>
        <item x="173"/>
        <item x="188"/>
        <item x="194"/>
        <item x="196"/>
        <item x="191"/>
        <item x="216"/>
        <item x="178"/>
        <item x="229"/>
        <item x="158"/>
        <item x="183"/>
        <item x="185"/>
        <item x="148"/>
        <item x="119"/>
        <item x="166"/>
        <item x="20"/>
        <item x="231"/>
        <item x="186"/>
        <item x="21"/>
        <item x="171"/>
        <item x="22"/>
        <item x="23"/>
        <item x="24"/>
        <item x="215"/>
        <item x="25"/>
        <item x="192"/>
        <item x="200"/>
        <item x="150"/>
        <item x="203"/>
        <item x="205"/>
        <item x="201"/>
        <item x="152"/>
        <item x="153"/>
        <item x="237"/>
        <item x="209"/>
        <item x="26"/>
        <item x="27"/>
        <item x="28"/>
        <item x="206"/>
        <item x="29"/>
        <item x="30"/>
        <item x="31"/>
        <item x="33"/>
        <item x="218"/>
        <item x="34"/>
        <item x="35"/>
        <item x="36"/>
        <item x="37"/>
        <item x="38"/>
        <item x="157"/>
        <item x="208"/>
        <item x="163"/>
        <item x="39"/>
        <item x="40"/>
        <item x="41"/>
        <item x="43"/>
        <item x="44"/>
        <item x="45"/>
        <item x="46"/>
        <item x="179"/>
        <item x="47"/>
        <item x="48"/>
        <item x="49"/>
        <item x="238"/>
        <item x="210"/>
        <item x="184"/>
        <item x="50"/>
        <item x="51"/>
        <item x="52"/>
        <item x="53"/>
        <item x="187"/>
        <item x="234"/>
        <item x="54"/>
        <item x="211"/>
        <item x="193"/>
        <item x="195"/>
        <item x="55"/>
        <item x="212"/>
        <item x="57"/>
        <item x="59"/>
        <item x="58"/>
        <item x="61"/>
        <item x="60"/>
        <item x="62"/>
        <item x="64"/>
        <item x="63"/>
        <item x="65"/>
        <item x="213"/>
        <item x="219"/>
        <item x="67"/>
        <item x="66"/>
        <item x="69"/>
        <item x="68"/>
        <item x="70"/>
        <item x="71"/>
        <item x="73"/>
        <item x="72"/>
        <item x="74"/>
        <item x="207"/>
        <item x="76"/>
        <item x="75"/>
        <item x="77"/>
        <item x="78"/>
        <item x="79"/>
        <item x="80"/>
        <item x="82"/>
        <item x="81"/>
        <item x="83"/>
        <item x="84"/>
        <item x="86"/>
        <item x="85"/>
        <item x="88"/>
        <item x="87"/>
        <item x="89"/>
        <item x="90"/>
        <item x="214"/>
        <item x="220"/>
        <item x="120"/>
        <item x="92"/>
        <item x="91"/>
        <item x="94"/>
        <item x="93"/>
        <item x="96"/>
        <item x="95"/>
        <item x="98"/>
        <item x="97"/>
        <item x="100"/>
        <item x="99"/>
        <item x="101"/>
        <item x="102"/>
      </items>
    </pivotField>
    <pivotField compact="0" outline="0" showAll="0"/>
    <pivotField axis="axisPage" compact="0" outline="0" showAll="0">
      <items count="67">
        <item x="0"/>
        <item x="1"/>
        <item x="2"/>
        <item x="42"/>
        <item x="3"/>
        <item x="4"/>
        <item x="43"/>
        <item x="5"/>
        <item x="6"/>
        <item x="7"/>
        <item x="8"/>
        <item x="64"/>
        <item x="44"/>
        <item x="9"/>
        <item x="10"/>
        <item x="11"/>
        <item x="45"/>
        <item x="12"/>
        <item x="13"/>
        <item x="14"/>
        <item x="46"/>
        <item x="47"/>
        <item x="15"/>
        <item x="16"/>
        <item x="17"/>
        <item x="48"/>
        <item x="18"/>
        <item x="19"/>
        <item x="49"/>
        <item x="20"/>
        <item x="21"/>
        <item x="50"/>
        <item x="22"/>
        <item x="23"/>
        <item x="24"/>
        <item x="25"/>
        <item x="26"/>
        <item x="27"/>
        <item x="28"/>
        <item x="51"/>
        <item x="52"/>
        <item x="29"/>
        <item x="61"/>
        <item x="30"/>
        <item x="31"/>
        <item x="32"/>
        <item x="33"/>
        <item x="34"/>
        <item x="62"/>
        <item x="35"/>
        <item x="53"/>
        <item x="36"/>
        <item x="37"/>
        <item x="38"/>
        <item x="39"/>
        <item x="63"/>
        <item x="54"/>
        <item x="40"/>
        <item x="55"/>
        <item x="65"/>
        <item x="56"/>
        <item x="57"/>
        <item x="58"/>
        <item x="41"/>
        <item x="59"/>
        <item x="60"/>
        <item t="default"/>
      </items>
    </pivotField>
    <pivotField compact="0" outline="0" showAll="0">
      <items count="4">
        <item x="1"/>
        <item x="2"/>
        <item x="0"/>
        <item t="default"/>
      </items>
    </pivotField>
    <pivotField dataField="1" compact="0" outline="0" showAll="0"/>
    <pivotField dataField="1" compact="0" outline="0" showAll="0"/>
    <pivotField axis="axisRow" compact="0" outline="0" showAll="0" defaultSubtotal="0">
      <items count="21">
        <item x="16"/>
        <item x="10"/>
        <item x="5"/>
        <item x="13"/>
        <item x="6"/>
        <item x="11"/>
        <item x="20"/>
        <item x="14"/>
        <item x="18"/>
        <item x="15"/>
        <item x="19"/>
        <item x="8"/>
        <item x="12"/>
        <item x="3"/>
        <item x="1"/>
        <item x="0"/>
        <item x="2"/>
        <item x="17"/>
        <item x="9"/>
        <item x="4"/>
        <item x="7"/>
      </items>
    </pivotField>
    <pivotField compact="0" outline="0" showAll="0"/>
    <pivotField compact="0" outline="0" showAll="0"/>
    <pivotField axis="axisRow" compact="0" outline="0" showAll="0">
      <items count="74">
        <item x="58"/>
        <item x="4"/>
        <item x="12"/>
        <item x="53"/>
        <item x="54"/>
        <item x="56"/>
        <item x="13"/>
        <item x="57"/>
        <item x="14"/>
        <item x="60"/>
        <item x="61"/>
        <item x="16"/>
        <item x="62"/>
        <item x="17"/>
        <item x="19"/>
        <item x="20"/>
        <item x="22"/>
        <item x="24"/>
        <item x="5"/>
        <item x="27"/>
        <item x="28"/>
        <item x="31"/>
        <item x="32"/>
        <item x="33"/>
        <item x="34"/>
        <item x="35"/>
        <item x="6"/>
        <item x="36"/>
        <item x="37"/>
        <item x="38"/>
        <item x="40"/>
        <item x="7"/>
        <item x="42"/>
        <item x="43"/>
        <item x="8"/>
        <item x="9"/>
        <item x="46"/>
        <item x="47"/>
        <item x="48"/>
        <item x="49"/>
        <item x="50"/>
        <item x="51"/>
        <item x="10"/>
        <item x="11"/>
        <item x="59"/>
        <item x="23"/>
        <item x="18"/>
        <item x="72"/>
        <item x="39"/>
        <item x="69"/>
        <item x="66"/>
        <item x="3"/>
        <item x="25"/>
        <item x="21"/>
        <item x="26"/>
        <item x="1"/>
        <item x="44"/>
        <item x="15"/>
        <item x="55"/>
        <item x="2"/>
        <item x="70"/>
        <item x="30"/>
        <item x="29"/>
        <item x="67"/>
        <item x="45"/>
        <item x="64"/>
        <item x="63"/>
        <item x="52"/>
        <item x="0"/>
        <item x="65"/>
        <item x="68"/>
        <item x="41"/>
        <item x="71"/>
        <item t="default"/>
      </items>
    </pivotField>
    <pivotField compact="0" outline="0" showAll="0"/>
    <pivotField axis="axisRow" compact="0" outline="0" showAll="0" sortType="ascending" defaultSubtotal="0">
      <items count="3">
        <item x="1"/>
        <item x="2"/>
        <item x="0"/>
      </items>
    </pivotField>
    <pivotField axis="axisPage" compact="0" outline="0" showAll="0" defaultSubtotal="0">
      <items count="3">
        <item x="0"/>
        <item x="1"/>
        <item x="2"/>
      </items>
    </pivotField>
  </pivotFields>
  <rowFields count="5">
    <field x="2"/>
    <field x="0"/>
    <field x="13"/>
    <field x="8"/>
    <field x="11"/>
  </rowFields>
  <rowItems count="9">
    <i>
      <x/>
      <x v="52"/>
      <x/>
      <x v="13"/>
      <x v="24"/>
    </i>
    <i>
      <x v="23"/>
      <x v="208"/>
      <x v="1"/>
      <x/>
      <x v="58"/>
    </i>
    <i>
      <x v="42"/>
      <x v="292"/>
      <x v="1"/>
      <x/>
      <x v="52"/>
    </i>
    <i>
      <x v="52"/>
      <x v="220"/>
      <x v="1"/>
      <x/>
      <x v="57"/>
    </i>
    <i>
      <x v="64"/>
      <x v="280"/>
      <x v="1"/>
      <x v="19"/>
      <x v="53"/>
    </i>
    <i>
      <x v="161"/>
      <x v="88"/>
      <x v="1"/>
      <x/>
      <x v="67"/>
    </i>
    <i>
      <x v="178"/>
      <x v="256"/>
      <x v="1"/>
      <x v="14"/>
      <x v="55"/>
    </i>
    <i>
      <x v="179"/>
      <x v="76"/>
      <x v="1"/>
      <x v="15"/>
      <x v="68"/>
    </i>
    <i>
      <x v="180"/>
      <x v="256"/>
      <x v="2"/>
      <x v="14"/>
      <x v="55"/>
    </i>
  </rowItems>
  <colFields count="1">
    <field x="-2"/>
  </colFields>
  <colItems count="2">
    <i>
      <x/>
    </i>
    <i i="1">
      <x v="1"/>
    </i>
  </colItems>
  <pageFields count="2">
    <pageField fld="14" item="1" hier="-1"/>
    <pageField fld="4" item="29" hier="-1"/>
  </pageFields>
  <dataFields count="2">
    <dataField name="Suma de as_debito" fld="7" baseField="0" baseItem="0"/>
    <dataField name="Suma de as_credito"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Tabla dinámica1" cacheId="4" applyNumberFormats="0" applyBorderFormats="0" applyFontFormats="0" applyPatternFormats="0" applyAlignmentFormats="0" applyWidthHeightFormats="1" dataCaption="Valores" updatedVersion="6" minRefreshableVersion="3" showDrill="0" rowGrandTotals="0" colGrandTotals="0" itemPrintTitles="1" createdVersion="5" indent="0" outline="1" outlineData="1" multipleFieldFilters="0" fieldListSortAscending="1">
  <location ref="B8:D14" firstHeaderRow="0" firstDataRow="1" firstDataCol="1" rowPageCount="2" colPageCount="1"/>
  <pivotFields count="6">
    <pivotField axis="axisPage" showAl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t="default"/>
      </items>
    </pivotField>
    <pivotField showAll="0"/>
    <pivotField axis="axisRow" showAll="0" sortType="descending">
      <items count="7">
        <item x="2"/>
        <item x="5"/>
        <item x="1"/>
        <item x="3"/>
        <item x="0"/>
        <item x="4"/>
        <item t="default"/>
      </items>
    </pivotField>
    <pivotField dataField="1" showAll="0"/>
    <pivotField dataField="1" showAll="0"/>
    <pivotField axis="axisPage" showAll="0">
      <items count="3">
        <item n="2018" x="1"/>
        <item n="2019" x="0"/>
        <item t="default"/>
      </items>
    </pivotField>
  </pivotFields>
  <rowFields count="1">
    <field x="2"/>
  </rowFields>
  <rowItems count="6">
    <i>
      <x/>
    </i>
    <i>
      <x v="1"/>
    </i>
    <i>
      <x v="2"/>
    </i>
    <i>
      <x v="3"/>
    </i>
    <i>
      <x v="4"/>
    </i>
    <i>
      <x v="5"/>
    </i>
  </rowItems>
  <colFields count="1">
    <field x="-2"/>
  </colFields>
  <colItems count="2">
    <i>
      <x/>
    </i>
    <i i="1">
      <x v="1"/>
    </i>
  </colItems>
  <pageFields count="2">
    <pageField fld="5" item="1" hier="-1"/>
    <pageField fld="0" hier="-1"/>
  </pageFields>
  <dataFields count="2">
    <dataField name="Suma de Balance" fld="3" baseField="2" baseItem="0" numFmtId="171"/>
    <dataField name="Suma de Plan" fld="4" baseField="2" baseItem="0" numFmtId="1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Tabla dinámica2" cacheId="2" applyNumberFormats="0" applyBorderFormats="0" applyFontFormats="0" applyPatternFormats="0" applyAlignmentFormats="0" applyWidthHeightFormats="1" dataCaption="Valores" updatedVersion="6" minRefreshableVersion="3" showDrill="0" rowGrandTotals="0" colGrandTotals="0" itemPrintTitles="1" createdVersion="5" indent="0" outline="1" outlineData="1" multipleFieldFilters="0" fieldListSortAscending="1" customListSort="0">
  <location ref="G8:L560" firstHeaderRow="1" firstDataRow="1" firstDataCol="6" rowPageCount="3" colPageCount="1"/>
  <pivotFields count="12">
    <pivotField axis="axisPage" outline="0" showAll="0" defaultSubtotal="0">
      <items count="79">
        <item x="0"/>
        <item x="1"/>
        <item x="2"/>
        <item x="3"/>
        <item x="4"/>
        <item x="5"/>
        <item x="6"/>
        <item x="7"/>
        <item x="8"/>
        <item x="9"/>
        <item x="70"/>
        <item x="71"/>
        <item x="10"/>
        <item x="11"/>
        <item x="12"/>
        <item x="13"/>
        <item x="14"/>
        <item x="15"/>
        <item x="16"/>
        <item x="17"/>
        <item x="18"/>
        <item x="19"/>
        <item x="20"/>
        <item x="21"/>
        <item x="72"/>
        <item x="22"/>
        <item x="23"/>
        <item x="24"/>
        <item x="25"/>
        <item x="26"/>
        <item x="27"/>
        <item x="28"/>
        <item x="76"/>
        <item x="73"/>
        <item x="29"/>
        <item x="30"/>
        <item x="31"/>
        <item x="32"/>
        <item x="33"/>
        <item x="34"/>
        <item x="35"/>
        <item x="77"/>
        <item x="36"/>
        <item x="37"/>
        <item x="38"/>
        <item x="39"/>
        <item x="40"/>
        <item x="74"/>
        <item x="75"/>
        <item x="41"/>
        <item x="42"/>
        <item x="43"/>
        <item x="44"/>
        <item x="45"/>
        <item x="46"/>
        <item x="47"/>
        <item x="48"/>
        <item x="49"/>
        <item x="50"/>
        <item x="51"/>
        <item x="52"/>
        <item x="53"/>
        <item x="54"/>
        <item x="55"/>
        <item x="56"/>
        <item x="57"/>
        <item x="58"/>
        <item x="59"/>
        <item x="60"/>
        <item x="61"/>
        <item x="62"/>
        <item x="63"/>
        <item x="64"/>
        <item x="78"/>
        <item x="65"/>
        <item x="66"/>
        <item x="67"/>
        <item x="68"/>
        <item x="69"/>
      </items>
      <extLst>
        <ext xmlns:x14="http://schemas.microsoft.com/office/spreadsheetml/2009/9/main" uri="{2946ED86-A175-432a-8AC1-64E0C546D7DE}">
          <x14:pivotField fillDownLabels="1"/>
        </ext>
      </extLst>
    </pivotField>
    <pivotField axis="axisRow" outline="0" showAll="0" sortType="ascending" defaultSubtotal="0">
      <items count="341">
        <item x="70"/>
        <item x="158"/>
        <item x="170"/>
        <item x="16"/>
        <item x="106"/>
        <item x="64"/>
        <item x="47"/>
        <item x="7"/>
        <item x="85"/>
        <item x="143"/>
        <item x="118"/>
        <item x="24"/>
        <item x="107"/>
        <item x="157"/>
        <item x="112"/>
        <item x="25"/>
        <item x="144"/>
        <item x="84"/>
        <item x="35"/>
        <item x="133"/>
        <item x="2"/>
        <item x="110"/>
        <item x="17"/>
        <item x="129"/>
        <item x="111"/>
        <item x="48"/>
        <item x="86"/>
        <item x="146"/>
        <item x="65"/>
        <item x="167"/>
        <item x="36"/>
        <item x="87"/>
        <item x="9"/>
        <item x="59"/>
        <item x="71"/>
        <item x="149"/>
        <item x="163"/>
        <item x="169"/>
        <item x="102"/>
        <item x="88"/>
        <item x="15"/>
        <item x="113"/>
        <item x="134"/>
        <item x="164"/>
        <item x="147"/>
        <item x="11"/>
        <item x="21"/>
        <item x="96"/>
        <item x="67"/>
        <item x="137"/>
        <item x="37"/>
        <item x="74"/>
        <item x="26"/>
        <item x="23"/>
        <item x="130"/>
        <item x="49"/>
        <item x="19"/>
        <item x="60"/>
        <item x="108"/>
        <item x="10"/>
        <item x="69"/>
        <item x="27"/>
        <item x="135"/>
        <item x="18"/>
        <item x="114"/>
        <item x="43"/>
        <item x="103"/>
        <item x="75"/>
        <item x="61"/>
        <item x="148"/>
        <item x="79"/>
        <item x="56"/>
        <item x="3"/>
        <item x="28"/>
        <item x="99"/>
        <item x="44"/>
        <item x="104"/>
        <item x="131"/>
        <item x="80"/>
        <item x="68"/>
        <item x="140"/>
        <item x="81"/>
        <item x="156"/>
        <item x="132"/>
        <item x="162"/>
        <item x="12"/>
        <item x="50"/>
        <item x="29"/>
        <item x="66"/>
        <item x="89"/>
        <item x="30"/>
        <item x="154"/>
        <item x="165"/>
        <item x="62"/>
        <item x="38"/>
        <item x="126"/>
        <item x="31"/>
        <item x="4"/>
        <item x="78"/>
        <item x="51"/>
        <item x="39"/>
        <item x="90"/>
        <item x="159"/>
        <item x="116"/>
        <item x="57"/>
        <item x="52"/>
        <item x="138"/>
        <item x="119"/>
        <item x="120"/>
        <item x="0"/>
        <item x="91"/>
        <item x="121"/>
        <item x="82"/>
        <item x="100"/>
        <item x="160"/>
        <item x="53"/>
        <item x="45"/>
        <item x="46"/>
        <item x="92"/>
        <item x="117"/>
        <item x="142"/>
        <item x="5"/>
        <item x="136"/>
        <item x="122"/>
        <item x="166"/>
        <item x="93"/>
        <item x="94"/>
        <item x="32"/>
        <item x="76"/>
        <item x="115"/>
        <item x="97"/>
        <item x="145"/>
        <item x="13"/>
        <item x="72"/>
        <item x="125"/>
        <item x="168"/>
        <item x="34"/>
        <item x="77"/>
        <item x="139"/>
        <item x="63"/>
        <item x="141"/>
        <item x="123"/>
        <item x="153"/>
        <item x="6"/>
        <item x="54"/>
        <item x="150"/>
        <item x="20"/>
        <item x="124"/>
        <item x="58"/>
        <item x="83"/>
        <item x="40"/>
        <item x="161"/>
        <item x="95"/>
        <item x="155"/>
        <item x="14"/>
        <item x="151"/>
        <item x="41"/>
        <item x="127"/>
        <item x="22"/>
        <item x="42"/>
        <item x="73"/>
        <item x="8"/>
        <item x="33"/>
        <item x="101"/>
        <item x="109"/>
        <item x="152"/>
        <item x="55"/>
        <item x="98"/>
        <item x="128"/>
        <item x="105"/>
        <item x="1"/>
        <item x="308"/>
        <item x="277"/>
        <item x="327"/>
        <item x="278"/>
        <item x="288"/>
        <item x="258"/>
        <item x="179"/>
        <item x="259"/>
        <item x="225"/>
        <item x="309"/>
        <item x="205"/>
        <item x="252"/>
        <item x="206"/>
        <item x="328"/>
        <item x="209"/>
        <item x="332"/>
        <item x="322"/>
        <item x="253"/>
        <item x="171"/>
        <item x="260"/>
        <item x="237"/>
        <item x="210"/>
        <item x="279"/>
        <item x="251"/>
        <item x="321"/>
        <item x="192"/>
        <item x="247"/>
        <item x="289"/>
        <item x="326"/>
        <item x="254"/>
        <item x="172"/>
        <item x="320"/>
        <item x="318"/>
        <item x="261"/>
        <item x="195"/>
        <item x="323"/>
        <item x="267"/>
        <item x="245"/>
        <item x="207"/>
        <item x="196"/>
        <item x="226"/>
        <item x="208"/>
        <item x="173"/>
        <item x="319"/>
        <item x="185"/>
        <item x="340"/>
        <item x="306"/>
        <item x="301"/>
        <item x="337"/>
        <item x="227"/>
        <item x="292"/>
        <item x="175"/>
        <item x="303"/>
        <item x="194"/>
        <item x="290"/>
        <item x="293"/>
        <item x="238"/>
        <item x="333"/>
        <item x="197"/>
        <item x="242"/>
        <item x="211"/>
        <item x="338"/>
        <item x="262"/>
        <item x="219"/>
        <item x="178"/>
        <item x="331"/>
        <item x="255"/>
        <item x="291"/>
        <item x="230"/>
        <item x="228"/>
        <item x="198"/>
        <item x="286"/>
        <item x="263"/>
        <item x="212"/>
        <item x="310"/>
        <item x="317"/>
        <item x="231"/>
        <item x="239"/>
        <item x="180"/>
        <item x="243"/>
        <item x="268"/>
        <item x="336"/>
        <item x="232"/>
        <item x="186"/>
        <item x="329"/>
        <item x="339"/>
        <item x="248"/>
        <item x="244"/>
        <item x="233"/>
        <item x="176"/>
        <item x="199"/>
        <item x="287"/>
        <item x="189"/>
        <item x="298"/>
        <item x="269"/>
        <item x="200"/>
        <item x="325"/>
        <item x="282"/>
        <item x="187"/>
        <item x="272"/>
        <item x="220"/>
        <item x="177"/>
        <item x="283"/>
        <item x="201"/>
        <item x="213"/>
        <item x="249"/>
        <item x="299"/>
        <item x="193"/>
        <item x="302"/>
        <item x="256"/>
        <item x="202"/>
        <item x="273"/>
        <item x="311"/>
        <item x="330"/>
        <item x="181"/>
        <item x="214"/>
        <item x="274"/>
        <item x="275"/>
        <item x="294"/>
        <item x="234"/>
        <item x="300"/>
        <item x="315"/>
        <item x="215"/>
        <item x="334"/>
        <item x="221"/>
        <item x="284"/>
        <item x="222"/>
        <item x="182"/>
        <item x="295"/>
        <item x="307"/>
        <item x="270"/>
        <item x="216"/>
        <item x="280"/>
        <item x="240"/>
        <item x="257"/>
        <item x="223"/>
        <item x="316"/>
        <item x="276"/>
        <item x="304"/>
        <item x="224"/>
        <item x="183"/>
        <item x="235"/>
        <item x="246"/>
        <item x="312"/>
        <item x="250"/>
        <item x="264"/>
        <item x="281"/>
        <item x="285"/>
        <item x="217"/>
        <item x="265"/>
        <item x="305"/>
        <item x="184"/>
        <item x="314"/>
        <item x="266"/>
        <item x="296"/>
        <item x="203"/>
        <item x="204"/>
        <item x="297"/>
        <item x="236"/>
        <item x="188"/>
        <item x="313"/>
        <item x="218"/>
        <item x="335"/>
        <item x="271"/>
        <item x="174"/>
        <item x="229"/>
        <item x="241"/>
        <item x="190"/>
        <item x="191"/>
        <item x="324"/>
      </items>
      <extLst>
        <ext xmlns:x14="http://schemas.microsoft.com/office/spreadsheetml/2009/9/main" uri="{2946ED86-A175-432a-8AC1-64E0C546D7DE}">
          <x14:pivotField fillDownLabels="1"/>
        </ext>
      </extLst>
    </pivotField>
    <pivotField axis="axisPage"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outline="0" showAll="0" defaultSubtotal="0">
      <items count="12">
        <item x="7"/>
        <item x="8"/>
        <item x="9"/>
        <item x="10"/>
        <item x="11"/>
        <item x="2"/>
        <item x="6"/>
        <item x="3"/>
        <item x="4"/>
        <item x="0"/>
        <item x="5"/>
        <item x="1"/>
      </items>
      <extLst>
        <ext xmlns:x14="http://schemas.microsoft.com/office/spreadsheetml/2009/9/main" uri="{2946ED86-A175-432a-8AC1-64E0C546D7DE}">
          <x14:pivotField fillDownLabels="1"/>
        </ext>
      </extLst>
    </pivotField>
    <pivotField axis="axisPage" outline="0" showAll="0" defaultSubtotal="0">
      <items count="2">
        <item x="0"/>
        <item x="1"/>
      </items>
      <extLst>
        <ext xmlns:x14="http://schemas.microsoft.com/office/spreadsheetml/2009/9/main" uri="{2946ED86-A175-432a-8AC1-64E0C546D7DE}">
          <x14:pivotField fillDownLabels="1"/>
        </ext>
      </extLst>
    </pivotField>
    <pivotField axis="axisRow" outline="0" showAll="0" sortType="descending" defaultSubtotal="0">
      <items count="41">
        <item x="23"/>
        <item x="13"/>
        <item x="9"/>
        <item x="1"/>
        <item x="34"/>
        <item x="28"/>
        <item x="38"/>
        <item x="40"/>
        <item x="19"/>
        <item x="37"/>
        <item x="33"/>
        <item x="21"/>
        <item x="18"/>
        <item x="3"/>
        <item x="36"/>
        <item x="4"/>
        <item x="14"/>
        <item x="27"/>
        <item x="15"/>
        <item x="35"/>
        <item x="12"/>
        <item x="22"/>
        <item x="7"/>
        <item x="24"/>
        <item x="6"/>
        <item x="8"/>
        <item x="16"/>
        <item x="0"/>
        <item x="29"/>
        <item x="26"/>
        <item x="5"/>
        <item x="20"/>
        <item x="32"/>
        <item x="17"/>
        <item x="31"/>
        <item x="30"/>
        <item x="25"/>
        <item x="10"/>
        <item x="11"/>
        <item x="39"/>
        <item x="2"/>
      </items>
      <extLst>
        <ext xmlns:x14="http://schemas.microsoft.com/office/spreadsheetml/2009/9/main" uri="{2946ED86-A175-432a-8AC1-64E0C546D7DE}">
          <x14:pivotField fillDownLabels="1"/>
        </ext>
      </extLst>
    </pivotField>
    <pivotField axis="axisRow" outline="0" showAll="0" sortType="ascending" defaultSubtotal="0">
      <items count="69">
        <item x="35"/>
        <item x="64"/>
        <item x="33"/>
        <item x="1"/>
        <item x="28"/>
        <item x="62"/>
        <item x="36"/>
        <item x="22"/>
        <item x="61"/>
        <item x="30"/>
        <item x="24"/>
        <item x="63"/>
        <item x="60"/>
        <item x="29"/>
        <item x="40"/>
        <item x="31"/>
        <item x="37"/>
        <item x="32"/>
        <item x="39"/>
        <item x="26"/>
        <item x="23"/>
        <item x="34"/>
        <item x="20"/>
        <item x="50"/>
        <item x="10"/>
        <item x="14"/>
        <item x="49"/>
        <item x="42"/>
        <item x="9"/>
        <item x="54"/>
        <item x="7"/>
        <item x="52"/>
        <item x="45"/>
        <item x="47"/>
        <item x="13"/>
        <item x="0"/>
        <item x="12"/>
        <item x="46"/>
        <item x="3"/>
        <item x="8"/>
        <item x="41"/>
        <item x="43"/>
        <item x="11"/>
        <item x="44"/>
        <item x="2"/>
        <item x="53"/>
        <item x="48"/>
        <item x="51"/>
        <item x="6"/>
        <item x="5"/>
        <item x="4"/>
        <item x="56"/>
        <item x="17"/>
        <item x="19"/>
        <item x="55"/>
        <item x="15"/>
        <item x="58"/>
        <item x="16"/>
        <item x="59"/>
        <item x="57"/>
        <item x="18"/>
        <item x="65"/>
        <item x="38"/>
        <item x="66"/>
        <item x="67"/>
        <item x="68"/>
        <item x="27"/>
        <item x="21"/>
        <item x="25"/>
      </items>
      <extLst>
        <ext xmlns:x14="http://schemas.microsoft.com/office/spreadsheetml/2009/9/main" uri="{2946ED86-A175-432a-8AC1-64E0C546D7DE}">
          <x14:pivotField fillDownLabels="1"/>
        </ext>
      </extLst>
    </pivotField>
    <pivotField axis="axisRow" outline="0" showAll="0" sortType="descending" defaultSubtotal="0">
      <items count="457">
        <item x="164"/>
        <item x="198"/>
        <item x="188"/>
        <item x="194"/>
        <item x="208"/>
        <item x="207"/>
        <item x="241"/>
        <item x="187"/>
        <item x="8"/>
        <item x="39"/>
        <item x="167"/>
        <item x="211"/>
        <item x="22"/>
        <item x="85"/>
        <item x="113"/>
        <item x="166"/>
        <item x="112"/>
        <item x="14"/>
        <item x="145"/>
        <item x="97"/>
        <item x="186"/>
        <item x="125"/>
        <item x="215"/>
        <item x="84"/>
        <item x="206"/>
        <item x="45"/>
        <item x="20"/>
        <item x="214"/>
        <item x="246"/>
        <item x="193"/>
        <item x="6"/>
        <item x="157"/>
        <item x="74"/>
        <item x="185"/>
        <item x="111"/>
        <item x="110"/>
        <item x="156"/>
        <item x="184"/>
        <item x="225"/>
        <item x="82"/>
        <item x="38"/>
        <item x="120"/>
        <item x="13"/>
        <item x="124"/>
        <item x="183"/>
        <item x="213"/>
        <item x="182"/>
        <item x="81"/>
        <item x="217"/>
        <item x="181"/>
        <item x="100"/>
        <item x="5"/>
        <item x="119"/>
        <item x="65"/>
        <item x="109"/>
        <item x="155"/>
        <item x="180"/>
        <item x="144"/>
        <item x="179"/>
        <item x="73"/>
        <item x="178"/>
        <item x="80"/>
        <item x="118"/>
        <item x="197"/>
        <item x="0"/>
        <item x="212"/>
        <item x="96"/>
        <item x="107"/>
        <item x="44"/>
        <item x="64"/>
        <item x="177"/>
        <item x="79"/>
        <item x="210"/>
        <item x="34"/>
        <item x="160"/>
        <item x="199"/>
        <item x="4"/>
        <item x="72"/>
        <item x="83"/>
        <item x="106"/>
        <item x="176"/>
        <item x="205"/>
        <item x="143"/>
        <item x="159"/>
        <item x="154"/>
        <item x="78"/>
        <item x="248"/>
        <item x="77"/>
        <item x="247"/>
        <item x="12"/>
        <item x="192"/>
        <item x="95"/>
        <item x="146"/>
        <item x="175"/>
        <item x="117"/>
        <item x="222"/>
        <item x="90"/>
        <item x="163"/>
        <item x="196"/>
        <item x="191"/>
        <item x="116"/>
        <item x="245"/>
        <item x="243"/>
        <item x="3"/>
        <item x="153"/>
        <item x="142"/>
        <item x="174"/>
        <item x="126"/>
        <item x="220"/>
        <item x="173"/>
        <item x="71"/>
        <item x="76"/>
        <item x="219"/>
        <item x="18"/>
        <item x="149"/>
        <item x="43"/>
        <item x="152"/>
        <item x="123"/>
        <item x="10"/>
        <item x="63"/>
        <item x="57"/>
        <item x="62"/>
        <item x="19"/>
        <item x="244"/>
        <item x="221"/>
        <item x="23"/>
        <item x="115"/>
        <item x="151"/>
        <item x="250"/>
        <item x="318"/>
        <item x="277"/>
        <item x="102"/>
        <item x="342"/>
        <item x="276"/>
        <item x="32"/>
        <item x="447"/>
        <item x="165"/>
        <item x="281"/>
        <item x="70"/>
        <item x="21"/>
        <item x="282"/>
        <item x="260"/>
        <item x="91"/>
        <item x="11"/>
        <item x="426"/>
        <item x="132"/>
        <item x="408"/>
        <item x="200"/>
        <item x="451"/>
        <item x="226"/>
        <item x="341"/>
        <item x="89"/>
        <item x="407"/>
        <item x="274"/>
        <item x="216"/>
        <item x="15"/>
        <item x="371"/>
        <item x="242"/>
        <item x="313"/>
        <item x="141"/>
        <item x="317"/>
        <item x="249"/>
        <item x="288"/>
        <item x="195"/>
        <item x="312"/>
        <item x="148"/>
        <item x="370"/>
        <item x="37"/>
        <item x="372"/>
        <item x="256"/>
        <item x="413"/>
        <item x="270"/>
        <item x="255"/>
        <item x="9"/>
        <item x="331"/>
        <item x="189"/>
        <item x="386"/>
        <item x="94"/>
        <item x="323"/>
        <item x="218"/>
        <item x="409"/>
        <item x="190"/>
        <item x="395"/>
        <item x="172"/>
        <item x="311"/>
        <item x="224"/>
        <item x="75"/>
        <item x="394"/>
        <item x="204"/>
        <item x="287"/>
        <item x="150"/>
        <item x="17"/>
        <item x="393"/>
        <item x="171"/>
        <item x="330"/>
        <item x="269"/>
        <item x="140"/>
        <item x="2"/>
        <item x="414"/>
        <item x="254"/>
        <item x="329"/>
        <item x="170"/>
        <item x="385"/>
        <item x="203"/>
        <item x="348"/>
        <item x="162"/>
        <item x="434"/>
        <item x="169"/>
        <item x="410"/>
        <item x="209"/>
        <item x="442"/>
        <item x="147"/>
        <item x="295"/>
        <item x="158"/>
        <item x="332"/>
        <item x="202"/>
        <item x="363"/>
        <item x="69"/>
        <item x="441"/>
        <item x="201"/>
        <item x="310"/>
        <item x="161"/>
        <item x="392"/>
        <item x="268"/>
        <item x="7"/>
        <item x="384"/>
        <item x="68"/>
        <item x="383"/>
        <item x="139"/>
        <item x="347"/>
        <item x="223"/>
        <item x="406"/>
        <item x="93"/>
        <item x="16"/>
        <item x="322"/>
        <item x="252"/>
        <item x="405"/>
        <item x="168"/>
        <item x="316"/>
        <item x="36"/>
        <item x="382"/>
        <item x="307"/>
        <item x="404"/>
        <item x="306"/>
        <item x="362"/>
        <item x="267"/>
        <item x="381"/>
        <item x="440"/>
        <item x="354"/>
        <item x="305"/>
        <item x="294"/>
        <item x="324"/>
        <item x="369"/>
        <item x="279"/>
        <item x="315"/>
        <item x="359"/>
        <item x="361"/>
        <item x="422"/>
        <item x="346"/>
        <item x="263"/>
        <item x="309"/>
        <item x="360"/>
        <item x="328"/>
        <item x="273"/>
        <item x="358"/>
        <item x="421"/>
        <item x="351"/>
        <item x="403"/>
        <item x="314"/>
        <item x="345"/>
        <item x="275"/>
        <item x="298"/>
        <item x="412"/>
        <item x="262"/>
        <item x="344"/>
        <item x="433"/>
        <item x="304"/>
        <item x="427"/>
        <item x="380"/>
        <item x="321"/>
        <item x="272"/>
        <item x="290"/>
        <item x="420"/>
        <item x="339"/>
        <item x="411"/>
        <item x="452"/>
        <item x="266"/>
        <item x="419"/>
        <item x="402"/>
        <item x="401"/>
        <item x="335"/>
        <item x="319"/>
        <item x="436"/>
        <item x="297"/>
        <item x="338"/>
        <item x="283"/>
        <item x="303"/>
        <item x="293"/>
        <item x="391"/>
        <item x="353"/>
        <item x="264"/>
        <item x="308"/>
        <item x="368"/>
        <item x="425"/>
        <item x="286"/>
        <item x="435"/>
        <item x="432"/>
        <item x="400"/>
        <item x="379"/>
        <item x="337"/>
        <item x="302"/>
        <item x="390"/>
        <item x="280"/>
        <item x="327"/>
        <item x="389"/>
        <item x="261"/>
        <item x="352"/>
        <item x="399"/>
        <item x="424"/>
        <item x="336"/>
        <item x="296"/>
        <item x="271"/>
        <item x="350"/>
        <item x="378"/>
        <item x="259"/>
        <item x="377"/>
        <item x="376"/>
        <item x="375"/>
        <item x="374"/>
        <item x="285"/>
        <item x="438"/>
        <item x="367"/>
        <item x="373"/>
        <item x="320"/>
        <item x="388"/>
        <item x="398"/>
        <item x="431"/>
        <item x="258"/>
        <item x="326"/>
        <item x="423"/>
        <item x="301"/>
        <item x="289"/>
        <item x="300"/>
        <item x="278"/>
        <item x="430"/>
        <item x="291"/>
        <item x="449"/>
        <item x="418"/>
        <item x="417"/>
        <item x="437"/>
        <item x="429"/>
        <item x="257"/>
        <item x="292"/>
        <item x="448"/>
        <item x="397"/>
        <item x="428"/>
        <item x="366"/>
        <item x="284"/>
        <item x="396"/>
        <item x="299"/>
        <item x="334"/>
        <item x="416"/>
        <item x="355"/>
        <item x="415"/>
        <item x="265"/>
        <item x="349"/>
        <item x="439"/>
        <item x="450"/>
        <item x="387"/>
        <item x="325"/>
        <item x="333"/>
        <item x="456"/>
        <item x="51"/>
        <item x="59"/>
        <item x="455"/>
        <item x="236"/>
        <item x="229"/>
        <item x="443"/>
        <item x="228"/>
        <item x="227"/>
        <item x="33"/>
        <item x="138"/>
        <item x="364"/>
        <item x="31"/>
        <item x="137"/>
        <item x="136"/>
        <item x="135"/>
        <item x="134"/>
        <item x="133"/>
        <item x="131"/>
        <item x="130"/>
        <item x="129"/>
        <item x="128"/>
        <item x="30"/>
        <item x="127"/>
        <item x="357"/>
        <item x="356"/>
        <item x="29"/>
        <item x="453"/>
        <item x="122"/>
        <item x="251"/>
        <item x="121"/>
        <item x="28"/>
        <item x="114"/>
        <item x="108"/>
        <item x="105"/>
        <item x="343"/>
        <item x="104"/>
        <item x="103"/>
        <item x="340"/>
        <item x="101"/>
        <item x="99"/>
        <item x="27"/>
        <item x="98"/>
        <item x="92"/>
        <item x="88"/>
        <item x="87"/>
        <item x="86"/>
        <item x="67"/>
        <item x="66"/>
        <item x="26"/>
        <item x="61"/>
        <item x="60"/>
        <item x="58"/>
        <item x="55"/>
        <item x="54"/>
        <item x="53"/>
        <item x="52"/>
        <item x="50"/>
        <item x="25"/>
        <item x="240"/>
        <item x="49"/>
        <item x="48"/>
        <item x="47"/>
        <item x="239"/>
        <item x="238"/>
        <item x="237"/>
        <item x="454"/>
        <item x="46"/>
        <item x="445"/>
        <item x="444"/>
        <item x="42"/>
        <item x="41"/>
        <item x="234"/>
        <item x="40"/>
        <item x="233"/>
        <item x="232"/>
        <item x="231"/>
        <item x="230"/>
        <item x="35"/>
        <item x="24"/>
        <item x="56"/>
        <item x="235"/>
        <item x="253"/>
        <item x="365"/>
        <item x="446"/>
        <item x="1"/>
      </items>
      <extLst>
        <ext xmlns:x14="http://schemas.microsoft.com/office/spreadsheetml/2009/9/main" uri="{2946ED86-A175-432a-8AC1-64E0C546D7DE}">
          <x14:pivotField fillDownLabels="1"/>
        </ext>
      </extLst>
    </pivotField>
    <pivotField axis="axisRow" numFmtId="2" outline="0" showAll="0" sortType="descending" defaultSubtotal="0">
      <items count="3565">
        <item x="3245"/>
        <item x="1572"/>
        <item x="3248"/>
        <item x="643"/>
        <item x="2611"/>
        <item x="3246"/>
        <item x="2614"/>
        <item x="2558"/>
        <item x="1569"/>
        <item x="647"/>
        <item x="641"/>
        <item x="648"/>
        <item x="1929"/>
        <item x="626"/>
        <item x="2588"/>
        <item x="635"/>
        <item x="3455"/>
        <item x="2758"/>
        <item x="3247"/>
        <item x="3255"/>
        <item x="3468"/>
        <item x="3444"/>
        <item x="656"/>
        <item x="642"/>
        <item x="627"/>
        <item x="922"/>
        <item x="657"/>
        <item x="2598"/>
        <item x="639"/>
        <item x="1135"/>
        <item x="640"/>
        <item x="2592"/>
        <item x="644"/>
        <item x="634"/>
        <item x="2585"/>
        <item x="2820"/>
        <item x="636"/>
        <item x="1071"/>
        <item x="1958"/>
        <item x="567"/>
        <item x="613"/>
        <item x="646"/>
        <item x="1087"/>
        <item x="2788"/>
        <item x="3459"/>
        <item x="2560"/>
        <item x="1094"/>
        <item x="2789"/>
        <item x="2613"/>
        <item x="2612"/>
        <item x="1112"/>
        <item x="1955"/>
        <item x="902"/>
        <item x="1104"/>
        <item x="645"/>
        <item x="2827"/>
        <item x="2923"/>
        <item x="2916"/>
        <item x="2902"/>
        <item x="965"/>
        <item x="1847"/>
        <item x="2816"/>
        <item x="2819"/>
        <item x="152"/>
        <item x="583"/>
        <item x="2594"/>
        <item x="961"/>
        <item x="1885"/>
        <item x="163"/>
        <item x="2155"/>
        <item x="2157"/>
        <item x="654"/>
        <item x="1573"/>
        <item x="2791"/>
        <item x="2628"/>
        <item x="153"/>
        <item x="2767"/>
        <item x="156"/>
        <item x="154"/>
        <item x="3521"/>
        <item x="791"/>
        <item x="2562"/>
        <item x="2954"/>
        <item x="227"/>
        <item x="2145"/>
        <item x="2770"/>
        <item x="3051"/>
        <item x="2156"/>
        <item x="162"/>
        <item x="2957"/>
        <item x="1196"/>
        <item x="2601"/>
        <item x="969"/>
        <item x="3241"/>
        <item x="155"/>
        <item x="1147"/>
        <item x="3463"/>
        <item x="2626"/>
        <item x="637"/>
        <item x="2971"/>
        <item x="576"/>
        <item x="2493"/>
        <item x="3070"/>
        <item x="2482"/>
        <item x="2154"/>
        <item x="2960"/>
        <item x="1945"/>
        <item x="2803"/>
        <item x="2935"/>
        <item x="149"/>
        <item x="2965"/>
        <item x="2602"/>
        <item x="1965"/>
        <item x="150"/>
        <item x="2591"/>
        <item x="1598"/>
        <item x="1475"/>
        <item x="1877"/>
        <item x="2590"/>
        <item x="2866"/>
        <item x="2867"/>
        <item x="34"/>
        <item x="877"/>
        <item x="201"/>
        <item x="935"/>
        <item x="2109"/>
        <item x="2545"/>
        <item x="923"/>
        <item x="2054"/>
        <item x="2108"/>
        <item x="962"/>
        <item x="2483"/>
        <item x="2810"/>
        <item x="955"/>
        <item x="939"/>
        <item x="2153"/>
        <item x="2618"/>
        <item x="161"/>
        <item x="1047"/>
        <item x="2620"/>
        <item x="780"/>
        <item x="2158"/>
        <item x="157"/>
        <item x="522"/>
        <item x="570"/>
        <item x="618"/>
        <item x="2102"/>
        <item x="101"/>
        <item x="2811"/>
        <item x="2800"/>
        <item x="510"/>
        <item x="3520"/>
        <item x="1392"/>
        <item x="2186"/>
        <item x="931"/>
        <item x="515"/>
        <item x="2595"/>
        <item x="2258"/>
        <item x="2955"/>
        <item x="2809"/>
        <item x="2792"/>
        <item x="2146"/>
        <item x="2107"/>
        <item x="1181"/>
        <item x="953"/>
        <item x="3519"/>
        <item x="1964"/>
        <item x="895"/>
        <item x="2176"/>
        <item x="1936"/>
        <item x="3242"/>
        <item x="3469"/>
        <item x="624"/>
        <item x="2492"/>
        <item x="2589"/>
        <item x="2259"/>
        <item x="1882"/>
        <item x="2491"/>
        <item x="572"/>
        <item x="513"/>
        <item x="2149"/>
        <item x="2052"/>
        <item x="516"/>
        <item x="650"/>
        <item x="2177"/>
        <item x="511"/>
        <item x="2599"/>
        <item x="27"/>
        <item x="928"/>
        <item x="37"/>
        <item x="32"/>
        <item x="2267"/>
        <item x="2617"/>
        <item x="28"/>
        <item x="2802"/>
        <item x="1038"/>
        <item x="2616"/>
        <item x="2103"/>
        <item x="2958"/>
        <item x="1040"/>
        <item x="200"/>
        <item x="2817"/>
        <item x="2061"/>
        <item x="582"/>
        <item x="2063"/>
        <item x="512"/>
        <item x="2976"/>
        <item x="99"/>
        <item x="158"/>
        <item x="2060"/>
        <item x="2147"/>
        <item x="623"/>
        <item x="2994"/>
        <item x="276"/>
        <item x="185"/>
        <item x="517"/>
        <item x="1133"/>
        <item x="2062"/>
        <item x="2586"/>
        <item x="2495"/>
        <item x="631"/>
        <item x="3056"/>
        <item x="2494"/>
        <item x="2486"/>
        <item x="1948"/>
        <item x="186"/>
        <item x="100"/>
        <item x="107"/>
        <item x="1491"/>
        <item x="1039"/>
        <item x="2178"/>
        <item x="2432"/>
        <item x="2228"/>
        <item x="992"/>
        <item x="2600"/>
        <item x="2775"/>
        <item x="2781"/>
        <item x="1036"/>
        <item x="2257"/>
        <item x="38"/>
        <item x="571"/>
        <item x="523"/>
        <item x="2869"/>
        <item x="2557"/>
        <item x="3475"/>
        <item x="521"/>
        <item x="622"/>
        <item x="2110"/>
        <item x="33"/>
        <item x="2104"/>
        <item x="694"/>
        <item x="2151"/>
        <item x="2868"/>
        <item x="1043"/>
        <item x="2100"/>
        <item x="2050"/>
        <item x="3173"/>
        <item x="40"/>
        <item x="2484"/>
        <item x="2097"/>
        <item x="926"/>
        <item x="104"/>
        <item x="2790"/>
        <item x="29"/>
        <item x="2148"/>
        <item x="2099"/>
        <item x="1042"/>
        <item x="160"/>
        <item x="1257"/>
        <item x="2261"/>
        <item x="2210"/>
        <item x="2185"/>
        <item x="1050"/>
        <item x="2208"/>
        <item x="1881"/>
        <item x="2559"/>
        <item x="921"/>
        <item x="35"/>
        <item x="235"/>
        <item x="2225"/>
        <item x="2838"/>
        <item x="1848"/>
        <item x="2187"/>
        <item x="2550"/>
        <item x="2268"/>
        <item x="2058"/>
        <item x="1058"/>
        <item x="30"/>
        <item x="994"/>
        <item x="2723"/>
        <item x="2784"/>
        <item x="2606"/>
        <item x="2490"/>
        <item x="1210"/>
        <item x="519"/>
        <item x="2051"/>
        <item x="2878"/>
        <item x="688"/>
        <item x="277"/>
        <item x="275"/>
        <item x="1068"/>
        <item x="2597"/>
        <item x="520"/>
        <item x="180"/>
        <item x="266"/>
        <item x="2946"/>
        <item x="2053"/>
        <item x="2226"/>
        <item x="2047"/>
        <item x="1056"/>
        <item x="2485"/>
        <item x="31"/>
        <item x="1060"/>
        <item x="991"/>
        <item x="2059"/>
        <item x="94"/>
        <item x="2138"/>
        <item x="2211"/>
        <item x="2981"/>
        <item x="233"/>
        <item x="1888"/>
        <item x="695"/>
        <item x="2219"/>
        <item x="1966"/>
        <item x="2883"/>
        <item x="1261"/>
        <item x="179"/>
        <item x="878"/>
        <item x="1062"/>
        <item x="2057"/>
        <item x="1044"/>
        <item x="2296"/>
        <item x="2554"/>
        <item x="997"/>
        <item x="653"/>
        <item x="691"/>
        <item x="2818"/>
        <item x="995"/>
        <item x="229"/>
        <item x="2970"/>
        <item x="1878"/>
        <item x="2862"/>
        <item x="689"/>
        <item x="3466"/>
        <item x="1188"/>
        <item x="95"/>
        <item x="2106"/>
        <item x="2266"/>
        <item x="2671"/>
        <item x="1886"/>
        <item x="299"/>
        <item x="693"/>
        <item x="1172"/>
        <item x="2953"/>
        <item x="2230"/>
        <item x="103"/>
        <item x="205"/>
        <item x="518"/>
        <item x="686"/>
        <item x="36"/>
        <item x="1875"/>
        <item x="2231"/>
        <item x="3136"/>
        <item x="2725"/>
        <item x="3465"/>
        <item x="263"/>
        <item x="578"/>
        <item x="2184"/>
        <item x="2865"/>
        <item x="594"/>
        <item x="2352"/>
        <item x="2111"/>
        <item x="690"/>
        <item x="105"/>
        <item x="183"/>
        <item x="303"/>
        <item x="2487"/>
        <item x="2672"/>
        <item x="2263"/>
        <item x="96"/>
        <item x="2326"/>
        <item x="2488"/>
        <item x="223"/>
        <item x="1876"/>
        <item x="1425"/>
        <item x="2207"/>
        <item x="1066"/>
        <item x="2864"/>
        <item x="2270"/>
        <item x="998"/>
        <item x="942"/>
        <item x="514"/>
        <item x="599"/>
        <item x="1059"/>
        <item x="97"/>
        <item x="2098"/>
        <item x="2972"/>
        <item x="2660"/>
        <item x="2547"/>
        <item x="265"/>
        <item x="2298"/>
        <item x="298"/>
        <item x="2489"/>
        <item x="2625"/>
        <item x="2615"/>
        <item x="2260"/>
        <item x="2718"/>
        <item x="628"/>
        <item x="1400"/>
        <item x="2882"/>
        <item x="2297"/>
        <item x="2127"/>
        <item x="3517"/>
        <item x="206"/>
        <item x="184"/>
        <item x="2863"/>
        <item x="130"/>
        <item x="2181"/>
        <item x="2150"/>
        <item x="202"/>
        <item x="3143"/>
        <item x="2974"/>
        <item x="2669"/>
        <item x="2561"/>
        <item x="2624"/>
        <item x="2137"/>
        <item x="2546"/>
        <item x="2871"/>
        <item x="2604"/>
        <item x="2665"/>
        <item x="376"/>
        <item x="3073"/>
        <item x="875"/>
        <item x="617"/>
        <item x="2438"/>
        <item x="2962"/>
        <item x="2295"/>
        <item x="2931"/>
        <item x="1163"/>
        <item x="621"/>
        <item x="616"/>
        <item x="159"/>
        <item x="232"/>
        <item x="1000"/>
        <item x="2209"/>
        <item x="2608"/>
        <item x="3462"/>
        <item x="2105"/>
        <item x="687"/>
        <item x="230"/>
        <item x="102"/>
        <item x="1571"/>
        <item x="696"/>
        <item x="1923"/>
        <item x="1201"/>
        <item x="226"/>
        <item x="1397"/>
        <item x="195"/>
        <item x="270"/>
        <item x="39"/>
        <item x="2189"/>
        <item x="1483"/>
        <item x="2080"/>
        <item x="600"/>
        <item x="2134"/>
        <item x="2663"/>
        <item x="2405"/>
        <item x="2056"/>
        <item x="2984"/>
        <item x="293"/>
        <item x="2198"/>
        <item x="2673"/>
        <item x="649"/>
        <item x="2289"/>
        <item x="1404"/>
        <item x="2269"/>
        <item x="2221"/>
        <item x="3067"/>
        <item x="2431"/>
        <item x="2087"/>
        <item x="1925"/>
        <item x="2664"/>
        <item x="1949"/>
        <item x="2084"/>
        <item x="2055"/>
        <item x="199"/>
        <item x="197"/>
        <item x="573"/>
        <item x="302"/>
        <item x="78"/>
        <item x="377"/>
        <item x="269"/>
        <item x="3461"/>
        <item x="204"/>
        <item x="2075"/>
        <item x="2327"/>
        <item x="2290"/>
        <item x="2397"/>
        <item x="3528"/>
        <item x="2204"/>
        <item x="2139"/>
        <item x="1433"/>
        <item x="297"/>
        <item x="138"/>
        <item x="2813"/>
        <item x="2420"/>
        <item x="1963"/>
        <item x="2668"/>
        <item x="2832"/>
        <item x="630"/>
        <item x="2045"/>
        <item x="228"/>
        <item x="274"/>
        <item x="2833"/>
        <item x="2610"/>
        <item x="1064"/>
        <item x="2291"/>
        <item x="2831"/>
        <item x="173"/>
        <item x="2206"/>
        <item x="1871"/>
        <item x="370"/>
        <item x="1273"/>
        <item x="23"/>
        <item x="207"/>
        <item x="566"/>
        <item x="1938"/>
        <item x="2875"/>
        <item x="652"/>
        <item x="2879"/>
        <item x="273"/>
        <item x="2724"/>
        <item x="2152"/>
        <item x="2232"/>
        <item x="132"/>
        <item x="2205"/>
        <item x="683"/>
        <item x="2925"/>
        <item x="1902"/>
        <item x="2140"/>
        <item x="692"/>
        <item x="684"/>
        <item x="3052"/>
        <item x="182"/>
        <item x="264"/>
        <item x="1893"/>
        <item x="383"/>
        <item x="2948"/>
        <item x="372"/>
        <item x="2824"/>
        <item x="295"/>
        <item x="3055"/>
        <item x="625"/>
        <item x="181"/>
        <item x="194"/>
        <item x="480"/>
        <item x="2076"/>
        <item x="2337"/>
        <item x="2200"/>
        <item x="2666"/>
        <item x="685"/>
        <item x="1597"/>
        <item x="2675"/>
        <item x="2776"/>
        <item x="2662"/>
        <item x="306"/>
        <item x="2508"/>
        <item x="1190"/>
        <item x="932"/>
        <item x="2182"/>
        <item x="2175"/>
        <item x="3061"/>
        <item x="672"/>
        <item x="292"/>
        <item x="135"/>
        <item x="1177"/>
        <item x="2271"/>
        <item x="2449"/>
        <item x="2670"/>
        <item x="272"/>
        <item x="3049"/>
        <item x="3486"/>
        <item x="1565"/>
        <item x="2987"/>
        <item x="2443"/>
        <item x="2377"/>
        <item x="2265"/>
        <item x="351"/>
        <item x="1600"/>
        <item x="2222"/>
        <item x="2840"/>
        <item x="1887"/>
        <item x="3048"/>
        <item x="2877"/>
        <item x="1285"/>
        <item x="2450"/>
        <item x="2336"/>
        <item x="1860"/>
        <item x="2667"/>
        <item x="1589"/>
        <item x="231"/>
        <item x="427"/>
        <item x="1666"/>
        <item x="2287"/>
        <item x="371"/>
        <item x="2396"/>
        <item x="2885"/>
        <item x="1270"/>
        <item x="2376"/>
        <item x="141"/>
        <item x="2183"/>
        <item x="196"/>
        <item x="2754"/>
        <item x="2853"/>
        <item x="2782"/>
        <item x="82"/>
        <item x="655"/>
        <item x="294"/>
        <item x="2747"/>
        <item x="378"/>
        <item x="3005"/>
        <item x="2292"/>
        <item x="1862"/>
        <item x="1508"/>
        <item x="1473"/>
        <item x="1516"/>
        <item x="69"/>
        <item x="1716"/>
        <item x="2180"/>
        <item x="2078"/>
        <item x="981"/>
        <item x="1003"/>
        <item x="2262"/>
        <item x="2135"/>
        <item x="3040"/>
        <item x="2979"/>
        <item x="612"/>
        <item x="2794"/>
        <item x="296"/>
        <item x="1174"/>
        <item x="2227"/>
        <item x="2294"/>
        <item x="2648"/>
        <item x="1859"/>
        <item x="802"/>
        <item x="1574"/>
        <item x="1253"/>
        <item x="1956"/>
        <item x="198"/>
        <item x="1946"/>
        <item x="954"/>
        <item x="2083"/>
        <item x="3033"/>
        <item x="1120"/>
        <item x="2737"/>
        <item x="301"/>
        <item x="2713"/>
        <item x="2661"/>
        <item x="68"/>
        <item x="1151"/>
        <item x="2293"/>
        <item x="3277"/>
        <item x="2768"/>
        <item x="1943"/>
        <item x="2086"/>
        <item x="2220"/>
        <item x="2837"/>
        <item x="2133"/>
        <item x="2967"/>
        <item x="106"/>
        <item x="1973"/>
        <item x="3525"/>
        <item x="2553"/>
        <item x="620"/>
        <item x="2842"/>
        <item x="3046"/>
        <item x="561"/>
        <item x="619"/>
        <item x="3527"/>
        <item x="948"/>
        <item x="1476"/>
        <item x="80"/>
        <item x="2046"/>
        <item x="581"/>
        <item x="956"/>
        <item x="1858"/>
        <item x="134"/>
        <item x="3152"/>
        <item x="2188"/>
        <item x="133"/>
        <item x="373"/>
        <item x="803"/>
        <item x="75"/>
        <item x="2229"/>
        <item x="2681"/>
        <item x="3016"/>
        <item x="1405"/>
        <item x="1988"/>
        <item x="203"/>
        <item x="479"/>
        <item x="1974"/>
        <item x="1477"/>
        <item x="2386"/>
        <item x="2359"/>
        <item x="1910"/>
        <item x="1715"/>
        <item x="2385"/>
        <item x="2627"/>
        <item x="477"/>
        <item x="2548"/>
        <item x="178"/>
        <item x="2576"/>
        <item x="950"/>
        <item x="927"/>
        <item x="3165"/>
        <item x="2348"/>
        <item x="1031"/>
        <item x="1506"/>
        <item x="349"/>
        <item x="1248"/>
        <item x="2402"/>
        <item x="432"/>
        <item x="300"/>
        <item x="1184"/>
        <item x="2403"/>
        <item x="431"/>
        <item x="1961"/>
        <item x="1429"/>
        <item x="2355"/>
        <item x="2364"/>
        <item x="3514"/>
        <item x="2407"/>
        <item x="2543"/>
        <item x="433"/>
        <item x="98"/>
        <item x="575"/>
        <item x="2549"/>
        <item x="1464"/>
        <item x="807"/>
        <item x="614"/>
        <item x="1593"/>
        <item x="2201"/>
        <item x="2077"/>
        <item x="2085"/>
        <item x="2448"/>
        <item x="472"/>
        <item x="2728"/>
        <item x="2384"/>
        <item x="1681"/>
        <item x="2622"/>
        <item x="2780"/>
        <item x="2285"/>
        <item x="2446"/>
        <item x="140"/>
        <item x="403"/>
        <item x="938"/>
        <item x="1126"/>
        <item x="369"/>
        <item x="3155"/>
        <item x="2081"/>
        <item x="225"/>
        <item x="474"/>
        <item x="3522"/>
        <item x="3315"/>
        <item x="1389"/>
        <item x="271"/>
        <item x="3191"/>
        <item x="2887"/>
        <item x="2128"/>
        <item x="2378"/>
        <item x="76"/>
        <item x="3037"/>
        <item x="3134"/>
        <item x="2224"/>
        <item x="3509"/>
        <item x="2797"/>
        <item x="1975"/>
        <item x="2901"/>
        <item x="2363"/>
        <item x="234"/>
        <item x="3526"/>
        <item x="2082"/>
        <item x="176"/>
        <item x="2179"/>
        <item x="2451"/>
        <item x="1149"/>
        <item x="944"/>
        <item x="812"/>
        <item x="1686"/>
        <item x="305"/>
        <item x="434"/>
        <item x="1851"/>
        <item x="629"/>
        <item x="1918"/>
        <item x="3458"/>
        <item x="74"/>
        <item x="1905"/>
        <item x="3253"/>
        <item x="72"/>
        <item x="543"/>
        <item x="1275"/>
        <item x="1137"/>
        <item x="1605"/>
        <item x="577"/>
        <item x="428"/>
        <item x="2330"/>
        <item x="476"/>
        <item x="2332"/>
        <item x="2506"/>
        <item x="1971"/>
        <item x="2563"/>
        <item x="70"/>
        <item x="3086"/>
        <item x="2631"/>
        <item x="2991"/>
        <item x="1777"/>
        <item x="1880"/>
        <item x="2504"/>
        <item x="2844"/>
        <item x="674"/>
        <item x="22"/>
        <item x="717"/>
        <item x="2735"/>
        <item x="478"/>
        <item x="2881"/>
        <item x="1515"/>
        <item x="3174"/>
        <item x="2398"/>
        <item x="862"/>
        <item x="2286"/>
        <item x="381"/>
        <item x="1638"/>
        <item x="2808"/>
        <item x="3523"/>
        <item x="2689"/>
        <item x="473"/>
        <item x="2202"/>
        <item x="139"/>
        <item x="3054"/>
        <item x="2821"/>
        <item x="2203"/>
        <item x="2815"/>
        <item x="2404"/>
        <item x="2544"/>
        <item x="2951"/>
        <item x="2356"/>
        <item x="3057"/>
        <item x="2409"/>
        <item x="565"/>
        <item x="1070"/>
        <item x="2199"/>
        <item x="3062"/>
        <item x="1250"/>
        <item x="2131"/>
        <item x="3502"/>
        <item x="3524"/>
        <item x="1199"/>
        <item x="2551"/>
        <item x="1581"/>
        <item x="131"/>
        <item x="2524"/>
        <item x="2338"/>
        <item x="1972"/>
        <item x="355"/>
        <item x="1861"/>
        <item x="470"/>
        <item x="2361"/>
        <item x="821"/>
        <item x="459"/>
        <item x="2366"/>
        <item x="2335"/>
        <item x="2136"/>
        <item x="460"/>
        <item x="3464"/>
        <item x="2552"/>
        <item x="2442"/>
        <item x="407"/>
        <item x="2358"/>
        <item x="2828"/>
        <item x="2388"/>
        <item x="426"/>
        <item x="1699"/>
        <item x="1443"/>
        <item x="2870"/>
        <item x="2353"/>
        <item x="3328"/>
        <item x="846"/>
        <item x="1953"/>
        <item x="551"/>
        <item x="268"/>
        <item x="1438"/>
        <item x="1456"/>
        <item x="1251"/>
        <item x="2441"/>
        <item x="2008"/>
        <item x="2401"/>
        <item x="2736"/>
        <item x="2430"/>
        <item x="924"/>
        <item x="1159"/>
        <item x="2132"/>
        <item x="974"/>
        <item x="1854"/>
        <item x="3360"/>
        <item x="475"/>
        <item x="3285"/>
        <item x="338"/>
        <item x="941"/>
        <item x="375"/>
        <item x="2799"/>
        <item x="2804"/>
        <item x="73"/>
        <item x="819"/>
        <item x="453"/>
        <item x="2647"/>
        <item x="356"/>
        <item x="3019"/>
        <item x="1855"/>
        <item x="1022"/>
        <item x="2022"/>
        <item x="1016"/>
        <item x="2357"/>
        <item x="2288"/>
        <item x="580"/>
        <item x="2530"/>
        <item x="457"/>
        <item x="1442"/>
        <item x="409"/>
        <item x="471"/>
        <item x="2959"/>
        <item x="1160"/>
        <item x="3035"/>
        <item x="2428"/>
        <item x="1440"/>
        <item x="2425"/>
        <item x="3499"/>
        <item x="1049"/>
        <item x="2947"/>
        <item x="382"/>
        <item x="467"/>
        <item x="136"/>
        <item x="461"/>
        <item x="2812"/>
        <item x="2859"/>
        <item x="1025"/>
        <item x="353"/>
        <item x="468"/>
        <item x="1920"/>
        <item x="3267"/>
        <item x="832"/>
        <item x="2779"/>
        <item x="2642"/>
        <item x="423"/>
        <item x="1486"/>
        <item x="2408"/>
        <item x="452"/>
        <item x="892"/>
        <item x="2406"/>
        <item x="822"/>
        <item x="1695"/>
        <item x="2399"/>
        <item x="2383"/>
        <item x="1233"/>
        <item x="2381"/>
        <item x="1041"/>
        <item x="380"/>
        <item x="128"/>
        <item x="3043"/>
        <item x="2362"/>
        <item x="3318"/>
        <item x="3032"/>
        <item x="2440"/>
        <item x="3007"/>
        <item x="1256"/>
        <item x="1146"/>
        <item x="1206"/>
        <item x="1191"/>
        <item x="330"/>
        <item x="1633"/>
        <item x="79"/>
        <item x="2447"/>
        <item x="352"/>
        <item x="469"/>
        <item x="1121"/>
        <item x="1264"/>
        <item x="2354"/>
        <item x="408"/>
        <item x="285"/>
        <item x="863"/>
        <item x="1029"/>
        <item x="2429"/>
        <item x="1749"/>
        <item x="2646"/>
        <item x="1007"/>
        <item x="2924"/>
        <item x="633"/>
        <item x="142"/>
        <item x="1461"/>
        <item x="2445"/>
        <item x="2982"/>
        <item x="1173"/>
        <item x="2318"/>
        <item x="1599"/>
        <item x="379"/>
        <item x="1625"/>
        <item x="1521"/>
        <item x="1623"/>
        <item x="1158"/>
        <item x="1592"/>
        <item x="2825"/>
        <item x="3398"/>
        <item x="2129"/>
        <item x="960"/>
        <item x="1575"/>
        <item x="2192"/>
        <item x="2223"/>
        <item x="1269"/>
        <item x="550"/>
        <item x="2961"/>
        <item x="1701"/>
        <item x="538"/>
        <item x="1649"/>
        <item x="1055"/>
        <item x="958"/>
        <item x="429"/>
        <item x="2997"/>
        <item x="1136"/>
        <item x="357"/>
        <item x="541"/>
        <item x="1732"/>
        <item x="2796"/>
        <item x="1510"/>
        <item x="1138"/>
        <item x="1517"/>
        <item x="2347"/>
        <item x="174"/>
        <item x="2846"/>
        <item x="2738"/>
        <item x="1258"/>
        <item x="430"/>
        <item x="2621"/>
        <item x="2975"/>
        <item x="867"/>
        <item x="711"/>
        <item x="334"/>
        <item x="2778"/>
        <item x="549"/>
        <item x="3326"/>
        <item x="1189"/>
        <item x="3282"/>
        <item x="1271"/>
        <item x="1778"/>
        <item x="544"/>
        <item x="2956"/>
        <item x="3010"/>
        <item x="1622"/>
        <item x="2857"/>
        <item x="1808"/>
        <item x="2740"/>
        <item x="1774"/>
        <item x="1110"/>
        <item x="3442"/>
        <item x="1426"/>
        <item x="2688"/>
        <item x="850"/>
        <item x="929"/>
        <item x="529"/>
        <item x="3473"/>
        <item x="1950"/>
        <item x="2763"/>
        <item x="1679"/>
        <item x="1315"/>
        <item x="2427"/>
        <item x="851"/>
        <item x="866"/>
        <item x="3513"/>
        <item x="2687"/>
        <item x="3361"/>
        <item x="1489"/>
        <item x="3504"/>
        <item x="839"/>
        <item x="2633"/>
        <item x="3013"/>
        <item x="2400"/>
        <item x="3489"/>
        <item x="3064"/>
        <item x="949"/>
        <item x="824"/>
        <item x="726"/>
        <item x="2977"/>
        <item x="1898"/>
        <item x="175"/>
        <item x="844"/>
        <item x="1501"/>
        <item x="1074"/>
        <item x="1096"/>
        <item x="864"/>
        <item x="81"/>
        <item x="1987"/>
        <item x="797"/>
        <item x="2949"/>
        <item x="1791"/>
        <item x="988"/>
        <item x="2966"/>
        <item x="1239"/>
        <item x="143"/>
        <item x="401"/>
        <item x="2321"/>
        <item x="2650"/>
        <item x="1472"/>
        <item x="2641"/>
        <item x="3193"/>
        <item x="1245"/>
        <item x="454"/>
        <item x="1441"/>
        <item x="603"/>
        <item x="2739"/>
        <item x="1420"/>
        <item x="3213"/>
        <item x="1328"/>
        <item x="1214"/>
        <item x="540"/>
        <item x="77"/>
        <item x="2387"/>
        <item x="946"/>
        <item x="1634"/>
        <item x="3295"/>
        <item x="1067"/>
        <item x="484"/>
        <item x="1696"/>
        <item x="943"/>
        <item x="2426"/>
        <item x="840"/>
        <item x="3507"/>
        <item x="1234"/>
        <item x="632"/>
        <item x="2805"/>
        <item x="957"/>
        <item x="2516"/>
        <item x="3025"/>
        <item x="1494"/>
        <item x="984"/>
        <item x="398"/>
        <item x="1998"/>
        <item x="829"/>
        <item x="2331"/>
        <item x="177"/>
        <item x="2577"/>
        <item x="560"/>
        <item x="410"/>
        <item x="3069"/>
        <item x="1523"/>
        <item x="2629"/>
        <item x="2444"/>
        <item x="3534"/>
        <item x="1728"/>
        <item x="868"/>
        <item x="449"/>
        <item x="1584"/>
        <item x="1775"/>
        <item x="2130"/>
        <item x="1349"/>
        <item x="3020"/>
        <item x="557"/>
        <item x="3102"/>
        <item x="1831"/>
        <item x="3029"/>
        <item x="1954"/>
        <item x="1167"/>
        <item x="462"/>
        <item x="1365"/>
        <item x="3172"/>
        <item x="3159"/>
        <item x="2532"/>
        <item x="2029"/>
        <item x="2640"/>
        <item x="1229"/>
        <item x="3119"/>
        <item x="2623"/>
        <item x="968"/>
        <item x="455"/>
        <item x="1226"/>
        <item x="3203"/>
        <item x="3182"/>
        <item x="669"/>
        <item x="2884"/>
        <item x="3079"/>
        <item x="3501"/>
        <item x="2609"/>
        <item x="1962"/>
        <item x="893"/>
        <item x="3018"/>
        <item x="3495"/>
        <item x="2424"/>
        <item x="2014"/>
        <item x="3325"/>
        <item x="2898"/>
        <item x="548"/>
        <item x="1209"/>
        <item x="1731"/>
        <item x="1872"/>
        <item x="1512"/>
        <item x="437"/>
        <item x="836"/>
        <item x="3188"/>
        <item x="507"/>
        <item x="3208"/>
        <item x="1853"/>
        <item x="1411"/>
        <item x="3530"/>
        <item x="671"/>
        <item x="1674"/>
        <item x="1142"/>
        <item x="2313"/>
        <item x="2940"/>
        <item x="1272"/>
        <item x="1656"/>
        <item x="1208"/>
        <item x="1283"/>
        <item x="1652"/>
        <item x="2607"/>
        <item x="411"/>
        <item x="10"/>
        <item x="2578"/>
        <item x="2764"/>
        <item x="2166"/>
        <item x="1086"/>
        <item x="925"/>
        <item x="2534"/>
        <item x="1763"/>
        <item x="3091"/>
        <item x="861"/>
        <item x="2978"/>
        <item x="2382"/>
        <item x="458"/>
        <item x="3443"/>
        <item x="278"/>
        <item x="1688"/>
        <item x="1145"/>
        <item x="2567"/>
        <item x="828"/>
        <item x="3112"/>
        <item x="344"/>
        <item x="3445"/>
        <item x="2249"/>
        <item x="2848"/>
        <item x="1933"/>
        <item x="1205"/>
        <item x="1896"/>
        <item x="3162"/>
        <item x="1680"/>
        <item x="425"/>
        <item x="568"/>
        <item x="3027"/>
        <item x="1650"/>
        <item x="1128"/>
        <item x="3211"/>
        <item x="562"/>
        <item x="1821"/>
        <item x="279"/>
        <item x="2693"/>
        <item x="1951"/>
        <item x="542"/>
        <item x="2300"/>
        <item x="1319"/>
        <item x="2714"/>
        <item x="3281"/>
        <item x="3184"/>
        <item x="3301"/>
        <item x="1691"/>
        <item x="2645"/>
        <item x="3456"/>
        <item x="1192"/>
        <item x="945"/>
        <item x="1889"/>
        <item x="2785"/>
        <item x="2329"/>
        <item x="1636"/>
        <item x="1932"/>
        <item x="3286"/>
        <item x="2533"/>
        <item x="1903"/>
        <item x="886"/>
        <item x="1011"/>
        <item x="2731"/>
        <item x="3137"/>
        <item x="2787"/>
        <item x="890"/>
        <item x="1921"/>
        <item x="3158"/>
        <item x="3108"/>
        <item x="2333"/>
        <item x="26"/>
        <item x="456"/>
        <item x="2049"/>
        <item x="2350"/>
        <item x="3002"/>
        <item x="1231"/>
        <item x="906"/>
        <item x="3202"/>
        <item x="1326"/>
        <item x="1295"/>
        <item x="1028"/>
        <item x="1415"/>
        <item x="2505"/>
        <item x="3269"/>
        <item x="3008"/>
        <item x="3141"/>
        <item x="3480"/>
        <item x="853"/>
        <item x="825"/>
        <item x="1246"/>
        <item x="1931"/>
        <item x="1891"/>
        <item x="2171"/>
        <item x="1579"/>
        <item x="910"/>
        <item x="2525"/>
        <item x="1590"/>
        <item x="1825"/>
        <item x="539"/>
        <item x="983"/>
        <item x="1463"/>
        <item x="1606"/>
        <item x="336"/>
        <item x="422"/>
        <item x="547"/>
        <item x="894"/>
        <item x="2423"/>
        <item x="1727"/>
        <item x="2531"/>
        <item x="2320"/>
        <item x="3252"/>
        <item x="1522"/>
        <item x="2572"/>
        <item x="340"/>
        <item x="2238"/>
        <item x="843"/>
        <item x="1518"/>
        <item x="213"/>
        <item x="2311"/>
        <item x="940"/>
        <item x="3153"/>
        <item x="3446"/>
        <item x="1969"/>
        <item x="1204"/>
        <item x="2733"/>
        <item x="1496"/>
        <item x="1466"/>
        <item x="2502"/>
        <item x="3554"/>
        <item x="1684"/>
        <item x="2277"/>
        <item x="2829"/>
        <item x="2969"/>
        <item x="1169"/>
        <item x="761"/>
        <item x="1812"/>
        <item x="3478"/>
        <item x="3365"/>
        <item x="2643"/>
        <item x="1906"/>
        <item x="606"/>
        <item x="2048"/>
        <item x="3292"/>
        <item x="350"/>
        <item x="1646"/>
        <item x="933"/>
        <item x="569"/>
        <item x="2379"/>
        <item x="1281"/>
        <item x="1401"/>
        <item x="2251"/>
        <item x="2988"/>
        <item x="1241"/>
        <item x="1130"/>
        <item x="2743"/>
        <item x="3483"/>
        <item x="1676"/>
        <item x="823"/>
        <item x="2334"/>
        <item x="400"/>
        <item x="889"/>
        <item x="2889"/>
        <item x="1977"/>
        <item x="1647"/>
        <item x="1430"/>
        <item x="1176"/>
        <item x="406"/>
        <item x="1811"/>
        <item x="1577"/>
        <item x="3101"/>
        <item x="1216"/>
        <item x="818"/>
        <item x="347"/>
        <item x="1348"/>
        <item x="2319"/>
        <item x="2619"/>
        <item x="2328"/>
        <item x="2501"/>
        <item x="2575"/>
        <item x="1819"/>
        <item x="1195"/>
        <item x="2168"/>
        <item x="2317"/>
        <item x="3413"/>
        <item x="1002"/>
        <item x="1224"/>
        <item x="2705"/>
        <item x="3204"/>
        <item x="2762"/>
        <item x="111"/>
        <item x="1223"/>
        <item x="1198"/>
        <item x="2535"/>
        <item x="1824"/>
        <item x="3264"/>
        <item x="564"/>
        <item x="137"/>
        <item x="2783"/>
        <item x="2963"/>
        <item x="1809"/>
        <item x="1396"/>
        <item x="951"/>
        <item x="3163"/>
        <item x="724"/>
        <item x="2372"/>
        <item x="3060"/>
        <item x="1423"/>
        <item x="3080"/>
        <item x="670"/>
        <item x="1970"/>
        <item x="1439"/>
        <item x="1712"/>
        <item x="1309"/>
        <item x="3015"/>
        <item x="596"/>
        <item x="3003"/>
        <item x="579"/>
        <item x="3239"/>
        <item x="3189"/>
        <item x="2507"/>
        <item x="2748"/>
        <item x="1072"/>
        <item x="595"/>
        <item x="1448"/>
        <item x="3294"/>
        <item x="494"/>
        <item x="1503"/>
        <item x="3092"/>
        <item x="3077"/>
        <item x="1935"/>
        <item x="3100"/>
        <item x="1179"/>
        <item x="1833"/>
        <item x="3023"/>
        <item x="758"/>
        <item x="1890"/>
        <item x="2497"/>
        <item x="584"/>
        <item x="2360"/>
        <item x="2760"/>
        <item x="959"/>
        <item x="3327"/>
        <item x="898"/>
        <item x="1307"/>
        <item x="3505"/>
        <item x="1689"/>
        <item x="3209"/>
        <item x="1069"/>
        <item x="509"/>
        <item x="1947"/>
        <item x="827"/>
        <item x="1308"/>
        <item x="2172"/>
        <item x="3511"/>
        <item x="3363"/>
        <item x="1211"/>
        <item x="1487"/>
        <item x="1513"/>
        <item x="3036"/>
        <item x="3014"/>
        <item x="883"/>
        <item x="697"/>
        <item x="2170"/>
        <item x="1870"/>
        <item x="1215"/>
        <item x="1469"/>
        <item x="2636"/>
        <item x="3467"/>
        <item x="148"/>
        <item x="661"/>
        <item x="405"/>
        <item x="2555"/>
        <item x="1267"/>
        <item x="1685"/>
        <item x="1232"/>
        <item x="2726"/>
        <item x="3074"/>
        <item x="546"/>
        <item x="404"/>
        <item x="1342"/>
        <item x="420"/>
        <item x="2861"/>
        <item x="335"/>
        <item x="897"/>
        <item x="2456"/>
        <item x="2367"/>
        <item x="2503"/>
        <item x="811"/>
        <item x="1081"/>
        <item x="2345"/>
        <item x="3348"/>
        <item x="1785"/>
        <item x="2457"/>
        <item x="1976"/>
        <item x="1846"/>
        <item x="1616"/>
        <item x="3287"/>
        <item x="1220"/>
        <item x="3481"/>
        <item x="2686"/>
        <item x="1197"/>
        <item x="665"/>
        <item x="1601"/>
        <item x="1187"/>
        <item x="1021"/>
        <item x="2195"/>
        <item x="2528"/>
        <item x="1726"/>
        <item x="3148"/>
        <item x="1986"/>
        <item x="2542"/>
        <item x="2529"/>
        <item x="2023"/>
        <item x="3529"/>
        <item x="1284"/>
        <item x="1341"/>
        <item x="3175"/>
        <item x="801"/>
        <item x="2515"/>
        <item x="2308"/>
        <item x="1883"/>
        <item x="3166"/>
        <item x="2932"/>
        <item x="1658"/>
        <item x="3423"/>
        <item x="1238"/>
        <item x="3207"/>
        <item x="399"/>
        <item x="1789"/>
        <item x="2761"/>
        <item x="3288"/>
        <item x="3322"/>
        <item x="1663"/>
        <item x="1186"/>
        <item x="283"/>
        <item x="1869"/>
        <item x="2843"/>
        <item x="3335"/>
        <item x="2255"/>
        <item x="3515"/>
        <item x="904"/>
        <item x="1585"/>
        <item x="2527"/>
        <item x="20"/>
        <item x="1926"/>
        <item x="3496"/>
        <item x="3065"/>
        <item x="3081"/>
        <item x="1387"/>
        <item x="2699"/>
        <item x="3310"/>
        <item x="333"/>
        <item x="1045"/>
        <item x="1063"/>
        <item x="3022"/>
        <item x="1596"/>
        <item x="2579"/>
        <item x="1940"/>
        <item x="1985"/>
        <item x="3045"/>
        <item x="1615"/>
        <item x="1164"/>
        <item x="1141"/>
        <item x="3546"/>
        <item x="1310"/>
        <item x="1934"/>
        <item x="1944"/>
        <item x="2310"/>
        <item x="3532"/>
        <item x="281"/>
        <item x="1263"/>
        <item x="3124"/>
        <item x="1268"/>
        <item x="224"/>
        <item x="3425"/>
        <item x="2164"/>
        <item x="1687"/>
        <item x="2644"/>
        <item x="3021"/>
        <item x="3197"/>
        <item x="885"/>
        <item x="1329"/>
        <item x="1350"/>
        <item x="3353"/>
        <item x="1218"/>
        <item x="2968"/>
        <item x="1327"/>
        <item x="604"/>
        <item x="658"/>
        <item x="1254"/>
        <item x="3296"/>
        <item x="1900"/>
        <item x="321"/>
        <item x="3479"/>
        <item x="3493"/>
        <item x="2069"/>
        <item x="1012"/>
        <item x="3154"/>
        <item x="2860"/>
        <item x="982"/>
        <item x="1602"/>
        <item x="2928"/>
        <item x="3284"/>
        <item x="830"/>
        <item x="1668"/>
        <item x="2394"/>
        <item x="2888"/>
        <item x="2421"/>
        <item x="1156"/>
        <item x="345"/>
        <item x="1478"/>
        <item x="2986"/>
        <item x="528"/>
        <item x="3293"/>
        <item x="1161"/>
        <item x="3146"/>
        <item x="3337"/>
        <item x="3334"/>
        <item x="3169"/>
        <item x="2571"/>
        <item x="1155"/>
        <item x="1751"/>
        <item x="2473"/>
        <item x="354"/>
        <item x="3333"/>
        <item x="605"/>
        <item x="1178"/>
        <item x="1225"/>
        <item x="2998"/>
        <item x="2929"/>
        <item x="888"/>
        <item x="3531"/>
        <item x="1968"/>
        <item x="91"/>
        <item x="1984"/>
        <item x="698"/>
        <item x="2005"/>
        <item x="3482"/>
        <item x="2282"/>
        <item x="1659"/>
        <item x="1981"/>
        <item x="884"/>
        <item x="860"/>
        <item x="2950"/>
        <item x="1568"/>
        <item x="2393"/>
        <item x="838"/>
        <item x="2389"/>
        <item x="597"/>
        <item x="2566"/>
        <item x="1713"/>
        <item x="3254"/>
        <item x="2798"/>
        <item x="810"/>
        <item x="1710"/>
        <item x="1171"/>
        <item x="3118"/>
        <item x="3331"/>
        <item x="1576"/>
        <item x="1148"/>
        <item x="1657"/>
        <item x="1222"/>
        <item x="1711"/>
        <item x="1421"/>
        <item x="3424"/>
        <item x="85"/>
        <item x="1725"/>
        <item x="1651"/>
        <item x="2316"/>
        <item x="236"/>
        <item x="1740"/>
        <item x="2892"/>
        <item x="869"/>
        <item x="663"/>
        <item x="1620"/>
        <item x="2126"/>
        <item x="1653"/>
        <item x="2478"/>
        <item x="328"/>
        <item x="848"/>
        <item x="1700"/>
        <item x="2380"/>
        <item x="1213"/>
        <item x="2995"/>
        <item x="1180"/>
        <item x="3216"/>
        <item x="1704"/>
        <item x="1265"/>
        <item x="2538"/>
        <item x="704"/>
        <item x="2985"/>
        <item x="1364"/>
        <item x="1779"/>
        <item x="1753"/>
        <item x="608"/>
        <item x="767"/>
        <item x="255"/>
        <item x="1654"/>
        <item x="2479"/>
        <item x="348"/>
        <item x="1957"/>
        <item x="1611"/>
        <item x="728"/>
        <item x="1502"/>
        <item x="1453"/>
        <item x="3117"/>
        <item x="3330"/>
        <item x="2765"/>
        <item x="1635"/>
        <item x="1534"/>
        <item x="2169"/>
        <item x="2351"/>
        <item x="3342"/>
        <item x="3441"/>
        <item x="2463"/>
        <item x="2952"/>
        <item x="2526"/>
        <item x="2020"/>
        <item x="3329"/>
        <item x="1703"/>
        <item x="239"/>
        <item x="2437"/>
        <item x="1733"/>
        <item x="907"/>
        <item x="2309"/>
        <item x="524"/>
        <item x="1692"/>
        <item x="3256"/>
        <item x="3280"/>
        <item x="487"/>
        <item x="3336"/>
        <item x="1660"/>
        <item x="3190"/>
        <item x="1588"/>
        <item x="1479"/>
        <item x="5"/>
        <item x="2682"/>
        <item x="2096"/>
        <item x="1771"/>
        <item x="1810"/>
        <item x="332"/>
        <item x="25"/>
        <item x="2477"/>
        <item x="1827"/>
        <item x="3105"/>
        <item x="2536"/>
        <item x="2517"/>
        <item x="2605"/>
        <item x="18"/>
        <item x="3078"/>
        <item x="1227"/>
        <item x="1219"/>
        <item x="2163"/>
        <item x="3273"/>
        <item x="887"/>
        <item x="2312"/>
        <item x="1168"/>
        <item x="1235"/>
        <item x="3408"/>
        <item x="3381"/>
        <item x="1837"/>
        <item x="1230"/>
        <item x="1134"/>
        <item x="1879"/>
        <item x="3250"/>
        <item x="3407"/>
        <item x="3512"/>
        <item x="6"/>
        <item x="2071"/>
        <item x="1316"/>
        <item x="3171"/>
        <item x="1266"/>
        <item x="1553"/>
        <item x="1829"/>
        <item x="2656"/>
        <item x="1916"/>
        <item x="2094"/>
        <item x="3389"/>
        <item x="3436"/>
        <item x="2926"/>
        <item x="3011"/>
        <item x="1291"/>
        <item x="1228"/>
        <item x="3185"/>
        <item x="2417"/>
        <item x="248"/>
        <item x="1919"/>
        <item x="109"/>
        <item x="2696"/>
        <item x="1591"/>
        <item x="3320"/>
        <item x="3144"/>
        <item x="952"/>
        <item x="3317"/>
        <item x="1413"/>
        <item x="1698"/>
        <item x="1662"/>
        <item x="3302"/>
        <item x="1909"/>
        <item x="1708"/>
        <item x="2468"/>
        <item x="374"/>
        <item x="2973"/>
        <item x="3270"/>
        <item x="1612"/>
        <item x="337"/>
        <item x="1828"/>
        <item x="1468"/>
        <item x="1979"/>
        <item x="1467"/>
        <item x="3347"/>
        <item x="681"/>
        <item x="3177"/>
        <item x="3518"/>
        <item x="1380"/>
        <item x="574"/>
        <item x="1001"/>
        <item x="1465"/>
        <item x="2759"/>
        <item x="2368"/>
        <item x="2322"/>
        <item x="2455"/>
        <item x="1677"/>
        <item x="2160"/>
        <item x="500"/>
        <item x="2307"/>
        <item x="2250"/>
        <item x="1536"/>
        <item x="2734"/>
        <item x="1604"/>
        <item x="2301"/>
        <item x="3316"/>
        <item x="1362"/>
        <item x="601"/>
        <item x="1402"/>
        <item x="3006"/>
        <item x="1750"/>
        <item x="936"/>
        <item x="3370"/>
        <item x="1570"/>
        <item x="1927"/>
        <item x="2101"/>
        <item x="3338"/>
        <item x="3414"/>
        <item x="2466"/>
        <item x="1244"/>
        <item x="1693"/>
        <item x="3168"/>
        <item x="3178"/>
        <item x="1904"/>
        <item x="727"/>
        <item x="3543"/>
        <item x="1826"/>
        <item x="1061"/>
        <item x="3491"/>
        <item x="1559"/>
        <item x="317"/>
        <item x="481"/>
        <item x="2218"/>
        <item x="2769"/>
        <item x="659"/>
        <item x="3120"/>
        <item x="2415"/>
        <item x="1554"/>
        <item x="3199"/>
        <item x="1193"/>
        <item x="2856"/>
        <item x="3308"/>
        <item x="3283"/>
        <item x="8"/>
        <item x="3224"/>
        <item x="2197"/>
        <item x="729"/>
        <item x="3343"/>
        <item x="2766"/>
        <item x="3009"/>
        <item x="2275"/>
        <item x="3373"/>
        <item x="2500"/>
        <item x="1765"/>
        <item x="3533"/>
        <item x="3053"/>
        <item x="3386"/>
        <item x="90"/>
        <item x="2037"/>
        <item x="444"/>
        <item x="412"/>
        <item x="859"/>
        <item x="1603"/>
        <item x="3268"/>
        <item x="1706"/>
        <item x="3298"/>
        <item x="1030"/>
        <item x="3299"/>
        <item x="2918"/>
        <item x="3553"/>
        <item x="1306"/>
        <item x="1054"/>
        <item x="9"/>
        <item x="2676"/>
        <item x="1736"/>
        <item x="329"/>
        <item x="3497"/>
        <item x="1738"/>
        <item x="1552"/>
        <item x="1437"/>
        <item x="1735"/>
        <item x="1048"/>
        <item x="1252"/>
        <item x="3492"/>
        <item x="3044"/>
        <item x="2124"/>
        <item x="3000"/>
        <item x="1024"/>
        <item x="1372"/>
        <item x="3131"/>
        <item x="1207"/>
        <item x="909"/>
        <item x="1578"/>
        <item x="282"/>
        <item x="450"/>
        <item x="1901"/>
        <item x="2413"/>
        <item x="2732"/>
        <item x="3372"/>
        <item x="667"/>
        <item x="3472"/>
        <item x="1278"/>
        <item x="503"/>
        <item x="2252"/>
        <item x="1340"/>
        <item x="1813"/>
        <item x="722"/>
        <item x="319"/>
        <item x="421"/>
        <item x="2993"/>
        <item x="3156"/>
        <item x="598"/>
        <item x="1556"/>
        <item x="3474"/>
        <item x="1255"/>
        <item x="1459"/>
        <item x="2541"/>
        <item x="2256"/>
        <item x="1200"/>
        <item x="3243"/>
        <item x="499"/>
        <item x="808"/>
        <item x="1928"/>
        <item x="1259"/>
        <item x="1175"/>
        <item x="2036"/>
        <item x="3374"/>
        <item x="1773"/>
        <item x="3094"/>
        <item x="2281"/>
        <item x="3395"/>
        <item x="2989"/>
        <item x="1786"/>
        <item x="3378"/>
        <item x="2074"/>
        <item x="243"/>
        <item x="3058"/>
        <item x="1924"/>
        <item x="3536"/>
        <item x="3332"/>
        <item x="3140"/>
        <item x="391"/>
        <item x="3535"/>
        <item x="3375"/>
        <item x="609"/>
        <item x="125"/>
        <item x="3181"/>
        <item x="1202"/>
        <item x="3289"/>
        <item x="1899"/>
        <item x="3451"/>
        <item x="2439"/>
        <item x="2659"/>
        <item x="2039"/>
        <item x="1769"/>
        <item x="3394"/>
        <item x="1772"/>
        <item x="1655"/>
        <item x="3201"/>
        <item x="3305"/>
        <item x="847"/>
        <item x="590"/>
        <item x="1551"/>
        <item x="1446"/>
        <item x="3192"/>
        <item x="1865"/>
        <item x="3145"/>
        <item x="1960"/>
        <item x="316"/>
        <item x="563"/>
        <item x="2341"/>
        <item x="668"/>
        <item x="788"/>
        <item x="2941"/>
        <item x="3379"/>
        <item x="2658"/>
        <item x="1690"/>
        <item x="1384"/>
        <item x="1664"/>
        <item x="1132"/>
        <item x="342"/>
        <item x="1015"/>
        <item x="1637"/>
        <item x="2944"/>
        <item x="3341"/>
        <item x="2304"/>
        <item x="2418"/>
        <item x="3257"/>
        <item x="3498"/>
        <item x="1980"/>
        <item x="2771"/>
        <item x="1305"/>
        <item x="3346"/>
        <item x="3260"/>
        <item x="3205"/>
        <item x="1288"/>
        <item x="2480"/>
        <item x="930"/>
        <item x="3167"/>
        <item x="792"/>
        <item x="2000"/>
        <item x="1407"/>
        <item x="809"/>
        <item x="3129"/>
        <item x="466"/>
        <item x="3311"/>
        <item x="1005"/>
        <item x="2248"/>
        <item x="3024"/>
        <item x="1767"/>
        <item x="2593"/>
        <item x="1360"/>
        <item x="2340"/>
        <item x="1525"/>
        <item x="1863"/>
        <item x="2019"/>
        <item x="1474"/>
        <item x="1982"/>
        <item x="2499"/>
        <item x="2193"/>
        <item x="267"/>
        <item x="504"/>
        <item x="2044"/>
        <item x="1412"/>
        <item x="3278"/>
        <item x="2999"/>
        <item x="2118"/>
        <item x="17"/>
        <item x="2043"/>
        <item x="2498"/>
        <item x="3403"/>
        <item x="3397"/>
        <item x="731"/>
        <item x="1614"/>
        <item x="1978"/>
        <item x="2325"/>
        <item x="2165"/>
        <item x="1312"/>
        <item x="891"/>
        <item x="1447"/>
        <item x="2079"/>
        <item x="3339"/>
        <item x="3180"/>
        <item x="2264"/>
        <item x="1428"/>
        <item x="3477"/>
        <item x="122"/>
        <item x="3038"/>
        <item x="415"/>
        <item x="3500"/>
        <item x="2677"/>
        <item x="602"/>
        <item x="2744"/>
        <item x="386"/>
        <item x="1558"/>
        <item x="3290"/>
        <item x="2806"/>
        <item x="1320"/>
        <item x="1720"/>
        <item x="2375"/>
        <item x="3340"/>
        <item x="358"/>
        <item x="937"/>
        <item x="440"/>
        <item x="3135"/>
        <item x="3470"/>
        <item x="2215"/>
        <item x="1166"/>
        <item x="1746"/>
        <item x="45"/>
        <item x="2013"/>
        <item x="3484"/>
        <item x="1051"/>
        <item x="3147"/>
        <item x="3309"/>
        <item x="1613"/>
        <item x="83"/>
        <item x="2692"/>
        <item x="1052"/>
        <item x="2496"/>
        <item x="3095"/>
        <item x="2964"/>
        <item x="2481"/>
        <item x="362"/>
        <item x="3214"/>
        <item x="1707"/>
        <item x="1129"/>
        <item x="2795"/>
        <item x="2315"/>
        <item x="1237"/>
        <item x="3447"/>
        <item x="733"/>
        <item x="3087"/>
        <item x="3380"/>
        <item x="2992"/>
        <item x="1922"/>
        <item x="1587"/>
        <item x="2654"/>
        <item x="2996"/>
        <item x="3232"/>
        <item x="3039"/>
        <item x="1856"/>
        <item x="934"/>
        <item x="2302"/>
        <item x="1747"/>
        <item x="3034"/>
        <item x="3093"/>
        <item x="392"/>
        <item x="1983"/>
        <item x="119"/>
        <item x="3"/>
        <item x="261"/>
        <item x="1667"/>
        <item x="2452"/>
        <item x="1363"/>
        <item x="1992"/>
        <item x="1203"/>
        <item x="1914"/>
        <item x="254"/>
        <item x="1917"/>
        <item x="1514"/>
        <item x="3160"/>
        <item x="1378"/>
        <item x="286"/>
        <item x="1249"/>
        <item x="1274"/>
        <item x="3012"/>
        <item x="2373"/>
        <item x="1805"/>
        <item x="947"/>
        <item x="7"/>
        <item x="1884"/>
        <item x="1758"/>
        <item x="3099"/>
        <item x="666"/>
        <item x="1892"/>
        <item x="3324"/>
        <item x="1520"/>
        <item x="1493"/>
        <item x="3251"/>
        <item x="1240"/>
        <item x="1857"/>
        <item x="1626"/>
        <item x="52"/>
        <item x="3262"/>
        <item x="2909"/>
        <item x="89"/>
        <item x="315"/>
        <item x="491"/>
        <item x="2930"/>
        <item x="3236"/>
        <item x="2254"/>
        <item x="2395"/>
        <item x="3215"/>
        <item x="1745"/>
        <item x="651"/>
        <item x="1131"/>
        <item x="57"/>
        <item x="1390"/>
        <item x="1414"/>
        <item x="61"/>
        <item x="1744"/>
        <item x="237"/>
        <item x="129"/>
        <item x="246"/>
        <item x="1260"/>
        <item x="2004"/>
        <item x="2729"/>
        <item x="1761"/>
        <item x="3387"/>
        <item x="2112"/>
        <item x="3319"/>
        <item x="1849"/>
        <item x="2835"/>
        <item x="1444"/>
        <item x="1912"/>
        <item x="2565"/>
        <item x="1838"/>
        <item x="1382"/>
        <item x="367"/>
        <item x="1057"/>
        <item x="323"/>
        <item x="766"/>
        <item x="3059"/>
        <item x="710"/>
        <item x="1170"/>
        <item x="3279"/>
        <item x="1330"/>
        <item x="2474"/>
        <item x="1555"/>
        <item x="1445"/>
        <item x="2711"/>
        <item x="534"/>
        <item x="393"/>
        <item x="1324"/>
        <item x="402"/>
        <item x="3390"/>
        <item x="113"/>
        <item x="2584"/>
        <item x="882"/>
        <item x="1154"/>
        <item x="2652"/>
        <item x="3030"/>
        <item x="2934"/>
        <item x="2476"/>
        <item x="917"/>
        <item x="3291"/>
        <item x="2638"/>
        <item x="1621"/>
        <item x="3210"/>
        <item x="1317"/>
        <item x="3050"/>
        <item x="719"/>
        <item x="2464"/>
        <item x="489"/>
        <item x="441"/>
        <item x="900"/>
        <item x="1561"/>
        <item x="3196"/>
        <item x="1752"/>
        <item x="2568"/>
        <item x="3377"/>
        <item x="50"/>
        <item x="699"/>
        <item x="112"/>
        <item x="901"/>
        <item x="1630"/>
        <item x="1385"/>
        <item x="1671"/>
        <item x="593"/>
        <item x="60"/>
        <item x="419"/>
        <item x="1629"/>
        <item x="2453"/>
        <item x="1608"/>
        <item x="3539"/>
        <item x="3244"/>
        <item x="110"/>
        <item x="2065"/>
        <item x="2167"/>
        <item x="118"/>
        <item x="3401"/>
        <item x="1792"/>
        <item x="1236"/>
        <item x="1550"/>
        <item x="2115"/>
        <item x="2144"/>
        <item x="972"/>
        <item x="216"/>
        <item x="1618"/>
        <item x="1262"/>
        <item x="3402"/>
        <item x="1321"/>
        <item x="1729"/>
        <item x="721"/>
        <item x="2089"/>
        <item x="1790"/>
        <item x="1182"/>
        <item x="1417"/>
        <item x="1755"/>
        <item x="1619"/>
        <item x="1391"/>
        <item x="2095"/>
        <item x="1519"/>
        <item x="2635"/>
        <item x="3017"/>
        <item x="1354"/>
        <item x="1841"/>
        <item x="1314"/>
        <item x="3506"/>
        <item x="2814"/>
        <item x="1631"/>
        <item x="1504"/>
        <item x="3263"/>
        <item x="2980"/>
        <item x="3026"/>
        <item x="1781"/>
        <item x="1814"/>
        <item x="865"/>
        <item x="1852"/>
        <item x="1557"/>
        <item x="3369"/>
        <item x="424"/>
        <item x="397"/>
        <item x="2299"/>
        <item x="1788"/>
        <item x="2706"/>
        <item x="1127"/>
        <item x="1243"/>
        <item x="3142"/>
        <item x="3121"/>
        <item x="3115"/>
        <item x="3400"/>
        <item x="145"/>
        <item x="3488"/>
        <item x="2938"/>
        <item x="1458"/>
        <item x="3001"/>
        <item x="2374"/>
        <item x="1183"/>
        <item x="2512"/>
        <item x="309"/>
        <item x="1993"/>
        <item x="2242"/>
        <item x="448"/>
        <item x="1386"/>
        <item x="1670"/>
        <item x="1628"/>
        <item x="1185"/>
        <item x="505"/>
        <item x="490"/>
        <item x="1709"/>
        <item x="1544"/>
        <item x="1768"/>
        <item x="964"/>
        <item x="3396"/>
        <item x="21"/>
        <item x="3125"/>
        <item x="2092"/>
        <item x="3085"/>
        <item x="2467"/>
        <item x="798"/>
        <item x="3259"/>
        <item x="1424"/>
        <item x="3490"/>
        <item x="3559"/>
        <item x="1541"/>
        <item x="2143"/>
        <item x="1408"/>
        <item x="1939"/>
        <item x="1694"/>
        <item x="1967"/>
        <item x="702"/>
        <item x="87"/>
        <item x="2707"/>
        <item x="1023"/>
        <item x="211"/>
        <item x="3004"/>
        <item x="1221"/>
        <item x="2698"/>
        <item x="1839"/>
        <item x="2142"/>
        <item x="2015"/>
        <item x="2891"/>
        <item x="84"/>
        <item x="3313"/>
        <item x="586"/>
        <item x="1678"/>
        <item x="387"/>
        <item x="831"/>
        <item x="1287"/>
        <item x="508"/>
        <item x="2715"/>
        <item x="3376"/>
        <item x="3563"/>
        <item x="531"/>
        <item x="1374"/>
        <item x="903"/>
        <item x="2093"/>
        <item x="1793"/>
        <item x="662"/>
        <item x="1194"/>
        <item x="1454"/>
        <item x="1338"/>
        <item x="1492"/>
        <item x="3303"/>
        <item x="967"/>
        <item x="418"/>
        <item x="1296"/>
        <item x="2235"/>
        <item x="2537"/>
        <item x="1864"/>
        <item x="3042"/>
        <item x="1818"/>
        <item x="2874"/>
        <item x="3261"/>
        <item x="92"/>
        <item x="2639"/>
        <item x="1717"/>
        <item x="1842"/>
        <item x="2651"/>
        <item x="2436"/>
        <item x="2196"/>
        <item x="3416"/>
        <item x="1610"/>
        <item x="545"/>
        <item x="835"/>
        <item x="3307"/>
        <item x="3485"/>
        <item x="3226"/>
        <item x="3266"/>
        <item x="705"/>
        <item x="1435"/>
        <item x="117"/>
        <item x="1567"/>
        <item x="1388"/>
        <item x="1830"/>
        <item x="193"/>
        <item x="790"/>
        <item x="3537"/>
        <item x="247"/>
        <item x="2475"/>
        <item x="880"/>
        <item x="2349"/>
        <item x="3109"/>
        <item x="388"/>
        <item x="3344"/>
        <item x="1759"/>
        <item x="3183"/>
        <item x="3415"/>
        <item x="536"/>
        <item x="1915"/>
        <item x="1242"/>
        <item x="2339"/>
        <item x="3557"/>
        <item x="1669"/>
        <item x="1990"/>
        <item x="3097"/>
        <item x="3487"/>
        <item x="322"/>
        <item x="1617"/>
        <item x="3221"/>
        <item x="3223"/>
        <item x="1373"/>
        <item x="1542"/>
        <item x="2786"/>
        <item x="220"/>
        <item x="1393"/>
        <item x="1802"/>
        <item x="3417"/>
        <item x="1481"/>
        <item x="3234"/>
        <item x="1627"/>
        <item x="1832"/>
        <item x="3371"/>
        <item x="1705"/>
        <item x="451"/>
        <item x="2414"/>
        <item x="899"/>
        <item x="1776"/>
        <item x="1366"/>
        <item x="3195"/>
        <item x="3161"/>
        <item x="2793"/>
        <item x="3405"/>
        <item x="1093"/>
        <item x="725"/>
        <item x="3164"/>
        <item x="250"/>
        <item x="1850"/>
        <item x="1313"/>
        <item x="3538"/>
        <item x="2630"/>
        <item x="2412"/>
        <item x="58"/>
        <item x="1450"/>
        <item x="2462"/>
        <item x="3233"/>
        <item x="1004"/>
        <item x="147"/>
        <item x="365"/>
        <item x="2026"/>
        <item x="723"/>
        <item x="2422"/>
        <item x="361"/>
        <item x="764"/>
        <item x="3198"/>
        <item x="1449"/>
        <item x="2114"/>
        <item x="16"/>
        <item x="222"/>
        <item x="1125"/>
        <item x="732"/>
        <item x="3561"/>
        <item x="2540"/>
        <item x="3271"/>
        <item x="1403"/>
        <item x="2392"/>
        <item x="3231"/>
        <item x="1718"/>
        <item x="3031"/>
        <item x="1702"/>
        <item x="3186"/>
        <item x="1719"/>
        <item x="3435"/>
        <item x="170"/>
        <item x="1097"/>
        <item x="2032"/>
        <item x="772"/>
        <item x="3222"/>
        <item x="1037"/>
        <item x="2342"/>
        <item x="1804"/>
        <item x="1816"/>
        <item x="1806"/>
        <item x="3265"/>
        <item x="2469"/>
        <item x="2390"/>
        <item x="2031"/>
        <item x="3354"/>
        <item x="2684"/>
        <item x="2632"/>
        <item x="2822"/>
        <item x="1563"/>
        <item x="2841"/>
        <item x="2120"/>
        <item x="3552"/>
        <item x="1280"/>
        <item x="1908"/>
        <item x="2983"/>
        <item x="1217"/>
        <item x="708"/>
        <item x="1427"/>
        <item x="3345"/>
        <item x="2895"/>
        <item x="1076"/>
        <item x="260"/>
        <item x="395"/>
        <item x="1103"/>
        <item x="896"/>
        <item x="3541"/>
        <item x="1535"/>
        <item x="3510"/>
        <item x="2435"/>
        <item x="789"/>
        <item x="1874"/>
        <item x="3418"/>
        <item x="2690"/>
        <item x="124"/>
        <item x="120"/>
        <item x="1409"/>
        <item x="3399"/>
        <item x="1730"/>
        <item x="1897"/>
        <item x="241"/>
        <item x="971"/>
        <item x="165"/>
        <item x="1632"/>
        <item x="465"/>
        <item x="1303"/>
        <item x="3088"/>
        <item x="1549"/>
        <item x="3228"/>
        <item x="2021"/>
        <item x="1817"/>
        <item x="1460"/>
        <item x="1796"/>
        <item x="2035"/>
        <item x="492"/>
        <item x="591"/>
        <item x="1803"/>
        <item x="979"/>
        <item x="168"/>
        <item x="2419"/>
        <item x="3272"/>
        <item x="3358"/>
        <item x="3391"/>
        <item x="1801"/>
        <item x="3560"/>
        <item x="1351"/>
        <item x="592"/>
        <item x="916"/>
        <item x="1416"/>
        <item x="760"/>
        <item x="1672"/>
        <item x="2942"/>
        <item x="587"/>
        <item x="3314"/>
        <item x="1748"/>
        <item x="905"/>
        <item x="1640"/>
        <item x="3349"/>
        <item x="3274"/>
        <item x="2472"/>
        <item x="2730"/>
        <item x="2040"/>
        <item x="1325"/>
        <item x="3041"/>
        <item x="2033"/>
        <item x="1032"/>
        <item x="3426"/>
        <item x="1994"/>
        <item x="1673"/>
        <item x="1507"/>
        <item x="218"/>
        <item x="310"/>
        <item x="1017"/>
        <item x="977"/>
        <item x="714"/>
        <item x="256"/>
        <item x="1471"/>
        <item x="1873"/>
        <item x="3457"/>
        <item x="2159"/>
        <item x="1989"/>
        <item x="1770"/>
        <item x="804"/>
        <item x="288"/>
        <item x="313"/>
        <item x="3300"/>
        <item x="495"/>
        <item x="976"/>
        <item x="1084"/>
        <item x="1530"/>
        <item x="2719"/>
        <item x="217"/>
        <item x="1509"/>
        <item x="660"/>
        <item x="3364"/>
        <item x="1247"/>
        <item x="42"/>
        <item x="346"/>
        <item x="2191"/>
        <item x="498"/>
        <item x="414"/>
        <item x="2016"/>
        <item x="2416"/>
        <item x="1212"/>
        <item x="1566"/>
        <item x="3126"/>
        <item x="1379"/>
        <item x="3406"/>
        <item x="3090"/>
        <item x="3384"/>
        <item x="1462"/>
        <item x="3452"/>
        <item x="2876"/>
        <item x="3540"/>
        <item x="530"/>
        <item x="2649"/>
        <item x="2657"/>
        <item x="166"/>
        <item x="2370"/>
        <item x="1065"/>
        <item x="1528"/>
        <item x="2752"/>
        <item x="360"/>
        <item x="2306"/>
        <item x="3237"/>
        <item x="67"/>
        <item x="1484"/>
        <item x="2064"/>
        <item x="765"/>
        <item x="3551"/>
        <item x="1564"/>
        <item x="3028"/>
        <item x="1683"/>
        <item x="2066"/>
        <item x="527"/>
        <item x="41"/>
        <item x="245"/>
        <item x="3297"/>
        <item x="390"/>
        <item x="2240"/>
        <item x="1370"/>
        <item x="3562"/>
        <item x="2943"/>
        <item x="341"/>
        <item x="14"/>
        <item x="1807"/>
        <item x="2721"/>
        <item x="2434"/>
        <item x="589"/>
        <item x="1995"/>
        <item x="3306"/>
        <item x="3382"/>
        <item x="2697"/>
        <item x="359"/>
        <item x="3312"/>
        <item x="1787"/>
        <item x="3089"/>
        <item x="44"/>
        <item x="445"/>
        <item x="464"/>
        <item x="1361"/>
        <item x="1639"/>
        <item x="2007"/>
        <item x="2720"/>
        <item x="3494"/>
        <item x="2343"/>
        <item x="679"/>
        <item x="1843"/>
        <item x="1937"/>
        <item x="558"/>
        <item x="806"/>
        <item x="2583"/>
        <item x="2034"/>
        <item x="2854"/>
        <item x="1375"/>
        <item x="677"/>
        <item x="413"/>
        <item x="3111"/>
        <item x="1294"/>
        <item x="1991"/>
        <item x="312"/>
        <item x="2369"/>
        <item x="447"/>
        <item x="2253"/>
        <item x="3323"/>
        <item x="331"/>
        <item x="782"/>
        <item x="2125"/>
        <item x="1533"/>
        <item x="1682"/>
        <item x="3454"/>
        <item x="171"/>
        <item x="532"/>
        <item x="3460"/>
        <item x="1959"/>
        <item x="1099"/>
        <item x="1757"/>
        <item x="1368"/>
        <item x="482"/>
        <item x="3438"/>
        <item x="3367"/>
        <item x="2121"/>
        <item x="973"/>
        <item x="3176"/>
        <item x="366"/>
        <item x="1108"/>
        <item x="1436"/>
        <item x="966"/>
        <item x="19"/>
        <item x="1609"/>
        <item x="678"/>
        <item x="2519"/>
        <item x="1798"/>
        <item x="2911"/>
        <item x="287"/>
        <item x="3420"/>
        <item x="320"/>
        <item x="703"/>
        <item x="2634"/>
        <item x="2090"/>
        <item x="389"/>
        <item x="1835"/>
        <item x="2116"/>
        <item x="701"/>
        <item x="2028"/>
        <item x="1482"/>
        <item x="2774"/>
        <item x="2694"/>
        <item x="435"/>
        <item x="1665"/>
        <item x="385"/>
        <item x="1743"/>
        <item x="167"/>
        <item x="1815"/>
        <item x="2305"/>
        <item x="212"/>
        <item x="384"/>
        <item x="442"/>
        <item x="1527"/>
        <item x="327"/>
        <item x="396"/>
        <item x="3433"/>
        <item x="1035"/>
        <item x="2236"/>
        <item x="525"/>
        <item x="1840"/>
        <item x="394"/>
        <item x="1451"/>
        <item x="1844"/>
        <item x="3063"/>
        <item x="2246"/>
        <item x="116"/>
        <item x="3430"/>
        <item x="559"/>
        <item x="2521"/>
        <item x="187"/>
        <item x="2091"/>
        <item x="1311"/>
        <item x="1845"/>
        <item x="1531"/>
        <item x="1139"/>
        <item x="208"/>
        <item x="1352"/>
        <item x="837"/>
        <item x="3412"/>
        <item x="1358"/>
        <item x="3350"/>
        <item x="1675"/>
        <item x="114"/>
        <item x="2695"/>
        <item x="1085"/>
        <item x="2010"/>
        <item x="242"/>
        <item x="975"/>
        <item x="3123"/>
        <item x="1485"/>
        <item x="1107"/>
        <item x="1868"/>
        <item x="1529"/>
        <item x="1353"/>
        <item x="554"/>
        <item x="2030"/>
        <item x="783"/>
        <item x="2509"/>
        <item x="249"/>
        <item x="1090"/>
        <item x="1526"/>
        <item x="1075"/>
        <item x="2603"/>
        <item x="2113"/>
        <item x="2283"/>
        <item x="3066"/>
        <item x="3428"/>
        <item x="485"/>
        <item x="2214"/>
        <item x="1009"/>
        <item x="1157"/>
        <item x="1546"/>
        <item x="1539"/>
        <item x="2410"/>
        <item x="3107"/>
        <item x="325"/>
        <item x="2162"/>
        <item x="2510"/>
        <item x="4"/>
        <item x="290"/>
        <item x="990"/>
        <item x="1323"/>
        <item x="3304"/>
        <item x="1470"/>
        <item x="1080"/>
        <item x="326"/>
        <item x="2936"/>
        <item x="1800"/>
        <item x="730"/>
        <item x="2564"/>
        <item x="2213"/>
        <item x="2234"/>
        <item x="2174"/>
        <item x="463"/>
        <item x="501"/>
        <item x="1595"/>
        <item x="1782"/>
        <item x="1490"/>
        <item x="2826"/>
        <item x="1336"/>
        <item x="3383"/>
        <item x="2836"/>
        <item x="1359"/>
        <item x="712"/>
        <item x="1073"/>
        <item x="3392"/>
        <item x="2460"/>
        <item x="673"/>
        <item x="800"/>
        <item x="1332"/>
        <item x="3113"/>
        <item x="3393"/>
        <item x="1866"/>
        <item x="682"/>
        <item x="502"/>
        <item x="2708"/>
        <item x="537"/>
        <item x="1369"/>
        <item x="240"/>
        <item x="1532"/>
        <item x="3110"/>
        <item x="2391"/>
        <item x="3138"/>
        <item x="680"/>
        <item x="3549"/>
        <item x="2024"/>
        <item x="2324"/>
        <item x="3564"/>
        <item x="1399"/>
        <item x="1543"/>
        <item x="2194"/>
        <item x="2523"/>
        <item x="918"/>
        <item x="1498"/>
        <item x="438"/>
        <item x="3082"/>
        <item x="2933"/>
        <item x="1333"/>
        <item x="51"/>
        <item x="12"/>
        <item x="3542"/>
        <item x="1645"/>
        <item x="816"/>
        <item x="1996"/>
        <item x="2465"/>
        <item x="1586"/>
        <item x="436"/>
        <item x="2908"/>
        <item x="284"/>
        <item x="417"/>
        <item x="1834"/>
        <item x="127"/>
        <item x="3427"/>
        <item x="2123"/>
        <item x="339"/>
        <item x="3410"/>
        <item x="1455"/>
        <item x="1357"/>
        <item x="1019"/>
        <item x="1797"/>
        <item x="169"/>
        <item x="1836"/>
        <item x="1339"/>
        <item x="1540"/>
        <item x="2653"/>
        <item x="2454"/>
        <item x="796"/>
        <item x="1583"/>
        <item x="2570"/>
        <item x="244"/>
        <item x="3229"/>
        <item x="2"/>
        <item x="3150"/>
        <item x="3545"/>
        <item x="88"/>
        <item x="2012"/>
        <item x="291"/>
        <item x="3275"/>
        <item x="3096"/>
        <item x="1122"/>
        <item x="364"/>
        <item x="146"/>
        <item x="1331"/>
        <item x="3366"/>
        <item x="493"/>
        <item x="3114"/>
        <item x="1480"/>
        <item x="15"/>
        <item x="1431"/>
        <item x="2912"/>
        <item x="2751"/>
        <item x="3558"/>
        <item x="11"/>
        <item x="93"/>
        <item x="1383"/>
        <item x="2067"/>
        <item x="2522"/>
        <item x="3544"/>
        <item x="3139"/>
        <item x="2279"/>
        <item x="920"/>
        <item x="2025"/>
        <item x="1538"/>
        <item x="164"/>
        <item x="970"/>
        <item x="2042"/>
        <item x="2003"/>
        <item x="3434"/>
        <item x="3439"/>
        <item x="188"/>
        <item x="3449"/>
        <item x="2700"/>
        <item x="3450"/>
        <item x="238"/>
        <item x="2582"/>
        <item x="1799"/>
        <item x="881"/>
        <item x="1322"/>
        <item x="2006"/>
        <item x="1008"/>
        <item x="1594"/>
        <item x="2371"/>
        <item x="3194"/>
        <item x="833"/>
        <item x="416"/>
        <item x="1737"/>
        <item x="1524"/>
        <item x="1930"/>
        <item x="3368"/>
        <item x="1143"/>
        <item x="1452"/>
        <item x="343"/>
        <item x="1724"/>
        <item x="2011"/>
        <item x="849"/>
        <item x="1760"/>
        <item x="1545"/>
        <item x="1997"/>
        <item x="1115"/>
        <item x="2683"/>
        <item x="2569"/>
        <item x="2847"/>
        <item x="1497"/>
        <item x="3362"/>
        <item x="3225"/>
        <item x="1298"/>
        <item x="2276"/>
        <item x="2772"/>
        <item x="3170"/>
        <item x="3218"/>
        <item x="1277"/>
        <item x="852"/>
        <item x="1105"/>
        <item x="3411"/>
        <item x="2073"/>
        <item x="3076"/>
        <item x="1318"/>
        <item x="3357"/>
        <item x="71"/>
        <item x="2161"/>
        <item x="56"/>
        <item x="1289"/>
        <item x="2712"/>
        <item x="3206"/>
        <item x="2002"/>
        <item x="1395"/>
        <item x="221"/>
        <item x="2823"/>
        <item x="588"/>
        <item x="1144"/>
        <item x="3351"/>
        <item x="280"/>
        <item x="2217"/>
        <item x="675"/>
        <item x="2903"/>
        <item x="1562"/>
        <item x="1335"/>
        <item x="2001"/>
        <item x="253"/>
        <item x="2893"/>
        <item x="2280"/>
        <item x="3132"/>
        <item x="2913"/>
        <item x="219"/>
        <item x="1165"/>
        <item x="1642"/>
        <item x="1907"/>
        <item x="1723"/>
        <item x="2574"/>
        <item x="2284"/>
        <item x="2880"/>
        <item x="1783"/>
        <item x="1999"/>
        <item x="1505"/>
        <item x="2314"/>
        <item x="2899"/>
        <item x="2777"/>
        <item x="1820"/>
        <item x="2897"/>
        <item x="908"/>
        <item x="3437"/>
        <item x="1762"/>
        <item x="1377"/>
        <item x="2247"/>
        <item x="2685"/>
        <item x="2852"/>
        <item x="2344"/>
        <item x="258"/>
        <item x="1091"/>
        <item x="1119"/>
        <item x="911"/>
        <item x="1547"/>
        <item x="1282"/>
        <item x="2117"/>
        <item x="1784"/>
        <item x="1102"/>
        <item x="1500"/>
        <item x="3471"/>
        <item x="1302"/>
        <item x="720"/>
        <item x="3179"/>
        <item x="2886"/>
        <item x="2801"/>
        <item x="2243"/>
        <item x="2216"/>
        <item x="1088"/>
        <item x="3276"/>
        <item x="2511"/>
        <item x="1867"/>
        <item x="3432"/>
        <item x="2212"/>
        <item x="1014"/>
        <item x="1644"/>
        <item x="64"/>
        <item x="3547"/>
        <item x="769"/>
        <item x="1822"/>
        <item x="3431"/>
        <item x="54"/>
        <item x="2433"/>
        <item x="1304"/>
        <item x="3187"/>
        <item x="2890"/>
        <item x="3240"/>
        <item x="2119"/>
        <item x="2470"/>
        <item x="746"/>
        <item x="2580"/>
        <item x="1823"/>
        <item x="443"/>
        <item x="1741"/>
        <item x="3128"/>
        <item x="2939"/>
        <item x="1432"/>
        <item x="858"/>
        <item x="3106"/>
        <item x="1337"/>
        <item x="1343"/>
        <item x="915"/>
        <item x="311"/>
        <item x="314"/>
        <item x="2274"/>
        <item x="2851"/>
        <item x="2691"/>
        <item x="3404"/>
        <item x="55"/>
        <item x="289"/>
        <item x="2514"/>
        <item x="1089"/>
        <item x="2303"/>
        <item x="3555"/>
        <item x="2278"/>
        <item x="1560"/>
        <item x="262"/>
        <item x="2346"/>
        <item x="826"/>
        <item x="259"/>
        <item x="307"/>
        <item x="506"/>
        <item x="1941"/>
        <item x="2905"/>
        <item x="1434"/>
        <item x="3356"/>
        <item x="1292"/>
        <item x="2834"/>
        <item x="3238"/>
        <item x="1153"/>
        <item x="3556"/>
        <item x="1661"/>
        <item x="3359"/>
        <item x="53"/>
        <item x="3075"/>
        <item x="2122"/>
        <item x="1754"/>
        <item x="1780"/>
        <item x="610"/>
        <item x="2038"/>
        <item x="1499"/>
        <item x="2745"/>
        <item x="2678"/>
        <item x="2365"/>
        <item x="716"/>
        <item x="1297"/>
        <item x="1766"/>
        <item x="1276"/>
        <item x="3550"/>
        <item x="1495"/>
        <item x="834"/>
        <item x="713"/>
        <item x="987"/>
        <item x="1301"/>
        <item x="151"/>
        <item x="2722"/>
        <item x="1347"/>
        <item x="1114"/>
        <item x="3212"/>
        <item x="3104"/>
        <item x="1643"/>
        <item x="488"/>
        <item x="368"/>
        <item x="2839"/>
        <item x="759"/>
        <item x="1722"/>
        <item x="1641"/>
        <item x="2411"/>
        <item x="3409"/>
        <item x="3219"/>
        <item x="24"/>
        <item x="47"/>
        <item x="210"/>
        <item x="1376"/>
        <item x="1942"/>
        <item x="993"/>
        <item x="308"/>
        <item x="3098"/>
        <item x="1006"/>
        <item x="1092"/>
        <item x="304"/>
        <item x="318"/>
        <item x="3249"/>
        <item x="0"/>
        <item x="2017"/>
        <item x="700"/>
        <item x="446"/>
        <item x="3421"/>
        <item x="2855"/>
        <item x="3440"/>
        <item x="1078"/>
        <item x="1394"/>
        <item x="121"/>
        <item x="3220"/>
        <item x="815"/>
        <item x="251"/>
        <item x="2753"/>
        <item x="3072"/>
        <item x="2027"/>
        <item x="144"/>
        <item x="3217"/>
        <item x="123"/>
        <item x="752"/>
        <item x="1356"/>
        <item x="1013"/>
        <item x="799"/>
        <item x="706"/>
        <item x="3548"/>
        <item x="556"/>
        <item x="2241"/>
        <item x="1367"/>
        <item x="252"/>
        <item x="1457"/>
        <item x="483"/>
        <item x="841"/>
        <item x="1795"/>
        <item x="1344"/>
        <item x="1418"/>
        <item x="324"/>
        <item x="607"/>
        <item x="1371"/>
        <item x="734"/>
        <item x="1116"/>
        <item x="2233"/>
        <item x="2141"/>
        <item x="533"/>
        <item x="526"/>
        <item x="2850"/>
        <item x="1109"/>
        <item x="785"/>
        <item x="1286"/>
        <item x="2581"/>
        <item x="1756"/>
        <item x="2830"/>
        <item x="439"/>
        <item x="879"/>
        <item x="63"/>
        <item x="2520"/>
        <item x="3149"/>
        <item x="1410"/>
        <item x="2637"/>
        <item x="48"/>
        <item x="2245"/>
        <item x="115"/>
        <item x="1345"/>
        <item x="664"/>
        <item x="1742"/>
        <item x="919"/>
        <item x="3388"/>
        <item x="555"/>
        <item x="2237"/>
        <item x="552"/>
        <item x="86"/>
        <item x="209"/>
        <item x="2072"/>
        <item x="872"/>
        <item x="1794"/>
        <item x="963"/>
        <item x="2927"/>
        <item x="2068"/>
        <item x="3429"/>
        <item x="3227"/>
        <item x="676"/>
        <item x="2539"/>
        <item x="805"/>
        <item x="3103"/>
        <item x="3508"/>
        <item x="1648"/>
        <item x="2458"/>
        <item x="2872"/>
        <item x="535"/>
        <item x="553"/>
        <item x="46"/>
        <item x="1152"/>
        <item x="3258"/>
        <item x="2272"/>
        <item x="13"/>
        <item x="773"/>
        <item x="709"/>
        <item x="1913"/>
        <item x="2655"/>
        <item x="999"/>
        <item x="2041"/>
        <item x="3116"/>
        <item x="3127"/>
        <item x="2323"/>
        <item x="3157"/>
        <item x="1020"/>
        <item x="2990"/>
        <item x="2845"/>
        <item x="2244"/>
        <item x="214"/>
        <item x="2459"/>
        <item x="757"/>
        <item x="2709"/>
        <item x="3068"/>
        <item x="814"/>
        <item x="215"/>
        <item x="1548"/>
        <item x="1911"/>
        <item x="496"/>
        <item x="781"/>
        <item x="1422"/>
        <item x="1118"/>
        <item x="1398"/>
        <item x="2906"/>
        <item x="813"/>
        <item x="3453"/>
        <item x="845"/>
        <item x="1334"/>
        <item x="3071"/>
        <item x="2716"/>
        <item x="2088"/>
        <item x="1123"/>
        <item x="192"/>
        <item x="1580"/>
        <item x="3355"/>
        <item x="715"/>
        <item x="1764"/>
        <item x="3230"/>
        <item x="486"/>
        <item x="1098"/>
        <item x="855"/>
        <item x="1381"/>
        <item x="978"/>
        <item x="1079"/>
        <item x="768"/>
        <item x="3352"/>
        <item x="126"/>
        <item x="1100"/>
        <item x="2273"/>
        <item x="611"/>
        <item x="2896"/>
        <item x="2907"/>
        <item x="873"/>
        <item x="1124"/>
        <item x="1511"/>
        <item x="1082"/>
        <item x="3422"/>
        <item x="2239"/>
        <item x="1077"/>
        <item x="1053"/>
        <item x="763"/>
        <item x="3083"/>
        <item x="3151"/>
        <item x="1095"/>
        <item x="2518"/>
        <item x="996"/>
        <item x="736"/>
        <item x="1624"/>
        <item x="1101"/>
        <item x="2573"/>
        <item x="2858"/>
        <item x="2471"/>
        <item x="2873"/>
        <item x="1106"/>
        <item x="2173"/>
        <item x="3235"/>
        <item x="1300"/>
        <item x="2513"/>
        <item x="2680"/>
        <item x="2717"/>
        <item x="2773"/>
        <item x="497"/>
        <item x="753"/>
        <item x="1046"/>
        <item x="876"/>
        <item x="1010"/>
        <item x="2921"/>
        <item x="2018"/>
        <item x="1117"/>
        <item x="1714"/>
        <item x="1734"/>
        <item x="745"/>
        <item x="1419"/>
        <item x="3133"/>
        <item x="1150"/>
        <item x="770"/>
        <item x="585"/>
        <item x="2741"/>
        <item x="980"/>
        <item x="2937"/>
        <item x="1488"/>
        <item x="2009"/>
        <item x="257"/>
        <item x="2917"/>
        <item x="3503"/>
        <item x="784"/>
        <item x="62"/>
        <item x="108"/>
        <item x="2922"/>
        <item x="1346"/>
        <item x="774"/>
        <item x="1721"/>
        <item x="2701"/>
        <item x="1290"/>
        <item x="363"/>
        <item x="707"/>
        <item x="874"/>
        <item x="914"/>
        <item x="66"/>
        <item x="1739"/>
        <item x="638"/>
        <item x="2914"/>
        <item x="190"/>
        <item x="1537"/>
        <item x="2746"/>
        <item x="2910"/>
        <item x="2703"/>
        <item x="3084"/>
        <item x="2710"/>
        <item x="3122"/>
        <item x="2679"/>
        <item x="786"/>
        <item x="718"/>
        <item x="842"/>
        <item x="3130"/>
        <item x="2556"/>
        <item x="787"/>
        <item x="2755"/>
        <item x="2070"/>
        <item x="1140"/>
        <item x="2702"/>
        <item x="985"/>
        <item x="3419"/>
        <item x="1952"/>
        <item x="779"/>
        <item x="854"/>
        <item x="49"/>
        <item x="2757"/>
        <item x="776"/>
        <item x="870"/>
        <item x="65"/>
        <item x="775"/>
        <item x="2190"/>
        <item x="59"/>
        <item x="913"/>
        <item x="857"/>
        <item x="2674"/>
        <item x="751"/>
        <item x="795"/>
        <item x="43"/>
        <item x="856"/>
        <item x="1406"/>
        <item x="2894"/>
        <item x="1279"/>
        <item x="739"/>
        <item x="1607"/>
        <item x="2900"/>
        <item x="1299"/>
        <item x="1697"/>
        <item x="1027"/>
        <item x="189"/>
        <item x="2461"/>
        <item x="738"/>
        <item x="820"/>
        <item x="749"/>
        <item x="1026"/>
        <item x="1111"/>
        <item x="2904"/>
        <item x="1033"/>
        <item x="3200"/>
        <item x="3476"/>
        <item x="3516"/>
        <item x="735"/>
        <item x="2915"/>
        <item x="1034"/>
        <item x="1355"/>
        <item x="2849"/>
        <item x="777"/>
        <item x="2587"/>
        <item x="172"/>
        <item x="2756"/>
        <item x="771"/>
        <item x="1113"/>
        <item x="2807"/>
        <item x="2920"/>
        <item x="615"/>
        <item x="191"/>
        <item x="2749"/>
        <item x="740"/>
        <item x="2704"/>
        <item x="756"/>
        <item x="747"/>
        <item x="986"/>
        <item x="743"/>
        <item x="1083"/>
        <item x="3448"/>
        <item x="1162"/>
        <item x="2742"/>
        <item x="754"/>
        <item x="2919"/>
        <item x="742"/>
        <item x="3385"/>
        <item x="778"/>
        <item x="2727"/>
        <item x="750"/>
        <item x="762"/>
        <item x="1894"/>
        <item x="737"/>
        <item x="2596"/>
        <item x="748"/>
        <item x="1895"/>
        <item x="755"/>
        <item x="741"/>
        <item x="744"/>
        <item x="1018"/>
        <item x="871"/>
        <item x="794"/>
        <item x="793"/>
        <item x="817"/>
        <item x="2945"/>
        <item x="1293"/>
        <item x="989"/>
        <item x="3047"/>
        <item x="912"/>
        <item x="2750"/>
        <item x="3321"/>
        <item x="1582"/>
        <item x="1"/>
      </items>
    </pivotField>
    <pivotField axis="axisRow" numFmtId="171" outline="0" showAll="0" sortType="descending" defaultSubtotal="0">
      <items count="612">
        <item x="452"/>
        <item x="135"/>
        <item x="288"/>
        <item x="132"/>
        <item x="41"/>
        <item x="269"/>
        <item x="108"/>
        <item x="127"/>
        <item x="136"/>
        <item x="11"/>
        <item x="125"/>
        <item x="295"/>
        <item x="59"/>
        <item x="28"/>
        <item x="605"/>
        <item x="263"/>
        <item x="144"/>
        <item x="50"/>
        <item x="298"/>
        <item x="47"/>
        <item x="607"/>
        <item x="53"/>
        <item x="290"/>
        <item x="67"/>
        <item x="281"/>
        <item x="294"/>
        <item x="550"/>
        <item x="301"/>
        <item x="82"/>
        <item x="287"/>
        <item x="38"/>
        <item x="296"/>
        <item x="25"/>
        <item x="543"/>
        <item x="267"/>
        <item x="560"/>
        <item x="277"/>
        <item x="96"/>
        <item x="451"/>
        <item x="256"/>
        <item x="279"/>
        <item x="606"/>
        <item x="397"/>
        <item x="552"/>
        <item x="297"/>
        <item x="75"/>
        <item x="551"/>
        <item x="88"/>
        <item x="85"/>
        <item x="545"/>
        <item x="337"/>
        <item x="119"/>
        <item x="458"/>
        <item x="393"/>
        <item x="275"/>
        <item x="419"/>
        <item x="406"/>
        <item x="93"/>
        <item x="141"/>
        <item x="60"/>
        <item x="377"/>
        <item x="412"/>
        <item x="544"/>
        <item x="292"/>
        <item x="563"/>
        <item x="134"/>
        <item x="400"/>
        <item x="409"/>
        <item x="556"/>
        <item x="72"/>
        <item x="555"/>
        <item x="402"/>
        <item x="126"/>
        <item x="48"/>
        <item x="535"/>
        <item x="333"/>
        <item x="205"/>
        <item x="587"/>
        <item x="609"/>
        <item x="462"/>
        <item x="130"/>
        <item x="373"/>
        <item x="465"/>
        <item x="548"/>
        <item x="206"/>
        <item x="278"/>
        <item x="541"/>
        <item x="539"/>
        <item x="276"/>
        <item x="10"/>
        <item x="343"/>
        <item x="282"/>
        <item x="273"/>
        <item x="229"/>
        <item x="486"/>
        <item x="260"/>
        <item x="211"/>
        <item x="557"/>
        <item x="327"/>
        <item x="238"/>
        <item x="227"/>
        <item x="196"/>
        <item x="214"/>
        <item x="364"/>
        <item x="348"/>
        <item x="274"/>
        <item x="477"/>
        <item x="128"/>
        <item x="457"/>
        <item x="398"/>
        <item x="497"/>
        <item x="139"/>
        <item x="549"/>
        <item x="192"/>
        <item x="286"/>
        <item x="251"/>
        <item x="357"/>
        <item x="564"/>
        <item x="207"/>
        <item x="283"/>
        <item x="188"/>
        <item x="394"/>
        <item x="559"/>
        <item x="546"/>
        <item x="517"/>
        <item x="479"/>
        <item x="506"/>
        <item x="610"/>
        <item x="107"/>
        <item x="3"/>
        <item x="547"/>
        <item x="230"/>
        <item x="336"/>
        <item x="89"/>
        <item x="411"/>
        <item x="414"/>
        <item x="64"/>
        <item x="159"/>
        <item x="335"/>
        <item x="299"/>
        <item x="396"/>
        <item x="305"/>
        <item x="109"/>
        <item x="368"/>
        <item x="504"/>
        <item x="514"/>
        <item x="418"/>
        <item x="29"/>
        <item x="496"/>
        <item x="58"/>
        <item x="518"/>
        <item x="404"/>
        <item x="356"/>
        <item x="133"/>
        <item x="540"/>
        <item x="460"/>
        <item x="525"/>
        <item x="492"/>
        <item x="554"/>
        <item x="270"/>
        <item x="475"/>
        <item x="501"/>
        <item x="32"/>
        <item x="498"/>
        <item x="483"/>
        <item x="324"/>
        <item x="593"/>
        <item x="219"/>
        <item x="145"/>
        <item x="383"/>
        <item x="484"/>
        <item x="538"/>
        <item x="19"/>
        <item x="285"/>
        <item x="129"/>
        <item x="391"/>
        <item x="512"/>
        <item x="6"/>
        <item x="500"/>
        <item x="568"/>
        <item x="526"/>
        <item x="386"/>
        <item x="217"/>
        <item x="384"/>
        <item x="68"/>
        <item x="571"/>
        <item x="575"/>
        <item x="318"/>
        <item x="399"/>
        <item x="241"/>
        <item x="590"/>
        <item x="325"/>
        <item x="27"/>
        <item x="45"/>
        <item x="488"/>
        <item x="70"/>
        <item x="341"/>
        <item x="489"/>
        <item x="376"/>
        <item x="212"/>
        <item x="240"/>
        <item x="491"/>
        <item x="494"/>
        <item x="565"/>
        <item x="519"/>
        <item x="131"/>
        <item x="542"/>
        <item x="78"/>
        <item x="530"/>
        <item x="231"/>
        <item x="553"/>
        <item x="138"/>
        <item x="247"/>
        <item x="520"/>
        <item x="291"/>
        <item x="86"/>
        <item x="43"/>
        <item x="309"/>
        <item x="507"/>
        <item x="510"/>
        <item x="97"/>
        <item x="30"/>
        <item x="480"/>
        <item x="532"/>
        <item x="566"/>
        <item x="257"/>
        <item x="83"/>
        <item x="209"/>
        <item x="54"/>
        <item x="485"/>
        <item x="65"/>
        <item x="495"/>
        <item x="36"/>
        <item x="210"/>
        <item x="56"/>
        <item x="448"/>
        <item x="533"/>
        <item x="522"/>
        <item x="464"/>
        <item x="148"/>
        <item x="152"/>
        <item x="122"/>
        <item x="528"/>
        <item x="527"/>
        <item x="509"/>
        <item x="361"/>
        <item x="573"/>
        <item x="388"/>
        <item x="529"/>
        <item x="476"/>
        <item x="523"/>
        <item x="531"/>
        <item x="51"/>
        <item x="586"/>
        <item x="118"/>
        <item x="26"/>
        <item x="470"/>
        <item x="124"/>
        <item x="52"/>
        <item x="487"/>
        <item x="471"/>
        <item x="385"/>
        <item x="84"/>
        <item x="378"/>
        <item x="459"/>
        <item x="351"/>
        <item x="239"/>
        <item x="175"/>
        <item x="588"/>
        <item x="177"/>
        <item x="76"/>
        <item x="511"/>
        <item x="405"/>
        <item x="266"/>
        <item x="461"/>
        <item x="424"/>
        <item x="493"/>
        <item x="478"/>
        <item x="103"/>
        <item x="524"/>
        <item x="513"/>
        <item x="142"/>
        <item x="472"/>
        <item x="426"/>
        <item x="453"/>
        <item x="71"/>
        <item x="408"/>
        <item x="149"/>
        <item x="201"/>
        <item x="352"/>
        <item x="502"/>
        <item x="300"/>
        <item x="2"/>
        <item x="595"/>
        <item x="392"/>
        <item x="34"/>
        <item x="191"/>
        <item x="537"/>
        <item x="90"/>
        <item x="503"/>
        <item x="350"/>
        <item x="558"/>
        <item x="268"/>
        <item x="154"/>
        <item x="42"/>
        <item x="157"/>
        <item x="330"/>
        <item x="99"/>
        <item x="455"/>
        <item x="1"/>
        <item x="567"/>
        <item x="456"/>
        <item x="481"/>
        <item x="317"/>
        <item x="482"/>
        <item x="515"/>
        <item x="490"/>
        <item x="574"/>
        <item x="182"/>
        <item x="570"/>
        <item x="417"/>
        <item x="441"/>
        <item x="505"/>
        <item x="316"/>
        <item x="8"/>
        <item x="160"/>
        <item x="213"/>
        <item x="367"/>
        <item x="111"/>
        <item x="322"/>
        <item x="422"/>
        <item x="123"/>
        <item x="332"/>
        <item x="577"/>
        <item x="17"/>
        <item x="12"/>
        <item x="218"/>
        <item x="572"/>
        <item x="581"/>
        <item x="14"/>
        <item x="329"/>
        <item x="280"/>
        <item x="381"/>
        <item x="321"/>
        <item x="197"/>
        <item x="246"/>
        <item x="354"/>
        <item x="91"/>
        <item x="334"/>
        <item x="521"/>
        <item x="415"/>
        <item x="389"/>
        <item x="272"/>
        <item x="449"/>
        <item x="105"/>
        <item x="117"/>
        <item x="387"/>
        <item x="315"/>
        <item x="358"/>
        <item x="499"/>
        <item x="589"/>
        <item x="120"/>
        <item x="73"/>
        <item x="344"/>
        <item x="582"/>
        <item x="44"/>
        <item x="87"/>
        <item x="100"/>
        <item x="310"/>
        <item x="403"/>
        <item x="63"/>
        <item x="194"/>
        <item x="293"/>
        <item x="362"/>
        <item x="468"/>
        <item x="187"/>
        <item x="312"/>
        <item x="106"/>
        <item x="425"/>
        <item x="77"/>
        <item x="284"/>
        <item x="289"/>
        <item x="55"/>
        <item x="31"/>
        <item x="4"/>
        <item x="115"/>
        <item x="158"/>
        <item x="508"/>
        <item x="92"/>
        <item x="439"/>
        <item x="104"/>
        <item x="562"/>
        <item x="401"/>
        <item x="601"/>
        <item x="161"/>
        <item x="338"/>
        <item x="363"/>
        <item x="181"/>
        <item x="366"/>
        <item x="226"/>
        <item x="20"/>
        <item x="600"/>
        <item x="436"/>
        <item x="185"/>
        <item x="24"/>
        <item x="179"/>
        <item x="22"/>
        <item x="39"/>
        <item x="271"/>
        <item x="303"/>
        <item x="369"/>
        <item x="171"/>
        <item x="569"/>
        <item x="49"/>
        <item x="150"/>
        <item x="467"/>
        <item x="380"/>
        <item x="198"/>
        <item x="365"/>
        <item x="416"/>
        <item x="224"/>
        <item x="95"/>
        <item x="561"/>
        <item x="169"/>
        <item x="57"/>
        <item x="308"/>
        <item x="186"/>
        <item x="237"/>
        <item x="163"/>
        <item x="597"/>
        <item x="21"/>
        <item x="584"/>
        <item x="173"/>
        <item x="81"/>
        <item x="184"/>
        <item x="215"/>
        <item x="434"/>
        <item x="79"/>
        <item x="374"/>
        <item x="342"/>
        <item x="208"/>
        <item x="222"/>
        <item x="259"/>
        <item x="469"/>
        <item x="463"/>
        <item x="576"/>
        <item x="430"/>
        <item x="199"/>
        <item x="435"/>
        <item x="193"/>
        <item x="235"/>
        <item x="252"/>
        <item x="249"/>
        <item x="114"/>
        <item x="74"/>
        <item x="313"/>
        <item x="320"/>
        <item x="432"/>
        <item x="258"/>
        <item x="390"/>
        <item x="23"/>
        <item x="69"/>
        <item x="604"/>
        <item x="166"/>
        <item x="353"/>
        <item x="35"/>
        <item x="534"/>
        <item x="431"/>
        <item x="372"/>
        <item x="340"/>
        <item x="40"/>
        <item x="302"/>
        <item x="189"/>
        <item x="596"/>
        <item x="140"/>
        <item x="255"/>
        <item x="440"/>
        <item x="162"/>
        <item x="438"/>
        <item x="304"/>
        <item x="33"/>
        <item x="101"/>
        <item x="245"/>
        <item x="102"/>
        <item x="94"/>
        <item x="583"/>
        <item x="421"/>
        <item x="473"/>
        <item x="174"/>
        <item x="306"/>
        <item x="16"/>
        <item x="37"/>
        <item x="536"/>
        <item x="137"/>
        <item x="339"/>
        <item x="66"/>
        <item x="265"/>
        <item x="447"/>
        <item x="443"/>
        <item x="13"/>
        <item x="429"/>
        <item x="220"/>
        <item x="410"/>
        <item x="233"/>
        <item x="423"/>
        <item x="437"/>
        <item x="223"/>
        <item x="346"/>
        <item x="370"/>
        <item x="155"/>
        <item x="98"/>
        <item x="244"/>
        <item x="110"/>
        <item x="382"/>
        <item x="331"/>
        <item x="360"/>
        <item x="172"/>
        <item x="450"/>
        <item x="375"/>
        <item x="355"/>
        <item x="379"/>
        <item x="328"/>
        <item x="202"/>
        <item x="183"/>
        <item x="445"/>
        <item x="580"/>
        <item x="428"/>
        <item x="243"/>
        <item x="516"/>
        <item x="121"/>
        <item x="466"/>
        <item x="599"/>
        <item x="170"/>
        <item x="407"/>
        <item x="203"/>
        <item x="446"/>
        <item x="578"/>
        <item x="176"/>
        <item x="420"/>
        <item x="113"/>
        <item x="200"/>
        <item x="474"/>
        <item x="7"/>
        <item x="433"/>
        <item x="359"/>
        <item x="248"/>
        <item x="326"/>
        <item x="46"/>
        <item x="9"/>
        <item x="234"/>
        <item x="116"/>
        <item x="591"/>
        <item x="164"/>
        <item x="15"/>
        <item x="345"/>
        <item x="143"/>
        <item x="579"/>
        <item x="147"/>
        <item x="112"/>
        <item x="221"/>
        <item x="62"/>
        <item x="371"/>
        <item x="204"/>
        <item x="261"/>
        <item x="264"/>
        <item x="5"/>
        <item x="236"/>
        <item x="146"/>
        <item x="151"/>
        <item x="228"/>
        <item x="603"/>
        <item x="444"/>
        <item x="311"/>
        <item x="602"/>
        <item x="232"/>
        <item x="18"/>
        <item x="611"/>
        <item x="190"/>
        <item x="80"/>
        <item x="442"/>
        <item x="349"/>
        <item x="253"/>
        <item x="153"/>
        <item x="347"/>
        <item x="319"/>
        <item x="165"/>
        <item x="594"/>
        <item x="156"/>
        <item x="168"/>
        <item x="180"/>
        <item x="413"/>
        <item x="323"/>
        <item x="61"/>
        <item x="427"/>
        <item x="254"/>
        <item x="225"/>
        <item x="598"/>
        <item x="178"/>
        <item x="195"/>
        <item x="216"/>
        <item x="314"/>
        <item x="242"/>
        <item x="395"/>
        <item x="262"/>
        <item x="250"/>
        <item x="167"/>
        <item x="307"/>
        <item x="585"/>
        <item x="592"/>
        <item x="608"/>
        <item x="454"/>
        <item x="0"/>
      </items>
    </pivotField>
    <pivotField outline="0" showAll="0" defaultSubtotal="0">
      <items count="79">
        <item x="32"/>
        <item x="74"/>
        <item x="29"/>
        <item x="27"/>
        <item x="42"/>
        <item x="71"/>
        <item x="76"/>
        <item x="13"/>
        <item x="18"/>
        <item x="61"/>
        <item x="38"/>
        <item x="56"/>
        <item x="39"/>
        <item x="66"/>
        <item x="44"/>
        <item x="0"/>
        <item x="78"/>
        <item x="6"/>
        <item x="19"/>
        <item x="59"/>
        <item x="49"/>
        <item x="70"/>
        <item x="37"/>
        <item x="26"/>
        <item x="34"/>
        <item x="48"/>
        <item x="63"/>
        <item x="24"/>
        <item x="33"/>
        <item x="2"/>
        <item x="5"/>
        <item x="10"/>
        <item x="77"/>
        <item x="54"/>
        <item x="12"/>
        <item x="47"/>
        <item x="31"/>
        <item x="16"/>
        <item x="14"/>
        <item x="20"/>
        <item x="50"/>
        <item x="41"/>
        <item x="35"/>
        <item x="55"/>
        <item x="9"/>
        <item x="1"/>
        <item x="28"/>
        <item x="23"/>
        <item x="67"/>
        <item x="73"/>
        <item x="46"/>
        <item x="51"/>
        <item x="52"/>
        <item x="22"/>
        <item x="25"/>
        <item x="64"/>
        <item x="68"/>
        <item x="7"/>
        <item x="40"/>
        <item x="11"/>
        <item x="75"/>
        <item x="45"/>
        <item x="65"/>
        <item x="57"/>
        <item x="69"/>
        <item x="8"/>
        <item x="58"/>
        <item x="30"/>
        <item x="36"/>
        <item x="62"/>
        <item x="21"/>
        <item x="43"/>
        <item x="3"/>
        <item x="17"/>
        <item x="4"/>
        <item x="53"/>
        <item x="15"/>
        <item x="60"/>
        <item x="72"/>
      </items>
      <extLst>
        <ext xmlns:x14="http://schemas.microsoft.com/office/spreadsheetml/2009/9/main" uri="{2946ED86-A175-432a-8AC1-64E0C546D7DE}">
          <x14:pivotField fillDownLabels="1"/>
        </ext>
      </extLst>
    </pivotField>
    <pivotField outline="0" showAll="0" defaultSubtotal="0">
      <items count="5">
        <item x="2"/>
        <item x="4"/>
        <item x="0"/>
        <item x="3"/>
        <item x="1"/>
      </items>
      <extLst>
        <ext xmlns:x14="http://schemas.microsoft.com/office/spreadsheetml/2009/9/main" uri="{2946ED86-A175-432a-8AC1-64E0C546D7DE}">
          <x14:pivotField fillDownLabels="1"/>
        </ext>
      </extLst>
    </pivotField>
  </pivotFields>
  <rowFields count="6">
    <field x="1"/>
    <field x="5"/>
    <field x="6"/>
    <field x="7"/>
    <field x="8"/>
    <field x="9"/>
  </rowFields>
  <rowItems count="552">
    <i>
      <x v="265"/>
      <x v="3"/>
      <x v="2"/>
      <x v="267"/>
      <x v="3209"/>
      <x v="611"/>
    </i>
    <i r="4">
      <x v="3443"/>
      <x v="611"/>
    </i>
    <i r="1">
      <x v="5"/>
      <x v="68"/>
      <x v="267"/>
      <x v="3022"/>
      <x v="611"/>
    </i>
    <i r="1">
      <x v="10"/>
      <x v="68"/>
      <x v="267"/>
      <x v="3274"/>
      <x v="611"/>
    </i>
    <i r="1">
      <x v="15"/>
      <x v="14"/>
      <x v="267"/>
      <x v="1657"/>
      <x v="611"/>
    </i>
    <i r="1">
      <x v="16"/>
      <x v="68"/>
      <x v="267"/>
      <x v="3393"/>
      <x v="611"/>
    </i>
    <i r="1">
      <x v="20"/>
      <x v="14"/>
      <x v="267"/>
      <x v="2748"/>
      <x v="611"/>
    </i>
    <i r="1">
      <x v="24"/>
      <x v="62"/>
      <x v="267"/>
      <x v="2"/>
      <x v="611"/>
    </i>
    <i r="2">
      <x v="68"/>
      <x v="267"/>
      <x v="2738"/>
      <x v="611"/>
    </i>
    <i r="1">
      <x v="27"/>
      <x v="2"/>
      <x v="267"/>
      <x v="1701"/>
      <x v="611"/>
    </i>
    <i r="4">
      <x v="2969"/>
      <x v="611"/>
    </i>
    <i r="4">
      <x v="3209"/>
      <x v="611"/>
    </i>
    <i r="4">
      <x v="3443"/>
      <x v="611"/>
    </i>
    <i r="1">
      <x v="37"/>
      <x v="68"/>
      <x v="267"/>
      <x v="3450"/>
      <x v="611"/>
    </i>
    <i r="1">
      <x v="38"/>
      <x v="14"/>
      <x v="267"/>
      <x v="2342"/>
      <x v="611"/>
    </i>
    <i r="1">
      <x v="40"/>
      <x v="2"/>
      <x v="267"/>
      <x v="3443"/>
      <x v="611"/>
    </i>
    <i r="2">
      <x v="21"/>
      <x v="398"/>
      <x v="3509"/>
      <x v="611"/>
    </i>
    <i r="2">
      <x v="22"/>
      <x v="428"/>
      <x v="3393"/>
      <x v="611"/>
    </i>
    <i>
      <x v="266"/>
      <x v="3"/>
      <x v="2"/>
      <x v="266"/>
      <x v="3443"/>
      <x v="611"/>
    </i>
    <i r="1">
      <x v="5"/>
      <x v="17"/>
      <x v="266"/>
      <x v="2232"/>
      <x v="611"/>
    </i>
    <i r="1">
      <x v="10"/>
      <x v="68"/>
      <x v="266"/>
      <x v="1127"/>
      <x v="611"/>
    </i>
    <i r="1">
      <x v="16"/>
      <x v="68"/>
      <x v="266"/>
      <x v="53"/>
      <x v="611"/>
    </i>
    <i r="1">
      <x v="18"/>
      <x v="68"/>
      <x v="266"/>
      <x v="1227"/>
      <x v="611"/>
    </i>
    <i r="1">
      <x v="20"/>
      <x v="68"/>
      <x v="266"/>
      <x v="529"/>
      <x v="611"/>
    </i>
    <i r="1">
      <x v="24"/>
      <x v="2"/>
      <x v="266"/>
      <x v="2369"/>
      <x v="611"/>
    </i>
    <i r="2">
      <x v="17"/>
      <x v="266"/>
      <x v="1813"/>
      <x v="611"/>
    </i>
    <i r="2">
      <x v="68"/>
      <x v="266"/>
      <x v="910"/>
      <x v="611"/>
    </i>
    <i r="1">
      <x v="25"/>
      <x v="19"/>
      <x v="266"/>
      <x v="55"/>
      <x v="611"/>
    </i>
    <i r="2">
      <x v="68"/>
      <x v="266"/>
      <x v="480"/>
      <x v="611"/>
    </i>
    <i r="1">
      <x v="27"/>
      <x v="2"/>
      <x v="266"/>
      <x v="2690"/>
      <x v="611"/>
    </i>
    <i r="4">
      <x v="3209"/>
      <x v="611"/>
    </i>
    <i r="4">
      <x v="3443"/>
      <x v="611"/>
    </i>
    <i r="1">
      <x v="31"/>
      <x v="19"/>
      <x v="266"/>
      <x v="2572"/>
      <x v="611"/>
    </i>
    <i r="1">
      <x v="32"/>
      <x v="68"/>
      <x v="266"/>
      <x v="2528"/>
      <x v="611"/>
    </i>
    <i r="1">
      <x v="34"/>
      <x v="68"/>
      <x v="266"/>
      <x v="620"/>
      <x v="611"/>
    </i>
    <i r="1">
      <x v="35"/>
      <x v="2"/>
      <x v="266"/>
      <x v="2042"/>
      <x v="611"/>
    </i>
    <i r="2">
      <x v="67"/>
      <x v="266"/>
      <x v="1935"/>
      <x v="611"/>
    </i>
    <i r="2">
      <x v="68"/>
      <x v="266"/>
      <x v="105"/>
      <x v="611"/>
    </i>
    <i r="1">
      <x v="37"/>
      <x v="67"/>
      <x v="266"/>
      <x v="1935"/>
      <x v="611"/>
    </i>
    <i r="1">
      <x v="40"/>
      <x v="17"/>
      <x v="266"/>
      <x v="1164"/>
      <x v="611"/>
    </i>
    <i r="4">
      <x v="1429"/>
      <x v="611"/>
    </i>
    <i r="4">
      <x v="1621"/>
      <x v="611"/>
    </i>
    <i r="4">
      <x v="2970"/>
      <x v="611"/>
    </i>
    <i r="2">
      <x v="18"/>
      <x v="266"/>
      <x v="1364"/>
      <x v="611"/>
    </i>
    <i r="4">
      <x v="1752"/>
      <x v="611"/>
    </i>
    <i r="4">
      <x v="1799"/>
      <x v="611"/>
    </i>
    <i r="4">
      <x v="1841"/>
      <x v="611"/>
    </i>
    <i r="4">
      <x v="1987"/>
      <x v="611"/>
    </i>
    <i r="4">
      <x v="2032"/>
      <x v="611"/>
    </i>
    <i r="4">
      <x v="2656"/>
      <x v="611"/>
    </i>
    <i r="4">
      <x v="2814"/>
      <x v="611"/>
    </i>
    <i r="4">
      <x v="2981"/>
      <x v="611"/>
    </i>
    <i r="4">
      <x v="3041"/>
      <x v="611"/>
    </i>
    <i r="2">
      <x v="22"/>
      <x v="408"/>
      <x v="3530"/>
      <x v="611"/>
    </i>
    <i r="3">
      <x v="450"/>
      <x v="3546"/>
      <x v="611"/>
    </i>
    <i r="2">
      <x v="67"/>
      <x v="266"/>
      <x v="886"/>
      <x v="611"/>
    </i>
    <i r="2">
      <x v="68"/>
      <x v="266"/>
      <x v="3424"/>
      <x v="611"/>
    </i>
    <i>
      <x v="267"/>
      <x v="3"/>
      <x v="2"/>
      <x v="265"/>
      <x v="3209"/>
      <x v="611"/>
    </i>
    <i r="1">
      <x v="16"/>
      <x v="68"/>
      <x v="265"/>
      <x v="3272"/>
      <x v="611"/>
    </i>
    <i r="1">
      <x v="27"/>
      <x v="2"/>
      <x v="265"/>
      <x v="1621"/>
      <x v="611"/>
    </i>
    <i r="4">
      <x v="1814"/>
      <x v="611"/>
    </i>
    <i r="4">
      <x v="2305"/>
      <x v="611"/>
    </i>
    <i r="4">
      <x v="2486"/>
      <x v="611"/>
    </i>
    <i r="4">
      <x v="2690"/>
      <x v="611"/>
    </i>
    <i r="4">
      <x v="3209"/>
      <x v="611"/>
    </i>
    <i r="4">
      <x v="3443"/>
      <x v="611"/>
    </i>
    <i r="1">
      <x v="37"/>
      <x v="2"/>
      <x v="265"/>
      <x v="3393"/>
      <x v="611"/>
    </i>
    <i r="2">
      <x v="14"/>
      <x v="265"/>
      <x v="2900"/>
      <x v="611"/>
    </i>
    <i r="2">
      <x v="68"/>
      <x v="265"/>
      <x v="3517"/>
      <x v="611"/>
    </i>
    <i r="1">
      <x v="40"/>
      <x v="2"/>
      <x v="265"/>
      <x v="3443"/>
      <x v="611"/>
    </i>
    <i r="2">
      <x v="22"/>
      <x v="387"/>
      <x v="3542"/>
      <x v="611"/>
    </i>
    <i>
      <x v="268"/>
      <x v="4"/>
      <x v="68"/>
      <x v="264"/>
      <x v="2231"/>
      <x v="611"/>
    </i>
    <i r="1">
      <x v="12"/>
      <x v="14"/>
      <x v="264"/>
      <x v="780"/>
      <x v="611"/>
    </i>
    <i r="1">
      <x v="24"/>
      <x v="17"/>
      <x v="264"/>
      <x v="3072"/>
      <x v="611"/>
    </i>
    <i r="1">
      <x v="25"/>
      <x v="2"/>
      <x v="264"/>
      <x v="2271"/>
      <x v="611"/>
    </i>
    <i r="1">
      <x v="27"/>
      <x v="2"/>
      <x v="264"/>
      <x v="1701"/>
      <x v="611"/>
    </i>
    <i r="4">
      <x v="2027"/>
      <x v="611"/>
    </i>
    <i r="4">
      <x v="2150"/>
      <x v="611"/>
    </i>
    <i r="4">
      <x v="2486"/>
      <x v="611"/>
    </i>
    <i r="4">
      <x v="2690"/>
      <x v="611"/>
    </i>
    <i r="4">
      <x v="2969"/>
      <x v="611"/>
    </i>
    <i r="4">
      <x v="3209"/>
      <x v="611"/>
    </i>
    <i r="4">
      <x v="3443"/>
      <x v="611"/>
    </i>
    <i r="2">
      <x v="68"/>
      <x v="264"/>
      <x v="618"/>
      <x v="611"/>
    </i>
    <i r="1">
      <x v="32"/>
      <x v="68"/>
      <x v="264"/>
      <x v="970"/>
      <x v="611"/>
    </i>
    <i r="1">
      <x v="34"/>
      <x v="68"/>
      <x v="264"/>
      <x v="1857"/>
      <x v="611"/>
    </i>
    <i r="1">
      <x v="37"/>
      <x v="68"/>
      <x v="264"/>
      <x v="3513"/>
      <x v="611"/>
    </i>
    <i r="1">
      <x v="40"/>
      <x v="2"/>
      <x v="264"/>
      <x v="3209"/>
      <x v="611"/>
    </i>
    <i r="2">
      <x v="18"/>
      <x v="264"/>
      <x v="1668"/>
      <x v="611"/>
    </i>
    <i r="4">
      <x v="1978"/>
      <x v="611"/>
    </i>
    <i r="4">
      <x v="2156"/>
      <x v="611"/>
    </i>
    <i r="4">
      <x v="2289"/>
      <x v="611"/>
    </i>
    <i r="4">
      <x v="2716"/>
      <x v="611"/>
    </i>
    <i r="4">
      <x v="2947"/>
      <x v="611"/>
    </i>
    <i r="4">
      <x v="3398"/>
      <x v="611"/>
    </i>
    <i r="2">
      <x v="22"/>
      <x v="401"/>
      <x v="3535"/>
      <x v="611"/>
    </i>
    <i r="3">
      <x v="403"/>
      <x v="3039"/>
      <x v="611"/>
    </i>
    <i r="3">
      <x v="425"/>
      <x v="3537"/>
      <x v="611"/>
    </i>
    <i>
      <x v="269"/>
      <x v="2"/>
      <x v="2"/>
      <x v="262"/>
      <x v="1171"/>
      <x v="611"/>
    </i>
    <i r="1">
      <x v="3"/>
      <x v="2"/>
      <x v="262"/>
      <x v="3443"/>
      <x v="611"/>
    </i>
    <i r="1">
      <x v="5"/>
      <x v="14"/>
      <x v="262"/>
      <x v="2748"/>
      <x v="611"/>
    </i>
    <i r="1">
      <x v="15"/>
      <x v="2"/>
      <x v="262"/>
      <x v="3069"/>
      <x v="611"/>
    </i>
    <i r="1">
      <x v="20"/>
      <x v="16"/>
      <x v="262"/>
      <x v="1749"/>
      <x v="611"/>
    </i>
    <i r="2">
      <x v="68"/>
      <x v="262"/>
      <x v="3002"/>
      <x v="611"/>
    </i>
    <i r="1">
      <x v="25"/>
      <x v="68"/>
      <x v="262"/>
      <x v="2886"/>
      <x v="611"/>
    </i>
    <i r="1">
      <x v="27"/>
      <x v="2"/>
      <x v="262"/>
      <x v="1814"/>
      <x v="611"/>
    </i>
    <i r="4">
      <x v="2150"/>
      <x v="611"/>
    </i>
    <i r="4">
      <x v="2969"/>
      <x v="611"/>
    </i>
    <i r="4">
      <x v="3209"/>
      <x v="611"/>
    </i>
    <i r="4">
      <x v="3443"/>
      <x v="611"/>
    </i>
    <i r="2">
      <x v="59"/>
      <x v="263"/>
      <x v="1460"/>
      <x v="611"/>
    </i>
    <i r="2">
      <x v="68"/>
      <x v="262"/>
      <x v="1240"/>
      <x v="611"/>
    </i>
    <i r="1">
      <x v="28"/>
      <x v="17"/>
      <x v="262"/>
      <x v="3506"/>
      <x v="611"/>
    </i>
    <i r="1">
      <x v="32"/>
      <x v="68"/>
      <x v="262"/>
      <x v="652"/>
      <x v="611"/>
    </i>
    <i r="1">
      <x v="38"/>
      <x v="17"/>
      <x v="262"/>
      <x v="1267"/>
      <x v="611"/>
    </i>
    <i r="1">
      <x v="40"/>
      <x v="17"/>
      <x v="262"/>
      <x v="2590"/>
      <x v="611"/>
    </i>
    <i r="2">
      <x v="18"/>
      <x v="262"/>
      <x v="1154"/>
      <x v="611"/>
    </i>
    <i r="4">
      <x v="2022"/>
      <x v="611"/>
    </i>
    <i r="4">
      <x v="2192"/>
      <x v="611"/>
    </i>
    <i r="4">
      <x v="2433"/>
      <x v="611"/>
    </i>
    <i r="4">
      <x v="2568"/>
      <x v="611"/>
    </i>
    <i r="4">
      <x v="2912"/>
      <x v="611"/>
    </i>
    <i r="2">
      <x v="21"/>
      <x v="398"/>
      <x v="3393"/>
      <x v="611"/>
    </i>
    <i r="2">
      <x v="22"/>
      <x v="403"/>
      <x v="3039"/>
      <x v="611"/>
    </i>
    <i>
      <x v="270"/>
      <x v="15"/>
      <x v="14"/>
      <x v="261"/>
      <x v="1735"/>
      <x v="611"/>
    </i>
    <i r="1">
      <x v="27"/>
      <x v="2"/>
      <x v="261"/>
      <x v="2969"/>
      <x v="611"/>
    </i>
    <i r="4">
      <x v="3209"/>
      <x v="611"/>
    </i>
    <i r="4">
      <x v="3443"/>
      <x v="611"/>
    </i>
    <i r="1">
      <x v="34"/>
      <x v="68"/>
      <x v="261"/>
      <x v="2536"/>
      <x v="611"/>
    </i>
    <i r="1">
      <x v="37"/>
      <x v="68"/>
      <x v="261"/>
      <x v="2969"/>
      <x v="611"/>
    </i>
    <i r="1">
      <x v="38"/>
      <x v="2"/>
      <x v="261"/>
      <x v="3324"/>
      <x v="611"/>
    </i>
    <i r="2">
      <x v="17"/>
      <x v="261"/>
      <x v="3564"/>
      <x v="393"/>
    </i>
    <i r="1">
      <x v="40"/>
      <x v="22"/>
      <x v="378"/>
      <x v="3512"/>
      <x v="611"/>
    </i>
    <i r="3">
      <x v="419"/>
      <x v="3200"/>
      <x v="611"/>
    </i>
    <i r="3">
      <x v="427"/>
      <x v="3528"/>
      <x v="611"/>
    </i>
    <i r="2">
      <x v="68"/>
      <x v="261"/>
      <x v="3341"/>
      <x v="611"/>
    </i>
    <i>
      <x v="271"/>
      <x v="2"/>
      <x v="2"/>
      <x v="260"/>
      <x v="3253"/>
      <x v="611"/>
    </i>
    <i r="1">
      <x v="3"/>
      <x v="2"/>
      <x v="260"/>
      <x v="3443"/>
      <x v="611"/>
    </i>
    <i r="1">
      <x v="15"/>
      <x v="19"/>
      <x v="260"/>
      <x v="2788"/>
      <x v="611"/>
    </i>
    <i r="1">
      <x v="18"/>
      <x v="68"/>
      <x v="260"/>
      <x v="3443"/>
      <x v="611"/>
    </i>
    <i r="1">
      <x v="24"/>
      <x v="17"/>
      <x v="260"/>
      <x v="2766"/>
      <x v="611"/>
    </i>
    <i r="1">
      <x v="27"/>
      <x v="2"/>
      <x v="260"/>
      <x v="2150"/>
      <x v="611"/>
    </i>
    <i r="4">
      <x v="3209"/>
      <x v="611"/>
    </i>
    <i r="4">
      <x v="3443"/>
      <x v="611"/>
    </i>
    <i r="1">
      <x v="38"/>
      <x v="62"/>
      <x v="260"/>
      <x v="1673"/>
      <x v="611"/>
    </i>
    <i r="1">
      <x v="40"/>
      <x v="2"/>
      <x v="260"/>
      <x v="2969"/>
      <x v="611"/>
    </i>
    <i r="2">
      <x v="18"/>
      <x v="260"/>
      <x v="2402"/>
      <x v="611"/>
    </i>
    <i r="4">
      <x v="2499"/>
      <x v="611"/>
    </i>
    <i r="4">
      <x v="2669"/>
      <x v="611"/>
    </i>
    <i r="4">
      <x v="2670"/>
      <x v="611"/>
    </i>
    <i r="4">
      <x v="3084"/>
      <x v="611"/>
    </i>
    <i r="2">
      <x v="22"/>
      <x v="412"/>
      <x v="3550"/>
      <x v="611"/>
    </i>
    <i r="3">
      <x v="431"/>
      <x v="3499"/>
      <x v="611"/>
    </i>
    <i r="2">
      <x v="68"/>
      <x v="260"/>
      <x v="2086"/>
      <x v="611"/>
    </i>
    <i r="4">
      <x v="3501"/>
      <x v="611"/>
    </i>
    <i>
      <x v="272"/>
      <x v="1"/>
      <x v="68"/>
      <x v="258"/>
      <x v="3387"/>
      <x v="611"/>
    </i>
    <i r="1">
      <x v="2"/>
      <x v="17"/>
      <x v="258"/>
      <x v="256"/>
      <x v="611"/>
    </i>
    <i r="2">
      <x v="18"/>
      <x v="258"/>
      <x v="3507"/>
      <x v="611"/>
    </i>
    <i r="1">
      <x v="3"/>
      <x v="2"/>
      <x v="258"/>
      <x v="3443"/>
      <x v="611"/>
    </i>
    <i r="2">
      <x v="33"/>
      <x v="259"/>
      <x v="694"/>
      <x v="611"/>
    </i>
    <i r="4">
      <x v="715"/>
      <x v="611"/>
    </i>
    <i r="4">
      <x v="1263"/>
      <x v="611"/>
    </i>
    <i r="4">
      <x v="1508"/>
      <x v="611"/>
    </i>
    <i r="4">
      <x v="1514"/>
      <x v="611"/>
    </i>
    <i r="4">
      <x v="2084"/>
      <x v="611"/>
    </i>
    <i r="4">
      <x v="2417"/>
      <x v="611"/>
    </i>
    <i r="4">
      <x v="2485"/>
      <x v="611"/>
    </i>
    <i r="4">
      <x v="2539"/>
      <x v="611"/>
    </i>
    <i r="4">
      <x v="2680"/>
      <x v="611"/>
    </i>
    <i r="4">
      <x v="2689"/>
      <x v="611"/>
    </i>
    <i r="4">
      <x v="2841"/>
      <x v="611"/>
    </i>
    <i r="4">
      <x v="2856"/>
      <x v="611"/>
    </i>
    <i r="4">
      <x v="2914"/>
      <x v="611"/>
    </i>
    <i r="4">
      <x v="3266"/>
      <x v="611"/>
    </i>
    <i r="4">
      <x v="3325"/>
      <x v="611"/>
    </i>
    <i r="4">
      <x v="3404"/>
      <x v="611"/>
    </i>
    <i r="1">
      <x v="13"/>
      <x v="33"/>
      <x v="259"/>
      <x v="2522"/>
      <x v="611"/>
    </i>
    <i r="1">
      <x v="15"/>
      <x v="33"/>
      <x v="259"/>
      <x v="398"/>
      <x v="611"/>
    </i>
    <i r="1">
      <x v="16"/>
      <x v="14"/>
      <x v="258"/>
      <x v="1788"/>
      <x v="611"/>
    </i>
    <i r="2">
      <x v="33"/>
      <x v="259"/>
      <x v="48"/>
      <x v="611"/>
    </i>
    <i r="2">
      <x v="68"/>
      <x v="258"/>
      <x v="2977"/>
      <x v="611"/>
    </i>
    <i r="1">
      <x v="18"/>
      <x v="14"/>
      <x v="258"/>
      <x v="1995"/>
      <x v="611"/>
    </i>
    <i r="2">
      <x v="33"/>
      <x v="259"/>
      <x v="97"/>
      <x v="611"/>
    </i>
    <i r="1">
      <x v="22"/>
      <x v="33"/>
      <x v="259"/>
      <x v="3028"/>
      <x v="611"/>
    </i>
    <i r="1">
      <x v="24"/>
      <x v="33"/>
      <x v="259"/>
      <x v="45"/>
      <x v="611"/>
    </i>
    <i r="1">
      <x v="27"/>
      <x v="2"/>
      <x v="258"/>
      <x v="3209"/>
      <x v="611"/>
    </i>
    <i r="2">
      <x v="33"/>
      <x v="259"/>
      <x v="135"/>
      <x v="611"/>
    </i>
    <i r="4">
      <x v="285"/>
      <x v="611"/>
    </i>
    <i r="4">
      <x v="292"/>
      <x v="611"/>
    </i>
    <i r="4">
      <x v="346"/>
      <x v="611"/>
    </i>
    <i r="4">
      <x v="347"/>
      <x v="611"/>
    </i>
    <i r="4">
      <x v="367"/>
      <x v="611"/>
    </i>
    <i r="4">
      <x v="507"/>
      <x v="611"/>
    </i>
    <i r="4">
      <x v="519"/>
      <x v="611"/>
    </i>
    <i r="4">
      <x v="633"/>
      <x v="611"/>
    </i>
    <i r="4">
      <x v="640"/>
      <x v="611"/>
    </i>
    <i r="4">
      <x v="642"/>
      <x v="611"/>
    </i>
    <i r="4">
      <x v="651"/>
      <x v="611"/>
    </i>
    <i r="4">
      <x v="660"/>
      <x v="611"/>
    </i>
    <i r="4">
      <x v="752"/>
      <x v="611"/>
    </i>
    <i r="4">
      <x v="842"/>
      <x v="611"/>
    </i>
    <i r="4">
      <x v="866"/>
      <x v="611"/>
    </i>
    <i r="4">
      <x v="961"/>
      <x v="611"/>
    </i>
    <i r="4">
      <x v="1072"/>
      <x v="611"/>
    </i>
    <i r="4">
      <x v="1330"/>
      <x v="611"/>
    </i>
    <i r="4">
      <x v="1380"/>
      <x v="611"/>
    </i>
    <i r="4">
      <x v="1690"/>
      <x v="611"/>
    </i>
    <i r="4">
      <x v="2932"/>
      <x v="611"/>
    </i>
    <i r="4">
      <x v="3391"/>
      <x v="611"/>
    </i>
    <i r="4">
      <x v="3405"/>
      <x v="611"/>
    </i>
    <i r="1">
      <x v="28"/>
      <x v="17"/>
      <x v="258"/>
      <x v="1663"/>
      <x v="611"/>
    </i>
    <i r="1">
      <x v="30"/>
      <x v="33"/>
      <x v="259"/>
      <x v="672"/>
      <x v="611"/>
    </i>
    <i r="1">
      <x v="37"/>
      <x v="33"/>
      <x v="259"/>
      <x v="3135"/>
      <x v="611"/>
    </i>
    <i r="2">
      <x v="68"/>
      <x v="258"/>
      <x v="3272"/>
      <x v="611"/>
    </i>
    <i r="1">
      <x v="38"/>
      <x v="33"/>
      <x v="259"/>
      <x v="156"/>
      <x v="611"/>
    </i>
    <i r="1">
      <x v="40"/>
      <x v="2"/>
      <x v="258"/>
      <x v="2690"/>
      <x v="611"/>
    </i>
    <i r="2">
      <x v="14"/>
      <x v="258"/>
      <x v="2748"/>
      <x v="611"/>
    </i>
    <i r="4">
      <x v="2928"/>
      <x v="611"/>
    </i>
    <i r="2">
      <x v="17"/>
      <x v="258"/>
      <x v="3410"/>
      <x v="611"/>
    </i>
    <i r="2">
      <x v="18"/>
      <x v="258"/>
      <x v="1635"/>
      <x v="611"/>
    </i>
    <i r="4">
      <x v="1915"/>
      <x v="611"/>
    </i>
    <i r="4">
      <x v="2363"/>
      <x v="611"/>
    </i>
    <i r="4">
      <x v="3064"/>
      <x v="611"/>
    </i>
    <i r="4">
      <x v="3125"/>
      <x v="611"/>
    </i>
    <i r="4">
      <x v="3275"/>
      <x v="611"/>
    </i>
    <i r="2">
      <x v="22"/>
      <x v="416"/>
      <x v="3239"/>
      <x v="611"/>
    </i>
    <i r="3">
      <x v="434"/>
      <x v="3409"/>
      <x v="611"/>
    </i>
    <i r="3">
      <x v="435"/>
      <x v="3341"/>
      <x v="611"/>
    </i>
    <i r="2">
      <x v="33"/>
      <x v="259"/>
      <x v="570"/>
      <x v="611"/>
    </i>
    <i r="4">
      <x v="1720"/>
      <x v="611"/>
    </i>
    <i r="4">
      <x v="1743"/>
      <x v="611"/>
    </i>
    <i r="4">
      <x v="1759"/>
      <x v="611"/>
    </i>
    <i r="4">
      <x v="1880"/>
      <x v="611"/>
    </i>
    <i r="4">
      <x v="1977"/>
      <x v="611"/>
    </i>
    <i r="4">
      <x v="2199"/>
      <x v="611"/>
    </i>
    <i r="4">
      <x v="2535"/>
      <x v="611"/>
    </i>
    <i r="2">
      <x v="68"/>
      <x v="258"/>
      <x v="3341"/>
      <x v="611"/>
    </i>
    <i>
      <x v="273"/>
      <x v="40"/>
      <x v="22"/>
      <x v="425"/>
      <x v="3485"/>
      <x v="611"/>
    </i>
    <i>
      <x v="274"/>
      <x v="3"/>
      <x v="2"/>
      <x v="257"/>
      <x v="2969"/>
      <x v="611"/>
    </i>
    <i r="4">
      <x v="3443"/>
      <x v="611"/>
    </i>
    <i r="1">
      <x v="24"/>
      <x v="16"/>
      <x v="257"/>
      <x v="2264"/>
      <x v="611"/>
    </i>
    <i r="2">
      <x v="17"/>
      <x v="257"/>
      <x v="2014"/>
      <x v="611"/>
    </i>
    <i r="1">
      <x v="27"/>
      <x v="2"/>
      <x v="257"/>
      <x v="2305"/>
      <x v="611"/>
    </i>
    <i r="4">
      <x v="2486"/>
      <x v="611"/>
    </i>
    <i r="4">
      <x v="3209"/>
      <x v="611"/>
    </i>
    <i r="4">
      <x v="3443"/>
      <x v="611"/>
    </i>
    <i r="1">
      <x v="37"/>
      <x v="68"/>
      <x v="257"/>
      <x v="3360"/>
      <x v="611"/>
    </i>
    <i r="1">
      <x v="40"/>
      <x v="2"/>
      <x v="257"/>
      <x v="3443"/>
      <x v="611"/>
    </i>
    <i r="2">
      <x v="18"/>
      <x v="257"/>
      <x v="2617"/>
      <x v="611"/>
    </i>
    <i r="4">
      <x v="2940"/>
      <x v="611"/>
    </i>
    <i r="2">
      <x v="22"/>
      <x v="418"/>
      <x v="2896"/>
      <x v="611"/>
    </i>
    <i r="3">
      <x v="434"/>
      <x v="3523"/>
      <x v="611"/>
    </i>
    <i r="3">
      <x v="450"/>
      <x v="3537"/>
      <x v="611"/>
    </i>
    <i>
      <x v="275"/>
      <x v="13"/>
      <x v="68"/>
      <x v="256"/>
      <x v="2930"/>
      <x v="611"/>
    </i>
    <i r="1">
      <x v="37"/>
      <x v="68"/>
      <x v="256"/>
      <x v="3150"/>
      <x v="611"/>
    </i>
    <i r="1">
      <x v="40"/>
      <x v="2"/>
      <x v="256"/>
      <x v="3443"/>
      <x v="611"/>
    </i>
    <i r="2">
      <x v="18"/>
      <x v="256"/>
      <x v="3564"/>
      <x v="603"/>
    </i>
    <i r="2">
      <x v="22"/>
      <x v="418"/>
      <x v="2896"/>
      <x v="611"/>
    </i>
    <i r="3">
      <x v="420"/>
      <x v="3537"/>
      <x v="611"/>
    </i>
    <i r="2">
      <x v="68"/>
      <x v="256"/>
      <x v="3341"/>
      <x v="611"/>
    </i>
    <i>
      <x v="276"/>
      <x v="2"/>
      <x v="16"/>
      <x v="255"/>
      <x v="797"/>
      <x v="611"/>
    </i>
    <i r="2">
      <x v="68"/>
      <x v="255"/>
      <x v="3371"/>
      <x v="611"/>
    </i>
    <i r="1">
      <x v="9"/>
      <x v="68"/>
      <x v="255"/>
      <x v="846"/>
      <x v="611"/>
    </i>
    <i r="1">
      <x v="24"/>
      <x v="18"/>
      <x v="255"/>
      <x v="3010"/>
      <x v="611"/>
    </i>
    <i r="1">
      <x v="25"/>
      <x v="2"/>
      <x v="255"/>
      <x v="1289"/>
      <x v="611"/>
    </i>
    <i r="1">
      <x v="27"/>
      <x v="2"/>
      <x v="255"/>
      <x v="2027"/>
      <x v="611"/>
    </i>
    <i r="4">
      <x v="2486"/>
      <x v="611"/>
    </i>
    <i r="4">
      <x v="3209"/>
      <x v="611"/>
    </i>
    <i r="4">
      <x v="3443"/>
      <x v="611"/>
    </i>
    <i r="2">
      <x v="68"/>
      <x v="255"/>
      <x v="1218"/>
      <x v="611"/>
    </i>
    <i r="1">
      <x v="33"/>
      <x v="68"/>
      <x v="255"/>
      <x v="1373"/>
      <x v="611"/>
    </i>
    <i r="1">
      <x v="37"/>
      <x v="2"/>
      <x v="255"/>
      <x v="3393"/>
      <x v="611"/>
    </i>
    <i r="1">
      <x v="40"/>
      <x v="2"/>
      <x v="255"/>
      <x v="1356"/>
      <x v="611"/>
    </i>
    <i r="2">
      <x v="16"/>
      <x v="255"/>
      <x v="2264"/>
      <x v="611"/>
    </i>
    <i r="2">
      <x v="17"/>
      <x v="255"/>
      <x v="2009"/>
      <x v="611"/>
    </i>
    <i r="2">
      <x v="18"/>
      <x v="255"/>
      <x v="1268"/>
      <x v="611"/>
    </i>
    <i r="4">
      <x v="1405"/>
      <x v="611"/>
    </i>
    <i r="4">
      <x v="1653"/>
      <x v="611"/>
    </i>
    <i r="4">
      <x v="2712"/>
      <x v="611"/>
    </i>
    <i r="4">
      <x v="3016"/>
      <x v="611"/>
    </i>
    <i r="4">
      <x v="3117"/>
      <x v="611"/>
    </i>
    <i r="4">
      <x v="3432"/>
      <x v="611"/>
    </i>
    <i r="2">
      <x v="22"/>
      <x v="387"/>
      <x v="3432"/>
      <x v="611"/>
    </i>
    <i r="3">
      <x v="444"/>
      <x v="3537"/>
      <x v="611"/>
    </i>
    <i>
      <x v="277"/>
      <x/>
      <x v="19"/>
      <x v="254"/>
      <x v="3564"/>
      <x v="431"/>
    </i>
    <i r="1">
      <x v="2"/>
      <x v="19"/>
      <x v="254"/>
      <x v="3564"/>
      <x v="268"/>
    </i>
    <i r="1">
      <x v="3"/>
      <x v="2"/>
      <x v="254"/>
      <x v="3443"/>
      <x v="611"/>
    </i>
    <i r="2">
      <x v="68"/>
      <x v="254"/>
      <x v="1080"/>
      <x v="611"/>
    </i>
    <i r="1">
      <x v="16"/>
      <x v="68"/>
      <x v="254"/>
      <x v="3070"/>
      <x v="611"/>
    </i>
    <i r="1">
      <x v="20"/>
      <x v="14"/>
      <x v="254"/>
      <x v="2486"/>
      <x v="611"/>
    </i>
    <i r="1">
      <x v="25"/>
      <x v="2"/>
      <x v="254"/>
      <x v="1172"/>
      <x v="611"/>
    </i>
    <i r="1">
      <x v="27"/>
      <x v="2"/>
      <x v="254"/>
      <x v="2305"/>
      <x v="611"/>
    </i>
    <i r="4">
      <x v="2486"/>
      <x v="611"/>
    </i>
    <i r="4">
      <x v="2969"/>
      <x v="611"/>
    </i>
    <i r="4">
      <x v="3209"/>
      <x v="611"/>
    </i>
    <i r="4">
      <x v="3443"/>
      <x v="611"/>
    </i>
    <i r="2">
      <x v="68"/>
      <x v="254"/>
      <x v="289"/>
      <x v="611"/>
    </i>
    <i r="1">
      <x v="28"/>
      <x v="19"/>
      <x v="254"/>
      <x v="3564"/>
      <x v="608"/>
    </i>
    <i r="1">
      <x v="31"/>
      <x v="19"/>
      <x v="254"/>
      <x v="3564"/>
      <x v="566"/>
    </i>
    <i r="1">
      <x v="34"/>
      <x v="68"/>
      <x v="254"/>
      <x v="2264"/>
      <x v="611"/>
    </i>
    <i r="1">
      <x v="37"/>
      <x v="19"/>
      <x v="254"/>
      <x v="3564"/>
      <x v="360"/>
    </i>
    <i r="1">
      <x v="38"/>
      <x v="19"/>
      <x v="254"/>
      <x v="3564"/>
      <x v="190"/>
    </i>
    <i r="1">
      <x v="40"/>
      <x v="17"/>
      <x v="254"/>
      <x v="1486"/>
      <x v="611"/>
    </i>
    <i r="2">
      <x v="22"/>
      <x v="389"/>
      <x v="3509"/>
      <x v="611"/>
    </i>
    <i r="3">
      <x v="404"/>
      <x v="3022"/>
      <x v="611"/>
    </i>
    <i r="3">
      <x v="430"/>
      <x v="3537"/>
      <x v="611"/>
    </i>
    <i r="2">
      <x v="68"/>
      <x v="254"/>
      <x v="1497"/>
      <x v="611"/>
    </i>
    <i>
      <x v="278"/>
      <x/>
      <x v="19"/>
      <x v="252"/>
      <x v="1069"/>
      <x v="611"/>
    </i>
    <i r="1">
      <x v="2"/>
      <x v="19"/>
      <x v="252"/>
      <x v="280"/>
      <x v="611"/>
    </i>
    <i r="1">
      <x v="13"/>
      <x v="68"/>
      <x v="252"/>
      <x v="2038"/>
      <x v="611"/>
    </i>
    <i r="1">
      <x v="15"/>
      <x v="68"/>
      <x v="252"/>
      <x v="2969"/>
      <x v="611"/>
    </i>
    <i r="1">
      <x v="18"/>
      <x v="68"/>
      <x v="252"/>
      <x v="1544"/>
      <x v="611"/>
    </i>
    <i r="1">
      <x v="20"/>
      <x v="67"/>
      <x v="252"/>
      <x v="2868"/>
      <x v="611"/>
    </i>
    <i r="1">
      <x v="22"/>
      <x v="68"/>
      <x v="252"/>
      <x v="2318"/>
      <x v="611"/>
    </i>
    <i r="1">
      <x v="24"/>
      <x v="68"/>
      <x v="252"/>
      <x v="2969"/>
      <x v="611"/>
    </i>
    <i r="1">
      <x v="28"/>
      <x v="19"/>
      <x v="252"/>
      <x v="3556"/>
      <x v="611"/>
    </i>
    <i r="1">
      <x v="31"/>
      <x v="2"/>
      <x v="252"/>
      <x v="1883"/>
      <x v="611"/>
    </i>
    <i r="2">
      <x v="19"/>
      <x v="252"/>
      <x v="2347"/>
      <x v="611"/>
    </i>
    <i r="1">
      <x v="37"/>
      <x v="19"/>
      <x v="252"/>
      <x v="613"/>
      <x v="611"/>
    </i>
    <i r="2">
      <x v="68"/>
      <x v="252"/>
      <x v="3093"/>
      <x v="611"/>
    </i>
    <i r="1">
      <x v="38"/>
      <x v="19"/>
      <x v="252"/>
      <x v="119"/>
      <x v="611"/>
    </i>
    <i r="2">
      <x v="59"/>
      <x v="253"/>
      <x v="3545"/>
      <x v="611"/>
    </i>
    <i r="1">
      <x v="40"/>
      <x v="22"/>
      <x v="404"/>
      <x v="3022"/>
      <x v="611"/>
    </i>
    <i r="3">
      <x v="445"/>
      <x v="3422"/>
      <x v="611"/>
    </i>
    <i>
      <x v="279"/>
      <x v="10"/>
      <x v="14"/>
      <x v="251"/>
      <x v="412"/>
      <x v="611"/>
    </i>
    <i r="1">
      <x v="11"/>
      <x v="2"/>
      <x v="251"/>
      <x v="3329"/>
      <x v="611"/>
    </i>
    <i r="1">
      <x v="18"/>
      <x v="68"/>
      <x v="251"/>
      <x v="2924"/>
      <x v="611"/>
    </i>
    <i r="1">
      <x v="24"/>
      <x v="14"/>
      <x v="251"/>
      <x v="1998"/>
      <x v="611"/>
    </i>
    <i r="1">
      <x v="27"/>
      <x v="2"/>
      <x v="251"/>
      <x v="1621"/>
      <x v="611"/>
    </i>
    <i r="4">
      <x v="1814"/>
      <x v="611"/>
    </i>
    <i r="4">
      <x v="2027"/>
      <x v="611"/>
    </i>
    <i r="4">
      <x v="2150"/>
      <x v="611"/>
    </i>
    <i r="4">
      <x v="2486"/>
      <x v="611"/>
    </i>
    <i r="4">
      <x v="2690"/>
      <x v="611"/>
    </i>
    <i r="4">
      <x v="2969"/>
      <x v="611"/>
    </i>
    <i r="4">
      <x v="3209"/>
      <x v="611"/>
    </i>
    <i r="4">
      <x v="3443"/>
      <x v="611"/>
    </i>
    <i r="1">
      <x v="40"/>
      <x v="68"/>
      <x v="251"/>
      <x v="2486"/>
      <x v="611"/>
    </i>
    <i r="4">
      <x v="3341"/>
      <x v="611"/>
    </i>
    <i>
      <x v="280"/>
      <x v="13"/>
      <x v="19"/>
      <x v="250"/>
      <x v="3564"/>
      <x v="597"/>
    </i>
    <i r="1">
      <x v="27"/>
      <x v="2"/>
      <x v="250"/>
      <x v="2150"/>
      <x v="611"/>
    </i>
    <i r="1">
      <x v="40"/>
      <x v="68"/>
      <x v="250"/>
      <x v="3123"/>
      <x v="611"/>
    </i>
    <i>
      <x v="281"/>
      <x v="1"/>
      <x v="17"/>
      <x v="249"/>
      <x v="2012"/>
      <x v="611"/>
    </i>
    <i r="1">
      <x v="3"/>
      <x v="2"/>
      <x v="249"/>
      <x v="3443"/>
      <x v="611"/>
    </i>
    <i r="1">
      <x v="16"/>
      <x v="68"/>
      <x v="249"/>
      <x v="2164"/>
      <x v="611"/>
    </i>
    <i r="1">
      <x v="24"/>
      <x v="14"/>
      <x v="249"/>
      <x v="2673"/>
      <x v="611"/>
    </i>
    <i r="2">
      <x v="17"/>
      <x v="249"/>
      <x v="3564"/>
      <x v="531"/>
    </i>
    <i r="2">
      <x v="18"/>
      <x v="249"/>
      <x v="2686"/>
      <x v="611"/>
    </i>
    <i r="1">
      <x v="27"/>
      <x v="2"/>
      <x v="249"/>
      <x v="1909"/>
      <x v="611"/>
    </i>
    <i r="4">
      <x v="2150"/>
      <x v="611"/>
    </i>
    <i r="4">
      <x v="2969"/>
      <x v="611"/>
    </i>
    <i r="4">
      <x v="3209"/>
      <x v="611"/>
    </i>
    <i r="4">
      <x v="3443"/>
      <x v="611"/>
    </i>
    <i r="1">
      <x v="32"/>
      <x v="19"/>
      <x v="249"/>
      <x v="2617"/>
      <x v="611"/>
    </i>
    <i r="1">
      <x v="33"/>
      <x v="18"/>
      <x v="249"/>
      <x v="2996"/>
      <x v="611"/>
    </i>
    <i r="1">
      <x v="35"/>
      <x v="17"/>
      <x v="249"/>
      <x v="3051"/>
      <x v="611"/>
    </i>
    <i r="2">
      <x v="19"/>
      <x v="249"/>
      <x v="1018"/>
      <x v="611"/>
    </i>
    <i r="1">
      <x v="37"/>
      <x v="68"/>
      <x v="249"/>
      <x v="2735"/>
      <x v="611"/>
    </i>
    <i r="1">
      <x v="40"/>
      <x v="2"/>
      <x v="249"/>
      <x v="3443"/>
      <x v="611"/>
    </i>
    <i r="2">
      <x v="17"/>
      <x v="249"/>
      <x v="2452"/>
      <x v="611"/>
    </i>
    <i r="2">
      <x v="18"/>
      <x v="249"/>
      <x v="1734"/>
      <x v="611"/>
    </i>
    <i r="4">
      <x v="1778"/>
      <x v="611"/>
    </i>
    <i r="4">
      <x v="2141"/>
      <x v="611"/>
    </i>
    <i r="4">
      <x v="2435"/>
      <x v="611"/>
    </i>
    <i r="4">
      <x v="2554"/>
      <x v="611"/>
    </i>
    <i r="4">
      <x v="2704"/>
      <x v="611"/>
    </i>
    <i r="4">
      <x v="3361"/>
      <x v="611"/>
    </i>
    <i r="2">
      <x v="19"/>
      <x v="249"/>
      <x v="2817"/>
      <x v="611"/>
    </i>
    <i r="2">
      <x v="22"/>
      <x v="403"/>
      <x v="3039"/>
      <x v="611"/>
    </i>
    <i r="3">
      <x v="412"/>
      <x v="3387"/>
      <x v="611"/>
    </i>
    <i r="3">
      <x v="450"/>
      <x v="3549"/>
      <x v="611"/>
    </i>
    <i r="2">
      <x v="68"/>
      <x v="249"/>
      <x v="2725"/>
      <x v="611"/>
    </i>
    <i>
      <x v="282"/>
      <x v="3"/>
      <x v="2"/>
      <x v="248"/>
      <x v="2969"/>
      <x v="611"/>
    </i>
    <i r="4">
      <x v="3443"/>
      <x v="611"/>
    </i>
    <i r="1">
      <x v="16"/>
      <x v="68"/>
      <x v="248"/>
      <x v="3448"/>
      <x v="611"/>
    </i>
    <i r="1">
      <x v="18"/>
      <x v="62"/>
      <x v="248"/>
      <x v="2264"/>
      <x v="611"/>
    </i>
    <i r="1">
      <x v="19"/>
      <x v="14"/>
      <x v="248"/>
      <x v="343"/>
      <x v="611"/>
    </i>
    <i r="1">
      <x v="27"/>
      <x v="2"/>
      <x v="248"/>
      <x v="3209"/>
      <x v="611"/>
    </i>
    <i r="4">
      <x v="3443"/>
      <x v="611"/>
    </i>
    <i r="1">
      <x v="37"/>
      <x v="2"/>
      <x v="248"/>
      <x v="2090"/>
      <x v="611"/>
    </i>
    <i r="2">
      <x v="14"/>
      <x v="248"/>
      <x v="2665"/>
      <x v="611"/>
    </i>
    <i r="2">
      <x v="68"/>
      <x v="248"/>
      <x v="3393"/>
      <x v="611"/>
    </i>
    <i r="1">
      <x v="40"/>
      <x v="22"/>
      <x v="394"/>
      <x v="3418"/>
      <x v="611"/>
    </i>
    <i r="3">
      <x v="396"/>
      <x v="3186"/>
      <x v="611"/>
    </i>
    <i r="3">
      <x v="414"/>
      <x v="2622"/>
      <x v="611"/>
    </i>
    <i r="3">
      <x v="419"/>
      <x v="3198"/>
      <x v="611"/>
    </i>
    <i r="3">
      <x v="427"/>
      <x v="3050"/>
      <x v="611"/>
    </i>
    <i r="3">
      <x v="434"/>
      <x v="3198"/>
      <x v="611"/>
    </i>
    <i r="2">
      <x v="68"/>
      <x v="248"/>
      <x v="2513"/>
      <x v="611"/>
    </i>
    <i r="4">
      <x v="2748"/>
      <x v="611"/>
    </i>
    <i>
      <x v="283"/>
      <x v="3"/>
      <x v="2"/>
      <x v="247"/>
      <x v="2150"/>
      <x v="611"/>
    </i>
    <i r="1">
      <x v="10"/>
      <x v="19"/>
      <x v="247"/>
      <x v="3564"/>
      <x v="586"/>
    </i>
    <i r="1">
      <x v="12"/>
      <x v="19"/>
      <x v="247"/>
      <x v="3274"/>
      <x v="611"/>
    </i>
    <i r="1">
      <x v="27"/>
      <x v="2"/>
      <x v="247"/>
      <x v="2486"/>
      <x v="611"/>
    </i>
    <i r="4">
      <x v="3209"/>
      <x v="611"/>
    </i>
    <i r="4">
      <x v="3443"/>
      <x v="611"/>
    </i>
    <i r="1">
      <x v="32"/>
      <x v="68"/>
      <x v="247"/>
      <x v="2153"/>
      <x v="611"/>
    </i>
    <i r="1">
      <x v="40"/>
      <x v="17"/>
      <x v="247"/>
      <x v="3564"/>
      <x v="599"/>
    </i>
    <i r="2">
      <x v="22"/>
      <x v="410"/>
      <x v="3198"/>
      <x v="611"/>
    </i>
    <i>
      <x v="284"/>
      <x v="3"/>
      <x v="2"/>
      <x v="246"/>
      <x v="3443"/>
      <x v="611"/>
    </i>
    <i r="1">
      <x v="10"/>
      <x v="68"/>
      <x v="246"/>
      <x v="580"/>
      <x v="611"/>
    </i>
    <i r="1">
      <x v="12"/>
      <x v="68"/>
      <x v="246"/>
      <x v="3509"/>
      <x v="611"/>
    </i>
    <i r="1">
      <x v="13"/>
      <x v="68"/>
      <x v="246"/>
      <x v="3393"/>
      <x v="611"/>
    </i>
    <i r="1">
      <x v="15"/>
      <x v="68"/>
      <x v="246"/>
      <x v="235"/>
      <x v="611"/>
    </i>
    <i r="1">
      <x v="16"/>
      <x v="16"/>
      <x v="246"/>
      <x v="2930"/>
      <x v="611"/>
    </i>
    <i r="1">
      <x v="18"/>
      <x v="68"/>
      <x v="246"/>
      <x v="2251"/>
      <x v="611"/>
    </i>
    <i r="1">
      <x v="24"/>
      <x v="17"/>
      <x v="246"/>
      <x v="3160"/>
      <x v="611"/>
    </i>
    <i r="2">
      <x v="68"/>
      <x v="246"/>
      <x v="1136"/>
      <x v="611"/>
    </i>
    <i r="1">
      <x v="25"/>
      <x v="68"/>
      <x v="246"/>
      <x v="3393"/>
      <x v="611"/>
    </i>
    <i r="1">
      <x v="27"/>
      <x v="2"/>
      <x v="246"/>
      <x v="3443"/>
      <x v="611"/>
    </i>
    <i r="1">
      <x v="31"/>
      <x v="17"/>
      <x v="246"/>
      <x v="2704"/>
      <x v="611"/>
    </i>
    <i r="1">
      <x v="34"/>
      <x v="67"/>
      <x v="246"/>
      <x v="2390"/>
      <x v="611"/>
    </i>
    <i r="1">
      <x v="35"/>
      <x v="68"/>
      <x v="246"/>
      <x v="435"/>
      <x v="611"/>
    </i>
    <i r="1">
      <x v="40"/>
      <x v="17"/>
      <x v="246"/>
      <x v="1238"/>
      <x v="611"/>
    </i>
    <i r="4">
      <x v="1892"/>
      <x v="611"/>
    </i>
    <i r="4">
      <x v="2908"/>
      <x v="611"/>
    </i>
    <i r="4">
      <x v="2970"/>
      <x v="611"/>
    </i>
    <i r="4">
      <x v="2973"/>
      <x v="611"/>
    </i>
    <i r="2">
      <x v="18"/>
      <x v="246"/>
      <x v="1585"/>
      <x v="611"/>
    </i>
    <i r="4">
      <x v="1605"/>
      <x v="611"/>
    </i>
    <i r="4">
      <x v="2393"/>
      <x v="611"/>
    </i>
    <i r="4">
      <x v="2899"/>
      <x v="611"/>
    </i>
    <i>
      <x v="285"/>
      <x v="1"/>
      <x v="47"/>
      <x v="245"/>
      <x v="428"/>
      <x v="611"/>
    </i>
    <i r="1">
      <x v="3"/>
      <x v="2"/>
      <x v="244"/>
      <x v="3443"/>
      <x v="611"/>
    </i>
    <i r="2">
      <x v="47"/>
      <x v="245"/>
      <x v="817"/>
      <x v="611"/>
    </i>
    <i r="4">
      <x v="1014"/>
      <x v="611"/>
    </i>
    <i r="4">
      <x v="1225"/>
      <x v="611"/>
    </i>
    <i r="4">
      <x v="1381"/>
      <x v="611"/>
    </i>
    <i r="4">
      <x v="1757"/>
      <x v="611"/>
    </i>
    <i r="4">
      <x v="1852"/>
      <x v="611"/>
    </i>
    <i r="4">
      <x v="1884"/>
      <x v="611"/>
    </i>
    <i r="4">
      <x v="2238"/>
      <x v="611"/>
    </i>
    <i r="4">
      <x v="2533"/>
      <x v="611"/>
    </i>
    <i r="4">
      <x v="2545"/>
      <x v="611"/>
    </i>
    <i r="4">
      <x v="2685"/>
      <x v="611"/>
    </i>
    <i r="4">
      <x v="2709"/>
      <x v="611"/>
    </i>
    <i r="4">
      <x v="3115"/>
      <x v="611"/>
    </i>
    <i r="4">
      <x v="3357"/>
      <x v="611"/>
    </i>
    <i r="4">
      <x v="3386"/>
      <x v="611"/>
    </i>
    <i r="1">
      <x v="9"/>
      <x v="14"/>
      <x v="244"/>
      <x v="79"/>
      <x v="611"/>
    </i>
    <i r="1">
      <x v="10"/>
      <x v="67"/>
      <x v="244"/>
      <x v="2259"/>
      <x v="611"/>
    </i>
    <i r="1">
      <x v="13"/>
      <x v="68"/>
      <x v="244"/>
      <x v="3393"/>
      <x v="611"/>
    </i>
    <i r="1">
      <x v="15"/>
      <x v="47"/>
      <x v="245"/>
      <x v="709"/>
      <x v="611"/>
    </i>
    <i r="1">
      <x v="16"/>
      <x v="47"/>
      <x v="245"/>
      <x v="6"/>
      <x v="611"/>
    </i>
    <i r="1">
      <x v="27"/>
      <x v="2"/>
      <x v="244"/>
      <x v="2486"/>
      <x v="611"/>
    </i>
    <i r="4">
      <x v="2969"/>
      <x v="611"/>
    </i>
    <i r="4">
      <x v="3443"/>
      <x v="611"/>
    </i>
    <i r="2">
      <x v="17"/>
      <x v="244"/>
      <x v="3564"/>
      <x v="580"/>
    </i>
    <i r="2">
      <x v="47"/>
      <x v="245"/>
      <x v="104"/>
      <x v="611"/>
    </i>
    <i r="4">
      <x v="162"/>
      <x v="611"/>
    </i>
    <i r="4">
      <x v="177"/>
      <x v="611"/>
    </i>
    <i r="4">
      <x v="191"/>
      <x v="611"/>
    </i>
    <i r="4">
      <x v="232"/>
      <x v="611"/>
    </i>
    <i r="4">
      <x v="271"/>
      <x v="611"/>
    </i>
    <i r="4">
      <x v="314"/>
      <x v="611"/>
    </i>
    <i r="4">
      <x v="385"/>
      <x v="611"/>
    </i>
    <i r="4">
      <x v="422"/>
      <x v="611"/>
    </i>
    <i r="4">
      <x v="466"/>
      <x v="611"/>
    </i>
    <i r="4">
      <x v="483"/>
      <x v="611"/>
    </i>
    <i r="4">
      <x v="641"/>
      <x v="611"/>
    </i>
    <i r="4">
      <x v="747"/>
      <x v="611"/>
    </i>
    <i r="4">
      <x v="806"/>
      <x v="611"/>
    </i>
    <i r="4">
      <x v="870"/>
      <x v="611"/>
    </i>
    <i r="4">
      <x v="871"/>
      <x v="611"/>
    </i>
    <i r="4">
      <x v="932"/>
      <x v="611"/>
    </i>
    <i r="4">
      <x v="968"/>
      <x v="611"/>
    </i>
    <i r="4">
      <x v="980"/>
      <x v="611"/>
    </i>
    <i r="4">
      <x v="1173"/>
      <x v="611"/>
    </i>
    <i r="4">
      <x v="1404"/>
      <x v="611"/>
    </i>
    <i r="4">
      <x v="2076"/>
      <x v="611"/>
    </i>
    <i r="4">
      <x v="2102"/>
      <x v="611"/>
    </i>
    <i r="4">
      <x v="2701"/>
      <x v="611"/>
    </i>
    <i r="4">
      <x v="2796"/>
      <x v="611"/>
    </i>
    <i r="4">
      <x v="2919"/>
      <x v="611"/>
    </i>
    <i r="4">
      <x v="3111"/>
      <x v="611"/>
    </i>
    <i r="2">
      <x v="68"/>
      <x v="244"/>
      <x v="2969"/>
      <x v="611"/>
    </i>
    <i r="1">
      <x v="30"/>
      <x v="2"/>
      <x v="244"/>
      <x v="772"/>
      <x v="611"/>
    </i>
    <i r="1">
      <x v="37"/>
      <x v="47"/>
      <x v="245"/>
      <x v="3276"/>
      <x v="611"/>
    </i>
    <i r="2">
      <x v="68"/>
      <x v="244"/>
      <x v="3233"/>
      <x v="611"/>
    </i>
    <i r="1">
      <x v="38"/>
      <x v="47"/>
      <x v="245"/>
      <x v="301"/>
      <x v="611"/>
    </i>
    <i r="1">
      <x v="40"/>
      <x v="22"/>
      <x v="387"/>
      <x v="3451"/>
      <x v="611"/>
    </i>
    <i r="2">
      <x v="47"/>
      <x v="245"/>
      <x v="682"/>
      <x v="611"/>
    </i>
    <i r="4">
      <x v="1560"/>
      <x v="611"/>
    </i>
    <i r="4">
      <x v="1660"/>
      <x v="611"/>
    </i>
    <i r="4">
      <x v="2107"/>
      <x v="611"/>
    </i>
    <i r="4">
      <x v="2255"/>
      <x v="611"/>
    </i>
    <i r="4">
      <x v="2498"/>
      <x v="611"/>
    </i>
    <i r="2">
      <x v="68"/>
      <x v="244"/>
      <x v="3341"/>
      <x v="611"/>
    </i>
    <i>
      <x v="286"/>
      <x v="13"/>
      <x v="68"/>
      <x v="243"/>
      <x v="2969"/>
      <x v="611"/>
    </i>
    <i r="1">
      <x v="24"/>
      <x v="17"/>
      <x v="243"/>
      <x v="2969"/>
      <x v="611"/>
    </i>
    <i r="2">
      <x v="68"/>
      <x v="243"/>
      <x v="2104"/>
      <x v="611"/>
    </i>
    <i r="1">
      <x v="27"/>
      <x v="2"/>
      <x v="243"/>
      <x v="3209"/>
      <x v="611"/>
    </i>
    <i r="1">
      <x v="28"/>
      <x v="18"/>
      <x v="243"/>
      <x v="1561"/>
      <x v="611"/>
    </i>
    <i r="1">
      <x v="33"/>
      <x v="19"/>
      <x v="243"/>
      <x v="1979"/>
      <x v="611"/>
    </i>
    <i r="1">
      <x v="40"/>
      <x v="14"/>
      <x v="243"/>
      <x v="1055"/>
      <x v="611"/>
    </i>
    <i r="2">
      <x v="16"/>
      <x v="243"/>
      <x v="2748"/>
      <x v="611"/>
    </i>
    <i r="4">
      <x v="3143"/>
      <x v="611"/>
    </i>
    <i r="2">
      <x v="17"/>
      <x v="243"/>
      <x v="2154"/>
      <x v="611"/>
    </i>
    <i r="4">
      <x v="2469"/>
      <x v="611"/>
    </i>
    <i r="4">
      <x v="2588"/>
      <x v="611"/>
    </i>
    <i r="4">
      <x v="3388"/>
      <x v="611"/>
    </i>
    <i r="2">
      <x v="18"/>
      <x v="243"/>
      <x v="1170"/>
      <x v="611"/>
    </i>
    <i r="4">
      <x v="1446"/>
      <x v="611"/>
    </i>
    <i r="4">
      <x v="1638"/>
      <x v="611"/>
    </i>
    <i r="4">
      <x v="2299"/>
      <x v="611"/>
    </i>
    <i r="4">
      <x v="2803"/>
      <x v="611"/>
    </i>
    <i r="4">
      <x v="3380"/>
      <x v="611"/>
    </i>
    <i r="2">
      <x v="22"/>
      <x v="389"/>
      <x v="3341"/>
      <x v="611"/>
    </i>
    <i r="3">
      <x v="391"/>
      <x v="3544"/>
      <x v="611"/>
    </i>
    <i r="3">
      <x v="420"/>
      <x v="3541"/>
      <x v="611"/>
    </i>
    <i r="2">
      <x v="68"/>
      <x v="243"/>
      <x v="2725"/>
      <x v="611"/>
    </i>
    <i>
      <x v="287"/>
      <x v="16"/>
      <x v="16"/>
      <x v="242"/>
      <x v="1102"/>
      <x v="611"/>
    </i>
    <i r="1">
      <x v="20"/>
      <x v="2"/>
      <x v="242"/>
      <x v="1440"/>
      <x v="611"/>
    </i>
    <i r="1">
      <x v="24"/>
      <x v="68"/>
      <x v="242"/>
      <x v="1356"/>
      <x v="611"/>
    </i>
    <i r="1">
      <x v="25"/>
      <x v="2"/>
      <x v="242"/>
      <x v="2169"/>
      <x v="611"/>
    </i>
    <i r="2">
      <x v="68"/>
      <x v="242"/>
      <x v="3249"/>
      <x v="611"/>
    </i>
    <i r="1">
      <x v="27"/>
      <x v="2"/>
      <x v="242"/>
      <x v="3209"/>
      <x v="611"/>
    </i>
    <i r="4">
      <x v="3443"/>
      <x v="611"/>
    </i>
    <i r="1">
      <x v="32"/>
      <x v="68"/>
      <x v="242"/>
      <x v="931"/>
      <x v="611"/>
    </i>
    <i r="1">
      <x v="35"/>
      <x v="68"/>
      <x v="242"/>
      <x v="1420"/>
      <x v="611"/>
    </i>
    <i r="1">
      <x v="40"/>
      <x v="2"/>
      <x v="242"/>
      <x v="3443"/>
      <x v="611"/>
    </i>
    <i r="2">
      <x v="17"/>
      <x v="242"/>
      <x v="3222"/>
      <x v="611"/>
    </i>
    <i r="2">
      <x v="19"/>
      <x v="242"/>
      <x v="2644"/>
      <x v="611"/>
    </i>
    <i r="2">
      <x v="22"/>
      <x v="399"/>
      <x v="2969"/>
      <x v="611"/>
    </i>
    <i r="3">
      <x v="427"/>
      <x v="3518"/>
      <x v="611"/>
    </i>
    <i>
      <x v="288"/>
      <x v="3"/>
      <x v="2"/>
      <x v="241"/>
      <x v="3443"/>
      <x v="611"/>
    </i>
    <i r="1">
      <x v="12"/>
      <x v="19"/>
      <x v="241"/>
      <x v="2817"/>
      <x v="611"/>
    </i>
    <i r="1">
      <x v="15"/>
      <x v="2"/>
      <x v="241"/>
      <x v="3420"/>
      <x v="611"/>
    </i>
    <i r="1">
      <x v="24"/>
      <x v="65"/>
      <x v="371"/>
      <x v="3564"/>
      <x v="20"/>
    </i>
    <i r="1">
      <x v="27"/>
      <x v="2"/>
      <x v="241"/>
      <x v="3209"/>
      <x v="611"/>
    </i>
    <i r="4">
      <x v="3443"/>
      <x v="611"/>
    </i>
    <i r="1">
      <x v="30"/>
      <x v="14"/>
      <x v="241"/>
      <x v="21"/>
      <x v="611"/>
    </i>
    <i r="1">
      <x v="33"/>
      <x v="68"/>
      <x v="241"/>
      <x v="2434"/>
      <x v="611"/>
    </i>
    <i r="1">
      <x v="37"/>
      <x v="68"/>
      <x v="241"/>
      <x v="3509"/>
      <x v="611"/>
    </i>
    <i r="1">
      <x v="40"/>
      <x v="2"/>
      <x v="241"/>
      <x v="3443"/>
      <x v="611"/>
    </i>
    <i r="2">
      <x v="19"/>
      <x v="241"/>
      <x v="3564"/>
      <x v="485"/>
    </i>
    <i r="5">
      <x v="536"/>
    </i>
    <i r="2">
      <x v="22"/>
      <x v="418"/>
      <x v="3422"/>
      <x v="611"/>
    </i>
    <i r="3">
      <x v="427"/>
      <x v="3518"/>
      <x v="611"/>
    </i>
    <i r="2">
      <x v="68"/>
      <x v="241"/>
      <x v="3123"/>
      <x v="611"/>
    </i>
    <i>
      <x v="289"/>
      <x v="1"/>
      <x v="68"/>
      <x v="240"/>
      <x v="1628"/>
      <x v="611"/>
    </i>
    <i r="1">
      <x v="13"/>
      <x v="67"/>
      <x v="240"/>
      <x v="3098"/>
      <x v="611"/>
    </i>
    <i r="1">
      <x v="27"/>
      <x v="2"/>
      <x v="240"/>
      <x v="2690"/>
      <x v="611"/>
    </i>
    <i r="4">
      <x v="2969"/>
      <x v="611"/>
    </i>
    <i r="4">
      <x v="3209"/>
      <x v="611"/>
    </i>
    <i r="4">
      <x v="3443"/>
      <x v="611"/>
    </i>
    <i r="1">
      <x v="40"/>
      <x v="2"/>
      <x v="240"/>
      <x v="3443"/>
      <x v="611"/>
    </i>
    <i r="2">
      <x v="22"/>
      <x v="418"/>
      <x v="3422"/>
      <x v="611"/>
    </i>
    <i r="2">
      <x v="68"/>
      <x v="240"/>
      <x v="3123"/>
      <x v="611"/>
    </i>
    <i>
      <x v="290"/>
      <x v="40"/>
      <x v="22"/>
      <x v="377"/>
      <x v="3542"/>
      <x v="611"/>
    </i>
    <i r="3">
      <x v="384"/>
      <x v="3546"/>
      <x v="611"/>
    </i>
    <i r="3">
      <x v="397"/>
      <x v="3478"/>
      <x v="611"/>
    </i>
  </rowItems>
  <colItems count="1">
    <i/>
  </colItems>
  <pageFields count="3">
    <pageField fld="4" item="1" hier="-1"/>
    <pageField fld="0" hier="-1"/>
    <pageField fld="2" item="4"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5000000}" name="Tabla dinámica5" cacheId="3" applyNumberFormats="0" applyBorderFormats="0" applyFontFormats="0" applyPatternFormats="0" applyAlignmentFormats="0" applyWidthHeightFormats="1" dataCaption="Valores" updatedVersion="6" minRefreshableVersion="3" showDrill="0" rowGrandTotals="0" colGrandTotals="0" itemPrintTitles="1" createdVersion="5" indent="0" outline="1" outlineData="1" multipleFieldFilters="0" rowHeaderCaption="Todos los meses…" fieldListSortAscending="1">
  <location ref="T8:T15" firstHeaderRow="1" firstDataRow="1" firstDataCol="1" rowPageCount="1" colPageCount="1"/>
  <pivotFields count="12">
    <pivotField showAll="0"/>
    <pivotField showAll="0"/>
    <pivotField showAll="0"/>
    <pivotField axis="axisRow" showAll="0">
      <items count="13">
        <item x="7"/>
        <item x="8"/>
        <item x="9"/>
        <item x="10"/>
        <item x="11"/>
        <item x="2"/>
        <item x="6"/>
        <item x="3"/>
        <item x="4"/>
        <item x="0"/>
        <item x="5"/>
        <item x="1"/>
        <item t="default"/>
      </items>
    </pivotField>
    <pivotField axis="axisPage" showAll="0">
      <items count="3">
        <item x="0"/>
        <item x="1"/>
        <item t="default"/>
      </items>
    </pivotField>
    <pivotField showAll="0"/>
    <pivotField showAll="0"/>
    <pivotField showAll="0"/>
    <pivotField showAll="0"/>
    <pivotField showAll="0"/>
    <pivotField showAll="0"/>
    <pivotField showAll="0"/>
  </pivotFields>
  <rowFields count="1">
    <field x="3"/>
  </rowFields>
  <rowItems count="7">
    <i>
      <x/>
    </i>
    <i>
      <x v="1"/>
    </i>
    <i>
      <x v="2"/>
    </i>
    <i>
      <x v="3"/>
    </i>
    <i>
      <x v="4"/>
    </i>
    <i>
      <x v="5"/>
    </i>
    <i>
      <x v="6"/>
    </i>
  </rowItems>
  <colItems count="1">
    <i/>
  </colItems>
  <pageFields count="1">
    <pageField fld="4"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4000000}" name="Tabla dinámica4" cacheId="3" applyNumberFormats="0" applyBorderFormats="0" applyFontFormats="0" applyPatternFormats="0" applyAlignmentFormats="0" applyWidthHeightFormats="1" dataCaption="Valores" updatedVersion="5" minRefreshableVersion="3" showDrill="0" rowGrandTotals="0" colGrandTotals="0" itemPrintTitles="1" createdVersion="5" indent="0" outline="1" outlineData="1" multipleFieldFilters="0" fieldListSortAscending="1">
  <location ref="P8:P10" firstHeaderRow="1" firstDataRow="1" firstDataCol="1"/>
  <pivotFields count="12">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s>
  <rowFields count="1">
    <field x="4"/>
  </rowFields>
  <rowItems count="2">
    <i>
      <x/>
    </i>
    <i>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6"/>
  <dimension ref="B2:N39"/>
  <sheetViews>
    <sheetView showGridLines="0" tabSelected="1" topLeftCell="A7" zoomScale="115" zoomScaleNormal="115" workbookViewId="0">
      <selection activeCell="N2" sqref="N2"/>
    </sheetView>
  </sheetViews>
  <sheetFormatPr baseColWidth="10" defaultRowHeight="13.2" x14ac:dyDescent="0.25"/>
  <cols>
    <col min="1" max="1" width="1.44140625" style="50" customWidth="1"/>
    <col min="2" max="13" width="11.44140625" style="50"/>
    <col min="14" max="14" width="19.88671875" style="50" customWidth="1"/>
    <col min="15" max="256" width="11.44140625" style="50"/>
    <col min="257" max="257" width="1.44140625" style="50" customWidth="1"/>
    <col min="258" max="269" width="11.44140625" style="50"/>
    <col min="270" max="270" width="19.88671875" style="50" customWidth="1"/>
    <col min="271" max="512" width="11.44140625" style="50"/>
    <col min="513" max="513" width="1.44140625" style="50" customWidth="1"/>
    <col min="514" max="525" width="11.44140625" style="50"/>
    <col min="526" max="526" width="19.88671875" style="50" customWidth="1"/>
    <col min="527" max="768" width="11.44140625" style="50"/>
    <col min="769" max="769" width="1.44140625" style="50" customWidth="1"/>
    <col min="770" max="781" width="11.44140625" style="50"/>
    <col min="782" max="782" width="19.88671875" style="50" customWidth="1"/>
    <col min="783" max="1024" width="11.44140625" style="50"/>
    <col min="1025" max="1025" width="1.44140625" style="50" customWidth="1"/>
    <col min="1026" max="1037" width="11.44140625" style="50"/>
    <col min="1038" max="1038" width="19.88671875" style="50" customWidth="1"/>
    <col min="1039" max="1280" width="11.44140625" style="50"/>
    <col min="1281" max="1281" width="1.44140625" style="50" customWidth="1"/>
    <col min="1282" max="1293" width="11.44140625" style="50"/>
    <col min="1294" max="1294" width="19.88671875" style="50" customWidth="1"/>
    <col min="1295" max="1536" width="11.44140625" style="50"/>
    <col min="1537" max="1537" width="1.44140625" style="50" customWidth="1"/>
    <col min="1538" max="1549" width="11.44140625" style="50"/>
    <col min="1550" max="1550" width="19.88671875" style="50" customWidth="1"/>
    <col min="1551" max="1792" width="11.44140625" style="50"/>
    <col min="1793" max="1793" width="1.44140625" style="50" customWidth="1"/>
    <col min="1794" max="1805" width="11.44140625" style="50"/>
    <col min="1806" max="1806" width="19.88671875" style="50" customWidth="1"/>
    <col min="1807" max="2048" width="11.44140625" style="50"/>
    <col min="2049" max="2049" width="1.44140625" style="50" customWidth="1"/>
    <col min="2050" max="2061" width="11.44140625" style="50"/>
    <col min="2062" max="2062" width="19.88671875" style="50" customWidth="1"/>
    <col min="2063" max="2304" width="11.44140625" style="50"/>
    <col min="2305" max="2305" width="1.44140625" style="50" customWidth="1"/>
    <col min="2306" max="2317" width="11.44140625" style="50"/>
    <col min="2318" max="2318" width="19.88671875" style="50" customWidth="1"/>
    <col min="2319" max="2560" width="11.44140625" style="50"/>
    <col min="2561" max="2561" width="1.44140625" style="50" customWidth="1"/>
    <col min="2562" max="2573" width="11.44140625" style="50"/>
    <col min="2574" max="2574" width="19.88671875" style="50" customWidth="1"/>
    <col min="2575" max="2816" width="11.44140625" style="50"/>
    <col min="2817" max="2817" width="1.44140625" style="50" customWidth="1"/>
    <col min="2818" max="2829" width="11.44140625" style="50"/>
    <col min="2830" max="2830" width="19.88671875" style="50" customWidth="1"/>
    <col min="2831" max="3072" width="11.44140625" style="50"/>
    <col min="3073" max="3073" width="1.44140625" style="50" customWidth="1"/>
    <col min="3074" max="3085" width="11.44140625" style="50"/>
    <col min="3086" max="3086" width="19.88671875" style="50" customWidth="1"/>
    <col min="3087" max="3328" width="11.44140625" style="50"/>
    <col min="3329" max="3329" width="1.44140625" style="50" customWidth="1"/>
    <col min="3330" max="3341" width="11.44140625" style="50"/>
    <col min="3342" max="3342" width="19.88671875" style="50" customWidth="1"/>
    <col min="3343" max="3584" width="11.44140625" style="50"/>
    <col min="3585" max="3585" width="1.44140625" style="50" customWidth="1"/>
    <col min="3586" max="3597" width="11.44140625" style="50"/>
    <col min="3598" max="3598" width="19.88671875" style="50" customWidth="1"/>
    <col min="3599" max="3840" width="11.44140625" style="50"/>
    <col min="3841" max="3841" width="1.44140625" style="50" customWidth="1"/>
    <col min="3842" max="3853" width="11.44140625" style="50"/>
    <col min="3854" max="3854" width="19.88671875" style="50" customWidth="1"/>
    <col min="3855" max="4096" width="11.44140625" style="50"/>
    <col min="4097" max="4097" width="1.44140625" style="50" customWidth="1"/>
    <col min="4098" max="4109" width="11.44140625" style="50"/>
    <col min="4110" max="4110" width="19.88671875" style="50" customWidth="1"/>
    <col min="4111" max="4352" width="11.44140625" style="50"/>
    <col min="4353" max="4353" width="1.44140625" style="50" customWidth="1"/>
    <col min="4354" max="4365" width="11.44140625" style="50"/>
    <col min="4366" max="4366" width="19.88671875" style="50" customWidth="1"/>
    <col min="4367" max="4608" width="11.44140625" style="50"/>
    <col min="4609" max="4609" width="1.44140625" style="50" customWidth="1"/>
    <col min="4610" max="4621" width="11.44140625" style="50"/>
    <col min="4622" max="4622" width="19.88671875" style="50" customWidth="1"/>
    <col min="4623" max="4864" width="11.44140625" style="50"/>
    <col min="4865" max="4865" width="1.44140625" style="50" customWidth="1"/>
    <col min="4866" max="4877" width="11.44140625" style="50"/>
    <col min="4878" max="4878" width="19.88671875" style="50" customWidth="1"/>
    <col min="4879" max="5120" width="11.44140625" style="50"/>
    <col min="5121" max="5121" width="1.44140625" style="50" customWidth="1"/>
    <col min="5122" max="5133" width="11.44140625" style="50"/>
    <col min="5134" max="5134" width="19.88671875" style="50" customWidth="1"/>
    <col min="5135" max="5376" width="11.44140625" style="50"/>
    <col min="5377" max="5377" width="1.44140625" style="50" customWidth="1"/>
    <col min="5378" max="5389" width="11.44140625" style="50"/>
    <col min="5390" max="5390" width="19.88671875" style="50" customWidth="1"/>
    <col min="5391" max="5632" width="11.44140625" style="50"/>
    <col min="5633" max="5633" width="1.44140625" style="50" customWidth="1"/>
    <col min="5634" max="5645" width="11.44140625" style="50"/>
    <col min="5646" max="5646" width="19.88671875" style="50" customWidth="1"/>
    <col min="5647" max="5888" width="11.44140625" style="50"/>
    <col min="5889" max="5889" width="1.44140625" style="50" customWidth="1"/>
    <col min="5890" max="5901" width="11.44140625" style="50"/>
    <col min="5902" max="5902" width="19.88671875" style="50" customWidth="1"/>
    <col min="5903" max="6144" width="11.44140625" style="50"/>
    <col min="6145" max="6145" width="1.44140625" style="50" customWidth="1"/>
    <col min="6146" max="6157" width="11.44140625" style="50"/>
    <col min="6158" max="6158" width="19.88671875" style="50" customWidth="1"/>
    <col min="6159" max="6400" width="11.44140625" style="50"/>
    <col min="6401" max="6401" width="1.44140625" style="50" customWidth="1"/>
    <col min="6402" max="6413" width="11.44140625" style="50"/>
    <col min="6414" max="6414" width="19.88671875" style="50" customWidth="1"/>
    <col min="6415" max="6656" width="11.44140625" style="50"/>
    <col min="6657" max="6657" width="1.44140625" style="50" customWidth="1"/>
    <col min="6658" max="6669" width="11.44140625" style="50"/>
    <col min="6670" max="6670" width="19.88671875" style="50" customWidth="1"/>
    <col min="6671" max="6912" width="11.44140625" style="50"/>
    <col min="6913" max="6913" width="1.44140625" style="50" customWidth="1"/>
    <col min="6914" max="6925" width="11.44140625" style="50"/>
    <col min="6926" max="6926" width="19.88671875" style="50" customWidth="1"/>
    <col min="6927" max="7168" width="11.44140625" style="50"/>
    <col min="7169" max="7169" width="1.44140625" style="50" customWidth="1"/>
    <col min="7170" max="7181" width="11.44140625" style="50"/>
    <col min="7182" max="7182" width="19.88671875" style="50" customWidth="1"/>
    <col min="7183" max="7424" width="11.44140625" style="50"/>
    <col min="7425" max="7425" width="1.44140625" style="50" customWidth="1"/>
    <col min="7426" max="7437" width="11.44140625" style="50"/>
    <col min="7438" max="7438" width="19.88671875" style="50" customWidth="1"/>
    <col min="7439" max="7680" width="11.44140625" style="50"/>
    <col min="7681" max="7681" width="1.44140625" style="50" customWidth="1"/>
    <col min="7682" max="7693" width="11.44140625" style="50"/>
    <col min="7694" max="7694" width="19.88671875" style="50" customWidth="1"/>
    <col min="7695" max="7936" width="11.44140625" style="50"/>
    <col min="7937" max="7937" width="1.44140625" style="50" customWidth="1"/>
    <col min="7938" max="7949" width="11.44140625" style="50"/>
    <col min="7950" max="7950" width="19.88671875" style="50" customWidth="1"/>
    <col min="7951" max="8192" width="11.44140625" style="50"/>
    <col min="8193" max="8193" width="1.44140625" style="50" customWidth="1"/>
    <col min="8194" max="8205" width="11.44140625" style="50"/>
    <col min="8206" max="8206" width="19.88671875" style="50" customWidth="1"/>
    <col min="8207" max="8448" width="11.44140625" style="50"/>
    <col min="8449" max="8449" width="1.44140625" style="50" customWidth="1"/>
    <col min="8450" max="8461" width="11.44140625" style="50"/>
    <col min="8462" max="8462" width="19.88671875" style="50" customWidth="1"/>
    <col min="8463" max="8704" width="11.44140625" style="50"/>
    <col min="8705" max="8705" width="1.44140625" style="50" customWidth="1"/>
    <col min="8706" max="8717" width="11.44140625" style="50"/>
    <col min="8718" max="8718" width="19.88671875" style="50" customWidth="1"/>
    <col min="8719" max="8960" width="11.44140625" style="50"/>
    <col min="8961" max="8961" width="1.44140625" style="50" customWidth="1"/>
    <col min="8962" max="8973" width="11.44140625" style="50"/>
    <col min="8974" max="8974" width="19.88671875" style="50" customWidth="1"/>
    <col min="8975" max="9216" width="11.44140625" style="50"/>
    <col min="9217" max="9217" width="1.44140625" style="50" customWidth="1"/>
    <col min="9218" max="9229" width="11.44140625" style="50"/>
    <col min="9230" max="9230" width="19.88671875" style="50" customWidth="1"/>
    <col min="9231" max="9472" width="11.44140625" style="50"/>
    <col min="9473" max="9473" width="1.44140625" style="50" customWidth="1"/>
    <col min="9474" max="9485" width="11.44140625" style="50"/>
    <col min="9486" max="9486" width="19.88671875" style="50" customWidth="1"/>
    <col min="9487" max="9728" width="11.44140625" style="50"/>
    <col min="9729" max="9729" width="1.44140625" style="50" customWidth="1"/>
    <col min="9730" max="9741" width="11.44140625" style="50"/>
    <col min="9742" max="9742" width="19.88671875" style="50" customWidth="1"/>
    <col min="9743" max="9984" width="11.44140625" style="50"/>
    <col min="9985" max="9985" width="1.44140625" style="50" customWidth="1"/>
    <col min="9986" max="9997" width="11.44140625" style="50"/>
    <col min="9998" max="9998" width="19.88671875" style="50" customWidth="1"/>
    <col min="9999" max="10240" width="11.44140625" style="50"/>
    <col min="10241" max="10241" width="1.44140625" style="50" customWidth="1"/>
    <col min="10242" max="10253" width="11.44140625" style="50"/>
    <col min="10254" max="10254" width="19.88671875" style="50" customWidth="1"/>
    <col min="10255" max="10496" width="11.44140625" style="50"/>
    <col min="10497" max="10497" width="1.44140625" style="50" customWidth="1"/>
    <col min="10498" max="10509" width="11.44140625" style="50"/>
    <col min="10510" max="10510" width="19.88671875" style="50" customWidth="1"/>
    <col min="10511" max="10752" width="11.44140625" style="50"/>
    <col min="10753" max="10753" width="1.44140625" style="50" customWidth="1"/>
    <col min="10754" max="10765" width="11.44140625" style="50"/>
    <col min="10766" max="10766" width="19.88671875" style="50" customWidth="1"/>
    <col min="10767" max="11008" width="11.44140625" style="50"/>
    <col min="11009" max="11009" width="1.44140625" style="50" customWidth="1"/>
    <col min="11010" max="11021" width="11.44140625" style="50"/>
    <col min="11022" max="11022" width="19.88671875" style="50" customWidth="1"/>
    <col min="11023" max="11264" width="11.44140625" style="50"/>
    <col min="11265" max="11265" width="1.44140625" style="50" customWidth="1"/>
    <col min="11266" max="11277" width="11.44140625" style="50"/>
    <col min="11278" max="11278" width="19.88671875" style="50" customWidth="1"/>
    <col min="11279" max="11520" width="11.44140625" style="50"/>
    <col min="11521" max="11521" width="1.44140625" style="50" customWidth="1"/>
    <col min="11522" max="11533" width="11.44140625" style="50"/>
    <col min="11534" max="11534" width="19.88671875" style="50" customWidth="1"/>
    <col min="11535" max="11776" width="11.44140625" style="50"/>
    <col min="11777" max="11777" width="1.44140625" style="50" customWidth="1"/>
    <col min="11778" max="11789" width="11.44140625" style="50"/>
    <col min="11790" max="11790" width="19.88671875" style="50" customWidth="1"/>
    <col min="11791" max="12032" width="11.44140625" style="50"/>
    <col min="12033" max="12033" width="1.44140625" style="50" customWidth="1"/>
    <col min="12034" max="12045" width="11.44140625" style="50"/>
    <col min="12046" max="12046" width="19.88671875" style="50" customWidth="1"/>
    <col min="12047" max="12288" width="11.44140625" style="50"/>
    <col min="12289" max="12289" width="1.44140625" style="50" customWidth="1"/>
    <col min="12290" max="12301" width="11.44140625" style="50"/>
    <col min="12302" max="12302" width="19.88671875" style="50" customWidth="1"/>
    <col min="12303" max="12544" width="11.44140625" style="50"/>
    <col min="12545" max="12545" width="1.44140625" style="50" customWidth="1"/>
    <col min="12546" max="12557" width="11.44140625" style="50"/>
    <col min="12558" max="12558" width="19.88671875" style="50" customWidth="1"/>
    <col min="12559" max="12800" width="11.44140625" style="50"/>
    <col min="12801" max="12801" width="1.44140625" style="50" customWidth="1"/>
    <col min="12802" max="12813" width="11.44140625" style="50"/>
    <col min="12814" max="12814" width="19.88671875" style="50" customWidth="1"/>
    <col min="12815" max="13056" width="11.44140625" style="50"/>
    <col min="13057" max="13057" width="1.44140625" style="50" customWidth="1"/>
    <col min="13058" max="13069" width="11.44140625" style="50"/>
    <col min="13070" max="13070" width="19.88671875" style="50" customWidth="1"/>
    <col min="13071" max="13312" width="11.44140625" style="50"/>
    <col min="13313" max="13313" width="1.44140625" style="50" customWidth="1"/>
    <col min="13314" max="13325" width="11.44140625" style="50"/>
    <col min="13326" max="13326" width="19.88671875" style="50" customWidth="1"/>
    <col min="13327" max="13568" width="11.44140625" style="50"/>
    <col min="13569" max="13569" width="1.44140625" style="50" customWidth="1"/>
    <col min="13570" max="13581" width="11.44140625" style="50"/>
    <col min="13582" max="13582" width="19.88671875" style="50" customWidth="1"/>
    <col min="13583" max="13824" width="11.44140625" style="50"/>
    <col min="13825" max="13825" width="1.44140625" style="50" customWidth="1"/>
    <col min="13826" max="13837" width="11.44140625" style="50"/>
    <col min="13838" max="13838" width="19.88671875" style="50" customWidth="1"/>
    <col min="13839" max="14080" width="11.44140625" style="50"/>
    <col min="14081" max="14081" width="1.44140625" style="50" customWidth="1"/>
    <col min="14082" max="14093" width="11.44140625" style="50"/>
    <col min="14094" max="14094" width="19.88671875" style="50" customWidth="1"/>
    <col min="14095" max="14336" width="11.44140625" style="50"/>
    <col min="14337" max="14337" width="1.44140625" style="50" customWidth="1"/>
    <col min="14338" max="14349" width="11.44140625" style="50"/>
    <col min="14350" max="14350" width="19.88671875" style="50" customWidth="1"/>
    <col min="14351" max="14592" width="11.44140625" style="50"/>
    <col min="14593" max="14593" width="1.44140625" style="50" customWidth="1"/>
    <col min="14594" max="14605" width="11.44140625" style="50"/>
    <col min="14606" max="14606" width="19.88671875" style="50" customWidth="1"/>
    <col min="14607" max="14848" width="11.44140625" style="50"/>
    <col min="14849" max="14849" width="1.44140625" style="50" customWidth="1"/>
    <col min="14850" max="14861" width="11.44140625" style="50"/>
    <col min="14862" max="14862" width="19.88671875" style="50" customWidth="1"/>
    <col min="14863" max="15104" width="11.44140625" style="50"/>
    <col min="15105" max="15105" width="1.44140625" style="50" customWidth="1"/>
    <col min="15106" max="15117" width="11.44140625" style="50"/>
    <col min="15118" max="15118" width="19.88671875" style="50" customWidth="1"/>
    <col min="15119" max="15360" width="11.44140625" style="50"/>
    <col min="15361" max="15361" width="1.44140625" style="50" customWidth="1"/>
    <col min="15362" max="15373" width="11.44140625" style="50"/>
    <col min="15374" max="15374" width="19.88671875" style="50" customWidth="1"/>
    <col min="15375" max="15616" width="11.44140625" style="50"/>
    <col min="15617" max="15617" width="1.44140625" style="50" customWidth="1"/>
    <col min="15618" max="15629" width="11.44140625" style="50"/>
    <col min="15630" max="15630" width="19.88671875" style="50" customWidth="1"/>
    <col min="15631" max="15872" width="11.44140625" style="50"/>
    <col min="15873" max="15873" width="1.44140625" style="50" customWidth="1"/>
    <col min="15874" max="15885" width="11.44140625" style="50"/>
    <col min="15886" max="15886" width="19.88671875" style="50" customWidth="1"/>
    <col min="15887" max="16128" width="11.44140625" style="50"/>
    <col min="16129" max="16129" width="1.44140625" style="50" customWidth="1"/>
    <col min="16130" max="16141" width="11.44140625" style="50"/>
    <col min="16142" max="16142" width="19.88671875" style="50" customWidth="1"/>
    <col min="16143" max="16384" width="11.44140625" style="50"/>
  </cols>
  <sheetData>
    <row r="2" spans="2:14" ht="32.25" customHeight="1" x14ac:dyDescent="0.3">
      <c r="B2" s="69" t="s">
        <v>87</v>
      </c>
      <c r="M2" s="68" t="s">
        <v>86</v>
      </c>
      <c r="N2" s="67">
        <f ca="1">VALUE(INFO("RELEASE"))</f>
        <v>16</v>
      </c>
    </row>
    <row r="3" spans="2:14" ht="26.25" customHeight="1" x14ac:dyDescent="0.25">
      <c r="B3" s="66" t="s">
        <v>85</v>
      </c>
      <c r="C3" s="65"/>
    </row>
    <row r="4" spans="2:14" ht="13.8" x14ac:dyDescent="0.25">
      <c r="B4" s="64" t="s">
        <v>84</v>
      </c>
    </row>
    <row r="5" spans="2:14" ht="13.8" x14ac:dyDescent="0.25">
      <c r="B5" s="64" t="s">
        <v>83</v>
      </c>
    </row>
    <row r="6" spans="2:14" ht="13.8" x14ac:dyDescent="0.25">
      <c r="B6" s="63"/>
    </row>
    <row r="7" spans="2:14" ht="13.8" x14ac:dyDescent="0.25">
      <c r="B7" s="62" t="str">
        <f ca="1">"Su versión actual de Microsoft Office Excel es "&amp;IF(VALUE(INFO("RELEASE"))&gt;=12,"2007","97-2003")</f>
        <v>Su versión actual de Microsoft Office Excel es 2007</v>
      </c>
    </row>
    <row r="8" spans="2:14" ht="13.8" x14ac:dyDescent="0.25">
      <c r="B8" s="62"/>
    </row>
    <row r="9" spans="2:14" ht="13.8" x14ac:dyDescent="0.25">
      <c r="B9" s="107" t="s">
        <v>82</v>
      </c>
      <c r="C9" s="108"/>
      <c r="D9" s="108"/>
      <c r="E9" s="108"/>
      <c r="F9" s="108"/>
      <c r="G9" s="108"/>
      <c r="H9" s="109"/>
      <c r="I9" s="107" t="s">
        <v>81</v>
      </c>
      <c r="J9" s="108"/>
      <c r="K9" s="108"/>
      <c r="L9" s="108"/>
      <c r="M9" s="108"/>
      <c r="N9" s="108"/>
    </row>
    <row r="10" spans="2:14" ht="10.5" customHeight="1" x14ac:dyDescent="0.25">
      <c r="B10" s="61"/>
      <c r="C10" s="55"/>
      <c r="D10" s="55"/>
      <c r="E10" s="55"/>
      <c r="F10" s="55"/>
      <c r="G10" s="55"/>
      <c r="H10" s="55"/>
      <c r="I10" s="60"/>
      <c r="J10" s="59"/>
      <c r="K10" s="55"/>
      <c r="L10" s="55"/>
      <c r="M10" s="55"/>
      <c r="N10" s="54"/>
    </row>
    <row r="11" spans="2:14" ht="13.8" x14ac:dyDescent="0.25">
      <c r="B11" s="58" t="s">
        <v>80</v>
      </c>
      <c r="C11" s="55"/>
      <c r="D11" s="55"/>
      <c r="E11" s="55"/>
      <c r="F11" s="55"/>
      <c r="G11" s="55"/>
      <c r="H11" s="55"/>
      <c r="I11" s="58" t="s">
        <v>79</v>
      </c>
      <c r="J11" s="55"/>
      <c r="K11" s="55"/>
      <c r="L11" s="55"/>
      <c r="M11" s="55"/>
      <c r="N11" s="54"/>
    </row>
    <row r="12" spans="2:14" ht="13.8" x14ac:dyDescent="0.25">
      <c r="B12" s="58" t="s">
        <v>78</v>
      </c>
      <c r="C12" s="55"/>
      <c r="D12" s="55"/>
      <c r="E12" s="55"/>
      <c r="F12" s="55"/>
      <c r="G12" s="55"/>
      <c r="H12" s="55"/>
      <c r="I12" s="58" t="s">
        <v>77</v>
      </c>
      <c r="J12" s="55"/>
      <c r="K12" s="57"/>
      <c r="L12" s="55"/>
      <c r="M12" s="55"/>
      <c r="N12" s="54"/>
    </row>
    <row r="13" spans="2:14" x14ac:dyDescent="0.25">
      <c r="B13" s="56"/>
      <c r="C13" s="55"/>
      <c r="D13" s="55"/>
      <c r="E13" s="55"/>
      <c r="F13" s="55"/>
      <c r="G13" s="55"/>
      <c r="H13" s="55"/>
      <c r="I13" s="56"/>
      <c r="J13" s="55"/>
      <c r="K13" s="55"/>
      <c r="L13" s="55"/>
      <c r="M13" s="55"/>
      <c r="N13" s="54"/>
    </row>
    <row r="14" spans="2:14" x14ac:dyDescent="0.25">
      <c r="B14" s="56"/>
      <c r="C14" s="55"/>
      <c r="D14" s="55"/>
      <c r="E14" s="55"/>
      <c r="F14" s="55"/>
      <c r="G14" s="55"/>
      <c r="H14" s="55"/>
      <c r="I14" s="56"/>
      <c r="J14" s="55"/>
      <c r="K14" s="55"/>
      <c r="L14" s="55"/>
      <c r="M14" s="55"/>
      <c r="N14" s="54"/>
    </row>
    <row r="15" spans="2:14" x14ac:dyDescent="0.25">
      <c r="B15" s="56"/>
      <c r="C15" s="55"/>
      <c r="D15" s="55"/>
      <c r="E15" s="55"/>
      <c r="F15" s="55"/>
      <c r="G15" s="55"/>
      <c r="H15" s="55"/>
      <c r="I15" s="56"/>
      <c r="J15" s="55"/>
      <c r="K15" s="55"/>
      <c r="L15" s="55"/>
      <c r="M15" s="55"/>
      <c r="N15" s="54"/>
    </row>
    <row r="16" spans="2:14" x14ac:dyDescent="0.25">
      <c r="B16" s="56"/>
      <c r="C16" s="55"/>
      <c r="D16" s="55"/>
      <c r="E16" s="55"/>
      <c r="F16" s="55"/>
      <c r="G16" s="55"/>
      <c r="H16" s="55"/>
      <c r="I16" s="56"/>
      <c r="J16" s="55"/>
      <c r="K16" s="55"/>
      <c r="L16" s="55"/>
      <c r="M16" s="55"/>
      <c r="N16" s="54"/>
    </row>
    <row r="17" spans="2:14" x14ac:dyDescent="0.25">
      <c r="B17" s="56"/>
      <c r="C17" s="55"/>
      <c r="D17" s="55"/>
      <c r="E17" s="55"/>
      <c r="F17" s="55"/>
      <c r="G17" s="55"/>
      <c r="H17" s="55"/>
      <c r="I17" s="56"/>
      <c r="J17" s="55"/>
      <c r="K17" s="55"/>
      <c r="L17" s="55"/>
      <c r="M17" s="55"/>
      <c r="N17" s="54"/>
    </row>
    <row r="18" spans="2:14" x14ac:dyDescent="0.25">
      <c r="B18" s="56"/>
      <c r="C18" s="55"/>
      <c r="D18" s="55"/>
      <c r="E18" s="55"/>
      <c r="F18" s="55"/>
      <c r="G18" s="55"/>
      <c r="H18" s="55"/>
      <c r="I18" s="56"/>
      <c r="J18" s="55"/>
      <c r="K18" s="55"/>
      <c r="L18" s="55"/>
      <c r="M18" s="55"/>
      <c r="N18" s="54"/>
    </row>
    <row r="19" spans="2:14" x14ac:dyDescent="0.25">
      <c r="B19" s="56"/>
      <c r="C19" s="55"/>
      <c r="D19" s="55"/>
      <c r="E19" s="55"/>
      <c r="F19" s="55"/>
      <c r="G19" s="55"/>
      <c r="H19" s="55"/>
      <c r="I19" s="56"/>
      <c r="J19" s="55"/>
      <c r="K19" s="55"/>
      <c r="L19" s="55"/>
      <c r="M19" s="55"/>
      <c r="N19" s="54"/>
    </row>
    <row r="20" spans="2:14" x14ac:dyDescent="0.25">
      <c r="B20" s="56"/>
      <c r="C20" s="55"/>
      <c r="D20" s="55"/>
      <c r="E20" s="55"/>
      <c r="F20" s="55"/>
      <c r="G20" s="55"/>
      <c r="H20" s="55"/>
      <c r="I20" s="56"/>
      <c r="J20" s="55"/>
      <c r="K20" s="55"/>
      <c r="L20" s="55"/>
      <c r="M20" s="55"/>
      <c r="N20" s="54"/>
    </row>
    <row r="21" spans="2:14" x14ac:dyDescent="0.25">
      <c r="B21" s="56"/>
      <c r="C21" s="55"/>
      <c r="D21" s="55"/>
      <c r="E21" s="55"/>
      <c r="F21" s="55"/>
      <c r="G21" s="55"/>
      <c r="H21" s="55"/>
      <c r="I21" s="56"/>
      <c r="J21" s="55"/>
      <c r="K21" s="55"/>
      <c r="L21" s="55"/>
      <c r="M21" s="55"/>
      <c r="N21" s="54"/>
    </row>
    <row r="22" spans="2:14" x14ac:dyDescent="0.25">
      <c r="B22" s="56"/>
      <c r="C22" s="55"/>
      <c r="D22" s="55"/>
      <c r="E22" s="55"/>
      <c r="F22" s="55"/>
      <c r="G22" s="55"/>
      <c r="H22" s="55"/>
      <c r="I22" s="56"/>
      <c r="J22" s="55"/>
      <c r="K22" s="55"/>
      <c r="L22" s="55"/>
      <c r="M22" s="55"/>
      <c r="N22" s="54"/>
    </row>
    <row r="23" spans="2:14" x14ac:dyDescent="0.25">
      <c r="B23" s="56"/>
      <c r="C23" s="55"/>
      <c r="D23" s="55"/>
      <c r="E23" s="55"/>
      <c r="F23" s="55"/>
      <c r="G23" s="55"/>
      <c r="H23" s="55"/>
      <c r="I23" s="56"/>
      <c r="J23" s="55"/>
      <c r="K23" s="55"/>
      <c r="L23" s="55"/>
      <c r="M23" s="55"/>
      <c r="N23" s="54"/>
    </row>
    <row r="24" spans="2:14" x14ac:dyDescent="0.25">
      <c r="B24" s="56"/>
      <c r="C24" s="55"/>
      <c r="D24" s="55"/>
      <c r="E24" s="55"/>
      <c r="F24" s="55"/>
      <c r="G24" s="55"/>
      <c r="H24" s="55"/>
      <c r="I24" s="56"/>
      <c r="J24" s="55"/>
      <c r="K24" s="55"/>
      <c r="L24" s="55"/>
      <c r="M24" s="55"/>
      <c r="N24" s="54"/>
    </row>
    <row r="25" spans="2:14" x14ac:dyDescent="0.25">
      <c r="B25" s="56"/>
      <c r="C25" s="55"/>
      <c r="D25" s="55"/>
      <c r="E25" s="55"/>
      <c r="F25" s="55"/>
      <c r="G25" s="55"/>
      <c r="H25" s="55"/>
      <c r="I25" s="56"/>
      <c r="J25" s="55"/>
      <c r="K25" s="55"/>
      <c r="L25" s="55"/>
      <c r="M25" s="55"/>
      <c r="N25" s="54"/>
    </row>
    <row r="26" spans="2:14" x14ac:dyDescent="0.25">
      <c r="B26" s="56"/>
      <c r="C26" s="55"/>
      <c r="D26" s="55"/>
      <c r="E26" s="55"/>
      <c r="F26" s="55"/>
      <c r="G26" s="55"/>
      <c r="H26" s="55"/>
      <c r="I26" s="56"/>
      <c r="J26" s="55"/>
      <c r="K26" s="55"/>
      <c r="L26" s="55"/>
      <c r="M26" s="55"/>
      <c r="N26" s="54"/>
    </row>
    <row r="27" spans="2:14" x14ac:dyDescent="0.25">
      <c r="B27" s="56"/>
      <c r="C27" s="55"/>
      <c r="D27" s="55"/>
      <c r="E27" s="55"/>
      <c r="F27" s="55"/>
      <c r="G27" s="55"/>
      <c r="H27" s="55"/>
      <c r="I27" s="56"/>
      <c r="J27" s="55"/>
      <c r="K27" s="55"/>
      <c r="L27" s="55"/>
      <c r="M27" s="55"/>
      <c r="N27" s="54"/>
    </row>
    <row r="28" spans="2:14" x14ac:dyDescent="0.25">
      <c r="B28" s="56"/>
      <c r="C28" s="55"/>
      <c r="D28" s="55"/>
      <c r="E28" s="55"/>
      <c r="F28" s="55"/>
      <c r="G28" s="55"/>
      <c r="H28" s="55"/>
      <c r="I28" s="56"/>
      <c r="J28" s="55"/>
      <c r="K28" s="55"/>
      <c r="L28" s="55"/>
      <c r="M28" s="55"/>
      <c r="N28" s="54"/>
    </row>
    <row r="29" spans="2:14" x14ac:dyDescent="0.25">
      <c r="B29" s="56"/>
      <c r="C29" s="55"/>
      <c r="D29" s="55"/>
      <c r="E29" s="55"/>
      <c r="F29" s="55"/>
      <c r="G29" s="55"/>
      <c r="H29" s="55"/>
      <c r="I29" s="56"/>
      <c r="J29" s="55"/>
      <c r="K29" s="55"/>
      <c r="L29" s="55"/>
      <c r="M29" s="55"/>
      <c r="N29" s="54"/>
    </row>
    <row r="30" spans="2:14" x14ac:dyDescent="0.25">
      <c r="B30" s="56"/>
      <c r="C30" s="55"/>
      <c r="D30" s="55"/>
      <c r="E30" s="55"/>
      <c r="F30" s="55"/>
      <c r="G30" s="55"/>
      <c r="H30" s="55"/>
      <c r="I30" s="56"/>
      <c r="J30" s="55"/>
      <c r="K30" s="55"/>
      <c r="L30" s="55"/>
      <c r="M30" s="55"/>
      <c r="N30" s="54"/>
    </row>
    <row r="31" spans="2:14" x14ac:dyDescent="0.25">
      <c r="B31" s="56"/>
      <c r="C31" s="55"/>
      <c r="D31" s="55"/>
      <c r="E31" s="55"/>
      <c r="F31" s="55"/>
      <c r="G31" s="55"/>
      <c r="H31" s="55"/>
      <c r="I31" s="56"/>
      <c r="J31" s="55"/>
      <c r="K31" s="55"/>
      <c r="L31" s="55"/>
      <c r="M31" s="55"/>
      <c r="N31" s="54"/>
    </row>
    <row r="32" spans="2:14" x14ac:dyDescent="0.25">
      <c r="B32" s="56"/>
      <c r="C32" s="55"/>
      <c r="D32" s="55"/>
      <c r="E32" s="55"/>
      <c r="F32" s="55"/>
      <c r="G32" s="55"/>
      <c r="H32" s="55"/>
      <c r="I32" s="56"/>
      <c r="J32" s="55"/>
      <c r="K32" s="55"/>
      <c r="L32" s="55"/>
      <c r="M32" s="55"/>
      <c r="N32" s="54"/>
    </row>
    <row r="33" spans="2:14" x14ac:dyDescent="0.25">
      <c r="B33" s="56"/>
      <c r="C33" s="55"/>
      <c r="D33" s="55"/>
      <c r="E33" s="55"/>
      <c r="F33" s="55"/>
      <c r="G33" s="55"/>
      <c r="H33" s="55"/>
      <c r="I33" s="56"/>
      <c r="J33" s="55"/>
      <c r="K33" s="55"/>
      <c r="L33" s="55"/>
      <c r="M33" s="55"/>
      <c r="N33" s="54"/>
    </row>
    <row r="34" spans="2:14" x14ac:dyDescent="0.25">
      <c r="B34" s="56"/>
      <c r="C34" s="55"/>
      <c r="D34" s="55"/>
      <c r="E34" s="55"/>
      <c r="F34" s="55"/>
      <c r="G34" s="55"/>
      <c r="H34" s="55"/>
      <c r="I34" s="56"/>
      <c r="J34" s="55"/>
      <c r="K34" s="55"/>
      <c r="L34" s="55"/>
      <c r="M34" s="55"/>
      <c r="N34" s="54"/>
    </row>
    <row r="35" spans="2:14" x14ac:dyDescent="0.25">
      <c r="B35" s="56"/>
      <c r="C35" s="55"/>
      <c r="D35" s="55"/>
      <c r="E35" s="55"/>
      <c r="F35" s="55"/>
      <c r="G35" s="55"/>
      <c r="H35" s="55"/>
      <c r="I35" s="56"/>
      <c r="J35" s="55"/>
      <c r="K35" s="55"/>
      <c r="L35" s="55"/>
      <c r="M35" s="55"/>
      <c r="N35" s="54"/>
    </row>
    <row r="36" spans="2:14" x14ac:dyDescent="0.25">
      <c r="B36" s="56"/>
      <c r="C36" s="55"/>
      <c r="D36" s="55"/>
      <c r="E36" s="55"/>
      <c r="F36" s="55"/>
      <c r="G36" s="55"/>
      <c r="H36" s="55"/>
      <c r="I36" s="56"/>
      <c r="J36" s="55"/>
      <c r="K36" s="55"/>
      <c r="L36" s="55"/>
      <c r="M36" s="55"/>
      <c r="N36" s="54"/>
    </row>
    <row r="37" spans="2:14" x14ac:dyDescent="0.25">
      <c r="B37" s="56"/>
      <c r="C37" s="55"/>
      <c r="D37" s="55"/>
      <c r="E37" s="55"/>
      <c r="F37" s="55"/>
      <c r="G37" s="55"/>
      <c r="H37" s="55"/>
      <c r="I37" s="56"/>
      <c r="J37" s="55"/>
      <c r="K37" s="55"/>
      <c r="L37" s="55"/>
      <c r="M37" s="55"/>
      <c r="N37" s="54"/>
    </row>
    <row r="38" spans="2:14" x14ac:dyDescent="0.25">
      <c r="B38" s="56"/>
      <c r="C38" s="55"/>
      <c r="D38" s="55"/>
      <c r="E38" s="55"/>
      <c r="F38" s="55"/>
      <c r="G38" s="55"/>
      <c r="H38" s="55"/>
      <c r="I38" s="56"/>
      <c r="J38" s="55"/>
      <c r="K38" s="55"/>
      <c r="L38" s="55"/>
      <c r="M38" s="55"/>
      <c r="N38" s="54"/>
    </row>
    <row r="39" spans="2:14" x14ac:dyDescent="0.25">
      <c r="B39" s="53"/>
      <c r="C39" s="52"/>
      <c r="D39" s="52"/>
      <c r="E39" s="52"/>
      <c r="F39" s="52"/>
      <c r="G39" s="52"/>
      <c r="H39" s="52"/>
      <c r="I39" s="53"/>
      <c r="J39" s="52"/>
      <c r="K39" s="52"/>
      <c r="L39" s="52"/>
      <c r="M39" s="52"/>
      <c r="N39" s="51"/>
    </row>
  </sheetData>
  <sheetProtection password="CF7A" sheet="1" objects="1" scenarios="1" selectLockedCells="1" selectUnlockedCells="1"/>
  <mergeCells count="2">
    <mergeCell ref="B9:H9"/>
    <mergeCell ref="I9:N9"/>
  </mergeCells>
  <conditionalFormatting sqref="B9:H9">
    <cfRule type="expression" dxfId="12" priority="2" stopIfTrue="1">
      <formula>AND($N$2=12)</formula>
    </cfRule>
  </conditionalFormatting>
  <conditionalFormatting sqref="I9:N9">
    <cfRule type="expression" dxfId="11" priority="1" stopIfTrue="1">
      <formula>AND($N$2&lt;12)</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FB34"/>
  <sheetViews>
    <sheetView showGridLines="0" topLeftCell="A17" zoomScale="90" zoomScaleNormal="90" workbookViewId="0">
      <selection activeCell="AF25" sqref="AE25:AF32"/>
    </sheetView>
  </sheetViews>
  <sheetFormatPr baseColWidth="10" defaultColWidth="9.109375" defaultRowHeight="14.4" x14ac:dyDescent="0.3"/>
  <cols>
    <col min="1" max="1" width="2.5546875" customWidth="1"/>
    <col min="2" max="2" width="3.44140625" customWidth="1"/>
    <col min="3" max="3" width="8.44140625" customWidth="1"/>
    <col min="4" max="4" width="8.88671875" customWidth="1"/>
    <col min="5" max="5" width="6.88671875" customWidth="1"/>
    <col min="6" max="6" width="8" customWidth="1"/>
    <col min="7" max="7" width="11.88671875" customWidth="1"/>
    <col min="8" max="8" width="4.88671875" customWidth="1"/>
    <col min="9" max="9" width="6.88671875" customWidth="1"/>
    <col min="10" max="11" width="8" customWidth="1"/>
    <col min="12" max="13" width="6.88671875" customWidth="1"/>
    <col min="14" max="15" width="8" customWidth="1"/>
    <col min="16" max="17" width="6.88671875" customWidth="1"/>
    <col min="18" max="19" width="8" customWidth="1"/>
    <col min="20" max="21" width="6.88671875" customWidth="1"/>
    <col min="22" max="23" width="8" customWidth="1"/>
    <col min="24" max="25" width="6.88671875" customWidth="1"/>
    <col min="26" max="27" width="8" customWidth="1"/>
    <col min="28" max="28" width="7.44140625" customWidth="1"/>
    <col min="29" max="29" width="3.44140625" customWidth="1"/>
    <col min="30" max="30" width="2.6640625" customWidth="1"/>
  </cols>
  <sheetData>
    <row r="1" spans="1:16382" ht="7.5" customHeight="1" x14ac:dyDescent="0.3">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row>
    <row r="2" spans="1:16382" ht="18" customHeight="1" x14ac:dyDescent="0.3">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row>
    <row r="3" spans="1:16382" ht="8.25" customHeight="1" x14ac:dyDescent="0.3">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row>
    <row r="4" spans="1:16382" ht="18" customHeight="1" x14ac:dyDescent="0.3">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row>
    <row r="5" spans="1:16382" s="30" customFormat="1" ht="7.5" customHeight="1" x14ac:dyDescent="0.3">
      <c r="A5" s="70"/>
      <c r="B5" s="70"/>
      <c r="C5" s="70"/>
      <c r="D5" s="70"/>
      <c r="E5" s="70"/>
      <c r="F5" s="70"/>
      <c r="G5" s="70"/>
      <c r="H5" s="70"/>
      <c r="I5" s="70"/>
      <c r="J5" s="70"/>
      <c r="K5" s="70"/>
      <c r="L5" s="70"/>
      <c r="M5" s="70"/>
      <c r="N5" s="70"/>
      <c r="O5" s="70"/>
      <c r="P5" s="70"/>
      <c r="Q5" s="70"/>
      <c r="R5" s="70"/>
      <c r="S5" s="70"/>
      <c r="T5" s="70"/>
      <c r="U5" s="70"/>
      <c r="V5" s="70"/>
      <c r="W5" s="70"/>
      <c r="X5" s="70"/>
      <c r="Y5" s="70"/>
      <c r="Z5" s="70"/>
      <c r="AA5" s="70"/>
      <c r="AB5" s="70"/>
      <c r="AC5" s="70"/>
      <c r="AD5" s="70"/>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c r="XY5" s="11"/>
      <c r="XZ5" s="11"/>
      <c r="YA5" s="11"/>
      <c r="YB5" s="11"/>
      <c r="YC5" s="11"/>
      <c r="YD5" s="11"/>
      <c r="YE5" s="11"/>
      <c r="YF5" s="11"/>
      <c r="YG5" s="11"/>
      <c r="YH5" s="11"/>
      <c r="YI5" s="11"/>
      <c r="YJ5" s="11"/>
      <c r="YK5" s="11"/>
      <c r="YL5" s="11"/>
      <c r="YM5" s="11"/>
      <c r="YN5" s="11"/>
      <c r="YO5" s="11"/>
      <c r="YP5" s="11"/>
      <c r="YQ5" s="11"/>
      <c r="YR5" s="11"/>
      <c r="YS5" s="11"/>
      <c r="YT5" s="11"/>
      <c r="YU5" s="11"/>
      <c r="YV5" s="11"/>
      <c r="YW5" s="11"/>
      <c r="YX5" s="11"/>
      <c r="YY5" s="11"/>
      <c r="YZ5" s="11"/>
      <c r="ZA5" s="11"/>
      <c r="ZB5" s="11"/>
      <c r="ZC5" s="11"/>
      <c r="ZD5" s="11"/>
      <c r="ZE5" s="11"/>
      <c r="ZF5" s="11"/>
      <c r="ZG5" s="11"/>
      <c r="ZH5" s="11"/>
      <c r="ZI5" s="11"/>
      <c r="ZJ5" s="11"/>
      <c r="ZK5" s="11"/>
      <c r="ZL5" s="11"/>
      <c r="ZM5" s="11"/>
      <c r="ZN5" s="11"/>
      <c r="ZO5" s="11"/>
      <c r="ZP5" s="11"/>
      <c r="ZQ5" s="11"/>
      <c r="ZR5" s="11"/>
      <c r="ZS5" s="11"/>
      <c r="ZT5" s="11"/>
      <c r="ZU5" s="11"/>
      <c r="ZV5" s="11"/>
      <c r="ZW5" s="11"/>
      <c r="ZX5" s="11"/>
      <c r="ZY5" s="11"/>
      <c r="ZZ5" s="11"/>
      <c r="AAA5" s="11"/>
      <c r="AAB5" s="11"/>
      <c r="AAC5" s="11"/>
      <c r="AAD5" s="11"/>
      <c r="AAE5" s="11"/>
      <c r="AAF5" s="11"/>
      <c r="AAG5" s="11"/>
      <c r="AAH5" s="11"/>
      <c r="AAI5" s="11"/>
      <c r="AAJ5" s="11"/>
      <c r="AAK5" s="11"/>
      <c r="AAL5" s="11"/>
      <c r="AAM5" s="11"/>
      <c r="AAN5" s="11"/>
      <c r="AAO5" s="11"/>
      <c r="AAP5" s="11"/>
      <c r="AAQ5" s="11"/>
      <c r="AAR5" s="11"/>
      <c r="AAS5" s="11"/>
      <c r="AAT5" s="11"/>
      <c r="AAU5" s="11"/>
      <c r="AAV5" s="11"/>
      <c r="AAW5" s="11"/>
      <c r="AAX5" s="11"/>
      <c r="AAY5" s="11"/>
      <c r="AAZ5" s="11"/>
      <c r="ABA5" s="11"/>
      <c r="ABB5" s="11"/>
      <c r="ABC5" s="11"/>
      <c r="ABD5" s="11"/>
      <c r="ABE5" s="11"/>
      <c r="ABF5" s="11"/>
      <c r="ABG5" s="11"/>
      <c r="ABH5" s="11"/>
      <c r="ABI5" s="11"/>
      <c r="ABJ5" s="11"/>
      <c r="ABK5" s="11"/>
      <c r="ABL5" s="11"/>
      <c r="ABM5" s="11"/>
      <c r="ABN5" s="11"/>
      <c r="ABO5" s="11"/>
      <c r="ABP5" s="11"/>
      <c r="ABQ5" s="11"/>
      <c r="ABR5" s="11"/>
      <c r="ABS5" s="11"/>
      <c r="ABT5" s="11"/>
      <c r="ABU5" s="11"/>
      <c r="ABV5" s="11"/>
      <c r="ABW5" s="11"/>
      <c r="ABX5" s="11"/>
      <c r="ABY5" s="11"/>
      <c r="ABZ5" s="11"/>
      <c r="ACA5" s="11"/>
      <c r="ACB5" s="11"/>
      <c r="ACC5" s="11"/>
      <c r="ACD5" s="11"/>
      <c r="ACE5" s="11"/>
      <c r="ACF5" s="11"/>
      <c r="ACG5" s="11"/>
      <c r="ACH5" s="11"/>
      <c r="ACI5" s="11"/>
      <c r="ACJ5" s="11"/>
      <c r="ACK5" s="11"/>
      <c r="ACL5" s="11"/>
      <c r="ACM5" s="11"/>
      <c r="ACN5" s="11"/>
      <c r="ACO5" s="11"/>
      <c r="ACP5" s="11"/>
      <c r="ACQ5" s="11"/>
      <c r="ACR5" s="11"/>
      <c r="ACS5" s="11"/>
      <c r="ACT5" s="11"/>
      <c r="ACU5" s="11"/>
      <c r="ACV5" s="11"/>
      <c r="ACW5" s="11"/>
      <c r="ACX5" s="11"/>
      <c r="ACY5" s="11"/>
      <c r="ACZ5" s="11"/>
      <c r="ADA5" s="11"/>
      <c r="ADB5" s="11"/>
      <c r="ADC5" s="11"/>
      <c r="ADD5" s="11"/>
      <c r="ADE5" s="11"/>
      <c r="ADF5" s="11"/>
      <c r="ADG5" s="11"/>
      <c r="ADH5" s="11"/>
      <c r="ADI5" s="11"/>
      <c r="ADJ5" s="11"/>
      <c r="ADK5" s="11"/>
      <c r="ADL5" s="11"/>
      <c r="ADM5" s="11"/>
      <c r="ADN5" s="11"/>
      <c r="ADO5" s="11"/>
      <c r="ADP5" s="11"/>
      <c r="ADQ5" s="11"/>
      <c r="ADR5" s="11"/>
      <c r="ADS5" s="11"/>
      <c r="ADT5" s="11"/>
      <c r="ADU5" s="11"/>
      <c r="ADV5" s="11"/>
      <c r="ADW5" s="11"/>
      <c r="ADX5" s="11"/>
      <c r="ADY5" s="11"/>
      <c r="ADZ5" s="11"/>
      <c r="AEA5" s="11"/>
      <c r="AEB5" s="11"/>
      <c r="AEC5" s="11"/>
      <c r="AED5" s="11"/>
      <c r="AEE5" s="11"/>
      <c r="AEF5" s="11"/>
      <c r="AEG5" s="11"/>
      <c r="AEH5" s="11"/>
      <c r="AEI5" s="11"/>
      <c r="AEJ5" s="11"/>
      <c r="AEK5" s="11"/>
      <c r="AEL5" s="11"/>
      <c r="AEM5" s="11"/>
      <c r="AEN5" s="11"/>
      <c r="AEO5" s="11"/>
      <c r="AEP5" s="11"/>
      <c r="AEQ5" s="11"/>
      <c r="AER5" s="11"/>
      <c r="AES5" s="11"/>
      <c r="AET5" s="11"/>
      <c r="AEU5" s="11"/>
      <c r="AEV5" s="11"/>
      <c r="AEW5" s="11"/>
      <c r="AEX5" s="11"/>
      <c r="AEY5" s="11"/>
      <c r="AEZ5" s="11"/>
      <c r="AFA5" s="11"/>
      <c r="AFB5" s="11"/>
      <c r="AFC5" s="11"/>
      <c r="AFD5" s="11"/>
      <c r="AFE5" s="11"/>
      <c r="AFF5" s="11"/>
      <c r="AFG5" s="11"/>
      <c r="AFH5" s="11"/>
      <c r="AFI5" s="11"/>
      <c r="AFJ5" s="11"/>
      <c r="AFK5" s="11"/>
      <c r="AFL5" s="11"/>
      <c r="AFM5" s="11"/>
      <c r="AFN5" s="11"/>
      <c r="AFO5" s="11"/>
      <c r="AFP5" s="11"/>
      <c r="AFQ5" s="11"/>
      <c r="AFR5" s="11"/>
      <c r="AFS5" s="11"/>
      <c r="AFT5" s="11"/>
      <c r="AFU5" s="11"/>
      <c r="AFV5" s="11"/>
      <c r="AFW5" s="11"/>
      <c r="AFX5" s="11"/>
      <c r="AFY5" s="11"/>
      <c r="AFZ5" s="11"/>
      <c r="AGA5" s="11"/>
      <c r="AGB5" s="11"/>
      <c r="AGC5" s="11"/>
      <c r="AGD5" s="11"/>
      <c r="AGE5" s="11"/>
      <c r="AGF5" s="11"/>
      <c r="AGG5" s="11"/>
      <c r="AGH5" s="11"/>
      <c r="AGI5" s="11"/>
      <c r="AGJ5" s="11"/>
      <c r="AGK5" s="11"/>
      <c r="AGL5" s="11"/>
      <c r="AGM5" s="11"/>
      <c r="AGN5" s="11"/>
      <c r="AGO5" s="11"/>
      <c r="AGP5" s="11"/>
      <c r="AGQ5" s="11"/>
      <c r="AGR5" s="11"/>
      <c r="AGS5" s="11"/>
      <c r="AGT5" s="11"/>
      <c r="AGU5" s="11"/>
      <c r="AGV5" s="11"/>
      <c r="AGW5" s="11"/>
      <c r="AGX5" s="11"/>
      <c r="AGY5" s="11"/>
      <c r="AGZ5" s="11"/>
      <c r="AHA5" s="11"/>
      <c r="AHB5" s="11"/>
      <c r="AHC5" s="11"/>
      <c r="AHD5" s="11"/>
      <c r="AHE5" s="11"/>
      <c r="AHF5" s="11"/>
      <c r="AHG5" s="11"/>
      <c r="AHH5" s="11"/>
      <c r="AHI5" s="11"/>
      <c r="AHJ5" s="11"/>
      <c r="AHK5" s="11"/>
      <c r="AHL5" s="11"/>
      <c r="AHM5" s="11"/>
      <c r="AHN5" s="11"/>
      <c r="AHO5" s="11"/>
      <c r="AHP5" s="11"/>
      <c r="AHQ5" s="11"/>
      <c r="AHR5" s="11"/>
      <c r="AHS5" s="11"/>
      <c r="AHT5" s="11"/>
      <c r="AHU5" s="11"/>
      <c r="AHV5" s="11"/>
      <c r="AHW5" s="11"/>
      <c r="AHX5" s="11"/>
      <c r="AHY5" s="11"/>
      <c r="AHZ5" s="11"/>
      <c r="AIA5" s="11"/>
      <c r="AIB5" s="11"/>
      <c r="AIC5" s="11"/>
      <c r="AID5" s="11"/>
      <c r="AIE5" s="11"/>
      <c r="AIF5" s="11"/>
      <c r="AIG5" s="11"/>
      <c r="AIH5" s="11"/>
      <c r="AII5" s="11"/>
      <c r="AIJ5" s="11"/>
      <c r="AIK5" s="11"/>
      <c r="AIL5" s="11"/>
      <c r="AIM5" s="11"/>
      <c r="AIN5" s="11"/>
      <c r="AIO5" s="11"/>
      <c r="AIP5" s="11"/>
      <c r="AIQ5" s="11"/>
      <c r="AIR5" s="11"/>
      <c r="AIS5" s="11"/>
      <c r="AIT5" s="11"/>
      <c r="AIU5" s="11"/>
      <c r="AIV5" s="11"/>
      <c r="AIW5" s="11"/>
      <c r="AIX5" s="11"/>
      <c r="AIY5" s="11"/>
      <c r="AIZ5" s="11"/>
      <c r="AJA5" s="11"/>
      <c r="AJB5" s="11"/>
      <c r="AJC5" s="11"/>
      <c r="AJD5" s="11"/>
      <c r="AJE5" s="11"/>
      <c r="AJF5" s="11"/>
      <c r="AJG5" s="11"/>
      <c r="AJH5" s="11"/>
      <c r="AJI5" s="11"/>
      <c r="AJJ5" s="11"/>
      <c r="AJK5" s="11"/>
      <c r="AJL5" s="11"/>
      <c r="AJM5" s="11"/>
      <c r="AJN5" s="11"/>
      <c r="AJO5" s="11"/>
      <c r="AJP5" s="11"/>
      <c r="AJQ5" s="11"/>
      <c r="AJR5" s="11"/>
      <c r="AJS5" s="11"/>
      <c r="AJT5" s="11"/>
      <c r="AJU5" s="11"/>
      <c r="AJV5" s="11"/>
      <c r="AJW5" s="11"/>
      <c r="AJX5" s="11"/>
      <c r="AJY5" s="11"/>
      <c r="AJZ5" s="11"/>
      <c r="AKA5" s="11"/>
      <c r="AKB5" s="11"/>
      <c r="AKC5" s="11"/>
      <c r="AKD5" s="11"/>
      <c r="AKE5" s="11"/>
      <c r="AKF5" s="11"/>
      <c r="AKG5" s="11"/>
      <c r="AKH5" s="11"/>
      <c r="AKI5" s="11"/>
      <c r="AKJ5" s="11"/>
      <c r="AKK5" s="11"/>
      <c r="AKL5" s="11"/>
      <c r="AKM5" s="11"/>
      <c r="AKN5" s="11"/>
      <c r="AKO5" s="11"/>
      <c r="AKP5" s="11"/>
      <c r="AKQ5" s="11"/>
      <c r="AKR5" s="11"/>
      <c r="AKS5" s="11"/>
      <c r="AKT5" s="11"/>
      <c r="AKU5" s="11"/>
      <c r="AKV5" s="11"/>
      <c r="AKW5" s="11"/>
      <c r="AKX5" s="11"/>
      <c r="AKY5" s="11"/>
      <c r="AKZ5" s="11"/>
      <c r="ALA5" s="11"/>
      <c r="ALB5" s="11"/>
      <c r="ALC5" s="11"/>
      <c r="ALD5" s="11"/>
      <c r="ALE5" s="11"/>
      <c r="ALF5" s="11"/>
      <c r="ALG5" s="11"/>
      <c r="ALH5" s="11"/>
      <c r="ALI5" s="11"/>
      <c r="ALJ5" s="11"/>
      <c r="ALK5" s="11"/>
      <c r="ALL5" s="11"/>
      <c r="ALM5" s="11"/>
      <c r="ALN5" s="11"/>
      <c r="ALO5" s="11"/>
      <c r="ALP5" s="11"/>
      <c r="ALQ5" s="11"/>
      <c r="ALR5" s="11"/>
      <c r="ALS5" s="11"/>
      <c r="ALT5" s="11"/>
      <c r="ALU5" s="11"/>
      <c r="ALV5" s="11"/>
      <c r="ALW5" s="11"/>
      <c r="ALX5" s="11"/>
      <c r="ALY5" s="11"/>
      <c r="ALZ5" s="11"/>
      <c r="AMA5" s="11"/>
      <c r="AMB5" s="11"/>
      <c r="AMC5" s="11"/>
      <c r="AMD5" s="11"/>
      <c r="AME5" s="11"/>
      <c r="AMF5" s="11"/>
      <c r="AMG5" s="11"/>
      <c r="AMH5" s="11"/>
      <c r="AMI5" s="11"/>
      <c r="AMJ5" s="11"/>
      <c r="AMK5" s="11"/>
      <c r="AML5" s="11"/>
      <c r="AMM5" s="11"/>
      <c r="AMN5" s="11"/>
      <c r="AMO5" s="11"/>
      <c r="AMP5" s="11"/>
      <c r="AMQ5" s="11"/>
      <c r="AMR5" s="11"/>
      <c r="AMS5" s="11"/>
      <c r="AMT5" s="11"/>
      <c r="AMU5" s="11"/>
      <c r="AMV5" s="11"/>
      <c r="AMW5" s="11"/>
      <c r="AMX5" s="11"/>
      <c r="AMY5" s="11"/>
      <c r="AMZ5" s="11"/>
      <c r="ANA5" s="11"/>
      <c r="ANB5" s="11"/>
      <c r="ANC5" s="11"/>
      <c r="AND5" s="11"/>
      <c r="ANE5" s="11"/>
      <c r="ANF5" s="11"/>
      <c r="ANG5" s="11"/>
      <c r="ANH5" s="11"/>
      <c r="ANI5" s="11"/>
      <c r="ANJ5" s="11"/>
      <c r="ANK5" s="11"/>
      <c r="ANL5" s="11"/>
      <c r="ANM5" s="11"/>
      <c r="ANN5" s="11"/>
      <c r="ANO5" s="11"/>
      <c r="ANP5" s="11"/>
      <c r="ANQ5" s="11"/>
      <c r="ANR5" s="11"/>
      <c r="ANS5" s="11"/>
      <c r="ANT5" s="11"/>
      <c r="ANU5" s="11"/>
      <c r="ANV5" s="11"/>
      <c r="ANW5" s="11"/>
      <c r="ANX5" s="11"/>
      <c r="ANY5" s="11"/>
      <c r="ANZ5" s="11"/>
      <c r="AOA5" s="11"/>
      <c r="AOB5" s="11"/>
      <c r="AOC5" s="11"/>
      <c r="AOD5" s="11"/>
      <c r="AOE5" s="11"/>
      <c r="AOF5" s="11"/>
      <c r="AOG5" s="11"/>
      <c r="AOH5" s="11"/>
      <c r="AOI5" s="11"/>
      <c r="AOJ5" s="11"/>
      <c r="AOK5" s="11"/>
      <c r="AOL5" s="11"/>
      <c r="AOM5" s="11"/>
      <c r="AON5" s="11"/>
      <c r="AOO5" s="11"/>
      <c r="AOP5" s="11"/>
      <c r="AOQ5" s="11"/>
      <c r="AOR5" s="11"/>
      <c r="AOS5" s="11"/>
      <c r="AOT5" s="11"/>
      <c r="AOU5" s="11"/>
      <c r="AOV5" s="11"/>
      <c r="AOW5" s="11"/>
      <c r="AOX5" s="11"/>
      <c r="AOY5" s="11"/>
      <c r="AOZ5" s="11"/>
      <c r="APA5" s="11"/>
      <c r="APB5" s="11"/>
      <c r="APC5" s="11"/>
      <c r="APD5" s="11"/>
      <c r="APE5" s="11"/>
      <c r="APF5" s="11"/>
      <c r="APG5" s="11"/>
      <c r="APH5" s="11"/>
      <c r="API5" s="11"/>
      <c r="APJ5" s="11"/>
      <c r="APK5" s="11"/>
      <c r="APL5" s="11"/>
      <c r="APM5" s="11"/>
      <c r="APN5" s="11"/>
      <c r="APO5" s="11"/>
      <c r="APP5" s="11"/>
      <c r="APQ5" s="11"/>
      <c r="APR5" s="11"/>
      <c r="APS5" s="11"/>
      <c r="APT5" s="11"/>
      <c r="APU5" s="11"/>
      <c r="APV5" s="11"/>
      <c r="APW5" s="11"/>
      <c r="APX5" s="11"/>
      <c r="APY5" s="11"/>
      <c r="APZ5" s="11"/>
      <c r="AQA5" s="11"/>
      <c r="AQB5" s="11"/>
      <c r="AQC5" s="11"/>
      <c r="AQD5" s="11"/>
      <c r="AQE5" s="11"/>
      <c r="AQF5" s="11"/>
      <c r="AQG5" s="11"/>
      <c r="AQH5" s="11"/>
      <c r="AQI5" s="11"/>
      <c r="AQJ5" s="11"/>
      <c r="AQK5" s="11"/>
      <c r="AQL5" s="11"/>
      <c r="AQM5" s="11"/>
      <c r="AQN5" s="11"/>
      <c r="AQO5" s="11"/>
      <c r="AQP5" s="11"/>
      <c r="AQQ5" s="11"/>
      <c r="AQR5" s="11"/>
      <c r="AQS5" s="11"/>
      <c r="AQT5" s="11"/>
      <c r="AQU5" s="11"/>
      <c r="AQV5" s="11"/>
      <c r="AQW5" s="11"/>
      <c r="AQX5" s="11"/>
      <c r="AQY5" s="11"/>
      <c r="AQZ5" s="11"/>
      <c r="ARA5" s="11"/>
      <c r="ARB5" s="11"/>
      <c r="ARC5" s="11"/>
      <c r="ARD5" s="11"/>
      <c r="ARE5" s="11"/>
      <c r="ARF5" s="11"/>
      <c r="ARG5" s="11"/>
      <c r="ARH5" s="11"/>
      <c r="ARI5" s="11"/>
      <c r="ARJ5" s="11"/>
      <c r="ARK5" s="11"/>
      <c r="ARL5" s="11"/>
      <c r="ARM5" s="11"/>
      <c r="ARN5" s="11"/>
      <c r="ARO5" s="11"/>
      <c r="ARP5" s="11"/>
      <c r="ARQ5" s="11"/>
      <c r="ARR5" s="11"/>
      <c r="ARS5" s="11"/>
      <c r="ART5" s="11"/>
      <c r="ARU5" s="11"/>
      <c r="ARV5" s="11"/>
      <c r="ARW5" s="11"/>
      <c r="ARX5" s="11"/>
      <c r="ARY5" s="11"/>
      <c r="ARZ5" s="11"/>
      <c r="ASA5" s="11"/>
      <c r="ASB5" s="11"/>
      <c r="ASC5" s="11"/>
      <c r="ASD5" s="11"/>
      <c r="ASE5" s="11"/>
      <c r="ASF5" s="11"/>
      <c r="ASG5" s="11"/>
      <c r="ASH5" s="11"/>
      <c r="ASI5" s="11"/>
      <c r="ASJ5" s="11"/>
      <c r="ASK5" s="11"/>
      <c r="ASL5" s="11"/>
      <c r="ASM5" s="11"/>
      <c r="ASN5" s="11"/>
      <c r="ASO5" s="11"/>
      <c r="ASP5" s="11"/>
      <c r="ASQ5" s="11"/>
      <c r="ASR5" s="11"/>
      <c r="ASS5" s="11"/>
      <c r="AST5" s="11"/>
      <c r="ASU5" s="11"/>
      <c r="ASV5" s="11"/>
      <c r="ASW5" s="11"/>
      <c r="ASX5" s="11"/>
      <c r="ASY5" s="11"/>
      <c r="ASZ5" s="11"/>
      <c r="ATA5" s="11"/>
      <c r="ATB5" s="11"/>
      <c r="ATC5" s="11"/>
      <c r="ATD5" s="11"/>
      <c r="ATE5" s="11"/>
      <c r="ATF5" s="11"/>
      <c r="ATG5" s="11"/>
      <c r="ATH5" s="11"/>
      <c r="ATI5" s="11"/>
      <c r="ATJ5" s="11"/>
      <c r="ATK5" s="11"/>
      <c r="ATL5" s="11"/>
      <c r="ATM5" s="11"/>
      <c r="ATN5" s="11"/>
      <c r="ATO5" s="11"/>
      <c r="ATP5" s="11"/>
      <c r="ATQ5" s="11"/>
      <c r="ATR5" s="11"/>
      <c r="ATS5" s="11"/>
      <c r="ATT5" s="11"/>
      <c r="ATU5" s="11"/>
      <c r="ATV5" s="11"/>
      <c r="ATW5" s="11"/>
      <c r="ATX5" s="11"/>
      <c r="ATY5" s="11"/>
      <c r="ATZ5" s="11"/>
      <c r="AUA5" s="11"/>
      <c r="AUB5" s="11"/>
      <c r="AUC5" s="11"/>
      <c r="AUD5" s="11"/>
      <c r="AUE5" s="11"/>
      <c r="AUF5" s="11"/>
      <c r="AUG5" s="11"/>
      <c r="AUH5" s="11"/>
      <c r="AUI5" s="11"/>
      <c r="AUJ5" s="11"/>
      <c r="AUK5" s="11"/>
      <c r="AUL5" s="11"/>
      <c r="AUM5" s="11"/>
      <c r="AUN5" s="11"/>
      <c r="AUO5" s="11"/>
      <c r="AUP5" s="11"/>
      <c r="AUQ5" s="11"/>
      <c r="AUR5" s="11"/>
      <c r="AUS5" s="11"/>
      <c r="AUT5" s="11"/>
      <c r="AUU5" s="11"/>
      <c r="AUV5" s="11"/>
      <c r="AUW5" s="11"/>
      <c r="AUX5" s="11"/>
      <c r="AUY5" s="11"/>
      <c r="AUZ5" s="11"/>
      <c r="AVA5" s="11"/>
      <c r="AVB5" s="11"/>
      <c r="AVC5" s="11"/>
      <c r="AVD5" s="11"/>
      <c r="AVE5" s="11"/>
      <c r="AVF5" s="11"/>
      <c r="AVG5" s="11"/>
      <c r="AVH5" s="11"/>
      <c r="AVI5" s="11"/>
      <c r="AVJ5" s="11"/>
      <c r="AVK5" s="11"/>
      <c r="AVL5" s="11"/>
      <c r="AVM5" s="11"/>
      <c r="AVN5" s="11"/>
      <c r="AVO5" s="11"/>
      <c r="AVP5" s="11"/>
      <c r="AVQ5" s="11"/>
      <c r="AVR5" s="11"/>
      <c r="AVS5" s="11"/>
      <c r="AVT5" s="11"/>
      <c r="AVU5" s="11"/>
      <c r="AVV5" s="11"/>
      <c r="AVW5" s="11"/>
      <c r="AVX5" s="11"/>
      <c r="AVY5" s="11"/>
      <c r="AVZ5" s="11"/>
      <c r="AWA5" s="11"/>
      <c r="AWB5" s="11"/>
      <c r="AWC5" s="11"/>
      <c r="AWD5" s="11"/>
      <c r="AWE5" s="11"/>
      <c r="AWF5" s="11"/>
      <c r="AWG5" s="11"/>
      <c r="AWH5" s="11"/>
      <c r="AWI5" s="11"/>
      <c r="AWJ5" s="11"/>
      <c r="AWK5" s="11"/>
      <c r="AWL5" s="11"/>
      <c r="AWM5" s="11"/>
      <c r="AWN5" s="11"/>
      <c r="AWO5" s="11"/>
      <c r="AWP5" s="11"/>
      <c r="AWQ5" s="11"/>
      <c r="AWR5" s="11"/>
      <c r="AWS5" s="11"/>
      <c r="AWT5" s="11"/>
      <c r="AWU5" s="11"/>
      <c r="AWV5" s="11"/>
      <c r="AWW5" s="11"/>
      <c r="AWX5" s="11"/>
      <c r="AWY5" s="11"/>
      <c r="AWZ5" s="11"/>
      <c r="AXA5" s="11"/>
      <c r="AXB5" s="11"/>
      <c r="AXC5" s="11"/>
      <c r="AXD5" s="11"/>
      <c r="AXE5" s="11"/>
      <c r="AXF5" s="11"/>
      <c r="AXG5" s="11"/>
      <c r="AXH5" s="11"/>
      <c r="AXI5" s="11"/>
      <c r="AXJ5" s="11"/>
      <c r="AXK5" s="11"/>
      <c r="AXL5" s="11"/>
      <c r="AXM5" s="11"/>
      <c r="AXN5" s="11"/>
      <c r="AXO5" s="11"/>
      <c r="AXP5" s="11"/>
      <c r="AXQ5" s="11"/>
      <c r="AXR5" s="11"/>
      <c r="AXS5" s="11"/>
      <c r="AXT5" s="11"/>
      <c r="AXU5" s="11"/>
      <c r="AXV5" s="11"/>
      <c r="AXW5" s="11"/>
      <c r="AXX5" s="11"/>
      <c r="AXY5" s="11"/>
      <c r="AXZ5" s="11"/>
      <c r="AYA5" s="11"/>
      <c r="AYB5" s="11"/>
      <c r="AYC5" s="11"/>
      <c r="AYD5" s="11"/>
      <c r="AYE5" s="11"/>
      <c r="AYF5" s="11"/>
      <c r="AYG5" s="11"/>
      <c r="AYH5" s="11"/>
      <c r="AYI5" s="11"/>
      <c r="AYJ5" s="11"/>
      <c r="AYK5" s="11"/>
      <c r="AYL5" s="11"/>
      <c r="AYM5" s="11"/>
      <c r="AYN5" s="11"/>
      <c r="AYO5" s="11"/>
      <c r="AYP5" s="11"/>
      <c r="AYQ5" s="11"/>
      <c r="AYR5" s="11"/>
      <c r="AYS5" s="11"/>
      <c r="AYT5" s="11"/>
      <c r="AYU5" s="11"/>
      <c r="AYV5" s="11"/>
      <c r="AYW5" s="11"/>
      <c r="AYX5" s="11"/>
      <c r="AYY5" s="11"/>
      <c r="AYZ5" s="11"/>
      <c r="AZA5" s="11"/>
      <c r="AZB5" s="11"/>
      <c r="AZC5" s="11"/>
      <c r="AZD5" s="11"/>
      <c r="AZE5" s="11"/>
      <c r="AZF5" s="11"/>
      <c r="AZG5" s="11"/>
      <c r="AZH5" s="11"/>
      <c r="AZI5" s="11"/>
      <c r="AZJ5" s="11"/>
      <c r="AZK5" s="11"/>
      <c r="AZL5" s="11"/>
      <c r="AZM5" s="11"/>
      <c r="AZN5" s="11"/>
      <c r="AZO5" s="11"/>
      <c r="AZP5" s="11"/>
      <c r="AZQ5" s="11"/>
      <c r="AZR5" s="11"/>
      <c r="AZS5" s="11"/>
      <c r="AZT5" s="11"/>
      <c r="AZU5" s="11"/>
      <c r="AZV5" s="11"/>
      <c r="AZW5" s="11"/>
      <c r="AZX5" s="11"/>
      <c r="AZY5" s="11"/>
      <c r="AZZ5" s="11"/>
      <c r="BAA5" s="11"/>
      <c r="BAB5" s="11"/>
      <c r="BAC5" s="11"/>
      <c r="BAD5" s="11"/>
      <c r="BAE5" s="11"/>
      <c r="BAF5" s="11"/>
      <c r="BAG5" s="11"/>
      <c r="BAH5" s="11"/>
      <c r="BAI5" s="11"/>
      <c r="BAJ5" s="11"/>
      <c r="BAK5" s="11"/>
      <c r="BAL5" s="11"/>
      <c r="BAM5" s="11"/>
      <c r="BAN5" s="11"/>
      <c r="BAO5" s="11"/>
      <c r="BAP5" s="11"/>
      <c r="BAQ5" s="11"/>
      <c r="BAR5" s="11"/>
      <c r="BAS5" s="11"/>
      <c r="BAT5" s="11"/>
      <c r="BAU5" s="11"/>
      <c r="BAV5" s="11"/>
      <c r="BAW5" s="11"/>
      <c r="BAX5" s="11"/>
      <c r="BAY5" s="11"/>
      <c r="BAZ5" s="11"/>
      <c r="BBA5" s="11"/>
      <c r="BBB5" s="11"/>
      <c r="BBC5" s="11"/>
      <c r="BBD5" s="11"/>
      <c r="BBE5" s="11"/>
      <c r="BBF5" s="11"/>
      <c r="BBG5" s="11"/>
      <c r="BBH5" s="11"/>
      <c r="BBI5" s="11"/>
      <c r="BBJ5" s="11"/>
      <c r="BBK5" s="11"/>
      <c r="BBL5" s="11"/>
      <c r="BBM5" s="11"/>
      <c r="BBN5" s="11"/>
      <c r="BBO5" s="11"/>
      <c r="BBP5" s="11"/>
      <c r="BBQ5" s="11"/>
      <c r="BBR5" s="11"/>
      <c r="BBS5" s="11"/>
      <c r="BBT5" s="11"/>
      <c r="BBU5" s="11"/>
      <c r="BBV5" s="11"/>
      <c r="BBW5" s="11"/>
      <c r="BBX5" s="11"/>
      <c r="BBY5" s="11"/>
      <c r="BBZ5" s="11"/>
      <c r="BCA5" s="11"/>
      <c r="BCB5" s="11"/>
      <c r="BCC5" s="11"/>
      <c r="BCD5" s="11"/>
      <c r="BCE5" s="11"/>
      <c r="BCF5" s="11"/>
      <c r="BCG5" s="11"/>
      <c r="BCH5" s="11"/>
      <c r="BCI5" s="11"/>
      <c r="BCJ5" s="11"/>
      <c r="BCK5" s="11"/>
      <c r="BCL5" s="11"/>
      <c r="BCM5" s="11"/>
      <c r="BCN5" s="11"/>
      <c r="BCO5" s="11"/>
      <c r="BCP5" s="11"/>
      <c r="BCQ5" s="11"/>
      <c r="BCR5" s="11"/>
      <c r="BCS5" s="11"/>
      <c r="BCT5" s="11"/>
      <c r="BCU5" s="11"/>
      <c r="BCV5" s="11"/>
      <c r="BCW5" s="11"/>
      <c r="BCX5" s="11"/>
      <c r="BCY5" s="11"/>
      <c r="BCZ5" s="11"/>
      <c r="BDA5" s="11"/>
      <c r="BDB5" s="11"/>
      <c r="BDC5" s="11"/>
      <c r="BDD5" s="11"/>
      <c r="BDE5" s="11"/>
      <c r="BDF5" s="11"/>
      <c r="BDG5" s="11"/>
      <c r="BDH5" s="11"/>
      <c r="BDI5" s="11"/>
      <c r="BDJ5" s="11"/>
      <c r="BDK5" s="11"/>
      <c r="BDL5" s="11"/>
      <c r="BDM5" s="11"/>
      <c r="BDN5" s="11"/>
      <c r="BDO5" s="11"/>
      <c r="BDP5" s="11"/>
      <c r="BDQ5" s="11"/>
      <c r="BDR5" s="11"/>
      <c r="BDS5" s="11"/>
      <c r="BDT5" s="11"/>
      <c r="BDU5" s="11"/>
      <c r="BDV5" s="11"/>
      <c r="BDW5" s="11"/>
      <c r="BDX5" s="11"/>
      <c r="BDY5" s="11"/>
      <c r="BDZ5" s="11"/>
      <c r="BEA5" s="11"/>
      <c r="BEB5" s="11"/>
      <c r="BEC5" s="11"/>
      <c r="BED5" s="11"/>
      <c r="BEE5" s="11"/>
      <c r="BEF5" s="11"/>
      <c r="BEG5" s="11"/>
      <c r="BEH5" s="11"/>
      <c r="BEI5" s="11"/>
      <c r="BEJ5" s="11"/>
      <c r="BEK5" s="11"/>
      <c r="BEL5" s="11"/>
      <c r="BEM5" s="11"/>
      <c r="BEN5" s="11"/>
      <c r="BEO5" s="11"/>
      <c r="BEP5" s="11"/>
      <c r="BEQ5" s="11"/>
      <c r="BER5" s="11"/>
      <c r="BES5" s="11"/>
      <c r="BET5" s="11"/>
      <c r="BEU5" s="11"/>
      <c r="BEV5" s="11"/>
      <c r="BEW5" s="11"/>
      <c r="BEX5" s="11"/>
      <c r="BEY5" s="11"/>
      <c r="BEZ5" s="11"/>
      <c r="BFA5" s="11"/>
      <c r="BFB5" s="11"/>
      <c r="BFC5" s="11"/>
      <c r="BFD5" s="11"/>
      <c r="BFE5" s="11"/>
      <c r="BFF5" s="11"/>
      <c r="BFG5" s="11"/>
      <c r="BFH5" s="11"/>
      <c r="BFI5" s="11"/>
      <c r="BFJ5" s="11"/>
      <c r="BFK5" s="11"/>
      <c r="BFL5" s="11"/>
      <c r="BFM5" s="11"/>
      <c r="BFN5" s="11"/>
      <c r="BFO5" s="11"/>
      <c r="BFP5" s="11"/>
      <c r="BFQ5" s="11"/>
      <c r="BFR5" s="11"/>
      <c r="BFS5" s="11"/>
      <c r="BFT5" s="11"/>
      <c r="BFU5" s="11"/>
      <c r="BFV5" s="11"/>
      <c r="BFW5" s="11"/>
      <c r="BFX5" s="11"/>
      <c r="BFY5" s="11"/>
      <c r="BFZ5" s="11"/>
      <c r="BGA5" s="11"/>
      <c r="BGB5" s="11"/>
      <c r="BGC5" s="11"/>
      <c r="BGD5" s="11"/>
      <c r="BGE5" s="11"/>
      <c r="BGF5" s="11"/>
      <c r="BGG5" s="11"/>
      <c r="BGH5" s="11"/>
      <c r="BGI5" s="11"/>
      <c r="BGJ5" s="11"/>
      <c r="BGK5" s="11"/>
      <c r="BGL5" s="11"/>
      <c r="BGM5" s="11"/>
      <c r="BGN5" s="11"/>
      <c r="BGO5" s="11"/>
      <c r="BGP5" s="11"/>
      <c r="BGQ5" s="11"/>
      <c r="BGR5" s="11"/>
      <c r="BGS5" s="11"/>
      <c r="BGT5" s="11"/>
      <c r="BGU5" s="11"/>
      <c r="BGV5" s="11"/>
      <c r="BGW5" s="11"/>
      <c r="BGX5" s="11"/>
      <c r="BGY5" s="11"/>
      <c r="BGZ5" s="11"/>
      <c r="BHA5" s="11"/>
      <c r="BHB5" s="11"/>
      <c r="BHC5" s="11"/>
      <c r="BHD5" s="11"/>
      <c r="BHE5" s="11"/>
      <c r="BHF5" s="11"/>
      <c r="BHG5" s="11"/>
      <c r="BHH5" s="11"/>
      <c r="BHI5" s="11"/>
      <c r="BHJ5" s="11"/>
      <c r="BHK5" s="11"/>
      <c r="BHL5" s="11"/>
      <c r="BHM5" s="11"/>
      <c r="BHN5" s="11"/>
      <c r="BHO5" s="11"/>
      <c r="BHP5" s="11"/>
      <c r="BHQ5" s="11"/>
      <c r="BHR5" s="11"/>
      <c r="BHS5" s="11"/>
      <c r="BHT5" s="11"/>
      <c r="BHU5" s="11"/>
      <c r="BHV5" s="11"/>
      <c r="BHW5" s="11"/>
      <c r="BHX5" s="11"/>
      <c r="BHY5" s="11"/>
      <c r="BHZ5" s="11"/>
      <c r="BIA5" s="11"/>
      <c r="BIB5" s="11"/>
      <c r="BIC5" s="11"/>
      <c r="BID5" s="11"/>
      <c r="BIE5" s="11"/>
      <c r="BIF5" s="11"/>
      <c r="BIG5" s="11"/>
      <c r="BIH5" s="11"/>
      <c r="BII5" s="11"/>
      <c r="BIJ5" s="11"/>
      <c r="BIK5" s="11"/>
      <c r="BIL5" s="11"/>
      <c r="BIM5" s="11"/>
      <c r="BIN5" s="11"/>
      <c r="BIO5" s="11"/>
      <c r="BIP5" s="11"/>
      <c r="BIQ5" s="11"/>
      <c r="BIR5" s="11"/>
      <c r="BIS5" s="11"/>
      <c r="BIT5" s="11"/>
      <c r="BIU5" s="11"/>
      <c r="BIV5" s="11"/>
      <c r="BIW5" s="11"/>
      <c r="BIX5" s="11"/>
      <c r="BIY5" s="11"/>
      <c r="BIZ5" s="11"/>
      <c r="BJA5" s="11"/>
      <c r="BJB5" s="11"/>
      <c r="BJC5" s="11"/>
      <c r="BJD5" s="11"/>
      <c r="BJE5" s="11"/>
      <c r="BJF5" s="11"/>
      <c r="BJG5" s="11"/>
      <c r="BJH5" s="11"/>
      <c r="BJI5" s="11"/>
      <c r="BJJ5" s="11"/>
      <c r="BJK5" s="11"/>
      <c r="BJL5" s="11"/>
      <c r="BJM5" s="11"/>
      <c r="BJN5" s="11"/>
      <c r="BJO5" s="11"/>
      <c r="BJP5" s="11"/>
      <c r="BJQ5" s="11"/>
      <c r="BJR5" s="11"/>
      <c r="BJS5" s="11"/>
      <c r="BJT5" s="11"/>
      <c r="BJU5" s="11"/>
      <c r="BJV5" s="11"/>
      <c r="BJW5" s="11"/>
      <c r="BJX5" s="11"/>
      <c r="BJY5" s="11"/>
      <c r="BJZ5" s="11"/>
      <c r="BKA5" s="11"/>
      <c r="BKB5" s="11"/>
      <c r="BKC5" s="11"/>
      <c r="BKD5" s="11"/>
      <c r="BKE5" s="11"/>
      <c r="BKF5" s="11"/>
      <c r="BKG5" s="11"/>
      <c r="BKH5" s="11"/>
      <c r="BKI5" s="11"/>
      <c r="BKJ5" s="11"/>
      <c r="BKK5" s="11"/>
      <c r="BKL5" s="11"/>
      <c r="BKM5" s="11"/>
      <c r="BKN5" s="11"/>
      <c r="BKO5" s="11"/>
      <c r="BKP5" s="11"/>
      <c r="BKQ5" s="11"/>
      <c r="BKR5" s="11"/>
      <c r="BKS5" s="11"/>
      <c r="BKT5" s="11"/>
      <c r="BKU5" s="11"/>
      <c r="BKV5" s="11"/>
      <c r="BKW5" s="11"/>
      <c r="BKX5" s="11"/>
      <c r="BKY5" s="11"/>
      <c r="BKZ5" s="11"/>
      <c r="BLA5" s="11"/>
      <c r="BLB5" s="11"/>
      <c r="BLC5" s="11"/>
      <c r="BLD5" s="11"/>
      <c r="BLE5" s="11"/>
      <c r="BLF5" s="11"/>
      <c r="BLG5" s="11"/>
      <c r="BLH5" s="11"/>
      <c r="BLI5" s="11"/>
      <c r="BLJ5" s="11"/>
      <c r="BLK5" s="11"/>
      <c r="BLL5" s="11"/>
      <c r="BLM5" s="11"/>
      <c r="BLN5" s="11"/>
      <c r="BLO5" s="11"/>
      <c r="BLP5" s="11"/>
      <c r="BLQ5" s="11"/>
      <c r="BLR5" s="11"/>
      <c r="BLS5" s="11"/>
      <c r="BLT5" s="11"/>
      <c r="BLU5" s="11"/>
      <c r="BLV5" s="11"/>
      <c r="BLW5" s="11"/>
      <c r="BLX5" s="11"/>
      <c r="BLY5" s="11"/>
      <c r="BLZ5" s="11"/>
      <c r="BMA5" s="11"/>
      <c r="BMB5" s="11"/>
      <c r="BMC5" s="11"/>
      <c r="BMD5" s="11"/>
      <c r="BME5" s="11"/>
      <c r="BMF5" s="11"/>
      <c r="BMG5" s="11"/>
      <c r="BMH5" s="11"/>
      <c r="BMI5" s="11"/>
      <c r="BMJ5" s="11"/>
      <c r="BMK5" s="11"/>
      <c r="BML5" s="11"/>
      <c r="BMM5" s="11"/>
      <c r="BMN5" s="11"/>
      <c r="BMO5" s="11"/>
      <c r="BMP5" s="11"/>
      <c r="BMQ5" s="11"/>
      <c r="BMR5" s="11"/>
      <c r="BMS5" s="11"/>
      <c r="BMT5" s="11"/>
      <c r="BMU5" s="11"/>
      <c r="BMV5" s="11"/>
      <c r="BMW5" s="11"/>
      <c r="BMX5" s="11"/>
      <c r="BMY5" s="11"/>
      <c r="BMZ5" s="11"/>
      <c r="BNA5" s="11"/>
      <c r="BNB5" s="11"/>
      <c r="BNC5" s="11"/>
      <c r="BND5" s="11"/>
      <c r="BNE5" s="11"/>
      <c r="BNF5" s="11"/>
      <c r="BNG5" s="11"/>
      <c r="BNH5" s="11"/>
      <c r="BNI5" s="11"/>
      <c r="BNJ5" s="11"/>
      <c r="BNK5" s="11"/>
      <c r="BNL5" s="11"/>
      <c r="BNM5" s="11"/>
      <c r="BNN5" s="11"/>
      <c r="BNO5" s="11"/>
      <c r="BNP5" s="11"/>
      <c r="BNQ5" s="11"/>
      <c r="BNR5" s="11"/>
      <c r="BNS5" s="11"/>
      <c r="BNT5" s="11"/>
      <c r="BNU5" s="11"/>
      <c r="BNV5" s="11"/>
      <c r="BNW5" s="11"/>
      <c r="BNX5" s="11"/>
      <c r="BNY5" s="11"/>
      <c r="BNZ5" s="11"/>
      <c r="BOA5" s="11"/>
      <c r="BOB5" s="11"/>
      <c r="BOC5" s="11"/>
      <c r="BOD5" s="11"/>
      <c r="BOE5" s="11"/>
      <c r="BOF5" s="11"/>
      <c r="BOG5" s="11"/>
      <c r="BOH5" s="11"/>
      <c r="BOI5" s="11"/>
      <c r="BOJ5" s="11"/>
      <c r="BOK5" s="11"/>
      <c r="BOL5" s="11"/>
      <c r="BOM5" s="11"/>
      <c r="BON5" s="11"/>
      <c r="BOO5" s="11"/>
      <c r="BOP5" s="11"/>
      <c r="BOQ5" s="11"/>
      <c r="BOR5" s="11"/>
      <c r="BOS5" s="11"/>
      <c r="BOT5" s="11"/>
      <c r="BOU5" s="11"/>
      <c r="BOV5" s="11"/>
      <c r="BOW5" s="11"/>
      <c r="BOX5" s="11"/>
      <c r="BOY5" s="11"/>
      <c r="BOZ5" s="11"/>
      <c r="BPA5" s="11"/>
      <c r="BPB5" s="11"/>
      <c r="BPC5" s="11"/>
      <c r="BPD5" s="11"/>
      <c r="BPE5" s="11"/>
      <c r="BPF5" s="11"/>
      <c r="BPG5" s="11"/>
      <c r="BPH5" s="11"/>
      <c r="BPI5" s="11"/>
      <c r="BPJ5" s="11"/>
      <c r="BPK5" s="11"/>
      <c r="BPL5" s="11"/>
      <c r="BPM5" s="11"/>
      <c r="BPN5" s="11"/>
      <c r="BPO5" s="11"/>
      <c r="BPP5" s="11"/>
      <c r="BPQ5" s="11"/>
      <c r="BPR5" s="11"/>
      <c r="BPS5" s="11"/>
      <c r="BPT5" s="11"/>
      <c r="BPU5" s="11"/>
      <c r="BPV5" s="11"/>
      <c r="BPW5" s="11"/>
      <c r="BPX5" s="11"/>
      <c r="BPY5" s="11"/>
      <c r="BPZ5" s="11"/>
      <c r="BQA5" s="11"/>
      <c r="BQB5" s="11"/>
      <c r="BQC5" s="11"/>
      <c r="BQD5" s="11"/>
      <c r="BQE5" s="11"/>
      <c r="BQF5" s="11"/>
      <c r="BQG5" s="11"/>
      <c r="BQH5" s="11"/>
      <c r="BQI5" s="11"/>
      <c r="BQJ5" s="11"/>
      <c r="BQK5" s="11"/>
      <c r="BQL5" s="11"/>
      <c r="BQM5" s="11"/>
      <c r="BQN5" s="11"/>
      <c r="BQO5" s="11"/>
      <c r="BQP5" s="11"/>
      <c r="BQQ5" s="11"/>
      <c r="BQR5" s="11"/>
      <c r="BQS5" s="11"/>
      <c r="BQT5" s="11"/>
      <c r="BQU5" s="11"/>
      <c r="BQV5" s="11"/>
      <c r="BQW5" s="11"/>
      <c r="BQX5" s="11"/>
      <c r="BQY5" s="11"/>
      <c r="BQZ5" s="11"/>
      <c r="BRA5" s="11"/>
      <c r="BRB5" s="11"/>
      <c r="BRC5" s="11"/>
      <c r="BRD5" s="11"/>
      <c r="BRE5" s="11"/>
      <c r="BRF5" s="11"/>
      <c r="BRG5" s="11"/>
      <c r="BRH5" s="11"/>
      <c r="BRI5" s="11"/>
      <c r="BRJ5" s="11"/>
      <c r="BRK5" s="11"/>
      <c r="BRL5" s="11"/>
      <c r="BRM5" s="11"/>
      <c r="BRN5" s="11"/>
      <c r="BRO5" s="11"/>
      <c r="BRP5" s="11"/>
      <c r="BRQ5" s="11"/>
      <c r="BRR5" s="11"/>
      <c r="BRS5" s="11"/>
      <c r="BRT5" s="11"/>
      <c r="BRU5" s="11"/>
      <c r="BRV5" s="11"/>
      <c r="BRW5" s="11"/>
      <c r="BRX5" s="11"/>
      <c r="BRY5" s="11"/>
      <c r="BRZ5" s="11"/>
      <c r="BSA5" s="11"/>
      <c r="BSB5" s="11"/>
      <c r="BSC5" s="11"/>
      <c r="BSD5" s="11"/>
      <c r="BSE5" s="11"/>
      <c r="BSF5" s="11"/>
      <c r="BSG5" s="11"/>
      <c r="BSH5" s="11"/>
      <c r="BSI5" s="11"/>
      <c r="BSJ5" s="11"/>
      <c r="BSK5" s="11"/>
      <c r="BSL5" s="11"/>
      <c r="BSM5" s="11"/>
      <c r="BSN5" s="11"/>
      <c r="BSO5" s="11"/>
      <c r="BSP5" s="11"/>
      <c r="BSQ5" s="11"/>
      <c r="BSR5" s="11"/>
      <c r="BSS5" s="11"/>
      <c r="BST5" s="11"/>
      <c r="BSU5" s="11"/>
      <c r="BSV5" s="11"/>
      <c r="BSW5" s="11"/>
      <c r="BSX5" s="11"/>
      <c r="BSY5" s="11"/>
      <c r="BSZ5" s="11"/>
      <c r="BTA5" s="11"/>
      <c r="BTB5" s="11"/>
      <c r="BTC5" s="11"/>
      <c r="BTD5" s="11"/>
      <c r="BTE5" s="11"/>
      <c r="BTF5" s="11"/>
      <c r="BTG5" s="11"/>
      <c r="BTH5" s="11"/>
      <c r="BTI5" s="11"/>
      <c r="BTJ5" s="11"/>
      <c r="BTK5" s="11"/>
      <c r="BTL5" s="11"/>
      <c r="BTM5" s="11"/>
      <c r="BTN5" s="11"/>
      <c r="BTO5" s="11"/>
      <c r="BTP5" s="11"/>
      <c r="BTQ5" s="11"/>
      <c r="BTR5" s="11"/>
      <c r="BTS5" s="11"/>
      <c r="BTT5" s="11"/>
      <c r="BTU5" s="11"/>
      <c r="BTV5" s="11"/>
      <c r="BTW5" s="11"/>
      <c r="BTX5" s="11"/>
      <c r="BTY5" s="11"/>
      <c r="BTZ5" s="11"/>
      <c r="BUA5" s="11"/>
      <c r="BUB5" s="11"/>
      <c r="BUC5" s="11"/>
      <c r="BUD5" s="11"/>
      <c r="BUE5" s="11"/>
      <c r="BUF5" s="11"/>
      <c r="BUG5" s="11"/>
      <c r="BUH5" s="11"/>
      <c r="BUI5" s="11"/>
      <c r="BUJ5" s="11"/>
      <c r="BUK5" s="11"/>
      <c r="BUL5" s="11"/>
      <c r="BUM5" s="11"/>
      <c r="BUN5" s="11"/>
      <c r="BUO5" s="11"/>
      <c r="BUP5" s="11"/>
      <c r="BUQ5" s="11"/>
      <c r="BUR5" s="11"/>
      <c r="BUS5" s="11"/>
      <c r="BUT5" s="11"/>
      <c r="BUU5" s="11"/>
      <c r="BUV5" s="11"/>
      <c r="BUW5" s="11"/>
      <c r="BUX5" s="11"/>
      <c r="BUY5" s="11"/>
      <c r="BUZ5" s="11"/>
      <c r="BVA5" s="11"/>
      <c r="BVB5" s="11"/>
      <c r="BVC5" s="11"/>
      <c r="BVD5" s="11"/>
      <c r="BVE5" s="11"/>
      <c r="BVF5" s="11"/>
      <c r="BVG5" s="11"/>
      <c r="BVH5" s="11"/>
      <c r="BVI5" s="11"/>
      <c r="BVJ5" s="11"/>
      <c r="BVK5" s="11"/>
      <c r="BVL5" s="11"/>
      <c r="BVM5" s="11"/>
      <c r="BVN5" s="11"/>
      <c r="BVO5" s="11"/>
      <c r="BVP5" s="11"/>
      <c r="BVQ5" s="11"/>
      <c r="BVR5" s="11"/>
      <c r="BVS5" s="11"/>
      <c r="BVT5" s="11"/>
      <c r="BVU5" s="11"/>
      <c r="BVV5" s="11"/>
      <c r="BVW5" s="11"/>
      <c r="BVX5" s="11"/>
      <c r="BVY5" s="11"/>
      <c r="BVZ5" s="11"/>
      <c r="BWA5" s="11"/>
      <c r="BWB5" s="11"/>
      <c r="BWC5" s="11"/>
      <c r="BWD5" s="11"/>
      <c r="BWE5" s="11"/>
      <c r="BWF5" s="11"/>
      <c r="BWG5" s="11"/>
      <c r="BWH5" s="11"/>
      <c r="BWI5" s="11"/>
      <c r="BWJ5" s="11"/>
      <c r="BWK5" s="11"/>
      <c r="BWL5" s="11"/>
      <c r="BWM5" s="11"/>
      <c r="BWN5" s="11"/>
      <c r="BWO5" s="11"/>
      <c r="BWP5" s="11"/>
      <c r="BWQ5" s="11"/>
      <c r="BWR5" s="11"/>
      <c r="BWS5" s="11"/>
      <c r="BWT5" s="11"/>
      <c r="BWU5" s="11"/>
      <c r="BWV5" s="11"/>
      <c r="BWW5" s="11"/>
      <c r="BWX5" s="11"/>
      <c r="BWY5" s="11"/>
      <c r="BWZ5" s="11"/>
      <c r="BXA5" s="11"/>
      <c r="BXB5" s="11"/>
      <c r="BXC5" s="11"/>
      <c r="BXD5" s="11"/>
      <c r="BXE5" s="11"/>
      <c r="BXF5" s="11"/>
      <c r="BXG5" s="11"/>
      <c r="BXH5" s="11"/>
      <c r="BXI5" s="11"/>
      <c r="BXJ5" s="11"/>
      <c r="BXK5" s="11"/>
      <c r="BXL5" s="11"/>
      <c r="BXM5" s="11"/>
      <c r="BXN5" s="11"/>
      <c r="BXO5" s="11"/>
      <c r="BXP5" s="11"/>
      <c r="BXQ5" s="11"/>
      <c r="BXR5" s="11"/>
      <c r="BXS5" s="11"/>
      <c r="BXT5" s="11"/>
      <c r="BXU5" s="11"/>
      <c r="BXV5" s="11"/>
      <c r="BXW5" s="11"/>
      <c r="BXX5" s="11"/>
      <c r="BXY5" s="11"/>
      <c r="BXZ5" s="11"/>
      <c r="BYA5" s="11"/>
      <c r="BYB5" s="11"/>
      <c r="BYC5" s="11"/>
      <c r="BYD5" s="11"/>
      <c r="BYE5" s="11"/>
      <c r="BYF5" s="11"/>
      <c r="BYG5" s="11"/>
      <c r="BYH5" s="11"/>
      <c r="BYI5" s="11"/>
      <c r="BYJ5" s="11"/>
      <c r="BYK5" s="11"/>
      <c r="BYL5" s="11"/>
      <c r="BYM5" s="11"/>
      <c r="BYN5" s="11"/>
      <c r="BYO5" s="11"/>
      <c r="BYP5" s="11"/>
      <c r="BYQ5" s="11"/>
      <c r="BYR5" s="11"/>
      <c r="BYS5" s="11"/>
      <c r="BYT5" s="11"/>
      <c r="BYU5" s="11"/>
      <c r="BYV5" s="11"/>
      <c r="BYW5" s="11"/>
      <c r="BYX5" s="11"/>
      <c r="BYY5" s="11"/>
      <c r="BYZ5" s="11"/>
      <c r="BZA5" s="11"/>
      <c r="BZB5" s="11"/>
      <c r="BZC5" s="11"/>
      <c r="BZD5" s="11"/>
      <c r="BZE5" s="11"/>
      <c r="BZF5" s="11"/>
      <c r="BZG5" s="11"/>
      <c r="BZH5" s="11"/>
      <c r="BZI5" s="11"/>
      <c r="BZJ5" s="11"/>
      <c r="BZK5" s="11"/>
      <c r="BZL5" s="11"/>
      <c r="BZM5" s="11"/>
      <c r="BZN5" s="11"/>
      <c r="BZO5" s="11"/>
      <c r="BZP5" s="11"/>
      <c r="BZQ5" s="11"/>
      <c r="BZR5" s="11"/>
      <c r="BZS5" s="11"/>
      <c r="BZT5" s="11"/>
      <c r="BZU5" s="11"/>
      <c r="BZV5" s="11"/>
      <c r="BZW5" s="11"/>
      <c r="BZX5" s="11"/>
      <c r="BZY5" s="11"/>
      <c r="BZZ5" s="11"/>
      <c r="CAA5" s="11"/>
      <c r="CAB5" s="11"/>
      <c r="CAC5" s="11"/>
      <c r="CAD5" s="11"/>
      <c r="CAE5" s="11"/>
      <c r="CAF5" s="11"/>
      <c r="CAG5" s="11"/>
      <c r="CAH5" s="11"/>
      <c r="CAI5" s="11"/>
      <c r="CAJ5" s="11"/>
      <c r="CAK5" s="11"/>
      <c r="CAL5" s="11"/>
      <c r="CAM5" s="11"/>
      <c r="CAN5" s="11"/>
      <c r="CAO5" s="11"/>
      <c r="CAP5" s="11"/>
      <c r="CAQ5" s="11"/>
      <c r="CAR5" s="11"/>
      <c r="CAS5" s="11"/>
      <c r="CAT5" s="11"/>
      <c r="CAU5" s="11"/>
      <c r="CAV5" s="11"/>
      <c r="CAW5" s="11"/>
      <c r="CAX5" s="11"/>
      <c r="CAY5" s="11"/>
      <c r="CAZ5" s="11"/>
      <c r="CBA5" s="11"/>
      <c r="CBB5" s="11"/>
      <c r="CBC5" s="11"/>
      <c r="CBD5" s="11"/>
      <c r="CBE5" s="11"/>
      <c r="CBF5" s="11"/>
      <c r="CBG5" s="11"/>
      <c r="CBH5" s="11"/>
      <c r="CBI5" s="11"/>
      <c r="CBJ5" s="11"/>
      <c r="CBK5" s="11"/>
      <c r="CBL5" s="11"/>
      <c r="CBM5" s="11"/>
      <c r="CBN5" s="11"/>
      <c r="CBO5" s="11"/>
      <c r="CBP5" s="11"/>
      <c r="CBQ5" s="11"/>
      <c r="CBR5" s="11"/>
      <c r="CBS5" s="11"/>
      <c r="CBT5" s="11"/>
      <c r="CBU5" s="11"/>
      <c r="CBV5" s="11"/>
      <c r="CBW5" s="11"/>
      <c r="CBX5" s="11"/>
      <c r="CBY5" s="11"/>
      <c r="CBZ5" s="11"/>
      <c r="CCA5" s="11"/>
      <c r="CCB5" s="11"/>
      <c r="CCC5" s="11"/>
      <c r="CCD5" s="11"/>
      <c r="CCE5" s="11"/>
      <c r="CCF5" s="11"/>
      <c r="CCG5" s="11"/>
      <c r="CCH5" s="11"/>
      <c r="CCI5" s="11"/>
      <c r="CCJ5" s="11"/>
      <c r="CCK5" s="11"/>
      <c r="CCL5" s="11"/>
      <c r="CCM5" s="11"/>
      <c r="CCN5" s="11"/>
      <c r="CCO5" s="11"/>
      <c r="CCP5" s="11"/>
      <c r="CCQ5" s="11"/>
      <c r="CCR5" s="11"/>
      <c r="CCS5" s="11"/>
      <c r="CCT5" s="11"/>
      <c r="CCU5" s="11"/>
      <c r="CCV5" s="11"/>
      <c r="CCW5" s="11"/>
      <c r="CCX5" s="11"/>
      <c r="CCY5" s="11"/>
      <c r="CCZ5" s="11"/>
      <c r="CDA5" s="11"/>
      <c r="CDB5" s="11"/>
      <c r="CDC5" s="11"/>
      <c r="CDD5" s="11"/>
      <c r="CDE5" s="11"/>
      <c r="CDF5" s="11"/>
      <c r="CDG5" s="11"/>
      <c r="CDH5" s="11"/>
      <c r="CDI5" s="11"/>
      <c r="CDJ5" s="11"/>
      <c r="CDK5" s="11"/>
      <c r="CDL5" s="11"/>
      <c r="CDM5" s="11"/>
      <c r="CDN5" s="11"/>
      <c r="CDO5" s="11"/>
      <c r="CDP5" s="11"/>
      <c r="CDQ5" s="11"/>
      <c r="CDR5" s="11"/>
      <c r="CDS5" s="11"/>
      <c r="CDT5" s="11"/>
      <c r="CDU5" s="11"/>
      <c r="CDV5" s="11"/>
      <c r="CDW5" s="11"/>
      <c r="CDX5" s="11"/>
      <c r="CDY5" s="11"/>
      <c r="CDZ5" s="11"/>
      <c r="CEA5" s="11"/>
      <c r="CEB5" s="11"/>
      <c r="CEC5" s="11"/>
      <c r="CED5" s="11"/>
      <c r="CEE5" s="11"/>
      <c r="CEF5" s="11"/>
      <c r="CEG5" s="11"/>
      <c r="CEH5" s="11"/>
      <c r="CEI5" s="11"/>
      <c r="CEJ5" s="11"/>
      <c r="CEK5" s="11"/>
      <c r="CEL5" s="11"/>
      <c r="CEM5" s="11"/>
      <c r="CEN5" s="11"/>
      <c r="CEO5" s="11"/>
      <c r="CEP5" s="11"/>
      <c r="CEQ5" s="11"/>
      <c r="CER5" s="11"/>
      <c r="CES5" s="11"/>
      <c r="CET5" s="11"/>
      <c r="CEU5" s="11"/>
      <c r="CEV5" s="11"/>
      <c r="CEW5" s="11"/>
      <c r="CEX5" s="11"/>
      <c r="CEY5" s="11"/>
      <c r="CEZ5" s="11"/>
      <c r="CFA5" s="11"/>
      <c r="CFB5" s="11"/>
      <c r="CFC5" s="11"/>
      <c r="CFD5" s="11"/>
      <c r="CFE5" s="11"/>
      <c r="CFF5" s="11"/>
      <c r="CFG5" s="11"/>
      <c r="CFH5" s="11"/>
      <c r="CFI5" s="11"/>
      <c r="CFJ5" s="11"/>
      <c r="CFK5" s="11"/>
      <c r="CFL5" s="11"/>
      <c r="CFM5" s="11"/>
      <c r="CFN5" s="11"/>
      <c r="CFO5" s="11"/>
      <c r="CFP5" s="11"/>
      <c r="CFQ5" s="11"/>
      <c r="CFR5" s="11"/>
      <c r="CFS5" s="11"/>
      <c r="CFT5" s="11"/>
      <c r="CFU5" s="11"/>
      <c r="CFV5" s="11"/>
      <c r="CFW5" s="11"/>
      <c r="CFX5" s="11"/>
      <c r="CFY5" s="11"/>
      <c r="CFZ5" s="11"/>
      <c r="CGA5" s="11"/>
      <c r="CGB5" s="11"/>
      <c r="CGC5" s="11"/>
      <c r="CGD5" s="11"/>
      <c r="CGE5" s="11"/>
      <c r="CGF5" s="11"/>
      <c r="CGG5" s="11"/>
      <c r="CGH5" s="11"/>
      <c r="CGI5" s="11"/>
      <c r="CGJ5" s="11"/>
      <c r="CGK5" s="11"/>
      <c r="CGL5" s="11"/>
      <c r="CGM5" s="11"/>
      <c r="CGN5" s="11"/>
      <c r="CGO5" s="11"/>
      <c r="CGP5" s="11"/>
      <c r="CGQ5" s="11"/>
      <c r="CGR5" s="11"/>
      <c r="CGS5" s="11"/>
      <c r="CGT5" s="11"/>
      <c r="CGU5" s="11"/>
      <c r="CGV5" s="11"/>
      <c r="CGW5" s="11"/>
      <c r="CGX5" s="11"/>
      <c r="CGY5" s="11"/>
      <c r="CGZ5" s="11"/>
      <c r="CHA5" s="11"/>
      <c r="CHB5" s="11"/>
      <c r="CHC5" s="11"/>
      <c r="CHD5" s="11"/>
      <c r="CHE5" s="11"/>
      <c r="CHF5" s="11"/>
      <c r="CHG5" s="11"/>
      <c r="CHH5" s="11"/>
      <c r="CHI5" s="11"/>
      <c r="CHJ5" s="11"/>
      <c r="CHK5" s="11"/>
      <c r="CHL5" s="11"/>
      <c r="CHM5" s="11"/>
      <c r="CHN5" s="11"/>
      <c r="CHO5" s="11"/>
      <c r="CHP5" s="11"/>
      <c r="CHQ5" s="11"/>
      <c r="CHR5" s="11"/>
      <c r="CHS5" s="11"/>
      <c r="CHT5" s="11"/>
      <c r="CHU5" s="11"/>
      <c r="CHV5" s="11"/>
      <c r="CHW5" s="11"/>
      <c r="CHX5" s="11"/>
      <c r="CHY5" s="11"/>
      <c r="CHZ5" s="11"/>
      <c r="CIA5" s="11"/>
      <c r="CIB5" s="11"/>
      <c r="CIC5" s="11"/>
      <c r="CID5" s="11"/>
      <c r="CIE5" s="11"/>
      <c r="CIF5" s="11"/>
      <c r="CIG5" s="11"/>
      <c r="CIH5" s="11"/>
      <c r="CII5" s="11"/>
      <c r="CIJ5" s="11"/>
      <c r="CIK5" s="11"/>
      <c r="CIL5" s="11"/>
      <c r="CIM5" s="11"/>
      <c r="CIN5" s="11"/>
      <c r="CIO5" s="11"/>
      <c r="CIP5" s="11"/>
      <c r="CIQ5" s="11"/>
      <c r="CIR5" s="11"/>
      <c r="CIS5" s="11"/>
      <c r="CIT5" s="11"/>
      <c r="CIU5" s="11"/>
      <c r="CIV5" s="11"/>
      <c r="CIW5" s="11"/>
      <c r="CIX5" s="11"/>
      <c r="CIY5" s="11"/>
      <c r="CIZ5" s="11"/>
      <c r="CJA5" s="11"/>
      <c r="CJB5" s="11"/>
      <c r="CJC5" s="11"/>
      <c r="CJD5" s="11"/>
      <c r="CJE5" s="11"/>
      <c r="CJF5" s="11"/>
      <c r="CJG5" s="11"/>
      <c r="CJH5" s="11"/>
      <c r="CJI5" s="11"/>
      <c r="CJJ5" s="11"/>
      <c r="CJK5" s="11"/>
      <c r="CJL5" s="11"/>
      <c r="CJM5" s="11"/>
      <c r="CJN5" s="11"/>
      <c r="CJO5" s="11"/>
      <c r="CJP5" s="11"/>
      <c r="CJQ5" s="11"/>
      <c r="CJR5" s="11"/>
      <c r="CJS5" s="11"/>
      <c r="CJT5" s="11"/>
      <c r="CJU5" s="11"/>
      <c r="CJV5" s="11"/>
      <c r="CJW5" s="11"/>
      <c r="CJX5" s="11"/>
      <c r="CJY5" s="11"/>
      <c r="CJZ5" s="11"/>
      <c r="CKA5" s="11"/>
      <c r="CKB5" s="11"/>
      <c r="CKC5" s="11"/>
      <c r="CKD5" s="11"/>
      <c r="CKE5" s="11"/>
      <c r="CKF5" s="11"/>
      <c r="CKG5" s="11"/>
      <c r="CKH5" s="11"/>
      <c r="CKI5" s="11"/>
      <c r="CKJ5" s="11"/>
      <c r="CKK5" s="11"/>
      <c r="CKL5" s="11"/>
      <c r="CKM5" s="11"/>
      <c r="CKN5" s="11"/>
      <c r="CKO5" s="11"/>
      <c r="CKP5" s="11"/>
      <c r="CKQ5" s="11"/>
      <c r="CKR5" s="11"/>
      <c r="CKS5" s="11"/>
      <c r="CKT5" s="11"/>
      <c r="CKU5" s="11"/>
      <c r="CKV5" s="11"/>
      <c r="CKW5" s="11"/>
      <c r="CKX5" s="11"/>
      <c r="CKY5" s="11"/>
      <c r="CKZ5" s="11"/>
      <c r="CLA5" s="11"/>
      <c r="CLB5" s="11"/>
      <c r="CLC5" s="11"/>
      <c r="CLD5" s="11"/>
      <c r="CLE5" s="11"/>
      <c r="CLF5" s="11"/>
      <c r="CLG5" s="11"/>
      <c r="CLH5" s="11"/>
      <c r="CLI5" s="11"/>
      <c r="CLJ5" s="11"/>
      <c r="CLK5" s="11"/>
      <c r="CLL5" s="11"/>
      <c r="CLM5" s="11"/>
      <c r="CLN5" s="11"/>
      <c r="CLO5" s="11"/>
      <c r="CLP5" s="11"/>
      <c r="CLQ5" s="11"/>
      <c r="CLR5" s="11"/>
      <c r="CLS5" s="11"/>
      <c r="CLT5" s="11"/>
      <c r="CLU5" s="11"/>
      <c r="CLV5" s="11"/>
      <c r="CLW5" s="11"/>
      <c r="CLX5" s="11"/>
      <c r="CLY5" s="11"/>
      <c r="CLZ5" s="11"/>
      <c r="CMA5" s="11"/>
      <c r="CMB5" s="11"/>
      <c r="CMC5" s="11"/>
      <c r="CMD5" s="11"/>
      <c r="CME5" s="11"/>
      <c r="CMF5" s="11"/>
      <c r="CMG5" s="11"/>
      <c r="CMH5" s="11"/>
      <c r="CMI5" s="11"/>
      <c r="CMJ5" s="11"/>
      <c r="CMK5" s="11"/>
      <c r="CML5" s="11"/>
      <c r="CMM5" s="11"/>
      <c r="CMN5" s="11"/>
      <c r="CMO5" s="11"/>
      <c r="CMP5" s="11"/>
      <c r="CMQ5" s="11"/>
      <c r="CMR5" s="11"/>
      <c r="CMS5" s="11"/>
      <c r="CMT5" s="11"/>
      <c r="CMU5" s="11"/>
      <c r="CMV5" s="11"/>
      <c r="CMW5" s="11"/>
      <c r="CMX5" s="11"/>
      <c r="CMY5" s="11"/>
      <c r="CMZ5" s="11"/>
      <c r="CNA5" s="11"/>
      <c r="CNB5" s="11"/>
      <c r="CNC5" s="11"/>
      <c r="CND5" s="11"/>
      <c r="CNE5" s="11"/>
      <c r="CNF5" s="11"/>
      <c r="CNG5" s="11"/>
      <c r="CNH5" s="11"/>
      <c r="CNI5" s="11"/>
      <c r="CNJ5" s="11"/>
      <c r="CNK5" s="11"/>
      <c r="CNL5" s="11"/>
      <c r="CNM5" s="11"/>
      <c r="CNN5" s="11"/>
      <c r="CNO5" s="11"/>
      <c r="CNP5" s="11"/>
      <c r="CNQ5" s="11"/>
      <c r="CNR5" s="11"/>
      <c r="CNS5" s="11"/>
      <c r="CNT5" s="11"/>
      <c r="CNU5" s="11"/>
      <c r="CNV5" s="11"/>
      <c r="CNW5" s="11"/>
      <c r="CNX5" s="11"/>
      <c r="CNY5" s="11"/>
      <c r="CNZ5" s="11"/>
      <c r="COA5" s="11"/>
      <c r="COB5" s="11"/>
      <c r="COC5" s="11"/>
      <c r="COD5" s="11"/>
      <c r="COE5" s="11"/>
      <c r="COF5" s="11"/>
      <c r="COG5" s="11"/>
      <c r="COH5" s="11"/>
      <c r="COI5" s="11"/>
      <c r="COJ5" s="11"/>
      <c r="COK5" s="11"/>
      <c r="COL5" s="11"/>
      <c r="COM5" s="11"/>
      <c r="CON5" s="11"/>
      <c r="COO5" s="11"/>
      <c r="COP5" s="11"/>
      <c r="COQ5" s="11"/>
      <c r="COR5" s="11"/>
      <c r="COS5" s="11"/>
      <c r="COT5" s="11"/>
      <c r="COU5" s="11"/>
      <c r="COV5" s="11"/>
      <c r="COW5" s="11"/>
      <c r="COX5" s="11"/>
      <c r="COY5" s="11"/>
      <c r="COZ5" s="11"/>
      <c r="CPA5" s="11"/>
      <c r="CPB5" s="11"/>
      <c r="CPC5" s="11"/>
      <c r="CPD5" s="11"/>
      <c r="CPE5" s="11"/>
      <c r="CPF5" s="11"/>
      <c r="CPG5" s="11"/>
      <c r="CPH5" s="11"/>
      <c r="CPI5" s="11"/>
      <c r="CPJ5" s="11"/>
      <c r="CPK5" s="11"/>
      <c r="CPL5" s="11"/>
      <c r="CPM5" s="11"/>
      <c r="CPN5" s="11"/>
      <c r="CPO5" s="11"/>
      <c r="CPP5" s="11"/>
      <c r="CPQ5" s="11"/>
      <c r="CPR5" s="11"/>
      <c r="CPS5" s="11"/>
      <c r="CPT5" s="11"/>
      <c r="CPU5" s="11"/>
      <c r="CPV5" s="11"/>
      <c r="CPW5" s="11"/>
      <c r="CPX5" s="11"/>
      <c r="CPY5" s="11"/>
      <c r="CPZ5" s="11"/>
      <c r="CQA5" s="11"/>
      <c r="CQB5" s="11"/>
      <c r="CQC5" s="11"/>
      <c r="CQD5" s="11"/>
      <c r="CQE5" s="11"/>
      <c r="CQF5" s="11"/>
      <c r="CQG5" s="11"/>
      <c r="CQH5" s="11"/>
      <c r="CQI5" s="11"/>
      <c r="CQJ5" s="11"/>
      <c r="CQK5" s="11"/>
      <c r="CQL5" s="11"/>
      <c r="CQM5" s="11"/>
      <c r="CQN5" s="11"/>
      <c r="CQO5" s="11"/>
      <c r="CQP5" s="11"/>
      <c r="CQQ5" s="11"/>
      <c r="CQR5" s="11"/>
      <c r="CQS5" s="11"/>
      <c r="CQT5" s="11"/>
      <c r="CQU5" s="11"/>
      <c r="CQV5" s="11"/>
      <c r="CQW5" s="11"/>
      <c r="CQX5" s="11"/>
      <c r="CQY5" s="11"/>
      <c r="CQZ5" s="11"/>
      <c r="CRA5" s="11"/>
      <c r="CRB5" s="11"/>
      <c r="CRC5" s="11"/>
      <c r="CRD5" s="11"/>
      <c r="CRE5" s="11"/>
      <c r="CRF5" s="11"/>
      <c r="CRG5" s="11"/>
      <c r="CRH5" s="11"/>
      <c r="CRI5" s="11"/>
      <c r="CRJ5" s="11"/>
      <c r="CRK5" s="11"/>
      <c r="CRL5" s="11"/>
      <c r="CRM5" s="11"/>
      <c r="CRN5" s="11"/>
      <c r="CRO5" s="11"/>
      <c r="CRP5" s="11"/>
      <c r="CRQ5" s="11"/>
      <c r="CRR5" s="11"/>
      <c r="CRS5" s="11"/>
      <c r="CRT5" s="11"/>
      <c r="CRU5" s="11"/>
      <c r="CRV5" s="11"/>
      <c r="CRW5" s="11"/>
      <c r="CRX5" s="11"/>
      <c r="CRY5" s="11"/>
      <c r="CRZ5" s="11"/>
      <c r="CSA5" s="11"/>
      <c r="CSB5" s="11"/>
      <c r="CSC5" s="11"/>
      <c r="CSD5" s="11"/>
      <c r="CSE5" s="11"/>
      <c r="CSF5" s="11"/>
      <c r="CSG5" s="11"/>
      <c r="CSH5" s="11"/>
      <c r="CSI5" s="11"/>
      <c r="CSJ5" s="11"/>
      <c r="CSK5" s="11"/>
      <c r="CSL5" s="11"/>
      <c r="CSM5" s="11"/>
      <c r="CSN5" s="11"/>
      <c r="CSO5" s="11"/>
      <c r="CSP5" s="11"/>
      <c r="CSQ5" s="11"/>
      <c r="CSR5" s="11"/>
      <c r="CSS5" s="11"/>
      <c r="CST5" s="11"/>
      <c r="CSU5" s="11"/>
      <c r="CSV5" s="11"/>
      <c r="CSW5" s="11"/>
      <c r="CSX5" s="11"/>
      <c r="CSY5" s="11"/>
      <c r="CSZ5" s="11"/>
      <c r="CTA5" s="11"/>
      <c r="CTB5" s="11"/>
      <c r="CTC5" s="11"/>
      <c r="CTD5" s="11"/>
      <c r="CTE5" s="11"/>
      <c r="CTF5" s="11"/>
      <c r="CTG5" s="11"/>
      <c r="CTH5" s="11"/>
      <c r="CTI5" s="11"/>
      <c r="CTJ5" s="11"/>
      <c r="CTK5" s="11"/>
      <c r="CTL5" s="11"/>
      <c r="CTM5" s="11"/>
      <c r="CTN5" s="11"/>
      <c r="CTO5" s="11"/>
      <c r="CTP5" s="11"/>
      <c r="CTQ5" s="11"/>
      <c r="CTR5" s="11"/>
      <c r="CTS5" s="11"/>
      <c r="CTT5" s="11"/>
      <c r="CTU5" s="11"/>
      <c r="CTV5" s="11"/>
      <c r="CTW5" s="11"/>
      <c r="CTX5" s="11"/>
      <c r="CTY5" s="11"/>
      <c r="CTZ5" s="11"/>
      <c r="CUA5" s="11"/>
      <c r="CUB5" s="11"/>
      <c r="CUC5" s="11"/>
      <c r="CUD5" s="11"/>
      <c r="CUE5" s="11"/>
      <c r="CUF5" s="11"/>
      <c r="CUG5" s="11"/>
      <c r="CUH5" s="11"/>
      <c r="CUI5" s="11"/>
      <c r="CUJ5" s="11"/>
      <c r="CUK5" s="11"/>
      <c r="CUL5" s="11"/>
      <c r="CUM5" s="11"/>
      <c r="CUN5" s="11"/>
      <c r="CUO5" s="11"/>
      <c r="CUP5" s="11"/>
      <c r="CUQ5" s="11"/>
      <c r="CUR5" s="11"/>
      <c r="CUS5" s="11"/>
      <c r="CUT5" s="11"/>
      <c r="CUU5" s="11"/>
      <c r="CUV5" s="11"/>
      <c r="CUW5" s="11"/>
      <c r="CUX5" s="11"/>
      <c r="CUY5" s="11"/>
      <c r="CUZ5" s="11"/>
      <c r="CVA5" s="11"/>
      <c r="CVB5" s="11"/>
      <c r="CVC5" s="11"/>
      <c r="CVD5" s="11"/>
      <c r="CVE5" s="11"/>
      <c r="CVF5" s="11"/>
      <c r="CVG5" s="11"/>
      <c r="CVH5" s="11"/>
      <c r="CVI5" s="11"/>
      <c r="CVJ5" s="11"/>
      <c r="CVK5" s="11"/>
      <c r="CVL5" s="11"/>
      <c r="CVM5" s="11"/>
      <c r="CVN5" s="11"/>
      <c r="CVO5" s="11"/>
      <c r="CVP5" s="11"/>
      <c r="CVQ5" s="11"/>
      <c r="CVR5" s="11"/>
      <c r="CVS5" s="11"/>
      <c r="CVT5" s="11"/>
      <c r="CVU5" s="11"/>
      <c r="CVV5" s="11"/>
      <c r="CVW5" s="11"/>
      <c r="CVX5" s="11"/>
      <c r="CVY5" s="11"/>
      <c r="CVZ5" s="11"/>
      <c r="CWA5" s="11"/>
      <c r="CWB5" s="11"/>
      <c r="CWC5" s="11"/>
      <c r="CWD5" s="11"/>
      <c r="CWE5" s="11"/>
      <c r="CWF5" s="11"/>
      <c r="CWG5" s="11"/>
      <c r="CWH5" s="11"/>
      <c r="CWI5" s="11"/>
      <c r="CWJ5" s="11"/>
      <c r="CWK5" s="11"/>
      <c r="CWL5" s="11"/>
      <c r="CWM5" s="11"/>
      <c r="CWN5" s="11"/>
      <c r="CWO5" s="11"/>
      <c r="CWP5" s="11"/>
      <c r="CWQ5" s="11"/>
      <c r="CWR5" s="11"/>
      <c r="CWS5" s="11"/>
      <c r="CWT5" s="11"/>
      <c r="CWU5" s="11"/>
      <c r="CWV5" s="11"/>
      <c r="CWW5" s="11"/>
      <c r="CWX5" s="11"/>
      <c r="CWY5" s="11"/>
      <c r="CWZ5" s="11"/>
      <c r="CXA5" s="11"/>
      <c r="CXB5" s="11"/>
      <c r="CXC5" s="11"/>
      <c r="CXD5" s="11"/>
      <c r="CXE5" s="11"/>
      <c r="CXF5" s="11"/>
      <c r="CXG5" s="11"/>
      <c r="CXH5" s="11"/>
      <c r="CXI5" s="11"/>
      <c r="CXJ5" s="11"/>
      <c r="CXK5" s="11"/>
      <c r="CXL5" s="11"/>
      <c r="CXM5" s="11"/>
      <c r="CXN5" s="11"/>
      <c r="CXO5" s="11"/>
      <c r="CXP5" s="11"/>
      <c r="CXQ5" s="11"/>
      <c r="CXR5" s="11"/>
      <c r="CXS5" s="11"/>
      <c r="CXT5" s="11"/>
      <c r="CXU5" s="11"/>
      <c r="CXV5" s="11"/>
      <c r="CXW5" s="11"/>
      <c r="CXX5" s="11"/>
      <c r="CXY5" s="11"/>
      <c r="CXZ5" s="11"/>
      <c r="CYA5" s="11"/>
      <c r="CYB5" s="11"/>
      <c r="CYC5" s="11"/>
      <c r="CYD5" s="11"/>
      <c r="CYE5" s="11"/>
      <c r="CYF5" s="11"/>
      <c r="CYG5" s="11"/>
      <c r="CYH5" s="11"/>
      <c r="CYI5" s="11"/>
      <c r="CYJ5" s="11"/>
      <c r="CYK5" s="11"/>
      <c r="CYL5" s="11"/>
      <c r="CYM5" s="11"/>
      <c r="CYN5" s="11"/>
      <c r="CYO5" s="11"/>
      <c r="CYP5" s="11"/>
      <c r="CYQ5" s="11"/>
      <c r="CYR5" s="11"/>
      <c r="CYS5" s="11"/>
      <c r="CYT5" s="11"/>
      <c r="CYU5" s="11"/>
      <c r="CYV5" s="11"/>
      <c r="CYW5" s="11"/>
      <c r="CYX5" s="11"/>
      <c r="CYY5" s="11"/>
      <c r="CYZ5" s="11"/>
      <c r="CZA5" s="11"/>
      <c r="CZB5" s="11"/>
      <c r="CZC5" s="11"/>
      <c r="CZD5" s="11"/>
      <c r="CZE5" s="11"/>
      <c r="CZF5" s="11"/>
      <c r="CZG5" s="11"/>
      <c r="CZH5" s="11"/>
      <c r="CZI5" s="11"/>
      <c r="CZJ5" s="11"/>
      <c r="CZK5" s="11"/>
      <c r="CZL5" s="11"/>
      <c r="CZM5" s="11"/>
      <c r="CZN5" s="11"/>
      <c r="CZO5" s="11"/>
      <c r="CZP5" s="11"/>
      <c r="CZQ5" s="11"/>
      <c r="CZR5" s="11"/>
      <c r="CZS5" s="11"/>
      <c r="CZT5" s="11"/>
      <c r="CZU5" s="11"/>
      <c r="CZV5" s="11"/>
      <c r="CZW5" s="11"/>
      <c r="CZX5" s="11"/>
      <c r="CZY5" s="11"/>
      <c r="CZZ5" s="11"/>
      <c r="DAA5" s="11"/>
      <c r="DAB5" s="11"/>
      <c r="DAC5" s="11"/>
      <c r="DAD5" s="11"/>
      <c r="DAE5" s="11"/>
      <c r="DAF5" s="11"/>
      <c r="DAG5" s="11"/>
      <c r="DAH5" s="11"/>
      <c r="DAI5" s="11"/>
      <c r="DAJ5" s="11"/>
      <c r="DAK5" s="11"/>
      <c r="DAL5" s="11"/>
      <c r="DAM5" s="11"/>
      <c r="DAN5" s="11"/>
      <c r="DAO5" s="11"/>
      <c r="DAP5" s="11"/>
      <c r="DAQ5" s="11"/>
      <c r="DAR5" s="11"/>
      <c r="DAS5" s="11"/>
      <c r="DAT5" s="11"/>
      <c r="DAU5" s="11"/>
      <c r="DAV5" s="11"/>
      <c r="DAW5" s="11"/>
      <c r="DAX5" s="11"/>
      <c r="DAY5" s="11"/>
      <c r="DAZ5" s="11"/>
      <c r="DBA5" s="11"/>
      <c r="DBB5" s="11"/>
      <c r="DBC5" s="11"/>
      <c r="DBD5" s="11"/>
      <c r="DBE5" s="11"/>
      <c r="DBF5" s="11"/>
      <c r="DBG5" s="11"/>
      <c r="DBH5" s="11"/>
      <c r="DBI5" s="11"/>
      <c r="DBJ5" s="11"/>
      <c r="DBK5" s="11"/>
      <c r="DBL5" s="11"/>
      <c r="DBM5" s="11"/>
      <c r="DBN5" s="11"/>
      <c r="DBO5" s="11"/>
      <c r="DBP5" s="11"/>
      <c r="DBQ5" s="11"/>
      <c r="DBR5" s="11"/>
      <c r="DBS5" s="11"/>
      <c r="DBT5" s="11"/>
      <c r="DBU5" s="11"/>
      <c r="DBV5" s="11"/>
      <c r="DBW5" s="11"/>
      <c r="DBX5" s="11"/>
      <c r="DBY5" s="11"/>
      <c r="DBZ5" s="11"/>
      <c r="DCA5" s="11"/>
      <c r="DCB5" s="11"/>
      <c r="DCC5" s="11"/>
      <c r="DCD5" s="11"/>
      <c r="DCE5" s="11"/>
      <c r="DCF5" s="11"/>
      <c r="DCG5" s="11"/>
      <c r="DCH5" s="11"/>
      <c r="DCI5" s="11"/>
      <c r="DCJ5" s="11"/>
      <c r="DCK5" s="11"/>
      <c r="DCL5" s="11"/>
      <c r="DCM5" s="11"/>
      <c r="DCN5" s="11"/>
      <c r="DCO5" s="11"/>
      <c r="DCP5" s="11"/>
      <c r="DCQ5" s="11"/>
      <c r="DCR5" s="11"/>
      <c r="DCS5" s="11"/>
      <c r="DCT5" s="11"/>
      <c r="DCU5" s="11"/>
      <c r="DCV5" s="11"/>
      <c r="DCW5" s="11"/>
      <c r="DCX5" s="11"/>
      <c r="DCY5" s="11"/>
      <c r="DCZ5" s="11"/>
      <c r="DDA5" s="11"/>
      <c r="DDB5" s="11"/>
      <c r="DDC5" s="11"/>
      <c r="DDD5" s="11"/>
      <c r="DDE5" s="11"/>
      <c r="DDF5" s="11"/>
      <c r="DDG5" s="11"/>
      <c r="DDH5" s="11"/>
      <c r="DDI5" s="11"/>
      <c r="DDJ5" s="11"/>
      <c r="DDK5" s="11"/>
      <c r="DDL5" s="11"/>
      <c r="DDM5" s="11"/>
      <c r="DDN5" s="11"/>
      <c r="DDO5" s="11"/>
      <c r="DDP5" s="11"/>
      <c r="DDQ5" s="11"/>
      <c r="DDR5" s="11"/>
      <c r="DDS5" s="11"/>
      <c r="DDT5" s="11"/>
      <c r="DDU5" s="11"/>
      <c r="DDV5" s="11"/>
      <c r="DDW5" s="11"/>
      <c r="DDX5" s="11"/>
      <c r="DDY5" s="11"/>
      <c r="DDZ5" s="11"/>
      <c r="DEA5" s="11"/>
      <c r="DEB5" s="11"/>
      <c r="DEC5" s="11"/>
      <c r="DED5" s="11"/>
      <c r="DEE5" s="11"/>
      <c r="DEF5" s="11"/>
      <c r="DEG5" s="11"/>
      <c r="DEH5" s="11"/>
      <c r="DEI5" s="11"/>
      <c r="DEJ5" s="11"/>
      <c r="DEK5" s="11"/>
      <c r="DEL5" s="11"/>
      <c r="DEM5" s="11"/>
      <c r="DEN5" s="11"/>
      <c r="DEO5" s="11"/>
      <c r="DEP5" s="11"/>
      <c r="DEQ5" s="11"/>
      <c r="DER5" s="11"/>
      <c r="DES5" s="11"/>
      <c r="DET5" s="11"/>
      <c r="DEU5" s="11"/>
      <c r="DEV5" s="11"/>
      <c r="DEW5" s="11"/>
      <c r="DEX5" s="11"/>
      <c r="DEY5" s="11"/>
      <c r="DEZ5" s="11"/>
      <c r="DFA5" s="11"/>
      <c r="DFB5" s="11"/>
      <c r="DFC5" s="11"/>
      <c r="DFD5" s="11"/>
      <c r="DFE5" s="11"/>
      <c r="DFF5" s="11"/>
      <c r="DFG5" s="11"/>
      <c r="DFH5" s="11"/>
      <c r="DFI5" s="11"/>
      <c r="DFJ5" s="11"/>
      <c r="DFK5" s="11"/>
      <c r="DFL5" s="11"/>
      <c r="DFM5" s="11"/>
      <c r="DFN5" s="11"/>
      <c r="DFO5" s="11"/>
      <c r="DFP5" s="11"/>
      <c r="DFQ5" s="11"/>
      <c r="DFR5" s="11"/>
      <c r="DFS5" s="11"/>
      <c r="DFT5" s="11"/>
      <c r="DFU5" s="11"/>
      <c r="DFV5" s="11"/>
      <c r="DFW5" s="11"/>
      <c r="DFX5" s="11"/>
      <c r="DFY5" s="11"/>
      <c r="DFZ5" s="11"/>
      <c r="DGA5" s="11"/>
      <c r="DGB5" s="11"/>
      <c r="DGC5" s="11"/>
      <c r="DGD5" s="11"/>
      <c r="DGE5" s="11"/>
      <c r="DGF5" s="11"/>
      <c r="DGG5" s="11"/>
      <c r="DGH5" s="11"/>
      <c r="DGI5" s="11"/>
      <c r="DGJ5" s="11"/>
      <c r="DGK5" s="11"/>
      <c r="DGL5" s="11"/>
      <c r="DGM5" s="11"/>
      <c r="DGN5" s="11"/>
      <c r="DGO5" s="11"/>
      <c r="DGP5" s="11"/>
      <c r="DGQ5" s="11"/>
      <c r="DGR5" s="11"/>
      <c r="DGS5" s="11"/>
      <c r="DGT5" s="11"/>
      <c r="DGU5" s="11"/>
      <c r="DGV5" s="11"/>
      <c r="DGW5" s="11"/>
      <c r="DGX5" s="11"/>
      <c r="DGY5" s="11"/>
      <c r="DGZ5" s="11"/>
      <c r="DHA5" s="11"/>
      <c r="DHB5" s="11"/>
      <c r="DHC5" s="11"/>
      <c r="DHD5" s="11"/>
      <c r="DHE5" s="11"/>
      <c r="DHF5" s="11"/>
      <c r="DHG5" s="11"/>
      <c r="DHH5" s="11"/>
      <c r="DHI5" s="11"/>
      <c r="DHJ5" s="11"/>
      <c r="DHK5" s="11"/>
      <c r="DHL5" s="11"/>
      <c r="DHM5" s="11"/>
      <c r="DHN5" s="11"/>
      <c r="DHO5" s="11"/>
      <c r="DHP5" s="11"/>
      <c r="DHQ5" s="11"/>
      <c r="DHR5" s="11"/>
      <c r="DHS5" s="11"/>
      <c r="DHT5" s="11"/>
      <c r="DHU5" s="11"/>
      <c r="DHV5" s="11"/>
      <c r="DHW5" s="11"/>
      <c r="DHX5" s="11"/>
      <c r="DHY5" s="11"/>
      <c r="DHZ5" s="11"/>
      <c r="DIA5" s="11"/>
      <c r="DIB5" s="11"/>
      <c r="DIC5" s="11"/>
      <c r="DID5" s="11"/>
      <c r="DIE5" s="11"/>
      <c r="DIF5" s="11"/>
      <c r="DIG5" s="11"/>
      <c r="DIH5" s="11"/>
      <c r="DII5" s="11"/>
      <c r="DIJ5" s="11"/>
      <c r="DIK5" s="11"/>
      <c r="DIL5" s="11"/>
      <c r="DIM5" s="11"/>
      <c r="DIN5" s="11"/>
      <c r="DIO5" s="11"/>
      <c r="DIP5" s="11"/>
      <c r="DIQ5" s="11"/>
      <c r="DIR5" s="11"/>
      <c r="DIS5" s="11"/>
      <c r="DIT5" s="11"/>
      <c r="DIU5" s="11"/>
      <c r="DIV5" s="11"/>
      <c r="DIW5" s="11"/>
      <c r="DIX5" s="11"/>
      <c r="DIY5" s="11"/>
      <c r="DIZ5" s="11"/>
      <c r="DJA5" s="11"/>
      <c r="DJB5" s="11"/>
      <c r="DJC5" s="11"/>
      <c r="DJD5" s="11"/>
      <c r="DJE5" s="11"/>
      <c r="DJF5" s="11"/>
      <c r="DJG5" s="11"/>
      <c r="DJH5" s="11"/>
      <c r="DJI5" s="11"/>
      <c r="DJJ5" s="11"/>
      <c r="DJK5" s="11"/>
      <c r="DJL5" s="11"/>
      <c r="DJM5" s="11"/>
      <c r="DJN5" s="11"/>
      <c r="DJO5" s="11"/>
      <c r="DJP5" s="11"/>
      <c r="DJQ5" s="11"/>
      <c r="DJR5" s="11"/>
      <c r="DJS5" s="11"/>
      <c r="DJT5" s="11"/>
      <c r="DJU5" s="11"/>
      <c r="DJV5" s="11"/>
      <c r="DJW5" s="11"/>
      <c r="DJX5" s="11"/>
      <c r="DJY5" s="11"/>
      <c r="DJZ5" s="11"/>
      <c r="DKA5" s="11"/>
      <c r="DKB5" s="11"/>
      <c r="DKC5" s="11"/>
      <c r="DKD5" s="11"/>
      <c r="DKE5" s="11"/>
      <c r="DKF5" s="11"/>
      <c r="DKG5" s="11"/>
      <c r="DKH5" s="11"/>
      <c r="DKI5" s="11"/>
      <c r="DKJ5" s="11"/>
      <c r="DKK5" s="11"/>
      <c r="DKL5" s="11"/>
      <c r="DKM5" s="11"/>
      <c r="DKN5" s="11"/>
      <c r="DKO5" s="11"/>
      <c r="DKP5" s="11"/>
      <c r="DKQ5" s="11"/>
      <c r="DKR5" s="11"/>
      <c r="DKS5" s="11"/>
      <c r="DKT5" s="11"/>
      <c r="DKU5" s="11"/>
      <c r="DKV5" s="11"/>
      <c r="DKW5" s="11"/>
      <c r="DKX5" s="11"/>
      <c r="DKY5" s="11"/>
      <c r="DKZ5" s="11"/>
      <c r="DLA5" s="11"/>
      <c r="DLB5" s="11"/>
      <c r="DLC5" s="11"/>
      <c r="DLD5" s="11"/>
      <c r="DLE5" s="11"/>
      <c r="DLF5" s="11"/>
      <c r="DLG5" s="11"/>
      <c r="DLH5" s="11"/>
      <c r="DLI5" s="11"/>
      <c r="DLJ5" s="11"/>
      <c r="DLK5" s="11"/>
      <c r="DLL5" s="11"/>
      <c r="DLM5" s="11"/>
      <c r="DLN5" s="11"/>
      <c r="DLO5" s="11"/>
      <c r="DLP5" s="11"/>
      <c r="DLQ5" s="11"/>
      <c r="DLR5" s="11"/>
      <c r="DLS5" s="11"/>
      <c r="DLT5" s="11"/>
      <c r="DLU5" s="11"/>
      <c r="DLV5" s="11"/>
      <c r="DLW5" s="11"/>
      <c r="DLX5" s="11"/>
      <c r="DLY5" s="11"/>
      <c r="DLZ5" s="11"/>
      <c r="DMA5" s="11"/>
      <c r="DMB5" s="11"/>
      <c r="DMC5" s="11"/>
      <c r="DMD5" s="11"/>
      <c r="DME5" s="11"/>
      <c r="DMF5" s="11"/>
      <c r="DMG5" s="11"/>
      <c r="DMH5" s="11"/>
      <c r="DMI5" s="11"/>
      <c r="DMJ5" s="11"/>
      <c r="DMK5" s="11"/>
      <c r="DML5" s="11"/>
      <c r="DMM5" s="11"/>
      <c r="DMN5" s="11"/>
      <c r="DMO5" s="11"/>
      <c r="DMP5" s="11"/>
      <c r="DMQ5" s="11"/>
      <c r="DMR5" s="11"/>
      <c r="DMS5" s="11"/>
      <c r="DMT5" s="11"/>
      <c r="DMU5" s="11"/>
      <c r="DMV5" s="11"/>
      <c r="DMW5" s="11"/>
      <c r="DMX5" s="11"/>
      <c r="DMY5" s="11"/>
      <c r="DMZ5" s="11"/>
      <c r="DNA5" s="11"/>
      <c r="DNB5" s="11"/>
      <c r="DNC5" s="11"/>
      <c r="DND5" s="11"/>
      <c r="DNE5" s="11"/>
      <c r="DNF5" s="11"/>
      <c r="DNG5" s="11"/>
      <c r="DNH5" s="11"/>
      <c r="DNI5" s="11"/>
      <c r="DNJ5" s="11"/>
      <c r="DNK5" s="11"/>
      <c r="DNL5" s="11"/>
      <c r="DNM5" s="11"/>
      <c r="DNN5" s="11"/>
      <c r="DNO5" s="11"/>
      <c r="DNP5" s="11"/>
      <c r="DNQ5" s="11"/>
      <c r="DNR5" s="11"/>
      <c r="DNS5" s="11"/>
      <c r="DNT5" s="11"/>
      <c r="DNU5" s="11"/>
      <c r="DNV5" s="11"/>
      <c r="DNW5" s="11"/>
      <c r="DNX5" s="11"/>
      <c r="DNY5" s="11"/>
      <c r="DNZ5" s="11"/>
      <c r="DOA5" s="11"/>
      <c r="DOB5" s="11"/>
      <c r="DOC5" s="11"/>
      <c r="DOD5" s="11"/>
      <c r="DOE5" s="11"/>
      <c r="DOF5" s="11"/>
      <c r="DOG5" s="11"/>
      <c r="DOH5" s="11"/>
      <c r="DOI5" s="11"/>
      <c r="DOJ5" s="11"/>
      <c r="DOK5" s="11"/>
      <c r="DOL5" s="11"/>
      <c r="DOM5" s="11"/>
      <c r="DON5" s="11"/>
      <c r="DOO5" s="11"/>
      <c r="DOP5" s="11"/>
      <c r="DOQ5" s="11"/>
      <c r="DOR5" s="11"/>
      <c r="DOS5" s="11"/>
      <c r="DOT5" s="11"/>
      <c r="DOU5" s="11"/>
      <c r="DOV5" s="11"/>
      <c r="DOW5" s="11"/>
      <c r="DOX5" s="11"/>
      <c r="DOY5" s="11"/>
      <c r="DOZ5" s="11"/>
      <c r="DPA5" s="11"/>
      <c r="DPB5" s="11"/>
      <c r="DPC5" s="11"/>
      <c r="DPD5" s="11"/>
      <c r="DPE5" s="11"/>
      <c r="DPF5" s="11"/>
      <c r="DPG5" s="11"/>
      <c r="DPH5" s="11"/>
      <c r="DPI5" s="11"/>
      <c r="DPJ5" s="11"/>
      <c r="DPK5" s="11"/>
      <c r="DPL5" s="11"/>
      <c r="DPM5" s="11"/>
      <c r="DPN5" s="11"/>
      <c r="DPO5" s="11"/>
      <c r="DPP5" s="11"/>
      <c r="DPQ5" s="11"/>
      <c r="DPR5" s="11"/>
      <c r="DPS5" s="11"/>
      <c r="DPT5" s="11"/>
      <c r="DPU5" s="11"/>
      <c r="DPV5" s="11"/>
      <c r="DPW5" s="11"/>
      <c r="DPX5" s="11"/>
      <c r="DPY5" s="11"/>
      <c r="DPZ5" s="11"/>
      <c r="DQA5" s="11"/>
      <c r="DQB5" s="11"/>
      <c r="DQC5" s="11"/>
      <c r="DQD5" s="11"/>
      <c r="DQE5" s="11"/>
      <c r="DQF5" s="11"/>
      <c r="DQG5" s="11"/>
      <c r="DQH5" s="11"/>
      <c r="DQI5" s="11"/>
      <c r="DQJ5" s="11"/>
      <c r="DQK5" s="11"/>
      <c r="DQL5" s="11"/>
      <c r="DQM5" s="11"/>
      <c r="DQN5" s="11"/>
      <c r="DQO5" s="11"/>
      <c r="DQP5" s="11"/>
      <c r="DQQ5" s="11"/>
      <c r="DQR5" s="11"/>
      <c r="DQS5" s="11"/>
      <c r="DQT5" s="11"/>
      <c r="DQU5" s="11"/>
      <c r="DQV5" s="11"/>
      <c r="DQW5" s="11"/>
      <c r="DQX5" s="11"/>
      <c r="DQY5" s="11"/>
      <c r="DQZ5" s="11"/>
      <c r="DRA5" s="11"/>
      <c r="DRB5" s="11"/>
      <c r="DRC5" s="11"/>
      <c r="DRD5" s="11"/>
      <c r="DRE5" s="11"/>
      <c r="DRF5" s="11"/>
      <c r="DRG5" s="11"/>
      <c r="DRH5" s="11"/>
      <c r="DRI5" s="11"/>
      <c r="DRJ5" s="11"/>
      <c r="DRK5" s="11"/>
      <c r="DRL5" s="11"/>
      <c r="DRM5" s="11"/>
      <c r="DRN5" s="11"/>
      <c r="DRO5" s="11"/>
      <c r="DRP5" s="11"/>
      <c r="DRQ5" s="11"/>
      <c r="DRR5" s="11"/>
      <c r="DRS5" s="11"/>
      <c r="DRT5" s="11"/>
      <c r="DRU5" s="11"/>
      <c r="DRV5" s="11"/>
      <c r="DRW5" s="11"/>
      <c r="DRX5" s="11"/>
      <c r="DRY5" s="11"/>
      <c r="DRZ5" s="11"/>
      <c r="DSA5" s="11"/>
      <c r="DSB5" s="11"/>
      <c r="DSC5" s="11"/>
      <c r="DSD5" s="11"/>
      <c r="DSE5" s="11"/>
      <c r="DSF5" s="11"/>
      <c r="DSG5" s="11"/>
      <c r="DSH5" s="11"/>
      <c r="DSI5" s="11"/>
      <c r="DSJ5" s="11"/>
      <c r="DSK5" s="11"/>
      <c r="DSL5" s="11"/>
      <c r="DSM5" s="11"/>
      <c r="DSN5" s="11"/>
      <c r="DSO5" s="11"/>
      <c r="DSP5" s="11"/>
      <c r="DSQ5" s="11"/>
      <c r="DSR5" s="11"/>
      <c r="DSS5" s="11"/>
      <c r="DST5" s="11"/>
      <c r="DSU5" s="11"/>
      <c r="DSV5" s="11"/>
      <c r="DSW5" s="11"/>
      <c r="DSX5" s="11"/>
      <c r="DSY5" s="11"/>
      <c r="DSZ5" s="11"/>
      <c r="DTA5" s="11"/>
      <c r="DTB5" s="11"/>
      <c r="DTC5" s="11"/>
      <c r="DTD5" s="11"/>
      <c r="DTE5" s="11"/>
      <c r="DTF5" s="11"/>
      <c r="DTG5" s="11"/>
      <c r="DTH5" s="11"/>
      <c r="DTI5" s="11"/>
      <c r="DTJ5" s="11"/>
      <c r="DTK5" s="11"/>
      <c r="DTL5" s="11"/>
      <c r="DTM5" s="11"/>
      <c r="DTN5" s="11"/>
      <c r="DTO5" s="11"/>
      <c r="DTP5" s="11"/>
      <c r="DTQ5" s="11"/>
      <c r="DTR5" s="11"/>
      <c r="DTS5" s="11"/>
      <c r="DTT5" s="11"/>
      <c r="DTU5" s="11"/>
      <c r="DTV5" s="11"/>
      <c r="DTW5" s="11"/>
      <c r="DTX5" s="11"/>
      <c r="DTY5" s="11"/>
      <c r="DTZ5" s="11"/>
      <c r="DUA5" s="11"/>
      <c r="DUB5" s="11"/>
      <c r="DUC5" s="11"/>
      <c r="DUD5" s="11"/>
      <c r="DUE5" s="11"/>
      <c r="DUF5" s="11"/>
      <c r="DUG5" s="11"/>
      <c r="DUH5" s="11"/>
      <c r="DUI5" s="11"/>
      <c r="DUJ5" s="11"/>
      <c r="DUK5" s="11"/>
      <c r="DUL5" s="11"/>
      <c r="DUM5" s="11"/>
      <c r="DUN5" s="11"/>
      <c r="DUO5" s="11"/>
      <c r="DUP5" s="11"/>
      <c r="DUQ5" s="11"/>
      <c r="DUR5" s="11"/>
      <c r="DUS5" s="11"/>
      <c r="DUT5" s="11"/>
      <c r="DUU5" s="11"/>
      <c r="DUV5" s="11"/>
      <c r="DUW5" s="11"/>
      <c r="DUX5" s="11"/>
      <c r="DUY5" s="11"/>
      <c r="DUZ5" s="11"/>
      <c r="DVA5" s="11"/>
      <c r="DVB5" s="11"/>
      <c r="DVC5" s="11"/>
      <c r="DVD5" s="11"/>
      <c r="DVE5" s="11"/>
      <c r="DVF5" s="11"/>
      <c r="DVG5" s="11"/>
      <c r="DVH5" s="11"/>
      <c r="DVI5" s="11"/>
      <c r="DVJ5" s="11"/>
      <c r="DVK5" s="11"/>
      <c r="DVL5" s="11"/>
      <c r="DVM5" s="11"/>
      <c r="DVN5" s="11"/>
      <c r="DVO5" s="11"/>
      <c r="DVP5" s="11"/>
      <c r="DVQ5" s="11"/>
      <c r="DVR5" s="11"/>
      <c r="DVS5" s="11"/>
      <c r="DVT5" s="11"/>
      <c r="DVU5" s="11"/>
      <c r="DVV5" s="11"/>
      <c r="DVW5" s="11"/>
      <c r="DVX5" s="11"/>
      <c r="DVY5" s="11"/>
      <c r="DVZ5" s="11"/>
      <c r="DWA5" s="11"/>
      <c r="DWB5" s="11"/>
      <c r="DWC5" s="11"/>
      <c r="DWD5" s="11"/>
      <c r="DWE5" s="11"/>
      <c r="DWF5" s="11"/>
      <c r="DWG5" s="11"/>
      <c r="DWH5" s="11"/>
      <c r="DWI5" s="11"/>
      <c r="DWJ5" s="11"/>
      <c r="DWK5" s="11"/>
      <c r="DWL5" s="11"/>
      <c r="DWM5" s="11"/>
      <c r="DWN5" s="11"/>
      <c r="DWO5" s="11"/>
      <c r="DWP5" s="11"/>
      <c r="DWQ5" s="11"/>
      <c r="DWR5" s="11"/>
      <c r="DWS5" s="11"/>
      <c r="DWT5" s="11"/>
      <c r="DWU5" s="11"/>
      <c r="DWV5" s="11"/>
      <c r="DWW5" s="11"/>
      <c r="DWX5" s="11"/>
      <c r="DWY5" s="11"/>
      <c r="DWZ5" s="11"/>
      <c r="DXA5" s="11"/>
      <c r="DXB5" s="11"/>
      <c r="DXC5" s="11"/>
      <c r="DXD5" s="11"/>
      <c r="DXE5" s="11"/>
      <c r="DXF5" s="11"/>
      <c r="DXG5" s="11"/>
      <c r="DXH5" s="11"/>
      <c r="DXI5" s="11"/>
      <c r="DXJ5" s="11"/>
      <c r="DXK5" s="11"/>
      <c r="DXL5" s="11"/>
      <c r="DXM5" s="11"/>
      <c r="DXN5" s="11"/>
      <c r="DXO5" s="11"/>
      <c r="DXP5" s="11"/>
      <c r="DXQ5" s="11"/>
      <c r="DXR5" s="11"/>
      <c r="DXS5" s="11"/>
      <c r="DXT5" s="11"/>
      <c r="DXU5" s="11"/>
      <c r="DXV5" s="11"/>
      <c r="DXW5" s="11"/>
      <c r="DXX5" s="11"/>
      <c r="DXY5" s="11"/>
      <c r="DXZ5" s="11"/>
      <c r="DYA5" s="11"/>
      <c r="DYB5" s="11"/>
      <c r="DYC5" s="11"/>
      <c r="DYD5" s="11"/>
      <c r="DYE5" s="11"/>
      <c r="DYF5" s="11"/>
      <c r="DYG5" s="11"/>
      <c r="DYH5" s="11"/>
      <c r="DYI5" s="11"/>
      <c r="DYJ5" s="11"/>
      <c r="DYK5" s="11"/>
      <c r="DYL5" s="11"/>
      <c r="DYM5" s="11"/>
      <c r="DYN5" s="11"/>
      <c r="DYO5" s="11"/>
      <c r="DYP5" s="11"/>
      <c r="DYQ5" s="11"/>
      <c r="DYR5" s="11"/>
      <c r="DYS5" s="11"/>
      <c r="DYT5" s="11"/>
      <c r="DYU5" s="11"/>
      <c r="DYV5" s="11"/>
      <c r="DYW5" s="11"/>
      <c r="DYX5" s="11"/>
      <c r="DYY5" s="11"/>
      <c r="DYZ5" s="11"/>
      <c r="DZA5" s="11"/>
      <c r="DZB5" s="11"/>
      <c r="DZC5" s="11"/>
      <c r="DZD5" s="11"/>
      <c r="DZE5" s="11"/>
      <c r="DZF5" s="11"/>
      <c r="DZG5" s="11"/>
      <c r="DZH5" s="11"/>
      <c r="DZI5" s="11"/>
      <c r="DZJ5" s="11"/>
      <c r="DZK5" s="11"/>
      <c r="DZL5" s="11"/>
      <c r="DZM5" s="11"/>
      <c r="DZN5" s="11"/>
      <c r="DZO5" s="11"/>
      <c r="DZP5" s="11"/>
      <c r="DZQ5" s="11"/>
      <c r="DZR5" s="11"/>
      <c r="DZS5" s="11"/>
      <c r="DZT5" s="11"/>
      <c r="DZU5" s="11"/>
      <c r="DZV5" s="11"/>
      <c r="DZW5" s="11"/>
      <c r="DZX5" s="11"/>
      <c r="DZY5" s="11"/>
      <c r="DZZ5" s="11"/>
      <c r="EAA5" s="11"/>
      <c r="EAB5" s="11"/>
      <c r="EAC5" s="11"/>
      <c r="EAD5" s="11"/>
      <c r="EAE5" s="11"/>
      <c r="EAF5" s="11"/>
      <c r="EAG5" s="11"/>
      <c r="EAH5" s="11"/>
      <c r="EAI5" s="11"/>
      <c r="EAJ5" s="11"/>
      <c r="EAK5" s="11"/>
      <c r="EAL5" s="11"/>
      <c r="EAM5" s="11"/>
      <c r="EAN5" s="11"/>
      <c r="EAO5" s="11"/>
      <c r="EAP5" s="11"/>
      <c r="EAQ5" s="11"/>
      <c r="EAR5" s="11"/>
      <c r="EAS5" s="11"/>
      <c r="EAT5" s="11"/>
      <c r="EAU5" s="11"/>
      <c r="EAV5" s="11"/>
      <c r="EAW5" s="11"/>
      <c r="EAX5" s="11"/>
      <c r="EAY5" s="11"/>
      <c r="EAZ5" s="11"/>
      <c r="EBA5" s="11"/>
      <c r="EBB5" s="11"/>
      <c r="EBC5" s="11"/>
      <c r="EBD5" s="11"/>
      <c r="EBE5" s="11"/>
      <c r="EBF5" s="11"/>
      <c r="EBG5" s="11"/>
      <c r="EBH5" s="11"/>
      <c r="EBI5" s="11"/>
      <c r="EBJ5" s="11"/>
      <c r="EBK5" s="11"/>
      <c r="EBL5" s="11"/>
      <c r="EBM5" s="11"/>
      <c r="EBN5" s="11"/>
      <c r="EBO5" s="11"/>
      <c r="EBP5" s="11"/>
      <c r="EBQ5" s="11"/>
      <c r="EBR5" s="11"/>
      <c r="EBS5" s="11"/>
      <c r="EBT5" s="11"/>
      <c r="EBU5" s="11"/>
      <c r="EBV5" s="11"/>
      <c r="EBW5" s="11"/>
      <c r="EBX5" s="11"/>
      <c r="EBY5" s="11"/>
      <c r="EBZ5" s="11"/>
      <c r="ECA5" s="11"/>
      <c r="ECB5" s="11"/>
      <c r="ECC5" s="11"/>
      <c r="ECD5" s="11"/>
      <c r="ECE5" s="11"/>
      <c r="ECF5" s="11"/>
      <c r="ECG5" s="11"/>
      <c r="ECH5" s="11"/>
      <c r="ECI5" s="11"/>
      <c r="ECJ5" s="11"/>
      <c r="ECK5" s="11"/>
      <c r="ECL5" s="11"/>
      <c r="ECM5" s="11"/>
      <c r="ECN5" s="11"/>
      <c r="ECO5" s="11"/>
      <c r="ECP5" s="11"/>
      <c r="ECQ5" s="11"/>
      <c r="ECR5" s="11"/>
      <c r="ECS5" s="11"/>
      <c r="ECT5" s="11"/>
      <c r="ECU5" s="11"/>
      <c r="ECV5" s="11"/>
      <c r="ECW5" s="11"/>
      <c r="ECX5" s="11"/>
      <c r="ECY5" s="11"/>
      <c r="ECZ5" s="11"/>
      <c r="EDA5" s="11"/>
      <c r="EDB5" s="11"/>
      <c r="EDC5" s="11"/>
      <c r="EDD5" s="11"/>
      <c r="EDE5" s="11"/>
      <c r="EDF5" s="11"/>
      <c r="EDG5" s="11"/>
      <c r="EDH5" s="11"/>
      <c r="EDI5" s="11"/>
      <c r="EDJ5" s="11"/>
      <c r="EDK5" s="11"/>
      <c r="EDL5" s="11"/>
      <c r="EDM5" s="11"/>
      <c r="EDN5" s="11"/>
      <c r="EDO5" s="11"/>
      <c r="EDP5" s="11"/>
      <c r="EDQ5" s="11"/>
      <c r="EDR5" s="11"/>
      <c r="EDS5" s="11"/>
      <c r="EDT5" s="11"/>
      <c r="EDU5" s="11"/>
      <c r="EDV5" s="11"/>
      <c r="EDW5" s="11"/>
      <c r="EDX5" s="11"/>
      <c r="EDY5" s="11"/>
      <c r="EDZ5" s="11"/>
      <c r="EEA5" s="11"/>
      <c r="EEB5" s="11"/>
      <c r="EEC5" s="11"/>
      <c r="EED5" s="11"/>
      <c r="EEE5" s="11"/>
      <c r="EEF5" s="11"/>
      <c r="EEG5" s="11"/>
      <c r="EEH5" s="11"/>
      <c r="EEI5" s="11"/>
      <c r="EEJ5" s="11"/>
      <c r="EEK5" s="11"/>
      <c r="EEL5" s="11"/>
      <c r="EEM5" s="11"/>
      <c r="EEN5" s="11"/>
      <c r="EEO5" s="11"/>
      <c r="EEP5" s="11"/>
      <c r="EEQ5" s="11"/>
      <c r="EER5" s="11"/>
      <c r="EES5" s="11"/>
      <c r="EET5" s="11"/>
      <c r="EEU5" s="11"/>
      <c r="EEV5" s="11"/>
      <c r="EEW5" s="11"/>
      <c r="EEX5" s="11"/>
      <c r="EEY5" s="11"/>
      <c r="EEZ5" s="11"/>
      <c r="EFA5" s="11"/>
      <c r="EFB5" s="11"/>
      <c r="EFC5" s="11"/>
      <c r="EFD5" s="11"/>
      <c r="EFE5" s="11"/>
      <c r="EFF5" s="11"/>
      <c r="EFG5" s="11"/>
      <c r="EFH5" s="11"/>
      <c r="EFI5" s="11"/>
      <c r="EFJ5" s="11"/>
      <c r="EFK5" s="11"/>
      <c r="EFL5" s="11"/>
      <c r="EFM5" s="11"/>
      <c r="EFN5" s="11"/>
      <c r="EFO5" s="11"/>
      <c r="EFP5" s="11"/>
      <c r="EFQ5" s="11"/>
      <c r="EFR5" s="11"/>
      <c r="EFS5" s="11"/>
      <c r="EFT5" s="11"/>
      <c r="EFU5" s="11"/>
      <c r="EFV5" s="11"/>
      <c r="EFW5" s="11"/>
      <c r="EFX5" s="11"/>
      <c r="EFY5" s="11"/>
      <c r="EFZ5" s="11"/>
      <c r="EGA5" s="11"/>
      <c r="EGB5" s="11"/>
      <c r="EGC5" s="11"/>
      <c r="EGD5" s="11"/>
      <c r="EGE5" s="11"/>
      <c r="EGF5" s="11"/>
      <c r="EGG5" s="11"/>
      <c r="EGH5" s="11"/>
      <c r="EGI5" s="11"/>
      <c r="EGJ5" s="11"/>
      <c r="EGK5" s="11"/>
      <c r="EGL5" s="11"/>
      <c r="EGM5" s="11"/>
      <c r="EGN5" s="11"/>
      <c r="EGO5" s="11"/>
      <c r="EGP5" s="11"/>
      <c r="EGQ5" s="11"/>
      <c r="EGR5" s="11"/>
      <c r="EGS5" s="11"/>
      <c r="EGT5" s="11"/>
      <c r="EGU5" s="11"/>
      <c r="EGV5" s="11"/>
      <c r="EGW5" s="11"/>
      <c r="EGX5" s="11"/>
      <c r="EGY5" s="11"/>
      <c r="EGZ5" s="11"/>
      <c r="EHA5" s="11"/>
      <c r="EHB5" s="11"/>
      <c r="EHC5" s="11"/>
      <c r="EHD5" s="11"/>
      <c r="EHE5" s="11"/>
      <c r="EHF5" s="11"/>
      <c r="EHG5" s="11"/>
      <c r="EHH5" s="11"/>
      <c r="EHI5" s="11"/>
      <c r="EHJ5" s="11"/>
      <c r="EHK5" s="11"/>
      <c r="EHL5" s="11"/>
      <c r="EHM5" s="11"/>
      <c r="EHN5" s="11"/>
      <c r="EHO5" s="11"/>
      <c r="EHP5" s="11"/>
      <c r="EHQ5" s="11"/>
      <c r="EHR5" s="11"/>
      <c r="EHS5" s="11"/>
      <c r="EHT5" s="11"/>
      <c r="EHU5" s="11"/>
      <c r="EHV5" s="11"/>
      <c r="EHW5" s="11"/>
      <c r="EHX5" s="11"/>
      <c r="EHY5" s="11"/>
      <c r="EHZ5" s="11"/>
      <c r="EIA5" s="11"/>
      <c r="EIB5" s="11"/>
      <c r="EIC5" s="11"/>
      <c r="EID5" s="11"/>
      <c r="EIE5" s="11"/>
      <c r="EIF5" s="11"/>
      <c r="EIG5" s="11"/>
      <c r="EIH5" s="11"/>
      <c r="EII5" s="11"/>
      <c r="EIJ5" s="11"/>
      <c r="EIK5" s="11"/>
      <c r="EIL5" s="11"/>
      <c r="EIM5" s="11"/>
      <c r="EIN5" s="11"/>
      <c r="EIO5" s="11"/>
      <c r="EIP5" s="11"/>
      <c r="EIQ5" s="11"/>
      <c r="EIR5" s="11"/>
      <c r="EIS5" s="11"/>
      <c r="EIT5" s="11"/>
      <c r="EIU5" s="11"/>
      <c r="EIV5" s="11"/>
      <c r="EIW5" s="11"/>
      <c r="EIX5" s="11"/>
      <c r="EIY5" s="11"/>
      <c r="EIZ5" s="11"/>
      <c r="EJA5" s="11"/>
      <c r="EJB5" s="11"/>
      <c r="EJC5" s="11"/>
      <c r="EJD5" s="11"/>
      <c r="EJE5" s="11"/>
      <c r="EJF5" s="11"/>
      <c r="EJG5" s="11"/>
      <c r="EJH5" s="11"/>
      <c r="EJI5" s="11"/>
      <c r="EJJ5" s="11"/>
      <c r="EJK5" s="11"/>
      <c r="EJL5" s="11"/>
      <c r="EJM5" s="11"/>
      <c r="EJN5" s="11"/>
      <c r="EJO5" s="11"/>
      <c r="EJP5" s="11"/>
      <c r="EJQ5" s="11"/>
      <c r="EJR5" s="11"/>
      <c r="EJS5" s="11"/>
      <c r="EJT5" s="11"/>
      <c r="EJU5" s="11"/>
      <c r="EJV5" s="11"/>
      <c r="EJW5" s="11"/>
      <c r="EJX5" s="11"/>
      <c r="EJY5" s="11"/>
      <c r="EJZ5" s="11"/>
      <c r="EKA5" s="11"/>
      <c r="EKB5" s="11"/>
      <c r="EKC5" s="11"/>
      <c r="EKD5" s="11"/>
      <c r="EKE5" s="11"/>
      <c r="EKF5" s="11"/>
      <c r="EKG5" s="11"/>
      <c r="EKH5" s="11"/>
      <c r="EKI5" s="11"/>
      <c r="EKJ5" s="11"/>
      <c r="EKK5" s="11"/>
      <c r="EKL5" s="11"/>
      <c r="EKM5" s="11"/>
      <c r="EKN5" s="11"/>
      <c r="EKO5" s="11"/>
      <c r="EKP5" s="11"/>
      <c r="EKQ5" s="11"/>
      <c r="EKR5" s="11"/>
      <c r="EKS5" s="11"/>
      <c r="EKT5" s="11"/>
      <c r="EKU5" s="11"/>
      <c r="EKV5" s="11"/>
      <c r="EKW5" s="11"/>
      <c r="EKX5" s="11"/>
      <c r="EKY5" s="11"/>
      <c r="EKZ5" s="11"/>
      <c r="ELA5" s="11"/>
      <c r="ELB5" s="11"/>
      <c r="ELC5" s="11"/>
      <c r="ELD5" s="11"/>
      <c r="ELE5" s="11"/>
      <c r="ELF5" s="11"/>
      <c r="ELG5" s="11"/>
      <c r="ELH5" s="11"/>
      <c r="ELI5" s="11"/>
      <c r="ELJ5" s="11"/>
      <c r="ELK5" s="11"/>
      <c r="ELL5" s="11"/>
      <c r="ELM5" s="11"/>
      <c r="ELN5" s="11"/>
      <c r="ELO5" s="11"/>
      <c r="ELP5" s="11"/>
      <c r="ELQ5" s="11"/>
      <c r="ELR5" s="11"/>
      <c r="ELS5" s="11"/>
      <c r="ELT5" s="11"/>
      <c r="ELU5" s="11"/>
      <c r="ELV5" s="11"/>
      <c r="ELW5" s="11"/>
      <c r="ELX5" s="11"/>
      <c r="ELY5" s="11"/>
      <c r="ELZ5" s="11"/>
      <c r="EMA5" s="11"/>
      <c r="EMB5" s="11"/>
      <c r="EMC5" s="11"/>
      <c r="EMD5" s="11"/>
      <c r="EME5" s="11"/>
      <c r="EMF5" s="11"/>
      <c r="EMG5" s="11"/>
      <c r="EMH5" s="11"/>
      <c r="EMI5" s="11"/>
      <c r="EMJ5" s="11"/>
      <c r="EMK5" s="11"/>
      <c r="EML5" s="11"/>
      <c r="EMM5" s="11"/>
      <c r="EMN5" s="11"/>
      <c r="EMO5" s="11"/>
      <c r="EMP5" s="11"/>
      <c r="EMQ5" s="11"/>
      <c r="EMR5" s="11"/>
      <c r="EMS5" s="11"/>
      <c r="EMT5" s="11"/>
      <c r="EMU5" s="11"/>
      <c r="EMV5" s="11"/>
      <c r="EMW5" s="11"/>
      <c r="EMX5" s="11"/>
      <c r="EMY5" s="11"/>
      <c r="EMZ5" s="11"/>
      <c r="ENA5" s="11"/>
      <c r="ENB5" s="11"/>
      <c r="ENC5" s="11"/>
      <c r="END5" s="11"/>
      <c r="ENE5" s="11"/>
      <c r="ENF5" s="11"/>
      <c r="ENG5" s="11"/>
      <c r="ENH5" s="11"/>
      <c r="ENI5" s="11"/>
      <c r="ENJ5" s="11"/>
      <c r="ENK5" s="11"/>
      <c r="ENL5" s="11"/>
      <c r="ENM5" s="11"/>
      <c r="ENN5" s="11"/>
      <c r="ENO5" s="11"/>
      <c r="ENP5" s="11"/>
      <c r="ENQ5" s="11"/>
      <c r="ENR5" s="11"/>
      <c r="ENS5" s="11"/>
      <c r="ENT5" s="11"/>
      <c r="ENU5" s="11"/>
      <c r="ENV5" s="11"/>
      <c r="ENW5" s="11"/>
      <c r="ENX5" s="11"/>
      <c r="ENY5" s="11"/>
      <c r="ENZ5" s="11"/>
      <c r="EOA5" s="11"/>
      <c r="EOB5" s="11"/>
      <c r="EOC5" s="11"/>
      <c r="EOD5" s="11"/>
      <c r="EOE5" s="11"/>
      <c r="EOF5" s="11"/>
      <c r="EOG5" s="11"/>
      <c r="EOH5" s="11"/>
      <c r="EOI5" s="11"/>
      <c r="EOJ5" s="11"/>
      <c r="EOK5" s="11"/>
      <c r="EOL5" s="11"/>
      <c r="EOM5" s="11"/>
      <c r="EON5" s="11"/>
      <c r="EOO5" s="11"/>
      <c r="EOP5" s="11"/>
      <c r="EOQ5" s="11"/>
      <c r="EOR5" s="11"/>
      <c r="EOS5" s="11"/>
      <c r="EOT5" s="11"/>
      <c r="EOU5" s="11"/>
      <c r="EOV5" s="11"/>
      <c r="EOW5" s="11"/>
      <c r="EOX5" s="11"/>
      <c r="EOY5" s="11"/>
      <c r="EOZ5" s="11"/>
      <c r="EPA5" s="11"/>
      <c r="EPB5" s="11"/>
      <c r="EPC5" s="11"/>
      <c r="EPD5" s="11"/>
      <c r="EPE5" s="11"/>
      <c r="EPF5" s="11"/>
      <c r="EPG5" s="11"/>
      <c r="EPH5" s="11"/>
      <c r="EPI5" s="11"/>
      <c r="EPJ5" s="11"/>
      <c r="EPK5" s="11"/>
      <c r="EPL5" s="11"/>
      <c r="EPM5" s="11"/>
      <c r="EPN5" s="11"/>
      <c r="EPO5" s="11"/>
      <c r="EPP5" s="11"/>
      <c r="EPQ5" s="11"/>
      <c r="EPR5" s="11"/>
      <c r="EPS5" s="11"/>
      <c r="EPT5" s="11"/>
      <c r="EPU5" s="11"/>
      <c r="EPV5" s="11"/>
      <c r="EPW5" s="11"/>
      <c r="EPX5" s="11"/>
      <c r="EPY5" s="11"/>
      <c r="EPZ5" s="11"/>
      <c r="EQA5" s="11"/>
      <c r="EQB5" s="11"/>
      <c r="EQC5" s="11"/>
      <c r="EQD5" s="11"/>
      <c r="EQE5" s="11"/>
      <c r="EQF5" s="11"/>
      <c r="EQG5" s="11"/>
      <c r="EQH5" s="11"/>
      <c r="EQI5" s="11"/>
      <c r="EQJ5" s="11"/>
      <c r="EQK5" s="11"/>
      <c r="EQL5" s="11"/>
      <c r="EQM5" s="11"/>
      <c r="EQN5" s="11"/>
      <c r="EQO5" s="11"/>
      <c r="EQP5" s="11"/>
      <c r="EQQ5" s="11"/>
      <c r="EQR5" s="11"/>
      <c r="EQS5" s="11"/>
      <c r="EQT5" s="11"/>
      <c r="EQU5" s="11"/>
      <c r="EQV5" s="11"/>
      <c r="EQW5" s="11"/>
      <c r="EQX5" s="11"/>
      <c r="EQY5" s="11"/>
      <c r="EQZ5" s="11"/>
      <c r="ERA5" s="11"/>
      <c r="ERB5" s="11"/>
      <c r="ERC5" s="11"/>
      <c r="ERD5" s="11"/>
      <c r="ERE5" s="11"/>
      <c r="ERF5" s="11"/>
      <c r="ERG5" s="11"/>
      <c r="ERH5" s="11"/>
      <c r="ERI5" s="11"/>
      <c r="ERJ5" s="11"/>
      <c r="ERK5" s="11"/>
      <c r="ERL5" s="11"/>
      <c r="ERM5" s="11"/>
      <c r="ERN5" s="11"/>
      <c r="ERO5" s="11"/>
      <c r="ERP5" s="11"/>
      <c r="ERQ5" s="11"/>
      <c r="ERR5" s="11"/>
      <c r="ERS5" s="11"/>
      <c r="ERT5" s="11"/>
      <c r="ERU5" s="11"/>
      <c r="ERV5" s="11"/>
      <c r="ERW5" s="11"/>
      <c r="ERX5" s="11"/>
      <c r="ERY5" s="11"/>
      <c r="ERZ5" s="11"/>
      <c r="ESA5" s="11"/>
      <c r="ESB5" s="11"/>
      <c r="ESC5" s="11"/>
      <c r="ESD5" s="11"/>
      <c r="ESE5" s="11"/>
      <c r="ESF5" s="11"/>
      <c r="ESG5" s="11"/>
      <c r="ESH5" s="11"/>
      <c r="ESI5" s="11"/>
      <c r="ESJ5" s="11"/>
      <c r="ESK5" s="11"/>
      <c r="ESL5" s="11"/>
      <c r="ESM5" s="11"/>
      <c r="ESN5" s="11"/>
      <c r="ESO5" s="11"/>
      <c r="ESP5" s="11"/>
      <c r="ESQ5" s="11"/>
      <c r="ESR5" s="11"/>
      <c r="ESS5" s="11"/>
      <c r="EST5" s="11"/>
      <c r="ESU5" s="11"/>
      <c r="ESV5" s="11"/>
      <c r="ESW5" s="11"/>
      <c r="ESX5" s="11"/>
      <c r="ESY5" s="11"/>
      <c r="ESZ5" s="11"/>
      <c r="ETA5" s="11"/>
      <c r="ETB5" s="11"/>
      <c r="ETC5" s="11"/>
      <c r="ETD5" s="11"/>
      <c r="ETE5" s="11"/>
      <c r="ETF5" s="11"/>
      <c r="ETG5" s="11"/>
      <c r="ETH5" s="11"/>
      <c r="ETI5" s="11"/>
      <c r="ETJ5" s="11"/>
      <c r="ETK5" s="11"/>
      <c r="ETL5" s="11"/>
      <c r="ETM5" s="11"/>
      <c r="ETN5" s="11"/>
      <c r="ETO5" s="11"/>
      <c r="ETP5" s="11"/>
      <c r="ETQ5" s="11"/>
      <c r="ETR5" s="11"/>
      <c r="ETS5" s="11"/>
      <c r="ETT5" s="11"/>
      <c r="ETU5" s="11"/>
      <c r="ETV5" s="11"/>
      <c r="ETW5" s="11"/>
      <c r="ETX5" s="11"/>
      <c r="ETY5" s="11"/>
      <c r="ETZ5" s="11"/>
      <c r="EUA5" s="11"/>
      <c r="EUB5" s="11"/>
      <c r="EUC5" s="11"/>
      <c r="EUD5" s="11"/>
      <c r="EUE5" s="11"/>
      <c r="EUF5" s="11"/>
      <c r="EUG5" s="11"/>
      <c r="EUH5" s="11"/>
      <c r="EUI5" s="11"/>
      <c r="EUJ5" s="11"/>
      <c r="EUK5" s="11"/>
      <c r="EUL5" s="11"/>
      <c r="EUM5" s="11"/>
      <c r="EUN5" s="11"/>
      <c r="EUO5" s="11"/>
      <c r="EUP5" s="11"/>
      <c r="EUQ5" s="11"/>
      <c r="EUR5" s="11"/>
      <c r="EUS5" s="11"/>
      <c r="EUT5" s="11"/>
      <c r="EUU5" s="11"/>
      <c r="EUV5" s="11"/>
      <c r="EUW5" s="11"/>
      <c r="EUX5" s="11"/>
      <c r="EUY5" s="11"/>
      <c r="EUZ5" s="11"/>
      <c r="EVA5" s="11"/>
      <c r="EVB5" s="11"/>
      <c r="EVC5" s="11"/>
      <c r="EVD5" s="11"/>
      <c r="EVE5" s="11"/>
      <c r="EVF5" s="11"/>
      <c r="EVG5" s="11"/>
      <c r="EVH5" s="11"/>
      <c r="EVI5" s="11"/>
      <c r="EVJ5" s="11"/>
      <c r="EVK5" s="11"/>
      <c r="EVL5" s="11"/>
      <c r="EVM5" s="11"/>
      <c r="EVN5" s="11"/>
      <c r="EVO5" s="11"/>
      <c r="EVP5" s="11"/>
      <c r="EVQ5" s="11"/>
      <c r="EVR5" s="11"/>
      <c r="EVS5" s="11"/>
      <c r="EVT5" s="11"/>
      <c r="EVU5" s="11"/>
      <c r="EVV5" s="11"/>
      <c r="EVW5" s="11"/>
      <c r="EVX5" s="11"/>
      <c r="EVY5" s="11"/>
      <c r="EVZ5" s="11"/>
      <c r="EWA5" s="11"/>
      <c r="EWB5" s="11"/>
      <c r="EWC5" s="11"/>
      <c r="EWD5" s="11"/>
      <c r="EWE5" s="11"/>
      <c r="EWF5" s="11"/>
      <c r="EWG5" s="11"/>
      <c r="EWH5" s="11"/>
      <c r="EWI5" s="11"/>
      <c r="EWJ5" s="11"/>
      <c r="EWK5" s="11"/>
      <c r="EWL5" s="11"/>
      <c r="EWM5" s="11"/>
      <c r="EWN5" s="11"/>
      <c r="EWO5" s="11"/>
      <c r="EWP5" s="11"/>
      <c r="EWQ5" s="11"/>
      <c r="EWR5" s="11"/>
      <c r="EWS5" s="11"/>
      <c r="EWT5" s="11"/>
      <c r="EWU5" s="11"/>
      <c r="EWV5" s="11"/>
      <c r="EWW5" s="11"/>
      <c r="EWX5" s="11"/>
      <c r="EWY5" s="11"/>
      <c r="EWZ5" s="11"/>
      <c r="EXA5" s="11"/>
      <c r="EXB5" s="11"/>
      <c r="EXC5" s="11"/>
      <c r="EXD5" s="11"/>
      <c r="EXE5" s="11"/>
      <c r="EXF5" s="11"/>
      <c r="EXG5" s="11"/>
      <c r="EXH5" s="11"/>
      <c r="EXI5" s="11"/>
      <c r="EXJ5" s="11"/>
      <c r="EXK5" s="11"/>
      <c r="EXL5" s="11"/>
      <c r="EXM5" s="11"/>
      <c r="EXN5" s="11"/>
      <c r="EXO5" s="11"/>
      <c r="EXP5" s="11"/>
      <c r="EXQ5" s="11"/>
      <c r="EXR5" s="11"/>
      <c r="EXS5" s="11"/>
      <c r="EXT5" s="11"/>
      <c r="EXU5" s="11"/>
      <c r="EXV5" s="11"/>
      <c r="EXW5" s="11"/>
      <c r="EXX5" s="11"/>
      <c r="EXY5" s="11"/>
      <c r="EXZ5" s="11"/>
      <c r="EYA5" s="11"/>
      <c r="EYB5" s="11"/>
      <c r="EYC5" s="11"/>
      <c r="EYD5" s="11"/>
      <c r="EYE5" s="11"/>
      <c r="EYF5" s="11"/>
      <c r="EYG5" s="11"/>
      <c r="EYH5" s="11"/>
      <c r="EYI5" s="11"/>
      <c r="EYJ5" s="11"/>
      <c r="EYK5" s="11"/>
      <c r="EYL5" s="11"/>
      <c r="EYM5" s="11"/>
      <c r="EYN5" s="11"/>
      <c r="EYO5" s="11"/>
      <c r="EYP5" s="11"/>
      <c r="EYQ5" s="11"/>
      <c r="EYR5" s="11"/>
      <c r="EYS5" s="11"/>
      <c r="EYT5" s="11"/>
      <c r="EYU5" s="11"/>
      <c r="EYV5" s="11"/>
      <c r="EYW5" s="11"/>
      <c r="EYX5" s="11"/>
      <c r="EYY5" s="11"/>
      <c r="EYZ5" s="11"/>
      <c r="EZA5" s="11"/>
      <c r="EZB5" s="11"/>
      <c r="EZC5" s="11"/>
      <c r="EZD5" s="11"/>
      <c r="EZE5" s="11"/>
      <c r="EZF5" s="11"/>
      <c r="EZG5" s="11"/>
      <c r="EZH5" s="11"/>
      <c r="EZI5" s="11"/>
      <c r="EZJ5" s="11"/>
      <c r="EZK5" s="11"/>
      <c r="EZL5" s="11"/>
      <c r="EZM5" s="11"/>
      <c r="EZN5" s="11"/>
      <c r="EZO5" s="11"/>
      <c r="EZP5" s="11"/>
      <c r="EZQ5" s="11"/>
      <c r="EZR5" s="11"/>
      <c r="EZS5" s="11"/>
      <c r="EZT5" s="11"/>
      <c r="EZU5" s="11"/>
      <c r="EZV5" s="11"/>
      <c r="EZW5" s="11"/>
      <c r="EZX5" s="11"/>
      <c r="EZY5" s="11"/>
      <c r="EZZ5" s="11"/>
      <c r="FAA5" s="11"/>
      <c r="FAB5" s="11"/>
      <c r="FAC5" s="11"/>
      <c r="FAD5" s="11"/>
      <c r="FAE5" s="11"/>
      <c r="FAF5" s="11"/>
      <c r="FAG5" s="11"/>
      <c r="FAH5" s="11"/>
      <c r="FAI5" s="11"/>
      <c r="FAJ5" s="11"/>
      <c r="FAK5" s="11"/>
      <c r="FAL5" s="11"/>
      <c r="FAM5" s="11"/>
      <c r="FAN5" s="11"/>
      <c r="FAO5" s="11"/>
      <c r="FAP5" s="11"/>
      <c r="FAQ5" s="11"/>
      <c r="FAR5" s="11"/>
      <c r="FAS5" s="11"/>
      <c r="FAT5" s="11"/>
      <c r="FAU5" s="11"/>
      <c r="FAV5" s="11"/>
      <c r="FAW5" s="11"/>
      <c r="FAX5" s="11"/>
      <c r="FAY5" s="11"/>
      <c r="FAZ5" s="11"/>
      <c r="FBA5" s="11"/>
      <c r="FBB5" s="11"/>
      <c r="FBC5" s="11"/>
      <c r="FBD5" s="11"/>
      <c r="FBE5" s="11"/>
      <c r="FBF5" s="11"/>
      <c r="FBG5" s="11"/>
      <c r="FBH5" s="11"/>
      <c r="FBI5" s="11"/>
      <c r="FBJ5" s="11"/>
      <c r="FBK5" s="11"/>
      <c r="FBL5" s="11"/>
      <c r="FBM5" s="11"/>
      <c r="FBN5" s="11"/>
      <c r="FBO5" s="11"/>
      <c r="FBP5" s="11"/>
      <c r="FBQ5" s="11"/>
      <c r="FBR5" s="11"/>
      <c r="FBS5" s="11"/>
      <c r="FBT5" s="11"/>
      <c r="FBU5" s="11"/>
      <c r="FBV5" s="11"/>
      <c r="FBW5" s="11"/>
      <c r="FBX5" s="11"/>
      <c r="FBY5" s="11"/>
      <c r="FBZ5" s="11"/>
      <c r="FCA5" s="11"/>
      <c r="FCB5" s="11"/>
      <c r="FCC5" s="11"/>
      <c r="FCD5" s="11"/>
      <c r="FCE5" s="11"/>
      <c r="FCF5" s="11"/>
      <c r="FCG5" s="11"/>
      <c r="FCH5" s="11"/>
      <c r="FCI5" s="11"/>
      <c r="FCJ5" s="11"/>
      <c r="FCK5" s="11"/>
      <c r="FCL5" s="11"/>
      <c r="FCM5" s="11"/>
      <c r="FCN5" s="11"/>
      <c r="FCO5" s="11"/>
      <c r="FCP5" s="11"/>
      <c r="FCQ5" s="11"/>
      <c r="FCR5" s="11"/>
      <c r="FCS5" s="11"/>
      <c r="FCT5" s="11"/>
      <c r="FCU5" s="11"/>
      <c r="FCV5" s="11"/>
      <c r="FCW5" s="11"/>
      <c r="FCX5" s="11"/>
      <c r="FCY5" s="11"/>
      <c r="FCZ5" s="11"/>
      <c r="FDA5" s="11"/>
      <c r="FDB5" s="11"/>
      <c r="FDC5" s="11"/>
      <c r="FDD5" s="11"/>
      <c r="FDE5" s="11"/>
      <c r="FDF5" s="11"/>
      <c r="FDG5" s="11"/>
      <c r="FDH5" s="11"/>
      <c r="FDI5" s="11"/>
      <c r="FDJ5" s="11"/>
      <c r="FDK5" s="11"/>
      <c r="FDL5" s="11"/>
      <c r="FDM5" s="11"/>
      <c r="FDN5" s="11"/>
      <c r="FDO5" s="11"/>
      <c r="FDP5" s="11"/>
      <c r="FDQ5" s="11"/>
      <c r="FDR5" s="11"/>
      <c r="FDS5" s="11"/>
      <c r="FDT5" s="11"/>
      <c r="FDU5" s="11"/>
      <c r="FDV5" s="11"/>
      <c r="FDW5" s="11"/>
      <c r="FDX5" s="11"/>
      <c r="FDY5" s="11"/>
      <c r="FDZ5" s="11"/>
      <c r="FEA5" s="11"/>
      <c r="FEB5" s="11"/>
      <c r="FEC5" s="11"/>
      <c r="FED5" s="11"/>
      <c r="FEE5" s="11"/>
      <c r="FEF5" s="11"/>
      <c r="FEG5" s="11"/>
      <c r="FEH5" s="11"/>
      <c r="FEI5" s="11"/>
      <c r="FEJ5" s="11"/>
      <c r="FEK5" s="11"/>
      <c r="FEL5" s="11"/>
      <c r="FEM5" s="11"/>
      <c r="FEN5" s="11"/>
      <c r="FEO5" s="11"/>
      <c r="FEP5" s="11"/>
      <c r="FEQ5" s="11"/>
      <c r="FER5" s="11"/>
      <c r="FES5" s="11"/>
      <c r="FET5" s="11"/>
      <c r="FEU5" s="11"/>
      <c r="FEV5" s="11"/>
      <c r="FEW5" s="11"/>
      <c r="FEX5" s="11"/>
      <c r="FEY5" s="11"/>
      <c r="FEZ5" s="11"/>
      <c r="FFA5" s="11"/>
      <c r="FFB5" s="11"/>
      <c r="FFC5" s="11"/>
      <c r="FFD5" s="11"/>
      <c r="FFE5" s="11"/>
      <c r="FFF5" s="11"/>
      <c r="FFG5" s="11"/>
      <c r="FFH5" s="11"/>
      <c r="FFI5" s="11"/>
      <c r="FFJ5" s="11"/>
      <c r="FFK5" s="11"/>
      <c r="FFL5" s="11"/>
      <c r="FFM5" s="11"/>
      <c r="FFN5" s="11"/>
      <c r="FFO5" s="11"/>
      <c r="FFP5" s="11"/>
      <c r="FFQ5" s="11"/>
      <c r="FFR5" s="11"/>
      <c r="FFS5" s="11"/>
      <c r="FFT5" s="11"/>
      <c r="FFU5" s="11"/>
      <c r="FFV5" s="11"/>
      <c r="FFW5" s="11"/>
      <c r="FFX5" s="11"/>
      <c r="FFY5" s="11"/>
      <c r="FFZ5" s="11"/>
      <c r="FGA5" s="11"/>
      <c r="FGB5" s="11"/>
      <c r="FGC5" s="11"/>
      <c r="FGD5" s="11"/>
      <c r="FGE5" s="11"/>
      <c r="FGF5" s="11"/>
      <c r="FGG5" s="11"/>
      <c r="FGH5" s="11"/>
      <c r="FGI5" s="11"/>
      <c r="FGJ5" s="11"/>
      <c r="FGK5" s="11"/>
      <c r="FGL5" s="11"/>
      <c r="FGM5" s="11"/>
      <c r="FGN5" s="11"/>
      <c r="FGO5" s="11"/>
      <c r="FGP5" s="11"/>
      <c r="FGQ5" s="11"/>
      <c r="FGR5" s="11"/>
      <c r="FGS5" s="11"/>
      <c r="FGT5" s="11"/>
      <c r="FGU5" s="11"/>
      <c r="FGV5" s="11"/>
      <c r="FGW5" s="11"/>
      <c r="FGX5" s="11"/>
      <c r="FGY5" s="11"/>
      <c r="FGZ5" s="11"/>
      <c r="FHA5" s="11"/>
      <c r="FHB5" s="11"/>
      <c r="FHC5" s="11"/>
      <c r="FHD5" s="11"/>
      <c r="FHE5" s="11"/>
      <c r="FHF5" s="11"/>
      <c r="FHG5" s="11"/>
      <c r="FHH5" s="11"/>
      <c r="FHI5" s="11"/>
      <c r="FHJ5" s="11"/>
      <c r="FHK5" s="11"/>
      <c r="FHL5" s="11"/>
      <c r="FHM5" s="11"/>
      <c r="FHN5" s="11"/>
      <c r="FHO5" s="11"/>
      <c r="FHP5" s="11"/>
      <c r="FHQ5" s="11"/>
      <c r="FHR5" s="11"/>
      <c r="FHS5" s="11"/>
      <c r="FHT5" s="11"/>
      <c r="FHU5" s="11"/>
      <c r="FHV5" s="11"/>
      <c r="FHW5" s="11"/>
      <c r="FHX5" s="11"/>
      <c r="FHY5" s="11"/>
      <c r="FHZ5" s="11"/>
      <c r="FIA5" s="11"/>
      <c r="FIB5" s="11"/>
      <c r="FIC5" s="11"/>
      <c r="FID5" s="11"/>
      <c r="FIE5" s="11"/>
      <c r="FIF5" s="11"/>
      <c r="FIG5" s="11"/>
      <c r="FIH5" s="11"/>
      <c r="FII5" s="11"/>
      <c r="FIJ5" s="11"/>
      <c r="FIK5" s="11"/>
      <c r="FIL5" s="11"/>
      <c r="FIM5" s="11"/>
      <c r="FIN5" s="11"/>
      <c r="FIO5" s="11"/>
      <c r="FIP5" s="11"/>
      <c r="FIQ5" s="11"/>
      <c r="FIR5" s="11"/>
      <c r="FIS5" s="11"/>
      <c r="FIT5" s="11"/>
      <c r="FIU5" s="11"/>
      <c r="FIV5" s="11"/>
      <c r="FIW5" s="11"/>
      <c r="FIX5" s="11"/>
      <c r="FIY5" s="11"/>
      <c r="FIZ5" s="11"/>
      <c r="FJA5" s="11"/>
      <c r="FJB5" s="11"/>
      <c r="FJC5" s="11"/>
      <c r="FJD5" s="11"/>
      <c r="FJE5" s="11"/>
      <c r="FJF5" s="11"/>
      <c r="FJG5" s="11"/>
      <c r="FJH5" s="11"/>
      <c r="FJI5" s="11"/>
      <c r="FJJ5" s="11"/>
      <c r="FJK5" s="11"/>
      <c r="FJL5" s="11"/>
      <c r="FJM5" s="11"/>
      <c r="FJN5" s="11"/>
      <c r="FJO5" s="11"/>
      <c r="FJP5" s="11"/>
      <c r="FJQ5" s="11"/>
      <c r="FJR5" s="11"/>
      <c r="FJS5" s="11"/>
      <c r="FJT5" s="11"/>
      <c r="FJU5" s="11"/>
      <c r="FJV5" s="11"/>
      <c r="FJW5" s="11"/>
      <c r="FJX5" s="11"/>
      <c r="FJY5" s="11"/>
      <c r="FJZ5" s="11"/>
      <c r="FKA5" s="11"/>
      <c r="FKB5" s="11"/>
      <c r="FKC5" s="11"/>
      <c r="FKD5" s="11"/>
      <c r="FKE5" s="11"/>
      <c r="FKF5" s="11"/>
      <c r="FKG5" s="11"/>
      <c r="FKH5" s="11"/>
      <c r="FKI5" s="11"/>
      <c r="FKJ5" s="11"/>
      <c r="FKK5" s="11"/>
      <c r="FKL5" s="11"/>
      <c r="FKM5" s="11"/>
      <c r="FKN5" s="11"/>
      <c r="FKO5" s="11"/>
      <c r="FKP5" s="11"/>
      <c r="FKQ5" s="11"/>
      <c r="FKR5" s="11"/>
      <c r="FKS5" s="11"/>
      <c r="FKT5" s="11"/>
      <c r="FKU5" s="11"/>
      <c r="FKV5" s="11"/>
      <c r="FKW5" s="11"/>
      <c r="FKX5" s="11"/>
      <c r="FKY5" s="11"/>
      <c r="FKZ5" s="11"/>
      <c r="FLA5" s="11"/>
      <c r="FLB5" s="11"/>
      <c r="FLC5" s="11"/>
      <c r="FLD5" s="11"/>
      <c r="FLE5" s="11"/>
      <c r="FLF5" s="11"/>
      <c r="FLG5" s="11"/>
      <c r="FLH5" s="11"/>
      <c r="FLI5" s="11"/>
      <c r="FLJ5" s="11"/>
      <c r="FLK5" s="11"/>
      <c r="FLL5" s="11"/>
      <c r="FLM5" s="11"/>
      <c r="FLN5" s="11"/>
      <c r="FLO5" s="11"/>
      <c r="FLP5" s="11"/>
      <c r="FLQ5" s="11"/>
      <c r="FLR5" s="11"/>
      <c r="FLS5" s="11"/>
      <c r="FLT5" s="11"/>
      <c r="FLU5" s="11"/>
      <c r="FLV5" s="11"/>
      <c r="FLW5" s="11"/>
      <c r="FLX5" s="11"/>
      <c r="FLY5" s="11"/>
      <c r="FLZ5" s="11"/>
      <c r="FMA5" s="11"/>
      <c r="FMB5" s="11"/>
      <c r="FMC5" s="11"/>
      <c r="FMD5" s="11"/>
      <c r="FME5" s="11"/>
      <c r="FMF5" s="11"/>
      <c r="FMG5" s="11"/>
      <c r="FMH5" s="11"/>
      <c r="FMI5" s="11"/>
      <c r="FMJ5" s="11"/>
      <c r="FMK5" s="11"/>
      <c r="FML5" s="11"/>
      <c r="FMM5" s="11"/>
      <c r="FMN5" s="11"/>
      <c r="FMO5" s="11"/>
      <c r="FMP5" s="11"/>
      <c r="FMQ5" s="11"/>
      <c r="FMR5" s="11"/>
      <c r="FMS5" s="11"/>
      <c r="FMT5" s="11"/>
      <c r="FMU5" s="11"/>
      <c r="FMV5" s="11"/>
      <c r="FMW5" s="11"/>
      <c r="FMX5" s="11"/>
      <c r="FMY5" s="11"/>
      <c r="FMZ5" s="11"/>
      <c r="FNA5" s="11"/>
      <c r="FNB5" s="11"/>
      <c r="FNC5" s="11"/>
      <c r="FND5" s="11"/>
      <c r="FNE5" s="11"/>
      <c r="FNF5" s="11"/>
      <c r="FNG5" s="11"/>
      <c r="FNH5" s="11"/>
      <c r="FNI5" s="11"/>
      <c r="FNJ5" s="11"/>
      <c r="FNK5" s="11"/>
      <c r="FNL5" s="11"/>
      <c r="FNM5" s="11"/>
      <c r="FNN5" s="11"/>
      <c r="FNO5" s="11"/>
      <c r="FNP5" s="11"/>
      <c r="FNQ5" s="11"/>
      <c r="FNR5" s="11"/>
      <c r="FNS5" s="11"/>
      <c r="FNT5" s="11"/>
      <c r="FNU5" s="11"/>
      <c r="FNV5" s="11"/>
      <c r="FNW5" s="11"/>
      <c r="FNX5" s="11"/>
      <c r="FNY5" s="11"/>
      <c r="FNZ5" s="11"/>
      <c r="FOA5" s="11"/>
      <c r="FOB5" s="11"/>
      <c r="FOC5" s="11"/>
      <c r="FOD5" s="11"/>
      <c r="FOE5" s="11"/>
      <c r="FOF5" s="11"/>
      <c r="FOG5" s="11"/>
      <c r="FOH5" s="11"/>
      <c r="FOI5" s="11"/>
      <c r="FOJ5" s="11"/>
      <c r="FOK5" s="11"/>
      <c r="FOL5" s="11"/>
      <c r="FOM5" s="11"/>
      <c r="FON5" s="11"/>
      <c r="FOO5" s="11"/>
      <c r="FOP5" s="11"/>
      <c r="FOQ5" s="11"/>
      <c r="FOR5" s="11"/>
      <c r="FOS5" s="11"/>
      <c r="FOT5" s="11"/>
      <c r="FOU5" s="11"/>
      <c r="FOV5" s="11"/>
      <c r="FOW5" s="11"/>
      <c r="FOX5" s="11"/>
      <c r="FOY5" s="11"/>
      <c r="FOZ5" s="11"/>
      <c r="FPA5" s="11"/>
      <c r="FPB5" s="11"/>
      <c r="FPC5" s="11"/>
      <c r="FPD5" s="11"/>
      <c r="FPE5" s="11"/>
      <c r="FPF5" s="11"/>
      <c r="FPG5" s="11"/>
      <c r="FPH5" s="11"/>
      <c r="FPI5" s="11"/>
      <c r="FPJ5" s="11"/>
      <c r="FPK5" s="11"/>
      <c r="FPL5" s="11"/>
      <c r="FPM5" s="11"/>
      <c r="FPN5" s="11"/>
      <c r="FPO5" s="11"/>
      <c r="FPP5" s="11"/>
      <c r="FPQ5" s="11"/>
      <c r="FPR5" s="11"/>
      <c r="FPS5" s="11"/>
      <c r="FPT5" s="11"/>
      <c r="FPU5" s="11"/>
      <c r="FPV5" s="11"/>
      <c r="FPW5" s="11"/>
      <c r="FPX5" s="11"/>
      <c r="FPY5" s="11"/>
      <c r="FPZ5" s="11"/>
      <c r="FQA5" s="11"/>
      <c r="FQB5" s="11"/>
      <c r="FQC5" s="11"/>
      <c r="FQD5" s="11"/>
      <c r="FQE5" s="11"/>
      <c r="FQF5" s="11"/>
      <c r="FQG5" s="11"/>
      <c r="FQH5" s="11"/>
      <c r="FQI5" s="11"/>
      <c r="FQJ5" s="11"/>
      <c r="FQK5" s="11"/>
      <c r="FQL5" s="11"/>
      <c r="FQM5" s="11"/>
      <c r="FQN5" s="11"/>
      <c r="FQO5" s="11"/>
      <c r="FQP5" s="11"/>
      <c r="FQQ5" s="11"/>
      <c r="FQR5" s="11"/>
      <c r="FQS5" s="11"/>
      <c r="FQT5" s="11"/>
      <c r="FQU5" s="11"/>
      <c r="FQV5" s="11"/>
      <c r="FQW5" s="11"/>
      <c r="FQX5" s="11"/>
      <c r="FQY5" s="11"/>
      <c r="FQZ5" s="11"/>
      <c r="FRA5" s="11"/>
      <c r="FRB5" s="11"/>
      <c r="FRC5" s="11"/>
      <c r="FRD5" s="11"/>
      <c r="FRE5" s="11"/>
      <c r="FRF5" s="11"/>
      <c r="FRG5" s="11"/>
      <c r="FRH5" s="11"/>
      <c r="FRI5" s="11"/>
      <c r="FRJ5" s="11"/>
      <c r="FRK5" s="11"/>
      <c r="FRL5" s="11"/>
      <c r="FRM5" s="11"/>
      <c r="FRN5" s="11"/>
      <c r="FRO5" s="11"/>
      <c r="FRP5" s="11"/>
      <c r="FRQ5" s="11"/>
      <c r="FRR5" s="11"/>
      <c r="FRS5" s="11"/>
      <c r="FRT5" s="11"/>
      <c r="FRU5" s="11"/>
      <c r="FRV5" s="11"/>
      <c r="FRW5" s="11"/>
      <c r="FRX5" s="11"/>
      <c r="FRY5" s="11"/>
      <c r="FRZ5" s="11"/>
      <c r="FSA5" s="11"/>
      <c r="FSB5" s="11"/>
      <c r="FSC5" s="11"/>
      <c r="FSD5" s="11"/>
      <c r="FSE5" s="11"/>
      <c r="FSF5" s="11"/>
      <c r="FSG5" s="11"/>
      <c r="FSH5" s="11"/>
      <c r="FSI5" s="11"/>
      <c r="FSJ5" s="11"/>
      <c r="FSK5" s="11"/>
      <c r="FSL5" s="11"/>
      <c r="FSM5" s="11"/>
      <c r="FSN5" s="11"/>
      <c r="FSO5" s="11"/>
      <c r="FSP5" s="11"/>
      <c r="FSQ5" s="11"/>
      <c r="FSR5" s="11"/>
      <c r="FSS5" s="11"/>
      <c r="FST5" s="11"/>
      <c r="FSU5" s="11"/>
      <c r="FSV5" s="11"/>
      <c r="FSW5" s="11"/>
      <c r="FSX5" s="11"/>
      <c r="FSY5" s="11"/>
      <c r="FSZ5" s="11"/>
      <c r="FTA5" s="11"/>
      <c r="FTB5" s="11"/>
      <c r="FTC5" s="11"/>
      <c r="FTD5" s="11"/>
      <c r="FTE5" s="11"/>
      <c r="FTF5" s="11"/>
      <c r="FTG5" s="11"/>
      <c r="FTH5" s="11"/>
      <c r="FTI5" s="11"/>
      <c r="FTJ5" s="11"/>
      <c r="FTK5" s="11"/>
      <c r="FTL5" s="11"/>
      <c r="FTM5" s="11"/>
      <c r="FTN5" s="11"/>
      <c r="FTO5" s="11"/>
      <c r="FTP5" s="11"/>
      <c r="FTQ5" s="11"/>
      <c r="FTR5" s="11"/>
      <c r="FTS5" s="11"/>
      <c r="FTT5" s="11"/>
      <c r="FTU5" s="11"/>
      <c r="FTV5" s="11"/>
      <c r="FTW5" s="11"/>
      <c r="FTX5" s="11"/>
      <c r="FTY5" s="11"/>
      <c r="FTZ5" s="11"/>
      <c r="FUA5" s="11"/>
      <c r="FUB5" s="11"/>
      <c r="FUC5" s="11"/>
      <c r="FUD5" s="11"/>
      <c r="FUE5" s="11"/>
      <c r="FUF5" s="11"/>
      <c r="FUG5" s="11"/>
      <c r="FUH5" s="11"/>
      <c r="FUI5" s="11"/>
      <c r="FUJ5" s="11"/>
      <c r="FUK5" s="11"/>
      <c r="FUL5" s="11"/>
      <c r="FUM5" s="11"/>
      <c r="FUN5" s="11"/>
      <c r="FUO5" s="11"/>
      <c r="FUP5" s="11"/>
      <c r="FUQ5" s="11"/>
      <c r="FUR5" s="11"/>
      <c r="FUS5" s="11"/>
      <c r="FUT5" s="11"/>
      <c r="FUU5" s="11"/>
      <c r="FUV5" s="11"/>
      <c r="FUW5" s="11"/>
      <c r="FUX5" s="11"/>
      <c r="FUY5" s="11"/>
      <c r="FUZ5" s="11"/>
      <c r="FVA5" s="11"/>
      <c r="FVB5" s="11"/>
      <c r="FVC5" s="11"/>
      <c r="FVD5" s="11"/>
      <c r="FVE5" s="11"/>
      <c r="FVF5" s="11"/>
      <c r="FVG5" s="11"/>
      <c r="FVH5" s="11"/>
      <c r="FVI5" s="11"/>
      <c r="FVJ5" s="11"/>
      <c r="FVK5" s="11"/>
      <c r="FVL5" s="11"/>
      <c r="FVM5" s="11"/>
      <c r="FVN5" s="11"/>
      <c r="FVO5" s="11"/>
      <c r="FVP5" s="11"/>
      <c r="FVQ5" s="11"/>
      <c r="FVR5" s="11"/>
      <c r="FVS5" s="11"/>
      <c r="FVT5" s="11"/>
      <c r="FVU5" s="11"/>
      <c r="FVV5" s="11"/>
      <c r="FVW5" s="11"/>
      <c r="FVX5" s="11"/>
      <c r="FVY5" s="11"/>
      <c r="FVZ5" s="11"/>
      <c r="FWA5" s="11"/>
      <c r="FWB5" s="11"/>
      <c r="FWC5" s="11"/>
      <c r="FWD5" s="11"/>
      <c r="FWE5" s="11"/>
      <c r="FWF5" s="11"/>
      <c r="FWG5" s="11"/>
      <c r="FWH5" s="11"/>
      <c r="FWI5" s="11"/>
      <c r="FWJ5" s="11"/>
      <c r="FWK5" s="11"/>
      <c r="FWL5" s="11"/>
      <c r="FWM5" s="11"/>
      <c r="FWN5" s="11"/>
      <c r="FWO5" s="11"/>
      <c r="FWP5" s="11"/>
      <c r="FWQ5" s="11"/>
      <c r="FWR5" s="11"/>
      <c r="FWS5" s="11"/>
      <c r="FWT5" s="11"/>
      <c r="FWU5" s="11"/>
      <c r="FWV5" s="11"/>
      <c r="FWW5" s="11"/>
      <c r="FWX5" s="11"/>
      <c r="FWY5" s="11"/>
      <c r="FWZ5" s="11"/>
      <c r="FXA5" s="11"/>
      <c r="FXB5" s="11"/>
      <c r="FXC5" s="11"/>
      <c r="FXD5" s="11"/>
      <c r="FXE5" s="11"/>
      <c r="FXF5" s="11"/>
      <c r="FXG5" s="11"/>
      <c r="FXH5" s="11"/>
      <c r="FXI5" s="11"/>
      <c r="FXJ5" s="11"/>
      <c r="FXK5" s="11"/>
      <c r="FXL5" s="11"/>
      <c r="FXM5" s="11"/>
      <c r="FXN5" s="11"/>
      <c r="FXO5" s="11"/>
      <c r="FXP5" s="11"/>
      <c r="FXQ5" s="11"/>
      <c r="FXR5" s="11"/>
      <c r="FXS5" s="11"/>
      <c r="FXT5" s="11"/>
      <c r="FXU5" s="11"/>
      <c r="FXV5" s="11"/>
      <c r="FXW5" s="11"/>
      <c r="FXX5" s="11"/>
      <c r="FXY5" s="11"/>
      <c r="FXZ5" s="11"/>
      <c r="FYA5" s="11"/>
      <c r="FYB5" s="11"/>
      <c r="FYC5" s="11"/>
      <c r="FYD5" s="11"/>
      <c r="FYE5" s="11"/>
      <c r="FYF5" s="11"/>
      <c r="FYG5" s="11"/>
      <c r="FYH5" s="11"/>
      <c r="FYI5" s="11"/>
      <c r="FYJ5" s="11"/>
      <c r="FYK5" s="11"/>
      <c r="FYL5" s="11"/>
      <c r="FYM5" s="11"/>
      <c r="FYN5" s="11"/>
      <c r="FYO5" s="11"/>
      <c r="FYP5" s="11"/>
      <c r="FYQ5" s="11"/>
      <c r="FYR5" s="11"/>
      <c r="FYS5" s="11"/>
      <c r="FYT5" s="11"/>
      <c r="FYU5" s="11"/>
      <c r="FYV5" s="11"/>
      <c r="FYW5" s="11"/>
      <c r="FYX5" s="11"/>
      <c r="FYY5" s="11"/>
      <c r="FYZ5" s="11"/>
      <c r="FZA5" s="11"/>
      <c r="FZB5" s="11"/>
      <c r="FZC5" s="11"/>
      <c r="FZD5" s="11"/>
      <c r="FZE5" s="11"/>
      <c r="FZF5" s="11"/>
      <c r="FZG5" s="11"/>
      <c r="FZH5" s="11"/>
      <c r="FZI5" s="11"/>
      <c r="FZJ5" s="11"/>
      <c r="FZK5" s="11"/>
      <c r="FZL5" s="11"/>
      <c r="FZM5" s="11"/>
      <c r="FZN5" s="11"/>
      <c r="FZO5" s="11"/>
      <c r="FZP5" s="11"/>
      <c r="FZQ5" s="11"/>
      <c r="FZR5" s="11"/>
      <c r="FZS5" s="11"/>
      <c r="FZT5" s="11"/>
      <c r="FZU5" s="11"/>
      <c r="FZV5" s="11"/>
      <c r="FZW5" s="11"/>
      <c r="FZX5" s="11"/>
      <c r="FZY5" s="11"/>
      <c r="FZZ5" s="11"/>
      <c r="GAA5" s="11"/>
      <c r="GAB5" s="11"/>
      <c r="GAC5" s="11"/>
      <c r="GAD5" s="11"/>
      <c r="GAE5" s="11"/>
      <c r="GAF5" s="11"/>
      <c r="GAG5" s="11"/>
      <c r="GAH5" s="11"/>
      <c r="GAI5" s="11"/>
      <c r="GAJ5" s="11"/>
      <c r="GAK5" s="11"/>
      <c r="GAL5" s="11"/>
      <c r="GAM5" s="11"/>
      <c r="GAN5" s="11"/>
      <c r="GAO5" s="11"/>
      <c r="GAP5" s="11"/>
      <c r="GAQ5" s="11"/>
      <c r="GAR5" s="11"/>
      <c r="GAS5" s="11"/>
      <c r="GAT5" s="11"/>
      <c r="GAU5" s="11"/>
      <c r="GAV5" s="11"/>
      <c r="GAW5" s="11"/>
      <c r="GAX5" s="11"/>
      <c r="GAY5" s="11"/>
      <c r="GAZ5" s="11"/>
      <c r="GBA5" s="11"/>
      <c r="GBB5" s="11"/>
      <c r="GBC5" s="11"/>
      <c r="GBD5" s="11"/>
      <c r="GBE5" s="11"/>
      <c r="GBF5" s="11"/>
      <c r="GBG5" s="11"/>
      <c r="GBH5" s="11"/>
      <c r="GBI5" s="11"/>
      <c r="GBJ5" s="11"/>
      <c r="GBK5" s="11"/>
      <c r="GBL5" s="11"/>
      <c r="GBM5" s="11"/>
      <c r="GBN5" s="11"/>
      <c r="GBO5" s="11"/>
      <c r="GBP5" s="11"/>
      <c r="GBQ5" s="11"/>
      <c r="GBR5" s="11"/>
      <c r="GBS5" s="11"/>
      <c r="GBT5" s="11"/>
      <c r="GBU5" s="11"/>
      <c r="GBV5" s="11"/>
      <c r="GBW5" s="11"/>
      <c r="GBX5" s="11"/>
      <c r="GBY5" s="11"/>
      <c r="GBZ5" s="11"/>
      <c r="GCA5" s="11"/>
      <c r="GCB5" s="11"/>
      <c r="GCC5" s="11"/>
      <c r="GCD5" s="11"/>
      <c r="GCE5" s="11"/>
      <c r="GCF5" s="11"/>
      <c r="GCG5" s="11"/>
      <c r="GCH5" s="11"/>
      <c r="GCI5" s="11"/>
      <c r="GCJ5" s="11"/>
      <c r="GCK5" s="11"/>
      <c r="GCL5" s="11"/>
      <c r="GCM5" s="11"/>
      <c r="GCN5" s="11"/>
      <c r="GCO5" s="11"/>
      <c r="GCP5" s="11"/>
      <c r="GCQ5" s="11"/>
      <c r="GCR5" s="11"/>
      <c r="GCS5" s="11"/>
      <c r="GCT5" s="11"/>
      <c r="GCU5" s="11"/>
      <c r="GCV5" s="11"/>
      <c r="GCW5" s="11"/>
      <c r="GCX5" s="11"/>
      <c r="GCY5" s="11"/>
      <c r="GCZ5" s="11"/>
      <c r="GDA5" s="11"/>
      <c r="GDB5" s="11"/>
      <c r="GDC5" s="11"/>
      <c r="GDD5" s="11"/>
      <c r="GDE5" s="11"/>
      <c r="GDF5" s="11"/>
      <c r="GDG5" s="11"/>
      <c r="GDH5" s="11"/>
      <c r="GDI5" s="11"/>
      <c r="GDJ5" s="11"/>
      <c r="GDK5" s="11"/>
      <c r="GDL5" s="11"/>
      <c r="GDM5" s="11"/>
      <c r="GDN5" s="11"/>
      <c r="GDO5" s="11"/>
      <c r="GDP5" s="11"/>
      <c r="GDQ5" s="11"/>
      <c r="GDR5" s="11"/>
      <c r="GDS5" s="11"/>
      <c r="GDT5" s="11"/>
      <c r="GDU5" s="11"/>
      <c r="GDV5" s="11"/>
      <c r="GDW5" s="11"/>
      <c r="GDX5" s="11"/>
      <c r="GDY5" s="11"/>
      <c r="GDZ5" s="11"/>
      <c r="GEA5" s="11"/>
      <c r="GEB5" s="11"/>
      <c r="GEC5" s="11"/>
      <c r="GED5" s="11"/>
      <c r="GEE5" s="11"/>
      <c r="GEF5" s="11"/>
      <c r="GEG5" s="11"/>
      <c r="GEH5" s="11"/>
      <c r="GEI5" s="11"/>
      <c r="GEJ5" s="11"/>
      <c r="GEK5" s="11"/>
      <c r="GEL5" s="11"/>
      <c r="GEM5" s="11"/>
      <c r="GEN5" s="11"/>
      <c r="GEO5" s="11"/>
      <c r="GEP5" s="11"/>
      <c r="GEQ5" s="11"/>
      <c r="GER5" s="11"/>
      <c r="GES5" s="11"/>
      <c r="GET5" s="11"/>
      <c r="GEU5" s="11"/>
      <c r="GEV5" s="11"/>
      <c r="GEW5" s="11"/>
      <c r="GEX5" s="11"/>
      <c r="GEY5" s="11"/>
      <c r="GEZ5" s="11"/>
      <c r="GFA5" s="11"/>
      <c r="GFB5" s="11"/>
      <c r="GFC5" s="11"/>
      <c r="GFD5" s="11"/>
      <c r="GFE5" s="11"/>
      <c r="GFF5" s="11"/>
      <c r="GFG5" s="11"/>
      <c r="GFH5" s="11"/>
      <c r="GFI5" s="11"/>
      <c r="GFJ5" s="11"/>
      <c r="GFK5" s="11"/>
      <c r="GFL5" s="11"/>
      <c r="GFM5" s="11"/>
      <c r="GFN5" s="11"/>
      <c r="GFO5" s="11"/>
      <c r="GFP5" s="11"/>
      <c r="GFQ5" s="11"/>
      <c r="GFR5" s="11"/>
      <c r="GFS5" s="11"/>
      <c r="GFT5" s="11"/>
      <c r="GFU5" s="11"/>
      <c r="GFV5" s="11"/>
      <c r="GFW5" s="11"/>
      <c r="GFX5" s="11"/>
      <c r="GFY5" s="11"/>
      <c r="GFZ5" s="11"/>
      <c r="GGA5" s="11"/>
      <c r="GGB5" s="11"/>
      <c r="GGC5" s="11"/>
      <c r="GGD5" s="11"/>
      <c r="GGE5" s="11"/>
      <c r="GGF5" s="11"/>
      <c r="GGG5" s="11"/>
      <c r="GGH5" s="11"/>
      <c r="GGI5" s="11"/>
      <c r="GGJ5" s="11"/>
      <c r="GGK5" s="11"/>
      <c r="GGL5" s="11"/>
      <c r="GGM5" s="11"/>
      <c r="GGN5" s="11"/>
      <c r="GGO5" s="11"/>
      <c r="GGP5" s="11"/>
      <c r="GGQ5" s="11"/>
      <c r="GGR5" s="11"/>
      <c r="GGS5" s="11"/>
      <c r="GGT5" s="11"/>
      <c r="GGU5" s="11"/>
      <c r="GGV5" s="11"/>
      <c r="GGW5" s="11"/>
      <c r="GGX5" s="11"/>
      <c r="GGY5" s="11"/>
      <c r="GGZ5" s="11"/>
      <c r="GHA5" s="11"/>
      <c r="GHB5" s="11"/>
      <c r="GHC5" s="11"/>
      <c r="GHD5" s="11"/>
      <c r="GHE5" s="11"/>
      <c r="GHF5" s="11"/>
      <c r="GHG5" s="11"/>
      <c r="GHH5" s="11"/>
      <c r="GHI5" s="11"/>
      <c r="GHJ5" s="11"/>
      <c r="GHK5" s="11"/>
      <c r="GHL5" s="11"/>
      <c r="GHM5" s="11"/>
      <c r="GHN5" s="11"/>
      <c r="GHO5" s="11"/>
      <c r="GHP5" s="11"/>
      <c r="GHQ5" s="11"/>
      <c r="GHR5" s="11"/>
      <c r="GHS5" s="11"/>
      <c r="GHT5" s="11"/>
      <c r="GHU5" s="11"/>
      <c r="GHV5" s="11"/>
      <c r="GHW5" s="11"/>
      <c r="GHX5" s="11"/>
      <c r="GHY5" s="11"/>
      <c r="GHZ5" s="11"/>
      <c r="GIA5" s="11"/>
      <c r="GIB5" s="11"/>
      <c r="GIC5" s="11"/>
      <c r="GID5" s="11"/>
      <c r="GIE5" s="11"/>
      <c r="GIF5" s="11"/>
      <c r="GIG5" s="11"/>
      <c r="GIH5" s="11"/>
      <c r="GII5" s="11"/>
      <c r="GIJ5" s="11"/>
      <c r="GIK5" s="11"/>
      <c r="GIL5" s="11"/>
      <c r="GIM5" s="11"/>
      <c r="GIN5" s="11"/>
      <c r="GIO5" s="11"/>
      <c r="GIP5" s="11"/>
      <c r="GIQ5" s="11"/>
      <c r="GIR5" s="11"/>
      <c r="GIS5" s="11"/>
      <c r="GIT5" s="11"/>
      <c r="GIU5" s="11"/>
      <c r="GIV5" s="11"/>
      <c r="GIW5" s="11"/>
      <c r="GIX5" s="11"/>
      <c r="GIY5" s="11"/>
      <c r="GIZ5" s="11"/>
      <c r="GJA5" s="11"/>
      <c r="GJB5" s="11"/>
      <c r="GJC5" s="11"/>
      <c r="GJD5" s="11"/>
      <c r="GJE5" s="11"/>
      <c r="GJF5" s="11"/>
      <c r="GJG5" s="11"/>
      <c r="GJH5" s="11"/>
      <c r="GJI5" s="11"/>
      <c r="GJJ5" s="11"/>
      <c r="GJK5" s="11"/>
      <c r="GJL5" s="11"/>
      <c r="GJM5" s="11"/>
      <c r="GJN5" s="11"/>
      <c r="GJO5" s="11"/>
      <c r="GJP5" s="11"/>
      <c r="GJQ5" s="11"/>
      <c r="GJR5" s="11"/>
      <c r="GJS5" s="11"/>
      <c r="GJT5" s="11"/>
      <c r="GJU5" s="11"/>
      <c r="GJV5" s="11"/>
      <c r="GJW5" s="11"/>
      <c r="GJX5" s="11"/>
      <c r="GJY5" s="11"/>
      <c r="GJZ5" s="11"/>
      <c r="GKA5" s="11"/>
      <c r="GKB5" s="11"/>
      <c r="GKC5" s="11"/>
      <c r="GKD5" s="11"/>
      <c r="GKE5" s="11"/>
      <c r="GKF5" s="11"/>
      <c r="GKG5" s="11"/>
      <c r="GKH5" s="11"/>
      <c r="GKI5" s="11"/>
      <c r="GKJ5" s="11"/>
      <c r="GKK5" s="11"/>
      <c r="GKL5" s="11"/>
      <c r="GKM5" s="11"/>
      <c r="GKN5" s="11"/>
      <c r="GKO5" s="11"/>
      <c r="GKP5" s="11"/>
      <c r="GKQ5" s="11"/>
      <c r="GKR5" s="11"/>
      <c r="GKS5" s="11"/>
      <c r="GKT5" s="11"/>
      <c r="GKU5" s="11"/>
      <c r="GKV5" s="11"/>
      <c r="GKW5" s="11"/>
      <c r="GKX5" s="11"/>
      <c r="GKY5" s="11"/>
      <c r="GKZ5" s="11"/>
      <c r="GLA5" s="11"/>
      <c r="GLB5" s="11"/>
      <c r="GLC5" s="11"/>
      <c r="GLD5" s="11"/>
      <c r="GLE5" s="11"/>
      <c r="GLF5" s="11"/>
      <c r="GLG5" s="11"/>
      <c r="GLH5" s="11"/>
      <c r="GLI5" s="11"/>
      <c r="GLJ5" s="11"/>
      <c r="GLK5" s="11"/>
      <c r="GLL5" s="11"/>
      <c r="GLM5" s="11"/>
      <c r="GLN5" s="11"/>
      <c r="GLO5" s="11"/>
      <c r="GLP5" s="11"/>
      <c r="GLQ5" s="11"/>
      <c r="GLR5" s="11"/>
      <c r="GLS5" s="11"/>
      <c r="GLT5" s="11"/>
      <c r="GLU5" s="11"/>
      <c r="GLV5" s="11"/>
      <c r="GLW5" s="11"/>
      <c r="GLX5" s="11"/>
      <c r="GLY5" s="11"/>
      <c r="GLZ5" s="11"/>
      <c r="GMA5" s="11"/>
      <c r="GMB5" s="11"/>
      <c r="GMC5" s="11"/>
      <c r="GMD5" s="11"/>
      <c r="GME5" s="11"/>
      <c r="GMF5" s="11"/>
      <c r="GMG5" s="11"/>
      <c r="GMH5" s="11"/>
      <c r="GMI5" s="11"/>
      <c r="GMJ5" s="11"/>
      <c r="GMK5" s="11"/>
      <c r="GML5" s="11"/>
      <c r="GMM5" s="11"/>
      <c r="GMN5" s="11"/>
      <c r="GMO5" s="11"/>
      <c r="GMP5" s="11"/>
      <c r="GMQ5" s="11"/>
      <c r="GMR5" s="11"/>
      <c r="GMS5" s="11"/>
      <c r="GMT5" s="11"/>
      <c r="GMU5" s="11"/>
      <c r="GMV5" s="11"/>
      <c r="GMW5" s="11"/>
      <c r="GMX5" s="11"/>
      <c r="GMY5" s="11"/>
      <c r="GMZ5" s="11"/>
      <c r="GNA5" s="11"/>
      <c r="GNB5" s="11"/>
      <c r="GNC5" s="11"/>
      <c r="GND5" s="11"/>
      <c r="GNE5" s="11"/>
      <c r="GNF5" s="11"/>
      <c r="GNG5" s="11"/>
      <c r="GNH5" s="11"/>
      <c r="GNI5" s="11"/>
      <c r="GNJ5" s="11"/>
      <c r="GNK5" s="11"/>
      <c r="GNL5" s="11"/>
      <c r="GNM5" s="11"/>
      <c r="GNN5" s="11"/>
      <c r="GNO5" s="11"/>
      <c r="GNP5" s="11"/>
      <c r="GNQ5" s="11"/>
      <c r="GNR5" s="11"/>
      <c r="GNS5" s="11"/>
      <c r="GNT5" s="11"/>
      <c r="GNU5" s="11"/>
      <c r="GNV5" s="11"/>
      <c r="GNW5" s="11"/>
      <c r="GNX5" s="11"/>
      <c r="GNY5" s="11"/>
      <c r="GNZ5" s="11"/>
      <c r="GOA5" s="11"/>
      <c r="GOB5" s="11"/>
      <c r="GOC5" s="11"/>
      <c r="GOD5" s="11"/>
      <c r="GOE5" s="11"/>
      <c r="GOF5" s="11"/>
      <c r="GOG5" s="11"/>
      <c r="GOH5" s="11"/>
      <c r="GOI5" s="11"/>
      <c r="GOJ5" s="11"/>
      <c r="GOK5" s="11"/>
      <c r="GOL5" s="11"/>
      <c r="GOM5" s="11"/>
      <c r="GON5" s="11"/>
      <c r="GOO5" s="11"/>
      <c r="GOP5" s="11"/>
      <c r="GOQ5" s="11"/>
      <c r="GOR5" s="11"/>
      <c r="GOS5" s="11"/>
      <c r="GOT5" s="11"/>
      <c r="GOU5" s="11"/>
      <c r="GOV5" s="11"/>
      <c r="GOW5" s="11"/>
      <c r="GOX5" s="11"/>
      <c r="GOY5" s="11"/>
      <c r="GOZ5" s="11"/>
      <c r="GPA5" s="11"/>
      <c r="GPB5" s="11"/>
      <c r="GPC5" s="11"/>
      <c r="GPD5" s="11"/>
      <c r="GPE5" s="11"/>
      <c r="GPF5" s="11"/>
      <c r="GPG5" s="11"/>
      <c r="GPH5" s="11"/>
      <c r="GPI5" s="11"/>
      <c r="GPJ5" s="11"/>
      <c r="GPK5" s="11"/>
      <c r="GPL5" s="11"/>
      <c r="GPM5" s="11"/>
      <c r="GPN5" s="11"/>
      <c r="GPO5" s="11"/>
      <c r="GPP5" s="11"/>
      <c r="GPQ5" s="11"/>
      <c r="GPR5" s="11"/>
      <c r="GPS5" s="11"/>
      <c r="GPT5" s="11"/>
      <c r="GPU5" s="11"/>
      <c r="GPV5" s="11"/>
      <c r="GPW5" s="11"/>
      <c r="GPX5" s="11"/>
      <c r="GPY5" s="11"/>
      <c r="GPZ5" s="11"/>
      <c r="GQA5" s="11"/>
      <c r="GQB5" s="11"/>
      <c r="GQC5" s="11"/>
      <c r="GQD5" s="11"/>
      <c r="GQE5" s="11"/>
      <c r="GQF5" s="11"/>
      <c r="GQG5" s="11"/>
      <c r="GQH5" s="11"/>
      <c r="GQI5" s="11"/>
      <c r="GQJ5" s="11"/>
      <c r="GQK5" s="11"/>
      <c r="GQL5" s="11"/>
      <c r="GQM5" s="11"/>
      <c r="GQN5" s="11"/>
      <c r="GQO5" s="11"/>
      <c r="GQP5" s="11"/>
      <c r="GQQ5" s="11"/>
      <c r="GQR5" s="11"/>
      <c r="GQS5" s="11"/>
      <c r="GQT5" s="11"/>
      <c r="GQU5" s="11"/>
      <c r="GQV5" s="11"/>
      <c r="GQW5" s="11"/>
      <c r="GQX5" s="11"/>
      <c r="GQY5" s="11"/>
      <c r="GQZ5" s="11"/>
      <c r="GRA5" s="11"/>
      <c r="GRB5" s="11"/>
      <c r="GRC5" s="11"/>
      <c r="GRD5" s="11"/>
      <c r="GRE5" s="11"/>
      <c r="GRF5" s="11"/>
      <c r="GRG5" s="11"/>
      <c r="GRH5" s="11"/>
      <c r="GRI5" s="11"/>
      <c r="GRJ5" s="11"/>
      <c r="GRK5" s="11"/>
      <c r="GRL5" s="11"/>
      <c r="GRM5" s="11"/>
      <c r="GRN5" s="11"/>
      <c r="GRO5" s="11"/>
      <c r="GRP5" s="11"/>
      <c r="GRQ5" s="11"/>
      <c r="GRR5" s="11"/>
      <c r="GRS5" s="11"/>
      <c r="GRT5" s="11"/>
      <c r="GRU5" s="11"/>
      <c r="GRV5" s="11"/>
      <c r="GRW5" s="11"/>
      <c r="GRX5" s="11"/>
      <c r="GRY5" s="11"/>
      <c r="GRZ5" s="11"/>
      <c r="GSA5" s="11"/>
      <c r="GSB5" s="11"/>
      <c r="GSC5" s="11"/>
      <c r="GSD5" s="11"/>
      <c r="GSE5" s="11"/>
      <c r="GSF5" s="11"/>
      <c r="GSG5" s="11"/>
      <c r="GSH5" s="11"/>
      <c r="GSI5" s="11"/>
      <c r="GSJ5" s="11"/>
      <c r="GSK5" s="11"/>
      <c r="GSL5" s="11"/>
      <c r="GSM5" s="11"/>
      <c r="GSN5" s="11"/>
      <c r="GSO5" s="11"/>
      <c r="GSP5" s="11"/>
      <c r="GSQ5" s="11"/>
      <c r="GSR5" s="11"/>
      <c r="GSS5" s="11"/>
      <c r="GST5" s="11"/>
      <c r="GSU5" s="11"/>
      <c r="GSV5" s="11"/>
      <c r="GSW5" s="11"/>
      <c r="GSX5" s="11"/>
      <c r="GSY5" s="11"/>
      <c r="GSZ5" s="11"/>
      <c r="GTA5" s="11"/>
      <c r="GTB5" s="11"/>
      <c r="GTC5" s="11"/>
      <c r="GTD5" s="11"/>
      <c r="GTE5" s="11"/>
      <c r="GTF5" s="11"/>
      <c r="GTG5" s="11"/>
      <c r="GTH5" s="11"/>
      <c r="GTI5" s="11"/>
      <c r="GTJ5" s="11"/>
      <c r="GTK5" s="11"/>
      <c r="GTL5" s="11"/>
      <c r="GTM5" s="11"/>
      <c r="GTN5" s="11"/>
      <c r="GTO5" s="11"/>
      <c r="GTP5" s="11"/>
      <c r="GTQ5" s="11"/>
      <c r="GTR5" s="11"/>
      <c r="GTS5" s="11"/>
      <c r="GTT5" s="11"/>
      <c r="GTU5" s="11"/>
      <c r="GTV5" s="11"/>
      <c r="GTW5" s="11"/>
      <c r="GTX5" s="11"/>
      <c r="GTY5" s="11"/>
      <c r="GTZ5" s="11"/>
      <c r="GUA5" s="11"/>
      <c r="GUB5" s="11"/>
      <c r="GUC5" s="11"/>
      <c r="GUD5" s="11"/>
      <c r="GUE5" s="11"/>
      <c r="GUF5" s="11"/>
      <c r="GUG5" s="11"/>
      <c r="GUH5" s="11"/>
      <c r="GUI5" s="11"/>
      <c r="GUJ5" s="11"/>
      <c r="GUK5" s="11"/>
      <c r="GUL5" s="11"/>
      <c r="GUM5" s="11"/>
      <c r="GUN5" s="11"/>
      <c r="GUO5" s="11"/>
      <c r="GUP5" s="11"/>
      <c r="GUQ5" s="11"/>
      <c r="GUR5" s="11"/>
      <c r="GUS5" s="11"/>
      <c r="GUT5" s="11"/>
      <c r="GUU5" s="11"/>
      <c r="GUV5" s="11"/>
      <c r="GUW5" s="11"/>
      <c r="GUX5" s="11"/>
      <c r="GUY5" s="11"/>
      <c r="GUZ5" s="11"/>
      <c r="GVA5" s="11"/>
      <c r="GVB5" s="11"/>
      <c r="GVC5" s="11"/>
      <c r="GVD5" s="11"/>
      <c r="GVE5" s="11"/>
      <c r="GVF5" s="11"/>
      <c r="GVG5" s="11"/>
      <c r="GVH5" s="11"/>
      <c r="GVI5" s="11"/>
      <c r="GVJ5" s="11"/>
      <c r="GVK5" s="11"/>
      <c r="GVL5" s="11"/>
      <c r="GVM5" s="11"/>
      <c r="GVN5" s="11"/>
      <c r="GVO5" s="11"/>
      <c r="GVP5" s="11"/>
      <c r="GVQ5" s="11"/>
      <c r="GVR5" s="11"/>
      <c r="GVS5" s="11"/>
      <c r="GVT5" s="11"/>
      <c r="GVU5" s="11"/>
      <c r="GVV5" s="11"/>
      <c r="GVW5" s="11"/>
      <c r="GVX5" s="11"/>
      <c r="GVY5" s="11"/>
      <c r="GVZ5" s="11"/>
      <c r="GWA5" s="11"/>
      <c r="GWB5" s="11"/>
      <c r="GWC5" s="11"/>
      <c r="GWD5" s="11"/>
      <c r="GWE5" s="11"/>
      <c r="GWF5" s="11"/>
      <c r="GWG5" s="11"/>
      <c r="GWH5" s="11"/>
      <c r="GWI5" s="11"/>
      <c r="GWJ5" s="11"/>
      <c r="GWK5" s="11"/>
      <c r="GWL5" s="11"/>
      <c r="GWM5" s="11"/>
      <c r="GWN5" s="11"/>
      <c r="GWO5" s="11"/>
      <c r="GWP5" s="11"/>
      <c r="GWQ5" s="11"/>
      <c r="GWR5" s="11"/>
      <c r="GWS5" s="11"/>
      <c r="GWT5" s="11"/>
      <c r="GWU5" s="11"/>
      <c r="GWV5" s="11"/>
      <c r="GWW5" s="11"/>
      <c r="GWX5" s="11"/>
      <c r="GWY5" s="11"/>
      <c r="GWZ5" s="11"/>
      <c r="GXA5" s="11"/>
      <c r="GXB5" s="11"/>
      <c r="GXC5" s="11"/>
      <c r="GXD5" s="11"/>
      <c r="GXE5" s="11"/>
      <c r="GXF5" s="11"/>
      <c r="GXG5" s="11"/>
      <c r="GXH5" s="11"/>
      <c r="GXI5" s="11"/>
      <c r="GXJ5" s="11"/>
      <c r="GXK5" s="11"/>
      <c r="GXL5" s="11"/>
      <c r="GXM5" s="11"/>
      <c r="GXN5" s="11"/>
      <c r="GXO5" s="11"/>
      <c r="GXP5" s="11"/>
      <c r="GXQ5" s="11"/>
      <c r="GXR5" s="11"/>
      <c r="GXS5" s="11"/>
      <c r="GXT5" s="11"/>
      <c r="GXU5" s="11"/>
      <c r="GXV5" s="11"/>
      <c r="GXW5" s="11"/>
      <c r="GXX5" s="11"/>
      <c r="GXY5" s="11"/>
      <c r="GXZ5" s="11"/>
      <c r="GYA5" s="11"/>
      <c r="GYB5" s="11"/>
      <c r="GYC5" s="11"/>
      <c r="GYD5" s="11"/>
      <c r="GYE5" s="11"/>
      <c r="GYF5" s="11"/>
      <c r="GYG5" s="11"/>
      <c r="GYH5" s="11"/>
      <c r="GYI5" s="11"/>
      <c r="GYJ5" s="11"/>
      <c r="GYK5" s="11"/>
      <c r="GYL5" s="11"/>
      <c r="GYM5" s="11"/>
      <c r="GYN5" s="11"/>
      <c r="GYO5" s="11"/>
      <c r="GYP5" s="11"/>
      <c r="GYQ5" s="11"/>
      <c r="GYR5" s="11"/>
      <c r="GYS5" s="11"/>
      <c r="GYT5" s="11"/>
      <c r="GYU5" s="11"/>
      <c r="GYV5" s="11"/>
      <c r="GYW5" s="11"/>
      <c r="GYX5" s="11"/>
      <c r="GYY5" s="11"/>
      <c r="GYZ5" s="11"/>
      <c r="GZA5" s="11"/>
      <c r="GZB5" s="11"/>
      <c r="GZC5" s="11"/>
      <c r="GZD5" s="11"/>
      <c r="GZE5" s="11"/>
      <c r="GZF5" s="11"/>
      <c r="GZG5" s="11"/>
      <c r="GZH5" s="11"/>
      <c r="GZI5" s="11"/>
      <c r="GZJ5" s="11"/>
      <c r="GZK5" s="11"/>
      <c r="GZL5" s="11"/>
      <c r="GZM5" s="11"/>
      <c r="GZN5" s="11"/>
      <c r="GZO5" s="11"/>
      <c r="GZP5" s="11"/>
      <c r="GZQ5" s="11"/>
      <c r="GZR5" s="11"/>
      <c r="GZS5" s="11"/>
      <c r="GZT5" s="11"/>
      <c r="GZU5" s="11"/>
      <c r="GZV5" s="11"/>
      <c r="GZW5" s="11"/>
      <c r="GZX5" s="11"/>
      <c r="GZY5" s="11"/>
      <c r="GZZ5" s="11"/>
      <c r="HAA5" s="11"/>
      <c r="HAB5" s="11"/>
      <c r="HAC5" s="11"/>
      <c r="HAD5" s="11"/>
      <c r="HAE5" s="11"/>
      <c r="HAF5" s="11"/>
      <c r="HAG5" s="11"/>
      <c r="HAH5" s="11"/>
      <c r="HAI5" s="11"/>
      <c r="HAJ5" s="11"/>
      <c r="HAK5" s="11"/>
      <c r="HAL5" s="11"/>
      <c r="HAM5" s="11"/>
      <c r="HAN5" s="11"/>
      <c r="HAO5" s="11"/>
      <c r="HAP5" s="11"/>
      <c r="HAQ5" s="11"/>
      <c r="HAR5" s="11"/>
      <c r="HAS5" s="11"/>
      <c r="HAT5" s="11"/>
      <c r="HAU5" s="11"/>
      <c r="HAV5" s="11"/>
      <c r="HAW5" s="11"/>
      <c r="HAX5" s="11"/>
      <c r="HAY5" s="11"/>
      <c r="HAZ5" s="11"/>
      <c r="HBA5" s="11"/>
      <c r="HBB5" s="11"/>
      <c r="HBC5" s="11"/>
      <c r="HBD5" s="11"/>
      <c r="HBE5" s="11"/>
      <c r="HBF5" s="11"/>
      <c r="HBG5" s="11"/>
      <c r="HBH5" s="11"/>
      <c r="HBI5" s="11"/>
      <c r="HBJ5" s="11"/>
      <c r="HBK5" s="11"/>
      <c r="HBL5" s="11"/>
      <c r="HBM5" s="11"/>
      <c r="HBN5" s="11"/>
      <c r="HBO5" s="11"/>
      <c r="HBP5" s="11"/>
      <c r="HBQ5" s="11"/>
      <c r="HBR5" s="11"/>
      <c r="HBS5" s="11"/>
      <c r="HBT5" s="11"/>
      <c r="HBU5" s="11"/>
      <c r="HBV5" s="11"/>
      <c r="HBW5" s="11"/>
      <c r="HBX5" s="11"/>
      <c r="HBY5" s="11"/>
      <c r="HBZ5" s="11"/>
      <c r="HCA5" s="11"/>
      <c r="HCB5" s="11"/>
      <c r="HCC5" s="11"/>
      <c r="HCD5" s="11"/>
      <c r="HCE5" s="11"/>
      <c r="HCF5" s="11"/>
      <c r="HCG5" s="11"/>
      <c r="HCH5" s="11"/>
      <c r="HCI5" s="11"/>
      <c r="HCJ5" s="11"/>
      <c r="HCK5" s="11"/>
      <c r="HCL5" s="11"/>
      <c r="HCM5" s="11"/>
      <c r="HCN5" s="11"/>
      <c r="HCO5" s="11"/>
      <c r="HCP5" s="11"/>
      <c r="HCQ5" s="11"/>
      <c r="HCR5" s="11"/>
      <c r="HCS5" s="11"/>
      <c r="HCT5" s="11"/>
      <c r="HCU5" s="11"/>
      <c r="HCV5" s="11"/>
      <c r="HCW5" s="11"/>
      <c r="HCX5" s="11"/>
      <c r="HCY5" s="11"/>
      <c r="HCZ5" s="11"/>
      <c r="HDA5" s="11"/>
      <c r="HDB5" s="11"/>
      <c r="HDC5" s="11"/>
      <c r="HDD5" s="11"/>
      <c r="HDE5" s="11"/>
      <c r="HDF5" s="11"/>
      <c r="HDG5" s="11"/>
      <c r="HDH5" s="11"/>
      <c r="HDI5" s="11"/>
      <c r="HDJ5" s="11"/>
      <c r="HDK5" s="11"/>
      <c r="HDL5" s="11"/>
      <c r="HDM5" s="11"/>
      <c r="HDN5" s="11"/>
      <c r="HDO5" s="11"/>
      <c r="HDP5" s="11"/>
      <c r="HDQ5" s="11"/>
      <c r="HDR5" s="11"/>
      <c r="HDS5" s="11"/>
      <c r="HDT5" s="11"/>
      <c r="HDU5" s="11"/>
      <c r="HDV5" s="11"/>
      <c r="HDW5" s="11"/>
      <c r="HDX5" s="11"/>
      <c r="HDY5" s="11"/>
      <c r="HDZ5" s="11"/>
      <c r="HEA5" s="11"/>
      <c r="HEB5" s="11"/>
      <c r="HEC5" s="11"/>
      <c r="HED5" s="11"/>
      <c r="HEE5" s="11"/>
      <c r="HEF5" s="11"/>
      <c r="HEG5" s="11"/>
      <c r="HEH5" s="11"/>
      <c r="HEI5" s="11"/>
      <c r="HEJ5" s="11"/>
      <c r="HEK5" s="11"/>
      <c r="HEL5" s="11"/>
      <c r="HEM5" s="11"/>
      <c r="HEN5" s="11"/>
      <c r="HEO5" s="11"/>
      <c r="HEP5" s="11"/>
      <c r="HEQ5" s="11"/>
      <c r="HER5" s="11"/>
      <c r="HES5" s="11"/>
      <c r="HET5" s="11"/>
      <c r="HEU5" s="11"/>
      <c r="HEV5" s="11"/>
      <c r="HEW5" s="11"/>
      <c r="HEX5" s="11"/>
      <c r="HEY5" s="11"/>
      <c r="HEZ5" s="11"/>
      <c r="HFA5" s="11"/>
      <c r="HFB5" s="11"/>
      <c r="HFC5" s="11"/>
      <c r="HFD5" s="11"/>
      <c r="HFE5" s="11"/>
      <c r="HFF5" s="11"/>
      <c r="HFG5" s="11"/>
      <c r="HFH5" s="11"/>
      <c r="HFI5" s="11"/>
      <c r="HFJ5" s="11"/>
      <c r="HFK5" s="11"/>
      <c r="HFL5" s="11"/>
      <c r="HFM5" s="11"/>
      <c r="HFN5" s="11"/>
      <c r="HFO5" s="11"/>
      <c r="HFP5" s="11"/>
      <c r="HFQ5" s="11"/>
      <c r="HFR5" s="11"/>
      <c r="HFS5" s="11"/>
      <c r="HFT5" s="11"/>
      <c r="HFU5" s="11"/>
      <c r="HFV5" s="11"/>
      <c r="HFW5" s="11"/>
      <c r="HFX5" s="11"/>
      <c r="HFY5" s="11"/>
      <c r="HFZ5" s="11"/>
      <c r="HGA5" s="11"/>
      <c r="HGB5" s="11"/>
      <c r="HGC5" s="11"/>
      <c r="HGD5" s="11"/>
      <c r="HGE5" s="11"/>
      <c r="HGF5" s="11"/>
      <c r="HGG5" s="11"/>
      <c r="HGH5" s="11"/>
      <c r="HGI5" s="11"/>
      <c r="HGJ5" s="11"/>
      <c r="HGK5" s="11"/>
      <c r="HGL5" s="11"/>
      <c r="HGM5" s="11"/>
      <c r="HGN5" s="11"/>
      <c r="HGO5" s="11"/>
      <c r="HGP5" s="11"/>
      <c r="HGQ5" s="11"/>
      <c r="HGR5" s="11"/>
      <c r="HGS5" s="11"/>
      <c r="HGT5" s="11"/>
      <c r="HGU5" s="11"/>
      <c r="HGV5" s="11"/>
      <c r="HGW5" s="11"/>
      <c r="HGX5" s="11"/>
      <c r="HGY5" s="11"/>
      <c r="HGZ5" s="11"/>
      <c r="HHA5" s="11"/>
      <c r="HHB5" s="11"/>
      <c r="HHC5" s="11"/>
      <c r="HHD5" s="11"/>
      <c r="HHE5" s="11"/>
      <c r="HHF5" s="11"/>
      <c r="HHG5" s="11"/>
      <c r="HHH5" s="11"/>
      <c r="HHI5" s="11"/>
      <c r="HHJ5" s="11"/>
      <c r="HHK5" s="11"/>
      <c r="HHL5" s="11"/>
      <c r="HHM5" s="11"/>
      <c r="HHN5" s="11"/>
      <c r="HHO5" s="11"/>
      <c r="HHP5" s="11"/>
      <c r="HHQ5" s="11"/>
      <c r="HHR5" s="11"/>
      <c r="HHS5" s="11"/>
      <c r="HHT5" s="11"/>
      <c r="HHU5" s="11"/>
      <c r="HHV5" s="11"/>
      <c r="HHW5" s="11"/>
      <c r="HHX5" s="11"/>
      <c r="HHY5" s="11"/>
      <c r="HHZ5" s="11"/>
      <c r="HIA5" s="11"/>
      <c r="HIB5" s="11"/>
      <c r="HIC5" s="11"/>
      <c r="HID5" s="11"/>
      <c r="HIE5" s="11"/>
      <c r="HIF5" s="11"/>
      <c r="HIG5" s="11"/>
      <c r="HIH5" s="11"/>
      <c r="HII5" s="11"/>
      <c r="HIJ5" s="11"/>
      <c r="HIK5" s="11"/>
      <c r="HIL5" s="11"/>
      <c r="HIM5" s="11"/>
      <c r="HIN5" s="11"/>
      <c r="HIO5" s="11"/>
      <c r="HIP5" s="11"/>
      <c r="HIQ5" s="11"/>
      <c r="HIR5" s="11"/>
      <c r="HIS5" s="11"/>
      <c r="HIT5" s="11"/>
      <c r="HIU5" s="11"/>
      <c r="HIV5" s="11"/>
      <c r="HIW5" s="11"/>
      <c r="HIX5" s="11"/>
      <c r="HIY5" s="11"/>
      <c r="HIZ5" s="11"/>
      <c r="HJA5" s="11"/>
      <c r="HJB5" s="11"/>
      <c r="HJC5" s="11"/>
      <c r="HJD5" s="11"/>
      <c r="HJE5" s="11"/>
      <c r="HJF5" s="11"/>
      <c r="HJG5" s="11"/>
      <c r="HJH5" s="11"/>
      <c r="HJI5" s="11"/>
      <c r="HJJ5" s="11"/>
      <c r="HJK5" s="11"/>
      <c r="HJL5" s="11"/>
      <c r="HJM5" s="11"/>
      <c r="HJN5" s="11"/>
      <c r="HJO5" s="11"/>
      <c r="HJP5" s="11"/>
      <c r="HJQ5" s="11"/>
      <c r="HJR5" s="11"/>
      <c r="HJS5" s="11"/>
      <c r="HJT5" s="11"/>
      <c r="HJU5" s="11"/>
      <c r="HJV5" s="11"/>
      <c r="HJW5" s="11"/>
      <c r="HJX5" s="11"/>
      <c r="HJY5" s="11"/>
      <c r="HJZ5" s="11"/>
      <c r="HKA5" s="11"/>
      <c r="HKB5" s="11"/>
      <c r="HKC5" s="11"/>
      <c r="HKD5" s="11"/>
      <c r="HKE5" s="11"/>
      <c r="HKF5" s="11"/>
      <c r="HKG5" s="11"/>
      <c r="HKH5" s="11"/>
      <c r="HKI5" s="11"/>
      <c r="HKJ5" s="11"/>
      <c r="HKK5" s="11"/>
      <c r="HKL5" s="11"/>
      <c r="HKM5" s="11"/>
      <c r="HKN5" s="11"/>
      <c r="HKO5" s="11"/>
      <c r="HKP5" s="11"/>
      <c r="HKQ5" s="11"/>
      <c r="HKR5" s="11"/>
      <c r="HKS5" s="11"/>
      <c r="HKT5" s="11"/>
      <c r="HKU5" s="11"/>
      <c r="HKV5" s="11"/>
      <c r="HKW5" s="11"/>
      <c r="HKX5" s="11"/>
      <c r="HKY5" s="11"/>
      <c r="HKZ5" s="11"/>
      <c r="HLA5" s="11"/>
      <c r="HLB5" s="11"/>
      <c r="HLC5" s="11"/>
      <c r="HLD5" s="11"/>
      <c r="HLE5" s="11"/>
      <c r="HLF5" s="11"/>
      <c r="HLG5" s="11"/>
      <c r="HLH5" s="11"/>
      <c r="HLI5" s="11"/>
      <c r="HLJ5" s="11"/>
      <c r="HLK5" s="11"/>
      <c r="HLL5" s="11"/>
      <c r="HLM5" s="11"/>
      <c r="HLN5" s="11"/>
      <c r="HLO5" s="11"/>
      <c r="HLP5" s="11"/>
      <c r="HLQ5" s="11"/>
      <c r="HLR5" s="11"/>
      <c r="HLS5" s="11"/>
      <c r="HLT5" s="11"/>
      <c r="HLU5" s="11"/>
      <c r="HLV5" s="11"/>
      <c r="HLW5" s="11"/>
      <c r="HLX5" s="11"/>
      <c r="HLY5" s="11"/>
      <c r="HLZ5" s="11"/>
      <c r="HMA5" s="11"/>
      <c r="HMB5" s="11"/>
      <c r="HMC5" s="11"/>
      <c r="HMD5" s="11"/>
      <c r="HME5" s="11"/>
      <c r="HMF5" s="11"/>
      <c r="HMG5" s="11"/>
      <c r="HMH5" s="11"/>
      <c r="HMI5" s="11"/>
      <c r="HMJ5" s="11"/>
      <c r="HMK5" s="11"/>
      <c r="HML5" s="11"/>
      <c r="HMM5" s="11"/>
      <c r="HMN5" s="11"/>
      <c r="HMO5" s="11"/>
      <c r="HMP5" s="11"/>
      <c r="HMQ5" s="11"/>
      <c r="HMR5" s="11"/>
      <c r="HMS5" s="11"/>
      <c r="HMT5" s="11"/>
      <c r="HMU5" s="11"/>
      <c r="HMV5" s="11"/>
      <c r="HMW5" s="11"/>
      <c r="HMX5" s="11"/>
      <c r="HMY5" s="11"/>
      <c r="HMZ5" s="11"/>
      <c r="HNA5" s="11"/>
      <c r="HNB5" s="11"/>
      <c r="HNC5" s="11"/>
      <c r="HND5" s="11"/>
      <c r="HNE5" s="11"/>
      <c r="HNF5" s="11"/>
      <c r="HNG5" s="11"/>
      <c r="HNH5" s="11"/>
      <c r="HNI5" s="11"/>
      <c r="HNJ5" s="11"/>
      <c r="HNK5" s="11"/>
      <c r="HNL5" s="11"/>
      <c r="HNM5" s="11"/>
      <c r="HNN5" s="11"/>
      <c r="HNO5" s="11"/>
      <c r="HNP5" s="11"/>
      <c r="HNQ5" s="11"/>
      <c r="HNR5" s="11"/>
      <c r="HNS5" s="11"/>
      <c r="HNT5" s="11"/>
      <c r="HNU5" s="11"/>
      <c r="HNV5" s="11"/>
      <c r="HNW5" s="11"/>
      <c r="HNX5" s="11"/>
      <c r="HNY5" s="11"/>
      <c r="HNZ5" s="11"/>
      <c r="HOA5" s="11"/>
      <c r="HOB5" s="11"/>
      <c r="HOC5" s="11"/>
      <c r="HOD5" s="11"/>
      <c r="HOE5" s="11"/>
      <c r="HOF5" s="11"/>
      <c r="HOG5" s="11"/>
      <c r="HOH5" s="11"/>
      <c r="HOI5" s="11"/>
      <c r="HOJ5" s="11"/>
      <c r="HOK5" s="11"/>
      <c r="HOL5" s="11"/>
      <c r="HOM5" s="11"/>
      <c r="HON5" s="11"/>
      <c r="HOO5" s="11"/>
      <c r="HOP5" s="11"/>
      <c r="HOQ5" s="11"/>
      <c r="HOR5" s="11"/>
      <c r="HOS5" s="11"/>
      <c r="HOT5" s="11"/>
      <c r="HOU5" s="11"/>
      <c r="HOV5" s="11"/>
      <c r="HOW5" s="11"/>
      <c r="HOX5" s="11"/>
      <c r="HOY5" s="11"/>
      <c r="HOZ5" s="11"/>
      <c r="HPA5" s="11"/>
      <c r="HPB5" s="11"/>
      <c r="HPC5" s="11"/>
      <c r="HPD5" s="11"/>
      <c r="HPE5" s="11"/>
      <c r="HPF5" s="11"/>
      <c r="HPG5" s="11"/>
      <c r="HPH5" s="11"/>
      <c r="HPI5" s="11"/>
      <c r="HPJ5" s="11"/>
      <c r="HPK5" s="11"/>
      <c r="HPL5" s="11"/>
      <c r="HPM5" s="11"/>
      <c r="HPN5" s="11"/>
      <c r="HPO5" s="11"/>
      <c r="HPP5" s="11"/>
      <c r="HPQ5" s="11"/>
      <c r="HPR5" s="11"/>
      <c r="HPS5" s="11"/>
      <c r="HPT5" s="11"/>
      <c r="HPU5" s="11"/>
      <c r="HPV5" s="11"/>
      <c r="HPW5" s="11"/>
      <c r="HPX5" s="11"/>
      <c r="HPY5" s="11"/>
      <c r="HPZ5" s="11"/>
      <c r="HQA5" s="11"/>
      <c r="HQB5" s="11"/>
      <c r="HQC5" s="11"/>
      <c r="HQD5" s="11"/>
      <c r="HQE5" s="11"/>
      <c r="HQF5" s="11"/>
      <c r="HQG5" s="11"/>
      <c r="HQH5" s="11"/>
      <c r="HQI5" s="11"/>
      <c r="HQJ5" s="11"/>
      <c r="HQK5" s="11"/>
      <c r="HQL5" s="11"/>
      <c r="HQM5" s="11"/>
      <c r="HQN5" s="11"/>
      <c r="HQO5" s="11"/>
      <c r="HQP5" s="11"/>
      <c r="HQQ5" s="11"/>
      <c r="HQR5" s="11"/>
      <c r="HQS5" s="11"/>
      <c r="HQT5" s="11"/>
      <c r="HQU5" s="11"/>
      <c r="HQV5" s="11"/>
      <c r="HQW5" s="11"/>
      <c r="HQX5" s="11"/>
      <c r="HQY5" s="11"/>
      <c r="HQZ5" s="11"/>
      <c r="HRA5" s="11"/>
      <c r="HRB5" s="11"/>
      <c r="HRC5" s="11"/>
      <c r="HRD5" s="11"/>
      <c r="HRE5" s="11"/>
      <c r="HRF5" s="11"/>
      <c r="HRG5" s="11"/>
      <c r="HRH5" s="11"/>
      <c r="HRI5" s="11"/>
      <c r="HRJ5" s="11"/>
      <c r="HRK5" s="11"/>
      <c r="HRL5" s="11"/>
      <c r="HRM5" s="11"/>
      <c r="HRN5" s="11"/>
      <c r="HRO5" s="11"/>
      <c r="HRP5" s="11"/>
      <c r="HRQ5" s="11"/>
      <c r="HRR5" s="11"/>
      <c r="HRS5" s="11"/>
      <c r="HRT5" s="11"/>
      <c r="HRU5" s="11"/>
      <c r="HRV5" s="11"/>
      <c r="HRW5" s="11"/>
      <c r="HRX5" s="11"/>
      <c r="HRY5" s="11"/>
      <c r="HRZ5" s="11"/>
      <c r="HSA5" s="11"/>
      <c r="HSB5" s="11"/>
      <c r="HSC5" s="11"/>
      <c r="HSD5" s="11"/>
      <c r="HSE5" s="11"/>
      <c r="HSF5" s="11"/>
      <c r="HSG5" s="11"/>
      <c r="HSH5" s="11"/>
      <c r="HSI5" s="11"/>
      <c r="HSJ5" s="11"/>
      <c r="HSK5" s="11"/>
      <c r="HSL5" s="11"/>
      <c r="HSM5" s="11"/>
      <c r="HSN5" s="11"/>
      <c r="HSO5" s="11"/>
      <c r="HSP5" s="11"/>
      <c r="HSQ5" s="11"/>
      <c r="HSR5" s="11"/>
      <c r="HSS5" s="11"/>
      <c r="HST5" s="11"/>
      <c r="HSU5" s="11"/>
      <c r="HSV5" s="11"/>
      <c r="HSW5" s="11"/>
      <c r="HSX5" s="11"/>
      <c r="HSY5" s="11"/>
      <c r="HSZ5" s="11"/>
      <c r="HTA5" s="11"/>
      <c r="HTB5" s="11"/>
      <c r="HTC5" s="11"/>
      <c r="HTD5" s="11"/>
      <c r="HTE5" s="11"/>
      <c r="HTF5" s="11"/>
      <c r="HTG5" s="11"/>
      <c r="HTH5" s="11"/>
      <c r="HTI5" s="11"/>
      <c r="HTJ5" s="11"/>
      <c r="HTK5" s="11"/>
      <c r="HTL5" s="11"/>
      <c r="HTM5" s="11"/>
      <c r="HTN5" s="11"/>
      <c r="HTO5" s="11"/>
      <c r="HTP5" s="11"/>
      <c r="HTQ5" s="11"/>
      <c r="HTR5" s="11"/>
      <c r="HTS5" s="11"/>
      <c r="HTT5" s="11"/>
      <c r="HTU5" s="11"/>
      <c r="HTV5" s="11"/>
      <c r="HTW5" s="11"/>
      <c r="HTX5" s="11"/>
      <c r="HTY5" s="11"/>
      <c r="HTZ5" s="11"/>
      <c r="HUA5" s="11"/>
      <c r="HUB5" s="11"/>
      <c r="HUC5" s="11"/>
      <c r="HUD5" s="11"/>
      <c r="HUE5" s="11"/>
      <c r="HUF5" s="11"/>
      <c r="HUG5" s="11"/>
      <c r="HUH5" s="11"/>
      <c r="HUI5" s="11"/>
      <c r="HUJ5" s="11"/>
      <c r="HUK5" s="11"/>
      <c r="HUL5" s="11"/>
      <c r="HUM5" s="11"/>
      <c r="HUN5" s="11"/>
      <c r="HUO5" s="11"/>
      <c r="HUP5" s="11"/>
      <c r="HUQ5" s="11"/>
      <c r="HUR5" s="11"/>
      <c r="HUS5" s="11"/>
      <c r="HUT5" s="11"/>
      <c r="HUU5" s="11"/>
      <c r="HUV5" s="11"/>
      <c r="HUW5" s="11"/>
      <c r="HUX5" s="11"/>
      <c r="HUY5" s="11"/>
      <c r="HUZ5" s="11"/>
      <c r="HVA5" s="11"/>
      <c r="HVB5" s="11"/>
      <c r="HVC5" s="11"/>
      <c r="HVD5" s="11"/>
      <c r="HVE5" s="11"/>
      <c r="HVF5" s="11"/>
      <c r="HVG5" s="11"/>
      <c r="HVH5" s="11"/>
      <c r="HVI5" s="11"/>
      <c r="HVJ5" s="11"/>
      <c r="HVK5" s="11"/>
      <c r="HVL5" s="11"/>
      <c r="HVM5" s="11"/>
      <c r="HVN5" s="11"/>
      <c r="HVO5" s="11"/>
      <c r="HVP5" s="11"/>
      <c r="HVQ5" s="11"/>
      <c r="HVR5" s="11"/>
      <c r="HVS5" s="11"/>
      <c r="HVT5" s="11"/>
      <c r="HVU5" s="11"/>
      <c r="HVV5" s="11"/>
      <c r="HVW5" s="11"/>
      <c r="HVX5" s="11"/>
      <c r="HVY5" s="11"/>
      <c r="HVZ5" s="11"/>
      <c r="HWA5" s="11"/>
      <c r="HWB5" s="11"/>
      <c r="HWC5" s="11"/>
      <c r="HWD5" s="11"/>
      <c r="HWE5" s="11"/>
      <c r="HWF5" s="11"/>
      <c r="HWG5" s="11"/>
      <c r="HWH5" s="11"/>
      <c r="HWI5" s="11"/>
      <c r="HWJ5" s="11"/>
      <c r="HWK5" s="11"/>
      <c r="HWL5" s="11"/>
      <c r="HWM5" s="11"/>
      <c r="HWN5" s="11"/>
      <c r="HWO5" s="11"/>
      <c r="HWP5" s="11"/>
      <c r="HWQ5" s="11"/>
      <c r="HWR5" s="11"/>
      <c r="HWS5" s="11"/>
      <c r="HWT5" s="11"/>
      <c r="HWU5" s="11"/>
      <c r="HWV5" s="11"/>
      <c r="HWW5" s="11"/>
      <c r="HWX5" s="11"/>
      <c r="HWY5" s="11"/>
      <c r="HWZ5" s="11"/>
      <c r="HXA5" s="11"/>
      <c r="HXB5" s="11"/>
      <c r="HXC5" s="11"/>
      <c r="HXD5" s="11"/>
      <c r="HXE5" s="11"/>
      <c r="HXF5" s="11"/>
      <c r="HXG5" s="11"/>
      <c r="HXH5" s="11"/>
      <c r="HXI5" s="11"/>
      <c r="HXJ5" s="11"/>
      <c r="HXK5" s="11"/>
      <c r="HXL5" s="11"/>
      <c r="HXM5" s="11"/>
      <c r="HXN5" s="11"/>
      <c r="HXO5" s="11"/>
      <c r="HXP5" s="11"/>
      <c r="HXQ5" s="11"/>
      <c r="HXR5" s="11"/>
      <c r="HXS5" s="11"/>
      <c r="HXT5" s="11"/>
      <c r="HXU5" s="11"/>
      <c r="HXV5" s="11"/>
      <c r="HXW5" s="11"/>
      <c r="HXX5" s="11"/>
      <c r="HXY5" s="11"/>
      <c r="HXZ5" s="11"/>
      <c r="HYA5" s="11"/>
      <c r="HYB5" s="11"/>
      <c r="HYC5" s="11"/>
      <c r="HYD5" s="11"/>
      <c r="HYE5" s="11"/>
      <c r="HYF5" s="11"/>
      <c r="HYG5" s="11"/>
      <c r="HYH5" s="11"/>
      <c r="HYI5" s="11"/>
      <c r="HYJ5" s="11"/>
      <c r="HYK5" s="11"/>
      <c r="HYL5" s="11"/>
      <c r="HYM5" s="11"/>
      <c r="HYN5" s="11"/>
      <c r="HYO5" s="11"/>
      <c r="HYP5" s="11"/>
      <c r="HYQ5" s="11"/>
      <c r="HYR5" s="11"/>
      <c r="HYS5" s="11"/>
      <c r="HYT5" s="11"/>
      <c r="HYU5" s="11"/>
      <c r="HYV5" s="11"/>
      <c r="HYW5" s="11"/>
      <c r="HYX5" s="11"/>
      <c r="HYY5" s="11"/>
      <c r="HYZ5" s="11"/>
      <c r="HZA5" s="11"/>
      <c r="HZB5" s="11"/>
      <c r="HZC5" s="11"/>
      <c r="HZD5" s="11"/>
      <c r="HZE5" s="11"/>
      <c r="HZF5" s="11"/>
      <c r="HZG5" s="11"/>
      <c r="HZH5" s="11"/>
      <c r="HZI5" s="11"/>
      <c r="HZJ5" s="11"/>
      <c r="HZK5" s="11"/>
      <c r="HZL5" s="11"/>
      <c r="HZM5" s="11"/>
      <c r="HZN5" s="11"/>
      <c r="HZO5" s="11"/>
      <c r="HZP5" s="11"/>
      <c r="HZQ5" s="11"/>
      <c r="HZR5" s="11"/>
      <c r="HZS5" s="11"/>
      <c r="HZT5" s="11"/>
      <c r="HZU5" s="11"/>
      <c r="HZV5" s="11"/>
      <c r="HZW5" s="11"/>
      <c r="HZX5" s="11"/>
      <c r="HZY5" s="11"/>
      <c r="HZZ5" s="11"/>
      <c r="IAA5" s="11"/>
      <c r="IAB5" s="11"/>
      <c r="IAC5" s="11"/>
      <c r="IAD5" s="11"/>
      <c r="IAE5" s="11"/>
      <c r="IAF5" s="11"/>
      <c r="IAG5" s="11"/>
      <c r="IAH5" s="11"/>
      <c r="IAI5" s="11"/>
      <c r="IAJ5" s="11"/>
      <c r="IAK5" s="11"/>
      <c r="IAL5" s="11"/>
      <c r="IAM5" s="11"/>
      <c r="IAN5" s="11"/>
      <c r="IAO5" s="11"/>
      <c r="IAP5" s="11"/>
      <c r="IAQ5" s="11"/>
      <c r="IAR5" s="11"/>
      <c r="IAS5" s="11"/>
      <c r="IAT5" s="11"/>
      <c r="IAU5" s="11"/>
      <c r="IAV5" s="11"/>
      <c r="IAW5" s="11"/>
      <c r="IAX5" s="11"/>
      <c r="IAY5" s="11"/>
      <c r="IAZ5" s="11"/>
      <c r="IBA5" s="11"/>
      <c r="IBB5" s="11"/>
      <c r="IBC5" s="11"/>
      <c r="IBD5" s="11"/>
      <c r="IBE5" s="11"/>
      <c r="IBF5" s="11"/>
      <c r="IBG5" s="11"/>
      <c r="IBH5" s="11"/>
      <c r="IBI5" s="11"/>
      <c r="IBJ5" s="11"/>
      <c r="IBK5" s="11"/>
      <c r="IBL5" s="11"/>
      <c r="IBM5" s="11"/>
      <c r="IBN5" s="11"/>
      <c r="IBO5" s="11"/>
      <c r="IBP5" s="11"/>
      <c r="IBQ5" s="11"/>
      <c r="IBR5" s="11"/>
      <c r="IBS5" s="11"/>
      <c r="IBT5" s="11"/>
      <c r="IBU5" s="11"/>
      <c r="IBV5" s="11"/>
      <c r="IBW5" s="11"/>
      <c r="IBX5" s="11"/>
      <c r="IBY5" s="11"/>
      <c r="IBZ5" s="11"/>
      <c r="ICA5" s="11"/>
      <c r="ICB5" s="11"/>
      <c r="ICC5" s="11"/>
      <c r="ICD5" s="11"/>
      <c r="ICE5" s="11"/>
      <c r="ICF5" s="11"/>
      <c r="ICG5" s="11"/>
      <c r="ICH5" s="11"/>
      <c r="ICI5" s="11"/>
      <c r="ICJ5" s="11"/>
      <c r="ICK5" s="11"/>
      <c r="ICL5" s="11"/>
      <c r="ICM5" s="11"/>
      <c r="ICN5" s="11"/>
      <c r="ICO5" s="11"/>
      <c r="ICP5" s="11"/>
      <c r="ICQ5" s="11"/>
      <c r="ICR5" s="11"/>
      <c r="ICS5" s="11"/>
      <c r="ICT5" s="11"/>
      <c r="ICU5" s="11"/>
      <c r="ICV5" s="11"/>
      <c r="ICW5" s="11"/>
      <c r="ICX5" s="11"/>
      <c r="ICY5" s="11"/>
      <c r="ICZ5" s="11"/>
      <c r="IDA5" s="11"/>
      <c r="IDB5" s="11"/>
      <c r="IDC5" s="11"/>
      <c r="IDD5" s="11"/>
      <c r="IDE5" s="11"/>
      <c r="IDF5" s="11"/>
      <c r="IDG5" s="11"/>
      <c r="IDH5" s="11"/>
      <c r="IDI5" s="11"/>
      <c r="IDJ5" s="11"/>
      <c r="IDK5" s="11"/>
      <c r="IDL5" s="11"/>
      <c r="IDM5" s="11"/>
      <c r="IDN5" s="11"/>
      <c r="IDO5" s="11"/>
      <c r="IDP5" s="11"/>
      <c r="IDQ5" s="11"/>
      <c r="IDR5" s="11"/>
      <c r="IDS5" s="11"/>
      <c r="IDT5" s="11"/>
      <c r="IDU5" s="11"/>
      <c r="IDV5" s="11"/>
      <c r="IDW5" s="11"/>
      <c r="IDX5" s="11"/>
      <c r="IDY5" s="11"/>
      <c r="IDZ5" s="11"/>
      <c r="IEA5" s="11"/>
      <c r="IEB5" s="11"/>
      <c r="IEC5" s="11"/>
      <c r="IED5" s="11"/>
      <c r="IEE5" s="11"/>
      <c r="IEF5" s="11"/>
      <c r="IEG5" s="11"/>
      <c r="IEH5" s="11"/>
      <c r="IEI5" s="11"/>
      <c r="IEJ5" s="11"/>
      <c r="IEK5" s="11"/>
      <c r="IEL5" s="11"/>
      <c r="IEM5" s="11"/>
      <c r="IEN5" s="11"/>
      <c r="IEO5" s="11"/>
      <c r="IEP5" s="11"/>
      <c r="IEQ5" s="11"/>
      <c r="IER5" s="11"/>
      <c r="IES5" s="11"/>
      <c r="IET5" s="11"/>
      <c r="IEU5" s="11"/>
      <c r="IEV5" s="11"/>
      <c r="IEW5" s="11"/>
      <c r="IEX5" s="11"/>
      <c r="IEY5" s="11"/>
      <c r="IEZ5" s="11"/>
      <c r="IFA5" s="11"/>
      <c r="IFB5" s="11"/>
      <c r="IFC5" s="11"/>
      <c r="IFD5" s="11"/>
      <c r="IFE5" s="11"/>
      <c r="IFF5" s="11"/>
      <c r="IFG5" s="11"/>
      <c r="IFH5" s="11"/>
      <c r="IFI5" s="11"/>
      <c r="IFJ5" s="11"/>
      <c r="IFK5" s="11"/>
      <c r="IFL5" s="11"/>
      <c r="IFM5" s="11"/>
      <c r="IFN5" s="11"/>
      <c r="IFO5" s="11"/>
      <c r="IFP5" s="11"/>
      <c r="IFQ5" s="11"/>
      <c r="IFR5" s="11"/>
      <c r="IFS5" s="11"/>
      <c r="IFT5" s="11"/>
      <c r="IFU5" s="11"/>
      <c r="IFV5" s="11"/>
      <c r="IFW5" s="11"/>
      <c r="IFX5" s="11"/>
      <c r="IFY5" s="11"/>
      <c r="IFZ5" s="11"/>
      <c r="IGA5" s="11"/>
      <c r="IGB5" s="11"/>
      <c r="IGC5" s="11"/>
      <c r="IGD5" s="11"/>
      <c r="IGE5" s="11"/>
      <c r="IGF5" s="11"/>
      <c r="IGG5" s="11"/>
      <c r="IGH5" s="11"/>
      <c r="IGI5" s="11"/>
      <c r="IGJ5" s="11"/>
      <c r="IGK5" s="11"/>
      <c r="IGL5" s="11"/>
      <c r="IGM5" s="11"/>
      <c r="IGN5" s="11"/>
      <c r="IGO5" s="11"/>
      <c r="IGP5" s="11"/>
      <c r="IGQ5" s="11"/>
      <c r="IGR5" s="11"/>
      <c r="IGS5" s="11"/>
      <c r="IGT5" s="11"/>
      <c r="IGU5" s="11"/>
      <c r="IGV5" s="11"/>
      <c r="IGW5" s="11"/>
      <c r="IGX5" s="11"/>
      <c r="IGY5" s="11"/>
      <c r="IGZ5" s="11"/>
      <c r="IHA5" s="11"/>
      <c r="IHB5" s="11"/>
      <c r="IHC5" s="11"/>
      <c r="IHD5" s="11"/>
      <c r="IHE5" s="11"/>
      <c r="IHF5" s="11"/>
      <c r="IHG5" s="11"/>
      <c r="IHH5" s="11"/>
      <c r="IHI5" s="11"/>
      <c r="IHJ5" s="11"/>
      <c r="IHK5" s="11"/>
      <c r="IHL5" s="11"/>
      <c r="IHM5" s="11"/>
      <c r="IHN5" s="11"/>
      <c r="IHO5" s="11"/>
      <c r="IHP5" s="11"/>
      <c r="IHQ5" s="11"/>
      <c r="IHR5" s="11"/>
      <c r="IHS5" s="11"/>
      <c r="IHT5" s="11"/>
      <c r="IHU5" s="11"/>
      <c r="IHV5" s="11"/>
      <c r="IHW5" s="11"/>
      <c r="IHX5" s="11"/>
      <c r="IHY5" s="11"/>
      <c r="IHZ5" s="11"/>
      <c r="IIA5" s="11"/>
      <c r="IIB5" s="11"/>
      <c r="IIC5" s="11"/>
      <c r="IID5" s="11"/>
      <c r="IIE5" s="11"/>
      <c r="IIF5" s="11"/>
      <c r="IIG5" s="11"/>
      <c r="IIH5" s="11"/>
      <c r="III5" s="11"/>
      <c r="IIJ5" s="11"/>
      <c r="IIK5" s="11"/>
      <c r="IIL5" s="11"/>
      <c r="IIM5" s="11"/>
      <c r="IIN5" s="11"/>
      <c r="IIO5" s="11"/>
      <c r="IIP5" s="11"/>
      <c r="IIQ5" s="11"/>
      <c r="IIR5" s="11"/>
      <c r="IIS5" s="11"/>
      <c r="IIT5" s="11"/>
      <c r="IIU5" s="11"/>
      <c r="IIV5" s="11"/>
      <c r="IIW5" s="11"/>
      <c r="IIX5" s="11"/>
      <c r="IIY5" s="11"/>
      <c r="IIZ5" s="11"/>
      <c r="IJA5" s="11"/>
      <c r="IJB5" s="11"/>
      <c r="IJC5" s="11"/>
      <c r="IJD5" s="11"/>
      <c r="IJE5" s="11"/>
      <c r="IJF5" s="11"/>
      <c r="IJG5" s="11"/>
      <c r="IJH5" s="11"/>
      <c r="IJI5" s="11"/>
      <c r="IJJ5" s="11"/>
      <c r="IJK5" s="11"/>
      <c r="IJL5" s="11"/>
      <c r="IJM5" s="11"/>
      <c r="IJN5" s="11"/>
      <c r="IJO5" s="11"/>
      <c r="IJP5" s="11"/>
      <c r="IJQ5" s="11"/>
      <c r="IJR5" s="11"/>
      <c r="IJS5" s="11"/>
      <c r="IJT5" s="11"/>
      <c r="IJU5" s="11"/>
      <c r="IJV5" s="11"/>
      <c r="IJW5" s="11"/>
      <c r="IJX5" s="11"/>
      <c r="IJY5" s="11"/>
      <c r="IJZ5" s="11"/>
      <c r="IKA5" s="11"/>
      <c r="IKB5" s="11"/>
      <c r="IKC5" s="11"/>
      <c r="IKD5" s="11"/>
      <c r="IKE5" s="11"/>
      <c r="IKF5" s="11"/>
      <c r="IKG5" s="11"/>
      <c r="IKH5" s="11"/>
      <c r="IKI5" s="11"/>
      <c r="IKJ5" s="11"/>
      <c r="IKK5" s="11"/>
      <c r="IKL5" s="11"/>
      <c r="IKM5" s="11"/>
      <c r="IKN5" s="11"/>
      <c r="IKO5" s="11"/>
      <c r="IKP5" s="11"/>
      <c r="IKQ5" s="11"/>
      <c r="IKR5" s="11"/>
      <c r="IKS5" s="11"/>
      <c r="IKT5" s="11"/>
      <c r="IKU5" s="11"/>
      <c r="IKV5" s="11"/>
      <c r="IKW5" s="11"/>
      <c r="IKX5" s="11"/>
      <c r="IKY5" s="11"/>
      <c r="IKZ5" s="11"/>
      <c r="ILA5" s="11"/>
      <c r="ILB5" s="11"/>
      <c r="ILC5" s="11"/>
      <c r="ILD5" s="11"/>
      <c r="ILE5" s="11"/>
      <c r="ILF5" s="11"/>
      <c r="ILG5" s="11"/>
      <c r="ILH5" s="11"/>
      <c r="ILI5" s="11"/>
      <c r="ILJ5" s="11"/>
      <c r="ILK5" s="11"/>
      <c r="ILL5" s="11"/>
      <c r="ILM5" s="11"/>
      <c r="ILN5" s="11"/>
      <c r="ILO5" s="11"/>
      <c r="ILP5" s="11"/>
      <c r="ILQ5" s="11"/>
      <c r="ILR5" s="11"/>
      <c r="ILS5" s="11"/>
      <c r="ILT5" s="11"/>
      <c r="ILU5" s="11"/>
      <c r="ILV5" s="11"/>
      <c r="ILW5" s="11"/>
      <c r="ILX5" s="11"/>
      <c r="ILY5" s="11"/>
      <c r="ILZ5" s="11"/>
      <c r="IMA5" s="11"/>
      <c r="IMB5" s="11"/>
      <c r="IMC5" s="11"/>
      <c r="IMD5" s="11"/>
      <c r="IME5" s="11"/>
      <c r="IMF5" s="11"/>
      <c r="IMG5" s="11"/>
      <c r="IMH5" s="11"/>
      <c r="IMI5" s="11"/>
      <c r="IMJ5" s="11"/>
      <c r="IMK5" s="11"/>
      <c r="IML5" s="11"/>
      <c r="IMM5" s="11"/>
      <c r="IMN5" s="11"/>
      <c r="IMO5" s="11"/>
      <c r="IMP5" s="11"/>
      <c r="IMQ5" s="11"/>
      <c r="IMR5" s="11"/>
      <c r="IMS5" s="11"/>
      <c r="IMT5" s="11"/>
      <c r="IMU5" s="11"/>
      <c r="IMV5" s="11"/>
      <c r="IMW5" s="11"/>
      <c r="IMX5" s="11"/>
      <c r="IMY5" s="11"/>
      <c r="IMZ5" s="11"/>
      <c r="INA5" s="11"/>
      <c r="INB5" s="11"/>
      <c r="INC5" s="11"/>
      <c r="IND5" s="11"/>
      <c r="INE5" s="11"/>
      <c r="INF5" s="11"/>
      <c r="ING5" s="11"/>
      <c r="INH5" s="11"/>
      <c r="INI5" s="11"/>
      <c r="INJ5" s="11"/>
      <c r="INK5" s="11"/>
      <c r="INL5" s="11"/>
      <c r="INM5" s="11"/>
      <c r="INN5" s="11"/>
      <c r="INO5" s="11"/>
      <c r="INP5" s="11"/>
      <c r="INQ5" s="11"/>
      <c r="INR5" s="11"/>
      <c r="INS5" s="11"/>
      <c r="INT5" s="11"/>
      <c r="INU5" s="11"/>
      <c r="INV5" s="11"/>
      <c r="INW5" s="11"/>
      <c r="INX5" s="11"/>
      <c r="INY5" s="11"/>
      <c r="INZ5" s="11"/>
      <c r="IOA5" s="11"/>
      <c r="IOB5" s="11"/>
      <c r="IOC5" s="11"/>
      <c r="IOD5" s="11"/>
      <c r="IOE5" s="11"/>
      <c r="IOF5" s="11"/>
      <c r="IOG5" s="11"/>
      <c r="IOH5" s="11"/>
      <c r="IOI5" s="11"/>
      <c r="IOJ5" s="11"/>
      <c r="IOK5" s="11"/>
      <c r="IOL5" s="11"/>
      <c r="IOM5" s="11"/>
      <c r="ION5" s="11"/>
      <c r="IOO5" s="11"/>
      <c r="IOP5" s="11"/>
      <c r="IOQ5" s="11"/>
      <c r="IOR5" s="11"/>
      <c r="IOS5" s="11"/>
      <c r="IOT5" s="11"/>
      <c r="IOU5" s="11"/>
      <c r="IOV5" s="11"/>
      <c r="IOW5" s="11"/>
      <c r="IOX5" s="11"/>
      <c r="IOY5" s="11"/>
      <c r="IOZ5" s="11"/>
      <c r="IPA5" s="11"/>
      <c r="IPB5" s="11"/>
      <c r="IPC5" s="11"/>
      <c r="IPD5" s="11"/>
      <c r="IPE5" s="11"/>
      <c r="IPF5" s="11"/>
      <c r="IPG5" s="11"/>
      <c r="IPH5" s="11"/>
      <c r="IPI5" s="11"/>
      <c r="IPJ5" s="11"/>
      <c r="IPK5" s="11"/>
      <c r="IPL5" s="11"/>
      <c r="IPM5" s="11"/>
      <c r="IPN5" s="11"/>
      <c r="IPO5" s="11"/>
      <c r="IPP5" s="11"/>
      <c r="IPQ5" s="11"/>
      <c r="IPR5" s="11"/>
      <c r="IPS5" s="11"/>
      <c r="IPT5" s="11"/>
      <c r="IPU5" s="11"/>
      <c r="IPV5" s="11"/>
      <c r="IPW5" s="11"/>
      <c r="IPX5" s="11"/>
      <c r="IPY5" s="11"/>
      <c r="IPZ5" s="11"/>
      <c r="IQA5" s="11"/>
      <c r="IQB5" s="11"/>
      <c r="IQC5" s="11"/>
      <c r="IQD5" s="11"/>
      <c r="IQE5" s="11"/>
      <c r="IQF5" s="11"/>
      <c r="IQG5" s="11"/>
      <c r="IQH5" s="11"/>
      <c r="IQI5" s="11"/>
      <c r="IQJ5" s="11"/>
      <c r="IQK5" s="11"/>
      <c r="IQL5" s="11"/>
      <c r="IQM5" s="11"/>
      <c r="IQN5" s="11"/>
      <c r="IQO5" s="11"/>
      <c r="IQP5" s="11"/>
      <c r="IQQ5" s="11"/>
      <c r="IQR5" s="11"/>
      <c r="IQS5" s="11"/>
      <c r="IQT5" s="11"/>
      <c r="IQU5" s="11"/>
      <c r="IQV5" s="11"/>
      <c r="IQW5" s="11"/>
      <c r="IQX5" s="11"/>
      <c r="IQY5" s="11"/>
      <c r="IQZ5" s="11"/>
      <c r="IRA5" s="11"/>
      <c r="IRB5" s="11"/>
      <c r="IRC5" s="11"/>
      <c r="IRD5" s="11"/>
      <c r="IRE5" s="11"/>
      <c r="IRF5" s="11"/>
      <c r="IRG5" s="11"/>
      <c r="IRH5" s="11"/>
      <c r="IRI5" s="11"/>
      <c r="IRJ5" s="11"/>
      <c r="IRK5" s="11"/>
      <c r="IRL5" s="11"/>
      <c r="IRM5" s="11"/>
      <c r="IRN5" s="11"/>
      <c r="IRO5" s="11"/>
      <c r="IRP5" s="11"/>
      <c r="IRQ5" s="11"/>
      <c r="IRR5" s="11"/>
      <c r="IRS5" s="11"/>
      <c r="IRT5" s="11"/>
      <c r="IRU5" s="11"/>
      <c r="IRV5" s="11"/>
      <c r="IRW5" s="11"/>
      <c r="IRX5" s="11"/>
      <c r="IRY5" s="11"/>
      <c r="IRZ5" s="11"/>
      <c r="ISA5" s="11"/>
      <c r="ISB5" s="11"/>
      <c r="ISC5" s="11"/>
      <c r="ISD5" s="11"/>
      <c r="ISE5" s="11"/>
      <c r="ISF5" s="11"/>
      <c r="ISG5" s="11"/>
      <c r="ISH5" s="11"/>
      <c r="ISI5" s="11"/>
      <c r="ISJ5" s="11"/>
      <c r="ISK5" s="11"/>
      <c r="ISL5" s="11"/>
      <c r="ISM5" s="11"/>
      <c r="ISN5" s="11"/>
      <c r="ISO5" s="11"/>
      <c r="ISP5" s="11"/>
      <c r="ISQ5" s="11"/>
      <c r="ISR5" s="11"/>
      <c r="ISS5" s="11"/>
      <c r="IST5" s="11"/>
      <c r="ISU5" s="11"/>
      <c r="ISV5" s="11"/>
      <c r="ISW5" s="11"/>
      <c r="ISX5" s="11"/>
      <c r="ISY5" s="11"/>
      <c r="ISZ5" s="11"/>
      <c r="ITA5" s="11"/>
      <c r="ITB5" s="11"/>
      <c r="ITC5" s="11"/>
      <c r="ITD5" s="11"/>
      <c r="ITE5" s="11"/>
      <c r="ITF5" s="11"/>
      <c r="ITG5" s="11"/>
      <c r="ITH5" s="11"/>
      <c r="ITI5" s="11"/>
      <c r="ITJ5" s="11"/>
      <c r="ITK5" s="11"/>
      <c r="ITL5" s="11"/>
      <c r="ITM5" s="11"/>
      <c r="ITN5" s="11"/>
      <c r="ITO5" s="11"/>
      <c r="ITP5" s="11"/>
      <c r="ITQ5" s="11"/>
      <c r="ITR5" s="11"/>
      <c r="ITS5" s="11"/>
      <c r="ITT5" s="11"/>
      <c r="ITU5" s="11"/>
      <c r="ITV5" s="11"/>
      <c r="ITW5" s="11"/>
      <c r="ITX5" s="11"/>
      <c r="ITY5" s="11"/>
      <c r="ITZ5" s="11"/>
      <c r="IUA5" s="11"/>
      <c r="IUB5" s="11"/>
      <c r="IUC5" s="11"/>
      <c r="IUD5" s="11"/>
      <c r="IUE5" s="11"/>
      <c r="IUF5" s="11"/>
      <c r="IUG5" s="11"/>
      <c r="IUH5" s="11"/>
      <c r="IUI5" s="11"/>
      <c r="IUJ5" s="11"/>
      <c r="IUK5" s="11"/>
      <c r="IUL5" s="11"/>
      <c r="IUM5" s="11"/>
      <c r="IUN5" s="11"/>
      <c r="IUO5" s="11"/>
      <c r="IUP5" s="11"/>
      <c r="IUQ5" s="11"/>
      <c r="IUR5" s="11"/>
      <c r="IUS5" s="11"/>
      <c r="IUT5" s="11"/>
      <c r="IUU5" s="11"/>
      <c r="IUV5" s="11"/>
      <c r="IUW5" s="11"/>
      <c r="IUX5" s="11"/>
      <c r="IUY5" s="11"/>
      <c r="IUZ5" s="11"/>
      <c r="IVA5" s="11"/>
      <c r="IVB5" s="11"/>
      <c r="IVC5" s="11"/>
      <c r="IVD5" s="11"/>
      <c r="IVE5" s="11"/>
      <c r="IVF5" s="11"/>
      <c r="IVG5" s="11"/>
      <c r="IVH5" s="11"/>
      <c r="IVI5" s="11"/>
      <c r="IVJ5" s="11"/>
      <c r="IVK5" s="11"/>
      <c r="IVL5" s="11"/>
      <c r="IVM5" s="11"/>
      <c r="IVN5" s="11"/>
      <c r="IVO5" s="11"/>
      <c r="IVP5" s="11"/>
      <c r="IVQ5" s="11"/>
      <c r="IVR5" s="11"/>
      <c r="IVS5" s="11"/>
      <c r="IVT5" s="11"/>
      <c r="IVU5" s="11"/>
      <c r="IVV5" s="11"/>
      <c r="IVW5" s="11"/>
      <c r="IVX5" s="11"/>
      <c r="IVY5" s="11"/>
      <c r="IVZ5" s="11"/>
      <c r="IWA5" s="11"/>
      <c r="IWB5" s="11"/>
      <c r="IWC5" s="11"/>
      <c r="IWD5" s="11"/>
      <c r="IWE5" s="11"/>
      <c r="IWF5" s="11"/>
      <c r="IWG5" s="11"/>
      <c r="IWH5" s="11"/>
      <c r="IWI5" s="11"/>
      <c r="IWJ5" s="11"/>
      <c r="IWK5" s="11"/>
      <c r="IWL5" s="11"/>
      <c r="IWM5" s="11"/>
      <c r="IWN5" s="11"/>
      <c r="IWO5" s="11"/>
      <c r="IWP5" s="11"/>
      <c r="IWQ5" s="11"/>
      <c r="IWR5" s="11"/>
      <c r="IWS5" s="11"/>
      <c r="IWT5" s="11"/>
      <c r="IWU5" s="11"/>
      <c r="IWV5" s="11"/>
      <c r="IWW5" s="11"/>
      <c r="IWX5" s="11"/>
      <c r="IWY5" s="11"/>
      <c r="IWZ5" s="11"/>
      <c r="IXA5" s="11"/>
      <c r="IXB5" s="11"/>
      <c r="IXC5" s="11"/>
      <c r="IXD5" s="11"/>
      <c r="IXE5" s="11"/>
      <c r="IXF5" s="11"/>
      <c r="IXG5" s="11"/>
      <c r="IXH5" s="11"/>
      <c r="IXI5" s="11"/>
      <c r="IXJ5" s="11"/>
      <c r="IXK5" s="11"/>
      <c r="IXL5" s="11"/>
      <c r="IXM5" s="11"/>
      <c r="IXN5" s="11"/>
      <c r="IXO5" s="11"/>
      <c r="IXP5" s="11"/>
      <c r="IXQ5" s="11"/>
      <c r="IXR5" s="11"/>
      <c r="IXS5" s="11"/>
      <c r="IXT5" s="11"/>
      <c r="IXU5" s="11"/>
      <c r="IXV5" s="11"/>
      <c r="IXW5" s="11"/>
      <c r="IXX5" s="11"/>
      <c r="IXY5" s="11"/>
      <c r="IXZ5" s="11"/>
      <c r="IYA5" s="11"/>
      <c r="IYB5" s="11"/>
      <c r="IYC5" s="11"/>
      <c r="IYD5" s="11"/>
      <c r="IYE5" s="11"/>
      <c r="IYF5" s="11"/>
      <c r="IYG5" s="11"/>
      <c r="IYH5" s="11"/>
      <c r="IYI5" s="11"/>
      <c r="IYJ5" s="11"/>
      <c r="IYK5" s="11"/>
      <c r="IYL5" s="11"/>
      <c r="IYM5" s="11"/>
      <c r="IYN5" s="11"/>
      <c r="IYO5" s="11"/>
      <c r="IYP5" s="11"/>
      <c r="IYQ5" s="11"/>
      <c r="IYR5" s="11"/>
      <c r="IYS5" s="11"/>
      <c r="IYT5" s="11"/>
      <c r="IYU5" s="11"/>
      <c r="IYV5" s="11"/>
      <c r="IYW5" s="11"/>
      <c r="IYX5" s="11"/>
      <c r="IYY5" s="11"/>
      <c r="IYZ5" s="11"/>
      <c r="IZA5" s="11"/>
      <c r="IZB5" s="11"/>
      <c r="IZC5" s="11"/>
      <c r="IZD5" s="11"/>
      <c r="IZE5" s="11"/>
      <c r="IZF5" s="11"/>
      <c r="IZG5" s="11"/>
      <c r="IZH5" s="11"/>
      <c r="IZI5" s="11"/>
      <c r="IZJ5" s="11"/>
      <c r="IZK5" s="11"/>
      <c r="IZL5" s="11"/>
      <c r="IZM5" s="11"/>
      <c r="IZN5" s="11"/>
      <c r="IZO5" s="11"/>
      <c r="IZP5" s="11"/>
      <c r="IZQ5" s="11"/>
      <c r="IZR5" s="11"/>
      <c r="IZS5" s="11"/>
      <c r="IZT5" s="11"/>
      <c r="IZU5" s="11"/>
      <c r="IZV5" s="11"/>
      <c r="IZW5" s="11"/>
      <c r="IZX5" s="11"/>
      <c r="IZY5" s="11"/>
      <c r="IZZ5" s="11"/>
      <c r="JAA5" s="11"/>
      <c r="JAB5" s="11"/>
      <c r="JAC5" s="11"/>
      <c r="JAD5" s="11"/>
      <c r="JAE5" s="11"/>
      <c r="JAF5" s="11"/>
      <c r="JAG5" s="11"/>
      <c r="JAH5" s="11"/>
      <c r="JAI5" s="11"/>
      <c r="JAJ5" s="11"/>
      <c r="JAK5" s="11"/>
      <c r="JAL5" s="11"/>
      <c r="JAM5" s="11"/>
      <c r="JAN5" s="11"/>
      <c r="JAO5" s="11"/>
      <c r="JAP5" s="11"/>
      <c r="JAQ5" s="11"/>
      <c r="JAR5" s="11"/>
      <c r="JAS5" s="11"/>
      <c r="JAT5" s="11"/>
      <c r="JAU5" s="11"/>
      <c r="JAV5" s="11"/>
      <c r="JAW5" s="11"/>
      <c r="JAX5" s="11"/>
      <c r="JAY5" s="11"/>
      <c r="JAZ5" s="11"/>
      <c r="JBA5" s="11"/>
      <c r="JBB5" s="11"/>
      <c r="JBC5" s="11"/>
      <c r="JBD5" s="11"/>
      <c r="JBE5" s="11"/>
      <c r="JBF5" s="11"/>
      <c r="JBG5" s="11"/>
      <c r="JBH5" s="11"/>
      <c r="JBI5" s="11"/>
      <c r="JBJ5" s="11"/>
      <c r="JBK5" s="11"/>
      <c r="JBL5" s="11"/>
      <c r="JBM5" s="11"/>
      <c r="JBN5" s="11"/>
      <c r="JBO5" s="11"/>
      <c r="JBP5" s="11"/>
      <c r="JBQ5" s="11"/>
      <c r="JBR5" s="11"/>
      <c r="JBS5" s="11"/>
      <c r="JBT5" s="11"/>
      <c r="JBU5" s="11"/>
      <c r="JBV5" s="11"/>
      <c r="JBW5" s="11"/>
      <c r="JBX5" s="11"/>
      <c r="JBY5" s="11"/>
      <c r="JBZ5" s="11"/>
      <c r="JCA5" s="11"/>
      <c r="JCB5" s="11"/>
      <c r="JCC5" s="11"/>
      <c r="JCD5" s="11"/>
      <c r="JCE5" s="11"/>
      <c r="JCF5" s="11"/>
      <c r="JCG5" s="11"/>
      <c r="JCH5" s="11"/>
      <c r="JCI5" s="11"/>
      <c r="JCJ5" s="11"/>
      <c r="JCK5" s="11"/>
      <c r="JCL5" s="11"/>
      <c r="JCM5" s="11"/>
      <c r="JCN5" s="11"/>
      <c r="JCO5" s="11"/>
      <c r="JCP5" s="11"/>
      <c r="JCQ5" s="11"/>
      <c r="JCR5" s="11"/>
      <c r="JCS5" s="11"/>
      <c r="JCT5" s="11"/>
      <c r="JCU5" s="11"/>
      <c r="JCV5" s="11"/>
      <c r="JCW5" s="11"/>
      <c r="JCX5" s="11"/>
      <c r="JCY5" s="11"/>
      <c r="JCZ5" s="11"/>
      <c r="JDA5" s="11"/>
      <c r="JDB5" s="11"/>
      <c r="JDC5" s="11"/>
      <c r="JDD5" s="11"/>
      <c r="JDE5" s="11"/>
      <c r="JDF5" s="11"/>
      <c r="JDG5" s="11"/>
      <c r="JDH5" s="11"/>
      <c r="JDI5" s="11"/>
      <c r="JDJ5" s="11"/>
      <c r="JDK5" s="11"/>
      <c r="JDL5" s="11"/>
      <c r="JDM5" s="11"/>
      <c r="JDN5" s="11"/>
      <c r="JDO5" s="11"/>
      <c r="JDP5" s="11"/>
      <c r="JDQ5" s="11"/>
      <c r="JDR5" s="11"/>
      <c r="JDS5" s="11"/>
      <c r="JDT5" s="11"/>
      <c r="JDU5" s="11"/>
      <c r="JDV5" s="11"/>
      <c r="JDW5" s="11"/>
      <c r="JDX5" s="11"/>
      <c r="JDY5" s="11"/>
      <c r="JDZ5" s="11"/>
      <c r="JEA5" s="11"/>
      <c r="JEB5" s="11"/>
      <c r="JEC5" s="11"/>
      <c r="JED5" s="11"/>
      <c r="JEE5" s="11"/>
      <c r="JEF5" s="11"/>
      <c r="JEG5" s="11"/>
      <c r="JEH5" s="11"/>
      <c r="JEI5" s="11"/>
      <c r="JEJ5" s="11"/>
      <c r="JEK5" s="11"/>
      <c r="JEL5" s="11"/>
      <c r="JEM5" s="11"/>
      <c r="JEN5" s="11"/>
      <c r="JEO5" s="11"/>
      <c r="JEP5" s="11"/>
      <c r="JEQ5" s="11"/>
      <c r="JER5" s="11"/>
      <c r="JES5" s="11"/>
      <c r="JET5" s="11"/>
      <c r="JEU5" s="11"/>
      <c r="JEV5" s="11"/>
      <c r="JEW5" s="11"/>
      <c r="JEX5" s="11"/>
      <c r="JEY5" s="11"/>
      <c r="JEZ5" s="11"/>
      <c r="JFA5" s="11"/>
      <c r="JFB5" s="11"/>
      <c r="JFC5" s="11"/>
      <c r="JFD5" s="11"/>
      <c r="JFE5" s="11"/>
      <c r="JFF5" s="11"/>
      <c r="JFG5" s="11"/>
      <c r="JFH5" s="11"/>
      <c r="JFI5" s="11"/>
      <c r="JFJ5" s="11"/>
      <c r="JFK5" s="11"/>
      <c r="JFL5" s="11"/>
      <c r="JFM5" s="11"/>
      <c r="JFN5" s="11"/>
      <c r="JFO5" s="11"/>
      <c r="JFP5" s="11"/>
      <c r="JFQ5" s="11"/>
      <c r="JFR5" s="11"/>
      <c r="JFS5" s="11"/>
      <c r="JFT5" s="11"/>
      <c r="JFU5" s="11"/>
      <c r="JFV5" s="11"/>
      <c r="JFW5" s="11"/>
      <c r="JFX5" s="11"/>
      <c r="JFY5" s="11"/>
      <c r="JFZ5" s="11"/>
      <c r="JGA5" s="11"/>
      <c r="JGB5" s="11"/>
      <c r="JGC5" s="11"/>
      <c r="JGD5" s="11"/>
      <c r="JGE5" s="11"/>
      <c r="JGF5" s="11"/>
      <c r="JGG5" s="11"/>
      <c r="JGH5" s="11"/>
      <c r="JGI5" s="11"/>
      <c r="JGJ5" s="11"/>
      <c r="JGK5" s="11"/>
      <c r="JGL5" s="11"/>
      <c r="JGM5" s="11"/>
      <c r="JGN5" s="11"/>
      <c r="JGO5" s="11"/>
      <c r="JGP5" s="11"/>
      <c r="JGQ5" s="11"/>
      <c r="JGR5" s="11"/>
      <c r="JGS5" s="11"/>
      <c r="JGT5" s="11"/>
      <c r="JGU5" s="11"/>
      <c r="JGV5" s="11"/>
      <c r="JGW5" s="11"/>
      <c r="JGX5" s="11"/>
      <c r="JGY5" s="11"/>
      <c r="JGZ5" s="11"/>
      <c r="JHA5" s="11"/>
      <c r="JHB5" s="11"/>
      <c r="JHC5" s="11"/>
      <c r="JHD5" s="11"/>
      <c r="JHE5" s="11"/>
      <c r="JHF5" s="11"/>
      <c r="JHG5" s="11"/>
      <c r="JHH5" s="11"/>
      <c r="JHI5" s="11"/>
      <c r="JHJ5" s="11"/>
      <c r="JHK5" s="11"/>
      <c r="JHL5" s="11"/>
      <c r="JHM5" s="11"/>
      <c r="JHN5" s="11"/>
      <c r="JHO5" s="11"/>
      <c r="JHP5" s="11"/>
      <c r="JHQ5" s="11"/>
      <c r="JHR5" s="11"/>
      <c r="JHS5" s="11"/>
      <c r="JHT5" s="11"/>
      <c r="JHU5" s="11"/>
      <c r="JHV5" s="11"/>
      <c r="JHW5" s="11"/>
      <c r="JHX5" s="11"/>
      <c r="JHY5" s="11"/>
      <c r="JHZ5" s="11"/>
      <c r="JIA5" s="11"/>
      <c r="JIB5" s="11"/>
      <c r="JIC5" s="11"/>
      <c r="JID5" s="11"/>
      <c r="JIE5" s="11"/>
      <c r="JIF5" s="11"/>
      <c r="JIG5" s="11"/>
      <c r="JIH5" s="11"/>
      <c r="JII5" s="11"/>
      <c r="JIJ5" s="11"/>
      <c r="JIK5" s="11"/>
      <c r="JIL5" s="11"/>
      <c r="JIM5" s="11"/>
      <c r="JIN5" s="11"/>
      <c r="JIO5" s="11"/>
      <c r="JIP5" s="11"/>
      <c r="JIQ5" s="11"/>
      <c r="JIR5" s="11"/>
      <c r="JIS5" s="11"/>
      <c r="JIT5" s="11"/>
      <c r="JIU5" s="11"/>
      <c r="JIV5" s="11"/>
      <c r="JIW5" s="11"/>
      <c r="JIX5" s="11"/>
      <c r="JIY5" s="11"/>
      <c r="JIZ5" s="11"/>
      <c r="JJA5" s="11"/>
      <c r="JJB5" s="11"/>
      <c r="JJC5" s="11"/>
      <c r="JJD5" s="11"/>
      <c r="JJE5" s="11"/>
      <c r="JJF5" s="11"/>
      <c r="JJG5" s="11"/>
      <c r="JJH5" s="11"/>
      <c r="JJI5" s="11"/>
      <c r="JJJ5" s="11"/>
      <c r="JJK5" s="11"/>
      <c r="JJL5" s="11"/>
      <c r="JJM5" s="11"/>
      <c r="JJN5" s="11"/>
      <c r="JJO5" s="11"/>
      <c r="JJP5" s="11"/>
      <c r="JJQ5" s="11"/>
      <c r="JJR5" s="11"/>
      <c r="JJS5" s="11"/>
      <c r="JJT5" s="11"/>
      <c r="JJU5" s="11"/>
      <c r="JJV5" s="11"/>
      <c r="JJW5" s="11"/>
      <c r="JJX5" s="11"/>
      <c r="JJY5" s="11"/>
      <c r="JJZ5" s="11"/>
      <c r="JKA5" s="11"/>
      <c r="JKB5" s="11"/>
      <c r="JKC5" s="11"/>
      <c r="JKD5" s="11"/>
      <c r="JKE5" s="11"/>
      <c r="JKF5" s="11"/>
      <c r="JKG5" s="11"/>
      <c r="JKH5" s="11"/>
      <c r="JKI5" s="11"/>
      <c r="JKJ5" s="11"/>
      <c r="JKK5" s="11"/>
      <c r="JKL5" s="11"/>
      <c r="JKM5" s="11"/>
      <c r="JKN5" s="11"/>
      <c r="JKO5" s="11"/>
      <c r="JKP5" s="11"/>
      <c r="JKQ5" s="11"/>
      <c r="JKR5" s="11"/>
      <c r="JKS5" s="11"/>
      <c r="JKT5" s="11"/>
      <c r="JKU5" s="11"/>
      <c r="JKV5" s="11"/>
      <c r="JKW5" s="11"/>
      <c r="JKX5" s="11"/>
      <c r="JKY5" s="11"/>
      <c r="JKZ5" s="11"/>
      <c r="JLA5" s="11"/>
      <c r="JLB5" s="11"/>
      <c r="JLC5" s="11"/>
      <c r="JLD5" s="11"/>
      <c r="JLE5" s="11"/>
      <c r="JLF5" s="11"/>
      <c r="JLG5" s="11"/>
      <c r="JLH5" s="11"/>
      <c r="JLI5" s="11"/>
      <c r="JLJ5" s="11"/>
      <c r="JLK5" s="11"/>
      <c r="JLL5" s="11"/>
      <c r="JLM5" s="11"/>
      <c r="JLN5" s="11"/>
      <c r="JLO5" s="11"/>
      <c r="JLP5" s="11"/>
      <c r="JLQ5" s="11"/>
      <c r="JLR5" s="11"/>
      <c r="JLS5" s="11"/>
      <c r="JLT5" s="11"/>
      <c r="JLU5" s="11"/>
      <c r="JLV5" s="11"/>
      <c r="JLW5" s="11"/>
      <c r="JLX5" s="11"/>
      <c r="JLY5" s="11"/>
      <c r="JLZ5" s="11"/>
      <c r="JMA5" s="11"/>
      <c r="JMB5" s="11"/>
      <c r="JMC5" s="11"/>
      <c r="JMD5" s="11"/>
      <c r="JME5" s="11"/>
      <c r="JMF5" s="11"/>
      <c r="JMG5" s="11"/>
      <c r="JMH5" s="11"/>
      <c r="JMI5" s="11"/>
      <c r="JMJ5" s="11"/>
      <c r="JMK5" s="11"/>
      <c r="JML5" s="11"/>
      <c r="JMM5" s="11"/>
      <c r="JMN5" s="11"/>
      <c r="JMO5" s="11"/>
      <c r="JMP5" s="11"/>
      <c r="JMQ5" s="11"/>
      <c r="JMR5" s="11"/>
      <c r="JMS5" s="11"/>
      <c r="JMT5" s="11"/>
      <c r="JMU5" s="11"/>
      <c r="JMV5" s="11"/>
      <c r="JMW5" s="11"/>
      <c r="JMX5" s="11"/>
      <c r="JMY5" s="11"/>
      <c r="JMZ5" s="11"/>
      <c r="JNA5" s="11"/>
      <c r="JNB5" s="11"/>
      <c r="JNC5" s="11"/>
      <c r="JND5" s="11"/>
      <c r="JNE5" s="11"/>
      <c r="JNF5" s="11"/>
      <c r="JNG5" s="11"/>
      <c r="JNH5" s="11"/>
      <c r="JNI5" s="11"/>
      <c r="JNJ5" s="11"/>
      <c r="JNK5" s="11"/>
      <c r="JNL5" s="11"/>
      <c r="JNM5" s="11"/>
      <c r="JNN5" s="11"/>
      <c r="JNO5" s="11"/>
      <c r="JNP5" s="11"/>
      <c r="JNQ5" s="11"/>
      <c r="JNR5" s="11"/>
      <c r="JNS5" s="11"/>
      <c r="JNT5" s="11"/>
      <c r="JNU5" s="11"/>
      <c r="JNV5" s="11"/>
      <c r="JNW5" s="11"/>
      <c r="JNX5" s="11"/>
      <c r="JNY5" s="11"/>
      <c r="JNZ5" s="11"/>
      <c r="JOA5" s="11"/>
      <c r="JOB5" s="11"/>
      <c r="JOC5" s="11"/>
      <c r="JOD5" s="11"/>
      <c r="JOE5" s="11"/>
      <c r="JOF5" s="11"/>
      <c r="JOG5" s="11"/>
      <c r="JOH5" s="11"/>
      <c r="JOI5" s="11"/>
      <c r="JOJ5" s="11"/>
      <c r="JOK5" s="11"/>
      <c r="JOL5" s="11"/>
      <c r="JOM5" s="11"/>
      <c r="JON5" s="11"/>
      <c r="JOO5" s="11"/>
      <c r="JOP5" s="11"/>
      <c r="JOQ5" s="11"/>
      <c r="JOR5" s="11"/>
      <c r="JOS5" s="11"/>
      <c r="JOT5" s="11"/>
      <c r="JOU5" s="11"/>
      <c r="JOV5" s="11"/>
      <c r="JOW5" s="11"/>
      <c r="JOX5" s="11"/>
      <c r="JOY5" s="11"/>
      <c r="JOZ5" s="11"/>
      <c r="JPA5" s="11"/>
      <c r="JPB5" s="11"/>
      <c r="JPC5" s="11"/>
      <c r="JPD5" s="11"/>
      <c r="JPE5" s="11"/>
      <c r="JPF5" s="11"/>
      <c r="JPG5" s="11"/>
      <c r="JPH5" s="11"/>
      <c r="JPI5" s="11"/>
      <c r="JPJ5" s="11"/>
      <c r="JPK5" s="11"/>
      <c r="JPL5" s="11"/>
      <c r="JPM5" s="11"/>
      <c r="JPN5" s="11"/>
      <c r="JPO5" s="11"/>
      <c r="JPP5" s="11"/>
      <c r="JPQ5" s="11"/>
      <c r="JPR5" s="11"/>
      <c r="JPS5" s="11"/>
      <c r="JPT5" s="11"/>
      <c r="JPU5" s="11"/>
      <c r="JPV5" s="11"/>
      <c r="JPW5" s="11"/>
      <c r="JPX5" s="11"/>
      <c r="JPY5" s="11"/>
      <c r="JPZ5" s="11"/>
      <c r="JQA5" s="11"/>
      <c r="JQB5" s="11"/>
      <c r="JQC5" s="11"/>
      <c r="JQD5" s="11"/>
      <c r="JQE5" s="11"/>
      <c r="JQF5" s="11"/>
      <c r="JQG5" s="11"/>
      <c r="JQH5" s="11"/>
      <c r="JQI5" s="11"/>
      <c r="JQJ5" s="11"/>
      <c r="JQK5" s="11"/>
      <c r="JQL5" s="11"/>
      <c r="JQM5" s="11"/>
      <c r="JQN5" s="11"/>
      <c r="JQO5" s="11"/>
      <c r="JQP5" s="11"/>
      <c r="JQQ5" s="11"/>
      <c r="JQR5" s="11"/>
      <c r="JQS5" s="11"/>
      <c r="JQT5" s="11"/>
      <c r="JQU5" s="11"/>
      <c r="JQV5" s="11"/>
      <c r="JQW5" s="11"/>
      <c r="JQX5" s="11"/>
      <c r="JQY5" s="11"/>
      <c r="JQZ5" s="11"/>
      <c r="JRA5" s="11"/>
      <c r="JRB5" s="11"/>
      <c r="JRC5" s="11"/>
      <c r="JRD5" s="11"/>
      <c r="JRE5" s="11"/>
      <c r="JRF5" s="11"/>
      <c r="JRG5" s="11"/>
      <c r="JRH5" s="11"/>
      <c r="JRI5" s="11"/>
      <c r="JRJ5" s="11"/>
      <c r="JRK5" s="11"/>
      <c r="JRL5" s="11"/>
      <c r="JRM5" s="11"/>
      <c r="JRN5" s="11"/>
      <c r="JRO5" s="11"/>
      <c r="JRP5" s="11"/>
      <c r="JRQ5" s="11"/>
      <c r="JRR5" s="11"/>
      <c r="JRS5" s="11"/>
      <c r="JRT5" s="11"/>
      <c r="JRU5" s="11"/>
      <c r="JRV5" s="11"/>
      <c r="JRW5" s="11"/>
      <c r="JRX5" s="11"/>
      <c r="JRY5" s="11"/>
      <c r="JRZ5" s="11"/>
      <c r="JSA5" s="11"/>
      <c r="JSB5" s="11"/>
      <c r="JSC5" s="11"/>
      <c r="JSD5" s="11"/>
      <c r="JSE5" s="11"/>
      <c r="JSF5" s="11"/>
      <c r="JSG5" s="11"/>
      <c r="JSH5" s="11"/>
      <c r="JSI5" s="11"/>
      <c r="JSJ5" s="11"/>
      <c r="JSK5" s="11"/>
      <c r="JSL5" s="11"/>
      <c r="JSM5" s="11"/>
      <c r="JSN5" s="11"/>
      <c r="JSO5" s="11"/>
      <c r="JSP5" s="11"/>
      <c r="JSQ5" s="11"/>
      <c r="JSR5" s="11"/>
      <c r="JSS5" s="11"/>
      <c r="JST5" s="11"/>
      <c r="JSU5" s="11"/>
      <c r="JSV5" s="11"/>
      <c r="JSW5" s="11"/>
      <c r="JSX5" s="11"/>
      <c r="JSY5" s="11"/>
      <c r="JSZ5" s="11"/>
      <c r="JTA5" s="11"/>
      <c r="JTB5" s="11"/>
      <c r="JTC5" s="11"/>
      <c r="JTD5" s="11"/>
      <c r="JTE5" s="11"/>
      <c r="JTF5" s="11"/>
      <c r="JTG5" s="11"/>
      <c r="JTH5" s="11"/>
      <c r="JTI5" s="11"/>
      <c r="JTJ5" s="11"/>
      <c r="JTK5" s="11"/>
      <c r="JTL5" s="11"/>
      <c r="JTM5" s="11"/>
      <c r="JTN5" s="11"/>
      <c r="JTO5" s="11"/>
      <c r="JTP5" s="11"/>
      <c r="JTQ5" s="11"/>
      <c r="JTR5" s="11"/>
      <c r="JTS5" s="11"/>
      <c r="JTT5" s="11"/>
      <c r="JTU5" s="11"/>
      <c r="JTV5" s="11"/>
      <c r="JTW5" s="11"/>
      <c r="JTX5" s="11"/>
      <c r="JTY5" s="11"/>
      <c r="JTZ5" s="11"/>
      <c r="JUA5" s="11"/>
      <c r="JUB5" s="11"/>
      <c r="JUC5" s="11"/>
      <c r="JUD5" s="11"/>
      <c r="JUE5" s="11"/>
      <c r="JUF5" s="11"/>
      <c r="JUG5" s="11"/>
      <c r="JUH5" s="11"/>
      <c r="JUI5" s="11"/>
      <c r="JUJ5" s="11"/>
      <c r="JUK5" s="11"/>
      <c r="JUL5" s="11"/>
      <c r="JUM5" s="11"/>
      <c r="JUN5" s="11"/>
      <c r="JUO5" s="11"/>
      <c r="JUP5" s="11"/>
      <c r="JUQ5" s="11"/>
      <c r="JUR5" s="11"/>
      <c r="JUS5" s="11"/>
      <c r="JUT5" s="11"/>
      <c r="JUU5" s="11"/>
      <c r="JUV5" s="11"/>
      <c r="JUW5" s="11"/>
      <c r="JUX5" s="11"/>
      <c r="JUY5" s="11"/>
      <c r="JUZ5" s="11"/>
      <c r="JVA5" s="11"/>
      <c r="JVB5" s="11"/>
      <c r="JVC5" s="11"/>
      <c r="JVD5" s="11"/>
      <c r="JVE5" s="11"/>
      <c r="JVF5" s="11"/>
      <c r="JVG5" s="11"/>
      <c r="JVH5" s="11"/>
      <c r="JVI5" s="11"/>
      <c r="JVJ5" s="11"/>
      <c r="JVK5" s="11"/>
      <c r="JVL5" s="11"/>
      <c r="JVM5" s="11"/>
      <c r="JVN5" s="11"/>
      <c r="JVO5" s="11"/>
      <c r="JVP5" s="11"/>
      <c r="JVQ5" s="11"/>
      <c r="JVR5" s="11"/>
      <c r="JVS5" s="11"/>
      <c r="JVT5" s="11"/>
      <c r="JVU5" s="11"/>
      <c r="JVV5" s="11"/>
      <c r="JVW5" s="11"/>
      <c r="JVX5" s="11"/>
      <c r="JVY5" s="11"/>
      <c r="JVZ5" s="11"/>
      <c r="JWA5" s="11"/>
      <c r="JWB5" s="11"/>
      <c r="JWC5" s="11"/>
      <c r="JWD5" s="11"/>
      <c r="JWE5" s="11"/>
      <c r="JWF5" s="11"/>
      <c r="JWG5" s="11"/>
      <c r="JWH5" s="11"/>
      <c r="JWI5" s="11"/>
      <c r="JWJ5" s="11"/>
      <c r="JWK5" s="11"/>
      <c r="JWL5" s="11"/>
      <c r="JWM5" s="11"/>
      <c r="JWN5" s="11"/>
      <c r="JWO5" s="11"/>
      <c r="JWP5" s="11"/>
      <c r="JWQ5" s="11"/>
      <c r="JWR5" s="11"/>
      <c r="JWS5" s="11"/>
      <c r="JWT5" s="11"/>
      <c r="JWU5" s="11"/>
      <c r="JWV5" s="11"/>
      <c r="JWW5" s="11"/>
      <c r="JWX5" s="11"/>
      <c r="JWY5" s="11"/>
      <c r="JWZ5" s="11"/>
      <c r="JXA5" s="11"/>
      <c r="JXB5" s="11"/>
      <c r="JXC5" s="11"/>
      <c r="JXD5" s="11"/>
      <c r="JXE5" s="11"/>
      <c r="JXF5" s="11"/>
      <c r="JXG5" s="11"/>
      <c r="JXH5" s="11"/>
      <c r="JXI5" s="11"/>
      <c r="JXJ5" s="11"/>
      <c r="JXK5" s="11"/>
      <c r="JXL5" s="11"/>
      <c r="JXM5" s="11"/>
      <c r="JXN5" s="11"/>
      <c r="JXO5" s="11"/>
      <c r="JXP5" s="11"/>
      <c r="JXQ5" s="11"/>
      <c r="JXR5" s="11"/>
      <c r="JXS5" s="11"/>
      <c r="JXT5" s="11"/>
      <c r="JXU5" s="11"/>
      <c r="JXV5" s="11"/>
      <c r="JXW5" s="11"/>
      <c r="JXX5" s="11"/>
      <c r="JXY5" s="11"/>
      <c r="JXZ5" s="11"/>
      <c r="JYA5" s="11"/>
      <c r="JYB5" s="11"/>
      <c r="JYC5" s="11"/>
      <c r="JYD5" s="11"/>
      <c r="JYE5" s="11"/>
      <c r="JYF5" s="11"/>
      <c r="JYG5" s="11"/>
      <c r="JYH5" s="11"/>
      <c r="JYI5" s="11"/>
      <c r="JYJ5" s="11"/>
      <c r="JYK5" s="11"/>
      <c r="JYL5" s="11"/>
      <c r="JYM5" s="11"/>
      <c r="JYN5" s="11"/>
      <c r="JYO5" s="11"/>
      <c r="JYP5" s="11"/>
      <c r="JYQ5" s="11"/>
      <c r="JYR5" s="11"/>
      <c r="JYS5" s="11"/>
      <c r="JYT5" s="11"/>
      <c r="JYU5" s="11"/>
      <c r="JYV5" s="11"/>
      <c r="JYW5" s="11"/>
      <c r="JYX5" s="11"/>
      <c r="JYY5" s="11"/>
      <c r="JYZ5" s="11"/>
      <c r="JZA5" s="11"/>
      <c r="JZB5" s="11"/>
      <c r="JZC5" s="11"/>
      <c r="JZD5" s="11"/>
      <c r="JZE5" s="11"/>
      <c r="JZF5" s="11"/>
      <c r="JZG5" s="11"/>
      <c r="JZH5" s="11"/>
      <c r="JZI5" s="11"/>
      <c r="JZJ5" s="11"/>
      <c r="JZK5" s="11"/>
      <c r="JZL5" s="11"/>
      <c r="JZM5" s="11"/>
      <c r="JZN5" s="11"/>
      <c r="JZO5" s="11"/>
      <c r="JZP5" s="11"/>
      <c r="JZQ5" s="11"/>
      <c r="JZR5" s="11"/>
      <c r="JZS5" s="11"/>
      <c r="JZT5" s="11"/>
      <c r="JZU5" s="11"/>
      <c r="JZV5" s="11"/>
      <c r="JZW5" s="11"/>
      <c r="JZX5" s="11"/>
      <c r="JZY5" s="11"/>
      <c r="JZZ5" s="11"/>
      <c r="KAA5" s="11"/>
      <c r="KAB5" s="11"/>
      <c r="KAC5" s="11"/>
      <c r="KAD5" s="11"/>
      <c r="KAE5" s="11"/>
      <c r="KAF5" s="11"/>
      <c r="KAG5" s="11"/>
      <c r="KAH5" s="11"/>
      <c r="KAI5" s="11"/>
      <c r="KAJ5" s="11"/>
      <c r="KAK5" s="11"/>
      <c r="KAL5" s="11"/>
      <c r="KAM5" s="11"/>
      <c r="KAN5" s="11"/>
      <c r="KAO5" s="11"/>
      <c r="KAP5" s="11"/>
      <c r="KAQ5" s="11"/>
      <c r="KAR5" s="11"/>
      <c r="KAS5" s="11"/>
      <c r="KAT5" s="11"/>
      <c r="KAU5" s="11"/>
      <c r="KAV5" s="11"/>
      <c r="KAW5" s="11"/>
      <c r="KAX5" s="11"/>
      <c r="KAY5" s="11"/>
      <c r="KAZ5" s="11"/>
      <c r="KBA5" s="11"/>
      <c r="KBB5" s="11"/>
      <c r="KBC5" s="11"/>
      <c r="KBD5" s="11"/>
      <c r="KBE5" s="11"/>
      <c r="KBF5" s="11"/>
      <c r="KBG5" s="11"/>
      <c r="KBH5" s="11"/>
      <c r="KBI5" s="11"/>
      <c r="KBJ5" s="11"/>
      <c r="KBK5" s="11"/>
      <c r="KBL5" s="11"/>
      <c r="KBM5" s="11"/>
      <c r="KBN5" s="11"/>
      <c r="KBO5" s="11"/>
      <c r="KBP5" s="11"/>
      <c r="KBQ5" s="11"/>
      <c r="KBR5" s="11"/>
      <c r="KBS5" s="11"/>
      <c r="KBT5" s="11"/>
      <c r="KBU5" s="11"/>
      <c r="KBV5" s="11"/>
      <c r="KBW5" s="11"/>
      <c r="KBX5" s="11"/>
      <c r="KBY5" s="11"/>
      <c r="KBZ5" s="11"/>
      <c r="KCA5" s="11"/>
      <c r="KCB5" s="11"/>
      <c r="KCC5" s="11"/>
      <c r="KCD5" s="11"/>
      <c r="KCE5" s="11"/>
      <c r="KCF5" s="11"/>
      <c r="KCG5" s="11"/>
      <c r="KCH5" s="11"/>
      <c r="KCI5" s="11"/>
      <c r="KCJ5" s="11"/>
      <c r="KCK5" s="11"/>
      <c r="KCL5" s="11"/>
      <c r="KCM5" s="11"/>
      <c r="KCN5" s="11"/>
      <c r="KCO5" s="11"/>
      <c r="KCP5" s="11"/>
      <c r="KCQ5" s="11"/>
      <c r="KCR5" s="11"/>
      <c r="KCS5" s="11"/>
      <c r="KCT5" s="11"/>
      <c r="KCU5" s="11"/>
      <c r="KCV5" s="11"/>
      <c r="KCW5" s="11"/>
      <c r="KCX5" s="11"/>
      <c r="KCY5" s="11"/>
      <c r="KCZ5" s="11"/>
      <c r="KDA5" s="11"/>
      <c r="KDB5" s="11"/>
      <c r="KDC5" s="11"/>
      <c r="KDD5" s="11"/>
      <c r="KDE5" s="11"/>
      <c r="KDF5" s="11"/>
      <c r="KDG5" s="11"/>
      <c r="KDH5" s="11"/>
      <c r="KDI5" s="11"/>
      <c r="KDJ5" s="11"/>
      <c r="KDK5" s="11"/>
      <c r="KDL5" s="11"/>
      <c r="KDM5" s="11"/>
      <c r="KDN5" s="11"/>
      <c r="KDO5" s="11"/>
      <c r="KDP5" s="11"/>
      <c r="KDQ5" s="11"/>
      <c r="KDR5" s="11"/>
      <c r="KDS5" s="11"/>
      <c r="KDT5" s="11"/>
      <c r="KDU5" s="11"/>
      <c r="KDV5" s="11"/>
      <c r="KDW5" s="11"/>
      <c r="KDX5" s="11"/>
      <c r="KDY5" s="11"/>
      <c r="KDZ5" s="11"/>
      <c r="KEA5" s="11"/>
      <c r="KEB5" s="11"/>
      <c r="KEC5" s="11"/>
      <c r="KED5" s="11"/>
      <c r="KEE5" s="11"/>
      <c r="KEF5" s="11"/>
      <c r="KEG5" s="11"/>
      <c r="KEH5" s="11"/>
      <c r="KEI5" s="11"/>
      <c r="KEJ5" s="11"/>
      <c r="KEK5" s="11"/>
      <c r="KEL5" s="11"/>
      <c r="KEM5" s="11"/>
      <c r="KEN5" s="11"/>
      <c r="KEO5" s="11"/>
      <c r="KEP5" s="11"/>
      <c r="KEQ5" s="11"/>
      <c r="KER5" s="11"/>
      <c r="KES5" s="11"/>
      <c r="KET5" s="11"/>
      <c r="KEU5" s="11"/>
      <c r="KEV5" s="11"/>
      <c r="KEW5" s="11"/>
      <c r="KEX5" s="11"/>
      <c r="KEY5" s="11"/>
      <c r="KEZ5" s="11"/>
      <c r="KFA5" s="11"/>
      <c r="KFB5" s="11"/>
      <c r="KFC5" s="11"/>
      <c r="KFD5" s="11"/>
      <c r="KFE5" s="11"/>
      <c r="KFF5" s="11"/>
      <c r="KFG5" s="11"/>
      <c r="KFH5" s="11"/>
      <c r="KFI5" s="11"/>
      <c r="KFJ5" s="11"/>
      <c r="KFK5" s="11"/>
      <c r="KFL5" s="11"/>
      <c r="KFM5" s="11"/>
      <c r="KFN5" s="11"/>
      <c r="KFO5" s="11"/>
      <c r="KFP5" s="11"/>
      <c r="KFQ5" s="11"/>
      <c r="KFR5" s="11"/>
      <c r="KFS5" s="11"/>
      <c r="KFT5" s="11"/>
      <c r="KFU5" s="11"/>
      <c r="KFV5" s="11"/>
      <c r="KFW5" s="11"/>
      <c r="KFX5" s="11"/>
      <c r="KFY5" s="11"/>
      <c r="KFZ5" s="11"/>
      <c r="KGA5" s="11"/>
      <c r="KGB5" s="11"/>
      <c r="KGC5" s="11"/>
      <c r="KGD5" s="11"/>
      <c r="KGE5" s="11"/>
      <c r="KGF5" s="11"/>
      <c r="KGG5" s="11"/>
      <c r="KGH5" s="11"/>
      <c r="KGI5" s="11"/>
      <c r="KGJ5" s="11"/>
      <c r="KGK5" s="11"/>
      <c r="KGL5" s="11"/>
      <c r="KGM5" s="11"/>
      <c r="KGN5" s="11"/>
      <c r="KGO5" s="11"/>
      <c r="KGP5" s="11"/>
      <c r="KGQ5" s="11"/>
      <c r="KGR5" s="11"/>
      <c r="KGS5" s="11"/>
      <c r="KGT5" s="11"/>
      <c r="KGU5" s="11"/>
      <c r="KGV5" s="11"/>
      <c r="KGW5" s="11"/>
      <c r="KGX5" s="11"/>
      <c r="KGY5" s="11"/>
      <c r="KGZ5" s="11"/>
      <c r="KHA5" s="11"/>
      <c r="KHB5" s="11"/>
      <c r="KHC5" s="11"/>
      <c r="KHD5" s="11"/>
      <c r="KHE5" s="11"/>
      <c r="KHF5" s="11"/>
      <c r="KHG5" s="11"/>
      <c r="KHH5" s="11"/>
      <c r="KHI5" s="11"/>
      <c r="KHJ5" s="11"/>
      <c r="KHK5" s="11"/>
      <c r="KHL5" s="11"/>
      <c r="KHM5" s="11"/>
      <c r="KHN5" s="11"/>
      <c r="KHO5" s="11"/>
      <c r="KHP5" s="11"/>
      <c r="KHQ5" s="11"/>
      <c r="KHR5" s="11"/>
      <c r="KHS5" s="11"/>
      <c r="KHT5" s="11"/>
      <c r="KHU5" s="11"/>
      <c r="KHV5" s="11"/>
      <c r="KHW5" s="11"/>
      <c r="KHX5" s="11"/>
      <c r="KHY5" s="11"/>
      <c r="KHZ5" s="11"/>
      <c r="KIA5" s="11"/>
      <c r="KIB5" s="11"/>
      <c r="KIC5" s="11"/>
      <c r="KID5" s="11"/>
      <c r="KIE5" s="11"/>
      <c r="KIF5" s="11"/>
      <c r="KIG5" s="11"/>
      <c r="KIH5" s="11"/>
      <c r="KII5" s="11"/>
      <c r="KIJ5" s="11"/>
      <c r="KIK5" s="11"/>
      <c r="KIL5" s="11"/>
      <c r="KIM5" s="11"/>
      <c r="KIN5" s="11"/>
      <c r="KIO5" s="11"/>
      <c r="KIP5" s="11"/>
      <c r="KIQ5" s="11"/>
      <c r="KIR5" s="11"/>
      <c r="KIS5" s="11"/>
      <c r="KIT5" s="11"/>
      <c r="KIU5" s="11"/>
      <c r="KIV5" s="11"/>
      <c r="KIW5" s="11"/>
      <c r="KIX5" s="11"/>
      <c r="KIY5" s="11"/>
      <c r="KIZ5" s="11"/>
      <c r="KJA5" s="11"/>
      <c r="KJB5" s="11"/>
      <c r="KJC5" s="11"/>
      <c r="KJD5" s="11"/>
      <c r="KJE5" s="11"/>
      <c r="KJF5" s="11"/>
      <c r="KJG5" s="11"/>
      <c r="KJH5" s="11"/>
      <c r="KJI5" s="11"/>
      <c r="KJJ5" s="11"/>
      <c r="KJK5" s="11"/>
      <c r="KJL5" s="11"/>
      <c r="KJM5" s="11"/>
      <c r="KJN5" s="11"/>
      <c r="KJO5" s="11"/>
      <c r="KJP5" s="11"/>
      <c r="KJQ5" s="11"/>
      <c r="KJR5" s="11"/>
      <c r="KJS5" s="11"/>
      <c r="KJT5" s="11"/>
      <c r="KJU5" s="11"/>
      <c r="KJV5" s="11"/>
      <c r="KJW5" s="11"/>
      <c r="KJX5" s="11"/>
      <c r="KJY5" s="11"/>
      <c r="KJZ5" s="11"/>
      <c r="KKA5" s="11"/>
      <c r="KKB5" s="11"/>
      <c r="KKC5" s="11"/>
      <c r="KKD5" s="11"/>
      <c r="KKE5" s="11"/>
      <c r="KKF5" s="11"/>
      <c r="KKG5" s="11"/>
      <c r="KKH5" s="11"/>
      <c r="KKI5" s="11"/>
      <c r="KKJ5" s="11"/>
      <c r="KKK5" s="11"/>
      <c r="KKL5" s="11"/>
      <c r="KKM5" s="11"/>
      <c r="KKN5" s="11"/>
      <c r="KKO5" s="11"/>
      <c r="KKP5" s="11"/>
      <c r="KKQ5" s="11"/>
      <c r="KKR5" s="11"/>
      <c r="KKS5" s="11"/>
      <c r="KKT5" s="11"/>
      <c r="KKU5" s="11"/>
      <c r="KKV5" s="11"/>
      <c r="KKW5" s="11"/>
      <c r="KKX5" s="11"/>
      <c r="KKY5" s="11"/>
      <c r="KKZ5" s="11"/>
      <c r="KLA5" s="11"/>
      <c r="KLB5" s="11"/>
      <c r="KLC5" s="11"/>
      <c r="KLD5" s="11"/>
      <c r="KLE5" s="11"/>
      <c r="KLF5" s="11"/>
      <c r="KLG5" s="11"/>
      <c r="KLH5" s="11"/>
      <c r="KLI5" s="11"/>
      <c r="KLJ5" s="11"/>
      <c r="KLK5" s="11"/>
      <c r="KLL5" s="11"/>
      <c r="KLM5" s="11"/>
      <c r="KLN5" s="11"/>
      <c r="KLO5" s="11"/>
      <c r="KLP5" s="11"/>
      <c r="KLQ5" s="11"/>
      <c r="KLR5" s="11"/>
      <c r="KLS5" s="11"/>
      <c r="KLT5" s="11"/>
      <c r="KLU5" s="11"/>
      <c r="KLV5" s="11"/>
      <c r="KLW5" s="11"/>
      <c r="KLX5" s="11"/>
      <c r="KLY5" s="11"/>
      <c r="KLZ5" s="11"/>
      <c r="KMA5" s="11"/>
      <c r="KMB5" s="11"/>
      <c r="KMC5" s="11"/>
      <c r="KMD5" s="11"/>
      <c r="KME5" s="11"/>
      <c r="KMF5" s="11"/>
      <c r="KMG5" s="11"/>
      <c r="KMH5" s="11"/>
      <c r="KMI5" s="11"/>
      <c r="KMJ5" s="11"/>
      <c r="KMK5" s="11"/>
      <c r="KML5" s="11"/>
      <c r="KMM5" s="11"/>
      <c r="KMN5" s="11"/>
      <c r="KMO5" s="11"/>
      <c r="KMP5" s="11"/>
      <c r="KMQ5" s="11"/>
      <c r="KMR5" s="11"/>
      <c r="KMS5" s="11"/>
      <c r="KMT5" s="11"/>
      <c r="KMU5" s="11"/>
      <c r="KMV5" s="11"/>
      <c r="KMW5" s="11"/>
      <c r="KMX5" s="11"/>
      <c r="KMY5" s="11"/>
      <c r="KMZ5" s="11"/>
      <c r="KNA5" s="11"/>
      <c r="KNB5" s="11"/>
      <c r="KNC5" s="11"/>
      <c r="KND5" s="11"/>
      <c r="KNE5" s="11"/>
      <c r="KNF5" s="11"/>
      <c r="KNG5" s="11"/>
      <c r="KNH5" s="11"/>
      <c r="KNI5" s="11"/>
      <c r="KNJ5" s="11"/>
      <c r="KNK5" s="11"/>
      <c r="KNL5" s="11"/>
      <c r="KNM5" s="11"/>
      <c r="KNN5" s="11"/>
      <c r="KNO5" s="11"/>
      <c r="KNP5" s="11"/>
      <c r="KNQ5" s="11"/>
      <c r="KNR5" s="11"/>
      <c r="KNS5" s="11"/>
      <c r="KNT5" s="11"/>
      <c r="KNU5" s="11"/>
      <c r="KNV5" s="11"/>
      <c r="KNW5" s="11"/>
      <c r="KNX5" s="11"/>
      <c r="KNY5" s="11"/>
      <c r="KNZ5" s="11"/>
      <c r="KOA5" s="11"/>
      <c r="KOB5" s="11"/>
      <c r="KOC5" s="11"/>
      <c r="KOD5" s="11"/>
      <c r="KOE5" s="11"/>
      <c r="KOF5" s="11"/>
      <c r="KOG5" s="11"/>
      <c r="KOH5" s="11"/>
      <c r="KOI5" s="11"/>
      <c r="KOJ5" s="11"/>
      <c r="KOK5" s="11"/>
      <c r="KOL5" s="11"/>
      <c r="KOM5" s="11"/>
      <c r="KON5" s="11"/>
      <c r="KOO5" s="11"/>
      <c r="KOP5" s="11"/>
      <c r="KOQ5" s="11"/>
      <c r="KOR5" s="11"/>
      <c r="KOS5" s="11"/>
      <c r="KOT5" s="11"/>
      <c r="KOU5" s="11"/>
      <c r="KOV5" s="11"/>
      <c r="KOW5" s="11"/>
      <c r="KOX5" s="11"/>
      <c r="KOY5" s="11"/>
      <c r="KOZ5" s="11"/>
      <c r="KPA5" s="11"/>
      <c r="KPB5" s="11"/>
      <c r="KPC5" s="11"/>
      <c r="KPD5" s="11"/>
      <c r="KPE5" s="11"/>
      <c r="KPF5" s="11"/>
      <c r="KPG5" s="11"/>
      <c r="KPH5" s="11"/>
      <c r="KPI5" s="11"/>
      <c r="KPJ5" s="11"/>
      <c r="KPK5" s="11"/>
      <c r="KPL5" s="11"/>
      <c r="KPM5" s="11"/>
      <c r="KPN5" s="11"/>
      <c r="KPO5" s="11"/>
      <c r="KPP5" s="11"/>
      <c r="KPQ5" s="11"/>
      <c r="KPR5" s="11"/>
      <c r="KPS5" s="11"/>
      <c r="KPT5" s="11"/>
      <c r="KPU5" s="11"/>
      <c r="KPV5" s="11"/>
      <c r="KPW5" s="11"/>
      <c r="KPX5" s="11"/>
      <c r="KPY5" s="11"/>
      <c r="KPZ5" s="11"/>
      <c r="KQA5" s="11"/>
      <c r="KQB5" s="11"/>
      <c r="KQC5" s="11"/>
      <c r="KQD5" s="11"/>
      <c r="KQE5" s="11"/>
      <c r="KQF5" s="11"/>
      <c r="KQG5" s="11"/>
      <c r="KQH5" s="11"/>
      <c r="KQI5" s="11"/>
      <c r="KQJ5" s="11"/>
      <c r="KQK5" s="11"/>
      <c r="KQL5" s="11"/>
      <c r="KQM5" s="11"/>
      <c r="KQN5" s="11"/>
      <c r="KQO5" s="11"/>
      <c r="KQP5" s="11"/>
      <c r="KQQ5" s="11"/>
      <c r="KQR5" s="11"/>
      <c r="KQS5" s="11"/>
      <c r="KQT5" s="11"/>
      <c r="KQU5" s="11"/>
      <c r="KQV5" s="11"/>
      <c r="KQW5" s="11"/>
      <c r="KQX5" s="11"/>
      <c r="KQY5" s="11"/>
      <c r="KQZ5" s="11"/>
      <c r="KRA5" s="11"/>
      <c r="KRB5" s="11"/>
      <c r="KRC5" s="11"/>
      <c r="KRD5" s="11"/>
      <c r="KRE5" s="11"/>
      <c r="KRF5" s="11"/>
      <c r="KRG5" s="11"/>
      <c r="KRH5" s="11"/>
      <c r="KRI5" s="11"/>
      <c r="KRJ5" s="11"/>
      <c r="KRK5" s="11"/>
      <c r="KRL5" s="11"/>
      <c r="KRM5" s="11"/>
      <c r="KRN5" s="11"/>
      <c r="KRO5" s="11"/>
      <c r="KRP5" s="11"/>
      <c r="KRQ5" s="11"/>
      <c r="KRR5" s="11"/>
      <c r="KRS5" s="11"/>
      <c r="KRT5" s="11"/>
      <c r="KRU5" s="11"/>
      <c r="KRV5" s="11"/>
      <c r="KRW5" s="11"/>
      <c r="KRX5" s="11"/>
      <c r="KRY5" s="11"/>
      <c r="KRZ5" s="11"/>
      <c r="KSA5" s="11"/>
      <c r="KSB5" s="11"/>
      <c r="KSC5" s="11"/>
      <c r="KSD5" s="11"/>
      <c r="KSE5" s="11"/>
      <c r="KSF5" s="11"/>
      <c r="KSG5" s="11"/>
      <c r="KSH5" s="11"/>
      <c r="KSI5" s="11"/>
      <c r="KSJ5" s="11"/>
      <c r="KSK5" s="11"/>
      <c r="KSL5" s="11"/>
      <c r="KSM5" s="11"/>
      <c r="KSN5" s="11"/>
      <c r="KSO5" s="11"/>
      <c r="KSP5" s="11"/>
      <c r="KSQ5" s="11"/>
      <c r="KSR5" s="11"/>
      <c r="KSS5" s="11"/>
      <c r="KST5" s="11"/>
      <c r="KSU5" s="11"/>
      <c r="KSV5" s="11"/>
      <c r="KSW5" s="11"/>
      <c r="KSX5" s="11"/>
      <c r="KSY5" s="11"/>
      <c r="KSZ5" s="11"/>
      <c r="KTA5" s="11"/>
      <c r="KTB5" s="11"/>
      <c r="KTC5" s="11"/>
      <c r="KTD5" s="11"/>
      <c r="KTE5" s="11"/>
      <c r="KTF5" s="11"/>
      <c r="KTG5" s="11"/>
      <c r="KTH5" s="11"/>
      <c r="KTI5" s="11"/>
      <c r="KTJ5" s="11"/>
      <c r="KTK5" s="11"/>
      <c r="KTL5" s="11"/>
      <c r="KTM5" s="11"/>
      <c r="KTN5" s="11"/>
      <c r="KTO5" s="11"/>
      <c r="KTP5" s="11"/>
      <c r="KTQ5" s="11"/>
      <c r="KTR5" s="11"/>
      <c r="KTS5" s="11"/>
      <c r="KTT5" s="11"/>
      <c r="KTU5" s="11"/>
      <c r="KTV5" s="11"/>
      <c r="KTW5" s="11"/>
      <c r="KTX5" s="11"/>
      <c r="KTY5" s="11"/>
      <c r="KTZ5" s="11"/>
      <c r="KUA5" s="11"/>
      <c r="KUB5" s="11"/>
      <c r="KUC5" s="11"/>
      <c r="KUD5" s="11"/>
      <c r="KUE5" s="11"/>
      <c r="KUF5" s="11"/>
      <c r="KUG5" s="11"/>
      <c r="KUH5" s="11"/>
      <c r="KUI5" s="11"/>
      <c r="KUJ5" s="11"/>
      <c r="KUK5" s="11"/>
      <c r="KUL5" s="11"/>
      <c r="KUM5" s="11"/>
      <c r="KUN5" s="11"/>
      <c r="KUO5" s="11"/>
      <c r="KUP5" s="11"/>
      <c r="KUQ5" s="11"/>
      <c r="KUR5" s="11"/>
      <c r="KUS5" s="11"/>
      <c r="KUT5" s="11"/>
      <c r="KUU5" s="11"/>
      <c r="KUV5" s="11"/>
      <c r="KUW5" s="11"/>
      <c r="KUX5" s="11"/>
      <c r="KUY5" s="11"/>
      <c r="KUZ5" s="11"/>
      <c r="KVA5" s="11"/>
      <c r="KVB5" s="11"/>
      <c r="KVC5" s="11"/>
      <c r="KVD5" s="11"/>
      <c r="KVE5" s="11"/>
      <c r="KVF5" s="11"/>
      <c r="KVG5" s="11"/>
      <c r="KVH5" s="11"/>
      <c r="KVI5" s="11"/>
      <c r="KVJ5" s="11"/>
      <c r="KVK5" s="11"/>
      <c r="KVL5" s="11"/>
      <c r="KVM5" s="11"/>
      <c r="KVN5" s="11"/>
      <c r="KVO5" s="11"/>
      <c r="KVP5" s="11"/>
      <c r="KVQ5" s="11"/>
      <c r="KVR5" s="11"/>
      <c r="KVS5" s="11"/>
      <c r="KVT5" s="11"/>
      <c r="KVU5" s="11"/>
      <c r="KVV5" s="11"/>
      <c r="KVW5" s="11"/>
      <c r="KVX5" s="11"/>
      <c r="KVY5" s="11"/>
      <c r="KVZ5" s="11"/>
      <c r="KWA5" s="11"/>
      <c r="KWB5" s="11"/>
      <c r="KWC5" s="11"/>
      <c r="KWD5" s="11"/>
      <c r="KWE5" s="11"/>
      <c r="KWF5" s="11"/>
      <c r="KWG5" s="11"/>
      <c r="KWH5" s="11"/>
      <c r="KWI5" s="11"/>
      <c r="KWJ5" s="11"/>
      <c r="KWK5" s="11"/>
      <c r="KWL5" s="11"/>
      <c r="KWM5" s="11"/>
      <c r="KWN5" s="11"/>
      <c r="KWO5" s="11"/>
      <c r="KWP5" s="11"/>
      <c r="KWQ5" s="11"/>
      <c r="KWR5" s="11"/>
      <c r="KWS5" s="11"/>
      <c r="KWT5" s="11"/>
      <c r="KWU5" s="11"/>
      <c r="KWV5" s="11"/>
      <c r="KWW5" s="11"/>
      <c r="KWX5" s="11"/>
      <c r="KWY5" s="11"/>
      <c r="KWZ5" s="11"/>
      <c r="KXA5" s="11"/>
      <c r="KXB5" s="11"/>
      <c r="KXC5" s="11"/>
      <c r="KXD5" s="11"/>
      <c r="KXE5" s="11"/>
      <c r="KXF5" s="11"/>
      <c r="KXG5" s="11"/>
      <c r="KXH5" s="11"/>
      <c r="KXI5" s="11"/>
      <c r="KXJ5" s="11"/>
      <c r="KXK5" s="11"/>
      <c r="KXL5" s="11"/>
      <c r="KXM5" s="11"/>
      <c r="KXN5" s="11"/>
      <c r="KXO5" s="11"/>
      <c r="KXP5" s="11"/>
      <c r="KXQ5" s="11"/>
      <c r="KXR5" s="11"/>
      <c r="KXS5" s="11"/>
      <c r="KXT5" s="11"/>
      <c r="KXU5" s="11"/>
      <c r="KXV5" s="11"/>
      <c r="KXW5" s="11"/>
      <c r="KXX5" s="11"/>
      <c r="KXY5" s="11"/>
      <c r="KXZ5" s="11"/>
      <c r="KYA5" s="11"/>
      <c r="KYB5" s="11"/>
      <c r="KYC5" s="11"/>
      <c r="KYD5" s="11"/>
      <c r="KYE5" s="11"/>
      <c r="KYF5" s="11"/>
      <c r="KYG5" s="11"/>
      <c r="KYH5" s="11"/>
      <c r="KYI5" s="11"/>
      <c r="KYJ5" s="11"/>
      <c r="KYK5" s="11"/>
      <c r="KYL5" s="11"/>
      <c r="KYM5" s="11"/>
      <c r="KYN5" s="11"/>
      <c r="KYO5" s="11"/>
      <c r="KYP5" s="11"/>
      <c r="KYQ5" s="11"/>
      <c r="KYR5" s="11"/>
      <c r="KYS5" s="11"/>
      <c r="KYT5" s="11"/>
      <c r="KYU5" s="11"/>
      <c r="KYV5" s="11"/>
      <c r="KYW5" s="11"/>
      <c r="KYX5" s="11"/>
      <c r="KYY5" s="11"/>
      <c r="KYZ5" s="11"/>
      <c r="KZA5" s="11"/>
      <c r="KZB5" s="11"/>
      <c r="KZC5" s="11"/>
      <c r="KZD5" s="11"/>
      <c r="KZE5" s="11"/>
      <c r="KZF5" s="11"/>
      <c r="KZG5" s="11"/>
      <c r="KZH5" s="11"/>
      <c r="KZI5" s="11"/>
      <c r="KZJ5" s="11"/>
      <c r="KZK5" s="11"/>
      <c r="KZL5" s="11"/>
      <c r="KZM5" s="11"/>
      <c r="KZN5" s="11"/>
      <c r="KZO5" s="11"/>
      <c r="KZP5" s="11"/>
      <c r="KZQ5" s="11"/>
      <c r="KZR5" s="11"/>
      <c r="KZS5" s="11"/>
      <c r="KZT5" s="11"/>
      <c r="KZU5" s="11"/>
      <c r="KZV5" s="11"/>
      <c r="KZW5" s="11"/>
      <c r="KZX5" s="11"/>
      <c r="KZY5" s="11"/>
      <c r="KZZ5" s="11"/>
      <c r="LAA5" s="11"/>
      <c r="LAB5" s="11"/>
      <c r="LAC5" s="11"/>
      <c r="LAD5" s="11"/>
      <c r="LAE5" s="11"/>
      <c r="LAF5" s="11"/>
      <c r="LAG5" s="11"/>
      <c r="LAH5" s="11"/>
      <c r="LAI5" s="11"/>
      <c r="LAJ5" s="11"/>
      <c r="LAK5" s="11"/>
      <c r="LAL5" s="11"/>
      <c r="LAM5" s="11"/>
      <c r="LAN5" s="11"/>
      <c r="LAO5" s="11"/>
      <c r="LAP5" s="11"/>
      <c r="LAQ5" s="11"/>
      <c r="LAR5" s="11"/>
      <c r="LAS5" s="11"/>
      <c r="LAT5" s="11"/>
      <c r="LAU5" s="11"/>
      <c r="LAV5" s="11"/>
      <c r="LAW5" s="11"/>
      <c r="LAX5" s="11"/>
      <c r="LAY5" s="11"/>
      <c r="LAZ5" s="11"/>
      <c r="LBA5" s="11"/>
      <c r="LBB5" s="11"/>
      <c r="LBC5" s="11"/>
      <c r="LBD5" s="11"/>
      <c r="LBE5" s="11"/>
      <c r="LBF5" s="11"/>
      <c r="LBG5" s="11"/>
      <c r="LBH5" s="11"/>
      <c r="LBI5" s="11"/>
      <c r="LBJ5" s="11"/>
      <c r="LBK5" s="11"/>
      <c r="LBL5" s="11"/>
      <c r="LBM5" s="11"/>
      <c r="LBN5" s="11"/>
      <c r="LBO5" s="11"/>
      <c r="LBP5" s="11"/>
      <c r="LBQ5" s="11"/>
      <c r="LBR5" s="11"/>
      <c r="LBS5" s="11"/>
      <c r="LBT5" s="11"/>
      <c r="LBU5" s="11"/>
      <c r="LBV5" s="11"/>
      <c r="LBW5" s="11"/>
      <c r="LBX5" s="11"/>
      <c r="LBY5" s="11"/>
      <c r="LBZ5" s="11"/>
      <c r="LCA5" s="11"/>
      <c r="LCB5" s="11"/>
      <c r="LCC5" s="11"/>
      <c r="LCD5" s="11"/>
      <c r="LCE5" s="11"/>
      <c r="LCF5" s="11"/>
      <c r="LCG5" s="11"/>
      <c r="LCH5" s="11"/>
      <c r="LCI5" s="11"/>
      <c r="LCJ5" s="11"/>
      <c r="LCK5" s="11"/>
      <c r="LCL5" s="11"/>
      <c r="LCM5" s="11"/>
      <c r="LCN5" s="11"/>
      <c r="LCO5" s="11"/>
      <c r="LCP5" s="11"/>
      <c r="LCQ5" s="11"/>
      <c r="LCR5" s="11"/>
      <c r="LCS5" s="11"/>
      <c r="LCT5" s="11"/>
      <c r="LCU5" s="11"/>
      <c r="LCV5" s="11"/>
      <c r="LCW5" s="11"/>
      <c r="LCX5" s="11"/>
      <c r="LCY5" s="11"/>
      <c r="LCZ5" s="11"/>
      <c r="LDA5" s="11"/>
      <c r="LDB5" s="11"/>
      <c r="LDC5" s="11"/>
      <c r="LDD5" s="11"/>
      <c r="LDE5" s="11"/>
      <c r="LDF5" s="11"/>
      <c r="LDG5" s="11"/>
      <c r="LDH5" s="11"/>
      <c r="LDI5" s="11"/>
      <c r="LDJ5" s="11"/>
      <c r="LDK5" s="11"/>
      <c r="LDL5" s="11"/>
      <c r="LDM5" s="11"/>
      <c r="LDN5" s="11"/>
      <c r="LDO5" s="11"/>
      <c r="LDP5" s="11"/>
      <c r="LDQ5" s="11"/>
      <c r="LDR5" s="11"/>
      <c r="LDS5" s="11"/>
      <c r="LDT5" s="11"/>
      <c r="LDU5" s="11"/>
      <c r="LDV5" s="11"/>
      <c r="LDW5" s="11"/>
      <c r="LDX5" s="11"/>
      <c r="LDY5" s="11"/>
      <c r="LDZ5" s="11"/>
      <c r="LEA5" s="11"/>
      <c r="LEB5" s="11"/>
      <c r="LEC5" s="11"/>
      <c r="LED5" s="11"/>
      <c r="LEE5" s="11"/>
      <c r="LEF5" s="11"/>
      <c r="LEG5" s="11"/>
      <c r="LEH5" s="11"/>
      <c r="LEI5" s="11"/>
      <c r="LEJ5" s="11"/>
      <c r="LEK5" s="11"/>
      <c r="LEL5" s="11"/>
      <c r="LEM5" s="11"/>
      <c r="LEN5" s="11"/>
      <c r="LEO5" s="11"/>
      <c r="LEP5" s="11"/>
      <c r="LEQ5" s="11"/>
      <c r="LER5" s="11"/>
      <c r="LES5" s="11"/>
      <c r="LET5" s="11"/>
      <c r="LEU5" s="11"/>
      <c r="LEV5" s="11"/>
      <c r="LEW5" s="11"/>
      <c r="LEX5" s="11"/>
      <c r="LEY5" s="11"/>
      <c r="LEZ5" s="11"/>
      <c r="LFA5" s="11"/>
      <c r="LFB5" s="11"/>
      <c r="LFC5" s="11"/>
      <c r="LFD5" s="11"/>
      <c r="LFE5" s="11"/>
      <c r="LFF5" s="11"/>
      <c r="LFG5" s="11"/>
      <c r="LFH5" s="11"/>
      <c r="LFI5" s="11"/>
      <c r="LFJ5" s="11"/>
      <c r="LFK5" s="11"/>
      <c r="LFL5" s="11"/>
      <c r="LFM5" s="11"/>
      <c r="LFN5" s="11"/>
      <c r="LFO5" s="11"/>
      <c r="LFP5" s="11"/>
      <c r="LFQ5" s="11"/>
      <c r="LFR5" s="11"/>
      <c r="LFS5" s="11"/>
      <c r="LFT5" s="11"/>
      <c r="LFU5" s="11"/>
      <c r="LFV5" s="11"/>
      <c r="LFW5" s="11"/>
      <c r="LFX5" s="11"/>
      <c r="LFY5" s="11"/>
      <c r="LFZ5" s="11"/>
      <c r="LGA5" s="11"/>
      <c r="LGB5" s="11"/>
      <c r="LGC5" s="11"/>
      <c r="LGD5" s="11"/>
      <c r="LGE5" s="11"/>
      <c r="LGF5" s="11"/>
      <c r="LGG5" s="11"/>
      <c r="LGH5" s="11"/>
      <c r="LGI5" s="11"/>
      <c r="LGJ5" s="11"/>
      <c r="LGK5" s="11"/>
      <c r="LGL5" s="11"/>
      <c r="LGM5" s="11"/>
      <c r="LGN5" s="11"/>
      <c r="LGO5" s="11"/>
      <c r="LGP5" s="11"/>
      <c r="LGQ5" s="11"/>
      <c r="LGR5" s="11"/>
      <c r="LGS5" s="11"/>
      <c r="LGT5" s="11"/>
      <c r="LGU5" s="11"/>
      <c r="LGV5" s="11"/>
      <c r="LGW5" s="11"/>
      <c r="LGX5" s="11"/>
      <c r="LGY5" s="11"/>
      <c r="LGZ5" s="11"/>
      <c r="LHA5" s="11"/>
      <c r="LHB5" s="11"/>
      <c r="LHC5" s="11"/>
      <c r="LHD5" s="11"/>
      <c r="LHE5" s="11"/>
      <c r="LHF5" s="11"/>
      <c r="LHG5" s="11"/>
      <c r="LHH5" s="11"/>
      <c r="LHI5" s="11"/>
      <c r="LHJ5" s="11"/>
      <c r="LHK5" s="11"/>
      <c r="LHL5" s="11"/>
      <c r="LHM5" s="11"/>
      <c r="LHN5" s="11"/>
      <c r="LHO5" s="11"/>
      <c r="LHP5" s="11"/>
      <c r="LHQ5" s="11"/>
      <c r="LHR5" s="11"/>
      <c r="LHS5" s="11"/>
      <c r="LHT5" s="11"/>
      <c r="LHU5" s="11"/>
      <c r="LHV5" s="11"/>
      <c r="LHW5" s="11"/>
      <c r="LHX5" s="11"/>
      <c r="LHY5" s="11"/>
      <c r="LHZ5" s="11"/>
      <c r="LIA5" s="11"/>
      <c r="LIB5" s="11"/>
      <c r="LIC5" s="11"/>
      <c r="LID5" s="11"/>
      <c r="LIE5" s="11"/>
      <c r="LIF5" s="11"/>
      <c r="LIG5" s="11"/>
      <c r="LIH5" s="11"/>
      <c r="LII5" s="11"/>
      <c r="LIJ5" s="11"/>
      <c r="LIK5" s="11"/>
      <c r="LIL5" s="11"/>
      <c r="LIM5" s="11"/>
      <c r="LIN5" s="11"/>
      <c r="LIO5" s="11"/>
      <c r="LIP5" s="11"/>
      <c r="LIQ5" s="11"/>
      <c r="LIR5" s="11"/>
      <c r="LIS5" s="11"/>
      <c r="LIT5" s="11"/>
      <c r="LIU5" s="11"/>
      <c r="LIV5" s="11"/>
      <c r="LIW5" s="11"/>
      <c r="LIX5" s="11"/>
      <c r="LIY5" s="11"/>
      <c r="LIZ5" s="11"/>
      <c r="LJA5" s="11"/>
      <c r="LJB5" s="11"/>
      <c r="LJC5" s="11"/>
      <c r="LJD5" s="11"/>
      <c r="LJE5" s="11"/>
      <c r="LJF5" s="11"/>
      <c r="LJG5" s="11"/>
      <c r="LJH5" s="11"/>
      <c r="LJI5" s="11"/>
      <c r="LJJ5" s="11"/>
      <c r="LJK5" s="11"/>
      <c r="LJL5" s="11"/>
      <c r="LJM5" s="11"/>
      <c r="LJN5" s="11"/>
      <c r="LJO5" s="11"/>
      <c r="LJP5" s="11"/>
      <c r="LJQ5" s="11"/>
      <c r="LJR5" s="11"/>
      <c r="LJS5" s="11"/>
      <c r="LJT5" s="11"/>
      <c r="LJU5" s="11"/>
      <c r="LJV5" s="11"/>
      <c r="LJW5" s="11"/>
      <c r="LJX5" s="11"/>
      <c r="LJY5" s="11"/>
      <c r="LJZ5" s="11"/>
      <c r="LKA5" s="11"/>
      <c r="LKB5" s="11"/>
      <c r="LKC5" s="11"/>
      <c r="LKD5" s="11"/>
      <c r="LKE5" s="11"/>
      <c r="LKF5" s="11"/>
      <c r="LKG5" s="11"/>
      <c r="LKH5" s="11"/>
      <c r="LKI5" s="11"/>
      <c r="LKJ5" s="11"/>
      <c r="LKK5" s="11"/>
      <c r="LKL5" s="11"/>
      <c r="LKM5" s="11"/>
      <c r="LKN5" s="11"/>
      <c r="LKO5" s="11"/>
      <c r="LKP5" s="11"/>
      <c r="LKQ5" s="11"/>
      <c r="LKR5" s="11"/>
      <c r="LKS5" s="11"/>
      <c r="LKT5" s="11"/>
      <c r="LKU5" s="11"/>
      <c r="LKV5" s="11"/>
      <c r="LKW5" s="11"/>
      <c r="LKX5" s="11"/>
      <c r="LKY5" s="11"/>
      <c r="LKZ5" s="11"/>
      <c r="LLA5" s="11"/>
      <c r="LLB5" s="11"/>
      <c r="LLC5" s="11"/>
      <c r="LLD5" s="11"/>
      <c r="LLE5" s="11"/>
      <c r="LLF5" s="11"/>
      <c r="LLG5" s="11"/>
      <c r="LLH5" s="11"/>
      <c r="LLI5" s="11"/>
      <c r="LLJ5" s="11"/>
      <c r="LLK5" s="11"/>
      <c r="LLL5" s="11"/>
      <c r="LLM5" s="11"/>
      <c r="LLN5" s="11"/>
      <c r="LLO5" s="11"/>
      <c r="LLP5" s="11"/>
      <c r="LLQ5" s="11"/>
      <c r="LLR5" s="11"/>
      <c r="LLS5" s="11"/>
      <c r="LLT5" s="11"/>
      <c r="LLU5" s="11"/>
      <c r="LLV5" s="11"/>
      <c r="LLW5" s="11"/>
      <c r="LLX5" s="11"/>
      <c r="LLY5" s="11"/>
      <c r="LLZ5" s="11"/>
      <c r="LMA5" s="11"/>
      <c r="LMB5" s="11"/>
      <c r="LMC5" s="11"/>
      <c r="LMD5" s="11"/>
      <c r="LME5" s="11"/>
      <c r="LMF5" s="11"/>
      <c r="LMG5" s="11"/>
      <c r="LMH5" s="11"/>
      <c r="LMI5" s="11"/>
      <c r="LMJ5" s="11"/>
      <c r="LMK5" s="11"/>
      <c r="LML5" s="11"/>
      <c r="LMM5" s="11"/>
      <c r="LMN5" s="11"/>
      <c r="LMO5" s="11"/>
      <c r="LMP5" s="11"/>
      <c r="LMQ5" s="11"/>
      <c r="LMR5" s="11"/>
      <c r="LMS5" s="11"/>
      <c r="LMT5" s="11"/>
      <c r="LMU5" s="11"/>
      <c r="LMV5" s="11"/>
      <c r="LMW5" s="11"/>
      <c r="LMX5" s="11"/>
      <c r="LMY5" s="11"/>
      <c r="LMZ5" s="11"/>
      <c r="LNA5" s="11"/>
      <c r="LNB5" s="11"/>
      <c r="LNC5" s="11"/>
      <c r="LND5" s="11"/>
      <c r="LNE5" s="11"/>
      <c r="LNF5" s="11"/>
      <c r="LNG5" s="11"/>
      <c r="LNH5" s="11"/>
      <c r="LNI5" s="11"/>
      <c r="LNJ5" s="11"/>
      <c r="LNK5" s="11"/>
      <c r="LNL5" s="11"/>
      <c r="LNM5" s="11"/>
      <c r="LNN5" s="11"/>
      <c r="LNO5" s="11"/>
      <c r="LNP5" s="11"/>
      <c r="LNQ5" s="11"/>
      <c r="LNR5" s="11"/>
      <c r="LNS5" s="11"/>
      <c r="LNT5" s="11"/>
      <c r="LNU5" s="11"/>
      <c r="LNV5" s="11"/>
      <c r="LNW5" s="11"/>
      <c r="LNX5" s="11"/>
      <c r="LNY5" s="11"/>
      <c r="LNZ5" s="11"/>
      <c r="LOA5" s="11"/>
      <c r="LOB5" s="11"/>
      <c r="LOC5" s="11"/>
      <c r="LOD5" s="11"/>
      <c r="LOE5" s="11"/>
      <c r="LOF5" s="11"/>
      <c r="LOG5" s="11"/>
      <c r="LOH5" s="11"/>
      <c r="LOI5" s="11"/>
      <c r="LOJ5" s="11"/>
      <c r="LOK5" s="11"/>
      <c r="LOL5" s="11"/>
      <c r="LOM5" s="11"/>
      <c r="LON5" s="11"/>
      <c r="LOO5" s="11"/>
      <c r="LOP5" s="11"/>
      <c r="LOQ5" s="11"/>
      <c r="LOR5" s="11"/>
      <c r="LOS5" s="11"/>
      <c r="LOT5" s="11"/>
      <c r="LOU5" s="11"/>
      <c r="LOV5" s="11"/>
      <c r="LOW5" s="11"/>
      <c r="LOX5" s="11"/>
      <c r="LOY5" s="11"/>
      <c r="LOZ5" s="11"/>
      <c r="LPA5" s="11"/>
      <c r="LPB5" s="11"/>
      <c r="LPC5" s="11"/>
      <c r="LPD5" s="11"/>
      <c r="LPE5" s="11"/>
      <c r="LPF5" s="11"/>
      <c r="LPG5" s="11"/>
      <c r="LPH5" s="11"/>
      <c r="LPI5" s="11"/>
      <c r="LPJ5" s="11"/>
      <c r="LPK5" s="11"/>
      <c r="LPL5" s="11"/>
      <c r="LPM5" s="11"/>
      <c r="LPN5" s="11"/>
      <c r="LPO5" s="11"/>
      <c r="LPP5" s="11"/>
      <c r="LPQ5" s="11"/>
      <c r="LPR5" s="11"/>
      <c r="LPS5" s="11"/>
      <c r="LPT5" s="11"/>
      <c r="LPU5" s="11"/>
      <c r="LPV5" s="11"/>
      <c r="LPW5" s="11"/>
      <c r="LPX5" s="11"/>
      <c r="LPY5" s="11"/>
      <c r="LPZ5" s="11"/>
      <c r="LQA5" s="11"/>
      <c r="LQB5" s="11"/>
      <c r="LQC5" s="11"/>
      <c r="LQD5" s="11"/>
      <c r="LQE5" s="11"/>
      <c r="LQF5" s="11"/>
      <c r="LQG5" s="11"/>
      <c r="LQH5" s="11"/>
      <c r="LQI5" s="11"/>
      <c r="LQJ5" s="11"/>
      <c r="LQK5" s="11"/>
      <c r="LQL5" s="11"/>
      <c r="LQM5" s="11"/>
      <c r="LQN5" s="11"/>
      <c r="LQO5" s="11"/>
      <c r="LQP5" s="11"/>
      <c r="LQQ5" s="11"/>
      <c r="LQR5" s="11"/>
      <c r="LQS5" s="11"/>
      <c r="LQT5" s="11"/>
      <c r="LQU5" s="11"/>
      <c r="LQV5" s="11"/>
      <c r="LQW5" s="11"/>
      <c r="LQX5" s="11"/>
      <c r="LQY5" s="11"/>
      <c r="LQZ5" s="11"/>
      <c r="LRA5" s="11"/>
      <c r="LRB5" s="11"/>
      <c r="LRC5" s="11"/>
      <c r="LRD5" s="11"/>
      <c r="LRE5" s="11"/>
      <c r="LRF5" s="11"/>
      <c r="LRG5" s="11"/>
      <c r="LRH5" s="11"/>
      <c r="LRI5" s="11"/>
      <c r="LRJ5" s="11"/>
      <c r="LRK5" s="11"/>
      <c r="LRL5" s="11"/>
      <c r="LRM5" s="11"/>
      <c r="LRN5" s="11"/>
      <c r="LRO5" s="11"/>
      <c r="LRP5" s="11"/>
      <c r="LRQ5" s="11"/>
      <c r="LRR5" s="11"/>
      <c r="LRS5" s="11"/>
      <c r="LRT5" s="11"/>
      <c r="LRU5" s="11"/>
      <c r="LRV5" s="11"/>
      <c r="LRW5" s="11"/>
      <c r="LRX5" s="11"/>
      <c r="LRY5" s="11"/>
      <c r="LRZ5" s="11"/>
      <c r="LSA5" s="11"/>
      <c r="LSB5" s="11"/>
      <c r="LSC5" s="11"/>
      <c r="LSD5" s="11"/>
      <c r="LSE5" s="11"/>
      <c r="LSF5" s="11"/>
      <c r="LSG5" s="11"/>
      <c r="LSH5" s="11"/>
      <c r="LSI5" s="11"/>
      <c r="LSJ5" s="11"/>
      <c r="LSK5" s="11"/>
      <c r="LSL5" s="11"/>
      <c r="LSM5" s="11"/>
      <c r="LSN5" s="11"/>
      <c r="LSO5" s="11"/>
      <c r="LSP5" s="11"/>
      <c r="LSQ5" s="11"/>
      <c r="LSR5" s="11"/>
      <c r="LSS5" s="11"/>
      <c r="LST5" s="11"/>
      <c r="LSU5" s="11"/>
      <c r="LSV5" s="11"/>
      <c r="LSW5" s="11"/>
      <c r="LSX5" s="11"/>
      <c r="LSY5" s="11"/>
      <c r="LSZ5" s="11"/>
      <c r="LTA5" s="11"/>
      <c r="LTB5" s="11"/>
      <c r="LTC5" s="11"/>
      <c r="LTD5" s="11"/>
      <c r="LTE5" s="11"/>
      <c r="LTF5" s="11"/>
      <c r="LTG5" s="11"/>
      <c r="LTH5" s="11"/>
      <c r="LTI5" s="11"/>
      <c r="LTJ5" s="11"/>
      <c r="LTK5" s="11"/>
      <c r="LTL5" s="11"/>
      <c r="LTM5" s="11"/>
      <c r="LTN5" s="11"/>
      <c r="LTO5" s="11"/>
      <c r="LTP5" s="11"/>
      <c r="LTQ5" s="11"/>
      <c r="LTR5" s="11"/>
      <c r="LTS5" s="11"/>
      <c r="LTT5" s="11"/>
      <c r="LTU5" s="11"/>
      <c r="LTV5" s="11"/>
      <c r="LTW5" s="11"/>
      <c r="LTX5" s="11"/>
      <c r="LTY5" s="11"/>
      <c r="LTZ5" s="11"/>
      <c r="LUA5" s="11"/>
      <c r="LUB5" s="11"/>
      <c r="LUC5" s="11"/>
      <c r="LUD5" s="11"/>
      <c r="LUE5" s="11"/>
      <c r="LUF5" s="11"/>
      <c r="LUG5" s="11"/>
      <c r="LUH5" s="11"/>
      <c r="LUI5" s="11"/>
      <c r="LUJ5" s="11"/>
      <c r="LUK5" s="11"/>
      <c r="LUL5" s="11"/>
      <c r="LUM5" s="11"/>
      <c r="LUN5" s="11"/>
      <c r="LUO5" s="11"/>
      <c r="LUP5" s="11"/>
      <c r="LUQ5" s="11"/>
      <c r="LUR5" s="11"/>
      <c r="LUS5" s="11"/>
      <c r="LUT5" s="11"/>
      <c r="LUU5" s="11"/>
      <c r="LUV5" s="11"/>
      <c r="LUW5" s="11"/>
      <c r="LUX5" s="11"/>
      <c r="LUY5" s="11"/>
      <c r="LUZ5" s="11"/>
      <c r="LVA5" s="11"/>
      <c r="LVB5" s="11"/>
      <c r="LVC5" s="11"/>
      <c r="LVD5" s="11"/>
      <c r="LVE5" s="11"/>
      <c r="LVF5" s="11"/>
      <c r="LVG5" s="11"/>
      <c r="LVH5" s="11"/>
      <c r="LVI5" s="11"/>
      <c r="LVJ5" s="11"/>
      <c r="LVK5" s="11"/>
      <c r="LVL5" s="11"/>
      <c r="LVM5" s="11"/>
      <c r="LVN5" s="11"/>
      <c r="LVO5" s="11"/>
      <c r="LVP5" s="11"/>
      <c r="LVQ5" s="11"/>
      <c r="LVR5" s="11"/>
      <c r="LVS5" s="11"/>
      <c r="LVT5" s="11"/>
      <c r="LVU5" s="11"/>
      <c r="LVV5" s="11"/>
      <c r="LVW5" s="11"/>
      <c r="LVX5" s="11"/>
      <c r="LVY5" s="11"/>
      <c r="LVZ5" s="11"/>
      <c r="LWA5" s="11"/>
      <c r="LWB5" s="11"/>
      <c r="LWC5" s="11"/>
      <c r="LWD5" s="11"/>
      <c r="LWE5" s="11"/>
      <c r="LWF5" s="11"/>
      <c r="LWG5" s="11"/>
      <c r="LWH5" s="11"/>
      <c r="LWI5" s="11"/>
      <c r="LWJ5" s="11"/>
      <c r="LWK5" s="11"/>
      <c r="LWL5" s="11"/>
      <c r="LWM5" s="11"/>
      <c r="LWN5" s="11"/>
      <c r="LWO5" s="11"/>
      <c r="LWP5" s="11"/>
      <c r="LWQ5" s="11"/>
      <c r="LWR5" s="11"/>
      <c r="LWS5" s="11"/>
      <c r="LWT5" s="11"/>
      <c r="LWU5" s="11"/>
      <c r="LWV5" s="11"/>
      <c r="LWW5" s="11"/>
      <c r="LWX5" s="11"/>
      <c r="LWY5" s="11"/>
      <c r="LWZ5" s="11"/>
      <c r="LXA5" s="11"/>
      <c r="LXB5" s="11"/>
      <c r="LXC5" s="11"/>
      <c r="LXD5" s="11"/>
      <c r="LXE5" s="11"/>
      <c r="LXF5" s="11"/>
      <c r="LXG5" s="11"/>
      <c r="LXH5" s="11"/>
      <c r="LXI5" s="11"/>
      <c r="LXJ5" s="11"/>
      <c r="LXK5" s="11"/>
      <c r="LXL5" s="11"/>
      <c r="LXM5" s="11"/>
      <c r="LXN5" s="11"/>
      <c r="LXO5" s="11"/>
      <c r="LXP5" s="11"/>
      <c r="LXQ5" s="11"/>
      <c r="LXR5" s="11"/>
      <c r="LXS5" s="11"/>
      <c r="LXT5" s="11"/>
      <c r="LXU5" s="11"/>
      <c r="LXV5" s="11"/>
      <c r="LXW5" s="11"/>
      <c r="LXX5" s="11"/>
      <c r="LXY5" s="11"/>
      <c r="LXZ5" s="11"/>
      <c r="LYA5" s="11"/>
      <c r="LYB5" s="11"/>
      <c r="LYC5" s="11"/>
      <c r="LYD5" s="11"/>
      <c r="LYE5" s="11"/>
      <c r="LYF5" s="11"/>
      <c r="LYG5" s="11"/>
      <c r="LYH5" s="11"/>
      <c r="LYI5" s="11"/>
      <c r="LYJ5" s="11"/>
      <c r="LYK5" s="11"/>
      <c r="LYL5" s="11"/>
      <c r="LYM5" s="11"/>
      <c r="LYN5" s="11"/>
      <c r="LYO5" s="11"/>
      <c r="LYP5" s="11"/>
      <c r="LYQ5" s="11"/>
      <c r="LYR5" s="11"/>
      <c r="LYS5" s="11"/>
      <c r="LYT5" s="11"/>
      <c r="LYU5" s="11"/>
      <c r="LYV5" s="11"/>
      <c r="LYW5" s="11"/>
      <c r="LYX5" s="11"/>
      <c r="LYY5" s="11"/>
      <c r="LYZ5" s="11"/>
      <c r="LZA5" s="11"/>
      <c r="LZB5" s="11"/>
      <c r="LZC5" s="11"/>
      <c r="LZD5" s="11"/>
      <c r="LZE5" s="11"/>
      <c r="LZF5" s="11"/>
      <c r="LZG5" s="11"/>
      <c r="LZH5" s="11"/>
      <c r="LZI5" s="11"/>
      <c r="LZJ5" s="11"/>
      <c r="LZK5" s="11"/>
      <c r="LZL5" s="11"/>
      <c r="LZM5" s="11"/>
      <c r="LZN5" s="11"/>
      <c r="LZO5" s="11"/>
      <c r="LZP5" s="11"/>
      <c r="LZQ5" s="11"/>
      <c r="LZR5" s="11"/>
      <c r="LZS5" s="11"/>
      <c r="LZT5" s="11"/>
      <c r="LZU5" s="11"/>
      <c r="LZV5" s="11"/>
      <c r="LZW5" s="11"/>
      <c r="LZX5" s="11"/>
      <c r="LZY5" s="11"/>
      <c r="LZZ5" s="11"/>
      <c r="MAA5" s="11"/>
      <c r="MAB5" s="11"/>
      <c r="MAC5" s="11"/>
      <c r="MAD5" s="11"/>
      <c r="MAE5" s="11"/>
      <c r="MAF5" s="11"/>
      <c r="MAG5" s="11"/>
      <c r="MAH5" s="11"/>
      <c r="MAI5" s="11"/>
      <c r="MAJ5" s="11"/>
      <c r="MAK5" s="11"/>
      <c r="MAL5" s="11"/>
      <c r="MAM5" s="11"/>
      <c r="MAN5" s="11"/>
      <c r="MAO5" s="11"/>
      <c r="MAP5" s="11"/>
      <c r="MAQ5" s="11"/>
      <c r="MAR5" s="11"/>
      <c r="MAS5" s="11"/>
      <c r="MAT5" s="11"/>
      <c r="MAU5" s="11"/>
      <c r="MAV5" s="11"/>
      <c r="MAW5" s="11"/>
      <c r="MAX5" s="11"/>
      <c r="MAY5" s="11"/>
      <c r="MAZ5" s="11"/>
      <c r="MBA5" s="11"/>
      <c r="MBB5" s="11"/>
      <c r="MBC5" s="11"/>
      <c r="MBD5" s="11"/>
      <c r="MBE5" s="11"/>
      <c r="MBF5" s="11"/>
      <c r="MBG5" s="11"/>
      <c r="MBH5" s="11"/>
      <c r="MBI5" s="11"/>
      <c r="MBJ5" s="11"/>
      <c r="MBK5" s="11"/>
      <c r="MBL5" s="11"/>
      <c r="MBM5" s="11"/>
      <c r="MBN5" s="11"/>
      <c r="MBO5" s="11"/>
      <c r="MBP5" s="11"/>
      <c r="MBQ5" s="11"/>
      <c r="MBR5" s="11"/>
      <c r="MBS5" s="11"/>
      <c r="MBT5" s="11"/>
      <c r="MBU5" s="11"/>
      <c r="MBV5" s="11"/>
      <c r="MBW5" s="11"/>
      <c r="MBX5" s="11"/>
      <c r="MBY5" s="11"/>
      <c r="MBZ5" s="11"/>
      <c r="MCA5" s="11"/>
      <c r="MCB5" s="11"/>
      <c r="MCC5" s="11"/>
      <c r="MCD5" s="11"/>
      <c r="MCE5" s="11"/>
      <c r="MCF5" s="11"/>
      <c r="MCG5" s="11"/>
      <c r="MCH5" s="11"/>
      <c r="MCI5" s="11"/>
      <c r="MCJ5" s="11"/>
      <c r="MCK5" s="11"/>
      <c r="MCL5" s="11"/>
      <c r="MCM5" s="11"/>
      <c r="MCN5" s="11"/>
      <c r="MCO5" s="11"/>
      <c r="MCP5" s="11"/>
      <c r="MCQ5" s="11"/>
      <c r="MCR5" s="11"/>
      <c r="MCS5" s="11"/>
      <c r="MCT5" s="11"/>
      <c r="MCU5" s="11"/>
      <c r="MCV5" s="11"/>
      <c r="MCW5" s="11"/>
      <c r="MCX5" s="11"/>
      <c r="MCY5" s="11"/>
      <c r="MCZ5" s="11"/>
      <c r="MDA5" s="11"/>
      <c r="MDB5" s="11"/>
      <c r="MDC5" s="11"/>
      <c r="MDD5" s="11"/>
      <c r="MDE5" s="11"/>
      <c r="MDF5" s="11"/>
      <c r="MDG5" s="11"/>
      <c r="MDH5" s="11"/>
      <c r="MDI5" s="11"/>
      <c r="MDJ5" s="11"/>
      <c r="MDK5" s="11"/>
      <c r="MDL5" s="11"/>
      <c r="MDM5" s="11"/>
      <c r="MDN5" s="11"/>
      <c r="MDO5" s="11"/>
      <c r="MDP5" s="11"/>
      <c r="MDQ5" s="11"/>
      <c r="MDR5" s="11"/>
      <c r="MDS5" s="11"/>
      <c r="MDT5" s="11"/>
      <c r="MDU5" s="11"/>
      <c r="MDV5" s="11"/>
      <c r="MDW5" s="11"/>
      <c r="MDX5" s="11"/>
      <c r="MDY5" s="11"/>
      <c r="MDZ5" s="11"/>
      <c r="MEA5" s="11"/>
      <c r="MEB5" s="11"/>
      <c r="MEC5" s="11"/>
      <c r="MED5" s="11"/>
      <c r="MEE5" s="11"/>
      <c r="MEF5" s="11"/>
      <c r="MEG5" s="11"/>
      <c r="MEH5" s="11"/>
      <c r="MEI5" s="11"/>
      <c r="MEJ5" s="11"/>
      <c r="MEK5" s="11"/>
      <c r="MEL5" s="11"/>
      <c r="MEM5" s="11"/>
      <c r="MEN5" s="11"/>
      <c r="MEO5" s="11"/>
      <c r="MEP5" s="11"/>
      <c r="MEQ5" s="11"/>
      <c r="MER5" s="11"/>
      <c r="MES5" s="11"/>
      <c r="MET5" s="11"/>
      <c r="MEU5" s="11"/>
      <c r="MEV5" s="11"/>
      <c r="MEW5" s="11"/>
      <c r="MEX5" s="11"/>
      <c r="MEY5" s="11"/>
      <c r="MEZ5" s="11"/>
      <c r="MFA5" s="11"/>
      <c r="MFB5" s="11"/>
      <c r="MFC5" s="11"/>
      <c r="MFD5" s="11"/>
      <c r="MFE5" s="11"/>
      <c r="MFF5" s="11"/>
      <c r="MFG5" s="11"/>
      <c r="MFH5" s="11"/>
      <c r="MFI5" s="11"/>
      <c r="MFJ5" s="11"/>
      <c r="MFK5" s="11"/>
      <c r="MFL5" s="11"/>
      <c r="MFM5" s="11"/>
      <c r="MFN5" s="11"/>
      <c r="MFO5" s="11"/>
      <c r="MFP5" s="11"/>
      <c r="MFQ5" s="11"/>
      <c r="MFR5" s="11"/>
      <c r="MFS5" s="11"/>
      <c r="MFT5" s="11"/>
      <c r="MFU5" s="11"/>
      <c r="MFV5" s="11"/>
      <c r="MFW5" s="11"/>
      <c r="MFX5" s="11"/>
      <c r="MFY5" s="11"/>
      <c r="MFZ5" s="11"/>
      <c r="MGA5" s="11"/>
      <c r="MGB5" s="11"/>
      <c r="MGC5" s="11"/>
      <c r="MGD5" s="11"/>
      <c r="MGE5" s="11"/>
      <c r="MGF5" s="11"/>
      <c r="MGG5" s="11"/>
      <c r="MGH5" s="11"/>
      <c r="MGI5" s="11"/>
      <c r="MGJ5" s="11"/>
      <c r="MGK5" s="11"/>
      <c r="MGL5" s="11"/>
      <c r="MGM5" s="11"/>
      <c r="MGN5" s="11"/>
      <c r="MGO5" s="11"/>
      <c r="MGP5" s="11"/>
      <c r="MGQ5" s="11"/>
      <c r="MGR5" s="11"/>
      <c r="MGS5" s="11"/>
      <c r="MGT5" s="11"/>
      <c r="MGU5" s="11"/>
      <c r="MGV5" s="11"/>
      <c r="MGW5" s="11"/>
      <c r="MGX5" s="11"/>
      <c r="MGY5" s="11"/>
      <c r="MGZ5" s="11"/>
      <c r="MHA5" s="11"/>
      <c r="MHB5" s="11"/>
      <c r="MHC5" s="11"/>
      <c r="MHD5" s="11"/>
      <c r="MHE5" s="11"/>
      <c r="MHF5" s="11"/>
      <c r="MHG5" s="11"/>
      <c r="MHH5" s="11"/>
      <c r="MHI5" s="11"/>
      <c r="MHJ5" s="11"/>
      <c r="MHK5" s="11"/>
      <c r="MHL5" s="11"/>
      <c r="MHM5" s="11"/>
      <c r="MHN5" s="11"/>
      <c r="MHO5" s="11"/>
      <c r="MHP5" s="11"/>
      <c r="MHQ5" s="11"/>
      <c r="MHR5" s="11"/>
      <c r="MHS5" s="11"/>
      <c r="MHT5" s="11"/>
      <c r="MHU5" s="11"/>
      <c r="MHV5" s="11"/>
      <c r="MHW5" s="11"/>
      <c r="MHX5" s="11"/>
      <c r="MHY5" s="11"/>
      <c r="MHZ5" s="11"/>
      <c r="MIA5" s="11"/>
      <c r="MIB5" s="11"/>
      <c r="MIC5" s="11"/>
      <c r="MID5" s="11"/>
      <c r="MIE5" s="11"/>
      <c r="MIF5" s="11"/>
      <c r="MIG5" s="11"/>
      <c r="MIH5" s="11"/>
      <c r="MII5" s="11"/>
      <c r="MIJ5" s="11"/>
      <c r="MIK5" s="11"/>
      <c r="MIL5" s="11"/>
      <c r="MIM5" s="11"/>
      <c r="MIN5" s="11"/>
      <c r="MIO5" s="11"/>
      <c r="MIP5" s="11"/>
      <c r="MIQ5" s="11"/>
      <c r="MIR5" s="11"/>
      <c r="MIS5" s="11"/>
      <c r="MIT5" s="11"/>
      <c r="MIU5" s="11"/>
      <c r="MIV5" s="11"/>
      <c r="MIW5" s="11"/>
      <c r="MIX5" s="11"/>
      <c r="MIY5" s="11"/>
      <c r="MIZ5" s="11"/>
      <c r="MJA5" s="11"/>
      <c r="MJB5" s="11"/>
      <c r="MJC5" s="11"/>
      <c r="MJD5" s="11"/>
      <c r="MJE5" s="11"/>
      <c r="MJF5" s="11"/>
      <c r="MJG5" s="11"/>
      <c r="MJH5" s="11"/>
      <c r="MJI5" s="11"/>
      <c r="MJJ5" s="11"/>
      <c r="MJK5" s="11"/>
      <c r="MJL5" s="11"/>
      <c r="MJM5" s="11"/>
      <c r="MJN5" s="11"/>
      <c r="MJO5" s="11"/>
      <c r="MJP5" s="11"/>
      <c r="MJQ5" s="11"/>
      <c r="MJR5" s="11"/>
      <c r="MJS5" s="11"/>
      <c r="MJT5" s="11"/>
      <c r="MJU5" s="11"/>
      <c r="MJV5" s="11"/>
      <c r="MJW5" s="11"/>
      <c r="MJX5" s="11"/>
      <c r="MJY5" s="11"/>
      <c r="MJZ5" s="11"/>
      <c r="MKA5" s="11"/>
      <c r="MKB5" s="11"/>
      <c r="MKC5" s="11"/>
      <c r="MKD5" s="11"/>
      <c r="MKE5" s="11"/>
      <c r="MKF5" s="11"/>
      <c r="MKG5" s="11"/>
      <c r="MKH5" s="11"/>
      <c r="MKI5" s="11"/>
      <c r="MKJ5" s="11"/>
      <c r="MKK5" s="11"/>
      <c r="MKL5" s="11"/>
      <c r="MKM5" s="11"/>
      <c r="MKN5" s="11"/>
      <c r="MKO5" s="11"/>
      <c r="MKP5" s="11"/>
      <c r="MKQ5" s="11"/>
      <c r="MKR5" s="11"/>
      <c r="MKS5" s="11"/>
      <c r="MKT5" s="11"/>
      <c r="MKU5" s="11"/>
      <c r="MKV5" s="11"/>
      <c r="MKW5" s="11"/>
      <c r="MKX5" s="11"/>
      <c r="MKY5" s="11"/>
      <c r="MKZ5" s="11"/>
      <c r="MLA5" s="11"/>
      <c r="MLB5" s="11"/>
      <c r="MLC5" s="11"/>
      <c r="MLD5" s="11"/>
      <c r="MLE5" s="11"/>
      <c r="MLF5" s="11"/>
      <c r="MLG5" s="11"/>
      <c r="MLH5" s="11"/>
      <c r="MLI5" s="11"/>
      <c r="MLJ5" s="11"/>
      <c r="MLK5" s="11"/>
      <c r="MLL5" s="11"/>
      <c r="MLM5" s="11"/>
      <c r="MLN5" s="11"/>
      <c r="MLO5" s="11"/>
      <c r="MLP5" s="11"/>
      <c r="MLQ5" s="11"/>
      <c r="MLR5" s="11"/>
      <c r="MLS5" s="11"/>
      <c r="MLT5" s="11"/>
      <c r="MLU5" s="11"/>
      <c r="MLV5" s="11"/>
      <c r="MLW5" s="11"/>
      <c r="MLX5" s="11"/>
      <c r="MLY5" s="11"/>
      <c r="MLZ5" s="11"/>
      <c r="MMA5" s="11"/>
      <c r="MMB5" s="11"/>
      <c r="MMC5" s="11"/>
      <c r="MMD5" s="11"/>
      <c r="MME5" s="11"/>
      <c r="MMF5" s="11"/>
      <c r="MMG5" s="11"/>
      <c r="MMH5" s="11"/>
      <c r="MMI5" s="11"/>
      <c r="MMJ5" s="11"/>
      <c r="MMK5" s="11"/>
      <c r="MML5" s="11"/>
      <c r="MMM5" s="11"/>
      <c r="MMN5" s="11"/>
      <c r="MMO5" s="11"/>
      <c r="MMP5" s="11"/>
      <c r="MMQ5" s="11"/>
      <c r="MMR5" s="11"/>
      <c r="MMS5" s="11"/>
      <c r="MMT5" s="11"/>
      <c r="MMU5" s="11"/>
      <c r="MMV5" s="11"/>
      <c r="MMW5" s="11"/>
      <c r="MMX5" s="11"/>
      <c r="MMY5" s="11"/>
      <c r="MMZ5" s="11"/>
      <c r="MNA5" s="11"/>
      <c r="MNB5" s="11"/>
      <c r="MNC5" s="11"/>
      <c r="MND5" s="11"/>
      <c r="MNE5" s="11"/>
      <c r="MNF5" s="11"/>
      <c r="MNG5" s="11"/>
      <c r="MNH5" s="11"/>
      <c r="MNI5" s="11"/>
      <c r="MNJ5" s="11"/>
      <c r="MNK5" s="11"/>
      <c r="MNL5" s="11"/>
      <c r="MNM5" s="11"/>
      <c r="MNN5" s="11"/>
      <c r="MNO5" s="11"/>
      <c r="MNP5" s="11"/>
      <c r="MNQ5" s="11"/>
      <c r="MNR5" s="11"/>
      <c r="MNS5" s="11"/>
      <c r="MNT5" s="11"/>
      <c r="MNU5" s="11"/>
      <c r="MNV5" s="11"/>
      <c r="MNW5" s="11"/>
      <c r="MNX5" s="11"/>
      <c r="MNY5" s="11"/>
      <c r="MNZ5" s="11"/>
      <c r="MOA5" s="11"/>
      <c r="MOB5" s="11"/>
      <c r="MOC5" s="11"/>
      <c r="MOD5" s="11"/>
      <c r="MOE5" s="11"/>
      <c r="MOF5" s="11"/>
      <c r="MOG5" s="11"/>
      <c r="MOH5" s="11"/>
      <c r="MOI5" s="11"/>
      <c r="MOJ5" s="11"/>
      <c r="MOK5" s="11"/>
      <c r="MOL5" s="11"/>
      <c r="MOM5" s="11"/>
      <c r="MON5" s="11"/>
      <c r="MOO5" s="11"/>
      <c r="MOP5" s="11"/>
      <c r="MOQ5" s="11"/>
      <c r="MOR5" s="11"/>
      <c r="MOS5" s="11"/>
      <c r="MOT5" s="11"/>
      <c r="MOU5" s="11"/>
      <c r="MOV5" s="11"/>
      <c r="MOW5" s="11"/>
      <c r="MOX5" s="11"/>
      <c r="MOY5" s="11"/>
      <c r="MOZ5" s="11"/>
      <c r="MPA5" s="11"/>
      <c r="MPB5" s="11"/>
      <c r="MPC5" s="11"/>
      <c r="MPD5" s="11"/>
      <c r="MPE5" s="11"/>
      <c r="MPF5" s="11"/>
      <c r="MPG5" s="11"/>
      <c r="MPH5" s="11"/>
      <c r="MPI5" s="11"/>
      <c r="MPJ5" s="11"/>
      <c r="MPK5" s="11"/>
      <c r="MPL5" s="11"/>
      <c r="MPM5" s="11"/>
      <c r="MPN5" s="11"/>
      <c r="MPO5" s="11"/>
      <c r="MPP5" s="11"/>
      <c r="MPQ5" s="11"/>
      <c r="MPR5" s="11"/>
      <c r="MPS5" s="11"/>
      <c r="MPT5" s="11"/>
      <c r="MPU5" s="11"/>
      <c r="MPV5" s="11"/>
      <c r="MPW5" s="11"/>
      <c r="MPX5" s="11"/>
      <c r="MPY5" s="11"/>
      <c r="MPZ5" s="11"/>
      <c r="MQA5" s="11"/>
      <c r="MQB5" s="11"/>
      <c r="MQC5" s="11"/>
      <c r="MQD5" s="11"/>
      <c r="MQE5" s="11"/>
      <c r="MQF5" s="11"/>
      <c r="MQG5" s="11"/>
      <c r="MQH5" s="11"/>
      <c r="MQI5" s="11"/>
      <c r="MQJ5" s="11"/>
      <c r="MQK5" s="11"/>
      <c r="MQL5" s="11"/>
      <c r="MQM5" s="11"/>
      <c r="MQN5" s="11"/>
      <c r="MQO5" s="11"/>
      <c r="MQP5" s="11"/>
      <c r="MQQ5" s="11"/>
      <c r="MQR5" s="11"/>
      <c r="MQS5" s="11"/>
      <c r="MQT5" s="11"/>
      <c r="MQU5" s="11"/>
      <c r="MQV5" s="11"/>
      <c r="MQW5" s="11"/>
      <c r="MQX5" s="11"/>
      <c r="MQY5" s="11"/>
      <c r="MQZ5" s="11"/>
      <c r="MRA5" s="11"/>
      <c r="MRB5" s="11"/>
      <c r="MRC5" s="11"/>
      <c r="MRD5" s="11"/>
      <c r="MRE5" s="11"/>
      <c r="MRF5" s="11"/>
      <c r="MRG5" s="11"/>
      <c r="MRH5" s="11"/>
      <c r="MRI5" s="11"/>
      <c r="MRJ5" s="11"/>
      <c r="MRK5" s="11"/>
      <c r="MRL5" s="11"/>
      <c r="MRM5" s="11"/>
      <c r="MRN5" s="11"/>
      <c r="MRO5" s="11"/>
      <c r="MRP5" s="11"/>
      <c r="MRQ5" s="11"/>
      <c r="MRR5" s="11"/>
      <c r="MRS5" s="11"/>
      <c r="MRT5" s="11"/>
      <c r="MRU5" s="11"/>
      <c r="MRV5" s="11"/>
      <c r="MRW5" s="11"/>
      <c r="MRX5" s="11"/>
      <c r="MRY5" s="11"/>
      <c r="MRZ5" s="11"/>
      <c r="MSA5" s="11"/>
      <c r="MSB5" s="11"/>
      <c r="MSC5" s="11"/>
      <c r="MSD5" s="11"/>
      <c r="MSE5" s="11"/>
      <c r="MSF5" s="11"/>
      <c r="MSG5" s="11"/>
      <c r="MSH5" s="11"/>
      <c r="MSI5" s="11"/>
      <c r="MSJ5" s="11"/>
      <c r="MSK5" s="11"/>
      <c r="MSL5" s="11"/>
      <c r="MSM5" s="11"/>
      <c r="MSN5" s="11"/>
      <c r="MSO5" s="11"/>
      <c r="MSP5" s="11"/>
      <c r="MSQ5" s="11"/>
      <c r="MSR5" s="11"/>
      <c r="MSS5" s="11"/>
      <c r="MST5" s="11"/>
      <c r="MSU5" s="11"/>
      <c r="MSV5" s="11"/>
      <c r="MSW5" s="11"/>
      <c r="MSX5" s="11"/>
      <c r="MSY5" s="11"/>
      <c r="MSZ5" s="11"/>
      <c r="MTA5" s="11"/>
      <c r="MTB5" s="11"/>
      <c r="MTC5" s="11"/>
      <c r="MTD5" s="11"/>
      <c r="MTE5" s="11"/>
      <c r="MTF5" s="11"/>
      <c r="MTG5" s="11"/>
      <c r="MTH5" s="11"/>
      <c r="MTI5" s="11"/>
      <c r="MTJ5" s="11"/>
      <c r="MTK5" s="11"/>
      <c r="MTL5" s="11"/>
      <c r="MTM5" s="11"/>
      <c r="MTN5" s="11"/>
      <c r="MTO5" s="11"/>
      <c r="MTP5" s="11"/>
      <c r="MTQ5" s="11"/>
      <c r="MTR5" s="11"/>
      <c r="MTS5" s="11"/>
      <c r="MTT5" s="11"/>
      <c r="MTU5" s="11"/>
      <c r="MTV5" s="11"/>
      <c r="MTW5" s="11"/>
      <c r="MTX5" s="11"/>
      <c r="MTY5" s="11"/>
      <c r="MTZ5" s="11"/>
      <c r="MUA5" s="11"/>
      <c r="MUB5" s="11"/>
      <c r="MUC5" s="11"/>
      <c r="MUD5" s="11"/>
      <c r="MUE5" s="11"/>
      <c r="MUF5" s="11"/>
      <c r="MUG5" s="11"/>
      <c r="MUH5" s="11"/>
      <c r="MUI5" s="11"/>
      <c r="MUJ5" s="11"/>
      <c r="MUK5" s="11"/>
      <c r="MUL5" s="11"/>
      <c r="MUM5" s="11"/>
      <c r="MUN5" s="11"/>
      <c r="MUO5" s="11"/>
      <c r="MUP5" s="11"/>
      <c r="MUQ5" s="11"/>
      <c r="MUR5" s="11"/>
      <c r="MUS5" s="11"/>
      <c r="MUT5" s="11"/>
      <c r="MUU5" s="11"/>
      <c r="MUV5" s="11"/>
      <c r="MUW5" s="11"/>
      <c r="MUX5" s="11"/>
      <c r="MUY5" s="11"/>
      <c r="MUZ5" s="11"/>
      <c r="MVA5" s="11"/>
      <c r="MVB5" s="11"/>
      <c r="MVC5" s="11"/>
      <c r="MVD5" s="11"/>
      <c r="MVE5" s="11"/>
      <c r="MVF5" s="11"/>
      <c r="MVG5" s="11"/>
      <c r="MVH5" s="11"/>
      <c r="MVI5" s="11"/>
      <c r="MVJ5" s="11"/>
      <c r="MVK5" s="11"/>
      <c r="MVL5" s="11"/>
      <c r="MVM5" s="11"/>
      <c r="MVN5" s="11"/>
      <c r="MVO5" s="11"/>
      <c r="MVP5" s="11"/>
      <c r="MVQ5" s="11"/>
      <c r="MVR5" s="11"/>
      <c r="MVS5" s="11"/>
      <c r="MVT5" s="11"/>
      <c r="MVU5" s="11"/>
      <c r="MVV5" s="11"/>
      <c r="MVW5" s="11"/>
      <c r="MVX5" s="11"/>
      <c r="MVY5" s="11"/>
      <c r="MVZ5" s="11"/>
      <c r="MWA5" s="11"/>
      <c r="MWB5" s="11"/>
      <c r="MWC5" s="11"/>
      <c r="MWD5" s="11"/>
      <c r="MWE5" s="11"/>
      <c r="MWF5" s="11"/>
      <c r="MWG5" s="11"/>
      <c r="MWH5" s="11"/>
      <c r="MWI5" s="11"/>
      <c r="MWJ5" s="11"/>
      <c r="MWK5" s="11"/>
      <c r="MWL5" s="11"/>
      <c r="MWM5" s="11"/>
      <c r="MWN5" s="11"/>
      <c r="MWO5" s="11"/>
      <c r="MWP5" s="11"/>
      <c r="MWQ5" s="11"/>
      <c r="MWR5" s="11"/>
      <c r="MWS5" s="11"/>
      <c r="MWT5" s="11"/>
      <c r="MWU5" s="11"/>
      <c r="MWV5" s="11"/>
      <c r="MWW5" s="11"/>
      <c r="MWX5" s="11"/>
      <c r="MWY5" s="11"/>
      <c r="MWZ5" s="11"/>
      <c r="MXA5" s="11"/>
      <c r="MXB5" s="11"/>
      <c r="MXC5" s="11"/>
      <c r="MXD5" s="11"/>
      <c r="MXE5" s="11"/>
      <c r="MXF5" s="11"/>
      <c r="MXG5" s="11"/>
      <c r="MXH5" s="11"/>
      <c r="MXI5" s="11"/>
      <c r="MXJ5" s="11"/>
      <c r="MXK5" s="11"/>
      <c r="MXL5" s="11"/>
      <c r="MXM5" s="11"/>
      <c r="MXN5" s="11"/>
      <c r="MXO5" s="11"/>
      <c r="MXP5" s="11"/>
      <c r="MXQ5" s="11"/>
      <c r="MXR5" s="11"/>
      <c r="MXS5" s="11"/>
      <c r="MXT5" s="11"/>
      <c r="MXU5" s="11"/>
      <c r="MXV5" s="11"/>
      <c r="MXW5" s="11"/>
      <c r="MXX5" s="11"/>
      <c r="MXY5" s="11"/>
      <c r="MXZ5" s="11"/>
      <c r="MYA5" s="11"/>
      <c r="MYB5" s="11"/>
      <c r="MYC5" s="11"/>
      <c r="MYD5" s="11"/>
      <c r="MYE5" s="11"/>
      <c r="MYF5" s="11"/>
      <c r="MYG5" s="11"/>
      <c r="MYH5" s="11"/>
      <c r="MYI5" s="11"/>
      <c r="MYJ5" s="11"/>
      <c r="MYK5" s="11"/>
      <c r="MYL5" s="11"/>
      <c r="MYM5" s="11"/>
      <c r="MYN5" s="11"/>
      <c r="MYO5" s="11"/>
      <c r="MYP5" s="11"/>
      <c r="MYQ5" s="11"/>
      <c r="MYR5" s="11"/>
      <c r="MYS5" s="11"/>
      <c r="MYT5" s="11"/>
      <c r="MYU5" s="11"/>
      <c r="MYV5" s="11"/>
      <c r="MYW5" s="11"/>
      <c r="MYX5" s="11"/>
      <c r="MYY5" s="11"/>
      <c r="MYZ5" s="11"/>
      <c r="MZA5" s="11"/>
      <c r="MZB5" s="11"/>
      <c r="MZC5" s="11"/>
      <c r="MZD5" s="11"/>
      <c r="MZE5" s="11"/>
      <c r="MZF5" s="11"/>
      <c r="MZG5" s="11"/>
      <c r="MZH5" s="11"/>
      <c r="MZI5" s="11"/>
      <c r="MZJ5" s="11"/>
      <c r="MZK5" s="11"/>
      <c r="MZL5" s="11"/>
      <c r="MZM5" s="11"/>
      <c r="MZN5" s="11"/>
      <c r="MZO5" s="11"/>
      <c r="MZP5" s="11"/>
      <c r="MZQ5" s="11"/>
      <c r="MZR5" s="11"/>
      <c r="MZS5" s="11"/>
      <c r="MZT5" s="11"/>
      <c r="MZU5" s="11"/>
      <c r="MZV5" s="11"/>
      <c r="MZW5" s="11"/>
      <c r="MZX5" s="11"/>
      <c r="MZY5" s="11"/>
      <c r="MZZ5" s="11"/>
      <c r="NAA5" s="11"/>
      <c r="NAB5" s="11"/>
      <c r="NAC5" s="11"/>
      <c r="NAD5" s="11"/>
      <c r="NAE5" s="11"/>
      <c r="NAF5" s="11"/>
      <c r="NAG5" s="11"/>
      <c r="NAH5" s="11"/>
      <c r="NAI5" s="11"/>
      <c r="NAJ5" s="11"/>
      <c r="NAK5" s="11"/>
      <c r="NAL5" s="11"/>
      <c r="NAM5" s="11"/>
      <c r="NAN5" s="11"/>
      <c r="NAO5" s="11"/>
      <c r="NAP5" s="11"/>
      <c r="NAQ5" s="11"/>
      <c r="NAR5" s="11"/>
      <c r="NAS5" s="11"/>
      <c r="NAT5" s="11"/>
      <c r="NAU5" s="11"/>
      <c r="NAV5" s="11"/>
      <c r="NAW5" s="11"/>
      <c r="NAX5" s="11"/>
      <c r="NAY5" s="11"/>
      <c r="NAZ5" s="11"/>
      <c r="NBA5" s="11"/>
      <c r="NBB5" s="11"/>
      <c r="NBC5" s="11"/>
      <c r="NBD5" s="11"/>
      <c r="NBE5" s="11"/>
      <c r="NBF5" s="11"/>
      <c r="NBG5" s="11"/>
      <c r="NBH5" s="11"/>
      <c r="NBI5" s="11"/>
      <c r="NBJ5" s="11"/>
      <c r="NBK5" s="11"/>
      <c r="NBL5" s="11"/>
      <c r="NBM5" s="11"/>
      <c r="NBN5" s="11"/>
      <c r="NBO5" s="11"/>
      <c r="NBP5" s="11"/>
      <c r="NBQ5" s="11"/>
      <c r="NBR5" s="11"/>
      <c r="NBS5" s="11"/>
      <c r="NBT5" s="11"/>
      <c r="NBU5" s="11"/>
      <c r="NBV5" s="11"/>
      <c r="NBW5" s="11"/>
      <c r="NBX5" s="11"/>
      <c r="NBY5" s="11"/>
      <c r="NBZ5" s="11"/>
      <c r="NCA5" s="11"/>
      <c r="NCB5" s="11"/>
      <c r="NCC5" s="11"/>
      <c r="NCD5" s="11"/>
      <c r="NCE5" s="11"/>
      <c r="NCF5" s="11"/>
      <c r="NCG5" s="11"/>
      <c r="NCH5" s="11"/>
      <c r="NCI5" s="11"/>
      <c r="NCJ5" s="11"/>
      <c r="NCK5" s="11"/>
      <c r="NCL5" s="11"/>
      <c r="NCM5" s="11"/>
      <c r="NCN5" s="11"/>
      <c r="NCO5" s="11"/>
      <c r="NCP5" s="11"/>
      <c r="NCQ5" s="11"/>
      <c r="NCR5" s="11"/>
      <c r="NCS5" s="11"/>
      <c r="NCT5" s="11"/>
      <c r="NCU5" s="11"/>
      <c r="NCV5" s="11"/>
      <c r="NCW5" s="11"/>
      <c r="NCX5" s="11"/>
      <c r="NCY5" s="11"/>
      <c r="NCZ5" s="11"/>
      <c r="NDA5" s="11"/>
      <c r="NDB5" s="11"/>
      <c r="NDC5" s="11"/>
      <c r="NDD5" s="11"/>
      <c r="NDE5" s="11"/>
      <c r="NDF5" s="11"/>
      <c r="NDG5" s="11"/>
      <c r="NDH5" s="11"/>
      <c r="NDI5" s="11"/>
      <c r="NDJ5" s="11"/>
      <c r="NDK5" s="11"/>
      <c r="NDL5" s="11"/>
      <c r="NDM5" s="11"/>
      <c r="NDN5" s="11"/>
      <c r="NDO5" s="11"/>
      <c r="NDP5" s="11"/>
      <c r="NDQ5" s="11"/>
      <c r="NDR5" s="11"/>
      <c r="NDS5" s="11"/>
      <c r="NDT5" s="11"/>
      <c r="NDU5" s="11"/>
      <c r="NDV5" s="11"/>
      <c r="NDW5" s="11"/>
      <c r="NDX5" s="11"/>
      <c r="NDY5" s="11"/>
      <c r="NDZ5" s="11"/>
      <c r="NEA5" s="11"/>
      <c r="NEB5" s="11"/>
      <c r="NEC5" s="11"/>
      <c r="NED5" s="11"/>
      <c r="NEE5" s="11"/>
      <c r="NEF5" s="11"/>
      <c r="NEG5" s="11"/>
      <c r="NEH5" s="11"/>
      <c r="NEI5" s="11"/>
      <c r="NEJ5" s="11"/>
      <c r="NEK5" s="11"/>
      <c r="NEL5" s="11"/>
      <c r="NEM5" s="11"/>
      <c r="NEN5" s="11"/>
      <c r="NEO5" s="11"/>
      <c r="NEP5" s="11"/>
      <c r="NEQ5" s="11"/>
      <c r="NER5" s="11"/>
      <c r="NES5" s="11"/>
      <c r="NET5" s="11"/>
      <c r="NEU5" s="11"/>
      <c r="NEV5" s="11"/>
      <c r="NEW5" s="11"/>
      <c r="NEX5" s="11"/>
      <c r="NEY5" s="11"/>
      <c r="NEZ5" s="11"/>
      <c r="NFA5" s="11"/>
      <c r="NFB5" s="11"/>
      <c r="NFC5" s="11"/>
      <c r="NFD5" s="11"/>
      <c r="NFE5" s="11"/>
      <c r="NFF5" s="11"/>
      <c r="NFG5" s="11"/>
      <c r="NFH5" s="11"/>
      <c r="NFI5" s="11"/>
      <c r="NFJ5" s="11"/>
      <c r="NFK5" s="11"/>
      <c r="NFL5" s="11"/>
      <c r="NFM5" s="11"/>
      <c r="NFN5" s="11"/>
      <c r="NFO5" s="11"/>
      <c r="NFP5" s="11"/>
      <c r="NFQ5" s="11"/>
      <c r="NFR5" s="11"/>
      <c r="NFS5" s="11"/>
      <c r="NFT5" s="11"/>
      <c r="NFU5" s="11"/>
      <c r="NFV5" s="11"/>
      <c r="NFW5" s="11"/>
      <c r="NFX5" s="11"/>
      <c r="NFY5" s="11"/>
      <c r="NFZ5" s="11"/>
      <c r="NGA5" s="11"/>
      <c r="NGB5" s="11"/>
      <c r="NGC5" s="11"/>
      <c r="NGD5" s="11"/>
      <c r="NGE5" s="11"/>
      <c r="NGF5" s="11"/>
      <c r="NGG5" s="11"/>
      <c r="NGH5" s="11"/>
      <c r="NGI5" s="11"/>
      <c r="NGJ5" s="11"/>
      <c r="NGK5" s="11"/>
      <c r="NGL5" s="11"/>
      <c r="NGM5" s="11"/>
      <c r="NGN5" s="11"/>
      <c r="NGO5" s="11"/>
      <c r="NGP5" s="11"/>
      <c r="NGQ5" s="11"/>
      <c r="NGR5" s="11"/>
      <c r="NGS5" s="11"/>
      <c r="NGT5" s="11"/>
      <c r="NGU5" s="11"/>
      <c r="NGV5" s="11"/>
      <c r="NGW5" s="11"/>
      <c r="NGX5" s="11"/>
      <c r="NGY5" s="11"/>
      <c r="NGZ5" s="11"/>
      <c r="NHA5" s="11"/>
      <c r="NHB5" s="11"/>
      <c r="NHC5" s="11"/>
      <c r="NHD5" s="11"/>
      <c r="NHE5" s="11"/>
      <c r="NHF5" s="11"/>
      <c r="NHG5" s="11"/>
      <c r="NHH5" s="11"/>
      <c r="NHI5" s="11"/>
      <c r="NHJ5" s="11"/>
      <c r="NHK5" s="11"/>
      <c r="NHL5" s="11"/>
      <c r="NHM5" s="11"/>
      <c r="NHN5" s="11"/>
      <c r="NHO5" s="11"/>
      <c r="NHP5" s="11"/>
      <c r="NHQ5" s="11"/>
      <c r="NHR5" s="11"/>
      <c r="NHS5" s="11"/>
      <c r="NHT5" s="11"/>
      <c r="NHU5" s="11"/>
      <c r="NHV5" s="11"/>
      <c r="NHW5" s="11"/>
      <c r="NHX5" s="11"/>
      <c r="NHY5" s="11"/>
      <c r="NHZ5" s="11"/>
      <c r="NIA5" s="11"/>
      <c r="NIB5" s="11"/>
      <c r="NIC5" s="11"/>
      <c r="NID5" s="11"/>
      <c r="NIE5" s="11"/>
      <c r="NIF5" s="11"/>
      <c r="NIG5" s="11"/>
      <c r="NIH5" s="11"/>
      <c r="NII5" s="11"/>
      <c r="NIJ5" s="11"/>
      <c r="NIK5" s="11"/>
      <c r="NIL5" s="11"/>
      <c r="NIM5" s="11"/>
      <c r="NIN5" s="11"/>
      <c r="NIO5" s="11"/>
      <c r="NIP5" s="11"/>
      <c r="NIQ5" s="11"/>
      <c r="NIR5" s="11"/>
      <c r="NIS5" s="11"/>
      <c r="NIT5" s="11"/>
      <c r="NIU5" s="11"/>
      <c r="NIV5" s="11"/>
      <c r="NIW5" s="11"/>
      <c r="NIX5" s="11"/>
      <c r="NIY5" s="11"/>
      <c r="NIZ5" s="11"/>
      <c r="NJA5" s="11"/>
      <c r="NJB5" s="11"/>
      <c r="NJC5" s="11"/>
      <c r="NJD5" s="11"/>
      <c r="NJE5" s="11"/>
      <c r="NJF5" s="11"/>
      <c r="NJG5" s="11"/>
      <c r="NJH5" s="11"/>
      <c r="NJI5" s="11"/>
      <c r="NJJ5" s="11"/>
      <c r="NJK5" s="11"/>
      <c r="NJL5" s="11"/>
      <c r="NJM5" s="11"/>
      <c r="NJN5" s="11"/>
      <c r="NJO5" s="11"/>
      <c r="NJP5" s="11"/>
      <c r="NJQ5" s="11"/>
      <c r="NJR5" s="11"/>
      <c r="NJS5" s="11"/>
      <c r="NJT5" s="11"/>
      <c r="NJU5" s="11"/>
      <c r="NJV5" s="11"/>
      <c r="NJW5" s="11"/>
      <c r="NJX5" s="11"/>
      <c r="NJY5" s="11"/>
      <c r="NJZ5" s="11"/>
      <c r="NKA5" s="11"/>
      <c r="NKB5" s="11"/>
      <c r="NKC5" s="11"/>
      <c r="NKD5" s="11"/>
      <c r="NKE5" s="11"/>
      <c r="NKF5" s="11"/>
      <c r="NKG5" s="11"/>
      <c r="NKH5" s="11"/>
      <c r="NKI5" s="11"/>
      <c r="NKJ5" s="11"/>
      <c r="NKK5" s="11"/>
      <c r="NKL5" s="11"/>
      <c r="NKM5" s="11"/>
      <c r="NKN5" s="11"/>
      <c r="NKO5" s="11"/>
      <c r="NKP5" s="11"/>
      <c r="NKQ5" s="11"/>
      <c r="NKR5" s="11"/>
      <c r="NKS5" s="11"/>
      <c r="NKT5" s="11"/>
      <c r="NKU5" s="11"/>
      <c r="NKV5" s="11"/>
      <c r="NKW5" s="11"/>
      <c r="NKX5" s="11"/>
      <c r="NKY5" s="11"/>
      <c r="NKZ5" s="11"/>
      <c r="NLA5" s="11"/>
      <c r="NLB5" s="11"/>
      <c r="NLC5" s="11"/>
      <c r="NLD5" s="11"/>
      <c r="NLE5" s="11"/>
      <c r="NLF5" s="11"/>
      <c r="NLG5" s="11"/>
      <c r="NLH5" s="11"/>
      <c r="NLI5" s="11"/>
      <c r="NLJ5" s="11"/>
      <c r="NLK5" s="11"/>
      <c r="NLL5" s="11"/>
      <c r="NLM5" s="11"/>
      <c r="NLN5" s="11"/>
      <c r="NLO5" s="11"/>
      <c r="NLP5" s="11"/>
      <c r="NLQ5" s="11"/>
      <c r="NLR5" s="11"/>
      <c r="NLS5" s="11"/>
      <c r="NLT5" s="11"/>
      <c r="NLU5" s="11"/>
      <c r="NLV5" s="11"/>
      <c r="NLW5" s="11"/>
      <c r="NLX5" s="11"/>
      <c r="NLY5" s="11"/>
      <c r="NLZ5" s="11"/>
      <c r="NMA5" s="11"/>
      <c r="NMB5" s="11"/>
      <c r="NMC5" s="11"/>
      <c r="NMD5" s="11"/>
      <c r="NME5" s="11"/>
      <c r="NMF5" s="11"/>
      <c r="NMG5" s="11"/>
      <c r="NMH5" s="11"/>
      <c r="NMI5" s="11"/>
      <c r="NMJ5" s="11"/>
      <c r="NMK5" s="11"/>
      <c r="NML5" s="11"/>
      <c r="NMM5" s="11"/>
      <c r="NMN5" s="11"/>
      <c r="NMO5" s="11"/>
      <c r="NMP5" s="11"/>
      <c r="NMQ5" s="11"/>
      <c r="NMR5" s="11"/>
      <c r="NMS5" s="11"/>
      <c r="NMT5" s="11"/>
      <c r="NMU5" s="11"/>
      <c r="NMV5" s="11"/>
      <c r="NMW5" s="11"/>
      <c r="NMX5" s="11"/>
      <c r="NMY5" s="11"/>
      <c r="NMZ5" s="11"/>
      <c r="NNA5" s="11"/>
      <c r="NNB5" s="11"/>
      <c r="NNC5" s="11"/>
      <c r="NND5" s="11"/>
      <c r="NNE5" s="11"/>
      <c r="NNF5" s="11"/>
      <c r="NNG5" s="11"/>
      <c r="NNH5" s="11"/>
      <c r="NNI5" s="11"/>
      <c r="NNJ5" s="11"/>
      <c r="NNK5" s="11"/>
      <c r="NNL5" s="11"/>
      <c r="NNM5" s="11"/>
      <c r="NNN5" s="11"/>
      <c r="NNO5" s="11"/>
      <c r="NNP5" s="11"/>
      <c r="NNQ5" s="11"/>
      <c r="NNR5" s="11"/>
      <c r="NNS5" s="11"/>
      <c r="NNT5" s="11"/>
      <c r="NNU5" s="11"/>
      <c r="NNV5" s="11"/>
      <c r="NNW5" s="11"/>
      <c r="NNX5" s="11"/>
      <c r="NNY5" s="11"/>
      <c r="NNZ5" s="11"/>
      <c r="NOA5" s="11"/>
      <c r="NOB5" s="11"/>
      <c r="NOC5" s="11"/>
      <c r="NOD5" s="11"/>
      <c r="NOE5" s="11"/>
      <c r="NOF5" s="11"/>
      <c r="NOG5" s="11"/>
      <c r="NOH5" s="11"/>
      <c r="NOI5" s="11"/>
      <c r="NOJ5" s="11"/>
      <c r="NOK5" s="11"/>
      <c r="NOL5" s="11"/>
      <c r="NOM5" s="11"/>
      <c r="NON5" s="11"/>
      <c r="NOO5" s="11"/>
      <c r="NOP5" s="11"/>
      <c r="NOQ5" s="11"/>
      <c r="NOR5" s="11"/>
      <c r="NOS5" s="11"/>
      <c r="NOT5" s="11"/>
      <c r="NOU5" s="11"/>
      <c r="NOV5" s="11"/>
      <c r="NOW5" s="11"/>
      <c r="NOX5" s="11"/>
      <c r="NOY5" s="11"/>
      <c r="NOZ5" s="11"/>
      <c r="NPA5" s="11"/>
      <c r="NPB5" s="11"/>
      <c r="NPC5" s="11"/>
      <c r="NPD5" s="11"/>
      <c r="NPE5" s="11"/>
      <c r="NPF5" s="11"/>
      <c r="NPG5" s="11"/>
      <c r="NPH5" s="11"/>
      <c r="NPI5" s="11"/>
      <c r="NPJ5" s="11"/>
      <c r="NPK5" s="11"/>
      <c r="NPL5" s="11"/>
      <c r="NPM5" s="11"/>
      <c r="NPN5" s="11"/>
      <c r="NPO5" s="11"/>
      <c r="NPP5" s="11"/>
      <c r="NPQ5" s="11"/>
      <c r="NPR5" s="11"/>
      <c r="NPS5" s="11"/>
      <c r="NPT5" s="11"/>
      <c r="NPU5" s="11"/>
      <c r="NPV5" s="11"/>
      <c r="NPW5" s="11"/>
      <c r="NPX5" s="11"/>
      <c r="NPY5" s="11"/>
      <c r="NPZ5" s="11"/>
      <c r="NQA5" s="11"/>
      <c r="NQB5" s="11"/>
      <c r="NQC5" s="11"/>
      <c r="NQD5" s="11"/>
      <c r="NQE5" s="11"/>
      <c r="NQF5" s="11"/>
      <c r="NQG5" s="11"/>
      <c r="NQH5" s="11"/>
      <c r="NQI5" s="11"/>
      <c r="NQJ5" s="11"/>
      <c r="NQK5" s="11"/>
      <c r="NQL5" s="11"/>
      <c r="NQM5" s="11"/>
      <c r="NQN5" s="11"/>
      <c r="NQO5" s="11"/>
      <c r="NQP5" s="11"/>
      <c r="NQQ5" s="11"/>
      <c r="NQR5" s="11"/>
      <c r="NQS5" s="11"/>
      <c r="NQT5" s="11"/>
      <c r="NQU5" s="11"/>
      <c r="NQV5" s="11"/>
      <c r="NQW5" s="11"/>
      <c r="NQX5" s="11"/>
      <c r="NQY5" s="11"/>
      <c r="NQZ5" s="11"/>
      <c r="NRA5" s="11"/>
      <c r="NRB5" s="11"/>
      <c r="NRC5" s="11"/>
      <c r="NRD5" s="11"/>
      <c r="NRE5" s="11"/>
      <c r="NRF5" s="11"/>
      <c r="NRG5" s="11"/>
      <c r="NRH5" s="11"/>
      <c r="NRI5" s="11"/>
      <c r="NRJ5" s="11"/>
      <c r="NRK5" s="11"/>
      <c r="NRL5" s="11"/>
      <c r="NRM5" s="11"/>
      <c r="NRN5" s="11"/>
      <c r="NRO5" s="11"/>
      <c r="NRP5" s="11"/>
      <c r="NRQ5" s="11"/>
      <c r="NRR5" s="11"/>
      <c r="NRS5" s="11"/>
      <c r="NRT5" s="11"/>
      <c r="NRU5" s="11"/>
      <c r="NRV5" s="11"/>
      <c r="NRW5" s="11"/>
      <c r="NRX5" s="11"/>
      <c r="NRY5" s="11"/>
      <c r="NRZ5" s="11"/>
      <c r="NSA5" s="11"/>
      <c r="NSB5" s="11"/>
      <c r="NSC5" s="11"/>
      <c r="NSD5" s="11"/>
      <c r="NSE5" s="11"/>
      <c r="NSF5" s="11"/>
      <c r="NSG5" s="11"/>
      <c r="NSH5" s="11"/>
      <c r="NSI5" s="11"/>
      <c r="NSJ5" s="11"/>
      <c r="NSK5" s="11"/>
      <c r="NSL5" s="11"/>
      <c r="NSM5" s="11"/>
      <c r="NSN5" s="11"/>
      <c r="NSO5" s="11"/>
      <c r="NSP5" s="11"/>
      <c r="NSQ5" s="11"/>
      <c r="NSR5" s="11"/>
      <c r="NSS5" s="11"/>
      <c r="NST5" s="11"/>
      <c r="NSU5" s="11"/>
      <c r="NSV5" s="11"/>
      <c r="NSW5" s="11"/>
      <c r="NSX5" s="11"/>
      <c r="NSY5" s="11"/>
      <c r="NSZ5" s="11"/>
      <c r="NTA5" s="11"/>
      <c r="NTB5" s="11"/>
      <c r="NTC5" s="11"/>
      <c r="NTD5" s="11"/>
      <c r="NTE5" s="11"/>
      <c r="NTF5" s="11"/>
      <c r="NTG5" s="11"/>
      <c r="NTH5" s="11"/>
      <c r="NTI5" s="11"/>
      <c r="NTJ5" s="11"/>
      <c r="NTK5" s="11"/>
      <c r="NTL5" s="11"/>
      <c r="NTM5" s="11"/>
      <c r="NTN5" s="11"/>
      <c r="NTO5" s="11"/>
      <c r="NTP5" s="11"/>
      <c r="NTQ5" s="11"/>
      <c r="NTR5" s="11"/>
      <c r="NTS5" s="11"/>
      <c r="NTT5" s="11"/>
      <c r="NTU5" s="11"/>
      <c r="NTV5" s="11"/>
      <c r="NTW5" s="11"/>
      <c r="NTX5" s="11"/>
      <c r="NTY5" s="11"/>
      <c r="NTZ5" s="11"/>
      <c r="NUA5" s="11"/>
      <c r="NUB5" s="11"/>
      <c r="NUC5" s="11"/>
      <c r="NUD5" s="11"/>
      <c r="NUE5" s="11"/>
      <c r="NUF5" s="11"/>
      <c r="NUG5" s="11"/>
      <c r="NUH5" s="11"/>
      <c r="NUI5" s="11"/>
      <c r="NUJ5" s="11"/>
      <c r="NUK5" s="11"/>
      <c r="NUL5" s="11"/>
      <c r="NUM5" s="11"/>
      <c r="NUN5" s="11"/>
      <c r="NUO5" s="11"/>
      <c r="NUP5" s="11"/>
      <c r="NUQ5" s="11"/>
      <c r="NUR5" s="11"/>
      <c r="NUS5" s="11"/>
      <c r="NUT5" s="11"/>
      <c r="NUU5" s="11"/>
      <c r="NUV5" s="11"/>
      <c r="NUW5" s="11"/>
      <c r="NUX5" s="11"/>
      <c r="NUY5" s="11"/>
      <c r="NUZ5" s="11"/>
      <c r="NVA5" s="11"/>
      <c r="NVB5" s="11"/>
      <c r="NVC5" s="11"/>
      <c r="NVD5" s="11"/>
      <c r="NVE5" s="11"/>
      <c r="NVF5" s="11"/>
      <c r="NVG5" s="11"/>
      <c r="NVH5" s="11"/>
      <c r="NVI5" s="11"/>
      <c r="NVJ5" s="11"/>
      <c r="NVK5" s="11"/>
      <c r="NVL5" s="11"/>
      <c r="NVM5" s="11"/>
      <c r="NVN5" s="11"/>
      <c r="NVO5" s="11"/>
      <c r="NVP5" s="11"/>
      <c r="NVQ5" s="11"/>
      <c r="NVR5" s="11"/>
      <c r="NVS5" s="11"/>
      <c r="NVT5" s="11"/>
      <c r="NVU5" s="11"/>
      <c r="NVV5" s="11"/>
      <c r="NVW5" s="11"/>
      <c r="NVX5" s="11"/>
      <c r="NVY5" s="11"/>
      <c r="NVZ5" s="11"/>
      <c r="NWA5" s="11"/>
      <c r="NWB5" s="11"/>
      <c r="NWC5" s="11"/>
      <c r="NWD5" s="11"/>
      <c r="NWE5" s="11"/>
      <c r="NWF5" s="11"/>
      <c r="NWG5" s="11"/>
      <c r="NWH5" s="11"/>
      <c r="NWI5" s="11"/>
      <c r="NWJ5" s="11"/>
      <c r="NWK5" s="11"/>
      <c r="NWL5" s="11"/>
      <c r="NWM5" s="11"/>
      <c r="NWN5" s="11"/>
      <c r="NWO5" s="11"/>
      <c r="NWP5" s="11"/>
      <c r="NWQ5" s="11"/>
      <c r="NWR5" s="11"/>
      <c r="NWS5" s="11"/>
      <c r="NWT5" s="11"/>
      <c r="NWU5" s="11"/>
      <c r="NWV5" s="11"/>
      <c r="NWW5" s="11"/>
      <c r="NWX5" s="11"/>
      <c r="NWY5" s="11"/>
      <c r="NWZ5" s="11"/>
      <c r="NXA5" s="11"/>
      <c r="NXB5" s="11"/>
      <c r="NXC5" s="11"/>
      <c r="NXD5" s="11"/>
      <c r="NXE5" s="11"/>
      <c r="NXF5" s="11"/>
      <c r="NXG5" s="11"/>
      <c r="NXH5" s="11"/>
      <c r="NXI5" s="11"/>
      <c r="NXJ5" s="11"/>
      <c r="NXK5" s="11"/>
      <c r="NXL5" s="11"/>
      <c r="NXM5" s="11"/>
      <c r="NXN5" s="11"/>
      <c r="NXO5" s="11"/>
      <c r="NXP5" s="11"/>
      <c r="NXQ5" s="11"/>
      <c r="NXR5" s="11"/>
      <c r="NXS5" s="11"/>
      <c r="NXT5" s="11"/>
      <c r="NXU5" s="11"/>
      <c r="NXV5" s="11"/>
      <c r="NXW5" s="11"/>
      <c r="NXX5" s="11"/>
      <c r="NXY5" s="11"/>
      <c r="NXZ5" s="11"/>
      <c r="NYA5" s="11"/>
      <c r="NYB5" s="11"/>
      <c r="NYC5" s="11"/>
      <c r="NYD5" s="11"/>
      <c r="NYE5" s="11"/>
      <c r="NYF5" s="11"/>
      <c r="NYG5" s="11"/>
      <c r="NYH5" s="11"/>
      <c r="NYI5" s="11"/>
      <c r="NYJ5" s="11"/>
      <c r="NYK5" s="11"/>
      <c r="NYL5" s="11"/>
      <c r="NYM5" s="11"/>
      <c r="NYN5" s="11"/>
      <c r="NYO5" s="11"/>
      <c r="NYP5" s="11"/>
      <c r="NYQ5" s="11"/>
      <c r="NYR5" s="11"/>
      <c r="NYS5" s="11"/>
      <c r="NYT5" s="11"/>
      <c r="NYU5" s="11"/>
      <c r="NYV5" s="11"/>
      <c r="NYW5" s="11"/>
      <c r="NYX5" s="11"/>
      <c r="NYY5" s="11"/>
      <c r="NYZ5" s="11"/>
      <c r="NZA5" s="11"/>
      <c r="NZB5" s="11"/>
      <c r="NZC5" s="11"/>
      <c r="NZD5" s="11"/>
      <c r="NZE5" s="11"/>
      <c r="NZF5" s="11"/>
      <c r="NZG5" s="11"/>
      <c r="NZH5" s="11"/>
      <c r="NZI5" s="11"/>
      <c r="NZJ5" s="11"/>
      <c r="NZK5" s="11"/>
      <c r="NZL5" s="11"/>
      <c r="NZM5" s="11"/>
      <c r="NZN5" s="11"/>
      <c r="NZO5" s="11"/>
      <c r="NZP5" s="11"/>
      <c r="NZQ5" s="11"/>
      <c r="NZR5" s="11"/>
      <c r="NZS5" s="11"/>
      <c r="NZT5" s="11"/>
      <c r="NZU5" s="11"/>
      <c r="NZV5" s="11"/>
      <c r="NZW5" s="11"/>
      <c r="NZX5" s="11"/>
      <c r="NZY5" s="11"/>
      <c r="NZZ5" s="11"/>
      <c r="OAA5" s="11"/>
      <c r="OAB5" s="11"/>
      <c r="OAC5" s="11"/>
      <c r="OAD5" s="11"/>
      <c r="OAE5" s="11"/>
      <c r="OAF5" s="11"/>
      <c r="OAG5" s="11"/>
      <c r="OAH5" s="11"/>
      <c r="OAI5" s="11"/>
      <c r="OAJ5" s="11"/>
      <c r="OAK5" s="11"/>
      <c r="OAL5" s="11"/>
      <c r="OAM5" s="11"/>
      <c r="OAN5" s="11"/>
      <c r="OAO5" s="11"/>
      <c r="OAP5" s="11"/>
      <c r="OAQ5" s="11"/>
      <c r="OAR5" s="11"/>
      <c r="OAS5" s="11"/>
      <c r="OAT5" s="11"/>
      <c r="OAU5" s="11"/>
      <c r="OAV5" s="11"/>
      <c r="OAW5" s="11"/>
      <c r="OAX5" s="11"/>
      <c r="OAY5" s="11"/>
      <c r="OAZ5" s="11"/>
      <c r="OBA5" s="11"/>
      <c r="OBB5" s="11"/>
      <c r="OBC5" s="11"/>
      <c r="OBD5" s="11"/>
      <c r="OBE5" s="11"/>
      <c r="OBF5" s="11"/>
      <c r="OBG5" s="11"/>
      <c r="OBH5" s="11"/>
      <c r="OBI5" s="11"/>
      <c r="OBJ5" s="11"/>
      <c r="OBK5" s="11"/>
      <c r="OBL5" s="11"/>
      <c r="OBM5" s="11"/>
      <c r="OBN5" s="11"/>
      <c r="OBO5" s="11"/>
      <c r="OBP5" s="11"/>
      <c r="OBQ5" s="11"/>
      <c r="OBR5" s="11"/>
      <c r="OBS5" s="11"/>
      <c r="OBT5" s="11"/>
      <c r="OBU5" s="11"/>
      <c r="OBV5" s="11"/>
      <c r="OBW5" s="11"/>
      <c r="OBX5" s="11"/>
      <c r="OBY5" s="11"/>
      <c r="OBZ5" s="11"/>
      <c r="OCA5" s="11"/>
      <c r="OCB5" s="11"/>
      <c r="OCC5" s="11"/>
      <c r="OCD5" s="11"/>
      <c r="OCE5" s="11"/>
      <c r="OCF5" s="11"/>
      <c r="OCG5" s="11"/>
      <c r="OCH5" s="11"/>
      <c r="OCI5" s="11"/>
      <c r="OCJ5" s="11"/>
      <c r="OCK5" s="11"/>
      <c r="OCL5" s="11"/>
      <c r="OCM5" s="11"/>
      <c r="OCN5" s="11"/>
      <c r="OCO5" s="11"/>
      <c r="OCP5" s="11"/>
      <c r="OCQ5" s="11"/>
      <c r="OCR5" s="11"/>
      <c r="OCS5" s="11"/>
      <c r="OCT5" s="11"/>
      <c r="OCU5" s="11"/>
      <c r="OCV5" s="11"/>
      <c r="OCW5" s="11"/>
      <c r="OCX5" s="11"/>
      <c r="OCY5" s="11"/>
      <c r="OCZ5" s="11"/>
      <c r="ODA5" s="11"/>
      <c r="ODB5" s="11"/>
      <c r="ODC5" s="11"/>
      <c r="ODD5" s="11"/>
      <c r="ODE5" s="11"/>
      <c r="ODF5" s="11"/>
      <c r="ODG5" s="11"/>
      <c r="ODH5" s="11"/>
      <c r="ODI5" s="11"/>
      <c r="ODJ5" s="11"/>
      <c r="ODK5" s="11"/>
      <c r="ODL5" s="11"/>
      <c r="ODM5" s="11"/>
      <c r="ODN5" s="11"/>
      <c r="ODO5" s="11"/>
      <c r="ODP5" s="11"/>
      <c r="ODQ5" s="11"/>
      <c r="ODR5" s="11"/>
      <c r="ODS5" s="11"/>
      <c r="ODT5" s="11"/>
      <c r="ODU5" s="11"/>
      <c r="ODV5" s="11"/>
      <c r="ODW5" s="11"/>
      <c r="ODX5" s="11"/>
      <c r="ODY5" s="11"/>
      <c r="ODZ5" s="11"/>
      <c r="OEA5" s="11"/>
      <c r="OEB5" s="11"/>
      <c r="OEC5" s="11"/>
      <c r="OED5" s="11"/>
      <c r="OEE5" s="11"/>
      <c r="OEF5" s="11"/>
      <c r="OEG5" s="11"/>
      <c r="OEH5" s="11"/>
      <c r="OEI5" s="11"/>
      <c r="OEJ5" s="11"/>
      <c r="OEK5" s="11"/>
      <c r="OEL5" s="11"/>
      <c r="OEM5" s="11"/>
      <c r="OEN5" s="11"/>
      <c r="OEO5" s="11"/>
      <c r="OEP5" s="11"/>
      <c r="OEQ5" s="11"/>
      <c r="OER5" s="11"/>
      <c r="OES5" s="11"/>
      <c r="OET5" s="11"/>
      <c r="OEU5" s="11"/>
      <c r="OEV5" s="11"/>
      <c r="OEW5" s="11"/>
      <c r="OEX5" s="11"/>
      <c r="OEY5" s="11"/>
      <c r="OEZ5" s="11"/>
      <c r="OFA5" s="11"/>
      <c r="OFB5" s="11"/>
      <c r="OFC5" s="11"/>
      <c r="OFD5" s="11"/>
      <c r="OFE5" s="11"/>
      <c r="OFF5" s="11"/>
      <c r="OFG5" s="11"/>
      <c r="OFH5" s="11"/>
      <c r="OFI5" s="11"/>
      <c r="OFJ5" s="11"/>
      <c r="OFK5" s="11"/>
      <c r="OFL5" s="11"/>
      <c r="OFM5" s="11"/>
      <c r="OFN5" s="11"/>
      <c r="OFO5" s="11"/>
      <c r="OFP5" s="11"/>
      <c r="OFQ5" s="11"/>
      <c r="OFR5" s="11"/>
      <c r="OFS5" s="11"/>
      <c r="OFT5" s="11"/>
      <c r="OFU5" s="11"/>
      <c r="OFV5" s="11"/>
      <c r="OFW5" s="11"/>
      <c r="OFX5" s="11"/>
      <c r="OFY5" s="11"/>
      <c r="OFZ5" s="11"/>
      <c r="OGA5" s="11"/>
      <c r="OGB5" s="11"/>
      <c r="OGC5" s="11"/>
      <c r="OGD5" s="11"/>
      <c r="OGE5" s="11"/>
      <c r="OGF5" s="11"/>
      <c r="OGG5" s="11"/>
      <c r="OGH5" s="11"/>
      <c r="OGI5" s="11"/>
      <c r="OGJ5" s="11"/>
      <c r="OGK5" s="11"/>
      <c r="OGL5" s="11"/>
      <c r="OGM5" s="11"/>
      <c r="OGN5" s="11"/>
      <c r="OGO5" s="11"/>
      <c r="OGP5" s="11"/>
      <c r="OGQ5" s="11"/>
      <c r="OGR5" s="11"/>
      <c r="OGS5" s="11"/>
      <c r="OGT5" s="11"/>
      <c r="OGU5" s="11"/>
      <c r="OGV5" s="11"/>
      <c r="OGW5" s="11"/>
      <c r="OGX5" s="11"/>
      <c r="OGY5" s="11"/>
      <c r="OGZ5" s="11"/>
      <c r="OHA5" s="11"/>
      <c r="OHB5" s="11"/>
      <c r="OHC5" s="11"/>
      <c r="OHD5" s="11"/>
      <c r="OHE5" s="11"/>
      <c r="OHF5" s="11"/>
      <c r="OHG5" s="11"/>
      <c r="OHH5" s="11"/>
      <c r="OHI5" s="11"/>
      <c r="OHJ5" s="11"/>
      <c r="OHK5" s="11"/>
      <c r="OHL5" s="11"/>
      <c r="OHM5" s="11"/>
      <c r="OHN5" s="11"/>
      <c r="OHO5" s="11"/>
      <c r="OHP5" s="11"/>
      <c r="OHQ5" s="11"/>
      <c r="OHR5" s="11"/>
      <c r="OHS5" s="11"/>
      <c r="OHT5" s="11"/>
      <c r="OHU5" s="11"/>
      <c r="OHV5" s="11"/>
      <c r="OHW5" s="11"/>
      <c r="OHX5" s="11"/>
      <c r="OHY5" s="11"/>
      <c r="OHZ5" s="11"/>
      <c r="OIA5" s="11"/>
      <c r="OIB5" s="11"/>
      <c r="OIC5" s="11"/>
      <c r="OID5" s="11"/>
      <c r="OIE5" s="11"/>
      <c r="OIF5" s="11"/>
      <c r="OIG5" s="11"/>
      <c r="OIH5" s="11"/>
      <c r="OII5" s="11"/>
      <c r="OIJ5" s="11"/>
      <c r="OIK5" s="11"/>
      <c r="OIL5" s="11"/>
      <c r="OIM5" s="11"/>
      <c r="OIN5" s="11"/>
      <c r="OIO5" s="11"/>
      <c r="OIP5" s="11"/>
      <c r="OIQ5" s="11"/>
      <c r="OIR5" s="11"/>
      <c r="OIS5" s="11"/>
      <c r="OIT5" s="11"/>
      <c r="OIU5" s="11"/>
      <c r="OIV5" s="11"/>
      <c r="OIW5" s="11"/>
      <c r="OIX5" s="11"/>
      <c r="OIY5" s="11"/>
      <c r="OIZ5" s="11"/>
      <c r="OJA5" s="11"/>
      <c r="OJB5" s="11"/>
      <c r="OJC5" s="11"/>
      <c r="OJD5" s="11"/>
      <c r="OJE5" s="11"/>
      <c r="OJF5" s="11"/>
      <c r="OJG5" s="11"/>
      <c r="OJH5" s="11"/>
      <c r="OJI5" s="11"/>
      <c r="OJJ5" s="11"/>
      <c r="OJK5" s="11"/>
      <c r="OJL5" s="11"/>
      <c r="OJM5" s="11"/>
      <c r="OJN5" s="11"/>
      <c r="OJO5" s="11"/>
      <c r="OJP5" s="11"/>
      <c r="OJQ5" s="11"/>
      <c r="OJR5" s="11"/>
      <c r="OJS5" s="11"/>
      <c r="OJT5" s="11"/>
      <c r="OJU5" s="11"/>
      <c r="OJV5" s="11"/>
      <c r="OJW5" s="11"/>
      <c r="OJX5" s="11"/>
      <c r="OJY5" s="11"/>
      <c r="OJZ5" s="11"/>
      <c r="OKA5" s="11"/>
      <c r="OKB5" s="11"/>
      <c r="OKC5" s="11"/>
      <c r="OKD5" s="11"/>
      <c r="OKE5" s="11"/>
      <c r="OKF5" s="11"/>
      <c r="OKG5" s="11"/>
      <c r="OKH5" s="11"/>
      <c r="OKI5" s="11"/>
      <c r="OKJ5" s="11"/>
      <c r="OKK5" s="11"/>
      <c r="OKL5" s="11"/>
      <c r="OKM5" s="11"/>
      <c r="OKN5" s="11"/>
      <c r="OKO5" s="11"/>
      <c r="OKP5" s="11"/>
      <c r="OKQ5" s="11"/>
      <c r="OKR5" s="11"/>
      <c r="OKS5" s="11"/>
      <c r="OKT5" s="11"/>
      <c r="OKU5" s="11"/>
      <c r="OKV5" s="11"/>
      <c r="OKW5" s="11"/>
      <c r="OKX5" s="11"/>
      <c r="OKY5" s="11"/>
      <c r="OKZ5" s="11"/>
      <c r="OLA5" s="11"/>
      <c r="OLB5" s="11"/>
      <c r="OLC5" s="11"/>
      <c r="OLD5" s="11"/>
      <c r="OLE5" s="11"/>
      <c r="OLF5" s="11"/>
      <c r="OLG5" s="11"/>
      <c r="OLH5" s="11"/>
      <c r="OLI5" s="11"/>
      <c r="OLJ5" s="11"/>
      <c r="OLK5" s="11"/>
      <c r="OLL5" s="11"/>
      <c r="OLM5" s="11"/>
      <c r="OLN5" s="11"/>
      <c r="OLO5" s="11"/>
      <c r="OLP5" s="11"/>
      <c r="OLQ5" s="11"/>
      <c r="OLR5" s="11"/>
      <c r="OLS5" s="11"/>
      <c r="OLT5" s="11"/>
      <c r="OLU5" s="11"/>
      <c r="OLV5" s="11"/>
      <c r="OLW5" s="11"/>
      <c r="OLX5" s="11"/>
      <c r="OLY5" s="11"/>
      <c r="OLZ5" s="11"/>
      <c r="OMA5" s="11"/>
      <c r="OMB5" s="11"/>
      <c r="OMC5" s="11"/>
      <c r="OMD5" s="11"/>
      <c r="OME5" s="11"/>
      <c r="OMF5" s="11"/>
      <c r="OMG5" s="11"/>
      <c r="OMH5" s="11"/>
      <c r="OMI5" s="11"/>
      <c r="OMJ5" s="11"/>
      <c r="OMK5" s="11"/>
      <c r="OML5" s="11"/>
      <c r="OMM5" s="11"/>
      <c r="OMN5" s="11"/>
      <c r="OMO5" s="11"/>
      <c r="OMP5" s="11"/>
      <c r="OMQ5" s="11"/>
      <c r="OMR5" s="11"/>
      <c r="OMS5" s="11"/>
      <c r="OMT5" s="11"/>
      <c r="OMU5" s="11"/>
      <c r="OMV5" s="11"/>
      <c r="OMW5" s="11"/>
      <c r="OMX5" s="11"/>
      <c r="OMY5" s="11"/>
      <c r="OMZ5" s="11"/>
      <c r="ONA5" s="11"/>
      <c r="ONB5" s="11"/>
      <c r="ONC5" s="11"/>
      <c r="OND5" s="11"/>
      <c r="ONE5" s="11"/>
      <c r="ONF5" s="11"/>
      <c r="ONG5" s="11"/>
      <c r="ONH5" s="11"/>
      <c r="ONI5" s="11"/>
      <c r="ONJ5" s="11"/>
      <c r="ONK5" s="11"/>
      <c r="ONL5" s="11"/>
      <c r="ONM5" s="11"/>
      <c r="ONN5" s="11"/>
      <c r="ONO5" s="11"/>
      <c r="ONP5" s="11"/>
      <c r="ONQ5" s="11"/>
      <c r="ONR5" s="11"/>
      <c r="ONS5" s="11"/>
      <c r="ONT5" s="11"/>
      <c r="ONU5" s="11"/>
      <c r="ONV5" s="11"/>
      <c r="ONW5" s="11"/>
      <c r="ONX5" s="11"/>
      <c r="ONY5" s="11"/>
      <c r="ONZ5" s="11"/>
      <c r="OOA5" s="11"/>
      <c r="OOB5" s="11"/>
      <c r="OOC5" s="11"/>
      <c r="OOD5" s="11"/>
      <c r="OOE5" s="11"/>
      <c r="OOF5" s="11"/>
      <c r="OOG5" s="11"/>
      <c r="OOH5" s="11"/>
      <c r="OOI5" s="11"/>
      <c r="OOJ5" s="11"/>
      <c r="OOK5" s="11"/>
      <c r="OOL5" s="11"/>
      <c r="OOM5" s="11"/>
      <c r="OON5" s="11"/>
      <c r="OOO5" s="11"/>
      <c r="OOP5" s="11"/>
      <c r="OOQ5" s="11"/>
      <c r="OOR5" s="11"/>
      <c r="OOS5" s="11"/>
      <c r="OOT5" s="11"/>
      <c r="OOU5" s="11"/>
      <c r="OOV5" s="11"/>
      <c r="OOW5" s="11"/>
      <c r="OOX5" s="11"/>
      <c r="OOY5" s="11"/>
      <c r="OOZ5" s="11"/>
      <c r="OPA5" s="11"/>
      <c r="OPB5" s="11"/>
      <c r="OPC5" s="11"/>
      <c r="OPD5" s="11"/>
      <c r="OPE5" s="11"/>
      <c r="OPF5" s="11"/>
      <c r="OPG5" s="11"/>
      <c r="OPH5" s="11"/>
      <c r="OPI5" s="11"/>
      <c r="OPJ5" s="11"/>
      <c r="OPK5" s="11"/>
      <c r="OPL5" s="11"/>
      <c r="OPM5" s="11"/>
      <c r="OPN5" s="11"/>
      <c r="OPO5" s="11"/>
      <c r="OPP5" s="11"/>
      <c r="OPQ5" s="11"/>
      <c r="OPR5" s="11"/>
      <c r="OPS5" s="11"/>
      <c r="OPT5" s="11"/>
      <c r="OPU5" s="11"/>
      <c r="OPV5" s="11"/>
      <c r="OPW5" s="11"/>
      <c r="OPX5" s="11"/>
      <c r="OPY5" s="11"/>
      <c r="OPZ5" s="11"/>
      <c r="OQA5" s="11"/>
      <c r="OQB5" s="11"/>
      <c r="OQC5" s="11"/>
      <c r="OQD5" s="11"/>
      <c r="OQE5" s="11"/>
      <c r="OQF5" s="11"/>
      <c r="OQG5" s="11"/>
      <c r="OQH5" s="11"/>
      <c r="OQI5" s="11"/>
      <c r="OQJ5" s="11"/>
      <c r="OQK5" s="11"/>
      <c r="OQL5" s="11"/>
      <c r="OQM5" s="11"/>
      <c r="OQN5" s="11"/>
      <c r="OQO5" s="11"/>
      <c r="OQP5" s="11"/>
      <c r="OQQ5" s="11"/>
      <c r="OQR5" s="11"/>
      <c r="OQS5" s="11"/>
      <c r="OQT5" s="11"/>
      <c r="OQU5" s="11"/>
      <c r="OQV5" s="11"/>
      <c r="OQW5" s="11"/>
      <c r="OQX5" s="11"/>
      <c r="OQY5" s="11"/>
      <c r="OQZ5" s="11"/>
      <c r="ORA5" s="11"/>
      <c r="ORB5" s="11"/>
      <c r="ORC5" s="11"/>
      <c r="ORD5" s="11"/>
      <c r="ORE5" s="11"/>
      <c r="ORF5" s="11"/>
      <c r="ORG5" s="11"/>
      <c r="ORH5" s="11"/>
      <c r="ORI5" s="11"/>
      <c r="ORJ5" s="11"/>
      <c r="ORK5" s="11"/>
      <c r="ORL5" s="11"/>
      <c r="ORM5" s="11"/>
      <c r="ORN5" s="11"/>
      <c r="ORO5" s="11"/>
      <c r="ORP5" s="11"/>
      <c r="ORQ5" s="11"/>
      <c r="ORR5" s="11"/>
      <c r="ORS5" s="11"/>
      <c r="ORT5" s="11"/>
      <c r="ORU5" s="11"/>
      <c r="ORV5" s="11"/>
      <c r="ORW5" s="11"/>
      <c r="ORX5" s="11"/>
      <c r="ORY5" s="11"/>
      <c r="ORZ5" s="11"/>
      <c r="OSA5" s="11"/>
      <c r="OSB5" s="11"/>
      <c r="OSC5" s="11"/>
      <c r="OSD5" s="11"/>
      <c r="OSE5" s="11"/>
      <c r="OSF5" s="11"/>
      <c r="OSG5" s="11"/>
      <c r="OSH5" s="11"/>
      <c r="OSI5" s="11"/>
      <c r="OSJ5" s="11"/>
      <c r="OSK5" s="11"/>
      <c r="OSL5" s="11"/>
      <c r="OSM5" s="11"/>
      <c r="OSN5" s="11"/>
      <c r="OSO5" s="11"/>
      <c r="OSP5" s="11"/>
      <c r="OSQ5" s="11"/>
      <c r="OSR5" s="11"/>
      <c r="OSS5" s="11"/>
      <c r="OST5" s="11"/>
      <c r="OSU5" s="11"/>
      <c r="OSV5" s="11"/>
      <c r="OSW5" s="11"/>
      <c r="OSX5" s="11"/>
      <c r="OSY5" s="11"/>
      <c r="OSZ5" s="11"/>
      <c r="OTA5" s="11"/>
      <c r="OTB5" s="11"/>
      <c r="OTC5" s="11"/>
      <c r="OTD5" s="11"/>
      <c r="OTE5" s="11"/>
      <c r="OTF5" s="11"/>
      <c r="OTG5" s="11"/>
      <c r="OTH5" s="11"/>
      <c r="OTI5" s="11"/>
      <c r="OTJ5" s="11"/>
      <c r="OTK5" s="11"/>
      <c r="OTL5" s="11"/>
      <c r="OTM5" s="11"/>
      <c r="OTN5" s="11"/>
      <c r="OTO5" s="11"/>
      <c r="OTP5" s="11"/>
      <c r="OTQ5" s="11"/>
      <c r="OTR5" s="11"/>
      <c r="OTS5" s="11"/>
      <c r="OTT5" s="11"/>
      <c r="OTU5" s="11"/>
      <c r="OTV5" s="11"/>
      <c r="OTW5" s="11"/>
      <c r="OTX5" s="11"/>
      <c r="OTY5" s="11"/>
      <c r="OTZ5" s="11"/>
      <c r="OUA5" s="11"/>
      <c r="OUB5" s="11"/>
      <c r="OUC5" s="11"/>
      <c r="OUD5" s="11"/>
      <c r="OUE5" s="11"/>
      <c r="OUF5" s="11"/>
      <c r="OUG5" s="11"/>
      <c r="OUH5" s="11"/>
      <c r="OUI5" s="11"/>
      <c r="OUJ5" s="11"/>
      <c r="OUK5" s="11"/>
      <c r="OUL5" s="11"/>
      <c r="OUM5" s="11"/>
      <c r="OUN5" s="11"/>
      <c r="OUO5" s="11"/>
      <c r="OUP5" s="11"/>
      <c r="OUQ5" s="11"/>
      <c r="OUR5" s="11"/>
      <c r="OUS5" s="11"/>
      <c r="OUT5" s="11"/>
      <c r="OUU5" s="11"/>
      <c r="OUV5" s="11"/>
      <c r="OUW5" s="11"/>
      <c r="OUX5" s="11"/>
      <c r="OUY5" s="11"/>
      <c r="OUZ5" s="11"/>
      <c r="OVA5" s="11"/>
      <c r="OVB5" s="11"/>
      <c r="OVC5" s="11"/>
      <c r="OVD5" s="11"/>
      <c r="OVE5" s="11"/>
      <c r="OVF5" s="11"/>
      <c r="OVG5" s="11"/>
      <c r="OVH5" s="11"/>
      <c r="OVI5" s="11"/>
      <c r="OVJ5" s="11"/>
      <c r="OVK5" s="11"/>
      <c r="OVL5" s="11"/>
      <c r="OVM5" s="11"/>
      <c r="OVN5" s="11"/>
      <c r="OVO5" s="11"/>
      <c r="OVP5" s="11"/>
      <c r="OVQ5" s="11"/>
      <c r="OVR5" s="11"/>
      <c r="OVS5" s="11"/>
      <c r="OVT5" s="11"/>
      <c r="OVU5" s="11"/>
      <c r="OVV5" s="11"/>
      <c r="OVW5" s="11"/>
      <c r="OVX5" s="11"/>
      <c r="OVY5" s="11"/>
      <c r="OVZ5" s="11"/>
      <c r="OWA5" s="11"/>
      <c r="OWB5" s="11"/>
      <c r="OWC5" s="11"/>
      <c r="OWD5" s="11"/>
      <c r="OWE5" s="11"/>
      <c r="OWF5" s="11"/>
      <c r="OWG5" s="11"/>
      <c r="OWH5" s="11"/>
      <c r="OWI5" s="11"/>
      <c r="OWJ5" s="11"/>
      <c r="OWK5" s="11"/>
      <c r="OWL5" s="11"/>
      <c r="OWM5" s="11"/>
      <c r="OWN5" s="11"/>
      <c r="OWO5" s="11"/>
      <c r="OWP5" s="11"/>
      <c r="OWQ5" s="11"/>
      <c r="OWR5" s="11"/>
      <c r="OWS5" s="11"/>
      <c r="OWT5" s="11"/>
      <c r="OWU5" s="11"/>
      <c r="OWV5" s="11"/>
      <c r="OWW5" s="11"/>
      <c r="OWX5" s="11"/>
      <c r="OWY5" s="11"/>
      <c r="OWZ5" s="11"/>
      <c r="OXA5" s="11"/>
      <c r="OXB5" s="11"/>
      <c r="OXC5" s="11"/>
      <c r="OXD5" s="11"/>
      <c r="OXE5" s="11"/>
      <c r="OXF5" s="11"/>
      <c r="OXG5" s="11"/>
      <c r="OXH5" s="11"/>
      <c r="OXI5" s="11"/>
      <c r="OXJ5" s="11"/>
      <c r="OXK5" s="11"/>
      <c r="OXL5" s="11"/>
      <c r="OXM5" s="11"/>
      <c r="OXN5" s="11"/>
      <c r="OXO5" s="11"/>
      <c r="OXP5" s="11"/>
      <c r="OXQ5" s="11"/>
      <c r="OXR5" s="11"/>
      <c r="OXS5" s="11"/>
      <c r="OXT5" s="11"/>
      <c r="OXU5" s="11"/>
      <c r="OXV5" s="11"/>
      <c r="OXW5" s="11"/>
      <c r="OXX5" s="11"/>
      <c r="OXY5" s="11"/>
      <c r="OXZ5" s="11"/>
      <c r="OYA5" s="11"/>
      <c r="OYB5" s="11"/>
      <c r="OYC5" s="11"/>
      <c r="OYD5" s="11"/>
      <c r="OYE5" s="11"/>
      <c r="OYF5" s="11"/>
      <c r="OYG5" s="11"/>
      <c r="OYH5" s="11"/>
      <c r="OYI5" s="11"/>
      <c r="OYJ5" s="11"/>
      <c r="OYK5" s="11"/>
      <c r="OYL5" s="11"/>
      <c r="OYM5" s="11"/>
      <c r="OYN5" s="11"/>
      <c r="OYO5" s="11"/>
      <c r="OYP5" s="11"/>
      <c r="OYQ5" s="11"/>
      <c r="OYR5" s="11"/>
      <c r="OYS5" s="11"/>
      <c r="OYT5" s="11"/>
      <c r="OYU5" s="11"/>
      <c r="OYV5" s="11"/>
      <c r="OYW5" s="11"/>
      <c r="OYX5" s="11"/>
      <c r="OYY5" s="11"/>
      <c r="OYZ5" s="11"/>
      <c r="OZA5" s="11"/>
      <c r="OZB5" s="11"/>
      <c r="OZC5" s="11"/>
      <c r="OZD5" s="11"/>
      <c r="OZE5" s="11"/>
      <c r="OZF5" s="11"/>
      <c r="OZG5" s="11"/>
      <c r="OZH5" s="11"/>
      <c r="OZI5" s="11"/>
      <c r="OZJ5" s="11"/>
      <c r="OZK5" s="11"/>
      <c r="OZL5" s="11"/>
      <c r="OZM5" s="11"/>
      <c r="OZN5" s="11"/>
      <c r="OZO5" s="11"/>
      <c r="OZP5" s="11"/>
      <c r="OZQ5" s="11"/>
      <c r="OZR5" s="11"/>
      <c r="OZS5" s="11"/>
      <c r="OZT5" s="11"/>
      <c r="OZU5" s="11"/>
      <c r="OZV5" s="11"/>
      <c r="OZW5" s="11"/>
      <c r="OZX5" s="11"/>
      <c r="OZY5" s="11"/>
      <c r="OZZ5" s="11"/>
      <c r="PAA5" s="11"/>
      <c r="PAB5" s="11"/>
      <c r="PAC5" s="11"/>
      <c r="PAD5" s="11"/>
      <c r="PAE5" s="11"/>
      <c r="PAF5" s="11"/>
      <c r="PAG5" s="11"/>
      <c r="PAH5" s="11"/>
      <c r="PAI5" s="11"/>
      <c r="PAJ5" s="11"/>
      <c r="PAK5" s="11"/>
      <c r="PAL5" s="11"/>
      <c r="PAM5" s="11"/>
      <c r="PAN5" s="11"/>
      <c r="PAO5" s="11"/>
      <c r="PAP5" s="11"/>
      <c r="PAQ5" s="11"/>
      <c r="PAR5" s="11"/>
      <c r="PAS5" s="11"/>
      <c r="PAT5" s="11"/>
      <c r="PAU5" s="11"/>
      <c r="PAV5" s="11"/>
      <c r="PAW5" s="11"/>
      <c r="PAX5" s="11"/>
      <c r="PAY5" s="11"/>
      <c r="PAZ5" s="11"/>
      <c r="PBA5" s="11"/>
      <c r="PBB5" s="11"/>
      <c r="PBC5" s="11"/>
      <c r="PBD5" s="11"/>
      <c r="PBE5" s="11"/>
      <c r="PBF5" s="11"/>
      <c r="PBG5" s="11"/>
      <c r="PBH5" s="11"/>
      <c r="PBI5" s="11"/>
      <c r="PBJ5" s="11"/>
      <c r="PBK5" s="11"/>
      <c r="PBL5" s="11"/>
      <c r="PBM5" s="11"/>
      <c r="PBN5" s="11"/>
      <c r="PBO5" s="11"/>
      <c r="PBP5" s="11"/>
      <c r="PBQ5" s="11"/>
      <c r="PBR5" s="11"/>
      <c r="PBS5" s="11"/>
      <c r="PBT5" s="11"/>
      <c r="PBU5" s="11"/>
      <c r="PBV5" s="11"/>
      <c r="PBW5" s="11"/>
      <c r="PBX5" s="11"/>
      <c r="PBY5" s="11"/>
      <c r="PBZ5" s="11"/>
      <c r="PCA5" s="11"/>
      <c r="PCB5" s="11"/>
      <c r="PCC5" s="11"/>
      <c r="PCD5" s="11"/>
      <c r="PCE5" s="11"/>
      <c r="PCF5" s="11"/>
      <c r="PCG5" s="11"/>
      <c r="PCH5" s="11"/>
      <c r="PCI5" s="11"/>
      <c r="PCJ5" s="11"/>
      <c r="PCK5" s="11"/>
      <c r="PCL5" s="11"/>
      <c r="PCM5" s="11"/>
      <c r="PCN5" s="11"/>
      <c r="PCO5" s="11"/>
      <c r="PCP5" s="11"/>
      <c r="PCQ5" s="11"/>
      <c r="PCR5" s="11"/>
      <c r="PCS5" s="11"/>
      <c r="PCT5" s="11"/>
      <c r="PCU5" s="11"/>
      <c r="PCV5" s="11"/>
      <c r="PCW5" s="11"/>
      <c r="PCX5" s="11"/>
      <c r="PCY5" s="11"/>
      <c r="PCZ5" s="11"/>
      <c r="PDA5" s="11"/>
      <c r="PDB5" s="11"/>
      <c r="PDC5" s="11"/>
      <c r="PDD5" s="11"/>
      <c r="PDE5" s="11"/>
      <c r="PDF5" s="11"/>
      <c r="PDG5" s="11"/>
      <c r="PDH5" s="11"/>
      <c r="PDI5" s="11"/>
      <c r="PDJ5" s="11"/>
      <c r="PDK5" s="11"/>
      <c r="PDL5" s="11"/>
      <c r="PDM5" s="11"/>
      <c r="PDN5" s="11"/>
      <c r="PDO5" s="11"/>
      <c r="PDP5" s="11"/>
      <c r="PDQ5" s="11"/>
      <c r="PDR5" s="11"/>
      <c r="PDS5" s="11"/>
      <c r="PDT5" s="11"/>
      <c r="PDU5" s="11"/>
      <c r="PDV5" s="11"/>
      <c r="PDW5" s="11"/>
      <c r="PDX5" s="11"/>
      <c r="PDY5" s="11"/>
      <c r="PDZ5" s="11"/>
      <c r="PEA5" s="11"/>
      <c r="PEB5" s="11"/>
      <c r="PEC5" s="11"/>
      <c r="PED5" s="11"/>
      <c r="PEE5" s="11"/>
      <c r="PEF5" s="11"/>
      <c r="PEG5" s="11"/>
      <c r="PEH5" s="11"/>
      <c r="PEI5" s="11"/>
      <c r="PEJ5" s="11"/>
      <c r="PEK5" s="11"/>
      <c r="PEL5" s="11"/>
      <c r="PEM5" s="11"/>
      <c r="PEN5" s="11"/>
      <c r="PEO5" s="11"/>
      <c r="PEP5" s="11"/>
      <c r="PEQ5" s="11"/>
      <c r="PER5" s="11"/>
      <c r="PES5" s="11"/>
      <c r="PET5" s="11"/>
      <c r="PEU5" s="11"/>
      <c r="PEV5" s="11"/>
      <c r="PEW5" s="11"/>
      <c r="PEX5" s="11"/>
      <c r="PEY5" s="11"/>
      <c r="PEZ5" s="11"/>
      <c r="PFA5" s="11"/>
      <c r="PFB5" s="11"/>
      <c r="PFC5" s="11"/>
      <c r="PFD5" s="11"/>
      <c r="PFE5" s="11"/>
      <c r="PFF5" s="11"/>
      <c r="PFG5" s="11"/>
      <c r="PFH5" s="11"/>
      <c r="PFI5" s="11"/>
      <c r="PFJ5" s="11"/>
      <c r="PFK5" s="11"/>
      <c r="PFL5" s="11"/>
      <c r="PFM5" s="11"/>
      <c r="PFN5" s="11"/>
      <c r="PFO5" s="11"/>
      <c r="PFP5" s="11"/>
      <c r="PFQ5" s="11"/>
      <c r="PFR5" s="11"/>
      <c r="PFS5" s="11"/>
      <c r="PFT5" s="11"/>
      <c r="PFU5" s="11"/>
      <c r="PFV5" s="11"/>
      <c r="PFW5" s="11"/>
      <c r="PFX5" s="11"/>
      <c r="PFY5" s="11"/>
      <c r="PFZ5" s="11"/>
      <c r="PGA5" s="11"/>
      <c r="PGB5" s="11"/>
      <c r="PGC5" s="11"/>
      <c r="PGD5" s="11"/>
      <c r="PGE5" s="11"/>
      <c r="PGF5" s="11"/>
      <c r="PGG5" s="11"/>
      <c r="PGH5" s="11"/>
      <c r="PGI5" s="11"/>
      <c r="PGJ5" s="11"/>
      <c r="PGK5" s="11"/>
      <c r="PGL5" s="11"/>
      <c r="PGM5" s="11"/>
      <c r="PGN5" s="11"/>
      <c r="PGO5" s="11"/>
      <c r="PGP5" s="11"/>
      <c r="PGQ5" s="11"/>
      <c r="PGR5" s="11"/>
      <c r="PGS5" s="11"/>
      <c r="PGT5" s="11"/>
      <c r="PGU5" s="11"/>
      <c r="PGV5" s="11"/>
      <c r="PGW5" s="11"/>
      <c r="PGX5" s="11"/>
      <c r="PGY5" s="11"/>
      <c r="PGZ5" s="11"/>
      <c r="PHA5" s="11"/>
      <c r="PHB5" s="11"/>
      <c r="PHC5" s="11"/>
      <c r="PHD5" s="11"/>
      <c r="PHE5" s="11"/>
      <c r="PHF5" s="11"/>
      <c r="PHG5" s="11"/>
      <c r="PHH5" s="11"/>
      <c r="PHI5" s="11"/>
      <c r="PHJ5" s="11"/>
      <c r="PHK5" s="11"/>
      <c r="PHL5" s="11"/>
      <c r="PHM5" s="11"/>
      <c r="PHN5" s="11"/>
      <c r="PHO5" s="11"/>
      <c r="PHP5" s="11"/>
      <c r="PHQ5" s="11"/>
      <c r="PHR5" s="11"/>
      <c r="PHS5" s="11"/>
      <c r="PHT5" s="11"/>
      <c r="PHU5" s="11"/>
      <c r="PHV5" s="11"/>
      <c r="PHW5" s="11"/>
      <c r="PHX5" s="11"/>
      <c r="PHY5" s="11"/>
      <c r="PHZ5" s="11"/>
      <c r="PIA5" s="11"/>
      <c r="PIB5" s="11"/>
      <c r="PIC5" s="11"/>
      <c r="PID5" s="11"/>
      <c r="PIE5" s="11"/>
      <c r="PIF5" s="11"/>
      <c r="PIG5" s="11"/>
      <c r="PIH5" s="11"/>
      <c r="PII5" s="11"/>
      <c r="PIJ5" s="11"/>
      <c r="PIK5" s="11"/>
      <c r="PIL5" s="11"/>
      <c r="PIM5" s="11"/>
      <c r="PIN5" s="11"/>
      <c r="PIO5" s="11"/>
      <c r="PIP5" s="11"/>
      <c r="PIQ5" s="11"/>
      <c r="PIR5" s="11"/>
      <c r="PIS5" s="11"/>
      <c r="PIT5" s="11"/>
      <c r="PIU5" s="11"/>
      <c r="PIV5" s="11"/>
      <c r="PIW5" s="11"/>
      <c r="PIX5" s="11"/>
      <c r="PIY5" s="11"/>
      <c r="PIZ5" s="11"/>
      <c r="PJA5" s="11"/>
      <c r="PJB5" s="11"/>
      <c r="PJC5" s="11"/>
      <c r="PJD5" s="11"/>
      <c r="PJE5" s="11"/>
      <c r="PJF5" s="11"/>
      <c r="PJG5" s="11"/>
      <c r="PJH5" s="11"/>
      <c r="PJI5" s="11"/>
      <c r="PJJ5" s="11"/>
      <c r="PJK5" s="11"/>
      <c r="PJL5" s="11"/>
      <c r="PJM5" s="11"/>
      <c r="PJN5" s="11"/>
      <c r="PJO5" s="11"/>
      <c r="PJP5" s="11"/>
      <c r="PJQ5" s="11"/>
      <c r="PJR5" s="11"/>
      <c r="PJS5" s="11"/>
      <c r="PJT5" s="11"/>
      <c r="PJU5" s="11"/>
      <c r="PJV5" s="11"/>
      <c r="PJW5" s="11"/>
      <c r="PJX5" s="11"/>
      <c r="PJY5" s="11"/>
      <c r="PJZ5" s="11"/>
      <c r="PKA5" s="11"/>
      <c r="PKB5" s="11"/>
      <c r="PKC5" s="11"/>
      <c r="PKD5" s="11"/>
      <c r="PKE5" s="11"/>
      <c r="PKF5" s="11"/>
      <c r="PKG5" s="11"/>
      <c r="PKH5" s="11"/>
      <c r="PKI5" s="11"/>
      <c r="PKJ5" s="11"/>
      <c r="PKK5" s="11"/>
      <c r="PKL5" s="11"/>
      <c r="PKM5" s="11"/>
      <c r="PKN5" s="11"/>
      <c r="PKO5" s="11"/>
      <c r="PKP5" s="11"/>
      <c r="PKQ5" s="11"/>
      <c r="PKR5" s="11"/>
      <c r="PKS5" s="11"/>
      <c r="PKT5" s="11"/>
      <c r="PKU5" s="11"/>
      <c r="PKV5" s="11"/>
      <c r="PKW5" s="11"/>
      <c r="PKX5" s="11"/>
      <c r="PKY5" s="11"/>
      <c r="PKZ5" s="11"/>
      <c r="PLA5" s="11"/>
      <c r="PLB5" s="11"/>
      <c r="PLC5" s="11"/>
      <c r="PLD5" s="11"/>
      <c r="PLE5" s="11"/>
      <c r="PLF5" s="11"/>
      <c r="PLG5" s="11"/>
      <c r="PLH5" s="11"/>
      <c r="PLI5" s="11"/>
      <c r="PLJ5" s="11"/>
      <c r="PLK5" s="11"/>
      <c r="PLL5" s="11"/>
      <c r="PLM5" s="11"/>
      <c r="PLN5" s="11"/>
      <c r="PLO5" s="11"/>
      <c r="PLP5" s="11"/>
      <c r="PLQ5" s="11"/>
      <c r="PLR5" s="11"/>
      <c r="PLS5" s="11"/>
      <c r="PLT5" s="11"/>
      <c r="PLU5" s="11"/>
      <c r="PLV5" s="11"/>
      <c r="PLW5" s="11"/>
      <c r="PLX5" s="11"/>
      <c r="PLY5" s="11"/>
      <c r="PLZ5" s="11"/>
      <c r="PMA5" s="11"/>
      <c r="PMB5" s="11"/>
      <c r="PMC5" s="11"/>
      <c r="PMD5" s="11"/>
      <c r="PME5" s="11"/>
      <c r="PMF5" s="11"/>
      <c r="PMG5" s="11"/>
      <c r="PMH5" s="11"/>
      <c r="PMI5" s="11"/>
      <c r="PMJ5" s="11"/>
      <c r="PMK5" s="11"/>
      <c r="PML5" s="11"/>
      <c r="PMM5" s="11"/>
      <c r="PMN5" s="11"/>
      <c r="PMO5" s="11"/>
      <c r="PMP5" s="11"/>
      <c r="PMQ5" s="11"/>
      <c r="PMR5" s="11"/>
      <c r="PMS5" s="11"/>
      <c r="PMT5" s="11"/>
      <c r="PMU5" s="11"/>
      <c r="PMV5" s="11"/>
      <c r="PMW5" s="11"/>
      <c r="PMX5" s="11"/>
      <c r="PMY5" s="11"/>
      <c r="PMZ5" s="11"/>
      <c r="PNA5" s="11"/>
      <c r="PNB5" s="11"/>
      <c r="PNC5" s="11"/>
      <c r="PND5" s="11"/>
      <c r="PNE5" s="11"/>
      <c r="PNF5" s="11"/>
      <c r="PNG5" s="11"/>
      <c r="PNH5" s="11"/>
      <c r="PNI5" s="11"/>
      <c r="PNJ5" s="11"/>
      <c r="PNK5" s="11"/>
      <c r="PNL5" s="11"/>
      <c r="PNM5" s="11"/>
      <c r="PNN5" s="11"/>
      <c r="PNO5" s="11"/>
      <c r="PNP5" s="11"/>
      <c r="PNQ5" s="11"/>
      <c r="PNR5" s="11"/>
      <c r="PNS5" s="11"/>
      <c r="PNT5" s="11"/>
      <c r="PNU5" s="11"/>
      <c r="PNV5" s="11"/>
      <c r="PNW5" s="11"/>
      <c r="PNX5" s="11"/>
      <c r="PNY5" s="11"/>
      <c r="PNZ5" s="11"/>
      <c r="POA5" s="11"/>
      <c r="POB5" s="11"/>
      <c r="POC5" s="11"/>
      <c r="POD5" s="11"/>
      <c r="POE5" s="11"/>
      <c r="POF5" s="11"/>
      <c r="POG5" s="11"/>
      <c r="POH5" s="11"/>
      <c r="POI5" s="11"/>
      <c r="POJ5" s="11"/>
      <c r="POK5" s="11"/>
      <c r="POL5" s="11"/>
      <c r="POM5" s="11"/>
      <c r="PON5" s="11"/>
      <c r="POO5" s="11"/>
      <c r="POP5" s="11"/>
      <c r="POQ5" s="11"/>
      <c r="POR5" s="11"/>
      <c r="POS5" s="11"/>
      <c r="POT5" s="11"/>
      <c r="POU5" s="11"/>
      <c r="POV5" s="11"/>
      <c r="POW5" s="11"/>
      <c r="POX5" s="11"/>
      <c r="POY5" s="11"/>
      <c r="POZ5" s="11"/>
      <c r="PPA5" s="11"/>
      <c r="PPB5" s="11"/>
      <c r="PPC5" s="11"/>
      <c r="PPD5" s="11"/>
      <c r="PPE5" s="11"/>
      <c r="PPF5" s="11"/>
      <c r="PPG5" s="11"/>
      <c r="PPH5" s="11"/>
      <c r="PPI5" s="11"/>
      <c r="PPJ5" s="11"/>
      <c r="PPK5" s="11"/>
      <c r="PPL5" s="11"/>
      <c r="PPM5" s="11"/>
      <c r="PPN5" s="11"/>
      <c r="PPO5" s="11"/>
      <c r="PPP5" s="11"/>
      <c r="PPQ5" s="11"/>
      <c r="PPR5" s="11"/>
      <c r="PPS5" s="11"/>
      <c r="PPT5" s="11"/>
      <c r="PPU5" s="11"/>
      <c r="PPV5" s="11"/>
      <c r="PPW5" s="11"/>
      <c r="PPX5" s="11"/>
      <c r="PPY5" s="11"/>
      <c r="PPZ5" s="11"/>
      <c r="PQA5" s="11"/>
      <c r="PQB5" s="11"/>
      <c r="PQC5" s="11"/>
      <c r="PQD5" s="11"/>
      <c r="PQE5" s="11"/>
      <c r="PQF5" s="11"/>
      <c r="PQG5" s="11"/>
      <c r="PQH5" s="11"/>
      <c r="PQI5" s="11"/>
      <c r="PQJ5" s="11"/>
      <c r="PQK5" s="11"/>
      <c r="PQL5" s="11"/>
      <c r="PQM5" s="11"/>
      <c r="PQN5" s="11"/>
      <c r="PQO5" s="11"/>
      <c r="PQP5" s="11"/>
      <c r="PQQ5" s="11"/>
      <c r="PQR5" s="11"/>
      <c r="PQS5" s="11"/>
      <c r="PQT5" s="11"/>
      <c r="PQU5" s="11"/>
      <c r="PQV5" s="11"/>
      <c r="PQW5" s="11"/>
      <c r="PQX5" s="11"/>
      <c r="PQY5" s="11"/>
      <c r="PQZ5" s="11"/>
      <c r="PRA5" s="11"/>
      <c r="PRB5" s="11"/>
      <c r="PRC5" s="11"/>
      <c r="PRD5" s="11"/>
      <c r="PRE5" s="11"/>
      <c r="PRF5" s="11"/>
      <c r="PRG5" s="11"/>
      <c r="PRH5" s="11"/>
      <c r="PRI5" s="11"/>
      <c r="PRJ5" s="11"/>
      <c r="PRK5" s="11"/>
      <c r="PRL5" s="11"/>
      <c r="PRM5" s="11"/>
      <c r="PRN5" s="11"/>
      <c r="PRO5" s="11"/>
      <c r="PRP5" s="11"/>
      <c r="PRQ5" s="11"/>
      <c r="PRR5" s="11"/>
      <c r="PRS5" s="11"/>
      <c r="PRT5" s="11"/>
      <c r="PRU5" s="11"/>
      <c r="PRV5" s="11"/>
      <c r="PRW5" s="11"/>
      <c r="PRX5" s="11"/>
      <c r="PRY5" s="11"/>
      <c r="PRZ5" s="11"/>
      <c r="PSA5" s="11"/>
      <c r="PSB5" s="11"/>
      <c r="PSC5" s="11"/>
      <c r="PSD5" s="11"/>
      <c r="PSE5" s="11"/>
      <c r="PSF5" s="11"/>
      <c r="PSG5" s="11"/>
      <c r="PSH5" s="11"/>
      <c r="PSI5" s="11"/>
      <c r="PSJ5" s="11"/>
      <c r="PSK5" s="11"/>
      <c r="PSL5" s="11"/>
      <c r="PSM5" s="11"/>
      <c r="PSN5" s="11"/>
      <c r="PSO5" s="11"/>
      <c r="PSP5" s="11"/>
      <c r="PSQ5" s="11"/>
      <c r="PSR5" s="11"/>
      <c r="PSS5" s="11"/>
      <c r="PST5" s="11"/>
      <c r="PSU5" s="11"/>
      <c r="PSV5" s="11"/>
      <c r="PSW5" s="11"/>
      <c r="PSX5" s="11"/>
      <c r="PSY5" s="11"/>
      <c r="PSZ5" s="11"/>
      <c r="PTA5" s="11"/>
      <c r="PTB5" s="11"/>
      <c r="PTC5" s="11"/>
      <c r="PTD5" s="11"/>
      <c r="PTE5" s="11"/>
      <c r="PTF5" s="11"/>
      <c r="PTG5" s="11"/>
      <c r="PTH5" s="11"/>
      <c r="PTI5" s="11"/>
      <c r="PTJ5" s="11"/>
      <c r="PTK5" s="11"/>
      <c r="PTL5" s="11"/>
      <c r="PTM5" s="11"/>
      <c r="PTN5" s="11"/>
      <c r="PTO5" s="11"/>
      <c r="PTP5" s="11"/>
      <c r="PTQ5" s="11"/>
      <c r="PTR5" s="11"/>
      <c r="PTS5" s="11"/>
      <c r="PTT5" s="11"/>
      <c r="PTU5" s="11"/>
      <c r="PTV5" s="11"/>
      <c r="PTW5" s="11"/>
      <c r="PTX5" s="11"/>
      <c r="PTY5" s="11"/>
      <c r="PTZ5" s="11"/>
      <c r="PUA5" s="11"/>
      <c r="PUB5" s="11"/>
      <c r="PUC5" s="11"/>
      <c r="PUD5" s="11"/>
      <c r="PUE5" s="11"/>
      <c r="PUF5" s="11"/>
      <c r="PUG5" s="11"/>
      <c r="PUH5" s="11"/>
      <c r="PUI5" s="11"/>
      <c r="PUJ5" s="11"/>
      <c r="PUK5" s="11"/>
      <c r="PUL5" s="11"/>
      <c r="PUM5" s="11"/>
      <c r="PUN5" s="11"/>
      <c r="PUO5" s="11"/>
      <c r="PUP5" s="11"/>
      <c r="PUQ5" s="11"/>
      <c r="PUR5" s="11"/>
      <c r="PUS5" s="11"/>
      <c r="PUT5" s="11"/>
      <c r="PUU5" s="11"/>
      <c r="PUV5" s="11"/>
      <c r="PUW5" s="11"/>
      <c r="PUX5" s="11"/>
      <c r="PUY5" s="11"/>
      <c r="PUZ5" s="11"/>
      <c r="PVA5" s="11"/>
      <c r="PVB5" s="11"/>
      <c r="PVC5" s="11"/>
      <c r="PVD5" s="11"/>
      <c r="PVE5" s="11"/>
      <c r="PVF5" s="11"/>
      <c r="PVG5" s="11"/>
      <c r="PVH5" s="11"/>
      <c r="PVI5" s="11"/>
      <c r="PVJ5" s="11"/>
      <c r="PVK5" s="11"/>
      <c r="PVL5" s="11"/>
      <c r="PVM5" s="11"/>
      <c r="PVN5" s="11"/>
      <c r="PVO5" s="11"/>
      <c r="PVP5" s="11"/>
      <c r="PVQ5" s="11"/>
      <c r="PVR5" s="11"/>
      <c r="PVS5" s="11"/>
      <c r="PVT5" s="11"/>
      <c r="PVU5" s="11"/>
      <c r="PVV5" s="11"/>
      <c r="PVW5" s="11"/>
      <c r="PVX5" s="11"/>
      <c r="PVY5" s="11"/>
      <c r="PVZ5" s="11"/>
      <c r="PWA5" s="11"/>
      <c r="PWB5" s="11"/>
      <c r="PWC5" s="11"/>
      <c r="PWD5" s="11"/>
      <c r="PWE5" s="11"/>
      <c r="PWF5" s="11"/>
      <c r="PWG5" s="11"/>
      <c r="PWH5" s="11"/>
      <c r="PWI5" s="11"/>
      <c r="PWJ5" s="11"/>
      <c r="PWK5" s="11"/>
      <c r="PWL5" s="11"/>
      <c r="PWM5" s="11"/>
      <c r="PWN5" s="11"/>
      <c r="PWO5" s="11"/>
      <c r="PWP5" s="11"/>
      <c r="PWQ5" s="11"/>
      <c r="PWR5" s="11"/>
      <c r="PWS5" s="11"/>
      <c r="PWT5" s="11"/>
      <c r="PWU5" s="11"/>
      <c r="PWV5" s="11"/>
      <c r="PWW5" s="11"/>
      <c r="PWX5" s="11"/>
      <c r="PWY5" s="11"/>
      <c r="PWZ5" s="11"/>
      <c r="PXA5" s="11"/>
      <c r="PXB5" s="11"/>
      <c r="PXC5" s="11"/>
      <c r="PXD5" s="11"/>
      <c r="PXE5" s="11"/>
      <c r="PXF5" s="11"/>
      <c r="PXG5" s="11"/>
      <c r="PXH5" s="11"/>
      <c r="PXI5" s="11"/>
      <c r="PXJ5" s="11"/>
      <c r="PXK5" s="11"/>
      <c r="PXL5" s="11"/>
      <c r="PXM5" s="11"/>
      <c r="PXN5" s="11"/>
      <c r="PXO5" s="11"/>
      <c r="PXP5" s="11"/>
      <c r="PXQ5" s="11"/>
      <c r="PXR5" s="11"/>
      <c r="PXS5" s="11"/>
      <c r="PXT5" s="11"/>
      <c r="PXU5" s="11"/>
      <c r="PXV5" s="11"/>
      <c r="PXW5" s="11"/>
      <c r="PXX5" s="11"/>
      <c r="PXY5" s="11"/>
      <c r="PXZ5" s="11"/>
      <c r="PYA5" s="11"/>
      <c r="PYB5" s="11"/>
      <c r="PYC5" s="11"/>
      <c r="PYD5" s="11"/>
      <c r="PYE5" s="11"/>
      <c r="PYF5" s="11"/>
      <c r="PYG5" s="11"/>
      <c r="PYH5" s="11"/>
      <c r="PYI5" s="11"/>
      <c r="PYJ5" s="11"/>
      <c r="PYK5" s="11"/>
      <c r="PYL5" s="11"/>
      <c r="PYM5" s="11"/>
      <c r="PYN5" s="11"/>
      <c r="PYO5" s="11"/>
      <c r="PYP5" s="11"/>
      <c r="PYQ5" s="11"/>
      <c r="PYR5" s="11"/>
      <c r="PYS5" s="11"/>
      <c r="PYT5" s="11"/>
      <c r="PYU5" s="11"/>
      <c r="PYV5" s="11"/>
      <c r="PYW5" s="11"/>
      <c r="PYX5" s="11"/>
      <c r="PYY5" s="11"/>
      <c r="PYZ5" s="11"/>
      <c r="PZA5" s="11"/>
      <c r="PZB5" s="11"/>
      <c r="PZC5" s="11"/>
      <c r="PZD5" s="11"/>
      <c r="PZE5" s="11"/>
      <c r="PZF5" s="11"/>
      <c r="PZG5" s="11"/>
      <c r="PZH5" s="11"/>
      <c r="PZI5" s="11"/>
      <c r="PZJ5" s="11"/>
      <c r="PZK5" s="11"/>
      <c r="PZL5" s="11"/>
      <c r="PZM5" s="11"/>
      <c r="PZN5" s="11"/>
      <c r="PZO5" s="11"/>
      <c r="PZP5" s="11"/>
      <c r="PZQ5" s="11"/>
      <c r="PZR5" s="11"/>
      <c r="PZS5" s="11"/>
      <c r="PZT5" s="11"/>
      <c r="PZU5" s="11"/>
      <c r="PZV5" s="11"/>
      <c r="PZW5" s="11"/>
      <c r="PZX5" s="11"/>
      <c r="PZY5" s="11"/>
      <c r="PZZ5" s="11"/>
      <c r="QAA5" s="11"/>
      <c r="QAB5" s="11"/>
      <c r="QAC5" s="11"/>
      <c r="QAD5" s="11"/>
      <c r="QAE5" s="11"/>
      <c r="QAF5" s="11"/>
      <c r="QAG5" s="11"/>
      <c r="QAH5" s="11"/>
      <c r="QAI5" s="11"/>
      <c r="QAJ5" s="11"/>
      <c r="QAK5" s="11"/>
      <c r="QAL5" s="11"/>
      <c r="QAM5" s="11"/>
      <c r="QAN5" s="11"/>
      <c r="QAO5" s="11"/>
      <c r="QAP5" s="11"/>
      <c r="QAQ5" s="11"/>
      <c r="QAR5" s="11"/>
      <c r="QAS5" s="11"/>
      <c r="QAT5" s="11"/>
      <c r="QAU5" s="11"/>
      <c r="QAV5" s="11"/>
      <c r="QAW5" s="11"/>
      <c r="QAX5" s="11"/>
      <c r="QAY5" s="11"/>
      <c r="QAZ5" s="11"/>
      <c r="QBA5" s="11"/>
      <c r="QBB5" s="11"/>
      <c r="QBC5" s="11"/>
      <c r="QBD5" s="11"/>
      <c r="QBE5" s="11"/>
      <c r="QBF5" s="11"/>
      <c r="QBG5" s="11"/>
      <c r="QBH5" s="11"/>
      <c r="QBI5" s="11"/>
      <c r="QBJ5" s="11"/>
      <c r="QBK5" s="11"/>
      <c r="QBL5" s="11"/>
      <c r="QBM5" s="11"/>
      <c r="QBN5" s="11"/>
      <c r="QBO5" s="11"/>
      <c r="QBP5" s="11"/>
      <c r="QBQ5" s="11"/>
      <c r="QBR5" s="11"/>
      <c r="QBS5" s="11"/>
      <c r="QBT5" s="11"/>
      <c r="QBU5" s="11"/>
      <c r="QBV5" s="11"/>
      <c r="QBW5" s="11"/>
      <c r="QBX5" s="11"/>
      <c r="QBY5" s="11"/>
      <c r="QBZ5" s="11"/>
      <c r="QCA5" s="11"/>
      <c r="QCB5" s="11"/>
      <c r="QCC5" s="11"/>
      <c r="QCD5" s="11"/>
      <c r="QCE5" s="11"/>
      <c r="QCF5" s="11"/>
      <c r="QCG5" s="11"/>
      <c r="QCH5" s="11"/>
      <c r="QCI5" s="11"/>
      <c r="QCJ5" s="11"/>
      <c r="QCK5" s="11"/>
      <c r="QCL5" s="11"/>
      <c r="QCM5" s="11"/>
      <c r="QCN5" s="11"/>
      <c r="QCO5" s="11"/>
      <c r="QCP5" s="11"/>
      <c r="QCQ5" s="11"/>
      <c r="QCR5" s="11"/>
      <c r="QCS5" s="11"/>
      <c r="QCT5" s="11"/>
      <c r="QCU5" s="11"/>
      <c r="QCV5" s="11"/>
      <c r="QCW5" s="11"/>
      <c r="QCX5" s="11"/>
      <c r="QCY5" s="11"/>
      <c r="QCZ5" s="11"/>
      <c r="QDA5" s="11"/>
      <c r="QDB5" s="11"/>
      <c r="QDC5" s="11"/>
      <c r="QDD5" s="11"/>
      <c r="QDE5" s="11"/>
      <c r="QDF5" s="11"/>
      <c r="QDG5" s="11"/>
      <c r="QDH5" s="11"/>
      <c r="QDI5" s="11"/>
      <c r="QDJ5" s="11"/>
      <c r="QDK5" s="11"/>
      <c r="QDL5" s="11"/>
      <c r="QDM5" s="11"/>
      <c r="QDN5" s="11"/>
      <c r="QDO5" s="11"/>
      <c r="QDP5" s="11"/>
      <c r="QDQ5" s="11"/>
      <c r="QDR5" s="11"/>
      <c r="QDS5" s="11"/>
      <c r="QDT5" s="11"/>
      <c r="QDU5" s="11"/>
      <c r="QDV5" s="11"/>
      <c r="QDW5" s="11"/>
      <c r="QDX5" s="11"/>
      <c r="QDY5" s="11"/>
      <c r="QDZ5" s="11"/>
      <c r="QEA5" s="11"/>
      <c r="QEB5" s="11"/>
      <c r="QEC5" s="11"/>
      <c r="QED5" s="11"/>
      <c r="QEE5" s="11"/>
      <c r="QEF5" s="11"/>
      <c r="QEG5" s="11"/>
      <c r="QEH5" s="11"/>
      <c r="QEI5" s="11"/>
      <c r="QEJ5" s="11"/>
      <c r="QEK5" s="11"/>
      <c r="QEL5" s="11"/>
      <c r="QEM5" s="11"/>
      <c r="QEN5" s="11"/>
      <c r="QEO5" s="11"/>
      <c r="QEP5" s="11"/>
      <c r="QEQ5" s="11"/>
      <c r="QER5" s="11"/>
      <c r="QES5" s="11"/>
      <c r="QET5" s="11"/>
      <c r="QEU5" s="11"/>
      <c r="QEV5" s="11"/>
      <c r="QEW5" s="11"/>
      <c r="QEX5" s="11"/>
      <c r="QEY5" s="11"/>
      <c r="QEZ5" s="11"/>
      <c r="QFA5" s="11"/>
      <c r="QFB5" s="11"/>
      <c r="QFC5" s="11"/>
      <c r="QFD5" s="11"/>
      <c r="QFE5" s="11"/>
      <c r="QFF5" s="11"/>
      <c r="QFG5" s="11"/>
      <c r="QFH5" s="11"/>
      <c r="QFI5" s="11"/>
      <c r="QFJ5" s="11"/>
      <c r="QFK5" s="11"/>
      <c r="QFL5" s="11"/>
      <c r="QFM5" s="11"/>
      <c r="QFN5" s="11"/>
      <c r="QFO5" s="11"/>
      <c r="QFP5" s="11"/>
      <c r="QFQ5" s="11"/>
      <c r="QFR5" s="11"/>
      <c r="QFS5" s="11"/>
      <c r="QFT5" s="11"/>
      <c r="QFU5" s="11"/>
      <c r="QFV5" s="11"/>
      <c r="QFW5" s="11"/>
      <c r="QFX5" s="11"/>
      <c r="QFY5" s="11"/>
      <c r="QFZ5" s="11"/>
      <c r="QGA5" s="11"/>
      <c r="QGB5" s="11"/>
      <c r="QGC5" s="11"/>
      <c r="QGD5" s="11"/>
      <c r="QGE5" s="11"/>
      <c r="QGF5" s="11"/>
      <c r="QGG5" s="11"/>
      <c r="QGH5" s="11"/>
      <c r="QGI5" s="11"/>
      <c r="QGJ5" s="11"/>
      <c r="QGK5" s="11"/>
      <c r="QGL5" s="11"/>
      <c r="QGM5" s="11"/>
      <c r="QGN5" s="11"/>
      <c r="QGO5" s="11"/>
      <c r="QGP5" s="11"/>
      <c r="QGQ5" s="11"/>
      <c r="QGR5" s="11"/>
      <c r="QGS5" s="11"/>
      <c r="QGT5" s="11"/>
      <c r="QGU5" s="11"/>
      <c r="QGV5" s="11"/>
      <c r="QGW5" s="11"/>
      <c r="QGX5" s="11"/>
      <c r="QGY5" s="11"/>
      <c r="QGZ5" s="11"/>
      <c r="QHA5" s="11"/>
      <c r="QHB5" s="11"/>
      <c r="QHC5" s="11"/>
      <c r="QHD5" s="11"/>
      <c r="QHE5" s="11"/>
      <c r="QHF5" s="11"/>
      <c r="QHG5" s="11"/>
      <c r="QHH5" s="11"/>
      <c r="QHI5" s="11"/>
      <c r="QHJ5" s="11"/>
      <c r="QHK5" s="11"/>
      <c r="QHL5" s="11"/>
      <c r="QHM5" s="11"/>
      <c r="QHN5" s="11"/>
      <c r="QHO5" s="11"/>
      <c r="QHP5" s="11"/>
      <c r="QHQ5" s="11"/>
      <c r="QHR5" s="11"/>
      <c r="QHS5" s="11"/>
      <c r="QHT5" s="11"/>
      <c r="QHU5" s="11"/>
      <c r="QHV5" s="11"/>
      <c r="QHW5" s="11"/>
      <c r="QHX5" s="11"/>
      <c r="QHY5" s="11"/>
      <c r="QHZ5" s="11"/>
      <c r="QIA5" s="11"/>
      <c r="QIB5" s="11"/>
      <c r="QIC5" s="11"/>
      <c r="QID5" s="11"/>
      <c r="QIE5" s="11"/>
      <c r="QIF5" s="11"/>
      <c r="QIG5" s="11"/>
      <c r="QIH5" s="11"/>
      <c r="QII5" s="11"/>
      <c r="QIJ5" s="11"/>
      <c r="QIK5" s="11"/>
      <c r="QIL5" s="11"/>
      <c r="QIM5" s="11"/>
      <c r="QIN5" s="11"/>
      <c r="QIO5" s="11"/>
      <c r="QIP5" s="11"/>
      <c r="QIQ5" s="11"/>
      <c r="QIR5" s="11"/>
      <c r="QIS5" s="11"/>
      <c r="QIT5" s="11"/>
      <c r="QIU5" s="11"/>
      <c r="QIV5" s="11"/>
      <c r="QIW5" s="11"/>
      <c r="QIX5" s="11"/>
      <c r="QIY5" s="11"/>
      <c r="QIZ5" s="11"/>
      <c r="QJA5" s="11"/>
      <c r="QJB5" s="11"/>
      <c r="QJC5" s="11"/>
      <c r="QJD5" s="11"/>
      <c r="QJE5" s="11"/>
      <c r="QJF5" s="11"/>
      <c r="QJG5" s="11"/>
      <c r="QJH5" s="11"/>
      <c r="QJI5" s="11"/>
      <c r="QJJ5" s="11"/>
      <c r="QJK5" s="11"/>
      <c r="QJL5" s="11"/>
      <c r="QJM5" s="11"/>
      <c r="QJN5" s="11"/>
      <c r="QJO5" s="11"/>
      <c r="QJP5" s="11"/>
      <c r="QJQ5" s="11"/>
      <c r="QJR5" s="11"/>
      <c r="QJS5" s="11"/>
      <c r="QJT5" s="11"/>
      <c r="QJU5" s="11"/>
      <c r="QJV5" s="11"/>
      <c r="QJW5" s="11"/>
      <c r="QJX5" s="11"/>
      <c r="QJY5" s="11"/>
      <c r="QJZ5" s="11"/>
      <c r="QKA5" s="11"/>
      <c r="QKB5" s="11"/>
      <c r="QKC5" s="11"/>
      <c r="QKD5" s="11"/>
      <c r="QKE5" s="11"/>
      <c r="QKF5" s="11"/>
      <c r="QKG5" s="11"/>
      <c r="QKH5" s="11"/>
      <c r="QKI5" s="11"/>
      <c r="QKJ5" s="11"/>
      <c r="QKK5" s="11"/>
      <c r="QKL5" s="11"/>
      <c r="QKM5" s="11"/>
      <c r="QKN5" s="11"/>
      <c r="QKO5" s="11"/>
      <c r="QKP5" s="11"/>
      <c r="QKQ5" s="11"/>
      <c r="QKR5" s="11"/>
      <c r="QKS5" s="11"/>
      <c r="QKT5" s="11"/>
      <c r="QKU5" s="11"/>
      <c r="QKV5" s="11"/>
      <c r="QKW5" s="11"/>
      <c r="QKX5" s="11"/>
      <c r="QKY5" s="11"/>
      <c r="QKZ5" s="11"/>
      <c r="QLA5" s="11"/>
      <c r="QLB5" s="11"/>
      <c r="QLC5" s="11"/>
      <c r="QLD5" s="11"/>
      <c r="QLE5" s="11"/>
      <c r="QLF5" s="11"/>
      <c r="QLG5" s="11"/>
      <c r="QLH5" s="11"/>
      <c r="QLI5" s="11"/>
      <c r="QLJ5" s="11"/>
      <c r="QLK5" s="11"/>
      <c r="QLL5" s="11"/>
      <c r="QLM5" s="11"/>
      <c r="QLN5" s="11"/>
      <c r="QLO5" s="11"/>
      <c r="QLP5" s="11"/>
      <c r="QLQ5" s="11"/>
      <c r="QLR5" s="11"/>
      <c r="QLS5" s="11"/>
      <c r="QLT5" s="11"/>
      <c r="QLU5" s="11"/>
      <c r="QLV5" s="11"/>
      <c r="QLW5" s="11"/>
      <c r="QLX5" s="11"/>
      <c r="QLY5" s="11"/>
      <c r="QLZ5" s="11"/>
      <c r="QMA5" s="11"/>
      <c r="QMB5" s="11"/>
      <c r="QMC5" s="11"/>
      <c r="QMD5" s="11"/>
      <c r="QME5" s="11"/>
      <c r="QMF5" s="11"/>
      <c r="QMG5" s="11"/>
      <c r="QMH5" s="11"/>
      <c r="QMI5" s="11"/>
      <c r="QMJ5" s="11"/>
      <c r="QMK5" s="11"/>
      <c r="QML5" s="11"/>
      <c r="QMM5" s="11"/>
      <c r="QMN5" s="11"/>
      <c r="QMO5" s="11"/>
      <c r="QMP5" s="11"/>
      <c r="QMQ5" s="11"/>
      <c r="QMR5" s="11"/>
      <c r="QMS5" s="11"/>
      <c r="QMT5" s="11"/>
      <c r="QMU5" s="11"/>
      <c r="QMV5" s="11"/>
      <c r="QMW5" s="11"/>
      <c r="QMX5" s="11"/>
      <c r="QMY5" s="11"/>
      <c r="QMZ5" s="11"/>
      <c r="QNA5" s="11"/>
      <c r="QNB5" s="11"/>
      <c r="QNC5" s="11"/>
      <c r="QND5" s="11"/>
      <c r="QNE5" s="11"/>
      <c r="QNF5" s="11"/>
      <c r="QNG5" s="11"/>
      <c r="QNH5" s="11"/>
      <c r="QNI5" s="11"/>
      <c r="QNJ5" s="11"/>
      <c r="QNK5" s="11"/>
      <c r="QNL5" s="11"/>
      <c r="QNM5" s="11"/>
      <c r="QNN5" s="11"/>
      <c r="QNO5" s="11"/>
      <c r="QNP5" s="11"/>
      <c r="QNQ5" s="11"/>
      <c r="QNR5" s="11"/>
      <c r="QNS5" s="11"/>
      <c r="QNT5" s="11"/>
      <c r="QNU5" s="11"/>
      <c r="QNV5" s="11"/>
      <c r="QNW5" s="11"/>
      <c r="QNX5" s="11"/>
      <c r="QNY5" s="11"/>
      <c r="QNZ5" s="11"/>
      <c r="QOA5" s="11"/>
      <c r="QOB5" s="11"/>
      <c r="QOC5" s="11"/>
      <c r="QOD5" s="11"/>
      <c r="QOE5" s="11"/>
      <c r="QOF5" s="11"/>
      <c r="QOG5" s="11"/>
      <c r="QOH5" s="11"/>
      <c r="QOI5" s="11"/>
      <c r="QOJ5" s="11"/>
      <c r="QOK5" s="11"/>
      <c r="QOL5" s="11"/>
      <c r="QOM5" s="11"/>
      <c r="QON5" s="11"/>
      <c r="QOO5" s="11"/>
      <c r="QOP5" s="11"/>
      <c r="QOQ5" s="11"/>
      <c r="QOR5" s="11"/>
      <c r="QOS5" s="11"/>
      <c r="QOT5" s="11"/>
      <c r="QOU5" s="11"/>
      <c r="QOV5" s="11"/>
      <c r="QOW5" s="11"/>
      <c r="QOX5" s="11"/>
      <c r="QOY5" s="11"/>
      <c r="QOZ5" s="11"/>
      <c r="QPA5" s="11"/>
      <c r="QPB5" s="11"/>
      <c r="QPC5" s="11"/>
      <c r="QPD5" s="11"/>
      <c r="QPE5" s="11"/>
      <c r="QPF5" s="11"/>
      <c r="QPG5" s="11"/>
      <c r="QPH5" s="11"/>
      <c r="QPI5" s="11"/>
      <c r="QPJ5" s="11"/>
      <c r="QPK5" s="11"/>
      <c r="QPL5" s="11"/>
      <c r="QPM5" s="11"/>
      <c r="QPN5" s="11"/>
      <c r="QPO5" s="11"/>
      <c r="QPP5" s="11"/>
      <c r="QPQ5" s="11"/>
      <c r="QPR5" s="11"/>
      <c r="QPS5" s="11"/>
      <c r="QPT5" s="11"/>
      <c r="QPU5" s="11"/>
      <c r="QPV5" s="11"/>
      <c r="QPW5" s="11"/>
      <c r="QPX5" s="11"/>
      <c r="QPY5" s="11"/>
      <c r="QPZ5" s="11"/>
      <c r="QQA5" s="11"/>
      <c r="QQB5" s="11"/>
      <c r="QQC5" s="11"/>
      <c r="QQD5" s="11"/>
      <c r="QQE5" s="11"/>
      <c r="QQF5" s="11"/>
      <c r="QQG5" s="11"/>
      <c r="QQH5" s="11"/>
      <c r="QQI5" s="11"/>
      <c r="QQJ5" s="11"/>
      <c r="QQK5" s="11"/>
      <c r="QQL5" s="11"/>
      <c r="QQM5" s="11"/>
      <c r="QQN5" s="11"/>
      <c r="QQO5" s="11"/>
      <c r="QQP5" s="11"/>
      <c r="QQQ5" s="11"/>
      <c r="QQR5" s="11"/>
      <c r="QQS5" s="11"/>
      <c r="QQT5" s="11"/>
      <c r="QQU5" s="11"/>
      <c r="QQV5" s="11"/>
      <c r="QQW5" s="11"/>
      <c r="QQX5" s="11"/>
      <c r="QQY5" s="11"/>
      <c r="QQZ5" s="11"/>
      <c r="QRA5" s="11"/>
      <c r="QRB5" s="11"/>
      <c r="QRC5" s="11"/>
      <c r="QRD5" s="11"/>
      <c r="QRE5" s="11"/>
      <c r="QRF5" s="11"/>
      <c r="QRG5" s="11"/>
      <c r="QRH5" s="11"/>
      <c r="QRI5" s="11"/>
      <c r="QRJ5" s="11"/>
      <c r="QRK5" s="11"/>
      <c r="QRL5" s="11"/>
      <c r="QRM5" s="11"/>
      <c r="QRN5" s="11"/>
      <c r="QRO5" s="11"/>
      <c r="QRP5" s="11"/>
      <c r="QRQ5" s="11"/>
      <c r="QRR5" s="11"/>
      <c r="QRS5" s="11"/>
      <c r="QRT5" s="11"/>
      <c r="QRU5" s="11"/>
      <c r="QRV5" s="11"/>
      <c r="QRW5" s="11"/>
      <c r="QRX5" s="11"/>
      <c r="QRY5" s="11"/>
      <c r="QRZ5" s="11"/>
      <c r="QSA5" s="11"/>
      <c r="QSB5" s="11"/>
      <c r="QSC5" s="11"/>
      <c r="QSD5" s="11"/>
      <c r="QSE5" s="11"/>
      <c r="QSF5" s="11"/>
      <c r="QSG5" s="11"/>
      <c r="QSH5" s="11"/>
      <c r="QSI5" s="11"/>
      <c r="QSJ5" s="11"/>
      <c r="QSK5" s="11"/>
      <c r="QSL5" s="11"/>
      <c r="QSM5" s="11"/>
      <c r="QSN5" s="11"/>
      <c r="QSO5" s="11"/>
      <c r="QSP5" s="11"/>
      <c r="QSQ5" s="11"/>
      <c r="QSR5" s="11"/>
      <c r="QSS5" s="11"/>
      <c r="QST5" s="11"/>
      <c r="QSU5" s="11"/>
      <c r="QSV5" s="11"/>
      <c r="QSW5" s="11"/>
      <c r="QSX5" s="11"/>
      <c r="QSY5" s="11"/>
      <c r="QSZ5" s="11"/>
      <c r="QTA5" s="11"/>
      <c r="QTB5" s="11"/>
      <c r="QTC5" s="11"/>
      <c r="QTD5" s="11"/>
      <c r="QTE5" s="11"/>
      <c r="QTF5" s="11"/>
      <c r="QTG5" s="11"/>
      <c r="QTH5" s="11"/>
      <c r="QTI5" s="11"/>
      <c r="QTJ5" s="11"/>
      <c r="QTK5" s="11"/>
      <c r="QTL5" s="11"/>
      <c r="QTM5" s="11"/>
      <c r="QTN5" s="11"/>
      <c r="QTO5" s="11"/>
      <c r="QTP5" s="11"/>
      <c r="QTQ5" s="11"/>
      <c r="QTR5" s="11"/>
      <c r="QTS5" s="11"/>
      <c r="QTT5" s="11"/>
      <c r="QTU5" s="11"/>
      <c r="QTV5" s="11"/>
      <c r="QTW5" s="11"/>
      <c r="QTX5" s="11"/>
      <c r="QTY5" s="11"/>
      <c r="QTZ5" s="11"/>
      <c r="QUA5" s="11"/>
      <c r="QUB5" s="11"/>
      <c r="QUC5" s="11"/>
      <c r="QUD5" s="11"/>
      <c r="QUE5" s="11"/>
      <c r="QUF5" s="11"/>
      <c r="QUG5" s="11"/>
      <c r="QUH5" s="11"/>
      <c r="QUI5" s="11"/>
      <c r="QUJ5" s="11"/>
      <c r="QUK5" s="11"/>
      <c r="QUL5" s="11"/>
      <c r="QUM5" s="11"/>
      <c r="QUN5" s="11"/>
      <c r="QUO5" s="11"/>
      <c r="QUP5" s="11"/>
      <c r="QUQ5" s="11"/>
      <c r="QUR5" s="11"/>
      <c r="QUS5" s="11"/>
      <c r="QUT5" s="11"/>
      <c r="QUU5" s="11"/>
      <c r="QUV5" s="11"/>
      <c r="QUW5" s="11"/>
      <c r="QUX5" s="11"/>
      <c r="QUY5" s="11"/>
      <c r="QUZ5" s="11"/>
      <c r="QVA5" s="11"/>
      <c r="QVB5" s="11"/>
      <c r="QVC5" s="11"/>
      <c r="QVD5" s="11"/>
      <c r="QVE5" s="11"/>
      <c r="QVF5" s="11"/>
      <c r="QVG5" s="11"/>
      <c r="QVH5" s="11"/>
      <c r="QVI5" s="11"/>
      <c r="QVJ5" s="11"/>
      <c r="QVK5" s="11"/>
      <c r="QVL5" s="11"/>
      <c r="QVM5" s="11"/>
      <c r="QVN5" s="11"/>
      <c r="QVO5" s="11"/>
      <c r="QVP5" s="11"/>
      <c r="QVQ5" s="11"/>
      <c r="QVR5" s="11"/>
      <c r="QVS5" s="11"/>
      <c r="QVT5" s="11"/>
      <c r="QVU5" s="11"/>
      <c r="QVV5" s="11"/>
      <c r="QVW5" s="11"/>
      <c r="QVX5" s="11"/>
      <c r="QVY5" s="11"/>
      <c r="QVZ5" s="11"/>
      <c r="QWA5" s="11"/>
      <c r="QWB5" s="11"/>
      <c r="QWC5" s="11"/>
      <c r="QWD5" s="11"/>
      <c r="QWE5" s="11"/>
      <c r="QWF5" s="11"/>
      <c r="QWG5" s="11"/>
      <c r="QWH5" s="11"/>
      <c r="QWI5" s="11"/>
      <c r="QWJ5" s="11"/>
      <c r="QWK5" s="11"/>
      <c r="QWL5" s="11"/>
      <c r="QWM5" s="11"/>
      <c r="QWN5" s="11"/>
      <c r="QWO5" s="11"/>
      <c r="QWP5" s="11"/>
      <c r="QWQ5" s="11"/>
      <c r="QWR5" s="11"/>
      <c r="QWS5" s="11"/>
      <c r="QWT5" s="11"/>
      <c r="QWU5" s="11"/>
      <c r="QWV5" s="11"/>
      <c r="QWW5" s="11"/>
      <c r="QWX5" s="11"/>
      <c r="QWY5" s="11"/>
      <c r="QWZ5" s="11"/>
      <c r="QXA5" s="11"/>
      <c r="QXB5" s="11"/>
      <c r="QXC5" s="11"/>
      <c r="QXD5" s="11"/>
      <c r="QXE5" s="11"/>
      <c r="QXF5" s="11"/>
      <c r="QXG5" s="11"/>
      <c r="QXH5" s="11"/>
      <c r="QXI5" s="11"/>
      <c r="QXJ5" s="11"/>
      <c r="QXK5" s="11"/>
      <c r="QXL5" s="11"/>
      <c r="QXM5" s="11"/>
      <c r="QXN5" s="11"/>
      <c r="QXO5" s="11"/>
      <c r="QXP5" s="11"/>
      <c r="QXQ5" s="11"/>
      <c r="QXR5" s="11"/>
      <c r="QXS5" s="11"/>
      <c r="QXT5" s="11"/>
      <c r="QXU5" s="11"/>
      <c r="QXV5" s="11"/>
      <c r="QXW5" s="11"/>
      <c r="QXX5" s="11"/>
      <c r="QXY5" s="11"/>
      <c r="QXZ5" s="11"/>
      <c r="QYA5" s="11"/>
      <c r="QYB5" s="11"/>
      <c r="QYC5" s="11"/>
      <c r="QYD5" s="11"/>
      <c r="QYE5" s="11"/>
      <c r="QYF5" s="11"/>
      <c r="QYG5" s="11"/>
      <c r="QYH5" s="11"/>
      <c r="QYI5" s="11"/>
      <c r="QYJ5" s="11"/>
      <c r="QYK5" s="11"/>
      <c r="QYL5" s="11"/>
      <c r="QYM5" s="11"/>
      <c r="QYN5" s="11"/>
      <c r="QYO5" s="11"/>
      <c r="QYP5" s="11"/>
      <c r="QYQ5" s="11"/>
      <c r="QYR5" s="11"/>
      <c r="QYS5" s="11"/>
      <c r="QYT5" s="11"/>
      <c r="QYU5" s="11"/>
      <c r="QYV5" s="11"/>
      <c r="QYW5" s="11"/>
      <c r="QYX5" s="11"/>
      <c r="QYY5" s="11"/>
      <c r="QYZ5" s="11"/>
      <c r="QZA5" s="11"/>
      <c r="QZB5" s="11"/>
      <c r="QZC5" s="11"/>
      <c r="QZD5" s="11"/>
      <c r="QZE5" s="11"/>
      <c r="QZF5" s="11"/>
      <c r="QZG5" s="11"/>
      <c r="QZH5" s="11"/>
      <c r="QZI5" s="11"/>
      <c r="QZJ5" s="11"/>
      <c r="QZK5" s="11"/>
      <c r="QZL5" s="11"/>
      <c r="QZM5" s="11"/>
      <c r="QZN5" s="11"/>
      <c r="QZO5" s="11"/>
      <c r="QZP5" s="11"/>
      <c r="QZQ5" s="11"/>
      <c r="QZR5" s="11"/>
      <c r="QZS5" s="11"/>
      <c r="QZT5" s="11"/>
      <c r="QZU5" s="11"/>
      <c r="QZV5" s="11"/>
      <c r="QZW5" s="11"/>
      <c r="QZX5" s="11"/>
      <c r="QZY5" s="11"/>
      <c r="QZZ5" s="11"/>
      <c r="RAA5" s="11"/>
      <c r="RAB5" s="11"/>
      <c r="RAC5" s="11"/>
      <c r="RAD5" s="11"/>
      <c r="RAE5" s="11"/>
      <c r="RAF5" s="11"/>
      <c r="RAG5" s="11"/>
      <c r="RAH5" s="11"/>
      <c r="RAI5" s="11"/>
      <c r="RAJ5" s="11"/>
      <c r="RAK5" s="11"/>
      <c r="RAL5" s="11"/>
      <c r="RAM5" s="11"/>
      <c r="RAN5" s="11"/>
      <c r="RAO5" s="11"/>
      <c r="RAP5" s="11"/>
      <c r="RAQ5" s="11"/>
      <c r="RAR5" s="11"/>
      <c r="RAS5" s="11"/>
      <c r="RAT5" s="11"/>
      <c r="RAU5" s="11"/>
      <c r="RAV5" s="11"/>
      <c r="RAW5" s="11"/>
      <c r="RAX5" s="11"/>
      <c r="RAY5" s="11"/>
      <c r="RAZ5" s="11"/>
      <c r="RBA5" s="11"/>
      <c r="RBB5" s="11"/>
      <c r="RBC5" s="11"/>
      <c r="RBD5" s="11"/>
      <c r="RBE5" s="11"/>
      <c r="RBF5" s="11"/>
      <c r="RBG5" s="11"/>
      <c r="RBH5" s="11"/>
      <c r="RBI5" s="11"/>
      <c r="RBJ5" s="11"/>
      <c r="RBK5" s="11"/>
      <c r="RBL5" s="11"/>
      <c r="RBM5" s="11"/>
      <c r="RBN5" s="11"/>
      <c r="RBO5" s="11"/>
      <c r="RBP5" s="11"/>
      <c r="RBQ5" s="11"/>
      <c r="RBR5" s="11"/>
      <c r="RBS5" s="11"/>
      <c r="RBT5" s="11"/>
      <c r="RBU5" s="11"/>
      <c r="RBV5" s="11"/>
      <c r="RBW5" s="11"/>
      <c r="RBX5" s="11"/>
      <c r="RBY5" s="11"/>
      <c r="RBZ5" s="11"/>
      <c r="RCA5" s="11"/>
      <c r="RCB5" s="11"/>
      <c r="RCC5" s="11"/>
      <c r="RCD5" s="11"/>
      <c r="RCE5" s="11"/>
      <c r="RCF5" s="11"/>
      <c r="RCG5" s="11"/>
      <c r="RCH5" s="11"/>
      <c r="RCI5" s="11"/>
      <c r="RCJ5" s="11"/>
      <c r="RCK5" s="11"/>
      <c r="RCL5" s="11"/>
      <c r="RCM5" s="11"/>
      <c r="RCN5" s="11"/>
      <c r="RCO5" s="11"/>
      <c r="RCP5" s="11"/>
      <c r="RCQ5" s="11"/>
      <c r="RCR5" s="11"/>
      <c r="RCS5" s="11"/>
      <c r="RCT5" s="11"/>
      <c r="RCU5" s="11"/>
      <c r="RCV5" s="11"/>
      <c r="RCW5" s="11"/>
      <c r="RCX5" s="11"/>
      <c r="RCY5" s="11"/>
      <c r="RCZ5" s="11"/>
      <c r="RDA5" s="11"/>
      <c r="RDB5" s="11"/>
      <c r="RDC5" s="11"/>
      <c r="RDD5" s="11"/>
      <c r="RDE5" s="11"/>
      <c r="RDF5" s="11"/>
      <c r="RDG5" s="11"/>
      <c r="RDH5" s="11"/>
      <c r="RDI5" s="11"/>
      <c r="RDJ5" s="11"/>
      <c r="RDK5" s="11"/>
      <c r="RDL5" s="11"/>
      <c r="RDM5" s="11"/>
      <c r="RDN5" s="11"/>
      <c r="RDO5" s="11"/>
      <c r="RDP5" s="11"/>
      <c r="RDQ5" s="11"/>
      <c r="RDR5" s="11"/>
      <c r="RDS5" s="11"/>
      <c r="RDT5" s="11"/>
      <c r="RDU5" s="11"/>
      <c r="RDV5" s="11"/>
      <c r="RDW5" s="11"/>
      <c r="RDX5" s="11"/>
      <c r="RDY5" s="11"/>
      <c r="RDZ5" s="11"/>
      <c r="REA5" s="11"/>
      <c r="REB5" s="11"/>
      <c r="REC5" s="11"/>
      <c r="RED5" s="11"/>
      <c r="REE5" s="11"/>
      <c r="REF5" s="11"/>
      <c r="REG5" s="11"/>
      <c r="REH5" s="11"/>
      <c r="REI5" s="11"/>
      <c r="REJ5" s="11"/>
      <c r="REK5" s="11"/>
      <c r="REL5" s="11"/>
      <c r="REM5" s="11"/>
      <c r="REN5" s="11"/>
      <c r="REO5" s="11"/>
      <c r="REP5" s="11"/>
      <c r="REQ5" s="11"/>
      <c r="RER5" s="11"/>
      <c r="RES5" s="11"/>
      <c r="RET5" s="11"/>
      <c r="REU5" s="11"/>
      <c r="REV5" s="11"/>
      <c r="REW5" s="11"/>
      <c r="REX5" s="11"/>
      <c r="REY5" s="11"/>
      <c r="REZ5" s="11"/>
      <c r="RFA5" s="11"/>
      <c r="RFB5" s="11"/>
      <c r="RFC5" s="11"/>
      <c r="RFD5" s="11"/>
      <c r="RFE5" s="11"/>
      <c r="RFF5" s="11"/>
      <c r="RFG5" s="11"/>
      <c r="RFH5" s="11"/>
      <c r="RFI5" s="11"/>
      <c r="RFJ5" s="11"/>
      <c r="RFK5" s="11"/>
      <c r="RFL5" s="11"/>
      <c r="RFM5" s="11"/>
      <c r="RFN5" s="11"/>
      <c r="RFO5" s="11"/>
      <c r="RFP5" s="11"/>
      <c r="RFQ5" s="11"/>
      <c r="RFR5" s="11"/>
      <c r="RFS5" s="11"/>
      <c r="RFT5" s="11"/>
      <c r="RFU5" s="11"/>
      <c r="RFV5" s="11"/>
      <c r="RFW5" s="11"/>
      <c r="RFX5" s="11"/>
      <c r="RFY5" s="11"/>
      <c r="RFZ5" s="11"/>
      <c r="RGA5" s="11"/>
      <c r="RGB5" s="11"/>
      <c r="RGC5" s="11"/>
      <c r="RGD5" s="11"/>
      <c r="RGE5" s="11"/>
      <c r="RGF5" s="11"/>
      <c r="RGG5" s="11"/>
      <c r="RGH5" s="11"/>
      <c r="RGI5" s="11"/>
      <c r="RGJ5" s="11"/>
      <c r="RGK5" s="11"/>
      <c r="RGL5" s="11"/>
      <c r="RGM5" s="11"/>
      <c r="RGN5" s="11"/>
      <c r="RGO5" s="11"/>
      <c r="RGP5" s="11"/>
      <c r="RGQ5" s="11"/>
      <c r="RGR5" s="11"/>
      <c r="RGS5" s="11"/>
      <c r="RGT5" s="11"/>
      <c r="RGU5" s="11"/>
      <c r="RGV5" s="11"/>
      <c r="RGW5" s="11"/>
      <c r="RGX5" s="11"/>
      <c r="RGY5" s="11"/>
      <c r="RGZ5" s="11"/>
      <c r="RHA5" s="11"/>
      <c r="RHB5" s="11"/>
      <c r="RHC5" s="11"/>
      <c r="RHD5" s="11"/>
      <c r="RHE5" s="11"/>
      <c r="RHF5" s="11"/>
      <c r="RHG5" s="11"/>
      <c r="RHH5" s="11"/>
      <c r="RHI5" s="11"/>
      <c r="RHJ5" s="11"/>
      <c r="RHK5" s="11"/>
      <c r="RHL5" s="11"/>
      <c r="RHM5" s="11"/>
      <c r="RHN5" s="11"/>
      <c r="RHO5" s="11"/>
      <c r="RHP5" s="11"/>
      <c r="RHQ5" s="11"/>
      <c r="RHR5" s="11"/>
      <c r="RHS5" s="11"/>
      <c r="RHT5" s="11"/>
      <c r="RHU5" s="11"/>
      <c r="RHV5" s="11"/>
      <c r="RHW5" s="11"/>
      <c r="RHX5" s="11"/>
      <c r="RHY5" s="11"/>
      <c r="RHZ5" s="11"/>
      <c r="RIA5" s="11"/>
      <c r="RIB5" s="11"/>
      <c r="RIC5" s="11"/>
      <c r="RID5" s="11"/>
      <c r="RIE5" s="11"/>
      <c r="RIF5" s="11"/>
      <c r="RIG5" s="11"/>
      <c r="RIH5" s="11"/>
      <c r="RII5" s="11"/>
      <c r="RIJ5" s="11"/>
      <c r="RIK5" s="11"/>
      <c r="RIL5" s="11"/>
      <c r="RIM5" s="11"/>
      <c r="RIN5" s="11"/>
      <c r="RIO5" s="11"/>
      <c r="RIP5" s="11"/>
      <c r="RIQ5" s="11"/>
      <c r="RIR5" s="11"/>
      <c r="RIS5" s="11"/>
      <c r="RIT5" s="11"/>
      <c r="RIU5" s="11"/>
      <c r="RIV5" s="11"/>
      <c r="RIW5" s="11"/>
      <c r="RIX5" s="11"/>
      <c r="RIY5" s="11"/>
      <c r="RIZ5" s="11"/>
      <c r="RJA5" s="11"/>
      <c r="RJB5" s="11"/>
      <c r="RJC5" s="11"/>
      <c r="RJD5" s="11"/>
      <c r="RJE5" s="11"/>
      <c r="RJF5" s="11"/>
      <c r="RJG5" s="11"/>
      <c r="RJH5" s="11"/>
      <c r="RJI5" s="11"/>
      <c r="RJJ5" s="11"/>
      <c r="RJK5" s="11"/>
      <c r="RJL5" s="11"/>
      <c r="RJM5" s="11"/>
      <c r="RJN5" s="11"/>
      <c r="RJO5" s="11"/>
      <c r="RJP5" s="11"/>
      <c r="RJQ5" s="11"/>
      <c r="RJR5" s="11"/>
      <c r="RJS5" s="11"/>
      <c r="RJT5" s="11"/>
      <c r="RJU5" s="11"/>
      <c r="RJV5" s="11"/>
      <c r="RJW5" s="11"/>
      <c r="RJX5" s="11"/>
      <c r="RJY5" s="11"/>
      <c r="RJZ5" s="11"/>
      <c r="RKA5" s="11"/>
      <c r="RKB5" s="11"/>
      <c r="RKC5" s="11"/>
      <c r="RKD5" s="11"/>
      <c r="RKE5" s="11"/>
      <c r="RKF5" s="11"/>
      <c r="RKG5" s="11"/>
      <c r="RKH5" s="11"/>
      <c r="RKI5" s="11"/>
      <c r="RKJ5" s="11"/>
      <c r="RKK5" s="11"/>
      <c r="RKL5" s="11"/>
      <c r="RKM5" s="11"/>
      <c r="RKN5" s="11"/>
      <c r="RKO5" s="11"/>
      <c r="RKP5" s="11"/>
      <c r="RKQ5" s="11"/>
      <c r="RKR5" s="11"/>
      <c r="RKS5" s="11"/>
      <c r="RKT5" s="11"/>
      <c r="RKU5" s="11"/>
      <c r="RKV5" s="11"/>
      <c r="RKW5" s="11"/>
      <c r="RKX5" s="11"/>
      <c r="RKY5" s="11"/>
      <c r="RKZ5" s="11"/>
      <c r="RLA5" s="11"/>
      <c r="RLB5" s="11"/>
      <c r="RLC5" s="11"/>
      <c r="RLD5" s="11"/>
      <c r="RLE5" s="11"/>
      <c r="RLF5" s="11"/>
      <c r="RLG5" s="11"/>
      <c r="RLH5" s="11"/>
      <c r="RLI5" s="11"/>
      <c r="RLJ5" s="11"/>
      <c r="RLK5" s="11"/>
      <c r="RLL5" s="11"/>
      <c r="RLM5" s="11"/>
      <c r="RLN5" s="11"/>
      <c r="RLO5" s="11"/>
      <c r="RLP5" s="11"/>
      <c r="RLQ5" s="11"/>
      <c r="RLR5" s="11"/>
      <c r="RLS5" s="11"/>
      <c r="RLT5" s="11"/>
      <c r="RLU5" s="11"/>
      <c r="RLV5" s="11"/>
      <c r="RLW5" s="11"/>
      <c r="RLX5" s="11"/>
      <c r="RLY5" s="11"/>
      <c r="RLZ5" s="11"/>
      <c r="RMA5" s="11"/>
      <c r="RMB5" s="11"/>
      <c r="RMC5" s="11"/>
      <c r="RMD5" s="11"/>
      <c r="RME5" s="11"/>
      <c r="RMF5" s="11"/>
      <c r="RMG5" s="11"/>
      <c r="RMH5" s="11"/>
      <c r="RMI5" s="11"/>
      <c r="RMJ5" s="11"/>
      <c r="RMK5" s="11"/>
      <c r="RML5" s="11"/>
      <c r="RMM5" s="11"/>
      <c r="RMN5" s="11"/>
      <c r="RMO5" s="11"/>
      <c r="RMP5" s="11"/>
      <c r="RMQ5" s="11"/>
      <c r="RMR5" s="11"/>
      <c r="RMS5" s="11"/>
      <c r="RMT5" s="11"/>
      <c r="RMU5" s="11"/>
      <c r="RMV5" s="11"/>
      <c r="RMW5" s="11"/>
      <c r="RMX5" s="11"/>
      <c r="RMY5" s="11"/>
      <c r="RMZ5" s="11"/>
      <c r="RNA5" s="11"/>
      <c r="RNB5" s="11"/>
      <c r="RNC5" s="11"/>
      <c r="RND5" s="11"/>
      <c r="RNE5" s="11"/>
      <c r="RNF5" s="11"/>
      <c r="RNG5" s="11"/>
      <c r="RNH5" s="11"/>
      <c r="RNI5" s="11"/>
      <c r="RNJ5" s="11"/>
      <c r="RNK5" s="11"/>
      <c r="RNL5" s="11"/>
      <c r="RNM5" s="11"/>
      <c r="RNN5" s="11"/>
      <c r="RNO5" s="11"/>
      <c r="RNP5" s="11"/>
      <c r="RNQ5" s="11"/>
      <c r="RNR5" s="11"/>
      <c r="RNS5" s="11"/>
      <c r="RNT5" s="11"/>
      <c r="RNU5" s="11"/>
      <c r="RNV5" s="11"/>
      <c r="RNW5" s="11"/>
      <c r="RNX5" s="11"/>
      <c r="RNY5" s="11"/>
      <c r="RNZ5" s="11"/>
      <c r="ROA5" s="11"/>
      <c r="ROB5" s="11"/>
      <c r="ROC5" s="11"/>
      <c r="ROD5" s="11"/>
      <c r="ROE5" s="11"/>
      <c r="ROF5" s="11"/>
      <c r="ROG5" s="11"/>
      <c r="ROH5" s="11"/>
      <c r="ROI5" s="11"/>
      <c r="ROJ5" s="11"/>
      <c r="ROK5" s="11"/>
      <c r="ROL5" s="11"/>
      <c r="ROM5" s="11"/>
      <c r="RON5" s="11"/>
      <c r="ROO5" s="11"/>
      <c r="ROP5" s="11"/>
      <c r="ROQ5" s="11"/>
      <c r="ROR5" s="11"/>
      <c r="ROS5" s="11"/>
      <c r="ROT5" s="11"/>
      <c r="ROU5" s="11"/>
      <c r="ROV5" s="11"/>
      <c r="ROW5" s="11"/>
      <c r="ROX5" s="11"/>
      <c r="ROY5" s="11"/>
      <c r="ROZ5" s="11"/>
      <c r="RPA5" s="11"/>
      <c r="RPB5" s="11"/>
      <c r="RPC5" s="11"/>
      <c r="RPD5" s="11"/>
      <c r="RPE5" s="11"/>
      <c r="RPF5" s="11"/>
      <c r="RPG5" s="11"/>
      <c r="RPH5" s="11"/>
      <c r="RPI5" s="11"/>
      <c r="RPJ5" s="11"/>
      <c r="RPK5" s="11"/>
      <c r="RPL5" s="11"/>
      <c r="RPM5" s="11"/>
      <c r="RPN5" s="11"/>
      <c r="RPO5" s="11"/>
      <c r="RPP5" s="11"/>
      <c r="RPQ5" s="11"/>
      <c r="RPR5" s="11"/>
      <c r="RPS5" s="11"/>
      <c r="RPT5" s="11"/>
      <c r="RPU5" s="11"/>
      <c r="RPV5" s="11"/>
      <c r="RPW5" s="11"/>
      <c r="RPX5" s="11"/>
      <c r="RPY5" s="11"/>
      <c r="RPZ5" s="11"/>
      <c r="RQA5" s="11"/>
      <c r="RQB5" s="11"/>
      <c r="RQC5" s="11"/>
      <c r="RQD5" s="11"/>
      <c r="RQE5" s="11"/>
      <c r="RQF5" s="11"/>
      <c r="RQG5" s="11"/>
      <c r="RQH5" s="11"/>
      <c r="RQI5" s="11"/>
      <c r="RQJ5" s="11"/>
      <c r="RQK5" s="11"/>
      <c r="RQL5" s="11"/>
      <c r="RQM5" s="11"/>
      <c r="RQN5" s="11"/>
      <c r="RQO5" s="11"/>
      <c r="RQP5" s="11"/>
      <c r="RQQ5" s="11"/>
      <c r="RQR5" s="11"/>
      <c r="RQS5" s="11"/>
      <c r="RQT5" s="11"/>
      <c r="RQU5" s="11"/>
      <c r="RQV5" s="11"/>
      <c r="RQW5" s="11"/>
      <c r="RQX5" s="11"/>
      <c r="RQY5" s="11"/>
      <c r="RQZ5" s="11"/>
      <c r="RRA5" s="11"/>
      <c r="RRB5" s="11"/>
      <c r="RRC5" s="11"/>
      <c r="RRD5" s="11"/>
      <c r="RRE5" s="11"/>
      <c r="RRF5" s="11"/>
      <c r="RRG5" s="11"/>
      <c r="RRH5" s="11"/>
      <c r="RRI5" s="11"/>
      <c r="RRJ5" s="11"/>
      <c r="RRK5" s="11"/>
      <c r="RRL5" s="11"/>
      <c r="RRM5" s="11"/>
      <c r="RRN5" s="11"/>
      <c r="RRO5" s="11"/>
      <c r="RRP5" s="11"/>
      <c r="RRQ5" s="11"/>
      <c r="RRR5" s="11"/>
      <c r="RRS5" s="11"/>
      <c r="RRT5" s="11"/>
      <c r="RRU5" s="11"/>
      <c r="RRV5" s="11"/>
      <c r="RRW5" s="11"/>
      <c r="RRX5" s="11"/>
      <c r="RRY5" s="11"/>
      <c r="RRZ5" s="11"/>
      <c r="RSA5" s="11"/>
      <c r="RSB5" s="11"/>
      <c r="RSC5" s="11"/>
      <c r="RSD5" s="11"/>
      <c r="RSE5" s="11"/>
      <c r="RSF5" s="11"/>
      <c r="RSG5" s="11"/>
      <c r="RSH5" s="11"/>
      <c r="RSI5" s="11"/>
      <c r="RSJ5" s="11"/>
      <c r="RSK5" s="11"/>
      <c r="RSL5" s="11"/>
      <c r="RSM5" s="11"/>
      <c r="RSN5" s="11"/>
      <c r="RSO5" s="11"/>
      <c r="RSP5" s="11"/>
      <c r="RSQ5" s="11"/>
      <c r="RSR5" s="11"/>
      <c r="RSS5" s="11"/>
      <c r="RST5" s="11"/>
      <c r="RSU5" s="11"/>
      <c r="RSV5" s="11"/>
      <c r="RSW5" s="11"/>
      <c r="RSX5" s="11"/>
      <c r="RSY5" s="11"/>
      <c r="RSZ5" s="11"/>
      <c r="RTA5" s="11"/>
      <c r="RTB5" s="11"/>
      <c r="RTC5" s="11"/>
      <c r="RTD5" s="11"/>
      <c r="RTE5" s="11"/>
      <c r="RTF5" s="11"/>
      <c r="RTG5" s="11"/>
      <c r="RTH5" s="11"/>
      <c r="RTI5" s="11"/>
      <c r="RTJ5" s="11"/>
      <c r="RTK5" s="11"/>
      <c r="RTL5" s="11"/>
      <c r="RTM5" s="11"/>
      <c r="RTN5" s="11"/>
      <c r="RTO5" s="11"/>
      <c r="RTP5" s="11"/>
      <c r="RTQ5" s="11"/>
      <c r="RTR5" s="11"/>
      <c r="RTS5" s="11"/>
      <c r="RTT5" s="11"/>
      <c r="RTU5" s="11"/>
      <c r="RTV5" s="11"/>
      <c r="RTW5" s="11"/>
      <c r="RTX5" s="11"/>
      <c r="RTY5" s="11"/>
      <c r="RTZ5" s="11"/>
      <c r="RUA5" s="11"/>
      <c r="RUB5" s="11"/>
      <c r="RUC5" s="11"/>
      <c r="RUD5" s="11"/>
      <c r="RUE5" s="11"/>
      <c r="RUF5" s="11"/>
      <c r="RUG5" s="11"/>
      <c r="RUH5" s="11"/>
      <c r="RUI5" s="11"/>
      <c r="RUJ5" s="11"/>
      <c r="RUK5" s="11"/>
      <c r="RUL5" s="11"/>
      <c r="RUM5" s="11"/>
      <c r="RUN5" s="11"/>
      <c r="RUO5" s="11"/>
      <c r="RUP5" s="11"/>
      <c r="RUQ5" s="11"/>
      <c r="RUR5" s="11"/>
      <c r="RUS5" s="11"/>
      <c r="RUT5" s="11"/>
      <c r="RUU5" s="11"/>
      <c r="RUV5" s="11"/>
      <c r="RUW5" s="11"/>
      <c r="RUX5" s="11"/>
      <c r="RUY5" s="11"/>
      <c r="RUZ5" s="11"/>
      <c r="RVA5" s="11"/>
      <c r="RVB5" s="11"/>
      <c r="RVC5" s="11"/>
      <c r="RVD5" s="11"/>
      <c r="RVE5" s="11"/>
      <c r="RVF5" s="11"/>
      <c r="RVG5" s="11"/>
      <c r="RVH5" s="11"/>
      <c r="RVI5" s="11"/>
      <c r="RVJ5" s="11"/>
      <c r="RVK5" s="11"/>
      <c r="RVL5" s="11"/>
      <c r="RVM5" s="11"/>
      <c r="RVN5" s="11"/>
      <c r="RVO5" s="11"/>
      <c r="RVP5" s="11"/>
      <c r="RVQ5" s="11"/>
      <c r="RVR5" s="11"/>
      <c r="RVS5" s="11"/>
      <c r="RVT5" s="11"/>
      <c r="RVU5" s="11"/>
      <c r="RVV5" s="11"/>
      <c r="RVW5" s="11"/>
      <c r="RVX5" s="11"/>
      <c r="RVY5" s="11"/>
      <c r="RVZ5" s="11"/>
      <c r="RWA5" s="11"/>
      <c r="RWB5" s="11"/>
      <c r="RWC5" s="11"/>
      <c r="RWD5" s="11"/>
      <c r="RWE5" s="11"/>
      <c r="RWF5" s="11"/>
      <c r="RWG5" s="11"/>
      <c r="RWH5" s="11"/>
      <c r="RWI5" s="11"/>
      <c r="RWJ5" s="11"/>
      <c r="RWK5" s="11"/>
      <c r="RWL5" s="11"/>
      <c r="RWM5" s="11"/>
      <c r="RWN5" s="11"/>
      <c r="RWO5" s="11"/>
      <c r="RWP5" s="11"/>
      <c r="RWQ5" s="11"/>
      <c r="RWR5" s="11"/>
      <c r="RWS5" s="11"/>
      <c r="RWT5" s="11"/>
      <c r="RWU5" s="11"/>
      <c r="RWV5" s="11"/>
      <c r="RWW5" s="11"/>
      <c r="RWX5" s="11"/>
      <c r="RWY5" s="11"/>
      <c r="RWZ5" s="11"/>
      <c r="RXA5" s="11"/>
      <c r="RXB5" s="11"/>
      <c r="RXC5" s="11"/>
      <c r="RXD5" s="11"/>
      <c r="RXE5" s="11"/>
      <c r="RXF5" s="11"/>
      <c r="RXG5" s="11"/>
      <c r="RXH5" s="11"/>
      <c r="RXI5" s="11"/>
      <c r="RXJ5" s="11"/>
      <c r="RXK5" s="11"/>
      <c r="RXL5" s="11"/>
      <c r="RXM5" s="11"/>
      <c r="RXN5" s="11"/>
      <c r="RXO5" s="11"/>
      <c r="RXP5" s="11"/>
      <c r="RXQ5" s="11"/>
      <c r="RXR5" s="11"/>
      <c r="RXS5" s="11"/>
      <c r="RXT5" s="11"/>
      <c r="RXU5" s="11"/>
      <c r="RXV5" s="11"/>
      <c r="RXW5" s="11"/>
      <c r="RXX5" s="11"/>
      <c r="RXY5" s="11"/>
      <c r="RXZ5" s="11"/>
      <c r="RYA5" s="11"/>
      <c r="RYB5" s="11"/>
      <c r="RYC5" s="11"/>
      <c r="RYD5" s="11"/>
      <c r="RYE5" s="11"/>
      <c r="RYF5" s="11"/>
      <c r="RYG5" s="11"/>
      <c r="RYH5" s="11"/>
      <c r="RYI5" s="11"/>
      <c r="RYJ5" s="11"/>
      <c r="RYK5" s="11"/>
      <c r="RYL5" s="11"/>
      <c r="RYM5" s="11"/>
      <c r="RYN5" s="11"/>
      <c r="RYO5" s="11"/>
      <c r="RYP5" s="11"/>
      <c r="RYQ5" s="11"/>
      <c r="RYR5" s="11"/>
      <c r="RYS5" s="11"/>
      <c r="RYT5" s="11"/>
      <c r="RYU5" s="11"/>
      <c r="RYV5" s="11"/>
      <c r="RYW5" s="11"/>
      <c r="RYX5" s="11"/>
      <c r="RYY5" s="11"/>
      <c r="RYZ5" s="11"/>
      <c r="RZA5" s="11"/>
      <c r="RZB5" s="11"/>
      <c r="RZC5" s="11"/>
      <c r="RZD5" s="11"/>
      <c r="RZE5" s="11"/>
      <c r="RZF5" s="11"/>
      <c r="RZG5" s="11"/>
      <c r="RZH5" s="11"/>
      <c r="RZI5" s="11"/>
      <c r="RZJ5" s="11"/>
      <c r="RZK5" s="11"/>
      <c r="RZL5" s="11"/>
      <c r="RZM5" s="11"/>
      <c r="RZN5" s="11"/>
      <c r="RZO5" s="11"/>
      <c r="RZP5" s="11"/>
      <c r="RZQ5" s="11"/>
      <c r="RZR5" s="11"/>
      <c r="RZS5" s="11"/>
      <c r="RZT5" s="11"/>
      <c r="RZU5" s="11"/>
      <c r="RZV5" s="11"/>
      <c r="RZW5" s="11"/>
      <c r="RZX5" s="11"/>
      <c r="RZY5" s="11"/>
      <c r="RZZ5" s="11"/>
      <c r="SAA5" s="11"/>
      <c r="SAB5" s="11"/>
      <c r="SAC5" s="11"/>
      <c r="SAD5" s="11"/>
      <c r="SAE5" s="11"/>
      <c r="SAF5" s="11"/>
      <c r="SAG5" s="11"/>
      <c r="SAH5" s="11"/>
      <c r="SAI5" s="11"/>
      <c r="SAJ5" s="11"/>
      <c r="SAK5" s="11"/>
      <c r="SAL5" s="11"/>
      <c r="SAM5" s="11"/>
      <c r="SAN5" s="11"/>
      <c r="SAO5" s="11"/>
      <c r="SAP5" s="11"/>
      <c r="SAQ5" s="11"/>
      <c r="SAR5" s="11"/>
      <c r="SAS5" s="11"/>
      <c r="SAT5" s="11"/>
      <c r="SAU5" s="11"/>
      <c r="SAV5" s="11"/>
      <c r="SAW5" s="11"/>
      <c r="SAX5" s="11"/>
      <c r="SAY5" s="11"/>
      <c r="SAZ5" s="11"/>
      <c r="SBA5" s="11"/>
      <c r="SBB5" s="11"/>
      <c r="SBC5" s="11"/>
      <c r="SBD5" s="11"/>
      <c r="SBE5" s="11"/>
      <c r="SBF5" s="11"/>
      <c r="SBG5" s="11"/>
      <c r="SBH5" s="11"/>
      <c r="SBI5" s="11"/>
      <c r="SBJ5" s="11"/>
      <c r="SBK5" s="11"/>
      <c r="SBL5" s="11"/>
      <c r="SBM5" s="11"/>
      <c r="SBN5" s="11"/>
      <c r="SBO5" s="11"/>
      <c r="SBP5" s="11"/>
      <c r="SBQ5" s="11"/>
      <c r="SBR5" s="11"/>
      <c r="SBS5" s="11"/>
      <c r="SBT5" s="11"/>
      <c r="SBU5" s="11"/>
      <c r="SBV5" s="11"/>
      <c r="SBW5" s="11"/>
      <c r="SBX5" s="11"/>
      <c r="SBY5" s="11"/>
      <c r="SBZ5" s="11"/>
      <c r="SCA5" s="11"/>
      <c r="SCB5" s="11"/>
      <c r="SCC5" s="11"/>
      <c r="SCD5" s="11"/>
      <c r="SCE5" s="11"/>
      <c r="SCF5" s="11"/>
      <c r="SCG5" s="11"/>
      <c r="SCH5" s="11"/>
      <c r="SCI5" s="11"/>
      <c r="SCJ5" s="11"/>
      <c r="SCK5" s="11"/>
      <c r="SCL5" s="11"/>
      <c r="SCM5" s="11"/>
      <c r="SCN5" s="11"/>
      <c r="SCO5" s="11"/>
      <c r="SCP5" s="11"/>
      <c r="SCQ5" s="11"/>
      <c r="SCR5" s="11"/>
      <c r="SCS5" s="11"/>
      <c r="SCT5" s="11"/>
      <c r="SCU5" s="11"/>
      <c r="SCV5" s="11"/>
      <c r="SCW5" s="11"/>
      <c r="SCX5" s="11"/>
      <c r="SCY5" s="11"/>
      <c r="SCZ5" s="11"/>
      <c r="SDA5" s="11"/>
      <c r="SDB5" s="11"/>
      <c r="SDC5" s="11"/>
      <c r="SDD5" s="11"/>
      <c r="SDE5" s="11"/>
      <c r="SDF5" s="11"/>
      <c r="SDG5" s="11"/>
      <c r="SDH5" s="11"/>
      <c r="SDI5" s="11"/>
      <c r="SDJ5" s="11"/>
      <c r="SDK5" s="11"/>
      <c r="SDL5" s="11"/>
      <c r="SDM5" s="11"/>
      <c r="SDN5" s="11"/>
      <c r="SDO5" s="11"/>
      <c r="SDP5" s="11"/>
      <c r="SDQ5" s="11"/>
      <c r="SDR5" s="11"/>
      <c r="SDS5" s="11"/>
      <c r="SDT5" s="11"/>
      <c r="SDU5" s="11"/>
      <c r="SDV5" s="11"/>
      <c r="SDW5" s="11"/>
      <c r="SDX5" s="11"/>
      <c r="SDY5" s="11"/>
      <c r="SDZ5" s="11"/>
      <c r="SEA5" s="11"/>
      <c r="SEB5" s="11"/>
      <c r="SEC5" s="11"/>
      <c r="SED5" s="11"/>
      <c r="SEE5" s="11"/>
      <c r="SEF5" s="11"/>
      <c r="SEG5" s="11"/>
      <c r="SEH5" s="11"/>
      <c r="SEI5" s="11"/>
      <c r="SEJ5" s="11"/>
      <c r="SEK5" s="11"/>
      <c r="SEL5" s="11"/>
      <c r="SEM5" s="11"/>
      <c r="SEN5" s="11"/>
      <c r="SEO5" s="11"/>
      <c r="SEP5" s="11"/>
      <c r="SEQ5" s="11"/>
      <c r="SER5" s="11"/>
      <c r="SES5" s="11"/>
      <c r="SET5" s="11"/>
      <c r="SEU5" s="11"/>
      <c r="SEV5" s="11"/>
      <c r="SEW5" s="11"/>
      <c r="SEX5" s="11"/>
      <c r="SEY5" s="11"/>
      <c r="SEZ5" s="11"/>
      <c r="SFA5" s="11"/>
      <c r="SFB5" s="11"/>
      <c r="SFC5" s="11"/>
      <c r="SFD5" s="11"/>
      <c r="SFE5" s="11"/>
      <c r="SFF5" s="11"/>
      <c r="SFG5" s="11"/>
      <c r="SFH5" s="11"/>
      <c r="SFI5" s="11"/>
      <c r="SFJ5" s="11"/>
      <c r="SFK5" s="11"/>
      <c r="SFL5" s="11"/>
      <c r="SFM5" s="11"/>
      <c r="SFN5" s="11"/>
      <c r="SFO5" s="11"/>
      <c r="SFP5" s="11"/>
      <c r="SFQ5" s="11"/>
      <c r="SFR5" s="11"/>
      <c r="SFS5" s="11"/>
      <c r="SFT5" s="11"/>
      <c r="SFU5" s="11"/>
      <c r="SFV5" s="11"/>
      <c r="SFW5" s="11"/>
      <c r="SFX5" s="11"/>
      <c r="SFY5" s="11"/>
      <c r="SFZ5" s="11"/>
      <c r="SGA5" s="11"/>
      <c r="SGB5" s="11"/>
      <c r="SGC5" s="11"/>
      <c r="SGD5" s="11"/>
      <c r="SGE5" s="11"/>
      <c r="SGF5" s="11"/>
      <c r="SGG5" s="11"/>
      <c r="SGH5" s="11"/>
      <c r="SGI5" s="11"/>
      <c r="SGJ5" s="11"/>
      <c r="SGK5" s="11"/>
      <c r="SGL5" s="11"/>
      <c r="SGM5" s="11"/>
      <c r="SGN5" s="11"/>
      <c r="SGO5" s="11"/>
      <c r="SGP5" s="11"/>
      <c r="SGQ5" s="11"/>
      <c r="SGR5" s="11"/>
      <c r="SGS5" s="11"/>
      <c r="SGT5" s="11"/>
      <c r="SGU5" s="11"/>
      <c r="SGV5" s="11"/>
      <c r="SGW5" s="11"/>
      <c r="SGX5" s="11"/>
      <c r="SGY5" s="11"/>
      <c r="SGZ5" s="11"/>
      <c r="SHA5" s="11"/>
      <c r="SHB5" s="11"/>
      <c r="SHC5" s="11"/>
      <c r="SHD5" s="11"/>
      <c r="SHE5" s="11"/>
      <c r="SHF5" s="11"/>
      <c r="SHG5" s="11"/>
      <c r="SHH5" s="11"/>
      <c r="SHI5" s="11"/>
      <c r="SHJ5" s="11"/>
      <c r="SHK5" s="11"/>
      <c r="SHL5" s="11"/>
      <c r="SHM5" s="11"/>
      <c r="SHN5" s="11"/>
      <c r="SHO5" s="11"/>
      <c r="SHP5" s="11"/>
      <c r="SHQ5" s="11"/>
      <c r="SHR5" s="11"/>
      <c r="SHS5" s="11"/>
      <c r="SHT5" s="11"/>
      <c r="SHU5" s="11"/>
      <c r="SHV5" s="11"/>
      <c r="SHW5" s="11"/>
      <c r="SHX5" s="11"/>
      <c r="SHY5" s="11"/>
      <c r="SHZ5" s="11"/>
      <c r="SIA5" s="11"/>
      <c r="SIB5" s="11"/>
      <c r="SIC5" s="11"/>
      <c r="SID5" s="11"/>
      <c r="SIE5" s="11"/>
      <c r="SIF5" s="11"/>
      <c r="SIG5" s="11"/>
      <c r="SIH5" s="11"/>
      <c r="SII5" s="11"/>
      <c r="SIJ5" s="11"/>
      <c r="SIK5" s="11"/>
      <c r="SIL5" s="11"/>
      <c r="SIM5" s="11"/>
      <c r="SIN5" s="11"/>
      <c r="SIO5" s="11"/>
      <c r="SIP5" s="11"/>
      <c r="SIQ5" s="11"/>
      <c r="SIR5" s="11"/>
      <c r="SIS5" s="11"/>
      <c r="SIT5" s="11"/>
      <c r="SIU5" s="11"/>
      <c r="SIV5" s="11"/>
      <c r="SIW5" s="11"/>
      <c r="SIX5" s="11"/>
      <c r="SIY5" s="11"/>
      <c r="SIZ5" s="11"/>
      <c r="SJA5" s="11"/>
      <c r="SJB5" s="11"/>
      <c r="SJC5" s="11"/>
      <c r="SJD5" s="11"/>
      <c r="SJE5" s="11"/>
      <c r="SJF5" s="11"/>
      <c r="SJG5" s="11"/>
      <c r="SJH5" s="11"/>
      <c r="SJI5" s="11"/>
      <c r="SJJ5" s="11"/>
      <c r="SJK5" s="11"/>
      <c r="SJL5" s="11"/>
      <c r="SJM5" s="11"/>
      <c r="SJN5" s="11"/>
      <c r="SJO5" s="11"/>
      <c r="SJP5" s="11"/>
      <c r="SJQ5" s="11"/>
      <c r="SJR5" s="11"/>
      <c r="SJS5" s="11"/>
      <c r="SJT5" s="11"/>
      <c r="SJU5" s="11"/>
      <c r="SJV5" s="11"/>
      <c r="SJW5" s="11"/>
      <c r="SJX5" s="11"/>
      <c r="SJY5" s="11"/>
      <c r="SJZ5" s="11"/>
      <c r="SKA5" s="11"/>
      <c r="SKB5" s="11"/>
      <c r="SKC5" s="11"/>
      <c r="SKD5" s="11"/>
      <c r="SKE5" s="11"/>
      <c r="SKF5" s="11"/>
      <c r="SKG5" s="11"/>
      <c r="SKH5" s="11"/>
      <c r="SKI5" s="11"/>
      <c r="SKJ5" s="11"/>
      <c r="SKK5" s="11"/>
      <c r="SKL5" s="11"/>
      <c r="SKM5" s="11"/>
      <c r="SKN5" s="11"/>
      <c r="SKO5" s="11"/>
      <c r="SKP5" s="11"/>
      <c r="SKQ5" s="11"/>
      <c r="SKR5" s="11"/>
      <c r="SKS5" s="11"/>
      <c r="SKT5" s="11"/>
      <c r="SKU5" s="11"/>
      <c r="SKV5" s="11"/>
      <c r="SKW5" s="11"/>
      <c r="SKX5" s="11"/>
      <c r="SKY5" s="11"/>
      <c r="SKZ5" s="11"/>
      <c r="SLA5" s="11"/>
      <c r="SLB5" s="11"/>
      <c r="SLC5" s="11"/>
      <c r="SLD5" s="11"/>
      <c r="SLE5" s="11"/>
      <c r="SLF5" s="11"/>
      <c r="SLG5" s="11"/>
      <c r="SLH5" s="11"/>
      <c r="SLI5" s="11"/>
      <c r="SLJ5" s="11"/>
      <c r="SLK5" s="11"/>
      <c r="SLL5" s="11"/>
      <c r="SLM5" s="11"/>
      <c r="SLN5" s="11"/>
      <c r="SLO5" s="11"/>
      <c r="SLP5" s="11"/>
      <c r="SLQ5" s="11"/>
      <c r="SLR5" s="11"/>
      <c r="SLS5" s="11"/>
      <c r="SLT5" s="11"/>
      <c r="SLU5" s="11"/>
      <c r="SLV5" s="11"/>
      <c r="SLW5" s="11"/>
      <c r="SLX5" s="11"/>
      <c r="SLY5" s="11"/>
      <c r="SLZ5" s="11"/>
      <c r="SMA5" s="11"/>
      <c r="SMB5" s="11"/>
      <c r="SMC5" s="11"/>
      <c r="SMD5" s="11"/>
      <c r="SME5" s="11"/>
      <c r="SMF5" s="11"/>
      <c r="SMG5" s="11"/>
      <c r="SMH5" s="11"/>
      <c r="SMI5" s="11"/>
      <c r="SMJ5" s="11"/>
      <c r="SMK5" s="11"/>
      <c r="SML5" s="11"/>
      <c r="SMM5" s="11"/>
      <c r="SMN5" s="11"/>
      <c r="SMO5" s="11"/>
      <c r="SMP5" s="11"/>
      <c r="SMQ5" s="11"/>
      <c r="SMR5" s="11"/>
      <c r="SMS5" s="11"/>
      <c r="SMT5" s="11"/>
      <c r="SMU5" s="11"/>
      <c r="SMV5" s="11"/>
      <c r="SMW5" s="11"/>
      <c r="SMX5" s="11"/>
      <c r="SMY5" s="11"/>
      <c r="SMZ5" s="11"/>
      <c r="SNA5" s="11"/>
      <c r="SNB5" s="11"/>
      <c r="SNC5" s="11"/>
      <c r="SND5" s="11"/>
      <c r="SNE5" s="11"/>
      <c r="SNF5" s="11"/>
      <c r="SNG5" s="11"/>
      <c r="SNH5" s="11"/>
      <c r="SNI5" s="11"/>
      <c r="SNJ5" s="11"/>
      <c r="SNK5" s="11"/>
      <c r="SNL5" s="11"/>
      <c r="SNM5" s="11"/>
      <c r="SNN5" s="11"/>
      <c r="SNO5" s="11"/>
      <c r="SNP5" s="11"/>
      <c r="SNQ5" s="11"/>
      <c r="SNR5" s="11"/>
      <c r="SNS5" s="11"/>
      <c r="SNT5" s="11"/>
      <c r="SNU5" s="11"/>
      <c r="SNV5" s="11"/>
      <c r="SNW5" s="11"/>
      <c r="SNX5" s="11"/>
      <c r="SNY5" s="11"/>
      <c r="SNZ5" s="11"/>
      <c r="SOA5" s="11"/>
      <c r="SOB5" s="11"/>
      <c r="SOC5" s="11"/>
      <c r="SOD5" s="11"/>
      <c r="SOE5" s="11"/>
      <c r="SOF5" s="11"/>
      <c r="SOG5" s="11"/>
      <c r="SOH5" s="11"/>
      <c r="SOI5" s="11"/>
      <c r="SOJ5" s="11"/>
      <c r="SOK5" s="11"/>
      <c r="SOL5" s="11"/>
      <c r="SOM5" s="11"/>
      <c r="SON5" s="11"/>
      <c r="SOO5" s="11"/>
      <c r="SOP5" s="11"/>
      <c r="SOQ5" s="11"/>
      <c r="SOR5" s="11"/>
      <c r="SOS5" s="11"/>
      <c r="SOT5" s="11"/>
      <c r="SOU5" s="11"/>
      <c r="SOV5" s="11"/>
      <c r="SOW5" s="11"/>
      <c r="SOX5" s="11"/>
      <c r="SOY5" s="11"/>
      <c r="SOZ5" s="11"/>
      <c r="SPA5" s="11"/>
      <c r="SPB5" s="11"/>
      <c r="SPC5" s="11"/>
      <c r="SPD5" s="11"/>
      <c r="SPE5" s="11"/>
      <c r="SPF5" s="11"/>
      <c r="SPG5" s="11"/>
      <c r="SPH5" s="11"/>
      <c r="SPI5" s="11"/>
      <c r="SPJ5" s="11"/>
      <c r="SPK5" s="11"/>
      <c r="SPL5" s="11"/>
      <c r="SPM5" s="11"/>
      <c r="SPN5" s="11"/>
      <c r="SPO5" s="11"/>
      <c r="SPP5" s="11"/>
      <c r="SPQ5" s="11"/>
      <c r="SPR5" s="11"/>
      <c r="SPS5" s="11"/>
      <c r="SPT5" s="11"/>
      <c r="SPU5" s="11"/>
      <c r="SPV5" s="11"/>
      <c r="SPW5" s="11"/>
      <c r="SPX5" s="11"/>
      <c r="SPY5" s="11"/>
      <c r="SPZ5" s="11"/>
      <c r="SQA5" s="11"/>
      <c r="SQB5" s="11"/>
      <c r="SQC5" s="11"/>
      <c r="SQD5" s="11"/>
      <c r="SQE5" s="11"/>
      <c r="SQF5" s="11"/>
      <c r="SQG5" s="11"/>
      <c r="SQH5" s="11"/>
      <c r="SQI5" s="11"/>
      <c r="SQJ5" s="11"/>
      <c r="SQK5" s="11"/>
      <c r="SQL5" s="11"/>
      <c r="SQM5" s="11"/>
      <c r="SQN5" s="11"/>
      <c r="SQO5" s="11"/>
      <c r="SQP5" s="11"/>
      <c r="SQQ5" s="11"/>
      <c r="SQR5" s="11"/>
      <c r="SQS5" s="11"/>
      <c r="SQT5" s="11"/>
      <c r="SQU5" s="11"/>
      <c r="SQV5" s="11"/>
      <c r="SQW5" s="11"/>
      <c r="SQX5" s="11"/>
      <c r="SQY5" s="11"/>
      <c r="SQZ5" s="11"/>
      <c r="SRA5" s="11"/>
      <c r="SRB5" s="11"/>
      <c r="SRC5" s="11"/>
      <c r="SRD5" s="11"/>
      <c r="SRE5" s="11"/>
      <c r="SRF5" s="11"/>
      <c r="SRG5" s="11"/>
      <c r="SRH5" s="11"/>
      <c r="SRI5" s="11"/>
      <c r="SRJ5" s="11"/>
      <c r="SRK5" s="11"/>
      <c r="SRL5" s="11"/>
      <c r="SRM5" s="11"/>
      <c r="SRN5" s="11"/>
      <c r="SRO5" s="11"/>
      <c r="SRP5" s="11"/>
      <c r="SRQ5" s="11"/>
      <c r="SRR5" s="11"/>
      <c r="SRS5" s="11"/>
      <c r="SRT5" s="11"/>
      <c r="SRU5" s="11"/>
      <c r="SRV5" s="11"/>
      <c r="SRW5" s="11"/>
      <c r="SRX5" s="11"/>
      <c r="SRY5" s="11"/>
      <c r="SRZ5" s="11"/>
      <c r="SSA5" s="11"/>
      <c r="SSB5" s="11"/>
      <c r="SSC5" s="11"/>
      <c r="SSD5" s="11"/>
      <c r="SSE5" s="11"/>
      <c r="SSF5" s="11"/>
      <c r="SSG5" s="11"/>
      <c r="SSH5" s="11"/>
      <c r="SSI5" s="11"/>
      <c r="SSJ5" s="11"/>
      <c r="SSK5" s="11"/>
      <c r="SSL5" s="11"/>
      <c r="SSM5" s="11"/>
      <c r="SSN5" s="11"/>
      <c r="SSO5" s="11"/>
      <c r="SSP5" s="11"/>
      <c r="SSQ5" s="11"/>
      <c r="SSR5" s="11"/>
      <c r="SSS5" s="11"/>
      <c r="SST5" s="11"/>
      <c r="SSU5" s="11"/>
      <c r="SSV5" s="11"/>
      <c r="SSW5" s="11"/>
      <c r="SSX5" s="11"/>
      <c r="SSY5" s="11"/>
      <c r="SSZ5" s="11"/>
      <c r="STA5" s="11"/>
      <c r="STB5" s="11"/>
      <c r="STC5" s="11"/>
      <c r="STD5" s="11"/>
      <c r="STE5" s="11"/>
      <c r="STF5" s="11"/>
      <c r="STG5" s="11"/>
      <c r="STH5" s="11"/>
      <c r="STI5" s="11"/>
      <c r="STJ5" s="11"/>
      <c r="STK5" s="11"/>
      <c r="STL5" s="11"/>
      <c r="STM5" s="11"/>
      <c r="STN5" s="11"/>
      <c r="STO5" s="11"/>
      <c r="STP5" s="11"/>
      <c r="STQ5" s="11"/>
      <c r="STR5" s="11"/>
      <c r="STS5" s="11"/>
      <c r="STT5" s="11"/>
      <c r="STU5" s="11"/>
      <c r="STV5" s="11"/>
      <c r="STW5" s="11"/>
      <c r="STX5" s="11"/>
      <c r="STY5" s="11"/>
      <c r="STZ5" s="11"/>
      <c r="SUA5" s="11"/>
      <c r="SUB5" s="11"/>
      <c r="SUC5" s="11"/>
      <c r="SUD5" s="11"/>
      <c r="SUE5" s="11"/>
      <c r="SUF5" s="11"/>
      <c r="SUG5" s="11"/>
      <c r="SUH5" s="11"/>
      <c r="SUI5" s="11"/>
      <c r="SUJ5" s="11"/>
      <c r="SUK5" s="11"/>
      <c r="SUL5" s="11"/>
      <c r="SUM5" s="11"/>
      <c r="SUN5" s="11"/>
      <c r="SUO5" s="11"/>
      <c r="SUP5" s="11"/>
      <c r="SUQ5" s="11"/>
      <c r="SUR5" s="11"/>
      <c r="SUS5" s="11"/>
      <c r="SUT5" s="11"/>
      <c r="SUU5" s="11"/>
      <c r="SUV5" s="11"/>
      <c r="SUW5" s="11"/>
      <c r="SUX5" s="11"/>
      <c r="SUY5" s="11"/>
      <c r="SUZ5" s="11"/>
      <c r="SVA5" s="11"/>
      <c r="SVB5" s="11"/>
      <c r="SVC5" s="11"/>
      <c r="SVD5" s="11"/>
      <c r="SVE5" s="11"/>
      <c r="SVF5" s="11"/>
      <c r="SVG5" s="11"/>
      <c r="SVH5" s="11"/>
      <c r="SVI5" s="11"/>
      <c r="SVJ5" s="11"/>
      <c r="SVK5" s="11"/>
      <c r="SVL5" s="11"/>
      <c r="SVM5" s="11"/>
      <c r="SVN5" s="11"/>
      <c r="SVO5" s="11"/>
      <c r="SVP5" s="11"/>
      <c r="SVQ5" s="11"/>
      <c r="SVR5" s="11"/>
      <c r="SVS5" s="11"/>
      <c r="SVT5" s="11"/>
      <c r="SVU5" s="11"/>
      <c r="SVV5" s="11"/>
      <c r="SVW5" s="11"/>
      <c r="SVX5" s="11"/>
      <c r="SVY5" s="11"/>
      <c r="SVZ5" s="11"/>
      <c r="SWA5" s="11"/>
      <c r="SWB5" s="11"/>
      <c r="SWC5" s="11"/>
      <c r="SWD5" s="11"/>
      <c r="SWE5" s="11"/>
      <c r="SWF5" s="11"/>
      <c r="SWG5" s="11"/>
      <c r="SWH5" s="11"/>
      <c r="SWI5" s="11"/>
      <c r="SWJ5" s="11"/>
      <c r="SWK5" s="11"/>
      <c r="SWL5" s="11"/>
      <c r="SWM5" s="11"/>
      <c r="SWN5" s="11"/>
      <c r="SWO5" s="11"/>
      <c r="SWP5" s="11"/>
      <c r="SWQ5" s="11"/>
      <c r="SWR5" s="11"/>
      <c r="SWS5" s="11"/>
      <c r="SWT5" s="11"/>
      <c r="SWU5" s="11"/>
      <c r="SWV5" s="11"/>
      <c r="SWW5" s="11"/>
      <c r="SWX5" s="11"/>
      <c r="SWY5" s="11"/>
      <c r="SWZ5" s="11"/>
      <c r="SXA5" s="11"/>
      <c r="SXB5" s="11"/>
      <c r="SXC5" s="11"/>
      <c r="SXD5" s="11"/>
      <c r="SXE5" s="11"/>
      <c r="SXF5" s="11"/>
      <c r="SXG5" s="11"/>
      <c r="SXH5" s="11"/>
      <c r="SXI5" s="11"/>
      <c r="SXJ5" s="11"/>
      <c r="SXK5" s="11"/>
      <c r="SXL5" s="11"/>
      <c r="SXM5" s="11"/>
      <c r="SXN5" s="11"/>
      <c r="SXO5" s="11"/>
      <c r="SXP5" s="11"/>
      <c r="SXQ5" s="11"/>
      <c r="SXR5" s="11"/>
      <c r="SXS5" s="11"/>
      <c r="SXT5" s="11"/>
      <c r="SXU5" s="11"/>
      <c r="SXV5" s="11"/>
      <c r="SXW5" s="11"/>
      <c r="SXX5" s="11"/>
      <c r="SXY5" s="11"/>
      <c r="SXZ5" s="11"/>
      <c r="SYA5" s="11"/>
      <c r="SYB5" s="11"/>
      <c r="SYC5" s="11"/>
      <c r="SYD5" s="11"/>
      <c r="SYE5" s="11"/>
      <c r="SYF5" s="11"/>
      <c r="SYG5" s="11"/>
      <c r="SYH5" s="11"/>
      <c r="SYI5" s="11"/>
      <c r="SYJ5" s="11"/>
      <c r="SYK5" s="11"/>
      <c r="SYL5" s="11"/>
      <c r="SYM5" s="11"/>
      <c r="SYN5" s="11"/>
      <c r="SYO5" s="11"/>
      <c r="SYP5" s="11"/>
      <c r="SYQ5" s="11"/>
      <c r="SYR5" s="11"/>
      <c r="SYS5" s="11"/>
      <c r="SYT5" s="11"/>
      <c r="SYU5" s="11"/>
      <c r="SYV5" s="11"/>
      <c r="SYW5" s="11"/>
      <c r="SYX5" s="11"/>
      <c r="SYY5" s="11"/>
      <c r="SYZ5" s="11"/>
      <c r="SZA5" s="11"/>
      <c r="SZB5" s="11"/>
      <c r="SZC5" s="11"/>
      <c r="SZD5" s="11"/>
      <c r="SZE5" s="11"/>
      <c r="SZF5" s="11"/>
      <c r="SZG5" s="11"/>
      <c r="SZH5" s="11"/>
      <c r="SZI5" s="11"/>
      <c r="SZJ5" s="11"/>
      <c r="SZK5" s="11"/>
      <c r="SZL5" s="11"/>
      <c r="SZM5" s="11"/>
      <c r="SZN5" s="11"/>
      <c r="SZO5" s="11"/>
      <c r="SZP5" s="11"/>
      <c r="SZQ5" s="11"/>
      <c r="SZR5" s="11"/>
      <c r="SZS5" s="11"/>
      <c r="SZT5" s="11"/>
      <c r="SZU5" s="11"/>
      <c r="SZV5" s="11"/>
      <c r="SZW5" s="11"/>
      <c r="SZX5" s="11"/>
      <c r="SZY5" s="11"/>
      <c r="SZZ5" s="11"/>
      <c r="TAA5" s="11"/>
      <c r="TAB5" s="11"/>
      <c r="TAC5" s="11"/>
      <c r="TAD5" s="11"/>
      <c r="TAE5" s="11"/>
      <c r="TAF5" s="11"/>
      <c r="TAG5" s="11"/>
      <c r="TAH5" s="11"/>
      <c r="TAI5" s="11"/>
      <c r="TAJ5" s="11"/>
      <c r="TAK5" s="11"/>
      <c r="TAL5" s="11"/>
      <c r="TAM5" s="11"/>
      <c r="TAN5" s="11"/>
      <c r="TAO5" s="11"/>
      <c r="TAP5" s="11"/>
      <c r="TAQ5" s="11"/>
      <c r="TAR5" s="11"/>
      <c r="TAS5" s="11"/>
      <c r="TAT5" s="11"/>
      <c r="TAU5" s="11"/>
      <c r="TAV5" s="11"/>
      <c r="TAW5" s="11"/>
      <c r="TAX5" s="11"/>
      <c r="TAY5" s="11"/>
      <c r="TAZ5" s="11"/>
      <c r="TBA5" s="11"/>
      <c r="TBB5" s="11"/>
      <c r="TBC5" s="11"/>
      <c r="TBD5" s="11"/>
      <c r="TBE5" s="11"/>
      <c r="TBF5" s="11"/>
      <c r="TBG5" s="11"/>
      <c r="TBH5" s="11"/>
      <c r="TBI5" s="11"/>
      <c r="TBJ5" s="11"/>
      <c r="TBK5" s="11"/>
      <c r="TBL5" s="11"/>
      <c r="TBM5" s="11"/>
      <c r="TBN5" s="11"/>
      <c r="TBO5" s="11"/>
      <c r="TBP5" s="11"/>
      <c r="TBQ5" s="11"/>
      <c r="TBR5" s="11"/>
      <c r="TBS5" s="11"/>
      <c r="TBT5" s="11"/>
      <c r="TBU5" s="11"/>
      <c r="TBV5" s="11"/>
      <c r="TBW5" s="11"/>
      <c r="TBX5" s="11"/>
      <c r="TBY5" s="11"/>
      <c r="TBZ5" s="11"/>
      <c r="TCA5" s="11"/>
      <c r="TCB5" s="11"/>
      <c r="TCC5" s="11"/>
      <c r="TCD5" s="11"/>
      <c r="TCE5" s="11"/>
      <c r="TCF5" s="11"/>
      <c r="TCG5" s="11"/>
      <c r="TCH5" s="11"/>
      <c r="TCI5" s="11"/>
      <c r="TCJ5" s="11"/>
      <c r="TCK5" s="11"/>
      <c r="TCL5" s="11"/>
      <c r="TCM5" s="11"/>
      <c r="TCN5" s="11"/>
      <c r="TCO5" s="11"/>
      <c r="TCP5" s="11"/>
      <c r="TCQ5" s="11"/>
      <c r="TCR5" s="11"/>
      <c r="TCS5" s="11"/>
      <c r="TCT5" s="11"/>
      <c r="TCU5" s="11"/>
      <c r="TCV5" s="11"/>
      <c r="TCW5" s="11"/>
      <c r="TCX5" s="11"/>
      <c r="TCY5" s="11"/>
      <c r="TCZ5" s="11"/>
      <c r="TDA5" s="11"/>
      <c r="TDB5" s="11"/>
      <c r="TDC5" s="11"/>
      <c r="TDD5" s="11"/>
      <c r="TDE5" s="11"/>
      <c r="TDF5" s="11"/>
      <c r="TDG5" s="11"/>
      <c r="TDH5" s="11"/>
      <c r="TDI5" s="11"/>
      <c r="TDJ5" s="11"/>
      <c r="TDK5" s="11"/>
      <c r="TDL5" s="11"/>
      <c r="TDM5" s="11"/>
      <c r="TDN5" s="11"/>
      <c r="TDO5" s="11"/>
      <c r="TDP5" s="11"/>
      <c r="TDQ5" s="11"/>
      <c r="TDR5" s="11"/>
      <c r="TDS5" s="11"/>
      <c r="TDT5" s="11"/>
      <c r="TDU5" s="11"/>
      <c r="TDV5" s="11"/>
      <c r="TDW5" s="11"/>
      <c r="TDX5" s="11"/>
      <c r="TDY5" s="11"/>
      <c r="TDZ5" s="11"/>
      <c r="TEA5" s="11"/>
      <c r="TEB5" s="11"/>
      <c r="TEC5" s="11"/>
      <c r="TED5" s="11"/>
      <c r="TEE5" s="11"/>
      <c r="TEF5" s="11"/>
      <c r="TEG5" s="11"/>
      <c r="TEH5" s="11"/>
      <c r="TEI5" s="11"/>
      <c r="TEJ5" s="11"/>
      <c r="TEK5" s="11"/>
      <c r="TEL5" s="11"/>
      <c r="TEM5" s="11"/>
      <c r="TEN5" s="11"/>
      <c r="TEO5" s="11"/>
      <c r="TEP5" s="11"/>
      <c r="TEQ5" s="11"/>
      <c r="TER5" s="11"/>
      <c r="TES5" s="11"/>
      <c r="TET5" s="11"/>
      <c r="TEU5" s="11"/>
      <c r="TEV5" s="11"/>
      <c r="TEW5" s="11"/>
      <c r="TEX5" s="11"/>
      <c r="TEY5" s="11"/>
      <c r="TEZ5" s="11"/>
      <c r="TFA5" s="11"/>
      <c r="TFB5" s="11"/>
      <c r="TFC5" s="11"/>
      <c r="TFD5" s="11"/>
      <c r="TFE5" s="11"/>
      <c r="TFF5" s="11"/>
      <c r="TFG5" s="11"/>
      <c r="TFH5" s="11"/>
      <c r="TFI5" s="11"/>
      <c r="TFJ5" s="11"/>
      <c r="TFK5" s="11"/>
      <c r="TFL5" s="11"/>
      <c r="TFM5" s="11"/>
      <c r="TFN5" s="11"/>
      <c r="TFO5" s="11"/>
      <c r="TFP5" s="11"/>
      <c r="TFQ5" s="11"/>
      <c r="TFR5" s="11"/>
      <c r="TFS5" s="11"/>
      <c r="TFT5" s="11"/>
      <c r="TFU5" s="11"/>
      <c r="TFV5" s="11"/>
      <c r="TFW5" s="11"/>
      <c r="TFX5" s="11"/>
      <c r="TFY5" s="11"/>
      <c r="TFZ5" s="11"/>
      <c r="TGA5" s="11"/>
      <c r="TGB5" s="11"/>
      <c r="TGC5" s="11"/>
      <c r="TGD5" s="11"/>
      <c r="TGE5" s="11"/>
      <c r="TGF5" s="11"/>
      <c r="TGG5" s="11"/>
      <c r="TGH5" s="11"/>
      <c r="TGI5" s="11"/>
      <c r="TGJ5" s="11"/>
      <c r="TGK5" s="11"/>
      <c r="TGL5" s="11"/>
      <c r="TGM5" s="11"/>
      <c r="TGN5" s="11"/>
      <c r="TGO5" s="11"/>
      <c r="TGP5" s="11"/>
      <c r="TGQ5" s="11"/>
      <c r="TGR5" s="11"/>
      <c r="TGS5" s="11"/>
      <c r="TGT5" s="11"/>
      <c r="TGU5" s="11"/>
      <c r="TGV5" s="11"/>
      <c r="TGW5" s="11"/>
      <c r="TGX5" s="11"/>
      <c r="TGY5" s="11"/>
      <c r="TGZ5" s="11"/>
      <c r="THA5" s="11"/>
      <c r="THB5" s="11"/>
      <c r="THC5" s="11"/>
      <c r="THD5" s="11"/>
      <c r="THE5" s="11"/>
      <c r="THF5" s="11"/>
      <c r="THG5" s="11"/>
      <c r="THH5" s="11"/>
      <c r="THI5" s="11"/>
      <c r="THJ5" s="11"/>
      <c r="THK5" s="11"/>
      <c r="THL5" s="11"/>
      <c r="THM5" s="11"/>
      <c r="THN5" s="11"/>
      <c r="THO5" s="11"/>
      <c r="THP5" s="11"/>
      <c r="THQ5" s="11"/>
      <c r="THR5" s="11"/>
      <c r="THS5" s="11"/>
      <c r="THT5" s="11"/>
      <c r="THU5" s="11"/>
      <c r="THV5" s="11"/>
      <c r="THW5" s="11"/>
      <c r="THX5" s="11"/>
      <c r="THY5" s="11"/>
      <c r="THZ5" s="11"/>
      <c r="TIA5" s="11"/>
      <c r="TIB5" s="11"/>
      <c r="TIC5" s="11"/>
      <c r="TID5" s="11"/>
      <c r="TIE5" s="11"/>
      <c r="TIF5" s="11"/>
      <c r="TIG5" s="11"/>
      <c r="TIH5" s="11"/>
      <c r="TII5" s="11"/>
      <c r="TIJ5" s="11"/>
      <c r="TIK5" s="11"/>
      <c r="TIL5" s="11"/>
      <c r="TIM5" s="11"/>
      <c r="TIN5" s="11"/>
      <c r="TIO5" s="11"/>
      <c r="TIP5" s="11"/>
      <c r="TIQ5" s="11"/>
      <c r="TIR5" s="11"/>
      <c r="TIS5" s="11"/>
      <c r="TIT5" s="11"/>
      <c r="TIU5" s="11"/>
      <c r="TIV5" s="11"/>
      <c r="TIW5" s="11"/>
      <c r="TIX5" s="11"/>
      <c r="TIY5" s="11"/>
      <c r="TIZ5" s="11"/>
      <c r="TJA5" s="11"/>
      <c r="TJB5" s="11"/>
      <c r="TJC5" s="11"/>
      <c r="TJD5" s="11"/>
      <c r="TJE5" s="11"/>
      <c r="TJF5" s="11"/>
      <c r="TJG5" s="11"/>
      <c r="TJH5" s="11"/>
      <c r="TJI5" s="11"/>
      <c r="TJJ5" s="11"/>
      <c r="TJK5" s="11"/>
      <c r="TJL5" s="11"/>
      <c r="TJM5" s="11"/>
      <c r="TJN5" s="11"/>
      <c r="TJO5" s="11"/>
      <c r="TJP5" s="11"/>
      <c r="TJQ5" s="11"/>
      <c r="TJR5" s="11"/>
      <c r="TJS5" s="11"/>
      <c r="TJT5" s="11"/>
      <c r="TJU5" s="11"/>
      <c r="TJV5" s="11"/>
      <c r="TJW5" s="11"/>
      <c r="TJX5" s="11"/>
      <c r="TJY5" s="11"/>
      <c r="TJZ5" s="11"/>
      <c r="TKA5" s="11"/>
      <c r="TKB5" s="11"/>
      <c r="TKC5" s="11"/>
      <c r="TKD5" s="11"/>
      <c r="TKE5" s="11"/>
      <c r="TKF5" s="11"/>
      <c r="TKG5" s="11"/>
      <c r="TKH5" s="11"/>
      <c r="TKI5" s="11"/>
      <c r="TKJ5" s="11"/>
      <c r="TKK5" s="11"/>
      <c r="TKL5" s="11"/>
      <c r="TKM5" s="11"/>
      <c r="TKN5" s="11"/>
      <c r="TKO5" s="11"/>
      <c r="TKP5" s="11"/>
      <c r="TKQ5" s="11"/>
      <c r="TKR5" s="11"/>
      <c r="TKS5" s="11"/>
      <c r="TKT5" s="11"/>
      <c r="TKU5" s="11"/>
      <c r="TKV5" s="11"/>
      <c r="TKW5" s="11"/>
      <c r="TKX5" s="11"/>
      <c r="TKY5" s="11"/>
      <c r="TKZ5" s="11"/>
      <c r="TLA5" s="11"/>
      <c r="TLB5" s="11"/>
      <c r="TLC5" s="11"/>
      <c r="TLD5" s="11"/>
      <c r="TLE5" s="11"/>
      <c r="TLF5" s="11"/>
      <c r="TLG5" s="11"/>
      <c r="TLH5" s="11"/>
      <c r="TLI5" s="11"/>
      <c r="TLJ5" s="11"/>
      <c r="TLK5" s="11"/>
      <c r="TLL5" s="11"/>
      <c r="TLM5" s="11"/>
      <c r="TLN5" s="11"/>
      <c r="TLO5" s="11"/>
      <c r="TLP5" s="11"/>
      <c r="TLQ5" s="11"/>
      <c r="TLR5" s="11"/>
      <c r="TLS5" s="11"/>
      <c r="TLT5" s="11"/>
      <c r="TLU5" s="11"/>
      <c r="TLV5" s="11"/>
      <c r="TLW5" s="11"/>
      <c r="TLX5" s="11"/>
      <c r="TLY5" s="11"/>
      <c r="TLZ5" s="11"/>
      <c r="TMA5" s="11"/>
      <c r="TMB5" s="11"/>
      <c r="TMC5" s="11"/>
      <c r="TMD5" s="11"/>
      <c r="TME5" s="11"/>
      <c r="TMF5" s="11"/>
      <c r="TMG5" s="11"/>
      <c r="TMH5" s="11"/>
      <c r="TMI5" s="11"/>
      <c r="TMJ5" s="11"/>
      <c r="TMK5" s="11"/>
      <c r="TML5" s="11"/>
      <c r="TMM5" s="11"/>
      <c r="TMN5" s="11"/>
      <c r="TMO5" s="11"/>
      <c r="TMP5" s="11"/>
      <c r="TMQ5" s="11"/>
      <c r="TMR5" s="11"/>
      <c r="TMS5" s="11"/>
      <c r="TMT5" s="11"/>
      <c r="TMU5" s="11"/>
      <c r="TMV5" s="11"/>
      <c r="TMW5" s="11"/>
      <c r="TMX5" s="11"/>
      <c r="TMY5" s="11"/>
      <c r="TMZ5" s="11"/>
      <c r="TNA5" s="11"/>
      <c r="TNB5" s="11"/>
      <c r="TNC5" s="11"/>
      <c r="TND5" s="11"/>
      <c r="TNE5" s="11"/>
      <c r="TNF5" s="11"/>
      <c r="TNG5" s="11"/>
      <c r="TNH5" s="11"/>
      <c r="TNI5" s="11"/>
      <c r="TNJ5" s="11"/>
      <c r="TNK5" s="11"/>
      <c r="TNL5" s="11"/>
      <c r="TNM5" s="11"/>
      <c r="TNN5" s="11"/>
      <c r="TNO5" s="11"/>
      <c r="TNP5" s="11"/>
      <c r="TNQ5" s="11"/>
      <c r="TNR5" s="11"/>
      <c r="TNS5" s="11"/>
      <c r="TNT5" s="11"/>
      <c r="TNU5" s="11"/>
      <c r="TNV5" s="11"/>
      <c r="TNW5" s="11"/>
      <c r="TNX5" s="11"/>
      <c r="TNY5" s="11"/>
      <c r="TNZ5" s="11"/>
      <c r="TOA5" s="11"/>
      <c r="TOB5" s="11"/>
      <c r="TOC5" s="11"/>
      <c r="TOD5" s="11"/>
      <c r="TOE5" s="11"/>
      <c r="TOF5" s="11"/>
      <c r="TOG5" s="11"/>
      <c r="TOH5" s="11"/>
      <c r="TOI5" s="11"/>
      <c r="TOJ5" s="11"/>
      <c r="TOK5" s="11"/>
      <c r="TOL5" s="11"/>
      <c r="TOM5" s="11"/>
      <c r="TON5" s="11"/>
      <c r="TOO5" s="11"/>
      <c r="TOP5" s="11"/>
      <c r="TOQ5" s="11"/>
      <c r="TOR5" s="11"/>
      <c r="TOS5" s="11"/>
      <c r="TOT5" s="11"/>
      <c r="TOU5" s="11"/>
      <c r="TOV5" s="11"/>
      <c r="TOW5" s="11"/>
      <c r="TOX5" s="11"/>
      <c r="TOY5" s="11"/>
      <c r="TOZ5" s="11"/>
      <c r="TPA5" s="11"/>
      <c r="TPB5" s="11"/>
      <c r="TPC5" s="11"/>
      <c r="TPD5" s="11"/>
      <c r="TPE5" s="11"/>
      <c r="TPF5" s="11"/>
      <c r="TPG5" s="11"/>
      <c r="TPH5" s="11"/>
      <c r="TPI5" s="11"/>
      <c r="TPJ5" s="11"/>
      <c r="TPK5" s="11"/>
      <c r="TPL5" s="11"/>
      <c r="TPM5" s="11"/>
      <c r="TPN5" s="11"/>
      <c r="TPO5" s="11"/>
      <c r="TPP5" s="11"/>
      <c r="TPQ5" s="11"/>
      <c r="TPR5" s="11"/>
      <c r="TPS5" s="11"/>
      <c r="TPT5" s="11"/>
      <c r="TPU5" s="11"/>
      <c r="TPV5" s="11"/>
      <c r="TPW5" s="11"/>
      <c r="TPX5" s="11"/>
      <c r="TPY5" s="11"/>
      <c r="TPZ5" s="11"/>
      <c r="TQA5" s="11"/>
      <c r="TQB5" s="11"/>
      <c r="TQC5" s="11"/>
      <c r="TQD5" s="11"/>
      <c r="TQE5" s="11"/>
      <c r="TQF5" s="11"/>
      <c r="TQG5" s="11"/>
      <c r="TQH5" s="11"/>
      <c r="TQI5" s="11"/>
      <c r="TQJ5" s="11"/>
      <c r="TQK5" s="11"/>
      <c r="TQL5" s="11"/>
      <c r="TQM5" s="11"/>
      <c r="TQN5" s="11"/>
      <c r="TQO5" s="11"/>
      <c r="TQP5" s="11"/>
      <c r="TQQ5" s="11"/>
      <c r="TQR5" s="11"/>
      <c r="TQS5" s="11"/>
      <c r="TQT5" s="11"/>
      <c r="TQU5" s="11"/>
      <c r="TQV5" s="11"/>
      <c r="TQW5" s="11"/>
      <c r="TQX5" s="11"/>
      <c r="TQY5" s="11"/>
      <c r="TQZ5" s="11"/>
      <c r="TRA5" s="11"/>
      <c r="TRB5" s="11"/>
      <c r="TRC5" s="11"/>
      <c r="TRD5" s="11"/>
      <c r="TRE5" s="11"/>
      <c r="TRF5" s="11"/>
      <c r="TRG5" s="11"/>
      <c r="TRH5" s="11"/>
      <c r="TRI5" s="11"/>
      <c r="TRJ5" s="11"/>
      <c r="TRK5" s="11"/>
      <c r="TRL5" s="11"/>
      <c r="TRM5" s="11"/>
      <c r="TRN5" s="11"/>
      <c r="TRO5" s="11"/>
      <c r="TRP5" s="11"/>
      <c r="TRQ5" s="11"/>
      <c r="TRR5" s="11"/>
      <c r="TRS5" s="11"/>
      <c r="TRT5" s="11"/>
      <c r="TRU5" s="11"/>
      <c r="TRV5" s="11"/>
      <c r="TRW5" s="11"/>
      <c r="TRX5" s="11"/>
      <c r="TRY5" s="11"/>
      <c r="TRZ5" s="11"/>
      <c r="TSA5" s="11"/>
      <c r="TSB5" s="11"/>
      <c r="TSC5" s="11"/>
      <c r="TSD5" s="11"/>
      <c r="TSE5" s="11"/>
      <c r="TSF5" s="11"/>
      <c r="TSG5" s="11"/>
      <c r="TSH5" s="11"/>
      <c r="TSI5" s="11"/>
      <c r="TSJ5" s="11"/>
      <c r="TSK5" s="11"/>
      <c r="TSL5" s="11"/>
      <c r="TSM5" s="11"/>
      <c r="TSN5" s="11"/>
      <c r="TSO5" s="11"/>
      <c r="TSP5" s="11"/>
      <c r="TSQ5" s="11"/>
      <c r="TSR5" s="11"/>
      <c r="TSS5" s="11"/>
      <c r="TST5" s="11"/>
      <c r="TSU5" s="11"/>
      <c r="TSV5" s="11"/>
      <c r="TSW5" s="11"/>
      <c r="TSX5" s="11"/>
      <c r="TSY5" s="11"/>
      <c r="TSZ5" s="11"/>
      <c r="TTA5" s="11"/>
      <c r="TTB5" s="11"/>
      <c r="TTC5" s="11"/>
      <c r="TTD5" s="11"/>
      <c r="TTE5" s="11"/>
      <c r="TTF5" s="11"/>
      <c r="TTG5" s="11"/>
      <c r="TTH5" s="11"/>
      <c r="TTI5" s="11"/>
      <c r="TTJ5" s="11"/>
      <c r="TTK5" s="11"/>
      <c r="TTL5" s="11"/>
      <c r="TTM5" s="11"/>
      <c r="TTN5" s="11"/>
      <c r="TTO5" s="11"/>
      <c r="TTP5" s="11"/>
      <c r="TTQ5" s="11"/>
      <c r="TTR5" s="11"/>
      <c r="TTS5" s="11"/>
      <c r="TTT5" s="11"/>
      <c r="TTU5" s="11"/>
      <c r="TTV5" s="11"/>
      <c r="TTW5" s="11"/>
      <c r="TTX5" s="11"/>
      <c r="TTY5" s="11"/>
      <c r="TTZ5" s="11"/>
      <c r="TUA5" s="11"/>
      <c r="TUB5" s="11"/>
      <c r="TUC5" s="11"/>
      <c r="TUD5" s="11"/>
      <c r="TUE5" s="11"/>
      <c r="TUF5" s="11"/>
      <c r="TUG5" s="11"/>
      <c r="TUH5" s="11"/>
      <c r="TUI5" s="11"/>
      <c r="TUJ5" s="11"/>
      <c r="TUK5" s="11"/>
      <c r="TUL5" s="11"/>
      <c r="TUM5" s="11"/>
      <c r="TUN5" s="11"/>
      <c r="TUO5" s="11"/>
      <c r="TUP5" s="11"/>
      <c r="TUQ5" s="11"/>
      <c r="TUR5" s="11"/>
      <c r="TUS5" s="11"/>
      <c r="TUT5" s="11"/>
      <c r="TUU5" s="11"/>
      <c r="TUV5" s="11"/>
      <c r="TUW5" s="11"/>
      <c r="TUX5" s="11"/>
      <c r="TUY5" s="11"/>
      <c r="TUZ5" s="11"/>
      <c r="TVA5" s="11"/>
      <c r="TVB5" s="11"/>
      <c r="TVC5" s="11"/>
      <c r="TVD5" s="11"/>
      <c r="TVE5" s="11"/>
      <c r="TVF5" s="11"/>
      <c r="TVG5" s="11"/>
      <c r="TVH5" s="11"/>
      <c r="TVI5" s="11"/>
      <c r="TVJ5" s="11"/>
      <c r="TVK5" s="11"/>
      <c r="TVL5" s="11"/>
      <c r="TVM5" s="11"/>
      <c r="TVN5" s="11"/>
      <c r="TVO5" s="11"/>
      <c r="TVP5" s="11"/>
      <c r="TVQ5" s="11"/>
      <c r="TVR5" s="11"/>
      <c r="TVS5" s="11"/>
      <c r="TVT5" s="11"/>
      <c r="TVU5" s="11"/>
      <c r="TVV5" s="11"/>
      <c r="TVW5" s="11"/>
      <c r="TVX5" s="11"/>
      <c r="TVY5" s="11"/>
      <c r="TVZ5" s="11"/>
      <c r="TWA5" s="11"/>
      <c r="TWB5" s="11"/>
      <c r="TWC5" s="11"/>
      <c r="TWD5" s="11"/>
      <c r="TWE5" s="11"/>
      <c r="TWF5" s="11"/>
      <c r="TWG5" s="11"/>
      <c r="TWH5" s="11"/>
      <c r="TWI5" s="11"/>
      <c r="TWJ5" s="11"/>
      <c r="TWK5" s="11"/>
      <c r="TWL5" s="11"/>
      <c r="TWM5" s="11"/>
      <c r="TWN5" s="11"/>
      <c r="TWO5" s="11"/>
      <c r="TWP5" s="11"/>
      <c r="TWQ5" s="11"/>
      <c r="TWR5" s="11"/>
      <c r="TWS5" s="11"/>
      <c r="TWT5" s="11"/>
      <c r="TWU5" s="11"/>
      <c r="TWV5" s="11"/>
      <c r="TWW5" s="11"/>
      <c r="TWX5" s="11"/>
      <c r="TWY5" s="11"/>
      <c r="TWZ5" s="11"/>
      <c r="TXA5" s="11"/>
      <c r="TXB5" s="11"/>
      <c r="TXC5" s="11"/>
      <c r="TXD5" s="11"/>
      <c r="TXE5" s="11"/>
      <c r="TXF5" s="11"/>
      <c r="TXG5" s="11"/>
      <c r="TXH5" s="11"/>
      <c r="TXI5" s="11"/>
      <c r="TXJ5" s="11"/>
      <c r="TXK5" s="11"/>
      <c r="TXL5" s="11"/>
      <c r="TXM5" s="11"/>
      <c r="TXN5" s="11"/>
      <c r="TXO5" s="11"/>
      <c r="TXP5" s="11"/>
      <c r="TXQ5" s="11"/>
      <c r="TXR5" s="11"/>
      <c r="TXS5" s="11"/>
      <c r="TXT5" s="11"/>
      <c r="TXU5" s="11"/>
      <c r="TXV5" s="11"/>
      <c r="TXW5" s="11"/>
      <c r="TXX5" s="11"/>
      <c r="TXY5" s="11"/>
      <c r="TXZ5" s="11"/>
      <c r="TYA5" s="11"/>
      <c r="TYB5" s="11"/>
      <c r="TYC5" s="11"/>
      <c r="TYD5" s="11"/>
      <c r="TYE5" s="11"/>
      <c r="TYF5" s="11"/>
      <c r="TYG5" s="11"/>
      <c r="TYH5" s="11"/>
      <c r="TYI5" s="11"/>
      <c r="TYJ5" s="11"/>
      <c r="TYK5" s="11"/>
      <c r="TYL5" s="11"/>
      <c r="TYM5" s="11"/>
      <c r="TYN5" s="11"/>
      <c r="TYO5" s="11"/>
      <c r="TYP5" s="11"/>
      <c r="TYQ5" s="11"/>
      <c r="TYR5" s="11"/>
      <c r="TYS5" s="11"/>
      <c r="TYT5" s="11"/>
      <c r="TYU5" s="11"/>
      <c r="TYV5" s="11"/>
      <c r="TYW5" s="11"/>
      <c r="TYX5" s="11"/>
      <c r="TYY5" s="11"/>
      <c r="TYZ5" s="11"/>
      <c r="TZA5" s="11"/>
      <c r="TZB5" s="11"/>
      <c r="TZC5" s="11"/>
      <c r="TZD5" s="11"/>
      <c r="TZE5" s="11"/>
      <c r="TZF5" s="11"/>
      <c r="TZG5" s="11"/>
      <c r="TZH5" s="11"/>
      <c r="TZI5" s="11"/>
      <c r="TZJ5" s="11"/>
      <c r="TZK5" s="11"/>
      <c r="TZL5" s="11"/>
      <c r="TZM5" s="11"/>
      <c r="TZN5" s="11"/>
      <c r="TZO5" s="11"/>
      <c r="TZP5" s="11"/>
      <c r="TZQ5" s="11"/>
      <c r="TZR5" s="11"/>
      <c r="TZS5" s="11"/>
      <c r="TZT5" s="11"/>
      <c r="TZU5" s="11"/>
      <c r="TZV5" s="11"/>
      <c r="TZW5" s="11"/>
      <c r="TZX5" s="11"/>
      <c r="TZY5" s="11"/>
      <c r="TZZ5" s="11"/>
      <c r="UAA5" s="11"/>
      <c r="UAB5" s="11"/>
      <c r="UAC5" s="11"/>
      <c r="UAD5" s="11"/>
      <c r="UAE5" s="11"/>
      <c r="UAF5" s="11"/>
      <c r="UAG5" s="11"/>
      <c r="UAH5" s="11"/>
      <c r="UAI5" s="11"/>
      <c r="UAJ5" s="11"/>
      <c r="UAK5" s="11"/>
      <c r="UAL5" s="11"/>
      <c r="UAM5" s="11"/>
      <c r="UAN5" s="11"/>
      <c r="UAO5" s="11"/>
      <c r="UAP5" s="11"/>
      <c r="UAQ5" s="11"/>
      <c r="UAR5" s="11"/>
      <c r="UAS5" s="11"/>
      <c r="UAT5" s="11"/>
      <c r="UAU5" s="11"/>
      <c r="UAV5" s="11"/>
      <c r="UAW5" s="11"/>
      <c r="UAX5" s="11"/>
      <c r="UAY5" s="11"/>
      <c r="UAZ5" s="11"/>
      <c r="UBA5" s="11"/>
      <c r="UBB5" s="11"/>
      <c r="UBC5" s="11"/>
      <c r="UBD5" s="11"/>
      <c r="UBE5" s="11"/>
      <c r="UBF5" s="11"/>
      <c r="UBG5" s="11"/>
      <c r="UBH5" s="11"/>
      <c r="UBI5" s="11"/>
      <c r="UBJ5" s="11"/>
      <c r="UBK5" s="11"/>
      <c r="UBL5" s="11"/>
      <c r="UBM5" s="11"/>
      <c r="UBN5" s="11"/>
      <c r="UBO5" s="11"/>
      <c r="UBP5" s="11"/>
      <c r="UBQ5" s="11"/>
      <c r="UBR5" s="11"/>
      <c r="UBS5" s="11"/>
      <c r="UBT5" s="11"/>
      <c r="UBU5" s="11"/>
      <c r="UBV5" s="11"/>
      <c r="UBW5" s="11"/>
      <c r="UBX5" s="11"/>
      <c r="UBY5" s="11"/>
      <c r="UBZ5" s="11"/>
      <c r="UCA5" s="11"/>
      <c r="UCB5" s="11"/>
      <c r="UCC5" s="11"/>
      <c r="UCD5" s="11"/>
      <c r="UCE5" s="11"/>
      <c r="UCF5" s="11"/>
      <c r="UCG5" s="11"/>
      <c r="UCH5" s="11"/>
      <c r="UCI5" s="11"/>
      <c r="UCJ5" s="11"/>
      <c r="UCK5" s="11"/>
      <c r="UCL5" s="11"/>
      <c r="UCM5" s="11"/>
      <c r="UCN5" s="11"/>
      <c r="UCO5" s="11"/>
      <c r="UCP5" s="11"/>
      <c r="UCQ5" s="11"/>
      <c r="UCR5" s="11"/>
      <c r="UCS5" s="11"/>
      <c r="UCT5" s="11"/>
      <c r="UCU5" s="11"/>
      <c r="UCV5" s="11"/>
      <c r="UCW5" s="11"/>
      <c r="UCX5" s="11"/>
      <c r="UCY5" s="11"/>
      <c r="UCZ5" s="11"/>
      <c r="UDA5" s="11"/>
      <c r="UDB5" s="11"/>
      <c r="UDC5" s="11"/>
      <c r="UDD5" s="11"/>
      <c r="UDE5" s="11"/>
      <c r="UDF5" s="11"/>
      <c r="UDG5" s="11"/>
      <c r="UDH5" s="11"/>
      <c r="UDI5" s="11"/>
      <c r="UDJ5" s="11"/>
      <c r="UDK5" s="11"/>
      <c r="UDL5" s="11"/>
      <c r="UDM5" s="11"/>
      <c r="UDN5" s="11"/>
      <c r="UDO5" s="11"/>
      <c r="UDP5" s="11"/>
      <c r="UDQ5" s="11"/>
      <c r="UDR5" s="11"/>
      <c r="UDS5" s="11"/>
      <c r="UDT5" s="11"/>
      <c r="UDU5" s="11"/>
      <c r="UDV5" s="11"/>
      <c r="UDW5" s="11"/>
      <c r="UDX5" s="11"/>
      <c r="UDY5" s="11"/>
      <c r="UDZ5" s="11"/>
      <c r="UEA5" s="11"/>
      <c r="UEB5" s="11"/>
      <c r="UEC5" s="11"/>
      <c r="UED5" s="11"/>
      <c r="UEE5" s="11"/>
      <c r="UEF5" s="11"/>
      <c r="UEG5" s="11"/>
      <c r="UEH5" s="11"/>
      <c r="UEI5" s="11"/>
      <c r="UEJ5" s="11"/>
      <c r="UEK5" s="11"/>
      <c r="UEL5" s="11"/>
      <c r="UEM5" s="11"/>
      <c r="UEN5" s="11"/>
      <c r="UEO5" s="11"/>
      <c r="UEP5" s="11"/>
      <c r="UEQ5" s="11"/>
      <c r="UER5" s="11"/>
      <c r="UES5" s="11"/>
      <c r="UET5" s="11"/>
      <c r="UEU5" s="11"/>
      <c r="UEV5" s="11"/>
      <c r="UEW5" s="11"/>
      <c r="UEX5" s="11"/>
      <c r="UEY5" s="11"/>
      <c r="UEZ5" s="11"/>
      <c r="UFA5" s="11"/>
      <c r="UFB5" s="11"/>
      <c r="UFC5" s="11"/>
      <c r="UFD5" s="11"/>
      <c r="UFE5" s="11"/>
      <c r="UFF5" s="11"/>
      <c r="UFG5" s="11"/>
      <c r="UFH5" s="11"/>
      <c r="UFI5" s="11"/>
      <c r="UFJ5" s="11"/>
      <c r="UFK5" s="11"/>
      <c r="UFL5" s="11"/>
      <c r="UFM5" s="11"/>
      <c r="UFN5" s="11"/>
      <c r="UFO5" s="11"/>
      <c r="UFP5" s="11"/>
      <c r="UFQ5" s="11"/>
      <c r="UFR5" s="11"/>
      <c r="UFS5" s="11"/>
      <c r="UFT5" s="11"/>
      <c r="UFU5" s="11"/>
      <c r="UFV5" s="11"/>
      <c r="UFW5" s="11"/>
      <c r="UFX5" s="11"/>
      <c r="UFY5" s="11"/>
      <c r="UFZ5" s="11"/>
      <c r="UGA5" s="11"/>
      <c r="UGB5" s="11"/>
      <c r="UGC5" s="11"/>
      <c r="UGD5" s="11"/>
      <c r="UGE5" s="11"/>
      <c r="UGF5" s="11"/>
      <c r="UGG5" s="11"/>
      <c r="UGH5" s="11"/>
      <c r="UGI5" s="11"/>
      <c r="UGJ5" s="11"/>
      <c r="UGK5" s="11"/>
      <c r="UGL5" s="11"/>
      <c r="UGM5" s="11"/>
      <c r="UGN5" s="11"/>
      <c r="UGO5" s="11"/>
      <c r="UGP5" s="11"/>
      <c r="UGQ5" s="11"/>
      <c r="UGR5" s="11"/>
      <c r="UGS5" s="11"/>
      <c r="UGT5" s="11"/>
      <c r="UGU5" s="11"/>
      <c r="UGV5" s="11"/>
      <c r="UGW5" s="11"/>
      <c r="UGX5" s="11"/>
      <c r="UGY5" s="11"/>
      <c r="UGZ5" s="11"/>
      <c r="UHA5" s="11"/>
      <c r="UHB5" s="11"/>
      <c r="UHC5" s="11"/>
      <c r="UHD5" s="11"/>
      <c r="UHE5" s="11"/>
      <c r="UHF5" s="11"/>
      <c r="UHG5" s="11"/>
      <c r="UHH5" s="11"/>
      <c r="UHI5" s="11"/>
      <c r="UHJ5" s="11"/>
      <c r="UHK5" s="11"/>
      <c r="UHL5" s="11"/>
      <c r="UHM5" s="11"/>
      <c r="UHN5" s="11"/>
      <c r="UHO5" s="11"/>
      <c r="UHP5" s="11"/>
      <c r="UHQ5" s="11"/>
      <c r="UHR5" s="11"/>
      <c r="UHS5" s="11"/>
      <c r="UHT5" s="11"/>
      <c r="UHU5" s="11"/>
      <c r="UHV5" s="11"/>
      <c r="UHW5" s="11"/>
      <c r="UHX5" s="11"/>
      <c r="UHY5" s="11"/>
      <c r="UHZ5" s="11"/>
      <c r="UIA5" s="11"/>
      <c r="UIB5" s="11"/>
      <c r="UIC5" s="11"/>
      <c r="UID5" s="11"/>
      <c r="UIE5" s="11"/>
      <c r="UIF5" s="11"/>
      <c r="UIG5" s="11"/>
      <c r="UIH5" s="11"/>
      <c r="UII5" s="11"/>
      <c r="UIJ5" s="11"/>
      <c r="UIK5" s="11"/>
      <c r="UIL5" s="11"/>
      <c r="UIM5" s="11"/>
      <c r="UIN5" s="11"/>
      <c r="UIO5" s="11"/>
      <c r="UIP5" s="11"/>
      <c r="UIQ5" s="11"/>
      <c r="UIR5" s="11"/>
      <c r="UIS5" s="11"/>
      <c r="UIT5" s="11"/>
      <c r="UIU5" s="11"/>
      <c r="UIV5" s="11"/>
      <c r="UIW5" s="11"/>
      <c r="UIX5" s="11"/>
      <c r="UIY5" s="11"/>
      <c r="UIZ5" s="11"/>
      <c r="UJA5" s="11"/>
      <c r="UJB5" s="11"/>
      <c r="UJC5" s="11"/>
      <c r="UJD5" s="11"/>
      <c r="UJE5" s="11"/>
      <c r="UJF5" s="11"/>
      <c r="UJG5" s="11"/>
      <c r="UJH5" s="11"/>
      <c r="UJI5" s="11"/>
      <c r="UJJ5" s="11"/>
      <c r="UJK5" s="11"/>
      <c r="UJL5" s="11"/>
      <c r="UJM5" s="11"/>
      <c r="UJN5" s="11"/>
      <c r="UJO5" s="11"/>
      <c r="UJP5" s="11"/>
      <c r="UJQ5" s="11"/>
      <c r="UJR5" s="11"/>
      <c r="UJS5" s="11"/>
      <c r="UJT5" s="11"/>
      <c r="UJU5" s="11"/>
      <c r="UJV5" s="11"/>
      <c r="UJW5" s="11"/>
      <c r="UJX5" s="11"/>
      <c r="UJY5" s="11"/>
      <c r="UJZ5" s="11"/>
      <c r="UKA5" s="11"/>
      <c r="UKB5" s="11"/>
      <c r="UKC5" s="11"/>
      <c r="UKD5" s="11"/>
      <c r="UKE5" s="11"/>
      <c r="UKF5" s="11"/>
      <c r="UKG5" s="11"/>
      <c r="UKH5" s="11"/>
      <c r="UKI5" s="11"/>
      <c r="UKJ5" s="11"/>
      <c r="UKK5" s="11"/>
      <c r="UKL5" s="11"/>
      <c r="UKM5" s="11"/>
      <c r="UKN5" s="11"/>
      <c r="UKO5" s="11"/>
      <c r="UKP5" s="11"/>
      <c r="UKQ5" s="11"/>
      <c r="UKR5" s="11"/>
      <c r="UKS5" s="11"/>
      <c r="UKT5" s="11"/>
      <c r="UKU5" s="11"/>
      <c r="UKV5" s="11"/>
      <c r="UKW5" s="11"/>
      <c r="UKX5" s="11"/>
      <c r="UKY5" s="11"/>
      <c r="UKZ5" s="11"/>
      <c r="ULA5" s="11"/>
      <c r="ULB5" s="11"/>
      <c r="ULC5" s="11"/>
      <c r="ULD5" s="11"/>
      <c r="ULE5" s="11"/>
      <c r="ULF5" s="11"/>
      <c r="ULG5" s="11"/>
      <c r="ULH5" s="11"/>
      <c r="ULI5" s="11"/>
      <c r="ULJ5" s="11"/>
      <c r="ULK5" s="11"/>
      <c r="ULL5" s="11"/>
      <c r="ULM5" s="11"/>
      <c r="ULN5" s="11"/>
      <c r="ULO5" s="11"/>
      <c r="ULP5" s="11"/>
      <c r="ULQ5" s="11"/>
      <c r="ULR5" s="11"/>
      <c r="ULS5" s="11"/>
      <c r="ULT5" s="11"/>
      <c r="ULU5" s="11"/>
      <c r="ULV5" s="11"/>
      <c r="ULW5" s="11"/>
      <c r="ULX5" s="11"/>
      <c r="ULY5" s="11"/>
      <c r="ULZ5" s="11"/>
      <c r="UMA5" s="11"/>
      <c r="UMB5" s="11"/>
      <c r="UMC5" s="11"/>
      <c r="UMD5" s="11"/>
      <c r="UME5" s="11"/>
      <c r="UMF5" s="11"/>
      <c r="UMG5" s="11"/>
      <c r="UMH5" s="11"/>
      <c r="UMI5" s="11"/>
      <c r="UMJ5" s="11"/>
      <c r="UMK5" s="11"/>
      <c r="UML5" s="11"/>
      <c r="UMM5" s="11"/>
      <c r="UMN5" s="11"/>
      <c r="UMO5" s="11"/>
      <c r="UMP5" s="11"/>
      <c r="UMQ5" s="11"/>
      <c r="UMR5" s="11"/>
      <c r="UMS5" s="11"/>
      <c r="UMT5" s="11"/>
      <c r="UMU5" s="11"/>
      <c r="UMV5" s="11"/>
      <c r="UMW5" s="11"/>
      <c r="UMX5" s="11"/>
      <c r="UMY5" s="11"/>
      <c r="UMZ5" s="11"/>
      <c r="UNA5" s="11"/>
      <c r="UNB5" s="11"/>
      <c r="UNC5" s="11"/>
      <c r="UND5" s="11"/>
      <c r="UNE5" s="11"/>
      <c r="UNF5" s="11"/>
      <c r="UNG5" s="11"/>
      <c r="UNH5" s="11"/>
      <c r="UNI5" s="11"/>
      <c r="UNJ5" s="11"/>
      <c r="UNK5" s="11"/>
      <c r="UNL5" s="11"/>
      <c r="UNM5" s="11"/>
      <c r="UNN5" s="11"/>
      <c r="UNO5" s="11"/>
      <c r="UNP5" s="11"/>
      <c r="UNQ5" s="11"/>
      <c r="UNR5" s="11"/>
      <c r="UNS5" s="11"/>
      <c r="UNT5" s="11"/>
      <c r="UNU5" s="11"/>
      <c r="UNV5" s="11"/>
      <c r="UNW5" s="11"/>
      <c r="UNX5" s="11"/>
      <c r="UNY5" s="11"/>
      <c r="UNZ5" s="11"/>
      <c r="UOA5" s="11"/>
      <c r="UOB5" s="11"/>
      <c r="UOC5" s="11"/>
      <c r="UOD5" s="11"/>
      <c r="UOE5" s="11"/>
      <c r="UOF5" s="11"/>
      <c r="UOG5" s="11"/>
      <c r="UOH5" s="11"/>
      <c r="UOI5" s="11"/>
      <c r="UOJ5" s="11"/>
      <c r="UOK5" s="11"/>
      <c r="UOL5" s="11"/>
      <c r="UOM5" s="11"/>
      <c r="UON5" s="11"/>
      <c r="UOO5" s="11"/>
      <c r="UOP5" s="11"/>
      <c r="UOQ5" s="11"/>
      <c r="UOR5" s="11"/>
      <c r="UOS5" s="11"/>
      <c r="UOT5" s="11"/>
      <c r="UOU5" s="11"/>
      <c r="UOV5" s="11"/>
      <c r="UOW5" s="11"/>
      <c r="UOX5" s="11"/>
      <c r="UOY5" s="11"/>
      <c r="UOZ5" s="11"/>
      <c r="UPA5" s="11"/>
      <c r="UPB5" s="11"/>
      <c r="UPC5" s="11"/>
      <c r="UPD5" s="11"/>
      <c r="UPE5" s="11"/>
      <c r="UPF5" s="11"/>
      <c r="UPG5" s="11"/>
      <c r="UPH5" s="11"/>
      <c r="UPI5" s="11"/>
      <c r="UPJ5" s="11"/>
      <c r="UPK5" s="11"/>
      <c r="UPL5" s="11"/>
      <c r="UPM5" s="11"/>
      <c r="UPN5" s="11"/>
      <c r="UPO5" s="11"/>
      <c r="UPP5" s="11"/>
      <c r="UPQ5" s="11"/>
      <c r="UPR5" s="11"/>
      <c r="UPS5" s="11"/>
      <c r="UPT5" s="11"/>
      <c r="UPU5" s="11"/>
      <c r="UPV5" s="11"/>
      <c r="UPW5" s="11"/>
      <c r="UPX5" s="11"/>
      <c r="UPY5" s="11"/>
      <c r="UPZ5" s="11"/>
      <c r="UQA5" s="11"/>
      <c r="UQB5" s="11"/>
      <c r="UQC5" s="11"/>
      <c r="UQD5" s="11"/>
      <c r="UQE5" s="11"/>
      <c r="UQF5" s="11"/>
      <c r="UQG5" s="11"/>
      <c r="UQH5" s="11"/>
      <c r="UQI5" s="11"/>
      <c r="UQJ5" s="11"/>
      <c r="UQK5" s="11"/>
      <c r="UQL5" s="11"/>
      <c r="UQM5" s="11"/>
      <c r="UQN5" s="11"/>
      <c r="UQO5" s="11"/>
      <c r="UQP5" s="11"/>
      <c r="UQQ5" s="11"/>
      <c r="UQR5" s="11"/>
      <c r="UQS5" s="11"/>
      <c r="UQT5" s="11"/>
      <c r="UQU5" s="11"/>
      <c r="UQV5" s="11"/>
      <c r="UQW5" s="11"/>
      <c r="UQX5" s="11"/>
      <c r="UQY5" s="11"/>
      <c r="UQZ5" s="11"/>
      <c r="URA5" s="11"/>
      <c r="URB5" s="11"/>
      <c r="URC5" s="11"/>
      <c r="URD5" s="11"/>
      <c r="URE5" s="11"/>
      <c r="URF5" s="11"/>
      <c r="URG5" s="11"/>
      <c r="URH5" s="11"/>
      <c r="URI5" s="11"/>
      <c r="URJ5" s="11"/>
      <c r="URK5" s="11"/>
      <c r="URL5" s="11"/>
      <c r="URM5" s="11"/>
      <c r="URN5" s="11"/>
      <c r="URO5" s="11"/>
      <c r="URP5" s="11"/>
      <c r="URQ5" s="11"/>
      <c r="URR5" s="11"/>
      <c r="URS5" s="11"/>
      <c r="URT5" s="11"/>
      <c r="URU5" s="11"/>
      <c r="URV5" s="11"/>
      <c r="URW5" s="11"/>
      <c r="URX5" s="11"/>
      <c r="URY5" s="11"/>
      <c r="URZ5" s="11"/>
      <c r="USA5" s="11"/>
      <c r="USB5" s="11"/>
      <c r="USC5" s="11"/>
      <c r="USD5" s="11"/>
      <c r="USE5" s="11"/>
      <c r="USF5" s="11"/>
      <c r="USG5" s="11"/>
      <c r="USH5" s="11"/>
      <c r="USI5" s="11"/>
      <c r="USJ5" s="11"/>
      <c r="USK5" s="11"/>
      <c r="USL5" s="11"/>
      <c r="USM5" s="11"/>
      <c r="USN5" s="11"/>
      <c r="USO5" s="11"/>
      <c r="USP5" s="11"/>
      <c r="USQ5" s="11"/>
      <c r="USR5" s="11"/>
      <c r="USS5" s="11"/>
      <c r="UST5" s="11"/>
      <c r="USU5" s="11"/>
      <c r="USV5" s="11"/>
      <c r="USW5" s="11"/>
      <c r="USX5" s="11"/>
      <c r="USY5" s="11"/>
      <c r="USZ5" s="11"/>
      <c r="UTA5" s="11"/>
      <c r="UTB5" s="11"/>
      <c r="UTC5" s="11"/>
      <c r="UTD5" s="11"/>
      <c r="UTE5" s="11"/>
      <c r="UTF5" s="11"/>
      <c r="UTG5" s="11"/>
      <c r="UTH5" s="11"/>
      <c r="UTI5" s="11"/>
      <c r="UTJ5" s="11"/>
      <c r="UTK5" s="11"/>
      <c r="UTL5" s="11"/>
      <c r="UTM5" s="11"/>
      <c r="UTN5" s="11"/>
      <c r="UTO5" s="11"/>
      <c r="UTP5" s="11"/>
      <c r="UTQ5" s="11"/>
      <c r="UTR5" s="11"/>
      <c r="UTS5" s="11"/>
      <c r="UTT5" s="11"/>
      <c r="UTU5" s="11"/>
      <c r="UTV5" s="11"/>
      <c r="UTW5" s="11"/>
      <c r="UTX5" s="11"/>
      <c r="UTY5" s="11"/>
      <c r="UTZ5" s="11"/>
      <c r="UUA5" s="11"/>
      <c r="UUB5" s="11"/>
      <c r="UUC5" s="11"/>
      <c r="UUD5" s="11"/>
      <c r="UUE5" s="11"/>
      <c r="UUF5" s="11"/>
      <c r="UUG5" s="11"/>
      <c r="UUH5" s="11"/>
      <c r="UUI5" s="11"/>
      <c r="UUJ5" s="11"/>
      <c r="UUK5" s="11"/>
      <c r="UUL5" s="11"/>
      <c r="UUM5" s="11"/>
      <c r="UUN5" s="11"/>
      <c r="UUO5" s="11"/>
      <c r="UUP5" s="11"/>
      <c r="UUQ5" s="11"/>
      <c r="UUR5" s="11"/>
      <c r="UUS5" s="11"/>
      <c r="UUT5" s="11"/>
      <c r="UUU5" s="11"/>
      <c r="UUV5" s="11"/>
      <c r="UUW5" s="11"/>
      <c r="UUX5" s="11"/>
      <c r="UUY5" s="11"/>
      <c r="UUZ5" s="11"/>
      <c r="UVA5" s="11"/>
      <c r="UVB5" s="11"/>
      <c r="UVC5" s="11"/>
      <c r="UVD5" s="11"/>
      <c r="UVE5" s="11"/>
      <c r="UVF5" s="11"/>
      <c r="UVG5" s="11"/>
      <c r="UVH5" s="11"/>
      <c r="UVI5" s="11"/>
      <c r="UVJ5" s="11"/>
      <c r="UVK5" s="11"/>
      <c r="UVL5" s="11"/>
      <c r="UVM5" s="11"/>
      <c r="UVN5" s="11"/>
      <c r="UVO5" s="11"/>
      <c r="UVP5" s="11"/>
      <c r="UVQ5" s="11"/>
      <c r="UVR5" s="11"/>
      <c r="UVS5" s="11"/>
      <c r="UVT5" s="11"/>
      <c r="UVU5" s="11"/>
      <c r="UVV5" s="11"/>
      <c r="UVW5" s="11"/>
      <c r="UVX5" s="11"/>
      <c r="UVY5" s="11"/>
      <c r="UVZ5" s="11"/>
      <c r="UWA5" s="11"/>
      <c r="UWB5" s="11"/>
      <c r="UWC5" s="11"/>
      <c r="UWD5" s="11"/>
      <c r="UWE5" s="11"/>
      <c r="UWF5" s="11"/>
      <c r="UWG5" s="11"/>
      <c r="UWH5" s="11"/>
      <c r="UWI5" s="11"/>
      <c r="UWJ5" s="11"/>
      <c r="UWK5" s="11"/>
      <c r="UWL5" s="11"/>
      <c r="UWM5" s="11"/>
      <c r="UWN5" s="11"/>
      <c r="UWO5" s="11"/>
      <c r="UWP5" s="11"/>
      <c r="UWQ5" s="11"/>
      <c r="UWR5" s="11"/>
      <c r="UWS5" s="11"/>
      <c r="UWT5" s="11"/>
      <c r="UWU5" s="11"/>
      <c r="UWV5" s="11"/>
      <c r="UWW5" s="11"/>
      <c r="UWX5" s="11"/>
      <c r="UWY5" s="11"/>
      <c r="UWZ5" s="11"/>
      <c r="UXA5" s="11"/>
      <c r="UXB5" s="11"/>
      <c r="UXC5" s="11"/>
      <c r="UXD5" s="11"/>
      <c r="UXE5" s="11"/>
      <c r="UXF5" s="11"/>
      <c r="UXG5" s="11"/>
      <c r="UXH5" s="11"/>
      <c r="UXI5" s="11"/>
      <c r="UXJ5" s="11"/>
      <c r="UXK5" s="11"/>
      <c r="UXL5" s="11"/>
      <c r="UXM5" s="11"/>
      <c r="UXN5" s="11"/>
      <c r="UXO5" s="11"/>
      <c r="UXP5" s="11"/>
      <c r="UXQ5" s="11"/>
      <c r="UXR5" s="11"/>
      <c r="UXS5" s="11"/>
      <c r="UXT5" s="11"/>
      <c r="UXU5" s="11"/>
      <c r="UXV5" s="11"/>
      <c r="UXW5" s="11"/>
      <c r="UXX5" s="11"/>
      <c r="UXY5" s="11"/>
      <c r="UXZ5" s="11"/>
      <c r="UYA5" s="11"/>
      <c r="UYB5" s="11"/>
      <c r="UYC5" s="11"/>
      <c r="UYD5" s="11"/>
      <c r="UYE5" s="11"/>
      <c r="UYF5" s="11"/>
      <c r="UYG5" s="11"/>
      <c r="UYH5" s="11"/>
      <c r="UYI5" s="11"/>
      <c r="UYJ5" s="11"/>
      <c r="UYK5" s="11"/>
      <c r="UYL5" s="11"/>
      <c r="UYM5" s="11"/>
      <c r="UYN5" s="11"/>
      <c r="UYO5" s="11"/>
      <c r="UYP5" s="11"/>
      <c r="UYQ5" s="11"/>
      <c r="UYR5" s="11"/>
      <c r="UYS5" s="11"/>
      <c r="UYT5" s="11"/>
      <c r="UYU5" s="11"/>
      <c r="UYV5" s="11"/>
      <c r="UYW5" s="11"/>
      <c r="UYX5" s="11"/>
      <c r="UYY5" s="11"/>
      <c r="UYZ5" s="11"/>
      <c r="UZA5" s="11"/>
      <c r="UZB5" s="11"/>
      <c r="UZC5" s="11"/>
      <c r="UZD5" s="11"/>
      <c r="UZE5" s="11"/>
      <c r="UZF5" s="11"/>
      <c r="UZG5" s="11"/>
      <c r="UZH5" s="11"/>
      <c r="UZI5" s="11"/>
      <c r="UZJ5" s="11"/>
      <c r="UZK5" s="11"/>
      <c r="UZL5" s="11"/>
      <c r="UZM5" s="11"/>
      <c r="UZN5" s="11"/>
      <c r="UZO5" s="11"/>
      <c r="UZP5" s="11"/>
      <c r="UZQ5" s="11"/>
      <c r="UZR5" s="11"/>
      <c r="UZS5" s="11"/>
      <c r="UZT5" s="11"/>
      <c r="UZU5" s="11"/>
      <c r="UZV5" s="11"/>
      <c r="UZW5" s="11"/>
      <c r="UZX5" s="11"/>
      <c r="UZY5" s="11"/>
      <c r="UZZ5" s="11"/>
      <c r="VAA5" s="11"/>
      <c r="VAB5" s="11"/>
      <c r="VAC5" s="11"/>
      <c r="VAD5" s="11"/>
      <c r="VAE5" s="11"/>
      <c r="VAF5" s="11"/>
      <c r="VAG5" s="11"/>
      <c r="VAH5" s="11"/>
      <c r="VAI5" s="11"/>
      <c r="VAJ5" s="11"/>
      <c r="VAK5" s="11"/>
      <c r="VAL5" s="11"/>
      <c r="VAM5" s="11"/>
      <c r="VAN5" s="11"/>
      <c r="VAO5" s="11"/>
      <c r="VAP5" s="11"/>
      <c r="VAQ5" s="11"/>
      <c r="VAR5" s="11"/>
      <c r="VAS5" s="11"/>
      <c r="VAT5" s="11"/>
      <c r="VAU5" s="11"/>
      <c r="VAV5" s="11"/>
      <c r="VAW5" s="11"/>
      <c r="VAX5" s="11"/>
      <c r="VAY5" s="11"/>
      <c r="VAZ5" s="11"/>
      <c r="VBA5" s="11"/>
      <c r="VBB5" s="11"/>
      <c r="VBC5" s="11"/>
      <c r="VBD5" s="11"/>
      <c r="VBE5" s="11"/>
      <c r="VBF5" s="11"/>
      <c r="VBG5" s="11"/>
      <c r="VBH5" s="11"/>
      <c r="VBI5" s="11"/>
      <c r="VBJ5" s="11"/>
      <c r="VBK5" s="11"/>
      <c r="VBL5" s="11"/>
      <c r="VBM5" s="11"/>
      <c r="VBN5" s="11"/>
      <c r="VBO5" s="11"/>
      <c r="VBP5" s="11"/>
      <c r="VBQ5" s="11"/>
      <c r="VBR5" s="11"/>
      <c r="VBS5" s="11"/>
      <c r="VBT5" s="11"/>
      <c r="VBU5" s="11"/>
      <c r="VBV5" s="11"/>
      <c r="VBW5" s="11"/>
      <c r="VBX5" s="11"/>
      <c r="VBY5" s="11"/>
      <c r="VBZ5" s="11"/>
      <c r="VCA5" s="11"/>
      <c r="VCB5" s="11"/>
      <c r="VCC5" s="11"/>
      <c r="VCD5" s="11"/>
      <c r="VCE5" s="11"/>
      <c r="VCF5" s="11"/>
      <c r="VCG5" s="11"/>
      <c r="VCH5" s="11"/>
      <c r="VCI5" s="11"/>
      <c r="VCJ5" s="11"/>
      <c r="VCK5" s="11"/>
      <c r="VCL5" s="11"/>
      <c r="VCM5" s="11"/>
      <c r="VCN5" s="11"/>
      <c r="VCO5" s="11"/>
      <c r="VCP5" s="11"/>
      <c r="VCQ5" s="11"/>
      <c r="VCR5" s="11"/>
      <c r="VCS5" s="11"/>
      <c r="VCT5" s="11"/>
      <c r="VCU5" s="11"/>
      <c r="VCV5" s="11"/>
      <c r="VCW5" s="11"/>
      <c r="VCX5" s="11"/>
      <c r="VCY5" s="11"/>
      <c r="VCZ5" s="11"/>
      <c r="VDA5" s="11"/>
      <c r="VDB5" s="11"/>
      <c r="VDC5" s="11"/>
      <c r="VDD5" s="11"/>
      <c r="VDE5" s="11"/>
      <c r="VDF5" s="11"/>
      <c r="VDG5" s="11"/>
      <c r="VDH5" s="11"/>
      <c r="VDI5" s="11"/>
      <c r="VDJ5" s="11"/>
      <c r="VDK5" s="11"/>
      <c r="VDL5" s="11"/>
      <c r="VDM5" s="11"/>
      <c r="VDN5" s="11"/>
      <c r="VDO5" s="11"/>
      <c r="VDP5" s="11"/>
      <c r="VDQ5" s="11"/>
      <c r="VDR5" s="11"/>
      <c r="VDS5" s="11"/>
      <c r="VDT5" s="11"/>
      <c r="VDU5" s="11"/>
      <c r="VDV5" s="11"/>
      <c r="VDW5" s="11"/>
      <c r="VDX5" s="11"/>
      <c r="VDY5" s="11"/>
      <c r="VDZ5" s="11"/>
      <c r="VEA5" s="11"/>
      <c r="VEB5" s="11"/>
      <c r="VEC5" s="11"/>
      <c r="VED5" s="11"/>
      <c r="VEE5" s="11"/>
      <c r="VEF5" s="11"/>
      <c r="VEG5" s="11"/>
      <c r="VEH5" s="11"/>
      <c r="VEI5" s="11"/>
      <c r="VEJ5" s="11"/>
      <c r="VEK5" s="11"/>
      <c r="VEL5" s="11"/>
      <c r="VEM5" s="11"/>
      <c r="VEN5" s="11"/>
      <c r="VEO5" s="11"/>
      <c r="VEP5" s="11"/>
      <c r="VEQ5" s="11"/>
      <c r="VER5" s="11"/>
      <c r="VES5" s="11"/>
      <c r="VET5" s="11"/>
      <c r="VEU5" s="11"/>
      <c r="VEV5" s="11"/>
      <c r="VEW5" s="11"/>
      <c r="VEX5" s="11"/>
      <c r="VEY5" s="11"/>
      <c r="VEZ5" s="11"/>
      <c r="VFA5" s="11"/>
      <c r="VFB5" s="11"/>
      <c r="VFC5" s="11"/>
      <c r="VFD5" s="11"/>
      <c r="VFE5" s="11"/>
      <c r="VFF5" s="11"/>
      <c r="VFG5" s="11"/>
      <c r="VFH5" s="11"/>
      <c r="VFI5" s="11"/>
      <c r="VFJ5" s="11"/>
      <c r="VFK5" s="11"/>
      <c r="VFL5" s="11"/>
      <c r="VFM5" s="11"/>
      <c r="VFN5" s="11"/>
      <c r="VFO5" s="11"/>
      <c r="VFP5" s="11"/>
      <c r="VFQ5" s="11"/>
      <c r="VFR5" s="11"/>
      <c r="VFS5" s="11"/>
      <c r="VFT5" s="11"/>
      <c r="VFU5" s="11"/>
      <c r="VFV5" s="11"/>
      <c r="VFW5" s="11"/>
      <c r="VFX5" s="11"/>
      <c r="VFY5" s="11"/>
      <c r="VFZ5" s="11"/>
      <c r="VGA5" s="11"/>
      <c r="VGB5" s="11"/>
      <c r="VGC5" s="11"/>
      <c r="VGD5" s="11"/>
      <c r="VGE5" s="11"/>
      <c r="VGF5" s="11"/>
      <c r="VGG5" s="11"/>
      <c r="VGH5" s="11"/>
      <c r="VGI5" s="11"/>
      <c r="VGJ5" s="11"/>
      <c r="VGK5" s="11"/>
      <c r="VGL5" s="11"/>
      <c r="VGM5" s="11"/>
      <c r="VGN5" s="11"/>
      <c r="VGO5" s="11"/>
      <c r="VGP5" s="11"/>
      <c r="VGQ5" s="11"/>
      <c r="VGR5" s="11"/>
      <c r="VGS5" s="11"/>
      <c r="VGT5" s="11"/>
      <c r="VGU5" s="11"/>
      <c r="VGV5" s="11"/>
      <c r="VGW5" s="11"/>
      <c r="VGX5" s="11"/>
      <c r="VGY5" s="11"/>
      <c r="VGZ5" s="11"/>
      <c r="VHA5" s="11"/>
      <c r="VHB5" s="11"/>
      <c r="VHC5" s="11"/>
      <c r="VHD5" s="11"/>
      <c r="VHE5" s="11"/>
      <c r="VHF5" s="11"/>
      <c r="VHG5" s="11"/>
      <c r="VHH5" s="11"/>
      <c r="VHI5" s="11"/>
      <c r="VHJ5" s="11"/>
      <c r="VHK5" s="11"/>
      <c r="VHL5" s="11"/>
      <c r="VHM5" s="11"/>
      <c r="VHN5" s="11"/>
      <c r="VHO5" s="11"/>
      <c r="VHP5" s="11"/>
      <c r="VHQ5" s="11"/>
      <c r="VHR5" s="11"/>
      <c r="VHS5" s="11"/>
      <c r="VHT5" s="11"/>
      <c r="VHU5" s="11"/>
      <c r="VHV5" s="11"/>
      <c r="VHW5" s="11"/>
      <c r="VHX5" s="11"/>
      <c r="VHY5" s="11"/>
      <c r="VHZ5" s="11"/>
      <c r="VIA5" s="11"/>
      <c r="VIB5" s="11"/>
      <c r="VIC5" s="11"/>
      <c r="VID5" s="11"/>
      <c r="VIE5" s="11"/>
      <c r="VIF5" s="11"/>
      <c r="VIG5" s="11"/>
      <c r="VIH5" s="11"/>
      <c r="VII5" s="11"/>
      <c r="VIJ5" s="11"/>
      <c r="VIK5" s="11"/>
      <c r="VIL5" s="11"/>
      <c r="VIM5" s="11"/>
      <c r="VIN5" s="11"/>
      <c r="VIO5" s="11"/>
      <c r="VIP5" s="11"/>
      <c r="VIQ5" s="11"/>
      <c r="VIR5" s="11"/>
      <c r="VIS5" s="11"/>
      <c r="VIT5" s="11"/>
      <c r="VIU5" s="11"/>
      <c r="VIV5" s="11"/>
      <c r="VIW5" s="11"/>
      <c r="VIX5" s="11"/>
      <c r="VIY5" s="11"/>
      <c r="VIZ5" s="11"/>
      <c r="VJA5" s="11"/>
      <c r="VJB5" s="11"/>
      <c r="VJC5" s="11"/>
      <c r="VJD5" s="11"/>
      <c r="VJE5" s="11"/>
      <c r="VJF5" s="11"/>
      <c r="VJG5" s="11"/>
      <c r="VJH5" s="11"/>
      <c r="VJI5" s="11"/>
      <c r="VJJ5" s="11"/>
      <c r="VJK5" s="11"/>
      <c r="VJL5" s="11"/>
      <c r="VJM5" s="11"/>
      <c r="VJN5" s="11"/>
      <c r="VJO5" s="11"/>
      <c r="VJP5" s="11"/>
      <c r="VJQ5" s="11"/>
      <c r="VJR5" s="11"/>
      <c r="VJS5" s="11"/>
      <c r="VJT5" s="11"/>
      <c r="VJU5" s="11"/>
      <c r="VJV5" s="11"/>
      <c r="VJW5" s="11"/>
      <c r="VJX5" s="11"/>
      <c r="VJY5" s="11"/>
      <c r="VJZ5" s="11"/>
      <c r="VKA5" s="11"/>
      <c r="VKB5" s="11"/>
      <c r="VKC5" s="11"/>
      <c r="VKD5" s="11"/>
      <c r="VKE5" s="11"/>
      <c r="VKF5" s="11"/>
      <c r="VKG5" s="11"/>
      <c r="VKH5" s="11"/>
      <c r="VKI5" s="11"/>
      <c r="VKJ5" s="11"/>
      <c r="VKK5" s="11"/>
      <c r="VKL5" s="11"/>
      <c r="VKM5" s="11"/>
      <c r="VKN5" s="11"/>
      <c r="VKO5" s="11"/>
      <c r="VKP5" s="11"/>
      <c r="VKQ5" s="11"/>
      <c r="VKR5" s="11"/>
      <c r="VKS5" s="11"/>
      <c r="VKT5" s="11"/>
      <c r="VKU5" s="11"/>
      <c r="VKV5" s="11"/>
      <c r="VKW5" s="11"/>
      <c r="VKX5" s="11"/>
      <c r="VKY5" s="11"/>
      <c r="VKZ5" s="11"/>
      <c r="VLA5" s="11"/>
      <c r="VLB5" s="11"/>
      <c r="VLC5" s="11"/>
      <c r="VLD5" s="11"/>
      <c r="VLE5" s="11"/>
      <c r="VLF5" s="11"/>
      <c r="VLG5" s="11"/>
      <c r="VLH5" s="11"/>
      <c r="VLI5" s="11"/>
      <c r="VLJ5" s="11"/>
      <c r="VLK5" s="11"/>
      <c r="VLL5" s="11"/>
      <c r="VLM5" s="11"/>
      <c r="VLN5" s="11"/>
      <c r="VLO5" s="11"/>
      <c r="VLP5" s="11"/>
      <c r="VLQ5" s="11"/>
      <c r="VLR5" s="11"/>
      <c r="VLS5" s="11"/>
      <c r="VLT5" s="11"/>
      <c r="VLU5" s="11"/>
      <c r="VLV5" s="11"/>
      <c r="VLW5" s="11"/>
      <c r="VLX5" s="11"/>
      <c r="VLY5" s="11"/>
      <c r="VLZ5" s="11"/>
      <c r="VMA5" s="11"/>
      <c r="VMB5" s="11"/>
      <c r="VMC5" s="11"/>
      <c r="VMD5" s="11"/>
      <c r="VME5" s="11"/>
      <c r="VMF5" s="11"/>
      <c r="VMG5" s="11"/>
      <c r="VMH5" s="11"/>
      <c r="VMI5" s="11"/>
      <c r="VMJ5" s="11"/>
      <c r="VMK5" s="11"/>
      <c r="VML5" s="11"/>
      <c r="VMM5" s="11"/>
      <c r="VMN5" s="11"/>
      <c r="VMO5" s="11"/>
      <c r="VMP5" s="11"/>
      <c r="VMQ5" s="11"/>
      <c r="VMR5" s="11"/>
      <c r="VMS5" s="11"/>
      <c r="VMT5" s="11"/>
      <c r="VMU5" s="11"/>
      <c r="VMV5" s="11"/>
      <c r="VMW5" s="11"/>
      <c r="VMX5" s="11"/>
      <c r="VMY5" s="11"/>
      <c r="VMZ5" s="11"/>
      <c r="VNA5" s="11"/>
      <c r="VNB5" s="11"/>
      <c r="VNC5" s="11"/>
      <c r="VND5" s="11"/>
      <c r="VNE5" s="11"/>
      <c r="VNF5" s="11"/>
      <c r="VNG5" s="11"/>
      <c r="VNH5" s="11"/>
      <c r="VNI5" s="11"/>
      <c r="VNJ5" s="11"/>
      <c r="VNK5" s="11"/>
      <c r="VNL5" s="11"/>
      <c r="VNM5" s="11"/>
      <c r="VNN5" s="11"/>
      <c r="VNO5" s="11"/>
      <c r="VNP5" s="11"/>
      <c r="VNQ5" s="11"/>
      <c r="VNR5" s="11"/>
      <c r="VNS5" s="11"/>
      <c r="VNT5" s="11"/>
      <c r="VNU5" s="11"/>
      <c r="VNV5" s="11"/>
      <c r="VNW5" s="11"/>
      <c r="VNX5" s="11"/>
      <c r="VNY5" s="11"/>
      <c r="VNZ5" s="11"/>
      <c r="VOA5" s="11"/>
      <c r="VOB5" s="11"/>
      <c r="VOC5" s="11"/>
      <c r="VOD5" s="11"/>
      <c r="VOE5" s="11"/>
      <c r="VOF5" s="11"/>
      <c r="VOG5" s="11"/>
      <c r="VOH5" s="11"/>
      <c r="VOI5" s="11"/>
      <c r="VOJ5" s="11"/>
      <c r="VOK5" s="11"/>
      <c r="VOL5" s="11"/>
      <c r="VOM5" s="11"/>
      <c r="VON5" s="11"/>
      <c r="VOO5" s="11"/>
      <c r="VOP5" s="11"/>
      <c r="VOQ5" s="11"/>
      <c r="VOR5" s="11"/>
      <c r="VOS5" s="11"/>
      <c r="VOT5" s="11"/>
      <c r="VOU5" s="11"/>
      <c r="VOV5" s="11"/>
      <c r="VOW5" s="11"/>
      <c r="VOX5" s="11"/>
      <c r="VOY5" s="11"/>
      <c r="VOZ5" s="11"/>
      <c r="VPA5" s="11"/>
      <c r="VPB5" s="11"/>
      <c r="VPC5" s="11"/>
      <c r="VPD5" s="11"/>
      <c r="VPE5" s="11"/>
      <c r="VPF5" s="11"/>
      <c r="VPG5" s="11"/>
      <c r="VPH5" s="11"/>
      <c r="VPI5" s="11"/>
      <c r="VPJ5" s="11"/>
      <c r="VPK5" s="11"/>
      <c r="VPL5" s="11"/>
      <c r="VPM5" s="11"/>
      <c r="VPN5" s="11"/>
      <c r="VPO5" s="11"/>
      <c r="VPP5" s="11"/>
      <c r="VPQ5" s="11"/>
      <c r="VPR5" s="11"/>
      <c r="VPS5" s="11"/>
      <c r="VPT5" s="11"/>
      <c r="VPU5" s="11"/>
      <c r="VPV5" s="11"/>
      <c r="VPW5" s="11"/>
      <c r="VPX5" s="11"/>
      <c r="VPY5" s="11"/>
      <c r="VPZ5" s="11"/>
      <c r="VQA5" s="11"/>
      <c r="VQB5" s="11"/>
      <c r="VQC5" s="11"/>
      <c r="VQD5" s="11"/>
      <c r="VQE5" s="11"/>
      <c r="VQF5" s="11"/>
      <c r="VQG5" s="11"/>
      <c r="VQH5" s="11"/>
      <c r="VQI5" s="11"/>
      <c r="VQJ5" s="11"/>
      <c r="VQK5" s="11"/>
      <c r="VQL5" s="11"/>
      <c r="VQM5" s="11"/>
      <c r="VQN5" s="11"/>
      <c r="VQO5" s="11"/>
      <c r="VQP5" s="11"/>
      <c r="VQQ5" s="11"/>
      <c r="VQR5" s="11"/>
      <c r="VQS5" s="11"/>
      <c r="VQT5" s="11"/>
      <c r="VQU5" s="11"/>
      <c r="VQV5" s="11"/>
      <c r="VQW5" s="11"/>
      <c r="VQX5" s="11"/>
      <c r="VQY5" s="11"/>
      <c r="VQZ5" s="11"/>
      <c r="VRA5" s="11"/>
      <c r="VRB5" s="11"/>
      <c r="VRC5" s="11"/>
      <c r="VRD5" s="11"/>
      <c r="VRE5" s="11"/>
      <c r="VRF5" s="11"/>
      <c r="VRG5" s="11"/>
      <c r="VRH5" s="11"/>
      <c r="VRI5" s="11"/>
      <c r="VRJ5" s="11"/>
      <c r="VRK5" s="11"/>
      <c r="VRL5" s="11"/>
      <c r="VRM5" s="11"/>
      <c r="VRN5" s="11"/>
      <c r="VRO5" s="11"/>
      <c r="VRP5" s="11"/>
      <c r="VRQ5" s="11"/>
      <c r="VRR5" s="11"/>
      <c r="VRS5" s="11"/>
      <c r="VRT5" s="11"/>
      <c r="VRU5" s="11"/>
      <c r="VRV5" s="11"/>
      <c r="VRW5" s="11"/>
      <c r="VRX5" s="11"/>
      <c r="VRY5" s="11"/>
      <c r="VRZ5" s="11"/>
      <c r="VSA5" s="11"/>
      <c r="VSB5" s="11"/>
      <c r="VSC5" s="11"/>
      <c r="VSD5" s="11"/>
      <c r="VSE5" s="11"/>
      <c r="VSF5" s="11"/>
      <c r="VSG5" s="11"/>
      <c r="VSH5" s="11"/>
      <c r="VSI5" s="11"/>
      <c r="VSJ5" s="11"/>
      <c r="VSK5" s="11"/>
      <c r="VSL5" s="11"/>
      <c r="VSM5" s="11"/>
      <c r="VSN5" s="11"/>
      <c r="VSO5" s="11"/>
      <c r="VSP5" s="11"/>
      <c r="VSQ5" s="11"/>
      <c r="VSR5" s="11"/>
      <c r="VSS5" s="11"/>
      <c r="VST5" s="11"/>
      <c r="VSU5" s="11"/>
      <c r="VSV5" s="11"/>
      <c r="VSW5" s="11"/>
      <c r="VSX5" s="11"/>
      <c r="VSY5" s="11"/>
      <c r="VSZ5" s="11"/>
      <c r="VTA5" s="11"/>
      <c r="VTB5" s="11"/>
      <c r="VTC5" s="11"/>
      <c r="VTD5" s="11"/>
      <c r="VTE5" s="11"/>
      <c r="VTF5" s="11"/>
      <c r="VTG5" s="11"/>
      <c r="VTH5" s="11"/>
      <c r="VTI5" s="11"/>
      <c r="VTJ5" s="11"/>
      <c r="VTK5" s="11"/>
      <c r="VTL5" s="11"/>
      <c r="VTM5" s="11"/>
      <c r="VTN5" s="11"/>
      <c r="VTO5" s="11"/>
      <c r="VTP5" s="11"/>
      <c r="VTQ5" s="11"/>
      <c r="VTR5" s="11"/>
      <c r="VTS5" s="11"/>
      <c r="VTT5" s="11"/>
      <c r="VTU5" s="11"/>
      <c r="VTV5" s="11"/>
      <c r="VTW5" s="11"/>
      <c r="VTX5" s="11"/>
      <c r="VTY5" s="11"/>
      <c r="VTZ5" s="11"/>
      <c r="VUA5" s="11"/>
      <c r="VUB5" s="11"/>
      <c r="VUC5" s="11"/>
      <c r="VUD5" s="11"/>
      <c r="VUE5" s="11"/>
      <c r="VUF5" s="11"/>
      <c r="VUG5" s="11"/>
      <c r="VUH5" s="11"/>
      <c r="VUI5" s="11"/>
      <c r="VUJ5" s="11"/>
      <c r="VUK5" s="11"/>
      <c r="VUL5" s="11"/>
      <c r="VUM5" s="11"/>
      <c r="VUN5" s="11"/>
      <c r="VUO5" s="11"/>
      <c r="VUP5" s="11"/>
      <c r="VUQ5" s="11"/>
      <c r="VUR5" s="11"/>
      <c r="VUS5" s="11"/>
      <c r="VUT5" s="11"/>
      <c r="VUU5" s="11"/>
      <c r="VUV5" s="11"/>
      <c r="VUW5" s="11"/>
      <c r="VUX5" s="11"/>
      <c r="VUY5" s="11"/>
      <c r="VUZ5" s="11"/>
      <c r="VVA5" s="11"/>
      <c r="VVB5" s="11"/>
      <c r="VVC5" s="11"/>
      <c r="VVD5" s="11"/>
      <c r="VVE5" s="11"/>
      <c r="VVF5" s="11"/>
      <c r="VVG5" s="11"/>
      <c r="VVH5" s="11"/>
      <c r="VVI5" s="11"/>
      <c r="VVJ5" s="11"/>
      <c r="VVK5" s="11"/>
      <c r="VVL5" s="11"/>
      <c r="VVM5" s="11"/>
      <c r="VVN5" s="11"/>
      <c r="VVO5" s="11"/>
      <c r="VVP5" s="11"/>
      <c r="VVQ5" s="11"/>
      <c r="VVR5" s="11"/>
      <c r="VVS5" s="11"/>
      <c r="VVT5" s="11"/>
      <c r="VVU5" s="11"/>
      <c r="VVV5" s="11"/>
      <c r="VVW5" s="11"/>
      <c r="VVX5" s="11"/>
      <c r="VVY5" s="11"/>
      <c r="VVZ5" s="11"/>
      <c r="VWA5" s="11"/>
      <c r="VWB5" s="11"/>
      <c r="VWC5" s="11"/>
      <c r="VWD5" s="11"/>
      <c r="VWE5" s="11"/>
      <c r="VWF5" s="11"/>
      <c r="VWG5" s="11"/>
      <c r="VWH5" s="11"/>
      <c r="VWI5" s="11"/>
      <c r="VWJ5" s="11"/>
      <c r="VWK5" s="11"/>
      <c r="VWL5" s="11"/>
      <c r="VWM5" s="11"/>
      <c r="VWN5" s="11"/>
      <c r="VWO5" s="11"/>
      <c r="VWP5" s="11"/>
      <c r="VWQ5" s="11"/>
      <c r="VWR5" s="11"/>
      <c r="VWS5" s="11"/>
      <c r="VWT5" s="11"/>
      <c r="VWU5" s="11"/>
      <c r="VWV5" s="11"/>
      <c r="VWW5" s="11"/>
      <c r="VWX5" s="11"/>
      <c r="VWY5" s="11"/>
      <c r="VWZ5" s="11"/>
      <c r="VXA5" s="11"/>
      <c r="VXB5" s="11"/>
      <c r="VXC5" s="11"/>
      <c r="VXD5" s="11"/>
      <c r="VXE5" s="11"/>
      <c r="VXF5" s="11"/>
      <c r="VXG5" s="11"/>
      <c r="VXH5" s="11"/>
      <c r="VXI5" s="11"/>
      <c r="VXJ5" s="11"/>
      <c r="VXK5" s="11"/>
      <c r="VXL5" s="11"/>
      <c r="VXM5" s="11"/>
      <c r="VXN5" s="11"/>
      <c r="VXO5" s="11"/>
      <c r="VXP5" s="11"/>
      <c r="VXQ5" s="11"/>
      <c r="VXR5" s="11"/>
      <c r="VXS5" s="11"/>
      <c r="VXT5" s="11"/>
      <c r="VXU5" s="11"/>
      <c r="VXV5" s="11"/>
      <c r="VXW5" s="11"/>
      <c r="VXX5" s="11"/>
      <c r="VXY5" s="11"/>
      <c r="VXZ5" s="11"/>
      <c r="VYA5" s="11"/>
      <c r="VYB5" s="11"/>
      <c r="VYC5" s="11"/>
      <c r="VYD5" s="11"/>
      <c r="VYE5" s="11"/>
      <c r="VYF5" s="11"/>
      <c r="VYG5" s="11"/>
      <c r="VYH5" s="11"/>
      <c r="VYI5" s="11"/>
      <c r="VYJ5" s="11"/>
      <c r="VYK5" s="11"/>
      <c r="VYL5" s="11"/>
      <c r="VYM5" s="11"/>
      <c r="VYN5" s="11"/>
      <c r="VYO5" s="11"/>
      <c r="VYP5" s="11"/>
      <c r="VYQ5" s="11"/>
      <c r="VYR5" s="11"/>
      <c r="VYS5" s="11"/>
      <c r="VYT5" s="11"/>
      <c r="VYU5" s="11"/>
      <c r="VYV5" s="11"/>
      <c r="VYW5" s="11"/>
      <c r="VYX5" s="11"/>
      <c r="VYY5" s="11"/>
      <c r="VYZ5" s="11"/>
      <c r="VZA5" s="11"/>
      <c r="VZB5" s="11"/>
      <c r="VZC5" s="11"/>
      <c r="VZD5" s="11"/>
      <c r="VZE5" s="11"/>
      <c r="VZF5" s="11"/>
      <c r="VZG5" s="11"/>
      <c r="VZH5" s="11"/>
      <c r="VZI5" s="11"/>
      <c r="VZJ5" s="11"/>
      <c r="VZK5" s="11"/>
      <c r="VZL5" s="11"/>
      <c r="VZM5" s="11"/>
      <c r="VZN5" s="11"/>
      <c r="VZO5" s="11"/>
      <c r="VZP5" s="11"/>
      <c r="VZQ5" s="11"/>
      <c r="VZR5" s="11"/>
      <c r="VZS5" s="11"/>
      <c r="VZT5" s="11"/>
      <c r="VZU5" s="11"/>
      <c r="VZV5" s="11"/>
      <c r="VZW5" s="11"/>
      <c r="VZX5" s="11"/>
      <c r="VZY5" s="11"/>
      <c r="VZZ5" s="11"/>
      <c r="WAA5" s="11"/>
      <c r="WAB5" s="11"/>
      <c r="WAC5" s="11"/>
      <c r="WAD5" s="11"/>
      <c r="WAE5" s="11"/>
      <c r="WAF5" s="11"/>
      <c r="WAG5" s="11"/>
      <c r="WAH5" s="11"/>
      <c r="WAI5" s="11"/>
      <c r="WAJ5" s="11"/>
      <c r="WAK5" s="11"/>
      <c r="WAL5" s="11"/>
      <c r="WAM5" s="11"/>
      <c r="WAN5" s="11"/>
      <c r="WAO5" s="11"/>
      <c r="WAP5" s="11"/>
      <c r="WAQ5" s="11"/>
      <c r="WAR5" s="11"/>
      <c r="WAS5" s="11"/>
      <c r="WAT5" s="11"/>
      <c r="WAU5" s="11"/>
      <c r="WAV5" s="11"/>
      <c r="WAW5" s="11"/>
      <c r="WAX5" s="11"/>
      <c r="WAY5" s="11"/>
      <c r="WAZ5" s="11"/>
      <c r="WBA5" s="11"/>
      <c r="WBB5" s="11"/>
      <c r="WBC5" s="11"/>
      <c r="WBD5" s="11"/>
      <c r="WBE5" s="11"/>
      <c r="WBF5" s="11"/>
      <c r="WBG5" s="11"/>
      <c r="WBH5" s="11"/>
      <c r="WBI5" s="11"/>
      <c r="WBJ5" s="11"/>
      <c r="WBK5" s="11"/>
      <c r="WBL5" s="11"/>
      <c r="WBM5" s="11"/>
      <c r="WBN5" s="11"/>
      <c r="WBO5" s="11"/>
      <c r="WBP5" s="11"/>
      <c r="WBQ5" s="11"/>
      <c r="WBR5" s="11"/>
      <c r="WBS5" s="11"/>
      <c r="WBT5" s="11"/>
      <c r="WBU5" s="11"/>
      <c r="WBV5" s="11"/>
      <c r="WBW5" s="11"/>
      <c r="WBX5" s="11"/>
      <c r="WBY5" s="11"/>
      <c r="WBZ5" s="11"/>
      <c r="WCA5" s="11"/>
      <c r="WCB5" s="11"/>
      <c r="WCC5" s="11"/>
      <c r="WCD5" s="11"/>
      <c r="WCE5" s="11"/>
      <c r="WCF5" s="11"/>
      <c r="WCG5" s="11"/>
      <c r="WCH5" s="11"/>
      <c r="WCI5" s="11"/>
      <c r="WCJ5" s="11"/>
      <c r="WCK5" s="11"/>
      <c r="WCL5" s="11"/>
      <c r="WCM5" s="11"/>
      <c r="WCN5" s="11"/>
      <c r="WCO5" s="11"/>
      <c r="WCP5" s="11"/>
      <c r="WCQ5" s="11"/>
      <c r="WCR5" s="11"/>
      <c r="WCS5" s="11"/>
      <c r="WCT5" s="11"/>
      <c r="WCU5" s="11"/>
      <c r="WCV5" s="11"/>
      <c r="WCW5" s="11"/>
      <c r="WCX5" s="11"/>
      <c r="WCY5" s="11"/>
      <c r="WCZ5" s="11"/>
      <c r="WDA5" s="11"/>
      <c r="WDB5" s="11"/>
      <c r="WDC5" s="11"/>
      <c r="WDD5" s="11"/>
      <c r="WDE5" s="11"/>
      <c r="WDF5" s="11"/>
      <c r="WDG5" s="11"/>
      <c r="WDH5" s="11"/>
      <c r="WDI5" s="11"/>
      <c r="WDJ5" s="11"/>
      <c r="WDK5" s="11"/>
      <c r="WDL5" s="11"/>
      <c r="WDM5" s="11"/>
      <c r="WDN5" s="11"/>
      <c r="WDO5" s="11"/>
      <c r="WDP5" s="11"/>
      <c r="WDQ5" s="11"/>
      <c r="WDR5" s="11"/>
      <c r="WDS5" s="11"/>
      <c r="WDT5" s="11"/>
      <c r="WDU5" s="11"/>
      <c r="WDV5" s="11"/>
      <c r="WDW5" s="11"/>
      <c r="WDX5" s="11"/>
      <c r="WDY5" s="11"/>
      <c r="WDZ5" s="11"/>
      <c r="WEA5" s="11"/>
      <c r="WEB5" s="11"/>
      <c r="WEC5" s="11"/>
      <c r="WED5" s="11"/>
      <c r="WEE5" s="11"/>
      <c r="WEF5" s="11"/>
      <c r="WEG5" s="11"/>
      <c r="WEH5" s="11"/>
      <c r="WEI5" s="11"/>
      <c r="WEJ5" s="11"/>
      <c r="WEK5" s="11"/>
      <c r="WEL5" s="11"/>
      <c r="WEM5" s="11"/>
      <c r="WEN5" s="11"/>
      <c r="WEO5" s="11"/>
      <c r="WEP5" s="11"/>
      <c r="WEQ5" s="11"/>
      <c r="WER5" s="11"/>
      <c r="WES5" s="11"/>
      <c r="WET5" s="11"/>
      <c r="WEU5" s="11"/>
      <c r="WEV5" s="11"/>
      <c r="WEW5" s="11"/>
      <c r="WEX5" s="11"/>
      <c r="WEY5" s="11"/>
      <c r="WEZ5" s="11"/>
      <c r="WFA5" s="11"/>
      <c r="WFB5" s="11"/>
      <c r="WFC5" s="11"/>
      <c r="WFD5" s="11"/>
      <c r="WFE5" s="11"/>
      <c r="WFF5" s="11"/>
      <c r="WFG5" s="11"/>
      <c r="WFH5" s="11"/>
      <c r="WFI5" s="11"/>
      <c r="WFJ5" s="11"/>
      <c r="WFK5" s="11"/>
      <c r="WFL5" s="11"/>
      <c r="WFM5" s="11"/>
      <c r="WFN5" s="11"/>
      <c r="WFO5" s="11"/>
      <c r="WFP5" s="11"/>
      <c r="WFQ5" s="11"/>
      <c r="WFR5" s="11"/>
      <c r="WFS5" s="11"/>
      <c r="WFT5" s="11"/>
      <c r="WFU5" s="11"/>
      <c r="WFV5" s="11"/>
      <c r="WFW5" s="11"/>
      <c r="WFX5" s="11"/>
      <c r="WFY5" s="11"/>
      <c r="WFZ5" s="11"/>
      <c r="WGA5" s="11"/>
      <c r="WGB5" s="11"/>
      <c r="WGC5" s="11"/>
      <c r="WGD5" s="11"/>
      <c r="WGE5" s="11"/>
      <c r="WGF5" s="11"/>
      <c r="WGG5" s="11"/>
      <c r="WGH5" s="11"/>
      <c r="WGI5" s="11"/>
      <c r="WGJ5" s="11"/>
      <c r="WGK5" s="11"/>
      <c r="WGL5" s="11"/>
      <c r="WGM5" s="11"/>
      <c r="WGN5" s="11"/>
      <c r="WGO5" s="11"/>
      <c r="WGP5" s="11"/>
      <c r="WGQ5" s="11"/>
      <c r="WGR5" s="11"/>
      <c r="WGS5" s="11"/>
      <c r="WGT5" s="11"/>
      <c r="WGU5" s="11"/>
      <c r="WGV5" s="11"/>
      <c r="WGW5" s="11"/>
      <c r="WGX5" s="11"/>
      <c r="WGY5" s="11"/>
      <c r="WGZ5" s="11"/>
      <c r="WHA5" s="11"/>
      <c r="WHB5" s="11"/>
      <c r="WHC5" s="11"/>
      <c r="WHD5" s="11"/>
      <c r="WHE5" s="11"/>
      <c r="WHF5" s="11"/>
      <c r="WHG5" s="11"/>
      <c r="WHH5" s="11"/>
      <c r="WHI5" s="11"/>
      <c r="WHJ5" s="11"/>
      <c r="WHK5" s="11"/>
      <c r="WHL5" s="11"/>
      <c r="WHM5" s="11"/>
      <c r="WHN5" s="11"/>
      <c r="WHO5" s="11"/>
      <c r="WHP5" s="11"/>
      <c r="WHQ5" s="11"/>
      <c r="WHR5" s="11"/>
      <c r="WHS5" s="11"/>
      <c r="WHT5" s="11"/>
      <c r="WHU5" s="11"/>
      <c r="WHV5" s="11"/>
      <c r="WHW5" s="11"/>
      <c r="WHX5" s="11"/>
      <c r="WHY5" s="11"/>
      <c r="WHZ5" s="11"/>
      <c r="WIA5" s="11"/>
      <c r="WIB5" s="11"/>
      <c r="WIC5" s="11"/>
      <c r="WID5" s="11"/>
      <c r="WIE5" s="11"/>
      <c r="WIF5" s="11"/>
      <c r="WIG5" s="11"/>
      <c r="WIH5" s="11"/>
      <c r="WII5" s="11"/>
      <c r="WIJ5" s="11"/>
      <c r="WIK5" s="11"/>
      <c r="WIL5" s="11"/>
      <c r="WIM5" s="11"/>
      <c r="WIN5" s="11"/>
      <c r="WIO5" s="11"/>
      <c r="WIP5" s="11"/>
      <c r="WIQ5" s="11"/>
      <c r="WIR5" s="11"/>
      <c r="WIS5" s="11"/>
      <c r="WIT5" s="11"/>
      <c r="WIU5" s="11"/>
      <c r="WIV5" s="11"/>
      <c r="WIW5" s="11"/>
      <c r="WIX5" s="11"/>
      <c r="WIY5" s="11"/>
      <c r="WIZ5" s="11"/>
      <c r="WJA5" s="11"/>
      <c r="WJB5" s="11"/>
      <c r="WJC5" s="11"/>
      <c r="WJD5" s="11"/>
      <c r="WJE5" s="11"/>
      <c r="WJF5" s="11"/>
      <c r="WJG5" s="11"/>
      <c r="WJH5" s="11"/>
      <c r="WJI5" s="11"/>
      <c r="WJJ5" s="11"/>
      <c r="WJK5" s="11"/>
      <c r="WJL5" s="11"/>
      <c r="WJM5" s="11"/>
      <c r="WJN5" s="11"/>
      <c r="WJO5" s="11"/>
      <c r="WJP5" s="11"/>
      <c r="WJQ5" s="11"/>
      <c r="WJR5" s="11"/>
      <c r="WJS5" s="11"/>
      <c r="WJT5" s="11"/>
      <c r="WJU5" s="11"/>
      <c r="WJV5" s="11"/>
      <c r="WJW5" s="11"/>
      <c r="WJX5" s="11"/>
      <c r="WJY5" s="11"/>
      <c r="WJZ5" s="11"/>
      <c r="WKA5" s="11"/>
      <c r="WKB5" s="11"/>
      <c r="WKC5" s="11"/>
      <c r="WKD5" s="11"/>
      <c r="WKE5" s="11"/>
      <c r="WKF5" s="11"/>
      <c r="WKG5" s="11"/>
      <c r="WKH5" s="11"/>
      <c r="WKI5" s="11"/>
      <c r="WKJ5" s="11"/>
      <c r="WKK5" s="11"/>
      <c r="WKL5" s="11"/>
      <c r="WKM5" s="11"/>
      <c r="WKN5" s="11"/>
      <c r="WKO5" s="11"/>
      <c r="WKP5" s="11"/>
      <c r="WKQ5" s="11"/>
      <c r="WKR5" s="11"/>
      <c r="WKS5" s="11"/>
      <c r="WKT5" s="11"/>
      <c r="WKU5" s="11"/>
      <c r="WKV5" s="11"/>
      <c r="WKW5" s="11"/>
      <c r="WKX5" s="11"/>
      <c r="WKY5" s="11"/>
      <c r="WKZ5" s="11"/>
      <c r="WLA5" s="11"/>
      <c r="WLB5" s="11"/>
      <c r="WLC5" s="11"/>
      <c r="WLD5" s="11"/>
      <c r="WLE5" s="11"/>
      <c r="WLF5" s="11"/>
      <c r="WLG5" s="11"/>
      <c r="WLH5" s="11"/>
      <c r="WLI5" s="11"/>
      <c r="WLJ5" s="11"/>
      <c r="WLK5" s="11"/>
      <c r="WLL5" s="11"/>
      <c r="WLM5" s="11"/>
      <c r="WLN5" s="11"/>
      <c r="WLO5" s="11"/>
      <c r="WLP5" s="11"/>
      <c r="WLQ5" s="11"/>
      <c r="WLR5" s="11"/>
      <c r="WLS5" s="11"/>
      <c r="WLT5" s="11"/>
      <c r="WLU5" s="11"/>
      <c r="WLV5" s="11"/>
      <c r="WLW5" s="11"/>
      <c r="WLX5" s="11"/>
      <c r="WLY5" s="11"/>
      <c r="WLZ5" s="11"/>
      <c r="WMA5" s="11"/>
      <c r="WMB5" s="11"/>
      <c r="WMC5" s="11"/>
      <c r="WMD5" s="11"/>
      <c r="WME5" s="11"/>
      <c r="WMF5" s="11"/>
      <c r="WMG5" s="11"/>
      <c r="WMH5" s="11"/>
      <c r="WMI5" s="11"/>
      <c r="WMJ5" s="11"/>
      <c r="WMK5" s="11"/>
      <c r="WML5" s="11"/>
      <c r="WMM5" s="11"/>
      <c r="WMN5" s="11"/>
      <c r="WMO5" s="11"/>
      <c r="WMP5" s="11"/>
      <c r="WMQ5" s="11"/>
      <c r="WMR5" s="11"/>
      <c r="WMS5" s="11"/>
      <c r="WMT5" s="11"/>
      <c r="WMU5" s="11"/>
      <c r="WMV5" s="11"/>
      <c r="WMW5" s="11"/>
      <c r="WMX5" s="11"/>
      <c r="WMY5" s="11"/>
      <c r="WMZ5" s="11"/>
      <c r="WNA5" s="11"/>
      <c r="WNB5" s="11"/>
      <c r="WNC5" s="11"/>
      <c r="WND5" s="11"/>
      <c r="WNE5" s="11"/>
      <c r="WNF5" s="11"/>
      <c r="WNG5" s="11"/>
      <c r="WNH5" s="11"/>
      <c r="WNI5" s="11"/>
      <c r="WNJ5" s="11"/>
      <c r="WNK5" s="11"/>
      <c r="WNL5" s="11"/>
      <c r="WNM5" s="11"/>
      <c r="WNN5" s="11"/>
      <c r="WNO5" s="11"/>
      <c r="WNP5" s="11"/>
      <c r="WNQ5" s="11"/>
      <c r="WNR5" s="11"/>
      <c r="WNS5" s="11"/>
      <c r="WNT5" s="11"/>
      <c r="WNU5" s="11"/>
      <c r="WNV5" s="11"/>
      <c r="WNW5" s="11"/>
      <c r="WNX5" s="11"/>
      <c r="WNY5" s="11"/>
      <c r="WNZ5" s="11"/>
      <c r="WOA5" s="11"/>
      <c r="WOB5" s="11"/>
      <c r="WOC5" s="11"/>
      <c r="WOD5" s="11"/>
      <c r="WOE5" s="11"/>
      <c r="WOF5" s="11"/>
      <c r="WOG5" s="11"/>
      <c r="WOH5" s="11"/>
      <c r="WOI5" s="11"/>
      <c r="WOJ5" s="11"/>
      <c r="WOK5" s="11"/>
      <c r="WOL5" s="11"/>
      <c r="WOM5" s="11"/>
      <c r="WON5" s="11"/>
      <c r="WOO5" s="11"/>
      <c r="WOP5" s="11"/>
      <c r="WOQ5" s="11"/>
      <c r="WOR5" s="11"/>
      <c r="WOS5" s="11"/>
      <c r="WOT5" s="11"/>
      <c r="WOU5" s="11"/>
      <c r="WOV5" s="11"/>
      <c r="WOW5" s="11"/>
      <c r="WOX5" s="11"/>
      <c r="WOY5" s="11"/>
      <c r="WOZ5" s="11"/>
      <c r="WPA5" s="11"/>
      <c r="WPB5" s="11"/>
      <c r="WPC5" s="11"/>
      <c r="WPD5" s="11"/>
      <c r="WPE5" s="11"/>
      <c r="WPF5" s="11"/>
      <c r="WPG5" s="11"/>
      <c r="WPH5" s="11"/>
      <c r="WPI5" s="11"/>
      <c r="WPJ5" s="11"/>
      <c r="WPK5" s="11"/>
      <c r="WPL5" s="11"/>
      <c r="WPM5" s="11"/>
      <c r="WPN5" s="11"/>
      <c r="WPO5" s="11"/>
      <c r="WPP5" s="11"/>
      <c r="WPQ5" s="11"/>
      <c r="WPR5" s="11"/>
      <c r="WPS5" s="11"/>
      <c r="WPT5" s="11"/>
      <c r="WPU5" s="11"/>
      <c r="WPV5" s="11"/>
      <c r="WPW5" s="11"/>
      <c r="WPX5" s="11"/>
      <c r="WPY5" s="11"/>
      <c r="WPZ5" s="11"/>
      <c r="WQA5" s="11"/>
      <c r="WQB5" s="11"/>
      <c r="WQC5" s="11"/>
      <c r="WQD5" s="11"/>
      <c r="WQE5" s="11"/>
      <c r="WQF5" s="11"/>
      <c r="WQG5" s="11"/>
      <c r="WQH5" s="11"/>
      <c r="WQI5" s="11"/>
      <c r="WQJ5" s="11"/>
      <c r="WQK5" s="11"/>
      <c r="WQL5" s="11"/>
      <c r="WQM5" s="11"/>
      <c r="WQN5" s="11"/>
      <c r="WQO5" s="11"/>
      <c r="WQP5" s="11"/>
      <c r="WQQ5" s="11"/>
      <c r="WQR5" s="11"/>
      <c r="WQS5" s="11"/>
      <c r="WQT5" s="11"/>
      <c r="WQU5" s="11"/>
      <c r="WQV5" s="11"/>
      <c r="WQW5" s="11"/>
      <c r="WQX5" s="11"/>
      <c r="WQY5" s="11"/>
      <c r="WQZ5" s="11"/>
      <c r="WRA5" s="11"/>
      <c r="WRB5" s="11"/>
      <c r="WRC5" s="11"/>
      <c r="WRD5" s="11"/>
      <c r="WRE5" s="11"/>
      <c r="WRF5" s="11"/>
      <c r="WRG5" s="11"/>
      <c r="WRH5" s="11"/>
      <c r="WRI5" s="11"/>
      <c r="WRJ5" s="11"/>
      <c r="WRK5" s="11"/>
      <c r="WRL5" s="11"/>
      <c r="WRM5" s="11"/>
      <c r="WRN5" s="11"/>
      <c r="WRO5" s="11"/>
      <c r="WRP5" s="11"/>
      <c r="WRQ5" s="11"/>
      <c r="WRR5" s="11"/>
      <c r="WRS5" s="11"/>
      <c r="WRT5" s="11"/>
      <c r="WRU5" s="11"/>
      <c r="WRV5" s="11"/>
      <c r="WRW5" s="11"/>
      <c r="WRX5" s="11"/>
      <c r="WRY5" s="11"/>
      <c r="WRZ5" s="11"/>
      <c r="WSA5" s="11"/>
      <c r="WSB5" s="11"/>
      <c r="WSC5" s="11"/>
      <c r="WSD5" s="11"/>
      <c r="WSE5" s="11"/>
      <c r="WSF5" s="11"/>
      <c r="WSG5" s="11"/>
      <c r="WSH5" s="11"/>
      <c r="WSI5" s="11"/>
      <c r="WSJ5" s="11"/>
      <c r="WSK5" s="11"/>
      <c r="WSL5" s="11"/>
      <c r="WSM5" s="11"/>
      <c r="WSN5" s="11"/>
      <c r="WSO5" s="11"/>
      <c r="WSP5" s="11"/>
      <c r="WSQ5" s="11"/>
      <c r="WSR5" s="11"/>
      <c r="WSS5" s="11"/>
      <c r="WST5" s="11"/>
      <c r="WSU5" s="11"/>
      <c r="WSV5" s="11"/>
      <c r="WSW5" s="11"/>
      <c r="WSX5" s="11"/>
      <c r="WSY5" s="11"/>
      <c r="WSZ5" s="11"/>
      <c r="WTA5" s="11"/>
      <c r="WTB5" s="11"/>
      <c r="WTC5" s="11"/>
      <c r="WTD5" s="11"/>
      <c r="WTE5" s="11"/>
      <c r="WTF5" s="11"/>
      <c r="WTG5" s="11"/>
      <c r="WTH5" s="11"/>
      <c r="WTI5" s="11"/>
      <c r="WTJ5" s="11"/>
      <c r="WTK5" s="11"/>
      <c r="WTL5" s="11"/>
      <c r="WTM5" s="11"/>
      <c r="WTN5" s="11"/>
      <c r="WTO5" s="11"/>
      <c r="WTP5" s="11"/>
      <c r="WTQ5" s="11"/>
      <c r="WTR5" s="11"/>
      <c r="WTS5" s="11"/>
      <c r="WTT5" s="11"/>
      <c r="WTU5" s="11"/>
      <c r="WTV5" s="11"/>
      <c r="WTW5" s="11"/>
      <c r="WTX5" s="11"/>
      <c r="WTY5" s="11"/>
      <c r="WTZ5" s="11"/>
      <c r="WUA5" s="11"/>
      <c r="WUB5" s="11"/>
      <c r="WUC5" s="11"/>
      <c r="WUD5" s="11"/>
      <c r="WUE5" s="11"/>
      <c r="WUF5" s="11"/>
      <c r="WUG5" s="11"/>
      <c r="WUH5" s="11"/>
      <c r="WUI5" s="11"/>
      <c r="WUJ5" s="11"/>
      <c r="WUK5" s="11"/>
      <c r="WUL5" s="11"/>
      <c r="WUM5" s="11"/>
      <c r="WUN5" s="11"/>
      <c r="WUO5" s="11"/>
      <c r="WUP5" s="11"/>
      <c r="WUQ5" s="11"/>
      <c r="WUR5" s="11"/>
      <c r="WUS5" s="11"/>
      <c r="WUT5" s="11"/>
      <c r="WUU5" s="11"/>
      <c r="WUV5" s="11"/>
      <c r="WUW5" s="11"/>
      <c r="WUX5" s="11"/>
      <c r="WUY5" s="11"/>
      <c r="WUZ5" s="11"/>
      <c r="WVA5" s="11"/>
      <c r="WVB5" s="11"/>
      <c r="WVC5" s="11"/>
      <c r="WVD5" s="11"/>
      <c r="WVE5" s="11"/>
      <c r="WVF5" s="11"/>
      <c r="WVG5" s="11"/>
      <c r="WVH5" s="11"/>
      <c r="WVI5" s="11"/>
      <c r="WVJ5" s="11"/>
      <c r="WVK5" s="11"/>
      <c r="WVL5" s="11"/>
      <c r="WVM5" s="11"/>
      <c r="WVN5" s="11"/>
      <c r="WVO5" s="11"/>
      <c r="WVP5" s="11"/>
      <c r="WVQ5" s="11"/>
      <c r="WVR5" s="11"/>
      <c r="WVS5" s="11"/>
      <c r="WVT5" s="11"/>
      <c r="WVU5" s="11"/>
      <c r="WVV5" s="11"/>
      <c r="WVW5" s="11"/>
      <c r="WVX5" s="11"/>
      <c r="WVY5" s="11"/>
      <c r="WVZ5" s="11"/>
      <c r="WWA5" s="11"/>
      <c r="WWB5" s="11"/>
      <c r="WWC5" s="11"/>
      <c r="WWD5" s="11"/>
      <c r="WWE5" s="11"/>
      <c r="WWF5" s="11"/>
      <c r="WWG5" s="11"/>
      <c r="WWH5" s="11"/>
      <c r="WWI5" s="11"/>
      <c r="WWJ5" s="11"/>
      <c r="WWK5" s="11"/>
      <c r="WWL5" s="11"/>
      <c r="WWM5" s="11"/>
      <c r="WWN5" s="11"/>
      <c r="WWO5" s="11"/>
      <c r="WWP5" s="11"/>
      <c r="WWQ5" s="11"/>
      <c r="WWR5" s="11"/>
      <c r="WWS5" s="11"/>
      <c r="WWT5" s="11"/>
      <c r="WWU5" s="11"/>
      <c r="WWV5" s="11"/>
      <c r="WWW5" s="11"/>
      <c r="WWX5" s="11"/>
      <c r="WWY5" s="11"/>
      <c r="WWZ5" s="11"/>
      <c r="WXA5" s="11"/>
      <c r="WXB5" s="11"/>
      <c r="WXC5" s="11"/>
      <c r="WXD5" s="11"/>
      <c r="WXE5" s="11"/>
      <c r="WXF5" s="11"/>
      <c r="WXG5" s="11"/>
      <c r="WXH5" s="11"/>
      <c r="WXI5" s="11"/>
      <c r="WXJ5" s="11"/>
      <c r="WXK5" s="11"/>
      <c r="WXL5" s="11"/>
      <c r="WXM5" s="11"/>
      <c r="WXN5" s="11"/>
      <c r="WXO5" s="11"/>
      <c r="WXP5" s="11"/>
      <c r="WXQ5" s="11"/>
      <c r="WXR5" s="11"/>
      <c r="WXS5" s="11"/>
      <c r="WXT5" s="11"/>
      <c r="WXU5" s="11"/>
      <c r="WXV5" s="11"/>
      <c r="WXW5" s="11"/>
      <c r="WXX5" s="11"/>
      <c r="WXY5" s="11"/>
      <c r="WXZ5" s="11"/>
      <c r="WYA5" s="11"/>
      <c r="WYB5" s="11"/>
      <c r="WYC5" s="11"/>
      <c r="WYD5" s="11"/>
      <c r="WYE5" s="11"/>
      <c r="WYF5" s="11"/>
      <c r="WYG5" s="11"/>
      <c r="WYH5" s="11"/>
      <c r="WYI5" s="11"/>
      <c r="WYJ5" s="11"/>
      <c r="WYK5" s="11"/>
      <c r="WYL5" s="11"/>
      <c r="WYM5" s="11"/>
      <c r="WYN5" s="11"/>
      <c r="WYO5" s="11"/>
      <c r="WYP5" s="11"/>
      <c r="WYQ5" s="11"/>
      <c r="WYR5" s="11"/>
      <c r="WYS5" s="11"/>
      <c r="WYT5" s="11"/>
      <c r="WYU5" s="11"/>
      <c r="WYV5" s="11"/>
      <c r="WYW5" s="11"/>
      <c r="WYX5" s="11"/>
      <c r="WYY5" s="11"/>
      <c r="WYZ5" s="11"/>
      <c r="WZA5" s="11"/>
      <c r="WZB5" s="11"/>
      <c r="WZC5" s="11"/>
      <c r="WZD5" s="11"/>
      <c r="WZE5" s="11"/>
      <c r="WZF5" s="11"/>
      <c r="WZG5" s="11"/>
      <c r="WZH5" s="11"/>
      <c r="WZI5" s="11"/>
      <c r="WZJ5" s="11"/>
      <c r="WZK5" s="11"/>
      <c r="WZL5" s="11"/>
      <c r="WZM5" s="11"/>
      <c r="WZN5" s="11"/>
      <c r="WZO5" s="11"/>
      <c r="WZP5" s="11"/>
      <c r="WZQ5" s="11"/>
      <c r="WZR5" s="11"/>
      <c r="WZS5" s="11"/>
      <c r="WZT5" s="11"/>
      <c r="WZU5" s="11"/>
      <c r="WZV5" s="11"/>
      <c r="WZW5" s="11"/>
      <c r="WZX5" s="11"/>
      <c r="WZY5" s="11"/>
      <c r="WZZ5" s="11"/>
      <c r="XAA5" s="11"/>
      <c r="XAB5" s="11"/>
      <c r="XAC5" s="11"/>
      <c r="XAD5" s="11"/>
      <c r="XAE5" s="11"/>
      <c r="XAF5" s="11"/>
      <c r="XAG5" s="11"/>
      <c r="XAH5" s="11"/>
      <c r="XAI5" s="11"/>
      <c r="XAJ5" s="11"/>
      <c r="XAK5" s="11"/>
      <c r="XAL5" s="11"/>
      <c r="XAM5" s="11"/>
      <c r="XAN5" s="11"/>
      <c r="XAO5" s="11"/>
      <c r="XAP5" s="11"/>
      <c r="XAQ5" s="11"/>
      <c r="XAR5" s="11"/>
      <c r="XAS5" s="11"/>
      <c r="XAT5" s="11"/>
      <c r="XAU5" s="11"/>
      <c r="XAV5" s="11"/>
      <c r="XAW5" s="11"/>
      <c r="XAX5" s="11"/>
      <c r="XAY5" s="11"/>
      <c r="XAZ5" s="11"/>
      <c r="XBA5" s="11"/>
      <c r="XBB5" s="11"/>
      <c r="XBC5" s="11"/>
      <c r="XBD5" s="11"/>
      <c r="XBE5" s="11"/>
      <c r="XBF5" s="11"/>
      <c r="XBG5" s="11"/>
      <c r="XBH5" s="11"/>
      <c r="XBI5" s="11"/>
      <c r="XBJ5" s="11"/>
      <c r="XBK5" s="11"/>
      <c r="XBL5" s="11"/>
      <c r="XBM5" s="11"/>
      <c r="XBN5" s="11"/>
      <c r="XBO5" s="11"/>
      <c r="XBP5" s="11"/>
      <c r="XBQ5" s="11"/>
      <c r="XBR5" s="11"/>
      <c r="XBS5" s="11"/>
      <c r="XBT5" s="11"/>
      <c r="XBU5" s="11"/>
      <c r="XBV5" s="11"/>
      <c r="XBW5" s="11"/>
      <c r="XBX5" s="11"/>
      <c r="XBY5" s="11"/>
      <c r="XBZ5" s="11"/>
      <c r="XCA5" s="11"/>
      <c r="XCB5" s="11"/>
      <c r="XCC5" s="11"/>
      <c r="XCD5" s="11"/>
      <c r="XCE5" s="11"/>
      <c r="XCF5" s="11"/>
      <c r="XCG5" s="11"/>
      <c r="XCH5" s="11"/>
      <c r="XCI5" s="11"/>
      <c r="XCJ5" s="11"/>
      <c r="XCK5" s="11"/>
      <c r="XCL5" s="11"/>
      <c r="XCM5" s="11"/>
      <c r="XCN5" s="11"/>
      <c r="XCO5" s="11"/>
      <c r="XCP5" s="11"/>
      <c r="XCQ5" s="11"/>
      <c r="XCR5" s="11"/>
      <c r="XCS5" s="11"/>
      <c r="XCT5" s="11"/>
      <c r="XCU5" s="11"/>
      <c r="XCV5" s="11"/>
      <c r="XCW5" s="11"/>
      <c r="XCX5" s="11"/>
      <c r="XCY5" s="11"/>
      <c r="XCZ5" s="11"/>
      <c r="XDA5" s="11"/>
      <c r="XDB5" s="11"/>
      <c r="XDC5" s="11"/>
      <c r="XDD5" s="11"/>
      <c r="XDE5" s="11"/>
      <c r="XDF5" s="11"/>
      <c r="XDG5" s="11"/>
      <c r="XDH5" s="11"/>
      <c r="XDI5" s="11"/>
      <c r="XDJ5" s="11"/>
      <c r="XDK5" s="11"/>
      <c r="XDL5" s="11"/>
      <c r="XDM5" s="11"/>
      <c r="XDN5" s="11"/>
      <c r="XDO5" s="11"/>
      <c r="XDP5" s="11"/>
      <c r="XDQ5" s="11"/>
      <c r="XDR5" s="11"/>
      <c r="XDS5" s="11"/>
      <c r="XDT5" s="11"/>
      <c r="XDU5" s="11"/>
      <c r="XDV5" s="11"/>
      <c r="XDW5" s="11"/>
      <c r="XDX5" s="11"/>
      <c r="XDY5" s="11"/>
      <c r="XDZ5" s="11"/>
      <c r="XEA5" s="11"/>
      <c r="XEB5" s="11"/>
      <c r="XEC5" s="11"/>
      <c r="XED5" s="11"/>
      <c r="XEE5" s="11"/>
      <c r="XEF5" s="11"/>
      <c r="XEG5" s="11"/>
      <c r="XEH5" s="11"/>
      <c r="XEI5" s="11"/>
      <c r="XEJ5" s="11"/>
      <c r="XEK5" s="11"/>
      <c r="XEL5" s="11"/>
      <c r="XEM5" s="11"/>
      <c r="XEN5" s="11"/>
      <c r="XEO5" s="11"/>
      <c r="XEP5" s="11"/>
      <c r="XEQ5" s="11"/>
      <c r="XER5" s="11"/>
      <c r="XES5" s="11"/>
      <c r="XET5" s="11"/>
      <c r="XEU5" s="11"/>
      <c r="XEV5" s="11"/>
      <c r="XEW5" s="11"/>
      <c r="XEX5" s="11"/>
      <c r="XEY5" s="11"/>
      <c r="XEZ5" s="11"/>
      <c r="XFA5" s="11"/>
      <c r="XFB5" s="11"/>
    </row>
    <row r="6" spans="1:16382" s="4" customFormat="1" ht="5.25" customHeight="1" x14ac:dyDescent="0.3">
      <c r="A6" s="6"/>
      <c r="B6" s="7"/>
      <c r="C6" s="6"/>
      <c r="D6" s="6"/>
      <c r="E6" s="6"/>
      <c r="F6" s="6"/>
      <c r="G6" s="6"/>
      <c r="H6" s="6"/>
      <c r="I6" s="6"/>
      <c r="J6" s="6"/>
      <c r="K6" s="6"/>
      <c r="L6" s="6"/>
      <c r="M6" s="6"/>
      <c r="N6" s="6"/>
      <c r="O6" s="6"/>
      <c r="P6" s="6"/>
      <c r="Q6" s="6"/>
      <c r="R6" s="6"/>
      <c r="S6" s="6"/>
      <c r="T6" s="6"/>
      <c r="U6" s="6"/>
      <c r="V6" s="6"/>
      <c r="W6" s="6"/>
      <c r="X6" s="6"/>
      <c r="Y6" s="6"/>
      <c r="Z6" s="6"/>
      <c r="AA6" s="6"/>
      <c r="AB6" s="6"/>
      <c r="AC6" s="6"/>
      <c r="AD6" s="6"/>
    </row>
    <row r="7" spans="1:16382" x14ac:dyDescent="0.3">
      <c r="D7" s="118"/>
      <c r="E7" s="118"/>
      <c r="F7" s="118"/>
      <c r="G7" s="118"/>
      <c r="H7" s="118"/>
      <c r="I7" s="118"/>
      <c r="N7" s="5"/>
      <c r="R7" s="5"/>
    </row>
    <row r="8" spans="1:16382" ht="15.75" customHeight="1" x14ac:dyDescent="0.3">
      <c r="D8" s="118"/>
      <c r="E8" s="118"/>
      <c r="F8" s="118"/>
      <c r="G8" s="118"/>
      <c r="H8" s="118"/>
      <c r="I8" s="118"/>
    </row>
    <row r="9" spans="1:16382" ht="7.5" customHeight="1" x14ac:dyDescent="0.3">
      <c r="B9" s="9"/>
      <c r="C9" s="9"/>
      <c r="D9" s="78"/>
      <c r="E9" s="76" t="s">
        <v>1</v>
      </c>
      <c r="F9" s="77" t="str">
        <f>E9</f>
        <v>Horas extras</v>
      </c>
      <c r="G9" s="77" t="str">
        <f>F9</f>
        <v>Horas extras</v>
      </c>
      <c r="H9" s="77" t="str">
        <f>G9</f>
        <v>Horas extras</v>
      </c>
      <c r="I9" s="76" t="s">
        <v>2</v>
      </c>
      <c r="J9" s="77" t="str">
        <f>I9</f>
        <v>Alimentación</v>
      </c>
      <c r="K9" s="77" t="str">
        <f>J9</f>
        <v>Alimentación</v>
      </c>
      <c r="L9" s="77" t="str">
        <f>K9</f>
        <v>Alimentación</v>
      </c>
      <c r="M9" s="77" t="s">
        <v>3</v>
      </c>
      <c r="N9" s="77" t="str">
        <f>M9</f>
        <v>Viáticos</v>
      </c>
      <c r="O9" s="77" t="str">
        <f>N9</f>
        <v>Viáticos</v>
      </c>
      <c r="P9" s="77" t="str">
        <f>O9</f>
        <v>Viáticos</v>
      </c>
      <c r="Q9" s="77" t="s">
        <v>4</v>
      </c>
      <c r="R9" s="77" t="str">
        <f>Q9</f>
        <v>Reconocimientos</v>
      </c>
      <c r="S9" s="77" t="str">
        <f>R9</f>
        <v>Reconocimientos</v>
      </c>
      <c r="T9" s="77" t="str">
        <f>S9</f>
        <v>Reconocimientos</v>
      </c>
      <c r="U9" s="77" t="s">
        <v>5</v>
      </c>
      <c r="V9" s="77" t="str">
        <f>U9</f>
        <v>Celebraciones</v>
      </c>
      <c r="W9" s="77" t="str">
        <f>V9</f>
        <v>Celebraciones</v>
      </c>
      <c r="X9" s="77" t="str">
        <f>W9</f>
        <v>Celebraciones</v>
      </c>
      <c r="Y9" s="77" t="s">
        <v>22</v>
      </c>
      <c r="Z9" s="77" t="str">
        <f>Y9</f>
        <v>Brindis participación</v>
      </c>
      <c r="AA9" s="77" t="str">
        <f>Z9</f>
        <v>Brindis participación</v>
      </c>
      <c r="AB9" s="77" t="str">
        <f>AA9</f>
        <v>Brindis participación</v>
      </c>
      <c r="AC9" s="9"/>
    </row>
    <row r="10" spans="1:16382" ht="11.25" customHeight="1" x14ac:dyDescent="0.3">
      <c r="B10" s="9"/>
      <c r="C10" s="9"/>
      <c r="D10" s="78"/>
      <c r="E10" s="76"/>
      <c r="F10" s="77"/>
      <c r="G10" s="77"/>
      <c r="H10" s="77"/>
      <c r="I10" s="76"/>
      <c r="J10" s="122"/>
      <c r="K10" s="122"/>
      <c r="L10" s="77"/>
      <c r="M10" s="77"/>
      <c r="N10" s="77"/>
      <c r="O10" s="77"/>
      <c r="P10" s="77"/>
      <c r="Q10" s="77"/>
      <c r="R10" s="77"/>
      <c r="S10" s="77"/>
      <c r="T10" s="77"/>
      <c r="U10" s="77"/>
      <c r="V10" s="77"/>
      <c r="W10" s="77"/>
      <c r="X10" s="77"/>
      <c r="Y10" s="77"/>
      <c r="Z10" s="77"/>
      <c r="AA10" s="77"/>
      <c r="AB10" s="77"/>
      <c r="AC10" s="9"/>
    </row>
    <row r="11" spans="1:16382" ht="36.75" customHeight="1" x14ac:dyDescent="0.35">
      <c r="B11" s="79"/>
      <c r="C11" s="80"/>
      <c r="D11" s="81"/>
      <c r="E11" s="125" t="s">
        <v>1</v>
      </c>
      <c r="F11" s="125"/>
      <c r="G11" s="125"/>
      <c r="H11" s="125"/>
      <c r="I11" s="124" t="s">
        <v>2</v>
      </c>
      <c r="J11" s="124"/>
      <c r="K11" s="124"/>
      <c r="L11" s="124"/>
      <c r="M11" s="124" t="s">
        <v>3</v>
      </c>
      <c r="N11" s="124"/>
      <c r="O11" s="124"/>
      <c r="P11" s="124"/>
      <c r="Q11" s="124" t="s">
        <v>4</v>
      </c>
      <c r="R11" s="124"/>
      <c r="S11" s="124"/>
      <c r="T11" s="124"/>
      <c r="U11" s="124" t="s">
        <v>5</v>
      </c>
      <c r="V11" s="124"/>
      <c r="W11" s="124"/>
      <c r="X11" s="124"/>
      <c r="Y11" s="124" t="s">
        <v>22</v>
      </c>
      <c r="Z11" s="124"/>
      <c r="AA11" s="124"/>
      <c r="AB11" s="124"/>
      <c r="AC11" s="11"/>
    </row>
    <row r="12" spans="1:16382" ht="11.25" customHeight="1" x14ac:dyDescent="0.3">
      <c r="B12" s="82"/>
      <c r="C12" s="113"/>
      <c r="D12" s="113"/>
      <c r="E12" s="119" t="str">
        <f>IFERROR(HYPERLINK(highlightSeries(E11)),"6")</f>
        <v>6</v>
      </c>
      <c r="F12" s="119"/>
      <c r="G12" s="119"/>
      <c r="H12" s="119"/>
      <c r="I12" s="119" t="str">
        <f>IFERROR(HYPERLINK(highlightSeries(I11)),"6")</f>
        <v>6</v>
      </c>
      <c r="J12" s="119"/>
      <c r="K12" s="119"/>
      <c r="L12" s="119"/>
      <c r="M12" s="119" t="str">
        <f>IFERROR(HYPERLINK(highlightSeries(M11)),"6")</f>
        <v>6</v>
      </c>
      <c r="N12" s="119"/>
      <c r="O12" s="119"/>
      <c r="P12" s="119"/>
      <c r="Q12" s="119" t="str">
        <f>IFERROR(HYPERLINK(highlightSeries(Q11)),"6")</f>
        <v>6</v>
      </c>
      <c r="R12" s="119"/>
      <c r="S12" s="119"/>
      <c r="T12" s="119"/>
      <c r="U12" s="119" t="str">
        <f>IFERROR(HYPERLINK(highlightSeries(U11)),"6")</f>
        <v>6</v>
      </c>
      <c r="V12" s="119"/>
      <c r="W12" s="119"/>
      <c r="X12" s="119"/>
      <c r="Y12" s="119" t="str">
        <f>IFERROR(HYPERLINK(highlightSeries(Y11)),"6")</f>
        <v>6</v>
      </c>
      <c r="Z12" s="119"/>
      <c r="AA12" s="119"/>
      <c r="AB12" s="119"/>
      <c r="AC12" s="11"/>
    </row>
    <row r="13" spans="1:16382" ht="11.25" customHeight="1" x14ac:dyDescent="0.3">
      <c r="B13" s="82"/>
      <c r="C13" s="83"/>
      <c r="D13" s="83"/>
      <c r="E13" s="92"/>
      <c r="F13" s="92"/>
      <c r="G13" s="92"/>
      <c r="H13" s="92"/>
      <c r="I13" s="92"/>
      <c r="J13" s="92"/>
      <c r="K13" s="92"/>
      <c r="L13" s="92"/>
      <c r="M13" s="92"/>
      <c r="N13" s="92"/>
      <c r="O13" s="92"/>
      <c r="P13" s="92"/>
      <c r="Q13" s="92"/>
      <c r="R13" s="92"/>
      <c r="S13" s="92"/>
      <c r="T13" s="92"/>
      <c r="U13" s="92"/>
      <c r="V13" s="92"/>
      <c r="W13" s="92"/>
      <c r="X13" s="92"/>
      <c r="Y13" s="92"/>
      <c r="Z13" s="92"/>
      <c r="AA13" s="92"/>
      <c r="AB13" s="92"/>
      <c r="AC13" s="11"/>
    </row>
    <row r="14" spans="1:16382" ht="30.75" customHeight="1" x14ac:dyDescent="0.3">
      <c r="B14" s="84"/>
      <c r="C14" s="31" t="s">
        <v>7</v>
      </c>
      <c r="D14" s="32"/>
      <c r="E14" s="102"/>
      <c r="F14" s="120">
        <f>GETPIVOTDATA("Suma de Balance",Tabla!$B$8,"Descripcion","HORAS EXTRAS")</f>
        <v>44529.229999999996</v>
      </c>
      <c r="G14" s="120"/>
      <c r="H14" s="96"/>
      <c r="I14" s="96"/>
      <c r="J14" s="120">
        <f>GETPIVOTDATA("Suma de Balance",Tabla!$B$8,"Descripcion","ALIMENTACIÓN")</f>
        <v>10818.300000000003</v>
      </c>
      <c r="K14" s="120"/>
      <c r="L14" s="96"/>
      <c r="M14" s="96"/>
      <c r="N14" s="120">
        <f>GETPIVOTDATA("Suma de Balance",Tabla!$B$8,"Descripcion","VIATICOS")</f>
        <v>10660.679999999998</v>
      </c>
      <c r="O14" s="120"/>
      <c r="P14" s="96"/>
      <c r="Q14" s="96"/>
      <c r="R14" s="120">
        <f>GETPIVOTDATA("Suma de Balance",Tabla!$B$8,"Descripcion","RECONOCIMIENTO ")</f>
        <v>39.639999999999972</v>
      </c>
      <c r="S14" s="120"/>
      <c r="T14" s="96"/>
      <c r="U14" s="96"/>
      <c r="V14" s="120">
        <f>GETPIVOTDATA("Suma de Balance",Tabla!$B$8,"Descripcion","CELEBRACIONES ")</f>
        <v>9098.8599999999988</v>
      </c>
      <c r="W14" s="120"/>
      <c r="X14" s="96"/>
      <c r="Y14" s="96"/>
      <c r="Z14" s="120">
        <f>GETPIVOTDATA("Suma de Balance",Tabla!$B$8,"Descripcion","BRINDIS DE PARTICIPACIÓN")</f>
        <v>0</v>
      </c>
      <c r="AA14" s="120"/>
      <c r="AB14" s="97"/>
      <c r="AC14" s="84"/>
    </row>
    <row r="15" spans="1:16382" ht="30.75" customHeight="1" x14ac:dyDescent="0.3">
      <c r="B15" s="84"/>
      <c r="C15" s="33" t="s">
        <v>6</v>
      </c>
      <c r="D15" s="32"/>
      <c r="E15" s="102"/>
      <c r="F15" s="121">
        <f>GETPIVOTDATA("Suma de Plan",Tabla!$B$8,"Descripcion","HORAS EXTRAS")</f>
        <v>498104.36420000001</v>
      </c>
      <c r="G15" s="121"/>
      <c r="H15" s="98"/>
      <c r="I15" s="98"/>
      <c r="J15" s="121">
        <f>GETPIVOTDATA("Suma de Plan",Tabla!$B$8,"Descripcion","ALIMENTACIÓN")</f>
        <v>93231.416199999963</v>
      </c>
      <c r="K15" s="121"/>
      <c r="L15" s="98"/>
      <c r="M15" s="98"/>
      <c r="N15" s="121">
        <f>GETPIVOTDATA("Suma de Plan",Tabla!$B$8,"Descripcion","VIATICOS")</f>
        <v>68352.317599999995</v>
      </c>
      <c r="O15" s="121"/>
      <c r="P15" s="98"/>
      <c r="Q15" s="98"/>
      <c r="R15" s="121">
        <f>GETPIVOTDATA("Suma de Plan",Tabla!$B$8,"Descripcion","RECONOCIMIENTO ")</f>
        <v>9540</v>
      </c>
      <c r="S15" s="121"/>
      <c r="T15" s="98"/>
      <c r="U15" s="98"/>
      <c r="V15" s="121">
        <f>GETPIVOTDATA("Suma de Plan",Tabla!$B$8,"Descripcion","CELEBRACIONES ")</f>
        <v>93024</v>
      </c>
      <c r="W15" s="121"/>
      <c r="X15" s="98"/>
      <c r="Y15" s="98"/>
      <c r="Z15" s="121">
        <f>GETPIVOTDATA("Suma de Plan",Tabla!$B$8,"Descripcion","BRINDIS DE PARTICIPACIÓN")</f>
        <v>17628</v>
      </c>
      <c r="AA15" s="121"/>
      <c r="AB15" s="97"/>
      <c r="AC15" s="84"/>
    </row>
    <row r="16" spans="1:16382" ht="30.75" customHeight="1" x14ac:dyDescent="0.3">
      <c r="B16" s="84"/>
      <c r="C16" s="33" t="s">
        <v>9</v>
      </c>
      <c r="D16" s="32"/>
      <c r="E16" s="102"/>
      <c r="F16" s="123">
        <f>F17/F15</f>
        <v>0.910602610214994</v>
      </c>
      <c r="G16" s="123"/>
      <c r="H16" s="99"/>
      <c r="I16" s="99"/>
      <c r="J16" s="123">
        <f>J17/J15</f>
        <v>0.88396293394500636</v>
      </c>
      <c r="K16" s="123"/>
      <c r="L16" s="99"/>
      <c r="M16" s="99"/>
      <c r="N16" s="123">
        <f>N17/N15</f>
        <v>0.84403337919883492</v>
      </c>
      <c r="O16" s="123"/>
      <c r="P16" s="99"/>
      <c r="Q16" s="99"/>
      <c r="R16" s="123">
        <f>R17/R15</f>
        <v>0.99584486373165626</v>
      </c>
      <c r="S16" s="123"/>
      <c r="T16" s="99"/>
      <c r="U16" s="99"/>
      <c r="V16" s="123">
        <f>V17/V15</f>
        <v>0.90218803749569998</v>
      </c>
      <c r="W16" s="123"/>
      <c r="X16" s="99"/>
      <c r="Y16" s="99"/>
      <c r="Z16" s="123">
        <f>Z17/Z15</f>
        <v>1</v>
      </c>
      <c r="AA16" s="123"/>
      <c r="AB16" s="97"/>
      <c r="AC16" s="84"/>
    </row>
    <row r="17" spans="2:29" ht="30.75" customHeight="1" x14ac:dyDescent="0.3">
      <c r="B17" s="84"/>
      <c r="C17" s="33" t="s">
        <v>8</v>
      </c>
      <c r="D17" s="34"/>
      <c r="E17" s="102"/>
      <c r="F17" s="126">
        <f>F15-F14</f>
        <v>453575.13420000003</v>
      </c>
      <c r="G17" s="126"/>
      <c r="H17" s="100"/>
      <c r="I17" s="100"/>
      <c r="J17" s="126">
        <f>J15-J14</f>
        <v>82413.11619999996</v>
      </c>
      <c r="K17" s="126"/>
      <c r="L17" s="100"/>
      <c r="M17" s="100"/>
      <c r="N17" s="126">
        <f>N15-N14</f>
        <v>57691.637599999995</v>
      </c>
      <c r="O17" s="126"/>
      <c r="P17" s="100"/>
      <c r="Q17" s="100"/>
      <c r="R17" s="126">
        <f>R15-R14</f>
        <v>9500.36</v>
      </c>
      <c r="S17" s="126"/>
      <c r="T17" s="100"/>
      <c r="U17" s="100"/>
      <c r="V17" s="126">
        <f>V15-V14</f>
        <v>83925.14</v>
      </c>
      <c r="W17" s="126"/>
      <c r="X17" s="100"/>
      <c r="Y17" s="100"/>
      <c r="Z17" s="126">
        <f>Z15-Z14</f>
        <v>17628</v>
      </c>
      <c r="AA17" s="126"/>
      <c r="AB17" s="97"/>
      <c r="AC17" s="84"/>
    </row>
    <row r="18" spans="2:29" ht="58.5" customHeight="1" x14ac:dyDescent="0.3">
      <c r="B18" s="84"/>
      <c r="C18" s="112"/>
      <c r="D18" s="112"/>
      <c r="E18" s="117">
        <f>1-F16</f>
        <v>8.9397389785005998E-2</v>
      </c>
      <c r="F18" s="117"/>
      <c r="G18" s="117"/>
      <c r="H18" s="117"/>
      <c r="I18" s="101"/>
      <c r="J18" s="103">
        <f>1-J16</f>
        <v>0.11603706605499364</v>
      </c>
      <c r="K18" s="104"/>
      <c r="L18" s="101"/>
      <c r="M18" s="101"/>
      <c r="N18" s="101">
        <f>1-N16</f>
        <v>0.15596662080116508</v>
      </c>
      <c r="O18" s="101"/>
      <c r="P18" s="101"/>
      <c r="Q18" s="101"/>
      <c r="R18" s="101">
        <f>1-R16</f>
        <v>4.1551362683437398E-3</v>
      </c>
      <c r="S18" s="101"/>
      <c r="T18" s="101"/>
      <c r="U18" s="101"/>
      <c r="V18" s="101"/>
      <c r="W18" s="101"/>
      <c r="X18" s="101"/>
      <c r="Y18" s="101"/>
      <c r="Z18" s="101">
        <f>1-Z16</f>
        <v>0</v>
      </c>
      <c r="AA18" s="101"/>
      <c r="AB18" s="97"/>
      <c r="AC18" s="86"/>
    </row>
    <row r="19" spans="2:29" ht="18" customHeight="1" x14ac:dyDescent="0.3">
      <c r="B19" s="82"/>
      <c r="C19" s="115"/>
      <c r="D19" s="115"/>
      <c r="E19" s="116" t="str">
        <f>IF(E11=valSelOption,"5","")</f>
        <v/>
      </c>
      <c r="F19" s="116"/>
      <c r="G19" s="116"/>
      <c r="H19" s="116"/>
      <c r="I19" s="116" t="str">
        <f>IF(I11=valSelOption,"5","")</f>
        <v/>
      </c>
      <c r="J19" s="116"/>
      <c r="K19" s="116"/>
      <c r="L19" s="116"/>
      <c r="M19" s="116" t="str">
        <f>IF(M11=valSelOption,"5","")</f>
        <v/>
      </c>
      <c r="N19" s="116"/>
      <c r="O19" s="116"/>
      <c r="P19" s="116"/>
      <c r="Q19" s="116" t="str">
        <f>IF(Q11=valSelOption,"5","")</f>
        <v/>
      </c>
      <c r="R19" s="116"/>
      <c r="S19" s="116"/>
      <c r="T19" s="116"/>
      <c r="U19" s="116" t="str">
        <f>IF(U11=valSelOption,"5","")</f>
        <v/>
      </c>
      <c r="V19" s="116"/>
      <c r="W19" s="116"/>
      <c r="X19" s="116"/>
      <c r="Y19" s="116" t="str">
        <f>IF(Y11=valSelOption,"5","")</f>
        <v>5</v>
      </c>
      <c r="Z19" s="116"/>
      <c r="AA19" s="116"/>
      <c r="AB19" s="116"/>
      <c r="AC19" s="11"/>
    </row>
    <row r="20" spans="2:29" ht="12.75" customHeight="1" x14ac:dyDescent="0.3">
      <c r="B20" s="82"/>
      <c r="C20" s="113"/>
      <c r="D20" s="113"/>
      <c r="E20" s="114"/>
      <c r="F20" s="114"/>
      <c r="G20" s="114"/>
      <c r="H20" s="114"/>
      <c r="I20" s="114"/>
      <c r="J20" s="114"/>
      <c r="K20" s="114"/>
      <c r="L20" s="114"/>
      <c r="M20" s="114"/>
      <c r="N20" s="114"/>
      <c r="O20" s="114"/>
      <c r="P20" s="114"/>
      <c r="Q20" s="114"/>
      <c r="R20" s="114"/>
      <c r="S20" s="114"/>
      <c r="T20" s="114"/>
      <c r="U20" s="114"/>
      <c r="V20" s="114"/>
      <c r="W20" s="114"/>
      <c r="X20" s="114"/>
      <c r="Y20" s="114"/>
      <c r="Z20" s="114"/>
      <c r="AA20" s="114"/>
      <c r="AB20" s="114"/>
      <c r="AC20" s="11"/>
    </row>
    <row r="21" spans="2:29" ht="18" customHeight="1" x14ac:dyDescent="0.3">
      <c r="B21" s="82"/>
      <c r="C21" s="83"/>
      <c r="D21" s="83"/>
      <c r="E21" s="85"/>
      <c r="F21" s="85"/>
      <c r="G21" s="85"/>
      <c r="H21" s="85"/>
      <c r="I21" s="85"/>
      <c r="J21" s="85"/>
      <c r="K21" s="85"/>
      <c r="L21" s="85"/>
      <c r="M21" s="85"/>
      <c r="N21" s="85"/>
      <c r="O21" s="85"/>
      <c r="P21" s="85"/>
      <c r="Q21" s="85"/>
      <c r="R21" s="85"/>
      <c r="S21" s="85"/>
      <c r="T21" s="85"/>
      <c r="U21" s="85"/>
      <c r="V21" s="85"/>
      <c r="W21" s="85"/>
      <c r="X21" s="85"/>
      <c r="Y21" s="85"/>
      <c r="Z21" s="85"/>
      <c r="AA21" s="85"/>
      <c r="AB21" s="85"/>
      <c r="AC21" s="11"/>
    </row>
    <row r="22" spans="2:29" s="36" customFormat="1" ht="18" customHeight="1" x14ac:dyDescent="0.3">
      <c r="B22" s="37"/>
      <c r="C22" s="38"/>
      <c r="D22" s="38"/>
      <c r="E22" s="35"/>
      <c r="F22" s="35"/>
      <c r="G22" s="35"/>
      <c r="H22" s="35"/>
      <c r="I22" s="35"/>
      <c r="J22" s="35"/>
      <c r="K22" s="35"/>
      <c r="L22" s="35"/>
      <c r="M22" s="35"/>
      <c r="N22" s="35"/>
      <c r="O22" s="35"/>
      <c r="P22" s="35"/>
      <c r="Q22" s="35"/>
      <c r="R22" s="35"/>
      <c r="S22" s="35"/>
      <c r="T22" s="35"/>
      <c r="U22" s="35"/>
      <c r="V22" s="35"/>
      <c r="W22" s="35"/>
      <c r="X22" s="35"/>
      <c r="Y22" s="35"/>
      <c r="Z22" s="35"/>
      <c r="AA22" s="35"/>
      <c r="AB22" s="35"/>
      <c r="AC22" s="39"/>
    </row>
    <row r="23" spans="2:29" ht="18" customHeight="1" x14ac:dyDescent="0.3">
      <c r="B23" s="72"/>
      <c r="C23" s="73"/>
      <c r="D23" s="73"/>
      <c r="E23" s="74"/>
      <c r="F23" s="74"/>
      <c r="G23" s="74"/>
      <c r="H23" s="74"/>
      <c r="I23" s="74"/>
      <c r="J23" s="74"/>
      <c r="K23" s="74"/>
      <c r="L23" s="74"/>
      <c r="M23" s="74"/>
      <c r="N23" s="74"/>
      <c r="O23" s="74"/>
      <c r="P23" s="74"/>
      <c r="Q23" s="74"/>
      <c r="R23" s="74"/>
      <c r="S23" s="74"/>
      <c r="T23" s="74"/>
      <c r="U23" s="74"/>
      <c r="V23" s="74"/>
      <c r="W23" s="74"/>
      <c r="X23" s="74"/>
      <c r="Y23" s="74"/>
      <c r="Z23" s="74"/>
      <c r="AA23" s="74"/>
      <c r="AB23" s="74"/>
      <c r="AC23" s="75"/>
    </row>
    <row r="24" spans="2:29" ht="18" customHeight="1" thickBot="1" x14ac:dyDescent="0.35">
      <c r="B24" s="82"/>
      <c r="C24" s="83"/>
      <c r="D24" s="83"/>
      <c r="E24" s="85"/>
      <c r="F24" s="85"/>
      <c r="G24" s="85"/>
      <c r="H24" s="85"/>
      <c r="I24" s="85"/>
      <c r="J24" s="85"/>
      <c r="K24" s="85"/>
      <c r="L24" s="85"/>
      <c r="M24" s="85"/>
      <c r="N24" s="85"/>
      <c r="O24" s="85"/>
      <c r="P24" s="85"/>
      <c r="Q24" s="85"/>
      <c r="R24" s="85"/>
      <c r="S24" s="85"/>
      <c r="T24" s="85"/>
      <c r="U24" s="85"/>
      <c r="V24" s="85"/>
      <c r="W24" s="85"/>
      <c r="X24" s="85"/>
      <c r="Y24" s="85"/>
      <c r="Z24" s="85"/>
      <c r="AA24" s="85"/>
      <c r="AB24" s="85"/>
      <c r="AC24" s="11"/>
    </row>
    <row r="25" spans="2:29" ht="30.75" customHeight="1" x14ac:dyDescent="0.3">
      <c r="B25" s="89"/>
      <c r="C25" s="149" t="s">
        <v>16</v>
      </c>
      <c r="D25" s="150"/>
      <c r="E25" s="149" t="s">
        <v>216</v>
      </c>
      <c r="F25" s="150"/>
      <c r="G25" s="150"/>
      <c r="H25" s="150"/>
      <c r="I25" s="150"/>
      <c r="J25" s="149" t="s">
        <v>217</v>
      </c>
      <c r="K25" s="150"/>
      <c r="L25" s="150"/>
      <c r="M25" s="150"/>
      <c r="N25" s="150"/>
      <c r="O25" s="150"/>
      <c r="P25" s="149" t="s">
        <v>218</v>
      </c>
      <c r="Q25" s="150"/>
      <c r="R25" s="150"/>
      <c r="S25" s="150"/>
      <c r="T25" s="150"/>
      <c r="U25" s="150"/>
      <c r="V25" s="150"/>
      <c r="W25" s="151"/>
      <c r="X25" s="152" t="s">
        <v>19</v>
      </c>
      <c r="Y25" s="153"/>
      <c r="Z25" s="152" t="s">
        <v>20</v>
      </c>
      <c r="AA25" s="153"/>
      <c r="AB25">
        <v>1</v>
      </c>
      <c r="AC25" s="87"/>
    </row>
    <row r="26" spans="2:29" ht="27" customHeight="1" x14ac:dyDescent="0.3">
      <c r="B26" s="90" t="str">
        <f t="shared" ref="B26:B30" si="0">IF(ROW()=valRowGrid,4,"")</f>
        <v/>
      </c>
      <c r="C26" s="135">
        <f>IF(INDEX(Tabla!G9:G$1048576,$AB$25)=0,"",INDEX(Tabla!G9:G$1048576,$AB$25))</f>
        <v>43587</v>
      </c>
      <c r="D26" s="111"/>
      <c r="E26" s="143" t="str">
        <f>TRIM(PROPER(IF(INDEX(Tabla!H9:H$1048576,$AB$25)=0,"",INDEX(Tabla!H9:H$1048576,$AB$25))))</f>
        <v>Servicios Personales</v>
      </c>
      <c r="F26" s="110"/>
      <c r="G26" s="110"/>
      <c r="H26" s="110"/>
      <c r="I26" s="110"/>
      <c r="J26" s="143" t="str">
        <f>TRIM(PROPER(IF(INDEX(Tabla!I9:I$1048576,$AB$25)=0,"",INDEX(Tabla!I9:I$1048576,$AB$25))))</f>
        <v>Alimentacion De Empleados Cta Nueva</v>
      </c>
      <c r="K26" s="110"/>
      <c r="L26" s="110"/>
      <c r="M26" s="110"/>
      <c r="N26" s="110"/>
      <c r="O26" s="110"/>
      <c r="P26" s="143" t="str">
        <f>TRIM(PROPER(IF(INDEX(Tabla!J9:J$1048576,$AB$25)=0,"",INDEX(Tabla!J9:J$1048576,$AB$25))))</f>
        <v>Transacciones Del Dia 05/02/2019Spyral - Gestion Administrativa</v>
      </c>
      <c r="Q26" s="110"/>
      <c r="R26" s="110"/>
      <c r="S26" s="110"/>
      <c r="T26" s="110"/>
      <c r="U26" s="110"/>
      <c r="V26" s="110"/>
      <c r="W26" s="147"/>
      <c r="X26" s="127">
        <f>IF(INDEX(Tabla!K9:K$1048576,$AB$25)=0,"",INDEX(Tabla!K9:K$1048576,$AB$25))</f>
        <v>16</v>
      </c>
      <c r="Y26" s="144"/>
      <c r="Z26" s="128">
        <f>IF(INDEX(Tabla!L9:L$1048576,$AB$25)="","",INDEX(Tabla!L9:L$1048576,$AB$25))</f>
        <v>0</v>
      </c>
      <c r="AA26" s="136"/>
      <c r="AB26" s="45"/>
      <c r="AC26" s="87"/>
    </row>
    <row r="27" spans="2:29" ht="27" customHeight="1" x14ac:dyDescent="0.3">
      <c r="B27" s="91" t="str">
        <f t="shared" si="0"/>
        <v/>
      </c>
      <c r="C27" s="135">
        <f>IF(INDEX(Tabla!G10:G$1048576,$AB$25)=0,"",INDEX(Tabla!G10:G$1048576,$AB$25))</f>
        <v>43587</v>
      </c>
      <c r="D27" s="111"/>
      <c r="E27" s="143" t="str">
        <f>TRIM(PROPER(IF(INDEX(Tabla!H10:H$1048576,$AB$25)=0,"",INDEX(Tabla!H10:H$1048576,$AB$25))))</f>
        <v>Servicios Personales</v>
      </c>
      <c r="F27" s="110"/>
      <c r="G27" s="110"/>
      <c r="H27" s="110"/>
      <c r="I27" s="110"/>
      <c r="J27" s="143" t="str">
        <f>TRIM(PROPER(IF(INDEX(Tabla!I10:I$1048576,$AB$25)=0,"",INDEX(Tabla!I10:I$1048576,$AB$25))))</f>
        <v>Alimentacion De Empleados Cta Nueva</v>
      </c>
      <c r="K27" s="110"/>
      <c r="L27" s="110"/>
      <c r="M27" s="110"/>
      <c r="N27" s="110"/>
      <c r="O27" s="110"/>
      <c r="P27" s="143" t="str">
        <f>TRIM(PROPER(IF(INDEX(Tabla!J10:J$1048576,$AB$25)=0,"",INDEX(Tabla!J10:J$1048576,$AB$25))))</f>
        <v>Transacciones Del Dia 05/02/2019Spyral - Gestion Administrativa</v>
      </c>
      <c r="Q27" s="110"/>
      <c r="R27" s="110"/>
      <c r="S27" s="110"/>
      <c r="T27" s="110"/>
      <c r="U27" s="110"/>
      <c r="V27" s="110"/>
      <c r="W27" s="147"/>
      <c r="X27" s="127">
        <f>IF(INDEX(Tabla!K10:K$1048576,$AB$25)=0,"",INDEX(Tabla!K10:K$1048576,$AB$25))</f>
        <v>8</v>
      </c>
      <c r="Y27" s="144"/>
      <c r="Z27" s="128">
        <f>IF(INDEX(Tabla!L10:L$1048576,$AB$25)="","",INDEX(Tabla!L10:L$1048576,$AB$25))</f>
        <v>0</v>
      </c>
      <c r="AA27" s="136"/>
      <c r="AB27" s="45"/>
      <c r="AC27" s="87"/>
    </row>
    <row r="28" spans="2:29" ht="27" customHeight="1" x14ac:dyDescent="0.3">
      <c r="B28" s="91" t="str">
        <f t="shared" si="0"/>
        <v/>
      </c>
      <c r="C28" s="135">
        <f>IF(INDEX(Tabla!G11:G$1048576,$AB$25)=0,"",INDEX(Tabla!G11:G$1048576,$AB$25))</f>
        <v>43587</v>
      </c>
      <c r="D28" s="111"/>
      <c r="E28" s="143" t="str">
        <f>TRIM(PROPER(IF(INDEX(Tabla!H11:H$1048576,$AB$25)=0,"",INDEX(Tabla!H11:H$1048576,$AB$25))))</f>
        <v>Segmento De Negocios</v>
      </c>
      <c r="F28" s="110"/>
      <c r="G28" s="110"/>
      <c r="H28" s="110"/>
      <c r="I28" s="110"/>
      <c r="J28" s="143" t="str">
        <f>TRIM(PROPER(IF(INDEX(Tabla!I11:I$1048576,$AB$25)=0,"",INDEX(Tabla!I11:I$1048576,$AB$25))))</f>
        <v>Viaticos 2</v>
      </c>
      <c r="K28" s="110"/>
      <c r="L28" s="110"/>
      <c r="M28" s="110"/>
      <c r="N28" s="110"/>
      <c r="O28" s="110"/>
      <c r="P28" s="143" t="str">
        <f>TRIM(PROPER(IF(INDEX(Tabla!J11:J$1048576,$AB$25)=0,"",INDEX(Tabla!J11:J$1048576,$AB$25))))</f>
        <v>Transacciones Del Dia 05/02/2019Spyral - Gestion Administrativa</v>
      </c>
      <c r="Q28" s="110"/>
      <c r="R28" s="110"/>
      <c r="S28" s="110"/>
      <c r="T28" s="110"/>
      <c r="U28" s="110"/>
      <c r="V28" s="110"/>
      <c r="W28" s="147"/>
      <c r="X28" s="127">
        <f>IF(INDEX(Tabla!K11:K$1048576,$AB$25)=0,"",INDEX(Tabla!K11:K$1048576,$AB$25))</f>
        <v>22.5</v>
      </c>
      <c r="Y28" s="144"/>
      <c r="Z28" s="128">
        <f>IF(INDEX(Tabla!L11:L$1048576,$AB$25)="","",INDEX(Tabla!L11:L$1048576,$AB$25))</f>
        <v>0</v>
      </c>
      <c r="AA28" s="136"/>
      <c r="AB28" s="45"/>
      <c r="AC28" s="87"/>
    </row>
    <row r="29" spans="2:29" ht="27" customHeight="1" x14ac:dyDescent="0.3">
      <c r="B29" s="91" t="str">
        <f t="shared" si="0"/>
        <v/>
      </c>
      <c r="C29" s="135">
        <f>IF(INDEX(Tabla!G12:G$1048576,$AB$25)=0,"",INDEX(Tabla!G12:G$1048576,$AB$25))</f>
        <v>43587</v>
      </c>
      <c r="D29" s="111"/>
      <c r="E29" s="143" t="str">
        <f>TRIM(PROPER(IF(INDEX(Tabla!H12:H$1048576,$AB$25)=0,"",INDEX(Tabla!H12:H$1048576,$AB$25))))</f>
        <v>Mercadeo</v>
      </c>
      <c r="F29" s="110"/>
      <c r="G29" s="110"/>
      <c r="H29" s="110"/>
      <c r="I29" s="110"/>
      <c r="J29" s="143" t="str">
        <f>TRIM(PROPER(IF(INDEX(Tabla!I12:I$1048576,$AB$25)=0,"",INDEX(Tabla!I12:I$1048576,$AB$25))))</f>
        <v>Viaticos 2</v>
      </c>
      <c r="K29" s="110"/>
      <c r="L29" s="110"/>
      <c r="M29" s="110"/>
      <c r="N29" s="110"/>
      <c r="O29" s="110"/>
      <c r="P29" s="143" t="str">
        <f>TRIM(PROPER(IF(INDEX(Tabla!J12:J$1048576,$AB$25)=0,"",INDEX(Tabla!J12:J$1048576,$AB$25))))</f>
        <v>Transacciones Del Dia 05/02/2019Spyral - Gestion Administrativa</v>
      </c>
      <c r="Q29" s="110"/>
      <c r="R29" s="110"/>
      <c r="S29" s="110"/>
      <c r="T29" s="110"/>
      <c r="U29" s="110"/>
      <c r="V29" s="110"/>
      <c r="W29" s="147"/>
      <c r="X29" s="127">
        <f>IF(INDEX(Tabla!K12:K$1048576,$AB$25)=0,"",INDEX(Tabla!K12:K$1048576,$AB$25))</f>
        <v>14</v>
      </c>
      <c r="Y29" s="144"/>
      <c r="Z29" s="128">
        <f>IF(INDEX(Tabla!L12:L$1048576,$AB$25)="","",INDEX(Tabla!L12:L$1048576,$AB$25))</f>
        <v>0</v>
      </c>
      <c r="AA29" s="136"/>
      <c r="AB29" s="45"/>
      <c r="AC29" s="87"/>
    </row>
    <row r="30" spans="2:29" ht="27" customHeight="1" thickBot="1" x14ac:dyDescent="0.35">
      <c r="B30" s="91" t="str">
        <f t="shared" si="0"/>
        <v/>
      </c>
      <c r="C30" s="137">
        <f>IF(INDEX(Tabla!G13:G$1048576,$AB$25)=0,"",INDEX(Tabla!G13:G$1048576,$AB$25))</f>
        <v>43587</v>
      </c>
      <c r="D30" s="138"/>
      <c r="E30" s="145" t="str">
        <f>TRIM(PROPER(IF(INDEX(Tabla!H13:H$1048576,$AB$25)=0,"",INDEX(Tabla!H13:H$1048576,$AB$25))))</f>
        <v>Gestion Hipotecaria</v>
      </c>
      <c r="F30" s="139"/>
      <c r="G30" s="139"/>
      <c r="H30" s="139"/>
      <c r="I30" s="139"/>
      <c r="J30" s="145" t="str">
        <f>TRIM(PROPER(IF(INDEX(Tabla!I13:I$1048576,$AB$25)=0,"",INDEX(Tabla!I13:I$1048576,$AB$25))))</f>
        <v>Gastos No Deducibles</v>
      </c>
      <c r="K30" s="139"/>
      <c r="L30" s="139"/>
      <c r="M30" s="139"/>
      <c r="N30" s="139"/>
      <c r="O30" s="139"/>
      <c r="P30" s="145" t="str">
        <f>TRIM(PROPER(IF(INDEX(Tabla!J13:J$1048576,$AB$25)=0,"",INDEX(Tabla!J13:J$1048576,$AB$25))))</f>
        <v>Transacciones Del Dia 05/02/2019Spyral - Gestion Administrativa</v>
      </c>
      <c r="Q30" s="139"/>
      <c r="R30" s="139"/>
      <c r="S30" s="139"/>
      <c r="T30" s="139"/>
      <c r="U30" s="139"/>
      <c r="V30" s="139"/>
      <c r="W30" s="148"/>
      <c r="X30" s="140">
        <f>IF(INDEX(Tabla!K13:K$1048576,$AB$25)=0,"",INDEX(Tabla!K13:K$1048576,$AB$25))</f>
        <v>92</v>
      </c>
      <c r="Y30" s="146"/>
      <c r="Z30" s="141">
        <f>IF(INDEX(Tabla!L13:L$1048576,$AB$25)="","",INDEX(Tabla!L13:L$1048576,$AB$25))</f>
        <v>0</v>
      </c>
      <c r="AA30" s="142"/>
      <c r="AB30" s="45"/>
      <c r="AC30" s="87"/>
    </row>
    <row r="31" spans="2:29" x14ac:dyDescent="0.3">
      <c r="B31" s="9"/>
      <c r="C31" s="130"/>
      <c r="D31" s="130"/>
      <c r="E31" s="130"/>
      <c r="F31" s="130"/>
      <c r="G31" s="130"/>
      <c r="H31" s="130"/>
      <c r="I31" s="130"/>
      <c r="J31" s="130"/>
      <c r="K31" s="130"/>
      <c r="L31" s="130"/>
      <c r="M31" s="130"/>
      <c r="N31" s="130"/>
      <c r="O31" s="130"/>
      <c r="P31" s="130"/>
      <c r="Q31" s="130"/>
      <c r="R31" s="130"/>
      <c r="S31" s="130"/>
      <c r="T31" s="130"/>
      <c r="U31" s="130"/>
      <c r="V31" s="130"/>
      <c r="W31" s="130"/>
      <c r="X31" s="130"/>
      <c r="Y31" s="130"/>
      <c r="Z31" s="130"/>
      <c r="AA31" s="130"/>
      <c r="AB31" s="9"/>
      <c r="AC31" s="9"/>
    </row>
    <row r="32" spans="2:29" ht="30" customHeight="1" x14ac:dyDescent="0.3">
      <c r="B32" s="9"/>
      <c r="C32" s="88"/>
      <c r="D32" s="88"/>
      <c r="E32" s="88"/>
      <c r="F32" s="88"/>
      <c r="G32" s="88"/>
      <c r="H32" s="88"/>
      <c r="I32" s="88"/>
      <c r="J32" s="88"/>
      <c r="K32" s="88"/>
      <c r="L32" s="88"/>
      <c r="M32" s="88"/>
      <c r="N32" s="88"/>
      <c r="O32" s="88"/>
      <c r="P32" s="88"/>
      <c r="Q32" s="88"/>
      <c r="R32" s="88"/>
      <c r="S32" s="88"/>
      <c r="T32" s="88"/>
      <c r="U32" s="88"/>
      <c r="V32" s="88"/>
      <c r="W32" s="88"/>
      <c r="X32" s="88"/>
      <c r="Y32" s="88"/>
      <c r="Z32" s="88"/>
      <c r="AA32" s="88"/>
      <c r="AB32" s="9"/>
      <c r="AC32" s="9"/>
    </row>
    <row r="34" spans="3:27" x14ac:dyDescent="0.3">
      <c r="C34" s="129">
        <v>6</v>
      </c>
      <c r="D34" s="129"/>
      <c r="E34" s="131">
        <v>5</v>
      </c>
      <c r="F34" s="131"/>
      <c r="G34" s="131"/>
      <c r="H34" s="131"/>
      <c r="I34" s="131"/>
      <c r="J34" s="129">
        <v>1</v>
      </c>
      <c r="K34" s="129"/>
      <c r="L34" s="129"/>
      <c r="M34" s="129"/>
      <c r="N34" s="129"/>
      <c r="O34" s="129"/>
      <c r="P34" s="129">
        <v>2</v>
      </c>
      <c r="Q34" s="129"/>
      <c r="R34" s="129"/>
      <c r="S34" s="129"/>
      <c r="T34" s="129"/>
      <c r="U34" s="129"/>
      <c r="V34" s="129"/>
      <c r="W34" s="129"/>
      <c r="X34" s="129">
        <v>3</v>
      </c>
      <c r="Y34" s="129"/>
      <c r="Z34" s="129">
        <v>4</v>
      </c>
      <c r="AA34" s="129"/>
    </row>
  </sheetData>
  <sheetProtection selectLockedCells="1" selectUnlockedCells="1"/>
  <dataConsolidate/>
  <mergeCells count="103">
    <mergeCell ref="Z34:AA34"/>
    <mergeCell ref="Z31:AA31"/>
    <mergeCell ref="C34:D34"/>
    <mergeCell ref="E34:I34"/>
    <mergeCell ref="J34:O34"/>
    <mergeCell ref="C31:D31"/>
    <mergeCell ref="E31:I31"/>
    <mergeCell ref="J31:O31"/>
    <mergeCell ref="P31:W31"/>
    <mergeCell ref="X31:Y31"/>
    <mergeCell ref="P34:W34"/>
    <mergeCell ref="X34:Y34"/>
    <mergeCell ref="X27:Y27"/>
    <mergeCell ref="X28:Y28"/>
    <mergeCell ref="Y20:AB20"/>
    <mergeCell ref="Z25:AA25"/>
    <mergeCell ref="Z26:AA26"/>
    <mergeCell ref="Z27:AA27"/>
    <mergeCell ref="Z28:AA28"/>
    <mergeCell ref="Z29:AA29"/>
    <mergeCell ref="Z30:AA30"/>
    <mergeCell ref="X26:Y26"/>
    <mergeCell ref="X29:Y29"/>
    <mergeCell ref="X30:Y30"/>
    <mergeCell ref="F16:G16"/>
    <mergeCell ref="Y11:AB11"/>
    <mergeCell ref="E11:H11"/>
    <mergeCell ref="I11:L11"/>
    <mergeCell ref="M11:P11"/>
    <mergeCell ref="Q11:T11"/>
    <mergeCell ref="U11:X11"/>
    <mergeCell ref="V17:W17"/>
    <mergeCell ref="Z16:AA16"/>
    <mergeCell ref="Z17:AA17"/>
    <mergeCell ref="J16:K16"/>
    <mergeCell ref="J17:K17"/>
    <mergeCell ref="N16:O16"/>
    <mergeCell ref="N17:O17"/>
    <mergeCell ref="R16:S16"/>
    <mergeCell ref="R17:S17"/>
    <mergeCell ref="R14:S14"/>
    <mergeCell ref="V16:W16"/>
    <mergeCell ref="F17:G17"/>
    <mergeCell ref="D7:I8"/>
    <mergeCell ref="C12:D12"/>
    <mergeCell ref="I12:L12"/>
    <mergeCell ref="Q12:T12"/>
    <mergeCell ref="M12:P12"/>
    <mergeCell ref="Y12:AB12"/>
    <mergeCell ref="E12:H12"/>
    <mergeCell ref="F14:G14"/>
    <mergeCell ref="F15:G15"/>
    <mergeCell ref="Z14:AA14"/>
    <mergeCell ref="Z15:AA15"/>
    <mergeCell ref="U12:X12"/>
    <mergeCell ref="J14:K14"/>
    <mergeCell ref="J15:K15"/>
    <mergeCell ref="N14:O14"/>
    <mergeCell ref="N15:O15"/>
    <mergeCell ref="R15:S15"/>
    <mergeCell ref="V14:W14"/>
    <mergeCell ref="V15:W15"/>
    <mergeCell ref="J10:K10"/>
    <mergeCell ref="C18:D18"/>
    <mergeCell ref="C20:D20"/>
    <mergeCell ref="E20:H20"/>
    <mergeCell ref="I20:L20"/>
    <mergeCell ref="M20:P20"/>
    <mergeCell ref="C25:D25"/>
    <mergeCell ref="P25:W25"/>
    <mergeCell ref="E25:I25"/>
    <mergeCell ref="J25:O25"/>
    <mergeCell ref="C19:D19"/>
    <mergeCell ref="I19:L19"/>
    <mergeCell ref="M19:P19"/>
    <mergeCell ref="Q19:T19"/>
    <mergeCell ref="U19:X19"/>
    <mergeCell ref="X25:Y25"/>
    <mergeCell ref="E18:H18"/>
    <mergeCell ref="E19:H19"/>
    <mergeCell ref="Y19:AB19"/>
    <mergeCell ref="Q20:T20"/>
    <mergeCell ref="U20:X20"/>
    <mergeCell ref="C26:D26"/>
    <mergeCell ref="E26:I26"/>
    <mergeCell ref="C27:D27"/>
    <mergeCell ref="C28:D28"/>
    <mergeCell ref="C30:D30"/>
    <mergeCell ref="C29:D29"/>
    <mergeCell ref="E27:I27"/>
    <mergeCell ref="E28:I28"/>
    <mergeCell ref="E29:I29"/>
    <mergeCell ref="E30:I30"/>
    <mergeCell ref="P26:W26"/>
    <mergeCell ref="P27:W27"/>
    <mergeCell ref="P28:W28"/>
    <mergeCell ref="P29:W29"/>
    <mergeCell ref="P30:W30"/>
    <mergeCell ref="J26:O26"/>
    <mergeCell ref="J27:O27"/>
    <mergeCell ref="J28:O28"/>
    <mergeCell ref="J29:O29"/>
    <mergeCell ref="J30:O30"/>
  </mergeCells>
  <conditionalFormatting sqref="E11:AB13 E10:J10 L10:AB10">
    <cfRule type="expression" dxfId="10" priority="41">
      <formula>E$9=valSelOption</formula>
    </cfRule>
  </conditionalFormatting>
  <conditionalFormatting sqref="E14:AB18">
    <cfRule type="expression" dxfId="9" priority="19">
      <formula>E$9=valSelOption</formula>
    </cfRule>
  </conditionalFormatting>
  <conditionalFormatting sqref="E19:AB19">
    <cfRule type="expression" dxfId="8" priority="6">
      <formula>E$9=valSelOption</formula>
    </cfRule>
  </conditionalFormatting>
  <conditionalFormatting sqref="E20:AB20">
    <cfRule type="expression" dxfId="7" priority="5">
      <formula>E$9=valSelOption</formula>
    </cfRule>
  </conditionalFormatting>
  <conditionalFormatting sqref="AB26:AB30 C26:C30 E26:E30 X26:X30 P26:P30 J26:J30 Z26:Z30">
    <cfRule type="expression" dxfId="6" priority="3">
      <formula>ROW(C26)=valRowGrid</formula>
    </cfRule>
  </conditionalFormatting>
  <conditionalFormatting sqref="C30">
    <cfRule type="expression" dxfId="5" priority="1">
      <formula>ROW(C30)=valRowGrid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Scroll Bar 2">
              <controlPr defaultSize="0" autoPict="0">
                <anchor moveWithCells="1">
                  <from>
                    <xdr:col>27</xdr:col>
                    <xdr:colOff>22860</xdr:colOff>
                    <xdr:row>23</xdr:row>
                    <xdr:rowOff>182880</xdr:rowOff>
                  </from>
                  <to>
                    <xdr:col>28</xdr:col>
                    <xdr:colOff>30480</xdr:colOff>
                    <xdr:row>30</xdr:row>
                    <xdr:rowOff>22860</xdr:rowOff>
                  </to>
                </anchor>
              </controlPr>
            </control>
          </mc:Choice>
        </mc:AlternateContent>
        <mc:AlternateContent xmlns:mc="http://schemas.openxmlformats.org/markup-compatibility/2006">
          <mc:Choice Requires="x14">
            <control shapeId="2053" r:id="rId5" name="Drop Down 5">
              <controlPr defaultSize="0" autoLine="0" autoPict="0" macro="[0]!FiltrarAño">
                <anchor moveWithCells="1">
                  <from>
                    <xdr:col>24</xdr:col>
                    <xdr:colOff>441960</xdr:colOff>
                    <xdr:row>1</xdr:row>
                    <xdr:rowOff>160020</xdr:rowOff>
                  </from>
                  <to>
                    <xdr:col>28</xdr:col>
                    <xdr:colOff>45720</xdr:colOff>
                    <xdr:row>3</xdr:row>
                    <xdr:rowOff>121920</xdr:rowOff>
                  </to>
                </anchor>
              </controlPr>
            </control>
          </mc:Choice>
        </mc:AlternateContent>
        <mc:AlternateContent xmlns:mc="http://schemas.openxmlformats.org/markup-compatibility/2006">
          <mc:Choice Requires="x14">
            <control shapeId="2056" r:id="rId6" name="Option Button 8">
              <controlPr defaultSize="0" autoFill="0" autoLine="0" autoPict="0" macro="[0]!PivotTableSort2">
                <anchor moveWithCells="1">
                  <from>
                    <xdr:col>10</xdr:col>
                    <xdr:colOff>541020</xdr:colOff>
                    <xdr:row>36</xdr:row>
                    <xdr:rowOff>68580</xdr:rowOff>
                  </from>
                  <to>
                    <xdr:col>11</xdr:col>
                    <xdr:colOff>312420</xdr:colOff>
                    <xdr:row>37</xdr:row>
                    <xdr:rowOff>121920</xdr:rowOff>
                  </to>
                </anchor>
              </controlPr>
            </control>
          </mc:Choice>
        </mc:AlternateContent>
        <mc:AlternateContent xmlns:mc="http://schemas.openxmlformats.org/markup-compatibility/2006">
          <mc:Choice Requires="x14">
            <control shapeId="2057" r:id="rId7" name="Option Button 9">
              <controlPr defaultSize="0" autoFill="0" autoLine="0" autoPict="0">
                <anchor moveWithCells="1">
                  <from>
                    <xdr:col>17</xdr:col>
                    <xdr:colOff>114300</xdr:colOff>
                    <xdr:row>36</xdr:row>
                    <xdr:rowOff>68580</xdr:rowOff>
                  </from>
                  <to>
                    <xdr:col>17</xdr:col>
                    <xdr:colOff>434340</xdr:colOff>
                    <xdr:row>37</xdr:row>
                    <xdr:rowOff>121920</xdr:rowOff>
                  </to>
                </anchor>
              </controlPr>
            </control>
          </mc:Choice>
        </mc:AlternateContent>
        <mc:AlternateContent xmlns:mc="http://schemas.openxmlformats.org/markup-compatibility/2006">
          <mc:Choice Requires="x14">
            <control shapeId="2058" r:id="rId8" name="Option Button 10">
              <controlPr defaultSize="0" autoFill="0" autoLine="0" autoPict="0">
                <anchor moveWithCells="1">
                  <from>
                    <xdr:col>25</xdr:col>
                    <xdr:colOff>53340</xdr:colOff>
                    <xdr:row>36</xdr:row>
                    <xdr:rowOff>68580</xdr:rowOff>
                  </from>
                  <to>
                    <xdr:col>25</xdr:col>
                    <xdr:colOff>373380</xdr:colOff>
                    <xdr:row>37</xdr:row>
                    <xdr:rowOff>121920</xdr:rowOff>
                  </to>
                </anchor>
              </controlPr>
            </control>
          </mc:Choice>
        </mc:AlternateContent>
        <mc:AlternateContent xmlns:mc="http://schemas.openxmlformats.org/markup-compatibility/2006">
          <mc:Choice Requires="x14">
            <control shapeId="2059" r:id="rId9" name="Option Button 11">
              <controlPr defaultSize="0" autoFill="0" autoLine="0" autoPict="0">
                <anchor moveWithCells="1">
                  <from>
                    <xdr:col>26</xdr:col>
                    <xdr:colOff>449580</xdr:colOff>
                    <xdr:row>36</xdr:row>
                    <xdr:rowOff>68580</xdr:rowOff>
                  </from>
                  <to>
                    <xdr:col>27</xdr:col>
                    <xdr:colOff>220980</xdr:colOff>
                    <xdr:row>37</xdr:row>
                    <xdr:rowOff>121920</xdr:rowOff>
                  </to>
                </anchor>
              </controlPr>
            </control>
          </mc:Choice>
        </mc:AlternateContent>
        <mc:AlternateContent xmlns:mc="http://schemas.openxmlformats.org/markup-compatibility/2006">
          <mc:Choice Requires="x14">
            <control shapeId="2060" r:id="rId10" name="Option Button 12">
              <controlPr defaultSize="0" autoFill="0" autoLine="0" autoPict="0">
                <anchor moveWithCells="1">
                  <from>
                    <xdr:col>6</xdr:col>
                    <xdr:colOff>53340</xdr:colOff>
                    <xdr:row>36</xdr:row>
                    <xdr:rowOff>76200</xdr:rowOff>
                  </from>
                  <to>
                    <xdr:col>6</xdr:col>
                    <xdr:colOff>373380</xdr:colOff>
                    <xdr:row>37</xdr:row>
                    <xdr:rowOff>121920</xdr:rowOff>
                  </to>
                </anchor>
              </controlPr>
            </control>
          </mc:Choice>
        </mc:AlternateContent>
        <mc:AlternateContent xmlns:mc="http://schemas.openxmlformats.org/markup-compatibility/2006">
          <mc:Choice Requires="x14">
            <control shapeId="2061" r:id="rId11" name="Option Button 13">
              <controlPr defaultSize="0" autoFill="0" autoLine="0" autoPict="0">
                <anchor moveWithCells="1">
                  <from>
                    <xdr:col>3</xdr:col>
                    <xdr:colOff>495300</xdr:colOff>
                    <xdr:row>36</xdr:row>
                    <xdr:rowOff>68580</xdr:rowOff>
                  </from>
                  <to>
                    <xdr:col>4</xdr:col>
                    <xdr:colOff>198120</xdr:colOff>
                    <xdr:row>37</xdr:row>
                    <xdr:rowOff>121920</xdr:rowOff>
                  </to>
                </anchor>
              </controlPr>
            </control>
          </mc:Choice>
        </mc:AlternateContent>
        <mc:AlternateContent xmlns:mc="http://schemas.openxmlformats.org/markup-compatibility/2006">
          <mc:Choice Requires="x14">
            <control shapeId="2063" r:id="rId12" name="List Box 15">
              <controlPr defaultSize="0" autoLine="0" autoPict="0">
                <anchor moveWithCells="1">
                  <from>
                    <xdr:col>16</xdr:col>
                    <xdr:colOff>137160</xdr:colOff>
                    <xdr:row>21</xdr:row>
                    <xdr:rowOff>220980</xdr:rowOff>
                  </from>
                  <to>
                    <xdr:col>19</xdr:col>
                    <xdr:colOff>137160</xdr:colOff>
                    <xdr:row>23</xdr:row>
                    <xdr:rowOff>68580</xdr:rowOff>
                  </to>
                </anchor>
              </controlPr>
            </control>
          </mc:Choice>
        </mc:AlternateContent>
        <mc:AlternateContent xmlns:mc="http://schemas.openxmlformats.org/markup-compatibility/2006">
          <mc:Choice Requires="x14">
            <control shapeId="2064" r:id="rId13" name="Drop Down 16">
              <controlPr defaultSize="0" autoLine="0" autoPict="0" macro="[0]!FiltrarMes">
                <anchor moveWithCells="1">
                  <from>
                    <xdr:col>24</xdr:col>
                    <xdr:colOff>22860</xdr:colOff>
                    <xdr:row>22</xdr:row>
                    <xdr:rowOff>7620</xdr:rowOff>
                  </from>
                  <to>
                    <xdr:col>27</xdr:col>
                    <xdr:colOff>106680</xdr:colOff>
                    <xdr:row>23</xdr:row>
                    <xdr:rowOff>38100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33E99C40-2A31-43F0-93F1-B6F0983523BD}">
            <xm:f>AND(C$34=Data!$B$10)</xm:f>
            <x14:dxf>
              <fill>
                <patternFill>
                  <bgColor theme="0" tint="-4.9989318521683403E-2"/>
                </patternFill>
              </fill>
            </x14:dxf>
          </x14:cfRule>
          <xm:sqref>AB26:AB30 C26:C30 E26:E30 X26:X30 P26:P30 J26:J30 Z26:Z30</xm:sqref>
        </x14:conditionalFormatting>
        <x14:conditionalFormatting xmlns:xm="http://schemas.microsoft.com/office/excel/2006/main">
          <x14:cfRule type="expression" priority="49" id="{33E99C40-2A31-43F0-93F1-B6F0983523BD}">
            <xm:f>AND(G$34=Data!$B$10)</xm:f>
            <x14:dxf>
              <fill>
                <patternFill>
                  <bgColor theme="0" tint="-4.9989318521683403E-2"/>
                </patternFill>
              </fill>
            </x14:dxf>
          </x14:cfRule>
          <xm:sqref>X26:X30</xm:sqref>
        </x14:conditionalFormatting>
        <x14:conditionalFormatting xmlns:xm="http://schemas.microsoft.com/office/excel/2006/main">
          <x14:cfRule type="expression" priority="53" id="{33E99C40-2A31-43F0-93F1-B6F0983523BD}">
            <xm:f>AND(F$34=Data!$B$10)</xm:f>
            <x14:dxf>
              <fill>
                <patternFill>
                  <bgColor theme="0" tint="-4.9989318521683403E-2"/>
                </patternFill>
              </fill>
            </x14:dxf>
          </x14:cfRule>
          <xm:sqref>P26:P30</xm:sqref>
        </x14:conditionalFormatting>
        <x14:conditionalFormatting xmlns:xm="http://schemas.microsoft.com/office/excel/2006/main">
          <x14:cfRule type="expression" priority="57" id="{33E99C40-2A31-43F0-93F1-B6F0983523BD}">
            <xm:f>AND(E$34=Data!$B$10)</xm:f>
            <x14:dxf>
              <fill>
                <patternFill>
                  <bgColor theme="0" tint="-4.9989318521683403E-2"/>
                </patternFill>
              </fill>
            </x14:dxf>
          </x14:cfRule>
          <xm:sqref>J26:J30</xm:sqref>
        </x14:conditionalFormatting>
        <x14:conditionalFormatting xmlns:xm="http://schemas.microsoft.com/office/excel/2006/main">
          <x14:cfRule type="expression" priority="61" id="{33E99C40-2A31-43F0-93F1-B6F0983523BD}">
            <xm:f>AND(D$34=Data!$B$10)</xm:f>
            <x14:dxf>
              <fill>
                <patternFill>
                  <bgColor theme="0" tint="-4.9989318521683403E-2"/>
                </patternFill>
              </fill>
            </x14:dxf>
          </x14:cfRule>
          <xm:sqref>E26:E30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dimension ref="B2:AP7500"/>
  <sheetViews>
    <sheetView zoomScale="70" zoomScaleNormal="70" workbookViewId="0">
      <selection activeCell="C31" sqref="B28:C31"/>
    </sheetView>
  </sheetViews>
  <sheetFormatPr baseColWidth="10" defaultRowHeight="14.4" x14ac:dyDescent="0.3"/>
  <cols>
    <col min="2" max="2" width="28.6640625" bestFit="1" customWidth="1"/>
    <col min="3" max="3" width="21.6640625" bestFit="1" customWidth="1"/>
    <col min="4" max="4" width="17.33203125" bestFit="1" customWidth="1"/>
    <col min="7" max="7" width="20.88671875" customWidth="1"/>
    <col min="8" max="8" width="30.6640625" customWidth="1"/>
    <col min="9" max="9" width="43.88671875" customWidth="1"/>
    <col min="10" max="10" width="30.6640625" customWidth="1"/>
    <col min="11" max="11" width="12.44140625" bestFit="1" customWidth="1"/>
    <col min="12" max="12" width="13.109375" bestFit="1" customWidth="1"/>
    <col min="15" max="15" width="12.5546875" customWidth="1"/>
    <col min="16" max="16" width="26.109375" customWidth="1"/>
    <col min="19" max="19" width="3.88671875" bestFit="1" customWidth="1"/>
    <col min="20" max="20" width="28" bestFit="1" customWidth="1"/>
    <col min="23" max="23" width="11.6640625" bestFit="1" customWidth="1"/>
    <col min="24" max="24" width="3.88671875" bestFit="1" customWidth="1"/>
  </cols>
  <sheetData>
    <row r="2" spans="2:42" x14ac:dyDescent="0.3">
      <c r="AD2" s="10"/>
      <c r="AE2" s="9"/>
      <c r="AF2" s="9"/>
      <c r="AG2" s="9"/>
      <c r="AH2" s="9"/>
      <c r="AI2" s="9"/>
    </row>
    <row r="3" spans="2:42" x14ac:dyDescent="0.3">
      <c r="AG3" s="9"/>
      <c r="AH3" s="9"/>
      <c r="AI3" s="9"/>
    </row>
    <row r="4" spans="2:42" x14ac:dyDescent="0.3">
      <c r="C4" s="9"/>
      <c r="G4" s="46" t="s">
        <v>94</v>
      </c>
      <c r="H4" s="1">
        <v>2019</v>
      </c>
      <c r="AD4" s="46" t="s">
        <v>47</v>
      </c>
      <c r="AE4" s="1">
        <v>2018</v>
      </c>
      <c r="AF4" s="9"/>
      <c r="AG4" s="9"/>
      <c r="AH4" s="9"/>
      <c r="AI4" s="9"/>
      <c r="AJ4" s="46" t="s">
        <v>49</v>
      </c>
      <c r="AK4" t="s">
        <v>48</v>
      </c>
    </row>
    <row r="5" spans="2:42" x14ac:dyDescent="0.3">
      <c r="B5" s="46" t="s">
        <v>94</v>
      </c>
      <c r="C5" t="s">
        <v>148</v>
      </c>
      <c r="G5" s="46" t="s">
        <v>92</v>
      </c>
      <c r="H5" t="s">
        <v>93</v>
      </c>
      <c r="AD5" s="46" t="s">
        <v>36</v>
      </c>
      <c r="AE5" s="1">
        <v>38</v>
      </c>
      <c r="AF5" s="9"/>
      <c r="AG5" s="9"/>
      <c r="AH5" s="9"/>
      <c r="AI5" s="9"/>
      <c r="AJ5" s="46" t="s">
        <v>35</v>
      </c>
      <c r="AK5" s="1">
        <v>38</v>
      </c>
    </row>
    <row r="6" spans="2:42" x14ac:dyDescent="0.3">
      <c r="B6" s="46" t="s">
        <v>92</v>
      </c>
      <c r="C6" t="s">
        <v>93</v>
      </c>
      <c r="G6" s="46" t="s">
        <v>138</v>
      </c>
      <c r="H6" s="1">
        <v>5</v>
      </c>
      <c r="T6" s="46" t="s">
        <v>94</v>
      </c>
      <c r="U6" s="1">
        <v>2019</v>
      </c>
      <c r="AD6" s="9"/>
      <c r="AE6" s="9"/>
      <c r="AF6" s="9"/>
      <c r="AG6" s="9"/>
      <c r="AH6" s="9"/>
      <c r="AI6" s="9"/>
    </row>
    <row r="7" spans="2:42" x14ac:dyDescent="0.3">
      <c r="AD7" s="46" t="s">
        <v>37</v>
      </c>
      <c r="AE7" t="s">
        <v>42</v>
      </c>
      <c r="AF7" t="s">
        <v>41</v>
      </c>
      <c r="AG7" s="9"/>
      <c r="AH7" s="9"/>
      <c r="AI7" s="9"/>
      <c r="AJ7" s="46" t="s">
        <v>76</v>
      </c>
      <c r="AK7" s="46" t="s">
        <v>58</v>
      </c>
      <c r="AL7" s="46" t="s">
        <v>59</v>
      </c>
      <c r="AM7" s="46" t="s">
        <v>60</v>
      </c>
      <c r="AN7" s="46" t="s">
        <v>65</v>
      </c>
      <c r="AO7" t="s">
        <v>74</v>
      </c>
      <c r="AP7" t="s">
        <v>75</v>
      </c>
    </row>
    <row r="8" spans="2:42" x14ac:dyDescent="0.3">
      <c r="B8" s="46" t="s">
        <v>37</v>
      </c>
      <c r="C8" t="s">
        <v>95</v>
      </c>
      <c r="D8" t="s">
        <v>91</v>
      </c>
      <c r="G8" s="46" t="s">
        <v>37</v>
      </c>
      <c r="H8" s="46" t="s">
        <v>137</v>
      </c>
      <c r="I8" s="46" t="s">
        <v>18</v>
      </c>
      <c r="J8" s="46" t="s">
        <v>17</v>
      </c>
      <c r="K8" s="46" t="s">
        <v>136</v>
      </c>
      <c r="L8" s="46" t="s">
        <v>135</v>
      </c>
      <c r="P8" s="46" t="s">
        <v>37</v>
      </c>
      <c r="T8" s="46" t="s">
        <v>147</v>
      </c>
      <c r="AD8" s="1" t="s">
        <v>38</v>
      </c>
      <c r="AE8" s="48">
        <v>32</v>
      </c>
      <c r="AF8" s="48">
        <v>206.6756</v>
      </c>
      <c r="AG8" s="9"/>
      <c r="AH8" s="9"/>
      <c r="AI8" s="9"/>
      <c r="AJ8">
        <v>1</v>
      </c>
      <c r="AK8" s="49" t="s">
        <v>57</v>
      </c>
      <c r="AL8" t="s">
        <v>26</v>
      </c>
      <c r="AM8" t="s">
        <v>64</v>
      </c>
      <c r="AN8" t="s">
        <v>73</v>
      </c>
      <c r="AO8" s="48">
        <v>17.399999999999999</v>
      </c>
      <c r="AP8" s="48">
        <v>0</v>
      </c>
    </row>
    <row r="9" spans="2:42" x14ac:dyDescent="0.3">
      <c r="B9" s="1" t="s">
        <v>40</v>
      </c>
      <c r="C9" s="94">
        <v>10660.679999999998</v>
      </c>
      <c r="D9" s="94">
        <v>68352.317599999995</v>
      </c>
      <c r="G9" s="93">
        <v>43587</v>
      </c>
      <c r="H9" t="s">
        <v>25</v>
      </c>
      <c r="I9" t="s">
        <v>61</v>
      </c>
      <c r="J9" t="s">
        <v>183</v>
      </c>
      <c r="K9" s="95">
        <v>16</v>
      </c>
      <c r="L9" s="94">
        <v>0</v>
      </c>
      <c r="O9">
        <v>1</v>
      </c>
      <c r="P9" s="1">
        <v>2018</v>
      </c>
      <c r="S9">
        <v>1</v>
      </c>
      <c r="T9" s="1" t="s">
        <v>141</v>
      </c>
      <c r="U9">
        <f>IFERROR(VLOOKUP(T9,$W$9:$X$20,2,0),"")</f>
        <v>1</v>
      </c>
      <c r="W9" s="1" t="s">
        <v>141</v>
      </c>
      <c r="X9">
        <v>1</v>
      </c>
      <c r="AD9" s="1" t="s">
        <v>46</v>
      </c>
      <c r="AE9" s="48">
        <v>0</v>
      </c>
      <c r="AF9" s="48">
        <v>197</v>
      </c>
      <c r="AG9" s="9"/>
      <c r="AH9" s="9"/>
      <c r="AI9" s="9"/>
      <c r="AJ9">
        <v>26</v>
      </c>
      <c r="AK9" s="49" t="s">
        <v>54</v>
      </c>
      <c r="AL9" t="s">
        <v>24</v>
      </c>
      <c r="AM9" t="s">
        <v>61</v>
      </c>
      <c r="AN9" t="s">
        <v>70</v>
      </c>
      <c r="AO9" s="48">
        <v>8</v>
      </c>
      <c r="AP9" s="48">
        <v>0</v>
      </c>
    </row>
    <row r="10" spans="2:42" x14ac:dyDescent="0.3">
      <c r="B10" s="1" t="s">
        <v>90</v>
      </c>
      <c r="C10" s="94">
        <v>39.639999999999972</v>
      </c>
      <c r="D10" s="94">
        <v>9540</v>
      </c>
      <c r="G10" s="93">
        <v>43587</v>
      </c>
      <c r="H10" t="s">
        <v>25</v>
      </c>
      <c r="I10" t="s">
        <v>61</v>
      </c>
      <c r="J10" t="s">
        <v>183</v>
      </c>
      <c r="K10" s="95">
        <v>8</v>
      </c>
      <c r="L10" s="94">
        <v>0</v>
      </c>
      <c r="O10">
        <f t="shared" ref="O10:O73" si="0">IF(P10="","",O9+1)</f>
        <v>2</v>
      </c>
      <c r="P10" s="1">
        <v>2019</v>
      </c>
      <c r="S10">
        <v>2</v>
      </c>
      <c r="T10" s="1" t="s">
        <v>142</v>
      </c>
      <c r="U10">
        <f t="shared" ref="U10:U20" si="1">IFERROR(VLOOKUP(T10,$W$9:$X$20,2,0),"")</f>
        <v>2</v>
      </c>
      <c r="W10" s="1" t="s">
        <v>142</v>
      </c>
      <c r="X10">
        <v>2</v>
      </c>
      <c r="AD10" s="1" t="s">
        <v>45</v>
      </c>
      <c r="AE10" s="48">
        <v>0</v>
      </c>
      <c r="AF10" s="48">
        <v>1044</v>
      </c>
      <c r="AG10" s="9"/>
      <c r="AH10" s="9"/>
      <c r="AI10" s="9"/>
      <c r="AJ10">
        <v>48</v>
      </c>
      <c r="AK10" s="49" t="s">
        <v>50</v>
      </c>
      <c r="AL10" t="s">
        <v>24</v>
      </c>
      <c r="AM10" t="s">
        <v>61</v>
      </c>
      <c r="AN10" t="s">
        <v>66</v>
      </c>
      <c r="AO10" s="48">
        <v>8</v>
      </c>
      <c r="AP10" s="48">
        <v>0</v>
      </c>
    </row>
    <row r="11" spans="2:42" x14ac:dyDescent="0.3">
      <c r="B11" s="1" t="s">
        <v>39</v>
      </c>
      <c r="C11" s="94">
        <v>44529.229999999996</v>
      </c>
      <c r="D11" s="94">
        <v>498104.36420000001</v>
      </c>
      <c r="G11" s="93">
        <v>43587</v>
      </c>
      <c r="H11" t="s">
        <v>159</v>
      </c>
      <c r="I11" t="s">
        <v>107</v>
      </c>
      <c r="J11" t="s">
        <v>183</v>
      </c>
      <c r="K11" s="95">
        <v>22.5</v>
      </c>
      <c r="L11" s="94">
        <v>0</v>
      </c>
      <c r="O11" t="str">
        <f t="shared" si="0"/>
        <v/>
      </c>
      <c r="S11">
        <v>3</v>
      </c>
      <c r="T11" s="1" t="s">
        <v>143</v>
      </c>
      <c r="U11">
        <f t="shared" si="1"/>
        <v>3</v>
      </c>
      <c r="W11" s="1" t="s">
        <v>143</v>
      </c>
      <c r="X11">
        <v>3</v>
      </c>
      <c r="AD11" s="1" t="s">
        <v>39</v>
      </c>
      <c r="AE11" s="48">
        <v>136.03</v>
      </c>
      <c r="AF11" s="48">
        <v>2706.8566999999998</v>
      </c>
      <c r="AG11" s="9"/>
      <c r="AH11" s="9"/>
      <c r="AI11" s="9"/>
      <c r="AJ11">
        <v>66</v>
      </c>
      <c r="AK11" s="49" t="s">
        <v>53</v>
      </c>
      <c r="AL11" t="s">
        <v>24</v>
      </c>
      <c r="AM11" t="s">
        <v>61</v>
      </c>
      <c r="AN11" t="s">
        <v>69</v>
      </c>
      <c r="AO11" s="48">
        <v>8</v>
      </c>
      <c r="AP11" s="48">
        <v>0</v>
      </c>
    </row>
    <row r="12" spans="2:42" x14ac:dyDescent="0.3">
      <c r="B12" s="1" t="s">
        <v>89</v>
      </c>
      <c r="C12" s="94">
        <v>9098.8599999999988</v>
      </c>
      <c r="D12" s="94">
        <v>93024</v>
      </c>
      <c r="G12" s="93">
        <v>43587</v>
      </c>
      <c r="H12" t="s">
        <v>176</v>
      </c>
      <c r="I12" t="s">
        <v>107</v>
      </c>
      <c r="J12" t="s">
        <v>183</v>
      </c>
      <c r="K12" s="95">
        <v>14</v>
      </c>
      <c r="L12" s="94">
        <v>0</v>
      </c>
      <c r="O12" t="str">
        <f t="shared" si="0"/>
        <v/>
      </c>
      <c r="S12">
        <v>4</v>
      </c>
      <c r="T12" s="1" t="s">
        <v>144</v>
      </c>
      <c r="U12">
        <f t="shared" si="1"/>
        <v>4</v>
      </c>
      <c r="W12" s="1" t="s">
        <v>144</v>
      </c>
      <c r="X12">
        <v>4</v>
      </c>
      <c r="AD12" s="1" t="s">
        <v>44</v>
      </c>
      <c r="AE12" s="48">
        <v>0</v>
      </c>
      <c r="AF12" s="48">
        <v>50</v>
      </c>
      <c r="AG12" s="9"/>
      <c r="AH12" s="9"/>
      <c r="AI12" s="9"/>
      <c r="AJ12">
        <v>81</v>
      </c>
      <c r="AK12" s="49" t="s">
        <v>51</v>
      </c>
      <c r="AL12" t="s">
        <v>24</v>
      </c>
      <c r="AM12" t="s">
        <v>40</v>
      </c>
      <c r="AN12" t="s">
        <v>67</v>
      </c>
      <c r="AO12" s="48">
        <v>147.9</v>
      </c>
      <c r="AP12" s="48">
        <v>0</v>
      </c>
    </row>
    <row r="13" spans="2:42" x14ac:dyDescent="0.3">
      <c r="B13" s="1" t="s">
        <v>88</v>
      </c>
      <c r="C13" s="94"/>
      <c r="D13" s="94">
        <v>17628</v>
      </c>
      <c r="G13" s="93">
        <v>43587</v>
      </c>
      <c r="H13" t="s">
        <v>123</v>
      </c>
      <c r="I13" t="s">
        <v>106</v>
      </c>
      <c r="J13" t="s">
        <v>183</v>
      </c>
      <c r="K13" s="95">
        <v>92</v>
      </c>
      <c r="L13" s="94">
        <v>0</v>
      </c>
      <c r="O13" t="str">
        <f t="shared" si="0"/>
        <v/>
      </c>
      <c r="S13">
        <v>5</v>
      </c>
      <c r="T13" s="1" t="s">
        <v>145</v>
      </c>
      <c r="U13">
        <f t="shared" si="1"/>
        <v>5</v>
      </c>
      <c r="W13" s="1" t="s">
        <v>145</v>
      </c>
      <c r="X13">
        <v>5</v>
      </c>
      <c r="AD13" s="1" t="s">
        <v>43</v>
      </c>
      <c r="AE13" s="48">
        <v>165.3</v>
      </c>
      <c r="AF13" s="48">
        <v>1391.5451</v>
      </c>
      <c r="AG13" s="9"/>
      <c r="AH13" s="9"/>
      <c r="AI13" s="9"/>
      <c r="AJ13">
        <v>403</v>
      </c>
      <c r="AK13" s="49" t="s">
        <v>55</v>
      </c>
      <c r="AL13" t="s">
        <v>24</v>
      </c>
      <c r="AM13" t="s">
        <v>61</v>
      </c>
      <c r="AN13" t="s">
        <v>71</v>
      </c>
      <c r="AO13" s="48">
        <v>8</v>
      </c>
      <c r="AP13" s="48">
        <v>0</v>
      </c>
    </row>
    <row r="14" spans="2:42" x14ac:dyDescent="0.3">
      <c r="B14" s="1" t="s">
        <v>38</v>
      </c>
      <c r="C14" s="94">
        <v>10818.300000000003</v>
      </c>
      <c r="D14" s="94">
        <v>93231.416199999963</v>
      </c>
      <c r="G14" s="93">
        <v>43587</v>
      </c>
      <c r="H14" t="s">
        <v>113</v>
      </c>
      <c r="I14" t="s">
        <v>107</v>
      </c>
      <c r="J14" t="s">
        <v>183</v>
      </c>
      <c r="K14" s="95">
        <v>10</v>
      </c>
      <c r="L14" s="94">
        <v>0</v>
      </c>
      <c r="O14" t="str">
        <f t="shared" si="0"/>
        <v/>
      </c>
      <c r="S14">
        <v>6</v>
      </c>
      <c r="T14" s="1" t="s">
        <v>139</v>
      </c>
      <c r="U14">
        <f t="shared" si="1"/>
        <v>6</v>
      </c>
      <c r="W14" s="1" t="s">
        <v>139</v>
      </c>
      <c r="X14">
        <v>6</v>
      </c>
      <c r="AG14" s="9"/>
      <c r="AH14" s="9"/>
      <c r="AI14" s="9"/>
      <c r="AJ14">
        <v>532</v>
      </c>
      <c r="AK14" s="49" t="s">
        <v>52</v>
      </c>
      <c r="AL14" t="s">
        <v>24</v>
      </c>
      <c r="AM14" t="s">
        <v>62</v>
      </c>
      <c r="AN14" t="s">
        <v>68</v>
      </c>
      <c r="AO14" s="48">
        <v>30.02</v>
      </c>
      <c r="AP14" s="48">
        <v>0</v>
      </c>
    </row>
    <row r="15" spans="2:42" x14ac:dyDescent="0.3">
      <c r="G15" s="93">
        <v>43587</v>
      </c>
      <c r="H15" t="s">
        <v>120</v>
      </c>
      <c r="I15" t="s">
        <v>106</v>
      </c>
      <c r="J15" t="s">
        <v>183</v>
      </c>
      <c r="K15" s="95">
        <v>30</v>
      </c>
      <c r="L15" s="94">
        <v>0</v>
      </c>
      <c r="O15" t="str">
        <f t="shared" si="0"/>
        <v/>
      </c>
      <c r="S15">
        <v>7</v>
      </c>
      <c r="T15" s="1" t="s">
        <v>140</v>
      </c>
      <c r="U15">
        <f t="shared" si="1"/>
        <v>7</v>
      </c>
      <c r="W15" s="1" t="s">
        <v>140</v>
      </c>
      <c r="X15">
        <v>7</v>
      </c>
      <c r="AG15" s="9"/>
      <c r="AH15" s="9"/>
      <c r="AI15" s="9"/>
      <c r="AJ15">
        <v>533</v>
      </c>
      <c r="AK15" s="49" t="s">
        <v>56</v>
      </c>
      <c r="AL15" t="s">
        <v>24</v>
      </c>
      <c r="AM15" t="s">
        <v>63</v>
      </c>
      <c r="AN15" t="s">
        <v>72</v>
      </c>
      <c r="AO15" s="48">
        <v>83.43</v>
      </c>
      <c r="AP15" s="48">
        <v>0</v>
      </c>
    </row>
    <row r="16" spans="2:42" x14ac:dyDescent="0.3">
      <c r="G16" s="93">
        <v>43587</v>
      </c>
      <c r="H16" t="s">
        <v>118</v>
      </c>
      <c r="I16" t="s">
        <v>156</v>
      </c>
      <c r="J16" t="s">
        <v>183</v>
      </c>
      <c r="K16" s="95">
        <v>20320</v>
      </c>
      <c r="L16" s="94">
        <v>0</v>
      </c>
      <c r="O16" t="str">
        <f t="shared" si="0"/>
        <v/>
      </c>
      <c r="S16">
        <v>8</v>
      </c>
      <c r="U16" t="str">
        <f t="shared" si="1"/>
        <v/>
      </c>
      <c r="W16" s="1" t="s">
        <v>149</v>
      </c>
      <c r="X16">
        <v>8</v>
      </c>
      <c r="AG16" s="9"/>
      <c r="AH16" s="9"/>
      <c r="AI16" s="9"/>
      <c r="AJ16">
        <v>538</v>
      </c>
      <c r="AK16" s="49" t="s">
        <v>52</v>
      </c>
      <c r="AL16" t="s">
        <v>25</v>
      </c>
      <c r="AM16" t="s">
        <v>62</v>
      </c>
      <c r="AN16" t="s">
        <v>68</v>
      </c>
      <c r="AO16" s="48">
        <v>22.58</v>
      </c>
      <c r="AP16" s="48">
        <v>0</v>
      </c>
    </row>
    <row r="17" spans="7:35" x14ac:dyDescent="0.3">
      <c r="G17" s="93">
        <v>43587</v>
      </c>
      <c r="H17" t="s">
        <v>118</v>
      </c>
      <c r="I17" t="s">
        <v>107</v>
      </c>
      <c r="J17" t="s">
        <v>183</v>
      </c>
      <c r="K17" s="95">
        <v>30.26</v>
      </c>
      <c r="L17" s="94">
        <v>0</v>
      </c>
      <c r="O17" t="str">
        <f t="shared" si="0"/>
        <v/>
      </c>
      <c r="S17">
        <v>9</v>
      </c>
      <c r="U17" t="str">
        <f t="shared" si="1"/>
        <v/>
      </c>
      <c r="W17" s="1" t="s">
        <v>150</v>
      </c>
      <c r="X17">
        <v>9</v>
      </c>
      <c r="AG17" s="9"/>
      <c r="AH17" s="9"/>
      <c r="AI17" s="9"/>
    </row>
    <row r="18" spans="7:35" x14ac:dyDescent="0.3">
      <c r="G18" s="93">
        <v>43587</v>
      </c>
      <c r="H18" t="s">
        <v>24</v>
      </c>
      <c r="I18" t="s">
        <v>61</v>
      </c>
      <c r="J18" t="s">
        <v>183</v>
      </c>
      <c r="K18" s="95">
        <v>88</v>
      </c>
      <c r="L18" s="94">
        <v>0</v>
      </c>
      <c r="O18" t="str">
        <f t="shared" si="0"/>
        <v/>
      </c>
      <c r="S18">
        <v>10</v>
      </c>
      <c r="U18" t="str">
        <f t="shared" si="1"/>
        <v/>
      </c>
      <c r="W18" s="1" t="s">
        <v>151</v>
      </c>
      <c r="X18">
        <v>10</v>
      </c>
      <c r="AG18" s="9"/>
      <c r="AH18" s="9"/>
      <c r="AI18" s="9"/>
    </row>
    <row r="19" spans="7:35" x14ac:dyDescent="0.3">
      <c r="G19" s="93">
        <v>43587</v>
      </c>
      <c r="H19" t="s">
        <v>24</v>
      </c>
      <c r="I19" t="s">
        <v>61</v>
      </c>
      <c r="J19" t="s">
        <v>183</v>
      </c>
      <c r="K19" s="95">
        <v>24</v>
      </c>
      <c r="L19" s="94">
        <v>0</v>
      </c>
      <c r="O19" t="str">
        <f t="shared" si="0"/>
        <v/>
      </c>
      <c r="S19">
        <v>11</v>
      </c>
      <c r="U19" t="str">
        <f t="shared" si="1"/>
        <v/>
      </c>
      <c r="W19" s="1" t="s">
        <v>152</v>
      </c>
      <c r="X19">
        <v>11</v>
      </c>
    </row>
    <row r="20" spans="7:35" x14ac:dyDescent="0.3">
      <c r="G20" s="93">
        <v>43587</v>
      </c>
      <c r="H20" t="s">
        <v>24</v>
      </c>
      <c r="I20" t="s">
        <v>61</v>
      </c>
      <c r="J20" t="s">
        <v>183</v>
      </c>
      <c r="K20" s="95">
        <v>16</v>
      </c>
      <c r="L20" s="94">
        <v>0</v>
      </c>
      <c r="O20" t="str">
        <f t="shared" si="0"/>
        <v/>
      </c>
      <c r="S20">
        <v>12</v>
      </c>
      <c r="U20" t="str">
        <f t="shared" si="1"/>
        <v/>
      </c>
      <c r="W20" s="1" t="s">
        <v>153</v>
      </c>
      <c r="X20">
        <v>12</v>
      </c>
    </row>
    <row r="21" spans="7:35" x14ac:dyDescent="0.3">
      <c r="G21" s="93">
        <v>43587</v>
      </c>
      <c r="H21" t="s">
        <v>24</v>
      </c>
      <c r="I21" t="s">
        <v>61</v>
      </c>
      <c r="J21" t="s">
        <v>183</v>
      </c>
      <c r="K21" s="95">
        <v>8</v>
      </c>
      <c r="L21" s="94">
        <v>0</v>
      </c>
      <c r="O21" t="str">
        <f t="shared" si="0"/>
        <v/>
      </c>
    </row>
    <row r="22" spans="7:35" x14ac:dyDescent="0.3">
      <c r="G22" s="93">
        <v>43587</v>
      </c>
      <c r="H22" t="s">
        <v>111</v>
      </c>
      <c r="I22" t="s">
        <v>107</v>
      </c>
      <c r="J22" t="s">
        <v>183</v>
      </c>
      <c r="K22" s="95">
        <v>7.7</v>
      </c>
      <c r="L22" s="94">
        <v>0</v>
      </c>
      <c r="O22" t="str">
        <f t="shared" si="0"/>
        <v/>
      </c>
    </row>
    <row r="23" spans="7:35" x14ac:dyDescent="0.3">
      <c r="G23" s="93">
        <v>43587</v>
      </c>
      <c r="H23" t="s">
        <v>110</v>
      </c>
      <c r="I23" t="s">
        <v>106</v>
      </c>
      <c r="J23" t="s">
        <v>183</v>
      </c>
      <c r="K23" s="95">
        <v>46.13</v>
      </c>
      <c r="L23" s="94">
        <v>0</v>
      </c>
      <c r="O23" t="str">
        <f t="shared" si="0"/>
        <v/>
      </c>
    </row>
    <row r="24" spans="7:35" x14ac:dyDescent="0.3">
      <c r="G24" s="93">
        <v>43587</v>
      </c>
      <c r="H24" t="s">
        <v>26</v>
      </c>
      <c r="I24" t="s">
        <v>61</v>
      </c>
      <c r="J24" t="s">
        <v>183</v>
      </c>
      <c r="K24" s="95">
        <v>8</v>
      </c>
      <c r="L24" s="94">
        <v>0</v>
      </c>
      <c r="O24" t="str">
        <f t="shared" si="0"/>
        <v/>
      </c>
    </row>
    <row r="25" spans="7:35" x14ac:dyDescent="0.3">
      <c r="G25" s="93">
        <v>43587</v>
      </c>
      <c r="H25" t="s">
        <v>26</v>
      </c>
      <c r="I25" t="s">
        <v>178</v>
      </c>
      <c r="J25" t="s">
        <v>179</v>
      </c>
      <c r="K25" s="95">
        <v>5</v>
      </c>
      <c r="L25" s="94">
        <v>0</v>
      </c>
      <c r="O25" t="str">
        <f t="shared" si="0"/>
        <v/>
      </c>
      <c r="T25" t="s">
        <v>154</v>
      </c>
    </row>
    <row r="26" spans="7:35" x14ac:dyDescent="0.3">
      <c r="G26" s="93">
        <v>43587</v>
      </c>
      <c r="H26" t="s">
        <v>26</v>
      </c>
      <c r="I26" t="s">
        <v>64</v>
      </c>
      <c r="J26" t="s">
        <v>172</v>
      </c>
      <c r="K26" s="95">
        <v>10</v>
      </c>
      <c r="L26" s="94">
        <v>0</v>
      </c>
      <c r="O26" t="str">
        <f t="shared" si="0"/>
        <v/>
      </c>
    </row>
    <row r="27" spans="7:35" x14ac:dyDescent="0.3">
      <c r="G27" s="93">
        <v>43588</v>
      </c>
      <c r="H27" t="s">
        <v>25</v>
      </c>
      <c r="I27" t="s">
        <v>61</v>
      </c>
      <c r="J27" t="s">
        <v>184</v>
      </c>
      <c r="K27" s="95">
        <v>8</v>
      </c>
      <c r="L27" s="94">
        <v>0</v>
      </c>
      <c r="O27" t="str">
        <f t="shared" si="0"/>
        <v/>
      </c>
    </row>
    <row r="28" spans="7:35" x14ac:dyDescent="0.3">
      <c r="G28" s="93">
        <v>43588</v>
      </c>
      <c r="H28" t="s">
        <v>159</v>
      </c>
      <c r="I28" t="s">
        <v>97</v>
      </c>
      <c r="J28" t="s">
        <v>184</v>
      </c>
      <c r="K28" s="95">
        <v>51.51</v>
      </c>
      <c r="L28" s="94">
        <v>0</v>
      </c>
      <c r="O28" t="str">
        <f t="shared" si="0"/>
        <v/>
      </c>
    </row>
    <row r="29" spans="7:35" x14ac:dyDescent="0.3">
      <c r="G29" s="93">
        <v>43588</v>
      </c>
      <c r="H29" t="s">
        <v>176</v>
      </c>
      <c r="I29" t="s">
        <v>107</v>
      </c>
      <c r="J29" t="s">
        <v>184</v>
      </c>
      <c r="K29" s="95">
        <v>170</v>
      </c>
      <c r="L29" s="94">
        <v>0</v>
      </c>
      <c r="O29" t="str">
        <f t="shared" si="0"/>
        <v/>
      </c>
    </row>
    <row r="30" spans="7:35" x14ac:dyDescent="0.3">
      <c r="G30" s="93">
        <v>43588</v>
      </c>
      <c r="H30" t="s">
        <v>113</v>
      </c>
      <c r="I30" t="s">
        <v>107</v>
      </c>
      <c r="J30" t="s">
        <v>184</v>
      </c>
      <c r="K30" s="95">
        <v>2100</v>
      </c>
      <c r="L30" s="94">
        <v>0</v>
      </c>
      <c r="O30" t="str">
        <f t="shared" si="0"/>
        <v/>
      </c>
    </row>
    <row r="31" spans="7:35" x14ac:dyDescent="0.3">
      <c r="G31" s="93">
        <v>43588</v>
      </c>
      <c r="H31" t="s">
        <v>119</v>
      </c>
      <c r="I31" t="s">
        <v>107</v>
      </c>
      <c r="J31" t="s">
        <v>184</v>
      </c>
      <c r="K31" s="95">
        <v>150</v>
      </c>
      <c r="L31" s="94">
        <v>0</v>
      </c>
      <c r="O31" t="str">
        <f t="shared" si="0"/>
        <v/>
      </c>
    </row>
    <row r="32" spans="7:35" x14ac:dyDescent="0.3">
      <c r="G32" s="93">
        <v>43588</v>
      </c>
      <c r="H32" t="s">
        <v>120</v>
      </c>
      <c r="I32" t="s">
        <v>107</v>
      </c>
      <c r="J32" t="s">
        <v>184</v>
      </c>
      <c r="K32" s="95">
        <v>435</v>
      </c>
      <c r="L32" s="94">
        <v>0</v>
      </c>
      <c r="O32" t="str">
        <f t="shared" si="0"/>
        <v/>
      </c>
    </row>
    <row r="33" spans="7:15" x14ac:dyDescent="0.3">
      <c r="G33" s="93">
        <v>43588</v>
      </c>
      <c r="H33" t="s">
        <v>118</v>
      </c>
      <c r="I33" t="s">
        <v>61</v>
      </c>
      <c r="J33" t="s">
        <v>184</v>
      </c>
      <c r="K33" s="95">
        <v>45</v>
      </c>
      <c r="L33" s="94">
        <v>0</v>
      </c>
      <c r="O33" t="str">
        <f t="shared" si="0"/>
        <v/>
      </c>
    </row>
    <row r="34" spans="7:15" x14ac:dyDescent="0.3">
      <c r="G34" s="93">
        <v>43588</v>
      </c>
      <c r="H34" t="s">
        <v>118</v>
      </c>
      <c r="I34" t="s">
        <v>97</v>
      </c>
      <c r="J34" t="s">
        <v>184</v>
      </c>
      <c r="K34" s="95">
        <v>80.02</v>
      </c>
      <c r="L34" s="94">
        <v>0</v>
      </c>
      <c r="O34" t="str">
        <f t="shared" si="0"/>
        <v/>
      </c>
    </row>
    <row r="35" spans="7:15" x14ac:dyDescent="0.3">
      <c r="G35" s="93">
        <v>43588</v>
      </c>
      <c r="H35" t="s">
        <v>118</v>
      </c>
      <c r="I35" t="s">
        <v>107</v>
      </c>
      <c r="J35" t="s">
        <v>184</v>
      </c>
      <c r="K35" s="95">
        <v>235</v>
      </c>
      <c r="L35" s="94">
        <v>0</v>
      </c>
      <c r="O35" t="str">
        <f t="shared" si="0"/>
        <v/>
      </c>
    </row>
    <row r="36" spans="7:15" x14ac:dyDescent="0.3">
      <c r="G36" s="93">
        <v>43588</v>
      </c>
      <c r="H36" t="s">
        <v>161</v>
      </c>
      <c r="I36" t="s">
        <v>108</v>
      </c>
      <c r="J36" t="s">
        <v>184</v>
      </c>
      <c r="K36" s="95">
        <v>2023.13</v>
      </c>
      <c r="L36" s="94">
        <v>0</v>
      </c>
      <c r="O36" t="str">
        <f t="shared" si="0"/>
        <v/>
      </c>
    </row>
    <row r="37" spans="7:15" x14ac:dyDescent="0.3">
      <c r="G37" s="93">
        <v>43588</v>
      </c>
      <c r="H37" t="s">
        <v>161</v>
      </c>
      <c r="I37" t="s">
        <v>107</v>
      </c>
      <c r="J37" t="s">
        <v>184</v>
      </c>
      <c r="K37" s="95">
        <v>475</v>
      </c>
      <c r="L37" s="94">
        <v>0</v>
      </c>
      <c r="O37" t="str">
        <f t="shared" si="0"/>
        <v/>
      </c>
    </row>
    <row r="38" spans="7:15" x14ac:dyDescent="0.3">
      <c r="G38" s="93">
        <v>43588</v>
      </c>
      <c r="H38" t="s">
        <v>24</v>
      </c>
      <c r="I38" t="s">
        <v>61</v>
      </c>
      <c r="J38" t="s">
        <v>184</v>
      </c>
      <c r="K38" s="95">
        <v>32</v>
      </c>
      <c r="L38" s="94">
        <v>0</v>
      </c>
      <c r="O38" t="str">
        <f t="shared" si="0"/>
        <v/>
      </c>
    </row>
    <row r="39" spans="7:15" x14ac:dyDescent="0.3">
      <c r="G39" s="93">
        <v>43588</v>
      </c>
      <c r="H39" t="s">
        <v>24</v>
      </c>
      <c r="I39" t="s">
        <v>61</v>
      </c>
      <c r="J39" t="s">
        <v>184</v>
      </c>
      <c r="K39" s="95">
        <v>16</v>
      </c>
      <c r="L39" s="94">
        <v>0</v>
      </c>
      <c r="O39" t="str">
        <f t="shared" si="0"/>
        <v/>
      </c>
    </row>
    <row r="40" spans="7:15" x14ac:dyDescent="0.3">
      <c r="G40" s="93">
        <v>43588</v>
      </c>
      <c r="H40" t="s">
        <v>24</v>
      </c>
      <c r="I40" t="s">
        <v>61</v>
      </c>
      <c r="J40" t="s">
        <v>184</v>
      </c>
      <c r="K40" s="95">
        <v>8</v>
      </c>
      <c r="L40" s="94">
        <v>0</v>
      </c>
      <c r="O40" t="str">
        <f t="shared" si="0"/>
        <v/>
      </c>
    </row>
    <row r="41" spans="7:15" x14ac:dyDescent="0.3">
      <c r="G41" s="93">
        <v>43588</v>
      </c>
      <c r="H41" t="s">
        <v>129</v>
      </c>
      <c r="I41" t="s">
        <v>108</v>
      </c>
      <c r="J41" t="s">
        <v>184</v>
      </c>
      <c r="K41" s="95">
        <v>36.799999999999997</v>
      </c>
      <c r="L41" s="94">
        <v>0</v>
      </c>
      <c r="O41" t="str">
        <f t="shared" si="0"/>
        <v/>
      </c>
    </row>
    <row r="42" spans="7:15" x14ac:dyDescent="0.3">
      <c r="G42" s="93">
        <v>43588</v>
      </c>
      <c r="H42" t="s">
        <v>112</v>
      </c>
      <c r="I42" t="s">
        <v>107</v>
      </c>
      <c r="J42" t="s">
        <v>184</v>
      </c>
      <c r="K42" s="95">
        <v>38.200000000000003</v>
      </c>
      <c r="L42" s="94">
        <v>0</v>
      </c>
      <c r="O42" t="str">
        <f t="shared" si="0"/>
        <v/>
      </c>
    </row>
    <row r="43" spans="7:15" x14ac:dyDescent="0.3">
      <c r="G43" s="93">
        <v>43588</v>
      </c>
      <c r="H43" t="s">
        <v>117</v>
      </c>
      <c r="I43" t="s">
        <v>107</v>
      </c>
      <c r="J43" t="s">
        <v>184</v>
      </c>
      <c r="K43" s="95">
        <v>379.7</v>
      </c>
      <c r="L43" s="94">
        <v>0</v>
      </c>
      <c r="O43" t="str">
        <f t="shared" si="0"/>
        <v/>
      </c>
    </row>
    <row r="44" spans="7:15" x14ac:dyDescent="0.3">
      <c r="G44" s="93">
        <v>43588</v>
      </c>
      <c r="H44" t="s">
        <v>124</v>
      </c>
      <c r="I44" t="s">
        <v>61</v>
      </c>
      <c r="J44" t="s">
        <v>184</v>
      </c>
      <c r="K44" s="95">
        <v>62.75</v>
      </c>
      <c r="L44" s="94">
        <v>0</v>
      </c>
      <c r="O44" t="str">
        <f t="shared" si="0"/>
        <v/>
      </c>
    </row>
    <row r="45" spans="7:15" x14ac:dyDescent="0.3">
      <c r="G45" s="93">
        <v>43588</v>
      </c>
      <c r="H45" t="s">
        <v>124</v>
      </c>
      <c r="I45" t="s">
        <v>40</v>
      </c>
      <c r="J45" t="s">
        <v>184</v>
      </c>
      <c r="K45" s="95">
        <v>70.23</v>
      </c>
      <c r="L45" s="94">
        <v>0</v>
      </c>
      <c r="O45" t="str">
        <f t="shared" si="0"/>
        <v/>
      </c>
    </row>
    <row r="46" spans="7:15" x14ac:dyDescent="0.3">
      <c r="G46" s="93">
        <v>43588</v>
      </c>
      <c r="H46" t="s">
        <v>124</v>
      </c>
      <c r="I46" t="s">
        <v>107</v>
      </c>
      <c r="J46" t="s">
        <v>184</v>
      </c>
      <c r="K46" s="95">
        <v>1330.46</v>
      </c>
      <c r="L46" s="94">
        <v>0</v>
      </c>
      <c r="O46" t="str">
        <f t="shared" si="0"/>
        <v/>
      </c>
    </row>
    <row r="47" spans="7:15" x14ac:dyDescent="0.3">
      <c r="G47" s="93">
        <v>43588</v>
      </c>
      <c r="H47" t="s">
        <v>111</v>
      </c>
      <c r="I47" t="s">
        <v>40</v>
      </c>
      <c r="J47" t="s">
        <v>184</v>
      </c>
      <c r="K47" s="95">
        <v>70.23</v>
      </c>
      <c r="L47" s="94">
        <v>0</v>
      </c>
      <c r="O47" t="str">
        <f t="shared" si="0"/>
        <v/>
      </c>
    </row>
    <row r="48" spans="7:15" x14ac:dyDescent="0.3">
      <c r="G48" s="93">
        <v>43588</v>
      </c>
      <c r="H48" t="s">
        <v>26</v>
      </c>
      <c r="I48" t="s">
        <v>97</v>
      </c>
      <c r="J48" t="s">
        <v>184</v>
      </c>
      <c r="K48" s="95">
        <v>160.66</v>
      </c>
      <c r="L48" s="94">
        <v>0</v>
      </c>
      <c r="O48" t="str">
        <f t="shared" si="0"/>
        <v/>
      </c>
    </row>
    <row r="49" spans="7:15" x14ac:dyDescent="0.3">
      <c r="G49" s="93">
        <v>43588</v>
      </c>
      <c r="H49" t="s">
        <v>26</v>
      </c>
      <c r="I49" t="s">
        <v>97</v>
      </c>
      <c r="J49" t="s">
        <v>184</v>
      </c>
      <c r="K49" s="95">
        <v>118.89</v>
      </c>
      <c r="L49" s="94">
        <v>0</v>
      </c>
      <c r="O49" t="str">
        <f t="shared" si="0"/>
        <v/>
      </c>
    </row>
    <row r="50" spans="7:15" x14ac:dyDescent="0.3">
      <c r="G50" s="93">
        <v>43588</v>
      </c>
      <c r="H50" t="s">
        <v>26</v>
      </c>
      <c r="I50" t="s">
        <v>97</v>
      </c>
      <c r="J50" t="s">
        <v>184</v>
      </c>
      <c r="K50" s="95">
        <v>96</v>
      </c>
      <c r="L50" s="94">
        <v>0</v>
      </c>
      <c r="O50" t="str">
        <f t="shared" si="0"/>
        <v/>
      </c>
    </row>
    <row r="51" spans="7:15" x14ac:dyDescent="0.3">
      <c r="G51" s="93">
        <v>43588</v>
      </c>
      <c r="H51" t="s">
        <v>26</v>
      </c>
      <c r="I51" t="s">
        <v>97</v>
      </c>
      <c r="J51" t="s">
        <v>184</v>
      </c>
      <c r="K51" s="95">
        <v>23.99</v>
      </c>
      <c r="L51" s="94">
        <v>0</v>
      </c>
      <c r="O51" t="str">
        <f t="shared" si="0"/>
        <v/>
      </c>
    </row>
    <row r="52" spans="7:15" x14ac:dyDescent="0.3">
      <c r="G52" s="93">
        <v>43588</v>
      </c>
      <c r="H52" t="s">
        <v>26</v>
      </c>
      <c r="I52" t="s">
        <v>105</v>
      </c>
      <c r="J52" t="s">
        <v>184</v>
      </c>
      <c r="K52" s="95">
        <v>128.6</v>
      </c>
      <c r="L52" s="94">
        <v>0</v>
      </c>
      <c r="O52" t="str">
        <f t="shared" si="0"/>
        <v/>
      </c>
    </row>
    <row r="53" spans="7:15" x14ac:dyDescent="0.3">
      <c r="G53" s="93">
        <v>43588</v>
      </c>
      <c r="H53" t="s">
        <v>26</v>
      </c>
      <c r="I53" t="s">
        <v>105</v>
      </c>
      <c r="J53" t="s">
        <v>184</v>
      </c>
      <c r="K53" s="95">
        <v>84.3</v>
      </c>
      <c r="L53" s="94">
        <v>0</v>
      </c>
      <c r="O53" t="str">
        <f t="shared" si="0"/>
        <v/>
      </c>
    </row>
    <row r="54" spans="7:15" x14ac:dyDescent="0.3">
      <c r="G54" s="93">
        <v>43588</v>
      </c>
      <c r="H54" t="s">
        <v>26</v>
      </c>
      <c r="I54" t="s">
        <v>105</v>
      </c>
      <c r="J54" t="s">
        <v>184</v>
      </c>
      <c r="K54" s="95">
        <v>81.069999999999993</v>
      </c>
      <c r="L54" s="94">
        <v>0</v>
      </c>
      <c r="O54" t="str">
        <f t="shared" si="0"/>
        <v/>
      </c>
    </row>
    <row r="55" spans="7:15" x14ac:dyDescent="0.3">
      <c r="G55" s="93">
        <v>43588</v>
      </c>
      <c r="H55" t="s">
        <v>26</v>
      </c>
      <c r="I55" t="s">
        <v>105</v>
      </c>
      <c r="J55" t="s">
        <v>184</v>
      </c>
      <c r="K55" s="95">
        <v>77.64</v>
      </c>
      <c r="L55" s="94">
        <v>0</v>
      </c>
      <c r="O55" t="str">
        <f t="shared" si="0"/>
        <v/>
      </c>
    </row>
    <row r="56" spans="7:15" x14ac:dyDescent="0.3">
      <c r="G56" s="93">
        <v>43588</v>
      </c>
      <c r="H56" t="s">
        <v>26</v>
      </c>
      <c r="I56" t="s">
        <v>105</v>
      </c>
      <c r="J56" t="s">
        <v>184</v>
      </c>
      <c r="K56" s="95">
        <v>66.81</v>
      </c>
      <c r="L56" s="94">
        <v>0</v>
      </c>
      <c r="O56" t="str">
        <f t="shared" si="0"/>
        <v/>
      </c>
    </row>
    <row r="57" spans="7:15" x14ac:dyDescent="0.3">
      <c r="G57" s="93">
        <v>43588</v>
      </c>
      <c r="H57" t="s">
        <v>26</v>
      </c>
      <c r="I57" t="s">
        <v>105</v>
      </c>
      <c r="J57" t="s">
        <v>184</v>
      </c>
      <c r="K57" s="95">
        <v>63.7</v>
      </c>
      <c r="L57" s="94">
        <v>0</v>
      </c>
      <c r="O57" t="str">
        <f t="shared" si="0"/>
        <v/>
      </c>
    </row>
    <row r="58" spans="7:15" x14ac:dyDescent="0.3">
      <c r="G58" s="93">
        <v>43588</v>
      </c>
      <c r="H58" t="s">
        <v>26</v>
      </c>
      <c r="I58" t="s">
        <v>105</v>
      </c>
      <c r="J58" t="s">
        <v>184</v>
      </c>
      <c r="K58" s="95">
        <v>33.44</v>
      </c>
      <c r="L58" s="94">
        <v>0</v>
      </c>
      <c r="O58" t="str">
        <f t="shared" si="0"/>
        <v/>
      </c>
    </row>
    <row r="59" spans="7:15" x14ac:dyDescent="0.3">
      <c r="G59" s="93">
        <v>43588</v>
      </c>
      <c r="H59" t="s">
        <v>26</v>
      </c>
      <c r="I59" t="s">
        <v>105</v>
      </c>
      <c r="J59" t="s">
        <v>184</v>
      </c>
      <c r="K59" s="95">
        <v>28.07</v>
      </c>
      <c r="L59" s="94">
        <v>0</v>
      </c>
      <c r="O59" t="str">
        <f t="shared" si="0"/>
        <v/>
      </c>
    </row>
    <row r="60" spans="7:15" x14ac:dyDescent="0.3">
      <c r="G60" s="93">
        <v>43588</v>
      </c>
      <c r="H60" t="s">
        <v>26</v>
      </c>
      <c r="I60" t="s">
        <v>105</v>
      </c>
      <c r="J60" t="s">
        <v>184</v>
      </c>
      <c r="K60" s="95">
        <v>23.76</v>
      </c>
      <c r="L60" s="94">
        <v>0</v>
      </c>
      <c r="O60" t="str">
        <f t="shared" si="0"/>
        <v/>
      </c>
    </row>
    <row r="61" spans="7:15" x14ac:dyDescent="0.3">
      <c r="G61" s="93">
        <v>43588</v>
      </c>
      <c r="H61" t="s">
        <v>26</v>
      </c>
      <c r="I61" t="s">
        <v>105</v>
      </c>
      <c r="J61" t="s">
        <v>184</v>
      </c>
      <c r="K61" s="95">
        <v>21.95</v>
      </c>
      <c r="L61" s="94">
        <v>0</v>
      </c>
      <c r="O61" t="str">
        <f t="shared" si="0"/>
        <v/>
      </c>
    </row>
    <row r="62" spans="7:15" x14ac:dyDescent="0.3">
      <c r="G62" s="93">
        <v>43588</v>
      </c>
      <c r="H62" t="s">
        <v>26</v>
      </c>
      <c r="I62" t="s">
        <v>64</v>
      </c>
      <c r="J62" t="s">
        <v>100</v>
      </c>
      <c r="K62" s="95">
        <v>3.5</v>
      </c>
      <c r="L62" s="94">
        <v>0</v>
      </c>
      <c r="O62" t="str">
        <f t="shared" si="0"/>
        <v/>
      </c>
    </row>
    <row r="63" spans="7:15" x14ac:dyDescent="0.3">
      <c r="G63" s="93">
        <v>43588</v>
      </c>
      <c r="H63" t="s">
        <v>26</v>
      </c>
      <c r="I63" t="s">
        <v>64</v>
      </c>
      <c r="J63" t="s">
        <v>164</v>
      </c>
      <c r="K63" s="95">
        <v>2.25</v>
      </c>
      <c r="L63" s="94">
        <v>0</v>
      </c>
      <c r="O63" t="str">
        <f t="shared" si="0"/>
        <v/>
      </c>
    </row>
    <row r="64" spans="7:15" x14ac:dyDescent="0.3">
      <c r="G64" s="93">
        <v>43588</v>
      </c>
      <c r="H64" t="s">
        <v>26</v>
      </c>
      <c r="I64" t="s">
        <v>40</v>
      </c>
      <c r="J64" t="s">
        <v>184</v>
      </c>
      <c r="K64" s="95">
        <v>245.24</v>
      </c>
      <c r="L64" s="94">
        <v>0</v>
      </c>
      <c r="O64" t="str">
        <f t="shared" si="0"/>
        <v/>
      </c>
    </row>
    <row r="65" spans="7:15" x14ac:dyDescent="0.3">
      <c r="G65" s="93">
        <v>43588</v>
      </c>
      <c r="H65" t="s">
        <v>26</v>
      </c>
      <c r="I65" t="s">
        <v>107</v>
      </c>
      <c r="J65" t="s">
        <v>184</v>
      </c>
      <c r="K65" s="95">
        <v>8.9499999999999993</v>
      </c>
      <c r="L65" s="94">
        <v>0</v>
      </c>
      <c r="O65" t="str">
        <f t="shared" si="0"/>
        <v/>
      </c>
    </row>
    <row r="66" spans="7:15" x14ac:dyDescent="0.3">
      <c r="G66" s="93">
        <v>43589</v>
      </c>
      <c r="H66" t="s">
        <v>25</v>
      </c>
      <c r="I66" t="s">
        <v>61</v>
      </c>
      <c r="J66" t="s">
        <v>185</v>
      </c>
      <c r="K66" s="95">
        <v>16</v>
      </c>
      <c r="L66" s="94">
        <v>0</v>
      </c>
      <c r="O66" t="str">
        <f t="shared" si="0"/>
        <v/>
      </c>
    </row>
    <row r="67" spans="7:15" x14ac:dyDescent="0.3">
      <c r="G67" s="93">
        <v>43589</v>
      </c>
      <c r="H67" t="s">
        <v>113</v>
      </c>
      <c r="I67" t="s">
        <v>107</v>
      </c>
      <c r="J67" t="s">
        <v>185</v>
      </c>
      <c r="K67" s="95">
        <v>14.05</v>
      </c>
      <c r="L67" s="94">
        <v>0</v>
      </c>
      <c r="O67" t="str">
        <f t="shared" si="0"/>
        <v/>
      </c>
    </row>
    <row r="68" spans="7:15" x14ac:dyDescent="0.3">
      <c r="G68" s="93">
        <v>43589</v>
      </c>
      <c r="H68" t="s">
        <v>24</v>
      </c>
      <c r="I68" t="s">
        <v>61</v>
      </c>
      <c r="J68" t="s">
        <v>185</v>
      </c>
      <c r="K68" s="95">
        <v>96</v>
      </c>
      <c r="L68" s="94">
        <v>0</v>
      </c>
      <c r="O68" t="str">
        <f t="shared" si="0"/>
        <v/>
      </c>
    </row>
    <row r="69" spans="7:15" x14ac:dyDescent="0.3">
      <c r="G69" s="93">
        <v>43589</v>
      </c>
      <c r="H69" t="s">
        <v>24</v>
      </c>
      <c r="I69" t="s">
        <v>61</v>
      </c>
      <c r="J69" t="s">
        <v>185</v>
      </c>
      <c r="K69" s="95">
        <v>80</v>
      </c>
      <c r="L69" s="94">
        <v>0</v>
      </c>
      <c r="O69" t="str">
        <f t="shared" si="0"/>
        <v/>
      </c>
    </row>
    <row r="70" spans="7:15" x14ac:dyDescent="0.3">
      <c r="G70" s="93">
        <v>43589</v>
      </c>
      <c r="H70" t="s">
        <v>24</v>
      </c>
      <c r="I70" t="s">
        <v>61</v>
      </c>
      <c r="J70" t="s">
        <v>185</v>
      </c>
      <c r="K70" s="95">
        <v>48</v>
      </c>
      <c r="L70" s="94">
        <v>0</v>
      </c>
      <c r="O70" t="str">
        <f t="shared" si="0"/>
        <v/>
      </c>
    </row>
    <row r="71" spans="7:15" x14ac:dyDescent="0.3">
      <c r="G71" s="93">
        <v>43589</v>
      </c>
      <c r="H71" t="s">
        <v>24</v>
      </c>
      <c r="I71" t="s">
        <v>61</v>
      </c>
      <c r="J71" t="s">
        <v>185</v>
      </c>
      <c r="K71" s="95">
        <v>40</v>
      </c>
      <c r="L71" s="94">
        <v>0</v>
      </c>
      <c r="O71" t="str">
        <f t="shared" si="0"/>
        <v/>
      </c>
    </row>
    <row r="72" spans="7:15" x14ac:dyDescent="0.3">
      <c r="G72" s="93">
        <v>43589</v>
      </c>
      <c r="H72" t="s">
        <v>24</v>
      </c>
      <c r="I72" t="s">
        <v>61</v>
      </c>
      <c r="J72" t="s">
        <v>185</v>
      </c>
      <c r="K72" s="95">
        <v>32</v>
      </c>
      <c r="L72" s="94">
        <v>0</v>
      </c>
      <c r="O72" t="str">
        <f t="shared" si="0"/>
        <v/>
      </c>
    </row>
    <row r="73" spans="7:15" x14ac:dyDescent="0.3">
      <c r="G73" s="93">
        <v>43589</v>
      </c>
      <c r="H73" t="s">
        <v>24</v>
      </c>
      <c r="I73" t="s">
        <v>61</v>
      </c>
      <c r="J73" t="s">
        <v>185</v>
      </c>
      <c r="K73" s="95">
        <v>16</v>
      </c>
      <c r="L73" s="94">
        <v>0</v>
      </c>
      <c r="O73" t="str">
        <f t="shared" si="0"/>
        <v/>
      </c>
    </row>
    <row r="74" spans="7:15" x14ac:dyDescent="0.3">
      <c r="G74" s="93">
        <v>43589</v>
      </c>
      <c r="H74" t="s">
        <v>24</v>
      </c>
      <c r="I74" t="s">
        <v>61</v>
      </c>
      <c r="J74" t="s">
        <v>185</v>
      </c>
      <c r="K74" s="95">
        <v>8</v>
      </c>
      <c r="L74" s="94">
        <v>0</v>
      </c>
      <c r="O74" t="str">
        <f t="shared" ref="O74:O137" si="2">IF(P74="","",O73+1)</f>
        <v/>
      </c>
    </row>
    <row r="75" spans="7:15" x14ac:dyDescent="0.3">
      <c r="G75" s="93">
        <v>43589</v>
      </c>
      <c r="H75" t="s">
        <v>111</v>
      </c>
      <c r="I75" t="s">
        <v>61</v>
      </c>
      <c r="J75" t="s">
        <v>185</v>
      </c>
      <c r="K75" s="95">
        <v>10</v>
      </c>
      <c r="L75" s="94">
        <v>0</v>
      </c>
      <c r="O75" t="str">
        <f t="shared" si="2"/>
        <v/>
      </c>
    </row>
    <row r="76" spans="7:15" x14ac:dyDescent="0.3">
      <c r="G76" s="93">
        <v>43589</v>
      </c>
      <c r="H76" t="s">
        <v>111</v>
      </c>
      <c r="I76" t="s">
        <v>106</v>
      </c>
      <c r="J76" t="s">
        <v>185</v>
      </c>
      <c r="K76" s="95">
        <v>25.95</v>
      </c>
      <c r="L76" s="94">
        <v>0</v>
      </c>
      <c r="O76" t="str">
        <f t="shared" si="2"/>
        <v/>
      </c>
    </row>
    <row r="77" spans="7:15" x14ac:dyDescent="0.3">
      <c r="G77" s="93">
        <v>43589</v>
      </c>
      <c r="H77" t="s">
        <v>111</v>
      </c>
      <c r="I77" t="s">
        <v>107</v>
      </c>
      <c r="J77" t="s">
        <v>185</v>
      </c>
      <c r="K77" s="95">
        <v>4.5999999999999996</v>
      </c>
      <c r="L77" s="94">
        <v>0</v>
      </c>
      <c r="O77" t="str">
        <f t="shared" si="2"/>
        <v/>
      </c>
    </row>
    <row r="78" spans="7:15" x14ac:dyDescent="0.3">
      <c r="G78" s="93">
        <v>43589</v>
      </c>
      <c r="H78" t="s">
        <v>26</v>
      </c>
      <c r="I78" t="s">
        <v>61</v>
      </c>
      <c r="J78" t="s">
        <v>185</v>
      </c>
      <c r="K78" s="95">
        <v>8</v>
      </c>
      <c r="L78" s="94">
        <v>0</v>
      </c>
      <c r="O78" t="str">
        <f t="shared" si="2"/>
        <v/>
      </c>
    </row>
    <row r="79" spans="7:15" x14ac:dyDescent="0.3">
      <c r="G79" s="93">
        <v>43589</v>
      </c>
      <c r="H79" t="s">
        <v>26</v>
      </c>
      <c r="I79" t="s">
        <v>64</v>
      </c>
      <c r="J79" t="s">
        <v>163</v>
      </c>
      <c r="K79" s="95">
        <v>2.65</v>
      </c>
      <c r="L79" s="94">
        <v>0</v>
      </c>
      <c r="O79" t="str">
        <f t="shared" si="2"/>
        <v/>
      </c>
    </row>
    <row r="80" spans="7:15" x14ac:dyDescent="0.3">
      <c r="G80" s="93">
        <v>43591</v>
      </c>
      <c r="H80" t="s">
        <v>180</v>
      </c>
      <c r="I80" t="s">
        <v>107</v>
      </c>
      <c r="J80" t="s">
        <v>186</v>
      </c>
      <c r="K80" s="95">
        <v>51.55</v>
      </c>
      <c r="L80" s="94">
        <v>0</v>
      </c>
      <c r="O80" t="str">
        <f t="shared" si="2"/>
        <v/>
      </c>
    </row>
    <row r="81" spans="7:15" x14ac:dyDescent="0.3">
      <c r="G81" s="93">
        <v>43591</v>
      </c>
      <c r="H81" t="s">
        <v>115</v>
      </c>
      <c r="I81" t="s">
        <v>106</v>
      </c>
      <c r="J81" t="s">
        <v>186</v>
      </c>
      <c r="K81" s="95">
        <v>292.12</v>
      </c>
      <c r="L81" s="94">
        <v>0</v>
      </c>
      <c r="O81" t="str">
        <f t="shared" si="2"/>
        <v/>
      </c>
    </row>
    <row r="82" spans="7:15" x14ac:dyDescent="0.3">
      <c r="G82" s="93">
        <v>43591</v>
      </c>
      <c r="H82" t="s">
        <v>118</v>
      </c>
      <c r="I82" t="s">
        <v>97</v>
      </c>
      <c r="J82" t="s">
        <v>186</v>
      </c>
      <c r="K82" s="95">
        <v>21</v>
      </c>
      <c r="L82" s="94">
        <v>0</v>
      </c>
      <c r="O82" t="str">
        <f t="shared" si="2"/>
        <v/>
      </c>
    </row>
    <row r="83" spans="7:15" x14ac:dyDescent="0.3">
      <c r="G83" s="93">
        <v>43591</v>
      </c>
      <c r="H83" t="s">
        <v>161</v>
      </c>
      <c r="I83" t="s">
        <v>61</v>
      </c>
      <c r="J83" t="s">
        <v>186</v>
      </c>
      <c r="K83" s="95">
        <v>49.79</v>
      </c>
      <c r="L83" s="94">
        <v>0</v>
      </c>
      <c r="O83" t="str">
        <f t="shared" si="2"/>
        <v/>
      </c>
    </row>
    <row r="84" spans="7:15" x14ac:dyDescent="0.3">
      <c r="G84" s="93">
        <v>43591</v>
      </c>
      <c r="H84" t="s">
        <v>24</v>
      </c>
      <c r="I84" t="s">
        <v>61</v>
      </c>
      <c r="J84" t="s">
        <v>186</v>
      </c>
      <c r="K84" s="95">
        <v>88</v>
      </c>
      <c r="L84" s="94">
        <v>0</v>
      </c>
      <c r="O84" t="str">
        <f t="shared" si="2"/>
        <v/>
      </c>
    </row>
    <row r="85" spans="7:15" x14ac:dyDescent="0.3">
      <c r="G85" s="93">
        <v>43591</v>
      </c>
      <c r="H85" t="s">
        <v>24</v>
      </c>
      <c r="I85" t="s">
        <v>61</v>
      </c>
      <c r="J85" t="s">
        <v>186</v>
      </c>
      <c r="K85" s="95">
        <v>64</v>
      </c>
      <c r="L85" s="94">
        <v>0</v>
      </c>
      <c r="O85" t="str">
        <f t="shared" si="2"/>
        <v/>
      </c>
    </row>
    <row r="86" spans="7:15" x14ac:dyDescent="0.3">
      <c r="G86" s="93">
        <v>43591</v>
      </c>
      <c r="H86" t="s">
        <v>24</v>
      </c>
      <c r="I86" t="s">
        <v>61</v>
      </c>
      <c r="J86" t="s">
        <v>186</v>
      </c>
      <c r="K86" s="95">
        <v>56</v>
      </c>
      <c r="L86" s="94">
        <v>0</v>
      </c>
      <c r="O86" t="str">
        <f t="shared" si="2"/>
        <v/>
      </c>
    </row>
    <row r="87" spans="7:15" x14ac:dyDescent="0.3">
      <c r="G87" s="93">
        <v>43591</v>
      </c>
      <c r="H87" t="s">
        <v>24</v>
      </c>
      <c r="I87" t="s">
        <v>61</v>
      </c>
      <c r="J87" t="s">
        <v>186</v>
      </c>
      <c r="K87" s="95">
        <v>40</v>
      </c>
      <c r="L87" s="94">
        <v>0</v>
      </c>
      <c r="O87" t="str">
        <f t="shared" si="2"/>
        <v/>
      </c>
    </row>
    <row r="88" spans="7:15" x14ac:dyDescent="0.3">
      <c r="G88" s="93">
        <v>43591</v>
      </c>
      <c r="H88" t="s">
        <v>24</v>
      </c>
      <c r="I88" t="s">
        <v>61</v>
      </c>
      <c r="J88" t="s">
        <v>186</v>
      </c>
      <c r="K88" s="95">
        <v>32</v>
      </c>
      <c r="L88" s="94">
        <v>0</v>
      </c>
      <c r="O88" t="str">
        <f t="shared" si="2"/>
        <v/>
      </c>
    </row>
    <row r="89" spans="7:15" x14ac:dyDescent="0.3">
      <c r="G89" s="93">
        <v>43591</v>
      </c>
      <c r="H89" t="s">
        <v>24</v>
      </c>
      <c r="I89" t="s">
        <v>61</v>
      </c>
      <c r="J89" t="s">
        <v>186</v>
      </c>
      <c r="K89" s="95">
        <v>24</v>
      </c>
      <c r="L89" s="94">
        <v>0</v>
      </c>
      <c r="O89" t="str">
        <f t="shared" si="2"/>
        <v/>
      </c>
    </row>
    <row r="90" spans="7:15" x14ac:dyDescent="0.3">
      <c r="G90" s="93">
        <v>43591</v>
      </c>
      <c r="H90" t="s">
        <v>24</v>
      </c>
      <c r="I90" t="s">
        <v>61</v>
      </c>
      <c r="J90" t="s">
        <v>186</v>
      </c>
      <c r="K90" s="95">
        <v>16</v>
      </c>
      <c r="L90" s="94">
        <v>0</v>
      </c>
      <c r="O90" t="str">
        <f t="shared" si="2"/>
        <v/>
      </c>
    </row>
    <row r="91" spans="7:15" x14ac:dyDescent="0.3">
      <c r="G91" s="93">
        <v>43591</v>
      </c>
      <c r="H91" t="s">
        <v>24</v>
      </c>
      <c r="I91" t="s">
        <v>61</v>
      </c>
      <c r="J91" t="s">
        <v>186</v>
      </c>
      <c r="K91" s="95">
        <v>8</v>
      </c>
      <c r="L91" s="94">
        <v>0</v>
      </c>
      <c r="O91" t="str">
        <f t="shared" si="2"/>
        <v/>
      </c>
    </row>
    <row r="92" spans="7:15" x14ac:dyDescent="0.3">
      <c r="G92" s="93">
        <v>43591</v>
      </c>
      <c r="H92" t="s">
        <v>24</v>
      </c>
      <c r="I92" t="s">
        <v>107</v>
      </c>
      <c r="J92" t="s">
        <v>186</v>
      </c>
      <c r="K92" s="95">
        <v>380</v>
      </c>
      <c r="L92" s="94">
        <v>0</v>
      </c>
      <c r="O92" t="str">
        <f t="shared" si="2"/>
        <v/>
      </c>
    </row>
    <row r="93" spans="7:15" x14ac:dyDescent="0.3">
      <c r="G93" s="93">
        <v>43591</v>
      </c>
      <c r="H93" t="s">
        <v>112</v>
      </c>
      <c r="I93" t="s">
        <v>107</v>
      </c>
      <c r="J93" t="s">
        <v>186</v>
      </c>
      <c r="K93" s="95">
        <v>213.19</v>
      </c>
      <c r="L93" s="94">
        <v>0</v>
      </c>
      <c r="O93" t="str">
        <f t="shared" si="2"/>
        <v/>
      </c>
    </row>
    <row r="94" spans="7:15" x14ac:dyDescent="0.3">
      <c r="G94" s="93">
        <v>43591</v>
      </c>
      <c r="H94" t="s">
        <v>117</v>
      </c>
      <c r="I94" t="s">
        <v>107</v>
      </c>
      <c r="J94" t="s">
        <v>186</v>
      </c>
      <c r="K94" s="95">
        <v>76.349999999999994</v>
      </c>
      <c r="L94" s="94">
        <v>0</v>
      </c>
      <c r="O94" t="str">
        <f t="shared" si="2"/>
        <v/>
      </c>
    </row>
    <row r="95" spans="7:15" x14ac:dyDescent="0.3">
      <c r="G95" s="93">
        <v>43591</v>
      </c>
      <c r="H95" t="s">
        <v>111</v>
      </c>
      <c r="I95" t="s">
        <v>107</v>
      </c>
      <c r="J95" t="s">
        <v>186</v>
      </c>
      <c r="K95" s="95">
        <v>4.78</v>
      </c>
      <c r="L95" s="94">
        <v>0</v>
      </c>
      <c r="O95" t="str">
        <f t="shared" si="2"/>
        <v/>
      </c>
    </row>
    <row r="96" spans="7:15" x14ac:dyDescent="0.3">
      <c r="G96" s="93">
        <v>43591</v>
      </c>
      <c r="H96" t="s">
        <v>26</v>
      </c>
      <c r="I96" t="s">
        <v>61</v>
      </c>
      <c r="J96" t="s">
        <v>186</v>
      </c>
      <c r="K96" s="95">
        <v>16</v>
      </c>
      <c r="L96" s="94">
        <v>0</v>
      </c>
      <c r="O96" t="str">
        <f t="shared" si="2"/>
        <v/>
      </c>
    </row>
    <row r="97" spans="7:15" x14ac:dyDescent="0.3">
      <c r="G97" s="93">
        <v>43591</v>
      </c>
      <c r="H97" t="s">
        <v>26</v>
      </c>
      <c r="I97" t="s">
        <v>105</v>
      </c>
      <c r="J97" t="s">
        <v>186</v>
      </c>
      <c r="K97" s="95">
        <v>91</v>
      </c>
      <c r="L97" s="94">
        <v>0</v>
      </c>
      <c r="O97" t="str">
        <f t="shared" si="2"/>
        <v/>
      </c>
    </row>
    <row r="98" spans="7:15" x14ac:dyDescent="0.3">
      <c r="G98" s="93">
        <v>43591</v>
      </c>
      <c r="H98" t="s">
        <v>26</v>
      </c>
      <c r="I98" t="s">
        <v>105</v>
      </c>
      <c r="J98" t="s">
        <v>186</v>
      </c>
      <c r="K98" s="95">
        <v>67.069999999999993</v>
      </c>
      <c r="L98" s="94">
        <v>0</v>
      </c>
      <c r="O98" t="str">
        <f t="shared" si="2"/>
        <v/>
      </c>
    </row>
    <row r="99" spans="7:15" x14ac:dyDescent="0.3">
      <c r="G99" s="93">
        <v>43591</v>
      </c>
      <c r="H99" t="s">
        <v>26</v>
      </c>
      <c r="I99" t="s">
        <v>105</v>
      </c>
      <c r="J99" t="s">
        <v>186</v>
      </c>
      <c r="K99" s="95">
        <v>55.52</v>
      </c>
      <c r="L99" s="94">
        <v>0</v>
      </c>
      <c r="O99" t="str">
        <f t="shared" si="2"/>
        <v/>
      </c>
    </row>
    <row r="100" spans="7:15" x14ac:dyDescent="0.3">
      <c r="G100" s="93">
        <v>43591</v>
      </c>
      <c r="H100" t="s">
        <v>26</v>
      </c>
      <c r="I100" t="s">
        <v>105</v>
      </c>
      <c r="J100" t="s">
        <v>186</v>
      </c>
      <c r="K100" s="95">
        <v>48.62</v>
      </c>
      <c r="L100" s="94">
        <v>0</v>
      </c>
      <c r="O100" t="str">
        <f t="shared" si="2"/>
        <v/>
      </c>
    </row>
    <row r="101" spans="7:15" x14ac:dyDescent="0.3">
      <c r="G101" s="93">
        <v>43591</v>
      </c>
      <c r="H101" t="s">
        <v>26</v>
      </c>
      <c r="I101" t="s">
        <v>105</v>
      </c>
      <c r="J101" t="s">
        <v>186</v>
      </c>
      <c r="K101" s="95">
        <v>31.03</v>
      </c>
      <c r="L101" s="94">
        <v>0</v>
      </c>
      <c r="O101" t="str">
        <f t="shared" si="2"/>
        <v/>
      </c>
    </row>
    <row r="102" spans="7:15" x14ac:dyDescent="0.3">
      <c r="G102" s="93">
        <v>43591</v>
      </c>
      <c r="H102" t="s">
        <v>26</v>
      </c>
      <c r="I102" t="s">
        <v>105</v>
      </c>
      <c r="J102" t="s">
        <v>186</v>
      </c>
      <c r="K102" s="95">
        <v>24.57</v>
      </c>
      <c r="L102" s="94">
        <v>0</v>
      </c>
      <c r="O102" t="str">
        <f t="shared" si="2"/>
        <v/>
      </c>
    </row>
    <row r="103" spans="7:15" x14ac:dyDescent="0.3">
      <c r="G103" s="93">
        <v>43591</v>
      </c>
      <c r="H103" t="s">
        <v>26</v>
      </c>
      <c r="I103" t="s">
        <v>105</v>
      </c>
      <c r="J103" t="s">
        <v>186</v>
      </c>
      <c r="K103" s="95">
        <v>9.89</v>
      </c>
      <c r="L103" s="94">
        <v>0</v>
      </c>
      <c r="O103" t="str">
        <f t="shared" si="2"/>
        <v/>
      </c>
    </row>
    <row r="104" spans="7:15" x14ac:dyDescent="0.3">
      <c r="G104" s="93">
        <v>43591</v>
      </c>
      <c r="H104" t="s">
        <v>26</v>
      </c>
      <c r="I104" t="s">
        <v>64</v>
      </c>
      <c r="J104" t="s">
        <v>175</v>
      </c>
      <c r="K104" s="95">
        <v>3.15</v>
      </c>
      <c r="L104" s="94">
        <v>0</v>
      </c>
      <c r="O104" t="str">
        <f t="shared" si="2"/>
        <v/>
      </c>
    </row>
    <row r="105" spans="7:15" x14ac:dyDescent="0.3">
      <c r="G105" s="93">
        <v>43591</v>
      </c>
      <c r="H105" t="s">
        <v>26</v>
      </c>
      <c r="I105" t="s">
        <v>64</v>
      </c>
      <c r="J105" t="s">
        <v>160</v>
      </c>
      <c r="K105" s="95">
        <v>22</v>
      </c>
      <c r="L105" s="94">
        <v>0</v>
      </c>
      <c r="O105" t="str">
        <f t="shared" si="2"/>
        <v/>
      </c>
    </row>
    <row r="106" spans="7:15" x14ac:dyDescent="0.3">
      <c r="G106" s="93">
        <v>43591</v>
      </c>
      <c r="H106" t="s">
        <v>26</v>
      </c>
      <c r="I106" t="s">
        <v>64</v>
      </c>
      <c r="J106" t="s">
        <v>99</v>
      </c>
      <c r="K106" s="95">
        <v>3</v>
      </c>
      <c r="L106" s="94">
        <v>0</v>
      </c>
      <c r="O106" t="str">
        <f t="shared" si="2"/>
        <v/>
      </c>
    </row>
    <row r="107" spans="7:15" x14ac:dyDescent="0.3">
      <c r="G107" s="93">
        <v>43592</v>
      </c>
      <c r="H107" t="s">
        <v>121</v>
      </c>
      <c r="I107" t="s">
        <v>61</v>
      </c>
      <c r="J107" t="s">
        <v>187</v>
      </c>
      <c r="K107" s="95">
        <v>159.9</v>
      </c>
      <c r="L107" s="94">
        <v>0</v>
      </c>
      <c r="O107" t="str">
        <f t="shared" si="2"/>
        <v/>
      </c>
    </row>
    <row r="108" spans="7:15" x14ac:dyDescent="0.3">
      <c r="G108" s="93">
        <v>43592</v>
      </c>
      <c r="H108" t="s">
        <v>25</v>
      </c>
      <c r="I108" t="s">
        <v>61</v>
      </c>
      <c r="J108" t="s">
        <v>187</v>
      </c>
      <c r="K108" s="95">
        <v>8</v>
      </c>
      <c r="L108" s="94">
        <v>0</v>
      </c>
      <c r="O108" t="str">
        <f t="shared" si="2"/>
        <v/>
      </c>
    </row>
    <row r="109" spans="7:15" x14ac:dyDescent="0.3">
      <c r="G109" s="93">
        <v>43592</v>
      </c>
      <c r="H109" t="s">
        <v>159</v>
      </c>
      <c r="I109" t="s">
        <v>106</v>
      </c>
      <c r="J109" t="s">
        <v>187</v>
      </c>
      <c r="K109" s="95">
        <v>30</v>
      </c>
      <c r="L109" s="94">
        <v>0</v>
      </c>
      <c r="O109" t="str">
        <f t="shared" si="2"/>
        <v/>
      </c>
    </row>
    <row r="110" spans="7:15" x14ac:dyDescent="0.3">
      <c r="G110" s="93">
        <v>43592</v>
      </c>
      <c r="H110" t="s">
        <v>123</v>
      </c>
      <c r="I110" t="s">
        <v>61</v>
      </c>
      <c r="J110" t="s">
        <v>187</v>
      </c>
      <c r="K110" s="95">
        <v>21.06</v>
      </c>
      <c r="L110" s="94">
        <v>0</v>
      </c>
      <c r="O110" t="str">
        <f t="shared" si="2"/>
        <v/>
      </c>
    </row>
    <row r="111" spans="7:15" x14ac:dyDescent="0.3">
      <c r="G111" s="93">
        <v>43592</v>
      </c>
      <c r="H111" t="s">
        <v>120</v>
      </c>
      <c r="I111" t="s">
        <v>109</v>
      </c>
      <c r="J111" t="s">
        <v>187</v>
      </c>
      <c r="K111" s="95">
        <v>84.53</v>
      </c>
      <c r="L111" s="94">
        <v>0</v>
      </c>
      <c r="O111" t="str">
        <f t="shared" si="2"/>
        <v/>
      </c>
    </row>
    <row r="112" spans="7:15" x14ac:dyDescent="0.3">
      <c r="G112" s="93">
        <v>43592</v>
      </c>
      <c r="H112" t="s">
        <v>120</v>
      </c>
      <c r="I112" t="s">
        <v>107</v>
      </c>
      <c r="J112" t="s">
        <v>187</v>
      </c>
      <c r="K112" s="95">
        <v>23.05</v>
      </c>
      <c r="L112" s="94">
        <v>0</v>
      </c>
      <c r="O112" t="str">
        <f t="shared" si="2"/>
        <v/>
      </c>
    </row>
    <row r="113" spans="7:15" x14ac:dyDescent="0.3">
      <c r="G113" s="93">
        <v>43592</v>
      </c>
      <c r="H113" t="s">
        <v>161</v>
      </c>
      <c r="I113" t="s">
        <v>107</v>
      </c>
      <c r="J113" t="s">
        <v>187</v>
      </c>
      <c r="K113" s="95">
        <v>26.2</v>
      </c>
      <c r="L113" s="94">
        <v>0</v>
      </c>
      <c r="O113" t="str">
        <f t="shared" si="2"/>
        <v/>
      </c>
    </row>
    <row r="114" spans="7:15" x14ac:dyDescent="0.3">
      <c r="G114" s="93">
        <v>43592</v>
      </c>
      <c r="H114" t="s">
        <v>24</v>
      </c>
      <c r="I114" t="s">
        <v>61</v>
      </c>
      <c r="J114" t="s">
        <v>187</v>
      </c>
      <c r="K114" s="95">
        <v>80</v>
      </c>
      <c r="L114" s="94">
        <v>0</v>
      </c>
      <c r="O114" t="str">
        <f t="shared" si="2"/>
        <v/>
      </c>
    </row>
    <row r="115" spans="7:15" x14ac:dyDescent="0.3">
      <c r="G115" s="93">
        <v>43592</v>
      </c>
      <c r="H115" t="s">
        <v>24</v>
      </c>
      <c r="I115" t="s">
        <v>61</v>
      </c>
      <c r="J115" t="s">
        <v>187</v>
      </c>
      <c r="K115" s="95">
        <v>56</v>
      </c>
      <c r="L115" s="94">
        <v>0</v>
      </c>
      <c r="O115" t="str">
        <f t="shared" si="2"/>
        <v/>
      </c>
    </row>
    <row r="116" spans="7:15" x14ac:dyDescent="0.3">
      <c r="G116" s="93">
        <v>43592</v>
      </c>
      <c r="H116" t="s">
        <v>24</v>
      </c>
      <c r="I116" t="s">
        <v>61</v>
      </c>
      <c r="J116" t="s">
        <v>187</v>
      </c>
      <c r="K116" s="95">
        <v>24</v>
      </c>
      <c r="L116" s="94">
        <v>0</v>
      </c>
      <c r="O116" t="str">
        <f t="shared" si="2"/>
        <v/>
      </c>
    </row>
    <row r="117" spans="7:15" x14ac:dyDescent="0.3">
      <c r="G117" s="93">
        <v>43592</v>
      </c>
      <c r="H117" t="s">
        <v>24</v>
      </c>
      <c r="I117" t="s">
        <v>61</v>
      </c>
      <c r="J117" t="s">
        <v>187</v>
      </c>
      <c r="K117" s="95">
        <v>16</v>
      </c>
      <c r="L117" s="94">
        <v>0</v>
      </c>
      <c r="O117" t="str">
        <f t="shared" si="2"/>
        <v/>
      </c>
    </row>
    <row r="118" spans="7:15" x14ac:dyDescent="0.3">
      <c r="G118" s="93">
        <v>43592</v>
      </c>
      <c r="H118" t="s">
        <v>24</v>
      </c>
      <c r="I118" t="s">
        <v>61</v>
      </c>
      <c r="J118" t="s">
        <v>187</v>
      </c>
      <c r="K118" s="95">
        <v>8</v>
      </c>
      <c r="L118" s="94">
        <v>0</v>
      </c>
      <c r="O118" t="str">
        <f t="shared" si="2"/>
        <v/>
      </c>
    </row>
    <row r="119" spans="7:15" x14ac:dyDescent="0.3">
      <c r="G119" s="93">
        <v>43592</v>
      </c>
      <c r="H119" t="s">
        <v>24</v>
      </c>
      <c r="I119" t="s">
        <v>188</v>
      </c>
      <c r="J119" t="s">
        <v>189</v>
      </c>
      <c r="K119" s="95">
        <v>114.74</v>
      </c>
      <c r="L119" s="94">
        <v>0</v>
      </c>
      <c r="O119" t="str">
        <f t="shared" si="2"/>
        <v/>
      </c>
    </row>
    <row r="120" spans="7:15" x14ac:dyDescent="0.3">
      <c r="G120" s="93">
        <v>43592</v>
      </c>
      <c r="H120" t="s">
        <v>24</v>
      </c>
      <c r="I120" t="s">
        <v>107</v>
      </c>
      <c r="J120" t="s">
        <v>187</v>
      </c>
      <c r="K120" s="95">
        <v>147.9</v>
      </c>
      <c r="L120" s="94">
        <v>0</v>
      </c>
      <c r="O120" t="str">
        <f t="shared" si="2"/>
        <v/>
      </c>
    </row>
    <row r="121" spans="7:15" x14ac:dyDescent="0.3">
      <c r="G121" s="93">
        <v>43592</v>
      </c>
      <c r="H121" t="s">
        <v>126</v>
      </c>
      <c r="I121" t="s">
        <v>97</v>
      </c>
      <c r="J121" t="s">
        <v>187</v>
      </c>
      <c r="K121" s="95">
        <v>5.16</v>
      </c>
      <c r="L121" s="94">
        <v>0</v>
      </c>
      <c r="O121" t="str">
        <f t="shared" si="2"/>
        <v/>
      </c>
    </row>
    <row r="122" spans="7:15" x14ac:dyDescent="0.3">
      <c r="G122" s="93">
        <v>43592</v>
      </c>
      <c r="H122" t="s">
        <v>112</v>
      </c>
      <c r="I122" t="s">
        <v>107</v>
      </c>
      <c r="J122" t="s">
        <v>187</v>
      </c>
      <c r="K122" s="95">
        <v>360.16</v>
      </c>
      <c r="L122" s="94">
        <v>0</v>
      </c>
      <c r="O122" t="str">
        <f t="shared" si="2"/>
        <v/>
      </c>
    </row>
    <row r="123" spans="7:15" x14ac:dyDescent="0.3">
      <c r="G123" s="93">
        <v>43592</v>
      </c>
      <c r="H123" t="s">
        <v>110</v>
      </c>
      <c r="I123" t="s">
        <v>97</v>
      </c>
      <c r="J123" t="s">
        <v>187</v>
      </c>
      <c r="K123" s="95">
        <v>142.87</v>
      </c>
      <c r="L123" s="94">
        <v>0</v>
      </c>
      <c r="O123" t="str">
        <f t="shared" si="2"/>
        <v/>
      </c>
    </row>
    <row r="124" spans="7:15" x14ac:dyDescent="0.3">
      <c r="G124" s="93">
        <v>43592</v>
      </c>
      <c r="H124" t="s">
        <v>26</v>
      </c>
      <c r="I124" t="s">
        <v>97</v>
      </c>
      <c r="J124" t="s">
        <v>187</v>
      </c>
      <c r="K124" s="95">
        <v>35.950000000000003</v>
      </c>
      <c r="L124" s="94">
        <v>0</v>
      </c>
      <c r="O124" t="str">
        <f t="shared" si="2"/>
        <v/>
      </c>
    </row>
    <row r="125" spans="7:15" x14ac:dyDescent="0.3">
      <c r="G125" s="93">
        <v>43592</v>
      </c>
      <c r="H125" t="s">
        <v>26</v>
      </c>
      <c r="I125" t="s">
        <v>105</v>
      </c>
      <c r="J125" t="s">
        <v>187</v>
      </c>
      <c r="K125" s="95">
        <v>163.47999999999999</v>
      </c>
      <c r="L125" s="94">
        <v>0</v>
      </c>
      <c r="O125" t="str">
        <f t="shared" si="2"/>
        <v/>
      </c>
    </row>
    <row r="126" spans="7:15" x14ac:dyDescent="0.3">
      <c r="G126" s="93">
        <v>43592</v>
      </c>
      <c r="H126" t="s">
        <v>26</v>
      </c>
      <c r="I126" t="s">
        <v>105</v>
      </c>
      <c r="J126" t="s">
        <v>187</v>
      </c>
      <c r="K126" s="95">
        <v>64.31</v>
      </c>
      <c r="L126" s="94">
        <v>0</v>
      </c>
      <c r="O126" t="str">
        <f t="shared" si="2"/>
        <v/>
      </c>
    </row>
    <row r="127" spans="7:15" x14ac:dyDescent="0.3">
      <c r="G127" s="93">
        <v>43592</v>
      </c>
      <c r="H127" t="s">
        <v>26</v>
      </c>
      <c r="I127" t="s">
        <v>105</v>
      </c>
      <c r="J127" t="s">
        <v>187</v>
      </c>
      <c r="K127" s="95">
        <v>53.37</v>
      </c>
      <c r="L127" s="94">
        <v>0</v>
      </c>
      <c r="O127" t="str">
        <f t="shared" si="2"/>
        <v/>
      </c>
    </row>
    <row r="128" spans="7:15" x14ac:dyDescent="0.3">
      <c r="G128" s="93">
        <v>43592</v>
      </c>
      <c r="H128" t="s">
        <v>26</v>
      </c>
      <c r="I128" t="s">
        <v>105</v>
      </c>
      <c r="J128" t="s">
        <v>187</v>
      </c>
      <c r="K128" s="95">
        <v>42.03</v>
      </c>
      <c r="L128" s="94">
        <v>0</v>
      </c>
      <c r="O128" t="str">
        <f t="shared" si="2"/>
        <v/>
      </c>
    </row>
    <row r="129" spans="7:15" x14ac:dyDescent="0.3">
      <c r="G129" s="93">
        <v>43592</v>
      </c>
      <c r="H129" t="s">
        <v>26</v>
      </c>
      <c r="I129" t="s">
        <v>105</v>
      </c>
      <c r="J129" t="s">
        <v>187</v>
      </c>
      <c r="K129" s="95">
        <v>36.979999999999997</v>
      </c>
      <c r="L129" s="94">
        <v>0</v>
      </c>
      <c r="O129" t="str">
        <f t="shared" si="2"/>
        <v/>
      </c>
    </row>
    <row r="130" spans="7:15" x14ac:dyDescent="0.3">
      <c r="G130" s="93">
        <v>43592</v>
      </c>
      <c r="H130" t="s">
        <v>26</v>
      </c>
      <c r="I130" t="s">
        <v>105</v>
      </c>
      <c r="J130" t="s">
        <v>187</v>
      </c>
      <c r="K130" s="95">
        <v>25.57</v>
      </c>
      <c r="L130" s="94">
        <v>0</v>
      </c>
      <c r="O130" t="str">
        <f t="shared" si="2"/>
        <v/>
      </c>
    </row>
    <row r="131" spans="7:15" x14ac:dyDescent="0.3">
      <c r="G131" s="93">
        <v>43592</v>
      </c>
      <c r="H131" t="s">
        <v>26</v>
      </c>
      <c r="I131" t="s">
        <v>178</v>
      </c>
      <c r="J131" t="s">
        <v>179</v>
      </c>
      <c r="K131" s="95">
        <v>10</v>
      </c>
      <c r="L131" s="94">
        <v>0</v>
      </c>
      <c r="O131" t="str">
        <f t="shared" si="2"/>
        <v/>
      </c>
    </row>
    <row r="132" spans="7:15" x14ac:dyDescent="0.3">
      <c r="G132" s="93">
        <v>43592</v>
      </c>
      <c r="H132" t="s">
        <v>26</v>
      </c>
      <c r="I132" t="s">
        <v>64</v>
      </c>
      <c r="J132" t="s">
        <v>160</v>
      </c>
      <c r="K132" s="95">
        <v>22</v>
      </c>
      <c r="L132" s="94">
        <v>0</v>
      </c>
      <c r="O132" t="str">
        <f t="shared" si="2"/>
        <v/>
      </c>
    </row>
    <row r="133" spans="7:15" x14ac:dyDescent="0.3">
      <c r="G133" s="93">
        <v>43593</v>
      </c>
      <c r="H133" t="s">
        <v>123</v>
      </c>
      <c r="I133" t="s">
        <v>106</v>
      </c>
      <c r="J133" t="s">
        <v>190</v>
      </c>
      <c r="K133" s="95">
        <v>85.7</v>
      </c>
      <c r="L133" s="94">
        <v>0</v>
      </c>
      <c r="O133" t="str">
        <f t="shared" si="2"/>
        <v/>
      </c>
    </row>
    <row r="134" spans="7:15" x14ac:dyDescent="0.3">
      <c r="G134" s="93">
        <v>43593</v>
      </c>
      <c r="H134" t="s">
        <v>24</v>
      </c>
      <c r="I134" t="s">
        <v>61</v>
      </c>
      <c r="J134" t="s">
        <v>190</v>
      </c>
      <c r="K134" s="95">
        <v>24</v>
      </c>
      <c r="L134" s="94">
        <v>0</v>
      </c>
      <c r="O134" t="str">
        <f t="shared" si="2"/>
        <v/>
      </c>
    </row>
    <row r="135" spans="7:15" x14ac:dyDescent="0.3">
      <c r="G135" s="93">
        <v>43593</v>
      </c>
      <c r="H135" t="s">
        <v>24</v>
      </c>
      <c r="I135" t="s">
        <v>61</v>
      </c>
      <c r="J135" t="s">
        <v>190</v>
      </c>
      <c r="K135" s="95">
        <v>16</v>
      </c>
      <c r="L135" s="94">
        <v>0</v>
      </c>
      <c r="O135" t="str">
        <f t="shared" si="2"/>
        <v/>
      </c>
    </row>
    <row r="136" spans="7:15" x14ac:dyDescent="0.3">
      <c r="G136" s="93">
        <v>43593</v>
      </c>
      <c r="H136" t="s">
        <v>24</v>
      </c>
      <c r="I136" t="s">
        <v>61</v>
      </c>
      <c r="J136" t="s">
        <v>190</v>
      </c>
      <c r="K136" s="95">
        <v>8</v>
      </c>
      <c r="L136" s="94">
        <v>0</v>
      </c>
      <c r="O136" t="str">
        <f t="shared" si="2"/>
        <v/>
      </c>
    </row>
    <row r="137" spans="7:15" x14ac:dyDescent="0.3">
      <c r="G137" s="93">
        <v>43593</v>
      </c>
      <c r="H137" t="s">
        <v>117</v>
      </c>
      <c r="I137" t="s">
        <v>107</v>
      </c>
      <c r="J137" t="s">
        <v>190</v>
      </c>
      <c r="K137" s="95">
        <v>38</v>
      </c>
      <c r="L137" s="94">
        <v>0</v>
      </c>
      <c r="O137" t="str">
        <f t="shared" si="2"/>
        <v/>
      </c>
    </row>
    <row r="138" spans="7:15" x14ac:dyDescent="0.3">
      <c r="G138" s="93">
        <v>43593</v>
      </c>
      <c r="H138" t="s">
        <v>111</v>
      </c>
      <c r="I138" t="s">
        <v>107</v>
      </c>
      <c r="J138" t="s">
        <v>190</v>
      </c>
      <c r="K138" s="95">
        <v>24</v>
      </c>
      <c r="L138" s="94">
        <v>0</v>
      </c>
      <c r="O138" t="str">
        <f t="shared" ref="O138:O201" si="3">IF(P138="","",O137+1)</f>
        <v/>
      </c>
    </row>
    <row r="139" spans="7:15" x14ac:dyDescent="0.3">
      <c r="G139" s="93">
        <v>43593</v>
      </c>
      <c r="H139" t="s">
        <v>110</v>
      </c>
      <c r="I139" t="s">
        <v>61</v>
      </c>
      <c r="J139" t="s">
        <v>190</v>
      </c>
      <c r="K139" s="95">
        <v>12.64</v>
      </c>
      <c r="L139" s="94">
        <v>0</v>
      </c>
      <c r="O139" t="str">
        <f t="shared" si="3"/>
        <v/>
      </c>
    </row>
    <row r="140" spans="7:15" x14ac:dyDescent="0.3">
      <c r="G140" s="93">
        <v>43593</v>
      </c>
      <c r="H140" t="s">
        <v>110</v>
      </c>
      <c r="I140" t="s">
        <v>97</v>
      </c>
      <c r="J140" t="s">
        <v>190</v>
      </c>
      <c r="K140" s="95">
        <v>0</v>
      </c>
      <c r="L140" s="94">
        <v>129.9</v>
      </c>
      <c r="O140" t="str">
        <f t="shared" si="3"/>
        <v/>
      </c>
    </row>
    <row r="141" spans="7:15" x14ac:dyDescent="0.3">
      <c r="G141" s="93">
        <v>43593</v>
      </c>
      <c r="H141" t="s">
        <v>26</v>
      </c>
      <c r="I141" t="s">
        <v>64</v>
      </c>
      <c r="J141" t="s">
        <v>131</v>
      </c>
      <c r="K141" s="95">
        <v>4.8</v>
      </c>
      <c r="L141" s="94">
        <v>0</v>
      </c>
      <c r="O141" t="str">
        <f t="shared" si="3"/>
        <v/>
      </c>
    </row>
    <row r="142" spans="7:15" x14ac:dyDescent="0.3">
      <c r="G142" s="93">
        <v>43593</v>
      </c>
      <c r="H142" t="s">
        <v>26</v>
      </c>
      <c r="I142" t="s">
        <v>64</v>
      </c>
      <c r="J142" t="s">
        <v>155</v>
      </c>
      <c r="K142" s="95">
        <v>16.350000000000001</v>
      </c>
      <c r="L142" s="94">
        <v>0</v>
      </c>
      <c r="O142" t="str">
        <f t="shared" si="3"/>
        <v/>
      </c>
    </row>
    <row r="143" spans="7:15" x14ac:dyDescent="0.3">
      <c r="G143" s="93">
        <v>43593</v>
      </c>
      <c r="H143" t="s">
        <v>26</v>
      </c>
      <c r="I143" t="s">
        <v>64</v>
      </c>
      <c r="J143" t="s">
        <v>171</v>
      </c>
      <c r="K143" s="95">
        <v>3.6</v>
      </c>
      <c r="L143" s="94">
        <v>0</v>
      </c>
      <c r="O143" t="str">
        <f t="shared" si="3"/>
        <v/>
      </c>
    </row>
    <row r="144" spans="7:15" x14ac:dyDescent="0.3">
      <c r="G144" s="93">
        <v>43593</v>
      </c>
      <c r="H144" t="s">
        <v>26</v>
      </c>
      <c r="I144" t="s">
        <v>107</v>
      </c>
      <c r="J144" t="s">
        <v>190</v>
      </c>
      <c r="K144" s="95">
        <v>12</v>
      </c>
      <c r="L144" s="94">
        <v>0</v>
      </c>
      <c r="O144" t="str">
        <f t="shared" si="3"/>
        <v/>
      </c>
    </row>
    <row r="145" spans="7:15" x14ac:dyDescent="0.3">
      <c r="G145" s="93">
        <v>43594</v>
      </c>
      <c r="H145" t="s">
        <v>121</v>
      </c>
      <c r="I145" t="s">
        <v>61</v>
      </c>
      <c r="J145" t="s">
        <v>191</v>
      </c>
      <c r="K145" s="95">
        <v>14.5</v>
      </c>
      <c r="L145" s="94">
        <v>0</v>
      </c>
      <c r="O145" t="str">
        <f t="shared" si="3"/>
        <v/>
      </c>
    </row>
    <row r="146" spans="7:15" x14ac:dyDescent="0.3">
      <c r="G146" s="93">
        <v>43594</v>
      </c>
      <c r="H146" t="s">
        <v>25</v>
      </c>
      <c r="I146" t="s">
        <v>61</v>
      </c>
      <c r="J146" t="s">
        <v>191</v>
      </c>
      <c r="K146" s="95">
        <v>8</v>
      </c>
      <c r="L146" s="94">
        <v>0</v>
      </c>
      <c r="O146" t="str">
        <f t="shared" si="3"/>
        <v/>
      </c>
    </row>
    <row r="147" spans="7:15" x14ac:dyDescent="0.3">
      <c r="G147" s="93">
        <v>43594</v>
      </c>
      <c r="H147" t="s">
        <v>123</v>
      </c>
      <c r="I147" t="s">
        <v>108</v>
      </c>
      <c r="J147" t="s">
        <v>191</v>
      </c>
      <c r="K147" s="95">
        <v>28.95</v>
      </c>
      <c r="L147" s="94">
        <v>0</v>
      </c>
      <c r="O147" t="str">
        <f t="shared" si="3"/>
        <v/>
      </c>
    </row>
    <row r="148" spans="7:15" x14ac:dyDescent="0.3">
      <c r="G148" s="93">
        <v>43594</v>
      </c>
      <c r="H148" t="s">
        <v>119</v>
      </c>
      <c r="I148" t="s">
        <v>107</v>
      </c>
      <c r="J148" t="s">
        <v>191</v>
      </c>
      <c r="K148" s="95">
        <v>8</v>
      </c>
      <c r="L148" s="94">
        <v>0</v>
      </c>
      <c r="O148" t="str">
        <f t="shared" si="3"/>
        <v/>
      </c>
    </row>
    <row r="149" spans="7:15" x14ac:dyDescent="0.3">
      <c r="G149" s="93">
        <v>43594</v>
      </c>
      <c r="H149" t="s">
        <v>118</v>
      </c>
      <c r="I149" t="s">
        <v>97</v>
      </c>
      <c r="J149" t="s">
        <v>191</v>
      </c>
      <c r="K149" s="95">
        <v>29.5</v>
      </c>
      <c r="L149" s="94">
        <v>0</v>
      </c>
      <c r="O149" t="str">
        <f t="shared" si="3"/>
        <v/>
      </c>
    </row>
    <row r="150" spans="7:15" x14ac:dyDescent="0.3">
      <c r="G150" s="93">
        <v>43594</v>
      </c>
      <c r="H150" t="s">
        <v>24</v>
      </c>
      <c r="I150" t="s">
        <v>61</v>
      </c>
      <c r="J150" t="s">
        <v>191</v>
      </c>
      <c r="K150" s="95">
        <v>56</v>
      </c>
      <c r="L150" s="94">
        <v>0</v>
      </c>
      <c r="O150" t="str">
        <f t="shared" si="3"/>
        <v/>
      </c>
    </row>
    <row r="151" spans="7:15" x14ac:dyDescent="0.3">
      <c r="G151" s="93">
        <v>43594</v>
      </c>
      <c r="H151" t="s">
        <v>24</v>
      </c>
      <c r="I151" t="s">
        <v>61</v>
      </c>
      <c r="J151" t="s">
        <v>191</v>
      </c>
      <c r="K151" s="95">
        <v>16</v>
      </c>
      <c r="L151" s="94">
        <v>0</v>
      </c>
      <c r="O151" t="str">
        <f t="shared" si="3"/>
        <v/>
      </c>
    </row>
    <row r="152" spans="7:15" x14ac:dyDescent="0.3">
      <c r="G152" s="93">
        <v>43594</v>
      </c>
      <c r="H152" t="s">
        <v>24</v>
      </c>
      <c r="I152" t="s">
        <v>61</v>
      </c>
      <c r="J152" t="s">
        <v>191</v>
      </c>
      <c r="K152" s="95">
        <v>8</v>
      </c>
      <c r="L152" s="94">
        <v>0</v>
      </c>
      <c r="O152" t="str">
        <f t="shared" si="3"/>
        <v/>
      </c>
    </row>
    <row r="153" spans="7:15" x14ac:dyDescent="0.3">
      <c r="G153" s="93">
        <v>43594</v>
      </c>
      <c r="H153" t="s">
        <v>110</v>
      </c>
      <c r="I153" t="s">
        <v>156</v>
      </c>
      <c r="J153" t="s">
        <v>191</v>
      </c>
      <c r="K153" s="95">
        <v>90.05</v>
      </c>
      <c r="L153" s="94">
        <v>0</v>
      </c>
      <c r="O153" t="str">
        <f t="shared" si="3"/>
        <v/>
      </c>
    </row>
    <row r="154" spans="7:15" x14ac:dyDescent="0.3">
      <c r="G154" s="93">
        <v>43594</v>
      </c>
      <c r="H154" t="s">
        <v>26</v>
      </c>
      <c r="I154" t="s">
        <v>61</v>
      </c>
      <c r="J154" t="s">
        <v>191</v>
      </c>
      <c r="K154" s="95">
        <v>24</v>
      </c>
      <c r="L154" s="94">
        <v>0</v>
      </c>
      <c r="O154" t="str">
        <f t="shared" si="3"/>
        <v/>
      </c>
    </row>
    <row r="155" spans="7:15" x14ac:dyDescent="0.3">
      <c r="G155" s="93">
        <v>43594</v>
      </c>
      <c r="H155" t="s">
        <v>26</v>
      </c>
      <c r="I155" t="s">
        <v>105</v>
      </c>
      <c r="J155" t="s">
        <v>191</v>
      </c>
      <c r="K155" s="95">
        <v>43.38</v>
      </c>
      <c r="L155" s="94">
        <v>0</v>
      </c>
      <c r="O155" t="str">
        <f t="shared" si="3"/>
        <v/>
      </c>
    </row>
    <row r="156" spans="7:15" x14ac:dyDescent="0.3">
      <c r="G156" s="93">
        <v>43594</v>
      </c>
      <c r="H156" t="s">
        <v>26</v>
      </c>
      <c r="I156" t="s">
        <v>105</v>
      </c>
      <c r="J156" t="s">
        <v>191</v>
      </c>
      <c r="K156" s="95">
        <v>39.44</v>
      </c>
      <c r="L156" s="94">
        <v>0</v>
      </c>
      <c r="O156" t="str">
        <f t="shared" si="3"/>
        <v/>
      </c>
    </row>
    <row r="157" spans="7:15" x14ac:dyDescent="0.3">
      <c r="G157" s="93">
        <v>43594</v>
      </c>
      <c r="H157" t="s">
        <v>26</v>
      </c>
      <c r="I157" t="s">
        <v>105</v>
      </c>
      <c r="J157" t="s">
        <v>191</v>
      </c>
      <c r="K157" s="95">
        <v>32.82</v>
      </c>
      <c r="L157" s="94">
        <v>0</v>
      </c>
      <c r="O157" t="str">
        <f t="shared" si="3"/>
        <v/>
      </c>
    </row>
    <row r="158" spans="7:15" x14ac:dyDescent="0.3">
      <c r="G158" s="93">
        <v>43594</v>
      </c>
      <c r="H158" t="s">
        <v>26</v>
      </c>
      <c r="I158" t="s">
        <v>105</v>
      </c>
      <c r="J158" t="s">
        <v>191</v>
      </c>
      <c r="K158" s="95">
        <v>32.799999999999997</v>
      </c>
      <c r="L158" s="94">
        <v>0</v>
      </c>
      <c r="O158" t="str">
        <f t="shared" si="3"/>
        <v/>
      </c>
    </row>
    <row r="159" spans="7:15" x14ac:dyDescent="0.3">
      <c r="G159" s="93">
        <v>43594</v>
      </c>
      <c r="H159" t="s">
        <v>26</v>
      </c>
      <c r="I159" t="s">
        <v>105</v>
      </c>
      <c r="J159" t="s">
        <v>191</v>
      </c>
      <c r="K159" s="95">
        <v>20.67</v>
      </c>
      <c r="L159" s="94">
        <v>0</v>
      </c>
      <c r="O159" t="str">
        <f t="shared" si="3"/>
        <v/>
      </c>
    </row>
    <row r="160" spans="7:15" x14ac:dyDescent="0.3">
      <c r="G160" s="93">
        <v>43594</v>
      </c>
      <c r="H160" t="s">
        <v>26</v>
      </c>
      <c r="I160" t="s">
        <v>64</v>
      </c>
      <c r="J160" t="s">
        <v>177</v>
      </c>
      <c r="K160" s="95">
        <v>1.8</v>
      </c>
      <c r="L160" s="94">
        <v>0</v>
      </c>
      <c r="O160" t="str">
        <f t="shared" si="3"/>
        <v/>
      </c>
    </row>
    <row r="161" spans="7:15" x14ac:dyDescent="0.3">
      <c r="G161" s="93">
        <v>43594</v>
      </c>
      <c r="H161" t="s">
        <v>26</v>
      </c>
      <c r="I161" t="s">
        <v>64</v>
      </c>
      <c r="J161" t="s">
        <v>165</v>
      </c>
      <c r="K161" s="95">
        <v>5.55</v>
      </c>
      <c r="L161" s="94">
        <v>0</v>
      </c>
      <c r="O161" t="str">
        <f t="shared" si="3"/>
        <v/>
      </c>
    </row>
    <row r="162" spans="7:15" x14ac:dyDescent="0.3">
      <c r="G162" s="93">
        <v>43594</v>
      </c>
      <c r="H162" t="s">
        <v>26</v>
      </c>
      <c r="I162" t="s">
        <v>107</v>
      </c>
      <c r="J162" t="s">
        <v>191</v>
      </c>
      <c r="K162" s="95">
        <v>60</v>
      </c>
      <c r="L162" s="94">
        <v>0</v>
      </c>
      <c r="O162" t="str">
        <f t="shared" si="3"/>
        <v/>
      </c>
    </row>
    <row r="163" spans="7:15" x14ac:dyDescent="0.3">
      <c r="G163" s="93">
        <v>43594</v>
      </c>
      <c r="H163" t="s">
        <v>26</v>
      </c>
      <c r="I163" t="s">
        <v>107</v>
      </c>
      <c r="J163" t="s">
        <v>191</v>
      </c>
      <c r="K163" s="95">
        <v>5.4</v>
      </c>
      <c r="L163" s="94">
        <v>0</v>
      </c>
      <c r="O163" t="str">
        <f t="shared" si="3"/>
        <v/>
      </c>
    </row>
    <row r="164" spans="7:15" x14ac:dyDescent="0.3">
      <c r="G164" s="93">
        <v>43595</v>
      </c>
      <c r="H164" t="s">
        <v>127</v>
      </c>
      <c r="I164" t="s">
        <v>107</v>
      </c>
      <c r="J164" t="s">
        <v>192</v>
      </c>
      <c r="K164" s="95">
        <v>10.25</v>
      </c>
      <c r="L164" s="94">
        <v>0</v>
      </c>
      <c r="O164" t="str">
        <f t="shared" si="3"/>
        <v/>
      </c>
    </row>
    <row r="165" spans="7:15" x14ac:dyDescent="0.3">
      <c r="G165" s="93">
        <v>43595</v>
      </c>
      <c r="H165" t="s">
        <v>121</v>
      </c>
      <c r="I165" t="s">
        <v>97</v>
      </c>
      <c r="J165" t="s">
        <v>192</v>
      </c>
      <c r="K165" s="95">
        <v>728.97</v>
      </c>
      <c r="L165" s="94">
        <v>0</v>
      </c>
      <c r="O165" t="str">
        <f t="shared" si="3"/>
        <v/>
      </c>
    </row>
    <row r="166" spans="7:15" x14ac:dyDescent="0.3">
      <c r="G166" s="93">
        <v>43595</v>
      </c>
      <c r="H166" t="s">
        <v>121</v>
      </c>
      <c r="I166" t="s">
        <v>105</v>
      </c>
      <c r="J166" t="s">
        <v>192</v>
      </c>
      <c r="K166" s="95">
        <v>5.08</v>
      </c>
      <c r="L166" s="94">
        <v>0</v>
      </c>
      <c r="O166" t="str">
        <f t="shared" si="3"/>
        <v/>
      </c>
    </row>
    <row r="167" spans="7:15" x14ac:dyDescent="0.3">
      <c r="G167" s="93">
        <v>43595</v>
      </c>
      <c r="H167" t="s">
        <v>25</v>
      </c>
      <c r="I167" t="s">
        <v>61</v>
      </c>
      <c r="J167" t="s">
        <v>192</v>
      </c>
      <c r="K167" s="95">
        <v>8</v>
      </c>
      <c r="L167" s="94">
        <v>0</v>
      </c>
      <c r="O167" t="str">
        <f t="shared" si="3"/>
        <v/>
      </c>
    </row>
    <row r="168" spans="7:15" x14ac:dyDescent="0.3">
      <c r="G168" s="93">
        <v>43595</v>
      </c>
      <c r="H168" t="s">
        <v>25</v>
      </c>
      <c r="I168" t="s">
        <v>193</v>
      </c>
      <c r="J168" t="s">
        <v>194</v>
      </c>
      <c r="K168" s="95">
        <v>334.93</v>
      </c>
      <c r="L168" s="94">
        <v>0</v>
      </c>
      <c r="O168" t="str">
        <f t="shared" si="3"/>
        <v/>
      </c>
    </row>
    <row r="169" spans="7:15" x14ac:dyDescent="0.3">
      <c r="G169" s="93">
        <v>43595</v>
      </c>
      <c r="H169" t="s">
        <v>25</v>
      </c>
      <c r="I169" t="s">
        <v>193</v>
      </c>
      <c r="J169" t="s">
        <v>194</v>
      </c>
      <c r="K169" s="95">
        <v>324.77</v>
      </c>
      <c r="L169" s="94">
        <v>0</v>
      </c>
      <c r="O169" t="str">
        <f t="shared" si="3"/>
        <v/>
      </c>
    </row>
    <row r="170" spans="7:15" x14ac:dyDescent="0.3">
      <c r="G170" s="93">
        <v>43595</v>
      </c>
      <c r="H170" t="s">
        <v>25</v>
      </c>
      <c r="I170" t="s">
        <v>193</v>
      </c>
      <c r="J170" t="s">
        <v>194</v>
      </c>
      <c r="K170" s="95">
        <v>143.35</v>
      </c>
      <c r="L170" s="94">
        <v>0</v>
      </c>
      <c r="O170" t="str">
        <f t="shared" si="3"/>
        <v/>
      </c>
    </row>
    <row r="171" spans="7:15" x14ac:dyDescent="0.3">
      <c r="G171" s="93">
        <v>43595</v>
      </c>
      <c r="H171" t="s">
        <v>25</v>
      </c>
      <c r="I171" t="s">
        <v>193</v>
      </c>
      <c r="J171" t="s">
        <v>194</v>
      </c>
      <c r="K171" s="95">
        <v>108.19</v>
      </c>
      <c r="L171" s="94">
        <v>0</v>
      </c>
      <c r="O171" t="str">
        <f t="shared" si="3"/>
        <v/>
      </c>
    </row>
    <row r="172" spans="7:15" x14ac:dyDescent="0.3">
      <c r="G172" s="93">
        <v>43595</v>
      </c>
      <c r="H172" t="s">
        <v>25</v>
      </c>
      <c r="I172" t="s">
        <v>193</v>
      </c>
      <c r="J172" t="s">
        <v>194</v>
      </c>
      <c r="K172" s="95">
        <v>107.54</v>
      </c>
      <c r="L172" s="94">
        <v>0</v>
      </c>
      <c r="O172" t="str">
        <f t="shared" si="3"/>
        <v/>
      </c>
    </row>
    <row r="173" spans="7:15" x14ac:dyDescent="0.3">
      <c r="G173" s="93">
        <v>43595</v>
      </c>
      <c r="H173" t="s">
        <v>25</v>
      </c>
      <c r="I173" t="s">
        <v>193</v>
      </c>
      <c r="J173" t="s">
        <v>194</v>
      </c>
      <c r="K173" s="95">
        <v>60.14</v>
      </c>
      <c r="L173" s="94">
        <v>0</v>
      </c>
      <c r="O173" t="str">
        <f t="shared" si="3"/>
        <v/>
      </c>
    </row>
    <row r="174" spans="7:15" x14ac:dyDescent="0.3">
      <c r="G174" s="93">
        <v>43595</v>
      </c>
      <c r="H174" t="s">
        <v>25</v>
      </c>
      <c r="I174" t="s">
        <v>193</v>
      </c>
      <c r="J174" t="s">
        <v>194</v>
      </c>
      <c r="K174" s="95">
        <v>42.8</v>
      </c>
      <c r="L174" s="94">
        <v>0</v>
      </c>
      <c r="O174" t="str">
        <f t="shared" si="3"/>
        <v/>
      </c>
    </row>
    <row r="175" spans="7:15" x14ac:dyDescent="0.3">
      <c r="G175" s="93">
        <v>43595</v>
      </c>
      <c r="H175" t="s">
        <v>25</v>
      </c>
      <c r="I175" t="s">
        <v>193</v>
      </c>
      <c r="J175" t="s">
        <v>194</v>
      </c>
      <c r="K175" s="95">
        <v>40.04</v>
      </c>
      <c r="L175" s="94">
        <v>0</v>
      </c>
      <c r="O175" t="str">
        <f t="shared" si="3"/>
        <v/>
      </c>
    </row>
    <row r="176" spans="7:15" x14ac:dyDescent="0.3">
      <c r="G176" s="93">
        <v>43595</v>
      </c>
      <c r="H176" t="s">
        <v>25</v>
      </c>
      <c r="I176" t="s">
        <v>193</v>
      </c>
      <c r="J176" t="s">
        <v>194</v>
      </c>
      <c r="K176" s="95">
        <v>37.83</v>
      </c>
      <c r="L176" s="94">
        <v>0</v>
      </c>
      <c r="O176" t="str">
        <f t="shared" si="3"/>
        <v/>
      </c>
    </row>
    <row r="177" spans="7:15" x14ac:dyDescent="0.3">
      <c r="G177" s="93">
        <v>43595</v>
      </c>
      <c r="H177" t="s">
        <v>25</v>
      </c>
      <c r="I177" t="s">
        <v>193</v>
      </c>
      <c r="J177" t="s">
        <v>194</v>
      </c>
      <c r="K177" s="95">
        <v>32.380000000000003</v>
      </c>
      <c r="L177" s="94">
        <v>0</v>
      </c>
      <c r="O177" t="str">
        <f t="shared" si="3"/>
        <v/>
      </c>
    </row>
    <row r="178" spans="7:15" x14ac:dyDescent="0.3">
      <c r="G178" s="93">
        <v>43595</v>
      </c>
      <c r="H178" t="s">
        <v>25</v>
      </c>
      <c r="I178" t="s">
        <v>193</v>
      </c>
      <c r="J178" t="s">
        <v>194</v>
      </c>
      <c r="K178" s="95">
        <v>32.01</v>
      </c>
      <c r="L178" s="94">
        <v>0</v>
      </c>
      <c r="O178" t="str">
        <f t="shared" si="3"/>
        <v/>
      </c>
    </row>
    <row r="179" spans="7:15" x14ac:dyDescent="0.3">
      <c r="G179" s="93">
        <v>43595</v>
      </c>
      <c r="H179" t="s">
        <v>25</v>
      </c>
      <c r="I179" t="s">
        <v>193</v>
      </c>
      <c r="J179" t="s">
        <v>194</v>
      </c>
      <c r="K179" s="95">
        <v>27.47</v>
      </c>
      <c r="L179" s="94">
        <v>0</v>
      </c>
      <c r="O179" t="str">
        <f t="shared" si="3"/>
        <v/>
      </c>
    </row>
    <row r="180" spans="7:15" x14ac:dyDescent="0.3">
      <c r="G180" s="93">
        <v>43595</v>
      </c>
      <c r="H180" t="s">
        <v>25</v>
      </c>
      <c r="I180" t="s">
        <v>193</v>
      </c>
      <c r="J180" t="s">
        <v>194</v>
      </c>
      <c r="K180" s="95">
        <v>27.06</v>
      </c>
      <c r="L180" s="94">
        <v>0</v>
      </c>
      <c r="O180" t="str">
        <f t="shared" si="3"/>
        <v/>
      </c>
    </row>
    <row r="181" spans="7:15" x14ac:dyDescent="0.3">
      <c r="G181" s="93">
        <v>43595</v>
      </c>
      <c r="H181" t="s">
        <v>25</v>
      </c>
      <c r="I181" t="s">
        <v>193</v>
      </c>
      <c r="J181" t="s">
        <v>194</v>
      </c>
      <c r="K181" s="95">
        <v>25.48</v>
      </c>
      <c r="L181" s="94">
        <v>0</v>
      </c>
      <c r="O181" t="str">
        <f t="shared" si="3"/>
        <v/>
      </c>
    </row>
    <row r="182" spans="7:15" x14ac:dyDescent="0.3">
      <c r="G182" s="93">
        <v>43595</v>
      </c>
      <c r="H182" t="s">
        <v>25</v>
      </c>
      <c r="I182" t="s">
        <v>193</v>
      </c>
      <c r="J182" t="s">
        <v>194</v>
      </c>
      <c r="K182" s="95">
        <v>14.18</v>
      </c>
      <c r="L182" s="94">
        <v>0</v>
      </c>
      <c r="O182" t="str">
        <f t="shared" si="3"/>
        <v/>
      </c>
    </row>
    <row r="183" spans="7:15" x14ac:dyDescent="0.3">
      <c r="G183" s="93">
        <v>43595</v>
      </c>
      <c r="H183" t="s">
        <v>25</v>
      </c>
      <c r="I183" t="s">
        <v>193</v>
      </c>
      <c r="J183" t="s">
        <v>194</v>
      </c>
      <c r="K183" s="95">
        <v>12.62</v>
      </c>
      <c r="L183" s="94">
        <v>0</v>
      </c>
      <c r="O183" t="str">
        <f t="shared" si="3"/>
        <v/>
      </c>
    </row>
    <row r="184" spans="7:15" x14ac:dyDescent="0.3">
      <c r="G184" s="93">
        <v>43595</v>
      </c>
      <c r="H184" t="s">
        <v>25</v>
      </c>
      <c r="I184" t="s">
        <v>193</v>
      </c>
      <c r="J184" t="s">
        <v>194</v>
      </c>
      <c r="K184" s="95">
        <v>9.67</v>
      </c>
      <c r="L184" s="94">
        <v>0</v>
      </c>
      <c r="O184" t="str">
        <f t="shared" si="3"/>
        <v/>
      </c>
    </row>
    <row r="185" spans="7:15" x14ac:dyDescent="0.3">
      <c r="G185" s="93">
        <v>43595</v>
      </c>
      <c r="H185" t="s">
        <v>114</v>
      </c>
      <c r="I185" t="s">
        <v>193</v>
      </c>
      <c r="J185" t="s">
        <v>194</v>
      </c>
      <c r="K185" s="95">
        <v>38.590000000000003</v>
      </c>
      <c r="L185" s="94">
        <v>0</v>
      </c>
      <c r="O185" t="str">
        <f t="shared" si="3"/>
        <v/>
      </c>
    </row>
    <row r="186" spans="7:15" x14ac:dyDescent="0.3">
      <c r="G186" s="93">
        <v>43595</v>
      </c>
      <c r="H186" t="s">
        <v>123</v>
      </c>
      <c r="I186" t="s">
        <v>193</v>
      </c>
      <c r="J186" t="s">
        <v>194</v>
      </c>
      <c r="K186" s="95">
        <v>542.38</v>
      </c>
      <c r="L186" s="94">
        <v>0</v>
      </c>
      <c r="O186" t="str">
        <f t="shared" si="3"/>
        <v/>
      </c>
    </row>
    <row r="187" spans="7:15" x14ac:dyDescent="0.3">
      <c r="G187" s="93">
        <v>43595</v>
      </c>
      <c r="H187" t="s">
        <v>113</v>
      </c>
      <c r="I187" t="s">
        <v>106</v>
      </c>
      <c r="J187" t="s">
        <v>192</v>
      </c>
      <c r="K187" s="95">
        <v>81.73</v>
      </c>
      <c r="L187" s="94">
        <v>0</v>
      </c>
      <c r="O187" t="str">
        <f t="shared" si="3"/>
        <v/>
      </c>
    </row>
    <row r="188" spans="7:15" x14ac:dyDescent="0.3">
      <c r="G188" s="93">
        <v>43595</v>
      </c>
      <c r="H188" t="s">
        <v>113</v>
      </c>
      <c r="I188" t="s">
        <v>193</v>
      </c>
      <c r="J188" t="s">
        <v>194</v>
      </c>
      <c r="K188" s="95">
        <v>2309.17</v>
      </c>
      <c r="L188" s="94">
        <v>0</v>
      </c>
      <c r="O188" t="str">
        <f t="shared" si="3"/>
        <v/>
      </c>
    </row>
    <row r="189" spans="7:15" x14ac:dyDescent="0.3">
      <c r="G189" s="93">
        <v>43595</v>
      </c>
      <c r="H189" t="s">
        <v>113</v>
      </c>
      <c r="I189" t="s">
        <v>107</v>
      </c>
      <c r="J189" t="s">
        <v>192</v>
      </c>
      <c r="K189" s="95">
        <v>23.86</v>
      </c>
      <c r="L189" s="94">
        <v>0</v>
      </c>
      <c r="O189" t="str">
        <f t="shared" si="3"/>
        <v/>
      </c>
    </row>
    <row r="190" spans="7:15" x14ac:dyDescent="0.3">
      <c r="G190" s="93">
        <v>43595</v>
      </c>
      <c r="H190" t="s">
        <v>119</v>
      </c>
      <c r="I190" t="s">
        <v>106</v>
      </c>
      <c r="J190" t="s">
        <v>192</v>
      </c>
      <c r="K190" s="95">
        <v>66</v>
      </c>
      <c r="L190" s="94">
        <v>0</v>
      </c>
      <c r="O190" t="str">
        <f t="shared" si="3"/>
        <v/>
      </c>
    </row>
    <row r="191" spans="7:15" x14ac:dyDescent="0.3">
      <c r="G191" s="93">
        <v>43595</v>
      </c>
      <c r="H191" t="s">
        <v>119</v>
      </c>
      <c r="I191" t="s">
        <v>193</v>
      </c>
      <c r="J191" t="s">
        <v>194</v>
      </c>
      <c r="K191" s="95">
        <v>1368.34</v>
      </c>
      <c r="L191" s="94">
        <v>0</v>
      </c>
      <c r="O191" t="str">
        <f t="shared" si="3"/>
        <v/>
      </c>
    </row>
    <row r="192" spans="7:15" x14ac:dyDescent="0.3">
      <c r="G192" s="93">
        <v>43595</v>
      </c>
      <c r="H192" t="s">
        <v>122</v>
      </c>
      <c r="I192" t="s">
        <v>193</v>
      </c>
      <c r="J192" t="s">
        <v>194</v>
      </c>
      <c r="K192" s="95">
        <v>22.38</v>
      </c>
      <c r="L192" s="94">
        <v>0</v>
      </c>
      <c r="O192" t="str">
        <f t="shared" si="3"/>
        <v/>
      </c>
    </row>
    <row r="193" spans="7:15" x14ac:dyDescent="0.3">
      <c r="G193" s="93">
        <v>43595</v>
      </c>
      <c r="H193" t="s">
        <v>118</v>
      </c>
      <c r="I193" t="s">
        <v>193</v>
      </c>
      <c r="J193" t="s">
        <v>194</v>
      </c>
      <c r="K193" s="95">
        <v>2484.4899999999998</v>
      </c>
      <c r="L193" s="94">
        <v>0</v>
      </c>
      <c r="O193" t="str">
        <f t="shared" si="3"/>
        <v/>
      </c>
    </row>
    <row r="194" spans="7:15" x14ac:dyDescent="0.3">
      <c r="G194" s="93">
        <v>43595</v>
      </c>
      <c r="H194" t="s">
        <v>24</v>
      </c>
      <c r="I194" t="s">
        <v>61</v>
      </c>
      <c r="J194" t="s">
        <v>192</v>
      </c>
      <c r="K194" s="95">
        <v>16</v>
      </c>
      <c r="L194" s="94">
        <v>0</v>
      </c>
      <c r="O194" t="str">
        <f t="shared" si="3"/>
        <v/>
      </c>
    </row>
    <row r="195" spans="7:15" x14ac:dyDescent="0.3">
      <c r="G195" s="93">
        <v>43595</v>
      </c>
      <c r="H195" t="s">
        <v>24</v>
      </c>
      <c r="I195" t="s">
        <v>193</v>
      </c>
      <c r="J195" t="s">
        <v>194</v>
      </c>
      <c r="K195" s="95">
        <v>1143.8499999999999</v>
      </c>
      <c r="L195" s="94">
        <v>0</v>
      </c>
      <c r="O195" t="str">
        <f t="shared" si="3"/>
        <v/>
      </c>
    </row>
    <row r="196" spans="7:15" x14ac:dyDescent="0.3">
      <c r="G196" s="93">
        <v>43595</v>
      </c>
      <c r="H196" t="s">
        <v>24</v>
      </c>
      <c r="I196" t="s">
        <v>193</v>
      </c>
      <c r="J196" t="s">
        <v>194</v>
      </c>
      <c r="K196" s="95">
        <v>681.89</v>
      </c>
      <c r="L196" s="94">
        <v>0</v>
      </c>
      <c r="O196" t="str">
        <f t="shared" si="3"/>
        <v/>
      </c>
    </row>
    <row r="197" spans="7:15" x14ac:dyDescent="0.3">
      <c r="G197" s="93">
        <v>43595</v>
      </c>
      <c r="H197" t="s">
        <v>24</v>
      </c>
      <c r="I197" t="s">
        <v>193</v>
      </c>
      <c r="J197" t="s">
        <v>194</v>
      </c>
      <c r="K197" s="95">
        <v>671.12</v>
      </c>
      <c r="L197" s="94">
        <v>0</v>
      </c>
      <c r="O197" t="str">
        <f t="shared" si="3"/>
        <v/>
      </c>
    </row>
    <row r="198" spans="7:15" x14ac:dyDescent="0.3">
      <c r="G198" s="93">
        <v>43595</v>
      </c>
      <c r="H198" t="s">
        <v>24</v>
      </c>
      <c r="I198" t="s">
        <v>193</v>
      </c>
      <c r="J198" t="s">
        <v>194</v>
      </c>
      <c r="K198" s="95">
        <v>597.71</v>
      </c>
      <c r="L198" s="94">
        <v>0</v>
      </c>
      <c r="O198" t="str">
        <f t="shared" si="3"/>
        <v/>
      </c>
    </row>
    <row r="199" spans="7:15" x14ac:dyDescent="0.3">
      <c r="G199" s="93">
        <v>43595</v>
      </c>
      <c r="H199" t="s">
        <v>24</v>
      </c>
      <c r="I199" t="s">
        <v>193</v>
      </c>
      <c r="J199" t="s">
        <v>194</v>
      </c>
      <c r="K199" s="95">
        <v>597.52</v>
      </c>
      <c r="L199" s="94">
        <v>0</v>
      </c>
      <c r="O199" t="str">
        <f t="shared" si="3"/>
        <v/>
      </c>
    </row>
    <row r="200" spans="7:15" x14ac:dyDescent="0.3">
      <c r="G200" s="93">
        <v>43595</v>
      </c>
      <c r="H200" t="s">
        <v>24</v>
      </c>
      <c r="I200" t="s">
        <v>193</v>
      </c>
      <c r="J200" t="s">
        <v>194</v>
      </c>
      <c r="K200" s="95">
        <v>571.58000000000004</v>
      </c>
      <c r="L200" s="94">
        <v>0</v>
      </c>
      <c r="O200" t="str">
        <f t="shared" si="3"/>
        <v/>
      </c>
    </row>
    <row r="201" spans="7:15" x14ac:dyDescent="0.3">
      <c r="G201" s="93">
        <v>43595</v>
      </c>
      <c r="H201" t="s">
        <v>24</v>
      </c>
      <c r="I201" t="s">
        <v>193</v>
      </c>
      <c r="J201" t="s">
        <v>194</v>
      </c>
      <c r="K201" s="95">
        <v>448.2</v>
      </c>
      <c r="L201" s="94">
        <v>0</v>
      </c>
      <c r="O201" t="str">
        <f t="shared" si="3"/>
        <v/>
      </c>
    </row>
    <row r="202" spans="7:15" x14ac:dyDescent="0.3">
      <c r="G202" s="93">
        <v>43595</v>
      </c>
      <c r="H202" t="s">
        <v>24</v>
      </c>
      <c r="I202" t="s">
        <v>193</v>
      </c>
      <c r="J202" t="s">
        <v>194</v>
      </c>
      <c r="K202" s="95">
        <v>440.66</v>
      </c>
      <c r="L202" s="94">
        <v>0</v>
      </c>
      <c r="O202" t="str">
        <f t="shared" ref="O202:O265" si="4">IF(P202="","",O201+1)</f>
        <v/>
      </c>
    </row>
    <row r="203" spans="7:15" x14ac:dyDescent="0.3">
      <c r="G203" s="93">
        <v>43595</v>
      </c>
      <c r="H203" t="s">
        <v>24</v>
      </c>
      <c r="I203" t="s">
        <v>193</v>
      </c>
      <c r="J203" t="s">
        <v>194</v>
      </c>
      <c r="K203" s="95">
        <v>368.43</v>
      </c>
      <c r="L203" s="94">
        <v>0</v>
      </c>
      <c r="O203" t="str">
        <f t="shared" si="4"/>
        <v/>
      </c>
    </row>
    <row r="204" spans="7:15" x14ac:dyDescent="0.3">
      <c r="G204" s="93">
        <v>43595</v>
      </c>
      <c r="H204" t="s">
        <v>24</v>
      </c>
      <c r="I204" t="s">
        <v>193</v>
      </c>
      <c r="J204" t="s">
        <v>194</v>
      </c>
      <c r="K204" s="95">
        <v>365.42</v>
      </c>
      <c r="L204" s="94">
        <v>0</v>
      </c>
      <c r="O204" t="str">
        <f t="shared" si="4"/>
        <v/>
      </c>
    </row>
    <row r="205" spans="7:15" x14ac:dyDescent="0.3">
      <c r="G205" s="93">
        <v>43595</v>
      </c>
      <c r="H205" t="s">
        <v>24</v>
      </c>
      <c r="I205" t="s">
        <v>193</v>
      </c>
      <c r="J205" t="s">
        <v>194</v>
      </c>
      <c r="K205" s="95">
        <v>365.3</v>
      </c>
      <c r="L205" s="94">
        <v>0</v>
      </c>
      <c r="O205" t="str">
        <f t="shared" si="4"/>
        <v/>
      </c>
    </row>
    <row r="206" spans="7:15" x14ac:dyDescent="0.3">
      <c r="G206" s="93">
        <v>43595</v>
      </c>
      <c r="H206" t="s">
        <v>24</v>
      </c>
      <c r="I206" t="s">
        <v>193</v>
      </c>
      <c r="J206" t="s">
        <v>194</v>
      </c>
      <c r="K206" s="95">
        <v>360.46</v>
      </c>
      <c r="L206" s="94">
        <v>0</v>
      </c>
      <c r="O206" t="str">
        <f t="shared" si="4"/>
        <v/>
      </c>
    </row>
    <row r="207" spans="7:15" x14ac:dyDescent="0.3">
      <c r="G207" s="93">
        <v>43595</v>
      </c>
      <c r="H207" t="s">
        <v>24</v>
      </c>
      <c r="I207" t="s">
        <v>193</v>
      </c>
      <c r="J207" t="s">
        <v>194</v>
      </c>
      <c r="K207" s="95">
        <v>355.04</v>
      </c>
      <c r="L207" s="94">
        <v>0</v>
      </c>
      <c r="O207" t="str">
        <f t="shared" si="4"/>
        <v/>
      </c>
    </row>
    <row r="208" spans="7:15" x14ac:dyDescent="0.3">
      <c r="G208" s="93">
        <v>43595</v>
      </c>
      <c r="H208" t="s">
        <v>24</v>
      </c>
      <c r="I208" t="s">
        <v>193</v>
      </c>
      <c r="J208" t="s">
        <v>194</v>
      </c>
      <c r="K208" s="95">
        <v>303.57</v>
      </c>
      <c r="L208" s="94">
        <v>0</v>
      </c>
      <c r="O208" t="str">
        <f t="shared" si="4"/>
        <v/>
      </c>
    </row>
    <row r="209" spans="7:15" x14ac:dyDescent="0.3">
      <c r="G209" s="93">
        <v>43595</v>
      </c>
      <c r="H209" t="s">
        <v>24</v>
      </c>
      <c r="I209" t="s">
        <v>193</v>
      </c>
      <c r="J209" t="s">
        <v>194</v>
      </c>
      <c r="K209" s="95">
        <v>259.92</v>
      </c>
      <c r="L209" s="94">
        <v>0</v>
      </c>
      <c r="O209" t="str">
        <f t="shared" si="4"/>
        <v/>
      </c>
    </row>
    <row r="210" spans="7:15" x14ac:dyDescent="0.3">
      <c r="G210" s="93">
        <v>43595</v>
      </c>
      <c r="H210" t="s">
        <v>24</v>
      </c>
      <c r="I210" t="s">
        <v>193</v>
      </c>
      <c r="J210" t="s">
        <v>194</v>
      </c>
      <c r="K210" s="95">
        <v>252.32</v>
      </c>
      <c r="L210" s="94">
        <v>0</v>
      </c>
      <c r="O210" t="str">
        <f t="shared" si="4"/>
        <v/>
      </c>
    </row>
    <row r="211" spans="7:15" x14ac:dyDescent="0.3">
      <c r="G211" s="93">
        <v>43595</v>
      </c>
      <c r="H211" t="s">
        <v>24</v>
      </c>
      <c r="I211" t="s">
        <v>193</v>
      </c>
      <c r="J211" t="s">
        <v>194</v>
      </c>
      <c r="K211" s="95">
        <v>215.34</v>
      </c>
      <c r="L211" s="94">
        <v>0</v>
      </c>
      <c r="O211" t="str">
        <f t="shared" si="4"/>
        <v/>
      </c>
    </row>
    <row r="212" spans="7:15" x14ac:dyDescent="0.3">
      <c r="G212" s="93">
        <v>43595</v>
      </c>
      <c r="H212" t="s">
        <v>24</v>
      </c>
      <c r="I212" t="s">
        <v>193</v>
      </c>
      <c r="J212" t="s">
        <v>194</v>
      </c>
      <c r="K212" s="95">
        <v>183.98</v>
      </c>
      <c r="L212" s="94">
        <v>0</v>
      </c>
      <c r="O212" t="str">
        <f t="shared" si="4"/>
        <v/>
      </c>
    </row>
    <row r="213" spans="7:15" x14ac:dyDescent="0.3">
      <c r="G213" s="93">
        <v>43595</v>
      </c>
      <c r="H213" t="s">
        <v>24</v>
      </c>
      <c r="I213" t="s">
        <v>193</v>
      </c>
      <c r="J213" t="s">
        <v>194</v>
      </c>
      <c r="K213" s="95">
        <v>132.81</v>
      </c>
      <c r="L213" s="94">
        <v>0</v>
      </c>
      <c r="O213" t="str">
        <f t="shared" si="4"/>
        <v/>
      </c>
    </row>
    <row r="214" spans="7:15" x14ac:dyDescent="0.3">
      <c r="G214" s="93">
        <v>43595</v>
      </c>
      <c r="H214" t="s">
        <v>24</v>
      </c>
      <c r="I214" t="s">
        <v>193</v>
      </c>
      <c r="J214" t="s">
        <v>194</v>
      </c>
      <c r="K214" s="95">
        <v>125.81</v>
      </c>
      <c r="L214" s="94">
        <v>0</v>
      </c>
      <c r="O214" t="str">
        <f t="shared" si="4"/>
        <v/>
      </c>
    </row>
    <row r="215" spans="7:15" x14ac:dyDescent="0.3">
      <c r="G215" s="93">
        <v>43595</v>
      </c>
      <c r="H215" t="s">
        <v>24</v>
      </c>
      <c r="I215" t="s">
        <v>193</v>
      </c>
      <c r="J215" t="s">
        <v>194</v>
      </c>
      <c r="K215" s="95">
        <v>88.69</v>
      </c>
      <c r="L215" s="94">
        <v>0</v>
      </c>
      <c r="O215" t="str">
        <f t="shared" si="4"/>
        <v/>
      </c>
    </row>
    <row r="216" spans="7:15" x14ac:dyDescent="0.3">
      <c r="G216" s="93">
        <v>43595</v>
      </c>
      <c r="H216" t="s">
        <v>24</v>
      </c>
      <c r="I216" t="s">
        <v>193</v>
      </c>
      <c r="J216" t="s">
        <v>194</v>
      </c>
      <c r="K216" s="95">
        <v>24.96</v>
      </c>
      <c r="L216" s="94">
        <v>0</v>
      </c>
      <c r="O216" t="str">
        <f t="shared" si="4"/>
        <v/>
      </c>
    </row>
    <row r="217" spans="7:15" x14ac:dyDescent="0.3">
      <c r="G217" s="93">
        <v>43595</v>
      </c>
      <c r="H217" t="s">
        <v>24</v>
      </c>
      <c r="I217" t="s">
        <v>193</v>
      </c>
      <c r="J217" t="s">
        <v>194</v>
      </c>
      <c r="K217" s="95">
        <v>10.050000000000001</v>
      </c>
      <c r="L217" s="94">
        <v>0</v>
      </c>
      <c r="O217" t="str">
        <f t="shared" si="4"/>
        <v/>
      </c>
    </row>
    <row r="218" spans="7:15" x14ac:dyDescent="0.3">
      <c r="G218" s="93">
        <v>43595</v>
      </c>
      <c r="H218" t="s">
        <v>24</v>
      </c>
      <c r="I218" t="s">
        <v>193</v>
      </c>
      <c r="J218" t="s">
        <v>194</v>
      </c>
      <c r="K218" s="95">
        <v>9.66</v>
      </c>
      <c r="L218" s="94">
        <v>0</v>
      </c>
      <c r="O218" t="str">
        <f t="shared" si="4"/>
        <v/>
      </c>
    </row>
    <row r="219" spans="7:15" x14ac:dyDescent="0.3">
      <c r="G219" s="93">
        <v>43595</v>
      </c>
      <c r="H219" t="s">
        <v>126</v>
      </c>
      <c r="I219" t="s">
        <v>97</v>
      </c>
      <c r="J219" t="s">
        <v>192</v>
      </c>
      <c r="K219" s="95">
        <v>91.6</v>
      </c>
      <c r="L219" s="94">
        <v>0</v>
      </c>
      <c r="O219" t="str">
        <f t="shared" si="4"/>
        <v/>
      </c>
    </row>
    <row r="220" spans="7:15" x14ac:dyDescent="0.3">
      <c r="G220" s="93">
        <v>43595</v>
      </c>
      <c r="H220" t="s">
        <v>130</v>
      </c>
      <c r="I220" t="s">
        <v>193</v>
      </c>
      <c r="J220" t="s">
        <v>194</v>
      </c>
      <c r="K220" s="95">
        <v>344.62</v>
      </c>
      <c r="L220" s="94">
        <v>0</v>
      </c>
      <c r="O220" t="str">
        <f t="shared" si="4"/>
        <v/>
      </c>
    </row>
    <row r="221" spans="7:15" x14ac:dyDescent="0.3">
      <c r="G221" s="93">
        <v>43595</v>
      </c>
      <c r="H221" t="s">
        <v>111</v>
      </c>
      <c r="I221" t="s">
        <v>193</v>
      </c>
      <c r="J221" t="s">
        <v>194</v>
      </c>
      <c r="K221" s="95">
        <v>18.37</v>
      </c>
      <c r="L221" s="94">
        <v>0</v>
      </c>
      <c r="O221" t="str">
        <f t="shared" si="4"/>
        <v/>
      </c>
    </row>
    <row r="222" spans="7:15" x14ac:dyDescent="0.3">
      <c r="G222" s="93">
        <v>43595</v>
      </c>
      <c r="H222" t="s">
        <v>111</v>
      </c>
      <c r="I222" t="s">
        <v>107</v>
      </c>
      <c r="J222" t="s">
        <v>192</v>
      </c>
      <c r="K222" s="95">
        <v>14.05</v>
      </c>
      <c r="L222" s="94">
        <v>0</v>
      </c>
      <c r="O222" t="str">
        <f t="shared" si="4"/>
        <v/>
      </c>
    </row>
    <row r="223" spans="7:15" x14ac:dyDescent="0.3">
      <c r="G223" s="93">
        <v>43595</v>
      </c>
      <c r="H223" t="s">
        <v>110</v>
      </c>
      <c r="I223" t="s">
        <v>193</v>
      </c>
      <c r="J223" t="s">
        <v>194</v>
      </c>
      <c r="K223" s="95">
        <v>1065.6300000000001</v>
      </c>
      <c r="L223" s="94">
        <v>0</v>
      </c>
      <c r="O223" t="str">
        <f t="shared" si="4"/>
        <v/>
      </c>
    </row>
    <row r="224" spans="7:15" x14ac:dyDescent="0.3">
      <c r="G224" s="93">
        <v>43595</v>
      </c>
      <c r="H224" t="s">
        <v>26</v>
      </c>
      <c r="I224" t="s">
        <v>61</v>
      </c>
      <c r="J224" t="s">
        <v>192</v>
      </c>
      <c r="K224" s="95">
        <v>32</v>
      </c>
      <c r="L224" s="94">
        <v>0</v>
      </c>
      <c r="O224" t="str">
        <f t="shared" si="4"/>
        <v/>
      </c>
    </row>
    <row r="225" spans="7:15" x14ac:dyDescent="0.3">
      <c r="G225" s="93">
        <v>43595</v>
      </c>
      <c r="H225" t="s">
        <v>26</v>
      </c>
      <c r="I225" t="s">
        <v>106</v>
      </c>
      <c r="J225" t="s">
        <v>192</v>
      </c>
      <c r="K225" s="95">
        <v>30</v>
      </c>
      <c r="L225" s="94">
        <v>0</v>
      </c>
      <c r="O225" t="str">
        <f t="shared" si="4"/>
        <v/>
      </c>
    </row>
    <row r="226" spans="7:15" x14ac:dyDescent="0.3">
      <c r="G226" s="93">
        <v>43595</v>
      </c>
      <c r="H226" t="s">
        <v>26</v>
      </c>
      <c r="I226" t="s">
        <v>106</v>
      </c>
      <c r="J226" t="s">
        <v>192</v>
      </c>
      <c r="K226" s="95">
        <v>25.06</v>
      </c>
      <c r="L226" s="94">
        <v>0</v>
      </c>
      <c r="O226" t="str">
        <f t="shared" si="4"/>
        <v/>
      </c>
    </row>
    <row r="227" spans="7:15" x14ac:dyDescent="0.3">
      <c r="G227" s="93">
        <v>43595</v>
      </c>
      <c r="H227" t="s">
        <v>26</v>
      </c>
      <c r="I227" t="s">
        <v>97</v>
      </c>
      <c r="J227" t="s">
        <v>192</v>
      </c>
      <c r="K227" s="95">
        <v>9.5</v>
      </c>
      <c r="L227" s="94">
        <v>0</v>
      </c>
      <c r="O227" t="str">
        <f t="shared" si="4"/>
        <v/>
      </c>
    </row>
    <row r="228" spans="7:15" x14ac:dyDescent="0.3">
      <c r="G228" s="93">
        <v>43595</v>
      </c>
      <c r="H228" t="s">
        <v>26</v>
      </c>
      <c r="I228" t="s">
        <v>105</v>
      </c>
      <c r="J228" t="s">
        <v>192</v>
      </c>
      <c r="K228" s="95">
        <v>94.69</v>
      </c>
      <c r="L228" s="94">
        <v>0</v>
      </c>
      <c r="O228" t="str">
        <f t="shared" si="4"/>
        <v/>
      </c>
    </row>
    <row r="229" spans="7:15" x14ac:dyDescent="0.3">
      <c r="G229" s="93">
        <v>43595</v>
      </c>
      <c r="H229" t="s">
        <v>26</v>
      </c>
      <c r="I229" t="s">
        <v>105</v>
      </c>
      <c r="J229" t="s">
        <v>192</v>
      </c>
      <c r="K229" s="95">
        <v>71.5</v>
      </c>
      <c r="L229" s="94">
        <v>0</v>
      </c>
      <c r="O229" t="str">
        <f t="shared" si="4"/>
        <v/>
      </c>
    </row>
    <row r="230" spans="7:15" x14ac:dyDescent="0.3">
      <c r="G230" s="93">
        <v>43595</v>
      </c>
      <c r="H230" t="s">
        <v>26</v>
      </c>
      <c r="I230" t="s">
        <v>105</v>
      </c>
      <c r="J230" t="s">
        <v>192</v>
      </c>
      <c r="K230" s="95">
        <v>45.28</v>
      </c>
      <c r="L230" s="94">
        <v>0</v>
      </c>
      <c r="O230" t="str">
        <f t="shared" si="4"/>
        <v/>
      </c>
    </row>
    <row r="231" spans="7:15" x14ac:dyDescent="0.3">
      <c r="G231" s="93">
        <v>43595</v>
      </c>
      <c r="H231" t="s">
        <v>26</v>
      </c>
      <c r="I231" t="s">
        <v>105</v>
      </c>
      <c r="J231" t="s">
        <v>192</v>
      </c>
      <c r="K231" s="95">
        <v>21.2</v>
      </c>
      <c r="L231" s="94">
        <v>0</v>
      </c>
      <c r="O231" t="str">
        <f t="shared" si="4"/>
        <v/>
      </c>
    </row>
    <row r="232" spans="7:15" x14ac:dyDescent="0.3">
      <c r="G232" s="93">
        <v>43595</v>
      </c>
      <c r="H232" t="s">
        <v>26</v>
      </c>
      <c r="I232" t="s">
        <v>105</v>
      </c>
      <c r="J232" t="s">
        <v>192</v>
      </c>
      <c r="K232" s="95">
        <v>18.88</v>
      </c>
      <c r="L232" s="94">
        <v>0</v>
      </c>
      <c r="O232" t="str">
        <f t="shared" si="4"/>
        <v/>
      </c>
    </row>
    <row r="233" spans="7:15" x14ac:dyDescent="0.3">
      <c r="G233" s="93">
        <v>43595</v>
      </c>
      <c r="H233" t="s">
        <v>26</v>
      </c>
      <c r="I233" t="s">
        <v>105</v>
      </c>
      <c r="J233" t="s">
        <v>192</v>
      </c>
      <c r="K233" s="95">
        <v>13.99</v>
      </c>
      <c r="L233" s="94">
        <v>0</v>
      </c>
      <c r="O233" t="str">
        <f t="shared" si="4"/>
        <v/>
      </c>
    </row>
    <row r="234" spans="7:15" x14ac:dyDescent="0.3">
      <c r="G234" s="93">
        <v>43595</v>
      </c>
      <c r="H234" t="s">
        <v>26</v>
      </c>
      <c r="I234" t="s">
        <v>64</v>
      </c>
      <c r="J234" t="s">
        <v>167</v>
      </c>
      <c r="K234" s="95">
        <v>15</v>
      </c>
      <c r="L234" s="94">
        <v>0</v>
      </c>
      <c r="O234" t="str">
        <f t="shared" si="4"/>
        <v/>
      </c>
    </row>
    <row r="235" spans="7:15" x14ac:dyDescent="0.3">
      <c r="G235" s="93">
        <v>43595</v>
      </c>
      <c r="H235" t="s">
        <v>26</v>
      </c>
      <c r="I235" t="s">
        <v>64</v>
      </c>
      <c r="J235" t="s">
        <v>166</v>
      </c>
      <c r="K235" s="95">
        <v>9.5500000000000007</v>
      </c>
      <c r="L235" s="94">
        <v>0</v>
      </c>
      <c r="O235" t="str">
        <f t="shared" si="4"/>
        <v/>
      </c>
    </row>
    <row r="236" spans="7:15" x14ac:dyDescent="0.3">
      <c r="G236" s="93">
        <v>43595</v>
      </c>
      <c r="H236" t="s">
        <v>26</v>
      </c>
      <c r="I236" t="s">
        <v>64</v>
      </c>
      <c r="J236" t="s">
        <v>104</v>
      </c>
      <c r="K236" s="95">
        <v>12</v>
      </c>
      <c r="L236" s="94">
        <v>0</v>
      </c>
      <c r="O236" t="str">
        <f t="shared" si="4"/>
        <v/>
      </c>
    </row>
    <row r="237" spans="7:15" x14ac:dyDescent="0.3">
      <c r="G237" s="93">
        <v>43595</v>
      </c>
      <c r="H237" t="s">
        <v>26</v>
      </c>
      <c r="I237" t="s">
        <v>193</v>
      </c>
      <c r="J237" t="s">
        <v>194</v>
      </c>
      <c r="K237" s="95">
        <v>409.39</v>
      </c>
      <c r="L237" s="94">
        <v>0</v>
      </c>
      <c r="O237" t="str">
        <f t="shared" si="4"/>
        <v/>
      </c>
    </row>
    <row r="238" spans="7:15" x14ac:dyDescent="0.3">
      <c r="G238" s="93">
        <v>43595</v>
      </c>
      <c r="H238" t="s">
        <v>26</v>
      </c>
      <c r="I238" t="s">
        <v>193</v>
      </c>
      <c r="J238" t="s">
        <v>194</v>
      </c>
      <c r="K238" s="95">
        <v>86.68</v>
      </c>
      <c r="L238" s="94">
        <v>0</v>
      </c>
      <c r="O238" t="str">
        <f t="shared" si="4"/>
        <v/>
      </c>
    </row>
    <row r="239" spans="7:15" x14ac:dyDescent="0.3">
      <c r="G239" s="93">
        <v>43595</v>
      </c>
      <c r="H239" t="s">
        <v>26</v>
      </c>
      <c r="I239" t="s">
        <v>193</v>
      </c>
      <c r="J239" t="s">
        <v>194</v>
      </c>
      <c r="K239" s="95">
        <v>85.06</v>
      </c>
      <c r="L239" s="94">
        <v>0</v>
      </c>
      <c r="O239" t="str">
        <f t="shared" si="4"/>
        <v/>
      </c>
    </row>
    <row r="240" spans="7:15" x14ac:dyDescent="0.3">
      <c r="G240" s="93">
        <v>43595</v>
      </c>
      <c r="H240" t="s">
        <v>26</v>
      </c>
      <c r="I240" t="s">
        <v>193</v>
      </c>
      <c r="J240" t="s">
        <v>194</v>
      </c>
      <c r="K240" s="95">
        <v>83.57</v>
      </c>
      <c r="L240" s="94">
        <v>0</v>
      </c>
      <c r="O240" t="str">
        <f t="shared" si="4"/>
        <v/>
      </c>
    </row>
    <row r="241" spans="7:15" x14ac:dyDescent="0.3">
      <c r="G241" s="93">
        <v>43595</v>
      </c>
      <c r="H241" t="s">
        <v>26</v>
      </c>
      <c r="I241" t="s">
        <v>193</v>
      </c>
      <c r="J241" t="s">
        <v>194</v>
      </c>
      <c r="K241" s="95">
        <v>74.62</v>
      </c>
      <c r="L241" s="94">
        <v>0</v>
      </c>
      <c r="O241" t="str">
        <f t="shared" si="4"/>
        <v/>
      </c>
    </row>
    <row r="242" spans="7:15" x14ac:dyDescent="0.3">
      <c r="G242" s="93">
        <v>43595</v>
      </c>
      <c r="H242" t="s">
        <v>26</v>
      </c>
      <c r="I242" t="s">
        <v>193</v>
      </c>
      <c r="J242" t="s">
        <v>194</v>
      </c>
      <c r="K242" s="95">
        <v>67.13</v>
      </c>
      <c r="L242" s="94">
        <v>0</v>
      </c>
      <c r="O242" t="str">
        <f t="shared" si="4"/>
        <v/>
      </c>
    </row>
    <row r="243" spans="7:15" x14ac:dyDescent="0.3">
      <c r="G243" s="93">
        <v>43595</v>
      </c>
      <c r="H243" t="s">
        <v>26</v>
      </c>
      <c r="I243" t="s">
        <v>193</v>
      </c>
      <c r="J243" t="s">
        <v>194</v>
      </c>
      <c r="K243" s="95">
        <v>52.97</v>
      </c>
      <c r="L243" s="94">
        <v>0</v>
      </c>
      <c r="O243" t="str">
        <f t="shared" si="4"/>
        <v/>
      </c>
    </row>
    <row r="244" spans="7:15" x14ac:dyDescent="0.3">
      <c r="G244" s="93">
        <v>43595</v>
      </c>
      <c r="H244" t="s">
        <v>26</v>
      </c>
      <c r="I244" t="s">
        <v>193</v>
      </c>
      <c r="J244" t="s">
        <v>194</v>
      </c>
      <c r="K244" s="95">
        <v>38.03</v>
      </c>
      <c r="L244" s="94">
        <v>0</v>
      </c>
      <c r="O244" t="str">
        <f t="shared" si="4"/>
        <v/>
      </c>
    </row>
    <row r="245" spans="7:15" x14ac:dyDescent="0.3">
      <c r="G245" s="93">
        <v>43595</v>
      </c>
      <c r="H245" t="s">
        <v>26</v>
      </c>
      <c r="I245" t="s">
        <v>107</v>
      </c>
      <c r="J245" t="s">
        <v>192</v>
      </c>
      <c r="K245" s="95">
        <v>12</v>
      </c>
      <c r="L245" s="94">
        <v>0</v>
      </c>
      <c r="O245" t="str">
        <f t="shared" si="4"/>
        <v/>
      </c>
    </row>
    <row r="246" spans="7:15" x14ac:dyDescent="0.3">
      <c r="G246" s="93">
        <v>43596</v>
      </c>
      <c r="H246" t="s">
        <v>26</v>
      </c>
      <c r="I246" t="s">
        <v>64</v>
      </c>
      <c r="J246" t="s">
        <v>99</v>
      </c>
      <c r="K246" s="95">
        <v>6.4</v>
      </c>
      <c r="L246" s="94">
        <v>0</v>
      </c>
      <c r="O246" t="str">
        <f t="shared" si="4"/>
        <v/>
      </c>
    </row>
    <row r="247" spans="7:15" x14ac:dyDescent="0.3">
      <c r="G247" s="93">
        <v>43598</v>
      </c>
      <c r="H247" t="s">
        <v>25</v>
      </c>
      <c r="I247" t="s">
        <v>61</v>
      </c>
      <c r="J247" t="s">
        <v>195</v>
      </c>
      <c r="K247" s="95">
        <v>24</v>
      </c>
      <c r="L247" s="94">
        <v>0</v>
      </c>
      <c r="O247" t="str">
        <f t="shared" si="4"/>
        <v/>
      </c>
    </row>
    <row r="248" spans="7:15" x14ac:dyDescent="0.3">
      <c r="G248" s="93">
        <v>43598</v>
      </c>
      <c r="H248" t="s">
        <v>25</v>
      </c>
      <c r="I248" t="s">
        <v>61</v>
      </c>
      <c r="J248" t="s">
        <v>195</v>
      </c>
      <c r="K248" s="95">
        <v>8</v>
      </c>
      <c r="L248" s="94">
        <v>0</v>
      </c>
      <c r="O248" t="str">
        <f t="shared" si="4"/>
        <v/>
      </c>
    </row>
    <row r="249" spans="7:15" x14ac:dyDescent="0.3">
      <c r="G249" s="93">
        <v>43598</v>
      </c>
      <c r="H249" t="s">
        <v>118</v>
      </c>
      <c r="I249" t="s">
        <v>109</v>
      </c>
      <c r="J249" t="s">
        <v>195</v>
      </c>
      <c r="K249" s="95">
        <v>50</v>
      </c>
      <c r="L249" s="94">
        <v>0</v>
      </c>
      <c r="O249" t="str">
        <f t="shared" si="4"/>
        <v/>
      </c>
    </row>
    <row r="250" spans="7:15" x14ac:dyDescent="0.3">
      <c r="G250" s="93">
        <v>43598</v>
      </c>
      <c r="H250" t="s">
        <v>118</v>
      </c>
      <c r="I250" t="s">
        <v>97</v>
      </c>
      <c r="J250" t="s">
        <v>195</v>
      </c>
      <c r="K250" s="95">
        <v>64.650000000000006</v>
      </c>
      <c r="L250" s="94">
        <v>0</v>
      </c>
      <c r="O250" t="str">
        <f t="shared" si="4"/>
        <v/>
      </c>
    </row>
    <row r="251" spans="7:15" x14ac:dyDescent="0.3">
      <c r="G251" s="93">
        <v>43598</v>
      </c>
      <c r="H251" t="s">
        <v>24</v>
      </c>
      <c r="I251" t="s">
        <v>61</v>
      </c>
      <c r="J251" t="s">
        <v>195</v>
      </c>
      <c r="K251" s="95">
        <v>48</v>
      </c>
      <c r="L251" s="94">
        <v>0</v>
      </c>
      <c r="O251" t="str">
        <f t="shared" si="4"/>
        <v/>
      </c>
    </row>
    <row r="252" spans="7:15" x14ac:dyDescent="0.3">
      <c r="G252" s="93">
        <v>43598</v>
      </c>
      <c r="H252" t="s">
        <v>24</v>
      </c>
      <c r="I252" t="s">
        <v>61</v>
      </c>
      <c r="J252" t="s">
        <v>195</v>
      </c>
      <c r="K252" s="95">
        <v>40</v>
      </c>
      <c r="L252" s="94">
        <v>0</v>
      </c>
      <c r="O252" t="str">
        <f t="shared" si="4"/>
        <v/>
      </c>
    </row>
    <row r="253" spans="7:15" x14ac:dyDescent="0.3">
      <c r="G253" s="93">
        <v>43598</v>
      </c>
      <c r="H253" t="s">
        <v>24</v>
      </c>
      <c r="I253" t="s">
        <v>61</v>
      </c>
      <c r="J253" t="s">
        <v>195</v>
      </c>
      <c r="K253" s="95">
        <v>16</v>
      </c>
      <c r="L253" s="94">
        <v>0</v>
      </c>
      <c r="O253" t="str">
        <f t="shared" si="4"/>
        <v/>
      </c>
    </row>
    <row r="254" spans="7:15" x14ac:dyDescent="0.3">
      <c r="G254" s="93">
        <v>43598</v>
      </c>
      <c r="H254" t="s">
        <v>24</v>
      </c>
      <c r="I254" t="s">
        <v>61</v>
      </c>
      <c r="J254" t="s">
        <v>195</v>
      </c>
      <c r="K254" s="95">
        <v>8</v>
      </c>
      <c r="L254" s="94">
        <v>0</v>
      </c>
      <c r="O254" t="str">
        <f t="shared" si="4"/>
        <v/>
      </c>
    </row>
    <row r="255" spans="7:15" x14ac:dyDescent="0.3">
      <c r="G255" s="93">
        <v>43598</v>
      </c>
      <c r="H255" t="s">
        <v>111</v>
      </c>
      <c r="I255" t="s">
        <v>107</v>
      </c>
      <c r="J255" t="s">
        <v>195</v>
      </c>
      <c r="K255" s="95">
        <v>11</v>
      </c>
      <c r="L255" s="94">
        <v>0</v>
      </c>
      <c r="O255" t="str">
        <f t="shared" si="4"/>
        <v/>
      </c>
    </row>
    <row r="256" spans="7:15" x14ac:dyDescent="0.3">
      <c r="G256" s="93">
        <v>43598</v>
      </c>
      <c r="H256" t="s">
        <v>26</v>
      </c>
      <c r="I256" t="s">
        <v>61</v>
      </c>
      <c r="J256" t="s">
        <v>195</v>
      </c>
      <c r="K256" s="95">
        <v>8</v>
      </c>
      <c r="L256" s="94">
        <v>0</v>
      </c>
      <c r="O256" t="str">
        <f t="shared" si="4"/>
        <v/>
      </c>
    </row>
    <row r="257" spans="7:15" x14ac:dyDescent="0.3">
      <c r="G257" s="93">
        <v>43598</v>
      </c>
      <c r="H257" t="s">
        <v>26</v>
      </c>
      <c r="I257" t="s">
        <v>105</v>
      </c>
      <c r="J257" t="s">
        <v>195</v>
      </c>
      <c r="K257" s="95">
        <v>35</v>
      </c>
      <c r="L257" s="94">
        <v>0</v>
      </c>
      <c r="O257" t="str">
        <f t="shared" si="4"/>
        <v/>
      </c>
    </row>
    <row r="258" spans="7:15" x14ac:dyDescent="0.3">
      <c r="G258" s="93">
        <v>43598</v>
      </c>
      <c r="H258" t="s">
        <v>26</v>
      </c>
      <c r="I258" t="s">
        <v>105</v>
      </c>
      <c r="J258" t="s">
        <v>195</v>
      </c>
      <c r="K258" s="95">
        <v>24.82</v>
      </c>
      <c r="L258" s="94">
        <v>0</v>
      </c>
      <c r="O258" t="str">
        <f t="shared" si="4"/>
        <v/>
      </c>
    </row>
    <row r="259" spans="7:15" x14ac:dyDescent="0.3">
      <c r="G259" s="93">
        <v>43598</v>
      </c>
      <c r="H259" t="s">
        <v>26</v>
      </c>
      <c r="I259" t="s">
        <v>64</v>
      </c>
      <c r="J259" t="s">
        <v>162</v>
      </c>
      <c r="K259" s="95">
        <v>26</v>
      </c>
      <c r="L259" s="94">
        <v>0</v>
      </c>
      <c r="O259" t="str">
        <f t="shared" si="4"/>
        <v/>
      </c>
    </row>
    <row r="260" spans="7:15" x14ac:dyDescent="0.3">
      <c r="G260" s="93">
        <v>43598</v>
      </c>
      <c r="H260" t="s">
        <v>26</v>
      </c>
      <c r="I260" t="s">
        <v>64</v>
      </c>
      <c r="J260" t="s">
        <v>166</v>
      </c>
      <c r="K260" s="95">
        <v>4.2</v>
      </c>
      <c r="L260" s="94">
        <v>0</v>
      </c>
      <c r="O260" t="str">
        <f t="shared" si="4"/>
        <v/>
      </c>
    </row>
    <row r="261" spans="7:15" x14ac:dyDescent="0.3">
      <c r="G261" s="93">
        <v>43598</v>
      </c>
      <c r="H261" t="s">
        <v>26</v>
      </c>
      <c r="I261" t="s">
        <v>64</v>
      </c>
      <c r="J261" t="s">
        <v>164</v>
      </c>
      <c r="K261" s="95">
        <v>3</v>
      </c>
      <c r="L261" s="94">
        <v>0</v>
      </c>
      <c r="O261" t="str">
        <f t="shared" si="4"/>
        <v/>
      </c>
    </row>
    <row r="262" spans="7:15" x14ac:dyDescent="0.3">
      <c r="G262" s="93">
        <v>43599</v>
      </c>
      <c r="H262" t="s">
        <v>114</v>
      </c>
      <c r="I262" t="s">
        <v>107</v>
      </c>
      <c r="J262" t="s">
        <v>196</v>
      </c>
      <c r="K262" s="95">
        <v>25</v>
      </c>
      <c r="L262" s="94">
        <v>0</v>
      </c>
      <c r="O262" t="str">
        <f t="shared" si="4"/>
        <v/>
      </c>
    </row>
    <row r="263" spans="7:15" x14ac:dyDescent="0.3">
      <c r="G263" s="93">
        <v>43599</v>
      </c>
      <c r="H263" t="s">
        <v>111</v>
      </c>
      <c r="I263" t="s">
        <v>107</v>
      </c>
      <c r="J263" t="s">
        <v>196</v>
      </c>
      <c r="K263" s="95">
        <v>17.68</v>
      </c>
      <c r="L263" s="94">
        <v>0</v>
      </c>
      <c r="O263" t="str">
        <f t="shared" si="4"/>
        <v/>
      </c>
    </row>
    <row r="264" spans="7:15" x14ac:dyDescent="0.3">
      <c r="G264" s="93">
        <v>43599</v>
      </c>
      <c r="H264" t="s">
        <v>26</v>
      </c>
      <c r="I264" t="s">
        <v>61</v>
      </c>
      <c r="J264" t="s">
        <v>196</v>
      </c>
      <c r="K264" s="95">
        <v>8</v>
      </c>
      <c r="L264" s="94">
        <v>0</v>
      </c>
      <c r="O264" t="str">
        <f t="shared" si="4"/>
        <v/>
      </c>
    </row>
    <row r="265" spans="7:15" x14ac:dyDescent="0.3">
      <c r="G265" s="93">
        <v>43599</v>
      </c>
      <c r="H265" t="s">
        <v>26</v>
      </c>
      <c r="I265" t="s">
        <v>105</v>
      </c>
      <c r="J265" t="s">
        <v>196</v>
      </c>
      <c r="K265" s="95">
        <v>0</v>
      </c>
      <c r="L265" s="94">
        <v>5</v>
      </c>
      <c r="O265" t="str">
        <f t="shared" si="4"/>
        <v/>
      </c>
    </row>
    <row r="266" spans="7:15" x14ac:dyDescent="0.3">
      <c r="G266" s="93">
        <v>43599</v>
      </c>
      <c r="H266" t="s">
        <v>26</v>
      </c>
      <c r="I266" t="s">
        <v>64</v>
      </c>
      <c r="J266" t="s">
        <v>162</v>
      </c>
      <c r="K266" s="95">
        <v>26</v>
      </c>
      <c r="L266" s="94">
        <v>0</v>
      </c>
      <c r="O266" t="str">
        <f t="shared" ref="O266:O329" si="5">IF(P266="","",O265+1)</f>
        <v/>
      </c>
    </row>
    <row r="267" spans="7:15" x14ac:dyDescent="0.3">
      <c r="G267" s="93">
        <v>43599</v>
      </c>
      <c r="H267" t="s">
        <v>26</v>
      </c>
      <c r="I267" t="s">
        <v>64</v>
      </c>
      <c r="J267" t="s">
        <v>102</v>
      </c>
      <c r="K267" s="95">
        <v>3</v>
      </c>
      <c r="L267" s="94">
        <v>0</v>
      </c>
      <c r="O267" t="str">
        <f t="shared" si="5"/>
        <v/>
      </c>
    </row>
    <row r="268" spans="7:15" x14ac:dyDescent="0.3">
      <c r="G268" s="93">
        <v>43599</v>
      </c>
      <c r="H268" t="s">
        <v>26</v>
      </c>
      <c r="I268" t="s">
        <v>107</v>
      </c>
      <c r="J268" t="s">
        <v>196</v>
      </c>
      <c r="K268" s="95">
        <v>12</v>
      </c>
      <c r="L268" s="94">
        <v>0</v>
      </c>
      <c r="O268" t="str">
        <f t="shared" si="5"/>
        <v/>
      </c>
    </row>
    <row r="269" spans="7:15" x14ac:dyDescent="0.3">
      <c r="G269" s="93">
        <v>43600</v>
      </c>
      <c r="H269" t="s">
        <v>121</v>
      </c>
      <c r="I269" t="s">
        <v>109</v>
      </c>
      <c r="J269" t="s">
        <v>197</v>
      </c>
      <c r="K269" s="95">
        <v>281.52999999999997</v>
      </c>
      <c r="L269" s="94">
        <v>0</v>
      </c>
      <c r="O269" t="str">
        <f t="shared" si="5"/>
        <v/>
      </c>
    </row>
    <row r="270" spans="7:15" x14ac:dyDescent="0.3">
      <c r="G270" s="93">
        <v>43600</v>
      </c>
      <c r="H270" t="s">
        <v>121</v>
      </c>
      <c r="I270" t="s">
        <v>107</v>
      </c>
      <c r="J270" t="s">
        <v>197</v>
      </c>
      <c r="K270" s="95">
        <v>10.7</v>
      </c>
      <c r="L270" s="94">
        <v>0</v>
      </c>
      <c r="O270" t="str">
        <f t="shared" si="5"/>
        <v/>
      </c>
    </row>
    <row r="271" spans="7:15" x14ac:dyDescent="0.3">
      <c r="G271" s="93">
        <v>43600</v>
      </c>
      <c r="H271" t="s">
        <v>169</v>
      </c>
      <c r="I271" t="s">
        <v>107</v>
      </c>
      <c r="J271" t="s">
        <v>197</v>
      </c>
      <c r="K271" s="95">
        <v>258.66000000000003</v>
      </c>
      <c r="L271" s="94">
        <v>0</v>
      </c>
      <c r="O271" t="str">
        <f t="shared" si="5"/>
        <v/>
      </c>
    </row>
    <row r="272" spans="7:15" x14ac:dyDescent="0.3">
      <c r="G272" s="93">
        <v>43600</v>
      </c>
      <c r="H272" t="s">
        <v>118</v>
      </c>
      <c r="I272" t="s">
        <v>105</v>
      </c>
      <c r="J272" t="s">
        <v>197</v>
      </c>
      <c r="K272" s="95">
        <v>22.86</v>
      </c>
      <c r="L272" s="94">
        <v>0</v>
      </c>
      <c r="O272" t="str">
        <f t="shared" si="5"/>
        <v/>
      </c>
    </row>
    <row r="273" spans="7:15" x14ac:dyDescent="0.3">
      <c r="G273" s="93">
        <v>43600</v>
      </c>
      <c r="H273" t="s">
        <v>161</v>
      </c>
      <c r="I273" t="s">
        <v>61</v>
      </c>
      <c r="J273" t="s">
        <v>197</v>
      </c>
      <c r="K273" s="95">
        <v>138.59</v>
      </c>
      <c r="L273" s="94">
        <v>0</v>
      </c>
      <c r="O273" t="str">
        <f t="shared" si="5"/>
        <v/>
      </c>
    </row>
    <row r="274" spans="7:15" x14ac:dyDescent="0.3">
      <c r="G274" s="93">
        <v>43600</v>
      </c>
      <c r="H274" t="s">
        <v>24</v>
      </c>
      <c r="I274" t="s">
        <v>61</v>
      </c>
      <c r="J274" t="s">
        <v>197</v>
      </c>
      <c r="K274" s="95">
        <v>64</v>
      </c>
      <c r="L274" s="94">
        <v>0</v>
      </c>
      <c r="O274" t="str">
        <f t="shared" si="5"/>
        <v/>
      </c>
    </row>
    <row r="275" spans="7:15" x14ac:dyDescent="0.3">
      <c r="G275" s="93">
        <v>43600</v>
      </c>
      <c r="H275" t="s">
        <v>24</v>
      </c>
      <c r="I275" t="s">
        <v>61</v>
      </c>
      <c r="J275" t="s">
        <v>197</v>
      </c>
      <c r="K275" s="95">
        <v>40</v>
      </c>
      <c r="L275" s="94">
        <v>0</v>
      </c>
      <c r="O275" t="str">
        <f t="shared" si="5"/>
        <v/>
      </c>
    </row>
    <row r="276" spans="7:15" x14ac:dyDescent="0.3">
      <c r="G276" s="93">
        <v>43600</v>
      </c>
      <c r="H276" t="s">
        <v>24</v>
      </c>
      <c r="I276" t="s">
        <v>61</v>
      </c>
      <c r="J276" t="s">
        <v>197</v>
      </c>
      <c r="K276" s="95">
        <v>16</v>
      </c>
      <c r="L276" s="94">
        <v>0</v>
      </c>
      <c r="O276" t="str">
        <f t="shared" si="5"/>
        <v/>
      </c>
    </row>
    <row r="277" spans="7:15" x14ac:dyDescent="0.3">
      <c r="G277" s="93">
        <v>43600</v>
      </c>
      <c r="H277" t="s">
        <v>24</v>
      </c>
      <c r="I277" t="s">
        <v>61</v>
      </c>
      <c r="J277" t="s">
        <v>197</v>
      </c>
      <c r="K277" s="95">
        <v>8</v>
      </c>
      <c r="L277" s="94">
        <v>0</v>
      </c>
      <c r="O277" t="str">
        <f t="shared" si="5"/>
        <v/>
      </c>
    </row>
    <row r="278" spans="7:15" x14ac:dyDescent="0.3">
      <c r="G278" s="93">
        <v>43600</v>
      </c>
      <c r="H278" t="s">
        <v>24</v>
      </c>
      <c r="I278" t="s">
        <v>107</v>
      </c>
      <c r="J278" t="s">
        <v>197</v>
      </c>
      <c r="K278" s="95">
        <v>152</v>
      </c>
      <c r="L278" s="94">
        <v>0</v>
      </c>
      <c r="O278" t="str">
        <f t="shared" si="5"/>
        <v/>
      </c>
    </row>
    <row r="279" spans="7:15" x14ac:dyDescent="0.3">
      <c r="G279" s="93">
        <v>43600</v>
      </c>
      <c r="H279" t="s">
        <v>125</v>
      </c>
      <c r="I279" t="s">
        <v>107</v>
      </c>
      <c r="J279" t="s">
        <v>197</v>
      </c>
      <c r="K279" s="95">
        <v>127.12</v>
      </c>
      <c r="L279" s="94">
        <v>0</v>
      </c>
      <c r="O279" t="str">
        <f t="shared" si="5"/>
        <v/>
      </c>
    </row>
    <row r="280" spans="7:15" x14ac:dyDescent="0.3">
      <c r="G280" s="93">
        <v>43600</v>
      </c>
      <c r="H280" t="s">
        <v>111</v>
      </c>
      <c r="I280" t="s">
        <v>61</v>
      </c>
      <c r="J280" t="s">
        <v>197</v>
      </c>
      <c r="K280" s="95">
        <v>10</v>
      </c>
      <c r="L280" s="94">
        <v>0</v>
      </c>
      <c r="O280" t="str">
        <f t="shared" si="5"/>
        <v/>
      </c>
    </row>
    <row r="281" spans="7:15" x14ac:dyDescent="0.3">
      <c r="G281" s="93">
        <v>43600</v>
      </c>
      <c r="H281" t="s">
        <v>26</v>
      </c>
      <c r="I281" t="s">
        <v>61</v>
      </c>
      <c r="J281" t="s">
        <v>197</v>
      </c>
      <c r="K281" s="95">
        <v>130</v>
      </c>
      <c r="L281" s="94">
        <v>0</v>
      </c>
      <c r="O281" t="str">
        <f t="shared" si="5"/>
        <v/>
      </c>
    </row>
    <row r="282" spans="7:15" x14ac:dyDescent="0.3">
      <c r="G282" s="93">
        <v>43600</v>
      </c>
      <c r="H282" t="s">
        <v>26</v>
      </c>
      <c r="I282" t="s">
        <v>109</v>
      </c>
      <c r="J282" t="s">
        <v>197</v>
      </c>
      <c r="K282" s="95">
        <v>50</v>
      </c>
      <c r="L282" s="94">
        <v>0</v>
      </c>
      <c r="O282" t="str">
        <f t="shared" si="5"/>
        <v/>
      </c>
    </row>
    <row r="283" spans="7:15" x14ac:dyDescent="0.3">
      <c r="G283" s="93">
        <v>43600</v>
      </c>
      <c r="H283" t="s">
        <v>26</v>
      </c>
      <c r="I283" t="s">
        <v>97</v>
      </c>
      <c r="J283" t="s">
        <v>197</v>
      </c>
      <c r="K283" s="95">
        <v>64.95</v>
      </c>
      <c r="L283" s="94">
        <v>0</v>
      </c>
      <c r="O283" t="str">
        <f t="shared" si="5"/>
        <v/>
      </c>
    </row>
    <row r="284" spans="7:15" x14ac:dyDescent="0.3">
      <c r="G284" s="93">
        <v>43600</v>
      </c>
      <c r="H284" t="s">
        <v>26</v>
      </c>
      <c r="I284" t="s">
        <v>105</v>
      </c>
      <c r="J284" t="s">
        <v>197</v>
      </c>
      <c r="K284" s="95">
        <v>142.61000000000001</v>
      </c>
      <c r="L284" s="94">
        <v>0</v>
      </c>
      <c r="O284" t="str">
        <f t="shared" si="5"/>
        <v/>
      </c>
    </row>
    <row r="285" spans="7:15" x14ac:dyDescent="0.3">
      <c r="G285" s="93">
        <v>43600</v>
      </c>
      <c r="H285" t="s">
        <v>26</v>
      </c>
      <c r="I285" t="s">
        <v>105</v>
      </c>
      <c r="J285" t="s">
        <v>197</v>
      </c>
      <c r="K285" s="95">
        <v>122.34</v>
      </c>
      <c r="L285" s="94">
        <v>0</v>
      </c>
      <c r="O285" t="str">
        <f t="shared" si="5"/>
        <v/>
      </c>
    </row>
    <row r="286" spans="7:15" x14ac:dyDescent="0.3">
      <c r="G286" s="93">
        <v>43600</v>
      </c>
      <c r="H286" t="s">
        <v>26</v>
      </c>
      <c r="I286" t="s">
        <v>105</v>
      </c>
      <c r="J286" t="s">
        <v>197</v>
      </c>
      <c r="K286" s="95">
        <v>92.79</v>
      </c>
      <c r="L286" s="94">
        <v>0</v>
      </c>
      <c r="O286" t="str">
        <f t="shared" si="5"/>
        <v/>
      </c>
    </row>
    <row r="287" spans="7:15" x14ac:dyDescent="0.3">
      <c r="G287" s="93">
        <v>43600</v>
      </c>
      <c r="H287" t="s">
        <v>26</v>
      </c>
      <c r="I287" t="s">
        <v>105</v>
      </c>
      <c r="J287" t="s">
        <v>197</v>
      </c>
      <c r="K287" s="95">
        <v>31.14</v>
      </c>
      <c r="L287" s="94">
        <v>0</v>
      </c>
      <c r="O287" t="str">
        <f t="shared" si="5"/>
        <v/>
      </c>
    </row>
    <row r="288" spans="7:15" x14ac:dyDescent="0.3">
      <c r="G288" s="93">
        <v>43600</v>
      </c>
      <c r="H288" t="s">
        <v>26</v>
      </c>
      <c r="I288" t="s">
        <v>105</v>
      </c>
      <c r="J288" t="s">
        <v>197</v>
      </c>
      <c r="K288" s="95">
        <v>22.65</v>
      </c>
      <c r="L288" s="94">
        <v>0</v>
      </c>
      <c r="O288" t="str">
        <f t="shared" si="5"/>
        <v/>
      </c>
    </row>
    <row r="289" spans="7:15" x14ac:dyDescent="0.3">
      <c r="G289" s="93">
        <v>43600</v>
      </c>
      <c r="H289" t="s">
        <v>26</v>
      </c>
      <c r="I289" t="s">
        <v>105</v>
      </c>
      <c r="J289" t="s">
        <v>197</v>
      </c>
      <c r="K289" s="95">
        <v>19.29</v>
      </c>
      <c r="L289" s="94">
        <v>0</v>
      </c>
      <c r="O289" t="str">
        <f t="shared" si="5"/>
        <v/>
      </c>
    </row>
    <row r="290" spans="7:15" x14ac:dyDescent="0.3">
      <c r="G290" s="93">
        <v>43600</v>
      </c>
      <c r="H290" t="s">
        <v>26</v>
      </c>
      <c r="I290" t="s">
        <v>105</v>
      </c>
      <c r="J290" t="s">
        <v>197</v>
      </c>
      <c r="K290" s="95">
        <v>8.6999999999999993</v>
      </c>
      <c r="L290" s="94">
        <v>0</v>
      </c>
      <c r="O290" t="str">
        <f t="shared" si="5"/>
        <v/>
      </c>
    </row>
    <row r="291" spans="7:15" x14ac:dyDescent="0.3">
      <c r="G291" s="93">
        <v>43600</v>
      </c>
      <c r="H291" t="s">
        <v>26</v>
      </c>
      <c r="I291" t="s">
        <v>64</v>
      </c>
      <c r="J291" t="s">
        <v>163</v>
      </c>
      <c r="K291" s="95">
        <v>8.6999999999999993</v>
      </c>
      <c r="L291" s="94">
        <v>0</v>
      </c>
      <c r="O291" t="str">
        <f t="shared" si="5"/>
        <v/>
      </c>
    </row>
    <row r="292" spans="7:15" x14ac:dyDescent="0.3">
      <c r="G292" s="93">
        <v>43600</v>
      </c>
      <c r="H292" t="s">
        <v>26</v>
      </c>
      <c r="I292" t="s">
        <v>64</v>
      </c>
      <c r="J292" t="s">
        <v>168</v>
      </c>
      <c r="K292" s="95">
        <v>3</v>
      </c>
      <c r="L292" s="94">
        <v>0</v>
      </c>
      <c r="O292" t="str">
        <f t="shared" si="5"/>
        <v/>
      </c>
    </row>
    <row r="293" spans="7:15" x14ac:dyDescent="0.3">
      <c r="G293" s="93">
        <v>43601</v>
      </c>
      <c r="H293" t="s">
        <v>128</v>
      </c>
      <c r="I293" t="s">
        <v>108</v>
      </c>
      <c r="J293" t="s">
        <v>198</v>
      </c>
      <c r="K293" s="95">
        <v>0</v>
      </c>
      <c r="L293" s="94">
        <v>92.1</v>
      </c>
      <c r="O293" t="str">
        <f t="shared" si="5"/>
        <v/>
      </c>
    </row>
    <row r="294" spans="7:15" x14ac:dyDescent="0.3">
      <c r="G294" s="93">
        <v>43601</v>
      </c>
      <c r="H294" t="s">
        <v>121</v>
      </c>
      <c r="I294" t="s">
        <v>108</v>
      </c>
      <c r="J294" t="s">
        <v>198</v>
      </c>
      <c r="K294" s="95">
        <v>0</v>
      </c>
      <c r="L294" s="94">
        <v>342.3</v>
      </c>
      <c r="O294" t="str">
        <f t="shared" si="5"/>
        <v/>
      </c>
    </row>
    <row r="295" spans="7:15" x14ac:dyDescent="0.3">
      <c r="G295" s="93">
        <v>43601</v>
      </c>
      <c r="H295" t="s">
        <v>25</v>
      </c>
      <c r="I295" t="s">
        <v>61</v>
      </c>
      <c r="J295" t="s">
        <v>198</v>
      </c>
      <c r="K295" s="95">
        <v>8</v>
      </c>
      <c r="L295" s="94">
        <v>0</v>
      </c>
      <c r="O295" t="str">
        <f t="shared" si="5"/>
        <v/>
      </c>
    </row>
    <row r="296" spans="7:15" x14ac:dyDescent="0.3">
      <c r="G296" s="93">
        <v>43601</v>
      </c>
      <c r="H296" t="s">
        <v>25</v>
      </c>
      <c r="I296" t="s">
        <v>107</v>
      </c>
      <c r="J296" t="s">
        <v>198</v>
      </c>
      <c r="K296" s="95">
        <v>182</v>
      </c>
      <c r="L296" s="94">
        <v>0</v>
      </c>
      <c r="O296" t="str">
        <f t="shared" si="5"/>
        <v/>
      </c>
    </row>
    <row r="297" spans="7:15" x14ac:dyDescent="0.3">
      <c r="G297" s="93">
        <v>43601</v>
      </c>
      <c r="H297" t="s">
        <v>113</v>
      </c>
      <c r="I297" t="s">
        <v>107</v>
      </c>
      <c r="J297" t="s">
        <v>198</v>
      </c>
      <c r="K297" s="95">
        <v>21.05</v>
      </c>
      <c r="L297" s="94">
        <v>0</v>
      </c>
      <c r="O297" t="str">
        <f t="shared" si="5"/>
        <v/>
      </c>
    </row>
    <row r="298" spans="7:15" x14ac:dyDescent="0.3">
      <c r="G298" s="93">
        <v>43601</v>
      </c>
      <c r="H298" t="s">
        <v>120</v>
      </c>
      <c r="I298" t="s">
        <v>106</v>
      </c>
      <c r="J298" t="s">
        <v>198</v>
      </c>
      <c r="K298" s="95">
        <v>40</v>
      </c>
      <c r="L298" s="94">
        <v>0</v>
      </c>
      <c r="O298" t="str">
        <f t="shared" si="5"/>
        <v/>
      </c>
    </row>
    <row r="299" spans="7:15" x14ac:dyDescent="0.3">
      <c r="G299" s="93">
        <v>43601</v>
      </c>
      <c r="H299" t="s">
        <v>161</v>
      </c>
      <c r="I299" t="s">
        <v>61</v>
      </c>
      <c r="J299" t="s">
        <v>198</v>
      </c>
      <c r="K299" s="95">
        <v>159.80000000000001</v>
      </c>
      <c r="L299" s="94">
        <v>0</v>
      </c>
      <c r="O299" t="str">
        <f t="shared" si="5"/>
        <v/>
      </c>
    </row>
    <row r="300" spans="7:15" x14ac:dyDescent="0.3">
      <c r="G300" s="93">
        <v>43601</v>
      </c>
      <c r="H300" t="s">
        <v>24</v>
      </c>
      <c r="I300" t="s">
        <v>61</v>
      </c>
      <c r="J300" t="s">
        <v>198</v>
      </c>
      <c r="K300" s="95">
        <v>48</v>
      </c>
      <c r="L300" s="94">
        <v>0</v>
      </c>
      <c r="O300" t="str">
        <f t="shared" si="5"/>
        <v/>
      </c>
    </row>
    <row r="301" spans="7:15" x14ac:dyDescent="0.3">
      <c r="G301" s="93">
        <v>43601</v>
      </c>
      <c r="H301" t="s">
        <v>24</v>
      </c>
      <c r="I301" t="s">
        <v>61</v>
      </c>
      <c r="J301" t="s">
        <v>198</v>
      </c>
      <c r="K301" s="95">
        <v>40</v>
      </c>
      <c r="L301" s="94">
        <v>0</v>
      </c>
      <c r="O301" t="str">
        <f t="shared" si="5"/>
        <v/>
      </c>
    </row>
    <row r="302" spans="7:15" x14ac:dyDescent="0.3">
      <c r="G302" s="93">
        <v>43601</v>
      </c>
      <c r="H302" t="s">
        <v>24</v>
      </c>
      <c r="I302" t="s">
        <v>61</v>
      </c>
      <c r="J302" t="s">
        <v>198</v>
      </c>
      <c r="K302" s="95">
        <v>24</v>
      </c>
      <c r="L302" s="94">
        <v>0</v>
      </c>
      <c r="O302" t="str">
        <f t="shared" si="5"/>
        <v/>
      </c>
    </row>
    <row r="303" spans="7:15" x14ac:dyDescent="0.3">
      <c r="G303" s="93">
        <v>43601</v>
      </c>
      <c r="H303" t="s">
        <v>24</v>
      </c>
      <c r="I303" t="s">
        <v>61</v>
      </c>
      <c r="J303" t="s">
        <v>198</v>
      </c>
      <c r="K303" s="95">
        <v>16</v>
      </c>
      <c r="L303" s="94">
        <v>0</v>
      </c>
      <c r="O303" t="str">
        <f t="shared" si="5"/>
        <v/>
      </c>
    </row>
    <row r="304" spans="7:15" x14ac:dyDescent="0.3">
      <c r="G304" s="93">
        <v>43601</v>
      </c>
      <c r="H304" t="s">
        <v>24</v>
      </c>
      <c r="I304" t="s">
        <v>61</v>
      </c>
      <c r="J304" t="s">
        <v>198</v>
      </c>
      <c r="K304" s="95">
        <v>8</v>
      </c>
      <c r="L304" s="94">
        <v>0</v>
      </c>
      <c r="O304" t="str">
        <f t="shared" si="5"/>
        <v/>
      </c>
    </row>
    <row r="305" spans="7:15" x14ac:dyDescent="0.3">
      <c r="G305" s="93">
        <v>43601</v>
      </c>
      <c r="H305" t="s">
        <v>24</v>
      </c>
      <c r="I305" t="s">
        <v>107</v>
      </c>
      <c r="J305" t="s">
        <v>198</v>
      </c>
      <c r="K305" s="95">
        <v>676</v>
      </c>
      <c r="L305" s="94">
        <v>0</v>
      </c>
      <c r="O305" t="str">
        <f t="shared" si="5"/>
        <v/>
      </c>
    </row>
    <row r="306" spans="7:15" x14ac:dyDescent="0.3">
      <c r="G306" s="93">
        <v>43601</v>
      </c>
      <c r="H306" t="s">
        <v>126</v>
      </c>
      <c r="I306" t="s">
        <v>108</v>
      </c>
      <c r="J306" t="s">
        <v>198</v>
      </c>
      <c r="K306" s="95">
        <v>0</v>
      </c>
      <c r="L306" s="94">
        <v>0.6</v>
      </c>
      <c r="O306" t="str">
        <f t="shared" si="5"/>
        <v/>
      </c>
    </row>
    <row r="307" spans="7:15" x14ac:dyDescent="0.3">
      <c r="G307" s="93">
        <v>43601</v>
      </c>
      <c r="H307" t="s">
        <v>129</v>
      </c>
      <c r="I307" t="s">
        <v>108</v>
      </c>
      <c r="J307" t="s">
        <v>198</v>
      </c>
      <c r="K307" s="95">
        <v>0</v>
      </c>
      <c r="L307" s="94">
        <v>23</v>
      </c>
      <c r="O307" t="str">
        <f t="shared" si="5"/>
        <v/>
      </c>
    </row>
    <row r="308" spans="7:15" x14ac:dyDescent="0.3">
      <c r="G308" s="93">
        <v>43601</v>
      </c>
      <c r="H308" t="s">
        <v>117</v>
      </c>
      <c r="I308" t="s">
        <v>107</v>
      </c>
      <c r="J308" t="s">
        <v>198</v>
      </c>
      <c r="K308" s="95">
        <v>50</v>
      </c>
      <c r="L308" s="94">
        <v>0</v>
      </c>
      <c r="O308" t="str">
        <f t="shared" si="5"/>
        <v/>
      </c>
    </row>
    <row r="309" spans="7:15" x14ac:dyDescent="0.3">
      <c r="G309" s="93">
        <v>43601</v>
      </c>
      <c r="H309" t="s">
        <v>111</v>
      </c>
      <c r="I309" t="s">
        <v>108</v>
      </c>
      <c r="J309" t="s">
        <v>198</v>
      </c>
      <c r="K309" s="95">
        <v>0</v>
      </c>
      <c r="L309" s="94">
        <v>191.9</v>
      </c>
      <c r="O309" t="str">
        <f t="shared" si="5"/>
        <v/>
      </c>
    </row>
    <row r="310" spans="7:15" x14ac:dyDescent="0.3">
      <c r="G310" s="93">
        <v>43601</v>
      </c>
      <c r="H310" t="s">
        <v>110</v>
      </c>
      <c r="I310" t="s">
        <v>108</v>
      </c>
      <c r="J310" t="s">
        <v>198</v>
      </c>
      <c r="K310" s="95">
        <v>0</v>
      </c>
      <c r="L310" s="94">
        <v>614.4</v>
      </c>
      <c r="O310" t="str">
        <f t="shared" si="5"/>
        <v/>
      </c>
    </row>
    <row r="311" spans="7:15" x14ac:dyDescent="0.3">
      <c r="G311" s="93">
        <v>43601</v>
      </c>
      <c r="H311" t="s">
        <v>26</v>
      </c>
      <c r="I311" t="s">
        <v>97</v>
      </c>
      <c r="J311" t="s">
        <v>198</v>
      </c>
      <c r="K311" s="95">
        <v>112</v>
      </c>
      <c r="L311" s="94">
        <v>0</v>
      </c>
      <c r="O311" t="str">
        <f t="shared" si="5"/>
        <v/>
      </c>
    </row>
    <row r="312" spans="7:15" x14ac:dyDescent="0.3">
      <c r="G312" s="93">
        <v>43601</v>
      </c>
      <c r="H312" t="s">
        <v>26</v>
      </c>
      <c r="I312" t="s">
        <v>64</v>
      </c>
      <c r="J312" t="s">
        <v>101</v>
      </c>
      <c r="K312" s="95">
        <v>5</v>
      </c>
      <c r="L312" s="94">
        <v>0</v>
      </c>
      <c r="O312" t="str">
        <f t="shared" si="5"/>
        <v/>
      </c>
    </row>
    <row r="313" spans="7:15" x14ac:dyDescent="0.3">
      <c r="G313" s="93">
        <v>43601</v>
      </c>
      <c r="H313" t="s">
        <v>26</v>
      </c>
      <c r="I313" t="s">
        <v>64</v>
      </c>
      <c r="J313" t="s">
        <v>132</v>
      </c>
      <c r="K313" s="95">
        <v>22.5</v>
      </c>
      <c r="L313" s="94">
        <v>0</v>
      </c>
      <c r="O313" t="str">
        <f t="shared" si="5"/>
        <v/>
      </c>
    </row>
    <row r="314" spans="7:15" x14ac:dyDescent="0.3">
      <c r="G314" s="93">
        <v>43601</v>
      </c>
      <c r="H314" t="s">
        <v>26</v>
      </c>
      <c r="I314" t="s">
        <v>64</v>
      </c>
      <c r="J314" t="s">
        <v>98</v>
      </c>
      <c r="K314" s="95">
        <v>3</v>
      </c>
      <c r="L314" s="94">
        <v>0</v>
      </c>
      <c r="O314" t="str">
        <f t="shared" si="5"/>
        <v/>
      </c>
    </row>
    <row r="315" spans="7:15" x14ac:dyDescent="0.3">
      <c r="G315" s="93">
        <v>43601</v>
      </c>
      <c r="H315" t="s">
        <v>26</v>
      </c>
      <c r="I315" t="s">
        <v>107</v>
      </c>
      <c r="J315" t="s">
        <v>198</v>
      </c>
      <c r="K315" s="95">
        <v>110.5</v>
      </c>
      <c r="L315" s="94">
        <v>0</v>
      </c>
      <c r="O315" t="str">
        <f t="shared" si="5"/>
        <v/>
      </c>
    </row>
    <row r="316" spans="7:15" x14ac:dyDescent="0.3">
      <c r="G316" s="93">
        <v>43602</v>
      </c>
      <c r="H316" t="s">
        <v>128</v>
      </c>
      <c r="I316" t="s">
        <v>108</v>
      </c>
      <c r="J316" t="s">
        <v>199</v>
      </c>
      <c r="K316" s="95">
        <v>184.2</v>
      </c>
      <c r="L316" s="94">
        <v>0</v>
      </c>
      <c r="O316" t="str">
        <f t="shared" si="5"/>
        <v/>
      </c>
    </row>
    <row r="317" spans="7:15" x14ac:dyDescent="0.3">
      <c r="G317" s="93">
        <v>43602</v>
      </c>
      <c r="H317" t="s">
        <v>121</v>
      </c>
      <c r="I317" t="s">
        <v>108</v>
      </c>
      <c r="J317" t="s">
        <v>199</v>
      </c>
      <c r="K317" s="95">
        <v>684.6</v>
      </c>
      <c r="L317" s="94">
        <v>0</v>
      </c>
      <c r="O317" t="str">
        <f t="shared" si="5"/>
        <v/>
      </c>
    </row>
    <row r="318" spans="7:15" x14ac:dyDescent="0.3">
      <c r="G318" s="93">
        <v>43602</v>
      </c>
      <c r="H318" t="s">
        <v>114</v>
      </c>
      <c r="I318" t="s">
        <v>107</v>
      </c>
      <c r="J318" t="s">
        <v>199</v>
      </c>
      <c r="K318" s="95">
        <v>63.2</v>
      </c>
      <c r="L318" s="94">
        <v>0</v>
      </c>
      <c r="O318" t="str">
        <f t="shared" si="5"/>
        <v/>
      </c>
    </row>
    <row r="319" spans="7:15" x14ac:dyDescent="0.3">
      <c r="G319" s="93">
        <v>43602</v>
      </c>
      <c r="H319" t="s">
        <v>123</v>
      </c>
      <c r="I319" t="s">
        <v>107</v>
      </c>
      <c r="J319" t="s">
        <v>199</v>
      </c>
      <c r="K319" s="95">
        <v>24</v>
      </c>
      <c r="L319" s="94">
        <v>0</v>
      </c>
      <c r="O319" t="str">
        <f t="shared" si="5"/>
        <v/>
      </c>
    </row>
    <row r="320" spans="7:15" x14ac:dyDescent="0.3">
      <c r="G320" s="93">
        <v>43602</v>
      </c>
      <c r="H320" t="s">
        <v>119</v>
      </c>
      <c r="I320" t="s">
        <v>107</v>
      </c>
      <c r="J320" t="s">
        <v>199</v>
      </c>
      <c r="K320" s="95">
        <v>103.5</v>
      </c>
      <c r="L320" s="94">
        <v>0</v>
      </c>
      <c r="O320" t="str">
        <f t="shared" si="5"/>
        <v/>
      </c>
    </row>
    <row r="321" spans="7:15" x14ac:dyDescent="0.3">
      <c r="G321" s="93">
        <v>43602</v>
      </c>
      <c r="H321" t="s">
        <v>120</v>
      </c>
      <c r="I321" t="s">
        <v>40</v>
      </c>
      <c r="J321" t="s">
        <v>199</v>
      </c>
      <c r="K321" s="95">
        <v>26.78</v>
      </c>
      <c r="L321" s="94">
        <v>0</v>
      </c>
      <c r="O321" t="str">
        <f t="shared" si="5"/>
        <v/>
      </c>
    </row>
    <row r="322" spans="7:15" x14ac:dyDescent="0.3">
      <c r="G322" s="93">
        <v>43602</v>
      </c>
      <c r="H322" t="s">
        <v>122</v>
      </c>
      <c r="I322" t="s">
        <v>107</v>
      </c>
      <c r="J322" t="s">
        <v>199</v>
      </c>
      <c r="K322" s="95">
        <v>47.45</v>
      </c>
      <c r="L322" s="94">
        <v>0</v>
      </c>
      <c r="O322" t="str">
        <f t="shared" si="5"/>
        <v/>
      </c>
    </row>
    <row r="323" spans="7:15" x14ac:dyDescent="0.3">
      <c r="G323" s="93">
        <v>43602</v>
      </c>
      <c r="H323" t="s">
        <v>118</v>
      </c>
      <c r="I323" t="s">
        <v>107</v>
      </c>
      <c r="J323" t="s">
        <v>199</v>
      </c>
      <c r="K323" s="95">
        <v>24</v>
      </c>
      <c r="L323" s="94">
        <v>0</v>
      </c>
      <c r="O323" t="str">
        <f t="shared" si="5"/>
        <v/>
      </c>
    </row>
    <row r="324" spans="7:15" x14ac:dyDescent="0.3">
      <c r="G324" s="93">
        <v>43602</v>
      </c>
      <c r="H324" t="s">
        <v>126</v>
      </c>
      <c r="I324" t="s">
        <v>108</v>
      </c>
      <c r="J324" t="s">
        <v>199</v>
      </c>
      <c r="K324" s="95">
        <v>1.2</v>
      </c>
      <c r="L324" s="94">
        <v>0</v>
      </c>
      <c r="O324" t="str">
        <f t="shared" si="5"/>
        <v/>
      </c>
    </row>
    <row r="325" spans="7:15" x14ac:dyDescent="0.3">
      <c r="G325" s="93">
        <v>43602</v>
      </c>
      <c r="H325" t="s">
        <v>129</v>
      </c>
      <c r="I325" t="s">
        <v>61</v>
      </c>
      <c r="J325" t="s">
        <v>199</v>
      </c>
      <c r="K325" s="95">
        <v>74.099999999999994</v>
      </c>
      <c r="L325" s="94">
        <v>0</v>
      </c>
      <c r="O325" t="str">
        <f t="shared" si="5"/>
        <v/>
      </c>
    </row>
    <row r="326" spans="7:15" x14ac:dyDescent="0.3">
      <c r="G326" s="93">
        <v>43602</v>
      </c>
      <c r="H326" t="s">
        <v>129</v>
      </c>
      <c r="I326" t="s">
        <v>108</v>
      </c>
      <c r="J326" t="s">
        <v>199</v>
      </c>
      <c r="K326" s="95">
        <v>46</v>
      </c>
      <c r="L326" s="94">
        <v>0</v>
      </c>
      <c r="O326" t="str">
        <f t="shared" si="5"/>
        <v/>
      </c>
    </row>
    <row r="327" spans="7:15" x14ac:dyDescent="0.3">
      <c r="G327" s="93">
        <v>43602</v>
      </c>
      <c r="H327" t="s">
        <v>111</v>
      </c>
      <c r="I327" t="s">
        <v>108</v>
      </c>
      <c r="J327" t="s">
        <v>199</v>
      </c>
      <c r="K327" s="95">
        <v>383.8</v>
      </c>
      <c r="L327" s="94">
        <v>0</v>
      </c>
      <c r="O327" t="str">
        <f t="shared" si="5"/>
        <v/>
      </c>
    </row>
    <row r="328" spans="7:15" x14ac:dyDescent="0.3">
      <c r="G328" s="93">
        <v>43602</v>
      </c>
      <c r="H328" t="s">
        <v>111</v>
      </c>
      <c r="I328" t="s">
        <v>107</v>
      </c>
      <c r="J328" t="s">
        <v>199</v>
      </c>
      <c r="K328" s="95">
        <v>20.22</v>
      </c>
      <c r="L328" s="94">
        <v>0</v>
      </c>
      <c r="O328" t="str">
        <f t="shared" si="5"/>
        <v/>
      </c>
    </row>
    <row r="329" spans="7:15" x14ac:dyDescent="0.3">
      <c r="G329" s="93">
        <v>43602</v>
      </c>
      <c r="H329" t="s">
        <v>110</v>
      </c>
      <c r="I329" t="s">
        <v>108</v>
      </c>
      <c r="J329" t="s">
        <v>199</v>
      </c>
      <c r="K329" s="95">
        <v>1228.8</v>
      </c>
      <c r="L329" s="94">
        <v>0</v>
      </c>
      <c r="O329" t="str">
        <f t="shared" si="5"/>
        <v/>
      </c>
    </row>
    <row r="330" spans="7:15" x14ac:dyDescent="0.3">
      <c r="G330" s="93">
        <v>43602</v>
      </c>
      <c r="H330" t="s">
        <v>110</v>
      </c>
      <c r="I330" t="s">
        <v>188</v>
      </c>
      <c r="J330" t="s">
        <v>200</v>
      </c>
      <c r="K330" s="95">
        <v>2.27</v>
      </c>
      <c r="L330" s="94">
        <v>0</v>
      </c>
      <c r="O330" t="str">
        <f t="shared" ref="O330:O393" si="6">IF(P330="","",O329+1)</f>
        <v/>
      </c>
    </row>
    <row r="331" spans="7:15" x14ac:dyDescent="0.3">
      <c r="G331" s="93">
        <v>43602</v>
      </c>
      <c r="H331" t="s">
        <v>26</v>
      </c>
      <c r="I331" t="s">
        <v>64</v>
      </c>
      <c r="J331" t="s">
        <v>132</v>
      </c>
      <c r="K331" s="95">
        <v>22.5</v>
      </c>
      <c r="L331" s="94">
        <v>0</v>
      </c>
      <c r="O331" t="str">
        <f t="shared" si="6"/>
        <v/>
      </c>
    </row>
    <row r="332" spans="7:15" x14ac:dyDescent="0.3">
      <c r="G332" s="93">
        <v>43602</v>
      </c>
      <c r="H332" t="s">
        <v>26</v>
      </c>
      <c r="I332" t="s">
        <v>64</v>
      </c>
      <c r="J332" t="s">
        <v>157</v>
      </c>
      <c r="K332" s="95">
        <v>9</v>
      </c>
      <c r="L332" s="94">
        <v>0</v>
      </c>
      <c r="O332" t="str">
        <f t="shared" si="6"/>
        <v/>
      </c>
    </row>
    <row r="333" spans="7:15" x14ac:dyDescent="0.3">
      <c r="G333" s="93">
        <v>43603</v>
      </c>
      <c r="H333" t="s">
        <v>176</v>
      </c>
      <c r="I333" t="s">
        <v>106</v>
      </c>
      <c r="J333" t="s">
        <v>201</v>
      </c>
      <c r="K333" s="95">
        <v>526.63</v>
      </c>
      <c r="L333" s="94">
        <v>0</v>
      </c>
      <c r="O333" t="str">
        <f t="shared" si="6"/>
        <v/>
      </c>
    </row>
    <row r="334" spans="7:15" x14ac:dyDescent="0.3">
      <c r="G334" s="93">
        <v>43603</v>
      </c>
      <c r="H334" t="s">
        <v>116</v>
      </c>
      <c r="I334" t="s">
        <v>61</v>
      </c>
      <c r="J334" t="s">
        <v>201</v>
      </c>
      <c r="K334" s="95">
        <v>12.5</v>
      </c>
      <c r="L334" s="94">
        <v>0</v>
      </c>
      <c r="O334" t="str">
        <f t="shared" si="6"/>
        <v/>
      </c>
    </row>
    <row r="335" spans="7:15" x14ac:dyDescent="0.3">
      <c r="G335" s="93">
        <v>43603</v>
      </c>
      <c r="H335" t="s">
        <v>119</v>
      </c>
      <c r="I335" t="s">
        <v>107</v>
      </c>
      <c r="J335" t="s">
        <v>201</v>
      </c>
      <c r="K335" s="95">
        <v>25.2</v>
      </c>
      <c r="L335" s="94">
        <v>0</v>
      </c>
      <c r="O335" t="str">
        <f t="shared" si="6"/>
        <v/>
      </c>
    </row>
    <row r="336" spans="7:15" x14ac:dyDescent="0.3">
      <c r="G336" s="93">
        <v>43603</v>
      </c>
      <c r="H336" t="s">
        <v>118</v>
      </c>
      <c r="I336" t="s">
        <v>106</v>
      </c>
      <c r="J336" t="s">
        <v>201</v>
      </c>
      <c r="K336" s="95">
        <v>65.75</v>
      </c>
      <c r="L336" s="94">
        <v>0</v>
      </c>
      <c r="O336" t="str">
        <f t="shared" si="6"/>
        <v/>
      </c>
    </row>
    <row r="337" spans="7:15" x14ac:dyDescent="0.3">
      <c r="G337" s="93">
        <v>43603</v>
      </c>
      <c r="H337" t="s">
        <v>24</v>
      </c>
      <c r="I337" t="s">
        <v>61</v>
      </c>
      <c r="J337" t="s">
        <v>201</v>
      </c>
      <c r="K337" s="95">
        <v>96</v>
      </c>
      <c r="L337" s="94">
        <v>0</v>
      </c>
      <c r="O337" t="str">
        <f t="shared" si="6"/>
        <v/>
      </c>
    </row>
    <row r="338" spans="7:15" x14ac:dyDescent="0.3">
      <c r="G338" s="93">
        <v>43603</v>
      </c>
      <c r="H338" t="s">
        <v>24</v>
      </c>
      <c r="I338" t="s">
        <v>61</v>
      </c>
      <c r="J338" t="s">
        <v>201</v>
      </c>
      <c r="K338" s="95">
        <v>80</v>
      </c>
      <c r="L338" s="94">
        <v>0</v>
      </c>
      <c r="O338" t="str">
        <f t="shared" si="6"/>
        <v/>
      </c>
    </row>
    <row r="339" spans="7:15" x14ac:dyDescent="0.3">
      <c r="G339" s="93">
        <v>43603</v>
      </c>
      <c r="H339" t="s">
        <v>24</v>
      </c>
      <c r="I339" t="s">
        <v>61</v>
      </c>
      <c r="J339" t="s">
        <v>201</v>
      </c>
      <c r="K339" s="95">
        <v>64</v>
      </c>
      <c r="L339" s="94">
        <v>0</v>
      </c>
      <c r="O339" t="str">
        <f t="shared" si="6"/>
        <v/>
      </c>
    </row>
    <row r="340" spans="7:15" x14ac:dyDescent="0.3">
      <c r="G340" s="93">
        <v>43603</v>
      </c>
      <c r="H340" t="s">
        <v>24</v>
      </c>
      <c r="I340" t="s">
        <v>61</v>
      </c>
      <c r="J340" t="s">
        <v>201</v>
      </c>
      <c r="K340" s="95">
        <v>56</v>
      </c>
      <c r="L340" s="94">
        <v>0</v>
      </c>
      <c r="O340" t="str">
        <f t="shared" si="6"/>
        <v/>
      </c>
    </row>
    <row r="341" spans="7:15" x14ac:dyDescent="0.3">
      <c r="G341" s="93">
        <v>43603</v>
      </c>
      <c r="H341" t="s">
        <v>24</v>
      </c>
      <c r="I341" t="s">
        <v>61</v>
      </c>
      <c r="J341" t="s">
        <v>201</v>
      </c>
      <c r="K341" s="95">
        <v>40</v>
      </c>
      <c r="L341" s="94">
        <v>0</v>
      </c>
      <c r="O341" t="str">
        <f t="shared" si="6"/>
        <v/>
      </c>
    </row>
    <row r="342" spans="7:15" x14ac:dyDescent="0.3">
      <c r="G342" s="93">
        <v>43603</v>
      </c>
      <c r="H342" t="s">
        <v>24</v>
      </c>
      <c r="I342" t="s">
        <v>61</v>
      </c>
      <c r="J342" t="s">
        <v>201</v>
      </c>
      <c r="K342" s="95">
        <v>32</v>
      </c>
      <c r="L342" s="94">
        <v>0</v>
      </c>
      <c r="O342" t="str">
        <f t="shared" si="6"/>
        <v/>
      </c>
    </row>
    <row r="343" spans="7:15" x14ac:dyDescent="0.3">
      <c r="G343" s="93">
        <v>43603</v>
      </c>
      <c r="H343" t="s">
        <v>24</v>
      </c>
      <c r="I343" t="s">
        <v>61</v>
      </c>
      <c r="J343" t="s">
        <v>201</v>
      </c>
      <c r="K343" s="95">
        <v>24</v>
      </c>
      <c r="L343" s="94">
        <v>0</v>
      </c>
      <c r="O343" t="str">
        <f t="shared" si="6"/>
        <v/>
      </c>
    </row>
    <row r="344" spans="7:15" x14ac:dyDescent="0.3">
      <c r="G344" s="93">
        <v>43603</v>
      </c>
      <c r="H344" t="s">
        <v>24</v>
      </c>
      <c r="I344" t="s">
        <v>61</v>
      </c>
      <c r="J344" t="s">
        <v>201</v>
      </c>
      <c r="K344" s="95">
        <v>16</v>
      </c>
      <c r="L344" s="94">
        <v>0</v>
      </c>
      <c r="O344" t="str">
        <f t="shared" si="6"/>
        <v/>
      </c>
    </row>
    <row r="345" spans="7:15" x14ac:dyDescent="0.3">
      <c r="G345" s="93">
        <v>43603</v>
      </c>
      <c r="H345" t="s">
        <v>24</v>
      </c>
      <c r="I345" t="s">
        <v>61</v>
      </c>
      <c r="J345" t="s">
        <v>201</v>
      </c>
      <c r="K345" s="95">
        <v>8</v>
      </c>
      <c r="L345" s="94">
        <v>0</v>
      </c>
      <c r="O345" t="str">
        <f t="shared" si="6"/>
        <v/>
      </c>
    </row>
    <row r="346" spans="7:15" x14ac:dyDescent="0.3">
      <c r="G346" s="93">
        <v>43603</v>
      </c>
      <c r="H346" t="s">
        <v>26</v>
      </c>
      <c r="I346" t="s">
        <v>107</v>
      </c>
      <c r="J346" t="s">
        <v>201</v>
      </c>
      <c r="K346" s="95">
        <v>40</v>
      </c>
      <c r="L346" s="94">
        <v>0</v>
      </c>
      <c r="O346" t="str">
        <f t="shared" si="6"/>
        <v/>
      </c>
    </row>
    <row r="347" spans="7:15" x14ac:dyDescent="0.3">
      <c r="G347" s="93">
        <v>43603</v>
      </c>
      <c r="H347" t="s">
        <v>26</v>
      </c>
      <c r="I347" t="s">
        <v>107</v>
      </c>
      <c r="J347" t="s">
        <v>201</v>
      </c>
      <c r="K347" s="95">
        <v>12</v>
      </c>
      <c r="L347" s="94">
        <v>0</v>
      </c>
      <c r="O347" t="str">
        <f t="shared" si="6"/>
        <v/>
      </c>
    </row>
    <row r="348" spans="7:15" x14ac:dyDescent="0.3">
      <c r="G348" s="93">
        <v>43605</v>
      </c>
      <c r="H348" t="s">
        <v>114</v>
      </c>
      <c r="I348" t="s">
        <v>108</v>
      </c>
      <c r="J348" t="s">
        <v>202</v>
      </c>
      <c r="K348" s="95">
        <v>0</v>
      </c>
      <c r="L348" s="94">
        <v>9.1999999999999993</v>
      </c>
      <c r="O348" t="str">
        <f t="shared" si="6"/>
        <v/>
      </c>
    </row>
    <row r="349" spans="7:15" x14ac:dyDescent="0.3">
      <c r="G349" s="93">
        <v>43605</v>
      </c>
      <c r="H349" t="s">
        <v>24</v>
      </c>
      <c r="I349" t="s">
        <v>61</v>
      </c>
      <c r="J349" t="s">
        <v>202</v>
      </c>
      <c r="K349" s="95">
        <v>56</v>
      </c>
      <c r="L349" s="94">
        <v>0</v>
      </c>
      <c r="O349" t="str">
        <f t="shared" si="6"/>
        <v/>
      </c>
    </row>
    <row r="350" spans="7:15" x14ac:dyDescent="0.3">
      <c r="G350" s="93">
        <v>43605</v>
      </c>
      <c r="H350" t="s">
        <v>26</v>
      </c>
      <c r="I350" t="s">
        <v>107</v>
      </c>
      <c r="J350" t="s">
        <v>202</v>
      </c>
      <c r="K350" s="95">
        <v>19</v>
      </c>
      <c r="L350" s="94">
        <v>0</v>
      </c>
      <c r="O350" t="str">
        <f t="shared" si="6"/>
        <v/>
      </c>
    </row>
    <row r="351" spans="7:15" x14ac:dyDescent="0.3">
      <c r="G351" s="93">
        <v>43606</v>
      </c>
      <c r="H351" t="s">
        <v>127</v>
      </c>
      <c r="I351" t="s">
        <v>97</v>
      </c>
      <c r="J351" t="s">
        <v>203</v>
      </c>
      <c r="K351" s="95">
        <v>64.86</v>
      </c>
      <c r="L351" s="94">
        <v>0</v>
      </c>
      <c r="O351" t="str">
        <f t="shared" si="6"/>
        <v/>
      </c>
    </row>
    <row r="352" spans="7:15" x14ac:dyDescent="0.3">
      <c r="G352" s="93">
        <v>43606</v>
      </c>
      <c r="H352" t="s">
        <v>25</v>
      </c>
      <c r="I352" t="s">
        <v>61</v>
      </c>
      <c r="J352" t="s">
        <v>203</v>
      </c>
      <c r="K352" s="95">
        <v>8</v>
      </c>
      <c r="L352" s="94">
        <v>0</v>
      </c>
      <c r="O352" t="str">
        <f t="shared" si="6"/>
        <v/>
      </c>
    </row>
    <row r="353" spans="7:15" x14ac:dyDescent="0.3">
      <c r="G353" s="93">
        <v>43606</v>
      </c>
      <c r="H353" t="s">
        <v>113</v>
      </c>
      <c r="I353" t="s">
        <v>107</v>
      </c>
      <c r="J353" t="s">
        <v>203</v>
      </c>
      <c r="K353" s="95">
        <v>55</v>
      </c>
      <c r="L353" s="94">
        <v>0</v>
      </c>
      <c r="O353" t="str">
        <f t="shared" si="6"/>
        <v/>
      </c>
    </row>
    <row r="354" spans="7:15" x14ac:dyDescent="0.3">
      <c r="G354" s="93">
        <v>43606</v>
      </c>
      <c r="H354" t="s">
        <v>118</v>
      </c>
      <c r="I354" t="s">
        <v>106</v>
      </c>
      <c r="J354" t="s">
        <v>203</v>
      </c>
      <c r="K354" s="95">
        <v>32.68</v>
      </c>
      <c r="L354" s="94">
        <v>0</v>
      </c>
      <c r="O354" t="str">
        <f t="shared" si="6"/>
        <v/>
      </c>
    </row>
    <row r="355" spans="7:15" x14ac:dyDescent="0.3">
      <c r="G355" s="93">
        <v>43606</v>
      </c>
      <c r="H355" t="s">
        <v>118</v>
      </c>
      <c r="I355" t="s">
        <v>97</v>
      </c>
      <c r="J355" t="s">
        <v>203</v>
      </c>
      <c r="K355" s="95">
        <v>0</v>
      </c>
      <c r="L355" s="94">
        <v>33.36</v>
      </c>
      <c r="O355" t="str">
        <f t="shared" si="6"/>
        <v/>
      </c>
    </row>
    <row r="356" spans="7:15" x14ac:dyDescent="0.3">
      <c r="G356" s="93">
        <v>43606</v>
      </c>
      <c r="H356" t="s">
        <v>118</v>
      </c>
      <c r="I356" t="s">
        <v>105</v>
      </c>
      <c r="J356" t="s">
        <v>203</v>
      </c>
      <c r="K356" s="95">
        <v>32.1</v>
      </c>
      <c r="L356" s="94">
        <v>0</v>
      </c>
      <c r="O356" t="str">
        <f t="shared" si="6"/>
        <v/>
      </c>
    </row>
    <row r="357" spans="7:15" x14ac:dyDescent="0.3">
      <c r="G357" s="93">
        <v>43606</v>
      </c>
      <c r="H357" t="s">
        <v>24</v>
      </c>
      <c r="I357" t="s">
        <v>61</v>
      </c>
      <c r="J357" t="s">
        <v>203</v>
      </c>
      <c r="K357" s="95">
        <v>72</v>
      </c>
      <c r="L357" s="94">
        <v>0</v>
      </c>
      <c r="O357" t="str">
        <f t="shared" si="6"/>
        <v/>
      </c>
    </row>
    <row r="358" spans="7:15" x14ac:dyDescent="0.3">
      <c r="G358" s="93">
        <v>43606</v>
      </c>
      <c r="H358" t="s">
        <v>24</v>
      </c>
      <c r="I358" t="s">
        <v>61</v>
      </c>
      <c r="J358" t="s">
        <v>203</v>
      </c>
      <c r="K358" s="95">
        <v>56</v>
      </c>
      <c r="L358" s="94">
        <v>0</v>
      </c>
      <c r="O358" t="str">
        <f t="shared" si="6"/>
        <v/>
      </c>
    </row>
    <row r="359" spans="7:15" x14ac:dyDescent="0.3">
      <c r="G359" s="93">
        <v>43606</v>
      </c>
      <c r="H359" t="s">
        <v>24</v>
      </c>
      <c r="I359" t="s">
        <v>61</v>
      </c>
      <c r="J359" t="s">
        <v>203</v>
      </c>
      <c r="K359" s="95">
        <v>24</v>
      </c>
      <c r="L359" s="94">
        <v>0</v>
      </c>
      <c r="O359" t="str">
        <f t="shared" si="6"/>
        <v/>
      </c>
    </row>
    <row r="360" spans="7:15" x14ac:dyDescent="0.3">
      <c r="G360" s="93">
        <v>43606</v>
      </c>
      <c r="H360" t="s">
        <v>24</v>
      </c>
      <c r="I360" t="s">
        <v>61</v>
      </c>
      <c r="J360" t="s">
        <v>203</v>
      </c>
      <c r="K360" s="95">
        <v>16</v>
      </c>
      <c r="L360" s="94">
        <v>0</v>
      </c>
      <c r="O360" t="str">
        <f t="shared" si="6"/>
        <v/>
      </c>
    </row>
    <row r="361" spans="7:15" x14ac:dyDescent="0.3">
      <c r="G361" s="93">
        <v>43606</v>
      </c>
      <c r="H361" t="s">
        <v>24</v>
      </c>
      <c r="I361" t="s">
        <v>61</v>
      </c>
      <c r="J361" t="s">
        <v>203</v>
      </c>
      <c r="K361" s="95">
        <v>8</v>
      </c>
      <c r="L361" s="94">
        <v>0</v>
      </c>
      <c r="O361" t="str">
        <f t="shared" si="6"/>
        <v/>
      </c>
    </row>
    <row r="362" spans="7:15" x14ac:dyDescent="0.3">
      <c r="G362" s="93">
        <v>43606</v>
      </c>
      <c r="H362" t="s">
        <v>112</v>
      </c>
      <c r="I362" t="s">
        <v>108</v>
      </c>
      <c r="J362" t="s">
        <v>203</v>
      </c>
      <c r="K362" s="95">
        <v>35</v>
      </c>
      <c r="L362" s="94">
        <v>0</v>
      </c>
      <c r="O362" t="str">
        <f t="shared" si="6"/>
        <v/>
      </c>
    </row>
    <row r="363" spans="7:15" x14ac:dyDescent="0.3">
      <c r="G363" s="93">
        <v>43606</v>
      </c>
      <c r="H363" t="s">
        <v>125</v>
      </c>
      <c r="I363" t="s">
        <v>105</v>
      </c>
      <c r="J363" t="s">
        <v>203</v>
      </c>
      <c r="K363" s="95">
        <v>23.29</v>
      </c>
      <c r="L363" s="94">
        <v>0</v>
      </c>
      <c r="O363" t="str">
        <f t="shared" si="6"/>
        <v/>
      </c>
    </row>
    <row r="364" spans="7:15" x14ac:dyDescent="0.3">
      <c r="G364" s="93">
        <v>43606</v>
      </c>
      <c r="H364" t="s">
        <v>124</v>
      </c>
      <c r="I364" t="s">
        <v>97</v>
      </c>
      <c r="J364" t="s">
        <v>203</v>
      </c>
      <c r="K364" s="95">
        <v>21.58</v>
      </c>
      <c r="L364" s="94">
        <v>0</v>
      </c>
      <c r="O364" t="str">
        <f t="shared" si="6"/>
        <v/>
      </c>
    </row>
    <row r="365" spans="7:15" x14ac:dyDescent="0.3">
      <c r="G365" s="93">
        <v>43606</v>
      </c>
      <c r="H365" t="s">
        <v>124</v>
      </c>
      <c r="I365" t="s">
        <v>108</v>
      </c>
      <c r="J365" t="s">
        <v>203</v>
      </c>
      <c r="K365" s="95">
        <v>197.95</v>
      </c>
      <c r="L365" s="94">
        <v>0</v>
      </c>
      <c r="O365" t="str">
        <f t="shared" si="6"/>
        <v/>
      </c>
    </row>
    <row r="366" spans="7:15" x14ac:dyDescent="0.3">
      <c r="G366" s="93">
        <v>43606</v>
      </c>
      <c r="H366" t="s">
        <v>111</v>
      </c>
      <c r="I366" t="s">
        <v>107</v>
      </c>
      <c r="J366" t="s">
        <v>203</v>
      </c>
      <c r="K366" s="95">
        <v>30.35</v>
      </c>
      <c r="L366" s="94">
        <v>0</v>
      </c>
      <c r="O366" t="str">
        <f t="shared" si="6"/>
        <v/>
      </c>
    </row>
    <row r="367" spans="7:15" x14ac:dyDescent="0.3">
      <c r="G367" s="93">
        <v>43606</v>
      </c>
      <c r="H367" t="s">
        <v>26</v>
      </c>
      <c r="I367" t="s">
        <v>61</v>
      </c>
      <c r="J367" t="s">
        <v>203</v>
      </c>
      <c r="K367" s="95">
        <v>8</v>
      </c>
      <c r="L367" s="94">
        <v>0</v>
      </c>
      <c r="O367" t="str">
        <f t="shared" si="6"/>
        <v/>
      </c>
    </row>
    <row r="368" spans="7:15" x14ac:dyDescent="0.3">
      <c r="G368" s="93">
        <v>43606</v>
      </c>
      <c r="H368" t="s">
        <v>26</v>
      </c>
      <c r="I368" t="s">
        <v>97</v>
      </c>
      <c r="J368" t="s">
        <v>203</v>
      </c>
      <c r="K368" s="95">
        <v>41.3</v>
      </c>
      <c r="L368" s="94">
        <v>0</v>
      </c>
      <c r="O368" t="str">
        <f t="shared" si="6"/>
        <v/>
      </c>
    </row>
    <row r="369" spans="7:15" x14ac:dyDescent="0.3">
      <c r="G369" s="93">
        <v>43606</v>
      </c>
      <c r="H369" t="s">
        <v>26</v>
      </c>
      <c r="I369" t="s">
        <v>105</v>
      </c>
      <c r="J369" t="s">
        <v>203</v>
      </c>
      <c r="K369" s="95">
        <v>85.82</v>
      </c>
      <c r="L369" s="94">
        <v>0</v>
      </c>
      <c r="O369" t="str">
        <f t="shared" si="6"/>
        <v/>
      </c>
    </row>
    <row r="370" spans="7:15" x14ac:dyDescent="0.3">
      <c r="G370" s="93">
        <v>43606</v>
      </c>
      <c r="H370" t="s">
        <v>26</v>
      </c>
      <c r="I370" t="s">
        <v>105</v>
      </c>
      <c r="J370" t="s">
        <v>203</v>
      </c>
      <c r="K370" s="95">
        <v>82.55</v>
      </c>
      <c r="L370" s="94">
        <v>0</v>
      </c>
      <c r="O370" t="str">
        <f t="shared" si="6"/>
        <v/>
      </c>
    </row>
    <row r="371" spans="7:15" x14ac:dyDescent="0.3">
      <c r="G371" s="93">
        <v>43606</v>
      </c>
      <c r="H371" t="s">
        <v>26</v>
      </c>
      <c r="I371" t="s">
        <v>105</v>
      </c>
      <c r="J371" t="s">
        <v>203</v>
      </c>
      <c r="K371" s="95">
        <v>56.62</v>
      </c>
      <c r="L371" s="94">
        <v>0</v>
      </c>
      <c r="O371" t="str">
        <f t="shared" si="6"/>
        <v/>
      </c>
    </row>
    <row r="372" spans="7:15" x14ac:dyDescent="0.3">
      <c r="G372" s="93">
        <v>43606</v>
      </c>
      <c r="H372" t="s">
        <v>26</v>
      </c>
      <c r="I372" t="s">
        <v>105</v>
      </c>
      <c r="J372" t="s">
        <v>203</v>
      </c>
      <c r="K372" s="95">
        <v>41.97</v>
      </c>
      <c r="L372" s="94">
        <v>0</v>
      </c>
      <c r="O372" t="str">
        <f t="shared" si="6"/>
        <v/>
      </c>
    </row>
    <row r="373" spans="7:15" x14ac:dyDescent="0.3">
      <c r="G373" s="93">
        <v>43606</v>
      </c>
      <c r="H373" t="s">
        <v>26</v>
      </c>
      <c r="I373" t="s">
        <v>105</v>
      </c>
      <c r="J373" t="s">
        <v>203</v>
      </c>
      <c r="K373" s="95">
        <v>37.31</v>
      </c>
      <c r="L373" s="94">
        <v>0</v>
      </c>
      <c r="O373" t="str">
        <f t="shared" si="6"/>
        <v/>
      </c>
    </row>
    <row r="374" spans="7:15" x14ac:dyDescent="0.3">
      <c r="G374" s="93">
        <v>43606</v>
      </c>
      <c r="H374" t="s">
        <v>26</v>
      </c>
      <c r="I374" t="s">
        <v>105</v>
      </c>
      <c r="J374" t="s">
        <v>203</v>
      </c>
      <c r="K374" s="95">
        <v>31.5</v>
      </c>
      <c r="L374" s="94">
        <v>0</v>
      </c>
      <c r="O374" t="str">
        <f t="shared" si="6"/>
        <v/>
      </c>
    </row>
    <row r="375" spans="7:15" x14ac:dyDescent="0.3">
      <c r="G375" s="93">
        <v>43606</v>
      </c>
      <c r="H375" t="s">
        <v>26</v>
      </c>
      <c r="I375" t="s">
        <v>105</v>
      </c>
      <c r="J375" t="s">
        <v>203</v>
      </c>
      <c r="K375" s="95">
        <v>10.99</v>
      </c>
      <c r="L375" s="94">
        <v>0</v>
      </c>
      <c r="O375" t="str">
        <f t="shared" si="6"/>
        <v/>
      </c>
    </row>
    <row r="376" spans="7:15" x14ac:dyDescent="0.3">
      <c r="G376" s="93">
        <v>43606</v>
      </c>
      <c r="H376" t="s">
        <v>26</v>
      </c>
      <c r="I376" t="s">
        <v>108</v>
      </c>
      <c r="J376" t="s">
        <v>203</v>
      </c>
      <c r="K376" s="95">
        <v>28</v>
      </c>
      <c r="L376" s="94">
        <v>0</v>
      </c>
      <c r="O376" t="str">
        <f t="shared" si="6"/>
        <v/>
      </c>
    </row>
    <row r="377" spans="7:15" x14ac:dyDescent="0.3">
      <c r="G377" s="93">
        <v>43606</v>
      </c>
      <c r="H377" t="s">
        <v>26</v>
      </c>
      <c r="I377" t="s">
        <v>64</v>
      </c>
      <c r="J377" t="s">
        <v>160</v>
      </c>
      <c r="K377" s="95">
        <v>22</v>
      </c>
      <c r="L377" s="94">
        <v>0</v>
      </c>
      <c r="O377" t="str">
        <f t="shared" si="6"/>
        <v/>
      </c>
    </row>
    <row r="378" spans="7:15" x14ac:dyDescent="0.3">
      <c r="G378" s="93">
        <v>43606</v>
      </c>
      <c r="H378" t="s">
        <v>26</v>
      </c>
      <c r="I378" t="s">
        <v>64</v>
      </c>
      <c r="J378" t="s">
        <v>177</v>
      </c>
      <c r="K378" s="95">
        <v>10.25</v>
      </c>
      <c r="L378" s="94">
        <v>0</v>
      </c>
      <c r="O378" t="str">
        <f t="shared" si="6"/>
        <v/>
      </c>
    </row>
    <row r="379" spans="7:15" x14ac:dyDescent="0.3">
      <c r="G379" s="93">
        <v>43606</v>
      </c>
      <c r="H379" t="s">
        <v>26</v>
      </c>
      <c r="I379" t="s">
        <v>64</v>
      </c>
      <c r="J379" t="s">
        <v>164</v>
      </c>
      <c r="K379" s="95">
        <v>2</v>
      </c>
      <c r="L379" s="94">
        <v>0</v>
      </c>
      <c r="O379" t="str">
        <f t="shared" si="6"/>
        <v/>
      </c>
    </row>
    <row r="380" spans="7:15" x14ac:dyDescent="0.3">
      <c r="G380" s="93">
        <v>43606</v>
      </c>
      <c r="H380" t="s">
        <v>26</v>
      </c>
      <c r="I380" t="s">
        <v>107</v>
      </c>
      <c r="J380" t="s">
        <v>203</v>
      </c>
      <c r="K380" s="95">
        <v>30.77</v>
      </c>
      <c r="L380" s="94">
        <v>0</v>
      </c>
      <c r="O380" t="str">
        <f t="shared" si="6"/>
        <v/>
      </c>
    </row>
    <row r="381" spans="7:15" x14ac:dyDescent="0.3">
      <c r="G381" s="93">
        <v>43607</v>
      </c>
      <c r="H381" t="s">
        <v>25</v>
      </c>
      <c r="I381" t="s">
        <v>61</v>
      </c>
      <c r="J381" t="s">
        <v>204</v>
      </c>
      <c r="K381" s="95">
        <v>24</v>
      </c>
      <c r="L381" s="94">
        <v>0</v>
      </c>
      <c r="O381" t="str">
        <f t="shared" si="6"/>
        <v/>
      </c>
    </row>
    <row r="382" spans="7:15" x14ac:dyDescent="0.3">
      <c r="G382" s="93">
        <v>43607</v>
      </c>
      <c r="H382" t="s">
        <v>25</v>
      </c>
      <c r="I382" t="s">
        <v>61</v>
      </c>
      <c r="J382" t="s">
        <v>204</v>
      </c>
      <c r="K382" s="95">
        <v>8</v>
      </c>
      <c r="L382" s="94">
        <v>0</v>
      </c>
      <c r="O382" t="str">
        <f t="shared" si="6"/>
        <v/>
      </c>
    </row>
    <row r="383" spans="7:15" x14ac:dyDescent="0.3">
      <c r="G383" s="93">
        <v>43607</v>
      </c>
      <c r="H383" t="s">
        <v>113</v>
      </c>
      <c r="I383" t="s">
        <v>107</v>
      </c>
      <c r="J383" t="s">
        <v>204</v>
      </c>
      <c r="K383" s="95">
        <v>7.78</v>
      </c>
      <c r="L383" s="94">
        <v>0</v>
      </c>
      <c r="O383" t="str">
        <f t="shared" si="6"/>
        <v/>
      </c>
    </row>
    <row r="384" spans="7:15" x14ac:dyDescent="0.3">
      <c r="G384" s="93">
        <v>43607</v>
      </c>
      <c r="H384" t="s">
        <v>119</v>
      </c>
      <c r="I384" t="s">
        <v>156</v>
      </c>
      <c r="J384" t="s">
        <v>204</v>
      </c>
      <c r="K384" s="95">
        <v>50</v>
      </c>
      <c r="L384" s="94">
        <v>0</v>
      </c>
      <c r="O384" t="str">
        <f t="shared" si="6"/>
        <v/>
      </c>
    </row>
    <row r="385" spans="7:15" x14ac:dyDescent="0.3">
      <c r="G385" s="93">
        <v>43607</v>
      </c>
      <c r="H385" t="s">
        <v>182</v>
      </c>
      <c r="I385" t="s">
        <v>106</v>
      </c>
      <c r="J385" t="s">
        <v>204</v>
      </c>
      <c r="K385" s="95">
        <v>600</v>
      </c>
      <c r="L385" s="94">
        <v>0</v>
      </c>
      <c r="O385" t="str">
        <f t="shared" si="6"/>
        <v/>
      </c>
    </row>
    <row r="386" spans="7:15" x14ac:dyDescent="0.3">
      <c r="G386" s="93">
        <v>43607</v>
      </c>
      <c r="H386" t="s">
        <v>24</v>
      </c>
      <c r="I386" t="s">
        <v>61</v>
      </c>
      <c r="J386" t="s">
        <v>204</v>
      </c>
      <c r="K386" s="95">
        <v>16</v>
      </c>
      <c r="L386" s="94">
        <v>0</v>
      </c>
      <c r="O386" t="str">
        <f t="shared" si="6"/>
        <v/>
      </c>
    </row>
    <row r="387" spans="7:15" x14ac:dyDescent="0.3">
      <c r="G387" s="93">
        <v>43607</v>
      </c>
      <c r="H387" t="s">
        <v>24</v>
      </c>
      <c r="I387" t="s">
        <v>61</v>
      </c>
      <c r="J387" t="s">
        <v>204</v>
      </c>
      <c r="K387" s="95">
        <v>8</v>
      </c>
      <c r="L387" s="94">
        <v>0</v>
      </c>
      <c r="O387" t="str">
        <f t="shared" si="6"/>
        <v/>
      </c>
    </row>
    <row r="388" spans="7:15" x14ac:dyDescent="0.3">
      <c r="G388" s="93">
        <v>43607</v>
      </c>
      <c r="H388" t="s">
        <v>111</v>
      </c>
      <c r="I388" t="s">
        <v>61</v>
      </c>
      <c r="J388" t="s">
        <v>204</v>
      </c>
      <c r="K388" s="95">
        <v>59.8</v>
      </c>
      <c r="L388" s="94">
        <v>0</v>
      </c>
      <c r="O388" t="str">
        <f t="shared" si="6"/>
        <v/>
      </c>
    </row>
    <row r="389" spans="7:15" x14ac:dyDescent="0.3">
      <c r="G389" s="93">
        <v>43607</v>
      </c>
      <c r="H389" t="s">
        <v>111</v>
      </c>
      <c r="I389" t="s">
        <v>106</v>
      </c>
      <c r="J389" t="s">
        <v>204</v>
      </c>
      <c r="K389" s="95">
        <v>33</v>
      </c>
      <c r="L389" s="94">
        <v>0</v>
      </c>
      <c r="O389" t="str">
        <f t="shared" si="6"/>
        <v/>
      </c>
    </row>
    <row r="390" spans="7:15" x14ac:dyDescent="0.3">
      <c r="G390" s="93">
        <v>43607</v>
      </c>
      <c r="H390" t="s">
        <v>111</v>
      </c>
      <c r="I390" t="s">
        <v>107</v>
      </c>
      <c r="J390" t="s">
        <v>204</v>
      </c>
      <c r="K390" s="95">
        <v>10</v>
      </c>
      <c r="L390" s="94">
        <v>0</v>
      </c>
      <c r="O390" t="str">
        <f t="shared" si="6"/>
        <v/>
      </c>
    </row>
    <row r="391" spans="7:15" x14ac:dyDescent="0.3">
      <c r="G391" s="93">
        <v>43607</v>
      </c>
      <c r="H391" t="s">
        <v>26</v>
      </c>
      <c r="I391" t="s">
        <v>64</v>
      </c>
      <c r="J391" t="s">
        <v>174</v>
      </c>
      <c r="K391" s="95">
        <v>9.1999999999999993</v>
      </c>
      <c r="L391" s="94">
        <v>0</v>
      </c>
      <c r="O391" t="str">
        <f t="shared" si="6"/>
        <v/>
      </c>
    </row>
    <row r="392" spans="7:15" x14ac:dyDescent="0.3">
      <c r="G392" s="93">
        <v>43607</v>
      </c>
      <c r="H392" t="s">
        <v>26</v>
      </c>
      <c r="I392" t="s">
        <v>64</v>
      </c>
      <c r="J392" t="s">
        <v>158</v>
      </c>
      <c r="K392" s="95">
        <v>16.7</v>
      </c>
      <c r="L392" s="94">
        <v>0</v>
      </c>
      <c r="O392" t="str">
        <f t="shared" si="6"/>
        <v/>
      </c>
    </row>
    <row r="393" spans="7:15" x14ac:dyDescent="0.3">
      <c r="G393" s="93">
        <v>43607</v>
      </c>
      <c r="H393" t="s">
        <v>26</v>
      </c>
      <c r="I393" t="s">
        <v>64</v>
      </c>
      <c r="J393" t="s">
        <v>73</v>
      </c>
      <c r="K393" s="95">
        <v>34.799999999999997</v>
      </c>
      <c r="L393" s="94">
        <v>0</v>
      </c>
      <c r="O393" t="str">
        <f t="shared" si="6"/>
        <v/>
      </c>
    </row>
    <row r="394" spans="7:15" x14ac:dyDescent="0.3">
      <c r="G394" s="93">
        <v>43607</v>
      </c>
      <c r="H394" t="s">
        <v>26</v>
      </c>
      <c r="I394" t="s">
        <v>64</v>
      </c>
      <c r="J394" t="s">
        <v>155</v>
      </c>
      <c r="K394" s="95">
        <v>16.399999999999999</v>
      </c>
      <c r="L394" s="94">
        <v>0</v>
      </c>
      <c r="O394" t="str">
        <f t="shared" ref="O394:O457" si="7">IF(P394="","",O393+1)</f>
        <v/>
      </c>
    </row>
    <row r="395" spans="7:15" x14ac:dyDescent="0.3">
      <c r="G395" s="93">
        <v>43607</v>
      </c>
      <c r="H395" t="s">
        <v>26</v>
      </c>
      <c r="I395" t="s">
        <v>64</v>
      </c>
      <c r="J395" t="s">
        <v>171</v>
      </c>
      <c r="K395" s="95">
        <v>21.6</v>
      </c>
      <c r="L395" s="94">
        <v>0</v>
      </c>
      <c r="O395" t="str">
        <f t="shared" si="7"/>
        <v/>
      </c>
    </row>
    <row r="396" spans="7:15" x14ac:dyDescent="0.3">
      <c r="G396" s="93">
        <v>43607</v>
      </c>
      <c r="H396" t="s">
        <v>26</v>
      </c>
      <c r="I396" t="s">
        <v>64</v>
      </c>
      <c r="J396" t="s">
        <v>166</v>
      </c>
      <c r="K396" s="95">
        <v>16.399999999999999</v>
      </c>
      <c r="L396" s="94">
        <v>0</v>
      </c>
      <c r="O396" t="str">
        <f t="shared" si="7"/>
        <v/>
      </c>
    </row>
    <row r="397" spans="7:15" x14ac:dyDescent="0.3">
      <c r="G397" s="93">
        <v>43607</v>
      </c>
      <c r="H397" t="s">
        <v>26</v>
      </c>
      <c r="I397" t="s">
        <v>107</v>
      </c>
      <c r="J397" t="s">
        <v>204</v>
      </c>
      <c r="K397" s="95">
        <v>39</v>
      </c>
      <c r="L397" s="94">
        <v>0</v>
      </c>
      <c r="O397" t="str">
        <f t="shared" si="7"/>
        <v/>
      </c>
    </row>
    <row r="398" spans="7:15" x14ac:dyDescent="0.3">
      <c r="G398" s="93">
        <v>43607</v>
      </c>
      <c r="H398" t="s">
        <v>26</v>
      </c>
      <c r="I398" t="s">
        <v>107</v>
      </c>
      <c r="J398" t="s">
        <v>204</v>
      </c>
      <c r="K398" s="95">
        <v>30</v>
      </c>
      <c r="L398" s="94">
        <v>0</v>
      </c>
      <c r="O398" t="str">
        <f t="shared" si="7"/>
        <v/>
      </c>
    </row>
    <row r="399" spans="7:15" x14ac:dyDescent="0.3">
      <c r="G399" s="93">
        <v>43608</v>
      </c>
      <c r="H399" t="s">
        <v>25</v>
      </c>
      <c r="I399" t="s">
        <v>61</v>
      </c>
      <c r="J399" t="s">
        <v>205</v>
      </c>
      <c r="K399" s="95">
        <v>56</v>
      </c>
      <c r="L399" s="94">
        <v>0</v>
      </c>
      <c r="O399" t="str">
        <f t="shared" si="7"/>
        <v/>
      </c>
    </row>
    <row r="400" spans="7:15" x14ac:dyDescent="0.3">
      <c r="G400" s="93">
        <v>43608</v>
      </c>
      <c r="H400" t="s">
        <v>176</v>
      </c>
      <c r="I400" t="s">
        <v>108</v>
      </c>
      <c r="J400" t="s">
        <v>205</v>
      </c>
      <c r="K400" s="95">
        <v>0</v>
      </c>
      <c r="L400" s="94">
        <v>14</v>
      </c>
      <c r="O400" t="str">
        <f t="shared" si="7"/>
        <v/>
      </c>
    </row>
    <row r="401" spans="7:15" x14ac:dyDescent="0.3">
      <c r="G401" s="93">
        <v>43608</v>
      </c>
      <c r="H401" t="s">
        <v>115</v>
      </c>
      <c r="I401" t="s">
        <v>108</v>
      </c>
      <c r="J401" t="s">
        <v>205</v>
      </c>
      <c r="K401" s="95">
        <v>14</v>
      </c>
      <c r="L401" s="94">
        <v>0</v>
      </c>
      <c r="O401" t="str">
        <f t="shared" si="7"/>
        <v/>
      </c>
    </row>
    <row r="402" spans="7:15" x14ac:dyDescent="0.3">
      <c r="G402" s="93">
        <v>43608</v>
      </c>
      <c r="H402" t="s">
        <v>24</v>
      </c>
      <c r="I402" t="s">
        <v>61</v>
      </c>
      <c r="J402" t="s">
        <v>205</v>
      </c>
      <c r="K402" s="95">
        <v>40</v>
      </c>
      <c r="L402" s="94">
        <v>0</v>
      </c>
      <c r="O402" t="str">
        <f t="shared" si="7"/>
        <v/>
      </c>
    </row>
    <row r="403" spans="7:15" x14ac:dyDescent="0.3">
      <c r="G403" s="93">
        <v>43608</v>
      </c>
      <c r="H403" t="s">
        <v>24</v>
      </c>
      <c r="I403" t="s">
        <v>61</v>
      </c>
      <c r="J403" t="s">
        <v>205</v>
      </c>
      <c r="K403" s="95">
        <v>16</v>
      </c>
      <c r="L403" s="94">
        <v>0</v>
      </c>
      <c r="O403" t="str">
        <f t="shared" si="7"/>
        <v/>
      </c>
    </row>
    <row r="404" spans="7:15" x14ac:dyDescent="0.3">
      <c r="G404" s="93">
        <v>43608</v>
      </c>
      <c r="H404" t="s">
        <v>24</v>
      </c>
      <c r="I404" t="s">
        <v>61</v>
      </c>
      <c r="J404" t="s">
        <v>205</v>
      </c>
      <c r="K404" s="95">
        <v>8</v>
      </c>
      <c r="L404" s="94">
        <v>0</v>
      </c>
      <c r="O404" t="str">
        <f t="shared" si="7"/>
        <v/>
      </c>
    </row>
    <row r="405" spans="7:15" x14ac:dyDescent="0.3">
      <c r="G405" s="93">
        <v>43608</v>
      </c>
      <c r="H405" t="s">
        <v>112</v>
      </c>
      <c r="I405" t="s">
        <v>107</v>
      </c>
      <c r="J405" t="s">
        <v>205</v>
      </c>
      <c r="K405" s="95">
        <v>55.75</v>
      </c>
      <c r="L405" s="94">
        <v>0</v>
      </c>
      <c r="O405" t="str">
        <f t="shared" si="7"/>
        <v/>
      </c>
    </row>
    <row r="406" spans="7:15" x14ac:dyDescent="0.3">
      <c r="G406" s="93">
        <v>43608</v>
      </c>
      <c r="H406" t="s">
        <v>26</v>
      </c>
      <c r="I406" t="s">
        <v>97</v>
      </c>
      <c r="J406" t="s">
        <v>205</v>
      </c>
      <c r="K406" s="95">
        <v>0</v>
      </c>
      <c r="L406" s="94">
        <v>8</v>
      </c>
      <c r="O406" t="str">
        <f t="shared" si="7"/>
        <v/>
      </c>
    </row>
    <row r="407" spans="7:15" x14ac:dyDescent="0.3">
      <c r="G407" s="93">
        <v>43608</v>
      </c>
      <c r="H407" t="s">
        <v>26</v>
      </c>
      <c r="I407" t="s">
        <v>64</v>
      </c>
      <c r="J407" t="s">
        <v>181</v>
      </c>
      <c r="K407" s="95">
        <v>16.399999999999999</v>
      </c>
      <c r="L407" s="94">
        <v>0</v>
      </c>
      <c r="O407" t="str">
        <f t="shared" si="7"/>
        <v/>
      </c>
    </row>
    <row r="408" spans="7:15" x14ac:dyDescent="0.3">
      <c r="G408" s="93">
        <v>43609</v>
      </c>
      <c r="H408" t="s">
        <v>25</v>
      </c>
      <c r="I408" t="s">
        <v>61</v>
      </c>
      <c r="J408" t="s">
        <v>206</v>
      </c>
      <c r="K408" s="95">
        <v>8</v>
      </c>
      <c r="L408" s="94">
        <v>0</v>
      </c>
      <c r="O408" t="str">
        <f t="shared" si="7"/>
        <v/>
      </c>
    </row>
    <row r="409" spans="7:15" x14ac:dyDescent="0.3">
      <c r="G409" s="93">
        <v>43609</v>
      </c>
      <c r="H409" t="s">
        <v>176</v>
      </c>
      <c r="I409" t="s">
        <v>107</v>
      </c>
      <c r="J409" t="s">
        <v>206</v>
      </c>
      <c r="K409" s="95">
        <v>401</v>
      </c>
      <c r="L409" s="94">
        <v>0</v>
      </c>
      <c r="O409" t="str">
        <f t="shared" si="7"/>
        <v/>
      </c>
    </row>
    <row r="410" spans="7:15" x14ac:dyDescent="0.3">
      <c r="G410" s="93">
        <v>43609</v>
      </c>
      <c r="H410" t="s">
        <v>115</v>
      </c>
      <c r="I410" t="s">
        <v>107</v>
      </c>
      <c r="J410" t="s">
        <v>206</v>
      </c>
      <c r="K410" s="95">
        <v>5</v>
      </c>
      <c r="L410" s="94">
        <v>0</v>
      </c>
      <c r="O410" t="str">
        <f t="shared" si="7"/>
        <v/>
      </c>
    </row>
    <row r="411" spans="7:15" x14ac:dyDescent="0.3">
      <c r="G411" s="93">
        <v>43609</v>
      </c>
      <c r="H411" t="s">
        <v>114</v>
      </c>
      <c r="I411" t="s">
        <v>107</v>
      </c>
      <c r="J411" t="s">
        <v>206</v>
      </c>
      <c r="K411" s="95">
        <v>10</v>
      </c>
      <c r="L411" s="94">
        <v>0</v>
      </c>
      <c r="O411" t="str">
        <f t="shared" si="7"/>
        <v/>
      </c>
    </row>
    <row r="412" spans="7:15" x14ac:dyDescent="0.3">
      <c r="G412" s="93">
        <v>43609</v>
      </c>
      <c r="H412" t="s">
        <v>123</v>
      </c>
      <c r="I412" t="s">
        <v>107</v>
      </c>
      <c r="J412" t="s">
        <v>206</v>
      </c>
      <c r="K412" s="95">
        <v>796.6</v>
      </c>
      <c r="L412" s="94">
        <v>0</v>
      </c>
      <c r="O412" t="str">
        <f t="shared" si="7"/>
        <v/>
      </c>
    </row>
    <row r="413" spans="7:15" x14ac:dyDescent="0.3">
      <c r="G413" s="93">
        <v>43609</v>
      </c>
      <c r="H413" t="s">
        <v>113</v>
      </c>
      <c r="I413" t="s">
        <v>109</v>
      </c>
      <c r="J413" t="s">
        <v>206</v>
      </c>
      <c r="K413" s="95">
        <v>25</v>
      </c>
      <c r="L413" s="94">
        <v>0</v>
      </c>
      <c r="O413" t="str">
        <f t="shared" si="7"/>
        <v/>
      </c>
    </row>
    <row r="414" spans="7:15" x14ac:dyDescent="0.3">
      <c r="G414" s="93">
        <v>43609</v>
      </c>
      <c r="H414" t="s">
        <v>119</v>
      </c>
      <c r="I414" t="s">
        <v>107</v>
      </c>
      <c r="J414" t="s">
        <v>206</v>
      </c>
      <c r="K414" s="95">
        <v>50.5</v>
      </c>
      <c r="L414" s="94">
        <v>0</v>
      </c>
      <c r="O414" t="str">
        <f t="shared" si="7"/>
        <v/>
      </c>
    </row>
    <row r="415" spans="7:15" x14ac:dyDescent="0.3">
      <c r="G415" s="93">
        <v>43609</v>
      </c>
      <c r="H415" t="s">
        <v>118</v>
      </c>
      <c r="I415" t="s">
        <v>97</v>
      </c>
      <c r="J415" t="s">
        <v>206</v>
      </c>
      <c r="K415" s="95">
        <v>17.5</v>
      </c>
      <c r="L415" s="94">
        <v>0</v>
      </c>
      <c r="O415" t="str">
        <f t="shared" si="7"/>
        <v/>
      </c>
    </row>
    <row r="416" spans="7:15" x14ac:dyDescent="0.3">
      <c r="G416" s="93">
        <v>43609</v>
      </c>
      <c r="H416" t="s">
        <v>118</v>
      </c>
      <c r="I416" t="s">
        <v>107</v>
      </c>
      <c r="J416" t="s">
        <v>206</v>
      </c>
      <c r="K416" s="95">
        <v>167.3</v>
      </c>
      <c r="L416" s="94">
        <v>0</v>
      </c>
      <c r="O416" t="str">
        <f t="shared" si="7"/>
        <v/>
      </c>
    </row>
    <row r="417" spans="7:15" x14ac:dyDescent="0.3">
      <c r="G417" s="93">
        <v>43609</v>
      </c>
      <c r="H417" t="s">
        <v>161</v>
      </c>
      <c r="I417" t="s">
        <v>107</v>
      </c>
      <c r="J417" t="s">
        <v>206</v>
      </c>
      <c r="K417" s="95">
        <v>10</v>
      </c>
      <c r="L417" s="94">
        <v>0</v>
      </c>
      <c r="O417" t="str">
        <f t="shared" si="7"/>
        <v/>
      </c>
    </row>
    <row r="418" spans="7:15" x14ac:dyDescent="0.3">
      <c r="G418" s="93">
        <v>43609</v>
      </c>
      <c r="H418" t="s">
        <v>24</v>
      </c>
      <c r="I418" t="s">
        <v>61</v>
      </c>
      <c r="J418" t="s">
        <v>206</v>
      </c>
      <c r="K418" s="95">
        <v>8</v>
      </c>
      <c r="L418" s="94">
        <v>0</v>
      </c>
      <c r="O418" t="str">
        <f t="shared" si="7"/>
        <v/>
      </c>
    </row>
    <row r="419" spans="7:15" x14ac:dyDescent="0.3">
      <c r="G419" s="93">
        <v>43609</v>
      </c>
      <c r="H419" t="s">
        <v>129</v>
      </c>
      <c r="I419" t="s">
        <v>97</v>
      </c>
      <c r="J419" t="s">
        <v>206</v>
      </c>
      <c r="K419" s="95">
        <v>31.5</v>
      </c>
      <c r="L419" s="94">
        <v>0</v>
      </c>
      <c r="O419" t="str">
        <f t="shared" si="7"/>
        <v/>
      </c>
    </row>
    <row r="420" spans="7:15" x14ac:dyDescent="0.3">
      <c r="G420" s="93">
        <v>43609</v>
      </c>
      <c r="H420" t="s">
        <v>117</v>
      </c>
      <c r="I420" t="s">
        <v>40</v>
      </c>
      <c r="J420" t="s">
        <v>206</v>
      </c>
      <c r="K420" s="95">
        <v>44</v>
      </c>
      <c r="L420" s="94">
        <v>0</v>
      </c>
      <c r="O420" t="str">
        <f t="shared" si="7"/>
        <v/>
      </c>
    </row>
    <row r="421" spans="7:15" x14ac:dyDescent="0.3">
      <c r="G421" s="93">
        <v>43609</v>
      </c>
      <c r="H421" t="s">
        <v>124</v>
      </c>
      <c r="I421" t="s">
        <v>107</v>
      </c>
      <c r="J421" t="s">
        <v>206</v>
      </c>
      <c r="K421" s="95">
        <v>514.4</v>
      </c>
      <c r="L421" s="94">
        <v>0</v>
      </c>
      <c r="O421" t="str">
        <f t="shared" si="7"/>
        <v/>
      </c>
    </row>
    <row r="422" spans="7:15" x14ac:dyDescent="0.3">
      <c r="G422" s="93">
        <v>43609</v>
      </c>
      <c r="H422" t="s">
        <v>26</v>
      </c>
      <c r="I422" t="s">
        <v>97</v>
      </c>
      <c r="J422" t="s">
        <v>206</v>
      </c>
      <c r="K422" s="95">
        <v>148</v>
      </c>
      <c r="L422" s="94">
        <v>0</v>
      </c>
      <c r="O422" t="str">
        <f t="shared" si="7"/>
        <v/>
      </c>
    </row>
    <row r="423" spans="7:15" x14ac:dyDescent="0.3">
      <c r="G423" s="93">
        <v>43609</v>
      </c>
      <c r="H423" t="s">
        <v>26</v>
      </c>
      <c r="I423" t="s">
        <v>97</v>
      </c>
      <c r="J423" t="s">
        <v>206</v>
      </c>
      <c r="K423" s="95">
        <v>73.319999999999993</v>
      </c>
      <c r="L423" s="94">
        <v>0</v>
      </c>
      <c r="O423" t="str">
        <f t="shared" si="7"/>
        <v/>
      </c>
    </row>
    <row r="424" spans="7:15" x14ac:dyDescent="0.3">
      <c r="G424" s="93">
        <v>43609</v>
      </c>
      <c r="H424" t="s">
        <v>26</v>
      </c>
      <c r="I424" t="s">
        <v>97</v>
      </c>
      <c r="J424" t="s">
        <v>206</v>
      </c>
      <c r="K424" s="95">
        <v>25.66</v>
      </c>
      <c r="L424" s="94">
        <v>0</v>
      </c>
      <c r="O424" t="str">
        <f t="shared" si="7"/>
        <v/>
      </c>
    </row>
    <row r="425" spans="7:15" x14ac:dyDescent="0.3">
      <c r="G425" s="93">
        <v>43609</v>
      </c>
      <c r="H425" t="s">
        <v>26</v>
      </c>
      <c r="I425" t="s">
        <v>97</v>
      </c>
      <c r="J425" t="s">
        <v>206</v>
      </c>
      <c r="K425" s="95">
        <v>23.99</v>
      </c>
      <c r="L425" s="94">
        <v>0</v>
      </c>
      <c r="O425" t="str">
        <f t="shared" si="7"/>
        <v/>
      </c>
    </row>
    <row r="426" spans="7:15" x14ac:dyDescent="0.3">
      <c r="G426" s="93">
        <v>43609</v>
      </c>
      <c r="H426" t="s">
        <v>26</v>
      </c>
      <c r="I426" t="s">
        <v>97</v>
      </c>
      <c r="J426" t="s">
        <v>206</v>
      </c>
      <c r="K426" s="95">
        <v>23.95</v>
      </c>
      <c r="L426" s="94">
        <v>0</v>
      </c>
      <c r="O426" t="str">
        <f t="shared" si="7"/>
        <v/>
      </c>
    </row>
    <row r="427" spans="7:15" x14ac:dyDescent="0.3">
      <c r="G427" s="93">
        <v>43609</v>
      </c>
      <c r="H427" t="s">
        <v>26</v>
      </c>
      <c r="I427" t="s">
        <v>105</v>
      </c>
      <c r="J427" t="s">
        <v>206</v>
      </c>
      <c r="K427" s="95">
        <v>99.51</v>
      </c>
      <c r="L427" s="94">
        <v>0</v>
      </c>
      <c r="O427" t="str">
        <f t="shared" si="7"/>
        <v/>
      </c>
    </row>
    <row r="428" spans="7:15" x14ac:dyDescent="0.3">
      <c r="G428" s="93">
        <v>43609</v>
      </c>
      <c r="H428" t="s">
        <v>26</v>
      </c>
      <c r="I428" t="s">
        <v>105</v>
      </c>
      <c r="J428" t="s">
        <v>206</v>
      </c>
      <c r="K428" s="95">
        <v>97.75</v>
      </c>
      <c r="L428" s="94">
        <v>0</v>
      </c>
      <c r="O428" t="str">
        <f t="shared" si="7"/>
        <v/>
      </c>
    </row>
    <row r="429" spans="7:15" x14ac:dyDescent="0.3">
      <c r="G429" s="93">
        <v>43609</v>
      </c>
      <c r="H429" t="s">
        <v>26</v>
      </c>
      <c r="I429" t="s">
        <v>105</v>
      </c>
      <c r="J429" t="s">
        <v>206</v>
      </c>
      <c r="K429" s="95">
        <v>43.73</v>
      </c>
      <c r="L429" s="94">
        <v>0</v>
      </c>
      <c r="O429" t="str">
        <f t="shared" si="7"/>
        <v/>
      </c>
    </row>
    <row r="430" spans="7:15" x14ac:dyDescent="0.3">
      <c r="G430" s="93">
        <v>43609</v>
      </c>
      <c r="H430" t="s">
        <v>26</v>
      </c>
      <c r="I430" t="s">
        <v>105</v>
      </c>
      <c r="J430" t="s">
        <v>206</v>
      </c>
      <c r="K430" s="95">
        <v>25.97</v>
      </c>
      <c r="L430" s="94">
        <v>0</v>
      </c>
      <c r="O430" t="str">
        <f t="shared" si="7"/>
        <v/>
      </c>
    </row>
    <row r="431" spans="7:15" x14ac:dyDescent="0.3">
      <c r="G431" s="93">
        <v>43610</v>
      </c>
      <c r="H431" t="s">
        <v>127</v>
      </c>
      <c r="I431" t="s">
        <v>207</v>
      </c>
      <c r="J431" t="s">
        <v>208</v>
      </c>
      <c r="K431" s="95">
        <v>516.86</v>
      </c>
      <c r="L431" s="94">
        <v>0</v>
      </c>
      <c r="O431" t="str">
        <f t="shared" si="7"/>
        <v/>
      </c>
    </row>
    <row r="432" spans="7:15" x14ac:dyDescent="0.3">
      <c r="G432" s="93">
        <v>43610</v>
      </c>
      <c r="H432" t="s">
        <v>25</v>
      </c>
      <c r="I432" t="s">
        <v>61</v>
      </c>
      <c r="J432" t="s">
        <v>209</v>
      </c>
      <c r="K432" s="95">
        <v>8</v>
      </c>
      <c r="L432" s="94">
        <v>0</v>
      </c>
      <c r="O432" t="str">
        <f t="shared" si="7"/>
        <v/>
      </c>
    </row>
    <row r="433" spans="7:15" x14ac:dyDescent="0.3">
      <c r="G433" s="93">
        <v>43610</v>
      </c>
      <c r="H433" t="s">
        <v>25</v>
      </c>
      <c r="I433" t="s">
        <v>207</v>
      </c>
      <c r="J433" t="s">
        <v>208</v>
      </c>
      <c r="K433" s="95">
        <v>269.23</v>
      </c>
      <c r="L433" s="94">
        <v>0</v>
      </c>
      <c r="O433" t="str">
        <f t="shared" si="7"/>
        <v/>
      </c>
    </row>
    <row r="434" spans="7:15" x14ac:dyDescent="0.3">
      <c r="G434" s="93">
        <v>43610</v>
      </c>
      <c r="H434" t="s">
        <v>25</v>
      </c>
      <c r="I434" t="s">
        <v>207</v>
      </c>
      <c r="J434" t="s">
        <v>208</v>
      </c>
      <c r="K434" s="95">
        <v>199.9</v>
      </c>
      <c r="L434" s="94">
        <v>0</v>
      </c>
      <c r="O434" t="str">
        <f t="shared" si="7"/>
        <v/>
      </c>
    </row>
    <row r="435" spans="7:15" x14ac:dyDescent="0.3">
      <c r="G435" s="93">
        <v>43610</v>
      </c>
      <c r="H435" t="s">
        <v>25</v>
      </c>
      <c r="I435" t="s">
        <v>207</v>
      </c>
      <c r="J435" t="s">
        <v>208</v>
      </c>
      <c r="K435" s="95">
        <v>150.13</v>
      </c>
      <c r="L435" s="94">
        <v>0</v>
      </c>
      <c r="O435" t="str">
        <f t="shared" si="7"/>
        <v/>
      </c>
    </row>
    <row r="436" spans="7:15" x14ac:dyDescent="0.3">
      <c r="G436" s="93">
        <v>43610</v>
      </c>
      <c r="H436" t="s">
        <v>25</v>
      </c>
      <c r="I436" t="s">
        <v>207</v>
      </c>
      <c r="J436" t="s">
        <v>208</v>
      </c>
      <c r="K436" s="95">
        <v>125.74</v>
      </c>
      <c r="L436" s="94">
        <v>0</v>
      </c>
      <c r="O436" t="str">
        <f t="shared" si="7"/>
        <v/>
      </c>
    </row>
    <row r="437" spans="7:15" x14ac:dyDescent="0.3">
      <c r="G437" s="93">
        <v>43610</v>
      </c>
      <c r="H437" t="s">
        <v>25</v>
      </c>
      <c r="I437" t="s">
        <v>207</v>
      </c>
      <c r="J437" t="s">
        <v>208</v>
      </c>
      <c r="K437" s="95">
        <v>83.96</v>
      </c>
      <c r="L437" s="94">
        <v>0</v>
      </c>
      <c r="O437" t="str">
        <f t="shared" si="7"/>
        <v/>
      </c>
    </row>
    <row r="438" spans="7:15" x14ac:dyDescent="0.3">
      <c r="G438" s="93">
        <v>43610</v>
      </c>
      <c r="H438" t="s">
        <v>25</v>
      </c>
      <c r="I438" t="s">
        <v>207</v>
      </c>
      <c r="J438" t="s">
        <v>208</v>
      </c>
      <c r="K438" s="95">
        <v>76.97</v>
      </c>
      <c r="L438" s="94">
        <v>0</v>
      </c>
      <c r="O438" t="str">
        <f t="shared" si="7"/>
        <v/>
      </c>
    </row>
    <row r="439" spans="7:15" x14ac:dyDescent="0.3">
      <c r="G439" s="93">
        <v>43610</v>
      </c>
      <c r="H439" t="s">
        <v>25</v>
      </c>
      <c r="I439" t="s">
        <v>207</v>
      </c>
      <c r="J439" t="s">
        <v>208</v>
      </c>
      <c r="K439" s="95">
        <v>73.849999999999994</v>
      </c>
      <c r="L439" s="94">
        <v>0</v>
      </c>
      <c r="O439" t="str">
        <f t="shared" si="7"/>
        <v/>
      </c>
    </row>
    <row r="440" spans="7:15" x14ac:dyDescent="0.3">
      <c r="G440" s="93">
        <v>43610</v>
      </c>
      <c r="H440" t="s">
        <v>25</v>
      </c>
      <c r="I440" t="s">
        <v>207</v>
      </c>
      <c r="J440" t="s">
        <v>208</v>
      </c>
      <c r="K440" s="95">
        <v>51.31</v>
      </c>
      <c r="L440" s="94">
        <v>0</v>
      </c>
      <c r="O440" t="str">
        <f t="shared" si="7"/>
        <v/>
      </c>
    </row>
    <row r="441" spans="7:15" x14ac:dyDescent="0.3">
      <c r="G441" s="93">
        <v>43610</v>
      </c>
      <c r="H441" t="s">
        <v>25</v>
      </c>
      <c r="I441" t="s">
        <v>207</v>
      </c>
      <c r="J441" t="s">
        <v>208</v>
      </c>
      <c r="K441" s="95">
        <v>38.090000000000003</v>
      </c>
      <c r="L441" s="94">
        <v>0</v>
      </c>
      <c r="O441" t="str">
        <f t="shared" si="7"/>
        <v/>
      </c>
    </row>
    <row r="442" spans="7:15" x14ac:dyDescent="0.3">
      <c r="G442" s="93">
        <v>43610</v>
      </c>
      <c r="H442" t="s">
        <v>25</v>
      </c>
      <c r="I442" t="s">
        <v>207</v>
      </c>
      <c r="J442" t="s">
        <v>208</v>
      </c>
      <c r="K442" s="95">
        <v>37.630000000000003</v>
      </c>
      <c r="L442" s="94">
        <v>0</v>
      </c>
      <c r="O442" t="str">
        <f t="shared" si="7"/>
        <v/>
      </c>
    </row>
    <row r="443" spans="7:15" x14ac:dyDescent="0.3">
      <c r="G443" s="93">
        <v>43610</v>
      </c>
      <c r="H443" t="s">
        <v>25</v>
      </c>
      <c r="I443" t="s">
        <v>207</v>
      </c>
      <c r="J443" t="s">
        <v>208</v>
      </c>
      <c r="K443" s="95">
        <v>32.130000000000003</v>
      </c>
      <c r="L443" s="94">
        <v>0</v>
      </c>
      <c r="O443" t="str">
        <f t="shared" si="7"/>
        <v/>
      </c>
    </row>
    <row r="444" spans="7:15" x14ac:dyDescent="0.3">
      <c r="G444" s="93">
        <v>43610</v>
      </c>
      <c r="H444" t="s">
        <v>25</v>
      </c>
      <c r="I444" t="s">
        <v>207</v>
      </c>
      <c r="J444" t="s">
        <v>208</v>
      </c>
      <c r="K444" s="95">
        <v>31.22</v>
      </c>
      <c r="L444" s="94">
        <v>0</v>
      </c>
      <c r="O444" t="str">
        <f t="shared" si="7"/>
        <v/>
      </c>
    </row>
    <row r="445" spans="7:15" x14ac:dyDescent="0.3">
      <c r="G445" s="93">
        <v>43610</v>
      </c>
      <c r="H445" t="s">
        <v>25</v>
      </c>
      <c r="I445" t="s">
        <v>207</v>
      </c>
      <c r="J445" t="s">
        <v>208</v>
      </c>
      <c r="K445" s="95">
        <v>19.329999999999998</v>
      </c>
      <c r="L445" s="94">
        <v>0</v>
      </c>
      <c r="O445" t="str">
        <f t="shared" si="7"/>
        <v/>
      </c>
    </row>
    <row r="446" spans="7:15" x14ac:dyDescent="0.3">
      <c r="G446" s="93">
        <v>43610</v>
      </c>
      <c r="H446" t="s">
        <v>25</v>
      </c>
      <c r="I446" t="s">
        <v>207</v>
      </c>
      <c r="J446" t="s">
        <v>208</v>
      </c>
      <c r="K446" s="95">
        <v>11.08</v>
      </c>
      <c r="L446" s="94">
        <v>0</v>
      </c>
      <c r="O446" t="str">
        <f t="shared" si="7"/>
        <v/>
      </c>
    </row>
    <row r="447" spans="7:15" x14ac:dyDescent="0.3">
      <c r="G447" s="93">
        <v>43610</v>
      </c>
      <c r="H447" t="s">
        <v>25</v>
      </c>
      <c r="I447" t="s">
        <v>207</v>
      </c>
      <c r="J447" t="s">
        <v>208</v>
      </c>
      <c r="K447" s="95">
        <v>10.27</v>
      </c>
      <c r="L447" s="94">
        <v>0</v>
      </c>
      <c r="O447" t="str">
        <f t="shared" si="7"/>
        <v/>
      </c>
    </row>
    <row r="448" spans="7:15" x14ac:dyDescent="0.3">
      <c r="G448" s="93">
        <v>43610</v>
      </c>
      <c r="H448" t="s">
        <v>169</v>
      </c>
      <c r="I448" t="s">
        <v>106</v>
      </c>
      <c r="J448" t="s">
        <v>209</v>
      </c>
      <c r="K448" s="95">
        <v>1501.66</v>
      </c>
      <c r="L448" s="94">
        <v>0</v>
      </c>
      <c r="O448" t="str">
        <f t="shared" si="7"/>
        <v/>
      </c>
    </row>
    <row r="449" spans="7:15" x14ac:dyDescent="0.3">
      <c r="G449" s="93">
        <v>43610</v>
      </c>
      <c r="H449" t="s">
        <v>176</v>
      </c>
      <c r="I449" t="s">
        <v>40</v>
      </c>
      <c r="J449" t="s">
        <v>209</v>
      </c>
      <c r="K449" s="95">
        <v>50.25</v>
      </c>
      <c r="L449" s="94">
        <v>0</v>
      </c>
      <c r="O449" t="str">
        <f t="shared" si="7"/>
        <v/>
      </c>
    </row>
    <row r="450" spans="7:15" x14ac:dyDescent="0.3">
      <c r="G450" s="93">
        <v>43610</v>
      </c>
      <c r="H450" t="s">
        <v>114</v>
      </c>
      <c r="I450" t="s">
        <v>107</v>
      </c>
      <c r="J450" t="s">
        <v>209</v>
      </c>
      <c r="K450" s="95">
        <v>10</v>
      </c>
      <c r="L450" s="94">
        <v>0</v>
      </c>
      <c r="O450" t="str">
        <f t="shared" si="7"/>
        <v/>
      </c>
    </row>
    <row r="451" spans="7:15" x14ac:dyDescent="0.3">
      <c r="G451" s="93">
        <v>43610</v>
      </c>
      <c r="H451" t="s">
        <v>123</v>
      </c>
      <c r="I451" t="s">
        <v>207</v>
      </c>
      <c r="J451" t="s">
        <v>208</v>
      </c>
      <c r="K451" s="95">
        <v>328.77</v>
      </c>
      <c r="L451" s="94">
        <v>0</v>
      </c>
      <c r="O451" t="str">
        <f t="shared" si="7"/>
        <v/>
      </c>
    </row>
    <row r="452" spans="7:15" x14ac:dyDescent="0.3">
      <c r="G452" s="93">
        <v>43610</v>
      </c>
      <c r="H452" t="s">
        <v>113</v>
      </c>
      <c r="I452" t="s">
        <v>207</v>
      </c>
      <c r="J452" t="s">
        <v>208</v>
      </c>
      <c r="K452" s="95">
        <v>11432.58</v>
      </c>
      <c r="L452" s="94">
        <v>0</v>
      </c>
      <c r="O452" t="str">
        <f t="shared" si="7"/>
        <v/>
      </c>
    </row>
    <row r="453" spans="7:15" x14ac:dyDescent="0.3">
      <c r="G453" s="93">
        <v>43610</v>
      </c>
      <c r="H453" t="s">
        <v>24</v>
      </c>
      <c r="I453" t="s">
        <v>61</v>
      </c>
      <c r="J453" t="s">
        <v>209</v>
      </c>
      <c r="K453" s="95">
        <v>40</v>
      </c>
      <c r="L453" s="94">
        <v>0</v>
      </c>
      <c r="O453" t="str">
        <f t="shared" si="7"/>
        <v/>
      </c>
    </row>
    <row r="454" spans="7:15" x14ac:dyDescent="0.3">
      <c r="G454" s="93">
        <v>43610</v>
      </c>
      <c r="H454" t="s">
        <v>24</v>
      </c>
      <c r="I454" t="s">
        <v>61</v>
      </c>
      <c r="J454" t="s">
        <v>209</v>
      </c>
      <c r="K454" s="95">
        <v>24</v>
      </c>
      <c r="L454" s="94">
        <v>0</v>
      </c>
      <c r="O454" t="str">
        <f t="shared" si="7"/>
        <v/>
      </c>
    </row>
    <row r="455" spans="7:15" x14ac:dyDescent="0.3">
      <c r="G455" s="93">
        <v>43610</v>
      </c>
      <c r="H455" t="s">
        <v>24</v>
      </c>
      <c r="I455" t="s">
        <v>61</v>
      </c>
      <c r="J455" t="s">
        <v>209</v>
      </c>
      <c r="K455" s="95">
        <v>8</v>
      </c>
      <c r="L455" s="94">
        <v>0</v>
      </c>
      <c r="O455" t="str">
        <f t="shared" si="7"/>
        <v/>
      </c>
    </row>
    <row r="456" spans="7:15" x14ac:dyDescent="0.3">
      <c r="G456" s="93">
        <v>43610</v>
      </c>
      <c r="H456" t="s">
        <v>24</v>
      </c>
      <c r="I456" t="s">
        <v>97</v>
      </c>
      <c r="J456" t="s">
        <v>209</v>
      </c>
      <c r="K456" s="95">
        <v>0</v>
      </c>
      <c r="L456" s="94">
        <v>16</v>
      </c>
      <c r="O456" t="str">
        <f t="shared" si="7"/>
        <v/>
      </c>
    </row>
    <row r="457" spans="7:15" x14ac:dyDescent="0.3">
      <c r="G457" s="93">
        <v>43610</v>
      </c>
      <c r="H457" t="s">
        <v>24</v>
      </c>
      <c r="I457" t="s">
        <v>207</v>
      </c>
      <c r="J457" t="s">
        <v>208</v>
      </c>
      <c r="K457" s="95">
        <v>1334.36</v>
      </c>
      <c r="L457" s="94">
        <v>0</v>
      </c>
      <c r="O457" t="str">
        <f t="shared" si="7"/>
        <v/>
      </c>
    </row>
    <row r="458" spans="7:15" x14ac:dyDescent="0.3">
      <c r="G458" s="93">
        <v>43610</v>
      </c>
      <c r="H458" t="s">
        <v>24</v>
      </c>
      <c r="I458" t="s">
        <v>207</v>
      </c>
      <c r="J458" t="s">
        <v>208</v>
      </c>
      <c r="K458" s="95">
        <v>1045.49</v>
      </c>
      <c r="L458" s="94">
        <v>0</v>
      </c>
      <c r="O458" t="str">
        <f t="shared" ref="O458:O521" si="8">IF(P458="","",O457+1)</f>
        <v/>
      </c>
    </row>
    <row r="459" spans="7:15" x14ac:dyDescent="0.3">
      <c r="G459" s="93">
        <v>43610</v>
      </c>
      <c r="H459" t="s">
        <v>24</v>
      </c>
      <c r="I459" t="s">
        <v>207</v>
      </c>
      <c r="J459" t="s">
        <v>208</v>
      </c>
      <c r="K459" s="95">
        <v>980.37</v>
      </c>
      <c r="L459" s="94">
        <v>0</v>
      </c>
      <c r="O459" t="str">
        <f t="shared" si="8"/>
        <v/>
      </c>
    </row>
    <row r="460" spans="7:15" x14ac:dyDescent="0.3">
      <c r="G460" s="93">
        <v>43610</v>
      </c>
      <c r="H460" t="s">
        <v>24</v>
      </c>
      <c r="I460" t="s">
        <v>207</v>
      </c>
      <c r="J460" t="s">
        <v>208</v>
      </c>
      <c r="K460" s="95">
        <v>936.65</v>
      </c>
      <c r="L460" s="94">
        <v>0</v>
      </c>
      <c r="O460" t="str">
        <f t="shared" si="8"/>
        <v/>
      </c>
    </row>
    <row r="461" spans="7:15" x14ac:dyDescent="0.3">
      <c r="G461" s="93">
        <v>43610</v>
      </c>
      <c r="H461" t="s">
        <v>24</v>
      </c>
      <c r="I461" t="s">
        <v>207</v>
      </c>
      <c r="J461" t="s">
        <v>208</v>
      </c>
      <c r="K461" s="95">
        <v>808.05</v>
      </c>
      <c r="L461" s="94">
        <v>0</v>
      </c>
      <c r="O461" t="str">
        <f t="shared" si="8"/>
        <v/>
      </c>
    </row>
    <row r="462" spans="7:15" x14ac:dyDescent="0.3">
      <c r="G462" s="93">
        <v>43610</v>
      </c>
      <c r="H462" t="s">
        <v>24</v>
      </c>
      <c r="I462" t="s">
        <v>207</v>
      </c>
      <c r="J462" t="s">
        <v>208</v>
      </c>
      <c r="K462" s="95">
        <v>703.22</v>
      </c>
      <c r="L462" s="94">
        <v>0</v>
      </c>
      <c r="O462" t="str">
        <f t="shared" si="8"/>
        <v/>
      </c>
    </row>
    <row r="463" spans="7:15" x14ac:dyDescent="0.3">
      <c r="G463" s="93">
        <v>43610</v>
      </c>
      <c r="H463" t="s">
        <v>24</v>
      </c>
      <c r="I463" t="s">
        <v>207</v>
      </c>
      <c r="J463" t="s">
        <v>208</v>
      </c>
      <c r="K463" s="95">
        <v>637.09</v>
      </c>
      <c r="L463" s="94">
        <v>0</v>
      </c>
      <c r="O463" t="str">
        <f t="shared" si="8"/>
        <v/>
      </c>
    </row>
    <row r="464" spans="7:15" x14ac:dyDescent="0.3">
      <c r="G464" s="93">
        <v>43610</v>
      </c>
      <c r="H464" t="s">
        <v>24</v>
      </c>
      <c r="I464" t="s">
        <v>207</v>
      </c>
      <c r="J464" t="s">
        <v>208</v>
      </c>
      <c r="K464" s="95">
        <v>554.16</v>
      </c>
      <c r="L464" s="94">
        <v>0</v>
      </c>
      <c r="O464" t="str">
        <f t="shared" si="8"/>
        <v/>
      </c>
    </row>
    <row r="465" spans="7:15" x14ac:dyDescent="0.3">
      <c r="G465" s="93">
        <v>43610</v>
      </c>
      <c r="H465" t="s">
        <v>24</v>
      </c>
      <c r="I465" t="s">
        <v>207</v>
      </c>
      <c r="J465" t="s">
        <v>208</v>
      </c>
      <c r="K465" s="95">
        <v>522.20000000000005</v>
      </c>
      <c r="L465" s="94">
        <v>0</v>
      </c>
      <c r="O465" t="str">
        <f t="shared" si="8"/>
        <v/>
      </c>
    </row>
    <row r="466" spans="7:15" x14ac:dyDescent="0.3">
      <c r="G466" s="93">
        <v>43610</v>
      </c>
      <c r="H466" t="s">
        <v>24</v>
      </c>
      <c r="I466" t="s">
        <v>207</v>
      </c>
      <c r="J466" t="s">
        <v>208</v>
      </c>
      <c r="K466" s="95">
        <v>486.39</v>
      </c>
      <c r="L466" s="94">
        <v>0</v>
      </c>
      <c r="O466" t="str">
        <f t="shared" si="8"/>
        <v/>
      </c>
    </row>
    <row r="467" spans="7:15" x14ac:dyDescent="0.3">
      <c r="G467" s="93">
        <v>43610</v>
      </c>
      <c r="H467" t="s">
        <v>24</v>
      </c>
      <c r="I467" t="s">
        <v>207</v>
      </c>
      <c r="J467" t="s">
        <v>208</v>
      </c>
      <c r="K467" s="95">
        <v>473.77</v>
      </c>
      <c r="L467" s="94">
        <v>0</v>
      </c>
      <c r="O467" t="str">
        <f t="shared" si="8"/>
        <v/>
      </c>
    </row>
    <row r="468" spans="7:15" x14ac:dyDescent="0.3">
      <c r="G468" s="93">
        <v>43610</v>
      </c>
      <c r="H468" t="s">
        <v>24</v>
      </c>
      <c r="I468" t="s">
        <v>207</v>
      </c>
      <c r="J468" t="s">
        <v>208</v>
      </c>
      <c r="K468" s="95">
        <v>365.4</v>
      </c>
      <c r="L468" s="94">
        <v>0</v>
      </c>
      <c r="O468" t="str">
        <f t="shared" si="8"/>
        <v/>
      </c>
    </row>
    <row r="469" spans="7:15" x14ac:dyDescent="0.3">
      <c r="G469" s="93">
        <v>43610</v>
      </c>
      <c r="H469" t="s">
        <v>24</v>
      </c>
      <c r="I469" t="s">
        <v>207</v>
      </c>
      <c r="J469" t="s">
        <v>208</v>
      </c>
      <c r="K469" s="95">
        <v>305.62</v>
      </c>
      <c r="L469" s="94">
        <v>0</v>
      </c>
      <c r="O469" t="str">
        <f t="shared" si="8"/>
        <v/>
      </c>
    </row>
    <row r="470" spans="7:15" x14ac:dyDescent="0.3">
      <c r="G470" s="93">
        <v>43610</v>
      </c>
      <c r="H470" t="s">
        <v>24</v>
      </c>
      <c r="I470" t="s">
        <v>207</v>
      </c>
      <c r="J470" t="s">
        <v>208</v>
      </c>
      <c r="K470" s="95">
        <v>277.51</v>
      </c>
      <c r="L470" s="94">
        <v>0</v>
      </c>
      <c r="O470" t="str">
        <f t="shared" si="8"/>
        <v/>
      </c>
    </row>
    <row r="471" spans="7:15" x14ac:dyDescent="0.3">
      <c r="G471" s="93">
        <v>43610</v>
      </c>
      <c r="H471" t="s">
        <v>24</v>
      </c>
      <c r="I471" t="s">
        <v>207</v>
      </c>
      <c r="J471" t="s">
        <v>208</v>
      </c>
      <c r="K471" s="95">
        <v>250.17</v>
      </c>
      <c r="L471" s="94">
        <v>0</v>
      </c>
      <c r="O471" t="str">
        <f t="shared" si="8"/>
        <v/>
      </c>
    </row>
    <row r="472" spans="7:15" x14ac:dyDescent="0.3">
      <c r="G472" s="93">
        <v>43610</v>
      </c>
      <c r="H472" t="s">
        <v>24</v>
      </c>
      <c r="I472" t="s">
        <v>207</v>
      </c>
      <c r="J472" t="s">
        <v>208</v>
      </c>
      <c r="K472" s="95">
        <v>250.08</v>
      </c>
      <c r="L472" s="94">
        <v>0</v>
      </c>
      <c r="O472" t="str">
        <f t="shared" si="8"/>
        <v/>
      </c>
    </row>
    <row r="473" spans="7:15" x14ac:dyDescent="0.3">
      <c r="G473" s="93">
        <v>43610</v>
      </c>
      <c r="H473" t="s">
        <v>24</v>
      </c>
      <c r="I473" t="s">
        <v>207</v>
      </c>
      <c r="J473" t="s">
        <v>208</v>
      </c>
      <c r="K473" s="95">
        <v>226.28</v>
      </c>
      <c r="L473" s="94">
        <v>0</v>
      </c>
      <c r="O473" t="str">
        <f t="shared" si="8"/>
        <v/>
      </c>
    </row>
    <row r="474" spans="7:15" x14ac:dyDescent="0.3">
      <c r="G474" s="93">
        <v>43610</v>
      </c>
      <c r="H474" t="s">
        <v>24</v>
      </c>
      <c r="I474" t="s">
        <v>207</v>
      </c>
      <c r="J474" t="s">
        <v>208</v>
      </c>
      <c r="K474" s="95">
        <v>213.47</v>
      </c>
      <c r="L474" s="94">
        <v>0</v>
      </c>
      <c r="O474" t="str">
        <f t="shared" si="8"/>
        <v/>
      </c>
    </row>
    <row r="475" spans="7:15" x14ac:dyDescent="0.3">
      <c r="G475" s="93">
        <v>43610</v>
      </c>
      <c r="H475" t="s">
        <v>24</v>
      </c>
      <c r="I475" t="s">
        <v>207</v>
      </c>
      <c r="J475" t="s">
        <v>208</v>
      </c>
      <c r="K475" s="95">
        <v>210.56</v>
      </c>
      <c r="L475" s="94">
        <v>0</v>
      </c>
      <c r="O475" t="str">
        <f t="shared" si="8"/>
        <v/>
      </c>
    </row>
    <row r="476" spans="7:15" x14ac:dyDescent="0.3">
      <c r="G476" s="93">
        <v>43610</v>
      </c>
      <c r="H476" t="s">
        <v>24</v>
      </c>
      <c r="I476" t="s">
        <v>207</v>
      </c>
      <c r="J476" t="s">
        <v>208</v>
      </c>
      <c r="K476" s="95">
        <v>159.69999999999999</v>
      </c>
      <c r="L476" s="94">
        <v>0</v>
      </c>
      <c r="O476" t="str">
        <f t="shared" si="8"/>
        <v/>
      </c>
    </row>
    <row r="477" spans="7:15" x14ac:dyDescent="0.3">
      <c r="G477" s="93">
        <v>43610</v>
      </c>
      <c r="H477" t="s">
        <v>24</v>
      </c>
      <c r="I477" t="s">
        <v>207</v>
      </c>
      <c r="J477" t="s">
        <v>208</v>
      </c>
      <c r="K477" s="95">
        <v>122.35</v>
      </c>
      <c r="L477" s="94">
        <v>0</v>
      </c>
      <c r="O477" t="str">
        <f t="shared" si="8"/>
        <v/>
      </c>
    </row>
    <row r="478" spans="7:15" x14ac:dyDescent="0.3">
      <c r="G478" s="93">
        <v>43610</v>
      </c>
      <c r="H478" t="s">
        <v>24</v>
      </c>
      <c r="I478" t="s">
        <v>207</v>
      </c>
      <c r="J478" t="s">
        <v>208</v>
      </c>
      <c r="K478" s="95">
        <v>60.62</v>
      </c>
      <c r="L478" s="94">
        <v>0</v>
      </c>
      <c r="O478" t="str">
        <f t="shared" si="8"/>
        <v/>
      </c>
    </row>
    <row r="479" spans="7:15" x14ac:dyDescent="0.3">
      <c r="G479" s="93">
        <v>43610</v>
      </c>
      <c r="H479" t="s">
        <v>24</v>
      </c>
      <c r="I479" t="s">
        <v>207</v>
      </c>
      <c r="J479" t="s">
        <v>208</v>
      </c>
      <c r="K479" s="95">
        <v>59.16</v>
      </c>
      <c r="L479" s="94">
        <v>0</v>
      </c>
      <c r="O479" t="str">
        <f t="shared" si="8"/>
        <v/>
      </c>
    </row>
    <row r="480" spans="7:15" x14ac:dyDescent="0.3">
      <c r="G480" s="93">
        <v>43610</v>
      </c>
      <c r="H480" t="s">
        <v>24</v>
      </c>
      <c r="I480" t="s">
        <v>207</v>
      </c>
      <c r="J480" t="s">
        <v>208</v>
      </c>
      <c r="K480" s="95">
        <v>31.65</v>
      </c>
      <c r="L480" s="94">
        <v>0</v>
      </c>
      <c r="O480" t="str">
        <f t="shared" si="8"/>
        <v/>
      </c>
    </row>
    <row r="481" spans="7:15" x14ac:dyDescent="0.3">
      <c r="G481" s="93">
        <v>43610</v>
      </c>
      <c r="H481" t="s">
        <v>24</v>
      </c>
      <c r="I481" t="s">
        <v>207</v>
      </c>
      <c r="J481" t="s">
        <v>208</v>
      </c>
      <c r="K481" s="95">
        <v>28.72</v>
      </c>
      <c r="L481" s="94">
        <v>0</v>
      </c>
      <c r="O481" t="str">
        <f t="shared" si="8"/>
        <v/>
      </c>
    </row>
    <row r="482" spans="7:15" x14ac:dyDescent="0.3">
      <c r="G482" s="93">
        <v>43610</v>
      </c>
      <c r="H482" t="s">
        <v>24</v>
      </c>
      <c r="I482" t="s">
        <v>207</v>
      </c>
      <c r="J482" t="s">
        <v>208</v>
      </c>
      <c r="K482" s="95">
        <v>25.31</v>
      </c>
      <c r="L482" s="94">
        <v>0</v>
      </c>
      <c r="O482" t="str">
        <f t="shared" si="8"/>
        <v/>
      </c>
    </row>
    <row r="483" spans="7:15" x14ac:dyDescent="0.3">
      <c r="G483" s="93">
        <v>43610</v>
      </c>
      <c r="H483" t="s">
        <v>24</v>
      </c>
      <c r="I483" t="s">
        <v>207</v>
      </c>
      <c r="J483" t="s">
        <v>208</v>
      </c>
      <c r="K483" s="95">
        <v>19.39</v>
      </c>
      <c r="L483" s="94">
        <v>0</v>
      </c>
      <c r="O483" t="str">
        <f t="shared" si="8"/>
        <v/>
      </c>
    </row>
    <row r="484" spans="7:15" x14ac:dyDescent="0.3">
      <c r="G484" s="93">
        <v>43610</v>
      </c>
      <c r="H484" t="s">
        <v>24</v>
      </c>
      <c r="I484" t="s">
        <v>107</v>
      </c>
      <c r="J484" t="s">
        <v>209</v>
      </c>
      <c r="K484" s="95">
        <v>24</v>
      </c>
      <c r="L484" s="94">
        <v>0</v>
      </c>
      <c r="O484" t="str">
        <f t="shared" si="8"/>
        <v/>
      </c>
    </row>
    <row r="485" spans="7:15" x14ac:dyDescent="0.3">
      <c r="G485" s="93">
        <v>43610</v>
      </c>
      <c r="H485" t="s">
        <v>130</v>
      </c>
      <c r="I485" t="s">
        <v>61</v>
      </c>
      <c r="J485" t="s">
        <v>209</v>
      </c>
      <c r="K485" s="95">
        <v>294.75</v>
      </c>
      <c r="L485" s="94">
        <v>0</v>
      </c>
      <c r="O485" t="str">
        <f t="shared" si="8"/>
        <v/>
      </c>
    </row>
    <row r="486" spans="7:15" x14ac:dyDescent="0.3">
      <c r="G486" s="93">
        <v>43610</v>
      </c>
      <c r="H486" t="s">
        <v>111</v>
      </c>
      <c r="I486" t="s">
        <v>207</v>
      </c>
      <c r="J486" t="s">
        <v>208</v>
      </c>
      <c r="K486" s="95">
        <v>13.97</v>
      </c>
      <c r="L486" s="94">
        <v>0</v>
      </c>
      <c r="O486" t="str">
        <f t="shared" si="8"/>
        <v/>
      </c>
    </row>
    <row r="487" spans="7:15" x14ac:dyDescent="0.3">
      <c r="G487" s="93">
        <v>43610</v>
      </c>
      <c r="H487" t="s">
        <v>111</v>
      </c>
      <c r="I487" t="s">
        <v>107</v>
      </c>
      <c r="J487" t="s">
        <v>209</v>
      </c>
      <c r="K487" s="95">
        <v>15.35</v>
      </c>
      <c r="L487" s="94">
        <v>0</v>
      </c>
      <c r="O487" t="str">
        <f t="shared" si="8"/>
        <v/>
      </c>
    </row>
    <row r="488" spans="7:15" x14ac:dyDescent="0.3">
      <c r="G488" s="93">
        <v>43610</v>
      </c>
      <c r="H488" t="s">
        <v>110</v>
      </c>
      <c r="I488" t="s">
        <v>207</v>
      </c>
      <c r="J488" t="s">
        <v>208</v>
      </c>
      <c r="K488" s="95">
        <v>653.96</v>
      </c>
      <c r="L488" s="94">
        <v>0</v>
      </c>
      <c r="O488" t="str">
        <f t="shared" si="8"/>
        <v/>
      </c>
    </row>
    <row r="489" spans="7:15" x14ac:dyDescent="0.3">
      <c r="G489" s="93">
        <v>43610</v>
      </c>
      <c r="H489" t="s">
        <v>26</v>
      </c>
      <c r="I489" t="s">
        <v>64</v>
      </c>
      <c r="J489" t="s">
        <v>163</v>
      </c>
      <c r="K489" s="95">
        <v>7.65</v>
      </c>
      <c r="L489" s="94">
        <v>0</v>
      </c>
      <c r="O489" t="str">
        <f t="shared" si="8"/>
        <v/>
      </c>
    </row>
    <row r="490" spans="7:15" x14ac:dyDescent="0.3">
      <c r="G490" s="93">
        <v>43610</v>
      </c>
      <c r="H490" t="s">
        <v>26</v>
      </c>
      <c r="I490" t="s">
        <v>207</v>
      </c>
      <c r="J490" t="s">
        <v>208</v>
      </c>
      <c r="K490" s="95">
        <v>341.28</v>
      </c>
      <c r="L490" s="94">
        <v>0</v>
      </c>
      <c r="O490" t="str">
        <f t="shared" si="8"/>
        <v/>
      </c>
    </row>
    <row r="491" spans="7:15" x14ac:dyDescent="0.3">
      <c r="G491" s="93">
        <v>43610</v>
      </c>
      <c r="H491" t="s">
        <v>26</v>
      </c>
      <c r="I491" t="s">
        <v>207</v>
      </c>
      <c r="J491" t="s">
        <v>208</v>
      </c>
      <c r="K491" s="95">
        <v>101.66</v>
      </c>
      <c r="L491" s="94">
        <v>0</v>
      </c>
      <c r="O491" t="str">
        <f t="shared" si="8"/>
        <v/>
      </c>
    </row>
    <row r="492" spans="7:15" x14ac:dyDescent="0.3">
      <c r="G492" s="93">
        <v>43610</v>
      </c>
      <c r="H492" t="s">
        <v>26</v>
      </c>
      <c r="I492" t="s">
        <v>207</v>
      </c>
      <c r="J492" t="s">
        <v>208</v>
      </c>
      <c r="K492" s="95">
        <v>91.9</v>
      </c>
      <c r="L492" s="94">
        <v>0</v>
      </c>
      <c r="O492" t="str">
        <f t="shared" si="8"/>
        <v/>
      </c>
    </row>
    <row r="493" spans="7:15" x14ac:dyDescent="0.3">
      <c r="G493" s="93">
        <v>43610</v>
      </c>
      <c r="H493" t="s">
        <v>26</v>
      </c>
      <c r="I493" t="s">
        <v>207</v>
      </c>
      <c r="J493" t="s">
        <v>208</v>
      </c>
      <c r="K493" s="95">
        <v>58.94</v>
      </c>
      <c r="L493" s="94">
        <v>0</v>
      </c>
      <c r="O493" t="str">
        <f t="shared" si="8"/>
        <v/>
      </c>
    </row>
    <row r="494" spans="7:15" x14ac:dyDescent="0.3">
      <c r="G494" s="93">
        <v>43610</v>
      </c>
      <c r="H494" t="s">
        <v>26</v>
      </c>
      <c r="I494" t="s">
        <v>207</v>
      </c>
      <c r="J494" t="s">
        <v>208</v>
      </c>
      <c r="K494" s="95">
        <v>50.38</v>
      </c>
      <c r="L494" s="94">
        <v>0</v>
      </c>
      <c r="O494" t="str">
        <f t="shared" si="8"/>
        <v/>
      </c>
    </row>
    <row r="495" spans="7:15" x14ac:dyDescent="0.3">
      <c r="G495" s="93">
        <v>43610</v>
      </c>
      <c r="H495" t="s">
        <v>26</v>
      </c>
      <c r="I495" t="s">
        <v>207</v>
      </c>
      <c r="J495" t="s">
        <v>208</v>
      </c>
      <c r="K495" s="95">
        <v>39.479999999999997</v>
      </c>
      <c r="L495" s="94">
        <v>0</v>
      </c>
      <c r="O495" t="str">
        <f t="shared" si="8"/>
        <v/>
      </c>
    </row>
    <row r="496" spans="7:15" x14ac:dyDescent="0.3">
      <c r="G496" s="93">
        <v>43610</v>
      </c>
      <c r="H496" t="s">
        <v>26</v>
      </c>
      <c r="I496" t="s">
        <v>107</v>
      </c>
      <c r="J496" t="s">
        <v>209</v>
      </c>
      <c r="K496" s="95">
        <v>12</v>
      </c>
      <c r="L496" s="94">
        <v>0</v>
      </c>
      <c r="O496" t="str">
        <f t="shared" si="8"/>
        <v/>
      </c>
    </row>
    <row r="497" spans="7:15" x14ac:dyDescent="0.3">
      <c r="G497" s="93">
        <v>43612</v>
      </c>
      <c r="H497" t="s">
        <v>114</v>
      </c>
      <c r="I497" t="s">
        <v>107</v>
      </c>
      <c r="J497" t="s">
        <v>210</v>
      </c>
      <c r="K497" s="95">
        <v>24</v>
      </c>
      <c r="L497" s="94">
        <v>0</v>
      </c>
      <c r="O497" t="str">
        <f t="shared" si="8"/>
        <v/>
      </c>
    </row>
    <row r="498" spans="7:15" x14ac:dyDescent="0.3">
      <c r="G498" s="93">
        <v>43612</v>
      </c>
      <c r="H498" t="s">
        <v>118</v>
      </c>
      <c r="I498" t="s">
        <v>97</v>
      </c>
      <c r="J498" t="s">
        <v>210</v>
      </c>
      <c r="K498" s="95">
        <v>24</v>
      </c>
      <c r="L498" s="94">
        <v>0</v>
      </c>
      <c r="O498" t="str">
        <f t="shared" si="8"/>
        <v/>
      </c>
    </row>
    <row r="499" spans="7:15" x14ac:dyDescent="0.3">
      <c r="G499" s="93">
        <v>43612</v>
      </c>
      <c r="H499" t="s">
        <v>118</v>
      </c>
      <c r="I499" t="s">
        <v>107</v>
      </c>
      <c r="J499" t="s">
        <v>210</v>
      </c>
      <c r="K499" s="95">
        <v>59</v>
      </c>
      <c r="L499" s="94">
        <v>0</v>
      </c>
      <c r="O499" t="str">
        <f t="shared" si="8"/>
        <v/>
      </c>
    </row>
    <row r="500" spans="7:15" x14ac:dyDescent="0.3">
      <c r="G500" s="93">
        <v>43612</v>
      </c>
      <c r="H500" t="s">
        <v>24</v>
      </c>
      <c r="I500" t="s">
        <v>61</v>
      </c>
      <c r="J500" t="s">
        <v>210</v>
      </c>
      <c r="K500" s="95">
        <v>16</v>
      </c>
      <c r="L500" s="94">
        <v>0</v>
      </c>
      <c r="O500" t="str">
        <f t="shared" si="8"/>
        <v/>
      </c>
    </row>
    <row r="501" spans="7:15" x14ac:dyDescent="0.3">
      <c r="G501" s="93">
        <v>43612</v>
      </c>
      <c r="H501" t="s">
        <v>126</v>
      </c>
      <c r="I501" t="s">
        <v>105</v>
      </c>
      <c r="J501" t="s">
        <v>210</v>
      </c>
      <c r="K501" s="95">
        <v>101.65</v>
      </c>
      <c r="L501" s="94">
        <v>0</v>
      </c>
      <c r="O501" t="str">
        <f t="shared" si="8"/>
        <v/>
      </c>
    </row>
    <row r="502" spans="7:15" x14ac:dyDescent="0.3">
      <c r="G502" s="93">
        <v>43612</v>
      </c>
      <c r="H502" t="s">
        <v>125</v>
      </c>
      <c r="I502" t="s">
        <v>108</v>
      </c>
      <c r="J502" t="s">
        <v>210</v>
      </c>
      <c r="K502" s="95">
        <v>67</v>
      </c>
      <c r="L502" s="94">
        <v>0</v>
      </c>
      <c r="O502" t="str">
        <f t="shared" si="8"/>
        <v/>
      </c>
    </row>
    <row r="503" spans="7:15" x14ac:dyDescent="0.3">
      <c r="G503" s="93">
        <v>43612</v>
      </c>
      <c r="H503" t="s">
        <v>26</v>
      </c>
      <c r="I503" t="s">
        <v>106</v>
      </c>
      <c r="J503" t="s">
        <v>210</v>
      </c>
      <c r="K503" s="95">
        <v>187.5</v>
      </c>
      <c r="L503" s="94">
        <v>0</v>
      </c>
      <c r="O503" t="str">
        <f t="shared" si="8"/>
        <v/>
      </c>
    </row>
    <row r="504" spans="7:15" x14ac:dyDescent="0.3">
      <c r="G504" s="93">
        <v>43612</v>
      </c>
      <c r="H504" t="s">
        <v>26</v>
      </c>
      <c r="I504" t="s">
        <v>109</v>
      </c>
      <c r="J504" t="s">
        <v>210</v>
      </c>
      <c r="K504" s="95">
        <v>30</v>
      </c>
      <c r="L504" s="94">
        <v>0</v>
      </c>
      <c r="O504" t="str">
        <f t="shared" si="8"/>
        <v/>
      </c>
    </row>
    <row r="505" spans="7:15" x14ac:dyDescent="0.3">
      <c r="G505" s="93">
        <v>43612</v>
      </c>
      <c r="H505" t="s">
        <v>26</v>
      </c>
      <c r="I505" t="s">
        <v>109</v>
      </c>
      <c r="J505" t="s">
        <v>210</v>
      </c>
      <c r="K505" s="95">
        <v>17.989999999999998</v>
      </c>
      <c r="L505" s="94">
        <v>0</v>
      </c>
      <c r="O505" t="str">
        <f t="shared" si="8"/>
        <v/>
      </c>
    </row>
    <row r="506" spans="7:15" x14ac:dyDescent="0.3">
      <c r="G506" s="93">
        <v>43612</v>
      </c>
      <c r="H506" t="s">
        <v>26</v>
      </c>
      <c r="I506" t="s">
        <v>97</v>
      </c>
      <c r="J506" t="s">
        <v>210</v>
      </c>
      <c r="K506" s="95">
        <v>55.64</v>
      </c>
      <c r="L506" s="94">
        <v>0</v>
      </c>
      <c r="O506" t="str">
        <f t="shared" si="8"/>
        <v/>
      </c>
    </row>
    <row r="507" spans="7:15" x14ac:dyDescent="0.3">
      <c r="G507" s="93">
        <v>43612</v>
      </c>
      <c r="H507" t="s">
        <v>26</v>
      </c>
      <c r="I507" t="s">
        <v>97</v>
      </c>
      <c r="J507" t="s">
        <v>210</v>
      </c>
      <c r="K507" s="95">
        <v>40.5</v>
      </c>
      <c r="L507" s="94">
        <v>0</v>
      </c>
      <c r="O507" t="str">
        <f t="shared" si="8"/>
        <v/>
      </c>
    </row>
    <row r="508" spans="7:15" x14ac:dyDescent="0.3">
      <c r="G508" s="93">
        <v>43612</v>
      </c>
      <c r="H508" t="s">
        <v>26</v>
      </c>
      <c r="I508" t="s">
        <v>97</v>
      </c>
      <c r="J508" t="s">
        <v>210</v>
      </c>
      <c r="K508" s="95">
        <v>35.979999999999997</v>
      </c>
      <c r="L508" s="94">
        <v>0</v>
      </c>
      <c r="O508" t="str">
        <f t="shared" si="8"/>
        <v/>
      </c>
    </row>
    <row r="509" spans="7:15" x14ac:dyDescent="0.3">
      <c r="G509" s="93">
        <v>43612</v>
      </c>
      <c r="H509" t="s">
        <v>26</v>
      </c>
      <c r="I509" t="s">
        <v>97</v>
      </c>
      <c r="J509" t="s">
        <v>210</v>
      </c>
      <c r="K509" s="95">
        <v>10.199999999999999</v>
      </c>
      <c r="L509" s="94">
        <v>0</v>
      </c>
      <c r="O509" t="str">
        <f t="shared" si="8"/>
        <v/>
      </c>
    </row>
    <row r="510" spans="7:15" x14ac:dyDescent="0.3">
      <c r="G510" s="93">
        <v>43612</v>
      </c>
      <c r="H510" t="s">
        <v>26</v>
      </c>
      <c r="I510" t="s">
        <v>105</v>
      </c>
      <c r="J510" t="s">
        <v>210</v>
      </c>
      <c r="K510" s="95">
        <v>160</v>
      </c>
      <c r="L510" s="94">
        <v>0</v>
      </c>
      <c r="O510" t="str">
        <f t="shared" si="8"/>
        <v/>
      </c>
    </row>
    <row r="511" spans="7:15" x14ac:dyDescent="0.3">
      <c r="G511" s="93">
        <v>43612</v>
      </c>
      <c r="H511" t="s">
        <v>26</v>
      </c>
      <c r="I511" t="s">
        <v>105</v>
      </c>
      <c r="J511" t="s">
        <v>210</v>
      </c>
      <c r="K511" s="95">
        <v>116.42</v>
      </c>
      <c r="L511" s="94">
        <v>0</v>
      </c>
      <c r="O511" t="str">
        <f t="shared" si="8"/>
        <v/>
      </c>
    </row>
    <row r="512" spans="7:15" x14ac:dyDescent="0.3">
      <c r="G512" s="93">
        <v>43612</v>
      </c>
      <c r="H512" t="s">
        <v>26</v>
      </c>
      <c r="I512" t="s">
        <v>105</v>
      </c>
      <c r="J512" t="s">
        <v>210</v>
      </c>
      <c r="K512" s="95">
        <v>94.47</v>
      </c>
      <c r="L512" s="94">
        <v>0</v>
      </c>
      <c r="O512" t="str">
        <f t="shared" si="8"/>
        <v/>
      </c>
    </row>
    <row r="513" spans="7:15" x14ac:dyDescent="0.3">
      <c r="G513" s="93">
        <v>43612</v>
      </c>
      <c r="H513" t="s">
        <v>26</v>
      </c>
      <c r="I513" t="s">
        <v>105</v>
      </c>
      <c r="J513" t="s">
        <v>210</v>
      </c>
      <c r="K513" s="95">
        <v>48.16</v>
      </c>
      <c r="L513" s="94">
        <v>0</v>
      </c>
      <c r="O513" t="str">
        <f t="shared" si="8"/>
        <v/>
      </c>
    </row>
    <row r="514" spans="7:15" x14ac:dyDescent="0.3">
      <c r="G514" s="93">
        <v>43612</v>
      </c>
      <c r="H514" t="s">
        <v>26</v>
      </c>
      <c r="I514" t="s">
        <v>105</v>
      </c>
      <c r="J514" t="s">
        <v>210</v>
      </c>
      <c r="K514" s="95">
        <v>28.39</v>
      </c>
      <c r="L514" s="94">
        <v>0</v>
      </c>
      <c r="O514" t="str">
        <f t="shared" si="8"/>
        <v/>
      </c>
    </row>
    <row r="515" spans="7:15" x14ac:dyDescent="0.3">
      <c r="G515" s="93">
        <v>43612</v>
      </c>
      <c r="H515" t="s">
        <v>26</v>
      </c>
      <c r="I515" t="s">
        <v>105</v>
      </c>
      <c r="J515" t="s">
        <v>210</v>
      </c>
      <c r="K515" s="95">
        <v>10.49</v>
      </c>
      <c r="L515" s="94">
        <v>0</v>
      </c>
      <c r="O515" t="str">
        <f t="shared" si="8"/>
        <v/>
      </c>
    </row>
    <row r="516" spans="7:15" x14ac:dyDescent="0.3">
      <c r="G516" s="93">
        <v>43612</v>
      </c>
      <c r="H516" t="s">
        <v>26</v>
      </c>
      <c r="I516" t="s">
        <v>64</v>
      </c>
      <c r="J516" t="s">
        <v>101</v>
      </c>
      <c r="K516" s="95">
        <v>12</v>
      </c>
      <c r="L516" s="94">
        <v>0</v>
      </c>
      <c r="O516" t="str">
        <f t="shared" si="8"/>
        <v/>
      </c>
    </row>
    <row r="517" spans="7:15" x14ac:dyDescent="0.3">
      <c r="G517" s="93">
        <v>43612</v>
      </c>
      <c r="H517" t="s">
        <v>26</v>
      </c>
      <c r="I517" t="s">
        <v>64</v>
      </c>
      <c r="J517" t="s">
        <v>96</v>
      </c>
      <c r="K517" s="95">
        <v>2.4</v>
      </c>
      <c r="L517" s="94">
        <v>0</v>
      </c>
      <c r="O517" t="str">
        <f t="shared" si="8"/>
        <v/>
      </c>
    </row>
    <row r="518" spans="7:15" x14ac:dyDescent="0.3">
      <c r="G518" s="93">
        <v>43612</v>
      </c>
      <c r="H518" t="s">
        <v>26</v>
      </c>
      <c r="I518" t="s">
        <v>64</v>
      </c>
      <c r="J518" t="s">
        <v>102</v>
      </c>
      <c r="K518" s="95">
        <v>2.7</v>
      </c>
      <c r="L518" s="94">
        <v>0</v>
      </c>
      <c r="O518" t="str">
        <f t="shared" si="8"/>
        <v/>
      </c>
    </row>
    <row r="519" spans="7:15" x14ac:dyDescent="0.3">
      <c r="G519" s="93">
        <v>43612</v>
      </c>
      <c r="H519" t="s">
        <v>26</v>
      </c>
      <c r="I519" t="s">
        <v>107</v>
      </c>
      <c r="J519" t="s">
        <v>210</v>
      </c>
      <c r="K519" s="95">
        <v>30.77</v>
      </c>
      <c r="L519" s="94">
        <v>0</v>
      </c>
      <c r="O519" t="str">
        <f t="shared" si="8"/>
        <v/>
      </c>
    </row>
    <row r="520" spans="7:15" x14ac:dyDescent="0.3">
      <c r="G520" s="93">
        <v>43613</v>
      </c>
      <c r="H520" t="s">
        <v>113</v>
      </c>
      <c r="I520" t="s">
        <v>109</v>
      </c>
      <c r="J520" t="s">
        <v>211</v>
      </c>
      <c r="K520" s="95">
        <v>175</v>
      </c>
      <c r="L520" s="94">
        <v>0</v>
      </c>
      <c r="O520" t="str">
        <f t="shared" si="8"/>
        <v/>
      </c>
    </row>
    <row r="521" spans="7:15" x14ac:dyDescent="0.3">
      <c r="G521" s="93">
        <v>43613</v>
      </c>
      <c r="H521" t="s">
        <v>120</v>
      </c>
      <c r="I521" t="s">
        <v>61</v>
      </c>
      <c r="J521" t="s">
        <v>211</v>
      </c>
      <c r="K521" s="95">
        <v>117.45</v>
      </c>
      <c r="L521" s="94">
        <v>0</v>
      </c>
      <c r="O521" t="str">
        <f t="shared" si="8"/>
        <v/>
      </c>
    </row>
    <row r="522" spans="7:15" x14ac:dyDescent="0.3">
      <c r="G522" s="93">
        <v>43613</v>
      </c>
      <c r="H522" t="s">
        <v>118</v>
      </c>
      <c r="I522" t="s">
        <v>107</v>
      </c>
      <c r="J522" t="s">
        <v>211</v>
      </c>
      <c r="K522" s="95">
        <v>130</v>
      </c>
      <c r="L522" s="94">
        <v>0</v>
      </c>
      <c r="O522" t="str">
        <f t="shared" ref="O522:O585" si="9">IF(P522="","",O521+1)</f>
        <v/>
      </c>
    </row>
    <row r="523" spans="7:15" x14ac:dyDescent="0.3">
      <c r="G523" s="93">
        <v>43613</v>
      </c>
      <c r="H523" t="s">
        <v>161</v>
      </c>
      <c r="I523" t="s">
        <v>61</v>
      </c>
      <c r="J523" t="s">
        <v>211</v>
      </c>
      <c r="K523" s="95">
        <v>54.57</v>
      </c>
      <c r="L523" s="94">
        <v>0</v>
      </c>
      <c r="O523" t="str">
        <f t="shared" si="9"/>
        <v/>
      </c>
    </row>
    <row r="524" spans="7:15" x14ac:dyDescent="0.3">
      <c r="G524" s="93">
        <v>43613</v>
      </c>
      <c r="H524" t="s">
        <v>161</v>
      </c>
      <c r="I524" t="s">
        <v>107</v>
      </c>
      <c r="J524" t="s">
        <v>211</v>
      </c>
      <c r="K524" s="95">
        <v>14.6</v>
      </c>
      <c r="L524" s="94">
        <v>0</v>
      </c>
      <c r="O524" t="str">
        <f t="shared" si="9"/>
        <v/>
      </c>
    </row>
    <row r="525" spans="7:15" x14ac:dyDescent="0.3">
      <c r="G525" s="93">
        <v>43613</v>
      </c>
      <c r="H525" t="s">
        <v>24</v>
      </c>
      <c r="I525" t="s">
        <v>61</v>
      </c>
      <c r="J525" t="s">
        <v>211</v>
      </c>
      <c r="K525" s="95">
        <v>16</v>
      </c>
      <c r="L525" s="94">
        <v>0</v>
      </c>
      <c r="O525" t="str">
        <f t="shared" si="9"/>
        <v/>
      </c>
    </row>
    <row r="526" spans="7:15" x14ac:dyDescent="0.3">
      <c r="G526" s="93">
        <v>43613</v>
      </c>
      <c r="H526" t="s">
        <v>24</v>
      </c>
      <c r="I526" t="s">
        <v>61</v>
      </c>
      <c r="J526" t="s">
        <v>211</v>
      </c>
      <c r="K526" s="95">
        <v>8</v>
      </c>
      <c r="L526" s="94">
        <v>0</v>
      </c>
      <c r="O526" t="str">
        <f t="shared" si="9"/>
        <v/>
      </c>
    </row>
    <row r="527" spans="7:15" x14ac:dyDescent="0.3">
      <c r="G527" s="93">
        <v>43613</v>
      </c>
      <c r="H527" t="s">
        <v>112</v>
      </c>
      <c r="I527" t="s">
        <v>107</v>
      </c>
      <c r="J527" t="s">
        <v>211</v>
      </c>
      <c r="K527" s="95">
        <v>226.93</v>
      </c>
      <c r="L527" s="94">
        <v>0</v>
      </c>
      <c r="O527" t="str">
        <f t="shared" si="9"/>
        <v/>
      </c>
    </row>
    <row r="528" spans="7:15" x14ac:dyDescent="0.3">
      <c r="G528" s="93">
        <v>43613</v>
      </c>
      <c r="H528" t="s">
        <v>124</v>
      </c>
      <c r="I528" t="s">
        <v>107</v>
      </c>
      <c r="J528" t="s">
        <v>211</v>
      </c>
      <c r="K528" s="95">
        <v>120.41</v>
      </c>
      <c r="L528" s="94">
        <v>0</v>
      </c>
      <c r="O528" t="str">
        <f t="shared" si="9"/>
        <v/>
      </c>
    </row>
    <row r="529" spans="7:15" x14ac:dyDescent="0.3">
      <c r="G529" s="93">
        <v>43613</v>
      </c>
      <c r="H529" t="s">
        <v>26</v>
      </c>
      <c r="I529" t="s">
        <v>61</v>
      </c>
      <c r="J529" t="s">
        <v>211</v>
      </c>
      <c r="K529" s="95">
        <v>8</v>
      </c>
      <c r="L529" s="94">
        <v>0</v>
      </c>
      <c r="O529" t="str">
        <f t="shared" si="9"/>
        <v/>
      </c>
    </row>
    <row r="530" spans="7:15" x14ac:dyDescent="0.3">
      <c r="G530" s="93">
        <v>43613</v>
      </c>
      <c r="H530" t="s">
        <v>26</v>
      </c>
      <c r="I530" t="s">
        <v>97</v>
      </c>
      <c r="J530" t="s">
        <v>211</v>
      </c>
      <c r="K530" s="95">
        <v>15.66</v>
      </c>
      <c r="L530" s="94">
        <v>0</v>
      </c>
      <c r="O530" t="str">
        <f t="shared" si="9"/>
        <v/>
      </c>
    </row>
    <row r="531" spans="7:15" x14ac:dyDescent="0.3">
      <c r="G531" s="93">
        <v>43613</v>
      </c>
      <c r="H531" t="s">
        <v>26</v>
      </c>
      <c r="I531" t="s">
        <v>108</v>
      </c>
      <c r="J531" t="s">
        <v>211</v>
      </c>
      <c r="K531" s="95">
        <v>34</v>
      </c>
      <c r="L531" s="94">
        <v>0</v>
      </c>
      <c r="O531" t="str">
        <f t="shared" si="9"/>
        <v/>
      </c>
    </row>
    <row r="532" spans="7:15" x14ac:dyDescent="0.3">
      <c r="G532" s="93">
        <v>43613</v>
      </c>
      <c r="H532" t="s">
        <v>26</v>
      </c>
      <c r="I532" t="s">
        <v>64</v>
      </c>
      <c r="J532" t="s">
        <v>103</v>
      </c>
      <c r="K532" s="95">
        <v>24</v>
      </c>
      <c r="L532" s="94">
        <v>0</v>
      </c>
      <c r="O532" t="str">
        <f t="shared" si="9"/>
        <v/>
      </c>
    </row>
    <row r="533" spans="7:15" x14ac:dyDescent="0.3">
      <c r="G533" s="93">
        <v>43613</v>
      </c>
      <c r="H533" t="s">
        <v>26</v>
      </c>
      <c r="I533" t="s">
        <v>64</v>
      </c>
      <c r="J533" t="s">
        <v>171</v>
      </c>
      <c r="K533" s="95">
        <v>4.5</v>
      </c>
      <c r="L533" s="94">
        <v>0</v>
      </c>
      <c r="O533" t="str">
        <f t="shared" si="9"/>
        <v/>
      </c>
    </row>
    <row r="534" spans="7:15" x14ac:dyDescent="0.3">
      <c r="G534" s="93">
        <v>43614</v>
      </c>
      <c r="H534" t="s">
        <v>25</v>
      </c>
      <c r="I534" t="s">
        <v>61</v>
      </c>
      <c r="J534" t="s">
        <v>212</v>
      </c>
      <c r="K534" s="95">
        <v>8</v>
      </c>
      <c r="L534" s="94">
        <v>0</v>
      </c>
      <c r="O534" t="str">
        <f t="shared" si="9"/>
        <v/>
      </c>
    </row>
    <row r="535" spans="7:15" x14ac:dyDescent="0.3">
      <c r="G535" s="93">
        <v>43614</v>
      </c>
      <c r="H535" t="s">
        <v>115</v>
      </c>
      <c r="I535" t="s">
        <v>108</v>
      </c>
      <c r="J535" t="s">
        <v>212</v>
      </c>
      <c r="K535" s="95">
        <v>28</v>
      </c>
      <c r="L535" s="94">
        <v>0</v>
      </c>
      <c r="O535" t="str">
        <f t="shared" si="9"/>
        <v/>
      </c>
    </row>
    <row r="536" spans="7:15" x14ac:dyDescent="0.3">
      <c r="G536" s="93">
        <v>43614</v>
      </c>
      <c r="H536" t="s">
        <v>123</v>
      </c>
      <c r="I536" t="s">
        <v>61</v>
      </c>
      <c r="J536" t="s">
        <v>212</v>
      </c>
      <c r="K536" s="95">
        <v>9.08</v>
      </c>
      <c r="L536" s="94">
        <v>0</v>
      </c>
      <c r="O536" t="str">
        <f t="shared" si="9"/>
        <v/>
      </c>
    </row>
    <row r="537" spans="7:15" x14ac:dyDescent="0.3">
      <c r="G537" s="93">
        <v>43614</v>
      </c>
      <c r="H537" t="s">
        <v>118</v>
      </c>
      <c r="I537" t="s">
        <v>213</v>
      </c>
      <c r="J537" t="s">
        <v>173</v>
      </c>
      <c r="K537" s="95">
        <v>0</v>
      </c>
      <c r="L537" s="94">
        <v>10400</v>
      </c>
      <c r="O537" t="str">
        <f t="shared" si="9"/>
        <v/>
      </c>
    </row>
    <row r="538" spans="7:15" x14ac:dyDescent="0.3">
      <c r="G538" s="93">
        <v>43614</v>
      </c>
      <c r="H538" t="s">
        <v>24</v>
      </c>
      <c r="I538" t="s">
        <v>61</v>
      </c>
      <c r="J538" t="s">
        <v>212</v>
      </c>
      <c r="K538" s="95">
        <v>16</v>
      </c>
      <c r="L538" s="94">
        <v>0</v>
      </c>
      <c r="O538" t="str">
        <f t="shared" si="9"/>
        <v/>
      </c>
    </row>
    <row r="539" spans="7:15" x14ac:dyDescent="0.3">
      <c r="G539" s="93">
        <v>43614</v>
      </c>
      <c r="H539" t="s">
        <v>24</v>
      </c>
      <c r="I539" t="s">
        <v>61</v>
      </c>
      <c r="J539" t="s">
        <v>212</v>
      </c>
      <c r="K539" s="95">
        <v>8</v>
      </c>
      <c r="L539" s="94">
        <v>0</v>
      </c>
      <c r="O539" t="str">
        <f t="shared" si="9"/>
        <v/>
      </c>
    </row>
    <row r="540" spans="7:15" x14ac:dyDescent="0.3">
      <c r="G540" s="93">
        <v>43614</v>
      </c>
      <c r="H540" t="s">
        <v>130</v>
      </c>
      <c r="I540" t="s">
        <v>106</v>
      </c>
      <c r="J540" t="s">
        <v>212</v>
      </c>
      <c r="K540" s="95">
        <v>3909</v>
      </c>
      <c r="L540" s="94">
        <v>0</v>
      </c>
      <c r="O540" t="str">
        <f t="shared" si="9"/>
        <v/>
      </c>
    </row>
    <row r="541" spans="7:15" x14ac:dyDescent="0.3">
      <c r="G541" s="93">
        <v>43614</v>
      </c>
      <c r="H541" t="s">
        <v>125</v>
      </c>
      <c r="I541" t="s">
        <v>107</v>
      </c>
      <c r="J541" t="s">
        <v>212</v>
      </c>
      <c r="K541" s="95">
        <v>42</v>
      </c>
      <c r="L541" s="94">
        <v>0</v>
      </c>
      <c r="O541" t="str">
        <f t="shared" si="9"/>
        <v/>
      </c>
    </row>
    <row r="542" spans="7:15" x14ac:dyDescent="0.3">
      <c r="G542" s="93">
        <v>43614</v>
      </c>
      <c r="H542" t="s">
        <v>111</v>
      </c>
      <c r="I542" t="s">
        <v>107</v>
      </c>
      <c r="J542" t="s">
        <v>212</v>
      </c>
      <c r="K542" s="95">
        <v>5</v>
      </c>
      <c r="L542" s="94">
        <v>0</v>
      </c>
      <c r="O542" t="str">
        <f t="shared" si="9"/>
        <v/>
      </c>
    </row>
    <row r="543" spans="7:15" x14ac:dyDescent="0.3">
      <c r="G543" s="93">
        <v>43614</v>
      </c>
      <c r="H543" t="s">
        <v>26</v>
      </c>
      <c r="I543" t="s">
        <v>61</v>
      </c>
      <c r="J543" t="s">
        <v>212</v>
      </c>
      <c r="K543" s="95">
        <v>8</v>
      </c>
      <c r="L543" s="94">
        <v>0</v>
      </c>
      <c r="O543" t="str">
        <f t="shared" si="9"/>
        <v/>
      </c>
    </row>
    <row r="544" spans="7:15" x14ac:dyDescent="0.3">
      <c r="G544" s="93">
        <v>43614</v>
      </c>
      <c r="H544" t="s">
        <v>26</v>
      </c>
      <c r="I544" t="s">
        <v>108</v>
      </c>
      <c r="J544" t="s">
        <v>212</v>
      </c>
      <c r="K544" s="95">
        <v>0</v>
      </c>
      <c r="L544" s="94">
        <v>57</v>
      </c>
      <c r="O544" t="str">
        <f t="shared" si="9"/>
        <v/>
      </c>
    </row>
    <row r="545" spans="7:15" x14ac:dyDescent="0.3">
      <c r="G545" s="93">
        <v>43614</v>
      </c>
      <c r="H545" t="s">
        <v>26</v>
      </c>
      <c r="I545" t="s">
        <v>108</v>
      </c>
      <c r="J545" t="s">
        <v>212</v>
      </c>
      <c r="L545" s="94">
        <v>30.77</v>
      </c>
      <c r="O545" t="str">
        <f t="shared" si="9"/>
        <v/>
      </c>
    </row>
    <row r="546" spans="7:15" x14ac:dyDescent="0.3">
      <c r="G546" s="93">
        <v>43614</v>
      </c>
      <c r="H546" t="s">
        <v>26</v>
      </c>
      <c r="I546" t="s">
        <v>64</v>
      </c>
      <c r="J546" t="s">
        <v>162</v>
      </c>
      <c r="K546" s="95">
        <v>9</v>
      </c>
      <c r="L546" s="94">
        <v>0</v>
      </c>
      <c r="O546" t="str">
        <f t="shared" si="9"/>
        <v/>
      </c>
    </row>
    <row r="547" spans="7:15" x14ac:dyDescent="0.3">
      <c r="G547" s="93">
        <v>43614</v>
      </c>
      <c r="H547" t="s">
        <v>26</v>
      </c>
      <c r="I547" t="s">
        <v>64</v>
      </c>
      <c r="J547" t="s">
        <v>171</v>
      </c>
      <c r="K547" s="95">
        <v>4.5</v>
      </c>
      <c r="L547" s="94">
        <v>0</v>
      </c>
      <c r="O547" t="str">
        <f t="shared" si="9"/>
        <v/>
      </c>
    </row>
    <row r="548" spans="7:15" x14ac:dyDescent="0.3">
      <c r="G548" s="93">
        <v>43614</v>
      </c>
      <c r="H548" t="s">
        <v>26</v>
      </c>
      <c r="I548" t="s">
        <v>107</v>
      </c>
      <c r="J548" t="s">
        <v>212</v>
      </c>
      <c r="K548" s="95">
        <v>19</v>
      </c>
      <c r="L548" s="94">
        <v>0</v>
      </c>
      <c r="O548" t="str">
        <f t="shared" si="9"/>
        <v/>
      </c>
    </row>
    <row r="549" spans="7:15" x14ac:dyDescent="0.3">
      <c r="G549" s="93">
        <v>43615</v>
      </c>
      <c r="H549" t="s">
        <v>127</v>
      </c>
      <c r="I549" t="s">
        <v>107</v>
      </c>
      <c r="J549" t="s">
        <v>214</v>
      </c>
      <c r="K549" s="95">
        <v>95.6</v>
      </c>
      <c r="L549" s="94">
        <v>0</v>
      </c>
      <c r="O549" t="str">
        <f t="shared" si="9"/>
        <v/>
      </c>
    </row>
    <row r="550" spans="7:15" x14ac:dyDescent="0.3">
      <c r="G550" s="93">
        <v>43615</v>
      </c>
      <c r="H550" t="s">
        <v>114</v>
      </c>
      <c r="I550" t="s">
        <v>40</v>
      </c>
      <c r="J550" t="s">
        <v>214</v>
      </c>
      <c r="K550" s="95">
        <v>20</v>
      </c>
      <c r="L550" s="94">
        <v>0</v>
      </c>
      <c r="O550" t="str">
        <f t="shared" si="9"/>
        <v/>
      </c>
    </row>
    <row r="551" spans="7:15" x14ac:dyDescent="0.3">
      <c r="G551" s="93">
        <v>43615</v>
      </c>
      <c r="H551" t="s">
        <v>24</v>
      </c>
      <c r="I551" t="s">
        <v>61</v>
      </c>
      <c r="J551" t="s">
        <v>214</v>
      </c>
      <c r="K551" s="95">
        <v>32</v>
      </c>
      <c r="L551" s="94">
        <v>0</v>
      </c>
      <c r="O551" t="str">
        <f t="shared" si="9"/>
        <v/>
      </c>
    </row>
    <row r="552" spans="7:15" x14ac:dyDescent="0.3">
      <c r="G552" s="93">
        <v>43615</v>
      </c>
      <c r="H552" t="s">
        <v>24</v>
      </c>
      <c r="I552" t="s">
        <v>61</v>
      </c>
      <c r="J552" t="s">
        <v>214</v>
      </c>
      <c r="K552" s="95">
        <v>24</v>
      </c>
      <c r="L552" s="94">
        <v>0</v>
      </c>
      <c r="O552" t="str">
        <f t="shared" si="9"/>
        <v/>
      </c>
    </row>
    <row r="553" spans="7:15" x14ac:dyDescent="0.3">
      <c r="G553" s="93">
        <v>43615</v>
      </c>
      <c r="H553" t="s">
        <v>24</v>
      </c>
      <c r="I553" t="s">
        <v>61</v>
      </c>
      <c r="J553" t="s">
        <v>214</v>
      </c>
      <c r="K553" s="95">
        <v>16</v>
      </c>
      <c r="L553" s="94">
        <v>0</v>
      </c>
      <c r="O553" t="str">
        <f t="shared" si="9"/>
        <v/>
      </c>
    </row>
    <row r="554" spans="7:15" x14ac:dyDescent="0.3">
      <c r="G554" s="93">
        <v>43615</v>
      </c>
      <c r="H554" t="s">
        <v>24</v>
      </c>
      <c r="I554" t="s">
        <v>61</v>
      </c>
      <c r="J554" t="s">
        <v>214</v>
      </c>
      <c r="K554" s="95">
        <v>8</v>
      </c>
      <c r="L554" s="94">
        <v>0</v>
      </c>
      <c r="O554" t="str">
        <f t="shared" si="9"/>
        <v/>
      </c>
    </row>
    <row r="555" spans="7:15" x14ac:dyDescent="0.3">
      <c r="G555" s="93">
        <v>43615</v>
      </c>
      <c r="H555" t="s">
        <v>26</v>
      </c>
      <c r="I555" t="s">
        <v>61</v>
      </c>
      <c r="J555" t="s">
        <v>214</v>
      </c>
      <c r="K555" s="95">
        <v>8</v>
      </c>
      <c r="L555" s="94">
        <v>0</v>
      </c>
      <c r="O555" t="str">
        <f t="shared" si="9"/>
        <v/>
      </c>
    </row>
    <row r="556" spans="7:15" x14ac:dyDescent="0.3">
      <c r="G556" s="93">
        <v>43615</v>
      </c>
      <c r="H556" t="s">
        <v>26</v>
      </c>
      <c r="I556" t="s">
        <v>64</v>
      </c>
      <c r="J556" t="s">
        <v>162</v>
      </c>
      <c r="K556" s="95">
        <v>9</v>
      </c>
      <c r="L556" s="94">
        <v>0</v>
      </c>
      <c r="O556" t="str">
        <f t="shared" si="9"/>
        <v/>
      </c>
    </row>
    <row r="557" spans="7:15" x14ac:dyDescent="0.3">
      <c r="G557" s="93">
        <v>43615</v>
      </c>
      <c r="H557" t="s">
        <v>26</v>
      </c>
      <c r="I557" t="s">
        <v>107</v>
      </c>
      <c r="J557" t="s">
        <v>214</v>
      </c>
      <c r="K557" s="95">
        <v>19</v>
      </c>
      <c r="L557" s="94">
        <v>0</v>
      </c>
      <c r="O557" t="str">
        <f t="shared" si="9"/>
        <v/>
      </c>
    </row>
    <row r="558" spans="7:15" x14ac:dyDescent="0.3">
      <c r="G558" s="93">
        <v>43616</v>
      </c>
      <c r="H558" t="s">
        <v>26</v>
      </c>
      <c r="I558" t="s">
        <v>64</v>
      </c>
      <c r="J558" t="s">
        <v>215</v>
      </c>
      <c r="K558" s="95">
        <v>2.65</v>
      </c>
      <c r="L558" s="94">
        <v>0</v>
      </c>
      <c r="O558" t="str">
        <f t="shared" si="9"/>
        <v/>
      </c>
    </row>
    <row r="559" spans="7:15" x14ac:dyDescent="0.3">
      <c r="G559" s="93">
        <v>43616</v>
      </c>
      <c r="H559" t="s">
        <v>26</v>
      </c>
      <c r="I559" t="s">
        <v>64</v>
      </c>
      <c r="J559" t="s">
        <v>133</v>
      </c>
      <c r="K559" s="95">
        <v>2.25</v>
      </c>
      <c r="L559" s="94">
        <v>0</v>
      </c>
      <c r="O559" t="str">
        <f t="shared" si="9"/>
        <v/>
      </c>
    </row>
    <row r="560" spans="7:15" x14ac:dyDescent="0.3">
      <c r="G560" s="93">
        <v>43616</v>
      </c>
      <c r="H560" t="s">
        <v>26</v>
      </c>
      <c r="I560" t="s">
        <v>64</v>
      </c>
      <c r="J560" t="s">
        <v>170</v>
      </c>
      <c r="K560" s="95">
        <v>6.75</v>
      </c>
      <c r="L560" s="94">
        <v>0</v>
      </c>
      <c r="O560" t="str">
        <f t="shared" si="9"/>
        <v/>
      </c>
    </row>
    <row r="561" spans="15:15" x14ac:dyDescent="0.3">
      <c r="O561" t="str">
        <f t="shared" si="9"/>
        <v/>
      </c>
    </row>
    <row r="562" spans="15:15" x14ac:dyDescent="0.3">
      <c r="O562" t="str">
        <f t="shared" si="9"/>
        <v/>
      </c>
    </row>
    <row r="563" spans="15:15" x14ac:dyDescent="0.3">
      <c r="O563" t="str">
        <f t="shared" si="9"/>
        <v/>
      </c>
    </row>
    <row r="564" spans="15:15" x14ac:dyDescent="0.3">
      <c r="O564" t="str">
        <f t="shared" si="9"/>
        <v/>
      </c>
    </row>
    <row r="565" spans="15:15" x14ac:dyDescent="0.3">
      <c r="O565" t="str">
        <f t="shared" si="9"/>
        <v/>
      </c>
    </row>
    <row r="566" spans="15:15" x14ac:dyDescent="0.3">
      <c r="O566" t="str">
        <f t="shared" si="9"/>
        <v/>
      </c>
    </row>
    <row r="567" spans="15:15" x14ac:dyDescent="0.3">
      <c r="O567" t="str">
        <f t="shared" si="9"/>
        <v/>
      </c>
    </row>
    <row r="568" spans="15:15" x14ac:dyDescent="0.3">
      <c r="O568" t="str">
        <f t="shared" si="9"/>
        <v/>
      </c>
    </row>
    <row r="569" spans="15:15" x14ac:dyDescent="0.3">
      <c r="O569" t="str">
        <f t="shared" si="9"/>
        <v/>
      </c>
    </row>
    <row r="570" spans="15:15" x14ac:dyDescent="0.3">
      <c r="O570" t="str">
        <f t="shared" si="9"/>
        <v/>
      </c>
    </row>
    <row r="571" spans="15:15" x14ac:dyDescent="0.3">
      <c r="O571" t="str">
        <f t="shared" si="9"/>
        <v/>
      </c>
    </row>
    <row r="572" spans="15:15" x14ac:dyDescent="0.3">
      <c r="O572" t="str">
        <f t="shared" si="9"/>
        <v/>
      </c>
    </row>
    <row r="573" spans="15:15" x14ac:dyDescent="0.3">
      <c r="O573" t="str">
        <f t="shared" si="9"/>
        <v/>
      </c>
    </row>
    <row r="574" spans="15:15" x14ac:dyDescent="0.3">
      <c r="O574" t="str">
        <f t="shared" si="9"/>
        <v/>
      </c>
    </row>
    <row r="575" spans="15:15" x14ac:dyDescent="0.3">
      <c r="O575" t="str">
        <f t="shared" si="9"/>
        <v/>
      </c>
    </row>
    <row r="576" spans="15:15" x14ac:dyDescent="0.3">
      <c r="O576" t="str">
        <f t="shared" si="9"/>
        <v/>
      </c>
    </row>
    <row r="577" spans="15:15" x14ac:dyDescent="0.3">
      <c r="O577" t="str">
        <f t="shared" si="9"/>
        <v/>
      </c>
    </row>
    <row r="578" spans="15:15" x14ac:dyDescent="0.3">
      <c r="O578" t="str">
        <f t="shared" si="9"/>
        <v/>
      </c>
    </row>
    <row r="579" spans="15:15" x14ac:dyDescent="0.3">
      <c r="O579" t="str">
        <f t="shared" si="9"/>
        <v/>
      </c>
    </row>
    <row r="580" spans="15:15" x14ac:dyDescent="0.3">
      <c r="O580" t="str">
        <f t="shared" si="9"/>
        <v/>
      </c>
    </row>
    <row r="581" spans="15:15" x14ac:dyDescent="0.3">
      <c r="O581" t="str">
        <f t="shared" si="9"/>
        <v/>
      </c>
    </row>
    <row r="582" spans="15:15" x14ac:dyDescent="0.3">
      <c r="O582" t="str">
        <f t="shared" si="9"/>
        <v/>
      </c>
    </row>
    <row r="583" spans="15:15" x14ac:dyDescent="0.3">
      <c r="O583" t="str">
        <f t="shared" si="9"/>
        <v/>
      </c>
    </row>
    <row r="584" spans="15:15" x14ac:dyDescent="0.3">
      <c r="O584" t="str">
        <f t="shared" si="9"/>
        <v/>
      </c>
    </row>
    <row r="585" spans="15:15" x14ac:dyDescent="0.3">
      <c r="O585" t="str">
        <f t="shared" si="9"/>
        <v/>
      </c>
    </row>
    <row r="586" spans="15:15" x14ac:dyDescent="0.3">
      <c r="O586" t="str">
        <f t="shared" ref="O586:O649" si="10">IF(P586="","",O585+1)</f>
        <v/>
      </c>
    </row>
    <row r="587" spans="15:15" x14ac:dyDescent="0.3">
      <c r="O587" t="str">
        <f t="shared" si="10"/>
        <v/>
      </c>
    </row>
    <row r="588" spans="15:15" x14ac:dyDescent="0.3">
      <c r="O588" t="str">
        <f t="shared" si="10"/>
        <v/>
      </c>
    </row>
    <row r="589" spans="15:15" x14ac:dyDescent="0.3">
      <c r="O589" t="str">
        <f t="shared" si="10"/>
        <v/>
      </c>
    </row>
    <row r="590" spans="15:15" x14ac:dyDescent="0.3">
      <c r="O590" t="str">
        <f t="shared" si="10"/>
        <v/>
      </c>
    </row>
    <row r="591" spans="15:15" x14ac:dyDescent="0.3">
      <c r="O591" t="str">
        <f t="shared" si="10"/>
        <v/>
      </c>
    </row>
    <row r="592" spans="15:15" x14ac:dyDescent="0.3">
      <c r="O592" t="str">
        <f t="shared" si="10"/>
        <v/>
      </c>
    </row>
    <row r="593" spans="15:15" x14ac:dyDescent="0.3">
      <c r="O593" t="str">
        <f t="shared" si="10"/>
        <v/>
      </c>
    </row>
    <row r="594" spans="15:15" x14ac:dyDescent="0.3">
      <c r="O594" t="str">
        <f t="shared" si="10"/>
        <v/>
      </c>
    </row>
    <row r="595" spans="15:15" x14ac:dyDescent="0.3">
      <c r="O595" t="str">
        <f t="shared" si="10"/>
        <v/>
      </c>
    </row>
    <row r="596" spans="15:15" x14ac:dyDescent="0.3">
      <c r="O596" t="str">
        <f t="shared" si="10"/>
        <v/>
      </c>
    </row>
    <row r="597" spans="15:15" x14ac:dyDescent="0.3">
      <c r="O597" t="str">
        <f t="shared" si="10"/>
        <v/>
      </c>
    </row>
    <row r="598" spans="15:15" x14ac:dyDescent="0.3">
      <c r="O598" t="str">
        <f t="shared" si="10"/>
        <v/>
      </c>
    </row>
    <row r="599" spans="15:15" x14ac:dyDescent="0.3">
      <c r="O599" t="str">
        <f t="shared" si="10"/>
        <v/>
      </c>
    </row>
    <row r="600" spans="15:15" x14ac:dyDescent="0.3">
      <c r="O600" t="str">
        <f t="shared" si="10"/>
        <v/>
      </c>
    </row>
    <row r="601" spans="15:15" x14ac:dyDescent="0.3">
      <c r="O601" t="str">
        <f t="shared" si="10"/>
        <v/>
      </c>
    </row>
    <row r="602" spans="15:15" x14ac:dyDescent="0.3">
      <c r="O602" t="str">
        <f t="shared" si="10"/>
        <v/>
      </c>
    </row>
    <row r="603" spans="15:15" x14ac:dyDescent="0.3">
      <c r="O603" t="str">
        <f t="shared" si="10"/>
        <v/>
      </c>
    </row>
    <row r="604" spans="15:15" x14ac:dyDescent="0.3">
      <c r="O604" t="str">
        <f t="shared" si="10"/>
        <v/>
      </c>
    </row>
    <row r="605" spans="15:15" x14ac:dyDescent="0.3">
      <c r="O605" t="str">
        <f t="shared" si="10"/>
        <v/>
      </c>
    </row>
    <row r="606" spans="15:15" x14ac:dyDescent="0.3">
      <c r="O606" t="str">
        <f t="shared" si="10"/>
        <v/>
      </c>
    </row>
    <row r="607" spans="15:15" x14ac:dyDescent="0.3">
      <c r="O607" t="str">
        <f t="shared" si="10"/>
        <v/>
      </c>
    </row>
    <row r="608" spans="15:15" x14ac:dyDescent="0.3">
      <c r="O608" t="str">
        <f t="shared" si="10"/>
        <v/>
      </c>
    </row>
    <row r="609" spans="15:15" x14ac:dyDescent="0.3">
      <c r="O609" t="str">
        <f t="shared" si="10"/>
        <v/>
      </c>
    </row>
    <row r="610" spans="15:15" x14ac:dyDescent="0.3">
      <c r="O610" t="str">
        <f t="shared" si="10"/>
        <v/>
      </c>
    </row>
    <row r="611" spans="15:15" x14ac:dyDescent="0.3">
      <c r="O611" t="str">
        <f t="shared" si="10"/>
        <v/>
      </c>
    </row>
    <row r="612" spans="15:15" x14ac:dyDescent="0.3">
      <c r="O612" t="str">
        <f t="shared" si="10"/>
        <v/>
      </c>
    </row>
    <row r="613" spans="15:15" x14ac:dyDescent="0.3">
      <c r="O613" t="str">
        <f t="shared" si="10"/>
        <v/>
      </c>
    </row>
    <row r="614" spans="15:15" x14ac:dyDescent="0.3">
      <c r="O614" t="str">
        <f t="shared" si="10"/>
        <v/>
      </c>
    </row>
    <row r="615" spans="15:15" x14ac:dyDescent="0.3">
      <c r="O615" t="str">
        <f t="shared" si="10"/>
        <v/>
      </c>
    </row>
    <row r="616" spans="15:15" x14ac:dyDescent="0.3">
      <c r="O616" t="str">
        <f t="shared" si="10"/>
        <v/>
      </c>
    </row>
    <row r="617" spans="15:15" x14ac:dyDescent="0.3">
      <c r="O617" t="str">
        <f t="shared" si="10"/>
        <v/>
      </c>
    </row>
    <row r="618" spans="15:15" x14ac:dyDescent="0.3">
      <c r="O618" t="str">
        <f t="shared" si="10"/>
        <v/>
      </c>
    </row>
    <row r="619" spans="15:15" x14ac:dyDescent="0.3">
      <c r="O619" t="str">
        <f t="shared" si="10"/>
        <v/>
      </c>
    </row>
    <row r="620" spans="15:15" x14ac:dyDescent="0.3">
      <c r="O620" t="str">
        <f t="shared" si="10"/>
        <v/>
      </c>
    </row>
    <row r="621" spans="15:15" x14ac:dyDescent="0.3">
      <c r="O621" t="str">
        <f t="shared" si="10"/>
        <v/>
      </c>
    </row>
    <row r="622" spans="15:15" x14ac:dyDescent="0.3">
      <c r="O622" t="str">
        <f t="shared" si="10"/>
        <v/>
      </c>
    </row>
    <row r="623" spans="15:15" x14ac:dyDescent="0.3">
      <c r="O623" t="str">
        <f t="shared" si="10"/>
        <v/>
      </c>
    </row>
    <row r="624" spans="15:15" x14ac:dyDescent="0.3">
      <c r="O624" t="str">
        <f t="shared" si="10"/>
        <v/>
      </c>
    </row>
    <row r="625" spans="15:15" x14ac:dyDescent="0.3">
      <c r="O625" t="str">
        <f t="shared" si="10"/>
        <v/>
      </c>
    </row>
    <row r="626" spans="15:15" x14ac:dyDescent="0.3">
      <c r="O626" t="str">
        <f t="shared" si="10"/>
        <v/>
      </c>
    </row>
    <row r="627" spans="15:15" x14ac:dyDescent="0.3">
      <c r="O627" t="str">
        <f t="shared" si="10"/>
        <v/>
      </c>
    </row>
    <row r="628" spans="15:15" x14ac:dyDescent="0.3">
      <c r="O628" t="str">
        <f t="shared" si="10"/>
        <v/>
      </c>
    </row>
    <row r="629" spans="15:15" x14ac:dyDescent="0.3">
      <c r="O629" t="str">
        <f t="shared" si="10"/>
        <v/>
      </c>
    </row>
    <row r="630" spans="15:15" x14ac:dyDescent="0.3">
      <c r="O630" t="str">
        <f t="shared" si="10"/>
        <v/>
      </c>
    </row>
    <row r="631" spans="15:15" x14ac:dyDescent="0.3">
      <c r="O631" t="str">
        <f t="shared" si="10"/>
        <v/>
      </c>
    </row>
    <row r="632" spans="15:15" x14ac:dyDescent="0.3">
      <c r="O632" t="str">
        <f t="shared" si="10"/>
        <v/>
      </c>
    </row>
    <row r="633" spans="15:15" x14ac:dyDescent="0.3">
      <c r="O633" t="str">
        <f t="shared" si="10"/>
        <v/>
      </c>
    </row>
    <row r="634" spans="15:15" x14ac:dyDescent="0.3">
      <c r="O634" t="str">
        <f t="shared" si="10"/>
        <v/>
      </c>
    </row>
    <row r="635" spans="15:15" x14ac:dyDescent="0.3">
      <c r="O635" t="str">
        <f t="shared" si="10"/>
        <v/>
      </c>
    </row>
    <row r="636" spans="15:15" x14ac:dyDescent="0.3">
      <c r="O636" t="str">
        <f t="shared" si="10"/>
        <v/>
      </c>
    </row>
    <row r="637" spans="15:15" x14ac:dyDescent="0.3">
      <c r="O637" t="str">
        <f t="shared" si="10"/>
        <v/>
      </c>
    </row>
    <row r="638" spans="15:15" x14ac:dyDescent="0.3">
      <c r="O638" t="str">
        <f t="shared" si="10"/>
        <v/>
      </c>
    </row>
    <row r="639" spans="15:15" x14ac:dyDescent="0.3">
      <c r="O639" t="str">
        <f t="shared" si="10"/>
        <v/>
      </c>
    </row>
    <row r="640" spans="15:15" x14ac:dyDescent="0.3">
      <c r="O640" t="str">
        <f t="shared" si="10"/>
        <v/>
      </c>
    </row>
    <row r="641" spans="15:15" x14ac:dyDescent="0.3">
      <c r="O641" t="str">
        <f t="shared" si="10"/>
        <v/>
      </c>
    </row>
    <row r="642" spans="15:15" x14ac:dyDescent="0.3">
      <c r="O642" t="str">
        <f t="shared" si="10"/>
        <v/>
      </c>
    </row>
    <row r="643" spans="15:15" x14ac:dyDescent="0.3">
      <c r="O643" t="str">
        <f t="shared" si="10"/>
        <v/>
      </c>
    </row>
    <row r="644" spans="15:15" x14ac:dyDescent="0.3">
      <c r="O644" t="str">
        <f t="shared" si="10"/>
        <v/>
      </c>
    </row>
    <row r="645" spans="15:15" x14ac:dyDescent="0.3">
      <c r="O645" t="str">
        <f t="shared" si="10"/>
        <v/>
      </c>
    </row>
    <row r="646" spans="15:15" x14ac:dyDescent="0.3">
      <c r="O646" t="str">
        <f t="shared" si="10"/>
        <v/>
      </c>
    </row>
    <row r="647" spans="15:15" x14ac:dyDescent="0.3">
      <c r="O647" t="str">
        <f t="shared" si="10"/>
        <v/>
      </c>
    </row>
    <row r="648" spans="15:15" x14ac:dyDescent="0.3">
      <c r="O648" t="str">
        <f t="shared" si="10"/>
        <v/>
      </c>
    </row>
    <row r="649" spans="15:15" x14ac:dyDescent="0.3">
      <c r="O649" t="str">
        <f t="shared" si="10"/>
        <v/>
      </c>
    </row>
    <row r="650" spans="15:15" x14ac:dyDescent="0.3">
      <c r="O650" t="str">
        <f t="shared" ref="O650:O713" si="11">IF(P650="","",O649+1)</f>
        <v/>
      </c>
    </row>
    <row r="651" spans="15:15" x14ac:dyDescent="0.3">
      <c r="O651" t="str">
        <f t="shared" si="11"/>
        <v/>
      </c>
    </row>
    <row r="652" spans="15:15" x14ac:dyDescent="0.3">
      <c r="O652" t="str">
        <f t="shared" si="11"/>
        <v/>
      </c>
    </row>
    <row r="653" spans="15:15" x14ac:dyDescent="0.3">
      <c r="O653" t="str">
        <f t="shared" si="11"/>
        <v/>
      </c>
    </row>
    <row r="654" spans="15:15" x14ac:dyDescent="0.3">
      <c r="O654" t="str">
        <f t="shared" si="11"/>
        <v/>
      </c>
    </row>
    <row r="655" spans="15:15" x14ac:dyDescent="0.3">
      <c r="O655" t="str">
        <f t="shared" si="11"/>
        <v/>
      </c>
    </row>
    <row r="656" spans="15:15" x14ac:dyDescent="0.3">
      <c r="O656" t="str">
        <f t="shared" si="11"/>
        <v/>
      </c>
    </row>
    <row r="657" spans="15:15" x14ac:dyDescent="0.3">
      <c r="O657" t="str">
        <f t="shared" si="11"/>
        <v/>
      </c>
    </row>
    <row r="658" spans="15:15" x14ac:dyDescent="0.3">
      <c r="O658" t="str">
        <f t="shared" si="11"/>
        <v/>
      </c>
    </row>
    <row r="659" spans="15:15" x14ac:dyDescent="0.3">
      <c r="O659" t="str">
        <f t="shared" si="11"/>
        <v/>
      </c>
    </row>
    <row r="660" spans="15:15" x14ac:dyDescent="0.3">
      <c r="O660" t="str">
        <f t="shared" si="11"/>
        <v/>
      </c>
    </row>
    <row r="661" spans="15:15" x14ac:dyDescent="0.3">
      <c r="O661" t="str">
        <f t="shared" si="11"/>
        <v/>
      </c>
    </row>
    <row r="662" spans="15:15" x14ac:dyDescent="0.3">
      <c r="O662" t="str">
        <f t="shared" si="11"/>
        <v/>
      </c>
    </row>
    <row r="663" spans="15:15" x14ac:dyDescent="0.3">
      <c r="O663" t="str">
        <f t="shared" si="11"/>
        <v/>
      </c>
    </row>
    <row r="664" spans="15:15" x14ac:dyDescent="0.3">
      <c r="O664" t="str">
        <f t="shared" si="11"/>
        <v/>
      </c>
    </row>
    <row r="665" spans="15:15" x14ac:dyDescent="0.3">
      <c r="O665" t="str">
        <f t="shared" si="11"/>
        <v/>
      </c>
    </row>
    <row r="666" spans="15:15" x14ac:dyDescent="0.3">
      <c r="O666" t="str">
        <f t="shared" si="11"/>
        <v/>
      </c>
    </row>
    <row r="667" spans="15:15" x14ac:dyDescent="0.3">
      <c r="O667" t="str">
        <f t="shared" si="11"/>
        <v/>
      </c>
    </row>
    <row r="668" spans="15:15" x14ac:dyDescent="0.3">
      <c r="O668" t="str">
        <f t="shared" si="11"/>
        <v/>
      </c>
    </row>
    <row r="669" spans="15:15" x14ac:dyDescent="0.3">
      <c r="O669" t="str">
        <f t="shared" si="11"/>
        <v/>
      </c>
    </row>
    <row r="670" spans="15:15" x14ac:dyDescent="0.3">
      <c r="O670" t="str">
        <f t="shared" si="11"/>
        <v/>
      </c>
    </row>
    <row r="671" spans="15:15" x14ac:dyDescent="0.3">
      <c r="O671" t="str">
        <f t="shared" si="11"/>
        <v/>
      </c>
    </row>
    <row r="672" spans="15:15" x14ac:dyDescent="0.3">
      <c r="O672" t="str">
        <f t="shared" si="11"/>
        <v/>
      </c>
    </row>
    <row r="673" spans="15:15" x14ac:dyDescent="0.3">
      <c r="O673" t="str">
        <f t="shared" si="11"/>
        <v/>
      </c>
    </row>
    <row r="674" spans="15:15" x14ac:dyDescent="0.3">
      <c r="O674" t="str">
        <f t="shared" si="11"/>
        <v/>
      </c>
    </row>
    <row r="675" spans="15:15" x14ac:dyDescent="0.3">
      <c r="O675" t="str">
        <f t="shared" si="11"/>
        <v/>
      </c>
    </row>
    <row r="676" spans="15:15" x14ac:dyDescent="0.3">
      <c r="O676" t="str">
        <f t="shared" si="11"/>
        <v/>
      </c>
    </row>
    <row r="677" spans="15:15" x14ac:dyDescent="0.3">
      <c r="O677" t="str">
        <f t="shared" si="11"/>
        <v/>
      </c>
    </row>
    <row r="678" spans="15:15" x14ac:dyDescent="0.3">
      <c r="O678" t="str">
        <f t="shared" si="11"/>
        <v/>
      </c>
    </row>
    <row r="679" spans="15:15" x14ac:dyDescent="0.3">
      <c r="O679" t="str">
        <f t="shared" si="11"/>
        <v/>
      </c>
    </row>
    <row r="680" spans="15:15" x14ac:dyDescent="0.3">
      <c r="O680" t="str">
        <f t="shared" si="11"/>
        <v/>
      </c>
    </row>
    <row r="681" spans="15:15" x14ac:dyDescent="0.3">
      <c r="O681" t="str">
        <f t="shared" si="11"/>
        <v/>
      </c>
    </row>
    <row r="682" spans="15:15" x14ac:dyDescent="0.3">
      <c r="O682" t="str">
        <f t="shared" si="11"/>
        <v/>
      </c>
    </row>
    <row r="683" spans="15:15" x14ac:dyDescent="0.3">
      <c r="O683" t="str">
        <f t="shared" si="11"/>
        <v/>
      </c>
    </row>
    <row r="684" spans="15:15" x14ac:dyDescent="0.3">
      <c r="O684" t="str">
        <f t="shared" si="11"/>
        <v/>
      </c>
    </row>
    <row r="685" spans="15:15" x14ac:dyDescent="0.3">
      <c r="O685" t="str">
        <f t="shared" si="11"/>
        <v/>
      </c>
    </row>
    <row r="686" spans="15:15" x14ac:dyDescent="0.3">
      <c r="O686" t="str">
        <f t="shared" si="11"/>
        <v/>
      </c>
    </row>
    <row r="687" spans="15:15" x14ac:dyDescent="0.3">
      <c r="O687" t="str">
        <f t="shared" si="11"/>
        <v/>
      </c>
    </row>
    <row r="688" spans="15:15" x14ac:dyDescent="0.3">
      <c r="O688" t="str">
        <f t="shared" si="11"/>
        <v/>
      </c>
    </row>
    <row r="689" spans="15:15" x14ac:dyDescent="0.3">
      <c r="O689" t="str">
        <f t="shared" si="11"/>
        <v/>
      </c>
    </row>
    <row r="690" spans="15:15" x14ac:dyDescent="0.3">
      <c r="O690" t="str">
        <f t="shared" si="11"/>
        <v/>
      </c>
    </row>
    <row r="691" spans="15:15" x14ac:dyDescent="0.3">
      <c r="O691" t="str">
        <f t="shared" si="11"/>
        <v/>
      </c>
    </row>
    <row r="692" spans="15:15" x14ac:dyDescent="0.3">
      <c r="O692" t="str">
        <f t="shared" si="11"/>
        <v/>
      </c>
    </row>
    <row r="693" spans="15:15" x14ac:dyDescent="0.3">
      <c r="O693" t="str">
        <f t="shared" si="11"/>
        <v/>
      </c>
    </row>
    <row r="694" spans="15:15" x14ac:dyDescent="0.3">
      <c r="O694" t="str">
        <f t="shared" si="11"/>
        <v/>
      </c>
    </row>
    <row r="695" spans="15:15" x14ac:dyDescent="0.3">
      <c r="O695" t="str">
        <f t="shared" si="11"/>
        <v/>
      </c>
    </row>
    <row r="696" spans="15:15" x14ac:dyDescent="0.3">
      <c r="O696" t="str">
        <f t="shared" si="11"/>
        <v/>
      </c>
    </row>
    <row r="697" spans="15:15" x14ac:dyDescent="0.3">
      <c r="O697" t="str">
        <f t="shared" si="11"/>
        <v/>
      </c>
    </row>
    <row r="698" spans="15:15" x14ac:dyDescent="0.3">
      <c r="O698" t="str">
        <f t="shared" si="11"/>
        <v/>
      </c>
    </row>
    <row r="699" spans="15:15" x14ac:dyDescent="0.3">
      <c r="O699" t="str">
        <f t="shared" si="11"/>
        <v/>
      </c>
    </row>
    <row r="700" spans="15:15" x14ac:dyDescent="0.3">
      <c r="O700" t="str">
        <f t="shared" si="11"/>
        <v/>
      </c>
    </row>
    <row r="701" spans="15:15" x14ac:dyDescent="0.3">
      <c r="O701" t="str">
        <f t="shared" si="11"/>
        <v/>
      </c>
    </row>
    <row r="702" spans="15:15" x14ac:dyDescent="0.3">
      <c r="O702" t="str">
        <f t="shared" si="11"/>
        <v/>
      </c>
    </row>
    <row r="703" spans="15:15" x14ac:dyDescent="0.3">
      <c r="O703" t="str">
        <f t="shared" si="11"/>
        <v/>
      </c>
    </row>
    <row r="704" spans="15:15" x14ac:dyDescent="0.3">
      <c r="O704" t="str">
        <f t="shared" si="11"/>
        <v/>
      </c>
    </row>
    <row r="705" spans="15:15" x14ac:dyDescent="0.3">
      <c r="O705" t="str">
        <f t="shared" si="11"/>
        <v/>
      </c>
    </row>
    <row r="706" spans="15:15" x14ac:dyDescent="0.3">
      <c r="O706" t="str">
        <f t="shared" si="11"/>
        <v/>
      </c>
    </row>
    <row r="707" spans="15:15" x14ac:dyDescent="0.3">
      <c r="O707" t="str">
        <f t="shared" si="11"/>
        <v/>
      </c>
    </row>
    <row r="708" spans="15:15" x14ac:dyDescent="0.3">
      <c r="O708" t="str">
        <f t="shared" si="11"/>
        <v/>
      </c>
    </row>
    <row r="709" spans="15:15" x14ac:dyDescent="0.3">
      <c r="O709" t="str">
        <f t="shared" si="11"/>
        <v/>
      </c>
    </row>
    <row r="710" spans="15:15" x14ac:dyDescent="0.3">
      <c r="O710" t="str">
        <f t="shared" si="11"/>
        <v/>
      </c>
    </row>
    <row r="711" spans="15:15" x14ac:dyDescent="0.3">
      <c r="O711" t="str">
        <f t="shared" si="11"/>
        <v/>
      </c>
    </row>
    <row r="712" spans="15:15" x14ac:dyDescent="0.3">
      <c r="O712" t="str">
        <f t="shared" si="11"/>
        <v/>
      </c>
    </row>
    <row r="713" spans="15:15" x14ac:dyDescent="0.3">
      <c r="O713" t="str">
        <f t="shared" si="11"/>
        <v/>
      </c>
    </row>
    <row r="714" spans="15:15" x14ac:dyDescent="0.3">
      <c r="O714" t="str">
        <f t="shared" ref="O714:O777" si="12">IF(P714="","",O713+1)</f>
        <v/>
      </c>
    </row>
    <row r="715" spans="15:15" x14ac:dyDescent="0.3">
      <c r="O715" t="str">
        <f t="shared" si="12"/>
        <v/>
      </c>
    </row>
    <row r="716" spans="15:15" x14ac:dyDescent="0.3">
      <c r="O716" t="str">
        <f t="shared" si="12"/>
        <v/>
      </c>
    </row>
    <row r="717" spans="15:15" x14ac:dyDescent="0.3">
      <c r="O717" t="str">
        <f t="shared" si="12"/>
        <v/>
      </c>
    </row>
    <row r="718" spans="15:15" x14ac:dyDescent="0.3">
      <c r="O718" t="str">
        <f t="shared" si="12"/>
        <v/>
      </c>
    </row>
    <row r="719" spans="15:15" x14ac:dyDescent="0.3">
      <c r="O719" t="str">
        <f t="shared" si="12"/>
        <v/>
      </c>
    </row>
    <row r="720" spans="15:15" x14ac:dyDescent="0.3">
      <c r="O720" t="str">
        <f t="shared" si="12"/>
        <v/>
      </c>
    </row>
    <row r="721" spans="15:15" x14ac:dyDescent="0.3">
      <c r="O721" t="str">
        <f t="shared" si="12"/>
        <v/>
      </c>
    </row>
    <row r="722" spans="15:15" x14ac:dyDescent="0.3">
      <c r="O722" t="str">
        <f t="shared" si="12"/>
        <v/>
      </c>
    </row>
    <row r="723" spans="15:15" x14ac:dyDescent="0.3">
      <c r="O723" t="str">
        <f t="shared" si="12"/>
        <v/>
      </c>
    </row>
    <row r="724" spans="15:15" x14ac:dyDescent="0.3">
      <c r="O724" t="str">
        <f t="shared" si="12"/>
        <v/>
      </c>
    </row>
    <row r="725" spans="15:15" x14ac:dyDescent="0.3">
      <c r="O725" t="str">
        <f t="shared" si="12"/>
        <v/>
      </c>
    </row>
    <row r="726" spans="15:15" x14ac:dyDescent="0.3">
      <c r="O726" t="str">
        <f t="shared" si="12"/>
        <v/>
      </c>
    </row>
    <row r="727" spans="15:15" x14ac:dyDescent="0.3">
      <c r="O727" t="str">
        <f t="shared" si="12"/>
        <v/>
      </c>
    </row>
    <row r="728" spans="15:15" x14ac:dyDescent="0.3">
      <c r="O728" t="str">
        <f t="shared" si="12"/>
        <v/>
      </c>
    </row>
    <row r="729" spans="15:15" x14ac:dyDescent="0.3">
      <c r="O729" t="str">
        <f t="shared" si="12"/>
        <v/>
      </c>
    </row>
    <row r="730" spans="15:15" x14ac:dyDescent="0.3">
      <c r="O730" t="str">
        <f t="shared" si="12"/>
        <v/>
      </c>
    </row>
    <row r="731" spans="15:15" x14ac:dyDescent="0.3">
      <c r="O731" t="str">
        <f t="shared" si="12"/>
        <v/>
      </c>
    </row>
    <row r="732" spans="15:15" x14ac:dyDescent="0.3">
      <c r="O732" t="str">
        <f t="shared" si="12"/>
        <v/>
      </c>
    </row>
    <row r="733" spans="15:15" x14ac:dyDescent="0.3">
      <c r="O733" t="str">
        <f t="shared" si="12"/>
        <v/>
      </c>
    </row>
    <row r="734" spans="15:15" x14ac:dyDescent="0.3">
      <c r="O734" t="str">
        <f t="shared" si="12"/>
        <v/>
      </c>
    </row>
    <row r="735" spans="15:15" x14ac:dyDescent="0.3">
      <c r="O735" t="str">
        <f t="shared" si="12"/>
        <v/>
      </c>
    </row>
    <row r="736" spans="15:15" x14ac:dyDescent="0.3">
      <c r="O736" t="str">
        <f t="shared" si="12"/>
        <v/>
      </c>
    </row>
    <row r="737" spans="15:15" x14ac:dyDescent="0.3">
      <c r="O737" t="str">
        <f t="shared" si="12"/>
        <v/>
      </c>
    </row>
    <row r="738" spans="15:15" x14ac:dyDescent="0.3">
      <c r="O738" t="str">
        <f t="shared" si="12"/>
        <v/>
      </c>
    </row>
    <row r="739" spans="15:15" x14ac:dyDescent="0.3">
      <c r="O739" t="str">
        <f t="shared" si="12"/>
        <v/>
      </c>
    </row>
    <row r="740" spans="15:15" x14ac:dyDescent="0.3">
      <c r="O740" t="str">
        <f t="shared" si="12"/>
        <v/>
      </c>
    </row>
    <row r="741" spans="15:15" x14ac:dyDescent="0.3">
      <c r="O741" t="str">
        <f t="shared" si="12"/>
        <v/>
      </c>
    </row>
    <row r="742" spans="15:15" x14ac:dyDescent="0.3">
      <c r="O742" t="str">
        <f t="shared" si="12"/>
        <v/>
      </c>
    </row>
    <row r="743" spans="15:15" x14ac:dyDescent="0.3">
      <c r="O743" t="str">
        <f t="shared" si="12"/>
        <v/>
      </c>
    </row>
    <row r="744" spans="15:15" x14ac:dyDescent="0.3">
      <c r="O744" t="str">
        <f t="shared" si="12"/>
        <v/>
      </c>
    </row>
    <row r="745" spans="15:15" x14ac:dyDescent="0.3">
      <c r="O745" t="str">
        <f t="shared" si="12"/>
        <v/>
      </c>
    </row>
    <row r="746" spans="15:15" x14ac:dyDescent="0.3">
      <c r="O746" t="str">
        <f t="shared" si="12"/>
        <v/>
      </c>
    </row>
    <row r="747" spans="15:15" x14ac:dyDescent="0.3">
      <c r="O747" t="str">
        <f t="shared" si="12"/>
        <v/>
      </c>
    </row>
    <row r="748" spans="15:15" x14ac:dyDescent="0.3">
      <c r="O748" t="str">
        <f t="shared" si="12"/>
        <v/>
      </c>
    </row>
    <row r="749" spans="15:15" x14ac:dyDescent="0.3">
      <c r="O749" t="str">
        <f t="shared" si="12"/>
        <v/>
      </c>
    </row>
    <row r="750" spans="15:15" x14ac:dyDescent="0.3">
      <c r="O750" t="str">
        <f t="shared" si="12"/>
        <v/>
      </c>
    </row>
    <row r="751" spans="15:15" x14ac:dyDescent="0.3">
      <c r="O751" t="str">
        <f t="shared" si="12"/>
        <v/>
      </c>
    </row>
    <row r="752" spans="15:15" x14ac:dyDescent="0.3">
      <c r="O752" t="str">
        <f t="shared" si="12"/>
        <v/>
      </c>
    </row>
    <row r="753" spans="15:15" x14ac:dyDescent="0.3">
      <c r="O753" t="str">
        <f t="shared" si="12"/>
        <v/>
      </c>
    </row>
    <row r="754" spans="15:15" x14ac:dyDescent="0.3">
      <c r="O754" t="str">
        <f t="shared" si="12"/>
        <v/>
      </c>
    </row>
    <row r="755" spans="15:15" x14ac:dyDescent="0.3">
      <c r="O755" t="str">
        <f t="shared" si="12"/>
        <v/>
      </c>
    </row>
    <row r="756" spans="15:15" x14ac:dyDescent="0.3">
      <c r="O756" t="str">
        <f t="shared" si="12"/>
        <v/>
      </c>
    </row>
    <row r="757" spans="15:15" x14ac:dyDescent="0.3">
      <c r="O757" t="str">
        <f t="shared" si="12"/>
        <v/>
      </c>
    </row>
    <row r="758" spans="15:15" x14ac:dyDescent="0.3">
      <c r="O758" t="str">
        <f t="shared" si="12"/>
        <v/>
      </c>
    </row>
    <row r="759" spans="15:15" x14ac:dyDescent="0.3">
      <c r="O759" t="str">
        <f t="shared" si="12"/>
        <v/>
      </c>
    </row>
    <row r="760" spans="15:15" x14ac:dyDescent="0.3">
      <c r="O760" t="str">
        <f t="shared" si="12"/>
        <v/>
      </c>
    </row>
    <row r="761" spans="15:15" x14ac:dyDescent="0.3">
      <c r="O761" t="str">
        <f t="shared" si="12"/>
        <v/>
      </c>
    </row>
    <row r="762" spans="15:15" x14ac:dyDescent="0.3">
      <c r="O762" t="str">
        <f t="shared" si="12"/>
        <v/>
      </c>
    </row>
    <row r="763" spans="15:15" x14ac:dyDescent="0.3">
      <c r="O763" t="str">
        <f t="shared" si="12"/>
        <v/>
      </c>
    </row>
    <row r="764" spans="15:15" x14ac:dyDescent="0.3">
      <c r="O764" t="str">
        <f t="shared" si="12"/>
        <v/>
      </c>
    </row>
    <row r="765" spans="15:15" x14ac:dyDescent="0.3">
      <c r="O765" t="str">
        <f t="shared" si="12"/>
        <v/>
      </c>
    </row>
    <row r="766" spans="15:15" x14ac:dyDescent="0.3">
      <c r="O766" t="str">
        <f t="shared" si="12"/>
        <v/>
      </c>
    </row>
    <row r="767" spans="15:15" x14ac:dyDescent="0.3">
      <c r="O767" t="str">
        <f t="shared" si="12"/>
        <v/>
      </c>
    </row>
    <row r="768" spans="15:15" x14ac:dyDescent="0.3">
      <c r="O768" t="str">
        <f t="shared" si="12"/>
        <v/>
      </c>
    </row>
    <row r="769" spans="15:15" x14ac:dyDescent="0.3">
      <c r="O769" t="str">
        <f t="shared" si="12"/>
        <v/>
      </c>
    </row>
    <row r="770" spans="15:15" x14ac:dyDescent="0.3">
      <c r="O770" t="str">
        <f t="shared" si="12"/>
        <v/>
      </c>
    </row>
    <row r="771" spans="15:15" x14ac:dyDescent="0.3">
      <c r="O771" t="str">
        <f t="shared" si="12"/>
        <v/>
      </c>
    </row>
    <row r="772" spans="15:15" x14ac:dyDescent="0.3">
      <c r="O772" t="str">
        <f t="shared" si="12"/>
        <v/>
      </c>
    </row>
    <row r="773" spans="15:15" x14ac:dyDescent="0.3">
      <c r="O773" t="str">
        <f t="shared" si="12"/>
        <v/>
      </c>
    </row>
    <row r="774" spans="15:15" x14ac:dyDescent="0.3">
      <c r="O774" t="str">
        <f t="shared" si="12"/>
        <v/>
      </c>
    </row>
    <row r="775" spans="15:15" x14ac:dyDescent="0.3">
      <c r="O775" t="str">
        <f t="shared" si="12"/>
        <v/>
      </c>
    </row>
    <row r="776" spans="15:15" x14ac:dyDescent="0.3">
      <c r="O776" t="str">
        <f t="shared" si="12"/>
        <v/>
      </c>
    </row>
    <row r="777" spans="15:15" x14ac:dyDescent="0.3">
      <c r="O777" t="str">
        <f t="shared" si="12"/>
        <v/>
      </c>
    </row>
    <row r="778" spans="15:15" x14ac:dyDescent="0.3">
      <c r="O778" t="str">
        <f t="shared" ref="O778:O841" si="13">IF(P778="","",O777+1)</f>
        <v/>
      </c>
    </row>
    <row r="779" spans="15:15" x14ac:dyDescent="0.3">
      <c r="O779" t="str">
        <f t="shared" si="13"/>
        <v/>
      </c>
    </row>
    <row r="780" spans="15:15" x14ac:dyDescent="0.3">
      <c r="O780" t="str">
        <f t="shared" si="13"/>
        <v/>
      </c>
    </row>
    <row r="781" spans="15:15" x14ac:dyDescent="0.3">
      <c r="O781" t="str">
        <f t="shared" si="13"/>
        <v/>
      </c>
    </row>
    <row r="782" spans="15:15" x14ac:dyDescent="0.3">
      <c r="O782" t="str">
        <f t="shared" si="13"/>
        <v/>
      </c>
    </row>
    <row r="783" spans="15:15" x14ac:dyDescent="0.3">
      <c r="O783" t="str">
        <f t="shared" si="13"/>
        <v/>
      </c>
    </row>
    <row r="784" spans="15:15" x14ac:dyDescent="0.3">
      <c r="O784" t="str">
        <f t="shared" si="13"/>
        <v/>
      </c>
    </row>
    <row r="785" spans="15:15" x14ac:dyDescent="0.3">
      <c r="O785" t="str">
        <f t="shared" si="13"/>
        <v/>
      </c>
    </row>
    <row r="786" spans="15:15" x14ac:dyDescent="0.3">
      <c r="O786" t="str">
        <f t="shared" si="13"/>
        <v/>
      </c>
    </row>
    <row r="787" spans="15:15" x14ac:dyDescent="0.3">
      <c r="O787" t="str">
        <f t="shared" si="13"/>
        <v/>
      </c>
    </row>
    <row r="788" spans="15:15" x14ac:dyDescent="0.3">
      <c r="O788" t="str">
        <f t="shared" si="13"/>
        <v/>
      </c>
    </row>
    <row r="789" spans="15:15" x14ac:dyDescent="0.3">
      <c r="O789" t="str">
        <f t="shared" si="13"/>
        <v/>
      </c>
    </row>
    <row r="790" spans="15:15" x14ac:dyDescent="0.3">
      <c r="O790" t="str">
        <f t="shared" si="13"/>
        <v/>
      </c>
    </row>
    <row r="791" spans="15:15" x14ac:dyDescent="0.3">
      <c r="O791" t="str">
        <f t="shared" si="13"/>
        <v/>
      </c>
    </row>
    <row r="792" spans="15:15" x14ac:dyDescent="0.3">
      <c r="O792" t="str">
        <f t="shared" si="13"/>
        <v/>
      </c>
    </row>
    <row r="793" spans="15:15" x14ac:dyDescent="0.3">
      <c r="O793" t="str">
        <f t="shared" si="13"/>
        <v/>
      </c>
    </row>
    <row r="794" spans="15:15" x14ac:dyDescent="0.3">
      <c r="O794" t="str">
        <f t="shared" si="13"/>
        <v/>
      </c>
    </row>
    <row r="795" spans="15:15" x14ac:dyDescent="0.3">
      <c r="O795" t="str">
        <f t="shared" si="13"/>
        <v/>
      </c>
    </row>
    <row r="796" spans="15:15" x14ac:dyDescent="0.3">
      <c r="O796" t="str">
        <f t="shared" si="13"/>
        <v/>
      </c>
    </row>
    <row r="797" spans="15:15" x14ac:dyDescent="0.3">
      <c r="O797" t="str">
        <f t="shared" si="13"/>
        <v/>
      </c>
    </row>
    <row r="798" spans="15:15" x14ac:dyDescent="0.3">
      <c r="O798" t="str">
        <f t="shared" si="13"/>
        <v/>
      </c>
    </row>
    <row r="799" spans="15:15" x14ac:dyDescent="0.3">
      <c r="O799" t="str">
        <f t="shared" si="13"/>
        <v/>
      </c>
    </row>
    <row r="800" spans="15:15" x14ac:dyDescent="0.3">
      <c r="O800" t="str">
        <f t="shared" si="13"/>
        <v/>
      </c>
    </row>
    <row r="801" spans="15:15" x14ac:dyDescent="0.3">
      <c r="O801" t="str">
        <f t="shared" si="13"/>
        <v/>
      </c>
    </row>
    <row r="802" spans="15:15" x14ac:dyDescent="0.3">
      <c r="O802" t="str">
        <f t="shared" si="13"/>
        <v/>
      </c>
    </row>
    <row r="803" spans="15:15" x14ac:dyDescent="0.3">
      <c r="O803" t="str">
        <f t="shared" si="13"/>
        <v/>
      </c>
    </row>
    <row r="804" spans="15:15" x14ac:dyDescent="0.3">
      <c r="O804" t="str">
        <f t="shared" si="13"/>
        <v/>
      </c>
    </row>
    <row r="805" spans="15:15" x14ac:dyDescent="0.3">
      <c r="O805" t="str">
        <f t="shared" si="13"/>
        <v/>
      </c>
    </row>
    <row r="806" spans="15:15" x14ac:dyDescent="0.3">
      <c r="O806" t="str">
        <f t="shared" si="13"/>
        <v/>
      </c>
    </row>
    <row r="807" spans="15:15" x14ac:dyDescent="0.3">
      <c r="O807" t="str">
        <f t="shared" si="13"/>
        <v/>
      </c>
    </row>
    <row r="808" spans="15:15" x14ac:dyDescent="0.3">
      <c r="O808" t="str">
        <f t="shared" si="13"/>
        <v/>
      </c>
    </row>
    <row r="809" spans="15:15" x14ac:dyDescent="0.3">
      <c r="O809" t="str">
        <f t="shared" si="13"/>
        <v/>
      </c>
    </row>
    <row r="810" spans="15:15" x14ac:dyDescent="0.3">
      <c r="O810" t="str">
        <f t="shared" si="13"/>
        <v/>
      </c>
    </row>
    <row r="811" spans="15:15" x14ac:dyDescent="0.3">
      <c r="O811" t="str">
        <f t="shared" si="13"/>
        <v/>
      </c>
    </row>
    <row r="812" spans="15:15" x14ac:dyDescent="0.3">
      <c r="O812" t="str">
        <f t="shared" si="13"/>
        <v/>
      </c>
    </row>
    <row r="813" spans="15:15" x14ac:dyDescent="0.3">
      <c r="O813" t="str">
        <f t="shared" si="13"/>
        <v/>
      </c>
    </row>
    <row r="814" spans="15:15" x14ac:dyDescent="0.3">
      <c r="O814" t="str">
        <f t="shared" si="13"/>
        <v/>
      </c>
    </row>
    <row r="815" spans="15:15" x14ac:dyDescent="0.3">
      <c r="O815" t="str">
        <f t="shared" si="13"/>
        <v/>
      </c>
    </row>
    <row r="816" spans="15:15" x14ac:dyDescent="0.3">
      <c r="O816" t="str">
        <f t="shared" si="13"/>
        <v/>
      </c>
    </row>
    <row r="817" spans="15:15" x14ac:dyDescent="0.3">
      <c r="O817" t="str">
        <f t="shared" si="13"/>
        <v/>
      </c>
    </row>
    <row r="818" spans="15:15" x14ac:dyDescent="0.3">
      <c r="O818" t="str">
        <f t="shared" si="13"/>
        <v/>
      </c>
    </row>
    <row r="819" spans="15:15" x14ac:dyDescent="0.3">
      <c r="O819" t="str">
        <f t="shared" si="13"/>
        <v/>
      </c>
    </row>
    <row r="820" spans="15:15" x14ac:dyDescent="0.3">
      <c r="O820" t="str">
        <f t="shared" si="13"/>
        <v/>
      </c>
    </row>
    <row r="821" spans="15:15" x14ac:dyDescent="0.3">
      <c r="O821" t="str">
        <f t="shared" si="13"/>
        <v/>
      </c>
    </row>
    <row r="822" spans="15:15" x14ac:dyDescent="0.3">
      <c r="O822" t="str">
        <f t="shared" si="13"/>
        <v/>
      </c>
    </row>
    <row r="823" spans="15:15" x14ac:dyDescent="0.3">
      <c r="O823" t="str">
        <f t="shared" si="13"/>
        <v/>
      </c>
    </row>
    <row r="824" spans="15:15" x14ac:dyDescent="0.3">
      <c r="O824" t="str">
        <f t="shared" si="13"/>
        <v/>
      </c>
    </row>
    <row r="825" spans="15:15" x14ac:dyDescent="0.3">
      <c r="O825" t="str">
        <f t="shared" si="13"/>
        <v/>
      </c>
    </row>
    <row r="826" spans="15:15" x14ac:dyDescent="0.3">
      <c r="O826" t="str">
        <f t="shared" si="13"/>
        <v/>
      </c>
    </row>
    <row r="827" spans="15:15" x14ac:dyDescent="0.3">
      <c r="O827" t="str">
        <f t="shared" si="13"/>
        <v/>
      </c>
    </row>
    <row r="828" spans="15:15" x14ac:dyDescent="0.3">
      <c r="O828" t="str">
        <f t="shared" si="13"/>
        <v/>
      </c>
    </row>
    <row r="829" spans="15:15" x14ac:dyDescent="0.3">
      <c r="O829" t="str">
        <f t="shared" si="13"/>
        <v/>
      </c>
    </row>
    <row r="830" spans="15:15" x14ac:dyDescent="0.3">
      <c r="O830" t="str">
        <f t="shared" si="13"/>
        <v/>
      </c>
    </row>
    <row r="831" spans="15:15" x14ac:dyDescent="0.3">
      <c r="O831" t="str">
        <f t="shared" si="13"/>
        <v/>
      </c>
    </row>
    <row r="832" spans="15:15" x14ac:dyDescent="0.3">
      <c r="O832" t="str">
        <f t="shared" si="13"/>
        <v/>
      </c>
    </row>
    <row r="833" spans="15:15" x14ac:dyDescent="0.3">
      <c r="O833" t="str">
        <f t="shared" si="13"/>
        <v/>
      </c>
    </row>
    <row r="834" spans="15:15" x14ac:dyDescent="0.3">
      <c r="O834" t="str">
        <f t="shared" si="13"/>
        <v/>
      </c>
    </row>
    <row r="835" spans="15:15" x14ac:dyDescent="0.3">
      <c r="O835" t="str">
        <f t="shared" si="13"/>
        <v/>
      </c>
    </row>
    <row r="836" spans="15:15" x14ac:dyDescent="0.3">
      <c r="O836" t="str">
        <f t="shared" si="13"/>
        <v/>
      </c>
    </row>
    <row r="837" spans="15:15" x14ac:dyDescent="0.3">
      <c r="O837" t="str">
        <f t="shared" si="13"/>
        <v/>
      </c>
    </row>
    <row r="838" spans="15:15" x14ac:dyDescent="0.3">
      <c r="O838" t="str">
        <f t="shared" si="13"/>
        <v/>
      </c>
    </row>
    <row r="839" spans="15:15" x14ac:dyDescent="0.3">
      <c r="O839" t="str">
        <f t="shared" si="13"/>
        <v/>
      </c>
    </row>
    <row r="840" spans="15:15" x14ac:dyDescent="0.3">
      <c r="O840" t="str">
        <f t="shared" si="13"/>
        <v/>
      </c>
    </row>
    <row r="841" spans="15:15" x14ac:dyDescent="0.3">
      <c r="O841" t="str">
        <f t="shared" si="13"/>
        <v/>
      </c>
    </row>
    <row r="842" spans="15:15" x14ac:dyDescent="0.3">
      <c r="O842" t="str">
        <f t="shared" ref="O842:O905" si="14">IF(P842="","",O841+1)</f>
        <v/>
      </c>
    </row>
    <row r="843" spans="15:15" x14ac:dyDescent="0.3">
      <c r="O843" t="str">
        <f t="shared" si="14"/>
        <v/>
      </c>
    </row>
    <row r="844" spans="15:15" x14ac:dyDescent="0.3">
      <c r="O844" t="str">
        <f t="shared" si="14"/>
        <v/>
      </c>
    </row>
    <row r="845" spans="15:15" x14ac:dyDescent="0.3">
      <c r="O845" t="str">
        <f t="shared" si="14"/>
        <v/>
      </c>
    </row>
    <row r="846" spans="15:15" x14ac:dyDescent="0.3">
      <c r="O846" t="str">
        <f t="shared" si="14"/>
        <v/>
      </c>
    </row>
    <row r="847" spans="15:15" x14ac:dyDescent="0.3">
      <c r="O847" t="str">
        <f t="shared" si="14"/>
        <v/>
      </c>
    </row>
    <row r="848" spans="15:15" x14ac:dyDescent="0.3">
      <c r="O848" t="str">
        <f t="shared" si="14"/>
        <v/>
      </c>
    </row>
    <row r="849" spans="15:15" x14ac:dyDescent="0.3">
      <c r="O849" t="str">
        <f t="shared" si="14"/>
        <v/>
      </c>
    </row>
    <row r="850" spans="15:15" x14ac:dyDescent="0.3">
      <c r="O850" t="str">
        <f t="shared" si="14"/>
        <v/>
      </c>
    </row>
    <row r="851" spans="15:15" x14ac:dyDescent="0.3">
      <c r="O851" t="str">
        <f t="shared" si="14"/>
        <v/>
      </c>
    </row>
    <row r="852" spans="15:15" x14ac:dyDescent="0.3">
      <c r="O852" t="str">
        <f t="shared" si="14"/>
        <v/>
      </c>
    </row>
    <row r="853" spans="15:15" x14ac:dyDescent="0.3">
      <c r="O853" t="str">
        <f t="shared" si="14"/>
        <v/>
      </c>
    </row>
    <row r="854" spans="15:15" x14ac:dyDescent="0.3">
      <c r="O854" t="str">
        <f t="shared" si="14"/>
        <v/>
      </c>
    </row>
    <row r="855" spans="15:15" x14ac:dyDescent="0.3">
      <c r="O855" t="str">
        <f t="shared" si="14"/>
        <v/>
      </c>
    </row>
    <row r="856" spans="15:15" x14ac:dyDescent="0.3">
      <c r="O856" t="str">
        <f t="shared" si="14"/>
        <v/>
      </c>
    </row>
    <row r="857" spans="15:15" x14ac:dyDescent="0.3">
      <c r="O857" t="str">
        <f t="shared" si="14"/>
        <v/>
      </c>
    </row>
    <row r="858" spans="15:15" x14ac:dyDescent="0.3">
      <c r="O858" t="str">
        <f t="shared" si="14"/>
        <v/>
      </c>
    </row>
    <row r="859" spans="15:15" x14ac:dyDescent="0.3">
      <c r="O859" t="str">
        <f t="shared" si="14"/>
        <v/>
      </c>
    </row>
    <row r="860" spans="15:15" x14ac:dyDescent="0.3">
      <c r="O860" t="str">
        <f t="shared" si="14"/>
        <v/>
      </c>
    </row>
    <row r="861" spans="15:15" x14ac:dyDescent="0.3">
      <c r="O861" t="str">
        <f t="shared" si="14"/>
        <v/>
      </c>
    </row>
    <row r="862" spans="15:15" x14ac:dyDescent="0.3">
      <c r="O862" t="str">
        <f t="shared" si="14"/>
        <v/>
      </c>
    </row>
    <row r="863" spans="15:15" x14ac:dyDescent="0.3">
      <c r="O863" t="str">
        <f t="shared" si="14"/>
        <v/>
      </c>
    </row>
    <row r="864" spans="15:15" x14ac:dyDescent="0.3">
      <c r="O864" t="str">
        <f t="shared" si="14"/>
        <v/>
      </c>
    </row>
    <row r="865" spans="15:15" x14ac:dyDescent="0.3">
      <c r="O865" t="str">
        <f t="shared" si="14"/>
        <v/>
      </c>
    </row>
    <row r="866" spans="15:15" x14ac:dyDescent="0.3">
      <c r="O866" t="str">
        <f t="shared" si="14"/>
        <v/>
      </c>
    </row>
    <row r="867" spans="15:15" x14ac:dyDescent="0.3">
      <c r="O867" t="str">
        <f t="shared" si="14"/>
        <v/>
      </c>
    </row>
    <row r="868" spans="15:15" x14ac:dyDescent="0.3">
      <c r="O868" t="str">
        <f t="shared" si="14"/>
        <v/>
      </c>
    </row>
    <row r="869" spans="15:15" x14ac:dyDescent="0.3">
      <c r="O869" t="str">
        <f t="shared" si="14"/>
        <v/>
      </c>
    </row>
    <row r="870" spans="15:15" x14ac:dyDescent="0.3">
      <c r="O870" t="str">
        <f t="shared" si="14"/>
        <v/>
      </c>
    </row>
    <row r="871" spans="15:15" x14ac:dyDescent="0.3">
      <c r="O871" t="str">
        <f t="shared" si="14"/>
        <v/>
      </c>
    </row>
    <row r="872" spans="15:15" x14ac:dyDescent="0.3">
      <c r="O872" t="str">
        <f t="shared" si="14"/>
        <v/>
      </c>
    </row>
    <row r="873" spans="15:15" x14ac:dyDescent="0.3">
      <c r="O873" t="str">
        <f t="shared" si="14"/>
        <v/>
      </c>
    </row>
    <row r="874" spans="15:15" x14ac:dyDescent="0.3">
      <c r="O874" t="str">
        <f t="shared" si="14"/>
        <v/>
      </c>
    </row>
    <row r="875" spans="15:15" x14ac:dyDescent="0.3">
      <c r="O875" t="str">
        <f t="shared" si="14"/>
        <v/>
      </c>
    </row>
    <row r="876" spans="15:15" x14ac:dyDescent="0.3">
      <c r="O876" t="str">
        <f t="shared" si="14"/>
        <v/>
      </c>
    </row>
    <row r="877" spans="15:15" x14ac:dyDescent="0.3">
      <c r="O877" t="str">
        <f t="shared" si="14"/>
        <v/>
      </c>
    </row>
    <row r="878" spans="15:15" x14ac:dyDescent="0.3">
      <c r="O878" t="str">
        <f t="shared" si="14"/>
        <v/>
      </c>
    </row>
    <row r="879" spans="15:15" x14ac:dyDescent="0.3">
      <c r="O879" t="str">
        <f t="shared" si="14"/>
        <v/>
      </c>
    </row>
    <row r="880" spans="15:15" x14ac:dyDescent="0.3">
      <c r="O880" t="str">
        <f t="shared" si="14"/>
        <v/>
      </c>
    </row>
    <row r="881" spans="15:15" x14ac:dyDescent="0.3">
      <c r="O881" t="str">
        <f t="shared" si="14"/>
        <v/>
      </c>
    </row>
    <row r="882" spans="15:15" x14ac:dyDescent="0.3">
      <c r="O882" t="str">
        <f t="shared" si="14"/>
        <v/>
      </c>
    </row>
    <row r="883" spans="15:15" x14ac:dyDescent="0.3">
      <c r="O883" t="str">
        <f t="shared" si="14"/>
        <v/>
      </c>
    </row>
    <row r="884" spans="15:15" x14ac:dyDescent="0.3">
      <c r="O884" t="str">
        <f t="shared" si="14"/>
        <v/>
      </c>
    </row>
    <row r="885" spans="15:15" x14ac:dyDescent="0.3">
      <c r="O885" t="str">
        <f t="shared" si="14"/>
        <v/>
      </c>
    </row>
    <row r="886" spans="15:15" x14ac:dyDescent="0.3">
      <c r="O886" t="str">
        <f t="shared" si="14"/>
        <v/>
      </c>
    </row>
    <row r="887" spans="15:15" x14ac:dyDescent="0.3">
      <c r="O887" t="str">
        <f t="shared" si="14"/>
        <v/>
      </c>
    </row>
    <row r="888" spans="15:15" x14ac:dyDescent="0.3">
      <c r="O888" t="str">
        <f t="shared" si="14"/>
        <v/>
      </c>
    </row>
    <row r="889" spans="15:15" x14ac:dyDescent="0.3">
      <c r="O889" t="str">
        <f t="shared" si="14"/>
        <v/>
      </c>
    </row>
    <row r="890" spans="15:15" x14ac:dyDescent="0.3">
      <c r="O890" t="str">
        <f t="shared" si="14"/>
        <v/>
      </c>
    </row>
    <row r="891" spans="15:15" x14ac:dyDescent="0.3">
      <c r="O891" t="str">
        <f t="shared" si="14"/>
        <v/>
      </c>
    </row>
    <row r="892" spans="15:15" x14ac:dyDescent="0.3">
      <c r="O892" t="str">
        <f t="shared" si="14"/>
        <v/>
      </c>
    </row>
    <row r="893" spans="15:15" x14ac:dyDescent="0.3">
      <c r="O893" t="str">
        <f t="shared" si="14"/>
        <v/>
      </c>
    </row>
    <row r="894" spans="15:15" x14ac:dyDescent="0.3">
      <c r="O894" t="str">
        <f t="shared" si="14"/>
        <v/>
      </c>
    </row>
    <row r="895" spans="15:15" x14ac:dyDescent="0.3">
      <c r="O895" t="str">
        <f t="shared" si="14"/>
        <v/>
      </c>
    </row>
    <row r="896" spans="15:15" x14ac:dyDescent="0.3">
      <c r="O896" t="str">
        <f t="shared" si="14"/>
        <v/>
      </c>
    </row>
    <row r="897" spans="15:15" x14ac:dyDescent="0.3">
      <c r="O897" t="str">
        <f t="shared" si="14"/>
        <v/>
      </c>
    </row>
    <row r="898" spans="15:15" x14ac:dyDescent="0.3">
      <c r="O898" t="str">
        <f t="shared" si="14"/>
        <v/>
      </c>
    </row>
    <row r="899" spans="15:15" x14ac:dyDescent="0.3">
      <c r="O899" t="str">
        <f t="shared" si="14"/>
        <v/>
      </c>
    </row>
    <row r="900" spans="15:15" x14ac:dyDescent="0.3">
      <c r="O900" t="str">
        <f t="shared" si="14"/>
        <v/>
      </c>
    </row>
    <row r="901" spans="15:15" x14ac:dyDescent="0.3">
      <c r="O901" t="str">
        <f t="shared" si="14"/>
        <v/>
      </c>
    </row>
    <row r="902" spans="15:15" x14ac:dyDescent="0.3">
      <c r="O902" t="str">
        <f t="shared" si="14"/>
        <v/>
      </c>
    </row>
    <row r="903" spans="15:15" x14ac:dyDescent="0.3">
      <c r="O903" t="str">
        <f t="shared" si="14"/>
        <v/>
      </c>
    </row>
    <row r="904" spans="15:15" x14ac:dyDescent="0.3">
      <c r="O904" t="str">
        <f t="shared" si="14"/>
        <v/>
      </c>
    </row>
    <row r="905" spans="15:15" x14ac:dyDescent="0.3">
      <c r="O905" t="str">
        <f t="shared" si="14"/>
        <v/>
      </c>
    </row>
    <row r="906" spans="15:15" x14ac:dyDescent="0.3">
      <c r="O906" t="str">
        <f t="shared" ref="O906:O969" si="15">IF(P906="","",O905+1)</f>
        <v/>
      </c>
    </row>
    <row r="907" spans="15:15" x14ac:dyDescent="0.3">
      <c r="O907" t="str">
        <f t="shared" si="15"/>
        <v/>
      </c>
    </row>
    <row r="908" spans="15:15" x14ac:dyDescent="0.3">
      <c r="O908" t="str">
        <f t="shared" si="15"/>
        <v/>
      </c>
    </row>
    <row r="909" spans="15:15" x14ac:dyDescent="0.3">
      <c r="O909" t="str">
        <f t="shared" si="15"/>
        <v/>
      </c>
    </row>
    <row r="910" spans="15:15" x14ac:dyDescent="0.3">
      <c r="O910" t="str">
        <f t="shared" si="15"/>
        <v/>
      </c>
    </row>
    <row r="911" spans="15:15" x14ac:dyDescent="0.3">
      <c r="O911" t="str">
        <f t="shared" si="15"/>
        <v/>
      </c>
    </row>
    <row r="912" spans="15:15" x14ac:dyDescent="0.3">
      <c r="O912" t="str">
        <f t="shared" si="15"/>
        <v/>
      </c>
    </row>
    <row r="913" spans="15:15" x14ac:dyDescent="0.3">
      <c r="O913" t="str">
        <f t="shared" si="15"/>
        <v/>
      </c>
    </row>
    <row r="914" spans="15:15" x14ac:dyDescent="0.3">
      <c r="O914" t="str">
        <f t="shared" si="15"/>
        <v/>
      </c>
    </row>
    <row r="915" spans="15:15" x14ac:dyDescent="0.3">
      <c r="O915" t="str">
        <f t="shared" si="15"/>
        <v/>
      </c>
    </row>
    <row r="916" spans="15:15" x14ac:dyDescent="0.3">
      <c r="O916" t="str">
        <f t="shared" si="15"/>
        <v/>
      </c>
    </row>
    <row r="917" spans="15:15" x14ac:dyDescent="0.3">
      <c r="O917" t="str">
        <f t="shared" si="15"/>
        <v/>
      </c>
    </row>
    <row r="918" spans="15:15" x14ac:dyDescent="0.3">
      <c r="O918" t="str">
        <f t="shared" si="15"/>
        <v/>
      </c>
    </row>
    <row r="919" spans="15:15" x14ac:dyDescent="0.3">
      <c r="O919" t="str">
        <f t="shared" si="15"/>
        <v/>
      </c>
    </row>
    <row r="920" spans="15:15" x14ac:dyDescent="0.3">
      <c r="O920" t="str">
        <f t="shared" si="15"/>
        <v/>
      </c>
    </row>
    <row r="921" spans="15:15" x14ac:dyDescent="0.3">
      <c r="O921" t="str">
        <f t="shared" si="15"/>
        <v/>
      </c>
    </row>
    <row r="922" spans="15:15" x14ac:dyDescent="0.3">
      <c r="O922" t="str">
        <f t="shared" si="15"/>
        <v/>
      </c>
    </row>
    <row r="923" spans="15:15" x14ac:dyDescent="0.3">
      <c r="O923" t="str">
        <f t="shared" si="15"/>
        <v/>
      </c>
    </row>
    <row r="924" spans="15:15" x14ac:dyDescent="0.3">
      <c r="O924" t="str">
        <f t="shared" si="15"/>
        <v/>
      </c>
    </row>
    <row r="925" spans="15:15" x14ac:dyDescent="0.3">
      <c r="O925" t="str">
        <f t="shared" si="15"/>
        <v/>
      </c>
    </row>
    <row r="926" spans="15:15" x14ac:dyDescent="0.3">
      <c r="O926" t="str">
        <f t="shared" si="15"/>
        <v/>
      </c>
    </row>
    <row r="927" spans="15:15" x14ac:dyDescent="0.3">
      <c r="O927" t="str">
        <f t="shared" si="15"/>
        <v/>
      </c>
    </row>
    <row r="928" spans="15:15" x14ac:dyDescent="0.3">
      <c r="O928" t="str">
        <f t="shared" si="15"/>
        <v/>
      </c>
    </row>
    <row r="929" spans="15:15" x14ac:dyDescent="0.3">
      <c r="O929" t="str">
        <f t="shared" si="15"/>
        <v/>
      </c>
    </row>
    <row r="930" spans="15:15" x14ac:dyDescent="0.3">
      <c r="O930" t="str">
        <f t="shared" si="15"/>
        <v/>
      </c>
    </row>
    <row r="931" spans="15:15" x14ac:dyDescent="0.3">
      <c r="O931" t="str">
        <f t="shared" si="15"/>
        <v/>
      </c>
    </row>
    <row r="932" spans="15:15" x14ac:dyDescent="0.3">
      <c r="O932" t="str">
        <f t="shared" si="15"/>
        <v/>
      </c>
    </row>
    <row r="933" spans="15:15" x14ac:dyDescent="0.3">
      <c r="O933" t="str">
        <f t="shared" si="15"/>
        <v/>
      </c>
    </row>
    <row r="934" spans="15:15" x14ac:dyDescent="0.3">
      <c r="O934" t="str">
        <f t="shared" si="15"/>
        <v/>
      </c>
    </row>
    <row r="935" spans="15:15" x14ac:dyDescent="0.3">
      <c r="O935" t="str">
        <f t="shared" si="15"/>
        <v/>
      </c>
    </row>
    <row r="936" spans="15:15" x14ac:dyDescent="0.3">
      <c r="O936" t="str">
        <f t="shared" si="15"/>
        <v/>
      </c>
    </row>
    <row r="937" spans="15:15" x14ac:dyDescent="0.3">
      <c r="O937" t="str">
        <f t="shared" si="15"/>
        <v/>
      </c>
    </row>
    <row r="938" spans="15:15" x14ac:dyDescent="0.3">
      <c r="O938" t="str">
        <f t="shared" si="15"/>
        <v/>
      </c>
    </row>
    <row r="939" spans="15:15" x14ac:dyDescent="0.3">
      <c r="O939" t="str">
        <f t="shared" si="15"/>
        <v/>
      </c>
    </row>
    <row r="940" spans="15:15" x14ac:dyDescent="0.3">
      <c r="O940" t="str">
        <f t="shared" si="15"/>
        <v/>
      </c>
    </row>
    <row r="941" spans="15:15" x14ac:dyDescent="0.3">
      <c r="O941" t="str">
        <f t="shared" si="15"/>
        <v/>
      </c>
    </row>
    <row r="942" spans="15:15" x14ac:dyDescent="0.3">
      <c r="O942" t="str">
        <f t="shared" si="15"/>
        <v/>
      </c>
    </row>
    <row r="943" spans="15:15" x14ac:dyDescent="0.3">
      <c r="O943" t="str">
        <f t="shared" si="15"/>
        <v/>
      </c>
    </row>
    <row r="944" spans="15:15" x14ac:dyDescent="0.3">
      <c r="O944" t="str">
        <f t="shared" si="15"/>
        <v/>
      </c>
    </row>
    <row r="945" spans="15:15" x14ac:dyDescent="0.3">
      <c r="O945" t="str">
        <f t="shared" si="15"/>
        <v/>
      </c>
    </row>
    <row r="946" spans="15:15" x14ac:dyDescent="0.3">
      <c r="O946" t="str">
        <f t="shared" si="15"/>
        <v/>
      </c>
    </row>
    <row r="947" spans="15:15" x14ac:dyDescent="0.3">
      <c r="O947" t="str">
        <f t="shared" si="15"/>
        <v/>
      </c>
    </row>
    <row r="948" spans="15:15" x14ac:dyDescent="0.3">
      <c r="O948" t="str">
        <f t="shared" si="15"/>
        <v/>
      </c>
    </row>
    <row r="949" spans="15:15" x14ac:dyDescent="0.3">
      <c r="O949" t="str">
        <f t="shared" si="15"/>
        <v/>
      </c>
    </row>
    <row r="950" spans="15:15" x14ac:dyDescent="0.3">
      <c r="O950" t="str">
        <f t="shared" si="15"/>
        <v/>
      </c>
    </row>
    <row r="951" spans="15:15" x14ac:dyDescent="0.3">
      <c r="O951" t="str">
        <f t="shared" si="15"/>
        <v/>
      </c>
    </row>
    <row r="952" spans="15:15" x14ac:dyDescent="0.3">
      <c r="O952" t="str">
        <f t="shared" si="15"/>
        <v/>
      </c>
    </row>
    <row r="953" spans="15:15" x14ac:dyDescent="0.3">
      <c r="O953" t="str">
        <f t="shared" si="15"/>
        <v/>
      </c>
    </row>
    <row r="954" spans="15:15" x14ac:dyDescent="0.3">
      <c r="O954" t="str">
        <f t="shared" si="15"/>
        <v/>
      </c>
    </row>
    <row r="955" spans="15:15" x14ac:dyDescent="0.3">
      <c r="O955" t="str">
        <f t="shared" si="15"/>
        <v/>
      </c>
    </row>
    <row r="956" spans="15:15" x14ac:dyDescent="0.3">
      <c r="O956" t="str">
        <f t="shared" si="15"/>
        <v/>
      </c>
    </row>
    <row r="957" spans="15:15" x14ac:dyDescent="0.3">
      <c r="O957" t="str">
        <f t="shared" si="15"/>
        <v/>
      </c>
    </row>
    <row r="958" spans="15:15" x14ac:dyDescent="0.3">
      <c r="O958" t="str">
        <f t="shared" si="15"/>
        <v/>
      </c>
    </row>
    <row r="959" spans="15:15" x14ac:dyDescent="0.3">
      <c r="O959" t="str">
        <f t="shared" si="15"/>
        <v/>
      </c>
    </row>
    <row r="960" spans="15:15" x14ac:dyDescent="0.3">
      <c r="O960" t="str">
        <f t="shared" si="15"/>
        <v/>
      </c>
    </row>
    <row r="961" spans="15:15" x14ac:dyDescent="0.3">
      <c r="O961" t="str">
        <f t="shared" si="15"/>
        <v/>
      </c>
    </row>
    <row r="962" spans="15:15" x14ac:dyDescent="0.3">
      <c r="O962" t="str">
        <f t="shared" si="15"/>
        <v/>
      </c>
    </row>
    <row r="963" spans="15:15" x14ac:dyDescent="0.3">
      <c r="O963" t="str">
        <f t="shared" si="15"/>
        <v/>
      </c>
    </row>
    <row r="964" spans="15:15" x14ac:dyDescent="0.3">
      <c r="O964" t="str">
        <f t="shared" si="15"/>
        <v/>
      </c>
    </row>
    <row r="965" spans="15:15" x14ac:dyDescent="0.3">
      <c r="O965" t="str">
        <f t="shared" si="15"/>
        <v/>
      </c>
    </row>
    <row r="966" spans="15:15" x14ac:dyDescent="0.3">
      <c r="O966" t="str">
        <f t="shared" si="15"/>
        <v/>
      </c>
    </row>
    <row r="967" spans="15:15" x14ac:dyDescent="0.3">
      <c r="O967" t="str">
        <f t="shared" si="15"/>
        <v/>
      </c>
    </row>
    <row r="968" spans="15:15" x14ac:dyDescent="0.3">
      <c r="O968" t="str">
        <f t="shared" si="15"/>
        <v/>
      </c>
    </row>
    <row r="969" spans="15:15" x14ac:dyDescent="0.3">
      <c r="O969" t="str">
        <f t="shared" si="15"/>
        <v/>
      </c>
    </row>
    <row r="970" spans="15:15" x14ac:dyDescent="0.3">
      <c r="O970" t="str">
        <f t="shared" ref="O970:O1033" si="16">IF(P970="","",O969+1)</f>
        <v/>
      </c>
    </row>
    <row r="971" spans="15:15" x14ac:dyDescent="0.3">
      <c r="O971" t="str">
        <f t="shared" si="16"/>
        <v/>
      </c>
    </row>
    <row r="972" spans="15:15" x14ac:dyDescent="0.3">
      <c r="O972" t="str">
        <f t="shared" si="16"/>
        <v/>
      </c>
    </row>
    <row r="973" spans="15:15" x14ac:dyDescent="0.3">
      <c r="O973" t="str">
        <f t="shared" si="16"/>
        <v/>
      </c>
    </row>
    <row r="974" spans="15:15" x14ac:dyDescent="0.3">
      <c r="O974" t="str">
        <f t="shared" si="16"/>
        <v/>
      </c>
    </row>
    <row r="975" spans="15:15" x14ac:dyDescent="0.3">
      <c r="O975" t="str">
        <f t="shared" si="16"/>
        <v/>
      </c>
    </row>
    <row r="976" spans="15:15" x14ac:dyDescent="0.3">
      <c r="O976" t="str">
        <f t="shared" si="16"/>
        <v/>
      </c>
    </row>
    <row r="977" spans="15:15" x14ac:dyDescent="0.3">
      <c r="O977" t="str">
        <f t="shared" si="16"/>
        <v/>
      </c>
    </row>
    <row r="978" spans="15:15" x14ac:dyDescent="0.3">
      <c r="O978" t="str">
        <f t="shared" si="16"/>
        <v/>
      </c>
    </row>
    <row r="979" spans="15:15" x14ac:dyDescent="0.3">
      <c r="O979" t="str">
        <f t="shared" si="16"/>
        <v/>
      </c>
    </row>
    <row r="980" spans="15:15" x14ac:dyDescent="0.3">
      <c r="O980" t="str">
        <f t="shared" si="16"/>
        <v/>
      </c>
    </row>
    <row r="981" spans="15:15" x14ac:dyDescent="0.3">
      <c r="O981" t="str">
        <f t="shared" si="16"/>
        <v/>
      </c>
    </row>
    <row r="982" spans="15:15" x14ac:dyDescent="0.3">
      <c r="O982" t="str">
        <f t="shared" si="16"/>
        <v/>
      </c>
    </row>
    <row r="983" spans="15:15" x14ac:dyDescent="0.3">
      <c r="O983" t="str">
        <f t="shared" si="16"/>
        <v/>
      </c>
    </row>
    <row r="984" spans="15:15" x14ac:dyDescent="0.3">
      <c r="O984" t="str">
        <f t="shared" si="16"/>
        <v/>
      </c>
    </row>
    <row r="985" spans="15:15" x14ac:dyDescent="0.3">
      <c r="O985" t="str">
        <f t="shared" si="16"/>
        <v/>
      </c>
    </row>
    <row r="986" spans="15:15" x14ac:dyDescent="0.3">
      <c r="O986" t="str">
        <f t="shared" si="16"/>
        <v/>
      </c>
    </row>
    <row r="987" spans="15:15" x14ac:dyDescent="0.3">
      <c r="O987" t="str">
        <f t="shared" si="16"/>
        <v/>
      </c>
    </row>
    <row r="988" spans="15:15" x14ac:dyDescent="0.3">
      <c r="O988" t="str">
        <f t="shared" si="16"/>
        <v/>
      </c>
    </row>
    <row r="989" spans="15:15" x14ac:dyDescent="0.3">
      <c r="O989" t="str">
        <f t="shared" si="16"/>
        <v/>
      </c>
    </row>
    <row r="990" spans="15:15" x14ac:dyDescent="0.3">
      <c r="O990" t="str">
        <f t="shared" si="16"/>
        <v/>
      </c>
    </row>
    <row r="991" spans="15:15" x14ac:dyDescent="0.3">
      <c r="O991" t="str">
        <f t="shared" si="16"/>
        <v/>
      </c>
    </row>
    <row r="992" spans="15:15" x14ac:dyDescent="0.3">
      <c r="O992" t="str">
        <f t="shared" si="16"/>
        <v/>
      </c>
    </row>
    <row r="993" spans="15:15" x14ac:dyDescent="0.3">
      <c r="O993" t="str">
        <f t="shared" si="16"/>
        <v/>
      </c>
    </row>
    <row r="994" spans="15:15" x14ac:dyDescent="0.3">
      <c r="O994" t="str">
        <f t="shared" si="16"/>
        <v/>
      </c>
    </row>
    <row r="995" spans="15:15" x14ac:dyDescent="0.3">
      <c r="O995" t="str">
        <f t="shared" si="16"/>
        <v/>
      </c>
    </row>
    <row r="996" spans="15:15" x14ac:dyDescent="0.3">
      <c r="O996" t="str">
        <f t="shared" si="16"/>
        <v/>
      </c>
    </row>
    <row r="997" spans="15:15" x14ac:dyDescent="0.3">
      <c r="O997" t="str">
        <f t="shared" si="16"/>
        <v/>
      </c>
    </row>
    <row r="998" spans="15:15" x14ac:dyDescent="0.3">
      <c r="O998" t="str">
        <f t="shared" si="16"/>
        <v/>
      </c>
    </row>
    <row r="999" spans="15:15" x14ac:dyDescent="0.3">
      <c r="O999" t="str">
        <f t="shared" si="16"/>
        <v/>
      </c>
    </row>
    <row r="1000" spans="15:15" x14ac:dyDescent="0.3">
      <c r="O1000" t="str">
        <f t="shared" si="16"/>
        <v/>
      </c>
    </row>
    <row r="1001" spans="15:15" x14ac:dyDescent="0.3">
      <c r="O1001" t="str">
        <f t="shared" si="16"/>
        <v/>
      </c>
    </row>
    <row r="1002" spans="15:15" x14ac:dyDescent="0.3">
      <c r="O1002" t="str">
        <f t="shared" si="16"/>
        <v/>
      </c>
    </row>
    <row r="1003" spans="15:15" x14ac:dyDescent="0.3">
      <c r="O1003" t="str">
        <f t="shared" si="16"/>
        <v/>
      </c>
    </row>
    <row r="1004" spans="15:15" x14ac:dyDescent="0.3">
      <c r="O1004" t="str">
        <f t="shared" si="16"/>
        <v/>
      </c>
    </row>
    <row r="1005" spans="15:15" x14ac:dyDescent="0.3">
      <c r="O1005" t="str">
        <f t="shared" si="16"/>
        <v/>
      </c>
    </row>
    <row r="1006" spans="15:15" x14ac:dyDescent="0.3">
      <c r="O1006" t="str">
        <f t="shared" si="16"/>
        <v/>
      </c>
    </row>
    <row r="1007" spans="15:15" x14ac:dyDescent="0.3">
      <c r="O1007" t="str">
        <f t="shared" si="16"/>
        <v/>
      </c>
    </row>
    <row r="1008" spans="15:15" x14ac:dyDescent="0.3">
      <c r="O1008" t="str">
        <f t="shared" si="16"/>
        <v/>
      </c>
    </row>
    <row r="1009" spans="15:15" x14ac:dyDescent="0.3">
      <c r="O1009" t="str">
        <f t="shared" si="16"/>
        <v/>
      </c>
    </row>
    <row r="1010" spans="15:15" x14ac:dyDescent="0.3">
      <c r="O1010" t="str">
        <f t="shared" si="16"/>
        <v/>
      </c>
    </row>
    <row r="1011" spans="15:15" x14ac:dyDescent="0.3">
      <c r="O1011" t="str">
        <f t="shared" si="16"/>
        <v/>
      </c>
    </row>
    <row r="1012" spans="15:15" x14ac:dyDescent="0.3">
      <c r="O1012" t="str">
        <f t="shared" si="16"/>
        <v/>
      </c>
    </row>
    <row r="1013" spans="15:15" x14ac:dyDescent="0.3">
      <c r="O1013" t="str">
        <f t="shared" si="16"/>
        <v/>
      </c>
    </row>
    <row r="1014" spans="15:15" x14ac:dyDescent="0.3">
      <c r="O1014" t="str">
        <f t="shared" si="16"/>
        <v/>
      </c>
    </row>
    <row r="1015" spans="15:15" x14ac:dyDescent="0.3">
      <c r="O1015" t="str">
        <f t="shared" si="16"/>
        <v/>
      </c>
    </row>
    <row r="1016" spans="15:15" x14ac:dyDescent="0.3">
      <c r="O1016" t="str">
        <f t="shared" si="16"/>
        <v/>
      </c>
    </row>
    <row r="1017" spans="15:15" x14ac:dyDescent="0.3">
      <c r="O1017" t="str">
        <f t="shared" si="16"/>
        <v/>
      </c>
    </row>
    <row r="1018" spans="15:15" x14ac:dyDescent="0.3">
      <c r="O1018" t="str">
        <f t="shared" si="16"/>
        <v/>
      </c>
    </row>
    <row r="1019" spans="15:15" x14ac:dyDescent="0.3">
      <c r="O1019" t="str">
        <f t="shared" si="16"/>
        <v/>
      </c>
    </row>
    <row r="1020" spans="15:15" x14ac:dyDescent="0.3">
      <c r="O1020" t="str">
        <f t="shared" si="16"/>
        <v/>
      </c>
    </row>
    <row r="1021" spans="15:15" x14ac:dyDescent="0.3">
      <c r="O1021" t="str">
        <f t="shared" si="16"/>
        <v/>
      </c>
    </row>
    <row r="1022" spans="15:15" x14ac:dyDescent="0.3">
      <c r="O1022" t="str">
        <f t="shared" si="16"/>
        <v/>
      </c>
    </row>
    <row r="1023" spans="15:15" x14ac:dyDescent="0.3">
      <c r="O1023" t="str">
        <f t="shared" si="16"/>
        <v/>
      </c>
    </row>
    <row r="1024" spans="15:15" x14ac:dyDescent="0.3">
      <c r="O1024" t="str">
        <f t="shared" si="16"/>
        <v/>
      </c>
    </row>
    <row r="1025" spans="15:15" x14ac:dyDescent="0.3">
      <c r="O1025" t="str">
        <f t="shared" si="16"/>
        <v/>
      </c>
    </row>
    <row r="1026" spans="15:15" x14ac:dyDescent="0.3">
      <c r="O1026" t="str">
        <f t="shared" si="16"/>
        <v/>
      </c>
    </row>
    <row r="1027" spans="15:15" x14ac:dyDescent="0.3">
      <c r="O1027" t="str">
        <f t="shared" si="16"/>
        <v/>
      </c>
    </row>
    <row r="1028" spans="15:15" x14ac:dyDescent="0.3">
      <c r="O1028" t="str">
        <f t="shared" si="16"/>
        <v/>
      </c>
    </row>
    <row r="1029" spans="15:15" x14ac:dyDescent="0.3">
      <c r="O1029" t="str">
        <f t="shared" si="16"/>
        <v/>
      </c>
    </row>
    <row r="1030" spans="15:15" x14ac:dyDescent="0.3">
      <c r="O1030" t="str">
        <f t="shared" si="16"/>
        <v/>
      </c>
    </row>
    <row r="1031" spans="15:15" x14ac:dyDescent="0.3">
      <c r="O1031" t="str">
        <f t="shared" si="16"/>
        <v/>
      </c>
    </row>
    <row r="1032" spans="15:15" x14ac:dyDescent="0.3">
      <c r="O1032" t="str">
        <f t="shared" si="16"/>
        <v/>
      </c>
    </row>
    <row r="1033" spans="15:15" x14ac:dyDescent="0.3">
      <c r="O1033" t="str">
        <f t="shared" si="16"/>
        <v/>
      </c>
    </row>
    <row r="1034" spans="15:15" x14ac:dyDescent="0.3">
      <c r="O1034" t="str">
        <f t="shared" ref="O1034:O1097" si="17">IF(P1034="","",O1033+1)</f>
        <v/>
      </c>
    </row>
    <row r="1035" spans="15:15" x14ac:dyDescent="0.3">
      <c r="O1035" t="str">
        <f t="shared" si="17"/>
        <v/>
      </c>
    </row>
    <row r="1036" spans="15:15" x14ac:dyDescent="0.3">
      <c r="O1036" t="str">
        <f t="shared" si="17"/>
        <v/>
      </c>
    </row>
    <row r="1037" spans="15:15" x14ac:dyDescent="0.3">
      <c r="O1037" t="str">
        <f t="shared" si="17"/>
        <v/>
      </c>
    </row>
    <row r="1038" spans="15:15" x14ac:dyDescent="0.3">
      <c r="O1038" t="str">
        <f t="shared" si="17"/>
        <v/>
      </c>
    </row>
    <row r="1039" spans="15:15" x14ac:dyDescent="0.3">
      <c r="O1039" t="str">
        <f t="shared" si="17"/>
        <v/>
      </c>
    </row>
    <row r="1040" spans="15:15" x14ac:dyDescent="0.3">
      <c r="O1040" t="str">
        <f t="shared" si="17"/>
        <v/>
      </c>
    </row>
    <row r="1041" spans="15:15" x14ac:dyDescent="0.3">
      <c r="O1041" t="str">
        <f t="shared" si="17"/>
        <v/>
      </c>
    </row>
    <row r="1042" spans="15:15" x14ac:dyDescent="0.3">
      <c r="O1042" t="str">
        <f t="shared" si="17"/>
        <v/>
      </c>
    </row>
    <row r="1043" spans="15:15" x14ac:dyDescent="0.3">
      <c r="O1043" t="str">
        <f t="shared" si="17"/>
        <v/>
      </c>
    </row>
    <row r="1044" spans="15:15" x14ac:dyDescent="0.3">
      <c r="O1044" t="str">
        <f t="shared" si="17"/>
        <v/>
      </c>
    </row>
    <row r="1045" spans="15:15" x14ac:dyDescent="0.3">
      <c r="O1045" t="str">
        <f t="shared" si="17"/>
        <v/>
      </c>
    </row>
    <row r="1046" spans="15:15" x14ac:dyDescent="0.3">
      <c r="O1046" t="str">
        <f t="shared" si="17"/>
        <v/>
      </c>
    </row>
    <row r="1047" spans="15:15" x14ac:dyDescent="0.3">
      <c r="O1047" t="str">
        <f t="shared" si="17"/>
        <v/>
      </c>
    </row>
    <row r="1048" spans="15:15" x14ac:dyDescent="0.3">
      <c r="O1048" t="str">
        <f t="shared" si="17"/>
        <v/>
      </c>
    </row>
    <row r="1049" spans="15:15" x14ac:dyDescent="0.3">
      <c r="O1049" t="str">
        <f t="shared" si="17"/>
        <v/>
      </c>
    </row>
    <row r="1050" spans="15:15" x14ac:dyDescent="0.3">
      <c r="O1050" t="str">
        <f t="shared" si="17"/>
        <v/>
      </c>
    </row>
    <row r="1051" spans="15:15" x14ac:dyDescent="0.3">
      <c r="O1051" t="str">
        <f t="shared" si="17"/>
        <v/>
      </c>
    </row>
    <row r="1052" spans="15:15" x14ac:dyDescent="0.3">
      <c r="O1052" t="str">
        <f t="shared" si="17"/>
        <v/>
      </c>
    </row>
    <row r="1053" spans="15:15" x14ac:dyDescent="0.3">
      <c r="O1053" t="str">
        <f t="shared" si="17"/>
        <v/>
      </c>
    </row>
    <row r="1054" spans="15:15" x14ac:dyDescent="0.3">
      <c r="O1054" t="str">
        <f t="shared" si="17"/>
        <v/>
      </c>
    </row>
    <row r="1055" spans="15:15" x14ac:dyDescent="0.3">
      <c r="O1055" t="str">
        <f t="shared" si="17"/>
        <v/>
      </c>
    </row>
    <row r="1056" spans="15:15" x14ac:dyDescent="0.3">
      <c r="O1056" t="str">
        <f t="shared" si="17"/>
        <v/>
      </c>
    </row>
    <row r="1057" spans="15:15" x14ac:dyDescent="0.3">
      <c r="O1057" t="str">
        <f t="shared" si="17"/>
        <v/>
      </c>
    </row>
    <row r="1058" spans="15:15" x14ac:dyDescent="0.3">
      <c r="O1058" t="str">
        <f t="shared" si="17"/>
        <v/>
      </c>
    </row>
    <row r="1059" spans="15:15" x14ac:dyDescent="0.3">
      <c r="O1059" t="str">
        <f t="shared" si="17"/>
        <v/>
      </c>
    </row>
    <row r="1060" spans="15:15" x14ac:dyDescent="0.3">
      <c r="O1060" t="str">
        <f t="shared" si="17"/>
        <v/>
      </c>
    </row>
    <row r="1061" spans="15:15" x14ac:dyDescent="0.3">
      <c r="O1061" t="str">
        <f t="shared" si="17"/>
        <v/>
      </c>
    </row>
    <row r="1062" spans="15:15" x14ac:dyDescent="0.3">
      <c r="O1062" t="str">
        <f t="shared" si="17"/>
        <v/>
      </c>
    </row>
    <row r="1063" spans="15:15" x14ac:dyDescent="0.3">
      <c r="O1063" t="str">
        <f t="shared" si="17"/>
        <v/>
      </c>
    </row>
    <row r="1064" spans="15:15" x14ac:dyDescent="0.3">
      <c r="O1064" t="str">
        <f t="shared" si="17"/>
        <v/>
      </c>
    </row>
    <row r="1065" spans="15:15" x14ac:dyDescent="0.3">
      <c r="O1065" t="str">
        <f t="shared" si="17"/>
        <v/>
      </c>
    </row>
    <row r="1066" spans="15:15" x14ac:dyDescent="0.3">
      <c r="O1066" t="str">
        <f t="shared" si="17"/>
        <v/>
      </c>
    </row>
    <row r="1067" spans="15:15" x14ac:dyDescent="0.3">
      <c r="O1067" t="str">
        <f t="shared" si="17"/>
        <v/>
      </c>
    </row>
    <row r="1068" spans="15:15" x14ac:dyDescent="0.3">
      <c r="O1068" t="str">
        <f t="shared" si="17"/>
        <v/>
      </c>
    </row>
    <row r="1069" spans="15:15" x14ac:dyDescent="0.3">
      <c r="O1069" t="str">
        <f t="shared" si="17"/>
        <v/>
      </c>
    </row>
    <row r="1070" spans="15:15" x14ac:dyDescent="0.3">
      <c r="O1070" t="str">
        <f t="shared" si="17"/>
        <v/>
      </c>
    </row>
    <row r="1071" spans="15:15" x14ac:dyDescent="0.3">
      <c r="O1071" t="str">
        <f t="shared" si="17"/>
        <v/>
      </c>
    </row>
    <row r="1072" spans="15:15" x14ac:dyDescent="0.3">
      <c r="O1072" t="str">
        <f t="shared" si="17"/>
        <v/>
      </c>
    </row>
    <row r="1073" spans="15:15" x14ac:dyDescent="0.3">
      <c r="O1073" t="str">
        <f t="shared" si="17"/>
        <v/>
      </c>
    </row>
    <row r="1074" spans="15:15" x14ac:dyDescent="0.3">
      <c r="O1074" t="str">
        <f t="shared" si="17"/>
        <v/>
      </c>
    </row>
    <row r="1075" spans="15:15" x14ac:dyDescent="0.3">
      <c r="O1075" t="str">
        <f t="shared" si="17"/>
        <v/>
      </c>
    </row>
    <row r="1076" spans="15:15" x14ac:dyDescent="0.3">
      <c r="O1076" t="str">
        <f t="shared" si="17"/>
        <v/>
      </c>
    </row>
    <row r="1077" spans="15:15" x14ac:dyDescent="0.3">
      <c r="O1077" t="str">
        <f t="shared" si="17"/>
        <v/>
      </c>
    </row>
    <row r="1078" spans="15:15" x14ac:dyDescent="0.3">
      <c r="O1078" t="str">
        <f t="shared" si="17"/>
        <v/>
      </c>
    </row>
    <row r="1079" spans="15:15" x14ac:dyDescent="0.3">
      <c r="O1079" t="str">
        <f t="shared" si="17"/>
        <v/>
      </c>
    </row>
    <row r="1080" spans="15:15" x14ac:dyDescent="0.3">
      <c r="O1080" t="str">
        <f t="shared" si="17"/>
        <v/>
      </c>
    </row>
    <row r="1081" spans="15:15" x14ac:dyDescent="0.3">
      <c r="O1081" t="str">
        <f t="shared" si="17"/>
        <v/>
      </c>
    </row>
    <row r="1082" spans="15:15" x14ac:dyDescent="0.3">
      <c r="O1082" t="str">
        <f t="shared" si="17"/>
        <v/>
      </c>
    </row>
    <row r="1083" spans="15:15" x14ac:dyDescent="0.3">
      <c r="O1083" t="str">
        <f t="shared" si="17"/>
        <v/>
      </c>
    </row>
    <row r="1084" spans="15:15" x14ac:dyDescent="0.3">
      <c r="O1084" t="str">
        <f t="shared" si="17"/>
        <v/>
      </c>
    </row>
    <row r="1085" spans="15:15" x14ac:dyDescent="0.3">
      <c r="O1085" t="str">
        <f t="shared" si="17"/>
        <v/>
      </c>
    </row>
    <row r="1086" spans="15:15" x14ac:dyDescent="0.3">
      <c r="O1086" t="str">
        <f t="shared" si="17"/>
        <v/>
      </c>
    </row>
    <row r="1087" spans="15:15" x14ac:dyDescent="0.3">
      <c r="O1087" t="str">
        <f t="shared" si="17"/>
        <v/>
      </c>
    </row>
    <row r="1088" spans="15:15" x14ac:dyDescent="0.3">
      <c r="O1088" t="str">
        <f t="shared" si="17"/>
        <v/>
      </c>
    </row>
    <row r="1089" spans="15:15" x14ac:dyDescent="0.3">
      <c r="O1089" t="str">
        <f t="shared" si="17"/>
        <v/>
      </c>
    </row>
    <row r="1090" spans="15:15" x14ac:dyDescent="0.3">
      <c r="O1090" t="str">
        <f t="shared" si="17"/>
        <v/>
      </c>
    </row>
    <row r="1091" spans="15:15" x14ac:dyDescent="0.3">
      <c r="O1091" t="str">
        <f t="shared" si="17"/>
        <v/>
      </c>
    </row>
    <row r="1092" spans="15:15" x14ac:dyDescent="0.3">
      <c r="O1092" t="str">
        <f t="shared" si="17"/>
        <v/>
      </c>
    </row>
    <row r="1093" spans="15:15" x14ac:dyDescent="0.3">
      <c r="O1093" t="str">
        <f t="shared" si="17"/>
        <v/>
      </c>
    </row>
    <row r="1094" spans="15:15" x14ac:dyDescent="0.3">
      <c r="O1094" t="str">
        <f t="shared" si="17"/>
        <v/>
      </c>
    </row>
    <row r="1095" spans="15:15" x14ac:dyDescent="0.3">
      <c r="O1095" t="str">
        <f t="shared" si="17"/>
        <v/>
      </c>
    </row>
    <row r="1096" spans="15:15" x14ac:dyDescent="0.3">
      <c r="O1096" t="str">
        <f t="shared" si="17"/>
        <v/>
      </c>
    </row>
    <row r="1097" spans="15:15" x14ac:dyDescent="0.3">
      <c r="O1097" t="str">
        <f t="shared" si="17"/>
        <v/>
      </c>
    </row>
    <row r="1098" spans="15:15" x14ac:dyDescent="0.3">
      <c r="O1098" t="str">
        <f t="shared" ref="O1098:O1161" si="18">IF(P1098="","",O1097+1)</f>
        <v/>
      </c>
    </row>
    <row r="1099" spans="15:15" x14ac:dyDescent="0.3">
      <c r="O1099" t="str">
        <f t="shared" si="18"/>
        <v/>
      </c>
    </row>
    <row r="1100" spans="15:15" x14ac:dyDescent="0.3">
      <c r="O1100" t="str">
        <f t="shared" si="18"/>
        <v/>
      </c>
    </row>
    <row r="1101" spans="15:15" x14ac:dyDescent="0.3">
      <c r="O1101" t="str">
        <f t="shared" si="18"/>
        <v/>
      </c>
    </row>
    <row r="1102" spans="15:15" x14ac:dyDescent="0.3">
      <c r="O1102" t="str">
        <f t="shared" si="18"/>
        <v/>
      </c>
    </row>
    <row r="1103" spans="15:15" x14ac:dyDescent="0.3">
      <c r="O1103" t="str">
        <f t="shared" si="18"/>
        <v/>
      </c>
    </row>
    <row r="1104" spans="15:15" x14ac:dyDescent="0.3">
      <c r="O1104" t="str">
        <f t="shared" si="18"/>
        <v/>
      </c>
    </row>
    <row r="1105" spans="15:15" x14ac:dyDescent="0.3">
      <c r="O1105" t="str">
        <f t="shared" si="18"/>
        <v/>
      </c>
    </row>
    <row r="1106" spans="15:15" x14ac:dyDescent="0.3">
      <c r="O1106" t="str">
        <f t="shared" si="18"/>
        <v/>
      </c>
    </row>
    <row r="1107" spans="15:15" x14ac:dyDescent="0.3">
      <c r="O1107" t="str">
        <f t="shared" si="18"/>
        <v/>
      </c>
    </row>
    <row r="1108" spans="15:15" x14ac:dyDescent="0.3">
      <c r="O1108" t="str">
        <f t="shared" si="18"/>
        <v/>
      </c>
    </row>
    <row r="1109" spans="15:15" x14ac:dyDescent="0.3">
      <c r="O1109" t="str">
        <f t="shared" si="18"/>
        <v/>
      </c>
    </row>
    <row r="1110" spans="15:15" x14ac:dyDescent="0.3">
      <c r="O1110" t="str">
        <f t="shared" si="18"/>
        <v/>
      </c>
    </row>
    <row r="1111" spans="15:15" x14ac:dyDescent="0.3">
      <c r="O1111" t="str">
        <f t="shared" si="18"/>
        <v/>
      </c>
    </row>
    <row r="1112" spans="15:15" x14ac:dyDescent="0.3">
      <c r="O1112" t="str">
        <f t="shared" si="18"/>
        <v/>
      </c>
    </row>
    <row r="1113" spans="15:15" x14ac:dyDescent="0.3">
      <c r="O1113" t="str">
        <f t="shared" si="18"/>
        <v/>
      </c>
    </row>
    <row r="1114" spans="15:15" x14ac:dyDescent="0.3">
      <c r="O1114" t="str">
        <f t="shared" si="18"/>
        <v/>
      </c>
    </row>
    <row r="1115" spans="15:15" x14ac:dyDescent="0.3">
      <c r="O1115" t="str">
        <f t="shared" si="18"/>
        <v/>
      </c>
    </row>
    <row r="1116" spans="15:15" x14ac:dyDescent="0.3">
      <c r="O1116" t="str">
        <f t="shared" si="18"/>
        <v/>
      </c>
    </row>
    <row r="1117" spans="15:15" x14ac:dyDescent="0.3">
      <c r="O1117" t="str">
        <f t="shared" si="18"/>
        <v/>
      </c>
    </row>
    <row r="1118" spans="15:15" x14ac:dyDescent="0.3">
      <c r="O1118" t="str">
        <f t="shared" si="18"/>
        <v/>
      </c>
    </row>
    <row r="1119" spans="15:15" x14ac:dyDescent="0.3">
      <c r="O1119" t="str">
        <f t="shared" si="18"/>
        <v/>
      </c>
    </row>
    <row r="1120" spans="15:15" x14ac:dyDescent="0.3">
      <c r="O1120" t="str">
        <f t="shared" si="18"/>
        <v/>
      </c>
    </row>
    <row r="1121" spans="15:15" x14ac:dyDescent="0.3">
      <c r="O1121" t="str">
        <f t="shared" si="18"/>
        <v/>
      </c>
    </row>
    <row r="1122" spans="15:15" x14ac:dyDescent="0.3">
      <c r="O1122" t="str">
        <f t="shared" si="18"/>
        <v/>
      </c>
    </row>
    <row r="1123" spans="15:15" x14ac:dyDescent="0.3">
      <c r="O1123" t="str">
        <f t="shared" si="18"/>
        <v/>
      </c>
    </row>
    <row r="1124" spans="15:15" x14ac:dyDescent="0.3">
      <c r="O1124" t="str">
        <f t="shared" si="18"/>
        <v/>
      </c>
    </row>
    <row r="1125" spans="15:15" x14ac:dyDescent="0.3">
      <c r="O1125" t="str">
        <f t="shared" si="18"/>
        <v/>
      </c>
    </row>
    <row r="1126" spans="15:15" x14ac:dyDescent="0.3">
      <c r="O1126" t="str">
        <f t="shared" si="18"/>
        <v/>
      </c>
    </row>
    <row r="1127" spans="15:15" x14ac:dyDescent="0.3">
      <c r="O1127" t="str">
        <f t="shared" si="18"/>
        <v/>
      </c>
    </row>
    <row r="1128" spans="15:15" x14ac:dyDescent="0.3">
      <c r="O1128" t="str">
        <f t="shared" si="18"/>
        <v/>
      </c>
    </row>
    <row r="1129" spans="15:15" x14ac:dyDescent="0.3">
      <c r="O1129" t="str">
        <f t="shared" si="18"/>
        <v/>
      </c>
    </row>
    <row r="1130" spans="15:15" x14ac:dyDescent="0.3">
      <c r="O1130" t="str">
        <f t="shared" si="18"/>
        <v/>
      </c>
    </row>
    <row r="1131" spans="15:15" x14ac:dyDescent="0.3">
      <c r="O1131" t="str">
        <f t="shared" si="18"/>
        <v/>
      </c>
    </row>
    <row r="1132" spans="15:15" x14ac:dyDescent="0.3">
      <c r="O1132" t="str">
        <f t="shared" si="18"/>
        <v/>
      </c>
    </row>
    <row r="1133" spans="15:15" x14ac:dyDescent="0.3">
      <c r="O1133" t="str">
        <f t="shared" si="18"/>
        <v/>
      </c>
    </row>
    <row r="1134" spans="15:15" x14ac:dyDescent="0.3">
      <c r="O1134" t="str">
        <f t="shared" si="18"/>
        <v/>
      </c>
    </row>
    <row r="1135" spans="15:15" x14ac:dyDescent="0.3">
      <c r="O1135" t="str">
        <f t="shared" si="18"/>
        <v/>
      </c>
    </row>
    <row r="1136" spans="15:15" x14ac:dyDescent="0.3">
      <c r="O1136" t="str">
        <f t="shared" si="18"/>
        <v/>
      </c>
    </row>
    <row r="1137" spans="15:15" x14ac:dyDescent="0.3">
      <c r="O1137" t="str">
        <f t="shared" si="18"/>
        <v/>
      </c>
    </row>
    <row r="1138" spans="15:15" x14ac:dyDescent="0.3">
      <c r="O1138" t="str">
        <f t="shared" si="18"/>
        <v/>
      </c>
    </row>
    <row r="1139" spans="15:15" x14ac:dyDescent="0.3">
      <c r="O1139" t="str">
        <f t="shared" si="18"/>
        <v/>
      </c>
    </row>
    <row r="1140" spans="15:15" x14ac:dyDescent="0.3">
      <c r="O1140" t="str">
        <f t="shared" si="18"/>
        <v/>
      </c>
    </row>
    <row r="1141" spans="15:15" x14ac:dyDescent="0.3">
      <c r="O1141" t="str">
        <f t="shared" si="18"/>
        <v/>
      </c>
    </row>
    <row r="1142" spans="15:15" x14ac:dyDescent="0.3">
      <c r="O1142" t="str">
        <f t="shared" si="18"/>
        <v/>
      </c>
    </row>
    <row r="1143" spans="15:15" x14ac:dyDescent="0.3">
      <c r="O1143" t="str">
        <f t="shared" si="18"/>
        <v/>
      </c>
    </row>
    <row r="1144" spans="15:15" x14ac:dyDescent="0.3">
      <c r="O1144" t="str">
        <f t="shared" si="18"/>
        <v/>
      </c>
    </row>
    <row r="1145" spans="15:15" x14ac:dyDescent="0.3">
      <c r="O1145" t="str">
        <f t="shared" si="18"/>
        <v/>
      </c>
    </row>
    <row r="1146" spans="15:15" x14ac:dyDescent="0.3">
      <c r="O1146" t="str">
        <f t="shared" si="18"/>
        <v/>
      </c>
    </row>
    <row r="1147" spans="15:15" x14ac:dyDescent="0.3">
      <c r="O1147" t="str">
        <f t="shared" si="18"/>
        <v/>
      </c>
    </row>
    <row r="1148" spans="15:15" x14ac:dyDescent="0.3">
      <c r="O1148" t="str">
        <f t="shared" si="18"/>
        <v/>
      </c>
    </row>
    <row r="1149" spans="15:15" x14ac:dyDescent="0.3">
      <c r="O1149" t="str">
        <f t="shared" si="18"/>
        <v/>
      </c>
    </row>
    <row r="1150" spans="15:15" x14ac:dyDescent="0.3">
      <c r="O1150" t="str">
        <f t="shared" si="18"/>
        <v/>
      </c>
    </row>
    <row r="1151" spans="15:15" x14ac:dyDescent="0.3">
      <c r="O1151" t="str">
        <f t="shared" si="18"/>
        <v/>
      </c>
    </row>
    <row r="1152" spans="15:15" x14ac:dyDescent="0.3">
      <c r="O1152" t="str">
        <f t="shared" si="18"/>
        <v/>
      </c>
    </row>
    <row r="1153" spans="15:15" x14ac:dyDescent="0.3">
      <c r="O1153" t="str">
        <f t="shared" si="18"/>
        <v/>
      </c>
    </row>
    <row r="1154" spans="15:15" x14ac:dyDescent="0.3">
      <c r="O1154" t="str">
        <f t="shared" si="18"/>
        <v/>
      </c>
    </row>
    <row r="1155" spans="15:15" x14ac:dyDescent="0.3">
      <c r="O1155" t="str">
        <f t="shared" si="18"/>
        <v/>
      </c>
    </row>
    <row r="1156" spans="15:15" x14ac:dyDescent="0.3">
      <c r="O1156" t="str">
        <f t="shared" si="18"/>
        <v/>
      </c>
    </row>
    <row r="1157" spans="15:15" x14ac:dyDescent="0.3">
      <c r="O1157" t="str">
        <f t="shared" si="18"/>
        <v/>
      </c>
    </row>
    <row r="1158" spans="15:15" x14ac:dyDescent="0.3">
      <c r="O1158" t="str">
        <f t="shared" si="18"/>
        <v/>
      </c>
    </row>
    <row r="1159" spans="15:15" x14ac:dyDescent="0.3">
      <c r="O1159" t="str">
        <f t="shared" si="18"/>
        <v/>
      </c>
    </row>
    <row r="1160" spans="15:15" x14ac:dyDescent="0.3">
      <c r="O1160" t="str">
        <f t="shared" si="18"/>
        <v/>
      </c>
    </row>
    <row r="1161" spans="15:15" x14ac:dyDescent="0.3">
      <c r="O1161" t="str">
        <f t="shared" si="18"/>
        <v/>
      </c>
    </row>
    <row r="1162" spans="15:15" x14ac:dyDescent="0.3">
      <c r="O1162" t="str">
        <f t="shared" ref="O1162:O1225" si="19">IF(P1162="","",O1161+1)</f>
        <v/>
      </c>
    </row>
    <row r="1163" spans="15:15" x14ac:dyDescent="0.3">
      <c r="O1163" t="str">
        <f t="shared" si="19"/>
        <v/>
      </c>
    </row>
    <row r="1164" spans="15:15" x14ac:dyDescent="0.3">
      <c r="O1164" t="str">
        <f t="shared" si="19"/>
        <v/>
      </c>
    </row>
    <row r="1165" spans="15:15" x14ac:dyDescent="0.3">
      <c r="O1165" t="str">
        <f t="shared" si="19"/>
        <v/>
      </c>
    </row>
    <row r="1166" spans="15:15" x14ac:dyDescent="0.3">
      <c r="O1166" t="str">
        <f t="shared" si="19"/>
        <v/>
      </c>
    </row>
    <row r="1167" spans="15:15" x14ac:dyDescent="0.3">
      <c r="O1167" t="str">
        <f t="shared" si="19"/>
        <v/>
      </c>
    </row>
    <row r="1168" spans="15:15" x14ac:dyDescent="0.3">
      <c r="O1168" t="str">
        <f t="shared" si="19"/>
        <v/>
      </c>
    </row>
    <row r="1169" spans="15:15" x14ac:dyDescent="0.3">
      <c r="O1169" t="str">
        <f t="shared" si="19"/>
        <v/>
      </c>
    </row>
    <row r="1170" spans="15:15" x14ac:dyDescent="0.3">
      <c r="O1170" t="str">
        <f t="shared" si="19"/>
        <v/>
      </c>
    </row>
    <row r="1171" spans="15:15" x14ac:dyDescent="0.3">
      <c r="O1171" t="str">
        <f t="shared" si="19"/>
        <v/>
      </c>
    </row>
    <row r="1172" spans="15:15" x14ac:dyDescent="0.3">
      <c r="O1172" t="str">
        <f t="shared" si="19"/>
        <v/>
      </c>
    </row>
    <row r="1173" spans="15:15" x14ac:dyDescent="0.3">
      <c r="O1173" t="str">
        <f t="shared" si="19"/>
        <v/>
      </c>
    </row>
    <row r="1174" spans="15:15" x14ac:dyDescent="0.3">
      <c r="O1174" t="str">
        <f t="shared" si="19"/>
        <v/>
      </c>
    </row>
    <row r="1175" spans="15:15" x14ac:dyDescent="0.3">
      <c r="O1175" t="str">
        <f t="shared" si="19"/>
        <v/>
      </c>
    </row>
    <row r="1176" spans="15:15" x14ac:dyDescent="0.3">
      <c r="O1176" t="str">
        <f t="shared" si="19"/>
        <v/>
      </c>
    </row>
    <row r="1177" spans="15:15" x14ac:dyDescent="0.3">
      <c r="O1177" t="str">
        <f t="shared" si="19"/>
        <v/>
      </c>
    </row>
    <row r="1178" spans="15:15" x14ac:dyDescent="0.3">
      <c r="O1178" t="str">
        <f t="shared" si="19"/>
        <v/>
      </c>
    </row>
    <row r="1179" spans="15:15" x14ac:dyDescent="0.3">
      <c r="O1179" t="str">
        <f t="shared" si="19"/>
        <v/>
      </c>
    </row>
    <row r="1180" spans="15:15" x14ac:dyDescent="0.3">
      <c r="O1180" t="str">
        <f t="shared" si="19"/>
        <v/>
      </c>
    </row>
    <row r="1181" spans="15:15" x14ac:dyDescent="0.3">
      <c r="O1181" t="str">
        <f t="shared" si="19"/>
        <v/>
      </c>
    </row>
    <row r="1182" spans="15:15" x14ac:dyDescent="0.3">
      <c r="O1182" t="str">
        <f t="shared" si="19"/>
        <v/>
      </c>
    </row>
    <row r="1183" spans="15:15" x14ac:dyDescent="0.3">
      <c r="O1183" t="str">
        <f t="shared" si="19"/>
        <v/>
      </c>
    </row>
    <row r="1184" spans="15:15" x14ac:dyDescent="0.3">
      <c r="O1184" t="str">
        <f t="shared" si="19"/>
        <v/>
      </c>
    </row>
    <row r="1185" spans="15:15" x14ac:dyDescent="0.3">
      <c r="O1185" t="str">
        <f t="shared" si="19"/>
        <v/>
      </c>
    </row>
    <row r="1186" spans="15:15" x14ac:dyDescent="0.3">
      <c r="O1186" t="str">
        <f t="shared" si="19"/>
        <v/>
      </c>
    </row>
    <row r="1187" spans="15:15" x14ac:dyDescent="0.3">
      <c r="O1187" t="str">
        <f t="shared" si="19"/>
        <v/>
      </c>
    </row>
    <row r="1188" spans="15:15" x14ac:dyDescent="0.3">
      <c r="O1188" t="str">
        <f t="shared" si="19"/>
        <v/>
      </c>
    </row>
    <row r="1189" spans="15:15" x14ac:dyDescent="0.3">
      <c r="O1189" t="str">
        <f t="shared" si="19"/>
        <v/>
      </c>
    </row>
    <row r="1190" spans="15:15" x14ac:dyDescent="0.3">
      <c r="O1190" t="str">
        <f t="shared" si="19"/>
        <v/>
      </c>
    </row>
    <row r="1191" spans="15:15" x14ac:dyDescent="0.3">
      <c r="O1191" t="str">
        <f t="shared" si="19"/>
        <v/>
      </c>
    </row>
    <row r="1192" spans="15:15" x14ac:dyDescent="0.3">
      <c r="O1192" t="str">
        <f t="shared" si="19"/>
        <v/>
      </c>
    </row>
    <row r="1193" spans="15:15" x14ac:dyDescent="0.3">
      <c r="O1193" t="str">
        <f t="shared" si="19"/>
        <v/>
      </c>
    </row>
    <row r="1194" spans="15:15" x14ac:dyDescent="0.3">
      <c r="O1194" t="str">
        <f t="shared" si="19"/>
        <v/>
      </c>
    </row>
    <row r="1195" spans="15:15" x14ac:dyDescent="0.3">
      <c r="O1195" t="str">
        <f t="shared" si="19"/>
        <v/>
      </c>
    </row>
    <row r="1196" spans="15:15" x14ac:dyDescent="0.3">
      <c r="O1196" t="str">
        <f t="shared" si="19"/>
        <v/>
      </c>
    </row>
    <row r="1197" spans="15:15" x14ac:dyDescent="0.3">
      <c r="O1197" t="str">
        <f t="shared" si="19"/>
        <v/>
      </c>
    </row>
    <row r="1198" spans="15:15" x14ac:dyDescent="0.3">
      <c r="O1198" t="str">
        <f t="shared" si="19"/>
        <v/>
      </c>
    </row>
    <row r="1199" spans="15:15" x14ac:dyDescent="0.3">
      <c r="O1199" t="str">
        <f t="shared" si="19"/>
        <v/>
      </c>
    </row>
    <row r="1200" spans="15:15" x14ac:dyDescent="0.3">
      <c r="O1200" t="str">
        <f t="shared" si="19"/>
        <v/>
      </c>
    </row>
    <row r="1201" spans="15:15" x14ac:dyDescent="0.3">
      <c r="O1201" t="str">
        <f t="shared" si="19"/>
        <v/>
      </c>
    </row>
    <row r="1202" spans="15:15" x14ac:dyDescent="0.3">
      <c r="O1202" t="str">
        <f t="shared" si="19"/>
        <v/>
      </c>
    </row>
    <row r="1203" spans="15:15" x14ac:dyDescent="0.3">
      <c r="O1203" t="str">
        <f t="shared" si="19"/>
        <v/>
      </c>
    </row>
    <row r="1204" spans="15:15" x14ac:dyDescent="0.3">
      <c r="O1204" t="str">
        <f t="shared" si="19"/>
        <v/>
      </c>
    </row>
    <row r="1205" spans="15:15" x14ac:dyDescent="0.3">
      <c r="O1205" t="str">
        <f t="shared" si="19"/>
        <v/>
      </c>
    </row>
    <row r="1206" spans="15:15" x14ac:dyDescent="0.3">
      <c r="O1206" t="str">
        <f t="shared" si="19"/>
        <v/>
      </c>
    </row>
    <row r="1207" spans="15:15" x14ac:dyDescent="0.3">
      <c r="O1207" t="str">
        <f t="shared" si="19"/>
        <v/>
      </c>
    </row>
    <row r="1208" spans="15:15" x14ac:dyDescent="0.3">
      <c r="O1208" t="str">
        <f t="shared" si="19"/>
        <v/>
      </c>
    </row>
    <row r="1209" spans="15:15" x14ac:dyDescent="0.3">
      <c r="O1209" t="str">
        <f t="shared" si="19"/>
        <v/>
      </c>
    </row>
    <row r="1210" spans="15:15" x14ac:dyDescent="0.3">
      <c r="O1210" t="str">
        <f t="shared" si="19"/>
        <v/>
      </c>
    </row>
    <row r="1211" spans="15:15" x14ac:dyDescent="0.3">
      <c r="O1211" t="str">
        <f t="shared" si="19"/>
        <v/>
      </c>
    </row>
    <row r="1212" spans="15:15" x14ac:dyDescent="0.3">
      <c r="O1212" t="str">
        <f t="shared" si="19"/>
        <v/>
      </c>
    </row>
    <row r="1213" spans="15:15" x14ac:dyDescent="0.3">
      <c r="O1213" t="str">
        <f t="shared" si="19"/>
        <v/>
      </c>
    </row>
    <row r="1214" spans="15:15" x14ac:dyDescent="0.3">
      <c r="O1214" t="str">
        <f t="shared" si="19"/>
        <v/>
      </c>
    </row>
    <row r="1215" spans="15:15" x14ac:dyDescent="0.3">
      <c r="O1215" t="str">
        <f t="shared" si="19"/>
        <v/>
      </c>
    </row>
    <row r="1216" spans="15:15" x14ac:dyDescent="0.3">
      <c r="O1216" t="str">
        <f t="shared" si="19"/>
        <v/>
      </c>
    </row>
    <row r="1217" spans="15:15" x14ac:dyDescent="0.3">
      <c r="O1217" t="str">
        <f t="shared" si="19"/>
        <v/>
      </c>
    </row>
    <row r="1218" spans="15:15" x14ac:dyDescent="0.3">
      <c r="O1218" t="str">
        <f t="shared" si="19"/>
        <v/>
      </c>
    </row>
    <row r="1219" spans="15:15" x14ac:dyDescent="0.3">
      <c r="O1219" t="str">
        <f t="shared" si="19"/>
        <v/>
      </c>
    </row>
    <row r="1220" spans="15:15" x14ac:dyDescent="0.3">
      <c r="O1220" t="str">
        <f t="shared" si="19"/>
        <v/>
      </c>
    </row>
    <row r="1221" spans="15:15" x14ac:dyDescent="0.3">
      <c r="O1221" t="str">
        <f t="shared" si="19"/>
        <v/>
      </c>
    </row>
    <row r="1222" spans="15:15" x14ac:dyDescent="0.3">
      <c r="O1222" t="str">
        <f t="shared" si="19"/>
        <v/>
      </c>
    </row>
    <row r="1223" spans="15:15" x14ac:dyDescent="0.3">
      <c r="O1223" t="str">
        <f t="shared" si="19"/>
        <v/>
      </c>
    </row>
    <row r="1224" spans="15:15" x14ac:dyDescent="0.3">
      <c r="O1224" t="str">
        <f t="shared" si="19"/>
        <v/>
      </c>
    </row>
    <row r="1225" spans="15:15" x14ac:dyDescent="0.3">
      <c r="O1225" t="str">
        <f t="shared" si="19"/>
        <v/>
      </c>
    </row>
    <row r="1226" spans="15:15" x14ac:dyDescent="0.3">
      <c r="O1226" t="str">
        <f t="shared" ref="O1226:O1289" si="20">IF(P1226="","",O1225+1)</f>
        <v/>
      </c>
    </row>
    <row r="1227" spans="15:15" x14ac:dyDescent="0.3">
      <c r="O1227" t="str">
        <f t="shared" si="20"/>
        <v/>
      </c>
    </row>
    <row r="1228" spans="15:15" x14ac:dyDescent="0.3">
      <c r="O1228" t="str">
        <f t="shared" si="20"/>
        <v/>
      </c>
    </row>
    <row r="1229" spans="15:15" x14ac:dyDescent="0.3">
      <c r="O1229" t="str">
        <f t="shared" si="20"/>
        <v/>
      </c>
    </row>
    <row r="1230" spans="15:15" x14ac:dyDescent="0.3">
      <c r="O1230" t="str">
        <f t="shared" si="20"/>
        <v/>
      </c>
    </row>
    <row r="1231" spans="15:15" x14ac:dyDescent="0.3">
      <c r="O1231" t="str">
        <f t="shared" si="20"/>
        <v/>
      </c>
    </row>
    <row r="1232" spans="15:15" x14ac:dyDescent="0.3">
      <c r="O1232" t="str">
        <f t="shared" si="20"/>
        <v/>
      </c>
    </row>
    <row r="1233" spans="15:15" x14ac:dyDescent="0.3">
      <c r="O1233" t="str">
        <f t="shared" si="20"/>
        <v/>
      </c>
    </row>
    <row r="1234" spans="15:15" x14ac:dyDescent="0.3">
      <c r="O1234" t="str">
        <f t="shared" si="20"/>
        <v/>
      </c>
    </row>
    <row r="1235" spans="15:15" x14ac:dyDescent="0.3">
      <c r="O1235" t="str">
        <f t="shared" si="20"/>
        <v/>
      </c>
    </row>
    <row r="1236" spans="15:15" x14ac:dyDescent="0.3">
      <c r="O1236" t="str">
        <f t="shared" si="20"/>
        <v/>
      </c>
    </row>
    <row r="1237" spans="15:15" x14ac:dyDescent="0.3">
      <c r="O1237" t="str">
        <f t="shared" si="20"/>
        <v/>
      </c>
    </row>
    <row r="1238" spans="15:15" x14ac:dyDescent="0.3">
      <c r="O1238" t="str">
        <f t="shared" si="20"/>
        <v/>
      </c>
    </row>
    <row r="1239" spans="15:15" x14ac:dyDescent="0.3">
      <c r="O1239" t="str">
        <f t="shared" si="20"/>
        <v/>
      </c>
    </row>
    <row r="1240" spans="15:15" x14ac:dyDescent="0.3">
      <c r="O1240" t="str">
        <f t="shared" si="20"/>
        <v/>
      </c>
    </row>
    <row r="1241" spans="15:15" x14ac:dyDescent="0.3">
      <c r="O1241" t="str">
        <f t="shared" si="20"/>
        <v/>
      </c>
    </row>
    <row r="1242" spans="15:15" x14ac:dyDescent="0.3">
      <c r="O1242" t="str">
        <f t="shared" si="20"/>
        <v/>
      </c>
    </row>
    <row r="1243" spans="15:15" x14ac:dyDescent="0.3">
      <c r="O1243" t="str">
        <f t="shared" si="20"/>
        <v/>
      </c>
    </row>
    <row r="1244" spans="15:15" x14ac:dyDescent="0.3">
      <c r="O1244" t="str">
        <f t="shared" si="20"/>
        <v/>
      </c>
    </row>
    <row r="1245" spans="15:15" x14ac:dyDescent="0.3">
      <c r="O1245" t="str">
        <f t="shared" si="20"/>
        <v/>
      </c>
    </row>
    <row r="1246" spans="15:15" x14ac:dyDescent="0.3">
      <c r="O1246" t="str">
        <f t="shared" si="20"/>
        <v/>
      </c>
    </row>
    <row r="1247" spans="15:15" x14ac:dyDescent="0.3">
      <c r="O1247" t="str">
        <f t="shared" si="20"/>
        <v/>
      </c>
    </row>
    <row r="1248" spans="15:15" x14ac:dyDescent="0.3">
      <c r="O1248" t="str">
        <f t="shared" si="20"/>
        <v/>
      </c>
    </row>
    <row r="1249" spans="15:15" x14ac:dyDescent="0.3">
      <c r="O1249" t="str">
        <f t="shared" si="20"/>
        <v/>
      </c>
    </row>
    <row r="1250" spans="15:15" x14ac:dyDescent="0.3">
      <c r="O1250" t="str">
        <f t="shared" si="20"/>
        <v/>
      </c>
    </row>
    <row r="1251" spans="15:15" x14ac:dyDescent="0.3">
      <c r="O1251" t="str">
        <f t="shared" si="20"/>
        <v/>
      </c>
    </row>
    <row r="1252" spans="15:15" x14ac:dyDescent="0.3">
      <c r="O1252" t="str">
        <f t="shared" si="20"/>
        <v/>
      </c>
    </row>
    <row r="1253" spans="15:15" x14ac:dyDescent="0.3">
      <c r="O1253" t="str">
        <f t="shared" si="20"/>
        <v/>
      </c>
    </row>
    <row r="1254" spans="15:15" x14ac:dyDescent="0.3">
      <c r="O1254" t="str">
        <f t="shared" si="20"/>
        <v/>
      </c>
    </row>
    <row r="1255" spans="15:15" x14ac:dyDescent="0.3">
      <c r="O1255" t="str">
        <f t="shared" si="20"/>
        <v/>
      </c>
    </row>
    <row r="1256" spans="15:15" x14ac:dyDescent="0.3">
      <c r="O1256" t="str">
        <f t="shared" si="20"/>
        <v/>
      </c>
    </row>
    <row r="1257" spans="15:15" x14ac:dyDescent="0.3">
      <c r="O1257" t="str">
        <f t="shared" si="20"/>
        <v/>
      </c>
    </row>
    <row r="1258" spans="15:15" x14ac:dyDescent="0.3">
      <c r="O1258" t="str">
        <f t="shared" si="20"/>
        <v/>
      </c>
    </row>
    <row r="1259" spans="15:15" x14ac:dyDescent="0.3">
      <c r="O1259" t="str">
        <f t="shared" si="20"/>
        <v/>
      </c>
    </row>
    <row r="1260" spans="15:15" x14ac:dyDescent="0.3">
      <c r="O1260" t="str">
        <f t="shared" si="20"/>
        <v/>
      </c>
    </row>
    <row r="1261" spans="15:15" x14ac:dyDescent="0.3">
      <c r="O1261" t="str">
        <f t="shared" si="20"/>
        <v/>
      </c>
    </row>
    <row r="1262" spans="15:15" x14ac:dyDescent="0.3">
      <c r="O1262" t="str">
        <f t="shared" si="20"/>
        <v/>
      </c>
    </row>
    <row r="1263" spans="15:15" x14ac:dyDescent="0.3">
      <c r="O1263" t="str">
        <f t="shared" si="20"/>
        <v/>
      </c>
    </row>
    <row r="1264" spans="15:15" x14ac:dyDescent="0.3">
      <c r="O1264" t="str">
        <f t="shared" si="20"/>
        <v/>
      </c>
    </row>
    <row r="1265" spans="15:15" x14ac:dyDescent="0.3">
      <c r="O1265" t="str">
        <f t="shared" si="20"/>
        <v/>
      </c>
    </row>
    <row r="1266" spans="15:15" x14ac:dyDescent="0.3">
      <c r="O1266" t="str">
        <f t="shared" si="20"/>
        <v/>
      </c>
    </row>
    <row r="1267" spans="15:15" x14ac:dyDescent="0.3">
      <c r="O1267" t="str">
        <f t="shared" si="20"/>
        <v/>
      </c>
    </row>
    <row r="1268" spans="15:15" x14ac:dyDescent="0.3">
      <c r="O1268" t="str">
        <f t="shared" si="20"/>
        <v/>
      </c>
    </row>
    <row r="1269" spans="15:15" x14ac:dyDescent="0.3">
      <c r="O1269" t="str">
        <f t="shared" si="20"/>
        <v/>
      </c>
    </row>
    <row r="1270" spans="15:15" x14ac:dyDescent="0.3">
      <c r="O1270" t="str">
        <f t="shared" si="20"/>
        <v/>
      </c>
    </row>
    <row r="1271" spans="15:15" x14ac:dyDescent="0.3">
      <c r="O1271" t="str">
        <f t="shared" si="20"/>
        <v/>
      </c>
    </row>
    <row r="1272" spans="15:15" x14ac:dyDescent="0.3">
      <c r="O1272" t="str">
        <f t="shared" si="20"/>
        <v/>
      </c>
    </row>
    <row r="1273" spans="15:15" x14ac:dyDescent="0.3">
      <c r="O1273" t="str">
        <f t="shared" si="20"/>
        <v/>
      </c>
    </row>
    <row r="1274" spans="15:15" x14ac:dyDescent="0.3">
      <c r="O1274" t="str">
        <f t="shared" si="20"/>
        <v/>
      </c>
    </row>
    <row r="1275" spans="15:15" x14ac:dyDescent="0.3">
      <c r="O1275" t="str">
        <f t="shared" si="20"/>
        <v/>
      </c>
    </row>
    <row r="1276" spans="15:15" x14ac:dyDescent="0.3">
      <c r="O1276" t="str">
        <f t="shared" si="20"/>
        <v/>
      </c>
    </row>
    <row r="1277" spans="15:15" x14ac:dyDescent="0.3">
      <c r="O1277" t="str">
        <f t="shared" si="20"/>
        <v/>
      </c>
    </row>
    <row r="1278" spans="15:15" x14ac:dyDescent="0.3">
      <c r="O1278" t="str">
        <f t="shared" si="20"/>
        <v/>
      </c>
    </row>
    <row r="1279" spans="15:15" x14ac:dyDescent="0.3">
      <c r="O1279" t="str">
        <f t="shared" si="20"/>
        <v/>
      </c>
    </row>
    <row r="1280" spans="15:15" x14ac:dyDescent="0.3">
      <c r="O1280" t="str">
        <f t="shared" si="20"/>
        <v/>
      </c>
    </row>
    <row r="1281" spans="15:15" x14ac:dyDescent="0.3">
      <c r="O1281" t="str">
        <f t="shared" si="20"/>
        <v/>
      </c>
    </row>
    <row r="1282" spans="15:15" x14ac:dyDescent="0.3">
      <c r="O1282" t="str">
        <f t="shared" si="20"/>
        <v/>
      </c>
    </row>
    <row r="1283" spans="15:15" x14ac:dyDescent="0.3">
      <c r="O1283" t="str">
        <f t="shared" si="20"/>
        <v/>
      </c>
    </row>
    <row r="1284" spans="15:15" x14ac:dyDescent="0.3">
      <c r="O1284" t="str">
        <f t="shared" si="20"/>
        <v/>
      </c>
    </row>
    <row r="1285" spans="15:15" x14ac:dyDescent="0.3">
      <c r="O1285" t="str">
        <f t="shared" si="20"/>
        <v/>
      </c>
    </row>
    <row r="1286" spans="15:15" x14ac:dyDescent="0.3">
      <c r="O1286" t="str">
        <f t="shared" si="20"/>
        <v/>
      </c>
    </row>
    <row r="1287" spans="15:15" x14ac:dyDescent="0.3">
      <c r="O1287" t="str">
        <f t="shared" si="20"/>
        <v/>
      </c>
    </row>
    <row r="1288" spans="15:15" x14ac:dyDescent="0.3">
      <c r="O1288" t="str">
        <f t="shared" si="20"/>
        <v/>
      </c>
    </row>
    <row r="1289" spans="15:15" x14ac:dyDescent="0.3">
      <c r="O1289" t="str">
        <f t="shared" si="20"/>
        <v/>
      </c>
    </row>
    <row r="1290" spans="15:15" x14ac:dyDescent="0.3">
      <c r="O1290" t="str">
        <f t="shared" ref="O1290:O1353" si="21">IF(P1290="","",O1289+1)</f>
        <v/>
      </c>
    </row>
    <row r="1291" spans="15:15" x14ac:dyDescent="0.3">
      <c r="O1291" t="str">
        <f t="shared" si="21"/>
        <v/>
      </c>
    </row>
    <row r="1292" spans="15:15" x14ac:dyDescent="0.3">
      <c r="O1292" t="str">
        <f t="shared" si="21"/>
        <v/>
      </c>
    </row>
    <row r="1293" spans="15:15" x14ac:dyDescent="0.3">
      <c r="O1293" t="str">
        <f t="shared" si="21"/>
        <v/>
      </c>
    </row>
    <row r="1294" spans="15:15" x14ac:dyDescent="0.3">
      <c r="O1294" t="str">
        <f t="shared" si="21"/>
        <v/>
      </c>
    </row>
    <row r="1295" spans="15:15" x14ac:dyDescent="0.3">
      <c r="O1295" t="str">
        <f t="shared" si="21"/>
        <v/>
      </c>
    </row>
    <row r="1296" spans="15:15" x14ac:dyDescent="0.3">
      <c r="O1296" t="str">
        <f t="shared" si="21"/>
        <v/>
      </c>
    </row>
    <row r="1297" spans="15:15" x14ac:dyDescent="0.3">
      <c r="O1297" t="str">
        <f t="shared" si="21"/>
        <v/>
      </c>
    </row>
    <row r="1298" spans="15:15" x14ac:dyDescent="0.3">
      <c r="O1298" t="str">
        <f t="shared" si="21"/>
        <v/>
      </c>
    </row>
    <row r="1299" spans="15:15" x14ac:dyDescent="0.3">
      <c r="O1299" t="str">
        <f t="shared" si="21"/>
        <v/>
      </c>
    </row>
    <row r="1300" spans="15:15" x14ac:dyDescent="0.3">
      <c r="O1300" t="str">
        <f t="shared" si="21"/>
        <v/>
      </c>
    </row>
    <row r="1301" spans="15:15" x14ac:dyDescent="0.3">
      <c r="O1301" t="str">
        <f t="shared" si="21"/>
        <v/>
      </c>
    </row>
    <row r="1302" spans="15:15" x14ac:dyDescent="0.3">
      <c r="O1302" t="str">
        <f t="shared" si="21"/>
        <v/>
      </c>
    </row>
    <row r="1303" spans="15:15" x14ac:dyDescent="0.3">
      <c r="O1303" t="str">
        <f t="shared" si="21"/>
        <v/>
      </c>
    </row>
    <row r="1304" spans="15:15" x14ac:dyDescent="0.3">
      <c r="O1304" t="str">
        <f t="shared" si="21"/>
        <v/>
      </c>
    </row>
    <row r="1305" spans="15:15" x14ac:dyDescent="0.3">
      <c r="O1305" t="str">
        <f t="shared" si="21"/>
        <v/>
      </c>
    </row>
    <row r="1306" spans="15:15" x14ac:dyDescent="0.3">
      <c r="O1306" t="str">
        <f t="shared" si="21"/>
        <v/>
      </c>
    </row>
    <row r="1307" spans="15:15" x14ac:dyDescent="0.3">
      <c r="O1307" t="str">
        <f t="shared" si="21"/>
        <v/>
      </c>
    </row>
    <row r="1308" spans="15:15" x14ac:dyDescent="0.3">
      <c r="O1308" t="str">
        <f t="shared" si="21"/>
        <v/>
      </c>
    </row>
    <row r="1309" spans="15:15" x14ac:dyDescent="0.3">
      <c r="O1309" t="str">
        <f t="shared" si="21"/>
        <v/>
      </c>
    </row>
    <row r="1310" spans="15:15" x14ac:dyDescent="0.3">
      <c r="O1310" t="str">
        <f t="shared" si="21"/>
        <v/>
      </c>
    </row>
    <row r="1311" spans="15:15" x14ac:dyDescent="0.3">
      <c r="O1311" t="str">
        <f t="shared" si="21"/>
        <v/>
      </c>
    </row>
    <row r="1312" spans="15:15" x14ac:dyDescent="0.3">
      <c r="O1312" t="str">
        <f t="shared" si="21"/>
        <v/>
      </c>
    </row>
    <row r="1313" spans="15:15" x14ac:dyDescent="0.3">
      <c r="O1313" t="str">
        <f t="shared" si="21"/>
        <v/>
      </c>
    </row>
    <row r="1314" spans="15:15" x14ac:dyDescent="0.3">
      <c r="O1314" t="str">
        <f t="shared" si="21"/>
        <v/>
      </c>
    </row>
    <row r="1315" spans="15:15" x14ac:dyDescent="0.3">
      <c r="O1315" t="str">
        <f t="shared" si="21"/>
        <v/>
      </c>
    </row>
    <row r="1316" spans="15:15" x14ac:dyDescent="0.3">
      <c r="O1316" t="str">
        <f t="shared" si="21"/>
        <v/>
      </c>
    </row>
    <row r="1317" spans="15:15" x14ac:dyDescent="0.3">
      <c r="O1317" t="str">
        <f t="shared" si="21"/>
        <v/>
      </c>
    </row>
    <row r="1318" spans="15:15" x14ac:dyDescent="0.3">
      <c r="O1318" t="str">
        <f t="shared" si="21"/>
        <v/>
      </c>
    </row>
    <row r="1319" spans="15:15" x14ac:dyDescent="0.3">
      <c r="O1319" t="str">
        <f t="shared" si="21"/>
        <v/>
      </c>
    </row>
    <row r="1320" spans="15:15" x14ac:dyDescent="0.3">
      <c r="O1320" t="str">
        <f t="shared" si="21"/>
        <v/>
      </c>
    </row>
    <row r="1321" spans="15:15" x14ac:dyDescent="0.3">
      <c r="O1321" t="str">
        <f t="shared" si="21"/>
        <v/>
      </c>
    </row>
    <row r="1322" spans="15:15" x14ac:dyDescent="0.3">
      <c r="O1322" t="str">
        <f t="shared" si="21"/>
        <v/>
      </c>
    </row>
    <row r="1323" spans="15:15" x14ac:dyDescent="0.3">
      <c r="O1323" t="str">
        <f t="shared" si="21"/>
        <v/>
      </c>
    </row>
    <row r="1324" spans="15:15" x14ac:dyDescent="0.3">
      <c r="O1324" t="str">
        <f t="shared" si="21"/>
        <v/>
      </c>
    </row>
    <row r="1325" spans="15:15" x14ac:dyDescent="0.3">
      <c r="O1325" t="str">
        <f t="shared" si="21"/>
        <v/>
      </c>
    </row>
    <row r="1326" spans="15:15" x14ac:dyDescent="0.3">
      <c r="O1326" t="str">
        <f t="shared" si="21"/>
        <v/>
      </c>
    </row>
    <row r="1327" spans="15:15" x14ac:dyDescent="0.3">
      <c r="O1327" t="str">
        <f t="shared" si="21"/>
        <v/>
      </c>
    </row>
    <row r="1328" spans="15:15" x14ac:dyDescent="0.3">
      <c r="O1328" t="str">
        <f t="shared" si="21"/>
        <v/>
      </c>
    </row>
    <row r="1329" spans="15:15" x14ac:dyDescent="0.3">
      <c r="O1329" t="str">
        <f t="shared" si="21"/>
        <v/>
      </c>
    </row>
    <row r="1330" spans="15:15" x14ac:dyDescent="0.3">
      <c r="O1330" t="str">
        <f t="shared" si="21"/>
        <v/>
      </c>
    </row>
    <row r="1331" spans="15:15" x14ac:dyDescent="0.3">
      <c r="O1331" t="str">
        <f t="shared" si="21"/>
        <v/>
      </c>
    </row>
    <row r="1332" spans="15:15" x14ac:dyDescent="0.3">
      <c r="O1332" t="str">
        <f t="shared" si="21"/>
        <v/>
      </c>
    </row>
    <row r="1333" spans="15:15" x14ac:dyDescent="0.3">
      <c r="O1333" t="str">
        <f t="shared" si="21"/>
        <v/>
      </c>
    </row>
    <row r="1334" spans="15:15" x14ac:dyDescent="0.3">
      <c r="O1334" t="str">
        <f t="shared" si="21"/>
        <v/>
      </c>
    </row>
    <row r="1335" spans="15:15" x14ac:dyDescent="0.3">
      <c r="O1335" t="str">
        <f t="shared" si="21"/>
        <v/>
      </c>
    </row>
    <row r="1336" spans="15:15" x14ac:dyDescent="0.3">
      <c r="O1336" t="str">
        <f t="shared" si="21"/>
        <v/>
      </c>
    </row>
    <row r="1337" spans="15:15" x14ac:dyDescent="0.3">
      <c r="O1337" t="str">
        <f t="shared" si="21"/>
        <v/>
      </c>
    </row>
    <row r="1338" spans="15:15" x14ac:dyDescent="0.3">
      <c r="O1338" t="str">
        <f t="shared" si="21"/>
        <v/>
      </c>
    </row>
    <row r="1339" spans="15:15" x14ac:dyDescent="0.3">
      <c r="O1339" t="str">
        <f t="shared" si="21"/>
        <v/>
      </c>
    </row>
    <row r="1340" spans="15:15" x14ac:dyDescent="0.3">
      <c r="O1340" t="str">
        <f t="shared" si="21"/>
        <v/>
      </c>
    </row>
    <row r="1341" spans="15:15" x14ac:dyDescent="0.3">
      <c r="O1341" t="str">
        <f t="shared" si="21"/>
        <v/>
      </c>
    </row>
    <row r="1342" spans="15:15" x14ac:dyDescent="0.3">
      <c r="O1342" t="str">
        <f t="shared" si="21"/>
        <v/>
      </c>
    </row>
    <row r="1343" spans="15:15" x14ac:dyDescent="0.3">
      <c r="O1343" t="str">
        <f t="shared" si="21"/>
        <v/>
      </c>
    </row>
    <row r="1344" spans="15:15" x14ac:dyDescent="0.3">
      <c r="O1344" t="str">
        <f t="shared" si="21"/>
        <v/>
      </c>
    </row>
    <row r="1345" spans="15:15" x14ac:dyDescent="0.3">
      <c r="O1345" t="str">
        <f t="shared" si="21"/>
        <v/>
      </c>
    </row>
    <row r="1346" spans="15:15" x14ac:dyDescent="0.3">
      <c r="O1346" t="str">
        <f t="shared" si="21"/>
        <v/>
      </c>
    </row>
    <row r="1347" spans="15:15" x14ac:dyDescent="0.3">
      <c r="O1347" t="str">
        <f t="shared" si="21"/>
        <v/>
      </c>
    </row>
    <row r="1348" spans="15:15" x14ac:dyDescent="0.3">
      <c r="O1348" t="str">
        <f t="shared" si="21"/>
        <v/>
      </c>
    </row>
    <row r="1349" spans="15:15" x14ac:dyDescent="0.3">
      <c r="O1349" t="str">
        <f t="shared" si="21"/>
        <v/>
      </c>
    </row>
    <row r="1350" spans="15:15" x14ac:dyDescent="0.3">
      <c r="O1350" t="str">
        <f t="shared" si="21"/>
        <v/>
      </c>
    </row>
    <row r="1351" spans="15:15" x14ac:dyDescent="0.3">
      <c r="O1351" t="str">
        <f t="shared" si="21"/>
        <v/>
      </c>
    </row>
    <row r="1352" spans="15:15" x14ac:dyDescent="0.3">
      <c r="O1352" t="str">
        <f t="shared" si="21"/>
        <v/>
      </c>
    </row>
    <row r="1353" spans="15:15" x14ac:dyDescent="0.3">
      <c r="O1353" t="str">
        <f t="shared" si="21"/>
        <v/>
      </c>
    </row>
    <row r="1354" spans="15:15" x14ac:dyDescent="0.3">
      <c r="O1354" t="str">
        <f t="shared" ref="O1354:O1417" si="22">IF(P1354="","",O1353+1)</f>
        <v/>
      </c>
    </row>
    <row r="1355" spans="15:15" x14ac:dyDescent="0.3">
      <c r="O1355" t="str">
        <f t="shared" si="22"/>
        <v/>
      </c>
    </row>
    <row r="1356" spans="15:15" x14ac:dyDescent="0.3">
      <c r="O1356" t="str">
        <f t="shared" si="22"/>
        <v/>
      </c>
    </row>
    <row r="1357" spans="15:15" x14ac:dyDescent="0.3">
      <c r="O1357" t="str">
        <f t="shared" si="22"/>
        <v/>
      </c>
    </row>
    <row r="1358" spans="15:15" x14ac:dyDescent="0.3">
      <c r="O1358" t="str">
        <f t="shared" si="22"/>
        <v/>
      </c>
    </row>
    <row r="1359" spans="15:15" x14ac:dyDescent="0.3">
      <c r="O1359" t="str">
        <f t="shared" si="22"/>
        <v/>
      </c>
    </row>
    <row r="1360" spans="15:15" x14ac:dyDescent="0.3">
      <c r="O1360" t="str">
        <f t="shared" si="22"/>
        <v/>
      </c>
    </row>
    <row r="1361" spans="15:15" x14ac:dyDescent="0.3">
      <c r="O1361" t="str">
        <f t="shared" si="22"/>
        <v/>
      </c>
    </row>
    <row r="1362" spans="15:15" x14ac:dyDescent="0.3">
      <c r="O1362" t="str">
        <f t="shared" si="22"/>
        <v/>
      </c>
    </row>
    <row r="1363" spans="15:15" x14ac:dyDescent="0.3">
      <c r="O1363" t="str">
        <f t="shared" si="22"/>
        <v/>
      </c>
    </row>
    <row r="1364" spans="15:15" x14ac:dyDescent="0.3">
      <c r="O1364" t="str">
        <f t="shared" si="22"/>
        <v/>
      </c>
    </row>
    <row r="1365" spans="15:15" x14ac:dyDescent="0.3">
      <c r="O1365" t="str">
        <f t="shared" si="22"/>
        <v/>
      </c>
    </row>
    <row r="1366" spans="15:15" x14ac:dyDescent="0.3">
      <c r="O1366" t="str">
        <f t="shared" si="22"/>
        <v/>
      </c>
    </row>
    <row r="1367" spans="15:15" x14ac:dyDescent="0.3">
      <c r="O1367" t="str">
        <f t="shared" si="22"/>
        <v/>
      </c>
    </row>
    <row r="1368" spans="15:15" x14ac:dyDescent="0.3">
      <c r="O1368" t="str">
        <f t="shared" si="22"/>
        <v/>
      </c>
    </row>
    <row r="1369" spans="15:15" x14ac:dyDescent="0.3">
      <c r="O1369" t="str">
        <f t="shared" si="22"/>
        <v/>
      </c>
    </row>
    <row r="1370" spans="15:15" x14ac:dyDescent="0.3">
      <c r="O1370" t="str">
        <f t="shared" si="22"/>
        <v/>
      </c>
    </row>
    <row r="1371" spans="15:15" x14ac:dyDescent="0.3">
      <c r="O1371" t="str">
        <f t="shared" si="22"/>
        <v/>
      </c>
    </row>
    <row r="1372" spans="15:15" x14ac:dyDescent="0.3">
      <c r="O1372" t="str">
        <f t="shared" si="22"/>
        <v/>
      </c>
    </row>
    <row r="1373" spans="15:15" x14ac:dyDescent="0.3">
      <c r="O1373" t="str">
        <f t="shared" si="22"/>
        <v/>
      </c>
    </row>
    <row r="1374" spans="15:15" x14ac:dyDescent="0.3">
      <c r="O1374" t="str">
        <f t="shared" si="22"/>
        <v/>
      </c>
    </row>
    <row r="1375" spans="15:15" x14ac:dyDescent="0.3">
      <c r="O1375" t="str">
        <f t="shared" si="22"/>
        <v/>
      </c>
    </row>
    <row r="1376" spans="15:15" x14ac:dyDescent="0.3">
      <c r="O1376" t="str">
        <f t="shared" si="22"/>
        <v/>
      </c>
    </row>
    <row r="1377" spans="15:15" x14ac:dyDescent="0.3">
      <c r="O1377" t="str">
        <f t="shared" si="22"/>
        <v/>
      </c>
    </row>
    <row r="1378" spans="15:15" x14ac:dyDescent="0.3">
      <c r="O1378" t="str">
        <f t="shared" si="22"/>
        <v/>
      </c>
    </row>
    <row r="1379" spans="15:15" x14ac:dyDescent="0.3">
      <c r="O1379" t="str">
        <f t="shared" si="22"/>
        <v/>
      </c>
    </row>
    <row r="1380" spans="15:15" x14ac:dyDescent="0.3">
      <c r="O1380" t="str">
        <f t="shared" si="22"/>
        <v/>
      </c>
    </row>
    <row r="1381" spans="15:15" x14ac:dyDescent="0.3">
      <c r="O1381" t="str">
        <f t="shared" si="22"/>
        <v/>
      </c>
    </row>
    <row r="1382" spans="15:15" x14ac:dyDescent="0.3">
      <c r="O1382" t="str">
        <f t="shared" si="22"/>
        <v/>
      </c>
    </row>
    <row r="1383" spans="15:15" x14ac:dyDescent="0.3">
      <c r="O1383" t="str">
        <f t="shared" si="22"/>
        <v/>
      </c>
    </row>
    <row r="1384" spans="15:15" x14ac:dyDescent="0.3">
      <c r="O1384" t="str">
        <f t="shared" si="22"/>
        <v/>
      </c>
    </row>
    <row r="1385" spans="15:15" x14ac:dyDescent="0.3">
      <c r="O1385" t="str">
        <f t="shared" si="22"/>
        <v/>
      </c>
    </row>
    <row r="1386" spans="15:15" x14ac:dyDescent="0.3">
      <c r="O1386" t="str">
        <f t="shared" si="22"/>
        <v/>
      </c>
    </row>
    <row r="1387" spans="15:15" x14ac:dyDescent="0.3">
      <c r="O1387" t="str">
        <f t="shared" si="22"/>
        <v/>
      </c>
    </row>
    <row r="1388" spans="15:15" x14ac:dyDescent="0.3">
      <c r="O1388" t="str">
        <f t="shared" si="22"/>
        <v/>
      </c>
    </row>
    <row r="1389" spans="15:15" x14ac:dyDescent="0.3">
      <c r="O1389" t="str">
        <f t="shared" si="22"/>
        <v/>
      </c>
    </row>
    <row r="1390" spans="15:15" x14ac:dyDescent="0.3">
      <c r="O1390" t="str">
        <f t="shared" si="22"/>
        <v/>
      </c>
    </row>
    <row r="1391" spans="15:15" x14ac:dyDescent="0.3">
      <c r="O1391" t="str">
        <f t="shared" si="22"/>
        <v/>
      </c>
    </row>
    <row r="1392" spans="15:15" x14ac:dyDescent="0.3">
      <c r="O1392" t="str">
        <f t="shared" si="22"/>
        <v/>
      </c>
    </row>
    <row r="1393" spans="15:15" x14ac:dyDescent="0.3">
      <c r="O1393" t="str">
        <f t="shared" si="22"/>
        <v/>
      </c>
    </row>
    <row r="1394" spans="15:15" x14ac:dyDescent="0.3">
      <c r="O1394" t="str">
        <f t="shared" si="22"/>
        <v/>
      </c>
    </row>
    <row r="1395" spans="15:15" x14ac:dyDescent="0.3">
      <c r="O1395" t="str">
        <f t="shared" si="22"/>
        <v/>
      </c>
    </row>
    <row r="1396" spans="15:15" x14ac:dyDescent="0.3">
      <c r="O1396" t="str">
        <f t="shared" si="22"/>
        <v/>
      </c>
    </row>
    <row r="1397" spans="15:15" x14ac:dyDescent="0.3">
      <c r="O1397" t="str">
        <f t="shared" si="22"/>
        <v/>
      </c>
    </row>
    <row r="1398" spans="15:15" x14ac:dyDescent="0.3">
      <c r="O1398" t="str">
        <f t="shared" si="22"/>
        <v/>
      </c>
    </row>
    <row r="1399" spans="15:15" x14ac:dyDescent="0.3">
      <c r="O1399" t="str">
        <f t="shared" si="22"/>
        <v/>
      </c>
    </row>
    <row r="1400" spans="15:15" x14ac:dyDescent="0.3">
      <c r="O1400" t="str">
        <f t="shared" si="22"/>
        <v/>
      </c>
    </row>
    <row r="1401" spans="15:15" x14ac:dyDescent="0.3">
      <c r="O1401" t="str">
        <f t="shared" si="22"/>
        <v/>
      </c>
    </row>
    <row r="1402" spans="15:15" x14ac:dyDescent="0.3">
      <c r="O1402" t="str">
        <f t="shared" si="22"/>
        <v/>
      </c>
    </row>
    <row r="1403" spans="15:15" x14ac:dyDescent="0.3">
      <c r="O1403" t="str">
        <f t="shared" si="22"/>
        <v/>
      </c>
    </row>
    <row r="1404" spans="15:15" x14ac:dyDescent="0.3">
      <c r="O1404" t="str">
        <f t="shared" si="22"/>
        <v/>
      </c>
    </row>
    <row r="1405" spans="15:15" x14ac:dyDescent="0.3">
      <c r="O1405" t="str">
        <f t="shared" si="22"/>
        <v/>
      </c>
    </row>
    <row r="1406" spans="15:15" x14ac:dyDescent="0.3">
      <c r="O1406" t="str">
        <f t="shared" si="22"/>
        <v/>
      </c>
    </row>
    <row r="1407" spans="15:15" x14ac:dyDescent="0.3">
      <c r="O1407" t="str">
        <f t="shared" si="22"/>
        <v/>
      </c>
    </row>
    <row r="1408" spans="15:15" x14ac:dyDescent="0.3">
      <c r="O1408" t="str">
        <f t="shared" si="22"/>
        <v/>
      </c>
    </row>
    <row r="1409" spans="15:15" x14ac:dyDescent="0.3">
      <c r="O1409" t="str">
        <f t="shared" si="22"/>
        <v/>
      </c>
    </row>
    <row r="1410" spans="15:15" x14ac:dyDescent="0.3">
      <c r="O1410" t="str">
        <f t="shared" si="22"/>
        <v/>
      </c>
    </row>
    <row r="1411" spans="15:15" x14ac:dyDescent="0.3">
      <c r="O1411" t="str">
        <f t="shared" si="22"/>
        <v/>
      </c>
    </row>
    <row r="1412" spans="15:15" x14ac:dyDescent="0.3">
      <c r="O1412" t="str">
        <f t="shared" si="22"/>
        <v/>
      </c>
    </row>
    <row r="1413" spans="15:15" x14ac:dyDescent="0.3">
      <c r="O1413" t="str">
        <f t="shared" si="22"/>
        <v/>
      </c>
    </row>
    <row r="1414" spans="15:15" x14ac:dyDescent="0.3">
      <c r="O1414" t="str">
        <f t="shared" si="22"/>
        <v/>
      </c>
    </row>
    <row r="1415" spans="15:15" x14ac:dyDescent="0.3">
      <c r="O1415" t="str">
        <f t="shared" si="22"/>
        <v/>
      </c>
    </row>
    <row r="1416" spans="15:15" x14ac:dyDescent="0.3">
      <c r="O1416" t="str">
        <f t="shared" si="22"/>
        <v/>
      </c>
    </row>
    <row r="1417" spans="15:15" x14ac:dyDescent="0.3">
      <c r="O1417" t="str">
        <f t="shared" si="22"/>
        <v/>
      </c>
    </row>
    <row r="1418" spans="15:15" x14ac:dyDescent="0.3">
      <c r="O1418" t="str">
        <f t="shared" ref="O1418:O1481" si="23">IF(P1418="","",O1417+1)</f>
        <v/>
      </c>
    </row>
    <row r="1419" spans="15:15" x14ac:dyDescent="0.3">
      <c r="O1419" t="str">
        <f t="shared" si="23"/>
        <v/>
      </c>
    </row>
    <row r="1420" spans="15:15" x14ac:dyDescent="0.3">
      <c r="O1420" t="str">
        <f t="shared" si="23"/>
        <v/>
      </c>
    </row>
    <row r="1421" spans="15:15" x14ac:dyDescent="0.3">
      <c r="O1421" t="str">
        <f t="shared" si="23"/>
        <v/>
      </c>
    </row>
    <row r="1422" spans="15:15" x14ac:dyDescent="0.3">
      <c r="O1422" t="str">
        <f t="shared" si="23"/>
        <v/>
      </c>
    </row>
    <row r="1423" spans="15:15" x14ac:dyDescent="0.3">
      <c r="O1423" t="str">
        <f t="shared" si="23"/>
        <v/>
      </c>
    </row>
    <row r="1424" spans="15:15" x14ac:dyDescent="0.3">
      <c r="O1424" t="str">
        <f t="shared" si="23"/>
        <v/>
      </c>
    </row>
    <row r="1425" spans="15:15" x14ac:dyDescent="0.3">
      <c r="O1425" t="str">
        <f t="shared" si="23"/>
        <v/>
      </c>
    </row>
    <row r="1426" spans="15:15" x14ac:dyDescent="0.3">
      <c r="O1426" t="str">
        <f t="shared" si="23"/>
        <v/>
      </c>
    </row>
    <row r="1427" spans="15:15" x14ac:dyDescent="0.3">
      <c r="O1427" t="str">
        <f t="shared" si="23"/>
        <v/>
      </c>
    </row>
    <row r="1428" spans="15:15" x14ac:dyDescent="0.3">
      <c r="O1428" t="str">
        <f t="shared" si="23"/>
        <v/>
      </c>
    </row>
    <row r="1429" spans="15:15" x14ac:dyDescent="0.3">
      <c r="O1429" t="str">
        <f t="shared" si="23"/>
        <v/>
      </c>
    </row>
    <row r="1430" spans="15:15" x14ac:dyDescent="0.3">
      <c r="O1430" t="str">
        <f t="shared" si="23"/>
        <v/>
      </c>
    </row>
    <row r="1431" spans="15:15" x14ac:dyDescent="0.3">
      <c r="O1431" t="str">
        <f t="shared" si="23"/>
        <v/>
      </c>
    </row>
    <row r="1432" spans="15:15" x14ac:dyDescent="0.3">
      <c r="O1432" t="str">
        <f t="shared" si="23"/>
        <v/>
      </c>
    </row>
    <row r="1433" spans="15:15" x14ac:dyDescent="0.3">
      <c r="O1433" t="str">
        <f t="shared" si="23"/>
        <v/>
      </c>
    </row>
    <row r="1434" spans="15:15" x14ac:dyDescent="0.3">
      <c r="O1434" t="str">
        <f t="shared" si="23"/>
        <v/>
      </c>
    </row>
    <row r="1435" spans="15:15" x14ac:dyDescent="0.3">
      <c r="O1435" t="str">
        <f t="shared" si="23"/>
        <v/>
      </c>
    </row>
    <row r="1436" spans="15:15" x14ac:dyDescent="0.3">
      <c r="O1436" t="str">
        <f t="shared" si="23"/>
        <v/>
      </c>
    </row>
    <row r="1437" spans="15:15" x14ac:dyDescent="0.3">
      <c r="O1437" t="str">
        <f t="shared" si="23"/>
        <v/>
      </c>
    </row>
    <row r="1438" spans="15:15" x14ac:dyDescent="0.3">
      <c r="O1438" t="str">
        <f t="shared" si="23"/>
        <v/>
      </c>
    </row>
    <row r="1439" spans="15:15" x14ac:dyDescent="0.3">
      <c r="O1439" t="str">
        <f t="shared" si="23"/>
        <v/>
      </c>
    </row>
    <row r="1440" spans="15:15" x14ac:dyDescent="0.3">
      <c r="O1440" t="str">
        <f t="shared" si="23"/>
        <v/>
      </c>
    </row>
    <row r="1441" spans="15:15" x14ac:dyDescent="0.3">
      <c r="O1441" t="str">
        <f t="shared" si="23"/>
        <v/>
      </c>
    </row>
    <row r="1442" spans="15:15" x14ac:dyDescent="0.3">
      <c r="O1442" t="str">
        <f t="shared" si="23"/>
        <v/>
      </c>
    </row>
    <row r="1443" spans="15:15" x14ac:dyDescent="0.3">
      <c r="O1443" t="str">
        <f t="shared" si="23"/>
        <v/>
      </c>
    </row>
    <row r="1444" spans="15:15" x14ac:dyDescent="0.3">
      <c r="O1444" t="str">
        <f t="shared" si="23"/>
        <v/>
      </c>
    </row>
    <row r="1445" spans="15:15" x14ac:dyDescent="0.3">
      <c r="O1445" t="str">
        <f t="shared" si="23"/>
        <v/>
      </c>
    </row>
    <row r="1446" spans="15:15" x14ac:dyDescent="0.3">
      <c r="O1446" t="str">
        <f t="shared" si="23"/>
        <v/>
      </c>
    </row>
    <row r="1447" spans="15:15" x14ac:dyDescent="0.3">
      <c r="O1447" t="str">
        <f t="shared" si="23"/>
        <v/>
      </c>
    </row>
    <row r="1448" spans="15:15" x14ac:dyDescent="0.3">
      <c r="O1448" t="str">
        <f t="shared" si="23"/>
        <v/>
      </c>
    </row>
    <row r="1449" spans="15:15" x14ac:dyDescent="0.3">
      <c r="O1449" t="str">
        <f t="shared" si="23"/>
        <v/>
      </c>
    </row>
    <row r="1450" spans="15:15" x14ac:dyDescent="0.3">
      <c r="O1450" t="str">
        <f t="shared" si="23"/>
        <v/>
      </c>
    </row>
    <row r="1451" spans="15:15" x14ac:dyDescent="0.3">
      <c r="O1451" t="str">
        <f t="shared" si="23"/>
        <v/>
      </c>
    </row>
    <row r="1452" spans="15:15" x14ac:dyDescent="0.3">
      <c r="O1452" t="str">
        <f t="shared" si="23"/>
        <v/>
      </c>
    </row>
    <row r="1453" spans="15:15" x14ac:dyDescent="0.3">
      <c r="O1453" t="str">
        <f t="shared" si="23"/>
        <v/>
      </c>
    </row>
    <row r="1454" spans="15:15" x14ac:dyDescent="0.3">
      <c r="O1454" t="str">
        <f t="shared" si="23"/>
        <v/>
      </c>
    </row>
    <row r="1455" spans="15:15" x14ac:dyDescent="0.3">
      <c r="O1455" t="str">
        <f t="shared" si="23"/>
        <v/>
      </c>
    </row>
    <row r="1456" spans="15:15" x14ac:dyDescent="0.3">
      <c r="O1456" t="str">
        <f t="shared" si="23"/>
        <v/>
      </c>
    </row>
    <row r="1457" spans="15:15" x14ac:dyDescent="0.3">
      <c r="O1457" t="str">
        <f t="shared" si="23"/>
        <v/>
      </c>
    </row>
    <row r="1458" spans="15:15" x14ac:dyDescent="0.3">
      <c r="O1458" t="str">
        <f t="shared" si="23"/>
        <v/>
      </c>
    </row>
    <row r="1459" spans="15:15" x14ac:dyDescent="0.3">
      <c r="O1459" t="str">
        <f t="shared" si="23"/>
        <v/>
      </c>
    </row>
    <row r="1460" spans="15:15" x14ac:dyDescent="0.3">
      <c r="O1460" t="str">
        <f t="shared" si="23"/>
        <v/>
      </c>
    </row>
    <row r="1461" spans="15:15" x14ac:dyDescent="0.3">
      <c r="O1461" t="str">
        <f t="shared" si="23"/>
        <v/>
      </c>
    </row>
    <row r="1462" spans="15:15" x14ac:dyDescent="0.3">
      <c r="O1462" t="str">
        <f t="shared" si="23"/>
        <v/>
      </c>
    </row>
    <row r="1463" spans="15:15" x14ac:dyDescent="0.3">
      <c r="O1463" t="str">
        <f t="shared" si="23"/>
        <v/>
      </c>
    </row>
    <row r="1464" spans="15:15" x14ac:dyDescent="0.3">
      <c r="O1464" t="str">
        <f t="shared" si="23"/>
        <v/>
      </c>
    </row>
    <row r="1465" spans="15:15" x14ac:dyDescent="0.3">
      <c r="O1465" t="str">
        <f t="shared" si="23"/>
        <v/>
      </c>
    </row>
    <row r="1466" spans="15:15" x14ac:dyDescent="0.3">
      <c r="O1466" t="str">
        <f t="shared" si="23"/>
        <v/>
      </c>
    </row>
    <row r="1467" spans="15:15" x14ac:dyDescent="0.3">
      <c r="O1467" t="str">
        <f t="shared" si="23"/>
        <v/>
      </c>
    </row>
    <row r="1468" spans="15:15" x14ac:dyDescent="0.3">
      <c r="O1468" t="str">
        <f t="shared" si="23"/>
        <v/>
      </c>
    </row>
    <row r="1469" spans="15:15" x14ac:dyDescent="0.3">
      <c r="O1469" t="str">
        <f t="shared" si="23"/>
        <v/>
      </c>
    </row>
    <row r="1470" spans="15:15" x14ac:dyDescent="0.3">
      <c r="O1470" t="str">
        <f t="shared" si="23"/>
        <v/>
      </c>
    </row>
    <row r="1471" spans="15:15" x14ac:dyDescent="0.3">
      <c r="O1471" t="str">
        <f t="shared" si="23"/>
        <v/>
      </c>
    </row>
    <row r="1472" spans="15:15" x14ac:dyDescent="0.3">
      <c r="O1472" t="str">
        <f t="shared" si="23"/>
        <v/>
      </c>
    </row>
    <row r="1473" spans="15:15" x14ac:dyDescent="0.3">
      <c r="O1473" t="str">
        <f t="shared" si="23"/>
        <v/>
      </c>
    </row>
    <row r="1474" spans="15:15" x14ac:dyDescent="0.3">
      <c r="O1474" t="str">
        <f t="shared" si="23"/>
        <v/>
      </c>
    </row>
    <row r="1475" spans="15:15" x14ac:dyDescent="0.3">
      <c r="O1475" t="str">
        <f t="shared" si="23"/>
        <v/>
      </c>
    </row>
    <row r="1476" spans="15:15" x14ac:dyDescent="0.3">
      <c r="O1476" t="str">
        <f t="shared" si="23"/>
        <v/>
      </c>
    </row>
    <row r="1477" spans="15:15" x14ac:dyDescent="0.3">
      <c r="O1477" t="str">
        <f t="shared" si="23"/>
        <v/>
      </c>
    </row>
    <row r="1478" spans="15:15" x14ac:dyDescent="0.3">
      <c r="O1478" t="str">
        <f t="shared" si="23"/>
        <v/>
      </c>
    </row>
    <row r="1479" spans="15:15" x14ac:dyDescent="0.3">
      <c r="O1479" t="str">
        <f t="shared" si="23"/>
        <v/>
      </c>
    </row>
    <row r="1480" spans="15:15" x14ac:dyDescent="0.3">
      <c r="O1480" t="str">
        <f t="shared" si="23"/>
        <v/>
      </c>
    </row>
    <row r="1481" spans="15:15" x14ac:dyDescent="0.3">
      <c r="O1481" t="str">
        <f t="shared" si="23"/>
        <v/>
      </c>
    </row>
    <row r="1482" spans="15:15" x14ac:dyDescent="0.3">
      <c r="O1482" t="str">
        <f t="shared" ref="O1482:O1545" si="24">IF(P1482="","",O1481+1)</f>
        <v/>
      </c>
    </row>
    <row r="1483" spans="15:15" x14ac:dyDescent="0.3">
      <c r="O1483" t="str">
        <f t="shared" si="24"/>
        <v/>
      </c>
    </row>
    <row r="1484" spans="15:15" x14ac:dyDescent="0.3">
      <c r="O1484" t="str">
        <f t="shared" si="24"/>
        <v/>
      </c>
    </row>
    <row r="1485" spans="15:15" x14ac:dyDescent="0.3">
      <c r="O1485" t="str">
        <f t="shared" si="24"/>
        <v/>
      </c>
    </row>
    <row r="1486" spans="15:15" x14ac:dyDescent="0.3">
      <c r="O1486" t="str">
        <f t="shared" si="24"/>
        <v/>
      </c>
    </row>
    <row r="1487" spans="15:15" x14ac:dyDescent="0.3">
      <c r="O1487" t="str">
        <f t="shared" si="24"/>
        <v/>
      </c>
    </row>
    <row r="1488" spans="15:15" x14ac:dyDescent="0.3">
      <c r="O1488" t="str">
        <f t="shared" si="24"/>
        <v/>
      </c>
    </row>
    <row r="1489" spans="15:15" x14ac:dyDescent="0.3">
      <c r="O1489" t="str">
        <f t="shared" si="24"/>
        <v/>
      </c>
    </row>
    <row r="1490" spans="15:15" x14ac:dyDescent="0.3">
      <c r="O1490" t="str">
        <f t="shared" si="24"/>
        <v/>
      </c>
    </row>
    <row r="1491" spans="15:15" x14ac:dyDescent="0.3">
      <c r="O1491" t="str">
        <f t="shared" si="24"/>
        <v/>
      </c>
    </row>
    <row r="1492" spans="15:15" x14ac:dyDescent="0.3">
      <c r="O1492" t="str">
        <f t="shared" si="24"/>
        <v/>
      </c>
    </row>
    <row r="1493" spans="15:15" x14ac:dyDescent="0.3">
      <c r="O1493" t="str">
        <f t="shared" si="24"/>
        <v/>
      </c>
    </row>
    <row r="1494" spans="15:15" x14ac:dyDescent="0.3">
      <c r="O1494" t="str">
        <f t="shared" si="24"/>
        <v/>
      </c>
    </row>
    <row r="1495" spans="15:15" x14ac:dyDescent="0.3">
      <c r="O1495" t="str">
        <f t="shared" si="24"/>
        <v/>
      </c>
    </row>
    <row r="1496" spans="15:15" x14ac:dyDescent="0.3">
      <c r="O1496" t="str">
        <f t="shared" si="24"/>
        <v/>
      </c>
    </row>
    <row r="1497" spans="15:15" x14ac:dyDescent="0.3">
      <c r="O1497" t="str">
        <f t="shared" si="24"/>
        <v/>
      </c>
    </row>
    <row r="1498" spans="15:15" x14ac:dyDescent="0.3">
      <c r="O1498" t="str">
        <f t="shared" si="24"/>
        <v/>
      </c>
    </row>
    <row r="1499" spans="15:15" x14ac:dyDescent="0.3">
      <c r="O1499" t="str">
        <f t="shared" si="24"/>
        <v/>
      </c>
    </row>
    <row r="1500" spans="15:15" x14ac:dyDescent="0.3">
      <c r="O1500" t="str">
        <f t="shared" si="24"/>
        <v/>
      </c>
    </row>
    <row r="1501" spans="15:15" x14ac:dyDescent="0.3">
      <c r="O1501" t="str">
        <f t="shared" si="24"/>
        <v/>
      </c>
    </row>
    <row r="1502" spans="15:15" x14ac:dyDescent="0.3">
      <c r="O1502" t="str">
        <f t="shared" si="24"/>
        <v/>
      </c>
    </row>
    <row r="1503" spans="15:15" x14ac:dyDescent="0.3">
      <c r="O1503" t="str">
        <f t="shared" si="24"/>
        <v/>
      </c>
    </row>
    <row r="1504" spans="15:15" x14ac:dyDescent="0.3">
      <c r="O1504" t="str">
        <f t="shared" si="24"/>
        <v/>
      </c>
    </row>
    <row r="1505" spans="15:15" x14ac:dyDescent="0.3">
      <c r="O1505" t="str">
        <f t="shared" si="24"/>
        <v/>
      </c>
    </row>
    <row r="1506" spans="15:15" x14ac:dyDescent="0.3">
      <c r="O1506" t="str">
        <f t="shared" si="24"/>
        <v/>
      </c>
    </row>
    <row r="1507" spans="15:15" x14ac:dyDescent="0.3">
      <c r="O1507" t="str">
        <f t="shared" si="24"/>
        <v/>
      </c>
    </row>
    <row r="1508" spans="15:15" x14ac:dyDescent="0.3">
      <c r="O1508" t="str">
        <f t="shared" si="24"/>
        <v/>
      </c>
    </row>
    <row r="1509" spans="15:15" x14ac:dyDescent="0.3">
      <c r="O1509" t="str">
        <f t="shared" si="24"/>
        <v/>
      </c>
    </row>
    <row r="1510" spans="15:15" x14ac:dyDescent="0.3">
      <c r="O1510" t="str">
        <f t="shared" si="24"/>
        <v/>
      </c>
    </row>
    <row r="1511" spans="15:15" x14ac:dyDescent="0.3">
      <c r="O1511" t="str">
        <f t="shared" si="24"/>
        <v/>
      </c>
    </row>
    <row r="1512" spans="15:15" x14ac:dyDescent="0.3">
      <c r="O1512" t="str">
        <f t="shared" si="24"/>
        <v/>
      </c>
    </row>
    <row r="1513" spans="15:15" x14ac:dyDescent="0.3">
      <c r="O1513" t="str">
        <f t="shared" si="24"/>
        <v/>
      </c>
    </row>
    <row r="1514" spans="15:15" x14ac:dyDescent="0.3">
      <c r="O1514" t="str">
        <f t="shared" si="24"/>
        <v/>
      </c>
    </row>
    <row r="1515" spans="15:15" x14ac:dyDescent="0.3">
      <c r="O1515" t="str">
        <f t="shared" si="24"/>
        <v/>
      </c>
    </row>
    <row r="1516" spans="15:15" x14ac:dyDescent="0.3">
      <c r="O1516" t="str">
        <f t="shared" si="24"/>
        <v/>
      </c>
    </row>
    <row r="1517" spans="15:15" x14ac:dyDescent="0.3">
      <c r="O1517" t="str">
        <f t="shared" si="24"/>
        <v/>
      </c>
    </row>
    <row r="1518" spans="15:15" x14ac:dyDescent="0.3">
      <c r="O1518" t="str">
        <f t="shared" si="24"/>
        <v/>
      </c>
    </row>
    <row r="1519" spans="15:15" x14ac:dyDescent="0.3">
      <c r="O1519" t="str">
        <f t="shared" si="24"/>
        <v/>
      </c>
    </row>
    <row r="1520" spans="15:15" x14ac:dyDescent="0.3">
      <c r="O1520" t="str">
        <f t="shared" si="24"/>
        <v/>
      </c>
    </row>
    <row r="1521" spans="15:15" x14ac:dyDescent="0.3">
      <c r="O1521" t="str">
        <f t="shared" si="24"/>
        <v/>
      </c>
    </row>
    <row r="1522" spans="15:15" x14ac:dyDescent="0.3">
      <c r="O1522" t="str">
        <f t="shared" si="24"/>
        <v/>
      </c>
    </row>
    <row r="1523" spans="15:15" x14ac:dyDescent="0.3">
      <c r="O1523" t="str">
        <f t="shared" si="24"/>
        <v/>
      </c>
    </row>
    <row r="1524" spans="15:15" x14ac:dyDescent="0.3">
      <c r="O1524" t="str">
        <f t="shared" si="24"/>
        <v/>
      </c>
    </row>
    <row r="1525" spans="15:15" x14ac:dyDescent="0.3">
      <c r="O1525" t="str">
        <f t="shared" si="24"/>
        <v/>
      </c>
    </row>
    <row r="1526" spans="15:15" x14ac:dyDescent="0.3">
      <c r="O1526" t="str">
        <f t="shared" si="24"/>
        <v/>
      </c>
    </row>
    <row r="1527" spans="15:15" x14ac:dyDescent="0.3">
      <c r="O1527" t="str">
        <f t="shared" si="24"/>
        <v/>
      </c>
    </row>
    <row r="1528" spans="15:15" x14ac:dyDescent="0.3">
      <c r="O1528" t="str">
        <f t="shared" si="24"/>
        <v/>
      </c>
    </row>
    <row r="1529" spans="15:15" x14ac:dyDescent="0.3">
      <c r="O1529" t="str">
        <f t="shared" si="24"/>
        <v/>
      </c>
    </row>
    <row r="1530" spans="15:15" x14ac:dyDescent="0.3">
      <c r="O1530" t="str">
        <f t="shared" si="24"/>
        <v/>
      </c>
    </row>
    <row r="1531" spans="15:15" x14ac:dyDescent="0.3">
      <c r="O1531" t="str">
        <f t="shared" si="24"/>
        <v/>
      </c>
    </row>
    <row r="1532" spans="15:15" x14ac:dyDescent="0.3">
      <c r="O1532" t="str">
        <f t="shared" si="24"/>
        <v/>
      </c>
    </row>
    <row r="1533" spans="15:15" x14ac:dyDescent="0.3">
      <c r="O1533" t="str">
        <f t="shared" si="24"/>
        <v/>
      </c>
    </row>
    <row r="1534" spans="15:15" x14ac:dyDescent="0.3">
      <c r="O1534" t="str">
        <f t="shared" si="24"/>
        <v/>
      </c>
    </row>
    <row r="1535" spans="15:15" x14ac:dyDescent="0.3">
      <c r="O1535" t="str">
        <f t="shared" si="24"/>
        <v/>
      </c>
    </row>
    <row r="1536" spans="15:15" x14ac:dyDescent="0.3">
      <c r="O1536" t="str">
        <f t="shared" si="24"/>
        <v/>
      </c>
    </row>
    <row r="1537" spans="15:15" x14ac:dyDescent="0.3">
      <c r="O1537" t="str">
        <f t="shared" si="24"/>
        <v/>
      </c>
    </row>
    <row r="1538" spans="15:15" x14ac:dyDescent="0.3">
      <c r="O1538" t="str">
        <f t="shared" si="24"/>
        <v/>
      </c>
    </row>
    <row r="1539" spans="15:15" x14ac:dyDescent="0.3">
      <c r="O1539" t="str">
        <f t="shared" si="24"/>
        <v/>
      </c>
    </row>
    <row r="1540" spans="15:15" x14ac:dyDescent="0.3">
      <c r="O1540" t="str">
        <f t="shared" si="24"/>
        <v/>
      </c>
    </row>
    <row r="1541" spans="15:15" x14ac:dyDescent="0.3">
      <c r="O1541" t="str">
        <f t="shared" si="24"/>
        <v/>
      </c>
    </row>
    <row r="1542" spans="15:15" x14ac:dyDescent="0.3">
      <c r="O1542" t="str">
        <f t="shared" si="24"/>
        <v/>
      </c>
    </row>
    <row r="1543" spans="15:15" x14ac:dyDescent="0.3">
      <c r="O1543" t="str">
        <f t="shared" si="24"/>
        <v/>
      </c>
    </row>
    <row r="1544" spans="15:15" x14ac:dyDescent="0.3">
      <c r="O1544" t="str">
        <f t="shared" si="24"/>
        <v/>
      </c>
    </row>
    <row r="1545" spans="15:15" x14ac:dyDescent="0.3">
      <c r="O1545" t="str">
        <f t="shared" si="24"/>
        <v/>
      </c>
    </row>
    <row r="1546" spans="15:15" x14ac:dyDescent="0.3">
      <c r="O1546" t="str">
        <f t="shared" ref="O1546:O1609" si="25">IF(P1546="","",O1545+1)</f>
        <v/>
      </c>
    </row>
    <row r="1547" spans="15:15" x14ac:dyDescent="0.3">
      <c r="O1547" t="str">
        <f t="shared" si="25"/>
        <v/>
      </c>
    </row>
    <row r="1548" spans="15:15" x14ac:dyDescent="0.3">
      <c r="O1548" t="str">
        <f t="shared" si="25"/>
        <v/>
      </c>
    </row>
    <row r="1549" spans="15:15" x14ac:dyDescent="0.3">
      <c r="O1549" t="str">
        <f t="shared" si="25"/>
        <v/>
      </c>
    </row>
    <row r="1550" spans="15:15" x14ac:dyDescent="0.3">
      <c r="O1550" t="str">
        <f t="shared" si="25"/>
        <v/>
      </c>
    </row>
    <row r="1551" spans="15:15" x14ac:dyDescent="0.3">
      <c r="O1551" t="str">
        <f t="shared" si="25"/>
        <v/>
      </c>
    </row>
    <row r="1552" spans="15:15" x14ac:dyDescent="0.3">
      <c r="O1552" t="str">
        <f t="shared" si="25"/>
        <v/>
      </c>
    </row>
    <row r="1553" spans="15:15" x14ac:dyDescent="0.3">
      <c r="O1553" t="str">
        <f t="shared" si="25"/>
        <v/>
      </c>
    </row>
    <row r="1554" spans="15:15" x14ac:dyDescent="0.3">
      <c r="O1554" t="str">
        <f t="shared" si="25"/>
        <v/>
      </c>
    </row>
    <row r="1555" spans="15:15" x14ac:dyDescent="0.3">
      <c r="O1555" t="str">
        <f t="shared" si="25"/>
        <v/>
      </c>
    </row>
    <row r="1556" spans="15:15" x14ac:dyDescent="0.3">
      <c r="O1556" t="str">
        <f t="shared" si="25"/>
        <v/>
      </c>
    </row>
    <row r="1557" spans="15:15" x14ac:dyDescent="0.3">
      <c r="O1557" t="str">
        <f t="shared" si="25"/>
        <v/>
      </c>
    </row>
    <row r="1558" spans="15:15" x14ac:dyDescent="0.3">
      <c r="O1558" t="str">
        <f t="shared" si="25"/>
        <v/>
      </c>
    </row>
    <row r="1559" spans="15:15" x14ac:dyDescent="0.3">
      <c r="O1559" t="str">
        <f t="shared" si="25"/>
        <v/>
      </c>
    </row>
    <row r="1560" spans="15:15" x14ac:dyDescent="0.3">
      <c r="O1560" t="str">
        <f t="shared" si="25"/>
        <v/>
      </c>
    </row>
    <row r="1561" spans="15:15" x14ac:dyDescent="0.3">
      <c r="O1561" t="str">
        <f t="shared" si="25"/>
        <v/>
      </c>
    </row>
    <row r="1562" spans="15:15" x14ac:dyDescent="0.3">
      <c r="O1562" t="str">
        <f t="shared" si="25"/>
        <v/>
      </c>
    </row>
    <row r="1563" spans="15:15" x14ac:dyDescent="0.3">
      <c r="O1563" t="str">
        <f t="shared" si="25"/>
        <v/>
      </c>
    </row>
    <row r="1564" spans="15:15" x14ac:dyDescent="0.3">
      <c r="O1564" t="str">
        <f t="shared" si="25"/>
        <v/>
      </c>
    </row>
    <row r="1565" spans="15:15" x14ac:dyDescent="0.3">
      <c r="O1565" t="str">
        <f t="shared" si="25"/>
        <v/>
      </c>
    </row>
    <row r="1566" spans="15:15" x14ac:dyDescent="0.3">
      <c r="O1566" t="str">
        <f t="shared" si="25"/>
        <v/>
      </c>
    </row>
    <row r="1567" spans="15:15" x14ac:dyDescent="0.3">
      <c r="O1567" t="str">
        <f t="shared" si="25"/>
        <v/>
      </c>
    </row>
    <row r="1568" spans="15:15" x14ac:dyDescent="0.3">
      <c r="O1568" t="str">
        <f t="shared" si="25"/>
        <v/>
      </c>
    </row>
    <row r="1569" spans="15:15" x14ac:dyDescent="0.3">
      <c r="O1569" t="str">
        <f t="shared" si="25"/>
        <v/>
      </c>
    </row>
    <row r="1570" spans="15:15" x14ac:dyDescent="0.3">
      <c r="O1570" t="str">
        <f t="shared" si="25"/>
        <v/>
      </c>
    </row>
    <row r="1571" spans="15:15" x14ac:dyDescent="0.3">
      <c r="O1571" t="str">
        <f t="shared" si="25"/>
        <v/>
      </c>
    </row>
    <row r="1572" spans="15:15" x14ac:dyDescent="0.3">
      <c r="O1572" t="str">
        <f t="shared" si="25"/>
        <v/>
      </c>
    </row>
    <row r="1573" spans="15:15" x14ac:dyDescent="0.3">
      <c r="O1573" t="str">
        <f t="shared" si="25"/>
        <v/>
      </c>
    </row>
    <row r="1574" spans="15:15" x14ac:dyDescent="0.3">
      <c r="O1574" t="str">
        <f t="shared" si="25"/>
        <v/>
      </c>
    </row>
    <row r="1575" spans="15:15" x14ac:dyDescent="0.3">
      <c r="O1575" t="str">
        <f t="shared" si="25"/>
        <v/>
      </c>
    </row>
    <row r="1576" spans="15:15" x14ac:dyDescent="0.3">
      <c r="O1576" t="str">
        <f t="shared" si="25"/>
        <v/>
      </c>
    </row>
    <row r="1577" spans="15:15" x14ac:dyDescent="0.3">
      <c r="O1577" t="str">
        <f t="shared" si="25"/>
        <v/>
      </c>
    </row>
    <row r="1578" spans="15:15" x14ac:dyDescent="0.3">
      <c r="O1578" t="str">
        <f t="shared" si="25"/>
        <v/>
      </c>
    </row>
    <row r="1579" spans="15:15" x14ac:dyDescent="0.3">
      <c r="O1579" t="str">
        <f t="shared" si="25"/>
        <v/>
      </c>
    </row>
    <row r="1580" spans="15:15" x14ac:dyDescent="0.3">
      <c r="O1580" t="str">
        <f t="shared" si="25"/>
        <v/>
      </c>
    </row>
    <row r="1581" spans="15:15" x14ac:dyDescent="0.3">
      <c r="O1581" t="str">
        <f t="shared" si="25"/>
        <v/>
      </c>
    </row>
    <row r="1582" spans="15:15" x14ac:dyDescent="0.3">
      <c r="O1582" t="str">
        <f t="shared" si="25"/>
        <v/>
      </c>
    </row>
    <row r="1583" spans="15:15" x14ac:dyDescent="0.3">
      <c r="O1583" t="str">
        <f t="shared" si="25"/>
        <v/>
      </c>
    </row>
    <row r="1584" spans="15:15" x14ac:dyDescent="0.3">
      <c r="O1584" t="str">
        <f t="shared" si="25"/>
        <v/>
      </c>
    </row>
    <row r="1585" spans="15:15" x14ac:dyDescent="0.3">
      <c r="O1585" t="str">
        <f t="shared" si="25"/>
        <v/>
      </c>
    </row>
    <row r="1586" spans="15:15" x14ac:dyDescent="0.3">
      <c r="O1586" t="str">
        <f t="shared" si="25"/>
        <v/>
      </c>
    </row>
    <row r="1587" spans="15:15" x14ac:dyDescent="0.3">
      <c r="O1587" t="str">
        <f t="shared" si="25"/>
        <v/>
      </c>
    </row>
    <row r="1588" spans="15:15" x14ac:dyDescent="0.3">
      <c r="O1588" t="str">
        <f t="shared" si="25"/>
        <v/>
      </c>
    </row>
    <row r="1589" spans="15:15" x14ac:dyDescent="0.3">
      <c r="O1589" t="str">
        <f t="shared" si="25"/>
        <v/>
      </c>
    </row>
    <row r="1590" spans="15:15" x14ac:dyDescent="0.3">
      <c r="O1590" t="str">
        <f t="shared" si="25"/>
        <v/>
      </c>
    </row>
    <row r="1591" spans="15:15" x14ac:dyDescent="0.3">
      <c r="O1591" t="str">
        <f t="shared" si="25"/>
        <v/>
      </c>
    </row>
    <row r="1592" spans="15:15" x14ac:dyDescent="0.3">
      <c r="O1592" t="str">
        <f t="shared" si="25"/>
        <v/>
      </c>
    </row>
    <row r="1593" spans="15:15" x14ac:dyDescent="0.3">
      <c r="O1593" t="str">
        <f t="shared" si="25"/>
        <v/>
      </c>
    </row>
    <row r="1594" spans="15:15" x14ac:dyDescent="0.3">
      <c r="O1594" t="str">
        <f t="shared" si="25"/>
        <v/>
      </c>
    </row>
    <row r="1595" spans="15:15" x14ac:dyDescent="0.3">
      <c r="O1595" t="str">
        <f t="shared" si="25"/>
        <v/>
      </c>
    </row>
    <row r="1596" spans="15:15" x14ac:dyDescent="0.3">
      <c r="O1596" t="str">
        <f t="shared" si="25"/>
        <v/>
      </c>
    </row>
    <row r="1597" spans="15:15" x14ac:dyDescent="0.3">
      <c r="O1597" t="str">
        <f t="shared" si="25"/>
        <v/>
      </c>
    </row>
    <row r="1598" spans="15:15" x14ac:dyDescent="0.3">
      <c r="O1598" t="str">
        <f t="shared" si="25"/>
        <v/>
      </c>
    </row>
    <row r="1599" spans="15:15" x14ac:dyDescent="0.3">
      <c r="O1599" t="str">
        <f t="shared" si="25"/>
        <v/>
      </c>
    </row>
    <row r="1600" spans="15:15" x14ac:dyDescent="0.3">
      <c r="O1600" t="str">
        <f t="shared" si="25"/>
        <v/>
      </c>
    </row>
    <row r="1601" spans="15:15" x14ac:dyDescent="0.3">
      <c r="O1601" t="str">
        <f t="shared" si="25"/>
        <v/>
      </c>
    </row>
    <row r="1602" spans="15:15" x14ac:dyDescent="0.3">
      <c r="O1602" t="str">
        <f t="shared" si="25"/>
        <v/>
      </c>
    </row>
    <row r="1603" spans="15:15" x14ac:dyDescent="0.3">
      <c r="O1603" t="str">
        <f t="shared" si="25"/>
        <v/>
      </c>
    </row>
    <row r="1604" spans="15:15" x14ac:dyDescent="0.3">
      <c r="O1604" t="str">
        <f t="shared" si="25"/>
        <v/>
      </c>
    </row>
    <row r="1605" spans="15:15" x14ac:dyDescent="0.3">
      <c r="O1605" t="str">
        <f t="shared" si="25"/>
        <v/>
      </c>
    </row>
    <row r="1606" spans="15:15" x14ac:dyDescent="0.3">
      <c r="O1606" t="str">
        <f t="shared" si="25"/>
        <v/>
      </c>
    </row>
    <row r="1607" spans="15:15" x14ac:dyDescent="0.3">
      <c r="O1607" t="str">
        <f t="shared" si="25"/>
        <v/>
      </c>
    </row>
    <row r="1608" spans="15:15" x14ac:dyDescent="0.3">
      <c r="O1608" t="str">
        <f t="shared" si="25"/>
        <v/>
      </c>
    </row>
    <row r="1609" spans="15:15" x14ac:dyDescent="0.3">
      <c r="O1609" t="str">
        <f t="shared" si="25"/>
        <v/>
      </c>
    </row>
    <row r="1610" spans="15:15" x14ac:dyDescent="0.3">
      <c r="O1610" t="str">
        <f t="shared" ref="O1610:O1673" si="26">IF(P1610="","",O1609+1)</f>
        <v/>
      </c>
    </row>
    <row r="1611" spans="15:15" x14ac:dyDescent="0.3">
      <c r="O1611" t="str">
        <f t="shared" si="26"/>
        <v/>
      </c>
    </row>
    <row r="1612" spans="15:15" x14ac:dyDescent="0.3">
      <c r="O1612" t="str">
        <f t="shared" si="26"/>
        <v/>
      </c>
    </row>
    <row r="1613" spans="15:15" x14ac:dyDescent="0.3">
      <c r="O1613" t="str">
        <f t="shared" si="26"/>
        <v/>
      </c>
    </row>
    <row r="1614" spans="15:15" x14ac:dyDescent="0.3">
      <c r="O1614" t="str">
        <f t="shared" si="26"/>
        <v/>
      </c>
    </row>
    <row r="1615" spans="15:15" x14ac:dyDescent="0.3">
      <c r="O1615" t="str">
        <f t="shared" si="26"/>
        <v/>
      </c>
    </row>
    <row r="1616" spans="15:15" x14ac:dyDescent="0.3">
      <c r="O1616" t="str">
        <f t="shared" si="26"/>
        <v/>
      </c>
    </row>
    <row r="1617" spans="15:15" x14ac:dyDescent="0.3">
      <c r="O1617" t="str">
        <f t="shared" si="26"/>
        <v/>
      </c>
    </row>
    <row r="1618" spans="15:15" x14ac:dyDescent="0.3">
      <c r="O1618" t="str">
        <f t="shared" si="26"/>
        <v/>
      </c>
    </row>
    <row r="1619" spans="15:15" x14ac:dyDescent="0.3">
      <c r="O1619" t="str">
        <f t="shared" si="26"/>
        <v/>
      </c>
    </row>
    <row r="1620" spans="15:15" x14ac:dyDescent="0.3">
      <c r="O1620" t="str">
        <f t="shared" si="26"/>
        <v/>
      </c>
    </row>
    <row r="1621" spans="15:15" x14ac:dyDescent="0.3">
      <c r="O1621" t="str">
        <f t="shared" si="26"/>
        <v/>
      </c>
    </row>
    <row r="1622" spans="15:15" x14ac:dyDescent="0.3">
      <c r="O1622" t="str">
        <f t="shared" si="26"/>
        <v/>
      </c>
    </row>
    <row r="1623" spans="15:15" x14ac:dyDescent="0.3">
      <c r="O1623" t="str">
        <f t="shared" si="26"/>
        <v/>
      </c>
    </row>
    <row r="1624" spans="15:15" x14ac:dyDescent="0.3">
      <c r="O1624" t="str">
        <f t="shared" si="26"/>
        <v/>
      </c>
    </row>
    <row r="1625" spans="15:15" x14ac:dyDescent="0.3">
      <c r="O1625" t="str">
        <f t="shared" si="26"/>
        <v/>
      </c>
    </row>
    <row r="1626" spans="15:15" x14ac:dyDescent="0.3">
      <c r="O1626" t="str">
        <f t="shared" si="26"/>
        <v/>
      </c>
    </row>
    <row r="1627" spans="15:15" x14ac:dyDescent="0.3">
      <c r="O1627" t="str">
        <f t="shared" si="26"/>
        <v/>
      </c>
    </row>
    <row r="1628" spans="15:15" x14ac:dyDescent="0.3">
      <c r="O1628" t="str">
        <f t="shared" si="26"/>
        <v/>
      </c>
    </row>
    <row r="1629" spans="15:15" x14ac:dyDescent="0.3">
      <c r="O1629" t="str">
        <f t="shared" si="26"/>
        <v/>
      </c>
    </row>
    <row r="1630" spans="15:15" x14ac:dyDescent="0.3">
      <c r="O1630" t="str">
        <f t="shared" si="26"/>
        <v/>
      </c>
    </row>
    <row r="1631" spans="15:15" x14ac:dyDescent="0.3">
      <c r="O1631" t="str">
        <f t="shared" si="26"/>
        <v/>
      </c>
    </row>
    <row r="1632" spans="15:15" x14ac:dyDescent="0.3">
      <c r="O1632" t="str">
        <f t="shared" si="26"/>
        <v/>
      </c>
    </row>
    <row r="1633" spans="15:15" x14ac:dyDescent="0.3">
      <c r="O1633" t="str">
        <f t="shared" si="26"/>
        <v/>
      </c>
    </row>
    <row r="1634" spans="15:15" x14ac:dyDescent="0.3">
      <c r="O1634" t="str">
        <f t="shared" si="26"/>
        <v/>
      </c>
    </row>
    <row r="1635" spans="15:15" x14ac:dyDescent="0.3">
      <c r="O1635" t="str">
        <f t="shared" si="26"/>
        <v/>
      </c>
    </row>
    <row r="1636" spans="15:15" x14ac:dyDescent="0.3">
      <c r="O1636" t="str">
        <f t="shared" si="26"/>
        <v/>
      </c>
    </row>
    <row r="1637" spans="15:15" x14ac:dyDescent="0.3">
      <c r="O1637" t="str">
        <f t="shared" si="26"/>
        <v/>
      </c>
    </row>
    <row r="1638" spans="15:15" x14ac:dyDescent="0.3">
      <c r="O1638" t="str">
        <f t="shared" si="26"/>
        <v/>
      </c>
    </row>
    <row r="1639" spans="15:15" x14ac:dyDescent="0.3">
      <c r="O1639" t="str">
        <f t="shared" si="26"/>
        <v/>
      </c>
    </row>
    <row r="1640" spans="15:15" x14ac:dyDescent="0.3">
      <c r="O1640" t="str">
        <f t="shared" si="26"/>
        <v/>
      </c>
    </row>
    <row r="1641" spans="15:15" x14ac:dyDescent="0.3">
      <c r="O1641" t="str">
        <f t="shared" si="26"/>
        <v/>
      </c>
    </row>
    <row r="1642" spans="15:15" x14ac:dyDescent="0.3">
      <c r="O1642" t="str">
        <f t="shared" si="26"/>
        <v/>
      </c>
    </row>
    <row r="1643" spans="15:15" x14ac:dyDescent="0.3">
      <c r="O1643" t="str">
        <f t="shared" si="26"/>
        <v/>
      </c>
    </row>
    <row r="1644" spans="15:15" x14ac:dyDescent="0.3">
      <c r="O1644" t="str">
        <f t="shared" si="26"/>
        <v/>
      </c>
    </row>
    <row r="1645" spans="15:15" x14ac:dyDescent="0.3">
      <c r="O1645" t="str">
        <f t="shared" si="26"/>
        <v/>
      </c>
    </row>
    <row r="1646" spans="15:15" x14ac:dyDescent="0.3">
      <c r="O1646" t="str">
        <f t="shared" si="26"/>
        <v/>
      </c>
    </row>
    <row r="1647" spans="15:15" x14ac:dyDescent="0.3">
      <c r="O1647" t="str">
        <f t="shared" si="26"/>
        <v/>
      </c>
    </row>
    <row r="1648" spans="15:15" x14ac:dyDescent="0.3">
      <c r="O1648" t="str">
        <f t="shared" si="26"/>
        <v/>
      </c>
    </row>
    <row r="1649" spans="15:15" x14ac:dyDescent="0.3">
      <c r="O1649" t="str">
        <f t="shared" si="26"/>
        <v/>
      </c>
    </row>
    <row r="1650" spans="15:15" x14ac:dyDescent="0.3">
      <c r="O1650" t="str">
        <f t="shared" si="26"/>
        <v/>
      </c>
    </row>
    <row r="1651" spans="15:15" x14ac:dyDescent="0.3">
      <c r="O1651" t="str">
        <f t="shared" si="26"/>
        <v/>
      </c>
    </row>
    <row r="1652" spans="15:15" x14ac:dyDescent="0.3">
      <c r="O1652" t="str">
        <f t="shared" si="26"/>
        <v/>
      </c>
    </row>
    <row r="1653" spans="15:15" x14ac:dyDescent="0.3">
      <c r="O1653" t="str">
        <f t="shared" si="26"/>
        <v/>
      </c>
    </row>
    <row r="1654" spans="15:15" x14ac:dyDescent="0.3">
      <c r="O1654" t="str">
        <f t="shared" si="26"/>
        <v/>
      </c>
    </row>
    <row r="1655" spans="15:15" x14ac:dyDescent="0.3">
      <c r="O1655" t="str">
        <f t="shared" si="26"/>
        <v/>
      </c>
    </row>
    <row r="1656" spans="15:15" x14ac:dyDescent="0.3">
      <c r="O1656" t="str">
        <f t="shared" si="26"/>
        <v/>
      </c>
    </row>
    <row r="1657" spans="15:15" x14ac:dyDescent="0.3">
      <c r="O1657" t="str">
        <f t="shared" si="26"/>
        <v/>
      </c>
    </row>
    <row r="1658" spans="15:15" x14ac:dyDescent="0.3">
      <c r="O1658" t="str">
        <f t="shared" si="26"/>
        <v/>
      </c>
    </row>
    <row r="1659" spans="15:15" x14ac:dyDescent="0.3">
      <c r="O1659" t="str">
        <f t="shared" si="26"/>
        <v/>
      </c>
    </row>
    <row r="1660" spans="15:15" x14ac:dyDescent="0.3">
      <c r="O1660" t="str">
        <f t="shared" si="26"/>
        <v/>
      </c>
    </row>
    <row r="1661" spans="15:15" x14ac:dyDescent="0.3">
      <c r="O1661" t="str">
        <f t="shared" si="26"/>
        <v/>
      </c>
    </row>
    <row r="1662" spans="15:15" x14ac:dyDescent="0.3">
      <c r="O1662" t="str">
        <f t="shared" si="26"/>
        <v/>
      </c>
    </row>
    <row r="1663" spans="15:15" x14ac:dyDescent="0.3">
      <c r="O1663" t="str">
        <f t="shared" si="26"/>
        <v/>
      </c>
    </row>
    <row r="1664" spans="15:15" x14ac:dyDescent="0.3">
      <c r="O1664" t="str">
        <f t="shared" si="26"/>
        <v/>
      </c>
    </row>
    <row r="1665" spans="15:15" x14ac:dyDescent="0.3">
      <c r="O1665" t="str">
        <f t="shared" si="26"/>
        <v/>
      </c>
    </row>
    <row r="1666" spans="15:15" x14ac:dyDescent="0.3">
      <c r="O1666" t="str">
        <f t="shared" si="26"/>
        <v/>
      </c>
    </row>
    <row r="1667" spans="15:15" x14ac:dyDescent="0.3">
      <c r="O1667" t="str">
        <f t="shared" si="26"/>
        <v/>
      </c>
    </row>
    <row r="1668" spans="15:15" x14ac:dyDescent="0.3">
      <c r="O1668" t="str">
        <f t="shared" si="26"/>
        <v/>
      </c>
    </row>
    <row r="1669" spans="15:15" x14ac:dyDescent="0.3">
      <c r="O1669" t="str">
        <f t="shared" si="26"/>
        <v/>
      </c>
    </row>
    <row r="1670" spans="15:15" x14ac:dyDescent="0.3">
      <c r="O1670" t="str">
        <f t="shared" si="26"/>
        <v/>
      </c>
    </row>
    <row r="1671" spans="15:15" x14ac:dyDescent="0.3">
      <c r="O1671" t="str">
        <f t="shared" si="26"/>
        <v/>
      </c>
    </row>
    <row r="1672" spans="15:15" x14ac:dyDescent="0.3">
      <c r="O1672" t="str">
        <f t="shared" si="26"/>
        <v/>
      </c>
    </row>
    <row r="1673" spans="15:15" x14ac:dyDescent="0.3">
      <c r="O1673" t="str">
        <f t="shared" si="26"/>
        <v/>
      </c>
    </row>
    <row r="1674" spans="15:15" x14ac:dyDescent="0.3">
      <c r="O1674" t="str">
        <f t="shared" ref="O1674:O1737" si="27">IF(P1674="","",O1673+1)</f>
        <v/>
      </c>
    </row>
    <row r="1675" spans="15:15" x14ac:dyDescent="0.3">
      <c r="O1675" t="str">
        <f t="shared" si="27"/>
        <v/>
      </c>
    </row>
    <row r="1676" spans="15:15" x14ac:dyDescent="0.3">
      <c r="O1676" t="str">
        <f t="shared" si="27"/>
        <v/>
      </c>
    </row>
    <row r="1677" spans="15:15" x14ac:dyDescent="0.3">
      <c r="O1677" t="str">
        <f t="shared" si="27"/>
        <v/>
      </c>
    </row>
    <row r="1678" spans="15:15" x14ac:dyDescent="0.3">
      <c r="O1678" t="str">
        <f t="shared" si="27"/>
        <v/>
      </c>
    </row>
    <row r="1679" spans="15:15" x14ac:dyDescent="0.3">
      <c r="O1679" t="str">
        <f t="shared" si="27"/>
        <v/>
      </c>
    </row>
    <row r="1680" spans="15:15" x14ac:dyDescent="0.3">
      <c r="O1680" t="str">
        <f t="shared" si="27"/>
        <v/>
      </c>
    </row>
    <row r="1681" spans="15:15" x14ac:dyDescent="0.3">
      <c r="O1681" t="str">
        <f t="shared" si="27"/>
        <v/>
      </c>
    </row>
    <row r="1682" spans="15:15" x14ac:dyDescent="0.3">
      <c r="O1682" t="str">
        <f t="shared" si="27"/>
        <v/>
      </c>
    </row>
    <row r="1683" spans="15:15" x14ac:dyDescent="0.3">
      <c r="O1683" t="str">
        <f t="shared" si="27"/>
        <v/>
      </c>
    </row>
    <row r="1684" spans="15:15" x14ac:dyDescent="0.3">
      <c r="O1684" t="str">
        <f t="shared" si="27"/>
        <v/>
      </c>
    </row>
    <row r="1685" spans="15:15" x14ac:dyDescent="0.3">
      <c r="O1685" t="str">
        <f t="shared" si="27"/>
        <v/>
      </c>
    </row>
    <row r="1686" spans="15:15" x14ac:dyDescent="0.3">
      <c r="O1686" t="str">
        <f t="shared" si="27"/>
        <v/>
      </c>
    </row>
    <row r="1687" spans="15:15" x14ac:dyDescent="0.3">
      <c r="O1687" t="str">
        <f t="shared" si="27"/>
        <v/>
      </c>
    </row>
    <row r="1688" spans="15:15" x14ac:dyDescent="0.3">
      <c r="O1688" t="str">
        <f t="shared" si="27"/>
        <v/>
      </c>
    </row>
    <row r="1689" spans="15:15" x14ac:dyDescent="0.3">
      <c r="O1689" t="str">
        <f t="shared" si="27"/>
        <v/>
      </c>
    </row>
    <row r="1690" spans="15:15" x14ac:dyDescent="0.3">
      <c r="O1690" t="str">
        <f t="shared" si="27"/>
        <v/>
      </c>
    </row>
    <row r="1691" spans="15:15" x14ac:dyDescent="0.3">
      <c r="O1691" t="str">
        <f t="shared" si="27"/>
        <v/>
      </c>
    </row>
    <row r="1692" spans="15:15" x14ac:dyDescent="0.3">
      <c r="O1692" t="str">
        <f t="shared" si="27"/>
        <v/>
      </c>
    </row>
    <row r="1693" spans="15:15" x14ac:dyDescent="0.3">
      <c r="O1693" t="str">
        <f t="shared" si="27"/>
        <v/>
      </c>
    </row>
    <row r="1694" spans="15:15" x14ac:dyDescent="0.3">
      <c r="O1694" t="str">
        <f t="shared" si="27"/>
        <v/>
      </c>
    </row>
    <row r="1695" spans="15:15" x14ac:dyDescent="0.3">
      <c r="O1695" t="str">
        <f t="shared" si="27"/>
        <v/>
      </c>
    </row>
    <row r="1696" spans="15:15" x14ac:dyDescent="0.3">
      <c r="O1696" t="str">
        <f t="shared" si="27"/>
        <v/>
      </c>
    </row>
    <row r="1697" spans="15:15" x14ac:dyDescent="0.3">
      <c r="O1697" t="str">
        <f t="shared" si="27"/>
        <v/>
      </c>
    </row>
    <row r="1698" spans="15:15" x14ac:dyDescent="0.3">
      <c r="O1698" t="str">
        <f t="shared" si="27"/>
        <v/>
      </c>
    </row>
    <row r="1699" spans="15:15" x14ac:dyDescent="0.3">
      <c r="O1699" t="str">
        <f t="shared" si="27"/>
        <v/>
      </c>
    </row>
    <row r="1700" spans="15:15" x14ac:dyDescent="0.3">
      <c r="O1700" t="str">
        <f t="shared" si="27"/>
        <v/>
      </c>
    </row>
    <row r="1701" spans="15:15" x14ac:dyDescent="0.3">
      <c r="O1701" t="str">
        <f t="shared" si="27"/>
        <v/>
      </c>
    </row>
    <row r="1702" spans="15:15" x14ac:dyDescent="0.3">
      <c r="O1702" t="str">
        <f t="shared" si="27"/>
        <v/>
      </c>
    </row>
    <row r="1703" spans="15:15" x14ac:dyDescent="0.3">
      <c r="O1703" t="str">
        <f t="shared" si="27"/>
        <v/>
      </c>
    </row>
    <row r="1704" spans="15:15" x14ac:dyDescent="0.3">
      <c r="O1704" t="str">
        <f t="shared" si="27"/>
        <v/>
      </c>
    </row>
    <row r="1705" spans="15:15" x14ac:dyDescent="0.3">
      <c r="O1705" t="str">
        <f t="shared" si="27"/>
        <v/>
      </c>
    </row>
    <row r="1706" spans="15:15" x14ac:dyDescent="0.3">
      <c r="O1706" t="str">
        <f t="shared" si="27"/>
        <v/>
      </c>
    </row>
    <row r="1707" spans="15:15" x14ac:dyDescent="0.3">
      <c r="O1707" t="str">
        <f t="shared" si="27"/>
        <v/>
      </c>
    </row>
    <row r="1708" spans="15:15" x14ac:dyDescent="0.3">
      <c r="O1708" t="str">
        <f t="shared" si="27"/>
        <v/>
      </c>
    </row>
    <row r="1709" spans="15:15" x14ac:dyDescent="0.3">
      <c r="O1709" t="str">
        <f t="shared" si="27"/>
        <v/>
      </c>
    </row>
    <row r="1710" spans="15:15" x14ac:dyDescent="0.3">
      <c r="O1710" t="str">
        <f t="shared" si="27"/>
        <v/>
      </c>
    </row>
    <row r="1711" spans="15:15" x14ac:dyDescent="0.3">
      <c r="O1711" t="str">
        <f t="shared" si="27"/>
        <v/>
      </c>
    </row>
    <row r="1712" spans="15:15" x14ac:dyDescent="0.3">
      <c r="O1712" t="str">
        <f t="shared" si="27"/>
        <v/>
      </c>
    </row>
    <row r="1713" spans="15:15" x14ac:dyDescent="0.3">
      <c r="O1713" t="str">
        <f t="shared" si="27"/>
        <v/>
      </c>
    </row>
    <row r="1714" spans="15:15" x14ac:dyDescent="0.3">
      <c r="O1714" t="str">
        <f t="shared" si="27"/>
        <v/>
      </c>
    </row>
    <row r="1715" spans="15:15" x14ac:dyDescent="0.3">
      <c r="O1715" t="str">
        <f t="shared" si="27"/>
        <v/>
      </c>
    </row>
    <row r="1716" spans="15:15" x14ac:dyDescent="0.3">
      <c r="O1716" t="str">
        <f t="shared" si="27"/>
        <v/>
      </c>
    </row>
    <row r="1717" spans="15:15" x14ac:dyDescent="0.3">
      <c r="O1717" t="str">
        <f t="shared" si="27"/>
        <v/>
      </c>
    </row>
    <row r="1718" spans="15:15" x14ac:dyDescent="0.3">
      <c r="O1718" t="str">
        <f t="shared" si="27"/>
        <v/>
      </c>
    </row>
    <row r="1719" spans="15:15" x14ac:dyDescent="0.3">
      <c r="O1719" t="str">
        <f t="shared" si="27"/>
        <v/>
      </c>
    </row>
    <row r="1720" spans="15:15" x14ac:dyDescent="0.3">
      <c r="O1720" t="str">
        <f t="shared" si="27"/>
        <v/>
      </c>
    </row>
    <row r="1721" spans="15:15" x14ac:dyDescent="0.3">
      <c r="O1721" t="str">
        <f t="shared" si="27"/>
        <v/>
      </c>
    </row>
    <row r="1722" spans="15:15" x14ac:dyDescent="0.3">
      <c r="O1722" t="str">
        <f t="shared" si="27"/>
        <v/>
      </c>
    </row>
    <row r="1723" spans="15:15" x14ac:dyDescent="0.3">
      <c r="O1723" t="str">
        <f t="shared" si="27"/>
        <v/>
      </c>
    </row>
    <row r="1724" spans="15:15" x14ac:dyDescent="0.3">
      <c r="O1724" t="str">
        <f t="shared" si="27"/>
        <v/>
      </c>
    </row>
    <row r="1725" spans="15:15" x14ac:dyDescent="0.3">
      <c r="O1725" t="str">
        <f t="shared" si="27"/>
        <v/>
      </c>
    </row>
    <row r="1726" spans="15:15" x14ac:dyDescent="0.3">
      <c r="O1726" t="str">
        <f t="shared" si="27"/>
        <v/>
      </c>
    </row>
    <row r="1727" spans="15:15" x14ac:dyDescent="0.3">
      <c r="O1727" t="str">
        <f t="shared" si="27"/>
        <v/>
      </c>
    </row>
    <row r="1728" spans="15:15" x14ac:dyDescent="0.3">
      <c r="O1728" t="str">
        <f t="shared" si="27"/>
        <v/>
      </c>
    </row>
    <row r="1729" spans="15:15" x14ac:dyDescent="0.3">
      <c r="O1729" t="str">
        <f t="shared" si="27"/>
        <v/>
      </c>
    </row>
    <row r="1730" spans="15:15" x14ac:dyDescent="0.3">
      <c r="O1730" t="str">
        <f t="shared" si="27"/>
        <v/>
      </c>
    </row>
    <row r="1731" spans="15:15" x14ac:dyDescent="0.3">
      <c r="O1731" t="str">
        <f t="shared" si="27"/>
        <v/>
      </c>
    </row>
    <row r="1732" spans="15:15" x14ac:dyDescent="0.3">
      <c r="O1732" t="str">
        <f t="shared" si="27"/>
        <v/>
      </c>
    </row>
    <row r="1733" spans="15:15" x14ac:dyDescent="0.3">
      <c r="O1733" t="str">
        <f t="shared" si="27"/>
        <v/>
      </c>
    </row>
    <row r="1734" spans="15:15" x14ac:dyDescent="0.3">
      <c r="O1734" t="str">
        <f t="shared" si="27"/>
        <v/>
      </c>
    </row>
    <row r="1735" spans="15:15" x14ac:dyDescent="0.3">
      <c r="O1735" t="str">
        <f t="shared" si="27"/>
        <v/>
      </c>
    </row>
    <row r="1736" spans="15:15" x14ac:dyDescent="0.3">
      <c r="O1736" t="str">
        <f t="shared" si="27"/>
        <v/>
      </c>
    </row>
    <row r="1737" spans="15:15" x14ac:dyDescent="0.3">
      <c r="O1737" t="str">
        <f t="shared" si="27"/>
        <v/>
      </c>
    </row>
    <row r="1738" spans="15:15" x14ac:dyDescent="0.3">
      <c r="O1738" t="str">
        <f t="shared" ref="O1738:O1801" si="28">IF(P1738="","",O1737+1)</f>
        <v/>
      </c>
    </row>
    <row r="1739" spans="15:15" x14ac:dyDescent="0.3">
      <c r="O1739" t="str">
        <f t="shared" si="28"/>
        <v/>
      </c>
    </row>
    <row r="1740" spans="15:15" x14ac:dyDescent="0.3">
      <c r="O1740" t="str">
        <f t="shared" si="28"/>
        <v/>
      </c>
    </row>
    <row r="1741" spans="15:15" x14ac:dyDescent="0.3">
      <c r="O1741" t="str">
        <f t="shared" si="28"/>
        <v/>
      </c>
    </row>
    <row r="1742" spans="15:15" x14ac:dyDescent="0.3">
      <c r="O1742" t="str">
        <f t="shared" si="28"/>
        <v/>
      </c>
    </row>
    <row r="1743" spans="15:15" x14ac:dyDescent="0.3">
      <c r="O1743" t="str">
        <f t="shared" si="28"/>
        <v/>
      </c>
    </row>
    <row r="1744" spans="15:15" x14ac:dyDescent="0.3">
      <c r="O1744" t="str">
        <f t="shared" si="28"/>
        <v/>
      </c>
    </row>
    <row r="1745" spans="15:15" x14ac:dyDescent="0.3">
      <c r="O1745" t="str">
        <f t="shared" si="28"/>
        <v/>
      </c>
    </row>
    <row r="1746" spans="15:15" x14ac:dyDescent="0.3">
      <c r="O1746" t="str">
        <f t="shared" si="28"/>
        <v/>
      </c>
    </row>
    <row r="1747" spans="15:15" x14ac:dyDescent="0.3">
      <c r="O1747" t="str">
        <f t="shared" si="28"/>
        <v/>
      </c>
    </row>
    <row r="1748" spans="15:15" x14ac:dyDescent="0.3">
      <c r="O1748" t="str">
        <f t="shared" si="28"/>
        <v/>
      </c>
    </row>
    <row r="1749" spans="15:15" x14ac:dyDescent="0.3">
      <c r="O1749" t="str">
        <f t="shared" si="28"/>
        <v/>
      </c>
    </row>
    <row r="1750" spans="15:15" x14ac:dyDescent="0.3">
      <c r="O1750" t="str">
        <f t="shared" si="28"/>
        <v/>
      </c>
    </row>
    <row r="1751" spans="15:15" x14ac:dyDescent="0.3">
      <c r="O1751" t="str">
        <f t="shared" si="28"/>
        <v/>
      </c>
    </row>
    <row r="1752" spans="15:15" x14ac:dyDescent="0.3">
      <c r="O1752" t="str">
        <f t="shared" si="28"/>
        <v/>
      </c>
    </row>
    <row r="1753" spans="15:15" x14ac:dyDescent="0.3">
      <c r="O1753" t="str">
        <f t="shared" si="28"/>
        <v/>
      </c>
    </row>
    <row r="1754" spans="15:15" x14ac:dyDescent="0.3">
      <c r="O1754" t="str">
        <f t="shared" si="28"/>
        <v/>
      </c>
    </row>
    <row r="1755" spans="15:15" x14ac:dyDescent="0.3">
      <c r="O1755" t="str">
        <f t="shared" si="28"/>
        <v/>
      </c>
    </row>
    <row r="1756" spans="15:15" x14ac:dyDescent="0.3">
      <c r="O1756" t="str">
        <f t="shared" si="28"/>
        <v/>
      </c>
    </row>
    <row r="1757" spans="15:15" x14ac:dyDescent="0.3">
      <c r="O1757" t="str">
        <f t="shared" si="28"/>
        <v/>
      </c>
    </row>
    <row r="1758" spans="15:15" x14ac:dyDescent="0.3">
      <c r="O1758" t="str">
        <f t="shared" si="28"/>
        <v/>
      </c>
    </row>
    <row r="1759" spans="15:15" x14ac:dyDescent="0.3">
      <c r="O1759" t="str">
        <f t="shared" si="28"/>
        <v/>
      </c>
    </row>
    <row r="1760" spans="15:15" x14ac:dyDescent="0.3">
      <c r="O1760" t="str">
        <f t="shared" si="28"/>
        <v/>
      </c>
    </row>
    <row r="1761" spans="15:15" x14ac:dyDescent="0.3">
      <c r="O1761" t="str">
        <f t="shared" si="28"/>
        <v/>
      </c>
    </row>
    <row r="1762" spans="15:15" x14ac:dyDescent="0.3">
      <c r="O1762" t="str">
        <f t="shared" si="28"/>
        <v/>
      </c>
    </row>
    <row r="1763" spans="15:15" x14ac:dyDescent="0.3">
      <c r="O1763" t="str">
        <f t="shared" si="28"/>
        <v/>
      </c>
    </row>
    <row r="1764" spans="15:15" x14ac:dyDescent="0.3">
      <c r="O1764" t="str">
        <f t="shared" si="28"/>
        <v/>
      </c>
    </row>
    <row r="1765" spans="15:15" x14ac:dyDescent="0.3">
      <c r="O1765" t="str">
        <f t="shared" si="28"/>
        <v/>
      </c>
    </row>
    <row r="1766" spans="15:15" x14ac:dyDescent="0.3">
      <c r="O1766" t="str">
        <f t="shared" si="28"/>
        <v/>
      </c>
    </row>
    <row r="1767" spans="15:15" x14ac:dyDescent="0.3">
      <c r="O1767" t="str">
        <f t="shared" si="28"/>
        <v/>
      </c>
    </row>
    <row r="1768" spans="15:15" x14ac:dyDescent="0.3">
      <c r="O1768" t="str">
        <f t="shared" si="28"/>
        <v/>
      </c>
    </row>
    <row r="1769" spans="15:15" x14ac:dyDescent="0.3">
      <c r="O1769" t="str">
        <f t="shared" si="28"/>
        <v/>
      </c>
    </row>
    <row r="1770" spans="15:15" x14ac:dyDescent="0.3">
      <c r="O1770" t="str">
        <f t="shared" si="28"/>
        <v/>
      </c>
    </row>
    <row r="1771" spans="15:15" x14ac:dyDescent="0.3">
      <c r="O1771" t="str">
        <f t="shared" si="28"/>
        <v/>
      </c>
    </row>
    <row r="1772" spans="15:15" x14ac:dyDescent="0.3">
      <c r="O1772" t="str">
        <f t="shared" si="28"/>
        <v/>
      </c>
    </row>
    <row r="1773" spans="15:15" x14ac:dyDescent="0.3">
      <c r="O1773" t="str">
        <f t="shared" si="28"/>
        <v/>
      </c>
    </row>
    <row r="1774" spans="15:15" x14ac:dyDescent="0.3">
      <c r="O1774" t="str">
        <f t="shared" si="28"/>
        <v/>
      </c>
    </row>
    <row r="1775" spans="15:15" x14ac:dyDescent="0.3">
      <c r="O1775" t="str">
        <f t="shared" si="28"/>
        <v/>
      </c>
    </row>
    <row r="1776" spans="15:15" x14ac:dyDescent="0.3">
      <c r="O1776" t="str">
        <f t="shared" si="28"/>
        <v/>
      </c>
    </row>
    <row r="1777" spans="15:15" x14ac:dyDescent="0.3">
      <c r="O1777" t="str">
        <f t="shared" si="28"/>
        <v/>
      </c>
    </row>
    <row r="1778" spans="15:15" x14ac:dyDescent="0.3">
      <c r="O1778" t="str">
        <f t="shared" si="28"/>
        <v/>
      </c>
    </row>
    <row r="1779" spans="15:15" x14ac:dyDescent="0.3">
      <c r="O1779" t="str">
        <f t="shared" si="28"/>
        <v/>
      </c>
    </row>
    <row r="1780" spans="15:15" x14ac:dyDescent="0.3">
      <c r="O1780" t="str">
        <f t="shared" si="28"/>
        <v/>
      </c>
    </row>
    <row r="1781" spans="15:15" x14ac:dyDescent="0.3">
      <c r="O1781" t="str">
        <f t="shared" si="28"/>
        <v/>
      </c>
    </row>
    <row r="1782" spans="15:15" x14ac:dyDescent="0.3">
      <c r="O1782" t="str">
        <f t="shared" si="28"/>
        <v/>
      </c>
    </row>
    <row r="1783" spans="15:15" x14ac:dyDescent="0.3">
      <c r="O1783" t="str">
        <f t="shared" si="28"/>
        <v/>
      </c>
    </row>
    <row r="1784" spans="15:15" x14ac:dyDescent="0.3">
      <c r="O1784" t="str">
        <f t="shared" si="28"/>
        <v/>
      </c>
    </row>
    <row r="1785" spans="15:15" x14ac:dyDescent="0.3">
      <c r="O1785" t="str">
        <f t="shared" si="28"/>
        <v/>
      </c>
    </row>
    <row r="1786" spans="15:15" x14ac:dyDescent="0.3">
      <c r="O1786" t="str">
        <f t="shared" si="28"/>
        <v/>
      </c>
    </row>
    <row r="1787" spans="15:15" x14ac:dyDescent="0.3">
      <c r="O1787" t="str">
        <f t="shared" si="28"/>
        <v/>
      </c>
    </row>
    <row r="1788" spans="15:15" x14ac:dyDescent="0.3">
      <c r="O1788" t="str">
        <f t="shared" si="28"/>
        <v/>
      </c>
    </row>
    <row r="1789" spans="15:15" x14ac:dyDescent="0.3">
      <c r="O1789" t="str">
        <f t="shared" si="28"/>
        <v/>
      </c>
    </row>
    <row r="1790" spans="15:15" x14ac:dyDescent="0.3">
      <c r="O1790" t="str">
        <f t="shared" si="28"/>
        <v/>
      </c>
    </row>
    <row r="1791" spans="15:15" x14ac:dyDescent="0.3">
      <c r="O1791" t="str">
        <f t="shared" si="28"/>
        <v/>
      </c>
    </row>
    <row r="1792" spans="15:15" x14ac:dyDescent="0.3">
      <c r="O1792" t="str">
        <f t="shared" si="28"/>
        <v/>
      </c>
    </row>
    <row r="1793" spans="15:15" x14ac:dyDescent="0.3">
      <c r="O1793" t="str">
        <f t="shared" si="28"/>
        <v/>
      </c>
    </row>
    <row r="1794" spans="15:15" x14ac:dyDescent="0.3">
      <c r="O1794" t="str">
        <f t="shared" si="28"/>
        <v/>
      </c>
    </row>
    <row r="1795" spans="15:15" x14ac:dyDescent="0.3">
      <c r="O1795" t="str">
        <f t="shared" si="28"/>
        <v/>
      </c>
    </row>
    <row r="1796" spans="15:15" x14ac:dyDescent="0.3">
      <c r="O1796" t="str">
        <f t="shared" si="28"/>
        <v/>
      </c>
    </row>
    <row r="1797" spans="15:15" x14ac:dyDescent="0.3">
      <c r="O1797" t="str">
        <f t="shared" si="28"/>
        <v/>
      </c>
    </row>
    <row r="1798" spans="15:15" x14ac:dyDescent="0.3">
      <c r="O1798" t="str">
        <f t="shared" si="28"/>
        <v/>
      </c>
    </row>
    <row r="1799" spans="15:15" x14ac:dyDescent="0.3">
      <c r="O1799" t="str">
        <f t="shared" si="28"/>
        <v/>
      </c>
    </row>
    <row r="1800" spans="15:15" x14ac:dyDescent="0.3">
      <c r="O1800" t="str">
        <f t="shared" si="28"/>
        <v/>
      </c>
    </row>
    <row r="1801" spans="15:15" x14ac:dyDescent="0.3">
      <c r="O1801" t="str">
        <f t="shared" si="28"/>
        <v/>
      </c>
    </row>
    <row r="1802" spans="15:15" x14ac:dyDescent="0.3">
      <c r="O1802" t="str">
        <f t="shared" ref="O1802:O1865" si="29">IF(P1802="","",O1801+1)</f>
        <v/>
      </c>
    </row>
    <row r="1803" spans="15:15" x14ac:dyDescent="0.3">
      <c r="O1803" t="str">
        <f t="shared" si="29"/>
        <v/>
      </c>
    </row>
    <row r="1804" spans="15:15" x14ac:dyDescent="0.3">
      <c r="O1804" t="str">
        <f t="shared" si="29"/>
        <v/>
      </c>
    </row>
    <row r="1805" spans="15:15" x14ac:dyDescent="0.3">
      <c r="O1805" t="str">
        <f t="shared" si="29"/>
        <v/>
      </c>
    </row>
    <row r="1806" spans="15:15" x14ac:dyDescent="0.3">
      <c r="O1806" t="str">
        <f t="shared" si="29"/>
        <v/>
      </c>
    </row>
    <row r="1807" spans="15:15" x14ac:dyDescent="0.3">
      <c r="O1807" t="str">
        <f t="shared" si="29"/>
        <v/>
      </c>
    </row>
    <row r="1808" spans="15:15" x14ac:dyDescent="0.3">
      <c r="O1808" t="str">
        <f t="shared" si="29"/>
        <v/>
      </c>
    </row>
    <row r="1809" spans="15:15" x14ac:dyDescent="0.3">
      <c r="O1809" t="str">
        <f t="shared" si="29"/>
        <v/>
      </c>
    </row>
    <row r="1810" spans="15:15" x14ac:dyDescent="0.3">
      <c r="O1810" t="str">
        <f t="shared" si="29"/>
        <v/>
      </c>
    </row>
    <row r="1811" spans="15:15" x14ac:dyDescent="0.3">
      <c r="O1811" t="str">
        <f t="shared" si="29"/>
        <v/>
      </c>
    </row>
    <row r="1812" spans="15:15" x14ac:dyDescent="0.3">
      <c r="O1812" t="str">
        <f t="shared" si="29"/>
        <v/>
      </c>
    </row>
    <row r="1813" spans="15:15" x14ac:dyDescent="0.3">
      <c r="O1813" t="str">
        <f t="shared" si="29"/>
        <v/>
      </c>
    </row>
    <row r="1814" spans="15:15" x14ac:dyDescent="0.3">
      <c r="O1814" t="str">
        <f t="shared" si="29"/>
        <v/>
      </c>
    </row>
    <row r="1815" spans="15:15" x14ac:dyDescent="0.3">
      <c r="O1815" t="str">
        <f t="shared" si="29"/>
        <v/>
      </c>
    </row>
    <row r="1816" spans="15:15" x14ac:dyDescent="0.3">
      <c r="O1816" t="str">
        <f t="shared" si="29"/>
        <v/>
      </c>
    </row>
    <row r="1817" spans="15:15" x14ac:dyDescent="0.3">
      <c r="O1817" t="str">
        <f t="shared" si="29"/>
        <v/>
      </c>
    </row>
    <row r="1818" spans="15:15" x14ac:dyDescent="0.3">
      <c r="O1818" t="str">
        <f t="shared" si="29"/>
        <v/>
      </c>
    </row>
    <row r="1819" spans="15:15" x14ac:dyDescent="0.3">
      <c r="O1819" t="str">
        <f t="shared" si="29"/>
        <v/>
      </c>
    </row>
    <row r="1820" spans="15:15" x14ac:dyDescent="0.3">
      <c r="O1820" t="str">
        <f t="shared" si="29"/>
        <v/>
      </c>
    </row>
    <row r="1821" spans="15:15" x14ac:dyDescent="0.3">
      <c r="O1821" t="str">
        <f t="shared" si="29"/>
        <v/>
      </c>
    </row>
    <row r="1822" spans="15:15" x14ac:dyDescent="0.3">
      <c r="O1822" t="str">
        <f t="shared" si="29"/>
        <v/>
      </c>
    </row>
    <row r="1823" spans="15:15" x14ac:dyDescent="0.3">
      <c r="O1823" t="str">
        <f t="shared" si="29"/>
        <v/>
      </c>
    </row>
    <row r="1824" spans="15:15" x14ac:dyDescent="0.3">
      <c r="O1824" t="str">
        <f t="shared" si="29"/>
        <v/>
      </c>
    </row>
    <row r="1825" spans="15:15" x14ac:dyDescent="0.3">
      <c r="O1825" t="str">
        <f t="shared" si="29"/>
        <v/>
      </c>
    </row>
    <row r="1826" spans="15:15" x14ac:dyDescent="0.3">
      <c r="O1826" t="str">
        <f t="shared" si="29"/>
        <v/>
      </c>
    </row>
    <row r="1827" spans="15:15" x14ac:dyDescent="0.3">
      <c r="O1827" t="str">
        <f t="shared" si="29"/>
        <v/>
      </c>
    </row>
    <row r="1828" spans="15:15" x14ac:dyDescent="0.3">
      <c r="O1828" t="str">
        <f t="shared" si="29"/>
        <v/>
      </c>
    </row>
    <row r="1829" spans="15:15" x14ac:dyDescent="0.3">
      <c r="O1829" t="str">
        <f t="shared" si="29"/>
        <v/>
      </c>
    </row>
    <row r="1830" spans="15:15" x14ac:dyDescent="0.3">
      <c r="O1830" t="str">
        <f t="shared" si="29"/>
        <v/>
      </c>
    </row>
    <row r="1831" spans="15:15" x14ac:dyDescent="0.3">
      <c r="O1831" t="str">
        <f t="shared" si="29"/>
        <v/>
      </c>
    </row>
    <row r="1832" spans="15:15" x14ac:dyDescent="0.3">
      <c r="O1832" t="str">
        <f t="shared" si="29"/>
        <v/>
      </c>
    </row>
    <row r="1833" spans="15:15" x14ac:dyDescent="0.3">
      <c r="O1833" t="str">
        <f t="shared" si="29"/>
        <v/>
      </c>
    </row>
    <row r="1834" spans="15:15" x14ac:dyDescent="0.3">
      <c r="O1834" t="str">
        <f t="shared" si="29"/>
        <v/>
      </c>
    </row>
    <row r="1835" spans="15:15" x14ac:dyDescent="0.3">
      <c r="O1835" t="str">
        <f t="shared" si="29"/>
        <v/>
      </c>
    </row>
    <row r="1836" spans="15:15" x14ac:dyDescent="0.3">
      <c r="O1836" t="str">
        <f t="shared" si="29"/>
        <v/>
      </c>
    </row>
    <row r="1837" spans="15:15" x14ac:dyDescent="0.3">
      <c r="O1837" t="str">
        <f t="shared" si="29"/>
        <v/>
      </c>
    </row>
    <row r="1838" spans="15:15" x14ac:dyDescent="0.3">
      <c r="O1838" t="str">
        <f t="shared" si="29"/>
        <v/>
      </c>
    </row>
    <row r="1839" spans="15:15" x14ac:dyDescent="0.3">
      <c r="O1839" t="str">
        <f t="shared" si="29"/>
        <v/>
      </c>
    </row>
    <row r="1840" spans="15:15" x14ac:dyDescent="0.3">
      <c r="O1840" t="str">
        <f t="shared" si="29"/>
        <v/>
      </c>
    </row>
    <row r="1841" spans="15:15" x14ac:dyDescent="0.3">
      <c r="O1841" t="str">
        <f t="shared" si="29"/>
        <v/>
      </c>
    </row>
    <row r="1842" spans="15:15" x14ac:dyDescent="0.3">
      <c r="O1842" t="str">
        <f t="shared" si="29"/>
        <v/>
      </c>
    </row>
    <row r="1843" spans="15:15" x14ac:dyDescent="0.3">
      <c r="O1843" t="str">
        <f t="shared" si="29"/>
        <v/>
      </c>
    </row>
    <row r="1844" spans="15:15" x14ac:dyDescent="0.3">
      <c r="O1844" t="str">
        <f t="shared" si="29"/>
        <v/>
      </c>
    </row>
    <row r="1845" spans="15:15" x14ac:dyDescent="0.3">
      <c r="O1845" t="str">
        <f t="shared" si="29"/>
        <v/>
      </c>
    </row>
    <row r="1846" spans="15:15" x14ac:dyDescent="0.3">
      <c r="O1846" t="str">
        <f t="shared" si="29"/>
        <v/>
      </c>
    </row>
    <row r="1847" spans="15:15" x14ac:dyDescent="0.3">
      <c r="O1847" t="str">
        <f t="shared" si="29"/>
        <v/>
      </c>
    </row>
    <row r="1848" spans="15:15" x14ac:dyDescent="0.3">
      <c r="O1848" t="str">
        <f t="shared" si="29"/>
        <v/>
      </c>
    </row>
    <row r="1849" spans="15:15" x14ac:dyDescent="0.3">
      <c r="O1849" t="str">
        <f t="shared" si="29"/>
        <v/>
      </c>
    </row>
    <row r="1850" spans="15:15" x14ac:dyDescent="0.3">
      <c r="O1850" t="str">
        <f t="shared" si="29"/>
        <v/>
      </c>
    </row>
    <row r="1851" spans="15:15" x14ac:dyDescent="0.3">
      <c r="O1851" t="str">
        <f t="shared" si="29"/>
        <v/>
      </c>
    </row>
    <row r="1852" spans="15:15" x14ac:dyDescent="0.3">
      <c r="O1852" t="str">
        <f t="shared" si="29"/>
        <v/>
      </c>
    </row>
    <row r="1853" spans="15:15" x14ac:dyDescent="0.3">
      <c r="O1853" t="str">
        <f t="shared" si="29"/>
        <v/>
      </c>
    </row>
    <row r="1854" spans="15:15" x14ac:dyDescent="0.3">
      <c r="O1854" t="str">
        <f t="shared" si="29"/>
        <v/>
      </c>
    </row>
    <row r="1855" spans="15:15" x14ac:dyDescent="0.3">
      <c r="O1855" t="str">
        <f t="shared" si="29"/>
        <v/>
      </c>
    </row>
    <row r="1856" spans="15:15" x14ac:dyDescent="0.3">
      <c r="O1856" t="str">
        <f t="shared" si="29"/>
        <v/>
      </c>
    </row>
    <row r="1857" spans="15:15" x14ac:dyDescent="0.3">
      <c r="O1857" t="str">
        <f t="shared" si="29"/>
        <v/>
      </c>
    </row>
    <row r="1858" spans="15:15" x14ac:dyDescent="0.3">
      <c r="O1858" t="str">
        <f t="shared" si="29"/>
        <v/>
      </c>
    </row>
    <row r="1859" spans="15:15" x14ac:dyDescent="0.3">
      <c r="O1859" t="str">
        <f t="shared" si="29"/>
        <v/>
      </c>
    </row>
    <row r="1860" spans="15:15" x14ac:dyDescent="0.3">
      <c r="O1860" t="str">
        <f t="shared" si="29"/>
        <v/>
      </c>
    </row>
    <row r="1861" spans="15:15" x14ac:dyDescent="0.3">
      <c r="O1861" t="str">
        <f t="shared" si="29"/>
        <v/>
      </c>
    </row>
    <row r="1862" spans="15:15" x14ac:dyDescent="0.3">
      <c r="O1862" t="str">
        <f t="shared" si="29"/>
        <v/>
      </c>
    </row>
    <row r="1863" spans="15:15" x14ac:dyDescent="0.3">
      <c r="O1863" t="str">
        <f t="shared" si="29"/>
        <v/>
      </c>
    </row>
    <row r="1864" spans="15:15" x14ac:dyDescent="0.3">
      <c r="O1864" t="str">
        <f t="shared" si="29"/>
        <v/>
      </c>
    </row>
    <row r="1865" spans="15:15" x14ac:dyDescent="0.3">
      <c r="O1865" t="str">
        <f t="shared" si="29"/>
        <v/>
      </c>
    </row>
    <row r="1866" spans="15:15" x14ac:dyDescent="0.3">
      <c r="O1866" t="str">
        <f t="shared" ref="O1866:O1929" si="30">IF(P1866="","",O1865+1)</f>
        <v/>
      </c>
    </row>
    <row r="1867" spans="15:15" x14ac:dyDescent="0.3">
      <c r="O1867" t="str">
        <f t="shared" si="30"/>
        <v/>
      </c>
    </row>
    <row r="1868" spans="15:15" x14ac:dyDescent="0.3">
      <c r="O1868" t="str">
        <f t="shared" si="30"/>
        <v/>
      </c>
    </row>
    <row r="1869" spans="15:15" x14ac:dyDescent="0.3">
      <c r="O1869" t="str">
        <f t="shared" si="30"/>
        <v/>
      </c>
    </row>
    <row r="1870" spans="15:15" x14ac:dyDescent="0.3">
      <c r="O1870" t="str">
        <f t="shared" si="30"/>
        <v/>
      </c>
    </row>
    <row r="1871" spans="15:15" x14ac:dyDescent="0.3">
      <c r="O1871" t="str">
        <f t="shared" si="30"/>
        <v/>
      </c>
    </row>
    <row r="1872" spans="15:15" x14ac:dyDescent="0.3">
      <c r="O1872" t="str">
        <f t="shared" si="30"/>
        <v/>
      </c>
    </row>
    <row r="1873" spans="15:15" x14ac:dyDescent="0.3">
      <c r="O1873" t="str">
        <f t="shared" si="30"/>
        <v/>
      </c>
    </row>
    <row r="1874" spans="15:15" x14ac:dyDescent="0.3">
      <c r="O1874" t="str">
        <f t="shared" si="30"/>
        <v/>
      </c>
    </row>
    <row r="1875" spans="15:15" x14ac:dyDescent="0.3">
      <c r="O1875" t="str">
        <f t="shared" si="30"/>
        <v/>
      </c>
    </row>
    <row r="1876" spans="15:15" x14ac:dyDescent="0.3">
      <c r="O1876" t="str">
        <f t="shared" si="30"/>
        <v/>
      </c>
    </row>
    <row r="1877" spans="15:15" x14ac:dyDescent="0.3">
      <c r="O1877" t="str">
        <f t="shared" si="30"/>
        <v/>
      </c>
    </row>
    <row r="1878" spans="15:15" x14ac:dyDescent="0.3">
      <c r="O1878" t="str">
        <f t="shared" si="30"/>
        <v/>
      </c>
    </row>
    <row r="1879" spans="15:15" x14ac:dyDescent="0.3">
      <c r="O1879" t="str">
        <f t="shared" si="30"/>
        <v/>
      </c>
    </row>
    <row r="1880" spans="15:15" x14ac:dyDescent="0.3">
      <c r="O1880" t="str">
        <f t="shared" si="30"/>
        <v/>
      </c>
    </row>
    <row r="1881" spans="15:15" x14ac:dyDescent="0.3">
      <c r="O1881" t="str">
        <f t="shared" si="30"/>
        <v/>
      </c>
    </row>
    <row r="1882" spans="15:15" x14ac:dyDescent="0.3">
      <c r="O1882" t="str">
        <f t="shared" si="30"/>
        <v/>
      </c>
    </row>
    <row r="1883" spans="15:15" x14ac:dyDescent="0.3">
      <c r="O1883" t="str">
        <f t="shared" si="30"/>
        <v/>
      </c>
    </row>
    <row r="1884" spans="15:15" x14ac:dyDescent="0.3">
      <c r="O1884" t="str">
        <f t="shared" si="30"/>
        <v/>
      </c>
    </row>
    <row r="1885" spans="15:15" x14ac:dyDescent="0.3">
      <c r="O1885" t="str">
        <f t="shared" si="30"/>
        <v/>
      </c>
    </row>
    <row r="1886" spans="15:15" x14ac:dyDescent="0.3">
      <c r="O1886" t="str">
        <f t="shared" si="30"/>
        <v/>
      </c>
    </row>
    <row r="1887" spans="15:15" x14ac:dyDescent="0.3">
      <c r="O1887" t="str">
        <f t="shared" si="30"/>
        <v/>
      </c>
    </row>
    <row r="1888" spans="15:15" x14ac:dyDescent="0.3">
      <c r="O1888" t="str">
        <f t="shared" si="30"/>
        <v/>
      </c>
    </row>
    <row r="1889" spans="15:15" x14ac:dyDescent="0.3">
      <c r="O1889" t="str">
        <f t="shared" si="30"/>
        <v/>
      </c>
    </row>
    <row r="1890" spans="15:15" x14ac:dyDescent="0.3">
      <c r="O1890" t="str">
        <f t="shared" si="30"/>
        <v/>
      </c>
    </row>
    <row r="1891" spans="15:15" x14ac:dyDescent="0.3">
      <c r="O1891" t="str">
        <f t="shared" si="30"/>
        <v/>
      </c>
    </row>
    <row r="1892" spans="15:15" x14ac:dyDescent="0.3">
      <c r="O1892" t="str">
        <f t="shared" si="30"/>
        <v/>
      </c>
    </row>
    <row r="1893" spans="15:15" x14ac:dyDescent="0.3">
      <c r="O1893" t="str">
        <f t="shared" si="30"/>
        <v/>
      </c>
    </row>
    <row r="1894" spans="15:15" x14ac:dyDescent="0.3">
      <c r="O1894" t="str">
        <f t="shared" si="30"/>
        <v/>
      </c>
    </row>
    <row r="1895" spans="15:15" x14ac:dyDescent="0.3">
      <c r="O1895" t="str">
        <f t="shared" si="30"/>
        <v/>
      </c>
    </row>
    <row r="1896" spans="15:15" x14ac:dyDescent="0.3">
      <c r="O1896" t="str">
        <f t="shared" si="30"/>
        <v/>
      </c>
    </row>
    <row r="1897" spans="15:15" x14ac:dyDescent="0.3">
      <c r="O1897" t="str">
        <f t="shared" si="30"/>
        <v/>
      </c>
    </row>
    <row r="1898" spans="15:15" x14ac:dyDescent="0.3">
      <c r="O1898" t="str">
        <f t="shared" si="30"/>
        <v/>
      </c>
    </row>
    <row r="1899" spans="15:15" x14ac:dyDescent="0.3">
      <c r="O1899" t="str">
        <f t="shared" si="30"/>
        <v/>
      </c>
    </row>
    <row r="1900" spans="15:15" x14ac:dyDescent="0.3">
      <c r="O1900" t="str">
        <f t="shared" si="30"/>
        <v/>
      </c>
    </row>
    <row r="1901" spans="15:15" x14ac:dyDescent="0.3">
      <c r="O1901" t="str">
        <f t="shared" si="30"/>
        <v/>
      </c>
    </row>
    <row r="1902" spans="15:15" x14ac:dyDescent="0.3">
      <c r="O1902" t="str">
        <f t="shared" si="30"/>
        <v/>
      </c>
    </row>
    <row r="1903" spans="15:15" x14ac:dyDescent="0.3">
      <c r="O1903" t="str">
        <f t="shared" si="30"/>
        <v/>
      </c>
    </row>
    <row r="1904" spans="15:15" x14ac:dyDescent="0.3">
      <c r="O1904" t="str">
        <f t="shared" si="30"/>
        <v/>
      </c>
    </row>
    <row r="1905" spans="15:15" x14ac:dyDescent="0.3">
      <c r="O1905" t="str">
        <f t="shared" si="30"/>
        <v/>
      </c>
    </row>
    <row r="1906" spans="15:15" x14ac:dyDescent="0.3">
      <c r="O1906" t="str">
        <f t="shared" si="30"/>
        <v/>
      </c>
    </row>
    <row r="1907" spans="15:15" x14ac:dyDescent="0.3">
      <c r="O1907" t="str">
        <f t="shared" si="30"/>
        <v/>
      </c>
    </row>
    <row r="1908" spans="15:15" x14ac:dyDescent="0.3">
      <c r="O1908" t="str">
        <f t="shared" si="30"/>
        <v/>
      </c>
    </row>
    <row r="1909" spans="15:15" x14ac:dyDescent="0.3">
      <c r="O1909" t="str">
        <f t="shared" si="30"/>
        <v/>
      </c>
    </row>
    <row r="1910" spans="15:15" x14ac:dyDescent="0.3">
      <c r="O1910" t="str">
        <f t="shared" si="30"/>
        <v/>
      </c>
    </row>
    <row r="1911" spans="15:15" x14ac:dyDescent="0.3">
      <c r="O1911" t="str">
        <f t="shared" si="30"/>
        <v/>
      </c>
    </row>
    <row r="1912" spans="15:15" x14ac:dyDescent="0.3">
      <c r="O1912" t="str">
        <f t="shared" si="30"/>
        <v/>
      </c>
    </row>
    <row r="1913" spans="15:15" x14ac:dyDescent="0.3">
      <c r="O1913" t="str">
        <f t="shared" si="30"/>
        <v/>
      </c>
    </row>
    <row r="1914" spans="15:15" x14ac:dyDescent="0.3">
      <c r="O1914" t="str">
        <f t="shared" si="30"/>
        <v/>
      </c>
    </row>
    <row r="1915" spans="15:15" x14ac:dyDescent="0.3">
      <c r="O1915" t="str">
        <f t="shared" si="30"/>
        <v/>
      </c>
    </row>
    <row r="1916" spans="15:15" x14ac:dyDescent="0.3">
      <c r="O1916" t="str">
        <f t="shared" si="30"/>
        <v/>
      </c>
    </row>
    <row r="1917" spans="15:15" x14ac:dyDescent="0.3">
      <c r="O1917" t="str">
        <f t="shared" si="30"/>
        <v/>
      </c>
    </row>
    <row r="1918" spans="15:15" x14ac:dyDescent="0.3">
      <c r="O1918" t="str">
        <f t="shared" si="30"/>
        <v/>
      </c>
    </row>
    <row r="1919" spans="15:15" x14ac:dyDescent="0.3">
      <c r="O1919" t="str">
        <f t="shared" si="30"/>
        <v/>
      </c>
    </row>
    <row r="1920" spans="15:15" x14ac:dyDescent="0.3">
      <c r="O1920" t="str">
        <f t="shared" si="30"/>
        <v/>
      </c>
    </row>
    <row r="1921" spans="15:15" x14ac:dyDescent="0.3">
      <c r="O1921" t="str">
        <f t="shared" si="30"/>
        <v/>
      </c>
    </row>
    <row r="1922" spans="15:15" x14ac:dyDescent="0.3">
      <c r="O1922" t="str">
        <f t="shared" si="30"/>
        <v/>
      </c>
    </row>
    <row r="1923" spans="15:15" x14ac:dyDescent="0.3">
      <c r="O1923" t="str">
        <f t="shared" si="30"/>
        <v/>
      </c>
    </row>
    <row r="1924" spans="15:15" x14ac:dyDescent="0.3">
      <c r="O1924" t="str">
        <f t="shared" si="30"/>
        <v/>
      </c>
    </row>
    <row r="1925" spans="15:15" x14ac:dyDescent="0.3">
      <c r="O1925" t="str">
        <f t="shared" si="30"/>
        <v/>
      </c>
    </row>
    <row r="1926" spans="15:15" x14ac:dyDescent="0.3">
      <c r="O1926" t="str">
        <f t="shared" si="30"/>
        <v/>
      </c>
    </row>
    <row r="1927" spans="15:15" x14ac:dyDescent="0.3">
      <c r="O1927" t="str">
        <f t="shared" si="30"/>
        <v/>
      </c>
    </row>
    <row r="1928" spans="15:15" x14ac:dyDescent="0.3">
      <c r="O1928" t="str">
        <f t="shared" si="30"/>
        <v/>
      </c>
    </row>
    <row r="1929" spans="15:15" x14ac:dyDescent="0.3">
      <c r="O1929" t="str">
        <f t="shared" si="30"/>
        <v/>
      </c>
    </row>
    <row r="1930" spans="15:15" x14ac:dyDescent="0.3">
      <c r="O1930" t="str">
        <f t="shared" ref="O1930:O1993" si="31">IF(P1930="","",O1929+1)</f>
        <v/>
      </c>
    </row>
    <row r="1931" spans="15:15" x14ac:dyDescent="0.3">
      <c r="O1931" t="str">
        <f t="shared" si="31"/>
        <v/>
      </c>
    </row>
    <row r="1932" spans="15:15" x14ac:dyDescent="0.3">
      <c r="O1932" t="str">
        <f t="shared" si="31"/>
        <v/>
      </c>
    </row>
    <row r="1933" spans="15:15" x14ac:dyDescent="0.3">
      <c r="O1933" t="str">
        <f t="shared" si="31"/>
        <v/>
      </c>
    </row>
    <row r="1934" spans="15:15" x14ac:dyDescent="0.3">
      <c r="O1934" t="str">
        <f t="shared" si="31"/>
        <v/>
      </c>
    </row>
    <row r="1935" spans="15:15" x14ac:dyDescent="0.3">
      <c r="O1935" t="str">
        <f t="shared" si="31"/>
        <v/>
      </c>
    </row>
    <row r="1936" spans="15:15" x14ac:dyDescent="0.3">
      <c r="O1936" t="str">
        <f t="shared" si="31"/>
        <v/>
      </c>
    </row>
    <row r="1937" spans="15:15" x14ac:dyDescent="0.3">
      <c r="O1937" t="str">
        <f t="shared" si="31"/>
        <v/>
      </c>
    </row>
    <row r="1938" spans="15:15" x14ac:dyDescent="0.3">
      <c r="O1938" t="str">
        <f t="shared" si="31"/>
        <v/>
      </c>
    </row>
    <row r="1939" spans="15:15" x14ac:dyDescent="0.3">
      <c r="O1939" t="str">
        <f t="shared" si="31"/>
        <v/>
      </c>
    </row>
    <row r="1940" spans="15:15" x14ac:dyDescent="0.3">
      <c r="O1940" t="str">
        <f t="shared" si="31"/>
        <v/>
      </c>
    </row>
    <row r="1941" spans="15:15" x14ac:dyDescent="0.3">
      <c r="O1941" t="str">
        <f t="shared" si="31"/>
        <v/>
      </c>
    </row>
    <row r="1942" spans="15:15" x14ac:dyDescent="0.3">
      <c r="O1942" t="str">
        <f t="shared" si="31"/>
        <v/>
      </c>
    </row>
    <row r="1943" spans="15:15" x14ac:dyDescent="0.3">
      <c r="O1943" t="str">
        <f t="shared" si="31"/>
        <v/>
      </c>
    </row>
    <row r="1944" spans="15:15" x14ac:dyDescent="0.3">
      <c r="O1944" t="str">
        <f t="shared" si="31"/>
        <v/>
      </c>
    </row>
    <row r="1945" spans="15:15" x14ac:dyDescent="0.3">
      <c r="O1945" t="str">
        <f t="shared" si="31"/>
        <v/>
      </c>
    </row>
    <row r="1946" spans="15:15" x14ac:dyDescent="0.3">
      <c r="O1946" t="str">
        <f t="shared" si="31"/>
        <v/>
      </c>
    </row>
    <row r="1947" spans="15:15" x14ac:dyDescent="0.3">
      <c r="O1947" t="str">
        <f t="shared" si="31"/>
        <v/>
      </c>
    </row>
    <row r="1948" spans="15:15" x14ac:dyDescent="0.3">
      <c r="O1948" t="str">
        <f t="shared" si="31"/>
        <v/>
      </c>
    </row>
    <row r="1949" spans="15:15" x14ac:dyDescent="0.3">
      <c r="O1949" t="str">
        <f t="shared" si="31"/>
        <v/>
      </c>
    </row>
    <row r="1950" spans="15:15" x14ac:dyDescent="0.3">
      <c r="O1950" t="str">
        <f t="shared" si="31"/>
        <v/>
      </c>
    </row>
    <row r="1951" spans="15:15" x14ac:dyDescent="0.3">
      <c r="O1951" t="str">
        <f t="shared" si="31"/>
        <v/>
      </c>
    </row>
    <row r="1952" spans="15:15" x14ac:dyDescent="0.3">
      <c r="O1952" t="str">
        <f t="shared" si="31"/>
        <v/>
      </c>
    </row>
    <row r="1953" spans="15:15" x14ac:dyDescent="0.3">
      <c r="O1953" t="str">
        <f t="shared" si="31"/>
        <v/>
      </c>
    </row>
    <row r="1954" spans="15:15" x14ac:dyDescent="0.3">
      <c r="O1954" t="str">
        <f t="shared" si="31"/>
        <v/>
      </c>
    </row>
    <row r="1955" spans="15:15" x14ac:dyDescent="0.3">
      <c r="O1955" t="str">
        <f t="shared" si="31"/>
        <v/>
      </c>
    </row>
    <row r="1956" spans="15:15" x14ac:dyDescent="0.3">
      <c r="O1956" t="str">
        <f t="shared" si="31"/>
        <v/>
      </c>
    </row>
    <row r="1957" spans="15:15" x14ac:dyDescent="0.3">
      <c r="O1957" t="str">
        <f t="shared" si="31"/>
        <v/>
      </c>
    </row>
    <row r="1958" spans="15:15" x14ac:dyDescent="0.3">
      <c r="O1958" t="str">
        <f t="shared" si="31"/>
        <v/>
      </c>
    </row>
    <row r="1959" spans="15:15" x14ac:dyDescent="0.3">
      <c r="O1959" t="str">
        <f t="shared" si="31"/>
        <v/>
      </c>
    </row>
    <row r="1960" spans="15:15" x14ac:dyDescent="0.3">
      <c r="O1960" t="str">
        <f t="shared" si="31"/>
        <v/>
      </c>
    </row>
    <row r="1961" spans="15:15" x14ac:dyDescent="0.3">
      <c r="O1961" t="str">
        <f t="shared" si="31"/>
        <v/>
      </c>
    </row>
    <row r="1962" spans="15:15" x14ac:dyDescent="0.3">
      <c r="O1962" t="str">
        <f t="shared" si="31"/>
        <v/>
      </c>
    </row>
    <row r="1963" spans="15:15" x14ac:dyDescent="0.3">
      <c r="O1963" t="str">
        <f t="shared" si="31"/>
        <v/>
      </c>
    </row>
    <row r="1964" spans="15:15" x14ac:dyDescent="0.3">
      <c r="O1964" t="str">
        <f t="shared" si="31"/>
        <v/>
      </c>
    </row>
    <row r="1965" spans="15:15" x14ac:dyDescent="0.3">
      <c r="O1965" t="str">
        <f t="shared" si="31"/>
        <v/>
      </c>
    </row>
    <row r="1966" spans="15:15" x14ac:dyDescent="0.3">
      <c r="O1966" t="str">
        <f t="shared" si="31"/>
        <v/>
      </c>
    </row>
    <row r="1967" spans="15:15" x14ac:dyDescent="0.3">
      <c r="O1967" t="str">
        <f t="shared" si="31"/>
        <v/>
      </c>
    </row>
    <row r="1968" spans="15:15" x14ac:dyDescent="0.3">
      <c r="O1968" t="str">
        <f t="shared" si="31"/>
        <v/>
      </c>
    </row>
    <row r="1969" spans="15:15" x14ac:dyDescent="0.3">
      <c r="O1969" t="str">
        <f t="shared" si="31"/>
        <v/>
      </c>
    </row>
    <row r="1970" spans="15:15" x14ac:dyDescent="0.3">
      <c r="O1970" t="str">
        <f t="shared" si="31"/>
        <v/>
      </c>
    </row>
    <row r="1971" spans="15:15" x14ac:dyDescent="0.3">
      <c r="O1971" t="str">
        <f t="shared" si="31"/>
        <v/>
      </c>
    </row>
    <row r="1972" spans="15:15" x14ac:dyDescent="0.3">
      <c r="O1972" t="str">
        <f t="shared" si="31"/>
        <v/>
      </c>
    </row>
    <row r="1973" spans="15:15" x14ac:dyDescent="0.3">
      <c r="O1973" t="str">
        <f t="shared" si="31"/>
        <v/>
      </c>
    </row>
    <row r="1974" spans="15:15" x14ac:dyDescent="0.3">
      <c r="O1974" t="str">
        <f t="shared" si="31"/>
        <v/>
      </c>
    </row>
    <row r="1975" spans="15:15" x14ac:dyDescent="0.3">
      <c r="O1975" t="str">
        <f t="shared" si="31"/>
        <v/>
      </c>
    </row>
    <row r="1976" spans="15:15" x14ac:dyDescent="0.3">
      <c r="O1976" t="str">
        <f t="shared" si="31"/>
        <v/>
      </c>
    </row>
    <row r="1977" spans="15:15" x14ac:dyDescent="0.3">
      <c r="O1977" t="str">
        <f t="shared" si="31"/>
        <v/>
      </c>
    </row>
    <row r="1978" spans="15:15" x14ac:dyDescent="0.3">
      <c r="O1978" t="str">
        <f t="shared" si="31"/>
        <v/>
      </c>
    </row>
    <row r="1979" spans="15:15" x14ac:dyDescent="0.3">
      <c r="O1979" t="str">
        <f t="shared" si="31"/>
        <v/>
      </c>
    </row>
    <row r="1980" spans="15:15" x14ac:dyDescent="0.3">
      <c r="O1980" t="str">
        <f t="shared" si="31"/>
        <v/>
      </c>
    </row>
    <row r="1981" spans="15:15" x14ac:dyDescent="0.3">
      <c r="O1981" t="str">
        <f t="shared" si="31"/>
        <v/>
      </c>
    </row>
    <row r="1982" spans="15:15" x14ac:dyDescent="0.3">
      <c r="O1982" t="str">
        <f t="shared" si="31"/>
        <v/>
      </c>
    </row>
    <row r="1983" spans="15:15" x14ac:dyDescent="0.3">
      <c r="O1983" t="str">
        <f t="shared" si="31"/>
        <v/>
      </c>
    </row>
    <row r="1984" spans="15:15" x14ac:dyDescent="0.3">
      <c r="O1984" t="str">
        <f t="shared" si="31"/>
        <v/>
      </c>
    </row>
    <row r="1985" spans="15:15" x14ac:dyDescent="0.3">
      <c r="O1985" t="str">
        <f t="shared" si="31"/>
        <v/>
      </c>
    </row>
    <row r="1986" spans="15:15" x14ac:dyDescent="0.3">
      <c r="O1986" t="str">
        <f t="shared" si="31"/>
        <v/>
      </c>
    </row>
    <row r="1987" spans="15:15" x14ac:dyDescent="0.3">
      <c r="O1987" t="str">
        <f t="shared" si="31"/>
        <v/>
      </c>
    </row>
    <row r="1988" spans="15:15" x14ac:dyDescent="0.3">
      <c r="O1988" t="str">
        <f t="shared" si="31"/>
        <v/>
      </c>
    </row>
    <row r="1989" spans="15:15" x14ac:dyDescent="0.3">
      <c r="O1989" t="str">
        <f t="shared" si="31"/>
        <v/>
      </c>
    </row>
    <row r="1990" spans="15:15" x14ac:dyDescent="0.3">
      <c r="O1990" t="str">
        <f t="shared" si="31"/>
        <v/>
      </c>
    </row>
    <row r="1991" spans="15:15" x14ac:dyDescent="0.3">
      <c r="O1991" t="str">
        <f t="shared" si="31"/>
        <v/>
      </c>
    </row>
    <row r="1992" spans="15:15" x14ac:dyDescent="0.3">
      <c r="O1992" t="str">
        <f t="shared" si="31"/>
        <v/>
      </c>
    </row>
    <row r="1993" spans="15:15" x14ac:dyDescent="0.3">
      <c r="O1993" t="str">
        <f t="shared" si="31"/>
        <v/>
      </c>
    </row>
    <row r="1994" spans="15:15" x14ac:dyDescent="0.3">
      <c r="O1994" t="str">
        <f t="shared" ref="O1994:O2057" si="32">IF(P1994="","",O1993+1)</f>
        <v/>
      </c>
    </row>
    <row r="1995" spans="15:15" x14ac:dyDescent="0.3">
      <c r="O1995" t="str">
        <f t="shared" si="32"/>
        <v/>
      </c>
    </row>
    <row r="1996" spans="15:15" x14ac:dyDescent="0.3">
      <c r="O1996" t="str">
        <f t="shared" si="32"/>
        <v/>
      </c>
    </row>
    <row r="1997" spans="15:15" x14ac:dyDescent="0.3">
      <c r="O1997" t="str">
        <f t="shared" si="32"/>
        <v/>
      </c>
    </row>
    <row r="1998" spans="15:15" x14ac:dyDescent="0.3">
      <c r="O1998" t="str">
        <f t="shared" si="32"/>
        <v/>
      </c>
    </row>
    <row r="1999" spans="15:15" x14ac:dyDescent="0.3">
      <c r="O1999" t="str">
        <f t="shared" si="32"/>
        <v/>
      </c>
    </row>
    <row r="2000" spans="15:15" x14ac:dyDescent="0.3">
      <c r="O2000" t="str">
        <f t="shared" si="32"/>
        <v/>
      </c>
    </row>
    <row r="2001" spans="15:15" x14ac:dyDescent="0.3">
      <c r="O2001" t="str">
        <f t="shared" si="32"/>
        <v/>
      </c>
    </row>
    <row r="2002" spans="15:15" x14ac:dyDescent="0.3">
      <c r="O2002" t="str">
        <f t="shared" si="32"/>
        <v/>
      </c>
    </row>
    <row r="2003" spans="15:15" x14ac:dyDescent="0.3">
      <c r="O2003" t="str">
        <f t="shared" si="32"/>
        <v/>
      </c>
    </row>
    <row r="2004" spans="15:15" x14ac:dyDescent="0.3">
      <c r="O2004" t="str">
        <f t="shared" si="32"/>
        <v/>
      </c>
    </row>
    <row r="2005" spans="15:15" x14ac:dyDescent="0.3">
      <c r="O2005" t="str">
        <f t="shared" si="32"/>
        <v/>
      </c>
    </row>
    <row r="2006" spans="15:15" x14ac:dyDescent="0.3">
      <c r="O2006" t="str">
        <f t="shared" si="32"/>
        <v/>
      </c>
    </row>
    <row r="2007" spans="15:15" x14ac:dyDescent="0.3">
      <c r="O2007" t="str">
        <f t="shared" si="32"/>
        <v/>
      </c>
    </row>
    <row r="2008" spans="15:15" x14ac:dyDescent="0.3">
      <c r="O2008" t="str">
        <f t="shared" si="32"/>
        <v/>
      </c>
    </row>
    <row r="2009" spans="15:15" x14ac:dyDescent="0.3">
      <c r="O2009" t="str">
        <f t="shared" si="32"/>
        <v/>
      </c>
    </row>
    <row r="2010" spans="15:15" x14ac:dyDescent="0.3">
      <c r="O2010" t="str">
        <f t="shared" si="32"/>
        <v/>
      </c>
    </row>
    <row r="2011" spans="15:15" x14ac:dyDescent="0.3">
      <c r="O2011" t="str">
        <f t="shared" si="32"/>
        <v/>
      </c>
    </row>
    <row r="2012" spans="15:15" x14ac:dyDescent="0.3">
      <c r="O2012" t="str">
        <f t="shared" si="32"/>
        <v/>
      </c>
    </row>
    <row r="2013" spans="15:15" x14ac:dyDescent="0.3">
      <c r="O2013" t="str">
        <f t="shared" si="32"/>
        <v/>
      </c>
    </row>
    <row r="2014" spans="15:15" x14ac:dyDescent="0.3">
      <c r="O2014" t="str">
        <f t="shared" si="32"/>
        <v/>
      </c>
    </row>
    <row r="2015" spans="15:15" x14ac:dyDescent="0.3">
      <c r="O2015" t="str">
        <f t="shared" si="32"/>
        <v/>
      </c>
    </row>
    <row r="2016" spans="15:15" x14ac:dyDescent="0.3">
      <c r="O2016" t="str">
        <f t="shared" si="32"/>
        <v/>
      </c>
    </row>
    <row r="2017" spans="15:15" x14ac:dyDescent="0.3">
      <c r="O2017" t="str">
        <f t="shared" si="32"/>
        <v/>
      </c>
    </row>
    <row r="2018" spans="15:15" x14ac:dyDescent="0.3">
      <c r="O2018" t="str">
        <f t="shared" si="32"/>
        <v/>
      </c>
    </row>
    <row r="2019" spans="15:15" x14ac:dyDescent="0.3">
      <c r="O2019" t="str">
        <f t="shared" si="32"/>
        <v/>
      </c>
    </row>
    <row r="2020" spans="15:15" x14ac:dyDescent="0.3">
      <c r="O2020" t="str">
        <f t="shared" si="32"/>
        <v/>
      </c>
    </row>
    <row r="2021" spans="15:15" x14ac:dyDescent="0.3">
      <c r="O2021" t="str">
        <f t="shared" si="32"/>
        <v/>
      </c>
    </row>
    <row r="2022" spans="15:15" x14ac:dyDescent="0.3">
      <c r="O2022" t="str">
        <f t="shared" si="32"/>
        <v/>
      </c>
    </row>
    <row r="2023" spans="15:15" x14ac:dyDescent="0.3">
      <c r="O2023" t="str">
        <f t="shared" si="32"/>
        <v/>
      </c>
    </row>
    <row r="2024" spans="15:15" x14ac:dyDescent="0.3">
      <c r="O2024" t="str">
        <f t="shared" si="32"/>
        <v/>
      </c>
    </row>
    <row r="2025" spans="15:15" x14ac:dyDescent="0.3">
      <c r="O2025" t="str">
        <f t="shared" si="32"/>
        <v/>
      </c>
    </row>
    <row r="2026" spans="15:15" x14ac:dyDescent="0.3">
      <c r="O2026" t="str">
        <f t="shared" si="32"/>
        <v/>
      </c>
    </row>
    <row r="2027" spans="15:15" x14ac:dyDescent="0.3">
      <c r="O2027" t="str">
        <f t="shared" si="32"/>
        <v/>
      </c>
    </row>
    <row r="2028" spans="15:15" x14ac:dyDescent="0.3">
      <c r="O2028" t="str">
        <f t="shared" si="32"/>
        <v/>
      </c>
    </row>
    <row r="2029" spans="15:15" x14ac:dyDescent="0.3">
      <c r="O2029" t="str">
        <f t="shared" si="32"/>
        <v/>
      </c>
    </row>
    <row r="2030" spans="15:15" x14ac:dyDescent="0.3">
      <c r="O2030" t="str">
        <f t="shared" si="32"/>
        <v/>
      </c>
    </row>
    <row r="2031" spans="15:15" x14ac:dyDescent="0.3">
      <c r="O2031" t="str">
        <f t="shared" si="32"/>
        <v/>
      </c>
    </row>
    <row r="2032" spans="15:15" x14ac:dyDescent="0.3">
      <c r="O2032" t="str">
        <f t="shared" si="32"/>
        <v/>
      </c>
    </row>
    <row r="2033" spans="15:15" x14ac:dyDescent="0.3">
      <c r="O2033" t="str">
        <f t="shared" si="32"/>
        <v/>
      </c>
    </row>
    <row r="2034" spans="15:15" x14ac:dyDescent="0.3">
      <c r="O2034" t="str">
        <f t="shared" si="32"/>
        <v/>
      </c>
    </row>
    <row r="2035" spans="15:15" x14ac:dyDescent="0.3">
      <c r="O2035" t="str">
        <f t="shared" si="32"/>
        <v/>
      </c>
    </row>
    <row r="2036" spans="15:15" x14ac:dyDescent="0.3">
      <c r="O2036" t="str">
        <f t="shared" si="32"/>
        <v/>
      </c>
    </row>
    <row r="2037" spans="15:15" x14ac:dyDescent="0.3">
      <c r="O2037" t="str">
        <f t="shared" si="32"/>
        <v/>
      </c>
    </row>
    <row r="2038" spans="15:15" x14ac:dyDescent="0.3">
      <c r="O2038" t="str">
        <f t="shared" si="32"/>
        <v/>
      </c>
    </row>
    <row r="2039" spans="15:15" x14ac:dyDescent="0.3">
      <c r="O2039" t="str">
        <f t="shared" si="32"/>
        <v/>
      </c>
    </row>
    <row r="2040" spans="15:15" x14ac:dyDescent="0.3">
      <c r="O2040" t="str">
        <f t="shared" si="32"/>
        <v/>
      </c>
    </row>
    <row r="2041" spans="15:15" x14ac:dyDescent="0.3">
      <c r="O2041" t="str">
        <f t="shared" si="32"/>
        <v/>
      </c>
    </row>
    <row r="2042" spans="15:15" x14ac:dyDescent="0.3">
      <c r="O2042" t="str">
        <f t="shared" si="32"/>
        <v/>
      </c>
    </row>
    <row r="2043" spans="15:15" x14ac:dyDescent="0.3">
      <c r="O2043" t="str">
        <f t="shared" si="32"/>
        <v/>
      </c>
    </row>
    <row r="2044" spans="15:15" x14ac:dyDescent="0.3">
      <c r="O2044" t="str">
        <f t="shared" si="32"/>
        <v/>
      </c>
    </row>
    <row r="2045" spans="15:15" x14ac:dyDescent="0.3">
      <c r="O2045" t="str">
        <f t="shared" si="32"/>
        <v/>
      </c>
    </row>
    <row r="2046" spans="15:15" x14ac:dyDescent="0.3">
      <c r="O2046" t="str">
        <f t="shared" si="32"/>
        <v/>
      </c>
    </row>
    <row r="2047" spans="15:15" x14ac:dyDescent="0.3">
      <c r="O2047" t="str">
        <f t="shared" si="32"/>
        <v/>
      </c>
    </row>
    <row r="2048" spans="15:15" x14ac:dyDescent="0.3">
      <c r="O2048" t="str">
        <f t="shared" si="32"/>
        <v/>
      </c>
    </row>
    <row r="2049" spans="15:15" x14ac:dyDescent="0.3">
      <c r="O2049" t="str">
        <f t="shared" si="32"/>
        <v/>
      </c>
    </row>
    <row r="2050" spans="15:15" x14ac:dyDescent="0.3">
      <c r="O2050" t="str">
        <f t="shared" si="32"/>
        <v/>
      </c>
    </row>
    <row r="2051" spans="15:15" x14ac:dyDescent="0.3">
      <c r="O2051" t="str">
        <f t="shared" si="32"/>
        <v/>
      </c>
    </row>
    <row r="2052" spans="15:15" x14ac:dyDescent="0.3">
      <c r="O2052" t="str">
        <f t="shared" si="32"/>
        <v/>
      </c>
    </row>
    <row r="2053" spans="15:15" x14ac:dyDescent="0.3">
      <c r="O2053" t="str">
        <f t="shared" si="32"/>
        <v/>
      </c>
    </row>
    <row r="2054" spans="15:15" x14ac:dyDescent="0.3">
      <c r="O2054" t="str">
        <f t="shared" si="32"/>
        <v/>
      </c>
    </row>
    <row r="2055" spans="15:15" x14ac:dyDescent="0.3">
      <c r="O2055" t="str">
        <f t="shared" si="32"/>
        <v/>
      </c>
    </row>
    <row r="2056" spans="15:15" x14ac:dyDescent="0.3">
      <c r="O2056" t="str">
        <f t="shared" si="32"/>
        <v/>
      </c>
    </row>
    <row r="2057" spans="15:15" x14ac:dyDescent="0.3">
      <c r="O2057" t="str">
        <f t="shared" si="32"/>
        <v/>
      </c>
    </row>
    <row r="2058" spans="15:15" x14ac:dyDescent="0.3">
      <c r="O2058" t="str">
        <f t="shared" ref="O2058:O2121" si="33">IF(P2058="","",O2057+1)</f>
        <v/>
      </c>
    </row>
    <row r="2059" spans="15:15" x14ac:dyDescent="0.3">
      <c r="O2059" t="str">
        <f t="shared" si="33"/>
        <v/>
      </c>
    </row>
    <row r="2060" spans="15:15" x14ac:dyDescent="0.3">
      <c r="O2060" t="str">
        <f t="shared" si="33"/>
        <v/>
      </c>
    </row>
    <row r="2061" spans="15:15" x14ac:dyDescent="0.3">
      <c r="O2061" t="str">
        <f t="shared" si="33"/>
        <v/>
      </c>
    </row>
    <row r="2062" spans="15:15" x14ac:dyDescent="0.3">
      <c r="O2062" t="str">
        <f t="shared" si="33"/>
        <v/>
      </c>
    </row>
    <row r="2063" spans="15:15" x14ac:dyDescent="0.3">
      <c r="O2063" t="str">
        <f t="shared" si="33"/>
        <v/>
      </c>
    </row>
    <row r="2064" spans="15:15" x14ac:dyDescent="0.3">
      <c r="O2064" t="str">
        <f t="shared" si="33"/>
        <v/>
      </c>
    </row>
    <row r="2065" spans="15:15" x14ac:dyDescent="0.3">
      <c r="O2065" t="str">
        <f t="shared" si="33"/>
        <v/>
      </c>
    </row>
    <row r="2066" spans="15:15" x14ac:dyDescent="0.3">
      <c r="O2066" t="str">
        <f t="shared" si="33"/>
        <v/>
      </c>
    </row>
    <row r="2067" spans="15:15" x14ac:dyDescent="0.3">
      <c r="O2067" t="str">
        <f t="shared" si="33"/>
        <v/>
      </c>
    </row>
    <row r="2068" spans="15:15" x14ac:dyDescent="0.3">
      <c r="O2068" t="str">
        <f t="shared" si="33"/>
        <v/>
      </c>
    </row>
    <row r="2069" spans="15:15" x14ac:dyDescent="0.3">
      <c r="O2069" t="str">
        <f t="shared" si="33"/>
        <v/>
      </c>
    </row>
    <row r="2070" spans="15:15" x14ac:dyDescent="0.3">
      <c r="O2070" t="str">
        <f t="shared" si="33"/>
        <v/>
      </c>
    </row>
    <row r="2071" spans="15:15" x14ac:dyDescent="0.3">
      <c r="O2071" t="str">
        <f t="shared" si="33"/>
        <v/>
      </c>
    </row>
    <row r="2072" spans="15:15" x14ac:dyDescent="0.3">
      <c r="O2072" t="str">
        <f t="shared" si="33"/>
        <v/>
      </c>
    </row>
    <row r="2073" spans="15:15" x14ac:dyDescent="0.3">
      <c r="O2073" t="str">
        <f t="shared" si="33"/>
        <v/>
      </c>
    </row>
    <row r="2074" spans="15:15" x14ac:dyDescent="0.3">
      <c r="O2074" t="str">
        <f t="shared" si="33"/>
        <v/>
      </c>
    </row>
    <row r="2075" spans="15:15" x14ac:dyDescent="0.3">
      <c r="O2075" t="str">
        <f t="shared" si="33"/>
        <v/>
      </c>
    </row>
    <row r="2076" spans="15:15" x14ac:dyDescent="0.3">
      <c r="O2076" t="str">
        <f t="shared" si="33"/>
        <v/>
      </c>
    </row>
    <row r="2077" spans="15:15" x14ac:dyDescent="0.3">
      <c r="O2077" t="str">
        <f t="shared" si="33"/>
        <v/>
      </c>
    </row>
    <row r="2078" spans="15:15" x14ac:dyDescent="0.3">
      <c r="O2078" t="str">
        <f t="shared" si="33"/>
        <v/>
      </c>
    </row>
    <row r="2079" spans="15:15" x14ac:dyDescent="0.3">
      <c r="O2079" t="str">
        <f t="shared" si="33"/>
        <v/>
      </c>
    </row>
    <row r="2080" spans="15:15" x14ac:dyDescent="0.3">
      <c r="O2080" t="str">
        <f t="shared" si="33"/>
        <v/>
      </c>
    </row>
    <row r="2081" spans="15:15" x14ac:dyDescent="0.3">
      <c r="O2081" t="str">
        <f t="shared" si="33"/>
        <v/>
      </c>
    </row>
    <row r="2082" spans="15:15" x14ac:dyDescent="0.3">
      <c r="O2082" t="str">
        <f t="shared" si="33"/>
        <v/>
      </c>
    </row>
    <row r="2083" spans="15:15" x14ac:dyDescent="0.3">
      <c r="O2083" t="str">
        <f t="shared" si="33"/>
        <v/>
      </c>
    </row>
    <row r="2084" spans="15:15" x14ac:dyDescent="0.3">
      <c r="O2084" t="str">
        <f t="shared" si="33"/>
        <v/>
      </c>
    </row>
    <row r="2085" spans="15:15" x14ac:dyDescent="0.3">
      <c r="O2085" t="str">
        <f t="shared" si="33"/>
        <v/>
      </c>
    </row>
    <row r="2086" spans="15:15" x14ac:dyDescent="0.3">
      <c r="O2086" t="str">
        <f t="shared" si="33"/>
        <v/>
      </c>
    </row>
    <row r="2087" spans="15:15" x14ac:dyDescent="0.3">
      <c r="O2087" t="str">
        <f t="shared" si="33"/>
        <v/>
      </c>
    </row>
    <row r="2088" spans="15:15" x14ac:dyDescent="0.3">
      <c r="O2088" t="str">
        <f t="shared" si="33"/>
        <v/>
      </c>
    </row>
    <row r="2089" spans="15:15" x14ac:dyDescent="0.3">
      <c r="O2089" t="str">
        <f t="shared" si="33"/>
        <v/>
      </c>
    </row>
    <row r="2090" spans="15:15" x14ac:dyDescent="0.3">
      <c r="O2090" t="str">
        <f t="shared" si="33"/>
        <v/>
      </c>
    </row>
    <row r="2091" spans="15:15" x14ac:dyDescent="0.3">
      <c r="O2091" t="str">
        <f t="shared" si="33"/>
        <v/>
      </c>
    </row>
    <row r="2092" spans="15:15" x14ac:dyDescent="0.3">
      <c r="O2092" t="str">
        <f t="shared" si="33"/>
        <v/>
      </c>
    </row>
    <row r="2093" spans="15:15" x14ac:dyDescent="0.3">
      <c r="O2093" t="str">
        <f t="shared" si="33"/>
        <v/>
      </c>
    </row>
    <row r="2094" spans="15:15" x14ac:dyDescent="0.3">
      <c r="O2094" t="str">
        <f t="shared" si="33"/>
        <v/>
      </c>
    </row>
    <row r="2095" spans="15:15" x14ac:dyDescent="0.3">
      <c r="O2095" t="str">
        <f t="shared" si="33"/>
        <v/>
      </c>
    </row>
    <row r="2096" spans="15:15" x14ac:dyDescent="0.3">
      <c r="O2096" t="str">
        <f t="shared" si="33"/>
        <v/>
      </c>
    </row>
    <row r="2097" spans="15:15" x14ac:dyDescent="0.3">
      <c r="O2097" t="str">
        <f t="shared" si="33"/>
        <v/>
      </c>
    </row>
    <row r="2098" spans="15:15" x14ac:dyDescent="0.3">
      <c r="O2098" t="str">
        <f t="shared" si="33"/>
        <v/>
      </c>
    </row>
    <row r="2099" spans="15:15" x14ac:dyDescent="0.3">
      <c r="O2099" t="str">
        <f t="shared" si="33"/>
        <v/>
      </c>
    </row>
    <row r="2100" spans="15:15" x14ac:dyDescent="0.3">
      <c r="O2100" t="str">
        <f t="shared" si="33"/>
        <v/>
      </c>
    </row>
    <row r="2101" spans="15:15" x14ac:dyDescent="0.3">
      <c r="O2101" t="str">
        <f t="shared" si="33"/>
        <v/>
      </c>
    </row>
    <row r="2102" spans="15:15" x14ac:dyDescent="0.3">
      <c r="O2102" t="str">
        <f t="shared" si="33"/>
        <v/>
      </c>
    </row>
    <row r="2103" spans="15:15" x14ac:dyDescent="0.3">
      <c r="O2103" t="str">
        <f t="shared" si="33"/>
        <v/>
      </c>
    </row>
    <row r="2104" spans="15:15" x14ac:dyDescent="0.3">
      <c r="O2104" t="str">
        <f t="shared" si="33"/>
        <v/>
      </c>
    </row>
    <row r="2105" spans="15:15" x14ac:dyDescent="0.3">
      <c r="O2105" t="str">
        <f t="shared" si="33"/>
        <v/>
      </c>
    </row>
    <row r="2106" spans="15:15" x14ac:dyDescent="0.3">
      <c r="O2106" t="str">
        <f t="shared" si="33"/>
        <v/>
      </c>
    </row>
    <row r="2107" spans="15:15" x14ac:dyDescent="0.3">
      <c r="O2107" t="str">
        <f t="shared" si="33"/>
        <v/>
      </c>
    </row>
    <row r="2108" spans="15:15" x14ac:dyDescent="0.3">
      <c r="O2108" t="str">
        <f t="shared" si="33"/>
        <v/>
      </c>
    </row>
    <row r="2109" spans="15:15" x14ac:dyDescent="0.3">
      <c r="O2109" t="str">
        <f t="shared" si="33"/>
        <v/>
      </c>
    </row>
    <row r="2110" spans="15:15" x14ac:dyDescent="0.3">
      <c r="O2110" t="str">
        <f t="shared" si="33"/>
        <v/>
      </c>
    </row>
    <row r="2111" spans="15:15" x14ac:dyDescent="0.3">
      <c r="O2111" t="str">
        <f t="shared" si="33"/>
        <v/>
      </c>
    </row>
    <row r="2112" spans="15:15" x14ac:dyDescent="0.3">
      <c r="O2112" t="str">
        <f t="shared" si="33"/>
        <v/>
      </c>
    </row>
    <row r="2113" spans="15:15" x14ac:dyDescent="0.3">
      <c r="O2113" t="str">
        <f t="shared" si="33"/>
        <v/>
      </c>
    </row>
    <row r="2114" spans="15:15" x14ac:dyDescent="0.3">
      <c r="O2114" t="str">
        <f t="shared" si="33"/>
        <v/>
      </c>
    </row>
    <row r="2115" spans="15:15" x14ac:dyDescent="0.3">
      <c r="O2115" t="str">
        <f t="shared" si="33"/>
        <v/>
      </c>
    </row>
    <row r="2116" spans="15:15" x14ac:dyDescent="0.3">
      <c r="O2116" t="str">
        <f t="shared" si="33"/>
        <v/>
      </c>
    </row>
    <row r="2117" spans="15:15" x14ac:dyDescent="0.3">
      <c r="O2117" t="str">
        <f t="shared" si="33"/>
        <v/>
      </c>
    </row>
    <row r="2118" spans="15:15" x14ac:dyDescent="0.3">
      <c r="O2118" t="str">
        <f t="shared" si="33"/>
        <v/>
      </c>
    </row>
    <row r="2119" spans="15:15" x14ac:dyDescent="0.3">
      <c r="O2119" t="str">
        <f t="shared" si="33"/>
        <v/>
      </c>
    </row>
    <row r="2120" spans="15:15" x14ac:dyDescent="0.3">
      <c r="O2120" t="str">
        <f t="shared" si="33"/>
        <v/>
      </c>
    </row>
    <row r="2121" spans="15:15" x14ac:dyDescent="0.3">
      <c r="O2121" t="str">
        <f t="shared" si="33"/>
        <v/>
      </c>
    </row>
    <row r="2122" spans="15:15" x14ac:dyDescent="0.3">
      <c r="O2122" t="str">
        <f t="shared" ref="O2122:O2185" si="34">IF(P2122="","",O2121+1)</f>
        <v/>
      </c>
    </row>
    <row r="2123" spans="15:15" x14ac:dyDescent="0.3">
      <c r="O2123" t="str">
        <f t="shared" si="34"/>
        <v/>
      </c>
    </row>
    <row r="2124" spans="15:15" x14ac:dyDescent="0.3">
      <c r="O2124" t="str">
        <f t="shared" si="34"/>
        <v/>
      </c>
    </row>
    <row r="2125" spans="15:15" x14ac:dyDescent="0.3">
      <c r="O2125" t="str">
        <f t="shared" si="34"/>
        <v/>
      </c>
    </row>
    <row r="2126" spans="15:15" x14ac:dyDescent="0.3">
      <c r="O2126" t="str">
        <f t="shared" si="34"/>
        <v/>
      </c>
    </row>
    <row r="2127" spans="15:15" x14ac:dyDescent="0.3">
      <c r="O2127" t="str">
        <f t="shared" si="34"/>
        <v/>
      </c>
    </row>
    <row r="2128" spans="15:15" x14ac:dyDescent="0.3">
      <c r="O2128" t="str">
        <f t="shared" si="34"/>
        <v/>
      </c>
    </row>
    <row r="2129" spans="15:15" x14ac:dyDescent="0.3">
      <c r="O2129" t="str">
        <f t="shared" si="34"/>
        <v/>
      </c>
    </row>
    <row r="2130" spans="15:15" x14ac:dyDescent="0.3">
      <c r="O2130" t="str">
        <f t="shared" si="34"/>
        <v/>
      </c>
    </row>
    <row r="2131" spans="15:15" x14ac:dyDescent="0.3">
      <c r="O2131" t="str">
        <f t="shared" si="34"/>
        <v/>
      </c>
    </row>
    <row r="2132" spans="15:15" x14ac:dyDescent="0.3">
      <c r="O2132" t="str">
        <f t="shared" si="34"/>
        <v/>
      </c>
    </row>
    <row r="2133" spans="15:15" x14ac:dyDescent="0.3">
      <c r="O2133" t="str">
        <f t="shared" si="34"/>
        <v/>
      </c>
    </row>
    <row r="2134" spans="15:15" x14ac:dyDescent="0.3">
      <c r="O2134" t="str">
        <f t="shared" si="34"/>
        <v/>
      </c>
    </row>
    <row r="2135" spans="15:15" x14ac:dyDescent="0.3">
      <c r="O2135" t="str">
        <f t="shared" si="34"/>
        <v/>
      </c>
    </row>
    <row r="2136" spans="15:15" x14ac:dyDescent="0.3">
      <c r="O2136" t="str">
        <f t="shared" si="34"/>
        <v/>
      </c>
    </row>
    <row r="2137" spans="15:15" x14ac:dyDescent="0.3">
      <c r="O2137" t="str">
        <f t="shared" si="34"/>
        <v/>
      </c>
    </row>
    <row r="2138" spans="15:15" x14ac:dyDescent="0.3">
      <c r="O2138" t="str">
        <f t="shared" si="34"/>
        <v/>
      </c>
    </row>
    <row r="2139" spans="15:15" x14ac:dyDescent="0.3">
      <c r="O2139" t="str">
        <f t="shared" si="34"/>
        <v/>
      </c>
    </row>
    <row r="2140" spans="15:15" x14ac:dyDescent="0.3">
      <c r="O2140" t="str">
        <f t="shared" si="34"/>
        <v/>
      </c>
    </row>
    <row r="2141" spans="15:15" x14ac:dyDescent="0.3">
      <c r="O2141" t="str">
        <f t="shared" si="34"/>
        <v/>
      </c>
    </row>
    <row r="2142" spans="15:15" x14ac:dyDescent="0.3">
      <c r="O2142" t="str">
        <f t="shared" si="34"/>
        <v/>
      </c>
    </row>
    <row r="2143" spans="15:15" x14ac:dyDescent="0.3">
      <c r="O2143" t="str">
        <f t="shared" si="34"/>
        <v/>
      </c>
    </row>
    <row r="2144" spans="15:15" x14ac:dyDescent="0.3">
      <c r="O2144" t="str">
        <f t="shared" si="34"/>
        <v/>
      </c>
    </row>
    <row r="2145" spans="15:15" x14ac:dyDescent="0.3">
      <c r="O2145" t="str">
        <f t="shared" si="34"/>
        <v/>
      </c>
    </row>
    <row r="2146" spans="15:15" x14ac:dyDescent="0.3">
      <c r="O2146" t="str">
        <f t="shared" si="34"/>
        <v/>
      </c>
    </row>
    <row r="2147" spans="15:15" x14ac:dyDescent="0.3">
      <c r="O2147" t="str">
        <f t="shared" si="34"/>
        <v/>
      </c>
    </row>
    <row r="2148" spans="15:15" x14ac:dyDescent="0.3">
      <c r="O2148" t="str">
        <f t="shared" si="34"/>
        <v/>
      </c>
    </row>
    <row r="2149" spans="15:15" x14ac:dyDescent="0.3">
      <c r="O2149" t="str">
        <f t="shared" si="34"/>
        <v/>
      </c>
    </row>
    <row r="2150" spans="15:15" x14ac:dyDescent="0.3">
      <c r="O2150" t="str">
        <f t="shared" si="34"/>
        <v/>
      </c>
    </row>
    <row r="2151" spans="15:15" x14ac:dyDescent="0.3">
      <c r="O2151" t="str">
        <f t="shared" si="34"/>
        <v/>
      </c>
    </row>
    <row r="2152" spans="15:15" x14ac:dyDescent="0.3">
      <c r="O2152" t="str">
        <f t="shared" si="34"/>
        <v/>
      </c>
    </row>
    <row r="2153" spans="15:15" x14ac:dyDescent="0.3">
      <c r="O2153" t="str">
        <f t="shared" si="34"/>
        <v/>
      </c>
    </row>
    <row r="2154" spans="15:15" x14ac:dyDescent="0.3">
      <c r="O2154" t="str">
        <f t="shared" si="34"/>
        <v/>
      </c>
    </row>
    <row r="2155" spans="15:15" x14ac:dyDescent="0.3">
      <c r="O2155" t="str">
        <f t="shared" si="34"/>
        <v/>
      </c>
    </row>
    <row r="2156" spans="15:15" x14ac:dyDescent="0.3">
      <c r="O2156" t="str">
        <f t="shared" si="34"/>
        <v/>
      </c>
    </row>
    <row r="2157" spans="15:15" x14ac:dyDescent="0.3">
      <c r="O2157" t="str">
        <f t="shared" si="34"/>
        <v/>
      </c>
    </row>
    <row r="2158" spans="15:15" x14ac:dyDescent="0.3">
      <c r="O2158" t="str">
        <f t="shared" si="34"/>
        <v/>
      </c>
    </row>
    <row r="2159" spans="15:15" x14ac:dyDescent="0.3">
      <c r="O2159" t="str">
        <f t="shared" si="34"/>
        <v/>
      </c>
    </row>
    <row r="2160" spans="15:15" x14ac:dyDescent="0.3">
      <c r="O2160" t="str">
        <f t="shared" si="34"/>
        <v/>
      </c>
    </row>
    <row r="2161" spans="15:15" x14ac:dyDescent="0.3">
      <c r="O2161" t="str">
        <f t="shared" si="34"/>
        <v/>
      </c>
    </row>
    <row r="2162" spans="15:15" x14ac:dyDescent="0.3">
      <c r="O2162" t="str">
        <f t="shared" si="34"/>
        <v/>
      </c>
    </row>
    <row r="2163" spans="15:15" x14ac:dyDescent="0.3">
      <c r="O2163" t="str">
        <f t="shared" si="34"/>
        <v/>
      </c>
    </row>
    <row r="2164" spans="15:15" x14ac:dyDescent="0.3">
      <c r="O2164" t="str">
        <f t="shared" si="34"/>
        <v/>
      </c>
    </row>
    <row r="2165" spans="15:15" x14ac:dyDescent="0.3">
      <c r="O2165" t="str">
        <f t="shared" si="34"/>
        <v/>
      </c>
    </row>
    <row r="2166" spans="15:15" x14ac:dyDescent="0.3">
      <c r="O2166" t="str">
        <f t="shared" si="34"/>
        <v/>
      </c>
    </row>
    <row r="2167" spans="15:15" x14ac:dyDescent="0.3">
      <c r="O2167" t="str">
        <f t="shared" si="34"/>
        <v/>
      </c>
    </row>
    <row r="2168" spans="15:15" x14ac:dyDescent="0.3">
      <c r="O2168" t="str">
        <f t="shared" si="34"/>
        <v/>
      </c>
    </row>
    <row r="2169" spans="15:15" x14ac:dyDescent="0.3">
      <c r="O2169" t="str">
        <f t="shared" si="34"/>
        <v/>
      </c>
    </row>
    <row r="2170" spans="15:15" x14ac:dyDescent="0.3">
      <c r="O2170" t="str">
        <f t="shared" si="34"/>
        <v/>
      </c>
    </row>
    <row r="2171" spans="15:15" x14ac:dyDescent="0.3">
      <c r="O2171" t="str">
        <f t="shared" si="34"/>
        <v/>
      </c>
    </row>
    <row r="2172" spans="15:15" x14ac:dyDescent="0.3">
      <c r="O2172" t="str">
        <f t="shared" si="34"/>
        <v/>
      </c>
    </row>
    <row r="2173" spans="15:15" x14ac:dyDescent="0.3">
      <c r="O2173" t="str">
        <f t="shared" si="34"/>
        <v/>
      </c>
    </row>
    <row r="2174" spans="15:15" x14ac:dyDescent="0.3">
      <c r="O2174" t="str">
        <f t="shared" si="34"/>
        <v/>
      </c>
    </row>
    <row r="2175" spans="15:15" x14ac:dyDescent="0.3">
      <c r="O2175" t="str">
        <f t="shared" si="34"/>
        <v/>
      </c>
    </row>
    <row r="2176" spans="15:15" x14ac:dyDescent="0.3">
      <c r="O2176" t="str">
        <f t="shared" si="34"/>
        <v/>
      </c>
    </row>
    <row r="2177" spans="15:15" x14ac:dyDescent="0.3">
      <c r="O2177" t="str">
        <f t="shared" si="34"/>
        <v/>
      </c>
    </row>
    <row r="2178" spans="15:15" x14ac:dyDescent="0.3">
      <c r="O2178" t="str">
        <f t="shared" si="34"/>
        <v/>
      </c>
    </row>
    <row r="2179" spans="15:15" x14ac:dyDescent="0.3">
      <c r="O2179" t="str">
        <f t="shared" si="34"/>
        <v/>
      </c>
    </row>
    <row r="2180" spans="15:15" x14ac:dyDescent="0.3">
      <c r="O2180" t="str">
        <f t="shared" si="34"/>
        <v/>
      </c>
    </row>
    <row r="2181" spans="15:15" x14ac:dyDescent="0.3">
      <c r="O2181" t="str">
        <f t="shared" si="34"/>
        <v/>
      </c>
    </row>
    <row r="2182" spans="15:15" x14ac:dyDescent="0.3">
      <c r="O2182" t="str">
        <f t="shared" si="34"/>
        <v/>
      </c>
    </row>
    <row r="2183" spans="15:15" x14ac:dyDescent="0.3">
      <c r="O2183" t="str">
        <f t="shared" si="34"/>
        <v/>
      </c>
    </row>
    <row r="2184" spans="15:15" x14ac:dyDescent="0.3">
      <c r="O2184" t="str">
        <f t="shared" si="34"/>
        <v/>
      </c>
    </row>
    <row r="2185" spans="15:15" x14ac:dyDescent="0.3">
      <c r="O2185" t="str">
        <f t="shared" si="34"/>
        <v/>
      </c>
    </row>
    <row r="2186" spans="15:15" x14ac:dyDescent="0.3">
      <c r="O2186" t="str">
        <f t="shared" ref="O2186:O2249" si="35">IF(P2186="","",O2185+1)</f>
        <v/>
      </c>
    </row>
    <row r="2187" spans="15:15" x14ac:dyDescent="0.3">
      <c r="O2187" t="str">
        <f t="shared" si="35"/>
        <v/>
      </c>
    </row>
    <row r="2188" spans="15:15" x14ac:dyDescent="0.3">
      <c r="O2188" t="str">
        <f t="shared" si="35"/>
        <v/>
      </c>
    </row>
    <row r="2189" spans="15:15" x14ac:dyDescent="0.3">
      <c r="O2189" t="str">
        <f t="shared" si="35"/>
        <v/>
      </c>
    </row>
    <row r="2190" spans="15:15" x14ac:dyDescent="0.3">
      <c r="O2190" t="str">
        <f t="shared" si="35"/>
        <v/>
      </c>
    </row>
    <row r="2191" spans="15:15" x14ac:dyDescent="0.3">
      <c r="O2191" t="str">
        <f t="shared" si="35"/>
        <v/>
      </c>
    </row>
    <row r="2192" spans="15:15" x14ac:dyDescent="0.3">
      <c r="O2192" t="str">
        <f t="shared" si="35"/>
        <v/>
      </c>
    </row>
    <row r="2193" spans="15:15" x14ac:dyDescent="0.3">
      <c r="O2193" t="str">
        <f t="shared" si="35"/>
        <v/>
      </c>
    </row>
    <row r="2194" spans="15:15" x14ac:dyDescent="0.3">
      <c r="O2194" t="str">
        <f t="shared" si="35"/>
        <v/>
      </c>
    </row>
    <row r="2195" spans="15:15" x14ac:dyDescent="0.3">
      <c r="O2195" t="str">
        <f t="shared" si="35"/>
        <v/>
      </c>
    </row>
    <row r="2196" spans="15:15" x14ac:dyDescent="0.3">
      <c r="O2196" t="str">
        <f t="shared" si="35"/>
        <v/>
      </c>
    </row>
    <row r="2197" spans="15:15" x14ac:dyDescent="0.3">
      <c r="O2197" t="str">
        <f t="shared" si="35"/>
        <v/>
      </c>
    </row>
    <row r="2198" spans="15:15" x14ac:dyDescent="0.3">
      <c r="O2198" t="str">
        <f t="shared" si="35"/>
        <v/>
      </c>
    </row>
    <row r="2199" spans="15:15" x14ac:dyDescent="0.3">
      <c r="O2199" t="str">
        <f t="shared" si="35"/>
        <v/>
      </c>
    </row>
    <row r="2200" spans="15:15" x14ac:dyDescent="0.3">
      <c r="O2200" t="str">
        <f t="shared" si="35"/>
        <v/>
      </c>
    </row>
    <row r="2201" spans="15:15" x14ac:dyDescent="0.3">
      <c r="O2201" t="str">
        <f t="shared" si="35"/>
        <v/>
      </c>
    </row>
    <row r="2202" spans="15:15" x14ac:dyDescent="0.3">
      <c r="O2202" t="str">
        <f t="shared" si="35"/>
        <v/>
      </c>
    </row>
    <row r="2203" spans="15:15" x14ac:dyDescent="0.3">
      <c r="O2203" t="str">
        <f t="shared" si="35"/>
        <v/>
      </c>
    </row>
    <row r="2204" spans="15:15" x14ac:dyDescent="0.3">
      <c r="O2204" t="str">
        <f t="shared" si="35"/>
        <v/>
      </c>
    </row>
    <row r="2205" spans="15:15" x14ac:dyDescent="0.3">
      <c r="O2205" t="str">
        <f t="shared" si="35"/>
        <v/>
      </c>
    </row>
    <row r="2206" spans="15:15" x14ac:dyDescent="0.3">
      <c r="O2206" t="str">
        <f t="shared" si="35"/>
        <v/>
      </c>
    </row>
    <row r="2207" spans="15:15" x14ac:dyDescent="0.3">
      <c r="O2207" t="str">
        <f t="shared" si="35"/>
        <v/>
      </c>
    </row>
    <row r="2208" spans="15:15" x14ac:dyDescent="0.3">
      <c r="O2208" t="str">
        <f t="shared" si="35"/>
        <v/>
      </c>
    </row>
    <row r="2209" spans="15:15" x14ac:dyDescent="0.3">
      <c r="O2209" t="str">
        <f t="shared" si="35"/>
        <v/>
      </c>
    </row>
    <row r="2210" spans="15:15" x14ac:dyDescent="0.3">
      <c r="O2210" t="str">
        <f t="shared" si="35"/>
        <v/>
      </c>
    </row>
    <row r="2211" spans="15:15" x14ac:dyDescent="0.3">
      <c r="O2211" t="str">
        <f t="shared" si="35"/>
        <v/>
      </c>
    </row>
    <row r="2212" spans="15:15" x14ac:dyDescent="0.3">
      <c r="O2212" t="str">
        <f t="shared" si="35"/>
        <v/>
      </c>
    </row>
    <row r="2213" spans="15:15" x14ac:dyDescent="0.3">
      <c r="O2213" t="str">
        <f t="shared" si="35"/>
        <v/>
      </c>
    </row>
    <row r="2214" spans="15:15" x14ac:dyDescent="0.3">
      <c r="O2214" t="str">
        <f t="shared" si="35"/>
        <v/>
      </c>
    </row>
    <row r="2215" spans="15:15" x14ac:dyDescent="0.3">
      <c r="O2215" t="str">
        <f t="shared" si="35"/>
        <v/>
      </c>
    </row>
    <row r="2216" spans="15:15" x14ac:dyDescent="0.3">
      <c r="O2216" t="str">
        <f t="shared" si="35"/>
        <v/>
      </c>
    </row>
    <row r="2217" spans="15:15" x14ac:dyDescent="0.3">
      <c r="O2217" t="str">
        <f t="shared" si="35"/>
        <v/>
      </c>
    </row>
    <row r="2218" spans="15:15" x14ac:dyDescent="0.3">
      <c r="O2218" t="str">
        <f t="shared" si="35"/>
        <v/>
      </c>
    </row>
    <row r="2219" spans="15:15" x14ac:dyDescent="0.3">
      <c r="O2219" t="str">
        <f t="shared" si="35"/>
        <v/>
      </c>
    </row>
    <row r="2220" spans="15:15" x14ac:dyDescent="0.3">
      <c r="O2220" t="str">
        <f t="shared" si="35"/>
        <v/>
      </c>
    </row>
    <row r="2221" spans="15:15" x14ac:dyDescent="0.3">
      <c r="O2221" t="str">
        <f t="shared" si="35"/>
        <v/>
      </c>
    </row>
    <row r="2222" spans="15:15" x14ac:dyDescent="0.3">
      <c r="O2222" t="str">
        <f t="shared" si="35"/>
        <v/>
      </c>
    </row>
    <row r="2223" spans="15:15" x14ac:dyDescent="0.3">
      <c r="O2223" t="str">
        <f t="shared" si="35"/>
        <v/>
      </c>
    </row>
    <row r="2224" spans="15:15" x14ac:dyDescent="0.3">
      <c r="O2224" t="str">
        <f t="shared" si="35"/>
        <v/>
      </c>
    </row>
    <row r="2225" spans="15:15" x14ac:dyDescent="0.3">
      <c r="O2225" t="str">
        <f t="shared" si="35"/>
        <v/>
      </c>
    </row>
    <row r="2226" spans="15:15" x14ac:dyDescent="0.3">
      <c r="O2226" t="str">
        <f t="shared" si="35"/>
        <v/>
      </c>
    </row>
    <row r="2227" spans="15:15" x14ac:dyDescent="0.3">
      <c r="O2227" t="str">
        <f t="shared" si="35"/>
        <v/>
      </c>
    </row>
    <row r="2228" spans="15:15" x14ac:dyDescent="0.3">
      <c r="O2228" t="str">
        <f t="shared" si="35"/>
        <v/>
      </c>
    </row>
    <row r="2229" spans="15:15" x14ac:dyDescent="0.3">
      <c r="O2229" t="str">
        <f t="shared" si="35"/>
        <v/>
      </c>
    </row>
    <row r="2230" spans="15:15" x14ac:dyDescent="0.3">
      <c r="O2230" t="str">
        <f t="shared" si="35"/>
        <v/>
      </c>
    </row>
    <row r="2231" spans="15:15" x14ac:dyDescent="0.3">
      <c r="O2231" t="str">
        <f t="shared" si="35"/>
        <v/>
      </c>
    </row>
    <row r="2232" spans="15:15" x14ac:dyDescent="0.3">
      <c r="O2232" t="str">
        <f t="shared" si="35"/>
        <v/>
      </c>
    </row>
    <row r="2233" spans="15:15" x14ac:dyDescent="0.3">
      <c r="O2233" t="str">
        <f t="shared" si="35"/>
        <v/>
      </c>
    </row>
    <row r="2234" spans="15:15" x14ac:dyDescent="0.3">
      <c r="O2234" t="str">
        <f t="shared" si="35"/>
        <v/>
      </c>
    </row>
    <row r="2235" spans="15:15" x14ac:dyDescent="0.3">
      <c r="O2235" t="str">
        <f t="shared" si="35"/>
        <v/>
      </c>
    </row>
    <row r="2236" spans="15:15" x14ac:dyDescent="0.3">
      <c r="O2236" t="str">
        <f t="shared" si="35"/>
        <v/>
      </c>
    </row>
    <row r="2237" spans="15:15" x14ac:dyDescent="0.3">
      <c r="O2237" t="str">
        <f t="shared" si="35"/>
        <v/>
      </c>
    </row>
    <row r="2238" spans="15:15" x14ac:dyDescent="0.3">
      <c r="O2238" t="str">
        <f t="shared" si="35"/>
        <v/>
      </c>
    </row>
    <row r="2239" spans="15:15" x14ac:dyDescent="0.3">
      <c r="O2239" t="str">
        <f t="shared" si="35"/>
        <v/>
      </c>
    </row>
    <row r="2240" spans="15:15" x14ac:dyDescent="0.3">
      <c r="O2240" t="str">
        <f t="shared" si="35"/>
        <v/>
      </c>
    </row>
    <row r="2241" spans="15:15" x14ac:dyDescent="0.3">
      <c r="O2241" t="str">
        <f t="shared" si="35"/>
        <v/>
      </c>
    </row>
    <row r="2242" spans="15:15" x14ac:dyDescent="0.3">
      <c r="O2242" t="str">
        <f t="shared" si="35"/>
        <v/>
      </c>
    </row>
    <row r="2243" spans="15:15" x14ac:dyDescent="0.3">
      <c r="O2243" t="str">
        <f t="shared" si="35"/>
        <v/>
      </c>
    </row>
    <row r="2244" spans="15:15" x14ac:dyDescent="0.3">
      <c r="O2244" t="str">
        <f t="shared" si="35"/>
        <v/>
      </c>
    </row>
    <row r="2245" spans="15:15" x14ac:dyDescent="0.3">
      <c r="O2245" t="str">
        <f t="shared" si="35"/>
        <v/>
      </c>
    </row>
    <row r="2246" spans="15:15" x14ac:dyDescent="0.3">
      <c r="O2246" t="str">
        <f t="shared" si="35"/>
        <v/>
      </c>
    </row>
    <row r="2247" spans="15:15" x14ac:dyDescent="0.3">
      <c r="O2247" t="str">
        <f t="shared" si="35"/>
        <v/>
      </c>
    </row>
    <row r="2248" spans="15:15" x14ac:dyDescent="0.3">
      <c r="O2248" t="str">
        <f t="shared" si="35"/>
        <v/>
      </c>
    </row>
    <row r="2249" spans="15:15" x14ac:dyDescent="0.3">
      <c r="O2249" t="str">
        <f t="shared" si="35"/>
        <v/>
      </c>
    </row>
    <row r="2250" spans="15:15" x14ac:dyDescent="0.3">
      <c r="O2250" t="str">
        <f t="shared" ref="O2250:O2313" si="36">IF(P2250="","",O2249+1)</f>
        <v/>
      </c>
    </row>
    <row r="2251" spans="15:15" x14ac:dyDescent="0.3">
      <c r="O2251" t="str">
        <f t="shared" si="36"/>
        <v/>
      </c>
    </row>
    <row r="2252" spans="15:15" x14ac:dyDescent="0.3">
      <c r="O2252" t="str">
        <f t="shared" si="36"/>
        <v/>
      </c>
    </row>
    <row r="2253" spans="15:15" x14ac:dyDescent="0.3">
      <c r="O2253" t="str">
        <f t="shared" si="36"/>
        <v/>
      </c>
    </row>
    <row r="2254" spans="15:15" x14ac:dyDescent="0.3">
      <c r="O2254" t="str">
        <f t="shared" si="36"/>
        <v/>
      </c>
    </row>
    <row r="2255" spans="15:15" x14ac:dyDescent="0.3">
      <c r="O2255" t="str">
        <f t="shared" si="36"/>
        <v/>
      </c>
    </row>
    <row r="2256" spans="15:15" x14ac:dyDescent="0.3">
      <c r="O2256" t="str">
        <f t="shared" si="36"/>
        <v/>
      </c>
    </row>
    <row r="2257" spans="15:15" x14ac:dyDescent="0.3">
      <c r="O2257" t="str">
        <f t="shared" si="36"/>
        <v/>
      </c>
    </row>
    <row r="2258" spans="15:15" x14ac:dyDescent="0.3">
      <c r="O2258" t="str">
        <f t="shared" si="36"/>
        <v/>
      </c>
    </row>
    <row r="2259" spans="15:15" x14ac:dyDescent="0.3">
      <c r="O2259" t="str">
        <f t="shared" si="36"/>
        <v/>
      </c>
    </row>
    <row r="2260" spans="15:15" x14ac:dyDescent="0.3">
      <c r="O2260" t="str">
        <f t="shared" si="36"/>
        <v/>
      </c>
    </row>
    <row r="2261" spans="15:15" x14ac:dyDescent="0.3">
      <c r="O2261" t="str">
        <f t="shared" si="36"/>
        <v/>
      </c>
    </row>
    <row r="2262" spans="15:15" x14ac:dyDescent="0.3">
      <c r="O2262" t="str">
        <f t="shared" si="36"/>
        <v/>
      </c>
    </row>
    <row r="2263" spans="15:15" x14ac:dyDescent="0.3">
      <c r="O2263" t="str">
        <f t="shared" si="36"/>
        <v/>
      </c>
    </row>
    <row r="2264" spans="15:15" x14ac:dyDescent="0.3">
      <c r="O2264" t="str">
        <f t="shared" si="36"/>
        <v/>
      </c>
    </row>
    <row r="2265" spans="15:15" x14ac:dyDescent="0.3">
      <c r="O2265" t="str">
        <f t="shared" si="36"/>
        <v/>
      </c>
    </row>
    <row r="2266" spans="15:15" x14ac:dyDescent="0.3">
      <c r="O2266" t="str">
        <f t="shared" si="36"/>
        <v/>
      </c>
    </row>
    <row r="2267" spans="15:15" x14ac:dyDescent="0.3">
      <c r="O2267" t="str">
        <f t="shared" si="36"/>
        <v/>
      </c>
    </row>
    <row r="2268" spans="15:15" x14ac:dyDescent="0.3">
      <c r="O2268" t="str">
        <f t="shared" si="36"/>
        <v/>
      </c>
    </row>
    <row r="2269" spans="15:15" x14ac:dyDescent="0.3">
      <c r="O2269" t="str">
        <f t="shared" si="36"/>
        <v/>
      </c>
    </row>
    <row r="2270" spans="15:15" x14ac:dyDescent="0.3">
      <c r="O2270" t="str">
        <f t="shared" si="36"/>
        <v/>
      </c>
    </row>
    <row r="2271" spans="15:15" x14ac:dyDescent="0.3">
      <c r="O2271" t="str">
        <f t="shared" si="36"/>
        <v/>
      </c>
    </row>
    <row r="2272" spans="15:15" x14ac:dyDescent="0.3">
      <c r="O2272" t="str">
        <f t="shared" si="36"/>
        <v/>
      </c>
    </row>
    <row r="2273" spans="15:15" x14ac:dyDescent="0.3">
      <c r="O2273" t="str">
        <f t="shared" si="36"/>
        <v/>
      </c>
    </row>
    <row r="2274" spans="15:15" x14ac:dyDescent="0.3">
      <c r="O2274" t="str">
        <f t="shared" si="36"/>
        <v/>
      </c>
    </row>
    <row r="2275" spans="15:15" x14ac:dyDescent="0.3">
      <c r="O2275" t="str">
        <f t="shared" si="36"/>
        <v/>
      </c>
    </row>
    <row r="2276" spans="15:15" x14ac:dyDescent="0.3">
      <c r="O2276" t="str">
        <f t="shared" si="36"/>
        <v/>
      </c>
    </row>
    <row r="2277" spans="15:15" x14ac:dyDescent="0.3">
      <c r="O2277" t="str">
        <f t="shared" si="36"/>
        <v/>
      </c>
    </row>
    <row r="2278" spans="15:15" x14ac:dyDescent="0.3">
      <c r="O2278" t="str">
        <f t="shared" si="36"/>
        <v/>
      </c>
    </row>
    <row r="2279" spans="15:15" x14ac:dyDescent="0.3">
      <c r="O2279" t="str">
        <f t="shared" si="36"/>
        <v/>
      </c>
    </row>
    <row r="2280" spans="15:15" x14ac:dyDescent="0.3">
      <c r="O2280" t="str">
        <f t="shared" si="36"/>
        <v/>
      </c>
    </row>
    <row r="2281" spans="15:15" x14ac:dyDescent="0.3">
      <c r="O2281" t="str">
        <f t="shared" si="36"/>
        <v/>
      </c>
    </row>
    <row r="2282" spans="15:15" x14ac:dyDescent="0.3">
      <c r="O2282" t="str">
        <f t="shared" si="36"/>
        <v/>
      </c>
    </row>
    <row r="2283" spans="15:15" x14ac:dyDescent="0.3">
      <c r="O2283" t="str">
        <f t="shared" si="36"/>
        <v/>
      </c>
    </row>
    <row r="2284" spans="15:15" x14ac:dyDescent="0.3">
      <c r="O2284" t="str">
        <f t="shared" si="36"/>
        <v/>
      </c>
    </row>
    <row r="2285" spans="15:15" x14ac:dyDescent="0.3">
      <c r="O2285" t="str">
        <f t="shared" si="36"/>
        <v/>
      </c>
    </row>
    <row r="2286" spans="15:15" x14ac:dyDescent="0.3">
      <c r="O2286" t="str">
        <f t="shared" si="36"/>
        <v/>
      </c>
    </row>
    <row r="2287" spans="15:15" x14ac:dyDescent="0.3">
      <c r="O2287" t="str">
        <f t="shared" si="36"/>
        <v/>
      </c>
    </row>
    <row r="2288" spans="15:15" x14ac:dyDescent="0.3">
      <c r="O2288" t="str">
        <f t="shared" si="36"/>
        <v/>
      </c>
    </row>
    <row r="2289" spans="15:15" x14ac:dyDescent="0.3">
      <c r="O2289" t="str">
        <f t="shared" si="36"/>
        <v/>
      </c>
    </row>
    <row r="2290" spans="15:15" x14ac:dyDescent="0.3">
      <c r="O2290" t="str">
        <f t="shared" si="36"/>
        <v/>
      </c>
    </row>
    <row r="2291" spans="15:15" x14ac:dyDescent="0.3">
      <c r="O2291" t="str">
        <f t="shared" si="36"/>
        <v/>
      </c>
    </row>
    <row r="2292" spans="15:15" x14ac:dyDescent="0.3">
      <c r="O2292" t="str">
        <f t="shared" si="36"/>
        <v/>
      </c>
    </row>
    <row r="2293" spans="15:15" x14ac:dyDescent="0.3">
      <c r="O2293" t="str">
        <f t="shared" si="36"/>
        <v/>
      </c>
    </row>
    <row r="2294" spans="15:15" x14ac:dyDescent="0.3">
      <c r="O2294" t="str">
        <f t="shared" si="36"/>
        <v/>
      </c>
    </row>
    <row r="2295" spans="15:15" x14ac:dyDescent="0.3">
      <c r="O2295" t="str">
        <f t="shared" si="36"/>
        <v/>
      </c>
    </row>
    <row r="2296" spans="15:15" x14ac:dyDescent="0.3">
      <c r="O2296" t="str">
        <f t="shared" si="36"/>
        <v/>
      </c>
    </row>
    <row r="2297" spans="15:15" x14ac:dyDescent="0.3">
      <c r="O2297" t="str">
        <f t="shared" si="36"/>
        <v/>
      </c>
    </row>
    <row r="2298" spans="15:15" x14ac:dyDescent="0.3">
      <c r="O2298" t="str">
        <f t="shared" si="36"/>
        <v/>
      </c>
    </row>
    <row r="2299" spans="15:15" x14ac:dyDescent="0.3">
      <c r="O2299" t="str">
        <f t="shared" si="36"/>
        <v/>
      </c>
    </row>
    <row r="2300" spans="15:15" x14ac:dyDescent="0.3">
      <c r="O2300" t="str">
        <f t="shared" si="36"/>
        <v/>
      </c>
    </row>
    <row r="2301" spans="15:15" x14ac:dyDescent="0.3">
      <c r="O2301" t="str">
        <f t="shared" si="36"/>
        <v/>
      </c>
    </row>
    <row r="2302" spans="15:15" x14ac:dyDescent="0.3">
      <c r="O2302" t="str">
        <f t="shared" si="36"/>
        <v/>
      </c>
    </row>
    <row r="2303" spans="15:15" x14ac:dyDescent="0.3">
      <c r="O2303" t="str">
        <f t="shared" si="36"/>
        <v/>
      </c>
    </row>
    <row r="2304" spans="15:15" x14ac:dyDescent="0.3">
      <c r="O2304" t="str">
        <f t="shared" si="36"/>
        <v/>
      </c>
    </row>
    <row r="2305" spans="15:15" x14ac:dyDescent="0.3">
      <c r="O2305" t="str">
        <f t="shared" si="36"/>
        <v/>
      </c>
    </row>
    <row r="2306" spans="15:15" x14ac:dyDescent="0.3">
      <c r="O2306" t="str">
        <f t="shared" si="36"/>
        <v/>
      </c>
    </row>
    <row r="2307" spans="15:15" x14ac:dyDescent="0.3">
      <c r="O2307" t="str">
        <f t="shared" si="36"/>
        <v/>
      </c>
    </row>
    <row r="2308" spans="15:15" x14ac:dyDescent="0.3">
      <c r="O2308" t="str">
        <f t="shared" si="36"/>
        <v/>
      </c>
    </row>
    <row r="2309" spans="15:15" x14ac:dyDescent="0.3">
      <c r="O2309" t="str">
        <f t="shared" si="36"/>
        <v/>
      </c>
    </row>
    <row r="2310" spans="15:15" x14ac:dyDescent="0.3">
      <c r="O2310" t="str">
        <f t="shared" si="36"/>
        <v/>
      </c>
    </row>
    <row r="2311" spans="15:15" x14ac:dyDescent="0.3">
      <c r="O2311" t="str">
        <f t="shared" si="36"/>
        <v/>
      </c>
    </row>
    <row r="2312" spans="15:15" x14ac:dyDescent="0.3">
      <c r="O2312" t="str">
        <f t="shared" si="36"/>
        <v/>
      </c>
    </row>
    <row r="2313" spans="15:15" x14ac:dyDescent="0.3">
      <c r="O2313" t="str">
        <f t="shared" si="36"/>
        <v/>
      </c>
    </row>
    <row r="2314" spans="15:15" x14ac:dyDescent="0.3">
      <c r="O2314" t="str">
        <f t="shared" ref="O2314:O2377" si="37">IF(P2314="","",O2313+1)</f>
        <v/>
      </c>
    </row>
    <row r="2315" spans="15:15" x14ac:dyDescent="0.3">
      <c r="O2315" t="str">
        <f t="shared" si="37"/>
        <v/>
      </c>
    </row>
    <row r="2316" spans="15:15" x14ac:dyDescent="0.3">
      <c r="O2316" t="str">
        <f t="shared" si="37"/>
        <v/>
      </c>
    </row>
    <row r="2317" spans="15:15" x14ac:dyDescent="0.3">
      <c r="O2317" t="str">
        <f t="shared" si="37"/>
        <v/>
      </c>
    </row>
    <row r="2318" spans="15:15" x14ac:dyDescent="0.3">
      <c r="O2318" t="str">
        <f t="shared" si="37"/>
        <v/>
      </c>
    </row>
    <row r="2319" spans="15:15" x14ac:dyDescent="0.3">
      <c r="O2319" t="str">
        <f t="shared" si="37"/>
        <v/>
      </c>
    </row>
    <row r="2320" spans="15:15" x14ac:dyDescent="0.3">
      <c r="O2320" t="str">
        <f t="shared" si="37"/>
        <v/>
      </c>
    </row>
    <row r="2321" spans="15:15" x14ac:dyDescent="0.3">
      <c r="O2321" t="str">
        <f t="shared" si="37"/>
        <v/>
      </c>
    </row>
    <row r="2322" spans="15:15" x14ac:dyDescent="0.3">
      <c r="O2322" t="str">
        <f t="shared" si="37"/>
        <v/>
      </c>
    </row>
    <row r="2323" spans="15:15" x14ac:dyDescent="0.3">
      <c r="O2323" t="str">
        <f t="shared" si="37"/>
        <v/>
      </c>
    </row>
    <row r="2324" spans="15:15" x14ac:dyDescent="0.3">
      <c r="O2324" t="str">
        <f t="shared" si="37"/>
        <v/>
      </c>
    </row>
    <row r="2325" spans="15:15" x14ac:dyDescent="0.3">
      <c r="O2325" t="str">
        <f t="shared" si="37"/>
        <v/>
      </c>
    </row>
    <row r="2326" spans="15:15" x14ac:dyDescent="0.3">
      <c r="O2326" t="str">
        <f t="shared" si="37"/>
        <v/>
      </c>
    </row>
    <row r="2327" spans="15:15" x14ac:dyDescent="0.3">
      <c r="O2327" t="str">
        <f t="shared" si="37"/>
        <v/>
      </c>
    </row>
    <row r="2328" spans="15:15" x14ac:dyDescent="0.3">
      <c r="O2328" t="str">
        <f t="shared" si="37"/>
        <v/>
      </c>
    </row>
    <row r="2329" spans="15:15" x14ac:dyDescent="0.3">
      <c r="O2329" t="str">
        <f t="shared" si="37"/>
        <v/>
      </c>
    </row>
    <row r="2330" spans="15:15" x14ac:dyDescent="0.3">
      <c r="O2330" t="str">
        <f t="shared" si="37"/>
        <v/>
      </c>
    </row>
    <row r="2331" spans="15:15" x14ac:dyDescent="0.3">
      <c r="O2331" t="str">
        <f t="shared" si="37"/>
        <v/>
      </c>
    </row>
    <row r="2332" spans="15:15" x14ac:dyDescent="0.3">
      <c r="O2332" t="str">
        <f t="shared" si="37"/>
        <v/>
      </c>
    </row>
    <row r="2333" spans="15:15" x14ac:dyDescent="0.3">
      <c r="O2333" t="str">
        <f t="shared" si="37"/>
        <v/>
      </c>
    </row>
    <row r="2334" spans="15:15" x14ac:dyDescent="0.3">
      <c r="O2334" t="str">
        <f t="shared" si="37"/>
        <v/>
      </c>
    </row>
    <row r="2335" spans="15:15" x14ac:dyDescent="0.3">
      <c r="O2335" t="str">
        <f t="shared" si="37"/>
        <v/>
      </c>
    </row>
    <row r="2336" spans="15:15" x14ac:dyDescent="0.3">
      <c r="O2336" t="str">
        <f t="shared" si="37"/>
        <v/>
      </c>
    </row>
    <row r="2337" spans="15:15" x14ac:dyDescent="0.3">
      <c r="O2337" t="str">
        <f t="shared" si="37"/>
        <v/>
      </c>
    </row>
    <row r="2338" spans="15:15" x14ac:dyDescent="0.3">
      <c r="O2338" t="str">
        <f t="shared" si="37"/>
        <v/>
      </c>
    </row>
    <row r="2339" spans="15:15" x14ac:dyDescent="0.3">
      <c r="O2339" t="str">
        <f t="shared" si="37"/>
        <v/>
      </c>
    </row>
    <row r="2340" spans="15:15" x14ac:dyDescent="0.3">
      <c r="O2340" t="str">
        <f t="shared" si="37"/>
        <v/>
      </c>
    </row>
    <row r="2341" spans="15:15" x14ac:dyDescent="0.3">
      <c r="O2341" t="str">
        <f t="shared" si="37"/>
        <v/>
      </c>
    </row>
    <row r="2342" spans="15:15" x14ac:dyDescent="0.3">
      <c r="O2342" t="str">
        <f t="shared" si="37"/>
        <v/>
      </c>
    </row>
    <row r="2343" spans="15:15" x14ac:dyDescent="0.3">
      <c r="O2343" t="str">
        <f t="shared" si="37"/>
        <v/>
      </c>
    </row>
    <row r="2344" spans="15:15" x14ac:dyDescent="0.3">
      <c r="O2344" t="str">
        <f t="shared" si="37"/>
        <v/>
      </c>
    </row>
    <row r="2345" spans="15:15" x14ac:dyDescent="0.3">
      <c r="O2345" t="str">
        <f t="shared" si="37"/>
        <v/>
      </c>
    </row>
    <row r="2346" spans="15:15" x14ac:dyDescent="0.3">
      <c r="O2346" t="str">
        <f t="shared" si="37"/>
        <v/>
      </c>
    </row>
    <row r="2347" spans="15:15" x14ac:dyDescent="0.3">
      <c r="O2347" t="str">
        <f t="shared" si="37"/>
        <v/>
      </c>
    </row>
    <row r="2348" spans="15:15" x14ac:dyDescent="0.3">
      <c r="O2348" t="str">
        <f t="shared" si="37"/>
        <v/>
      </c>
    </row>
    <row r="2349" spans="15:15" x14ac:dyDescent="0.3">
      <c r="O2349" t="str">
        <f t="shared" si="37"/>
        <v/>
      </c>
    </row>
    <row r="2350" spans="15:15" x14ac:dyDescent="0.3">
      <c r="O2350" t="str">
        <f t="shared" si="37"/>
        <v/>
      </c>
    </row>
    <row r="2351" spans="15:15" x14ac:dyDescent="0.3">
      <c r="O2351" t="str">
        <f t="shared" si="37"/>
        <v/>
      </c>
    </row>
    <row r="2352" spans="15:15" x14ac:dyDescent="0.3">
      <c r="O2352" t="str">
        <f t="shared" si="37"/>
        <v/>
      </c>
    </row>
    <row r="2353" spans="15:15" x14ac:dyDescent="0.3">
      <c r="O2353" t="str">
        <f t="shared" si="37"/>
        <v/>
      </c>
    </row>
    <row r="2354" spans="15:15" x14ac:dyDescent="0.3">
      <c r="O2354" t="str">
        <f t="shared" si="37"/>
        <v/>
      </c>
    </row>
    <row r="2355" spans="15:15" x14ac:dyDescent="0.3">
      <c r="O2355" t="str">
        <f t="shared" si="37"/>
        <v/>
      </c>
    </row>
    <row r="2356" spans="15:15" x14ac:dyDescent="0.3">
      <c r="O2356" t="str">
        <f t="shared" si="37"/>
        <v/>
      </c>
    </row>
    <row r="2357" spans="15:15" x14ac:dyDescent="0.3">
      <c r="O2357" t="str">
        <f t="shared" si="37"/>
        <v/>
      </c>
    </row>
    <row r="2358" spans="15:15" x14ac:dyDescent="0.3">
      <c r="O2358" t="str">
        <f t="shared" si="37"/>
        <v/>
      </c>
    </row>
    <row r="2359" spans="15:15" x14ac:dyDescent="0.3">
      <c r="O2359" t="str">
        <f t="shared" si="37"/>
        <v/>
      </c>
    </row>
    <row r="2360" spans="15:15" x14ac:dyDescent="0.3">
      <c r="O2360" t="str">
        <f t="shared" si="37"/>
        <v/>
      </c>
    </row>
    <row r="2361" spans="15:15" x14ac:dyDescent="0.3">
      <c r="O2361" t="str">
        <f t="shared" si="37"/>
        <v/>
      </c>
    </row>
    <row r="2362" spans="15:15" x14ac:dyDescent="0.3">
      <c r="O2362" t="str">
        <f t="shared" si="37"/>
        <v/>
      </c>
    </row>
    <row r="2363" spans="15:15" x14ac:dyDescent="0.3">
      <c r="O2363" t="str">
        <f t="shared" si="37"/>
        <v/>
      </c>
    </row>
    <row r="2364" spans="15:15" x14ac:dyDescent="0.3">
      <c r="O2364" t="str">
        <f t="shared" si="37"/>
        <v/>
      </c>
    </row>
    <row r="2365" spans="15:15" x14ac:dyDescent="0.3">
      <c r="O2365" t="str">
        <f t="shared" si="37"/>
        <v/>
      </c>
    </row>
    <row r="2366" spans="15:15" x14ac:dyDescent="0.3">
      <c r="O2366" t="str">
        <f t="shared" si="37"/>
        <v/>
      </c>
    </row>
    <row r="2367" spans="15:15" x14ac:dyDescent="0.3">
      <c r="O2367" t="str">
        <f t="shared" si="37"/>
        <v/>
      </c>
    </row>
    <row r="2368" spans="15:15" x14ac:dyDescent="0.3">
      <c r="O2368" t="str">
        <f t="shared" si="37"/>
        <v/>
      </c>
    </row>
    <row r="2369" spans="15:15" x14ac:dyDescent="0.3">
      <c r="O2369" t="str">
        <f t="shared" si="37"/>
        <v/>
      </c>
    </row>
    <row r="2370" spans="15:15" x14ac:dyDescent="0.3">
      <c r="O2370" t="str">
        <f t="shared" si="37"/>
        <v/>
      </c>
    </row>
    <row r="2371" spans="15:15" x14ac:dyDescent="0.3">
      <c r="O2371" t="str">
        <f t="shared" si="37"/>
        <v/>
      </c>
    </row>
    <row r="2372" spans="15:15" x14ac:dyDescent="0.3">
      <c r="O2372" t="str">
        <f t="shared" si="37"/>
        <v/>
      </c>
    </row>
    <row r="2373" spans="15:15" x14ac:dyDescent="0.3">
      <c r="O2373" t="str">
        <f t="shared" si="37"/>
        <v/>
      </c>
    </row>
    <row r="2374" spans="15:15" x14ac:dyDescent="0.3">
      <c r="O2374" t="str">
        <f t="shared" si="37"/>
        <v/>
      </c>
    </row>
    <row r="2375" spans="15:15" x14ac:dyDescent="0.3">
      <c r="O2375" t="str">
        <f t="shared" si="37"/>
        <v/>
      </c>
    </row>
    <row r="2376" spans="15:15" x14ac:dyDescent="0.3">
      <c r="O2376" t="str">
        <f t="shared" si="37"/>
        <v/>
      </c>
    </row>
    <row r="2377" spans="15:15" x14ac:dyDescent="0.3">
      <c r="O2377" t="str">
        <f t="shared" si="37"/>
        <v/>
      </c>
    </row>
    <row r="2378" spans="15:15" x14ac:dyDescent="0.3">
      <c r="O2378" t="str">
        <f t="shared" ref="O2378:O2441" si="38">IF(P2378="","",O2377+1)</f>
        <v/>
      </c>
    </row>
    <row r="2379" spans="15:15" x14ac:dyDescent="0.3">
      <c r="O2379" t="str">
        <f t="shared" si="38"/>
        <v/>
      </c>
    </row>
    <row r="2380" spans="15:15" x14ac:dyDescent="0.3">
      <c r="O2380" t="str">
        <f t="shared" si="38"/>
        <v/>
      </c>
    </row>
    <row r="2381" spans="15:15" x14ac:dyDescent="0.3">
      <c r="O2381" t="str">
        <f t="shared" si="38"/>
        <v/>
      </c>
    </row>
    <row r="2382" spans="15:15" x14ac:dyDescent="0.3">
      <c r="O2382" t="str">
        <f t="shared" si="38"/>
        <v/>
      </c>
    </row>
    <row r="2383" spans="15:15" x14ac:dyDescent="0.3">
      <c r="O2383" t="str">
        <f t="shared" si="38"/>
        <v/>
      </c>
    </row>
    <row r="2384" spans="15:15" x14ac:dyDescent="0.3">
      <c r="O2384" t="str">
        <f t="shared" si="38"/>
        <v/>
      </c>
    </row>
    <row r="2385" spans="15:15" x14ac:dyDescent="0.3">
      <c r="O2385" t="str">
        <f t="shared" si="38"/>
        <v/>
      </c>
    </row>
    <row r="2386" spans="15:15" x14ac:dyDescent="0.3">
      <c r="O2386" t="str">
        <f t="shared" si="38"/>
        <v/>
      </c>
    </row>
    <row r="2387" spans="15:15" x14ac:dyDescent="0.3">
      <c r="O2387" t="str">
        <f t="shared" si="38"/>
        <v/>
      </c>
    </row>
    <row r="2388" spans="15:15" x14ac:dyDescent="0.3">
      <c r="O2388" t="str">
        <f t="shared" si="38"/>
        <v/>
      </c>
    </row>
    <row r="2389" spans="15:15" x14ac:dyDescent="0.3">
      <c r="O2389" t="str">
        <f t="shared" si="38"/>
        <v/>
      </c>
    </row>
    <row r="2390" spans="15:15" x14ac:dyDescent="0.3">
      <c r="O2390" t="str">
        <f t="shared" si="38"/>
        <v/>
      </c>
    </row>
    <row r="2391" spans="15:15" x14ac:dyDescent="0.3">
      <c r="O2391" t="str">
        <f t="shared" si="38"/>
        <v/>
      </c>
    </row>
    <row r="2392" spans="15:15" x14ac:dyDescent="0.3">
      <c r="O2392" t="str">
        <f t="shared" si="38"/>
        <v/>
      </c>
    </row>
    <row r="2393" spans="15:15" x14ac:dyDescent="0.3">
      <c r="O2393" t="str">
        <f t="shared" si="38"/>
        <v/>
      </c>
    </row>
    <row r="2394" spans="15:15" x14ac:dyDescent="0.3">
      <c r="O2394" t="str">
        <f t="shared" si="38"/>
        <v/>
      </c>
    </row>
    <row r="2395" spans="15:15" x14ac:dyDescent="0.3">
      <c r="O2395" t="str">
        <f t="shared" si="38"/>
        <v/>
      </c>
    </row>
    <row r="2396" spans="15:15" x14ac:dyDescent="0.3">
      <c r="O2396" t="str">
        <f t="shared" si="38"/>
        <v/>
      </c>
    </row>
    <row r="2397" spans="15:15" x14ac:dyDescent="0.3">
      <c r="O2397" t="str">
        <f t="shared" si="38"/>
        <v/>
      </c>
    </row>
    <row r="2398" spans="15:15" x14ac:dyDescent="0.3">
      <c r="O2398" t="str">
        <f t="shared" si="38"/>
        <v/>
      </c>
    </row>
    <row r="2399" spans="15:15" x14ac:dyDescent="0.3">
      <c r="O2399" t="str">
        <f t="shared" si="38"/>
        <v/>
      </c>
    </row>
    <row r="2400" spans="15:15" x14ac:dyDescent="0.3">
      <c r="O2400" t="str">
        <f t="shared" si="38"/>
        <v/>
      </c>
    </row>
    <row r="2401" spans="15:15" x14ac:dyDescent="0.3">
      <c r="O2401" t="str">
        <f t="shared" si="38"/>
        <v/>
      </c>
    </row>
    <row r="2402" spans="15:15" x14ac:dyDescent="0.3">
      <c r="O2402" t="str">
        <f t="shared" si="38"/>
        <v/>
      </c>
    </row>
    <row r="2403" spans="15:15" x14ac:dyDescent="0.3">
      <c r="O2403" t="str">
        <f t="shared" si="38"/>
        <v/>
      </c>
    </row>
    <row r="2404" spans="15:15" x14ac:dyDescent="0.3">
      <c r="O2404" t="str">
        <f t="shared" si="38"/>
        <v/>
      </c>
    </row>
    <row r="2405" spans="15:15" x14ac:dyDescent="0.3">
      <c r="O2405" t="str">
        <f t="shared" si="38"/>
        <v/>
      </c>
    </row>
    <row r="2406" spans="15:15" x14ac:dyDescent="0.3">
      <c r="O2406" t="str">
        <f t="shared" si="38"/>
        <v/>
      </c>
    </row>
    <row r="2407" spans="15:15" x14ac:dyDescent="0.3">
      <c r="O2407" t="str">
        <f t="shared" si="38"/>
        <v/>
      </c>
    </row>
    <row r="2408" spans="15:15" x14ac:dyDescent="0.3">
      <c r="O2408" t="str">
        <f t="shared" si="38"/>
        <v/>
      </c>
    </row>
    <row r="2409" spans="15:15" x14ac:dyDescent="0.3">
      <c r="O2409" t="str">
        <f t="shared" si="38"/>
        <v/>
      </c>
    </row>
    <row r="2410" spans="15:15" x14ac:dyDescent="0.3">
      <c r="O2410" t="str">
        <f t="shared" si="38"/>
        <v/>
      </c>
    </row>
    <row r="2411" spans="15:15" x14ac:dyDescent="0.3">
      <c r="O2411" t="str">
        <f t="shared" si="38"/>
        <v/>
      </c>
    </row>
    <row r="2412" spans="15:15" x14ac:dyDescent="0.3">
      <c r="O2412" t="str">
        <f t="shared" si="38"/>
        <v/>
      </c>
    </row>
    <row r="2413" spans="15:15" x14ac:dyDescent="0.3">
      <c r="O2413" t="str">
        <f t="shared" si="38"/>
        <v/>
      </c>
    </row>
    <row r="2414" spans="15:15" x14ac:dyDescent="0.3">
      <c r="O2414" t="str">
        <f t="shared" si="38"/>
        <v/>
      </c>
    </row>
    <row r="2415" spans="15:15" x14ac:dyDescent="0.3">
      <c r="O2415" t="str">
        <f t="shared" si="38"/>
        <v/>
      </c>
    </row>
    <row r="2416" spans="15:15" x14ac:dyDescent="0.3">
      <c r="O2416" t="str">
        <f t="shared" si="38"/>
        <v/>
      </c>
    </row>
    <row r="2417" spans="15:15" x14ac:dyDescent="0.3">
      <c r="O2417" t="str">
        <f t="shared" si="38"/>
        <v/>
      </c>
    </row>
    <row r="2418" spans="15:15" x14ac:dyDescent="0.3">
      <c r="O2418" t="str">
        <f t="shared" si="38"/>
        <v/>
      </c>
    </row>
    <row r="2419" spans="15:15" x14ac:dyDescent="0.3">
      <c r="O2419" t="str">
        <f t="shared" si="38"/>
        <v/>
      </c>
    </row>
    <row r="2420" spans="15:15" x14ac:dyDescent="0.3">
      <c r="O2420" t="str">
        <f t="shared" si="38"/>
        <v/>
      </c>
    </row>
    <row r="2421" spans="15:15" x14ac:dyDescent="0.3">
      <c r="O2421" t="str">
        <f t="shared" si="38"/>
        <v/>
      </c>
    </row>
    <row r="2422" spans="15:15" x14ac:dyDescent="0.3">
      <c r="O2422" t="str">
        <f t="shared" si="38"/>
        <v/>
      </c>
    </row>
    <row r="2423" spans="15:15" x14ac:dyDescent="0.3">
      <c r="O2423" t="str">
        <f t="shared" si="38"/>
        <v/>
      </c>
    </row>
    <row r="2424" spans="15:15" x14ac:dyDescent="0.3">
      <c r="O2424" t="str">
        <f t="shared" si="38"/>
        <v/>
      </c>
    </row>
    <row r="2425" spans="15:15" x14ac:dyDescent="0.3">
      <c r="O2425" t="str">
        <f t="shared" si="38"/>
        <v/>
      </c>
    </row>
    <row r="2426" spans="15:15" x14ac:dyDescent="0.3">
      <c r="O2426" t="str">
        <f t="shared" si="38"/>
        <v/>
      </c>
    </row>
    <row r="2427" spans="15:15" x14ac:dyDescent="0.3">
      <c r="O2427" t="str">
        <f t="shared" si="38"/>
        <v/>
      </c>
    </row>
    <row r="2428" spans="15:15" x14ac:dyDescent="0.3">
      <c r="O2428" t="str">
        <f t="shared" si="38"/>
        <v/>
      </c>
    </row>
    <row r="2429" spans="15:15" x14ac:dyDescent="0.3">
      <c r="O2429" t="str">
        <f t="shared" si="38"/>
        <v/>
      </c>
    </row>
    <row r="2430" spans="15:15" x14ac:dyDescent="0.3">
      <c r="O2430" t="str">
        <f t="shared" si="38"/>
        <v/>
      </c>
    </row>
    <row r="2431" spans="15:15" x14ac:dyDescent="0.3">
      <c r="O2431" t="str">
        <f t="shared" si="38"/>
        <v/>
      </c>
    </row>
    <row r="2432" spans="15:15" x14ac:dyDescent="0.3">
      <c r="O2432" t="str">
        <f t="shared" si="38"/>
        <v/>
      </c>
    </row>
    <row r="2433" spans="15:15" x14ac:dyDescent="0.3">
      <c r="O2433" t="str">
        <f t="shared" si="38"/>
        <v/>
      </c>
    </row>
    <row r="2434" spans="15:15" x14ac:dyDescent="0.3">
      <c r="O2434" t="str">
        <f t="shared" si="38"/>
        <v/>
      </c>
    </row>
    <row r="2435" spans="15:15" x14ac:dyDescent="0.3">
      <c r="O2435" t="str">
        <f t="shared" si="38"/>
        <v/>
      </c>
    </row>
    <row r="2436" spans="15:15" x14ac:dyDescent="0.3">
      <c r="O2436" t="str">
        <f t="shared" si="38"/>
        <v/>
      </c>
    </row>
    <row r="2437" spans="15:15" x14ac:dyDescent="0.3">
      <c r="O2437" t="str">
        <f t="shared" si="38"/>
        <v/>
      </c>
    </row>
    <row r="2438" spans="15:15" x14ac:dyDescent="0.3">
      <c r="O2438" t="str">
        <f t="shared" si="38"/>
        <v/>
      </c>
    </row>
    <row r="2439" spans="15:15" x14ac:dyDescent="0.3">
      <c r="O2439" t="str">
        <f t="shared" si="38"/>
        <v/>
      </c>
    </row>
    <row r="2440" spans="15:15" x14ac:dyDescent="0.3">
      <c r="O2440" t="str">
        <f t="shared" si="38"/>
        <v/>
      </c>
    </row>
    <row r="2441" spans="15:15" x14ac:dyDescent="0.3">
      <c r="O2441" t="str">
        <f t="shared" si="38"/>
        <v/>
      </c>
    </row>
    <row r="2442" spans="15:15" x14ac:dyDescent="0.3">
      <c r="O2442" t="str">
        <f t="shared" ref="O2442:O2505" si="39">IF(P2442="","",O2441+1)</f>
        <v/>
      </c>
    </row>
    <row r="2443" spans="15:15" x14ac:dyDescent="0.3">
      <c r="O2443" t="str">
        <f t="shared" si="39"/>
        <v/>
      </c>
    </row>
    <row r="2444" spans="15:15" x14ac:dyDescent="0.3">
      <c r="O2444" t="str">
        <f t="shared" si="39"/>
        <v/>
      </c>
    </row>
    <row r="2445" spans="15:15" x14ac:dyDescent="0.3">
      <c r="O2445" t="str">
        <f t="shared" si="39"/>
        <v/>
      </c>
    </row>
    <row r="2446" spans="15:15" x14ac:dyDescent="0.3">
      <c r="O2446" t="str">
        <f t="shared" si="39"/>
        <v/>
      </c>
    </row>
    <row r="2447" spans="15:15" x14ac:dyDescent="0.3">
      <c r="O2447" t="str">
        <f t="shared" si="39"/>
        <v/>
      </c>
    </row>
    <row r="2448" spans="15:15" x14ac:dyDescent="0.3">
      <c r="O2448" t="str">
        <f t="shared" si="39"/>
        <v/>
      </c>
    </row>
    <row r="2449" spans="15:15" x14ac:dyDescent="0.3">
      <c r="O2449" t="str">
        <f t="shared" si="39"/>
        <v/>
      </c>
    </row>
    <row r="2450" spans="15:15" x14ac:dyDescent="0.3">
      <c r="O2450" t="str">
        <f t="shared" si="39"/>
        <v/>
      </c>
    </row>
    <row r="2451" spans="15:15" x14ac:dyDescent="0.3">
      <c r="O2451" t="str">
        <f t="shared" si="39"/>
        <v/>
      </c>
    </row>
    <row r="2452" spans="15:15" x14ac:dyDescent="0.3">
      <c r="O2452" t="str">
        <f t="shared" si="39"/>
        <v/>
      </c>
    </row>
    <row r="2453" spans="15:15" x14ac:dyDescent="0.3">
      <c r="O2453" t="str">
        <f t="shared" si="39"/>
        <v/>
      </c>
    </row>
    <row r="2454" spans="15:15" x14ac:dyDescent="0.3">
      <c r="O2454" t="str">
        <f t="shared" si="39"/>
        <v/>
      </c>
    </row>
    <row r="2455" spans="15:15" x14ac:dyDescent="0.3">
      <c r="O2455" t="str">
        <f t="shared" si="39"/>
        <v/>
      </c>
    </row>
    <row r="2456" spans="15:15" x14ac:dyDescent="0.3">
      <c r="O2456" t="str">
        <f t="shared" si="39"/>
        <v/>
      </c>
    </row>
    <row r="2457" spans="15:15" x14ac:dyDescent="0.3">
      <c r="O2457" t="str">
        <f t="shared" si="39"/>
        <v/>
      </c>
    </row>
    <row r="2458" spans="15:15" x14ac:dyDescent="0.3">
      <c r="O2458" t="str">
        <f t="shared" si="39"/>
        <v/>
      </c>
    </row>
    <row r="2459" spans="15:15" x14ac:dyDescent="0.3">
      <c r="O2459" t="str">
        <f t="shared" si="39"/>
        <v/>
      </c>
    </row>
    <row r="2460" spans="15:15" x14ac:dyDescent="0.3">
      <c r="O2460" t="str">
        <f t="shared" si="39"/>
        <v/>
      </c>
    </row>
    <row r="2461" spans="15:15" x14ac:dyDescent="0.3">
      <c r="O2461" t="str">
        <f t="shared" si="39"/>
        <v/>
      </c>
    </row>
    <row r="2462" spans="15:15" x14ac:dyDescent="0.3">
      <c r="O2462" t="str">
        <f t="shared" si="39"/>
        <v/>
      </c>
    </row>
    <row r="2463" spans="15:15" x14ac:dyDescent="0.3">
      <c r="O2463" t="str">
        <f t="shared" si="39"/>
        <v/>
      </c>
    </row>
    <row r="2464" spans="15:15" x14ac:dyDescent="0.3">
      <c r="O2464" t="str">
        <f t="shared" si="39"/>
        <v/>
      </c>
    </row>
    <row r="2465" spans="15:15" x14ac:dyDescent="0.3">
      <c r="O2465" t="str">
        <f t="shared" si="39"/>
        <v/>
      </c>
    </row>
    <row r="2466" spans="15:15" x14ac:dyDescent="0.3">
      <c r="O2466" t="str">
        <f t="shared" si="39"/>
        <v/>
      </c>
    </row>
    <row r="2467" spans="15:15" x14ac:dyDescent="0.3">
      <c r="O2467" t="str">
        <f t="shared" si="39"/>
        <v/>
      </c>
    </row>
    <row r="2468" spans="15:15" x14ac:dyDescent="0.3">
      <c r="O2468" t="str">
        <f t="shared" si="39"/>
        <v/>
      </c>
    </row>
    <row r="2469" spans="15:15" x14ac:dyDescent="0.3">
      <c r="O2469" t="str">
        <f t="shared" si="39"/>
        <v/>
      </c>
    </row>
    <row r="2470" spans="15:15" x14ac:dyDescent="0.3">
      <c r="O2470" t="str">
        <f t="shared" si="39"/>
        <v/>
      </c>
    </row>
    <row r="2471" spans="15:15" x14ac:dyDescent="0.3">
      <c r="O2471" t="str">
        <f t="shared" si="39"/>
        <v/>
      </c>
    </row>
    <row r="2472" spans="15:15" x14ac:dyDescent="0.3">
      <c r="O2472" t="str">
        <f t="shared" si="39"/>
        <v/>
      </c>
    </row>
    <row r="2473" spans="15:15" x14ac:dyDescent="0.3">
      <c r="O2473" t="str">
        <f t="shared" si="39"/>
        <v/>
      </c>
    </row>
    <row r="2474" spans="15:15" x14ac:dyDescent="0.3">
      <c r="O2474" t="str">
        <f t="shared" si="39"/>
        <v/>
      </c>
    </row>
    <row r="2475" spans="15:15" x14ac:dyDescent="0.3">
      <c r="O2475" t="str">
        <f t="shared" si="39"/>
        <v/>
      </c>
    </row>
    <row r="2476" spans="15:15" x14ac:dyDescent="0.3">
      <c r="O2476" t="str">
        <f t="shared" si="39"/>
        <v/>
      </c>
    </row>
    <row r="2477" spans="15:15" x14ac:dyDescent="0.3">
      <c r="O2477" t="str">
        <f t="shared" si="39"/>
        <v/>
      </c>
    </row>
    <row r="2478" spans="15:15" x14ac:dyDescent="0.3">
      <c r="O2478" t="str">
        <f t="shared" si="39"/>
        <v/>
      </c>
    </row>
    <row r="2479" spans="15:15" x14ac:dyDescent="0.3">
      <c r="O2479" t="str">
        <f t="shared" si="39"/>
        <v/>
      </c>
    </row>
    <row r="2480" spans="15:15" x14ac:dyDescent="0.3">
      <c r="O2480" t="str">
        <f t="shared" si="39"/>
        <v/>
      </c>
    </row>
    <row r="2481" spans="15:15" x14ac:dyDescent="0.3">
      <c r="O2481" t="str">
        <f t="shared" si="39"/>
        <v/>
      </c>
    </row>
    <row r="2482" spans="15:15" x14ac:dyDescent="0.3">
      <c r="O2482" t="str">
        <f t="shared" si="39"/>
        <v/>
      </c>
    </row>
    <row r="2483" spans="15:15" x14ac:dyDescent="0.3">
      <c r="O2483" t="str">
        <f t="shared" si="39"/>
        <v/>
      </c>
    </row>
    <row r="2484" spans="15:15" x14ac:dyDescent="0.3">
      <c r="O2484" t="str">
        <f t="shared" si="39"/>
        <v/>
      </c>
    </row>
    <row r="2485" spans="15:15" x14ac:dyDescent="0.3">
      <c r="O2485" t="str">
        <f t="shared" si="39"/>
        <v/>
      </c>
    </row>
    <row r="2486" spans="15:15" x14ac:dyDescent="0.3">
      <c r="O2486" t="str">
        <f t="shared" si="39"/>
        <v/>
      </c>
    </row>
    <row r="2487" spans="15:15" x14ac:dyDescent="0.3">
      <c r="O2487" t="str">
        <f t="shared" si="39"/>
        <v/>
      </c>
    </row>
    <row r="2488" spans="15:15" x14ac:dyDescent="0.3">
      <c r="O2488" t="str">
        <f t="shared" si="39"/>
        <v/>
      </c>
    </row>
    <row r="2489" spans="15:15" x14ac:dyDescent="0.3">
      <c r="O2489" t="str">
        <f t="shared" si="39"/>
        <v/>
      </c>
    </row>
    <row r="2490" spans="15:15" x14ac:dyDescent="0.3">
      <c r="O2490" t="str">
        <f t="shared" si="39"/>
        <v/>
      </c>
    </row>
    <row r="2491" spans="15:15" x14ac:dyDescent="0.3">
      <c r="O2491" t="str">
        <f t="shared" si="39"/>
        <v/>
      </c>
    </row>
    <row r="2492" spans="15:15" x14ac:dyDescent="0.3">
      <c r="O2492" t="str">
        <f t="shared" si="39"/>
        <v/>
      </c>
    </row>
    <row r="2493" spans="15:15" x14ac:dyDescent="0.3">
      <c r="O2493" t="str">
        <f t="shared" si="39"/>
        <v/>
      </c>
    </row>
    <row r="2494" spans="15:15" x14ac:dyDescent="0.3">
      <c r="O2494" t="str">
        <f t="shared" si="39"/>
        <v/>
      </c>
    </row>
    <row r="2495" spans="15:15" x14ac:dyDescent="0.3">
      <c r="O2495" t="str">
        <f t="shared" si="39"/>
        <v/>
      </c>
    </row>
    <row r="2496" spans="15:15" x14ac:dyDescent="0.3">
      <c r="O2496" t="str">
        <f t="shared" si="39"/>
        <v/>
      </c>
    </row>
    <row r="2497" spans="15:15" x14ac:dyDescent="0.3">
      <c r="O2497" t="str">
        <f t="shared" si="39"/>
        <v/>
      </c>
    </row>
    <row r="2498" spans="15:15" x14ac:dyDescent="0.3">
      <c r="O2498" t="str">
        <f t="shared" si="39"/>
        <v/>
      </c>
    </row>
    <row r="2499" spans="15:15" x14ac:dyDescent="0.3">
      <c r="O2499" t="str">
        <f t="shared" si="39"/>
        <v/>
      </c>
    </row>
    <row r="2500" spans="15:15" x14ac:dyDescent="0.3">
      <c r="O2500" t="str">
        <f t="shared" si="39"/>
        <v/>
      </c>
    </row>
    <row r="2501" spans="15:15" x14ac:dyDescent="0.3">
      <c r="O2501" t="str">
        <f t="shared" si="39"/>
        <v/>
      </c>
    </row>
    <row r="2502" spans="15:15" x14ac:dyDescent="0.3">
      <c r="O2502" t="str">
        <f t="shared" si="39"/>
        <v/>
      </c>
    </row>
    <row r="2503" spans="15:15" x14ac:dyDescent="0.3">
      <c r="O2503" t="str">
        <f t="shared" si="39"/>
        <v/>
      </c>
    </row>
    <row r="2504" spans="15:15" x14ac:dyDescent="0.3">
      <c r="O2504" t="str">
        <f t="shared" si="39"/>
        <v/>
      </c>
    </row>
    <row r="2505" spans="15:15" x14ac:dyDescent="0.3">
      <c r="O2505" t="str">
        <f t="shared" si="39"/>
        <v/>
      </c>
    </row>
    <row r="2506" spans="15:15" x14ac:dyDescent="0.3">
      <c r="O2506" t="str">
        <f t="shared" ref="O2506:O2569" si="40">IF(P2506="","",O2505+1)</f>
        <v/>
      </c>
    </row>
    <row r="2507" spans="15:15" x14ac:dyDescent="0.3">
      <c r="O2507" t="str">
        <f t="shared" si="40"/>
        <v/>
      </c>
    </row>
    <row r="2508" spans="15:15" x14ac:dyDescent="0.3">
      <c r="O2508" t="str">
        <f t="shared" si="40"/>
        <v/>
      </c>
    </row>
    <row r="2509" spans="15:15" x14ac:dyDescent="0.3">
      <c r="O2509" t="str">
        <f t="shared" si="40"/>
        <v/>
      </c>
    </row>
    <row r="2510" spans="15:15" x14ac:dyDescent="0.3">
      <c r="O2510" t="str">
        <f t="shared" si="40"/>
        <v/>
      </c>
    </row>
    <row r="2511" spans="15:15" x14ac:dyDescent="0.3">
      <c r="O2511" t="str">
        <f t="shared" si="40"/>
        <v/>
      </c>
    </row>
    <row r="2512" spans="15:15" x14ac:dyDescent="0.3">
      <c r="O2512" t="str">
        <f t="shared" si="40"/>
        <v/>
      </c>
    </row>
    <row r="2513" spans="15:15" x14ac:dyDescent="0.3">
      <c r="O2513" t="str">
        <f t="shared" si="40"/>
        <v/>
      </c>
    </row>
    <row r="2514" spans="15:15" x14ac:dyDescent="0.3">
      <c r="O2514" t="str">
        <f t="shared" si="40"/>
        <v/>
      </c>
    </row>
    <row r="2515" spans="15:15" x14ac:dyDescent="0.3">
      <c r="O2515" t="str">
        <f t="shared" si="40"/>
        <v/>
      </c>
    </row>
    <row r="2516" spans="15:15" x14ac:dyDescent="0.3">
      <c r="O2516" t="str">
        <f t="shared" si="40"/>
        <v/>
      </c>
    </row>
    <row r="2517" spans="15:15" x14ac:dyDescent="0.3">
      <c r="O2517" t="str">
        <f t="shared" si="40"/>
        <v/>
      </c>
    </row>
    <row r="2518" spans="15:15" x14ac:dyDescent="0.3">
      <c r="O2518" t="str">
        <f t="shared" si="40"/>
        <v/>
      </c>
    </row>
    <row r="2519" spans="15:15" x14ac:dyDescent="0.3">
      <c r="O2519" t="str">
        <f t="shared" si="40"/>
        <v/>
      </c>
    </row>
    <row r="2520" spans="15:15" x14ac:dyDescent="0.3">
      <c r="O2520" t="str">
        <f t="shared" si="40"/>
        <v/>
      </c>
    </row>
    <row r="2521" spans="15:15" x14ac:dyDescent="0.3">
      <c r="O2521" t="str">
        <f t="shared" si="40"/>
        <v/>
      </c>
    </row>
    <row r="2522" spans="15:15" x14ac:dyDescent="0.3">
      <c r="O2522" t="str">
        <f t="shared" si="40"/>
        <v/>
      </c>
    </row>
    <row r="2523" spans="15:15" x14ac:dyDescent="0.3">
      <c r="O2523" t="str">
        <f t="shared" si="40"/>
        <v/>
      </c>
    </row>
    <row r="2524" spans="15:15" x14ac:dyDescent="0.3">
      <c r="O2524" t="str">
        <f t="shared" si="40"/>
        <v/>
      </c>
    </row>
    <row r="2525" spans="15:15" x14ac:dyDescent="0.3">
      <c r="O2525" t="str">
        <f t="shared" si="40"/>
        <v/>
      </c>
    </row>
    <row r="2526" spans="15:15" x14ac:dyDescent="0.3">
      <c r="O2526" t="str">
        <f t="shared" si="40"/>
        <v/>
      </c>
    </row>
    <row r="2527" spans="15:15" x14ac:dyDescent="0.3">
      <c r="O2527" t="str">
        <f t="shared" si="40"/>
        <v/>
      </c>
    </row>
    <row r="2528" spans="15:15" x14ac:dyDescent="0.3">
      <c r="O2528" t="str">
        <f t="shared" si="40"/>
        <v/>
      </c>
    </row>
    <row r="2529" spans="15:15" x14ac:dyDescent="0.3">
      <c r="O2529" t="str">
        <f t="shared" si="40"/>
        <v/>
      </c>
    </row>
    <row r="2530" spans="15:15" x14ac:dyDescent="0.3">
      <c r="O2530" t="str">
        <f t="shared" si="40"/>
        <v/>
      </c>
    </row>
    <row r="2531" spans="15:15" x14ac:dyDescent="0.3">
      <c r="O2531" t="str">
        <f t="shared" si="40"/>
        <v/>
      </c>
    </row>
    <row r="2532" spans="15:15" x14ac:dyDescent="0.3">
      <c r="O2532" t="str">
        <f t="shared" si="40"/>
        <v/>
      </c>
    </row>
    <row r="2533" spans="15:15" x14ac:dyDescent="0.3">
      <c r="O2533" t="str">
        <f t="shared" si="40"/>
        <v/>
      </c>
    </row>
    <row r="2534" spans="15:15" x14ac:dyDescent="0.3">
      <c r="O2534" t="str">
        <f t="shared" si="40"/>
        <v/>
      </c>
    </row>
    <row r="2535" spans="15:15" x14ac:dyDescent="0.3">
      <c r="O2535" t="str">
        <f t="shared" si="40"/>
        <v/>
      </c>
    </row>
    <row r="2536" spans="15:15" x14ac:dyDescent="0.3">
      <c r="O2536" t="str">
        <f t="shared" si="40"/>
        <v/>
      </c>
    </row>
    <row r="2537" spans="15:15" x14ac:dyDescent="0.3">
      <c r="O2537" t="str">
        <f t="shared" si="40"/>
        <v/>
      </c>
    </row>
    <row r="2538" spans="15:15" x14ac:dyDescent="0.3">
      <c r="O2538" t="str">
        <f t="shared" si="40"/>
        <v/>
      </c>
    </row>
    <row r="2539" spans="15:15" x14ac:dyDescent="0.3">
      <c r="O2539" t="str">
        <f t="shared" si="40"/>
        <v/>
      </c>
    </row>
    <row r="2540" spans="15:15" x14ac:dyDescent="0.3">
      <c r="O2540" t="str">
        <f t="shared" si="40"/>
        <v/>
      </c>
    </row>
    <row r="2541" spans="15:15" x14ac:dyDescent="0.3">
      <c r="O2541" t="str">
        <f t="shared" si="40"/>
        <v/>
      </c>
    </row>
    <row r="2542" spans="15:15" x14ac:dyDescent="0.3">
      <c r="O2542" t="str">
        <f t="shared" si="40"/>
        <v/>
      </c>
    </row>
    <row r="2543" spans="15:15" x14ac:dyDescent="0.3">
      <c r="O2543" t="str">
        <f t="shared" si="40"/>
        <v/>
      </c>
    </row>
    <row r="2544" spans="15:15" x14ac:dyDescent="0.3">
      <c r="O2544" t="str">
        <f t="shared" si="40"/>
        <v/>
      </c>
    </row>
    <row r="2545" spans="15:15" x14ac:dyDescent="0.3">
      <c r="O2545" t="str">
        <f t="shared" si="40"/>
        <v/>
      </c>
    </row>
    <row r="2546" spans="15:15" x14ac:dyDescent="0.3">
      <c r="O2546" t="str">
        <f t="shared" si="40"/>
        <v/>
      </c>
    </row>
    <row r="2547" spans="15:15" x14ac:dyDescent="0.3">
      <c r="O2547" t="str">
        <f t="shared" si="40"/>
        <v/>
      </c>
    </row>
    <row r="2548" spans="15:15" x14ac:dyDescent="0.3">
      <c r="O2548" t="str">
        <f t="shared" si="40"/>
        <v/>
      </c>
    </row>
    <row r="2549" spans="15:15" x14ac:dyDescent="0.3">
      <c r="O2549" t="str">
        <f t="shared" si="40"/>
        <v/>
      </c>
    </row>
    <row r="2550" spans="15:15" x14ac:dyDescent="0.3">
      <c r="O2550" t="str">
        <f t="shared" si="40"/>
        <v/>
      </c>
    </row>
    <row r="2551" spans="15:15" x14ac:dyDescent="0.3">
      <c r="O2551" t="str">
        <f t="shared" si="40"/>
        <v/>
      </c>
    </row>
    <row r="2552" spans="15:15" x14ac:dyDescent="0.3">
      <c r="O2552" t="str">
        <f t="shared" si="40"/>
        <v/>
      </c>
    </row>
    <row r="2553" spans="15:15" x14ac:dyDescent="0.3">
      <c r="O2553" t="str">
        <f t="shared" si="40"/>
        <v/>
      </c>
    </row>
    <row r="2554" spans="15:15" x14ac:dyDescent="0.3">
      <c r="O2554" t="str">
        <f t="shared" si="40"/>
        <v/>
      </c>
    </row>
    <row r="2555" spans="15:15" x14ac:dyDescent="0.3">
      <c r="O2555" t="str">
        <f t="shared" si="40"/>
        <v/>
      </c>
    </row>
    <row r="2556" spans="15:15" x14ac:dyDescent="0.3">
      <c r="O2556" t="str">
        <f t="shared" si="40"/>
        <v/>
      </c>
    </row>
    <row r="2557" spans="15:15" x14ac:dyDescent="0.3">
      <c r="O2557" t="str">
        <f t="shared" si="40"/>
        <v/>
      </c>
    </row>
    <row r="2558" spans="15:15" x14ac:dyDescent="0.3">
      <c r="O2558" t="str">
        <f t="shared" si="40"/>
        <v/>
      </c>
    </row>
    <row r="2559" spans="15:15" x14ac:dyDescent="0.3">
      <c r="O2559" t="str">
        <f t="shared" si="40"/>
        <v/>
      </c>
    </row>
    <row r="2560" spans="15:15" x14ac:dyDescent="0.3">
      <c r="O2560" t="str">
        <f t="shared" si="40"/>
        <v/>
      </c>
    </row>
    <row r="2561" spans="15:15" x14ac:dyDescent="0.3">
      <c r="O2561" t="str">
        <f t="shared" si="40"/>
        <v/>
      </c>
    </row>
    <row r="2562" spans="15:15" x14ac:dyDescent="0.3">
      <c r="O2562" t="str">
        <f t="shared" si="40"/>
        <v/>
      </c>
    </row>
    <row r="2563" spans="15:15" x14ac:dyDescent="0.3">
      <c r="O2563" t="str">
        <f t="shared" si="40"/>
        <v/>
      </c>
    </row>
    <row r="2564" spans="15:15" x14ac:dyDescent="0.3">
      <c r="O2564" t="str">
        <f t="shared" si="40"/>
        <v/>
      </c>
    </row>
    <row r="2565" spans="15:15" x14ac:dyDescent="0.3">
      <c r="O2565" t="str">
        <f t="shared" si="40"/>
        <v/>
      </c>
    </row>
    <row r="2566" spans="15:15" x14ac:dyDescent="0.3">
      <c r="O2566" t="str">
        <f t="shared" si="40"/>
        <v/>
      </c>
    </row>
    <row r="2567" spans="15:15" x14ac:dyDescent="0.3">
      <c r="O2567" t="str">
        <f t="shared" si="40"/>
        <v/>
      </c>
    </row>
    <row r="2568" spans="15:15" x14ac:dyDescent="0.3">
      <c r="O2568" t="str">
        <f t="shared" si="40"/>
        <v/>
      </c>
    </row>
    <row r="2569" spans="15:15" x14ac:dyDescent="0.3">
      <c r="O2569" t="str">
        <f t="shared" si="40"/>
        <v/>
      </c>
    </row>
    <row r="2570" spans="15:15" x14ac:dyDescent="0.3">
      <c r="O2570" t="str">
        <f t="shared" ref="O2570:O2633" si="41">IF(P2570="","",O2569+1)</f>
        <v/>
      </c>
    </row>
    <row r="2571" spans="15:15" x14ac:dyDescent="0.3">
      <c r="O2571" t="str">
        <f t="shared" si="41"/>
        <v/>
      </c>
    </row>
    <row r="2572" spans="15:15" x14ac:dyDescent="0.3">
      <c r="O2572" t="str">
        <f t="shared" si="41"/>
        <v/>
      </c>
    </row>
    <row r="2573" spans="15:15" x14ac:dyDescent="0.3">
      <c r="O2573" t="str">
        <f t="shared" si="41"/>
        <v/>
      </c>
    </row>
    <row r="2574" spans="15:15" x14ac:dyDescent="0.3">
      <c r="O2574" t="str">
        <f t="shared" si="41"/>
        <v/>
      </c>
    </row>
    <row r="2575" spans="15:15" x14ac:dyDescent="0.3">
      <c r="O2575" t="str">
        <f t="shared" si="41"/>
        <v/>
      </c>
    </row>
    <row r="2576" spans="15:15" x14ac:dyDescent="0.3">
      <c r="O2576" t="str">
        <f t="shared" si="41"/>
        <v/>
      </c>
    </row>
    <row r="2577" spans="15:15" x14ac:dyDescent="0.3">
      <c r="O2577" t="str">
        <f t="shared" si="41"/>
        <v/>
      </c>
    </row>
    <row r="2578" spans="15:15" x14ac:dyDescent="0.3">
      <c r="O2578" t="str">
        <f t="shared" si="41"/>
        <v/>
      </c>
    </row>
    <row r="2579" spans="15:15" x14ac:dyDescent="0.3">
      <c r="O2579" t="str">
        <f t="shared" si="41"/>
        <v/>
      </c>
    </row>
    <row r="2580" spans="15:15" x14ac:dyDescent="0.3">
      <c r="O2580" t="str">
        <f t="shared" si="41"/>
        <v/>
      </c>
    </row>
    <row r="2581" spans="15:15" x14ac:dyDescent="0.3">
      <c r="O2581" t="str">
        <f t="shared" si="41"/>
        <v/>
      </c>
    </row>
    <row r="2582" spans="15:15" x14ac:dyDescent="0.3">
      <c r="O2582" t="str">
        <f t="shared" si="41"/>
        <v/>
      </c>
    </row>
    <row r="2583" spans="15:15" x14ac:dyDescent="0.3">
      <c r="O2583" t="str">
        <f t="shared" si="41"/>
        <v/>
      </c>
    </row>
    <row r="2584" spans="15:15" x14ac:dyDescent="0.3">
      <c r="O2584" t="str">
        <f t="shared" si="41"/>
        <v/>
      </c>
    </row>
    <row r="2585" spans="15:15" x14ac:dyDescent="0.3">
      <c r="O2585" t="str">
        <f t="shared" si="41"/>
        <v/>
      </c>
    </row>
    <row r="2586" spans="15:15" x14ac:dyDescent="0.3">
      <c r="O2586" t="str">
        <f t="shared" si="41"/>
        <v/>
      </c>
    </row>
    <row r="2587" spans="15:15" x14ac:dyDescent="0.3">
      <c r="O2587" t="str">
        <f t="shared" si="41"/>
        <v/>
      </c>
    </row>
    <row r="2588" spans="15:15" x14ac:dyDescent="0.3">
      <c r="O2588" t="str">
        <f t="shared" si="41"/>
        <v/>
      </c>
    </row>
    <row r="2589" spans="15:15" x14ac:dyDescent="0.3">
      <c r="O2589" t="str">
        <f t="shared" si="41"/>
        <v/>
      </c>
    </row>
    <row r="2590" spans="15:15" x14ac:dyDescent="0.3">
      <c r="O2590" t="str">
        <f t="shared" si="41"/>
        <v/>
      </c>
    </row>
    <row r="2591" spans="15:15" x14ac:dyDescent="0.3">
      <c r="O2591" t="str">
        <f t="shared" si="41"/>
        <v/>
      </c>
    </row>
    <row r="2592" spans="15:15" x14ac:dyDescent="0.3">
      <c r="O2592" t="str">
        <f t="shared" si="41"/>
        <v/>
      </c>
    </row>
    <row r="2593" spans="15:15" x14ac:dyDescent="0.3">
      <c r="O2593" t="str">
        <f t="shared" si="41"/>
        <v/>
      </c>
    </row>
    <row r="2594" spans="15:15" x14ac:dyDescent="0.3">
      <c r="O2594" t="str">
        <f t="shared" si="41"/>
        <v/>
      </c>
    </row>
    <row r="2595" spans="15:15" x14ac:dyDescent="0.3">
      <c r="O2595" t="str">
        <f t="shared" si="41"/>
        <v/>
      </c>
    </row>
    <row r="2596" spans="15:15" x14ac:dyDescent="0.3">
      <c r="O2596" t="str">
        <f t="shared" si="41"/>
        <v/>
      </c>
    </row>
    <row r="2597" spans="15:15" x14ac:dyDescent="0.3">
      <c r="O2597" t="str">
        <f t="shared" si="41"/>
        <v/>
      </c>
    </row>
    <row r="2598" spans="15:15" x14ac:dyDescent="0.3">
      <c r="O2598" t="str">
        <f t="shared" si="41"/>
        <v/>
      </c>
    </row>
    <row r="2599" spans="15:15" x14ac:dyDescent="0.3">
      <c r="O2599" t="str">
        <f t="shared" si="41"/>
        <v/>
      </c>
    </row>
    <row r="2600" spans="15:15" x14ac:dyDescent="0.3">
      <c r="O2600" t="str">
        <f t="shared" si="41"/>
        <v/>
      </c>
    </row>
    <row r="2601" spans="15:15" x14ac:dyDescent="0.3">
      <c r="O2601" t="str">
        <f t="shared" si="41"/>
        <v/>
      </c>
    </row>
    <row r="2602" spans="15:15" x14ac:dyDescent="0.3">
      <c r="O2602" t="str">
        <f t="shared" si="41"/>
        <v/>
      </c>
    </row>
    <row r="2603" spans="15:15" x14ac:dyDescent="0.3">
      <c r="O2603" t="str">
        <f t="shared" si="41"/>
        <v/>
      </c>
    </row>
    <row r="2604" spans="15:15" x14ac:dyDescent="0.3">
      <c r="O2604" t="str">
        <f t="shared" si="41"/>
        <v/>
      </c>
    </row>
    <row r="2605" spans="15:15" x14ac:dyDescent="0.3">
      <c r="O2605" t="str">
        <f t="shared" si="41"/>
        <v/>
      </c>
    </row>
    <row r="2606" spans="15:15" x14ac:dyDescent="0.3">
      <c r="O2606" t="str">
        <f t="shared" si="41"/>
        <v/>
      </c>
    </row>
    <row r="2607" spans="15:15" x14ac:dyDescent="0.3">
      <c r="O2607" t="str">
        <f t="shared" si="41"/>
        <v/>
      </c>
    </row>
    <row r="2608" spans="15:15" x14ac:dyDescent="0.3">
      <c r="O2608" t="str">
        <f t="shared" si="41"/>
        <v/>
      </c>
    </row>
    <row r="2609" spans="15:15" x14ac:dyDescent="0.3">
      <c r="O2609" t="str">
        <f t="shared" si="41"/>
        <v/>
      </c>
    </row>
    <row r="2610" spans="15:15" x14ac:dyDescent="0.3">
      <c r="O2610" t="str">
        <f t="shared" si="41"/>
        <v/>
      </c>
    </row>
    <row r="2611" spans="15:15" x14ac:dyDescent="0.3">
      <c r="O2611" t="str">
        <f t="shared" si="41"/>
        <v/>
      </c>
    </row>
    <row r="2612" spans="15:15" x14ac:dyDescent="0.3">
      <c r="O2612" t="str">
        <f t="shared" si="41"/>
        <v/>
      </c>
    </row>
    <row r="2613" spans="15:15" x14ac:dyDescent="0.3">
      <c r="O2613" t="str">
        <f t="shared" si="41"/>
        <v/>
      </c>
    </row>
    <row r="2614" spans="15:15" x14ac:dyDescent="0.3">
      <c r="O2614" t="str">
        <f t="shared" si="41"/>
        <v/>
      </c>
    </row>
    <row r="2615" spans="15:15" x14ac:dyDescent="0.3">
      <c r="O2615" t="str">
        <f t="shared" si="41"/>
        <v/>
      </c>
    </row>
    <row r="2616" spans="15:15" x14ac:dyDescent="0.3">
      <c r="O2616" t="str">
        <f t="shared" si="41"/>
        <v/>
      </c>
    </row>
    <row r="2617" spans="15:15" x14ac:dyDescent="0.3">
      <c r="O2617" t="str">
        <f t="shared" si="41"/>
        <v/>
      </c>
    </row>
    <row r="2618" spans="15:15" x14ac:dyDescent="0.3">
      <c r="O2618" t="str">
        <f t="shared" si="41"/>
        <v/>
      </c>
    </row>
    <row r="2619" spans="15:15" x14ac:dyDescent="0.3">
      <c r="O2619" t="str">
        <f t="shared" si="41"/>
        <v/>
      </c>
    </row>
    <row r="2620" spans="15:15" x14ac:dyDescent="0.3">
      <c r="O2620" t="str">
        <f t="shared" si="41"/>
        <v/>
      </c>
    </row>
    <row r="2621" spans="15:15" x14ac:dyDescent="0.3">
      <c r="O2621" t="str">
        <f t="shared" si="41"/>
        <v/>
      </c>
    </row>
    <row r="2622" spans="15:15" x14ac:dyDescent="0.3">
      <c r="O2622" t="str">
        <f t="shared" si="41"/>
        <v/>
      </c>
    </row>
    <row r="2623" spans="15:15" x14ac:dyDescent="0.3">
      <c r="O2623" t="str">
        <f t="shared" si="41"/>
        <v/>
      </c>
    </row>
    <row r="2624" spans="15:15" x14ac:dyDescent="0.3">
      <c r="O2624" t="str">
        <f t="shared" si="41"/>
        <v/>
      </c>
    </row>
    <row r="2625" spans="15:15" x14ac:dyDescent="0.3">
      <c r="O2625" t="str">
        <f t="shared" si="41"/>
        <v/>
      </c>
    </row>
    <row r="2626" spans="15:15" x14ac:dyDescent="0.3">
      <c r="O2626" t="str">
        <f t="shared" si="41"/>
        <v/>
      </c>
    </row>
    <row r="2627" spans="15:15" x14ac:dyDescent="0.3">
      <c r="O2627" t="str">
        <f t="shared" si="41"/>
        <v/>
      </c>
    </row>
    <row r="2628" spans="15:15" x14ac:dyDescent="0.3">
      <c r="O2628" t="str">
        <f t="shared" si="41"/>
        <v/>
      </c>
    </row>
    <row r="2629" spans="15:15" x14ac:dyDescent="0.3">
      <c r="O2629" t="str">
        <f t="shared" si="41"/>
        <v/>
      </c>
    </row>
    <row r="2630" spans="15:15" x14ac:dyDescent="0.3">
      <c r="O2630" t="str">
        <f t="shared" si="41"/>
        <v/>
      </c>
    </row>
    <row r="2631" spans="15:15" x14ac:dyDescent="0.3">
      <c r="O2631" t="str">
        <f t="shared" si="41"/>
        <v/>
      </c>
    </row>
    <row r="2632" spans="15:15" x14ac:dyDescent="0.3">
      <c r="O2632" t="str">
        <f t="shared" si="41"/>
        <v/>
      </c>
    </row>
    <row r="2633" spans="15:15" x14ac:dyDescent="0.3">
      <c r="O2633" t="str">
        <f t="shared" si="41"/>
        <v/>
      </c>
    </row>
    <row r="2634" spans="15:15" x14ac:dyDescent="0.3">
      <c r="O2634" t="str">
        <f t="shared" ref="O2634:O2697" si="42">IF(P2634="","",O2633+1)</f>
        <v/>
      </c>
    </row>
    <row r="2635" spans="15:15" x14ac:dyDescent="0.3">
      <c r="O2635" t="str">
        <f t="shared" si="42"/>
        <v/>
      </c>
    </row>
    <row r="2636" spans="15:15" x14ac:dyDescent="0.3">
      <c r="O2636" t="str">
        <f t="shared" si="42"/>
        <v/>
      </c>
    </row>
    <row r="2637" spans="15:15" x14ac:dyDescent="0.3">
      <c r="O2637" t="str">
        <f t="shared" si="42"/>
        <v/>
      </c>
    </row>
    <row r="2638" spans="15:15" x14ac:dyDescent="0.3">
      <c r="O2638" t="str">
        <f t="shared" si="42"/>
        <v/>
      </c>
    </row>
    <row r="2639" spans="15:15" x14ac:dyDescent="0.3">
      <c r="O2639" t="str">
        <f t="shared" si="42"/>
        <v/>
      </c>
    </row>
    <row r="2640" spans="15:15" x14ac:dyDescent="0.3">
      <c r="O2640" t="str">
        <f t="shared" si="42"/>
        <v/>
      </c>
    </row>
    <row r="2641" spans="15:15" x14ac:dyDescent="0.3">
      <c r="O2641" t="str">
        <f t="shared" si="42"/>
        <v/>
      </c>
    </row>
    <row r="2642" spans="15:15" x14ac:dyDescent="0.3">
      <c r="O2642" t="str">
        <f t="shared" si="42"/>
        <v/>
      </c>
    </row>
    <row r="2643" spans="15:15" x14ac:dyDescent="0.3">
      <c r="O2643" t="str">
        <f t="shared" si="42"/>
        <v/>
      </c>
    </row>
    <row r="2644" spans="15:15" x14ac:dyDescent="0.3">
      <c r="O2644" t="str">
        <f t="shared" si="42"/>
        <v/>
      </c>
    </row>
    <row r="2645" spans="15:15" x14ac:dyDescent="0.3">
      <c r="O2645" t="str">
        <f t="shared" si="42"/>
        <v/>
      </c>
    </row>
    <row r="2646" spans="15:15" x14ac:dyDescent="0.3">
      <c r="O2646" t="str">
        <f t="shared" si="42"/>
        <v/>
      </c>
    </row>
    <row r="2647" spans="15:15" x14ac:dyDescent="0.3">
      <c r="O2647" t="str">
        <f t="shared" si="42"/>
        <v/>
      </c>
    </row>
    <row r="2648" spans="15:15" x14ac:dyDescent="0.3">
      <c r="O2648" t="str">
        <f t="shared" si="42"/>
        <v/>
      </c>
    </row>
    <row r="2649" spans="15:15" x14ac:dyDescent="0.3">
      <c r="O2649" t="str">
        <f t="shared" si="42"/>
        <v/>
      </c>
    </row>
    <row r="2650" spans="15:15" x14ac:dyDescent="0.3">
      <c r="O2650" t="str">
        <f t="shared" si="42"/>
        <v/>
      </c>
    </row>
    <row r="2651" spans="15:15" x14ac:dyDescent="0.3">
      <c r="O2651" t="str">
        <f t="shared" si="42"/>
        <v/>
      </c>
    </row>
    <row r="2652" spans="15:15" x14ac:dyDescent="0.3">
      <c r="O2652" t="str">
        <f t="shared" si="42"/>
        <v/>
      </c>
    </row>
    <row r="2653" spans="15:15" x14ac:dyDescent="0.3">
      <c r="O2653" t="str">
        <f t="shared" si="42"/>
        <v/>
      </c>
    </row>
    <row r="2654" spans="15:15" x14ac:dyDescent="0.3">
      <c r="O2654" t="str">
        <f t="shared" si="42"/>
        <v/>
      </c>
    </row>
    <row r="2655" spans="15:15" x14ac:dyDescent="0.3">
      <c r="O2655" t="str">
        <f t="shared" si="42"/>
        <v/>
      </c>
    </row>
    <row r="2656" spans="15:15" x14ac:dyDescent="0.3">
      <c r="O2656" t="str">
        <f t="shared" si="42"/>
        <v/>
      </c>
    </row>
    <row r="2657" spans="15:15" x14ac:dyDescent="0.3">
      <c r="O2657" t="str">
        <f t="shared" si="42"/>
        <v/>
      </c>
    </row>
    <row r="2658" spans="15:15" x14ac:dyDescent="0.3">
      <c r="O2658" t="str">
        <f t="shared" si="42"/>
        <v/>
      </c>
    </row>
    <row r="2659" spans="15:15" x14ac:dyDescent="0.3">
      <c r="O2659" t="str">
        <f t="shared" si="42"/>
        <v/>
      </c>
    </row>
    <row r="2660" spans="15:15" x14ac:dyDescent="0.3">
      <c r="O2660" t="str">
        <f t="shared" si="42"/>
        <v/>
      </c>
    </row>
    <row r="2661" spans="15:15" x14ac:dyDescent="0.3">
      <c r="O2661" t="str">
        <f t="shared" si="42"/>
        <v/>
      </c>
    </row>
    <row r="2662" spans="15:15" x14ac:dyDescent="0.3">
      <c r="O2662" t="str">
        <f t="shared" si="42"/>
        <v/>
      </c>
    </row>
    <row r="2663" spans="15:15" x14ac:dyDescent="0.3">
      <c r="O2663" t="str">
        <f t="shared" si="42"/>
        <v/>
      </c>
    </row>
    <row r="2664" spans="15:15" x14ac:dyDescent="0.3">
      <c r="O2664" t="str">
        <f t="shared" si="42"/>
        <v/>
      </c>
    </row>
    <row r="2665" spans="15:15" x14ac:dyDescent="0.3">
      <c r="O2665" t="str">
        <f t="shared" si="42"/>
        <v/>
      </c>
    </row>
    <row r="2666" spans="15:15" x14ac:dyDescent="0.3">
      <c r="O2666" t="str">
        <f t="shared" si="42"/>
        <v/>
      </c>
    </row>
    <row r="2667" spans="15:15" x14ac:dyDescent="0.3">
      <c r="O2667" t="str">
        <f t="shared" si="42"/>
        <v/>
      </c>
    </row>
    <row r="2668" spans="15:15" x14ac:dyDescent="0.3">
      <c r="O2668" t="str">
        <f t="shared" si="42"/>
        <v/>
      </c>
    </row>
    <row r="2669" spans="15:15" x14ac:dyDescent="0.3">
      <c r="O2669" t="str">
        <f t="shared" si="42"/>
        <v/>
      </c>
    </row>
    <row r="2670" spans="15:15" x14ac:dyDescent="0.3">
      <c r="O2670" t="str">
        <f t="shared" si="42"/>
        <v/>
      </c>
    </row>
    <row r="2671" spans="15:15" x14ac:dyDescent="0.3">
      <c r="O2671" t="str">
        <f t="shared" si="42"/>
        <v/>
      </c>
    </row>
    <row r="2672" spans="15:15" x14ac:dyDescent="0.3">
      <c r="O2672" t="str">
        <f t="shared" si="42"/>
        <v/>
      </c>
    </row>
    <row r="2673" spans="15:15" x14ac:dyDescent="0.3">
      <c r="O2673" t="str">
        <f t="shared" si="42"/>
        <v/>
      </c>
    </row>
    <row r="2674" spans="15:15" x14ac:dyDescent="0.3">
      <c r="O2674" t="str">
        <f t="shared" si="42"/>
        <v/>
      </c>
    </row>
    <row r="2675" spans="15:15" x14ac:dyDescent="0.3">
      <c r="O2675" t="str">
        <f t="shared" si="42"/>
        <v/>
      </c>
    </row>
    <row r="2676" spans="15:15" x14ac:dyDescent="0.3">
      <c r="O2676" t="str">
        <f t="shared" si="42"/>
        <v/>
      </c>
    </row>
    <row r="2677" spans="15:15" x14ac:dyDescent="0.3">
      <c r="O2677" t="str">
        <f t="shared" si="42"/>
        <v/>
      </c>
    </row>
    <row r="2678" spans="15:15" x14ac:dyDescent="0.3">
      <c r="O2678" t="str">
        <f t="shared" si="42"/>
        <v/>
      </c>
    </row>
    <row r="2679" spans="15:15" x14ac:dyDescent="0.3">
      <c r="O2679" t="str">
        <f t="shared" si="42"/>
        <v/>
      </c>
    </row>
    <row r="2680" spans="15:15" x14ac:dyDescent="0.3">
      <c r="O2680" t="str">
        <f t="shared" si="42"/>
        <v/>
      </c>
    </row>
    <row r="2681" spans="15:15" x14ac:dyDescent="0.3">
      <c r="O2681" t="str">
        <f t="shared" si="42"/>
        <v/>
      </c>
    </row>
    <row r="2682" spans="15:15" x14ac:dyDescent="0.3">
      <c r="O2682" t="str">
        <f t="shared" si="42"/>
        <v/>
      </c>
    </row>
    <row r="2683" spans="15:15" x14ac:dyDescent="0.3">
      <c r="O2683" t="str">
        <f t="shared" si="42"/>
        <v/>
      </c>
    </row>
    <row r="2684" spans="15:15" x14ac:dyDescent="0.3">
      <c r="O2684" t="str">
        <f t="shared" si="42"/>
        <v/>
      </c>
    </row>
    <row r="2685" spans="15:15" x14ac:dyDescent="0.3">
      <c r="O2685" t="str">
        <f t="shared" si="42"/>
        <v/>
      </c>
    </row>
    <row r="2686" spans="15:15" x14ac:dyDescent="0.3">
      <c r="O2686" t="str">
        <f t="shared" si="42"/>
        <v/>
      </c>
    </row>
    <row r="2687" spans="15:15" x14ac:dyDescent="0.3">
      <c r="O2687" t="str">
        <f t="shared" si="42"/>
        <v/>
      </c>
    </row>
    <row r="2688" spans="15:15" x14ac:dyDescent="0.3">
      <c r="O2688" t="str">
        <f t="shared" si="42"/>
        <v/>
      </c>
    </row>
    <row r="2689" spans="15:15" x14ac:dyDescent="0.3">
      <c r="O2689" t="str">
        <f t="shared" si="42"/>
        <v/>
      </c>
    </row>
    <row r="2690" spans="15:15" x14ac:dyDescent="0.3">
      <c r="O2690" t="str">
        <f t="shared" si="42"/>
        <v/>
      </c>
    </row>
    <row r="2691" spans="15:15" x14ac:dyDescent="0.3">
      <c r="O2691" t="str">
        <f t="shared" si="42"/>
        <v/>
      </c>
    </row>
    <row r="2692" spans="15:15" x14ac:dyDescent="0.3">
      <c r="O2692" t="str">
        <f t="shared" si="42"/>
        <v/>
      </c>
    </row>
    <row r="2693" spans="15:15" x14ac:dyDescent="0.3">
      <c r="O2693" t="str">
        <f t="shared" si="42"/>
        <v/>
      </c>
    </row>
    <row r="2694" spans="15:15" x14ac:dyDescent="0.3">
      <c r="O2694" t="str">
        <f t="shared" si="42"/>
        <v/>
      </c>
    </row>
    <row r="2695" spans="15:15" x14ac:dyDescent="0.3">
      <c r="O2695" t="str">
        <f t="shared" si="42"/>
        <v/>
      </c>
    </row>
    <row r="2696" spans="15:15" x14ac:dyDescent="0.3">
      <c r="O2696" t="str">
        <f t="shared" si="42"/>
        <v/>
      </c>
    </row>
    <row r="2697" spans="15:15" x14ac:dyDescent="0.3">
      <c r="O2697" t="str">
        <f t="shared" si="42"/>
        <v/>
      </c>
    </row>
    <row r="2698" spans="15:15" x14ac:dyDescent="0.3">
      <c r="O2698" t="str">
        <f t="shared" ref="O2698:O2761" si="43">IF(P2698="","",O2697+1)</f>
        <v/>
      </c>
    </row>
    <row r="2699" spans="15:15" x14ac:dyDescent="0.3">
      <c r="O2699" t="str">
        <f t="shared" si="43"/>
        <v/>
      </c>
    </row>
    <row r="2700" spans="15:15" x14ac:dyDescent="0.3">
      <c r="O2700" t="str">
        <f t="shared" si="43"/>
        <v/>
      </c>
    </row>
    <row r="2701" spans="15:15" x14ac:dyDescent="0.3">
      <c r="O2701" t="str">
        <f t="shared" si="43"/>
        <v/>
      </c>
    </row>
    <row r="2702" spans="15:15" x14ac:dyDescent="0.3">
      <c r="O2702" t="str">
        <f t="shared" si="43"/>
        <v/>
      </c>
    </row>
    <row r="2703" spans="15:15" x14ac:dyDescent="0.3">
      <c r="O2703" t="str">
        <f t="shared" si="43"/>
        <v/>
      </c>
    </row>
    <row r="2704" spans="15:15" x14ac:dyDescent="0.3">
      <c r="O2704" t="str">
        <f t="shared" si="43"/>
        <v/>
      </c>
    </row>
    <row r="2705" spans="15:15" x14ac:dyDescent="0.3">
      <c r="O2705" t="str">
        <f t="shared" si="43"/>
        <v/>
      </c>
    </row>
    <row r="2706" spans="15:15" x14ac:dyDescent="0.3">
      <c r="O2706" t="str">
        <f t="shared" si="43"/>
        <v/>
      </c>
    </row>
    <row r="2707" spans="15:15" x14ac:dyDescent="0.3">
      <c r="O2707" t="str">
        <f t="shared" si="43"/>
        <v/>
      </c>
    </row>
    <row r="2708" spans="15:15" x14ac:dyDescent="0.3">
      <c r="O2708" t="str">
        <f t="shared" si="43"/>
        <v/>
      </c>
    </row>
    <row r="2709" spans="15:15" x14ac:dyDescent="0.3">
      <c r="O2709" t="str">
        <f t="shared" si="43"/>
        <v/>
      </c>
    </row>
    <row r="2710" spans="15:15" x14ac:dyDescent="0.3">
      <c r="O2710" t="str">
        <f t="shared" si="43"/>
        <v/>
      </c>
    </row>
    <row r="2711" spans="15:15" x14ac:dyDescent="0.3">
      <c r="O2711" t="str">
        <f t="shared" si="43"/>
        <v/>
      </c>
    </row>
    <row r="2712" spans="15:15" x14ac:dyDescent="0.3">
      <c r="O2712" t="str">
        <f t="shared" si="43"/>
        <v/>
      </c>
    </row>
    <row r="2713" spans="15:15" x14ac:dyDescent="0.3">
      <c r="O2713" t="str">
        <f t="shared" si="43"/>
        <v/>
      </c>
    </row>
    <row r="2714" spans="15:15" x14ac:dyDescent="0.3">
      <c r="O2714" t="str">
        <f t="shared" si="43"/>
        <v/>
      </c>
    </row>
    <row r="2715" spans="15:15" x14ac:dyDescent="0.3">
      <c r="O2715" t="str">
        <f t="shared" si="43"/>
        <v/>
      </c>
    </row>
    <row r="2716" spans="15:15" x14ac:dyDescent="0.3">
      <c r="O2716" t="str">
        <f t="shared" si="43"/>
        <v/>
      </c>
    </row>
    <row r="2717" spans="15:15" x14ac:dyDescent="0.3">
      <c r="O2717" t="str">
        <f t="shared" si="43"/>
        <v/>
      </c>
    </row>
    <row r="2718" spans="15:15" x14ac:dyDescent="0.3">
      <c r="O2718" t="str">
        <f t="shared" si="43"/>
        <v/>
      </c>
    </row>
    <row r="2719" spans="15:15" x14ac:dyDescent="0.3">
      <c r="O2719" t="str">
        <f t="shared" si="43"/>
        <v/>
      </c>
    </row>
    <row r="2720" spans="15:15" x14ac:dyDescent="0.3">
      <c r="O2720" t="str">
        <f t="shared" si="43"/>
        <v/>
      </c>
    </row>
    <row r="2721" spans="15:15" x14ac:dyDescent="0.3">
      <c r="O2721" t="str">
        <f t="shared" si="43"/>
        <v/>
      </c>
    </row>
    <row r="2722" spans="15:15" x14ac:dyDescent="0.3">
      <c r="O2722" t="str">
        <f t="shared" si="43"/>
        <v/>
      </c>
    </row>
    <row r="2723" spans="15:15" x14ac:dyDescent="0.3">
      <c r="O2723" t="str">
        <f t="shared" si="43"/>
        <v/>
      </c>
    </row>
    <row r="2724" spans="15:15" x14ac:dyDescent="0.3">
      <c r="O2724" t="str">
        <f t="shared" si="43"/>
        <v/>
      </c>
    </row>
    <row r="2725" spans="15:15" x14ac:dyDescent="0.3">
      <c r="O2725" t="str">
        <f t="shared" si="43"/>
        <v/>
      </c>
    </row>
    <row r="2726" spans="15:15" x14ac:dyDescent="0.3">
      <c r="O2726" t="str">
        <f t="shared" si="43"/>
        <v/>
      </c>
    </row>
    <row r="2727" spans="15:15" x14ac:dyDescent="0.3">
      <c r="O2727" t="str">
        <f t="shared" si="43"/>
        <v/>
      </c>
    </row>
    <row r="2728" spans="15:15" x14ac:dyDescent="0.3">
      <c r="O2728" t="str">
        <f t="shared" si="43"/>
        <v/>
      </c>
    </row>
    <row r="2729" spans="15:15" x14ac:dyDescent="0.3">
      <c r="O2729" t="str">
        <f t="shared" si="43"/>
        <v/>
      </c>
    </row>
    <row r="2730" spans="15:15" x14ac:dyDescent="0.3">
      <c r="O2730" t="str">
        <f t="shared" si="43"/>
        <v/>
      </c>
    </row>
    <row r="2731" spans="15:15" x14ac:dyDescent="0.3">
      <c r="O2731" t="str">
        <f t="shared" si="43"/>
        <v/>
      </c>
    </row>
    <row r="2732" spans="15:15" x14ac:dyDescent="0.3">
      <c r="O2732" t="str">
        <f t="shared" si="43"/>
        <v/>
      </c>
    </row>
    <row r="2733" spans="15:15" x14ac:dyDescent="0.3">
      <c r="O2733" t="str">
        <f t="shared" si="43"/>
        <v/>
      </c>
    </row>
    <row r="2734" spans="15:15" x14ac:dyDescent="0.3">
      <c r="O2734" t="str">
        <f t="shared" si="43"/>
        <v/>
      </c>
    </row>
    <row r="2735" spans="15:15" x14ac:dyDescent="0.3">
      <c r="O2735" t="str">
        <f t="shared" si="43"/>
        <v/>
      </c>
    </row>
    <row r="2736" spans="15:15" x14ac:dyDescent="0.3">
      <c r="O2736" t="str">
        <f t="shared" si="43"/>
        <v/>
      </c>
    </row>
    <row r="2737" spans="15:15" x14ac:dyDescent="0.3">
      <c r="O2737" t="str">
        <f t="shared" si="43"/>
        <v/>
      </c>
    </row>
    <row r="2738" spans="15:15" x14ac:dyDescent="0.3">
      <c r="O2738" t="str">
        <f t="shared" si="43"/>
        <v/>
      </c>
    </row>
    <row r="2739" spans="15:15" x14ac:dyDescent="0.3">
      <c r="O2739" t="str">
        <f t="shared" si="43"/>
        <v/>
      </c>
    </row>
    <row r="2740" spans="15:15" x14ac:dyDescent="0.3">
      <c r="O2740" t="str">
        <f t="shared" si="43"/>
        <v/>
      </c>
    </row>
    <row r="2741" spans="15:15" x14ac:dyDescent="0.3">
      <c r="O2741" t="str">
        <f t="shared" si="43"/>
        <v/>
      </c>
    </row>
    <row r="2742" spans="15:15" x14ac:dyDescent="0.3">
      <c r="O2742" t="str">
        <f t="shared" si="43"/>
        <v/>
      </c>
    </row>
    <row r="2743" spans="15:15" x14ac:dyDescent="0.3">
      <c r="O2743" t="str">
        <f t="shared" si="43"/>
        <v/>
      </c>
    </row>
    <row r="2744" spans="15:15" x14ac:dyDescent="0.3">
      <c r="O2744" t="str">
        <f t="shared" si="43"/>
        <v/>
      </c>
    </row>
    <row r="2745" spans="15:15" x14ac:dyDescent="0.3">
      <c r="O2745" t="str">
        <f t="shared" si="43"/>
        <v/>
      </c>
    </row>
    <row r="2746" spans="15:15" x14ac:dyDescent="0.3">
      <c r="O2746" t="str">
        <f t="shared" si="43"/>
        <v/>
      </c>
    </row>
    <row r="2747" spans="15:15" x14ac:dyDescent="0.3">
      <c r="O2747" t="str">
        <f t="shared" si="43"/>
        <v/>
      </c>
    </row>
    <row r="2748" spans="15:15" x14ac:dyDescent="0.3">
      <c r="O2748" t="str">
        <f t="shared" si="43"/>
        <v/>
      </c>
    </row>
    <row r="2749" spans="15:15" x14ac:dyDescent="0.3">
      <c r="O2749" t="str">
        <f t="shared" si="43"/>
        <v/>
      </c>
    </row>
    <row r="2750" spans="15:15" x14ac:dyDescent="0.3">
      <c r="O2750" t="str">
        <f t="shared" si="43"/>
        <v/>
      </c>
    </row>
    <row r="2751" spans="15:15" x14ac:dyDescent="0.3">
      <c r="O2751" t="str">
        <f t="shared" si="43"/>
        <v/>
      </c>
    </row>
    <row r="2752" spans="15:15" x14ac:dyDescent="0.3">
      <c r="O2752" t="str">
        <f t="shared" si="43"/>
        <v/>
      </c>
    </row>
    <row r="2753" spans="15:15" x14ac:dyDescent="0.3">
      <c r="O2753" t="str">
        <f t="shared" si="43"/>
        <v/>
      </c>
    </row>
    <row r="2754" spans="15:15" x14ac:dyDescent="0.3">
      <c r="O2754" t="str">
        <f t="shared" si="43"/>
        <v/>
      </c>
    </row>
    <row r="2755" spans="15:15" x14ac:dyDescent="0.3">
      <c r="O2755" t="str">
        <f t="shared" si="43"/>
        <v/>
      </c>
    </row>
    <row r="2756" spans="15:15" x14ac:dyDescent="0.3">
      <c r="O2756" t="str">
        <f t="shared" si="43"/>
        <v/>
      </c>
    </row>
    <row r="2757" spans="15:15" x14ac:dyDescent="0.3">
      <c r="O2757" t="str">
        <f t="shared" si="43"/>
        <v/>
      </c>
    </row>
    <row r="2758" spans="15:15" x14ac:dyDescent="0.3">
      <c r="O2758" t="str">
        <f t="shared" si="43"/>
        <v/>
      </c>
    </row>
    <row r="2759" spans="15:15" x14ac:dyDescent="0.3">
      <c r="O2759" t="str">
        <f t="shared" si="43"/>
        <v/>
      </c>
    </row>
    <row r="2760" spans="15:15" x14ac:dyDescent="0.3">
      <c r="O2760" t="str">
        <f t="shared" si="43"/>
        <v/>
      </c>
    </row>
    <row r="2761" spans="15:15" x14ac:dyDescent="0.3">
      <c r="O2761" t="str">
        <f t="shared" si="43"/>
        <v/>
      </c>
    </row>
    <row r="2762" spans="15:15" x14ac:dyDescent="0.3">
      <c r="O2762" t="str">
        <f t="shared" ref="O2762:O2825" si="44">IF(P2762="","",O2761+1)</f>
        <v/>
      </c>
    </row>
    <row r="2763" spans="15:15" x14ac:dyDescent="0.3">
      <c r="O2763" t="str">
        <f t="shared" si="44"/>
        <v/>
      </c>
    </row>
    <row r="2764" spans="15:15" x14ac:dyDescent="0.3">
      <c r="O2764" t="str">
        <f t="shared" si="44"/>
        <v/>
      </c>
    </row>
    <row r="2765" spans="15:15" x14ac:dyDescent="0.3">
      <c r="O2765" t="str">
        <f t="shared" si="44"/>
        <v/>
      </c>
    </row>
    <row r="2766" spans="15:15" x14ac:dyDescent="0.3">
      <c r="O2766" t="str">
        <f t="shared" si="44"/>
        <v/>
      </c>
    </row>
    <row r="2767" spans="15:15" x14ac:dyDescent="0.3">
      <c r="O2767" t="str">
        <f t="shared" si="44"/>
        <v/>
      </c>
    </row>
    <row r="2768" spans="15:15" x14ac:dyDescent="0.3">
      <c r="O2768" t="str">
        <f t="shared" si="44"/>
        <v/>
      </c>
    </row>
    <row r="2769" spans="15:15" x14ac:dyDescent="0.3">
      <c r="O2769" t="str">
        <f t="shared" si="44"/>
        <v/>
      </c>
    </row>
    <row r="2770" spans="15:15" x14ac:dyDescent="0.3">
      <c r="O2770" t="str">
        <f t="shared" si="44"/>
        <v/>
      </c>
    </row>
    <row r="2771" spans="15:15" x14ac:dyDescent="0.3">
      <c r="O2771" t="str">
        <f t="shared" si="44"/>
        <v/>
      </c>
    </row>
    <row r="2772" spans="15:15" x14ac:dyDescent="0.3">
      <c r="O2772" t="str">
        <f t="shared" si="44"/>
        <v/>
      </c>
    </row>
    <row r="2773" spans="15:15" x14ac:dyDescent="0.3">
      <c r="O2773" t="str">
        <f t="shared" si="44"/>
        <v/>
      </c>
    </row>
    <row r="2774" spans="15:15" x14ac:dyDescent="0.3">
      <c r="O2774" t="str">
        <f t="shared" si="44"/>
        <v/>
      </c>
    </row>
    <row r="2775" spans="15:15" x14ac:dyDescent="0.3">
      <c r="O2775" t="str">
        <f t="shared" si="44"/>
        <v/>
      </c>
    </row>
    <row r="2776" spans="15:15" x14ac:dyDescent="0.3">
      <c r="O2776" t="str">
        <f t="shared" si="44"/>
        <v/>
      </c>
    </row>
    <row r="2777" spans="15:15" x14ac:dyDescent="0.3">
      <c r="O2777" t="str">
        <f t="shared" si="44"/>
        <v/>
      </c>
    </row>
    <row r="2778" spans="15:15" x14ac:dyDescent="0.3">
      <c r="O2778" t="str">
        <f t="shared" si="44"/>
        <v/>
      </c>
    </row>
    <row r="2779" spans="15:15" x14ac:dyDescent="0.3">
      <c r="O2779" t="str">
        <f t="shared" si="44"/>
        <v/>
      </c>
    </row>
    <row r="2780" spans="15:15" x14ac:dyDescent="0.3">
      <c r="O2780" t="str">
        <f t="shared" si="44"/>
        <v/>
      </c>
    </row>
    <row r="2781" spans="15:15" x14ac:dyDescent="0.3">
      <c r="O2781" t="str">
        <f t="shared" si="44"/>
        <v/>
      </c>
    </row>
    <row r="2782" spans="15:15" x14ac:dyDescent="0.3">
      <c r="O2782" t="str">
        <f t="shared" si="44"/>
        <v/>
      </c>
    </row>
    <row r="2783" spans="15:15" x14ac:dyDescent="0.3">
      <c r="O2783" t="str">
        <f t="shared" si="44"/>
        <v/>
      </c>
    </row>
    <row r="2784" spans="15:15" x14ac:dyDescent="0.3">
      <c r="O2784" t="str">
        <f t="shared" si="44"/>
        <v/>
      </c>
    </row>
    <row r="2785" spans="15:15" x14ac:dyDescent="0.3">
      <c r="O2785" t="str">
        <f t="shared" si="44"/>
        <v/>
      </c>
    </row>
    <row r="2786" spans="15:15" x14ac:dyDescent="0.3">
      <c r="O2786" t="str">
        <f t="shared" si="44"/>
        <v/>
      </c>
    </row>
    <row r="2787" spans="15:15" x14ac:dyDescent="0.3">
      <c r="O2787" t="str">
        <f t="shared" si="44"/>
        <v/>
      </c>
    </row>
    <row r="2788" spans="15:15" x14ac:dyDescent="0.3">
      <c r="O2788" t="str">
        <f t="shared" si="44"/>
        <v/>
      </c>
    </row>
    <row r="2789" spans="15:15" x14ac:dyDescent="0.3">
      <c r="O2789" t="str">
        <f t="shared" si="44"/>
        <v/>
      </c>
    </row>
    <row r="2790" spans="15:15" x14ac:dyDescent="0.3">
      <c r="O2790" t="str">
        <f t="shared" si="44"/>
        <v/>
      </c>
    </row>
    <row r="2791" spans="15:15" x14ac:dyDescent="0.3">
      <c r="O2791" t="str">
        <f t="shared" si="44"/>
        <v/>
      </c>
    </row>
    <row r="2792" spans="15:15" x14ac:dyDescent="0.3">
      <c r="O2792" t="str">
        <f t="shared" si="44"/>
        <v/>
      </c>
    </row>
    <row r="2793" spans="15:15" x14ac:dyDescent="0.3">
      <c r="O2793" t="str">
        <f t="shared" si="44"/>
        <v/>
      </c>
    </row>
    <row r="2794" spans="15:15" x14ac:dyDescent="0.3">
      <c r="O2794" t="str">
        <f t="shared" si="44"/>
        <v/>
      </c>
    </row>
    <row r="2795" spans="15:15" x14ac:dyDescent="0.3">
      <c r="O2795" t="str">
        <f t="shared" si="44"/>
        <v/>
      </c>
    </row>
    <row r="2796" spans="15:15" x14ac:dyDescent="0.3">
      <c r="O2796" t="str">
        <f t="shared" si="44"/>
        <v/>
      </c>
    </row>
    <row r="2797" spans="15:15" x14ac:dyDescent="0.3">
      <c r="O2797" t="str">
        <f t="shared" si="44"/>
        <v/>
      </c>
    </row>
    <row r="2798" spans="15:15" x14ac:dyDescent="0.3">
      <c r="O2798" t="str">
        <f t="shared" si="44"/>
        <v/>
      </c>
    </row>
    <row r="2799" spans="15:15" x14ac:dyDescent="0.3">
      <c r="O2799" t="str">
        <f t="shared" si="44"/>
        <v/>
      </c>
    </row>
    <row r="2800" spans="15:15" x14ac:dyDescent="0.3">
      <c r="O2800" t="str">
        <f t="shared" si="44"/>
        <v/>
      </c>
    </row>
    <row r="2801" spans="15:15" x14ac:dyDescent="0.3">
      <c r="O2801" t="str">
        <f t="shared" si="44"/>
        <v/>
      </c>
    </row>
    <row r="2802" spans="15:15" x14ac:dyDescent="0.3">
      <c r="O2802" t="str">
        <f t="shared" si="44"/>
        <v/>
      </c>
    </row>
    <row r="2803" spans="15:15" x14ac:dyDescent="0.3">
      <c r="O2803" t="str">
        <f t="shared" si="44"/>
        <v/>
      </c>
    </row>
    <row r="2804" spans="15:15" x14ac:dyDescent="0.3">
      <c r="O2804" t="str">
        <f t="shared" si="44"/>
        <v/>
      </c>
    </row>
    <row r="2805" spans="15:15" x14ac:dyDescent="0.3">
      <c r="O2805" t="str">
        <f t="shared" si="44"/>
        <v/>
      </c>
    </row>
    <row r="2806" spans="15:15" x14ac:dyDescent="0.3">
      <c r="O2806" t="str">
        <f t="shared" si="44"/>
        <v/>
      </c>
    </row>
    <row r="2807" spans="15:15" x14ac:dyDescent="0.3">
      <c r="O2807" t="str">
        <f t="shared" si="44"/>
        <v/>
      </c>
    </row>
    <row r="2808" spans="15:15" x14ac:dyDescent="0.3">
      <c r="O2808" t="str">
        <f t="shared" si="44"/>
        <v/>
      </c>
    </row>
    <row r="2809" spans="15:15" x14ac:dyDescent="0.3">
      <c r="O2809" t="str">
        <f t="shared" si="44"/>
        <v/>
      </c>
    </row>
    <row r="2810" spans="15:15" x14ac:dyDescent="0.3">
      <c r="O2810" t="str">
        <f t="shared" si="44"/>
        <v/>
      </c>
    </row>
    <row r="2811" spans="15:15" x14ac:dyDescent="0.3">
      <c r="O2811" t="str">
        <f t="shared" si="44"/>
        <v/>
      </c>
    </row>
    <row r="2812" spans="15:15" x14ac:dyDescent="0.3">
      <c r="O2812" t="str">
        <f t="shared" si="44"/>
        <v/>
      </c>
    </row>
    <row r="2813" spans="15:15" x14ac:dyDescent="0.3">
      <c r="O2813" t="str">
        <f t="shared" si="44"/>
        <v/>
      </c>
    </row>
    <row r="2814" spans="15:15" x14ac:dyDescent="0.3">
      <c r="O2814" t="str">
        <f t="shared" si="44"/>
        <v/>
      </c>
    </row>
    <row r="2815" spans="15:15" x14ac:dyDescent="0.3">
      <c r="O2815" t="str">
        <f t="shared" si="44"/>
        <v/>
      </c>
    </row>
    <row r="2816" spans="15:15" x14ac:dyDescent="0.3">
      <c r="O2816" t="str">
        <f t="shared" si="44"/>
        <v/>
      </c>
    </row>
    <row r="2817" spans="15:15" x14ac:dyDescent="0.3">
      <c r="O2817" t="str">
        <f t="shared" si="44"/>
        <v/>
      </c>
    </row>
    <row r="2818" spans="15:15" x14ac:dyDescent="0.3">
      <c r="O2818" t="str">
        <f t="shared" si="44"/>
        <v/>
      </c>
    </row>
    <row r="2819" spans="15:15" x14ac:dyDescent="0.3">
      <c r="O2819" t="str">
        <f t="shared" si="44"/>
        <v/>
      </c>
    </row>
    <row r="2820" spans="15:15" x14ac:dyDescent="0.3">
      <c r="O2820" t="str">
        <f t="shared" si="44"/>
        <v/>
      </c>
    </row>
    <row r="2821" spans="15:15" x14ac:dyDescent="0.3">
      <c r="O2821" t="str">
        <f t="shared" si="44"/>
        <v/>
      </c>
    </row>
    <row r="2822" spans="15:15" x14ac:dyDescent="0.3">
      <c r="O2822" t="str">
        <f t="shared" si="44"/>
        <v/>
      </c>
    </row>
    <row r="2823" spans="15:15" x14ac:dyDescent="0.3">
      <c r="O2823" t="str">
        <f t="shared" si="44"/>
        <v/>
      </c>
    </row>
    <row r="2824" spans="15:15" x14ac:dyDescent="0.3">
      <c r="O2824" t="str">
        <f t="shared" si="44"/>
        <v/>
      </c>
    </row>
    <row r="2825" spans="15:15" x14ac:dyDescent="0.3">
      <c r="O2825" t="str">
        <f t="shared" si="44"/>
        <v/>
      </c>
    </row>
    <row r="2826" spans="15:15" x14ac:dyDescent="0.3">
      <c r="O2826" t="str">
        <f t="shared" ref="O2826:O2889" si="45">IF(P2826="","",O2825+1)</f>
        <v/>
      </c>
    </row>
    <row r="2827" spans="15:15" x14ac:dyDescent="0.3">
      <c r="O2827" t="str">
        <f t="shared" si="45"/>
        <v/>
      </c>
    </row>
    <row r="2828" spans="15:15" x14ac:dyDescent="0.3">
      <c r="O2828" t="str">
        <f t="shared" si="45"/>
        <v/>
      </c>
    </row>
    <row r="2829" spans="15:15" x14ac:dyDescent="0.3">
      <c r="O2829" t="str">
        <f t="shared" si="45"/>
        <v/>
      </c>
    </row>
    <row r="2830" spans="15:15" x14ac:dyDescent="0.3">
      <c r="O2830" t="str">
        <f t="shared" si="45"/>
        <v/>
      </c>
    </row>
    <row r="2831" spans="15:15" x14ac:dyDescent="0.3">
      <c r="O2831" t="str">
        <f t="shared" si="45"/>
        <v/>
      </c>
    </row>
    <row r="2832" spans="15:15" x14ac:dyDescent="0.3">
      <c r="O2832" t="str">
        <f t="shared" si="45"/>
        <v/>
      </c>
    </row>
    <row r="2833" spans="15:15" x14ac:dyDescent="0.3">
      <c r="O2833" t="str">
        <f t="shared" si="45"/>
        <v/>
      </c>
    </row>
    <row r="2834" spans="15:15" x14ac:dyDescent="0.3">
      <c r="O2834" t="str">
        <f t="shared" si="45"/>
        <v/>
      </c>
    </row>
    <row r="2835" spans="15:15" x14ac:dyDescent="0.3">
      <c r="O2835" t="str">
        <f t="shared" si="45"/>
        <v/>
      </c>
    </row>
    <row r="2836" spans="15:15" x14ac:dyDescent="0.3">
      <c r="O2836" t="str">
        <f t="shared" si="45"/>
        <v/>
      </c>
    </row>
    <row r="2837" spans="15:15" x14ac:dyDescent="0.3">
      <c r="O2837" t="str">
        <f t="shared" si="45"/>
        <v/>
      </c>
    </row>
    <row r="2838" spans="15:15" x14ac:dyDescent="0.3">
      <c r="O2838" t="str">
        <f t="shared" si="45"/>
        <v/>
      </c>
    </row>
    <row r="2839" spans="15:15" x14ac:dyDescent="0.3">
      <c r="O2839" t="str">
        <f t="shared" si="45"/>
        <v/>
      </c>
    </row>
    <row r="2840" spans="15:15" x14ac:dyDescent="0.3">
      <c r="O2840" t="str">
        <f t="shared" si="45"/>
        <v/>
      </c>
    </row>
    <row r="2841" spans="15:15" x14ac:dyDescent="0.3">
      <c r="O2841" t="str">
        <f t="shared" si="45"/>
        <v/>
      </c>
    </row>
    <row r="2842" spans="15:15" x14ac:dyDescent="0.3">
      <c r="O2842" t="str">
        <f t="shared" si="45"/>
        <v/>
      </c>
    </row>
    <row r="2843" spans="15:15" x14ac:dyDescent="0.3">
      <c r="O2843" t="str">
        <f t="shared" si="45"/>
        <v/>
      </c>
    </row>
    <row r="2844" spans="15:15" x14ac:dyDescent="0.3">
      <c r="O2844" t="str">
        <f t="shared" si="45"/>
        <v/>
      </c>
    </row>
    <row r="2845" spans="15:15" x14ac:dyDescent="0.3">
      <c r="O2845" t="str">
        <f t="shared" si="45"/>
        <v/>
      </c>
    </row>
    <row r="2846" spans="15:15" x14ac:dyDescent="0.3">
      <c r="O2846" t="str">
        <f t="shared" si="45"/>
        <v/>
      </c>
    </row>
    <row r="2847" spans="15:15" x14ac:dyDescent="0.3">
      <c r="O2847" t="str">
        <f t="shared" si="45"/>
        <v/>
      </c>
    </row>
    <row r="2848" spans="15:15" x14ac:dyDescent="0.3">
      <c r="O2848" t="str">
        <f t="shared" si="45"/>
        <v/>
      </c>
    </row>
    <row r="2849" spans="15:15" x14ac:dyDescent="0.3">
      <c r="O2849" t="str">
        <f t="shared" si="45"/>
        <v/>
      </c>
    </row>
    <row r="2850" spans="15:15" x14ac:dyDescent="0.3">
      <c r="O2850" t="str">
        <f t="shared" si="45"/>
        <v/>
      </c>
    </row>
    <row r="2851" spans="15:15" x14ac:dyDescent="0.3">
      <c r="O2851" t="str">
        <f t="shared" si="45"/>
        <v/>
      </c>
    </row>
    <row r="2852" spans="15:15" x14ac:dyDescent="0.3">
      <c r="O2852" t="str">
        <f t="shared" si="45"/>
        <v/>
      </c>
    </row>
    <row r="2853" spans="15:15" x14ac:dyDescent="0.3">
      <c r="O2853" t="str">
        <f t="shared" si="45"/>
        <v/>
      </c>
    </row>
    <row r="2854" spans="15:15" x14ac:dyDescent="0.3">
      <c r="O2854" t="str">
        <f t="shared" si="45"/>
        <v/>
      </c>
    </row>
    <row r="2855" spans="15:15" x14ac:dyDescent="0.3">
      <c r="O2855" t="str">
        <f t="shared" si="45"/>
        <v/>
      </c>
    </row>
    <row r="2856" spans="15:15" x14ac:dyDescent="0.3">
      <c r="O2856" t="str">
        <f t="shared" si="45"/>
        <v/>
      </c>
    </row>
    <row r="2857" spans="15:15" x14ac:dyDescent="0.3">
      <c r="O2857" t="str">
        <f t="shared" si="45"/>
        <v/>
      </c>
    </row>
    <row r="2858" spans="15:15" x14ac:dyDescent="0.3">
      <c r="O2858" t="str">
        <f t="shared" si="45"/>
        <v/>
      </c>
    </row>
    <row r="2859" spans="15:15" x14ac:dyDescent="0.3">
      <c r="O2859" t="str">
        <f t="shared" si="45"/>
        <v/>
      </c>
    </row>
    <row r="2860" spans="15:15" x14ac:dyDescent="0.3">
      <c r="O2860" t="str">
        <f t="shared" si="45"/>
        <v/>
      </c>
    </row>
    <row r="2861" spans="15:15" x14ac:dyDescent="0.3">
      <c r="O2861" t="str">
        <f t="shared" si="45"/>
        <v/>
      </c>
    </row>
    <row r="2862" spans="15:15" x14ac:dyDescent="0.3">
      <c r="O2862" t="str">
        <f t="shared" si="45"/>
        <v/>
      </c>
    </row>
    <row r="2863" spans="15:15" x14ac:dyDescent="0.3">
      <c r="O2863" t="str">
        <f t="shared" si="45"/>
        <v/>
      </c>
    </row>
    <row r="2864" spans="15:15" x14ac:dyDescent="0.3">
      <c r="O2864" t="str">
        <f t="shared" si="45"/>
        <v/>
      </c>
    </row>
    <row r="2865" spans="15:15" x14ac:dyDescent="0.3">
      <c r="O2865" t="str">
        <f t="shared" si="45"/>
        <v/>
      </c>
    </row>
    <row r="2866" spans="15:15" x14ac:dyDescent="0.3">
      <c r="O2866" t="str">
        <f t="shared" si="45"/>
        <v/>
      </c>
    </row>
    <row r="2867" spans="15:15" x14ac:dyDescent="0.3">
      <c r="O2867" t="str">
        <f t="shared" si="45"/>
        <v/>
      </c>
    </row>
    <row r="2868" spans="15:15" x14ac:dyDescent="0.3">
      <c r="O2868" t="str">
        <f t="shared" si="45"/>
        <v/>
      </c>
    </row>
    <row r="2869" spans="15:15" x14ac:dyDescent="0.3">
      <c r="O2869" t="str">
        <f t="shared" si="45"/>
        <v/>
      </c>
    </row>
    <row r="2870" spans="15:15" x14ac:dyDescent="0.3">
      <c r="O2870" t="str">
        <f t="shared" si="45"/>
        <v/>
      </c>
    </row>
    <row r="2871" spans="15:15" x14ac:dyDescent="0.3">
      <c r="O2871" t="str">
        <f t="shared" si="45"/>
        <v/>
      </c>
    </row>
    <row r="2872" spans="15:15" x14ac:dyDescent="0.3">
      <c r="O2872" t="str">
        <f t="shared" si="45"/>
        <v/>
      </c>
    </row>
    <row r="2873" spans="15:15" x14ac:dyDescent="0.3">
      <c r="O2873" t="str">
        <f t="shared" si="45"/>
        <v/>
      </c>
    </row>
    <row r="2874" spans="15:15" x14ac:dyDescent="0.3">
      <c r="O2874" t="str">
        <f t="shared" si="45"/>
        <v/>
      </c>
    </row>
    <row r="2875" spans="15:15" x14ac:dyDescent="0.3">
      <c r="O2875" t="str">
        <f t="shared" si="45"/>
        <v/>
      </c>
    </row>
    <row r="2876" spans="15:15" x14ac:dyDescent="0.3">
      <c r="O2876" t="str">
        <f t="shared" si="45"/>
        <v/>
      </c>
    </row>
    <row r="2877" spans="15:15" x14ac:dyDescent="0.3">
      <c r="O2877" t="str">
        <f t="shared" si="45"/>
        <v/>
      </c>
    </row>
    <row r="2878" spans="15:15" x14ac:dyDescent="0.3">
      <c r="O2878" t="str">
        <f t="shared" si="45"/>
        <v/>
      </c>
    </row>
    <row r="2879" spans="15:15" x14ac:dyDescent="0.3">
      <c r="O2879" t="str">
        <f t="shared" si="45"/>
        <v/>
      </c>
    </row>
    <row r="2880" spans="15:15" x14ac:dyDescent="0.3">
      <c r="O2880" t="str">
        <f t="shared" si="45"/>
        <v/>
      </c>
    </row>
    <row r="2881" spans="15:15" x14ac:dyDescent="0.3">
      <c r="O2881" t="str">
        <f t="shared" si="45"/>
        <v/>
      </c>
    </row>
    <row r="2882" spans="15:15" x14ac:dyDescent="0.3">
      <c r="O2882" t="str">
        <f t="shared" si="45"/>
        <v/>
      </c>
    </row>
    <row r="2883" spans="15:15" x14ac:dyDescent="0.3">
      <c r="O2883" t="str">
        <f t="shared" si="45"/>
        <v/>
      </c>
    </row>
    <row r="2884" spans="15:15" x14ac:dyDescent="0.3">
      <c r="O2884" t="str">
        <f t="shared" si="45"/>
        <v/>
      </c>
    </row>
    <row r="2885" spans="15:15" x14ac:dyDescent="0.3">
      <c r="O2885" t="str">
        <f t="shared" si="45"/>
        <v/>
      </c>
    </row>
    <row r="2886" spans="15:15" x14ac:dyDescent="0.3">
      <c r="O2886" t="str">
        <f t="shared" si="45"/>
        <v/>
      </c>
    </row>
    <row r="2887" spans="15:15" x14ac:dyDescent="0.3">
      <c r="O2887" t="str">
        <f t="shared" si="45"/>
        <v/>
      </c>
    </row>
    <row r="2888" spans="15:15" x14ac:dyDescent="0.3">
      <c r="O2888" t="str">
        <f t="shared" si="45"/>
        <v/>
      </c>
    </row>
    <row r="2889" spans="15:15" x14ac:dyDescent="0.3">
      <c r="O2889" t="str">
        <f t="shared" si="45"/>
        <v/>
      </c>
    </row>
    <row r="2890" spans="15:15" x14ac:dyDescent="0.3">
      <c r="O2890" t="str">
        <f t="shared" ref="O2890:O2953" si="46">IF(P2890="","",O2889+1)</f>
        <v/>
      </c>
    </row>
    <row r="2891" spans="15:15" x14ac:dyDescent="0.3">
      <c r="O2891" t="str">
        <f t="shared" si="46"/>
        <v/>
      </c>
    </row>
    <row r="2892" spans="15:15" x14ac:dyDescent="0.3">
      <c r="O2892" t="str">
        <f t="shared" si="46"/>
        <v/>
      </c>
    </row>
    <row r="2893" spans="15:15" x14ac:dyDescent="0.3">
      <c r="O2893" t="str">
        <f t="shared" si="46"/>
        <v/>
      </c>
    </row>
    <row r="2894" spans="15:15" x14ac:dyDescent="0.3">
      <c r="O2894" t="str">
        <f t="shared" si="46"/>
        <v/>
      </c>
    </row>
    <row r="2895" spans="15:15" x14ac:dyDescent="0.3">
      <c r="O2895" t="str">
        <f t="shared" si="46"/>
        <v/>
      </c>
    </row>
    <row r="2896" spans="15:15" x14ac:dyDescent="0.3">
      <c r="O2896" t="str">
        <f t="shared" si="46"/>
        <v/>
      </c>
    </row>
    <row r="2897" spans="15:15" x14ac:dyDescent="0.3">
      <c r="O2897" t="str">
        <f t="shared" si="46"/>
        <v/>
      </c>
    </row>
    <row r="2898" spans="15:15" x14ac:dyDescent="0.3">
      <c r="O2898" t="str">
        <f t="shared" si="46"/>
        <v/>
      </c>
    </row>
    <row r="2899" spans="15:15" x14ac:dyDescent="0.3">
      <c r="O2899" t="str">
        <f t="shared" si="46"/>
        <v/>
      </c>
    </row>
    <row r="2900" spans="15:15" x14ac:dyDescent="0.3">
      <c r="O2900" t="str">
        <f t="shared" si="46"/>
        <v/>
      </c>
    </row>
    <row r="2901" spans="15:15" x14ac:dyDescent="0.3">
      <c r="O2901" t="str">
        <f t="shared" si="46"/>
        <v/>
      </c>
    </row>
    <row r="2902" spans="15:15" x14ac:dyDescent="0.3">
      <c r="O2902" t="str">
        <f t="shared" si="46"/>
        <v/>
      </c>
    </row>
    <row r="2903" spans="15:15" x14ac:dyDescent="0.3">
      <c r="O2903" t="str">
        <f t="shared" si="46"/>
        <v/>
      </c>
    </row>
    <row r="2904" spans="15:15" x14ac:dyDescent="0.3">
      <c r="O2904" t="str">
        <f t="shared" si="46"/>
        <v/>
      </c>
    </row>
    <row r="2905" spans="15:15" x14ac:dyDescent="0.3">
      <c r="O2905" t="str">
        <f t="shared" si="46"/>
        <v/>
      </c>
    </row>
    <row r="2906" spans="15:15" x14ac:dyDescent="0.3">
      <c r="O2906" t="str">
        <f t="shared" si="46"/>
        <v/>
      </c>
    </row>
    <row r="2907" spans="15:15" x14ac:dyDescent="0.3">
      <c r="O2907" t="str">
        <f t="shared" si="46"/>
        <v/>
      </c>
    </row>
    <row r="2908" spans="15:15" x14ac:dyDescent="0.3">
      <c r="O2908" t="str">
        <f t="shared" si="46"/>
        <v/>
      </c>
    </row>
    <row r="2909" spans="15:15" x14ac:dyDescent="0.3">
      <c r="O2909" t="str">
        <f t="shared" si="46"/>
        <v/>
      </c>
    </row>
    <row r="2910" spans="15:15" x14ac:dyDescent="0.3">
      <c r="O2910" t="str">
        <f t="shared" si="46"/>
        <v/>
      </c>
    </row>
    <row r="2911" spans="15:15" x14ac:dyDescent="0.3">
      <c r="O2911" t="str">
        <f t="shared" si="46"/>
        <v/>
      </c>
    </row>
    <row r="2912" spans="15:15" x14ac:dyDescent="0.3">
      <c r="O2912" t="str">
        <f t="shared" si="46"/>
        <v/>
      </c>
    </row>
    <row r="2913" spans="15:15" x14ac:dyDescent="0.3">
      <c r="O2913" t="str">
        <f t="shared" si="46"/>
        <v/>
      </c>
    </row>
    <row r="2914" spans="15:15" x14ac:dyDescent="0.3">
      <c r="O2914" t="str">
        <f t="shared" si="46"/>
        <v/>
      </c>
    </row>
    <row r="2915" spans="15:15" x14ac:dyDescent="0.3">
      <c r="O2915" t="str">
        <f t="shared" si="46"/>
        <v/>
      </c>
    </row>
    <row r="2916" spans="15:15" x14ac:dyDescent="0.3">
      <c r="O2916" t="str">
        <f t="shared" si="46"/>
        <v/>
      </c>
    </row>
    <row r="2917" spans="15:15" x14ac:dyDescent="0.3">
      <c r="O2917" t="str">
        <f t="shared" si="46"/>
        <v/>
      </c>
    </row>
    <row r="2918" spans="15:15" x14ac:dyDescent="0.3">
      <c r="O2918" t="str">
        <f t="shared" si="46"/>
        <v/>
      </c>
    </row>
    <row r="2919" spans="15:15" x14ac:dyDescent="0.3">
      <c r="O2919" t="str">
        <f t="shared" si="46"/>
        <v/>
      </c>
    </row>
    <row r="2920" spans="15:15" x14ac:dyDescent="0.3">
      <c r="O2920" t="str">
        <f t="shared" si="46"/>
        <v/>
      </c>
    </row>
    <row r="2921" spans="15:15" x14ac:dyDescent="0.3">
      <c r="O2921" t="str">
        <f t="shared" si="46"/>
        <v/>
      </c>
    </row>
    <row r="2922" spans="15:15" x14ac:dyDescent="0.3">
      <c r="O2922" t="str">
        <f t="shared" si="46"/>
        <v/>
      </c>
    </row>
    <row r="2923" spans="15:15" x14ac:dyDescent="0.3">
      <c r="O2923" t="str">
        <f t="shared" si="46"/>
        <v/>
      </c>
    </row>
    <row r="2924" spans="15:15" x14ac:dyDescent="0.3">
      <c r="O2924" t="str">
        <f t="shared" si="46"/>
        <v/>
      </c>
    </row>
    <row r="2925" spans="15:15" x14ac:dyDescent="0.3">
      <c r="O2925" t="str">
        <f t="shared" si="46"/>
        <v/>
      </c>
    </row>
    <row r="2926" spans="15:15" x14ac:dyDescent="0.3">
      <c r="O2926" t="str">
        <f t="shared" si="46"/>
        <v/>
      </c>
    </row>
    <row r="2927" spans="15:15" x14ac:dyDescent="0.3">
      <c r="O2927" t="str">
        <f t="shared" si="46"/>
        <v/>
      </c>
    </row>
    <row r="2928" spans="15:15" x14ac:dyDescent="0.3">
      <c r="O2928" t="str">
        <f t="shared" si="46"/>
        <v/>
      </c>
    </row>
    <row r="2929" spans="15:15" x14ac:dyDescent="0.3">
      <c r="O2929" t="str">
        <f t="shared" si="46"/>
        <v/>
      </c>
    </row>
    <row r="2930" spans="15:15" x14ac:dyDescent="0.3">
      <c r="O2930" t="str">
        <f t="shared" si="46"/>
        <v/>
      </c>
    </row>
    <row r="2931" spans="15:15" x14ac:dyDescent="0.3">
      <c r="O2931" t="str">
        <f t="shared" si="46"/>
        <v/>
      </c>
    </row>
    <row r="2932" spans="15:15" x14ac:dyDescent="0.3">
      <c r="O2932" t="str">
        <f t="shared" si="46"/>
        <v/>
      </c>
    </row>
    <row r="2933" spans="15:15" x14ac:dyDescent="0.3">
      <c r="O2933" t="str">
        <f t="shared" si="46"/>
        <v/>
      </c>
    </row>
    <row r="2934" spans="15:15" x14ac:dyDescent="0.3">
      <c r="O2934" t="str">
        <f t="shared" si="46"/>
        <v/>
      </c>
    </row>
    <row r="2935" spans="15:15" x14ac:dyDescent="0.3">
      <c r="O2935" t="str">
        <f t="shared" si="46"/>
        <v/>
      </c>
    </row>
    <row r="2936" spans="15:15" x14ac:dyDescent="0.3">
      <c r="O2936" t="str">
        <f t="shared" si="46"/>
        <v/>
      </c>
    </row>
    <row r="2937" spans="15:15" x14ac:dyDescent="0.3">
      <c r="O2937" t="str">
        <f t="shared" si="46"/>
        <v/>
      </c>
    </row>
    <row r="2938" spans="15:15" x14ac:dyDescent="0.3">
      <c r="O2938" t="str">
        <f t="shared" si="46"/>
        <v/>
      </c>
    </row>
    <row r="2939" spans="15:15" x14ac:dyDescent="0.3">
      <c r="O2939" t="str">
        <f t="shared" si="46"/>
        <v/>
      </c>
    </row>
    <row r="2940" spans="15:15" x14ac:dyDescent="0.3">
      <c r="O2940" t="str">
        <f t="shared" si="46"/>
        <v/>
      </c>
    </row>
    <row r="2941" spans="15:15" x14ac:dyDescent="0.3">
      <c r="O2941" t="str">
        <f t="shared" si="46"/>
        <v/>
      </c>
    </row>
    <row r="2942" spans="15:15" x14ac:dyDescent="0.3">
      <c r="O2942" t="str">
        <f t="shared" si="46"/>
        <v/>
      </c>
    </row>
    <row r="2943" spans="15:15" x14ac:dyDescent="0.3">
      <c r="O2943" t="str">
        <f t="shared" si="46"/>
        <v/>
      </c>
    </row>
    <row r="2944" spans="15:15" x14ac:dyDescent="0.3">
      <c r="O2944" t="str">
        <f t="shared" si="46"/>
        <v/>
      </c>
    </row>
    <row r="2945" spans="15:15" x14ac:dyDescent="0.3">
      <c r="O2945" t="str">
        <f t="shared" si="46"/>
        <v/>
      </c>
    </row>
    <row r="2946" spans="15:15" x14ac:dyDescent="0.3">
      <c r="O2946" t="str">
        <f t="shared" si="46"/>
        <v/>
      </c>
    </row>
    <row r="2947" spans="15:15" x14ac:dyDescent="0.3">
      <c r="O2947" t="str">
        <f t="shared" si="46"/>
        <v/>
      </c>
    </row>
    <row r="2948" spans="15:15" x14ac:dyDescent="0.3">
      <c r="O2948" t="str">
        <f t="shared" si="46"/>
        <v/>
      </c>
    </row>
    <row r="2949" spans="15:15" x14ac:dyDescent="0.3">
      <c r="O2949" t="str">
        <f t="shared" si="46"/>
        <v/>
      </c>
    </row>
    <row r="2950" spans="15:15" x14ac:dyDescent="0.3">
      <c r="O2950" t="str">
        <f t="shared" si="46"/>
        <v/>
      </c>
    </row>
    <row r="2951" spans="15:15" x14ac:dyDescent="0.3">
      <c r="O2951" t="str">
        <f t="shared" si="46"/>
        <v/>
      </c>
    </row>
    <row r="2952" spans="15:15" x14ac:dyDescent="0.3">
      <c r="O2952" t="str">
        <f t="shared" si="46"/>
        <v/>
      </c>
    </row>
    <row r="2953" spans="15:15" x14ac:dyDescent="0.3">
      <c r="O2953" t="str">
        <f t="shared" si="46"/>
        <v/>
      </c>
    </row>
    <row r="2954" spans="15:15" x14ac:dyDescent="0.3">
      <c r="O2954" t="str">
        <f t="shared" ref="O2954:O3017" si="47">IF(P2954="","",O2953+1)</f>
        <v/>
      </c>
    </row>
    <row r="2955" spans="15:15" x14ac:dyDescent="0.3">
      <c r="O2955" t="str">
        <f t="shared" si="47"/>
        <v/>
      </c>
    </row>
    <row r="2956" spans="15:15" x14ac:dyDescent="0.3">
      <c r="O2956" t="str">
        <f t="shared" si="47"/>
        <v/>
      </c>
    </row>
    <row r="2957" spans="15:15" x14ac:dyDescent="0.3">
      <c r="O2957" t="str">
        <f t="shared" si="47"/>
        <v/>
      </c>
    </row>
    <row r="2958" spans="15:15" x14ac:dyDescent="0.3">
      <c r="O2958" t="str">
        <f t="shared" si="47"/>
        <v/>
      </c>
    </row>
    <row r="2959" spans="15:15" x14ac:dyDescent="0.3">
      <c r="O2959" t="str">
        <f t="shared" si="47"/>
        <v/>
      </c>
    </row>
    <row r="2960" spans="15:15" x14ac:dyDescent="0.3">
      <c r="O2960" t="str">
        <f t="shared" si="47"/>
        <v/>
      </c>
    </row>
    <row r="2961" spans="15:15" x14ac:dyDescent="0.3">
      <c r="O2961" t="str">
        <f t="shared" si="47"/>
        <v/>
      </c>
    </row>
    <row r="2962" spans="15:15" x14ac:dyDescent="0.3">
      <c r="O2962" t="str">
        <f t="shared" si="47"/>
        <v/>
      </c>
    </row>
    <row r="2963" spans="15:15" x14ac:dyDescent="0.3">
      <c r="O2963" t="str">
        <f t="shared" si="47"/>
        <v/>
      </c>
    </row>
    <row r="2964" spans="15:15" x14ac:dyDescent="0.3">
      <c r="O2964" t="str">
        <f t="shared" si="47"/>
        <v/>
      </c>
    </row>
    <row r="2965" spans="15:15" x14ac:dyDescent="0.3">
      <c r="O2965" t="str">
        <f t="shared" si="47"/>
        <v/>
      </c>
    </row>
    <row r="2966" spans="15:15" x14ac:dyDescent="0.3">
      <c r="O2966" t="str">
        <f t="shared" si="47"/>
        <v/>
      </c>
    </row>
    <row r="2967" spans="15:15" x14ac:dyDescent="0.3">
      <c r="O2967" t="str">
        <f t="shared" si="47"/>
        <v/>
      </c>
    </row>
    <row r="2968" spans="15:15" x14ac:dyDescent="0.3">
      <c r="O2968" t="str">
        <f t="shared" si="47"/>
        <v/>
      </c>
    </row>
    <row r="2969" spans="15:15" x14ac:dyDescent="0.3">
      <c r="O2969" t="str">
        <f t="shared" si="47"/>
        <v/>
      </c>
    </row>
    <row r="2970" spans="15:15" x14ac:dyDescent="0.3">
      <c r="O2970" t="str">
        <f t="shared" si="47"/>
        <v/>
      </c>
    </row>
    <row r="2971" spans="15:15" x14ac:dyDescent="0.3">
      <c r="O2971" t="str">
        <f t="shared" si="47"/>
        <v/>
      </c>
    </row>
    <row r="2972" spans="15:15" x14ac:dyDescent="0.3">
      <c r="O2972" t="str">
        <f t="shared" si="47"/>
        <v/>
      </c>
    </row>
    <row r="2973" spans="15:15" x14ac:dyDescent="0.3">
      <c r="O2973" t="str">
        <f t="shared" si="47"/>
        <v/>
      </c>
    </row>
    <row r="2974" spans="15:15" x14ac:dyDescent="0.3">
      <c r="O2974" t="str">
        <f t="shared" si="47"/>
        <v/>
      </c>
    </row>
    <row r="2975" spans="15:15" x14ac:dyDescent="0.3">
      <c r="O2975" t="str">
        <f t="shared" si="47"/>
        <v/>
      </c>
    </row>
    <row r="2976" spans="15:15" x14ac:dyDescent="0.3">
      <c r="O2976" t="str">
        <f t="shared" si="47"/>
        <v/>
      </c>
    </row>
    <row r="2977" spans="15:15" x14ac:dyDescent="0.3">
      <c r="O2977" t="str">
        <f t="shared" si="47"/>
        <v/>
      </c>
    </row>
    <row r="2978" spans="15:15" x14ac:dyDescent="0.3">
      <c r="O2978" t="str">
        <f t="shared" si="47"/>
        <v/>
      </c>
    </row>
    <row r="2979" spans="15:15" x14ac:dyDescent="0.3">
      <c r="O2979" t="str">
        <f t="shared" si="47"/>
        <v/>
      </c>
    </row>
    <row r="2980" spans="15:15" x14ac:dyDescent="0.3">
      <c r="O2980" t="str">
        <f t="shared" si="47"/>
        <v/>
      </c>
    </row>
    <row r="2981" spans="15:15" x14ac:dyDescent="0.3">
      <c r="O2981" t="str">
        <f t="shared" si="47"/>
        <v/>
      </c>
    </row>
    <row r="2982" spans="15:15" x14ac:dyDescent="0.3">
      <c r="O2982" t="str">
        <f t="shared" si="47"/>
        <v/>
      </c>
    </row>
    <row r="2983" spans="15:15" x14ac:dyDescent="0.3">
      <c r="O2983" t="str">
        <f t="shared" si="47"/>
        <v/>
      </c>
    </row>
    <row r="2984" spans="15:15" x14ac:dyDescent="0.3">
      <c r="O2984" t="str">
        <f t="shared" si="47"/>
        <v/>
      </c>
    </row>
    <row r="2985" spans="15:15" x14ac:dyDescent="0.3">
      <c r="O2985" t="str">
        <f t="shared" si="47"/>
        <v/>
      </c>
    </row>
    <row r="2986" spans="15:15" x14ac:dyDescent="0.3">
      <c r="O2986" t="str">
        <f t="shared" si="47"/>
        <v/>
      </c>
    </row>
    <row r="2987" spans="15:15" x14ac:dyDescent="0.3">
      <c r="O2987" t="str">
        <f t="shared" si="47"/>
        <v/>
      </c>
    </row>
    <row r="2988" spans="15:15" x14ac:dyDescent="0.3">
      <c r="O2988" t="str">
        <f t="shared" si="47"/>
        <v/>
      </c>
    </row>
    <row r="2989" spans="15:15" x14ac:dyDescent="0.3">
      <c r="O2989" t="str">
        <f t="shared" si="47"/>
        <v/>
      </c>
    </row>
    <row r="2990" spans="15:15" x14ac:dyDescent="0.3">
      <c r="O2990" t="str">
        <f t="shared" si="47"/>
        <v/>
      </c>
    </row>
    <row r="2991" spans="15:15" x14ac:dyDescent="0.3">
      <c r="O2991" t="str">
        <f t="shared" si="47"/>
        <v/>
      </c>
    </row>
    <row r="2992" spans="15:15" x14ac:dyDescent="0.3">
      <c r="O2992" t="str">
        <f t="shared" si="47"/>
        <v/>
      </c>
    </row>
    <row r="2993" spans="15:15" x14ac:dyDescent="0.3">
      <c r="O2993" t="str">
        <f t="shared" si="47"/>
        <v/>
      </c>
    </row>
    <row r="2994" spans="15:15" x14ac:dyDescent="0.3">
      <c r="O2994" t="str">
        <f t="shared" si="47"/>
        <v/>
      </c>
    </row>
    <row r="2995" spans="15:15" x14ac:dyDescent="0.3">
      <c r="O2995" t="str">
        <f t="shared" si="47"/>
        <v/>
      </c>
    </row>
    <row r="2996" spans="15:15" x14ac:dyDescent="0.3">
      <c r="O2996" t="str">
        <f t="shared" si="47"/>
        <v/>
      </c>
    </row>
    <row r="2997" spans="15:15" x14ac:dyDescent="0.3">
      <c r="O2997" t="str">
        <f t="shared" si="47"/>
        <v/>
      </c>
    </row>
    <row r="2998" spans="15:15" x14ac:dyDescent="0.3">
      <c r="O2998" t="str">
        <f t="shared" si="47"/>
        <v/>
      </c>
    </row>
    <row r="2999" spans="15:15" x14ac:dyDescent="0.3">
      <c r="O2999" t="str">
        <f t="shared" si="47"/>
        <v/>
      </c>
    </row>
    <row r="3000" spans="15:15" x14ac:dyDescent="0.3">
      <c r="O3000" t="str">
        <f t="shared" si="47"/>
        <v/>
      </c>
    </row>
    <row r="3001" spans="15:15" x14ac:dyDescent="0.3">
      <c r="O3001" t="str">
        <f t="shared" si="47"/>
        <v/>
      </c>
    </row>
    <row r="3002" spans="15:15" x14ac:dyDescent="0.3">
      <c r="O3002" t="str">
        <f t="shared" si="47"/>
        <v/>
      </c>
    </row>
    <row r="3003" spans="15:15" x14ac:dyDescent="0.3">
      <c r="O3003" t="str">
        <f t="shared" si="47"/>
        <v/>
      </c>
    </row>
    <row r="3004" spans="15:15" x14ac:dyDescent="0.3">
      <c r="O3004" t="str">
        <f t="shared" si="47"/>
        <v/>
      </c>
    </row>
    <row r="3005" spans="15:15" x14ac:dyDescent="0.3">
      <c r="O3005" t="str">
        <f t="shared" si="47"/>
        <v/>
      </c>
    </row>
    <row r="3006" spans="15:15" x14ac:dyDescent="0.3">
      <c r="O3006" t="str">
        <f t="shared" si="47"/>
        <v/>
      </c>
    </row>
    <row r="3007" spans="15:15" x14ac:dyDescent="0.3">
      <c r="O3007" t="str">
        <f t="shared" si="47"/>
        <v/>
      </c>
    </row>
    <row r="3008" spans="15:15" x14ac:dyDescent="0.3">
      <c r="O3008" t="str">
        <f t="shared" si="47"/>
        <v/>
      </c>
    </row>
    <row r="3009" spans="15:15" x14ac:dyDescent="0.3">
      <c r="O3009" t="str">
        <f t="shared" si="47"/>
        <v/>
      </c>
    </row>
    <row r="3010" spans="15:15" x14ac:dyDescent="0.3">
      <c r="O3010" t="str">
        <f t="shared" si="47"/>
        <v/>
      </c>
    </row>
    <row r="3011" spans="15:15" x14ac:dyDescent="0.3">
      <c r="O3011" t="str">
        <f t="shared" si="47"/>
        <v/>
      </c>
    </row>
    <row r="3012" spans="15:15" x14ac:dyDescent="0.3">
      <c r="O3012" t="str">
        <f t="shared" si="47"/>
        <v/>
      </c>
    </row>
    <row r="3013" spans="15:15" x14ac:dyDescent="0.3">
      <c r="O3013" t="str">
        <f t="shared" si="47"/>
        <v/>
      </c>
    </row>
    <row r="3014" spans="15:15" x14ac:dyDescent="0.3">
      <c r="O3014" t="str">
        <f t="shared" si="47"/>
        <v/>
      </c>
    </row>
    <row r="3015" spans="15:15" x14ac:dyDescent="0.3">
      <c r="O3015" t="str">
        <f t="shared" si="47"/>
        <v/>
      </c>
    </row>
    <row r="3016" spans="15:15" x14ac:dyDescent="0.3">
      <c r="O3016" t="str">
        <f t="shared" si="47"/>
        <v/>
      </c>
    </row>
    <row r="3017" spans="15:15" x14ac:dyDescent="0.3">
      <c r="O3017" t="str">
        <f t="shared" si="47"/>
        <v/>
      </c>
    </row>
    <row r="3018" spans="15:15" x14ac:dyDescent="0.3">
      <c r="O3018" t="str">
        <f t="shared" ref="O3018:O3081" si="48">IF(P3018="","",O3017+1)</f>
        <v/>
      </c>
    </row>
    <row r="3019" spans="15:15" x14ac:dyDescent="0.3">
      <c r="O3019" t="str">
        <f t="shared" si="48"/>
        <v/>
      </c>
    </row>
    <row r="3020" spans="15:15" x14ac:dyDescent="0.3">
      <c r="O3020" t="str">
        <f t="shared" si="48"/>
        <v/>
      </c>
    </row>
    <row r="3021" spans="15:15" x14ac:dyDescent="0.3">
      <c r="O3021" t="str">
        <f t="shared" si="48"/>
        <v/>
      </c>
    </row>
    <row r="3022" spans="15:15" x14ac:dyDescent="0.3">
      <c r="O3022" t="str">
        <f t="shared" si="48"/>
        <v/>
      </c>
    </row>
    <row r="3023" spans="15:15" x14ac:dyDescent="0.3">
      <c r="O3023" t="str">
        <f t="shared" si="48"/>
        <v/>
      </c>
    </row>
    <row r="3024" spans="15:15" x14ac:dyDescent="0.3">
      <c r="O3024" t="str">
        <f t="shared" si="48"/>
        <v/>
      </c>
    </row>
    <row r="3025" spans="15:15" x14ac:dyDescent="0.3">
      <c r="O3025" t="str">
        <f t="shared" si="48"/>
        <v/>
      </c>
    </row>
    <row r="3026" spans="15:15" x14ac:dyDescent="0.3">
      <c r="O3026" t="str">
        <f t="shared" si="48"/>
        <v/>
      </c>
    </row>
    <row r="3027" spans="15:15" x14ac:dyDescent="0.3">
      <c r="O3027" t="str">
        <f t="shared" si="48"/>
        <v/>
      </c>
    </row>
    <row r="3028" spans="15:15" x14ac:dyDescent="0.3">
      <c r="O3028" t="str">
        <f t="shared" si="48"/>
        <v/>
      </c>
    </row>
    <row r="3029" spans="15:15" x14ac:dyDescent="0.3">
      <c r="O3029" t="str">
        <f t="shared" si="48"/>
        <v/>
      </c>
    </row>
    <row r="3030" spans="15:15" x14ac:dyDescent="0.3">
      <c r="O3030" t="str">
        <f t="shared" si="48"/>
        <v/>
      </c>
    </row>
    <row r="3031" spans="15:15" x14ac:dyDescent="0.3">
      <c r="O3031" t="str">
        <f t="shared" si="48"/>
        <v/>
      </c>
    </row>
    <row r="3032" spans="15:15" x14ac:dyDescent="0.3">
      <c r="O3032" t="str">
        <f t="shared" si="48"/>
        <v/>
      </c>
    </row>
    <row r="3033" spans="15:15" x14ac:dyDescent="0.3">
      <c r="O3033" t="str">
        <f t="shared" si="48"/>
        <v/>
      </c>
    </row>
    <row r="3034" spans="15:15" x14ac:dyDescent="0.3">
      <c r="O3034" t="str">
        <f t="shared" si="48"/>
        <v/>
      </c>
    </row>
    <row r="3035" spans="15:15" x14ac:dyDescent="0.3">
      <c r="O3035" t="str">
        <f t="shared" si="48"/>
        <v/>
      </c>
    </row>
    <row r="3036" spans="15:15" x14ac:dyDescent="0.3">
      <c r="O3036" t="str">
        <f t="shared" si="48"/>
        <v/>
      </c>
    </row>
    <row r="3037" spans="15:15" x14ac:dyDescent="0.3">
      <c r="O3037" t="str">
        <f t="shared" si="48"/>
        <v/>
      </c>
    </row>
    <row r="3038" spans="15:15" x14ac:dyDescent="0.3">
      <c r="O3038" t="str">
        <f t="shared" si="48"/>
        <v/>
      </c>
    </row>
    <row r="3039" spans="15:15" x14ac:dyDescent="0.3">
      <c r="O3039" t="str">
        <f t="shared" si="48"/>
        <v/>
      </c>
    </row>
    <row r="3040" spans="15:15" x14ac:dyDescent="0.3">
      <c r="O3040" t="str">
        <f t="shared" si="48"/>
        <v/>
      </c>
    </row>
    <row r="3041" spans="15:15" x14ac:dyDescent="0.3">
      <c r="O3041" t="str">
        <f t="shared" si="48"/>
        <v/>
      </c>
    </row>
    <row r="3042" spans="15:15" x14ac:dyDescent="0.3">
      <c r="O3042" t="str">
        <f t="shared" si="48"/>
        <v/>
      </c>
    </row>
    <row r="3043" spans="15:15" x14ac:dyDescent="0.3">
      <c r="O3043" t="str">
        <f t="shared" si="48"/>
        <v/>
      </c>
    </row>
    <row r="3044" spans="15:15" x14ac:dyDescent="0.3">
      <c r="O3044" t="str">
        <f t="shared" si="48"/>
        <v/>
      </c>
    </row>
    <row r="3045" spans="15:15" x14ac:dyDescent="0.3">
      <c r="O3045" t="str">
        <f t="shared" si="48"/>
        <v/>
      </c>
    </row>
    <row r="3046" spans="15:15" x14ac:dyDescent="0.3">
      <c r="O3046" t="str">
        <f t="shared" si="48"/>
        <v/>
      </c>
    </row>
    <row r="3047" spans="15:15" x14ac:dyDescent="0.3">
      <c r="O3047" t="str">
        <f t="shared" si="48"/>
        <v/>
      </c>
    </row>
    <row r="3048" spans="15:15" x14ac:dyDescent="0.3">
      <c r="O3048" t="str">
        <f t="shared" si="48"/>
        <v/>
      </c>
    </row>
    <row r="3049" spans="15:15" x14ac:dyDescent="0.3">
      <c r="O3049" t="str">
        <f t="shared" si="48"/>
        <v/>
      </c>
    </row>
    <row r="3050" spans="15:15" x14ac:dyDescent="0.3">
      <c r="O3050" t="str">
        <f t="shared" si="48"/>
        <v/>
      </c>
    </row>
    <row r="3051" spans="15:15" x14ac:dyDescent="0.3">
      <c r="O3051" t="str">
        <f t="shared" si="48"/>
        <v/>
      </c>
    </row>
    <row r="3052" spans="15:15" x14ac:dyDescent="0.3">
      <c r="O3052" t="str">
        <f t="shared" si="48"/>
        <v/>
      </c>
    </row>
    <row r="3053" spans="15:15" x14ac:dyDescent="0.3">
      <c r="O3053" t="str">
        <f t="shared" si="48"/>
        <v/>
      </c>
    </row>
    <row r="3054" spans="15:15" x14ac:dyDescent="0.3">
      <c r="O3054" t="str">
        <f t="shared" si="48"/>
        <v/>
      </c>
    </row>
    <row r="3055" spans="15:15" x14ac:dyDescent="0.3">
      <c r="O3055" t="str">
        <f t="shared" si="48"/>
        <v/>
      </c>
    </row>
    <row r="3056" spans="15:15" x14ac:dyDescent="0.3">
      <c r="O3056" t="str">
        <f t="shared" si="48"/>
        <v/>
      </c>
    </row>
    <row r="3057" spans="15:15" x14ac:dyDescent="0.3">
      <c r="O3057" t="str">
        <f t="shared" si="48"/>
        <v/>
      </c>
    </row>
    <row r="3058" spans="15:15" x14ac:dyDescent="0.3">
      <c r="O3058" t="str">
        <f t="shared" si="48"/>
        <v/>
      </c>
    </row>
    <row r="3059" spans="15:15" x14ac:dyDescent="0.3">
      <c r="O3059" t="str">
        <f t="shared" si="48"/>
        <v/>
      </c>
    </row>
    <row r="3060" spans="15:15" x14ac:dyDescent="0.3">
      <c r="O3060" t="str">
        <f t="shared" si="48"/>
        <v/>
      </c>
    </row>
    <row r="3061" spans="15:15" x14ac:dyDescent="0.3">
      <c r="O3061" t="str">
        <f t="shared" si="48"/>
        <v/>
      </c>
    </row>
    <row r="3062" spans="15:15" x14ac:dyDescent="0.3">
      <c r="O3062" t="str">
        <f t="shared" si="48"/>
        <v/>
      </c>
    </row>
    <row r="3063" spans="15:15" x14ac:dyDescent="0.3">
      <c r="O3063" t="str">
        <f t="shared" si="48"/>
        <v/>
      </c>
    </row>
    <row r="3064" spans="15:15" x14ac:dyDescent="0.3">
      <c r="O3064" t="str">
        <f t="shared" si="48"/>
        <v/>
      </c>
    </row>
    <row r="3065" spans="15:15" x14ac:dyDescent="0.3">
      <c r="O3065" t="str">
        <f t="shared" si="48"/>
        <v/>
      </c>
    </row>
    <row r="3066" spans="15:15" x14ac:dyDescent="0.3">
      <c r="O3066" t="str">
        <f t="shared" si="48"/>
        <v/>
      </c>
    </row>
    <row r="3067" spans="15:15" x14ac:dyDescent="0.3">
      <c r="O3067" t="str">
        <f t="shared" si="48"/>
        <v/>
      </c>
    </row>
    <row r="3068" spans="15:15" x14ac:dyDescent="0.3">
      <c r="O3068" t="str">
        <f t="shared" si="48"/>
        <v/>
      </c>
    </row>
    <row r="3069" spans="15:15" x14ac:dyDescent="0.3">
      <c r="O3069" t="str">
        <f t="shared" si="48"/>
        <v/>
      </c>
    </row>
    <row r="3070" spans="15:15" x14ac:dyDescent="0.3">
      <c r="O3070" t="str">
        <f t="shared" si="48"/>
        <v/>
      </c>
    </row>
    <row r="3071" spans="15:15" x14ac:dyDescent="0.3">
      <c r="O3071" t="str">
        <f t="shared" si="48"/>
        <v/>
      </c>
    </row>
    <row r="3072" spans="15:15" x14ac:dyDescent="0.3">
      <c r="O3072" t="str">
        <f t="shared" si="48"/>
        <v/>
      </c>
    </row>
    <row r="3073" spans="15:15" x14ac:dyDescent="0.3">
      <c r="O3073" t="str">
        <f t="shared" si="48"/>
        <v/>
      </c>
    </row>
    <row r="3074" spans="15:15" x14ac:dyDescent="0.3">
      <c r="O3074" t="str">
        <f t="shared" si="48"/>
        <v/>
      </c>
    </row>
    <row r="3075" spans="15:15" x14ac:dyDescent="0.3">
      <c r="O3075" t="str">
        <f t="shared" si="48"/>
        <v/>
      </c>
    </row>
    <row r="3076" spans="15:15" x14ac:dyDescent="0.3">
      <c r="O3076" t="str">
        <f t="shared" si="48"/>
        <v/>
      </c>
    </row>
    <row r="3077" spans="15:15" x14ac:dyDescent="0.3">
      <c r="O3077" t="str">
        <f t="shared" si="48"/>
        <v/>
      </c>
    </row>
    <row r="3078" spans="15:15" x14ac:dyDescent="0.3">
      <c r="O3078" t="str">
        <f t="shared" si="48"/>
        <v/>
      </c>
    </row>
    <row r="3079" spans="15:15" x14ac:dyDescent="0.3">
      <c r="O3079" t="str">
        <f t="shared" si="48"/>
        <v/>
      </c>
    </row>
    <row r="3080" spans="15:15" x14ac:dyDescent="0.3">
      <c r="O3080" t="str">
        <f t="shared" si="48"/>
        <v/>
      </c>
    </row>
    <row r="3081" spans="15:15" x14ac:dyDescent="0.3">
      <c r="O3081" t="str">
        <f t="shared" si="48"/>
        <v/>
      </c>
    </row>
    <row r="3082" spans="15:15" x14ac:dyDescent="0.3">
      <c r="O3082" t="str">
        <f t="shared" ref="O3082:O3145" si="49">IF(P3082="","",O3081+1)</f>
        <v/>
      </c>
    </row>
    <row r="3083" spans="15:15" x14ac:dyDescent="0.3">
      <c r="O3083" t="str">
        <f t="shared" si="49"/>
        <v/>
      </c>
    </row>
    <row r="3084" spans="15:15" x14ac:dyDescent="0.3">
      <c r="O3084" t="str">
        <f t="shared" si="49"/>
        <v/>
      </c>
    </row>
    <row r="3085" spans="15:15" x14ac:dyDescent="0.3">
      <c r="O3085" t="str">
        <f t="shared" si="49"/>
        <v/>
      </c>
    </row>
    <row r="3086" spans="15:15" x14ac:dyDescent="0.3">
      <c r="O3086" t="str">
        <f t="shared" si="49"/>
        <v/>
      </c>
    </row>
    <row r="3087" spans="15:15" x14ac:dyDescent="0.3">
      <c r="O3087" t="str">
        <f t="shared" si="49"/>
        <v/>
      </c>
    </row>
    <row r="3088" spans="15:15" x14ac:dyDescent="0.3">
      <c r="O3088" t="str">
        <f t="shared" si="49"/>
        <v/>
      </c>
    </row>
    <row r="3089" spans="15:15" x14ac:dyDescent="0.3">
      <c r="O3089" t="str">
        <f t="shared" si="49"/>
        <v/>
      </c>
    </row>
    <row r="3090" spans="15:15" x14ac:dyDescent="0.3">
      <c r="O3090" t="str">
        <f t="shared" si="49"/>
        <v/>
      </c>
    </row>
    <row r="3091" spans="15:15" x14ac:dyDescent="0.3">
      <c r="O3091" t="str">
        <f t="shared" si="49"/>
        <v/>
      </c>
    </row>
    <row r="3092" spans="15:15" x14ac:dyDescent="0.3">
      <c r="O3092" t="str">
        <f t="shared" si="49"/>
        <v/>
      </c>
    </row>
    <row r="3093" spans="15:15" x14ac:dyDescent="0.3">
      <c r="O3093" t="str">
        <f t="shared" si="49"/>
        <v/>
      </c>
    </row>
    <row r="3094" spans="15:15" x14ac:dyDescent="0.3">
      <c r="O3094" t="str">
        <f t="shared" si="49"/>
        <v/>
      </c>
    </row>
    <row r="3095" spans="15:15" x14ac:dyDescent="0.3">
      <c r="O3095" t="str">
        <f t="shared" si="49"/>
        <v/>
      </c>
    </row>
    <row r="3096" spans="15:15" x14ac:dyDescent="0.3">
      <c r="O3096" t="str">
        <f t="shared" si="49"/>
        <v/>
      </c>
    </row>
    <row r="3097" spans="15:15" x14ac:dyDescent="0.3">
      <c r="O3097" t="str">
        <f t="shared" si="49"/>
        <v/>
      </c>
    </row>
    <row r="3098" spans="15:15" x14ac:dyDescent="0.3">
      <c r="O3098" t="str">
        <f t="shared" si="49"/>
        <v/>
      </c>
    </row>
    <row r="3099" spans="15:15" x14ac:dyDescent="0.3">
      <c r="O3099" t="str">
        <f t="shared" si="49"/>
        <v/>
      </c>
    </row>
    <row r="3100" spans="15:15" x14ac:dyDescent="0.3">
      <c r="O3100" t="str">
        <f t="shared" si="49"/>
        <v/>
      </c>
    </row>
    <row r="3101" spans="15:15" x14ac:dyDescent="0.3">
      <c r="O3101" t="str">
        <f t="shared" si="49"/>
        <v/>
      </c>
    </row>
    <row r="3102" spans="15:15" x14ac:dyDescent="0.3">
      <c r="O3102" t="str">
        <f t="shared" si="49"/>
        <v/>
      </c>
    </row>
    <row r="3103" spans="15:15" x14ac:dyDescent="0.3">
      <c r="O3103" t="str">
        <f t="shared" si="49"/>
        <v/>
      </c>
    </row>
    <row r="3104" spans="15:15" x14ac:dyDescent="0.3">
      <c r="O3104" t="str">
        <f t="shared" si="49"/>
        <v/>
      </c>
    </row>
    <row r="3105" spans="15:15" x14ac:dyDescent="0.3">
      <c r="O3105" t="str">
        <f t="shared" si="49"/>
        <v/>
      </c>
    </row>
    <row r="3106" spans="15:15" x14ac:dyDescent="0.3">
      <c r="O3106" t="str">
        <f t="shared" si="49"/>
        <v/>
      </c>
    </row>
    <row r="3107" spans="15:15" x14ac:dyDescent="0.3">
      <c r="O3107" t="str">
        <f t="shared" si="49"/>
        <v/>
      </c>
    </row>
    <row r="3108" spans="15:15" x14ac:dyDescent="0.3">
      <c r="O3108" t="str">
        <f t="shared" si="49"/>
        <v/>
      </c>
    </row>
    <row r="3109" spans="15:15" x14ac:dyDescent="0.3">
      <c r="O3109" t="str">
        <f t="shared" si="49"/>
        <v/>
      </c>
    </row>
    <row r="3110" spans="15:15" x14ac:dyDescent="0.3">
      <c r="O3110" t="str">
        <f t="shared" si="49"/>
        <v/>
      </c>
    </row>
    <row r="3111" spans="15:15" x14ac:dyDescent="0.3">
      <c r="O3111" t="str">
        <f t="shared" si="49"/>
        <v/>
      </c>
    </row>
    <row r="3112" spans="15:15" x14ac:dyDescent="0.3">
      <c r="O3112" t="str">
        <f t="shared" si="49"/>
        <v/>
      </c>
    </row>
    <row r="3113" spans="15:15" x14ac:dyDescent="0.3">
      <c r="O3113" t="str">
        <f t="shared" si="49"/>
        <v/>
      </c>
    </row>
    <row r="3114" spans="15:15" x14ac:dyDescent="0.3">
      <c r="O3114" t="str">
        <f t="shared" si="49"/>
        <v/>
      </c>
    </row>
    <row r="3115" spans="15:15" x14ac:dyDescent="0.3">
      <c r="O3115" t="str">
        <f t="shared" si="49"/>
        <v/>
      </c>
    </row>
    <row r="3116" spans="15:15" x14ac:dyDescent="0.3">
      <c r="O3116" t="str">
        <f t="shared" si="49"/>
        <v/>
      </c>
    </row>
    <row r="3117" spans="15:15" x14ac:dyDescent="0.3">
      <c r="O3117" t="str">
        <f t="shared" si="49"/>
        <v/>
      </c>
    </row>
    <row r="3118" spans="15:15" x14ac:dyDescent="0.3">
      <c r="O3118" t="str">
        <f t="shared" si="49"/>
        <v/>
      </c>
    </row>
    <row r="3119" spans="15:15" x14ac:dyDescent="0.3">
      <c r="O3119" t="str">
        <f t="shared" si="49"/>
        <v/>
      </c>
    </row>
    <row r="3120" spans="15:15" x14ac:dyDescent="0.3">
      <c r="O3120" t="str">
        <f t="shared" si="49"/>
        <v/>
      </c>
    </row>
    <row r="3121" spans="15:15" x14ac:dyDescent="0.3">
      <c r="O3121" t="str">
        <f t="shared" si="49"/>
        <v/>
      </c>
    </row>
    <row r="3122" spans="15:15" x14ac:dyDescent="0.3">
      <c r="O3122" t="str">
        <f t="shared" si="49"/>
        <v/>
      </c>
    </row>
    <row r="3123" spans="15:15" x14ac:dyDescent="0.3">
      <c r="O3123" t="str">
        <f t="shared" si="49"/>
        <v/>
      </c>
    </row>
    <row r="3124" spans="15:15" x14ac:dyDescent="0.3">
      <c r="O3124" t="str">
        <f t="shared" si="49"/>
        <v/>
      </c>
    </row>
    <row r="3125" spans="15:15" x14ac:dyDescent="0.3">
      <c r="O3125" t="str">
        <f t="shared" si="49"/>
        <v/>
      </c>
    </row>
    <row r="3126" spans="15:15" x14ac:dyDescent="0.3">
      <c r="O3126" t="str">
        <f t="shared" si="49"/>
        <v/>
      </c>
    </row>
    <row r="3127" spans="15:15" x14ac:dyDescent="0.3">
      <c r="O3127" t="str">
        <f t="shared" si="49"/>
        <v/>
      </c>
    </row>
    <row r="3128" spans="15:15" x14ac:dyDescent="0.3">
      <c r="O3128" t="str">
        <f t="shared" si="49"/>
        <v/>
      </c>
    </row>
    <row r="3129" spans="15:15" x14ac:dyDescent="0.3">
      <c r="O3129" t="str">
        <f t="shared" si="49"/>
        <v/>
      </c>
    </row>
    <row r="3130" spans="15:15" x14ac:dyDescent="0.3">
      <c r="O3130" t="str">
        <f t="shared" si="49"/>
        <v/>
      </c>
    </row>
    <row r="3131" spans="15:15" x14ac:dyDescent="0.3">
      <c r="O3131" t="str">
        <f t="shared" si="49"/>
        <v/>
      </c>
    </row>
    <row r="3132" spans="15:15" x14ac:dyDescent="0.3">
      <c r="O3132" t="str">
        <f t="shared" si="49"/>
        <v/>
      </c>
    </row>
    <row r="3133" spans="15:15" x14ac:dyDescent="0.3">
      <c r="O3133" t="str">
        <f t="shared" si="49"/>
        <v/>
      </c>
    </row>
    <row r="3134" spans="15:15" x14ac:dyDescent="0.3">
      <c r="O3134" t="str">
        <f t="shared" si="49"/>
        <v/>
      </c>
    </row>
    <row r="3135" spans="15:15" x14ac:dyDescent="0.3">
      <c r="O3135" t="str">
        <f t="shared" si="49"/>
        <v/>
      </c>
    </row>
    <row r="3136" spans="15:15" x14ac:dyDescent="0.3">
      <c r="O3136" t="str">
        <f t="shared" si="49"/>
        <v/>
      </c>
    </row>
    <row r="3137" spans="15:15" x14ac:dyDescent="0.3">
      <c r="O3137" t="str">
        <f t="shared" si="49"/>
        <v/>
      </c>
    </row>
    <row r="3138" spans="15:15" x14ac:dyDescent="0.3">
      <c r="O3138" t="str">
        <f t="shared" si="49"/>
        <v/>
      </c>
    </row>
    <row r="3139" spans="15:15" x14ac:dyDescent="0.3">
      <c r="O3139" t="str">
        <f t="shared" si="49"/>
        <v/>
      </c>
    </row>
    <row r="3140" spans="15:15" x14ac:dyDescent="0.3">
      <c r="O3140" t="str">
        <f t="shared" si="49"/>
        <v/>
      </c>
    </row>
    <row r="3141" spans="15:15" x14ac:dyDescent="0.3">
      <c r="O3141" t="str">
        <f t="shared" si="49"/>
        <v/>
      </c>
    </row>
    <row r="3142" spans="15:15" x14ac:dyDescent="0.3">
      <c r="O3142" t="str">
        <f t="shared" si="49"/>
        <v/>
      </c>
    </row>
    <row r="3143" spans="15:15" x14ac:dyDescent="0.3">
      <c r="O3143" t="str">
        <f t="shared" si="49"/>
        <v/>
      </c>
    </row>
    <row r="3144" spans="15:15" x14ac:dyDescent="0.3">
      <c r="O3144" t="str">
        <f t="shared" si="49"/>
        <v/>
      </c>
    </row>
    <row r="3145" spans="15:15" x14ac:dyDescent="0.3">
      <c r="O3145" t="str">
        <f t="shared" si="49"/>
        <v/>
      </c>
    </row>
    <row r="3146" spans="15:15" x14ac:dyDescent="0.3">
      <c r="O3146" t="str">
        <f t="shared" ref="O3146:O3209" si="50">IF(P3146="","",O3145+1)</f>
        <v/>
      </c>
    </row>
    <row r="3147" spans="15:15" x14ac:dyDescent="0.3">
      <c r="O3147" t="str">
        <f t="shared" si="50"/>
        <v/>
      </c>
    </row>
    <row r="3148" spans="15:15" x14ac:dyDescent="0.3">
      <c r="O3148" t="str">
        <f t="shared" si="50"/>
        <v/>
      </c>
    </row>
    <row r="3149" spans="15:15" x14ac:dyDescent="0.3">
      <c r="O3149" t="str">
        <f t="shared" si="50"/>
        <v/>
      </c>
    </row>
    <row r="3150" spans="15:15" x14ac:dyDescent="0.3">
      <c r="O3150" t="str">
        <f t="shared" si="50"/>
        <v/>
      </c>
    </row>
    <row r="3151" spans="15:15" x14ac:dyDescent="0.3">
      <c r="O3151" t="str">
        <f t="shared" si="50"/>
        <v/>
      </c>
    </row>
    <row r="3152" spans="15:15" x14ac:dyDescent="0.3">
      <c r="O3152" t="str">
        <f t="shared" si="50"/>
        <v/>
      </c>
    </row>
    <row r="3153" spans="15:15" x14ac:dyDescent="0.3">
      <c r="O3153" t="str">
        <f t="shared" si="50"/>
        <v/>
      </c>
    </row>
    <row r="3154" spans="15:15" x14ac:dyDescent="0.3">
      <c r="O3154" t="str">
        <f t="shared" si="50"/>
        <v/>
      </c>
    </row>
    <row r="3155" spans="15:15" x14ac:dyDescent="0.3">
      <c r="O3155" t="str">
        <f t="shared" si="50"/>
        <v/>
      </c>
    </row>
    <row r="3156" spans="15:15" x14ac:dyDescent="0.3">
      <c r="O3156" t="str">
        <f t="shared" si="50"/>
        <v/>
      </c>
    </row>
    <row r="3157" spans="15:15" x14ac:dyDescent="0.3">
      <c r="O3157" t="str">
        <f t="shared" si="50"/>
        <v/>
      </c>
    </row>
    <row r="3158" spans="15:15" x14ac:dyDescent="0.3">
      <c r="O3158" t="str">
        <f t="shared" si="50"/>
        <v/>
      </c>
    </row>
    <row r="3159" spans="15:15" x14ac:dyDescent="0.3">
      <c r="O3159" t="str">
        <f t="shared" si="50"/>
        <v/>
      </c>
    </row>
    <row r="3160" spans="15:15" x14ac:dyDescent="0.3">
      <c r="O3160" t="str">
        <f t="shared" si="50"/>
        <v/>
      </c>
    </row>
    <row r="3161" spans="15:15" x14ac:dyDescent="0.3">
      <c r="O3161" t="str">
        <f t="shared" si="50"/>
        <v/>
      </c>
    </row>
    <row r="3162" spans="15:15" x14ac:dyDescent="0.3">
      <c r="O3162" t="str">
        <f t="shared" si="50"/>
        <v/>
      </c>
    </row>
    <row r="3163" spans="15:15" x14ac:dyDescent="0.3">
      <c r="O3163" t="str">
        <f t="shared" si="50"/>
        <v/>
      </c>
    </row>
    <row r="3164" spans="15:15" x14ac:dyDescent="0.3">
      <c r="O3164" t="str">
        <f t="shared" si="50"/>
        <v/>
      </c>
    </row>
    <row r="3165" spans="15:15" x14ac:dyDescent="0.3">
      <c r="O3165" t="str">
        <f t="shared" si="50"/>
        <v/>
      </c>
    </row>
    <row r="3166" spans="15:15" x14ac:dyDescent="0.3">
      <c r="O3166" t="str">
        <f t="shared" si="50"/>
        <v/>
      </c>
    </row>
    <row r="3167" spans="15:15" x14ac:dyDescent="0.3">
      <c r="O3167" t="str">
        <f t="shared" si="50"/>
        <v/>
      </c>
    </row>
    <row r="3168" spans="15:15" x14ac:dyDescent="0.3">
      <c r="O3168" t="str">
        <f t="shared" si="50"/>
        <v/>
      </c>
    </row>
    <row r="3169" spans="15:15" x14ac:dyDescent="0.3">
      <c r="O3169" t="str">
        <f t="shared" si="50"/>
        <v/>
      </c>
    </row>
    <row r="3170" spans="15:15" x14ac:dyDescent="0.3">
      <c r="O3170" t="str">
        <f t="shared" si="50"/>
        <v/>
      </c>
    </row>
    <row r="3171" spans="15:15" x14ac:dyDescent="0.3">
      <c r="O3171" t="str">
        <f t="shared" si="50"/>
        <v/>
      </c>
    </row>
    <row r="3172" spans="15:15" x14ac:dyDescent="0.3">
      <c r="O3172" t="str">
        <f t="shared" si="50"/>
        <v/>
      </c>
    </row>
    <row r="3173" spans="15:15" x14ac:dyDescent="0.3">
      <c r="O3173" t="str">
        <f t="shared" si="50"/>
        <v/>
      </c>
    </row>
    <row r="3174" spans="15:15" x14ac:dyDescent="0.3">
      <c r="O3174" t="str">
        <f t="shared" si="50"/>
        <v/>
      </c>
    </row>
    <row r="3175" spans="15:15" x14ac:dyDescent="0.3">
      <c r="O3175" t="str">
        <f t="shared" si="50"/>
        <v/>
      </c>
    </row>
    <row r="3176" spans="15:15" x14ac:dyDescent="0.3">
      <c r="O3176" t="str">
        <f t="shared" si="50"/>
        <v/>
      </c>
    </row>
    <row r="3177" spans="15:15" x14ac:dyDescent="0.3">
      <c r="O3177" t="str">
        <f t="shared" si="50"/>
        <v/>
      </c>
    </row>
    <row r="3178" spans="15:15" x14ac:dyDescent="0.3">
      <c r="O3178" t="str">
        <f t="shared" si="50"/>
        <v/>
      </c>
    </row>
    <row r="3179" spans="15:15" x14ac:dyDescent="0.3">
      <c r="O3179" t="str">
        <f t="shared" si="50"/>
        <v/>
      </c>
    </row>
    <row r="3180" spans="15:15" x14ac:dyDescent="0.3">
      <c r="O3180" t="str">
        <f t="shared" si="50"/>
        <v/>
      </c>
    </row>
    <row r="3181" spans="15:15" x14ac:dyDescent="0.3">
      <c r="O3181" t="str">
        <f t="shared" si="50"/>
        <v/>
      </c>
    </row>
    <row r="3182" spans="15:15" x14ac:dyDescent="0.3">
      <c r="O3182" t="str">
        <f t="shared" si="50"/>
        <v/>
      </c>
    </row>
    <row r="3183" spans="15:15" x14ac:dyDescent="0.3">
      <c r="O3183" t="str">
        <f t="shared" si="50"/>
        <v/>
      </c>
    </row>
    <row r="3184" spans="15:15" x14ac:dyDescent="0.3">
      <c r="O3184" t="str">
        <f t="shared" si="50"/>
        <v/>
      </c>
    </row>
    <row r="3185" spans="15:15" x14ac:dyDescent="0.3">
      <c r="O3185" t="str">
        <f t="shared" si="50"/>
        <v/>
      </c>
    </row>
    <row r="3186" spans="15:15" x14ac:dyDescent="0.3">
      <c r="O3186" t="str">
        <f t="shared" si="50"/>
        <v/>
      </c>
    </row>
    <row r="3187" spans="15:15" x14ac:dyDescent="0.3">
      <c r="O3187" t="str">
        <f t="shared" si="50"/>
        <v/>
      </c>
    </row>
    <row r="3188" spans="15:15" x14ac:dyDescent="0.3">
      <c r="O3188" t="str">
        <f t="shared" si="50"/>
        <v/>
      </c>
    </row>
    <row r="3189" spans="15:15" x14ac:dyDescent="0.3">
      <c r="O3189" t="str">
        <f t="shared" si="50"/>
        <v/>
      </c>
    </row>
    <row r="3190" spans="15:15" x14ac:dyDescent="0.3">
      <c r="O3190" t="str">
        <f t="shared" si="50"/>
        <v/>
      </c>
    </row>
    <row r="3191" spans="15:15" x14ac:dyDescent="0.3">
      <c r="O3191" t="str">
        <f t="shared" si="50"/>
        <v/>
      </c>
    </row>
    <row r="3192" spans="15:15" x14ac:dyDescent="0.3">
      <c r="O3192" t="str">
        <f t="shared" si="50"/>
        <v/>
      </c>
    </row>
    <row r="3193" spans="15:15" x14ac:dyDescent="0.3">
      <c r="O3193" t="str">
        <f t="shared" si="50"/>
        <v/>
      </c>
    </row>
    <row r="3194" spans="15:15" x14ac:dyDescent="0.3">
      <c r="O3194" t="str">
        <f t="shared" si="50"/>
        <v/>
      </c>
    </row>
    <row r="3195" spans="15:15" x14ac:dyDescent="0.3">
      <c r="O3195" t="str">
        <f t="shared" si="50"/>
        <v/>
      </c>
    </row>
    <row r="3196" spans="15:15" x14ac:dyDescent="0.3">
      <c r="O3196" t="str">
        <f t="shared" si="50"/>
        <v/>
      </c>
    </row>
    <row r="3197" spans="15:15" x14ac:dyDescent="0.3">
      <c r="O3197" t="str">
        <f t="shared" si="50"/>
        <v/>
      </c>
    </row>
    <row r="3198" spans="15:15" x14ac:dyDescent="0.3">
      <c r="O3198" t="str">
        <f t="shared" si="50"/>
        <v/>
      </c>
    </row>
    <row r="3199" spans="15:15" x14ac:dyDescent="0.3">
      <c r="O3199" t="str">
        <f t="shared" si="50"/>
        <v/>
      </c>
    </row>
    <row r="3200" spans="15:15" x14ac:dyDescent="0.3">
      <c r="O3200" t="str">
        <f t="shared" si="50"/>
        <v/>
      </c>
    </row>
    <row r="3201" spans="15:15" x14ac:dyDescent="0.3">
      <c r="O3201" t="str">
        <f t="shared" si="50"/>
        <v/>
      </c>
    </row>
    <row r="3202" spans="15:15" x14ac:dyDescent="0.3">
      <c r="O3202" t="str">
        <f t="shared" si="50"/>
        <v/>
      </c>
    </row>
    <row r="3203" spans="15:15" x14ac:dyDescent="0.3">
      <c r="O3203" t="str">
        <f t="shared" si="50"/>
        <v/>
      </c>
    </row>
    <row r="3204" spans="15:15" x14ac:dyDescent="0.3">
      <c r="O3204" t="str">
        <f t="shared" si="50"/>
        <v/>
      </c>
    </row>
    <row r="3205" spans="15:15" x14ac:dyDescent="0.3">
      <c r="O3205" t="str">
        <f t="shared" si="50"/>
        <v/>
      </c>
    </row>
    <row r="3206" spans="15:15" x14ac:dyDescent="0.3">
      <c r="O3206" t="str">
        <f t="shared" si="50"/>
        <v/>
      </c>
    </row>
    <row r="3207" spans="15:15" x14ac:dyDescent="0.3">
      <c r="O3207" t="str">
        <f t="shared" si="50"/>
        <v/>
      </c>
    </row>
    <row r="3208" spans="15:15" x14ac:dyDescent="0.3">
      <c r="O3208" t="str">
        <f t="shared" si="50"/>
        <v/>
      </c>
    </row>
    <row r="3209" spans="15:15" x14ac:dyDescent="0.3">
      <c r="O3209" t="str">
        <f t="shared" si="50"/>
        <v/>
      </c>
    </row>
    <row r="3210" spans="15:15" x14ac:dyDescent="0.3">
      <c r="O3210" t="str">
        <f t="shared" ref="O3210:O3273" si="51">IF(P3210="","",O3209+1)</f>
        <v/>
      </c>
    </row>
    <row r="3211" spans="15:15" x14ac:dyDescent="0.3">
      <c r="O3211" t="str">
        <f t="shared" si="51"/>
        <v/>
      </c>
    </row>
    <row r="3212" spans="15:15" x14ac:dyDescent="0.3">
      <c r="O3212" t="str">
        <f t="shared" si="51"/>
        <v/>
      </c>
    </row>
    <row r="3213" spans="15:15" x14ac:dyDescent="0.3">
      <c r="O3213" t="str">
        <f t="shared" si="51"/>
        <v/>
      </c>
    </row>
    <row r="3214" spans="15:15" x14ac:dyDescent="0.3">
      <c r="O3214" t="str">
        <f t="shared" si="51"/>
        <v/>
      </c>
    </row>
    <row r="3215" spans="15:15" x14ac:dyDescent="0.3">
      <c r="O3215" t="str">
        <f t="shared" si="51"/>
        <v/>
      </c>
    </row>
    <row r="3216" spans="15:15" x14ac:dyDescent="0.3">
      <c r="O3216" t="str">
        <f t="shared" si="51"/>
        <v/>
      </c>
    </row>
    <row r="3217" spans="15:15" x14ac:dyDescent="0.3">
      <c r="O3217" t="str">
        <f t="shared" si="51"/>
        <v/>
      </c>
    </row>
    <row r="3218" spans="15:15" x14ac:dyDescent="0.3">
      <c r="O3218" t="str">
        <f t="shared" si="51"/>
        <v/>
      </c>
    </row>
    <row r="3219" spans="15:15" x14ac:dyDescent="0.3">
      <c r="O3219" t="str">
        <f t="shared" si="51"/>
        <v/>
      </c>
    </row>
    <row r="3220" spans="15:15" x14ac:dyDescent="0.3">
      <c r="O3220" t="str">
        <f t="shared" si="51"/>
        <v/>
      </c>
    </row>
    <row r="3221" spans="15:15" x14ac:dyDescent="0.3">
      <c r="O3221" t="str">
        <f t="shared" si="51"/>
        <v/>
      </c>
    </row>
    <row r="3222" spans="15:15" x14ac:dyDescent="0.3">
      <c r="O3222" t="str">
        <f t="shared" si="51"/>
        <v/>
      </c>
    </row>
    <row r="3223" spans="15:15" x14ac:dyDescent="0.3">
      <c r="O3223" t="str">
        <f t="shared" si="51"/>
        <v/>
      </c>
    </row>
    <row r="3224" spans="15:15" x14ac:dyDescent="0.3">
      <c r="O3224" t="str">
        <f t="shared" si="51"/>
        <v/>
      </c>
    </row>
    <row r="3225" spans="15:15" x14ac:dyDescent="0.3">
      <c r="O3225" t="str">
        <f t="shared" si="51"/>
        <v/>
      </c>
    </row>
    <row r="3226" spans="15:15" x14ac:dyDescent="0.3">
      <c r="O3226" t="str">
        <f t="shared" si="51"/>
        <v/>
      </c>
    </row>
    <row r="3227" spans="15:15" x14ac:dyDescent="0.3">
      <c r="O3227" t="str">
        <f t="shared" si="51"/>
        <v/>
      </c>
    </row>
    <row r="3228" spans="15:15" x14ac:dyDescent="0.3">
      <c r="O3228" t="str">
        <f t="shared" si="51"/>
        <v/>
      </c>
    </row>
    <row r="3229" spans="15:15" x14ac:dyDescent="0.3">
      <c r="O3229" t="str">
        <f t="shared" si="51"/>
        <v/>
      </c>
    </row>
    <row r="3230" spans="15:15" x14ac:dyDescent="0.3">
      <c r="O3230" t="str">
        <f t="shared" si="51"/>
        <v/>
      </c>
    </row>
    <row r="3231" spans="15:15" x14ac:dyDescent="0.3">
      <c r="O3231" t="str">
        <f t="shared" si="51"/>
        <v/>
      </c>
    </row>
    <row r="3232" spans="15:15" x14ac:dyDescent="0.3">
      <c r="O3232" t="str">
        <f t="shared" si="51"/>
        <v/>
      </c>
    </row>
    <row r="3233" spans="15:15" x14ac:dyDescent="0.3">
      <c r="O3233" t="str">
        <f t="shared" si="51"/>
        <v/>
      </c>
    </row>
    <row r="3234" spans="15:15" x14ac:dyDescent="0.3">
      <c r="O3234" t="str">
        <f t="shared" si="51"/>
        <v/>
      </c>
    </row>
    <row r="3235" spans="15:15" x14ac:dyDescent="0.3">
      <c r="O3235" t="str">
        <f t="shared" si="51"/>
        <v/>
      </c>
    </row>
    <row r="3236" spans="15:15" x14ac:dyDescent="0.3">
      <c r="O3236" t="str">
        <f t="shared" si="51"/>
        <v/>
      </c>
    </row>
    <row r="3237" spans="15:15" x14ac:dyDescent="0.3">
      <c r="O3237" t="str">
        <f t="shared" si="51"/>
        <v/>
      </c>
    </row>
    <row r="3238" spans="15:15" x14ac:dyDescent="0.3">
      <c r="O3238" t="str">
        <f t="shared" si="51"/>
        <v/>
      </c>
    </row>
    <row r="3239" spans="15:15" x14ac:dyDescent="0.3">
      <c r="O3239" t="str">
        <f t="shared" si="51"/>
        <v/>
      </c>
    </row>
    <row r="3240" spans="15:15" x14ac:dyDescent="0.3">
      <c r="O3240" t="str">
        <f t="shared" si="51"/>
        <v/>
      </c>
    </row>
    <row r="3241" spans="15:15" x14ac:dyDescent="0.3">
      <c r="O3241" t="str">
        <f t="shared" si="51"/>
        <v/>
      </c>
    </row>
    <row r="3242" spans="15:15" x14ac:dyDescent="0.3">
      <c r="O3242" t="str">
        <f t="shared" si="51"/>
        <v/>
      </c>
    </row>
    <row r="3243" spans="15:15" x14ac:dyDescent="0.3">
      <c r="O3243" t="str">
        <f t="shared" si="51"/>
        <v/>
      </c>
    </row>
    <row r="3244" spans="15:15" x14ac:dyDescent="0.3">
      <c r="O3244" t="str">
        <f t="shared" si="51"/>
        <v/>
      </c>
    </row>
    <row r="3245" spans="15:15" x14ac:dyDescent="0.3">
      <c r="O3245" t="str">
        <f t="shared" si="51"/>
        <v/>
      </c>
    </row>
    <row r="3246" spans="15:15" x14ac:dyDescent="0.3">
      <c r="O3246" t="str">
        <f t="shared" si="51"/>
        <v/>
      </c>
    </row>
    <row r="3247" spans="15:15" x14ac:dyDescent="0.3">
      <c r="O3247" t="str">
        <f t="shared" si="51"/>
        <v/>
      </c>
    </row>
    <row r="3248" spans="15:15" x14ac:dyDescent="0.3">
      <c r="O3248" t="str">
        <f t="shared" si="51"/>
        <v/>
      </c>
    </row>
    <row r="3249" spans="15:15" x14ac:dyDescent="0.3">
      <c r="O3249" t="str">
        <f t="shared" si="51"/>
        <v/>
      </c>
    </row>
    <row r="3250" spans="15:15" x14ac:dyDescent="0.3">
      <c r="O3250" t="str">
        <f t="shared" si="51"/>
        <v/>
      </c>
    </row>
    <row r="3251" spans="15:15" x14ac:dyDescent="0.3">
      <c r="O3251" t="str">
        <f t="shared" si="51"/>
        <v/>
      </c>
    </row>
    <row r="3252" spans="15:15" x14ac:dyDescent="0.3">
      <c r="O3252" t="str">
        <f t="shared" si="51"/>
        <v/>
      </c>
    </row>
    <row r="3253" spans="15:15" x14ac:dyDescent="0.3">
      <c r="O3253" t="str">
        <f t="shared" si="51"/>
        <v/>
      </c>
    </row>
    <row r="3254" spans="15:15" x14ac:dyDescent="0.3">
      <c r="O3254" t="str">
        <f t="shared" si="51"/>
        <v/>
      </c>
    </row>
    <row r="3255" spans="15:15" x14ac:dyDescent="0.3">
      <c r="O3255" t="str">
        <f t="shared" si="51"/>
        <v/>
      </c>
    </row>
    <row r="3256" spans="15:15" x14ac:dyDescent="0.3">
      <c r="O3256" t="str">
        <f t="shared" si="51"/>
        <v/>
      </c>
    </row>
    <row r="3257" spans="15:15" x14ac:dyDescent="0.3">
      <c r="O3257" t="str">
        <f t="shared" si="51"/>
        <v/>
      </c>
    </row>
    <row r="3258" spans="15:15" x14ac:dyDescent="0.3">
      <c r="O3258" t="str">
        <f t="shared" si="51"/>
        <v/>
      </c>
    </row>
    <row r="3259" spans="15:15" x14ac:dyDescent="0.3">
      <c r="O3259" t="str">
        <f t="shared" si="51"/>
        <v/>
      </c>
    </row>
    <row r="3260" spans="15:15" x14ac:dyDescent="0.3">
      <c r="O3260" t="str">
        <f t="shared" si="51"/>
        <v/>
      </c>
    </row>
    <row r="3261" spans="15:15" x14ac:dyDescent="0.3">
      <c r="O3261" t="str">
        <f t="shared" si="51"/>
        <v/>
      </c>
    </row>
    <row r="3262" spans="15:15" x14ac:dyDescent="0.3">
      <c r="O3262" t="str">
        <f t="shared" si="51"/>
        <v/>
      </c>
    </row>
    <row r="3263" spans="15:15" x14ac:dyDescent="0.3">
      <c r="O3263" t="str">
        <f t="shared" si="51"/>
        <v/>
      </c>
    </row>
    <row r="3264" spans="15:15" x14ac:dyDescent="0.3">
      <c r="O3264" t="str">
        <f t="shared" si="51"/>
        <v/>
      </c>
    </row>
    <row r="3265" spans="15:15" x14ac:dyDescent="0.3">
      <c r="O3265" t="str">
        <f t="shared" si="51"/>
        <v/>
      </c>
    </row>
    <row r="3266" spans="15:15" x14ac:dyDescent="0.3">
      <c r="O3266" t="str">
        <f t="shared" si="51"/>
        <v/>
      </c>
    </row>
    <row r="3267" spans="15:15" x14ac:dyDescent="0.3">
      <c r="O3267" t="str">
        <f t="shared" si="51"/>
        <v/>
      </c>
    </row>
    <row r="3268" spans="15:15" x14ac:dyDescent="0.3">
      <c r="O3268" t="str">
        <f t="shared" si="51"/>
        <v/>
      </c>
    </row>
    <row r="3269" spans="15:15" x14ac:dyDescent="0.3">
      <c r="O3269" t="str">
        <f t="shared" si="51"/>
        <v/>
      </c>
    </row>
    <row r="3270" spans="15:15" x14ac:dyDescent="0.3">
      <c r="O3270" t="str">
        <f t="shared" si="51"/>
        <v/>
      </c>
    </row>
    <row r="3271" spans="15:15" x14ac:dyDescent="0.3">
      <c r="O3271" t="str">
        <f t="shared" si="51"/>
        <v/>
      </c>
    </row>
    <row r="3272" spans="15:15" x14ac:dyDescent="0.3">
      <c r="O3272" t="str">
        <f t="shared" si="51"/>
        <v/>
      </c>
    </row>
    <row r="3273" spans="15:15" x14ac:dyDescent="0.3">
      <c r="O3273" t="str">
        <f t="shared" si="51"/>
        <v/>
      </c>
    </row>
    <row r="3274" spans="15:15" x14ac:dyDescent="0.3">
      <c r="O3274" t="str">
        <f t="shared" ref="O3274:O3337" si="52">IF(P3274="","",O3273+1)</f>
        <v/>
      </c>
    </row>
    <row r="3275" spans="15:15" x14ac:dyDescent="0.3">
      <c r="O3275" t="str">
        <f t="shared" si="52"/>
        <v/>
      </c>
    </row>
    <row r="3276" spans="15:15" x14ac:dyDescent="0.3">
      <c r="O3276" t="str">
        <f t="shared" si="52"/>
        <v/>
      </c>
    </row>
    <row r="3277" spans="15:15" x14ac:dyDescent="0.3">
      <c r="O3277" t="str">
        <f t="shared" si="52"/>
        <v/>
      </c>
    </row>
    <row r="3278" spans="15:15" x14ac:dyDescent="0.3">
      <c r="O3278" t="str">
        <f t="shared" si="52"/>
        <v/>
      </c>
    </row>
    <row r="3279" spans="15:15" x14ac:dyDescent="0.3">
      <c r="O3279" t="str">
        <f t="shared" si="52"/>
        <v/>
      </c>
    </row>
    <row r="3280" spans="15:15" x14ac:dyDescent="0.3">
      <c r="O3280" t="str">
        <f t="shared" si="52"/>
        <v/>
      </c>
    </row>
    <row r="3281" spans="15:15" x14ac:dyDescent="0.3">
      <c r="O3281" t="str">
        <f t="shared" si="52"/>
        <v/>
      </c>
    </row>
    <row r="3282" spans="15:15" x14ac:dyDescent="0.3">
      <c r="O3282" t="str">
        <f t="shared" si="52"/>
        <v/>
      </c>
    </row>
    <row r="3283" spans="15:15" x14ac:dyDescent="0.3">
      <c r="O3283" t="str">
        <f t="shared" si="52"/>
        <v/>
      </c>
    </row>
    <row r="3284" spans="15:15" x14ac:dyDescent="0.3">
      <c r="O3284" t="str">
        <f t="shared" si="52"/>
        <v/>
      </c>
    </row>
    <row r="3285" spans="15:15" x14ac:dyDescent="0.3">
      <c r="O3285" t="str">
        <f t="shared" si="52"/>
        <v/>
      </c>
    </row>
    <row r="3286" spans="15:15" x14ac:dyDescent="0.3">
      <c r="O3286" t="str">
        <f t="shared" si="52"/>
        <v/>
      </c>
    </row>
    <row r="3287" spans="15:15" x14ac:dyDescent="0.3">
      <c r="O3287" t="str">
        <f t="shared" si="52"/>
        <v/>
      </c>
    </row>
    <row r="3288" spans="15:15" x14ac:dyDescent="0.3">
      <c r="O3288" t="str">
        <f t="shared" si="52"/>
        <v/>
      </c>
    </row>
    <row r="3289" spans="15:15" x14ac:dyDescent="0.3">
      <c r="O3289" t="str">
        <f t="shared" si="52"/>
        <v/>
      </c>
    </row>
    <row r="3290" spans="15:15" x14ac:dyDescent="0.3">
      <c r="O3290" t="str">
        <f t="shared" si="52"/>
        <v/>
      </c>
    </row>
    <row r="3291" spans="15:15" x14ac:dyDescent="0.3">
      <c r="O3291" t="str">
        <f t="shared" si="52"/>
        <v/>
      </c>
    </row>
    <row r="3292" spans="15:15" x14ac:dyDescent="0.3">
      <c r="O3292" t="str">
        <f t="shared" si="52"/>
        <v/>
      </c>
    </row>
    <row r="3293" spans="15:15" x14ac:dyDescent="0.3">
      <c r="O3293" t="str">
        <f t="shared" si="52"/>
        <v/>
      </c>
    </row>
    <row r="3294" spans="15:15" x14ac:dyDescent="0.3">
      <c r="O3294" t="str">
        <f t="shared" si="52"/>
        <v/>
      </c>
    </row>
    <row r="3295" spans="15:15" x14ac:dyDescent="0.3">
      <c r="O3295" t="str">
        <f t="shared" si="52"/>
        <v/>
      </c>
    </row>
    <row r="3296" spans="15:15" x14ac:dyDescent="0.3">
      <c r="O3296" t="str">
        <f t="shared" si="52"/>
        <v/>
      </c>
    </row>
    <row r="3297" spans="15:15" x14ac:dyDescent="0.3">
      <c r="O3297" t="str">
        <f t="shared" si="52"/>
        <v/>
      </c>
    </row>
    <row r="3298" spans="15:15" x14ac:dyDescent="0.3">
      <c r="O3298" t="str">
        <f t="shared" si="52"/>
        <v/>
      </c>
    </row>
    <row r="3299" spans="15:15" x14ac:dyDescent="0.3">
      <c r="O3299" t="str">
        <f t="shared" si="52"/>
        <v/>
      </c>
    </row>
    <row r="3300" spans="15:15" x14ac:dyDescent="0.3">
      <c r="O3300" t="str">
        <f t="shared" si="52"/>
        <v/>
      </c>
    </row>
    <row r="3301" spans="15:15" x14ac:dyDescent="0.3">
      <c r="O3301" t="str">
        <f t="shared" si="52"/>
        <v/>
      </c>
    </row>
    <row r="3302" spans="15:15" x14ac:dyDescent="0.3">
      <c r="O3302" t="str">
        <f t="shared" si="52"/>
        <v/>
      </c>
    </row>
    <row r="3303" spans="15:15" x14ac:dyDescent="0.3">
      <c r="O3303" t="str">
        <f t="shared" si="52"/>
        <v/>
      </c>
    </row>
    <row r="3304" spans="15:15" x14ac:dyDescent="0.3">
      <c r="O3304" t="str">
        <f t="shared" si="52"/>
        <v/>
      </c>
    </row>
    <row r="3305" spans="15:15" x14ac:dyDescent="0.3">
      <c r="O3305" t="str">
        <f t="shared" si="52"/>
        <v/>
      </c>
    </row>
    <row r="3306" spans="15:15" x14ac:dyDescent="0.3">
      <c r="O3306" t="str">
        <f t="shared" si="52"/>
        <v/>
      </c>
    </row>
    <row r="3307" spans="15:15" x14ac:dyDescent="0.3">
      <c r="O3307" t="str">
        <f t="shared" si="52"/>
        <v/>
      </c>
    </row>
    <row r="3308" spans="15:15" x14ac:dyDescent="0.3">
      <c r="O3308" t="str">
        <f t="shared" si="52"/>
        <v/>
      </c>
    </row>
    <row r="3309" spans="15:15" x14ac:dyDescent="0.3">
      <c r="O3309" t="str">
        <f t="shared" si="52"/>
        <v/>
      </c>
    </row>
    <row r="3310" spans="15:15" x14ac:dyDescent="0.3">
      <c r="O3310" t="str">
        <f t="shared" si="52"/>
        <v/>
      </c>
    </row>
    <row r="3311" spans="15:15" x14ac:dyDescent="0.3">
      <c r="O3311" t="str">
        <f t="shared" si="52"/>
        <v/>
      </c>
    </row>
    <row r="3312" spans="15:15" x14ac:dyDescent="0.3">
      <c r="O3312" t="str">
        <f t="shared" si="52"/>
        <v/>
      </c>
    </row>
    <row r="3313" spans="15:15" x14ac:dyDescent="0.3">
      <c r="O3313" t="str">
        <f t="shared" si="52"/>
        <v/>
      </c>
    </row>
    <row r="3314" spans="15:15" x14ac:dyDescent="0.3">
      <c r="O3314" t="str">
        <f t="shared" si="52"/>
        <v/>
      </c>
    </row>
    <row r="3315" spans="15:15" x14ac:dyDescent="0.3">
      <c r="O3315" t="str">
        <f t="shared" si="52"/>
        <v/>
      </c>
    </row>
    <row r="3316" spans="15:15" x14ac:dyDescent="0.3">
      <c r="O3316" t="str">
        <f t="shared" si="52"/>
        <v/>
      </c>
    </row>
    <row r="3317" spans="15:15" x14ac:dyDescent="0.3">
      <c r="O3317" t="str">
        <f t="shared" si="52"/>
        <v/>
      </c>
    </row>
    <row r="3318" spans="15:15" x14ac:dyDescent="0.3">
      <c r="O3318" t="str">
        <f t="shared" si="52"/>
        <v/>
      </c>
    </row>
    <row r="3319" spans="15:15" x14ac:dyDescent="0.3">
      <c r="O3319" t="str">
        <f t="shared" si="52"/>
        <v/>
      </c>
    </row>
    <row r="3320" spans="15:15" x14ac:dyDescent="0.3">
      <c r="O3320" t="str">
        <f t="shared" si="52"/>
        <v/>
      </c>
    </row>
    <row r="3321" spans="15:15" x14ac:dyDescent="0.3">
      <c r="O3321" t="str">
        <f t="shared" si="52"/>
        <v/>
      </c>
    </row>
    <row r="3322" spans="15:15" x14ac:dyDescent="0.3">
      <c r="O3322" t="str">
        <f t="shared" si="52"/>
        <v/>
      </c>
    </row>
    <row r="3323" spans="15:15" x14ac:dyDescent="0.3">
      <c r="O3323" t="str">
        <f t="shared" si="52"/>
        <v/>
      </c>
    </row>
    <row r="3324" spans="15:15" x14ac:dyDescent="0.3">
      <c r="O3324" t="str">
        <f t="shared" si="52"/>
        <v/>
      </c>
    </row>
    <row r="3325" spans="15:15" x14ac:dyDescent="0.3">
      <c r="O3325" t="str">
        <f t="shared" si="52"/>
        <v/>
      </c>
    </row>
    <row r="3326" spans="15:15" x14ac:dyDescent="0.3">
      <c r="O3326" t="str">
        <f t="shared" si="52"/>
        <v/>
      </c>
    </row>
    <row r="3327" spans="15:15" x14ac:dyDescent="0.3">
      <c r="O3327" t="str">
        <f t="shared" si="52"/>
        <v/>
      </c>
    </row>
    <row r="3328" spans="15:15" x14ac:dyDescent="0.3">
      <c r="O3328" t="str">
        <f t="shared" si="52"/>
        <v/>
      </c>
    </row>
    <row r="3329" spans="15:15" x14ac:dyDescent="0.3">
      <c r="O3329" t="str">
        <f t="shared" si="52"/>
        <v/>
      </c>
    </row>
    <row r="3330" spans="15:15" x14ac:dyDescent="0.3">
      <c r="O3330" t="str">
        <f t="shared" si="52"/>
        <v/>
      </c>
    </row>
    <row r="3331" spans="15:15" x14ac:dyDescent="0.3">
      <c r="O3331" t="str">
        <f t="shared" si="52"/>
        <v/>
      </c>
    </row>
    <row r="3332" spans="15:15" x14ac:dyDescent="0.3">
      <c r="O3332" t="str">
        <f t="shared" si="52"/>
        <v/>
      </c>
    </row>
    <row r="3333" spans="15:15" x14ac:dyDescent="0.3">
      <c r="O3333" t="str">
        <f t="shared" si="52"/>
        <v/>
      </c>
    </row>
    <row r="3334" spans="15:15" x14ac:dyDescent="0.3">
      <c r="O3334" t="str">
        <f t="shared" si="52"/>
        <v/>
      </c>
    </row>
    <row r="3335" spans="15:15" x14ac:dyDescent="0.3">
      <c r="O3335" t="str">
        <f t="shared" si="52"/>
        <v/>
      </c>
    </row>
    <row r="3336" spans="15:15" x14ac:dyDescent="0.3">
      <c r="O3336" t="str">
        <f t="shared" si="52"/>
        <v/>
      </c>
    </row>
    <row r="3337" spans="15:15" x14ac:dyDescent="0.3">
      <c r="O3337" t="str">
        <f t="shared" si="52"/>
        <v/>
      </c>
    </row>
    <row r="3338" spans="15:15" x14ac:dyDescent="0.3">
      <c r="O3338" t="str">
        <f t="shared" ref="O3338:O3401" si="53">IF(P3338="","",O3337+1)</f>
        <v/>
      </c>
    </row>
    <row r="3339" spans="15:15" x14ac:dyDescent="0.3">
      <c r="O3339" t="str">
        <f t="shared" si="53"/>
        <v/>
      </c>
    </row>
    <row r="3340" spans="15:15" x14ac:dyDescent="0.3">
      <c r="O3340" t="str">
        <f t="shared" si="53"/>
        <v/>
      </c>
    </row>
    <row r="3341" spans="15:15" x14ac:dyDescent="0.3">
      <c r="O3341" t="str">
        <f t="shared" si="53"/>
        <v/>
      </c>
    </row>
    <row r="3342" spans="15:15" x14ac:dyDescent="0.3">
      <c r="O3342" t="str">
        <f t="shared" si="53"/>
        <v/>
      </c>
    </row>
    <row r="3343" spans="15:15" x14ac:dyDescent="0.3">
      <c r="O3343" t="str">
        <f t="shared" si="53"/>
        <v/>
      </c>
    </row>
    <row r="3344" spans="15:15" x14ac:dyDescent="0.3">
      <c r="O3344" t="str">
        <f t="shared" si="53"/>
        <v/>
      </c>
    </row>
    <row r="3345" spans="15:15" x14ac:dyDescent="0.3">
      <c r="O3345" t="str">
        <f t="shared" si="53"/>
        <v/>
      </c>
    </row>
    <row r="3346" spans="15:15" x14ac:dyDescent="0.3">
      <c r="O3346" t="str">
        <f t="shared" si="53"/>
        <v/>
      </c>
    </row>
    <row r="3347" spans="15:15" x14ac:dyDescent="0.3">
      <c r="O3347" t="str">
        <f t="shared" si="53"/>
        <v/>
      </c>
    </row>
    <row r="3348" spans="15:15" x14ac:dyDescent="0.3">
      <c r="O3348" t="str">
        <f t="shared" si="53"/>
        <v/>
      </c>
    </row>
    <row r="3349" spans="15:15" x14ac:dyDescent="0.3">
      <c r="O3349" t="str">
        <f t="shared" si="53"/>
        <v/>
      </c>
    </row>
    <row r="3350" spans="15:15" x14ac:dyDescent="0.3">
      <c r="O3350" t="str">
        <f t="shared" si="53"/>
        <v/>
      </c>
    </row>
    <row r="3351" spans="15:15" x14ac:dyDescent="0.3">
      <c r="O3351" t="str">
        <f t="shared" si="53"/>
        <v/>
      </c>
    </row>
    <row r="3352" spans="15:15" x14ac:dyDescent="0.3">
      <c r="O3352" t="str">
        <f t="shared" si="53"/>
        <v/>
      </c>
    </row>
    <row r="3353" spans="15:15" x14ac:dyDescent="0.3">
      <c r="O3353" t="str">
        <f t="shared" si="53"/>
        <v/>
      </c>
    </row>
    <row r="3354" spans="15:15" x14ac:dyDescent="0.3">
      <c r="O3354" t="str">
        <f t="shared" si="53"/>
        <v/>
      </c>
    </row>
    <row r="3355" spans="15:15" x14ac:dyDescent="0.3">
      <c r="O3355" t="str">
        <f t="shared" si="53"/>
        <v/>
      </c>
    </row>
    <row r="3356" spans="15:15" x14ac:dyDescent="0.3">
      <c r="O3356" t="str">
        <f t="shared" si="53"/>
        <v/>
      </c>
    </row>
    <row r="3357" spans="15:15" x14ac:dyDescent="0.3">
      <c r="O3357" t="str">
        <f t="shared" si="53"/>
        <v/>
      </c>
    </row>
    <row r="3358" spans="15:15" x14ac:dyDescent="0.3">
      <c r="O3358" t="str">
        <f t="shared" si="53"/>
        <v/>
      </c>
    </row>
    <row r="3359" spans="15:15" x14ac:dyDescent="0.3">
      <c r="O3359" t="str">
        <f t="shared" si="53"/>
        <v/>
      </c>
    </row>
    <row r="3360" spans="15:15" x14ac:dyDescent="0.3">
      <c r="O3360" t="str">
        <f t="shared" si="53"/>
        <v/>
      </c>
    </row>
    <row r="3361" spans="15:15" x14ac:dyDescent="0.3">
      <c r="O3361" t="str">
        <f t="shared" si="53"/>
        <v/>
      </c>
    </row>
    <row r="3362" spans="15:15" x14ac:dyDescent="0.3">
      <c r="O3362" t="str">
        <f t="shared" si="53"/>
        <v/>
      </c>
    </row>
    <row r="3363" spans="15:15" x14ac:dyDescent="0.3">
      <c r="O3363" t="str">
        <f t="shared" si="53"/>
        <v/>
      </c>
    </row>
    <row r="3364" spans="15:15" x14ac:dyDescent="0.3">
      <c r="O3364" t="str">
        <f t="shared" si="53"/>
        <v/>
      </c>
    </row>
    <row r="3365" spans="15:15" x14ac:dyDescent="0.3">
      <c r="O3365" t="str">
        <f t="shared" si="53"/>
        <v/>
      </c>
    </row>
    <row r="3366" spans="15:15" x14ac:dyDescent="0.3">
      <c r="O3366" t="str">
        <f t="shared" si="53"/>
        <v/>
      </c>
    </row>
    <row r="3367" spans="15:15" x14ac:dyDescent="0.3">
      <c r="O3367" t="str">
        <f t="shared" si="53"/>
        <v/>
      </c>
    </row>
    <row r="3368" spans="15:15" x14ac:dyDescent="0.3">
      <c r="O3368" t="str">
        <f t="shared" si="53"/>
        <v/>
      </c>
    </row>
    <row r="3369" spans="15:15" x14ac:dyDescent="0.3">
      <c r="O3369" t="str">
        <f t="shared" si="53"/>
        <v/>
      </c>
    </row>
    <row r="3370" spans="15:15" x14ac:dyDescent="0.3">
      <c r="O3370" t="str">
        <f t="shared" si="53"/>
        <v/>
      </c>
    </row>
    <row r="3371" spans="15:15" x14ac:dyDescent="0.3">
      <c r="O3371" t="str">
        <f t="shared" si="53"/>
        <v/>
      </c>
    </row>
    <row r="3372" spans="15:15" x14ac:dyDescent="0.3">
      <c r="O3372" t="str">
        <f t="shared" si="53"/>
        <v/>
      </c>
    </row>
    <row r="3373" spans="15:15" x14ac:dyDescent="0.3">
      <c r="O3373" t="str">
        <f t="shared" si="53"/>
        <v/>
      </c>
    </row>
    <row r="3374" spans="15:15" x14ac:dyDescent="0.3">
      <c r="O3374" t="str">
        <f t="shared" si="53"/>
        <v/>
      </c>
    </row>
    <row r="3375" spans="15:15" x14ac:dyDescent="0.3">
      <c r="O3375" t="str">
        <f t="shared" si="53"/>
        <v/>
      </c>
    </row>
    <row r="3376" spans="15:15" x14ac:dyDescent="0.3">
      <c r="O3376" t="str">
        <f t="shared" si="53"/>
        <v/>
      </c>
    </row>
    <row r="3377" spans="15:15" x14ac:dyDescent="0.3">
      <c r="O3377" t="str">
        <f t="shared" si="53"/>
        <v/>
      </c>
    </row>
    <row r="3378" spans="15:15" x14ac:dyDescent="0.3">
      <c r="O3378" t="str">
        <f t="shared" si="53"/>
        <v/>
      </c>
    </row>
    <row r="3379" spans="15:15" x14ac:dyDescent="0.3">
      <c r="O3379" t="str">
        <f t="shared" si="53"/>
        <v/>
      </c>
    </row>
    <row r="3380" spans="15:15" x14ac:dyDescent="0.3">
      <c r="O3380" t="str">
        <f t="shared" si="53"/>
        <v/>
      </c>
    </row>
    <row r="3381" spans="15:15" x14ac:dyDescent="0.3">
      <c r="O3381" t="str">
        <f t="shared" si="53"/>
        <v/>
      </c>
    </row>
    <row r="3382" spans="15:15" x14ac:dyDescent="0.3">
      <c r="O3382" t="str">
        <f t="shared" si="53"/>
        <v/>
      </c>
    </row>
    <row r="3383" spans="15:15" x14ac:dyDescent="0.3">
      <c r="O3383" t="str">
        <f t="shared" si="53"/>
        <v/>
      </c>
    </row>
    <row r="3384" spans="15:15" x14ac:dyDescent="0.3">
      <c r="O3384" t="str">
        <f t="shared" si="53"/>
        <v/>
      </c>
    </row>
    <row r="3385" spans="15:15" x14ac:dyDescent="0.3">
      <c r="O3385" t="str">
        <f t="shared" si="53"/>
        <v/>
      </c>
    </row>
    <row r="3386" spans="15:15" x14ac:dyDescent="0.3">
      <c r="O3386" t="str">
        <f t="shared" si="53"/>
        <v/>
      </c>
    </row>
    <row r="3387" spans="15:15" x14ac:dyDescent="0.3">
      <c r="O3387" t="str">
        <f t="shared" si="53"/>
        <v/>
      </c>
    </row>
    <row r="3388" spans="15:15" x14ac:dyDescent="0.3">
      <c r="O3388" t="str">
        <f t="shared" si="53"/>
        <v/>
      </c>
    </row>
    <row r="3389" spans="15:15" x14ac:dyDescent="0.3">
      <c r="O3389" t="str">
        <f t="shared" si="53"/>
        <v/>
      </c>
    </row>
    <row r="3390" spans="15:15" x14ac:dyDescent="0.3">
      <c r="O3390" t="str">
        <f t="shared" si="53"/>
        <v/>
      </c>
    </row>
    <row r="3391" spans="15:15" x14ac:dyDescent="0.3">
      <c r="O3391" t="str">
        <f t="shared" si="53"/>
        <v/>
      </c>
    </row>
    <row r="3392" spans="15:15" x14ac:dyDescent="0.3">
      <c r="O3392" t="str">
        <f t="shared" si="53"/>
        <v/>
      </c>
    </row>
    <row r="3393" spans="15:15" x14ac:dyDescent="0.3">
      <c r="O3393" t="str">
        <f t="shared" si="53"/>
        <v/>
      </c>
    </row>
    <row r="3394" spans="15:15" x14ac:dyDescent="0.3">
      <c r="O3394" t="str">
        <f t="shared" si="53"/>
        <v/>
      </c>
    </row>
    <row r="3395" spans="15:15" x14ac:dyDescent="0.3">
      <c r="O3395" t="str">
        <f t="shared" si="53"/>
        <v/>
      </c>
    </row>
    <row r="3396" spans="15:15" x14ac:dyDescent="0.3">
      <c r="O3396" t="str">
        <f t="shared" si="53"/>
        <v/>
      </c>
    </row>
    <row r="3397" spans="15:15" x14ac:dyDescent="0.3">
      <c r="O3397" t="str">
        <f t="shared" si="53"/>
        <v/>
      </c>
    </row>
    <row r="3398" spans="15:15" x14ac:dyDescent="0.3">
      <c r="O3398" t="str">
        <f t="shared" si="53"/>
        <v/>
      </c>
    </row>
    <row r="3399" spans="15:15" x14ac:dyDescent="0.3">
      <c r="O3399" t="str">
        <f t="shared" si="53"/>
        <v/>
      </c>
    </row>
    <row r="3400" spans="15:15" x14ac:dyDescent="0.3">
      <c r="O3400" t="str">
        <f t="shared" si="53"/>
        <v/>
      </c>
    </row>
    <row r="3401" spans="15:15" x14ac:dyDescent="0.3">
      <c r="O3401" t="str">
        <f t="shared" si="53"/>
        <v/>
      </c>
    </row>
    <row r="3402" spans="15:15" x14ac:dyDescent="0.3">
      <c r="O3402" t="str">
        <f t="shared" ref="O3402:O3465" si="54">IF(P3402="","",O3401+1)</f>
        <v/>
      </c>
    </row>
    <row r="3403" spans="15:15" x14ac:dyDescent="0.3">
      <c r="O3403" t="str">
        <f t="shared" si="54"/>
        <v/>
      </c>
    </row>
    <row r="3404" spans="15:15" x14ac:dyDescent="0.3">
      <c r="O3404" t="str">
        <f t="shared" si="54"/>
        <v/>
      </c>
    </row>
    <row r="3405" spans="15:15" x14ac:dyDescent="0.3">
      <c r="O3405" t="str">
        <f t="shared" si="54"/>
        <v/>
      </c>
    </row>
    <row r="3406" spans="15:15" x14ac:dyDescent="0.3">
      <c r="O3406" t="str">
        <f t="shared" si="54"/>
        <v/>
      </c>
    </row>
    <row r="3407" spans="15:15" x14ac:dyDescent="0.3">
      <c r="O3407" t="str">
        <f t="shared" si="54"/>
        <v/>
      </c>
    </row>
    <row r="3408" spans="15:15" x14ac:dyDescent="0.3">
      <c r="O3408" t="str">
        <f t="shared" si="54"/>
        <v/>
      </c>
    </row>
    <row r="3409" spans="15:15" x14ac:dyDescent="0.3">
      <c r="O3409" t="str">
        <f t="shared" si="54"/>
        <v/>
      </c>
    </row>
    <row r="3410" spans="15:15" x14ac:dyDescent="0.3">
      <c r="O3410" t="str">
        <f t="shared" si="54"/>
        <v/>
      </c>
    </row>
    <row r="3411" spans="15:15" x14ac:dyDescent="0.3">
      <c r="O3411" t="str">
        <f t="shared" si="54"/>
        <v/>
      </c>
    </row>
    <row r="3412" spans="15:15" x14ac:dyDescent="0.3">
      <c r="O3412" t="str">
        <f t="shared" si="54"/>
        <v/>
      </c>
    </row>
    <row r="3413" spans="15:15" x14ac:dyDescent="0.3">
      <c r="O3413" t="str">
        <f t="shared" si="54"/>
        <v/>
      </c>
    </row>
    <row r="3414" spans="15:15" x14ac:dyDescent="0.3">
      <c r="O3414" t="str">
        <f t="shared" si="54"/>
        <v/>
      </c>
    </row>
    <row r="3415" spans="15:15" x14ac:dyDescent="0.3">
      <c r="O3415" t="str">
        <f t="shared" si="54"/>
        <v/>
      </c>
    </row>
    <row r="3416" spans="15:15" x14ac:dyDescent="0.3">
      <c r="O3416" t="str">
        <f t="shared" si="54"/>
        <v/>
      </c>
    </row>
    <row r="3417" spans="15:15" x14ac:dyDescent="0.3">
      <c r="O3417" t="str">
        <f t="shared" si="54"/>
        <v/>
      </c>
    </row>
    <row r="3418" spans="15:15" x14ac:dyDescent="0.3">
      <c r="O3418" t="str">
        <f t="shared" si="54"/>
        <v/>
      </c>
    </row>
    <row r="3419" spans="15:15" x14ac:dyDescent="0.3">
      <c r="O3419" t="str">
        <f t="shared" si="54"/>
        <v/>
      </c>
    </row>
    <row r="3420" spans="15:15" x14ac:dyDescent="0.3">
      <c r="O3420" t="str">
        <f t="shared" si="54"/>
        <v/>
      </c>
    </row>
    <row r="3421" spans="15:15" x14ac:dyDescent="0.3">
      <c r="O3421" t="str">
        <f t="shared" si="54"/>
        <v/>
      </c>
    </row>
    <row r="3422" spans="15:15" x14ac:dyDescent="0.3">
      <c r="O3422" t="str">
        <f t="shared" si="54"/>
        <v/>
      </c>
    </row>
    <row r="3423" spans="15:15" x14ac:dyDescent="0.3">
      <c r="O3423" t="str">
        <f t="shared" si="54"/>
        <v/>
      </c>
    </row>
    <row r="3424" spans="15:15" x14ac:dyDescent="0.3">
      <c r="O3424" t="str">
        <f t="shared" si="54"/>
        <v/>
      </c>
    </row>
    <row r="3425" spans="15:15" x14ac:dyDescent="0.3">
      <c r="O3425" t="str">
        <f t="shared" si="54"/>
        <v/>
      </c>
    </row>
    <row r="3426" spans="15:15" x14ac:dyDescent="0.3">
      <c r="O3426" t="str">
        <f t="shared" si="54"/>
        <v/>
      </c>
    </row>
    <row r="3427" spans="15:15" x14ac:dyDescent="0.3">
      <c r="O3427" t="str">
        <f t="shared" si="54"/>
        <v/>
      </c>
    </row>
    <row r="3428" spans="15:15" x14ac:dyDescent="0.3">
      <c r="O3428" t="str">
        <f t="shared" si="54"/>
        <v/>
      </c>
    </row>
    <row r="3429" spans="15:15" x14ac:dyDescent="0.3">
      <c r="O3429" t="str">
        <f t="shared" si="54"/>
        <v/>
      </c>
    </row>
    <row r="3430" spans="15:15" x14ac:dyDescent="0.3">
      <c r="O3430" t="str">
        <f t="shared" si="54"/>
        <v/>
      </c>
    </row>
    <row r="3431" spans="15:15" x14ac:dyDescent="0.3">
      <c r="O3431" t="str">
        <f t="shared" si="54"/>
        <v/>
      </c>
    </row>
    <row r="3432" spans="15:15" x14ac:dyDescent="0.3">
      <c r="O3432" t="str">
        <f t="shared" si="54"/>
        <v/>
      </c>
    </row>
    <row r="3433" spans="15:15" x14ac:dyDescent="0.3">
      <c r="O3433" t="str">
        <f t="shared" si="54"/>
        <v/>
      </c>
    </row>
    <row r="3434" spans="15:15" x14ac:dyDescent="0.3">
      <c r="O3434" t="str">
        <f t="shared" si="54"/>
        <v/>
      </c>
    </row>
    <row r="3435" spans="15:15" x14ac:dyDescent="0.3">
      <c r="O3435" t="str">
        <f t="shared" si="54"/>
        <v/>
      </c>
    </row>
    <row r="3436" spans="15:15" x14ac:dyDescent="0.3">
      <c r="O3436" t="str">
        <f t="shared" si="54"/>
        <v/>
      </c>
    </row>
    <row r="3437" spans="15:15" x14ac:dyDescent="0.3">
      <c r="O3437" t="str">
        <f t="shared" si="54"/>
        <v/>
      </c>
    </row>
    <row r="3438" spans="15:15" x14ac:dyDescent="0.3">
      <c r="O3438" t="str">
        <f t="shared" si="54"/>
        <v/>
      </c>
    </row>
    <row r="3439" spans="15:15" x14ac:dyDescent="0.3">
      <c r="O3439" t="str">
        <f t="shared" si="54"/>
        <v/>
      </c>
    </row>
    <row r="3440" spans="15:15" x14ac:dyDescent="0.3">
      <c r="O3440" t="str">
        <f t="shared" si="54"/>
        <v/>
      </c>
    </row>
    <row r="3441" spans="15:15" x14ac:dyDescent="0.3">
      <c r="O3441" t="str">
        <f t="shared" si="54"/>
        <v/>
      </c>
    </row>
    <row r="3442" spans="15:15" x14ac:dyDescent="0.3">
      <c r="O3442" t="str">
        <f t="shared" si="54"/>
        <v/>
      </c>
    </row>
    <row r="3443" spans="15:15" x14ac:dyDescent="0.3">
      <c r="O3443" t="str">
        <f t="shared" si="54"/>
        <v/>
      </c>
    </row>
    <row r="3444" spans="15:15" x14ac:dyDescent="0.3">
      <c r="O3444" t="str">
        <f t="shared" si="54"/>
        <v/>
      </c>
    </row>
    <row r="3445" spans="15:15" x14ac:dyDescent="0.3">
      <c r="O3445" t="str">
        <f t="shared" si="54"/>
        <v/>
      </c>
    </row>
    <row r="3446" spans="15:15" x14ac:dyDescent="0.3">
      <c r="O3446" t="str">
        <f t="shared" si="54"/>
        <v/>
      </c>
    </row>
    <row r="3447" spans="15:15" x14ac:dyDescent="0.3">
      <c r="O3447" t="str">
        <f t="shared" si="54"/>
        <v/>
      </c>
    </row>
    <row r="3448" spans="15:15" x14ac:dyDescent="0.3">
      <c r="O3448" t="str">
        <f t="shared" si="54"/>
        <v/>
      </c>
    </row>
    <row r="3449" spans="15:15" x14ac:dyDescent="0.3">
      <c r="O3449" t="str">
        <f t="shared" si="54"/>
        <v/>
      </c>
    </row>
    <row r="3450" spans="15:15" x14ac:dyDescent="0.3">
      <c r="O3450" t="str">
        <f t="shared" si="54"/>
        <v/>
      </c>
    </row>
    <row r="3451" spans="15:15" x14ac:dyDescent="0.3">
      <c r="O3451" t="str">
        <f t="shared" si="54"/>
        <v/>
      </c>
    </row>
    <row r="3452" spans="15:15" x14ac:dyDescent="0.3">
      <c r="O3452" t="str">
        <f t="shared" si="54"/>
        <v/>
      </c>
    </row>
    <row r="3453" spans="15:15" x14ac:dyDescent="0.3">
      <c r="O3453" t="str">
        <f t="shared" si="54"/>
        <v/>
      </c>
    </row>
    <row r="3454" spans="15:15" x14ac:dyDescent="0.3">
      <c r="O3454" t="str">
        <f t="shared" si="54"/>
        <v/>
      </c>
    </row>
    <row r="3455" spans="15:15" x14ac:dyDescent="0.3">
      <c r="O3455" t="str">
        <f t="shared" si="54"/>
        <v/>
      </c>
    </row>
    <row r="3456" spans="15:15" x14ac:dyDescent="0.3">
      <c r="O3456" t="str">
        <f t="shared" si="54"/>
        <v/>
      </c>
    </row>
    <row r="3457" spans="15:15" x14ac:dyDescent="0.3">
      <c r="O3457" t="str">
        <f t="shared" si="54"/>
        <v/>
      </c>
    </row>
    <row r="3458" spans="15:15" x14ac:dyDescent="0.3">
      <c r="O3458" t="str">
        <f t="shared" si="54"/>
        <v/>
      </c>
    </row>
    <row r="3459" spans="15:15" x14ac:dyDescent="0.3">
      <c r="O3459" t="str">
        <f t="shared" si="54"/>
        <v/>
      </c>
    </row>
    <row r="3460" spans="15:15" x14ac:dyDescent="0.3">
      <c r="O3460" t="str">
        <f t="shared" si="54"/>
        <v/>
      </c>
    </row>
    <row r="3461" spans="15:15" x14ac:dyDescent="0.3">
      <c r="O3461" t="str">
        <f t="shared" si="54"/>
        <v/>
      </c>
    </row>
    <row r="3462" spans="15:15" x14ac:dyDescent="0.3">
      <c r="O3462" t="str">
        <f t="shared" si="54"/>
        <v/>
      </c>
    </row>
    <row r="3463" spans="15:15" x14ac:dyDescent="0.3">
      <c r="O3463" t="str">
        <f t="shared" si="54"/>
        <v/>
      </c>
    </row>
    <row r="3464" spans="15:15" x14ac:dyDescent="0.3">
      <c r="O3464" t="str">
        <f t="shared" si="54"/>
        <v/>
      </c>
    </row>
    <row r="3465" spans="15:15" x14ac:dyDescent="0.3">
      <c r="O3465" t="str">
        <f t="shared" si="54"/>
        <v/>
      </c>
    </row>
    <row r="3466" spans="15:15" x14ac:dyDescent="0.3">
      <c r="O3466" t="str">
        <f t="shared" ref="O3466:O3529" si="55">IF(P3466="","",O3465+1)</f>
        <v/>
      </c>
    </row>
    <row r="3467" spans="15:15" x14ac:dyDescent="0.3">
      <c r="O3467" t="str">
        <f t="shared" si="55"/>
        <v/>
      </c>
    </row>
    <row r="3468" spans="15:15" x14ac:dyDescent="0.3">
      <c r="O3468" t="str">
        <f t="shared" si="55"/>
        <v/>
      </c>
    </row>
    <row r="3469" spans="15:15" x14ac:dyDescent="0.3">
      <c r="O3469" t="str">
        <f t="shared" si="55"/>
        <v/>
      </c>
    </row>
    <row r="3470" spans="15:15" x14ac:dyDescent="0.3">
      <c r="O3470" t="str">
        <f t="shared" si="55"/>
        <v/>
      </c>
    </row>
    <row r="3471" spans="15:15" x14ac:dyDescent="0.3">
      <c r="O3471" t="str">
        <f t="shared" si="55"/>
        <v/>
      </c>
    </row>
    <row r="3472" spans="15:15" x14ac:dyDescent="0.3">
      <c r="O3472" t="str">
        <f t="shared" si="55"/>
        <v/>
      </c>
    </row>
    <row r="3473" spans="15:15" x14ac:dyDescent="0.3">
      <c r="O3473" t="str">
        <f t="shared" si="55"/>
        <v/>
      </c>
    </row>
    <row r="3474" spans="15:15" x14ac:dyDescent="0.3">
      <c r="O3474" t="str">
        <f t="shared" si="55"/>
        <v/>
      </c>
    </row>
    <row r="3475" spans="15:15" x14ac:dyDescent="0.3">
      <c r="O3475" t="str">
        <f t="shared" si="55"/>
        <v/>
      </c>
    </row>
    <row r="3476" spans="15:15" x14ac:dyDescent="0.3">
      <c r="O3476" t="str">
        <f t="shared" si="55"/>
        <v/>
      </c>
    </row>
    <row r="3477" spans="15:15" x14ac:dyDescent="0.3">
      <c r="O3477" t="str">
        <f t="shared" si="55"/>
        <v/>
      </c>
    </row>
    <row r="3478" spans="15:15" x14ac:dyDescent="0.3">
      <c r="O3478" t="str">
        <f t="shared" si="55"/>
        <v/>
      </c>
    </row>
    <row r="3479" spans="15:15" x14ac:dyDescent="0.3">
      <c r="O3479" t="str">
        <f t="shared" si="55"/>
        <v/>
      </c>
    </row>
    <row r="3480" spans="15:15" x14ac:dyDescent="0.3">
      <c r="O3480" t="str">
        <f t="shared" si="55"/>
        <v/>
      </c>
    </row>
    <row r="3481" spans="15:15" x14ac:dyDescent="0.3">
      <c r="O3481" t="str">
        <f t="shared" si="55"/>
        <v/>
      </c>
    </row>
    <row r="3482" spans="15:15" x14ac:dyDescent="0.3">
      <c r="O3482" t="str">
        <f t="shared" si="55"/>
        <v/>
      </c>
    </row>
    <row r="3483" spans="15:15" x14ac:dyDescent="0.3">
      <c r="O3483" t="str">
        <f t="shared" si="55"/>
        <v/>
      </c>
    </row>
    <row r="3484" spans="15:15" x14ac:dyDescent="0.3">
      <c r="O3484" t="str">
        <f t="shared" si="55"/>
        <v/>
      </c>
    </row>
    <row r="3485" spans="15:15" x14ac:dyDescent="0.3">
      <c r="O3485" t="str">
        <f t="shared" si="55"/>
        <v/>
      </c>
    </row>
    <row r="3486" spans="15:15" x14ac:dyDescent="0.3">
      <c r="O3486" t="str">
        <f t="shared" si="55"/>
        <v/>
      </c>
    </row>
    <row r="3487" spans="15:15" x14ac:dyDescent="0.3">
      <c r="O3487" t="str">
        <f t="shared" si="55"/>
        <v/>
      </c>
    </row>
    <row r="3488" spans="15:15" x14ac:dyDescent="0.3">
      <c r="O3488" t="str">
        <f t="shared" si="55"/>
        <v/>
      </c>
    </row>
    <row r="3489" spans="15:15" x14ac:dyDescent="0.3">
      <c r="O3489" t="str">
        <f t="shared" si="55"/>
        <v/>
      </c>
    </row>
    <row r="3490" spans="15:15" x14ac:dyDescent="0.3">
      <c r="O3490" t="str">
        <f t="shared" si="55"/>
        <v/>
      </c>
    </row>
    <row r="3491" spans="15:15" x14ac:dyDescent="0.3">
      <c r="O3491" t="str">
        <f t="shared" si="55"/>
        <v/>
      </c>
    </row>
    <row r="3492" spans="15:15" x14ac:dyDescent="0.3">
      <c r="O3492" t="str">
        <f t="shared" si="55"/>
        <v/>
      </c>
    </row>
    <row r="3493" spans="15:15" x14ac:dyDescent="0.3">
      <c r="O3493" t="str">
        <f t="shared" si="55"/>
        <v/>
      </c>
    </row>
    <row r="3494" spans="15:15" x14ac:dyDescent="0.3">
      <c r="O3494" t="str">
        <f t="shared" si="55"/>
        <v/>
      </c>
    </row>
    <row r="3495" spans="15:15" x14ac:dyDescent="0.3">
      <c r="O3495" t="str">
        <f t="shared" si="55"/>
        <v/>
      </c>
    </row>
    <row r="3496" spans="15:15" x14ac:dyDescent="0.3">
      <c r="O3496" t="str">
        <f t="shared" si="55"/>
        <v/>
      </c>
    </row>
    <row r="3497" spans="15:15" x14ac:dyDescent="0.3">
      <c r="O3497" t="str">
        <f t="shared" si="55"/>
        <v/>
      </c>
    </row>
    <row r="3498" spans="15:15" x14ac:dyDescent="0.3">
      <c r="O3498" t="str">
        <f t="shared" si="55"/>
        <v/>
      </c>
    </row>
    <row r="3499" spans="15:15" x14ac:dyDescent="0.3">
      <c r="O3499" t="str">
        <f t="shared" si="55"/>
        <v/>
      </c>
    </row>
    <row r="3500" spans="15:15" x14ac:dyDescent="0.3">
      <c r="O3500" t="str">
        <f t="shared" si="55"/>
        <v/>
      </c>
    </row>
    <row r="3501" spans="15:15" x14ac:dyDescent="0.3">
      <c r="O3501" t="str">
        <f t="shared" si="55"/>
        <v/>
      </c>
    </row>
    <row r="3502" spans="15:15" x14ac:dyDescent="0.3">
      <c r="O3502" t="str">
        <f t="shared" si="55"/>
        <v/>
      </c>
    </row>
    <row r="3503" spans="15:15" x14ac:dyDescent="0.3">
      <c r="O3503" t="str">
        <f t="shared" si="55"/>
        <v/>
      </c>
    </row>
    <row r="3504" spans="15:15" x14ac:dyDescent="0.3">
      <c r="O3504" t="str">
        <f t="shared" si="55"/>
        <v/>
      </c>
    </row>
    <row r="3505" spans="15:15" x14ac:dyDescent="0.3">
      <c r="O3505" t="str">
        <f t="shared" si="55"/>
        <v/>
      </c>
    </row>
    <row r="3506" spans="15:15" x14ac:dyDescent="0.3">
      <c r="O3506" t="str">
        <f t="shared" si="55"/>
        <v/>
      </c>
    </row>
    <row r="3507" spans="15:15" x14ac:dyDescent="0.3">
      <c r="O3507" t="str">
        <f t="shared" si="55"/>
        <v/>
      </c>
    </row>
    <row r="3508" spans="15:15" x14ac:dyDescent="0.3">
      <c r="O3508" t="str">
        <f t="shared" si="55"/>
        <v/>
      </c>
    </row>
    <row r="3509" spans="15:15" x14ac:dyDescent="0.3">
      <c r="O3509" t="str">
        <f t="shared" si="55"/>
        <v/>
      </c>
    </row>
    <row r="3510" spans="15:15" x14ac:dyDescent="0.3">
      <c r="O3510" t="str">
        <f t="shared" si="55"/>
        <v/>
      </c>
    </row>
    <row r="3511" spans="15:15" x14ac:dyDescent="0.3">
      <c r="O3511" t="str">
        <f t="shared" si="55"/>
        <v/>
      </c>
    </row>
    <row r="3512" spans="15:15" x14ac:dyDescent="0.3">
      <c r="O3512" t="str">
        <f t="shared" si="55"/>
        <v/>
      </c>
    </row>
    <row r="3513" spans="15:15" x14ac:dyDescent="0.3">
      <c r="O3513" t="str">
        <f t="shared" si="55"/>
        <v/>
      </c>
    </row>
    <row r="3514" spans="15:15" x14ac:dyDescent="0.3">
      <c r="O3514" t="str">
        <f t="shared" si="55"/>
        <v/>
      </c>
    </row>
    <row r="3515" spans="15:15" x14ac:dyDescent="0.3">
      <c r="O3515" t="str">
        <f t="shared" si="55"/>
        <v/>
      </c>
    </row>
    <row r="3516" spans="15:15" x14ac:dyDescent="0.3">
      <c r="O3516" t="str">
        <f t="shared" si="55"/>
        <v/>
      </c>
    </row>
    <row r="3517" spans="15:15" x14ac:dyDescent="0.3">
      <c r="O3517" t="str">
        <f t="shared" si="55"/>
        <v/>
      </c>
    </row>
    <row r="3518" spans="15:15" x14ac:dyDescent="0.3">
      <c r="O3518" t="str">
        <f t="shared" si="55"/>
        <v/>
      </c>
    </row>
    <row r="3519" spans="15:15" x14ac:dyDescent="0.3">
      <c r="O3519" t="str">
        <f t="shared" si="55"/>
        <v/>
      </c>
    </row>
    <row r="3520" spans="15:15" x14ac:dyDescent="0.3">
      <c r="O3520" t="str">
        <f t="shared" si="55"/>
        <v/>
      </c>
    </row>
    <row r="3521" spans="15:15" x14ac:dyDescent="0.3">
      <c r="O3521" t="str">
        <f t="shared" si="55"/>
        <v/>
      </c>
    </row>
    <row r="3522" spans="15:15" x14ac:dyDescent="0.3">
      <c r="O3522" t="str">
        <f t="shared" si="55"/>
        <v/>
      </c>
    </row>
    <row r="3523" spans="15:15" x14ac:dyDescent="0.3">
      <c r="O3523" t="str">
        <f t="shared" si="55"/>
        <v/>
      </c>
    </row>
    <row r="3524" spans="15:15" x14ac:dyDescent="0.3">
      <c r="O3524" t="str">
        <f t="shared" si="55"/>
        <v/>
      </c>
    </row>
    <row r="3525" spans="15:15" x14ac:dyDescent="0.3">
      <c r="O3525" t="str">
        <f t="shared" si="55"/>
        <v/>
      </c>
    </row>
    <row r="3526" spans="15:15" x14ac:dyDescent="0.3">
      <c r="O3526" t="str">
        <f t="shared" si="55"/>
        <v/>
      </c>
    </row>
    <row r="3527" spans="15:15" x14ac:dyDescent="0.3">
      <c r="O3527" t="str">
        <f t="shared" si="55"/>
        <v/>
      </c>
    </row>
    <row r="3528" spans="15:15" x14ac:dyDescent="0.3">
      <c r="O3528" t="str">
        <f t="shared" si="55"/>
        <v/>
      </c>
    </row>
    <row r="3529" spans="15:15" x14ac:dyDescent="0.3">
      <c r="O3529" t="str">
        <f t="shared" si="55"/>
        <v/>
      </c>
    </row>
    <row r="3530" spans="15:15" x14ac:dyDescent="0.3">
      <c r="O3530" t="str">
        <f t="shared" ref="O3530:O3593" si="56">IF(P3530="","",O3529+1)</f>
        <v/>
      </c>
    </row>
    <row r="3531" spans="15:15" x14ac:dyDescent="0.3">
      <c r="O3531" t="str">
        <f t="shared" si="56"/>
        <v/>
      </c>
    </row>
    <row r="3532" spans="15:15" x14ac:dyDescent="0.3">
      <c r="O3532" t="str">
        <f t="shared" si="56"/>
        <v/>
      </c>
    </row>
    <row r="3533" spans="15:15" x14ac:dyDescent="0.3">
      <c r="O3533" t="str">
        <f t="shared" si="56"/>
        <v/>
      </c>
    </row>
    <row r="3534" spans="15:15" x14ac:dyDescent="0.3">
      <c r="O3534" t="str">
        <f t="shared" si="56"/>
        <v/>
      </c>
    </row>
    <row r="3535" spans="15:15" x14ac:dyDescent="0.3">
      <c r="O3535" t="str">
        <f t="shared" si="56"/>
        <v/>
      </c>
    </row>
    <row r="3536" spans="15:15" x14ac:dyDescent="0.3">
      <c r="O3536" t="str">
        <f t="shared" si="56"/>
        <v/>
      </c>
    </row>
    <row r="3537" spans="15:15" x14ac:dyDescent="0.3">
      <c r="O3537" t="str">
        <f t="shared" si="56"/>
        <v/>
      </c>
    </row>
    <row r="3538" spans="15:15" x14ac:dyDescent="0.3">
      <c r="O3538" t="str">
        <f t="shared" si="56"/>
        <v/>
      </c>
    </row>
    <row r="3539" spans="15:15" x14ac:dyDescent="0.3">
      <c r="O3539" t="str">
        <f t="shared" si="56"/>
        <v/>
      </c>
    </row>
    <row r="3540" spans="15:15" x14ac:dyDescent="0.3">
      <c r="O3540" t="str">
        <f t="shared" si="56"/>
        <v/>
      </c>
    </row>
    <row r="3541" spans="15:15" x14ac:dyDescent="0.3">
      <c r="O3541" t="str">
        <f t="shared" si="56"/>
        <v/>
      </c>
    </row>
    <row r="3542" spans="15:15" x14ac:dyDescent="0.3">
      <c r="O3542" t="str">
        <f t="shared" si="56"/>
        <v/>
      </c>
    </row>
    <row r="3543" spans="15:15" x14ac:dyDescent="0.3">
      <c r="O3543" t="str">
        <f t="shared" si="56"/>
        <v/>
      </c>
    </row>
    <row r="3544" spans="15:15" x14ac:dyDescent="0.3">
      <c r="O3544" t="str">
        <f t="shared" si="56"/>
        <v/>
      </c>
    </row>
    <row r="3545" spans="15:15" x14ac:dyDescent="0.3">
      <c r="O3545" t="str">
        <f t="shared" si="56"/>
        <v/>
      </c>
    </row>
    <row r="3546" spans="15:15" x14ac:dyDescent="0.3">
      <c r="O3546" t="str">
        <f t="shared" si="56"/>
        <v/>
      </c>
    </row>
    <row r="3547" spans="15:15" x14ac:dyDescent="0.3">
      <c r="O3547" t="str">
        <f t="shared" si="56"/>
        <v/>
      </c>
    </row>
    <row r="3548" spans="15:15" x14ac:dyDescent="0.3">
      <c r="O3548" t="str">
        <f t="shared" si="56"/>
        <v/>
      </c>
    </row>
    <row r="3549" spans="15:15" x14ac:dyDescent="0.3">
      <c r="O3549" t="str">
        <f t="shared" si="56"/>
        <v/>
      </c>
    </row>
    <row r="3550" spans="15:15" x14ac:dyDescent="0.3">
      <c r="O3550" t="str">
        <f t="shared" si="56"/>
        <v/>
      </c>
    </row>
    <row r="3551" spans="15:15" x14ac:dyDescent="0.3">
      <c r="O3551" t="str">
        <f t="shared" si="56"/>
        <v/>
      </c>
    </row>
    <row r="3552" spans="15:15" x14ac:dyDescent="0.3">
      <c r="O3552" t="str">
        <f t="shared" si="56"/>
        <v/>
      </c>
    </row>
    <row r="3553" spans="15:15" x14ac:dyDescent="0.3">
      <c r="O3553" t="str">
        <f t="shared" si="56"/>
        <v/>
      </c>
    </row>
    <row r="3554" spans="15:15" x14ac:dyDescent="0.3">
      <c r="O3554" t="str">
        <f t="shared" si="56"/>
        <v/>
      </c>
    </row>
    <row r="3555" spans="15:15" x14ac:dyDescent="0.3">
      <c r="O3555" t="str">
        <f t="shared" si="56"/>
        <v/>
      </c>
    </row>
    <row r="3556" spans="15:15" x14ac:dyDescent="0.3">
      <c r="O3556" t="str">
        <f t="shared" si="56"/>
        <v/>
      </c>
    </row>
    <row r="3557" spans="15:15" x14ac:dyDescent="0.3">
      <c r="O3557" t="str">
        <f t="shared" si="56"/>
        <v/>
      </c>
    </row>
    <row r="3558" spans="15:15" x14ac:dyDescent="0.3">
      <c r="O3558" t="str">
        <f t="shared" si="56"/>
        <v/>
      </c>
    </row>
    <row r="3559" spans="15:15" x14ac:dyDescent="0.3">
      <c r="O3559" t="str">
        <f t="shared" si="56"/>
        <v/>
      </c>
    </row>
    <row r="3560" spans="15:15" x14ac:dyDescent="0.3">
      <c r="O3560" t="str">
        <f t="shared" si="56"/>
        <v/>
      </c>
    </row>
    <row r="3561" spans="15:15" x14ac:dyDescent="0.3">
      <c r="O3561" t="str">
        <f t="shared" si="56"/>
        <v/>
      </c>
    </row>
    <row r="3562" spans="15:15" x14ac:dyDescent="0.3">
      <c r="O3562" t="str">
        <f t="shared" si="56"/>
        <v/>
      </c>
    </row>
    <row r="3563" spans="15:15" x14ac:dyDescent="0.3">
      <c r="O3563" t="str">
        <f t="shared" si="56"/>
        <v/>
      </c>
    </row>
    <row r="3564" spans="15:15" x14ac:dyDescent="0.3">
      <c r="O3564" t="str">
        <f t="shared" si="56"/>
        <v/>
      </c>
    </row>
    <row r="3565" spans="15:15" x14ac:dyDescent="0.3">
      <c r="O3565" t="str">
        <f t="shared" si="56"/>
        <v/>
      </c>
    </row>
    <row r="3566" spans="15:15" x14ac:dyDescent="0.3">
      <c r="O3566" t="str">
        <f t="shared" si="56"/>
        <v/>
      </c>
    </row>
    <row r="3567" spans="15:15" x14ac:dyDescent="0.3">
      <c r="O3567" t="str">
        <f t="shared" si="56"/>
        <v/>
      </c>
    </row>
    <row r="3568" spans="15:15" x14ac:dyDescent="0.3">
      <c r="O3568" t="str">
        <f t="shared" si="56"/>
        <v/>
      </c>
    </row>
    <row r="3569" spans="15:15" x14ac:dyDescent="0.3">
      <c r="O3569" t="str">
        <f t="shared" si="56"/>
        <v/>
      </c>
    </row>
    <row r="3570" spans="15:15" x14ac:dyDescent="0.3">
      <c r="O3570" t="str">
        <f t="shared" si="56"/>
        <v/>
      </c>
    </row>
    <row r="3571" spans="15:15" x14ac:dyDescent="0.3">
      <c r="O3571" t="str">
        <f t="shared" si="56"/>
        <v/>
      </c>
    </row>
    <row r="3572" spans="15:15" x14ac:dyDescent="0.3">
      <c r="O3572" t="str">
        <f t="shared" si="56"/>
        <v/>
      </c>
    </row>
    <row r="3573" spans="15:15" x14ac:dyDescent="0.3">
      <c r="O3573" t="str">
        <f t="shared" si="56"/>
        <v/>
      </c>
    </row>
    <row r="3574" spans="15:15" x14ac:dyDescent="0.3">
      <c r="O3574" t="str">
        <f t="shared" si="56"/>
        <v/>
      </c>
    </row>
    <row r="3575" spans="15:15" x14ac:dyDescent="0.3">
      <c r="O3575" t="str">
        <f t="shared" si="56"/>
        <v/>
      </c>
    </row>
    <row r="3576" spans="15:15" x14ac:dyDescent="0.3">
      <c r="O3576" t="str">
        <f t="shared" si="56"/>
        <v/>
      </c>
    </row>
    <row r="3577" spans="15:15" x14ac:dyDescent="0.3">
      <c r="O3577" t="str">
        <f t="shared" si="56"/>
        <v/>
      </c>
    </row>
    <row r="3578" spans="15:15" x14ac:dyDescent="0.3">
      <c r="O3578" t="str">
        <f t="shared" si="56"/>
        <v/>
      </c>
    </row>
    <row r="3579" spans="15:15" x14ac:dyDescent="0.3">
      <c r="O3579" t="str">
        <f t="shared" si="56"/>
        <v/>
      </c>
    </row>
    <row r="3580" spans="15:15" x14ac:dyDescent="0.3">
      <c r="O3580" t="str">
        <f t="shared" si="56"/>
        <v/>
      </c>
    </row>
    <row r="3581" spans="15:15" x14ac:dyDescent="0.3">
      <c r="O3581" t="str">
        <f t="shared" si="56"/>
        <v/>
      </c>
    </row>
    <row r="3582" spans="15:15" x14ac:dyDescent="0.3">
      <c r="O3582" t="str">
        <f t="shared" si="56"/>
        <v/>
      </c>
    </row>
    <row r="3583" spans="15:15" x14ac:dyDescent="0.3">
      <c r="O3583" t="str">
        <f t="shared" si="56"/>
        <v/>
      </c>
    </row>
    <row r="3584" spans="15:15" x14ac:dyDescent="0.3">
      <c r="O3584" t="str">
        <f t="shared" si="56"/>
        <v/>
      </c>
    </row>
    <row r="3585" spans="15:15" x14ac:dyDescent="0.3">
      <c r="O3585" t="str">
        <f t="shared" si="56"/>
        <v/>
      </c>
    </row>
    <row r="3586" spans="15:15" x14ac:dyDescent="0.3">
      <c r="O3586" t="str">
        <f t="shared" si="56"/>
        <v/>
      </c>
    </row>
    <row r="3587" spans="15:15" x14ac:dyDescent="0.3">
      <c r="O3587" t="str">
        <f t="shared" si="56"/>
        <v/>
      </c>
    </row>
    <row r="3588" spans="15:15" x14ac:dyDescent="0.3">
      <c r="O3588" t="str">
        <f t="shared" si="56"/>
        <v/>
      </c>
    </row>
    <row r="3589" spans="15:15" x14ac:dyDescent="0.3">
      <c r="O3589" t="str">
        <f t="shared" si="56"/>
        <v/>
      </c>
    </row>
    <row r="3590" spans="15:15" x14ac:dyDescent="0.3">
      <c r="O3590" t="str">
        <f t="shared" si="56"/>
        <v/>
      </c>
    </row>
    <row r="3591" spans="15:15" x14ac:dyDescent="0.3">
      <c r="O3591" t="str">
        <f t="shared" si="56"/>
        <v/>
      </c>
    </row>
    <row r="3592" spans="15:15" x14ac:dyDescent="0.3">
      <c r="O3592" t="str">
        <f t="shared" si="56"/>
        <v/>
      </c>
    </row>
    <row r="3593" spans="15:15" x14ac:dyDescent="0.3">
      <c r="O3593" t="str">
        <f t="shared" si="56"/>
        <v/>
      </c>
    </row>
    <row r="3594" spans="15:15" x14ac:dyDescent="0.3">
      <c r="O3594" t="str">
        <f t="shared" ref="O3594:O3657" si="57">IF(P3594="","",O3593+1)</f>
        <v/>
      </c>
    </row>
    <row r="3595" spans="15:15" x14ac:dyDescent="0.3">
      <c r="O3595" t="str">
        <f t="shared" si="57"/>
        <v/>
      </c>
    </row>
    <row r="3596" spans="15:15" x14ac:dyDescent="0.3">
      <c r="O3596" t="str">
        <f t="shared" si="57"/>
        <v/>
      </c>
    </row>
    <row r="3597" spans="15:15" x14ac:dyDescent="0.3">
      <c r="O3597" t="str">
        <f t="shared" si="57"/>
        <v/>
      </c>
    </row>
    <row r="3598" spans="15:15" x14ac:dyDescent="0.3">
      <c r="O3598" t="str">
        <f t="shared" si="57"/>
        <v/>
      </c>
    </row>
    <row r="3599" spans="15:15" x14ac:dyDescent="0.3">
      <c r="O3599" t="str">
        <f t="shared" si="57"/>
        <v/>
      </c>
    </row>
    <row r="3600" spans="15:15" x14ac:dyDescent="0.3">
      <c r="O3600" t="str">
        <f t="shared" si="57"/>
        <v/>
      </c>
    </row>
    <row r="3601" spans="15:15" x14ac:dyDescent="0.3">
      <c r="O3601" t="str">
        <f t="shared" si="57"/>
        <v/>
      </c>
    </row>
    <row r="3602" spans="15:15" x14ac:dyDescent="0.3">
      <c r="O3602" t="str">
        <f t="shared" si="57"/>
        <v/>
      </c>
    </row>
    <row r="3603" spans="15:15" x14ac:dyDescent="0.3">
      <c r="O3603" t="str">
        <f t="shared" si="57"/>
        <v/>
      </c>
    </row>
    <row r="3604" spans="15:15" x14ac:dyDescent="0.3">
      <c r="O3604" t="str">
        <f t="shared" si="57"/>
        <v/>
      </c>
    </row>
    <row r="3605" spans="15:15" x14ac:dyDescent="0.3">
      <c r="O3605" t="str">
        <f t="shared" si="57"/>
        <v/>
      </c>
    </row>
    <row r="3606" spans="15:15" x14ac:dyDescent="0.3">
      <c r="O3606" t="str">
        <f t="shared" si="57"/>
        <v/>
      </c>
    </row>
    <row r="3607" spans="15:15" x14ac:dyDescent="0.3">
      <c r="O3607" t="str">
        <f t="shared" si="57"/>
        <v/>
      </c>
    </row>
    <row r="3608" spans="15:15" x14ac:dyDescent="0.3">
      <c r="O3608" t="str">
        <f t="shared" si="57"/>
        <v/>
      </c>
    </row>
    <row r="3609" spans="15:15" x14ac:dyDescent="0.3">
      <c r="O3609" t="str">
        <f t="shared" si="57"/>
        <v/>
      </c>
    </row>
    <row r="3610" spans="15:15" x14ac:dyDescent="0.3">
      <c r="O3610" t="str">
        <f t="shared" si="57"/>
        <v/>
      </c>
    </row>
    <row r="3611" spans="15:15" x14ac:dyDescent="0.3">
      <c r="O3611" t="str">
        <f t="shared" si="57"/>
        <v/>
      </c>
    </row>
    <row r="3612" spans="15:15" x14ac:dyDescent="0.3">
      <c r="O3612" t="str">
        <f t="shared" si="57"/>
        <v/>
      </c>
    </row>
    <row r="3613" spans="15:15" x14ac:dyDescent="0.3">
      <c r="O3613" t="str">
        <f t="shared" si="57"/>
        <v/>
      </c>
    </row>
    <row r="3614" spans="15:15" x14ac:dyDescent="0.3">
      <c r="O3614" t="str">
        <f t="shared" si="57"/>
        <v/>
      </c>
    </row>
    <row r="3615" spans="15:15" x14ac:dyDescent="0.3">
      <c r="O3615" t="str">
        <f t="shared" si="57"/>
        <v/>
      </c>
    </row>
    <row r="3616" spans="15:15" x14ac:dyDescent="0.3">
      <c r="O3616" t="str">
        <f t="shared" si="57"/>
        <v/>
      </c>
    </row>
    <row r="3617" spans="15:15" x14ac:dyDescent="0.3">
      <c r="O3617" t="str">
        <f t="shared" si="57"/>
        <v/>
      </c>
    </row>
    <row r="3618" spans="15:15" x14ac:dyDescent="0.3">
      <c r="O3618" t="str">
        <f t="shared" si="57"/>
        <v/>
      </c>
    </row>
    <row r="3619" spans="15:15" x14ac:dyDescent="0.3">
      <c r="O3619" t="str">
        <f t="shared" si="57"/>
        <v/>
      </c>
    </row>
    <row r="3620" spans="15:15" x14ac:dyDescent="0.3">
      <c r="O3620" t="str">
        <f t="shared" si="57"/>
        <v/>
      </c>
    </row>
    <row r="3621" spans="15:15" x14ac:dyDescent="0.3">
      <c r="O3621" t="str">
        <f t="shared" si="57"/>
        <v/>
      </c>
    </row>
    <row r="3622" spans="15:15" x14ac:dyDescent="0.3">
      <c r="O3622" t="str">
        <f t="shared" si="57"/>
        <v/>
      </c>
    </row>
    <row r="3623" spans="15:15" x14ac:dyDescent="0.3">
      <c r="O3623" t="str">
        <f t="shared" si="57"/>
        <v/>
      </c>
    </row>
    <row r="3624" spans="15:15" x14ac:dyDescent="0.3">
      <c r="O3624" t="str">
        <f t="shared" si="57"/>
        <v/>
      </c>
    </row>
    <row r="3625" spans="15:15" x14ac:dyDescent="0.3">
      <c r="O3625" t="str">
        <f t="shared" si="57"/>
        <v/>
      </c>
    </row>
    <row r="3626" spans="15:15" x14ac:dyDescent="0.3">
      <c r="O3626" t="str">
        <f t="shared" si="57"/>
        <v/>
      </c>
    </row>
    <row r="3627" spans="15:15" x14ac:dyDescent="0.3">
      <c r="O3627" t="str">
        <f t="shared" si="57"/>
        <v/>
      </c>
    </row>
    <row r="3628" spans="15:15" x14ac:dyDescent="0.3">
      <c r="O3628" t="str">
        <f t="shared" si="57"/>
        <v/>
      </c>
    </row>
    <row r="3629" spans="15:15" x14ac:dyDescent="0.3">
      <c r="O3629" t="str">
        <f t="shared" si="57"/>
        <v/>
      </c>
    </row>
    <row r="3630" spans="15:15" x14ac:dyDescent="0.3">
      <c r="O3630" t="str">
        <f t="shared" si="57"/>
        <v/>
      </c>
    </row>
    <row r="3631" spans="15:15" x14ac:dyDescent="0.3">
      <c r="O3631" t="str">
        <f t="shared" si="57"/>
        <v/>
      </c>
    </row>
    <row r="3632" spans="15:15" x14ac:dyDescent="0.3">
      <c r="O3632" t="str">
        <f t="shared" si="57"/>
        <v/>
      </c>
    </row>
    <row r="3633" spans="15:15" x14ac:dyDescent="0.3">
      <c r="O3633" t="str">
        <f t="shared" si="57"/>
        <v/>
      </c>
    </row>
    <row r="3634" spans="15:15" x14ac:dyDescent="0.3">
      <c r="O3634" t="str">
        <f t="shared" si="57"/>
        <v/>
      </c>
    </row>
    <row r="3635" spans="15:15" x14ac:dyDescent="0.3">
      <c r="O3635" t="str">
        <f t="shared" si="57"/>
        <v/>
      </c>
    </row>
    <row r="3636" spans="15:15" x14ac:dyDescent="0.3">
      <c r="O3636" t="str">
        <f t="shared" si="57"/>
        <v/>
      </c>
    </row>
    <row r="3637" spans="15:15" x14ac:dyDescent="0.3">
      <c r="O3637" t="str">
        <f t="shared" si="57"/>
        <v/>
      </c>
    </row>
    <row r="3638" spans="15:15" x14ac:dyDescent="0.3">
      <c r="O3638" t="str">
        <f t="shared" si="57"/>
        <v/>
      </c>
    </row>
    <row r="3639" spans="15:15" x14ac:dyDescent="0.3">
      <c r="O3639" t="str">
        <f t="shared" si="57"/>
        <v/>
      </c>
    </row>
    <row r="3640" spans="15:15" x14ac:dyDescent="0.3">
      <c r="O3640" t="str">
        <f t="shared" si="57"/>
        <v/>
      </c>
    </row>
    <row r="3641" spans="15:15" x14ac:dyDescent="0.3">
      <c r="O3641" t="str">
        <f t="shared" si="57"/>
        <v/>
      </c>
    </row>
    <row r="3642" spans="15:15" x14ac:dyDescent="0.3">
      <c r="O3642" t="str">
        <f t="shared" si="57"/>
        <v/>
      </c>
    </row>
    <row r="3643" spans="15:15" x14ac:dyDescent="0.3">
      <c r="O3643" t="str">
        <f t="shared" si="57"/>
        <v/>
      </c>
    </row>
    <row r="3644" spans="15:15" x14ac:dyDescent="0.3">
      <c r="O3644" t="str">
        <f t="shared" si="57"/>
        <v/>
      </c>
    </row>
    <row r="3645" spans="15:15" x14ac:dyDescent="0.3">
      <c r="O3645" t="str">
        <f t="shared" si="57"/>
        <v/>
      </c>
    </row>
    <row r="3646" spans="15:15" x14ac:dyDescent="0.3">
      <c r="O3646" t="str">
        <f t="shared" si="57"/>
        <v/>
      </c>
    </row>
    <row r="3647" spans="15:15" x14ac:dyDescent="0.3">
      <c r="O3647" t="str">
        <f t="shared" si="57"/>
        <v/>
      </c>
    </row>
    <row r="3648" spans="15:15" x14ac:dyDescent="0.3">
      <c r="O3648" t="str">
        <f t="shared" si="57"/>
        <v/>
      </c>
    </row>
    <row r="3649" spans="15:15" x14ac:dyDescent="0.3">
      <c r="O3649" t="str">
        <f t="shared" si="57"/>
        <v/>
      </c>
    </row>
    <row r="3650" spans="15:15" x14ac:dyDescent="0.3">
      <c r="O3650" t="str">
        <f t="shared" si="57"/>
        <v/>
      </c>
    </row>
    <row r="3651" spans="15:15" x14ac:dyDescent="0.3">
      <c r="O3651" t="str">
        <f t="shared" si="57"/>
        <v/>
      </c>
    </row>
    <row r="3652" spans="15:15" x14ac:dyDescent="0.3">
      <c r="O3652" t="str">
        <f t="shared" si="57"/>
        <v/>
      </c>
    </row>
    <row r="3653" spans="15:15" x14ac:dyDescent="0.3">
      <c r="O3653" t="str">
        <f t="shared" si="57"/>
        <v/>
      </c>
    </row>
    <row r="3654" spans="15:15" x14ac:dyDescent="0.3">
      <c r="O3654" t="str">
        <f t="shared" si="57"/>
        <v/>
      </c>
    </row>
    <row r="3655" spans="15:15" x14ac:dyDescent="0.3">
      <c r="O3655" t="str">
        <f t="shared" si="57"/>
        <v/>
      </c>
    </row>
    <row r="3656" spans="15:15" x14ac:dyDescent="0.3">
      <c r="O3656" t="str">
        <f t="shared" si="57"/>
        <v/>
      </c>
    </row>
    <row r="3657" spans="15:15" x14ac:dyDescent="0.3">
      <c r="O3657" t="str">
        <f t="shared" si="57"/>
        <v/>
      </c>
    </row>
    <row r="3658" spans="15:15" x14ac:dyDescent="0.3">
      <c r="O3658" t="str">
        <f t="shared" ref="O3658:O3721" si="58">IF(P3658="","",O3657+1)</f>
        <v/>
      </c>
    </row>
    <row r="3659" spans="15:15" x14ac:dyDescent="0.3">
      <c r="O3659" t="str">
        <f t="shared" si="58"/>
        <v/>
      </c>
    </row>
    <row r="3660" spans="15:15" x14ac:dyDescent="0.3">
      <c r="O3660" t="str">
        <f t="shared" si="58"/>
        <v/>
      </c>
    </row>
    <row r="3661" spans="15:15" x14ac:dyDescent="0.3">
      <c r="O3661" t="str">
        <f t="shared" si="58"/>
        <v/>
      </c>
    </row>
    <row r="3662" spans="15:15" x14ac:dyDescent="0.3">
      <c r="O3662" t="str">
        <f t="shared" si="58"/>
        <v/>
      </c>
    </row>
    <row r="3663" spans="15:15" x14ac:dyDescent="0.3">
      <c r="O3663" t="str">
        <f t="shared" si="58"/>
        <v/>
      </c>
    </row>
    <row r="3664" spans="15:15" x14ac:dyDescent="0.3">
      <c r="O3664" t="str">
        <f t="shared" si="58"/>
        <v/>
      </c>
    </row>
    <row r="3665" spans="15:15" x14ac:dyDescent="0.3">
      <c r="O3665" t="str">
        <f t="shared" si="58"/>
        <v/>
      </c>
    </row>
    <row r="3666" spans="15:15" x14ac:dyDescent="0.3">
      <c r="O3666" t="str">
        <f t="shared" si="58"/>
        <v/>
      </c>
    </row>
    <row r="3667" spans="15:15" x14ac:dyDescent="0.3">
      <c r="O3667" t="str">
        <f t="shared" si="58"/>
        <v/>
      </c>
    </row>
    <row r="3668" spans="15:15" x14ac:dyDescent="0.3">
      <c r="O3668" t="str">
        <f t="shared" si="58"/>
        <v/>
      </c>
    </row>
    <row r="3669" spans="15:15" x14ac:dyDescent="0.3">
      <c r="O3669" t="str">
        <f t="shared" si="58"/>
        <v/>
      </c>
    </row>
    <row r="3670" spans="15:15" x14ac:dyDescent="0.3">
      <c r="O3670" t="str">
        <f t="shared" si="58"/>
        <v/>
      </c>
    </row>
    <row r="3671" spans="15:15" x14ac:dyDescent="0.3">
      <c r="O3671" t="str">
        <f t="shared" si="58"/>
        <v/>
      </c>
    </row>
    <row r="3672" spans="15:15" x14ac:dyDescent="0.3">
      <c r="O3672" t="str">
        <f t="shared" si="58"/>
        <v/>
      </c>
    </row>
    <row r="3673" spans="15:15" x14ac:dyDescent="0.3">
      <c r="O3673" t="str">
        <f t="shared" si="58"/>
        <v/>
      </c>
    </row>
    <row r="3674" spans="15:15" x14ac:dyDescent="0.3">
      <c r="O3674" t="str">
        <f t="shared" si="58"/>
        <v/>
      </c>
    </row>
    <row r="3675" spans="15:15" x14ac:dyDescent="0.3">
      <c r="O3675" t="str">
        <f t="shared" si="58"/>
        <v/>
      </c>
    </row>
    <row r="3676" spans="15:15" x14ac:dyDescent="0.3">
      <c r="O3676" t="str">
        <f t="shared" si="58"/>
        <v/>
      </c>
    </row>
    <row r="3677" spans="15:15" x14ac:dyDescent="0.3">
      <c r="O3677" t="str">
        <f t="shared" si="58"/>
        <v/>
      </c>
    </row>
    <row r="3678" spans="15:15" x14ac:dyDescent="0.3">
      <c r="O3678" t="str">
        <f t="shared" si="58"/>
        <v/>
      </c>
    </row>
    <row r="3679" spans="15:15" x14ac:dyDescent="0.3">
      <c r="O3679" t="str">
        <f t="shared" si="58"/>
        <v/>
      </c>
    </row>
    <row r="3680" spans="15:15" x14ac:dyDescent="0.3">
      <c r="O3680" t="str">
        <f t="shared" si="58"/>
        <v/>
      </c>
    </row>
    <row r="3681" spans="15:15" x14ac:dyDescent="0.3">
      <c r="O3681" t="str">
        <f t="shared" si="58"/>
        <v/>
      </c>
    </row>
    <row r="3682" spans="15:15" x14ac:dyDescent="0.3">
      <c r="O3682" t="str">
        <f t="shared" si="58"/>
        <v/>
      </c>
    </row>
    <row r="3683" spans="15:15" x14ac:dyDescent="0.3">
      <c r="O3683" t="str">
        <f t="shared" si="58"/>
        <v/>
      </c>
    </row>
    <row r="3684" spans="15:15" x14ac:dyDescent="0.3">
      <c r="O3684" t="str">
        <f t="shared" si="58"/>
        <v/>
      </c>
    </row>
    <row r="3685" spans="15:15" x14ac:dyDescent="0.3">
      <c r="O3685" t="str">
        <f t="shared" si="58"/>
        <v/>
      </c>
    </row>
    <row r="3686" spans="15:15" x14ac:dyDescent="0.3">
      <c r="O3686" t="str">
        <f t="shared" si="58"/>
        <v/>
      </c>
    </row>
    <row r="3687" spans="15:15" x14ac:dyDescent="0.3">
      <c r="O3687" t="str">
        <f t="shared" si="58"/>
        <v/>
      </c>
    </row>
    <row r="3688" spans="15:15" x14ac:dyDescent="0.3">
      <c r="O3688" t="str">
        <f t="shared" si="58"/>
        <v/>
      </c>
    </row>
    <row r="3689" spans="15:15" x14ac:dyDescent="0.3">
      <c r="O3689" t="str">
        <f t="shared" si="58"/>
        <v/>
      </c>
    </row>
    <row r="3690" spans="15:15" x14ac:dyDescent="0.3">
      <c r="O3690" t="str">
        <f t="shared" si="58"/>
        <v/>
      </c>
    </row>
    <row r="3691" spans="15:15" x14ac:dyDescent="0.3">
      <c r="O3691" t="str">
        <f t="shared" si="58"/>
        <v/>
      </c>
    </row>
    <row r="3692" spans="15:15" x14ac:dyDescent="0.3">
      <c r="O3692" t="str">
        <f t="shared" si="58"/>
        <v/>
      </c>
    </row>
    <row r="3693" spans="15:15" x14ac:dyDescent="0.3">
      <c r="O3693" t="str">
        <f t="shared" si="58"/>
        <v/>
      </c>
    </row>
    <row r="3694" spans="15:15" x14ac:dyDescent="0.3">
      <c r="O3694" t="str">
        <f t="shared" si="58"/>
        <v/>
      </c>
    </row>
    <row r="3695" spans="15:15" x14ac:dyDescent="0.3">
      <c r="O3695" t="str">
        <f t="shared" si="58"/>
        <v/>
      </c>
    </row>
    <row r="3696" spans="15:15" x14ac:dyDescent="0.3">
      <c r="O3696" t="str">
        <f t="shared" si="58"/>
        <v/>
      </c>
    </row>
    <row r="3697" spans="15:15" x14ac:dyDescent="0.3">
      <c r="O3697" t="str">
        <f t="shared" si="58"/>
        <v/>
      </c>
    </row>
    <row r="3698" spans="15:15" x14ac:dyDescent="0.3">
      <c r="O3698" t="str">
        <f t="shared" si="58"/>
        <v/>
      </c>
    </row>
    <row r="3699" spans="15:15" x14ac:dyDescent="0.3">
      <c r="O3699" t="str">
        <f t="shared" si="58"/>
        <v/>
      </c>
    </row>
    <row r="3700" spans="15:15" x14ac:dyDescent="0.3">
      <c r="O3700" t="str">
        <f t="shared" si="58"/>
        <v/>
      </c>
    </row>
    <row r="3701" spans="15:15" x14ac:dyDescent="0.3">
      <c r="O3701" t="str">
        <f t="shared" si="58"/>
        <v/>
      </c>
    </row>
    <row r="3702" spans="15:15" x14ac:dyDescent="0.3">
      <c r="O3702" t="str">
        <f t="shared" si="58"/>
        <v/>
      </c>
    </row>
    <row r="3703" spans="15:15" x14ac:dyDescent="0.3">
      <c r="O3703" t="str">
        <f t="shared" si="58"/>
        <v/>
      </c>
    </row>
    <row r="3704" spans="15:15" x14ac:dyDescent="0.3">
      <c r="O3704" t="str">
        <f t="shared" si="58"/>
        <v/>
      </c>
    </row>
    <row r="3705" spans="15:15" x14ac:dyDescent="0.3">
      <c r="O3705" t="str">
        <f t="shared" si="58"/>
        <v/>
      </c>
    </row>
    <row r="3706" spans="15:15" x14ac:dyDescent="0.3">
      <c r="O3706" t="str">
        <f t="shared" si="58"/>
        <v/>
      </c>
    </row>
    <row r="3707" spans="15:15" x14ac:dyDescent="0.3">
      <c r="O3707" t="str">
        <f t="shared" si="58"/>
        <v/>
      </c>
    </row>
    <row r="3708" spans="15:15" x14ac:dyDescent="0.3">
      <c r="O3708" t="str">
        <f t="shared" si="58"/>
        <v/>
      </c>
    </row>
    <row r="3709" spans="15:15" x14ac:dyDescent="0.3">
      <c r="O3709" t="str">
        <f t="shared" si="58"/>
        <v/>
      </c>
    </row>
    <row r="3710" spans="15:15" x14ac:dyDescent="0.3">
      <c r="O3710" t="str">
        <f t="shared" si="58"/>
        <v/>
      </c>
    </row>
    <row r="3711" spans="15:15" x14ac:dyDescent="0.3">
      <c r="O3711" t="str">
        <f t="shared" si="58"/>
        <v/>
      </c>
    </row>
    <row r="3712" spans="15:15" x14ac:dyDescent="0.3">
      <c r="O3712" t="str">
        <f t="shared" si="58"/>
        <v/>
      </c>
    </row>
    <row r="3713" spans="15:15" x14ac:dyDescent="0.3">
      <c r="O3713" t="str">
        <f t="shared" si="58"/>
        <v/>
      </c>
    </row>
    <row r="3714" spans="15:15" x14ac:dyDescent="0.3">
      <c r="O3714" t="str">
        <f t="shared" si="58"/>
        <v/>
      </c>
    </row>
    <row r="3715" spans="15:15" x14ac:dyDescent="0.3">
      <c r="O3715" t="str">
        <f t="shared" si="58"/>
        <v/>
      </c>
    </row>
    <row r="3716" spans="15:15" x14ac:dyDescent="0.3">
      <c r="O3716" t="str">
        <f t="shared" si="58"/>
        <v/>
      </c>
    </row>
    <row r="3717" spans="15:15" x14ac:dyDescent="0.3">
      <c r="O3717" t="str">
        <f t="shared" si="58"/>
        <v/>
      </c>
    </row>
    <row r="3718" spans="15:15" x14ac:dyDescent="0.3">
      <c r="O3718" t="str">
        <f t="shared" si="58"/>
        <v/>
      </c>
    </row>
    <row r="3719" spans="15:15" x14ac:dyDescent="0.3">
      <c r="O3719" t="str">
        <f t="shared" si="58"/>
        <v/>
      </c>
    </row>
    <row r="3720" spans="15:15" x14ac:dyDescent="0.3">
      <c r="O3720" t="str">
        <f t="shared" si="58"/>
        <v/>
      </c>
    </row>
    <row r="3721" spans="15:15" x14ac:dyDescent="0.3">
      <c r="O3721" t="str">
        <f t="shared" si="58"/>
        <v/>
      </c>
    </row>
    <row r="3722" spans="15:15" x14ac:dyDescent="0.3">
      <c r="O3722" t="str">
        <f t="shared" ref="O3722:O3785" si="59">IF(P3722="","",O3721+1)</f>
        <v/>
      </c>
    </row>
    <row r="3723" spans="15:15" x14ac:dyDescent="0.3">
      <c r="O3723" t="str">
        <f t="shared" si="59"/>
        <v/>
      </c>
    </row>
    <row r="3724" spans="15:15" x14ac:dyDescent="0.3">
      <c r="O3724" t="str">
        <f t="shared" si="59"/>
        <v/>
      </c>
    </row>
    <row r="3725" spans="15:15" x14ac:dyDescent="0.3">
      <c r="O3725" t="str">
        <f t="shared" si="59"/>
        <v/>
      </c>
    </row>
    <row r="3726" spans="15:15" x14ac:dyDescent="0.3">
      <c r="O3726" t="str">
        <f t="shared" si="59"/>
        <v/>
      </c>
    </row>
    <row r="3727" spans="15:15" x14ac:dyDescent="0.3">
      <c r="O3727" t="str">
        <f t="shared" si="59"/>
        <v/>
      </c>
    </row>
    <row r="3728" spans="15:15" x14ac:dyDescent="0.3">
      <c r="O3728" t="str">
        <f t="shared" si="59"/>
        <v/>
      </c>
    </row>
    <row r="3729" spans="15:15" x14ac:dyDescent="0.3">
      <c r="O3729" t="str">
        <f t="shared" si="59"/>
        <v/>
      </c>
    </row>
    <row r="3730" spans="15:15" x14ac:dyDescent="0.3">
      <c r="O3730" t="str">
        <f t="shared" si="59"/>
        <v/>
      </c>
    </row>
    <row r="3731" spans="15:15" x14ac:dyDescent="0.3">
      <c r="O3731" t="str">
        <f t="shared" si="59"/>
        <v/>
      </c>
    </row>
    <row r="3732" spans="15:15" x14ac:dyDescent="0.3">
      <c r="O3732" t="str">
        <f t="shared" si="59"/>
        <v/>
      </c>
    </row>
    <row r="3733" spans="15:15" x14ac:dyDescent="0.3">
      <c r="O3733" t="str">
        <f t="shared" si="59"/>
        <v/>
      </c>
    </row>
    <row r="3734" spans="15:15" x14ac:dyDescent="0.3">
      <c r="O3734" t="str">
        <f t="shared" si="59"/>
        <v/>
      </c>
    </row>
    <row r="3735" spans="15:15" x14ac:dyDescent="0.3">
      <c r="O3735" t="str">
        <f t="shared" si="59"/>
        <v/>
      </c>
    </row>
    <row r="3736" spans="15:15" x14ac:dyDescent="0.3">
      <c r="O3736" t="str">
        <f t="shared" si="59"/>
        <v/>
      </c>
    </row>
    <row r="3737" spans="15:15" x14ac:dyDescent="0.3">
      <c r="O3737" t="str">
        <f t="shared" si="59"/>
        <v/>
      </c>
    </row>
    <row r="3738" spans="15:15" x14ac:dyDescent="0.3">
      <c r="O3738" t="str">
        <f t="shared" si="59"/>
        <v/>
      </c>
    </row>
    <row r="3739" spans="15:15" x14ac:dyDescent="0.3">
      <c r="O3739" t="str">
        <f t="shared" si="59"/>
        <v/>
      </c>
    </row>
    <row r="3740" spans="15:15" x14ac:dyDescent="0.3">
      <c r="O3740" t="str">
        <f t="shared" si="59"/>
        <v/>
      </c>
    </row>
    <row r="3741" spans="15:15" x14ac:dyDescent="0.3">
      <c r="O3741" t="str">
        <f t="shared" si="59"/>
        <v/>
      </c>
    </row>
    <row r="3742" spans="15:15" x14ac:dyDescent="0.3">
      <c r="O3742" t="str">
        <f t="shared" si="59"/>
        <v/>
      </c>
    </row>
    <row r="3743" spans="15:15" x14ac:dyDescent="0.3">
      <c r="O3743" t="str">
        <f t="shared" si="59"/>
        <v/>
      </c>
    </row>
    <row r="3744" spans="15:15" x14ac:dyDescent="0.3">
      <c r="O3744" t="str">
        <f t="shared" si="59"/>
        <v/>
      </c>
    </row>
    <row r="3745" spans="15:15" x14ac:dyDescent="0.3">
      <c r="O3745" t="str">
        <f t="shared" si="59"/>
        <v/>
      </c>
    </row>
    <row r="3746" spans="15:15" x14ac:dyDescent="0.3">
      <c r="O3746" t="str">
        <f t="shared" si="59"/>
        <v/>
      </c>
    </row>
    <row r="3747" spans="15:15" x14ac:dyDescent="0.3">
      <c r="O3747" t="str">
        <f t="shared" si="59"/>
        <v/>
      </c>
    </row>
    <row r="3748" spans="15:15" x14ac:dyDescent="0.3">
      <c r="O3748" t="str">
        <f t="shared" si="59"/>
        <v/>
      </c>
    </row>
    <row r="3749" spans="15:15" x14ac:dyDescent="0.3">
      <c r="O3749" t="str">
        <f t="shared" si="59"/>
        <v/>
      </c>
    </row>
    <row r="3750" spans="15:15" x14ac:dyDescent="0.3">
      <c r="O3750" t="str">
        <f t="shared" si="59"/>
        <v/>
      </c>
    </row>
    <row r="3751" spans="15:15" x14ac:dyDescent="0.3">
      <c r="O3751" t="str">
        <f t="shared" si="59"/>
        <v/>
      </c>
    </row>
    <row r="3752" spans="15:15" x14ac:dyDescent="0.3">
      <c r="O3752" t="str">
        <f t="shared" si="59"/>
        <v/>
      </c>
    </row>
    <row r="3753" spans="15:15" x14ac:dyDescent="0.3">
      <c r="O3753" t="str">
        <f t="shared" si="59"/>
        <v/>
      </c>
    </row>
    <row r="3754" spans="15:15" x14ac:dyDescent="0.3">
      <c r="O3754" t="str">
        <f t="shared" si="59"/>
        <v/>
      </c>
    </row>
    <row r="3755" spans="15:15" x14ac:dyDescent="0.3">
      <c r="O3755" t="str">
        <f t="shared" si="59"/>
        <v/>
      </c>
    </row>
    <row r="3756" spans="15:15" x14ac:dyDescent="0.3">
      <c r="O3756" t="str">
        <f t="shared" si="59"/>
        <v/>
      </c>
    </row>
    <row r="3757" spans="15:15" x14ac:dyDescent="0.3">
      <c r="O3757" t="str">
        <f t="shared" si="59"/>
        <v/>
      </c>
    </row>
    <row r="3758" spans="15:15" x14ac:dyDescent="0.3">
      <c r="O3758" t="str">
        <f t="shared" si="59"/>
        <v/>
      </c>
    </row>
    <row r="3759" spans="15:15" x14ac:dyDescent="0.3">
      <c r="O3759" t="str">
        <f t="shared" si="59"/>
        <v/>
      </c>
    </row>
    <row r="3760" spans="15:15" x14ac:dyDescent="0.3">
      <c r="O3760" t="str">
        <f t="shared" si="59"/>
        <v/>
      </c>
    </row>
    <row r="3761" spans="15:15" x14ac:dyDescent="0.3">
      <c r="O3761" t="str">
        <f t="shared" si="59"/>
        <v/>
      </c>
    </row>
    <row r="3762" spans="15:15" x14ac:dyDescent="0.3">
      <c r="O3762" t="str">
        <f t="shared" si="59"/>
        <v/>
      </c>
    </row>
    <row r="3763" spans="15:15" x14ac:dyDescent="0.3">
      <c r="O3763" t="str">
        <f t="shared" si="59"/>
        <v/>
      </c>
    </row>
    <row r="3764" spans="15:15" x14ac:dyDescent="0.3">
      <c r="O3764" t="str">
        <f t="shared" si="59"/>
        <v/>
      </c>
    </row>
    <row r="3765" spans="15:15" x14ac:dyDescent="0.3">
      <c r="O3765" t="str">
        <f t="shared" si="59"/>
        <v/>
      </c>
    </row>
    <row r="3766" spans="15:15" x14ac:dyDescent="0.3">
      <c r="O3766" t="str">
        <f t="shared" si="59"/>
        <v/>
      </c>
    </row>
    <row r="3767" spans="15:15" x14ac:dyDescent="0.3">
      <c r="O3767" t="str">
        <f t="shared" si="59"/>
        <v/>
      </c>
    </row>
    <row r="3768" spans="15:15" x14ac:dyDescent="0.3">
      <c r="O3768" t="str">
        <f t="shared" si="59"/>
        <v/>
      </c>
    </row>
    <row r="3769" spans="15:15" x14ac:dyDescent="0.3">
      <c r="O3769" t="str">
        <f t="shared" si="59"/>
        <v/>
      </c>
    </row>
    <row r="3770" spans="15:15" x14ac:dyDescent="0.3">
      <c r="O3770" t="str">
        <f t="shared" si="59"/>
        <v/>
      </c>
    </row>
    <row r="3771" spans="15:15" x14ac:dyDescent="0.3">
      <c r="O3771" t="str">
        <f t="shared" si="59"/>
        <v/>
      </c>
    </row>
    <row r="3772" spans="15:15" x14ac:dyDescent="0.3">
      <c r="O3772" t="str">
        <f t="shared" si="59"/>
        <v/>
      </c>
    </row>
    <row r="3773" spans="15:15" x14ac:dyDescent="0.3">
      <c r="O3773" t="str">
        <f t="shared" si="59"/>
        <v/>
      </c>
    </row>
    <row r="3774" spans="15:15" x14ac:dyDescent="0.3">
      <c r="O3774" t="str">
        <f t="shared" si="59"/>
        <v/>
      </c>
    </row>
    <row r="3775" spans="15:15" x14ac:dyDescent="0.3">
      <c r="O3775" t="str">
        <f t="shared" si="59"/>
        <v/>
      </c>
    </row>
    <row r="3776" spans="15:15" x14ac:dyDescent="0.3">
      <c r="O3776" t="str">
        <f t="shared" si="59"/>
        <v/>
      </c>
    </row>
    <row r="3777" spans="15:15" x14ac:dyDescent="0.3">
      <c r="O3777" t="str">
        <f t="shared" si="59"/>
        <v/>
      </c>
    </row>
    <row r="3778" spans="15:15" x14ac:dyDescent="0.3">
      <c r="O3778" t="str">
        <f t="shared" si="59"/>
        <v/>
      </c>
    </row>
    <row r="3779" spans="15:15" x14ac:dyDescent="0.3">
      <c r="O3779" t="str">
        <f t="shared" si="59"/>
        <v/>
      </c>
    </row>
    <row r="3780" spans="15:15" x14ac:dyDescent="0.3">
      <c r="O3780" t="str">
        <f t="shared" si="59"/>
        <v/>
      </c>
    </row>
    <row r="3781" spans="15:15" x14ac:dyDescent="0.3">
      <c r="O3781" t="str">
        <f t="shared" si="59"/>
        <v/>
      </c>
    </row>
    <row r="3782" spans="15:15" x14ac:dyDescent="0.3">
      <c r="O3782" t="str">
        <f t="shared" si="59"/>
        <v/>
      </c>
    </row>
    <row r="3783" spans="15:15" x14ac:dyDescent="0.3">
      <c r="O3783" t="str">
        <f t="shared" si="59"/>
        <v/>
      </c>
    </row>
    <row r="3784" spans="15:15" x14ac:dyDescent="0.3">
      <c r="O3784" t="str">
        <f t="shared" si="59"/>
        <v/>
      </c>
    </row>
    <row r="3785" spans="15:15" x14ac:dyDescent="0.3">
      <c r="O3785" t="str">
        <f t="shared" si="59"/>
        <v/>
      </c>
    </row>
    <row r="3786" spans="15:15" x14ac:dyDescent="0.3">
      <c r="O3786" t="str">
        <f t="shared" ref="O3786:O3849" si="60">IF(P3786="","",O3785+1)</f>
        <v/>
      </c>
    </row>
    <row r="3787" spans="15:15" x14ac:dyDescent="0.3">
      <c r="O3787" t="str">
        <f t="shared" si="60"/>
        <v/>
      </c>
    </row>
    <row r="3788" spans="15:15" x14ac:dyDescent="0.3">
      <c r="O3788" t="str">
        <f t="shared" si="60"/>
        <v/>
      </c>
    </row>
    <row r="3789" spans="15:15" x14ac:dyDescent="0.3">
      <c r="O3789" t="str">
        <f t="shared" si="60"/>
        <v/>
      </c>
    </row>
    <row r="3790" spans="15:15" x14ac:dyDescent="0.3">
      <c r="O3790" t="str">
        <f t="shared" si="60"/>
        <v/>
      </c>
    </row>
    <row r="3791" spans="15:15" x14ac:dyDescent="0.3">
      <c r="O3791" t="str">
        <f t="shared" si="60"/>
        <v/>
      </c>
    </row>
    <row r="3792" spans="15:15" x14ac:dyDescent="0.3">
      <c r="O3792" t="str">
        <f t="shared" si="60"/>
        <v/>
      </c>
    </row>
    <row r="3793" spans="15:15" x14ac:dyDescent="0.3">
      <c r="O3793" t="str">
        <f t="shared" si="60"/>
        <v/>
      </c>
    </row>
    <row r="3794" spans="15:15" x14ac:dyDescent="0.3">
      <c r="O3794" t="str">
        <f t="shared" si="60"/>
        <v/>
      </c>
    </row>
    <row r="3795" spans="15:15" x14ac:dyDescent="0.3">
      <c r="O3795" t="str">
        <f t="shared" si="60"/>
        <v/>
      </c>
    </row>
    <row r="3796" spans="15:15" x14ac:dyDescent="0.3">
      <c r="O3796" t="str">
        <f t="shared" si="60"/>
        <v/>
      </c>
    </row>
    <row r="3797" spans="15:15" x14ac:dyDescent="0.3">
      <c r="O3797" t="str">
        <f t="shared" si="60"/>
        <v/>
      </c>
    </row>
    <row r="3798" spans="15:15" x14ac:dyDescent="0.3">
      <c r="O3798" t="str">
        <f t="shared" si="60"/>
        <v/>
      </c>
    </row>
    <row r="3799" spans="15:15" x14ac:dyDescent="0.3">
      <c r="O3799" t="str">
        <f t="shared" si="60"/>
        <v/>
      </c>
    </row>
    <row r="3800" spans="15:15" x14ac:dyDescent="0.3">
      <c r="O3800" t="str">
        <f t="shared" si="60"/>
        <v/>
      </c>
    </row>
    <row r="3801" spans="15:15" x14ac:dyDescent="0.3">
      <c r="O3801" t="str">
        <f t="shared" si="60"/>
        <v/>
      </c>
    </row>
    <row r="3802" spans="15:15" x14ac:dyDescent="0.3">
      <c r="O3802" t="str">
        <f t="shared" si="60"/>
        <v/>
      </c>
    </row>
    <row r="3803" spans="15:15" x14ac:dyDescent="0.3">
      <c r="O3803" t="str">
        <f t="shared" si="60"/>
        <v/>
      </c>
    </row>
    <row r="3804" spans="15:15" x14ac:dyDescent="0.3">
      <c r="O3804" t="str">
        <f t="shared" si="60"/>
        <v/>
      </c>
    </row>
    <row r="3805" spans="15:15" x14ac:dyDescent="0.3">
      <c r="O3805" t="str">
        <f t="shared" si="60"/>
        <v/>
      </c>
    </row>
    <row r="3806" spans="15:15" x14ac:dyDescent="0.3">
      <c r="O3806" t="str">
        <f t="shared" si="60"/>
        <v/>
      </c>
    </row>
    <row r="3807" spans="15:15" x14ac:dyDescent="0.3">
      <c r="O3807" t="str">
        <f t="shared" si="60"/>
        <v/>
      </c>
    </row>
    <row r="3808" spans="15:15" x14ac:dyDescent="0.3">
      <c r="O3808" t="str">
        <f t="shared" si="60"/>
        <v/>
      </c>
    </row>
    <row r="3809" spans="15:15" x14ac:dyDescent="0.3">
      <c r="O3809" t="str">
        <f t="shared" si="60"/>
        <v/>
      </c>
    </row>
    <row r="3810" spans="15:15" x14ac:dyDescent="0.3">
      <c r="O3810" t="str">
        <f t="shared" si="60"/>
        <v/>
      </c>
    </row>
    <row r="3811" spans="15:15" x14ac:dyDescent="0.3">
      <c r="O3811" t="str">
        <f t="shared" si="60"/>
        <v/>
      </c>
    </row>
    <row r="3812" spans="15:15" x14ac:dyDescent="0.3">
      <c r="O3812" t="str">
        <f t="shared" si="60"/>
        <v/>
      </c>
    </row>
    <row r="3813" spans="15:15" x14ac:dyDescent="0.3">
      <c r="O3813" t="str">
        <f t="shared" si="60"/>
        <v/>
      </c>
    </row>
    <row r="3814" spans="15:15" x14ac:dyDescent="0.3">
      <c r="O3814" t="str">
        <f t="shared" si="60"/>
        <v/>
      </c>
    </row>
    <row r="3815" spans="15:15" x14ac:dyDescent="0.3">
      <c r="O3815" t="str">
        <f t="shared" si="60"/>
        <v/>
      </c>
    </row>
    <row r="3816" spans="15:15" x14ac:dyDescent="0.3">
      <c r="O3816" t="str">
        <f t="shared" si="60"/>
        <v/>
      </c>
    </row>
    <row r="3817" spans="15:15" x14ac:dyDescent="0.3">
      <c r="O3817" t="str">
        <f t="shared" si="60"/>
        <v/>
      </c>
    </row>
    <row r="3818" spans="15:15" x14ac:dyDescent="0.3">
      <c r="O3818" t="str">
        <f t="shared" si="60"/>
        <v/>
      </c>
    </row>
    <row r="3819" spans="15:15" x14ac:dyDescent="0.3">
      <c r="O3819" t="str">
        <f t="shared" si="60"/>
        <v/>
      </c>
    </row>
    <row r="3820" spans="15:15" x14ac:dyDescent="0.3">
      <c r="O3820" t="str">
        <f t="shared" si="60"/>
        <v/>
      </c>
    </row>
    <row r="3821" spans="15:15" x14ac:dyDescent="0.3">
      <c r="O3821" t="str">
        <f t="shared" si="60"/>
        <v/>
      </c>
    </row>
    <row r="3822" spans="15:15" x14ac:dyDescent="0.3">
      <c r="O3822" t="str">
        <f t="shared" si="60"/>
        <v/>
      </c>
    </row>
    <row r="3823" spans="15:15" x14ac:dyDescent="0.3">
      <c r="O3823" t="str">
        <f t="shared" si="60"/>
        <v/>
      </c>
    </row>
    <row r="3824" spans="15:15" x14ac:dyDescent="0.3">
      <c r="O3824" t="str">
        <f t="shared" si="60"/>
        <v/>
      </c>
    </row>
    <row r="3825" spans="15:15" x14ac:dyDescent="0.3">
      <c r="O3825" t="str">
        <f t="shared" si="60"/>
        <v/>
      </c>
    </row>
    <row r="3826" spans="15:15" x14ac:dyDescent="0.3">
      <c r="O3826" t="str">
        <f t="shared" si="60"/>
        <v/>
      </c>
    </row>
    <row r="3827" spans="15:15" x14ac:dyDescent="0.3">
      <c r="O3827" t="str">
        <f t="shared" si="60"/>
        <v/>
      </c>
    </row>
    <row r="3828" spans="15:15" x14ac:dyDescent="0.3">
      <c r="O3828" t="str">
        <f t="shared" si="60"/>
        <v/>
      </c>
    </row>
    <row r="3829" spans="15:15" x14ac:dyDescent="0.3">
      <c r="O3829" t="str">
        <f t="shared" si="60"/>
        <v/>
      </c>
    </row>
    <row r="3830" spans="15:15" x14ac:dyDescent="0.3">
      <c r="O3830" t="str">
        <f t="shared" si="60"/>
        <v/>
      </c>
    </row>
    <row r="3831" spans="15:15" x14ac:dyDescent="0.3">
      <c r="O3831" t="str">
        <f t="shared" si="60"/>
        <v/>
      </c>
    </row>
    <row r="3832" spans="15:15" x14ac:dyDescent="0.3">
      <c r="O3832" t="str">
        <f t="shared" si="60"/>
        <v/>
      </c>
    </row>
    <row r="3833" spans="15:15" x14ac:dyDescent="0.3">
      <c r="O3833" t="str">
        <f t="shared" si="60"/>
        <v/>
      </c>
    </row>
    <row r="3834" spans="15:15" x14ac:dyDescent="0.3">
      <c r="O3834" t="str">
        <f t="shared" si="60"/>
        <v/>
      </c>
    </row>
    <row r="3835" spans="15:15" x14ac:dyDescent="0.3">
      <c r="O3835" t="str">
        <f t="shared" si="60"/>
        <v/>
      </c>
    </row>
    <row r="3836" spans="15:15" x14ac:dyDescent="0.3">
      <c r="O3836" t="str">
        <f t="shared" si="60"/>
        <v/>
      </c>
    </row>
    <row r="3837" spans="15:15" x14ac:dyDescent="0.3">
      <c r="O3837" t="str">
        <f t="shared" si="60"/>
        <v/>
      </c>
    </row>
    <row r="3838" spans="15:15" x14ac:dyDescent="0.3">
      <c r="O3838" t="str">
        <f t="shared" si="60"/>
        <v/>
      </c>
    </row>
    <row r="3839" spans="15:15" x14ac:dyDescent="0.3">
      <c r="O3839" t="str">
        <f t="shared" si="60"/>
        <v/>
      </c>
    </row>
    <row r="3840" spans="15:15" x14ac:dyDescent="0.3">
      <c r="O3840" t="str">
        <f t="shared" si="60"/>
        <v/>
      </c>
    </row>
    <row r="3841" spans="15:15" x14ac:dyDescent="0.3">
      <c r="O3841" t="str">
        <f t="shared" si="60"/>
        <v/>
      </c>
    </row>
    <row r="3842" spans="15:15" x14ac:dyDescent="0.3">
      <c r="O3842" t="str">
        <f t="shared" si="60"/>
        <v/>
      </c>
    </row>
    <row r="3843" spans="15:15" x14ac:dyDescent="0.3">
      <c r="O3843" t="str">
        <f t="shared" si="60"/>
        <v/>
      </c>
    </row>
    <row r="3844" spans="15:15" x14ac:dyDescent="0.3">
      <c r="O3844" t="str">
        <f t="shared" si="60"/>
        <v/>
      </c>
    </row>
    <row r="3845" spans="15:15" x14ac:dyDescent="0.3">
      <c r="O3845" t="str">
        <f t="shared" si="60"/>
        <v/>
      </c>
    </row>
    <row r="3846" spans="15:15" x14ac:dyDescent="0.3">
      <c r="O3846" t="str">
        <f t="shared" si="60"/>
        <v/>
      </c>
    </row>
    <row r="3847" spans="15:15" x14ac:dyDescent="0.3">
      <c r="O3847" t="str">
        <f t="shared" si="60"/>
        <v/>
      </c>
    </row>
    <row r="3848" spans="15:15" x14ac:dyDescent="0.3">
      <c r="O3848" t="str">
        <f t="shared" si="60"/>
        <v/>
      </c>
    </row>
    <row r="3849" spans="15:15" x14ac:dyDescent="0.3">
      <c r="O3849" t="str">
        <f t="shared" si="60"/>
        <v/>
      </c>
    </row>
    <row r="3850" spans="15:15" x14ac:dyDescent="0.3">
      <c r="O3850" t="str">
        <f t="shared" ref="O3850:O3913" si="61">IF(P3850="","",O3849+1)</f>
        <v/>
      </c>
    </row>
    <row r="3851" spans="15:15" x14ac:dyDescent="0.3">
      <c r="O3851" t="str">
        <f t="shared" si="61"/>
        <v/>
      </c>
    </row>
    <row r="3852" spans="15:15" x14ac:dyDescent="0.3">
      <c r="O3852" t="str">
        <f t="shared" si="61"/>
        <v/>
      </c>
    </row>
    <row r="3853" spans="15:15" x14ac:dyDescent="0.3">
      <c r="O3853" t="str">
        <f t="shared" si="61"/>
        <v/>
      </c>
    </row>
    <row r="3854" spans="15:15" x14ac:dyDescent="0.3">
      <c r="O3854" t="str">
        <f t="shared" si="61"/>
        <v/>
      </c>
    </row>
    <row r="3855" spans="15:15" x14ac:dyDescent="0.3">
      <c r="O3855" t="str">
        <f t="shared" si="61"/>
        <v/>
      </c>
    </row>
    <row r="3856" spans="15:15" x14ac:dyDescent="0.3">
      <c r="O3856" t="str">
        <f t="shared" si="61"/>
        <v/>
      </c>
    </row>
    <row r="3857" spans="15:15" x14ac:dyDescent="0.3">
      <c r="O3857" t="str">
        <f t="shared" si="61"/>
        <v/>
      </c>
    </row>
    <row r="3858" spans="15:15" x14ac:dyDescent="0.3">
      <c r="O3858" t="str">
        <f t="shared" si="61"/>
        <v/>
      </c>
    </row>
    <row r="3859" spans="15:15" x14ac:dyDescent="0.3">
      <c r="O3859" t="str">
        <f t="shared" si="61"/>
        <v/>
      </c>
    </row>
    <row r="3860" spans="15:15" x14ac:dyDescent="0.3">
      <c r="O3860" t="str">
        <f t="shared" si="61"/>
        <v/>
      </c>
    </row>
    <row r="3861" spans="15:15" x14ac:dyDescent="0.3">
      <c r="O3861" t="str">
        <f t="shared" si="61"/>
        <v/>
      </c>
    </row>
    <row r="3862" spans="15:15" x14ac:dyDescent="0.3">
      <c r="O3862" t="str">
        <f t="shared" si="61"/>
        <v/>
      </c>
    </row>
    <row r="3863" spans="15:15" x14ac:dyDescent="0.3">
      <c r="O3863" t="str">
        <f t="shared" si="61"/>
        <v/>
      </c>
    </row>
    <row r="3864" spans="15:15" x14ac:dyDescent="0.3">
      <c r="O3864" t="str">
        <f t="shared" si="61"/>
        <v/>
      </c>
    </row>
    <row r="3865" spans="15:15" x14ac:dyDescent="0.3">
      <c r="O3865" t="str">
        <f t="shared" si="61"/>
        <v/>
      </c>
    </row>
    <row r="3866" spans="15:15" x14ac:dyDescent="0.3">
      <c r="O3866" t="str">
        <f t="shared" si="61"/>
        <v/>
      </c>
    </row>
    <row r="3867" spans="15:15" x14ac:dyDescent="0.3">
      <c r="O3867" t="str">
        <f t="shared" si="61"/>
        <v/>
      </c>
    </row>
    <row r="3868" spans="15:15" x14ac:dyDescent="0.3">
      <c r="O3868" t="str">
        <f t="shared" si="61"/>
        <v/>
      </c>
    </row>
    <row r="3869" spans="15:15" x14ac:dyDescent="0.3">
      <c r="O3869" t="str">
        <f t="shared" si="61"/>
        <v/>
      </c>
    </row>
    <row r="3870" spans="15:15" x14ac:dyDescent="0.3">
      <c r="O3870" t="str">
        <f t="shared" si="61"/>
        <v/>
      </c>
    </row>
    <row r="3871" spans="15:15" x14ac:dyDescent="0.3">
      <c r="O3871" t="str">
        <f t="shared" si="61"/>
        <v/>
      </c>
    </row>
    <row r="3872" spans="15:15" x14ac:dyDescent="0.3">
      <c r="O3872" t="str">
        <f t="shared" si="61"/>
        <v/>
      </c>
    </row>
    <row r="3873" spans="15:15" x14ac:dyDescent="0.3">
      <c r="O3873" t="str">
        <f t="shared" si="61"/>
        <v/>
      </c>
    </row>
    <row r="3874" spans="15:15" x14ac:dyDescent="0.3">
      <c r="O3874" t="str">
        <f t="shared" si="61"/>
        <v/>
      </c>
    </row>
    <row r="3875" spans="15:15" x14ac:dyDescent="0.3">
      <c r="O3875" t="str">
        <f t="shared" si="61"/>
        <v/>
      </c>
    </row>
    <row r="3876" spans="15:15" x14ac:dyDescent="0.3">
      <c r="O3876" t="str">
        <f t="shared" si="61"/>
        <v/>
      </c>
    </row>
    <row r="3877" spans="15:15" x14ac:dyDescent="0.3">
      <c r="O3877" t="str">
        <f t="shared" si="61"/>
        <v/>
      </c>
    </row>
    <row r="3878" spans="15:15" x14ac:dyDescent="0.3">
      <c r="O3878" t="str">
        <f t="shared" si="61"/>
        <v/>
      </c>
    </row>
    <row r="3879" spans="15:15" x14ac:dyDescent="0.3">
      <c r="O3879" t="str">
        <f t="shared" si="61"/>
        <v/>
      </c>
    </row>
    <row r="3880" spans="15:15" x14ac:dyDescent="0.3">
      <c r="O3880" t="str">
        <f t="shared" si="61"/>
        <v/>
      </c>
    </row>
    <row r="3881" spans="15:15" x14ac:dyDescent="0.3">
      <c r="O3881" t="str">
        <f t="shared" si="61"/>
        <v/>
      </c>
    </row>
    <row r="3882" spans="15:15" x14ac:dyDescent="0.3">
      <c r="O3882" t="str">
        <f t="shared" si="61"/>
        <v/>
      </c>
    </row>
    <row r="3883" spans="15:15" x14ac:dyDescent="0.3">
      <c r="O3883" t="str">
        <f t="shared" si="61"/>
        <v/>
      </c>
    </row>
    <row r="3884" spans="15:15" x14ac:dyDescent="0.3">
      <c r="O3884" t="str">
        <f t="shared" si="61"/>
        <v/>
      </c>
    </row>
    <row r="3885" spans="15:15" x14ac:dyDescent="0.3">
      <c r="O3885" t="str">
        <f t="shared" si="61"/>
        <v/>
      </c>
    </row>
    <row r="3886" spans="15:15" x14ac:dyDescent="0.3">
      <c r="O3886" t="str">
        <f t="shared" si="61"/>
        <v/>
      </c>
    </row>
    <row r="3887" spans="15:15" x14ac:dyDescent="0.3">
      <c r="O3887" t="str">
        <f t="shared" si="61"/>
        <v/>
      </c>
    </row>
    <row r="3888" spans="15:15" x14ac:dyDescent="0.3">
      <c r="O3888" t="str">
        <f t="shared" si="61"/>
        <v/>
      </c>
    </row>
    <row r="3889" spans="15:15" x14ac:dyDescent="0.3">
      <c r="O3889" t="str">
        <f t="shared" si="61"/>
        <v/>
      </c>
    </row>
    <row r="3890" spans="15:15" x14ac:dyDescent="0.3">
      <c r="O3890" t="str">
        <f t="shared" si="61"/>
        <v/>
      </c>
    </row>
    <row r="3891" spans="15:15" x14ac:dyDescent="0.3">
      <c r="O3891" t="str">
        <f t="shared" si="61"/>
        <v/>
      </c>
    </row>
    <row r="3892" spans="15:15" x14ac:dyDescent="0.3">
      <c r="O3892" t="str">
        <f t="shared" si="61"/>
        <v/>
      </c>
    </row>
    <row r="3893" spans="15:15" x14ac:dyDescent="0.3">
      <c r="O3893" t="str">
        <f t="shared" si="61"/>
        <v/>
      </c>
    </row>
    <row r="3894" spans="15:15" x14ac:dyDescent="0.3">
      <c r="O3894" t="str">
        <f t="shared" si="61"/>
        <v/>
      </c>
    </row>
    <row r="3895" spans="15:15" x14ac:dyDescent="0.3">
      <c r="O3895" t="str">
        <f t="shared" si="61"/>
        <v/>
      </c>
    </row>
    <row r="3896" spans="15:15" x14ac:dyDescent="0.3">
      <c r="O3896" t="str">
        <f t="shared" si="61"/>
        <v/>
      </c>
    </row>
    <row r="3897" spans="15:15" x14ac:dyDescent="0.3">
      <c r="O3897" t="str">
        <f t="shared" si="61"/>
        <v/>
      </c>
    </row>
    <row r="3898" spans="15:15" x14ac:dyDescent="0.3">
      <c r="O3898" t="str">
        <f t="shared" si="61"/>
        <v/>
      </c>
    </row>
    <row r="3899" spans="15:15" x14ac:dyDescent="0.3">
      <c r="O3899" t="str">
        <f t="shared" si="61"/>
        <v/>
      </c>
    </row>
    <row r="3900" spans="15:15" x14ac:dyDescent="0.3">
      <c r="O3900" t="str">
        <f t="shared" si="61"/>
        <v/>
      </c>
    </row>
    <row r="3901" spans="15:15" x14ac:dyDescent="0.3">
      <c r="O3901" t="str">
        <f t="shared" si="61"/>
        <v/>
      </c>
    </row>
    <row r="3902" spans="15:15" x14ac:dyDescent="0.3">
      <c r="O3902" t="str">
        <f t="shared" si="61"/>
        <v/>
      </c>
    </row>
    <row r="3903" spans="15:15" x14ac:dyDescent="0.3">
      <c r="O3903" t="str">
        <f t="shared" si="61"/>
        <v/>
      </c>
    </row>
    <row r="3904" spans="15:15" x14ac:dyDescent="0.3">
      <c r="O3904" t="str">
        <f t="shared" si="61"/>
        <v/>
      </c>
    </row>
    <row r="3905" spans="15:15" x14ac:dyDescent="0.3">
      <c r="O3905" t="str">
        <f t="shared" si="61"/>
        <v/>
      </c>
    </row>
    <row r="3906" spans="15:15" x14ac:dyDescent="0.3">
      <c r="O3906" t="str">
        <f t="shared" si="61"/>
        <v/>
      </c>
    </row>
    <row r="3907" spans="15:15" x14ac:dyDescent="0.3">
      <c r="O3907" t="str">
        <f t="shared" si="61"/>
        <v/>
      </c>
    </row>
    <row r="3908" spans="15:15" x14ac:dyDescent="0.3">
      <c r="O3908" t="str">
        <f t="shared" si="61"/>
        <v/>
      </c>
    </row>
    <row r="3909" spans="15:15" x14ac:dyDescent="0.3">
      <c r="O3909" t="str">
        <f t="shared" si="61"/>
        <v/>
      </c>
    </row>
    <row r="3910" spans="15:15" x14ac:dyDescent="0.3">
      <c r="O3910" t="str">
        <f t="shared" si="61"/>
        <v/>
      </c>
    </row>
    <row r="3911" spans="15:15" x14ac:dyDescent="0.3">
      <c r="O3911" t="str">
        <f t="shared" si="61"/>
        <v/>
      </c>
    </row>
    <row r="3912" spans="15:15" x14ac:dyDescent="0.3">
      <c r="O3912" t="str">
        <f t="shared" si="61"/>
        <v/>
      </c>
    </row>
    <row r="3913" spans="15:15" x14ac:dyDescent="0.3">
      <c r="O3913" t="str">
        <f t="shared" si="61"/>
        <v/>
      </c>
    </row>
    <row r="3914" spans="15:15" x14ac:dyDescent="0.3">
      <c r="O3914" t="str">
        <f t="shared" ref="O3914:O3977" si="62">IF(P3914="","",O3913+1)</f>
        <v/>
      </c>
    </row>
    <row r="3915" spans="15:15" x14ac:dyDescent="0.3">
      <c r="O3915" t="str">
        <f t="shared" si="62"/>
        <v/>
      </c>
    </row>
    <row r="3916" spans="15:15" x14ac:dyDescent="0.3">
      <c r="O3916" t="str">
        <f t="shared" si="62"/>
        <v/>
      </c>
    </row>
    <row r="3917" spans="15:15" x14ac:dyDescent="0.3">
      <c r="O3917" t="str">
        <f t="shared" si="62"/>
        <v/>
      </c>
    </row>
    <row r="3918" spans="15:15" x14ac:dyDescent="0.3">
      <c r="O3918" t="str">
        <f t="shared" si="62"/>
        <v/>
      </c>
    </row>
    <row r="3919" spans="15:15" x14ac:dyDescent="0.3">
      <c r="O3919" t="str">
        <f t="shared" si="62"/>
        <v/>
      </c>
    </row>
    <row r="3920" spans="15:15" x14ac:dyDescent="0.3">
      <c r="O3920" t="str">
        <f t="shared" si="62"/>
        <v/>
      </c>
    </row>
    <row r="3921" spans="15:15" x14ac:dyDescent="0.3">
      <c r="O3921" t="str">
        <f t="shared" si="62"/>
        <v/>
      </c>
    </row>
    <row r="3922" spans="15:15" x14ac:dyDescent="0.3">
      <c r="O3922" t="str">
        <f t="shared" si="62"/>
        <v/>
      </c>
    </row>
    <row r="3923" spans="15:15" x14ac:dyDescent="0.3">
      <c r="O3923" t="str">
        <f t="shared" si="62"/>
        <v/>
      </c>
    </row>
    <row r="3924" spans="15:15" x14ac:dyDescent="0.3">
      <c r="O3924" t="str">
        <f t="shared" si="62"/>
        <v/>
      </c>
    </row>
    <row r="3925" spans="15:15" x14ac:dyDescent="0.3">
      <c r="O3925" t="str">
        <f t="shared" si="62"/>
        <v/>
      </c>
    </row>
    <row r="3926" spans="15:15" x14ac:dyDescent="0.3">
      <c r="O3926" t="str">
        <f t="shared" si="62"/>
        <v/>
      </c>
    </row>
    <row r="3927" spans="15:15" x14ac:dyDescent="0.3">
      <c r="O3927" t="str">
        <f t="shared" si="62"/>
        <v/>
      </c>
    </row>
    <row r="3928" spans="15:15" x14ac:dyDescent="0.3">
      <c r="O3928" t="str">
        <f t="shared" si="62"/>
        <v/>
      </c>
    </row>
    <row r="3929" spans="15:15" x14ac:dyDescent="0.3">
      <c r="O3929" t="str">
        <f t="shared" si="62"/>
        <v/>
      </c>
    </row>
    <row r="3930" spans="15:15" x14ac:dyDescent="0.3">
      <c r="O3930" t="str">
        <f t="shared" si="62"/>
        <v/>
      </c>
    </row>
    <row r="3931" spans="15:15" x14ac:dyDescent="0.3">
      <c r="O3931" t="str">
        <f t="shared" si="62"/>
        <v/>
      </c>
    </row>
    <row r="3932" spans="15:15" x14ac:dyDescent="0.3">
      <c r="O3932" t="str">
        <f t="shared" si="62"/>
        <v/>
      </c>
    </row>
    <row r="3933" spans="15:15" x14ac:dyDescent="0.3">
      <c r="O3933" t="str">
        <f t="shared" si="62"/>
        <v/>
      </c>
    </row>
    <row r="3934" spans="15:15" x14ac:dyDescent="0.3">
      <c r="O3934" t="str">
        <f t="shared" si="62"/>
        <v/>
      </c>
    </row>
    <row r="3935" spans="15:15" x14ac:dyDescent="0.3">
      <c r="O3935" t="str">
        <f t="shared" si="62"/>
        <v/>
      </c>
    </row>
    <row r="3936" spans="15:15" x14ac:dyDescent="0.3">
      <c r="O3936" t="str">
        <f t="shared" si="62"/>
        <v/>
      </c>
    </row>
    <row r="3937" spans="15:15" x14ac:dyDescent="0.3">
      <c r="O3937" t="str">
        <f t="shared" si="62"/>
        <v/>
      </c>
    </row>
    <row r="3938" spans="15:15" x14ac:dyDescent="0.3">
      <c r="O3938" t="str">
        <f t="shared" si="62"/>
        <v/>
      </c>
    </row>
    <row r="3939" spans="15:15" x14ac:dyDescent="0.3">
      <c r="O3939" t="str">
        <f t="shared" si="62"/>
        <v/>
      </c>
    </row>
    <row r="3940" spans="15:15" x14ac:dyDescent="0.3">
      <c r="O3940" t="str">
        <f t="shared" si="62"/>
        <v/>
      </c>
    </row>
    <row r="3941" spans="15:15" x14ac:dyDescent="0.3">
      <c r="O3941" t="str">
        <f t="shared" si="62"/>
        <v/>
      </c>
    </row>
    <row r="3942" spans="15:15" x14ac:dyDescent="0.3">
      <c r="O3942" t="str">
        <f t="shared" si="62"/>
        <v/>
      </c>
    </row>
    <row r="3943" spans="15:15" x14ac:dyDescent="0.3">
      <c r="O3943" t="str">
        <f t="shared" si="62"/>
        <v/>
      </c>
    </row>
    <row r="3944" spans="15:15" x14ac:dyDescent="0.3">
      <c r="O3944" t="str">
        <f t="shared" si="62"/>
        <v/>
      </c>
    </row>
    <row r="3945" spans="15:15" x14ac:dyDescent="0.3">
      <c r="O3945" t="str">
        <f t="shared" si="62"/>
        <v/>
      </c>
    </row>
    <row r="3946" spans="15:15" x14ac:dyDescent="0.3">
      <c r="O3946" t="str">
        <f t="shared" si="62"/>
        <v/>
      </c>
    </row>
    <row r="3947" spans="15:15" x14ac:dyDescent="0.3">
      <c r="O3947" t="str">
        <f t="shared" si="62"/>
        <v/>
      </c>
    </row>
    <row r="3948" spans="15:15" x14ac:dyDescent="0.3">
      <c r="O3948" t="str">
        <f t="shared" si="62"/>
        <v/>
      </c>
    </row>
    <row r="3949" spans="15:15" x14ac:dyDescent="0.3">
      <c r="O3949" t="str">
        <f t="shared" si="62"/>
        <v/>
      </c>
    </row>
    <row r="3950" spans="15:15" x14ac:dyDescent="0.3">
      <c r="O3950" t="str">
        <f t="shared" si="62"/>
        <v/>
      </c>
    </row>
    <row r="3951" spans="15:15" x14ac:dyDescent="0.3">
      <c r="O3951" t="str">
        <f t="shared" si="62"/>
        <v/>
      </c>
    </row>
    <row r="3952" spans="15:15" x14ac:dyDescent="0.3">
      <c r="O3952" t="str">
        <f t="shared" si="62"/>
        <v/>
      </c>
    </row>
    <row r="3953" spans="15:15" x14ac:dyDescent="0.3">
      <c r="O3953" t="str">
        <f t="shared" si="62"/>
        <v/>
      </c>
    </row>
    <row r="3954" spans="15:15" x14ac:dyDescent="0.3">
      <c r="O3954" t="str">
        <f t="shared" si="62"/>
        <v/>
      </c>
    </row>
    <row r="3955" spans="15:15" x14ac:dyDescent="0.3">
      <c r="O3955" t="str">
        <f t="shared" si="62"/>
        <v/>
      </c>
    </row>
    <row r="3956" spans="15:15" x14ac:dyDescent="0.3">
      <c r="O3956" t="str">
        <f t="shared" si="62"/>
        <v/>
      </c>
    </row>
    <row r="3957" spans="15:15" x14ac:dyDescent="0.3">
      <c r="O3957" t="str">
        <f t="shared" si="62"/>
        <v/>
      </c>
    </row>
    <row r="3958" spans="15:15" x14ac:dyDescent="0.3">
      <c r="O3958" t="str">
        <f t="shared" si="62"/>
        <v/>
      </c>
    </row>
    <row r="3959" spans="15:15" x14ac:dyDescent="0.3">
      <c r="O3959" t="str">
        <f t="shared" si="62"/>
        <v/>
      </c>
    </row>
    <row r="3960" spans="15:15" x14ac:dyDescent="0.3">
      <c r="O3960" t="str">
        <f t="shared" si="62"/>
        <v/>
      </c>
    </row>
    <row r="3961" spans="15:15" x14ac:dyDescent="0.3">
      <c r="O3961" t="str">
        <f t="shared" si="62"/>
        <v/>
      </c>
    </row>
    <row r="3962" spans="15:15" x14ac:dyDescent="0.3">
      <c r="O3962" t="str">
        <f t="shared" si="62"/>
        <v/>
      </c>
    </row>
    <row r="3963" spans="15:15" x14ac:dyDescent="0.3">
      <c r="O3963" t="str">
        <f t="shared" si="62"/>
        <v/>
      </c>
    </row>
    <row r="3964" spans="15:15" x14ac:dyDescent="0.3">
      <c r="O3964" t="str">
        <f t="shared" si="62"/>
        <v/>
      </c>
    </row>
    <row r="3965" spans="15:15" x14ac:dyDescent="0.3">
      <c r="O3965" t="str">
        <f t="shared" si="62"/>
        <v/>
      </c>
    </row>
    <row r="3966" spans="15:15" x14ac:dyDescent="0.3">
      <c r="O3966" t="str">
        <f t="shared" si="62"/>
        <v/>
      </c>
    </row>
    <row r="3967" spans="15:15" x14ac:dyDescent="0.3">
      <c r="O3967" t="str">
        <f t="shared" si="62"/>
        <v/>
      </c>
    </row>
    <row r="3968" spans="15:15" x14ac:dyDescent="0.3">
      <c r="O3968" t="str">
        <f t="shared" si="62"/>
        <v/>
      </c>
    </row>
    <row r="3969" spans="15:15" x14ac:dyDescent="0.3">
      <c r="O3969" t="str">
        <f t="shared" si="62"/>
        <v/>
      </c>
    </row>
    <row r="3970" spans="15:15" x14ac:dyDescent="0.3">
      <c r="O3970" t="str">
        <f t="shared" si="62"/>
        <v/>
      </c>
    </row>
    <row r="3971" spans="15:15" x14ac:dyDescent="0.3">
      <c r="O3971" t="str">
        <f t="shared" si="62"/>
        <v/>
      </c>
    </row>
    <row r="3972" spans="15:15" x14ac:dyDescent="0.3">
      <c r="O3972" t="str">
        <f t="shared" si="62"/>
        <v/>
      </c>
    </row>
    <row r="3973" spans="15:15" x14ac:dyDescent="0.3">
      <c r="O3973" t="str">
        <f t="shared" si="62"/>
        <v/>
      </c>
    </row>
    <row r="3974" spans="15:15" x14ac:dyDescent="0.3">
      <c r="O3974" t="str">
        <f t="shared" si="62"/>
        <v/>
      </c>
    </row>
    <row r="3975" spans="15:15" x14ac:dyDescent="0.3">
      <c r="O3975" t="str">
        <f t="shared" si="62"/>
        <v/>
      </c>
    </row>
    <row r="3976" spans="15:15" x14ac:dyDescent="0.3">
      <c r="O3976" t="str">
        <f t="shared" si="62"/>
        <v/>
      </c>
    </row>
    <row r="3977" spans="15:15" x14ac:dyDescent="0.3">
      <c r="O3977" t="str">
        <f t="shared" si="62"/>
        <v/>
      </c>
    </row>
    <row r="3978" spans="15:15" x14ac:dyDescent="0.3">
      <c r="O3978" t="str">
        <f t="shared" ref="O3978:O4041" si="63">IF(P3978="","",O3977+1)</f>
        <v/>
      </c>
    </row>
    <row r="3979" spans="15:15" x14ac:dyDescent="0.3">
      <c r="O3979" t="str">
        <f t="shared" si="63"/>
        <v/>
      </c>
    </row>
    <row r="3980" spans="15:15" x14ac:dyDescent="0.3">
      <c r="O3980" t="str">
        <f t="shared" si="63"/>
        <v/>
      </c>
    </row>
    <row r="3981" spans="15:15" x14ac:dyDescent="0.3">
      <c r="O3981" t="str">
        <f t="shared" si="63"/>
        <v/>
      </c>
    </row>
    <row r="3982" spans="15:15" x14ac:dyDescent="0.3">
      <c r="O3982" t="str">
        <f t="shared" si="63"/>
        <v/>
      </c>
    </row>
    <row r="3983" spans="15:15" x14ac:dyDescent="0.3">
      <c r="O3983" t="str">
        <f t="shared" si="63"/>
        <v/>
      </c>
    </row>
    <row r="3984" spans="15:15" x14ac:dyDescent="0.3">
      <c r="O3984" t="str">
        <f t="shared" si="63"/>
        <v/>
      </c>
    </row>
    <row r="3985" spans="15:15" x14ac:dyDescent="0.3">
      <c r="O3985" t="str">
        <f t="shared" si="63"/>
        <v/>
      </c>
    </row>
    <row r="3986" spans="15:15" x14ac:dyDescent="0.3">
      <c r="O3986" t="str">
        <f t="shared" si="63"/>
        <v/>
      </c>
    </row>
    <row r="3987" spans="15:15" x14ac:dyDescent="0.3">
      <c r="O3987" t="str">
        <f t="shared" si="63"/>
        <v/>
      </c>
    </row>
    <row r="3988" spans="15:15" x14ac:dyDescent="0.3">
      <c r="O3988" t="str">
        <f t="shared" si="63"/>
        <v/>
      </c>
    </row>
    <row r="3989" spans="15:15" x14ac:dyDescent="0.3">
      <c r="O3989" t="str">
        <f t="shared" si="63"/>
        <v/>
      </c>
    </row>
    <row r="3990" spans="15:15" x14ac:dyDescent="0.3">
      <c r="O3990" t="str">
        <f t="shared" si="63"/>
        <v/>
      </c>
    </row>
    <row r="3991" spans="15:15" x14ac:dyDescent="0.3">
      <c r="O3991" t="str">
        <f t="shared" si="63"/>
        <v/>
      </c>
    </row>
    <row r="3992" spans="15:15" x14ac:dyDescent="0.3">
      <c r="O3992" t="str">
        <f t="shared" si="63"/>
        <v/>
      </c>
    </row>
    <row r="3993" spans="15:15" x14ac:dyDescent="0.3">
      <c r="O3993" t="str">
        <f t="shared" si="63"/>
        <v/>
      </c>
    </row>
    <row r="3994" spans="15:15" x14ac:dyDescent="0.3">
      <c r="O3994" t="str">
        <f t="shared" si="63"/>
        <v/>
      </c>
    </row>
    <row r="3995" spans="15:15" x14ac:dyDescent="0.3">
      <c r="O3995" t="str">
        <f t="shared" si="63"/>
        <v/>
      </c>
    </row>
    <row r="3996" spans="15:15" x14ac:dyDescent="0.3">
      <c r="O3996" t="str">
        <f t="shared" si="63"/>
        <v/>
      </c>
    </row>
    <row r="3997" spans="15:15" x14ac:dyDescent="0.3">
      <c r="O3997" t="str">
        <f t="shared" si="63"/>
        <v/>
      </c>
    </row>
    <row r="3998" spans="15:15" x14ac:dyDescent="0.3">
      <c r="O3998" t="str">
        <f t="shared" si="63"/>
        <v/>
      </c>
    </row>
    <row r="3999" spans="15:15" x14ac:dyDescent="0.3">
      <c r="O3999" t="str">
        <f t="shared" si="63"/>
        <v/>
      </c>
    </row>
    <row r="4000" spans="15:15" x14ac:dyDescent="0.3">
      <c r="O4000" t="str">
        <f t="shared" si="63"/>
        <v/>
      </c>
    </row>
    <row r="4001" spans="15:15" x14ac:dyDescent="0.3">
      <c r="O4001" t="str">
        <f t="shared" si="63"/>
        <v/>
      </c>
    </row>
    <row r="4002" spans="15:15" x14ac:dyDescent="0.3">
      <c r="O4002" t="str">
        <f t="shared" si="63"/>
        <v/>
      </c>
    </row>
    <row r="4003" spans="15:15" x14ac:dyDescent="0.3">
      <c r="O4003" t="str">
        <f t="shared" si="63"/>
        <v/>
      </c>
    </row>
    <row r="4004" spans="15:15" x14ac:dyDescent="0.3">
      <c r="O4004" t="str">
        <f t="shared" si="63"/>
        <v/>
      </c>
    </row>
    <row r="4005" spans="15:15" x14ac:dyDescent="0.3">
      <c r="O4005" t="str">
        <f t="shared" si="63"/>
        <v/>
      </c>
    </row>
    <row r="4006" spans="15:15" x14ac:dyDescent="0.3">
      <c r="O4006" t="str">
        <f t="shared" si="63"/>
        <v/>
      </c>
    </row>
    <row r="4007" spans="15:15" x14ac:dyDescent="0.3">
      <c r="O4007" t="str">
        <f t="shared" si="63"/>
        <v/>
      </c>
    </row>
    <row r="4008" spans="15:15" x14ac:dyDescent="0.3">
      <c r="O4008" t="str">
        <f t="shared" si="63"/>
        <v/>
      </c>
    </row>
    <row r="4009" spans="15:15" x14ac:dyDescent="0.3">
      <c r="O4009" t="str">
        <f t="shared" si="63"/>
        <v/>
      </c>
    </row>
    <row r="4010" spans="15:15" x14ac:dyDescent="0.3">
      <c r="O4010" t="str">
        <f t="shared" si="63"/>
        <v/>
      </c>
    </row>
    <row r="4011" spans="15:15" x14ac:dyDescent="0.3">
      <c r="O4011" t="str">
        <f t="shared" si="63"/>
        <v/>
      </c>
    </row>
    <row r="4012" spans="15:15" x14ac:dyDescent="0.3">
      <c r="O4012" t="str">
        <f t="shared" si="63"/>
        <v/>
      </c>
    </row>
    <row r="4013" spans="15:15" x14ac:dyDescent="0.3">
      <c r="O4013" t="str">
        <f t="shared" si="63"/>
        <v/>
      </c>
    </row>
    <row r="4014" spans="15:15" x14ac:dyDescent="0.3">
      <c r="O4014" t="str">
        <f t="shared" si="63"/>
        <v/>
      </c>
    </row>
    <row r="4015" spans="15:15" x14ac:dyDescent="0.3">
      <c r="O4015" t="str">
        <f t="shared" si="63"/>
        <v/>
      </c>
    </row>
    <row r="4016" spans="15:15" x14ac:dyDescent="0.3">
      <c r="O4016" t="str">
        <f t="shared" si="63"/>
        <v/>
      </c>
    </row>
    <row r="4017" spans="15:15" x14ac:dyDescent="0.3">
      <c r="O4017" t="str">
        <f t="shared" si="63"/>
        <v/>
      </c>
    </row>
    <row r="4018" spans="15:15" x14ac:dyDescent="0.3">
      <c r="O4018" t="str">
        <f t="shared" si="63"/>
        <v/>
      </c>
    </row>
    <row r="4019" spans="15:15" x14ac:dyDescent="0.3">
      <c r="O4019" t="str">
        <f t="shared" si="63"/>
        <v/>
      </c>
    </row>
    <row r="4020" spans="15:15" x14ac:dyDescent="0.3">
      <c r="O4020" t="str">
        <f t="shared" si="63"/>
        <v/>
      </c>
    </row>
    <row r="4021" spans="15:15" x14ac:dyDescent="0.3">
      <c r="O4021" t="str">
        <f t="shared" si="63"/>
        <v/>
      </c>
    </row>
    <row r="4022" spans="15:15" x14ac:dyDescent="0.3">
      <c r="O4022" t="str">
        <f t="shared" si="63"/>
        <v/>
      </c>
    </row>
    <row r="4023" spans="15:15" x14ac:dyDescent="0.3">
      <c r="O4023" t="str">
        <f t="shared" si="63"/>
        <v/>
      </c>
    </row>
    <row r="4024" spans="15:15" x14ac:dyDescent="0.3">
      <c r="O4024" t="str">
        <f t="shared" si="63"/>
        <v/>
      </c>
    </row>
    <row r="4025" spans="15:15" x14ac:dyDescent="0.3">
      <c r="O4025" t="str">
        <f t="shared" si="63"/>
        <v/>
      </c>
    </row>
    <row r="4026" spans="15:15" x14ac:dyDescent="0.3">
      <c r="O4026" t="str">
        <f t="shared" si="63"/>
        <v/>
      </c>
    </row>
    <row r="4027" spans="15:15" x14ac:dyDescent="0.3">
      <c r="O4027" t="str">
        <f t="shared" si="63"/>
        <v/>
      </c>
    </row>
    <row r="4028" spans="15:15" x14ac:dyDescent="0.3">
      <c r="O4028" t="str">
        <f t="shared" si="63"/>
        <v/>
      </c>
    </row>
    <row r="4029" spans="15:15" x14ac:dyDescent="0.3">
      <c r="O4029" t="str">
        <f t="shared" si="63"/>
        <v/>
      </c>
    </row>
    <row r="4030" spans="15:15" x14ac:dyDescent="0.3">
      <c r="O4030" t="str">
        <f t="shared" si="63"/>
        <v/>
      </c>
    </row>
    <row r="4031" spans="15:15" x14ac:dyDescent="0.3">
      <c r="O4031" t="str">
        <f t="shared" si="63"/>
        <v/>
      </c>
    </row>
    <row r="4032" spans="15:15" x14ac:dyDescent="0.3">
      <c r="O4032" t="str">
        <f t="shared" si="63"/>
        <v/>
      </c>
    </row>
    <row r="4033" spans="15:15" x14ac:dyDescent="0.3">
      <c r="O4033" t="str">
        <f t="shared" si="63"/>
        <v/>
      </c>
    </row>
    <row r="4034" spans="15:15" x14ac:dyDescent="0.3">
      <c r="O4034" t="str">
        <f t="shared" si="63"/>
        <v/>
      </c>
    </row>
    <row r="4035" spans="15:15" x14ac:dyDescent="0.3">
      <c r="O4035" t="str">
        <f t="shared" si="63"/>
        <v/>
      </c>
    </row>
    <row r="4036" spans="15:15" x14ac:dyDescent="0.3">
      <c r="O4036" t="str">
        <f t="shared" si="63"/>
        <v/>
      </c>
    </row>
    <row r="4037" spans="15:15" x14ac:dyDescent="0.3">
      <c r="O4037" t="str">
        <f t="shared" si="63"/>
        <v/>
      </c>
    </row>
    <row r="4038" spans="15:15" x14ac:dyDescent="0.3">
      <c r="O4038" t="str">
        <f t="shared" si="63"/>
        <v/>
      </c>
    </row>
    <row r="4039" spans="15:15" x14ac:dyDescent="0.3">
      <c r="O4039" t="str">
        <f t="shared" si="63"/>
        <v/>
      </c>
    </row>
    <row r="4040" spans="15:15" x14ac:dyDescent="0.3">
      <c r="O4040" t="str">
        <f t="shared" si="63"/>
        <v/>
      </c>
    </row>
    <row r="4041" spans="15:15" x14ac:dyDescent="0.3">
      <c r="O4041" t="str">
        <f t="shared" si="63"/>
        <v/>
      </c>
    </row>
    <row r="4042" spans="15:15" x14ac:dyDescent="0.3">
      <c r="O4042" t="str">
        <f t="shared" ref="O4042:O4105" si="64">IF(P4042="","",O4041+1)</f>
        <v/>
      </c>
    </row>
    <row r="4043" spans="15:15" x14ac:dyDescent="0.3">
      <c r="O4043" t="str">
        <f t="shared" si="64"/>
        <v/>
      </c>
    </row>
    <row r="4044" spans="15:15" x14ac:dyDescent="0.3">
      <c r="O4044" t="str">
        <f t="shared" si="64"/>
        <v/>
      </c>
    </row>
    <row r="4045" spans="15:15" x14ac:dyDescent="0.3">
      <c r="O4045" t="str">
        <f t="shared" si="64"/>
        <v/>
      </c>
    </row>
    <row r="4046" spans="15:15" x14ac:dyDescent="0.3">
      <c r="O4046" t="str">
        <f t="shared" si="64"/>
        <v/>
      </c>
    </row>
    <row r="4047" spans="15:15" x14ac:dyDescent="0.3">
      <c r="O4047" t="str">
        <f t="shared" si="64"/>
        <v/>
      </c>
    </row>
    <row r="4048" spans="15:15" x14ac:dyDescent="0.3">
      <c r="O4048" t="str">
        <f t="shared" si="64"/>
        <v/>
      </c>
    </row>
    <row r="4049" spans="15:15" x14ac:dyDescent="0.3">
      <c r="O4049" t="str">
        <f t="shared" si="64"/>
        <v/>
      </c>
    </row>
    <row r="4050" spans="15:15" x14ac:dyDescent="0.3">
      <c r="O4050" t="str">
        <f t="shared" si="64"/>
        <v/>
      </c>
    </row>
    <row r="4051" spans="15:15" x14ac:dyDescent="0.3">
      <c r="O4051" t="str">
        <f t="shared" si="64"/>
        <v/>
      </c>
    </row>
    <row r="4052" spans="15:15" x14ac:dyDescent="0.3">
      <c r="O4052" t="str">
        <f t="shared" si="64"/>
        <v/>
      </c>
    </row>
    <row r="4053" spans="15:15" x14ac:dyDescent="0.3">
      <c r="O4053" t="str">
        <f t="shared" si="64"/>
        <v/>
      </c>
    </row>
    <row r="4054" spans="15:15" x14ac:dyDescent="0.3">
      <c r="O4054" t="str">
        <f t="shared" si="64"/>
        <v/>
      </c>
    </row>
    <row r="4055" spans="15:15" x14ac:dyDescent="0.3">
      <c r="O4055" t="str">
        <f t="shared" si="64"/>
        <v/>
      </c>
    </row>
    <row r="4056" spans="15:15" x14ac:dyDescent="0.3">
      <c r="O4056" t="str">
        <f t="shared" si="64"/>
        <v/>
      </c>
    </row>
    <row r="4057" spans="15:15" x14ac:dyDescent="0.3">
      <c r="O4057" t="str">
        <f t="shared" si="64"/>
        <v/>
      </c>
    </row>
    <row r="4058" spans="15:15" x14ac:dyDescent="0.3">
      <c r="O4058" t="str">
        <f t="shared" si="64"/>
        <v/>
      </c>
    </row>
    <row r="4059" spans="15:15" x14ac:dyDescent="0.3">
      <c r="O4059" t="str">
        <f t="shared" si="64"/>
        <v/>
      </c>
    </row>
    <row r="4060" spans="15:15" x14ac:dyDescent="0.3">
      <c r="O4060" t="str">
        <f t="shared" si="64"/>
        <v/>
      </c>
    </row>
    <row r="4061" spans="15:15" x14ac:dyDescent="0.3">
      <c r="O4061" t="str">
        <f t="shared" si="64"/>
        <v/>
      </c>
    </row>
    <row r="4062" spans="15:15" x14ac:dyDescent="0.3">
      <c r="O4062" t="str">
        <f t="shared" si="64"/>
        <v/>
      </c>
    </row>
    <row r="4063" spans="15:15" x14ac:dyDescent="0.3">
      <c r="O4063" t="str">
        <f t="shared" si="64"/>
        <v/>
      </c>
    </row>
    <row r="4064" spans="15:15" x14ac:dyDescent="0.3">
      <c r="O4064" t="str">
        <f t="shared" si="64"/>
        <v/>
      </c>
    </row>
    <row r="4065" spans="15:15" x14ac:dyDescent="0.3">
      <c r="O4065" t="str">
        <f t="shared" si="64"/>
        <v/>
      </c>
    </row>
    <row r="4066" spans="15:15" x14ac:dyDescent="0.3">
      <c r="O4066" t="str">
        <f t="shared" si="64"/>
        <v/>
      </c>
    </row>
    <row r="4067" spans="15:15" x14ac:dyDescent="0.3">
      <c r="O4067" t="str">
        <f t="shared" si="64"/>
        <v/>
      </c>
    </row>
    <row r="4068" spans="15:15" x14ac:dyDescent="0.3">
      <c r="O4068" t="str">
        <f t="shared" si="64"/>
        <v/>
      </c>
    </row>
    <row r="4069" spans="15:15" x14ac:dyDescent="0.3">
      <c r="O4069" t="str">
        <f t="shared" si="64"/>
        <v/>
      </c>
    </row>
    <row r="4070" spans="15:15" x14ac:dyDescent="0.3">
      <c r="O4070" t="str">
        <f t="shared" si="64"/>
        <v/>
      </c>
    </row>
    <row r="4071" spans="15:15" x14ac:dyDescent="0.3">
      <c r="O4071" t="str">
        <f t="shared" si="64"/>
        <v/>
      </c>
    </row>
    <row r="4072" spans="15:15" x14ac:dyDescent="0.3">
      <c r="O4072" t="str">
        <f t="shared" si="64"/>
        <v/>
      </c>
    </row>
    <row r="4073" spans="15:15" x14ac:dyDescent="0.3">
      <c r="O4073" t="str">
        <f t="shared" si="64"/>
        <v/>
      </c>
    </row>
    <row r="4074" spans="15:15" x14ac:dyDescent="0.3">
      <c r="O4074" t="str">
        <f t="shared" si="64"/>
        <v/>
      </c>
    </row>
    <row r="4075" spans="15:15" x14ac:dyDescent="0.3">
      <c r="O4075" t="str">
        <f t="shared" si="64"/>
        <v/>
      </c>
    </row>
    <row r="4076" spans="15:15" x14ac:dyDescent="0.3">
      <c r="O4076" t="str">
        <f t="shared" si="64"/>
        <v/>
      </c>
    </row>
    <row r="4077" spans="15:15" x14ac:dyDescent="0.3">
      <c r="O4077" t="str">
        <f t="shared" si="64"/>
        <v/>
      </c>
    </row>
    <row r="4078" spans="15:15" x14ac:dyDescent="0.3">
      <c r="O4078" t="str">
        <f t="shared" si="64"/>
        <v/>
      </c>
    </row>
    <row r="4079" spans="15:15" x14ac:dyDescent="0.3">
      <c r="O4079" t="str">
        <f t="shared" si="64"/>
        <v/>
      </c>
    </row>
    <row r="4080" spans="15:15" x14ac:dyDescent="0.3">
      <c r="O4080" t="str">
        <f t="shared" si="64"/>
        <v/>
      </c>
    </row>
    <row r="4081" spans="15:15" x14ac:dyDescent="0.3">
      <c r="O4081" t="str">
        <f t="shared" si="64"/>
        <v/>
      </c>
    </row>
    <row r="4082" spans="15:15" x14ac:dyDescent="0.3">
      <c r="O4082" t="str">
        <f t="shared" si="64"/>
        <v/>
      </c>
    </row>
    <row r="4083" spans="15:15" x14ac:dyDescent="0.3">
      <c r="O4083" t="str">
        <f t="shared" si="64"/>
        <v/>
      </c>
    </row>
    <row r="4084" spans="15:15" x14ac:dyDescent="0.3">
      <c r="O4084" t="str">
        <f t="shared" si="64"/>
        <v/>
      </c>
    </row>
    <row r="4085" spans="15:15" x14ac:dyDescent="0.3">
      <c r="O4085" t="str">
        <f t="shared" si="64"/>
        <v/>
      </c>
    </row>
    <row r="4086" spans="15:15" x14ac:dyDescent="0.3">
      <c r="O4086" t="str">
        <f t="shared" si="64"/>
        <v/>
      </c>
    </row>
    <row r="4087" spans="15:15" x14ac:dyDescent="0.3">
      <c r="O4087" t="str">
        <f t="shared" si="64"/>
        <v/>
      </c>
    </row>
    <row r="4088" spans="15:15" x14ac:dyDescent="0.3">
      <c r="O4088" t="str">
        <f t="shared" si="64"/>
        <v/>
      </c>
    </row>
    <row r="4089" spans="15:15" x14ac:dyDescent="0.3">
      <c r="O4089" t="str">
        <f t="shared" si="64"/>
        <v/>
      </c>
    </row>
    <row r="4090" spans="15:15" x14ac:dyDescent="0.3">
      <c r="O4090" t="str">
        <f t="shared" si="64"/>
        <v/>
      </c>
    </row>
    <row r="4091" spans="15:15" x14ac:dyDescent="0.3">
      <c r="O4091" t="str">
        <f t="shared" si="64"/>
        <v/>
      </c>
    </row>
    <row r="4092" spans="15:15" x14ac:dyDescent="0.3">
      <c r="O4092" t="str">
        <f t="shared" si="64"/>
        <v/>
      </c>
    </row>
    <row r="4093" spans="15:15" x14ac:dyDescent="0.3">
      <c r="O4093" t="str">
        <f t="shared" si="64"/>
        <v/>
      </c>
    </row>
    <row r="4094" spans="15:15" x14ac:dyDescent="0.3">
      <c r="O4094" t="str">
        <f t="shared" si="64"/>
        <v/>
      </c>
    </row>
    <row r="4095" spans="15:15" x14ac:dyDescent="0.3">
      <c r="O4095" t="str">
        <f t="shared" si="64"/>
        <v/>
      </c>
    </row>
    <row r="4096" spans="15:15" x14ac:dyDescent="0.3">
      <c r="O4096" t="str">
        <f t="shared" si="64"/>
        <v/>
      </c>
    </row>
    <row r="4097" spans="15:15" x14ac:dyDescent="0.3">
      <c r="O4097" t="str">
        <f t="shared" si="64"/>
        <v/>
      </c>
    </row>
    <row r="4098" spans="15:15" x14ac:dyDescent="0.3">
      <c r="O4098" t="str">
        <f t="shared" si="64"/>
        <v/>
      </c>
    </row>
    <row r="4099" spans="15:15" x14ac:dyDescent="0.3">
      <c r="O4099" t="str">
        <f t="shared" si="64"/>
        <v/>
      </c>
    </row>
    <row r="4100" spans="15:15" x14ac:dyDescent="0.3">
      <c r="O4100" t="str">
        <f t="shared" si="64"/>
        <v/>
      </c>
    </row>
    <row r="4101" spans="15:15" x14ac:dyDescent="0.3">
      <c r="O4101" t="str">
        <f t="shared" si="64"/>
        <v/>
      </c>
    </row>
    <row r="4102" spans="15:15" x14ac:dyDescent="0.3">
      <c r="O4102" t="str">
        <f t="shared" si="64"/>
        <v/>
      </c>
    </row>
    <row r="4103" spans="15:15" x14ac:dyDescent="0.3">
      <c r="O4103" t="str">
        <f t="shared" si="64"/>
        <v/>
      </c>
    </row>
    <row r="4104" spans="15:15" x14ac:dyDescent="0.3">
      <c r="O4104" t="str">
        <f t="shared" si="64"/>
        <v/>
      </c>
    </row>
    <row r="4105" spans="15:15" x14ac:dyDescent="0.3">
      <c r="O4105" t="str">
        <f t="shared" si="64"/>
        <v/>
      </c>
    </row>
    <row r="4106" spans="15:15" x14ac:dyDescent="0.3">
      <c r="O4106" t="str">
        <f t="shared" ref="O4106:O4169" si="65">IF(P4106="","",O4105+1)</f>
        <v/>
      </c>
    </row>
    <row r="4107" spans="15:15" x14ac:dyDescent="0.3">
      <c r="O4107" t="str">
        <f t="shared" si="65"/>
        <v/>
      </c>
    </row>
    <row r="4108" spans="15:15" x14ac:dyDescent="0.3">
      <c r="O4108" t="str">
        <f t="shared" si="65"/>
        <v/>
      </c>
    </row>
    <row r="4109" spans="15:15" x14ac:dyDescent="0.3">
      <c r="O4109" t="str">
        <f t="shared" si="65"/>
        <v/>
      </c>
    </row>
    <row r="4110" spans="15:15" x14ac:dyDescent="0.3">
      <c r="O4110" t="str">
        <f t="shared" si="65"/>
        <v/>
      </c>
    </row>
    <row r="4111" spans="15:15" x14ac:dyDescent="0.3">
      <c r="O4111" t="str">
        <f t="shared" si="65"/>
        <v/>
      </c>
    </row>
    <row r="4112" spans="15:15" x14ac:dyDescent="0.3">
      <c r="O4112" t="str">
        <f t="shared" si="65"/>
        <v/>
      </c>
    </row>
    <row r="4113" spans="15:15" x14ac:dyDescent="0.3">
      <c r="O4113" t="str">
        <f t="shared" si="65"/>
        <v/>
      </c>
    </row>
    <row r="4114" spans="15:15" x14ac:dyDescent="0.3">
      <c r="O4114" t="str">
        <f t="shared" si="65"/>
        <v/>
      </c>
    </row>
    <row r="4115" spans="15:15" x14ac:dyDescent="0.3">
      <c r="O4115" t="str">
        <f t="shared" si="65"/>
        <v/>
      </c>
    </row>
    <row r="4116" spans="15:15" x14ac:dyDescent="0.3">
      <c r="O4116" t="str">
        <f t="shared" si="65"/>
        <v/>
      </c>
    </row>
    <row r="4117" spans="15:15" x14ac:dyDescent="0.3">
      <c r="O4117" t="str">
        <f t="shared" si="65"/>
        <v/>
      </c>
    </row>
    <row r="4118" spans="15:15" x14ac:dyDescent="0.3">
      <c r="O4118" t="str">
        <f t="shared" si="65"/>
        <v/>
      </c>
    </row>
    <row r="4119" spans="15:15" x14ac:dyDescent="0.3">
      <c r="O4119" t="str">
        <f t="shared" si="65"/>
        <v/>
      </c>
    </row>
    <row r="4120" spans="15:15" x14ac:dyDescent="0.3">
      <c r="O4120" t="str">
        <f t="shared" si="65"/>
        <v/>
      </c>
    </row>
    <row r="4121" spans="15:15" x14ac:dyDescent="0.3">
      <c r="O4121" t="str">
        <f t="shared" si="65"/>
        <v/>
      </c>
    </row>
    <row r="4122" spans="15:15" x14ac:dyDescent="0.3">
      <c r="O4122" t="str">
        <f t="shared" si="65"/>
        <v/>
      </c>
    </row>
    <row r="4123" spans="15:15" x14ac:dyDescent="0.3">
      <c r="O4123" t="str">
        <f t="shared" si="65"/>
        <v/>
      </c>
    </row>
    <row r="4124" spans="15:15" x14ac:dyDescent="0.3">
      <c r="O4124" t="str">
        <f t="shared" si="65"/>
        <v/>
      </c>
    </row>
    <row r="4125" spans="15:15" x14ac:dyDescent="0.3">
      <c r="O4125" t="str">
        <f t="shared" si="65"/>
        <v/>
      </c>
    </row>
    <row r="4126" spans="15:15" x14ac:dyDescent="0.3">
      <c r="O4126" t="str">
        <f t="shared" si="65"/>
        <v/>
      </c>
    </row>
    <row r="4127" spans="15:15" x14ac:dyDescent="0.3">
      <c r="O4127" t="str">
        <f t="shared" si="65"/>
        <v/>
      </c>
    </row>
    <row r="4128" spans="15:15" x14ac:dyDescent="0.3">
      <c r="O4128" t="str">
        <f t="shared" si="65"/>
        <v/>
      </c>
    </row>
    <row r="4129" spans="15:15" x14ac:dyDescent="0.3">
      <c r="O4129" t="str">
        <f t="shared" si="65"/>
        <v/>
      </c>
    </row>
    <row r="4130" spans="15:15" x14ac:dyDescent="0.3">
      <c r="O4130" t="str">
        <f t="shared" si="65"/>
        <v/>
      </c>
    </row>
    <row r="4131" spans="15:15" x14ac:dyDescent="0.3">
      <c r="O4131" t="str">
        <f t="shared" si="65"/>
        <v/>
      </c>
    </row>
    <row r="4132" spans="15:15" x14ac:dyDescent="0.3">
      <c r="O4132" t="str">
        <f t="shared" si="65"/>
        <v/>
      </c>
    </row>
    <row r="4133" spans="15:15" x14ac:dyDescent="0.3">
      <c r="O4133" t="str">
        <f t="shared" si="65"/>
        <v/>
      </c>
    </row>
    <row r="4134" spans="15:15" x14ac:dyDescent="0.3">
      <c r="O4134" t="str">
        <f t="shared" si="65"/>
        <v/>
      </c>
    </row>
    <row r="4135" spans="15:15" x14ac:dyDescent="0.3">
      <c r="O4135" t="str">
        <f t="shared" si="65"/>
        <v/>
      </c>
    </row>
    <row r="4136" spans="15:15" x14ac:dyDescent="0.3">
      <c r="O4136" t="str">
        <f t="shared" si="65"/>
        <v/>
      </c>
    </row>
    <row r="4137" spans="15:15" x14ac:dyDescent="0.3">
      <c r="O4137" t="str">
        <f t="shared" si="65"/>
        <v/>
      </c>
    </row>
    <row r="4138" spans="15:15" x14ac:dyDescent="0.3">
      <c r="O4138" t="str">
        <f t="shared" si="65"/>
        <v/>
      </c>
    </row>
    <row r="4139" spans="15:15" x14ac:dyDescent="0.3">
      <c r="O4139" t="str">
        <f t="shared" si="65"/>
        <v/>
      </c>
    </row>
    <row r="4140" spans="15:15" x14ac:dyDescent="0.3">
      <c r="O4140" t="str">
        <f t="shared" si="65"/>
        <v/>
      </c>
    </row>
    <row r="4141" spans="15:15" x14ac:dyDescent="0.3">
      <c r="O4141" t="str">
        <f t="shared" si="65"/>
        <v/>
      </c>
    </row>
    <row r="4142" spans="15:15" x14ac:dyDescent="0.3">
      <c r="O4142" t="str">
        <f t="shared" si="65"/>
        <v/>
      </c>
    </row>
    <row r="4143" spans="15:15" x14ac:dyDescent="0.3">
      <c r="O4143" t="str">
        <f t="shared" si="65"/>
        <v/>
      </c>
    </row>
    <row r="4144" spans="15:15" x14ac:dyDescent="0.3">
      <c r="O4144" t="str">
        <f t="shared" si="65"/>
        <v/>
      </c>
    </row>
    <row r="4145" spans="15:15" x14ac:dyDescent="0.3">
      <c r="O4145" t="str">
        <f t="shared" si="65"/>
        <v/>
      </c>
    </row>
    <row r="4146" spans="15:15" x14ac:dyDescent="0.3">
      <c r="O4146" t="str">
        <f t="shared" si="65"/>
        <v/>
      </c>
    </row>
    <row r="4147" spans="15:15" x14ac:dyDescent="0.3">
      <c r="O4147" t="str">
        <f t="shared" si="65"/>
        <v/>
      </c>
    </row>
    <row r="4148" spans="15:15" x14ac:dyDescent="0.3">
      <c r="O4148" t="str">
        <f t="shared" si="65"/>
        <v/>
      </c>
    </row>
    <row r="4149" spans="15:15" x14ac:dyDescent="0.3">
      <c r="O4149" t="str">
        <f t="shared" si="65"/>
        <v/>
      </c>
    </row>
    <row r="4150" spans="15:15" x14ac:dyDescent="0.3">
      <c r="O4150" t="str">
        <f t="shared" si="65"/>
        <v/>
      </c>
    </row>
    <row r="4151" spans="15:15" x14ac:dyDescent="0.3">
      <c r="O4151" t="str">
        <f t="shared" si="65"/>
        <v/>
      </c>
    </row>
    <row r="4152" spans="15:15" x14ac:dyDescent="0.3">
      <c r="O4152" t="str">
        <f t="shared" si="65"/>
        <v/>
      </c>
    </row>
    <row r="4153" spans="15:15" x14ac:dyDescent="0.3">
      <c r="O4153" t="str">
        <f t="shared" si="65"/>
        <v/>
      </c>
    </row>
    <row r="4154" spans="15:15" x14ac:dyDescent="0.3">
      <c r="O4154" t="str">
        <f t="shared" si="65"/>
        <v/>
      </c>
    </row>
    <row r="4155" spans="15:15" x14ac:dyDescent="0.3">
      <c r="O4155" t="str">
        <f t="shared" si="65"/>
        <v/>
      </c>
    </row>
    <row r="4156" spans="15:15" x14ac:dyDescent="0.3">
      <c r="O4156" t="str">
        <f t="shared" si="65"/>
        <v/>
      </c>
    </row>
    <row r="4157" spans="15:15" x14ac:dyDescent="0.3">
      <c r="O4157" t="str">
        <f t="shared" si="65"/>
        <v/>
      </c>
    </row>
    <row r="4158" spans="15:15" x14ac:dyDescent="0.3">
      <c r="O4158" t="str">
        <f t="shared" si="65"/>
        <v/>
      </c>
    </row>
    <row r="4159" spans="15:15" x14ac:dyDescent="0.3">
      <c r="O4159" t="str">
        <f t="shared" si="65"/>
        <v/>
      </c>
    </row>
    <row r="4160" spans="15:15" x14ac:dyDescent="0.3">
      <c r="O4160" t="str">
        <f t="shared" si="65"/>
        <v/>
      </c>
    </row>
    <row r="4161" spans="15:15" x14ac:dyDescent="0.3">
      <c r="O4161" t="str">
        <f t="shared" si="65"/>
        <v/>
      </c>
    </row>
    <row r="4162" spans="15:15" x14ac:dyDescent="0.3">
      <c r="O4162" t="str">
        <f t="shared" si="65"/>
        <v/>
      </c>
    </row>
    <row r="4163" spans="15:15" x14ac:dyDescent="0.3">
      <c r="O4163" t="str">
        <f t="shared" si="65"/>
        <v/>
      </c>
    </row>
    <row r="4164" spans="15:15" x14ac:dyDescent="0.3">
      <c r="O4164" t="str">
        <f t="shared" si="65"/>
        <v/>
      </c>
    </row>
    <row r="4165" spans="15:15" x14ac:dyDescent="0.3">
      <c r="O4165" t="str">
        <f t="shared" si="65"/>
        <v/>
      </c>
    </row>
    <row r="4166" spans="15:15" x14ac:dyDescent="0.3">
      <c r="O4166" t="str">
        <f t="shared" si="65"/>
        <v/>
      </c>
    </row>
    <row r="4167" spans="15:15" x14ac:dyDescent="0.3">
      <c r="O4167" t="str">
        <f t="shared" si="65"/>
        <v/>
      </c>
    </row>
    <row r="4168" spans="15:15" x14ac:dyDescent="0.3">
      <c r="O4168" t="str">
        <f t="shared" si="65"/>
        <v/>
      </c>
    </row>
    <row r="4169" spans="15:15" x14ac:dyDescent="0.3">
      <c r="O4169" t="str">
        <f t="shared" si="65"/>
        <v/>
      </c>
    </row>
    <row r="4170" spans="15:15" x14ac:dyDescent="0.3">
      <c r="O4170" t="str">
        <f t="shared" ref="O4170:O4233" si="66">IF(P4170="","",O4169+1)</f>
        <v/>
      </c>
    </row>
    <row r="4171" spans="15:15" x14ac:dyDescent="0.3">
      <c r="O4171" t="str">
        <f t="shared" si="66"/>
        <v/>
      </c>
    </row>
    <row r="4172" spans="15:15" x14ac:dyDescent="0.3">
      <c r="O4172" t="str">
        <f t="shared" si="66"/>
        <v/>
      </c>
    </row>
    <row r="4173" spans="15:15" x14ac:dyDescent="0.3">
      <c r="O4173" t="str">
        <f t="shared" si="66"/>
        <v/>
      </c>
    </row>
    <row r="4174" spans="15:15" x14ac:dyDescent="0.3">
      <c r="O4174" t="str">
        <f t="shared" si="66"/>
        <v/>
      </c>
    </row>
    <row r="4175" spans="15:15" x14ac:dyDescent="0.3">
      <c r="O4175" t="str">
        <f t="shared" si="66"/>
        <v/>
      </c>
    </row>
    <row r="4176" spans="15:15" x14ac:dyDescent="0.3">
      <c r="O4176" t="str">
        <f t="shared" si="66"/>
        <v/>
      </c>
    </row>
    <row r="4177" spans="15:15" x14ac:dyDescent="0.3">
      <c r="O4177" t="str">
        <f t="shared" si="66"/>
        <v/>
      </c>
    </row>
    <row r="4178" spans="15:15" x14ac:dyDescent="0.3">
      <c r="O4178" t="str">
        <f t="shared" si="66"/>
        <v/>
      </c>
    </row>
    <row r="4179" spans="15:15" x14ac:dyDescent="0.3">
      <c r="O4179" t="str">
        <f t="shared" si="66"/>
        <v/>
      </c>
    </row>
    <row r="4180" spans="15:15" x14ac:dyDescent="0.3">
      <c r="O4180" t="str">
        <f t="shared" si="66"/>
        <v/>
      </c>
    </row>
    <row r="4181" spans="15:15" x14ac:dyDescent="0.3">
      <c r="O4181" t="str">
        <f t="shared" si="66"/>
        <v/>
      </c>
    </row>
    <row r="4182" spans="15:15" x14ac:dyDescent="0.3">
      <c r="O4182" t="str">
        <f t="shared" si="66"/>
        <v/>
      </c>
    </row>
    <row r="4183" spans="15:15" x14ac:dyDescent="0.3">
      <c r="O4183" t="str">
        <f t="shared" si="66"/>
        <v/>
      </c>
    </row>
    <row r="4184" spans="15:15" x14ac:dyDescent="0.3">
      <c r="O4184" t="str">
        <f t="shared" si="66"/>
        <v/>
      </c>
    </row>
    <row r="4185" spans="15:15" x14ac:dyDescent="0.3">
      <c r="O4185" t="str">
        <f t="shared" si="66"/>
        <v/>
      </c>
    </row>
    <row r="4186" spans="15:15" x14ac:dyDescent="0.3">
      <c r="O4186" t="str">
        <f t="shared" si="66"/>
        <v/>
      </c>
    </row>
    <row r="4187" spans="15:15" x14ac:dyDescent="0.3">
      <c r="O4187" t="str">
        <f t="shared" si="66"/>
        <v/>
      </c>
    </row>
    <row r="4188" spans="15:15" x14ac:dyDescent="0.3">
      <c r="O4188" t="str">
        <f t="shared" si="66"/>
        <v/>
      </c>
    </row>
    <row r="4189" spans="15:15" x14ac:dyDescent="0.3">
      <c r="O4189" t="str">
        <f t="shared" si="66"/>
        <v/>
      </c>
    </row>
    <row r="4190" spans="15:15" x14ac:dyDescent="0.3">
      <c r="O4190" t="str">
        <f t="shared" si="66"/>
        <v/>
      </c>
    </row>
    <row r="4191" spans="15:15" x14ac:dyDescent="0.3">
      <c r="O4191" t="str">
        <f t="shared" si="66"/>
        <v/>
      </c>
    </row>
    <row r="4192" spans="15:15" x14ac:dyDescent="0.3">
      <c r="O4192" t="str">
        <f t="shared" si="66"/>
        <v/>
      </c>
    </row>
    <row r="4193" spans="15:15" x14ac:dyDescent="0.3">
      <c r="O4193" t="str">
        <f t="shared" si="66"/>
        <v/>
      </c>
    </row>
    <row r="4194" spans="15:15" x14ac:dyDescent="0.3">
      <c r="O4194" t="str">
        <f t="shared" si="66"/>
        <v/>
      </c>
    </row>
    <row r="4195" spans="15:15" x14ac:dyDescent="0.3">
      <c r="O4195" t="str">
        <f t="shared" si="66"/>
        <v/>
      </c>
    </row>
    <row r="4196" spans="15:15" x14ac:dyDescent="0.3">
      <c r="O4196" t="str">
        <f t="shared" si="66"/>
        <v/>
      </c>
    </row>
    <row r="4197" spans="15:15" x14ac:dyDescent="0.3">
      <c r="O4197" t="str">
        <f t="shared" si="66"/>
        <v/>
      </c>
    </row>
    <row r="4198" spans="15:15" x14ac:dyDescent="0.3">
      <c r="O4198" t="str">
        <f t="shared" si="66"/>
        <v/>
      </c>
    </row>
    <row r="4199" spans="15:15" x14ac:dyDescent="0.3">
      <c r="O4199" t="str">
        <f t="shared" si="66"/>
        <v/>
      </c>
    </row>
    <row r="4200" spans="15:15" x14ac:dyDescent="0.3">
      <c r="O4200" t="str">
        <f t="shared" si="66"/>
        <v/>
      </c>
    </row>
    <row r="4201" spans="15:15" x14ac:dyDescent="0.3">
      <c r="O4201" t="str">
        <f t="shared" si="66"/>
        <v/>
      </c>
    </row>
    <row r="4202" spans="15:15" x14ac:dyDescent="0.3">
      <c r="O4202" t="str">
        <f t="shared" si="66"/>
        <v/>
      </c>
    </row>
    <row r="4203" spans="15:15" x14ac:dyDescent="0.3">
      <c r="O4203" t="str">
        <f t="shared" si="66"/>
        <v/>
      </c>
    </row>
    <row r="4204" spans="15:15" x14ac:dyDescent="0.3">
      <c r="O4204" t="str">
        <f t="shared" si="66"/>
        <v/>
      </c>
    </row>
    <row r="4205" spans="15:15" x14ac:dyDescent="0.3">
      <c r="O4205" t="str">
        <f t="shared" si="66"/>
        <v/>
      </c>
    </row>
    <row r="4206" spans="15:15" x14ac:dyDescent="0.3">
      <c r="O4206" t="str">
        <f t="shared" si="66"/>
        <v/>
      </c>
    </row>
    <row r="4207" spans="15:15" x14ac:dyDescent="0.3">
      <c r="O4207" t="str">
        <f t="shared" si="66"/>
        <v/>
      </c>
    </row>
    <row r="4208" spans="15:15" x14ac:dyDescent="0.3">
      <c r="O4208" t="str">
        <f t="shared" si="66"/>
        <v/>
      </c>
    </row>
    <row r="4209" spans="15:15" x14ac:dyDescent="0.3">
      <c r="O4209" t="str">
        <f t="shared" si="66"/>
        <v/>
      </c>
    </row>
    <row r="4210" spans="15:15" x14ac:dyDescent="0.3">
      <c r="O4210" t="str">
        <f t="shared" si="66"/>
        <v/>
      </c>
    </row>
    <row r="4211" spans="15:15" x14ac:dyDescent="0.3">
      <c r="O4211" t="str">
        <f t="shared" si="66"/>
        <v/>
      </c>
    </row>
    <row r="4212" spans="15:15" x14ac:dyDescent="0.3">
      <c r="O4212" t="str">
        <f t="shared" si="66"/>
        <v/>
      </c>
    </row>
    <row r="4213" spans="15:15" x14ac:dyDescent="0.3">
      <c r="O4213" t="str">
        <f t="shared" si="66"/>
        <v/>
      </c>
    </row>
    <row r="4214" spans="15:15" x14ac:dyDescent="0.3">
      <c r="O4214" t="str">
        <f t="shared" si="66"/>
        <v/>
      </c>
    </row>
    <row r="4215" spans="15:15" x14ac:dyDescent="0.3">
      <c r="O4215" t="str">
        <f t="shared" si="66"/>
        <v/>
      </c>
    </row>
    <row r="4216" spans="15:15" x14ac:dyDescent="0.3">
      <c r="O4216" t="str">
        <f t="shared" si="66"/>
        <v/>
      </c>
    </row>
    <row r="4217" spans="15:15" x14ac:dyDescent="0.3">
      <c r="O4217" t="str">
        <f t="shared" si="66"/>
        <v/>
      </c>
    </row>
    <row r="4218" spans="15:15" x14ac:dyDescent="0.3">
      <c r="O4218" t="str">
        <f t="shared" si="66"/>
        <v/>
      </c>
    </row>
    <row r="4219" spans="15:15" x14ac:dyDescent="0.3">
      <c r="O4219" t="str">
        <f t="shared" si="66"/>
        <v/>
      </c>
    </row>
    <row r="4220" spans="15:15" x14ac:dyDescent="0.3">
      <c r="O4220" t="str">
        <f t="shared" si="66"/>
        <v/>
      </c>
    </row>
    <row r="4221" spans="15:15" x14ac:dyDescent="0.3">
      <c r="O4221" t="str">
        <f t="shared" si="66"/>
        <v/>
      </c>
    </row>
    <row r="4222" spans="15:15" x14ac:dyDescent="0.3">
      <c r="O4222" t="str">
        <f t="shared" si="66"/>
        <v/>
      </c>
    </row>
    <row r="4223" spans="15:15" x14ac:dyDescent="0.3">
      <c r="O4223" t="str">
        <f t="shared" si="66"/>
        <v/>
      </c>
    </row>
    <row r="4224" spans="15:15" x14ac:dyDescent="0.3">
      <c r="O4224" t="str">
        <f t="shared" si="66"/>
        <v/>
      </c>
    </row>
    <row r="4225" spans="15:15" x14ac:dyDescent="0.3">
      <c r="O4225" t="str">
        <f t="shared" si="66"/>
        <v/>
      </c>
    </row>
    <row r="4226" spans="15:15" x14ac:dyDescent="0.3">
      <c r="O4226" t="str">
        <f t="shared" si="66"/>
        <v/>
      </c>
    </row>
    <row r="4227" spans="15:15" x14ac:dyDescent="0.3">
      <c r="O4227" t="str">
        <f t="shared" si="66"/>
        <v/>
      </c>
    </row>
    <row r="4228" spans="15:15" x14ac:dyDescent="0.3">
      <c r="O4228" t="str">
        <f t="shared" si="66"/>
        <v/>
      </c>
    </row>
    <row r="4229" spans="15:15" x14ac:dyDescent="0.3">
      <c r="O4229" t="str">
        <f t="shared" si="66"/>
        <v/>
      </c>
    </row>
    <row r="4230" spans="15:15" x14ac:dyDescent="0.3">
      <c r="O4230" t="str">
        <f t="shared" si="66"/>
        <v/>
      </c>
    </row>
    <row r="4231" spans="15:15" x14ac:dyDescent="0.3">
      <c r="O4231" t="str">
        <f t="shared" si="66"/>
        <v/>
      </c>
    </row>
    <row r="4232" spans="15:15" x14ac:dyDescent="0.3">
      <c r="O4232" t="str">
        <f t="shared" si="66"/>
        <v/>
      </c>
    </row>
    <row r="4233" spans="15:15" x14ac:dyDescent="0.3">
      <c r="O4233" t="str">
        <f t="shared" si="66"/>
        <v/>
      </c>
    </row>
    <row r="4234" spans="15:15" x14ac:dyDescent="0.3">
      <c r="O4234" t="str">
        <f t="shared" ref="O4234:O4297" si="67">IF(P4234="","",O4233+1)</f>
        <v/>
      </c>
    </row>
    <row r="4235" spans="15:15" x14ac:dyDescent="0.3">
      <c r="O4235" t="str">
        <f t="shared" si="67"/>
        <v/>
      </c>
    </row>
    <row r="4236" spans="15:15" x14ac:dyDescent="0.3">
      <c r="O4236" t="str">
        <f t="shared" si="67"/>
        <v/>
      </c>
    </row>
    <row r="4237" spans="15:15" x14ac:dyDescent="0.3">
      <c r="O4237" t="str">
        <f t="shared" si="67"/>
        <v/>
      </c>
    </row>
    <row r="4238" spans="15:15" x14ac:dyDescent="0.3">
      <c r="O4238" t="str">
        <f t="shared" si="67"/>
        <v/>
      </c>
    </row>
    <row r="4239" spans="15:15" x14ac:dyDescent="0.3">
      <c r="O4239" t="str">
        <f t="shared" si="67"/>
        <v/>
      </c>
    </row>
    <row r="4240" spans="15:15" x14ac:dyDescent="0.3">
      <c r="O4240" t="str">
        <f t="shared" si="67"/>
        <v/>
      </c>
    </row>
    <row r="4241" spans="15:15" x14ac:dyDescent="0.3">
      <c r="O4241" t="str">
        <f t="shared" si="67"/>
        <v/>
      </c>
    </row>
    <row r="4242" spans="15:15" x14ac:dyDescent="0.3">
      <c r="O4242" t="str">
        <f t="shared" si="67"/>
        <v/>
      </c>
    </row>
    <row r="4243" spans="15:15" x14ac:dyDescent="0.3">
      <c r="O4243" t="str">
        <f t="shared" si="67"/>
        <v/>
      </c>
    </row>
    <row r="4244" spans="15:15" x14ac:dyDescent="0.3">
      <c r="O4244" t="str">
        <f t="shared" si="67"/>
        <v/>
      </c>
    </row>
    <row r="4245" spans="15:15" x14ac:dyDescent="0.3">
      <c r="O4245" t="str">
        <f t="shared" si="67"/>
        <v/>
      </c>
    </row>
    <row r="4246" spans="15:15" x14ac:dyDescent="0.3">
      <c r="O4246" t="str">
        <f t="shared" si="67"/>
        <v/>
      </c>
    </row>
    <row r="4247" spans="15:15" x14ac:dyDescent="0.3">
      <c r="O4247" t="str">
        <f t="shared" si="67"/>
        <v/>
      </c>
    </row>
    <row r="4248" spans="15:15" x14ac:dyDescent="0.3">
      <c r="O4248" t="str">
        <f t="shared" si="67"/>
        <v/>
      </c>
    </row>
    <row r="4249" spans="15:15" x14ac:dyDescent="0.3">
      <c r="O4249" t="str">
        <f t="shared" si="67"/>
        <v/>
      </c>
    </row>
    <row r="4250" spans="15:15" x14ac:dyDescent="0.3">
      <c r="O4250" t="str">
        <f t="shared" si="67"/>
        <v/>
      </c>
    </row>
    <row r="4251" spans="15:15" x14ac:dyDescent="0.3">
      <c r="O4251" t="str">
        <f t="shared" si="67"/>
        <v/>
      </c>
    </row>
    <row r="4252" spans="15:15" x14ac:dyDescent="0.3">
      <c r="O4252" t="str">
        <f t="shared" si="67"/>
        <v/>
      </c>
    </row>
    <row r="4253" spans="15:15" x14ac:dyDescent="0.3">
      <c r="O4253" t="str">
        <f t="shared" si="67"/>
        <v/>
      </c>
    </row>
    <row r="4254" spans="15:15" x14ac:dyDescent="0.3">
      <c r="O4254" t="str">
        <f t="shared" si="67"/>
        <v/>
      </c>
    </row>
    <row r="4255" spans="15:15" x14ac:dyDescent="0.3">
      <c r="O4255" t="str">
        <f t="shared" si="67"/>
        <v/>
      </c>
    </row>
    <row r="4256" spans="15:15" x14ac:dyDescent="0.3">
      <c r="O4256" t="str">
        <f t="shared" si="67"/>
        <v/>
      </c>
    </row>
    <row r="4257" spans="15:15" x14ac:dyDescent="0.3">
      <c r="O4257" t="str">
        <f t="shared" si="67"/>
        <v/>
      </c>
    </row>
    <row r="4258" spans="15:15" x14ac:dyDescent="0.3">
      <c r="O4258" t="str">
        <f t="shared" si="67"/>
        <v/>
      </c>
    </row>
    <row r="4259" spans="15:15" x14ac:dyDescent="0.3">
      <c r="O4259" t="str">
        <f t="shared" si="67"/>
        <v/>
      </c>
    </row>
    <row r="4260" spans="15:15" x14ac:dyDescent="0.3">
      <c r="O4260" t="str">
        <f t="shared" si="67"/>
        <v/>
      </c>
    </row>
    <row r="4261" spans="15:15" x14ac:dyDescent="0.3">
      <c r="O4261" t="str">
        <f t="shared" si="67"/>
        <v/>
      </c>
    </row>
    <row r="4262" spans="15:15" x14ac:dyDescent="0.3">
      <c r="O4262" t="str">
        <f t="shared" si="67"/>
        <v/>
      </c>
    </row>
    <row r="4263" spans="15:15" x14ac:dyDescent="0.3">
      <c r="O4263" t="str">
        <f t="shared" si="67"/>
        <v/>
      </c>
    </row>
    <row r="4264" spans="15:15" x14ac:dyDescent="0.3">
      <c r="O4264" t="str">
        <f t="shared" si="67"/>
        <v/>
      </c>
    </row>
    <row r="4265" spans="15:15" x14ac:dyDescent="0.3">
      <c r="O4265" t="str">
        <f t="shared" si="67"/>
        <v/>
      </c>
    </row>
    <row r="4266" spans="15:15" x14ac:dyDescent="0.3">
      <c r="O4266" t="str">
        <f t="shared" si="67"/>
        <v/>
      </c>
    </row>
    <row r="4267" spans="15:15" x14ac:dyDescent="0.3">
      <c r="O4267" t="str">
        <f t="shared" si="67"/>
        <v/>
      </c>
    </row>
    <row r="4268" spans="15:15" x14ac:dyDescent="0.3">
      <c r="O4268" t="str">
        <f t="shared" si="67"/>
        <v/>
      </c>
    </row>
    <row r="4269" spans="15:15" x14ac:dyDescent="0.3">
      <c r="O4269" t="str">
        <f t="shared" si="67"/>
        <v/>
      </c>
    </row>
    <row r="4270" spans="15:15" x14ac:dyDescent="0.3">
      <c r="O4270" t="str">
        <f t="shared" si="67"/>
        <v/>
      </c>
    </row>
    <row r="4271" spans="15:15" x14ac:dyDescent="0.3">
      <c r="O4271" t="str">
        <f t="shared" si="67"/>
        <v/>
      </c>
    </row>
    <row r="4272" spans="15:15" x14ac:dyDescent="0.3">
      <c r="O4272" t="str">
        <f t="shared" si="67"/>
        <v/>
      </c>
    </row>
    <row r="4273" spans="15:15" x14ac:dyDescent="0.3">
      <c r="O4273" t="str">
        <f t="shared" si="67"/>
        <v/>
      </c>
    </row>
    <row r="4274" spans="15:15" x14ac:dyDescent="0.3">
      <c r="O4274" t="str">
        <f t="shared" si="67"/>
        <v/>
      </c>
    </row>
    <row r="4275" spans="15:15" x14ac:dyDescent="0.3">
      <c r="O4275" t="str">
        <f t="shared" si="67"/>
        <v/>
      </c>
    </row>
    <row r="4276" spans="15:15" x14ac:dyDescent="0.3">
      <c r="O4276" t="str">
        <f t="shared" si="67"/>
        <v/>
      </c>
    </row>
    <row r="4277" spans="15:15" x14ac:dyDescent="0.3">
      <c r="O4277" t="str">
        <f t="shared" si="67"/>
        <v/>
      </c>
    </row>
    <row r="4278" spans="15:15" x14ac:dyDescent="0.3">
      <c r="O4278" t="str">
        <f t="shared" si="67"/>
        <v/>
      </c>
    </row>
    <row r="4279" spans="15:15" x14ac:dyDescent="0.3">
      <c r="O4279" t="str">
        <f t="shared" si="67"/>
        <v/>
      </c>
    </row>
    <row r="4280" spans="15:15" x14ac:dyDescent="0.3">
      <c r="O4280" t="str">
        <f t="shared" si="67"/>
        <v/>
      </c>
    </row>
    <row r="4281" spans="15:15" x14ac:dyDescent="0.3">
      <c r="O4281" t="str">
        <f t="shared" si="67"/>
        <v/>
      </c>
    </row>
    <row r="4282" spans="15:15" x14ac:dyDescent="0.3">
      <c r="O4282" t="str">
        <f t="shared" si="67"/>
        <v/>
      </c>
    </row>
    <row r="4283" spans="15:15" x14ac:dyDescent="0.3">
      <c r="O4283" t="str">
        <f t="shared" si="67"/>
        <v/>
      </c>
    </row>
    <row r="4284" spans="15:15" x14ac:dyDescent="0.3">
      <c r="O4284" t="str">
        <f t="shared" si="67"/>
        <v/>
      </c>
    </row>
    <row r="4285" spans="15:15" x14ac:dyDescent="0.3">
      <c r="O4285" t="str">
        <f t="shared" si="67"/>
        <v/>
      </c>
    </row>
    <row r="4286" spans="15:15" x14ac:dyDescent="0.3">
      <c r="O4286" t="str">
        <f t="shared" si="67"/>
        <v/>
      </c>
    </row>
    <row r="4287" spans="15:15" x14ac:dyDescent="0.3">
      <c r="O4287" t="str">
        <f t="shared" si="67"/>
        <v/>
      </c>
    </row>
    <row r="4288" spans="15:15" x14ac:dyDescent="0.3">
      <c r="O4288" t="str">
        <f t="shared" si="67"/>
        <v/>
      </c>
    </row>
    <row r="4289" spans="15:15" x14ac:dyDescent="0.3">
      <c r="O4289" t="str">
        <f t="shared" si="67"/>
        <v/>
      </c>
    </row>
    <row r="4290" spans="15:15" x14ac:dyDescent="0.3">
      <c r="O4290" t="str">
        <f t="shared" si="67"/>
        <v/>
      </c>
    </row>
    <row r="4291" spans="15:15" x14ac:dyDescent="0.3">
      <c r="O4291" t="str">
        <f t="shared" si="67"/>
        <v/>
      </c>
    </row>
    <row r="4292" spans="15:15" x14ac:dyDescent="0.3">
      <c r="O4292" t="str">
        <f t="shared" si="67"/>
        <v/>
      </c>
    </row>
    <row r="4293" spans="15:15" x14ac:dyDescent="0.3">
      <c r="O4293" t="str">
        <f t="shared" si="67"/>
        <v/>
      </c>
    </row>
    <row r="4294" spans="15:15" x14ac:dyDescent="0.3">
      <c r="O4294" t="str">
        <f t="shared" si="67"/>
        <v/>
      </c>
    </row>
    <row r="4295" spans="15:15" x14ac:dyDescent="0.3">
      <c r="O4295" t="str">
        <f t="shared" si="67"/>
        <v/>
      </c>
    </row>
    <row r="4296" spans="15:15" x14ac:dyDescent="0.3">
      <c r="O4296" t="str">
        <f t="shared" si="67"/>
        <v/>
      </c>
    </row>
    <row r="4297" spans="15:15" x14ac:dyDescent="0.3">
      <c r="O4297" t="str">
        <f t="shared" si="67"/>
        <v/>
      </c>
    </row>
    <row r="4298" spans="15:15" x14ac:dyDescent="0.3">
      <c r="O4298" t="str">
        <f t="shared" ref="O4298:O4361" si="68">IF(P4298="","",O4297+1)</f>
        <v/>
      </c>
    </row>
    <row r="4299" spans="15:15" x14ac:dyDescent="0.3">
      <c r="O4299" t="str">
        <f t="shared" si="68"/>
        <v/>
      </c>
    </row>
    <row r="4300" spans="15:15" x14ac:dyDescent="0.3">
      <c r="O4300" t="str">
        <f t="shared" si="68"/>
        <v/>
      </c>
    </row>
    <row r="4301" spans="15:15" x14ac:dyDescent="0.3">
      <c r="O4301" t="str">
        <f t="shared" si="68"/>
        <v/>
      </c>
    </row>
    <row r="4302" spans="15:15" x14ac:dyDescent="0.3">
      <c r="O4302" t="str">
        <f t="shared" si="68"/>
        <v/>
      </c>
    </row>
    <row r="4303" spans="15:15" x14ac:dyDescent="0.3">
      <c r="O4303" t="str">
        <f t="shared" si="68"/>
        <v/>
      </c>
    </row>
    <row r="4304" spans="15:15" x14ac:dyDescent="0.3">
      <c r="O4304" t="str">
        <f t="shared" si="68"/>
        <v/>
      </c>
    </row>
    <row r="4305" spans="15:15" x14ac:dyDescent="0.3">
      <c r="O4305" t="str">
        <f t="shared" si="68"/>
        <v/>
      </c>
    </row>
    <row r="4306" spans="15:15" x14ac:dyDescent="0.3">
      <c r="O4306" t="str">
        <f t="shared" si="68"/>
        <v/>
      </c>
    </row>
    <row r="4307" spans="15:15" x14ac:dyDescent="0.3">
      <c r="O4307" t="str">
        <f t="shared" si="68"/>
        <v/>
      </c>
    </row>
    <row r="4308" spans="15:15" x14ac:dyDescent="0.3">
      <c r="O4308" t="str">
        <f t="shared" si="68"/>
        <v/>
      </c>
    </row>
    <row r="4309" spans="15:15" x14ac:dyDescent="0.3">
      <c r="O4309" t="str">
        <f t="shared" si="68"/>
        <v/>
      </c>
    </row>
    <row r="4310" spans="15:15" x14ac:dyDescent="0.3">
      <c r="O4310" t="str">
        <f t="shared" si="68"/>
        <v/>
      </c>
    </row>
    <row r="4311" spans="15:15" x14ac:dyDescent="0.3">
      <c r="O4311" t="str">
        <f t="shared" si="68"/>
        <v/>
      </c>
    </row>
    <row r="4312" spans="15:15" x14ac:dyDescent="0.3">
      <c r="O4312" t="str">
        <f t="shared" si="68"/>
        <v/>
      </c>
    </row>
    <row r="4313" spans="15:15" x14ac:dyDescent="0.3">
      <c r="O4313" t="str">
        <f t="shared" si="68"/>
        <v/>
      </c>
    </row>
    <row r="4314" spans="15:15" x14ac:dyDescent="0.3">
      <c r="O4314" t="str">
        <f t="shared" si="68"/>
        <v/>
      </c>
    </row>
    <row r="4315" spans="15:15" x14ac:dyDescent="0.3">
      <c r="O4315" t="str">
        <f t="shared" si="68"/>
        <v/>
      </c>
    </row>
    <row r="4316" spans="15:15" x14ac:dyDescent="0.3">
      <c r="O4316" t="str">
        <f t="shared" si="68"/>
        <v/>
      </c>
    </row>
    <row r="4317" spans="15:15" x14ac:dyDescent="0.3">
      <c r="O4317" t="str">
        <f t="shared" si="68"/>
        <v/>
      </c>
    </row>
    <row r="4318" spans="15:15" x14ac:dyDescent="0.3">
      <c r="O4318" t="str">
        <f t="shared" si="68"/>
        <v/>
      </c>
    </row>
    <row r="4319" spans="15:15" x14ac:dyDescent="0.3">
      <c r="O4319" t="str">
        <f t="shared" si="68"/>
        <v/>
      </c>
    </row>
    <row r="4320" spans="15:15" x14ac:dyDescent="0.3">
      <c r="O4320" t="str">
        <f t="shared" si="68"/>
        <v/>
      </c>
    </row>
    <row r="4321" spans="15:15" x14ac:dyDescent="0.3">
      <c r="O4321" t="str">
        <f t="shared" si="68"/>
        <v/>
      </c>
    </row>
    <row r="4322" spans="15:15" x14ac:dyDescent="0.3">
      <c r="O4322" t="str">
        <f t="shared" si="68"/>
        <v/>
      </c>
    </row>
    <row r="4323" spans="15:15" x14ac:dyDescent="0.3">
      <c r="O4323" t="str">
        <f t="shared" si="68"/>
        <v/>
      </c>
    </row>
    <row r="4324" spans="15:15" x14ac:dyDescent="0.3">
      <c r="O4324" t="str">
        <f t="shared" si="68"/>
        <v/>
      </c>
    </row>
    <row r="4325" spans="15:15" x14ac:dyDescent="0.3">
      <c r="O4325" t="str">
        <f t="shared" si="68"/>
        <v/>
      </c>
    </row>
    <row r="4326" spans="15:15" x14ac:dyDescent="0.3">
      <c r="O4326" t="str">
        <f t="shared" si="68"/>
        <v/>
      </c>
    </row>
    <row r="4327" spans="15:15" x14ac:dyDescent="0.3">
      <c r="O4327" t="str">
        <f t="shared" si="68"/>
        <v/>
      </c>
    </row>
    <row r="4328" spans="15:15" x14ac:dyDescent="0.3">
      <c r="O4328" t="str">
        <f t="shared" si="68"/>
        <v/>
      </c>
    </row>
    <row r="4329" spans="15:15" x14ac:dyDescent="0.3">
      <c r="O4329" t="str">
        <f t="shared" si="68"/>
        <v/>
      </c>
    </row>
    <row r="4330" spans="15:15" x14ac:dyDescent="0.3">
      <c r="O4330" t="str">
        <f t="shared" si="68"/>
        <v/>
      </c>
    </row>
    <row r="4331" spans="15:15" x14ac:dyDescent="0.3">
      <c r="O4331" t="str">
        <f t="shared" si="68"/>
        <v/>
      </c>
    </row>
    <row r="4332" spans="15:15" x14ac:dyDescent="0.3">
      <c r="O4332" t="str">
        <f t="shared" si="68"/>
        <v/>
      </c>
    </row>
    <row r="4333" spans="15:15" x14ac:dyDescent="0.3">
      <c r="O4333" t="str">
        <f t="shared" si="68"/>
        <v/>
      </c>
    </row>
    <row r="4334" spans="15:15" x14ac:dyDescent="0.3">
      <c r="O4334" t="str">
        <f t="shared" si="68"/>
        <v/>
      </c>
    </row>
    <row r="4335" spans="15:15" x14ac:dyDescent="0.3">
      <c r="O4335" t="str">
        <f t="shared" si="68"/>
        <v/>
      </c>
    </row>
    <row r="4336" spans="15:15" x14ac:dyDescent="0.3">
      <c r="O4336" t="str">
        <f t="shared" si="68"/>
        <v/>
      </c>
    </row>
    <row r="4337" spans="15:15" x14ac:dyDescent="0.3">
      <c r="O4337" t="str">
        <f t="shared" si="68"/>
        <v/>
      </c>
    </row>
    <row r="4338" spans="15:15" x14ac:dyDescent="0.3">
      <c r="O4338" t="str">
        <f t="shared" si="68"/>
        <v/>
      </c>
    </row>
    <row r="4339" spans="15:15" x14ac:dyDescent="0.3">
      <c r="O4339" t="str">
        <f t="shared" si="68"/>
        <v/>
      </c>
    </row>
    <row r="4340" spans="15:15" x14ac:dyDescent="0.3">
      <c r="O4340" t="str">
        <f t="shared" si="68"/>
        <v/>
      </c>
    </row>
    <row r="4341" spans="15:15" x14ac:dyDescent="0.3">
      <c r="O4341" t="str">
        <f t="shared" si="68"/>
        <v/>
      </c>
    </row>
    <row r="4342" spans="15:15" x14ac:dyDescent="0.3">
      <c r="O4342" t="str">
        <f t="shared" si="68"/>
        <v/>
      </c>
    </row>
    <row r="4343" spans="15:15" x14ac:dyDescent="0.3">
      <c r="O4343" t="str">
        <f t="shared" si="68"/>
        <v/>
      </c>
    </row>
    <row r="4344" spans="15:15" x14ac:dyDescent="0.3">
      <c r="O4344" t="str">
        <f t="shared" si="68"/>
        <v/>
      </c>
    </row>
    <row r="4345" spans="15:15" x14ac:dyDescent="0.3">
      <c r="O4345" t="str">
        <f t="shared" si="68"/>
        <v/>
      </c>
    </row>
    <row r="4346" spans="15:15" x14ac:dyDescent="0.3">
      <c r="O4346" t="str">
        <f t="shared" si="68"/>
        <v/>
      </c>
    </row>
    <row r="4347" spans="15:15" x14ac:dyDescent="0.3">
      <c r="O4347" t="str">
        <f t="shared" si="68"/>
        <v/>
      </c>
    </row>
    <row r="4348" spans="15:15" x14ac:dyDescent="0.3">
      <c r="O4348" t="str">
        <f t="shared" si="68"/>
        <v/>
      </c>
    </row>
    <row r="4349" spans="15:15" x14ac:dyDescent="0.3">
      <c r="O4349" t="str">
        <f t="shared" si="68"/>
        <v/>
      </c>
    </row>
    <row r="4350" spans="15:15" x14ac:dyDescent="0.3">
      <c r="O4350" t="str">
        <f t="shared" si="68"/>
        <v/>
      </c>
    </row>
    <row r="4351" spans="15:15" x14ac:dyDescent="0.3">
      <c r="O4351" t="str">
        <f t="shared" si="68"/>
        <v/>
      </c>
    </row>
    <row r="4352" spans="15:15" x14ac:dyDescent="0.3">
      <c r="O4352" t="str">
        <f t="shared" si="68"/>
        <v/>
      </c>
    </row>
    <row r="4353" spans="15:15" x14ac:dyDescent="0.3">
      <c r="O4353" t="str">
        <f t="shared" si="68"/>
        <v/>
      </c>
    </row>
    <row r="4354" spans="15:15" x14ac:dyDescent="0.3">
      <c r="O4354" t="str">
        <f t="shared" si="68"/>
        <v/>
      </c>
    </row>
    <row r="4355" spans="15:15" x14ac:dyDescent="0.3">
      <c r="O4355" t="str">
        <f t="shared" si="68"/>
        <v/>
      </c>
    </row>
    <row r="4356" spans="15:15" x14ac:dyDescent="0.3">
      <c r="O4356" t="str">
        <f t="shared" si="68"/>
        <v/>
      </c>
    </row>
    <row r="4357" spans="15:15" x14ac:dyDescent="0.3">
      <c r="O4357" t="str">
        <f t="shared" si="68"/>
        <v/>
      </c>
    </row>
    <row r="4358" spans="15:15" x14ac:dyDescent="0.3">
      <c r="O4358" t="str">
        <f t="shared" si="68"/>
        <v/>
      </c>
    </row>
    <row r="4359" spans="15:15" x14ac:dyDescent="0.3">
      <c r="O4359" t="str">
        <f t="shared" si="68"/>
        <v/>
      </c>
    </row>
    <row r="4360" spans="15:15" x14ac:dyDescent="0.3">
      <c r="O4360" t="str">
        <f t="shared" si="68"/>
        <v/>
      </c>
    </row>
    <row r="4361" spans="15:15" x14ac:dyDescent="0.3">
      <c r="O4361" t="str">
        <f t="shared" si="68"/>
        <v/>
      </c>
    </row>
    <row r="4362" spans="15:15" x14ac:dyDescent="0.3">
      <c r="O4362" t="str">
        <f t="shared" ref="O4362:O4425" si="69">IF(P4362="","",O4361+1)</f>
        <v/>
      </c>
    </row>
    <row r="4363" spans="15:15" x14ac:dyDescent="0.3">
      <c r="O4363" t="str">
        <f t="shared" si="69"/>
        <v/>
      </c>
    </row>
    <row r="4364" spans="15:15" x14ac:dyDescent="0.3">
      <c r="O4364" t="str">
        <f t="shared" si="69"/>
        <v/>
      </c>
    </row>
    <row r="4365" spans="15:15" x14ac:dyDescent="0.3">
      <c r="O4365" t="str">
        <f t="shared" si="69"/>
        <v/>
      </c>
    </row>
    <row r="4366" spans="15:15" x14ac:dyDescent="0.3">
      <c r="O4366" t="str">
        <f t="shared" si="69"/>
        <v/>
      </c>
    </row>
    <row r="4367" spans="15:15" x14ac:dyDescent="0.3">
      <c r="O4367" t="str">
        <f t="shared" si="69"/>
        <v/>
      </c>
    </row>
    <row r="4368" spans="15:15" x14ac:dyDescent="0.3">
      <c r="O4368" t="str">
        <f t="shared" si="69"/>
        <v/>
      </c>
    </row>
    <row r="4369" spans="15:15" x14ac:dyDescent="0.3">
      <c r="O4369" t="str">
        <f t="shared" si="69"/>
        <v/>
      </c>
    </row>
    <row r="4370" spans="15:15" x14ac:dyDescent="0.3">
      <c r="O4370" t="str">
        <f t="shared" si="69"/>
        <v/>
      </c>
    </row>
    <row r="4371" spans="15:15" x14ac:dyDescent="0.3">
      <c r="O4371" t="str">
        <f t="shared" si="69"/>
        <v/>
      </c>
    </row>
    <row r="4372" spans="15:15" x14ac:dyDescent="0.3">
      <c r="O4372" t="str">
        <f t="shared" si="69"/>
        <v/>
      </c>
    </row>
    <row r="4373" spans="15:15" x14ac:dyDescent="0.3">
      <c r="O4373" t="str">
        <f t="shared" si="69"/>
        <v/>
      </c>
    </row>
    <row r="4374" spans="15:15" x14ac:dyDescent="0.3">
      <c r="O4374" t="str">
        <f t="shared" si="69"/>
        <v/>
      </c>
    </row>
    <row r="4375" spans="15:15" x14ac:dyDescent="0.3">
      <c r="O4375" t="str">
        <f t="shared" si="69"/>
        <v/>
      </c>
    </row>
    <row r="4376" spans="15:15" x14ac:dyDescent="0.3">
      <c r="O4376" t="str">
        <f t="shared" si="69"/>
        <v/>
      </c>
    </row>
    <row r="4377" spans="15:15" x14ac:dyDescent="0.3">
      <c r="O4377" t="str">
        <f t="shared" si="69"/>
        <v/>
      </c>
    </row>
    <row r="4378" spans="15:15" x14ac:dyDescent="0.3">
      <c r="O4378" t="str">
        <f t="shared" si="69"/>
        <v/>
      </c>
    </row>
    <row r="4379" spans="15:15" x14ac:dyDescent="0.3">
      <c r="O4379" t="str">
        <f t="shared" si="69"/>
        <v/>
      </c>
    </row>
    <row r="4380" spans="15:15" x14ac:dyDescent="0.3">
      <c r="O4380" t="str">
        <f t="shared" si="69"/>
        <v/>
      </c>
    </row>
    <row r="4381" spans="15:15" x14ac:dyDescent="0.3">
      <c r="O4381" t="str">
        <f t="shared" si="69"/>
        <v/>
      </c>
    </row>
    <row r="4382" spans="15:15" x14ac:dyDescent="0.3">
      <c r="O4382" t="str">
        <f t="shared" si="69"/>
        <v/>
      </c>
    </row>
    <row r="4383" spans="15:15" x14ac:dyDescent="0.3">
      <c r="O4383" t="str">
        <f t="shared" si="69"/>
        <v/>
      </c>
    </row>
    <row r="4384" spans="15:15" x14ac:dyDescent="0.3">
      <c r="O4384" t="str">
        <f t="shared" si="69"/>
        <v/>
      </c>
    </row>
    <row r="4385" spans="15:15" x14ac:dyDescent="0.3">
      <c r="O4385" t="str">
        <f t="shared" si="69"/>
        <v/>
      </c>
    </row>
    <row r="4386" spans="15:15" x14ac:dyDescent="0.3">
      <c r="O4386" t="str">
        <f t="shared" si="69"/>
        <v/>
      </c>
    </row>
    <row r="4387" spans="15:15" x14ac:dyDescent="0.3">
      <c r="O4387" t="str">
        <f t="shared" si="69"/>
        <v/>
      </c>
    </row>
    <row r="4388" spans="15:15" x14ac:dyDescent="0.3">
      <c r="O4388" t="str">
        <f t="shared" si="69"/>
        <v/>
      </c>
    </row>
    <row r="4389" spans="15:15" x14ac:dyDescent="0.3">
      <c r="O4389" t="str">
        <f t="shared" si="69"/>
        <v/>
      </c>
    </row>
    <row r="4390" spans="15:15" x14ac:dyDescent="0.3">
      <c r="O4390" t="str">
        <f t="shared" si="69"/>
        <v/>
      </c>
    </row>
    <row r="4391" spans="15:15" x14ac:dyDescent="0.3">
      <c r="O4391" t="str">
        <f t="shared" si="69"/>
        <v/>
      </c>
    </row>
    <row r="4392" spans="15:15" x14ac:dyDescent="0.3">
      <c r="O4392" t="str">
        <f t="shared" si="69"/>
        <v/>
      </c>
    </row>
    <row r="4393" spans="15:15" x14ac:dyDescent="0.3">
      <c r="O4393" t="str">
        <f t="shared" si="69"/>
        <v/>
      </c>
    </row>
    <row r="4394" spans="15:15" x14ac:dyDescent="0.3">
      <c r="O4394" t="str">
        <f t="shared" si="69"/>
        <v/>
      </c>
    </row>
    <row r="4395" spans="15:15" x14ac:dyDescent="0.3">
      <c r="O4395" t="str">
        <f t="shared" si="69"/>
        <v/>
      </c>
    </row>
    <row r="4396" spans="15:15" x14ac:dyDescent="0.3">
      <c r="O4396" t="str">
        <f t="shared" si="69"/>
        <v/>
      </c>
    </row>
    <row r="4397" spans="15:15" x14ac:dyDescent="0.3">
      <c r="O4397" t="str">
        <f t="shared" si="69"/>
        <v/>
      </c>
    </row>
    <row r="4398" spans="15:15" x14ac:dyDescent="0.3">
      <c r="O4398" t="str">
        <f t="shared" si="69"/>
        <v/>
      </c>
    </row>
    <row r="4399" spans="15:15" x14ac:dyDescent="0.3">
      <c r="O4399" t="str">
        <f t="shared" si="69"/>
        <v/>
      </c>
    </row>
    <row r="4400" spans="15:15" x14ac:dyDescent="0.3">
      <c r="O4400" t="str">
        <f t="shared" si="69"/>
        <v/>
      </c>
    </row>
    <row r="4401" spans="15:15" x14ac:dyDescent="0.3">
      <c r="O4401" t="str">
        <f t="shared" si="69"/>
        <v/>
      </c>
    </row>
    <row r="4402" spans="15:15" x14ac:dyDescent="0.3">
      <c r="O4402" t="str">
        <f t="shared" si="69"/>
        <v/>
      </c>
    </row>
    <row r="4403" spans="15:15" x14ac:dyDescent="0.3">
      <c r="O4403" t="str">
        <f t="shared" si="69"/>
        <v/>
      </c>
    </row>
    <row r="4404" spans="15:15" x14ac:dyDescent="0.3">
      <c r="O4404" t="str">
        <f t="shared" si="69"/>
        <v/>
      </c>
    </row>
    <row r="4405" spans="15:15" x14ac:dyDescent="0.3">
      <c r="O4405" t="str">
        <f t="shared" si="69"/>
        <v/>
      </c>
    </row>
    <row r="4406" spans="15:15" x14ac:dyDescent="0.3">
      <c r="O4406" t="str">
        <f t="shared" si="69"/>
        <v/>
      </c>
    </row>
    <row r="4407" spans="15:15" x14ac:dyDescent="0.3">
      <c r="O4407" t="str">
        <f t="shared" si="69"/>
        <v/>
      </c>
    </row>
    <row r="4408" spans="15:15" x14ac:dyDescent="0.3">
      <c r="O4408" t="str">
        <f t="shared" si="69"/>
        <v/>
      </c>
    </row>
    <row r="4409" spans="15:15" x14ac:dyDescent="0.3">
      <c r="O4409" t="str">
        <f t="shared" si="69"/>
        <v/>
      </c>
    </row>
    <row r="4410" spans="15:15" x14ac:dyDescent="0.3">
      <c r="O4410" t="str">
        <f t="shared" si="69"/>
        <v/>
      </c>
    </row>
    <row r="4411" spans="15:15" x14ac:dyDescent="0.3">
      <c r="O4411" t="str">
        <f t="shared" si="69"/>
        <v/>
      </c>
    </row>
    <row r="4412" spans="15:15" x14ac:dyDescent="0.3">
      <c r="O4412" t="str">
        <f t="shared" si="69"/>
        <v/>
      </c>
    </row>
    <row r="4413" spans="15:15" x14ac:dyDescent="0.3">
      <c r="O4413" t="str">
        <f t="shared" si="69"/>
        <v/>
      </c>
    </row>
    <row r="4414" spans="15:15" x14ac:dyDescent="0.3">
      <c r="O4414" t="str">
        <f t="shared" si="69"/>
        <v/>
      </c>
    </row>
    <row r="4415" spans="15:15" x14ac:dyDescent="0.3">
      <c r="O4415" t="str">
        <f t="shared" si="69"/>
        <v/>
      </c>
    </row>
    <row r="4416" spans="15:15" x14ac:dyDescent="0.3">
      <c r="O4416" t="str">
        <f t="shared" si="69"/>
        <v/>
      </c>
    </row>
    <row r="4417" spans="15:15" x14ac:dyDescent="0.3">
      <c r="O4417" t="str">
        <f t="shared" si="69"/>
        <v/>
      </c>
    </row>
    <row r="4418" spans="15:15" x14ac:dyDescent="0.3">
      <c r="O4418" t="str">
        <f t="shared" si="69"/>
        <v/>
      </c>
    </row>
    <row r="4419" spans="15:15" x14ac:dyDescent="0.3">
      <c r="O4419" t="str">
        <f t="shared" si="69"/>
        <v/>
      </c>
    </row>
    <row r="4420" spans="15:15" x14ac:dyDescent="0.3">
      <c r="O4420" t="str">
        <f t="shared" si="69"/>
        <v/>
      </c>
    </row>
    <row r="4421" spans="15:15" x14ac:dyDescent="0.3">
      <c r="O4421" t="str">
        <f t="shared" si="69"/>
        <v/>
      </c>
    </row>
    <row r="4422" spans="15:15" x14ac:dyDescent="0.3">
      <c r="O4422" t="str">
        <f t="shared" si="69"/>
        <v/>
      </c>
    </row>
    <row r="4423" spans="15:15" x14ac:dyDescent="0.3">
      <c r="O4423" t="str">
        <f t="shared" si="69"/>
        <v/>
      </c>
    </row>
    <row r="4424" spans="15:15" x14ac:dyDescent="0.3">
      <c r="O4424" t="str">
        <f t="shared" si="69"/>
        <v/>
      </c>
    </row>
    <row r="4425" spans="15:15" x14ac:dyDescent="0.3">
      <c r="O4425" t="str">
        <f t="shared" si="69"/>
        <v/>
      </c>
    </row>
    <row r="4426" spans="15:15" x14ac:dyDescent="0.3">
      <c r="O4426" t="str">
        <f t="shared" ref="O4426:O4489" si="70">IF(P4426="","",O4425+1)</f>
        <v/>
      </c>
    </row>
    <row r="4427" spans="15:15" x14ac:dyDescent="0.3">
      <c r="O4427" t="str">
        <f t="shared" si="70"/>
        <v/>
      </c>
    </row>
    <row r="4428" spans="15:15" x14ac:dyDescent="0.3">
      <c r="O4428" t="str">
        <f t="shared" si="70"/>
        <v/>
      </c>
    </row>
    <row r="4429" spans="15:15" x14ac:dyDescent="0.3">
      <c r="O4429" t="str">
        <f t="shared" si="70"/>
        <v/>
      </c>
    </row>
    <row r="4430" spans="15:15" x14ac:dyDescent="0.3">
      <c r="O4430" t="str">
        <f t="shared" si="70"/>
        <v/>
      </c>
    </row>
    <row r="4431" spans="15:15" x14ac:dyDescent="0.3">
      <c r="O4431" t="str">
        <f t="shared" si="70"/>
        <v/>
      </c>
    </row>
    <row r="4432" spans="15:15" x14ac:dyDescent="0.3">
      <c r="O4432" t="str">
        <f t="shared" si="70"/>
        <v/>
      </c>
    </row>
    <row r="4433" spans="15:15" x14ac:dyDescent="0.3">
      <c r="O4433" t="str">
        <f t="shared" si="70"/>
        <v/>
      </c>
    </row>
    <row r="4434" spans="15:15" x14ac:dyDescent="0.3">
      <c r="O4434" t="str">
        <f t="shared" si="70"/>
        <v/>
      </c>
    </row>
    <row r="4435" spans="15:15" x14ac:dyDescent="0.3">
      <c r="O4435" t="str">
        <f t="shared" si="70"/>
        <v/>
      </c>
    </row>
    <row r="4436" spans="15:15" x14ac:dyDescent="0.3">
      <c r="O4436" t="str">
        <f t="shared" si="70"/>
        <v/>
      </c>
    </row>
    <row r="4437" spans="15:15" x14ac:dyDescent="0.3">
      <c r="O4437" t="str">
        <f t="shared" si="70"/>
        <v/>
      </c>
    </row>
    <row r="4438" spans="15:15" x14ac:dyDescent="0.3">
      <c r="O4438" t="str">
        <f t="shared" si="70"/>
        <v/>
      </c>
    </row>
    <row r="4439" spans="15:15" x14ac:dyDescent="0.3">
      <c r="O4439" t="str">
        <f t="shared" si="70"/>
        <v/>
      </c>
    </row>
    <row r="4440" spans="15:15" x14ac:dyDescent="0.3">
      <c r="O4440" t="str">
        <f t="shared" si="70"/>
        <v/>
      </c>
    </row>
    <row r="4441" spans="15:15" x14ac:dyDescent="0.3">
      <c r="O4441" t="str">
        <f t="shared" si="70"/>
        <v/>
      </c>
    </row>
    <row r="4442" spans="15:15" x14ac:dyDescent="0.3">
      <c r="O4442" t="str">
        <f t="shared" si="70"/>
        <v/>
      </c>
    </row>
    <row r="4443" spans="15:15" x14ac:dyDescent="0.3">
      <c r="O4443" t="str">
        <f t="shared" si="70"/>
        <v/>
      </c>
    </row>
    <row r="4444" spans="15:15" x14ac:dyDescent="0.3">
      <c r="O4444" t="str">
        <f t="shared" si="70"/>
        <v/>
      </c>
    </row>
    <row r="4445" spans="15:15" x14ac:dyDescent="0.3">
      <c r="O4445" t="str">
        <f t="shared" si="70"/>
        <v/>
      </c>
    </row>
    <row r="4446" spans="15:15" x14ac:dyDescent="0.3">
      <c r="O4446" t="str">
        <f t="shared" si="70"/>
        <v/>
      </c>
    </row>
    <row r="4447" spans="15:15" x14ac:dyDescent="0.3">
      <c r="O4447" t="str">
        <f t="shared" si="70"/>
        <v/>
      </c>
    </row>
    <row r="4448" spans="15:15" x14ac:dyDescent="0.3">
      <c r="O4448" t="str">
        <f t="shared" si="70"/>
        <v/>
      </c>
    </row>
    <row r="4449" spans="15:15" x14ac:dyDescent="0.3">
      <c r="O4449" t="str">
        <f t="shared" si="70"/>
        <v/>
      </c>
    </row>
    <row r="4450" spans="15:15" x14ac:dyDescent="0.3">
      <c r="O4450" t="str">
        <f t="shared" si="70"/>
        <v/>
      </c>
    </row>
    <row r="4451" spans="15:15" x14ac:dyDescent="0.3">
      <c r="O4451" t="str">
        <f t="shared" si="70"/>
        <v/>
      </c>
    </row>
    <row r="4452" spans="15:15" x14ac:dyDescent="0.3">
      <c r="O4452" t="str">
        <f t="shared" si="70"/>
        <v/>
      </c>
    </row>
    <row r="4453" spans="15:15" x14ac:dyDescent="0.3">
      <c r="O4453" t="str">
        <f t="shared" si="70"/>
        <v/>
      </c>
    </row>
    <row r="4454" spans="15:15" x14ac:dyDescent="0.3">
      <c r="O4454" t="str">
        <f t="shared" si="70"/>
        <v/>
      </c>
    </row>
    <row r="4455" spans="15:15" x14ac:dyDescent="0.3">
      <c r="O4455" t="str">
        <f t="shared" si="70"/>
        <v/>
      </c>
    </row>
    <row r="4456" spans="15:15" x14ac:dyDescent="0.3">
      <c r="O4456" t="str">
        <f t="shared" si="70"/>
        <v/>
      </c>
    </row>
    <row r="4457" spans="15:15" x14ac:dyDescent="0.3">
      <c r="O4457" t="str">
        <f t="shared" si="70"/>
        <v/>
      </c>
    </row>
    <row r="4458" spans="15:15" x14ac:dyDescent="0.3">
      <c r="O4458" t="str">
        <f t="shared" si="70"/>
        <v/>
      </c>
    </row>
    <row r="4459" spans="15:15" x14ac:dyDescent="0.3">
      <c r="O4459" t="str">
        <f t="shared" si="70"/>
        <v/>
      </c>
    </row>
    <row r="4460" spans="15:15" x14ac:dyDescent="0.3">
      <c r="O4460" t="str">
        <f t="shared" si="70"/>
        <v/>
      </c>
    </row>
    <row r="4461" spans="15:15" x14ac:dyDescent="0.3">
      <c r="O4461" t="str">
        <f t="shared" si="70"/>
        <v/>
      </c>
    </row>
    <row r="4462" spans="15:15" x14ac:dyDescent="0.3">
      <c r="O4462" t="str">
        <f t="shared" si="70"/>
        <v/>
      </c>
    </row>
    <row r="4463" spans="15:15" x14ac:dyDescent="0.3">
      <c r="O4463" t="str">
        <f t="shared" si="70"/>
        <v/>
      </c>
    </row>
    <row r="4464" spans="15:15" x14ac:dyDescent="0.3">
      <c r="O4464" t="str">
        <f t="shared" si="70"/>
        <v/>
      </c>
    </row>
    <row r="4465" spans="15:15" x14ac:dyDescent="0.3">
      <c r="O4465" t="str">
        <f t="shared" si="70"/>
        <v/>
      </c>
    </row>
    <row r="4466" spans="15:15" x14ac:dyDescent="0.3">
      <c r="O4466" t="str">
        <f t="shared" si="70"/>
        <v/>
      </c>
    </row>
    <row r="4467" spans="15:15" x14ac:dyDescent="0.3">
      <c r="O4467" t="str">
        <f t="shared" si="70"/>
        <v/>
      </c>
    </row>
    <row r="4468" spans="15:15" x14ac:dyDescent="0.3">
      <c r="O4468" t="str">
        <f t="shared" si="70"/>
        <v/>
      </c>
    </row>
    <row r="4469" spans="15:15" x14ac:dyDescent="0.3">
      <c r="O4469" t="str">
        <f t="shared" si="70"/>
        <v/>
      </c>
    </row>
    <row r="4470" spans="15:15" x14ac:dyDescent="0.3">
      <c r="O4470" t="str">
        <f t="shared" si="70"/>
        <v/>
      </c>
    </row>
    <row r="4471" spans="15:15" x14ac:dyDescent="0.3">
      <c r="O4471" t="str">
        <f t="shared" si="70"/>
        <v/>
      </c>
    </row>
    <row r="4472" spans="15:15" x14ac:dyDescent="0.3">
      <c r="O4472" t="str">
        <f t="shared" si="70"/>
        <v/>
      </c>
    </row>
    <row r="4473" spans="15:15" x14ac:dyDescent="0.3">
      <c r="O4473" t="str">
        <f t="shared" si="70"/>
        <v/>
      </c>
    </row>
    <row r="4474" spans="15:15" x14ac:dyDescent="0.3">
      <c r="O4474" t="str">
        <f t="shared" si="70"/>
        <v/>
      </c>
    </row>
    <row r="4475" spans="15:15" x14ac:dyDescent="0.3">
      <c r="O4475" t="str">
        <f t="shared" si="70"/>
        <v/>
      </c>
    </row>
    <row r="4476" spans="15:15" x14ac:dyDescent="0.3">
      <c r="O4476" t="str">
        <f t="shared" si="70"/>
        <v/>
      </c>
    </row>
    <row r="4477" spans="15:15" x14ac:dyDescent="0.3">
      <c r="O4477" t="str">
        <f t="shared" si="70"/>
        <v/>
      </c>
    </row>
    <row r="4478" spans="15:15" x14ac:dyDescent="0.3">
      <c r="O4478" t="str">
        <f t="shared" si="70"/>
        <v/>
      </c>
    </row>
    <row r="4479" spans="15:15" x14ac:dyDescent="0.3">
      <c r="O4479" t="str">
        <f t="shared" si="70"/>
        <v/>
      </c>
    </row>
    <row r="4480" spans="15:15" x14ac:dyDescent="0.3">
      <c r="O4480" t="str">
        <f t="shared" si="70"/>
        <v/>
      </c>
    </row>
    <row r="4481" spans="15:15" x14ac:dyDescent="0.3">
      <c r="O4481" t="str">
        <f t="shared" si="70"/>
        <v/>
      </c>
    </row>
    <row r="4482" spans="15:15" x14ac:dyDescent="0.3">
      <c r="O4482" t="str">
        <f t="shared" si="70"/>
        <v/>
      </c>
    </row>
    <row r="4483" spans="15:15" x14ac:dyDescent="0.3">
      <c r="O4483" t="str">
        <f t="shared" si="70"/>
        <v/>
      </c>
    </row>
    <row r="4484" spans="15:15" x14ac:dyDescent="0.3">
      <c r="O4484" t="str">
        <f t="shared" si="70"/>
        <v/>
      </c>
    </row>
    <row r="4485" spans="15:15" x14ac:dyDescent="0.3">
      <c r="O4485" t="str">
        <f t="shared" si="70"/>
        <v/>
      </c>
    </row>
    <row r="4486" spans="15:15" x14ac:dyDescent="0.3">
      <c r="O4486" t="str">
        <f t="shared" si="70"/>
        <v/>
      </c>
    </row>
    <row r="4487" spans="15:15" x14ac:dyDescent="0.3">
      <c r="O4487" t="str">
        <f t="shared" si="70"/>
        <v/>
      </c>
    </row>
    <row r="4488" spans="15:15" x14ac:dyDescent="0.3">
      <c r="O4488" t="str">
        <f t="shared" si="70"/>
        <v/>
      </c>
    </row>
    <row r="4489" spans="15:15" x14ac:dyDescent="0.3">
      <c r="O4489" t="str">
        <f t="shared" si="70"/>
        <v/>
      </c>
    </row>
    <row r="4490" spans="15:15" x14ac:dyDescent="0.3">
      <c r="O4490" t="str">
        <f t="shared" ref="O4490:O4553" si="71">IF(P4490="","",O4489+1)</f>
        <v/>
      </c>
    </row>
    <row r="4491" spans="15:15" x14ac:dyDescent="0.3">
      <c r="O4491" t="str">
        <f t="shared" si="71"/>
        <v/>
      </c>
    </row>
    <row r="4492" spans="15:15" x14ac:dyDescent="0.3">
      <c r="O4492" t="str">
        <f t="shared" si="71"/>
        <v/>
      </c>
    </row>
    <row r="4493" spans="15:15" x14ac:dyDescent="0.3">
      <c r="O4493" t="str">
        <f t="shared" si="71"/>
        <v/>
      </c>
    </row>
    <row r="4494" spans="15:15" x14ac:dyDescent="0.3">
      <c r="O4494" t="str">
        <f t="shared" si="71"/>
        <v/>
      </c>
    </row>
    <row r="4495" spans="15:15" x14ac:dyDescent="0.3">
      <c r="O4495" t="str">
        <f t="shared" si="71"/>
        <v/>
      </c>
    </row>
    <row r="4496" spans="15:15" x14ac:dyDescent="0.3">
      <c r="O4496" t="str">
        <f t="shared" si="71"/>
        <v/>
      </c>
    </row>
    <row r="4497" spans="15:15" x14ac:dyDescent="0.3">
      <c r="O4497" t="str">
        <f t="shared" si="71"/>
        <v/>
      </c>
    </row>
    <row r="4498" spans="15:15" x14ac:dyDescent="0.3">
      <c r="O4498" t="str">
        <f t="shared" si="71"/>
        <v/>
      </c>
    </row>
    <row r="4499" spans="15:15" x14ac:dyDescent="0.3">
      <c r="O4499" t="str">
        <f t="shared" si="71"/>
        <v/>
      </c>
    </row>
    <row r="4500" spans="15:15" x14ac:dyDescent="0.3">
      <c r="O4500" t="str">
        <f t="shared" si="71"/>
        <v/>
      </c>
    </row>
    <row r="4501" spans="15:15" x14ac:dyDescent="0.3">
      <c r="O4501" t="str">
        <f t="shared" si="71"/>
        <v/>
      </c>
    </row>
    <row r="4502" spans="15:15" x14ac:dyDescent="0.3">
      <c r="O4502" t="str">
        <f t="shared" si="71"/>
        <v/>
      </c>
    </row>
    <row r="4503" spans="15:15" x14ac:dyDescent="0.3">
      <c r="O4503" t="str">
        <f t="shared" si="71"/>
        <v/>
      </c>
    </row>
    <row r="4504" spans="15:15" x14ac:dyDescent="0.3">
      <c r="O4504" t="str">
        <f t="shared" si="71"/>
        <v/>
      </c>
    </row>
    <row r="4505" spans="15:15" x14ac:dyDescent="0.3">
      <c r="O4505" t="str">
        <f t="shared" si="71"/>
        <v/>
      </c>
    </row>
    <row r="4506" spans="15:15" x14ac:dyDescent="0.3">
      <c r="O4506" t="str">
        <f t="shared" si="71"/>
        <v/>
      </c>
    </row>
    <row r="4507" spans="15:15" x14ac:dyDescent="0.3">
      <c r="O4507" t="str">
        <f t="shared" si="71"/>
        <v/>
      </c>
    </row>
    <row r="4508" spans="15:15" x14ac:dyDescent="0.3">
      <c r="O4508" t="str">
        <f t="shared" si="71"/>
        <v/>
      </c>
    </row>
    <row r="4509" spans="15:15" x14ac:dyDescent="0.3">
      <c r="O4509" t="str">
        <f t="shared" si="71"/>
        <v/>
      </c>
    </row>
    <row r="4510" spans="15:15" x14ac:dyDescent="0.3">
      <c r="O4510" t="str">
        <f t="shared" si="71"/>
        <v/>
      </c>
    </row>
    <row r="4511" spans="15:15" x14ac:dyDescent="0.3">
      <c r="O4511" t="str">
        <f t="shared" si="71"/>
        <v/>
      </c>
    </row>
    <row r="4512" spans="15:15" x14ac:dyDescent="0.3">
      <c r="O4512" t="str">
        <f t="shared" si="71"/>
        <v/>
      </c>
    </row>
    <row r="4513" spans="15:15" x14ac:dyDescent="0.3">
      <c r="O4513" t="str">
        <f t="shared" si="71"/>
        <v/>
      </c>
    </row>
    <row r="4514" spans="15:15" x14ac:dyDescent="0.3">
      <c r="O4514" t="str">
        <f t="shared" si="71"/>
        <v/>
      </c>
    </row>
    <row r="4515" spans="15:15" x14ac:dyDescent="0.3">
      <c r="O4515" t="str">
        <f t="shared" si="71"/>
        <v/>
      </c>
    </row>
    <row r="4516" spans="15:15" x14ac:dyDescent="0.3">
      <c r="O4516" t="str">
        <f t="shared" si="71"/>
        <v/>
      </c>
    </row>
    <row r="4517" spans="15:15" x14ac:dyDescent="0.3">
      <c r="O4517" t="str">
        <f t="shared" si="71"/>
        <v/>
      </c>
    </row>
    <row r="4518" spans="15:15" x14ac:dyDescent="0.3">
      <c r="O4518" t="str">
        <f t="shared" si="71"/>
        <v/>
      </c>
    </row>
    <row r="4519" spans="15:15" x14ac:dyDescent="0.3">
      <c r="O4519" t="str">
        <f t="shared" si="71"/>
        <v/>
      </c>
    </row>
    <row r="4520" spans="15:15" x14ac:dyDescent="0.3">
      <c r="O4520" t="str">
        <f t="shared" si="71"/>
        <v/>
      </c>
    </row>
    <row r="4521" spans="15:15" x14ac:dyDescent="0.3">
      <c r="O4521" t="str">
        <f t="shared" si="71"/>
        <v/>
      </c>
    </row>
    <row r="4522" spans="15:15" x14ac:dyDescent="0.3">
      <c r="O4522" t="str">
        <f t="shared" si="71"/>
        <v/>
      </c>
    </row>
    <row r="4523" spans="15:15" x14ac:dyDescent="0.3">
      <c r="O4523" t="str">
        <f t="shared" si="71"/>
        <v/>
      </c>
    </row>
    <row r="4524" spans="15:15" x14ac:dyDescent="0.3">
      <c r="O4524" t="str">
        <f t="shared" si="71"/>
        <v/>
      </c>
    </row>
    <row r="4525" spans="15:15" x14ac:dyDescent="0.3">
      <c r="O4525" t="str">
        <f t="shared" si="71"/>
        <v/>
      </c>
    </row>
    <row r="4526" spans="15:15" x14ac:dyDescent="0.3">
      <c r="O4526" t="str">
        <f t="shared" si="71"/>
        <v/>
      </c>
    </row>
    <row r="4527" spans="15:15" x14ac:dyDescent="0.3">
      <c r="O4527" t="str">
        <f t="shared" si="71"/>
        <v/>
      </c>
    </row>
    <row r="4528" spans="15:15" x14ac:dyDescent="0.3">
      <c r="O4528" t="str">
        <f t="shared" si="71"/>
        <v/>
      </c>
    </row>
    <row r="4529" spans="15:15" x14ac:dyDescent="0.3">
      <c r="O4529" t="str">
        <f t="shared" si="71"/>
        <v/>
      </c>
    </row>
    <row r="4530" spans="15:15" x14ac:dyDescent="0.3">
      <c r="O4530" t="str">
        <f t="shared" si="71"/>
        <v/>
      </c>
    </row>
    <row r="4531" spans="15:15" x14ac:dyDescent="0.3">
      <c r="O4531" t="str">
        <f t="shared" si="71"/>
        <v/>
      </c>
    </row>
    <row r="4532" spans="15:15" x14ac:dyDescent="0.3">
      <c r="O4532" t="str">
        <f t="shared" si="71"/>
        <v/>
      </c>
    </row>
    <row r="4533" spans="15:15" x14ac:dyDescent="0.3">
      <c r="O4533" t="str">
        <f t="shared" si="71"/>
        <v/>
      </c>
    </row>
    <row r="4534" spans="15:15" x14ac:dyDescent="0.3">
      <c r="O4534" t="str">
        <f t="shared" si="71"/>
        <v/>
      </c>
    </row>
    <row r="4535" spans="15:15" x14ac:dyDescent="0.3">
      <c r="O4535" t="str">
        <f t="shared" si="71"/>
        <v/>
      </c>
    </row>
    <row r="4536" spans="15:15" x14ac:dyDescent="0.3">
      <c r="O4536" t="str">
        <f t="shared" si="71"/>
        <v/>
      </c>
    </row>
    <row r="4537" spans="15:15" x14ac:dyDescent="0.3">
      <c r="O4537" t="str">
        <f t="shared" si="71"/>
        <v/>
      </c>
    </row>
    <row r="4538" spans="15:15" x14ac:dyDescent="0.3">
      <c r="O4538" t="str">
        <f t="shared" si="71"/>
        <v/>
      </c>
    </row>
    <row r="4539" spans="15:15" x14ac:dyDescent="0.3">
      <c r="O4539" t="str">
        <f t="shared" si="71"/>
        <v/>
      </c>
    </row>
    <row r="4540" spans="15:15" x14ac:dyDescent="0.3">
      <c r="O4540" t="str">
        <f t="shared" si="71"/>
        <v/>
      </c>
    </row>
    <row r="4541" spans="15:15" x14ac:dyDescent="0.3">
      <c r="O4541" t="str">
        <f t="shared" si="71"/>
        <v/>
      </c>
    </row>
    <row r="4542" spans="15:15" x14ac:dyDescent="0.3">
      <c r="O4542" t="str">
        <f t="shared" si="71"/>
        <v/>
      </c>
    </row>
    <row r="4543" spans="15:15" x14ac:dyDescent="0.3">
      <c r="O4543" t="str">
        <f t="shared" si="71"/>
        <v/>
      </c>
    </row>
    <row r="4544" spans="15:15" x14ac:dyDescent="0.3">
      <c r="O4544" t="str">
        <f t="shared" si="71"/>
        <v/>
      </c>
    </row>
    <row r="4545" spans="15:15" x14ac:dyDescent="0.3">
      <c r="O4545" t="str">
        <f t="shared" si="71"/>
        <v/>
      </c>
    </row>
    <row r="4546" spans="15:15" x14ac:dyDescent="0.3">
      <c r="O4546" t="str">
        <f t="shared" si="71"/>
        <v/>
      </c>
    </row>
    <row r="4547" spans="15:15" x14ac:dyDescent="0.3">
      <c r="O4547" t="str">
        <f t="shared" si="71"/>
        <v/>
      </c>
    </row>
    <row r="4548" spans="15:15" x14ac:dyDescent="0.3">
      <c r="O4548" t="str">
        <f t="shared" si="71"/>
        <v/>
      </c>
    </row>
    <row r="4549" spans="15:15" x14ac:dyDescent="0.3">
      <c r="O4549" t="str">
        <f t="shared" si="71"/>
        <v/>
      </c>
    </row>
    <row r="4550" spans="15:15" x14ac:dyDescent="0.3">
      <c r="O4550" t="str">
        <f t="shared" si="71"/>
        <v/>
      </c>
    </row>
    <row r="4551" spans="15:15" x14ac:dyDescent="0.3">
      <c r="O4551" t="str">
        <f t="shared" si="71"/>
        <v/>
      </c>
    </row>
    <row r="4552" spans="15:15" x14ac:dyDescent="0.3">
      <c r="O4552" t="str">
        <f t="shared" si="71"/>
        <v/>
      </c>
    </row>
    <row r="4553" spans="15:15" x14ac:dyDescent="0.3">
      <c r="O4553" t="str">
        <f t="shared" si="71"/>
        <v/>
      </c>
    </row>
    <row r="4554" spans="15:15" x14ac:dyDescent="0.3">
      <c r="O4554" t="str">
        <f t="shared" ref="O4554:O4617" si="72">IF(P4554="","",O4553+1)</f>
        <v/>
      </c>
    </row>
    <row r="4555" spans="15:15" x14ac:dyDescent="0.3">
      <c r="O4555" t="str">
        <f t="shared" si="72"/>
        <v/>
      </c>
    </row>
    <row r="4556" spans="15:15" x14ac:dyDescent="0.3">
      <c r="O4556" t="str">
        <f t="shared" si="72"/>
        <v/>
      </c>
    </row>
    <row r="4557" spans="15:15" x14ac:dyDescent="0.3">
      <c r="O4557" t="str">
        <f t="shared" si="72"/>
        <v/>
      </c>
    </row>
    <row r="4558" spans="15:15" x14ac:dyDescent="0.3">
      <c r="O4558" t="str">
        <f t="shared" si="72"/>
        <v/>
      </c>
    </row>
    <row r="4559" spans="15:15" x14ac:dyDescent="0.3">
      <c r="O4559" t="str">
        <f t="shared" si="72"/>
        <v/>
      </c>
    </row>
    <row r="4560" spans="15:15" x14ac:dyDescent="0.3">
      <c r="O4560" t="str">
        <f t="shared" si="72"/>
        <v/>
      </c>
    </row>
    <row r="4561" spans="15:15" x14ac:dyDescent="0.3">
      <c r="O4561" t="str">
        <f t="shared" si="72"/>
        <v/>
      </c>
    </row>
    <row r="4562" spans="15:15" x14ac:dyDescent="0.3">
      <c r="O4562" t="str">
        <f t="shared" si="72"/>
        <v/>
      </c>
    </row>
    <row r="4563" spans="15:15" x14ac:dyDescent="0.3">
      <c r="O4563" t="str">
        <f t="shared" si="72"/>
        <v/>
      </c>
    </row>
    <row r="4564" spans="15:15" x14ac:dyDescent="0.3">
      <c r="O4564" t="str">
        <f t="shared" si="72"/>
        <v/>
      </c>
    </row>
    <row r="4565" spans="15:15" x14ac:dyDescent="0.3">
      <c r="O4565" t="str">
        <f t="shared" si="72"/>
        <v/>
      </c>
    </row>
    <row r="4566" spans="15:15" x14ac:dyDescent="0.3">
      <c r="O4566" t="str">
        <f t="shared" si="72"/>
        <v/>
      </c>
    </row>
    <row r="4567" spans="15:15" x14ac:dyDescent="0.3">
      <c r="O4567" t="str">
        <f t="shared" si="72"/>
        <v/>
      </c>
    </row>
    <row r="4568" spans="15:15" x14ac:dyDescent="0.3">
      <c r="O4568" t="str">
        <f t="shared" si="72"/>
        <v/>
      </c>
    </row>
    <row r="4569" spans="15:15" x14ac:dyDescent="0.3">
      <c r="O4569" t="str">
        <f t="shared" si="72"/>
        <v/>
      </c>
    </row>
    <row r="4570" spans="15:15" x14ac:dyDescent="0.3">
      <c r="O4570" t="str">
        <f t="shared" si="72"/>
        <v/>
      </c>
    </row>
    <row r="4571" spans="15:15" x14ac:dyDescent="0.3">
      <c r="O4571" t="str">
        <f t="shared" si="72"/>
        <v/>
      </c>
    </row>
    <row r="4572" spans="15:15" x14ac:dyDescent="0.3">
      <c r="O4572" t="str">
        <f t="shared" si="72"/>
        <v/>
      </c>
    </row>
    <row r="4573" spans="15:15" x14ac:dyDescent="0.3">
      <c r="O4573" t="str">
        <f t="shared" si="72"/>
        <v/>
      </c>
    </row>
    <row r="4574" spans="15:15" x14ac:dyDescent="0.3">
      <c r="O4574" t="str">
        <f t="shared" si="72"/>
        <v/>
      </c>
    </row>
    <row r="4575" spans="15:15" x14ac:dyDescent="0.3">
      <c r="O4575" t="str">
        <f t="shared" si="72"/>
        <v/>
      </c>
    </row>
    <row r="4576" spans="15:15" x14ac:dyDescent="0.3">
      <c r="O4576" t="str">
        <f t="shared" si="72"/>
        <v/>
      </c>
    </row>
    <row r="4577" spans="15:15" x14ac:dyDescent="0.3">
      <c r="O4577" t="str">
        <f t="shared" si="72"/>
        <v/>
      </c>
    </row>
    <row r="4578" spans="15:15" x14ac:dyDescent="0.3">
      <c r="O4578" t="str">
        <f t="shared" si="72"/>
        <v/>
      </c>
    </row>
    <row r="4579" spans="15:15" x14ac:dyDescent="0.3">
      <c r="O4579" t="str">
        <f t="shared" si="72"/>
        <v/>
      </c>
    </row>
    <row r="4580" spans="15:15" x14ac:dyDescent="0.3">
      <c r="O4580" t="str">
        <f t="shared" si="72"/>
        <v/>
      </c>
    </row>
    <row r="4581" spans="15:15" x14ac:dyDescent="0.3">
      <c r="O4581" t="str">
        <f t="shared" si="72"/>
        <v/>
      </c>
    </row>
    <row r="4582" spans="15:15" x14ac:dyDescent="0.3">
      <c r="O4582" t="str">
        <f t="shared" si="72"/>
        <v/>
      </c>
    </row>
    <row r="4583" spans="15:15" x14ac:dyDescent="0.3">
      <c r="O4583" t="str">
        <f t="shared" si="72"/>
        <v/>
      </c>
    </row>
    <row r="4584" spans="15:15" x14ac:dyDescent="0.3">
      <c r="O4584" t="str">
        <f t="shared" si="72"/>
        <v/>
      </c>
    </row>
    <row r="4585" spans="15:15" x14ac:dyDescent="0.3">
      <c r="O4585" t="str">
        <f t="shared" si="72"/>
        <v/>
      </c>
    </row>
    <row r="4586" spans="15:15" x14ac:dyDescent="0.3">
      <c r="O4586" t="str">
        <f t="shared" si="72"/>
        <v/>
      </c>
    </row>
    <row r="4587" spans="15:15" x14ac:dyDescent="0.3">
      <c r="O4587" t="str">
        <f t="shared" si="72"/>
        <v/>
      </c>
    </row>
    <row r="4588" spans="15:15" x14ac:dyDescent="0.3">
      <c r="O4588" t="str">
        <f t="shared" si="72"/>
        <v/>
      </c>
    </row>
    <row r="4589" spans="15:15" x14ac:dyDescent="0.3">
      <c r="O4589" t="str">
        <f t="shared" si="72"/>
        <v/>
      </c>
    </row>
    <row r="4590" spans="15:15" x14ac:dyDescent="0.3">
      <c r="O4590" t="str">
        <f t="shared" si="72"/>
        <v/>
      </c>
    </row>
    <row r="4591" spans="15:15" x14ac:dyDescent="0.3">
      <c r="O4591" t="str">
        <f t="shared" si="72"/>
        <v/>
      </c>
    </row>
    <row r="4592" spans="15:15" x14ac:dyDescent="0.3">
      <c r="O4592" t="str">
        <f t="shared" si="72"/>
        <v/>
      </c>
    </row>
    <row r="4593" spans="15:15" x14ac:dyDescent="0.3">
      <c r="O4593" t="str">
        <f t="shared" si="72"/>
        <v/>
      </c>
    </row>
    <row r="4594" spans="15:15" x14ac:dyDescent="0.3">
      <c r="O4594" t="str">
        <f t="shared" si="72"/>
        <v/>
      </c>
    </row>
    <row r="4595" spans="15:15" x14ac:dyDescent="0.3">
      <c r="O4595" t="str">
        <f t="shared" si="72"/>
        <v/>
      </c>
    </row>
    <row r="4596" spans="15:15" x14ac:dyDescent="0.3">
      <c r="O4596" t="str">
        <f t="shared" si="72"/>
        <v/>
      </c>
    </row>
    <row r="4597" spans="15:15" x14ac:dyDescent="0.3">
      <c r="O4597" t="str">
        <f t="shared" si="72"/>
        <v/>
      </c>
    </row>
    <row r="4598" spans="15:15" x14ac:dyDescent="0.3">
      <c r="O4598" t="str">
        <f t="shared" si="72"/>
        <v/>
      </c>
    </row>
    <row r="4599" spans="15:15" x14ac:dyDescent="0.3">
      <c r="O4599" t="str">
        <f t="shared" si="72"/>
        <v/>
      </c>
    </row>
    <row r="4600" spans="15:15" x14ac:dyDescent="0.3">
      <c r="O4600" t="str">
        <f t="shared" si="72"/>
        <v/>
      </c>
    </row>
    <row r="4601" spans="15:15" x14ac:dyDescent="0.3">
      <c r="O4601" t="str">
        <f t="shared" si="72"/>
        <v/>
      </c>
    </row>
    <row r="4602" spans="15:15" x14ac:dyDescent="0.3">
      <c r="O4602" t="str">
        <f t="shared" si="72"/>
        <v/>
      </c>
    </row>
    <row r="4603" spans="15:15" x14ac:dyDescent="0.3">
      <c r="O4603" t="str">
        <f t="shared" si="72"/>
        <v/>
      </c>
    </row>
    <row r="4604" spans="15:15" x14ac:dyDescent="0.3">
      <c r="O4604" t="str">
        <f t="shared" si="72"/>
        <v/>
      </c>
    </row>
    <row r="4605" spans="15:15" x14ac:dyDescent="0.3">
      <c r="O4605" t="str">
        <f t="shared" si="72"/>
        <v/>
      </c>
    </row>
    <row r="4606" spans="15:15" x14ac:dyDescent="0.3">
      <c r="O4606" t="str">
        <f t="shared" si="72"/>
        <v/>
      </c>
    </row>
    <row r="4607" spans="15:15" x14ac:dyDescent="0.3">
      <c r="O4607" t="str">
        <f t="shared" si="72"/>
        <v/>
      </c>
    </row>
    <row r="4608" spans="15:15" x14ac:dyDescent="0.3">
      <c r="O4608" t="str">
        <f t="shared" si="72"/>
        <v/>
      </c>
    </row>
    <row r="4609" spans="15:15" x14ac:dyDescent="0.3">
      <c r="O4609" t="str">
        <f t="shared" si="72"/>
        <v/>
      </c>
    </row>
    <row r="4610" spans="15:15" x14ac:dyDescent="0.3">
      <c r="O4610" t="str">
        <f t="shared" si="72"/>
        <v/>
      </c>
    </row>
    <row r="4611" spans="15:15" x14ac:dyDescent="0.3">
      <c r="O4611" t="str">
        <f t="shared" si="72"/>
        <v/>
      </c>
    </row>
    <row r="4612" spans="15:15" x14ac:dyDescent="0.3">
      <c r="O4612" t="str">
        <f t="shared" si="72"/>
        <v/>
      </c>
    </row>
    <row r="4613" spans="15:15" x14ac:dyDescent="0.3">
      <c r="O4613" t="str">
        <f t="shared" si="72"/>
        <v/>
      </c>
    </row>
    <row r="4614" spans="15:15" x14ac:dyDescent="0.3">
      <c r="O4614" t="str">
        <f t="shared" si="72"/>
        <v/>
      </c>
    </row>
    <row r="4615" spans="15:15" x14ac:dyDescent="0.3">
      <c r="O4615" t="str">
        <f t="shared" si="72"/>
        <v/>
      </c>
    </row>
    <row r="4616" spans="15:15" x14ac:dyDescent="0.3">
      <c r="O4616" t="str">
        <f t="shared" si="72"/>
        <v/>
      </c>
    </row>
    <row r="4617" spans="15:15" x14ac:dyDescent="0.3">
      <c r="O4617" t="str">
        <f t="shared" si="72"/>
        <v/>
      </c>
    </row>
    <row r="4618" spans="15:15" x14ac:dyDescent="0.3">
      <c r="O4618" t="str">
        <f t="shared" ref="O4618:O4681" si="73">IF(P4618="","",O4617+1)</f>
        <v/>
      </c>
    </row>
    <row r="4619" spans="15:15" x14ac:dyDescent="0.3">
      <c r="O4619" t="str">
        <f t="shared" si="73"/>
        <v/>
      </c>
    </row>
    <row r="4620" spans="15:15" x14ac:dyDescent="0.3">
      <c r="O4620" t="str">
        <f t="shared" si="73"/>
        <v/>
      </c>
    </row>
    <row r="4621" spans="15:15" x14ac:dyDescent="0.3">
      <c r="O4621" t="str">
        <f t="shared" si="73"/>
        <v/>
      </c>
    </row>
    <row r="4622" spans="15:15" x14ac:dyDescent="0.3">
      <c r="O4622" t="str">
        <f t="shared" si="73"/>
        <v/>
      </c>
    </row>
    <row r="4623" spans="15:15" x14ac:dyDescent="0.3">
      <c r="O4623" t="str">
        <f t="shared" si="73"/>
        <v/>
      </c>
    </row>
    <row r="4624" spans="15:15" x14ac:dyDescent="0.3">
      <c r="O4624" t="str">
        <f t="shared" si="73"/>
        <v/>
      </c>
    </row>
    <row r="4625" spans="15:15" x14ac:dyDescent="0.3">
      <c r="O4625" t="str">
        <f t="shared" si="73"/>
        <v/>
      </c>
    </row>
    <row r="4626" spans="15:15" x14ac:dyDescent="0.3">
      <c r="O4626" t="str">
        <f t="shared" si="73"/>
        <v/>
      </c>
    </row>
    <row r="4627" spans="15:15" x14ac:dyDescent="0.3">
      <c r="O4627" t="str">
        <f t="shared" si="73"/>
        <v/>
      </c>
    </row>
    <row r="4628" spans="15:15" x14ac:dyDescent="0.3">
      <c r="O4628" t="str">
        <f t="shared" si="73"/>
        <v/>
      </c>
    </row>
    <row r="4629" spans="15:15" x14ac:dyDescent="0.3">
      <c r="O4629" t="str">
        <f t="shared" si="73"/>
        <v/>
      </c>
    </row>
    <row r="4630" spans="15:15" x14ac:dyDescent="0.3">
      <c r="O4630" t="str">
        <f t="shared" si="73"/>
        <v/>
      </c>
    </row>
    <row r="4631" spans="15:15" x14ac:dyDescent="0.3">
      <c r="O4631" t="str">
        <f t="shared" si="73"/>
        <v/>
      </c>
    </row>
    <row r="4632" spans="15:15" x14ac:dyDescent="0.3">
      <c r="O4632" t="str">
        <f t="shared" si="73"/>
        <v/>
      </c>
    </row>
    <row r="4633" spans="15:15" x14ac:dyDescent="0.3">
      <c r="O4633" t="str">
        <f t="shared" si="73"/>
        <v/>
      </c>
    </row>
    <row r="4634" spans="15:15" x14ac:dyDescent="0.3">
      <c r="O4634" t="str">
        <f t="shared" si="73"/>
        <v/>
      </c>
    </row>
    <row r="4635" spans="15:15" x14ac:dyDescent="0.3">
      <c r="O4635" t="str">
        <f t="shared" si="73"/>
        <v/>
      </c>
    </row>
    <row r="4636" spans="15:15" x14ac:dyDescent="0.3">
      <c r="O4636" t="str">
        <f t="shared" si="73"/>
        <v/>
      </c>
    </row>
    <row r="4637" spans="15:15" x14ac:dyDescent="0.3">
      <c r="O4637" t="str">
        <f t="shared" si="73"/>
        <v/>
      </c>
    </row>
    <row r="4638" spans="15:15" x14ac:dyDescent="0.3">
      <c r="O4638" t="str">
        <f t="shared" si="73"/>
        <v/>
      </c>
    </row>
    <row r="4639" spans="15:15" x14ac:dyDescent="0.3">
      <c r="O4639" t="str">
        <f t="shared" si="73"/>
        <v/>
      </c>
    </row>
    <row r="4640" spans="15:15" x14ac:dyDescent="0.3">
      <c r="O4640" t="str">
        <f t="shared" si="73"/>
        <v/>
      </c>
    </row>
    <row r="4641" spans="15:15" x14ac:dyDescent="0.3">
      <c r="O4641" t="str">
        <f t="shared" si="73"/>
        <v/>
      </c>
    </row>
    <row r="4642" spans="15:15" x14ac:dyDescent="0.3">
      <c r="O4642" t="str">
        <f t="shared" si="73"/>
        <v/>
      </c>
    </row>
    <row r="4643" spans="15:15" x14ac:dyDescent="0.3">
      <c r="O4643" t="str">
        <f t="shared" si="73"/>
        <v/>
      </c>
    </row>
    <row r="4644" spans="15:15" x14ac:dyDescent="0.3">
      <c r="O4644" t="str">
        <f t="shared" si="73"/>
        <v/>
      </c>
    </row>
    <row r="4645" spans="15:15" x14ac:dyDescent="0.3">
      <c r="O4645" t="str">
        <f t="shared" si="73"/>
        <v/>
      </c>
    </row>
    <row r="4646" spans="15:15" x14ac:dyDescent="0.3">
      <c r="O4646" t="str">
        <f t="shared" si="73"/>
        <v/>
      </c>
    </row>
    <row r="4647" spans="15:15" x14ac:dyDescent="0.3">
      <c r="O4647" t="str">
        <f t="shared" si="73"/>
        <v/>
      </c>
    </row>
    <row r="4648" spans="15:15" x14ac:dyDescent="0.3">
      <c r="O4648" t="str">
        <f t="shared" si="73"/>
        <v/>
      </c>
    </row>
    <row r="4649" spans="15:15" x14ac:dyDescent="0.3">
      <c r="O4649" t="str">
        <f t="shared" si="73"/>
        <v/>
      </c>
    </row>
    <row r="4650" spans="15:15" x14ac:dyDescent="0.3">
      <c r="O4650" t="str">
        <f t="shared" si="73"/>
        <v/>
      </c>
    </row>
    <row r="4651" spans="15:15" x14ac:dyDescent="0.3">
      <c r="O4651" t="str">
        <f t="shared" si="73"/>
        <v/>
      </c>
    </row>
    <row r="4652" spans="15:15" x14ac:dyDescent="0.3">
      <c r="O4652" t="str">
        <f t="shared" si="73"/>
        <v/>
      </c>
    </row>
    <row r="4653" spans="15:15" x14ac:dyDescent="0.3">
      <c r="O4653" t="str">
        <f t="shared" si="73"/>
        <v/>
      </c>
    </row>
    <row r="4654" spans="15:15" x14ac:dyDescent="0.3">
      <c r="O4654" t="str">
        <f t="shared" si="73"/>
        <v/>
      </c>
    </row>
    <row r="4655" spans="15:15" x14ac:dyDescent="0.3">
      <c r="O4655" t="str">
        <f t="shared" si="73"/>
        <v/>
      </c>
    </row>
    <row r="4656" spans="15:15" x14ac:dyDescent="0.3">
      <c r="O4656" t="str">
        <f t="shared" si="73"/>
        <v/>
      </c>
    </row>
    <row r="4657" spans="15:15" x14ac:dyDescent="0.3">
      <c r="O4657" t="str">
        <f t="shared" si="73"/>
        <v/>
      </c>
    </row>
    <row r="4658" spans="15:15" x14ac:dyDescent="0.3">
      <c r="O4658" t="str">
        <f t="shared" si="73"/>
        <v/>
      </c>
    </row>
    <row r="4659" spans="15:15" x14ac:dyDescent="0.3">
      <c r="O4659" t="str">
        <f t="shared" si="73"/>
        <v/>
      </c>
    </row>
    <row r="4660" spans="15:15" x14ac:dyDescent="0.3">
      <c r="O4660" t="str">
        <f t="shared" si="73"/>
        <v/>
      </c>
    </row>
    <row r="4661" spans="15:15" x14ac:dyDescent="0.3">
      <c r="O4661" t="str">
        <f t="shared" si="73"/>
        <v/>
      </c>
    </row>
    <row r="4662" spans="15:15" x14ac:dyDescent="0.3">
      <c r="O4662" t="str">
        <f t="shared" si="73"/>
        <v/>
      </c>
    </row>
    <row r="4663" spans="15:15" x14ac:dyDescent="0.3">
      <c r="O4663" t="str">
        <f t="shared" si="73"/>
        <v/>
      </c>
    </row>
    <row r="4664" spans="15:15" x14ac:dyDescent="0.3">
      <c r="O4664" t="str">
        <f t="shared" si="73"/>
        <v/>
      </c>
    </row>
    <row r="4665" spans="15:15" x14ac:dyDescent="0.3">
      <c r="O4665" t="str">
        <f t="shared" si="73"/>
        <v/>
      </c>
    </row>
    <row r="4666" spans="15:15" x14ac:dyDescent="0.3">
      <c r="O4666" t="str">
        <f t="shared" si="73"/>
        <v/>
      </c>
    </row>
    <row r="4667" spans="15:15" x14ac:dyDescent="0.3">
      <c r="O4667" t="str">
        <f t="shared" si="73"/>
        <v/>
      </c>
    </row>
    <row r="4668" spans="15:15" x14ac:dyDescent="0.3">
      <c r="O4668" t="str">
        <f t="shared" si="73"/>
        <v/>
      </c>
    </row>
    <row r="4669" spans="15:15" x14ac:dyDescent="0.3">
      <c r="O4669" t="str">
        <f t="shared" si="73"/>
        <v/>
      </c>
    </row>
    <row r="4670" spans="15:15" x14ac:dyDescent="0.3">
      <c r="O4670" t="str">
        <f t="shared" si="73"/>
        <v/>
      </c>
    </row>
    <row r="4671" spans="15:15" x14ac:dyDescent="0.3">
      <c r="O4671" t="str">
        <f t="shared" si="73"/>
        <v/>
      </c>
    </row>
    <row r="4672" spans="15:15" x14ac:dyDescent="0.3">
      <c r="O4672" t="str">
        <f t="shared" si="73"/>
        <v/>
      </c>
    </row>
    <row r="4673" spans="15:15" x14ac:dyDescent="0.3">
      <c r="O4673" t="str">
        <f t="shared" si="73"/>
        <v/>
      </c>
    </row>
    <row r="4674" spans="15:15" x14ac:dyDescent="0.3">
      <c r="O4674" t="str">
        <f t="shared" si="73"/>
        <v/>
      </c>
    </row>
    <row r="4675" spans="15:15" x14ac:dyDescent="0.3">
      <c r="O4675" t="str">
        <f t="shared" si="73"/>
        <v/>
      </c>
    </row>
    <row r="4676" spans="15:15" x14ac:dyDescent="0.3">
      <c r="O4676" t="str">
        <f t="shared" si="73"/>
        <v/>
      </c>
    </row>
    <row r="4677" spans="15:15" x14ac:dyDescent="0.3">
      <c r="O4677" t="str">
        <f t="shared" si="73"/>
        <v/>
      </c>
    </row>
    <row r="4678" spans="15:15" x14ac:dyDescent="0.3">
      <c r="O4678" t="str">
        <f t="shared" si="73"/>
        <v/>
      </c>
    </row>
    <row r="4679" spans="15:15" x14ac:dyDescent="0.3">
      <c r="O4679" t="str">
        <f t="shared" si="73"/>
        <v/>
      </c>
    </row>
    <row r="4680" spans="15:15" x14ac:dyDescent="0.3">
      <c r="O4680" t="str">
        <f t="shared" si="73"/>
        <v/>
      </c>
    </row>
    <row r="4681" spans="15:15" x14ac:dyDescent="0.3">
      <c r="O4681" t="str">
        <f t="shared" si="73"/>
        <v/>
      </c>
    </row>
    <row r="4682" spans="15:15" x14ac:dyDescent="0.3">
      <c r="O4682" t="str">
        <f t="shared" ref="O4682:O4745" si="74">IF(P4682="","",O4681+1)</f>
        <v/>
      </c>
    </row>
    <row r="4683" spans="15:15" x14ac:dyDescent="0.3">
      <c r="O4683" t="str">
        <f t="shared" si="74"/>
        <v/>
      </c>
    </row>
    <row r="4684" spans="15:15" x14ac:dyDescent="0.3">
      <c r="O4684" t="str">
        <f t="shared" si="74"/>
        <v/>
      </c>
    </row>
    <row r="4685" spans="15:15" x14ac:dyDescent="0.3">
      <c r="O4685" t="str">
        <f t="shared" si="74"/>
        <v/>
      </c>
    </row>
    <row r="4686" spans="15:15" x14ac:dyDescent="0.3">
      <c r="O4686" t="str">
        <f t="shared" si="74"/>
        <v/>
      </c>
    </row>
    <row r="4687" spans="15:15" x14ac:dyDescent="0.3">
      <c r="O4687" t="str">
        <f t="shared" si="74"/>
        <v/>
      </c>
    </row>
    <row r="4688" spans="15:15" x14ac:dyDescent="0.3">
      <c r="O4688" t="str">
        <f t="shared" si="74"/>
        <v/>
      </c>
    </row>
    <row r="4689" spans="15:15" x14ac:dyDescent="0.3">
      <c r="O4689" t="str">
        <f t="shared" si="74"/>
        <v/>
      </c>
    </row>
    <row r="4690" spans="15:15" x14ac:dyDescent="0.3">
      <c r="O4690" t="str">
        <f t="shared" si="74"/>
        <v/>
      </c>
    </row>
    <row r="4691" spans="15:15" x14ac:dyDescent="0.3">
      <c r="O4691" t="str">
        <f t="shared" si="74"/>
        <v/>
      </c>
    </row>
    <row r="4692" spans="15:15" x14ac:dyDescent="0.3">
      <c r="O4692" t="str">
        <f t="shared" si="74"/>
        <v/>
      </c>
    </row>
    <row r="4693" spans="15:15" x14ac:dyDescent="0.3">
      <c r="O4693" t="str">
        <f t="shared" si="74"/>
        <v/>
      </c>
    </row>
    <row r="4694" spans="15:15" x14ac:dyDescent="0.3">
      <c r="O4694" t="str">
        <f t="shared" si="74"/>
        <v/>
      </c>
    </row>
    <row r="4695" spans="15:15" x14ac:dyDescent="0.3">
      <c r="O4695" t="str">
        <f t="shared" si="74"/>
        <v/>
      </c>
    </row>
    <row r="4696" spans="15:15" x14ac:dyDescent="0.3">
      <c r="O4696" t="str">
        <f t="shared" si="74"/>
        <v/>
      </c>
    </row>
    <row r="4697" spans="15:15" x14ac:dyDescent="0.3">
      <c r="O4697" t="str">
        <f t="shared" si="74"/>
        <v/>
      </c>
    </row>
    <row r="4698" spans="15:15" x14ac:dyDescent="0.3">
      <c r="O4698" t="str">
        <f t="shared" si="74"/>
        <v/>
      </c>
    </row>
    <row r="4699" spans="15:15" x14ac:dyDescent="0.3">
      <c r="O4699" t="str">
        <f t="shared" si="74"/>
        <v/>
      </c>
    </row>
    <row r="4700" spans="15:15" x14ac:dyDescent="0.3">
      <c r="O4700" t="str">
        <f t="shared" si="74"/>
        <v/>
      </c>
    </row>
    <row r="4701" spans="15:15" x14ac:dyDescent="0.3">
      <c r="O4701" t="str">
        <f t="shared" si="74"/>
        <v/>
      </c>
    </row>
    <row r="4702" spans="15:15" x14ac:dyDescent="0.3">
      <c r="O4702" t="str">
        <f t="shared" si="74"/>
        <v/>
      </c>
    </row>
    <row r="4703" spans="15:15" x14ac:dyDescent="0.3">
      <c r="O4703" t="str">
        <f t="shared" si="74"/>
        <v/>
      </c>
    </row>
    <row r="4704" spans="15:15" x14ac:dyDescent="0.3">
      <c r="O4704" t="str">
        <f t="shared" si="74"/>
        <v/>
      </c>
    </row>
    <row r="4705" spans="15:15" x14ac:dyDescent="0.3">
      <c r="O4705" t="str">
        <f t="shared" si="74"/>
        <v/>
      </c>
    </row>
    <row r="4706" spans="15:15" x14ac:dyDescent="0.3">
      <c r="O4706" t="str">
        <f t="shared" si="74"/>
        <v/>
      </c>
    </row>
    <row r="4707" spans="15:15" x14ac:dyDescent="0.3">
      <c r="O4707" t="str">
        <f t="shared" si="74"/>
        <v/>
      </c>
    </row>
    <row r="4708" spans="15:15" x14ac:dyDescent="0.3">
      <c r="O4708" t="str">
        <f t="shared" si="74"/>
        <v/>
      </c>
    </row>
    <row r="4709" spans="15:15" x14ac:dyDescent="0.3">
      <c r="O4709" t="str">
        <f t="shared" si="74"/>
        <v/>
      </c>
    </row>
    <row r="4710" spans="15:15" x14ac:dyDescent="0.3">
      <c r="O4710" t="str">
        <f t="shared" si="74"/>
        <v/>
      </c>
    </row>
    <row r="4711" spans="15:15" x14ac:dyDescent="0.3">
      <c r="O4711" t="str">
        <f t="shared" si="74"/>
        <v/>
      </c>
    </row>
    <row r="4712" spans="15:15" x14ac:dyDescent="0.3">
      <c r="O4712" t="str">
        <f t="shared" si="74"/>
        <v/>
      </c>
    </row>
    <row r="4713" spans="15:15" x14ac:dyDescent="0.3">
      <c r="O4713" t="str">
        <f t="shared" si="74"/>
        <v/>
      </c>
    </row>
    <row r="4714" spans="15:15" x14ac:dyDescent="0.3">
      <c r="O4714" t="str">
        <f t="shared" si="74"/>
        <v/>
      </c>
    </row>
    <row r="4715" spans="15:15" x14ac:dyDescent="0.3">
      <c r="O4715" t="str">
        <f t="shared" si="74"/>
        <v/>
      </c>
    </row>
    <row r="4716" spans="15:15" x14ac:dyDescent="0.3">
      <c r="O4716" t="str">
        <f t="shared" si="74"/>
        <v/>
      </c>
    </row>
    <row r="4717" spans="15:15" x14ac:dyDescent="0.3">
      <c r="O4717" t="str">
        <f t="shared" si="74"/>
        <v/>
      </c>
    </row>
    <row r="4718" spans="15:15" x14ac:dyDescent="0.3">
      <c r="O4718" t="str">
        <f t="shared" si="74"/>
        <v/>
      </c>
    </row>
    <row r="4719" spans="15:15" x14ac:dyDescent="0.3">
      <c r="O4719" t="str">
        <f t="shared" si="74"/>
        <v/>
      </c>
    </row>
    <row r="4720" spans="15:15" x14ac:dyDescent="0.3">
      <c r="O4720" t="str">
        <f t="shared" si="74"/>
        <v/>
      </c>
    </row>
    <row r="4721" spans="15:15" x14ac:dyDescent="0.3">
      <c r="O4721" t="str">
        <f t="shared" si="74"/>
        <v/>
      </c>
    </row>
    <row r="4722" spans="15:15" x14ac:dyDescent="0.3">
      <c r="O4722" t="str">
        <f t="shared" si="74"/>
        <v/>
      </c>
    </row>
    <row r="4723" spans="15:15" x14ac:dyDescent="0.3">
      <c r="O4723" t="str">
        <f t="shared" si="74"/>
        <v/>
      </c>
    </row>
    <row r="4724" spans="15:15" x14ac:dyDescent="0.3">
      <c r="O4724" t="str">
        <f t="shared" si="74"/>
        <v/>
      </c>
    </row>
    <row r="4725" spans="15:15" x14ac:dyDescent="0.3">
      <c r="O4725" t="str">
        <f t="shared" si="74"/>
        <v/>
      </c>
    </row>
    <row r="4726" spans="15:15" x14ac:dyDescent="0.3">
      <c r="O4726" t="str">
        <f t="shared" si="74"/>
        <v/>
      </c>
    </row>
    <row r="4727" spans="15:15" x14ac:dyDescent="0.3">
      <c r="O4727" t="str">
        <f t="shared" si="74"/>
        <v/>
      </c>
    </row>
    <row r="4728" spans="15:15" x14ac:dyDescent="0.3">
      <c r="O4728" t="str">
        <f t="shared" si="74"/>
        <v/>
      </c>
    </row>
    <row r="4729" spans="15:15" x14ac:dyDescent="0.3">
      <c r="O4729" t="str">
        <f t="shared" si="74"/>
        <v/>
      </c>
    </row>
    <row r="4730" spans="15:15" x14ac:dyDescent="0.3">
      <c r="O4730" t="str">
        <f t="shared" si="74"/>
        <v/>
      </c>
    </row>
    <row r="4731" spans="15:15" x14ac:dyDescent="0.3">
      <c r="O4731" t="str">
        <f t="shared" si="74"/>
        <v/>
      </c>
    </row>
    <row r="4732" spans="15:15" x14ac:dyDescent="0.3">
      <c r="O4732" t="str">
        <f t="shared" si="74"/>
        <v/>
      </c>
    </row>
    <row r="4733" spans="15:15" x14ac:dyDescent="0.3">
      <c r="O4733" t="str">
        <f t="shared" si="74"/>
        <v/>
      </c>
    </row>
    <row r="4734" spans="15:15" x14ac:dyDescent="0.3">
      <c r="O4734" t="str">
        <f t="shared" si="74"/>
        <v/>
      </c>
    </row>
    <row r="4735" spans="15:15" x14ac:dyDescent="0.3">
      <c r="O4735" t="str">
        <f t="shared" si="74"/>
        <v/>
      </c>
    </row>
    <row r="4736" spans="15:15" x14ac:dyDescent="0.3">
      <c r="O4736" t="str">
        <f t="shared" si="74"/>
        <v/>
      </c>
    </row>
    <row r="4737" spans="15:15" x14ac:dyDescent="0.3">
      <c r="O4737" t="str">
        <f t="shared" si="74"/>
        <v/>
      </c>
    </row>
    <row r="4738" spans="15:15" x14ac:dyDescent="0.3">
      <c r="O4738" t="str">
        <f t="shared" si="74"/>
        <v/>
      </c>
    </row>
    <row r="4739" spans="15:15" x14ac:dyDescent="0.3">
      <c r="O4739" t="str">
        <f t="shared" si="74"/>
        <v/>
      </c>
    </row>
    <row r="4740" spans="15:15" x14ac:dyDescent="0.3">
      <c r="O4740" t="str">
        <f t="shared" si="74"/>
        <v/>
      </c>
    </row>
    <row r="4741" spans="15:15" x14ac:dyDescent="0.3">
      <c r="O4741" t="str">
        <f t="shared" si="74"/>
        <v/>
      </c>
    </row>
    <row r="4742" spans="15:15" x14ac:dyDescent="0.3">
      <c r="O4742" t="str">
        <f t="shared" si="74"/>
        <v/>
      </c>
    </row>
    <row r="4743" spans="15:15" x14ac:dyDescent="0.3">
      <c r="O4743" t="str">
        <f t="shared" si="74"/>
        <v/>
      </c>
    </row>
    <row r="4744" spans="15:15" x14ac:dyDescent="0.3">
      <c r="O4744" t="str">
        <f t="shared" si="74"/>
        <v/>
      </c>
    </row>
    <row r="4745" spans="15:15" x14ac:dyDescent="0.3">
      <c r="O4745" t="str">
        <f t="shared" si="74"/>
        <v/>
      </c>
    </row>
    <row r="4746" spans="15:15" x14ac:dyDescent="0.3">
      <c r="O4746" t="str">
        <f t="shared" ref="O4746:O4809" si="75">IF(P4746="","",O4745+1)</f>
        <v/>
      </c>
    </row>
    <row r="4747" spans="15:15" x14ac:dyDescent="0.3">
      <c r="O4747" t="str">
        <f t="shared" si="75"/>
        <v/>
      </c>
    </row>
    <row r="4748" spans="15:15" x14ac:dyDescent="0.3">
      <c r="O4748" t="str">
        <f t="shared" si="75"/>
        <v/>
      </c>
    </row>
    <row r="4749" spans="15:15" x14ac:dyDescent="0.3">
      <c r="O4749" t="str">
        <f t="shared" si="75"/>
        <v/>
      </c>
    </row>
    <row r="4750" spans="15:15" x14ac:dyDescent="0.3">
      <c r="O4750" t="str">
        <f t="shared" si="75"/>
        <v/>
      </c>
    </row>
    <row r="4751" spans="15:15" x14ac:dyDescent="0.3">
      <c r="O4751" t="str">
        <f t="shared" si="75"/>
        <v/>
      </c>
    </row>
    <row r="4752" spans="15:15" x14ac:dyDescent="0.3">
      <c r="O4752" t="str">
        <f t="shared" si="75"/>
        <v/>
      </c>
    </row>
    <row r="4753" spans="15:15" x14ac:dyDescent="0.3">
      <c r="O4753" t="str">
        <f t="shared" si="75"/>
        <v/>
      </c>
    </row>
    <row r="4754" spans="15:15" x14ac:dyDescent="0.3">
      <c r="O4754" t="str">
        <f t="shared" si="75"/>
        <v/>
      </c>
    </row>
    <row r="4755" spans="15:15" x14ac:dyDescent="0.3">
      <c r="O4755" t="str">
        <f t="shared" si="75"/>
        <v/>
      </c>
    </row>
    <row r="4756" spans="15:15" x14ac:dyDescent="0.3">
      <c r="O4756" t="str">
        <f t="shared" si="75"/>
        <v/>
      </c>
    </row>
    <row r="4757" spans="15:15" x14ac:dyDescent="0.3">
      <c r="O4757" t="str">
        <f t="shared" si="75"/>
        <v/>
      </c>
    </row>
    <row r="4758" spans="15:15" x14ac:dyDescent="0.3">
      <c r="O4758" t="str">
        <f t="shared" si="75"/>
        <v/>
      </c>
    </row>
    <row r="4759" spans="15:15" x14ac:dyDescent="0.3">
      <c r="O4759" t="str">
        <f t="shared" si="75"/>
        <v/>
      </c>
    </row>
    <row r="4760" spans="15:15" x14ac:dyDescent="0.3">
      <c r="O4760" t="str">
        <f t="shared" si="75"/>
        <v/>
      </c>
    </row>
    <row r="4761" spans="15:15" x14ac:dyDescent="0.3">
      <c r="O4761" t="str">
        <f t="shared" si="75"/>
        <v/>
      </c>
    </row>
    <row r="4762" spans="15:15" x14ac:dyDescent="0.3">
      <c r="O4762" t="str">
        <f t="shared" si="75"/>
        <v/>
      </c>
    </row>
    <row r="4763" spans="15:15" x14ac:dyDescent="0.3">
      <c r="O4763" t="str">
        <f t="shared" si="75"/>
        <v/>
      </c>
    </row>
    <row r="4764" spans="15:15" x14ac:dyDescent="0.3">
      <c r="O4764" t="str">
        <f t="shared" si="75"/>
        <v/>
      </c>
    </row>
    <row r="4765" spans="15:15" x14ac:dyDescent="0.3">
      <c r="O4765" t="str">
        <f t="shared" si="75"/>
        <v/>
      </c>
    </row>
    <row r="4766" spans="15:15" x14ac:dyDescent="0.3">
      <c r="O4766" t="str">
        <f t="shared" si="75"/>
        <v/>
      </c>
    </row>
    <row r="4767" spans="15:15" x14ac:dyDescent="0.3">
      <c r="O4767" t="str">
        <f t="shared" si="75"/>
        <v/>
      </c>
    </row>
    <row r="4768" spans="15:15" x14ac:dyDescent="0.3">
      <c r="O4768" t="str">
        <f t="shared" si="75"/>
        <v/>
      </c>
    </row>
    <row r="4769" spans="15:15" x14ac:dyDescent="0.3">
      <c r="O4769" t="str">
        <f t="shared" si="75"/>
        <v/>
      </c>
    </row>
    <row r="4770" spans="15:15" x14ac:dyDescent="0.3">
      <c r="O4770" t="str">
        <f t="shared" si="75"/>
        <v/>
      </c>
    </row>
    <row r="4771" spans="15:15" x14ac:dyDescent="0.3">
      <c r="O4771" t="str">
        <f t="shared" si="75"/>
        <v/>
      </c>
    </row>
    <row r="4772" spans="15:15" x14ac:dyDescent="0.3">
      <c r="O4772" t="str">
        <f t="shared" si="75"/>
        <v/>
      </c>
    </row>
    <row r="4773" spans="15:15" x14ac:dyDescent="0.3">
      <c r="O4773" t="str">
        <f t="shared" si="75"/>
        <v/>
      </c>
    </row>
    <row r="4774" spans="15:15" x14ac:dyDescent="0.3">
      <c r="O4774" t="str">
        <f t="shared" si="75"/>
        <v/>
      </c>
    </row>
    <row r="4775" spans="15:15" x14ac:dyDescent="0.3">
      <c r="O4775" t="str">
        <f t="shared" si="75"/>
        <v/>
      </c>
    </row>
    <row r="4776" spans="15:15" x14ac:dyDescent="0.3">
      <c r="O4776" t="str">
        <f t="shared" si="75"/>
        <v/>
      </c>
    </row>
    <row r="4777" spans="15:15" x14ac:dyDescent="0.3">
      <c r="O4777" t="str">
        <f t="shared" si="75"/>
        <v/>
      </c>
    </row>
    <row r="4778" spans="15:15" x14ac:dyDescent="0.3">
      <c r="O4778" t="str">
        <f t="shared" si="75"/>
        <v/>
      </c>
    </row>
    <row r="4779" spans="15:15" x14ac:dyDescent="0.3">
      <c r="O4779" t="str">
        <f t="shared" si="75"/>
        <v/>
      </c>
    </row>
    <row r="4780" spans="15:15" x14ac:dyDescent="0.3">
      <c r="O4780" t="str">
        <f t="shared" si="75"/>
        <v/>
      </c>
    </row>
    <row r="4781" spans="15:15" x14ac:dyDescent="0.3">
      <c r="O4781" t="str">
        <f t="shared" si="75"/>
        <v/>
      </c>
    </row>
    <row r="4782" spans="15:15" x14ac:dyDescent="0.3">
      <c r="O4782" t="str">
        <f t="shared" si="75"/>
        <v/>
      </c>
    </row>
    <row r="4783" spans="15:15" x14ac:dyDescent="0.3">
      <c r="O4783" t="str">
        <f t="shared" si="75"/>
        <v/>
      </c>
    </row>
    <row r="4784" spans="15:15" x14ac:dyDescent="0.3">
      <c r="O4784" t="str">
        <f t="shared" si="75"/>
        <v/>
      </c>
    </row>
    <row r="4785" spans="15:15" x14ac:dyDescent="0.3">
      <c r="O4785" t="str">
        <f t="shared" si="75"/>
        <v/>
      </c>
    </row>
    <row r="4786" spans="15:15" x14ac:dyDescent="0.3">
      <c r="O4786" t="str">
        <f t="shared" si="75"/>
        <v/>
      </c>
    </row>
    <row r="4787" spans="15:15" x14ac:dyDescent="0.3">
      <c r="O4787" t="str">
        <f t="shared" si="75"/>
        <v/>
      </c>
    </row>
    <row r="4788" spans="15:15" x14ac:dyDescent="0.3">
      <c r="O4788" t="str">
        <f t="shared" si="75"/>
        <v/>
      </c>
    </row>
    <row r="4789" spans="15:15" x14ac:dyDescent="0.3">
      <c r="O4789" t="str">
        <f t="shared" si="75"/>
        <v/>
      </c>
    </row>
    <row r="4790" spans="15:15" x14ac:dyDescent="0.3">
      <c r="O4790" t="str">
        <f t="shared" si="75"/>
        <v/>
      </c>
    </row>
    <row r="4791" spans="15:15" x14ac:dyDescent="0.3">
      <c r="O4791" t="str">
        <f t="shared" si="75"/>
        <v/>
      </c>
    </row>
    <row r="4792" spans="15:15" x14ac:dyDescent="0.3">
      <c r="O4792" t="str">
        <f t="shared" si="75"/>
        <v/>
      </c>
    </row>
    <row r="4793" spans="15:15" x14ac:dyDescent="0.3">
      <c r="O4793" t="str">
        <f t="shared" si="75"/>
        <v/>
      </c>
    </row>
    <row r="4794" spans="15:15" x14ac:dyDescent="0.3">
      <c r="O4794" t="str">
        <f t="shared" si="75"/>
        <v/>
      </c>
    </row>
    <row r="4795" spans="15:15" x14ac:dyDescent="0.3">
      <c r="O4795" t="str">
        <f t="shared" si="75"/>
        <v/>
      </c>
    </row>
    <row r="4796" spans="15:15" x14ac:dyDescent="0.3">
      <c r="O4796" t="str">
        <f t="shared" si="75"/>
        <v/>
      </c>
    </row>
    <row r="4797" spans="15:15" x14ac:dyDescent="0.3">
      <c r="O4797" t="str">
        <f t="shared" si="75"/>
        <v/>
      </c>
    </row>
    <row r="4798" spans="15:15" x14ac:dyDescent="0.3">
      <c r="O4798" t="str">
        <f t="shared" si="75"/>
        <v/>
      </c>
    </row>
    <row r="4799" spans="15:15" x14ac:dyDescent="0.3">
      <c r="O4799" t="str">
        <f t="shared" si="75"/>
        <v/>
      </c>
    </row>
    <row r="4800" spans="15:15" x14ac:dyDescent="0.3">
      <c r="O4800" t="str">
        <f t="shared" si="75"/>
        <v/>
      </c>
    </row>
    <row r="4801" spans="15:15" x14ac:dyDescent="0.3">
      <c r="O4801" t="str">
        <f t="shared" si="75"/>
        <v/>
      </c>
    </row>
    <row r="4802" spans="15:15" x14ac:dyDescent="0.3">
      <c r="O4802" t="str">
        <f t="shared" si="75"/>
        <v/>
      </c>
    </row>
    <row r="4803" spans="15:15" x14ac:dyDescent="0.3">
      <c r="O4803" t="str">
        <f t="shared" si="75"/>
        <v/>
      </c>
    </row>
    <row r="4804" spans="15:15" x14ac:dyDescent="0.3">
      <c r="O4804" t="str">
        <f t="shared" si="75"/>
        <v/>
      </c>
    </row>
    <row r="4805" spans="15:15" x14ac:dyDescent="0.3">
      <c r="O4805" t="str">
        <f t="shared" si="75"/>
        <v/>
      </c>
    </row>
    <row r="4806" spans="15:15" x14ac:dyDescent="0.3">
      <c r="O4806" t="str">
        <f t="shared" si="75"/>
        <v/>
      </c>
    </row>
    <row r="4807" spans="15:15" x14ac:dyDescent="0.3">
      <c r="O4807" t="str">
        <f t="shared" si="75"/>
        <v/>
      </c>
    </row>
    <row r="4808" spans="15:15" x14ac:dyDescent="0.3">
      <c r="O4808" t="str">
        <f t="shared" si="75"/>
        <v/>
      </c>
    </row>
    <row r="4809" spans="15:15" x14ac:dyDescent="0.3">
      <c r="O4809" t="str">
        <f t="shared" si="75"/>
        <v/>
      </c>
    </row>
    <row r="4810" spans="15:15" x14ac:dyDescent="0.3">
      <c r="O4810" t="str">
        <f t="shared" ref="O4810:O4873" si="76">IF(P4810="","",O4809+1)</f>
        <v/>
      </c>
    </row>
    <row r="4811" spans="15:15" x14ac:dyDescent="0.3">
      <c r="O4811" t="str">
        <f t="shared" si="76"/>
        <v/>
      </c>
    </row>
    <row r="4812" spans="15:15" x14ac:dyDescent="0.3">
      <c r="O4812" t="str">
        <f t="shared" si="76"/>
        <v/>
      </c>
    </row>
    <row r="4813" spans="15:15" x14ac:dyDescent="0.3">
      <c r="O4813" t="str">
        <f t="shared" si="76"/>
        <v/>
      </c>
    </row>
    <row r="4814" spans="15:15" x14ac:dyDescent="0.3">
      <c r="O4814" t="str">
        <f t="shared" si="76"/>
        <v/>
      </c>
    </row>
    <row r="4815" spans="15:15" x14ac:dyDescent="0.3">
      <c r="O4815" t="str">
        <f t="shared" si="76"/>
        <v/>
      </c>
    </row>
    <row r="4816" spans="15:15" x14ac:dyDescent="0.3">
      <c r="O4816" t="str">
        <f t="shared" si="76"/>
        <v/>
      </c>
    </row>
    <row r="4817" spans="15:15" x14ac:dyDescent="0.3">
      <c r="O4817" t="str">
        <f t="shared" si="76"/>
        <v/>
      </c>
    </row>
    <row r="4818" spans="15:15" x14ac:dyDescent="0.3">
      <c r="O4818" t="str">
        <f t="shared" si="76"/>
        <v/>
      </c>
    </row>
    <row r="4819" spans="15:15" x14ac:dyDescent="0.3">
      <c r="O4819" t="str">
        <f t="shared" si="76"/>
        <v/>
      </c>
    </row>
    <row r="4820" spans="15:15" x14ac:dyDescent="0.3">
      <c r="O4820" t="str">
        <f t="shared" si="76"/>
        <v/>
      </c>
    </row>
    <row r="4821" spans="15:15" x14ac:dyDescent="0.3">
      <c r="O4821" t="str">
        <f t="shared" si="76"/>
        <v/>
      </c>
    </row>
    <row r="4822" spans="15:15" x14ac:dyDescent="0.3">
      <c r="O4822" t="str">
        <f t="shared" si="76"/>
        <v/>
      </c>
    </row>
    <row r="4823" spans="15:15" x14ac:dyDescent="0.3">
      <c r="O4823" t="str">
        <f t="shared" si="76"/>
        <v/>
      </c>
    </row>
    <row r="4824" spans="15:15" x14ac:dyDescent="0.3">
      <c r="O4824" t="str">
        <f t="shared" si="76"/>
        <v/>
      </c>
    </row>
    <row r="4825" spans="15:15" x14ac:dyDescent="0.3">
      <c r="O4825" t="str">
        <f t="shared" si="76"/>
        <v/>
      </c>
    </row>
    <row r="4826" spans="15:15" x14ac:dyDescent="0.3">
      <c r="O4826" t="str">
        <f t="shared" si="76"/>
        <v/>
      </c>
    </row>
    <row r="4827" spans="15:15" x14ac:dyDescent="0.3">
      <c r="O4827" t="str">
        <f t="shared" si="76"/>
        <v/>
      </c>
    </row>
    <row r="4828" spans="15:15" x14ac:dyDescent="0.3">
      <c r="O4828" t="str">
        <f t="shared" si="76"/>
        <v/>
      </c>
    </row>
    <row r="4829" spans="15:15" x14ac:dyDescent="0.3">
      <c r="O4829" t="str">
        <f t="shared" si="76"/>
        <v/>
      </c>
    </row>
    <row r="4830" spans="15:15" x14ac:dyDescent="0.3">
      <c r="O4830" t="str">
        <f t="shared" si="76"/>
        <v/>
      </c>
    </row>
    <row r="4831" spans="15:15" x14ac:dyDescent="0.3">
      <c r="O4831" t="str">
        <f t="shared" si="76"/>
        <v/>
      </c>
    </row>
    <row r="4832" spans="15:15" x14ac:dyDescent="0.3">
      <c r="O4832" t="str">
        <f t="shared" si="76"/>
        <v/>
      </c>
    </row>
    <row r="4833" spans="15:15" x14ac:dyDescent="0.3">
      <c r="O4833" t="str">
        <f t="shared" si="76"/>
        <v/>
      </c>
    </row>
    <row r="4834" spans="15:15" x14ac:dyDescent="0.3">
      <c r="O4834" t="str">
        <f t="shared" si="76"/>
        <v/>
      </c>
    </row>
    <row r="4835" spans="15:15" x14ac:dyDescent="0.3">
      <c r="O4835" t="str">
        <f t="shared" si="76"/>
        <v/>
      </c>
    </row>
    <row r="4836" spans="15:15" x14ac:dyDescent="0.3">
      <c r="O4836" t="str">
        <f t="shared" si="76"/>
        <v/>
      </c>
    </row>
    <row r="4837" spans="15:15" x14ac:dyDescent="0.3">
      <c r="O4837" t="str">
        <f t="shared" si="76"/>
        <v/>
      </c>
    </row>
    <row r="4838" spans="15:15" x14ac:dyDescent="0.3">
      <c r="O4838" t="str">
        <f t="shared" si="76"/>
        <v/>
      </c>
    </row>
    <row r="4839" spans="15:15" x14ac:dyDescent="0.3">
      <c r="O4839" t="str">
        <f t="shared" si="76"/>
        <v/>
      </c>
    </row>
    <row r="4840" spans="15:15" x14ac:dyDescent="0.3">
      <c r="O4840" t="str">
        <f t="shared" si="76"/>
        <v/>
      </c>
    </row>
    <row r="4841" spans="15:15" x14ac:dyDescent="0.3">
      <c r="O4841" t="str">
        <f t="shared" si="76"/>
        <v/>
      </c>
    </row>
    <row r="4842" spans="15:15" x14ac:dyDescent="0.3">
      <c r="O4842" t="str">
        <f t="shared" si="76"/>
        <v/>
      </c>
    </row>
    <row r="4843" spans="15:15" x14ac:dyDescent="0.3">
      <c r="O4843" t="str">
        <f t="shared" si="76"/>
        <v/>
      </c>
    </row>
    <row r="4844" spans="15:15" x14ac:dyDescent="0.3">
      <c r="O4844" t="str">
        <f t="shared" si="76"/>
        <v/>
      </c>
    </row>
    <row r="4845" spans="15:15" x14ac:dyDescent="0.3">
      <c r="O4845" t="str">
        <f t="shared" si="76"/>
        <v/>
      </c>
    </row>
    <row r="4846" spans="15:15" x14ac:dyDescent="0.3">
      <c r="O4846" t="str">
        <f t="shared" si="76"/>
        <v/>
      </c>
    </row>
    <row r="4847" spans="15:15" x14ac:dyDescent="0.3">
      <c r="O4847" t="str">
        <f t="shared" si="76"/>
        <v/>
      </c>
    </row>
    <row r="4848" spans="15:15" x14ac:dyDescent="0.3">
      <c r="O4848" t="str">
        <f t="shared" si="76"/>
        <v/>
      </c>
    </row>
    <row r="4849" spans="15:15" x14ac:dyDescent="0.3">
      <c r="O4849" t="str">
        <f t="shared" si="76"/>
        <v/>
      </c>
    </row>
    <row r="4850" spans="15:15" x14ac:dyDescent="0.3">
      <c r="O4850" t="str">
        <f t="shared" si="76"/>
        <v/>
      </c>
    </row>
    <row r="4851" spans="15:15" x14ac:dyDescent="0.3">
      <c r="O4851" t="str">
        <f t="shared" si="76"/>
        <v/>
      </c>
    </row>
    <row r="4852" spans="15:15" x14ac:dyDescent="0.3">
      <c r="O4852" t="str">
        <f t="shared" si="76"/>
        <v/>
      </c>
    </row>
    <row r="4853" spans="15:15" x14ac:dyDescent="0.3">
      <c r="O4853" t="str">
        <f t="shared" si="76"/>
        <v/>
      </c>
    </row>
    <row r="4854" spans="15:15" x14ac:dyDescent="0.3">
      <c r="O4854" t="str">
        <f t="shared" si="76"/>
        <v/>
      </c>
    </row>
    <row r="4855" spans="15:15" x14ac:dyDescent="0.3">
      <c r="O4855" t="str">
        <f t="shared" si="76"/>
        <v/>
      </c>
    </row>
    <row r="4856" spans="15:15" x14ac:dyDescent="0.3">
      <c r="O4856" t="str">
        <f t="shared" si="76"/>
        <v/>
      </c>
    </row>
    <row r="4857" spans="15:15" x14ac:dyDescent="0.3">
      <c r="O4857" t="str">
        <f t="shared" si="76"/>
        <v/>
      </c>
    </row>
    <row r="4858" spans="15:15" x14ac:dyDescent="0.3">
      <c r="O4858" t="str">
        <f t="shared" si="76"/>
        <v/>
      </c>
    </row>
    <row r="4859" spans="15:15" x14ac:dyDescent="0.3">
      <c r="O4859" t="str">
        <f t="shared" si="76"/>
        <v/>
      </c>
    </row>
    <row r="4860" spans="15:15" x14ac:dyDescent="0.3">
      <c r="O4860" t="str">
        <f t="shared" si="76"/>
        <v/>
      </c>
    </row>
    <row r="4861" spans="15:15" x14ac:dyDescent="0.3">
      <c r="O4861" t="str">
        <f t="shared" si="76"/>
        <v/>
      </c>
    </row>
    <row r="4862" spans="15:15" x14ac:dyDescent="0.3">
      <c r="O4862" t="str">
        <f t="shared" si="76"/>
        <v/>
      </c>
    </row>
    <row r="4863" spans="15:15" x14ac:dyDescent="0.3">
      <c r="O4863" t="str">
        <f t="shared" si="76"/>
        <v/>
      </c>
    </row>
    <row r="4864" spans="15:15" x14ac:dyDescent="0.3">
      <c r="O4864" t="str">
        <f t="shared" si="76"/>
        <v/>
      </c>
    </row>
    <row r="4865" spans="15:15" x14ac:dyDescent="0.3">
      <c r="O4865" t="str">
        <f t="shared" si="76"/>
        <v/>
      </c>
    </row>
    <row r="4866" spans="15:15" x14ac:dyDescent="0.3">
      <c r="O4866" t="str">
        <f t="shared" si="76"/>
        <v/>
      </c>
    </row>
    <row r="4867" spans="15:15" x14ac:dyDescent="0.3">
      <c r="O4867" t="str">
        <f t="shared" si="76"/>
        <v/>
      </c>
    </row>
    <row r="4868" spans="15:15" x14ac:dyDescent="0.3">
      <c r="O4868" t="str">
        <f t="shared" si="76"/>
        <v/>
      </c>
    </row>
    <row r="4869" spans="15:15" x14ac:dyDescent="0.3">
      <c r="O4869" t="str">
        <f t="shared" si="76"/>
        <v/>
      </c>
    </row>
    <row r="4870" spans="15:15" x14ac:dyDescent="0.3">
      <c r="O4870" t="str">
        <f t="shared" si="76"/>
        <v/>
      </c>
    </row>
    <row r="4871" spans="15:15" x14ac:dyDescent="0.3">
      <c r="O4871" t="str">
        <f t="shared" si="76"/>
        <v/>
      </c>
    </row>
    <row r="4872" spans="15:15" x14ac:dyDescent="0.3">
      <c r="O4872" t="str">
        <f t="shared" si="76"/>
        <v/>
      </c>
    </row>
    <row r="4873" spans="15:15" x14ac:dyDescent="0.3">
      <c r="O4873" t="str">
        <f t="shared" si="76"/>
        <v/>
      </c>
    </row>
    <row r="4874" spans="15:15" x14ac:dyDescent="0.3">
      <c r="O4874" t="str">
        <f t="shared" ref="O4874:O4937" si="77">IF(P4874="","",O4873+1)</f>
        <v/>
      </c>
    </row>
    <row r="4875" spans="15:15" x14ac:dyDescent="0.3">
      <c r="O4875" t="str">
        <f t="shared" si="77"/>
        <v/>
      </c>
    </row>
    <row r="4876" spans="15:15" x14ac:dyDescent="0.3">
      <c r="O4876" t="str">
        <f t="shared" si="77"/>
        <v/>
      </c>
    </row>
    <row r="4877" spans="15:15" x14ac:dyDescent="0.3">
      <c r="O4877" t="str">
        <f t="shared" si="77"/>
        <v/>
      </c>
    </row>
    <row r="4878" spans="15:15" x14ac:dyDescent="0.3">
      <c r="O4878" t="str">
        <f t="shared" si="77"/>
        <v/>
      </c>
    </row>
    <row r="4879" spans="15:15" x14ac:dyDescent="0.3">
      <c r="O4879" t="str">
        <f t="shared" si="77"/>
        <v/>
      </c>
    </row>
    <row r="4880" spans="15:15" x14ac:dyDescent="0.3">
      <c r="O4880" t="str">
        <f t="shared" si="77"/>
        <v/>
      </c>
    </row>
    <row r="4881" spans="15:15" x14ac:dyDescent="0.3">
      <c r="O4881" t="str">
        <f t="shared" si="77"/>
        <v/>
      </c>
    </row>
    <row r="4882" spans="15:15" x14ac:dyDescent="0.3">
      <c r="O4882" t="str">
        <f t="shared" si="77"/>
        <v/>
      </c>
    </row>
    <row r="4883" spans="15:15" x14ac:dyDescent="0.3">
      <c r="O4883" t="str">
        <f t="shared" si="77"/>
        <v/>
      </c>
    </row>
    <row r="4884" spans="15:15" x14ac:dyDescent="0.3">
      <c r="O4884" t="str">
        <f t="shared" si="77"/>
        <v/>
      </c>
    </row>
    <row r="4885" spans="15:15" x14ac:dyDescent="0.3">
      <c r="O4885" t="str">
        <f t="shared" si="77"/>
        <v/>
      </c>
    </row>
    <row r="4886" spans="15:15" x14ac:dyDescent="0.3">
      <c r="O4886" t="str">
        <f t="shared" si="77"/>
        <v/>
      </c>
    </row>
    <row r="4887" spans="15:15" x14ac:dyDescent="0.3">
      <c r="O4887" t="str">
        <f t="shared" si="77"/>
        <v/>
      </c>
    </row>
    <row r="4888" spans="15:15" x14ac:dyDescent="0.3">
      <c r="O4888" t="str">
        <f t="shared" si="77"/>
        <v/>
      </c>
    </row>
    <row r="4889" spans="15:15" x14ac:dyDescent="0.3">
      <c r="O4889" t="str">
        <f t="shared" si="77"/>
        <v/>
      </c>
    </row>
    <row r="4890" spans="15:15" x14ac:dyDescent="0.3">
      <c r="O4890" t="str">
        <f t="shared" si="77"/>
        <v/>
      </c>
    </row>
    <row r="4891" spans="15:15" x14ac:dyDescent="0.3">
      <c r="O4891" t="str">
        <f t="shared" si="77"/>
        <v/>
      </c>
    </row>
    <row r="4892" spans="15:15" x14ac:dyDescent="0.3">
      <c r="O4892" t="str">
        <f t="shared" si="77"/>
        <v/>
      </c>
    </row>
    <row r="4893" spans="15:15" x14ac:dyDescent="0.3">
      <c r="O4893" t="str">
        <f t="shared" si="77"/>
        <v/>
      </c>
    </row>
    <row r="4894" spans="15:15" x14ac:dyDescent="0.3">
      <c r="O4894" t="str">
        <f t="shared" si="77"/>
        <v/>
      </c>
    </row>
    <row r="4895" spans="15:15" x14ac:dyDescent="0.3">
      <c r="O4895" t="str">
        <f t="shared" si="77"/>
        <v/>
      </c>
    </row>
    <row r="4896" spans="15:15" x14ac:dyDescent="0.3">
      <c r="O4896" t="str">
        <f t="shared" si="77"/>
        <v/>
      </c>
    </row>
    <row r="4897" spans="15:15" x14ac:dyDescent="0.3">
      <c r="O4897" t="str">
        <f t="shared" si="77"/>
        <v/>
      </c>
    </row>
    <row r="4898" spans="15:15" x14ac:dyDescent="0.3">
      <c r="O4898" t="str">
        <f t="shared" si="77"/>
        <v/>
      </c>
    </row>
    <row r="4899" spans="15:15" x14ac:dyDescent="0.3">
      <c r="O4899" t="str">
        <f t="shared" si="77"/>
        <v/>
      </c>
    </row>
    <row r="4900" spans="15:15" x14ac:dyDescent="0.3">
      <c r="O4900" t="str">
        <f t="shared" si="77"/>
        <v/>
      </c>
    </row>
    <row r="4901" spans="15:15" x14ac:dyDescent="0.3">
      <c r="O4901" t="str">
        <f t="shared" si="77"/>
        <v/>
      </c>
    </row>
    <row r="4902" spans="15:15" x14ac:dyDescent="0.3">
      <c r="O4902" t="str">
        <f t="shared" si="77"/>
        <v/>
      </c>
    </row>
    <row r="4903" spans="15:15" x14ac:dyDescent="0.3">
      <c r="O4903" t="str">
        <f t="shared" si="77"/>
        <v/>
      </c>
    </row>
    <row r="4904" spans="15:15" x14ac:dyDescent="0.3">
      <c r="O4904" t="str">
        <f t="shared" si="77"/>
        <v/>
      </c>
    </row>
    <row r="4905" spans="15:15" x14ac:dyDescent="0.3">
      <c r="O4905" t="str">
        <f t="shared" si="77"/>
        <v/>
      </c>
    </row>
    <row r="4906" spans="15:15" x14ac:dyDescent="0.3">
      <c r="O4906" t="str">
        <f t="shared" si="77"/>
        <v/>
      </c>
    </row>
    <row r="4907" spans="15:15" x14ac:dyDescent="0.3">
      <c r="O4907" t="str">
        <f t="shared" si="77"/>
        <v/>
      </c>
    </row>
    <row r="4908" spans="15:15" x14ac:dyDescent="0.3">
      <c r="O4908" t="str">
        <f t="shared" si="77"/>
        <v/>
      </c>
    </row>
    <row r="4909" spans="15:15" x14ac:dyDescent="0.3">
      <c r="O4909" t="str">
        <f t="shared" si="77"/>
        <v/>
      </c>
    </row>
    <row r="4910" spans="15:15" x14ac:dyDescent="0.3">
      <c r="O4910" t="str">
        <f t="shared" si="77"/>
        <v/>
      </c>
    </row>
    <row r="4911" spans="15:15" x14ac:dyDescent="0.3">
      <c r="O4911" t="str">
        <f t="shared" si="77"/>
        <v/>
      </c>
    </row>
    <row r="4912" spans="15:15" x14ac:dyDescent="0.3">
      <c r="O4912" t="str">
        <f t="shared" si="77"/>
        <v/>
      </c>
    </row>
    <row r="4913" spans="15:15" x14ac:dyDescent="0.3">
      <c r="O4913" t="str">
        <f t="shared" si="77"/>
        <v/>
      </c>
    </row>
    <row r="4914" spans="15:15" x14ac:dyDescent="0.3">
      <c r="O4914" t="str">
        <f t="shared" si="77"/>
        <v/>
      </c>
    </row>
    <row r="4915" spans="15:15" x14ac:dyDescent="0.3">
      <c r="O4915" t="str">
        <f t="shared" si="77"/>
        <v/>
      </c>
    </row>
    <row r="4916" spans="15:15" x14ac:dyDescent="0.3">
      <c r="O4916" t="str">
        <f t="shared" si="77"/>
        <v/>
      </c>
    </row>
    <row r="4917" spans="15:15" x14ac:dyDescent="0.3">
      <c r="O4917" t="str">
        <f t="shared" si="77"/>
        <v/>
      </c>
    </row>
    <row r="4918" spans="15:15" x14ac:dyDescent="0.3">
      <c r="O4918" t="str">
        <f t="shared" si="77"/>
        <v/>
      </c>
    </row>
    <row r="4919" spans="15:15" x14ac:dyDescent="0.3">
      <c r="O4919" t="str">
        <f t="shared" si="77"/>
        <v/>
      </c>
    </row>
    <row r="4920" spans="15:15" x14ac:dyDescent="0.3">
      <c r="O4920" t="str">
        <f t="shared" si="77"/>
        <v/>
      </c>
    </row>
    <row r="4921" spans="15:15" x14ac:dyDescent="0.3">
      <c r="O4921" t="str">
        <f t="shared" si="77"/>
        <v/>
      </c>
    </row>
    <row r="4922" spans="15:15" x14ac:dyDescent="0.3">
      <c r="O4922" t="str">
        <f t="shared" si="77"/>
        <v/>
      </c>
    </row>
    <row r="4923" spans="15:15" x14ac:dyDescent="0.3">
      <c r="O4923" t="str">
        <f t="shared" si="77"/>
        <v/>
      </c>
    </row>
    <row r="4924" spans="15:15" x14ac:dyDescent="0.3">
      <c r="O4924" t="str">
        <f t="shared" si="77"/>
        <v/>
      </c>
    </row>
    <row r="4925" spans="15:15" x14ac:dyDescent="0.3">
      <c r="O4925" t="str">
        <f t="shared" si="77"/>
        <v/>
      </c>
    </row>
    <row r="4926" spans="15:15" x14ac:dyDescent="0.3">
      <c r="O4926" t="str">
        <f t="shared" si="77"/>
        <v/>
      </c>
    </row>
    <row r="4927" spans="15:15" x14ac:dyDescent="0.3">
      <c r="O4927" t="str">
        <f t="shared" si="77"/>
        <v/>
      </c>
    </row>
    <row r="4928" spans="15:15" x14ac:dyDescent="0.3">
      <c r="O4928" t="str">
        <f t="shared" si="77"/>
        <v/>
      </c>
    </row>
    <row r="4929" spans="15:15" x14ac:dyDescent="0.3">
      <c r="O4929" t="str">
        <f t="shared" si="77"/>
        <v/>
      </c>
    </row>
    <row r="4930" spans="15:15" x14ac:dyDescent="0.3">
      <c r="O4930" t="str">
        <f t="shared" si="77"/>
        <v/>
      </c>
    </row>
    <row r="4931" spans="15:15" x14ac:dyDescent="0.3">
      <c r="O4931" t="str">
        <f t="shared" si="77"/>
        <v/>
      </c>
    </row>
    <row r="4932" spans="15:15" x14ac:dyDescent="0.3">
      <c r="O4932" t="str">
        <f t="shared" si="77"/>
        <v/>
      </c>
    </row>
    <row r="4933" spans="15:15" x14ac:dyDescent="0.3">
      <c r="O4933" t="str">
        <f t="shared" si="77"/>
        <v/>
      </c>
    </row>
    <row r="4934" spans="15:15" x14ac:dyDescent="0.3">
      <c r="O4934" t="str">
        <f t="shared" si="77"/>
        <v/>
      </c>
    </row>
    <row r="4935" spans="15:15" x14ac:dyDescent="0.3">
      <c r="O4935" t="str">
        <f t="shared" si="77"/>
        <v/>
      </c>
    </row>
    <row r="4936" spans="15:15" x14ac:dyDescent="0.3">
      <c r="O4936" t="str">
        <f t="shared" si="77"/>
        <v/>
      </c>
    </row>
    <row r="4937" spans="15:15" x14ac:dyDescent="0.3">
      <c r="O4937" t="str">
        <f t="shared" si="77"/>
        <v/>
      </c>
    </row>
    <row r="4938" spans="15:15" x14ac:dyDescent="0.3">
      <c r="O4938" t="str">
        <f t="shared" ref="O4938:O5001" si="78">IF(P4938="","",O4937+1)</f>
        <v/>
      </c>
    </row>
    <row r="4939" spans="15:15" x14ac:dyDescent="0.3">
      <c r="O4939" t="str">
        <f t="shared" si="78"/>
        <v/>
      </c>
    </row>
    <row r="4940" spans="15:15" x14ac:dyDescent="0.3">
      <c r="O4940" t="str">
        <f t="shared" si="78"/>
        <v/>
      </c>
    </row>
    <row r="4941" spans="15:15" x14ac:dyDescent="0.3">
      <c r="O4941" t="str">
        <f t="shared" si="78"/>
        <v/>
      </c>
    </row>
    <row r="4942" spans="15:15" x14ac:dyDescent="0.3">
      <c r="O4942" t="str">
        <f t="shared" si="78"/>
        <v/>
      </c>
    </row>
    <row r="4943" spans="15:15" x14ac:dyDescent="0.3">
      <c r="O4943" t="str">
        <f t="shared" si="78"/>
        <v/>
      </c>
    </row>
    <row r="4944" spans="15:15" x14ac:dyDescent="0.3">
      <c r="O4944" t="str">
        <f t="shared" si="78"/>
        <v/>
      </c>
    </row>
    <row r="4945" spans="15:15" x14ac:dyDescent="0.3">
      <c r="O4945" t="str">
        <f t="shared" si="78"/>
        <v/>
      </c>
    </row>
    <row r="4946" spans="15:15" x14ac:dyDescent="0.3">
      <c r="O4946" t="str">
        <f t="shared" si="78"/>
        <v/>
      </c>
    </row>
    <row r="4947" spans="15:15" x14ac:dyDescent="0.3">
      <c r="O4947" t="str">
        <f t="shared" si="78"/>
        <v/>
      </c>
    </row>
    <row r="4948" spans="15:15" x14ac:dyDescent="0.3">
      <c r="O4948" t="str">
        <f t="shared" si="78"/>
        <v/>
      </c>
    </row>
    <row r="4949" spans="15:15" x14ac:dyDescent="0.3">
      <c r="O4949" t="str">
        <f t="shared" si="78"/>
        <v/>
      </c>
    </row>
    <row r="4950" spans="15:15" x14ac:dyDescent="0.3">
      <c r="O4950" t="str">
        <f t="shared" si="78"/>
        <v/>
      </c>
    </row>
    <row r="4951" spans="15:15" x14ac:dyDescent="0.3">
      <c r="O4951" t="str">
        <f t="shared" si="78"/>
        <v/>
      </c>
    </row>
    <row r="4952" spans="15:15" x14ac:dyDescent="0.3">
      <c r="O4952" t="str">
        <f t="shared" si="78"/>
        <v/>
      </c>
    </row>
    <row r="4953" spans="15:15" x14ac:dyDescent="0.3">
      <c r="O4953" t="str">
        <f t="shared" si="78"/>
        <v/>
      </c>
    </row>
    <row r="4954" spans="15:15" x14ac:dyDescent="0.3">
      <c r="O4954" t="str">
        <f t="shared" si="78"/>
        <v/>
      </c>
    </row>
    <row r="4955" spans="15:15" x14ac:dyDescent="0.3">
      <c r="O4955" t="str">
        <f t="shared" si="78"/>
        <v/>
      </c>
    </row>
    <row r="4956" spans="15:15" x14ac:dyDescent="0.3">
      <c r="O4956" t="str">
        <f t="shared" si="78"/>
        <v/>
      </c>
    </row>
    <row r="4957" spans="15:15" x14ac:dyDescent="0.3">
      <c r="O4957" t="str">
        <f t="shared" si="78"/>
        <v/>
      </c>
    </row>
    <row r="4958" spans="15:15" x14ac:dyDescent="0.3">
      <c r="O4958" t="str">
        <f t="shared" si="78"/>
        <v/>
      </c>
    </row>
    <row r="4959" spans="15:15" x14ac:dyDescent="0.3">
      <c r="O4959" t="str">
        <f t="shared" si="78"/>
        <v/>
      </c>
    </row>
    <row r="4960" spans="15:15" x14ac:dyDescent="0.3">
      <c r="O4960" t="str">
        <f t="shared" si="78"/>
        <v/>
      </c>
    </row>
    <row r="4961" spans="15:15" x14ac:dyDescent="0.3">
      <c r="O4961" t="str">
        <f t="shared" si="78"/>
        <v/>
      </c>
    </row>
    <row r="4962" spans="15:15" x14ac:dyDescent="0.3">
      <c r="O4962" t="str">
        <f t="shared" si="78"/>
        <v/>
      </c>
    </row>
    <row r="4963" spans="15:15" x14ac:dyDescent="0.3">
      <c r="O4963" t="str">
        <f t="shared" si="78"/>
        <v/>
      </c>
    </row>
    <row r="4964" spans="15:15" x14ac:dyDescent="0.3">
      <c r="O4964" t="str">
        <f t="shared" si="78"/>
        <v/>
      </c>
    </row>
    <row r="4965" spans="15:15" x14ac:dyDescent="0.3">
      <c r="O4965" t="str">
        <f t="shared" si="78"/>
        <v/>
      </c>
    </row>
    <row r="4966" spans="15:15" x14ac:dyDescent="0.3">
      <c r="O4966" t="str">
        <f t="shared" si="78"/>
        <v/>
      </c>
    </row>
    <row r="4967" spans="15:15" x14ac:dyDescent="0.3">
      <c r="O4967" t="str">
        <f t="shared" si="78"/>
        <v/>
      </c>
    </row>
    <row r="4968" spans="15:15" x14ac:dyDescent="0.3">
      <c r="O4968" t="str">
        <f t="shared" si="78"/>
        <v/>
      </c>
    </row>
    <row r="4969" spans="15:15" x14ac:dyDescent="0.3">
      <c r="O4969" t="str">
        <f t="shared" si="78"/>
        <v/>
      </c>
    </row>
    <row r="4970" spans="15:15" x14ac:dyDescent="0.3">
      <c r="O4970" t="str">
        <f t="shared" si="78"/>
        <v/>
      </c>
    </row>
    <row r="4971" spans="15:15" x14ac:dyDescent="0.3">
      <c r="O4971" t="str">
        <f t="shared" si="78"/>
        <v/>
      </c>
    </row>
    <row r="4972" spans="15:15" x14ac:dyDescent="0.3">
      <c r="O4972" t="str">
        <f t="shared" si="78"/>
        <v/>
      </c>
    </row>
    <row r="4973" spans="15:15" x14ac:dyDescent="0.3">
      <c r="O4973" t="str">
        <f t="shared" si="78"/>
        <v/>
      </c>
    </row>
    <row r="4974" spans="15:15" x14ac:dyDescent="0.3">
      <c r="O4974" t="str">
        <f t="shared" si="78"/>
        <v/>
      </c>
    </row>
    <row r="4975" spans="15:15" x14ac:dyDescent="0.3">
      <c r="O4975" t="str">
        <f t="shared" si="78"/>
        <v/>
      </c>
    </row>
    <row r="4976" spans="15:15" x14ac:dyDescent="0.3">
      <c r="O4976" t="str">
        <f t="shared" si="78"/>
        <v/>
      </c>
    </row>
    <row r="4977" spans="15:15" x14ac:dyDescent="0.3">
      <c r="O4977" t="str">
        <f t="shared" si="78"/>
        <v/>
      </c>
    </row>
    <row r="4978" spans="15:15" x14ac:dyDescent="0.3">
      <c r="O4978" t="str">
        <f t="shared" si="78"/>
        <v/>
      </c>
    </row>
    <row r="4979" spans="15:15" x14ac:dyDescent="0.3">
      <c r="O4979" t="str">
        <f t="shared" si="78"/>
        <v/>
      </c>
    </row>
    <row r="4980" spans="15:15" x14ac:dyDescent="0.3">
      <c r="O4980" t="str">
        <f t="shared" si="78"/>
        <v/>
      </c>
    </row>
    <row r="4981" spans="15:15" x14ac:dyDescent="0.3">
      <c r="O4981" t="str">
        <f t="shared" si="78"/>
        <v/>
      </c>
    </row>
    <row r="4982" spans="15:15" x14ac:dyDescent="0.3">
      <c r="O4982" t="str">
        <f t="shared" si="78"/>
        <v/>
      </c>
    </row>
    <row r="4983" spans="15:15" x14ac:dyDescent="0.3">
      <c r="O4983" t="str">
        <f t="shared" si="78"/>
        <v/>
      </c>
    </row>
    <row r="4984" spans="15:15" x14ac:dyDescent="0.3">
      <c r="O4984" t="str">
        <f t="shared" si="78"/>
        <v/>
      </c>
    </row>
    <row r="4985" spans="15:15" x14ac:dyDescent="0.3">
      <c r="O4985" t="str">
        <f t="shared" si="78"/>
        <v/>
      </c>
    </row>
    <row r="4986" spans="15:15" x14ac:dyDescent="0.3">
      <c r="O4986" t="str">
        <f t="shared" si="78"/>
        <v/>
      </c>
    </row>
    <row r="4987" spans="15:15" x14ac:dyDescent="0.3">
      <c r="O4987" t="str">
        <f t="shared" si="78"/>
        <v/>
      </c>
    </row>
    <row r="4988" spans="15:15" x14ac:dyDescent="0.3">
      <c r="O4988" t="str">
        <f t="shared" si="78"/>
        <v/>
      </c>
    </row>
    <row r="4989" spans="15:15" x14ac:dyDescent="0.3">
      <c r="O4989" t="str">
        <f t="shared" si="78"/>
        <v/>
      </c>
    </row>
    <row r="4990" spans="15:15" x14ac:dyDescent="0.3">
      <c r="O4990" t="str">
        <f t="shared" si="78"/>
        <v/>
      </c>
    </row>
    <row r="4991" spans="15:15" x14ac:dyDescent="0.3">
      <c r="O4991" t="str">
        <f t="shared" si="78"/>
        <v/>
      </c>
    </row>
    <row r="4992" spans="15:15" x14ac:dyDescent="0.3">
      <c r="O4992" t="str">
        <f t="shared" si="78"/>
        <v/>
      </c>
    </row>
    <row r="4993" spans="15:15" x14ac:dyDescent="0.3">
      <c r="O4993" t="str">
        <f t="shared" si="78"/>
        <v/>
      </c>
    </row>
    <row r="4994" spans="15:15" x14ac:dyDescent="0.3">
      <c r="O4994" t="str">
        <f t="shared" si="78"/>
        <v/>
      </c>
    </row>
    <row r="4995" spans="15:15" x14ac:dyDescent="0.3">
      <c r="O4995" t="str">
        <f t="shared" si="78"/>
        <v/>
      </c>
    </row>
    <row r="4996" spans="15:15" x14ac:dyDescent="0.3">
      <c r="O4996" t="str">
        <f t="shared" si="78"/>
        <v/>
      </c>
    </row>
    <row r="4997" spans="15:15" x14ac:dyDescent="0.3">
      <c r="O4997" t="str">
        <f t="shared" si="78"/>
        <v/>
      </c>
    </row>
    <row r="4998" spans="15:15" x14ac:dyDescent="0.3">
      <c r="O4998" t="str">
        <f t="shared" si="78"/>
        <v/>
      </c>
    </row>
    <row r="4999" spans="15:15" x14ac:dyDescent="0.3">
      <c r="O4999" t="str">
        <f t="shared" si="78"/>
        <v/>
      </c>
    </row>
    <row r="5000" spans="15:15" x14ac:dyDescent="0.3">
      <c r="O5000" t="str">
        <f t="shared" si="78"/>
        <v/>
      </c>
    </row>
    <row r="5001" spans="15:15" x14ac:dyDescent="0.3">
      <c r="O5001" t="str">
        <f t="shared" si="78"/>
        <v/>
      </c>
    </row>
    <row r="5002" spans="15:15" x14ac:dyDescent="0.3">
      <c r="O5002" t="str">
        <f t="shared" ref="O5002:O5065" si="79">IF(P5002="","",O5001+1)</f>
        <v/>
      </c>
    </row>
    <row r="5003" spans="15:15" x14ac:dyDescent="0.3">
      <c r="O5003" t="str">
        <f t="shared" si="79"/>
        <v/>
      </c>
    </row>
    <row r="5004" spans="15:15" x14ac:dyDescent="0.3">
      <c r="O5004" t="str">
        <f t="shared" si="79"/>
        <v/>
      </c>
    </row>
    <row r="5005" spans="15:15" x14ac:dyDescent="0.3">
      <c r="O5005" t="str">
        <f t="shared" si="79"/>
        <v/>
      </c>
    </row>
    <row r="5006" spans="15:15" x14ac:dyDescent="0.3">
      <c r="O5006" t="str">
        <f t="shared" si="79"/>
        <v/>
      </c>
    </row>
    <row r="5007" spans="15:15" x14ac:dyDescent="0.3">
      <c r="O5007" t="str">
        <f t="shared" si="79"/>
        <v/>
      </c>
    </row>
    <row r="5008" spans="15:15" x14ac:dyDescent="0.3">
      <c r="O5008" t="str">
        <f t="shared" si="79"/>
        <v/>
      </c>
    </row>
    <row r="5009" spans="15:15" x14ac:dyDescent="0.3">
      <c r="O5009" t="str">
        <f t="shared" si="79"/>
        <v/>
      </c>
    </row>
    <row r="5010" spans="15:15" x14ac:dyDescent="0.3">
      <c r="O5010" t="str">
        <f t="shared" si="79"/>
        <v/>
      </c>
    </row>
    <row r="5011" spans="15:15" x14ac:dyDescent="0.3">
      <c r="O5011" t="str">
        <f t="shared" si="79"/>
        <v/>
      </c>
    </row>
    <row r="5012" spans="15:15" x14ac:dyDescent="0.3">
      <c r="O5012" t="str">
        <f t="shared" si="79"/>
        <v/>
      </c>
    </row>
    <row r="5013" spans="15:15" x14ac:dyDescent="0.3">
      <c r="O5013" t="str">
        <f t="shared" si="79"/>
        <v/>
      </c>
    </row>
    <row r="5014" spans="15:15" x14ac:dyDescent="0.3">
      <c r="O5014" t="str">
        <f t="shared" si="79"/>
        <v/>
      </c>
    </row>
    <row r="5015" spans="15:15" x14ac:dyDescent="0.3">
      <c r="O5015" t="str">
        <f t="shared" si="79"/>
        <v/>
      </c>
    </row>
    <row r="5016" spans="15:15" x14ac:dyDescent="0.3">
      <c r="O5016" t="str">
        <f t="shared" si="79"/>
        <v/>
      </c>
    </row>
    <row r="5017" spans="15:15" x14ac:dyDescent="0.3">
      <c r="O5017" t="str">
        <f t="shared" si="79"/>
        <v/>
      </c>
    </row>
    <row r="5018" spans="15:15" x14ac:dyDescent="0.3">
      <c r="O5018" t="str">
        <f t="shared" si="79"/>
        <v/>
      </c>
    </row>
    <row r="5019" spans="15:15" x14ac:dyDescent="0.3">
      <c r="O5019" t="str">
        <f t="shared" si="79"/>
        <v/>
      </c>
    </row>
    <row r="5020" spans="15:15" x14ac:dyDescent="0.3">
      <c r="O5020" t="str">
        <f t="shared" si="79"/>
        <v/>
      </c>
    </row>
    <row r="5021" spans="15:15" x14ac:dyDescent="0.3">
      <c r="O5021" t="str">
        <f t="shared" si="79"/>
        <v/>
      </c>
    </row>
    <row r="5022" spans="15:15" x14ac:dyDescent="0.3">
      <c r="O5022" t="str">
        <f t="shared" si="79"/>
        <v/>
      </c>
    </row>
    <row r="5023" spans="15:15" x14ac:dyDescent="0.3">
      <c r="O5023" t="str">
        <f t="shared" si="79"/>
        <v/>
      </c>
    </row>
    <row r="5024" spans="15:15" x14ac:dyDescent="0.3">
      <c r="O5024" t="str">
        <f t="shared" si="79"/>
        <v/>
      </c>
    </row>
    <row r="5025" spans="15:15" x14ac:dyDescent="0.3">
      <c r="O5025" t="str">
        <f t="shared" si="79"/>
        <v/>
      </c>
    </row>
    <row r="5026" spans="15:15" x14ac:dyDescent="0.3">
      <c r="O5026" t="str">
        <f t="shared" si="79"/>
        <v/>
      </c>
    </row>
    <row r="5027" spans="15:15" x14ac:dyDescent="0.3">
      <c r="O5027" t="str">
        <f t="shared" si="79"/>
        <v/>
      </c>
    </row>
    <row r="5028" spans="15:15" x14ac:dyDescent="0.3">
      <c r="O5028" t="str">
        <f t="shared" si="79"/>
        <v/>
      </c>
    </row>
    <row r="5029" spans="15:15" x14ac:dyDescent="0.3">
      <c r="O5029" t="str">
        <f t="shared" si="79"/>
        <v/>
      </c>
    </row>
    <row r="5030" spans="15:15" x14ac:dyDescent="0.3">
      <c r="O5030" t="str">
        <f t="shared" si="79"/>
        <v/>
      </c>
    </row>
    <row r="5031" spans="15:15" x14ac:dyDescent="0.3">
      <c r="O5031" t="str">
        <f t="shared" si="79"/>
        <v/>
      </c>
    </row>
    <row r="5032" spans="15:15" x14ac:dyDescent="0.3">
      <c r="O5032" t="str">
        <f t="shared" si="79"/>
        <v/>
      </c>
    </row>
    <row r="5033" spans="15:15" x14ac:dyDescent="0.3">
      <c r="O5033" t="str">
        <f t="shared" si="79"/>
        <v/>
      </c>
    </row>
    <row r="5034" spans="15:15" x14ac:dyDescent="0.3">
      <c r="O5034" t="str">
        <f t="shared" si="79"/>
        <v/>
      </c>
    </row>
    <row r="5035" spans="15:15" x14ac:dyDescent="0.3">
      <c r="O5035" t="str">
        <f t="shared" si="79"/>
        <v/>
      </c>
    </row>
    <row r="5036" spans="15:15" x14ac:dyDescent="0.3">
      <c r="O5036" t="str">
        <f t="shared" si="79"/>
        <v/>
      </c>
    </row>
    <row r="5037" spans="15:15" x14ac:dyDescent="0.3">
      <c r="O5037" t="str">
        <f t="shared" si="79"/>
        <v/>
      </c>
    </row>
    <row r="5038" spans="15:15" x14ac:dyDescent="0.3">
      <c r="O5038" t="str">
        <f t="shared" si="79"/>
        <v/>
      </c>
    </row>
    <row r="5039" spans="15:15" x14ac:dyDescent="0.3">
      <c r="O5039" t="str">
        <f t="shared" si="79"/>
        <v/>
      </c>
    </row>
    <row r="5040" spans="15:15" x14ac:dyDescent="0.3">
      <c r="O5040" t="str">
        <f t="shared" si="79"/>
        <v/>
      </c>
    </row>
    <row r="5041" spans="15:15" x14ac:dyDescent="0.3">
      <c r="O5041" t="str">
        <f t="shared" si="79"/>
        <v/>
      </c>
    </row>
    <row r="5042" spans="15:15" x14ac:dyDescent="0.3">
      <c r="O5042" t="str">
        <f t="shared" si="79"/>
        <v/>
      </c>
    </row>
    <row r="5043" spans="15:15" x14ac:dyDescent="0.3">
      <c r="O5043" t="str">
        <f t="shared" si="79"/>
        <v/>
      </c>
    </row>
    <row r="5044" spans="15:15" x14ac:dyDescent="0.3">
      <c r="O5044" t="str">
        <f t="shared" si="79"/>
        <v/>
      </c>
    </row>
    <row r="5045" spans="15:15" x14ac:dyDescent="0.3">
      <c r="O5045" t="str">
        <f t="shared" si="79"/>
        <v/>
      </c>
    </row>
    <row r="5046" spans="15:15" x14ac:dyDescent="0.3">
      <c r="O5046" t="str">
        <f t="shared" si="79"/>
        <v/>
      </c>
    </row>
    <row r="5047" spans="15:15" x14ac:dyDescent="0.3">
      <c r="O5047" t="str">
        <f t="shared" si="79"/>
        <v/>
      </c>
    </row>
    <row r="5048" spans="15:15" x14ac:dyDescent="0.3">
      <c r="O5048" t="str">
        <f t="shared" si="79"/>
        <v/>
      </c>
    </row>
    <row r="5049" spans="15:15" x14ac:dyDescent="0.3">
      <c r="O5049" t="str">
        <f t="shared" si="79"/>
        <v/>
      </c>
    </row>
    <row r="5050" spans="15:15" x14ac:dyDescent="0.3">
      <c r="O5050" t="str">
        <f t="shared" si="79"/>
        <v/>
      </c>
    </row>
    <row r="5051" spans="15:15" x14ac:dyDescent="0.3">
      <c r="O5051" t="str">
        <f t="shared" si="79"/>
        <v/>
      </c>
    </row>
    <row r="5052" spans="15:15" x14ac:dyDescent="0.3">
      <c r="O5052" t="str">
        <f t="shared" si="79"/>
        <v/>
      </c>
    </row>
    <row r="5053" spans="15:15" x14ac:dyDescent="0.3">
      <c r="O5053" t="str">
        <f t="shared" si="79"/>
        <v/>
      </c>
    </row>
    <row r="5054" spans="15:15" x14ac:dyDescent="0.3">
      <c r="O5054" t="str">
        <f t="shared" si="79"/>
        <v/>
      </c>
    </row>
    <row r="5055" spans="15:15" x14ac:dyDescent="0.3">
      <c r="O5055" t="str">
        <f t="shared" si="79"/>
        <v/>
      </c>
    </row>
    <row r="5056" spans="15:15" x14ac:dyDescent="0.3">
      <c r="O5056" t="str">
        <f t="shared" si="79"/>
        <v/>
      </c>
    </row>
    <row r="5057" spans="15:15" x14ac:dyDescent="0.3">
      <c r="O5057" t="str">
        <f t="shared" si="79"/>
        <v/>
      </c>
    </row>
    <row r="5058" spans="15:15" x14ac:dyDescent="0.3">
      <c r="O5058" t="str">
        <f t="shared" si="79"/>
        <v/>
      </c>
    </row>
    <row r="5059" spans="15:15" x14ac:dyDescent="0.3">
      <c r="O5059" t="str">
        <f t="shared" si="79"/>
        <v/>
      </c>
    </row>
    <row r="5060" spans="15:15" x14ac:dyDescent="0.3">
      <c r="O5060" t="str">
        <f t="shared" si="79"/>
        <v/>
      </c>
    </row>
    <row r="5061" spans="15:15" x14ac:dyDescent="0.3">
      <c r="O5061" t="str">
        <f t="shared" si="79"/>
        <v/>
      </c>
    </row>
    <row r="5062" spans="15:15" x14ac:dyDescent="0.3">
      <c r="O5062" t="str">
        <f t="shared" si="79"/>
        <v/>
      </c>
    </row>
    <row r="5063" spans="15:15" x14ac:dyDescent="0.3">
      <c r="O5063" t="str">
        <f t="shared" si="79"/>
        <v/>
      </c>
    </row>
    <row r="5064" spans="15:15" x14ac:dyDescent="0.3">
      <c r="O5064" t="str">
        <f t="shared" si="79"/>
        <v/>
      </c>
    </row>
    <row r="5065" spans="15:15" x14ac:dyDescent="0.3">
      <c r="O5065" t="str">
        <f t="shared" si="79"/>
        <v/>
      </c>
    </row>
    <row r="5066" spans="15:15" x14ac:dyDescent="0.3">
      <c r="O5066" t="str">
        <f t="shared" ref="O5066:O5129" si="80">IF(P5066="","",O5065+1)</f>
        <v/>
      </c>
    </row>
    <row r="5067" spans="15:15" x14ac:dyDescent="0.3">
      <c r="O5067" t="str">
        <f t="shared" si="80"/>
        <v/>
      </c>
    </row>
    <row r="5068" spans="15:15" x14ac:dyDescent="0.3">
      <c r="O5068" t="str">
        <f t="shared" si="80"/>
        <v/>
      </c>
    </row>
    <row r="5069" spans="15:15" x14ac:dyDescent="0.3">
      <c r="O5069" t="str">
        <f t="shared" si="80"/>
        <v/>
      </c>
    </row>
    <row r="5070" spans="15:15" x14ac:dyDescent="0.3">
      <c r="O5070" t="str">
        <f t="shared" si="80"/>
        <v/>
      </c>
    </row>
    <row r="5071" spans="15:15" x14ac:dyDescent="0.3">
      <c r="O5071" t="str">
        <f t="shared" si="80"/>
        <v/>
      </c>
    </row>
    <row r="5072" spans="15:15" x14ac:dyDescent="0.3">
      <c r="O5072" t="str">
        <f t="shared" si="80"/>
        <v/>
      </c>
    </row>
    <row r="5073" spans="15:15" x14ac:dyDescent="0.3">
      <c r="O5073" t="str">
        <f t="shared" si="80"/>
        <v/>
      </c>
    </row>
    <row r="5074" spans="15:15" x14ac:dyDescent="0.3">
      <c r="O5074" t="str">
        <f t="shared" si="80"/>
        <v/>
      </c>
    </row>
    <row r="5075" spans="15:15" x14ac:dyDescent="0.3">
      <c r="O5075" t="str">
        <f t="shared" si="80"/>
        <v/>
      </c>
    </row>
    <row r="5076" spans="15:15" x14ac:dyDescent="0.3">
      <c r="O5076" t="str">
        <f t="shared" si="80"/>
        <v/>
      </c>
    </row>
    <row r="5077" spans="15:15" x14ac:dyDescent="0.3">
      <c r="O5077" t="str">
        <f t="shared" si="80"/>
        <v/>
      </c>
    </row>
    <row r="5078" spans="15:15" x14ac:dyDescent="0.3">
      <c r="O5078" t="str">
        <f t="shared" si="80"/>
        <v/>
      </c>
    </row>
    <row r="5079" spans="15:15" x14ac:dyDescent="0.3">
      <c r="O5079" t="str">
        <f t="shared" si="80"/>
        <v/>
      </c>
    </row>
    <row r="5080" spans="15:15" x14ac:dyDescent="0.3">
      <c r="O5080" t="str">
        <f t="shared" si="80"/>
        <v/>
      </c>
    </row>
    <row r="5081" spans="15:15" x14ac:dyDescent="0.3">
      <c r="O5081" t="str">
        <f t="shared" si="80"/>
        <v/>
      </c>
    </row>
    <row r="5082" spans="15:15" x14ac:dyDescent="0.3">
      <c r="O5082" t="str">
        <f t="shared" si="80"/>
        <v/>
      </c>
    </row>
    <row r="5083" spans="15:15" x14ac:dyDescent="0.3">
      <c r="O5083" t="str">
        <f t="shared" si="80"/>
        <v/>
      </c>
    </row>
    <row r="5084" spans="15:15" x14ac:dyDescent="0.3">
      <c r="O5084" t="str">
        <f t="shared" si="80"/>
        <v/>
      </c>
    </row>
    <row r="5085" spans="15:15" x14ac:dyDescent="0.3">
      <c r="O5085" t="str">
        <f t="shared" si="80"/>
        <v/>
      </c>
    </row>
    <row r="5086" spans="15:15" x14ac:dyDescent="0.3">
      <c r="O5086" t="str">
        <f t="shared" si="80"/>
        <v/>
      </c>
    </row>
    <row r="5087" spans="15:15" x14ac:dyDescent="0.3">
      <c r="O5087" t="str">
        <f t="shared" si="80"/>
        <v/>
      </c>
    </row>
    <row r="5088" spans="15:15" x14ac:dyDescent="0.3">
      <c r="O5088" t="str">
        <f t="shared" si="80"/>
        <v/>
      </c>
    </row>
    <row r="5089" spans="15:15" x14ac:dyDescent="0.3">
      <c r="O5089" t="str">
        <f t="shared" si="80"/>
        <v/>
      </c>
    </row>
    <row r="5090" spans="15:15" x14ac:dyDescent="0.3">
      <c r="O5090" t="str">
        <f t="shared" si="80"/>
        <v/>
      </c>
    </row>
    <row r="5091" spans="15:15" x14ac:dyDescent="0.3">
      <c r="O5091" t="str">
        <f t="shared" si="80"/>
        <v/>
      </c>
    </row>
    <row r="5092" spans="15:15" x14ac:dyDescent="0.3">
      <c r="O5092" t="str">
        <f t="shared" si="80"/>
        <v/>
      </c>
    </row>
    <row r="5093" spans="15:15" x14ac:dyDescent="0.3">
      <c r="O5093" t="str">
        <f t="shared" si="80"/>
        <v/>
      </c>
    </row>
    <row r="5094" spans="15:15" x14ac:dyDescent="0.3">
      <c r="O5094" t="str">
        <f t="shared" si="80"/>
        <v/>
      </c>
    </row>
    <row r="5095" spans="15:15" x14ac:dyDescent="0.3">
      <c r="O5095" t="str">
        <f t="shared" si="80"/>
        <v/>
      </c>
    </row>
    <row r="5096" spans="15:15" x14ac:dyDescent="0.3">
      <c r="O5096" t="str">
        <f t="shared" si="80"/>
        <v/>
      </c>
    </row>
    <row r="5097" spans="15:15" x14ac:dyDescent="0.3">
      <c r="O5097" t="str">
        <f t="shared" si="80"/>
        <v/>
      </c>
    </row>
    <row r="5098" spans="15:15" x14ac:dyDescent="0.3">
      <c r="O5098" t="str">
        <f t="shared" si="80"/>
        <v/>
      </c>
    </row>
    <row r="5099" spans="15:15" x14ac:dyDescent="0.3">
      <c r="O5099" t="str">
        <f t="shared" si="80"/>
        <v/>
      </c>
    </row>
    <row r="5100" spans="15:15" x14ac:dyDescent="0.3">
      <c r="O5100" t="str">
        <f t="shared" si="80"/>
        <v/>
      </c>
    </row>
    <row r="5101" spans="15:15" x14ac:dyDescent="0.3">
      <c r="O5101" t="str">
        <f t="shared" si="80"/>
        <v/>
      </c>
    </row>
    <row r="5102" spans="15:15" x14ac:dyDescent="0.3">
      <c r="O5102" t="str">
        <f t="shared" si="80"/>
        <v/>
      </c>
    </row>
    <row r="5103" spans="15:15" x14ac:dyDescent="0.3">
      <c r="O5103" t="str">
        <f t="shared" si="80"/>
        <v/>
      </c>
    </row>
    <row r="5104" spans="15:15" x14ac:dyDescent="0.3">
      <c r="O5104" t="str">
        <f t="shared" si="80"/>
        <v/>
      </c>
    </row>
    <row r="5105" spans="15:15" x14ac:dyDescent="0.3">
      <c r="O5105" t="str">
        <f t="shared" si="80"/>
        <v/>
      </c>
    </row>
    <row r="5106" spans="15:15" x14ac:dyDescent="0.3">
      <c r="O5106" t="str">
        <f t="shared" si="80"/>
        <v/>
      </c>
    </row>
    <row r="5107" spans="15:15" x14ac:dyDescent="0.3">
      <c r="O5107" t="str">
        <f t="shared" si="80"/>
        <v/>
      </c>
    </row>
    <row r="5108" spans="15:15" x14ac:dyDescent="0.3">
      <c r="O5108" t="str">
        <f t="shared" si="80"/>
        <v/>
      </c>
    </row>
    <row r="5109" spans="15:15" x14ac:dyDescent="0.3">
      <c r="O5109" t="str">
        <f t="shared" si="80"/>
        <v/>
      </c>
    </row>
    <row r="5110" spans="15:15" x14ac:dyDescent="0.3">
      <c r="O5110" t="str">
        <f t="shared" si="80"/>
        <v/>
      </c>
    </row>
    <row r="5111" spans="15:15" x14ac:dyDescent="0.3">
      <c r="O5111" t="str">
        <f t="shared" si="80"/>
        <v/>
      </c>
    </row>
    <row r="5112" spans="15:15" x14ac:dyDescent="0.3">
      <c r="O5112" t="str">
        <f t="shared" si="80"/>
        <v/>
      </c>
    </row>
    <row r="5113" spans="15:15" x14ac:dyDescent="0.3">
      <c r="O5113" t="str">
        <f t="shared" si="80"/>
        <v/>
      </c>
    </row>
    <row r="5114" spans="15:15" x14ac:dyDescent="0.3">
      <c r="O5114" t="str">
        <f t="shared" si="80"/>
        <v/>
      </c>
    </row>
    <row r="5115" spans="15:15" x14ac:dyDescent="0.3">
      <c r="O5115" t="str">
        <f t="shared" si="80"/>
        <v/>
      </c>
    </row>
    <row r="5116" spans="15:15" x14ac:dyDescent="0.3">
      <c r="O5116" t="str">
        <f t="shared" si="80"/>
        <v/>
      </c>
    </row>
    <row r="5117" spans="15:15" x14ac:dyDescent="0.3">
      <c r="O5117" t="str">
        <f t="shared" si="80"/>
        <v/>
      </c>
    </row>
    <row r="5118" spans="15:15" x14ac:dyDescent="0.3">
      <c r="O5118" t="str">
        <f t="shared" si="80"/>
        <v/>
      </c>
    </row>
    <row r="5119" spans="15:15" x14ac:dyDescent="0.3">
      <c r="O5119" t="str">
        <f t="shared" si="80"/>
        <v/>
      </c>
    </row>
    <row r="5120" spans="15:15" x14ac:dyDescent="0.3">
      <c r="O5120" t="str">
        <f t="shared" si="80"/>
        <v/>
      </c>
    </row>
    <row r="5121" spans="15:15" x14ac:dyDescent="0.3">
      <c r="O5121" t="str">
        <f t="shared" si="80"/>
        <v/>
      </c>
    </row>
    <row r="5122" spans="15:15" x14ac:dyDescent="0.3">
      <c r="O5122" t="str">
        <f t="shared" si="80"/>
        <v/>
      </c>
    </row>
    <row r="5123" spans="15:15" x14ac:dyDescent="0.3">
      <c r="O5123" t="str">
        <f t="shared" si="80"/>
        <v/>
      </c>
    </row>
    <row r="5124" spans="15:15" x14ac:dyDescent="0.3">
      <c r="O5124" t="str">
        <f t="shared" si="80"/>
        <v/>
      </c>
    </row>
    <row r="5125" spans="15:15" x14ac:dyDescent="0.3">
      <c r="O5125" t="str">
        <f t="shared" si="80"/>
        <v/>
      </c>
    </row>
    <row r="5126" spans="15:15" x14ac:dyDescent="0.3">
      <c r="O5126" t="str">
        <f t="shared" si="80"/>
        <v/>
      </c>
    </row>
    <row r="5127" spans="15:15" x14ac:dyDescent="0.3">
      <c r="O5127" t="str">
        <f t="shared" si="80"/>
        <v/>
      </c>
    </row>
    <row r="5128" spans="15:15" x14ac:dyDescent="0.3">
      <c r="O5128" t="str">
        <f t="shared" si="80"/>
        <v/>
      </c>
    </row>
    <row r="5129" spans="15:15" x14ac:dyDescent="0.3">
      <c r="O5129" t="str">
        <f t="shared" si="80"/>
        <v/>
      </c>
    </row>
    <row r="5130" spans="15:15" x14ac:dyDescent="0.3">
      <c r="O5130" t="str">
        <f t="shared" ref="O5130:O5193" si="81">IF(P5130="","",O5129+1)</f>
        <v/>
      </c>
    </row>
    <row r="5131" spans="15:15" x14ac:dyDescent="0.3">
      <c r="O5131" t="str">
        <f t="shared" si="81"/>
        <v/>
      </c>
    </row>
    <row r="5132" spans="15:15" x14ac:dyDescent="0.3">
      <c r="O5132" t="str">
        <f t="shared" si="81"/>
        <v/>
      </c>
    </row>
    <row r="5133" spans="15:15" x14ac:dyDescent="0.3">
      <c r="O5133" t="str">
        <f t="shared" si="81"/>
        <v/>
      </c>
    </row>
    <row r="5134" spans="15:15" x14ac:dyDescent="0.3">
      <c r="O5134" t="str">
        <f t="shared" si="81"/>
        <v/>
      </c>
    </row>
    <row r="5135" spans="15:15" x14ac:dyDescent="0.3">
      <c r="O5135" t="str">
        <f t="shared" si="81"/>
        <v/>
      </c>
    </row>
    <row r="5136" spans="15:15" x14ac:dyDescent="0.3">
      <c r="O5136" t="str">
        <f t="shared" si="81"/>
        <v/>
      </c>
    </row>
    <row r="5137" spans="15:15" x14ac:dyDescent="0.3">
      <c r="O5137" t="str">
        <f t="shared" si="81"/>
        <v/>
      </c>
    </row>
    <row r="5138" spans="15:15" x14ac:dyDescent="0.3">
      <c r="O5138" t="str">
        <f t="shared" si="81"/>
        <v/>
      </c>
    </row>
    <row r="5139" spans="15:15" x14ac:dyDescent="0.3">
      <c r="O5139" t="str">
        <f t="shared" si="81"/>
        <v/>
      </c>
    </row>
    <row r="5140" spans="15:15" x14ac:dyDescent="0.3">
      <c r="O5140" t="str">
        <f t="shared" si="81"/>
        <v/>
      </c>
    </row>
    <row r="5141" spans="15:15" x14ac:dyDescent="0.3">
      <c r="O5141" t="str">
        <f t="shared" si="81"/>
        <v/>
      </c>
    </row>
    <row r="5142" spans="15:15" x14ac:dyDescent="0.3">
      <c r="O5142" t="str">
        <f t="shared" si="81"/>
        <v/>
      </c>
    </row>
    <row r="5143" spans="15:15" x14ac:dyDescent="0.3">
      <c r="O5143" t="str">
        <f t="shared" si="81"/>
        <v/>
      </c>
    </row>
    <row r="5144" spans="15:15" x14ac:dyDescent="0.3">
      <c r="O5144" t="str">
        <f t="shared" si="81"/>
        <v/>
      </c>
    </row>
    <row r="5145" spans="15:15" x14ac:dyDescent="0.3">
      <c r="O5145" t="str">
        <f t="shared" si="81"/>
        <v/>
      </c>
    </row>
    <row r="5146" spans="15:15" x14ac:dyDescent="0.3">
      <c r="O5146" t="str">
        <f t="shared" si="81"/>
        <v/>
      </c>
    </row>
    <row r="5147" spans="15:15" x14ac:dyDescent="0.3">
      <c r="O5147" t="str">
        <f t="shared" si="81"/>
        <v/>
      </c>
    </row>
    <row r="5148" spans="15:15" x14ac:dyDescent="0.3">
      <c r="O5148" t="str">
        <f t="shared" si="81"/>
        <v/>
      </c>
    </row>
    <row r="5149" spans="15:15" x14ac:dyDescent="0.3">
      <c r="O5149" t="str">
        <f t="shared" si="81"/>
        <v/>
      </c>
    </row>
    <row r="5150" spans="15:15" x14ac:dyDescent="0.3">
      <c r="O5150" t="str">
        <f t="shared" si="81"/>
        <v/>
      </c>
    </row>
    <row r="5151" spans="15:15" x14ac:dyDescent="0.3">
      <c r="O5151" t="str">
        <f t="shared" si="81"/>
        <v/>
      </c>
    </row>
    <row r="5152" spans="15:15" x14ac:dyDescent="0.3">
      <c r="O5152" t="str">
        <f t="shared" si="81"/>
        <v/>
      </c>
    </row>
    <row r="5153" spans="15:15" x14ac:dyDescent="0.3">
      <c r="O5153" t="str">
        <f t="shared" si="81"/>
        <v/>
      </c>
    </row>
    <row r="5154" spans="15:15" x14ac:dyDescent="0.3">
      <c r="O5154" t="str">
        <f t="shared" si="81"/>
        <v/>
      </c>
    </row>
    <row r="5155" spans="15:15" x14ac:dyDescent="0.3">
      <c r="O5155" t="str">
        <f t="shared" si="81"/>
        <v/>
      </c>
    </row>
    <row r="5156" spans="15:15" x14ac:dyDescent="0.3">
      <c r="O5156" t="str">
        <f t="shared" si="81"/>
        <v/>
      </c>
    </row>
    <row r="5157" spans="15:15" x14ac:dyDescent="0.3">
      <c r="O5157" t="str">
        <f t="shared" si="81"/>
        <v/>
      </c>
    </row>
    <row r="5158" spans="15:15" x14ac:dyDescent="0.3">
      <c r="O5158" t="str">
        <f t="shared" si="81"/>
        <v/>
      </c>
    </row>
    <row r="5159" spans="15:15" x14ac:dyDescent="0.3">
      <c r="O5159" t="str">
        <f t="shared" si="81"/>
        <v/>
      </c>
    </row>
    <row r="5160" spans="15:15" x14ac:dyDescent="0.3">
      <c r="O5160" t="str">
        <f t="shared" si="81"/>
        <v/>
      </c>
    </row>
    <row r="5161" spans="15:15" x14ac:dyDescent="0.3">
      <c r="O5161" t="str">
        <f t="shared" si="81"/>
        <v/>
      </c>
    </row>
    <row r="5162" spans="15:15" x14ac:dyDescent="0.3">
      <c r="O5162" t="str">
        <f t="shared" si="81"/>
        <v/>
      </c>
    </row>
    <row r="5163" spans="15:15" x14ac:dyDescent="0.3">
      <c r="O5163" t="str">
        <f t="shared" si="81"/>
        <v/>
      </c>
    </row>
    <row r="5164" spans="15:15" x14ac:dyDescent="0.3">
      <c r="O5164" t="str">
        <f t="shared" si="81"/>
        <v/>
      </c>
    </row>
    <row r="5165" spans="15:15" x14ac:dyDescent="0.3">
      <c r="O5165" t="str">
        <f t="shared" si="81"/>
        <v/>
      </c>
    </row>
    <row r="5166" spans="15:15" x14ac:dyDescent="0.3">
      <c r="O5166" t="str">
        <f t="shared" si="81"/>
        <v/>
      </c>
    </row>
    <row r="5167" spans="15:15" x14ac:dyDescent="0.3">
      <c r="O5167" t="str">
        <f t="shared" si="81"/>
        <v/>
      </c>
    </row>
    <row r="5168" spans="15:15" x14ac:dyDescent="0.3">
      <c r="O5168" t="str">
        <f t="shared" si="81"/>
        <v/>
      </c>
    </row>
    <row r="5169" spans="15:15" x14ac:dyDescent="0.3">
      <c r="O5169" t="str">
        <f t="shared" si="81"/>
        <v/>
      </c>
    </row>
    <row r="5170" spans="15:15" x14ac:dyDescent="0.3">
      <c r="O5170" t="str">
        <f t="shared" si="81"/>
        <v/>
      </c>
    </row>
    <row r="5171" spans="15:15" x14ac:dyDescent="0.3">
      <c r="O5171" t="str">
        <f t="shared" si="81"/>
        <v/>
      </c>
    </row>
    <row r="5172" spans="15:15" x14ac:dyDescent="0.3">
      <c r="O5172" t="str">
        <f t="shared" si="81"/>
        <v/>
      </c>
    </row>
    <row r="5173" spans="15:15" x14ac:dyDescent="0.3">
      <c r="O5173" t="str">
        <f t="shared" si="81"/>
        <v/>
      </c>
    </row>
    <row r="5174" spans="15:15" x14ac:dyDescent="0.3">
      <c r="O5174" t="str">
        <f t="shared" si="81"/>
        <v/>
      </c>
    </row>
    <row r="5175" spans="15:15" x14ac:dyDescent="0.3">
      <c r="O5175" t="str">
        <f t="shared" si="81"/>
        <v/>
      </c>
    </row>
    <row r="5176" spans="15:15" x14ac:dyDescent="0.3">
      <c r="O5176" t="str">
        <f t="shared" si="81"/>
        <v/>
      </c>
    </row>
    <row r="5177" spans="15:15" x14ac:dyDescent="0.3">
      <c r="O5177" t="str">
        <f t="shared" si="81"/>
        <v/>
      </c>
    </row>
    <row r="5178" spans="15:15" x14ac:dyDescent="0.3">
      <c r="O5178" t="str">
        <f t="shared" si="81"/>
        <v/>
      </c>
    </row>
    <row r="5179" spans="15:15" x14ac:dyDescent="0.3">
      <c r="O5179" t="str">
        <f t="shared" si="81"/>
        <v/>
      </c>
    </row>
    <row r="5180" spans="15:15" x14ac:dyDescent="0.3">
      <c r="O5180" t="str">
        <f t="shared" si="81"/>
        <v/>
      </c>
    </row>
    <row r="5181" spans="15:15" x14ac:dyDescent="0.3">
      <c r="O5181" t="str">
        <f t="shared" si="81"/>
        <v/>
      </c>
    </row>
    <row r="5182" spans="15:15" x14ac:dyDescent="0.3">
      <c r="O5182" t="str">
        <f t="shared" si="81"/>
        <v/>
      </c>
    </row>
    <row r="5183" spans="15:15" x14ac:dyDescent="0.3">
      <c r="O5183" t="str">
        <f t="shared" si="81"/>
        <v/>
      </c>
    </row>
    <row r="5184" spans="15:15" x14ac:dyDescent="0.3">
      <c r="O5184" t="str">
        <f t="shared" si="81"/>
        <v/>
      </c>
    </row>
    <row r="5185" spans="15:15" x14ac:dyDescent="0.3">
      <c r="O5185" t="str">
        <f t="shared" si="81"/>
        <v/>
      </c>
    </row>
    <row r="5186" spans="15:15" x14ac:dyDescent="0.3">
      <c r="O5186" t="str">
        <f t="shared" si="81"/>
        <v/>
      </c>
    </row>
    <row r="5187" spans="15:15" x14ac:dyDescent="0.3">
      <c r="O5187" t="str">
        <f t="shared" si="81"/>
        <v/>
      </c>
    </row>
    <row r="5188" spans="15:15" x14ac:dyDescent="0.3">
      <c r="O5188" t="str">
        <f t="shared" si="81"/>
        <v/>
      </c>
    </row>
    <row r="5189" spans="15:15" x14ac:dyDescent="0.3">
      <c r="O5189" t="str">
        <f t="shared" si="81"/>
        <v/>
      </c>
    </row>
    <row r="5190" spans="15:15" x14ac:dyDescent="0.3">
      <c r="O5190" t="str">
        <f t="shared" si="81"/>
        <v/>
      </c>
    </row>
    <row r="5191" spans="15:15" x14ac:dyDescent="0.3">
      <c r="O5191" t="str">
        <f t="shared" si="81"/>
        <v/>
      </c>
    </row>
    <row r="5192" spans="15:15" x14ac:dyDescent="0.3">
      <c r="O5192" t="str">
        <f t="shared" si="81"/>
        <v/>
      </c>
    </row>
    <row r="5193" spans="15:15" x14ac:dyDescent="0.3">
      <c r="O5193" t="str">
        <f t="shared" si="81"/>
        <v/>
      </c>
    </row>
    <row r="5194" spans="15:15" x14ac:dyDescent="0.3">
      <c r="O5194" t="str">
        <f t="shared" ref="O5194:O5257" si="82">IF(P5194="","",O5193+1)</f>
        <v/>
      </c>
    </row>
    <row r="5195" spans="15:15" x14ac:dyDescent="0.3">
      <c r="O5195" t="str">
        <f t="shared" si="82"/>
        <v/>
      </c>
    </row>
    <row r="5196" spans="15:15" x14ac:dyDescent="0.3">
      <c r="O5196" t="str">
        <f t="shared" si="82"/>
        <v/>
      </c>
    </row>
    <row r="5197" spans="15:15" x14ac:dyDescent="0.3">
      <c r="O5197" t="str">
        <f t="shared" si="82"/>
        <v/>
      </c>
    </row>
    <row r="5198" spans="15:15" x14ac:dyDescent="0.3">
      <c r="O5198" t="str">
        <f t="shared" si="82"/>
        <v/>
      </c>
    </row>
    <row r="5199" spans="15:15" x14ac:dyDescent="0.3">
      <c r="O5199" t="str">
        <f t="shared" si="82"/>
        <v/>
      </c>
    </row>
    <row r="5200" spans="15:15" x14ac:dyDescent="0.3">
      <c r="O5200" t="str">
        <f t="shared" si="82"/>
        <v/>
      </c>
    </row>
    <row r="5201" spans="15:15" x14ac:dyDescent="0.3">
      <c r="O5201" t="str">
        <f t="shared" si="82"/>
        <v/>
      </c>
    </row>
    <row r="5202" spans="15:15" x14ac:dyDescent="0.3">
      <c r="O5202" t="str">
        <f t="shared" si="82"/>
        <v/>
      </c>
    </row>
    <row r="5203" spans="15:15" x14ac:dyDescent="0.3">
      <c r="O5203" t="str">
        <f t="shared" si="82"/>
        <v/>
      </c>
    </row>
    <row r="5204" spans="15:15" x14ac:dyDescent="0.3">
      <c r="O5204" t="str">
        <f t="shared" si="82"/>
        <v/>
      </c>
    </row>
    <row r="5205" spans="15:15" x14ac:dyDescent="0.3">
      <c r="O5205" t="str">
        <f t="shared" si="82"/>
        <v/>
      </c>
    </row>
    <row r="5206" spans="15:15" x14ac:dyDescent="0.3">
      <c r="O5206" t="str">
        <f t="shared" si="82"/>
        <v/>
      </c>
    </row>
    <row r="5207" spans="15:15" x14ac:dyDescent="0.3">
      <c r="O5207" t="str">
        <f t="shared" si="82"/>
        <v/>
      </c>
    </row>
    <row r="5208" spans="15:15" x14ac:dyDescent="0.3">
      <c r="O5208" t="str">
        <f t="shared" si="82"/>
        <v/>
      </c>
    </row>
    <row r="5209" spans="15:15" x14ac:dyDescent="0.3">
      <c r="O5209" t="str">
        <f t="shared" si="82"/>
        <v/>
      </c>
    </row>
    <row r="5210" spans="15:15" x14ac:dyDescent="0.3">
      <c r="O5210" t="str">
        <f t="shared" si="82"/>
        <v/>
      </c>
    </row>
    <row r="5211" spans="15:15" x14ac:dyDescent="0.3">
      <c r="O5211" t="str">
        <f t="shared" si="82"/>
        <v/>
      </c>
    </row>
    <row r="5212" spans="15:15" x14ac:dyDescent="0.3">
      <c r="O5212" t="str">
        <f t="shared" si="82"/>
        <v/>
      </c>
    </row>
    <row r="5213" spans="15:15" x14ac:dyDescent="0.3">
      <c r="O5213" t="str">
        <f t="shared" si="82"/>
        <v/>
      </c>
    </row>
    <row r="5214" spans="15:15" x14ac:dyDescent="0.3">
      <c r="O5214" t="str">
        <f t="shared" si="82"/>
        <v/>
      </c>
    </row>
    <row r="5215" spans="15:15" x14ac:dyDescent="0.3">
      <c r="O5215" t="str">
        <f t="shared" si="82"/>
        <v/>
      </c>
    </row>
    <row r="5216" spans="15:15" x14ac:dyDescent="0.3">
      <c r="O5216" t="str">
        <f t="shared" si="82"/>
        <v/>
      </c>
    </row>
    <row r="5217" spans="15:15" x14ac:dyDescent="0.3">
      <c r="O5217" t="str">
        <f t="shared" si="82"/>
        <v/>
      </c>
    </row>
    <row r="5218" spans="15:15" x14ac:dyDescent="0.3">
      <c r="O5218" t="str">
        <f t="shared" si="82"/>
        <v/>
      </c>
    </row>
    <row r="5219" spans="15:15" x14ac:dyDescent="0.3">
      <c r="O5219" t="str">
        <f t="shared" si="82"/>
        <v/>
      </c>
    </row>
    <row r="5220" spans="15:15" x14ac:dyDescent="0.3">
      <c r="O5220" t="str">
        <f t="shared" si="82"/>
        <v/>
      </c>
    </row>
    <row r="5221" spans="15:15" x14ac:dyDescent="0.3">
      <c r="O5221" t="str">
        <f t="shared" si="82"/>
        <v/>
      </c>
    </row>
    <row r="5222" spans="15:15" x14ac:dyDescent="0.3">
      <c r="O5222" t="str">
        <f t="shared" si="82"/>
        <v/>
      </c>
    </row>
    <row r="5223" spans="15:15" x14ac:dyDescent="0.3">
      <c r="O5223" t="str">
        <f t="shared" si="82"/>
        <v/>
      </c>
    </row>
    <row r="5224" spans="15:15" x14ac:dyDescent="0.3">
      <c r="O5224" t="str">
        <f t="shared" si="82"/>
        <v/>
      </c>
    </row>
    <row r="5225" spans="15:15" x14ac:dyDescent="0.3">
      <c r="O5225" t="str">
        <f t="shared" si="82"/>
        <v/>
      </c>
    </row>
    <row r="5226" spans="15:15" x14ac:dyDescent="0.3">
      <c r="O5226" t="str">
        <f t="shared" si="82"/>
        <v/>
      </c>
    </row>
    <row r="5227" spans="15:15" x14ac:dyDescent="0.3">
      <c r="O5227" t="str">
        <f t="shared" si="82"/>
        <v/>
      </c>
    </row>
    <row r="5228" spans="15:15" x14ac:dyDescent="0.3">
      <c r="O5228" t="str">
        <f t="shared" si="82"/>
        <v/>
      </c>
    </row>
    <row r="5229" spans="15:15" x14ac:dyDescent="0.3">
      <c r="O5229" t="str">
        <f t="shared" si="82"/>
        <v/>
      </c>
    </row>
    <row r="5230" spans="15:15" x14ac:dyDescent="0.3">
      <c r="O5230" t="str">
        <f t="shared" si="82"/>
        <v/>
      </c>
    </row>
    <row r="5231" spans="15:15" x14ac:dyDescent="0.3">
      <c r="O5231" t="str">
        <f t="shared" si="82"/>
        <v/>
      </c>
    </row>
    <row r="5232" spans="15:15" x14ac:dyDescent="0.3">
      <c r="O5232" t="str">
        <f t="shared" si="82"/>
        <v/>
      </c>
    </row>
    <row r="5233" spans="15:15" x14ac:dyDescent="0.3">
      <c r="O5233" t="str">
        <f t="shared" si="82"/>
        <v/>
      </c>
    </row>
    <row r="5234" spans="15:15" x14ac:dyDescent="0.3">
      <c r="O5234" t="str">
        <f t="shared" si="82"/>
        <v/>
      </c>
    </row>
    <row r="5235" spans="15:15" x14ac:dyDescent="0.3">
      <c r="O5235" t="str">
        <f t="shared" si="82"/>
        <v/>
      </c>
    </row>
    <row r="5236" spans="15:15" x14ac:dyDescent="0.3">
      <c r="O5236" t="str">
        <f t="shared" si="82"/>
        <v/>
      </c>
    </row>
    <row r="5237" spans="15:15" x14ac:dyDescent="0.3">
      <c r="O5237" t="str">
        <f t="shared" si="82"/>
        <v/>
      </c>
    </row>
    <row r="5238" spans="15:15" x14ac:dyDescent="0.3">
      <c r="O5238" t="str">
        <f t="shared" si="82"/>
        <v/>
      </c>
    </row>
    <row r="5239" spans="15:15" x14ac:dyDescent="0.3">
      <c r="O5239" t="str">
        <f t="shared" si="82"/>
        <v/>
      </c>
    </row>
    <row r="5240" spans="15:15" x14ac:dyDescent="0.3">
      <c r="O5240" t="str">
        <f t="shared" si="82"/>
        <v/>
      </c>
    </row>
    <row r="5241" spans="15:15" x14ac:dyDescent="0.3">
      <c r="O5241" t="str">
        <f t="shared" si="82"/>
        <v/>
      </c>
    </row>
    <row r="5242" spans="15:15" x14ac:dyDescent="0.3">
      <c r="O5242" t="str">
        <f t="shared" si="82"/>
        <v/>
      </c>
    </row>
    <row r="5243" spans="15:15" x14ac:dyDescent="0.3">
      <c r="O5243" t="str">
        <f t="shared" si="82"/>
        <v/>
      </c>
    </row>
    <row r="5244" spans="15:15" x14ac:dyDescent="0.3">
      <c r="O5244" t="str">
        <f t="shared" si="82"/>
        <v/>
      </c>
    </row>
    <row r="5245" spans="15:15" x14ac:dyDescent="0.3">
      <c r="O5245" t="str">
        <f t="shared" si="82"/>
        <v/>
      </c>
    </row>
    <row r="5246" spans="15:15" x14ac:dyDescent="0.3">
      <c r="O5246" t="str">
        <f t="shared" si="82"/>
        <v/>
      </c>
    </row>
    <row r="5247" spans="15:15" x14ac:dyDescent="0.3">
      <c r="O5247" t="str">
        <f t="shared" si="82"/>
        <v/>
      </c>
    </row>
    <row r="5248" spans="15:15" x14ac:dyDescent="0.3">
      <c r="O5248" t="str">
        <f t="shared" si="82"/>
        <v/>
      </c>
    </row>
    <row r="5249" spans="15:15" x14ac:dyDescent="0.3">
      <c r="O5249" t="str">
        <f t="shared" si="82"/>
        <v/>
      </c>
    </row>
    <row r="5250" spans="15:15" x14ac:dyDescent="0.3">
      <c r="O5250" t="str">
        <f t="shared" si="82"/>
        <v/>
      </c>
    </row>
    <row r="5251" spans="15:15" x14ac:dyDescent="0.3">
      <c r="O5251" t="str">
        <f t="shared" si="82"/>
        <v/>
      </c>
    </row>
    <row r="5252" spans="15:15" x14ac:dyDescent="0.3">
      <c r="O5252" t="str">
        <f t="shared" si="82"/>
        <v/>
      </c>
    </row>
    <row r="5253" spans="15:15" x14ac:dyDescent="0.3">
      <c r="O5253" t="str">
        <f t="shared" si="82"/>
        <v/>
      </c>
    </row>
    <row r="5254" spans="15:15" x14ac:dyDescent="0.3">
      <c r="O5254" t="str">
        <f t="shared" si="82"/>
        <v/>
      </c>
    </row>
    <row r="5255" spans="15:15" x14ac:dyDescent="0.3">
      <c r="O5255" t="str">
        <f t="shared" si="82"/>
        <v/>
      </c>
    </row>
    <row r="5256" spans="15:15" x14ac:dyDescent="0.3">
      <c r="O5256" t="str">
        <f t="shared" si="82"/>
        <v/>
      </c>
    </row>
    <row r="5257" spans="15:15" x14ac:dyDescent="0.3">
      <c r="O5257" t="str">
        <f t="shared" si="82"/>
        <v/>
      </c>
    </row>
    <row r="5258" spans="15:15" x14ac:dyDescent="0.3">
      <c r="O5258" t="str">
        <f t="shared" ref="O5258:O5321" si="83">IF(P5258="","",O5257+1)</f>
        <v/>
      </c>
    </row>
    <row r="5259" spans="15:15" x14ac:dyDescent="0.3">
      <c r="O5259" t="str">
        <f t="shared" si="83"/>
        <v/>
      </c>
    </row>
    <row r="5260" spans="15:15" x14ac:dyDescent="0.3">
      <c r="O5260" t="str">
        <f t="shared" si="83"/>
        <v/>
      </c>
    </row>
    <row r="5261" spans="15:15" x14ac:dyDescent="0.3">
      <c r="O5261" t="str">
        <f t="shared" si="83"/>
        <v/>
      </c>
    </row>
    <row r="5262" spans="15:15" x14ac:dyDescent="0.3">
      <c r="O5262" t="str">
        <f t="shared" si="83"/>
        <v/>
      </c>
    </row>
    <row r="5263" spans="15:15" x14ac:dyDescent="0.3">
      <c r="O5263" t="str">
        <f t="shared" si="83"/>
        <v/>
      </c>
    </row>
    <row r="5264" spans="15:15" x14ac:dyDescent="0.3">
      <c r="O5264" t="str">
        <f t="shared" si="83"/>
        <v/>
      </c>
    </row>
    <row r="5265" spans="15:15" x14ac:dyDescent="0.3">
      <c r="O5265" t="str">
        <f t="shared" si="83"/>
        <v/>
      </c>
    </row>
    <row r="5266" spans="15:15" x14ac:dyDescent="0.3">
      <c r="O5266" t="str">
        <f t="shared" si="83"/>
        <v/>
      </c>
    </row>
    <row r="5267" spans="15:15" x14ac:dyDescent="0.3">
      <c r="O5267" t="str">
        <f t="shared" si="83"/>
        <v/>
      </c>
    </row>
    <row r="5268" spans="15:15" x14ac:dyDescent="0.3">
      <c r="O5268" t="str">
        <f t="shared" si="83"/>
        <v/>
      </c>
    </row>
    <row r="5269" spans="15:15" x14ac:dyDescent="0.3">
      <c r="O5269" t="str">
        <f t="shared" si="83"/>
        <v/>
      </c>
    </row>
    <row r="5270" spans="15:15" x14ac:dyDescent="0.3">
      <c r="O5270" t="str">
        <f t="shared" si="83"/>
        <v/>
      </c>
    </row>
    <row r="5271" spans="15:15" x14ac:dyDescent="0.3">
      <c r="O5271" t="str">
        <f t="shared" si="83"/>
        <v/>
      </c>
    </row>
    <row r="5272" spans="15:15" x14ac:dyDescent="0.3">
      <c r="O5272" t="str">
        <f t="shared" si="83"/>
        <v/>
      </c>
    </row>
    <row r="5273" spans="15:15" x14ac:dyDescent="0.3">
      <c r="O5273" t="str">
        <f t="shared" si="83"/>
        <v/>
      </c>
    </row>
    <row r="5274" spans="15:15" x14ac:dyDescent="0.3">
      <c r="O5274" t="str">
        <f t="shared" si="83"/>
        <v/>
      </c>
    </row>
    <row r="5275" spans="15:15" x14ac:dyDescent="0.3">
      <c r="O5275" t="str">
        <f t="shared" si="83"/>
        <v/>
      </c>
    </row>
    <row r="5276" spans="15:15" x14ac:dyDescent="0.3">
      <c r="O5276" t="str">
        <f t="shared" si="83"/>
        <v/>
      </c>
    </row>
    <row r="5277" spans="15:15" x14ac:dyDescent="0.3">
      <c r="O5277" t="str">
        <f t="shared" si="83"/>
        <v/>
      </c>
    </row>
    <row r="5278" spans="15:15" x14ac:dyDescent="0.3">
      <c r="O5278" t="str">
        <f t="shared" si="83"/>
        <v/>
      </c>
    </row>
    <row r="5279" spans="15:15" x14ac:dyDescent="0.3">
      <c r="O5279" t="str">
        <f t="shared" si="83"/>
        <v/>
      </c>
    </row>
    <row r="5280" spans="15:15" x14ac:dyDescent="0.3">
      <c r="O5280" t="str">
        <f t="shared" si="83"/>
        <v/>
      </c>
    </row>
    <row r="5281" spans="15:15" x14ac:dyDescent="0.3">
      <c r="O5281" t="str">
        <f t="shared" si="83"/>
        <v/>
      </c>
    </row>
    <row r="5282" spans="15:15" x14ac:dyDescent="0.3">
      <c r="O5282" t="str">
        <f t="shared" si="83"/>
        <v/>
      </c>
    </row>
    <row r="5283" spans="15:15" x14ac:dyDescent="0.3">
      <c r="O5283" t="str">
        <f t="shared" si="83"/>
        <v/>
      </c>
    </row>
    <row r="5284" spans="15:15" x14ac:dyDescent="0.3">
      <c r="O5284" t="str">
        <f t="shared" si="83"/>
        <v/>
      </c>
    </row>
    <row r="5285" spans="15:15" x14ac:dyDescent="0.3">
      <c r="O5285" t="str">
        <f t="shared" si="83"/>
        <v/>
      </c>
    </row>
    <row r="5286" spans="15:15" x14ac:dyDescent="0.3">
      <c r="O5286" t="str">
        <f t="shared" si="83"/>
        <v/>
      </c>
    </row>
    <row r="5287" spans="15:15" x14ac:dyDescent="0.3">
      <c r="O5287" t="str">
        <f t="shared" si="83"/>
        <v/>
      </c>
    </row>
    <row r="5288" spans="15:15" x14ac:dyDescent="0.3">
      <c r="O5288" t="str">
        <f t="shared" si="83"/>
        <v/>
      </c>
    </row>
    <row r="5289" spans="15:15" x14ac:dyDescent="0.3">
      <c r="O5289" t="str">
        <f t="shared" si="83"/>
        <v/>
      </c>
    </row>
    <row r="5290" spans="15:15" x14ac:dyDescent="0.3">
      <c r="O5290" t="str">
        <f t="shared" si="83"/>
        <v/>
      </c>
    </row>
    <row r="5291" spans="15:15" x14ac:dyDescent="0.3">
      <c r="O5291" t="str">
        <f t="shared" si="83"/>
        <v/>
      </c>
    </row>
    <row r="5292" spans="15:15" x14ac:dyDescent="0.3">
      <c r="O5292" t="str">
        <f t="shared" si="83"/>
        <v/>
      </c>
    </row>
    <row r="5293" spans="15:15" x14ac:dyDescent="0.3">
      <c r="O5293" t="str">
        <f t="shared" si="83"/>
        <v/>
      </c>
    </row>
    <row r="5294" spans="15:15" x14ac:dyDescent="0.3">
      <c r="O5294" t="str">
        <f t="shared" si="83"/>
        <v/>
      </c>
    </row>
    <row r="5295" spans="15:15" x14ac:dyDescent="0.3">
      <c r="O5295" t="str">
        <f t="shared" si="83"/>
        <v/>
      </c>
    </row>
    <row r="5296" spans="15:15" x14ac:dyDescent="0.3">
      <c r="O5296" t="str">
        <f t="shared" si="83"/>
        <v/>
      </c>
    </row>
    <row r="5297" spans="15:15" x14ac:dyDescent="0.3">
      <c r="O5297" t="str">
        <f t="shared" si="83"/>
        <v/>
      </c>
    </row>
    <row r="5298" spans="15:15" x14ac:dyDescent="0.3">
      <c r="O5298" t="str">
        <f t="shared" si="83"/>
        <v/>
      </c>
    </row>
    <row r="5299" spans="15:15" x14ac:dyDescent="0.3">
      <c r="O5299" t="str">
        <f t="shared" si="83"/>
        <v/>
      </c>
    </row>
    <row r="5300" spans="15:15" x14ac:dyDescent="0.3">
      <c r="O5300" t="str">
        <f t="shared" si="83"/>
        <v/>
      </c>
    </row>
    <row r="5301" spans="15:15" x14ac:dyDescent="0.3">
      <c r="O5301" t="str">
        <f t="shared" si="83"/>
        <v/>
      </c>
    </row>
    <row r="5302" spans="15:15" x14ac:dyDescent="0.3">
      <c r="O5302" t="str">
        <f t="shared" si="83"/>
        <v/>
      </c>
    </row>
    <row r="5303" spans="15:15" x14ac:dyDescent="0.3">
      <c r="O5303" t="str">
        <f t="shared" si="83"/>
        <v/>
      </c>
    </row>
    <row r="5304" spans="15:15" x14ac:dyDescent="0.3">
      <c r="O5304" t="str">
        <f t="shared" si="83"/>
        <v/>
      </c>
    </row>
    <row r="5305" spans="15:15" x14ac:dyDescent="0.3">
      <c r="O5305" t="str">
        <f t="shared" si="83"/>
        <v/>
      </c>
    </row>
    <row r="5306" spans="15:15" x14ac:dyDescent="0.3">
      <c r="O5306" t="str">
        <f t="shared" si="83"/>
        <v/>
      </c>
    </row>
    <row r="5307" spans="15:15" x14ac:dyDescent="0.3">
      <c r="O5307" t="str">
        <f t="shared" si="83"/>
        <v/>
      </c>
    </row>
    <row r="5308" spans="15:15" x14ac:dyDescent="0.3">
      <c r="O5308" t="str">
        <f t="shared" si="83"/>
        <v/>
      </c>
    </row>
    <row r="5309" spans="15:15" x14ac:dyDescent="0.3">
      <c r="O5309" t="str">
        <f t="shared" si="83"/>
        <v/>
      </c>
    </row>
    <row r="5310" spans="15:15" x14ac:dyDescent="0.3">
      <c r="O5310" t="str">
        <f t="shared" si="83"/>
        <v/>
      </c>
    </row>
    <row r="5311" spans="15:15" x14ac:dyDescent="0.3">
      <c r="O5311" t="str">
        <f t="shared" si="83"/>
        <v/>
      </c>
    </row>
    <row r="5312" spans="15:15" x14ac:dyDescent="0.3">
      <c r="O5312" t="str">
        <f t="shared" si="83"/>
        <v/>
      </c>
    </row>
    <row r="5313" spans="15:15" x14ac:dyDescent="0.3">
      <c r="O5313" t="str">
        <f t="shared" si="83"/>
        <v/>
      </c>
    </row>
    <row r="5314" spans="15:15" x14ac:dyDescent="0.3">
      <c r="O5314" t="str">
        <f t="shared" si="83"/>
        <v/>
      </c>
    </row>
    <row r="5315" spans="15:15" x14ac:dyDescent="0.3">
      <c r="O5315" t="str">
        <f t="shared" si="83"/>
        <v/>
      </c>
    </row>
    <row r="5316" spans="15:15" x14ac:dyDescent="0.3">
      <c r="O5316" t="str">
        <f t="shared" si="83"/>
        <v/>
      </c>
    </row>
    <row r="5317" spans="15:15" x14ac:dyDescent="0.3">
      <c r="O5317" t="str">
        <f t="shared" si="83"/>
        <v/>
      </c>
    </row>
    <row r="5318" spans="15:15" x14ac:dyDescent="0.3">
      <c r="O5318" t="str">
        <f t="shared" si="83"/>
        <v/>
      </c>
    </row>
    <row r="5319" spans="15:15" x14ac:dyDescent="0.3">
      <c r="O5319" t="str">
        <f t="shared" si="83"/>
        <v/>
      </c>
    </row>
    <row r="5320" spans="15:15" x14ac:dyDescent="0.3">
      <c r="O5320" t="str">
        <f t="shared" si="83"/>
        <v/>
      </c>
    </row>
    <row r="5321" spans="15:15" x14ac:dyDescent="0.3">
      <c r="O5321" t="str">
        <f t="shared" si="83"/>
        <v/>
      </c>
    </row>
    <row r="5322" spans="15:15" x14ac:dyDescent="0.3">
      <c r="O5322" t="str">
        <f t="shared" ref="O5322:O5385" si="84">IF(P5322="","",O5321+1)</f>
        <v/>
      </c>
    </row>
    <row r="5323" spans="15:15" x14ac:dyDescent="0.3">
      <c r="O5323" t="str">
        <f t="shared" si="84"/>
        <v/>
      </c>
    </row>
    <row r="5324" spans="15:15" x14ac:dyDescent="0.3">
      <c r="O5324" t="str">
        <f t="shared" si="84"/>
        <v/>
      </c>
    </row>
    <row r="5325" spans="15:15" x14ac:dyDescent="0.3">
      <c r="O5325" t="str">
        <f t="shared" si="84"/>
        <v/>
      </c>
    </row>
    <row r="5326" spans="15:15" x14ac:dyDescent="0.3">
      <c r="O5326" t="str">
        <f t="shared" si="84"/>
        <v/>
      </c>
    </row>
    <row r="5327" spans="15:15" x14ac:dyDescent="0.3">
      <c r="O5327" t="str">
        <f t="shared" si="84"/>
        <v/>
      </c>
    </row>
    <row r="5328" spans="15:15" x14ac:dyDescent="0.3">
      <c r="O5328" t="str">
        <f t="shared" si="84"/>
        <v/>
      </c>
    </row>
    <row r="5329" spans="15:15" x14ac:dyDescent="0.3">
      <c r="O5329" t="str">
        <f t="shared" si="84"/>
        <v/>
      </c>
    </row>
    <row r="5330" spans="15:15" x14ac:dyDescent="0.3">
      <c r="O5330" t="str">
        <f t="shared" si="84"/>
        <v/>
      </c>
    </row>
    <row r="5331" spans="15:15" x14ac:dyDescent="0.3">
      <c r="O5331" t="str">
        <f t="shared" si="84"/>
        <v/>
      </c>
    </row>
    <row r="5332" spans="15:15" x14ac:dyDescent="0.3">
      <c r="O5332" t="str">
        <f t="shared" si="84"/>
        <v/>
      </c>
    </row>
    <row r="5333" spans="15:15" x14ac:dyDescent="0.3">
      <c r="O5333" t="str">
        <f t="shared" si="84"/>
        <v/>
      </c>
    </row>
    <row r="5334" spans="15:15" x14ac:dyDescent="0.3">
      <c r="O5334" t="str">
        <f t="shared" si="84"/>
        <v/>
      </c>
    </row>
    <row r="5335" spans="15:15" x14ac:dyDescent="0.3">
      <c r="O5335" t="str">
        <f t="shared" si="84"/>
        <v/>
      </c>
    </row>
    <row r="5336" spans="15:15" x14ac:dyDescent="0.3">
      <c r="O5336" t="str">
        <f t="shared" si="84"/>
        <v/>
      </c>
    </row>
    <row r="5337" spans="15:15" x14ac:dyDescent="0.3">
      <c r="O5337" t="str">
        <f t="shared" si="84"/>
        <v/>
      </c>
    </row>
    <row r="5338" spans="15:15" x14ac:dyDescent="0.3">
      <c r="O5338" t="str">
        <f t="shared" si="84"/>
        <v/>
      </c>
    </row>
    <row r="5339" spans="15:15" x14ac:dyDescent="0.3">
      <c r="O5339" t="str">
        <f t="shared" si="84"/>
        <v/>
      </c>
    </row>
    <row r="5340" spans="15:15" x14ac:dyDescent="0.3">
      <c r="O5340" t="str">
        <f t="shared" si="84"/>
        <v/>
      </c>
    </row>
    <row r="5341" spans="15:15" x14ac:dyDescent="0.3">
      <c r="O5341" t="str">
        <f t="shared" si="84"/>
        <v/>
      </c>
    </row>
    <row r="5342" spans="15:15" x14ac:dyDescent="0.3">
      <c r="O5342" t="str">
        <f t="shared" si="84"/>
        <v/>
      </c>
    </row>
    <row r="5343" spans="15:15" x14ac:dyDescent="0.3">
      <c r="O5343" t="str">
        <f t="shared" si="84"/>
        <v/>
      </c>
    </row>
    <row r="5344" spans="15:15" x14ac:dyDescent="0.3">
      <c r="O5344" t="str">
        <f t="shared" si="84"/>
        <v/>
      </c>
    </row>
    <row r="5345" spans="15:15" x14ac:dyDescent="0.3">
      <c r="O5345" t="str">
        <f t="shared" si="84"/>
        <v/>
      </c>
    </row>
    <row r="5346" spans="15:15" x14ac:dyDescent="0.3">
      <c r="O5346" t="str">
        <f t="shared" si="84"/>
        <v/>
      </c>
    </row>
    <row r="5347" spans="15:15" x14ac:dyDescent="0.3">
      <c r="O5347" t="str">
        <f t="shared" si="84"/>
        <v/>
      </c>
    </row>
    <row r="5348" spans="15:15" x14ac:dyDescent="0.3">
      <c r="O5348" t="str">
        <f t="shared" si="84"/>
        <v/>
      </c>
    </row>
    <row r="5349" spans="15:15" x14ac:dyDescent="0.3">
      <c r="O5349" t="str">
        <f t="shared" si="84"/>
        <v/>
      </c>
    </row>
    <row r="5350" spans="15:15" x14ac:dyDescent="0.3">
      <c r="O5350" t="str">
        <f t="shared" si="84"/>
        <v/>
      </c>
    </row>
    <row r="5351" spans="15:15" x14ac:dyDescent="0.3">
      <c r="O5351" t="str">
        <f t="shared" si="84"/>
        <v/>
      </c>
    </row>
    <row r="5352" spans="15:15" x14ac:dyDescent="0.3">
      <c r="O5352" t="str">
        <f t="shared" si="84"/>
        <v/>
      </c>
    </row>
    <row r="5353" spans="15:15" x14ac:dyDescent="0.3">
      <c r="O5353" t="str">
        <f t="shared" si="84"/>
        <v/>
      </c>
    </row>
    <row r="5354" spans="15:15" x14ac:dyDescent="0.3">
      <c r="O5354" t="str">
        <f t="shared" si="84"/>
        <v/>
      </c>
    </row>
    <row r="5355" spans="15:15" x14ac:dyDescent="0.3">
      <c r="O5355" t="str">
        <f t="shared" si="84"/>
        <v/>
      </c>
    </row>
    <row r="5356" spans="15:15" x14ac:dyDescent="0.3">
      <c r="O5356" t="str">
        <f t="shared" si="84"/>
        <v/>
      </c>
    </row>
    <row r="5357" spans="15:15" x14ac:dyDescent="0.3">
      <c r="O5357" t="str">
        <f t="shared" si="84"/>
        <v/>
      </c>
    </row>
    <row r="5358" spans="15:15" x14ac:dyDescent="0.3">
      <c r="O5358" t="str">
        <f t="shared" si="84"/>
        <v/>
      </c>
    </row>
    <row r="5359" spans="15:15" x14ac:dyDescent="0.3">
      <c r="O5359" t="str">
        <f t="shared" si="84"/>
        <v/>
      </c>
    </row>
    <row r="5360" spans="15:15" x14ac:dyDescent="0.3">
      <c r="O5360" t="str">
        <f t="shared" si="84"/>
        <v/>
      </c>
    </row>
    <row r="5361" spans="15:15" x14ac:dyDescent="0.3">
      <c r="O5361" t="str">
        <f t="shared" si="84"/>
        <v/>
      </c>
    </row>
    <row r="5362" spans="15:15" x14ac:dyDescent="0.3">
      <c r="O5362" t="str">
        <f t="shared" si="84"/>
        <v/>
      </c>
    </row>
    <row r="5363" spans="15:15" x14ac:dyDescent="0.3">
      <c r="O5363" t="str">
        <f t="shared" si="84"/>
        <v/>
      </c>
    </row>
    <row r="5364" spans="15:15" x14ac:dyDescent="0.3">
      <c r="O5364" t="str">
        <f t="shared" si="84"/>
        <v/>
      </c>
    </row>
    <row r="5365" spans="15:15" x14ac:dyDescent="0.3">
      <c r="O5365" t="str">
        <f t="shared" si="84"/>
        <v/>
      </c>
    </row>
    <row r="5366" spans="15:15" x14ac:dyDescent="0.3">
      <c r="O5366" t="str">
        <f t="shared" si="84"/>
        <v/>
      </c>
    </row>
    <row r="5367" spans="15:15" x14ac:dyDescent="0.3">
      <c r="O5367" t="str">
        <f t="shared" si="84"/>
        <v/>
      </c>
    </row>
    <row r="5368" spans="15:15" x14ac:dyDescent="0.3">
      <c r="O5368" t="str">
        <f t="shared" si="84"/>
        <v/>
      </c>
    </row>
    <row r="5369" spans="15:15" x14ac:dyDescent="0.3">
      <c r="O5369" t="str">
        <f t="shared" si="84"/>
        <v/>
      </c>
    </row>
    <row r="5370" spans="15:15" x14ac:dyDescent="0.3">
      <c r="O5370" t="str">
        <f t="shared" si="84"/>
        <v/>
      </c>
    </row>
    <row r="5371" spans="15:15" x14ac:dyDescent="0.3">
      <c r="O5371" t="str">
        <f t="shared" si="84"/>
        <v/>
      </c>
    </row>
    <row r="5372" spans="15:15" x14ac:dyDescent="0.3">
      <c r="O5372" t="str">
        <f t="shared" si="84"/>
        <v/>
      </c>
    </row>
    <row r="5373" spans="15:15" x14ac:dyDescent="0.3">
      <c r="O5373" t="str">
        <f t="shared" si="84"/>
        <v/>
      </c>
    </row>
    <row r="5374" spans="15:15" x14ac:dyDescent="0.3">
      <c r="O5374" t="str">
        <f t="shared" si="84"/>
        <v/>
      </c>
    </row>
    <row r="5375" spans="15:15" x14ac:dyDescent="0.3">
      <c r="O5375" t="str">
        <f t="shared" si="84"/>
        <v/>
      </c>
    </row>
    <row r="5376" spans="15:15" x14ac:dyDescent="0.3">
      <c r="O5376" t="str">
        <f t="shared" si="84"/>
        <v/>
      </c>
    </row>
    <row r="5377" spans="15:15" x14ac:dyDescent="0.3">
      <c r="O5377" t="str">
        <f t="shared" si="84"/>
        <v/>
      </c>
    </row>
    <row r="5378" spans="15:15" x14ac:dyDescent="0.3">
      <c r="O5378" t="str">
        <f t="shared" si="84"/>
        <v/>
      </c>
    </row>
    <row r="5379" spans="15:15" x14ac:dyDescent="0.3">
      <c r="O5379" t="str">
        <f t="shared" si="84"/>
        <v/>
      </c>
    </row>
    <row r="5380" spans="15:15" x14ac:dyDescent="0.3">
      <c r="O5380" t="str">
        <f t="shared" si="84"/>
        <v/>
      </c>
    </row>
    <row r="5381" spans="15:15" x14ac:dyDescent="0.3">
      <c r="O5381" t="str">
        <f t="shared" si="84"/>
        <v/>
      </c>
    </row>
    <row r="5382" spans="15:15" x14ac:dyDescent="0.3">
      <c r="O5382" t="str">
        <f t="shared" si="84"/>
        <v/>
      </c>
    </row>
    <row r="5383" spans="15:15" x14ac:dyDescent="0.3">
      <c r="O5383" t="str">
        <f t="shared" si="84"/>
        <v/>
      </c>
    </row>
    <row r="5384" spans="15:15" x14ac:dyDescent="0.3">
      <c r="O5384" t="str">
        <f t="shared" si="84"/>
        <v/>
      </c>
    </row>
    <row r="5385" spans="15:15" x14ac:dyDescent="0.3">
      <c r="O5385" t="str">
        <f t="shared" si="84"/>
        <v/>
      </c>
    </row>
    <row r="5386" spans="15:15" x14ac:dyDescent="0.3">
      <c r="O5386" t="str">
        <f t="shared" ref="O5386:O5449" si="85">IF(P5386="","",O5385+1)</f>
        <v/>
      </c>
    </row>
    <row r="5387" spans="15:15" x14ac:dyDescent="0.3">
      <c r="O5387" t="str">
        <f t="shared" si="85"/>
        <v/>
      </c>
    </row>
    <row r="5388" spans="15:15" x14ac:dyDescent="0.3">
      <c r="O5388" t="str">
        <f t="shared" si="85"/>
        <v/>
      </c>
    </row>
    <row r="5389" spans="15:15" x14ac:dyDescent="0.3">
      <c r="O5389" t="str">
        <f t="shared" si="85"/>
        <v/>
      </c>
    </row>
    <row r="5390" spans="15:15" x14ac:dyDescent="0.3">
      <c r="O5390" t="str">
        <f t="shared" si="85"/>
        <v/>
      </c>
    </row>
    <row r="5391" spans="15:15" x14ac:dyDescent="0.3">
      <c r="O5391" t="str">
        <f t="shared" si="85"/>
        <v/>
      </c>
    </row>
    <row r="5392" spans="15:15" x14ac:dyDescent="0.3">
      <c r="O5392" t="str">
        <f t="shared" si="85"/>
        <v/>
      </c>
    </row>
    <row r="5393" spans="15:15" x14ac:dyDescent="0.3">
      <c r="O5393" t="str">
        <f t="shared" si="85"/>
        <v/>
      </c>
    </row>
    <row r="5394" spans="15:15" x14ac:dyDescent="0.3">
      <c r="O5394" t="str">
        <f t="shared" si="85"/>
        <v/>
      </c>
    </row>
    <row r="5395" spans="15:15" x14ac:dyDescent="0.3">
      <c r="O5395" t="str">
        <f t="shared" si="85"/>
        <v/>
      </c>
    </row>
    <row r="5396" spans="15:15" x14ac:dyDescent="0.3">
      <c r="O5396" t="str">
        <f t="shared" si="85"/>
        <v/>
      </c>
    </row>
    <row r="5397" spans="15:15" x14ac:dyDescent="0.3">
      <c r="O5397" t="str">
        <f t="shared" si="85"/>
        <v/>
      </c>
    </row>
    <row r="5398" spans="15:15" x14ac:dyDescent="0.3">
      <c r="O5398" t="str">
        <f t="shared" si="85"/>
        <v/>
      </c>
    </row>
    <row r="5399" spans="15:15" x14ac:dyDescent="0.3">
      <c r="O5399" t="str">
        <f t="shared" si="85"/>
        <v/>
      </c>
    </row>
    <row r="5400" spans="15:15" x14ac:dyDescent="0.3">
      <c r="O5400" t="str">
        <f t="shared" si="85"/>
        <v/>
      </c>
    </row>
    <row r="5401" spans="15:15" x14ac:dyDescent="0.3">
      <c r="O5401" t="str">
        <f t="shared" si="85"/>
        <v/>
      </c>
    </row>
    <row r="5402" spans="15:15" x14ac:dyDescent="0.3">
      <c r="O5402" t="str">
        <f t="shared" si="85"/>
        <v/>
      </c>
    </row>
    <row r="5403" spans="15:15" x14ac:dyDescent="0.3">
      <c r="O5403" t="str">
        <f t="shared" si="85"/>
        <v/>
      </c>
    </row>
    <row r="5404" spans="15:15" x14ac:dyDescent="0.3">
      <c r="O5404" t="str">
        <f t="shared" si="85"/>
        <v/>
      </c>
    </row>
    <row r="5405" spans="15:15" x14ac:dyDescent="0.3">
      <c r="O5405" t="str">
        <f t="shared" si="85"/>
        <v/>
      </c>
    </row>
    <row r="5406" spans="15:15" x14ac:dyDescent="0.3">
      <c r="O5406" t="str">
        <f t="shared" si="85"/>
        <v/>
      </c>
    </row>
    <row r="5407" spans="15:15" x14ac:dyDescent="0.3">
      <c r="O5407" t="str">
        <f t="shared" si="85"/>
        <v/>
      </c>
    </row>
    <row r="5408" spans="15:15" x14ac:dyDescent="0.3">
      <c r="O5408" t="str">
        <f t="shared" si="85"/>
        <v/>
      </c>
    </row>
    <row r="5409" spans="15:15" x14ac:dyDescent="0.3">
      <c r="O5409" t="str">
        <f t="shared" si="85"/>
        <v/>
      </c>
    </row>
    <row r="5410" spans="15:15" x14ac:dyDescent="0.3">
      <c r="O5410" t="str">
        <f t="shared" si="85"/>
        <v/>
      </c>
    </row>
    <row r="5411" spans="15:15" x14ac:dyDescent="0.3">
      <c r="O5411" t="str">
        <f t="shared" si="85"/>
        <v/>
      </c>
    </row>
    <row r="5412" spans="15:15" x14ac:dyDescent="0.3">
      <c r="O5412" t="str">
        <f t="shared" si="85"/>
        <v/>
      </c>
    </row>
    <row r="5413" spans="15:15" x14ac:dyDescent="0.3">
      <c r="O5413" t="str">
        <f t="shared" si="85"/>
        <v/>
      </c>
    </row>
    <row r="5414" spans="15:15" x14ac:dyDescent="0.3">
      <c r="O5414" t="str">
        <f t="shared" si="85"/>
        <v/>
      </c>
    </row>
    <row r="5415" spans="15:15" x14ac:dyDescent="0.3">
      <c r="O5415" t="str">
        <f t="shared" si="85"/>
        <v/>
      </c>
    </row>
    <row r="5416" spans="15:15" x14ac:dyDescent="0.3">
      <c r="O5416" t="str">
        <f t="shared" si="85"/>
        <v/>
      </c>
    </row>
    <row r="5417" spans="15:15" x14ac:dyDescent="0.3">
      <c r="O5417" t="str">
        <f t="shared" si="85"/>
        <v/>
      </c>
    </row>
    <row r="5418" spans="15:15" x14ac:dyDescent="0.3">
      <c r="O5418" t="str">
        <f t="shared" si="85"/>
        <v/>
      </c>
    </row>
    <row r="5419" spans="15:15" x14ac:dyDescent="0.3">
      <c r="O5419" t="str">
        <f t="shared" si="85"/>
        <v/>
      </c>
    </row>
    <row r="5420" spans="15:15" x14ac:dyDescent="0.3">
      <c r="O5420" t="str">
        <f t="shared" si="85"/>
        <v/>
      </c>
    </row>
    <row r="5421" spans="15:15" x14ac:dyDescent="0.3">
      <c r="O5421" t="str">
        <f t="shared" si="85"/>
        <v/>
      </c>
    </row>
    <row r="5422" spans="15:15" x14ac:dyDescent="0.3">
      <c r="O5422" t="str">
        <f t="shared" si="85"/>
        <v/>
      </c>
    </row>
    <row r="5423" spans="15:15" x14ac:dyDescent="0.3">
      <c r="O5423" t="str">
        <f t="shared" si="85"/>
        <v/>
      </c>
    </row>
    <row r="5424" spans="15:15" x14ac:dyDescent="0.3">
      <c r="O5424" t="str">
        <f t="shared" si="85"/>
        <v/>
      </c>
    </row>
    <row r="5425" spans="15:15" x14ac:dyDescent="0.3">
      <c r="O5425" t="str">
        <f t="shared" si="85"/>
        <v/>
      </c>
    </row>
    <row r="5426" spans="15:15" x14ac:dyDescent="0.3">
      <c r="O5426" t="str">
        <f t="shared" si="85"/>
        <v/>
      </c>
    </row>
    <row r="5427" spans="15:15" x14ac:dyDescent="0.3">
      <c r="O5427" t="str">
        <f t="shared" si="85"/>
        <v/>
      </c>
    </row>
    <row r="5428" spans="15:15" x14ac:dyDescent="0.3">
      <c r="O5428" t="str">
        <f t="shared" si="85"/>
        <v/>
      </c>
    </row>
    <row r="5429" spans="15:15" x14ac:dyDescent="0.3">
      <c r="O5429" t="str">
        <f t="shared" si="85"/>
        <v/>
      </c>
    </row>
    <row r="5430" spans="15:15" x14ac:dyDescent="0.3">
      <c r="O5430" t="str">
        <f t="shared" si="85"/>
        <v/>
      </c>
    </row>
    <row r="5431" spans="15:15" x14ac:dyDescent="0.3">
      <c r="O5431" t="str">
        <f t="shared" si="85"/>
        <v/>
      </c>
    </row>
    <row r="5432" spans="15:15" x14ac:dyDescent="0.3">
      <c r="O5432" t="str">
        <f t="shared" si="85"/>
        <v/>
      </c>
    </row>
    <row r="5433" spans="15:15" x14ac:dyDescent="0.3">
      <c r="O5433" t="str">
        <f t="shared" si="85"/>
        <v/>
      </c>
    </row>
    <row r="5434" spans="15:15" x14ac:dyDescent="0.3">
      <c r="O5434" t="str">
        <f t="shared" si="85"/>
        <v/>
      </c>
    </row>
    <row r="5435" spans="15:15" x14ac:dyDescent="0.3">
      <c r="O5435" t="str">
        <f t="shared" si="85"/>
        <v/>
      </c>
    </row>
    <row r="5436" spans="15:15" x14ac:dyDescent="0.3">
      <c r="O5436" t="str">
        <f t="shared" si="85"/>
        <v/>
      </c>
    </row>
    <row r="5437" spans="15:15" x14ac:dyDescent="0.3">
      <c r="O5437" t="str">
        <f t="shared" si="85"/>
        <v/>
      </c>
    </row>
    <row r="5438" spans="15:15" x14ac:dyDescent="0.3">
      <c r="O5438" t="str">
        <f t="shared" si="85"/>
        <v/>
      </c>
    </row>
    <row r="5439" spans="15:15" x14ac:dyDescent="0.3">
      <c r="O5439" t="str">
        <f t="shared" si="85"/>
        <v/>
      </c>
    </row>
    <row r="5440" spans="15:15" x14ac:dyDescent="0.3">
      <c r="O5440" t="str">
        <f t="shared" si="85"/>
        <v/>
      </c>
    </row>
    <row r="5441" spans="15:15" x14ac:dyDescent="0.3">
      <c r="O5441" t="str">
        <f t="shared" si="85"/>
        <v/>
      </c>
    </row>
    <row r="5442" spans="15:15" x14ac:dyDescent="0.3">
      <c r="O5442" t="str">
        <f t="shared" si="85"/>
        <v/>
      </c>
    </row>
    <row r="5443" spans="15:15" x14ac:dyDescent="0.3">
      <c r="O5443" t="str">
        <f t="shared" si="85"/>
        <v/>
      </c>
    </row>
    <row r="5444" spans="15:15" x14ac:dyDescent="0.3">
      <c r="O5444" t="str">
        <f t="shared" si="85"/>
        <v/>
      </c>
    </row>
    <row r="5445" spans="15:15" x14ac:dyDescent="0.3">
      <c r="O5445" t="str">
        <f t="shared" si="85"/>
        <v/>
      </c>
    </row>
    <row r="5446" spans="15:15" x14ac:dyDescent="0.3">
      <c r="O5446" t="str">
        <f t="shared" si="85"/>
        <v/>
      </c>
    </row>
    <row r="5447" spans="15:15" x14ac:dyDescent="0.3">
      <c r="O5447" t="str">
        <f t="shared" si="85"/>
        <v/>
      </c>
    </row>
    <row r="5448" spans="15:15" x14ac:dyDescent="0.3">
      <c r="O5448" t="str">
        <f t="shared" si="85"/>
        <v/>
      </c>
    </row>
    <row r="5449" spans="15:15" x14ac:dyDescent="0.3">
      <c r="O5449" t="str">
        <f t="shared" si="85"/>
        <v/>
      </c>
    </row>
    <row r="5450" spans="15:15" x14ac:dyDescent="0.3">
      <c r="O5450" t="str">
        <f t="shared" ref="O5450:O5513" si="86">IF(P5450="","",O5449+1)</f>
        <v/>
      </c>
    </row>
    <row r="5451" spans="15:15" x14ac:dyDescent="0.3">
      <c r="O5451" t="str">
        <f t="shared" si="86"/>
        <v/>
      </c>
    </row>
    <row r="5452" spans="15:15" x14ac:dyDescent="0.3">
      <c r="O5452" t="str">
        <f t="shared" si="86"/>
        <v/>
      </c>
    </row>
    <row r="5453" spans="15:15" x14ac:dyDescent="0.3">
      <c r="O5453" t="str">
        <f t="shared" si="86"/>
        <v/>
      </c>
    </row>
    <row r="5454" spans="15:15" x14ac:dyDescent="0.3">
      <c r="O5454" t="str">
        <f t="shared" si="86"/>
        <v/>
      </c>
    </row>
    <row r="5455" spans="15:15" x14ac:dyDescent="0.3">
      <c r="O5455" t="str">
        <f t="shared" si="86"/>
        <v/>
      </c>
    </row>
    <row r="5456" spans="15:15" x14ac:dyDescent="0.3">
      <c r="O5456" t="str">
        <f t="shared" si="86"/>
        <v/>
      </c>
    </row>
    <row r="5457" spans="15:15" x14ac:dyDescent="0.3">
      <c r="O5457" t="str">
        <f t="shared" si="86"/>
        <v/>
      </c>
    </row>
    <row r="5458" spans="15:15" x14ac:dyDescent="0.3">
      <c r="O5458" t="str">
        <f t="shared" si="86"/>
        <v/>
      </c>
    </row>
    <row r="5459" spans="15:15" x14ac:dyDescent="0.3">
      <c r="O5459" t="str">
        <f t="shared" si="86"/>
        <v/>
      </c>
    </row>
    <row r="5460" spans="15:15" x14ac:dyDescent="0.3">
      <c r="O5460" t="str">
        <f t="shared" si="86"/>
        <v/>
      </c>
    </row>
    <row r="5461" spans="15:15" x14ac:dyDescent="0.3">
      <c r="O5461" t="str">
        <f t="shared" si="86"/>
        <v/>
      </c>
    </row>
    <row r="5462" spans="15:15" x14ac:dyDescent="0.3">
      <c r="O5462" t="str">
        <f t="shared" si="86"/>
        <v/>
      </c>
    </row>
    <row r="5463" spans="15:15" x14ac:dyDescent="0.3">
      <c r="O5463" t="str">
        <f t="shared" si="86"/>
        <v/>
      </c>
    </row>
    <row r="5464" spans="15:15" x14ac:dyDescent="0.3">
      <c r="O5464" t="str">
        <f t="shared" si="86"/>
        <v/>
      </c>
    </row>
    <row r="5465" spans="15:15" x14ac:dyDescent="0.3">
      <c r="O5465" t="str">
        <f t="shared" si="86"/>
        <v/>
      </c>
    </row>
    <row r="5466" spans="15:15" x14ac:dyDescent="0.3">
      <c r="O5466" t="str">
        <f t="shared" si="86"/>
        <v/>
      </c>
    </row>
    <row r="5467" spans="15:15" x14ac:dyDescent="0.3">
      <c r="O5467" t="str">
        <f t="shared" si="86"/>
        <v/>
      </c>
    </row>
    <row r="5468" spans="15:15" x14ac:dyDescent="0.3">
      <c r="O5468" t="str">
        <f t="shared" si="86"/>
        <v/>
      </c>
    </row>
    <row r="5469" spans="15:15" x14ac:dyDescent="0.3">
      <c r="O5469" t="str">
        <f t="shared" si="86"/>
        <v/>
      </c>
    </row>
    <row r="5470" spans="15:15" x14ac:dyDescent="0.3">
      <c r="O5470" t="str">
        <f t="shared" si="86"/>
        <v/>
      </c>
    </row>
    <row r="5471" spans="15:15" x14ac:dyDescent="0.3">
      <c r="O5471" t="str">
        <f t="shared" si="86"/>
        <v/>
      </c>
    </row>
    <row r="5472" spans="15:15" x14ac:dyDescent="0.3">
      <c r="O5472" t="str">
        <f t="shared" si="86"/>
        <v/>
      </c>
    </row>
    <row r="5473" spans="15:15" x14ac:dyDescent="0.3">
      <c r="O5473" t="str">
        <f t="shared" si="86"/>
        <v/>
      </c>
    </row>
    <row r="5474" spans="15:15" x14ac:dyDescent="0.3">
      <c r="O5474" t="str">
        <f t="shared" si="86"/>
        <v/>
      </c>
    </row>
    <row r="5475" spans="15:15" x14ac:dyDescent="0.3">
      <c r="O5475" t="str">
        <f t="shared" si="86"/>
        <v/>
      </c>
    </row>
    <row r="5476" spans="15:15" x14ac:dyDescent="0.3">
      <c r="O5476" t="str">
        <f t="shared" si="86"/>
        <v/>
      </c>
    </row>
    <row r="5477" spans="15:15" x14ac:dyDescent="0.3">
      <c r="O5477" t="str">
        <f t="shared" si="86"/>
        <v/>
      </c>
    </row>
    <row r="5478" spans="15:15" x14ac:dyDescent="0.3">
      <c r="O5478" t="str">
        <f t="shared" si="86"/>
        <v/>
      </c>
    </row>
    <row r="5479" spans="15:15" x14ac:dyDescent="0.3">
      <c r="O5479" t="str">
        <f t="shared" si="86"/>
        <v/>
      </c>
    </row>
    <row r="5480" spans="15:15" x14ac:dyDescent="0.3">
      <c r="O5480" t="str">
        <f t="shared" si="86"/>
        <v/>
      </c>
    </row>
    <row r="5481" spans="15:15" x14ac:dyDescent="0.3">
      <c r="O5481" t="str">
        <f t="shared" si="86"/>
        <v/>
      </c>
    </row>
    <row r="5482" spans="15:15" x14ac:dyDescent="0.3">
      <c r="O5482" t="str">
        <f t="shared" si="86"/>
        <v/>
      </c>
    </row>
    <row r="5483" spans="15:15" x14ac:dyDescent="0.3">
      <c r="O5483" t="str">
        <f t="shared" si="86"/>
        <v/>
      </c>
    </row>
    <row r="5484" spans="15:15" x14ac:dyDescent="0.3">
      <c r="O5484" t="str">
        <f t="shared" si="86"/>
        <v/>
      </c>
    </row>
    <row r="5485" spans="15:15" x14ac:dyDescent="0.3">
      <c r="O5485" t="str">
        <f t="shared" si="86"/>
        <v/>
      </c>
    </row>
    <row r="5486" spans="15:15" x14ac:dyDescent="0.3">
      <c r="O5486" t="str">
        <f t="shared" si="86"/>
        <v/>
      </c>
    </row>
    <row r="5487" spans="15:15" x14ac:dyDescent="0.3">
      <c r="O5487" t="str">
        <f t="shared" si="86"/>
        <v/>
      </c>
    </row>
    <row r="5488" spans="15:15" x14ac:dyDescent="0.3">
      <c r="O5488" t="str">
        <f t="shared" si="86"/>
        <v/>
      </c>
    </row>
    <row r="5489" spans="15:15" x14ac:dyDescent="0.3">
      <c r="O5489" t="str">
        <f t="shared" si="86"/>
        <v/>
      </c>
    </row>
    <row r="5490" spans="15:15" x14ac:dyDescent="0.3">
      <c r="O5490" t="str">
        <f t="shared" si="86"/>
        <v/>
      </c>
    </row>
    <row r="5491" spans="15:15" x14ac:dyDescent="0.3">
      <c r="O5491" t="str">
        <f t="shared" si="86"/>
        <v/>
      </c>
    </row>
    <row r="5492" spans="15:15" x14ac:dyDescent="0.3">
      <c r="O5492" t="str">
        <f t="shared" si="86"/>
        <v/>
      </c>
    </row>
    <row r="5493" spans="15:15" x14ac:dyDescent="0.3">
      <c r="O5493" t="str">
        <f t="shared" si="86"/>
        <v/>
      </c>
    </row>
    <row r="5494" spans="15:15" x14ac:dyDescent="0.3">
      <c r="O5494" t="str">
        <f t="shared" si="86"/>
        <v/>
      </c>
    </row>
    <row r="5495" spans="15:15" x14ac:dyDescent="0.3">
      <c r="O5495" t="str">
        <f t="shared" si="86"/>
        <v/>
      </c>
    </row>
    <row r="5496" spans="15:15" x14ac:dyDescent="0.3">
      <c r="O5496" t="str">
        <f t="shared" si="86"/>
        <v/>
      </c>
    </row>
    <row r="5497" spans="15:15" x14ac:dyDescent="0.3">
      <c r="O5497" t="str">
        <f t="shared" si="86"/>
        <v/>
      </c>
    </row>
    <row r="5498" spans="15:15" x14ac:dyDescent="0.3">
      <c r="O5498" t="str">
        <f t="shared" si="86"/>
        <v/>
      </c>
    </row>
    <row r="5499" spans="15:15" x14ac:dyDescent="0.3">
      <c r="O5499" t="str">
        <f t="shared" si="86"/>
        <v/>
      </c>
    </row>
    <row r="5500" spans="15:15" x14ac:dyDescent="0.3">
      <c r="O5500" t="str">
        <f t="shared" si="86"/>
        <v/>
      </c>
    </row>
    <row r="5501" spans="15:15" x14ac:dyDescent="0.3">
      <c r="O5501" t="str">
        <f t="shared" si="86"/>
        <v/>
      </c>
    </row>
    <row r="5502" spans="15:15" x14ac:dyDescent="0.3">
      <c r="O5502" t="str">
        <f t="shared" si="86"/>
        <v/>
      </c>
    </row>
    <row r="5503" spans="15:15" x14ac:dyDescent="0.3">
      <c r="O5503" t="str">
        <f t="shared" si="86"/>
        <v/>
      </c>
    </row>
    <row r="5504" spans="15:15" x14ac:dyDescent="0.3">
      <c r="O5504" t="str">
        <f t="shared" si="86"/>
        <v/>
      </c>
    </row>
    <row r="5505" spans="15:15" x14ac:dyDescent="0.3">
      <c r="O5505" t="str">
        <f t="shared" si="86"/>
        <v/>
      </c>
    </row>
    <row r="5506" spans="15:15" x14ac:dyDescent="0.3">
      <c r="O5506" t="str">
        <f t="shared" si="86"/>
        <v/>
      </c>
    </row>
    <row r="5507" spans="15:15" x14ac:dyDescent="0.3">
      <c r="O5507" t="str">
        <f t="shared" si="86"/>
        <v/>
      </c>
    </row>
    <row r="5508" spans="15:15" x14ac:dyDescent="0.3">
      <c r="O5508" t="str">
        <f t="shared" si="86"/>
        <v/>
      </c>
    </row>
    <row r="5509" spans="15:15" x14ac:dyDescent="0.3">
      <c r="O5509" t="str">
        <f t="shared" si="86"/>
        <v/>
      </c>
    </row>
    <row r="5510" spans="15:15" x14ac:dyDescent="0.3">
      <c r="O5510" t="str">
        <f t="shared" si="86"/>
        <v/>
      </c>
    </row>
    <row r="5511" spans="15:15" x14ac:dyDescent="0.3">
      <c r="O5511" t="str">
        <f t="shared" si="86"/>
        <v/>
      </c>
    </row>
    <row r="5512" spans="15:15" x14ac:dyDescent="0.3">
      <c r="O5512" t="str">
        <f t="shared" si="86"/>
        <v/>
      </c>
    </row>
    <row r="5513" spans="15:15" x14ac:dyDescent="0.3">
      <c r="O5513" t="str">
        <f t="shared" si="86"/>
        <v/>
      </c>
    </row>
    <row r="5514" spans="15:15" x14ac:dyDescent="0.3">
      <c r="O5514" t="str">
        <f t="shared" ref="O5514:O5577" si="87">IF(P5514="","",O5513+1)</f>
        <v/>
      </c>
    </row>
    <row r="5515" spans="15:15" x14ac:dyDescent="0.3">
      <c r="O5515" t="str">
        <f t="shared" si="87"/>
        <v/>
      </c>
    </row>
    <row r="5516" spans="15:15" x14ac:dyDescent="0.3">
      <c r="O5516" t="str">
        <f t="shared" si="87"/>
        <v/>
      </c>
    </row>
    <row r="5517" spans="15:15" x14ac:dyDescent="0.3">
      <c r="O5517" t="str">
        <f t="shared" si="87"/>
        <v/>
      </c>
    </row>
    <row r="5518" spans="15:15" x14ac:dyDescent="0.3">
      <c r="O5518" t="str">
        <f t="shared" si="87"/>
        <v/>
      </c>
    </row>
    <row r="5519" spans="15:15" x14ac:dyDescent="0.3">
      <c r="O5519" t="str">
        <f t="shared" si="87"/>
        <v/>
      </c>
    </row>
    <row r="5520" spans="15:15" x14ac:dyDescent="0.3">
      <c r="O5520" t="str">
        <f t="shared" si="87"/>
        <v/>
      </c>
    </row>
    <row r="5521" spans="15:15" x14ac:dyDescent="0.3">
      <c r="O5521" t="str">
        <f t="shared" si="87"/>
        <v/>
      </c>
    </row>
    <row r="5522" spans="15:15" x14ac:dyDescent="0.3">
      <c r="O5522" t="str">
        <f t="shared" si="87"/>
        <v/>
      </c>
    </row>
    <row r="5523" spans="15:15" x14ac:dyDescent="0.3">
      <c r="O5523" t="str">
        <f t="shared" si="87"/>
        <v/>
      </c>
    </row>
    <row r="5524" spans="15:15" x14ac:dyDescent="0.3">
      <c r="O5524" t="str">
        <f t="shared" si="87"/>
        <v/>
      </c>
    </row>
    <row r="5525" spans="15:15" x14ac:dyDescent="0.3">
      <c r="O5525" t="str">
        <f t="shared" si="87"/>
        <v/>
      </c>
    </row>
    <row r="5526" spans="15:15" x14ac:dyDescent="0.3">
      <c r="O5526" t="str">
        <f t="shared" si="87"/>
        <v/>
      </c>
    </row>
    <row r="5527" spans="15:15" x14ac:dyDescent="0.3">
      <c r="O5527" t="str">
        <f t="shared" si="87"/>
        <v/>
      </c>
    </row>
    <row r="5528" spans="15:15" x14ac:dyDescent="0.3">
      <c r="O5528" t="str">
        <f t="shared" si="87"/>
        <v/>
      </c>
    </row>
    <row r="5529" spans="15:15" x14ac:dyDescent="0.3">
      <c r="O5529" t="str">
        <f t="shared" si="87"/>
        <v/>
      </c>
    </row>
    <row r="5530" spans="15:15" x14ac:dyDescent="0.3">
      <c r="O5530" t="str">
        <f t="shared" si="87"/>
        <v/>
      </c>
    </row>
    <row r="5531" spans="15:15" x14ac:dyDescent="0.3">
      <c r="O5531" t="str">
        <f t="shared" si="87"/>
        <v/>
      </c>
    </row>
    <row r="5532" spans="15:15" x14ac:dyDescent="0.3">
      <c r="O5532" t="str">
        <f t="shared" si="87"/>
        <v/>
      </c>
    </row>
    <row r="5533" spans="15:15" x14ac:dyDescent="0.3">
      <c r="O5533" t="str">
        <f t="shared" si="87"/>
        <v/>
      </c>
    </row>
    <row r="5534" spans="15:15" x14ac:dyDescent="0.3">
      <c r="O5534" t="str">
        <f t="shared" si="87"/>
        <v/>
      </c>
    </row>
    <row r="5535" spans="15:15" x14ac:dyDescent="0.3">
      <c r="O5535" t="str">
        <f t="shared" si="87"/>
        <v/>
      </c>
    </row>
    <row r="5536" spans="15:15" x14ac:dyDescent="0.3">
      <c r="O5536" t="str">
        <f t="shared" si="87"/>
        <v/>
      </c>
    </row>
    <row r="5537" spans="15:15" x14ac:dyDescent="0.3">
      <c r="O5537" t="str">
        <f t="shared" si="87"/>
        <v/>
      </c>
    </row>
    <row r="5538" spans="15:15" x14ac:dyDescent="0.3">
      <c r="O5538" t="str">
        <f t="shared" si="87"/>
        <v/>
      </c>
    </row>
    <row r="5539" spans="15:15" x14ac:dyDescent="0.3">
      <c r="O5539" t="str">
        <f t="shared" si="87"/>
        <v/>
      </c>
    </row>
    <row r="5540" spans="15:15" x14ac:dyDescent="0.3">
      <c r="O5540" t="str">
        <f t="shared" si="87"/>
        <v/>
      </c>
    </row>
    <row r="5541" spans="15:15" x14ac:dyDescent="0.3">
      <c r="O5541" t="str">
        <f t="shared" si="87"/>
        <v/>
      </c>
    </row>
    <row r="5542" spans="15:15" x14ac:dyDescent="0.3">
      <c r="O5542" t="str">
        <f t="shared" si="87"/>
        <v/>
      </c>
    </row>
    <row r="5543" spans="15:15" x14ac:dyDescent="0.3">
      <c r="O5543" t="str">
        <f t="shared" si="87"/>
        <v/>
      </c>
    </row>
    <row r="5544" spans="15:15" x14ac:dyDescent="0.3">
      <c r="O5544" t="str">
        <f t="shared" si="87"/>
        <v/>
      </c>
    </row>
    <row r="5545" spans="15:15" x14ac:dyDescent="0.3">
      <c r="O5545" t="str">
        <f t="shared" si="87"/>
        <v/>
      </c>
    </row>
    <row r="5546" spans="15:15" x14ac:dyDescent="0.3">
      <c r="O5546" t="str">
        <f t="shared" si="87"/>
        <v/>
      </c>
    </row>
    <row r="5547" spans="15:15" x14ac:dyDescent="0.3">
      <c r="O5547" t="str">
        <f t="shared" si="87"/>
        <v/>
      </c>
    </row>
    <row r="5548" spans="15:15" x14ac:dyDescent="0.3">
      <c r="O5548" t="str">
        <f t="shared" si="87"/>
        <v/>
      </c>
    </row>
    <row r="5549" spans="15:15" x14ac:dyDescent="0.3">
      <c r="O5549" t="str">
        <f t="shared" si="87"/>
        <v/>
      </c>
    </row>
    <row r="5550" spans="15:15" x14ac:dyDescent="0.3">
      <c r="O5550" t="str">
        <f t="shared" si="87"/>
        <v/>
      </c>
    </row>
    <row r="5551" spans="15:15" x14ac:dyDescent="0.3">
      <c r="O5551" t="str">
        <f t="shared" si="87"/>
        <v/>
      </c>
    </row>
    <row r="5552" spans="15:15" x14ac:dyDescent="0.3">
      <c r="O5552" t="str">
        <f t="shared" si="87"/>
        <v/>
      </c>
    </row>
    <row r="5553" spans="15:15" x14ac:dyDescent="0.3">
      <c r="O5553" t="str">
        <f t="shared" si="87"/>
        <v/>
      </c>
    </row>
    <row r="5554" spans="15:15" x14ac:dyDescent="0.3">
      <c r="O5554" t="str">
        <f t="shared" si="87"/>
        <v/>
      </c>
    </row>
    <row r="5555" spans="15:15" x14ac:dyDescent="0.3">
      <c r="O5555" t="str">
        <f t="shared" si="87"/>
        <v/>
      </c>
    </row>
    <row r="5556" spans="15:15" x14ac:dyDescent="0.3">
      <c r="O5556" t="str">
        <f t="shared" si="87"/>
        <v/>
      </c>
    </row>
    <row r="5557" spans="15:15" x14ac:dyDescent="0.3">
      <c r="O5557" t="str">
        <f t="shared" si="87"/>
        <v/>
      </c>
    </row>
    <row r="5558" spans="15:15" x14ac:dyDescent="0.3">
      <c r="O5558" t="str">
        <f t="shared" si="87"/>
        <v/>
      </c>
    </row>
    <row r="5559" spans="15:15" x14ac:dyDescent="0.3">
      <c r="O5559" t="str">
        <f t="shared" si="87"/>
        <v/>
      </c>
    </row>
    <row r="5560" spans="15:15" x14ac:dyDescent="0.3">
      <c r="O5560" t="str">
        <f t="shared" si="87"/>
        <v/>
      </c>
    </row>
    <row r="5561" spans="15:15" x14ac:dyDescent="0.3">
      <c r="O5561" t="str">
        <f t="shared" si="87"/>
        <v/>
      </c>
    </row>
    <row r="5562" spans="15:15" x14ac:dyDescent="0.3">
      <c r="O5562" t="str">
        <f t="shared" si="87"/>
        <v/>
      </c>
    </row>
    <row r="5563" spans="15:15" x14ac:dyDescent="0.3">
      <c r="O5563" t="str">
        <f t="shared" si="87"/>
        <v/>
      </c>
    </row>
    <row r="5564" spans="15:15" x14ac:dyDescent="0.3">
      <c r="O5564" t="str">
        <f t="shared" si="87"/>
        <v/>
      </c>
    </row>
    <row r="5565" spans="15:15" x14ac:dyDescent="0.3">
      <c r="O5565" t="str">
        <f t="shared" si="87"/>
        <v/>
      </c>
    </row>
    <row r="5566" spans="15:15" x14ac:dyDescent="0.3">
      <c r="O5566" t="str">
        <f t="shared" si="87"/>
        <v/>
      </c>
    </row>
    <row r="5567" spans="15:15" x14ac:dyDescent="0.3">
      <c r="O5567" t="str">
        <f t="shared" si="87"/>
        <v/>
      </c>
    </row>
    <row r="5568" spans="15:15" x14ac:dyDescent="0.3">
      <c r="O5568" t="str">
        <f t="shared" si="87"/>
        <v/>
      </c>
    </row>
    <row r="5569" spans="15:15" x14ac:dyDescent="0.3">
      <c r="O5569" t="str">
        <f t="shared" si="87"/>
        <v/>
      </c>
    </row>
    <row r="5570" spans="15:15" x14ac:dyDescent="0.3">
      <c r="O5570" t="str">
        <f t="shared" si="87"/>
        <v/>
      </c>
    </row>
    <row r="5571" spans="15:15" x14ac:dyDescent="0.3">
      <c r="O5571" t="str">
        <f t="shared" si="87"/>
        <v/>
      </c>
    </row>
    <row r="5572" spans="15:15" x14ac:dyDescent="0.3">
      <c r="O5572" t="str">
        <f t="shared" si="87"/>
        <v/>
      </c>
    </row>
    <row r="5573" spans="15:15" x14ac:dyDescent="0.3">
      <c r="O5573" t="str">
        <f t="shared" si="87"/>
        <v/>
      </c>
    </row>
    <row r="5574" spans="15:15" x14ac:dyDescent="0.3">
      <c r="O5574" t="str">
        <f t="shared" si="87"/>
        <v/>
      </c>
    </row>
    <row r="5575" spans="15:15" x14ac:dyDescent="0.3">
      <c r="O5575" t="str">
        <f t="shared" si="87"/>
        <v/>
      </c>
    </row>
    <row r="5576" spans="15:15" x14ac:dyDescent="0.3">
      <c r="O5576" t="str">
        <f t="shared" si="87"/>
        <v/>
      </c>
    </row>
    <row r="5577" spans="15:15" x14ac:dyDescent="0.3">
      <c r="O5577" t="str">
        <f t="shared" si="87"/>
        <v/>
      </c>
    </row>
    <row r="5578" spans="15:15" x14ac:dyDescent="0.3">
      <c r="O5578" t="str">
        <f t="shared" ref="O5578:O5641" si="88">IF(P5578="","",O5577+1)</f>
        <v/>
      </c>
    </row>
    <row r="5579" spans="15:15" x14ac:dyDescent="0.3">
      <c r="O5579" t="str">
        <f t="shared" si="88"/>
        <v/>
      </c>
    </row>
    <row r="5580" spans="15:15" x14ac:dyDescent="0.3">
      <c r="O5580" t="str">
        <f t="shared" si="88"/>
        <v/>
      </c>
    </row>
    <row r="5581" spans="15:15" x14ac:dyDescent="0.3">
      <c r="O5581" t="str">
        <f t="shared" si="88"/>
        <v/>
      </c>
    </row>
    <row r="5582" spans="15:15" x14ac:dyDescent="0.3">
      <c r="O5582" t="str">
        <f t="shared" si="88"/>
        <v/>
      </c>
    </row>
    <row r="5583" spans="15:15" x14ac:dyDescent="0.3">
      <c r="O5583" t="str">
        <f t="shared" si="88"/>
        <v/>
      </c>
    </row>
    <row r="5584" spans="15:15" x14ac:dyDescent="0.3">
      <c r="O5584" t="str">
        <f t="shared" si="88"/>
        <v/>
      </c>
    </row>
    <row r="5585" spans="15:15" x14ac:dyDescent="0.3">
      <c r="O5585" t="str">
        <f t="shared" si="88"/>
        <v/>
      </c>
    </row>
    <row r="5586" spans="15:15" x14ac:dyDescent="0.3">
      <c r="O5586" t="str">
        <f t="shared" si="88"/>
        <v/>
      </c>
    </row>
    <row r="5587" spans="15:15" x14ac:dyDescent="0.3">
      <c r="O5587" t="str">
        <f t="shared" si="88"/>
        <v/>
      </c>
    </row>
    <row r="5588" spans="15:15" x14ac:dyDescent="0.3">
      <c r="O5588" t="str">
        <f t="shared" si="88"/>
        <v/>
      </c>
    </row>
    <row r="5589" spans="15:15" x14ac:dyDescent="0.3">
      <c r="O5589" t="str">
        <f t="shared" si="88"/>
        <v/>
      </c>
    </row>
    <row r="5590" spans="15:15" x14ac:dyDescent="0.3">
      <c r="O5590" t="str">
        <f t="shared" si="88"/>
        <v/>
      </c>
    </row>
    <row r="5591" spans="15:15" x14ac:dyDescent="0.3">
      <c r="O5591" t="str">
        <f t="shared" si="88"/>
        <v/>
      </c>
    </row>
    <row r="5592" spans="15:15" x14ac:dyDescent="0.3">
      <c r="O5592" t="str">
        <f t="shared" si="88"/>
        <v/>
      </c>
    </row>
    <row r="5593" spans="15:15" x14ac:dyDescent="0.3">
      <c r="O5593" t="str">
        <f t="shared" si="88"/>
        <v/>
      </c>
    </row>
    <row r="5594" spans="15:15" x14ac:dyDescent="0.3">
      <c r="O5594" t="str">
        <f t="shared" si="88"/>
        <v/>
      </c>
    </row>
    <row r="5595" spans="15:15" x14ac:dyDescent="0.3">
      <c r="O5595" t="str">
        <f t="shared" si="88"/>
        <v/>
      </c>
    </row>
    <row r="5596" spans="15:15" x14ac:dyDescent="0.3">
      <c r="O5596" t="str">
        <f t="shared" si="88"/>
        <v/>
      </c>
    </row>
    <row r="5597" spans="15:15" x14ac:dyDescent="0.3">
      <c r="O5597" t="str">
        <f t="shared" si="88"/>
        <v/>
      </c>
    </row>
    <row r="5598" spans="15:15" x14ac:dyDescent="0.3">
      <c r="O5598" t="str">
        <f t="shared" si="88"/>
        <v/>
      </c>
    </row>
    <row r="5599" spans="15:15" x14ac:dyDescent="0.3">
      <c r="O5599" t="str">
        <f t="shared" si="88"/>
        <v/>
      </c>
    </row>
    <row r="5600" spans="15:15" x14ac:dyDescent="0.3">
      <c r="O5600" t="str">
        <f t="shared" si="88"/>
        <v/>
      </c>
    </row>
    <row r="5601" spans="15:15" x14ac:dyDescent="0.3">
      <c r="O5601" t="str">
        <f t="shared" si="88"/>
        <v/>
      </c>
    </row>
    <row r="5602" spans="15:15" x14ac:dyDescent="0.3">
      <c r="O5602" t="str">
        <f t="shared" si="88"/>
        <v/>
      </c>
    </row>
    <row r="5603" spans="15:15" x14ac:dyDescent="0.3">
      <c r="O5603" t="str">
        <f t="shared" si="88"/>
        <v/>
      </c>
    </row>
    <row r="5604" spans="15:15" x14ac:dyDescent="0.3">
      <c r="O5604" t="str">
        <f t="shared" si="88"/>
        <v/>
      </c>
    </row>
    <row r="5605" spans="15:15" x14ac:dyDescent="0.3">
      <c r="O5605" t="str">
        <f t="shared" si="88"/>
        <v/>
      </c>
    </row>
    <row r="5606" spans="15:15" x14ac:dyDescent="0.3">
      <c r="O5606" t="str">
        <f t="shared" si="88"/>
        <v/>
      </c>
    </row>
    <row r="5607" spans="15:15" x14ac:dyDescent="0.3">
      <c r="O5607" t="str">
        <f t="shared" si="88"/>
        <v/>
      </c>
    </row>
    <row r="5608" spans="15:15" x14ac:dyDescent="0.3">
      <c r="O5608" t="str">
        <f t="shared" si="88"/>
        <v/>
      </c>
    </row>
    <row r="5609" spans="15:15" x14ac:dyDescent="0.3">
      <c r="O5609" t="str">
        <f t="shared" si="88"/>
        <v/>
      </c>
    </row>
    <row r="5610" spans="15:15" x14ac:dyDescent="0.3">
      <c r="O5610" t="str">
        <f t="shared" si="88"/>
        <v/>
      </c>
    </row>
    <row r="5611" spans="15:15" x14ac:dyDescent="0.3">
      <c r="O5611" t="str">
        <f t="shared" si="88"/>
        <v/>
      </c>
    </row>
    <row r="5612" spans="15:15" x14ac:dyDescent="0.3">
      <c r="O5612" t="str">
        <f t="shared" si="88"/>
        <v/>
      </c>
    </row>
    <row r="5613" spans="15:15" x14ac:dyDescent="0.3">
      <c r="O5613" t="str">
        <f t="shared" si="88"/>
        <v/>
      </c>
    </row>
    <row r="5614" spans="15:15" x14ac:dyDescent="0.3">
      <c r="O5614" t="str">
        <f t="shared" si="88"/>
        <v/>
      </c>
    </row>
    <row r="5615" spans="15:15" x14ac:dyDescent="0.3">
      <c r="O5615" t="str">
        <f t="shared" si="88"/>
        <v/>
      </c>
    </row>
    <row r="5616" spans="15:15" x14ac:dyDescent="0.3">
      <c r="O5616" t="str">
        <f t="shared" si="88"/>
        <v/>
      </c>
    </row>
    <row r="5617" spans="15:15" x14ac:dyDescent="0.3">
      <c r="O5617" t="str">
        <f t="shared" si="88"/>
        <v/>
      </c>
    </row>
    <row r="5618" spans="15:15" x14ac:dyDescent="0.3">
      <c r="O5618" t="str">
        <f t="shared" si="88"/>
        <v/>
      </c>
    </row>
    <row r="5619" spans="15:15" x14ac:dyDescent="0.3">
      <c r="O5619" t="str">
        <f t="shared" si="88"/>
        <v/>
      </c>
    </row>
    <row r="5620" spans="15:15" x14ac:dyDescent="0.3">
      <c r="O5620" t="str">
        <f t="shared" si="88"/>
        <v/>
      </c>
    </row>
    <row r="5621" spans="15:15" x14ac:dyDescent="0.3">
      <c r="O5621" t="str">
        <f t="shared" si="88"/>
        <v/>
      </c>
    </row>
    <row r="5622" spans="15:15" x14ac:dyDescent="0.3">
      <c r="O5622" t="str">
        <f t="shared" si="88"/>
        <v/>
      </c>
    </row>
    <row r="5623" spans="15:15" x14ac:dyDescent="0.3">
      <c r="O5623" t="str">
        <f t="shared" si="88"/>
        <v/>
      </c>
    </row>
    <row r="5624" spans="15:15" x14ac:dyDescent="0.3">
      <c r="O5624" t="str">
        <f t="shared" si="88"/>
        <v/>
      </c>
    </row>
    <row r="5625" spans="15:15" x14ac:dyDescent="0.3">
      <c r="O5625" t="str">
        <f t="shared" si="88"/>
        <v/>
      </c>
    </row>
    <row r="5626" spans="15:15" x14ac:dyDescent="0.3">
      <c r="O5626" t="str">
        <f t="shared" si="88"/>
        <v/>
      </c>
    </row>
    <row r="5627" spans="15:15" x14ac:dyDescent="0.3">
      <c r="O5627" t="str">
        <f t="shared" si="88"/>
        <v/>
      </c>
    </row>
    <row r="5628" spans="15:15" x14ac:dyDescent="0.3">
      <c r="O5628" t="str">
        <f t="shared" si="88"/>
        <v/>
      </c>
    </row>
    <row r="5629" spans="15:15" x14ac:dyDescent="0.3">
      <c r="O5629" t="str">
        <f t="shared" si="88"/>
        <v/>
      </c>
    </row>
    <row r="5630" spans="15:15" x14ac:dyDescent="0.3">
      <c r="O5630" t="str">
        <f t="shared" si="88"/>
        <v/>
      </c>
    </row>
    <row r="5631" spans="15:15" x14ac:dyDescent="0.3">
      <c r="O5631" t="str">
        <f t="shared" si="88"/>
        <v/>
      </c>
    </row>
    <row r="5632" spans="15:15" x14ac:dyDescent="0.3">
      <c r="O5632" t="str">
        <f t="shared" si="88"/>
        <v/>
      </c>
    </row>
    <row r="5633" spans="15:15" x14ac:dyDescent="0.3">
      <c r="O5633" t="str">
        <f t="shared" si="88"/>
        <v/>
      </c>
    </row>
    <row r="5634" spans="15:15" x14ac:dyDescent="0.3">
      <c r="O5634" t="str">
        <f t="shared" si="88"/>
        <v/>
      </c>
    </row>
    <row r="5635" spans="15:15" x14ac:dyDescent="0.3">
      <c r="O5635" t="str">
        <f t="shared" si="88"/>
        <v/>
      </c>
    </row>
    <row r="5636" spans="15:15" x14ac:dyDescent="0.3">
      <c r="O5636" t="str">
        <f t="shared" si="88"/>
        <v/>
      </c>
    </row>
    <row r="5637" spans="15:15" x14ac:dyDescent="0.3">
      <c r="O5637" t="str">
        <f t="shared" si="88"/>
        <v/>
      </c>
    </row>
    <row r="5638" spans="15:15" x14ac:dyDescent="0.3">
      <c r="O5638" t="str">
        <f t="shared" si="88"/>
        <v/>
      </c>
    </row>
    <row r="5639" spans="15:15" x14ac:dyDescent="0.3">
      <c r="O5639" t="str">
        <f t="shared" si="88"/>
        <v/>
      </c>
    </row>
    <row r="5640" spans="15:15" x14ac:dyDescent="0.3">
      <c r="O5640" t="str">
        <f t="shared" si="88"/>
        <v/>
      </c>
    </row>
    <row r="5641" spans="15:15" x14ac:dyDescent="0.3">
      <c r="O5641" t="str">
        <f t="shared" si="88"/>
        <v/>
      </c>
    </row>
    <row r="5642" spans="15:15" x14ac:dyDescent="0.3">
      <c r="O5642" t="str">
        <f t="shared" ref="O5642:O5705" si="89">IF(P5642="","",O5641+1)</f>
        <v/>
      </c>
    </row>
    <row r="5643" spans="15:15" x14ac:dyDescent="0.3">
      <c r="O5643" t="str">
        <f t="shared" si="89"/>
        <v/>
      </c>
    </row>
    <row r="5644" spans="15:15" x14ac:dyDescent="0.3">
      <c r="O5644" t="str">
        <f t="shared" si="89"/>
        <v/>
      </c>
    </row>
    <row r="5645" spans="15:15" x14ac:dyDescent="0.3">
      <c r="O5645" t="str">
        <f t="shared" si="89"/>
        <v/>
      </c>
    </row>
    <row r="5646" spans="15:15" x14ac:dyDescent="0.3">
      <c r="O5646" t="str">
        <f t="shared" si="89"/>
        <v/>
      </c>
    </row>
    <row r="5647" spans="15:15" x14ac:dyDescent="0.3">
      <c r="O5647" t="str">
        <f t="shared" si="89"/>
        <v/>
      </c>
    </row>
    <row r="5648" spans="15:15" x14ac:dyDescent="0.3">
      <c r="O5648" t="str">
        <f t="shared" si="89"/>
        <v/>
      </c>
    </row>
    <row r="5649" spans="15:15" x14ac:dyDescent="0.3">
      <c r="O5649" t="str">
        <f t="shared" si="89"/>
        <v/>
      </c>
    </row>
    <row r="5650" spans="15:15" x14ac:dyDescent="0.3">
      <c r="O5650" t="str">
        <f t="shared" si="89"/>
        <v/>
      </c>
    </row>
    <row r="5651" spans="15:15" x14ac:dyDescent="0.3">
      <c r="O5651" t="str">
        <f t="shared" si="89"/>
        <v/>
      </c>
    </row>
    <row r="5652" spans="15:15" x14ac:dyDescent="0.3">
      <c r="O5652" t="str">
        <f t="shared" si="89"/>
        <v/>
      </c>
    </row>
    <row r="5653" spans="15:15" x14ac:dyDescent="0.3">
      <c r="O5653" t="str">
        <f t="shared" si="89"/>
        <v/>
      </c>
    </row>
    <row r="5654" spans="15:15" x14ac:dyDescent="0.3">
      <c r="O5654" t="str">
        <f t="shared" si="89"/>
        <v/>
      </c>
    </row>
    <row r="5655" spans="15:15" x14ac:dyDescent="0.3">
      <c r="O5655" t="str">
        <f t="shared" si="89"/>
        <v/>
      </c>
    </row>
    <row r="5656" spans="15:15" x14ac:dyDescent="0.3">
      <c r="O5656" t="str">
        <f t="shared" si="89"/>
        <v/>
      </c>
    </row>
    <row r="5657" spans="15:15" x14ac:dyDescent="0.3">
      <c r="O5657" t="str">
        <f t="shared" si="89"/>
        <v/>
      </c>
    </row>
    <row r="5658" spans="15:15" x14ac:dyDescent="0.3">
      <c r="O5658" t="str">
        <f t="shared" si="89"/>
        <v/>
      </c>
    </row>
    <row r="5659" spans="15:15" x14ac:dyDescent="0.3">
      <c r="O5659" t="str">
        <f t="shared" si="89"/>
        <v/>
      </c>
    </row>
    <row r="5660" spans="15:15" x14ac:dyDescent="0.3">
      <c r="O5660" t="str">
        <f t="shared" si="89"/>
        <v/>
      </c>
    </row>
    <row r="5661" spans="15:15" x14ac:dyDescent="0.3">
      <c r="O5661" t="str">
        <f t="shared" si="89"/>
        <v/>
      </c>
    </row>
    <row r="5662" spans="15:15" x14ac:dyDescent="0.3">
      <c r="O5662" t="str">
        <f t="shared" si="89"/>
        <v/>
      </c>
    </row>
    <row r="5663" spans="15:15" x14ac:dyDescent="0.3">
      <c r="O5663" t="str">
        <f t="shared" si="89"/>
        <v/>
      </c>
    </row>
    <row r="5664" spans="15:15" x14ac:dyDescent="0.3">
      <c r="O5664" t="str">
        <f t="shared" si="89"/>
        <v/>
      </c>
    </row>
    <row r="5665" spans="15:15" x14ac:dyDescent="0.3">
      <c r="O5665" t="str">
        <f t="shared" si="89"/>
        <v/>
      </c>
    </row>
    <row r="5666" spans="15:15" x14ac:dyDescent="0.3">
      <c r="O5666" t="str">
        <f t="shared" si="89"/>
        <v/>
      </c>
    </row>
    <row r="5667" spans="15:15" x14ac:dyDescent="0.3">
      <c r="O5667" t="str">
        <f t="shared" si="89"/>
        <v/>
      </c>
    </row>
    <row r="5668" spans="15:15" x14ac:dyDescent="0.3">
      <c r="O5668" t="str">
        <f t="shared" si="89"/>
        <v/>
      </c>
    </row>
    <row r="5669" spans="15:15" x14ac:dyDescent="0.3">
      <c r="O5669" t="str">
        <f t="shared" si="89"/>
        <v/>
      </c>
    </row>
    <row r="5670" spans="15:15" x14ac:dyDescent="0.3">
      <c r="O5670" t="str">
        <f t="shared" si="89"/>
        <v/>
      </c>
    </row>
    <row r="5671" spans="15:15" x14ac:dyDescent="0.3">
      <c r="O5671" t="str">
        <f t="shared" si="89"/>
        <v/>
      </c>
    </row>
    <row r="5672" spans="15:15" x14ac:dyDescent="0.3">
      <c r="O5672" t="str">
        <f t="shared" si="89"/>
        <v/>
      </c>
    </row>
    <row r="5673" spans="15:15" x14ac:dyDescent="0.3">
      <c r="O5673" t="str">
        <f t="shared" si="89"/>
        <v/>
      </c>
    </row>
    <row r="5674" spans="15:15" x14ac:dyDescent="0.3">
      <c r="O5674" t="str">
        <f t="shared" si="89"/>
        <v/>
      </c>
    </row>
    <row r="5675" spans="15:15" x14ac:dyDescent="0.3">
      <c r="O5675" t="str">
        <f t="shared" si="89"/>
        <v/>
      </c>
    </row>
    <row r="5676" spans="15:15" x14ac:dyDescent="0.3">
      <c r="O5676" t="str">
        <f t="shared" si="89"/>
        <v/>
      </c>
    </row>
    <row r="5677" spans="15:15" x14ac:dyDescent="0.3">
      <c r="O5677" t="str">
        <f t="shared" si="89"/>
        <v/>
      </c>
    </row>
    <row r="5678" spans="15:15" x14ac:dyDescent="0.3">
      <c r="O5678" t="str">
        <f t="shared" si="89"/>
        <v/>
      </c>
    </row>
    <row r="5679" spans="15:15" x14ac:dyDescent="0.3">
      <c r="O5679" t="str">
        <f t="shared" si="89"/>
        <v/>
      </c>
    </row>
    <row r="5680" spans="15:15" x14ac:dyDescent="0.3">
      <c r="O5680" t="str">
        <f t="shared" si="89"/>
        <v/>
      </c>
    </row>
    <row r="5681" spans="15:15" x14ac:dyDescent="0.3">
      <c r="O5681" t="str">
        <f t="shared" si="89"/>
        <v/>
      </c>
    </row>
    <row r="5682" spans="15:15" x14ac:dyDescent="0.3">
      <c r="O5682" t="str">
        <f t="shared" si="89"/>
        <v/>
      </c>
    </row>
    <row r="5683" spans="15:15" x14ac:dyDescent="0.3">
      <c r="O5683" t="str">
        <f t="shared" si="89"/>
        <v/>
      </c>
    </row>
    <row r="5684" spans="15:15" x14ac:dyDescent="0.3">
      <c r="O5684" t="str">
        <f t="shared" si="89"/>
        <v/>
      </c>
    </row>
    <row r="5685" spans="15:15" x14ac:dyDescent="0.3">
      <c r="O5685" t="str">
        <f t="shared" si="89"/>
        <v/>
      </c>
    </row>
    <row r="5686" spans="15:15" x14ac:dyDescent="0.3">
      <c r="O5686" t="str">
        <f t="shared" si="89"/>
        <v/>
      </c>
    </row>
    <row r="5687" spans="15:15" x14ac:dyDescent="0.3">
      <c r="O5687" t="str">
        <f t="shared" si="89"/>
        <v/>
      </c>
    </row>
    <row r="5688" spans="15:15" x14ac:dyDescent="0.3">
      <c r="O5688" t="str">
        <f t="shared" si="89"/>
        <v/>
      </c>
    </row>
    <row r="5689" spans="15:15" x14ac:dyDescent="0.3">
      <c r="O5689" t="str">
        <f t="shared" si="89"/>
        <v/>
      </c>
    </row>
    <row r="5690" spans="15:15" x14ac:dyDescent="0.3">
      <c r="O5690" t="str">
        <f t="shared" si="89"/>
        <v/>
      </c>
    </row>
    <row r="5691" spans="15:15" x14ac:dyDescent="0.3">
      <c r="O5691" t="str">
        <f t="shared" si="89"/>
        <v/>
      </c>
    </row>
    <row r="5692" spans="15:15" x14ac:dyDescent="0.3">
      <c r="O5692" t="str">
        <f t="shared" si="89"/>
        <v/>
      </c>
    </row>
    <row r="5693" spans="15:15" x14ac:dyDescent="0.3">
      <c r="O5693" t="str">
        <f t="shared" si="89"/>
        <v/>
      </c>
    </row>
    <row r="5694" spans="15:15" x14ac:dyDescent="0.3">
      <c r="O5694" t="str">
        <f t="shared" si="89"/>
        <v/>
      </c>
    </row>
    <row r="5695" spans="15:15" x14ac:dyDescent="0.3">
      <c r="O5695" t="str">
        <f t="shared" si="89"/>
        <v/>
      </c>
    </row>
    <row r="5696" spans="15:15" x14ac:dyDescent="0.3">
      <c r="O5696" t="str">
        <f t="shared" si="89"/>
        <v/>
      </c>
    </row>
    <row r="5697" spans="15:15" x14ac:dyDescent="0.3">
      <c r="O5697" t="str">
        <f t="shared" si="89"/>
        <v/>
      </c>
    </row>
    <row r="5698" spans="15:15" x14ac:dyDescent="0.3">
      <c r="O5698" t="str">
        <f t="shared" si="89"/>
        <v/>
      </c>
    </row>
    <row r="5699" spans="15:15" x14ac:dyDescent="0.3">
      <c r="O5699" t="str">
        <f t="shared" si="89"/>
        <v/>
      </c>
    </row>
    <row r="5700" spans="15:15" x14ac:dyDescent="0.3">
      <c r="O5700" t="str">
        <f t="shared" si="89"/>
        <v/>
      </c>
    </row>
    <row r="5701" spans="15:15" x14ac:dyDescent="0.3">
      <c r="O5701" t="str">
        <f t="shared" si="89"/>
        <v/>
      </c>
    </row>
    <row r="5702" spans="15:15" x14ac:dyDescent="0.3">
      <c r="O5702" t="str">
        <f t="shared" si="89"/>
        <v/>
      </c>
    </row>
    <row r="5703" spans="15:15" x14ac:dyDescent="0.3">
      <c r="O5703" t="str">
        <f t="shared" si="89"/>
        <v/>
      </c>
    </row>
    <row r="5704" spans="15:15" x14ac:dyDescent="0.3">
      <c r="O5704" t="str">
        <f t="shared" si="89"/>
        <v/>
      </c>
    </row>
    <row r="5705" spans="15:15" x14ac:dyDescent="0.3">
      <c r="O5705" t="str">
        <f t="shared" si="89"/>
        <v/>
      </c>
    </row>
    <row r="5706" spans="15:15" x14ac:dyDescent="0.3">
      <c r="O5706" t="str">
        <f t="shared" ref="O5706:O5769" si="90">IF(P5706="","",O5705+1)</f>
        <v/>
      </c>
    </row>
    <row r="5707" spans="15:15" x14ac:dyDescent="0.3">
      <c r="O5707" t="str">
        <f t="shared" si="90"/>
        <v/>
      </c>
    </row>
    <row r="5708" spans="15:15" x14ac:dyDescent="0.3">
      <c r="O5708" t="str">
        <f t="shared" si="90"/>
        <v/>
      </c>
    </row>
    <row r="5709" spans="15:15" x14ac:dyDescent="0.3">
      <c r="O5709" t="str">
        <f t="shared" si="90"/>
        <v/>
      </c>
    </row>
    <row r="5710" spans="15:15" x14ac:dyDescent="0.3">
      <c r="O5710" t="str">
        <f t="shared" si="90"/>
        <v/>
      </c>
    </row>
    <row r="5711" spans="15:15" x14ac:dyDescent="0.3">
      <c r="O5711" t="str">
        <f t="shared" si="90"/>
        <v/>
      </c>
    </row>
    <row r="5712" spans="15:15" x14ac:dyDescent="0.3">
      <c r="O5712" t="str">
        <f t="shared" si="90"/>
        <v/>
      </c>
    </row>
    <row r="5713" spans="15:15" x14ac:dyDescent="0.3">
      <c r="O5713" t="str">
        <f t="shared" si="90"/>
        <v/>
      </c>
    </row>
    <row r="5714" spans="15:15" x14ac:dyDescent="0.3">
      <c r="O5714" t="str">
        <f t="shared" si="90"/>
        <v/>
      </c>
    </row>
    <row r="5715" spans="15:15" x14ac:dyDescent="0.3">
      <c r="O5715" t="str">
        <f t="shared" si="90"/>
        <v/>
      </c>
    </row>
    <row r="5716" spans="15:15" x14ac:dyDescent="0.3">
      <c r="O5716" t="str">
        <f t="shared" si="90"/>
        <v/>
      </c>
    </row>
    <row r="5717" spans="15:15" x14ac:dyDescent="0.3">
      <c r="O5717" t="str">
        <f t="shared" si="90"/>
        <v/>
      </c>
    </row>
    <row r="5718" spans="15:15" x14ac:dyDescent="0.3">
      <c r="O5718" t="str">
        <f t="shared" si="90"/>
        <v/>
      </c>
    </row>
    <row r="5719" spans="15:15" x14ac:dyDescent="0.3">
      <c r="O5719" t="str">
        <f t="shared" si="90"/>
        <v/>
      </c>
    </row>
    <row r="5720" spans="15:15" x14ac:dyDescent="0.3">
      <c r="O5720" t="str">
        <f t="shared" si="90"/>
        <v/>
      </c>
    </row>
    <row r="5721" spans="15:15" x14ac:dyDescent="0.3">
      <c r="O5721" t="str">
        <f t="shared" si="90"/>
        <v/>
      </c>
    </row>
    <row r="5722" spans="15:15" x14ac:dyDescent="0.3">
      <c r="O5722" t="str">
        <f t="shared" si="90"/>
        <v/>
      </c>
    </row>
    <row r="5723" spans="15:15" x14ac:dyDescent="0.3">
      <c r="O5723" t="str">
        <f t="shared" si="90"/>
        <v/>
      </c>
    </row>
    <row r="5724" spans="15:15" x14ac:dyDescent="0.3">
      <c r="O5724" t="str">
        <f t="shared" si="90"/>
        <v/>
      </c>
    </row>
    <row r="5725" spans="15:15" x14ac:dyDescent="0.3">
      <c r="O5725" t="str">
        <f t="shared" si="90"/>
        <v/>
      </c>
    </row>
    <row r="5726" spans="15:15" x14ac:dyDescent="0.3">
      <c r="O5726" t="str">
        <f t="shared" si="90"/>
        <v/>
      </c>
    </row>
    <row r="5727" spans="15:15" x14ac:dyDescent="0.3">
      <c r="O5727" t="str">
        <f t="shared" si="90"/>
        <v/>
      </c>
    </row>
    <row r="5728" spans="15:15" x14ac:dyDescent="0.3">
      <c r="O5728" t="str">
        <f t="shared" si="90"/>
        <v/>
      </c>
    </row>
    <row r="5729" spans="15:15" x14ac:dyDescent="0.3">
      <c r="O5729" t="str">
        <f t="shared" si="90"/>
        <v/>
      </c>
    </row>
    <row r="5730" spans="15:15" x14ac:dyDescent="0.3">
      <c r="O5730" t="str">
        <f t="shared" si="90"/>
        <v/>
      </c>
    </row>
    <row r="5731" spans="15:15" x14ac:dyDescent="0.3">
      <c r="O5731" t="str">
        <f t="shared" si="90"/>
        <v/>
      </c>
    </row>
    <row r="5732" spans="15:15" x14ac:dyDescent="0.3">
      <c r="O5732" t="str">
        <f t="shared" si="90"/>
        <v/>
      </c>
    </row>
    <row r="5733" spans="15:15" x14ac:dyDescent="0.3">
      <c r="O5733" t="str">
        <f t="shared" si="90"/>
        <v/>
      </c>
    </row>
    <row r="5734" spans="15:15" x14ac:dyDescent="0.3">
      <c r="O5734" t="str">
        <f t="shared" si="90"/>
        <v/>
      </c>
    </row>
    <row r="5735" spans="15:15" x14ac:dyDescent="0.3">
      <c r="O5735" t="str">
        <f t="shared" si="90"/>
        <v/>
      </c>
    </row>
    <row r="5736" spans="15:15" x14ac:dyDescent="0.3">
      <c r="O5736" t="str">
        <f t="shared" si="90"/>
        <v/>
      </c>
    </row>
    <row r="5737" spans="15:15" x14ac:dyDescent="0.3">
      <c r="O5737" t="str">
        <f t="shared" si="90"/>
        <v/>
      </c>
    </row>
    <row r="5738" spans="15:15" x14ac:dyDescent="0.3">
      <c r="O5738" t="str">
        <f t="shared" si="90"/>
        <v/>
      </c>
    </row>
    <row r="5739" spans="15:15" x14ac:dyDescent="0.3">
      <c r="O5739" t="str">
        <f t="shared" si="90"/>
        <v/>
      </c>
    </row>
    <row r="5740" spans="15:15" x14ac:dyDescent="0.3">
      <c r="O5740" t="str">
        <f t="shared" si="90"/>
        <v/>
      </c>
    </row>
    <row r="5741" spans="15:15" x14ac:dyDescent="0.3">
      <c r="O5741" t="str">
        <f t="shared" si="90"/>
        <v/>
      </c>
    </row>
    <row r="5742" spans="15:15" x14ac:dyDescent="0.3">
      <c r="O5742" t="str">
        <f t="shared" si="90"/>
        <v/>
      </c>
    </row>
    <row r="5743" spans="15:15" x14ac:dyDescent="0.3">
      <c r="O5743" t="str">
        <f t="shared" si="90"/>
        <v/>
      </c>
    </row>
    <row r="5744" spans="15:15" x14ac:dyDescent="0.3">
      <c r="O5744" t="str">
        <f t="shared" si="90"/>
        <v/>
      </c>
    </row>
    <row r="5745" spans="15:15" x14ac:dyDescent="0.3">
      <c r="O5745" t="str">
        <f t="shared" si="90"/>
        <v/>
      </c>
    </row>
    <row r="5746" spans="15:15" x14ac:dyDescent="0.3">
      <c r="O5746" t="str">
        <f t="shared" si="90"/>
        <v/>
      </c>
    </row>
    <row r="5747" spans="15:15" x14ac:dyDescent="0.3">
      <c r="O5747" t="str">
        <f t="shared" si="90"/>
        <v/>
      </c>
    </row>
    <row r="5748" spans="15:15" x14ac:dyDescent="0.3">
      <c r="O5748" t="str">
        <f t="shared" si="90"/>
        <v/>
      </c>
    </row>
    <row r="5749" spans="15:15" x14ac:dyDescent="0.3">
      <c r="O5749" t="str">
        <f t="shared" si="90"/>
        <v/>
      </c>
    </row>
    <row r="5750" spans="15:15" x14ac:dyDescent="0.3">
      <c r="O5750" t="str">
        <f t="shared" si="90"/>
        <v/>
      </c>
    </row>
    <row r="5751" spans="15:15" x14ac:dyDescent="0.3">
      <c r="O5751" t="str">
        <f t="shared" si="90"/>
        <v/>
      </c>
    </row>
    <row r="5752" spans="15:15" x14ac:dyDescent="0.3">
      <c r="O5752" t="str">
        <f t="shared" si="90"/>
        <v/>
      </c>
    </row>
    <row r="5753" spans="15:15" x14ac:dyDescent="0.3">
      <c r="O5753" t="str">
        <f t="shared" si="90"/>
        <v/>
      </c>
    </row>
    <row r="5754" spans="15:15" x14ac:dyDescent="0.3">
      <c r="O5754" t="str">
        <f t="shared" si="90"/>
        <v/>
      </c>
    </row>
    <row r="5755" spans="15:15" x14ac:dyDescent="0.3">
      <c r="O5755" t="str">
        <f t="shared" si="90"/>
        <v/>
      </c>
    </row>
    <row r="5756" spans="15:15" x14ac:dyDescent="0.3">
      <c r="O5756" t="str">
        <f t="shared" si="90"/>
        <v/>
      </c>
    </row>
    <row r="5757" spans="15:15" x14ac:dyDescent="0.3">
      <c r="O5757" t="str">
        <f t="shared" si="90"/>
        <v/>
      </c>
    </row>
    <row r="5758" spans="15:15" x14ac:dyDescent="0.3">
      <c r="O5758" t="str">
        <f t="shared" si="90"/>
        <v/>
      </c>
    </row>
    <row r="5759" spans="15:15" x14ac:dyDescent="0.3">
      <c r="O5759" t="str">
        <f t="shared" si="90"/>
        <v/>
      </c>
    </row>
    <row r="5760" spans="15:15" x14ac:dyDescent="0.3">
      <c r="O5760" t="str">
        <f t="shared" si="90"/>
        <v/>
      </c>
    </row>
    <row r="5761" spans="15:15" x14ac:dyDescent="0.3">
      <c r="O5761" t="str">
        <f t="shared" si="90"/>
        <v/>
      </c>
    </row>
    <row r="5762" spans="15:15" x14ac:dyDescent="0.3">
      <c r="O5762" t="str">
        <f t="shared" si="90"/>
        <v/>
      </c>
    </row>
    <row r="5763" spans="15:15" x14ac:dyDescent="0.3">
      <c r="O5763" t="str">
        <f t="shared" si="90"/>
        <v/>
      </c>
    </row>
    <row r="5764" spans="15:15" x14ac:dyDescent="0.3">
      <c r="O5764" t="str">
        <f t="shared" si="90"/>
        <v/>
      </c>
    </row>
    <row r="5765" spans="15:15" x14ac:dyDescent="0.3">
      <c r="O5765" t="str">
        <f t="shared" si="90"/>
        <v/>
      </c>
    </row>
    <row r="5766" spans="15:15" x14ac:dyDescent="0.3">
      <c r="O5766" t="str">
        <f t="shared" si="90"/>
        <v/>
      </c>
    </row>
    <row r="5767" spans="15:15" x14ac:dyDescent="0.3">
      <c r="O5767" t="str">
        <f t="shared" si="90"/>
        <v/>
      </c>
    </row>
    <row r="5768" spans="15:15" x14ac:dyDescent="0.3">
      <c r="O5768" t="str">
        <f t="shared" si="90"/>
        <v/>
      </c>
    </row>
    <row r="5769" spans="15:15" x14ac:dyDescent="0.3">
      <c r="O5769" t="str">
        <f t="shared" si="90"/>
        <v/>
      </c>
    </row>
    <row r="5770" spans="15:15" x14ac:dyDescent="0.3">
      <c r="O5770" t="str">
        <f t="shared" ref="O5770:O5833" si="91">IF(P5770="","",O5769+1)</f>
        <v/>
      </c>
    </row>
    <row r="5771" spans="15:15" x14ac:dyDescent="0.3">
      <c r="O5771" t="str">
        <f t="shared" si="91"/>
        <v/>
      </c>
    </row>
    <row r="5772" spans="15:15" x14ac:dyDescent="0.3">
      <c r="O5772" t="str">
        <f t="shared" si="91"/>
        <v/>
      </c>
    </row>
    <row r="5773" spans="15:15" x14ac:dyDescent="0.3">
      <c r="O5773" t="str">
        <f t="shared" si="91"/>
        <v/>
      </c>
    </row>
    <row r="5774" spans="15:15" x14ac:dyDescent="0.3">
      <c r="O5774" t="str">
        <f t="shared" si="91"/>
        <v/>
      </c>
    </row>
    <row r="5775" spans="15:15" x14ac:dyDescent="0.3">
      <c r="O5775" t="str">
        <f t="shared" si="91"/>
        <v/>
      </c>
    </row>
    <row r="5776" spans="15:15" x14ac:dyDescent="0.3">
      <c r="O5776" t="str">
        <f t="shared" si="91"/>
        <v/>
      </c>
    </row>
    <row r="5777" spans="15:15" x14ac:dyDescent="0.3">
      <c r="O5777" t="str">
        <f t="shared" si="91"/>
        <v/>
      </c>
    </row>
    <row r="5778" spans="15:15" x14ac:dyDescent="0.3">
      <c r="O5778" t="str">
        <f t="shared" si="91"/>
        <v/>
      </c>
    </row>
    <row r="5779" spans="15:15" x14ac:dyDescent="0.3">
      <c r="O5779" t="str">
        <f t="shared" si="91"/>
        <v/>
      </c>
    </row>
    <row r="5780" spans="15:15" x14ac:dyDescent="0.3">
      <c r="O5780" t="str">
        <f t="shared" si="91"/>
        <v/>
      </c>
    </row>
    <row r="5781" spans="15:15" x14ac:dyDescent="0.3">
      <c r="O5781" t="str">
        <f t="shared" si="91"/>
        <v/>
      </c>
    </row>
    <row r="5782" spans="15:15" x14ac:dyDescent="0.3">
      <c r="O5782" t="str">
        <f t="shared" si="91"/>
        <v/>
      </c>
    </row>
    <row r="5783" spans="15:15" x14ac:dyDescent="0.3">
      <c r="O5783" t="str">
        <f t="shared" si="91"/>
        <v/>
      </c>
    </row>
    <row r="5784" spans="15:15" x14ac:dyDescent="0.3">
      <c r="O5784" t="str">
        <f t="shared" si="91"/>
        <v/>
      </c>
    </row>
    <row r="5785" spans="15:15" x14ac:dyDescent="0.3">
      <c r="O5785" t="str">
        <f t="shared" si="91"/>
        <v/>
      </c>
    </row>
    <row r="5786" spans="15:15" x14ac:dyDescent="0.3">
      <c r="O5786" t="str">
        <f t="shared" si="91"/>
        <v/>
      </c>
    </row>
    <row r="5787" spans="15:15" x14ac:dyDescent="0.3">
      <c r="O5787" t="str">
        <f t="shared" si="91"/>
        <v/>
      </c>
    </row>
    <row r="5788" spans="15:15" x14ac:dyDescent="0.3">
      <c r="O5788" t="str">
        <f t="shared" si="91"/>
        <v/>
      </c>
    </row>
    <row r="5789" spans="15:15" x14ac:dyDescent="0.3">
      <c r="O5789" t="str">
        <f t="shared" si="91"/>
        <v/>
      </c>
    </row>
    <row r="5790" spans="15:15" x14ac:dyDescent="0.3">
      <c r="O5790" t="str">
        <f t="shared" si="91"/>
        <v/>
      </c>
    </row>
    <row r="5791" spans="15:15" x14ac:dyDescent="0.3">
      <c r="O5791" t="str">
        <f t="shared" si="91"/>
        <v/>
      </c>
    </row>
    <row r="5792" spans="15:15" x14ac:dyDescent="0.3">
      <c r="O5792" t="str">
        <f t="shared" si="91"/>
        <v/>
      </c>
    </row>
    <row r="5793" spans="15:15" x14ac:dyDescent="0.3">
      <c r="O5793" t="str">
        <f t="shared" si="91"/>
        <v/>
      </c>
    </row>
    <row r="5794" spans="15:15" x14ac:dyDescent="0.3">
      <c r="O5794" t="str">
        <f t="shared" si="91"/>
        <v/>
      </c>
    </row>
    <row r="5795" spans="15:15" x14ac:dyDescent="0.3">
      <c r="O5795" t="str">
        <f t="shared" si="91"/>
        <v/>
      </c>
    </row>
    <row r="5796" spans="15:15" x14ac:dyDescent="0.3">
      <c r="O5796" t="str">
        <f t="shared" si="91"/>
        <v/>
      </c>
    </row>
    <row r="5797" spans="15:15" x14ac:dyDescent="0.3">
      <c r="O5797" t="str">
        <f t="shared" si="91"/>
        <v/>
      </c>
    </row>
    <row r="5798" spans="15:15" x14ac:dyDescent="0.3">
      <c r="O5798" t="str">
        <f t="shared" si="91"/>
        <v/>
      </c>
    </row>
    <row r="5799" spans="15:15" x14ac:dyDescent="0.3">
      <c r="O5799" t="str">
        <f t="shared" si="91"/>
        <v/>
      </c>
    </row>
    <row r="5800" spans="15:15" x14ac:dyDescent="0.3">
      <c r="O5800" t="str">
        <f t="shared" si="91"/>
        <v/>
      </c>
    </row>
    <row r="5801" spans="15:15" x14ac:dyDescent="0.3">
      <c r="O5801" t="str">
        <f t="shared" si="91"/>
        <v/>
      </c>
    </row>
    <row r="5802" spans="15:15" x14ac:dyDescent="0.3">
      <c r="O5802" t="str">
        <f t="shared" si="91"/>
        <v/>
      </c>
    </row>
    <row r="5803" spans="15:15" x14ac:dyDescent="0.3">
      <c r="O5803" t="str">
        <f t="shared" si="91"/>
        <v/>
      </c>
    </row>
    <row r="5804" spans="15:15" x14ac:dyDescent="0.3">
      <c r="O5804" t="str">
        <f t="shared" si="91"/>
        <v/>
      </c>
    </row>
    <row r="5805" spans="15:15" x14ac:dyDescent="0.3">
      <c r="O5805" t="str">
        <f t="shared" si="91"/>
        <v/>
      </c>
    </row>
    <row r="5806" spans="15:15" x14ac:dyDescent="0.3">
      <c r="O5806" t="str">
        <f t="shared" si="91"/>
        <v/>
      </c>
    </row>
    <row r="5807" spans="15:15" x14ac:dyDescent="0.3">
      <c r="O5807" t="str">
        <f t="shared" si="91"/>
        <v/>
      </c>
    </row>
    <row r="5808" spans="15:15" x14ac:dyDescent="0.3">
      <c r="O5808" t="str">
        <f t="shared" si="91"/>
        <v/>
      </c>
    </row>
    <row r="5809" spans="15:15" x14ac:dyDescent="0.3">
      <c r="O5809" t="str">
        <f t="shared" si="91"/>
        <v/>
      </c>
    </row>
    <row r="5810" spans="15:15" x14ac:dyDescent="0.3">
      <c r="O5810" t="str">
        <f t="shared" si="91"/>
        <v/>
      </c>
    </row>
    <row r="5811" spans="15:15" x14ac:dyDescent="0.3">
      <c r="O5811" t="str">
        <f t="shared" si="91"/>
        <v/>
      </c>
    </row>
    <row r="5812" spans="15:15" x14ac:dyDescent="0.3">
      <c r="O5812" t="str">
        <f t="shared" si="91"/>
        <v/>
      </c>
    </row>
    <row r="5813" spans="15:15" x14ac:dyDescent="0.3">
      <c r="O5813" t="str">
        <f t="shared" si="91"/>
        <v/>
      </c>
    </row>
    <row r="5814" spans="15:15" x14ac:dyDescent="0.3">
      <c r="O5814" t="str">
        <f t="shared" si="91"/>
        <v/>
      </c>
    </row>
    <row r="5815" spans="15:15" x14ac:dyDescent="0.3">
      <c r="O5815" t="str">
        <f t="shared" si="91"/>
        <v/>
      </c>
    </row>
    <row r="5816" spans="15:15" x14ac:dyDescent="0.3">
      <c r="O5816" t="str">
        <f t="shared" si="91"/>
        <v/>
      </c>
    </row>
    <row r="5817" spans="15:15" x14ac:dyDescent="0.3">
      <c r="O5817" t="str">
        <f t="shared" si="91"/>
        <v/>
      </c>
    </row>
    <row r="5818" spans="15:15" x14ac:dyDescent="0.3">
      <c r="O5818" t="str">
        <f t="shared" si="91"/>
        <v/>
      </c>
    </row>
    <row r="5819" spans="15:15" x14ac:dyDescent="0.3">
      <c r="O5819" t="str">
        <f t="shared" si="91"/>
        <v/>
      </c>
    </row>
    <row r="5820" spans="15:15" x14ac:dyDescent="0.3">
      <c r="O5820" t="str">
        <f t="shared" si="91"/>
        <v/>
      </c>
    </row>
    <row r="5821" spans="15:15" x14ac:dyDescent="0.3">
      <c r="O5821" t="str">
        <f t="shared" si="91"/>
        <v/>
      </c>
    </row>
    <row r="5822" spans="15:15" x14ac:dyDescent="0.3">
      <c r="O5822" t="str">
        <f t="shared" si="91"/>
        <v/>
      </c>
    </row>
    <row r="5823" spans="15:15" x14ac:dyDescent="0.3">
      <c r="O5823" t="str">
        <f t="shared" si="91"/>
        <v/>
      </c>
    </row>
    <row r="5824" spans="15:15" x14ac:dyDescent="0.3">
      <c r="O5824" t="str">
        <f t="shared" si="91"/>
        <v/>
      </c>
    </row>
    <row r="5825" spans="15:15" x14ac:dyDescent="0.3">
      <c r="O5825" t="str">
        <f t="shared" si="91"/>
        <v/>
      </c>
    </row>
    <row r="5826" spans="15:15" x14ac:dyDescent="0.3">
      <c r="O5826" t="str">
        <f t="shared" si="91"/>
        <v/>
      </c>
    </row>
    <row r="5827" spans="15:15" x14ac:dyDescent="0.3">
      <c r="O5827" t="str">
        <f t="shared" si="91"/>
        <v/>
      </c>
    </row>
    <row r="5828" spans="15:15" x14ac:dyDescent="0.3">
      <c r="O5828" t="str">
        <f t="shared" si="91"/>
        <v/>
      </c>
    </row>
    <row r="5829" spans="15:15" x14ac:dyDescent="0.3">
      <c r="O5829" t="str">
        <f t="shared" si="91"/>
        <v/>
      </c>
    </row>
    <row r="5830" spans="15:15" x14ac:dyDescent="0.3">
      <c r="O5830" t="str">
        <f t="shared" si="91"/>
        <v/>
      </c>
    </row>
    <row r="5831" spans="15:15" x14ac:dyDescent="0.3">
      <c r="O5831" t="str">
        <f t="shared" si="91"/>
        <v/>
      </c>
    </row>
    <row r="5832" spans="15:15" x14ac:dyDescent="0.3">
      <c r="O5832" t="str">
        <f t="shared" si="91"/>
        <v/>
      </c>
    </row>
    <row r="5833" spans="15:15" x14ac:dyDescent="0.3">
      <c r="O5833" t="str">
        <f t="shared" si="91"/>
        <v/>
      </c>
    </row>
    <row r="5834" spans="15:15" x14ac:dyDescent="0.3">
      <c r="O5834" t="str">
        <f t="shared" ref="O5834:O5897" si="92">IF(P5834="","",O5833+1)</f>
        <v/>
      </c>
    </row>
    <row r="5835" spans="15:15" x14ac:dyDescent="0.3">
      <c r="O5835" t="str">
        <f t="shared" si="92"/>
        <v/>
      </c>
    </row>
    <row r="5836" spans="15:15" x14ac:dyDescent="0.3">
      <c r="O5836" t="str">
        <f t="shared" si="92"/>
        <v/>
      </c>
    </row>
    <row r="5837" spans="15:15" x14ac:dyDescent="0.3">
      <c r="O5837" t="str">
        <f t="shared" si="92"/>
        <v/>
      </c>
    </row>
    <row r="5838" spans="15:15" x14ac:dyDescent="0.3">
      <c r="O5838" t="str">
        <f t="shared" si="92"/>
        <v/>
      </c>
    </row>
    <row r="5839" spans="15:15" x14ac:dyDescent="0.3">
      <c r="O5839" t="str">
        <f t="shared" si="92"/>
        <v/>
      </c>
    </row>
    <row r="5840" spans="15:15" x14ac:dyDescent="0.3">
      <c r="O5840" t="str">
        <f t="shared" si="92"/>
        <v/>
      </c>
    </row>
    <row r="5841" spans="15:15" x14ac:dyDescent="0.3">
      <c r="O5841" t="str">
        <f t="shared" si="92"/>
        <v/>
      </c>
    </row>
    <row r="5842" spans="15:15" x14ac:dyDescent="0.3">
      <c r="O5842" t="str">
        <f t="shared" si="92"/>
        <v/>
      </c>
    </row>
    <row r="5843" spans="15:15" x14ac:dyDescent="0.3">
      <c r="O5843" t="str">
        <f t="shared" si="92"/>
        <v/>
      </c>
    </row>
    <row r="5844" spans="15:15" x14ac:dyDescent="0.3">
      <c r="O5844" t="str">
        <f t="shared" si="92"/>
        <v/>
      </c>
    </row>
    <row r="5845" spans="15:15" x14ac:dyDescent="0.3">
      <c r="O5845" t="str">
        <f t="shared" si="92"/>
        <v/>
      </c>
    </row>
    <row r="5846" spans="15:15" x14ac:dyDescent="0.3">
      <c r="O5846" t="str">
        <f t="shared" si="92"/>
        <v/>
      </c>
    </row>
    <row r="5847" spans="15:15" x14ac:dyDescent="0.3">
      <c r="O5847" t="str">
        <f t="shared" si="92"/>
        <v/>
      </c>
    </row>
    <row r="5848" spans="15:15" x14ac:dyDescent="0.3">
      <c r="O5848" t="str">
        <f t="shared" si="92"/>
        <v/>
      </c>
    </row>
    <row r="5849" spans="15:15" x14ac:dyDescent="0.3">
      <c r="O5849" t="str">
        <f t="shared" si="92"/>
        <v/>
      </c>
    </row>
    <row r="5850" spans="15:15" x14ac:dyDescent="0.3">
      <c r="O5850" t="str">
        <f t="shared" si="92"/>
        <v/>
      </c>
    </row>
    <row r="5851" spans="15:15" x14ac:dyDescent="0.3">
      <c r="O5851" t="str">
        <f t="shared" si="92"/>
        <v/>
      </c>
    </row>
    <row r="5852" spans="15:15" x14ac:dyDescent="0.3">
      <c r="O5852" t="str">
        <f t="shared" si="92"/>
        <v/>
      </c>
    </row>
    <row r="5853" spans="15:15" x14ac:dyDescent="0.3">
      <c r="O5853" t="str">
        <f t="shared" si="92"/>
        <v/>
      </c>
    </row>
    <row r="5854" spans="15:15" x14ac:dyDescent="0.3">
      <c r="O5854" t="str">
        <f t="shared" si="92"/>
        <v/>
      </c>
    </row>
    <row r="5855" spans="15:15" x14ac:dyDescent="0.3">
      <c r="O5855" t="str">
        <f t="shared" si="92"/>
        <v/>
      </c>
    </row>
    <row r="5856" spans="15:15" x14ac:dyDescent="0.3">
      <c r="O5856" t="str">
        <f t="shared" si="92"/>
        <v/>
      </c>
    </row>
    <row r="5857" spans="15:15" x14ac:dyDescent="0.3">
      <c r="O5857" t="str">
        <f t="shared" si="92"/>
        <v/>
      </c>
    </row>
    <row r="5858" spans="15:15" x14ac:dyDescent="0.3">
      <c r="O5858" t="str">
        <f t="shared" si="92"/>
        <v/>
      </c>
    </row>
    <row r="5859" spans="15:15" x14ac:dyDescent="0.3">
      <c r="O5859" t="str">
        <f t="shared" si="92"/>
        <v/>
      </c>
    </row>
    <row r="5860" spans="15:15" x14ac:dyDescent="0.3">
      <c r="O5860" t="str">
        <f t="shared" si="92"/>
        <v/>
      </c>
    </row>
    <row r="5861" spans="15:15" x14ac:dyDescent="0.3">
      <c r="O5861" t="str">
        <f t="shared" si="92"/>
        <v/>
      </c>
    </row>
    <row r="5862" spans="15:15" x14ac:dyDescent="0.3">
      <c r="O5862" t="str">
        <f t="shared" si="92"/>
        <v/>
      </c>
    </row>
    <row r="5863" spans="15:15" x14ac:dyDescent="0.3">
      <c r="O5863" t="str">
        <f t="shared" si="92"/>
        <v/>
      </c>
    </row>
    <row r="5864" spans="15:15" x14ac:dyDescent="0.3">
      <c r="O5864" t="str">
        <f t="shared" si="92"/>
        <v/>
      </c>
    </row>
    <row r="5865" spans="15:15" x14ac:dyDescent="0.3">
      <c r="O5865" t="str">
        <f t="shared" si="92"/>
        <v/>
      </c>
    </row>
    <row r="5866" spans="15:15" x14ac:dyDescent="0.3">
      <c r="O5866" t="str">
        <f t="shared" si="92"/>
        <v/>
      </c>
    </row>
    <row r="5867" spans="15:15" x14ac:dyDescent="0.3">
      <c r="O5867" t="str">
        <f t="shared" si="92"/>
        <v/>
      </c>
    </row>
    <row r="5868" spans="15:15" x14ac:dyDescent="0.3">
      <c r="O5868" t="str">
        <f t="shared" si="92"/>
        <v/>
      </c>
    </row>
    <row r="5869" spans="15:15" x14ac:dyDescent="0.3">
      <c r="O5869" t="str">
        <f t="shared" si="92"/>
        <v/>
      </c>
    </row>
    <row r="5870" spans="15:15" x14ac:dyDescent="0.3">
      <c r="O5870" t="str">
        <f t="shared" si="92"/>
        <v/>
      </c>
    </row>
    <row r="5871" spans="15:15" x14ac:dyDescent="0.3">
      <c r="O5871" t="str">
        <f t="shared" si="92"/>
        <v/>
      </c>
    </row>
    <row r="5872" spans="15:15" x14ac:dyDescent="0.3">
      <c r="O5872" t="str">
        <f t="shared" si="92"/>
        <v/>
      </c>
    </row>
    <row r="5873" spans="15:15" x14ac:dyDescent="0.3">
      <c r="O5873" t="str">
        <f t="shared" si="92"/>
        <v/>
      </c>
    </row>
    <row r="5874" spans="15:15" x14ac:dyDescent="0.3">
      <c r="O5874" t="str">
        <f t="shared" si="92"/>
        <v/>
      </c>
    </row>
    <row r="5875" spans="15:15" x14ac:dyDescent="0.3">
      <c r="O5875" t="str">
        <f t="shared" si="92"/>
        <v/>
      </c>
    </row>
    <row r="5876" spans="15:15" x14ac:dyDescent="0.3">
      <c r="O5876" t="str">
        <f t="shared" si="92"/>
        <v/>
      </c>
    </row>
    <row r="5877" spans="15:15" x14ac:dyDescent="0.3">
      <c r="O5877" t="str">
        <f t="shared" si="92"/>
        <v/>
      </c>
    </row>
    <row r="5878" spans="15:15" x14ac:dyDescent="0.3">
      <c r="O5878" t="str">
        <f t="shared" si="92"/>
        <v/>
      </c>
    </row>
    <row r="5879" spans="15:15" x14ac:dyDescent="0.3">
      <c r="O5879" t="str">
        <f t="shared" si="92"/>
        <v/>
      </c>
    </row>
    <row r="5880" spans="15:15" x14ac:dyDescent="0.3">
      <c r="O5880" t="str">
        <f t="shared" si="92"/>
        <v/>
      </c>
    </row>
    <row r="5881" spans="15:15" x14ac:dyDescent="0.3">
      <c r="O5881" t="str">
        <f t="shared" si="92"/>
        <v/>
      </c>
    </row>
    <row r="5882" spans="15:15" x14ac:dyDescent="0.3">
      <c r="O5882" t="str">
        <f t="shared" si="92"/>
        <v/>
      </c>
    </row>
    <row r="5883" spans="15:15" x14ac:dyDescent="0.3">
      <c r="O5883" t="str">
        <f t="shared" si="92"/>
        <v/>
      </c>
    </row>
    <row r="5884" spans="15:15" x14ac:dyDescent="0.3">
      <c r="O5884" t="str">
        <f t="shared" si="92"/>
        <v/>
      </c>
    </row>
    <row r="5885" spans="15:15" x14ac:dyDescent="0.3">
      <c r="O5885" t="str">
        <f t="shared" si="92"/>
        <v/>
      </c>
    </row>
    <row r="5886" spans="15:15" x14ac:dyDescent="0.3">
      <c r="O5886" t="str">
        <f t="shared" si="92"/>
        <v/>
      </c>
    </row>
    <row r="5887" spans="15:15" x14ac:dyDescent="0.3">
      <c r="O5887" t="str">
        <f t="shared" si="92"/>
        <v/>
      </c>
    </row>
    <row r="5888" spans="15:15" x14ac:dyDescent="0.3">
      <c r="O5888" t="str">
        <f t="shared" si="92"/>
        <v/>
      </c>
    </row>
    <row r="5889" spans="15:15" x14ac:dyDescent="0.3">
      <c r="O5889" t="str">
        <f t="shared" si="92"/>
        <v/>
      </c>
    </row>
    <row r="5890" spans="15:15" x14ac:dyDescent="0.3">
      <c r="O5890" t="str">
        <f t="shared" si="92"/>
        <v/>
      </c>
    </row>
    <row r="5891" spans="15:15" x14ac:dyDescent="0.3">
      <c r="O5891" t="str">
        <f t="shared" si="92"/>
        <v/>
      </c>
    </row>
    <row r="5892" spans="15:15" x14ac:dyDescent="0.3">
      <c r="O5892" t="str">
        <f t="shared" si="92"/>
        <v/>
      </c>
    </row>
    <row r="5893" spans="15:15" x14ac:dyDescent="0.3">
      <c r="O5893" t="str">
        <f t="shared" si="92"/>
        <v/>
      </c>
    </row>
    <row r="5894" spans="15:15" x14ac:dyDescent="0.3">
      <c r="O5894" t="str">
        <f t="shared" si="92"/>
        <v/>
      </c>
    </row>
    <row r="5895" spans="15:15" x14ac:dyDescent="0.3">
      <c r="O5895" t="str">
        <f t="shared" si="92"/>
        <v/>
      </c>
    </row>
    <row r="5896" spans="15:15" x14ac:dyDescent="0.3">
      <c r="O5896" t="str">
        <f t="shared" si="92"/>
        <v/>
      </c>
    </row>
    <row r="5897" spans="15:15" x14ac:dyDescent="0.3">
      <c r="O5897" t="str">
        <f t="shared" si="92"/>
        <v/>
      </c>
    </row>
    <row r="5898" spans="15:15" x14ac:dyDescent="0.3">
      <c r="O5898" t="str">
        <f t="shared" ref="O5898:O5961" si="93">IF(P5898="","",O5897+1)</f>
        <v/>
      </c>
    </row>
    <row r="5899" spans="15:15" x14ac:dyDescent="0.3">
      <c r="O5899" t="str">
        <f t="shared" si="93"/>
        <v/>
      </c>
    </row>
    <row r="5900" spans="15:15" x14ac:dyDescent="0.3">
      <c r="O5900" t="str">
        <f t="shared" si="93"/>
        <v/>
      </c>
    </row>
    <row r="5901" spans="15:15" x14ac:dyDescent="0.3">
      <c r="O5901" t="str">
        <f t="shared" si="93"/>
        <v/>
      </c>
    </row>
    <row r="5902" spans="15:15" x14ac:dyDescent="0.3">
      <c r="O5902" t="str">
        <f t="shared" si="93"/>
        <v/>
      </c>
    </row>
    <row r="5903" spans="15:15" x14ac:dyDescent="0.3">
      <c r="O5903" t="str">
        <f t="shared" si="93"/>
        <v/>
      </c>
    </row>
    <row r="5904" spans="15:15" x14ac:dyDescent="0.3">
      <c r="O5904" t="str">
        <f t="shared" si="93"/>
        <v/>
      </c>
    </row>
    <row r="5905" spans="15:15" x14ac:dyDescent="0.3">
      <c r="O5905" t="str">
        <f t="shared" si="93"/>
        <v/>
      </c>
    </row>
    <row r="5906" spans="15:15" x14ac:dyDescent="0.3">
      <c r="O5906" t="str">
        <f t="shared" si="93"/>
        <v/>
      </c>
    </row>
    <row r="5907" spans="15:15" x14ac:dyDescent="0.3">
      <c r="O5907" t="str">
        <f t="shared" si="93"/>
        <v/>
      </c>
    </row>
    <row r="5908" spans="15:15" x14ac:dyDescent="0.3">
      <c r="O5908" t="str">
        <f t="shared" si="93"/>
        <v/>
      </c>
    </row>
    <row r="5909" spans="15:15" x14ac:dyDescent="0.3">
      <c r="O5909" t="str">
        <f t="shared" si="93"/>
        <v/>
      </c>
    </row>
    <row r="5910" spans="15:15" x14ac:dyDescent="0.3">
      <c r="O5910" t="str">
        <f t="shared" si="93"/>
        <v/>
      </c>
    </row>
    <row r="5911" spans="15:15" x14ac:dyDescent="0.3">
      <c r="O5911" t="str">
        <f t="shared" si="93"/>
        <v/>
      </c>
    </row>
    <row r="5912" spans="15:15" x14ac:dyDescent="0.3">
      <c r="O5912" t="str">
        <f t="shared" si="93"/>
        <v/>
      </c>
    </row>
    <row r="5913" spans="15:15" x14ac:dyDescent="0.3">
      <c r="O5913" t="str">
        <f t="shared" si="93"/>
        <v/>
      </c>
    </row>
    <row r="5914" spans="15:15" x14ac:dyDescent="0.3">
      <c r="O5914" t="str">
        <f t="shared" si="93"/>
        <v/>
      </c>
    </row>
    <row r="5915" spans="15:15" x14ac:dyDescent="0.3">
      <c r="O5915" t="str">
        <f t="shared" si="93"/>
        <v/>
      </c>
    </row>
    <row r="5916" spans="15:15" x14ac:dyDescent="0.3">
      <c r="O5916" t="str">
        <f t="shared" si="93"/>
        <v/>
      </c>
    </row>
    <row r="5917" spans="15:15" x14ac:dyDescent="0.3">
      <c r="O5917" t="str">
        <f t="shared" si="93"/>
        <v/>
      </c>
    </row>
    <row r="5918" spans="15:15" x14ac:dyDescent="0.3">
      <c r="O5918" t="str">
        <f t="shared" si="93"/>
        <v/>
      </c>
    </row>
    <row r="5919" spans="15:15" x14ac:dyDescent="0.3">
      <c r="O5919" t="str">
        <f t="shared" si="93"/>
        <v/>
      </c>
    </row>
    <row r="5920" spans="15:15" x14ac:dyDescent="0.3">
      <c r="O5920" t="str">
        <f t="shared" si="93"/>
        <v/>
      </c>
    </row>
    <row r="5921" spans="15:15" x14ac:dyDescent="0.3">
      <c r="O5921" t="str">
        <f t="shared" si="93"/>
        <v/>
      </c>
    </row>
    <row r="5922" spans="15:15" x14ac:dyDescent="0.3">
      <c r="O5922" t="str">
        <f t="shared" si="93"/>
        <v/>
      </c>
    </row>
    <row r="5923" spans="15:15" x14ac:dyDescent="0.3">
      <c r="O5923" t="str">
        <f t="shared" si="93"/>
        <v/>
      </c>
    </row>
    <row r="5924" spans="15:15" x14ac:dyDescent="0.3">
      <c r="O5924" t="str">
        <f t="shared" si="93"/>
        <v/>
      </c>
    </row>
    <row r="5925" spans="15:15" x14ac:dyDescent="0.3">
      <c r="O5925" t="str">
        <f t="shared" si="93"/>
        <v/>
      </c>
    </row>
    <row r="5926" spans="15:15" x14ac:dyDescent="0.3">
      <c r="O5926" t="str">
        <f t="shared" si="93"/>
        <v/>
      </c>
    </row>
    <row r="5927" spans="15:15" x14ac:dyDescent="0.3">
      <c r="O5927" t="str">
        <f t="shared" si="93"/>
        <v/>
      </c>
    </row>
    <row r="5928" spans="15:15" x14ac:dyDescent="0.3">
      <c r="O5928" t="str">
        <f t="shared" si="93"/>
        <v/>
      </c>
    </row>
    <row r="5929" spans="15:15" x14ac:dyDescent="0.3">
      <c r="O5929" t="str">
        <f t="shared" si="93"/>
        <v/>
      </c>
    </row>
    <row r="5930" spans="15:15" x14ac:dyDescent="0.3">
      <c r="O5930" t="str">
        <f t="shared" si="93"/>
        <v/>
      </c>
    </row>
    <row r="5931" spans="15:15" x14ac:dyDescent="0.3">
      <c r="O5931" t="str">
        <f t="shared" si="93"/>
        <v/>
      </c>
    </row>
    <row r="5932" spans="15:15" x14ac:dyDescent="0.3">
      <c r="O5932" t="str">
        <f t="shared" si="93"/>
        <v/>
      </c>
    </row>
    <row r="5933" spans="15:15" x14ac:dyDescent="0.3">
      <c r="O5933" t="str">
        <f t="shared" si="93"/>
        <v/>
      </c>
    </row>
    <row r="5934" spans="15:15" x14ac:dyDescent="0.3">
      <c r="O5934" t="str">
        <f t="shared" si="93"/>
        <v/>
      </c>
    </row>
    <row r="5935" spans="15:15" x14ac:dyDescent="0.3">
      <c r="O5935" t="str">
        <f t="shared" si="93"/>
        <v/>
      </c>
    </row>
    <row r="5936" spans="15:15" x14ac:dyDescent="0.3">
      <c r="O5936" t="str">
        <f t="shared" si="93"/>
        <v/>
      </c>
    </row>
    <row r="5937" spans="15:15" x14ac:dyDescent="0.3">
      <c r="O5937" t="str">
        <f t="shared" si="93"/>
        <v/>
      </c>
    </row>
    <row r="5938" spans="15:15" x14ac:dyDescent="0.3">
      <c r="O5938" t="str">
        <f t="shared" si="93"/>
        <v/>
      </c>
    </row>
    <row r="5939" spans="15:15" x14ac:dyDescent="0.3">
      <c r="O5939" t="str">
        <f t="shared" si="93"/>
        <v/>
      </c>
    </row>
    <row r="5940" spans="15:15" x14ac:dyDescent="0.3">
      <c r="O5940" t="str">
        <f t="shared" si="93"/>
        <v/>
      </c>
    </row>
    <row r="5941" spans="15:15" x14ac:dyDescent="0.3">
      <c r="O5941" t="str">
        <f t="shared" si="93"/>
        <v/>
      </c>
    </row>
    <row r="5942" spans="15:15" x14ac:dyDescent="0.3">
      <c r="O5942" t="str">
        <f t="shared" si="93"/>
        <v/>
      </c>
    </row>
    <row r="5943" spans="15:15" x14ac:dyDescent="0.3">
      <c r="O5943" t="str">
        <f t="shared" si="93"/>
        <v/>
      </c>
    </row>
    <row r="5944" spans="15:15" x14ac:dyDescent="0.3">
      <c r="O5944" t="str">
        <f t="shared" si="93"/>
        <v/>
      </c>
    </row>
    <row r="5945" spans="15:15" x14ac:dyDescent="0.3">
      <c r="O5945" t="str">
        <f t="shared" si="93"/>
        <v/>
      </c>
    </row>
    <row r="5946" spans="15:15" x14ac:dyDescent="0.3">
      <c r="O5946" t="str">
        <f t="shared" si="93"/>
        <v/>
      </c>
    </row>
    <row r="5947" spans="15:15" x14ac:dyDescent="0.3">
      <c r="O5947" t="str">
        <f t="shared" si="93"/>
        <v/>
      </c>
    </row>
    <row r="5948" spans="15:15" x14ac:dyDescent="0.3">
      <c r="O5948" t="str">
        <f t="shared" si="93"/>
        <v/>
      </c>
    </row>
    <row r="5949" spans="15:15" x14ac:dyDescent="0.3">
      <c r="O5949" t="str">
        <f t="shared" si="93"/>
        <v/>
      </c>
    </row>
    <row r="5950" spans="15:15" x14ac:dyDescent="0.3">
      <c r="O5950" t="str">
        <f t="shared" si="93"/>
        <v/>
      </c>
    </row>
    <row r="5951" spans="15:15" x14ac:dyDescent="0.3">
      <c r="O5951" t="str">
        <f t="shared" si="93"/>
        <v/>
      </c>
    </row>
    <row r="5952" spans="15:15" x14ac:dyDescent="0.3">
      <c r="O5952" t="str">
        <f t="shared" si="93"/>
        <v/>
      </c>
    </row>
    <row r="5953" spans="15:15" x14ac:dyDescent="0.3">
      <c r="O5953" t="str">
        <f t="shared" si="93"/>
        <v/>
      </c>
    </row>
    <row r="5954" spans="15:15" x14ac:dyDescent="0.3">
      <c r="O5954" t="str">
        <f t="shared" si="93"/>
        <v/>
      </c>
    </row>
    <row r="5955" spans="15:15" x14ac:dyDescent="0.3">
      <c r="O5955" t="str">
        <f t="shared" si="93"/>
        <v/>
      </c>
    </row>
    <row r="5956" spans="15:15" x14ac:dyDescent="0.3">
      <c r="O5956" t="str">
        <f t="shared" si="93"/>
        <v/>
      </c>
    </row>
    <row r="5957" spans="15:15" x14ac:dyDescent="0.3">
      <c r="O5957" t="str">
        <f t="shared" si="93"/>
        <v/>
      </c>
    </row>
    <row r="5958" spans="15:15" x14ac:dyDescent="0.3">
      <c r="O5958" t="str">
        <f t="shared" si="93"/>
        <v/>
      </c>
    </row>
    <row r="5959" spans="15:15" x14ac:dyDescent="0.3">
      <c r="O5959" t="str">
        <f t="shared" si="93"/>
        <v/>
      </c>
    </row>
    <row r="5960" spans="15:15" x14ac:dyDescent="0.3">
      <c r="O5960" t="str">
        <f t="shared" si="93"/>
        <v/>
      </c>
    </row>
    <row r="5961" spans="15:15" x14ac:dyDescent="0.3">
      <c r="O5961" t="str">
        <f t="shared" si="93"/>
        <v/>
      </c>
    </row>
    <row r="5962" spans="15:15" x14ac:dyDescent="0.3">
      <c r="O5962" t="str">
        <f t="shared" ref="O5962:O6025" si="94">IF(P5962="","",O5961+1)</f>
        <v/>
      </c>
    </row>
    <row r="5963" spans="15:15" x14ac:dyDescent="0.3">
      <c r="O5963" t="str">
        <f t="shared" si="94"/>
        <v/>
      </c>
    </row>
    <row r="5964" spans="15:15" x14ac:dyDescent="0.3">
      <c r="O5964" t="str">
        <f t="shared" si="94"/>
        <v/>
      </c>
    </row>
    <row r="5965" spans="15:15" x14ac:dyDescent="0.3">
      <c r="O5965" t="str">
        <f t="shared" si="94"/>
        <v/>
      </c>
    </row>
    <row r="5966" spans="15:15" x14ac:dyDescent="0.3">
      <c r="O5966" t="str">
        <f t="shared" si="94"/>
        <v/>
      </c>
    </row>
    <row r="5967" spans="15:15" x14ac:dyDescent="0.3">
      <c r="O5967" t="str">
        <f t="shared" si="94"/>
        <v/>
      </c>
    </row>
    <row r="5968" spans="15:15" x14ac:dyDescent="0.3">
      <c r="O5968" t="str">
        <f t="shared" si="94"/>
        <v/>
      </c>
    </row>
    <row r="5969" spans="15:15" x14ac:dyDescent="0.3">
      <c r="O5969" t="str">
        <f t="shared" si="94"/>
        <v/>
      </c>
    </row>
    <row r="5970" spans="15:15" x14ac:dyDescent="0.3">
      <c r="O5970" t="str">
        <f t="shared" si="94"/>
        <v/>
      </c>
    </row>
    <row r="5971" spans="15:15" x14ac:dyDescent="0.3">
      <c r="O5971" t="str">
        <f t="shared" si="94"/>
        <v/>
      </c>
    </row>
    <row r="5972" spans="15:15" x14ac:dyDescent="0.3">
      <c r="O5972" t="str">
        <f t="shared" si="94"/>
        <v/>
      </c>
    </row>
    <row r="5973" spans="15:15" x14ac:dyDescent="0.3">
      <c r="O5973" t="str">
        <f t="shared" si="94"/>
        <v/>
      </c>
    </row>
    <row r="5974" spans="15:15" x14ac:dyDescent="0.3">
      <c r="O5974" t="str">
        <f t="shared" si="94"/>
        <v/>
      </c>
    </row>
    <row r="5975" spans="15:15" x14ac:dyDescent="0.3">
      <c r="O5975" t="str">
        <f t="shared" si="94"/>
        <v/>
      </c>
    </row>
    <row r="5976" spans="15:15" x14ac:dyDescent="0.3">
      <c r="O5976" t="str">
        <f t="shared" si="94"/>
        <v/>
      </c>
    </row>
    <row r="5977" spans="15:15" x14ac:dyDescent="0.3">
      <c r="O5977" t="str">
        <f t="shared" si="94"/>
        <v/>
      </c>
    </row>
    <row r="5978" spans="15:15" x14ac:dyDescent="0.3">
      <c r="O5978" t="str">
        <f t="shared" si="94"/>
        <v/>
      </c>
    </row>
    <row r="5979" spans="15:15" x14ac:dyDescent="0.3">
      <c r="O5979" t="str">
        <f t="shared" si="94"/>
        <v/>
      </c>
    </row>
    <row r="5980" spans="15:15" x14ac:dyDescent="0.3">
      <c r="O5980" t="str">
        <f t="shared" si="94"/>
        <v/>
      </c>
    </row>
    <row r="5981" spans="15:15" x14ac:dyDescent="0.3">
      <c r="O5981" t="str">
        <f t="shared" si="94"/>
        <v/>
      </c>
    </row>
    <row r="5982" spans="15:15" x14ac:dyDescent="0.3">
      <c r="O5982" t="str">
        <f t="shared" si="94"/>
        <v/>
      </c>
    </row>
    <row r="5983" spans="15:15" x14ac:dyDescent="0.3">
      <c r="O5983" t="str">
        <f t="shared" si="94"/>
        <v/>
      </c>
    </row>
    <row r="5984" spans="15:15" x14ac:dyDescent="0.3">
      <c r="O5984" t="str">
        <f t="shared" si="94"/>
        <v/>
      </c>
    </row>
    <row r="5985" spans="15:15" x14ac:dyDescent="0.3">
      <c r="O5985" t="str">
        <f t="shared" si="94"/>
        <v/>
      </c>
    </row>
    <row r="5986" spans="15:15" x14ac:dyDescent="0.3">
      <c r="O5986" t="str">
        <f t="shared" si="94"/>
        <v/>
      </c>
    </row>
    <row r="5987" spans="15:15" x14ac:dyDescent="0.3">
      <c r="O5987" t="str">
        <f t="shared" si="94"/>
        <v/>
      </c>
    </row>
    <row r="5988" spans="15:15" x14ac:dyDescent="0.3">
      <c r="O5988" t="str">
        <f t="shared" si="94"/>
        <v/>
      </c>
    </row>
    <row r="5989" spans="15:15" x14ac:dyDescent="0.3">
      <c r="O5989" t="str">
        <f t="shared" si="94"/>
        <v/>
      </c>
    </row>
    <row r="5990" spans="15:15" x14ac:dyDescent="0.3">
      <c r="O5990" t="str">
        <f t="shared" si="94"/>
        <v/>
      </c>
    </row>
    <row r="5991" spans="15:15" x14ac:dyDescent="0.3">
      <c r="O5991" t="str">
        <f t="shared" si="94"/>
        <v/>
      </c>
    </row>
    <row r="5992" spans="15:15" x14ac:dyDescent="0.3">
      <c r="O5992" t="str">
        <f t="shared" si="94"/>
        <v/>
      </c>
    </row>
    <row r="5993" spans="15:15" x14ac:dyDescent="0.3">
      <c r="O5993" t="str">
        <f t="shared" si="94"/>
        <v/>
      </c>
    </row>
    <row r="5994" spans="15:15" x14ac:dyDescent="0.3">
      <c r="O5994" t="str">
        <f t="shared" si="94"/>
        <v/>
      </c>
    </row>
    <row r="5995" spans="15:15" x14ac:dyDescent="0.3">
      <c r="O5995" t="str">
        <f t="shared" si="94"/>
        <v/>
      </c>
    </row>
    <row r="5996" spans="15:15" x14ac:dyDescent="0.3">
      <c r="O5996" t="str">
        <f t="shared" si="94"/>
        <v/>
      </c>
    </row>
    <row r="5997" spans="15:15" x14ac:dyDescent="0.3">
      <c r="O5997" t="str">
        <f t="shared" si="94"/>
        <v/>
      </c>
    </row>
    <row r="5998" spans="15:15" x14ac:dyDescent="0.3">
      <c r="O5998" t="str">
        <f t="shared" si="94"/>
        <v/>
      </c>
    </row>
    <row r="5999" spans="15:15" x14ac:dyDescent="0.3">
      <c r="O5999" t="str">
        <f t="shared" si="94"/>
        <v/>
      </c>
    </row>
    <row r="6000" spans="15:15" x14ac:dyDescent="0.3">
      <c r="O6000" t="str">
        <f t="shared" si="94"/>
        <v/>
      </c>
    </row>
    <row r="6001" spans="15:15" x14ac:dyDescent="0.3">
      <c r="O6001" t="str">
        <f t="shared" si="94"/>
        <v/>
      </c>
    </row>
    <row r="6002" spans="15:15" x14ac:dyDescent="0.3">
      <c r="O6002" t="str">
        <f t="shared" si="94"/>
        <v/>
      </c>
    </row>
    <row r="6003" spans="15:15" x14ac:dyDescent="0.3">
      <c r="O6003" t="str">
        <f t="shared" si="94"/>
        <v/>
      </c>
    </row>
    <row r="6004" spans="15:15" x14ac:dyDescent="0.3">
      <c r="O6004" t="str">
        <f t="shared" si="94"/>
        <v/>
      </c>
    </row>
    <row r="6005" spans="15:15" x14ac:dyDescent="0.3">
      <c r="O6005" t="str">
        <f t="shared" si="94"/>
        <v/>
      </c>
    </row>
    <row r="6006" spans="15:15" x14ac:dyDescent="0.3">
      <c r="O6006" t="str">
        <f t="shared" si="94"/>
        <v/>
      </c>
    </row>
    <row r="6007" spans="15:15" x14ac:dyDescent="0.3">
      <c r="O6007" t="str">
        <f t="shared" si="94"/>
        <v/>
      </c>
    </row>
    <row r="6008" spans="15:15" x14ac:dyDescent="0.3">
      <c r="O6008" t="str">
        <f t="shared" si="94"/>
        <v/>
      </c>
    </row>
    <row r="6009" spans="15:15" x14ac:dyDescent="0.3">
      <c r="O6009" t="str">
        <f t="shared" si="94"/>
        <v/>
      </c>
    </row>
    <row r="6010" spans="15:15" x14ac:dyDescent="0.3">
      <c r="O6010" t="str">
        <f t="shared" si="94"/>
        <v/>
      </c>
    </row>
    <row r="6011" spans="15:15" x14ac:dyDescent="0.3">
      <c r="O6011" t="str">
        <f t="shared" si="94"/>
        <v/>
      </c>
    </row>
    <row r="6012" spans="15:15" x14ac:dyDescent="0.3">
      <c r="O6012" t="str">
        <f t="shared" si="94"/>
        <v/>
      </c>
    </row>
    <row r="6013" spans="15:15" x14ac:dyDescent="0.3">
      <c r="O6013" t="str">
        <f t="shared" si="94"/>
        <v/>
      </c>
    </row>
    <row r="6014" spans="15:15" x14ac:dyDescent="0.3">
      <c r="O6014" t="str">
        <f t="shared" si="94"/>
        <v/>
      </c>
    </row>
    <row r="6015" spans="15:15" x14ac:dyDescent="0.3">
      <c r="O6015" t="str">
        <f t="shared" si="94"/>
        <v/>
      </c>
    </row>
    <row r="6016" spans="15:15" x14ac:dyDescent="0.3">
      <c r="O6016" t="str">
        <f t="shared" si="94"/>
        <v/>
      </c>
    </row>
    <row r="6017" spans="15:15" x14ac:dyDescent="0.3">
      <c r="O6017" t="str">
        <f t="shared" si="94"/>
        <v/>
      </c>
    </row>
    <row r="6018" spans="15:15" x14ac:dyDescent="0.3">
      <c r="O6018" t="str">
        <f t="shared" si="94"/>
        <v/>
      </c>
    </row>
    <row r="6019" spans="15:15" x14ac:dyDescent="0.3">
      <c r="O6019" t="str">
        <f t="shared" si="94"/>
        <v/>
      </c>
    </row>
    <row r="6020" spans="15:15" x14ac:dyDescent="0.3">
      <c r="O6020" t="str">
        <f t="shared" si="94"/>
        <v/>
      </c>
    </row>
    <row r="6021" spans="15:15" x14ac:dyDescent="0.3">
      <c r="O6021" t="str">
        <f t="shared" si="94"/>
        <v/>
      </c>
    </row>
    <row r="6022" spans="15:15" x14ac:dyDescent="0.3">
      <c r="O6022" t="str">
        <f t="shared" si="94"/>
        <v/>
      </c>
    </row>
    <row r="6023" spans="15:15" x14ac:dyDescent="0.3">
      <c r="O6023" t="str">
        <f t="shared" si="94"/>
        <v/>
      </c>
    </row>
    <row r="6024" spans="15:15" x14ac:dyDescent="0.3">
      <c r="O6024" t="str">
        <f t="shared" si="94"/>
        <v/>
      </c>
    </row>
    <row r="6025" spans="15:15" x14ac:dyDescent="0.3">
      <c r="O6025" t="str">
        <f t="shared" si="94"/>
        <v/>
      </c>
    </row>
    <row r="6026" spans="15:15" x14ac:dyDescent="0.3">
      <c r="O6026" t="str">
        <f t="shared" ref="O6026:O6089" si="95">IF(P6026="","",O6025+1)</f>
        <v/>
      </c>
    </row>
    <row r="6027" spans="15:15" x14ac:dyDescent="0.3">
      <c r="O6027" t="str">
        <f t="shared" si="95"/>
        <v/>
      </c>
    </row>
    <row r="6028" spans="15:15" x14ac:dyDescent="0.3">
      <c r="O6028" t="str">
        <f t="shared" si="95"/>
        <v/>
      </c>
    </row>
    <row r="6029" spans="15:15" x14ac:dyDescent="0.3">
      <c r="O6029" t="str">
        <f t="shared" si="95"/>
        <v/>
      </c>
    </row>
    <row r="6030" spans="15:15" x14ac:dyDescent="0.3">
      <c r="O6030" t="str">
        <f t="shared" si="95"/>
        <v/>
      </c>
    </row>
    <row r="6031" spans="15:15" x14ac:dyDescent="0.3">
      <c r="O6031" t="str">
        <f t="shared" si="95"/>
        <v/>
      </c>
    </row>
    <row r="6032" spans="15:15" x14ac:dyDescent="0.3">
      <c r="O6032" t="str">
        <f t="shared" si="95"/>
        <v/>
      </c>
    </row>
    <row r="6033" spans="15:15" x14ac:dyDescent="0.3">
      <c r="O6033" t="str">
        <f t="shared" si="95"/>
        <v/>
      </c>
    </row>
    <row r="6034" spans="15:15" x14ac:dyDescent="0.3">
      <c r="O6034" t="str">
        <f t="shared" si="95"/>
        <v/>
      </c>
    </row>
    <row r="6035" spans="15:15" x14ac:dyDescent="0.3">
      <c r="O6035" t="str">
        <f t="shared" si="95"/>
        <v/>
      </c>
    </row>
    <row r="6036" spans="15:15" x14ac:dyDescent="0.3">
      <c r="O6036" t="str">
        <f t="shared" si="95"/>
        <v/>
      </c>
    </row>
    <row r="6037" spans="15:15" x14ac:dyDescent="0.3">
      <c r="O6037" t="str">
        <f t="shared" si="95"/>
        <v/>
      </c>
    </row>
    <row r="6038" spans="15:15" x14ac:dyDescent="0.3">
      <c r="O6038" t="str">
        <f t="shared" si="95"/>
        <v/>
      </c>
    </row>
    <row r="6039" spans="15:15" x14ac:dyDescent="0.3">
      <c r="O6039" t="str">
        <f t="shared" si="95"/>
        <v/>
      </c>
    </row>
    <row r="6040" spans="15:15" x14ac:dyDescent="0.3">
      <c r="O6040" t="str">
        <f t="shared" si="95"/>
        <v/>
      </c>
    </row>
    <row r="6041" spans="15:15" x14ac:dyDescent="0.3">
      <c r="O6041" t="str">
        <f t="shared" si="95"/>
        <v/>
      </c>
    </row>
    <row r="6042" spans="15:15" x14ac:dyDescent="0.3">
      <c r="O6042" t="str">
        <f t="shared" si="95"/>
        <v/>
      </c>
    </row>
    <row r="6043" spans="15:15" x14ac:dyDescent="0.3">
      <c r="O6043" t="str">
        <f t="shared" si="95"/>
        <v/>
      </c>
    </row>
    <row r="6044" spans="15:15" x14ac:dyDescent="0.3">
      <c r="O6044" t="str">
        <f t="shared" si="95"/>
        <v/>
      </c>
    </row>
    <row r="6045" spans="15:15" x14ac:dyDescent="0.3">
      <c r="O6045" t="str">
        <f t="shared" si="95"/>
        <v/>
      </c>
    </row>
    <row r="6046" spans="15:15" x14ac:dyDescent="0.3">
      <c r="O6046" t="str">
        <f t="shared" si="95"/>
        <v/>
      </c>
    </row>
    <row r="6047" spans="15:15" x14ac:dyDescent="0.3">
      <c r="O6047" t="str">
        <f t="shared" si="95"/>
        <v/>
      </c>
    </row>
    <row r="6048" spans="15:15" x14ac:dyDescent="0.3">
      <c r="O6048" t="str">
        <f t="shared" si="95"/>
        <v/>
      </c>
    </row>
    <row r="6049" spans="15:15" x14ac:dyDescent="0.3">
      <c r="O6049" t="str">
        <f t="shared" si="95"/>
        <v/>
      </c>
    </row>
    <row r="6050" spans="15:15" x14ac:dyDescent="0.3">
      <c r="O6050" t="str">
        <f t="shared" si="95"/>
        <v/>
      </c>
    </row>
    <row r="6051" spans="15:15" x14ac:dyDescent="0.3">
      <c r="O6051" t="str">
        <f t="shared" si="95"/>
        <v/>
      </c>
    </row>
    <row r="6052" spans="15:15" x14ac:dyDescent="0.3">
      <c r="O6052" t="str">
        <f t="shared" si="95"/>
        <v/>
      </c>
    </row>
    <row r="6053" spans="15:15" x14ac:dyDescent="0.3">
      <c r="O6053" t="str">
        <f t="shared" si="95"/>
        <v/>
      </c>
    </row>
    <row r="6054" spans="15:15" x14ac:dyDescent="0.3">
      <c r="O6054" t="str">
        <f t="shared" si="95"/>
        <v/>
      </c>
    </row>
    <row r="6055" spans="15:15" x14ac:dyDescent="0.3">
      <c r="O6055" t="str">
        <f t="shared" si="95"/>
        <v/>
      </c>
    </row>
    <row r="6056" spans="15:15" x14ac:dyDescent="0.3">
      <c r="O6056" t="str">
        <f t="shared" si="95"/>
        <v/>
      </c>
    </row>
    <row r="6057" spans="15:15" x14ac:dyDescent="0.3">
      <c r="O6057" t="str">
        <f t="shared" si="95"/>
        <v/>
      </c>
    </row>
    <row r="6058" spans="15:15" x14ac:dyDescent="0.3">
      <c r="O6058" t="str">
        <f t="shared" si="95"/>
        <v/>
      </c>
    </row>
    <row r="6059" spans="15:15" x14ac:dyDescent="0.3">
      <c r="O6059" t="str">
        <f t="shared" si="95"/>
        <v/>
      </c>
    </row>
    <row r="6060" spans="15:15" x14ac:dyDescent="0.3">
      <c r="O6060" t="str">
        <f t="shared" si="95"/>
        <v/>
      </c>
    </row>
    <row r="6061" spans="15:15" x14ac:dyDescent="0.3">
      <c r="O6061" t="str">
        <f t="shared" si="95"/>
        <v/>
      </c>
    </row>
    <row r="6062" spans="15:15" x14ac:dyDescent="0.3">
      <c r="O6062" t="str">
        <f t="shared" si="95"/>
        <v/>
      </c>
    </row>
    <row r="6063" spans="15:15" x14ac:dyDescent="0.3">
      <c r="O6063" t="str">
        <f t="shared" si="95"/>
        <v/>
      </c>
    </row>
    <row r="6064" spans="15:15" x14ac:dyDescent="0.3">
      <c r="O6064" t="str">
        <f t="shared" si="95"/>
        <v/>
      </c>
    </row>
    <row r="6065" spans="15:15" x14ac:dyDescent="0.3">
      <c r="O6065" t="str">
        <f t="shared" si="95"/>
        <v/>
      </c>
    </row>
    <row r="6066" spans="15:15" x14ac:dyDescent="0.3">
      <c r="O6066" t="str">
        <f t="shared" si="95"/>
        <v/>
      </c>
    </row>
    <row r="6067" spans="15:15" x14ac:dyDescent="0.3">
      <c r="O6067" t="str">
        <f t="shared" si="95"/>
        <v/>
      </c>
    </row>
    <row r="6068" spans="15:15" x14ac:dyDescent="0.3">
      <c r="O6068" t="str">
        <f t="shared" si="95"/>
        <v/>
      </c>
    </row>
    <row r="6069" spans="15:15" x14ac:dyDescent="0.3">
      <c r="O6069" t="str">
        <f t="shared" si="95"/>
        <v/>
      </c>
    </row>
    <row r="6070" spans="15:15" x14ac:dyDescent="0.3">
      <c r="O6070" t="str">
        <f t="shared" si="95"/>
        <v/>
      </c>
    </row>
    <row r="6071" spans="15:15" x14ac:dyDescent="0.3">
      <c r="O6071" t="str">
        <f t="shared" si="95"/>
        <v/>
      </c>
    </row>
    <row r="6072" spans="15:15" x14ac:dyDescent="0.3">
      <c r="O6072" t="str">
        <f t="shared" si="95"/>
        <v/>
      </c>
    </row>
    <row r="6073" spans="15:15" x14ac:dyDescent="0.3">
      <c r="O6073" t="str">
        <f t="shared" si="95"/>
        <v/>
      </c>
    </row>
    <row r="6074" spans="15:15" x14ac:dyDescent="0.3">
      <c r="O6074" t="str">
        <f t="shared" si="95"/>
        <v/>
      </c>
    </row>
    <row r="6075" spans="15:15" x14ac:dyDescent="0.3">
      <c r="O6075" t="str">
        <f t="shared" si="95"/>
        <v/>
      </c>
    </row>
    <row r="6076" spans="15:15" x14ac:dyDescent="0.3">
      <c r="O6076" t="str">
        <f t="shared" si="95"/>
        <v/>
      </c>
    </row>
    <row r="6077" spans="15:15" x14ac:dyDescent="0.3">
      <c r="O6077" t="str">
        <f t="shared" si="95"/>
        <v/>
      </c>
    </row>
    <row r="6078" spans="15:15" x14ac:dyDescent="0.3">
      <c r="O6078" t="str">
        <f t="shared" si="95"/>
        <v/>
      </c>
    </row>
    <row r="6079" spans="15:15" x14ac:dyDescent="0.3">
      <c r="O6079" t="str">
        <f t="shared" si="95"/>
        <v/>
      </c>
    </row>
    <row r="6080" spans="15:15" x14ac:dyDescent="0.3">
      <c r="O6080" t="str">
        <f t="shared" si="95"/>
        <v/>
      </c>
    </row>
    <row r="6081" spans="15:15" x14ac:dyDescent="0.3">
      <c r="O6081" t="str">
        <f t="shared" si="95"/>
        <v/>
      </c>
    </row>
    <row r="6082" spans="15:15" x14ac:dyDescent="0.3">
      <c r="O6082" t="str">
        <f t="shared" si="95"/>
        <v/>
      </c>
    </row>
    <row r="6083" spans="15:15" x14ac:dyDescent="0.3">
      <c r="O6083" t="str">
        <f t="shared" si="95"/>
        <v/>
      </c>
    </row>
    <row r="6084" spans="15:15" x14ac:dyDescent="0.3">
      <c r="O6084" t="str">
        <f t="shared" si="95"/>
        <v/>
      </c>
    </row>
    <row r="6085" spans="15:15" x14ac:dyDescent="0.3">
      <c r="O6085" t="str">
        <f t="shared" si="95"/>
        <v/>
      </c>
    </row>
    <row r="6086" spans="15:15" x14ac:dyDescent="0.3">
      <c r="O6086" t="str">
        <f t="shared" si="95"/>
        <v/>
      </c>
    </row>
    <row r="6087" spans="15:15" x14ac:dyDescent="0.3">
      <c r="O6087" t="str">
        <f t="shared" si="95"/>
        <v/>
      </c>
    </row>
    <row r="6088" spans="15:15" x14ac:dyDescent="0.3">
      <c r="O6088" t="str">
        <f t="shared" si="95"/>
        <v/>
      </c>
    </row>
    <row r="6089" spans="15:15" x14ac:dyDescent="0.3">
      <c r="O6089" t="str">
        <f t="shared" si="95"/>
        <v/>
      </c>
    </row>
    <row r="6090" spans="15:15" x14ac:dyDescent="0.3">
      <c r="O6090" t="str">
        <f t="shared" ref="O6090:O6153" si="96">IF(P6090="","",O6089+1)</f>
        <v/>
      </c>
    </row>
    <row r="6091" spans="15:15" x14ac:dyDescent="0.3">
      <c r="O6091" t="str">
        <f t="shared" si="96"/>
        <v/>
      </c>
    </row>
    <row r="6092" spans="15:15" x14ac:dyDescent="0.3">
      <c r="O6092" t="str">
        <f t="shared" si="96"/>
        <v/>
      </c>
    </row>
    <row r="6093" spans="15:15" x14ac:dyDescent="0.3">
      <c r="O6093" t="str">
        <f t="shared" si="96"/>
        <v/>
      </c>
    </row>
    <row r="6094" spans="15:15" x14ac:dyDescent="0.3">
      <c r="O6094" t="str">
        <f t="shared" si="96"/>
        <v/>
      </c>
    </row>
    <row r="6095" spans="15:15" x14ac:dyDescent="0.3">
      <c r="O6095" t="str">
        <f t="shared" si="96"/>
        <v/>
      </c>
    </row>
    <row r="6096" spans="15:15" x14ac:dyDescent="0.3">
      <c r="O6096" t="str">
        <f t="shared" si="96"/>
        <v/>
      </c>
    </row>
    <row r="6097" spans="15:15" x14ac:dyDescent="0.3">
      <c r="O6097" t="str">
        <f t="shared" si="96"/>
        <v/>
      </c>
    </row>
    <row r="6098" spans="15:15" x14ac:dyDescent="0.3">
      <c r="O6098" t="str">
        <f t="shared" si="96"/>
        <v/>
      </c>
    </row>
    <row r="6099" spans="15:15" x14ac:dyDescent="0.3">
      <c r="O6099" t="str">
        <f t="shared" si="96"/>
        <v/>
      </c>
    </row>
    <row r="6100" spans="15:15" x14ac:dyDescent="0.3">
      <c r="O6100" t="str">
        <f t="shared" si="96"/>
        <v/>
      </c>
    </row>
    <row r="6101" spans="15:15" x14ac:dyDescent="0.3">
      <c r="O6101" t="str">
        <f t="shared" si="96"/>
        <v/>
      </c>
    </row>
    <row r="6102" spans="15:15" x14ac:dyDescent="0.3">
      <c r="O6102" t="str">
        <f t="shared" si="96"/>
        <v/>
      </c>
    </row>
    <row r="6103" spans="15:15" x14ac:dyDescent="0.3">
      <c r="O6103" t="str">
        <f t="shared" si="96"/>
        <v/>
      </c>
    </row>
    <row r="6104" spans="15:15" x14ac:dyDescent="0.3">
      <c r="O6104" t="str">
        <f t="shared" si="96"/>
        <v/>
      </c>
    </row>
    <row r="6105" spans="15:15" x14ac:dyDescent="0.3">
      <c r="O6105" t="str">
        <f t="shared" si="96"/>
        <v/>
      </c>
    </row>
    <row r="6106" spans="15:15" x14ac:dyDescent="0.3">
      <c r="O6106" t="str">
        <f t="shared" si="96"/>
        <v/>
      </c>
    </row>
    <row r="6107" spans="15:15" x14ac:dyDescent="0.3">
      <c r="O6107" t="str">
        <f t="shared" si="96"/>
        <v/>
      </c>
    </row>
    <row r="6108" spans="15:15" x14ac:dyDescent="0.3">
      <c r="O6108" t="str">
        <f t="shared" si="96"/>
        <v/>
      </c>
    </row>
    <row r="6109" spans="15:15" x14ac:dyDescent="0.3">
      <c r="O6109" t="str">
        <f t="shared" si="96"/>
        <v/>
      </c>
    </row>
    <row r="6110" spans="15:15" x14ac:dyDescent="0.3">
      <c r="O6110" t="str">
        <f t="shared" si="96"/>
        <v/>
      </c>
    </row>
    <row r="6111" spans="15:15" x14ac:dyDescent="0.3">
      <c r="O6111" t="str">
        <f t="shared" si="96"/>
        <v/>
      </c>
    </row>
    <row r="6112" spans="15:15" x14ac:dyDescent="0.3">
      <c r="O6112" t="str">
        <f t="shared" si="96"/>
        <v/>
      </c>
    </row>
    <row r="6113" spans="15:15" x14ac:dyDescent="0.3">
      <c r="O6113" t="str">
        <f t="shared" si="96"/>
        <v/>
      </c>
    </row>
    <row r="6114" spans="15:15" x14ac:dyDescent="0.3">
      <c r="O6114" t="str">
        <f t="shared" si="96"/>
        <v/>
      </c>
    </row>
    <row r="6115" spans="15:15" x14ac:dyDescent="0.3">
      <c r="O6115" t="str">
        <f t="shared" si="96"/>
        <v/>
      </c>
    </row>
    <row r="6116" spans="15:15" x14ac:dyDescent="0.3">
      <c r="O6116" t="str">
        <f t="shared" si="96"/>
        <v/>
      </c>
    </row>
    <row r="6117" spans="15:15" x14ac:dyDescent="0.3">
      <c r="O6117" t="str">
        <f t="shared" si="96"/>
        <v/>
      </c>
    </row>
    <row r="6118" spans="15:15" x14ac:dyDescent="0.3">
      <c r="O6118" t="str">
        <f t="shared" si="96"/>
        <v/>
      </c>
    </row>
    <row r="6119" spans="15:15" x14ac:dyDescent="0.3">
      <c r="O6119" t="str">
        <f t="shared" si="96"/>
        <v/>
      </c>
    </row>
    <row r="6120" spans="15:15" x14ac:dyDescent="0.3">
      <c r="O6120" t="str">
        <f t="shared" si="96"/>
        <v/>
      </c>
    </row>
    <row r="6121" spans="15:15" x14ac:dyDescent="0.3">
      <c r="O6121" t="str">
        <f t="shared" si="96"/>
        <v/>
      </c>
    </row>
    <row r="6122" spans="15:15" x14ac:dyDescent="0.3">
      <c r="O6122" t="str">
        <f t="shared" si="96"/>
        <v/>
      </c>
    </row>
    <row r="6123" spans="15:15" x14ac:dyDescent="0.3">
      <c r="O6123" t="str">
        <f t="shared" si="96"/>
        <v/>
      </c>
    </row>
    <row r="6124" spans="15:15" x14ac:dyDescent="0.3">
      <c r="O6124" t="str">
        <f t="shared" si="96"/>
        <v/>
      </c>
    </row>
    <row r="6125" spans="15:15" x14ac:dyDescent="0.3">
      <c r="O6125" t="str">
        <f t="shared" si="96"/>
        <v/>
      </c>
    </row>
    <row r="6126" spans="15:15" x14ac:dyDescent="0.3">
      <c r="O6126" t="str">
        <f t="shared" si="96"/>
        <v/>
      </c>
    </row>
    <row r="6127" spans="15:15" x14ac:dyDescent="0.3">
      <c r="O6127" t="str">
        <f t="shared" si="96"/>
        <v/>
      </c>
    </row>
    <row r="6128" spans="15:15" x14ac:dyDescent="0.3">
      <c r="O6128" t="str">
        <f t="shared" si="96"/>
        <v/>
      </c>
    </row>
    <row r="6129" spans="15:15" x14ac:dyDescent="0.3">
      <c r="O6129" t="str">
        <f t="shared" si="96"/>
        <v/>
      </c>
    </row>
    <row r="6130" spans="15:15" x14ac:dyDescent="0.3">
      <c r="O6130" t="str">
        <f t="shared" si="96"/>
        <v/>
      </c>
    </row>
    <row r="6131" spans="15:15" x14ac:dyDescent="0.3">
      <c r="O6131" t="str">
        <f t="shared" si="96"/>
        <v/>
      </c>
    </row>
    <row r="6132" spans="15:15" x14ac:dyDescent="0.3">
      <c r="O6132" t="str">
        <f t="shared" si="96"/>
        <v/>
      </c>
    </row>
    <row r="6133" spans="15:15" x14ac:dyDescent="0.3">
      <c r="O6133" t="str">
        <f t="shared" si="96"/>
        <v/>
      </c>
    </row>
    <row r="6134" spans="15:15" x14ac:dyDescent="0.3">
      <c r="O6134" t="str">
        <f t="shared" si="96"/>
        <v/>
      </c>
    </row>
    <row r="6135" spans="15:15" x14ac:dyDescent="0.3">
      <c r="O6135" t="str">
        <f t="shared" si="96"/>
        <v/>
      </c>
    </row>
    <row r="6136" spans="15:15" x14ac:dyDescent="0.3">
      <c r="O6136" t="str">
        <f t="shared" si="96"/>
        <v/>
      </c>
    </row>
    <row r="6137" spans="15:15" x14ac:dyDescent="0.3">
      <c r="O6137" t="str">
        <f t="shared" si="96"/>
        <v/>
      </c>
    </row>
    <row r="6138" spans="15:15" x14ac:dyDescent="0.3">
      <c r="O6138" t="str">
        <f t="shared" si="96"/>
        <v/>
      </c>
    </row>
    <row r="6139" spans="15:15" x14ac:dyDescent="0.3">
      <c r="O6139" t="str">
        <f t="shared" si="96"/>
        <v/>
      </c>
    </row>
    <row r="6140" spans="15:15" x14ac:dyDescent="0.3">
      <c r="O6140" t="str">
        <f t="shared" si="96"/>
        <v/>
      </c>
    </row>
    <row r="6141" spans="15:15" x14ac:dyDescent="0.3">
      <c r="O6141" t="str">
        <f t="shared" si="96"/>
        <v/>
      </c>
    </row>
    <row r="6142" spans="15:15" x14ac:dyDescent="0.3">
      <c r="O6142" t="str">
        <f t="shared" si="96"/>
        <v/>
      </c>
    </row>
    <row r="6143" spans="15:15" x14ac:dyDescent="0.3">
      <c r="O6143" t="str">
        <f t="shared" si="96"/>
        <v/>
      </c>
    </row>
    <row r="6144" spans="15:15" x14ac:dyDescent="0.3">
      <c r="O6144" t="str">
        <f t="shared" si="96"/>
        <v/>
      </c>
    </row>
    <row r="6145" spans="15:15" x14ac:dyDescent="0.3">
      <c r="O6145" t="str">
        <f t="shared" si="96"/>
        <v/>
      </c>
    </row>
    <row r="6146" spans="15:15" x14ac:dyDescent="0.3">
      <c r="O6146" t="str">
        <f t="shared" si="96"/>
        <v/>
      </c>
    </row>
    <row r="6147" spans="15:15" x14ac:dyDescent="0.3">
      <c r="O6147" t="str">
        <f t="shared" si="96"/>
        <v/>
      </c>
    </row>
    <row r="6148" spans="15:15" x14ac:dyDescent="0.3">
      <c r="O6148" t="str">
        <f t="shared" si="96"/>
        <v/>
      </c>
    </row>
    <row r="6149" spans="15:15" x14ac:dyDescent="0.3">
      <c r="O6149" t="str">
        <f t="shared" si="96"/>
        <v/>
      </c>
    </row>
    <row r="6150" spans="15:15" x14ac:dyDescent="0.3">
      <c r="O6150" t="str">
        <f t="shared" si="96"/>
        <v/>
      </c>
    </row>
    <row r="6151" spans="15:15" x14ac:dyDescent="0.3">
      <c r="O6151" t="str">
        <f t="shared" si="96"/>
        <v/>
      </c>
    </row>
    <row r="6152" spans="15:15" x14ac:dyDescent="0.3">
      <c r="O6152" t="str">
        <f t="shared" si="96"/>
        <v/>
      </c>
    </row>
    <row r="6153" spans="15:15" x14ac:dyDescent="0.3">
      <c r="O6153" t="str">
        <f t="shared" si="96"/>
        <v/>
      </c>
    </row>
    <row r="6154" spans="15:15" x14ac:dyDescent="0.3">
      <c r="O6154" t="str">
        <f t="shared" ref="O6154:O6217" si="97">IF(P6154="","",O6153+1)</f>
        <v/>
      </c>
    </row>
    <row r="6155" spans="15:15" x14ac:dyDescent="0.3">
      <c r="O6155" t="str">
        <f t="shared" si="97"/>
        <v/>
      </c>
    </row>
    <row r="6156" spans="15:15" x14ac:dyDescent="0.3">
      <c r="O6156" t="str">
        <f t="shared" si="97"/>
        <v/>
      </c>
    </row>
    <row r="6157" spans="15:15" x14ac:dyDescent="0.3">
      <c r="O6157" t="str">
        <f t="shared" si="97"/>
        <v/>
      </c>
    </row>
    <row r="6158" spans="15:15" x14ac:dyDescent="0.3">
      <c r="O6158" t="str">
        <f t="shared" si="97"/>
        <v/>
      </c>
    </row>
    <row r="6159" spans="15:15" x14ac:dyDescent="0.3">
      <c r="O6159" t="str">
        <f t="shared" si="97"/>
        <v/>
      </c>
    </row>
    <row r="6160" spans="15:15" x14ac:dyDescent="0.3">
      <c r="O6160" t="str">
        <f t="shared" si="97"/>
        <v/>
      </c>
    </row>
    <row r="6161" spans="15:15" x14ac:dyDescent="0.3">
      <c r="O6161" t="str">
        <f t="shared" si="97"/>
        <v/>
      </c>
    </row>
    <row r="6162" spans="15:15" x14ac:dyDescent="0.3">
      <c r="O6162" t="str">
        <f t="shared" si="97"/>
        <v/>
      </c>
    </row>
    <row r="6163" spans="15:15" x14ac:dyDescent="0.3">
      <c r="O6163" t="str">
        <f t="shared" si="97"/>
        <v/>
      </c>
    </row>
    <row r="6164" spans="15:15" x14ac:dyDescent="0.3">
      <c r="O6164" t="str">
        <f t="shared" si="97"/>
        <v/>
      </c>
    </row>
    <row r="6165" spans="15:15" x14ac:dyDescent="0.3">
      <c r="O6165" t="str">
        <f t="shared" si="97"/>
        <v/>
      </c>
    </row>
    <row r="6166" spans="15:15" x14ac:dyDescent="0.3">
      <c r="O6166" t="str">
        <f t="shared" si="97"/>
        <v/>
      </c>
    </row>
    <row r="6167" spans="15:15" x14ac:dyDescent="0.3">
      <c r="O6167" t="str">
        <f t="shared" si="97"/>
        <v/>
      </c>
    </row>
    <row r="6168" spans="15:15" x14ac:dyDescent="0.3">
      <c r="O6168" t="str">
        <f t="shared" si="97"/>
        <v/>
      </c>
    </row>
    <row r="6169" spans="15:15" x14ac:dyDescent="0.3">
      <c r="O6169" t="str">
        <f t="shared" si="97"/>
        <v/>
      </c>
    </row>
    <row r="6170" spans="15:15" x14ac:dyDescent="0.3">
      <c r="O6170" t="str">
        <f t="shared" si="97"/>
        <v/>
      </c>
    </row>
    <row r="6171" spans="15:15" x14ac:dyDescent="0.3">
      <c r="O6171" t="str">
        <f t="shared" si="97"/>
        <v/>
      </c>
    </row>
    <row r="6172" spans="15:15" x14ac:dyDescent="0.3">
      <c r="O6172" t="str">
        <f t="shared" si="97"/>
        <v/>
      </c>
    </row>
    <row r="6173" spans="15:15" x14ac:dyDescent="0.3">
      <c r="O6173" t="str">
        <f t="shared" si="97"/>
        <v/>
      </c>
    </row>
    <row r="6174" spans="15:15" x14ac:dyDescent="0.3">
      <c r="O6174" t="str">
        <f t="shared" si="97"/>
        <v/>
      </c>
    </row>
    <row r="6175" spans="15:15" x14ac:dyDescent="0.3">
      <c r="O6175" t="str">
        <f t="shared" si="97"/>
        <v/>
      </c>
    </row>
    <row r="6176" spans="15:15" x14ac:dyDescent="0.3">
      <c r="O6176" t="str">
        <f t="shared" si="97"/>
        <v/>
      </c>
    </row>
    <row r="6177" spans="15:15" x14ac:dyDescent="0.3">
      <c r="O6177" t="str">
        <f t="shared" si="97"/>
        <v/>
      </c>
    </row>
    <row r="6178" spans="15:15" x14ac:dyDescent="0.3">
      <c r="O6178" t="str">
        <f t="shared" si="97"/>
        <v/>
      </c>
    </row>
    <row r="6179" spans="15:15" x14ac:dyDescent="0.3">
      <c r="O6179" t="str">
        <f t="shared" si="97"/>
        <v/>
      </c>
    </row>
    <row r="6180" spans="15:15" x14ac:dyDescent="0.3">
      <c r="O6180" t="str">
        <f t="shared" si="97"/>
        <v/>
      </c>
    </row>
    <row r="6181" spans="15:15" x14ac:dyDescent="0.3">
      <c r="O6181" t="str">
        <f t="shared" si="97"/>
        <v/>
      </c>
    </row>
    <row r="6182" spans="15:15" x14ac:dyDescent="0.3">
      <c r="O6182" t="str">
        <f t="shared" si="97"/>
        <v/>
      </c>
    </row>
    <row r="6183" spans="15:15" x14ac:dyDescent="0.3">
      <c r="O6183" t="str">
        <f t="shared" si="97"/>
        <v/>
      </c>
    </row>
    <row r="6184" spans="15:15" x14ac:dyDescent="0.3">
      <c r="O6184" t="str">
        <f t="shared" si="97"/>
        <v/>
      </c>
    </row>
    <row r="6185" spans="15:15" x14ac:dyDescent="0.3">
      <c r="O6185" t="str">
        <f t="shared" si="97"/>
        <v/>
      </c>
    </row>
    <row r="6186" spans="15:15" x14ac:dyDescent="0.3">
      <c r="O6186" t="str">
        <f t="shared" si="97"/>
        <v/>
      </c>
    </row>
    <row r="6187" spans="15:15" x14ac:dyDescent="0.3">
      <c r="O6187" t="str">
        <f t="shared" si="97"/>
        <v/>
      </c>
    </row>
    <row r="6188" spans="15:15" x14ac:dyDescent="0.3">
      <c r="O6188" t="str">
        <f t="shared" si="97"/>
        <v/>
      </c>
    </row>
    <row r="6189" spans="15:15" x14ac:dyDescent="0.3">
      <c r="O6189" t="str">
        <f t="shared" si="97"/>
        <v/>
      </c>
    </row>
    <row r="6190" spans="15:15" x14ac:dyDescent="0.3">
      <c r="O6190" t="str">
        <f t="shared" si="97"/>
        <v/>
      </c>
    </row>
    <row r="6191" spans="15:15" x14ac:dyDescent="0.3">
      <c r="O6191" t="str">
        <f t="shared" si="97"/>
        <v/>
      </c>
    </row>
    <row r="6192" spans="15:15" x14ac:dyDescent="0.3">
      <c r="O6192" t="str">
        <f t="shared" si="97"/>
        <v/>
      </c>
    </row>
    <row r="6193" spans="15:15" x14ac:dyDescent="0.3">
      <c r="O6193" t="str">
        <f t="shared" si="97"/>
        <v/>
      </c>
    </row>
    <row r="6194" spans="15:15" x14ac:dyDescent="0.3">
      <c r="O6194" t="str">
        <f t="shared" si="97"/>
        <v/>
      </c>
    </row>
    <row r="6195" spans="15:15" x14ac:dyDescent="0.3">
      <c r="O6195" t="str">
        <f t="shared" si="97"/>
        <v/>
      </c>
    </row>
    <row r="6196" spans="15:15" x14ac:dyDescent="0.3">
      <c r="O6196" t="str">
        <f t="shared" si="97"/>
        <v/>
      </c>
    </row>
    <row r="6197" spans="15:15" x14ac:dyDescent="0.3">
      <c r="O6197" t="str">
        <f t="shared" si="97"/>
        <v/>
      </c>
    </row>
    <row r="6198" spans="15:15" x14ac:dyDescent="0.3">
      <c r="O6198" t="str">
        <f t="shared" si="97"/>
        <v/>
      </c>
    </row>
    <row r="6199" spans="15:15" x14ac:dyDescent="0.3">
      <c r="O6199" t="str">
        <f t="shared" si="97"/>
        <v/>
      </c>
    </row>
    <row r="6200" spans="15:15" x14ac:dyDescent="0.3">
      <c r="O6200" t="str">
        <f t="shared" si="97"/>
        <v/>
      </c>
    </row>
    <row r="6201" spans="15:15" x14ac:dyDescent="0.3">
      <c r="O6201" t="str">
        <f t="shared" si="97"/>
        <v/>
      </c>
    </row>
    <row r="6202" spans="15:15" x14ac:dyDescent="0.3">
      <c r="O6202" t="str">
        <f t="shared" si="97"/>
        <v/>
      </c>
    </row>
    <row r="6203" spans="15:15" x14ac:dyDescent="0.3">
      <c r="O6203" t="str">
        <f t="shared" si="97"/>
        <v/>
      </c>
    </row>
    <row r="6204" spans="15:15" x14ac:dyDescent="0.3">
      <c r="O6204" t="str">
        <f t="shared" si="97"/>
        <v/>
      </c>
    </row>
    <row r="6205" spans="15:15" x14ac:dyDescent="0.3">
      <c r="O6205" t="str">
        <f t="shared" si="97"/>
        <v/>
      </c>
    </row>
    <row r="6206" spans="15:15" x14ac:dyDescent="0.3">
      <c r="O6206" t="str">
        <f t="shared" si="97"/>
        <v/>
      </c>
    </row>
    <row r="6207" spans="15:15" x14ac:dyDescent="0.3">
      <c r="O6207" t="str">
        <f t="shared" si="97"/>
        <v/>
      </c>
    </row>
    <row r="6208" spans="15:15" x14ac:dyDescent="0.3">
      <c r="O6208" t="str">
        <f t="shared" si="97"/>
        <v/>
      </c>
    </row>
    <row r="6209" spans="15:15" x14ac:dyDescent="0.3">
      <c r="O6209" t="str">
        <f t="shared" si="97"/>
        <v/>
      </c>
    </row>
    <row r="6210" spans="15:15" x14ac:dyDescent="0.3">
      <c r="O6210" t="str">
        <f t="shared" si="97"/>
        <v/>
      </c>
    </row>
    <row r="6211" spans="15:15" x14ac:dyDescent="0.3">
      <c r="O6211" t="str">
        <f t="shared" si="97"/>
        <v/>
      </c>
    </row>
    <row r="6212" spans="15:15" x14ac:dyDescent="0.3">
      <c r="O6212" t="str">
        <f t="shared" si="97"/>
        <v/>
      </c>
    </row>
    <row r="6213" spans="15:15" x14ac:dyDescent="0.3">
      <c r="O6213" t="str">
        <f t="shared" si="97"/>
        <v/>
      </c>
    </row>
    <row r="6214" spans="15:15" x14ac:dyDescent="0.3">
      <c r="O6214" t="str">
        <f t="shared" si="97"/>
        <v/>
      </c>
    </row>
    <row r="6215" spans="15:15" x14ac:dyDescent="0.3">
      <c r="O6215" t="str">
        <f t="shared" si="97"/>
        <v/>
      </c>
    </row>
    <row r="6216" spans="15:15" x14ac:dyDescent="0.3">
      <c r="O6216" t="str">
        <f t="shared" si="97"/>
        <v/>
      </c>
    </row>
    <row r="6217" spans="15:15" x14ac:dyDescent="0.3">
      <c r="O6217" t="str">
        <f t="shared" si="97"/>
        <v/>
      </c>
    </row>
    <row r="6218" spans="15:15" x14ac:dyDescent="0.3">
      <c r="O6218" t="str">
        <f t="shared" ref="O6218:O6281" si="98">IF(P6218="","",O6217+1)</f>
        <v/>
      </c>
    </row>
    <row r="6219" spans="15:15" x14ac:dyDescent="0.3">
      <c r="O6219" t="str">
        <f t="shared" si="98"/>
        <v/>
      </c>
    </row>
    <row r="6220" spans="15:15" x14ac:dyDescent="0.3">
      <c r="O6220" t="str">
        <f t="shared" si="98"/>
        <v/>
      </c>
    </row>
    <row r="6221" spans="15:15" x14ac:dyDescent="0.3">
      <c r="O6221" t="str">
        <f t="shared" si="98"/>
        <v/>
      </c>
    </row>
    <row r="6222" spans="15:15" x14ac:dyDescent="0.3">
      <c r="O6222" t="str">
        <f t="shared" si="98"/>
        <v/>
      </c>
    </row>
    <row r="6223" spans="15:15" x14ac:dyDescent="0.3">
      <c r="O6223" t="str">
        <f t="shared" si="98"/>
        <v/>
      </c>
    </row>
    <row r="6224" spans="15:15" x14ac:dyDescent="0.3">
      <c r="O6224" t="str">
        <f t="shared" si="98"/>
        <v/>
      </c>
    </row>
    <row r="6225" spans="15:15" x14ac:dyDescent="0.3">
      <c r="O6225" t="str">
        <f t="shared" si="98"/>
        <v/>
      </c>
    </row>
    <row r="6226" spans="15:15" x14ac:dyDescent="0.3">
      <c r="O6226" t="str">
        <f t="shared" si="98"/>
        <v/>
      </c>
    </row>
    <row r="6227" spans="15:15" x14ac:dyDescent="0.3">
      <c r="O6227" t="str">
        <f t="shared" si="98"/>
        <v/>
      </c>
    </row>
    <row r="6228" spans="15:15" x14ac:dyDescent="0.3">
      <c r="O6228" t="str">
        <f t="shared" si="98"/>
        <v/>
      </c>
    </row>
    <row r="6229" spans="15:15" x14ac:dyDescent="0.3">
      <c r="O6229" t="str">
        <f t="shared" si="98"/>
        <v/>
      </c>
    </row>
    <row r="6230" spans="15:15" x14ac:dyDescent="0.3">
      <c r="O6230" t="str">
        <f t="shared" si="98"/>
        <v/>
      </c>
    </row>
    <row r="6231" spans="15:15" x14ac:dyDescent="0.3">
      <c r="O6231" t="str">
        <f t="shared" si="98"/>
        <v/>
      </c>
    </row>
    <row r="6232" spans="15:15" x14ac:dyDescent="0.3">
      <c r="O6232" t="str">
        <f t="shared" si="98"/>
        <v/>
      </c>
    </row>
    <row r="6233" spans="15:15" x14ac:dyDescent="0.3">
      <c r="O6233" t="str">
        <f t="shared" si="98"/>
        <v/>
      </c>
    </row>
    <row r="6234" spans="15:15" x14ac:dyDescent="0.3">
      <c r="O6234" t="str">
        <f t="shared" si="98"/>
        <v/>
      </c>
    </row>
    <row r="6235" spans="15:15" x14ac:dyDescent="0.3">
      <c r="O6235" t="str">
        <f t="shared" si="98"/>
        <v/>
      </c>
    </row>
    <row r="6236" spans="15:15" x14ac:dyDescent="0.3">
      <c r="O6236" t="str">
        <f t="shared" si="98"/>
        <v/>
      </c>
    </row>
    <row r="6237" spans="15:15" x14ac:dyDescent="0.3">
      <c r="O6237" t="str">
        <f t="shared" si="98"/>
        <v/>
      </c>
    </row>
    <row r="6238" spans="15:15" x14ac:dyDescent="0.3">
      <c r="O6238" t="str">
        <f t="shared" si="98"/>
        <v/>
      </c>
    </row>
    <row r="6239" spans="15:15" x14ac:dyDescent="0.3">
      <c r="O6239" t="str">
        <f t="shared" si="98"/>
        <v/>
      </c>
    </row>
    <row r="6240" spans="15:15" x14ac:dyDescent="0.3">
      <c r="O6240" t="str">
        <f t="shared" si="98"/>
        <v/>
      </c>
    </row>
    <row r="6241" spans="15:15" x14ac:dyDescent="0.3">
      <c r="O6241" t="str">
        <f t="shared" si="98"/>
        <v/>
      </c>
    </row>
    <row r="6242" spans="15:15" x14ac:dyDescent="0.3">
      <c r="O6242" t="str">
        <f t="shared" si="98"/>
        <v/>
      </c>
    </row>
    <row r="6243" spans="15:15" x14ac:dyDescent="0.3">
      <c r="O6243" t="str">
        <f t="shared" si="98"/>
        <v/>
      </c>
    </row>
    <row r="6244" spans="15:15" x14ac:dyDescent="0.3">
      <c r="O6244" t="str">
        <f t="shared" si="98"/>
        <v/>
      </c>
    </row>
    <row r="6245" spans="15:15" x14ac:dyDescent="0.3">
      <c r="O6245" t="str">
        <f t="shared" si="98"/>
        <v/>
      </c>
    </row>
    <row r="6246" spans="15:15" x14ac:dyDescent="0.3">
      <c r="O6246" t="str">
        <f t="shared" si="98"/>
        <v/>
      </c>
    </row>
    <row r="6247" spans="15:15" x14ac:dyDescent="0.3">
      <c r="O6247" t="str">
        <f t="shared" si="98"/>
        <v/>
      </c>
    </row>
    <row r="6248" spans="15:15" x14ac:dyDescent="0.3">
      <c r="O6248" t="str">
        <f t="shared" si="98"/>
        <v/>
      </c>
    </row>
    <row r="6249" spans="15:15" x14ac:dyDescent="0.3">
      <c r="O6249" t="str">
        <f t="shared" si="98"/>
        <v/>
      </c>
    </row>
    <row r="6250" spans="15:15" x14ac:dyDescent="0.3">
      <c r="O6250" t="str">
        <f t="shared" si="98"/>
        <v/>
      </c>
    </row>
    <row r="6251" spans="15:15" x14ac:dyDescent="0.3">
      <c r="O6251" t="str">
        <f t="shared" si="98"/>
        <v/>
      </c>
    </row>
    <row r="6252" spans="15:15" x14ac:dyDescent="0.3">
      <c r="O6252" t="str">
        <f t="shared" si="98"/>
        <v/>
      </c>
    </row>
    <row r="6253" spans="15:15" x14ac:dyDescent="0.3">
      <c r="O6253" t="str">
        <f t="shared" si="98"/>
        <v/>
      </c>
    </row>
    <row r="6254" spans="15:15" x14ac:dyDescent="0.3">
      <c r="O6254" t="str">
        <f t="shared" si="98"/>
        <v/>
      </c>
    </row>
    <row r="6255" spans="15:15" x14ac:dyDescent="0.3">
      <c r="O6255" t="str">
        <f t="shared" si="98"/>
        <v/>
      </c>
    </row>
    <row r="6256" spans="15:15" x14ac:dyDescent="0.3">
      <c r="O6256" t="str">
        <f t="shared" si="98"/>
        <v/>
      </c>
    </row>
    <row r="6257" spans="15:15" x14ac:dyDescent="0.3">
      <c r="O6257" t="str">
        <f t="shared" si="98"/>
        <v/>
      </c>
    </row>
    <row r="6258" spans="15:15" x14ac:dyDescent="0.3">
      <c r="O6258" t="str">
        <f t="shared" si="98"/>
        <v/>
      </c>
    </row>
    <row r="6259" spans="15:15" x14ac:dyDescent="0.3">
      <c r="O6259" t="str">
        <f t="shared" si="98"/>
        <v/>
      </c>
    </row>
    <row r="6260" spans="15:15" x14ac:dyDescent="0.3">
      <c r="O6260" t="str">
        <f t="shared" si="98"/>
        <v/>
      </c>
    </row>
    <row r="6261" spans="15:15" x14ac:dyDescent="0.3">
      <c r="O6261" t="str">
        <f t="shared" si="98"/>
        <v/>
      </c>
    </row>
    <row r="6262" spans="15:15" x14ac:dyDescent="0.3">
      <c r="O6262" t="str">
        <f t="shared" si="98"/>
        <v/>
      </c>
    </row>
    <row r="6263" spans="15:15" x14ac:dyDescent="0.3">
      <c r="O6263" t="str">
        <f t="shared" si="98"/>
        <v/>
      </c>
    </row>
    <row r="6264" spans="15:15" x14ac:dyDescent="0.3">
      <c r="O6264" t="str">
        <f t="shared" si="98"/>
        <v/>
      </c>
    </row>
    <row r="6265" spans="15:15" x14ac:dyDescent="0.3">
      <c r="O6265" t="str">
        <f t="shared" si="98"/>
        <v/>
      </c>
    </row>
    <row r="6266" spans="15:15" x14ac:dyDescent="0.3">
      <c r="O6266" t="str">
        <f t="shared" si="98"/>
        <v/>
      </c>
    </row>
    <row r="6267" spans="15:15" x14ac:dyDescent="0.3">
      <c r="O6267" t="str">
        <f t="shared" si="98"/>
        <v/>
      </c>
    </row>
    <row r="6268" spans="15:15" x14ac:dyDescent="0.3">
      <c r="O6268" t="str">
        <f t="shared" si="98"/>
        <v/>
      </c>
    </row>
    <row r="6269" spans="15:15" x14ac:dyDescent="0.3">
      <c r="O6269" t="str">
        <f t="shared" si="98"/>
        <v/>
      </c>
    </row>
    <row r="6270" spans="15:15" x14ac:dyDescent="0.3">
      <c r="O6270" t="str">
        <f t="shared" si="98"/>
        <v/>
      </c>
    </row>
    <row r="6271" spans="15:15" x14ac:dyDescent="0.3">
      <c r="O6271" t="str">
        <f t="shared" si="98"/>
        <v/>
      </c>
    </row>
    <row r="6272" spans="15:15" x14ac:dyDescent="0.3">
      <c r="O6272" t="str">
        <f t="shared" si="98"/>
        <v/>
      </c>
    </row>
    <row r="6273" spans="15:15" x14ac:dyDescent="0.3">
      <c r="O6273" t="str">
        <f t="shared" si="98"/>
        <v/>
      </c>
    </row>
    <row r="6274" spans="15:15" x14ac:dyDescent="0.3">
      <c r="O6274" t="str">
        <f t="shared" si="98"/>
        <v/>
      </c>
    </row>
    <row r="6275" spans="15:15" x14ac:dyDescent="0.3">
      <c r="O6275" t="str">
        <f t="shared" si="98"/>
        <v/>
      </c>
    </row>
    <row r="6276" spans="15:15" x14ac:dyDescent="0.3">
      <c r="O6276" t="str">
        <f t="shared" si="98"/>
        <v/>
      </c>
    </row>
    <row r="6277" spans="15:15" x14ac:dyDescent="0.3">
      <c r="O6277" t="str">
        <f t="shared" si="98"/>
        <v/>
      </c>
    </row>
    <row r="6278" spans="15:15" x14ac:dyDescent="0.3">
      <c r="O6278" t="str">
        <f t="shared" si="98"/>
        <v/>
      </c>
    </row>
    <row r="6279" spans="15:15" x14ac:dyDescent="0.3">
      <c r="O6279" t="str">
        <f t="shared" si="98"/>
        <v/>
      </c>
    </row>
    <row r="6280" spans="15:15" x14ac:dyDescent="0.3">
      <c r="O6280" t="str">
        <f t="shared" si="98"/>
        <v/>
      </c>
    </row>
    <row r="6281" spans="15:15" x14ac:dyDescent="0.3">
      <c r="O6281" t="str">
        <f t="shared" si="98"/>
        <v/>
      </c>
    </row>
    <row r="6282" spans="15:15" x14ac:dyDescent="0.3">
      <c r="O6282" t="str">
        <f t="shared" ref="O6282:O6345" si="99">IF(P6282="","",O6281+1)</f>
        <v/>
      </c>
    </row>
    <row r="6283" spans="15:15" x14ac:dyDescent="0.3">
      <c r="O6283" t="str">
        <f t="shared" si="99"/>
        <v/>
      </c>
    </row>
    <row r="6284" spans="15:15" x14ac:dyDescent="0.3">
      <c r="O6284" t="str">
        <f t="shared" si="99"/>
        <v/>
      </c>
    </row>
    <row r="6285" spans="15:15" x14ac:dyDescent="0.3">
      <c r="O6285" t="str">
        <f t="shared" si="99"/>
        <v/>
      </c>
    </row>
    <row r="6286" spans="15:15" x14ac:dyDescent="0.3">
      <c r="O6286" t="str">
        <f t="shared" si="99"/>
        <v/>
      </c>
    </row>
    <row r="6287" spans="15:15" x14ac:dyDescent="0.3">
      <c r="O6287" t="str">
        <f t="shared" si="99"/>
        <v/>
      </c>
    </row>
    <row r="6288" spans="15:15" x14ac:dyDescent="0.3">
      <c r="O6288" t="str">
        <f t="shared" si="99"/>
        <v/>
      </c>
    </row>
    <row r="6289" spans="15:15" x14ac:dyDescent="0.3">
      <c r="O6289" t="str">
        <f t="shared" si="99"/>
        <v/>
      </c>
    </row>
    <row r="6290" spans="15:15" x14ac:dyDescent="0.3">
      <c r="O6290" t="str">
        <f t="shared" si="99"/>
        <v/>
      </c>
    </row>
    <row r="6291" spans="15:15" x14ac:dyDescent="0.3">
      <c r="O6291" t="str">
        <f t="shared" si="99"/>
        <v/>
      </c>
    </row>
    <row r="6292" spans="15:15" x14ac:dyDescent="0.3">
      <c r="O6292" t="str">
        <f t="shared" si="99"/>
        <v/>
      </c>
    </row>
    <row r="6293" spans="15:15" x14ac:dyDescent="0.3">
      <c r="O6293" t="str">
        <f t="shared" si="99"/>
        <v/>
      </c>
    </row>
    <row r="6294" spans="15:15" x14ac:dyDescent="0.3">
      <c r="O6294" t="str">
        <f t="shared" si="99"/>
        <v/>
      </c>
    </row>
    <row r="6295" spans="15:15" x14ac:dyDescent="0.3">
      <c r="O6295" t="str">
        <f t="shared" si="99"/>
        <v/>
      </c>
    </row>
    <row r="6296" spans="15:15" x14ac:dyDescent="0.3">
      <c r="O6296" t="str">
        <f t="shared" si="99"/>
        <v/>
      </c>
    </row>
    <row r="6297" spans="15:15" x14ac:dyDescent="0.3">
      <c r="O6297" t="str">
        <f t="shared" si="99"/>
        <v/>
      </c>
    </row>
    <row r="6298" spans="15:15" x14ac:dyDescent="0.3">
      <c r="O6298" t="str">
        <f t="shared" si="99"/>
        <v/>
      </c>
    </row>
    <row r="6299" spans="15:15" x14ac:dyDescent="0.3">
      <c r="O6299" t="str">
        <f t="shared" si="99"/>
        <v/>
      </c>
    </row>
    <row r="6300" spans="15:15" x14ac:dyDescent="0.3">
      <c r="O6300" t="str">
        <f t="shared" si="99"/>
        <v/>
      </c>
    </row>
    <row r="6301" spans="15:15" x14ac:dyDescent="0.3">
      <c r="O6301" t="str">
        <f t="shared" si="99"/>
        <v/>
      </c>
    </row>
    <row r="6302" spans="15:15" x14ac:dyDescent="0.3">
      <c r="O6302" t="str">
        <f t="shared" si="99"/>
        <v/>
      </c>
    </row>
    <row r="6303" spans="15:15" x14ac:dyDescent="0.3">
      <c r="O6303" t="str">
        <f t="shared" si="99"/>
        <v/>
      </c>
    </row>
    <row r="6304" spans="15:15" x14ac:dyDescent="0.3">
      <c r="O6304" t="str">
        <f t="shared" si="99"/>
        <v/>
      </c>
    </row>
    <row r="6305" spans="15:15" x14ac:dyDescent="0.3">
      <c r="O6305" t="str">
        <f t="shared" si="99"/>
        <v/>
      </c>
    </row>
    <row r="6306" spans="15:15" x14ac:dyDescent="0.3">
      <c r="O6306" t="str">
        <f t="shared" si="99"/>
        <v/>
      </c>
    </row>
    <row r="6307" spans="15:15" x14ac:dyDescent="0.3">
      <c r="O6307" t="str">
        <f t="shared" si="99"/>
        <v/>
      </c>
    </row>
    <row r="6308" spans="15:15" x14ac:dyDescent="0.3">
      <c r="O6308" t="str">
        <f t="shared" si="99"/>
        <v/>
      </c>
    </row>
    <row r="6309" spans="15:15" x14ac:dyDescent="0.3">
      <c r="O6309" t="str">
        <f t="shared" si="99"/>
        <v/>
      </c>
    </row>
    <row r="6310" spans="15:15" x14ac:dyDescent="0.3">
      <c r="O6310" t="str">
        <f t="shared" si="99"/>
        <v/>
      </c>
    </row>
    <row r="6311" spans="15:15" x14ac:dyDescent="0.3">
      <c r="O6311" t="str">
        <f t="shared" si="99"/>
        <v/>
      </c>
    </row>
    <row r="6312" spans="15:15" x14ac:dyDescent="0.3">
      <c r="O6312" t="str">
        <f t="shared" si="99"/>
        <v/>
      </c>
    </row>
    <row r="6313" spans="15:15" x14ac:dyDescent="0.3">
      <c r="O6313" t="str">
        <f t="shared" si="99"/>
        <v/>
      </c>
    </row>
    <row r="6314" spans="15:15" x14ac:dyDescent="0.3">
      <c r="O6314" t="str">
        <f t="shared" si="99"/>
        <v/>
      </c>
    </row>
    <row r="6315" spans="15:15" x14ac:dyDescent="0.3">
      <c r="O6315" t="str">
        <f t="shared" si="99"/>
        <v/>
      </c>
    </row>
    <row r="6316" spans="15:15" x14ac:dyDescent="0.3">
      <c r="O6316" t="str">
        <f t="shared" si="99"/>
        <v/>
      </c>
    </row>
    <row r="6317" spans="15:15" x14ac:dyDescent="0.3">
      <c r="O6317" t="str">
        <f t="shared" si="99"/>
        <v/>
      </c>
    </row>
    <row r="6318" spans="15:15" x14ac:dyDescent="0.3">
      <c r="O6318" t="str">
        <f t="shared" si="99"/>
        <v/>
      </c>
    </row>
    <row r="6319" spans="15:15" x14ac:dyDescent="0.3">
      <c r="O6319" t="str">
        <f t="shared" si="99"/>
        <v/>
      </c>
    </row>
    <row r="6320" spans="15:15" x14ac:dyDescent="0.3">
      <c r="O6320" t="str">
        <f t="shared" si="99"/>
        <v/>
      </c>
    </row>
    <row r="6321" spans="15:15" x14ac:dyDescent="0.3">
      <c r="O6321" t="str">
        <f t="shared" si="99"/>
        <v/>
      </c>
    </row>
    <row r="6322" spans="15:15" x14ac:dyDescent="0.3">
      <c r="O6322" t="str">
        <f t="shared" si="99"/>
        <v/>
      </c>
    </row>
    <row r="6323" spans="15:15" x14ac:dyDescent="0.3">
      <c r="O6323" t="str">
        <f t="shared" si="99"/>
        <v/>
      </c>
    </row>
    <row r="6324" spans="15:15" x14ac:dyDescent="0.3">
      <c r="O6324" t="str">
        <f t="shared" si="99"/>
        <v/>
      </c>
    </row>
    <row r="6325" spans="15:15" x14ac:dyDescent="0.3">
      <c r="O6325" t="str">
        <f t="shared" si="99"/>
        <v/>
      </c>
    </row>
    <row r="6326" spans="15:15" x14ac:dyDescent="0.3">
      <c r="O6326" t="str">
        <f t="shared" si="99"/>
        <v/>
      </c>
    </row>
    <row r="6327" spans="15:15" x14ac:dyDescent="0.3">
      <c r="O6327" t="str">
        <f t="shared" si="99"/>
        <v/>
      </c>
    </row>
    <row r="6328" spans="15:15" x14ac:dyDescent="0.3">
      <c r="O6328" t="str">
        <f t="shared" si="99"/>
        <v/>
      </c>
    </row>
    <row r="6329" spans="15:15" x14ac:dyDescent="0.3">
      <c r="O6329" t="str">
        <f t="shared" si="99"/>
        <v/>
      </c>
    </row>
    <row r="6330" spans="15:15" x14ac:dyDescent="0.3">
      <c r="O6330" t="str">
        <f t="shared" si="99"/>
        <v/>
      </c>
    </row>
    <row r="6331" spans="15:15" x14ac:dyDescent="0.3">
      <c r="O6331" t="str">
        <f t="shared" si="99"/>
        <v/>
      </c>
    </row>
    <row r="6332" spans="15:15" x14ac:dyDescent="0.3">
      <c r="O6332" t="str">
        <f t="shared" si="99"/>
        <v/>
      </c>
    </row>
    <row r="6333" spans="15:15" x14ac:dyDescent="0.3">
      <c r="O6333" t="str">
        <f t="shared" si="99"/>
        <v/>
      </c>
    </row>
    <row r="6334" spans="15:15" x14ac:dyDescent="0.3">
      <c r="O6334" t="str">
        <f t="shared" si="99"/>
        <v/>
      </c>
    </row>
    <row r="6335" spans="15:15" x14ac:dyDescent="0.3">
      <c r="O6335" t="str">
        <f t="shared" si="99"/>
        <v/>
      </c>
    </row>
    <row r="6336" spans="15:15" x14ac:dyDescent="0.3">
      <c r="O6336" t="str">
        <f t="shared" si="99"/>
        <v/>
      </c>
    </row>
    <row r="6337" spans="15:15" x14ac:dyDescent="0.3">
      <c r="O6337" t="str">
        <f t="shared" si="99"/>
        <v/>
      </c>
    </row>
    <row r="6338" spans="15:15" x14ac:dyDescent="0.3">
      <c r="O6338" t="str">
        <f t="shared" si="99"/>
        <v/>
      </c>
    </row>
    <row r="6339" spans="15:15" x14ac:dyDescent="0.3">
      <c r="O6339" t="str">
        <f t="shared" si="99"/>
        <v/>
      </c>
    </row>
    <row r="6340" spans="15:15" x14ac:dyDescent="0.3">
      <c r="O6340" t="str">
        <f t="shared" si="99"/>
        <v/>
      </c>
    </row>
    <row r="6341" spans="15:15" x14ac:dyDescent="0.3">
      <c r="O6341" t="str">
        <f t="shared" si="99"/>
        <v/>
      </c>
    </row>
    <row r="6342" spans="15:15" x14ac:dyDescent="0.3">
      <c r="O6342" t="str">
        <f t="shared" si="99"/>
        <v/>
      </c>
    </row>
    <row r="6343" spans="15:15" x14ac:dyDescent="0.3">
      <c r="O6343" t="str">
        <f t="shared" si="99"/>
        <v/>
      </c>
    </row>
    <row r="6344" spans="15:15" x14ac:dyDescent="0.3">
      <c r="O6344" t="str">
        <f t="shared" si="99"/>
        <v/>
      </c>
    </row>
    <row r="6345" spans="15:15" x14ac:dyDescent="0.3">
      <c r="O6345" t="str">
        <f t="shared" si="99"/>
        <v/>
      </c>
    </row>
    <row r="6346" spans="15:15" x14ac:dyDescent="0.3">
      <c r="O6346" t="str">
        <f t="shared" ref="O6346:O6409" si="100">IF(P6346="","",O6345+1)</f>
        <v/>
      </c>
    </row>
    <row r="6347" spans="15:15" x14ac:dyDescent="0.3">
      <c r="O6347" t="str">
        <f t="shared" si="100"/>
        <v/>
      </c>
    </row>
    <row r="6348" spans="15:15" x14ac:dyDescent="0.3">
      <c r="O6348" t="str">
        <f t="shared" si="100"/>
        <v/>
      </c>
    </row>
    <row r="6349" spans="15:15" x14ac:dyDescent="0.3">
      <c r="O6349" t="str">
        <f t="shared" si="100"/>
        <v/>
      </c>
    </row>
    <row r="6350" spans="15:15" x14ac:dyDescent="0.3">
      <c r="O6350" t="str">
        <f t="shared" si="100"/>
        <v/>
      </c>
    </row>
    <row r="6351" spans="15:15" x14ac:dyDescent="0.3">
      <c r="O6351" t="str">
        <f t="shared" si="100"/>
        <v/>
      </c>
    </row>
    <row r="6352" spans="15:15" x14ac:dyDescent="0.3">
      <c r="O6352" t="str">
        <f t="shared" si="100"/>
        <v/>
      </c>
    </row>
    <row r="6353" spans="15:15" x14ac:dyDescent="0.3">
      <c r="O6353" t="str">
        <f t="shared" si="100"/>
        <v/>
      </c>
    </row>
    <row r="6354" spans="15:15" x14ac:dyDescent="0.3">
      <c r="O6354" t="str">
        <f t="shared" si="100"/>
        <v/>
      </c>
    </row>
    <row r="6355" spans="15:15" x14ac:dyDescent="0.3">
      <c r="O6355" t="str">
        <f t="shared" si="100"/>
        <v/>
      </c>
    </row>
    <row r="6356" spans="15:15" x14ac:dyDescent="0.3">
      <c r="O6356" t="str">
        <f t="shared" si="100"/>
        <v/>
      </c>
    </row>
    <row r="6357" spans="15:15" x14ac:dyDescent="0.3">
      <c r="O6357" t="str">
        <f t="shared" si="100"/>
        <v/>
      </c>
    </row>
    <row r="6358" spans="15:15" x14ac:dyDescent="0.3">
      <c r="O6358" t="str">
        <f t="shared" si="100"/>
        <v/>
      </c>
    </row>
    <row r="6359" spans="15:15" x14ac:dyDescent="0.3">
      <c r="O6359" t="str">
        <f t="shared" si="100"/>
        <v/>
      </c>
    </row>
    <row r="6360" spans="15:15" x14ac:dyDescent="0.3">
      <c r="O6360" t="str">
        <f t="shared" si="100"/>
        <v/>
      </c>
    </row>
    <row r="6361" spans="15:15" x14ac:dyDescent="0.3">
      <c r="O6361" t="str">
        <f t="shared" si="100"/>
        <v/>
      </c>
    </row>
    <row r="6362" spans="15:15" x14ac:dyDescent="0.3">
      <c r="O6362" t="str">
        <f t="shared" si="100"/>
        <v/>
      </c>
    </row>
    <row r="6363" spans="15:15" x14ac:dyDescent="0.3">
      <c r="O6363" t="str">
        <f t="shared" si="100"/>
        <v/>
      </c>
    </row>
    <row r="6364" spans="15:15" x14ac:dyDescent="0.3">
      <c r="O6364" t="str">
        <f t="shared" si="100"/>
        <v/>
      </c>
    </row>
    <row r="6365" spans="15:15" x14ac:dyDescent="0.3">
      <c r="O6365" t="str">
        <f t="shared" si="100"/>
        <v/>
      </c>
    </row>
    <row r="6366" spans="15:15" x14ac:dyDescent="0.3">
      <c r="O6366" t="str">
        <f t="shared" si="100"/>
        <v/>
      </c>
    </row>
    <row r="6367" spans="15:15" x14ac:dyDescent="0.3">
      <c r="O6367" t="str">
        <f t="shared" si="100"/>
        <v/>
      </c>
    </row>
    <row r="6368" spans="15:15" x14ac:dyDescent="0.3">
      <c r="O6368" t="str">
        <f t="shared" si="100"/>
        <v/>
      </c>
    </row>
    <row r="6369" spans="15:15" x14ac:dyDescent="0.3">
      <c r="O6369" t="str">
        <f t="shared" si="100"/>
        <v/>
      </c>
    </row>
    <row r="6370" spans="15:15" x14ac:dyDescent="0.3">
      <c r="O6370" t="str">
        <f t="shared" si="100"/>
        <v/>
      </c>
    </row>
    <row r="6371" spans="15:15" x14ac:dyDescent="0.3">
      <c r="O6371" t="str">
        <f t="shared" si="100"/>
        <v/>
      </c>
    </row>
    <row r="6372" spans="15:15" x14ac:dyDescent="0.3">
      <c r="O6372" t="str">
        <f t="shared" si="100"/>
        <v/>
      </c>
    </row>
    <row r="6373" spans="15:15" x14ac:dyDescent="0.3">
      <c r="O6373" t="str">
        <f t="shared" si="100"/>
        <v/>
      </c>
    </row>
    <row r="6374" spans="15:15" x14ac:dyDescent="0.3">
      <c r="O6374" t="str">
        <f t="shared" si="100"/>
        <v/>
      </c>
    </row>
    <row r="6375" spans="15:15" x14ac:dyDescent="0.3">
      <c r="O6375" t="str">
        <f t="shared" si="100"/>
        <v/>
      </c>
    </row>
    <row r="6376" spans="15:15" x14ac:dyDescent="0.3">
      <c r="O6376" t="str">
        <f t="shared" si="100"/>
        <v/>
      </c>
    </row>
    <row r="6377" spans="15:15" x14ac:dyDescent="0.3">
      <c r="O6377" t="str">
        <f t="shared" si="100"/>
        <v/>
      </c>
    </row>
    <row r="6378" spans="15:15" x14ac:dyDescent="0.3">
      <c r="O6378" t="str">
        <f t="shared" si="100"/>
        <v/>
      </c>
    </row>
    <row r="6379" spans="15:15" x14ac:dyDescent="0.3">
      <c r="O6379" t="str">
        <f t="shared" si="100"/>
        <v/>
      </c>
    </row>
    <row r="6380" spans="15:15" x14ac:dyDescent="0.3">
      <c r="O6380" t="str">
        <f t="shared" si="100"/>
        <v/>
      </c>
    </row>
    <row r="6381" spans="15:15" x14ac:dyDescent="0.3">
      <c r="O6381" t="str">
        <f t="shared" si="100"/>
        <v/>
      </c>
    </row>
    <row r="6382" spans="15:15" x14ac:dyDescent="0.3">
      <c r="O6382" t="str">
        <f t="shared" si="100"/>
        <v/>
      </c>
    </row>
    <row r="6383" spans="15:15" x14ac:dyDescent="0.3">
      <c r="O6383" t="str">
        <f t="shared" si="100"/>
        <v/>
      </c>
    </row>
    <row r="6384" spans="15:15" x14ac:dyDescent="0.3">
      <c r="O6384" t="str">
        <f t="shared" si="100"/>
        <v/>
      </c>
    </row>
    <row r="6385" spans="15:15" x14ac:dyDescent="0.3">
      <c r="O6385" t="str">
        <f t="shared" si="100"/>
        <v/>
      </c>
    </row>
    <row r="6386" spans="15:15" x14ac:dyDescent="0.3">
      <c r="O6386" t="str">
        <f t="shared" si="100"/>
        <v/>
      </c>
    </row>
    <row r="6387" spans="15:15" x14ac:dyDescent="0.3">
      <c r="O6387" t="str">
        <f t="shared" si="100"/>
        <v/>
      </c>
    </row>
    <row r="6388" spans="15:15" x14ac:dyDescent="0.3">
      <c r="O6388" t="str">
        <f t="shared" si="100"/>
        <v/>
      </c>
    </row>
    <row r="6389" spans="15:15" x14ac:dyDescent="0.3">
      <c r="O6389" t="str">
        <f t="shared" si="100"/>
        <v/>
      </c>
    </row>
    <row r="6390" spans="15:15" x14ac:dyDescent="0.3">
      <c r="O6390" t="str">
        <f t="shared" si="100"/>
        <v/>
      </c>
    </row>
    <row r="6391" spans="15:15" x14ac:dyDescent="0.3">
      <c r="O6391" t="str">
        <f t="shared" si="100"/>
        <v/>
      </c>
    </row>
    <row r="6392" spans="15:15" x14ac:dyDescent="0.3">
      <c r="O6392" t="str">
        <f t="shared" si="100"/>
        <v/>
      </c>
    </row>
    <row r="6393" spans="15:15" x14ac:dyDescent="0.3">
      <c r="O6393" t="str">
        <f t="shared" si="100"/>
        <v/>
      </c>
    </row>
    <row r="6394" spans="15:15" x14ac:dyDescent="0.3">
      <c r="O6394" t="str">
        <f t="shared" si="100"/>
        <v/>
      </c>
    </row>
    <row r="6395" spans="15:15" x14ac:dyDescent="0.3">
      <c r="O6395" t="str">
        <f t="shared" si="100"/>
        <v/>
      </c>
    </row>
    <row r="6396" spans="15:15" x14ac:dyDescent="0.3">
      <c r="O6396" t="str">
        <f t="shared" si="100"/>
        <v/>
      </c>
    </row>
    <row r="6397" spans="15:15" x14ac:dyDescent="0.3">
      <c r="O6397" t="str">
        <f t="shared" si="100"/>
        <v/>
      </c>
    </row>
    <row r="6398" spans="15:15" x14ac:dyDescent="0.3">
      <c r="O6398" t="str">
        <f t="shared" si="100"/>
        <v/>
      </c>
    </row>
    <row r="6399" spans="15:15" x14ac:dyDescent="0.3">
      <c r="O6399" t="str">
        <f t="shared" si="100"/>
        <v/>
      </c>
    </row>
    <row r="6400" spans="15:15" x14ac:dyDescent="0.3">
      <c r="O6400" t="str">
        <f t="shared" si="100"/>
        <v/>
      </c>
    </row>
    <row r="6401" spans="15:15" x14ac:dyDescent="0.3">
      <c r="O6401" t="str">
        <f t="shared" si="100"/>
        <v/>
      </c>
    </row>
    <row r="6402" spans="15:15" x14ac:dyDescent="0.3">
      <c r="O6402" t="str">
        <f t="shared" si="100"/>
        <v/>
      </c>
    </row>
    <row r="6403" spans="15:15" x14ac:dyDescent="0.3">
      <c r="O6403" t="str">
        <f t="shared" si="100"/>
        <v/>
      </c>
    </row>
    <row r="6404" spans="15:15" x14ac:dyDescent="0.3">
      <c r="O6404" t="str">
        <f t="shared" si="100"/>
        <v/>
      </c>
    </row>
    <row r="6405" spans="15:15" x14ac:dyDescent="0.3">
      <c r="O6405" t="str">
        <f t="shared" si="100"/>
        <v/>
      </c>
    </row>
    <row r="6406" spans="15:15" x14ac:dyDescent="0.3">
      <c r="O6406" t="str">
        <f t="shared" si="100"/>
        <v/>
      </c>
    </row>
    <row r="6407" spans="15:15" x14ac:dyDescent="0.3">
      <c r="O6407" t="str">
        <f t="shared" si="100"/>
        <v/>
      </c>
    </row>
    <row r="6408" spans="15:15" x14ac:dyDescent="0.3">
      <c r="O6408" t="str">
        <f t="shared" si="100"/>
        <v/>
      </c>
    </row>
    <row r="6409" spans="15:15" x14ac:dyDescent="0.3">
      <c r="O6409" t="str">
        <f t="shared" si="100"/>
        <v/>
      </c>
    </row>
    <row r="6410" spans="15:15" x14ac:dyDescent="0.3">
      <c r="O6410" t="str">
        <f t="shared" ref="O6410:O6473" si="101">IF(P6410="","",O6409+1)</f>
        <v/>
      </c>
    </row>
    <row r="6411" spans="15:15" x14ac:dyDescent="0.3">
      <c r="O6411" t="str">
        <f t="shared" si="101"/>
        <v/>
      </c>
    </row>
    <row r="6412" spans="15:15" x14ac:dyDescent="0.3">
      <c r="O6412" t="str">
        <f t="shared" si="101"/>
        <v/>
      </c>
    </row>
    <row r="6413" spans="15:15" x14ac:dyDescent="0.3">
      <c r="O6413" t="str">
        <f t="shared" si="101"/>
        <v/>
      </c>
    </row>
    <row r="6414" spans="15:15" x14ac:dyDescent="0.3">
      <c r="O6414" t="str">
        <f t="shared" si="101"/>
        <v/>
      </c>
    </row>
    <row r="6415" spans="15:15" x14ac:dyDescent="0.3">
      <c r="O6415" t="str">
        <f t="shared" si="101"/>
        <v/>
      </c>
    </row>
    <row r="6416" spans="15:15" x14ac:dyDescent="0.3">
      <c r="O6416" t="str">
        <f t="shared" si="101"/>
        <v/>
      </c>
    </row>
    <row r="6417" spans="15:15" x14ac:dyDescent="0.3">
      <c r="O6417" t="str">
        <f t="shared" si="101"/>
        <v/>
      </c>
    </row>
    <row r="6418" spans="15:15" x14ac:dyDescent="0.3">
      <c r="O6418" t="str">
        <f t="shared" si="101"/>
        <v/>
      </c>
    </row>
    <row r="6419" spans="15:15" x14ac:dyDescent="0.3">
      <c r="O6419" t="str">
        <f t="shared" si="101"/>
        <v/>
      </c>
    </row>
    <row r="6420" spans="15:15" x14ac:dyDescent="0.3">
      <c r="O6420" t="str">
        <f t="shared" si="101"/>
        <v/>
      </c>
    </row>
    <row r="6421" spans="15:15" x14ac:dyDescent="0.3">
      <c r="O6421" t="str">
        <f t="shared" si="101"/>
        <v/>
      </c>
    </row>
    <row r="6422" spans="15:15" x14ac:dyDescent="0.3">
      <c r="O6422" t="str">
        <f t="shared" si="101"/>
        <v/>
      </c>
    </row>
    <row r="6423" spans="15:15" x14ac:dyDescent="0.3">
      <c r="O6423" t="str">
        <f t="shared" si="101"/>
        <v/>
      </c>
    </row>
    <row r="6424" spans="15:15" x14ac:dyDescent="0.3">
      <c r="O6424" t="str">
        <f t="shared" si="101"/>
        <v/>
      </c>
    </row>
    <row r="6425" spans="15:15" x14ac:dyDescent="0.3">
      <c r="O6425" t="str">
        <f t="shared" si="101"/>
        <v/>
      </c>
    </row>
    <row r="6426" spans="15:15" x14ac:dyDescent="0.3">
      <c r="O6426" t="str">
        <f t="shared" si="101"/>
        <v/>
      </c>
    </row>
    <row r="6427" spans="15:15" x14ac:dyDescent="0.3">
      <c r="O6427" t="str">
        <f t="shared" si="101"/>
        <v/>
      </c>
    </row>
    <row r="6428" spans="15:15" x14ac:dyDescent="0.3">
      <c r="O6428" t="str">
        <f t="shared" si="101"/>
        <v/>
      </c>
    </row>
    <row r="6429" spans="15:15" x14ac:dyDescent="0.3">
      <c r="O6429" t="str">
        <f t="shared" si="101"/>
        <v/>
      </c>
    </row>
    <row r="6430" spans="15:15" x14ac:dyDescent="0.3">
      <c r="O6430" t="str">
        <f t="shared" si="101"/>
        <v/>
      </c>
    </row>
    <row r="6431" spans="15:15" x14ac:dyDescent="0.3">
      <c r="O6431" t="str">
        <f t="shared" si="101"/>
        <v/>
      </c>
    </row>
    <row r="6432" spans="15:15" x14ac:dyDescent="0.3">
      <c r="O6432" t="str">
        <f t="shared" si="101"/>
        <v/>
      </c>
    </row>
    <row r="6433" spans="15:15" x14ac:dyDescent="0.3">
      <c r="O6433" t="str">
        <f t="shared" si="101"/>
        <v/>
      </c>
    </row>
    <row r="6434" spans="15:15" x14ac:dyDescent="0.3">
      <c r="O6434" t="str">
        <f t="shared" si="101"/>
        <v/>
      </c>
    </row>
    <row r="6435" spans="15:15" x14ac:dyDescent="0.3">
      <c r="O6435" t="str">
        <f t="shared" si="101"/>
        <v/>
      </c>
    </row>
    <row r="6436" spans="15:15" x14ac:dyDescent="0.3">
      <c r="O6436" t="str">
        <f t="shared" si="101"/>
        <v/>
      </c>
    </row>
    <row r="6437" spans="15:15" x14ac:dyDescent="0.3">
      <c r="O6437" t="str">
        <f t="shared" si="101"/>
        <v/>
      </c>
    </row>
    <row r="6438" spans="15:15" x14ac:dyDescent="0.3">
      <c r="O6438" t="str">
        <f t="shared" si="101"/>
        <v/>
      </c>
    </row>
    <row r="6439" spans="15:15" x14ac:dyDescent="0.3">
      <c r="O6439" t="str">
        <f t="shared" si="101"/>
        <v/>
      </c>
    </row>
    <row r="6440" spans="15:15" x14ac:dyDescent="0.3">
      <c r="O6440" t="str">
        <f t="shared" si="101"/>
        <v/>
      </c>
    </row>
    <row r="6441" spans="15:15" x14ac:dyDescent="0.3">
      <c r="O6441" t="str">
        <f t="shared" si="101"/>
        <v/>
      </c>
    </row>
    <row r="6442" spans="15:15" x14ac:dyDescent="0.3">
      <c r="O6442" t="str">
        <f t="shared" si="101"/>
        <v/>
      </c>
    </row>
    <row r="6443" spans="15:15" x14ac:dyDescent="0.3">
      <c r="O6443" t="str">
        <f t="shared" si="101"/>
        <v/>
      </c>
    </row>
    <row r="6444" spans="15:15" x14ac:dyDescent="0.3">
      <c r="O6444" t="str">
        <f t="shared" si="101"/>
        <v/>
      </c>
    </row>
    <row r="6445" spans="15:15" x14ac:dyDescent="0.3">
      <c r="O6445" t="str">
        <f t="shared" si="101"/>
        <v/>
      </c>
    </row>
    <row r="6446" spans="15:15" x14ac:dyDescent="0.3">
      <c r="O6446" t="str">
        <f t="shared" si="101"/>
        <v/>
      </c>
    </row>
    <row r="6447" spans="15:15" x14ac:dyDescent="0.3">
      <c r="O6447" t="str">
        <f t="shared" si="101"/>
        <v/>
      </c>
    </row>
    <row r="6448" spans="15:15" x14ac:dyDescent="0.3">
      <c r="O6448" t="str">
        <f t="shared" si="101"/>
        <v/>
      </c>
    </row>
    <row r="6449" spans="15:15" x14ac:dyDescent="0.3">
      <c r="O6449" t="str">
        <f t="shared" si="101"/>
        <v/>
      </c>
    </row>
    <row r="6450" spans="15:15" x14ac:dyDescent="0.3">
      <c r="O6450" t="str">
        <f t="shared" si="101"/>
        <v/>
      </c>
    </row>
    <row r="6451" spans="15:15" x14ac:dyDescent="0.3">
      <c r="O6451" t="str">
        <f t="shared" si="101"/>
        <v/>
      </c>
    </row>
    <row r="6452" spans="15:15" x14ac:dyDescent="0.3">
      <c r="O6452" t="str">
        <f t="shared" si="101"/>
        <v/>
      </c>
    </row>
    <row r="6453" spans="15:15" x14ac:dyDescent="0.3">
      <c r="O6453" t="str">
        <f t="shared" si="101"/>
        <v/>
      </c>
    </row>
    <row r="6454" spans="15:15" x14ac:dyDescent="0.3">
      <c r="O6454" t="str">
        <f t="shared" si="101"/>
        <v/>
      </c>
    </row>
    <row r="6455" spans="15:15" x14ac:dyDescent="0.3">
      <c r="O6455" t="str">
        <f t="shared" si="101"/>
        <v/>
      </c>
    </row>
    <row r="6456" spans="15:15" x14ac:dyDescent="0.3">
      <c r="O6456" t="str">
        <f t="shared" si="101"/>
        <v/>
      </c>
    </row>
    <row r="6457" spans="15:15" x14ac:dyDescent="0.3">
      <c r="O6457" t="str">
        <f t="shared" si="101"/>
        <v/>
      </c>
    </row>
    <row r="6458" spans="15:15" x14ac:dyDescent="0.3">
      <c r="O6458" t="str">
        <f t="shared" si="101"/>
        <v/>
      </c>
    </row>
    <row r="6459" spans="15:15" x14ac:dyDescent="0.3">
      <c r="O6459" t="str">
        <f t="shared" si="101"/>
        <v/>
      </c>
    </row>
    <row r="6460" spans="15:15" x14ac:dyDescent="0.3">
      <c r="O6460" t="str">
        <f t="shared" si="101"/>
        <v/>
      </c>
    </row>
    <row r="6461" spans="15:15" x14ac:dyDescent="0.3">
      <c r="O6461" t="str">
        <f t="shared" si="101"/>
        <v/>
      </c>
    </row>
    <row r="6462" spans="15:15" x14ac:dyDescent="0.3">
      <c r="O6462" t="str">
        <f t="shared" si="101"/>
        <v/>
      </c>
    </row>
    <row r="6463" spans="15:15" x14ac:dyDescent="0.3">
      <c r="O6463" t="str">
        <f t="shared" si="101"/>
        <v/>
      </c>
    </row>
    <row r="6464" spans="15:15" x14ac:dyDescent="0.3">
      <c r="O6464" t="str">
        <f t="shared" si="101"/>
        <v/>
      </c>
    </row>
    <row r="6465" spans="15:15" x14ac:dyDescent="0.3">
      <c r="O6465" t="str">
        <f t="shared" si="101"/>
        <v/>
      </c>
    </row>
    <row r="6466" spans="15:15" x14ac:dyDescent="0.3">
      <c r="O6466" t="str">
        <f t="shared" si="101"/>
        <v/>
      </c>
    </row>
    <row r="6467" spans="15:15" x14ac:dyDescent="0.3">
      <c r="O6467" t="str">
        <f t="shared" si="101"/>
        <v/>
      </c>
    </row>
    <row r="6468" spans="15:15" x14ac:dyDescent="0.3">
      <c r="O6468" t="str">
        <f t="shared" si="101"/>
        <v/>
      </c>
    </row>
    <row r="6469" spans="15:15" x14ac:dyDescent="0.3">
      <c r="O6469" t="str">
        <f t="shared" si="101"/>
        <v/>
      </c>
    </row>
    <row r="6470" spans="15:15" x14ac:dyDescent="0.3">
      <c r="O6470" t="str">
        <f t="shared" si="101"/>
        <v/>
      </c>
    </row>
    <row r="6471" spans="15:15" x14ac:dyDescent="0.3">
      <c r="O6471" t="str">
        <f t="shared" si="101"/>
        <v/>
      </c>
    </row>
    <row r="6472" spans="15:15" x14ac:dyDescent="0.3">
      <c r="O6472" t="str">
        <f t="shared" si="101"/>
        <v/>
      </c>
    </row>
    <row r="6473" spans="15:15" x14ac:dyDescent="0.3">
      <c r="O6473" t="str">
        <f t="shared" si="101"/>
        <v/>
      </c>
    </row>
    <row r="6474" spans="15:15" x14ac:dyDescent="0.3">
      <c r="O6474" t="str">
        <f t="shared" ref="O6474:O6537" si="102">IF(P6474="","",O6473+1)</f>
        <v/>
      </c>
    </row>
    <row r="6475" spans="15:15" x14ac:dyDescent="0.3">
      <c r="O6475" t="str">
        <f t="shared" si="102"/>
        <v/>
      </c>
    </row>
    <row r="6476" spans="15:15" x14ac:dyDescent="0.3">
      <c r="O6476" t="str">
        <f t="shared" si="102"/>
        <v/>
      </c>
    </row>
    <row r="6477" spans="15:15" x14ac:dyDescent="0.3">
      <c r="O6477" t="str">
        <f t="shared" si="102"/>
        <v/>
      </c>
    </row>
    <row r="6478" spans="15:15" x14ac:dyDescent="0.3">
      <c r="O6478" t="str">
        <f t="shared" si="102"/>
        <v/>
      </c>
    </row>
    <row r="6479" spans="15:15" x14ac:dyDescent="0.3">
      <c r="O6479" t="str">
        <f t="shared" si="102"/>
        <v/>
      </c>
    </row>
    <row r="6480" spans="15:15" x14ac:dyDescent="0.3">
      <c r="O6480" t="str">
        <f t="shared" si="102"/>
        <v/>
      </c>
    </row>
    <row r="6481" spans="15:15" x14ac:dyDescent="0.3">
      <c r="O6481" t="str">
        <f t="shared" si="102"/>
        <v/>
      </c>
    </row>
    <row r="6482" spans="15:15" x14ac:dyDescent="0.3">
      <c r="O6482" t="str">
        <f t="shared" si="102"/>
        <v/>
      </c>
    </row>
    <row r="6483" spans="15:15" x14ac:dyDescent="0.3">
      <c r="O6483" t="str">
        <f t="shared" si="102"/>
        <v/>
      </c>
    </row>
    <row r="6484" spans="15:15" x14ac:dyDescent="0.3">
      <c r="O6484" t="str">
        <f t="shared" si="102"/>
        <v/>
      </c>
    </row>
    <row r="6485" spans="15:15" x14ac:dyDescent="0.3">
      <c r="O6485" t="str">
        <f t="shared" si="102"/>
        <v/>
      </c>
    </row>
    <row r="6486" spans="15:15" x14ac:dyDescent="0.3">
      <c r="O6486" t="str">
        <f t="shared" si="102"/>
        <v/>
      </c>
    </row>
    <row r="6487" spans="15:15" x14ac:dyDescent="0.3">
      <c r="O6487" t="str">
        <f t="shared" si="102"/>
        <v/>
      </c>
    </row>
    <row r="6488" spans="15:15" x14ac:dyDescent="0.3">
      <c r="O6488" t="str">
        <f t="shared" si="102"/>
        <v/>
      </c>
    </row>
    <row r="6489" spans="15:15" x14ac:dyDescent="0.3">
      <c r="O6489" t="str">
        <f t="shared" si="102"/>
        <v/>
      </c>
    </row>
    <row r="6490" spans="15:15" x14ac:dyDescent="0.3">
      <c r="O6490" t="str">
        <f t="shared" si="102"/>
        <v/>
      </c>
    </row>
    <row r="6491" spans="15:15" x14ac:dyDescent="0.3">
      <c r="O6491" t="str">
        <f t="shared" si="102"/>
        <v/>
      </c>
    </row>
    <row r="6492" spans="15:15" x14ac:dyDescent="0.3">
      <c r="O6492" t="str">
        <f t="shared" si="102"/>
        <v/>
      </c>
    </row>
    <row r="6493" spans="15:15" x14ac:dyDescent="0.3">
      <c r="O6493" t="str">
        <f t="shared" si="102"/>
        <v/>
      </c>
    </row>
    <row r="6494" spans="15:15" x14ac:dyDescent="0.3">
      <c r="O6494" t="str">
        <f t="shared" si="102"/>
        <v/>
      </c>
    </row>
    <row r="6495" spans="15:15" x14ac:dyDescent="0.3">
      <c r="O6495" t="str">
        <f t="shared" si="102"/>
        <v/>
      </c>
    </row>
    <row r="6496" spans="15:15" x14ac:dyDescent="0.3">
      <c r="O6496" t="str">
        <f t="shared" si="102"/>
        <v/>
      </c>
    </row>
    <row r="6497" spans="15:15" x14ac:dyDescent="0.3">
      <c r="O6497" t="str">
        <f t="shared" si="102"/>
        <v/>
      </c>
    </row>
    <row r="6498" spans="15:15" x14ac:dyDescent="0.3">
      <c r="O6498" t="str">
        <f t="shared" si="102"/>
        <v/>
      </c>
    </row>
    <row r="6499" spans="15:15" x14ac:dyDescent="0.3">
      <c r="O6499" t="str">
        <f t="shared" si="102"/>
        <v/>
      </c>
    </row>
    <row r="6500" spans="15:15" x14ac:dyDescent="0.3">
      <c r="O6500" t="str">
        <f t="shared" si="102"/>
        <v/>
      </c>
    </row>
    <row r="6501" spans="15:15" x14ac:dyDescent="0.3">
      <c r="O6501" t="str">
        <f t="shared" si="102"/>
        <v/>
      </c>
    </row>
    <row r="6502" spans="15:15" x14ac:dyDescent="0.3">
      <c r="O6502" t="str">
        <f t="shared" si="102"/>
        <v/>
      </c>
    </row>
    <row r="6503" spans="15:15" x14ac:dyDescent="0.3">
      <c r="O6503" t="str">
        <f t="shared" si="102"/>
        <v/>
      </c>
    </row>
    <row r="6504" spans="15:15" x14ac:dyDescent="0.3">
      <c r="O6504" t="str">
        <f t="shared" si="102"/>
        <v/>
      </c>
    </row>
    <row r="6505" spans="15:15" x14ac:dyDescent="0.3">
      <c r="O6505" t="str">
        <f t="shared" si="102"/>
        <v/>
      </c>
    </row>
    <row r="6506" spans="15:15" x14ac:dyDescent="0.3">
      <c r="O6506" t="str">
        <f t="shared" si="102"/>
        <v/>
      </c>
    </row>
    <row r="6507" spans="15:15" x14ac:dyDescent="0.3">
      <c r="O6507" t="str">
        <f t="shared" si="102"/>
        <v/>
      </c>
    </row>
    <row r="6508" spans="15:15" x14ac:dyDescent="0.3">
      <c r="O6508" t="str">
        <f t="shared" si="102"/>
        <v/>
      </c>
    </row>
    <row r="6509" spans="15:15" x14ac:dyDescent="0.3">
      <c r="O6509" t="str">
        <f t="shared" si="102"/>
        <v/>
      </c>
    </row>
    <row r="6510" spans="15:15" x14ac:dyDescent="0.3">
      <c r="O6510" t="str">
        <f t="shared" si="102"/>
        <v/>
      </c>
    </row>
    <row r="6511" spans="15:15" x14ac:dyDescent="0.3">
      <c r="O6511" t="str">
        <f t="shared" si="102"/>
        <v/>
      </c>
    </row>
    <row r="6512" spans="15:15" x14ac:dyDescent="0.3">
      <c r="O6512" t="str">
        <f t="shared" si="102"/>
        <v/>
      </c>
    </row>
    <row r="6513" spans="15:15" x14ac:dyDescent="0.3">
      <c r="O6513" t="str">
        <f t="shared" si="102"/>
        <v/>
      </c>
    </row>
    <row r="6514" spans="15:15" x14ac:dyDescent="0.3">
      <c r="O6514" t="str">
        <f t="shared" si="102"/>
        <v/>
      </c>
    </row>
    <row r="6515" spans="15:15" x14ac:dyDescent="0.3">
      <c r="O6515" t="str">
        <f t="shared" si="102"/>
        <v/>
      </c>
    </row>
    <row r="6516" spans="15:15" x14ac:dyDescent="0.3">
      <c r="O6516" t="str">
        <f t="shared" si="102"/>
        <v/>
      </c>
    </row>
    <row r="6517" spans="15:15" x14ac:dyDescent="0.3">
      <c r="O6517" t="str">
        <f t="shared" si="102"/>
        <v/>
      </c>
    </row>
    <row r="6518" spans="15:15" x14ac:dyDescent="0.3">
      <c r="O6518" t="str">
        <f t="shared" si="102"/>
        <v/>
      </c>
    </row>
    <row r="6519" spans="15:15" x14ac:dyDescent="0.3">
      <c r="O6519" t="str">
        <f t="shared" si="102"/>
        <v/>
      </c>
    </row>
    <row r="6520" spans="15:15" x14ac:dyDescent="0.3">
      <c r="O6520" t="str">
        <f t="shared" si="102"/>
        <v/>
      </c>
    </row>
    <row r="6521" spans="15:15" x14ac:dyDescent="0.3">
      <c r="O6521" t="str">
        <f t="shared" si="102"/>
        <v/>
      </c>
    </row>
    <row r="6522" spans="15:15" x14ac:dyDescent="0.3">
      <c r="O6522" t="str">
        <f t="shared" si="102"/>
        <v/>
      </c>
    </row>
    <row r="6523" spans="15:15" x14ac:dyDescent="0.3">
      <c r="O6523" t="str">
        <f t="shared" si="102"/>
        <v/>
      </c>
    </row>
    <row r="6524" spans="15:15" x14ac:dyDescent="0.3">
      <c r="O6524" t="str">
        <f t="shared" si="102"/>
        <v/>
      </c>
    </row>
    <row r="6525" spans="15:15" x14ac:dyDescent="0.3">
      <c r="O6525" t="str">
        <f t="shared" si="102"/>
        <v/>
      </c>
    </row>
    <row r="6526" spans="15:15" x14ac:dyDescent="0.3">
      <c r="O6526" t="str">
        <f t="shared" si="102"/>
        <v/>
      </c>
    </row>
    <row r="6527" spans="15:15" x14ac:dyDescent="0.3">
      <c r="O6527" t="str">
        <f t="shared" si="102"/>
        <v/>
      </c>
    </row>
    <row r="6528" spans="15:15" x14ac:dyDescent="0.3">
      <c r="O6528" t="str">
        <f t="shared" si="102"/>
        <v/>
      </c>
    </row>
    <row r="6529" spans="15:15" x14ac:dyDescent="0.3">
      <c r="O6529" t="str">
        <f t="shared" si="102"/>
        <v/>
      </c>
    </row>
    <row r="6530" spans="15:15" x14ac:dyDescent="0.3">
      <c r="O6530" t="str">
        <f t="shared" si="102"/>
        <v/>
      </c>
    </row>
    <row r="6531" spans="15:15" x14ac:dyDescent="0.3">
      <c r="O6531" t="str">
        <f t="shared" si="102"/>
        <v/>
      </c>
    </row>
    <row r="6532" spans="15:15" x14ac:dyDescent="0.3">
      <c r="O6532" t="str">
        <f t="shared" si="102"/>
        <v/>
      </c>
    </row>
    <row r="6533" spans="15:15" x14ac:dyDescent="0.3">
      <c r="O6533" t="str">
        <f t="shared" si="102"/>
        <v/>
      </c>
    </row>
    <row r="6534" spans="15:15" x14ac:dyDescent="0.3">
      <c r="O6534" t="str">
        <f t="shared" si="102"/>
        <v/>
      </c>
    </row>
    <row r="6535" spans="15:15" x14ac:dyDescent="0.3">
      <c r="O6535" t="str">
        <f t="shared" si="102"/>
        <v/>
      </c>
    </row>
    <row r="6536" spans="15:15" x14ac:dyDescent="0.3">
      <c r="O6536" t="str">
        <f t="shared" si="102"/>
        <v/>
      </c>
    </row>
    <row r="6537" spans="15:15" x14ac:dyDescent="0.3">
      <c r="O6537" t="str">
        <f t="shared" si="102"/>
        <v/>
      </c>
    </row>
    <row r="6538" spans="15:15" x14ac:dyDescent="0.3">
      <c r="O6538" t="str">
        <f t="shared" ref="O6538:O6601" si="103">IF(P6538="","",O6537+1)</f>
        <v/>
      </c>
    </row>
    <row r="6539" spans="15:15" x14ac:dyDescent="0.3">
      <c r="O6539" t="str">
        <f t="shared" si="103"/>
        <v/>
      </c>
    </row>
    <row r="6540" spans="15:15" x14ac:dyDescent="0.3">
      <c r="O6540" t="str">
        <f t="shared" si="103"/>
        <v/>
      </c>
    </row>
    <row r="6541" spans="15:15" x14ac:dyDescent="0.3">
      <c r="O6541" t="str">
        <f t="shared" si="103"/>
        <v/>
      </c>
    </row>
    <row r="6542" spans="15:15" x14ac:dyDescent="0.3">
      <c r="O6542" t="str">
        <f t="shared" si="103"/>
        <v/>
      </c>
    </row>
    <row r="6543" spans="15:15" x14ac:dyDescent="0.3">
      <c r="O6543" t="str">
        <f t="shared" si="103"/>
        <v/>
      </c>
    </row>
    <row r="6544" spans="15:15" x14ac:dyDescent="0.3">
      <c r="O6544" t="str">
        <f t="shared" si="103"/>
        <v/>
      </c>
    </row>
    <row r="6545" spans="15:15" x14ac:dyDescent="0.3">
      <c r="O6545" t="str">
        <f t="shared" si="103"/>
        <v/>
      </c>
    </row>
    <row r="6546" spans="15:15" x14ac:dyDescent="0.3">
      <c r="O6546" t="str">
        <f t="shared" si="103"/>
        <v/>
      </c>
    </row>
    <row r="6547" spans="15:15" x14ac:dyDescent="0.3">
      <c r="O6547" t="str">
        <f t="shared" si="103"/>
        <v/>
      </c>
    </row>
    <row r="6548" spans="15:15" x14ac:dyDescent="0.3">
      <c r="O6548" t="str">
        <f t="shared" si="103"/>
        <v/>
      </c>
    </row>
    <row r="6549" spans="15:15" x14ac:dyDescent="0.3">
      <c r="O6549" t="str">
        <f t="shared" si="103"/>
        <v/>
      </c>
    </row>
    <row r="6550" spans="15:15" x14ac:dyDescent="0.3">
      <c r="O6550" t="str">
        <f t="shared" si="103"/>
        <v/>
      </c>
    </row>
    <row r="6551" spans="15:15" x14ac:dyDescent="0.3">
      <c r="O6551" t="str">
        <f t="shared" si="103"/>
        <v/>
      </c>
    </row>
    <row r="6552" spans="15:15" x14ac:dyDescent="0.3">
      <c r="O6552" t="str">
        <f t="shared" si="103"/>
        <v/>
      </c>
    </row>
    <row r="6553" spans="15:15" x14ac:dyDescent="0.3">
      <c r="O6553" t="str">
        <f t="shared" si="103"/>
        <v/>
      </c>
    </row>
    <row r="6554" spans="15:15" x14ac:dyDescent="0.3">
      <c r="O6554" t="str">
        <f t="shared" si="103"/>
        <v/>
      </c>
    </row>
    <row r="6555" spans="15:15" x14ac:dyDescent="0.3">
      <c r="O6555" t="str">
        <f t="shared" si="103"/>
        <v/>
      </c>
    </row>
    <row r="6556" spans="15:15" x14ac:dyDescent="0.3">
      <c r="O6556" t="str">
        <f t="shared" si="103"/>
        <v/>
      </c>
    </row>
    <row r="6557" spans="15:15" x14ac:dyDescent="0.3">
      <c r="O6557" t="str">
        <f t="shared" si="103"/>
        <v/>
      </c>
    </row>
    <row r="6558" spans="15:15" x14ac:dyDescent="0.3">
      <c r="O6558" t="str">
        <f t="shared" si="103"/>
        <v/>
      </c>
    </row>
    <row r="6559" spans="15:15" x14ac:dyDescent="0.3">
      <c r="O6559" t="str">
        <f t="shared" si="103"/>
        <v/>
      </c>
    </row>
    <row r="6560" spans="15:15" x14ac:dyDescent="0.3">
      <c r="O6560" t="str">
        <f t="shared" si="103"/>
        <v/>
      </c>
    </row>
    <row r="6561" spans="15:15" x14ac:dyDescent="0.3">
      <c r="O6561" t="str">
        <f t="shared" si="103"/>
        <v/>
      </c>
    </row>
    <row r="6562" spans="15:15" x14ac:dyDescent="0.3">
      <c r="O6562" t="str">
        <f t="shared" si="103"/>
        <v/>
      </c>
    </row>
    <row r="6563" spans="15:15" x14ac:dyDescent="0.3">
      <c r="O6563" t="str">
        <f t="shared" si="103"/>
        <v/>
      </c>
    </row>
    <row r="6564" spans="15:15" x14ac:dyDescent="0.3">
      <c r="O6564" t="str">
        <f t="shared" si="103"/>
        <v/>
      </c>
    </row>
    <row r="6565" spans="15:15" x14ac:dyDescent="0.3">
      <c r="O6565" t="str">
        <f t="shared" si="103"/>
        <v/>
      </c>
    </row>
    <row r="6566" spans="15:15" x14ac:dyDescent="0.3">
      <c r="O6566" t="str">
        <f t="shared" si="103"/>
        <v/>
      </c>
    </row>
    <row r="6567" spans="15:15" x14ac:dyDescent="0.3">
      <c r="O6567" t="str">
        <f t="shared" si="103"/>
        <v/>
      </c>
    </row>
    <row r="6568" spans="15:15" x14ac:dyDescent="0.3">
      <c r="O6568" t="str">
        <f t="shared" si="103"/>
        <v/>
      </c>
    </row>
    <row r="6569" spans="15:15" x14ac:dyDescent="0.3">
      <c r="O6569" t="str">
        <f t="shared" si="103"/>
        <v/>
      </c>
    </row>
    <row r="6570" spans="15:15" x14ac:dyDescent="0.3">
      <c r="O6570" t="str">
        <f t="shared" si="103"/>
        <v/>
      </c>
    </row>
    <row r="6571" spans="15:15" x14ac:dyDescent="0.3">
      <c r="O6571" t="str">
        <f t="shared" si="103"/>
        <v/>
      </c>
    </row>
    <row r="6572" spans="15:15" x14ac:dyDescent="0.3">
      <c r="O6572" t="str">
        <f t="shared" si="103"/>
        <v/>
      </c>
    </row>
    <row r="6573" spans="15:15" x14ac:dyDescent="0.3">
      <c r="O6573" t="str">
        <f t="shared" si="103"/>
        <v/>
      </c>
    </row>
    <row r="6574" spans="15:15" x14ac:dyDescent="0.3">
      <c r="O6574" t="str">
        <f t="shared" si="103"/>
        <v/>
      </c>
    </row>
    <row r="6575" spans="15:15" x14ac:dyDescent="0.3">
      <c r="O6575" t="str">
        <f t="shared" si="103"/>
        <v/>
      </c>
    </row>
    <row r="6576" spans="15:15" x14ac:dyDescent="0.3">
      <c r="O6576" t="str">
        <f t="shared" si="103"/>
        <v/>
      </c>
    </row>
    <row r="6577" spans="15:15" x14ac:dyDescent="0.3">
      <c r="O6577" t="str">
        <f t="shared" si="103"/>
        <v/>
      </c>
    </row>
    <row r="6578" spans="15:15" x14ac:dyDescent="0.3">
      <c r="O6578" t="str">
        <f t="shared" si="103"/>
        <v/>
      </c>
    </row>
    <row r="6579" spans="15:15" x14ac:dyDescent="0.3">
      <c r="O6579" t="str">
        <f t="shared" si="103"/>
        <v/>
      </c>
    </row>
    <row r="6580" spans="15:15" x14ac:dyDescent="0.3">
      <c r="O6580" t="str">
        <f t="shared" si="103"/>
        <v/>
      </c>
    </row>
    <row r="6581" spans="15:15" x14ac:dyDescent="0.3">
      <c r="O6581" t="str">
        <f t="shared" si="103"/>
        <v/>
      </c>
    </row>
    <row r="6582" spans="15:15" x14ac:dyDescent="0.3">
      <c r="O6582" t="str">
        <f t="shared" si="103"/>
        <v/>
      </c>
    </row>
    <row r="6583" spans="15:15" x14ac:dyDescent="0.3">
      <c r="O6583" t="str">
        <f t="shared" si="103"/>
        <v/>
      </c>
    </row>
    <row r="6584" spans="15:15" x14ac:dyDescent="0.3">
      <c r="O6584" t="str">
        <f t="shared" si="103"/>
        <v/>
      </c>
    </row>
    <row r="6585" spans="15:15" x14ac:dyDescent="0.3">
      <c r="O6585" t="str">
        <f t="shared" si="103"/>
        <v/>
      </c>
    </row>
    <row r="6586" spans="15:15" x14ac:dyDescent="0.3">
      <c r="O6586" t="str">
        <f t="shared" si="103"/>
        <v/>
      </c>
    </row>
    <row r="6587" spans="15:15" x14ac:dyDescent="0.3">
      <c r="O6587" t="str">
        <f t="shared" si="103"/>
        <v/>
      </c>
    </row>
    <row r="6588" spans="15:15" x14ac:dyDescent="0.3">
      <c r="O6588" t="str">
        <f t="shared" si="103"/>
        <v/>
      </c>
    </row>
    <row r="6589" spans="15:15" x14ac:dyDescent="0.3">
      <c r="O6589" t="str">
        <f t="shared" si="103"/>
        <v/>
      </c>
    </row>
    <row r="6590" spans="15:15" x14ac:dyDescent="0.3">
      <c r="O6590" t="str">
        <f t="shared" si="103"/>
        <v/>
      </c>
    </row>
    <row r="6591" spans="15:15" x14ac:dyDescent="0.3">
      <c r="O6591" t="str">
        <f t="shared" si="103"/>
        <v/>
      </c>
    </row>
    <row r="6592" spans="15:15" x14ac:dyDescent="0.3">
      <c r="O6592" t="str">
        <f t="shared" si="103"/>
        <v/>
      </c>
    </row>
    <row r="6593" spans="15:15" x14ac:dyDescent="0.3">
      <c r="O6593" t="str">
        <f t="shared" si="103"/>
        <v/>
      </c>
    </row>
    <row r="6594" spans="15:15" x14ac:dyDescent="0.3">
      <c r="O6594" t="str">
        <f t="shared" si="103"/>
        <v/>
      </c>
    </row>
    <row r="6595" spans="15:15" x14ac:dyDescent="0.3">
      <c r="O6595" t="str">
        <f t="shared" si="103"/>
        <v/>
      </c>
    </row>
    <row r="6596" spans="15:15" x14ac:dyDescent="0.3">
      <c r="O6596" t="str">
        <f t="shared" si="103"/>
        <v/>
      </c>
    </row>
    <row r="6597" spans="15:15" x14ac:dyDescent="0.3">
      <c r="O6597" t="str">
        <f t="shared" si="103"/>
        <v/>
      </c>
    </row>
    <row r="6598" spans="15:15" x14ac:dyDescent="0.3">
      <c r="O6598" t="str">
        <f t="shared" si="103"/>
        <v/>
      </c>
    </row>
    <row r="6599" spans="15:15" x14ac:dyDescent="0.3">
      <c r="O6599" t="str">
        <f t="shared" si="103"/>
        <v/>
      </c>
    </row>
    <row r="6600" spans="15:15" x14ac:dyDescent="0.3">
      <c r="O6600" t="str">
        <f t="shared" si="103"/>
        <v/>
      </c>
    </row>
    <row r="6601" spans="15:15" x14ac:dyDescent="0.3">
      <c r="O6601" t="str">
        <f t="shared" si="103"/>
        <v/>
      </c>
    </row>
    <row r="6602" spans="15:15" x14ac:dyDescent="0.3">
      <c r="O6602" t="str">
        <f t="shared" ref="O6602:O6665" si="104">IF(P6602="","",O6601+1)</f>
        <v/>
      </c>
    </row>
    <row r="6603" spans="15:15" x14ac:dyDescent="0.3">
      <c r="O6603" t="str">
        <f t="shared" si="104"/>
        <v/>
      </c>
    </row>
    <row r="6604" spans="15:15" x14ac:dyDescent="0.3">
      <c r="O6604" t="str">
        <f t="shared" si="104"/>
        <v/>
      </c>
    </row>
    <row r="6605" spans="15:15" x14ac:dyDescent="0.3">
      <c r="O6605" t="str">
        <f t="shared" si="104"/>
        <v/>
      </c>
    </row>
    <row r="6606" spans="15:15" x14ac:dyDescent="0.3">
      <c r="O6606" t="str">
        <f t="shared" si="104"/>
        <v/>
      </c>
    </row>
    <row r="6607" spans="15:15" x14ac:dyDescent="0.3">
      <c r="O6607" t="str">
        <f t="shared" si="104"/>
        <v/>
      </c>
    </row>
    <row r="6608" spans="15:15" x14ac:dyDescent="0.3">
      <c r="O6608" t="str">
        <f t="shared" si="104"/>
        <v/>
      </c>
    </row>
    <row r="6609" spans="15:15" x14ac:dyDescent="0.3">
      <c r="O6609" t="str">
        <f t="shared" si="104"/>
        <v/>
      </c>
    </row>
    <row r="6610" spans="15:15" x14ac:dyDescent="0.3">
      <c r="O6610" t="str">
        <f t="shared" si="104"/>
        <v/>
      </c>
    </row>
    <row r="6611" spans="15:15" x14ac:dyDescent="0.3">
      <c r="O6611" t="str">
        <f t="shared" si="104"/>
        <v/>
      </c>
    </row>
    <row r="6612" spans="15:15" x14ac:dyDescent="0.3">
      <c r="O6612" t="str">
        <f t="shared" si="104"/>
        <v/>
      </c>
    </row>
    <row r="6613" spans="15:15" x14ac:dyDescent="0.3">
      <c r="O6613" t="str">
        <f t="shared" si="104"/>
        <v/>
      </c>
    </row>
    <row r="6614" spans="15:15" x14ac:dyDescent="0.3">
      <c r="O6614" t="str">
        <f t="shared" si="104"/>
        <v/>
      </c>
    </row>
    <row r="6615" spans="15:15" x14ac:dyDescent="0.3">
      <c r="O6615" t="str">
        <f t="shared" si="104"/>
        <v/>
      </c>
    </row>
    <row r="6616" spans="15:15" x14ac:dyDescent="0.3">
      <c r="O6616" t="str">
        <f t="shared" si="104"/>
        <v/>
      </c>
    </row>
    <row r="6617" spans="15:15" x14ac:dyDescent="0.3">
      <c r="O6617" t="str">
        <f t="shared" si="104"/>
        <v/>
      </c>
    </row>
    <row r="6618" spans="15:15" x14ac:dyDescent="0.3">
      <c r="O6618" t="str">
        <f t="shared" si="104"/>
        <v/>
      </c>
    </row>
    <row r="6619" spans="15:15" x14ac:dyDescent="0.3">
      <c r="O6619" t="str">
        <f t="shared" si="104"/>
        <v/>
      </c>
    </row>
    <row r="6620" spans="15:15" x14ac:dyDescent="0.3">
      <c r="O6620" t="str">
        <f t="shared" si="104"/>
        <v/>
      </c>
    </row>
    <row r="6621" spans="15:15" x14ac:dyDescent="0.3">
      <c r="O6621" t="str">
        <f t="shared" si="104"/>
        <v/>
      </c>
    </row>
    <row r="6622" spans="15:15" x14ac:dyDescent="0.3">
      <c r="O6622" t="str">
        <f t="shared" si="104"/>
        <v/>
      </c>
    </row>
    <row r="6623" spans="15:15" x14ac:dyDescent="0.3">
      <c r="O6623" t="str">
        <f t="shared" si="104"/>
        <v/>
      </c>
    </row>
    <row r="6624" spans="15:15" x14ac:dyDescent="0.3">
      <c r="O6624" t="str">
        <f t="shared" si="104"/>
        <v/>
      </c>
    </row>
    <row r="6625" spans="15:15" x14ac:dyDescent="0.3">
      <c r="O6625" t="str">
        <f t="shared" si="104"/>
        <v/>
      </c>
    </row>
    <row r="6626" spans="15:15" x14ac:dyDescent="0.3">
      <c r="O6626" t="str">
        <f t="shared" si="104"/>
        <v/>
      </c>
    </row>
    <row r="6627" spans="15:15" x14ac:dyDescent="0.3">
      <c r="O6627" t="str">
        <f t="shared" si="104"/>
        <v/>
      </c>
    </row>
    <row r="6628" spans="15:15" x14ac:dyDescent="0.3">
      <c r="O6628" t="str">
        <f t="shared" si="104"/>
        <v/>
      </c>
    </row>
    <row r="6629" spans="15:15" x14ac:dyDescent="0.3">
      <c r="O6629" t="str">
        <f t="shared" si="104"/>
        <v/>
      </c>
    </row>
    <row r="6630" spans="15:15" x14ac:dyDescent="0.3">
      <c r="O6630" t="str">
        <f t="shared" si="104"/>
        <v/>
      </c>
    </row>
    <row r="6631" spans="15:15" x14ac:dyDescent="0.3">
      <c r="O6631" t="str">
        <f t="shared" si="104"/>
        <v/>
      </c>
    </row>
    <row r="6632" spans="15:15" x14ac:dyDescent="0.3">
      <c r="O6632" t="str">
        <f t="shared" si="104"/>
        <v/>
      </c>
    </row>
    <row r="6633" spans="15:15" x14ac:dyDescent="0.3">
      <c r="O6633" t="str">
        <f t="shared" si="104"/>
        <v/>
      </c>
    </row>
    <row r="6634" spans="15:15" x14ac:dyDescent="0.3">
      <c r="O6634" t="str">
        <f t="shared" si="104"/>
        <v/>
      </c>
    </row>
    <row r="6635" spans="15:15" x14ac:dyDescent="0.3">
      <c r="O6635" t="str">
        <f t="shared" si="104"/>
        <v/>
      </c>
    </row>
    <row r="6636" spans="15:15" x14ac:dyDescent="0.3">
      <c r="O6636" t="str">
        <f t="shared" si="104"/>
        <v/>
      </c>
    </row>
    <row r="6637" spans="15:15" x14ac:dyDescent="0.3">
      <c r="O6637" t="str">
        <f t="shared" si="104"/>
        <v/>
      </c>
    </row>
    <row r="6638" spans="15:15" x14ac:dyDescent="0.3">
      <c r="O6638" t="str">
        <f t="shared" si="104"/>
        <v/>
      </c>
    </row>
    <row r="6639" spans="15:15" x14ac:dyDescent="0.3">
      <c r="O6639" t="str">
        <f t="shared" si="104"/>
        <v/>
      </c>
    </row>
    <row r="6640" spans="15:15" x14ac:dyDescent="0.3">
      <c r="O6640" t="str">
        <f t="shared" si="104"/>
        <v/>
      </c>
    </row>
    <row r="6641" spans="15:15" x14ac:dyDescent="0.3">
      <c r="O6641" t="str">
        <f t="shared" si="104"/>
        <v/>
      </c>
    </row>
    <row r="6642" spans="15:15" x14ac:dyDescent="0.3">
      <c r="O6642" t="str">
        <f t="shared" si="104"/>
        <v/>
      </c>
    </row>
    <row r="6643" spans="15:15" x14ac:dyDescent="0.3">
      <c r="O6643" t="str">
        <f t="shared" si="104"/>
        <v/>
      </c>
    </row>
    <row r="6644" spans="15:15" x14ac:dyDescent="0.3">
      <c r="O6644" t="str">
        <f t="shared" si="104"/>
        <v/>
      </c>
    </row>
    <row r="6645" spans="15:15" x14ac:dyDescent="0.3">
      <c r="O6645" t="str">
        <f t="shared" si="104"/>
        <v/>
      </c>
    </row>
    <row r="6646" spans="15:15" x14ac:dyDescent="0.3">
      <c r="O6646" t="str">
        <f t="shared" si="104"/>
        <v/>
      </c>
    </row>
    <row r="6647" spans="15:15" x14ac:dyDescent="0.3">
      <c r="O6647" t="str">
        <f t="shared" si="104"/>
        <v/>
      </c>
    </row>
    <row r="6648" spans="15:15" x14ac:dyDescent="0.3">
      <c r="O6648" t="str">
        <f t="shared" si="104"/>
        <v/>
      </c>
    </row>
    <row r="6649" spans="15:15" x14ac:dyDescent="0.3">
      <c r="O6649" t="str">
        <f t="shared" si="104"/>
        <v/>
      </c>
    </row>
    <row r="6650" spans="15:15" x14ac:dyDescent="0.3">
      <c r="O6650" t="str">
        <f t="shared" si="104"/>
        <v/>
      </c>
    </row>
    <row r="6651" spans="15:15" x14ac:dyDescent="0.3">
      <c r="O6651" t="str">
        <f t="shared" si="104"/>
        <v/>
      </c>
    </row>
    <row r="6652" spans="15:15" x14ac:dyDescent="0.3">
      <c r="O6652" t="str">
        <f t="shared" si="104"/>
        <v/>
      </c>
    </row>
    <row r="6653" spans="15:15" x14ac:dyDescent="0.3">
      <c r="O6653" t="str">
        <f t="shared" si="104"/>
        <v/>
      </c>
    </row>
    <row r="6654" spans="15:15" x14ac:dyDescent="0.3">
      <c r="O6654" t="str">
        <f t="shared" si="104"/>
        <v/>
      </c>
    </row>
    <row r="6655" spans="15:15" x14ac:dyDescent="0.3">
      <c r="O6655" t="str">
        <f t="shared" si="104"/>
        <v/>
      </c>
    </row>
    <row r="6656" spans="15:15" x14ac:dyDescent="0.3">
      <c r="O6656" t="str">
        <f t="shared" si="104"/>
        <v/>
      </c>
    </row>
    <row r="6657" spans="15:15" x14ac:dyDescent="0.3">
      <c r="O6657" t="str">
        <f t="shared" si="104"/>
        <v/>
      </c>
    </row>
    <row r="6658" spans="15:15" x14ac:dyDescent="0.3">
      <c r="O6658" t="str">
        <f t="shared" si="104"/>
        <v/>
      </c>
    </row>
    <row r="6659" spans="15:15" x14ac:dyDescent="0.3">
      <c r="O6659" t="str">
        <f t="shared" si="104"/>
        <v/>
      </c>
    </row>
    <row r="6660" spans="15:15" x14ac:dyDescent="0.3">
      <c r="O6660" t="str">
        <f t="shared" si="104"/>
        <v/>
      </c>
    </row>
    <row r="6661" spans="15:15" x14ac:dyDescent="0.3">
      <c r="O6661" t="str">
        <f t="shared" si="104"/>
        <v/>
      </c>
    </row>
    <row r="6662" spans="15:15" x14ac:dyDescent="0.3">
      <c r="O6662" t="str">
        <f t="shared" si="104"/>
        <v/>
      </c>
    </row>
    <row r="6663" spans="15:15" x14ac:dyDescent="0.3">
      <c r="O6663" t="str">
        <f t="shared" si="104"/>
        <v/>
      </c>
    </row>
    <row r="6664" spans="15:15" x14ac:dyDescent="0.3">
      <c r="O6664" t="str">
        <f t="shared" si="104"/>
        <v/>
      </c>
    </row>
    <row r="6665" spans="15:15" x14ac:dyDescent="0.3">
      <c r="O6665" t="str">
        <f t="shared" si="104"/>
        <v/>
      </c>
    </row>
    <row r="6666" spans="15:15" x14ac:dyDescent="0.3">
      <c r="O6666" t="str">
        <f t="shared" ref="O6666:O6729" si="105">IF(P6666="","",O6665+1)</f>
        <v/>
      </c>
    </row>
    <row r="6667" spans="15:15" x14ac:dyDescent="0.3">
      <c r="O6667" t="str">
        <f t="shared" si="105"/>
        <v/>
      </c>
    </row>
    <row r="6668" spans="15:15" x14ac:dyDescent="0.3">
      <c r="O6668" t="str">
        <f t="shared" si="105"/>
        <v/>
      </c>
    </row>
    <row r="6669" spans="15:15" x14ac:dyDescent="0.3">
      <c r="O6669" t="str">
        <f t="shared" si="105"/>
        <v/>
      </c>
    </row>
    <row r="6670" spans="15:15" x14ac:dyDescent="0.3">
      <c r="O6670" t="str">
        <f t="shared" si="105"/>
        <v/>
      </c>
    </row>
    <row r="6671" spans="15:15" x14ac:dyDescent="0.3">
      <c r="O6671" t="str">
        <f t="shared" si="105"/>
        <v/>
      </c>
    </row>
    <row r="6672" spans="15:15" x14ac:dyDescent="0.3">
      <c r="O6672" t="str">
        <f t="shared" si="105"/>
        <v/>
      </c>
    </row>
    <row r="6673" spans="15:15" x14ac:dyDescent="0.3">
      <c r="O6673" t="str">
        <f t="shared" si="105"/>
        <v/>
      </c>
    </row>
    <row r="6674" spans="15:15" x14ac:dyDescent="0.3">
      <c r="O6674" t="str">
        <f t="shared" si="105"/>
        <v/>
      </c>
    </row>
    <row r="6675" spans="15:15" x14ac:dyDescent="0.3">
      <c r="O6675" t="str">
        <f t="shared" si="105"/>
        <v/>
      </c>
    </row>
    <row r="6676" spans="15:15" x14ac:dyDescent="0.3">
      <c r="O6676" t="str">
        <f t="shared" si="105"/>
        <v/>
      </c>
    </row>
    <row r="6677" spans="15:15" x14ac:dyDescent="0.3">
      <c r="O6677" t="str">
        <f t="shared" si="105"/>
        <v/>
      </c>
    </row>
    <row r="6678" spans="15:15" x14ac:dyDescent="0.3">
      <c r="O6678" t="str">
        <f t="shared" si="105"/>
        <v/>
      </c>
    </row>
    <row r="6679" spans="15:15" x14ac:dyDescent="0.3">
      <c r="O6679" t="str">
        <f t="shared" si="105"/>
        <v/>
      </c>
    </row>
    <row r="6680" spans="15:15" x14ac:dyDescent="0.3">
      <c r="O6680" t="str">
        <f t="shared" si="105"/>
        <v/>
      </c>
    </row>
    <row r="6681" spans="15:15" x14ac:dyDescent="0.3">
      <c r="O6681" t="str">
        <f t="shared" si="105"/>
        <v/>
      </c>
    </row>
    <row r="6682" spans="15:15" x14ac:dyDescent="0.3">
      <c r="O6682" t="str">
        <f t="shared" si="105"/>
        <v/>
      </c>
    </row>
    <row r="6683" spans="15:15" x14ac:dyDescent="0.3">
      <c r="O6683" t="str">
        <f t="shared" si="105"/>
        <v/>
      </c>
    </row>
    <row r="6684" spans="15:15" x14ac:dyDescent="0.3">
      <c r="O6684" t="str">
        <f t="shared" si="105"/>
        <v/>
      </c>
    </row>
    <row r="6685" spans="15:15" x14ac:dyDescent="0.3">
      <c r="O6685" t="str">
        <f t="shared" si="105"/>
        <v/>
      </c>
    </row>
    <row r="6686" spans="15:15" x14ac:dyDescent="0.3">
      <c r="O6686" t="str">
        <f t="shared" si="105"/>
        <v/>
      </c>
    </row>
    <row r="6687" spans="15:15" x14ac:dyDescent="0.3">
      <c r="O6687" t="str">
        <f t="shared" si="105"/>
        <v/>
      </c>
    </row>
    <row r="6688" spans="15:15" x14ac:dyDescent="0.3">
      <c r="O6688" t="str">
        <f t="shared" si="105"/>
        <v/>
      </c>
    </row>
    <row r="6689" spans="15:15" x14ac:dyDescent="0.3">
      <c r="O6689" t="str">
        <f t="shared" si="105"/>
        <v/>
      </c>
    </row>
    <row r="6690" spans="15:15" x14ac:dyDescent="0.3">
      <c r="O6690" t="str">
        <f t="shared" si="105"/>
        <v/>
      </c>
    </row>
    <row r="6691" spans="15:15" x14ac:dyDescent="0.3">
      <c r="O6691" t="str">
        <f t="shared" si="105"/>
        <v/>
      </c>
    </row>
    <row r="6692" spans="15:15" x14ac:dyDescent="0.3">
      <c r="O6692" t="str">
        <f t="shared" si="105"/>
        <v/>
      </c>
    </row>
    <row r="6693" spans="15:15" x14ac:dyDescent="0.3">
      <c r="O6693" t="str">
        <f t="shared" si="105"/>
        <v/>
      </c>
    </row>
    <row r="6694" spans="15:15" x14ac:dyDescent="0.3">
      <c r="O6694" t="str">
        <f t="shared" si="105"/>
        <v/>
      </c>
    </row>
    <row r="6695" spans="15:15" x14ac:dyDescent="0.3">
      <c r="O6695" t="str">
        <f t="shared" si="105"/>
        <v/>
      </c>
    </row>
    <row r="6696" spans="15:15" x14ac:dyDescent="0.3">
      <c r="O6696" t="str">
        <f t="shared" si="105"/>
        <v/>
      </c>
    </row>
    <row r="6697" spans="15:15" x14ac:dyDescent="0.3">
      <c r="O6697" t="str">
        <f t="shared" si="105"/>
        <v/>
      </c>
    </row>
    <row r="6698" spans="15:15" x14ac:dyDescent="0.3">
      <c r="O6698" t="str">
        <f t="shared" si="105"/>
        <v/>
      </c>
    </row>
    <row r="6699" spans="15:15" x14ac:dyDescent="0.3">
      <c r="O6699" t="str">
        <f t="shared" si="105"/>
        <v/>
      </c>
    </row>
    <row r="6700" spans="15:15" x14ac:dyDescent="0.3">
      <c r="O6700" t="str">
        <f t="shared" si="105"/>
        <v/>
      </c>
    </row>
    <row r="6701" spans="15:15" x14ac:dyDescent="0.3">
      <c r="O6701" t="str">
        <f t="shared" si="105"/>
        <v/>
      </c>
    </row>
    <row r="6702" spans="15:15" x14ac:dyDescent="0.3">
      <c r="O6702" t="str">
        <f t="shared" si="105"/>
        <v/>
      </c>
    </row>
    <row r="6703" spans="15:15" x14ac:dyDescent="0.3">
      <c r="O6703" t="str">
        <f t="shared" si="105"/>
        <v/>
      </c>
    </row>
    <row r="6704" spans="15:15" x14ac:dyDescent="0.3">
      <c r="O6704" t="str">
        <f t="shared" si="105"/>
        <v/>
      </c>
    </row>
    <row r="6705" spans="15:15" x14ac:dyDescent="0.3">
      <c r="O6705" t="str">
        <f t="shared" si="105"/>
        <v/>
      </c>
    </row>
    <row r="6706" spans="15:15" x14ac:dyDescent="0.3">
      <c r="O6706" t="str">
        <f t="shared" si="105"/>
        <v/>
      </c>
    </row>
    <row r="6707" spans="15:15" x14ac:dyDescent="0.3">
      <c r="O6707" t="str">
        <f t="shared" si="105"/>
        <v/>
      </c>
    </row>
    <row r="6708" spans="15:15" x14ac:dyDescent="0.3">
      <c r="O6708" t="str">
        <f t="shared" si="105"/>
        <v/>
      </c>
    </row>
    <row r="6709" spans="15:15" x14ac:dyDescent="0.3">
      <c r="O6709" t="str">
        <f t="shared" si="105"/>
        <v/>
      </c>
    </row>
    <row r="6710" spans="15:15" x14ac:dyDescent="0.3">
      <c r="O6710" t="str">
        <f t="shared" si="105"/>
        <v/>
      </c>
    </row>
    <row r="6711" spans="15:15" x14ac:dyDescent="0.3">
      <c r="O6711" t="str">
        <f t="shared" si="105"/>
        <v/>
      </c>
    </row>
    <row r="6712" spans="15:15" x14ac:dyDescent="0.3">
      <c r="O6712" t="str">
        <f t="shared" si="105"/>
        <v/>
      </c>
    </row>
    <row r="6713" spans="15:15" x14ac:dyDescent="0.3">
      <c r="O6713" t="str">
        <f t="shared" si="105"/>
        <v/>
      </c>
    </row>
    <row r="6714" spans="15:15" x14ac:dyDescent="0.3">
      <c r="O6714" t="str">
        <f t="shared" si="105"/>
        <v/>
      </c>
    </row>
    <row r="6715" spans="15:15" x14ac:dyDescent="0.3">
      <c r="O6715" t="str">
        <f t="shared" si="105"/>
        <v/>
      </c>
    </row>
    <row r="6716" spans="15:15" x14ac:dyDescent="0.3">
      <c r="O6716" t="str">
        <f t="shared" si="105"/>
        <v/>
      </c>
    </row>
    <row r="6717" spans="15:15" x14ac:dyDescent="0.3">
      <c r="O6717" t="str">
        <f t="shared" si="105"/>
        <v/>
      </c>
    </row>
    <row r="6718" spans="15:15" x14ac:dyDescent="0.3">
      <c r="O6718" t="str">
        <f t="shared" si="105"/>
        <v/>
      </c>
    </row>
    <row r="6719" spans="15:15" x14ac:dyDescent="0.3">
      <c r="O6719" t="str">
        <f t="shared" si="105"/>
        <v/>
      </c>
    </row>
    <row r="6720" spans="15:15" x14ac:dyDescent="0.3">
      <c r="O6720" t="str">
        <f t="shared" si="105"/>
        <v/>
      </c>
    </row>
    <row r="6721" spans="15:15" x14ac:dyDescent="0.3">
      <c r="O6721" t="str">
        <f t="shared" si="105"/>
        <v/>
      </c>
    </row>
    <row r="6722" spans="15:15" x14ac:dyDescent="0.3">
      <c r="O6722" t="str">
        <f t="shared" si="105"/>
        <v/>
      </c>
    </row>
    <row r="6723" spans="15:15" x14ac:dyDescent="0.3">
      <c r="O6723" t="str">
        <f t="shared" si="105"/>
        <v/>
      </c>
    </row>
    <row r="6724" spans="15:15" x14ac:dyDescent="0.3">
      <c r="O6724" t="str">
        <f t="shared" si="105"/>
        <v/>
      </c>
    </row>
    <row r="6725" spans="15:15" x14ac:dyDescent="0.3">
      <c r="O6725" t="str">
        <f t="shared" si="105"/>
        <v/>
      </c>
    </row>
    <row r="6726" spans="15:15" x14ac:dyDescent="0.3">
      <c r="O6726" t="str">
        <f t="shared" si="105"/>
        <v/>
      </c>
    </row>
    <row r="6727" spans="15:15" x14ac:dyDescent="0.3">
      <c r="O6727" t="str">
        <f t="shared" si="105"/>
        <v/>
      </c>
    </row>
    <row r="6728" spans="15:15" x14ac:dyDescent="0.3">
      <c r="O6728" t="str">
        <f t="shared" si="105"/>
        <v/>
      </c>
    </row>
    <row r="6729" spans="15:15" x14ac:dyDescent="0.3">
      <c r="O6729" t="str">
        <f t="shared" si="105"/>
        <v/>
      </c>
    </row>
    <row r="6730" spans="15:15" x14ac:dyDescent="0.3">
      <c r="O6730" t="str">
        <f t="shared" ref="O6730:O6793" si="106">IF(P6730="","",O6729+1)</f>
        <v/>
      </c>
    </row>
    <row r="6731" spans="15:15" x14ac:dyDescent="0.3">
      <c r="O6731" t="str">
        <f t="shared" si="106"/>
        <v/>
      </c>
    </row>
    <row r="6732" spans="15:15" x14ac:dyDescent="0.3">
      <c r="O6732" t="str">
        <f t="shared" si="106"/>
        <v/>
      </c>
    </row>
    <row r="6733" spans="15:15" x14ac:dyDescent="0.3">
      <c r="O6733" t="str">
        <f t="shared" si="106"/>
        <v/>
      </c>
    </row>
    <row r="6734" spans="15:15" x14ac:dyDescent="0.3">
      <c r="O6734" t="str">
        <f t="shared" si="106"/>
        <v/>
      </c>
    </row>
    <row r="6735" spans="15:15" x14ac:dyDescent="0.3">
      <c r="O6735" t="str">
        <f t="shared" si="106"/>
        <v/>
      </c>
    </row>
    <row r="6736" spans="15:15" x14ac:dyDescent="0.3">
      <c r="O6736" t="str">
        <f t="shared" si="106"/>
        <v/>
      </c>
    </row>
    <row r="6737" spans="15:15" x14ac:dyDescent="0.3">
      <c r="O6737" t="str">
        <f t="shared" si="106"/>
        <v/>
      </c>
    </row>
    <row r="6738" spans="15:15" x14ac:dyDescent="0.3">
      <c r="O6738" t="str">
        <f t="shared" si="106"/>
        <v/>
      </c>
    </row>
    <row r="6739" spans="15:15" x14ac:dyDescent="0.3">
      <c r="O6739" t="str">
        <f t="shared" si="106"/>
        <v/>
      </c>
    </row>
    <row r="6740" spans="15:15" x14ac:dyDescent="0.3">
      <c r="O6740" t="str">
        <f t="shared" si="106"/>
        <v/>
      </c>
    </row>
    <row r="6741" spans="15:15" x14ac:dyDescent="0.3">
      <c r="O6741" t="str">
        <f t="shared" si="106"/>
        <v/>
      </c>
    </row>
    <row r="6742" spans="15:15" x14ac:dyDescent="0.3">
      <c r="O6742" t="str">
        <f t="shared" si="106"/>
        <v/>
      </c>
    </row>
    <row r="6743" spans="15:15" x14ac:dyDescent="0.3">
      <c r="O6743" t="str">
        <f t="shared" si="106"/>
        <v/>
      </c>
    </row>
    <row r="6744" spans="15:15" x14ac:dyDescent="0.3">
      <c r="O6744" t="str">
        <f t="shared" si="106"/>
        <v/>
      </c>
    </row>
    <row r="6745" spans="15:15" x14ac:dyDescent="0.3">
      <c r="O6745" t="str">
        <f t="shared" si="106"/>
        <v/>
      </c>
    </row>
    <row r="6746" spans="15:15" x14ac:dyDescent="0.3">
      <c r="O6746" t="str">
        <f t="shared" si="106"/>
        <v/>
      </c>
    </row>
    <row r="6747" spans="15:15" x14ac:dyDescent="0.3">
      <c r="O6747" t="str">
        <f t="shared" si="106"/>
        <v/>
      </c>
    </row>
    <row r="6748" spans="15:15" x14ac:dyDescent="0.3">
      <c r="O6748" t="str">
        <f t="shared" si="106"/>
        <v/>
      </c>
    </row>
    <row r="6749" spans="15:15" x14ac:dyDescent="0.3">
      <c r="O6749" t="str">
        <f t="shared" si="106"/>
        <v/>
      </c>
    </row>
    <row r="6750" spans="15:15" x14ac:dyDescent="0.3">
      <c r="O6750" t="str">
        <f t="shared" si="106"/>
        <v/>
      </c>
    </row>
    <row r="6751" spans="15:15" x14ac:dyDescent="0.3">
      <c r="O6751" t="str">
        <f t="shared" si="106"/>
        <v/>
      </c>
    </row>
    <row r="6752" spans="15:15" x14ac:dyDescent="0.3">
      <c r="O6752" t="str">
        <f t="shared" si="106"/>
        <v/>
      </c>
    </row>
    <row r="6753" spans="15:15" x14ac:dyDescent="0.3">
      <c r="O6753" t="str">
        <f t="shared" si="106"/>
        <v/>
      </c>
    </row>
    <row r="6754" spans="15:15" x14ac:dyDescent="0.3">
      <c r="O6754" t="str">
        <f t="shared" si="106"/>
        <v/>
      </c>
    </row>
    <row r="6755" spans="15:15" x14ac:dyDescent="0.3">
      <c r="O6755" t="str">
        <f t="shared" si="106"/>
        <v/>
      </c>
    </row>
    <row r="6756" spans="15:15" x14ac:dyDescent="0.3">
      <c r="O6756" t="str">
        <f t="shared" si="106"/>
        <v/>
      </c>
    </row>
    <row r="6757" spans="15:15" x14ac:dyDescent="0.3">
      <c r="O6757" t="str">
        <f t="shared" si="106"/>
        <v/>
      </c>
    </row>
    <row r="6758" spans="15:15" x14ac:dyDescent="0.3">
      <c r="O6758" t="str">
        <f t="shared" si="106"/>
        <v/>
      </c>
    </row>
    <row r="6759" spans="15:15" x14ac:dyDescent="0.3">
      <c r="O6759" t="str">
        <f t="shared" si="106"/>
        <v/>
      </c>
    </row>
    <row r="6760" spans="15:15" x14ac:dyDescent="0.3">
      <c r="O6760" t="str">
        <f t="shared" si="106"/>
        <v/>
      </c>
    </row>
    <row r="6761" spans="15:15" x14ac:dyDescent="0.3">
      <c r="O6761" t="str">
        <f t="shared" si="106"/>
        <v/>
      </c>
    </row>
    <row r="6762" spans="15:15" x14ac:dyDescent="0.3">
      <c r="O6762" t="str">
        <f t="shared" si="106"/>
        <v/>
      </c>
    </row>
    <row r="6763" spans="15:15" x14ac:dyDescent="0.3">
      <c r="O6763" t="str">
        <f t="shared" si="106"/>
        <v/>
      </c>
    </row>
    <row r="6764" spans="15:15" x14ac:dyDescent="0.3">
      <c r="O6764" t="str">
        <f t="shared" si="106"/>
        <v/>
      </c>
    </row>
    <row r="6765" spans="15:15" x14ac:dyDescent="0.3">
      <c r="O6765" t="str">
        <f t="shared" si="106"/>
        <v/>
      </c>
    </row>
    <row r="6766" spans="15:15" x14ac:dyDescent="0.3">
      <c r="O6766" t="str">
        <f t="shared" si="106"/>
        <v/>
      </c>
    </row>
    <row r="6767" spans="15:15" x14ac:dyDescent="0.3">
      <c r="O6767" t="str">
        <f t="shared" si="106"/>
        <v/>
      </c>
    </row>
    <row r="6768" spans="15:15" x14ac:dyDescent="0.3">
      <c r="O6768" t="str">
        <f t="shared" si="106"/>
        <v/>
      </c>
    </row>
    <row r="6769" spans="15:15" x14ac:dyDescent="0.3">
      <c r="O6769" t="str">
        <f t="shared" si="106"/>
        <v/>
      </c>
    </row>
    <row r="6770" spans="15:15" x14ac:dyDescent="0.3">
      <c r="O6770" t="str">
        <f t="shared" si="106"/>
        <v/>
      </c>
    </row>
    <row r="6771" spans="15:15" x14ac:dyDescent="0.3">
      <c r="O6771" t="str">
        <f t="shared" si="106"/>
        <v/>
      </c>
    </row>
    <row r="6772" spans="15:15" x14ac:dyDescent="0.3">
      <c r="O6772" t="str">
        <f t="shared" si="106"/>
        <v/>
      </c>
    </row>
    <row r="6773" spans="15:15" x14ac:dyDescent="0.3">
      <c r="O6773" t="str">
        <f t="shared" si="106"/>
        <v/>
      </c>
    </row>
    <row r="6774" spans="15:15" x14ac:dyDescent="0.3">
      <c r="O6774" t="str">
        <f t="shared" si="106"/>
        <v/>
      </c>
    </row>
    <row r="6775" spans="15:15" x14ac:dyDescent="0.3">
      <c r="O6775" t="str">
        <f t="shared" si="106"/>
        <v/>
      </c>
    </row>
    <row r="6776" spans="15:15" x14ac:dyDescent="0.3">
      <c r="O6776" t="str">
        <f t="shared" si="106"/>
        <v/>
      </c>
    </row>
    <row r="6777" spans="15:15" x14ac:dyDescent="0.3">
      <c r="O6777" t="str">
        <f t="shared" si="106"/>
        <v/>
      </c>
    </row>
    <row r="6778" spans="15:15" x14ac:dyDescent="0.3">
      <c r="O6778" t="str">
        <f t="shared" si="106"/>
        <v/>
      </c>
    </row>
    <row r="6779" spans="15:15" x14ac:dyDescent="0.3">
      <c r="O6779" t="str">
        <f t="shared" si="106"/>
        <v/>
      </c>
    </row>
    <row r="6780" spans="15:15" x14ac:dyDescent="0.3">
      <c r="O6780" t="str">
        <f t="shared" si="106"/>
        <v/>
      </c>
    </row>
    <row r="6781" spans="15:15" x14ac:dyDescent="0.3">
      <c r="O6781" t="str">
        <f t="shared" si="106"/>
        <v/>
      </c>
    </row>
    <row r="6782" spans="15:15" x14ac:dyDescent="0.3">
      <c r="O6782" t="str">
        <f t="shared" si="106"/>
        <v/>
      </c>
    </row>
    <row r="6783" spans="15:15" x14ac:dyDescent="0.3">
      <c r="O6783" t="str">
        <f t="shared" si="106"/>
        <v/>
      </c>
    </row>
    <row r="6784" spans="15:15" x14ac:dyDescent="0.3">
      <c r="O6784" t="str">
        <f t="shared" si="106"/>
        <v/>
      </c>
    </row>
    <row r="6785" spans="15:15" x14ac:dyDescent="0.3">
      <c r="O6785" t="str">
        <f t="shared" si="106"/>
        <v/>
      </c>
    </row>
    <row r="6786" spans="15:15" x14ac:dyDescent="0.3">
      <c r="O6786" t="str">
        <f t="shared" si="106"/>
        <v/>
      </c>
    </row>
    <row r="6787" spans="15:15" x14ac:dyDescent="0.3">
      <c r="O6787" t="str">
        <f t="shared" si="106"/>
        <v/>
      </c>
    </row>
    <row r="6788" spans="15:15" x14ac:dyDescent="0.3">
      <c r="O6788" t="str">
        <f t="shared" si="106"/>
        <v/>
      </c>
    </row>
    <row r="6789" spans="15:15" x14ac:dyDescent="0.3">
      <c r="O6789" t="str">
        <f t="shared" si="106"/>
        <v/>
      </c>
    </row>
    <row r="6790" spans="15:15" x14ac:dyDescent="0.3">
      <c r="O6790" t="str">
        <f t="shared" si="106"/>
        <v/>
      </c>
    </row>
    <row r="6791" spans="15:15" x14ac:dyDescent="0.3">
      <c r="O6791" t="str">
        <f t="shared" si="106"/>
        <v/>
      </c>
    </row>
    <row r="6792" spans="15:15" x14ac:dyDescent="0.3">
      <c r="O6792" t="str">
        <f t="shared" si="106"/>
        <v/>
      </c>
    </row>
    <row r="6793" spans="15:15" x14ac:dyDescent="0.3">
      <c r="O6793" t="str">
        <f t="shared" si="106"/>
        <v/>
      </c>
    </row>
    <row r="6794" spans="15:15" x14ac:dyDescent="0.3">
      <c r="O6794" t="str">
        <f t="shared" ref="O6794:O6857" si="107">IF(P6794="","",O6793+1)</f>
        <v/>
      </c>
    </row>
    <row r="6795" spans="15:15" x14ac:dyDescent="0.3">
      <c r="O6795" t="str">
        <f t="shared" si="107"/>
        <v/>
      </c>
    </row>
    <row r="6796" spans="15:15" x14ac:dyDescent="0.3">
      <c r="O6796" t="str">
        <f t="shared" si="107"/>
        <v/>
      </c>
    </row>
    <row r="6797" spans="15:15" x14ac:dyDescent="0.3">
      <c r="O6797" t="str">
        <f t="shared" si="107"/>
        <v/>
      </c>
    </row>
    <row r="6798" spans="15:15" x14ac:dyDescent="0.3">
      <c r="O6798" t="str">
        <f t="shared" si="107"/>
        <v/>
      </c>
    </row>
    <row r="6799" spans="15:15" x14ac:dyDescent="0.3">
      <c r="O6799" t="str">
        <f t="shared" si="107"/>
        <v/>
      </c>
    </row>
    <row r="6800" spans="15:15" x14ac:dyDescent="0.3">
      <c r="O6800" t="str">
        <f t="shared" si="107"/>
        <v/>
      </c>
    </row>
    <row r="6801" spans="15:15" x14ac:dyDescent="0.3">
      <c r="O6801" t="str">
        <f t="shared" si="107"/>
        <v/>
      </c>
    </row>
    <row r="6802" spans="15:15" x14ac:dyDescent="0.3">
      <c r="O6802" t="str">
        <f t="shared" si="107"/>
        <v/>
      </c>
    </row>
    <row r="6803" spans="15:15" x14ac:dyDescent="0.3">
      <c r="O6803" t="str">
        <f t="shared" si="107"/>
        <v/>
      </c>
    </row>
    <row r="6804" spans="15:15" x14ac:dyDescent="0.3">
      <c r="O6804" t="str">
        <f t="shared" si="107"/>
        <v/>
      </c>
    </row>
    <row r="6805" spans="15:15" x14ac:dyDescent="0.3">
      <c r="O6805" t="str">
        <f t="shared" si="107"/>
        <v/>
      </c>
    </row>
    <row r="6806" spans="15:15" x14ac:dyDescent="0.3">
      <c r="O6806" t="str">
        <f t="shared" si="107"/>
        <v/>
      </c>
    </row>
    <row r="6807" spans="15:15" x14ac:dyDescent="0.3">
      <c r="O6807" t="str">
        <f t="shared" si="107"/>
        <v/>
      </c>
    </row>
    <row r="6808" spans="15:15" x14ac:dyDescent="0.3">
      <c r="O6808" t="str">
        <f t="shared" si="107"/>
        <v/>
      </c>
    </row>
    <row r="6809" spans="15:15" x14ac:dyDescent="0.3">
      <c r="O6809" t="str">
        <f t="shared" si="107"/>
        <v/>
      </c>
    </row>
    <row r="6810" spans="15:15" x14ac:dyDescent="0.3">
      <c r="O6810" t="str">
        <f t="shared" si="107"/>
        <v/>
      </c>
    </row>
    <row r="6811" spans="15:15" x14ac:dyDescent="0.3">
      <c r="O6811" t="str">
        <f t="shared" si="107"/>
        <v/>
      </c>
    </row>
    <row r="6812" spans="15:15" x14ac:dyDescent="0.3">
      <c r="O6812" t="str">
        <f t="shared" si="107"/>
        <v/>
      </c>
    </row>
    <row r="6813" spans="15:15" x14ac:dyDescent="0.3">
      <c r="O6813" t="str">
        <f t="shared" si="107"/>
        <v/>
      </c>
    </row>
    <row r="6814" spans="15:15" x14ac:dyDescent="0.3">
      <c r="O6814" t="str">
        <f t="shared" si="107"/>
        <v/>
      </c>
    </row>
    <row r="6815" spans="15:15" x14ac:dyDescent="0.3">
      <c r="O6815" t="str">
        <f t="shared" si="107"/>
        <v/>
      </c>
    </row>
    <row r="6816" spans="15:15" x14ac:dyDescent="0.3">
      <c r="O6816" t="str">
        <f t="shared" si="107"/>
        <v/>
      </c>
    </row>
    <row r="6817" spans="15:15" x14ac:dyDescent="0.3">
      <c r="O6817" t="str">
        <f t="shared" si="107"/>
        <v/>
      </c>
    </row>
    <row r="6818" spans="15:15" x14ac:dyDescent="0.3">
      <c r="O6818" t="str">
        <f t="shared" si="107"/>
        <v/>
      </c>
    </row>
    <row r="6819" spans="15:15" x14ac:dyDescent="0.3">
      <c r="O6819" t="str">
        <f t="shared" si="107"/>
        <v/>
      </c>
    </row>
    <row r="6820" spans="15:15" x14ac:dyDescent="0.3">
      <c r="O6820" t="str">
        <f t="shared" si="107"/>
        <v/>
      </c>
    </row>
    <row r="6821" spans="15:15" x14ac:dyDescent="0.3">
      <c r="O6821" t="str">
        <f t="shared" si="107"/>
        <v/>
      </c>
    </row>
    <row r="6822" spans="15:15" x14ac:dyDescent="0.3">
      <c r="O6822" t="str">
        <f t="shared" si="107"/>
        <v/>
      </c>
    </row>
    <row r="6823" spans="15:15" x14ac:dyDescent="0.3">
      <c r="O6823" t="str">
        <f t="shared" si="107"/>
        <v/>
      </c>
    </row>
    <row r="6824" spans="15:15" x14ac:dyDescent="0.3">
      <c r="O6824" t="str">
        <f t="shared" si="107"/>
        <v/>
      </c>
    </row>
    <row r="6825" spans="15:15" x14ac:dyDescent="0.3">
      <c r="O6825" t="str">
        <f t="shared" si="107"/>
        <v/>
      </c>
    </row>
    <row r="6826" spans="15:15" x14ac:dyDescent="0.3">
      <c r="O6826" t="str">
        <f t="shared" si="107"/>
        <v/>
      </c>
    </row>
    <row r="6827" spans="15:15" x14ac:dyDescent="0.3">
      <c r="O6827" t="str">
        <f t="shared" si="107"/>
        <v/>
      </c>
    </row>
    <row r="6828" spans="15:15" x14ac:dyDescent="0.3">
      <c r="O6828" t="str">
        <f t="shared" si="107"/>
        <v/>
      </c>
    </row>
    <row r="6829" spans="15:15" x14ac:dyDescent="0.3">
      <c r="O6829" t="str">
        <f t="shared" si="107"/>
        <v/>
      </c>
    </row>
    <row r="6830" spans="15:15" x14ac:dyDescent="0.3">
      <c r="O6830" t="str">
        <f t="shared" si="107"/>
        <v/>
      </c>
    </row>
    <row r="6831" spans="15:15" x14ac:dyDescent="0.3">
      <c r="O6831" t="str">
        <f t="shared" si="107"/>
        <v/>
      </c>
    </row>
    <row r="6832" spans="15:15" x14ac:dyDescent="0.3">
      <c r="O6832" t="str">
        <f t="shared" si="107"/>
        <v/>
      </c>
    </row>
    <row r="6833" spans="15:15" x14ac:dyDescent="0.3">
      <c r="O6833" t="str">
        <f t="shared" si="107"/>
        <v/>
      </c>
    </row>
    <row r="6834" spans="15:15" x14ac:dyDescent="0.3">
      <c r="O6834" t="str">
        <f t="shared" si="107"/>
        <v/>
      </c>
    </row>
    <row r="6835" spans="15:15" x14ac:dyDescent="0.3">
      <c r="O6835" t="str">
        <f t="shared" si="107"/>
        <v/>
      </c>
    </row>
    <row r="6836" spans="15:15" x14ac:dyDescent="0.3">
      <c r="O6836" t="str">
        <f t="shared" si="107"/>
        <v/>
      </c>
    </row>
    <row r="6837" spans="15:15" x14ac:dyDescent="0.3">
      <c r="O6837" t="str">
        <f t="shared" si="107"/>
        <v/>
      </c>
    </row>
    <row r="6838" spans="15:15" x14ac:dyDescent="0.3">
      <c r="O6838" t="str">
        <f t="shared" si="107"/>
        <v/>
      </c>
    </row>
    <row r="6839" spans="15:15" x14ac:dyDescent="0.3">
      <c r="O6839" t="str">
        <f t="shared" si="107"/>
        <v/>
      </c>
    </row>
    <row r="6840" spans="15:15" x14ac:dyDescent="0.3">
      <c r="O6840" t="str">
        <f t="shared" si="107"/>
        <v/>
      </c>
    </row>
    <row r="6841" spans="15:15" x14ac:dyDescent="0.3">
      <c r="O6841" t="str">
        <f t="shared" si="107"/>
        <v/>
      </c>
    </row>
    <row r="6842" spans="15:15" x14ac:dyDescent="0.3">
      <c r="O6842" t="str">
        <f t="shared" si="107"/>
        <v/>
      </c>
    </row>
    <row r="6843" spans="15:15" x14ac:dyDescent="0.3">
      <c r="O6843" t="str">
        <f t="shared" si="107"/>
        <v/>
      </c>
    </row>
    <row r="6844" spans="15:15" x14ac:dyDescent="0.3">
      <c r="O6844" t="str">
        <f t="shared" si="107"/>
        <v/>
      </c>
    </row>
    <row r="6845" spans="15:15" x14ac:dyDescent="0.3">
      <c r="O6845" t="str">
        <f t="shared" si="107"/>
        <v/>
      </c>
    </row>
    <row r="6846" spans="15:15" x14ac:dyDescent="0.3">
      <c r="O6846" t="str">
        <f t="shared" si="107"/>
        <v/>
      </c>
    </row>
    <row r="6847" spans="15:15" x14ac:dyDescent="0.3">
      <c r="O6847" t="str">
        <f t="shared" si="107"/>
        <v/>
      </c>
    </row>
    <row r="6848" spans="15:15" x14ac:dyDescent="0.3">
      <c r="O6848" t="str">
        <f t="shared" si="107"/>
        <v/>
      </c>
    </row>
    <row r="6849" spans="15:15" x14ac:dyDescent="0.3">
      <c r="O6849" t="str">
        <f t="shared" si="107"/>
        <v/>
      </c>
    </row>
    <row r="6850" spans="15:15" x14ac:dyDescent="0.3">
      <c r="O6850" t="str">
        <f t="shared" si="107"/>
        <v/>
      </c>
    </row>
    <row r="6851" spans="15:15" x14ac:dyDescent="0.3">
      <c r="O6851" t="str">
        <f t="shared" si="107"/>
        <v/>
      </c>
    </row>
    <row r="6852" spans="15:15" x14ac:dyDescent="0.3">
      <c r="O6852" t="str">
        <f t="shared" si="107"/>
        <v/>
      </c>
    </row>
    <row r="6853" spans="15:15" x14ac:dyDescent="0.3">
      <c r="O6853" t="str">
        <f t="shared" si="107"/>
        <v/>
      </c>
    </row>
    <row r="6854" spans="15:15" x14ac:dyDescent="0.3">
      <c r="O6854" t="str">
        <f t="shared" si="107"/>
        <v/>
      </c>
    </row>
    <row r="6855" spans="15:15" x14ac:dyDescent="0.3">
      <c r="O6855" t="str">
        <f t="shared" si="107"/>
        <v/>
      </c>
    </row>
    <row r="6856" spans="15:15" x14ac:dyDescent="0.3">
      <c r="O6856" t="str">
        <f t="shared" si="107"/>
        <v/>
      </c>
    </row>
    <row r="6857" spans="15:15" x14ac:dyDescent="0.3">
      <c r="O6857" t="str">
        <f t="shared" si="107"/>
        <v/>
      </c>
    </row>
    <row r="6858" spans="15:15" x14ac:dyDescent="0.3">
      <c r="O6858" t="str">
        <f t="shared" ref="O6858:O6921" si="108">IF(P6858="","",O6857+1)</f>
        <v/>
      </c>
    </row>
    <row r="6859" spans="15:15" x14ac:dyDescent="0.3">
      <c r="O6859" t="str">
        <f t="shared" si="108"/>
        <v/>
      </c>
    </row>
    <row r="6860" spans="15:15" x14ac:dyDescent="0.3">
      <c r="O6860" t="str">
        <f t="shared" si="108"/>
        <v/>
      </c>
    </row>
    <row r="6861" spans="15:15" x14ac:dyDescent="0.3">
      <c r="O6861" t="str">
        <f t="shared" si="108"/>
        <v/>
      </c>
    </row>
    <row r="6862" spans="15:15" x14ac:dyDescent="0.3">
      <c r="O6862" t="str">
        <f t="shared" si="108"/>
        <v/>
      </c>
    </row>
    <row r="6863" spans="15:15" x14ac:dyDescent="0.3">
      <c r="O6863" t="str">
        <f t="shared" si="108"/>
        <v/>
      </c>
    </row>
    <row r="6864" spans="15:15" x14ac:dyDescent="0.3">
      <c r="O6864" t="str">
        <f t="shared" si="108"/>
        <v/>
      </c>
    </row>
    <row r="6865" spans="15:15" x14ac:dyDescent="0.3">
      <c r="O6865" t="str">
        <f t="shared" si="108"/>
        <v/>
      </c>
    </row>
    <row r="6866" spans="15:15" x14ac:dyDescent="0.3">
      <c r="O6866" t="str">
        <f t="shared" si="108"/>
        <v/>
      </c>
    </row>
    <row r="6867" spans="15:15" x14ac:dyDescent="0.3">
      <c r="O6867" t="str">
        <f t="shared" si="108"/>
        <v/>
      </c>
    </row>
    <row r="6868" spans="15:15" x14ac:dyDescent="0.3">
      <c r="O6868" t="str">
        <f t="shared" si="108"/>
        <v/>
      </c>
    </row>
    <row r="6869" spans="15:15" x14ac:dyDescent="0.3">
      <c r="O6869" t="str">
        <f t="shared" si="108"/>
        <v/>
      </c>
    </row>
    <row r="6870" spans="15:15" x14ac:dyDescent="0.3">
      <c r="O6870" t="str">
        <f t="shared" si="108"/>
        <v/>
      </c>
    </row>
    <row r="6871" spans="15:15" x14ac:dyDescent="0.3">
      <c r="O6871" t="str">
        <f t="shared" si="108"/>
        <v/>
      </c>
    </row>
    <row r="6872" spans="15:15" x14ac:dyDescent="0.3">
      <c r="O6872" t="str">
        <f t="shared" si="108"/>
        <v/>
      </c>
    </row>
    <row r="6873" spans="15:15" x14ac:dyDescent="0.3">
      <c r="O6873" t="str">
        <f t="shared" si="108"/>
        <v/>
      </c>
    </row>
    <row r="6874" spans="15:15" x14ac:dyDescent="0.3">
      <c r="O6874" t="str">
        <f t="shared" si="108"/>
        <v/>
      </c>
    </row>
    <row r="6875" spans="15:15" x14ac:dyDescent="0.3">
      <c r="O6875" t="str">
        <f t="shared" si="108"/>
        <v/>
      </c>
    </row>
    <row r="6876" spans="15:15" x14ac:dyDescent="0.3">
      <c r="O6876" t="str">
        <f t="shared" si="108"/>
        <v/>
      </c>
    </row>
    <row r="6877" spans="15:15" x14ac:dyDescent="0.3">
      <c r="O6877" t="str">
        <f t="shared" si="108"/>
        <v/>
      </c>
    </row>
    <row r="6878" spans="15:15" x14ac:dyDescent="0.3">
      <c r="O6878" t="str">
        <f t="shared" si="108"/>
        <v/>
      </c>
    </row>
    <row r="6879" spans="15:15" x14ac:dyDescent="0.3">
      <c r="O6879" t="str">
        <f t="shared" si="108"/>
        <v/>
      </c>
    </row>
    <row r="6880" spans="15:15" x14ac:dyDescent="0.3">
      <c r="O6880" t="str">
        <f t="shared" si="108"/>
        <v/>
      </c>
    </row>
    <row r="6881" spans="15:15" x14ac:dyDescent="0.3">
      <c r="O6881" t="str">
        <f t="shared" si="108"/>
        <v/>
      </c>
    </row>
    <row r="6882" spans="15:15" x14ac:dyDescent="0.3">
      <c r="O6882" t="str">
        <f t="shared" si="108"/>
        <v/>
      </c>
    </row>
    <row r="6883" spans="15:15" x14ac:dyDescent="0.3">
      <c r="O6883" t="str">
        <f t="shared" si="108"/>
        <v/>
      </c>
    </row>
    <row r="6884" spans="15:15" x14ac:dyDescent="0.3">
      <c r="O6884" t="str">
        <f t="shared" si="108"/>
        <v/>
      </c>
    </row>
    <row r="6885" spans="15:15" x14ac:dyDescent="0.3">
      <c r="O6885" t="str">
        <f t="shared" si="108"/>
        <v/>
      </c>
    </row>
    <row r="6886" spans="15:15" x14ac:dyDescent="0.3">
      <c r="O6886" t="str">
        <f t="shared" si="108"/>
        <v/>
      </c>
    </row>
    <row r="6887" spans="15:15" x14ac:dyDescent="0.3">
      <c r="O6887" t="str">
        <f t="shared" si="108"/>
        <v/>
      </c>
    </row>
    <row r="6888" spans="15:15" x14ac:dyDescent="0.3">
      <c r="O6888" t="str">
        <f t="shared" si="108"/>
        <v/>
      </c>
    </row>
    <row r="6889" spans="15:15" x14ac:dyDescent="0.3">
      <c r="O6889" t="str">
        <f t="shared" si="108"/>
        <v/>
      </c>
    </row>
    <row r="6890" spans="15:15" x14ac:dyDescent="0.3">
      <c r="O6890" t="str">
        <f t="shared" si="108"/>
        <v/>
      </c>
    </row>
    <row r="6891" spans="15:15" x14ac:dyDescent="0.3">
      <c r="O6891" t="str">
        <f t="shared" si="108"/>
        <v/>
      </c>
    </row>
    <row r="6892" spans="15:15" x14ac:dyDescent="0.3">
      <c r="O6892" t="str">
        <f t="shared" si="108"/>
        <v/>
      </c>
    </row>
    <row r="6893" spans="15:15" x14ac:dyDescent="0.3">
      <c r="O6893" t="str">
        <f t="shared" si="108"/>
        <v/>
      </c>
    </row>
    <row r="6894" spans="15:15" x14ac:dyDescent="0.3">
      <c r="O6894" t="str">
        <f t="shared" si="108"/>
        <v/>
      </c>
    </row>
    <row r="6895" spans="15:15" x14ac:dyDescent="0.3">
      <c r="O6895" t="str">
        <f t="shared" si="108"/>
        <v/>
      </c>
    </row>
    <row r="6896" spans="15:15" x14ac:dyDescent="0.3">
      <c r="O6896" t="str">
        <f t="shared" si="108"/>
        <v/>
      </c>
    </row>
    <row r="6897" spans="15:15" x14ac:dyDescent="0.3">
      <c r="O6897" t="str">
        <f t="shared" si="108"/>
        <v/>
      </c>
    </row>
    <row r="6898" spans="15:15" x14ac:dyDescent="0.3">
      <c r="O6898" t="str">
        <f t="shared" si="108"/>
        <v/>
      </c>
    </row>
    <row r="6899" spans="15:15" x14ac:dyDescent="0.3">
      <c r="O6899" t="str">
        <f t="shared" si="108"/>
        <v/>
      </c>
    </row>
    <row r="6900" spans="15:15" x14ac:dyDescent="0.3">
      <c r="O6900" t="str">
        <f t="shared" si="108"/>
        <v/>
      </c>
    </row>
    <row r="6901" spans="15:15" x14ac:dyDescent="0.3">
      <c r="O6901" t="str">
        <f t="shared" si="108"/>
        <v/>
      </c>
    </row>
    <row r="6902" spans="15:15" x14ac:dyDescent="0.3">
      <c r="O6902" t="str">
        <f t="shared" si="108"/>
        <v/>
      </c>
    </row>
    <row r="6903" spans="15:15" x14ac:dyDescent="0.3">
      <c r="O6903" t="str">
        <f t="shared" si="108"/>
        <v/>
      </c>
    </row>
    <row r="6904" spans="15:15" x14ac:dyDescent="0.3">
      <c r="O6904" t="str">
        <f t="shared" si="108"/>
        <v/>
      </c>
    </row>
    <row r="6905" spans="15:15" x14ac:dyDescent="0.3">
      <c r="O6905" t="str">
        <f t="shared" si="108"/>
        <v/>
      </c>
    </row>
    <row r="6906" spans="15:15" x14ac:dyDescent="0.3">
      <c r="O6906" t="str">
        <f t="shared" si="108"/>
        <v/>
      </c>
    </row>
    <row r="6907" spans="15:15" x14ac:dyDescent="0.3">
      <c r="O6907" t="str">
        <f t="shared" si="108"/>
        <v/>
      </c>
    </row>
    <row r="6908" spans="15:15" x14ac:dyDescent="0.3">
      <c r="O6908" t="str">
        <f t="shared" si="108"/>
        <v/>
      </c>
    </row>
    <row r="6909" spans="15:15" x14ac:dyDescent="0.3">
      <c r="O6909" t="str">
        <f t="shared" si="108"/>
        <v/>
      </c>
    </row>
    <row r="6910" spans="15:15" x14ac:dyDescent="0.3">
      <c r="O6910" t="str">
        <f t="shared" si="108"/>
        <v/>
      </c>
    </row>
    <row r="6911" spans="15:15" x14ac:dyDescent="0.3">
      <c r="O6911" t="str">
        <f t="shared" si="108"/>
        <v/>
      </c>
    </row>
    <row r="6912" spans="15:15" x14ac:dyDescent="0.3">
      <c r="O6912" t="str">
        <f t="shared" si="108"/>
        <v/>
      </c>
    </row>
    <row r="6913" spans="15:15" x14ac:dyDescent="0.3">
      <c r="O6913" t="str">
        <f t="shared" si="108"/>
        <v/>
      </c>
    </row>
    <row r="6914" spans="15:15" x14ac:dyDescent="0.3">
      <c r="O6914" t="str">
        <f t="shared" si="108"/>
        <v/>
      </c>
    </row>
    <row r="6915" spans="15:15" x14ac:dyDescent="0.3">
      <c r="O6915" t="str">
        <f t="shared" si="108"/>
        <v/>
      </c>
    </row>
    <row r="6916" spans="15:15" x14ac:dyDescent="0.3">
      <c r="O6916" t="str">
        <f t="shared" si="108"/>
        <v/>
      </c>
    </row>
    <row r="6917" spans="15:15" x14ac:dyDescent="0.3">
      <c r="O6917" t="str">
        <f t="shared" si="108"/>
        <v/>
      </c>
    </row>
    <row r="6918" spans="15:15" x14ac:dyDescent="0.3">
      <c r="O6918" t="str">
        <f t="shared" si="108"/>
        <v/>
      </c>
    </row>
    <row r="6919" spans="15:15" x14ac:dyDescent="0.3">
      <c r="O6919" t="str">
        <f t="shared" si="108"/>
        <v/>
      </c>
    </row>
    <row r="6920" spans="15:15" x14ac:dyDescent="0.3">
      <c r="O6920" t="str">
        <f t="shared" si="108"/>
        <v/>
      </c>
    </row>
    <row r="6921" spans="15:15" x14ac:dyDescent="0.3">
      <c r="O6921" t="str">
        <f t="shared" si="108"/>
        <v/>
      </c>
    </row>
    <row r="6922" spans="15:15" x14ac:dyDescent="0.3">
      <c r="O6922" t="str">
        <f t="shared" ref="O6922:O6985" si="109">IF(P6922="","",O6921+1)</f>
        <v/>
      </c>
    </row>
    <row r="6923" spans="15:15" x14ac:dyDescent="0.3">
      <c r="O6923" t="str">
        <f t="shared" si="109"/>
        <v/>
      </c>
    </row>
    <row r="6924" spans="15:15" x14ac:dyDescent="0.3">
      <c r="O6924" t="str">
        <f t="shared" si="109"/>
        <v/>
      </c>
    </row>
    <row r="6925" spans="15:15" x14ac:dyDescent="0.3">
      <c r="O6925" t="str">
        <f t="shared" si="109"/>
        <v/>
      </c>
    </row>
    <row r="6926" spans="15:15" x14ac:dyDescent="0.3">
      <c r="O6926" t="str">
        <f t="shared" si="109"/>
        <v/>
      </c>
    </row>
    <row r="6927" spans="15:15" x14ac:dyDescent="0.3">
      <c r="O6927" t="str">
        <f t="shared" si="109"/>
        <v/>
      </c>
    </row>
    <row r="6928" spans="15:15" x14ac:dyDescent="0.3">
      <c r="O6928" t="str">
        <f t="shared" si="109"/>
        <v/>
      </c>
    </row>
    <row r="6929" spans="15:15" x14ac:dyDescent="0.3">
      <c r="O6929" t="str">
        <f t="shared" si="109"/>
        <v/>
      </c>
    </row>
    <row r="6930" spans="15:15" x14ac:dyDescent="0.3">
      <c r="O6930" t="str">
        <f t="shared" si="109"/>
        <v/>
      </c>
    </row>
    <row r="6931" spans="15:15" x14ac:dyDescent="0.3">
      <c r="O6931" t="str">
        <f t="shared" si="109"/>
        <v/>
      </c>
    </row>
    <row r="6932" spans="15:15" x14ac:dyDescent="0.3">
      <c r="O6932" t="str">
        <f t="shared" si="109"/>
        <v/>
      </c>
    </row>
    <row r="6933" spans="15:15" x14ac:dyDescent="0.3">
      <c r="O6933" t="str">
        <f t="shared" si="109"/>
        <v/>
      </c>
    </row>
    <row r="6934" spans="15:15" x14ac:dyDescent="0.3">
      <c r="O6934" t="str">
        <f t="shared" si="109"/>
        <v/>
      </c>
    </row>
    <row r="6935" spans="15:15" x14ac:dyDescent="0.3">
      <c r="O6935" t="str">
        <f t="shared" si="109"/>
        <v/>
      </c>
    </row>
    <row r="6936" spans="15:15" x14ac:dyDescent="0.3">
      <c r="O6936" t="str">
        <f t="shared" si="109"/>
        <v/>
      </c>
    </row>
    <row r="6937" spans="15:15" x14ac:dyDescent="0.3">
      <c r="O6937" t="str">
        <f t="shared" si="109"/>
        <v/>
      </c>
    </row>
    <row r="6938" spans="15:15" x14ac:dyDescent="0.3">
      <c r="O6938" t="str">
        <f t="shared" si="109"/>
        <v/>
      </c>
    </row>
    <row r="6939" spans="15:15" x14ac:dyDescent="0.3">
      <c r="O6939" t="str">
        <f t="shared" si="109"/>
        <v/>
      </c>
    </row>
    <row r="6940" spans="15:15" x14ac:dyDescent="0.3">
      <c r="O6940" t="str">
        <f t="shared" si="109"/>
        <v/>
      </c>
    </row>
    <row r="6941" spans="15:15" x14ac:dyDescent="0.3">
      <c r="O6941" t="str">
        <f t="shared" si="109"/>
        <v/>
      </c>
    </row>
    <row r="6942" spans="15:15" x14ac:dyDescent="0.3">
      <c r="O6942" t="str">
        <f t="shared" si="109"/>
        <v/>
      </c>
    </row>
    <row r="6943" spans="15:15" x14ac:dyDescent="0.3">
      <c r="O6943" t="str">
        <f t="shared" si="109"/>
        <v/>
      </c>
    </row>
    <row r="6944" spans="15:15" x14ac:dyDescent="0.3">
      <c r="O6944" t="str">
        <f t="shared" si="109"/>
        <v/>
      </c>
    </row>
    <row r="6945" spans="15:15" x14ac:dyDescent="0.3">
      <c r="O6945" t="str">
        <f t="shared" si="109"/>
        <v/>
      </c>
    </row>
    <row r="6946" spans="15:15" x14ac:dyDescent="0.3">
      <c r="O6946" t="str">
        <f t="shared" si="109"/>
        <v/>
      </c>
    </row>
    <row r="6947" spans="15:15" x14ac:dyDescent="0.3">
      <c r="O6947" t="str">
        <f t="shared" si="109"/>
        <v/>
      </c>
    </row>
    <row r="6948" spans="15:15" x14ac:dyDescent="0.3">
      <c r="O6948" t="str">
        <f t="shared" si="109"/>
        <v/>
      </c>
    </row>
    <row r="6949" spans="15:15" x14ac:dyDescent="0.3">
      <c r="O6949" t="str">
        <f t="shared" si="109"/>
        <v/>
      </c>
    </row>
    <row r="6950" spans="15:15" x14ac:dyDescent="0.3">
      <c r="O6950" t="str">
        <f t="shared" si="109"/>
        <v/>
      </c>
    </row>
    <row r="6951" spans="15:15" x14ac:dyDescent="0.3">
      <c r="O6951" t="str">
        <f t="shared" si="109"/>
        <v/>
      </c>
    </row>
    <row r="6952" spans="15:15" x14ac:dyDescent="0.3">
      <c r="O6952" t="str">
        <f t="shared" si="109"/>
        <v/>
      </c>
    </row>
    <row r="6953" spans="15:15" x14ac:dyDescent="0.3">
      <c r="O6953" t="str">
        <f t="shared" si="109"/>
        <v/>
      </c>
    </row>
    <row r="6954" spans="15:15" x14ac:dyDescent="0.3">
      <c r="O6954" t="str">
        <f t="shared" si="109"/>
        <v/>
      </c>
    </row>
    <row r="6955" spans="15:15" x14ac:dyDescent="0.3">
      <c r="O6955" t="str">
        <f t="shared" si="109"/>
        <v/>
      </c>
    </row>
    <row r="6956" spans="15:15" x14ac:dyDescent="0.3">
      <c r="O6956" t="str">
        <f t="shared" si="109"/>
        <v/>
      </c>
    </row>
    <row r="6957" spans="15:15" x14ac:dyDescent="0.3">
      <c r="O6957" t="str">
        <f t="shared" si="109"/>
        <v/>
      </c>
    </row>
    <row r="6958" spans="15:15" x14ac:dyDescent="0.3">
      <c r="O6958" t="str">
        <f t="shared" si="109"/>
        <v/>
      </c>
    </row>
    <row r="6959" spans="15:15" x14ac:dyDescent="0.3">
      <c r="O6959" t="str">
        <f t="shared" si="109"/>
        <v/>
      </c>
    </row>
    <row r="6960" spans="15:15" x14ac:dyDescent="0.3">
      <c r="O6960" t="str">
        <f t="shared" si="109"/>
        <v/>
      </c>
    </row>
    <row r="6961" spans="15:15" x14ac:dyDescent="0.3">
      <c r="O6961" t="str">
        <f t="shared" si="109"/>
        <v/>
      </c>
    </row>
    <row r="6962" spans="15:15" x14ac:dyDescent="0.3">
      <c r="O6962" t="str">
        <f t="shared" si="109"/>
        <v/>
      </c>
    </row>
    <row r="6963" spans="15:15" x14ac:dyDescent="0.3">
      <c r="O6963" t="str">
        <f t="shared" si="109"/>
        <v/>
      </c>
    </row>
    <row r="6964" spans="15:15" x14ac:dyDescent="0.3">
      <c r="O6964" t="str">
        <f t="shared" si="109"/>
        <v/>
      </c>
    </row>
    <row r="6965" spans="15:15" x14ac:dyDescent="0.3">
      <c r="O6965" t="str">
        <f t="shared" si="109"/>
        <v/>
      </c>
    </row>
    <row r="6966" spans="15:15" x14ac:dyDescent="0.3">
      <c r="O6966" t="str">
        <f t="shared" si="109"/>
        <v/>
      </c>
    </row>
    <row r="6967" spans="15:15" x14ac:dyDescent="0.3">
      <c r="O6967" t="str">
        <f t="shared" si="109"/>
        <v/>
      </c>
    </row>
    <row r="6968" spans="15:15" x14ac:dyDescent="0.3">
      <c r="O6968" t="str">
        <f t="shared" si="109"/>
        <v/>
      </c>
    </row>
    <row r="6969" spans="15:15" x14ac:dyDescent="0.3">
      <c r="O6969" t="str">
        <f t="shared" si="109"/>
        <v/>
      </c>
    </row>
    <row r="6970" spans="15:15" x14ac:dyDescent="0.3">
      <c r="O6970" t="str">
        <f t="shared" si="109"/>
        <v/>
      </c>
    </row>
    <row r="6971" spans="15:15" x14ac:dyDescent="0.3">
      <c r="O6971" t="str">
        <f t="shared" si="109"/>
        <v/>
      </c>
    </row>
    <row r="6972" spans="15:15" x14ac:dyDescent="0.3">
      <c r="O6972" t="str">
        <f t="shared" si="109"/>
        <v/>
      </c>
    </row>
    <row r="6973" spans="15:15" x14ac:dyDescent="0.3">
      <c r="O6973" t="str">
        <f t="shared" si="109"/>
        <v/>
      </c>
    </row>
    <row r="6974" spans="15:15" x14ac:dyDescent="0.3">
      <c r="O6974" t="str">
        <f t="shared" si="109"/>
        <v/>
      </c>
    </row>
    <row r="6975" spans="15:15" x14ac:dyDescent="0.3">
      <c r="O6975" t="str">
        <f t="shared" si="109"/>
        <v/>
      </c>
    </row>
    <row r="6976" spans="15:15" x14ac:dyDescent="0.3">
      <c r="O6976" t="str">
        <f t="shared" si="109"/>
        <v/>
      </c>
    </row>
    <row r="6977" spans="15:15" x14ac:dyDescent="0.3">
      <c r="O6977" t="str">
        <f t="shared" si="109"/>
        <v/>
      </c>
    </row>
    <row r="6978" spans="15:15" x14ac:dyDescent="0.3">
      <c r="O6978" t="str">
        <f t="shared" si="109"/>
        <v/>
      </c>
    </row>
    <row r="6979" spans="15:15" x14ac:dyDescent="0.3">
      <c r="O6979" t="str">
        <f t="shared" si="109"/>
        <v/>
      </c>
    </row>
    <row r="6980" spans="15:15" x14ac:dyDescent="0.3">
      <c r="O6980" t="str">
        <f t="shared" si="109"/>
        <v/>
      </c>
    </row>
    <row r="6981" spans="15:15" x14ac:dyDescent="0.3">
      <c r="O6981" t="str">
        <f t="shared" si="109"/>
        <v/>
      </c>
    </row>
    <row r="6982" spans="15:15" x14ac:dyDescent="0.3">
      <c r="O6982" t="str">
        <f t="shared" si="109"/>
        <v/>
      </c>
    </row>
    <row r="6983" spans="15:15" x14ac:dyDescent="0.3">
      <c r="O6983" t="str">
        <f t="shared" si="109"/>
        <v/>
      </c>
    </row>
    <row r="6984" spans="15:15" x14ac:dyDescent="0.3">
      <c r="O6984" t="str">
        <f t="shared" si="109"/>
        <v/>
      </c>
    </row>
    <row r="6985" spans="15:15" x14ac:dyDescent="0.3">
      <c r="O6985" t="str">
        <f t="shared" si="109"/>
        <v/>
      </c>
    </row>
    <row r="6986" spans="15:15" x14ac:dyDescent="0.3">
      <c r="O6986" t="str">
        <f t="shared" ref="O6986:O7049" si="110">IF(P6986="","",O6985+1)</f>
        <v/>
      </c>
    </row>
    <row r="6987" spans="15:15" x14ac:dyDescent="0.3">
      <c r="O6987" t="str">
        <f t="shared" si="110"/>
        <v/>
      </c>
    </row>
    <row r="6988" spans="15:15" x14ac:dyDescent="0.3">
      <c r="O6988" t="str">
        <f t="shared" si="110"/>
        <v/>
      </c>
    </row>
    <row r="6989" spans="15:15" x14ac:dyDescent="0.3">
      <c r="O6989" t="str">
        <f t="shared" si="110"/>
        <v/>
      </c>
    </row>
    <row r="6990" spans="15:15" x14ac:dyDescent="0.3">
      <c r="O6990" t="str">
        <f t="shared" si="110"/>
        <v/>
      </c>
    </row>
    <row r="6991" spans="15:15" x14ac:dyDescent="0.3">
      <c r="O6991" t="str">
        <f t="shared" si="110"/>
        <v/>
      </c>
    </row>
    <row r="6992" spans="15:15" x14ac:dyDescent="0.3">
      <c r="O6992" t="str">
        <f t="shared" si="110"/>
        <v/>
      </c>
    </row>
    <row r="6993" spans="15:15" x14ac:dyDescent="0.3">
      <c r="O6993" t="str">
        <f t="shared" si="110"/>
        <v/>
      </c>
    </row>
    <row r="6994" spans="15:15" x14ac:dyDescent="0.3">
      <c r="O6994" t="str">
        <f t="shared" si="110"/>
        <v/>
      </c>
    </row>
    <row r="6995" spans="15:15" x14ac:dyDescent="0.3">
      <c r="O6995" t="str">
        <f t="shared" si="110"/>
        <v/>
      </c>
    </row>
    <row r="6996" spans="15:15" x14ac:dyDescent="0.3">
      <c r="O6996" t="str">
        <f t="shared" si="110"/>
        <v/>
      </c>
    </row>
    <row r="6997" spans="15:15" x14ac:dyDescent="0.3">
      <c r="O6997" t="str">
        <f t="shared" si="110"/>
        <v/>
      </c>
    </row>
    <row r="6998" spans="15:15" x14ac:dyDescent="0.3">
      <c r="O6998" t="str">
        <f t="shared" si="110"/>
        <v/>
      </c>
    </row>
    <row r="6999" spans="15:15" x14ac:dyDescent="0.3">
      <c r="O6999" t="str">
        <f t="shared" si="110"/>
        <v/>
      </c>
    </row>
    <row r="7000" spans="15:15" x14ac:dyDescent="0.3">
      <c r="O7000" t="str">
        <f t="shared" si="110"/>
        <v/>
      </c>
    </row>
    <row r="7001" spans="15:15" x14ac:dyDescent="0.3">
      <c r="O7001" t="str">
        <f t="shared" si="110"/>
        <v/>
      </c>
    </row>
    <row r="7002" spans="15:15" x14ac:dyDescent="0.3">
      <c r="O7002" t="str">
        <f t="shared" si="110"/>
        <v/>
      </c>
    </row>
    <row r="7003" spans="15:15" x14ac:dyDescent="0.3">
      <c r="O7003" t="str">
        <f t="shared" si="110"/>
        <v/>
      </c>
    </row>
    <row r="7004" spans="15:15" x14ac:dyDescent="0.3">
      <c r="O7004" t="str">
        <f t="shared" si="110"/>
        <v/>
      </c>
    </row>
    <row r="7005" spans="15:15" x14ac:dyDescent="0.3">
      <c r="O7005" t="str">
        <f t="shared" si="110"/>
        <v/>
      </c>
    </row>
    <row r="7006" spans="15:15" x14ac:dyDescent="0.3">
      <c r="O7006" t="str">
        <f t="shared" si="110"/>
        <v/>
      </c>
    </row>
    <row r="7007" spans="15:15" x14ac:dyDescent="0.3">
      <c r="O7007" t="str">
        <f t="shared" si="110"/>
        <v/>
      </c>
    </row>
    <row r="7008" spans="15:15" x14ac:dyDescent="0.3">
      <c r="O7008" t="str">
        <f t="shared" si="110"/>
        <v/>
      </c>
    </row>
    <row r="7009" spans="15:15" x14ac:dyDescent="0.3">
      <c r="O7009" t="str">
        <f t="shared" si="110"/>
        <v/>
      </c>
    </row>
    <row r="7010" spans="15:15" x14ac:dyDescent="0.3">
      <c r="O7010" t="str">
        <f t="shared" si="110"/>
        <v/>
      </c>
    </row>
    <row r="7011" spans="15:15" x14ac:dyDescent="0.3">
      <c r="O7011" t="str">
        <f t="shared" si="110"/>
        <v/>
      </c>
    </row>
    <row r="7012" spans="15:15" x14ac:dyDescent="0.3">
      <c r="O7012" t="str">
        <f t="shared" si="110"/>
        <v/>
      </c>
    </row>
    <row r="7013" spans="15:15" x14ac:dyDescent="0.3">
      <c r="O7013" t="str">
        <f t="shared" si="110"/>
        <v/>
      </c>
    </row>
    <row r="7014" spans="15:15" x14ac:dyDescent="0.3">
      <c r="O7014" t="str">
        <f t="shared" si="110"/>
        <v/>
      </c>
    </row>
    <row r="7015" spans="15:15" x14ac:dyDescent="0.3">
      <c r="O7015" t="str">
        <f t="shared" si="110"/>
        <v/>
      </c>
    </row>
    <row r="7016" spans="15:15" x14ac:dyDescent="0.3">
      <c r="O7016" t="str">
        <f t="shared" si="110"/>
        <v/>
      </c>
    </row>
    <row r="7017" spans="15:15" x14ac:dyDescent="0.3">
      <c r="O7017" t="str">
        <f t="shared" si="110"/>
        <v/>
      </c>
    </row>
    <row r="7018" spans="15:15" x14ac:dyDescent="0.3">
      <c r="O7018" t="str">
        <f t="shared" si="110"/>
        <v/>
      </c>
    </row>
    <row r="7019" spans="15:15" x14ac:dyDescent="0.3">
      <c r="O7019" t="str">
        <f t="shared" si="110"/>
        <v/>
      </c>
    </row>
    <row r="7020" spans="15:15" x14ac:dyDescent="0.3">
      <c r="O7020" t="str">
        <f t="shared" si="110"/>
        <v/>
      </c>
    </row>
    <row r="7021" spans="15:15" x14ac:dyDescent="0.3">
      <c r="O7021" t="str">
        <f t="shared" si="110"/>
        <v/>
      </c>
    </row>
    <row r="7022" spans="15:15" x14ac:dyDescent="0.3">
      <c r="O7022" t="str">
        <f t="shared" si="110"/>
        <v/>
      </c>
    </row>
    <row r="7023" spans="15:15" x14ac:dyDescent="0.3">
      <c r="O7023" t="str">
        <f t="shared" si="110"/>
        <v/>
      </c>
    </row>
    <row r="7024" spans="15:15" x14ac:dyDescent="0.3">
      <c r="O7024" t="str">
        <f t="shared" si="110"/>
        <v/>
      </c>
    </row>
    <row r="7025" spans="15:15" x14ac:dyDescent="0.3">
      <c r="O7025" t="str">
        <f t="shared" si="110"/>
        <v/>
      </c>
    </row>
    <row r="7026" spans="15:15" x14ac:dyDescent="0.3">
      <c r="O7026" t="str">
        <f t="shared" si="110"/>
        <v/>
      </c>
    </row>
    <row r="7027" spans="15:15" x14ac:dyDescent="0.3">
      <c r="O7027" t="str">
        <f t="shared" si="110"/>
        <v/>
      </c>
    </row>
    <row r="7028" spans="15:15" x14ac:dyDescent="0.3">
      <c r="O7028" t="str">
        <f t="shared" si="110"/>
        <v/>
      </c>
    </row>
    <row r="7029" spans="15:15" x14ac:dyDescent="0.3">
      <c r="O7029" t="str">
        <f t="shared" si="110"/>
        <v/>
      </c>
    </row>
    <row r="7030" spans="15:15" x14ac:dyDescent="0.3">
      <c r="O7030" t="str">
        <f t="shared" si="110"/>
        <v/>
      </c>
    </row>
    <row r="7031" spans="15:15" x14ac:dyDescent="0.3">
      <c r="O7031" t="str">
        <f t="shared" si="110"/>
        <v/>
      </c>
    </row>
    <row r="7032" spans="15:15" x14ac:dyDescent="0.3">
      <c r="O7032" t="str">
        <f t="shared" si="110"/>
        <v/>
      </c>
    </row>
    <row r="7033" spans="15:15" x14ac:dyDescent="0.3">
      <c r="O7033" t="str">
        <f t="shared" si="110"/>
        <v/>
      </c>
    </row>
    <row r="7034" spans="15:15" x14ac:dyDescent="0.3">
      <c r="O7034" t="str">
        <f t="shared" si="110"/>
        <v/>
      </c>
    </row>
    <row r="7035" spans="15:15" x14ac:dyDescent="0.3">
      <c r="O7035" t="str">
        <f t="shared" si="110"/>
        <v/>
      </c>
    </row>
    <row r="7036" spans="15:15" x14ac:dyDescent="0.3">
      <c r="O7036" t="str">
        <f t="shared" si="110"/>
        <v/>
      </c>
    </row>
    <row r="7037" spans="15:15" x14ac:dyDescent="0.3">
      <c r="O7037" t="str">
        <f t="shared" si="110"/>
        <v/>
      </c>
    </row>
    <row r="7038" spans="15:15" x14ac:dyDescent="0.3">
      <c r="O7038" t="str">
        <f t="shared" si="110"/>
        <v/>
      </c>
    </row>
    <row r="7039" spans="15:15" x14ac:dyDescent="0.3">
      <c r="O7039" t="str">
        <f t="shared" si="110"/>
        <v/>
      </c>
    </row>
    <row r="7040" spans="15:15" x14ac:dyDescent="0.3">
      <c r="O7040" t="str">
        <f t="shared" si="110"/>
        <v/>
      </c>
    </row>
    <row r="7041" spans="15:15" x14ac:dyDescent="0.3">
      <c r="O7041" t="str">
        <f t="shared" si="110"/>
        <v/>
      </c>
    </row>
    <row r="7042" spans="15:15" x14ac:dyDescent="0.3">
      <c r="O7042" t="str">
        <f t="shared" si="110"/>
        <v/>
      </c>
    </row>
    <row r="7043" spans="15:15" x14ac:dyDescent="0.3">
      <c r="O7043" t="str">
        <f t="shared" si="110"/>
        <v/>
      </c>
    </row>
    <row r="7044" spans="15:15" x14ac:dyDescent="0.3">
      <c r="O7044" t="str">
        <f t="shared" si="110"/>
        <v/>
      </c>
    </row>
    <row r="7045" spans="15:15" x14ac:dyDescent="0.3">
      <c r="O7045" t="str">
        <f t="shared" si="110"/>
        <v/>
      </c>
    </row>
    <row r="7046" spans="15:15" x14ac:dyDescent="0.3">
      <c r="O7046" t="str">
        <f t="shared" si="110"/>
        <v/>
      </c>
    </row>
    <row r="7047" spans="15:15" x14ac:dyDescent="0.3">
      <c r="O7047" t="str">
        <f t="shared" si="110"/>
        <v/>
      </c>
    </row>
    <row r="7048" spans="15:15" x14ac:dyDescent="0.3">
      <c r="O7048" t="str">
        <f t="shared" si="110"/>
        <v/>
      </c>
    </row>
    <row r="7049" spans="15:15" x14ac:dyDescent="0.3">
      <c r="O7049" t="str">
        <f t="shared" si="110"/>
        <v/>
      </c>
    </row>
    <row r="7050" spans="15:15" x14ac:dyDescent="0.3">
      <c r="O7050" t="str">
        <f t="shared" ref="O7050:O7113" si="111">IF(P7050="","",O7049+1)</f>
        <v/>
      </c>
    </row>
    <row r="7051" spans="15:15" x14ac:dyDescent="0.3">
      <c r="O7051" t="str">
        <f t="shared" si="111"/>
        <v/>
      </c>
    </row>
    <row r="7052" spans="15:15" x14ac:dyDescent="0.3">
      <c r="O7052" t="str">
        <f t="shared" si="111"/>
        <v/>
      </c>
    </row>
    <row r="7053" spans="15:15" x14ac:dyDescent="0.3">
      <c r="O7053" t="str">
        <f t="shared" si="111"/>
        <v/>
      </c>
    </row>
    <row r="7054" spans="15:15" x14ac:dyDescent="0.3">
      <c r="O7054" t="str">
        <f t="shared" si="111"/>
        <v/>
      </c>
    </row>
    <row r="7055" spans="15:15" x14ac:dyDescent="0.3">
      <c r="O7055" t="str">
        <f t="shared" si="111"/>
        <v/>
      </c>
    </row>
    <row r="7056" spans="15:15" x14ac:dyDescent="0.3">
      <c r="O7056" t="str">
        <f t="shared" si="111"/>
        <v/>
      </c>
    </row>
    <row r="7057" spans="15:15" x14ac:dyDescent="0.3">
      <c r="O7057" t="str">
        <f t="shared" si="111"/>
        <v/>
      </c>
    </row>
    <row r="7058" spans="15:15" x14ac:dyDescent="0.3">
      <c r="O7058" t="str">
        <f t="shared" si="111"/>
        <v/>
      </c>
    </row>
    <row r="7059" spans="15:15" x14ac:dyDescent="0.3">
      <c r="O7059" t="str">
        <f t="shared" si="111"/>
        <v/>
      </c>
    </row>
    <row r="7060" spans="15:15" x14ac:dyDescent="0.3">
      <c r="O7060" t="str">
        <f t="shared" si="111"/>
        <v/>
      </c>
    </row>
    <row r="7061" spans="15:15" x14ac:dyDescent="0.3">
      <c r="O7061" t="str">
        <f t="shared" si="111"/>
        <v/>
      </c>
    </row>
    <row r="7062" spans="15:15" x14ac:dyDescent="0.3">
      <c r="O7062" t="str">
        <f t="shared" si="111"/>
        <v/>
      </c>
    </row>
    <row r="7063" spans="15:15" x14ac:dyDescent="0.3">
      <c r="O7063" t="str">
        <f t="shared" si="111"/>
        <v/>
      </c>
    </row>
    <row r="7064" spans="15:15" x14ac:dyDescent="0.3">
      <c r="O7064" t="str">
        <f t="shared" si="111"/>
        <v/>
      </c>
    </row>
    <row r="7065" spans="15:15" x14ac:dyDescent="0.3">
      <c r="O7065" t="str">
        <f t="shared" si="111"/>
        <v/>
      </c>
    </row>
    <row r="7066" spans="15:15" x14ac:dyDescent="0.3">
      <c r="O7066" t="str">
        <f t="shared" si="111"/>
        <v/>
      </c>
    </row>
    <row r="7067" spans="15:15" x14ac:dyDescent="0.3">
      <c r="O7067" t="str">
        <f t="shared" si="111"/>
        <v/>
      </c>
    </row>
    <row r="7068" spans="15:15" x14ac:dyDescent="0.3">
      <c r="O7068" t="str">
        <f t="shared" si="111"/>
        <v/>
      </c>
    </row>
    <row r="7069" spans="15:15" x14ac:dyDescent="0.3">
      <c r="O7069" t="str">
        <f t="shared" si="111"/>
        <v/>
      </c>
    </row>
    <row r="7070" spans="15:15" x14ac:dyDescent="0.3">
      <c r="O7070" t="str">
        <f t="shared" si="111"/>
        <v/>
      </c>
    </row>
    <row r="7071" spans="15:15" x14ac:dyDescent="0.3">
      <c r="O7071" t="str">
        <f t="shared" si="111"/>
        <v/>
      </c>
    </row>
    <row r="7072" spans="15:15" x14ac:dyDescent="0.3">
      <c r="O7072" t="str">
        <f t="shared" si="111"/>
        <v/>
      </c>
    </row>
    <row r="7073" spans="15:15" x14ac:dyDescent="0.3">
      <c r="O7073" t="str">
        <f t="shared" si="111"/>
        <v/>
      </c>
    </row>
    <row r="7074" spans="15:15" x14ac:dyDescent="0.3">
      <c r="O7074" t="str">
        <f t="shared" si="111"/>
        <v/>
      </c>
    </row>
    <row r="7075" spans="15:15" x14ac:dyDescent="0.3">
      <c r="O7075" t="str">
        <f t="shared" si="111"/>
        <v/>
      </c>
    </row>
    <row r="7076" spans="15:15" x14ac:dyDescent="0.3">
      <c r="O7076" t="str">
        <f t="shared" si="111"/>
        <v/>
      </c>
    </row>
    <row r="7077" spans="15:15" x14ac:dyDescent="0.3">
      <c r="O7077" t="str">
        <f t="shared" si="111"/>
        <v/>
      </c>
    </row>
    <row r="7078" spans="15:15" x14ac:dyDescent="0.3">
      <c r="O7078" t="str">
        <f t="shared" si="111"/>
        <v/>
      </c>
    </row>
    <row r="7079" spans="15:15" x14ac:dyDescent="0.3">
      <c r="O7079" t="str">
        <f t="shared" si="111"/>
        <v/>
      </c>
    </row>
    <row r="7080" spans="15:15" x14ac:dyDescent="0.3">
      <c r="O7080" t="str">
        <f t="shared" si="111"/>
        <v/>
      </c>
    </row>
    <row r="7081" spans="15:15" x14ac:dyDescent="0.3">
      <c r="O7081" t="str">
        <f t="shared" si="111"/>
        <v/>
      </c>
    </row>
    <row r="7082" spans="15:15" x14ac:dyDescent="0.3">
      <c r="O7082" t="str">
        <f t="shared" si="111"/>
        <v/>
      </c>
    </row>
    <row r="7083" spans="15:15" x14ac:dyDescent="0.3">
      <c r="O7083" t="str">
        <f t="shared" si="111"/>
        <v/>
      </c>
    </row>
    <row r="7084" spans="15:15" x14ac:dyDescent="0.3">
      <c r="O7084" t="str">
        <f t="shared" si="111"/>
        <v/>
      </c>
    </row>
    <row r="7085" spans="15:15" x14ac:dyDescent="0.3">
      <c r="O7085" t="str">
        <f t="shared" si="111"/>
        <v/>
      </c>
    </row>
    <row r="7086" spans="15:15" x14ac:dyDescent="0.3">
      <c r="O7086" t="str">
        <f t="shared" si="111"/>
        <v/>
      </c>
    </row>
    <row r="7087" spans="15:15" x14ac:dyDescent="0.3">
      <c r="O7087" t="str">
        <f t="shared" si="111"/>
        <v/>
      </c>
    </row>
    <row r="7088" spans="15:15" x14ac:dyDescent="0.3">
      <c r="O7088" t="str">
        <f t="shared" si="111"/>
        <v/>
      </c>
    </row>
    <row r="7089" spans="15:15" x14ac:dyDescent="0.3">
      <c r="O7089" t="str">
        <f t="shared" si="111"/>
        <v/>
      </c>
    </row>
    <row r="7090" spans="15:15" x14ac:dyDescent="0.3">
      <c r="O7090" t="str">
        <f t="shared" si="111"/>
        <v/>
      </c>
    </row>
    <row r="7091" spans="15:15" x14ac:dyDescent="0.3">
      <c r="O7091" t="str">
        <f t="shared" si="111"/>
        <v/>
      </c>
    </row>
    <row r="7092" spans="15:15" x14ac:dyDescent="0.3">
      <c r="O7092" t="str">
        <f t="shared" si="111"/>
        <v/>
      </c>
    </row>
    <row r="7093" spans="15:15" x14ac:dyDescent="0.3">
      <c r="O7093" t="str">
        <f t="shared" si="111"/>
        <v/>
      </c>
    </row>
    <row r="7094" spans="15:15" x14ac:dyDescent="0.3">
      <c r="O7094" t="str">
        <f t="shared" si="111"/>
        <v/>
      </c>
    </row>
    <row r="7095" spans="15:15" x14ac:dyDescent="0.3">
      <c r="O7095" t="str">
        <f t="shared" si="111"/>
        <v/>
      </c>
    </row>
    <row r="7096" spans="15:15" x14ac:dyDescent="0.3">
      <c r="O7096" t="str">
        <f t="shared" si="111"/>
        <v/>
      </c>
    </row>
    <row r="7097" spans="15:15" x14ac:dyDescent="0.3">
      <c r="O7097" t="str">
        <f t="shared" si="111"/>
        <v/>
      </c>
    </row>
    <row r="7098" spans="15:15" x14ac:dyDescent="0.3">
      <c r="O7098" t="str">
        <f t="shared" si="111"/>
        <v/>
      </c>
    </row>
    <row r="7099" spans="15:15" x14ac:dyDescent="0.3">
      <c r="O7099" t="str">
        <f t="shared" si="111"/>
        <v/>
      </c>
    </row>
    <row r="7100" spans="15:15" x14ac:dyDescent="0.3">
      <c r="O7100" t="str">
        <f t="shared" si="111"/>
        <v/>
      </c>
    </row>
    <row r="7101" spans="15:15" x14ac:dyDescent="0.3">
      <c r="O7101" t="str">
        <f t="shared" si="111"/>
        <v/>
      </c>
    </row>
    <row r="7102" spans="15:15" x14ac:dyDescent="0.3">
      <c r="O7102" t="str">
        <f t="shared" si="111"/>
        <v/>
      </c>
    </row>
    <row r="7103" spans="15:15" x14ac:dyDescent="0.3">
      <c r="O7103" t="str">
        <f t="shared" si="111"/>
        <v/>
      </c>
    </row>
    <row r="7104" spans="15:15" x14ac:dyDescent="0.3">
      <c r="O7104" t="str">
        <f t="shared" si="111"/>
        <v/>
      </c>
    </row>
    <row r="7105" spans="15:15" x14ac:dyDescent="0.3">
      <c r="O7105" t="str">
        <f t="shared" si="111"/>
        <v/>
      </c>
    </row>
    <row r="7106" spans="15:15" x14ac:dyDescent="0.3">
      <c r="O7106" t="str">
        <f t="shared" si="111"/>
        <v/>
      </c>
    </row>
    <row r="7107" spans="15:15" x14ac:dyDescent="0.3">
      <c r="O7107" t="str">
        <f t="shared" si="111"/>
        <v/>
      </c>
    </row>
    <row r="7108" spans="15:15" x14ac:dyDescent="0.3">
      <c r="O7108" t="str">
        <f t="shared" si="111"/>
        <v/>
      </c>
    </row>
    <row r="7109" spans="15:15" x14ac:dyDescent="0.3">
      <c r="O7109" t="str">
        <f t="shared" si="111"/>
        <v/>
      </c>
    </row>
    <row r="7110" spans="15:15" x14ac:dyDescent="0.3">
      <c r="O7110" t="str">
        <f t="shared" si="111"/>
        <v/>
      </c>
    </row>
    <row r="7111" spans="15:15" x14ac:dyDescent="0.3">
      <c r="O7111" t="str">
        <f t="shared" si="111"/>
        <v/>
      </c>
    </row>
    <row r="7112" spans="15:15" x14ac:dyDescent="0.3">
      <c r="O7112" t="str">
        <f t="shared" si="111"/>
        <v/>
      </c>
    </row>
    <row r="7113" spans="15:15" x14ac:dyDescent="0.3">
      <c r="O7113" t="str">
        <f t="shared" si="111"/>
        <v/>
      </c>
    </row>
    <row r="7114" spans="15:15" x14ac:dyDescent="0.3">
      <c r="O7114" t="str">
        <f t="shared" ref="O7114:O7177" si="112">IF(P7114="","",O7113+1)</f>
        <v/>
      </c>
    </row>
    <row r="7115" spans="15:15" x14ac:dyDescent="0.3">
      <c r="O7115" t="str">
        <f t="shared" si="112"/>
        <v/>
      </c>
    </row>
    <row r="7116" spans="15:15" x14ac:dyDescent="0.3">
      <c r="O7116" t="str">
        <f t="shared" si="112"/>
        <v/>
      </c>
    </row>
    <row r="7117" spans="15:15" x14ac:dyDescent="0.3">
      <c r="O7117" t="str">
        <f t="shared" si="112"/>
        <v/>
      </c>
    </row>
    <row r="7118" spans="15:15" x14ac:dyDescent="0.3">
      <c r="O7118" t="str">
        <f t="shared" si="112"/>
        <v/>
      </c>
    </row>
    <row r="7119" spans="15:15" x14ac:dyDescent="0.3">
      <c r="O7119" t="str">
        <f t="shared" si="112"/>
        <v/>
      </c>
    </row>
    <row r="7120" spans="15:15" x14ac:dyDescent="0.3">
      <c r="O7120" t="str">
        <f t="shared" si="112"/>
        <v/>
      </c>
    </row>
    <row r="7121" spans="15:15" x14ac:dyDescent="0.3">
      <c r="O7121" t="str">
        <f t="shared" si="112"/>
        <v/>
      </c>
    </row>
    <row r="7122" spans="15:15" x14ac:dyDescent="0.3">
      <c r="O7122" t="str">
        <f t="shared" si="112"/>
        <v/>
      </c>
    </row>
    <row r="7123" spans="15:15" x14ac:dyDescent="0.3">
      <c r="O7123" t="str">
        <f t="shared" si="112"/>
        <v/>
      </c>
    </row>
    <row r="7124" spans="15:15" x14ac:dyDescent="0.3">
      <c r="O7124" t="str">
        <f t="shared" si="112"/>
        <v/>
      </c>
    </row>
    <row r="7125" spans="15:15" x14ac:dyDescent="0.3">
      <c r="O7125" t="str">
        <f t="shared" si="112"/>
        <v/>
      </c>
    </row>
    <row r="7126" spans="15:15" x14ac:dyDescent="0.3">
      <c r="O7126" t="str">
        <f t="shared" si="112"/>
        <v/>
      </c>
    </row>
    <row r="7127" spans="15:15" x14ac:dyDescent="0.3">
      <c r="O7127" t="str">
        <f t="shared" si="112"/>
        <v/>
      </c>
    </row>
    <row r="7128" spans="15:15" x14ac:dyDescent="0.3">
      <c r="O7128" t="str">
        <f t="shared" si="112"/>
        <v/>
      </c>
    </row>
    <row r="7129" spans="15:15" x14ac:dyDescent="0.3">
      <c r="O7129" t="str">
        <f t="shared" si="112"/>
        <v/>
      </c>
    </row>
    <row r="7130" spans="15:15" x14ac:dyDescent="0.3">
      <c r="O7130" t="str">
        <f t="shared" si="112"/>
        <v/>
      </c>
    </row>
    <row r="7131" spans="15:15" x14ac:dyDescent="0.3">
      <c r="O7131" t="str">
        <f t="shared" si="112"/>
        <v/>
      </c>
    </row>
    <row r="7132" spans="15:15" x14ac:dyDescent="0.3">
      <c r="O7132" t="str">
        <f t="shared" si="112"/>
        <v/>
      </c>
    </row>
    <row r="7133" spans="15:15" x14ac:dyDescent="0.3">
      <c r="O7133" t="str">
        <f t="shared" si="112"/>
        <v/>
      </c>
    </row>
    <row r="7134" spans="15:15" x14ac:dyDescent="0.3">
      <c r="O7134" t="str">
        <f t="shared" si="112"/>
        <v/>
      </c>
    </row>
    <row r="7135" spans="15:15" x14ac:dyDescent="0.3">
      <c r="O7135" t="str">
        <f t="shared" si="112"/>
        <v/>
      </c>
    </row>
    <row r="7136" spans="15:15" x14ac:dyDescent="0.3">
      <c r="O7136" t="str">
        <f t="shared" si="112"/>
        <v/>
      </c>
    </row>
    <row r="7137" spans="15:15" x14ac:dyDescent="0.3">
      <c r="O7137" t="str">
        <f t="shared" si="112"/>
        <v/>
      </c>
    </row>
    <row r="7138" spans="15:15" x14ac:dyDescent="0.3">
      <c r="O7138" t="str">
        <f t="shared" si="112"/>
        <v/>
      </c>
    </row>
    <row r="7139" spans="15:15" x14ac:dyDescent="0.3">
      <c r="O7139" t="str">
        <f t="shared" si="112"/>
        <v/>
      </c>
    </row>
    <row r="7140" spans="15:15" x14ac:dyDescent="0.3">
      <c r="O7140" t="str">
        <f t="shared" si="112"/>
        <v/>
      </c>
    </row>
    <row r="7141" spans="15:15" x14ac:dyDescent="0.3">
      <c r="O7141" t="str">
        <f t="shared" si="112"/>
        <v/>
      </c>
    </row>
    <row r="7142" spans="15:15" x14ac:dyDescent="0.3">
      <c r="O7142" t="str">
        <f t="shared" si="112"/>
        <v/>
      </c>
    </row>
    <row r="7143" spans="15:15" x14ac:dyDescent="0.3">
      <c r="O7143" t="str">
        <f t="shared" si="112"/>
        <v/>
      </c>
    </row>
    <row r="7144" spans="15:15" x14ac:dyDescent="0.3">
      <c r="O7144" t="str">
        <f t="shared" si="112"/>
        <v/>
      </c>
    </row>
    <row r="7145" spans="15:15" x14ac:dyDescent="0.3">
      <c r="O7145" t="str">
        <f t="shared" si="112"/>
        <v/>
      </c>
    </row>
    <row r="7146" spans="15:15" x14ac:dyDescent="0.3">
      <c r="O7146" t="str">
        <f t="shared" si="112"/>
        <v/>
      </c>
    </row>
    <row r="7147" spans="15:15" x14ac:dyDescent="0.3">
      <c r="O7147" t="str">
        <f t="shared" si="112"/>
        <v/>
      </c>
    </row>
    <row r="7148" spans="15:15" x14ac:dyDescent="0.3">
      <c r="O7148" t="str">
        <f t="shared" si="112"/>
        <v/>
      </c>
    </row>
    <row r="7149" spans="15:15" x14ac:dyDescent="0.3">
      <c r="O7149" t="str">
        <f t="shared" si="112"/>
        <v/>
      </c>
    </row>
    <row r="7150" spans="15:15" x14ac:dyDescent="0.3">
      <c r="O7150" t="str">
        <f t="shared" si="112"/>
        <v/>
      </c>
    </row>
    <row r="7151" spans="15:15" x14ac:dyDescent="0.3">
      <c r="O7151" t="str">
        <f t="shared" si="112"/>
        <v/>
      </c>
    </row>
    <row r="7152" spans="15:15" x14ac:dyDescent="0.3">
      <c r="O7152" t="str">
        <f t="shared" si="112"/>
        <v/>
      </c>
    </row>
    <row r="7153" spans="15:15" x14ac:dyDescent="0.3">
      <c r="O7153" t="str">
        <f t="shared" si="112"/>
        <v/>
      </c>
    </row>
    <row r="7154" spans="15:15" x14ac:dyDescent="0.3">
      <c r="O7154" t="str">
        <f t="shared" si="112"/>
        <v/>
      </c>
    </row>
    <row r="7155" spans="15:15" x14ac:dyDescent="0.3">
      <c r="O7155" t="str">
        <f t="shared" si="112"/>
        <v/>
      </c>
    </row>
    <row r="7156" spans="15:15" x14ac:dyDescent="0.3">
      <c r="O7156" t="str">
        <f t="shared" si="112"/>
        <v/>
      </c>
    </row>
    <row r="7157" spans="15:15" x14ac:dyDescent="0.3">
      <c r="O7157" t="str">
        <f t="shared" si="112"/>
        <v/>
      </c>
    </row>
    <row r="7158" spans="15:15" x14ac:dyDescent="0.3">
      <c r="O7158" t="str">
        <f t="shared" si="112"/>
        <v/>
      </c>
    </row>
    <row r="7159" spans="15:15" x14ac:dyDescent="0.3">
      <c r="O7159" t="str">
        <f t="shared" si="112"/>
        <v/>
      </c>
    </row>
    <row r="7160" spans="15:15" x14ac:dyDescent="0.3">
      <c r="O7160" t="str">
        <f t="shared" si="112"/>
        <v/>
      </c>
    </row>
    <row r="7161" spans="15:15" x14ac:dyDescent="0.3">
      <c r="O7161" t="str">
        <f t="shared" si="112"/>
        <v/>
      </c>
    </row>
    <row r="7162" spans="15:15" x14ac:dyDescent="0.3">
      <c r="O7162" t="str">
        <f t="shared" si="112"/>
        <v/>
      </c>
    </row>
    <row r="7163" spans="15:15" x14ac:dyDescent="0.3">
      <c r="O7163" t="str">
        <f t="shared" si="112"/>
        <v/>
      </c>
    </row>
    <row r="7164" spans="15:15" x14ac:dyDescent="0.3">
      <c r="O7164" t="str">
        <f t="shared" si="112"/>
        <v/>
      </c>
    </row>
    <row r="7165" spans="15:15" x14ac:dyDescent="0.3">
      <c r="O7165" t="str">
        <f t="shared" si="112"/>
        <v/>
      </c>
    </row>
    <row r="7166" spans="15:15" x14ac:dyDescent="0.3">
      <c r="O7166" t="str">
        <f t="shared" si="112"/>
        <v/>
      </c>
    </row>
    <row r="7167" spans="15:15" x14ac:dyDescent="0.3">
      <c r="O7167" t="str">
        <f t="shared" si="112"/>
        <v/>
      </c>
    </row>
    <row r="7168" spans="15:15" x14ac:dyDescent="0.3">
      <c r="O7168" t="str">
        <f t="shared" si="112"/>
        <v/>
      </c>
    </row>
    <row r="7169" spans="15:15" x14ac:dyDescent="0.3">
      <c r="O7169" t="str">
        <f t="shared" si="112"/>
        <v/>
      </c>
    </row>
    <row r="7170" spans="15:15" x14ac:dyDescent="0.3">
      <c r="O7170" t="str">
        <f t="shared" si="112"/>
        <v/>
      </c>
    </row>
    <row r="7171" spans="15:15" x14ac:dyDescent="0.3">
      <c r="O7171" t="str">
        <f t="shared" si="112"/>
        <v/>
      </c>
    </row>
    <row r="7172" spans="15:15" x14ac:dyDescent="0.3">
      <c r="O7172" t="str">
        <f t="shared" si="112"/>
        <v/>
      </c>
    </row>
    <row r="7173" spans="15:15" x14ac:dyDescent="0.3">
      <c r="O7173" t="str">
        <f t="shared" si="112"/>
        <v/>
      </c>
    </row>
    <row r="7174" spans="15:15" x14ac:dyDescent="0.3">
      <c r="O7174" t="str">
        <f t="shared" si="112"/>
        <v/>
      </c>
    </row>
    <row r="7175" spans="15:15" x14ac:dyDescent="0.3">
      <c r="O7175" t="str">
        <f t="shared" si="112"/>
        <v/>
      </c>
    </row>
    <row r="7176" spans="15:15" x14ac:dyDescent="0.3">
      <c r="O7176" t="str">
        <f t="shared" si="112"/>
        <v/>
      </c>
    </row>
    <row r="7177" spans="15:15" x14ac:dyDescent="0.3">
      <c r="O7177" t="str">
        <f t="shared" si="112"/>
        <v/>
      </c>
    </row>
    <row r="7178" spans="15:15" x14ac:dyDescent="0.3">
      <c r="O7178" t="str">
        <f t="shared" ref="O7178:O7241" si="113">IF(P7178="","",O7177+1)</f>
        <v/>
      </c>
    </row>
    <row r="7179" spans="15:15" x14ac:dyDescent="0.3">
      <c r="O7179" t="str">
        <f t="shared" si="113"/>
        <v/>
      </c>
    </row>
    <row r="7180" spans="15:15" x14ac:dyDescent="0.3">
      <c r="O7180" t="str">
        <f t="shared" si="113"/>
        <v/>
      </c>
    </row>
    <row r="7181" spans="15:15" x14ac:dyDescent="0.3">
      <c r="O7181" t="str">
        <f t="shared" si="113"/>
        <v/>
      </c>
    </row>
    <row r="7182" spans="15:15" x14ac:dyDescent="0.3">
      <c r="O7182" t="str">
        <f t="shared" si="113"/>
        <v/>
      </c>
    </row>
    <row r="7183" spans="15:15" x14ac:dyDescent="0.3">
      <c r="O7183" t="str">
        <f t="shared" si="113"/>
        <v/>
      </c>
    </row>
    <row r="7184" spans="15:15" x14ac:dyDescent="0.3">
      <c r="O7184" t="str">
        <f t="shared" si="113"/>
        <v/>
      </c>
    </row>
    <row r="7185" spans="15:15" x14ac:dyDescent="0.3">
      <c r="O7185" t="str">
        <f t="shared" si="113"/>
        <v/>
      </c>
    </row>
    <row r="7186" spans="15:15" x14ac:dyDescent="0.3">
      <c r="O7186" t="str">
        <f t="shared" si="113"/>
        <v/>
      </c>
    </row>
    <row r="7187" spans="15:15" x14ac:dyDescent="0.3">
      <c r="O7187" t="str">
        <f t="shared" si="113"/>
        <v/>
      </c>
    </row>
    <row r="7188" spans="15:15" x14ac:dyDescent="0.3">
      <c r="O7188" t="str">
        <f t="shared" si="113"/>
        <v/>
      </c>
    </row>
    <row r="7189" spans="15:15" x14ac:dyDescent="0.3">
      <c r="O7189" t="str">
        <f t="shared" si="113"/>
        <v/>
      </c>
    </row>
    <row r="7190" spans="15:15" x14ac:dyDescent="0.3">
      <c r="O7190" t="str">
        <f t="shared" si="113"/>
        <v/>
      </c>
    </row>
    <row r="7191" spans="15:15" x14ac:dyDescent="0.3">
      <c r="O7191" t="str">
        <f t="shared" si="113"/>
        <v/>
      </c>
    </row>
    <row r="7192" spans="15:15" x14ac:dyDescent="0.3">
      <c r="O7192" t="str">
        <f t="shared" si="113"/>
        <v/>
      </c>
    </row>
    <row r="7193" spans="15:15" x14ac:dyDescent="0.3">
      <c r="O7193" t="str">
        <f t="shared" si="113"/>
        <v/>
      </c>
    </row>
    <row r="7194" spans="15:15" x14ac:dyDescent="0.3">
      <c r="O7194" t="str">
        <f t="shared" si="113"/>
        <v/>
      </c>
    </row>
    <row r="7195" spans="15:15" x14ac:dyDescent="0.3">
      <c r="O7195" t="str">
        <f t="shared" si="113"/>
        <v/>
      </c>
    </row>
    <row r="7196" spans="15:15" x14ac:dyDescent="0.3">
      <c r="O7196" t="str">
        <f t="shared" si="113"/>
        <v/>
      </c>
    </row>
    <row r="7197" spans="15:15" x14ac:dyDescent="0.3">
      <c r="O7197" t="str">
        <f t="shared" si="113"/>
        <v/>
      </c>
    </row>
    <row r="7198" spans="15:15" x14ac:dyDescent="0.3">
      <c r="O7198" t="str">
        <f t="shared" si="113"/>
        <v/>
      </c>
    </row>
    <row r="7199" spans="15:15" x14ac:dyDescent="0.3">
      <c r="O7199" t="str">
        <f t="shared" si="113"/>
        <v/>
      </c>
    </row>
    <row r="7200" spans="15:15" x14ac:dyDescent="0.3">
      <c r="O7200" t="str">
        <f t="shared" si="113"/>
        <v/>
      </c>
    </row>
    <row r="7201" spans="15:15" x14ac:dyDescent="0.3">
      <c r="O7201" t="str">
        <f t="shared" si="113"/>
        <v/>
      </c>
    </row>
    <row r="7202" spans="15:15" x14ac:dyDescent="0.3">
      <c r="O7202" t="str">
        <f t="shared" si="113"/>
        <v/>
      </c>
    </row>
    <row r="7203" spans="15:15" x14ac:dyDescent="0.3">
      <c r="O7203" t="str">
        <f t="shared" si="113"/>
        <v/>
      </c>
    </row>
    <row r="7204" spans="15:15" x14ac:dyDescent="0.3">
      <c r="O7204" t="str">
        <f t="shared" si="113"/>
        <v/>
      </c>
    </row>
    <row r="7205" spans="15:15" x14ac:dyDescent="0.3">
      <c r="O7205" t="str">
        <f t="shared" si="113"/>
        <v/>
      </c>
    </row>
    <row r="7206" spans="15:15" x14ac:dyDescent="0.3">
      <c r="O7206" t="str">
        <f t="shared" si="113"/>
        <v/>
      </c>
    </row>
    <row r="7207" spans="15:15" x14ac:dyDescent="0.3">
      <c r="O7207" t="str">
        <f t="shared" si="113"/>
        <v/>
      </c>
    </row>
    <row r="7208" spans="15:15" x14ac:dyDescent="0.3">
      <c r="O7208" t="str">
        <f t="shared" si="113"/>
        <v/>
      </c>
    </row>
    <row r="7209" spans="15:15" x14ac:dyDescent="0.3">
      <c r="O7209" t="str">
        <f t="shared" si="113"/>
        <v/>
      </c>
    </row>
    <row r="7210" spans="15:15" x14ac:dyDescent="0.3">
      <c r="O7210" t="str">
        <f t="shared" si="113"/>
        <v/>
      </c>
    </row>
    <row r="7211" spans="15:15" x14ac:dyDescent="0.3">
      <c r="O7211" t="str">
        <f t="shared" si="113"/>
        <v/>
      </c>
    </row>
    <row r="7212" spans="15:15" x14ac:dyDescent="0.3">
      <c r="O7212" t="str">
        <f t="shared" si="113"/>
        <v/>
      </c>
    </row>
    <row r="7213" spans="15:15" x14ac:dyDescent="0.3">
      <c r="O7213" t="str">
        <f t="shared" si="113"/>
        <v/>
      </c>
    </row>
    <row r="7214" spans="15:15" x14ac:dyDescent="0.3">
      <c r="O7214" t="str">
        <f t="shared" si="113"/>
        <v/>
      </c>
    </row>
    <row r="7215" spans="15:15" x14ac:dyDescent="0.3">
      <c r="O7215" t="str">
        <f t="shared" si="113"/>
        <v/>
      </c>
    </row>
    <row r="7216" spans="15:15" x14ac:dyDescent="0.3">
      <c r="O7216" t="str">
        <f t="shared" si="113"/>
        <v/>
      </c>
    </row>
    <row r="7217" spans="15:15" x14ac:dyDescent="0.3">
      <c r="O7217" t="str">
        <f t="shared" si="113"/>
        <v/>
      </c>
    </row>
    <row r="7218" spans="15:15" x14ac:dyDescent="0.3">
      <c r="O7218" t="str">
        <f t="shared" si="113"/>
        <v/>
      </c>
    </row>
    <row r="7219" spans="15:15" x14ac:dyDescent="0.3">
      <c r="O7219" t="str">
        <f t="shared" si="113"/>
        <v/>
      </c>
    </row>
    <row r="7220" spans="15:15" x14ac:dyDescent="0.3">
      <c r="O7220" t="str">
        <f t="shared" si="113"/>
        <v/>
      </c>
    </row>
    <row r="7221" spans="15:15" x14ac:dyDescent="0.3">
      <c r="O7221" t="str">
        <f t="shared" si="113"/>
        <v/>
      </c>
    </row>
    <row r="7222" spans="15:15" x14ac:dyDescent="0.3">
      <c r="O7222" t="str">
        <f t="shared" si="113"/>
        <v/>
      </c>
    </row>
    <row r="7223" spans="15:15" x14ac:dyDescent="0.3">
      <c r="O7223" t="str">
        <f t="shared" si="113"/>
        <v/>
      </c>
    </row>
    <row r="7224" spans="15:15" x14ac:dyDescent="0.3">
      <c r="O7224" t="str">
        <f t="shared" si="113"/>
        <v/>
      </c>
    </row>
    <row r="7225" spans="15:15" x14ac:dyDescent="0.3">
      <c r="O7225" t="str">
        <f t="shared" si="113"/>
        <v/>
      </c>
    </row>
    <row r="7226" spans="15:15" x14ac:dyDescent="0.3">
      <c r="O7226" t="str">
        <f t="shared" si="113"/>
        <v/>
      </c>
    </row>
    <row r="7227" spans="15:15" x14ac:dyDescent="0.3">
      <c r="O7227" t="str">
        <f t="shared" si="113"/>
        <v/>
      </c>
    </row>
    <row r="7228" spans="15:15" x14ac:dyDescent="0.3">
      <c r="O7228" t="str">
        <f t="shared" si="113"/>
        <v/>
      </c>
    </row>
    <row r="7229" spans="15:15" x14ac:dyDescent="0.3">
      <c r="O7229" t="str">
        <f t="shared" si="113"/>
        <v/>
      </c>
    </row>
    <row r="7230" spans="15:15" x14ac:dyDescent="0.3">
      <c r="O7230" t="str">
        <f t="shared" si="113"/>
        <v/>
      </c>
    </row>
    <row r="7231" spans="15:15" x14ac:dyDescent="0.3">
      <c r="O7231" t="str">
        <f t="shared" si="113"/>
        <v/>
      </c>
    </row>
    <row r="7232" spans="15:15" x14ac:dyDescent="0.3">
      <c r="O7232" t="str">
        <f t="shared" si="113"/>
        <v/>
      </c>
    </row>
    <row r="7233" spans="15:15" x14ac:dyDescent="0.3">
      <c r="O7233" t="str">
        <f t="shared" si="113"/>
        <v/>
      </c>
    </row>
    <row r="7234" spans="15:15" x14ac:dyDescent="0.3">
      <c r="O7234" t="str">
        <f t="shared" si="113"/>
        <v/>
      </c>
    </row>
    <row r="7235" spans="15:15" x14ac:dyDescent="0.3">
      <c r="O7235" t="str">
        <f t="shared" si="113"/>
        <v/>
      </c>
    </row>
    <row r="7236" spans="15:15" x14ac:dyDescent="0.3">
      <c r="O7236" t="str">
        <f t="shared" si="113"/>
        <v/>
      </c>
    </row>
    <row r="7237" spans="15:15" x14ac:dyDescent="0.3">
      <c r="O7237" t="str">
        <f t="shared" si="113"/>
        <v/>
      </c>
    </row>
    <row r="7238" spans="15:15" x14ac:dyDescent="0.3">
      <c r="O7238" t="str">
        <f t="shared" si="113"/>
        <v/>
      </c>
    </row>
    <row r="7239" spans="15:15" x14ac:dyDescent="0.3">
      <c r="O7239" t="str">
        <f t="shared" si="113"/>
        <v/>
      </c>
    </row>
    <row r="7240" spans="15:15" x14ac:dyDescent="0.3">
      <c r="O7240" t="str">
        <f t="shared" si="113"/>
        <v/>
      </c>
    </row>
    <row r="7241" spans="15:15" x14ac:dyDescent="0.3">
      <c r="O7241" t="str">
        <f t="shared" si="113"/>
        <v/>
      </c>
    </row>
    <row r="7242" spans="15:15" x14ac:dyDescent="0.3">
      <c r="O7242" t="str">
        <f t="shared" ref="O7242:O7305" si="114">IF(P7242="","",O7241+1)</f>
        <v/>
      </c>
    </row>
    <row r="7243" spans="15:15" x14ac:dyDescent="0.3">
      <c r="O7243" t="str">
        <f t="shared" si="114"/>
        <v/>
      </c>
    </row>
    <row r="7244" spans="15:15" x14ac:dyDescent="0.3">
      <c r="O7244" t="str">
        <f t="shared" si="114"/>
        <v/>
      </c>
    </row>
    <row r="7245" spans="15:15" x14ac:dyDescent="0.3">
      <c r="O7245" t="str">
        <f t="shared" si="114"/>
        <v/>
      </c>
    </row>
    <row r="7246" spans="15:15" x14ac:dyDescent="0.3">
      <c r="O7246" t="str">
        <f t="shared" si="114"/>
        <v/>
      </c>
    </row>
    <row r="7247" spans="15:15" x14ac:dyDescent="0.3">
      <c r="O7247" t="str">
        <f t="shared" si="114"/>
        <v/>
      </c>
    </row>
    <row r="7248" spans="15:15" x14ac:dyDescent="0.3">
      <c r="O7248" t="str">
        <f t="shared" si="114"/>
        <v/>
      </c>
    </row>
    <row r="7249" spans="15:15" x14ac:dyDescent="0.3">
      <c r="O7249" t="str">
        <f t="shared" si="114"/>
        <v/>
      </c>
    </row>
    <row r="7250" spans="15:15" x14ac:dyDescent="0.3">
      <c r="O7250" t="str">
        <f t="shared" si="114"/>
        <v/>
      </c>
    </row>
    <row r="7251" spans="15:15" x14ac:dyDescent="0.3">
      <c r="O7251" t="str">
        <f t="shared" si="114"/>
        <v/>
      </c>
    </row>
    <row r="7252" spans="15:15" x14ac:dyDescent="0.3">
      <c r="O7252" t="str">
        <f t="shared" si="114"/>
        <v/>
      </c>
    </row>
    <row r="7253" spans="15:15" x14ac:dyDescent="0.3">
      <c r="O7253" t="str">
        <f t="shared" si="114"/>
        <v/>
      </c>
    </row>
    <row r="7254" spans="15:15" x14ac:dyDescent="0.3">
      <c r="O7254" t="str">
        <f t="shared" si="114"/>
        <v/>
      </c>
    </row>
    <row r="7255" spans="15:15" x14ac:dyDescent="0.3">
      <c r="O7255" t="str">
        <f t="shared" si="114"/>
        <v/>
      </c>
    </row>
    <row r="7256" spans="15:15" x14ac:dyDescent="0.3">
      <c r="O7256" t="str">
        <f t="shared" si="114"/>
        <v/>
      </c>
    </row>
    <row r="7257" spans="15:15" x14ac:dyDescent="0.3">
      <c r="O7257" t="str">
        <f t="shared" si="114"/>
        <v/>
      </c>
    </row>
    <row r="7258" spans="15:15" x14ac:dyDescent="0.3">
      <c r="O7258" t="str">
        <f t="shared" si="114"/>
        <v/>
      </c>
    </row>
    <row r="7259" spans="15:15" x14ac:dyDescent="0.3">
      <c r="O7259" t="str">
        <f t="shared" si="114"/>
        <v/>
      </c>
    </row>
    <row r="7260" spans="15:15" x14ac:dyDescent="0.3">
      <c r="O7260" t="str">
        <f t="shared" si="114"/>
        <v/>
      </c>
    </row>
    <row r="7261" spans="15:15" x14ac:dyDescent="0.3">
      <c r="O7261" t="str">
        <f t="shared" si="114"/>
        <v/>
      </c>
    </row>
    <row r="7262" spans="15:15" x14ac:dyDescent="0.3">
      <c r="O7262" t="str">
        <f t="shared" si="114"/>
        <v/>
      </c>
    </row>
    <row r="7263" spans="15:15" x14ac:dyDescent="0.3">
      <c r="O7263" t="str">
        <f t="shared" si="114"/>
        <v/>
      </c>
    </row>
    <row r="7264" spans="15:15" x14ac:dyDescent="0.3">
      <c r="O7264" t="str">
        <f t="shared" si="114"/>
        <v/>
      </c>
    </row>
    <row r="7265" spans="15:15" x14ac:dyDescent="0.3">
      <c r="O7265" t="str">
        <f t="shared" si="114"/>
        <v/>
      </c>
    </row>
    <row r="7266" spans="15:15" x14ac:dyDescent="0.3">
      <c r="O7266" t="str">
        <f t="shared" si="114"/>
        <v/>
      </c>
    </row>
    <row r="7267" spans="15:15" x14ac:dyDescent="0.3">
      <c r="O7267" t="str">
        <f t="shared" si="114"/>
        <v/>
      </c>
    </row>
    <row r="7268" spans="15:15" x14ac:dyDescent="0.3">
      <c r="O7268" t="str">
        <f t="shared" si="114"/>
        <v/>
      </c>
    </row>
    <row r="7269" spans="15:15" x14ac:dyDescent="0.3">
      <c r="O7269" t="str">
        <f t="shared" si="114"/>
        <v/>
      </c>
    </row>
    <row r="7270" spans="15:15" x14ac:dyDescent="0.3">
      <c r="O7270" t="str">
        <f t="shared" si="114"/>
        <v/>
      </c>
    </row>
    <row r="7271" spans="15:15" x14ac:dyDescent="0.3">
      <c r="O7271" t="str">
        <f t="shared" si="114"/>
        <v/>
      </c>
    </row>
    <row r="7272" spans="15:15" x14ac:dyDescent="0.3">
      <c r="O7272" t="str">
        <f t="shared" si="114"/>
        <v/>
      </c>
    </row>
    <row r="7273" spans="15:15" x14ac:dyDescent="0.3">
      <c r="O7273" t="str">
        <f t="shared" si="114"/>
        <v/>
      </c>
    </row>
    <row r="7274" spans="15:15" x14ac:dyDescent="0.3">
      <c r="O7274" t="str">
        <f t="shared" si="114"/>
        <v/>
      </c>
    </row>
    <row r="7275" spans="15:15" x14ac:dyDescent="0.3">
      <c r="O7275" t="str">
        <f t="shared" si="114"/>
        <v/>
      </c>
    </row>
    <row r="7276" spans="15:15" x14ac:dyDescent="0.3">
      <c r="O7276" t="str">
        <f t="shared" si="114"/>
        <v/>
      </c>
    </row>
    <row r="7277" spans="15:15" x14ac:dyDescent="0.3">
      <c r="O7277" t="str">
        <f t="shared" si="114"/>
        <v/>
      </c>
    </row>
    <row r="7278" spans="15:15" x14ac:dyDescent="0.3">
      <c r="O7278" t="str">
        <f t="shared" si="114"/>
        <v/>
      </c>
    </row>
    <row r="7279" spans="15:15" x14ac:dyDescent="0.3">
      <c r="O7279" t="str">
        <f t="shared" si="114"/>
        <v/>
      </c>
    </row>
    <row r="7280" spans="15:15" x14ac:dyDescent="0.3">
      <c r="O7280" t="str">
        <f t="shared" si="114"/>
        <v/>
      </c>
    </row>
    <row r="7281" spans="15:15" x14ac:dyDescent="0.3">
      <c r="O7281" t="str">
        <f t="shared" si="114"/>
        <v/>
      </c>
    </row>
    <row r="7282" spans="15:15" x14ac:dyDescent="0.3">
      <c r="O7282" t="str">
        <f t="shared" si="114"/>
        <v/>
      </c>
    </row>
    <row r="7283" spans="15:15" x14ac:dyDescent="0.3">
      <c r="O7283" t="str">
        <f t="shared" si="114"/>
        <v/>
      </c>
    </row>
    <row r="7284" spans="15:15" x14ac:dyDescent="0.3">
      <c r="O7284" t="str">
        <f t="shared" si="114"/>
        <v/>
      </c>
    </row>
    <row r="7285" spans="15:15" x14ac:dyDescent="0.3">
      <c r="O7285" t="str">
        <f t="shared" si="114"/>
        <v/>
      </c>
    </row>
    <row r="7286" spans="15:15" x14ac:dyDescent="0.3">
      <c r="O7286" t="str">
        <f t="shared" si="114"/>
        <v/>
      </c>
    </row>
    <row r="7287" spans="15:15" x14ac:dyDescent="0.3">
      <c r="O7287" t="str">
        <f t="shared" si="114"/>
        <v/>
      </c>
    </row>
    <row r="7288" spans="15:15" x14ac:dyDescent="0.3">
      <c r="O7288" t="str">
        <f t="shared" si="114"/>
        <v/>
      </c>
    </row>
    <row r="7289" spans="15:15" x14ac:dyDescent="0.3">
      <c r="O7289" t="str">
        <f t="shared" si="114"/>
        <v/>
      </c>
    </row>
    <row r="7290" spans="15:15" x14ac:dyDescent="0.3">
      <c r="O7290" t="str">
        <f t="shared" si="114"/>
        <v/>
      </c>
    </row>
    <row r="7291" spans="15:15" x14ac:dyDescent="0.3">
      <c r="O7291" t="str">
        <f t="shared" si="114"/>
        <v/>
      </c>
    </row>
    <row r="7292" spans="15:15" x14ac:dyDescent="0.3">
      <c r="O7292" t="str">
        <f t="shared" si="114"/>
        <v/>
      </c>
    </row>
    <row r="7293" spans="15:15" x14ac:dyDescent="0.3">
      <c r="O7293" t="str">
        <f t="shared" si="114"/>
        <v/>
      </c>
    </row>
    <row r="7294" spans="15:15" x14ac:dyDescent="0.3">
      <c r="O7294" t="str">
        <f t="shared" si="114"/>
        <v/>
      </c>
    </row>
    <row r="7295" spans="15:15" x14ac:dyDescent="0.3">
      <c r="O7295" t="str">
        <f t="shared" si="114"/>
        <v/>
      </c>
    </row>
    <row r="7296" spans="15:15" x14ac:dyDescent="0.3">
      <c r="O7296" t="str">
        <f t="shared" si="114"/>
        <v/>
      </c>
    </row>
    <row r="7297" spans="15:15" x14ac:dyDescent="0.3">
      <c r="O7297" t="str">
        <f t="shared" si="114"/>
        <v/>
      </c>
    </row>
    <row r="7298" spans="15:15" x14ac:dyDescent="0.3">
      <c r="O7298" t="str">
        <f t="shared" si="114"/>
        <v/>
      </c>
    </row>
    <row r="7299" spans="15:15" x14ac:dyDescent="0.3">
      <c r="O7299" t="str">
        <f t="shared" si="114"/>
        <v/>
      </c>
    </row>
    <row r="7300" spans="15:15" x14ac:dyDescent="0.3">
      <c r="O7300" t="str">
        <f t="shared" si="114"/>
        <v/>
      </c>
    </row>
    <row r="7301" spans="15:15" x14ac:dyDescent="0.3">
      <c r="O7301" t="str">
        <f t="shared" si="114"/>
        <v/>
      </c>
    </row>
    <row r="7302" spans="15:15" x14ac:dyDescent="0.3">
      <c r="O7302" t="str">
        <f t="shared" si="114"/>
        <v/>
      </c>
    </row>
    <row r="7303" spans="15:15" x14ac:dyDescent="0.3">
      <c r="O7303" t="str">
        <f t="shared" si="114"/>
        <v/>
      </c>
    </row>
    <row r="7304" spans="15:15" x14ac:dyDescent="0.3">
      <c r="O7304" t="str">
        <f t="shared" si="114"/>
        <v/>
      </c>
    </row>
    <row r="7305" spans="15:15" x14ac:dyDescent="0.3">
      <c r="O7305" t="str">
        <f t="shared" si="114"/>
        <v/>
      </c>
    </row>
    <row r="7306" spans="15:15" x14ac:dyDescent="0.3">
      <c r="O7306" t="str">
        <f t="shared" ref="O7306:O7369" si="115">IF(P7306="","",O7305+1)</f>
        <v/>
      </c>
    </row>
    <row r="7307" spans="15:15" x14ac:dyDescent="0.3">
      <c r="O7307" t="str">
        <f t="shared" si="115"/>
        <v/>
      </c>
    </row>
    <row r="7308" spans="15:15" x14ac:dyDescent="0.3">
      <c r="O7308" t="str">
        <f t="shared" si="115"/>
        <v/>
      </c>
    </row>
    <row r="7309" spans="15:15" x14ac:dyDescent="0.3">
      <c r="O7309" t="str">
        <f t="shared" si="115"/>
        <v/>
      </c>
    </row>
    <row r="7310" spans="15:15" x14ac:dyDescent="0.3">
      <c r="O7310" t="str">
        <f t="shared" si="115"/>
        <v/>
      </c>
    </row>
    <row r="7311" spans="15:15" x14ac:dyDescent="0.3">
      <c r="O7311" t="str">
        <f t="shared" si="115"/>
        <v/>
      </c>
    </row>
    <row r="7312" spans="15:15" x14ac:dyDescent="0.3">
      <c r="O7312" t="str">
        <f t="shared" si="115"/>
        <v/>
      </c>
    </row>
    <row r="7313" spans="15:15" x14ac:dyDescent="0.3">
      <c r="O7313" t="str">
        <f t="shared" si="115"/>
        <v/>
      </c>
    </row>
    <row r="7314" spans="15:15" x14ac:dyDescent="0.3">
      <c r="O7314" t="str">
        <f t="shared" si="115"/>
        <v/>
      </c>
    </row>
    <row r="7315" spans="15:15" x14ac:dyDescent="0.3">
      <c r="O7315" t="str">
        <f t="shared" si="115"/>
        <v/>
      </c>
    </row>
    <row r="7316" spans="15:15" x14ac:dyDescent="0.3">
      <c r="O7316" t="str">
        <f t="shared" si="115"/>
        <v/>
      </c>
    </row>
    <row r="7317" spans="15:15" x14ac:dyDescent="0.3">
      <c r="O7317" t="str">
        <f t="shared" si="115"/>
        <v/>
      </c>
    </row>
    <row r="7318" spans="15:15" x14ac:dyDescent="0.3">
      <c r="O7318" t="str">
        <f t="shared" si="115"/>
        <v/>
      </c>
    </row>
    <row r="7319" spans="15:15" x14ac:dyDescent="0.3">
      <c r="O7319" t="str">
        <f t="shared" si="115"/>
        <v/>
      </c>
    </row>
    <row r="7320" spans="15:15" x14ac:dyDescent="0.3">
      <c r="O7320" t="str">
        <f t="shared" si="115"/>
        <v/>
      </c>
    </row>
    <row r="7321" spans="15:15" x14ac:dyDescent="0.3">
      <c r="O7321" t="str">
        <f t="shared" si="115"/>
        <v/>
      </c>
    </row>
    <row r="7322" spans="15:15" x14ac:dyDescent="0.3">
      <c r="O7322" t="str">
        <f t="shared" si="115"/>
        <v/>
      </c>
    </row>
    <row r="7323" spans="15:15" x14ac:dyDescent="0.3">
      <c r="O7323" t="str">
        <f t="shared" si="115"/>
        <v/>
      </c>
    </row>
    <row r="7324" spans="15:15" x14ac:dyDescent="0.3">
      <c r="O7324" t="str">
        <f t="shared" si="115"/>
        <v/>
      </c>
    </row>
    <row r="7325" spans="15:15" x14ac:dyDescent="0.3">
      <c r="O7325" t="str">
        <f t="shared" si="115"/>
        <v/>
      </c>
    </row>
    <row r="7326" spans="15:15" x14ac:dyDescent="0.3">
      <c r="O7326" t="str">
        <f t="shared" si="115"/>
        <v/>
      </c>
    </row>
    <row r="7327" spans="15:15" x14ac:dyDescent="0.3">
      <c r="O7327" t="str">
        <f t="shared" si="115"/>
        <v/>
      </c>
    </row>
    <row r="7328" spans="15:15" x14ac:dyDescent="0.3">
      <c r="O7328" t="str">
        <f t="shared" si="115"/>
        <v/>
      </c>
    </row>
    <row r="7329" spans="15:15" x14ac:dyDescent="0.3">
      <c r="O7329" t="str">
        <f t="shared" si="115"/>
        <v/>
      </c>
    </row>
    <row r="7330" spans="15:15" x14ac:dyDescent="0.3">
      <c r="O7330" t="str">
        <f t="shared" si="115"/>
        <v/>
      </c>
    </row>
    <row r="7331" spans="15:15" x14ac:dyDescent="0.3">
      <c r="O7331" t="str">
        <f t="shared" si="115"/>
        <v/>
      </c>
    </row>
    <row r="7332" spans="15:15" x14ac:dyDescent="0.3">
      <c r="O7332" t="str">
        <f t="shared" si="115"/>
        <v/>
      </c>
    </row>
    <row r="7333" spans="15:15" x14ac:dyDescent="0.3">
      <c r="O7333" t="str">
        <f t="shared" si="115"/>
        <v/>
      </c>
    </row>
    <row r="7334" spans="15:15" x14ac:dyDescent="0.3">
      <c r="O7334" t="str">
        <f t="shared" si="115"/>
        <v/>
      </c>
    </row>
    <row r="7335" spans="15:15" x14ac:dyDescent="0.3">
      <c r="O7335" t="str">
        <f t="shared" si="115"/>
        <v/>
      </c>
    </row>
    <row r="7336" spans="15:15" x14ac:dyDescent="0.3">
      <c r="O7336" t="str">
        <f t="shared" si="115"/>
        <v/>
      </c>
    </row>
    <row r="7337" spans="15:15" x14ac:dyDescent="0.3">
      <c r="O7337" t="str">
        <f t="shared" si="115"/>
        <v/>
      </c>
    </row>
    <row r="7338" spans="15:15" x14ac:dyDescent="0.3">
      <c r="O7338" t="str">
        <f t="shared" si="115"/>
        <v/>
      </c>
    </row>
    <row r="7339" spans="15:15" x14ac:dyDescent="0.3">
      <c r="O7339" t="str">
        <f t="shared" si="115"/>
        <v/>
      </c>
    </row>
    <row r="7340" spans="15:15" x14ac:dyDescent="0.3">
      <c r="O7340" t="str">
        <f t="shared" si="115"/>
        <v/>
      </c>
    </row>
    <row r="7341" spans="15:15" x14ac:dyDescent="0.3">
      <c r="O7341" t="str">
        <f t="shared" si="115"/>
        <v/>
      </c>
    </row>
    <row r="7342" spans="15:15" x14ac:dyDescent="0.3">
      <c r="O7342" t="str">
        <f t="shared" si="115"/>
        <v/>
      </c>
    </row>
    <row r="7343" spans="15:15" x14ac:dyDescent="0.3">
      <c r="O7343" t="str">
        <f t="shared" si="115"/>
        <v/>
      </c>
    </row>
    <row r="7344" spans="15:15" x14ac:dyDescent="0.3">
      <c r="O7344" t="str">
        <f t="shared" si="115"/>
        <v/>
      </c>
    </row>
    <row r="7345" spans="15:15" x14ac:dyDescent="0.3">
      <c r="O7345" t="str">
        <f t="shared" si="115"/>
        <v/>
      </c>
    </row>
    <row r="7346" spans="15:15" x14ac:dyDescent="0.3">
      <c r="O7346" t="str">
        <f t="shared" si="115"/>
        <v/>
      </c>
    </row>
    <row r="7347" spans="15:15" x14ac:dyDescent="0.3">
      <c r="O7347" t="str">
        <f t="shared" si="115"/>
        <v/>
      </c>
    </row>
    <row r="7348" spans="15:15" x14ac:dyDescent="0.3">
      <c r="O7348" t="str">
        <f t="shared" si="115"/>
        <v/>
      </c>
    </row>
    <row r="7349" spans="15:15" x14ac:dyDescent="0.3">
      <c r="O7349" t="str">
        <f t="shared" si="115"/>
        <v/>
      </c>
    </row>
    <row r="7350" spans="15:15" x14ac:dyDescent="0.3">
      <c r="O7350" t="str">
        <f t="shared" si="115"/>
        <v/>
      </c>
    </row>
    <row r="7351" spans="15:15" x14ac:dyDescent="0.3">
      <c r="O7351" t="str">
        <f t="shared" si="115"/>
        <v/>
      </c>
    </row>
    <row r="7352" spans="15:15" x14ac:dyDescent="0.3">
      <c r="O7352" t="str">
        <f t="shared" si="115"/>
        <v/>
      </c>
    </row>
    <row r="7353" spans="15:15" x14ac:dyDescent="0.3">
      <c r="O7353" t="str">
        <f t="shared" si="115"/>
        <v/>
      </c>
    </row>
    <row r="7354" spans="15:15" x14ac:dyDescent="0.3">
      <c r="O7354" t="str">
        <f t="shared" si="115"/>
        <v/>
      </c>
    </row>
    <row r="7355" spans="15:15" x14ac:dyDescent="0.3">
      <c r="O7355" t="str">
        <f t="shared" si="115"/>
        <v/>
      </c>
    </row>
    <row r="7356" spans="15:15" x14ac:dyDescent="0.3">
      <c r="O7356" t="str">
        <f t="shared" si="115"/>
        <v/>
      </c>
    </row>
    <row r="7357" spans="15:15" x14ac:dyDescent="0.3">
      <c r="O7357" t="str">
        <f t="shared" si="115"/>
        <v/>
      </c>
    </row>
    <row r="7358" spans="15:15" x14ac:dyDescent="0.3">
      <c r="O7358" t="str">
        <f t="shared" si="115"/>
        <v/>
      </c>
    </row>
    <row r="7359" spans="15:15" x14ac:dyDescent="0.3">
      <c r="O7359" t="str">
        <f t="shared" si="115"/>
        <v/>
      </c>
    </row>
    <row r="7360" spans="15:15" x14ac:dyDescent="0.3">
      <c r="O7360" t="str">
        <f t="shared" si="115"/>
        <v/>
      </c>
    </row>
    <row r="7361" spans="15:15" x14ac:dyDescent="0.3">
      <c r="O7361" t="str">
        <f t="shared" si="115"/>
        <v/>
      </c>
    </row>
    <row r="7362" spans="15:15" x14ac:dyDescent="0.3">
      <c r="O7362" t="str">
        <f t="shared" si="115"/>
        <v/>
      </c>
    </row>
    <row r="7363" spans="15:15" x14ac:dyDescent="0.3">
      <c r="O7363" t="str">
        <f t="shared" si="115"/>
        <v/>
      </c>
    </row>
    <row r="7364" spans="15:15" x14ac:dyDescent="0.3">
      <c r="O7364" t="str">
        <f t="shared" si="115"/>
        <v/>
      </c>
    </row>
    <row r="7365" spans="15:15" x14ac:dyDescent="0.3">
      <c r="O7365" t="str">
        <f t="shared" si="115"/>
        <v/>
      </c>
    </row>
    <row r="7366" spans="15:15" x14ac:dyDescent="0.3">
      <c r="O7366" t="str">
        <f t="shared" si="115"/>
        <v/>
      </c>
    </row>
    <row r="7367" spans="15:15" x14ac:dyDescent="0.3">
      <c r="O7367" t="str">
        <f t="shared" si="115"/>
        <v/>
      </c>
    </row>
    <row r="7368" spans="15:15" x14ac:dyDescent="0.3">
      <c r="O7368" t="str">
        <f t="shared" si="115"/>
        <v/>
      </c>
    </row>
    <row r="7369" spans="15:15" x14ac:dyDescent="0.3">
      <c r="O7369" t="str">
        <f t="shared" si="115"/>
        <v/>
      </c>
    </row>
    <row r="7370" spans="15:15" x14ac:dyDescent="0.3">
      <c r="O7370" t="str">
        <f t="shared" ref="O7370:O7433" si="116">IF(P7370="","",O7369+1)</f>
        <v/>
      </c>
    </row>
    <row r="7371" spans="15:15" x14ac:dyDescent="0.3">
      <c r="O7371" t="str">
        <f t="shared" si="116"/>
        <v/>
      </c>
    </row>
    <row r="7372" spans="15:15" x14ac:dyDescent="0.3">
      <c r="O7372" t="str">
        <f t="shared" si="116"/>
        <v/>
      </c>
    </row>
    <row r="7373" spans="15:15" x14ac:dyDescent="0.3">
      <c r="O7373" t="str">
        <f t="shared" si="116"/>
        <v/>
      </c>
    </row>
    <row r="7374" spans="15:15" x14ac:dyDescent="0.3">
      <c r="O7374" t="str">
        <f t="shared" si="116"/>
        <v/>
      </c>
    </row>
    <row r="7375" spans="15:15" x14ac:dyDescent="0.3">
      <c r="O7375" t="str">
        <f t="shared" si="116"/>
        <v/>
      </c>
    </row>
    <row r="7376" spans="15:15" x14ac:dyDescent="0.3">
      <c r="O7376" t="str">
        <f t="shared" si="116"/>
        <v/>
      </c>
    </row>
    <row r="7377" spans="15:15" x14ac:dyDescent="0.3">
      <c r="O7377" t="str">
        <f t="shared" si="116"/>
        <v/>
      </c>
    </row>
    <row r="7378" spans="15:15" x14ac:dyDescent="0.3">
      <c r="O7378" t="str">
        <f t="shared" si="116"/>
        <v/>
      </c>
    </row>
    <row r="7379" spans="15:15" x14ac:dyDescent="0.3">
      <c r="O7379" t="str">
        <f t="shared" si="116"/>
        <v/>
      </c>
    </row>
    <row r="7380" spans="15:15" x14ac:dyDescent="0.3">
      <c r="O7380" t="str">
        <f t="shared" si="116"/>
        <v/>
      </c>
    </row>
    <row r="7381" spans="15:15" x14ac:dyDescent="0.3">
      <c r="O7381" t="str">
        <f t="shared" si="116"/>
        <v/>
      </c>
    </row>
    <row r="7382" spans="15:15" x14ac:dyDescent="0.3">
      <c r="O7382" t="str">
        <f t="shared" si="116"/>
        <v/>
      </c>
    </row>
    <row r="7383" spans="15:15" x14ac:dyDescent="0.3">
      <c r="O7383" t="str">
        <f t="shared" si="116"/>
        <v/>
      </c>
    </row>
    <row r="7384" spans="15:15" x14ac:dyDescent="0.3">
      <c r="O7384" t="str">
        <f t="shared" si="116"/>
        <v/>
      </c>
    </row>
    <row r="7385" spans="15:15" x14ac:dyDescent="0.3">
      <c r="O7385" t="str">
        <f t="shared" si="116"/>
        <v/>
      </c>
    </row>
    <row r="7386" spans="15:15" x14ac:dyDescent="0.3">
      <c r="O7386" t="str">
        <f t="shared" si="116"/>
        <v/>
      </c>
    </row>
    <row r="7387" spans="15:15" x14ac:dyDescent="0.3">
      <c r="O7387" t="str">
        <f t="shared" si="116"/>
        <v/>
      </c>
    </row>
    <row r="7388" spans="15:15" x14ac:dyDescent="0.3">
      <c r="O7388" t="str">
        <f t="shared" si="116"/>
        <v/>
      </c>
    </row>
    <row r="7389" spans="15:15" x14ac:dyDescent="0.3">
      <c r="O7389" t="str">
        <f t="shared" si="116"/>
        <v/>
      </c>
    </row>
    <row r="7390" spans="15:15" x14ac:dyDescent="0.3">
      <c r="O7390" t="str">
        <f t="shared" si="116"/>
        <v/>
      </c>
    </row>
    <row r="7391" spans="15:15" x14ac:dyDescent="0.3">
      <c r="O7391" t="str">
        <f t="shared" si="116"/>
        <v/>
      </c>
    </row>
    <row r="7392" spans="15:15" x14ac:dyDescent="0.3">
      <c r="O7392" t="str">
        <f t="shared" si="116"/>
        <v/>
      </c>
    </row>
    <row r="7393" spans="15:15" x14ac:dyDescent="0.3">
      <c r="O7393" t="str">
        <f t="shared" si="116"/>
        <v/>
      </c>
    </row>
    <row r="7394" spans="15:15" x14ac:dyDescent="0.3">
      <c r="O7394" t="str">
        <f t="shared" si="116"/>
        <v/>
      </c>
    </row>
    <row r="7395" spans="15:15" x14ac:dyDescent="0.3">
      <c r="O7395" t="str">
        <f t="shared" si="116"/>
        <v/>
      </c>
    </row>
    <row r="7396" spans="15:15" x14ac:dyDescent="0.3">
      <c r="O7396" t="str">
        <f t="shared" si="116"/>
        <v/>
      </c>
    </row>
    <row r="7397" spans="15:15" x14ac:dyDescent="0.3">
      <c r="O7397" t="str">
        <f t="shared" si="116"/>
        <v/>
      </c>
    </row>
    <row r="7398" spans="15:15" x14ac:dyDescent="0.3">
      <c r="O7398" t="str">
        <f t="shared" si="116"/>
        <v/>
      </c>
    </row>
    <row r="7399" spans="15:15" x14ac:dyDescent="0.3">
      <c r="O7399" t="str">
        <f t="shared" si="116"/>
        <v/>
      </c>
    </row>
    <row r="7400" spans="15:15" x14ac:dyDescent="0.3">
      <c r="O7400" t="str">
        <f t="shared" si="116"/>
        <v/>
      </c>
    </row>
    <row r="7401" spans="15:15" x14ac:dyDescent="0.3">
      <c r="O7401" t="str">
        <f t="shared" si="116"/>
        <v/>
      </c>
    </row>
    <row r="7402" spans="15:15" x14ac:dyDescent="0.3">
      <c r="O7402" t="str">
        <f t="shared" si="116"/>
        <v/>
      </c>
    </row>
    <row r="7403" spans="15:15" x14ac:dyDescent="0.3">
      <c r="O7403" t="str">
        <f t="shared" si="116"/>
        <v/>
      </c>
    </row>
    <row r="7404" spans="15:15" x14ac:dyDescent="0.3">
      <c r="O7404" t="str">
        <f t="shared" si="116"/>
        <v/>
      </c>
    </row>
    <row r="7405" spans="15:15" x14ac:dyDescent="0.3">
      <c r="O7405" t="str">
        <f t="shared" si="116"/>
        <v/>
      </c>
    </row>
    <row r="7406" spans="15:15" x14ac:dyDescent="0.3">
      <c r="O7406" t="str">
        <f t="shared" si="116"/>
        <v/>
      </c>
    </row>
    <row r="7407" spans="15:15" x14ac:dyDescent="0.3">
      <c r="O7407" t="str">
        <f t="shared" si="116"/>
        <v/>
      </c>
    </row>
    <row r="7408" spans="15:15" x14ac:dyDescent="0.3">
      <c r="O7408" t="str">
        <f t="shared" si="116"/>
        <v/>
      </c>
    </row>
    <row r="7409" spans="15:15" x14ac:dyDescent="0.3">
      <c r="O7409" t="str">
        <f t="shared" si="116"/>
        <v/>
      </c>
    </row>
    <row r="7410" spans="15:15" x14ac:dyDescent="0.3">
      <c r="O7410" t="str">
        <f t="shared" si="116"/>
        <v/>
      </c>
    </row>
    <row r="7411" spans="15:15" x14ac:dyDescent="0.3">
      <c r="O7411" t="str">
        <f t="shared" si="116"/>
        <v/>
      </c>
    </row>
    <row r="7412" spans="15:15" x14ac:dyDescent="0.3">
      <c r="O7412" t="str">
        <f t="shared" si="116"/>
        <v/>
      </c>
    </row>
    <row r="7413" spans="15:15" x14ac:dyDescent="0.3">
      <c r="O7413" t="str">
        <f t="shared" si="116"/>
        <v/>
      </c>
    </row>
    <row r="7414" spans="15:15" x14ac:dyDescent="0.3">
      <c r="O7414" t="str">
        <f t="shared" si="116"/>
        <v/>
      </c>
    </row>
    <row r="7415" spans="15:15" x14ac:dyDescent="0.3">
      <c r="O7415" t="str">
        <f t="shared" si="116"/>
        <v/>
      </c>
    </row>
    <row r="7416" spans="15:15" x14ac:dyDescent="0.3">
      <c r="O7416" t="str">
        <f t="shared" si="116"/>
        <v/>
      </c>
    </row>
    <row r="7417" spans="15:15" x14ac:dyDescent="0.3">
      <c r="O7417" t="str">
        <f t="shared" si="116"/>
        <v/>
      </c>
    </row>
    <row r="7418" spans="15:15" x14ac:dyDescent="0.3">
      <c r="O7418" t="str">
        <f t="shared" si="116"/>
        <v/>
      </c>
    </row>
    <row r="7419" spans="15:15" x14ac:dyDescent="0.3">
      <c r="O7419" t="str">
        <f t="shared" si="116"/>
        <v/>
      </c>
    </row>
    <row r="7420" spans="15:15" x14ac:dyDescent="0.3">
      <c r="O7420" t="str">
        <f t="shared" si="116"/>
        <v/>
      </c>
    </row>
    <row r="7421" spans="15:15" x14ac:dyDescent="0.3">
      <c r="O7421" t="str">
        <f t="shared" si="116"/>
        <v/>
      </c>
    </row>
    <row r="7422" spans="15:15" x14ac:dyDescent="0.3">
      <c r="O7422" t="str">
        <f t="shared" si="116"/>
        <v/>
      </c>
    </row>
    <row r="7423" spans="15:15" x14ac:dyDescent="0.3">
      <c r="O7423" t="str">
        <f t="shared" si="116"/>
        <v/>
      </c>
    </row>
    <row r="7424" spans="15:15" x14ac:dyDescent="0.3">
      <c r="O7424" t="str">
        <f t="shared" si="116"/>
        <v/>
      </c>
    </row>
    <row r="7425" spans="15:15" x14ac:dyDescent="0.3">
      <c r="O7425" t="str">
        <f t="shared" si="116"/>
        <v/>
      </c>
    </row>
    <row r="7426" spans="15:15" x14ac:dyDescent="0.3">
      <c r="O7426" t="str">
        <f t="shared" si="116"/>
        <v/>
      </c>
    </row>
    <row r="7427" spans="15:15" x14ac:dyDescent="0.3">
      <c r="O7427" t="str">
        <f t="shared" si="116"/>
        <v/>
      </c>
    </row>
    <row r="7428" spans="15:15" x14ac:dyDescent="0.3">
      <c r="O7428" t="str">
        <f t="shared" si="116"/>
        <v/>
      </c>
    </row>
    <row r="7429" spans="15:15" x14ac:dyDescent="0.3">
      <c r="O7429" t="str">
        <f t="shared" si="116"/>
        <v/>
      </c>
    </row>
    <row r="7430" spans="15:15" x14ac:dyDescent="0.3">
      <c r="O7430" t="str">
        <f t="shared" si="116"/>
        <v/>
      </c>
    </row>
    <row r="7431" spans="15:15" x14ac:dyDescent="0.3">
      <c r="O7431" t="str">
        <f t="shared" si="116"/>
        <v/>
      </c>
    </row>
    <row r="7432" spans="15:15" x14ac:dyDescent="0.3">
      <c r="O7432" t="str">
        <f t="shared" si="116"/>
        <v/>
      </c>
    </row>
    <row r="7433" spans="15:15" x14ac:dyDescent="0.3">
      <c r="O7433" t="str">
        <f t="shared" si="116"/>
        <v/>
      </c>
    </row>
    <row r="7434" spans="15:15" x14ac:dyDescent="0.3">
      <c r="O7434" t="str">
        <f t="shared" ref="O7434:O7497" si="117">IF(P7434="","",O7433+1)</f>
        <v/>
      </c>
    </row>
    <row r="7435" spans="15:15" x14ac:dyDescent="0.3">
      <c r="O7435" t="str">
        <f t="shared" si="117"/>
        <v/>
      </c>
    </row>
    <row r="7436" spans="15:15" x14ac:dyDescent="0.3">
      <c r="O7436" t="str">
        <f t="shared" si="117"/>
        <v/>
      </c>
    </row>
    <row r="7437" spans="15:15" x14ac:dyDescent="0.3">
      <c r="O7437" t="str">
        <f t="shared" si="117"/>
        <v/>
      </c>
    </row>
    <row r="7438" spans="15:15" x14ac:dyDescent="0.3">
      <c r="O7438" t="str">
        <f t="shared" si="117"/>
        <v/>
      </c>
    </row>
    <row r="7439" spans="15:15" x14ac:dyDescent="0.3">
      <c r="O7439" t="str">
        <f t="shared" si="117"/>
        <v/>
      </c>
    </row>
    <row r="7440" spans="15:15" x14ac:dyDescent="0.3">
      <c r="O7440" t="str">
        <f t="shared" si="117"/>
        <v/>
      </c>
    </row>
    <row r="7441" spans="15:15" x14ac:dyDescent="0.3">
      <c r="O7441" t="str">
        <f t="shared" si="117"/>
        <v/>
      </c>
    </row>
    <row r="7442" spans="15:15" x14ac:dyDescent="0.3">
      <c r="O7442" t="str">
        <f t="shared" si="117"/>
        <v/>
      </c>
    </row>
    <row r="7443" spans="15:15" x14ac:dyDescent="0.3">
      <c r="O7443" t="str">
        <f t="shared" si="117"/>
        <v/>
      </c>
    </row>
    <row r="7444" spans="15:15" x14ac:dyDescent="0.3">
      <c r="O7444" t="str">
        <f t="shared" si="117"/>
        <v/>
      </c>
    </row>
    <row r="7445" spans="15:15" x14ac:dyDescent="0.3">
      <c r="O7445" t="str">
        <f t="shared" si="117"/>
        <v/>
      </c>
    </row>
    <row r="7446" spans="15:15" x14ac:dyDescent="0.3">
      <c r="O7446" t="str">
        <f t="shared" si="117"/>
        <v/>
      </c>
    </row>
    <row r="7447" spans="15:15" x14ac:dyDescent="0.3">
      <c r="O7447" t="str">
        <f t="shared" si="117"/>
        <v/>
      </c>
    </row>
    <row r="7448" spans="15:15" x14ac:dyDescent="0.3">
      <c r="O7448" t="str">
        <f t="shared" si="117"/>
        <v/>
      </c>
    </row>
    <row r="7449" spans="15:15" x14ac:dyDescent="0.3">
      <c r="O7449" t="str">
        <f t="shared" si="117"/>
        <v/>
      </c>
    </row>
    <row r="7450" spans="15:15" x14ac:dyDescent="0.3">
      <c r="O7450" t="str">
        <f t="shared" si="117"/>
        <v/>
      </c>
    </row>
    <row r="7451" spans="15:15" x14ac:dyDescent="0.3">
      <c r="O7451" t="str">
        <f t="shared" si="117"/>
        <v/>
      </c>
    </row>
    <row r="7452" spans="15:15" x14ac:dyDescent="0.3">
      <c r="O7452" t="str">
        <f t="shared" si="117"/>
        <v/>
      </c>
    </row>
    <row r="7453" spans="15:15" x14ac:dyDescent="0.3">
      <c r="O7453" t="str">
        <f t="shared" si="117"/>
        <v/>
      </c>
    </row>
    <row r="7454" spans="15:15" x14ac:dyDescent="0.3">
      <c r="O7454" t="str">
        <f t="shared" si="117"/>
        <v/>
      </c>
    </row>
    <row r="7455" spans="15:15" x14ac:dyDescent="0.3">
      <c r="O7455" t="str">
        <f t="shared" si="117"/>
        <v/>
      </c>
    </row>
    <row r="7456" spans="15:15" x14ac:dyDescent="0.3">
      <c r="O7456" t="str">
        <f t="shared" si="117"/>
        <v/>
      </c>
    </row>
    <row r="7457" spans="15:15" x14ac:dyDescent="0.3">
      <c r="O7457" t="str">
        <f t="shared" si="117"/>
        <v/>
      </c>
    </row>
    <row r="7458" spans="15:15" x14ac:dyDescent="0.3">
      <c r="O7458" t="str">
        <f t="shared" si="117"/>
        <v/>
      </c>
    </row>
    <row r="7459" spans="15:15" x14ac:dyDescent="0.3">
      <c r="O7459" t="str">
        <f t="shared" si="117"/>
        <v/>
      </c>
    </row>
    <row r="7460" spans="15:15" x14ac:dyDescent="0.3">
      <c r="O7460" t="str">
        <f t="shared" si="117"/>
        <v/>
      </c>
    </row>
    <row r="7461" spans="15:15" x14ac:dyDescent="0.3">
      <c r="O7461" t="str">
        <f t="shared" si="117"/>
        <v/>
      </c>
    </row>
    <row r="7462" spans="15:15" x14ac:dyDescent="0.3">
      <c r="O7462" t="str">
        <f t="shared" si="117"/>
        <v/>
      </c>
    </row>
    <row r="7463" spans="15:15" x14ac:dyDescent="0.3">
      <c r="O7463" t="str">
        <f t="shared" si="117"/>
        <v/>
      </c>
    </row>
    <row r="7464" spans="15:15" x14ac:dyDescent="0.3">
      <c r="O7464" t="str">
        <f t="shared" si="117"/>
        <v/>
      </c>
    </row>
    <row r="7465" spans="15:15" x14ac:dyDescent="0.3">
      <c r="O7465" t="str">
        <f t="shared" si="117"/>
        <v/>
      </c>
    </row>
    <row r="7466" spans="15:15" x14ac:dyDescent="0.3">
      <c r="O7466" t="str">
        <f t="shared" si="117"/>
        <v/>
      </c>
    </row>
    <row r="7467" spans="15:15" x14ac:dyDescent="0.3">
      <c r="O7467" t="str">
        <f t="shared" si="117"/>
        <v/>
      </c>
    </row>
    <row r="7468" spans="15:15" x14ac:dyDescent="0.3">
      <c r="O7468" t="str">
        <f t="shared" si="117"/>
        <v/>
      </c>
    </row>
    <row r="7469" spans="15:15" x14ac:dyDescent="0.3">
      <c r="O7469" t="str">
        <f t="shared" si="117"/>
        <v/>
      </c>
    </row>
    <row r="7470" spans="15:15" x14ac:dyDescent="0.3">
      <c r="O7470" t="str">
        <f t="shared" si="117"/>
        <v/>
      </c>
    </row>
    <row r="7471" spans="15:15" x14ac:dyDescent="0.3">
      <c r="O7471" t="str">
        <f t="shared" si="117"/>
        <v/>
      </c>
    </row>
    <row r="7472" spans="15:15" x14ac:dyDescent="0.3">
      <c r="O7472" t="str">
        <f t="shared" si="117"/>
        <v/>
      </c>
    </row>
    <row r="7473" spans="15:15" x14ac:dyDescent="0.3">
      <c r="O7473" t="str">
        <f t="shared" si="117"/>
        <v/>
      </c>
    </row>
    <row r="7474" spans="15:15" x14ac:dyDescent="0.3">
      <c r="O7474" t="str">
        <f t="shared" si="117"/>
        <v/>
      </c>
    </row>
    <row r="7475" spans="15:15" x14ac:dyDescent="0.3">
      <c r="O7475" t="str">
        <f t="shared" si="117"/>
        <v/>
      </c>
    </row>
    <row r="7476" spans="15:15" x14ac:dyDescent="0.3">
      <c r="O7476" t="str">
        <f t="shared" si="117"/>
        <v/>
      </c>
    </row>
    <row r="7477" spans="15:15" x14ac:dyDescent="0.3">
      <c r="O7477" t="str">
        <f t="shared" si="117"/>
        <v/>
      </c>
    </row>
    <row r="7478" spans="15:15" x14ac:dyDescent="0.3">
      <c r="O7478" t="str">
        <f t="shared" si="117"/>
        <v/>
      </c>
    </row>
    <row r="7479" spans="15:15" x14ac:dyDescent="0.3">
      <c r="O7479" t="str">
        <f t="shared" si="117"/>
        <v/>
      </c>
    </row>
    <row r="7480" spans="15:15" x14ac:dyDescent="0.3">
      <c r="O7480" t="str">
        <f t="shared" si="117"/>
        <v/>
      </c>
    </row>
    <row r="7481" spans="15:15" x14ac:dyDescent="0.3">
      <c r="O7481" t="str">
        <f t="shared" si="117"/>
        <v/>
      </c>
    </row>
    <row r="7482" spans="15:15" x14ac:dyDescent="0.3">
      <c r="O7482" t="str">
        <f t="shared" si="117"/>
        <v/>
      </c>
    </row>
    <row r="7483" spans="15:15" x14ac:dyDescent="0.3">
      <c r="O7483" t="str">
        <f t="shared" si="117"/>
        <v/>
      </c>
    </row>
    <row r="7484" spans="15:15" x14ac:dyDescent="0.3">
      <c r="O7484" t="str">
        <f t="shared" si="117"/>
        <v/>
      </c>
    </row>
    <row r="7485" spans="15:15" x14ac:dyDescent="0.3">
      <c r="O7485" t="str">
        <f t="shared" si="117"/>
        <v/>
      </c>
    </row>
    <row r="7486" spans="15:15" x14ac:dyDescent="0.3">
      <c r="O7486" t="str">
        <f t="shared" si="117"/>
        <v/>
      </c>
    </row>
    <row r="7487" spans="15:15" x14ac:dyDescent="0.3">
      <c r="O7487" t="str">
        <f t="shared" si="117"/>
        <v/>
      </c>
    </row>
    <row r="7488" spans="15:15" x14ac:dyDescent="0.3">
      <c r="O7488" t="str">
        <f t="shared" si="117"/>
        <v/>
      </c>
    </row>
    <row r="7489" spans="15:15" x14ac:dyDescent="0.3">
      <c r="O7489" t="str">
        <f t="shared" si="117"/>
        <v/>
      </c>
    </row>
    <row r="7490" spans="15:15" x14ac:dyDescent="0.3">
      <c r="O7490" t="str">
        <f t="shared" si="117"/>
        <v/>
      </c>
    </row>
    <row r="7491" spans="15:15" x14ac:dyDescent="0.3">
      <c r="O7491" t="str">
        <f t="shared" si="117"/>
        <v/>
      </c>
    </row>
    <row r="7492" spans="15:15" x14ac:dyDescent="0.3">
      <c r="O7492" t="str">
        <f t="shared" si="117"/>
        <v/>
      </c>
    </row>
    <row r="7493" spans="15:15" x14ac:dyDescent="0.3">
      <c r="O7493" t="str">
        <f t="shared" si="117"/>
        <v/>
      </c>
    </row>
    <row r="7494" spans="15:15" x14ac:dyDescent="0.3">
      <c r="O7494" t="str">
        <f t="shared" si="117"/>
        <v/>
      </c>
    </row>
    <row r="7495" spans="15:15" x14ac:dyDescent="0.3">
      <c r="O7495" t="str">
        <f t="shared" si="117"/>
        <v/>
      </c>
    </row>
    <row r="7496" spans="15:15" x14ac:dyDescent="0.3">
      <c r="O7496" t="str">
        <f t="shared" si="117"/>
        <v/>
      </c>
    </row>
    <row r="7497" spans="15:15" x14ac:dyDescent="0.3">
      <c r="O7497" t="str">
        <f t="shared" si="117"/>
        <v/>
      </c>
    </row>
    <row r="7498" spans="15:15" x14ac:dyDescent="0.3">
      <c r="O7498" t="str">
        <f t="shared" ref="O7498:O7500" si="118">IF(P7498="","",O7497+1)</f>
        <v/>
      </c>
    </row>
    <row r="7499" spans="15:15" x14ac:dyDescent="0.3">
      <c r="O7499" t="str">
        <f t="shared" si="118"/>
        <v/>
      </c>
    </row>
    <row r="7500" spans="15:15" x14ac:dyDescent="0.3">
      <c r="O7500" t="str">
        <f t="shared" si="118"/>
        <v/>
      </c>
    </row>
  </sheetData>
  <pageMargins left="0.7" right="0.7" top="0.75" bottom="0.75" header="0.3" footer="0.3"/>
  <pageSetup orientation="portrait"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E142"/>
  <sheetViews>
    <sheetView showGridLines="0" zoomScale="98" zoomScaleNormal="100" workbookViewId="0">
      <selection activeCell="B27" sqref="B27"/>
    </sheetView>
  </sheetViews>
  <sheetFormatPr baseColWidth="10" defaultColWidth="9.109375" defaultRowHeight="14.4" x14ac:dyDescent="0.3"/>
  <cols>
    <col min="2" max="2" width="11.88671875" style="9" customWidth="1"/>
    <col min="3" max="4" width="9.109375" style="9"/>
    <col min="5" max="5" width="7.6640625" style="9" customWidth="1"/>
    <col min="6" max="7" width="9.109375" style="9"/>
  </cols>
  <sheetData>
    <row r="1" spans="2:8" x14ac:dyDescent="0.3">
      <c r="B1" s="10"/>
    </row>
    <row r="2" spans="2:8" x14ac:dyDescent="0.3">
      <c r="B2" s="10"/>
    </row>
    <row r="3" spans="2:8" x14ac:dyDescent="0.3">
      <c r="B3" s="40"/>
      <c r="C3" s="41" t="str">
        <f t="array" ref="C3:H3">TRANSPOSE(Leyenda!$A$1:$B$6)</f>
        <v>Alimentación</v>
      </c>
      <c r="D3" s="41" t="str">
        <v>Viáticos</v>
      </c>
      <c r="E3" s="41" t="str">
        <v>Reconocimientos</v>
      </c>
      <c r="F3" s="41" t="str">
        <v>Celebraciones</v>
      </c>
      <c r="G3" s="41" t="str">
        <v>Brindis participación</v>
      </c>
      <c r="H3" s="41" t="str">
        <v>Horas extras</v>
      </c>
    </row>
    <row r="4" spans="2:8" x14ac:dyDescent="0.3">
      <c r="B4" s="40" t="s">
        <v>28</v>
      </c>
      <c r="C4" s="40">
        <f>Dashboard!J16</f>
        <v>0.88396293394500636</v>
      </c>
      <c r="D4" s="40">
        <f>Dashboard!N16</f>
        <v>0.84403337919883492</v>
      </c>
      <c r="E4" s="40">
        <f>Dashboard!R16</f>
        <v>0.99584486373165626</v>
      </c>
      <c r="F4" s="40">
        <f>Dashboard!V16</f>
        <v>0.90218803749569998</v>
      </c>
      <c r="G4" s="40">
        <f>Dashboard!Z16</f>
        <v>1</v>
      </c>
      <c r="H4" s="42">
        <f>Dashboard!F16</f>
        <v>0.910602610214994</v>
      </c>
    </row>
    <row r="5" spans="2:8" x14ac:dyDescent="0.3">
      <c r="B5" s="40" t="s">
        <v>29</v>
      </c>
      <c r="C5" s="40">
        <f t="shared" ref="C5:H5" si="0">IF(valSelOption&lt;&gt;C$3,1-C4,0)</f>
        <v>0.11603706605499364</v>
      </c>
      <c r="D5" s="40">
        <f t="shared" si="0"/>
        <v>0.15596662080116508</v>
      </c>
      <c r="E5" s="40">
        <f t="shared" si="0"/>
        <v>4.1551362683437398E-3</v>
      </c>
      <c r="F5" s="40">
        <f t="shared" si="0"/>
        <v>9.7811962504300021E-2</v>
      </c>
      <c r="G5" s="40">
        <f t="shared" si="0"/>
        <v>0</v>
      </c>
      <c r="H5" s="40">
        <f t="shared" si="0"/>
        <v>8.9397389785005998E-2</v>
      </c>
    </row>
    <row r="6" spans="2:8" x14ac:dyDescent="0.3">
      <c r="B6" s="40" t="s">
        <v>30</v>
      </c>
      <c r="C6" s="40">
        <f t="shared" ref="C6:H6" si="1">IF(valSelOption=C$3,1-C4,0)</f>
        <v>0</v>
      </c>
      <c r="D6" s="40">
        <f t="shared" si="1"/>
        <v>0</v>
      </c>
      <c r="E6" s="40">
        <f t="shared" si="1"/>
        <v>0</v>
      </c>
      <c r="F6" s="40">
        <f t="shared" si="1"/>
        <v>0</v>
      </c>
      <c r="G6" s="40">
        <f t="shared" si="1"/>
        <v>0</v>
      </c>
      <c r="H6" s="40">
        <f t="shared" si="1"/>
        <v>0</v>
      </c>
    </row>
    <row r="7" spans="2:8" x14ac:dyDescent="0.3">
      <c r="B7" s="10"/>
    </row>
    <row r="8" spans="2:8" x14ac:dyDescent="0.3">
      <c r="B8" s="10"/>
    </row>
    <row r="9" spans="2:8" x14ac:dyDescent="0.3">
      <c r="B9" s="10"/>
    </row>
    <row r="10" spans="2:8" x14ac:dyDescent="0.3">
      <c r="B10" s="43">
        <v>5</v>
      </c>
      <c r="C10" s="44" t="str">
        <f>INDEX(B14:C19,MATCH(B10,C14:C19,),1)</f>
        <v>Área</v>
      </c>
      <c r="D10" s="41" t="str">
        <f>VLOOKUP(B10,$C$14:$E$19,3,)</f>
        <v>ar_descripcion</v>
      </c>
      <c r="G10" s="9" t="s">
        <v>18</v>
      </c>
    </row>
    <row r="11" spans="2:8" x14ac:dyDescent="0.3">
      <c r="B11" s="105"/>
      <c r="C11" s="106"/>
      <c r="D11" s="87"/>
    </row>
    <row r="12" spans="2:8" x14ac:dyDescent="0.3">
      <c r="B12" s="105"/>
      <c r="C12" s="106"/>
      <c r="D12" s="87"/>
    </row>
    <row r="13" spans="2:8" x14ac:dyDescent="0.3">
      <c r="B13" s="10"/>
    </row>
    <row r="14" spans="2:8" x14ac:dyDescent="0.3">
      <c r="B14" s="10" t="s">
        <v>16</v>
      </c>
      <c r="C14" s="9">
        <v>6</v>
      </c>
      <c r="D14" s="10" t="str">
        <f>B14</f>
        <v>Fecha</v>
      </c>
      <c r="E14" s="9" t="str">
        <f t="array" ref="E14:E19">TRANSPOSE(Tabla!AK7:AP7)</f>
        <v>as_fecha_tran</v>
      </c>
    </row>
    <row r="15" spans="2:8" x14ac:dyDescent="0.3">
      <c r="B15" s="10" t="s">
        <v>27</v>
      </c>
      <c r="C15" s="9">
        <v>5</v>
      </c>
      <c r="D15" s="10" t="str">
        <f t="shared" ref="D15:D22" si="2">B15</f>
        <v>Área</v>
      </c>
      <c r="E15" s="9" t="str">
        <v>ar_descripcion</v>
      </c>
    </row>
    <row r="16" spans="2:8" x14ac:dyDescent="0.3">
      <c r="B16" s="10" t="s">
        <v>18</v>
      </c>
      <c r="C16" s="9">
        <v>1</v>
      </c>
      <c r="D16" s="10" t="str">
        <f t="shared" si="2"/>
        <v>Asiento</v>
      </c>
      <c r="E16" s="9" t="str">
        <v>as_concepto</v>
      </c>
    </row>
    <row r="17" spans="1:83" x14ac:dyDescent="0.3">
      <c r="B17" s="10" t="s">
        <v>17</v>
      </c>
      <c r="C17" s="9">
        <v>2</v>
      </c>
      <c r="D17" s="10" t="str">
        <f t="shared" si="2"/>
        <v>Comprobante</v>
      </c>
      <c r="E17" s="9" t="str">
        <v>co_descripcion</v>
      </c>
    </row>
    <row r="18" spans="1:83" x14ac:dyDescent="0.3">
      <c r="B18" s="10" t="s">
        <v>19</v>
      </c>
      <c r="C18" s="9">
        <v>3</v>
      </c>
      <c r="D18" s="10" t="str">
        <f t="shared" si="2"/>
        <v>Débito</v>
      </c>
      <c r="E18" s="9" t="str">
        <v>Suma de as_debito</v>
      </c>
    </row>
    <row r="19" spans="1:83" x14ac:dyDescent="0.3">
      <c r="B19" s="10" t="s">
        <v>20</v>
      </c>
      <c r="C19" s="9">
        <v>4</v>
      </c>
      <c r="D19" s="10" t="str">
        <f t="shared" si="2"/>
        <v>Crédito</v>
      </c>
      <c r="E19" s="9" t="str">
        <v>Suma de as_credito</v>
      </c>
    </row>
    <row r="20" spans="1:83" x14ac:dyDescent="0.3">
      <c r="B20" s="10" t="s">
        <v>146</v>
      </c>
      <c r="C20" s="9">
        <v>68</v>
      </c>
      <c r="D20" s="10" t="str">
        <f t="shared" si="2"/>
        <v>Barra</v>
      </c>
    </row>
    <row r="21" spans="1:83" x14ac:dyDescent="0.3">
      <c r="B21" s="10" t="s">
        <v>94</v>
      </c>
      <c r="C21" s="9">
        <v>2</v>
      </c>
      <c r="D21" s="10" t="str">
        <f t="shared" si="2"/>
        <v>Año</v>
      </c>
      <c r="E21">
        <f>VLOOKUP(C21,Tabla!O:P,2,0)</f>
        <v>2019</v>
      </c>
    </row>
    <row r="22" spans="1:83" x14ac:dyDescent="0.3">
      <c r="B22" s="10" t="s">
        <v>134</v>
      </c>
      <c r="C22" s="9">
        <v>5</v>
      </c>
      <c r="D22" s="10" t="str">
        <f t="shared" si="2"/>
        <v>Mes</v>
      </c>
      <c r="E22" s="9">
        <f>VLOOKUP(C22,Tabla!$S$9:$U$20,3,0)</f>
        <v>5</v>
      </c>
    </row>
    <row r="23" spans="1:83" x14ac:dyDescent="0.3">
      <c r="B23" s="10"/>
      <c r="D23" s="10"/>
    </row>
    <row r="24" spans="1:83" x14ac:dyDescent="0.3">
      <c r="B24" s="10"/>
      <c r="D24" s="10"/>
    </row>
    <row r="25" spans="1:83" x14ac:dyDescent="0.3">
      <c r="B25" s="10"/>
      <c r="D25" s="10"/>
    </row>
    <row r="26" spans="1:83" x14ac:dyDescent="0.3">
      <c r="B26" s="10" t="s">
        <v>31</v>
      </c>
      <c r="D26" s="9" t="s">
        <v>33</v>
      </c>
      <c r="E26" s="9">
        <v>1</v>
      </c>
      <c r="F26" s="9" t="str">
        <f>CHOOSE(E26,"xlAscending","xlDescending")</f>
        <v>xlAscending</v>
      </c>
    </row>
    <row r="27" spans="1:83" x14ac:dyDescent="0.3">
      <c r="B27" s="10" t="s">
        <v>32</v>
      </c>
    </row>
    <row r="30" spans="1:83" x14ac:dyDescent="0.3">
      <c r="B30"/>
      <c r="C30"/>
      <c r="D30"/>
      <c r="E30"/>
      <c r="F30"/>
      <c r="G30"/>
      <c r="J30" s="1"/>
      <c r="M30" s="3"/>
    </row>
    <row r="31" spans="1:83" x14ac:dyDescent="0.3">
      <c r="B31" t="s">
        <v>0</v>
      </c>
      <c r="C31" s="2" t="s">
        <v>22</v>
      </c>
      <c r="D31"/>
      <c r="E31"/>
      <c r="F31"/>
      <c r="G31"/>
      <c r="J31" s="1"/>
      <c r="M31" s="3"/>
      <c r="N31" s="8"/>
    </row>
    <row r="32" spans="1:83" x14ac:dyDescent="0.3">
      <c r="A32" s="13"/>
      <c r="B32" s="13" t="s">
        <v>34</v>
      </c>
      <c r="C32" s="47">
        <v>25</v>
      </c>
      <c r="D32" s="13"/>
      <c r="E32" s="13"/>
      <c r="F32" s="13"/>
      <c r="G32" s="13"/>
      <c r="H32" s="13"/>
      <c r="I32" s="13"/>
      <c r="J32" s="15"/>
      <c r="K32" s="13"/>
      <c r="L32" s="13"/>
      <c r="M32" s="12"/>
      <c r="N32" s="13"/>
      <c r="O32" s="13"/>
      <c r="P32" s="13"/>
      <c r="Q32" s="13"/>
      <c r="R32" s="13"/>
      <c r="S32" s="13"/>
      <c r="T32" s="13"/>
      <c r="U32" s="13"/>
      <c r="V32" s="13"/>
      <c r="W32" s="13"/>
      <c r="X32" s="13"/>
      <c r="Y32" s="13"/>
      <c r="Z32" s="13"/>
      <c r="AA32" s="16"/>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row>
    <row r="33" spans="1:83" x14ac:dyDescent="0.3">
      <c r="A33" s="13"/>
      <c r="B33" s="16"/>
      <c r="C33" s="13"/>
      <c r="D33" s="17"/>
      <c r="E33" s="13"/>
      <c r="F33" s="13"/>
      <c r="G33" s="14"/>
      <c r="H33" s="17"/>
      <c r="I33" s="13"/>
      <c r="J33" s="15"/>
      <c r="K33" s="13"/>
      <c r="L33" s="13"/>
      <c r="M33" s="12"/>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row>
    <row r="34" spans="1:83" x14ac:dyDescent="0.3">
      <c r="A34" s="13"/>
      <c r="B34" s="16"/>
      <c r="C34" s="13"/>
      <c r="D34" s="13"/>
      <c r="E34" s="13"/>
      <c r="F34" s="13"/>
      <c r="G34" s="13"/>
      <c r="H34" s="13"/>
      <c r="I34" s="14"/>
      <c r="J34" s="14"/>
      <c r="K34" s="14"/>
      <c r="L34" s="14"/>
      <c r="M34" s="14"/>
      <c r="N34" s="18"/>
      <c r="O34" s="18"/>
      <c r="P34" s="18"/>
      <c r="Q34" s="18"/>
      <c r="R34" s="18"/>
      <c r="S34" s="19"/>
      <c r="T34" s="19"/>
      <c r="U34" s="19"/>
      <c r="V34" s="19"/>
      <c r="W34" s="19"/>
      <c r="X34" s="13"/>
      <c r="Y34" s="20"/>
      <c r="Z34" s="13"/>
      <c r="AA34" s="14"/>
      <c r="AB34" s="14"/>
      <c r="AC34" s="14"/>
      <c r="AD34" s="14"/>
      <c r="AE34" s="14"/>
      <c r="AF34" s="13"/>
      <c r="AG34" s="16"/>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row>
    <row r="35" spans="1:83" x14ac:dyDescent="0.3">
      <c r="A35" s="13"/>
      <c r="B35" s="15"/>
      <c r="C35" s="13"/>
      <c r="D35" s="13"/>
      <c r="E35" s="13"/>
      <c r="F35" s="13"/>
      <c r="G35" s="13"/>
      <c r="H35" s="13"/>
      <c r="I35" s="21"/>
      <c r="J35" s="21"/>
      <c r="K35" s="21"/>
      <c r="L35" s="21"/>
      <c r="M35" s="21"/>
      <c r="N35" s="22"/>
      <c r="O35" s="22"/>
      <c r="P35" s="22"/>
      <c r="Q35" s="22"/>
      <c r="R35" s="22"/>
      <c r="S35" s="23"/>
      <c r="T35" s="23"/>
      <c r="U35" s="23"/>
      <c r="V35" s="23"/>
      <c r="W35" s="23"/>
      <c r="X35" s="13"/>
      <c r="Y35" s="20"/>
      <c r="Z35" s="13"/>
      <c r="AA35" s="14"/>
      <c r="AB35" s="14"/>
      <c r="AC35" s="14"/>
      <c r="AD35" s="14"/>
      <c r="AE35" s="14"/>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row>
    <row r="36" spans="1:83" x14ac:dyDescent="0.3">
      <c r="A36" s="13"/>
      <c r="B36" s="15"/>
      <c r="C36" s="13"/>
      <c r="D36" s="13"/>
      <c r="E36" s="13"/>
      <c r="F36" s="13"/>
      <c r="G36" s="13"/>
      <c r="H36" s="13"/>
      <c r="I36" s="21"/>
      <c r="J36" s="21"/>
      <c r="K36" s="21"/>
      <c r="L36" s="21"/>
      <c r="M36" s="21"/>
      <c r="N36" s="22"/>
      <c r="O36" s="22"/>
      <c r="P36" s="22"/>
      <c r="Q36" s="22"/>
      <c r="R36" s="22"/>
      <c r="S36" s="23"/>
      <c r="T36" s="23"/>
      <c r="U36" s="23"/>
      <c r="V36" s="23"/>
      <c r="W36" s="23"/>
      <c r="X36" s="13"/>
      <c r="Y36" s="20"/>
      <c r="Z36" s="13"/>
      <c r="AA36" s="14"/>
      <c r="AB36" s="14"/>
      <c r="AC36" s="14"/>
      <c r="AD36" s="14"/>
      <c r="AE36" s="14"/>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row>
    <row r="37" spans="1:83" x14ac:dyDescent="0.3">
      <c r="A37" s="13"/>
      <c r="B37" s="15"/>
      <c r="C37" s="13"/>
      <c r="D37" s="13"/>
      <c r="E37" s="13"/>
      <c r="F37" s="13"/>
      <c r="G37" s="13"/>
      <c r="H37" s="13"/>
      <c r="I37" s="21"/>
      <c r="J37" s="21"/>
      <c r="K37" s="21"/>
      <c r="L37" s="21"/>
      <c r="M37" s="21"/>
      <c r="N37" s="22"/>
      <c r="O37" s="22"/>
      <c r="P37" s="22"/>
      <c r="Q37" s="22"/>
      <c r="R37" s="22"/>
      <c r="S37" s="23"/>
      <c r="T37" s="23"/>
      <c r="U37" s="23"/>
      <c r="V37" s="23"/>
      <c r="W37" s="23"/>
      <c r="X37" s="13"/>
      <c r="Y37" s="20"/>
      <c r="Z37" s="13"/>
      <c r="AA37" s="14"/>
      <c r="AB37" s="14"/>
      <c r="AC37" s="14"/>
      <c r="AD37" s="14"/>
      <c r="AE37" s="14"/>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row>
    <row r="38" spans="1:83" x14ac:dyDescent="0.3">
      <c r="A38" s="13"/>
      <c r="B38" s="15"/>
      <c r="C38" s="13"/>
      <c r="D38" s="13"/>
      <c r="E38" s="13"/>
      <c r="F38" s="13"/>
      <c r="G38" s="13"/>
      <c r="H38" s="13"/>
      <c r="I38" s="21"/>
      <c r="J38" s="21"/>
      <c r="K38" s="21"/>
      <c r="L38" s="21"/>
      <c r="M38" s="21"/>
      <c r="N38" s="22"/>
      <c r="O38" s="22"/>
      <c r="P38" s="22"/>
      <c r="Q38" s="22"/>
      <c r="R38" s="22"/>
      <c r="S38" s="23"/>
      <c r="T38" s="23"/>
      <c r="U38" s="23"/>
      <c r="V38" s="23"/>
      <c r="W38" s="23"/>
      <c r="X38" s="13"/>
      <c r="Y38" s="20"/>
      <c r="Z38" s="13"/>
      <c r="AA38" s="16"/>
      <c r="AB38" s="13"/>
      <c r="AC38" s="13"/>
      <c r="AD38" s="13"/>
      <c r="AE38" s="13"/>
      <c r="AF38" s="13"/>
      <c r="AG38" s="16"/>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row>
    <row r="39" spans="1:83" x14ac:dyDescent="0.3">
      <c r="A39" s="13"/>
      <c r="B39" s="15"/>
      <c r="C39" s="13"/>
      <c r="D39" s="13"/>
      <c r="E39" s="13"/>
      <c r="F39" s="13"/>
      <c r="G39" s="13"/>
      <c r="H39" s="13"/>
      <c r="I39" s="21"/>
      <c r="J39" s="21"/>
      <c r="K39" s="21"/>
      <c r="L39" s="21"/>
      <c r="M39" s="21"/>
      <c r="N39" s="22"/>
      <c r="O39" s="22"/>
      <c r="P39" s="22"/>
      <c r="Q39" s="22"/>
      <c r="R39" s="22"/>
      <c r="S39" s="23"/>
      <c r="T39" s="23"/>
      <c r="U39" s="23"/>
      <c r="V39" s="23"/>
      <c r="W39" s="2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c r="BJ39" s="13"/>
      <c r="BK39" s="13"/>
      <c r="BL39" s="13"/>
      <c r="BM39" s="13"/>
      <c r="BN39" s="13"/>
      <c r="BO39" s="13"/>
      <c r="BP39" s="13"/>
      <c r="BQ39" s="13"/>
      <c r="BR39" s="13"/>
      <c r="BS39" s="13"/>
      <c r="BT39" s="13"/>
      <c r="BU39" s="13"/>
      <c r="BV39" s="13"/>
      <c r="BW39" s="13"/>
      <c r="BX39" s="13"/>
      <c r="BY39" s="13"/>
      <c r="BZ39" s="13"/>
      <c r="CA39" s="13"/>
      <c r="CB39" s="13"/>
      <c r="CC39" s="13"/>
      <c r="CD39" s="13"/>
      <c r="CE39" s="13"/>
    </row>
    <row r="40" spans="1:83" x14ac:dyDescent="0.3">
      <c r="A40" s="13"/>
      <c r="B40" s="15"/>
      <c r="C40" s="13"/>
      <c r="D40" s="13"/>
      <c r="E40" s="13"/>
      <c r="F40" s="13"/>
      <c r="G40" s="13"/>
      <c r="H40" s="13"/>
      <c r="I40" s="21"/>
      <c r="J40" s="21"/>
      <c r="K40" s="21"/>
      <c r="L40" s="21"/>
      <c r="M40" s="21"/>
      <c r="N40" s="22"/>
      <c r="O40" s="22"/>
      <c r="P40" s="22"/>
      <c r="Q40" s="22"/>
      <c r="R40" s="22"/>
      <c r="S40" s="23"/>
      <c r="T40" s="23"/>
      <c r="U40" s="23"/>
      <c r="V40" s="23"/>
      <c r="W40" s="2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c r="BJ40" s="13"/>
      <c r="BK40" s="13"/>
      <c r="BL40" s="13"/>
      <c r="BM40" s="13"/>
      <c r="BN40" s="13"/>
      <c r="BO40" s="13"/>
      <c r="BP40" s="13"/>
      <c r="BQ40" s="13"/>
      <c r="BR40" s="13"/>
      <c r="BS40" s="13"/>
      <c r="BT40" s="13"/>
      <c r="BU40" s="13"/>
      <c r="BV40" s="13"/>
      <c r="BW40" s="13"/>
      <c r="BX40" s="13"/>
      <c r="BY40" s="13"/>
      <c r="BZ40" s="13"/>
      <c r="CA40" s="13"/>
      <c r="CB40" s="13"/>
      <c r="CC40" s="13"/>
      <c r="CD40" s="13"/>
      <c r="CE40" s="13"/>
    </row>
    <row r="41" spans="1:83" x14ac:dyDescent="0.3">
      <c r="A41" s="13"/>
      <c r="B41" s="15"/>
      <c r="C41" s="13"/>
      <c r="D41" s="13"/>
      <c r="E41" s="13"/>
      <c r="F41" s="13"/>
      <c r="G41" s="13"/>
      <c r="H41" s="13"/>
      <c r="I41" s="21"/>
      <c r="J41" s="21"/>
      <c r="K41" s="21"/>
      <c r="L41" s="21"/>
      <c r="M41" s="21"/>
      <c r="N41" s="22"/>
      <c r="O41" s="22"/>
      <c r="P41" s="22"/>
      <c r="Q41" s="22"/>
      <c r="R41" s="22"/>
      <c r="S41" s="23"/>
      <c r="T41" s="23"/>
      <c r="U41" s="23"/>
      <c r="V41" s="23"/>
      <c r="W41" s="2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c r="BJ41" s="13"/>
      <c r="BK41" s="13"/>
      <c r="BL41" s="13"/>
      <c r="BM41" s="13"/>
      <c r="BN41" s="13"/>
      <c r="BO41" s="13"/>
      <c r="BP41" s="13"/>
      <c r="BQ41" s="13"/>
      <c r="BR41" s="13"/>
      <c r="BS41" s="13"/>
      <c r="BT41" s="13"/>
      <c r="BU41" s="13"/>
      <c r="BV41" s="13"/>
      <c r="BW41" s="13"/>
      <c r="BX41" s="13"/>
      <c r="BY41" s="13"/>
      <c r="BZ41" s="13"/>
      <c r="CA41" s="13"/>
      <c r="CB41" s="13"/>
      <c r="CC41" s="13"/>
      <c r="CD41" s="13"/>
      <c r="CE41" s="13"/>
    </row>
    <row r="42" spans="1:83" x14ac:dyDescent="0.3">
      <c r="A42" s="13"/>
      <c r="B42" s="15"/>
      <c r="C42" s="13"/>
      <c r="D42" s="13"/>
      <c r="E42" s="13"/>
      <c r="F42" s="13"/>
      <c r="G42" s="13"/>
      <c r="H42" s="13"/>
      <c r="I42" s="21"/>
      <c r="J42" s="21"/>
      <c r="K42" s="21"/>
      <c r="L42" s="21"/>
      <c r="M42" s="21"/>
      <c r="N42" s="22"/>
      <c r="O42" s="22"/>
      <c r="P42" s="22"/>
      <c r="Q42" s="22"/>
      <c r="R42" s="22"/>
      <c r="S42" s="23"/>
      <c r="T42" s="23"/>
      <c r="U42" s="23"/>
      <c r="V42" s="23"/>
      <c r="W42" s="2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c r="BH42" s="13"/>
      <c r="BI42" s="13"/>
      <c r="BJ42" s="13"/>
      <c r="BK42" s="13"/>
      <c r="BL42" s="13"/>
      <c r="BM42" s="13"/>
      <c r="BN42" s="13"/>
      <c r="BO42" s="13"/>
      <c r="BP42" s="13"/>
      <c r="BQ42" s="13"/>
      <c r="BR42" s="13"/>
      <c r="BS42" s="13"/>
      <c r="BT42" s="13"/>
      <c r="BU42" s="13"/>
      <c r="BV42" s="13"/>
      <c r="BW42" s="13"/>
      <c r="BX42" s="13"/>
      <c r="BY42" s="13"/>
      <c r="BZ42" s="13"/>
      <c r="CA42" s="13"/>
      <c r="CB42" s="13"/>
      <c r="CC42" s="13"/>
      <c r="CD42" s="13"/>
      <c r="CE42" s="13"/>
    </row>
    <row r="43" spans="1:83" x14ac:dyDescent="0.3">
      <c r="A43" s="13"/>
      <c r="B43" s="15"/>
      <c r="C43" s="13"/>
      <c r="D43" s="13"/>
      <c r="E43" s="13"/>
      <c r="F43" s="13"/>
      <c r="G43" s="13"/>
      <c r="H43" s="13"/>
      <c r="I43" s="21"/>
      <c r="J43" s="21"/>
      <c r="K43" s="21"/>
      <c r="L43" s="21"/>
      <c r="M43" s="21"/>
      <c r="N43" s="22"/>
      <c r="O43" s="22"/>
      <c r="P43" s="22"/>
      <c r="Q43" s="22"/>
      <c r="R43" s="22"/>
      <c r="S43" s="23"/>
      <c r="T43" s="23"/>
      <c r="U43" s="23"/>
      <c r="V43" s="23"/>
      <c r="W43" s="2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c r="BJ43" s="13"/>
      <c r="BK43" s="13"/>
      <c r="BL43" s="13"/>
      <c r="BM43" s="13"/>
      <c r="BN43" s="13"/>
      <c r="BO43" s="13"/>
      <c r="BP43" s="13"/>
      <c r="BQ43" s="13"/>
      <c r="BR43" s="13"/>
      <c r="BS43" s="13"/>
      <c r="BT43" s="13"/>
      <c r="BU43" s="13"/>
      <c r="BV43" s="13"/>
      <c r="BW43" s="13"/>
      <c r="BX43" s="13"/>
      <c r="BY43" s="13"/>
      <c r="BZ43" s="13"/>
      <c r="CA43" s="13"/>
      <c r="CB43" s="13"/>
      <c r="CC43" s="13"/>
      <c r="CD43" s="13"/>
      <c r="CE43" s="13"/>
    </row>
    <row r="44" spans="1:83" x14ac:dyDescent="0.3">
      <c r="A44" s="13"/>
      <c r="B44" s="15"/>
      <c r="C44" s="13"/>
      <c r="D44" s="13"/>
      <c r="E44" s="13"/>
      <c r="F44" s="13"/>
      <c r="G44" s="13"/>
      <c r="H44" s="13"/>
      <c r="I44" s="21"/>
      <c r="J44" s="21"/>
      <c r="K44" s="21"/>
      <c r="L44" s="21"/>
      <c r="M44" s="21"/>
      <c r="N44" s="22"/>
      <c r="O44" s="22"/>
      <c r="P44" s="22"/>
      <c r="Q44" s="22"/>
      <c r="R44" s="22"/>
      <c r="S44" s="23"/>
      <c r="T44" s="23"/>
      <c r="U44" s="23"/>
      <c r="V44" s="23"/>
      <c r="W44" s="23"/>
      <c r="X44" s="13"/>
      <c r="Y44" s="13"/>
      <c r="Z44" s="13"/>
      <c r="AA44" s="20"/>
      <c r="AB44" s="13"/>
      <c r="AC44" s="20"/>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c r="BJ44" s="13"/>
      <c r="BK44" s="13"/>
      <c r="BL44" s="13"/>
      <c r="BM44" s="13"/>
      <c r="BN44" s="13"/>
      <c r="BO44" s="13"/>
      <c r="BP44" s="13"/>
      <c r="BQ44" s="13"/>
      <c r="BR44" s="13"/>
      <c r="BS44" s="13"/>
      <c r="BT44" s="13"/>
      <c r="BU44" s="13"/>
      <c r="BV44" s="13"/>
      <c r="BW44" s="13"/>
      <c r="BX44" s="13"/>
      <c r="BY44" s="13"/>
      <c r="BZ44" s="13"/>
      <c r="CA44" s="13"/>
      <c r="CB44" s="13"/>
      <c r="CC44" s="13"/>
      <c r="CD44" s="13"/>
      <c r="CE44" s="13"/>
    </row>
    <row r="45" spans="1:83" x14ac:dyDescent="0.3">
      <c r="A45" s="13"/>
      <c r="B45" s="13"/>
      <c r="C45" s="13"/>
      <c r="D45" s="13"/>
      <c r="E45" s="13"/>
      <c r="F45" s="13"/>
      <c r="G45" s="13"/>
      <c r="H45" s="13"/>
      <c r="I45" s="13"/>
      <c r="J45" s="15"/>
      <c r="K45" s="13"/>
      <c r="L45" s="13"/>
      <c r="M45" s="12"/>
      <c r="N45" s="13"/>
      <c r="O45" s="13"/>
      <c r="P45" s="13"/>
      <c r="Q45" s="13"/>
      <c r="R45" s="13"/>
      <c r="S45" s="13"/>
      <c r="T45" s="13"/>
      <c r="U45" s="13"/>
      <c r="V45" s="13"/>
      <c r="W45" s="13"/>
      <c r="X45" s="13"/>
      <c r="Y45" s="13"/>
      <c r="Z45" s="13"/>
      <c r="AA45" s="20"/>
      <c r="AB45" s="13"/>
      <c r="AC45" s="20"/>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c r="BB45" s="13"/>
      <c r="BC45" s="13"/>
      <c r="BD45" s="13"/>
      <c r="BE45" s="13"/>
      <c r="BF45" s="13"/>
      <c r="BG45" s="13"/>
      <c r="BH45" s="13"/>
      <c r="BI45" s="13"/>
      <c r="BJ45" s="13"/>
      <c r="BK45" s="13"/>
      <c r="BL45" s="13"/>
      <c r="BM45" s="13"/>
      <c r="BN45" s="13"/>
      <c r="BO45" s="13"/>
      <c r="BP45" s="13"/>
      <c r="BQ45" s="13"/>
      <c r="BR45" s="13"/>
      <c r="BS45" s="13"/>
      <c r="BT45" s="13"/>
      <c r="BU45" s="13"/>
      <c r="BV45" s="13"/>
      <c r="BW45" s="13"/>
      <c r="BX45" s="13"/>
      <c r="BY45" s="13"/>
      <c r="BZ45" s="13"/>
      <c r="CA45" s="13"/>
      <c r="CB45" s="13"/>
      <c r="CC45" s="13"/>
      <c r="CD45" s="13"/>
      <c r="CE45" s="13"/>
    </row>
    <row r="46" spans="1:83" x14ac:dyDescent="0.3">
      <c r="A46" s="13"/>
      <c r="B46" s="13"/>
      <c r="C46" s="13"/>
      <c r="D46" s="13"/>
      <c r="E46" s="12"/>
      <c r="F46" s="13"/>
      <c r="G46" s="13"/>
      <c r="H46" s="13"/>
      <c r="I46" s="13"/>
      <c r="J46" s="15"/>
      <c r="K46" s="13"/>
      <c r="L46" s="13"/>
      <c r="M46" s="12"/>
      <c r="N46" s="13"/>
      <c r="O46" s="13"/>
      <c r="P46" s="24"/>
      <c r="Q46" s="24"/>
      <c r="R46" s="24"/>
      <c r="S46" s="24"/>
      <c r="T46" s="24"/>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c r="BJ46" s="13"/>
      <c r="BK46" s="13"/>
      <c r="BL46" s="13"/>
      <c r="BM46" s="13"/>
      <c r="BN46" s="13"/>
      <c r="BO46" s="13"/>
      <c r="BP46" s="13"/>
      <c r="BQ46" s="13"/>
      <c r="BR46" s="13"/>
      <c r="BS46" s="13"/>
      <c r="BT46" s="13"/>
      <c r="BU46" s="13"/>
      <c r="BV46" s="13"/>
      <c r="BW46" s="13"/>
      <c r="BX46" s="13"/>
      <c r="BY46" s="13"/>
      <c r="BZ46" s="13"/>
      <c r="CA46" s="13"/>
      <c r="CB46" s="13"/>
      <c r="CC46" s="13"/>
      <c r="CD46" s="13"/>
      <c r="CE46" s="13"/>
    </row>
    <row r="47" spans="1:83" x14ac:dyDescent="0.3">
      <c r="A47" s="13"/>
      <c r="B47" s="16"/>
      <c r="C47" s="13"/>
      <c r="D47" s="13"/>
      <c r="E47" s="13"/>
      <c r="F47" s="13"/>
      <c r="G47" s="13"/>
      <c r="H47" s="13"/>
      <c r="I47" s="13"/>
      <c r="J47" s="25"/>
      <c r="K47" s="13"/>
      <c r="L47" s="13"/>
      <c r="M47" s="12"/>
      <c r="N47" s="16"/>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c r="BJ47" s="13"/>
      <c r="BK47" s="13"/>
      <c r="BL47" s="13"/>
      <c r="BM47" s="13"/>
      <c r="BN47" s="13"/>
      <c r="BO47" s="13"/>
      <c r="BP47" s="13"/>
      <c r="BQ47" s="13"/>
      <c r="BR47" s="13"/>
      <c r="BS47" s="13"/>
      <c r="BT47" s="13"/>
      <c r="BU47" s="13"/>
      <c r="BV47" s="13"/>
      <c r="BW47" s="13"/>
      <c r="BX47" s="13"/>
      <c r="BY47" s="13"/>
      <c r="BZ47" s="13"/>
      <c r="CA47" s="13"/>
      <c r="CB47" s="13"/>
      <c r="CC47" s="13"/>
      <c r="CD47" s="13"/>
      <c r="CE47" s="13"/>
    </row>
    <row r="48" spans="1:83" x14ac:dyDescent="0.3">
      <c r="A48" s="13"/>
      <c r="B48" s="16"/>
      <c r="C48" s="16"/>
      <c r="D48" s="26"/>
      <c r="E48" s="26"/>
      <c r="F48" s="26"/>
      <c r="G48" s="26"/>
      <c r="H48" s="26"/>
      <c r="I48" s="13"/>
      <c r="J48" s="25"/>
      <c r="K48" s="16"/>
      <c r="L48" s="13"/>
      <c r="M48" s="27"/>
      <c r="N48" s="16"/>
      <c r="O48" s="16"/>
      <c r="P48" s="16"/>
      <c r="Q48" s="16"/>
      <c r="R48" s="16"/>
      <c r="S48" s="16"/>
      <c r="T48" s="16"/>
      <c r="U48" s="26"/>
      <c r="V48" s="26"/>
      <c r="W48" s="26"/>
      <c r="X48" s="26"/>
      <c r="Y48" s="26"/>
      <c r="Z48" s="13"/>
      <c r="AA48" s="13"/>
      <c r="AB48" s="13"/>
      <c r="AC48" s="13"/>
      <c r="AD48" s="13"/>
      <c r="AE48" s="13"/>
      <c r="AF48" s="12"/>
      <c r="AG48" s="12"/>
      <c r="AH48" s="12"/>
      <c r="AI48" s="12"/>
      <c r="AJ48" s="12"/>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c r="BJ48" s="13"/>
      <c r="BK48" s="13"/>
      <c r="BL48" s="13"/>
      <c r="BM48" s="13"/>
      <c r="BN48" s="13"/>
      <c r="BO48" s="13"/>
      <c r="BP48" s="13"/>
      <c r="BQ48" s="13"/>
      <c r="BR48" s="13"/>
      <c r="BS48" s="13"/>
      <c r="BT48" s="13"/>
      <c r="BU48" s="13"/>
      <c r="BV48" s="13"/>
      <c r="BW48" s="13"/>
      <c r="BX48" s="13"/>
      <c r="BY48" s="13"/>
      <c r="BZ48" s="13"/>
      <c r="CA48" s="13"/>
      <c r="CB48" s="13"/>
      <c r="CC48" s="13"/>
      <c r="CD48" s="13"/>
      <c r="CE48" s="13"/>
    </row>
    <row r="49" spans="1:83" x14ac:dyDescent="0.3">
      <c r="A49" s="13"/>
      <c r="B49" s="15"/>
      <c r="C49" s="13"/>
      <c r="D49" s="13"/>
      <c r="E49" s="13"/>
      <c r="F49" s="13"/>
      <c r="G49" s="13"/>
      <c r="H49" s="13"/>
      <c r="I49" s="13"/>
      <c r="J49" s="15"/>
      <c r="K49" s="13"/>
      <c r="L49" s="13"/>
      <c r="M49" s="12"/>
      <c r="N49" s="13"/>
      <c r="O49" s="13"/>
      <c r="P49" s="13"/>
      <c r="Q49" s="13"/>
      <c r="R49" s="13"/>
      <c r="S49" s="13"/>
      <c r="T49" s="13"/>
      <c r="U49" s="28"/>
      <c r="V49" s="28"/>
      <c r="W49" s="29"/>
      <c r="X49" s="28"/>
      <c r="Y49" s="28"/>
      <c r="Z49" s="13"/>
      <c r="AA49" s="13"/>
      <c r="AB49" s="13"/>
      <c r="AC49" s="13"/>
      <c r="AD49" s="13"/>
      <c r="AE49" s="13"/>
      <c r="AF49" s="12"/>
      <c r="AG49" s="12"/>
      <c r="AH49" s="12"/>
      <c r="AI49" s="12"/>
      <c r="AJ49" s="12"/>
      <c r="AK49" s="13"/>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c r="BJ49" s="13"/>
      <c r="BK49" s="13"/>
      <c r="BL49" s="13"/>
      <c r="BM49" s="13"/>
      <c r="BN49" s="13"/>
      <c r="BO49" s="13"/>
      <c r="BP49" s="13"/>
      <c r="BQ49" s="13"/>
      <c r="BR49" s="13"/>
      <c r="BS49" s="13"/>
      <c r="BT49" s="13"/>
      <c r="BU49" s="13"/>
      <c r="BV49" s="13"/>
      <c r="BW49" s="13"/>
      <c r="BX49" s="13"/>
      <c r="BY49" s="13"/>
      <c r="BZ49" s="13"/>
      <c r="CA49" s="13"/>
      <c r="CB49" s="13"/>
      <c r="CC49" s="13"/>
      <c r="CD49" s="13"/>
      <c r="CE49" s="13"/>
    </row>
    <row r="50" spans="1:83" x14ac:dyDescent="0.3">
      <c r="A50" s="13"/>
      <c r="B50" s="15"/>
      <c r="C50" s="13"/>
      <c r="D50" s="13"/>
      <c r="E50" s="13"/>
      <c r="F50" s="13"/>
      <c r="G50" s="13"/>
      <c r="H50" s="13"/>
      <c r="I50" s="13"/>
      <c r="J50" s="15"/>
      <c r="K50" s="13"/>
      <c r="L50" s="13"/>
      <c r="M50" s="12"/>
      <c r="N50" s="13"/>
      <c r="O50" s="13"/>
      <c r="P50" s="13"/>
      <c r="Q50" s="13"/>
      <c r="R50" s="13"/>
      <c r="S50" s="13"/>
      <c r="T50" s="13"/>
      <c r="U50" s="28"/>
      <c r="V50" s="28"/>
      <c r="W50" s="29"/>
      <c r="X50" s="28"/>
      <c r="Y50" s="28"/>
      <c r="Z50" s="13"/>
      <c r="AA50" s="13"/>
      <c r="AB50" s="13"/>
      <c r="AC50" s="13"/>
      <c r="AD50" s="13"/>
      <c r="AE50" s="13"/>
      <c r="AF50" s="12"/>
      <c r="AG50" s="12"/>
      <c r="AH50" s="12"/>
      <c r="AI50" s="12"/>
      <c r="AJ50" s="12"/>
      <c r="AK50" s="13"/>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c r="BJ50" s="13"/>
      <c r="BK50" s="13"/>
      <c r="BL50" s="13"/>
      <c r="BM50" s="13"/>
      <c r="BN50" s="13"/>
      <c r="BO50" s="13"/>
      <c r="BP50" s="13"/>
      <c r="BQ50" s="13"/>
      <c r="BR50" s="13"/>
      <c r="BS50" s="13"/>
      <c r="BT50" s="13"/>
      <c r="BU50" s="13"/>
      <c r="BV50" s="13"/>
      <c r="BW50" s="13"/>
      <c r="BX50" s="13"/>
      <c r="BY50" s="13"/>
      <c r="BZ50" s="13"/>
      <c r="CA50" s="13"/>
      <c r="CB50" s="13"/>
      <c r="CC50" s="13"/>
      <c r="CD50" s="13"/>
      <c r="CE50" s="13"/>
    </row>
    <row r="51" spans="1:83" x14ac:dyDescent="0.3">
      <c r="A51" s="13"/>
      <c r="B51" s="15"/>
      <c r="C51" s="13"/>
      <c r="D51" s="13"/>
      <c r="E51" s="13"/>
      <c r="F51" s="13"/>
      <c r="G51" s="13"/>
      <c r="H51" s="13"/>
      <c r="I51" s="13"/>
      <c r="J51" s="15"/>
      <c r="K51" s="13"/>
      <c r="L51" s="13"/>
      <c r="M51" s="12"/>
      <c r="N51" s="13"/>
      <c r="O51" s="13"/>
      <c r="P51" s="13"/>
      <c r="Q51" s="13"/>
      <c r="R51" s="13"/>
      <c r="S51" s="13"/>
      <c r="T51" s="13"/>
      <c r="U51" s="28"/>
      <c r="V51" s="28"/>
      <c r="W51" s="29"/>
      <c r="X51" s="28"/>
      <c r="Y51" s="28"/>
      <c r="Z51" s="13"/>
      <c r="AA51" s="13"/>
      <c r="AB51" s="13"/>
      <c r="AC51" s="13"/>
      <c r="AD51" s="13"/>
      <c r="AE51" s="13"/>
      <c r="AF51" s="12"/>
      <c r="AG51" s="12"/>
      <c r="AH51" s="12"/>
      <c r="AI51" s="12"/>
      <c r="AJ51" s="12"/>
      <c r="AK51" s="13"/>
      <c r="AL51" s="13"/>
      <c r="AM51" s="13"/>
      <c r="AN51" s="13"/>
      <c r="AO51" s="13"/>
      <c r="AP51" s="13"/>
      <c r="AQ51" s="13"/>
      <c r="AR51" s="13"/>
      <c r="AS51" s="13"/>
      <c r="AT51" s="13"/>
      <c r="AU51" s="13"/>
      <c r="AV51" s="13"/>
      <c r="AW51" s="13"/>
      <c r="AX51" s="13"/>
      <c r="AY51" s="13"/>
      <c r="AZ51" s="13"/>
      <c r="BA51" s="13"/>
      <c r="BB51" s="13"/>
      <c r="BC51" s="13"/>
      <c r="BD51" s="13"/>
      <c r="BE51" s="13"/>
      <c r="BF51" s="13"/>
      <c r="BG51" s="13"/>
      <c r="BH51" s="13"/>
      <c r="BI51" s="13"/>
      <c r="BJ51" s="13"/>
      <c r="BK51" s="13"/>
      <c r="BL51" s="13"/>
      <c r="BM51" s="13"/>
      <c r="BN51" s="13"/>
      <c r="BO51" s="13"/>
      <c r="BP51" s="13"/>
      <c r="BQ51" s="13"/>
      <c r="BR51" s="13"/>
      <c r="BS51" s="13"/>
      <c r="BT51" s="13"/>
      <c r="BU51" s="13"/>
      <c r="BV51" s="13"/>
      <c r="BW51" s="13"/>
      <c r="BX51" s="13"/>
      <c r="BY51" s="13"/>
      <c r="BZ51" s="13"/>
      <c r="CA51" s="13"/>
      <c r="CB51" s="13"/>
      <c r="CC51" s="13"/>
      <c r="CD51" s="13"/>
      <c r="CE51" s="13"/>
    </row>
    <row r="52" spans="1:83" x14ac:dyDescent="0.3">
      <c r="A52" s="13"/>
      <c r="B52" s="15"/>
      <c r="C52" s="13"/>
      <c r="D52" s="13"/>
      <c r="E52" s="13"/>
      <c r="F52" s="13"/>
      <c r="G52" s="13"/>
      <c r="H52" s="13"/>
      <c r="I52" s="13"/>
      <c r="J52" s="15"/>
      <c r="K52" s="13"/>
      <c r="L52" s="13"/>
      <c r="M52" s="12"/>
      <c r="N52" s="13"/>
      <c r="O52" s="13"/>
      <c r="P52" s="13"/>
      <c r="Q52" s="13"/>
      <c r="R52" s="13"/>
      <c r="S52" s="13"/>
      <c r="T52" s="13"/>
      <c r="U52" s="28"/>
      <c r="V52" s="28"/>
      <c r="W52" s="29"/>
      <c r="X52" s="28"/>
      <c r="Y52" s="28"/>
      <c r="Z52" s="13"/>
      <c r="AA52" s="13"/>
      <c r="AB52" s="13"/>
      <c r="AC52" s="13"/>
      <c r="AD52" s="13"/>
      <c r="AE52" s="13"/>
      <c r="AF52" s="12"/>
      <c r="AG52" s="12"/>
      <c r="AH52" s="12"/>
      <c r="AI52" s="12"/>
      <c r="AJ52" s="12"/>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c r="BJ52" s="13"/>
      <c r="BK52" s="13"/>
      <c r="BL52" s="13"/>
      <c r="BM52" s="13"/>
      <c r="BN52" s="13"/>
      <c r="BO52" s="13"/>
      <c r="BP52" s="13"/>
      <c r="BQ52" s="13"/>
      <c r="BR52" s="13"/>
      <c r="BS52" s="13"/>
      <c r="BT52" s="13"/>
      <c r="BU52" s="13"/>
      <c r="BV52" s="13"/>
      <c r="BW52" s="13"/>
      <c r="BX52" s="13"/>
      <c r="BY52" s="13"/>
      <c r="BZ52" s="13"/>
      <c r="CA52" s="13"/>
      <c r="CB52" s="13"/>
      <c r="CC52" s="13"/>
      <c r="CD52" s="13"/>
      <c r="CE52" s="13"/>
    </row>
    <row r="53" spans="1:83" x14ac:dyDescent="0.3">
      <c r="A53" s="13"/>
      <c r="B53" s="15"/>
      <c r="C53" s="13"/>
      <c r="D53" s="13"/>
      <c r="E53" s="13"/>
      <c r="F53" s="13"/>
      <c r="G53" s="13"/>
      <c r="H53" s="13"/>
      <c r="I53" s="13"/>
      <c r="J53" s="15"/>
      <c r="K53" s="13"/>
      <c r="L53" s="13"/>
      <c r="M53" s="12"/>
      <c r="N53" s="13"/>
      <c r="O53" s="13"/>
      <c r="P53" s="13"/>
      <c r="Q53" s="13"/>
      <c r="R53" s="13"/>
      <c r="S53" s="13"/>
      <c r="T53" s="13"/>
      <c r="U53" s="28"/>
      <c r="V53" s="28"/>
      <c r="W53" s="29"/>
      <c r="X53" s="28"/>
      <c r="Y53" s="28"/>
      <c r="Z53" s="13"/>
      <c r="AA53" s="13"/>
      <c r="AB53" s="13"/>
      <c r="AC53" s="13"/>
      <c r="AD53" s="13"/>
      <c r="AE53" s="13"/>
      <c r="AF53" s="12"/>
      <c r="AG53" s="12"/>
      <c r="AH53" s="12"/>
      <c r="AI53" s="12"/>
      <c r="AJ53" s="12"/>
      <c r="AK53" s="13"/>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c r="BJ53" s="13"/>
      <c r="BK53" s="13"/>
      <c r="BL53" s="13"/>
      <c r="BM53" s="13"/>
      <c r="BN53" s="13"/>
      <c r="BO53" s="13"/>
      <c r="BP53" s="13"/>
      <c r="BQ53" s="13"/>
      <c r="BR53" s="13"/>
      <c r="BS53" s="13"/>
      <c r="BT53" s="13"/>
      <c r="BU53" s="13"/>
      <c r="BV53" s="13"/>
      <c r="BW53" s="13"/>
      <c r="BX53" s="13"/>
      <c r="BY53" s="13"/>
      <c r="BZ53" s="13"/>
      <c r="CA53" s="13"/>
      <c r="CB53" s="13"/>
      <c r="CC53" s="13"/>
      <c r="CD53" s="13"/>
      <c r="CE53" s="13"/>
    </row>
    <row r="54" spans="1:83" x14ac:dyDescent="0.3">
      <c r="A54" s="13"/>
      <c r="B54" s="15"/>
      <c r="C54" s="13"/>
      <c r="D54" s="13"/>
      <c r="E54" s="13"/>
      <c r="F54" s="13"/>
      <c r="G54" s="13"/>
      <c r="H54" s="13"/>
      <c r="I54" s="13"/>
      <c r="J54" s="15"/>
      <c r="K54" s="13"/>
      <c r="L54" s="13"/>
      <c r="M54" s="12"/>
      <c r="N54" s="13"/>
      <c r="O54" s="13"/>
      <c r="P54" s="13"/>
      <c r="Q54" s="13"/>
      <c r="R54" s="13"/>
      <c r="S54" s="13"/>
      <c r="T54" s="13"/>
      <c r="U54" s="28"/>
      <c r="V54" s="28"/>
      <c r="W54" s="29"/>
      <c r="X54" s="28"/>
      <c r="Y54" s="28"/>
      <c r="Z54" s="13"/>
      <c r="AA54" s="13"/>
      <c r="AB54" s="13"/>
      <c r="AC54" s="13"/>
      <c r="AD54" s="13"/>
      <c r="AE54" s="13"/>
      <c r="AF54" s="12"/>
      <c r="AG54" s="12"/>
      <c r="AH54" s="12"/>
      <c r="AI54" s="12"/>
      <c r="AJ54" s="12"/>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c r="BJ54" s="13"/>
      <c r="BK54" s="13"/>
      <c r="BL54" s="13"/>
      <c r="BM54" s="13"/>
      <c r="BN54" s="13"/>
      <c r="BO54" s="13"/>
      <c r="BP54" s="13"/>
      <c r="BQ54" s="13"/>
      <c r="BR54" s="13"/>
      <c r="BS54" s="13"/>
      <c r="BT54" s="13"/>
      <c r="BU54" s="13"/>
      <c r="BV54" s="13"/>
      <c r="BW54" s="13"/>
      <c r="BX54" s="13"/>
      <c r="BY54" s="13"/>
      <c r="BZ54" s="13"/>
      <c r="CA54" s="13"/>
      <c r="CB54" s="13"/>
      <c r="CC54" s="13"/>
      <c r="CD54" s="13"/>
      <c r="CE54" s="13"/>
    </row>
    <row r="55" spans="1:83" x14ac:dyDescent="0.3">
      <c r="A55" s="13"/>
      <c r="B55" s="15"/>
      <c r="C55" s="13"/>
      <c r="D55" s="13"/>
      <c r="E55" s="13"/>
      <c r="F55" s="13"/>
      <c r="G55" s="13"/>
      <c r="H55" s="13"/>
      <c r="I55" s="13"/>
      <c r="J55" s="15"/>
      <c r="K55" s="13"/>
      <c r="L55" s="13"/>
      <c r="M55" s="12"/>
      <c r="N55" s="13"/>
      <c r="O55" s="13"/>
      <c r="P55" s="13"/>
      <c r="Q55" s="13"/>
      <c r="R55" s="13"/>
      <c r="S55" s="13"/>
      <c r="T55" s="13"/>
      <c r="U55" s="28"/>
      <c r="V55" s="28"/>
      <c r="W55" s="29"/>
      <c r="X55" s="28"/>
      <c r="Y55" s="28"/>
      <c r="Z55" s="13"/>
      <c r="AA55" s="13"/>
      <c r="AB55" s="13"/>
      <c r="AC55" s="13"/>
      <c r="AD55" s="13"/>
      <c r="AE55" s="13"/>
      <c r="AF55" s="12"/>
      <c r="AG55" s="12"/>
      <c r="AH55" s="12"/>
      <c r="AI55" s="12"/>
      <c r="AJ55" s="12"/>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c r="BJ55" s="13"/>
      <c r="BK55" s="13"/>
      <c r="BL55" s="13"/>
      <c r="BM55" s="13"/>
      <c r="BN55" s="13"/>
      <c r="BO55" s="13"/>
      <c r="BP55" s="13"/>
      <c r="BQ55" s="13"/>
      <c r="BR55" s="13"/>
      <c r="BS55" s="13"/>
      <c r="BT55" s="13"/>
      <c r="BU55" s="13"/>
      <c r="BV55" s="13"/>
      <c r="BW55" s="13"/>
      <c r="BX55" s="13"/>
      <c r="BY55" s="13"/>
      <c r="BZ55" s="13"/>
      <c r="CA55" s="13"/>
      <c r="CB55" s="13"/>
      <c r="CC55" s="13"/>
      <c r="CD55" s="13"/>
      <c r="CE55" s="13"/>
    </row>
    <row r="56" spans="1:83" x14ac:dyDescent="0.3">
      <c r="A56" s="13"/>
      <c r="B56" s="15"/>
      <c r="C56" s="13"/>
      <c r="D56" s="13"/>
      <c r="E56" s="13"/>
      <c r="F56" s="13"/>
      <c r="G56" s="13"/>
      <c r="H56" s="13"/>
      <c r="I56" s="13"/>
      <c r="J56" s="15"/>
      <c r="K56" s="13"/>
      <c r="L56" s="13"/>
      <c r="M56" s="12"/>
      <c r="N56" s="13"/>
      <c r="O56" s="13"/>
      <c r="P56" s="13"/>
      <c r="Q56" s="13"/>
      <c r="R56" s="13"/>
      <c r="S56" s="13"/>
      <c r="T56" s="13"/>
      <c r="U56" s="28"/>
      <c r="V56" s="28"/>
      <c r="W56" s="29"/>
      <c r="X56" s="28"/>
      <c r="Y56" s="28"/>
      <c r="Z56" s="13"/>
      <c r="AA56" s="13"/>
      <c r="AB56" s="13"/>
      <c r="AC56" s="13"/>
      <c r="AD56" s="13"/>
      <c r="AE56" s="13"/>
      <c r="AF56" s="12"/>
      <c r="AG56" s="12"/>
      <c r="AH56" s="12"/>
      <c r="AI56" s="12"/>
      <c r="AJ56" s="12"/>
      <c r="AK56" s="13"/>
      <c r="AL56" s="13"/>
      <c r="AM56" s="13"/>
      <c r="AN56" s="13"/>
      <c r="AO56" s="13"/>
      <c r="AP56" s="13"/>
      <c r="AQ56" s="13"/>
      <c r="AR56" s="13"/>
      <c r="AS56" s="13"/>
      <c r="AT56" s="13"/>
      <c r="AU56" s="13"/>
      <c r="AV56" s="13"/>
      <c r="AW56" s="13"/>
      <c r="AX56" s="13"/>
      <c r="AY56" s="13"/>
      <c r="AZ56" s="13"/>
      <c r="BA56" s="13"/>
      <c r="BB56" s="13"/>
      <c r="BC56" s="13"/>
      <c r="BD56" s="13"/>
      <c r="BE56" s="13"/>
      <c r="BF56" s="13"/>
      <c r="BG56" s="13"/>
      <c r="BH56" s="13"/>
      <c r="BI56" s="13"/>
      <c r="BJ56" s="13"/>
      <c r="BK56" s="13"/>
      <c r="BL56" s="13"/>
      <c r="BM56" s="13"/>
      <c r="BN56" s="13"/>
      <c r="BO56" s="13"/>
      <c r="BP56" s="13"/>
      <c r="BQ56" s="13"/>
      <c r="BR56" s="13"/>
      <c r="BS56" s="13"/>
      <c r="BT56" s="13"/>
      <c r="BU56" s="13"/>
      <c r="BV56" s="13"/>
      <c r="BW56" s="13"/>
      <c r="BX56" s="13"/>
      <c r="BY56" s="13"/>
      <c r="BZ56" s="13"/>
      <c r="CA56" s="13"/>
      <c r="CB56" s="13"/>
      <c r="CC56" s="13"/>
      <c r="CD56" s="13"/>
      <c r="CE56" s="13"/>
    </row>
    <row r="57" spans="1:83" x14ac:dyDescent="0.3">
      <c r="A57" s="13"/>
      <c r="B57" s="15"/>
      <c r="C57" s="13"/>
      <c r="D57" s="13"/>
      <c r="E57" s="13"/>
      <c r="F57" s="13"/>
      <c r="G57" s="13"/>
      <c r="H57" s="13"/>
      <c r="I57" s="13"/>
      <c r="J57" s="15"/>
      <c r="K57" s="13"/>
      <c r="L57" s="13"/>
      <c r="M57" s="12"/>
      <c r="N57" s="13"/>
      <c r="O57" s="13"/>
      <c r="P57" s="13"/>
      <c r="Q57" s="13"/>
      <c r="R57" s="13"/>
      <c r="S57" s="13"/>
      <c r="T57" s="13"/>
      <c r="U57" s="28"/>
      <c r="V57" s="28"/>
      <c r="W57" s="29"/>
      <c r="X57" s="28"/>
      <c r="Y57" s="28"/>
      <c r="Z57" s="13"/>
      <c r="AA57" s="13"/>
      <c r="AB57" s="13"/>
      <c r="AC57" s="13"/>
      <c r="AD57" s="13"/>
      <c r="AE57" s="13"/>
      <c r="AF57" s="12"/>
      <c r="AG57" s="12"/>
      <c r="AH57" s="12"/>
      <c r="AI57" s="12"/>
      <c r="AJ57" s="12"/>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c r="BJ57" s="13"/>
      <c r="BK57" s="13"/>
      <c r="BL57" s="13"/>
      <c r="BM57" s="13"/>
      <c r="BN57" s="13"/>
      <c r="BO57" s="13"/>
      <c r="BP57" s="13"/>
      <c r="BQ57" s="13"/>
      <c r="BR57" s="13"/>
      <c r="BS57" s="13"/>
      <c r="BT57" s="13"/>
      <c r="BU57" s="13"/>
      <c r="BV57" s="13"/>
      <c r="BW57" s="13"/>
      <c r="BX57" s="13"/>
      <c r="BY57" s="13"/>
      <c r="BZ57" s="13"/>
      <c r="CA57" s="13"/>
      <c r="CB57" s="13"/>
      <c r="CC57" s="13"/>
      <c r="CD57" s="13"/>
      <c r="CE57" s="13"/>
    </row>
    <row r="58" spans="1:83" x14ac:dyDescent="0.3">
      <c r="A58" s="13"/>
      <c r="B58" s="15"/>
      <c r="C58" s="13"/>
      <c r="D58" s="13"/>
      <c r="E58" s="13"/>
      <c r="F58" s="13"/>
      <c r="G58" s="13"/>
      <c r="H58" s="13"/>
      <c r="I58" s="13"/>
      <c r="J58" s="15"/>
      <c r="K58" s="13"/>
      <c r="L58" s="13"/>
      <c r="M58" s="12"/>
      <c r="N58" s="13"/>
      <c r="O58" s="13"/>
      <c r="P58" s="13"/>
      <c r="Q58" s="13"/>
      <c r="R58" s="13"/>
      <c r="S58" s="13"/>
      <c r="T58" s="13"/>
      <c r="U58" s="28"/>
      <c r="V58" s="28"/>
      <c r="W58" s="29"/>
      <c r="X58" s="28"/>
      <c r="Y58" s="28"/>
      <c r="Z58" s="13"/>
      <c r="AA58" s="13"/>
      <c r="AB58" s="13"/>
      <c r="AC58" s="13"/>
      <c r="AD58" s="13"/>
      <c r="AE58" s="13"/>
      <c r="AF58" s="12"/>
      <c r="AG58" s="12"/>
      <c r="AH58" s="12"/>
      <c r="AI58" s="12"/>
      <c r="AJ58" s="12"/>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c r="BJ58" s="13"/>
      <c r="BK58" s="13"/>
      <c r="BL58" s="13"/>
      <c r="BM58" s="13"/>
      <c r="BN58" s="13"/>
      <c r="BO58" s="13"/>
      <c r="BP58" s="13"/>
      <c r="BQ58" s="13"/>
      <c r="BR58" s="13"/>
      <c r="BS58" s="13"/>
      <c r="BT58" s="13"/>
      <c r="BU58" s="13"/>
      <c r="BV58" s="13"/>
      <c r="BW58" s="13"/>
      <c r="BX58" s="13"/>
      <c r="BY58" s="13"/>
      <c r="BZ58" s="13"/>
      <c r="CA58" s="13"/>
      <c r="CB58" s="13"/>
      <c r="CC58" s="13"/>
      <c r="CD58" s="13"/>
      <c r="CE58" s="13"/>
    </row>
    <row r="59" spans="1:83" x14ac:dyDescent="0.3">
      <c r="A59" s="13"/>
      <c r="B59" s="15"/>
      <c r="C59" s="13"/>
      <c r="D59" s="13"/>
      <c r="E59" s="13"/>
      <c r="F59" s="13"/>
      <c r="G59" s="13"/>
      <c r="H59" s="13"/>
      <c r="I59" s="13"/>
      <c r="J59" s="15"/>
      <c r="K59" s="13"/>
      <c r="L59" s="13"/>
      <c r="M59" s="12"/>
      <c r="N59" s="13"/>
      <c r="O59" s="13"/>
      <c r="P59" s="13"/>
      <c r="Q59" s="13"/>
      <c r="R59" s="13"/>
      <c r="S59" s="13"/>
      <c r="T59" s="13"/>
      <c r="U59" s="28"/>
      <c r="V59" s="28"/>
      <c r="W59" s="29"/>
      <c r="X59" s="28"/>
      <c r="Y59" s="28"/>
      <c r="Z59" s="13"/>
      <c r="AA59" s="13"/>
      <c r="AB59" s="13"/>
      <c r="AC59" s="13"/>
      <c r="AD59" s="13"/>
      <c r="AE59" s="13"/>
      <c r="AF59" s="12"/>
      <c r="AG59" s="12"/>
      <c r="AH59" s="12"/>
      <c r="AI59" s="12"/>
      <c r="AJ59" s="12"/>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c r="BJ59" s="13"/>
      <c r="BK59" s="13"/>
      <c r="BL59" s="13"/>
      <c r="BM59" s="13"/>
      <c r="BN59" s="13"/>
      <c r="BO59" s="13"/>
      <c r="BP59" s="13"/>
      <c r="BQ59" s="13"/>
      <c r="BR59" s="13"/>
      <c r="BS59" s="13"/>
      <c r="BT59" s="13"/>
      <c r="BU59" s="13"/>
      <c r="BV59" s="13"/>
      <c r="BW59" s="13"/>
      <c r="BX59" s="13"/>
      <c r="BY59" s="13"/>
      <c r="BZ59" s="13"/>
      <c r="CA59" s="13"/>
      <c r="CB59" s="13"/>
      <c r="CC59" s="13"/>
      <c r="CD59" s="13"/>
      <c r="CE59" s="13"/>
    </row>
    <row r="60" spans="1:83" x14ac:dyDescent="0.3">
      <c r="A60" s="13"/>
      <c r="B60" s="15"/>
      <c r="C60" s="13"/>
      <c r="D60" s="13"/>
      <c r="E60" s="13"/>
      <c r="F60" s="13"/>
      <c r="G60" s="13"/>
      <c r="H60" s="13"/>
      <c r="I60" s="13"/>
      <c r="J60" s="15"/>
      <c r="K60" s="13"/>
      <c r="L60" s="13"/>
      <c r="M60" s="12"/>
      <c r="N60" s="13"/>
      <c r="O60" s="13"/>
      <c r="P60" s="13"/>
      <c r="Q60" s="13"/>
      <c r="R60" s="13"/>
      <c r="S60" s="13"/>
      <c r="T60" s="13"/>
      <c r="U60" s="28"/>
      <c r="V60" s="28"/>
      <c r="W60" s="29"/>
      <c r="X60" s="28"/>
      <c r="Y60" s="28"/>
      <c r="Z60" s="13"/>
      <c r="AA60" s="13"/>
      <c r="AB60" s="13"/>
      <c r="AC60" s="13"/>
      <c r="AD60" s="13"/>
      <c r="AE60" s="13"/>
      <c r="AF60" s="12"/>
      <c r="AG60" s="12"/>
      <c r="AH60" s="12"/>
      <c r="AI60" s="12"/>
      <c r="AJ60" s="12"/>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c r="BT60" s="13"/>
      <c r="BU60" s="13"/>
      <c r="BV60" s="13"/>
      <c r="BW60" s="13"/>
      <c r="BX60" s="13"/>
      <c r="BY60" s="13"/>
      <c r="BZ60" s="13"/>
      <c r="CA60" s="13"/>
      <c r="CB60" s="13"/>
      <c r="CC60" s="13"/>
      <c r="CD60" s="13"/>
      <c r="CE60" s="13"/>
    </row>
    <row r="61" spans="1:83" x14ac:dyDescent="0.3">
      <c r="A61" s="13"/>
      <c r="B61" s="15"/>
      <c r="C61" s="13"/>
      <c r="D61" s="13"/>
      <c r="E61" s="13"/>
      <c r="F61" s="13"/>
      <c r="G61" s="13"/>
      <c r="H61" s="13"/>
      <c r="I61" s="13"/>
      <c r="J61" s="15"/>
      <c r="K61" s="13"/>
      <c r="L61" s="13"/>
      <c r="M61" s="12"/>
      <c r="N61" s="13"/>
      <c r="O61" s="13"/>
      <c r="P61" s="13"/>
      <c r="Q61" s="13"/>
      <c r="R61" s="13"/>
      <c r="S61" s="13"/>
      <c r="T61" s="13"/>
      <c r="U61" s="28"/>
      <c r="V61" s="28"/>
      <c r="W61" s="29"/>
      <c r="X61" s="28"/>
      <c r="Y61" s="28"/>
      <c r="Z61" s="13"/>
      <c r="AA61" s="13"/>
      <c r="AB61" s="13"/>
      <c r="AC61" s="13"/>
      <c r="AD61" s="13"/>
      <c r="AE61" s="13"/>
      <c r="AF61" s="12"/>
      <c r="AG61" s="12"/>
      <c r="AH61" s="12"/>
      <c r="AI61" s="12"/>
      <c r="AJ61" s="12"/>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c r="BT61" s="13"/>
      <c r="BU61" s="13"/>
      <c r="BV61" s="13"/>
      <c r="BW61" s="13"/>
      <c r="BX61" s="13"/>
      <c r="BY61" s="13"/>
      <c r="BZ61" s="13"/>
      <c r="CA61" s="13"/>
      <c r="CB61" s="13"/>
      <c r="CC61" s="13"/>
      <c r="CD61" s="13"/>
      <c r="CE61" s="13"/>
    </row>
    <row r="62" spans="1:83" x14ac:dyDescent="0.3">
      <c r="A62" s="13"/>
      <c r="B62" s="15"/>
      <c r="C62" s="13"/>
      <c r="D62" s="13"/>
      <c r="E62" s="13"/>
      <c r="F62" s="13"/>
      <c r="G62" s="13"/>
      <c r="H62" s="13"/>
      <c r="I62" s="13"/>
      <c r="J62" s="15"/>
      <c r="K62" s="13"/>
      <c r="L62" s="13"/>
      <c r="M62" s="12"/>
      <c r="N62" s="13"/>
      <c r="O62" s="13"/>
      <c r="P62" s="13"/>
      <c r="Q62" s="13"/>
      <c r="R62" s="13"/>
      <c r="S62" s="13"/>
      <c r="T62" s="13"/>
      <c r="U62" s="28"/>
      <c r="V62" s="28"/>
      <c r="W62" s="29"/>
      <c r="X62" s="28"/>
      <c r="Y62" s="28"/>
      <c r="Z62" s="13"/>
      <c r="AA62" s="13"/>
      <c r="AB62" s="13"/>
      <c r="AC62" s="13"/>
      <c r="AD62" s="13"/>
      <c r="AE62" s="13"/>
      <c r="AF62" s="12"/>
      <c r="AG62" s="12"/>
      <c r="AH62" s="12"/>
      <c r="AI62" s="12"/>
      <c r="AJ62" s="12"/>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c r="BT62" s="13"/>
      <c r="BU62" s="13"/>
      <c r="BV62" s="13"/>
      <c r="BW62" s="13"/>
      <c r="BX62" s="13"/>
      <c r="BY62" s="13"/>
      <c r="BZ62" s="13"/>
      <c r="CA62" s="13"/>
      <c r="CB62" s="13"/>
      <c r="CC62" s="13"/>
      <c r="CD62" s="13"/>
      <c r="CE62" s="13"/>
    </row>
    <row r="63" spans="1:83" x14ac:dyDescent="0.3">
      <c r="A63" s="13"/>
      <c r="B63" s="15"/>
      <c r="C63" s="13"/>
      <c r="D63" s="13"/>
      <c r="E63" s="13"/>
      <c r="F63" s="13"/>
      <c r="G63" s="13"/>
      <c r="H63" s="13"/>
      <c r="I63" s="13"/>
      <c r="J63" s="15"/>
      <c r="K63" s="13"/>
      <c r="L63" s="13"/>
      <c r="M63" s="12"/>
      <c r="N63" s="13"/>
      <c r="O63" s="13"/>
      <c r="P63" s="13"/>
      <c r="Q63" s="13"/>
      <c r="R63" s="13"/>
      <c r="S63" s="13"/>
      <c r="T63" s="13"/>
      <c r="U63" s="28"/>
      <c r="V63" s="28"/>
      <c r="W63" s="29"/>
      <c r="X63" s="28"/>
      <c r="Y63" s="28"/>
      <c r="Z63" s="13"/>
      <c r="AA63" s="13"/>
      <c r="AB63" s="13"/>
      <c r="AC63" s="13"/>
      <c r="AD63" s="13"/>
      <c r="AE63" s="13"/>
      <c r="AF63" s="12"/>
      <c r="AG63" s="12"/>
      <c r="AH63" s="12"/>
      <c r="AI63" s="12"/>
      <c r="AJ63" s="12"/>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c r="BT63" s="13"/>
      <c r="BU63" s="13"/>
      <c r="BV63" s="13"/>
      <c r="BW63" s="13"/>
      <c r="BX63" s="13"/>
      <c r="BY63" s="13"/>
      <c r="BZ63" s="13"/>
      <c r="CA63" s="13"/>
      <c r="CB63" s="13"/>
      <c r="CC63" s="13"/>
      <c r="CD63" s="13"/>
      <c r="CE63" s="13"/>
    </row>
    <row r="64" spans="1:83" x14ac:dyDescent="0.3">
      <c r="A64" s="13"/>
      <c r="B64" s="15"/>
      <c r="C64" s="13"/>
      <c r="D64" s="13"/>
      <c r="E64" s="13"/>
      <c r="F64" s="13"/>
      <c r="G64" s="13"/>
      <c r="H64" s="13"/>
      <c r="I64" s="13"/>
      <c r="J64" s="15"/>
      <c r="K64" s="13"/>
      <c r="L64" s="13"/>
      <c r="M64" s="12"/>
      <c r="N64" s="13"/>
      <c r="O64" s="13"/>
      <c r="P64" s="13"/>
      <c r="Q64" s="13"/>
      <c r="R64" s="13"/>
      <c r="S64" s="13"/>
      <c r="T64" s="13"/>
      <c r="U64" s="28"/>
      <c r="V64" s="28"/>
      <c r="W64" s="29"/>
      <c r="X64" s="28"/>
      <c r="Y64" s="28"/>
      <c r="Z64" s="13"/>
      <c r="AA64" s="13"/>
      <c r="AB64" s="13"/>
      <c r="AC64" s="13"/>
      <c r="AD64" s="13"/>
      <c r="AE64" s="13"/>
      <c r="AF64" s="12"/>
      <c r="AG64" s="12"/>
      <c r="AH64" s="12"/>
      <c r="AI64" s="12"/>
      <c r="AJ64" s="12"/>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row>
    <row r="65" spans="1:83" x14ac:dyDescent="0.3">
      <c r="A65" s="13"/>
      <c r="B65" s="15"/>
      <c r="C65" s="13"/>
      <c r="D65" s="13"/>
      <c r="E65" s="13"/>
      <c r="F65" s="13"/>
      <c r="G65" s="13"/>
      <c r="H65" s="13"/>
      <c r="I65" s="13"/>
      <c r="J65" s="15"/>
      <c r="K65" s="13"/>
      <c r="L65" s="13"/>
      <c r="M65" s="12"/>
      <c r="N65" s="13"/>
      <c r="O65" s="13"/>
      <c r="P65" s="13"/>
      <c r="Q65" s="13"/>
      <c r="R65" s="13"/>
      <c r="S65" s="13"/>
      <c r="T65" s="13"/>
      <c r="U65" s="28"/>
      <c r="V65" s="28"/>
      <c r="W65" s="29"/>
      <c r="X65" s="28"/>
      <c r="Y65" s="28"/>
      <c r="Z65" s="13"/>
      <c r="AA65" s="13"/>
      <c r="AB65" s="13"/>
      <c r="AC65" s="13"/>
      <c r="AD65" s="13"/>
      <c r="AE65" s="13"/>
      <c r="AF65" s="12"/>
      <c r="AG65" s="12"/>
      <c r="AH65" s="12"/>
      <c r="AI65" s="12"/>
      <c r="AJ65" s="12"/>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c r="BT65" s="13"/>
      <c r="BU65" s="13"/>
      <c r="BV65" s="13"/>
      <c r="BW65" s="13"/>
      <c r="BX65" s="13"/>
      <c r="BY65" s="13"/>
      <c r="BZ65" s="13"/>
      <c r="CA65" s="13"/>
      <c r="CB65" s="13"/>
      <c r="CC65" s="13"/>
      <c r="CD65" s="13"/>
      <c r="CE65" s="13"/>
    </row>
    <row r="66" spans="1:83" x14ac:dyDescent="0.3">
      <c r="A66" s="13"/>
      <c r="B66" s="15"/>
      <c r="C66" s="13"/>
      <c r="D66" s="13"/>
      <c r="E66" s="13"/>
      <c r="F66" s="13"/>
      <c r="G66" s="13"/>
      <c r="H66" s="13"/>
      <c r="I66" s="13"/>
      <c r="J66" s="15"/>
      <c r="K66" s="13"/>
      <c r="L66" s="13"/>
      <c r="M66" s="12"/>
      <c r="N66" s="13"/>
      <c r="O66" s="13"/>
      <c r="P66" s="13"/>
      <c r="Q66" s="13"/>
      <c r="R66" s="13"/>
      <c r="S66" s="13"/>
      <c r="T66" s="13"/>
      <c r="U66" s="28"/>
      <c r="V66" s="28"/>
      <c r="W66" s="29"/>
      <c r="X66" s="28"/>
      <c r="Y66" s="28"/>
      <c r="Z66" s="13"/>
      <c r="AA66" s="13"/>
      <c r="AB66" s="13"/>
      <c r="AC66" s="13"/>
      <c r="AD66" s="13"/>
      <c r="AE66" s="13"/>
      <c r="AF66" s="12"/>
      <c r="AG66" s="12"/>
      <c r="AH66" s="12"/>
      <c r="AI66" s="12"/>
      <c r="AJ66" s="12"/>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c r="BT66" s="13"/>
      <c r="BU66" s="13"/>
      <c r="BV66" s="13"/>
      <c r="BW66" s="13"/>
      <c r="BX66" s="13"/>
      <c r="BY66" s="13"/>
      <c r="BZ66" s="13"/>
      <c r="CA66" s="13"/>
      <c r="CB66" s="13"/>
      <c r="CC66" s="13"/>
      <c r="CD66" s="13"/>
      <c r="CE66" s="13"/>
    </row>
    <row r="67" spans="1:83" x14ac:dyDescent="0.3">
      <c r="A67" s="13"/>
      <c r="B67" s="15"/>
      <c r="C67" s="13"/>
      <c r="D67" s="13"/>
      <c r="E67" s="13"/>
      <c r="F67" s="13"/>
      <c r="G67" s="13"/>
      <c r="H67" s="13"/>
      <c r="I67" s="13"/>
      <c r="J67" s="15"/>
      <c r="K67" s="13"/>
      <c r="L67" s="13"/>
      <c r="M67" s="12"/>
      <c r="N67" s="13"/>
      <c r="O67" s="13"/>
      <c r="P67" s="13"/>
      <c r="Q67" s="13"/>
      <c r="R67" s="13"/>
      <c r="S67" s="13"/>
      <c r="T67" s="13"/>
      <c r="U67" s="28"/>
      <c r="V67" s="28"/>
      <c r="W67" s="29"/>
      <c r="X67" s="28"/>
      <c r="Y67" s="28"/>
      <c r="Z67" s="13"/>
      <c r="AA67" s="13"/>
      <c r="AB67" s="13"/>
      <c r="AC67" s="13"/>
      <c r="AD67" s="13"/>
      <c r="AE67" s="13"/>
      <c r="AF67" s="12"/>
      <c r="AG67" s="12"/>
      <c r="AH67" s="12"/>
      <c r="AI67" s="12"/>
      <c r="AJ67" s="12"/>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c r="BT67" s="13"/>
      <c r="BU67" s="13"/>
      <c r="BV67" s="13"/>
      <c r="BW67" s="13"/>
      <c r="BX67" s="13"/>
      <c r="BY67" s="13"/>
      <c r="BZ67" s="13"/>
      <c r="CA67" s="13"/>
      <c r="CB67" s="13"/>
      <c r="CC67" s="13"/>
      <c r="CD67" s="13"/>
      <c r="CE67" s="13"/>
    </row>
    <row r="68" spans="1:83" x14ac:dyDescent="0.3">
      <c r="A68" s="13"/>
      <c r="B68" s="15"/>
      <c r="C68" s="13"/>
      <c r="D68" s="13"/>
      <c r="E68" s="13"/>
      <c r="F68" s="13"/>
      <c r="G68" s="13"/>
      <c r="H68" s="13"/>
      <c r="I68" s="13"/>
      <c r="J68" s="15"/>
      <c r="K68" s="13"/>
      <c r="L68" s="13"/>
      <c r="M68" s="12"/>
      <c r="N68" s="13"/>
      <c r="O68" s="13"/>
      <c r="P68" s="13"/>
      <c r="Q68" s="13"/>
      <c r="R68" s="13"/>
      <c r="S68" s="13"/>
      <c r="T68" s="13"/>
      <c r="U68" s="28"/>
      <c r="V68" s="28"/>
      <c r="W68" s="29"/>
      <c r="X68" s="28"/>
      <c r="Y68" s="28"/>
      <c r="Z68" s="13"/>
      <c r="AA68" s="13"/>
      <c r="AB68" s="13"/>
      <c r="AC68" s="13"/>
      <c r="AD68" s="13"/>
      <c r="AE68" s="13"/>
      <c r="AF68" s="12"/>
      <c r="AG68" s="12"/>
      <c r="AH68" s="12"/>
      <c r="AI68" s="12"/>
      <c r="AJ68" s="12"/>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c r="BT68" s="13"/>
      <c r="BU68" s="13"/>
      <c r="BV68" s="13"/>
      <c r="BW68" s="13"/>
      <c r="BX68" s="13"/>
      <c r="BY68" s="13"/>
      <c r="BZ68" s="13"/>
      <c r="CA68" s="13"/>
      <c r="CB68" s="13"/>
      <c r="CC68" s="13"/>
      <c r="CD68" s="13"/>
      <c r="CE68" s="13"/>
    </row>
    <row r="69" spans="1:83" x14ac:dyDescent="0.3">
      <c r="A69" s="13"/>
      <c r="B69" s="15"/>
      <c r="C69" s="13"/>
      <c r="D69" s="13"/>
      <c r="E69" s="13"/>
      <c r="F69" s="13"/>
      <c r="G69" s="13"/>
      <c r="H69" s="13"/>
      <c r="I69" s="13"/>
      <c r="J69" s="15"/>
      <c r="K69" s="13"/>
      <c r="L69" s="13"/>
      <c r="M69" s="12"/>
      <c r="N69" s="13"/>
      <c r="O69" s="13"/>
      <c r="P69" s="13"/>
      <c r="Q69" s="13"/>
      <c r="R69" s="13"/>
      <c r="S69" s="13"/>
      <c r="T69" s="13"/>
      <c r="U69" s="28"/>
      <c r="V69" s="28"/>
      <c r="W69" s="29"/>
      <c r="X69" s="28"/>
      <c r="Y69" s="28"/>
      <c r="Z69" s="13"/>
      <c r="AA69" s="13"/>
      <c r="AB69" s="13"/>
      <c r="AC69" s="13"/>
      <c r="AD69" s="13"/>
      <c r="AE69" s="13"/>
      <c r="AF69" s="12"/>
      <c r="AG69" s="12"/>
      <c r="AH69" s="12"/>
      <c r="AI69" s="12"/>
      <c r="AJ69" s="12"/>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c r="BT69" s="13"/>
      <c r="BU69" s="13"/>
      <c r="BV69" s="13"/>
      <c r="BW69" s="13"/>
      <c r="BX69" s="13"/>
      <c r="BY69" s="13"/>
      <c r="BZ69" s="13"/>
      <c r="CA69" s="13"/>
      <c r="CB69" s="13"/>
      <c r="CC69" s="13"/>
      <c r="CD69" s="13"/>
      <c r="CE69" s="13"/>
    </row>
    <row r="70" spans="1:83" x14ac:dyDescent="0.3">
      <c r="A70" s="13"/>
      <c r="B70" s="15"/>
      <c r="C70" s="13"/>
      <c r="D70" s="13"/>
      <c r="E70" s="13"/>
      <c r="F70" s="13"/>
      <c r="G70" s="13"/>
      <c r="H70" s="13"/>
      <c r="I70" s="13"/>
      <c r="J70" s="15"/>
      <c r="K70" s="13"/>
      <c r="L70" s="13"/>
      <c r="M70" s="12"/>
      <c r="N70" s="13"/>
      <c r="O70" s="13"/>
      <c r="P70" s="13"/>
      <c r="Q70" s="13"/>
      <c r="R70" s="13"/>
      <c r="S70" s="13"/>
      <c r="T70" s="13"/>
      <c r="U70" s="28"/>
      <c r="V70" s="28"/>
      <c r="W70" s="29"/>
      <c r="X70" s="28"/>
      <c r="Y70" s="28"/>
      <c r="Z70" s="13"/>
      <c r="AA70" s="13"/>
      <c r="AB70" s="13"/>
      <c r="AC70" s="13"/>
      <c r="AD70" s="13"/>
      <c r="AE70" s="13"/>
      <c r="AF70" s="12"/>
      <c r="AG70" s="12"/>
      <c r="AH70" s="12"/>
      <c r="AI70" s="12"/>
      <c r="AJ70" s="12"/>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row>
    <row r="71" spans="1:83" x14ac:dyDescent="0.3">
      <c r="A71" s="13"/>
      <c r="B71" s="15"/>
      <c r="C71" s="13"/>
      <c r="D71" s="13"/>
      <c r="E71" s="13"/>
      <c r="F71" s="13"/>
      <c r="G71" s="13"/>
      <c r="H71" s="13"/>
      <c r="I71" s="13"/>
      <c r="J71" s="15"/>
      <c r="K71" s="13"/>
      <c r="L71" s="13"/>
      <c r="M71" s="12"/>
      <c r="N71" s="13"/>
      <c r="O71" s="13"/>
      <c r="P71" s="13"/>
      <c r="Q71" s="13"/>
      <c r="R71" s="13"/>
      <c r="S71" s="13"/>
      <c r="T71" s="13"/>
      <c r="U71" s="28"/>
      <c r="V71" s="28"/>
      <c r="W71" s="29"/>
      <c r="X71" s="28"/>
      <c r="Y71" s="28"/>
      <c r="Z71" s="13"/>
      <c r="AA71" s="13"/>
      <c r="AB71" s="13"/>
      <c r="AC71" s="13"/>
      <c r="AD71" s="13"/>
      <c r="AE71" s="13"/>
      <c r="AF71" s="12"/>
      <c r="AG71" s="12"/>
      <c r="AH71" s="12"/>
      <c r="AI71" s="12"/>
      <c r="AJ71" s="12"/>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row>
    <row r="72" spans="1:83" x14ac:dyDescent="0.3">
      <c r="A72" s="13"/>
      <c r="B72" s="15"/>
      <c r="C72" s="13"/>
      <c r="D72" s="13"/>
      <c r="E72" s="13"/>
      <c r="F72" s="13"/>
      <c r="G72" s="13"/>
      <c r="H72" s="13"/>
      <c r="I72" s="13"/>
      <c r="J72" s="15"/>
      <c r="K72" s="13"/>
      <c r="L72" s="13"/>
      <c r="M72" s="12"/>
      <c r="N72" s="13"/>
      <c r="O72" s="13"/>
      <c r="P72" s="13"/>
      <c r="Q72" s="13"/>
      <c r="R72" s="13"/>
      <c r="S72" s="13"/>
      <c r="T72" s="13"/>
      <c r="U72" s="28"/>
      <c r="V72" s="28"/>
      <c r="W72" s="29"/>
      <c r="X72" s="28"/>
      <c r="Y72" s="28"/>
      <c r="Z72" s="13"/>
      <c r="AA72" s="13"/>
      <c r="AB72" s="13"/>
      <c r="AC72" s="13"/>
      <c r="AD72" s="13"/>
      <c r="AE72" s="13"/>
      <c r="AF72" s="12"/>
      <c r="AG72" s="12"/>
      <c r="AH72" s="12"/>
      <c r="AI72" s="12"/>
      <c r="AJ72" s="12"/>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row>
    <row r="73" spans="1:83" x14ac:dyDescent="0.3">
      <c r="A73" s="13"/>
      <c r="B73" s="15"/>
      <c r="C73" s="13"/>
      <c r="D73" s="13"/>
      <c r="E73" s="13"/>
      <c r="F73" s="13"/>
      <c r="G73" s="13"/>
      <c r="H73" s="13"/>
      <c r="I73" s="13"/>
      <c r="J73" s="15"/>
      <c r="K73" s="13"/>
      <c r="L73" s="13"/>
      <c r="M73" s="12"/>
      <c r="N73" s="13"/>
      <c r="O73" s="13"/>
      <c r="P73" s="13"/>
      <c r="Q73" s="13"/>
      <c r="R73" s="13"/>
      <c r="S73" s="13"/>
      <c r="T73" s="13"/>
      <c r="U73" s="28"/>
      <c r="V73" s="28"/>
      <c r="W73" s="29"/>
      <c r="X73" s="28"/>
      <c r="Y73" s="28"/>
      <c r="Z73" s="13"/>
      <c r="AA73" s="13"/>
      <c r="AB73" s="13"/>
      <c r="AC73" s="13"/>
      <c r="AD73" s="13"/>
      <c r="AE73" s="13"/>
      <c r="AF73" s="12"/>
      <c r="AG73" s="12"/>
      <c r="AH73" s="12"/>
      <c r="AI73" s="12"/>
      <c r="AJ73" s="12"/>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row>
    <row r="74" spans="1:83" x14ac:dyDescent="0.3">
      <c r="A74" s="13"/>
      <c r="B74" s="15"/>
      <c r="C74" s="13"/>
      <c r="D74" s="13"/>
      <c r="E74" s="13"/>
      <c r="F74" s="13"/>
      <c r="G74" s="13"/>
      <c r="H74" s="13"/>
      <c r="I74" s="13"/>
      <c r="J74" s="15"/>
      <c r="K74" s="13"/>
      <c r="L74" s="13"/>
      <c r="M74" s="12"/>
      <c r="N74" s="13"/>
      <c r="O74" s="13"/>
      <c r="P74" s="13"/>
      <c r="Q74" s="13"/>
      <c r="R74" s="13"/>
      <c r="S74" s="13"/>
      <c r="T74" s="13"/>
      <c r="U74" s="28"/>
      <c r="V74" s="28"/>
      <c r="W74" s="29"/>
      <c r="X74" s="28"/>
      <c r="Y74" s="28"/>
      <c r="Z74" s="13"/>
      <c r="AA74" s="13"/>
      <c r="AB74" s="13"/>
      <c r="AC74" s="13"/>
      <c r="AD74" s="13"/>
      <c r="AE74" s="13"/>
      <c r="AF74" s="12"/>
      <c r="AG74" s="12"/>
      <c r="AH74" s="12"/>
      <c r="AI74" s="12"/>
      <c r="AJ74" s="12"/>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row>
    <row r="75" spans="1:83" x14ac:dyDescent="0.3">
      <c r="A75" s="13"/>
      <c r="B75" s="15"/>
      <c r="C75" s="13"/>
      <c r="D75" s="13"/>
      <c r="E75" s="13"/>
      <c r="F75" s="13"/>
      <c r="G75" s="13"/>
      <c r="H75" s="13"/>
      <c r="I75" s="13"/>
      <c r="J75" s="15"/>
      <c r="K75" s="13"/>
      <c r="L75" s="13"/>
      <c r="M75" s="12"/>
      <c r="N75" s="13"/>
      <c r="O75" s="13"/>
      <c r="P75" s="13"/>
      <c r="Q75" s="13"/>
      <c r="R75" s="13"/>
      <c r="S75" s="13"/>
      <c r="T75" s="13"/>
      <c r="U75" s="28"/>
      <c r="V75" s="28"/>
      <c r="W75" s="29"/>
      <c r="X75" s="28"/>
      <c r="Y75" s="28"/>
      <c r="Z75" s="13"/>
      <c r="AA75" s="13"/>
      <c r="AB75" s="13"/>
      <c r="AC75" s="13"/>
      <c r="AD75" s="13"/>
      <c r="AE75" s="13"/>
      <c r="AF75" s="12"/>
      <c r="AG75" s="12"/>
      <c r="AH75" s="12"/>
      <c r="AI75" s="12"/>
      <c r="AJ75" s="12"/>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row>
    <row r="76" spans="1:83" x14ac:dyDescent="0.3">
      <c r="A76" s="13"/>
      <c r="B76" s="15"/>
      <c r="C76" s="13"/>
      <c r="D76" s="13"/>
      <c r="E76" s="13"/>
      <c r="F76" s="13"/>
      <c r="G76" s="13"/>
      <c r="H76" s="13"/>
      <c r="I76" s="13"/>
      <c r="J76" s="15"/>
      <c r="K76" s="13"/>
      <c r="L76" s="13"/>
      <c r="M76" s="12"/>
      <c r="N76" s="13"/>
      <c r="O76" s="13"/>
      <c r="P76" s="13"/>
      <c r="Q76" s="13"/>
      <c r="R76" s="13"/>
      <c r="S76" s="13"/>
      <c r="T76" s="13"/>
      <c r="U76" s="28"/>
      <c r="V76" s="28"/>
      <c r="W76" s="29"/>
      <c r="X76" s="28"/>
      <c r="Y76" s="28"/>
      <c r="Z76" s="13"/>
      <c r="AA76" s="13"/>
      <c r="AB76" s="13"/>
      <c r="AC76" s="13"/>
      <c r="AD76" s="13"/>
      <c r="AE76" s="13"/>
      <c r="AF76" s="12"/>
      <c r="AG76" s="12"/>
      <c r="AH76" s="12"/>
      <c r="AI76" s="12"/>
      <c r="AJ76" s="12"/>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c r="CD76" s="13"/>
      <c r="CE76" s="13"/>
    </row>
    <row r="77" spans="1:83" x14ac:dyDescent="0.3">
      <c r="A77" s="13"/>
      <c r="B77" s="15"/>
      <c r="C77" s="13"/>
      <c r="D77" s="13"/>
      <c r="E77" s="13"/>
      <c r="F77" s="13"/>
      <c r="G77" s="13"/>
      <c r="H77" s="13"/>
      <c r="I77" s="13"/>
      <c r="J77" s="15"/>
      <c r="K77" s="13"/>
      <c r="L77" s="13"/>
      <c r="M77" s="12"/>
      <c r="N77" s="13"/>
      <c r="O77" s="13"/>
      <c r="P77" s="13"/>
      <c r="Q77" s="13"/>
      <c r="R77" s="13"/>
      <c r="S77" s="13"/>
      <c r="T77" s="13"/>
      <c r="U77" s="28"/>
      <c r="V77" s="28"/>
      <c r="W77" s="29"/>
      <c r="X77" s="28"/>
      <c r="Y77" s="28"/>
      <c r="Z77" s="13"/>
      <c r="AA77" s="13"/>
      <c r="AB77" s="13"/>
      <c r="AC77" s="13"/>
      <c r="AD77" s="13"/>
      <c r="AE77" s="13"/>
      <c r="AF77" s="12"/>
      <c r="AG77" s="12"/>
      <c r="AH77" s="12"/>
      <c r="AI77" s="12"/>
      <c r="AJ77" s="12"/>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row>
    <row r="78" spans="1:83" x14ac:dyDescent="0.3">
      <c r="A78" s="13"/>
      <c r="B78" s="15"/>
      <c r="C78" s="13"/>
      <c r="D78" s="13"/>
      <c r="E78" s="13"/>
      <c r="F78" s="13"/>
      <c r="G78" s="13"/>
      <c r="H78" s="13"/>
      <c r="I78" s="13"/>
      <c r="J78" s="15"/>
      <c r="K78" s="13"/>
      <c r="L78" s="13"/>
      <c r="M78" s="12"/>
      <c r="N78" s="13"/>
      <c r="O78" s="13"/>
      <c r="P78" s="13"/>
      <c r="Q78" s="13"/>
      <c r="R78" s="13"/>
      <c r="S78" s="13"/>
      <c r="T78" s="13"/>
      <c r="U78" s="28"/>
      <c r="V78" s="28"/>
      <c r="W78" s="29"/>
      <c r="X78" s="28"/>
      <c r="Y78" s="28"/>
      <c r="Z78" s="13"/>
      <c r="AA78" s="13"/>
      <c r="AB78" s="13"/>
      <c r="AC78" s="13"/>
      <c r="AD78" s="13"/>
      <c r="AE78" s="13"/>
      <c r="AF78" s="12"/>
      <c r="AG78" s="12"/>
      <c r="AH78" s="12"/>
      <c r="AI78" s="12"/>
      <c r="AJ78" s="12"/>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row>
    <row r="79" spans="1:83" x14ac:dyDescent="0.3">
      <c r="A79" s="13"/>
      <c r="B79" s="15"/>
      <c r="C79" s="13"/>
      <c r="D79" s="13"/>
      <c r="E79" s="13"/>
      <c r="F79" s="13"/>
      <c r="G79" s="13"/>
      <c r="H79" s="13"/>
      <c r="I79" s="13"/>
      <c r="J79" s="15"/>
      <c r="K79" s="13"/>
      <c r="L79" s="13"/>
      <c r="M79" s="12"/>
      <c r="N79" s="13"/>
      <c r="O79" s="13"/>
      <c r="P79" s="13"/>
      <c r="Q79" s="13"/>
      <c r="R79" s="13"/>
      <c r="S79" s="13"/>
      <c r="T79" s="13"/>
      <c r="U79" s="28"/>
      <c r="V79" s="28"/>
      <c r="W79" s="29"/>
      <c r="X79" s="28"/>
      <c r="Y79" s="28"/>
      <c r="Z79" s="13"/>
      <c r="AA79" s="13"/>
      <c r="AB79" s="13"/>
      <c r="AC79" s="13"/>
      <c r="AD79" s="13"/>
      <c r="AE79" s="13"/>
      <c r="AF79" s="12"/>
      <c r="AG79" s="12"/>
      <c r="AH79" s="12"/>
      <c r="AI79" s="12"/>
      <c r="AJ79" s="12"/>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row>
    <row r="80" spans="1:83" x14ac:dyDescent="0.3">
      <c r="A80" s="13"/>
      <c r="B80" s="15"/>
      <c r="C80" s="13"/>
      <c r="D80" s="13"/>
      <c r="E80" s="13"/>
      <c r="F80" s="13"/>
      <c r="G80" s="13"/>
      <c r="H80" s="13"/>
      <c r="I80" s="13"/>
      <c r="J80" s="15"/>
      <c r="K80" s="13"/>
      <c r="L80" s="13"/>
      <c r="M80" s="12"/>
      <c r="N80" s="13"/>
      <c r="O80" s="13"/>
      <c r="P80" s="13"/>
      <c r="Q80" s="13"/>
      <c r="R80" s="13"/>
      <c r="S80" s="13"/>
      <c r="T80" s="13"/>
      <c r="U80" s="28"/>
      <c r="V80" s="28"/>
      <c r="W80" s="29"/>
      <c r="X80" s="28"/>
      <c r="Y80" s="28"/>
      <c r="Z80" s="13"/>
      <c r="AA80" s="13"/>
      <c r="AB80" s="13"/>
      <c r="AC80" s="13"/>
      <c r="AD80" s="13"/>
      <c r="AE80" s="13"/>
      <c r="AF80" s="12"/>
      <c r="AG80" s="12"/>
      <c r="AH80" s="12"/>
      <c r="AI80" s="12"/>
      <c r="AJ80" s="12"/>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c r="CE80" s="13"/>
    </row>
    <row r="81" spans="1:83" x14ac:dyDescent="0.3">
      <c r="A81" s="13"/>
      <c r="B81" s="15"/>
      <c r="C81" s="13"/>
      <c r="D81" s="13"/>
      <c r="E81" s="13"/>
      <c r="F81" s="13"/>
      <c r="G81" s="13"/>
      <c r="H81" s="13"/>
      <c r="I81" s="13"/>
      <c r="J81" s="15"/>
      <c r="K81" s="13"/>
      <c r="L81" s="13"/>
      <c r="M81" s="12"/>
      <c r="N81" s="13"/>
      <c r="O81" s="13"/>
      <c r="P81" s="13"/>
      <c r="Q81" s="13"/>
      <c r="R81" s="13"/>
      <c r="S81" s="13"/>
      <c r="T81" s="13"/>
      <c r="U81" s="28"/>
      <c r="V81" s="28"/>
      <c r="W81" s="29"/>
      <c r="X81" s="28"/>
      <c r="Y81" s="28"/>
      <c r="Z81" s="13"/>
      <c r="AA81" s="13"/>
      <c r="AB81" s="13"/>
      <c r="AC81" s="13"/>
      <c r="AD81" s="13"/>
      <c r="AE81" s="13"/>
      <c r="AF81" s="12"/>
      <c r="AG81" s="12"/>
      <c r="AH81" s="12"/>
      <c r="AI81" s="12"/>
      <c r="AJ81" s="12"/>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c r="CE81" s="13"/>
    </row>
    <row r="82" spans="1:83" x14ac:dyDescent="0.3">
      <c r="A82" s="13"/>
      <c r="B82" s="15"/>
      <c r="C82" s="13"/>
      <c r="D82" s="13"/>
      <c r="E82" s="13"/>
      <c r="F82" s="13"/>
      <c r="G82" s="13"/>
      <c r="H82" s="13"/>
      <c r="I82" s="13"/>
      <c r="J82" s="15"/>
      <c r="K82" s="13"/>
      <c r="L82" s="13"/>
      <c r="M82" s="12"/>
      <c r="N82" s="13"/>
      <c r="O82" s="13"/>
      <c r="P82" s="13"/>
      <c r="Q82" s="13"/>
      <c r="R82" s="13"/>
      <c r="S82" s="13"/>
      <c r="T82" s="13"/>
      <c r="U82" s="28"/>
      <c r="V82" s="28"/>
      <c r="W82" s="29"/>
      <c r="X82" s="28"/>
      <c r="Y82" s="28"/>
      <c r="Z82" s="13"/>
      <c r="AA82" s="13"/>
      <c r="AB82" s="13"/>
      <c r="AC82" s="13"/>
      <c r="AD82" s="13"/>
      <c r="AE82" s="13"/>
      <c r="AF82" s="12"/>
      <c r="AG82" s="12"/>
      <c r="AH82" s="12"/>
      <c r="AI82" s="12"/>
      <c r="AJ82" s="12"/>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c r="CD82" s="13"/>
      <c r="CE82" s="13"/>
    </row>
    <row r="83" spans="1:83" x14ac:dyDescent="0.3">
      <c r="A83" s="13"/>
      <c r="B83" s="15"/>
      <c r="C83" s="13"/>
      <c r="D83" s="13"/>
      <c r="E83" s="13"/>
      <c r="F83" s="13"/>
      <c r="G83" s="13"/>
      <c r="H83" s="13"/>
      <c r="I83" s="13"/>
      <c r="J83" s="15"/>
      <c r="K83" s="13"/>
      <c r="L83" s="13"/>
      <c r="M83" s="12"/>
      <c r="N83" s="13"/>
      <c r="O83" s="13"/>
      <c r="P83" s="13"/>
      <c r="Q83" s="13"/>
      <c r="R83" s="13"/>
      <c r="S83" s="13"/>
      <c r="T83" s="13"/>
      <c r="U83" s="28"/>
      <c r="V83" s="28"/>
      <c r="W83" s="29"/>
      <c r="X83" s="28"/>
      <c r="Y83" s="28"/>
      <c r="Z83" s="13"/>
      <c r="AA83" s="13"/>
      <c r="AB83" s="13"/>
      <c r="AC83" s="13"/>
      <c r="AD83" s="13"/>
      <c r="AE83" s="13"/>
      <c r="AF83" s="12"/>
      <c r="AG83" s="12"/>
      <c r="AH83" s="12"/>
      <c r="AI83" s="12"/>
      <c r="AJ83" s="12"/>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row>
    <row r="84" spans="1:83" x14ac:dyDescent="0.3">
      <c r="A84" s="13"/>
      <c r="B84" s="15"/>
      <c r="C84" s="13"/>
      <c r="D84" s="13"/>
      <c r="E84" s="13"/>
      <c r="F84" s="13"/>
      <c r="G84" s="13"/>
      <c r="H84" s="13"/>
      <c r="I84" s="13"/>
      <c r="J84" s="15"/>
      <c r="K84" s="13"/>
      <c r="L84" s="13"/>
      <c r="M84" s="12"/>
      <c r="N84" s="13"/>
      <c r="O84" s="13"/>
      <c r="P84" s="13"/>
      <c r="Q84" s="13"/>
      <c r="R84" s="13"/>
      <c r="S84" s="13"/>
      <c r="T84" s="13"/>
      <c r="U84" s="28"/>
      <c r="V84" s="28"/>
      <c r="W84" s="29"/>
      <c r="X84" s="28"/>
      <c r="Y84" s="28"/>
      <c r="Z84" s="13"/>
      <c r="AA84" s="13"/>
      <c r="AB84" s="13"/>
      <c r="AC84" s="13"/>
      <c r="AD84" s="13"/>
      <c r="AE84" s="13"/>
      <c r="AF84" s="12"/>
      <c r="AG84" s="12"/>
      <c r="AH84" s="12"/>
      <c r="AI84" s="12"/>
      <c r="AJ84" s="12"/>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row>
    <row r="85" spans="1:83" x14ac:dyDescent="0.3">
      <c r="A85" s="13"/>
      <c r="B85" s="15"/>
      <c r="C85" s="13"/>
      <c r="D85" s="13"/>
      <c r="E85" s="13"/>
      <c r="F85" s="13"/>
      <c r="G85" s="13"/>
      <c r="H85" s="13"/>
      <c r="I85" s="13"/>
      <c r="J85" s="15"/>
      <c r="K85" s="13"/>
      <c r="L85" s="13"/>
      <c r="M85" s="12"/>
      <c r="N85" s="13"/>
      <c r="O85" s="13"/>
      <c r="P85" s="13"/>
      <c r="Q85" s="13"/>
      <c r="R85" s="13"/>
      <c r="S85" s="13"/>
      <c r="T85" s="13"/>
      <c r="U85" s="28"/>
      <c r="V85" s="28"/>
      <c r="W85" s="29"/>
      <c r="X85" s="28"/>
      <c r="Y85" s="28"/>
      <c r="Z85" s="13"/>
      <c r="AA85" s="13"/>
      <c r="AB85" s="13"/>
      <c r="AC85" s="13"/>
      <c r="AD85" s="13"/>
      <c r="AE85" s="13"/>
      <c r="AF85" s="12"/>
      <c r="AG85" s="12"/>
      <c r="AH85" s="12"/>
      <c r="AI85" s="12"/>
      <c r="AJ85" s="12"/>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c r="BZ85" s="13"/>
      <c r="CA85" s="13"/>
      <c r="CB85" s="13"/>
      <c r="CC85" s="13"/>
      <c r="CD85" s="13"/>
      <c r="CE85" s="13"/>
    </row>
    <row r="86" spans="1:83" x14ac:dyDescent="0.3">
      <c r="A86" s="13"/>
      <c r="B86" s="15"/>
      <c r="C86" s="13"/>
      <c r="D86" s="13"/>
      <c r="E86" s="13"/>
      <c r="F86" s="13"/>
      <c r="G86" s="13"/>
      <c r="H86" s="13"/>
      <c r="I86" s="13"/>
      <c r="J86" s="15"/>
      <c r="K86" s="13"/>
      <c r="L86" s="13"/>
      <c r="M86" s="12"/>
      <c r="N86" s="13"/>
      <c r="O86" s="13"/>
      <c r="P86" s="13"/>
      <c r="Q86" s="13"/>
      <c r="R86" s="13"/>
      <c r="S86" s="13"/>
      <c r="T86" s="13"/>
      <c r="U86" s="28"/>
      <c r="V86" s="28"/>
      <c r="W86" s="29"/>
      <c r="X86" s="28"/>
      <c r="Y86" s="28"/>
      <c r="Z86" s="13"/>
      <c r="AA86" s="13"/>
      <c r="AB86" s="13"/>
      <c r="AC86" s="13"/>
      <c r="AD86" s="13"/>
      <c r="AE86" s="13"/>
      <c r="AF86" s="12"/>
      <c r="AG86" s="12"/>
      <c r="AH86" s="12"/>
      <c r="AI86" s="12"/>
      <c r="AJ86" s="12"/>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c r="BZ86" s="13"/>
      <c r="CA86" s="13"/>
      <c r="CB86" s="13"/>
      <c r="CC86" s="13"/>
      <c r="CD86" s="13"/>
      <c r="CE86" s="13"/>
    </row>
    <row r="87" spans="1:83" x14ac:dyDescent="0.3">
      <c r="A87" s="13"/>
      <c r="B87" s="15"/>
      <c r="C87" s="13"/>
      <c r="D87" s="13"/>
      <c r="E87" s="13"/>
      <c r="F87" s="13"/>
      <c r="G87" s="13"/>
      <c r="H87" s="13"/>
      <c r="I87" s="13"/>
      <c r="J87" s="15"/>
      <c r="K87" s="13"/>
      <c r="L87" s="13"/>
      <c r="M87" s="12"/>
      <c r="N87" s="13"/>
      <c r="O87" s="13"/>
      <c r="P87" s="13"/>
      <c r="Q87" s="13"/>
      <c r="R87" s="13"/>
      <c r="S87" s="13"/>
      <c r="T87" s="13"/>
      <c r="U87" s="28"/>
      <c r="V87" s="28"/>
      <c r="W87" s="29"/>
      <c r="X87" s="28"/>
      <c r="Y87" s="28"/>
      <c r="Z87" s="13"/>
      <c r="AA87" s="13"/>
      <c r="AB87" s="13"/>
      <c r="AC87" s="13"/>
      <c r="AD87" s="13"/>
      <c r="AE87" s="13"/>
      <c r="AF87" s="12"/>
      <c r="AG87" s="12"/>
      <c r="AH87" s="12"/>
      <c r="AI87" s="12"/>
      <c r="AJ87" s="12"/>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row>
    <row r="88" spans="1:83" x14ac:dyDescent="0.3">
      <c r="A88" s="13"/>
      <c r="B88" s="15"/>
      <c r="C88" s="13"/>
      <c r="D88" s="13"/>
      <c r="E88" s="13"/>
      <c r="F88" s="13"/>
      <c r="G88" s="13"/>
      <c r="H88" s="13"/>
      <c r="I88" s="13"/>
      <c r="J88" s="15"/>
      <c r="K88" s="13"/>
      <c r="L88" s="13"/>
      <c r="M88" s="12"/>
      <c r="N88" s="13"/>
      <c r="O88" s="13"/>
      <c r="P88" s="13"/>
      <c r="Q88" s="13"/>
      <c r="R88" s="13"/>
      <c r="S88" s="13"/>
      <c r="T88" s="13"/>
      <c r="U88" s="28"/>
      <c r="V88" s="28"/>
      <c r="W88" s="29"/>
      <c r="X88" s="28"/>
      <c r="Y88" s="28"/>
      <c r="Z88" s="13"/>
      <c r="AA88" s="13"/>
      <c r="AB88" s="13"/>
      <c r="AC88" s="13"/>
      <c r="AD88" s="13"/>
      <c r="AE88" s="13"/>
      <c r="AF88" s="12"/>
      <c r="AG88" s="12"/>
      <c r="AH88" s="12"/>
      <c r="AI88" s="12"/>
      <c r="AJ88" s="12"/>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c r="BZ88" s="13"/>
      <c r="CA88" s="13"/>
      <c r="CB88" s="13"/>
      <c r="CC88" s="13"/>
      <c r="CD88" s="13"/>
      <c r="CE88" s="13"/>
    </row>
    <row r="89" spans="1:83" x14ac:dyDescent="0.3">
      <c r="A89" s="13"/>
      <c r="B89" s="15"/>
      <c r="C89" s="13"/>
      <c r="D89" s="13"/>
      <c r="E89" s="13"/>
      <c r="F89" s="13"/>
      <c r="G89" s="13"/>
      <c r="H89" s="13"/>
      <c r="I89" s="13"/>
      <c r="J89" s="15"/>
      <c r="K89" s="13"/>
      <c r="L89" s="13"/>
      <c r="M89" s="12"/>
      <c r="N89" s="13"/>
      <c r="O89" s="13"/>
      <c r="P89" s="13"/>
      <c r="Q89" s="13"/>
      <c r="R89" s="13"/>
      <c r="S89" s="13"/>
      <c r="T89" s="13"/>
      <c r="U89" s="28"/>
      <c r="V89" s="28"/>
      <c r="W89" s="29"/>
      <c r="X89" s="28"/>
      <c r="Y89" s="28"/>
      <c r="Z89" s="13"/>
      <c r="AA89" s="13"/>
      <c r="AB89" s="13"/>
      <c r="AC89" s="13"/>
      <c r="AD89" s="13"/>
      <c r="AE89" s="13"/>
      <c r="AF89" s="12"/>
      <c r="AG89" s="12"/>
      <c r="AH89" s="12"/>
      <c r="AI89" s="12"/>
      <c r="AJ89" s="12"/>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row>
    <row r="90" spans="1:83" x14ac:dyDescent="0.3">
      <c r="A90" s="13"/>
      <c r="B90" s="15"/>
      <c r="C90" s="13"/>
      <c r="D90" s="13"/>
      <c r="E90" s="13"/>
      <c r="F90" s="13"/>
      <c r="G90" s="13"/>
      <c r="H90" s="13"/>
      <c r="I90" s="13"/>
      <c r="J90" s="15"/>
      <c r="K90" s="13"/>
      <c r="L90" s="13"/>
      <c r="M90" s="12"/>
      <c r="N90" s="13"/>
      <c r="O90" s="13"/>
      <c r="P90" s="13"/>
      <c r="Q90" s="13"/>
      <c r="R90" s="13"/>
      <c r="S90" s="13"/>
      <c r="T90" s="13"/>
      <c r="U90" s="28"/>
      <c r="V90" s="28"/>
      <c r="W90" s="29"/>
      <c r="X90" s="28"/>
      <c r="Y90" s="28"/>
      <c r="Z90" s="13"/>
      <c r="AA90" s="13"/>
      <c r="AB90" s="13"/>
      <c r="AC90" s="13"/>
      <c r="AD90" s="13"/>
      <c r="AE90" s="13"/>
      <c r="AF90" s="12"/>
      <c r="AG90" s="12"/>
      <c r="AH90" s="12"/>
      <c r="AI90" s="12"/>
      <c r="AJ90" s="12"/>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row>
    <row r="91" spans="1:83" x14ac:dyDescent="0.3">
      <c r="A91" s="13"/>
      <c r="B91" s="15"/>
      <c r="C91" s="13"/>
      <c r="D91" s="13"/>
      <c r="E91" s="13"/>
      <c r="F91" s="13"/>
      <c r="G91" s="13"/>
      <c r="H91" s="13"/>
      <c r="I91" s="13"/>
      <c r="J91" s="15"/>
      <c r="K91" s="13"/>
      <c r="L91" s="13"/>
      <c r="M91" s="12"/>
      <c r="N91" s="13"/>
      <c r="O91" s="13"/>
      <c r="P91" s="13"/>
      <c r="Q91" s="13"/>
      <c r="R91" s="13"/>
      <c r="S91" s="13"/>
      <c r="T91" s="13"/>
      <c r="U91" s="28"/>
      <c r="V91" s="28"/>
      <c r="W91" s="29"/>
      <c r="X91" s="28"/>
      <c r="Y91" s="28"/>
      <c r="Z91" s="13"/>
      <c r="AA91" s="13"/>
      <c r="AB91" s="13"/>
      <c r="AC91" s="13"/>
      <c r="AD91" s="13"/>
      <c r="AE91" s="13"/>
      <c r="AF91" s="12"/>
      <c r="AG91" s="12"/>
      <c r="AH91" s="12"/>
      <c r="AI91" s="12"/>
      <c r="AJ91" s="12"/>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row>
    <row r="92" spans="1:83" x14ac:dyDescent="0.3">
      <c r="A92" s="13"/>
      <c r="B92" s="15"/>
      <c r="C92" s="13"/>
      <c r="D92" s="13"/>
      <c r="E92" s="13"/>
      <c r="F92" s="13"/>
      <c r="G92" s="13"/>
      <c r="H92" s="13"/>
      <c r="I92" s="13"/>
      <c r="J92" s="15"/>
      <c r="K92" s="13"/>
      <c r="L92" s="13"/>
      <c r="M92" s="12"/>
      <c r="N92" s="13"/>
      <c r="O92" s="13"/>
      <c r="P92" s="13"/>
      <c r="Q92" s="13"/>
      <c r="R92" s="13"/>
      <c r="S92" s="13"/>
      <c r="T92" s="13"/>
      <c r="U92" s="28"/>
      <c r="V92" s="28"/>
      <c r="W92" s="29"/>
      <c r="X92" s="28"/>
      <c r="Y92" s="28"/>
      <c r="Z92" s="13"/>
      <c r="AA92" s="13"/>
      <c r="AB92" s="13"/>
      <c r="AC92" s="13"/>
      <c r="AD92" s="13"/>
      <c r="AE92" s="13"/>
      <c r="AF92" s="12"/>
      <c r="AG92" s="12"/>
      <c r="AH92" s="12"/>
      <c r="AI92" s="12"/>
      <c r="AJ92" s="12"/>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row>
    <row r="93" spans="1:83" x14ac:dyDescent="0.3">
      <c r="A93" s="13"/>
      <c r="B93" s="15"/>
      <c r="C93" s="13"/>
      <c r="D93" s="13"/>
      <c r="E93" s="13"/>
      <c r="F93" s="13"/>
      <c r="G93" s="13"/>
      <c r="H93" s="13"/>
      <c r="I93" s="13"/>
      <c r="J93" s="15"/>
      <c r="K93" s="13"/>
      <c r="L93" s="13"/>
      <c r="M93" s="12"/>
      <c r="N93" s="13"/>
      <c r="O93" s="13"/>
      <c r="P93" s="13"/>
      <c r="Q93" s="13"/>
      <c r="R93" s="13"/>
      <c r="S93" s="13"/>
      <c r="T93" s="13"/>
      <c r="U93" s="28"/>
      <c r="V93" s="28"/>
      <c r="W93" s="29"/>
      <c r="X93" s="28"/>
      <c r="Y93" s="28"/>
      <c r="Z93" s="13"/>
      <c r="AA93" s="13"/>
      <c r="AB93" s="13"/>
      <c r="AC93" s="13"/>
      <c r="AD93" s="13"/>
      <c r="AE93" s="13"/>
      <c r="AF93" s="12"/>
      <c r="AG93" s="12"/>
      <c r="AH93" s="12"/>
      <c r="AI93" s="12"/>
      <c r="AJ93" s="12"/>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row>
    <row r="94" spans="1:83" x14ac:dyDescent="0.3">
      <c r="A94" s="13"/>
      <c r="B94" s="15"/>
      <c r="C94" s="13"/>
      <c r="D94" s="13"/>
      <c r="E94" s="13"/>
      <c r="F94" s="13"/>
      <c r="G94" s="13"/>
      <c r="H94" s="13"/>
      <c r="I94" s="13"/>
      <c r="J94" s="15"/>
      <c r="K94" s="13"/>
      <c r="L94" s="13"/>
      <c r="M94" s="12"/>
      <c r="N94" s="13"/>
      <c r="O94" s="13"/>
      <c r="P94" s="13"/>
      <c r="Q94" s="13"/>
      <c r="R94" s="13"/>
      <c r="S94" s="13"/>
      <c r="T94" s="13"/>
      <c r="U94" s="28"/>
      <c r="V94" s="28"/>
      <c r="W94" s="29"/>
      <c r="X94" s="28"/>
      <c r="Y94" s="28"/>
      <c r="Z94" s="13"/>
      <c r="AA94" s="13"/>
      <c r="AB94" s="13"/>
      <c r="AC94" s="13"/>
      <c r="AD94" s="13"/>
      <c r="AE94" s="13"/>
      <c r="AF94" s="12"/>
      <c r="AG94" s="12"/>
      <c r="AH94" s="12"/>
      <c r="AI94" s="12"/>
      <c r="AJ94" s="12"/>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row>
    <row r="95" spans="1:83" x14ac:dyDescent="0.3">
      <c r="A95" s="13"/>
      <c r="B95" s="15"/>
      <c r="C95" s="13"/>
      <c r="D95" s="13"/>
      <c r="E95" s="13"/>
      <c r="F95" s="13"/>
      <c r="G95" s="13"/>
      <c r="H95" s="13"/>
      <c r="I95" s="13"/>
      <c r="J95" s="15"/>
      <c r="K95" s="13"/>
      <c r="L95" s="13"/>
      <c r="M95" s="12"/>
      <c r="N95" s="13"/>
      <c r="O95" s="13"/>
      <c r="P95" s="13"/>
      <c r="Q95" s="13"/>
      <c r="R95" s="13"/>
      <c r="S95" s="13"/>
      <c r="T95" s="13"/>
      <c r="U95" s="28"/>
      <c r="V95" s="28"/>
      <c r="W95" s="29"/>
      <c r="X95" s="28"/>
      <c r="Y95" s="28"/>
      <c r="Z95" s="13"/>
      <c r="AA95" s="13"/>
      <c r="AB95" s="13"/>
      <c r="AC95" s="13"/>
      <c r="AD95" s="13"/>
      <c r="AE95" s="13"/>
      <c r="AF95" s="12"/>
      <c r="AG95" s="12"/>
      <c r="AH95" s="12"/>
      <c r="AI95" s="12"/>
      <c r="AJ95" s="12"/>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c r="BZ95" s="13"/>
      <c r="CA95" s="13"/>
      <c r="CB95" s="13"/>
      <c r="CC95" s="13"/>
      <c r="CD95" s="13"/>
      <c r="CE95" s="13"/>
    </row>
    <row r="96" spans="1:83" x14ac:dyDescent="0.3">
      <c r="A96" s="13"/>
      <c r="B96" s="15"/>
      <c r="C96" s="13"/>
      <c r="D96" s="13"/>
      <c r="E96" s="13"/>
      <c r="F96" s="13"/>
      <c r="G96" s="13"/>
      <c r="H96" s="13"/>
      <c r="I96" s="13"/>
      <c r="J96" s="15"/>
      <c r="K96" s="13"/>
      <c r="L96" s="13"/>
      <c r="M96" s="12"/>
      <c r="N96" s="13"/>
      <c r="O96" s="13"/>
      <c r="P96" s="13"/>
      <c r="Q96" s="13"/>
      <c r="R96" s="13"/>
      <c r="S96" s="13"/>
      <c r="T96" s="13"/>
      <c r="U96" s="28"/>
      <c r="V96" s="28"/>
      <c r="W96" s="29"/>
      <c r="X96" s="28"/>
      <c r="Y96" s="28"/>
      <c r="Z96" s="13"/>
      <c r="AA96" s="13"/>
      <c r="AB96" s="13"/>
      <c r="AC96" s="13"/>
      <c r="AD96" s="13"/>
      <c r="AE96" s="13"/>
      <c r="AF96" s="12"/>
      <c r="AG96" s="12"/>
      <c r="AH96" s="12"/>
      <c r="AI96" s="12"/>
      <c r="AJ96" s="12"/>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c r="BZ96" s="13"/>
      <c r="CA96" s="13"/>
      <c r="CB96" s="13"/>
      <c r="CC96" s="13"/>
      <c r="CD96" s="13"/>
      <c r="CE96" s="13"/>
    </row>
    <row r="97" spans="1:83" x14ac:dyDescent="0.3">
      <c r="A97" s="13"/>
      <c r="B97" s="15"/>
      <c r="C97" s="13"/>
      <c r="D97" s="13"/>
      <c r="E97" s="13"/>
      <c r="F97" s="13"/>
      <c r="G97" s="13"/>
      <c r="H97" s="13"/>
      <c r="I97" s="13"/>
      <c r="J97" s="15"/>
      <c r="K97" s="13"/>
      <c r="L97" s="13"/>
      <c r="M97" s="12"/>
      <c r="N97" s="13"/>
      <c r="O97" s="13"/>
      <c r="P97" s="13"/>
      <c r="Q97" s="13"/>
      <c r="R97" s="13"/>
      <c r="S97" s="13"/>
      <c r="T97" s="13"/>
      <c r="U97" s="28"/>
      <c r="V97" s="28"/>
      <c r="W97" s="29"/>
      <c r="X97" s="28"/>
      <c r="Y97" s="28"/>
      <c r="Z97" s="13"/>
      <c r="AA97" s="13"/>
      <c r="AB97" s="13"/>
      <c r="AC97" s="13"/>
      <c r="AD97" s="13"/>
      <c r="AE97" s="13"/>
      <c r="AF97" s="12"/>
      <c r="AG97" s="12"/>
      <c r="AH97" s="12"/>
      <c r="AI97" s="12"/>
      <c r="AJ97" s="12"/>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c r="BZ97" s="13"/>
      <c r="CA97" s="13"/>
      <c r="CB97" s="13"/>
      <c r="CC97" s="13"/>
      <c r="CD97" s="13"/>
      <c r="CE97" s="13"/>
    </row>
    <row r="98" spans="1:83" x14ac:dyDescent="0.3">
      <c r="A98" s="13"/>
      <c r="B98" s="15"/>
      <c r="C98" s="13"/>
      <c r="D98" s="13"/>
      <c r="E98" s="13"/>
      <c r="F98" s="13"/>
      <c r="G98" s="13"/>
      <c r="H98" s="13"/>
      <c r="I98" s="13"/>
      <c r="J98" s="15"/>
      <c r="K98" s="13"/>
      <c r="L98" s="13"/>
      <c r="M98" s="12"/>
      <c r="N98" s="13"/>
      <c r="O98" s="13"/>
      <c r="P98" s="13"/>
      <c r="Q98" s="13"/>
      <c r="R98" s="13"/>
      <c r="S98" s="13"/>
      <c r="T98" s="13"/>
      <c r="U98" s="28"/>
      <c r="V98" s="28"/>
      <c r="W98" s="29"/>
      <c r="X98" s="28"/>
      <c r="Y98" s="28"/>
      <c r="Z98" s="13"/>
      <c r="AA98" s="13"/>
      <c r="AB98" s="13"/>
      <c r="AC98" s="13"/>
      <c r="AD98" s="13"/>
      <c r="AE98" s="13"/>
      <c r="AF98" s="12"/>
      <c r="AG98" s="12"/>
      <c r="AH98" s="12"/>
      <c r="AI98" s="12"/>
      <c r="AJ98" s="12"/>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c r="BZ98" s="13"/>
      <c r="CA98" s="13"/>
      <c r="CB98" s="13"/>
      <c r="CC98" s="13"/>
      <c r="CD98" s="13"/>
      <c r="CE98" s="13"/>
    </row>
    <row r="99" spans="1:83" x14ac:dyDescent="0.3">
      <c r="A99" s="13"/>
      <c r="B99" s="15"/>
      <c r="C99" s="13"/>
      <c r="D99" s="13"/>
      <c r="E99" s="13"/>
      <c r="F99" s="13"/>
      <c r="G99" s="13"/>
      <c r="H99" s="13"/>
      <c r="I99" s="13"/>
      <c r="J99" s="15"/>
      <c r="K99" s="13"/>
      <c r="L99" s="13"/>
      <c r="M99" s="12"/>
      <c r="N99" s="13"/>
      <c r="O99" s="13"/>
      <c r="P99" s="13"/>
      <c r="Q99" s="13"/>
      <c r="R99" s="13"/>
      <c r="S99" s="13"/>
      <c r="T99" s="13"/>
      <c r="U99" s="28"/>
      <c r="V99" s="28"/>
      <c r="W99" s="29"/>
      <c r="X99" s="28"/>
      <c r="Y99" s="28"/>
      <c r="Z99" s="13"/>
      <c r="AA99" s="13"/>
      <c r="AB99" s="13"/>
      <c r="AC99" s="13"/>
      <c r="AD99" s="13"/>
      <c r="AE99" s="13"/>
      <c r="AF99" s="12"/>
      <c r="AG99" s="12"/>
      <c r="AH99" s="12"/>
      <c r="AI99" s="12"/>
      <c r="AJ99" s="12"/>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c r="BZ99" s="13"/>
      <c r="CA99" s="13"/>
      <c r="CB99" s="13"/>
      <c r="CC99" s="13"/>
      <c r="CD99" s="13"/>
      <c r="CE99" s="13"/>
    </row>
    <row r="100" spans="1:83" x14ac:dyDescent="0.3">
      <c r="A100" s="13"/>
      <c r="B100" s="15"/>
      <c r="C100" s="13"/>
      <c r="D100" s="13"/>
      <c r="E100" s="13"/>
      <c r="F100" s="13"/>
      <c r="G100" s="13"/>
      <c r="H100" s="13"/>
      <c r="I100" s="13"/>
      <c r="J100" s="15"/>
      <c r="K100" s="13"/>
      <c r="L100" s="13"/>
      <c r="M100" s="12"/>
      <c r="N100" s="13"/>
      <c r="O100" s="13"/>
      <c r="P100" s="13"/>
      <c r="Q100" s="13"/>
      <c r="R100" s="13"/>
      <c r="S100" s="13"/>
      <c r="T100" s="13"/>
      <c r="U100" s="28"/>
      <c r="V100" s="28"/>
      <c r="W100" s="29"/>
      <c r="X100" s="28"/>
      <c r="Y100" s="28"/>
      <c r="Z100" s="13"/>
      <c r="AA100" s="13"/>
      <c r="AB100" s="13"/>
      <c r="AC100" s="13"/>
      <c r="AD100" s="13"/>
      <c r="AE100" s="13"/>
      <c r="AF100" s="12"/>
      <c r="AG100" s="12"/>
      <c r="AH100" s="12"/>
      <c r="AI100" s="12"/>
      <c r="AJ100" s="12"/>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c r="BZ100" s="13"/>
      <c r="CA100" s="13"/>
      <c r="CB100" s="13"/>
      <c r="CC100" s="13"/>
      <c r="CD100" s="13"/>
      <c r="CE100" s="13"/>
    </row>
    <row r="101" spans="1:83" x14ac:dyDescent="0.3">
      <c r="A101" s="13"/>
      <c r="B101" s="15"/>
      <c r="C101" s="13"/>
      <c r="D101" s="13"/>
      <c r="E101" s="13"/>
      <c r="F101" s="13"/>
      <c r="G101" s="13"/>
      <c r="H101" s="13"/>
      <c r="I101" s="13"/>
      <c r="J101" s="15"/>
      <c r="K101" s="13"/>
      <c r="L101" s="13"/>
      <c r="M101" s="12"/>
      <c r="N101" s="13"/>
      <c r="O101" s="13"/>
      <c r="P101" s="13"/>
      <c r="Q101" s="13"/>
      <c r="R101" s="13"/>
      <c r="S101" s="13"/>
      <c r="T101" s="13"/>
      <c r="U101" s="28"/>
      <c r="V101" s="28"/>
      <c r="W101" s="29"/>
      <c r="X101" s="28"/>
      <c r="Y101" s="28"/>
      <c r="Z101" s="13"/>
      <c r="AA101" s="13"/>
      <c r="AB101" s="13"/>
      <c r="AC101" s="13"/>
      <c r="AD101" s="13"/>
      <c r="AE101" s="13"/>
      <c r="AF101" s="12"/>
      <c r="AG101" s="12"/>
      <c r="AH101" s="12"/>
      <c r="AI101" s="12"/>
      <c r="AJ101" s="12"/>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13"/>
      <c r="BX101" s="13"/>
      <c r="BY101" s="13"/>
      <c r="BZ101" s="13"/>
      <c r="CA101" s="13"/>
      <c r="CB101" s="13"/>
      <c r="CC101" s="13"/>
      <c r="CD101" s="13"/>
      <c r="CE101" s="13"/>
    </row>
    <row r="102" spans="1:83" x14ac:dyDescent="0.3">
      <c r="A102" s="13"/>
      <c r="B102" s="15"/>
      <c r="C102" s="13"/>
      <c r="D102" s="13"/>
      <c r="E102" s="13"/>
      <c r="F102" s="13"/>
      <c r="G102" s="13"/>
      <c r="H102" s="13"/>
      <c r="I102" s="13"/>
      <c r="J102" s="15"/>
      <c r="K102" s="13"/>
      <c r="L102" s="13"/>
      <c r="M102" s="12"/>
      <c r="N102" s="13"/>
      <c r="O102" s="13"/>
      <c r="P102" s="13"/>
      <c r="Q102" s="13"/>
      <c r="R102" s="13"/>
      <c r="S102" s="13"/>
      <c r="T102" s="13"/>
      <c r="U102" s="28"/>
      <c r="V102" s="28"/>
      <c r="W102" s="29"/>
      <c r="X102" s="28"/>
      <c r="Y102" s="28"/>
      <c r="Z102" s="13"/>
      <c r="AA102" s="13"/>
      <c r="AB102" s="13"/>
      <c r="AC102" s="13"/>
      <c r="AD102" s="13"/>
      <c r="AE102" s="13"/>
      <c r="AF102" s="12"/>
      <c r="AG102" s="12"/>
      <c r="AH102" s="12"/>
      <c r="AI102" s="12"/>
      <c r="AJ102" s="12"/>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13"/>
      <c r="BX102" s="13"/>
      <c r="BY102" s="13"/>
      <c r="BZ102" s="13"/>
      <c r="CA102" s="13"/>
      <c r="CB102" s="13"/>
      <c r="CC102" s="13"/>
      <c r="CD102" s="13"/>
      <c r="CE102" s="13"/>
    </row>
    <row r="103" spans="1:83" x14ac:dyDescent="0.3">
      <c r="A103" s="13"/>
      <c r="B103" s="15"/>
      <c r="C103" s="13"/>
      <c r="D103" s="13"/>
      <c r="E103" s="13"/>
      <c r="F103" s="13"/>
      <c r="G103" s="13"/>
      <c r="H103" s="13"/>
      <c r="I103" s="13"/>
      <c r="J103" s="15"/>
      <c r="K103" s="13"/>
      <c r="L103" s="13"/>
      <c r="M103" s="12"/>
      <c r="N103" s="13"/>
      <c r="O103" s="13"/>
      <c r="P103" s="13"/>
      <c r="Q103" s="13"/>
      <c r="R103" s="13"/>
      <c r="S103" s="13"/>
      <c r="T103" s="13"/>
      <c r="U103" s="28"/>
      <c r="V103" s="28"/>
      <c r="W103" s="29"/>
      <c r="X103" s="28"/>
      <c r="Y103" s="28"/>
      <c r="Z103" s="13"/>
      <c r="AA103" s="13"/>
      <c r="AB103" s="13"/>
      <c r="AC103" s="13"/>
      <c r="AD103" s="13"/>
      <c r="AE103" s="13"/>
      <c r="AF103" s="12"/>
      <c r="AG103" s="12"/>
      <c r="AH103" s="12"/>
      <c r="AI103" s="12"/>
      <c r="AJ103" s="12"/>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13"/>
      <c r="BX103" s="13"/>
      <c r="BY103" s="13"/>
      <c r="BZ103" s="13"/>
      <c r="CA103" s="13"/>
      <c r="CB103" s="13"/>
      <c r="CC103" s="13"/>
      <c r="CD103" s="13"/>
      <c r="CE103" s="13"/>
    </row>
    <row r="104" spans="1:83" x14ac:dyDescent="0.3">
      <c r="A104" s="13"/>
      <c r="B104" s="15"/>
      <c r="C104" s="13"/>
      <c r="D104" s="13"/>
      <c r="E104" s="13"/>
      <c r="F104" s="13"/>
      <c r="G104" s="13"/>
      <c r="H104" s="13"/>
      <c r="I104" s="13"/>
      <c r="J104" s="15"/>
      <c r="K104" s="13"/>
      <c r="L104" s="13"/>
      <c r="M104" s="12"/>
      <c r="N104" s="13"/>
      <c r="O104" s="13"/>
      <c r="P104" s="13"/>
      <c r="Q104" s="13"/>
      <c r="R104" s="13"/>
      <c r="S104" s="13"/>
      <c r="T104" s="13"/>
      <c r="U104" s="28"/>
      <c r="V104" s="28"/>
      <c r="W104" s="29"/>
      <c r="X104" s="28"/>
      <c r="Y104" s="28"/>
      <c r="Z104" s="13"/>
      <c r="AA104" s="13"/>
      <c r="AB104" s="13"/>
      <c r="AC104" s="13"/>
      <c r="AD104" s="13"/>
      <c r="AE104" s="13"/>
      <c r="AF104" s="12"/>
      <c r="AG104" s="12"/>
      <c r="AH104" s="12"/>
      <c r="AI104" s="12"/>
      <c r="AJ104" s="12"/>
      <c r="AK104" s="13"/>
      <c r="AL104" s="13"/>
      <c r="AM104" s="13"/>
      <c r="AN104" s="13"/>
      <c r="AO104" s="13"/>
      <c r="AP104" s="13"/>
      <c r="AQ104" s="13"/>
      <c r="AR104" s="13"/>
      <c r="AS104" s="13"/>
      <c r="AT104" s="13"/>
      <c r="AU104" s="13"/>
      <c r="AV104" s="13"/>
      <c r="AW104" s="13"/>
      <c r="AX104" s="13"/>
      <c r="AY104" s="13"/>
      <c r="AZ104" s="13"/>
      <c r="BA104" s="13"/>
      <c r="BB104" s="13"/>
      <c r="BC104" s="13"/>
      <c r="BD104" s="13"/>
      <c r="BE104" s="13"/>
      <c r="BF104" s="13"/>
      <c r="BG104" s="13"/>
      <c r="BH104" s="13"/>
      <c r="BI104" s="13"/>
      <c r="BJ104" s="13"/>
      <c r="BK104" s="13"/>
      <c r="BL104" s="13"/>
      <c r="BM104" s="13"/>
      <c r="BN104" s="13"/>
      <c r="BO104" s="13"/>
      <c r="BP104" s="13"/>
      <c r="BQ104" s="13"/>
      <c r="BR104" s="13"/>
      <c r="BS104" s="13"/>
      <c r="BT104" s="13"/>
      <c r="BU104" s="13"/>
      <c r="BV104" s="13"/>
      <c r="BW104" s="13"/>
      <c r="BX104" s="13"/>
      <c r="BY104" s="13"/>
      <c r="BZ104" s="13"/>
      <c r="CA104" s="13"/>
      <c r="CB104" s="13"/>
      <c r="CC104" s="13"/>
      <c r="CD104" s="13"/>
      <c r="CE104" s="13"/>
    </row>
    <row r="105" spans="1:83" x14ac:dyDescent="0.3">
      <c r="A105" s="13"/>
      <c r="B105" s="15"/>
      <c r="C105" s="13"/>
      <c r="D105" s="13"/>
      <c r="E105" s="13"/>
      <c r="F105" s="13"/>
      <c r="G105" s="13"/>
      <c r="H105" s="13"/>
      <c r="I105" s="13"/>
      <c r="J105" s="15"/>
      <c r="K105" s="13"/>
      <c r="L105" s="13"/>
      <c r="M105" s="12"/>
      <c r="N105" s="13"/>
      <c r="O105" s="13"/>
      <c r="P105" s="13"/>
      <c r="Q105" s="13"/>
      <c r="R105" s="13"/>
      <c r="S105" s="13"/>
      <c r="T105" s="13"/>
      <c r="U105" s="28"/>
      <c r="V105" s="28"/>
      <c r="W105" s="29"/>
      <c r="X105" s="28"/>
      <c r="Y105" s="28"/>
      <c r="Z105" s="13"/>
      <c r="AA105" s="13"/>
      <c r="AB105" s="13"/>
      <c r="AC105" s="13"/>
      <c r="AD105" s="13"/>
      <c r="AE105" s="13"/>
      <c r="AF105" s="12"/>
      <c r="AG105" s="12"/>
      <c r="AH105" s="12"/>
      <c r="AI105" s="12"/>
      <c r="AJ105" s="12"/>
      <c r="AK105" s="13"/>
      <c r="AL105" s="13"/>
      <c r="AM105" s="13"/>
      <c r="AN105" s="13"/>
      <c r="AO105" s="13"/>
      <c r="AP105" s="13"/>
      <c r="AQ105" s="13"/>
      <c r="AR105" s="13"/>
      <c r="AS105" s="13"/>
      <c r="AT105" s="13"/>
      <c r="AU105" s="13"/>
      <c r="AV105" s="13"/>
      <c r="AW105" s="13"/>
      <c r="AX105" s="13"/>
      <c r="AY105" s="13"/>
      <c r="AZ105" s="13"/>
      <c r="BA105" s="13"/>
      <c r="BB105" s="13"/>
      <c r="BC105" s="13"/>
      <c r="BD105" s="13"/>
      <c r="BE105" s="13"/>
      <c r="BF105" s="13"/>
      <c r="BG105" s="13"/>
      <c r="BH105" s="13"/>
      <c r="BI105" s="13"/>
      <c r="BJ105" s="13"/>
      <c r="BK105" s="13"/>
      <c r="BL105" s="13"/>
      <c r="BM105" s="13"/>
      <c r="BN105" s="13"/>
      <c r="BO105" s="13"/>
      <c r="BP105" s="13"/>
      <c r="BQ105" s="13"/>
      <c r="BR105" s="13"/>
      <c r="BS105" s="13"/>
      <c r="BT105" s="13"/>
      <c r="BU105" s="13"/>
      <c r="BV105" s="13"/>
      <c r="BW105" s="13"/>
      <c r="BX105" s="13"/>
      <c r="BY105" s="13"/>
      <c r="BZ105" s="13"/>
      <c r="CA105" s="13"/>
      <c r="CB105" s="13"/>
      <c r="CC105" s="13"/>
      <c r="CD105" s="13"/>
      <c r="CE105" s="13"/>
    </row>
    <row r="106" spans="1:83" x14ac:dyDescent="0.3">
      <c r="A106" s="13"/>
      <c r="B106" s="15"/>
      <c r="C106" s="13"/>
      <c r="D106" s="13"/>
      <c r="E106" s="13"/>
      <c r="F106" s="13"/>
      <c r="G106" s="13"/>
      <c r="H106" s="13"/>
      <c r="I106" s="13"/>
      <c r="J106" s="15"/>
      <c r="K106" s="13"/>
      <c r="L106" s="13"/>
      <c r="M106" s="12"/>
      <c r="N106" s="13"/>
      <c r="O106" s="13"/>
      <c r="P106" s="13"/>
      <c r="Q106" s="13"/>
      <c r="R106" s="13"/>
      <c r="S106" s="13"/>
      <c r="T106" s="13"/>
      <c r="U106" s="28"/>
      <c r="V106" s="28"/>
      <c r="W106" s="29"/>
      <c r="X106" s="28"/>
      <c r="Y106" s="28"/>
      <c r="Z106" s="13"/>
      <c r="AA106" s="13"/>
      <c r="AB106" s="13"/>
      <c r="AC106" s="13"/>
      <c r="AD106" s="13"/>
      <c r="AE106" s="13"/>
      <c r="AF106" s="12"/>
      <c r="AG106" s="12"/>
      <c r="AH106" s="12"/>
      <c r="AI106" s="12"/>
      <c r="AJ106" s="12"/>
      <c r="AK106" s="13"/>
      <c r="AL106" s="13"/>
      <c r="AM106" s="13"/>
      <c r="AN106" s="13"/>
      <c r="AO106" s="13"/>
      <c r="AP106" s="13"/>
      <c r="AQ106" s="13"/>
      <c r="AR106" s="13"/>
      <c r="AS106" s="13"/>
      <c r="AT106" s="13"/>
      <c r="AU106" s="13"/>
      <c r="AV106" s="13"/>
      <c r="AW106" s="13"/>
      <c r="AX106" s="13"/>
      <c r="AY106" s="13"/>
      <c r="AZ106" s="13"/>
      <c r="BA106" s="13"/>
      <c r="BB106" s="13"/>
      <c r="BC106" s="13"/>
      <c r="BD106" s="13"/>
      <c r="BE106" s="13"/>
      <c r="BF106" s="13"/>
      <c r="BG106" s="13"/>
      <c r="BH106" s="13"/>
      <c r="BI106" s="13"/>
      <c r="BJ106" s="13"/>
      <c r="BK106" s="13"/>
      <c r="BL106" s="13"/>
      <c r="BM106" s="13"/>
      <c r="BN106" s="13"/>
      <c r="BO106" s="13"/>
      <c r="BP106" s="13"/>
      <c r="BQ106" s="13"/>
      <c r="BR106" s="13"/>
      <c r="BS106" s="13"/>
      <c r="BT106" s="13"/>
      <c r="BU106" s="13"/>
      <c r="BV106" s="13"/>
      <c r="BW106" s="13"/>
      <c r="BX106" s="13"/>
      <c r="BY106" s="13"/>
      <c r="BZ106" s="13"/>
      <c r="CA106" s="13"/>
      <c r="CB106" s="13"/>
      <c r="CC106" s="13"/>
      <c r="CD106" s="13"/>
      <c r="CE106" s="13"/>
    </row>
    <row r="107" spans="1:83" x14ac:dyDescent="0.3">
      <c r="A107" s="13"/>
      <c r="B107" s="15"/>
      <c r="C107" s="13"/>
      <c r="D107" s="13"/>
      <c r="E107" s="13"/>
      <c r="F107" s="13"/>
      <c r="G107" s="13"/>
      <c r="H107" s="13"/>
      <c r="I107" s="13"/>
      <c r="J107" s="15"/>
      <c r="K107" s="13"/>
      <c r="L107" s="13"/>
      <c r="M107" s="12"/>
      <c r="N107" s="13"/>
      <c r="O107" s="13"/>
      <c r="P107" s="13"/>
      <c r="Q107" s="13"/>
      <c r="R107" s="13"/>
      <c r="S107" s="13"/>
      <c r="T107" s="13"/>
      <c r="U107" s="28"/>
      <c r="V107" s="28"/>
      <c r="W107" s="29"/>
      <c r="X107" s="28"/>
      <c r="Y107" s="28"/>
      <c r="Z107" s="13"/>
      <c r="AA107" s="13"/>
      <c r="AB107" s="13"/>
      <c r="AC107" s="13"/>
      <c r="AD107" s="13"/>
      <c r="AE107" s="13"/>
      <c r="AF107" s="12"/>
      <c r="AG107" s="12"/>
      <c r="AH107" s="12"/>
      <c r="AI107" s="12"/>
      <c r="AJ107" s="12"/>
      <c r="AK107" s="13"/>
      <c r="AL107" s="13"/>
      <c r="AM107" s="13"/>
      <c r="AN107" s="13"/>
      <c r="AO107" s="13"/>
      <c r="AP107" s="13"/>
      <c r="AQ107" s="13"/>
      <c r="AR107" s="13"/>
      <c r="AS107" s="13"/>
      <c r="AT107" s="13"/>
      <c r="AU107" s="13"/>
      <c r="AV107" s="13"/>
      <c r="AW107" s="13"/>
      <c r="AX107" s="13"/>
      <c r="AY107" s="13"/>
      <c r="AZ107" s="13"/>
      <c r="BA107" s="13"/>
      <c r="BB107" s="13"/>
      <c r="BC107" s="13"/>
      <c r="BD107" s="13"/>
      <c r="BE107" s="13"/>
      <c r="BF107" s="13"/>
      <c r="BG107" s="13"/>
      <c r="BH107" s="13"/>
      <c r="BI107" s="13"/>
      <c r="BJ107" s="13"/>
      <c r="BK107" s="13"/>
      <c r="BL107" s="13"/>
      <c r="BM107" s="13"/>
      <c r="BN107" s="13"/>
      <c r="BO107" s="13"/>
      <c r="BP107" s="13"/>
      <c r="BQ107" s="13"/>
      <c r="BR107" s="13"/>
      <c r="BS107" s="13"/>
      <c r="BT107" s="13"/>
      <c r="BU107" s="13"/>
      <c r="BV107" s="13"/>
      <c r="BW107" s="13"/>
      <c r="BX107" s="13"/>
      <c r="BY107" s="13"/>
      <c r="BZ107" s="13"/>
      <c r="CA107" s="13"/>
      <c r="CB107" s="13"/>
      <c r="CC107" s="13"/>
      <c r="CD107" s="13"/>
      <c r="CE107" s="13"/>
    </row>
    <row r="108" spans="1:83" x14ac:dyDescent="0.3">
      <c r="A108" s="13"/>
      <c r="B108" s="15"/>
      <c r="C108" s="13"/>
      <c r="D108" s="13"/>
      <c r="E108" s="13"/>
      <c r="F108" s="13"/>
      <c r="G108" s="13"/>
      <c r="H108" s="13"/>
      <c r="I108" s="13"/>
      <c r="J108" s="15"/>
      <c r="K108" s="13"/>
      <c r="L108" s="13"/>
      <c r="M108" s="12"/>
      <c r="N108" s="13"/>
      <c r="O108" s="13"/>
      <c r="P108" s="13"/>
      <c r="Q108" s="13"/>
      <c r="R108" s="13"/>
      <c r="S108" s="13"/>
      <c r="T108" s="13"/>
      <c r="U108" s="28"/>
      <c r="V108" s="28"/>
      <c r="W108" s="29"/>
      <c r="X108" s="28"/>
      <c r="Y108" s="28"/>
      <c r="Z108" s="13"/>
      <c r="AA108" s="13"/>
      <c r="AB108" s="13"/>
      <c r="AC108" s="13"/>
      <c r="AD108" s="13"/>
      <c r="AE108" s="13"/>
      <c r="AF108" s="12"/>
      <c r="AG108" s="12"/>
      <c r="AH108" s="12"/>
      <c r="AI108" s="12"/>
      <c r="AJ108" s="12"/>
      <c r="AK108" s="13"/>
      <c r="AL108" s="13"/>
      <c r="AM108" s="13"/>
      <c r="AN108" s="13"/>
      <c r="AO108" s="13"/>
      <c r="AP108" s="13"/>
      <c r="AQ108" s="13"/>
      <c r="AR108" s="13"/>
      <c r="AS108" s="13"/>
      <c r="AT108" s="13"/>
      <c r="AU108" s="13"/>
      <c r="AV108" s="13"/>
      <c r="AW108" s="13"/>
      <c r="AX108" s="13"/>
      <c r="AY108" s="13"/>
      <c r="AZ108" s="13"/>
      <c r="BA108" s="13"/>
      <c r="BB108" s="13"/>
      <c r="BC108" s="13"/>
      <c r="BD108" s="13"/>
      <c r="BE108" s="13"/>
      <c r="BF108" s="13"/>
      <c r="BG108" s="13"/>
      <c r="BH108" s="13"/>
      <c r="BI108" s="13"/>
      <c r="BJ108" s="13"/>
      <c r="BK108" s="13"/>
      <c r="BL108" s="13"/>
      <c r="BM108" s="13"/>
      <c r="BN108" s="13"/>
      <c r="BO108" s="13"/>
      <c r="BP108" s="13"/>
      <c r="BQ108" s="13"/>
      <c r="BR108" s="13"/>
      <c r="BS108" s="13"/>
      <c r="BT108" s="13"/>
      <c r="BU108" s="13"/>
      <c r="BV108" s="13"/>
      <c r="BW108" s="13"/>
      <c r="BX108" s="13"/>
      <c r="BY108" s="13"/>
      <c r="BZ108" s="13"/>
      <c r="CA108" s="13"/>
      <c r="CB108" s="13"/>
      <c r="CC108" s="13"/>
      <c r="CD108" s="13"/>
      <c r="CE108" s="13"/>
    </row>
    <row r="109" spans="1:83" x14ac:dyDescent="0.3">
      <c r="A109" s="13"/>
      <c r="B109" s="15"/>
      <c r="C109" s="13"/>
      <c r="D109" s="13"/>
      <c r="E109" s="13"/>
      <c r="F109" s="13"/>
      <c r="G109" s="13"/>
      <c r="H109" s="13"/>
      <c r="I109" s="13"/>
      <c r="J109" s="15"/>
      <c r="K109" s="13"/>
      <c r="L109" s="13"/>
      <c r="M109" s="12"/>
      <c r="N109" s="13"/>
      <c r="O109" s="13"/>
      <c r="P109" s="13"/>
      <c r="Q109" s="13"/>
      <c r="R109" s="13"/>
      <c r="S109" s="13"/>
      <c r="T109" s="13"/>
      <c r="U109" s="28"/>
      <c r="V109" s="28"/>
      <c r="W109" s="29"/>
      <c r="X109" s="28"/>
      <c r="Y109" s="28"/>
      <c r="Z109" s="13"/>
      <c r="AA109" s="13"/>
      <c r="AB109" s="13"/>
      <c r="AC109" s="13"/>
      <c r="AD109" s="13"/>
      <c r="AE109" s="13"/>
      <c r="AF109" s="12"/>
      <c r="AG109" s="12"/>
      <c r="AH109" s="12"/>
      <c r="AI109" s="12"/>
      <c r="AJ109" s="12"/>
      <c r="AK109" s="13"/>
      <c r="AL109" s="13"/>
      <c r="AM109" s="13"/>
      <c r="AN109" s="13"/>
      <c r="AO109" s="13"/>
      <c r="AP109" s="13"/>
      <c r="AQ109" s="13"/>
      <c r="AR109" s="13"/>
      <c r="AS109" s="13"/>
      <c r="AT109" s="13"/>
      <c r="AU109" s="13"/>
      <c r="AV109" s="13"/>
      <c r="AW109" s="13"/>
      <c r="AX109" s="13"/>
      <c r="AY109" s="13"/>
      <c r="AZ109" s="13"/>
      <c r="BA109" s="13"/>
      <c r="BB109" s="13"/>
      <c r="BC109" s="13"/>
      <c r="BD109" s="13"/>
      <c r="BE109" s="13"/>
      <c r="BF109" s="13"/>
      <c r="BG109" s="13"/>
      <c r="BH109" s="13"/>
      <c r="BI109" s="13"/>
      <c r="BJ109" s="13"/>
      <c r="BK109" s="13"/>
      <c r="BL109" s="13"/>
      <c r="BM109" s="13"/>
      <c r="BN109" s="13"/>
      <c r="BO109" s="13"/>
      <c r="BP109" s="13"/>
      <c r="BQ109" s="13"/>
      <c r="BR109" s="13"/>
      <c r="BS109" s="13"/>
      <c r="BT109" s="13"/>
      <c r="BU109" s="13"/>
      <c r="BV109" s="13"/>
      <c r="BW109" s="13"/>
      <c r="BX109" s="13"/>
      <c r="BY109" s="13"/>
      <c r="BZ109" s="13"/>
      <c r="CA109" s="13"/>
      <c r="CB109" s="13"/>
      <c r="CC109" s="13"/>
      <c r="CD109" s="13"/>
      <c r="CE109" s="13"/>
    </row>
    <row r="110" spans="1:83" x14ac:dyDescent="0.3">
      <c r="A110" s="13"/>
      <c r="B110" s="15"/>
      <c r="C110" s="13"/>
      <c r="D110" s="13"/>
      <c r="E110" s="13"/>
      <c r="F110" s="13"/>
      <c r="G110" s="13"/>
      <c r="H110" s="13"/>
      <c r="I110" s="13"/>
      <c r="J110" s="15"/>
      <c r="K110" s="13"/>
      <c r="L110" s="13"/>
      <c r="M110" s="12"/>
      <c r="N110" s="13"/>
      <c r="O110" s="13"/>
      <c r="P110" s="13"/>
      <c r="Q110" s="13"/>
      <c r="R110" s="13"/>
      <c r="S110" s="13"/>
      <c r="T110" s="13"/>
      <c r="U110" s="28"/>
      <c r="V110" s="28"/>
      <c r="W110" s="29"/>
      <c r="X110" s="28"/>
      <c r="Y110" s="28"/>
      <c r="Z110" s="13"/>
      <c r="AA110" s="13"/>
      <c r="AB110" s="13"/>
      <c r="AC110" s="13"/>
      <c r="AD110" s="13"/>
      <c r="AE110" s="13"/>
      <c r="AF110" s="12"/>
      <c r="AG110" s="12"/>
      <c r="AH110" s="12"/>
      <c r="AI110" s="12"/>
      <c r="AJ110" s="12"/>
      <c r="AK110" s="13"/>
      <c r="AL110" s="13"/>
      <c r="AM110" s="13"/>
      <c r="AN110" s="13"/>
      <c r="AO110" s="13"/>
      <c r="AP110" s="13"/>
      <c r="AQ110" s="13"/>
      <c r="AR110" s="13"/>
      <c r="AS110" s="13"/>
      <c r="AT110" s="13"/>
      <c r="AU110" s="13"/>
      <c r="AV110" s="13"/>
      <c r="AW110" s="13"/>
      <c r="AX110" s="13"/>
      <c r="AY110" s="13"/>
      <c r="AZ110" s="13"/>
      <c r="BA110" s="13"/>
      <c r="BB110" s="13"/>
      <c r="BC110" s="13"/>
      <c r="BD110" s="13"/>
      <c r="BE110" s="13"/>
      <c r="BF110" s="13"/>
      <c r="BG110" s="13"/>
      <c r="BH110" s="13"/>
      <c r="BI110" s="13"/>
      <c r="BJ110" s="13"/>
      <c r="BK110" s="13"/>
      <c r="BL110" s="13"/>
      <c r="BM110" s="13"/>
      <c r="BN110" s="13"/>
      <c r="BO110" s="13"/>
      <c r="BP110" s="13"/>
      <c r="BQ110" s="13"/>
      <c r="BR110" s="13"/>
      <c r="BS110" s="13"/>
      <c r="BT110" s="13"/>
      <c r="BU110" s="13"/>
      <c r="BV110" s="13"/>
      <c r="BW110" s="13"/>
      <c r="BX110" s="13"/>
      <c r="BY110" s="13"/>
      <c r="BZ110" s="13"/>
      <c r="CA110" s="13"/>
      <c r="CB110" s="13"/>
      <c r="CC110" s="13"/>
      <c r="CD110" s="13"/>
      <c r="CE110" s="13"/>
    </row>
    <row r="111" spans="1:83" x14ac:dyDescent="0.3">
      <c r="A111" s="13"/>
      <c r="B111" s="15"/>
      <c r="C111" s="13"/>
      <c r="D111" s="13"/>
      <c r="E111" s="13"/>
      <c r="F111" s="13"/>
      <c r="G111" s="13"/>
      <c r="H111" s="13"/>
      <c r="I111" s="13"/>
      <c r="J111" s="15"/>
      <c r="K111" s="13"/>
      <c r="L111" s="13"/>
      <c r="M111" s="12"/>
      <c r="N111" s="13"/>
      <c r="O111" s="13"/>
      <c r="P111" s="13"/>
      <c r="Q111" s="13"/>
      <c r="R111" s="13"/>
      <c r="S111" s="13"/>
      <c r="T111" s="13"/>
      <c r="U111" s="28"/>
      <c r="V111" s="28"/>
      <c r="W111" s="29"/>
      <c r="X111" s="28"/>
      <c r="Y111" s="28"/>
      <c r="Z111" s="13"/>
      <c r="AA111" s="13"/>
      <c r="AB111" s="13"/>
      <c r="AC111" s="13"/>
      <c r="AD111" s="13"/>
      <c r="AE111" s="13"/>
      <c r="AF111" s="12"/>
      <c r="AG111" s="12"/>
      <c r="AH111" s="12"/>
      <c r="AI111" s="12"/>
      <c r="AJ111" s="12"/>
      <c r="AK111" s="13"/>
      <c r="AL111" s="13"/>
      <c r="AM111" s="13"/>
      <c r="AN111" s="13"/>
      <c r="AO111" s="13"/>
      <c r="AP111" s="13"/>
      <c r="AQ111" s="13"/>
      <c r="AR111" s="13"/>
      <c r="AS111" s="13"/>
      <c r="AT111" s="13"/>
      <c r="AU111" s="13"/>
      <c r="AV111" s="13"/>
      <c r="AW111" s="13"/>
      <c r="AX111" s="13"/>
      <c r="AY111" s="13"/>
      <c r="AZ111" s="13"/>
      <c r="BA111" s="13"/>
      <c r="BB111" s="13"/>
      <c r="BC111" s="13"/>
      <c r="BD111" s="13"/>
      <c r="BE111" s="13"/>
      <c r="BF111" s="13"/>
      <c r="BG111" s="13"/>
      <c r="BH111" s="13"/>
      <c r="BI111" s="13"/>
      <c r="BJ111" s="13"/>
      <c r="BK111" s="13"/>
      <c r="BL111" s="13"/>
      <c r="BM111" s="13"/>
      <c r="BN111" s="13"/>
      <c r="BO111" s="13"/>
      <c r="BP111" s="13"/>
      <c r="BQ111" s="13"/>
      <c r="BR111" s="13"/>
      <c r="BS111" s="13"/>
      <c r="BT111" s="13"/>
      <c r="BU111" s="13"/>
      <c r="BV111" s="13"/>
      <c r="BW111" s="13"/>
      <c r="BX111" s="13"/>
      <c r="BY111" s="13"/>
      <c r="BZ111" s="13"/>
      <c r="CA111" s="13"/>
      <c r="CB111" s="13"/>
      <c r="CC111" s="13"/>
      <c r="CD111" s="13"/>
      <c r="CE111" s="13"/>
    </row>
    <row r="112" spans="1:83" x14ac:dyDescent="0.3">
      <c r="A112" s="13"/>
      <c r="B112" s="15"/>
      <c r="C112" s="13"/>
      <c r="D112" s="13"/>
      <c r="E112" s="13"/>
      <c r="F112" s="13"/>
      <c r="G112" s="13"/>
      <c r="H112" s="13"/>
      <c r="I112" s="13"/>
      <c r="J112" s="15"/>
      <c r="K112" s="13"/>
      <c r="L112" s="13"/>
      <c r="M112" s="12"/>
      <c r="N112" s="13"/>
      <c r="O112" s="13"/>
      <c r="P112" s="13"/>
      <c r="Q112" s="13"/>
      <c r="R112" s="13"/>
      <c r="S112" s="13"/>
      <c r="T112" s="13"/>
      <c r="U112" s="28"/>
      <c r="V112" s="28"/>
      <c r="W112" s="29"/>
      <c r="X112" s="28"/>
      <c r="Y112" s="28"/>
      <c r="Z112" s="13"/>
      <c r="AA112" s="13"/>
      <c r="AB112" s="13"/>
      <c r="AC112" s="13"/>
      <c r="AD112" s="13"/>
      <c r="AE112" s="13"/>
      <c r="AF112" s="12"/>
      <c r="AG112" s="12"/>
      <c r="AH112" s="12"/>
      <c r="AI112" s="12"/>
      <c r="AJ112" s="12"/>
      <c r="AK112" s="13"/>
      <c r="AL112" s="13"/>
      <c r="AM112" s="13"/>
      <c r="AN112" s="13"/>
      <c r="AO112" s="13"/>
      <c r="AP112" s="13"/>
      <c r="AQ112" s="13"/>
      <c r="AR112" s="13"/>
      <c r="AS112" s="13"/>
      <c r="AT112" s="13"/>
      <c r="AU112" s="13"/>
      <c r="AV112" s="13"/>
      <c r="AW112" s="13"/>
      <c r="AX112" s="13"/>
      <c r="AY112" s="13"/>
      <c r="AZ112" s="13"/>
      <c r="BA112" s="13"/>
      <c r="BB112" s="13"/>
      <c r="BC112" s="13"/>
      <c r="BD112" s="13"/>
      <c r="BE112" s="13"/>
      <c r="BF112" s="13"/>
      <c r="BG112" s="13"/>
      <c r="BH112" s="13"/>
      <c r="BI112" s="13"/>
      <c r="BJ112" s="13"/>
      <c r="BK112" s="13"/>
      <c r="BL112" s="13"/>
      <c r="BM112" s="13"/>
      <c r="BN112" s="13"/>
      <c r="BO112" s="13"/>
      <c r="BP112" s="13"/>
      <c r="BQ112" s="13"/>
      <c r="BR112" s="13"/>
      <c r="BS112" s="13"/>
      <c r="BT112" s="13"/>
      <c r="BU112" s="13"/>
      <c r="BV112" s="13"/>
      <c r="BW112" s="13"/>
      <c r="BX112" s="13"/>
      <c r="BY112" s="13"/>
      <c r="BZ112" s="13"/>
      <c r="CA112" s="13"/>
      <c r="CB112" s="13"/>
      <c r="CC112" s="13"/>
      <c r="CD112" s="13"/>
      <c r="CE112" s="13"/>
    </row>
    <row r="113" spans="1:83" x14ac:dyDescent="0.3">
      <c r="A113" s="13"/>
      <c r="B113" s="15"/>
      <c r="C113" s="13"/>
      <c r="D113" s="13"/>
      <c r="E113" s="13"/>
      <c r="F113" s="13"/>
      <c r="G113" s="13"/>
      <c r="H113" s="13"/>
      <c r="I113" s="13"/>
      <c r="J113" s="15"/>
      <c r="K113" s="13"/>
      <c r="L113" s="13"/>
      <c r="M113" s="12"/>
      <c r="N113" s="13"/>
      <c r="O113" s="13"/>
      <c r="P113" s="13"/>
      <c r="Q113" s="13"/>
      <c r="R113" s="13"/>
      <c r="S113" s="13"/>
      <c r="T113" s="13"/>
      <c r="U113" s="28"/>
      <c r="V113" s="28"/>
      <c r="W113" s="29"/>
      <c r="X113" s="28"/>
      <c r="Y113" s="28"/>
      <c r="Z113" s="13"/>
      <c r="AA113" s="13"/>
      <c r="AB113" s="13"/>
      <c r="AC113" s="13"/>
      <c r="AD113" s="13"/>
      <c r="AE113" s="13"/>
      <c r="AF113" s="12"/>
      <c r="AG113" s="12"/>
      <c r="AH113" s="12"/>
      <c r="AI113" s="12"/>
      <c r="AJ113" s="12"/>
      <c r="AK113" s="13"/>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c r="BH113" s="13"/>
      <c r="BI113" s="13"/>
      <c r="BJ113" s="13"/>
      <c r="BK113" s="13"/>
      <c r="BL113" s="13"/>
      <c r="BM113" s="13"/>
      <c r="BN113" s="13"/>
      <c r="BO113" s="13"/>
      <c r="BP113" s="13"/>
      <c r="BQ113" s="13"/>
      <c r="BR113" s="13"/>
      <c r="BS113" s="13"/>
      <c r="BT113" s="13"/>
      <c r="BU113" s="13"/>
      <c r="BV113" s="13"/>
      <c r="BW113" s="13"/>
      <c r="BX113" s="13"/>
      <c r="BY113" s="13"/>
      <c r="BZ113" s="13"/>
      <c r="CA113" s="13"/>
      <c r="CB113" s="13"/>
      <c r="CC113" s="13"/>
      <c r="CD113" s="13"/>
      <c r="CE113" s="13"/>
    </row>
    <row r="114" spans="1:83" x14ac:dyDescent="0.3">
      <c r="A114" s="13"/>
      <c r="B114" s="15"/>
      <c r="C114" s="13"/>
      <c r="D114" s="13"/>
      <c r="E114" s="13"/>
      <c r="F114" s="13"/>
      <c r="G114" s="13"/>
      <c r="H114" s="13"/>
      <c r="I114" s="13"/>
      <c r="J114" s="15"/>
      <c r="K114" s="13"/>
      <c r="L114" s="13"/>
      <c r="M114" s="12"/>
      <c r="N114" s="13"/>
      <c r="O114" s="13"/>
      <c r="P114" s="13"/>
      <c r="Q114" s="13"/>
      <c r="R114" s="13"/>
      <c r="S114" s="13"/>
      <c r="T114" s="13"/>
      <c r="U114" s="28"/>
      <c r="V114" s="28"/>
      <c r="W114" s="29"/>
      <c r="X114" s="28"/>
      <c r="Y114" s="28"/>
      <c r="Z114" s="13"/>
      <c r="AA114" s="13"/>
      <c r="AB114" s="13"/>
      <c r="AC114" s="13"/>
      <c r="AD114" s="13"/>
      <c r="AE114" s="13"/>
      <c r="AF114" s="12"/>
      <c r="AG114" s="12"/>
      <c r="AH114" s="12"/>
      <c r="AI114" s="12"/>
      <c r="AJ114" s="12"/>
      <c r="AK114" s="13"/>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c r="BH114" s="13"/>
      <c r="BI114" s="13"/>
      <c r="BJ114" s="13"/>
      <c r="BK114" s="13"/>
      <c r="BL114" s="13"/>
      <c r="BM114" s="13"/>
      <c r="BN114" s="13"/>
      <c r="BO114" s="13"/>
      <c r="BP114" s="13"/>
      <c r="BQ114" s="13"/>
      <c r="BR114" s="13"/>
      <c r="BS114" s="13"/>
      <c r="BT114" s="13"/>
      <c r="BU114" s="13"/>
      <c r="BV114" s="13"/>
      <c r="BW114" s="13"/>
      <c r="BX114" s="13"/>
      <c r="BY114" s="13"/>
      <c r="BZ114" s="13"/>
      <c r="CA114" s="13"/>
      <c r="CB114" s="13"/>
      <c r="CC114" s="13"/>
      <c r="CD114" s="13"/>
      <c r="CE114" s="13"/>
    </row>
    <row r="115" spans="1:83" x14ac:dyDescent="0.3">
      <c r="A115" s="13"/>
      <c r="B115" s="15"/>
      <c r="C115" s="13"/>
      <c r="D115" s="13"/>
      <c r="E115" s="13"/>
      <c r="F115" s="13"/>
      <c r="G115" s="13"/>
      <c r="H115" s="13"/>
      <c r="I115" s="13"/>
      <c r="J115" s="15"/>
      <c r="K115" s="13"/>
      <c r="L115" s="13"/>
      <c r="M115" s="12"/>
      <c r="N115" s="13"/>
      <c r="O115" s="13"/>
      <c r="P115" s="13"/>
      <c r="Q115" s="13"/>
      <c r="R115" s="13"/>
      <c r="S115" s="13"/>
      <c r="T115" s="13"/>
      <c r="U115" s="28"/>
      <c r="V115" s="28"/>
      <c r="W115" s="29"/>
      <c r="X115" s="28"/>
      <c r="Y115" s="28"/>
      <c r="Z115" s="13"/>
      <c r="AA115" s="13"/>
      <c r="AB115" s="13"/>
      <c r="AC115" s="13"/>
      <c r="AD115" s="13"/>
      <c r="AE115" s="13"/>
      <c r="AF115" s="12"/>
      <c r="AG115" s="12"/>
      <c r="AH115" s="12"/>
      <c r="AI115" s="12"/>
      <c r="AJ115" s="12"/>
      <c r="AK115" s="13"/>
      <c r="AL115" s="13"/>
      <c r="AM115" s="13"/>
      <c r="AN115" s="13"/>
      <c r="AO115" s="13"/>
      <c r="AP115" s="13"/>
      <c r="AQ115" s="13"/>
      <c r="AR115" s="13"/>
      <c r="AS115" s="13"/>
      <c r="AT115" s="13"/>
      <c r="AU115" s="13"/>
      <c r="AV115" s="13"/>
      <c r="AW115" s="13"/>
      <c r="AX115" s="13"/>
      <c r="AY115" s="13"/>
      <c r="AZ115" s="13"/>
      <c r="BA115" s="13"/>
      <c r="BB115" s="13"/>
      <c r="BC115" s="13"/>
      <c r="BD115" s="13"/>
      <c r="BE115" s="13"/>
      <c r="BF115" s="13"/>
      <c r="BG115" s="13"/>
      <c r="BH115" s="13"/>
      <c r="BI115" s="13"/>
      <c r="BJ115" s="13"/>
      <c r="BK115" s="13"/>
      <c r="BL115" s="13"/>
      <c r="BM115" s="13"/>
      <c r="BN115" s="13"/>
      <c r="BO115" s="13"/>
      <c r="BP115" s="13"/>
      <c r="BQ115" s="13"/>
      <c r="BR115" s="13"/>
      <c r="BS115" s="13"/>
      <c r="BT115" s="13"/>
      <c r="BU115" s="13"/>
      <c r="BV115" s="13"/>
      <c r="BW115" s="13"/>
      <c r="BX115" s="13"/>
      <c r="BY115" s="13"/>
      <c r="BZ115" s="13"/>
      <c r="CA115" s="13"/>
      <c r="CB115" s="13"/>
      <c r="CC115" s="13"/>
      <c r="CD115" s="13"/>
      <c r="CE115" s="13"/>
    </row>
    <row r="116" spans="1:83" x14ac:dyDescent="0.3">
      <c r="A116" s="13"/>
      <c r="B116" s="15"/>
      <c r="C116" s="13"/>
      <c r="D116" s="13"/>
      <c r="E116" s="13"/>
      <c r="F116" s="13"/>
      <c r="G116" s="13"/>
      <c r="H116" s="13"/>
      <c r="I116" s="13"/>
      <c r="J116" s="15"/>
      <c r="K116" s="13"/>
      <c r="L116" s="13"/>
      <c r="M116" s="12"/>
      <c r="N116" s="13"/>
      <c r="O116" s="13"/>
      <c r="P116" s="13"/>
      <c r="Q116" s="13"/>
      <c r="R116" s="13"/>
      <c r="S116" s="13"/>
      <c r="T116" s="13"/>
      <c r="U116" s="28"/>
      <c r="V116" s="28"/>
      <c r="W116" s="29"/>
      <c r="X116" s="28"/>
      <c r="Y116" s="28"/>
      <c r="Z116" s="13"/>
      <c r="AA116" s="13"/>
      <c r="AB116" s="13"/>
      <c r="AC116" s="13"/>
      <c r="AD116" s="13"/>
      <c r="AE116" s="13"/>
      <c r="AF116" s="12"/>
      <c r="AG116" s="12"/>
      <c r="AH116" s="12"/>
      <c r="AI116" s="12"/>
      <c r="AJ116" s="12"/>
      <c r="AK116" s="13"/>
      <c r="AL116" s="13"/>
      <c r="AM116" s="13"/>
      <c r="AN116" s="13"/>
      <c r="AO116" s="13"/>
      <c r="AP116" s="13"/>
      <c r="AQ116" s="13"/>
      <c r="AR116" s="13"/>
      <c r="AS116" s="13"/>
      <c r="AT116" s="13"/>
      <c r="AU116" s="13"/>
      <c r="AV116" s="13"/>
      <c r="AW116" s="13"/>
      <c r="AX116" s="13"/>
      <c r="AY116" s="13"/>
      <c r="AZ116" s="13"/>
      <c r="BA116" s="13"/>
      <c r="BB116" s="13"/>
      <c r="BC116" s="13"/>
      <c r="BD116" s="13"/>
      <c r="BE116" s="13"/>
      <c r="BF116" s="13"/>
      <c r="BG116" s="13"/>
      <c r="BH116" s="13"/>
      <c r="BI116" s="13"/>
      <c r="BJ116" s="13"/>
      <c r="BK116" s="13"/>
      <c r="BL116" s="13"/>
      <c r="BM116" s="13"/>
      <c r="BN116" s="13"/>
      <c r="BO116" s="13"/>
      <c r="BP116" s="13"/>
      <c r="BQ116" s="13"/>
      <c r="BR116" s="13"/>
      <c r="BS116" s="13"/>
      <c r="BT116" s="13"/>
      <c r="BU116" s="13"/>
      <c r="BV116" s="13"/>
      <c r="BW116" s="13"/>
      <c r="BX116" s="13"/>
      <c r="BY116" s="13"/>
      <c r="BZ116" s="13"/>
      <c r="CA116" s="13"/>
      <c r="CB116" s="13"/>
      <c r="CC116" s="13"/>
      <c r="CD116" s="13"/>
      <c r="CE116" s="13"/>
    </row>
    <row r="117" spans="1:83" x14ac:dyDescent="0.3">
      <c r="A117" s="13"/>
      <c r="B117" s="15"/>
      <c r="C117" s="13"/>
      <c r="D117" s="13"/>
      <c r="E117" s="13"/>
      <c r="F117" s="13"/>
      <c r="G117" s="13"/>
      <c r="H117" s="13"/>
      <c r="I117" s="13"/>
      <c r="J117" s="15"/>
      <c r="K117" s="13"/>
      <c r="L117" s="13"/>
      <c r="M117" s="12"/>
      <c r="N117" s="13"/>
      <c r="O117" s="13"/>
      <c r="P117" s="13"/>
      <c r="Q117" s="13"/>
      <c r="R117" s="13"/>
      <c r="S117" s="13"/>
      <c r="T117" s="13"/>
      <c r="U117" s="28"/>
      <c r="V117" s="28"/>
      <c r="W117" s="29"/>
      <c r="X117" s="28"/>
      <c r="Y117" s="28"/>
      <c r="Z117" s="13"/>
      <c r="AA117" s="13"/>
      <c r="AB117" s="13"/>
      <c r="AC117" s="13"/>
      <c r="AD117" s="13"/>
      <c r="AE117" s="13"/>
      <c r="AF117" s="12"/>
      <c r="AG117" s="12"/>
      <c r="AH117" s="12"/>
      <c r="AI117" s="12"/>
      <c r="AJ117" s="12"/>
      <c r="AK117" s="13"/>
      <c r="AL117" s="13"/>
      <c r="AM117" s="13"/>
      <c r="AN117" s="13"/>
      <c r="AO117" s="13"/>
      <c r="AP117" s="13"/>
      <c r="AQ117" s="13"/>
      <c r="AR117" s="13"/>
      <c r="AS117" s="13"/>
      <c r="AT117" s="13"/>
      <c r="AU117" s="13"/>
      <c r="AV117" s="13"/>
      <c r="AW117" s="13"/>
      <c r="AX117" s="13"/>
      <c r="AY117" s="13"/>
      <c r="AZ117" s="13"/>
      <c r="BA117" s="13"/>
      <c r="BB117" s="13"/>
      <c r="BC117" s="13"/>
      <c r="BD117" s="13"/>
      <c r="BE117" s="13"/>
      <c r="BF117" s="13"/>
      <c r="BG117" s="13"/>
      <c r="BH117" s="13"/>
      <c r="BI117" s="13"/>
      <c r="BJ117" s="13"/>
      <c r="BK117" s="13"/>
      <c r="BL117" s="13"/>
      <c r="BM117" s="13"/>
      <c r="BN117" s="13"/>
      <c r="BO117" s="13"/>
      <c r="BP117" s="13"/>
      <c r="BQ117" s="13"/>
      <c r="BR117" s="13"/>
      <c r="BS117" s="13"/>
      <c r="BT117" s="13"/>
      <c r="BU117" s="13"/>
      <c r="BV117" s="13"/>
      <c r="BW117" s="13"/>
      <c r="BX117" s="13"/>
      <c r="BY117" s="13"/>
      <c r="BZ117" s="13"/>
      <c r="CA117" s="13"/>
      <c r="CB117" s="13"/>
      <c r="CC117" s="13"/>
      <c r="CD117" s="13"/>
      <c r="CE117" s="13"/>
    </row>
    <row r="118" spans="1:83" x14ac:dyDescent="0.3">
      <c r="A118" s="13"/>
      <c r="B118" s="15"/>
      <c r="C118" s="13"/>
      <c r="D118" s="13"/>
      <c r="E118" s="13"/>
      <c r="F118" s="13"/>
      <c r="G118" s="13"/>
      <c r="H118" s="13"/>
      <c r="I118" s="13"/>
      <c r="J118" s="15"/>
      <c r="K118" s="13"/>
      <c r="L118" s="13"/>
      <c r="M118" s="12"/>
      <c r="N118" s="13"/>
      <c r="O118" s="13"/>
      <c r="P118" s="13"/>
      <c r="Q118" s="13"/>
      <c r="R118" s="13"/>
      <c r="S118" s="13"/>
      <c r="T118" s="13"/>
      <c r="U118" s="28"/>
      <c r="V118" s="28"/>
      <c r="W118" s="29"/>
      <c r="X118" s="28"/>
      <c r="Y118" s="28"/>
      <c r="Z118" s="13"/>
      <c r="AA118" s="13"/>
      <c r="AB118" s="13"/>
      <c r="AC118" s="13"/>
      <c r="AD118" s="13"/>
      <c r="AE118" s="13"/>
      <c r="AF118" s="12"/>
      <c r="AG118" s="12"/>
      <c r="AH118" s="12"/>
      <c r="AI118" s="12"/>
      <c r="AJ118" s="12"/>
      <c r="AK118" s="13"/>
      <c r="AL118" s="13"/>
      <c r="AM118" s="13"/>
      <c r="AN118" s="13"/>
      <c r="AO118" s="13"/>
      <c r="AP118" s="13"/>
      <c r="AQ118" s="13"/>
      <c r="AR118" s="13"/>
      <c r="AS118" s="13"/>
      <c r="AT118" s="13"/>
      <c r="AU118" s="13"/>
      <c r="AV118" s="13"/>
      <c r="AW118" s="13"/>
      <c r="AX118" s="13"/>
      <c r="AY118" s="13"/>
      <c r="AZ118" s="13"/>
      <c r="BA118" s="13"/>
      <c r="BB118" s="13"/>
      <c r="BC118" s="13"/>
      <c r="BD118" s="13"/>
      <c r="BE118" s="13"/>
      <c r="BF118" s="13"/>
      <c r="BG118" s="13"/>
      <c r="BH118" s="13"/>
      <c r="BI118" s="13"/>
      <c r="BJ118" s="13"/>
      <c r="BK118" s="13"/>
      <c r="BL118" s="13"/>
      <c r="BM118" s="13"/>
      <c r="BN118" s="13"/>
      <c r="BO118" s="13"/>
      <c r="BP118" s="13"/>
      <c r="BQ118" s="13"/>
      <c r="BR118" s="13"/>
      <c r="BS118" s="13"/>
      <c r="BT118" s="13"/>
      <c r="BU118" s="13"/>
      <c r="BV118" s="13"/>
      <c r="BW118" s="13"/>
      <c r="BX118" s="13"/>
      <c r="BY118" s="13"/>
      <c r="BZ118" s="13"/>
      <c r="CA118" s="13"/>
      <c r="CB118" s="13"/>
      <c r="CC118" s="13"/>
      <c r="CD118" s="13"/>
      <c r="CE118" s="13"/>
    </row>
    <row r="119" spans="1:83" x14ac:dyDescent="0.3">
      <c r="A119" s="13"/>
      <c r="B119" s="15"/>
      <c r="C119" s="13"/>
      <c r="D119" s="13"/>
      <c r="E119" s="13"/>
      <c r="F119" s="13"/>
      <c r="G119" s="13"/>
      <c r="H119" s="13"/>
      <c r="I119" s="13"/>
      <c r="J119" s="15"/>
      <c r="K119" s="13"/>
      <c r="L119" s="13"/>
      <c r="M119" s="12"/>
      <c r="N119" s="13"/>
      <c r="O119" s="13"/>
      <c r="P119" s="13"/>
      <c r="Q119" s="13"/>
      <c r="R119" s="13"/>
      <c r="S119" s="13"/>
      <c r="T119" s="13"/>
      <c r="U119" s="28"/>
      <c r="V119" s="28"/>
      <c r="W119" s="29"/>
      <c r="X119" s="28"/>
      <c r="Y119" s="28"/>
      <c r="Z119" s="13"/>
      <c r="AA119" s="13"/>
      <c r="AB119" s="13"/>
      <c r="AC119" s="13"/>
      <c r="AD119" s="13"/>
      <c r="AE119" s="13"/>
      <c r="AF119" s="12"/>
      <c r="AG119" s="12"/>
      <c r="AH119" s="12"/>
      <c r="AI119" s="12"/>
      <c r="AJ119" s="12"/>
      <c r="AK119" s="13"/>
      <c r="AL119" s="13"/>
      <c r="AM119" s="13"/>
      <c r="AN119" s="13"/>
      <c r="AO119" s="13"/>
      <c r="AP119" s="13"/>
      <c r="AQ119" s="13"/>
      <c r="AR119" s="13"/>
      <c r="AS119" s="13"/>
      <c r="AT119" s="13"/>
      <c r="AU119" s="13"/>
      <c r="AV119" s="13"/>
      <c r="AW119" s="13"/>
      <c r="AX119" s="13"/>
      <c r="AY119" s="13"/>
      <c r="AZ119" s="13"/>
      <c r="BA119" s="13"/>
      <c r="BB119" s="13"/>
      <c r="BC119" s="13"/>
      <c r="BD119" s="13"/>
      <c r="BE119" s="13"/>
      <c r="BF119" s="13"/>
      <c r="BG119" s="13"/>
      <c r="BH119" s="13"/>
      <c r="BI119" s="13"/>
      <c r="BJ119" s="13"/>
      <c r="BK119" s="13"/>
      <c r="BL119" s="13"/>
      <c r="BM119" s="13"/>
      <c r="BN119" s="13"/>
      <c r="BO119" s="13"/>
      <c r="BP119" s="13"/>
      <c r="BQ119" s="13"/>
      <c r="BR119" s="13"/>
      <c r="BS119" s="13"/>
      <c r="BT119" s="13"/>
      <c r="BU119" s="13"/>
      <c r="BV119" s="13"/>
      <c r="BW119" s="13"/>
      <c r="BX119" s="13"/>
      <c r="BY119" s="13"/>
      <c r="BZ119" s="13"/>
      <c r="CA119" s="13"/>
      <c r="CB119" s="13"/>
      <c r="CC119" s="13"/>
      <c r="CD119" s="13"/>
      <c r="CE119" s="13"/>
    </row>
    <row r="120" spans="1:83" x14ac:dyDescent="0.3">
      <c r="A120" s="13"/>
      <c r="B120" s="15"/>
      <c r="C120" s="13"/>
      <c r="D120" s="13"/>
      <c r="E120" s="13"/>
      <c r="F120" s="13"/>
      <c r="G120" s="13"/>
      <c r="H120" s="13"/>
      <c r="I120" s="13"/>
      <c r="J120" s="15"/>
      <c r="K120" s="13"/>
      <c r="L120" s="13"/>
      <c r="M120" s="12"/>
      <c r="N120" s="13"/>
      <c r="O120" s="13"/>
      <c r="P120" s="13"/>
      <c r="Q120" s="13"/>
      <c r="R120" s="13"/>
      <c r="S120" s="13"/>
      <c r="T120" s="13"/>
      <c r="U120" s="28"/>
      <c r="V120" s="28"/>
      <c r="W120" s="29"/>
      <c r="X120" s="28"/>
      <c r="Y120" s="28"/>
      <c r="Z120" s="13"/>
      <c r="AA120" s="13"/>
      <c r="AB120" s="13"/>
      <c r="AC120" s="13"/>
      <c r="AD120" s="13"/>
      <c r="AE120" s="13"/>
      <c r="AF120" s="12"/>
      <c r="AG120" s="12"/>
      <c r="AH120" s="12"/>
      <c r="AI120" s="12"/>
      <c r="AJ120" s="12"/>
      <c r="AK120" s="13"/>
      <c r="AL120" s="13"/>
      <c r="AM120" s="13"/>
      <c r="AN120" s="13"/>
      <c r="AO120" s="13"/>
      <c r="AP120" s="13"/>
      <c r="AQ120" s="13"/>
      <c r="AR120" s="13"/>
      <c r="AS120" s="13"/>
      <c r="AT120" s="13"/>
      <c r="AU120" s="13"/>
      <c r="AV120" s="13"/>
      <c r="AW120" s="13"/>
      <c r="AX120" s="13"/>
      <c r="AY120" s="13"/>
      <c r="AZ120" s="13"/>
      <c r="BA120" s="13"/>
      <c r="BB120" s="13"/>
      <c r="BC120" s="13"/>
      <c r="BD120" s="13"/>
      <c r="BE120" s="13"/>
      <c r="BF120" s="13"/>
      <c r="BG120" s="13"/>
      <c r="BH120" s="13"/>
      <c r="BI120" s="13"/>
      <c r="BJ120" s="13"/>
      <c r="BK120" s="13"/>
      <c r="BL120" s="13"/>
      <c r="BM120" s="13"/>
      <c r="BN120" s="13"/>
      <c r="BO120" s="13"/>
      <c r="BP120" s="13"/>
      <c r="BQ120" s="13"/>
      <c r="BR120" s="13"/>
      <c r="BS120" s="13"/>
      <c r="BT120" s="13"/>
      <c r="BU120" s="13"/>
      <c r="BV120" s="13"/>
      <c r="BW120" s="13"/>
      <c r="BX120" s="13"/>
      <c r="BY120" s="13"/>
      <c r="BZ120" s="13"/>
      <c r="CA120" s="13"/>
      <c r="CB120" s="13"/>
      <c r="CC120" s="13"/>
      <c r="CD120" s="13"/>
      <c r="CE120" s="13"/>
    </row>
    <row r="121" spans="1:83" x14ac:dyDescent="0.3">
      <c r="A121" s="13"/>
      <c r="B121" s="15"/>
      <c r="C121" s="13"/>
      <c r="D121" s="13"/>
      <c r="E121" s="13"/>
      <c r="F121" s="13"/>
      <c r="G121" s="13"/>
      <c r="H121" s="13"/>
      <c r="I121" s="13"/>
      <c r="J121" s="15"/>
      <c r="K121" s="13"/>
      <c r="L121" s="13"/>
      <c r="M121" s="12"/>
      <c r="N121" s="13"/>
      <c r="O121" s="13"/>
      <c r="P121" s="13"/>
      <c r="Q121" s="13"/>
      <c r="R121" s="13"/>
      <c r="S121" s="13"/>
      <c r="T121" s="13"/>
      <c r="U121" s="28"/>
      <c r="V121" s="28"/>
      <c r="W121" s="29"/>
      <c r="X121" s="28"/>
      <c r="Y121" s="28"/>
      <c r="Z121" s="13"/>
      <c r="AA121" s="13"/>
      <c r="AB121" s="13"/>
      <c r="AC121" s="13"/>
      <c r="AD121" s="13"/>
      <c r="AE121" s="13"/>
      <c r="AF121" s="12"/>
      <c r="AG121" s="12"/>
      <c r="AH121" s="12"/>
      <c r="AI121" s="12"/>
      <c r="AJ121" s="12"/>
      <c r="AK121" s="13"/>
      <c r="AL121" s="13"/>
      <c r="AM121" s="13"/>
      <c r="AN121" s="13"/>
      <c r="AO121" s="13"/>
      <c r="AP121" s="13"/>
      <c r="AQ121" s="13"/>
      <c r="AR121" s="13"/>
      <c r="AS121" s="13"/>
      <c r="AT121" s="13"/>
      <c r="AU121" s="13"/>
      <c r="AV121" s="13"/>
      <c r="AW121" s="13"/>
      <c r="AX121" s="13"/>
      <c r="AY121" s="13"/>
      <c r="AZ121" s="13"/>
      <c r="BA121" s="13"/>
      <c r="BB121" s="13"/>
      <c r="BC121" s="13"/>
      <c r="BD121" s="13"/>
      <c r="BE121" s="13"/>
      <c r="BF121" s="13"/>
      <c r="BG121" s="13"/>
      <c r="BH121" s="13"/>
      <c r="BI121" s="13"/>
      <c r="BJ121" s="13"/>
      <c r="BK121" s="13"/>
      <c r="BL121" s="13"/>
      <c r="BM121" s="13"/>
      <c r="BN121" s="13"/>
      <c r="BO121" s="13"/>
      <c r="BP121" s="13"/>
      <c r="BQ121" s="13"/>
      <c r="BR121" s="13"/>
      <c r="BS121" s="13"/>
      <c r="BT121" s="13"/>
      <c r="BU121" s="13"/>
      <c r="BV121" s="13"/>
      <c r="BW121" s="13"/>
      <c r="BX121" s="13"/>
      <c r="BY121" s="13"/>
      <c r="BZ121" s="13"/>
      <c r="CA121" s="13"/>
      <c r="CB121" s="13"/>
      <c r="CC121" s="13"/>
      <c r="CD121" s="13"/>
      <c r="CE121" s="13"/>
    </row>
    <row r="122" spans="1:83" x14ac:dyDescent="0.3">
      <c r="A122" s="13"/>
      <c r="B122" s="15"/>
      <c r="C122" s="13"/>
      <c r="D122" s="13"/>
      <c r="E122" s="13"/>
      <c r="F122" s="13"/>
      <c r="G122" s="13"/>
      <c r="H122" s="13"/>
      <c r="I122" s="13"/>
      <c r="J122" s="15"/>
      <c r="K122" s="13"/>
      <c r="L122" s="13"/>
      <c r="M122" s="12"/>
      <c r="N122" s="13"/>
      <c r="O122" s="13"/>
      <c r="P122" s="13"/>
      <c r="Q122" s="13"/>
      <c r="R122" s="13"/>
      <c r="S122" s="13"/>
      <c r="T122" s="13"/>
      <c r="U122" s="28"/>
      <c r="V122" s="28"/>
      <c r="W122" s="29"/>
      <c r="X122" s="28"/>
      <c r="Y122" s="28"/>
      <c r="Z122" s="13"/>
      <c r="AA122" s="13"/>
      <c r="AB122" s="13"/>
      <c r="AC122" s="13"/>
      <c r="AD122" s="13"/>
      <c r="AE122" s="13"/>
      <c r="AF122" s="12"/>
      <c r="AG122" s="12"/>
      <c r="AH122" s="12"/>
      <c r="AI122" s="12"/>
      <c r="AJ122" s="12"/>
      <c r="AK122" s="13"/>
      <c r="AL122" s="13"/>
      <c r="AM122" s="13"/>
      <c r="AN122" s="13"/>
      <c r="AO122" s="13"/>
      <c r="AP122" s="13"/>
      <c r="AQ122" s="13"/>
      <c r="AR122" s="13"/>
      <c r="AS122" s="13"/>
      <c r="AT122" s="13"/>
      <c r="AU122" s="13"/>
      <c r="AV122" s="13"/>
      <c r="AW122" s="13"/>
      <c r="AX122" s="13"/>
      <c r="AY122" s="13"/>
      <c r="AZ122" s="13"/>
      <c r="BA122" s="13"/>
      <c r="BB122" s="13"/>
      <c r="BC122" s="13"/>
      <c r="BD122" s="13"/>
      <c r="BE122" s="13"/>
      <c r="BF122" s="13"/>
      <c r="BG122" s="13"/>
      <c r="BH122" s="13"/>
      <c r="BI122" s="13"/>
      <c r="BJ122" s="13"/>
      <c r="BK122" s="13"/>
      <c r="BL122" s="13"/>
      <c r="BM122" s="13"/>
      <c r="BN122" s="13"/>
      <c r="BO122" s="13"/>
      <c r="BP122" s="13"/>
      <c r="BQ122" s="13"/>
      <c r="BR122" s="13"/>
      <c r="BS122" s="13"/>
      <c r="BT122" s="13"/>
      <c r="BU122" s="13"/>
      <c r="BV122" s="13"/>
      <c r="BW122" s="13"/>
      <c r="BX122" s="13"/>
      <c r="BY122" s="13"/>
      <c r="BZ122" s="13"/>
      <c r="CA122" s="13"/>
      <c r="CB122" s="13"/>
      <c r="CC122" s="13"/>
      <c r="CD122" s="13"/>
      <c r="CE122" s="13"/>
    </row>
    <row r="123" spans="1:83" x14ac:dyDescent="0.3">
      <c r="A123" s="13"/>
      <c r="B123" s="15"/>
      <c r="C123" s="13"/>
      <c r="D123" s="13"/>
      <c r="E123" s="13"/>
      <c r="F123" s="13"/>
      <c r="G123" s="13"/>
      <c r="H123" s="13"/>
      <c r="I123" s="13"/>
      <c r="J123" s="15"/>
      <c r="K123" s="13"/>
      <c r="L123" s="13"/>
      <c r="M123" s="12"/>
      <c r="N123" s="13"/>
      <c r="O123" s="13"/>
      <c r="P123" s="13"/>
      <c r="Q123" s="13"/>
      <c r="R123" s="13"/>
      <c r="S123" s="13"/>
      <c r="T123" s="13"/>
      <c r="U123" s="28"/>
      <c r="V123" s="28"/>
      <c r="W123" s="29"/>
      <c r="X123" s="28"/>
      <c r="Y123" s="28"/>
      <c r="Z123" s="13"/>
      <c r="AA123" s="13"/>
      <c r="AB123" s="13"/>
      <c r="AC123" s="13"/>
      <c r="AD123" s="13"/>
      <c r="AE123" s="13"/>
      <c r="AF123" s="12"/>
      <c r="AG123" s="12"/>
      <c r="AH123" s="12"/>
      <c r="AI123" s="12"/>
      <c r="AJ123" s="12"/>
      <c r="AK123" s="13"/>
      <c r="AL123" s="13"/>
      <c r="AM123" s="13"/>
      <c r="AN123" s="13"/>
      <c r="AO123" s="13"/>
      <c r="AP123" s="13"/>
      <c r="AQ123" s="13"/>
      <c r="AR123" s="13"/>
      <c r="AS123" s="13"/>
      <c r="AT123" s="13"/>
      <c r="AU123" s="13"/>
      <c r="AV123" s="13"/>
      <c r="AW123" s="13"/>
      <c r="AX123" s="13"/>
      <c r="AY123" s="13"/>
      <c r="AZ123" s="13"/>
      <c r="BA123" s="13"/>
      <c r="BB123" s="13"/>
      <c r="BC123" s="13"/>
      <c r="BD123" s="13"/>
      <c r="BE123" s="13"/>
      <c r="BF123" s="13"/>
      <c r="BG123" s="13"/>
      <c r="BH123" s="13"/>
      <c r="BI123" s="13"/>
      <c r="BJ123" s="13"/>
      <c r="BK123" s="13"/>
      <c r="BL123" s="13"/>
      <c r="BM123" s="13"/>
      <c r="BN123" s="13"/>
      <c r="BO123" s="13"/>
      <c r="BP123" s="13"/>
      <c r="BQ123" s="13"/>
      <c r="BR123" s="13"/>
      <c r="BS123" s="13"/>
      <c r="BT123" s="13"/>
      <c r="BU123" s="13"/>
      <c r="BV123" s="13"/>
      <c r="BW123" s="13"/>
      <c r="BX123" s="13"/>
      <c r="BY123" s="13"/>
      <c r="BZ123" s="13"/>
      <c r="CA123" s="13"/>
      <c r="CB123" s="13"/>
      <c r="CC123" s="13"/>
      <c r="CD123" s="13"/>
      <c r="CE123" s="13"/>
    </row>
    <row r="124" spans="1:83" x14ac:dyDescent="0.3">
      <c r="A124" s="13"/>
      <c r="B124" s="15"/>
      <c r="C124" s="13"/>
      <c r="D124" s="13"/>
      <c r="E124" s="13"/>
      <c r="F124" s="13"/>
      <c r="G124" s="13"/>
      <c r="H124" s="13"/>
      <c r="I124" s="13"/>
      <c r="J124" s="15"/>
      <c r="K124" s="13"/>
      <c r="L124" s="13"/>
      <c r="M124" s="12"/>
      <c r="N124" s="13"/>
      <c r="O124" s="13"/>
      <c r="P124" s="13"/>
      <c r="Q124" s="13"/>
      <c r="R124" s="13"/>
      <c r="S124" s="13"/>
      <c r="T124" s="13"/>
      <c r="U124" s="28"/>
      <c r="V124" s="28"/>
      <c r="W124" s="29"/>
      <c r="X124" s="28"/>
      <c r="Y124" s="28"/>
      <c r="Z124" s="13"/>
      <c r="AA124" s="13"/>
      <c r="AB124" s="13"/>
      <c r="AC124" s="13"/>
      <c r="AD124" s="13"/>
      <c r="AE124" s="13"/>
      <c r="AF124" s="12"/>
      <c r="AG124" s="12"/>
      <c r="AH124" s="12"/>
      <c r="AI124" s="12"/>
      <c r="AJ124" s="12"/>
      <c r="AK124" s="13"/>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c r="BP124" s="13"/>
      <c r="BQ124" s="13"/>
      <c r="BR124" s="13"/>
      <c r="BS124" s="13"/>
      <c r="BT124" s="13"/>
      <c r="BU124" s="13"/>
      <c r="BV124" s="13"/>
      <c r="BW124" s="13"/>
      <c r="BX124" s="13"/>
      <c r="BY124" s="13"/>
      <c r="BZ124" s="13"/>
      <c r="CA124" s="13"/>
      <c r="CB124" s="13"/>
      <c r="CC124" s="13"/>
      <c r="CD124" s="13"/>
      <c r="CE124" s="13"/>
    </row>
    <row r="125" spans="1:83" x14ac:dyDescent="0.3">
      <c r="A125" s="13"/>
      <c r="B125" s="15"/>
      <c r="C125" s="13"/>
      <c r="D125" s="13"/>
      <c r="E125" s="13"/>
      <c r="F125" s="13"/>
      <c r="G125" s="13"/>
      <c r="H125" s="13"/>
      <c r="I125" s="13"/>
      <c r="J125" s="15"/>
      <c r="K125" s="13"/>
      <c r="L125" s="13"/>
      <c r="M125" s="12"/>
      <c r="N125" s="13"/>
      <c r="O125" s="13"/>
      <c r="P125" s="13"/>
      <c r="Q125" s="13"/>
      <c r="R125" s="13"/>
      <c r="S125" s="13"/>
      <c r="T125" s="13"/>
      <c r="U125" s="28"/>
      <c r="V125" s="28"/>
      <c r="W125" s="29"/>
      <c r="X125" s="28"/>
      <c r="Y125" s="28"/>
      <c r="Z125" s="13"/>
      <c r="AA125" s="13"/>
      <c r="AB125" s="13"/>
      <c r="AC125" s="13"/>
      <c r="AD125" s="13"/>
      <c r="AE125" s="13"/>
      <c r="AF125" s="12"/>
      <c r="AG125" s="12"/>
      <c r="AH125" s="12"/>
      <c r="AI125" s="12"/>
      <c r="AJ125" s="12"/>
      <c r="AK125" s="13"/>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c r="BP125" s="13"/>
      <c r="BQ125" s="13"/>
      <c r="BR125" s="13"/>
      <c r="BS125" s="13"/>
      <c r="BT125" s="13"/>
      <c r="BU125" s="13"/>
      <c r="BV125" s="13"/>
      <c r="BW125" s="13"/>
      <c r="BX125" s="13"/>
      <c r="BY125" s="13"/>
      <c r="BZ125" s="13"/>
      <c r="CA125" s="13"/>
      <c r="CB125" s="13"/>
      <c r="CC125" s="13"/>
      <c r="CD125" s="13"/>
      <c r="CE125" s="13"/>
    </row>
    <row r="126" spans="1:83" x14ac:dyDescent="0.3">
      <c r="A126" s="13"/>
      <c r="B126" s="15"/>
      <c r="C126" s="13"/>
      <c r="D126" s="13"/>
      <c r="E126" s="13"/>
      <c r="F126" s="13"/>
      <c r="G126" s="13"/>
      <c r="H126" s="13"/>
      <c r="I126" s="13"/>
      <c r="J126" s="15"/>
      <c r="K126" s="13"/>
      <c r="L126" s="13"/>
      <c r="M126" s="12"/>
      <c r="N126" s="13"/>
      <c r="O126" s="13"/>
      <c r="P126" s="13"/>
      <c r="Q126" s="13"/>
      <c r="R126" s="13"/>
      <c r="S126" s="13"/>
      <c r="T126" s="13"/>
      <c r="U126" s="28"/>
      <c r="V126" s="28"/>
      <c r="W126" s="29"/>
      <c r="X126" s="28"/>
      <c r="Y126" s="28"/>
      <c r="Z126" s="13"/>
      <c r="AA126" s="13"/>
      <c r="AB126" s="13"/>
      <c r="AC126" s="13"/>
      <c r="AD126" s="13"/>
      <c r="AE126" s="13"/>
      <c r="AF126" s="12"/>
      <c r="AG126" s="12"/>
      <c r="AH126" s="12"/>
      <c r="AI126" s="12"/>
      <c r="AJ126" s="12"/>
      <c r="AK126" s="13"/>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c r="BP126" s="13"/>
      <c r="BQ126" s="13"/>
      <c r="BR126" s="13"/>
      <c r="BS126" s="13"/>
      <c r="BT126" s="13"/>
      <c r="BU126" s="13"/>
      <c r="BV126" s="13"/>
      <c r="BW126" s="13"/>
      <c r="BX126" s="13"/>
      <c r="BY126" s="13"/>
      <c r="BZ126" s="13"/>
      <c r="CA126" s="13"/>
      <c r="CB126" s="13"/>
      <c r="CC126" s="13"/>
      <c r="CD126" s="13"/>
      <c r="CE126" s="13"/>
    </row>
    <row r="127" spans="1:83" x14ac:dyDescent="0.3">
      <c r="A127" s="13"/>
      <c r="B127" s="15"/>
      <c r="C127" s="13"/>
      <c r="D127" s="13"/>
      <c r="E127" s="13"/>
      <c r="F127" s="13"/>
      <c r="G127" s="13"/>
      <c r="H127" s="13"/>
      <c r="I127" s="13"/>
      <c r="J127" s="15"/>
      <c r="K127" s="13"/>
      <c r="L127" s="13"/>
      <c r="M127" s="12"/>
      <c r="N127" s="13"/>
      <c r="O127" s="13"/>
      <c r="P127" s="13"/>
      <c r="Q127" s="13"/>
      <c r="R127" s="13"/>
      <c r="S127" s="13"/>
      <c r="T127" s="13"/>
      <c r="U127" s="28"/>
      <c r="V127" s="28"/>
      <c r="W127" s="29"/>
      <c r="X127" s="28"/>
      <c r="Y127" s="28"/>
      <c r="Z127" s="13"/>
      <c r="AA127" s="13"/>
      <c r="AB127" s="13"/>
      <c r="AC127" s="13"/>
      <c r="AD127" s="13"/>
      <c r="AE127" s="13"/>
      <c r="AF127" s="12"/>
      <c r="AG127" s="12"/>
      <c r="AH127" s="12"/>
      <c r="AI127" s="12"/>
      <c r="AJ127" s="12"/>
      <c r="AK127" s="13"/>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c r="BP127" s="13"/>
      <c r="BQ127" s="13"/>
      <c r="BR127" s="13"/>
      <c r="BS127" s="13"/>
      <c r="BT127" s="13"/>
      <c r="BU127" s="13"/>
      <c r="BV127" s="13"/>
      <c r="BW127" s="13"/>
      <c r="BX127" s="13"/>
      <c r="BY127" s="13"/>
      <c r="BZ127" s="13"/>
      <c r="CA127" s="13"/>
      <c r="CB127" s="13"/>
      <c r="CC127" s="13"/>
      <c r="CD127" s="13"/>
      <c r="CE127" s="13"/>
    </row>
    <row r="128" spans="1:83" x14ac:dyDescent="0.3">
      <c r="A128" s="13"/>
      <c r="B128" s="15"/>
      <c r="C128" s="13"/>
      <c r="D128" s="13"/>
      <c r="E128" s="13"/>
      <c r="F128" s="13"/>
      <c r="G128" s="13"/>
      <c r="H128" s="13"/>
      <c r="I128" s="13"/>
      <c r="J128" s="15"/>
      <c r="K128" s="13"/>
      <c r="L128" s="13"/>
      <c r="M128" s="12"/>
      <c r="N128" s="13"/>
      <c r="O128" s="13"/>
      <c r="P128" s="13"/>
      <c r="Q128" s="13"/>
      <c r="R128" s="13"/>
      <c r="S128" s="13"/>
      <c r="T128" s="13"/>
      <c r="U128" s="28"/>
      <c r="V128" s="28"/>
      <c r="W128" s="29"/>
      <c r="X128" s="28"/>
      <c r="Y128" s="28"/>
      <c r="Z128" s="13"/>
      <c r="AA128" s="13"/>
      <c r="AB128" s="13"/>
      <c r="AC128" s="13"/>
      <c r="AD128" s="13"/>
      <c r="AE128" s="13"/>
      <c r="AF128" s="12"/>
      <c r="AG128" s="12"/>
      <c r="AH128" s="12"/>
      <c r="AI128" s="12"/>
      <c r="AJ128" s="12"/>
      <c r="AK128" s="13"/>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c r="BP128" s="13"/>
      <c r="BQ128" s="13"/>
      <c r="BR128" s="13"/>
      <c r="BS128" s="13"/>
      <c r="BT128" s="13"/>
      <c r="BU128" s="13"/>
      <c r="BV128" s="13"/>
      <c r="BW128" s="13"/>
      <c r="BX128" s="13"/>
      <c r="BY128" s="13"/>
      <c r="BZ128" s="13"/>
      <c r="CA128" s="13"/>
      <c r="CB128" s="13"/>
      <c r="CC128" s="13"/>
      <c r="CD128" s="13"/>
      <c r="CE128" s="13"/>
    </row>
    <row r="129" spans="1:83" x14ac:dyDescent="0.3">
      <c r="A129" s="13"/>
      <c r="B129" s="15"/>
      <c r="C129" s="13"/>
      <c r="D129" s="13"/>
      <c r="E129" s="13"/>
      <c r="F129" s="13"/>
      <c r="G129" s="13"/>
      <c r="H129" s="13"/>
      <c r="I129" s="13"/>
      <c r="J129" s="15"/>
      <c r="K129" s="13"/>
      <c r="L129" s="13"/>
      <c r="M129" s="12"/>
      <c r="N129" s="13"/>
      <c r="O129" s="13"/>
      <c r="P129" s="13"/>
      <c r="Q129" s="13"/>
      <c r="R129" s="13"/>
      <c r="S129" s="13"/>
      <c r="T129" s="13"/>
      <c r="U129" s="28"/>
      <c r="V129" s="28"/>
      <c r="W129" s="29"/>
      <c r="X129" s="28"/>
      <c r="Y129" s="28"/>
      <c r="Z129" s="13"/>
      <c r="AA129" s="13"/>
      <c r="AB129" s="13"/>
      <c r="AC129" s="13"/>
      <c r="AD129" s="13"/>
      <c r="AE129" s="13"/>
      <c r="AF129" s="12"/>
      <c r="AG129" s="12"/>
      <c r="AH129" s="12"/>
      <c r="AI129" s="12"/>
      <c r="AJ129" s="12"/>
      <c r="AK129" s="13"/>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c r="BP129" s="13"/>
      <c r="BQ129" s="13"/>
      <c r="BR129" s="13"/>
      <c r="BS129" s="13"/>
      <c r="BT129" s="13"/>
      <c r="BU129" s="13"/>
      <c r="BV129" s="13"/>
      <c r="BW129" s="13"/>
      <c r="BX129" s="13"/>
      <c r="BY129" s="13"/>
      <c r="BZ129" s="13"/>
      <c r="CA129" s="13"/>
      <c r="CB129" s="13"/>
      <c r="CC129" s="13"/>
      <c r="CD129" s="13"/>
      <c r="CE129" s="13"/>
    </row>
    <row r="130" spans="1:83" x14ac:dyDescent="0.3">
      <c r="A130" s="13"/>
      <c r="B130" s="15"/>
      <c r="C130" s="13"/>
      <c r="D130" s="13"/>
      <c r="E130" s="13"/>
      <c r="F130" s="13"/>
      <c r="G130" s="13"/>
      <c r="H130" s="13"/>
      <c r="I130" s="13"/>
      <c r="J130" s="15"/>
      <c r="K130" s="13"/>
      <c r="L130" s="13"/>
      <c r="M130" s="12"/>
      <c r="N130" s="13"/>
      <c r="O130" s="13"/>
      <c r="P130" s="13"/>
      <c r="Q130" s="13"/>
      <c r="R130" s="13"/>
      <c r="S130" s="13"/>
      <c r="T130" s="13"/>
      <c r="U130" s="28"/>
      <c r="V130" s="28"/>
      <c r="W130" s="29"/>
      <c r="X130" s="28"/>
      <c r="Y130" s="28"/>
      <c r="Z130" s="13"/>
      <c r="AA130" s="13"/>
      <c r="AB130" s="13"/>
      <c r="AC130" s="13"/>
      <c r="AD130" s="13"/>
      <c r="AE130" s="13"/>
      <c r="AF130" s="12"/>
      <c r="AG130" s="12"/>
      <c r="AH130" s="12"/>
      <c r="AI130" s="12"/>
      <c r="AJ130" s="12"/>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c r="BP130" s="13"/>
      <c r="BQ130" s="13"/>
      <c r="BR130" s="13"/>
      <c r="BS130" s="13"/>
      <c r="BT130" s="13"/>
      <c r="BU130" s="13"/>
      <c r="BV130" s="13"/>
      <c r="BW130" s="13"/>
      <c r="BX130" s="13"/>
      <c r="BY130" s="13"/>
      <c r="BZ130" s="13"/>
      <c r="CA130" s="13"/>
      <c r="CB130" s="13"/>
      <c r="CC130" s="13"/>
      <c r="CD130" s="13"/>
      <c r="CE130" s="13"/>
    </row>
    <row r="131" spans="1:83" x14ac:dyDescent="0.3">
      <c r="A131" s="13"/>
      <c r="B131" s="15"/>
      <c r="C131" s="13"/>
      <c r="D131" s="13"/>
      <c r="E131" s="13"/>
      <c r="F131" s="13"/>
      <c r="G131" s="13"/>
      <c r="H131" s="13"/>
      <c r="I131" s="13"/>
      <c r="J131" s="15"/>
      <c r="K131" s="13"/>
      <c r="L131" s="13"/>
      <c r="M131" s="12"/>
      <c r="N131" s="13"/>
      <c r="O131" s="13"/>
      <c r="P131" s="13"/>
      <c r="Q131" s="13"/>
      <c r="R131" s="13"/>
      <c r="S131" s="13"/>
      <c r="T131" s="13"/>
      <c r="U131" s="28"/>
      <c r="V131" s="28"/>
      <c r="W131" s="29"/>
      <c r="X131" s="28"/>
      <c r="Y131" s="28"/>
      <c r="Z131" s="13"/>
      <c r="AA131" s="13"/>
      <c r="AB131" s="13"/>
      <c r="AC131" s="13"/>
      <c r="AD131" s="13"/>
      <c r="AE131" s="13"/>
      <c r="AF131" s="12"/>
      <c r="AG131" s="12"/>
      <c r="AH131" s="12"/>
      <c r="AI131" s="12"/>
      <c r="AJ131" s="12"/>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c r="BP131" s="13"/>
      <c r="BQ131" s="13"/>
      <c r="BR131" s="13"/>
      <c r="BS131" s="13"/>
      <c r="BT131" s="13"/>
      <c r="BU131" s="13"/>
      <c r="BV131" s="13"/>
      <c r="BW131" s="13"/>
      <c r="BX131" s="13"/>
      <c r="BY131" s="13"/>
      <c r="BZ131" s="13"/>
      <c r="CA131" s="13"/>
      <c r="CB131" s="13"/>
      <c r="CC131" s="13"/>
      <c r="CD131" s="13"/>
      <c r="CE131" s="13"/>
    </row>
    <row r="132" spans="1:83" x14ac:dyDescent="0.3">
      <c r="A132" s="13"/>
      <c r="B132" s="15"/>
      <c r="C132" s="13"/>
      <c r="D132" s="13"/>
      <c r="E132" s="13"/>
      <c r="F132" s="13"/>
      <c r="G132" s="13"/>
      <c r="H132" s="13"/>
      <c r="I132" s="13"/>
      <c r="J132" s="15"/>
      <c r="K132" s="13"/>
      <c r="L132" s="13"/>
      <c r="M132" s="12"/>
      <c r="N132" s="13"/>
      <c r="O132" s="13"/>
      <c r="P132" s="13"/>
      <c r="Q132" s="13"/>
      <c r="R132" s="13"/>
      <c r="S132" s="13"/>
      <c r="T132" s="13"/>
      <c r="U132" s="28"/>
      <c r="V132" s="28"/>
      <c r="W132" s="29"/>
      <c r="X132" s="28"/>
      <c r="Y132" s="28"/>
      <c r="Z132" s="13"/>
      <c r="AA132" s="13"/>
      <c r="AB132" s="13"/>
      <c r="AC132" s="13"/>
      <c r="AD132" s="13"/>
      <c r="AE132" s="13"/>
      <c r="AF132" s="12"/>
      <c r="AG132" s="12"/>
      <c r="AH132" s="12"/>
      <c r="AI132" s="12"/>
      <c r="AJ132" s="12"/>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c r="BP132" s="13"/>
      <c r="BQ132" s="13"/>
      <c r="BR132" s="13"/>
      <c r="BS132" s="13"/>
      <c r="BT132" s="13"/>
      <c r="BU132" s="13"/>
      <c r="BV132" s="13"/>
      <c r="BW132" s="13"/>
      <c r="BX132" s="13"/>
      <c r="BY132" s="13"/>
      <c r="BZ132" s="13"/>
      <c r="CA132" s="13"/>
      <c r="CB132" s="13"/>
      <c r="CC132" s="13"/>
      <c r="CD132" s="13"/>
      <c r="CE132" s="13"/>
    </row>
    <row r="133" spans="1:83" x14ac:dyDescent="0.3">
      <c r="A133" s="13"/>
      <c r="B133" s="15"/>
      <c r="C133" s="13"/>
      <c r="D133" s="13"/>
      <c r="E133" s="13"/>
      <c r="F133" s="13"/>
      <c r="G133" s="13"/>
      <c r="H133" s="13"/>
      <c r="I133" s="13"/>
      <c r="J133" s="15"/>
      <c r="K133" s="13"/>
      <c r="L133" s="13"/>
      <c r="M133" s="12"/>
      <c r="N133" s="13"/>
      <c r="O133" s="13"/>
      <c r="P133" s="13"/>
      <c r="Q133" s="13"/>
      <c r="R133" s="13"/>
      <c r="S133" s="13"/>
      <c r="T133" s="13"/>
      <c r="U133" s="28"/>
      <c r="V133" s="28"/>
      <c r="W133" s="29"/>
      <c r="X133" s="28"/>
      <c r="Y133" s="28"/>
      <c r="Z133" s="13"/>
      <c r="AA133" s="13"/>
      <c r="AB133" s="13"/>
      <c r="AC133" s="13"/>
      <c r="AD133" s="13"/>
      <c r="AE133" s="13"/>
      <c r="AF133" s="12"/>
      <c r="AG133" s="12"/>
      <c r="AH133" s="12"/>
      <c r="AI133" s="12"/>
      <c r="AJ133" s="12"/>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c r="BH133" s="13"/>
      <c r="BI133" s="13"/>
      <c r="BJ133" s="13"/>
      <c r="BK133" s="13"/>
      <c r="BL133" s="13"/>
      <c r="BM133" s="13"/>
      <c r="BN133" s="13"/>
      <c r="BO133" s="13"/>
      <c r="BP133" s="13"/>
      <c r="BQ133" s="13"/>
      <c r="BR133" s="13"/>
      <c r="BS133" s="13"/>
      <c r="BT133" s="13"/>
      <c r="BU133" s="13"/>
      <c r="BV133" s="13"/>
      <c r="BW133" s="13"/>
      <c r="BX133" s="13"/>
      <c r="BY133" s="13"/>
      <c r="BZ133" s="13"/>
      <c r="CA133" s="13"/>
      <c r="CB133" s="13"/>
      <c r="CC133" s="13"/>
      <c r="CD133" s="13"/>
      <c r="CE133" s="13"/>
    </row>
    <row r="134" spans="1:83" x14ac:dyDescent="0.3">
      <c r="A134" s="13"/>
      <c r="B134" s="15"/>
      <c r="C134" s="13"/>
      <c r="D134" s="13"/>
      <c r="E134" s="13"/>
      <c r="F134" s="13"/>
      <c r="G134" s="13"/>
      <c r="H134" s="13"/>
      <c r="I134" s="13"/>
      <c r="J134" s="15"/>
      <c r="K134" s="13"/>
      <c r="L134" s="13"/>
      <c r="M134" s="12"/>
      <c r="N134" s="13"/>
      <c r="O134" s="13"/>
      <c r="P134" s="13"/>
      <c r="Q134" s="13"/>
      <c r="R134" s="13"/>
      <c r="S134" s="13"/>
      <c r="T134" s="13"/>
      <c r="U134" s="28"/>
      <c r="V134" s="28"/>
      <c r="W134" s="29"/>
      <c r="X134" s="28"/>
      <c r="Y134" s="28"/>
      <c r="Z134" s="13"/>
      <c r="AA134" s="13"/>
      <c r="AB134" s="13"/>
      <c r="AC134" s="13"/>
      <c r="AD134" s="13"/>
      <c r="AE134" s="13"/>
      <c r="AF134" s="12"/>
      <c r="AG134" s="12"/>
      <c r="AH134" s="12"/>
      <c r="AI134" s="12"/>
      <c r="AJ134" s="12"/>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c r="BM134" s="13"/>
      <c r="BN134" s="13"/>
      <c r="BO134" s="13"/>
      <c r="BP134" s="13"/>
      <c r="BQ134" s="13"/>
      <c r="BR134" s="13"/>
      <c r="BS134" s="13"/>
      <c r="BT134" s="13"/>
      <c r="BU134" s="13"/>
      <c r="BV134" s="13"/>
      <c r="BW134" s="13"/>
      <c r="BX134" s="13"/>
      <c r="BY134" s="13"/>
      <c r="BZ134" s="13"/>
      <c r="CA134" s="13"/>
      <c r="CB134" s="13"/>
      <c r="CC134" s="13"/>
      <c r="CD134" s="13"/>
      <c r="CE134" s="13"/>
    </row>
    <row r="135" spans="1:83" x14ac:dyDescent="0.3">
      <c r="A135" s="13"/>
      <c r="B135" s="15"/>
      <c r="C135" s="13"/>
      <c r="D135" s="13"/>
      <c r="E135" s="13"/>
      <c r="F135" s="13"/>
      <c r="G135" s="13"/>
      <c r="H135" s="13"/>
      <c r="I135" s="13"/>
      <c r="J135" s="15"/>
      <c r="K135" s="13"/>
      <c r="L135" s="13"/>
      <c r="M135" s="12"/>
      <c r="N135" s="13"/>
      <c r="O135" s="13"/>
      <c r="P135" s="13"/>
      <c r="Q135" s="13"/>
      <c r="R135" s="13"/>
      <c r="S135" s="13"/>
      <c r="T135" s="13"/>
      <c r="U135" s="28"/>
      <c r="V135" s="28"/>
      <c r="W135" s="29"/>
      <c r="X135" s="28"/>
      <c r="Y135" s="28"/>
      <c r="Z135" s="13"/>
      <c r="AA135" s="13"/>
      <c r="AB135" s="13"/>
      <c r="AC135" s="13"/>
      <c r="AD135" s="13"/>
      <c r="AE135" s="13"/>
      <c r="AF135" s="12"/>
      <c r="AG135" s="12"/>
      <c r="AH135" s="12"/>
      <c r="AI135" s="12"/>
      <c r="AJ135" s="12"/>
      <c r="AK135" s="13"/>
      <c r="AL135" s="13"/>
      <c r="AM135" s="13"/>
      <c r="AN135" s="13"/>
      <c r="AO135" s="13"/>
      <c r="AP135" s="13"/>
      <c r="AQ135" s="13"/>
      <c r="AR135" s="13"/>
      <c r="AS135" s="13"/>
      <c r="AT135" s="13"/>
      <c r="AU135" s="13"/>
      <c r="AV135" s="13"/>
      <c r="AW135" s="13"/>
      <c r="AX135" s="13"/>
      <c r="AY135" s="13"/>
      <c r="AZ135" s="13"/>
      <c r="BA135" s="13"/>
      <c r="BB135" s="13"/>
      <c r="BC135" s="13"/>
      <c r="BD135" s="13"/>
      <c r="BE135" s="13"/>
      <c r="BF135" s="13"/>
      <c r="BG135" s="13"/>
      <c r="BH135" s="13"/>
      <c r="BI135" s="13"/>
      <c r="BJ135" s="13"/>
      <c r="BK135" s="13"/>
      <c r="BL135" s="13"/>
      <c r="BM135" s="13"/>
      <c r="BN135" s="13"/>
      <c r="BO135" s="13"/>
      <c r="BP135" s="13"/>
      <c r="BQ135" s="13"/>
      <c r="BR135" s="13"/>
      <c r="BS135" s="13"/>
      <c r="BT135" s="13"/>
      <c r="BU135" s="13"/>
      <c r="BV135" s="13"/>
      <c r="BW135" s="13"/>
      <c r="BX135" s="13"/>
      <c r="BY135" s="13"/>
      <c r="BZ135" s="13"/>
      <c r="CA135" s="13"/>
      <c r="CB135" s="13"/>
      <c r="CC135" s="13"/>
      <c r="CD135" s="13"/>
      <c r="CE135" s="13"/>
    </row>
    <row r="136" spans="1:83" x14ac:dyDescent="0.3">
      <c r="A136" s="13"/>
      <c r="B136" s="15"/>
      <c r="C136" s="13"/>
      <c r="D136" s="13"/>
      <c r="E136" s="13"/>
      <c r="F136" s="13"/>
      <c r="G136" s="13"/>
      <c r="H136" s="13"/>
      <c r="I136" s="13"/>
      <c r="J136" s="15"/>
      <c r="K136" s="13"/>
      <c r="L136" s="13"/>
      <c r="M136" s="12"/>
      <c r="N136" s="13"/>
      <c r="O136" s="13"/>
      <c r="P136" s="13"/>
      <c r="Q136" s="13"/>
      <c r="R136" s="13"/>
      <c r="S136" s="13"/>
      <c r="T136" s="13"/>
      <c r="U136" s="28"/>
      <c r="V136" s="28"/>
      <c r="W136" s="29"/>
      <c r="X136" s="28"/>
      <c r="Y136" s="28"/>
      <c r="Z136" s="13"/>
      <c r="AA136" s="13"/>
      <c r="AB136" s="13"/>
      <c r="AC136" s="13"/>
      <c r="AD136" s="13"/>
      <c r="AE136" s="13"/>
      <c r="AF136" s="12"/>
      <c r="AG136" s="12"/>
      <c r="AH136" s="12"/>
      <c r="AI136" s="12"/>
      <c r="AJ136" s="12"/>
      <c r="AK136" s="13"/>
      <c r="AL136" s="13"/>
      <c r="AM136" s="13"/>
      <c r="AN136" s="13"/>
      <c r="AO136" s="13"/>
      <c r="AP136" s="13"/>
      <c r="AQ136" s="13"/>
      <c r="AR136" s="13"/>
      <c r="AS136" s="13"/>
      <c r="AT136" s="13"/>
      <c r="AU136" s="13"/>
      <c r="AV136" s="13"/>
      <c r="AW136" s="13"/>
      <c r="AX136" s="13"/>
      <c r="AY136" s="13"/>
      <c r="AZ136" s="13"/>
      <c r="BA136" s="13"/>
      <c r="BB136" s="13"/>
      <c r="BC136" s="13"/>
      <c r="BD136" s="13"/>
      <c r="BE136" s="13"/>
      <c r="BF136" s="13"/>
      <c r="BG136" s="13"/>
      <c r="BH136" s="13"/>
      <c r="BI136" s="13"/>
      <c r="BJ136" s="13"/>
      <c r="BK136" s="13"/>
      <c r="BL136" s="13"/>
      <c r="BM136" s="13"/>
      <c r="BN136" s="13"/>
      <c r="BO136" s="13"/>
      <c r="BP136" s="13"/>
      <c r="BQ136" s="13"/>
      <c r="BR136" s="13"/>
      <c r="BS136" s="13"/>
      <c r="BT136" s="13"/>
      <c r="BU136" s="13"/>
      <c r="BV136" s="13"/>
      <c r="BW136" s="13"/>
      <c r="BX136" s="13"/>
      <c r="BY136" s="13"/>
      <c r="BZ136" s="13"/>
      <c r="CA136" s="13"/>
      <c r="CB136" s="13"/>
      <c r="CC136" s="13"/>
      <c r="CD136" s="13"/>
      <c r="CE136" s="13"/>
    </row>
    <row r="137" spans="1:83" x14ac:dyDescent="0.3">
      <c r="A137" s="13"/>
      <c r="B137" s="15"/>
      <c r="C137" s="13"/>
      <c r="D137" s="13"/>
      <c r="E137" s="13"/>
      <c r="F137" s="13"/>
      <c r="G137" s="13"/>
      <c r="H137" s="13"/>
      <c r="I137" s="13"/>
      <c r="J137" s="15"/>
      <c r="K137" s="13"/>
      <c r="L137" s="13"/>
      <c r="M137" s="12"/>
      <c r="N137" s="13"/>
      <c r="O137" s="13"/>
      <c r="P137" s="13"/>
      <c r="Q137" s="13"/>
      <c r="R137" s="13"/>
      <c r="S137" s="13"/>
      <c r="T137" s="13"/>
      <c r="U137" s="28"/>
      <c r="V137" s="28"/>
      <c r="W137" s="29"/>
      <c r="X137" s="28"/>
      <c r="Y137" s="28"/>
      <c r="Z137" s="13"/>
      <c r="AA137" s="13"/>
      <c r="AB137" s="13"/>
      <c r="AC137" s="13"/>
      <c r="AD137" s="13"/>
      <c r="AE137" s="13"/>
      <c r="AF137" s="12"/>
      <c r="AG137" s="12"/>
      <c r="AH137" s="12"/>
      <c r="AI137" s="12"/>
      <c r="AJ137" s="12"/>
      <c r="AK137" s="13"/>
      <c r="AL137" s="13"/>
      <c r="AM137" s="13"/>
      <c r="AN137" s="13"/>
      <c r="AO137" s="13"/>
      <c r="AP137" s="13"/>
      <c r="AQ137" s="13"/>
      <c r="AR137" s="13"/>
      <c r="AS137" s="13"/>
      <c r="AT137" s="13"/>
      <c r="AU137" s="13"/>
      <c r="AV137" s="13"/>
      <c r="AW137" s="13"/>
      <c r="AX137" s="13"/>
      <c r="AY137" s="13"/>
      <c r="AZ137" s="13"/>
      <c r="BA137" s="13"/>
      <c r="BB137" s="13"/>
      <c r="BC137" s="13"/>
      <c r="BD137" s="13"/>
      <c r="BE137" s="13"/>
      <c r="BF137" s="13"/>
      <c r="BG137" s="13"/>
      <c r="BH137" s="13"/>
      <c r="BI137" s="13"/>
      <c r="BJ137" s="13"/>
      <c r="BK137" s="13"/>
      <c r="BL137" s="13"/>
      <c r="BM137" s="13"/>
      <c r="BN137" s="13"/>
      <c r="BO137" s="13"/>
      <c r="BP137" s="13"/>
      <c r="BQ137" s="13"/>
      <c r="BR137" s="13"/>
      <c r="BS137" s="13"/>
      <c r="BT137" s="13"/>
      <c r="BU137" s="13"/>
      <c r="BV137" s="13"/>
      <c r="BW137" s="13"/>
      <c r="BX137" s="13"/>
      <c r="BY137" s="13"/>
      <c r="BZ137" s="13"/>
      <c r="CA137" s="13"/>
      <c r="CB137" s="13"/>
      <c r="CC137" s="13"/>
      <c r="CD137" s="13"/>
      <c r="CE137" s="13"/>
    </row>
    <row r="138" spans="1:83" x14ac:dyDescent="0.3">
      <c r="A138" s="13"/>
      <c r="B138" s="15"/>
      <c r="C138" s="13"/>
      <c r="D138" s="13"/>
      <c r="E138" s="13"/>
      <c r="F138" s="13"/>
      <c r="G138" s="13"/>
      <c r="H138" s="13"/>
      <c r="I138" s="13"/>
      <c r="J138" s="15"/>
      <c r="K138" s="13"/>
      <c r="L138" s="13"/>
      <c r="M138" s="12"/>
      <c r="N138" s="13"/>
      <c r="O138" s="13"/>
      <c r="P138" s="13"/>
      <c r="Q138" s="13"/>
      <c r="R138" s="13"/>
      <c r="S138" s="13"/>
      <c r="T138" s="13"/>
      <c r="U138" s="28"/>
      <c r="V138" s="28"/>
      <c r="W138" s="29"/>
      <c r="X138" s="28"/>
      <c r="Y138" s="28"/>
      <c r="Z138" s="13"/>
      <c r="AA138" s="13"/>
      <c r="AB138" s="13"/>
      <c r="AC138" s="13"/>
      <c r="AD138" s="13"/>
      <c r="AE138" s="13"/>
      <c r="AF138" s="12"/>
      <c r="AG138" s="12"/>
      <c r="AH138" s="12"/>
      <c r="AI138" s="12"/>
      <c r="AJ138" s="12"/>
      <c r="AK138" s="13"/>
      <c r="AL138" s="13"/>
      <c r="AM138" s="13"/>
      <c r="AN138" s="13"/>
      <c r="AO138" s="13"/>
      <c r="AP138" s="13"/>
      <c r="AQ138" s="13"/>
      <c r="AR138" s="13"/>
      <c r="AS138" s="13"/>
      <c r="AT138" s="13"/>
      <c r="AU138" s="13"/>
      <c r="AV138" s="13"/>
      <c r="AW138" s="13"/>
      <c r="AX138" s="13"/>
      <c r="AY138" s="13"/>
      <c r="AZ138" s="13"/>
      <c r="BA138" s="13"/>
      <c r="BB138" s="13"/>
      <c r="BC138" s="13"/>
      <c r="BD138" s="13"/>
      <c r="BE138" s="13"/>
      <c r="BF138" s="13"/>
      <c r="BG138" s="13"/>
      <c r="BH138" s="13"/>
      <c r="BI138" s="13"/>
      <c r="BJ138" s="13"/>
      <c r="BK138" s="13"/>
      <c r="BL138" s="13"/>
      <c r="BM138" s="13"/>
      <c r="BN138" s="13"/>
      <c r="BO138" s="13"/>
      <c r="BP138" s="13"/>
      <c r="BQ138" s="13"/>
      <c r="BR138" s="13"/>
      <c r="BS138" s="13"/>
      <c r="BT138" s="13"/>
      <c r="BU138" s="13"/>
      <c r="BV138" s="13"/>
      <c r="BW138" s="13"/>
      <c r="BX138" s="13"/>
      <c r="BY138" s="13"/>
      <c r="BZ138" s="13"/>
      <c r="CA138" s="13"/>
      <c r="CB138" s="13"/>
      <c r="CC138" s="13"/>
      <c r="CD138" s="13"/>
      <c r="CE138" s="13"/>
    </row>
    <row r="139" spans="1:83" x14ac:dyDescent="0.3">
      <c r="A139" s="13"/>
      <c r="B139" s="15"/>
      <c r="C139" s="13"/>
      <c r="D139" s="13"/>
      <c r="E139" s="13"/>
      <c r="F139" s="13"/>
      <c r="G139" s="13"/>
      <c r="H139" s="13"/>
      <c r="I139" s="13"/>
      <c r="J139" s="15"/>
      <c r="K139" s="13"/>
      <c r="L139" s="13"/>
      <c r="M139" s="12"/>
      <c r="N139" s="13"/>
      <c r="O139" s="13"/>
      <c r="P139" s="13"/>
      <c r="Q139" s="13"/>
      <c r="R139" s="13"/>
      <c r="S139" s="13"/>
      <c r="T139" s="13"/>
      <c r="U139" s="28"/>
      <c r="V139" s="28"/>
      <c r="W139" s="29"/>
      <c r="X139" s="28"/>
      <c r="Y139" s="28"/>
      <c r="Z139" s="13"/>
      <c r="AA139" s="13"/>
      <c r="AB139" s="13"/>
      <c r="AC139" s="13"/>
      <c r="AD139" s="13"/>
      <c r="AE139" s="13"/>
      <c r="AF139" s="12"/>
      <c r="AG139" s="12"/>
      <c r="AH139" s="12"/>
      <c r="AI139" s="12"/>
      <c r="AJ139" s="12"/>
      <c r="AK139" s="13"/>
      <c r="AL139" s="13"/>
      <c r="AM139" s="13"/>
      <c r="AN139" s="13"/>
      <c r="AO139" s="13"/>
      <c r="AP139" s="13"/>
      <c r="AQ139" s="13"/>
      <c r="AR139" s="13"/>
      <c r="AS139" s="13"/>
      <c r="AT139" s="13"/>
      <c r="AU139" s="13"/>
      <c r="AV139" s="13"/>
      <c r="AW139" s="13"/>
      <c r="AX139" s="13"/>
      <c r="AY139" s="13"/>
      <c r="AZ139" s="13"/>
      <c r="BA139" s="13"/>
      <c r="BB139" s="13"/>
      <c r="BC139" s="13"/>
      <c r="BD139" s="13"/>
      <c r="BE139" s="13"/>
      <c r="BF139" s="13"/>
      <c r="BG139" s="13"/>
      <c r="BH139" s="13"/>
      <c r="BI139" s="13"/>
      <c r="BJ139" s="13"/>
      <c r="BK139" s="13"/>
      <c r="BL139" s="13"/>
      <c r="BM139" s="13"/>
      <c r="BN139" s="13"/>
      <c r="BO139" s="13"/>
      <c r="BP139" s="13"/>
      <c r="BQ139" s="13"/>
      <c r="BR139" s="13"/>
      <c r="BS139" s="13"/>
      <c r="BT139" s="13"/>
      <c r="BU139" s="13"/>
      <c r="BV139" s="13"/>
      <c r="BW139" s="13"/>
      <c r="BX139" s="13"/>
      <c r="BY139" s="13"/>
      <c r="BZ139" s="13"/>
      <c r="CA139" s="13"/>
      <c r="CB139" s="13"/>
      <c r="CC139" s="13"/>
      <c r="CD139" s="13"/>
      <c r="CE139" s="13"/>
    </row>
    <row r="140" spans="1:83" x14ac:dyDescent="0.3">
      <c r="A140" s="13"/>
      <c r="B140" s="15"/>
      <c r="C140" s="13"/>
      <c r="D140" s="13"/>
      <c r="E140" s="13"/>
      <c r="F140" s="13"/>
      <c r="G140" s="13"/>
      <c r="H140" s="13"/>
      <c r="I140" s="13"/>
      <c r="J140" s="15"/>
      <c r="K140" s="13"/>
      <c r="L140" s="13"/>
      <c r="M140" s="12"/>
      <c r="N140" s="13"/>
      <c r="O140" s="13"/>
      <c r="P140" s="13"/>
      <c r="Q140" s="13"/>
      <c r="R140" s="13"/>
      <c r="S140" s="13"/>
      <c r="T140" s="13"/>
      <c r="U140" s="28"/>
      <c r="V140" s="28"/>
      <c r="W140" s="29"/>
      <c r="X140" s="28"/>
      <c r="Y140" s="28"/>
      <c r="Z140" s="13"/>
      <c r="AA140" s="13"/>
      <c r="AB140" s="13"/>
      <c r="AC140" s="13"/>
      <c r="AD140" s="13"/>
      <c r="AE140" s="13"/>
      <c r="AF140" s="12"/>
      <c r="AG140" s="12"/>
      <c r="AH140" s="12"/>
      <c r="AI140" s="12"/>
      <c r="AJ140" s="12"/>
      <c r="AK140" s="13"/>
      <c r="AL140" s="13"/>
      <c r="AM140" s="13"/>
      <c r="AN140" s="13"/>
      <c r="AO140" s="13"/>
      <c r="AP140" s="13"/>
      <c r="AQ140" s="13"/>
      <c r="AR140" s="13"/>
      <c r="AS140" s="13"/>
      <c r="AT140" s="13"/>
      <c r="AU140" s="13"/>
      <c r="AV140" s="13"/>
      <c r="AW140" s="13"/>
      <c r="AX140" s="13"/>
      <c r="AY140" s="13"/>
      <c r="AZ140" s="13"/>
      <c r="BA140" s="13"/>
      <c r="BB140" s="13"/>
      <c r="BC140" s="13"/>
      <c r="BD140" s="13"/>
      <c r="BE140" s="13"/>
      <c r="BF140" s="13"/>
      <c r="BG140" s="13"/>
      <c r="BH140" s="13"/>
      <c r="BI140" s="13"/>
      <c r="BJ140" s="13"/>
      <c r="BK140" s="13"/>
      <c r="BL140" s="13"/>
      <c r="BM140" s="13"/>
      <c r="BN140" s="13"/>
      <c r="BO140" s="13"/>
      <c r="BP140" s="13"/>
      <c r="BQ140" s="13"/>
      <c r="BR140" s="13"/>
      <c r="BS140" s="13"/>
      <c r="BT140" s="13"/>
      <c r="BU140" s="13"/>
      <c r="BV140" s="13"/>
      <c r="BW140" s="13"/>
      <c r="BX140" s="13"/>
      <c r="BY140" s="13"/>
      <c r="BZ140" s="13"/>
      <c r="CA140" s="13"/>
      <c r="CB140" s="13"/>
      <c r="CC140" s="13"/>
      <c r="CD140" s="13"/>
      <c r="CE140" s="13"/>
    </row>
    <row r="141" spans="1:83" x14ac:dyDescent="0.3">
      <c r="A141" s="13"/>
      <c r="B141" s="15"/>
      <c r="C141" s="13"/>
      <c r="D141" s="13"/>
      <c r="E141" s="13"/>
      <c r="F141" s="13"/>
      <c r="G141" s="13"/>
      <c r="H141" s="13"/>
      <c r="I141" s="13"/>
      <c r="J141" s="15"/>
      <c r="K141" s="13"/>
      <c r="L141" s="13"/>
      <c r="M141" s="12"/>
      <c r="N141" s="13"/>
      <c r="O141" s="13"/>
      <c r="P141" s="13"/>
      <c r="Q141" s="13"/>
      <c r="R141" s="13"/>
      <c r="S141" s="13"/>
      <c r="T141" s="13"/>
      <c r="U141" s="28"/>
      <c r="V141" s="28"/>
      <c r="W141" s="29"/>
      <c r="X141" s="28"/>
      <c r="Y141" s="28"/>
      <c r="Z141" s="13"/>
      <c r="AA141" s="13"/>
      <c r="AB141" s="13"/>
      <c r="AC141" s="13"/>
      <c r="AD141" s="13"/>
      <c r="AE141" s="13"/>
      <c r="AF141" s="12"/>
      <c r="AG141" s="12"/>
      <c r="AH141" s="12"/>
      <c r="AI141" s="12"/>
      <c r="AJ141" s="12"/>
      <c r="AK141" s="13"/>
      <c r="AL141" s="13"/>
      <c r="AM141" s="13"/>
      <c r="AN141" s="13"/>
      <c r="AO141" s="13"/>
      <c r="AP141" s="13"/>
      <c r="AQ141" s="13"/>
      <c r="AR141" s="13"/>
      <c r="AS141" s="13"/>
      <c r="AT141" s="13"/>
      <c r="AU141" s="13"/>
      <c r="AV141" s="13"/>
      <c r="AW141" s="13"/>
      <c r="AX141" s="13"/>
      <c r="AY141" s="13"/>
      <c r="AZ141" s="13"/>
      <c r="BA141" s="13"/>
      <c r="BB141" s="13"/>
      <c r="BC141" s="13"/>
      <c r="BD141" s="13"/>
      <c r="BE141" s="13"/>
      <c r="BF141" s="13"/>
      <c r="BG141" s="13"/>
      <c r="BH141" s="13"/>
      <c r="BI141" s="13"/>
      <c r="BJ141" s="13"/>
      <c r="BK141" s="13"/>
      <c r="BL141" s="13"/>
      <c r="BM141" s="13"/>
      <c r="BN141" s="13"/>
      <c r="BO141" s="13"/>
      <c r="BP141" s="13"/>
      <c r="BQ141" s="13"/>
      <c r="BR141" s="13"/>
      <c r="BS141" s="13"/>
      <c r="BT141" s="13"/>
      <c r="BU141" s="13"/>
      <c r="BV141" s="13"/>
      <c r="BW141" s="13"/>
      <c r="BX141" s="13"/>
      <c r="BY141" s="13"/>
      <c r="BZ141" s="13"/>
      <c r="CA141" s="13"/>
      <c r="CB141" s="13"/>
      <c r="CC141" s="13"/>
      <c r="CD141" s="13"/>
      <c r="CE141" s="13"/>
    </row>
    <row r="142" spans="1:83" x14ac:dyDescent="0.3">
      <c r="A142" s="13"/>
      <c r="B142" s="15"/>
      <c r="C142" s="13"/>
      <c r="D142" s="13"/>
      <c r="E142" s="13"/>
      <c r="F142" s="13"/>
      <c r="G142" s="13"/>
      <c r="H142" s="13"/>
      <c r="I142" s="13"/>
      <c r="J142" s="15"/>
      <c r="K142" s="13"/>
      <c r="L142" s="13"/>
      <c r="M142" s="12"/>
      <c r="N142" s="13"/>
      <c r="O142" s="13"/>
      <c r="P142" s="13"/>
      <c r="Q142" s="13"/>
      <c r="R142" s="13"/>
      <c r="S142" s="13"/>
      <c r="T142" s="13"/>
      <c r="U142" s="28"/>
      <c r="V142" s="28"/>
      <c r="W142" s="29"/>
      <c r="X142" s="28"/>
      <c r="Y142" s="28"/>
      <c r="Z142" s="13"/>
      <c r="AA142" s="13"/>
      <c r="AB142" s="13"/>
      <c r="AC142" s="13"/>
      <c r="AD142" s="13"/>
      <c r="AE142" s="13"/>
      <c r="AF142" s="12"/>
      <c r="AG142" s="12"/>
      <c r="AH142" s="12"/>
      <c r="AI142" s="12"/>
      <c r="AJ142" s="12"/>
      <c r="AK142" s="13"/>
      <c r="AL142" s="13"/>
      <c r="AM142" s="13"/>
      <c r="AN142" s="13"/>
      <c r="AO142" s="13"/>
      <c r="AP142" s="13"/>
      <c r="AQ142" s="13"/>
      <c r="AR142" s="13"/>
      <c r="AS142" s="13"/>
      <c r="AT142" s="13"/>
      <c r="AU142" s="13"/>
      <c r="AV142" s="13"/>
      <c r="AW142" s="13"/>
      <c r="AX142" s="13"/>
      <c r="AY142" s="13"/>
      <c r="AZ142" s="13"/>
      <c r="BA142" s="13"/>
      <c r="BB142" s="13"/>
      <c r="BC142" s="13"/>
      <c r="BD142" s="13"/>
      <c r="BE142" s="13"/>
      <c r="BF142" s="13"/>
      <c r="BG142" s="13"/>
      <c r="BH142" s="13"/>
      <c r="BI142" s="13"/>
      <c r="BJ142" s="13"/>
      <c r="BK142" s="13"/>
      <c r="BL142" s="13"/>
      <c r="BM142" s="13"/>
      <c r="BN142" s="13"/>
      <c r="BO142" s="13"/>
      <c r="BP142" s="13"/>
      <c r="BQ142" s="13"/>
      <c r="BR142" s="13"/>
      <c r="BS142" s="13"/>
      <c r="BT142" s="13"/>
      <c r="BU142" s="13"/>
      <c r="BV142" s="13"/>
      <c r="BW142" s="13"/>
      <c r="BX142" s="13"/>
      <c r="BY142" s="13"/>
      <c r="BZ142" s="13"/>
      <c r="CA142" s="13"/>
      <c r="CB142" s="13"/>
      <c r="CC142" s="13"/>
      <c r="CD142" s="13"/>
      <c r="CE142" s="1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3:AJ254"/>
  <sheetViews>
    <sheetView showGridLines="0" zoomScale="70" zoomScaleNormal="70" workbookViewId="0">
      <selection activeCell="J22" sqref="A1:J22"/>
    </sheetView>
  </sheetViews>
  <sheetFormatPr baseColWidth="10" defaultColWidth="9.109375" defaultRowHeight="14.4" x14ac:dyDescent="0.3"/>
  <cols>
    <col min="1" max="1" width="2.109375" customWidth="1"/>
    <col min="2" max="2" width="16.5546875" bestFit="1" customWidth="1"/>
    <col min="3" max="3" width="19.109375" bestFit="1" customWidth="1"/>
    <col min="9" max="9" width="9" customWidth="1"/>
    <col min="10" max="10" width="9" style="1" customWidth="1"/>
    <col min="11" max="12" width="9" customWidth="1"/>
    <col min="13" max="13" width="9" style="3" customWidth="1"/>
    <col min="15" max="15" width="16.88671875" customWidth="1"/>
  </cols>
  <sheetData>
    <row r="3" s="13" customFormat="1" x14ac:dyDescent="0.3"/>
    <row r="4" s="13" customFormat="1" x14ac:dyDescent="0.3"/>
    <row r="5" s="13" customFormat="1" x14ac:dyDescent="0.3"/>
    <row r="6" s="13" customFormat="1" x14ac:dyDescent="0.3"/>
    <row r="7" s="13" customFormat="1" x14ac:dyDescent="0.3"/>
    <row r="8" s="13" customFormat="1" x14ac:dyDescent="0.3"/>
    <row r="9" s="13" customFormat="1" x14ac:dyDescent="0.3"/>
    <row r="10" s="13" customFormat="1" x14ac:dyDescent="0.3"/>
    <row r="11" s="13" customFormat="1" x14ac:dyDescent="0.3"/>
    <row r="12" s="13" customFormat="1" x14ac:dyDescent="0.3"/>
    <row r="13" s="13" customFormat="1" x14ac:dyDescent="0.3"/>
    <row r="14" s="13" customFormat="1" x14ac:dyDescent="0.3"/>
    <row r="15" s="13" customFormat="1" x14ac:dyDescent="0.3"/>
    <row r="16" s="13" customFormat="1" x14ac:dyDescent="0.3"/>
    <row r="17" s="13" customFormat="1" x14ac:dyDescent="0.3"/>
    <row r="18" s="13" customFormat="1" x14ac:dyDescent="0.3"/>
    <row r="19" s="13" customFormat="1" x14ac:dyDescent="0.3"/>
    <row r="20" s="13" customFormat="1" x14ac:dyDescent="0.3"/>
    <row r="21" s="13" customFormat="1" x14ac:dyDescent="0.3"/>
    <row r="22" s="13" customFormat="1" x14ac:dyDescent="0.3"/>
    <row r="23" s="13" customFormat="1" x14ac:dyDescent="0.3"/>
    <row r="24" s="13" customFormat="1" x14ac:dyDescent="0.3"/>
    <row r="25" s="13" customFormat="1" x14ac:dyDescent="0.3"/>
    <row r="26" s="13" customFormat="1" x14ac:dyDescent="0.3"/>
    <row r="27" s="13" customFormat="1" x14ac:dyDescent="0.3"/>
    <row r="28" s="13" customFormat="1" x14ac:dyDescent="0.3"/>
    <row r="29" s="13" customFormat="1" x14ac:dyDescent="0.3"/>
    <row r="30" s="13" customFormat="1" x14ac:dyDescent="0.3"/>
    <row r="31" s="13" customFormat="1" x14ac:dyDescent="0.3"/>
    <row r="32" s="13" customFormat="1" x14ac:dyDescent="0.3"/>
    <row r="33" s="13" customFormat="1" x14ac:dyDescent="0.3"/>
    <row r="34" s="13" customFormat="1" x14ac:dyDescent="0.3"/>
    <row r="35" s="13" customFormat="1" x14ac:dyDescent="0.3"/>
    <row r="36" s="13" customFormat="1" x14ac:dyDescent="0.3"/>
    <row r="37" s="13" customFormat="1" x14ac:dyDescent="0.3"/>
    <row r="38" s="13" customFormat="1" x14ac:dyDescent="0.3"/>
    <row r="39" s="13" customFormat="1" x14ac:dyDescent="0.3"/>
    <row r="40" s="13" customFormat="1" x14ac:dyDescent="0.3"/>
    <row r="41" s="13" customFormat="1" x14ac:dyDescent="0.3"/>
    <row r="42" s="13" customFormat="1" x14ac:dyDescent="0.3"/>
    <row r="43" s="13" customFormat="1" x14ac:dyDescent="0.3"/>
    <row r="44" s="13" customFormat="1" x14ac:dyDescent="0.3"/>
    <row r="45" s="13" customFormat="1" x14ac:dyDescent="0.3"/>
    <row r="46" s="13" customFormat="1" x14ac:dyDescent="0.3"/>
    <row r="47" s="13" customFormat="1" x14ac:dyDescent="0.3"/>
    <row r="48" s="13" customFormat="1" x14ac:dyDescent="0.3"/>
    <row r="49" s="13" customFormat="1" x14ac:dyDescent="0.3"/>
    <row r="50" s="13" customFormat="1" x14ac:dyDescent="0.3"/>
    <row r="51" s="13" customFormat="1" x14ac:dyDescent="0.3"/>
    <row r="52" s="13" customFormat="1" x14ac:dyDescent="0.3"/>
    <row r="53" s="13" customFormat="1" x14ac:dyDescent="0.3"/>
    <row r="54" s="13" customFormat="1" x14ac:dyDescent="0.3"/>
    <row r="55" s="13" customFormat="1" x14ac:dyDescent="0.3"/>
    <row r="56" s="13" customFormat="1" x14ac:dyDescent="0.3"/>
    <row r="57" s="13" customFormat="1" x14ac:dyDescent="0.3"/>
    <row r="58" s="13" customFormat="1" x14ac:dyDescent="0.3"/>
    <row r="59" s="13" customFormat="1" x14ac:dyDescent="0.3"/>
    <row r="60" s="13" customFormat="1" x14ac:dyDescent="0.3"/>
    <row r="61" s="13" customFormat="1" x14ac:dyDescent="0.3"/>
    <row r="62" s="13" customFormat="1" x14ac:dyDescent="0.3"/>
    <row r="63" s="13" customFormat="1" x14ac:dyDescent="0.3"/>
    <row r="64" s="13" customFormat="1" x14ac:dyDescent="0.3"/>
    <row r="65" s="13" customFormat="1" x14ac:dyDescent="0.3"/>
    <row r="66" s="13" customFormat="1" x14ac:dyDescent="0.3"/>
    <row r="67" s="13" customFormat="1" x14ac:dyDescent="0.3"/>
    <row r="68" s="13" customFormat="1" x14ac:dyDescent="0.3"/>
    <row r="69" s="13" customFormat="1" x14ac:dyDescent="0.3"/>
    <row r="70" s="13" customFormat="1" x14ac:dyDescent="0.3"/>
    <row r="71" s="13" customFormat="1" x14ac:dyDescent="0.3"/>
    <row r="72" s="13" customFormat="1" x14ac:dyDescent="0.3"/>
    <row r="73" s="13" customFormat="1" x14ac:dyDescent="0.3"/>
    <row r="74" s="13" customFormat="1" x14ac:dyDescent="0.3"/>
    <row r="75" s="13" customFormat="1" x14ac:dyDescent="0.3"/>
    <row r="76" s="13" customFormat="1" x14ac:dyDescent="0.3"/>
    <row r="77" s="13" customFormat="1" x14ac:dyDescent="0.3"/>
    <row r="78" s="13" customFormat="1" x14ac:dyDescent="0.3"/>
    <row r="79" s="13" customFormat="1" x14ac:dyDescent="0.3"/>
    <row r="80" s="13" customFormat="1" x14ac:dyDescent="0.3"/>
    <row r="81" s="13" customFormat="1" x14ac:dyDescent="0.3"/>
    <row r="82" s="13" customFormat="1" x14ac:dyDescent="0.3"/>
    <row r="83" s="13" customFormat="1" x14ac:dyDescent="0.3"/>
    <row r="84" s="13" customFormat="1" x14ac:dyDescent="0.3"/>
    <row r="85" s="13" customFormat="1" x14ac:dyDescent="0.3"/>
    <row r="86" s="13" customFormat="1" x14ac:dyDescent="0.3"/>
    <row r="87" s="13" customFormat="1" x14ac:dyDescent="0.3"/>
    <row r="88" s="13" customFormat="1" x14ac:dyDescent="0.3"/>
    <row r="89" s="13" customFormat="1" x14ac:dyDescent="0.3"/>
    <row r="90" s="13" customFormat="1" x14ac:dyDescent="0.3"/>
    <row r="91" s="13" customFormat="1" x14ac:dyDescent="0.3"/>
    <row r="92" s="13" customFormat="1" x14ac:dyDescent="0.3"/>
    <row r="93" s="13" customFormat="1" x14ac:dyDescent="0.3"/>
    <row r="94" s="13" customFormat="1" x14ac:dyDescent="0.3"/>
    <row r="95" s="13" customFormat="1" x14ac:dyDescent="0.3"/>
    <row r="96" s="13" customFormat="1" x14ac:dyDescent="0.3"/>
    <row r="97" s="13" customFormat="1" x14ac:dyDescent="0.3"/>
    <row r="98" s="13" customFormat="1" x14ac:dyDescent="0.3"/>
    <row r="99" s="13" customFormat="1" x14ac:dyDescent="0.3"/>
    <row r="100" s="13" customFormat="1" x14ac:dyDescent="0.3"/>
    <row r="101" s="13" customFormat="1" x14ac:dyDescent="0.3"/>
    <row r="102" s="13" customFormat="1" x14ac:dyDescent="0.3"/>
    <row r="103" s="13" customFormat="1" x14ac:dyDescent="0.3"/>
    <row r="104" s="13" customFormat="1" x14ac:dyDescent="0.3"/>
    <row r="105" s="13" customFormat="1" x14ac:dyDescent="0.3"/>
    <row r="106" s="13" customFormat="1" x14ac:dyDescent="0.3"/>
    <row r="107" s="13" customFormat="1" x14ac:dyDescent="0.3"/>
    <row r="108" s="13" customFormat="1" x14ac:dyDescent="0.3"/>
    <row r="109" s="13" customFormat="1" x14ac:dyDescent="0.3"/>
    <row r="110" s="13" customFormat="1" x14ac:dyDescent="0.3"/>
    <row r="111" s="13" customFormat="1" x14ac:dyDescent="0.3"/>
    <row r="112" s="13" customFormat="1" x14ac:dyDescent="0.3"/>
    <row r="113" spans="2:36" s="13" customFormat="1" x14ac:dyDescent="0.3"/>
    <row r="114" spans="2:36" s="13" customFormat="1" x14ac:dyDescent="0.3">
      <c r="B114" s="15"/>
      <c r="J114" s="15"/>
      <c r="M114" s="12"/>
      <c r="U114" s="28"/>
      <c r="V114" s="28"/>
      <c r="W114" s="29"/>
      <c r="X114" s="28"/>
      <c r="Y114" s="28"/>
      <c r="AF114" s="12"/>
      <c r="AG114" s="12"/>
      <c r="AH114" s="12"/>
      <c r="AI114" s="12"/>
      <c r="AJ114" s="12"/>
    </row>
    <row r="115" spans="2:36" s="13" customFormat="1" x14ac:dyDescent="0.3">
      <c r="B115" s="15"/>
      <c r="J115" s="15"/>
      <c r="M115" s="12"/>
      <c r="U115" s="28"/>
      <c r="V115" s="28"/>
      <c r="W115" s="29"/>
      <c r="X115" s="28"/>
      <c r="Y115" s="28"/>
      <c r="AF115" s="12"/>
      <c r="AG115" s="12"/>
      <c r="AH115" s="12"/>
      <c r="AI115" s="12"/>
      <c r="AJ115" s="12"/>
    </row>
    <row r="116" spans="2:36" s="13" customFormat="1" x14ac:dyDescent="0.3">
      <c r="B116" s="15"/>
      <c r="J116" s="15"/>
      <c r="M116" s="12"/>
      <c r="U116" s="28"/>
      <c r="V116" s="28"/>
      <c r="W116" s="29"/>
      <c r="X116" s="28"/>
      <c r="Y116" s="28"/>
      <c r="AF116" s="12"/>
      <c r="AG116" s="12"/>
      <c r="AH116" s="12"/>
      <c r="AI116" s="12"/>
      <c r="AJ116" s="12"/>
    </row>
    <row r="117" spans="2:36" s="13" customFormat="1" x14ac:dyDescent="0.3">
      <c r="B117" s="15"/>
      <c r="J117" s="15"/>
      <c r="M117" s="12"/>
      <c r="U117" s="28"/>
      <c r="V117" s="28"/>
      <c r="W117" s="29"/>
      <c r="X117" s="28"/>
      <c r="Y117" s="28"/>
      <c r="AF117" s="12"/>
      <c r="AG117" s="12"/>
      <c r="AH117" s="12"/>
      <c r="AI117" s="12"/>
      <c r="AJ117" s="12"/>
    </row>
    <row r="118" spans="2:36" s="13" customFormat="1" x14ac:dyDescent="0.3">
      <c r="B118" s="15"/>
      <c r="J118" s="15"/>
      <c r="M118" s="12"/>
      <c r="U118" s="28"/>
      <c r="V118" s="28"/>
      <c r="W118" s="29"/>
      <c r="X118" s="28"/>
      <c r="Y118" s="28"/>
      <c r="AF118" s="12"/>
      <c r="AG118" s="12"/>
      <c r="AH118" s="12"/>
      <c r="AI118" s="12"/>
      <c r="AJ118" s="12"/>
    </row>
    <row r="119" spans="2:36" s="13" customFormat="1" x14ac:dyDescent="0.3">
      <c r="B119" s="15"/>
      <c r="J119" s="15"/>
      <c r="M119" s="12"/>
      <c r="U119" s="28"/>
      <c r="V119" s="28"/>
      <c r="W119" s="29"/>
      <c r="X119" s="28"/>
      <c r="Y119" s="28"/>
      <c r="AF119" s="12"/>
      <c r="AG119" s="12"/>
      <c r="AH119" s="12"/>
      <c r="AI119" s="12"/>
      <c r="AJ119" s="12"/>
    </row>
    <row r="120" spans="2:36" s="13" customFormat="1" x14ac:dyDescent="0.3">
      <c r="J120" s="15"/>
      <c r="M120" s="12"/>
    </row>
    <row r="121" spans="2:36" s="13" customFormat="1" x14ac:dyDescent="0.3">
      <c r="J121" s="15"/>
      <c r="M121" s="12"/>
    </row>
    <row r="122" spans="2:36" s="13" customFormat="1" x14ac:dyDescent="0.3">
      <c r="J122" s="15"/>
      <c r="M122" s="12"/>
    </row>
    <row r="123" spans="2:36" s="13" customFormat="1" x14ac:dyDescent="0.3">
      <c r="J123" s="15"/>
      <c r="M123" s="12"/>
    </row>
    <row r="124" spans="2:36" s="13" customFormat="1" x14ac:dyDescent="0.3">
      <c r="J124" s="15"/>
      <c r="M124" s="12"/>
    </row>
    <row r="125" spans="2:36" s="13" customFormat="1" x14ac:dyDescent="0.3">
      <c r="J125" s="15"/>
      <c r="M125" s="12"/>
    </row>
    <row r="126" spans="2:36" s="13" customFormat="1" x14ac:dyDescent="0.3">
      <c r="J126" s="15"/>
      <c r="M126" s="12"/>
    </row>
    <row r="127" spans="2:36" s="13" customFormat="1" x14ac:dyDescent="0.3">
      <c r="J127" s="15"/>
      <c r="M127" s="12"/>
    </row>
    <row r="128" spans="2:36" s="13" customFormat="1" x14ac:dyDescent="0.3">
      <c r="J128" s="15"/>
      <c r="M128" s="12"/>
    </row>
    <row r="129" spans="10:13" s="13" customFormat="1" x14ac:dyDescent="0.3">
      <c r="J129" s="15"/>
      <c r="M129" s="12"/>
    </row>
    <row r="130" spans="10:13" s="13" customFormat="1" x14ac:dyDescent="0.3">
      <c r="J130" s="15"/>
      <c r="M130" s="12"/>
    </row>
    <row r="131" spans="10:13" s="13" customFormat="1" x14ac:dyDescent="0.3">
      <c r="J131" s="15"/>
      <c r="M131" s="12"/>
    </row>
    <row r="132" spans="10:13" s="13" customFormat="1" x14ac:dyDescent="0.3">
      <c r="J132" s="15"/>
      <c r="M132" s="12"/>
    </row>
    <row r="133" spans="10:13" s="13" customFormat="1" x14ac:dyDescent="0.3">
      <c r="J133" s="15"/>
      <c r="M133" s="12"/>
    </row>
    <row r="134" spans="10:13" s="13" customFormat="1" x14ac:dyDescent="0.3">
      <c r="J134" s="15"/>
      <c r="M134" s="12"/>
    </row>
    <row r="135" spans="10:13" s="13" customFormat="1" x14ac:dyDescent="0.3">
      <c r="J135" s="15"/>
      <c r="M135" s="12"/>
    </row>
    <row r="136" spans="10:13" s="13" customFormat="1" x14ac:dyDescent="0.3">
      <c r="J136" s="15"/>
      <c r="M136" s="12"/>
    </row>
    <row r="137" spans="10:13" s="13" customFormat="1" x14ac:dyDescent="0.3">
      <c r="J137" s="15"/>
      <c r="M137" s="12"/>
    </row>
    <row r="138" spans="10:13" s="13" customFormat="1" x14ac:dyDescent="0.3">
      <c r="J138" s="15"/>
      <c r="M138" s="12"/>
    </row>
    <row r="139" spans="10:13" s="13" customFormat="1" x14ac:dyDescent="0.3">
      <c r="J139" s="15"/>
      <c r="M139" s="12"/>
    </row>
    <row r="140" spans="10:13" s="13" customFormat="1" x14ac:dyDescent="0.3">
      <c r="J140" s="15"/>
      <c r="M140" s="12"/>
    </row>
    <row r="141" spans="10:13" s="13" customFormat="1" x14ac:dyDescent="0.3">
      <c r="J141" s="15"/>
      <c r="M141" s="12"/>
    </row>
    <row r="142" spans="10:13" s="13" customFormat="1" x14ac:dyDescent="0.3">
      <c r="J142" s="15"/>
      <c r="M142" s="12"/>
    </row>
    <row r="143" spans="10:13" s="13" customFormat="1" x14ac:dyDescent="0.3">
      <c r="J143" s="15"/>
      <c r="M143" s="12"/>
    </row>
    <row r="144" spans="10:13" s="13" customFormat="1" x14ac:dyDescent="0.3">
      <c r="J144" s="15"/>
      <c r="M144" s="12"/>
    </row>
    <row r="145" spans="10:13" s="13" customFormat="1" x14ac:dyDescent="0.3">
      <c r="J145" s="15"/>
      <c r="M145" s="12"/>
    </row>
    <row r="146" spans="10:13" s="13" customFormat="1" x14ac:dyDescent="0.3">
      <c r="J146" s="15"/>
      <c r="M146" s="12"/>
    </row>
    <row r="147" spans="10:13" s="13" customFormat="1" x14ac:dyDescent="0.3">
      <c r="J147" s="15"/>
      <c r="M147" s="12"/>
    </row>
    <row r="148" spans="10:13" s="13" customFormat="1" x14ac:dyDescent="0.3">
      <c r="J148" s="15"/>
      <c r="M148" s="12"/>
    </row>
    <row r="149" spans="10:13" s="13" customFormat="1" x14ac:dyDescent="0.3">
      <c r="J149" s="15"/>
      <c r="M149" s="12"/>
    </row>
    <row r="150" spans="10:13" s="13" customFormat="1" x14ac:dyDescent="0.3">
      <c r="J150" s="15"/>
      <c r="M150" s="12"/>
    </row>
    <row r="151" spans="10:13" s="13" customFormat="1" x14ac:dyDescent="0.3">
      <c r="J151" s="15"/>
      <c r="M151" s="12"/>
    </row>
    <row r="152" spans="10:13" s="13" customFormat="1" x14ac:dyDescent="0.3">
      <c r="J152" s="15"/>
      <c r="M152" s="12"/>
    </row>
    <row r="153" spans="10:13" s="13" customFormat="1" x14ac:dyDescent="0.3">
      <c r="J153" s="15"/>
      <c r="M153" s="12"/>
    </row>
    <row r="154" spans="10:13" s="13" customFormat="1" x14ac:dyDescent="0.3">
      <c r="J154" s="15"/>
      <c r="M154" s="12"/>
    </row>
    <row r="155" spans="10:13" s="13" customFormat="1" x14ac:dyDescent="0.3">
      <c r="J155" s="15"/>
      <c r="M155" s="12"/>
    </row>
    <row r="156" spans="10:13" s="13" customFormat="1" x14ac:dyDescent="0.3">
      <c r="J156" s="15"/>
      <c r="M156" s="12"/>
    </row>
    <row r="157" spans="10:13" s="13" customFormat="1" x14ac:dyDescent="0.3">
      <c r="J157" s="15"/>
      <c r="M157" s="12"/>
    </row>
    <row r="158" spans="10:13" s="13" customFormat="1" x14ac:dyDescent="0.3">
      <c r="J158" s="15"/>
      <c r="M158" s="12"/>
    </row>
    <row r="159" spans="10:13" s="13" customFormat="1" x14ac:dyDescent="0.3">
      <c r="J159" s="15"/>
      <c r="M159" s="12"/>
    </row>
    <row r="160" spans="10:13" s="13" customFormat="1" x14ac:dyDescent="0.3">
      <c r="J160" s="15"/>
      <c r="M160" s="12"/>
    </row>
    <row r="161" spans="10:13" s="13" customFormat="1" x14ac:dyDescent="0.3">
      <c r="J161" s="15"/>
      <c r="M161" s="12"/>
    </row>
    <row r="162" spans="10:13" s="13" customFormat="1" x14ac:dyDescent="0.3">
      <c r="J162" s="15"/>
      <c r="M162" s="12"/>
    </row>
    <row r="163" spans="10:13" s="13" customFormat="1" x14ac:dyDescent="0.3">
      <c r="J163" s="15"/>
      <c r="M163" s="12"/>
    </row>
    <row r="164" spans="10:13" s="13" customFormat="1" x14ac:dyDescent="0.3">
      <c r="J164" s="15"/>
      <c r="M164" s="12"/>
    </row>
    <row r="165" spans="10:13" s="13" customFormat="1" x14ac:dyDescent="0.3">
      <c r="J165" s="15"/>
      <c r="M165" s="12"/>
    </row>
    <row r="166" spans="10:13" s="13" customFormat="1" x14ac:dyDescent="0.3">
      <c r="J166" s="15"/>
      <c r="M166" s="12"/>
    </row>
    <row r="167" spans="10:13" s="13" customFormat="1" x14ac:dyDescent="0.3">
      <c r="J167" s="15"/>
      <c r="M167" s="12"/>
    </row>
    <row r="168" spans="10:13" s="13" customFormat="1" x14ac:dyDescent="0.3">
      <c r="J168" s="15"/>
      <c r="M168" s="12"/>
    </row>
    <row r="169" spans="10:13" s="13" customFormat="1" x14ac:dyDescent="0.3">
      <c r="J169" s="15"/>
      <c r="M169" s="12"/>
    </row>
    <row r="170" spans="10:13" s="13" customFormat="1" x14ac:dyDescent="0.3">
      <c r="J170" s="15"/>
      <c r="M170" s="12"/>
    </row>
    <row r="171" spans="10:13" s="13" customFormat="1" x14ac:dyDescent="0.3">
      <c r="J171" s="15"/>
      <c r="M171" s="12"/>
    </row>
    <row r="172" spans="10:13" s="13" customFormat="1" x14ac:dyDescent="0.3">
      <c r="J172" s="15"/>
      <c r="M172" s="12"/>
    </row>
    <row r="173" spans="10:13" s="13" customFormat="1" x14ac:dyDescent="0.3">
      <c r="J173" s="15"/>
      <c r="M173" s="12"/>
    </row>
    <row r="174" spans="10:13" s="13" customFormat="1" x14ac:dyDescent="0.3">
      <c r="J174" s="15"/>
      <c r="M174" s="12"/>
    </row>
    <row r="175" spans="10:13" s="13" customFormat="1" x14ac:dyDescent="0.3">
      <c r="J175" s="15"/>
      <c r="M175" s="12"/>
    </row>
    <row r="176" spans="10:13" s="13" customFormat="1" x14ac:dyDescent="0.3">
      <c r="J176" s="15"/>
      <c r="M176" s="12"/>
    </row>
    <row r="177" spans="10:13" s="13" customFormat="1" x14ac:dyDescent="0.3">
      <c r="J177" s="15"/>
      <c r="M177" s="12"/>
    </row>
    <row r="178" spans="10:13" s="13" customFormat="1" x14ac:dyDescent="0.3">
      <c r="J178" s="15"/>
      <c r="M178" s="12"/>
    </row>
    <row r="179" spans="10:13" s="13" customFormat="1" x14ac:dyDescent="0.3">
      <c r="J179" s="15"/>
      <c r="M179" s="12"/>
    </row>
    <row r="180" spans="10:13" s="13" customFormat="1" x14ac:dyDescent="0.3">
      <c r="J180" s="15"/>
      <c r="M180" s="12"/>
    </row>
    <row r="181" spans="10:13" s="13" customFormat="1" x14ac:dyDescent="0.3">
      <c r="J181" s="15"/>
      <c r="M181" s="12"/>
    </row>
    <row r="182" spans="10:13" s="13" customFormat="1" x14ac:dyDescent="0.3">
      <c r="J182" s="15"/>
      <c r="M182" s="12"/>
    </row>
    <row r="183" spans="10:13" s="13" customFormat="1" x14ac:dyDescent="0.3">
      <c r="J183" s="15"/>
      <c r="M183" s="12"/>
    </row>
    <row r="184" spans="10:13" s="13" customFormat="1" x14ac:dyDescent="0.3">
      <c r="J184" s="15"/>
      <c r="M184" s="12"/>
    </row>
    <row r="185" spans="10:13" s="13" customFormat="1" x14ac:dyDescent="0.3">
      <c r="J185" s="15"/>
      <c r="M185" s="12"/>
    </row>
    <row r="186" spans="10:13" s="13" customFormat="1" x14ac:dyDescent="0.3">
      <c r="J186" s="15"/>
      <c r="M186" s="12"/>
    </row>
    <row r="187" spans="10:13" s="13" customFormat="1" x14ac:dyDescent="0.3">
      <c r="J187" s="15"/>
      <c r="M187" s="12"/>
    </row>
    <row r="188" spans="10:13" s="13" customFormat="1" x14ac:dyDescent="0.3">
      <c r="J188" s="15"/>
      <c r="M188" s="12"/>
    </row>
    <row r="189" spans="10:13" s="13" customFormat="1" x14ac:dyDescent="0.3">
      <c r="J189" s="15"/>
      <c r="M189" s="12"/>
    </row>
    <row r="190" spans="10:13" s="13" customFormat="1" x14ac:dyDescent="0.3">
      <c r="J190" s="15"/>
      <c r="M190" s="12"/>
    </row>
    <row r="191" spans="10:13" s="13" customFormat="1" x14ac:dyDescent="0.3">
      <c r="J191" s="15"/>
      <c r="M191" s="12"/>
    </row>
    <row r="192" spans="10:13" s="13" customFormat="1" x14ac:dyDescent="0.3">
      <c r="J192" s="15"/>
      <c r="M192" s="12"/>
    </row>
    <row r="193" spans="10:13" s="13" customFormat="1" x14ac:dyDescent="0.3">
      <c r="J193" s="15"/>
      <c r="M193" s="12"/>
    </row>
    <row r="194" spans="10:13" s="13" customFormat="1" x14ac:dyDescent="0.3">
      <c r="J194" s="15"/>
      <c r="M194" s="12"/>
    </row>
    <row r="195" spans="10:13" s="13" customFormat="1" x14ac:dyDescent="0.3">
      <c r="J195" s="15"/>
      <c r="M195" s="12"/>
    </row>
    <row r="196" spans="10:13" s="13" customFormat="1" x14ac:dyDescent="0.3">
      <c r="J196" s="15"/>
      <c r="M196" s="12"/>
    </row>
    <row r="197" spans="10:13" s="13" customFormat="1" x14ac:dyDescent="0.3">
      <c r="J197" s="15"/>
      <c r="M197" s="12"/>
    </row>
    <row r="198" spans="10:13" s="13" customFormat="1" x14ac:dyDescent="0.3">
      <c r="J198" s="15"/>
      <c r="M198" s="12"/>
    </row>
    <row r="199" spans="10:13" s="13" customFormat="1" x14ac:dyDescent="0.3">
      <c r="J199" s="15"/>
      <c r="M199" s="12"/>
    </row>
    <row r="200" spans="10:13" s="13" customFormat="1" x14ac:dyDescent="0.3">
      <c r="J200" s="15"/>
      <c r="M200" s="12"/>
    </row>
    <row r="201" spans="10:13" s="13" customFormat="1" x14ac:dyDescent="0.3">
      <c r="J201" s="15"/>
      <c r="M201" s="12"/>
    </row>
    <row r="202" spans="10:13" s="13" customFormat="1" x14ac:dyDescent="0.3">
      <c r="J202" s="15"/>
      <c r="M202" s="12"/>
    </row>
    <row r="203" spans="10:13" s="13" customFormat="1" x14ac:dyDescent="0.3">
      <c r="J203" s="15"/>
      <c r="M203" s="12"/>
    </row>
    <row r="204" spans="10:13" s="13" customFormat="1" x14ac:dyDescent="0.3">
      <c r="J204" s="15"/>
      <c r="M204" s="12"/>
    </row>
    <row r="205" spans="10:13" s="13" customFormat="1" x14ac:dyDescent="0.3">
      <c r="J205" s="15"/>
      <c r="M205" s="12"/>
    </row>
    <row r="206" spans="10:13" s="13" customFormat="1" x14ac:dyDescent="0.3">
      <c r="J206" s="15"/>
      <c r="M206" s="12"/>
    </row>
    <row r="207" spans="10:13" s="13" customFormat="1" x14ac:dyDescent="0.3">
      <c r="J207" s="15"/>
      <c r="M207" s="12"/>
    </row>
    <row r="208" spans="10:13" s="13" customFormat="1" x14ac:dyDescent="0.3">
      <c r="J208" s="15"/>
      <c r="M208" s="12"/>
    </row>
    <row r="209" spans="10:13" s="13" customFormat="1" x14ac:dyDescent="0.3">
      <c r="J209" s="15"/>
      <c r="M209" s="12"/>
    </row>
    <row r="210" spans="10:13" s="13" customFormat="1" x14ac:dyDescent="0.3">
      <c r="J210" s="15"/>
      <c r="M210" s="12"/>
    </row>
    <row r="211" spans="10:13" s="13" customFormat="1" x14ac:dyDescent="0.3">
      <c r="J211" s="15"/>
      <c r="M211" s="12"/>
    </row>
    <row r="212" spans="10:13" s="13" customFormat="1" x14ac:dyDescent="0.3">
      <c r="J212" s="15"/>
      <c r="M212" s="12"/>
    </row>
    <row r="213" spans="10:13" s="13" customFormat="1" x14ac:dyDescent="0.3">
      <c r="J213" s="15"/>
      <c r="M213" s="12"/>
    </row>
    <row r="214" spans="10:13" s="13" customFormat="1" x14ac:dyDescent="0.3">
      <c r="J214" s="15"/>
      <c r="M214" s="12"/>
    </row>
    <row r="215" spans="10:13" s="13" customFormat="1" x14ac:dyDescent="0.3">
      <c r="J215" s="15"/>
      <c r="M215" s="12"/>
    </row>
    <row r="216" spans="10:13" s="13" customFormat="1" x14ac:dyDescent="0.3">
      <c r="J216" s="15"/>
      <c r="M216" s="12"/>
    </row>
    <row r="217" spans="10:13" s="13" customFormat="1" x14ac:dyDescent="0.3">
      <c r="J217" s="15"/>
      <c r="M217" s="12"/>
    </row>
    <row r="218" spans="10:13" s="13" customFormat="1" x14ac:dyDescent="0.3">
      <c r="J218" s="15"/>
      <c r="M218" s="12"/>
    </row>
    <row r="219" spans="10:13" s="13" customFormat="1" x14ac:dyDescent="0.3">
      <c r="J219" s="15"/>
      <c r="M219" s="12"/>
    </row>
    <row r="220" spans="10:13" s="13" customFormat="1" x14ac:dyDescent="0.3">
      <c r="J220" s="15"/>
      <c r="M220" s="12"/>
    </row>
    <row r="221" spans="10:13" s="13" customFormat="1" x14ac:dyDescent="0.3">
      <c r="J221" s="15"/>
      <c r="M221" s="12"/>
    </row>
    <row r="222" spans="10:13" s="13" customFormat="1" x14ac:dyDescent="0.3">
      <c r="J222" s="15"/>
      <c r="M222" s="12"/>
    </row>
    <row r="223" spans="10:13" s="13" customFormat="1" x14ac:dyDescent="0.3">
      <c r="J223" s="15"/>
      <c r="M223" s="12"/>
    </row>
    <row r="224" spans="10:13" s="13" customFormat="1" x14ac:dyDescent="0.3">
      <c r="J224" s="15"/>
      <c r="M224" s="12"/>
    </row>
    <row r="225" spans="10:13" s="13" customFormat="1" x14ac:dyDescent="0.3">
      <c r="J225" s="15"/>
      <c r="M225" s="12"/>
    </row>
    <row r="226" spans="10:13" s="13" customFormat="1" x14ac:dyDescent="0.3">
      <c r="J226" s="15"/>
      <c r="M226" s="12"/>
    </row>
    <row r="227" spans="10:13" s="13" customFormat="1" x14ac:dyDescent="0.3">
      <c r="J227" s="15"/>
      <c r="M227" s="12"/>
    </row>
    <row r="228" spans="10:13" s="13" customFormat="1" x14ac:dyDescent="0.3">
      <c r="J228" s="15"/>
      <c r="M228" s="12"/>
    </row>
    <row r="229" spans="10:13" s="13" customFormat="1" x14ac:dyDescent="0.3">
      <c r="J229" s="15"/>
      <c r="M229" s="12"/>
    </row>
    <row r="230" spans="10:13" s="13" customFormat="1" x14ac:dyDescent="0.3">
      <c r="J230" s="15"/>
      <c r="M230" s="12"/>
    </row>
    <row r="231" spans="10:13" s="13" customFormat="1" x14ac:dyDescent="0.3">
      <c r="J231" s="15"/>
      <c r="M231" s="12"/>
    </row>
    <row r="232" spans="10:13" s="13" customFormat="1" x14ac:dyDescent="0.3">
      <c r="J232" s="15"/>
      <c r="M232" s="12"/>
    </row>
    <row r="233" spans="10:13" s="13" customFormat="1" x14ac:dyDescent="0.3">
      <c r="J233" s="15"/>
      <c r="M233" s="12"/>
    </row>
    <row r="234" spans="10:13" s="13" customFormat="1" x14ac:dyDescent="0.3">
      <c r="J234" s="15"/>
      <c r="M234" s="12"/>
    </row>
    <row r="235" spans="10:13" s="13" customFormat="1" x14ac:dyDescent="0.3">
      <c r="J235" s="15"/>
      <c r="M235" s="12"/>
    </row>
    <row r="236" spans="10:13" s="13" customFormat="1" x14ac:dyDescent="0.3">
      <c r="J236" s="15"/>
      <c r="M236" s="12"/>
    </row>
    <row r="237" spans="10:13" s="13" customFormat="1" x14ac:dyDescent="0.3">
      <c r="J237" s="15"/>
      <c r="M237" s="12"/>
    </row>
    <row r="238" spans="10:13" s="13" customFormat="1" x14ac:dyDescent="0.3">
      <c r="J238" s="15"/>
      <c r="M238" s="12"/>
    </row>
    <row r="239" spans="10:13" s="13" customFormat="1" x14ac:dyDescent="0.3">
      <c r="J239" s="15"/>
      <c r="M239" s="12"/>
    </row>
    <row r="240" spans="10:13" s="13" customFormat="1" x14ac:dyDescent="0.3">
      <c r="J240" s="15"/>
      <c r="M240" s="12"/>
    </row>
    <row r="241" spans="10:13" s="13" customFormat="1" x14ac:dyDescent="0.3">
      <c r="J241" s="15"/>
      <c r="M241" s="12"/>
    </row>
    <row r="242" spans="10:13" s="13" customFormat="1" x14ac:dyDescent="0.3">
      <c r="J242" s="15"/>
      <c r="M242" s="12"/>
    </row>
    <row r="243" spans="10:13" s="13" customFormat="1" x14ac:dyDescent="0.3">
      <c r="J243" s="15"/>
      <c r="M243" s="12"/>
    </row>
    <row r="244" spans="10:13" s="13" customFormat="1" x14ac:dyDescent="0.3">
      <c r="J244" s="15"/>
      <c r="M244" s="12"/>
    </row>
    <row r="245" spans="10:13" s="13" customFormat="1" x14ac:dyDescent="0.3">
      <c r="J245" s="15"/>
      <c r="M245" s="12"/>
    </row>
    <row r="246" spans="10:13" s="13" customFormat="1" x14ac:dyDescent="0.3">
      <c r="J246" s="15"/>
      <c r="M246" s="12"/>
    </row>
    <row r="247" spans="10:13" s="13" customFormat="1" x14ac:dyDescent="0.3">
      <c r="J247" s="15"/>
      <c r="M247" s="12"/>
    </row>
    <row r="248" spans="10:13" s="13" customFormat="1" x14ac:dyDescent="0.3">
      <c r="J248" s="15"/>
      <c r="M248" s="12"/>
    </row>
    <row r="249" spans="10:13" s="13" customFormat="1" x14ac:dyDescent="0.3">
      <c r="J249" s="15"/>
      <c r="M249" s="12"/>
    </row>
    <row r="250" spans="10:13" s="13" customFormat="1" x14ac:dyDescent="0.3">
      <c r="J250" s="15"/>
      <c r="M250" s="12"/>
    </row>
    <row r="251" spans="10:13" s="13" customFormat="1" x14ac:dyDescent="0.3">
      <c r="J251" s="15"/>
      <c r="M251" s="12"/>
    </row>
    <row r="252" spans="10:13" s="13" customFormat="1" x14ac:dyDescent="0.3">
      <c r="J252" s="15"/>
      <c r="M252" s="12"/>
    </row>
    <row r="253" spans="10:13" s="13" customFormat="1" x14ac:dyDescent="0.3">
      <c r="J253" s="15"/>
      <c r="M253" s="12"/>
    </row>
    <row r="254" spans="10:13" s="13" customFormat="1" x14ac:dyDescent="0.3">
      <c r="J254" s="15"/>
      <c r="M254" s="1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dimension ref="A1:H6"/>
  <sheetViews>
    <sheetView zoomScale="115" zoomScaleNormal="115" workbookViewId="0">
      <selection activeCell="C13" sqref="C13"/>
    </sheetView>
  </sheetViews>
  <sheetFormatPr baseColWidth="10" defaultRowHeight="14.4" x14ac:dyDescent="0.3"/>
  <cols>
    <col min="2" max="2" width="20.109375" customWidth="1"/>
  </cols>
  <sheetData>
    <row r="1" spans="1:8" ht="95.25" customHeight="1" x14ac:dyDescent="0.3">
      <c r="A1" s="132" t="s">
        <v>2</v>
      </c>
      <c r="B1" s="132"/>
      <c r="C1" s="133" t="s">
        <v>23</v>
      </c>
      <c r="D1" s="133"/>
      <c r="E1" s="133"/>
      <c r="F1" s="133"/>
      <c r="G1" s="133"/>
      <c r="H1" s="133"/>
    </row>
    <row r="2" spans="1:8" ht="69.75" customHeight="1" x14ac:dyDescent="0.3">
      <c r="A2" s="132" t="s">
        <v>3</v>
      </c>
      <c r="B2" s="132" t="s">
        <v>10</v>
      </c>
      <c r="C2" s="134" t="s">
        <v>21</v>
      </c>
      <c r="D2" s="134"/>
      <c r="E2" s="134"/>
      <c r="F2" s="134"/>
      <c r="G2" s="134"/>
      <c r="H2" s="134"/>
    </row>
    <row r="3" spans="1:8" ht="45.75" customHeight="1" x14ac:dyDescent="0.3">
      <c r="A3" s="132" t="s">
        <v>4</v>
      </c>
      <c r="B3" s="132" t="s">
        <v>11</v>
      </c>
      <c r="C3" s="133" t="s">
        <v>15</v>
      </c>
      <c r="D3" s="133"/>
      <c r="E3" s="133"/>
      <c r="F3" s="133"/>
      <c r="G3" s="133"/>
      <c r="H3" s="133"/>
    </row>
    <row r="4" spans="1:8" ht="32.25" customHeight="1" x14ac:dyDescent="0.3">
      <c r="A4" s="132" t="s">
        <v>5</v>
      </c>
      <c r="B4" s="132"/>
      <c r="C4" s="133" t="s">
        <v>14</v>
      </c>
      <c r="D4" s="133"/>
      <c r="E4" s="133"/>
      <c r="F4" s="133"/>
      <c r="G4" s="133"/>
      <c r="H4" s="133"/>
    </row>
    <row r="5" spans="1:8" ht="20.25" customHeight="1" x14ac:dyDescent="0.3">
      <c r="A5" s="132" t="s">
        <v>22</v>
      </c>
      <c r="B5" s="132" t="s">
        <v>12</v>
      </c>
      <c r="C5" s="133" t="s">
        <v>13</v>
      </c>
      <c r="D5" s="133"/>
      <c r="E5" s="133"/>
      <c r="F5" s="133"/>
      <c r="G5" s="133"/>
      <c r="H5" s="133"/>
    </row>
    <row r="6" spans="1:8" ht="46.5" customHeight="1" x14ac:dyDescent="0.3">
      <c r="A6" s="132" t="s">
        <v>1</v>
      </c>
      <c r="B6" s="132"/>
      <c r="C6" s="133" t="str">
        <f>"Corresponde al tiempo de trabajo que exceda de los límites de la jornada regular y que debe ser remunerado de acuerdo a los lineamientos de Capital Humano. Referirse a la Norma de Horas Extras para mayor información."</f>
        <v>Corresponde al tiempo de trabajo que exceda de los límites de la jornada regular y que debe ser remunerado de acuerdo a los lineamientos de Capital Humano. Referirse a la Norma de Horas Extras para mayor información.</v>
      </c>
      <c r="D6" s="133"/>
      <c r="E6" s="133"/>
      <c r="F6" s="133"/>
      <c r="G6" s="133"/>
      <c r="H6" s="133"/>
    </row>
  </sheetData>
  <mergeCells count="12">
    <mergeCell ref="A1:B1"/>
    <mergeCell ref="C1:H1"/>
    <mergeCell ref="A2:B2"/>
    <mergeCell ref="C2:H2"/>
    <mergeCell ref="A3:B3"/>
    <mergeCell ref="C3:H3"/>
    <mergeCell ref="A5:B5"/>
    <mergeCell ref="C5:H5"/>
    <mergeCell ref="A4:B4"/>
    <mergeCell ref="C4:H4"/>
    <mergeCell ref="A6:B6"/>
    <mergeCell ref="C6:H6"/>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53981BD7-EE46-45B8-A9DF-8FCE107BFC40}">
  <ds:schemaRefs>
    <ds:schemaRef ds:uri="http://schemas.microsoft.com/PowerBIAddIn"/>
  </ds:schemaRefs>
</ds:datastoreItem>
</file>

<file path=customXml/itemProps2.xml><?xml version="1.0" encoding="utf-8"?>
<ds:datastoreItem xmlns:ds="http://schemas.openxmlformats.org/officeDocument/2006/customXml" ds:itemID="{D7936572-C408-40C8-9B5A-7201FB56DE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11</vt:i4>
      </vt:variant>
    </vt:vector>
  </HeadingPairs>
  <TitlesOfParts>
    <vt:vector size="12" baseType="lpstr">
      <vt:lpstr>Info</vt:lpstr>
      <vt:lpstr>Año</vt:lpstr>
      <vt:lpstr>ClOrd</vt:lpstr>
      <vt:lpstr>FiltroAño1</vt:lpstr>
      <vt:lpstr>FiltroAño2</vt:lpstr>
      <vt:lpstr>FiltroAño3</vt:lpstr>
      <vt:lpstr>FiltroMes1</vt:lpstr>
      <vt:lpstr>Mes</vt:lpstr>
      <vt:lpstr>orderfld</vt:lpstr>
      <vt:lpstr>ranrowgrid</vt:lpstr>
      <vt:lpstr>valRowGrid</vt:lpstr>
      <vt:lpstr>valSelOption</vt:lpstr>
    </vt:vector>
  </TitlesOfParts>
  <Company>Chandoo.org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reinier</dc:creator>
  <cp:lastModifiedBy>JAH</cp:lastModifiedBy>
  <cp:lastPrinted>2018-09-27T18:16:17Z</cp:lastPrinted>
  <dcterms:created xsi:type="dcterms:W3CDTF">2011-02-09T04:29:44Z</dcterms:created>
  <dcterms:modified xsi:type="dcterms:W3CDTF">2019-08-28T06:14:05Z</dcterms:modified>
</cp:coreProperties>
</file>