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defaultThemeVersion="124226"/>
  <mc:AlternateContent xmlns:mc="http://schemas.openxmlformats.org/markup-compatibility/2006">
    <mc:Choice Requires="x15">
      <x15ac:absPath xmlns:x15ac="http://schemas.microsoft.com/office/spreadsheetml/2010/11/ac" url="C:\Users\JAH\Desktop\"/>
    </mc:Choice>
  </mc:AlternateContent>
  <xr:revisionPtr revIDLastSave="0" documentId="13_ncr:1_{152E8402-7C19-4EFB-955E-4BBAFC6EFB9D}" xr6:coauthVersionLast="43" xr6:coauthVersionMax="43" xr10:uidLastSave="{00000000-0000-0000-0000-000000000000}"/>
  <bookViews>
    <workbookView showHorizontalScroll="0" showVerticalScroll="0" xWindow="-108" yWindow="-108" windowWidth="23256" windowHeight="12576" firstSheet="1" activeTab="1" xr2:uid="{00000000-000D-0000-FFFF-FFFF00000000}"/>
  </bookViews>
  <sheets>
    <sheet name="Info" sheetId="9" state="veryHidden" r:id="rId1"/>
    <sheet name="Dashboard" sheetId="2" r:id="rId2"/>
    <sheet name="Tabla" sheetId="10" r:id="rId3"/>
    <sheet name="Data" sheetId="1" r:id="rId4"/>
    <sheet name="Cálculos" sheetId="3" r:id="rId5"/>
    <sheet name="Leyenda" sheetId="8" r:id="rId6"/>
  </sheets>
  <functionGroups builtInGroupCount="19"/>
  <externalReferences>
    <externalReference r:id="rId7"/>
  </externalReferences>
  <definedNames>
    <definedName name="Año">Data!$E$21</definedName>
    <definedName name="ClOrd">Data!$D$10</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Tabla!$H$4</definedName>
    <definedName name="FiltroAño3">Tabla!$U$6</definedName>
    <definedName name="FiltroMes1">Tabla!$H$6</definedName>
    <definedName name="Mes">Data!$E$22</definedName>
    <definedName name="orderfld">Data!$F$26</definedName>
    <definedName name="ranrowgrid">Dashboard!$E$12:$AB$12</definedName>
    <definedName name="valRowGrid">Data!$C$32</definedName>
    <definedName name="valSelOption" localSheetId="0">[1]Cálculos!$C$2</definedName>
    <definedName name="valSelOption">Data!$C$31</definedName>
    <definedName name="wrn.CONV.." hidden="1">{#N/A,#N/A,FALSE,"PWS#1";#N/A,#N/A,FALSE,"WS#3";#N/A,#N/A,FALSE,"PWS#4";#N/A,#N/A,FALSE,"WS#4";#N/A,#N/A,FALSE,"PWS#5&amp;6";#N/A,#N/A,FALSE,"PWS#7";#N/A,#N/A,FALSE,"PWS#8";#N/A,#N/A,FALSE,"PWS#9";#N/A,#N/A,FALSE,"PWS#9a";#N/A,#N/A,FALSE,"PWS#10";#N/A,#N/A,FALSE,"PWS#11";#N/A,#N/A,FALSE,"PWS#12";#N/A,#N/A,FALSE,"PWS#13";#N/A,#N/A,FALSE,"PWS#14"}</definedName>
  </definedNames>
  <calcPr calcId="191029"/>
  <pivotCaches>
    <pivotCache cacheId="0" r:id="rId8"/>
    <pivotCache cacheId="1" r:id="rId9"/>
    <pivotCache cacheId="2" r:id="rId10"/>
    <pivotCache cacheId="3" r:id="rId11"/>
    <pivotCache cacheId="4" r:id="rId12"/>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25" i="2" l="1"/>
  <c r="X25" i="2"/>
  <c r="P25" i="2"/>
  <c r="J25" i="2"/>
  <c r="C25" i="2"/>
  <c r="U10" i="10"/>
  <c r="U11" i="10"/>
  <c r="U12" i="10"/>
  <c r="U13" i="10"/>
  <c r="U14" i="10"/>
  <c r="U15" i="10"/>
  <c r="U16" i="10"/>
  <c r="U17" i="10"/>
  <c r="U18" i="10"/>
  <c r="U19" i="10"/>
  <c r="U20" i="10"/>
  <c r="U9" i="10"/>
  <c r="E22" i="1" s="1"/>
  <c r="O11" i="10" l="1"/>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O3202" i="10"/>
  <c r="O3203" i="10"/>
  <c r="O3204" i="10"/>
  <c r="O3205" i="10"/>
  <c r="O3206" i="10"/>
  <c r="O3207" i="10"/>
  <c r="O3208" i="10"/>
  <c r="O3209" i="10"/>
  <c r="O3210" i="10"/>
  <c r="O3211" i="10"/>
  <c r="O3212" i="10"/>
  <c r="O3213" i="10"/>
  <c r="O3214" i="10"/>
  <c r="O3215" i="10"/>
  <c r="O3216" i="10"/>
  <c r="O3217" i="10"/>
  <c r="O3218" i="10"/>
  <c r="O3219" i="10"/>
  <c r="O3220" i="10"/>
  <c r="O3221" i="10"/>
  <c r="O3222" i="10"/>
  <c r="O3223" i="10"/>
  <c r="O3224" i="10"/>
  <c r="O3225" i="10"/>
  <c r="O3226" i="10"/>
  <c r="O3227" i="10"/>
  <c r="O3228" i="10"/>
  <c r="O3229" i="10"/>
  <c r="O3230" i="10"/>
  <c r="O3231" i="10"/>
  <c r="O3232" i="10"/>
  <c r="O3233" i="10"/>
  <c r="O3234" i="10"/>
  <c r="O3235" i="10"/>
  <c r="O3236" i="10"/>
  <c r="O3237" i="10"/>
  <c r="O3238" i="10"/>
  <c r="O3239" i="10"/>
  <c r="O3240" i="10"/>
  <c r="O3241" i="10"/>
  <c r="O3242" i="10"/>
  <c r="O3243" i="10"/>
  <c r="O3244" i="10"/>
  <c r="O3245" i="10"/>
  <c r="O3246" i="10"/>
  <c r="O3247" i="10"/>
  <c r="O3248" i="10"/>
  <c r="O3249" i="10"/>
  <c r="O3250" i="10"/>
  <c r="O3251" i="10"/>
  <c r="O3252" i="10"/>
  <c r="O3253" i="10"/>
  <c r="O3254" i="10"/>
  <c r="O3255" i="10"/>
  <c r="O3256" i="10"/>
  <c r="O3257" i="10"/>
  <c r="O3258" i="10"/>
  <c r="O3259" i="10"/>
  <c r="O3260" i="10"/>
  <c r="O3261" i="10"/>
  <c r="O3262" i="10"/>
  <c r="O3263" i="10"/>
  <c r="O3264" i="10"/>
  <c r="O3265" i="10"/>
  <c r="O3266" i="10"/>
  <c r="O3267" i="10"/>
  <c r="O3268" i="10"/>
  <c r="O3269" i="10"/>
  <c r="O3270" i="10"/>
  <c r="O3271" i="10"/>
  <c r="O3272" i="10"/>
  <c r="O3273" i="10"/>
  <c r="O3274" i="10"/>
  <c r="O3275" i="10"/>
  <c r="O3276" i="10"/>
  <c r="O3277" i="10"/>
  <c r="O3278" i="10"/>
  <c r="O3279" i="10"/>
  <c r="O3280" i="10"/>
  <c r="O3281" i="10"/>
  <c r="O3282" i="10"/>
  <c r="O3283" i="10"/>
  <c r="O3284" i="10"/>
  <c r="O3285" i="10"/>
  <c r="O3286" i="10"/>
  <c r="O3287" i="10"/>
  <c r="O3288" i="10"/>
  <c r="O3289" i="10"/>
  <c r="O3290" i="10"/>
  <c r="O3291" i="10"/>
  <c r="O3292" i="10"/>
  <c r="O3293" i="10"/>
  <c r="O3294" i="10"/>
  <c r="O3295" i="10"/>
  <c r="O3296" i="10"/>
  <c r="O3297" i="10"/>
  <c r="O3298" i="10"/>
  <c r="O3299" i="10"/>
  <c r="O3300" i="10"/>
  <c r="O3301" i="10"/>
  <c r="O3302" i="10"/>
  <c r="O3303" i="10"/>
  <c r="O3304" i="10"/>
  <c r="O3305" i="10"/>
  <c r="O3306" i="10"/>
  <c r="O3307" i="10"/>
  <c r="O3308" i="10"/>
  <c r="O3309" i="10"/>
  <c r="O3310" i="10"/>
  <c r="O3311" i="10"/>
  <c r="O3312" i="10"/>
  <c r="O3313" i="10"/>
  <c r="O3314" i="10"/>
  <c r="O3315" i="10"/>
  <c r="O3316" i="10"/>
  <c r="O3317" i="10"/>
  <c r="O3318" i="10"/>
  <c r="O3319" i="10"/>
  <c r="O3320" i="10"/>
  <c r="O3321" i="10"/>
  <c r="O3322" i="10"/>
  <c r="O3323" i="10"/>
  <c r="O3324" i="10"/>
  <c r="O3325" i="10"/>
  <c r="O3326" i="10"/>
  <c r="O3327" i="10"/>
  <c r="O3328" i="10"/>
  <c r="O3329" i="10"/>
  <c r="O3330" i="10"/>
  <c r="O3331" i="10"/>
  <c r="O3332" i="10"/>
  <c r="O3333" i="10"/>
  <c r="O3334" i="10"/>
  <c r="O3335" i="10"/>
  <c r="O3336" i="10"/>
  <c r="O3337" i="10"/>
  <c r="O3338" i="10"/>
  <c r="O3339" i="10"/>
  <c r="O3340" i="10"/>
  <c r="O3341" i="10"/>
  <c r="O3342" i="10"/>
  <c r="O3343" i="10"/>
  <c r="O3344" i="10"/>
  <c r="O3345" i="10"/>
  <c r="O3346" i="10"/>
  <c r="O3347" i="10"/>
  <c r="O3348" i="10"/>
  <c r="O3349" i="10"/>
  <c r="O3350" i="10"/>
  <c r="O3351" i="10"/>
  <c r="O3352" i="10"/>
  <c r="O3353" i="10"/>
  <c r="O3354" i="10"/>
  <c r="O3355" i="10"/>
  <c r="O3356" i="10"/>
  <c r="O3357" i="10"/>
  <c r="O3358" i="10"/>
  <c r="O3359" i="10"/>
  <c r="O3360" i="10"/>
  <c r="O3361" i="10"/>
  <c r="O3362" i="10"/>
  <c r="O3363" i="10"/>
  <c r="O3364" i="10"/>
  <c r="O3365" i="10"/>
  <c r="O3366" i="10"/>
  <c r="O3367" i="10"/>
  <c r="O3368" i="10"/>
  <c r="O3369" i="10"/>
  <c r="O3370" i="10"/>
  <c r="O3371" i="10"/>
  <c r="O3372" i="10"/>
  <c r="O3373" i="10"/>
  <c r="O3374" i="10"/>
  <c r="O3375" i="10"/>
  <c r="O3376" i="10"/>
  <c r="O3377" i="10"/>
  <c r="O3378" i="10"/>
  <c r="O3379" i="10"/>
  <c r="O3380" i="10"/>
  <c r="O3381" i="10"/>
  <c r="O3382" i="10"/>
  <c r="O3383" i="10"/>
  <c r="O3384" i="10"/>
  <c r="O3385" i="10"/>
  <c r="O3386" i="10"/>
  <c r="O3387" i="10"/>
  <c r="O3388" i="10"/>
  <c r="O3389" i="10"/>
  <c r="O3390" i="10"/>
  <c r="O3391" i="10"/>
  <c r="O3392" i="10"/>
  <c r="O3393" i="10"/>
  <c r="O3394" i="10"/>
  <c r="O3395" i="10"/>
  <c r="O3396" i="10"/>
  <c r="O3397" i="10"/>
  <c r="O3398" i="10"/>
  <c r="O3399" i="10"/>
  <c r="O3400" i="10"/>
  <c r="O3401" i="10"/>
  <c r="O3402" i="10"/>
  <c r="O3403" i="10"/>
  <c r="O3404" i="10"/>
  <c r="O3405" i="10"/>
  <c r="O3406" i="10"/>
  <c r="O3407" i="10"/>
  <c r="O3408" i="10"/>
  <c r="O3409" i="10"/>
  <c r="O3410" i="10"/>
  <c r="O3411" i="10"/>
  <c r="O3412" i="10"/>
  <c r="O3413" i="10"/>
  <c r="O3414" i="10"/>
  <c r="O3415" i="10"/>
  <c r="O3416" i="10"/>
  <c r="O3417" i="10"/>
  <c r="O3418" i="10"/>
  <c r="O3419" i="10"/>
  <c r="O3420" i="10"/>
  <c r="O3421" i="10"/>
  <c r="O3422" i="10"/>
  <c r="O3423" i="10"/>
  <c r="O3424" i="10"/>
  <c r="O3425" i="10"/>
  <c r="O3426" i="10"/>
  <c r="O3427" i="10"/>
  <c r="O3428" i="10"/>
  <c r="O3429" i="10"/>
  <c r="O3430" i="10"/>
  <c r="O3431" i="10"/>
  <c r="O3432" i="10"/>
  <c r="O3433" i="10"/>
  <c r="O3434" i="10"/>
  <c r="O3435" i="10"/>
  <c r="O3436" i="10"/>
  <c r="O3437" i="10"/>
  <c r="O3438" i="10"/>
  <c r="O3439" i="10"/>
  <c r="O3440" i="10"/>
  <c r="O3441" i="10"/>
  <c r="O3442" i="10"/>
  <c r="O3443" i="10"/>
  <c r="O3444" i="10"/>
  <c r="O3445" i="10"/>
  <c r="O3446" i="10"/>
  <c r="O3447" i="10"/>
  <c r="O3448" i="10"/>
  <c r="O3449" i="10"/>
  <c r="O3450" i="10"/>
  <c r="O3451" i="10"/>
  <c r="O3452" i="10"/>
  <c r="O3453" i="10"/>
  <c r="O3454" i="10"/>
  <c r="O3455" i="10"/>
  <c r="O3456" i="10"/>
  <c r="O3457" i="10"/>
  <c r="O3458" i="10"/>
  <c r="O3459" i="10"/>
  <c r="O3460" i="10"/>
  <c r="O3461" i="10"/>
  <c r="O3462" i="10"/>
  <c r="O3463" i="10"/>
  <c r="O3464" i="10"/>
  <c r="O3465" i="10"/>
  <c r="O3466" i="10"/>
  <c r="O3467" i="10"/>
  <c r="O3468" i="10"/>
  <c r="O3469" i="10"/>
  <c r="O3470" i="10"/>
  <c r="O3471" i="10"/>
  <c r="O3472" i="10"/>
  <c r="O3473" i="10"/>
  <c r="O3474" i="10"/>
  <c r="O3475" i="10"/>
  <c r="O3476" i="10"/>
  <c r="O3477" i="10"/>
  <c r="O3478" i="10"/>
  <c r="O3479" i="10"/>
  <c r="O3480" i="10"/>
  <c r="O3481" i="10"/>
  <c r="O3482" i="10"/>
  <c r="O3483" i="10"/>
  <c r="O3484" i="10"/>
  <c r="O3485" i="10"/>
  <c r="O3486" i="10"/>
  <c r="O3487" i="10"/>
  <c r="O3488" i="10"/>
  <c r="O3489" i="10"/>
  <c r="O3490" i="10"/>
  <c r="O3491" i="10"/>
  <c r="O3492" i="10"/>
  <c r="O3493" i="10"/>
  <c r="O3494" i="10"/>
  <c r="O3495" i="10"/>
  <c r="O3496" i="10"/>
  <c r="O3497" i="10"/>
  <c r="O3498" i="10"/>
  <c r="O3499" i="10"/>
  <c r="O3500" i="10"/>
  <c r="O3501" i="10"/>
  <c r="O3502" i="10"/>
  <c r="O3503" i="10"/>
  <c r="O3504" i="10"/>
  <c r="O3505" i="10"/>
  <c r="O3506" i="10"/>
  <c r="O3507" i="10"/>
  <c r="O3508" i="10"/>
  <c r="O3509" i="10"/>
  <c r="O3510" i="10"/>
  <c r="O3511" i="10"/>
  <c r="O3512" i="10"/>
  <c r="O3513" i="10"/>
  <c r="O3514" i="10"/>
  <c r="O3515" i="10"/>
  <c r="O3516" i="10"/>
  <c r="O3517" i="10"/>
  <c r="O3518" i="10"/>
  <c r="O3519" i="10"/>
  <c r="O3520" i="10"/>
  <c r="O3521" i="10"/>
  <c r="O3522" i="10"/>
  <c r="O3523" i="10"/>
  <c r="O3524" i="10"/>
  <c r="O3525" i="10"/>
  <c r="O3526" i="10"/>
  <c r="O3527" i="10"/>
  <c r="O3528" i="10"/>
  <c r="O3529" i="10"/>
  <c r="O3530" i="10"/>
  <c r="O3531" i="10"/>
  <c r="O3532" i="10"/>
  <c r="O3533" i="10"/>
  <c r="O3534" i="10"/>
  <c r="O3535" i="10"/>
  <c r="O3536" i="10"/>
  <c r="O3537" i="10"/>
  <c r="O3538" i="10"/>
  <c r="O3539" i="10"/>
  <c r="O3540" i="10"/>
  <c r="O3541" i="10"/>
  <c r="O3542" i="10"/>
  <c r="O3543" i="10"/>
  <c r="O3544" i="10"/>
  <c r="O3545" i="10"/>
  <c r="O3546" i="10"/>
  <c r="O3547" i="10"/>
  <c r="O3548" i="10"/>
  <c r="O3549" i="10"/>
  <c r="O3550" i="10"/>
  <c r="O3551" i="10"/>
  <c r="O3552" i="10"/>
  <c r="O3553" i="10"/>
  <c r="O3554" i="10"/>
  <c r="O3555" i="10"/>
  <c r="O3556" i="10"/>
  <c r="O3557" i="10"/>
  <c r="O3558" i="10"/>
  <c r="O3559" i="10"/>
  <c r="O3560" i="10"/>
  <c r="O3561" i="10"/>
  <c r="O3562" i="10"/>
  <c r="O3563" i="10"/>
  <c r="O3564" i="10"/>
  <c r="O3565" i="10"/>
  <c r="O3566" i="10"/>
  <c r="O3567" i="10"/>
  <c r="O3568" i="10"/>
  <c r="O3569" i="10"/>
  <c r="O3570" i="10"/>
  <c r="O3571" i="10"/>
  <c r="O3572" i="10"/>
  <c r="O3573" i="10"/>
  <c r="O3574" i="10"/>
  <c r="O3575" i="10"/>
  <c r="O3576" i="10"/>
  <c r="O3577" i="10"/>
  <c r="O3578" i="10"/>
  <c r="O3579" i="10"/>
  <c r="O3580" i="10"/>
  <c r="O3581" i="10"/>
  <c r="O3582" i="10"/>
  <c r="O3583" i="10"/>
  <c r="O3584" i="10"/>
  <c r="O3585" i="10"/>
  <c r="O3586" i="10"/>
  <c r="O3587" i="10"/>
  <c r="O3588" i="10"/>
  <c r="O3589" i="10"/>
  <c r="O3590" i="10"/>
  <c r="O3591" i="10"/>
  <c r="O3592" i="10"/>
  <c r="O3593" i="10"/>
  <c r="O3594" i="10"/>
  <c r="O3595" i="10"/>
  <c r="O3596" i="10"/>
  <c r="O3597" i="10"/>
  <c r="O3598" i="10"/>
  <c r="O3599" i="10"/>
  <c r="O3600" i="10"/>
  <c r="O3601" i="10"/>
  <c r="O3602" i="10"/>
  <c r="O3603" i="10"/>
  <c r="O3604" i="10"/>
  <c r="O3605" i="10"/>
  <c r="O3606" i="10"/>
  <c r="O3607" i="10"/>
  <c r="O3608" i="10"/>
  <c r="O3609" i="10"/>
  <c r="O3610" i="10"/>
  <c r="O3611" i="10"/>
  <c r="O3612" i="10"/>
  <c r="O3613" i="10"/>
  <c r="O3614" i="10"/>
  <c r="O3615" i="10"/>
  <c r="O3616" i="10"/>
  <c r="O3617" i="10"/>
  <c r="O3618" i="10"/>
  <c r="O3619" i="10"/>
  <c r="O3620" i="10"/>
  <c r="O3621" i="10"/>
  <c r="O3622" i="10"/>
  <c r="O3623" i="10"/>
  <c r="O3624" i="10"/>
  <c r="O3625" i="10"/>
  <c r="O3626" i="10"/>
  <c r="O3627" i="10"/>
  <c r="O3628" i="10"/>
  <c r="O3629" i="10"/>
  <c r="O3630" i="10"/>
  <c r="O3631" i="10"/>
  <c r="O3632" i="10"/>
  <c r="O3633" i="10"/>
  <c r="O3634" i="10"/>
  <c r="O3635" i="10"/>
  <c r="O3636" i="10"/>
  <c r="O3637" i="10"/>
  <c r="O3638" i="10"/>
  <c r="O3639" i="10"/>
  <c r="O3640" i="10"/>
  <c r="O3641" i="10"/>
  <c r="O3642" i="10"/>
  <c r="O3643" i="10"/>
  <c r="O3644" i="10"/>
  <c r="O3645" i="10"/>
  <c r="O3646" i="10"/>
  <c r="O3647" i="10"/>
  <c r="O3648" i="10"/>
  <c r="O3649" i="10"/>
  <c r="O3650" i="10"/>
  <c r="O3651" i="10"/>
  <c r="O3652" i="10"/>
  <c r="O3653" i="10"/>
  <c r="O3654" i="10"/>
  <c r="O3655" i="10"/>
  <c r="O3656" i="10"/>
  <c r="O3657" i="10"/>
  <c r="O3658" i="10"/>
  <c r="O3659" i="10"/>
  <c r="O3660" i="10"/>
  <c r="O3661" i="10"/>
  <c r="O3662" i="10"/>
  <c r="O3663" i="10"/>
  <c r="O3664" i="10"/>
  <c r="O3665" i="10"/>
  <c r="O3666" i="10"/>
  <c r="O3667" i="10"/>
  <c r="O3668" i="10"/>
  <c r="O3669" i="10"/>
  <c r="O3670" i="10"/>
  <c r="O3671" i="10"/>
  <c r="O3672" i="10"/>
  <c r="O3673" i="10"/>
  <c r="O3674" i="10"/>
  <c r="O3675" i="10"/>
  <c r="O3676" i="10"/>
  <c r="O3677" i="10"/>
  <c r="O3678" i="10"/>
  <c r="O3679" i="10"/>
  <c r="O3680" i="10"/>
  <c r="O3681" i="10"/>
  <c r="O3682" i="10"/>
  <c r="O3683" i="10"/>
  <c r="O3684" i="10"/>
  <c r="O3685" i="10"/>
  <c r="O3686" i="10"/>
  <c r="O3687" i="10"/>
  <c r="O3688" i="10"/>
  <c r="O3689" i="10"/>
  <c r="O3690" i="10"/>
  <c r="O3691" i="10"/>
  <c r="O3692" i="10"/>
  <c r="O3693" i="10"/>
  <c r="O3694" i="10"/>
  <c r="O3695" i="10"/>
  <c r="O3696" i="10"/>
  <c r="O3697" i="10"/>
  <c r="O3698" i="10"/>
  <c r="O3699" i="10"/>
  <c r="O3700" i="10"/>
  <c r="O3701" i="10"/>
  <c r="O3702" i="10"/>
  <c r="O3703" i="10"/>
  <c r="O3704" i="10"/>
  <c r="O3705" i="10"/>
  <c r="O3706" i="10"/>
  <c r="O3707" i="10"/>
  <c r="O3708" i="10"/>
  <c r="O3709" i="10"/>
  <c r="O3710" i="10"/>
  <c r="O3711" i="10"/>
  <c r="O3712" i="10"/>
  <c r="O3713" i="10"/>
  <c r="O3714" i="10"/>
  <c r="O3715" i="10"/>
  <c r="O3716" i="10"/>
  <c r="O3717" i="10"/>
  <c r="O3718" i="10"/>
  <c r="O3719" i="10"/>
  <c r="O3720" i="10"/>
  <c r="O3721" i="10"/>
  <c r="O3722" i="10"/>
  <c r="O3723" i="10"/>
  <c r="O3724" i="10"/>
  <c r="O3725" i="10"/>
  <c r="O3726" i="10"/>
  <c r="O3727" i="10"/>
  <c r="O3728" i="10"/>
  <c r="O3729" i="10"/>
  <c r="O3730" i="10"/>
  <c r="O3731" i="10"/>
  <c r="O3732" i="10"/>
  <c r="O3733" i="10"/>
  <c r="O3734" i="10"/>
  <c r="O3735" i="10"/>
  <c r="O3736" i="10"/>
  <c r="O3737" i="10"/>
  <c r="O3738" i="10"/>
  <c r="O3739" i="10"/>
  <c r="O3740" i="10"/>
  <c r="O3741" i="10"/>
  <c r="O3742" i="10"/>
  <c r="O3743" i="10"/>
  <c r="O3744" i="10"/>
  <c r="O3745" i="10"/>
  <c r="O3746" i="10"/>
  <c r="O3747" i="10"/>
  <c r="O3748" i="10"/>
  <c r="O3749" i="10"/>
  <c r="O3750" i="10"/>
  <c r="O3751" i="10"/>
  <c r="O3752" i="10"/>
  <c r="O3753" i="10"/>
  <c r="O3754" i="10"/>
  <c r="O3755" i="10"/>
  <c r="O3756" i="10"/>
  <c r="O3757" i="10"/>
  <c r="O3758" i="10"/>
  <c r="O3759" i="10"/>
  <c r="O3760" i="10"/>
  <c r="O3761" i="10"/>
  <c r="O3762" i="10"/>
  <c r="O3763" i="10"/>
  <c r="O3764" i="10"/>
  <c r="O3765" i="10"/>
  <c r="O3766" i="10"/>
  <c r="O3767" i="10"/>
  <c r="O3768" i="10"/>
  <c r="O3769" i="10"/>
  <c r="O3770" i="10"/>
  <c r="O3771" i="10"/>
  <c r="O3772" i="10"/>
  <c r="O3773" i="10"/>
  <c r="O3774" i="10"/>
  <c r="O3775" i="10"/>
  <c r="O3776" i="10"/>
  <c r="O3777" i="10"/>
  <c r="O3778" i="10"/>
  <c r="O3779" i="10"/>
  <c r="O3780" i="10"/>
  <c r="O3781" i="10"/>
  <c r="O3782" i="10"/>
  <c r="O3783" i="10"/>
  <c r="O3784" i="10"/>
  <c r="O3785" i="10"/>
  <c r="O3786" i="10"/>
  <c r="O3787" i="10"/>
  <c r="O3788" i="10"/>
  <c r="O3789" i="10"/>
  <c r="O3790" i="10"/>
  <c r="O3791" i="10"/>
  <c r="O3792" i="10"/>
  <c r="O3793" i="10"/>
  <c r="O3794" i="10"/>
  <c r="O3795" i="10"/>
  <c r="O3796" i="10"/>
  <c r="O3797" i="10"/>
  <c r="O3798" i="10"/>
  <c r="O3799" i="10"/>
  <c r="O3800" i="10"/>
  <c r="O3801" i="10"/>
  <c r="O3802" i="10"/>
  <c r="O3803" i="10"/>
  <c r="O3804" i="10"/>
  <c r="O3805" i="10"/>
  <c r="O3806" i="10"/>
  <c r="O3807" i="10"/>
  <c r="O3808" i="10"/>
  <c r="O3809" i="10"/>
  <c r="O3810" i="10"/>
  <c r="O3811" i="10"/>
  <c r="O3812" i="10"/>
  <c r="O3813" i="10"/>
  <c r="O3814" i="10"/>
  <c r="O3815" i="10"/>
  <c r="O3816" i="10"/>
  <c r="O3817" i="10"/>
  <c r="O3818" i="10"/>
  <c r="O3819" i="10"/>
  <c r="O3820" i="10"/>
  <c r="O3821" i="10"/>
  <c r="O3822" i="10"/>
  <c r="O3823" i="10"/>
  <c r="O3824" i="10"/>
  <c r="O3825" i="10"/>
  <c r="O3826" i="10"/>
  <c r="O3827" i="10"/>
  <c r="O3828" i="10"/>
  <c r="O3829" i="10"/>
  <c r="O3830" i="10"/>
  <c r="O3831" i="10"/>
  <c r="O3832" i="10"/>
  <c r="O3833" i="10"/>
  <c r="O3834" i="10"/>
  <c r="O3835" i="10"/>
  <c r="O3836" i="10"/>
  <c r="O3837" i="10"/>
  <c r="O3838" i="10"/>
  <c r="O3839" i="10"/>
  <c r="O3840" i="10"/>
  <c r="O3841" i="10"/>
  <c r="O3842" i="10"/>
  <c r="O3843" i="10"/>
  <c r="O3844" i="10"/>
  <c r="O3845" i="10"/>
  <c r="O3846" i="10"/>
  <c r="O3847" i="10"/>
  <c r="O3848" i="10"/>
  <c r="O3849" i="10"/>
  <c r="O3850" i="10"/>
  <c r="O3851" i="10"/>
  <c r="O3852" i="10"/>
  <c r="O3853" i="10"/>
  <c r="O3854" i="10"/>
  <c r="O3855" i="10"/>
  <c r="O3856" i="10"/>
  <c r="O3857" i="10"/>
  <c r="O3858" i="10"/>
  <c r="O3859" i="10"/>
  <c r="O3860" i="10"/>
  <c r="O3861" i="10"/>
  <c r="O3862" i="10"/>
  <c r="O3863" i="10"/>
  <c r="O3864" i="10"/>
  <c r="O3865" i="10"/>
  <c r="O3866" i="10"/>
  <c r="O3867" i="10"/>
  <c r="O3868" i="10"/>
  <c r="O3869" i="10"/>
  <c r="O3870" i="10"/>
  <c r="O3871" i="10"/>
  <c r="O3872" i="10"/>
  <c r="O3873" i="10"/>
  <c r="O3874" i="10"/>
  <c r="O3875" i="10"/>
  <c r="O3876" i="10"/>
  <c r="O3877" i="10"/>
  <c r="O3878" i="10"/>
  <c r="O3879" i="10"/>
  <c r="O3880" i="10"/>
  <c r="O3881" i="10"/>
  <c r="O3882" i="10"/>
  <c r="O3883" i="10"/>
  <c r="O3884" i="10"/>
  <c r="O3885" i="10"/>
  <c r="O3886" i="10"/>
  <c r="O3887" i="10"/>
  <c r="O3888" i="10"/>
  <c r="O3889" i="10"/>
  <c r="O3890" i="10"/>
  <c r="O3891" i="10"/>
  <c r="O3892" i="10"/>
  <c r="O3893" i="10"/>
  <c r="O3894" i="10"/>
  <c r="O3895" i="10"/>
  <c r="O3896" i="10"/>
  <c r="O3897" i="10"/>
  <c r="O3898" i="10"/>
  <c r="O3899" i="10"/>
  <c r="O3900" i="10"/>
  <c r="O3901" i="10"/>
  <c r="O3902" i="10"/>
  <c r="O3903" i="10"/>
  <c r="O3904" i="10"/>
  <c r="O3905" i="10"/>
  <c r="O3906" i="10"/>
  <c r="O3907" i="10"/>
  <c r="O3908" i="10"/>
  <c r="O3909" i="10"/>
  <c r="O3910" i="10"/>
  <c r="O3911" i="10"/>
  <c r="O3912" i="10"/>
  <c r="O3913" i="10"/>
  <c r="O3914" i="10"/>
  <c r="O3915" i="10"/>
  <c r="O3916" i="10"/>
  <c r="O3917" i="10"/>
  <c r="O3918" i="10"/>
  <c r="O3919" i="10"/>
  <c r="O3920" i="10"/>
  <c r="O3921" i="10"/>
  <c r="O3922" i="10"/>
  <c r="O3923" i="10"/>
  <c r="O3924" i="10"/>
  <c r="O3925" i="10"/>
  <c r="O3926" i="10"/>
  <c r="O3927" i="10"/>
  <c r="O3928" i="10"/>
  <c r="O3929" i="10"/>
  <c r="O3930" i="10"/>
  <c r="O3931" i="10"/>
  <c r="O3932" i="10"/>
  <c r="O3933" i="10"/>
  <c r="O3934" i="10"/>
  <c r="O3935" i="10"/>
  <c r="O3936" i="10"/>
  <c r="O3937" i="10"/>
  <c r="O3938" i="10"/>
  <c r="O3939" i="10"/>
  <c r="O3940" i="10"/>
  <c r="O3941" i="10"/>
  <c r="O3942" i="10"/>
  <c r="O3943" i="10"/>
  <c r="O3944" i="10"/>
  <c r="O3945" i="10"/>
  <c r="O3946" i="10"/>
  <c r="O3947" i="10"/>
  <c r="O3948" i="10"/>
  <c r="O3949" i="10"/>
  <c r="O3950" i="10"/>
  <c r="O3951" i="10"/>
  <c r="O3952" i="10"/>
  <c r="O3953" i="10"/>
  <c r="O3954" i="10"/>
  <c r="O3955" i="10"/>
  <c r="O3956" i="10"/>
  <c r="O3957" i="10"/>
  <c r="O3958" i="10"/>
  <c r="O3959" i="10"/>
  <c r="O3960" i="10"/>
  <c r="O3961" i="10"/>
  <c r="O3962" i="10"/>
  <c r="O3963" i="10"/>
  <c r="O3964" i="10"/>
  <c r="O3965" i="10"/>
  <c r="O3966" i="10"/>
  <c r="O3967" i="10"/>
  <c r="O3968" i="10"/>
  <c r="O3969" i="10"/>
  <c r="O3970" i="10"/>
  <c r="O3971" i="10"/>
  <c r="O3972" i="10"/>
  <c r="O3973" i="10"/>
  <c r="O3974" i="10"/>
  <c r="O3975" i="10"/>
  <c r="O3976" i="10"/>
  <c r="O3977" i="10"/>
  <c r="O3978" i="10"/>
  <c r="O3979" i="10"/>
  <c r="O3980" i="10"/>
  <c r="O3981" i="10"/>
  <c r="O3982" i="10"/>
  <c r="O3983" i="10"/>
  <c r="O3984" i="10"/>
  <c r="O3985" i="10"/>
  <c r="O3986" i="10"/>
  <c r="O3987" i="10"/>
  <c r="O3988" i="10"/>
  <c r="O3989" i="10"/>
  <c r="O3990" i="10"/>
  <c r="O3991" i="10"/>
  <c r="O3992" i="10"/>
  <c r="O3993" i="10"/>
  <c r="O3994" i="10"/>
  <c r="O3995" i="10"/>
  <c r="O3996" i="10"/>
  <c r="O3997" i="10"/>
  <c r="O3998" i="10"/>
  <c r="O3999" i="10"/>
  <c r="O4000" i="10"/>
  <c r="O4001" i="10"/>
  <c r="O4002" i="10"/>
  <c r="O4003" i="10"/>
  <c r="O4004" i="10"/>
  <c r="O4005" i="10"/>
  <c r="O4006" i="10"/>
  <c r="O4007" i="10"/>
  <c r="O4008" i="10"/>
  <c r="O4009" i="10"/>
  <c r="O4010" i="10"/>
  <c r="O4011" i="10"/>
  <c r="O4012" i="10"/>
  <c r="O4013" i="10"/>
  <c r="O4014" i="10"/>
  <c r="O4015" i="10"/>
  <c r="O4016" i="10"/>
  <c r="O4017" i="10"/>
  <c r="O4018" i="10"/>
  <c r="O4019" i="10"/>
  <c r="O4020" i="10"/>
  <c r="O4021" i="10"/>
  <c r="O4022" i="10"/>
  <c r="O4023" i="10"/>
  <c r="O4024" i="10"/>
  <c r="O4025" i="10"/>
  <c r="O4026" i="10"/>
  <c r="O4027" i="10"/>
  <c r="O4028" i="10"/>
  <c r="O4029" i="10"/>
  <c r="O4030" i="10"/>
  <c r="O4031" i="10"/>
  <c r="O4032" i="10"/>
  <c r="O4033" i="10"/>
  <c r="O4034" i="10"/>
  <c r="O4035" i="10"/>
  <c r="O4036" i="10"/>
  <c r="O4037" i="10"/>
  <c r="O4038" i="10"/>
  <c r="O4039" i="10"/>
  <c r="O4040" i="10"/>
  <c r="O4041" i="10"/>
  <c r="O4042" i="10"/>
  <c r="O4043" i="10"/>
  <c r="O4044" i="10"/>
  <c r="O4045" i="10"/>
  <c r="O4046" i="10"/>
  <c r="O4047" i="10"/>
  <c r="O4048" i="10"/>
  <c r="O4049" i="10"/>
  <c r="O4050" i="10"/>
  <c r="O4051" i="10"/>
  <c r="O4052" i="10"/>
  <c r="O4053" i="10"/>
  <c r="O4054" i="10"/>
  <c r="O4055" i="10"/>
  <c r="O4056" i="10"/>
  <c r="O4057" i="10"/>
  <c r="O4058" i="10"/>
  <c r="O4059" i="10"/>
  <c r="O4060" i="10"/>
  <c r="O4061" i="10"/>
  <c r="O4062" i="10"/>
  <c r="O4063" i="10"/>
  <c r="O4064" i="10"/>
  <c r="O4065" i="10"/>
  <c r="O4066" i="10"/>
  <c r="O4067" i="10"/>
  <c r="O4068" i="10"/>
  <c r="O4069" i="10"/>
  <c r="O4070" i="10"/>
  <c r="O4071" i="10"/>
  <c r="O4072" i="10"/>
  <c r="O4073" i="10"/>
  <c r="O4074" i="10"/>
  <c r="O4075" i="10"/>
  <c r="O4076" i="10"/>
  <c r="O4077" i="10"/>
  <c r="O4078" i="10"/>
  <c r="O4079" i="10"/>
  <c r="O4080" i="10"/>
  <c r="O4081" i="10"/>
  <c r="O4082" i="10"/>
  <c r="O4083" i="10"/>
  <c r="O4084" i="10"/>
  <c r="O4085" i="10"/>
  <c r="O4086" i="10"/>
  <c r="O4087" i="10"/>
  <c r="O4088" i="10"/>
  <c r="O4089" i="10"/>
  <c r="O4090" i="10"/>
  <c r="O4091" i="10"/>
  <c r="O4092" i="10"/>
  <c r="O4093" i="10"/>
  <c r="O4094" i="10"/>
  <c r="O4095" i="10"/>
  <c r="O4096" i="10"/>
  <c r="O4097" i="10"/>
  <c r="O4098" i="10"/>
  <c r="O4099" i="10"/>
  <c r="O4100" i="10"/>
  <c r="O4101" i="10"/>
  <c r="O4102" i="10"/>
  <c r="O4103" i="10"/>
  <c r="O4104" i="10"/>
  <c r="O4105" i="10"/>
  <c r="O4106" i="10"/>
  <c r="O4107" i="10"/>
  <c r="O4108" i="10"/>
  <c r="O4109" i="10"/>
  <c r="O4110" i="10"/>
  <c r="O4111" i="10"/>
  <c r="O4112" i="10"/>
  <c r="O4113" i="10"/>
  <c r="O4114" i="10"/>
  <c r="O4115" i="10"/>
  <c r="O4116" i="10"/>
  <c r="O4117" i="10"/>
  <c r="O4118" i="10"/>
  <c r="O4119" i="10"/>
  <c r="O4120" i="10"/>
  <c r="O4121" i="10"/>
  <c r="O4122" i="10"/>
  <c r="O4123" i="10"/>
  <c r="O4124" i="10"/>
  <c r="O4125" i="10"/>
  <c r="O4126" i="10"/>
  <c r="O4127" i="10"/>
  <c r="O4128" i="10"/>
  <c r="O4129" i="10"/>
  <c r="O4130" i="10"/>
  <c r="O4131" i="10"/>
  <c r="O4132" i="10"/>
  <c r="O4133" i="10"/>
  <c r="O4134" i="10"/>
  <c r="O4135" i="10"/>
  <c r="O4136" i="10"/>
  <c r="O4137" i="10"/>
  <c r="O4138" i="10"/>
  <c r="O4139" i="10"/>
  <c r="O4140" i="10"/>
  <c r="O4141" i="10"/>
  <c r="O4142" i="10"/>
  <c r="O4143" i="10"/>
  <c r="O4144" i="10"/>
  <c r="O4145" i="10"/>
  <c r="O4146" i="10"/>
  <c r="O4147" i="10"/>
  <c r="O4148" i="10"/>
  <c r="O4149" i="10"/>
  <c r="O4150" i="10"/>
  <c r="O4151" i="10"/>
  <c r="O4152" i="10"/>
  <c r="O4153" i="10"/>
  <c r="O4154" i="10"/>
  <c r="O4155" i="10"/>
  <c r="O4156" i="10"/>
  <c r="O4157" i="10"/>
  <c r="O4158" i="10"/>
  <c r="O4159" i="10"/>
  <c r="O4160" i="10"/>
  <c r="O4161" i="10"/>
  <c r="O4162" i="10"/>
  <c r="O4163" i="10"/>
  <c r="O4164" i="10"/>
  <c r="O4165" i="10"/>
  <c r="O4166" i="10"/>
  <c r="O4167" i="10"/>
  <c r="O4168" i="10"/>
  <c r="O4169" i="10"/>
  <c r="O4170" i="10"/>
  <c r="O4171" i="10"/>
  <c r="O4172" i="10"/>
  <c r="O4173" i="10"/>
  <c r="O4174" i="10"/>
  <c r="O4175" i="10"/>
  <c r="O4176" i="10"/>
  <c r="O4177" i="10"/>
  <c r="O4178" i="10"/>
  <c r="O4179" i="10"/>
  <c r="O4180" i="10"/>
  <c r="O4181" i="10"/>
  <c r="O4182" i="10"/>
  <c r="O4183" i="10"/>
  <c r="O4184" i="10"/>
  <c r="O4185" i="10"/>
  <c r="O4186" i="10"/>
  <c r="O4187" i="10"/>
  <c r="O4188" i="10"/>
  <c r="O4189" i="10"/>
  <c r="O4190" i="10"/>
  <c r="O4191" i="10"/>
  <c r="O4192" i="10"/>
  <c r="O4193" i="10"/>
  <c r="O4194" i="10"/>
  <c r="O4195" i="10"/>
  <c r="O4196" i="10"/>
  <c r="O4197" i="10"/>
  <c r="O4198" i="10"/>
  <c r="O4199" i="10"/>
  <c r="O4200" i="10"/>
  <c r="O4201" i="10"/>
  <c r="O4202" i="10"/>
  <c r="O4203" i="10"/>
  <c r="O4204" i="10"/>
  <c r="O4205" i="10"/>
  <c r="O4206" i="10"/>
  <c r="O4207" i="10"/>
  <c r="O4208" i="10"/>
  <c r="O4209" i="10"/>
  <c r="O4210" i="10"/>
  <c r="O4211" i="10"/>
  <c r="O4212" i="10"/>
  <c r="O4213" i="10"/>
  <c r="O4214" i="10"/>
  <c r="O4215" i="10"/>
  <c r="O4216" i="10"/>
  <c r="O4217" i="10"/>
  <c r="O4218" i="10"/>
  <c r="O4219" i="10"/>
  <c r="O4220" i="10"/>
  <c r="O4221" i="10"/>
  <c r="O4222" i="10"/>
  <c r="O4223" i="10"/>
  <c r="O4224" i="10"/>
  <c r="O4225" i="10"/>
  <c r="O4226" i="10"/>
  <c r="O4227" i="10"/>
  <c r="O4228" i="10"/>
  <c r="O4229" i="10"/>
  <c r="O4230" i="10"/>
  <c r="O4231" i="10"/>
  <c r="O4232" i="10"/>
  <c r="O4233" i="10"/>
  <c r="O4234" i="10"/>
  <c r="O4235" i="10"/>
  <c r="O4236" i="10"/>
  <c r="O4237" i="10"/>
  <c r="O4238" i="10"/>
  <c r="O4239" i="10"/>
  <c r="O4240" i="10"/>
  <c r="O4241" i="10"/>
  <c r="O4242" i="10"/>
  <c r="O4243" i="10"/>
  <c r="O4244" i="10"/>
  <c r="O4245" i="10"/>
  <c r="O4246" i="10"/>
  <c r="O4247" i="10"/>
  <c r="O4248" i="10"/>
  <c r="O4249" i="10"/>
  <c r="O4250" i="10"/>
  <c r="O4251" i="10"/>
  <c r="O4252" i="10"/>
  <c r="O4253" i="10"/>
  <c r="O4254" i="10"/>
  <c r="O4255" i="10"/>
  <c r="O4256" i="10"/>
  <c r="O4257" i="10"/>
  <c r="O4258" i="10"/>
  <c r="O4259" i="10"/>
  <c r="O4260" i="10"/>
  <c r="O4261" i="10"/>
  <c r="O4262" i="10"/>
  <c r="O4263" i="10"/>
  <c r="O4264" i="10"/>
  <c r="O4265" i="10"/>
  <c r="O4266" i="10"/>
  <c r="O4267" i="10"/>
  <c r="O4268" i="10"/>
  <c r="O4269" i="10"/>
  <c r="O4270" i="10"/>
  <c r="O4271" i="10"/>
  <c r="O4272" i="10"/>
  <c r="O4273" i="10"/>
  <c r="O4274" i="10"/>
  <c r="O4275" i="10"/>
  <c r="O4276" i="10"/>
  <c r="O4277" i="10"/>
  <c r="O4278" i="10"/>
  <c r="O4279" i="10"/>
  <c r="O4280" i="10"/>
  <c r="O4281" i="10"/>
  <c r="O4282" i="10"/>
  <c r="O4283" i="10"/>
  <c r="O4284" i="10"/>
  <c r="O4285" i="10"/>
  <c r="O4286" i="10"/>
  <c r="O4287" i="10"/>
  <c r="O4288" i="10"/>
  <c r="O4289" i="10"/>
  <c r="O4290" i="10"/>
  <c r="O4291" i="10"/>
  <c r="O4292" i="10"/>
  <c r="O4293" i="10"/>
  <c r="O4294" i="10"/>
  <c r="O4295" i="10"/>
  <c r="O4296" i="10"/>
  <c r="O4297" i="10"/>
  <c r="O4298" i="10"/>
  <c r="O4299" i="10"/>
  <c r="O4300" i="10"/>
  <c r="O4301" i="10"/>
  <c r="O4302" i="10"/>
  <c r="O4303" i="10"/>
  <c r="O4304" i="10"/>
  <c r="O4305" i="10"/>
  <c r="O4306" i="10"/>
  <c r="O4307" i="10"/>
  <c r="O4308" i="10"/>
  <c r="O4309" i="10"/>
  <c r="O4310" i="10"/>
  <c r="O4311" i="10"/>
  <c r="O4312" i="10"/>
  <c r="O4313" i="10"/>
  <c r="O4314" i="10"/>
  <c r="O4315" i="10"/>
  <c r="O4316" i="10"/>
  <c r="O4317" i="10"/>
  <c r="O4318" i="10"/>
  <c r="O4319" i="10"/>
  <c r="O4320" i="10"/>
  <c r="O4321" i="10"/>
  <c r="O4322" i="10"/>
  <c r="O4323" i="10"/>
  <c r="O4324" i="10"/>
  <c r="O4325" i="10"/>
  <c r="O4326" i="10"/>
  <c r="O4327" i="10"/>
  <c r="O4328" i="10"/>
  <c r="O4329" i="10"/>
  <c r="O4330" i="10"/>
  <c r="O4331" i="10"/>
  <c r="O4332" i="10"/>
  <c r="O4333" i="10"/>
  <c r="O4334" i="10"/>
  <c r="O4335" i="10"/>
  <c r="O4336" i="10"/>
  <c r="O4337" i="10"/>
  <c r="O4338" i="10"/>
  <c r="O4339" i="10"/>
  <c r="O4340" i="10"/>
  <c r="O4341" i="10"/>
  <c r="O4342" i="10"/>
  <c r="O4343" i="10"/>
  <c r="O4344" i="10"/>
  <c r="O4345" i="10"/>
  <c r="O4346" i="10"/>
  <c r="O4347" i="10"/>
  <c r="O4348" i="10"/>
  <c r="O4349" i="10"/>
  <c r="O4350" i="10"/>
  <c r="O4351" i="10"/>
  <c r="O4352" i="10"/>
  <c r="O4353" i="10"/>
  <c r="O4354" i="10"/>
  <c r="O4355" i="10"/>
  <c r="O4356" i="10"/>
  <c r="O4357" i="10"/>
  <c r="O4358" i="10"/>
  <c r="O4359" i="10"/>
  <c r="O4360" i="10"/>
  <c r="O4361" i="10"/>
  <c r="O4362" i="10"/>
  <c r="O4363" i="10"/>
  <c r="O4364" i="10"/>
  <c r="O4365" i="10"/>
  <c r="O4366" i="10"/>
  <c r="O4367" i="10"/>
  <c r="O4368" i="10"/>
  <c r="O4369" i="10"/>
  <c r="O4370" i="10"/>
  <c r="O4371" i="10"/>
  <c r="O4372" i="10"/>
  <c r="O4373" i="10"/>
  <c r="O4374" i="10"/>
  <c r="O4375" i="10"/>
  <c r="O4376" i="10"/>
  <c r="O4377" i="10"/>
  <c r="O4378" i="10"/>
  <c r="O4379" i="10"/>
  <c r="O4380" i="10"/>
  <c r="O4381" i="10"/>
  <c r="O4382" i="10"/>
  <c r="O4383" i="10"/>
  <c r="O4384" i="10"/>
  <c r="O4385" i="10"/>
  <c r="O4386" i="10"/>
  <c r="O4387" i="10"/>
  <c r="O4388" i="10"/>
  <c r="O4389" i="10"/>
  <c r="O4390" i="10"/>
  <c r="O4391" i="10"/>
  <c r="O4392" i="10"/>
  <c r="O4393" i="10"/>
  <c r="O4394" i="10"/>
  <c r="O4395" i="10"/>
  <c r="O4396" i="10"/>
  <c r="O4397" i="10"/>
  <c r="O4398" i="10"/>
  <c r="O4399" i="10"/>
  <c r="O4400" i="10"/>
  <c r="O4401" i="10"/>
  <c r="O4402" i="10"/>
  <c r="O4403" i="10"/>
  <c r="O4404" i="10"/>
  <c r="O4405" i="10"/>
  <c r="O4406" i="10"/>
  <c r="O4407" i="10"/>
  <c r="O4408" i="10"/>
  <c r="O4409" i="10"/>
  <c r="O4410" i="10"/>
  <c r="O4411" i="10"/>
  <c r="O4412" i="10"/>
  <c r="O4413" i="10"/>
  <c r="O4414" i="10"/>
  <c r="O4415" i="10"/>
  <c r="O4416" i="10"/>
  <c r="O4417" i="10"/>
  <c r="O4418" i="10"/>
  <c r="O4419" i="10"/>
  <c r="O4420" i="10"/>
  <c r="O4421" i="10"/>
  <c r="O4422" i="10"/>
  <c r="O4423" i="10"/>
  <c r="O4424" i="10"/>
  <c r="O4425" i="10"/>
  <c r="O4426" i="10"/>
  <c r="O4427" i="10"/>
  <c r="O4428" i="10"/>
  <c r="O4429" i="10"/>
  <c r="O4430" i="10"/>
  <c r="O4431" i="10"/>
  <c r="O4432" i="10"/>
  <c r="O4433" i="10"/>
  <c r="O4434" i="10"/>
  <c r="O4435" i="10"/>
  <c r="O4436" i="10"/>
  <c r="O4437" i="10"/>
  <c r="O4438" i="10"/>
  <c r="O4439" i="10"/>
  <c r="O4440" i="10"/>
  <c r="O4441" i="10"/>
  <c r="O4442" i="10"/>
  <c r="O4443" i="10"/>
  <c r="O4444" i="10"/>
  <c r="O4445" i="10"/>
  <c r="O4446" i="10"/>
  <c r="O4447" i="10"/>
  <c r="O4448" i="10"/>
  <c r="O4449" i="10"/>
  <c r="O4450" i="10"/>
  <c r="O4451" i="10"/>
  <c r="O4452" i="10"/>
  <c r="O4453" i="10"/>
  <c r="O4454" i="10"/>
  <c r="O4455" i="10"/>
  <c r="O4456" i="10"/>
  <c r="O4457" i="10"/>
  <c r="O4458" i="10"/>
  <c r="O4459" i="10"/>
  <c r="O4460" i="10"/>
  <c r="O4461" i="10"/>
  <c r="O4462" i="10"/>
  <c r="O4463" i="10"/>
  <c r="O4464" i="10"/>
  <c r="O4465" i="10"/>
  <c r="O4466" i="10"/>
  <c r="O4467" i="10"/>
  <c r="O4468" i="10"/>
  <c r="O4469" i="10"/>
  <c r="O4470" i="10"/>
  <c r="O4471" i="10"/>
  <c r="O4472" i="10"/>
  <c r="O4473" i="10"/>
  <c r="O4474" i="10"/>
  <c r="O4475" i="10"/>
  <c r="O4476" i="10"/>
  <c r="O4477" i="10"/>
  <c r="O4478" i="10"/>
  <c r="O4479" i="10"/>
  <c r="O4480" i="10"/>
  <c r="O4481" i="10"/>
  <c r="O4482" i="10"/>
  <c r="O4483" i="10"/>
  <c r="O4484" i="10"/>
  <c r="O4485" i="10"/>
  <c r="O4486" i="10"/>
  <c r="O4487" i="10"/>
  <c r="O4488" i="10"/>
  <c r="O4489" i="10"/>
  <c r="O4490" i="10"/>
  <c r="O4491" i="10"/>
  <c r="O4492" i="10"/>
  <c r="O4493" i="10"/>
  <c r="O4494" i="10"/>
  <c r="O4495" i="10"/>
  <c r="O4496" i="10"/>
  <c r="O4497" i="10"/>
  <c r="O4498" i="10"/>
  <c r="O4499" i="10"/>
  <c r="O4500" i="10"/>
  <c r="O4501" i="10"/>
  <c r="O4502" i="10"/>
  <c r="O4503" i="10"/>
  <c r="O4504" i="10"/>
  <c r="O4505" i="10"/>
  <c r="O4506" i="10"/>
  <c r="O4507" i="10"/>
  <c r="O4508" i="10"/>
  <c r="O4509" i="10"/>
  <c r="O4510" i="10"/>
  <c r="O4511" i="10"/>
  <c r="O4512" i="10"/>
  <c r="O4513" i="10"/>
  <c r="O4514" i="10"/>
  <c r="O4515" i="10"/>
  <c r="O4516" i="10"/>
  <c r="O4517" i="10"/>
  <c r="O4518" i="10"/>
  <c r="O4519" i="10"/>
  <c r="O4520" i="10"/>
  <c r="O4521" i="10"/>
  <c r="O4522" i="10"/>
  <c r="O4523" i="10"/>
  <c r="O4524" i="10"/>
  <c r="O4525" i="10"/>
  <c r="O4526" i="10"/>
  <c r="O4527" i="10"/>
  <c r="O4528" i="10"/>
  <c r="O4529" i="10"/>
  <c r="O4530" i="10"/>
  <c r="O4531" i="10"/>
  <c r="O4532" i="10"/>
  <c r="O4533" i="10"/>
  <c r="O4534" i="10"/>
  <c r="O4535" i="10"/>
  <c r="O4536" i="10"/>
  <c r="O4537" i="10"/>
  <c r="O4538" i="10"/>
  <c r="O4539" i="10"/>
  <c r="O4540" i="10"/>
  <c r="O4541" i="10"/>
  <c r="O4542" i="10"/>
  <c r="O4543" i="10"/>
  <c r="O4544" i="10"/>
  <c r="O4545" i="10"/>
  <c r="O4546" i="10"/>
  <c r="O4547" i="10"/>
  <c r="O4548" i="10"/>
  <c r="O4549" i="10"/>
  <c r="O4550" i="10"/>
  <c r="O4551" i="10"/>
  <c r="O4552" i="10"/>
  <c r="O4553" i="10"/>
  <c r="O4554" i="10"/>
  <c r="O4555" i="10"/>
  <c r="O4556" i="10"/>
  <c r="O4557" i="10"/>
  <c r="O4558" i="10"/>
  <c r="O4559" i="10"/>
  <c r="O4560" i="10"/>
  <c r="O4561" i="10"/>
  <c r="O4562" i="10"/>
  <c r="O4563" i="10"/>
  <c r="O4564" i="10"/>
  <c r="O4565" i="10"/>
  <c r="O4566" i="10"/>
  <c r="O4567" i="10"/>
  <c r="O4568" i="10"/>
  <c r="O4569" i="10"/>
  <c r="O4570" i="10"/>
  <c r="O4571" i="10"/>
  <c r="O4572" i="10"/>
  <c r="O4573" i="10"/>
  <c r="O4574" i="10"/>
  <c r="O4575" i="10"/>
  <c r="O4576" i="10"/>
  <c r="O4577" i="10"/>
  <c r="O4578" i="10"/>
  <c r="O4579" i="10"/>
  <c r="O4580" i="10"/>
  <c r="O4581" i="10"/>
  <c r="O4582" i="10"/>
  <c r="O4583" i="10"/>
  <c r="O4584" i="10"/>
  <c r="O4585" i="10"/>
  <c r="O4586" i="10"/>
  <c r="O4587" i="10"/>
  <c r="O4588" i="10"/>
  <c r="O4589" i="10"/>
  <c r="O4590" i="10"/>
  <c r="O4591" i="10"/>
  <c r="O4592" i="10"/>
  <c r="O4593" i="10"/>
  <c r="O4594" i="10"/>
  <c r="O4595" i="10"/>
  <c r="O4596" i="10"/>
  <c r="O4597" i="10"/>
  <c r="O4598" i="10"/>
  <c r="O4599" i="10"/>
  <c r="O4600" i="10"/>
  <c r="O4601" i="10"/>
  <c r="O4602" i="10"/>
  <c r="O4603" i="10"/>
  <c r="O4604" i="10"/>
  <c r="O4605" i="10"/>
  <c r="O4606" i="10"/>
  <c r="O4607" i="10"/>
  <c r="O4608" i="10"/>
  <c r="O4609" i="10"/>
  <c r="O4610" i="10"/>
  <c r="O4611" i="10"/>
  <c r="O4612" i="10"/>
  <c r="O4613" i="10"/>
  <c r="O4614" i="10"/>
  <c r="O4615" i="10"/>
  <c r="O4616" i="10"/>
  <c r="O4617" i="10"/>
  <c r="O4618" i="10"/>
  <c r="O4619" i="10"/>
  <c r="O4620" i="10"/>
  <c r="O4621" i="10"/>
  <c r="O4622" i="10"/>
  <c r="O4623" i="10"/>
  <c r="O4624" i="10"/>
  <c r="O4625" i="10"/>
  <c r="O4626" i="10"/>
  <c r="O4627" i="10"/>
  <c r="O4628" i="10"/>
  <c r="O4629" i="10"/>
  <c r="O4630" i="10"/>
  <c r="O4631" i="10"/>
  <c r="O4632" i="10"/>
  <c r="O4633" i="10"/>
  <c r="O4634" i="10"/>
  <c r="O4635" i="10"/>
  <c r="O4636" i="10"/>
  <c r="O4637" i="10"/>
  <c r="O4638" i="10"/>
  <c r="O4639" i="10"/>
  <c r="O4640" i="10"/>
  <c r="O4641" i="10"/>
  <c r="O4642" i="10"/>
  <c r="O4643" i="10"/>
  <c r="O4644" i="10"/>
  <c r="O4645" i="10"/>
  <c r="O4646" i="10"/>
  <c r="O4647" i="10"/>
  <c r="O4648" i="10"/>
  <c r="O4649" i="10"/>
  <c r="O4650" i="10"/>
  <c r="O4651" i="10"/>
  <c r="O4652" i="10"/>
  <c r="O4653" i="10"/>
  <c r="O4654" i="10"/>
  <c r="O4655" i="10"/>
  <c r="O4656" i="10"/>
  <c r="O4657" i="10"/>
  <c r="O4658" i="10"/>
  <c r="O4659" i="10"/>
  <c r="O4660" i="10"/>
  <c r="O4661" i="10"/>
  <c r="O4662" i="10"/>
  <c r="O4663" i="10"/>
  <c r="O4664" i="10"/>
  <c r="O4665" i="10"/>
  <c r="O4666" i="10"/>
  <c r="O4667" i="10"/>
  <c r="O4668" i="10"/>
  <c r="O4669" i="10"/>
  <c r="O4670" i="10"/>
  <c r="O4671" i="10"/>
  <c r="O4672" i="10"/>
  <c r="O4673" i="10"/>
  <c r="O4674" i="10"/>
  <c r="O4675" i="10"/>
  <c r="O4676" i="10"/>
  <c r="O4677" i="10"/>
  <c r="O4678" i="10"/>
  <c r="O4679" i="10"/>
  <c r="O4680" i="10"/>
  <c r="O4681" i="10"/>
  <c r="O4682" i="10"/>
  <c r="O4683" i="10"/>
  <c r="O4684" i="10"/>
  <c r="O4685" i="10"/>
  <c r="O4686" i="10"/>
  <c r="O4687" i="10"/>
  <c r="O4688" i="10"/>
  <c r="O4689" i="10"/>
  <c r="O4690" i="10"/>
  <c r="O4691" i="10"/>
  <c r="O4692" i="10"/>
  <c r="O4693" i="10"/>
  <c r="O4694" i="10"/>
  <c r="O4695" i="10"/>
  <c r="O4696" i="10"/>
  <c r="O4697" i="10"/>
  <c r="O4698" i="10"/>
  <c r="O4699" i="10"/>
  <c r="O4700" i="10"/>
  <c r="O4701" i="10"/>
  <c r="O4702" i="10"/>
  <c r="O4703" i="10"/>
  <c r="O4704" i="10"/>
  <c r="O4705" i="10"/>
  <c r="O4706" i="10"/>
  <c r="O4707" i="10"/>
  <c r="O4708" i="10"/>
  <c r="O4709" i="10"/>
  <c r="O4710" i="10"/>
  <c r="O4711" i="10"/>
  <c r="O4712" i="10"/>
  <c r="O4713" i="10"/>
  <c r="O4714" i="10"/>
  <c r="O4715" i="10"/>
  <c r="O4716" i="10"/>
  <c r="O4717" i="10"/>
  <c r="O4718" i="10"/>
  <c r="O4719" i="10"/>
  <c r="O4720" i="10"/>
  <c r="O4721" i="10"/>
  <c r="O4722" i="10"/>
  <c r="O4723" i="10"/>
  <c r="O4724" i="10"/>
  <c r="O4725" i="10"/>
  <c r="O4726" i="10"/>
  <c r="O4727" i="10"/>
  <c r="O4728" i="10"/>
  <c r="O4729" i="10"/>
  <c r="O4730" i="10"/>
  <c r="O4731" i="10"/>
  <c r="O4732" i="10"/>
  <c r="O4733" i="10"/>
  <c r="O4734" i="10"/>
  <c r="O4735" i="10"/>
  <c r="O4736" i="10"/>
  <c r="O4737" i="10"/>
  <c r="O4738" i="10"/>
  <c r="O4739" i="10"/>
  <c r="O4740" i="10"/>
  <c r="O4741" i="10"/>
  <c r="O4742" i="10"/>
  <c r="O4743" i="10"/>
  <c r="O4744" i="10"/>
  <c r="O4745" i="10"/>
  <c r="O4746" i="10"/>
  <c r="O4747" i="10"/>
  <c r="O4748" i="10"/>
  <c r="O4749" i="10"/>
  <c r="O4750" i="10"/>
  <c r="O4751" i="10"/>
  <c r="O4752" i="10"/>
  <c r="O4753" i="10"/>
  <c r="O4754" i="10"/>
  <c r="O4755" i="10"/>
  <c r="O4756" i="10"/>
  <c r="O4757" i="10"/>
  <c r="O4758" i="10"/>
  <c r="O4759" i="10"/>
  <c r="O4760" i="10"/>
  <c r="O4761" i="10"/>
  <c r="O4762" i="10"/>
  <c r="O4763" i="10"/>
  <c r="O4764" i="10"/>
  <c r="O4765" i="10"/>
  <c r="O4766" i="10"/>
  <c r="O4767" i="10"/>
  <c r="O4768" i="10"/>
  <c r="O4769" i="10"/>
  <c r="O4770" i="10"/>
  <c r="O4771" i="10"/>
  <c r="O4772" i="10"/>
  <c r="O4773" i="10"/>
  <c r="O4774" i="10"/>
  <c r="O4775" i="10"/>
  <c r="O4776" i="10"/>
  <c r="O4777" i="10"/>
  <c r="O4778" i="10"/>
  <c r="O4779" i="10"/>
  <c r="O4780" i="10"/>
  <c r="O4781" i="10"/>
  <c r="O4782" i="10"/>
  <c r="O4783" i="10"/>
  <c r="O4784" i="10"/>
  <c r="O4785" i="10"/>
  <c r="O4786" i="10"/>
  <c r="O4787" i="10"/>
  <c r="O4788" i="10"/>
  <c r="O4789" i="10"/>
  <c r="O4790" i="10"/>
  <c r="O4791" i="10"/>
  <c r="O4792" i="10"/>
  <c r="O4793" i="10"/>
  <c r="O4794" i="10"/>
  <c r="O4795" i="10"/>
  <c r="O4796" i="10"/>
  <c r="O4797" i="10"/>
  <c r="O4798" i="10"/>
  <c r="O4799" i="10"/>
  <c r="O4800" i="10"/>
  <c r="O4801" i="10"/>
  <c r="O4802" i="10"/>
  <c r="O4803" i="10"/>
  <c r="O4804" i="10"/>
  <c r="O4805" i="10"/>
  <c r="O4806" i="10"/>
  <c r="O4807" i="10"/>
  <c r="O4808" i="10"/>
  <c r="O4809" i="10"/>
  <c r="O4810" i="10"/>
  <c r="O4811" i="10"/>
  <c r="O4812" i="10"/>
  <c r="O4813" i="10"/>
  <c r="O4814" i="10"/>
  <c r="O4815" i="10"/>
  <c r="O4816" i="10"/>
  <c r="O4817" i="10"/>
  <c r="O4818" i="10"/>
  <c r="O4819" i="10"/>
  <c r="O4820" i="10"/>
  <c r="O4821" i="10"/>
  <c r="O4822" i="10"/>
  <c r="O4823" i="10"/>
  <c r="O4824" i="10"/>
  <c r="O4825" i="10"/>
  <c r="O4826" i="10"/>
  <c r="O4827" i="10"/>
  <c r="O4828" i="10"/>
  <c r="O4829" i="10"/>
  <c r="O4830" i="10"/>
  <c r="O4831" i="10"/>
  <c r="O4832" i="10"/>
  <c r="O4833" i="10"/>
  <c r="O4834" i="10"/>
  <c r="O4835" i="10"/>
  <c r="O4836" i="10"/>
  <c r="O4837" i="10"/>
  <c r="O4838" i="10"/>
  <c r="O4839" i="10"/>
  <c r="O4840" i="10"/>
  <c r="O4841" i="10"/>
  <c r="O4842" i="10"/>
  <c r="O4843" i="10"/>
  <c r="O4844" i="10"/>
  <c r="O4845" i="10"/>
  <c r="O4846" i="10"/>
  <c r="O4847" i="10"/>
  <c r="O4848" i="10"/>
  <c r="O4849" i="10"/>
  <c r="O4850" i="10"/>
  <c r="O4851" i="10"/>
  <c r="O4852" i="10"/>
  <c r="O4853" i="10"/>
  <c r="O4854" i="10"/>
  <c r="O4855" i="10"/>
  <c r="O4856" i="10"/>
  <c r="O4857" i="10"/>
  <c r="O4858" i="10"/>
  <c r="O4859" i="10"/>
  <c r="O4860" i="10"/>
  <c r="O4861" i="10"/>
  <c r="O4862" i="10"/>
  <c r="O4863" i="10"/>
  <c r="O4864" i="10"/>
  <c r="O4865" i="10"/>
  <c r="O4866" i="10"/>
  <c r="O4867" i="10"/>
  <c r="O4868" i="10"/>
  <c r="O4869" i="10"/>
  <c r="O4870" i="10"/>
  <c r="O4871" i="10"/>
  <c r="O4872" i="10"/>
  <c r="O4873" i="10"/>
  <c r="O4874" i="10"/>
  <c r="O4875" i="10"/>
  <c r="O4876" i="10"/>
  <c r="O4877" i="10"/>
  <c r="O4878" i="10"/>
  <c r="O4879" i="10"/>
  <c r="O4880" i="10"/>
  <c r="O4881" i="10"/>
  <c r="O4882" i="10"/>
  <c r="O4883" i="10"/>
  <c r="O4884" i="10"/>
  <c r="O4885" i="10"/>
  <c r="O4886" i="10"/>
  <c r="O4887" i="10"/>
  <c r="O4888" i="10"/>
  <c r="O4889" i="10"/>
  <c r="O4890" i="10"/>
  <c r="O4891" i="10"/>
  <c r="O4892" i="10"/>
  <c r="O4893" i="10"/>
  <c r="O4894" i="10"/>
  <c r="O4895" i="10"/>
  <c r="O4896" i="10"/>
  <c r="O4897" i="10"/>
  <c r="O4898" i="10"/>
  <c r="O4899" i="10"/>
  <c r="O4900" i="10"/>
  <c r="O4901" i="10"/>
  <c r="O4902" i="10"/>
  <c r="O4903" i="10"/>
  <c r="O4904" i="10"/>
  <c r="O4905" i="10"/>
  <c r="O4906" i="10"/>
  <c r="O4907" i="10"/>
  <c r="O4908" i="10"/>
  <c r="O4909" i="10"/>
  <c r="O4910" i="10"/>
  <c r="O4911" i="10"/>
  <c r="O4912" i="10"/>
  <c r="O4913" i="10"/>
  <c r="O4914" i="10"/>
  <c r="O4915" i="10"/>
  <c r="O4916" i="10"/>
  <c r="O4917" i="10"/>
  <c r="O4918" i="10"/>
  <c r="O4919" i="10"/>
  <c r="O4920" i="10"/>
  <c r="O4921" i="10"/>
  <c r="O4922" i="10"/>
  <c r="O4923" i="10"/>
  <c r="O4924" i="10"/>
  <c r="O4925" i="10"/>
  <c r="O4926" i="10"/>
  <c r="O4927" i="10"/>
  <c r="O4928" i="10"/>
  <c r="O4929" i="10"/>
  <c r="O4930" i="10"/>
  <c r="O4931" i="10"/>
  <c r="O4932" i="10"/>
  <c r="O4933" i="10"/>
  <c r="O4934" i="10"/>
  <c r="O4935" i="10"/>
  <c r="O4936" i="10"/>
  <c r="O4937" i="10"/>
  <c r="O4938" i="10"/>
  <c r="O4939" i="10"/>
  <c r="O4940" i="10"/>
  <c r="O4941" i="10"/>
  <c r="O4942" i="10"/>
  <c r="O4943" i="10"/>
  <c r="O4944" i="10"/>
  <c r="O4945" i="10"/>
  <c r="O4946" i="10"/>
  <c r="O4947" i="10"/>
  <c r="O4948" i="10"/>
  <c r="O4949" i="10"/>
  <c r="O4950" i="10"/>
  <c r="O4951" i="10"/>
  <c r="O4952" i="10"/>
  <c r="O4953" i="10"/>
  <c r="O4954" i="10"/>
  <c r="O4955" i="10"/>
  <c r="O4956" i="10"/>
  <c r="O4957" i="10"/>
  <c r="O4958" i="10"/>
  <c r="O4959" i="10"/>
  <c r="O4960" i="10"/>
  <c r="O4961" i="10"/>
  <c r="O4962" i="10"/>
  <c r="O4963" i="10"/>
  <c r="O4964" i="10"/>
  <c r="O4965" i="10"/>
  <c r="O4966" i="10"/>
  <c r="O4967" i="10"/>
  <c r="O4968" i="10"/>
  <c r="O4969" i="10"/>
  <c r="O4970" i="10"/>
  <c r="O4971" i="10"/>
  <c r="O4972" i="10"/>
  <c r="O4973" i="10"/>
  <c r="O4974" i="10"/>
  <c r="O4975" i="10"/>
  <c r="O4976" i="10"/>
  <c r="O4977" i="10"/>
  <c r="O4978" i="10"/>
  <c r="O4979" i="10"/>
  <c r="O4980" i="10"/>
  <c r="O4981" i="10"/>
  <c r="O4982" i="10"/>
  <c r="O4983" i="10"/>
  <c r="O4984" i="10"/>
  <c r="O4985" i="10"/>
  <c r="O4986" i="10"/>
  <c r="O4987" i="10"/>
  <c r="O4988" i="10"/>
  <c r="O4989" i="10"/>
  <c r="O4990" i="10"/>
  <c r="O4991" i="10"/>
  <c r="O4992" i="10"/>
  <c r="O4993" i="10"/>
  <c r="O4994" i="10"/>
  <c r="O4995" i="10"/>
  <c r="O4996" i="10"/>
  <c r="O4997" i="10"/>
  <c r="O4998" i="10"/>
  <c r="O4999" i="10"/>
  <c r="O5000" i="10"/>
  <c r="O5001" i="10"/>
  <c r="O5002" i="10"/>
  <c r="O5003" i="10"/>
  <c r="O5004" i="10"/>
  <c r="O5005" i="10"/>
  <c r="O5006" i="10"/>
  <c r="O5007" i="10"/>
  <c r="O5008" i="10"/>
  <c r="O5009" i="10"/>
  <c r="O5010" i="10"/>
  <c r="O5011" i="10"/>
  <c r="O5012" i="10"/>
  <c r="O5013" i="10"/>
  <c r="O5014" i="10"/>
  <c r="O5015" i="10"/>
  <c r="O5016" i="10"/>
  <c r="O5017" i="10"/>
  <c r="O5018" i="10"/>
  <c r="O5019" i="10"/>
  <c r="O5020" i="10"/>
  <c r="O5021" i="10"/>
  <c r="O5022" i="10"/>
  <c r="O5023" i="10"/>
  <c r="O5024" i="10"/>
  <c r="O5025" i="10"/>
  <c r="O5026" i="10"/>
  <c r="O5027" i="10"/>
  <c r="O5028" i="10"/>
  <c r="O5029" i="10"/>
  <c r="O5030" i="10"/>
  <c r="O5031" i="10"/>
  <c r="O5032" i="10"/>
  <c r="O5033" i="10"/>
  <c r="O5034" i="10"/>
  <c r="O5035" i="10"/>
  <c r="O5036" i="10"/>
  <c r="O5037" i="10"/>
  <c r="O5038" i="10"/>
  <c r="O5039" i="10"/>
  <c r="O5040" i="10"/>
  <c r="O5041" i="10"/>
  <c r="O5042" i="10"/>
  <c r="O5043" i="10"/>
  <c r="O5044" i="10"/>
  <c r="O5045" i="10"/>
  <c r="O5046" i="10"/>
  <c r="O5047" i="10"/>
  <c r="O5048" i="10"/>
  <c r="O5049" i="10"/>
  <c r="O5050" i="10"/>
  <c r="O5051" i="10"/>
  <c r="O5052" i="10"/>
  <c r="O5053" i="10"/>
  <c r="O5054" i="10"/>
  <c r="O5055" i="10"/>
  <c r="O5056" i="10"/>
  <c r="O5057" i="10"/>
  <c r="O5058" i="10"/>
  <c r="O5059" i="10"/>
  <c r="O5060" i="10"/>
  <c r="O5061" i="10"/>
  <c r="O5062" i="10"/>
  <c r="O5063" i="10"/>
  <c r="O5064" i="10"/>
  <c r="O5065" i="10"/>
  <c r="O5066" i="10"/>
  <c r="O5067" i="10"/>
  <c r="O5068" i="10"/>
  <c r="O5069" i="10"/>
  <c r="O5070" i="10"/>
  <c r="O5071" i="10"/>
  <c r="O5072" i="10"/>
  <c r="O5073" i="10"/>
  <c r="O5074" i="10"/>
  <c r="O5075" i="10"/>
  <c r="O5076" i="10"/>
  <c r="O5077" i="10"/>
  <c r="O5078" i="10"/>
  <c r="O5079" i="10"/>
  <c r="O5080" i="10"/>
  <c r="O5081" i="10"/>
  <c r="O5082" i="10"/>
  <c r="O5083" i="10"/>
  <c r="O5084" i="10"/>
  <c r="O5085" i="10"/>
  <c r="O5086" i="10"/>
  <c r="O5087" i="10"/>
  <c r="O5088" i="10"/>
  <c r="O5089" i="10"/>
  <c r="O5090" i="10"/>
  <c r="O5091" i="10"/>
  <c r="O5092" i="10"/>
  <c r="O5093" i="10"/>
  <c r="O5094" i="10"/>
  <c r="O5095" i="10"/>
  <c r="O5096" i="10"/>
  <c r="O5097" i="10"/>
  <c r="O5098" i="10"/>
  <c r="O5099" i="10"/>
  <c r="O5100" i="10"/>
  <c r="O5101" i="10"/>
  <c r="O5102" i="10"/>
  <c r="O5103" i="10"/>
  <c r="O5104" i="10"/>
  <c r="O5105" i="10"/>
  <c r="O5106" i="10"/>
  <c r="O5107" i="10"/>
  <c r="O5108" i="10"/>
  <c r="O5109" i="10"/>
  <c r="O5110" i="10"/>
  <c r="O5111" i="10"/>
  <c r="O5112" i="10"/>
  <c r="O5113" i="10"/>
  <c r="O5114" i="10"/>
  <c r="O5115" i="10"/>
  <c r="O5116" i="10"/>
  <c r="O5117" i="10"/>
  <c r="O5118" i="10"/>
  <c r="O5119" i="10"/>
  <c r="O5120" i="10"/>
  <c r="O5121" i="10"/>
  <c r="O5122" i="10"/>
  <c r="O5123" i="10"/>
  <c r="O5124" i="10"/>
  <c r="O5125" i="10"/>
  <c r="O5126" i="10"/>
  <c r="O5127" i="10"/>
  <c r="O5128" i="10"/>
  <c r="O5129" i="10"/>
  <c r="O5130" i="10"/>
  <c r="O5131" i="10"/>
  <c r="O5132" i="10"/>
  <c r="O5133" i="10"/>
  <c r="O5134" i="10"/>
  <c r="O5135" i="10"/>
  <c r="O5136" i="10"/>
  <c r="O5137" i="10"/>
  <c r="O5138" i="10"/>
  <c r="O5139" i="10"/>
  <c r="O5140" i="10"/>
  <c r="O5141" i="10"/>
  <c r="O5142" i="10"/>
  <c r="O5143" i="10"/>
  <c r="O5144" i="10"/>
  <c r="O5145" i="10"/>
  <c r="O5146" i="10"/>
  <c r="O5147" i="10"/>
  <c r="O5148" i="10"/>
  <c r="O5149" i="10"/>
  <c r="O5150" i="10"/>
  <c r="O5151" i="10"/>
  <c r="O5152" i="10"/>
  <c r="O5153" i="10"/>
  <c r="O5154" i="10"/>
  <c r="O5155" i="10"/>
  <c r="O5156" i="10"/>
  <c r="O5157" i="10"/>
  <c r="O5158" i="10"/>
  <c r="O5159" i="10"/>
  <c r="O5160" i="10"/>
  <c r="O5161" i="10"/>
  <c r="O5162" i="10"/>
  <c r="O5163" i="10"/>
  <c r="O5164" i="10"/>
  <c r="O5165" i="10"/>
  <c r="O5166" i="10"/>
  <c r="O5167" i="10"/>
  <c r="O5168" i="10"/>
  <c r="O5169" i="10"/>
  <c r="O5170" i="10"/>
  <c r="O5171" i="10"/>
  <c r="O5172" i="10"/>
  <c r="O5173" i="10"/>
  <c r="O5174" i="10"/>
  <c r="O5175" i="10"/>
  <c r="O5176" i="10"/>
  <c r="O5177" i="10"/>
  <c r="O5178" i="10"/>
  <c r="O5179" i="10"/>
  <c r="O5180" i="10"/>
  <c r="O5181" i="10"/>
  <c r="O5182" i="10"/>
  <c r="O5183" i="10"/>
  <c r="O5184" i="10"/>
  <c r="O5185" i="10"/>
  <c r="O5186" i="10"/>
  <c r="O5187" i="10"/>
  <c r="O5188" i="10"/>
  <c r="O5189" i="10"/>
  <c r="O5190" i="10"/>
  <c r="O5191" i="10"/>
  <c r="O5192" i="10"/>
  <c r="O5193" i="10"/>
  <c r="O5194" i="10"/>
  <c r="O5195" i="10"/>
  <c r="O5196" i="10"/>
  <c r="O5197" i="10"/>
  <c r="O5198" i="10"/>
  <c r="O5199" i="10"/>
  <c r="O5200" i="10"/>
  <c r="O5201" i="10"/>
  <c r="O5202" i="10"/>
  <c r="O5203" i="10"/>
  <c r="O5204" i="10"/>
  <c r="O5205" i="10"/>
  <c r="O5206" i="10"/>
  <c r="O5207" i="10"/>
  <c r="O5208" i="10"/>
  <c r="O5209" i="10"/>
  <c r="O5210" i="10"/>
  <c r="O5211" i="10"/>
  <c r="O5212" i="10"/>
  <c r="O5213" i="10"/>
  <c r="O5214" i="10"/>
  <c r="O5215" i="10"/>
  <c r="O5216" i="10"/>
  <c r="O5217" i="10"/>
  <c r="O5218" i="10"/>
  <c r="O5219" i="10"/>
  <c r="O5220" i="10"/>
  <c r="O5221" i="10"/>
  <c r="O5222" i="10"/>
  <c r="O5223" i="10"/>
  <c r="O5224" i="10"/>
  <c r="O5225" i="10"/>
  <c r="O5226" i="10"/>
  <c r="O5227" i="10"/>
  <c r="O5228" i="10"/>
  <c r="O5229" i="10"/>
  <c r="O5230" i="10"/>
  <c r="O5231" i="10"/>
  <c r="O5232" i="10"/>
  <c r="O5233" i="10"/>
  <c r="O5234" i="10"/>
  <c r="O5235" i="10"/>
  <c r="O5236" i="10"/>
  <c r="O5237" i="10"/>
  <c r="O5238" i="10"/>
  <c r="O5239" i="10"/>
  <c r="O5240" i="10"/>
  <c r="O5241" i="10"/>
  <c r="O5242" i="10"/>
  <c r="O5243" i="10"/>
  <c r="O5244" i="10"/>
  <c r="O5245" i="10"/>
  <c r="O5246" i="10"/>
  <c r="O5247" i="10"/>
  <c r="O5248" i="10"/>
  <c r="O5249" i="10"/>
  <c r="O5250" i="10"/>
  <c r="O5251" i="10"/>
  <c r="O5252" i="10"/>
  <c r="O5253" i="10"/>
  <c r="O5254" i="10"/>
  <c r="O5255" i="10"/>
  <c r="O5256" i="10"/>
  <c r="O5257" i="10"/>
  <c r="O5258" i="10"/>
  <c r="O5259" i="10"/>
  <c r="O5260" i="10"/>
  <c r="O5261" i="10"/>
  <c r="O5262" i="10"/>
  <c r="O5263" i="10"/>
  <c r="O5264" i="10"/>
  <c r="O5265" i="10"/>
  <c r="O5266" i="10"/>
  <c r="O5267" i="10"/>
  <c r="O5268" i="10"/>
  <c r="O5269" i="10"/>
  <c r="O5270" i="10"/>
  <c r="O5271" i="10"/>
  <c r="O5272" i="10"/>
  <c r="O5273" i="10"/>
  <c r="O5274" i="10"/>
  <c r="O5275" i="10"/>
  <c r="O5276" i="10"/>
  <c r="O5277" i="10"/>
  <c r="O5278" i="10"/>
  <c r="O5279" i="10"/>
  <c r="O5280" i="10"/>
  <c r="O5281" i="10"/>
  <c r="O5282" i="10"/>
  <c r="O5283" i="10"/>
  <c r="O5284" i="10"/>
  <c r="O5285" i="10"/>
  <c r="O5286" i="10"/>
  <c r="O5287" i="10"/>
  <c r="O5288" i="10"/>
  <c r="O5289" i="10"/>
  <c r="O5290" i="10"/>
  <c r="O5291" i="10"/>
  <c r="O5292" i="10"/>
  <c r="O5293" i="10"/>
  <c r="O5294" i="10"/>
  <c r="O5295" i="10"/>
  <c r="O5296" i="10"/>
  <c r="O5297" i="10"/>
  <c r="O5298" i="10"/>
  <c r="O5299" i="10"/>
  <c r="O5300" i="10"/>
  <c r="O5301" i="10"/>
  <c r="O5302" i="10"/>
  <c r="O5303" i="10"/>
  <c r="O5304" i="10"/>
  <c r="O5305" i="10"/>
  <c r="O5306" i="10"/>
  <c r="O5307" i="10"/>
  <c r="O5308" i="10"/>
  <c r="O5309" i="10"/>
  <c r="O5310" i="10"/>
  <c r="O5311" i="10"/>
  <c r="O5312" i="10"/>
  <c r="O5313" i="10"/>
  <c r="O5314" i="10"/>
  <c r="O5315" i="10"/>
  <c r="O5316" i="10"/>
  <c r="O5317" i="10"/>
  <c r="O5318" i="10"/>
  <c r="O5319" i="10"/>
  <c r="O5320" i="10"/>
  <c r="O5321" i="10"/>
  <c r="O5322" i="10"/>
  <c r="O5323" i="10"/>
  <c r="O5324" i="10"/>
  <c r="O5325" i="10"/>
  <c r="O5326" i="10"/>
  <c r="O5327" i="10"/>
  <c r="O5328" i="10"/>
  <c r="O5329" i="10"/>
  <c r="O5330" i="10"/>
  <c r="O5331" i="10"/>
  <c r="O5332" i="10"/>
  <c r="O5333" i="10"/>
  <c r="O5334" i="10"/>
  <c r="O5335" i="10"/>
  <c r="O5336" i="10"/>
  <c r="O5337" i="10"/>
  <c r="O5338" i="10"/>
  <c r="O5339" i="10"/>
  <c r="O5340" i="10"/>
  <c r="O5341" i="10"/>
  <c r="O5342" i="10"/>
  <c r="O5343" i="10"/>
  <c r="O5344" i="10"/>
  <c r="O5345" i="10"/>
  <c r="O5346" i="10"/>
  <c r="O5347" i="10"/>
  <c r="O5348" i="10"/>
  <c r="O5349" i="10"/>
  <c r="O5350" i="10"/>
  <c r="O5351" i="10"/>
  <c r="O5352" i="10"/>
  <c r="O5353" i="10"/>
  <c r="O5354" i="10"/>
  <c r="O5355" i="10"/>
  <c r="O5356" i="10"/>
  <c r="O5357" i="10"/>
  <c r="O5358" i="10"/>
  <c r="O5359" i="10"/>
  <c r="O5360" i="10"/>
  <c r="O5361" i="10"/>
  <c r="O5362" i="10"/>
  <c r="O5363" i="10"/>
  <c r="O5364" i="10"/>
  <c r="O5365" i="10"/>
  <c r="O5366" i="10"/>
  <c r="O5367" i="10"/>
  <c r="O5368" i="10"/>
  <c r="O5369" i="10"/>
  <c r="O5370" i="10"/>
  <c r="O5371" i="10"/>
  <c r="O5372" i="10"/>
  <c r="O5373" i="10"/>
  <c r="O5374" i="10"/>
  <c r="O5375" i="10"/>
  <c r="O5376" i="10"/>
  <c r="O5377" i="10"/>
  <c r="O5378" i="10"/>
  <c r="O5379" i="10"/>
  <c r="O5380" i="10"/>
  <c r="O5381" i="10"/>
  <c r="O5382" i="10"/>
  <c r="O5383" i="10"/>
  <c r="O5384" i="10"/>
  <c r="O5385" i="10"/>
  <c r="O5386" i="10"/>
  <c r="O5387" i="10"/>
  <c r="O5388" i="10"/>
  <c r="O5389" i="10"/>
  <c r="O5390" i="10"/>
  <c r="O5391" i="10"/>
  <c r="O5392" i="10"/>
  <c r="O5393" i="10"/>
  <c r="O5394" i="10"/>
  <c r="O5395" i="10"/>
  <c r="O5396" i="10"/>
  <c r="O5397" i="10"/>
  <c r="O5398" i="10"/>
  <c r="O5399" i="10"/>
  <c r="O5400" i="10"/>
  <c r="O5401" i="10"/>
  <c r="O5402" i="10"/>
  <c r="O5403" i="10"/>
  <c r="O5404" i="10"/>
  <c r="O5405" i="10"/>
  <c r="O5406" i="10"/>
  <c r="O5407" i="10"/>
  <c r="O5408" i="10"/>
  <c r="O5409" i="10"/>
  <c r="O5410" i="10"/>
  <c r="O5411" i="10"/>
  <c r="O5412" i="10"/>
  <c r="O5413" i="10"/>
  <c r="O5414" i="10"/>
  <c r="O5415" i="10"/>
  <c r="O5416" i="10"/>
  <c r="O5417" i="10"/>
  <c r="O5418" i="10"/>
  <c r="O5419" i="10"/>
  <c r="O5420" i="10"/>
  <c r="O5421" i="10"/>
  <c r="O5422" i="10"/>
  <c r="O5423" i="10"/>
  <c r="O5424" i="10"/>
  <c r="O5425" i="10"/>
  <c r="O5426" i="10"/>
  <c r="O5427" i="10"/>
  <c r="O5428" i="10"/>
  <c r="O5429" i="10"/>
  <c r="O5430" i="10"/>
  <c r="O5431" i="10"/>
  <c r="O5432" i="10"/>
  <c r="O5433" i="10"/>
  <c r="O5434" i="10"/>
  <c r="O5435" i="10"/>
  <c r="O5436" i="10"/>
  <c r="O5437" i="10"/>
  <c r="O5438" i="10"/>
  <c r="O5439" i="10"/>
  <c r="O5440" i="10"/>
  <c r="O5441" i="10"/>
  <c r="O5442" i="10"/>
  <c r="O5443" i="10"/>
  <c r="O5444" i="10"/>
  <c r="O5445" i="10"/>
  <c r="O5446" i="10"/>
  <c r="O5447" i="10"/>
  <c r="O5448" i="10"/>
  <c r="O5449" i="10"/>
  <c r="O5450" i="10"/>
  <c r="O5451" i="10"/>
  <c r="O5452" i="10"/>
  <c r="O5453" i="10"/>
  <c r="O5454" i="10"/>
  <c r="O5455" i="10"/>
  <c r="O5456" i="10"/>
  <c r="O5457" i="10"/>
  <c r="O5458" i="10"/>
  <c r="O5459" i="10"/>
  <c r="O5460" i="10"/>
  <c r="O5461" i="10"/>
  <c r="O5462" i="10"/>
  <c r="O5463" i="10"/>
  <c r="O5464" i="10"/>
  <c r="O5465" i="10"/>
  <c r="O5466" i="10"/>
  <c r="O5467" i="10"/>
  <c r="O5468" i="10"/>
  <c r="O5469" i="10"/>
  <c r="O5470" i="10"/>
  <c r="O5471" i="10"/>
  <c r="O5472" i="10"/>
  <c r="O5473" i="10"/>
  <c r="O5474" i="10"/>
  <c r="O5475" i="10"/>
  <c r="O5476" i="10"/>
  <c r="O5477" i="10"/>
  <c r="O5478" i="10"/>
  <c r="O5479" i="10"/>
  <c r="O5480" i="10"/>
  <c r="O5481" i="10"/>
  <c r="O5482" i="10"/>
  <c r="O5483" i="10"/>
  <c r="O5484" i="10"/>
  <c r="O5485" i="10"/>
  <c r="O5486" i="10"/>
  <c r="O5487" i="10"/>
  <c r="O5488" i="10"/>
  <c r="O5489" i="10"/>
  <c r="O5490" i="10"/>
  <c r="O5491" i="10"/>
  <c r="O5492" i="10"/>
  <c r="O5493" i="10"/>
  <c r="O5494" i="10"/>
  <c r="O5495" i="10"/>
  <c r="O5496" i="10"/>
  <c r="O5497" i="10"/>
  <c r="O5498" i="10"/>
  <c r="O5499" i="10"/>
  <c r="O5500" i="10"/>
  <c r="O5501" i="10"/>
  <c r="O5502" i="10"/>
  <c r="O5503" i="10"/>
  <c r="O5504" i="10"/>
  <c r="O5505" i="10"/>
  <c r="O5506" i="10"/>
  <c r="O5507" i="10"/>
  <c r="O5508" i="10"/>
  <c r="O5509" i="10"/>
  <c r="O5510" i="10"/>
  <c r="O5511" i="10"/>
  <c r="O5512" i="10"/>
  <c r="O5513" i="10"/>
  <c r="O5514" i="10"/>
  <c r="O5515" i="10"/>
  <c r="O5516" i="10"/>
  <c r="O5517" i="10"/>
  <c r="O5518" i="10"/>
  <c r="O5519" i="10"/>
  <c r="O5520" i="10"/>
  <c r="O5521" i="10"/>
  <c r="O5522" i="10"/>
  <c r="O5523" i="10"/>
  <c r="O5524" i="10"/>
  <c r="O5525" i="10"/>
  <c r="O5526" i="10"/>
  <c r="O5527" i="10"/>
  <c r="O5528" i="10"/>
  <c r="O5529" i="10"/>
  <c r="O5530" i="10"/>
  <c r="O5531" i="10"/>
  <c r="O5532" i="10"/>
  <c r="O5533" i="10"/>
  <c r="O5534" i="10"/>
  <c r="O5535" i="10"/>
  <c r="O5536" i="10"/>
  <c r="O5537" i="10"/>
  <c r="O5538" i="10"/>
  <c r="O5539" i="10"/>
  <c r="O5540" i="10"/>
  <c r="O5541" i="10"/>
  <c r="O5542" i="10"/>
  <c r="O5543" i="10"/>
  <c r="O5544" i="10"/>
  <c r="O5545" i="10"/>
  <c r="O5546" i="10"/>
  <c r="O5547" i="10"/>
  <c r="O5548" i="10"/>
  <c r="O5549" i="10"/>
  <c r="O5550" i="10"/>
  <c r="O5551" i="10"/>
  <c r="O5552" i="10"/>
  <c r="O5553" i="10"/>
  <c r="O5554" i="10"/>
  <c r="O5555" i="10"/>
  <c r="O5556" i="10"/>
  <c r="O5557" i="10"/>
  <c r="O5558" i="10"/>
  <c r="O5559" i="10"/>
  <c r="O5560" i="10"/>
  <c r="O5561" i="10"/>
  <c r="O5562" i="10"/>
  <c r="O5563" i="10"/>
  <c r="O5564" i="10"/>
  <c r="O5565" i="10"/>
  <c r="O5566" i="10"/>
  <c r="O5567" i="10"/>
  <c r="O5568" i="10"/>
  <c r="O5569" i="10"/>
  <c r="O5570" i="10"/>
  <c r="O5571" i="10"/>
  <c r="O5572" i="10"/>
  <c r="O5573" i="10"/>
  <c r="O5574" i="10"/>
  <c r="O5575" i="10"/>
  <c r="O5576" i="10"/>
  <c r="O5577" i="10"/>
  <c r="O5578" i="10"/>
  <c r="O5579" i="10"/>
  <c r="O5580" i="10"/>
  <c r="O5581" i="10"/>
  <c r="O5582" i="10"/>
  <c r="O5583" i="10"/>
  <c r="O5584" i="10"/>
  <c r="O5585" i="10"/>
  <c r="O5586" i="10"/>
  <c r="O5587" i="10"/>
  <c r="O5588" i="10"/>
  <c r="O5589" i="10"/>
  <c r="O5590" i="10"/>
  <c r="O5591" i="10"/>
  <c r="O5592" i="10"/>
  <c r="O5593" i="10"/>
  <c r="O5594" i="10"/>
  <c r="O5595" i="10"/>
  <c r="O5596" i="10"/>
  <c r="O5597" i="10"/>
  <c r="O5598" i="10"/>
  <c r="O5599" i="10"/>
  <c r="O5600" i="10"/>
  <c r="O5601" i="10"/>
  <c r="O5602" i="10"/>
  <c r="O5603" i="10"/>
  <c r="O5604" i="10"/>
  <c r="O5605" i="10"/>
  <c r="O5606" i="10"/>
  <c r="O5607" i="10"/>
  <c r="O5608" i="10"/>
  <c r="O5609" i="10"/>
  <c r="O5610" i="10"/>
  <c r="O5611" i="10"/>
  <c r="O5612" i="10"/>
  <c r="O5613" i="10"/>
  <c r="O5614" i="10"/>
  <c r="O5615" i="10"/>
  <c r="O5616" i="10"/>
  <c r="O5617" i="10"/>
  <c r="O5618" i="10"/>
  <c r="O5619" i="10"/>
  <c r="O5620" i="10"/>
  <c r="O5621" i="10"/>
  <c r="O5622" i="10"/>
  <c r="O5623" i="10"/>
  <c r="O5624" i="10"/>
  <c r="O5625" i="10"/>
  <c r="O5626" i="10"/>
  <c r="O5627" i="10"/>
  <c r="O5628" i="10"/>
  <c r="O5629" i="10"/>
  <c r="O5630" i="10"/>
  <c r="O5631" i="10"/>
  <c r="O5632" i="10"/>
  <c r="O5633" i="10"/>
  <c r="O5634" i="10"/>
  <c r="O5635" i="10"/>
  <c r="O5636" i="10"/>
  <c r="O5637" i="10"/>
  <c r="O5638" i="10"/>
  <c r="O5639" i="10"/>
  <c r="O5640" i="10"/>
  <c r="O5641" i="10"/>
  <c r="O5642" i="10"/>
  <c r="O5643" i="10"/>
  <c r="O5644" i="10"/>
  <c r="O5645" i="10"/>
  <c r="O5646" i="10"/>
  <c r="O5647" i="10"/>
  <c r="O5648" i="10"/>
  <c r="O5649" i="10"/>
  <c r="O5650" i="10"/>
  <c r="O5651" i="10"/>
  <c r="O5652" i="10"/>
  <c r="O5653" i="10"/>
  <c r="O5654" i="10"/>
  <c r="O5655" i="10"/>
  <c r="O5656" i="10"/>
  <c r="O5657" i="10"/>
  <c r="O5658" i="10"/>
  <c r="O5659" i="10"/>
  <c r="O5660" i="10"/>
  <c r="O5661" i="10"/>
  <c r="O5662" i="10"/>
  <c r="O5663" i="10"/>
  <c r="O5664" i="10"/>
  <c r="O5665" i="10"/>
  <c r="O5666" i="10"/>
  <c r="O5667" i="10"/>
  <c r="O5668" i="10"/>
  <c r="O5669" i="10"/>
  <c r="O5670" i="10"/>
  <c r="O5671" i="10"/>
  <c r="O5672" i="10"/>
  <c r="O5673" i="10"/>
  <c r="O5674" i="10"/>
  <c r="O5675" i="10"/>
  <c r="O5676" i="10"/>
  <c r="O5677" i="10"/>
  <c r="O5678" i="10"/>
  <c r="O5679" i="10"/>
  <c r="O5680" i="10"/>
  <c r="O5681" i="10"/>
  <c r="O5682" i="10"/>
  <c r="O5683" i="10"/>
  <c r="O5684" i="10"/>
  <c r="O5685" i="10"/>
  <c r="O5686" i="10"/>
  <c r="O5687" i="10"/>
  <c r="O5688" i="10"/>
  <c r="O5689" i="10"/>
  <c r="O5690" i="10"/>
  <c r="O5691" i="10"/>
  <c r="O5692" i="10"/>
  <c r="O5693" i="10"/>
  <c r="O5694" i="10"/>
  <c r="O5695" i="10"/>
  <c r="O5696" i="10"/>
  <c r="O5697" i="10"/>
  <c r="O5698" i="10"/>
  <c r="O5699" i="10"/>
  <c r="O5700" i="10"/>
  <c r="O5701" i="10"/>
  <c r="O5702" i="10"/>
  <c r="O5703" i="10"/>
  <c r="O5704" i="10"/>
  <c r="O5705" i="10"/>
  <c r="O5706" i="10"/>
  <c r="O5707" i="10"/>
  <c r="O5708" i="10"/>
  <c r="O5709" i="10"/>
  <c r="O5710" i="10"/>
  <c r="O5711" i="10"/>
  <c r="O5712" i="10"/>
  <c r="O5713" i="10"/>
  <c r="O5714" i="10"/>
  <c r="O5715" i="10"/>
  <c r="O5716" i="10"/>
  <c r="O5717" i="10"/>
  <c r="O5718" i="10"/>
  <c r="O5719" i="10"/>
  <c r="O5720" i="10"/>
  <c r="O5721" i="10"/>
  <c r="O5722" i="10"/>
  <c r="O5723" i="10"/>
  <c r="O5724" i="10"/>
  <c r="O5725" i="10"/>
  <c r="O5726" i="10"/>
  <c r="O5727" i="10"/>
  <c r="O5728" i="10"/>
  <c r="O5729" i="10"/>
  <c r="O5730" i="10"/>
  <c r="O5731" i="10"/>
  <c r="O5732" i="10"/>
  <c r="O5733" i="10"/>
  <c r="O5734" i="10"/>
  <c r="O5735" i="10"/>
  <c r="O5736" i="10"/>
  <c r="O5737" i="10"/>
  <c r="O5738" i="10"/>
  <c r="O5739" i="10"/>
  <c r="O5740" i="10"/>
  <c r="O5741" i="10"/>
  <c r="O5742" i="10"/>
  <c r="O5743" i="10"/>
  <c r="O5744" i="10"/>
  <c r="O5745" i="10"/>
  <c r="O5746" i="10"/>
  <c r="O5747" i="10"/>
  <c r="O5748" i="10"/>
  <c r="O5749" i="10"/>
  <c r="O5750" i="10"/>
  <c r="O5751" i="10"/>
  <c r="O5752" i="10"/>
  <c r="O5753" i="10"/>
  <c r="O5754" i="10"/>
  <c r="O5755" i="10"/>
  <c r="O5756" i="10"/>
  <c r="O5757" i="10"/>
  <c r="O5758" i="10"/>
  <c r="O5759" i="10"/>
  <c r="O5760" i="10"/>
  <c r="O5761" i="10"/>
  <c r="O5762" i="10"/>
  <c r="O5763" i="10"/>
  <c r="O5764" i="10"/>
  <c r="O5765" i="10"/>
  <c r="O5766" i="10"/>
  <c r="O5767" i="10"/>
  <c r="O5768" i="10"/>
  <c r="O5769" i="10"/>
  <c r="O5770" i="10"/>
  <c r="O5771" i="10"/>
  <c r="O5772" i="10"/>
  <c r="O5773" i="10"/>
  <c r="O5774" i="10"/>
  <c r="O5775" i="10"/>
  <c r="O5776" i="10"/>
  <c r="O5777" i="10"/>
  <c r="O5778" i="10"/>
  <c r="O5779" i="10"/>
  <c r="O5780" i="10"/>
  <c r="O5781" i="10"/>
  <c r="O5782" i="10"/>
  <c r="O5783" i="10"/>
  <c r="O5784" i="10"/>
  <c r="O5785" i="10"/>
  <c r="O5786" i="10"/>
  <c r="O5787" i="10"/>
  <c r="O5788" i="10"/>
  <c r="O5789" i="10"/>
  <c r="O5790" i="10"/>
  <c r="O5791" i="10"/>
  <c r="O5792" i="10"/>
  <c r="O5793" i="10"/>
  <c r="O5794" i="10"/>
  <c r="O5795" i="10"/>
  <c r="O5796" i="10"/>
  <c r="O5797" i="10"/>
  <c r="O5798" i="10"/>
  <c r="O5799" i="10"/>
  <c r="O5800" i="10"/>
  <c r="O5801" i="10"/>
  <c r="O5802" i="10"/>
  <c r="O5803" i="10"/>
  <c r="O5804" i="10"/>
  <c r="O5805" i="10"/>
  <c r="O5806" i="10"/>
  <c r="O5807" i="10"/>
  <c r="O5808" i="10"/>
  <c r="O5809" i="10"/>
  <c r="O5810" i="10"/>
  <c r="O5811" i="10"/>
  <c r="O5812" i="10"/>
  <c r="O5813" i="10"/>
  <c r="O5814" i="10"/>
  <c r="O5815" i="10"/>
  <c r="O5816" i="10"/>
  <c r="O5817" i="10"/>
  <c r="O5818" i="10"/>
  <c r="O5819" i="10"/>
  <c r="O5820" i="10"/>
  <c r="O5821" i="10"/>
  <c r="O5822" i="10"/>
  <c r="O5823" i="10"/>
  <c r="O5824" i="10"/>
  <c r="O5825" i="10"/>
  <c r="O5826" i="10"/>
  <c r="O5827" i="10"/>
  <c r="O5828" i="10"/>
  <c r="O5829" i="10"/>
  <c r="O5830" i="10"/>
  <c r="O5831" i="10"/>
  <c r="O5832" i="10"/>
  <c r="O5833" i="10"/>
  <c r="O5834" i="10"/>
  <c r="O5835" i="10"/>
  <c r="O5836" i="10"/>
  <c r="O5837" i="10"/>
  <c r="O5838" i="10"/>
  <c r="O5839" i="10"/>
  <c r="O5840" i="10"/>
  <c r="O5841" i="10"/>
  <c r="O5842" i="10"/>
  <c r="O5843" i="10"/>
  <c r="O5844" i="10"/>
  <c r="O5845" i="10"/>
  <c r="O5846" i="10"/>
  <c r="O5847" i="10"/>
  <c r="O5848" i="10"/>
  <c r="O5849" i="10"/>
  <c r="O5850" i="10"/>
  <c r="O5851" i="10"/>
  <c r="O5852" i="10"/>
  <c r="O5853" i="10"/>
  <c r="O5854" i="10"/>
  <c r="O5855" i="10"/>
  <c r="O5856" i="10"/>
  <c r="O5857" i="10"/>
  <c r="O5858" i="10"/>
  <c r="O5859" i="10"/>
  <c r="O5860" i="10"/>
  <c r="O5861" i="10"/>
  <c r="O5862" i="10"/>
  <c r="O5863" i="10"/>
  <c r="O5864" i="10"/>
  <c r="O5865" i="10"/>
  <c r="O5866" i="10"/>
  <c r="O5867" i="10"/>
  <c r="O5868" i="10"/>
  <c r="O5869" i="10"/>
  <c r="O5870" i="10"/>
  <c r="O5871" i="10"/>
  <c r="O5872" i="10"/>
  <c r="O5873" i="10"/>
  <c r="O5874" i="10"/>
  <c r="O5875" i="10"/>
  <c r="O5876" i="10"/>
  <c r="O5877" i="10"/>
  <c r="O5878" i="10"/>
  <c r="O5879" i="10"/>
  <c r="O5880" i="10"/>
  <c r="O5881" i="10"/>
  <c r="O5882" i="10"/>
  <c r="O5883" i="10"/>
  <c r="O5884" i="10"/>
  <c r="O5885" i="10"/>
  <c r="O5886" i="10"/>
  <c r="O5887" i="10"/>
  <c r="O5888" i="10"/>
  <c r="O5889" i="10"/>
  <c r="O5890" i="10"/>
  <c r="O5891" i="10"/>
  <c r="O5892" i="10"/>
  <c r="O5893" i="10"/>
  <c r="O5894" i="10"/>
  <c r="O5895" i="10"/>
  <c r="O5896" i="10"/>
  <c r="O5897" i="10"/>
  <c r="O5898" i="10"/>
  <c r="O5899" i="10"/>
  <c r="O5900" i="10"/>
  <c r="O5901" i="10"/>
  <c r="O5902" i="10"/>
  <c r="O5903" i="10"/>
  <c r="O5904" i="10"/>
  <c r="O5905" i="10"/>
  <c r="O5906" i="10"/>
  <c r="O5907" i="10"/>
  <c r="O5908" i="10"/>
  <c r="O5909" i="10"/>
  <c r="O5910" i="10"/>
  <c r="O5911" i="10"/>
  <c r="O5912" i="10"/>
  <c r="O5913" i="10"/>
  <c r="O5914" i="10"/>
  <c r="O5915" i="10"/>
  <c r="O5916" i="10"/>
  <c r="O5917" i="10"/>
  <c r="O5918" i="10"/>
  <c r="O5919" i="10"/>
  <c r="O5920" i="10"/>
  <c r="O5921" i="10"/>
  <c r="O5922" i="10"/>
  <c r="O5923" i="10"/>
  <c r="O5924" i="10"/>
  <c r="O5925" i="10"/>
  <c r="O5926" i="10"/>
  <c r="O5927" i="10"/>
  <c r="O5928" i="10"/>
  <c r="O5929" i="10"/>
  <c r="O5930" i="10"/>
  <c r="O5931" i="10"/>
  <c r="O5932" i="10"/>
  <c r="O5933" i="10"/>
  <c r="O5934" i="10"/>
  <c r="O5935" i="10"/>
  <c r="O5936" i="10"/>
  <c r="O5937" i="10"/>
  <c r="O5938" i="10"/>
  <c r="O5939" i="10"/>
  <c r="O5940" i="10"/>
  <c r="O5941" i="10"/>
  <c r="O5942" i="10"/>
  <c r="O5943" i="10"/>
  <c r="O5944" i="10"/>
  <c r="O5945" i="10"/>
  <c r="O5946" i="10"/>
  <c r="O5947" i="10"/>
  <c r="O5948" i="10"/>
  <c r="O5949" i="10"/>
  <c r="O5950" i="10"/>
  <c r="O5951" i="10"/>
  <c r="O5952" i="10"/>
  <c r="O5953" i="10"/>
  <c r="O5954" i="10"/>
  <c r="O5955" i="10"/>
  <c r="O5956" i="10"/>
  <c r="O5957" i="10"/>
  <c r="O5958" i="10"/>
  <c r="O5959" i="10"/>
  <c r="O5960" i="10"/>
  <c r="O5961" i="10"/>
  <c r="O5962" i="10"/>
  <c r="O5963" i="10"/>
  <c r="O5964" i="10"/>
  <c r="O5965" i="10"/>
  <c r="O5966" i="10"/>
  <c r="O5967" i="10"/>
  <c r="O5968" i="10"/>
  <c r="O5969" i="10"/>
  <c r="O5970" i="10"/>
  <c r="O5971" i="10"/>
  <c r="O5972" i="10"/>
  <c r="O5973" i="10"/>
  <c r="O5974" i="10"/>
  <c r="O5975" i="10"/>
  <c r="O5976" i="10"/>
  <c r="O5977" i="10"/>
  <c r="O5978" i="10"/>
  <c r="O5979" i="10"/>
  <c r="O5980" i="10"/>
  <c r="O5981" i="10"/>
  <c r="O5982" i="10"/>
  <c r="O5983" i="10"/>
  <c r="O5984" i="10"/>
  <c r="O5985" i="10"/>
  <c r="O5986" i="10"/>
  <c r="O5987" i="10"/>
  <c r="O5988" i="10"/>
  <c r="O5989" i="10"/>
  <c r="O5990" i="10"/>
  <c r="O5991" i="10"/>
  <c r="O5992" i="10"/>
  <c r="O5993" i="10"/>
  <c r="O5994" i="10"/>
  <c r="O5995" i="10"/>
  <c r="O5996" i="10"/>
  <c r="O5997" i="10"/>
  <c r="O5998" i="10"/>
  <c r="O5999" i="10"/>
  <c r="O6000" i="10"/>
  <c r="O6001" i="10"/>
  <c r="O6002" i="10"/>
  <c r="O6003" i="10"/>
  <c r="O6004" i="10"/>
  <c r="O6005" i="10"/>
  <c r="O6006" i="10"/>
  <c r="O6007" i="10"/>
  <c r="O6008" i="10"/>
  <c r="O6009" i="10"/>
  <c r="O6010" i="10"/>
  <c r="O6011" i="10"/>
  <c r="O6012" i="10"/>
  <c r="O6013" i="10"/>
  <c r="O6014" i="10"/>
  <c r="O6015" i="10"/>
  <c r="O6016" i="10"/>
  <c r="O6017" i="10"/>
  <c r="O6018" i="10"/>
  <c r="O6019" i="10"/>
  <c r="O6020" i="10"/>
  <c r="O6021" i="10"/>
  <c r="O6022" i="10"/>
  <c r="O6023" i="10"/>
  <c r="O6024" i="10"/>
  <c r="O6025" i="10"/>
  <c r="O6026" i="10"/>
  <c r="O6027" i="10"/>
  <c r="O6028" i="10"/>
  <c r="O6029" i="10"/>
  <c r="O6030" i="10"/>
  <c r="O6031" i="10"/>
  <c r="O6032" i="10"/>
  <c r="O6033" i="10"/>
  <c r="O6034" i="10"/>
  <c r="O6035" i="10"/>
  <c r="O6036" i="10"/>
  <c r="O6037" i="10"/>
  <c r="O6038" i="10"/>
  <c r="O6039" i="10"/>
  <c r="O6040" i="10"/>
  <c r="O6041" i="10"/>
  <c r="O6042" i="10"/>
  <c r="O6043" i="10"/>
  <c r="O6044" i="10"/>
  <c r="O6045" i="10"/>
  <c r="O6046" i="10"/>
  <c r="O6047" i="10"/>
  <c r="O6048" i="10"/>
  <c r="O6049" i="10"/>
  <c r="O6050" i="10"/>
  <c r="O6051" i="10"/>
  <c r="O6052" i="10"/>
  <c r="O6053" i="10"/>
  <c r="O6054" i="10"/>
  <c r="O6055" i="10"/>
  <c r="O6056" i="10"/>
  <c r="O6057" i="10"/>
  <c r="O6058" i="10"/>
  <c r="O6059" i="10"/>
  <c r="O6060" i="10"/>
  <c r="O6061" i="10"/>
  <c r="O6062" i="10"/>
  <c r="O6063" i="10"/>
  <c r="O6064" i="10"/>
  <c r="O6065" i="10"/>
  <c r="O6066" i="10"/>
  <c r="O6067" i="10"/>
  <c r="O6068" i="10"/>
  <c r="O6069" i="10"/>
  <c r="O6070" i="10"/>
  <c r="O6071" i="10"/>
  <c r="O6072" i="10"/>
  <c r="O6073" i="10"/>
  <c r="O6074" i="10"/>
  <c r="O6075" i="10"/>
  <c r="O6076" i="10"/>
  <c r="O6077" i="10"/>
  <c r="O6078" i="10"/>
  <c r="O6079" i="10"/>
  <c r="O6080" i="10"/>
  <c r="O6081" i="10"/>
  <c r="O6082" i="10"/>
  <c r="O6083" i="10"/>
  <c r="O6084" i="10"/>
  <c r="O6085" i="10"/>
  <c r="O6086" i="10"/>
  <c r="O6087" i="10"/>
  <c r="O6088" i="10"/>
  <c r="O6089" i="10"/>
  <c r="O6090" i="10"/>
  <c r="O6091" i="10"/>
  <c r="O6092" i="10"/>
  <c r="O6093" i="10"/>
  <c r="O6094" i="10"/>
  <c r="O6095" i="10"/>
  <c r="O6096" i="10"/>
  <c r="O6097" i="10"/>
  <c r="O6098" i="10"/>
  <c r="O6099" i="10"/>
  <c r="O6100" i="10"/>
  <c r="O6101" i="10"/>
  <c r="O6102" i="10"/>
  <c r="O6103" i="10"/>
  <c r="O6104" i="10"/>
  <c r="O6105" i="10"/>
  <c r="O6106" i="10"/>
  <c r="O6107" i="10"/>
  <c r="O6108" i="10"/>
  <c r="O6109" i="10"/>
  <c r="O6110" i="10"/>
  <c r="O6111" i="10"/>
  <c r="O6112" i="10"/>
  <c r="O6113" i="10"/>
  <c r="O6114" i="10"/>
  <c r="O6115" i="10"/>
  <c r="O6116" i="10"/>
  <c r="O6117" i="10"/>
  <c r="O6118" i="10"/>
  <c r="O6119" i="10"/>
  <c r="O6120" i="10"/>
  <c r="O6121" i="10"/>
  <c r="O6122" i="10"/>
  <c r="O6123" i="10"/>
  <c r="O6124" i="10"/>
  <c r="O6125" i="10"/>
  <c r="O6126" i="10"/>
  <c r="O6127" i="10"/>
  <c r="O6128" i="10"/>
  <c r="O6129" i="10"/>
  <c r="O6130" i="10"/>
  <c r="O6131" i="10"/>
  <c r="O6132" i="10"/>
  <c r="O6133" i="10"/>
  <c r="O6134" i="10"/>
  <c r="O6135" i="10"/>
  <c r="O6136" i="10"/>
  <c r="O6137" i="10"/>
  <c r="O6138" i="10"/>
  <c r="O6139" i="10"/>
  <c r="O6140" i="10"/>
  <c r="O6141" i="10"/>
  <c r="O6142" i="10"/>
  <c r="O6143" i="10"/>
  <c r="O6144" i="10"/>
  <c r="O6145" i="10"/>
  <c r="O6146" i="10"/>
  <c r="O6147" i="10"/>
  <c r="O6148" i="10"/>
  <c r="O6149" i="10"/>
  <c r="O6150" i="10"/>
  <c r="O6151" i="10"/>
  <c r="O6152" i="10"/>
  <c r="O6153" i="10"/>
  <c r="O6154" i="10"/>
  <c r="O6155" i="10"/>
  <c r="O6156" i="10"/>
  <c r="O6157" i="10"/>
  <c r="O6158" i="10"/>
  <c r="O6159" i="10"/>
  <c r="O6160" i="10"/>
  <c r="O6161" i="10"/>
  <c r="O6162" i="10"/>
  <c r="O6163" i="10"/>
  <c r="O6164" i="10"/>
  <c r="O6165" i="10"/>
  <c r="O6166" i="10"/>
  <c r="O6167" i="10"/>
  <c r="O6168" i="10"/>
  <c r="O6169" i="10"/>
  <c r="O6170" i="10"/>
  <c r="O6171" i="10"/>
  <c r="O6172" i="10"/>
  <c r="O6173" i="10"/>
  <c r="O6174" i="10"/>
  <c r="O6175" i="10"/>
  <c r="O6176" i="10"/>
  <c r="O6177" i="10"/>
  <c r="O6178" i="10"/>
  <c r="O6179" i="10"/>
  <c r="O6180" i="10"/>
  <c r="O6181" i="10"/>
  <c r="O6182" i="10"/>
  <c r="O6183" i="10"/>
  <c r="O6184" i="10"/>
  <c r="O6185" i="10"/>
  <c r="O6186" i="10"/>
  <c r="O6187" i="10"/>
  <c r="O6188" i="10"/>
  <c r="O6189" i="10"/>
  <c r="O6190" i="10"/>
  <c r="O6191" i="10"/>
  <c r="O6192" i="10"/>
  <c r="O6193" i="10"/>
  <c r="O6194" i="10"/>
  <c r="O6195" i="10"/>
  <c r="O6196" i="10"/>
  <c r="O6197" i="10"/>
  <c r="O6198" i="10"/>
  <c r="O6199" i="10"/>
  <c r="O6200" i="10"/>
  <c r="O6201" i="10"/>
  <c r="O6202" i="10"/>
  <c r="O6203" i="10"/>
  <c r="O6204" i="10"/>
  <c r="O6205" i="10"/>
  <c r="O6206" i="10"/>
  <c r="O6207" i="10"/>
  <c r="O6208" i="10"/>
  <c r="O6209" i="10"/>
  <c r="O6210" i="10"/>
  <c r="O6211" i="10"/>
  <c r="O6212" i="10"/>
  <c r="O6213" i="10"/>
  <c r="O6214" i="10"/>
  <c r="O6215" i="10"/>
  <c r="O6216" i="10"/>
  <c r="O6217" i="10"/>
  <c r="O6218" i="10"/>
  <c r="O6219" i="10"/>
  <c r="O6220" i="10"/>
  <c r="O6221" i="10"/>
  <c r="O6222" i="10"/>
  <c r="O6223" i="10"/>
  <c r="O6224" i="10"/>
  <c r="O6225" i="10"/>
  <c r="O6226" i="10"/>
  <c r="O6227" i="10"/>
  <c r="O6228" i="10"/>
  <c r="O6229" i="10"/>
  <c r="O6230" i="10"/>
  <c r="O6231" i="10"/>
  <c r="O6232" i="10"/>
  <c r="O6233" i="10"/>
  <c r="O6234" i="10"/>
  <c r="O6235" i="10"/>
  <c r="O6236" i="10"/>
  <c r="O6237" i="10"/>
  <c r="O6238" i="10"/>
  <c r="O6239" i="10"/>
  <c r="O6240" i="10"/>
  <c r="O6241" i="10"/>
  <c r="O6242" i="10"/>
  <c r="O6243" i="10"/>
  <c r="O6244" i="10"/>
  <c r="O6245" i="10"/>
  <c r="O6246" i="10"/>
  <c r="O6247" i="10"/>
  <c r="O6248" i="10"/>
  <c r="O6249" i="10"/>
  <c r="O6250" i="10"/>
  <c r="O6251" i="10"/>
  <c r="O6252" i="10"/>
  <c r="O6253" i="10"/>
  <c r="O6254" i="10"/>
  <c r="O6255" i="10"/>
  <c r="O6256" i="10"/>
  <c r="O6257" i="10"/>
  <c r="O6258" i="10"/>
  <c r="O6259" i="10"/>
  <c r="O6260" i="10"/>
  <c r="O6261" i="10"/>
  <c r="O6262" i="10"/>
  <c r="O6263" i="10"/>
  <c r="O6264" i="10"/>
  <c r="O6265" i="10"/>
  <c r="O6266" i="10"/>
  <c r="O6267" i="10"/>
  <c r="O6268" i="10"/>
  <c r="O6269" i="10"/>
  <c r="O6270" i="10"/>
  <c r="O6271" i="10"/>
  <c r="O6272" i="10"/>
  <c r="O6273" i="10"/>
  <c r="O6274" i="10"/>
  <c r="O6275" i="10"/>
  <c r="O6276" i="10"/>
  <c r="O6277" i="10"/>
  <c r="O6278" i="10"/>
  <c r="O6279" i="10"/>
  <c r="O6280" i="10"/>
  <c r="O6281" i="10"/>
  <c r="O6282" i="10"/>
  <c r="O6283" i="10"/>
  <c r="O6284" i="10"/>
  <c r="O6285" i="10"/>
  <c r="O6286" i="10"/>
  <c r="O6287" i="10"/>
  <c r="O6288" i="10"/>
  <c r="O6289" i="10"/>
  <c r="O6290" i="10"/>
  <c r="O6291" i="10"/>
  <c r="O6292" i="10"/>
  <c r="O6293" i="10"/>
  <c r="O6294" i="10"/>
  <c r="O6295" i="10"/>
  <c r="O6296" i="10"/>
  <c r="O6297" i="10"/>
  <c r="O6298" i="10"/>
  <c r="O6299" i="10"/>
  <c r="O6300" i="10"/>
  <c r="O6301" i="10"/>
  <c r="O6302" i="10"/>
  <c r="O6303" i="10"/>
  <c r="O6304" i="10"/>
  <c r="O6305" i="10"/>
  <c r="O6306" i="10"/>
  <c r="O6307" i="10"/>
  <c r="O6308" i="10"/>
  <c r="O6309" i="10"/>
  <c r="O6310" i="10"/>
  <c r="O6311" i="10"/>
  <c r="O6312" i="10"/>
  <c r="O6313" i="10"/>
  <c r="O6314" i="10"/>
  <c r="O6315" i="10"/>
  <c r="O6316" i="10"/>
  <c r="O6317" i="10"/>
  <c r="O6318" i="10"/>
  <c r="O6319" i="10"/>
  <c r="O6320" i="10"/>
  <c r="O6321" i="10"/>
  <c r="O6322" i="10"/>
  <c r="O6323" i="10"/>
  <c r="O6324" i="10"/>
  <c r="O6325" i="10"/>
  <c r="O6326" i="10"/>
  <c r="O6327" i="10"/>
  <c r="O6328" i="10"/>
  <c r="O6329" i="10"/>
  <c r="O6330" i="10"/>
  <c r="O6331" i="10"/>
  <c r="O6332" i="10"/>
  <c r="O6333" i="10"/>
  <c r="O6334" i="10"/>
  <c r="O6335" i="10"/>
  <c r="O6336" i="10"/>
  <c r="O6337" i="10"/>
  <c r="O6338" i="10"/>
  <c r="O6339" i="10"/>
  <c r="O6340" i="10"/>
  <c r="O6341" i="10"/>
  <c r="O6342" i="10"/>
  <c r="O6343" i="10"/>
  <c r="O6344" i="10"/>
  <c r="O6345" i="10"/>
  <c r="O6346" i="10"/>
  <c r="O6347" i="10"/>
  <c r="O6348" i="10"/>
  <c r="O6349" i="10"/>
  <c r="O6350" i="10"/>
  <c r="O6351" i="10"/>
  <c r="O6352" i="10"/>
  <c r="O6353" i="10"/>
  <c r="O6354" i="10"/>
  <c r="O6355" i="10"/>
  <c r="O6356" i="10"/>
  <c r="O6357" i="10"/>
  <c r="O6358" i="10"/>
  <c r="O6359" i="10"/>
  <c r="O6360" i="10"/>
  <c r="O6361" i="10"/>
  <c r="O6362" i="10"/>
  <c r="O6363" i="10"/>
  <c r="O6364" i="10"/>
  <c r="O6365" i="10"/>
  <c r="O6366" i="10"/>
  <c r="O6367" i="10"/>
  <c r="O6368" i="10"/>
  <c r="O6369" i="10"/>
  <c r="O6370" i="10"/>
  <c r="O6371" i="10"/>
  <c r="O6372" i="10"/>
  <c r="O6373" i="10"/>
  <c r="O6374" i="10"/>
  <c r="O6375" i="10"/>
  <c r="O6376" i="10"/>
  <c r="O6377" i="10"/>
  <c r="O6378" i="10"/>
  <c r="O6379" i="10"/>
  <c r="O6380" i="10"/>
  <c r="O6381" i="10"/>
  <c r="O6382" i="10"/>
  <c r="O6383" i="10"/>
  <c r="O6384" i="10"/>
  <c r="O6385" i="10"/>
  <c r="O6386" i="10"/>
  <c r="O6387" i="10"/>
  <c r="O6388" i="10"/>
  <c r="O6389" i="10"/>
  <c r="O6390" i="10"/>
  <c r="O6391" i="10"/>
  <c r="O6392" i="10"/>
  <c r="O6393" i="10"/>
  <c r="O6394" i="10"/>
  <c r="O6395" i="10"/>
  <c r="O6396" i="10"/>
  <c r="O6397" i="10"/>
  <c r="O6398" i="10"/>
  <c r="O6399" i="10"/>
  <c r="O6400" i="10"/>
  <c r="O6401" i="10"/>
  <c r="O6402" i="10"/>
  <c r="O6403" i="10"/>
  <c r="O6404" i="10"/>
  <c r="O6405" i="10"/>
  <c r="O6406" i="10"/>
  <c r="O6407" i="10"/>
  <c r="O6408" i="10"/>
  <c r="O6409" i="10"/>
  <c r="O6410" i="10"/>
  <c r="O6411" i="10"/>
  <c r="O6412" i="10"/>
  <c r="O6413" i="10"/>
  <c r="O6414" i="10"/>
  <c r="O6415" i="10"/>
  <c r="O6416" i="10"/>
  <c r="O6417" i="10"/>
  <c r="O6418" i="10"/>
  <c r="O6419" i="10"/>
  <c r="O6420" i="10"/>
  <c r="O6421" i="10"/>
  <c r="O6422" i="10"/>
  <c r="O6423" i="10"/>
  <c r="O6424" i="10"/>
  <c r="O6425" i="10"/>
  <c r="O6426" i="10"/>
  <c r="O6427" i="10"/>
  <c r="O6428" i="10"/>
  <c r="O6429" i="10"/>
  <c r="O6430" i="10"/>
  <c r="O6431" i="10"/>
  <c r="O6432" i="10"/>
  <c r="O6433" i="10"/>
  <c r="O6434" i="10"/>
  <c r="O6435" i="10"/>
  <c r="O6436" i="10"/>
  <c r="O6437" i="10"/>
  <c r="O6438" i="10"/>
  <c r="O6439" i="10"/>
  <c r="O6440" i="10"/>
  <c r="O6441" i="10"/>
  <c r="O6442" i="10"/>
  <c r="O6443" i="10"/>
  <c r="O6444" i="10"/>
  <c r="O6445" i="10"/>
  <c r="O6446" i="10"/>
  <c r="O6447" i="10"/>
  <c r="O6448" i="10"/>
  <c r="O6449" i="10"/>
  <c r="O6450" i="10"/>
  <c r="O6451" i="10"/>
  <c r="O6452" i="10"/>
  <c r="O6453" i="10"/>
  <c r="O6454" i="10"/>
  <c r="O6455" i="10"/>
  <c r="O6456" i="10"/>
  <c r="O6457" i="10"/>
  <c r="O6458" i="10"/>
  <c r="O6459" i="10"/>
  <c r="O6460" i="10"/>
  <c r="O6461" i="10"/>
  <c r="O6462" i="10"/>
  <c r="O6463" i="10"/>
  <c r="O6464" i="10"/>
  <c r="O6465" i="10"/>
  <c r="O6466" i="10"/>
  <c r="O6467" i="10"/>
  <c r="O6468" i="10"/>
  <c r="O6469" i="10"/>
  <c r="O6470" i="10"/>
  <c r="O6471" i="10"/>
  <c r="O6472" i="10"/>
  <c r="O6473" i="10"/>
  <c r="O6474" i="10"/>
  <c r="O6475" i="10"/>
  <c r="O6476" i="10"/>
  <c r="O6477" i="10"/>
  <c r="O6478" i="10"/>
  <c r="O6479" i="10"/>
  <c r="O6480" i="10"/>
  <c r="O6481" i="10"/>
  <c r="O6482" i="10"/>
  <c r="O6483" i="10"/>
  <c r="O6484" i="10"/>
  <c r="O6485" i="10"/>
  <c r="O6486" i="10"/>
  <c r="O6487" i="10"/>
  <c r="O6488" i="10"/>
  <c r="O6489" i="10"/>
  <c r="O6490" i="10"/>
  <c r="O6491" i="10"/>
  <c r="O6492" i="10"/>
  <c r="O6493" i="10"/>
  <c r="O6494" i="10"/>
  <c r="O6495" i="10"/>
  <c r="O6496" i="10"/>
  <c r="O6497" i="10"/>
  <c r="O6498" i="10"/>
  <c r="O6499" i="10"/>
  <c r="O6500" i="10"/>
  <c r="O6501" i="10"/>
  <c r="O6502" i="10"/>
  <c r="O6503" i="10"/>
  <c r="O6504" i="10"/>
  <c r="O6505" i="10"/>
  <c r="O6506" i="10"/>
  <c r="O6507" i="10"/>
  <c r="O6508" i="10"/>
  <c r="O6509" i="10"/>
  <c r="O6510" i="10"/>
  <c r="O6511" i="10"/>
  <c r="O6512" i="10"/>
  <c r="O6513" i="10"/>
  <c r="O6514" i="10"/>
  <c r="O6515" i="10"/>
  <c r="O6516" i="10"/>
  <c r="O6517" i="10"/>
  <c r="O6518" i="10"/>
  <c r="O6519" i="10"/>
  <c r="O6520" i="10"/>
  <c r="O6521" i="10"/>
  <c r="O6522" i="10"/>
  <c r="O6523" i="10"/>
  <c r="O6524" i="10"/>
  <c r="O6525" i="10"/>
  <c r="O6526" i="10"/>
  <c r="O6527" i="10"/>
  <c r="O6528" i="10"/>
  <c r="O6529" i="10"/>
  <c r="O6530" i="10"/>
  <c r="O6531" i="10"/>
  <c r="O6532" i="10"/>
  <c r="O6533" i="10"/>
  <c r="O6534" i="10"/>
  <c r="O6535" i="10"/>
  <c r="O6536" i="10"/>
  <c r="O6537" i="10"/>
  <c r="O6538" i="10"/>
  <c r="O6539" i="10"/>
  <c r="O6540" i="10"/>
  <c r="O6541" i="10"/>
  <c r="O6542" i="10"/>
  <c r="O6543" i="10"/>
  <c r="O6544" i="10"/>
  <c r="O6545" i="10"/>
  <c r="O6546" i="10"/>
  <c r="O6547" i="10"/>
  <c r="O6548" i="10"/>
  <c r="O6549" i="10"/>
  <c r="O6550" i="10"/>
  <c r="O6551" i="10"/>
  <c r="O6552" i="10"/>
  <c r="O6553" i="10"/>
  <c r="O6554" i="10"/>
  <c r="O6555" i="10"/>
  <c r="O6556" i="10"/>
  <c r="O6557" i="10"/>
  <c r="O6558" i="10"/>
  <c r="O6559" i="10"/>
  <c r="O6560" i="10"/>
  <c r="O6561" i="10"/>
  <c r="O6562" i="10"/>
  <c r="O6563" i="10"/>
  <c r="O6564" i="10"/>
  <c r="O6565" i="10"/>
  <c r="O6566" i="10"/>
  <c r="O6567" i="10"/>
  <c r="O6568" i="10"/>
  <c r="O6569" i="10"/>
  <c r="O6570" i="10"/>
  <c r="O6571" i="10"/>
  <c r="O6572" i="10"/>
  <c r="O6573" i="10"/>
  <c r="O6574" i="10"/>
  <c r="O6575" i="10"/>
  <c r="O6576" i="10"/>
  <c r="O6577" i="10"/>
  <c r="O6578" i="10"/>
  <c r="O6579" i="10"/>
  <c r="O6580" i="10"/>
  <c r="O6581" i="10"/>
  <c r="O6582" i="10"/>
  <c r="O6583" i="10"/>
  <c r="O6584" i="10"/>
  <c r="O6585" i="10"/>
  <c r="O6586" i="10"/>
  <c r="O6587" i="10"/>
  <c r="O6588" i="10"/>
  <c r="O6589" i="10"/>
  <c r="O6590" i="10"/>
  <c r="O6591" i="10"/>
  <c r="O6592" i="10"/>
  <c r="O6593" i="10"/>
  <c r="O6594" i="10"/>
  <c r="O6595" i="10"/>
  <c r="O6596" i="10"/>
  <c r="O6597" i="10"/>
  <c r="O6598" i="10"/>
  <c r="O6599" i="10"/>
  <c r="O6600" i="10"/>
  <c r="O6601" i="10"/>
  <c r="O6602" i="10"/>
  <c r="O6603" i="10"/>
  <c r="O6604" i="10"/>
  <c r="O6605" i="10"/>
  <c r="O6606" i="10"/>
  <c r="O6607" i="10"/>
  <c r="O6608" i="10"/>
  <c r="O6609" i="10"/>
  <c r="O6610" i="10"/>
  <c r="O6611" i="10"/>
  <c r="O6612" i="10"/>
  <c r="O6613" i="10"/>
  <c r="O6614" i="10"/>
  <c r="O6615" i="10"/>
  <c r="O6616" i="10"/>
  <c r="O6617" i="10"/>
  <c r="O6618" i="10"/>
  <c r="O6619" i="10"/>
  <c r="O6620" i="10"/>
  <c r="O6621" i="10"/>
  <c r="O6622" i="10"/>
  <c r="O6623" i="10"/>
  <c r="O6624" i="10"/>
  <c r="O6625" i="10"/>
  <c r="O6626" i="10"/>
  <c r="O6627" i="10"/>
  <c r="O6628" i="10"/>
  <c r="O6629" i="10"/>
  <c r="O6630" i="10"/>
  <c r="O6631" i="10"/>
  <c r="O6632" i="10"/>
  <c r="O6633" i="10"/>
  <c r="O6634" i="10"/>
  <c r="O6635" i="10"/>
  <c r="O6636" i="10"/>
  <c r="O6637" i="10"/>
  <c r="O6638" i="10"/>
  <c r="O6639" i="10"/>
  <c r="O6640" i="10"/>
  <c r="O6641" i="10"/>
  <c r="O6642" i="10"/>
  <c r="O6643" i="10"/>
  <c r="O6644" i="10"/>
  <c r="O6645" i="10"/>
  <c r="O6646" i="10"/>
  <c r="O6647" i="10"/>
  <c r="O6648" i="10"/>
  <c r="O6649" i="10"/>
  <c r="O6650" i="10"/>
  <c r="O6651" i="10"/>
  <c r="O6652" i="10"/>
  <c r="O6653" i="10"/>
  <c r="O6654" i="10"/>
  <c r="O6655" i="10"/>
  <c r="O6656" i="10"/>
  <c r="O6657" i="10"/>
  <c r="O6658" i="10"/>
  <c r="O6659" i="10"/>
  <c r="O6660" i="10"/>
  <c r="O6661" i="10"/>
  <c r="O6662" i="10"/>
  <c r="O6663" i="10"/>
  <c r="O6664" i="10"/>
  <c r="O6665" i="10"/>
  <c r="O6666" i="10"/>
  <c r="O6667" i="10"/>
  <c r="O6668" i="10"/>
  <c r="O6669" i="10"/>
  <c r="O6670" i="10"/>
  <c r="O6671" i="10"/>
  <c r="O6672" i="10"/>
  <c r="O6673" i="10"/>
  <c r="O6674" i="10"/>
  <c r="O6675" i="10"/>
  <c r="O6676" i="10"/>
  <c r="O6677" i="10"/>
  <c r="O6678" i="10"/>
  <c r="O6679" i="10"/>
  <c r="O6680" i="10"/>
  <c r="O6681" i="10"/>
  <c r="O6682" i="10"/>
  <c r="O6683" i="10"/>
  <c r="O6684" i="10"/>
  <c r="O6685" i="10"/>
  <c r="O6686" i="10"/>
  <c r="O6687" i="10"/>
  <c r="O6688" i="10"/>
  <c r="O6689" i="10"/>
  <c r="O6690" i="10"/>
  <c r="O6691" i="10"/>
  <c r="O6692" i="10"/>
  <c r="O6693" i="10"/>
  <c r="O6694" i="10"/>
  <c r="O6695" i="10"/>
  <c r="O6696" i="10"/>
  <c r="O6697" i="10"/>
  <c r="O6698" i="10"/>
  <c r="O6699" i="10"/>
  <c r="O6700" i="10"/>
  <c r="O6701" i="10"/>
  <c r="O6702" i="10"/>
  <c r="O6703" i="10"/>
  <c r="O6704" i="10"/>
  <c r="O6705" i="10"/>
  <c r="O6706" i="10"/>
  <c r="O6707" i="10"/>
  <c r="O6708" i="10"/>
  <c r="O6709" i="10"/>
  <c r="O6710" i="10"/>
  <c r="O6711" i="10"/>
  <c r="O6712" i="10"/>
  <c r="O6713" i="10"/>
  <c r="O6714" i="10"/>
  <c r="O6715" i="10"/>
  <c r="O6716" i="10"/>
  <c r="O6717" i="10"/>
  <c r="O6718" i="10"/>
  <c r="O6719" i="10"/>
  <c r="O6720" i="10"/>
  <c r="O6721" i="10"/>
  <c r="O6722" i="10"/>
  <c r="O6723" i="10"/>
  <c r="O6724" i="10"/>
  <c r="O6725" i="10"/>
  <c r="O6726" i="10"/>
  <c r="O6727" i="10"/>
  <c r="O6728" i="10"/>
  <c r="O6729" i="10"/>
  <c r="O6730" i="10"/>
  <c r="O6731" i="10"/>
  <c r="O6732" i="10"/>
  <c r="O6733" i="10"/>
  <c r="O6734" i="10"/>
  <c r="O6735" i="10"/>
  <c r="O6736" i="10"/>
  <c r="O6737" i="10"/>
  <c r="O6738" i="10"/>
  <c r="O6739" i="10"/>
  <c r="O6740" i="10"/>
  <c r="O6741" i="10"/>
  <c r="O6742" i="10"/>
  <c r="O6743" i="10"/>
  <c r="O6744" i="10"/>
  <c r="O6745" i="10"/>
  <c r="O6746" i="10"/>
  <c r="O6747" i="10"/>
  <c r="O6748" i="10"/>
  <c r="O6749" i="10"/>
  <c r="O6750" i="10"/>
  <c r="O6751" i="10"/>
  <c r="O6752" i="10"/>
  <c r="O6753" i="10"/>
  <c r="O6754" i="10"/>
  <c r="O6755" i="10"/>
  <c r="O6756" i="10"/>
  <c r="O6757" i="10"/>
  <c r="O6758" i="10"/>
  <c r="O6759" i="10"/>
  <c r="O6760" i="10"/>
  <c r="O6761" i="10"/>
  <c r="O6762" i="10"/>
  <c r="O6763" i="10"/>
  <c r="O6764" i="10"/>
  <c r="O6765" i="10"/>
  <c r="O6766" i="10"/>
  <c r="O6767" i="10"/>
  <c r="O6768" i="10"/>
  <c r="O6769" i="10"/>
  <c r="O6770" i="10"/>
  <c r="O6771" i="10"/>
  <c r="O6772" i="10"/>
  <c r="O6773" i="10"/>
  <c r="O6774" i="10"/>
  <c r="O6775" i="10"/>
  <c r="O6776" i="10"/>
  <c r="O6777" i="10"/>
  <c r="O6778" i="10"/>
  <c r="O6779" i="10"/>
  <c r="O6780" i="10"/>
  <c r="O6781" i="10"/>
  <c r="O6782" i="10"/>
  <c r="O6783" i="10"/>
  <c r="O6784" i="10"/>
  <c r="O6785" i="10"/>
  <c r="O6786" i="10"/>
  <c r="O6787" i="10"/>
  <c r="O6788" i="10"/>
  <c r="O6789" i="10"/>
  <c r="O6790" i="10"/>
  <c r="O6791" i="10"/>
  <c r="O6792" i="10"/>
  <c r="O6793" i="10"/>
  <c r="O6794" i="10"/>
  <c r="O6795" i="10"/>
  <c r="O6796" i="10"/>
  <c r="O6797" i="10"/>
  <c r="O6798" i="10"/>
  <c r="O6799" i="10"/>
  <c r="O6800" i="10"/>
  <c r="O6801" i="10"/>
  <c r="O6802" i="10"/>
  <c r="O6803" i="10"/>
  <c r="O6804" i="10"/>
  <c r="O6805" i="10"/>
  <c r="O6806" i="10"/>
  <c r="O6807" i="10"/>
  <c r="O6808" i="10"/>
  <c r="O6809" i="10"/>
  <c r="O6810" i="10"/>
  <c r="O6811" i="10"/>
  <c r="O6812" i="10"/>
  <c r="O6813" i="10"/>
  <c r="O6814" i="10"/>
  <c r="O6815" i="10"/>
  <c r="O6816" i="10"/>
  <c r="O6817" i="10"/>
  <c r="O6818" i="10"/>
  <c r="O6819" i="10"/>
  <c r="O6820" i="10"/>
  <c r="O6821" i="10"/>
  <c r="O6822" i="10"/>
  <c r="O6823" i="10"/>
  <c r="O6824" i="10"/>
  <c r="O6825" i="10"/>
  <c r="O6826" i="10"/>
  <c r="O6827" i="10"/>
  <c r="O6828" i="10"/>
  <c r="O6829" i="10"/>
  <c r="O6830" i="10"/>
  <c r="O6831" i="10"/>
  <c r="O6832" i="10"/>
  <c r="O6833" i="10"/>
  <c r="O6834" i="10"/>
  <c r="O6835" i="10"/>
  <c r="O6836" i="10"/>
  <c r="O6837" i="10"/>
  <c r="O6838" i="10"/>
  <c r="O6839" i="10"/>
  <c r="O6840" i="10"/>
  <c r="O6841" i="10"/>
  <c r="O6842" i="10"/>
  <c r="O6843" i="10"/>
  <c r="O6844" i="10"/>
  <c r="O6845" i="10"/>
  <c r="O6846" i="10"/>
  <c r="O6847" i="10"/>
  <c r="O6848" i="10"/>
  <c r="O6849" i="10"/>
  <c r="O6850" i="10"/>
  <c r="O6851" i="10"/>
  <c r="O6852" i="10"/>
  <c r="O6853" i="10"/>
  <c r="O6854" i="10"/>
  <c r="O6855" i="10"/>
  <c r="O6856" i="10"/>
  <c r="O6857" i="10"/>
  <c r="O6858" i="10"/>
  <c r="O6859" i="10"/>
  <c r="O6860" i="10"/>
  <c r="O6861" i="10"/>
  <c r="O6862" i="10"/>
  <c r="O6863" i="10"/>
  <c r="O6864" i="10"/>
  <c r="O6865" i="10"/>
  <c r="O6866" i="10"/>
  <c r="O6867" i="10"/>
  <c r="O6868" i="10"/>
  <c r="O6869" i="10"/>
  <c r="O6870" i="10"/>
  <c r="O6871" i="10"/>
  <c r="O6872" i="10"/>
  <c r="O6873" i="10"/>
  <c r="O6874" i="10"/>
  <c r="O6875" i="10"/>
  <c r="O6876" i="10"/>
  <c r="O6877" i="10"/>
  <c r="O6878" i="10"/>
  <c r="O6879" i="10"/>
  <c r="O6880" i="10"/>
  <c r="O6881" i="10"/>
  <c r="O6882" i="10"/>
  <c r="O6883" i="10"/>
  <c r="O6884" i="10"/>
  <c r="O6885" i="10"/>
  <c r="O6886" i="10"/>
  <c r="O6887" i="10"/>
  <c r="O6888" i="10"/>
  <c r="O6889" i="10"/>
  <c r="O6890" i="10"/>
  <c r="O6891" i="10"/>
  <c r="O6892" i="10"/>
  <c r="O6893" i="10"/>
  <c r="O6894" i="10"/>
  <c r="O6895" i="10"/>
  <c r="O6896" i="10"/>
  <c r="O6897" i="10"/>
  <c r="O6898" i="10"/>
  <c r="O6899" i="10"/>
  <c r="O6900" i="10"/>
  <c r="O6901" i="10"/>
  <c r="O6902" i="10"/>
  <c r="O6903" i="10"/>
  <c r="O6904" i="10"/>
  <c r="O6905" i="10"/>
  <c r="O6906" i="10"/>
  <c r="O6907" i="10"/>
  <c r="O6908" i="10"/>
  <c r="O6909" i="10"/>
  <c r="O6910" i="10"/>
  <c r="O6911" i="10"/>
  <c r="O6912" i="10"/>
  <c r="O6913" i="10"/>
  <c r="O6914" i="10"/>
  <c r="O6915" i="10"/>
  <c r="O6916" i="10"/>
  <c r="O6917" i="10"/>
  <c r="O6918" i="10"/>
  <c r="O6919" i="10"/>
  <c r="O6920" i="10"/>
  <c r="O6921" i="10"/>
  <c r="O6922" i="10"/>
  <c r="O6923" i="10"/>
  <c r="O6924" i="10"/>
  <c r="O6925" i="10"/>
  <c r="O6926" i="10"/>
  <c r="O6927" i="10"/>
  <c r="O6928" i="10"/>
  <c r="O6929" i="10"/>
  <c r="O6930" i="10"/>
  <c r="O6931" i="10"/>
  <c r="O6932" i="10"/>
  <c r="O6933" i="10"/>
  <c r="O6934" i="10"/>
  <c r="O6935" i="10"/>
  <c r="O6936" i="10"/>
  <c r="O6937" i="10"/>
  <c r="O6938" i="10"/>
  <c r="O6939" i="10"/>
  <c r="O6940" i="10"/>
  <c r="O6941" i="10"/>
  <c r="O6942" i="10"/>
  <c r="O6943" i="10"/>
  <c r="O6944" i="10"/>
  <c r="O6945" i="10"/>
  <c r="O6946" i="10"/>
  <c r="O6947" i="10"/>
  <c r="O6948" i="10"/>
  <c r="O6949" i="10"/>
  <c r="O6950" i="10"/>
  <c r="O6951" i="10"/>
  <c r="O6952" i="10"/>
  <c r="O6953" i="10"/>
  <c r="O6954" i="10"/>
  <c r="O6955" i="10"/>
  <c r="O6956" i="10"/>
  <c r="O6957" i="10"/>
  <c r="O6958" i="10"/>
  <c r="O6959" i="10"/>
  <c r="O6960" i="10"/>
  <c r="O6961" i="10"/>
  <c r="O6962" i="10"/>
  <c r="O6963" i="10"/>
  <c r="O6964" i="10"/>
  <c r="O6965" i="10"/>
  <c r="O6966" i="10"/>
  <c r="O6967" i="10"/>
  <c r="O6968" i="10"/>
  <c r="O6969" i="10"/>
  <c r="O6970" i="10"/>
  <c r="O6971" i="10"/>
  <c r="O6972" i="10"/>
  <c r="O6973" i="10"/>
  <c r="O6974" i="10"/>
  <c r="O6975" i="10"/>
  <c r="O6976" i="10"/>
  <c r="O6977" i="10"/>
  <c r="O6978" i="10"/>
  <c r="O6979" i="10"/>
  <c r="O6980" i="10"/>
  <c r="O6981" i="10"/>
  <c r="O6982" i="10"/>
  <c r="O6983" i="10"/>
  <c r="O6984" i="10"/>
  <c r="O6985" i="10"/>
  <c r="O6986" i="10"/>
  <c r="O6987" i="10"/>
  <c r="O6988" i="10"/>
  <c r="O6989" i="10"/>
  <c r="O6990" i="10"/>
  <c r="O6991" i="10"/>
  <c r="O6992" i="10"/>
  <c r="O6993" i="10"/>
  <c r="O6994" i="10"/>
  <c r="O6995" i="10"/>
  <c r="O6996" i="10"/>
  <c r="O6997" i="10"/>
  <c r="O6998" i="10"/>
  <c r="O6999" i="10"/>
  <c r="O7000" i="10"/>
  <c r="O7001" i="10"/>
  <c r="O7002" i="10"/>
  <c r="O7003" i="10"/>
  <c r="O7004" i="10"/>
  <c r="O7005" i="10"/>
  <c r="O7006" i="10"/>
  <c r="O7007" i="10"/>
  <c r="O7008" i="10"/>
  <c r="O7009" i="10"/>
  <c r="O7010" i="10"/>
  <c r="O7011" i="10"/>
  <c r="O7012" i="10"/>
  <c r="O7013" i="10"/>
  <c r="O7014" i="10"/>
  <c r="O7015" i="10"/>
  <c r="O7016" i="10"/>
  <c r="O7017" i="10"/>
  <c r="O7018" i="10"/>
  <c r="O7019" i="10"/>
  <c r="O7020" i="10"/>
  <c r="O7021" i="10"/>
  <c r="O7022" i="10"/>
  <c r="O7023" i="10"/>
  <c r="O7024" i="10"/>
  <c r="O7025" i="10"/>
  <c r="O7026" i="10"/>
  <c r="O7027" i="10"/>
  <c r="O7028" i="10"/>
  <c r="O7029" i="10"/>
  <c r="O7030" i="10"/>
  <c r="O7031" i="10"/>
  <c r="O7032" i="10"/>
  <c r="O7033" i="10"/>
  <c r="O7034" i="10"/>
  <c r="O7035" i="10"/>
  <c r="O7036" i="10"/>
  <c r="O7037" i="10"/>
  <c r="O7038" i="10"/>
  <c r="O7039" i="10"/>
  <c r="O7040" i="10"/>
  <c r="O7041" i="10"/>
  <c r="O7042" i="10"/>
  <c r="O7043" i="10"/>
  <c r="O7044" i="10"/>
  <c r="O7045" i="10"/>
  <c r="O7046" i="10"/>
  <c r="O7047" i="10"/>
  <c r="O7048" i="10"/>
  <c r="O7049" i="10"/>
  <c r="O7050" i="10"/>
  <c r="O7051" i="10"/>
  <c r="O7052" i="10"/>
  <c r="O7053" i="10"/>
  <c r="O7054" i="10"/>
  <c r="O7055" i="10"/>
  <c r="O7056" i="10"/>
  <c r="O7057" i="10"/>
  <c r="O7058" i="10"/>
  <c r="O7059" i="10"/>
  <c r="O7060" i="10"/>
  <c r="O7061" i="10"/>
  <c r="O7062" i="10"/>
  <c r="O7063" i="10"/>
  <c r="O7064" i="10"/>
  <c r="O7065" i="10"/>
  <c r="O7066" i="10"/>
  <c r="O7067" i="10"/>
  <c r="O7068" i="10"/>
  <c r="O7069" i="10"/>
  <c r="O7070" i="10"/>
  <c r="O7071" i="10"/>
  <c r="O7072" i="10"/>
  <c r="O7073" i="10"/>
  <c r="O7074" i="10"/>
  <c r="O7075" i="10"/>
  <c r="O7076" i="10"/>
  <c r="O7077" i="10"/>
  <c r="O7078" i="10"/>
  <c r="O7079" i="10"/>
  <c r="O7080" i="10"/>
  <c r="O7081" i="10"/>
  <c r="O7082" i="10"/>
  <c r="O7083" i="10"/>
  <c r="O7084" i="10"/>
  <c r="O7085" i="10"/>
  <c r="O7086" i="10"/>
  <c r="O7087" i="10"/>
  <c r="O7088" i="10"/>
  <c r="O7089" i="10"/>
  <c r="O7090" i="10"/>
  <c r="O7091" i="10"/>
  <c r="O7092" i="10"/>
  <c r="O7093" i="10"/>
  <c r="O7094" i="10"/>
  <c r="O7095" i="10"/>
  <c r="O7096" i="10"/>
  <c r="O7097" i="10"/>
  <c r="O7098" i="10"/>
  <c r="O7099" i="10"/>
  <c r="O7100" i="10"/>
  <c r="O7101" i="10"/>
  <c r="O7102" i="10"/>
  <c r="O7103" i="10"/>
  <c r="O7104" i="10"/>
  <c r="O7105" i="10"/>
  <c r="O7106" i="10"/>
  <c r="O7107" i="10"/>
  <c r="O7108" i="10"/>
  <c r="O7109" i="10"/>
  <c r="O7110" i="10"/>
  <c r="O7111" i="10"/>
  <c r="O7112" i="10"/>
  <c r="O7113" i="10"/>
  <c r="O7114" i="10"/>
  <c r="O7115" i="10"/>
  <c r="O7116" i="10"/>
  <c r="O7117" i="10"/>
  <c r="O7118" i="10"/>
  <c r="O7119" i="10"/>
  <c r="O7120" i="10"/>
  <c r="O7121" i="10"/>
  <c r="O7122" i="10"/>
  <c r="O7123" i="10"/>
  <c r="O7124" i="10"/>
  <c r="O7125" i="10"/>
  <c r="O7126" i="10"/>
  <c r="O7127" i="10"/>
  <c r="O7128" i="10"/>
  <c r="O7129" i="10"/>
  <c r="O7130" i="10"/>
  <c r="O7131" i="10"/>
  <c r="O7132" i="10"/>
  <c r="O7133" i="10"/>
  <c r="O7134" i="10"/>
  <c r="O7135" i="10"/>
  <c r="O7136" i="10"/>
  <c r="O7137" i="10"/>
  <c r="O7138" i="10"/>
  <c r="O7139" i="10"/>
  <c r="O7140" i="10"/>
  <c r="O7141" i="10"/>
  <c r="O7142" i="10"/>
  <c r="O7143" i="10"/>
  <c r="O7144" i="10"/>
  <c r="O7145" i="10"/>
  <c r="O7146" i="10"/>
  <c r="O7147" i="10"/>
  <c r="O7148" i="10"/>
  <c r="O7149" i="10"/>
  <c r="O7150" i="10"/>
  <c r="O7151" i="10"/>
  <c r="O7152" i="10"/>
  <c r="O7153" i="10"/>
  <c r="O7154" i="10"/>
  <c r="O7155" i="10"/>
  <c r="O7156" i="10"/>
  <c r="O7157" i="10"/>
  <c r="O7158" i="10"/>
  <c r="O7159" i="10"/>
  <c r="O7160" i="10"/>
  <c r="O7161" i="10"/>
  <c r="O7162" i="10"/>
  <c r="O7163" i="10"/>
  <c r="O7164" i="10"/>
  <c r="O7165" i="10"/>
  <c r="O7166" i="10"/>
  <c r="O7167" i="10"/>
  <c r="O7168" i="10"/>
  <c r="O7169" i="10"/>
  <c r="O7170" i="10"/>
  <c r="O7171" i="10"/>
  <c r="O7172" i="10"/>
  <c r="O7173" i="10"/>
  <c r="O7174" i="10"/>
  <c r="O7175" i="10"/>
  <c r="O7176" i="10"/>
  <c r="O7177" i="10"/>
  <c r="O7178" i="10"/>
  <c r="O7179" i="10"/>
  <c r="O7180" i="10"/>
  <c r="O7181" i="10"/>
  <c r="O7182" i="10"/>
  <c r="O7183" i="10"/>
  <c r="O7184" i="10"/>
  <c r="O7185" i="10"/>
  <c r="O7186" i="10"/>
  <c r="O7187" i="10"/>
  <c r="O7188" i="10"/>
  <c r="O7189" i="10"/>
  <c r="O7190" i="10"/>
  <c r="O7191" i="10"/>
  <c r="O7192" i="10"/>
  <c r="O7193" i="10"/>
  <c r="O7194" i="10"/>
  <c r="O7195" i="10"/>
  <c r="O7196" i="10"/>
  <c r="O7197" i="10"/>
  <c r="O7198" i="10"/>
  <c r="O7199" i="10"/>
  <c r="O7200" i="10"/>
  <c r="O7201" i="10"/>
  <c r="O7202" i="10"/>
  <c r="O7203" i="10"/>
  <c r="O7204" i="10"/>
  <c r="O7205" i="10"/>
  <c r="O7206" i="10"/>
  <c r="O7207" i="10"/>
  <c r="O7208" i="10"/>
  <c r="O7209" i="10"/>
  <c r="O7210" i="10"/>
  <c r="O7211" i="10"/>
  <c r="O7212" i="10"/>
  <c r="O7213" i="10"/>
  <c r="O7214" i="10"/>
  <c r="O7215" i="10"/>
  <c r="O7216" i="10"/>
  <c r="O7217" i="10"/>
  <c r="O7218" i="10"/>
  <c r="O7219" i="10"/>
  <c r="O7220" i="10"/>
  <c r="O7221" i="10"/>
  <c r="O7222" i="10"/>
  <c r="O7223" i="10"/>
  <c r="O7224" i="10"/>
  <c r="O7225" i="10"/>
  <c r="O7226" i="10"/>
  <c r="O7227" i="10"/>
  <c r="O7228" i="10"/>
  <c r="O7229" i="10"/>
  <c r="O7230" i="10"/>
  <c r="O7231" i="10"/>
  <c r="O7232" i="10"/>
  <c r="O7233" i="10"/>
  <c r="O7234" i="10"/>
  <c r="O7235" i="10"/>
  <c r="O7236" i="10"/>
  <c r="O7237" i="10"/>
  <c r="O7238" i="10"/>
  <c r="O7239" i="10"/>
  <c r="O7240" i="10"/>
  <c r="O7241" i="10"/>
  <c r="O7242" i="10"/>
  <c r="O7243" i="10"/>
  <c r="O7244" i="10"/>
  <c r="O7245" i="10"/>
  <c r="O7246" i="10"/>
  <c r="O7247" i="10"/>
  <c r="O7248" i="10"/>
  <c r="O7249" i="10"/>
  <c r="O7250" i="10"/>
  <c r="O7251" i="10"/>
  <c r="O7252" i="10"/>
  <c r="O7253" i="10"/>
  <c r="O7254" i="10"/>
  <c r="O7255" i="10"/>
  <c r="O7256" i="10"/>
  <c r="O7257" i="10"/>
  <c r="O7258" i="10"/>
  <c r="O7259" i="10"/>
  <c r="O7260" i="10"/>
  <c r="O7261" i="10"/>
  <c r="O7262" i="10"/>
  <c r="O7263" i="10"/>
  <c r="O7264" i="10"/>
  <c r="O7265" i="10"/>
  <c r="O7266" i="10"/>
  <c r="O7267" i="10"/>
  <c r="O7268" i="10"/>
  <c r="O7269" i="10"/>
  <c r="O7270" i="10"/>
  <c r="O7271" i="10"/>
  <c r="O7272" i="10"/>
  <c r="O7273" i="10"/>
  <c r="O7274" i="10"/>
  <c r="O7275" i="10"/>
  <c r="O7276" i="10"/>
  <c r="O7277" i="10"/>
  <c r="O7278" i="10"/>
  <c r="O7279" i="10"/>
  <c r="O7280" i="10"/>
  <c r="O7281" i="10"/>
  <c r="O7282" i="10"/>
  <c r="O7283" i="10"/>
  <c r="O7284" i="10"/>
  <c r="O7285" i="10"/>
  <c r="O7286" i="10"/>
  <c r="O7287" i="10"/>
  <c r="O7288" i="10"/>
  <c r="O7289" i="10"/>
  <c r="O7290" i="10"/>
  <c r="O7291" i="10"/>
  <c r="O7292" i="10"/>
  <c r="O7293" i="10"/>
  <c r="O7294" i="10"/>
  <c r="O7295" i="10"/>
  <c r="O7296" i="10"/>
  <c r="O7297" i="10"/>
  <c r="O7298" i="10"/>
  <c r="O7299" i="10"/>
  <c r="O7300" i="10"/>
  <c r="O7301" i="10"/>
  <c r="O7302" i="10"/>
  <c r="O7303" i="10"/>
  <c r="O7304" i="10"/>
  <c r="O7305" i="10"/>
  <c r="O7306" i="10"/>
  <c r="O7307" i="10"/>
  <c r="O7308" i="10"/>
  <c r="O7309" i="10"/>
  <c r="O7310" i="10"/>
  <c r="O7311" i="10"/>
  <c r="O7312" i="10"/>
  <c r="O7313" i="10"/>
  <c r="O7314" i="10"/>
  <c r="O7315" i="10"/>
  <c r="O7316" i="10"/>
  <c r="O7317" i="10"/>
  <c r="O7318" i="10"/>
  <c r="O7319" i="10"/>
  <c r="O7320" i="10"/>
  <c r="O7321" i="10"/>
  <c r="O7322" i="10"/>
  <c r="O7323" i="10"/>
  <c r="O7324" i="10"/>
  <c r="O7325" i="10"/>
  <c r="O7326" i="10"/>
  <c r="O7327" i="10"/>
  <c r="O7328" i="10"/>
  <c r="O7329" i="10"/>
  <c r="O7330" i="10"/>
  <c r="O7331" i="10"/>
  <c r="O7332" i="10"/>
  <c r="O7333" i="10"/>
  <c r="O7334" i="10"/>
  <c r="O7335" i="10"/>
  <c r="O7336" i="10"/>
  <c r="O7337" i="10"/>
  <c r="O7338" i="10"/>
  <c r="O7339" i="10"/>
  <c r="O7340" i="10"/>
  <c r="O7341" i="10"/>
  <c r="O7342" i="10"/>
  <c r="O7343" i="10"/>
  <c r="O7344" i="10"/>
  <c r="O7345" i="10"/>
  <c r="O7346" i="10"/>
  <c r="O7347" i="10"/>
  <c r="O7348" i="10"/>
  <c r="O7349" i="10"/>
  <c r="O7350" i="10"/>
  <c r="O7351" i="10"/>
  <c r="O7352" i="10"/>
  <c r="O7353" i="10"/>
  <c r="O7354" i="10"/>
  <c r="O7355" i="10"/>
  <c r="O7356" i="10"/>
  <c r="O7357" i="10"/>
  <c r="O7358" i="10"/>
  <c r="O7359" i="10"/>
  <c r="O7360" i="10"/>
  <c r="O7361" i="10"/>
  <c r="O7362" i="10"/>
  <c r="O7363" i="10"/>
  <c r="O7364" i="10"/>
  <c r="O7365" i="10"/>
  <c r="O7366" i="10"/>
  <c r="O7367" i="10"/>
  <c r="O7368" i="10"/>
  <c r="O7369" i="10"/>
  <c r="O7370" i="10"/>
  <c r="O7371" i="10"/>
  <c r="O7372" i="10"/>
  <c r="O7373" i="10"/>
  <c r="O7374" i="10"/>
  <c r="O7375" i="10"/>
  <c r="O7376" i="10"/>
  <c r="O7377" i="10"/>
  <c r="O7378" i="10"/>
  <c r="O7379" i="10"/>
  <c r="O7380" i="10"/>
  <c r="O7381" i="10"/>
  <c r="O7382" i="10"/>
  <c r="O7383" i="10"/>
  <c r="O7384" i="10"/>
  <c r="O7385" i="10"/>
  <c r="O7386" i="10"/>
  <c r="O7387" i="10"/>
  <c r="O7388" i="10"/>
  <c r="O7389" i="10"/>
  <c r="O7390" i="10"/>
  <c r="O7391" i="10"/>
  <c r="O7392" i="10"/>
  <c r="O7393" i="10"/>
  <c r="O7394" i="10"/>
  <c r="O7395" i="10"/>
  <c r="O7396" i="10"/>
  <c r="O7397" i="10"/>
  <c r="O7398" i="10"/>
  <c r="O7399" i="10"/>
  <c r="O7400" i="10"/>
  <c r="O7401" i="10"/>
  <c r="O7402" i="10"/>
  <c r="O7403" i="10"/>
  <c r="O7404" i="10"/>
  <c r="O7405" i="10"/>
  <c r="O7406" i="10"/>
  <c r="O7407" i="10"/>
  <c r="O7408" i="10"/>
  <c r="O7409" i="10"/>
  <c r="O7410" i="10"/>
  <c r="O7411" i="10"/>
  <c r="O7412" i="10"/>
  <c r="O7413" i="10"/>
  <c r="O7414" i="10"/>
  <c r="O7415" i="10"/>
  <c r="O7416" i="10"/>
  <c r="O7417" i="10"/>
  <c r="O7418" i="10"/>
  <c r="O7419" i="10"/>
  <c r="O7420" i="10"/>
  <c r="O7421" i="10"/>
  <c r="O7422" i="10"/>
  <c r="O7423" i="10"/>
  <c r="O7424" i="10"/>
  <c r="O7425" i="10"/>
  <c r="O7426" i="10"/>
  <c r="O7427" i="10"/>
  <c r="O7428" i="10"/>
  <c r="O7429" i="10"/>
  <c r="O7430" i="10"/>
  <c r="O7431" i="10"/>
  <c r="O7432" i="10"/>
  <c r="O7433" i="10"/>
  <c r="O7434" i="10"/>
  <c r="O7435" i="10"/>
  <c r="O7436" i="10"/>
  <c r="O7437" i="10"/>
  <c r="O7438" i="10"/>
  <c r="O7439" i="10"/>
  <c r="O7440" i="10"/>
  <c r="O7441" i="10"/>
  <c r="O7442" i="10"/>
  <c r="O7443" i="10"/>
  <c r="O7444" i="10"/>
  <c r="O7445" i="10"/>
  <c r="O7446" i="10"/>
  <c r="O7447" i="10"/>
  <c r="O7448" i="10"/>
  <c r="O7449" i="10"/>
  <c r="O7450" i="10"/>
  <c r="O7451" i="10"/>
  <c r="O7452" i="10"/>
  <c r="O7453" i="10"/>
  <c r="O7454" i="10"/>
  <c r="O7455" i="10"/>
  <c r="O7456" i="10"/>
  <c r="O7457" i="10"/>
  <c r="O7458" i="10"/>
  <c r="O7459" i="10"/>
  <c r="O7460" i="10"/>
  <c r="O7461" i="10"/>
  <c r="O7462" i="10"/>
  <c r="O7463" i="10"/>
  <c r="O7464" i="10"/>
  <c r="O7465" i="10"/>
  <c r="O7466" i="10"/>
  <c r="O7467" i="10"/>
  <c r="O7468" i="10"/>
  <c r="O7469" i="10"/>
  <c r="O7470" i="10"/>
  <c r="O7471" i="10"/>
  <c r="O7472" i="10"/>
  <c r="O7473" i="10"/>
  <c r="O7474" i="10"/>
  <c r="O7475" i="10"/>
  <c r="O7476" i="10"/>
  <c r="O7477" i="10"/>
  <c r="O7478" i="10"/>
  <c r="O7479" i="10"/>
  <c r="O7480" i="10"/>
  <c r="O7481" i="10"/>
  <c r="O7482" i="10"/>
  <c r="O7483" i="10"/>
  <c r="O7484" i="10"/>
  <c r="O7485" i="10"/>
  <c r="O7486" i="10"/>
  <c r="O7487" i="10"/>
  <c r="O7488" i="10"/>
  <c r="O7489" i="10"/>
  <c r="O7490" i="10"/>
  <c r="O7491" i="10"/>
  <c r="O7492" i="10"/>
  <c r="O7493" i="10"/>
  <c r="O7494" i="10"/>
  <c r="O7495" i="10"/>
  <c r="O7496" i="10"/>
  <c r="O7497" i="10"/>
  <c r="O7498" i="10"/>
  <c r="O7499" i="10"/>
  <c r="O7500" i="10"/>
  <c r="O10" i="10"/>
  <c r="E21" i="1" s="1"/>
  <c r="D22" i="1" l="1"/>
  <c r="D21" i="1"/>
  <c r="Z27" i="2" l="1"/>
  <c r="Z28" i="2"/>
  <c r="Z29" i="2"/>
  <c r="Z30" i="2"/>
  <c r="Z26" i="2"/>
  <c r="X26" i="2"/>
  <c r="J27" i="2"/>
  <c r="J28" i="2"/>
  <c r="J29" i="2"/>
  <c r="J30" i="2"/>
  <c r="P27" i="2"/>
  <c r="P28" i="2"/>
  <c r="P29" i="2"/>
  <c r="P30" i="2"/>
  <c r="X27" i="2"/>
  <c r="X28" i="2"/>
  <c r="X29" i="2"/>
  <c r="X30" i="2"/>
  <c r="P26" i="2"/>
  <c r="J26" i="2"/>
  <c r="E27" i="2"/>
  <c r="E28" i="2"/>
  <c r="E29" i="2"/>
  <c r="E30" i="2"/>
  <c r="E26" i="2"/>
  <c r="C26" i="2"/>
  <c r="C30" i="2"/>
  <c r="C29" i="2"/>
  <c r="C28" i="2"/>
  <c r="C27" i="2"/>
  <c r="R14" i="2"/>
  <c r="N14" i="2"/>
  <c r="R15" i="2"/>
  <c r="N15" i="2"/>
  <c r="Z15" i="2"/>
  <c r="F15" i="2"/>
  <c r="V15" i="2"/>
  <c r="J14" i="2"/>
  <c r="F14" i="2"/>
  <c r="V14" i="2"/>
  <c r="J15" i="2"/>
  <c r="Z14" i="2"/>
  <c r="D20" i="1" l="1"/>
  <c r="N2" i="9" l="1"/>
  <c r="B7" i="9"/>
  <c r="E14" i="1" l="1" a="1"/>
  <c r="E14" i="1" s="1"/>
  <c r="F26" i="1"/>
  <c r="E17" i="1" l="1"/>
  <c r="E16" i="1"/>
  <c r="E19" i="1"/>
  <c r="E15" i="1"/>
  <c r="E18" i="1"/>
  <c r="D10" i="1" l="1"/>
  <c r="B30" i="2"/>
  <c r="B29" i="2"/>
  <c r="B28" i="2"/>
  <c r="B27" i="2"/>
  <c r="B26" i="2"/>
  <c r="Z25" i="2" l="1"/>
  <c r="D15" i="1"/>
  <c r="D16" i="1"/>
  <c r="D17" i="1"/>
  <c r="D18" i="1"/>
  <c r="D19" i="1"/>
  <c r="D14" i="1"/>
  <c r="C10" i="1" l="1"/>
  <c r="C3" i="1" l="1" a="1"/>
  <c r="C3" i="1" s="1"/>
  <c r="H3" i="1" l="1"/>
  <c r="F3" i="1"/>
  <c r="E3" i="1"/>
  <c r="D3" i="1"/>
  <c r="G3" i="1"/>
  <c r="Y19" i="2" l="1"/>
  <c r="U19" i="2"/>
  <c r="M19" i="2"/>
  <c r="I19" i="2"/>
  <c r="E19" i="2"/>
  <c r="Q19" i="2"/>
  <c r="C6" i="8" l="1"/>
  <c r="Z9" i="2" l="1"/>
  <c r="AA9" i="2" s="1"/>
  <c r="AB9" i="2" s="1"/>
  <c r="V9" i="2"/>
  <c r="W9" i="2" s="1"/>
  <c r="X9" i="2" s="1"/>
  <c r="R9" i="2"/>
  <c r="S9" i="2" s="1"/>
  <c r="T9" i="2" s="1"/>
  <c r="N9" i="2"/>
  <c r="O9" i="2" s="1"/>
  <c r="P9" i="2" s="1"/>
  <c r="J9" i="2"/>
  <c r="K9" i="2" s="1"/>
  <c r="L9" i="2" s="1"/>
  <c r="F9" i="2"/>
  <c r="G9" i="2" s="1"/>
  <c r="H9" i="2" s="1"/>
  <c r="Z17" i="2" l="1"/>
  <c r="Z16" i="2" s="1"/>
  <c r="V17" i="2"/>
  <c r="V16" i="2" s="1"/>
  <c r="F4" i="1" s="1"/>
  <c r="R17" i="2"/>
  <c r="R16" i="2" s="1"/>
  <c r="N17" i="2"/>
  <c r="N16" i="2" s="1"/>
  <c r="J17" i="2"/>
  <c r="J16" i="2" s="1"/>
  <c r="F5" i="1" l="1"/>
  <c r="F6" i="1"/>
  <c r="J18" i="2"/>
  <c r="C4" i="1"/>
  <c r="C6" i="1" s="1"/>
  <c r="Z18" i="2"/>
  <c r="G4" i="1"/>
  <c r="R18" i="2"/>
  <c r="E4" i="1"/>
  <c r="N18" i="2"/>
  <c r="D4" i="1"/>
  <c r="G5" i="1" l="1"/>
  <c r="G6" i="1"/>
  <c r="E5" i="1"/>
  <c r="E6" i="1"/>
  <c r="D5" i="1"/>
  <c r="D6" i="1"/>
  <c r="Y12" i="2"/>
  <c r="M12" i="2"/>
  <c r="E12" i="2"/>
  <c r="C5" i="1" l="1"/>
  <c r="I12" i="2"/>
  <c r="Q12" i="2"/>
  <c r="U12" i="2"/>
  <c r="F17" i="2" l="1"/>
  <c r="F16" i="2" s="1"/>
  <c r="E18" i="2" l="1"/>
  <c r="H4" i="1"/>
  <c r="H5" i="1" l="1"/>
  <c r="H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xr16:uid="{00000000-0015-0000-FFFF-FFFF01000000}"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xr16:uid="{00000000-0015-0000-FFFF-FFFF02000000}"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xr16:uid="{00000000-0015-0000-FFFF-FFFF03000000}"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xr16:uid="{00000000-0015-0000-FFFF-FFFF04000000}"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<sst xmlns="http://schemas.openxmlformats.org/spreadsheetml/2006/main" count="1819" uniqueCount="216">
  <si>
    <t>valSelOption</t>
  </si>
  <si>
    <t>Horas extras</t>
  </si>
  <si>
    <t>Alimentación</t>
  </si>
  <si>
    <t>Viáticos</t>
  </si>
  <si>
    <t>Reconocimientos</t>
  </si>
  <si>
    <t>Celebraciones</t>
  </si>
  <si>
    <t>Plan Anual</t>
  </si>
  <si>
    <t>Balance YTM</t>
  </si>
  <si>
    <t>$Disponible</t>
  </si>
  <si>
    <t>%Disponible</t>
  </si>
  <si>
    <t xml:space="preserve">Viáticos </t>
  </si>
  <si>
    <t>Reconocimientos y Celebraciones</t>
  </si>
  <si>
    <t>Entrega de Chorrito (Dic)</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</si>
  <si>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</si>
  <si>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</si>
  <si>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</si>
  <si>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</si>
  <si>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</si>
  <si>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</si>
  <si>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</si>
  <si>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</si>
  <si>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</si>
  <si>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</si>
  <si>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</si>
  <si>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</si>
  <si>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</si>
  <si>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</si>
  <si>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</si>
  <si>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</si>
  <si>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</si>
  <si>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</si>
  <si>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</si>
  <si>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</si>
  <si>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</si>
  <si>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</si>
  <si>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as_oficina_dest</t>
  </si>
  <si>
    <t>as_oficina</t>
  </si>
  <si>
    <t>Etiquetas de fila</t>
  </si>
  <si>
    <t>ALIMENTACIÓN</t>
  </si>
  <si>
    <t>HORAS EXTRAS</t>
  </si>
  <si>
    <t>VIATICOS</t>
  </si>
  <si>
    <t>Suma de PLAN</t>
  </si>
  <si>
    <t>Suma de BALANCE</t>
  </si>
  <si>
    <t>VIÁTICOS</t>
  </si>
  <si>
    <t>RECONOCIMIENTOS</t>
  </si>
  <si>
    <t>CELEBRACIONES</t>
  </si>
  <si>
    <t>BRINDIS PARTICIPACIÓN</t>
  </si>
  <si>
    <t>as_año</t>
  </si>
  <si>
    <t>2018</t>
  </si>
  <si>
    <t>Años</t>
  </si>
  <si>
    <t>07-ago</t>
  </si>
  <si>
    <t>08-ago</t>
  </si>
  <si>
    <t>10-ago</t>
  </si>
  <si>
    <t>13-ago</t>
  </si>
  <si>
    <t>14-ago</t>
  </si>
  <si>
    <t>24-ago</t>
  </si>
  <si>
    <t>25-ago</t>
  </si>
  <si>
    <t>27-ago</t>
  </si>
  <si>
    <t>as_fecha_tran</t>
  </si>
  <si>
    <t>ar_descripcion</t>
  </si>
  <si>
    <t>as_concepto</t>
  </si>
  <si>
    <t>ALIMENTACION DE EMPLEADOS CTA NUEVA</t>
  </si>
  <si>
    <t>PAGO NOMINA QUINCENA 1 AGOSTO 2018</t>
  </si>
  <si>
    <t>PAGO NOMINA QUINCENA 2 AGOSTO 2018</t>
  </si>
  <si>
    <t>OTROS EGRESOS 18</t>
  </si>
  <si>
    <t>co_descripcion</t>
  </si>
  <si>
    <t>TRANSACCIONES DEL DIA 08/07/2018SPYRAL - GESTION ADMINISTRATIVA</t>
  </si>
  <si>
    <t>TRANSACCIONES DEL DIA 08/08/2018SPYRAL - GESTION ADMINISTRATIVA</t>
  </si>
  <si>
    <t>TRANSACCIONES DEL DIA 08/10/2018 RECURSOS HUMANOS</t>
  </si>
  <si>
    <t>TRANSACCIONES DEL DIA 08/13/2018SPYRAL - GESTION ADMINISTRATIVA</t>
  </si>
  <si>
    <t>TRANSACCIONES DEL DIA 08/14/2018SPYRAL - GESTION ADMINISTRATIVA</t>
  </si>
  <si>
    <t>TRANSACCIONES DEL DIA 08/24/2018SPYRAL - GESTION ADMINISTRATIVA</t>
  </si>
  <si>
    <t>TRANSACCIONES DEL DIA 08/25/2018 RECURSOS HUMANOS</t>
  </si>
  <si>
    <t>OTROS EGRESOS 1.P.O (OR:38/DES:38 TRN:86 PERF:300086 CAU: 18</t>
  </si>
  <si>
    <t>Suma de as_debito</t>
  </si>
  <si>
    <t>Suma de as_credito</t>
  </si>
  <si>
    <t>as_asiento</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</si>
  <si>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</si>
  <si>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</si>
  <si>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</si>
  <si>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</si>
  <si>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</si>
  <si>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</si>
  <si>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</si>
  <si>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</si>
  <si>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</si>
  <si>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</si>
  <si>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</si>
  <si>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</si>
  <si>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</si>
  <si>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</si>
  <si>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</si>
  <si>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</si>
  <si>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</si>
  <si>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</si>
  <si>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</si>
  <si>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OTROS EGRESOS 1.P.O (OR:71/DES:71 TRN:86 PERF:300086 CAU: 18</t>
  </si>
  <si>
    <t>NC ALIMENTACION DE EMPLEADOS NVA</t>
  </si>
  <si>
    <t>OTROS EGRESOS 1.P.O (OR:196/DES:196 TRN:86 PERF:300086 CAU: 18</t>
  </si>
  <si>
    <t>OTROS EGRESOS 1.P.O (OR:23/DES:23 TRN:86 PERF:300086 CAU: 18</t>
  </si>
  <si>
    <t>OTROS EGRESOS 1.P.O (OR:43/DES:43 TRN:86 PERF:300086 CAU: 18</t>
  </si>
  <si>
    <t>OTROS EGRESOS 1.P.O (OR:73/DES:73 TRN:86 PERF:300086 CAU: 18</t>
  </si>
  <si>
    <t>OTROS EGRESOS 1.P.O (OR:3/DES:3 TRN:86 PERF:300086 CAU: 18</t>
  </si>
  <si>
    <t>OTROS EGRESOS 1.P.O (OR:53/DES:53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</si>
  <si>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</si>
  <si>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</si>
  <si>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</si>
  <si>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</si>
  <si>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</si>
  <si>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</si>
  <si>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</si>
  <si>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</si>
  <si>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</si>
  <si>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</si>
  <si>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</si>
  <si>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</si>
  <si>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INTERINOS</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</si>
  <si>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</si>
  <si>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</si>
  <si>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</si>
  <si>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</si>
  <si>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</si>
  <si>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</si>
  <si>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</si>
  <si>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</si>
  <si>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</si>
  <si>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</si>
  <si>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</si>
  <si>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</si>
  <si>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</si>
  <si>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BANCA DE CONSUMO</t>
  </si>
  <si>
    <t>OTROS EGRESOS 1.P.O (OR:97/DES:97 TRN:86 PERF:300086 CAU: 18</t>
  </si>
  <si>
    <t>OTROS EGRESOS 1.P.O (OR:47/DES:47 TRN:86 PERF:300086 CAU: 18</t>
  </si>
  <si>
    <t>OTROS EGRESOS 1.P.O (OR:79/DES:79 TRN:86 PERF:300086 CAU: 18</t>
  </si>
  <si>
    <t>Mes</t>
  </si>
  <si>
    <t>Credito</t>
  </si>
  <si>
    <t>Debito</t>
  </si>
  <si>
    <t>Area</t>
  </si>
  <si>
    <t>MesNum</t>
  </si>
  <si>
    <t>junio</t>
  </si>
  <si>
    <t>julio</t>
  </si>
  <si>
    <t>enero</t>
  </si>
  <si>
    <t>febrero</t>
  </si>
  <si>
    <t>marzo</t>
  </si>
  <si>
    <t>abril</t>
  </si>
  <si>
    <t>mayo</t>
  </si>
  <si>
    <t>Barra</t>
  </si>
  <si>
    <t>Todos los meses…</t>
  </si>
  <si>
    <t>2019</t>
  </si>
  <si>
    <t>agosto</t>
  </si>
  <si>
    <t>septiembre</t>
  </si>
  <si>
    <t>octubre</t>
  </si>
  <si>
    <t>noviembre</t>
  </si>
  <si>
    <t>diciembre</t>
  </si>
  <si>
    <t>Sheets("Formulario").Shapes("ListBox").ControlFormat.List(Sheets("Formulario").Shapes("ListBox").ControlFormat.ListIndex) &amp; vbNewLine</t>
  </si>
  <si>
    <t>OTROS EGRESOS 1.P.O (OR:32/DES:32 TRN:86 PERF:300086 CAU: 18</t>
  </si>
  <si>
    <t>RECONOCIMIENTO</t>
  </si>
  <si>
    <t>OTROS EGRESOS 1.P.O (OR:125/DES:125 TRN:86 PERF:300086 CAU: 18</t>
  </si>
  <si>
    <t>OTROS EGRESOS 1.P.O (OR:66/DES:66 TRN:86 PERF:300086 CAU: 18</t>
  </si>
  <si>
    <t>SEGMENTO DE NEGOCIOS</t>
  </si>
  <si>
    <t>OTROS EGRESOS 1.P.O (OR:48/DES:48 TRN:86 PERF:300086 CAU: 18</t>
  </si>
  <si>
    <t>CANALES ALTERNOS</t>
  </si>
  <si>
    <t>OTROS EGRESOS 1.P.O (OR:33/DES:33 TRN:86 PERF:300086 CAU: 18</t>
  </si>
  <si>
    <t>OTROS EGRESOS 1.P.O (OR:76/DES:76 TRN:86 PERF:300086 CAU: 18</t>
  </si>
  <si>
    <t>OTROS EGRESOS 1.P.O (OR:1/DES:1 TRN:86 PERF:300086 CAU: 18</t>
  </si>
  <si>
    <t>OTROS EGRESOS 1.P.O (OR:19/DES:19 TRN:86 PERF:300086 CAU: 18</t>
  </si>
  <si>
    <t>OTROS EGRESOS 1.P.O (OR:165/DES:165 TRN:86 PERF:300086 CAU: 18</t>
  </si>
  <si>
    <t>OTROS EGRESOS 1.P.O (OR:35/DES:35 TRN:86 PERF:300086 CAU: 18</t>
  </si>
  <si>
    <t>OTROS EGRESOS 1.P.O (OR:13/DES:13 TRN:86 PERF:300086 CAU: 18</t>
  </si>
  <si>
    <t>MERCADEO Y PUBLICIDAD</t>
  </si>
  <si>
    <t>OTROS EGRESOS 1.P.O (OR:6/DES:6 TRN:86 PERF:300086 CAU: 18</t>
  </si>
  <si>
    <t>OTROS EGRESOS 1.P.O (OR:21/DES:21 TRN:86 PERF:300086 CAU: 18</t>
  </si>
  <si>
    <t>OTROS EGRESOS 1.P.O (OR:20/DES:20 TRN:86 PERF:300086 CAU: 18</t>
  </si>
  <si>
    <t>REVERSION PROVISION CUENTA DE RECONOCIMIENTOS</t>
  </si>
  <si>
    <t>OTROS EGRESOS 1.P.O (OR:69/DES:69 TRN:86 PERF:300086 CAU: 18</t>
  </si>
  <si>
    <t>OTROS EGRESOS 1.P.O (OR:51/DES:51 TRN:86 PERF:300086 CAU: 18</t>
  </si>
  <si>
    <t>MERCADEO</t>
  </si>
  <si>
    <t>OTROS EGRESOS 1.P.O (OR:4/DES:4 TRN:86 PERF:300086 CAU: 18</t>
  </si>
  <si>
    <t>OTROS EGRESOS 17</t>
  </si>
  <si>
    <t>OTROS EGRESOS 1.P.O (OR:54/DES:54 TRN:86 PERF:300086 CAU: 17</t>
  </si>
  <si>
    <t>SERVICIOS AL CLIENTE</t>
  </si>
  <si>
    <t>OTROS EGRESOS 1.P.O (OR:41/DES:41 TRN:86 PERF:300086 CAU: 18</t>
  </si>
  <si>
    <t>EMISOR DE TARJETAS</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</si>
  <si>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</si>
  <si>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</si>
  <si>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</si>
  <si>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</si>
  <si>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</si>
  <si>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PLANILLAS DE LIQUIDACIONES MAY 2019</t>
  </si>
  <si>
    <t>TRANSACCIONES DEL DIA 05/07/2019 RECURSOS HUMANOS</t>
  </si>
  <si>
    <t>TRANSACCIONES DEL DIA 05/08/2019SPYRAL - GESTION ADMINISTRATIVA</t>
  </si>
  <si>
    <t>TRANSACCIONES DEL DIA 05/09/2019SPYRAL - GESTION ADMINISTRATIVA</t>
  </si>
  <si>
    <t>TRANSACCIONES DEL DIA 05/10/2019SPYRAL - GESTION ADMINISTRATIVA</t>
  </si>
  <si>
    <t>PAGO NOMINA QUINCENA 1 MAYO 2019</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</si>
  <si>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</si>
  <si>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</si>
  <si>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</si>
  <si>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</si>
  <si>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</si>
  <si>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</si>
  <si>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</si>
  <si>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</si>
  <si>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</si>
  <si>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</si>
  <si>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</si>
  <si>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</si>
  <si>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</si>
  <si>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PAGO NOMINA QUINCENA 2 MAYO 2019</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</si>
  <si>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</si>
  <si>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</si>
  <si>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</si>
  <si>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</si>
  <si>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</si>
  <si>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REVERSION MAYO 2019</t>
  </si>
  <si>
    <t>TRANSACCIONES DEL DIA 05/30/2019SPYRAL - GESTION ADMINISTRATIVA</t>
  </si>
  <si>
    <t>OTROS EGRESOS 1.P.O (OR:98/DES:98 TRN:86 PERF:300086 CAU: 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</si>
</sst>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quot;$&quot;#,##0_);\(&quot;$&quot;#,##0\)"/>
    <numFmt numFmtId="165" formatCode="&quot;$&quot;#,##0_);[Red]\(&quot;$&quot;#,##0\)"/>
    <numFmt numFmtId="166" formatCode="_(* #,##0.00_);_(* \(#,##0.00\);_(* &quot;-&quot;??_);_(@_)"/>
    <numFmt numFmtId="167" formatCode=";;;"/>
    <numFmt numFmtId="168" formatCode="0.0%"/>
    <numFmt numFmtId="169" formatCode="d/m/yy;"/>
    <numFmt numFmtId="170" formatCode="0.0"/>
    <numFmt numFmtId="171" formatCode="&quot;$&quot;#,##0.00;[Red]&quot;$&quot;#,##0.00"/>
    <numFmt numFmtId="172" formatCode="&quot;B/.&quot;#,##0.00;[Red]&quot;B/.&quot;#,##0.00"/>
    <numFmt numFmtId="173" formatCode="&quot;B/.&quot;#,##0.00"/>
  </numFmts>
  <fonts count="38"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b/>
      <sz val="20"/>
      <color rgb="FF00B0F0"/>
      <name val="Webdings"/>
      <family val="1"/>
      <charset val="2"/>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s>
  <borders count="22">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s>
  <cellStyleXfs count="6">
    <xf numFmtId="0" fontId="0" fillId="0" borderId="0"/>
    <xf numFmtId="9" fontId="1" fillId="0" borderId="0" applyFont="0" applyFill="0" applyBorder="0" applyAlignment="0" applyProtection="0"/>
    <xf numFmtId="0" fontId="7" fillId="0" borderId="0"/>
    <xf numFmtId="166" fontId="1" fillId="0" borderId="0" applyFont="0" applyFill="0" applyBorder="0" applyAlignment="0" applyProtection="0"/>
    <xf numFmtId="0" fontId="10" fillId="0" borderId="0"/>
    <xf numFmtId="0" fontId="31" fillId="0" borderId="0"/>
  </cellStyleXfs>
  <cellXfs count="156">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7"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69" fontId="0" fillId="0" borderId="0" xfId="0" applyNumberFormat="1"/>
    <xf numFmtId="0" fontId="31" fillId="0" borderId="0" xfId="5"/>
    <xf numFmtId="0" fontId="31" fillId="0" borderId="4" xfId="5" applyBorder="1"/>
    <xf numFmtId="0" fontId="31" fillId="0" borderId="5" xfId="5" applyBorder="1"/>
    <xf numFmtId="0" fontId="31" fillId="0" borderId="6" xfId="5" applyBorder="1"/>
    <xf numFmtId="0" fontId="31" fillId="0" borderId="7" xfId="5" applyBorder="1"/>
    <xf numFmtId="0" fontId="31" fillId="0" borderId="0" xfId="5" applyBorder="1"/>
    <xf numFmtId="0" fontId="31" fillId="0" borderId="8" xfId="5" applyBorder="1"/>
    <xf numFmtId="0" fontId="32" fillId="0" borderId="0" xfId="5" applyFont="1" applyBorder="1"/>
    <xf numFmtId="0" fontId="33" fillId="0" borderId="8" xfId="5" applyFont="1" applyBorder="1" applyAlignment="1">
      <alignment horizontal="left" indent="1"/>
    </xf>
    <xf numFmtId="0" fontId="33" fillId="0" borderId="9" xfId="5" applyFont="1" applyBorder="1" applyAlignment="1">
      <alignment horizontal="left" indent="1"/>
    </xf>
    <xf numFmtId="0" fontId="31" fillId="0" borderId="10" xfId="5" applyBorder="1"/>
    <xf numFmtId="0" fontId="33" fillId="0" borderId="8" xfId="5" applyFont="1" applyBorder="1" applyAlignment="1"/>
    <xf numFmtId="0" fontId="34" fillId="0" borderId="0" xfId="5" applyFont="1" applyAlignment="1"/>
    <xf numFmtId="0" fontId="33" fillId="0" borderId="0" xfId="5" applyFont="1" applyAlignment="1">
      <alignment horizontal="left" indent="1"/>
    </xf>
    <xf numFmtId="0" fontId="33" fillId="0" borderId="0" xfId="5" applyFont="1" applyAlignment="1"/>
    <xf numFmtId="0" fontId="35" fillId="0" borderId="0" xfId="5" applyFont="1"/>
    <xf numFmtId="0" fontId="36" fillId="0" borderId="0" xfId="5" applyFont="1" applyAlignment="1"/>
    <xf numFmtId="170" fontId="34" fillId="0" borderId="0" xfId="5" applyNumberFormat="1" applyFont="1" applyAlignment="1">
      <alignment horizontal="left"/>
    </xf>
    <xf numFmtId="0" fontId="34" fillId="0" borderId="0" xfId="5" applyFont="1" applyAlignment="1">
      <alignment horizontal="right"/>
    </xf>
    <xf numFmtId="0" fontId="37"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7" fontId="3" fillId="0" borderId="0" xfId="0" applyNumberFormat="1" applyFont="1" applyFill="1" applyAlignment="1">
      <alignment horizontal="left" vertical="center"/>
    </xf>
    <xf numFmtId="167"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7" fontId="9" fillId="0" borderId="0" xfId="0" applyNumberFormat="1" applyFont="1" applyFill="1" applyBorder="1" applyAlignment="1" applyProtection="1"/>
    <xf numFmtId="167"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30" fillId="0" borderId="0" xfId="0" applyFont="1" applyFill="1" applyBorder="1" applyAlignment="1">
      <alignment horizontal="center" vertical="center"/>
    </xf>
    <xf numFmtId="0" fontId="30"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71"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8" fontId="25" fillId="8" borderId="0" xfId="0" applyNumberFormat="1" applyFont="1" applyFill="1" applyBorder="1" applyAlignment="1" applyProtection="1">
      <alignment vertical="center"/>
    </xf>
    <xf numFmtId="164" fontId="25" fillId="8" borderId="0" xfId="0" applyNumberFormat="1" applyFont="1" applyFill="1" applyBorder="1" applyAlignment="1" applyProtection="1">
      <alignment vertical="center"/>
    </xf>
    <xf numFmtId="167"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7" fontId="15" fillId="8" borderId="0" xfId="0" applyNumberFormat="1" applyFont="1" applyFill="1" applyBorder="1" applyAlignment="1" applyProtection="1">
      <alignment vertical="center"/>
    </xf>
    <xf numFmtId="167" fontId="12" fillId="8" borderId="0" xfId="0" applyNumberFormat="1" applyFont="1" applyFill="1" applyBorder="1" applyAlignment="1" applyProtection="1">
      <alignment vertical="center"/>
    </xf>
    <xf numFmtId="4" fontId="0" fillId="0" borderId="0" xfId="0" applyNumberFormat="1" applyFill="1" applyBorder="1" applyAlignment="1">
      <alignment horizontal="center"/>
    </xf>
    <xf numFmtId="0" fontId="0" fillId="0" borderId="0" xfId="0" applyFill="1" applyBorder="1" applyAlignment="1">
      <alignment horizontal="center"/>
    </xf>
    <xf numFmtId="0" fontId="34" fillId="5" borderId="12" xfId="5" applyFont="1" applyFill="1" applyBorder="1" applyAlignment="1">
      <alignment horizontal="center"/>
    </xf>
    <xf numFmtId="0" fontId="34" fillId="5" borderId="11" xfId="5" applyFont="1" applyFill="1" applyBorder="1" applyAlignment="1">
      <alignment horizontal="center"/>
    </xf>
    <xf numFmtId="0" fontId="34" fillId="5" borderId="13" xfId="5" applyFont="1" applyFill="1" applyBorder="1" applyAlignment="1">
      <alignment horizontal="center"/>
    </xf>
    <xf numFmtId="0" fontId="13" fillId="8" borderId="0" xfId="0" applyFont="1" applyFill="1" applyBorder="1" applyAlignment="1">
      <alignment horizontal="left" vertical="center"/>
    </xf>
    <xf numFmtId="14" fontId="13" fillId="8" borderId="0" xfId="0" applyNumberFormat="1" applyFont="1" applyFill="1" applyBorder="1" applyAlignment="1">
      <alignment horizontal="center" vertical="center"/>
    </xf>
    <xf numFmtId="0" fontId="13" fillId="2"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xf>
    <xf numFmtId="0" fontId="11" fillId="2" borderId="0"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167" fontId="14" fillId="8"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21" fillId="2" borderId="0" xfId="0" applyFont="1" applyFill="1" applyBorder="1" applyAlignment="1" applyProtection="1">
      <alignment horizontal="center" vertical="center"/>
    </xf>
    <xf numFmtId="165" fontId="24" fillId="8" borderId="0" xfId="0" applyNumberFormat="1" applyFont="1" applyFill="1" applyBorder="1" applyAlignment="1" applyProtection="1">
      <alignment horizontal="center" vertical="center"/>
    </xf>
    <xf numFmtId="165" fontId="25" fillId="8" borderId="0" xfId="0" applyNumberFormat="1" applyFont="1" applyFill="1" applyBorder="1" applyAlignment="1" applyProtection="1">
      <alignment horizontal="center" vertical="center"/>
    </xf>
    <xf numFmtId="167" fontId="26" fillId="0" borderId="0" xfId="0" applyNumberFormat="1" applyFont="1" applyFill="1" applyAlignment="1">
      <alignment horizontal="center"/>
    </xf>
    <xf numFmtId="168" fontId="25"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164" fontId="25" fillId="8" borderId="0" xfId="0" applyNumberFormat="1" applyFont="1" applyFill="1" applyBorder="1" applyAlignment="1" applyProtection="1">
      <alignment horizontal="center" vertical="center"/>
    </xf>
    <xf numFmtId="173" fontId="13" fillId="8" borderId="0" xfId="0" applyNumberFormat="1" applyFont="1" applyFill="1" applyBorder="1" applyAlignment="1">
      <alignment horizontal="center" vertical="center"/>
    </xf>
    <xf numFmtId="172" fontId="13" fillId="8" borderId="0" xfId="0" applyNumberFormat="1" applyFont="1" applyFill="1" applyBorder="1" applyAlignment="1">
      <alignment horizontal="center" vertical="center"/>
    </xf>
    <xf numFmtId="167" fontId="0" fillId="0" borderId="0" xfId="0" applyNumberFormat="1" applyFill="1" applyAlignment="1">
      <alignment horizontal="center"/>
    </xf>
    <xf numFmtId="0" fontId="0" fillId="0" borderId="0" xfId="0" applyFill="1" applyAlignment="1">
      <alignment horizontal="center"/>
    </xf>
    <xf numFmtId="167" fontId="28" fillId="0" borderId="0" xfId="0" applyNumberFormat="1" applyFont="1" applyFill="1" applyAlignment="1">
      <alignment horizontal="center"/>
    </xf>
    <xf numFmtId="0" fontId="18" fillId="0" borderId="2" xfId="0" applyFont="1" applyBorder="1" applyAlignment="1">
      <alignment horizontal="left" vertical="center"/>
    </xf>
    <xf numFmtId="0" fontId="19" fillId="0" borderId="2" xfId="0" applyFont="1" applyBorder="1" applyAlignment="1">
      <alignment vertical="center" wrapText="1"/>
    </xf>
    <xf numFmtId="0" fontId="19" fillId="0" borderId="2" xfId="0" applyFont="1" applyBorder="1" applyAlignment="1">
      <alignment horizontal="left" vertical="center" wrapText="1"/>
    </xf>
    <xf numFmtId="0" fontId="29" fillId="2" borderId="14" xfId="0" applyFont="1" applyFill="1" applyBorder="1" applyAlignment="1">
      <alignment horizontal="right" vertical="center" wrapText="1"/>
    </xf>
    <xf numFmtId="0" fontId="29" fillId="2" borderId="15" xfId="0" applyFont="1" applyFill="1" applyBorder="1" applyAlignment="1">
      <alignment horizontal="right" vertical="center" wrapText="1"/>
    </xf>
    <xf numFmtId="0" fontId="29" fillId="2" borderId="15" xfId="0" applyFont="1" applyFill="1" applyBorder="1" applyAlignment="1">
      <alignment vertical="center" wrapText="1"/>
    </xf>
    <xf numFmtId="0" fontId="29" fillId="2" borderId="15" xfId="0" applyFont="1" applyFill="1" applyBorder="1" applyAlignment="1">
      <alignment vertical="center"/>
    </xf>
    <xf numFmtId="0" fontId="29" fillId="2" borderId="16" xfId="0" applyFont="1" applyFill="1" applyBorder="1" applyAlignment="1">
      <alignment vertical="center"/>
    </xf>
    <xf numFmtId="14" fontId="13" fillId="8" borderId="17" xfId="0" applyNumberFormat="1" applyFont="1" applyFill="1" applyBorder="1" applyAlignment="1">
      <alignment horizontal="center" vertical="center"/>
    </xf>
    <xf numFmtId="172" fontId="13" fillId="8" borderId="18" xfId="0" applyNumberFormat="1" applyFont="1" applyFill="1" applyBorder="1" applyAlignment="1">
      <alignment horizontal="center" vertical="center"/>
    </xf>
    <xf numFmtId="14" fontId="13" fillId="8" borderId="19" xfId="0" applyNumberFormat="1" applyFont="1" applyFill="1" applyBorder="1" applyAlignment="1">
      <alignment horizontal="center" vertical="center"/>
    </xf>
    <xf numFmtId="14" fontId="13" fillId="8" borderId="20" xfId="0" applyNumberFormat="1" applyFont="1" applyFill="1" applyBorder="1" applyAlignment="1">
      <alignment horizontal="center" vertical="center"/>
    </xf>
    <xf numFmtId="0" fontId="13" fillId="8" borderId="20" xfId="0" applyFont="1" applyFill="1" applyBorder="1" applyAlignment="1">
      <alignment horizontal="left" vertical="center"/>
    </xf>
    <xf numFmtId="173" fontId="13" fillId="8" borderId="20" xfId="0" applyNumberFormat="1" applyFont="1" applyFill="1" applyBorder="1" applyAlignment="1">
      <alignment horizontal="center" vertical="center"/>
    </xf>
    <xf numFmtId="172" fontId="13" fillId="8" borderId="20" xfId="0" applyNumberFormat="1" applyFont="1" applyFill="1" applyBorder="1" applyAlignment="1">
      <alignment horizontal="center" vertical="center"/>
    </xf>
    <xf numFmtId="172" fontId="13" fillId="8" borderId="21" xfId="0" applyNumberFormat="1" applyFont="1" applyFill="1" applyBorder="1" applyAlignment="1">
      <alignment horizontal="center" vertical="center"/>
    </xf>
    <xf numFmtId="0" fontId="29" fillId="2" borderId="14" xfId="0" applyFont="1" applyFill="1" applyBorder="1" applyAlignment="1">
      <alignment vertical="center" wrapText="1"/>
    </xf>
    <xf numFmtId="0" fontId="13" fillId="8" borderId="17" xfId="0" applyFont="1" applyFill="1" applyBorder="1" applyAlignment="1">
      <alignment horizontal="left" vertical="center"/>
    </xf>
    <xf numFmtId="173" fontId="13" fillId="8" borderId="18" xfId="0" applyNumberFormat="1" applyFont="1" applyFill="1" applyBorder="1" applyAlignment="1">
      <alignment horizontal="center" vertical="center"/>
    </xf>
    <xf numFmtId="0" fontId="13" fillId="8" borderId="19" xfId="0" applyFont="1" applyFill="1" applyBorder="1" applyAlignment="1">
      <alignment horizontal="left" vertical="center"/>
    </xf>
    <xf numFmtId="173" fontId="13" fillId="8" borderId="21" xfId="0" applyNumberFormat="1" applyFont="1" applyFill="1" applyBorder="1" applyAlignment="1">
      <alignment horizontal="center" vertical="center"/>
    </xf>
    <xf numFmtId="0" fontId="29" fillId="2" borderId="16" xfId="0" applyFont="1" applyFill="1" applyBorder="1" applyAlignment="1">
      <alignment horizontal="right" vertical="center" wrapText="1"/>
    </xf>
    <xf numFmtId="0" fontId="13" fillId="8" borderId="18" xfId="0" applyFont="1" applyFill="1" applyBorder="1" applyAlignment="1">
      <alignment horizontal="left" vertical="center"/>
    </xf>
    <xf numFmtId="0" fontId="13" fillId="8" borderId="21" xfId="0" applyFont="1" applyFill="1" applyBorder="1" applyAlignment="1">
      <alignment horizontal="left" vertical="center"/>
    </xf>
  </cellXfs>
  <cellStyles count="6">
    <cellStyle name="Millares 2" xfId="3" xr:uid="{00000000-0005-0000-0000-000000000000}"/>
    <cellStyle name="Normal" xfId="0" builtinId="0"/>
    <cellStyle name="Normal 2" xfId="2" xr:uid="{00000000-0005-0000-0000-000002000000}"/>
    <cellStyle name="Normal 2 2" xfId="4" xr:uid="{00000000-0005-0000-0000-000003000000}"/>
    <cellStyle name="Normal 2 3" xfId="5" xr:uid="{00000000-0005-0000-0000-000004000000}"/>
    <cellStyle name="Porcentaje" xfId="1" builtinId="5"/>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s>
  <tableStyles count="0" defaultTableStyle="TableStyleMedium9" defaultPivotStyle="PivotStyleLight16"/>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0.11603706605499364</c:v>
                </c:pt>
                <c:pt idx="2">
                  <c:v>0</c:v>
                </c:pt>
              </c:numCache>
            </c:numRef>
          </c:val>
          <c:extLs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0</c:v>
                </c:pt>
                <c:pt idx="2">
                  <c:v>9.7811962504300021E-2</c:v>
                </c:pt>
              </c:numCache>
            </c:numRef>
          </c:val>
          <c:extLs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B$25" max="30000" min="1" page="5"/>
</file>

<file path=xl/ctrlProps/ctrlProp2.xml><?xml version="1.0" encoding="utf-8"?>
<formControlPr xmlns="http://schemas.microsoft.com/office/spreadsheetml/2009/9/main" objectType="Drop" dropLines="4" dropStyle="combo" dx="16" fmlaLink="Data!$C$21" fmlaRange="Tabla!$P$9:$P$10" noThreeD="1" sel="2"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Data!$E$26" fmlaRange="Data!$B$26:$B$27" sel="1" val="0"/>
</file>

<file path=xl/ctrlProps/ctrlProp10.xml><?xml version="1.0" encoding="utf-8"?>
<formControlPr xmlns="http://schemas.microsoft.com/office/spreadsheetml/2009/9/main" objectType="Drop" dropLines="4" dropStyle="combo" dx="16" fmlaLink="Data!$C$22" fmlaRange="Tabla!$T$9:$T$20" noThreeD="1" sel="5" val="3"/>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a16="http://schemas.microsoft.com/office/drawing/2014/main" id="{00000000-0008-0000-0000-000002000000}"/>
            </a:ext>
          </a:extLst>
        </xdr:cNvPr>
        <xdr:cNvGrpSpPr>
          <a:grpSpLocks/>
        </xdr:cNvGrpSpPr>
      </xdr:nvGrpSpPr>
      <xdr:grpSpPr bwMode="auto">
        <a:xfrm>
          <a:off x="261316" y="2519570"/>
          <a:ext cx="4853195" cy="411231"/>
          <a:chOff x="266700" y="400050"/>
          <a:chExt cx="5781675" cy="400050"/>
        </a:xfrm>
      </xdr:grpSpPr>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a16="http://schemas.microsoft.com/office/drawing/2014/main"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a16="http://schemas.microsoft.com/office/drawing/2014/main" id="{00000000-0008-0000-0000-000005000000}"/>
            </a:ext>
          </a:extLst>
        </xdr:cNvPr>
        <xdr:cNvGrpSpPr>
          <a:grpSpLocks/>
        </xdr:cNvGrpSpPr>
      </xdr:nvGrpSpPr>
      <xdr:grpSpPr bwMode="auto">
        <a:xfrm>
          <a:off x="270841" y="3125028"/>
          <a:ext cx="4815095" cy="3478696"/>
          <a:chOff x="4019550" y="1285875"/>
          <a:chExt cx="5391150" cy="4229100"/>
        </a:xfrm>
      </xdr:grpSpPr>
      <xdr:pic>
        <xdr:nvPicPr>
          <xdr:cNvPr id="6" name="Picture 2">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a16="http://schemas.microsoft.com/office/drawing/2014/main"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a16="http://schemas.microsoft.com/office/drawing/2014/main"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a16="http://schemas.microsoft.com/office/drawing/2014/main" id="{00000000-0008-0000-0000-00000A000000}"/>
            </a:ext>
          </a:extLst>
        </xdr:cNvPr>
        <xdr:cNvGrpSpPr>
          <a:grpSpLocks/>
        </xdr:cNvGrpSpPr>
      </xdr:nvGrpSpPr>
      <xdr:grpSpPr bwMode="auto">
        <a:xfrm>
          <a:off x="5991639" y="3281155"/>
          <a:ext cx="3890341" cy="1879324"/>
          <a:chOff x="5753100" y="2305050"/>
          <a:chExt cx="3790950" cy="1838325"/>
        </a:xfrm>
      </xdr:grpSpPr>
      <xdr:pic>
        <xdr:nvPicPr>
          <xdr:cNvPr id="11" name="Picture 839">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a16="http://schemas.microsoft.com/office/drawing/2014/main"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a16="http://schemas.microsoft.com/office/drawing/2014/main"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57149</xdr:colOff>
      <xdr:row>0</xdr:row>
      <xdr:rowOff>68037</xdr:rowOff>
    </xdr:from>
    <xdr:ext cx="5298622" cy="745918"/>
    <xdr:sp macro="" textlink="">
      <xdr:nvSpPr>
        <xdr:cNvPr id="18" name="TextBox 14">
          <a:extLst>
            <a:ext uri="{FF2B5EF4-FFF2-40B4-BE49-F238E27FC236}">
              <a16:creationId xmlns:a16="http://schemas.microsoft.com/office/drawing/2014/main" id="{00000000-0008-0000-0100-000012000000}"/>
            </a:ext>
          </a:extLst>
        </xdr:cNvPr>
        <xdr:cNvSpPr txBox="1"/>
      </xdr:nvSpPr>
      <xdr:spPr>
        <a:xfrm>
          <a:off x="57149" y="68037"/>
          <a:ext cx="5298622"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a:t>
          </a:r>
          <a:r>
            <a:rPr lang="en-US" sz="3200" b="1">
              <a:ln w="3175">
                <a:noFill/>
              </a:ln>
              <a:solidFill>
                <a:schemeClr val="bg1"/>
              </a:solidFill>
              <a:effectLst/>
              <a:latin typeface="Arial" panose="020B0604020202020204" pitchFamily="34" charset="0"/>
              <a:cs typeface="Arial" panose="020B0604020202020204" pitchFamily="34" charset="0"/>
            </a:rPr>
            <a:t>cuentas</a:t>
          </a:r>
          <a:r>
            <a:rPr lang="en-US" sz="2800" b="1">
              <a:ln w="3175">
                <a:noFill/>
              </a:ln>
              <a:solidFill>
                <a:schemeClr val="bg1"/>
              </a:solidFill>
              <a:effectLst/>
              <a:latin typeface="Arial" panose="020B0604020202020204" pitchFamily="34" charset="0"/>
              <a:cs typeface="Arial" panose="020B0604020202020204" pitchFamily="34" charset="0"/>
            </a:rPr>
            <a:t> de gasto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a16="http://schemas.microsoft.com/office/drawing/2014/main"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a16="http://schemas.microsoft.com/office/drawing/2014/main"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0</xdr:col>
      <xdr:colOff>168087</xdr:colOff>
      <xdr:row>21</xdr:row>
      <xdr:rowOff>126176</xdr:rowOff>
    </xdr:from>
    <xdr:to>
      <xdr:col>29</xdr:col>
      <xdr:colOff>27215</xdr:colOff>
      <xdr:row>23</xdr:row>
      <xdr:rowOff>153390</xdr:rowOff>
    </xdr:to>
    <xdr:sp macro="" textlink="">
      <xdr:nvSpPr>
        <xdr:cNvPr id="19" name="Round Same Side Corner Rectangle 8">
          <a:extLst>
            <a:ext uri="{FF2B5EF4-FFF2-40B4-BE49-F238E27FC236}">
              <a16:creationId xmlns:a16="http://schemas.microsoft.com/office/drawing/2014/main" id="{00000000-0008-0000-0100-000013000000}"/>
            </a:ext>
          </a:extLst>
        </xdr:cNvPr>
        <xdr:cNvSpPr/>
      </xdr:nvSpPr>
      <xdr:spPr>
        <a:xfrm>
          <a:off x="168087" y="5320393"/>
          <a:ext cx="13711199" cy="489857"/>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27</xdr:col>
          <xdr:colOff>21770</xdr:colOff>
          <xdr:row>23</xdr:row>
          <xdr:rowOff>182880</xdr:rowOff>
        </xdr:from>
        <xdr:to>
          <xdr:col>28</xdr:col>
          <xdr:colOff>30479</xdr:colOff>
          <xdr:row>30</xdr:row>
          <xdr:rowOff>22860</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160020</xdr:rowOff>
        </xdr:from>
        <xdr:to>
          <xdr:col>28</xdr:col>
          <xdr:colOff>45720</xdr:colOff>
          <xdr:row>3</xdr:row>
          <xdr:rowOff>121920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447433</xdr:colOff>
      <xdr:row>1</xdr:row>
      <xdr:rowOff>25613</xdr:rowOff>
    </xdr:from>
    <xdr:to>
      <xdr:col>24</xdr:col>
      <xdr:colOff>356987</xdr:colOff>
      <xdr:row>4</xdr:row>
      <xdr:rowOff>30095</xdr:rowOff>
    </xdr:to>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0530326" y="120863"/>
          <a:ext cx="1433554" cy="766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a16="http://schemas.microsoft.com/office/drawing/2014/main" id="{00000000-0008-0000-0100-000004000000}"/>
                </a:ext>
              </a:extLst>
            </xdr:cNvPr>
            <xdr:cNvGrpSpPr/>
          </xdr:nvGrpSpPr>
          <xdr:grpSpPr>
            <a:xfrm>
              <a:off x="1483017" y="9278630"/>
              <a:ext cx="12157103" cy="234363"/>
              <a:chOff x="462802" y="6022041"/>
              <a:chExt cx="11819962" cy="239806"/>
            </a:xfrm>
          </xdr:grpSpPr>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4177553" y="6024843"/>
                <a:ext cx="304800" cy="2370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7177368"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11065809"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11973482"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1612527" y="6028204"/>
                <a:ext cx="304800" cy="233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462802" y="6022041"/>
                <a:ext cx="307041"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137160</xdr:colOff>
          <xdr:row>21</xdr:row>
          <xdr:rowOff>220980</xdr:rowOff>
        </xdr:from>
        <xdr:to>
          <xdr:col>19</xdr:col>
          <xdr:colOff>137160</xdr:colOff>
          <xdr:row>23</xdr:row>
          <xdr:rowOff>68580</xdr:rowOff>
        </xdr:to>
        <xdr:sp macro="" textlink="">
          <xdr:nvSpPr>
            <xdr:cNvPr id="2063" name="List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185698</xdr:colOff>
      <xdr:row>21</xdr:row>
      <xdr:rowOff>213712</xdr:rowOff>
    </xdr:from>
    <xdr:to>
      <xdr:col>15</xdr:col>
      <xdr:colOff>308165</xdr:colOff>
      <xdr:row>22</xdr:row>
      <xdr:rowOff>202505</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6213662" y="5384426"/>
          <a:ext cx="1183824" cy="22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2</xdr:col>
      <xdr:colOff>128067</xdr:colOff>
      <xdr:row>30</xdr:row>
      <xdr:rowOff>96850</xdr:rowOff>
    </xdr:from>
    <xdr:to>
      <xdr:col>4</xdr:col>
      <xdr:colOff>394607</xdr:colOff>
      <xdr:row>31</xdr:row>
      <xdr:rowOff>260935</xdr:rowOff>
    </xdr:to>
    <xdr:sp macro="" textlink="">
      <xdr:nvSpPr>
        <xdr:cNvPr id="6" name="Rectángulo redondeado 5">
          <a:extLst>
            <a:ext uri="{FF2B5EF4-FFF2-40B4-BE49-F238E27FC236}">
              <a16:creationId xmlns:a16="http://schemas.microsoft.com/office/drawing/2014/main" id="{00000000-0008-0000-0100-000006000000}"/>
            </a:ext>
          </a:extLst>
        </xdr:cNvPr>
        <xdr:cNvSpPr/>
      </xdr:nvSpPr>
      <xdr:spPr>
        <a:xfrm>
          <a:off x="536281" y="10234171"/>
          <a:ext cx="1450362"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22860</xdr:colOff>
          <xdr:row>22</xdr:row>
          <xdr:rowOff>7620</xdr:rowOff>
        </xdr:from>
        <xdr:to>
          <xdr:col>27</xdr:col>
          <xdr:colOff>106680</xdr:colOff>
          <xdr:row>23</xdr:row>
          <xdr:rowOff>38100</xdr:rowOff>
        </xdr:to>
        <xdr:sp macro="" textlink="">
          <xdr:nvSpPr>
            <xdr:cNvPr id="2064" name="Drop Dow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409015</xdr:colOff>
      <xdr:row>21</xdr:row>
      <xdr:rowOff>205708</xdr:rowOff>
    </xdr:from>
    <xdr:to>
      <xdr:col>23</xdr:col>
      <xdr:colOff>318568</xdr:colOff>
      <xdr:row>23</xdr:row>
      <xdr:rowOff>97651</xdr:rowOff>
    </xdr:to>
    <xdr:sp macro="" textlink="">
      <xdr:nvSpPr>
        <xdr:cNvPr id="29" name="CuadroTexto 28">
          <a:extLst>
            <a:ext uri="{FF2B5EF4-FFF2-40B4-BE49-F238E27FC236}">
              <a16:creationId xmlns:a16="http://schemas.microsoft.com/office/drawing/2014/main" id="{00000000-0008-0000-0100-00001D000000}"/>
            </a:ext>
          </a:extLst>
        </xdr:cNvPr>
        <xdr:cNvSpPr txBox="1"/>
      </xdr:nvSpPr>
      <xdr:spPr>
        <a:xfrm>
          <a:off x="9947622" y="5376422"/>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a16="http://schemas.microsoft.com/office/drawing/2014/main"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a16="http://schemas.microsoft.com/office/drawing/2014/main"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a16="http://schemas.microsoft.com/office/drawing/2014/main"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reyes" refreshedDate="43426.554992476849" createdVersion="5" refreshedVersion="5" minRefreshableVersion="3" recordCount="456" xr:uid="{00000000-000A-0000-FFFF-FFFF00000000}">
  <cacheSource type="external" connectionId="4"/>
  <cacheFields count="6">
    <cacheField name="as_oficina" numFmtId="0" sqlType="8">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as_cuenta" numFmtId="0" sqlType="8">
      <sharedItems containsSemiMixedTypes="0" containsString="0" containsNumber="1" containsInteger="1" minValue="1" maxValue="504012201" count="6">
        <n v="1"/>
        <n v="5040102"/>
        <n v="5040113"/>
        <n v="5041001"/>
        <n v="504012001"/>
        <n v="504012201"/>
      </sharedItems>
    </cacheField>
    <cacheField name="DESCRIPCION" numFmtId="0" sqlType="-9">
      <sharedItems count="6">
        <s v="BRINDIS DE PARTICIPACIÓN"/>
        <s v="HORAS EXTRAS"/>
        <s v="VIATICOS"/>
        <s v="CELEBRACIONES "/>
        <s v="ALIMENTACIÓN"/>
        <s v="RECONOCIMIENTO "/>
      </sharedItems>
    </cacheField>
    <cacheField name="BALANCE" numFmtId="0" sqlType="8">
      <sharedItems containsString="0" containsBlank="1" containsNumber="1" minValue="0" maxValue="2909.6400000000003"/>
    </cacheField>
    <cacheField name="PLAN" numFmtId="0" sqlType="2">
      <sharedItems containsSemiMixedTypes="0" containsString="0" containsNumber="1" minValue="0" maxValue="25711.073100000001"/>
    </cacheField>
    <cacheField name="as_año" numFmtId="0" sqlType="8">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reyes" refreshedDate="43426.563854398148" createdVersion="5" refreshedVersion="5" minRefreshableVersion="3" recordCount="412" xr:uid="{00000000-000A-0000-FFFF-FFFF01000000}">
  <cacheSource type="external" connectionId="5"/>
  <cacheFields count="15">
    <cacheField name="as_fecha_tran" numFmtId="0" sqlType="11">
      <sharedItems containsSemiMixedTypes="0" containsNonDate="0" containsDate="1" containsString="0" minDate="2018-08-01T00:00:00" maxDate="2018-08-31T00:00:00" count="26">
        <d v="2018-08-25T00:00:00"/>
        <d v="2018-08-10T00:00:00"/>
        <d v="2018-08-15T00:00:00"/>
        <d v="2018-08-07T00:00:00"/>
        <d v="2018-08-02T00:00:00"/>
        <d v="2018-08-13T00:00:00"/>
        <d v="2018-08-27T00:00:00"/>
        <d v="2018-08-17T00:00:00"/>
        <d v="2018-08-29T00:00:00"/>
        <d v="2018-08-06T00:00:00"/>
        <d v="2018-08-24T00:00:00"/>
        <d v="2018-08-08T00:00:00"/>
        <d v="2018-08-21T00:00:00"/>
        <d v="2018-08-11T00:00:00"/>
        <d v="2018-08-01T00:00:00"/>
        <d v="2018-08-20T00:00:00"/>
        <d v="2018-08-23T00:00:00"/>
        <d v="2018-08-28T00:00:00"/>
        <d v="2018-08-18T00:00:00"/>
        <d v="2018-08-30T00:00:00"/>
        <d v="2018-08-09T00:00:00"/>
        <d v="2018-08-16T00:00:00"/>
        <d v="2018-08-04T00:00:00"/>
        <d v="2018-08-14T00:00:00"/>
        <d v="2018-08-03T00:00:00"/>
        <d v="2018-08-22T00:00:00"/>
      </sharedItems>
      <fieldGroup par="14" base="0">
        <rangePr groupBy="days" startDate="2018-08-01T00:00:00" endDate="2018-08-31T00:00:00"/>
        <groupItems count="368">
          <s v="&lt;08/01/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31/2018"/>
        </groupItems>
      </fieldGroup>
    </cacheField>
    <cacheField name="as_comprobante" numFmtId="0" sqlType="4">
      <sharedItems containsSemiMixedTypes="0" containsString="0" containsNumber="1" containsInteger="1" minValue="175575701" maxValue="177008095"/>
    </cacheField>
    <cacheField name="as_asiento" numFmtId="0" sqlType="4">
      <sharedItems containsSemiMixedTypes="0" containsString="0" containsNumber="1" containsInteger="1" minValue="1" maxValue="2042" count="242">
        <n v="13"/>
        <n v="19"/>
        <n v="24"/>
        <n v="26"/>
        <n v="43"/>
        <n v="73"/>
        <n v="76"/>
        <n v="82"/>
        <n v="88"/>
        <n v="95"/>
        <n v="125"/>
        <n v="142"/>
        <n v="153"/>
        <n v="159"/>
        <n v="165"/>
        <n v="181"/>
        <n v="188"/>
        <n v="193"/>
        <n v="194"/>
        <n v="199"/>
        <n v="252"/>
        <n v="257"/>
        <n v="269"/>
        <n v="274"/>
        <n v="285"/>
        <n v="290"/>
        <n v="333"/>
        <n v="338"/>
        <n v="339"/>
        <n v="350"/>
        <n v="354"/>
        <n v="356"/>
        <n v="1"/>
        <n v="362"/>
        <n v="365"/>
        <n v="369"/>
        <n v="372"/>
        <n v="375"/>
        <n v="378"/>
        <n v="418"/>
        <n v="421"/>
        <n v="424"/>
        <n v="2"/>
        <n v="436"/>
        <n v="438"/>
        <n v="459"/>
        <n v="482"/>
        <n v="485"/>
        <n v="488"/>
        <n v="494"/>
        <n v="532"/>
        <n v="533"/>
        <n v="538"/>
        <n v="549"/>
        <n v="580"/>
        <n v="612"/>
        <n v="7"/>
        <n v="618"/>
        <n v="624"/>
        <n v="623"/>
        <n v="631"/>
        <n v="630"/>
        <n v="637"/>
        <n v="664"/>
        <n v="662"/>
        <n v="668"/>
        <n v="696"/>
        <n v="695"/>
        <n v="712"/>
        <n v="711"/>
        <n v="718"/>
        <n v="724"/>
        <n v="731"/>
        <n v="728"/>
        <n v="737"/>
        <n v="794"/>
        <n v="790"/>
        <n v="831"/>
        <n v="837"/>
        <n v="859"/>
        <n v="868"/>
        <n v="875"/>
        <n v="871"/>
        <n v="881"/>
        <n v="887"/>
        <n v="923"/>
        <n v="917"/>
        <n v="970"/>
        <n v="964"/>
        <n v="976"/>
        <n v="985"/>
        <n v="1878"/>
        <n v="1875"/>
        <n v="1884"/>
        <n v="1881"/>
        <n v="1896"/>
        <n v="1893"/>
        <n v="1902"/>
        <n v="1899"/>
        <n v="1944"/>
        <n v="1941"/>
        <n v="2034"/>
        <n v="2042"/>
        <n v="29"/>
        <n v="58"/>
        <n v="42"/>
        <n v="48"/>
        <n v="104"/>
        <n v="32"/>
        <n v="33"/>
        <n v="108"/>
        <n v="56"/>
        <n v="81"/>
        <n v="130"/>
        <n v="87"/>
        <n v="139"/>
        <n v="84"/>
        <n v="111"/>
        <n v="54"/>
        <n v="250"/>
        <n v="1532"/>
        <n v="12"/>
        <n v="3"/>
        <n v="38"/>
        <n v="20"/>
        <n v="21"/>
        <n v="9"/>
        <n v="22"/>
        <n v="46"/>
        <n v="44"/>
        <n v="91"/>
        <n v="15"/>
        <n v="72"/>
        <n v="70"/>
        <n v="83"/>
        <n v="148"/>
        <n v="28"/>
        <n v="16"/>
        <n v="8"/>
        <n v="75"/>
        <n v="101"/>
        <n v="39"/>
        <n v="30"/>
        <n v="31"/>
        <n v="79"/>
        <n v="117"/>
        <n v="112"/>
        <n v="123"/>
        <n v="249"/>
        <n v="90"/>
        <n v="296"/>
        <n v="11"/>
        <n v="307"/>
        <n v="309"/>
        <n v="191"/>
        <n v="68"/>
        <n v="66"/>
        <n v="403"/>
        <n v="232"/>
        <n v="52"/>
        <n v="196"/>
        <n v="184"/>
        <n v="200"/>
        <n v="417"/>
        <n v="197"/>
        <n v="27"/>
        <n v="251"/>
        <n v="61"/>
        <n v="202"/>
        <n v="74"/>
        <n v="47"/>
        <n v="258"/>
        <n v="127"/>
        <n v="207"/>
        <n v="131"/>
        <n v="59"/>
        <n v="135"/>
        <n v="180"/>
        <n v="225"/>
        <n v="484"/>
        <n v="67"/>
        <n v="136"/>
        <n v="63"/>
        <n v="241"/>
        <n v="508"/>
        <n v="248"/>
        <n v="254"/>
        <n v="551"/>
        <n v="216"/>
        <n v="36"/>
        <n v="166"/>
        <n v="221"/>
        <n v="292"/>
        <n v="596"/>
        <n v="219"/>
        <n v="598"/>
        <n v="220"/>
        <n v="37"/>
        <n v="171"/>
        <n v="173"/>
        <n v="295"/>
        <n v="304"/>
        <n v="89"/>
        <n v="297"/>
        <n v="65"/>
        <n v="299"/>
        <n v="341"/>
        <n v="782"/>
        <n v="412"/>
        <n v="331"/>
        <n v="503"/>
        <n v="593"/>
        <n v="616"/>
        <n v="671"/>
        <n v="1519"/>
        <n v="287"/>
        <n v="222"/>
        <n v="201"/>
        <n v="363"/>
        <n v="672"/>
        <n v="1521"/>
        <n v="5"/>
        <n v="106"/>
        <n v="77"/>
        <n v="14"/>
        <n v="18"/>
        <n v="71"/>
        <n v="17"/>
        <n v="25"/>
        <n v="226"/>
        <n v="134"/>
        <n v="253"/>
        <n v="190"/>
        <n v="34"/>
        <n v="575"/>
        <n v="23"/>
        <n v="64"/>
        <n v="329"/>
        <n v="499"/>
        <n v="203"/>
        <n v="10"/>
        <n v="45"/>
      </sharedItems>
    </cacheField>
    <cacheField name="as_cuenta" numFmtId="0" sqlType="8">
      <sharedItems containsSemiMixedTypes="0" containsString="0" containsNumber="1" containsInteger="1" minValue="5040102" maxValue="504012201" count="5">
        <n v="5040102"/>
        <n v="5040113"/>
        <n v="504012001"/>
        <n v="504012201"/>
        <n v="5041001"/>
      </sharedItems>
    </cacheField>
    <cacheField name="as_oficina_dest" numFmtId="0" sqlType="8">
      <sharedItems containsSemiMixedTypes="0" containsString="0" containsNumber="1" containsInteger="1" minValue="1" maxValue="196" count="66">
        <n v="1"/>
        <n v="2"/>
        <n v="3"/>
        <n v="5"/>
        <n v="6"/>
        <n v="8"/>
        <n v="9"/>
        <n v="10"/>
        <n v="13"/>
        <n v="17"/>
        <n v="18"/>
        <n v="19"/>
        <n v="22"/>
        <n v="23"/>
        <n v="26"/>
        <n v="29"/>
        <n v="30"/>
        <n v="32"/>
        <n v="34"/>
        <n v="35"/>
        <n v="38"/>
        <n v="39"/>
        <n v="41"/>
        <n v="43"/>
        <n v="44"/>
        <n v="46"/>
        <n v="48"/>
        <n v="49"/>
        <n v="51"/>
        <n v="68"/>
        <n v="70"/>
        <n v="71"/>
        <n v="72"/>
        <n v="73"/>
        <n v="74"/>
        <n v="77"/>
        <n v="80"/>
        <n v="89"/>
        <n v="95"/>
        <n v="97"/>
        <n v="101"/>
        <n v="162"/>
        <n v="4"/>
        <n v="7"/>
        <n v="15"/>
        <n v="20"/>
        <n v="27"/>
        <n v="28"/>
        <n v="33"/>
        <n v="37"/>
        <n v="40"/>
        <n v="53"/>
        <n v="54"/>
        <n v="78"/>
        <n v="99"/>
        <n v="102"/>
        <n v="125"/>
        <n v="131"/>
        <n v="157"/>
        <n v="164"/>
        <n v="196"/>
        <n v="69"/>
        <n v="76"/>
        <n v="98"/>
        <n v="14"/>
        <n v="103"/>
      </sharedItems>
    </cacheField>
    <cacheField name="as_area_dest" numFmtId="0" sqlType="4">
      <sharedItems containsSemiMixedTypes="0" containsString="0" containsNumber="1" containsInteger="1" minValue="216020401" maxValue="216020403" count="3">
        <n v="216020403"/>
        <n v="216020401"/>
        <n v="216020402"/>
      </sharedItems>
    </cacheField>
    <cacheField name="as_credito" numFmtId="0" sqlType="8">
      <sharedItems containsSemiMixedTypes="0" containsString="0" containsNumber="1" minValue="0" maxValue="1500" count="7">
        <n v="0"/>
        <n v="1100"/>
        <n v="1500"/>
        <n v="22"/>
        <n v="1200"/>
        <n v="6.85"/>
        <n v="0.01"/>
      </sharedItems>
    </cacheField>
    <cacheField name="as_debito" numFmtId="0" sqlType="8">
      <sharedItems containsSemiMixedTypes="0" containsString="0" containsNumber="1" minValue="0" maxValue="1520.74"/>
    </cacheField>
    <cacheField name="as_concepto" numFmtId="0" sqlType="-9">
      <sharedItems count="21">
        <s v="PAGO NOMINA QUINCENA 2 AGOSTO 2018"/>
        <s v="PAGO NOMINA QUINCENA 1 AGOSTO 2018"/>
        <s v="PLANILLAS DE LIQUIDACIONES AGO 2018"/>
        <s v="OTROS EGRESOS 18"/>
        <s v="VIATICOS"/>
        <s v="CORREGIMOS ENTRADA DEL 20 DE AGOSTO POR ERROR EN CAUSA. SE DEBIO"/>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O/ING. EFECTIVO 18"/>
        <s v="CORRIGE DIFERENCIA EN RECHAZO MODULO DE CONTABILIDAD"/>
        <s v="INGRESO DE PAGO DE VIATICO DEL 27 DE AGOSTO DE 2018"/>
        <s v="NC ALIMENTACION DE EMPLEADOS NVA"/>
        <s v="ALIMENTACION DE EMPLEADOS CTA NUEVA"/>
        <s v="RECONOCIMIENTO"/>
        <s v="NC  RECONOCIMIENTOS"/>
        <s v="NC GASTO NO DEDUCIBLES"/>
        <s v="GASTOS NO DEDUCIBLES"/>
      </sharedItems>
    </cacheField>
    <cacheField name="of_nombre" numFmtId="0" sqlType="-9">
      <sharedItems/>
    </cacheField>
    <cacheField name="cu_nombre" numFmtId="0" sqlType="-9">
      <sharedItems count="5">
        <s v="HORAS EXTRAS"/>
        <s v="VIATICOS"/>
        <s v="ALIMENTACION DE EMPLEADOS"/>
        <s v="RECONOCIMIENTOS"/>
        <s v="GASTOS NO DEDUCIBLES"/>
      </sharedItems>
    </cacheField>
    <cacheField name="co_descripcion" numFmtId="0" sqlType="-9">
      <sharedItems count="73">
        <s v="TRANSACCIONES DEL DIA 08/25/2018 RECURSOS HUMANOS"/>
        <s v="TRANSACCIONES DEL DIA 08/10/2018 RECURSOS HUMANOS"/>
        <s v="TRANSACCIONES DEL DIA 08/15/2018 RECURSOS HUMANOS"/>
        <s v="TRANSACCIONES DEL DIA 08/07/2018 RECURSOS HUMANOS"/>
        <s v="OTROS EGRESOS 1.P.O (OR:1/DES:1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OTROS EGRESOS 1.P.O (OR:9/DES:9 TRN:86 PERF:300086 CAU: 18"/>
        <s v="OTROS EGRESOS 1.P.O (OR:10/DES:10 TRN:86 PERF:300086 CAU: 18"/>
        <s v="OTROS EGRESOS 1.P.O (OR:13/DES:13 TRN:86 PERF:300086 CAU: 18"/>
        <s v="OTROS EGRESOS 1.P.O (OR:15/DES:15 TRN:86 PERF:300086 CAU: 18"/>
        <s v="TRANSACCIONES DEL DIA 08/13/2018SPYRAL - GESTION ADMINISTRATIVA"/>
        <s v="OTROS EGRESOS 1.P.O (OR:19/DES:19 TRN:86 PERF:300086 CAU: 18"/>
        <s v="OTROS EGRESOS 1.P.O (OR:20/DES:20 TRN:86 PERF:300086 CAU: 18"/>
        <s v="REGISTRO DE ENTRADA DE CAJA"/>
        <s v="OTROS EGRESOS 1.P.O (OR:22/DES:22 TRN:86 PERF:300086 CAU: 18"/>
        <s v="OTROS EGRESOS 1.P.O (OR:23/DES:23 TRN:86 PERF:300086 CAU: 18"/>
        <s v="TRANSACCIONES DEL DIA 08/08/2018SPYRAL - GESTION ADMINISTRATIVA"/>
        <s v="OTROS EGRESOS 1.P.O (OR:27/DES:27 TRN:86 PERF:300086 CAU: 18"/>
        <s v="REGISTRO DE ENTRADA DE ADMINISTRACION"/>
        <s v="OTROS EGRESOS 1.P.O (OR:28/DES:28 TRN:86 PERF:300086 CAU: 18"/>
        <s v="TRANSACCIONES DEL DIA 08/07/2018SPYRAL - GESTION ADMINISTRATIVA"/>
        <s v="TRANSACCIONES DEL DIA 08/09/2018SPYRAL - GESTION ADMINISTRATIVA"/>
        <s v="OTROS EGRESOS 1.P.O (OR:32/DES:32 TRN:86 PERF:300086 CAU: 18"/>
        <s v="OTROS EGRESOS 1.P.O (OR:33/DES:33 TRN:86 PERF:300086 CAU: 18"/>
        <s v="TRANSACCIONES DEL DIA 08/17/2018SPYRAL - GESTION ADMINISTRATIVA"/>
        <s v="TRANSACCIONES DEL DIA 08/16/2018SPYRAL - GESTION ADMINISTRATIVA"/>
        <s v="OTROS EGRESOS 1.P.O (OR:34/DES:34 TRN:86 PERF:300086 CAU: 18"/>
        <s v="OTROS EGRESOS 1.P.O (OR:35/DES:35 TRN:86 PERF:300086 CAU: 18"/>
        <s v="OTROS EGRESOS 1.P.O (OR:37/DES:37 TRN:86 PERF:300086 CAU: 18"/>
        <s v="OTROS EGRESOS 1.P.O (OR:38/DES:38 TRN:86 PERF:300086 CAU: 18"/>
        <s v="OTROS EGRESOS 1.P.O (OR:39/DES:39 TRN:86 PERF:300086 CAU: 18"/>
        <s v="OTROS EGRESOS 1.P.O (OR:40/DES:40 TRN:86 PERF:300086 CAU: 18"/>
        <s v="OTROS EGRESOS 1.P.O (OR:41/DES:41 TRN:86 PERF:300086 CAU: 18"/>
        <s v="OTROS EGRESOS 1.P.O (OR:43/DES:43 TRN:86 PERF:300086 CAU: 18"/>
        <s v="TRANSACCIONES DEL DIA 08/02/2018SPYRAL - GESTION ADMINISTRATIVA"/>
        <s v="OTROS EGRESOS 1.P.O (OR:48/DES:48 TRN:86 PERF:300086 CAU: 18"/>
        <s v="TRANSACCIONES DEL DIA 08/28/2018SPYRAL - GESTION ADMINISTRATIVA"/>
        <s v="OTROS EGRESOS 1.P.O (OR:51/DES:51 TRN:86 PERF:300086 CAU: 18"/>
        <s v="OTROS EGRESOS 1.P.O (OR:53/DES:53 TRN:86 PERF:300086 CAU: 18"/>
        <s v="TRANSACCIONES DEL DIA 08/10/2018SPYRAL - GESTION ADMINISTRATIVA"/>
        <s v="TRANSACCIONES DEL DIA 08/21/2018SPYRAL - GESTION ADMINISTRATIVA"/>
        <s v="OTROS EGRESOS 1.P.O (OR:70/DES:70 TRN:86 PERF:300086 CAU: 18"/>
        <s v="OTROS EGRESOS 1.P.O (OR:71/DES:71 TRN:86 PERF:300086 CAU: 18"/>
        <s v="OTROS EGRESOS 1.P.O (OR:72/DES:72 TRN:86 PERF:300086 CAU: 18"/>
        <s v="OTROS EGRESOS 1.P.O (OR:73/DES:73 TRN:86 PERF:300086 CAU: 18"/>
        <s v="OTROS EGRESOS 1.P.O (OR:74/DES:74 TRN:86 PERF:300086 CAU: 18"/>
        <s v="OTROS EGRESOS 1.P.O (OR:78/DES:78 TRN:86 PERF:300086 CAU: 18"/>
        <s v="TRANSACCIONES DEL DIA 08/24/2018SPYRAL - GESTION ADMINISTRATIVA"/>
        <s v="OTROS EGRESOS 1.P.O (OR:101/DES:101 TRN:86 PERF:300086 CAU: 18"/>
        <s v="OTROS EGRESOS 1.P.O (OR:102/DES:102 TRN:86 PERF:300086 CAU: 18"/>
        <s v="TRANSACCIONES DEL DIA 08/14/2018SPYRAL - GESTION ADMINISTRATIVA"/>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96/DES:196 TRN:86 PERF:300086 CAU: 18"/>
        <s v="TRANSACCIONES DEL DIA 08/23/2018SPYRAL - GESTION ADMINISTRATIVA"/>
        <s v="TRANSACCIONES DEL DIA 08/22/2018SPYRAL - GESTION ADMINISTRATIVA"/>
        <s v="TRANSACCIONES DEL DIA 08/25/2018SPYRAL - GESTION ADMINISTRATIVA"/>
        <s v="TRANSACCIONES DEL DIA 08/06/2018SPYRAL - GESTION ADMINISTRATIVA"/>
        <s v="TRANSACCIONES DEL DIA 08/20/2018SPYRAL - GESTION ADMINISTRATIVA"/>
        <s v="TRANSACCIONES DEL DIA 08/27/2018SPYRAL - GESTION ADMINISTRATIVA"/>
        <s v="TRANSACCIONES DEL DIA 08/03/2018SPYRAL - GESTION ADMINISTRATIVA"/>
        <s v="TRANSACCIONES DEL DIA 08/15/2018SPYRAL - GESTION ADMINISTRATIVA"/>
        <s v="TRANSACCIONES DEL DIA 08/29/2018SPYRAL - GESTION ADMINISTRATIVA"/>
        <s v="TRANSACCIONES DEL DIA 08/01/2018SPYRAL - GESTION ADMINISTRATIVA"/>
      </sharedItems>
    </cacheField>
    <cacheField name="ar_area" numFmtId="0" sqlType="4">
      <sharedItems containsSemiMixedTypes="0" containsString="0" containsNumber="1" containsInteger="1" minValue="216020401" maxValue="216020403" count="3">
        <n v="216020403"/>
        <n v="216020401"/>
        <n v="216020402"/>
      </sharedItems>
    </cacheField>
    <cacheField name="ar_descripcion" numFmtId="0" sqlType="-9">
      <sharedItems count="3">
        <s v="SERVICIOS PERSONALES"/>
        <s v="ADMINISTRACION DE SUCURSALES"/>
        <s v="CAJA"/>
      </sharedItems>
    </cacheField>
    <cacheField name="Años" numFmtId="0" databaseField="0">
      <fieldGroup base="0">
        <rangePr groupBy="years" startDate="2018-08-01T00:00:00" endDate="2018-08-31T00:00:00"/>
        <groupItems count="3">
          <s v="&lt;08/01/2018"/>
          <s v="2018"/>
          <s v="&gt;08/31/2018"/>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3.683186111113" createdVersion="5" refreshedVersion="5" minRefreshableVersion="3" recordCount="8161" xr:uid="{00000000-000A-0000-FFFF-FFFF02000000}">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4.464467361111" createdVersion="5" refreshedVersion="5" minRefreshableVersion="3" recordCount="8161" xr:uid="{00000000-000A-0000-FFFF-FFFF03000000}">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4.507143634262" createdVersion="5" refreshedVersion="5" minRefreshableVersion="3" recordCount="912" xr:uid="{00000000-000A-0000-FFFF-FFFF04000000}">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6">
  <r>
    <x v="0"/>
    <x v="0"/>
    <x v="0"/>
    <m/>
    <n v="170"/>
    <x v="0"/>
  </r>
  <r>
    <x v="0"/>
    <x v="1"/>
    <x v="1"/>
    <n v="55.37"/>
    <n v="85.441999999999993"/>
    <x v="0"/>
  </r>
  <r>
    <x v="0"/>
    <x v="2"/>
    <x v="2"/>
    <n v="10.35"/>
    <n v="103.2723"/>
    <x v="0"/>
  </r>
  <r>
    <x v="0"/>
    <x v="3"/>
    <x v="3"/>
    <n v="136.56"/>
    <n v="900"/>
    <x v="0"/>
  </r>
  <r>
    <x v="0"/>
    <x v="4"/>
    <x v="4"/>
    <n v="111.13"/>
    <n v="666.78700000000003"/>
    <x v="0"/>
  </r>
  <r>
    <x v="0"/>
    <x v="5"/>
    <x v="5"/>
    <m/>
    <n v="50"/>
    <x v="0"/>
  </r>
  <r>
    <x v="1"/>
    <x v="0"/>
    <x v="0"/>
    <m/>
    <n v="116"/>
    <x v="0"/>
  </r>
  <r>
    <x v="1"/>
    <x v="1"/>
    <x v="1"/>
    <n v="111.25"/>
    <n v="959.08249999999998"/>
    <x v="0"/>
  </r>
  <r>
    <x v="1"/>
    <x v="2"/>
    <x v="2"/>
    <m/>
    <n v="17.222200000000001"/>
    <x v="0"/>
  </r>
  <r>
    <x v="1"/>
    <x v="3"/>
    <x v="3"/>
    <m/>
    <n v="612"/>
    <x v="0"/>
  </r>
  <r>
    <x v="1"/>
    <x v="4"/>
    <x v="4"/>
    <n v="16"/>
    <n v="341.464"/>
    <x v="0"/>
  </r>
  <r>
    <x v="1"/>
    <x v="5"/>
    <x v="5"/>
    <m/>
    <n v="50"/>
    <x v="0"/>
  </r>
  <r>
    <x v="2"/>
    <x v="0"/>
    <x v="0"/>
    <m/>
    <n v="184"/>
    <x v="0"/>
  </r>
  <r>
    <x v="2"/>
    <x v="1"/>
    <x v="1"/>
    <n v="60.69"/>
    <n v="356.85210000000001"/>
    <x v="0"/>
  </r>
  <r>
    <x v="2"/>
    <x v="2"/>
    <x v="2"/>
    <n v="9.1999999999999993"/>
    <n v="82.199299999999994"/>
    <x v="0"/>
  </r>
  <r>
    <x v="2"/>
    <x v="3"/>
    <x v="3"/>
    <n v="202.5"/>
    <n v="972"/>
    <x v="0"/>
  </r>
  <r>
    <x v="2"/>
    <x v="4"/>
    <x v="4"/>
    <m/>
    <n v="813.77380000000005"/>
    <x v="0"/>
  </r>
  <r>
    <x v="2"/>
    <x v="5"/>
    <x v="5"/>
    <m/>
    <n v="132"/>
    <x v="0"/>
  </r>
  <r>
    <x v="3"/>
    <x v="0"/>
    <x v="0"/>
    <m/>
    <n v="123"/>
    <x v="0"/>
  </r>
  <r>
    <x v="3"/>
    <x v="1"/>
    <x v="1"/>
    <m/>
    <n v="300.6003"/>
    <x v="0"/>
  </r>
  <r>
    <x v="3"/>
    <x v="2"/>
    <x v="2"/>
    <n v="4.2"/>
    <n v="20.626000000000001"/>
    <x v="0"/>
  </r>
  <r>
    <x v="3"/>
    <x v="3"/>
    <x v="3"/>
    <m/>
    <n v="648"/>
    <x v="0"/>
  </r>
  <r>
    <x v="3"/>
    <x v="4"/>
    <x v="4"/>
    <m/>
    <n v="17.971800000000002"/>
    <x v="0"/>
  </r>
  <r>
    <x v="3"/>
    <x v="5"/>
    <x v="5"/>
    <m/>
    <n v="50"/>
    <x v="0"/>
  </r>
  <r>
    <x v="4"/>
    <x v="0"/>
    <x v="0"/>
    <m/>
    <n v="333"/>
    <x v="0"/>
  </r>
  <r>
    <x v="4"/>
    <x v="1"/>
    <x v="1"/>
    <n v="1609.63"/>
    <n v="25629.205399999999"/>
    <x v="0"/>
  </r>
  <r>
    <x v="4"/>
    <x v="2"/>
    <x v="2"/>
    <n v="20.2"/>
    <n v="121.7748"/>
    <x v="0"/>
  </r>
  <r>
    <x v="4"/>
    <x v="3"/>
    <x v="3"/>
    <n v="211"/>
    <n v="1764"/>
    <x v="0"/>
  </r>
  <r>
    <x v="4"/>
    <x v="4"/>
    <x v="4"/>
    <n v="185"/>
    <n v="1174.5012999999999"/>
    <x v="0"/>
  </r>
  <r>
    <x v="4"/>
    <x v="5"/>
    <x v="5"/>
    <m/>
    <n v="210"/>
    <x v="0"/>
  </r>
  <r>
    <x v="5"/>
    <x v="0"/>
    <x v="0"/>
    <m/>
    <n v="89"/>
    <x v="0"/>
  </r>
  <r>
    <x v="5"/>
    <x v="1"/>
    <x v="1"/>
    <n v="74.960000000000008"/>
    <n v="202.70830000000001"/>
    <x v="0"/>
  </r>
  <r>
    <x v="5"/>
    <x v="2"/>
    <x v="2"/>
    <n v="18.399999999999999"/>
    <n v="46.535600000000002"/>
    <x v="0"/>
  </r>
  <r>
    <x v="5"/>
    <x v="3"/>
    <x v="3"/>
    <n v="63.77"/>
    <n v="468"/>
    <x v="0"/>
  </r>
  <r>
    <x v="5"/>
    <x v="4"/>
    <x v="4"/>
    <n v="8"/>
    <n v="8.9859000000000009"/>
    <x v="0"/>
  </r>
  <r>
    <x v="5"/>
    <x v="5"/>
    <x v="5"/>
    <m/>
    <n v="50"/>
    <x v="0"/>
  </r>
  <r>
    <x v="6"/>
    <x v="0"/>
    <x v="0"/>
    <m/>
    <n v="68"/>
    <x v="0"/>
  </r>
  <r>
    <x v="6"/>
    <x v="1"/>
    <x v="1"/>
    <m/>
    <n v="528.49220000000003"/>
    <x v="0"/>
  </r>
  <r>
    <x v="6"/>
    <x v="2"/>
    <x v="2"/>
    <n v="21.2"/>
    <n v="61.37"/>
    <x v="0"/>
  </r>
  <r>
    <x v="6"/>
    <x v="3"/>
    <x v="3"/>
    <m/>
    <n v="360"/>
    <x v="0"/>
  </r>
  <r>
    <x v="6"/>
    <x v="4"/>
    <x v="4"/>
    <m/>
    <n v="158.99420000000001"/>
    <x v="0"/>
  </r>
  <r>
    <x v="6"/>
    <x v="5"/>
    <x v="5"/>
    <m/>
    <n v="50"/>
    <x v="0"/>
  </r>
  <r>
    <x v="7"/>
    <x v="0"/>
    <x v="0"/>
    <m/>
    <n v="109"/>
    <x v="0"/>
  </r>
  <r>
    <x v="7"/>
    <x v="1"/>
    <x v="1"/>
    <n v="52.73"/>
    <n v="105.6508"/>
    <x v="0"/>
  </r>
  <r>
    <x v="7"/>
    <x v="2"/>
    <x v="2"/>
    <n v="2.1"/>
    <n v="56.086500000000001"/>
    <x v="0"/>
  </r>
  <r>
    <x v="7"/>
    <x v="3"/>
    <x v="3"/>
    <n v="14.25"/>
    <n v="576"/>
    <x v="0"/>
  </r>
  <r>
    <x v="7"/>
    <x v="4"/>
    <x v="4"/>
    <n v="104"/>
    <n v="1377.8633"/>
    <x v="0"/>
  </r>
  <r>
    <x v="7"/>
    <x v="5"/>
    <x v="5"/>
    <m/>
    <n v="50"/>
    <x v="0"/>
  </r>
  <r>
    <x v="8"/>
    <x v="0"/>
    <x v="0"/>
    <m/>
    <n v="150"/>
    <x v="0"/>
  </r>
  <r>
    <x v="8"/>
    <x v="1"/>
    <x v="1"/>
    <n v="6.66"/>
    <n v="701.10500000000002"/>
    <x v="0"/>
  </r>
  <r>
    <x v="8"/>
    <x v="2"/>
    <x v="2"/>
    <n v="16"/>
    <n v="837.33510000000001"/>
    <x v="0"/>
  </r>
  <r>
    <x v="8"/>
    <x v="3"/>
    <x v="3"/>
    <n v="218.04"/>
    <n v="792"/>
    <x v="0"/>
  </r>
  <r>
    <x v="8"/>
    <x v="4"/>
    <x v="4"/>
    <m/>
    <n v="34.191299999999998"/>
    <x v="0"/>
  </r>
  <r>
    <x v="8"/>
    <x v="5"/>
    <x v="5"/>
    <m/>
    <n v="50"/>
    <x v="0"/>
  </r>
  <r>
    <x v="9"/>
    <x v="0"/>
    <x v="0"/>
    <m/>
    <n v="191"/>
    <x v="0"/>
  </r>
  <r>
    <x v="9"/>
    <x v="1"/>
    <x v="1"/>
    <n v="618.04"/>
    <n v="7640.5749999999998"/>
    <x v="0"/>
  </r>
  <r>
    <x v="9"/>
    <x v="2"/>
    <x v="2"/>
    <n v="10.25"/>
    <n v="17.831900000000001"/>
    <x v="0"/>
  </r>
  <r>
    <x v="9"/>
    <x v="3"/>
    <x v="3"/>
    <m/>
    <n v="1008"/>
    <x v="0"/>
  </r>
  <r>
    <x v="9"/>
    <x v="4"/>
    <x v="4"/>
    <n v="40"/>
    <n v="548.1395"/>
    <x v="0"/>
  </r>
  <r>
    <x v="9"/>
    <x v="5"/>
    <x v="5"/>
    <m/>
    <n v="50"/>
    <x v="0"/>
  </r>
  <r>
    <x v="10"/>
    <x v="0"/>
    <x v="0"/>
    <m/>
    <n v="123"/>
    <x v="0"/>
  </r>
  <r>
    <x v="10"/>
    <x v="1"/>
    <x v="1"/>
    <m/>
    <n v="0"/>
    <x v="0"/>
  </r>
  <r>
    <x v="10"/>
    <x v="2"/>
    <x v="2"/>
    <m/>
    <n v="58.829900000000002"/>
    <x v="0"/>
  </r>
  <r>
    <x v="10"/>
    <x v="3"/>
    <x v="3"/>
    <m/>
    <n v="648"/>
    <x v="0"/>
  </r>
  <r>
    <x v="10"/>
    <x v="4"/>
    <x v="4"/>
    <m/>
    <n v="700.89970000000005"/>
    <x v="0"/>
  </r>
  <r>
    <x v="10"/>
    <x v="5"/>
    <x v="5"/>
    <m/>
    <n v="50"/>
    <x v="0"/>
  </r>
  <r>
    <x v="11"/>
    <x v="0"/>
    <x v="0"/>
    <m/>
    <n v="191"/>
    <x v="0"/>
  </r>
  <r>
    <x v="11"/>
    <x v="1"/>
    <x v="1"/>
    <n v="1448.55"/>
    <n v="20399.734899999999"/>
    <x v="0"/>
  </r>
  <r>
    <x v="11"/>
    <x v="2"/>
    <x v="2"/>
    <n v="13.1"/>
    <n v="95.560500000000005"/>
    <x v="0"/>
  </r>
  <r>
    <x v="11"/>
    <x v="3"/>
    <x v="3"/>
    <n v="152.08000000000001"/>
    <n v="1008"/>
    <x v="0"/>
  </r>
  <r>
    <x v="11"/>
    <x v="4"/>
    <x v="4"/>
    <n v="408"/>
    <n v="4319.2208000000001"/>
    <x v="0"/>
  </r>
  <r>
    <x v="11"/>
    <x v="5"/>
    <x v="5"/>
    <m/>
    <n v="50"/>
    <x v="0"/>
  </r>
  <r>
    <x v="12"/>
    <x v="0"/>
    <x v="0"/>
    <m/>
    <n v="82"/>
    <x v="0"/>
  </r>
  <r>
    <x v="12"/>
    <x v="1"/>
    <x v="1"/>
    <m/>
    <n v="481.5992"/>
    <x v="0"/>
  </r>
  <r>
    <x v="12"/>
    <x v="2"/>
    <x v="2"/>
    <m/>
    <n v="18.238299999999999"/>
    <x v="0"/>
  </r>
  <r>
    <x v="12"/>
    <x v="3"/>
    <x v="3"/>
    <n v="102.39"/>
    <n v="432"/>
    <x v="0"/>
  </r>
  <r>
    <x v="12"/>
    <x v="4"/>
    <x v="4"/>
    <m/>
    <n v="8.9859000000000009"/>
    <x v="0"/>
  </r>
  <r>
    <x v="12"/>
    <x v="5"/>
    <x v="5"/>
    <m/>
    <n v="50"/>
    <x v="0"/>
  </r>
  <r>
    <x v="13"/>
    <x v="0"/>
    <x v="0"/>
    <m/>
    <n v="96"/>
    <x v="0"/>
  </r>
  <r>
    <x v="13"/>
    <x v="1"/>
    <x v="1"/>
    <m/>
    <n v="444.05349999999999"/>
    <x v="0"/>
  </r>
  <r>
    <x v="13"/>
    <x v="2"/>
    <x v="2"/>
    <n v="47"/>
    <n v="186.19300000000001"/>
    <x v="0"/>
  </r>
  <r>
    <x v="13"/>
    <x v="3"/>
    <x v="3"/>
    <n v="28.82"/>
    <n v="504"/>
    <x v="0"/>
  </r>
  <r>
    <x v="13"/>
    <x v="4"/>
    <x v="4"/>
    <n v="48.07"/>
    <n v="211.50550000000001"/>
    <x v="0"/>
  </r>
  <r>
    <x v="13"/>
    <x v="5"/>
    <x v="5"/>
    <m/>
    <n v="50"/>
    <x v="0"/>
  </r>
  <r>
    <x v="14"/>
    <x v="0"/>
    <x v="0"/>
    <m/>
    <n v="96"/>
    <x v="0"/>
  </r>
  <r>
    <x v="14"/>
    <x v="1"/>
    <x v="1"/>
    <m/>
    <n v="299.28480000000002"/>
    <x v="0"/>
  </r>
  <r>
    <x v="14"/>
    <x v="2"/>
    <x v="2"/>
    <m/>
    <n v="60.252400000000002"/>
    <x v="0"/>
  </r>
  <r>
    <x v="14"/>
    <x v="3"/>
    <x v="3"/>
    <m/>
    <n v="504"/>
    <x v="0"/>
  </r>
  <r>
    <x v="14"/>
    <x v="4"/>
    <x v="4"/>
    <m/>
    <n v="71.887200000000007"/>
    <x v="0"/>
  </r>
  <r>
    <x v="14"/>
    <x v="5"/>
    <x v="5"/>
    <m/>
    <n v="50"/>
    <x v="0"/>
  </r>
  <r>
    <x v="15"/>
    <x v="0"/>
    <x v="0"/>
    <m/>
    <n v="96"/>
    <x v="0"/>
  </r>
  <r>
    <x v="15"/>
    <x v="1"/>
    <x v="1"/>
    <n v="35.53"/>
    <n v="761.41790000000003"/>
    <x v="0"/>
  </r>
  <r>
    <x v="15"/>
    <x v="2"/>
    <x v="2"/>
    <m/>
    <n v="105.5686"/>
    <x v="0"/>
  </r>
  <r>
    <x v="15"/>
    <x v="3"/>
    <x v="3"/>
    <n v="49.46"/>
    <n v="504"/>
    <x v="0"/>
  </r>
  <r>
    <x v="15"/>
    <x v="4"/>
    <x v="4"/>
    <m/>
    <n v="119.3888"/>
    <x v="0"/>
  </r>
  <r>
    <x v="15"/>
    <x v="5"/>
    <x v="5"/>
    <m/>
    <n v="60"/>
    <x v="0"/>
  </r>
  <r>
    <x v="16"/>
    <x v="0"/>
    <x v="0"/>
    <m/>
    <n v="204"/>
    <x v="0"/>
  </r>
  <r>
    <x v="16"/>
    <x v="1"/>
    <x v="1"/>
    <n v="743.16000000000008"/>
    <n v="13544.5077"/>
    <x v="0"/>
  </r>
  <r>
    <x v="16"/>
    <x v="2"/>
    <x v="2"/>
    <m/>
    <n v="97.389399999999995"/>
    <x v="0"/>
  </r>
  <r>
    <x v="16"/>
    <x v="3"/>
    <x v="3"/>
    <n v="126.25"/>
    <n v="1080"/>
    <x v="0"/>
  </r>
  <r>
    <x v="16"/>
    <x v="4"/>
    <x v="4"/>
    <n v="155.04"/>
    <n v="2541.9746"/>
    <x v="0"/>
  </r>
  <r>
    <x v="16"/>
    <x v="5"/>
    <x v="5"/>
    <m/>
    <n v="144"/>
    <x v="0"/>
  </r>
  <r>
    <x v="17"/>
    <x v="0"/>
    <x v="0"/>
    <m/>
    <n v="197"/>
    <x v="0"/>
  </r>
  <r>
    <x v="17"/>
    <x v="1"/>
    <x v="1"/>
    <n v="2909.6400000000003"/>
    <n v="25711.073100000001"/>
    <x v="0"/>
  </r>
  <r>
    <x v="17"/>
    <x v="2"/>
    <x v="2"/>
    <n v="5.55"/>
    <n v="96.779700000000005"/>
    <x v="0"/>
  </r>
  <r>
    <x v="17"/>
    <x v="3"/>
    <x v="3"/>
    <m/>
    <n v="1044"/>
    <x v="0"/>
  </r>
  <r>
    <x v="17"/>
    <x v="4"/>
    <x v="4"/>
    <n v="504"/>
    <n v="3404.5691000000002"/>
    <x v="0"/>
  </r>
  <r>
    <x v="17"/>
    <x v="5"/>
    <x v="5"/>
    <m/>
    <n v="132"/>
    <x v="0"/>
  </r>
  <r>
    <x v="18"/>
    <x v="0"/>
    <x v="0"/>
    <m/>
    <n v="109"/>
    <x v="0"/>
  </r>
  <r>
    <x v="18"/>
    <x v="1"/>
    <x v="1"/>
    <m/>
    <n v="446.2167"/>
    <x v="0"/>
  </r>
  <r>
    <x v="18"/>
    <x v="2"/>
    <x v="2"/>
    <n v="11.5"/>
    <n v="60.506399999999999"/>
    <x v="0"/>
  </r>
  <r>
    <x v="18"/>
    <x v="3"/>
    <x v="3"/>
    <n v="29.96"/>
    <n v="576"/>
    <x v="0"/>
  </r>
  <r>
    <x v="18"/>
    <x v="4"/>
    <x v="4"/>
    <m/>
    <n v="18.275099999999998"/>
    <x v="0"/>
  </r>
  <r>
    <x v="18"/>
    <x v="5"/>
    <x v="5"/>
    <m/>
    <n v="84"/>
    <x v="0"/>
  </r>
  <r>
    <x v="19"/>
    <x v="0"/>
    <x v="0"/>
    <m/>
    <n v="109"/>
    <x v="0"/>
  </r>
  <r>
    <x v="19"/>
    <x v="1"/>
    <x v="1"/>
    <m/>
    <n v="596.98389999999995"/>
    <x v="0"/>
  </r>
  <r>
    <x v="19"/>
    <x v="2"/>
    <x v="2"/>
    <m/>
    <n v="25.401499999999999"/>
    <x v="0"/>
  </r>
  <r>
    <x v="19"/>
    <x v="3"/>
    <x v="3"/>
    <m/>
    <n v="576"/>
    <x v="0"/>
  </r>
  <r>
    <x v="19"/>
    <x v="4"/>
    <x v="4"/>
    <m/>
    <n v="195.83629999999999"/>
    <x v="0"/>
  </r>
  <r>
    <x v="19"/>
    <x v="5"/>
    <x v="5"/>
    <m/>
    <n v="96"/>
    <x v="0"/>
  </r>
  <r>
    <x v="20"/>
    <x v="0"/>
    <x v="0"/>
    <m/>
    <n v="177"/>
    <x v="0"/>
  </r>
  <r>
    <x v="20"/>
    <x v="1"/>
    <x v="1"/>
    <n v="520.71"/>
    <n v="3598.1161000000002"/>
    <x v="0"/>
  </r>
  <r>
    <x v="20"/>
    <x v="2"/>
    <x v="2"/>
    <n v="36.099999999999994"/>
    <n v="3191.4650999999999"/>
    <x v="0"/>
  </r>
  <r>
    <x v="20"/>
    <x v="3"/>
    <x v="3"/>
    <m/>
    <n v="936"/>
    <x v="0"/>
  </r>
  <r>
    <x v="20"/>
    <x v="4"/>
    <x v="4"/>
    <m/>
    <n v="110.13339999999999"/>
    <x v="0"/>
  </r>
  <r>
    <x v="20"/>
    <x v="5"/>
    <x v="5"/>
    <m/>
    <n v="120"/>
    <x v="0"/>
  </r>
  <r>
    <x v="21"/>
    <x v="0"/>
    <x v="0"/>
    <m/>
    <n v="231"/>
    <x v="0"/>
  </r>
  <r>
    <x v="21"/>
    <x v="1"/>
    <x v="1"/>
    <n v="863.41"/>
    <n v="12516.1867"/>
    <x v="0"/>
  </r>
  <r>
    <x v="21"/>
    <x v="2"/>
    <x v="2"/>
    <n v="11.100000000000001"/>
    <n v="88.651200000000003"/>
    <x v="0"/>
  </r>
  <r>
    <x v="21"/>
    <x v="3"/>
    <x v="3"/>
    <n v="84.6"/>
    <n v="1224"/>
    <x v="0"/>
  </r>
  <r>
    <x v="21"/>
    <x v="4"/>
    <x v="4"/>
    <n v="80"/>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2179.4499999999998"/>
    <n v="6660.4917999999998"/>
    <x v="0"/>
  </r>
  <r>
    <x v="23"/>
    <x v="2"/>
    <x v="2"/>
    <m/>
    <n v="35.003300000000003"/>
    <x v="0"/>
  </r>
  <r>
    <x v="23"/>
    <x v="3"/>
    <x v="3"/>
    <n v="169.85"/>
    <n v="1080"/>
    <x v="0"/>
  </r>
  <r>
    <x v="23"/>
    <x v="4"/>
    <x v="4"/>
    <n v="224"/>
    <n v="1275.9969000000001"/>
    <x v="0"/>
  </r>
  <r>
    <x v="23"/>
    <x v="5"/>
    <x v="5"/>
    <m/>
    <n v="50"/>
    <x v="0"/>
  </r>
  <r>
    <x v="24"/>
    <x v="0"/>
    <x v="0"/>
    <m/>
    <n v="116"/>
    <x v="0"/>
  </r>
  <r>
    <x v="24"/>
    <x v="1"/>
    <x v="1"/>
    <m/>
    <n v="126.6735"/>
    <x v="0"/>
  </r>
  <r>
    <x v="24"/>
    <x v="2"/>
    <x v="2"/>
    <n v="41.599999999999909"/>
    <n v="176.1848"/>
    <x v="0"/>
  </r>
  <r>
    <x v="24"/>
    <x v="3"/>
    <x v="3"/>
    <n v="85.12"/>
    <n v="612"/>
    <x v="0"/>
  </r>
  <r>
    <x v="24"/>
    <x v="4"/>
    <x v="4"/>
    <m/>
    <n v="52.792099999999998"/>
    <x v="0"/>
  </r>
  <r>
    <x v="24"/>
    <x v="5"/>
    <x v="5"/>
    <m/>
    <n v="50"/>
    <x v="0"/>
  </r>
  <r>
    <x v="25"/>
    <x v="0"/>
    <x v="0"/>
    <m/>
    <n v="62"/>
    <x v="0"/>
  </r>
  <r>
    <x v="25"/>
    <x v="1"/>
    <x v="1"/>
    <m/>
    <n v="314.78210000000001"/>
    <x v="0"/>
  </r>
  <r>
    <x v="25"/>
    <x v="2"/>
    <x v="2"/>
    <n v="10.75"/>
    <n v="89.565700000000007"/>
    <x v="0"/>
  </r>
  <r>
    <x v="25"/>
    <x v="3"/>
    <x v="3"/>
    <n v="71.92"/>
    <n v="324"/>
    <x v="0"/>
  </r>
  <r>
    <x v="25"/>
    <x v="4"/>
    <x v="4"/>
    <m/>
    <n v="17.612400000000001"/>
    <x v="0"/>
  </r>
  <r>
    <x v="25"/>
    <x v="5"/>
    <x v="5"/>
    <m/>
    <n v="24"/>
    <x v="0"/>
  </r>
  <r>
    <x v="26"/>
    <x v="0"/>
    <x v="0"/>
    <m/>
    <n v="109"/>
    <x v="0"/>
  </r>
  <r>
    <x v="26"/>
    <x v="1"/>
    <x v="1"/>
    <n v="161.45999999999998"/>
    <n v="230.2878"/>
    <x v="0"/>
  </r>
  <r>
    <x v="26"/>
    <x v="2"/>
    <x v="2"/>
    <m/>
    <n v="213.22020000000001"/>
    <x v="0"/>
  </r>
  <r>
    <x v="26"/>
    <x v="3"/>
    <x v="3"/>
    <n v="45.48"/>
    <n v="576"/>
    <x v="0"/>
  </r>
  <r>
    <x v="26"/>
    <x v="4"/>
    <x v="4"/>
    <m/>
    <n v="24.688700000000001"/>
    <x v="0"/>
  </r>
  <r>
    <x v="26"/>
    <x v="5"/>
    <x v="5"/>
    <m/>
    <n v="72"/>
    <x v="0"/>
  </r>
  <r>
    <x v="27"/>
    <x v="0"/>
    <x v="0"/>
    <m/>
    <n v="306"/>
    <x v="0"/>
  </r>
  <r>
    <x v="27"/>
    <x v="1"/>
    <x v="1"/>
    <n v="770.29"/>
    <n v="21334.706099999999"/>
    <x v="0"/>
  </r>
  <r>
    <x v="27"/>
    <x v="2"/>
    <x v="2"/>
    <n v="200.34"/>
    <n v="250.49950000000001"/>
    <x v="0"/>
  </r>
  <r>
    <x v="27"/>
    <x v="3"/>
    <x v="3"/>
    <m/>
    <n v="1620"/>
    <x v="0"/>
  </r>
  <r>
    <x v="27"/>
    <x v="4"/>
    <x v="4"/>
    <n v="32"/>
    <n v="3431.4881999999998"/>
    <x v="0"/>
  </r>
  <r>
    <x v="27"/>
    <x v="5"/>
    <x v="5"/>
    <m/>
    <n v="50"/>
    <x v="0"/>
  </r>
  <r>
    <x v="28"/>
    <x v="0"/>
    <x v="0"/>
    <m/>
    <n v="96"/>
    <x v="0"/>
  </r>
  <r>
    <x v="28"/>
    <x v="1"/>
    <x v="1"/>
    <n v="24.92"/>
    <n v="389.57319999999999"/>
    <x v="0"/>
  </r>
  <r>
    <x v="28"/>
    <x v="2"/>
    <x v="2"/>
    <n v="9.5500000000000007"/>
    <n v="10.2622"/>
    <x v="0"/>
  </r>
  <r>
    <x v="28"/>
    <x v="3"/>
    <x v="3"/>
    <m/>
    <n v="504"/>
    <x v="0"/>
  </r>
  <r>
    <x v="28"/>
    <x v="4"/>
    <x v="4"/>
    <m/>
    <n v="356.78489999999999"/>
    <x v="0"/>
  </r>
  <r>
    <x v="28"/>
    <x v="5"/>
    <x v="5"/>
    <m/>
    <n v="50"/>
    <x v="0"/>
  </r>
  <r>
    <x v="29"/>
    <x v="0"/>
    <x v="0"/>
    <m/>
    <n v="48"/>
    <x v="0"/>
  </r>
  <r>
    <x v="29"/>
    <x v="1"/>
    <x v="1"/>
    <m/>
    <n v="1327.4957999999999"/>
    <x v="0"/>
  </r>
  <r>
    <x v="29"/>
    <x v="2"/>
    <x v="2"/>
    <n v="715"/>
    <n v="7617.3010000000004"/>
    <x v="0"/>
  </r>
  <r>
    <x v="29"/>
    <x v="3"/>
    <x v="3"/>
    <n v="15.98"/>
    <n v="252"/>
    <x v="0"/>
  </r>
  <r>
    <x v="29"/>
    <x v="4"/>
    <x v="4"/>
    <m/>
    <n v="79.671199999999999"/>
    <x v="0"/>
  </r>
  <r>
    <x v="29"/>
    <x v="5"/>
    <x v="5"/>
    <m/>
    <n v="48"/>
    <x v="0"/>
  </r>
  <r>
    <x v="30"/>
    <x v="0"/>
    <x v="0"/>
    <m/>
    <n v="136"/>
    <x v="0"/>
  </r>
  <r>
    <x v="30"/>
    <x v="1"/>
    <x v="1"/>
    <n v="835.13"/>
    <n v="13491.2176"/>
    <x v="0"/>
  </r>
  <r>
    <x v="30"/>
    <x v="2"/>
    <x v="2"/>
    <n v="25.1"/>
    <n v="106.9606"/>
    <x v="0"/>
  </r>
  <r>
    <x v="30"/>
    <x v="3"/>
    <x v="3"/>
    <m/>
    <n v="720"/>
    <x v="0"/>
  </r>
  <r>
    <x v="30"/>
    <x v="4"/>
    <x v="4"/>
    <m/>
    <n v="381.10300000000001"/>
    <x v="0"/>
  </r>
  <r>
    <x v="30"/>
    <x v="5"/>
    <x v="5"/>
    <m/>
    <n v="50"/>
    <x v="0"/>
  </r>
  <r>
    <x v="31"/>
    <x v="0"/>
    <x v="0"/>
    <m/>
    <n v="41"/>
    <x v="0"/>
  </r>
  <r>
    <x v="31"/>
    <x v="1"/>
    <x v="1"/>
    <n v="68.88"/>
    <n v="676.92399999999998"/>
    <x v="0"/>
  </r>
  <r>
    <x v="31"/>
    <x v="2"/>
    <x v="2"/>
    <n v="40"/>
    <n v="568.99369999999999"/>
    <x v="0"/>
  </r>
  <r>
    <x v="31"/>
    <x v="3"/>
    <x v="3"/>
    <m/>
    <n v="216"/>
    <x v="0"/>
  </r>
  <r>
    <x v="31"/>
    <x v="4"/>
    <x v="4"/>
    <m/>
    <n v="55.712499999999999"/>
    <x v="0"/>
  </r>
  <r>
    <x v="31"/>
    <x v="5"/>
    <x v="5"/>
    <m/>
    <n v="24"/>
    <x v="0"/>
  </r>
  <r>
    <x v="32"/>
    <x v="0"/>
    <x v="0"/>
    <m/>
    <n v="96"/>
    <x v="0"/>
  </r>
  <r>
    <x v="32"/>
    <x v="1"/>
    <x v="1"/>
    <m/>
    <n v="95.731899999999996"/>
    <x v="0"/>
  </r>
  <r>
    <x v="32"/>
    <x v="2"/>
    <x v="2"/>
    <n v="128.1"/>
    <n v="2094.4555"/>
    <x v="0"/>
  </r>
  <r>
    <x v="32"/>
    <x v="3"/>
    <x v="3"/>
    <m/>
    <n v="504"/>
    <x v="0"/>
  </r>
  <r>
    <x v="32"/>
    <x v="4"/>
    <x v="4"/>
    <n v="22.75"/>
    <n v="339.98129999999998"/>
    <x v="0"/>
  </r>
  <r>
    <x v="32"/>
    <x v="5"/>
    <x v="5"/>
    <m/>
    <n v="48"/>
    <x v="0"/>
  </r>
  <r>
    <x v="33"/>
    <x v="0"/>
    <x v="0"/>
    <m/>
    <n v="197"/>
    <x v="0"/>
  </r>
  <r>
    <x v="33"/>
    <x v="1"/>
    <x v="1"/>
    <n v="136.03"/>
    <n v="2706.8566999999998"/>
    <x v="0"/>
  </r>
  <r>
    <x v="33"/>
    <x v="2"/>
    <x v="2"/>
    <n v="165.3"/>
    <n v="1391.5451"/>
    <x v="0"/>
  </r>
  <r>
    <x v="33"/>
    <x v="3"/>
    <x v="3"/>
    <m/>
    <n v="1044"/>
    <x v="0"/>
  </r>
  <r>
    <x v="33"/>
    <x v="4"/>
    <x v="4"/>
    <n v="32"/>
    <n v="206.6756"/>
    <x v="0"/>
  </r>
  <r>
    <x v="33"/>
    <x v="5"/>
    <x v="5"/>
    <m/>
    <n v="50"/>
    <x v="0"/>
  </r>
  <r>
    <x v="34"/>
    <x v="0"/>
    <x v="0"/>
    <m/>
    <n v="177"/>
    <x v="0"/>
  </r>
  <r>
    <x v="34"/>
    <x v="1"/>
    <x v="1"/>
    <n v="410.14000000000004"/>
    <n v="6671.7578999999996"/>
    <x v="0"/>
  </r>
  <r>
    <x v="34"/>
    <x v="2"/>
    <x v="2"/>
    <n v="4.5"/>
    <n v="334.5378"/>
    <x v="0"/>
  </r>
  <r>
    <x v="34"/>
    <x v="3"/>
    <x v="3"/>
    <m/>
    <n v="936"/>
    <x v="0"/>
  </r>
  <r>
    <x v="34"/>
    <x v="4"/>
    <x v="4"/>
    <n v="168"/>
    <n v="2588.8809000000001"/>
    <x v="0"/>
  </r>
  <r>
    <x v="34"/>
    <x v="5"/>
    <x v="5"/>
    <m/>
    <n v="96"/>
    <x v="0"/>
  </r>
  <r>
    <x v="35"/>
    <x v="0"/>
    <x v="0"/>
    <m/>
    <n v="62"/>
    <x v="0"/>
  </r>
  <r>
    <x v="35"/>
    <x v="1"/>
    <x v="1"/>
    <m/>
    <n v="16.057500000000001"/>
    <x v="0"/>
  </r>
  <r>
    <x v="35"/>
    <x v="2"/>
    <x v="2"/>
    <n v="255"/>
    <n v="3961.8724000000002"/>
    <x v="0"/>
  </r>
  <r>
    <x v="35"/>
    <x v="3"/>
    <x v="3"/>
    <m/>
    <n v="324"/>
    <x v="0"/>
  </r>
  <r>
    <x v="35"/>
    <x v="4"/>
    <x v="4"/>
    <m/>
    <n v="9.8844999999999992"/>
    <x v="0"/>
  </r>
  <r>
    <x v="35"/>
    <x v="5"/>
    <x v="5"/>
    <m/>
    <n v="60"/>
    <x v="0"/>
  </r>
  <r>
    <x v="36"/>
    <x v="0"/>
    <x v="0"/>
    <m/>
    <n v="96"/>
    <x v="0"/>
  </r>
  <r>
    <x v="36"/>
    <x v="1"/>
    <x v="1"/>
    <n v="81.22999999999999"/>
    <n v="21.6585"/>
    <x v="0"/>
  </r>
  <r>
    <x v="36"/>
    <x v="2"/>
    <x v="2"/>
    <n v="9.5500000000000007"/>
    <n v="17.4254"/>
    <x v="0"/>
  </r>
  <r>
    <x v="36"/>
    <x v="3"/>
    <x v="3"/>
    <m/>
    <n v="504"/>
    <x v="0"/>
  </r>
  <r>
    <x v="36"/>
    <x v="4"/>
    <x v="4"/>
    <n v="42.85"/>
    <n v="173.8546"/>
    <x v="0"/>
  </r>
  <r>
    <x v="36"/>
    <x v="5"/>
    <x v="5"/>
    <m/>
    <n v="84"/>
    <x v="0"/>
  </r>
  <r>
    <x v="37"/>
    <x v="0"/>
    <x v="0"/>
    <m/>
    <n v="89"/>
    <x v="0"/>
  </r>
  <r>
    <x v="37"/>
    <x v="1"/>
    <x v="1"/>
    <m/>
    <n v="498.65159999999997"/>
    <x v="0"/>
  </r>
  <r>
    <x v="37"/>
    <x v="2"/>
    <x v="2"/>
    <m/>
    <n v="30.4818"/>
    <x v="0"/>
  </r>
  <r>
    <x v="37"/>
    <x v="3"/>
    <x v="3"/>
    <m/>
    <n v="468"/>
    <x v="0"/>
  </r>
  <r>
    <x v="37"/>
    <x v="4"/>
    <x v="4"/>
    <m/>
    <n v="153.88339999999999"/>
    <x v="0"/>
  </r>
  <r>
    <x v="37"/>
    <x v="5"/>
    <x v="5"/>
    <m/>
    <n v="60"/>
    <x v="0"/>
  </r>
  <r>
    <x v="38"/>
    <x v="0"/>
    <x v="0"/>
    <m/>
    <n v="204"/>
    <x v="0"/>
  </r>
  <r>
    <x v="38"/>
    <x v="1"/>
    <x v="1"/>
    <n v="682.02"/>
    <n v="13394.651900000001"/>
    <x v="0"/>
  </r>
  <r>
    <x v="38"/>
    <x v="2"/>
    <x v="2"/>
    <n v="7.35"/>
    <n v="67.415599999999998"/>
    <x v="0"/>
  </r>
  <r>
    <x v="38"/>
    <x v="3"/>
    <x v="3"/>
    <n v="47"/>
    <n v="1080"/>
    <x v="0"/>
  </r>
  <r>
    <x v="38"/>
    <x v="4"/>
    <x v="4"/>
    <n v="64"/>
    <n v="561.84299999999996"/>
    <x v="0"/>
  </r>
  <r>
    <x v="38"/>
    <x v="5"/>
    <x v="5"/>
    <m/>
    <n v="50"/>
    <x v="0"/>
  </r>
  <r>
    <x v="39"/>
    <x v="0"/>
    <x v="0"/>
    <m/>
    <n v="109"/>
    <x v="0"/>
  </r>
  <r>
    <x v="39"/>
    <x v="1"/>
    <x v="1"/>
    <n v="465.11"/>
    <n v="6925.3455000000004"/>
    <x v="0"/>
  </r>
  <r>
    <x v="39"/>
    <x v="2"/>
    <x v="2"/>
    <m/>
    <n v="2.4384999999999999"/>
    <x v="0"/>
  </r>
  <r>
    <x v="39"/>
    <x v="3"/>
    <x v="3"/>
    <n v="52.89"/>
    <n v="576"/>
    <x v="0"/>
  </r>
  <r>
    <x v="39"/>
    <x v="4"/>
    <x v="4"/>
    <n v="104"/>
    <n v="2350.4065000000001"/>
    <x v="0"/>
  </r>
  <r>
    <x v="39"/>
    <x v="5"/>
    <x v="5"/>
    <m/>
    <n v="60"/>
    <x v="0"/>
  </r>
  <r>
    <x v="40"/>
    <x v="0"/>
    <x v="0"/>
    <m/>
    <n v="48"/>
    <x v="0"/>
  </r>
  <r>
    <x v="40"/>
    <x v="1"/>
    <x v="1"/>
    <m/>
    <n v="155.28229999999999"/>
    <x v="0"/>
  </r>
  <r>
    <x v="40"/>
    <x v="2"/>
    <x v="2"/>
    <m/>
    <n v="4.8771000000000004"/>
    <x v="0"/>
  </r>
  <r>
    <x v="40"/>
    <x v="3"/>
    <x v="3"/>
    <m/>
    <n v="252"/>
    <x v="0"/>
  </r>
  <r>
    <x v="40"/>
    <x v="4"/>
    <x v="4"/>
    <m/>
    <n v="49.703200000000002"/>
    <x v="0"/>
  </r>
  <r>
    <x v="40"/>
    <x v="5"/>
    <x v="5"/>
    <m/>
    <n v="60"/>
    <x v="0"/>
  </r>
  <r>
    <x v="41"/>
    <x v="0"/>
    <x v="0"/>
    <m/>
    <n v="150"/>
    <x v="0"/>
  </r>
  <r>
    <x v="41"/>
    <x v="1"/>
    <x v="1"/>
    <n v="406.17"/>
    <n v="2262.0223999999998"/>
    <x v="0"/>
  </r>
  <r>
    <x v="41"/>
    <x v="2"/>
    <x v="2"/>
    <n v="12"/>
    <n v="18.289100000000001"/>
    <x v="0"/>
  </r>
  <r>
    <x v="41"/>
    <x v="3"/>
    <x v="3"/>
    <n v="43.69"/>
    <n v="792"/>
    <x v="0"/>
  </r>
  <r>
    <x v="41"/>
    <x v="4"/>
    <x v="4"/>
    <n v="235.47"/>
    <n v="1189.0921000000001"/>
    <x v="0"/>
  </r>
  <r>
    <x v="41"/>
    <x v="5"/>
    <x v="5"/>
    <m/>
    <n v="60"/>
    <x v="0"/>
  </r>
  <r>
    <x v="42"/>
    <x v="0"/>
    <x v="0"/>
    <m/>
    <n v="55"/>
    <x v="0"/>
  </r>
  <r>
    <x v="42"/>
    <x v="1"/>
    <x v="1"/>
    <m/>
    <n v="272.34199999999998"/>
    <x v="0"/>
  </r>
  <r>
    <x v="42"/>
    <x v="2"/>
    <x v="2"/>
    <m/>
    <n v="175.80889999999999"/>
    <x v="0"/>
  </r>
  <r>
    <x v="42"/>
    <x v="3"/>
    <x v="3"/>
    <m/>
    <n v="288"/>
    <x v="0"/>
  </r>
  <r>
    <x v="42"/>
    <x v="4"/>
    <x v="4"/>
    <m/>
    <n v="0"/>
    <x v="0"/>
  </r>
  <r>
    <x v="42"/>
    <x v="5"/>
    <x v="5"/>
    <m/>
    <n v="60"/>
    <x v="0"/>
  </r>
  <r>
    <x v="43"/>
    <x v="0"/>
    <x v="0"/>
    <m/>
    <n v="55"/>
    <x v="0"/>
  </r>
  <r>
    <x v="43"/>
    <x v="1"/>
    <x v="1"/>
    <n v="75.89"/>
    <n v="20.113"/>
    <x v="0"/>
  </r>
  <r>
    <x v="43"/>
    <x v="2"/>
    <x v="2"/>
    <n v="444.61"/>
    <n v="3135.277"/>
    <x v="0"/>
  </r>
  <r>
    <x v="43"/>
    <x v="3"/>
    <x v="3"/>
    <m/>
    <n v="288"/>
    <x v="0"/>
  </r>
  <r>
    <x v="43"/>
    <x v="4"/>
    <x v="4"/>
    <m/>
    <n v="0"/>
    <x v="0"/>
  </r>
  <r>
    <x v="43"/>
    <x v="5"/>
    <x v="5"/>
    <m/>
    <n v="60"/>
    <x v="0"/>
  </r>
  <r>
    <x v="44"/>
    <x v="0"/>
    <x v="0"/>
    <m/>
    <n v="184"/>
    <x v="0"/>
  </r>
  <r>
    <x v="44"/>
    <x v="1"/>
    <x v="1"/>
    <n v="437.03"/>
    <n v="3289.3627999999999"/>
    <x v="0"/>
  </r>
  <r>
    <x v="44"/>
    <x v="2"/>
    <x v="2"/>
    <m/>
    <n v="72.292699999999996"/>
    <x v="0"/>
  </r>
  <r>
    <x v="44"/>
    <x v="3"/>
    <x v="3"/>
    <n v="65.489999999999995"/>
    <n v="972"/>
    <x v="0"/>
  </r>
  <r>
    <x v="44"/>
    <x v="4"/>
    <x v="4"/>
    <n v="80"/>
    <n v="376.82350000000002"/>
    <x v="0"/>
  </r>
  <r>
    <x v="44"/>
    <x v="5"/>
    <x v="5"/>
    <m/>
    <n v="96"/>
    <x v="0"/>
  </r>
  <r>
    <x v="45"/>
    <x v="0"/>
    <x v="0"/>
    <m/>
    <n v="191"/>
    <x v="0"/>
  </r>
  <r>
    <x v="45"/>
    <x v="1"/>
    <x v="1"/>
    <n v="766.81999999999994"/>
    <n v="3801.8164000000002"/>
    <x v="0"/>
  </r>
  <r>
    <x v="45"/>
    <x v="2"/>
    <x v="2"/>
    <n v="6.85"/>
    <n v="28.6021"/>
    <x v="0"/>
  </r>
  <r>
    <x v="45"/>
    <x v="3"/>
    <x v="3"/>
    <m/>
    <n v="1008"/>
    <x v="0"/>
  </r>
  <r>
    <x v="45"/>
    <x v="4"/>
    <x v="4"/>
    <n v="96"/>
    <n v="323.49220000000003"/>
    <x v="0"/>
  </r>
  <r>
    <x v="45"/>
    <x v="5"/>
    <x v="5"/>
    <m/>
    <n v="96"/>
    <x v="0"/>
  </r>
  <r>
    <x v="46"/>
    <x v="0"/>
    <x v="0"/>
    <m/>
    <n v="55"/>
    <x v="0"/>
  </r>
  <r>
    <x v="46"/>
    <x v="1"/>
    <x v="1"/>
    <m/>
    <n v="1559.5181"/>
    <x v="0"/>
  </r>
  <r>
    <x v="46"/>
    <x v="2"/>
    <x v="2"/>
    <n v="318"/>
    <n v="3138.8737999999998"/>
    <x v="0"/>
  </r>
  <r>
    <x v="46"/>
    <x v="3"/>
    <x v="3"/>
    <n v="103.75"/>
    <n v="288"/>
    <x v="0"/>
  </r>
  <r>
    <x v="46"/>
    <x v="4"/>
    <x v="4"/>
    <m/>
    <n v="69.505899999999997"/>
    <x v="0"/>
  </r>
  <r>
    <x v="46"/>
    <x v="5"/>
    <x v="5"/>
    <m/>
    <n v="36"/>
    <x v="0"/>
  </r>
  <r>
    <x v="47"/>
    <x v="0"/>
    <x v="0"/>
    <m/>
    <n v="75"/>
    <x v="0"/>
  </r>
  <r>
    <x v="47"/>
    <x v="1"/>
    <x v="1"/>
    <m/>
    <n v="153.1328"/>
    <x v="0"/>
  </r>
  <r>
    <x v="47"/>
    <x v="2"/>
    <x v="2"/>
    <n v="229.4"/>
    <n v="143.06129999999999"/>
    <x v="0"/>
  </r>
  <r>
    <x v="47"/>
    <x v="3"/>
    <x v="3"/>
    <m/>
    <n v="396"/>
    <x v="0"/>
  </r>
  <r>
    <x v="47"/>
    <x v="4"/>
    <x v="4"/>
    <n v="24.62"/>
    <n v="31.450600000000001"/>
    <x v="0"/>
  </r>
  <r>
    <x v="47"/>
    <x v="5"/>
    <x v="5"/>
    <m/>
    <n v="48"/>
    <x v="0"/>
  </r>
  <r>
    <x v="48"/>
    <x v="0"/>
    <x v="0"/>
    <m/>
    <n v="82"/>
    <x v="0"/>
  </r>
  <r>
    <x v="48"/>
    <x v="1"/>
    <x v="1"/>
    <m/>
    <n v="145.97540000000001"/>
    <x v="0"/>
  </r>
  <r>
    <x v="48"/>
    <x v="2"/>
    <x v="2"/>
    <m/>
    <n v="22.4041"/>
    <x v="0"/>
  </r>
  <r>
    <x v="48"/>
    <x v="3"/>
    <x v="3"/>
    <m/>
    <n v="432"/>
    <x v="0"/>
  </r>
  <r>
    <x v="48"/>
    <x v="4"/>
    <x v="4"/>
    <m/>
    <n v="15.1637"/>
    <x v="0"/>
  </r>
  <r>
    <x v="48"/>
    <x v="5"/>
    <x v="5"/>
    <m/>
    <n v="60"/>
    <x v="0"/>
  </r>
  <r>
    <x v="49"/>
    <x v="0"/>
    <x v="0"/>
    <m/>
    <n v="62"/>
    <x v="0"/>
  </r>
  <r>
    <x v="49"/>
    <x v="1"/>
    <x v="1"/>
    <n v="95.6"/>
    <n v="224.0899"/>
    <x v="0"/>
  </r>
  <r>
    <x v="49"/>
    <x v="2"/>
    <x v="2"/>
    <m/>
    <n v="9.6525999999999996"/>
    <x v="0"/>
  </r>
  <r>
    <x v="49"/>
    <x v="3"/>
    <x v="3"/>
    <m/>
    <n v="324"/>
    <x v="0"/>
  </r>
  <r>
    <x v="49"/>
    <x v="4"/>
    <x v="4"/>
    <n v="8"/>
    <n v="314.50630000000001"/>
    <x v="0"/>
  </r>
  <r>
    <x v="49"/>
    <x v="5"/>
    <x v="5"/>
    <m/>
    <n v="36"/>
    <x v="0"/>
  </r>
  <r>
    <x v="50"/>
    <x v="0"/>
    <x v="0"/>
    <m/>
    <n v="102"/>
    <x v="0"/>
  </r>
  <r>
    <x v="50"/>
    <x v="1"/>
    <x v="1"/>
    <m/>
    <n v="345.98660000000001"/>
    <x v="0"/>
  </r>
  <r>
    <x v="50"/>
    <x v="2"/>
    <x v="2"/>
    <m/>
    <n v="38.610300000000002"/>
    <x v="0"/>
  </r>
  <r>
    <x v="50"/>
    <x v="3"/>
    <x v="3"/>
    <m/>
    <n v="540"/>
    <x v="0"/>
  </r>
  <r>
    <x v="50"/>
    <x v="4"/>
    <x v="4"/>
    <n v="216"/>
    <n v="2394.7406999999998"/>
    <x v="0"/>
  </r>
  <r>
    <x v="50"/>
    <x v="5"/>
    <x v="5"/>
    <m/>
    <n v="72"/>
    <x v="0"/>
  </r>
  <r>
    <x v="51"/>
    <x v="0"/>
    <x v="0"/>
    <m/>
    <n v="75"/>
    <x v="0"/>
  </r>
  <r>
    <x v="51"/>
    <x v="1"/>
    <x v="1"/>
    <n v="45.75"/>
    <n v="524.94200000000001"/>
    <x v="0"/>
  </r>
  <r>
    <x v="51"/>
    <x v="2"/>
    <x v="2"/>
    <n v="4.2"/>
    <n v="27.332000000000001"/>
    <x v="0"/>
  </r>
  <r>
    <x v="51"/>
    <x v="3"/>
    <x v="3"/>
    <n v="70"/>
    <n v="396"/>
    <x v="0"/>
  </r>
  <r>
    <x v="51"/>
    <x v="4"/>
    <x v="4"/>
    <m/>
    <n v="145.0436"/>
    <x v="0"/>
  </r>
  <r>
    <x v="51"/>
    <x v="5"/>
    <x v="5"/>
    <m/>
    <n v="60"/>
    <x v="0"/>
  </r>
  <r>
    <x v="52"/>
    <x v="0"/>
    <x v="0"/>
    <m/>
    <n v="123"/>
    <x v="0"/>
  </r>
  <r>
    <x v="52"/>
    <x v="1"/>
    <x v="1"/>
    <n v="9.59"/>
    <n v="171.66739999999999"/>
    <x v="0"/>
  </r>
  <r>
    <x v="52"/>
    <x v="2"/>
    <x v="2"/>
    <n v="3"/>
    <n v="86.669899999999998"/>
    <x v="0"/>
  </r>
  <r>
    <x v="52"/>
    <x v="3"/>
    <x v="3"/>
    <n v="29.33"/>
    <n v="648"/>
    <x v="0"/>
  </r>
  <r>
    <x v="52"/>
    <x v="4"/>
    <x v="4"/>
    <n v="27.8"/>
    <n v="67.596400000000003"/>
    <x v="0"/>
  </r>
  <r>
    <x v="52"/>
    <x v="5"/>
    <x v="5"/>
    <n v="10.7"/>
    <n v="108"/>
    <x v="0"/>
  </r>
  <r>
    <x v="53"/>
    <x v="0"/>
    <x v="0"/>
    <m/>
    <n v="136"/>
    <x v="0"/>
  </r>
  <r>
    <x v="53"/>
    <x v="1"/>
    <x v="1"/>
    <n v="77.28"/>
    <n v="309.3818"/>
    <x v="0"/>
  </r>
  <r>
    <x v="53"/>
    <x v="2"/>
    <x v="2"/>
    <n v="17.5"/>
    <n v="87.533600000000007"/>
    <x v="0"/>
  </r>
  <r>
    <x v="53"/>
    <x v="3"/>
    <x v="3"/>
    <n v="75.959999999999994"/>
    <n v="720"/>
    <x v="0"/>
  </r>
  <r>
    <x v="53"/>
    <x v="4"/>
    <x v="4"/>
    <n v="8"/>
    <n v="45.479900000000001"/>
    <x v="0"/>
  </r>
  <r>
    <x v="53"/>
    <x v="5"/>
    <x v="5"/>
    <m/>
    <n v="84"/>
    <x v="0"/>
  </r>
  <r>
    <x v="54"/>
    <x v="0"/>
    <x v="0"/>
    <m/>
    <n v="211"/>
    <x v="0"/>
  </r>
  <r>
    <x v="54"/>
    <x v="1"/>
    <x v="1"/>
    <n v="1693.26"/>
    <n v="18526.6486"/>
    <x v="0"/>
  </r>
  <r>
    <x v="54"/>
    <x v="2"/>
    <x v="2"/>
    <n v="9"/>
    <n v="536.47969999999998"/>
    <x v="0"/>
  </r>
  <r>
    <x v="54"/>
    <x v="3"/>
    <x v="3"/>
    <m/>
    <n v="1116"/>
    <x v="0"/>
  </r>
  <r>
    <x v="54"/>
    <x v="4"/>
    <x v="4"/>
    <n v="352"/>
    <n v="4025.5167999999999"/>
    <x v="0"/>
  </r>
  <r>
    <x v="54"/>
    <x v="5"/>
    <x v="5"/>
    <m/>
    <n v="108"/>
    <x v="0"/>
  </r>
  <r>
    <x v="55"/>
    <x v="0"/>
    <x v="0"/>
    <m/>
    <n v="123"/>
    <x v="0"/>
  </r>
  <r>
    <x v="55"/>
    <x v="1"/>
    <x v="1"/>
    <n v="43.34"/>
    <n v="91.813900000000004"/>
    <x v="0"/>
  </r>
  <r>
    <x v="55"/>
    <x v="2"/>
    <x v="2"/>
    <n v="9.6"/>
    <n v="29.922999999999998"/>
    <x v="0"/>
  </r>
  <r>
    <x v="55"/>
    <x v="3"/>
    <x v="3"/>
    <m/>
    <n v="648"/>
    <x v="0"/>
  </r>
  <r>
    <x v="55"/>
    <x v="4"/>
    <x v="4"/>
    <n v="39.979999999999997"/>
    <n v="31.225999999999999"/>
    <x v="0"/>
  </r>
  <r>
    <x v="55"/>
    <x v="5"/>
    <x v="5"/>
    <m/>
    <n v="60"/>
    <x v="0"/>
  </r>
  <r>
    <x v="56"/>
    <x v="0"/>
    <x v="0"/>
    <m/>
    <n v="62"/>
    <x v="0"/>
  </r>
  <r>
    <x v="56"/>
    <x v="1"/>
    <x v="1"/>
    <m/>
    <n v="371.4513"/>
    <x v="0"/>
  </r>
  <r>
    <x v="56"/>
    <x v="2"/>
    <x v="2"/>
    <m/>
    <n v="47.754800000000003"/>
    <x v="0"/>
  </r>
  <r>
    <x v="56"/>
    <x v="3"/>
    <x v="3"/>
    <m/>
    <n v="324"/>
    <x v="0"/>
  </r>
  <r>
    <x v="56"/>
    <x v="4"/>
    <x v="4"/>
    <n v="38.450000000000003"/>
    <n v="177.84209999999999"/>
    <x v="0"/>
  </r>
  <r>
    <x v="56"/>
    <x v="5"/>
    <x v="5"/>
    <m/>
    <n v="60"/>
    <x v="0"/>
  </r>
  <r>
    <x v="57"/>
    <x v="0"/>
    <x v="0"/>
    <m/>
    <n v="96"/>
    <x v="0"/>
  </r>
  <r>
    <x v="57"/>
    <x v="1"/>
    <x v="1"/>
    <n v="65.27"/>
    <n v="590.07249999999999"/>
    <x v="0"/>
  </r>
  <r>
    <x v="57"/>
    <x v="2"/>
    <x v="2"/>
    <m/>
    <n v="34.8001"/>
    <x v="0"/>
  </r>
  <r>
    <x v="57"/>
    <x v="3"/>
    <x v="3"/>
    <m/>
    <n v="504"/>
    <x v="0"/>
  </r>
  <r>
    <x v="57"/>
    <x v="4"/>
    <x v="4"/>
    <n v="31.6"/>
    <n v="64.698400000000007"/>
    <x v="0"/>
  </r>
  <r>
    <x v="57"/>
    <x v="5"/>
    <x v="5"/>
    <m/>
    <n v="60"/>
    <x v="0"/>
  </r>
  <r>
    <x v="58"/>
    <x v="0"/>
    <x v="0"/>
    <m/>
    <n v="89"/>
    <x v="0"/>
  </r>
  <r>
    <x v="58"/>
    <x v="1"/>
    <x v="1"/>
    <m/>
    <n v="207.9914"/>
    <x v="0"/>
  </r>
  <r>
    <x v="58"/>
    <x v="2"/>
    <x v="2"/>
    <n v="21.049999999999955"/>
    <n v="65.231099999999998"/>
    <x v="0"/>
  </r>
  <r>
    <x v="58"/>
    <x v="3"/>
    <x v="3"/>
    <n v="81.2"/>
    <n v="468"/>
    <x v="0"/>
  </r>
  <r>
    <x v="58"/>
    <x v="4"/>
    <x v="4"/>
    <m/>
    <n v="0"/>
    <x v="0"/>
  </r>
  <r>
    <x v="58"/>
    <x v="5"/>
    <x v="5"/>
    <m/>
    <n v="60"/>
    <x v="0"/>
  </r>
  <r>
    <x v="59"/>
    <x v="0"/>
    <x v="0"/>
    <m/>
    <n v="62"/>
    <x v="0"/>
  </r>
  <r>
    <x v="59"/>
    <x v="1"/>
    <x v="1"/>
    <m/>
    <n v="85.011700000000005"/>
    <x v="0"/>
  </r>
  <r>
    <x v="59"/>
    <x v="2"/>
    <x v="2"/>
    <m/>
    <n v="40.845599999999997"/>
    <x v="0"/>
  </r>
  <r>
    <x v="59"/>
    <x v="3"/>
    <x v="3"/>
    <m/>
    <n v="324"/>
    <x v="0"/>
  </r>
  <r>
    <x v="59"/>
    <x v="4"/>
    <x v="4"/>
    <m/>
    <n v="37.066800000000001"/>
    <x v="0"/>
  </r>
  <r>
    <x v="59"/>
    <x v="5"/>
    <x v="5"/>
    <m/>
    <n v="48"/>
    <x v="0"/>
  </r>
  <r>
    <x v="60"/>
    <x v="0"/>
    <x v="0"/>
    <m/>
    <n v="177"/>
    <x v="0"/>
  </r>
  <r>
    <x v="60"/>
    <x v="1"/>
    <x v="1"/>
    <n v="437.65999999999997"/>
    <n v="4378.9534999999996"/>
    <x v="0"/>
  </r>
  <r>
    <x v="60"/>
    <x v="2"/>
    <x v="2"/>
    <m/>
    <n v="35.765300000000003"/>
    <x v="0"/>
  </r>
  <r>
    <x v="60"/>
    <x v="3"/>
    <x v="3"/>
    <n v="24.5"/>
    <n v="936"/>
    <x v="0"/>
  </r>
  <r>
    <x v="60"/>
    <x v="4"/>
    <x v="4"/>
    <n v="104"/>
    <n v="844.67399999999998"/>
    <x v="0"/>
  </r>
  <r>
    <x v="60"/>
    <x v="5"/>
    <x v="5"/>
    <m/>
    <n v="68"/>
    <x v="0"/>
  </r>
  <r>
    <x v="61"/>
    <x v="0"/>
    <x v="0"/>
    <m/>
    <n v="102"/>
    <x v="0"/>
  </r>
  <r>
    <x v="61"/>
    <x v="1"/>
    <x v="1"/>
    <n v="28.06"/>
    <n v="237.58430000000001"/>
    <x v="0"/>
  </r>
  <r>
    <x v="61"/>
    <x v="2"/>
    <x v="2"/>
    <m/>
    <n v="46.332299999999996"/>
    <x v="0"/>
  </r>
  <r>
    <x v="61"/>
    <x v="3"/>
    <x v="3"/>
    <n v="47.57"/>
    <n v="540"/>
    <x v="0"/>
  </r>
  <r>
    <x v="61"/>
    <x v="4"/>
    <x v="4"/>
    <m/>
    <n v="48.2879"/>
    <x v="0"/>
  </r>
  <r>
    <x v="61"/>
    <x v="5"/>
    <x v="5"/>
    <m/>
    <n v="60"/>
    <x v="0"/>
  </r>
  <r>
    <x v="62"/>
    <x v="0"/>
    <x v="0"/>
    <m/>
    <n v="245"/>
    <x v="0"/>
  </r>
  <r>
    <x v="62"/>
    <x v="1"/>
    <x v="1"/>
    <n v="219.8"/>
    <n v="2041.492"/>
    <x v="0"/>
  </r>
  <r>
    <x v="62"/>
    <x v="2"/>
    <x v="2"/>
    <m/>
    <n v="191.32409999999999"/>
    <x v="0"/>
  </r>
  <r>
    <x v="62"/>
    <x v="3"/>
    <x v="3"/>
    <n v="93.22"/>
    <n v="1296"/>
    <x v="0"/>
  </r>
  <r>
    <x v="62"/>
    <x v="4"/>
    <x v="4"/>
    <n v="16"/>
    <n v="707.0326"/>
    <x v="0"/>
  </r>
  <r>
    <x v="62"/>
    <x v="5"/>
    <x v="5"/>
    <m/>
    <n v="108"/>
    <x v="0"/>
  </r>
  <r>
    <x v="63"/>
    <x v="0"/>
    <x v="0"/>
    <m/>
    <n v="191"/>
    <x v="0"/>
  </r>
  <r>
    <x v="63"/>
    <x v="1"/>
    <x v="1"/>
    <n v="1230.7700000000002"/>
    <n v="13918.9046"/>
    <x v="0"/>
  </r>
  <r>
    <x v="63"/>
    <x v="2"/>
    <x v="2"/>
    <m/>
    <n v="86.669899999999998"/>
    <x v="0"/>
  </r>
  <r>
    <x v="63"/>
    <x v="3"/>
    <x v="3"/>
    <m/>
    <n v="1008"/>
    <x v="0"/>
  </r>
  <r>
    <x v="63"/>
    <x v="4"/>
    <x v="4"/>
    <n v="408"/>
    <n v="4384.0315000000001"/>
    <x v="0"/>
  </r>
  <r>
    <x v="63"/>
    <x v="5"/>
    <x v="5"/>
    <m/>
    <n v="84"/>
    <x v="0"/>
  </r>
  <r>
    <x v="64"/>
    <x v="0"/>
    <x v="0"/>
    <m/>
    <n v="96"/>
    <x v="0"/>
  </r>
  <r>
    <x v="64"/>
    <x v="1"/>
    <x v="1"/>
    <m/>
    <n v="82.6113"/>
    <x v="0"/>
  </r>
  <r>
    <x v="64"/>
    <x v="2"/>
    <x v="2"/>
    <m/>
    <n v="1465.4635000000001"/>
    <x v="0"/>
  </r>
  <r>
    <x v="64"/>
    <x v="3"/>
    <x v="3"/>
    <n v="40.86"/>
    <n v="504"/>
    <x v="0"/>
  </r>
  <r>
    <x v="64"/>
    <x v="4"/>
    <x v="4"/>
    <m/>
    <n v="91.117000000000004"/>
    <x v="0"/>
  </r>
  <r>
    <x v="64"/>
    <x v="5"/>
    <x v="5"/>
    <n v="5.99"/>
    <n v="72"/>
    <x v="0"/>
  </r>
  <r>
    <x v="65"/>
    <x v="0"/>
    <x v="0"/>
    <m/>
    <n v="41"/>
    <x v="0"/>
  </r>
  <r>
    <x v="65"/>
    <x v="1"/>
    <x v="1"/>
    <m/>
    <n v="54.475000000000001"/>
    <x v="0"/>
  </r>
  <r>
    <x v="65"/>
    <x v="2"/>
    <x v="2"/>
    <n v="12"/>
    <n v="21.7897"/>
    <x v="0"/>
  </r>
  <r>
    <x v="65"/>
    <x v="3"/>
    <x v="3"/>
    <m/>
    <n v="216"/>
    <x v="0"/>
  </r>
  <r>
    <x v="65"/>
    <x v="4"/>
    <x v="4"/>
    <m/>
    <n v="0"/>
    <x v="0"/>
  </r>
  <r>
    <x v="65"/>
    <x v="5"/>
    <x v="5"/>
    <m/>
    <n v="36"/>
    <x v="0"/>
  </r>
  <r>
    <x v="66"/>
    <x v="0"/>
    <x v="0"/>
    <m/>
    <n v="89"/>
    <x v="0"/>
  </r>
  <r>
    <x v="66"/>
    <x v="1"/>
    <x v="1"/>
    <n v="49.839999999999996"/>
    <n v="575.94579999999996"/>
    <x v="0"/>
  </r>
  <r>
    <x v="66"/>
    <x v="2"/>
    <x v="2"/>
    <n v="12"/>
    <n v="117.47199999999999"/>
    <x v="0"/>
  </r>
  <r>
    <x v="66"/>
    <x v="3"/>
    <x v="3"/>
    <n v="34.549999999999997"/>
    <n v="468"/>
    <x v="0"/>
  </r>
  <r>
    <x v="66"/>
    <x v="4"/>
    <x v="4"/>
    <m/>
    <n v="37.061999999999998"/>
    <x v="0"/>
  </r>
  <r>
    <x v="66"/>
    <x v="5"/>
    <x v="5"/>
    <m/>
    <n v="36"/>
    <x v="0"/>
  </r>
  <r>
    <x v="67"/>
    <x v="0"/>
    <x v="0"/>
    <m/>
    <n v="55"/>
    <x v="0"/>
  </r>
  <r>
    <x v="67"/>
    <x v="1"/>
    <x v="1"/>
    <m/>
    <n v="61.7639"/>
    <x v="0"/>
  </r>
  <r>
    <x v="67"/>
    <x v="2"/>
    <x v="2"/>
    <n v="0"/>
    <n v="629.95730000000003"/>
    <x v="0"/>
  </r>
  <r>
    <x v="67"/>
    <x v="3"/>
    <x v="3"/>
    <n v="15.95"/>
    <n v="288"/>
    <x v="0"/>
  </r>
  <r>
    <x v="67"/>
    <x v="4"/>
    <x v="4"/>
    <m/>
    <n v="35"/>
    <x v="0"/>
  </r>
  <r>
    <x v="67"/>
    <x v="5"/>
    <x v="5"/>
    <m/>
    <n v="36"/>
    <x v="0"/>
  </r>
  <r>
    <x v="68"/>
    <x v="0"/>
    <x v="0"/>
    <m/>
    <n v="0"/>
    <x v="0"/>
  </r>
  <r>
    <x v="68"/>
    <x v="1"/>
    <x v="1"/>
    <m/>
    <n v="0"/>
    <x v="0"/>
  </r>
  <r>
    <x v="68"/>
    <x v="2"/>
    <x v="2"/>
    <m/>
    <n v="0"/>
    <x v="0"/>
  </r>
  <r>
    <x v="68"/>
    <x v="3"/>
    <x v="3"/>
    <n v="21.57"/>
    <n v="0"/>
    <x v="0"/>
  </r>
  <r>
    <x v="68"/>
    <x v="4"/>
    <x v="4"/>
    <m/>
    <n v="0"/>
    <x v="0"/>
  </r>
  <r>
    <x v="68"/>
    <x v="5"/>
    <x v="5"/>
    <m/>
    <n v="0"/>
    <x v="0"/>
  </r>
  <r>
    <x v="69"/>
    <x v="0"/>
    <x v="0"/>
    <m/>
    <n v="68"/>
    <x v="0"/>
  </r>
  <r>
    <x v="69"/>
    <x v="1"/>
    <x v="1"/>
    <m/>
    <n v="0"/>
    <x v="0"/>
  </r>
  <r>
    <x v="69"/>
    <x v="2"/>
    <x v="2"/>
    <n v="14"/>
    <n v="204.4821"/>
    <x v="0"/>
  </r>
  <r>
    <x v="69"/>
    <x v="3"/>
    <x v="3"/>
    <n v="91.99"/>
    <n v="360"/>
    <x v="0"/>
  </r>
  <r>
    <x v="69"/>
    <x v="4"/>
    <x v="4"/>
    <n v="61.239999999999995"/>
    <n v="263.4776"/>
    <x v="0"/>
  </r>
  <r>
    <x v="69"/>
    <x v="5"/>
    <x v="5"/>
    <m/>
    <n v="36"/>
    <x v="0"/>
  </r>
  <r>
    <x v="70"/>
    <x v="0"/>
    <x v="0"/>
    <m/>
    <n v="62"/>
    <x v="0"/>
  </r>
  <r>
    <x v="70"/>
    <x v="1"/>
    <x v="1"/>
    <m/>
    <n v="472.71570000000003"/>
    <x v="0"/>
  </r>
  <r>
    <x v="70"/>
    <x v="2"/>
    <x v="2"/>
    <n v="8.65"/>
    <n v="63.656199999999998"/>
    <x v="0"/>
  </r>
  <r>
    <x v="70"/>
    <x v="3"/>
    <x v="3"/>
    <m/>
    <n v="324"/>
    <x v="0"/>
  </r>
  <r>
    <x v="70"/>
    <x v="4"/>
    <x v="4"/>
    <m/>
    <n v="185"/>
    <x v="0"/>
  </r>
  <r>
    <x v="70"/>
    <x v="5"/>
    <x v="5"/>
    <m/>
    <n v="36"/>
    <x v="0"/>
  </r>
  <r>
    <x v="71"/>
    <x v="0"/>
    <x v="0"/>
    <m/>
    <n v="75"/>
    <x v="0"/>
  </r>
  <r>
    <x v="71"/>
    <x v="1"/>
    <x v="1"/>
    <m/>
    <n v="818.41809999999998"/>
    <x v="0"/>
  </r>
  <r>
    <x v="71"/>
    <x v="2"/>
    <x v="2"/>
    <n v="70"/>
    <n v="446.84289999999999"/>
    <x v="0"/>
  </r>
  <r>
    <x v="71"/>
    <x v="3"/>
    <x v="3"/>
    <n v="58.05"/>
    <n v="396"/>
    <x v="0"/>
  </r>
  <r>
    <x v="71"/>
    <x v="4"/>
    <x v="4"/>
    <n v="59.96"/>
    <n v="1385.242"/>
    <x v="0"/>
  </r>
  <r>
    <x v="71"/>
    <x v="5"/>
    <x v="5"/>
    <m/>
    <n v="36"/>
    <x v="0"/>
  </r>
  <r>
    <x v="72"/>
    <x v="0"/>
    <x v="0"/>
    <m/>
    <n v="41"/>
    <x v="0"/>
  </r>
  <r>
    <x v="72"/>
    <x v="1"/>
    <x v="1"/>
    <n v="205.94"/>
    <n v="1252.5023000000001"/>
    <x v="0"/>
  </r>
  <r>
    <x v="72"/>
    <x v="2"/>
    <x v="2"/>
    <n v="4.5"/>
    <n v="117.47199999999999"/>
    <x v="0"/>
  </r>
  <r>
    <x v="72"/>
    <x v="3"/>
    <x v="3"/>
    <m/>
    <n v="216"/>
    <x v="0"/>
  </r>
  <r>
    <x v="72"/>
    <x v="4"/>
    <x v="4"/>
    <n v="13.99"/>
    <n v="53.4773"/>
    <x v="0"/>
  </r>
  <r>
    <x v="72"/>
    <x v="5"/>
    <x v="5"/>
    <m/>
    <n v="36"/>
    <x v="0"/>
  </r>
  <r>
    <x v="73"/>
    <x v="0"/>
    <x v="0"/>
    <m/>
    <n v="82"/>
    <x v="0"/>
  </r>
  <r>
    <x v="73"/>
    <x v="1"/>
    <x v="1"/>
    <m/>
    <n v="1499.8046999999999"/>
    <x v="0"/>
  </r>
  <r>
    <x v="73"/>
    <x v="2"/>
    <x v="2"/>
    <n v="13"/>
    <n v="489.46660000000003"/>
    <x v="0"/>
  </r>
  <r>
    <x v="73"/>
    <x v="3"/>
    <x v="3"/>
    <n v="33"/>
    <n v="432"/>
    <x v="0"/>
  </r>
  <r>
    <x v="73"/>
    <x v="4"/>
    <x v="4"/>
    <n v="85.300000000000011"/>
    <n v="81.232500000000002"/>
    <x v="0"/>
  </r>
  <r>
    <x v="73"/>
    <x v="5"/>
    <x v="5"/>
    <m/>
    <n v="36"/>
    <x v="0"/>
  </r>
  <r>
    <x v="74"/>
    <x v="0"/>
    <x v="0"/>
    <m/>
    <n v="0"/>
    <x v="0"/>
  </r>
  <r>
    <x v="74"/>
    <x v="1"/>
    <x v="1"/>
    <m/>
    <n v="0"/>
    <x v="0"/>
  </r>
  <r>
    <x v="74"/>
    <x v="2"/>
    <x v="2"/>
    <m/>
    <n v="0"/>
    <x v="0"/>
  </r>
  <r>
    <x v="74"/>
    <x v="3"/>
    <x v="3"/>
    <m/>
    <n v="0"/>
    <x v="0"/>
  </r>
  <r>
    <x v="74"/>
    <x v="4"/>
    <x v="4"/>
    <m/>
    <n v="0"/>
    <x v="0"/>
  </r>
  <r>
    <x v="74"/>
    <x v="5"/>
    <x v="5"/>
    <m/>
    <n v="0"/>
    <x v="0"/>
  </r>
  <r>
    <x v="75"/>
    <x v="0"/>
    <x v="0"/>
    <m/>
    <n v="62"/>
    <x v="0"/>
  </r>
  <r>
    <x v="75"/>
    <x v="1"/>
    <x v="1"/>
    <m/>
    <n v="356.63709999999998"/>
    <x v="0"/>
  </r>
  <r>
    <x v="75"/>
    <x v="2"/>
    <x v="2"/>
    <n v="7.2"/>
    <n v="97.893299999999996"/>
    <x v="0"/>
  </r>
  <r>
    <x v="75"/>
    <x v="3"/>
    <x v="3"/>
    <m/>
    <n v="324"/>
    <x v="0"/>
  </r>
  <r>
    <x v="75"/>
    <x v="4"/>
    <x v="4"/>
    <m/>
    <n v="31.290099999999999"/>
    <x v="0"/>
  </r>
  <r>
    <x v="75"/>
    <x v="5"/>
    <x v="5"/>
    <m/>
    <n v="36"/>
    <x v="0"/>
  </r>
</pivotCacheRecords>
</file>

<file path=xl/pivotCache/pivotCacheRecords2.xml><?xml version="1.0" encoding="utf-8"?>
<pivotCacheRecords xmlns="http://schemas.openxmlformats.org/spreadsheetml/2006/main" xmlns:r="http://schemas.openxmlformats.org/officeDocument/2006/relationships" count="412">
  <r>
    <x v="0"/>
    <n v="176818302"/>
    <x v="0"/>
    <x v="0"/>
    <x v="0"/>
    <x v="0"/>
    <x v="0"/>
    <n v="55.37"/>
    <x v="0"/>
    <s v="CASA MATRIZ"/>
    <x v="0"/>
    <x v="0"/>
    <x v="0"/>
    <x v="0"/>
  </r>
  <r>
    <x v="0"/>
    <n v="176818302"/>
    <x v="1"/>
    <x v="0"/>
    <x v="1"/>
    <x v="1"/>
    <x v="0"/>
    <n v="73.349999999999994"/>
    <x v="0"/>
    <s v="PAITILLA"/>
    <x v="0"/>
    <x v="0"/>
    <x v="1"/>
    <x v="1"/>
  </r>
  <r>
    <x v="1"/>
    <n v="176093323"/>
    <x v="2"/>
    <x v="0"/>
    <x v="1"/>
    <x v="2"/>
    <x v="0"/>
    <n v="25.11"/>
    <x v="1"/>
    <s v="PAITILLA"/>
    <x v="0"/>
    <x v="1"/>
    <x v="2"/>
    <x v="2"/>
  </r>
  <r>
    <x v="0"/>
    <n v="176818302"/>
    <x v="3"/>
    <x v="0"/>
    <x v="1"/>
    <x v="2"/>
    <x v="0"/>
    <n v="12.79"/>
    <x v="0"/>
    <s v="PAITILLA"/>
    <x v="0"/>
    <x v="0"/>
    <x v="2"/>
    <x v="2"/>
  </r>
  <r>
    <x v="0"/>
    <n v="176818302"/>
    <x v="4"/>
    <x v="0"/>
    <x v="2"/>
    <x v="2"/>
    <x v="0"/>
    <n v="60.69"/>
    <x v="0"/>
    <s v="EL DORADO"/>
    <x v="0"/>
    <x v="0"/>
    <x v="2"/>
    <x v="2"/>
  </r>
  <r>
    <x v="1"/>
    <n v="176093323"/>
    <x v="5"/>
    <x v="0"/>
    <x v="3"/>
    <x v="2"/>
    <x v="0"/>
    <n v="639.87"/>
    <x v="1"/>
    <s v="VIA PORRAS"/>
    <x v="0"/>
    <x v="1"/>
    <x v="2"/>
    <x v="2"/>
  </r>
  <r>
    <x v="0"/>
    <n v="176818302"/>
    <x v="6"/>
    <x v="0"/>
    <x v="3"/>
    <x v="2"/>
    <x v="0"/>
    <n v="938.84"/>
    <x v="0"/>
    <s v="VIA PORRAS"/>
    <x v="0"/>
    <x v="0"/>
    <x v="2"/>
    <x v="2"/>
  </r>
  <r>
    <x v="0"/>
    <n v="176818302"/>
    <x v="7"/>
    <x v="0"/>
    <x v="3"/>
    <x v="0"/>
    <x v="0"/>
    <n v="30.92"/>
    <x v="0"/>
    <s v="VIA PORRAS"/>
    <x v="0"/>
    <x v="0"/>
    <x v="0"/>
    <x v="0"/>
  </r>
  <r>
    <x v="0"/>
    <n v="176818302"/>
    <x v="8"/>
    <x v="0"/>
    <x v="4"/>
    <x v="1"/>
    <x v="0"/>
    <n v="49.82"/>
    <x v="0"/>
    <s v="EL INGENIO"/>
    <x v="0"/>
    <x v="0"/>
    <x v="1"/>
    <x v="1"/>
  </r>
  <r>
    <x v="0"/>
    <n v="176818302"/>
    <x v="9"/>
    <x v="0"/>
    <x v="4"/>
    <x v="2"/>
    <x v="0"/>
    <n v="25.14"/>
    <x v="0"/>
    <s v="EL INGENIO"/>
    <x v="0"/>
    <x v="0"/>
    <x v="2"/>
    <x v="2"/>
  </r>
  <r>
    <x v="1"/>
    <n v="176093323"/>
    <x v="10"/>
    <x v="0"/>
    <x v="5"/>
    <x v="0"/>
    <x v="0"/>
    <n v="52.73"/>
    <x v="1"/>
    <s v="PLAZA TOCUMEN"/>
    <x v="0"/>
    <x v="1"/>
    <x v="0"/>
    <x v="0"/>
  </r>
  <r>
    <x v="0"/>
    <n v="176818302"/>
    <x v="11"/>
    <x v="0"/>
    <x v="6"/>
    <x v="2"/>
    <x v="0"/>
    <n v="6.66"/>
    <x v="0"/>
    <s v="SANTIAGO"/>
    <x v="0"/>
    <x v="0"/>
    <x v="2"/>
    <x v="2"/>
  </r>
  <r>
    <x v="1"/>
    <n v="176093323"/>
    <x v="12"/>
    <x v="0"/>
    <x v="7"/>
    <x v="2"/>
    <x v="0"/>
    <n v="234.75"/>
    <x v="1"/>
    <s v="OBARRIO"/>
    <x v="0"/>
    <x v="1"/>
    <x v="2"/>
    <x v="2"/>
  </r>
  <r>
    <x v="0"/>
    <n v="176818302"/>
    <x v="13"/>
    <x v="0"/>
    <x v="7"/>
    <x v="2"/>
    <x v="0"/>
    <n v="281.75"/>
    <x v="0"/>
    <s v="OBARRIO"/>
    <x v="0"/>
    <x v="0"/>
    <x v="2"/>
    <x v="2"/>
  </r>
  <r>
    <x v="1"/>
    <n v="176093323"/>
    <x v="13"/>
    <x v="0"/>
    <x v="7"/>
    <x v="0"/>
    <x v="0"/>
    <n v="57.73"/>
    <x v="1"/>
    <s v="OBARRIO"/>
    <x v="0"/>
    <x v="1"/>
    <x v="0"/>
    <x v="0"/>
  </r>
  <r>
    <x v="0"/>
    <n v="176818302"/>
    <x v="14"/>
    <x v="0"/>
    <x v="7"/>
    <x v="0"/>
    <x v="0"/>
    <n v="43.81"/>
    <x v="0"/>
    <s v="OBARRIO"/>
    <x v="0"/>
    <x v="0"/>
    <x v="0"/>
    <x v="0"/>
  </r>
  <r>
    <x v="1"/>
    <n v="176093323"/>
    <x v="15"/>
    <x v="0"/>
    <x v="8"/>
    <x v="1"/>
    <x v="0"/>
    <n v="92.26"/>
    <x v="1"/>
    <s v="HATO PINTADO"/>
    <x v="0"/>
    <x v="1"/>
    <x v="1"/>
    <x v="1"/>
  </r>
  <r>
    <x v="1"/>
    <n v="176093323"/>
    <x v="16"/>
    <x v="0"/>
    <x v="8"/>
    <x v="2"/>
    <x v="0"/>
    <n v="316.97000000000003"/>
    <x v="1"/>
    <s v="HATO PINTADO"/>
    <x v="0"/>
    <x v="1"/>
    <x v="2"/>
    <x v="2"/>
  </r>
  <r>
    <x v="0"/>
    <n v="176818302"/>
    <x v="17"/>
    <x v="0"/>
    <x v="8"/>
    <x v="2"/>
    <x v="0"/>
    <n v="867.93"/>
    <x v="0"/>
    <s v="HATO PINTADO"/>
    <x v="0"/>
    <x v="0"/>
    <x v="2"/>
    <x v="2"/>
  </r>
  <r>
    <x v="1"/>
    <n v="176093323"/>
    <x v="18"/>
    <x v="0"/>
    <x v="8"/>
    <x v="0"/>
    <x v="0"/>
    <n v="121.69"/>
    <x v="1"/>
    <s v="HATO PINTADO"/>
    <x v="0"/>
    <x v="1"/>
    <x v="0"/>
    <x v="0"/>
  </r>
  <r>
    <x v="0"/>
    <n v="176818302"/>
    <x v="19"/>
    <x v="0"/>
    <x v="8"/>
    <x v="0"/>
    <x v="0"/>
    <n v="49.7"/>
    <x v="0"/>
    <s v="HATO PINTADO"/>
    <x v="0"/>
    <x v="0"/>
    <x v="0"/>
    <x v="0"/>
  </r>
  <r>
    <x v="1"/>
    <n v="176093323"/>
    <x v="20"/>
    <x v="0"/>
    <x v="9"/>
    <x v="2"/>
    <x v="0"/>
    <n v="10.68"/>
    <x v="1"/>
    <s v="LOS ANGELES"/>
    <x v="0"/>
    <x v="1"/>
    <x v="2"/>
    <x v="2"/>
  </r>
  <r>
    <x v="0"/>
    <n v="176818302"/>
    <x v="21"/>
    <x v="0"/>
    <x v="9"/>
    <x v="2"/>
    <x v="0"/>
    <n v="24.85"/>
    <x v="0"/>
    <s v="LOS ANGELES"/>
    <x v="0"/>
    <x v="0"/>
    <x v="2"/>
    <x v="2"/>
  </r>
  <r>
    <x v="1"/>
    <n v="176093323"/>
    <x v="22"/>
    <x v="0"/>
    <x v="10"/>
    <x v="2"/>
    <x v="0"/>
    <n v="339.37"/>
    <x v="1"/>
    <s v="VILLA LUCRE"/>
    <x v="0"/>
    <x v="1"/>
    <x v="2"/>
    <x v="2"/>
  </r>
  <r>
    <x v="0"/>
    <n v="176818302"/>
    <x v="23"/>
    <x v="0"/>
    <x v="10"/>
    <x v="2"/>
    <x v="0"/>
    <n v="403.79"/>
    <x v="0"/>
    <s v="VILLA LUCRE"/>
    <x v="0"/>
    <x v="0"/>
    <x v="2"/>
    <x v="2"/>
  </r>
  <r>
    <x v="1"/>
    <n v="176093323"/>
    <x v="24"/>
    <x v="0"/>
    <x v="11"/>
    <x v="2"/>
    <x v="0"/>
    <n v="1520.74"/>
    <x v="1"/>
    <s v="LOS ANDES"/>
    <x v="0"/>
    <x v="1"/>
    <x v="2"/>
    <x v="2"/>
  </r>
  <r>
    <x v="0"/>
    <n v="176818302"/>
    <x v="25"/>
    <x v="0"/>
    <x v="11"/>
    <x v="2"/>
    <x v="0"/>
    <n v="1388.9"/>
    <x v="0"/>
    <s v="LOS ANDES"/>
    <x v="0"/>
    <x v="0"/>
    <x v="2"/>
    <x v="2"/>
  </r>
  <r>
    <x v="1"/>
    <n v="176093323"/>
    <x v="26"/>
    <x v="0"/>
    <x v="12"/>
    <x v="2"/>
    <x v="0"/>
    <n v="164.81"/>
    <x v="1"/>
    <s v="CHITRE"/>
    <x v="0"/>
    <x v="1"/>
    <x v="2"/>
    <x v="2"/>
  </r>
  <r>
    <x v="0"/>
    <n v="176818302"/>
    <x v="27"/>
    <x v="0"/>
    <x v="12"/>
    <x v="2"/>
    <x v="0"/>
    <n v="327.9"/>
    <x v="0"/>
    <s v="CHITRE"/>
    <x v="0"/>
    <x v="0"/>
    <x v="2"/>
    <x v="2"/>
  </r>
  <r>
    <x v="1"/>
    <n v="176093323"/>
    <x v="28"/>
    <x v="0"/>
    <x v="12"/>
    <x v="0"/>
    <x v="0"/>
    <n v="28"/>
    <x v="1"/>
    <s v="CHITRE"/>
    <x v="0"/>
    <x v="1"/>
    <x v="0"/>
    <x v="0"/>
  </r>
  <r>
    <x v="1"/>
    <n v="176093323"/>
    <x v="29"/>
    <x v="0"/>
    <x v="13"/>
    <x v="2"/>
    <x v="0"/>
    <n v="362.75"/>
    <x v="1"/>
    <s v="LOS PUEBLOS"/>
    <x v="0"/>
    <x v="1"/>
    <x v="2"/>
    <x v="2"/>
  </r>
  <r>
    <x v="0"/>
    <n v="176818302"/>
    <x v="30"/>
    <x v="0"/>
    <x v="13"/>
    <x v="2"/>
    <x v="0"/>
    <n v="471.52"/>
    <x v="0"/>
    <s v="LOS PUEBLOS"/>
    <x v="0"/>
    <x v="0"/>
    <x v="2"/>
    <x v="2"/>
  </r>
  <r>
    <x v="1"/>
    <n v="176093323"/>
    <x v="31"/>
    <x v="0"/>
    <x v="13"/>
    <x v="0"/>
    <x v="0"/>
    <n v="13.33"/>
    <x v="1"/>
    <s v="LOS PUEBLOS"/>
    <x v="0"/>
    <x v="1"/>
    <x v="0"/>
    <x v="0"/>
  </r>
  <r>
    <x v="2"/>
    <n v="176326174"/>
    <x v="32"/>
    <x v="0"/>
    <x v="13"/>
    <x v="0"/>
    <x v="0"/>
    <n v="15.81"/>
    <x v="2"/>
    <s v="LOS PUEBLOS"/>
    <x v="0"/>
    <x v="2"/>
    <x v="0"/>
    <x v="0"/>
  </r>
  <r>
    <x v="1"/>
    <n v="176093323"/>
    <x v="33"/>
    <x v="0"/>
    <x v="14"/>
    <x v="1"/>
    <x v="0"/>
    <n v="33.58"/>
    <x v="1"/>
    <s v="TRANSISTMICA"/>
    <x v="0"/>
    <x v="1"/>
    <x v="1"/>
    <x v="1"/>
  </r>
  <r>
    <x v="0"/>
    <n v="176818302"/>
    <x v="34"/>
    <x v="0"/>
    <x v="14"/>
    <x v="1"/>
    <x v="0"/>
    <n v="34.42"/>
    <x v="0"/>
    <s v="TRANSISTMICA"/>
    <x v="0"/>
    <x v="0"/>
    <x v="1"/>
    <x v="1"/>
  </r>
  <r>
    <x v="1"/>
    <n v="176093323"/>
    <x v="35"/>
    <x v="0"/>
    <x v="14"/>
    <x v="2"/>
    <x v="0"/>
    <n v="496.79"/>
    <x v="1"/>
    <s v="TRANSISTMICA"/>
    <x v="0"/>
    <x v="1"/>
    <x v="2"/>
    <x v="2"/>
  </r>
  <r>
    <x v="0"/>
    <n v="176818302"/>
    <x v="36"/>
    <x v="0"/>
    <x v="14"/>
    <x v="2"/>
    <x v="0"/>
    <n v="1473.5"/>
    <x v="0"/>
    <s v="TRANSISTMICA"/>
    <x v="0"/>
    <x v="0"/>
    <x v="2"/>
    <x v="2"/>
  </r>
  <r>
    <x v="1"/>
    <n v="176093323"/>
    <x v="37"/>
    <x v="0"/>
    <x v="14"/>
    <x v="0"/>
    <x v="0"/>
    <n v="88.67"/>
    <x v="1"/>
    <s v="TRANSISTMICA"/>
    <x v="0"/>
    <x v="1"/>
    <x v="0"/>
    <x v="0"/>
  </r>
  <r>
    <x v="0"/>
    <n v="176818302"/>
    <x v="38"/>
    <x v="0"/>
    <x v="14"/>
    <x v="0"/>
    <x v="0"/>
    <n v="52.49"/>
    <x v="0"/>
    <s v="TRANSISTMICA"/>
    <x v="0"/>
    <x v="0"/>
    <x v="0"/>
    <x v="0"/>
  </r>
  <r>
    <x v="1"/>
    <n v="176093323"/>
    <x v="39"/>
    <x v="0"/>
    <x v="15"/>
    <x v="2"/>
    <x v="0"/>
    <n v="41.48"/>
    <x v="1"/>
    <s v="PARQUE LEFEVRE"/>
    <x v="0"/>
    <x v="1"/>
    <x v="2"/>
    <x v="2"/>
  </r>
  <r>
    <x v="0"/>
    <n v="176818302"/>
    <x v="40"/>
    <x v="0"/>
    <x v="15"/>
    <x v="2"/>
    <x v="0"/>
    <n v="80.37"/>
    <x v="0"/>
    <s v="PARQUE LEFEVRE"/>
    <x v="0"/>
    <x v="0"/>
    <x v="2"/>
    <x v="2"/>
  </r>
  <r>
    <x v="1"/>
    <n v="176093323"/>
    <x v="41"/>
    <x v="0"/>
    <x v="15"/>
    <x v="0"/>
    <x v="0"/>
    <n v="39.61"/>
    <x v="1"/>
    <s v="PARQUE LEFEVRE"/>
    <x v="0"/>
    <x v="1"/>
    <x v="0"/>
    <x v="0"/>
  </r>
  <r>
    <x v="3"/>
    <n v="175921689"/>
    <x v="42"/>
    <x v="0"/>
    <x v="16"/>
    <x v="2"/>
    <x v="0"/>
    <n v="61.02"/>
    <x v="2"/>
    <s v="DAVID"/>
    <x v="0"/>
    <x v="3"/>
    <x v="2"/>
    <x v="2"/>
  </r>
  <r>
    <x v="1"/>
    <n v="176093323"/>
    <x v="43"/>
    <x v="0"/>
    <x v="16"/>
    <x v="2"/>
    <x v="0"/>
    <n v="244"/>
    <x v="1"/>
    <s v="DAVID"/>
    <x v="0"/>
    <x v="1"/>
    <x v="2"/>
    <x v="2"/>
  </r>
  <r>
    <x v="0"/>
    <n v="176818302"/>
    <x v="44"/>
    <x v="0"/>
    <x v="16"/>
    <x v="2"/>
    <x v="0"/>
    <n v="465.27"/>
    <x v="0"/>
    <s v="DAVID"/>
    <x v="0"/>
    <x v="0"/>
    <x v="2"/>
    <x v="2"/>
  </r>
  <r>
    <x v="0"/>
    <n v="176818302"/>
    <x v="45"/>
    <x v="0"/>
    <x v="17"/>
    <x v="0"/>
    <x v="0"/>
    <n v="24.92"/>
    <x v="0"/>
    <s v="PLAZA LAS AMERICAS"/>
    <x v="0"/>
    <x v="0"/>
    <x v="0"/>
    <x v="0"/>
  </r>
  <r>
    <x v="1"/>
    <n v="176093323"/>
    <x v="46"/>
    <x v="0"/>
    <x v="18"/>
    <x v="2"/>
    <x v="0"/>
    <n v="365.79"/>
    <x v="1"/>
    <s v="ALBROOK MALL"/>
    <x v="0"/>
    <x v="1"/>
    <x v="2"/>
    <x v="2"/>
  </r>
  <r>
    <x v="0"/>
    <n v="176818302"/>
    <x v="47"/>
    <x v="0"/>
    <x v="18"/>
    <x v="2"/>
    <x v="0"/>
    <n v="451.51"/>
    <x v="0"/>
    <s v="ALBROOK MALL"/>
    <x v="0"/>
    <x v="0"/>
    <x v="2"/>
    <x v="2"/>
  </r>
  <r>
    <x v="1"/>
    <n v="176093323"/>
    <x v="48"/>
    <x v="0"/>
    <x v="18"/>
    <x v="0"/>
    <x v="0"/>
    <n v="17.829999999999998"/>
    <x v="1"/>
    <s v="ALBROOK MALL"/>
    <x v="0"/>
    <x v="1"/>
    <x v="0"/>
    <x v="0"/>
  </r>
  <r>
    <x v="1"/>
    <n v="176093323"/>
    <x v="49"/>
    <x v="0"/>
    <x v="19"/>
    <x v="1"/>
    <x v="0"/>
    <n v="68.88"/>
    <x v="1"/>
    <s v="PANAMA PACIFICO"/>
    <x v="0"/>
    <x v="1"/>
    <x v="1"/>
    <x v="1"/>
  </r>
  <r>
    <x v="1"/>
    <n v="176093323"/>
    <x v="50"/>
    <x v="0"/>
    <x v="20"/>
    <x v="2"/>
    <x v="0"/>
    <n v="30.02"/>
    <x v="1"/>
    <s v="ALBROOK"/>
    <x v="0"/>
    <x v="1"/>
    <x v="2"/>
    <x v="2"/>
  </r>
  <r>
    <x v="0"/>
    <n v="176818302"/>
    <x v="51"/>
    <x v="0"/>
    <x v="20"/>
    <x v="2"/>
    <x v="0"/>
    <n v="83.43"/>
    <x v="0"/>
    <s v="ALBROOK"/>
    <x v="0"/>
    <x v="0"/>
    <x v="2"/>
    <x v="2"/>
  </r>
  <r>
    <x v="1"/>
    <n v="176093323"/>
    <x v="52"/>
    <x v="0"/>
    <x v="20"/>
    <x v="0"/>
    <x v="0"/>
    <n v="22.58"/>
    <x v="1"/>
    <s v="ALBROOK"/>
    <x v="0"/>
    <x v="1"/>
    <x v="0"/>
    <x v="0"/>
  </r>
  <r>
    <x v="1"/>
    <n v="176093323"/>
    <x v="53"/>
    <x v="0"/>
    <x v="21"/>
    <x v="2"/>
    <x v="0"/>
    <n v="86.54"/>
    <x v="1"/>
    <s v="SUCURSAL DE VISTA ALEGRE"/>
    <x v="0"/>
    <x v="1"/>
    <x v="2"/>
    <x v="2"/>
  </r>
  <r>
    <x v="0"/>
    <n v="176818302"/>
    <x v="53"/>
    <x v="0"/>
    <x v="21"/>
    <x v="2"/>
    <x v="0"/>
    <n v="323.60000000000002"/>
    <x v="0"/>
    <s v="SUCURSAL DE VISTA ALEGRE"/>
    <x v="0"/>
    <x v="0"/>
    <x v="2"/>
    <x v="2"/>
  </r>
  <r>
    <x v="1"/>
    <n v="176093323"/>
    <x v="54"/>
    <x v="0"/>
    <x v="22"/>
    <x v="2"/>
    <x v="0"/>
    <n v="29.5"/>
    <x v="1"/>
    <s v="24 DE DICIEMBRE"/>
    <x v="0"/>
    <x v="1"/>
    <x v="2"/>
    <x v="2"/>
  </r>
  <r>
    <x v="0"/>
    <n v="176818302"/>
    <x v="54"/>
    <x v="0"/>
    <x v="22"/>
    <x v="2"/>
    <x v="0"/>
    <n v="51.73"/>
    <x v="0"/>
    <s v="24 DE DICIEMBRE"/>
    <x v="0"/>
    <x v="0"/>
    <x v="2"/>
    <x v="2"/>
  </r>
  <r>
    <x v="1"/>
    <n v="176093323"/>
    <x v="55"/>
    <x v="0"/>
    <x v="23"/>
    <x v="2"/>
    <x v="0"/>
    <n v="338.3"/>
    <x v="1"/>
    <s v="COSTA DEL ESTE"/>
    <x v="0"/>
    <x v="1"/>
    <x v="2"/>
    <x v="2"/>
  </r>
  <r>
    <x v="2"/>
    <n v="176326174"/>
    <x v="56"/>
    <x v="0"/>
    <x v="23"/>
    <x v="2"/>
    <x v="0"/>
    <n v="79.02"/>
    <x v="2"/>
    <s v="COSTA DEL ESTE"/>
    <x v="0"/>
    <x v="2"/>
    <x v="2"/>
    <x v="2"/>
  </r>
  <r>
    <x v="0"/>
    <n v="176818302"/>
    <x v="55"/>
    <x v="0"/>
    <x v="23"/>
    <x v="2"/>
    <x v="0"/>
    <n v="235.92"/>
    <x v="0"/>
    <s v="COSTA DEL ESTE"/>
    <x v="0"/>
    <x v="0"/>
    <x v="2"/>
    <x v="2"/>
  </r>
  <r>
    <x v="1"/>
    <n v="176093323"/>
    <x v="57"/>
    <x v="0"/>
    <x v="23"/>
    <x v="0"/>
    <x v="0"/>
    <n v="28.78"/>
    <x v="1"/>
    <s v="COSTA DEL ESTE"/>
    <x v="0"/>
    <x v="1"/>
    <x v="0"/>
    <x v="0"/>
  </r>
  <r>
    <x v="1"/>
    <n v="176093323"/>
    <x v="58"/>
    <x v="0"/>
    <x v="24"/>
    <x v="1"/>
    <x v="0"/>
    <n v="51.1"/>
    <x v="1"/>
    <s v="MULTI PLAZA"/>
    <x v="0"/>
    <x v="1"/>
    <x v="1"/>
    <x v="1"/>
  </r>
  <r>
    <x v="0"/>
    <n v="176818302"/>
    <x v="59"/>
    <x v="0"/>
    <x v="24"/>
    <x v="1"/>
    <x v="0"/>
    <n v="28.22"/>
    <x v="0"/>
    <s v="MULTI PLAZA"/>
    <x v="0"/>
    <x v="0"/>
    <x v="1"/>
    <x v="1"/>
  </r>
  <r>
    <x v="1"/>
    <n v="176093323"/>
    <x v="60"/>
    <x v="0"/>
    <x v="24"/>
    <x v="2"/>
    <x v="0"/>
    <n v="51.02"/>
    <x v="1"/>
    <s v="MULTI PLAZA"/>
    <x v="0"/>
    <x v="1"/>
    <x v="2"/>
    <x v="2"/>
  </r>
  <r>
    <x v="0"/>
    <n v="176818302"/>
    <x v="61"/>
    <x v="0"/>
    <x v="24"/>
    <x v="2"/>
    <x v="0"/>
    <n v="301.62"/>
    <x v="0"/>
    <s v="MULTI PLAZA"/>
    <x v="0"/>
    <x v="0"/>
    <x v="2"/>
    <x v="2"/>
  </r>
  <r>
    <x v="1"/>
    <n v="176093323"/>
    <x v="62"/>
    <x v="0"/>
    <x v="24"/>
    <x v="0"/>
    <x v="0"/>
    <n v="33.15"/>
    <x v="1"/>
    <s v="MULTI PLAZA"/>
    <x v="0"/>
    <x v="1"/>
    <x v="0"/>
    <x v="0"/>
  </r>
  <r>
    <x v="1"/>
    <n v="176093323"/>
    <x v="63"/>
    <x v="0"/>
    <x v="25"/>
    <x v="2"/>
    <x v="0"/>
    <n v="145.5"/>
    <x v="1"/>
    <s v="TERMINAL DE ALBROOK"/>
    <x v="0"/>
    <x v="1"/>
    <x v="2"/>
    <x v="2"/>
  </r>
  <r>
    <x v="0"/>
    <n v="176818302"/>
    <x v="64"/>
    <x v="0"/>
    <x v="25"/>
    <x v="2"/>
    <x v="0"/>
    <n v="246.81"/>
    <x v="0"/>
    <s v="TERMINAL DE ALBROOK"/>
    <x v="0"/>
    <x v="0"/>
    <x v="2"/>
    <x v="2"/>
  </r>
  <r>
    <x v="0"/>
    <n v="176818302"/>
    <x v="65"/>
    <x v="0"/>
    <x v="25"/>
    <x v="0"/>
    <x v="0"/>
    <n v="13.86"/>
    <x v="0"/>
    <s v="TERMINAL DE ALBROOK"/>
    <x v="0"/>
    <x v="0"/>
    <x v="0"/>
    <x v="0"/>
  </r>
  <r>
    <x v="1"/>
    <n v="176093323"/>
    <x v="66"/>
    <x v="0"/>
    <x v="26"/>
    <x v="2"/>
    <x v="0"/>
    <n v="30.14"/>
    <x v="1"/>
    <s v="BOQUETE"/>
    <x v="0"/>
    <x v="1"/>
    <x v="2"/>
    <x v="2"/>
  </r>
  <r>
    <x v="0"/>
    <n v="176818302"/>
    <x v="67"/>
    <x v="0"/>
    <x v="26"/>
    <x v="2"/>
    <x v="0"/>
    <n v="45.75"/>
    <x v="0"/>
    <s v="BOQUETE"/>
    <x v="0"/>
    <x v="0"/>
    <x v="2"/>
    <x v="2"/>
  </r>
  <r>
    <x v="1"/>
    <n v="176093323"/>
    <x v="68"/>
    <x v="0"/>
    <x v="27"/>
    <x v="2"/>
    <x v="0"/>
    <n v="233.51"/>
    <x v="1"/>
    <s v="BRISAS DEL GOLF"/>
    <x v="0"/>
    <x v="1"/>
    <x v="2"/>
    <x v="2"/>
  </r>
  <r>
    <x v="0"/>
    <n v="176818302"/>
    <x v="69"/>
    <x v="0"/>
    <x v="27"/>
    <x v="2"/>
    <x v="0"/>
    <n v="172.65"/>
    <x v="0"/>
    <s v="BRISAS DEL GOLF"/>
    <x v="0"/>
    <x v="0"/>
    <x v="2"/>
    <x v="2"/>
  </r>
  <r>
    <x v="1"/>
    <n v="176093323"/>
    <x v="70"/>
    <x v="0"/>
    <x v="27"/>
    <x v="0"/>
    <x v="0"/>
    <n v="30.87"/>
    <x v="1"/>
    <s v="BRISAS DEL GOLF"/>
    <x v="0"/>
    <x v="1"/>
    <x v="0"/>
    <x v="0"/>
  </r>
  <r>
    <x v="1"/>
    <n v="176093323"/>
    <x v="71"/>
    <x v="0"/>
    <x v="28"/>
    <x v="1"/>
    <x v="0"/>
    <n v="62.37"/>
    <x v="1"/>
    <s v="PUENTE CENTENARIO"/>
    <x v="0"/>
    <x v="1"/>
    <x v="1"/>
    <x v="1"/>
  </r>
  <r>
    <x v="1"/>
    <n v="176093323"/>
    <x v="72"/>
    <x v="0"/>
    <x v="28"/>
    <x v="2"/>
    <x v="0"/>
    <n v="228.39"/>
    <x v="1"/>
    <s v="PUENTE CENTENARIO"/>
    <x v="0"/>
    <x v="1"/>
    <x v="2"/>
    <x v="2"/>
  </r>
  <r>
    <x v="0"/>
    <n v="176818302"/>
    <x v="73"/>
    <x v="0"/>
    <x v="28"/>
    <x v="2"/>
    <x v="0"/>
    <n v="306.07"/>
    <x v="0"/>
    <s v="PUENTE CENTENARIO"/>
    <x v="0"/>
    <x v="0"/>
    <x v="2"/>
    <x v="2"/>
  </r>
  <r>
    <x v="1"/>
    <n v="176093323"/>
    <x v="74"/>
    <x v="0"/>
    <x v="28"/>
    <x v="0"/>
    <x v="0"/>
    <n v="169.99"/>
    <x v="1"/>
    <s v="PUENTE CENTENARIO"/>
    <x v="0"/>
    <x v="1"/>
    <x v="0"/>
    <x v="0"/>
  </r>
  <r>
    <x v="1"/>
    <n v="176093323"/>
    <x v="75"/>
    <x v="0"/>
    <x v="29"/>
    <x v="2"/>
    <x v="0"/>
    <n v="50.1"/>
    <x v="1"/>
    <s v="ALTOS DE PANAMA"/>
    <x v="0"/>
    <x v="1"/>
    <x v="2"/>
    <x v="2"/>
  </r>
  <r>
    <x v="0"/>
    <n v="176818302"/>
    <x v="76"/>
    <x v="0"/>
    <x v="29"/>
    <x v="2"/>
    <x v="0"/>
    <n v="45.5"/>
    <x v="0"/>
    <s v="ALTOS DE PANAMA"/>
    <x v="0"/>
    <x v="0"/>
    <x v="2"/>
    <x v="2"/>
  </r>
  <r>
    <x v="1"/>
    <n v="176093323"/>
    <x v="77"/>
    <x v="0"/>
    <x v="30"/>
    <x v="0"/>
    <x v="0"/>
    <n v="45.75"/>
    <x v="1"/>
    <s v="BUSINESS PARK"/>
    <x v="0"/>
    <x v="1"/>
    <x v="0"/>
    <x v="0"/>
  </r>
  <r>
    <x v="0"/>
    <n v="176818302"/>
    <x v="78"/>
    <x v="0"/>
    <x v="31"/>
    <x v="2"/>
    <x v="0"/>
    <n v="9.59"/>
    <x v="0"/>
    <s v="SAN FRANCISCO"/>
    <x v="0"/>
    <x v="0"/>
    <x v="2"/>
    <x v="2"/>
  </r>
  <r>
    <x v="0"/>
    <n v="176818302"/>
    <x v="79"/>
    <x v="0"/>
    <x v="32"/>
    <x v="0"/>
    <x v="0"/>
    <n v="77.28"/>
    <x v="0"/>
    <s v="PLAZA BANCO GENERAL"/>
    <x v="0"/>
    <x v="0"/>
    <x v="0"/>
    <x v="0"/>
  </r>
  <r>
    <x v="1"/>
    <n v="176093323"/>
    <x v="80"/>
    <x v="0"/>
    <x v="33"/>
    <x v="1"/>
    <x v="0"/>
    <n v="45.54"/>
    <x v="1"/>
    <s v="LA CHORRERA - PARQUE 10 DE NOV."/>
    <x v="0"/>
    <x v="1"/>
    <x v="1"/>
    <x v="1"/>
  </r>
  <r>
    <x v="1"/>
    <n v="176093323"/>
    <x v="81"/>
    <x v="0"/>
    <x v="33"/>
    <x v="2"/>
    <x v="0"/>
    <n v="549.44000000000005"/>
    <x v="1"/>
    <s v="LA CHORRERA - PARQUE 10 DE NOV."/>
    <x v="0"/>
    <x v="1"/>
    <x v="2"/>
    <x v="2"/>
  </r>
  <r>
    <x v="0"/>
    <n v="176818302"/>
    <x v="82"/>
    <x v="0"/>
    <x v="33"/>
    <x v="2"/>
    <x v="0"/>
    <n v="1066.53"/>
    <x v="0"/>
    <s v="LA CHORRERA - PARQUE 10 DE NOV."/>
    <x v="0"/>
    <x v="0"/>
    <x v="2"/>
    <x v="2"/>
  </r>
  <r>
    <x v="1"/>
    <n v="176093323"/>
    <x v="83"/>
    <x v="0"/>
    <x v="33"/>
    <x v="0"/>
    <x v="0"/>
    <n v="31.75"/>
    <x v="1"/>
    <s v="LA CHORRERA - PARQUE 10 DE NOV."/>
    <x v="0"/>
    <x v="1"/>
    <x v="0"/>
    <x v="0"/>
  </r>
  <r>
    <x v="1"/>
    <n v="176093323"/>
    <x v="84"/>
    <x v="0"/>
    <x v="34"/>
    <x v="1"/>
    <x v="0"/>
    <n v="43.34"/>
    <x v="1"/>
    <s v="COSTA DEL ESTE - CENTENARIO"/>
    <x v="0"/>
    <x v="1"/>
    <x v="1"/>
    <x v="1"/>
  </r>
  <r>
    <x v="1"/>
    <n v="176093323"/>
    <x v="85"/>
    <x v="0"/>
    <x v="35"/>
    <x v="2"/>
    <x v="0"/>
    <n v="14.1"/>
    <x v="1"/>
    <s v="MARBELLA"/>
    <x v="0"/>
    <x v="1"/>
    <x v="2"/>
    <x v="2"/>
  </r>
  <r>
    <x v="0"/>
    <n v="176818302"/>
    <x v="86"/>
    <x v="0"/>
    <x v="35"/>
    <x v="2"/>
    <x v="0"/>
    <n v="51.17"/>
    <x v="0"/>
    <s v="MARBELLA"/>
    <x v="0"/>
    <x v="0"/>
    <x v="2"/>
    <x v="2"/>
  </r>
  <r>
    <x v="1"/>
    <n v="176093323"/>
    <x v="87"/>
    <x v="0"/>
    <x v="36"/>
    <x v="2"/>
    <x v="0"/>
    <n v="143.71"/>
    <x v="1"/>
    <s v="VIA SIMON BOLIVAR"/>
    <x v="0"/>
    <x v="1"/>
    <x v="2"/>
    <x v="2"/>
  </r>
  <r>
    <x v="0"/>
    <n v="176818302"/>
    <x v="88"/>
    <x v="0"/>
    <x v="36"/>
    <x v="2"/>
    <x v="0"/>
    <n v="281.07"/>
    <x v="0"/>
    <s v="VIA SIMON BOLIVAR"/>
    <x v="0"/>
    <x v="0"/>
    <x v="2"/>
    <x v="2"/>
  </r>
  <r>
    <x v="1"/>
    <n v="176093323"/>
    <x v="89"/>
    <x v="0"/>
    <x v="36"/>
    <x v="0"/>
    <x v="0"/>
    <n v="12.88"/>
    <x v="1"/>
    <s v="VIA SIMON BOLIVAR"/>
    <x v="0"/>
    <x v="1"/>
    <x v="0"/>
    <x v="0"/>
  </r>
  <r>
    <x v="0"/>
    <n v="176818302"/>
    <x v="90"/>
    <x v="0"/>
    <x v="37"/>
    <x v="0"/>
    <x v="0"/>
    <n v="28.06"/>
    <x v="0"/>
    <s v="JUSTO AROSEMENA"/>
    <x v="0"/>
    <x v="0"/>
    <x v="0"/>
    <x v="0"/>
  </r>
  <r>
    <x v="1"/>
    <n v="176093323"/>
    <x v="91"/>
    <x v="0"/>
    <x v="38"/>
    <x v="2"/>
    <x v="0"/>
    <n v="106.23"/>
    <x v="1"/>
    <s v="BOULEVARD EL DORADO"/>
    <x v="0"/>
    <x v="1"/>
    <x v="2"/>
    <x v="2"/>
  </r>
  <r>
    <x v="0"/>
    <n v="176818302"/>
    <x v="92"/>
    <x v="0"/>
    <x v="38"/>
    <x v="2"/>
    <x v="0"/>
    <n v="53.95"/>
    <x v="0"/>
    <s v="BOULEVARD EL DORADO"/>
    <x v="0"/>
    <x v="0"/>
    <x v="2"/>
    <x v="2"/>
  </r>
  <r>
    <x v="1"/>
    <n v="176093323"/>
    <x v="93"/>
    <x v="0"/>
    <x v="38"/>
    <x v="0"/>
    <x v="0"/>
    <n v="30.27"/>
    <x v="1"/>
    <s v="BOULEVARD EL DORADO"/>
    <x v="0"/>
    <x v="1"/>
    <x v="0"/>
    <x v="0"/>
  </r>
  <r>
    <x v="0"/>
    <n v="176818302"/>
    <x v="94"/>
    <x v="0"/>
    <x v="38"/>
    <x v="0"/>
    <x v="0"/>
    <n v="29.35"/>
    <x v="0"/>
    <s v="BOULEVARD EL DORADO"/>
    <x v="0"/>
    <x v="0"/>
    <x v="0"/>
    <x v="0"/>
  </r>
  <r>
    <x v="1"/>
    <n v="176093323"/>
    <x v="95"/>
    <x v="0"/>
    <x v="39"/>
    <x v="2"/>
    <x v="0"/>
    <n v="503.99"/>
    <x v="1"/>
    <s v="SAN SEBASTIAN"/>
    <x v="0"/>
    <x v="1"/>
    <x v="2"/>
    <x v="2"/>
  </r>
  <r>
    <x v="0"/>
    <n v="176818302"/>
    <x v="96"/>
    <x v="0"/>
    <x v="39"/>
    <x v="2"/>
    <x v="0"/>
    <n v="661.6"/>
    <x v="0"/>
    <s v="SAN SEBASTIAN"/>
    <x v="0"/>
    <x v="0"/>
    <x v="2"/>
    <x v="2"/>
  </r>
  <r>
    <x v="1"/>
    <n v="176093323"/>
    <x v="97"/>
    <x v="0"/>
    <x v="39"/>
    <x v="0"/>
    <x v="0"/>
    <n v="49.79"/>
    <x v="1"/>
    <s v="SAN SEBASTIAN"/>
    <x v="0"/>
    <x v="1"/>
    <x v="0"/>
    <x v="0"/>
  </r>
  <r>
    <x v="0"/>
    <n v="176818302"/>
    <x v="98"/>
    <x v="0"/>
    <x v="39"/>
    <x v="0"/>
    <x v="0"/>
    <n v="15.39"/>
    <x v="0"/>
    <s v="SAN SEBASTIAN"/>
    <x v="0"/>
    <x v="0"/>
    <x v="0"/>
    <x v="0"/>
  </r>
  <r>
    <x v="1"/>
    <n v="176093323"/>
    <x v="99"/>
    <x v="0"/>
    <x v="40"/>
    <x v="2"/>
    <x v="0"/>
    <n v="37.19"/>
    <x v="1"/>
    <s v="VILLA ZAITA"/>
    <x v="0"/>
    <x v="1"/>
    <x v="2"/>
    <x v="2"/>
  </r>
  <r>
    <x v="0"/>
    <n v="176818302"/>
    <x v="100"/>
    <x v="0"/>
    <x v="40"/>
    <x v="2"/>
    <x v="0"/>
    <n v="12.65"/>
    <x v="0"/>
    <s v="VILLA ZAITA"/>
    <x v="0"/>
    <x v="0"/>
    <x v="2"/>
    <x v="2"/>
  </r>
  <r>
    <x v="0"/>
    <n v="176818302"/>
    <x v="101"/>
    <x v="0"/>
    <x v="41"/>
    <x v="2"/>
    <x v="0"/>
    <n v="119.59"/>
    <x v="0"/>
    <s v="BRISAS DEL GOLF ARRAIJAN"/>
    <x v="0"/>
    <x v="0"/>
    <x v="2"/>
    <x v="2"/>
  </r>
  <r>
    <x v="1"/>
    <n v="176093323"/>
    <x v="102"/>
    <x v="0"/>
    <x v="41"/>
    <x v="0"/>
    <x v="0"/>
    <n v="86.35"/>
    <x v="1"/>
    <s v="BRISAS DEL GOLF ARRAIJAN"/>
    <x v="0"/>
    <x v="1"/>
    <x v="0"/>
    <x v="0"/>
  </r>
  <r>
    <x v="4"/>
    <n v="175636909"/>
    <x v="32"/>
    <x v="1"/>
    <x v="0"/>
    <x v="1"/>
    <x v="0"/>
    <n v="2.4"/>
    <x v="3"/>
    <s v="CASA MATRIZ"/>
    <x v="1"/>
    <x v="4"/>
    <x v="1"/>
    <x v="1"/>
  </r>
  <r>
    <x v="5"/>
    <n v="176134839"/>
    <x v="32"/>
    <x v="1"/>
    <x v="0"/>
    <x v="1"/>
    <x v="0"/>
    <n v="5.55"/>
    <x v="3"/>
    <s v="CASA MATRIZ"/>
    <x v="1"/>
    <x v="4"/>
    <x v="1"/>
    <x v="1"/>
  </r>
  <r>
    <x v="6"/>
    <n v="176818772"/>
    <x v="32"/>
    <x v="1"/>
    <x v="0"/>
    <x v="1"/>
    <x v="0"/>
    <n v="2.4"/>
    <x v="3"/>
    <s v="CASA MATRIZ"/>
    <x v="1"/>
    <x v="4"/>
    <x v="1"/>
    <x v="1"/>
  </r>
  <r>
    <x v="3"/>
    <n v="175864711"/>
    <x v="32"/>
    <x v="1"/>
    <x v="2"/>
    <x v="1"/>
    <x v="0"/>
    <n v="9.1999999999999993"/>
    <x v="3"/>
    <s v="EL DORADO"/>
    <x v="1"/>
    <x v="5"/>
    <x v="1"/>
    <x v="1"/>
  </r>
  <r>
    <x v="7"/>
    <n v="176391455"/>
    <x v="32"/>
    <x v="1"/>
    <x v="42"/>
    <x v="1"/>
    <x v="0"/>
    <n v="2.4"/>
    <x v="3"/>
    <s v="VIA ARGENTINA"/>
    <x v="1"/>
    <x v="6"/>
    <x v="1"/>
    <x v="1"/>
  </r>
  <r>
    <x v="8"/>
    <n v="176941062"/>
    <x v="32"/>
    <x v="1"/>
    <x v="42"/>
    <x v="1"/>
    <x v="0"/>
    <n v="1.8"/>
    <x v="3"/>
    <s v="VIA ARGENTINA"/>
    <x v="1"/>
    <x v="6"/>
    <x v="1"/>
    <x v="1"/>
  </r>
  <r>
    <x v="9"/>
    <n v="175802453"/>
    <x v="32"/>
    <x v="1"/>
    <x v="3"/>
    <x v="1"/>
    <x v="0"/>
    <n v="9.1999999999999993"/>
    <x v="3"/>
    <s v="VIA PORRAS"/>
    <x v="1"/>
    <x v="7"/>
    <x v="1"/>
    <x v="1"/>
  </r>
  <r>
    <x v="3"/>
    <n v="175865455"/>
    <x v="32"/>
    <x v="1"/>
    <x v="3"/>
    <x v="1"/>
    <x v="0"/>
    <n v="9.1999999999999993"/>
    <x v="3"/>
    <s v="VIA PORRAS"/>
    <x v="1"/>
    <x v="7"/>
    <x v="1"/>
    <x v="1"/>
  </r>
  <r>
    <x v="1"/>
    <n v="176035024"/>
    <x v="32"/>
    <x v="1"/>
    <x v="3"/>
    <x v="1"/>
    <x v="0"/>
    <n v="1.8"/>
    <x v="3"/>
    <s v="VIA PORRAS"/>
    <x v="1"/>
    <x v="7"/>
    <x v="1"/>
    <x v="1"/>
  </r>
  <r>
    <x v="10"/>
    <n v="176721494"/>
    <x v="32"/>
    <x v="1"/>
    <x v="4"/>
    <x v="1"/>
    <x v="0"/>
    <n v="18.399999999999999"/>
    <x v="3"/>
    <s v="EL INGENIO"/>
    <x v="1"/>
    <x v="8"/>
    <x v="1"/>
    <x v="1"/>
  </r>
  <r>
    <x v="11"/>
    <n v="175924036"/>
    <x v="32"/>
    <x v="1"/>
    <x v="43"/>
    <x v="1"/>
    <x v="0"/>
    <n v="14.7"/>
    <x v="3"/>
    <s v="CHANIS"/>
    <x v="1"/>
    <x v="9"/>
    <x v="1"/>
    <x v="1"/>
  </r>
  <r>
    <x v="12"/>
    <n v="176557274"/>
    <x v="32"/>
    <x v="1"/>
    <x v="43"/>
    <x v="1"/>
    <x v="0"/>
    <n v="6.5"/>
    <x v="3"/>
    <s v="CHANIS"/>
    <x v="1"/>
    <x v="9"/>
    <x v="1"/>
    <x v="1"/>
  </r>
  <r>
    <x v="11"/>
    <n v="175924258"/>
    <x v="32"/>
    <x v="1"/>
    <x v="5"/>
    <x v="1"/>
    <x v="0"/>
    <n v="2.1"/>
    <x v="3"/>
    <s v="PLAZA TOCUMEN"/>
    <x v="1"/>
    <x v="10"/>
    <x v="1"/>
    <x v="1"/>
  </r>
  <r>
    <x v="4"/>
    <n v="175639207"/>
    <x v="32"/>
    <x v="1"/>
    <x v="6"/>
    <x v="1"/>
    <x v="0"/>
    <n v="16"/>
    <x v="3"/>
    <s v="SANTIAGO"/>
    <x v="1"/>
    <x v="11"/>
    <x v="1"/>
    <x v="1"/>
  </r>
  <r>
    <x v="13"/>
    <n v="176095467"/>
    <x v="32"/>
    <x v="1"/>
    <x v="7"/>
    <x v="1"/>
    <x v="0"/>
    <n v="10.25"/>
    <x v="3"/>
    <s v="OBARRIO"/>
    <x v="1"/>
    <x v="12"/>
    <x v="1"/>
    <x v="1"/>
  </r>
  <r>
    <x v="14"/>
    <n v="175575701"/>
    <x v="32"/>
    <x v="1"/>
    <x v="8"/>
    <x v="1"/>
    <x v="0"/>
    <n v="2.4"/>
    <x v="3"/>
    <s v="HATO PINTADO"/>
    <x v="1"/>
    <x v="13"/>
    <x v="1"/>
    <x v="1"/>
  </r>
  <r>
    <x v="15"/>
    <n v="176497092"/>
    <x v="32"/>
    <x v="1"/>
    <x v="8"/>
    <x v="1"/>
    <x v="0"/>
    <n v="10.7"/>
    <x v="3"/>
    <s v="HATO PINTADO"/>
    <x v="1"/>
    <x v="13"/>
    <x v="1"/>
    <x v="1"/>
  </r>
  <r>
    <x v="11"/>
    <n v="175926148"/>
    <x v="32"/>
    <x v="1"/>
    <x v="44"/>
    <x v="1"/>
    <x v="0"/>
    <n v="4.5"/>
    <x v="3"/>
    <s v="LA CHORRERA"/>
    <x v="1"/>
    <x v="14"/>
    <x v="1"/>
    <x v="1"/>
  </r>
  <r>
    <x v="5"/>
    <n v="176196481"/>
    <x v="103"/>
    <x v="1"/>
    <x v="44"/>
    <x v="1"/>
    <x v="0"/>
    <n v="38"/>
    <x v="4"/>
    <s v="LA CHORRERA"/>
    <x v="1"/>
    <x v="15"/>
    <x v="1"/>
    <x v="1"/>
  </r>
  <r>
    <x v="16"/>
    <n v="176669497"/>
    <x v="32"/>
    <x v="1"/>
    <x v="44"/>
    <x v="1"/>
    <x v="0"/>
    <n v="4.5"/>
    <x v="3"/>
    <s v="LA CHORRERA"/>
    <x v="1"/>
    <x v="14"/>
    <x v="1"/>
    <x v="1"/>
  </r>
  <r>
    <x v="12"/>
    <n v="176560454"/>
    <x v="32"/>
    <x v="1"/>
    <x v="11"/>
    <x v="1"/>
    <x v="0"/>
    <n v="5.55"/>
    <x v="3"/>
    <s v="LOS ANDES"/>
    <x v="1"/>
    <x v="16"/>
    <x v="1"/>
    <x v="1"/>
  </r>
  <r>
    <x v="15"/>
    <n v="176498886"/>
    <x v="32"/>
    <x v="1"/>
    <x v="45"/>
    <x v="1"/>
    <x v="0"/>
    <n v="1100"/>
    <x v="3"/>
    <s v="VIA ESPANA"/>
    <x v="1"/>
    <x v="17"/>
    <x v="1"/>
    <x v="1"/>
  </r>
  <r>
    <x v="10"/>
    <n v="176719534"/>
    <x v="42"/>
    <x v="1"/>
    <x v="45"/>
    <x v="1"/>
    <x v="1"/>
    <n v="0"/>
    <x v="5"/>
    <s v="VIA ESPANA"/>
    <x v="1"/>
    <x v="18"/>
    <x v="1"/>
    <x v="1"/>
  </r>
  <r>
    <x v="17"/>
    <n v="176886481"/>
    <x v="32"/>
    <x v="1"/>
    <x v="45"/>
    <x v="1"/>
    <x v="0"/>
    <n v="11.5"/>
    <x v="3"/>
    <s v="VIA ESPANA"/>
    <x v="1"/>
    <x v="17"/>
    <x v="1"/>
    <x v="1"/>
  </r>
  <r>
    <x v="18"/>
    <n v="176456296"/>
    <x v="32"/>
    <x v="1"/>
    <x v="12"/>
    <x v="1"/>
    <x v="0"/>
    <n v="27.4"/>
    <x v="3"/>
    <s v="CHITRE"/>
    <x v="1"/>
    <x v="19"/>
    <x v="1"/>
    <x v="1"/>
  </r>
  <r>
    <x v="19"/>
    <n v="177008095"/>
    <x v="32"/>
    <x v="1"/>
    <x v="12"/>
    <x v="1"/>
    <x v="0"/>
    <n v="8.6999999999999993"/>
    <x v="3"/>
    <s v="CHITRE"/>
    <x v="1"/>
    <x v="19"/>
    <x v="1"/>
    <x v="1"/>
  </r>
  <r>
    <x v="20"/>
    <n v="175984238"/>
    <x v="32"/>
    <x v="1"/>
    <x v="13"/>
    <x v="1"/>
    <x v="0"/>
    <n v="7.4"/>
    <x v="3"/>
    <s v="LOS PUEBLOS"/>
    <x v="1"/>
    <x v="20"/>
    <x v="1"/>
    <x v="1"/>
  </r>
  <r>
    <x v="2"/>
    <n v="176267023"/>
    <x v="32"/>
    <x v="1"/>
    <x v="13"/>
    <x v="1"/>
    <x v="0"/>
    <n v="3.7"/>
    <x v="3"/>
    <s v="LOS PUEBLOS"/>
    <x v="1"/>
    <x v="20"/>
    <x v="1"/>
    <x v="1"/>
  </r>
  <r>
    <x v="11"/>
    <n v="175977772"/>
    <x v="104"/>
    <x v="1"/>
    <x v="46"/>
    <x v="1"/>
    <x v="0"/>
    <n v="41.6"/>
    <x v="4"/>
    <s v="ZONA LIBRE"/>
    <x v="1"/>
    <x v="21"/>
    <x v="1"/>
    <x v="1"/>
  </r>
  <r>
    <x v="12"/>
    <n v="176562290"/>
    <x v="32"/>
    <x v="1"/>
    <x v="46"/>
    <x v="1"/>
    <x v="0"/>
    <n v="1500"/>
    <x v="3"/>
    <s v="ZONA LIBRE"/>
    <x v="1"/>
    <x v="22"/>
    <x v="1"/>
    <x v="1"/>
  </r>
  <r>
    <x v="10"/>
    <n v="176719538"/>
    <x v="42"/>
    <x v="1"/>
    <x v="46"/>
    <x v="1"/>
    <x v="2"/>
    <n v="0"/>
    <x v="6"/>
    <s v="ZONA LIBRE"/>
    <x v="1"/>
    <x v="23"/>
    <x v="1"/>
    <x v="1"/>
  </r>
  <r>
    <x v="11"/>
    <n v="175929174"/>
    <x v="32"/>
    <x v="1"/>
    <x v="47"/>
    <x v="1"/>
    <x v="0"/>
    <n v="2.9"/>
    <x v="3"/>
    <s v="PLAZA GALAPAGO"/>
    <x v="1"/>
    <x v="24"/>
    <x v="1"/>
    <x v="1"/>
  </r>
  <r>
    <x v="21"/>
    <n v="176334455"/>
    <x v="32"/>
    <x v="1"/>
    <x v="47"/>
    <x v="1"/>
    <x v="0"/>
    <n v="1.45"/>
    <x v="3"/>
    <s v="PLAZA GALAPAGO"/>
    <x v="1"/>
    <x v="24"/>
    <x v="1"/>
    <x v="1"/>
  </r>
  <r>
    <x v="15"/>
    <n v="176500813"/>
    <x v="32"/>
    <x v="1"/>
    <x v="47"/>
    <x v="1"/>
    <x v="0"/>
    <n v="6.4"/>
    <x v="3"/>
    <s v="PLAZA GALAPAGO"/>
    <x v="1"/>
    <x v="24"/>
    <x v="1"/>
    <x v="1"/>
  </r>
  <r>
    <x v="3"/>
    <n v="175921690"/>
    <x v="105"/>
    <x v="1"/>
    <x v="16"/>
    <x v="1"/>
    <x v="0"/>
    <n v="24.34"/>
    <x v="4"/>
    <s v="DAVID"/>
    <x v="1"/>
    <x v="25"/>
    <x v="1"/>
    <x v="1"/>
  </r>
  <r>
    <x v="20"/>
    <n v="176033141"/>
    <x v="106"/>
    <x v="1"/>
    <x v="16"/>
    <x v="1"/>
    <x v="0"/>
    <n v="176"/>
    <x v="7"/>
    <s v="DAVID"/>
    <x v="1"/>
    <x v="26"/>
    <x v="1"/>
    <x v="1"/>
  </r>
  <r>
    <x v="8"/>
    <n v="176948714"/>
    <x v="32"/>
    <x v="1"/>
    <x v="17"/>
    <x v="1"/>
    <x v="0"/>
    <n v="9.5500000000000007"/>
    <x v="3"/>
    <s v="PLAZA LAS AMERICAS"/>
    <x v="1"/>
    <x v="27"/>
    <x v="1"/>
    <x v="1"/>
  </r>
  <r>
    <x v="14"/>
    <n v="175580852"/>
    <x v="32"/>
    <x v="1"/>
    <x v="48"/>
    <x v="1"/>
    <x v="0"/>
    <n v="26"/>
    <x v="3"/>
    <s v="CORONADO"/>
    <x v="1"/>
    <x v="28"/>
    <x v="1"/>
    <x v="1"/>
  </r>
  <r>
    <x v="4"/>
    <n v="175645459"/>
    <x v="32"/>
    <x v="1"/>
    <x v="48"/>
    <x v="1"/>
    <x v="0"/>
    <n v="13"/>
    <x v="3"/>
    <s v="CORONADO"/>
    <x v="1"/>
    <x v="28"/>
    <x v="1"/>
    <x v="1"/>
  </r>
  <r>
    <x v="7"/>
    <n v="176451890"/>
    <x v="107"/>
    <x v="1"/>
    <x v="48"/>
    <x v="1"/>
    <x v="0"/>
    <n v="26"/>
    <x v="4"/>
    <s v="CORONADO"/>
    <x v="1"/>
    <x v="29"/>
    <x v="1"/>
    <x v="1"/>
  </r>
  <r>
    <x v="21"/>
    <n v="176389998"/>
    <x v="108"/>
    <x v="1"/>
    <x v="48"/>
    <x v="2"/>
    <x v="0"/>
    <n v="312"/>
    <x v="4"/>
    <s v="CORONADO"/>
    <x v="1"/>
    <x v="30"/>
    <x v="2"/>
    <x v="2"/>
  </r>
  <r>
    <x v="21"/>
    <n v="176389998"/>
    <x v="109"/>
    <x v="1"/>
    <x v="48"/>
    <x v="0"/>
    <x v="0"/>
    <n v="338"/>
    <x v="4"/>
    <s v="CORONADO"/>
    <x v="1"/>
    <x v="30"/>
    <x v="0"/>
    <x v="0"/>
  </r>
  <r>
    <x v="9"/>
    <n v="175810026"/>
    <x v="32"/>
    <x v="1"/>
    <x v="18"/>
    <x v="1"/>
    <x v="0"/>
    <n v="1.8"/>
    <x v="3"/>
    <s v="ALBROOK MALL"/>
    <x v="1"/>
    <x v="31"/>
    <x v="1"/>
    <x v="1"/>
  </r>
  <r>
    <x v="3"/>
    <n v="175872871"/>
    <x v="32"/>
    <x v="1"/>
    <x v="18"/>
    <x v="1"/>
    <x v="0"/>
    <n v="11.3"/>
    <x v="3"/>
    <s v="ALBROOK MALL"/>
    <x v="1"/>
    <x v="31"/>
    <x v="1"/>
    <x v="1"/>
  </r>
  <r>
    <x v="7"/>
    <n v="176451890"/>
    <x v="110"/>
    <x v="1"/>
    <x v="18"/>
    <x v="1"/>
    <x v="0"/>
    <n v="12"/>
    <x v="4"/>
    <s v="ALBROOK MALL"/>
    <x v="1"/>
    <x v="29"/>
    <x v="1"/>
    <x v="1"/>
  </r>
  <r>
    <x v="22"/>
    <n v="175764582"/>
    <x v="32"/>
    <x v="1"/>
    <x v="19"/>
    <x v="1"/>
    <x v="0"/>
    <n v="25"/>
    <x v="3"/>
    <s v="PANAMA PACIFICO"/>
    <x v="1"/>
    <x v="32"/>
    <x v="1"/>
    <x v="1"/>
  </r>
  <r>
    <x v="17"/>
    <n v="176889851"/>
    <x v="32"/>
    <x v="1"/>
    <x v="19"/>
    <x v="1"/>
    <x v="0"/>
    <n v="15"/>
    <x v="3"/>
    <s v="PANAMA PACIFICO"/>
    <x v="1"/>
    <x v="32"/>
    <x v="1"/>
    <x v="1"/>
  </r>
  <r>
    <x v="5"/>
    <n v="176144230"/>
    <x v="32"/>
    <x v="1"/>
    <x v="49"/>
    <x v="1"/>
    <x v="0"/>
    <n v="2.1"/>
    <x v="3"/>
    <s v="PENONOME"/>
    <x v="1"/>
    <x v="33"/>
    <x v="1"/>
    <x v="1"/>
  </r>
  <r>
    <x v="20"/>
    <n v="176033141"/>
    <x v="111"/>
    <x v="1"/>
    <x v="49"/>
    <x v="2"/>
    <x v="0"/>
    <n v="126"/>
    <x v="4"/>
    <s v="PENONOME"/>
    <x v="1"/>
    <x v="26"/>
    <x v="2"/>
    <x v="2"/>
  </r>
  <r>
    <x v="6"/>
    <n v="176828272"/>
    <x v="32"/>
    <x v="1"/>
    <x v="20"/>
    <x v="1"/>
    <x v="0"/>
    <n v="17.399999999999999"/>
    <x v="3"/>
    <s v="ALBROOK"/>
    <x v="1"/>
    <x v="34"/>
    <x v="1"/>
    <x v="1"/>
  </r>
  <r>
    <x v="11"/>
    <n v="175977772"/>
    <x v="112"/>
    <x v="1"/>
    <x v="20"/>
    <x v="2"/>
    <x v="0"/>
    <n v="147.9"/>
    <x v="4"/>
    <s v="ALBROOK"/>
    <x v="1"/>
    <x v="21"/>
    <x v="2"/>
    <x v="2"/>
  </r>
  <r>
    <x v="20"/>
    <n v="175987480"/>
    <x v="32"/>
    <x v="1"/>
    <x v="21"/>
    <x v="1"/>
    <x v="0"/>
    <n v="4.5"/>
    <x v="3"/>
    <s v="SUCURSAL DE VISTA ALEGRE"/>
    <x v="1"/>
    <x v="35"/>
    <x v="1"/>
    <x v="1"/>
  </r>
  <r>
    <x v="22"/>
    <n v="175765343"/>
    <x v="32"/>
    <x v="1"/>
    <x v="50"/>
    <x v="1"/>
    <x v="0"/>
    <n v="42"/>
    <x v="3"/>
    <s v="LAS TABLAS"/>
    <x v="1"/>
    <x v="36"/>
    <x v="1"/>
    <x v="1"/>
  </r>
  <r>
    <x v="23"/>
    <n v="176207518"/>
    <x v="32"/>
    <x v="1"/>
    <x v="50"/>
    <x v="1"/>
    <x v="0"/>
    <n v="3"/>
    <x v="3"/>
    <s v="LAS TABLAS"/>
    <x v="1"/>
    <x v="36"/>
    <x v="1"/>
    <x v="1"/>
  </r>
  <r>
    <x v="15"/>
    <n v="176503593"/>
    <x v="32"/>
    <x v="1"/>
    <x v="50"/>
    <x v="1"/>
    <x v="0"/>
    <n v="14"/>
    <x v="3"/>
    <s v="LAS TABLAS"/>
    <x v="1"/>
    <x v="36"/>
    <x v="1"/>
    <x v="1"/>
  </r>
  <r>
    <x v="0"/>
    <n v="176784482"/>
    <x v="32"/>
    <x v="1"/>
    <x v="50"/>
    <x v="1"/>
    <x v="0"/>
    <n v="14"/>
    <x v="3"/>
    <s v="LAS TABLAS"/>
    <x v="1"/>
    <x v="36"/>
    <x v="1"/>
    <x v="1"/>
  </r>
  <r>
    <x v="21"/>
    <n v="176389998"/>
    <x v="105"/>
    <x v="1"/>
    <x v="50"/>
    <x v="0"/>
    <x v="0"/>
    <n v="182"/>
    <x v="4"/>
    <s v="LAS TABLAS"/>
    <x v="1"/>
    <x v="30"/>
    <x v="0"/>
    <x v="0"/>
  </r>
  <r>
    <x v="11"/>
    <n v="175931940"/>
    <x v="32"/>
    <x v="1"/>
    <x v="22"/>
    <x v="1"/>
    <x v="0"/>
    <n v="9.5500000000000007"/>
    <x v="3"/>
    <s v="24 DE DICIEMBRE"/>
    <x v="1"/>
    <x v="37"/>
    <x v="1"/>
    <x v="1"/>
  </r>
  <r>
    <x v="2"/>
    <n v="176271799"/>
    <x v="32"/>
    <x v="1"/>
    <x v="23"/>
    <x v="1"/>
    <x v="0"/>
    <n v="7.35"/>
    <x v="3"/>
    <s v="COSTA DEL ESTE"/>
    <x v="1"/>
    <x v="38"/>
    <x v="1"/>
    <x v="1"/>
  </r>
  <r>
    <x v="7"/>
    <n v="176451890"/>
    <x v="113"/>
    <x v="1"/>
    <x v="25"/>
    <x v="1"/>
    <x v="0"/>
    <n v="12"/>
    <x v="4"/>
    <s v="TERMINAL DE ALBROOK"/>
    <x v="1"/>
    <x v="29"/>
    <x v="1"/>
    <x v="1"/>
  </r>
  <r>
    <x v="4"/>
    <n v="175696740"/>
    <x v="114"/>
    <x v="1"/>
    <x v="26"/>
    <x v="1"/>
    <x v="0"/>
    <n v="286"/>
    <x v="4"/>
    <s v="BOQUETE"/>
    <x v="1"/>
    <x v="39"/>
    <x v="1"/>
    <x v="1"/>
  </r>
  <r>
    <x v="24"/>
    <n v="175709476"/>
    <x v="32"/>
    <x v="1"/>
    <x v="26"/>
    <x v="1"/>
    <x v="0"/>
    <n v="22"/>
    <x v="3"/>
    <s v="BOQUETE"/>
    <x v="1"/>
    <x v="40"/>
    <x v="1"/>
    <x v="1"/>
  </r>
  <r>
    <x v="22"/>
    <n v="175766494"/>
    <x v="32"/>
    <x v="1"/>
    <x v="26"/>
    <x v="1"/>
    <x v="0"/>
    <n v="22"/>
    <x v="3"/>
    <s v="BOQUETE"/>
    <x v="1"/>
    <x v="40"/>
    <x v="1"/>
    <x v="1"/>
  </r>
  <r>
    <x v="7"/>
    <n v="176451890"/>
    <x v="115"/>
    <x v="1"/>
    <x v="26"/>
    <x v="1"/>
    <x v="0"/>
    <n v="136.61000000000001"/>
    <x v="8"/>
    <s v="BOQUETE"/>
    <x v="1"/>
    <x v="29"/>
    <x v="1"/>
    <x v="1"/>
  </r>
  <r>
    <x v="17"/>
    <n v="176939618"/>
    <x v="116"/>
    <x v="1"/>
    <x v="26"/>
    <x v="1"/>
    <x v="3"/>
    <n v="0"/>
    <x v="8"/>
    <s v="BOQUETE"/>
    <x v="1"/>
    <x v="41"/>
    <x v="1"/>
    <x v="1"/>
  </r>
  <r>
    <x v="14"/>
    <n v="175585079"/>
    <x v="32"/>
    <x v="1"/>
    <x v="28"/>
    <x v="1"/>
    <x v="0"/>
    <n v="3.7"/>
    <x v="3"/>
    <s v="PUENTE CENTENARIO"/>
    <x v="1"/>
    <x v="42"/>
    <x v="1"/>
    <x v="1"/>
  </r>
  <r>
    <x v="9"/>
    <n v="175813895"/>
    <x v="32"/>
    <x v="1"/>
    <x v="28"/>
    <x v="1"/>
    <x v="0"/>
    <n v="3.15"/>
    <x v="3"/>
    <s v="PUENTE CENTENARIO"/>
    <x v="1"/>
    <x v="42"/>
    <x v="1"/>
    <x v="1"/>
  </r>
  <r>
    <x v="9"/>
    <n v="175814153"/>
    <x v="32"/>
    <x v="1"/>
    <x v="51"/>
    <x v="1"/>
    <x v="0"/>
    <n v="18"/>
    <x v="3"/>
    <s v="AGUADULCE"/>
    <x v="1"/>
    <x v="43"/>
    <x v="1"/>
    <x v="1"/>
  </r>
  <r>
    <x v="3"/>
    <n v="175876921"/>
    <x v="32"/>
    <x v="1"/>
    <x v="51"/>
    <x v="1"/>
    <x v="0"/>
    <n v="72"/>
    <x v="3"/>
    <s v="AGUADULCE"/>
    <x v="1"/>
    <x v="43"/>
    <x v="1"/>
    <x v="1"/>
  </r>
  <r>
    <x v="1"/>
    <n v="176093324"/>
    <x v="117"/>
    <x v="1"/>
    <x v="51"/>
    <x v="1"/>
    <x v="0"/>
    <n v="91.5"/>
    <x v="4"/>
    <s v="AGUADULCE"/>
    <x v="1"/>
    <x v="44"/>
    <x v="1"/>
    <x v="1"/>
  </r>
  <r>
    <x v="21"/>
    <n v="176389998"/>
    <x v="118"/>
    <x v="1"/>
    <x v="51"/>
    <x v="0"/>
    <x v="0"/>
    <n v="136.5"/>
    <x v="4"/>
    <s v="AGUADULCE"/>
    <x v="1"/>
    <x v="30"/>
    <x v="0"/>
    <x v="0"/>
  </r>
  <r>
    <x v="12"/>
    <n v="176611219"/>
    <x v="119"/>
    <x v="1"/>
    <x v="52"/>
    <x v="1"/>
    <x v="0"/>
    <n v="39"/>
    <x v="4"/>
    <s v="SABANITAS"/>
    <x v="1"/>
    <x v="45"/>
    <x v="1"/>
    <x v="1"/>
  </r>
  <r>
    <x v="21"/>
    <n v="176389998"/>
    <x v="111"/>
    <x v="1"/>
    <x v="52"/>
    <x v="0"/>
    <x v="0"/>
    <n v="190.4"/>
    <x v="4"/>
    <s v="SABANITAS"/>
    <x v="1"/>
    <x v="30"/>
    <x v="0"/>
    <x v="0"/>
  </r>
  <r>
    <x v="7"/>
    <n v="176404780"/>
    <x v="32"/>
    <x v="1"/>
    <x v="30"/>
    <x v="1"/>
    <x v="0"/>
    <n v="2.4"/>
    <x v="3"/>
    <s v="BUSINESS PARK"/>
    <x v="1"/>
    <x v="46"/>
    <x v="1"/>
    <x v="1"/>
  </r>
  <r>
    <x v="17"/>
    <n v="176894640"/>
    <x v="32"/>
    <x v="1"/>
    <x v="30"/>
    <x v="1"/>
    <x v="0"/>
    <n v="1.8"/>
    <x v="3"/>
    <s v="BUSINESS PARK"/>
    <x v="1"/>
    <x v="46"/>
    <x v="1"/>
    <x v="1"/>
  </r>
  <r>
    <x v="14"/>
    <n v="175586610"/>
    <x v="32"/>
    <x v="1"/>
    <x v="31"/>
    <x v="1"/>
    <x v="0"/>
    <n v="1500"/>
    <x v="3"/>
    <s v="SAN FRANCISCO"/>
    <x v="1"/>
    <x v="47"/>
    <x v="1"/>
    <x v="1"/>
  </r>
  <r>
    <x v="10"/>
    <n v="176719401"/>
    <x v="42"/>
    <x v="1"/>
    <x v="31"/>
    <x v="1"/>
    <x v="2"/>
    <n v="0"/>
    <x v="9"/>
    <s v="SAN FRANCISCO"/>
    <x v="1"/>
    <x v="23"/>
    <x v="1"/>
    <x v="1"/>
  </r>
  <r>
    <x v="17"/>
    <n v="176894914"/>
    <x v="32"/>
    <x v="1"/>
    <x v="31"/>
    <x v="1"/>
    <x v="0"/>
    <n v="1.5"/>
    <x v="3"/>
    <s v="SAN FRANCISCO"/>
    <x v="1"/>
    <x v="47"/>
    <x v="1"/>
    <x v="1"/>
  </r>
  <r>
    <x v="8"/>
    <n v="176954483"/>
    <x v="32"/>
    <x v="1"/>
    <x v="31"/>
    <x v="1"/>
    <x v="0"/>
    <n v="1.5"/>
    <x v="3"/>
    <s v="SAN FRANCISCO"/>
    <x v="1"/>
    <x v="47"/>
    <x v="1"/>
    <x v="1"/>
  </r>
  <r>
    <x v="24"/>
    <n v="175712007"/>
    <x v="32"/>
    <x v="1"/>
    <x v="32"/>
    <x v="1"/>
    <x v="0"/>
    <n v="1.8"/>
    <x v="3"/>
    <s v="PLAZA BANCO GENERAL"/>
    <x v="1"/>
    <x v="48"/>
    <x v="1"/>
    <x v="1"/>
  </r>
  <r>
    <x v="25"/>
    <n v="176624734"/>
    <x v="32"/>
    <x v="1"/>
    <x v="32"/>
    <x v="1"/>
    <x v="0"/>
    <n v="13.3"/>
    <x v="3"/>
    <s v="PLAZA BANCO GENERAL"/>
    <x v="1"/>
    <x v="48"/>
    <x v="1"/>
    <x v="1"/>
  </r>
  <r>
    <x v="6"/>
    <n v="176833107"/>
    <x v="32"/>
    <x v="1"/>
    <x v="32"/>
    <x v="1"/>
    <x v="0"/>
    <n v="2.4"/>
    <x v="3"/>
    <s v="PLAZA BANCO GENERAL"/>
    <x v="1"/>
    <x v="48"/>
    <x v="1"/>
    <x v="1"/>
  </r>
  <r>
    <x v="20"/>
    <n v="175991940"/>
    <x v="32"/>
    <x v="1"/>
    <x v="33"/>
    <x v="1"/>
    <x v="0"/>
    <n v="9"/>
    <x v="3"/>
    <s v="LA CHORRERA - PARQUE 10 DE NOV."/>
    <x v="1"/>
    <x v="49"/>
    <x v="1"/>
    <x v="1"/>
  </r>
  <r>
    <x v="11"/>
    <n v="175936458"/>
    <x v="32"/>
    <x v="1"/>
    <x v="34"/>
    <x v="1"/>
    <x v="0"/>
    <n v="7.35"/>
    <x v="3"/>
    <s v="COSTA DEL ESTE - CENTENARIO"/>
    <x v="1"/>
    <x v="50"/>
    <x v="1"/>
    <x v="1"/>
  </r>
  <r>
    <x v="23"/>
    <n v="176212851"/>
    <x v="32"/>
    <x v="1"/>
    <x v="34"/>
    <x v="1"/>
    <x v="0"/>
    <n v="2.25"/>
    <x v="3"/>
    <s v="COSTA DEL ESTE - CENTENARIO"/>
    <x v="1"/>
    <x v="50"/>
    <x v="1"/>
    <x v="1"/>
  </r>
  <r>
    <x v="5"/>
    <n v="176150814"/>
    <x v="32"/>
    <x v="1"/>
    <x v="53"/>
    <x v="1"/>
    <x v="0"/>
    <n v="1200"/>
    <x v="3"/>
    <s v="PLAZA CAROLINA"/>
    <x v="1"/>
    <x v="51"/>
    <x v="1"/>
    <x v="1"/>
  </r>
  <r>
    <x v="16"/>
    <n v="176679812"/>
    <x v="32"/>
    <x v="1"/>
    <x v="53"/>
    <x v="1"/>
    <x v="0"/>
    <n v="6.5"/>
    <x v="3"/>
    <s v="PLAZA CAROLINA"/>
    <x v="1"/>
    <x v="51"/>
    <x v="1"/>
    <x v="1"/>
  </r>
  <r>
    <x v="10"/>
    <n v="176719533"/>
    <x v="42"/>
    <x v="1"/>
    <x v="53"/>
    <x v="1"/>
    <x v="4"/>
    <n v="0"/>
    <x v="10"/>
    <s v="PLAZA CAROLINA"/>
    <x v="1"/>
    <x v="23"/>
    <x v="1"/>
    <x v="1"/>
  </r>
  <r>
    <x v="0"/>
    <n v="176787908"/>
    <x v="32"/>
    <x v="1"/>
    <x v="53"/>
    <x v="1"/>
    <x v="0"/>
    <n v="14.55"/>
    <x v="3"/>
    <s v="PLAZA CAROLINA"/>
    <x v="1"/>
    <x v="51"/>
    <x v="1"/>
    <x v="1"/>
  </r>
  <r>
    <x v="10"/>
    <n v="176777716"/>
    <x v="120"/>
    <x v="1"/>
    <x v="54"/>
    <x v="1"/>
    <x v="0"/>
    <n v="12"/>
    <x v="4"/>
    <s v="CIUDAD DEL SABER"/>
    <x v="1"/>
    <x v="52"/>
    <x v="1"/>
    <x v="1"/>
  </r>
  <r>
    <x v="20"/>
    <n v="176003726"/>
    <x v="32"/>
    <x v="1"/>
    <x v="40"/>
    <x v="1"/>
    <x v="0"/>
    <n v="12"/>
    <x v="3"/>
    <s v="VILLA ZAITA"/>
    <x v="1"/>
    <x v="53"/>
    <x v="1"/>
    <x v="1"/>
  </r>
  <r>
    <x v="12"/>
    <n v="176581447"/>
    <x v="32"/>
    <x v="1"/>
    <x v="55"/>
    <x v="1"/>
    <x v="0"/>
    <n v="1100"/>
    <x v="3"/>
    <s v="AZUERO TERMINAL PLAZA"/>
    <x v="1"/>
    <x v="54"/>
    <x v="1"/>
    <x v="1"/>
  </r>
  <r>
    <x v="10"/>
    <n v="176719536"/>
    <x v="42"/>
    <x v="1"/>
    <x v="55"/>
    <x v="1"/>
    <x v="1"/>
    <n v="0"/>
    <x v="11"/>
    <s v="AZUERO TERMINAL PLAZA"/>
    <x v="1"/>
    <x v="18"/>
    <x v="1"/>
    <x v="1"/>
  </r>
  <r>
    <x v="23"/>
    <n v="176259407"/>
    <x v="121"/>
    <x v="1"/>
    <x v="56"/>
    <x v="1"/>
    <x v="0"/>
    <n v="9.5"/>
    <x v="4"/>
    <s v="COSTA VERDE"/>
    <x v="1"/>
    <x v="55"/>
    <x v="1"/>
    <x v="1"/>
  </r>
  <r>
    <x v="21"/>
    <n v="176355488"/>
    <x v="32"/>
    <x v="1"/>
    <x v="56"/>
    <x v="1"/>
    <x v="0"/>
    <n v="4.5"/>
    <x v="3"/>
    <s v="COSTA VERDE"/>
    <x v="1"/>
    <x v="56"/>
    <x v="1"/>
    <x v="1"/>
  </r>
  <r>
    <x v="16"/>
    <n v="176690865"/>
    <x v="32"/>
    <x v="1"/>
    <x v="57"/>
    <x v="1"/>
    <x v="0"/>
    <n v="1.8"/>
    <x v="3"/>
    <s v="PLAZA LOS ANGELES"/>
    <x v="1"/>
    <x v="57"/>
    <x v="1"/>
    <x v="1"/>
  </r>
  <r>
    <x v="6"/>
    <n v="176846900"/>
    <x v="42"/>
    <x v="1"/>
    <x v="57"/>
    <x v="2"/>
    <x v="5"/>
    <n v="0"/>
    <x v="12"/>
    <s v="PLAZA LOS ANGELES"/>
    <x v="1"/>
    <x v="58"/>
    <x v="2"/>
    <x v="2"/>
  </r>
  <r>
    <x v="8"/>
    <n v="176939858"/>
    <x v="32"/>
    <x v="1"/>
    <x v="57"/>
    <x v="2"/>
    <x v="0"/>
    <n v="6.85"/>
    <x v="13"/>
    <s v="PLAZA LOS ANGELES"/>
    <x v="1"/>
    <x v="59"/>
    <x v="2"/>
    <x v="2"/>
  </r>
  <r>
    <x v="8"/>
    <n v="176939858"/>
    <x v="122"/>
    <x v="1"/>
    <x v="57"/>
    <x v="2"/>
    <x v="0"/>
    <n v="6.85"/>
    <x v="14"/>
    <s v="PLAZA LOS ANGELES"/>
    <x v="1"/>
    <x v="59"/>
    <x v="2"/>
    <x v="2"/>
  </r>
  <r>
    <x v="1"/>
    <n v="176093324"/>
    <x v="123"/>
    <x v="1"/>
    <x v="58"/>
    <x v="1"/>
    <x v="0"/>
    <n v="70"/>
    <x v="4"/>
    <s v="SAN MATEO"/>
    <x v="1"/>
    <x v="44"/>
    <x v="1"/>
    <x v="1"/>
  </r>
  <r>
    <x v="14"/>
    <n v="175601425"/>
    <x v="32"/>
    <x v="1"/>
    <x v="41"/>
    <x v="1"/>
    <x v="0"/>
    <n v="4.5"/>
    <x v="3"/>
    <s v="BRISAS DEL GOLF ARRAIJAN"/>
    <x v="1"/>
    <x v="60"/>
    <x v="1"/>
    <x v="1"/>
  </r>
  <r>
    <x v="9"/>
    <n v="175830502"/>
    <x v="32"/>
    <x v="1"/>
    <x v="59"/>
    <x v="1"/>
    <x v="0"/>
    <n v="13"/>
    <x v="3"/>
    <s v="PASEO ARRAIJAN"/>
    <x v="1"/>
    <x v="61"/>
    <x v="1"/>
    <x v="1"/>
  </r>
  <r>
    <x v="4"/>
    <n v="175665315"/>
    <x v="32"/>
    <x v="1"/>
    <x v="60"/>
    <x v="1"/>
    <x v="0"/>
    <n v="3.6"/>
    <x v="3"/>
    <s v="SANTA MARIA"/>
    <x v="1"/>
    <x v="62"/>
    <x v="1"/>
    <x v="1"/>
  </r>
  <r>
    <x v="25"/>
    <n v="176637475"/>
    <x v="32"/>
    <x v="1"/>
    <x v="60"/>
    <x v="1"/>
    <x v="0"/>
    <n v="3.6"/>
    <x v="3"/>
    <s v="SANTA MARIA"/>
    <x v="1"/>
    <x v="62"/>
    <x v="1"/>
    <x v="1"/>
  </r>
  <r>
    <x v="16"/>
    <n v="176719325"/>
    <x v="32"/>
    <x v="2"/>
    <x v="0"/>
    <x v="1"/>
    <x v="0"/>
    <n v="63.13"/>
    <x v="15"/>
    <s v="CASA MATRIZ"/>
    <x v="2"/>
    <x v="63"/>
    <x v="1"/>
    <x v="1"/>
  </r>
  <r>
    <x v="25"/>
    <n v="176665182"/>
    <x v="122"/>
    <x v="2"/>
    <x v="0"/>
    <x v="2"/>
    <x v="0"/>
    <n v="48"/>
    <x v="16"/>
    <s v="CASA MATRIZ"/>
    <x v="2"/>
    <x v="64"/>
    <x v="2"/>
    <x v="2"/>
  </r>
  <r>
    <x v="1"/>
    <n v="176093324"/>
    <x v="42"/>
    <x v="2"/>
    <x v="1"/>
    <x v="1"/>
    <x v="0"/>
    <n v="8"/>
    <x v="16"/>
    <s v="PAITILLA"/>
    <x v="2"/>
    <x v="44"/>
    <x v="1"/>
    <x v="1"/>
  </r>
  <r>
    <x v="3"/>
    <n v="175921690"/>
    <x v="122"/>
    <x v="2"/>
    <x v="1"/>
    <x v="2"/>
    <x v="0"/>
    <n v="8"/>
    <x v="16"/>
    <s v="PAITILLA"/>
    <x v="2"/>
    <x v="25"/>
    <x v="2"/>
    <x v="2"/>
  </r>
  <r>
    <x v="16"/>
    <n v="176719325"/>
    <x v="124"/>
    <x v="2"/>
    <x v="3"/>
    <x v="1"/>
    <x v="0"/>
    <n v="113"/>
    <x v="15"/>
    <s v="VIA PORRAS"/>
    <x v="2"/>
    <x v="63"/>
    <x v="1"/>
    <x v="1"/>
  </r>
  <r>
    <x v="16"/>
    <n v="176719325"/>
    <x v="125"/>
    <x v="2"/>
    <x v="3"/>
    <x v="1"/>
    <x v="0"/>
    <n v="16"/>
    <x v="16"/>
    <s v="VIA PORRAS"/>
    <x v="2"/>
    <x v="63"/>
    <x v="1"/>
    <x v="1"/>
  </r>
  <r>
    <x v="3"/>
    <n v="175921690"/>
    <x v="126"/>
    <x v="2"/>
    <x v="3"/>
    <x v="2"/>
    <x v="0"/>
    <n v="8"/>
    <x v="16"/>
    <s v="VIA PORRAS"/>
    <x v="2"/>
    <x v="25"/>
    <x v="2"/>
    <x v="2"/>
  </r>
  <r>
    <x v="25"/>
    <n v="176665182"/>
    <x v="127"/>
    <x v="2"/>
    <x v="3"/>
    <x v="2"/>
    <x v="0"/>
    <n v="40"/>
    <x v="16"/>
    <s v="VIA PORRAS"/>
    <x v="2"/>
    <x v="64"/>
    <x v="2"/>
    <x v="2"/>
  </r>
  <r>
    <x v="21"/>
    <n v="176389998"/>
    <x v="122"/>
    <x v="2"/>
    <x v="3"/>
    <x v="0"/>
    <x v="0"/>
    <n v="8"/>
    <x v="16"/>
    <s v="VIA PORRAS"/>
    <x v="2"/>
    <x v="30"/>
    <x v="0"/>
    <x v="0"/>
  </r>
  <r>
    <x v="3"/>
    <n v="175921690"/>
    <x v="121"/>
    <x v="2"/>
    <x v="4"/>
    <x v="2"/>
    <x v="0"/>
    <n v="8"/>
    <x v="16"/>
    <s v="EL INGENIO"/>
    <x v="2"/>
    <x v="25"/>
    <x v="2"/>
    <x v="2"/>
  </r>
  <r>
    <x v="0"/>
    <n v="176818303"/>
    <x v="127"/>
    <x v="2"/>
    <x v="5"/>
    <x v="1"/>
    <x v="0"/>
    <n v="104"/>
    <x v="15"/>
    <s v="PLAZA TOCUMEN"/>
    <x v="2"/>
    <x v="65"/>
    <x v="1"/>
    <x v="1"/>
  </r>
  <r>
    <x v="12"/>
    <n v="176611219"/>
    <x v="128"/>
    <x v="2"/>
    <x v="7"/>
    <x v="2"/>
    <x v="0"/>
    <n v="8"/>
    <x v="16"/>
    <s v="OBARRIO"/>
    <x v="2"/>
    <x v="45"/>
    <x v="2"/>
    <x v="2"/>
  </r>
  <r>
    <x v="9"/>
    <n v="175863582"/>
    <x v="111"/>
    <x v="2"/>
    <x v="7"/>
    <x v="0"/>
    <x v="0"/>
    <n v="8"/>
    <x v="16"/>
    <s v="OBARRIO"/>
    <x v="2"/>
    <x v="66"/>
    <x v="0"/>
    <x v="0"/>
  </r>
  <r>
    <x v="15"/>
    <n v="176554951"/>
    <x v="129"/>
    <x v="2"/>
    <x v="7"/>
    <x v="0"/>
    <x v="0"/>
    <n v="24"/>
    <x v="16"/>
    <s v="OBARRIO"/>
    <x v="2"/>
    <x v="67"/>
    <x v="0"/>
    <x v="0"/>
  </r>
  <r>
    <x v="4"/>
    <n v="175696740"/>
    <x v="127"/>
    <x v="2"/>
    <x v="8"/>
    <x v="2"/>
    <x v="0"/>
    <n v="16"/>
    <x v="16"/>
    <s v="HATO PINTADO"/>
    <x v="2"/>
    <x v="39"/>
    <x v="2"/>
    <x v="2"/>
  </r>
  <r>
    <x v="9"/>
    <n v="175863582"/>
    <x v="130"/>
    <x v="2"/>
    <x v="8"/>
    <x v="2"/>
    <x v="0"/>
    <n v="16"/>
    <x v="16"/>
    <s v="HATO PINTADO"/>
    <x v="2"/>
    <x v="66"/>
    <x v="2"/>
    <x v="2"/>
  </r>
  <r>
    <x v="20"/>
    <n v="176033141"/>
    <x v="131"/>
    <x v="2"/>
    <x v="8"/>
    <x v="2"/>
    <x v="0"/>
    <n v="112"/>
    <x v="16"/>
    <s v="HATO PINTADO"/>
    <x v="2"/>
    <x v="26"/>
    <x v="2"/>
    <x v="2"/>
  </r>
  <r>
    <x v="5"/>
    <n v="176196481"/>
    <x v="3"/>
    <x v="2"/>
    <x v="8"/>
    <x v="2"/>
    <x v="0"/>
    <n v="16"/>
    <x v="16"/>
    <s v="HATO PINTADO"/>
    <x v="2"/>
    <x v="15"/>
    <x v="2"/>
    <x v="2"/>
  </r>
  <r>
    <x v="7"/>
    <n v="176451890"/>
    <x v="106"/>
    <x v="2"/>
    <x v="8"/>
    <x v="2"/>
    <x v="0"/>
    <n v="24"/>
    <x v="16"/>
    <s v="HATO PINTADO"/>
    <x v="2"/>
    <x v="29"/>
    <x v="2"/>
    <x v="2"/>
  </r>
  <r>
    <x v="15"/>
    <n v="176554951"/>
    <x v="132"/>
    <x v="2"/>
    <x v="8"/>
    <x v="2"/>
    <x v="0"/>
    <n v="16"/>
    <x v="16"/>
    <s v="HATO PINTADO"/>
    <x v="2"/>
    <x v="67"/>
    <x v="2"/>
    <x v="2"/>
  </r>
  <r>
    <x v="25"/>
    <n v="176665182"/>
    <x v="133"/>
    <x v="2"/>
    <x v="8"/>
    <x v="2"/>
    <x v="0"/>
    <n v="72"/>
    <x v="16"/>
    <s v="HATO PINTADO"/>
    <x v="2"/>
    <x v="64"/>
    <x v="2"/>
    <x v="2"/>
  </r>
  <r>
    <x v="16"/>
    <n v="176719325"/>
    <x v="134"/>
    <x v="2"/>
    <x v="8"/>
    <x v="2"/>
    <x v="0"/>
    <n v="48"/>
    <x v="16"/>
    <s v="HATO PINTADO"/>
    <x v="2"/>
    <x v="63"/>
    <x v="2"/>
    <x v="2"/>
  </r>
  <r>
    <x v="10"/>
    <n v="176777716"/>
    <x v="135"/>
    <x v="2"/>
    <x v="8"/>
    <x v="2"/>
    <x v="0"/>
    <n v="32"/>
    <x v="16"/>
    <s v="HATO PINTADO"/>
    <x v="2"/>
    <x v="52"/>
    <x v="2"/>
    <x v="2"/>
  </r>
  <r>
    <x v="6"/>
    <n v="176880462"/>
    <x v="104"/>
    <x v="2"/>
    <x v="8"/>
    <x v="2"/>
    <x v="0"/>
    <n v="8"/>
    <x v="16"/>
    <s v="HATO PINTADO"/>
    <x v="2"/>
    <x v="68"/>
    <x v="2"/>
    <x v="2"/>
  </r>
  <r>
    <x v="17"/>
    <n v="176939618"/>
    <x v="136"/>
    <x v="2"/>
    <x v="8"/>
    <x v="2"/>
    <x v="0"/>
    <n v="32"/>
    <x v="16"/>
    <s v="HATO PINTADO"/>
    <x v="2"/>
    <x v="41"/>
    <x v="2"/>
    <x v="2"/>
  </r>
  <r>
    <x v="20"/>
    <n v="176033141"/>
    <x v="137"/>
    <x v="2"/>
    <x v="8"/>
    <x v="0"/>
    <x v="0"/>
    <n v="16"/>
    <x v="16"/>
    <s v="HATO PINTADO"/>
    <x v="2"/>
    <x v="26"/>
    <x v="0"/>
    <x v="0"/>
  </r>
  <r>
    <x v="7"/>
    <n v="176451890"/>
    <x v="118"/>
    <x v="2"/>
    <x v="44"/>
    <x v="1"/>
    <x v="0"/>
    <n v="48.07"/>
    <x v="15"/>
    <s v="LA CHORRERA"/>
    <x v="2"/>
    <x v="29"/>
    <x v="1"/>
    <x v="1"/>
  </r>
  <r>
    <x v="23"/>
    <n v="176259407"/>
    <x v="137"/>
    <x v="2"/>
    <x v="10"/>
    <x v="1"/>
    <x v="0"/>
    <n v="51.04"/>
    <x v="15"/>
    <s v="VILLA LUCRE"/>
    <x v="2"/>
    <x v="55"/>
    <x v="1"/>
    <x v="1"/>
  </r>
  <r>
    <x v="24"/>
    <n v="175758174"/>
    <x v="138"/>
    <x v="2"/>
    <x v="10"/>
    <x v="2"/>
    <x v="0"/>
    <n v="32"/>
    <x v="16"/>
    <s v="VILLA LUCRE"/>
    <x v="2"/>
    <x v="69"/>
    <x v="2"/>
    <x v="2"/>
  </r>
  <r>
    <x v="9"/>
    <n v="175863582"/>
    <x v="115"/>
    <x v="2"/>
    <x v="10"/>
    <x v="2"/>
    <x v="0"/>
    <n v="8"/>
    <x v="16"/>
    <s v="VILLA LUCRE"/>
    <x v="2"/>
    <x v="66"/>
    <x v="2"/>
    <x v="2"/>
  </r>
  <r>
    <x v="7"/>
    <n v="176451890"/>
    <x v="139"/>
    <x v="2"/>
    <x v="10"/>
    <x v="2"/>
    <x v="0"/>
    <n v="16"/>
    <x v="16"/>
    <s v="VILLA LUCRE"/>
    <x v="2"/>
    <x v="29"/>
    <x v="2"/>
    <x v="2"/>
  </r>
  <r>
    <x v="15"/>
    <n v="176554951"/>
    <x v="140"/>
    <x v="2"/>
    <x v="10"/>
    <x v="2"/>
    <x v="0"/>
    <n v="48"/>
    <x v="16"/>
    <s v="VILLA LUCRE"/>
    <x v="2"/>
    <x v="67"/>
    <x v="2"/>
    <x v="2"/>
  </r>
  <r>
    <x v="4"/>
    <n v="175696740"/>
    <x v="141"/>
    <x v="2"/>
    <x v="11"/>
    <x v="2"/>
    <x v="0"/>
    <n v="24"/>
    <x v="16"/>
    <s v="LOS ANDES"/>
    <x v="2"/>
    <x v="39"/>
    <x v="2"/>
    <x v="2"/>
  </r>
  <r>
    <x v="24"/>
    <n v="175758174"/>
    <x v="126"/>
    <x v="2"/>
    <x v="11"/>
    <x v="2"/>
    <x v="0"/>
    <n v="72"/>
    <x v="16"/>
    <s v="LOS ANDES"/>
    <x v="2"/>
    <x v="69"/>
    <x v="2"/>
    <x v="2"/>
  </r>
  <r>
    <x v="3"/>
    <n v="175921690"/>
    <x v="142"/>
    <x v="2"/>
    <x v="11"/>
    <x v="2"/>
    <x v="0"/>
    <n v="32"/>
    <x v="16"/>
    <s v="LOS ANDES"/>
    <x v="2"/>
    <x v="25"/>
    <x v="2"/>
    <x v="2"/>
  </r>
  <r>
    <x v="20"/>
    <n v="176033141"/>
    <x v="143"/>
    <x v="2"/>
    <x v="11"/>
    <x v="2"/>
    <x v="0"/>
    <n v="80"/>
    <x v="16"/>
    <s v="LOS ANDES"/>
    <x v="2"/>
    <x v="26"/>
    <x v="2"/>
    <x v="2"/>
  </r>
  <r>
    <x v="5"/>
    <n v="176196481"/>
    <x v="105"/>
    <x v="2"/>
    <x v="11"/>
    <x v="2"/>
    <x v="0"/>
    <n v="32"/>
    <x v="16"/>
    <s v="LOS ANDES"/>
    <x v="2"/>
    <x v="15"/>
    <x v="2"/>
    <x v="2"/>
  </r>
  <r>
    <x v="21"/>
    <n v="176389998"/>
    <x v="1"/>
    <x v="2"/>
    <x v="11"/>
    <x v="2"/>
    <x v="0"/>
    <n v="64"/>
    <x v="16"/>
    <s v="LOS ANDES"/>
    <x v="2"/>
    <x v="30"/>
    <x v="2"/>
    <x v="2"/>
  </r>
  <r>
    <x v="7"/>
    <n v="176451890"/>
    <x v="144"/>
    <x v="2"/>
    <x v="11"/>
    <x v="2"/>
    <x v="0"/>
    <n v="80"/>
    <x v="16"/>
    <s v="LOS ANDES"/>
    <x v="2"/>
    <x v="29"/>
    <x v="2"/>
    <x v="2"/>
  </r>
  <r>
    <x v="12"/>
    <n v="176611219"/>
    <x v="145"/>
    <x v="2"/>
    <x v="11"/>
    <x v="2"/>
    <x v="0"/>
    <n v="40"/>
    <x v="16"/>
    <s v="LOS ANDES"/>
    <x v="2"/>
    <x v="45"/>
    <x v="2"/>
    <x v="2"/>
  </r>
  <r>
    <x v="25"/>
    <n v="176665182"/>
    <x v="146"/>
    <x v="2"/>
    <x v="11"/>
    <x v="2"/>
    <x v="0"/>
    <n v="8"/>
    <x v="16"/>
    <s v="LOS ANDES"/>
    <x v="2"/>
    <x v="64"/>
    <x v="2"/>
    <x v="2"/>
  </r>
  <r>
    <x v="16"/>
    <n v="176719325"/>
    <x v="147"/>
    <x v="2"/>
    <x v="11"/>
    <x v="2"/>
    <x v="0"/>
    <n v="48"/>
    <x v="16"/>
    <s v="LOS ANDES"/>
    <x v="2"/>
    <x v="63"/>
    <x v="2"/>
    <x v="2"/>
  </r>
  <r>
    <x v="10"/>
    <n v="176777716"/>
    <x v="148"/>
    <x v="2"/>
    <x v="11"/>
    <x v="2"/>
    <x v="0"/>
    <n v="16"/>
    <x v="16"/>
    <s v="LOS ANDES"/>
    <x v="2"/>
    <x v="52"/>
    <x v="2"/>
    <x v="2"/>
  </r>
  <r>
    <x v="6"/>
    <n v="176880462"/>
    <x v="149"/>
    <x v="2"/>
    <x v="11"/>
    <x v="2"/>
    <x v="0"/>
    <n v="8"/>
    <x v="16"/>
    <s v="LOS ANDES"/>
    <x v="2"/>
    <x v="68"/>
    <x v="2"/>
    <x v="2"/>
  </r>
  <r>
    <x v="3"/>
    <n v="175921690"/>
    <x v="123"/>
    <x v="2"/>
    <x v="13"/>
    <x v="2"/>
    <x v="0"/>
    <n v="16"/>
    <x v="16"/>
    <s v="LOS PUEBLOS"/>
    <x v="2"/>
    <x v="25"/>
    <x v="2"/>
    <x v="2"/>
  </r>
  <r>
    <x v="10"/>
    <n v="176777716"/>
    <x v="150"/>
    <x v="2"/>
    <x v="13"/>
    <x v="2"/>
    <x v="0"/>
    <n v="64"/>
    <x v="16"/>
    <s v="LOS PUEBLOS"/>
    <x v="2"/>
    <x v="52"/>
    <x v="2"/>
    <x v="2"/>
  </r>
  <r>
    <x v="24"/>
    <n v="175758174"/>
    <x v="151"/>
    <x v="2"/>
    <x v="14"/>
    <x v="2"/>
    <x v="0"/>
    <n v="80"/>
    <x v="16"/>
    <s v="TRANSISTMICA"/>
    <x v="2"/>
    <x v="69"/>
    <x v="2"/>
    <x v="2"/>
  </r>
  <r>
    <x v="10"/>
    <n v="176777716"/>
    <x v="152"/>
    <x v="2"/>
    <x v="14"/>
    <x v="2"/>
    <x v="0"/>
    <n v="112"/>
    <x v="16"/>
    <s v="TRANSISTMICA"/>
    <x v="2"/>
    <x v="52"/>
    <x v="2"/>
    <x v="2"/>
  </r>
  <r>
    <x v="24"/>
    <n v="175758174"/>
    <x v="121"/>
    <x v="2"/>
    <x v="14"/>
    <x v="0"/>
    <x v="0"/>
    <n v="24"/>
    <x v="16"/>
    <s v="TRANSISTMICA"/>
    <x v="2"/>
    <x v="69"/>
    <x v="0"/>
    <x v="0"/>
  </r>
  <r>
    <x v="10"/>
    <n v="176777716"/>
    <x v="153"/>
    <x v="2"/>
    <x v="14"/>
    <x v="0"/>
    <x v="0"/>
    <n v="8"/>
    <x v="16"/>
    <s v="TRANSISTMICA"/>
    <x v="2"/>
    <x v="52"/>
    <x v="0"/>
    <x v="0"/>
  </r>
  <r>
    <x v="9"/>
    <n v="175863582"/>
    <x v="154"/>
    <x v="2"/>
    <x v="16"/>
    <x v="2"/>
    <x v="0"/>
    <n v="24"/>
    <x v="16"/>
    <s v="DAVID"/>
    <x v="2"/>
    <x v="66"/>
    <x v="2"/>
    <x v="2"/>
  </r>
  <r>
    <x v="11"/>
    <n v="175977772"/>
    <x v="155"/>
    <x v="2"/>
    <x v="16"/>
    <x v="2"/>
    <x v="0"/>
    <n v="8"/>
    <x v="16"/>
    <s v="DAVID"/>
    <x v="2"/>
    <x v="21"/>
    <x v="2"/>
    <x v="2"/>
  </r>
  <r>
    <x v="20"/>
    <n v="176033141"/>
    <x v="118"/>
    <x v="2"/>
    <x v="49"/>
    <x v="1"/>
    <x v="0"/>
    <n v="8.5"/>
    <x v="15"/>
    <s v="PENONOME"/>
    <x v="2"/>
    <x v="26"/>
    <x v="1"/>
    <x v="1"/>
  </r>
  <r>
    <x v="16"/>
    <n v="176719325"/>
    <x v="16"/>
    <x v="2"/>
    <x v="49"/>
    <x v="1"/>
    <x v="0"/>
    <n v="14.25"/>
    <x v="15"/>
    <s v="PENONOME"/>
    <x v="2"/>
    <x v="63"/>
    <x v="1"/>
    <x v="1"/>
  </r>
  <r>
    <x v="3"/>
    <n v="175921690"/>
    <x v="106"/>
    <x v="2"/>
    <x v="20"/>
    <x v="2"/>
    <x v="0"/>
    <n v="8"/>
    <x v="16"/>
    <s v="ALBROOK"/>
    <x v="2"/>
    <x v="25"/>
    <x v="2"/>
    <x v="2"/>
  </r>
  <r>
    <x v="5"/>
    <n v="176196481"/>
    <x v="156"/>
    <x v="2"/>
    <x v="20"/>
    <x v="2"/>
    <x v="0"/>
    <n v="8"/>
    <x v="16"/>
    <s v="ALBROOK"/>
    <x v="2"/>
    <x v="15"/>
    <x v="2"/>
    <x v="2"/>
  </r>
  <r>
    <x v="23"/>
    <n v="176259407"/>
    <x v="3"/>
    <x v="2"/>
    <x v="20"/>
    <x v="2"/>
    <x v="0"/>
    <n v="8"/>
    <x v="16"/>
    <s v="ALBROOK"/>
    <x v="2"/>
    <x v="55"/>
    <x v="2"/>
    <x v="2"/>
  </r>
  <r>
    <x v="10"/>
    <n v="176777716"/>
    <x v="157"/>
    <x v="2"/>
    <x v="20"/>
    <x v="2"/>
    <x v="0"/>
    <n v="8"/>
    <x v="16"/>
    <s v="ALBROOK"/>
    <x v="2"/>
    <x v="52"/>
    <x v="2"/>
    <x v="2"/>
  </r>
  <r>
    <x v="4"/>
    <n v="175696740"/>
    <x v="133"/>
    <x v="2"/>
    <x v="21"/>
    <x v="2"/>
    <x v="0"/>
    <n v="24"/>
    <x v="16"/>
    <s v="SUCURSAL DE VISTA ALEGRE"/>
    <x v="2"/>
    <x v="39"/>
    <x v="2"/>
    <x v="2"/>
  </r>
  <r>
    <x v="9"/>
    <n v="175863582"/>
    <x v="158"/>
    <x v="2"/>
    <x v="21"/>
    <x v="2"/>
    <x v="0"/>
    <n v="32"/>
    <x v="16"/>
    <s v="SUCURSAL DE VISTA ALEGRE"/>
    <x v="2"/>
    <x v="66"/>
    <x v="2"/>
    <x v="2"/>
  </r>
  <r>
    <x v="3"/>
    <n v="175921690"/>
    <x v="159"/>
    <x v="2"/>
    <x v="21"/>
    <x v="2"/>
    <x v="0"/>
    <n v="8"/>
    <x v="16"/>
    <s v="SUCURSAL DE VISTA ALEGRE"/>
    <x v="2"/>
    <x v="25"/>
    <x v="2"/>
    <x v="2"/>
  </r>
  <r>
    <x v="2"/>
    <n v="176326175"/>
    <x v="116"/>
    <x v="2"/>
    <x v="21"/>
    <x v="2"/>
    <x v="0"/>
    <n v="16"/>
    <x v="16"/>
    <s v="SUCURSAL DE VISTA ALEGRE"/>
    <x v="2"/>
    <x v="70"/>
    <x v="2"/>
    <x v="2"/>
  </r>
  <r>
    <x v="21"/>
    <n v="176389998"/>
    <x v="141"/>
    <x v="2"/>
    <x v="21"/>
    <x v="2"/>
    <x v="0"/>
    <n v="8"/>
    <x v="16"/>
    <s v="SUCURSAL DE VISTA ALEGRE"/>
    <x v="2"/>
    <x v="30"/>
    <x v="2"/>
    <x v="2"/>
  </r>
  <r>
    <x v="12"/>
    <n v="176611219"/>
    <x v="160"/>
    <x v="2"/>
    <x v="21"/>
    <x v="2"/>
    <x v="0"/>
    <n v="8"/>
    <x v="16"/>
    <s v="SUCURSAL DE VISTA ALEGRE"/>
    <x v="2"/>
    <x v="45"/>
    <x v="2"/>
    <x v="2"/>
  </r>
  <r>
    <x v="25"/>
    <n v="176665182"/>
    <x v="161"/>
    <x v="2"/>
    <x v="21"/>
    <x v="2"/>
    <x v="0"/>
    <n v="16"/>
    <x v="16"/>
    <s v="SUCURSAL DE VISTA ALEGRE"/>
    <x v="2"/>
    <x v="64"/>
    <x v="2"/>
    <x v="2"/>
  </r>
  <r>
    <x v="16"/>
    <n v="176719325"/>
    <x v="162"/>
    <x v="2"/>
    <x v="21"/>
    <x v="2"/>
    <x v="0"/>
    <n v="16"/>
    <x v="16"/>
    <s v="SUCURSAL DE VISTA ALEGRE"/>
    <x v="2"/>
    <x v="63"/>
    <x v="2"/>
    <x v="2"/>
  </r>
  <r>
    <x v="10"/>
    <n v="176777716"/>
    <x v="163"/>
    <x v="2"/>
    <x v="21"/>
    <x v="2"/>
    <x v="0"/>
    <n v="24"/>
    <x v="16"/>
    <s v="SUCURSAL DE VISTA ALEGRE"/>
    <x v="2"/>
    <x v="52"/>
    <x v="2"/>
    <x v="2"/>
  </r>
  <r>
    <x v="5"/>
    <n v="176196481"/>
    <x v="155"/>
    <x v="2"/>
    <x v="21"/>
    <x v="0"/>
    <x v="0"/>
    <n v="8"/>
    <x v="16"/>
    <s v="SUCURSAL DE VISTA ALEGRE"/>
    <x v="2"/>
    <x v="15"/>
    <x v="0"/>
    <x v="0"/>
  </r>
  <r>
    <x v="12"/>
    <n v="176611219"/>
    <x v="164"/>
    <x v="2"/>
    <x v="21"/>
    <x v="0"/>
    <x v="0"/>
    <n v="8"/>
    <x v="16"/>
    <s v="SUCURSAL DE VISTA ALEGRE"/>
    <x v="2"/>
    <x v="45"/>
    <x v="0"/>
    <x v="0"/>
  </r>
  <r>
    <x v="23"/>
    <n v="176259407"/>
    <x v="165"/>
    <x v="2"/>
    <x v="22"/>
    <x v="1"/>
    <x v="0"/>
    <n v="42.85"/>
    <x v="15"/>
    <s v="24 DE DICIEMBRE"/>
    <x v="2"/>
    <x v="55"/>
    <x v="1"/>
    <x v="1"/>
  </r>
  <r>
    <x v="9"/>
    <n v="175863582"/>
    <x v="166"/>
    <x v="2"/>
    <x v="23"/>
    <x v="2"/>
    <x v="0"/>
    <n v="8"/>
    <x v="16"/>
    <s v="COSTA DEL ESTE"/>
    <x v="2"/>
    <x v="66"/>
    <x v="2"/>
    <x v="2"/>
  </r>
  <r>
    <x v="20"/>
    <n v="176033141"/>
    <x v="167"/>
    <x v="2"/>
    <x v="23"/>
    <x v="2"/>
    <x v="0"/>
    <n v="16"/>
    <x v="16"/>
    <s v="COSTA DEL ESTE"/>
    <x v="2"/>
    <x v="26"/>
    <x v="2"/>
    <x v="2"/>
  </r>
  <r>
    <x v="25"/>
    <n v="176665182"/>
    <x v="168"/>
    <x v="2"/>
    <x v="23"/>
    <x v="2"/>
    <x v="0"/>
    <n v="24"/>
    <x v="16"/>
    <s v="COSTA DEL ESTE"/>
    <x v="2"/>
    <x v="64"/>
    <x v="2"/>
    <x v="2"/>
  </r>
  <r>
    <x v="21"/>
    <n v="176389998"/>
    <x v="128"/>
    <x v="2"/>
    <x v="23"/>
    <x v="0"/>
    <x v="0"/>
    <n v="8"/>
    <x v="16"/>
    <s v="COSTA DEL ESTE"/>
    <x v="2"/>
    <x v="30"/>
    <x v="0"/>
    <x v="0"/>
  </r>
  <r>
    <x v="17"/>
    <n v="176939618"/>
    <x v="169"/>
    <x v="2"/>
    <x v="23"/>
    <x v="0"/>
    <x v="0"/>
    <n v="8"/>
    <x v="16"/>
    <s v="COSTA DEL ESTE"/>
    <x v="2"/>
    <x v="41"/>
    <x v="0"/>
    <x v="0"/>
  </r>
  <r>
    <x v="21"/>
    <n v="176389998"/>
    <x v="170"/>
    <x v="2"/>
    <x v="24"/>
    <x v="1"/>
    <x v="0"/>
    <n v="8"/>
    <x v="16"/>
    <s v="MULTI PLAZA"/>
    <x v="2"/>
    <x v="30"/>
    <x v="1"/>
    <x v="1"/>
  </r>
  <r>
    <x v="4"/>
    <n v="175696740"/>
    <x v="112"/>
    <x v="2"/>
    <x v="24"/>
    <x v="2"/>
    <x v="0"/>
    <n v="8"/>
    <x v="16"/>
    <s v="MULTI PLAZA"/>
    <x v="2"/>
    <x v="39"/>
    <x v="2"/>
    <x v="2"/>
  </r>
  <r>
    <x v="9"/>
    <n v="175863582"/>
    <x v="171"/>
    <x v="2"/>
    <x v="24"/>
    <x v="2"/>
    <x v="0"/>
    <n v="48"/>
    <x v="16"/>
    <s v="MULTI PLAZA"/>
    <x v="2"/>
    <x v="66"/>
    <x v="2"/>
    <x v="2"/>
  </r>
  <r>
    <x v="7"/>
    <n v="176451890"/>
    <x v="172"/>
    <x v="2"/>
    <x v="24"/>
    <x v="2"/>
    <x v="0"/>
    <n v="16"/>
    <x v="16"/>
    <s v="MULTI PLAZA"/>
    <x v="2"/>
    <x v="29"/>
    <x v="2"/>
    <x v="2"/>
  </r>
  <r>
    <x v="25"/>
    <n v="176665182"/>
    <x v="173"/>
    <x v="2"/>
    <x v="24"/>
    <x v="2"/>
    <x v="0"/>
    <n v="16"/>
    <x v="16"/>
    <s v="MULTI PLAZA"/>
    <x v="2"/>
    <x v="64"/>
    <x v="2"/>
    <x v="2"/>
  </r>
  <r>
    <x v="17"/>
    <n v="176939618"/>
    <x v="6"/>
    <x v="2"/>
    <x v="24"/>
    <x v="2"/>
    <x v="0"/>
    <n v="8"/>
    <x v="16"/>
    <s v="MULTI PLAZA"/>
    <x v="2"/>
    <x v="41"/>
    <x v="2"/>
    <x v="2"/>
  </r>
  <r>
    <x v="7"/>
    <n v="176451890"/>
    <x v="174"/>
    <x v="2"/>
    <x v="25"/>
    <x v="1"/>
    <x v="0"/>
    <n v="27.47"/>
    <x v="15"/>
    <s v="TERMINAL DE ALBROOK"/>
    <x v="2"/>
    <x v="29"/>
    <x v="1"/>
    <x v="1"/>
  </r>
  <r>
    <x v="3"/>
    <n v="175921690"/>
    <x v="175"/>
    <x v="2"/>
    <x v="25"/>
    <x v="2"/>
    <x v="0"/>
    <n v="56"/>
    <x v="16"/>
    <s v="TERMINAL DE ALBROOK"/>
    <x v="2"/>
    <x v="25"/>
    <x v="2"/>
    <x v="2"/>
  </r>
  <r>
    <x v="20"/>
    <n v="176033141"/>
    <x v="156"/>
    <x v="2"/>
    <x v="25"/>
    <x v="2"/>
    <x v="0"/>
    <n v="16"/>
    <x v="16"/>
    <s v="TERMINAL DE ALBROOK"/>
    <x v="2"/>
    <x v="26"/>
    <x v="2"/>
    <x v="2"/>
  </r>
  <r>
    <x v="7"/>
    <n v="176451890"/>
    <x v="176"/>
    <x v="2"/>
    <x v="25"/>
    <x v="2"/>
    <x v="0"/>
    <n v="48"/>
    <x v="16"/>
    <s v="TERMINAL DE ALBROOK"/>
    <x v="2"/>
    <x v="29"/>
    <x v="2"/>
    <x v="2"/>
  </r>
  <r>
    <x v="15"/>
    <n v="176554951"/>
    <x v="177"/>
    <x v="2"/>
    <x v="25"/>
    <x v="2"/>
    <x v="0"/>
    <n v="32"/>
    <x v="16"/>
    <s v="TERMINAL DE ALBROOK"/>
    <x v="2"/>
    <x v="67"/>
    <x v="2"/>
    <x v="2"/>
  </r>
  <r>
    <x v="12"/>
    <n v="176611219"/>
    <x v="178"/>
    <x v="2"/>
    <x v="25"/>
    <x v="2"/>
    <x v="0"/>
    <n v="8"/>
    <x v="16"/>
    <s v="TERMINAL DE ALBROOK"/>
    <x v="2"/>
    <x v="45"/>
    <x v="2"/>
    <x v="2"/>
  </r>
  <r>
    <x v="16"/>
    <n v="176719325"/>
    <x v="158"/>
    <x v="2"/>
    <x v="25"/>
    <x v="2"/>
    <x v="0"/>
    <n v="8"/>
    <x v="16"/>
    <s v="TERMINAL DE ALBROOK"/>
    <x v="2"/>
    <x v="63"/>
    <x v="2"/>
    <x v="2"/>
  </r>
  <r>
    <x v="10"/>
    <n v="176777716"/>
    <x v="179"/>
    <x v="2"/>
    <x v="25"/>
    <x v="2"/>
    <x v="0"/>
    <n v="16"/>
    <x v="16"/>
    <s v="TERMINAL DE ALBROOK"/>
    <x v="2"/>
    <x v="52"/>
    <x v="2"/>
    <x v="2"/>
  </r>
  <r>
    <x v="20"/>
    <n v="176033141"/>
    <x v="180"/>
    <x v="2"/>
    <x v="25"/>
    <x v="0"/>
    <x v="0"/>
    <n v="8"/>
    <x v="16"/>
    <s v="TERMINAL DE ALBROOK"/>
    <x v="2"/>
    <x v="26"/>
    <x v="0"/>
    <x v="0"/>
  </r>
  <r>
    <x v="7"/>
    <n v="176451890"/>
    <x v="181"/>
    <x v="2"/>
    <x v="25"/>
    <x v="0"/>
    <x v="0"/>
    <n v="8"/>
    <x v="16"/>
    <s v="TERMINAL DE ALBROOK"/>
    <x v="2"/>
    <x v="29"/>
    <x v="0"/>
    <x v="0"/>
  </r>
  <r>
    <x v="8"/>
    <n v="177000559"/>
    <x v="106"/>
    <x v="2"/>
    <x v="25"/>
    <x v="0"/>
    <x v="0"/>
    <n v="8"/>
    <x v="16"/>
    <s v="TERMINAL DE ALBROOK"/>
    <x v="2"/>
    <x v="71"/>
    <x v="0"/>
    <x v="0"/>
  </r>
  <r>
    <x v="3"/>
    <n v="175921690"/>
    <x v="182"/>
    <x v="2"/>
    <x v="27"/>
    <x v="2"/>
    <x v="0"/>
    <n v="24"/>
    <x v="16"/>
    <s v="BRISAS DEL GOLF"/>
    <x v="2"/>
    <x v="25"/>
    <x v="2"/>
    <x v="2"/>
  </r>
  <r>
    <x v="5"/>
    <n v="176196481"/>
    <x v="144"/>
    <x v="2"/>
    <x v="27"/>
    <x v="2"/>
    <x v="0"/>
    <n v="8"/>
    <x v="16"/>
    <s v="BRISAS DEL GOLF"/>
    <x v="2"/>
    <x v="15"/>
    <x v="2"/>
    <x v="2"/>
  </r>
  <r>
    <x v="12"/>
    <n v="176611219"/>
    <x v="183"/>
    <x v="2"/>
    <x v="27"/>
    <x v="2"/>
    <x v="0"/>
    <n v="24"/>
    <x v="16"/>
    <s v="BRISAS DEL GOLF"/>
    <x v="2"/>
    <x v="45"/>
    <x v="2"/>
    <x v="2"/>
  </r>
  <r>
    <x v="10"/>
    <n v="176777716"/>
    <x v="184"/>
    <x v="2"/>
    <x v="27"/>
    <x v="2"/>
    <x v="0"/>
    <n v="24"/>
    <x v="16"/>
    <s v="BRISAS DEL GOLF"/>
    <x v="2"/>
    <x v="52"/>
    <x v="2"/>
    <x v="2"/>
  </r>
  <r>
    <x v="25"/>
    <n v="176665182"/>
    <x v="158"/>
    <x v="2"/>
    <x v="28"/>
    <x v="2"/>
    <x v="0"/>
    <n v="88"/>
    <x v="16"/>
    <s v="PUENTE CENTENARIO"/>
    <x v="2"/>
    <x v="64"/>
    <x v="2"/>
    <x v="2"/>
  </r>
  <r>
    <x v="16"/>
    <n v="176719325"/>
    <x v="185"/>
    <x v="2"/>
    <x v="28"/>
    <x v="2"/>
    <x v="0"/>
    <n v="8"/>
    <x v="16"/>
    <s v="PUENTE CENTENARIO"/>
    <x v="2"/>
    <x v="63"/>
    <x v="2"/>
    <x v="2"/>
  </r>
  <r>
    <x v="16"/>
    <n v="176719325"/>
    <x v="186"/>
    <x v="2"/>
    <x v="52"/>
    <x v="1"/>
    <x v="0"/>
    <n v="24.62"/>
    <x v="15"/>
    <s v="SABANITAS"/>
    <x v="2"/>
    <x v="63"/>
    <x v="1"/>
    <x v="1"/>
  </r>
  <r>
    <x v="10"/>
    <n v="176777716"/>
    <x v="187"/>
    <x v="2"/>
    <x v="29"/>
    <x v="0"/>
    <x v="0"/>
    <n v="8"/>
    <x v="16"/>
    <s v="ALTOS DE PANAMA"/>
    <x v="2"/>
    <x v="52"/>
    <x v="0"/>
    <x v="0"/>
  </r>
  <r>
    <x v="14"/>
    <n v="175636411"/>
    <x v="118"/>
    <x v="2"/>
    <x v="61"/>
    <x v="1"/>
    <x v="0"/>
    <n v="104"/>
    <x v="15"/>
    <s v="VERSALLES"/>
    <x v="2"/>
    <x v="72"/>
    <x v="1"/>
    <x v="1"/>
  </r>
  <r>
    <x v="21"/>
    <n v="176389998"/>
    <x v="104"/>
    <x v="2"/>
    <x v="61"/>
    <x v="1"/>
    <x v="0"/>
    <n v="112"/>
    <x v="15"/>
    <s v="VERSALLES"/>
    <x v="2"/>
    <x v="30"/>
    <x v="1"/>
    <x v="1"/>
  </r>
  <r>
    <x v="20"/>
    <n v="176033141"/>
    <x v="6"/>
    <x v="2"/>
    <x v="31"/>
    <x v="1"/>
    <x v="0"/>
    <n v="27.8"/>
    <x v="15"/>
    <s v="SAN FRANCISCO"/>
    <x v="2"/>
    <x v="26"/>
    <x v="1"/>
    <x v="1"/>
  </r>
  <r>
    <x v="6"/>
    <n v="176880462"/>
    <x v="188"/>
    <x v="2"/>
    <x v="32"/>
    <x v="2"/>
    <x v="0"/>
    <n v="8"/>
    <x v="16"/>
    <s v="PLAZA BANCO GENERAL"/>
    <x v="2"/>
    <x v="68"/>
    <x v="2"/>
    <x v="2"/>
  </r>
  <r>
    <x v="24"/>
    <n v="175758174"/>
    <x v="124"/>
    <x v="2"/>
    <x v="33"/>
    <x v="2"/>
    <x v="0"/>
    <n v="80"/>
    <x v="16"/>
    <s v="LA CHORRERA - PARQUE 10 DE NOV."/>
    <x v="2"/>
    <x v="69"/>
    <x v="2"/>
    <x v="2"/>
  </r>
  <r>
    <x v="20"/>
    <n v="176033141"/>
    <x v="134"/>
    <x v="2"/>
    <x v="33"/>
    <x v="2"/>
    <x v="0"/>
    <n v="72"/>
    <x v="16"/>
    <s v="LA CHORRERA - PARQUE 10 DE NOV."/>
    <x v="2"/>
    <x v="26"/>
    <x v="2"/>
    <x v="2"/>
  </r>
  <r>
    <x v="23"/>
    <n v="176259407"/>
    <x v="189"/>
    <x v="2"/>
    <x v="33"/>
    <x v="2"/>
    <x v="0"/>
    <n v="24"/>
    <x v="16"/>
    <s v="LA CHORRERA - PARQUE 10 DE NOV."/>
    <x v="2"/>
    <x v="55"/>
    <x v="2"/>
    <x v="2"/>
  </r>
  <r>
    <x v="7"/>
    <n v="176451890"/>
    <x v="190"/>
    <x v="2"/>
    <x v="33"/>
    <x v="2"/>
    <x v="0"/>
    <n v="16"/>
    <x v="16"/>
    <s v="LA CHORRERA - PARQUE 10 DE NOV."/>
    <x v="2"/>
    <x v="29"/>
    <x v="2"/>
    <x v="2"/>
  </r>
  <r>
    <x v="15"/>
    <n v="176554951"/>
    <x v="191"/>
    <x v="2"/>
    <x v="33"/>
    <x v="2"/>
    <x v="0"/>
    <n v="40"/>
    <x v="16"/>
    <s v="LA CHORRERA - PARQUE 10 DE NOV."/>
    <x v="2"/>
    <x v="67"/>
    <x v="2"/>
    <x v="2"/>
  </r>
  <r>
    <x v="12"/>
    <n v="176611219"/>
    <x v="24"/>
    <x v="2"/>
    <x v="33"/>
    <x v="2"/>
    <x v="0"/>
    <n v="8"/>
    <x v="16"/>
    <s v="LA CHORRERA - PARQUE 10 DE NOV."/>
    <x v="2"/>
    <x v="45"/>
    <x v="2"/>
    <x v="2"/>
  </r>
  <r>
    <x v="25"/>
    <n v="176665182"/>
    <x v="22"/>
    <x v="2"/>
    <x v="33"/>
    <x v="2"/>
    <x v="0"/>
    <n v="48"/>
    <x v="16"/>
    <s v="LA CHORRERA - PARQUE 10 DE NOV."/>
    <x v="2"/>
    <x v="64"/>
    <x v="2"/>
    <x v="2"/>
  </r>
  <r>
    <x v="16"/>
    <n v="176719325"/>
    <x v="192"/>
    <x v="2"/>
    <x v="33"/>
    <x v="2"/>
    <x v="0"/>
    <n v="8"/>
    <x v="16"/>
    <s v="LA CHORRERA - PARQUE 10 DE NOV."/>
    <x v="2"/>
    <x v="63"/>
    <x v="2"/>
    <x v="2"/>
  </r>
  <r>
    <x v="10"/>
    <n v="176777716"/>
    <x v="193"/>
    <x v="2"/>
    <x v="33"/>
    <x v="2"/>
    <x v="0"/>
    <n v="16"/>
    <x v="16"/>
    <s v="LA CHORRERA - PARQUE 10 DE NOV."/>
    <x v="2"/>
    <x v="52"/>
    <x v="2"/>
    <x v="2"/>
  </r>
  <r>
    <x v="6"/>
    <n v="176880462"/>
    <x v="194"/>
    <x v="2"/>
    <x v="33"/>
    <x v="2"/>
    <x v="0"/>
    <n v="16"/>
    <x v="16"/>
    <s v="LA CHORRERA - PARQUE 10 DE NOV."/>
    <x v="2"/>
    <x v="68"/>
    <x v="2"/>
    <x v="2"/>
  </r>
  <r>
    <x v="5"/>
    <n v="176196481"/>
    <x v="9"/>
    <x v="2"/>
    <x v="33"/>
    <x v="0"/>
    <x v="0"/>
    <n v="8"/>
    <x v="16"/>
    <s v="LA CHORRERA - PARQUE 10 DE NOV."/>
    <x v="2"/>
    <x v="15"/>
    <x v="0"/>
    <x v="0"/>
  </r>
  <r>
    <x v="10"/>
    <n v="176777716"/>
    <x v="195"/>
    <x v="2"/>
    <x v="33"/>
    <x v="0"/>
    <x v="0"/>
    <n v="8"/>
    <x v="16"/>
    <s v="LA CHORRERA - PARQUE 10 DE NOV."/>
    <x v="2"/>
    <x v="52"/>
    <x v="0"/>
    <x v="0"/>
  </r>
  <r>
    <x v="6"/>
    <n v="176880462"/>
    <x v="196"/>
    <x v="2"/>
    <x v="33"/>
    <x v="0"/>
    <x v="0"/>
    <n v="8"/>
    <x v="16"/>
    <s v="LA CHORRERA - PARQUE 10 DE NOV."/>
    <x v="2"/>
    <x v="68"/>
    <x v="0"/>
    <x v="0"/>
  </r>
  <r>
    <x v="23"/>
    <n v="176259407"/>
    <x v="197"/>
    <x v="2"/>
    <x v="34"/>
    <x v="1"/>
    <x v="0"/>
    <n v="39.979999999999997"/>
    <x v="15"/>
    <s v="COSTA DEL ESTE - CENTENARIO"/>
    <x v="2"/>
    <x v="55"/>
    <x v="1"/>
    <x v="1"/>
  </r>
  <r>
    <x v="7"/>
    <n v="176451890"/>
    <x v="198"/>
    <x v="2"/>
    <x v="62"/>
    <x v="1"/>
    <x v="0"/>
    <n v="14.45"/>
    <x v="15"/>
    <s v="CLAYTON"/>
    <x v="2"/>
    <x v="29"/>
    <x v="1"/>
    <x v="1"/>
  </r>
  <r>
    <x v="7"/>
    <n v="176451890"/>
    <x v="199"/>
    <x v="2"/>
    <x v="62"/>
    <x v="2"/>
    <x v="0"/>
    <n v="16"/>
    <x v="16"/>
    <s v="CLAYTON"/>
    <x v="2"/>
    <x v="29"/>
    <x v="2"/>
    <x v="2"/>
  </r>
  <r>
    <x v="12"/>
    <n v="176611219"/>
    <x v="200"/>
    <x v="2"/>
    <x v="62"/>
    <x v="2"/>
    <x v="0"/>
    <n v="8"/>
    <x v="16"/>
    <s v="CLAYTON"/>
    <x v="2"/>
    <x v="45"/>
    <x v="2"/>
    <x v="2"/>
  </r>
  <r>
    <x v="16"/>
    <n v="176719325"/>
    <x v="201"/>
    <x v="2"/>
    <x v="35"/>
    <x v="1"/>
    <x v="0"/>
    <n v="31.6"/>
    <x v="15"/>
    <s v="MARBELLA"/>
    <x v="2"/>
    <x v="63"/>
    <x v="1"/>
    <x v="1"/>
  </r>
  <r>
    <x v="20"/>
    <n v="176033141"/>
    <x v="202"/>
    <x v="2"/>
    <x v="36"/>
    <x v="2"/>
    <x v="0"/>
    <n v="48"/>
    <x v="16"/>
    <s v="VIA SIMON BOLIVAR"/>
    <x v="2"/>
    <x v="26"/>
    <x v="2"/>
    <x v="2"/>
  </r>
  <r>
    <x v="23"/>
    <n v="176259407"/>
    <x v="141"/>
    <x v="2"/>
    <x v="36"/>
    <x v="2"/>
    <x v="0"/>
    <n v="16"/>
    <x v="16"/>
    <s v="VIA SIMON BOLIVAR"/>
    <x v="2"/>
    <x v="55"/>
    <x v="2"/>
    <x v="2"/>
  </r>
  <r>
    <x v="25"/>
    <n v="176665182"/>
    <x v="203"/>
    <x v="2"/>
    <x v="36"/>
    <x v="2"/>
    <x v="0"/>
    <n v="24"/>
    <x v="16"/>
    <s v="VIA SIMON BOLIVAR"/>
    <x v="2"/>
    <x v="64"/>
    <x v="2"/>
    <x v="2"/>
  </r>
  <r>
    <x v="8"/>
    <n v="177000559"/>
    <x v="204"/>
    <x v="2"/>
    <x v="36"/>
    <x v="2"/>
    <x v="0"/>
    <n v="8"/>
    <x v="16"/>
    <s v="VIA SIMON BOLIVAR"/>
    <x v="2"/>
    <x v="71"/>
    <x v="2"/>
    <x v="2"/>
  </r>
  <r>
    <x v="25"/>
    <n v="176665182"/>
    <x v="205"/>
    <x v="2"/>
    <x v="36"/>
    <x v="0"/>
    <x v="0"/>
    <n v="8"/>
    <x v="16"/>
    <s v="VIA SIMON BOLIVAR"/>
    <x v="2"/>
    <x v="64"/>
    <x v="0"/>
    <x v="0"/>
  </r>
  <r>
    <x v="17"/>
    <n v="176939618"/>
    <x v="24"/>
    <x v="2"/>
    <x v="38"/>
    <x v="2"/>
    <x v="0"/>
    <n v="16"/>
    <x v="16"/>
    <s v="BOULEVARD EL DORADO"/>
    <x v="2"/>
    <x v="41"/>
    <x v="2"/>
    <x v="2"/>
  </r>
  <r>
    <x v="4"/>
    <n v="175696740"/>
    <x v="206"/>
    <x v="2"/>
    <x v="39"/>
    <x v="2"/>
    <x v="0"/>
    <n v="56"/>
    <x v="16"/>
    <s v="SAN SEBASTIAN"/>
    <x v="2"/>
    <x v="39"/>
    <x v="2"/>
    <x v="2"/>
  </r>
  <r>
    <x v="24"/>
    <n v="175758174"/>
    <x v="162"/>
    <x v="2"/>
    <x v="39"/>
    <x v="2"/>
    <x v="0"/>
    <n v="8"/>
    <x v="16"/>
    <s v="SAN SEBASTIAN"/>
    <x v="2"/>
    <x v="69"/>
    <x v="2"/>
    <x v="2"/>
  </r>
  <r>
    <x v="9"/>
    <n v="175863582"/>
    <x v="207"/>
    <x v="2"/>
    <x v="39"/>
    <x v="2"/>
    <x v="0"/>
    <n v="24"/>
    <x v="16"/>
    <s v="SAN SEBASTIAN"/>
    <x v="2"/>
    <x v="66"/>
    <x v="2"/>
    <x v="2"/>
  </r>
  <r>
    <x v="3"/>
    <n v="175921690"/>
    <x v="33"/>
    <x v="2"/>
    <x v="39"/>
    <x v="2"/>
    <x v="0"/>
    <n v="16"/>
    <x v="16"/>
    <s v="SAN SEBASTIAN"/>
    <x v="2"/>
    <x v="25"/>
    <x v="2"/>
    <x v="2"/>
  </r>
  <r>
    <x v="20"/>
    <n v="176033141"/>
    <x v="208"/>
    <x v="2"/>
    <x v="39"/>
    <x v="2"/>
    <x v="0"/>
    <n v="16"/>
    <x v="16"/>
    <s v="SAN SEBASTIAN"/>
    <x v="2"/>
    <x v="26"/>
    <x v="2"/>
    <x v="2"/>
  </r>
  <r>
    <x v="1"/>
    <n v="176093324"/>
    <x v="40"/>
    <x v="2"/>
    <x v="39"/>
    <x v="2"/>
    <x v="0"/>
    <n v="24"/>
    <x v="16"/>
    <s v="SAN SEBASTIAN"/>
    <x v="2"/>
    <x v="44"/>
    <x v="2"/>
    <x v="2"/>
  </r>
  <r>
    <x v="23"/>
    <n v="176259407"/>
    <x v="209"/>
    <x v="2"/>
    <x v="39"/>
    <x v="2"/>
    <x v="0"/>
    <n v="32"/>
    <x v="16"/>
    <s v="SAN SEBASTIAN"/>
    <x v="2"/>
    <x v="55"/>
    <x v="2"/>
    <x v="2"/>
  </r>
  <r>
    <x v="7"/>
    <n v="176451890"/>
    <x v="210"/>
    <x v="2"/>
    <x v="39"/>
    <x v="2"/>
    <x v="0"/>
    <n v="8"/>
    <x v="16"/>
    <s v="SAN SEBASTIAN"/>
    <x v="2"/>
    <x v="29"/>
    <x v="2"/>
    <x v="2"/>
  </r>
  <r>
    <x v="15"/>
    <n v="176554951"/>
    <x v="211"/>
    <x v="2"/>
    <x v="39"/>
    <x v="2"/>
    <x v="0"/>
    <n v="112"/>
    <x v="16"/>
    <s v="SAN SEBASTIAN"/>
    <x v="2"/>
    <x v="67"/>
    <x v="2"/>
    <x v="2"/>
  </r>
  <r>
    <x v="25"/>
    <n v="176665182"/>
    <x v="212"/>
    <x v="2"/>
    <x v="39"/>
    <x v="2"/>
    <x v="0"/>
    <n v="8"/>
    <x v="16"/>
    <s v="SAN SEBASTIAN"/>
    <x v="2"/>
    <x v="64"/>
    <x v="2"/>
    <x v="2"/>
  </r>
  <r>
    <x v="16"/>
    <n v="176719325"/>
    <x v="213"/>
    <x v="2"/>
    <x v="39"/>
    <x v="2"/>
    <x v="0"/>
    <n v="16"/>
    <x v="16"/>
    <s v="SAN SEBASTIAN"/>
    <x v="2"/>
    <x v="63"/>
    <x v="2"/>
    <x v="2"/>
  </r>
  <r>
    <x v="10"/>
    <n v="176777716"/>
    <x v="214"/>
    <x v="2"/>
    <x v="39"/>
    <x v="2"/>
    <x v="0"/>
    <n v="32"/>
    <x v="16"/>
    <s v="SAN SEBASTIAN"/>
    <x v="2"/>
    <x v="52"/>
    <x v="2"/>
    <x v="2"/>
  </r>
  <r>
    <x v="17"/>
    <n v="176939618"/>
    <x v="215"/>
    <x v="2"/>
    <x v="39"/>
    <x v="2"/>
    <x v="0"/>
    <n v="16"/>
    <x v="16"/>
    <s v="SAN SEBASTIAN"/>
    <x v="2"/>
    <x v="41"/>
    <x v="2"/>
    <x v="2"/>
  </r>
  <r>
    <x v="8"/>
    <n v="177000559"/>
    <x v="216"/>
    <x v="2"/>
    <x v="39"/>
    <x v="2"/>
    <x v="0"/>
    <n v="8"/>
    <x v="16"/>
    <s v="SAN SEBASTIAN"/>
    <x v="2"/>
    <x v="71"/>
    <x v="2"/>
    <x v="2"/>
  </r>
  <r>
    <x v="24"/>
    <n v="175758174"/>
    <x v="217"/>
    <x v="2"/>
    <x v="39"/>
    <x v="0"/>
    <x v="0"/>
    <n v="8"/>
    <x v="16"/>
    <s v="SAN SEBASTIAN"/>
    <x v="2"/>
    <x v="69"/>
    <x v="0"/>
    <x v="0"/>
  </r>
  <r>
    <x v="3"/>
    <n v="175921690"/>
    <x v="218"/>
    <x v="2"/>
    <x v="39"/>
    <x v="0"/>
    <x v="0"/>
    <n v="8"/>
    <x v="16"/>
    <s v="SAN SEBASTIAN"/>
    <x v="2"/>
    <x v="25"/>
    <x v="0"/>
    <x v="0"/>
  </r>
  <r>
    <x v="16"/>
    <n v="176719325"/>
    <x v="219"/>
    <x v="2"/>
    <x v="39"/>
    <x v="0"/>
    <x v="0"/>
    <n v="8"/>
    <x v="16"/>
    <s v="SAN SEBASTIAN"/>
    <x v="2"/>
    <x v="63"/>
    <x v="0"/>
    <x v="0"/>
  </r>
  <r>
    <x v="10"/>
    <n v="176777716"/>
    <x v="220"/>
    <x v="2"/>
    <x v="39"/>
    <x v="0"/>
    <x v="0"/>
    <n v="8"/>
    <x v="16"/>
    <s v="SAN SEBASTIAN"/>
    <x v="2"/>
    <x v="52"/>
    <x v="0"/>
    <x v="0"/>
  </r>
  <r>
    <x v="24"/>
    <n v="175758174"/>
    <x v="221"/>
    <x v="2"/>
    <x v="56"/>
    <x v="1"/>
    <x v="0"/>
    <n v="27.48"/>
    <x v="15"/>
    <s v="COSTA VERDE"/>
    <x v="2"/>
    <x v="69"/>
    <x v="1"/>
    <x v="1"/>
  </r>
  <r>
    <x v="7"/>
    <n v="176451890"/>
    <x v="105"/>
    <x v="2"/>
    <x v="56"/>
    <x v="1"/>
    <x v="0"/>
    <n v="33.76"/>
    <x v="15"/>
    <s v="COSTA VERDE"/>
    <x v="2"/>
    <x v="29"/>
    <x v="1"/>
    <x v="1"/>
  </r>
  <r>
    <x v="1"/>
    <n v="176093324"/>
    <x v="141"/>
    <x v="2"/>
    <x v="58"/>
    <x v="1"/>
    <x v="0"/>
    <n v="29.98"/>
    <x v="16"/>
    <s v="SAN MATEO"/>
    <x v="2"/>
    <x v="44"/>
    <x v="1"/>
    <x v="1"/>
  </r>
  <r>
    <x v="23"/>
    <n v="176259407"/>
    <x v="0"/>
    <x v="2"/>
    <x v="58"/>
    <x v="1"/>
    <x v="0"/>
    <n v="29.98"/>
    <x v="15"/>
    <s v="SAN MATEO"/>
    <x v="2"/>
    <x v="55"/>
    <x v="1"/>
    <x v="1"/>
  </r>
  <r>
    <x v="7"/>
    <n v="176451890"/>
    <x v="182"/>
    <x v="2"/>
    <x v="41"/>
    <x v="1"/>
    <x v="0"/>
    <n v="13.99"/>
    <x v="15"/>
    <s v="BRISAS DEL GOLF ARRAIJAN"/>
    <x v="2"/>
    <x v="29"/>
    <x v="1"/>
    <x v="1"/>
  </r>
  <r>
    <x v="20"/>
    <n v="176033141"/>
    <x v="2"/>
    <x v="2"/>
    <x v="59"/>
    <x v="1"/>
    <x v="0"/>
    <n v="44.85"/>
    <x v="15"/>
    <s v="PASEO ARRAIJAN"/>
    <x v="2"/>
    <x v="26"/>
    <x v="1"/>
    <x v="1"/>
  </r>
  <r>
    <x v="16"/>
    <n v="176719325"/>
    <x v="222"/>
    <x v="2"/>
    <x v="59"/>
    <x v="1"/>
    <x v="0"/>
    <n v="40.450000000000003"/>
    <x v="15"/>
    <s v="PASEO ARRAIJAN"/>
    <x v="2"/>
    <x v="63"/>
    <x v="1"/>
    <x v="1"/>
  </r>
  <r>
    <x v="20"/>
    <n v="176033141"/>
    <x v="223"/>
    <x v="3"/>
    <x v="31"/>
    <x v="1"/>
    <x v="0"/>
    <n v="10.7"/>
    <x v="17"/>
    <s v="SAN FRANCISCO"/>
    <x v="3"/>
    <x v="26"/>
    <x v="1"/>
    <x v="1"/>
  </r>
  <r>
    <x v="24"/>
    <n v="175758174"/>
    <x v="168"/>
    <x v="3"/>
    <x v="63"/>
    <x v="1"/>
    <x v="0"/>
    <n v="5.99"/>
    <x v="18"/>
    <s v="SANTIAGO INTERAMERICANA"/>
    <x v="3"/>
    <x v="69"/>
    <x v="1"/>
    <x v="1"/>
  </r>
  <r>
    <x v="20"/>
    <n v="176033141"/>
    <x v="122"/>
    <x v="4"/>
    <x v="0"/>
    <x v="1"/>
    <x v="0"/>
    <n v="78.8"/>
    <x v="19"/>
    <s v="CASA MATRIZ"/>
    <x v="4"/>
    <x v="26"/>
    <x v="1"/>
    <x v="1"/>
  </r>
  <r>
    <x v="23"/>
    <n v="176259407"/>
    <x v="42"/>
    <x v="4"/>
    <x v="0"/>
    <x v="1"/>
    <x v="0"/>
    <n v="57.76"/>
    <x v="19"/>
    <s v="CASA MATRIZ"/>
    <x v="4"/>
    <x v="55"/>
    <x v="1"/>
    <x v="1"/>
  </r>
  <r>
    <x v="15"/>
    <n v="176554951"/>
    <x v="224"/>
    <x v="4"/>
    <x v="2"/>
    <x v="1"/>
    <x v="0"/>
    <n v="202.5"/>
    <x v="20"/>
    <s v="EL DORADO"/>
    <x v="4"/>
    <x v="67"/>
    <x v="1"/>
    <x v="1"/>
  </r>
  <r>
    <x v="16"/>
    <n v="176719325"/>
    <x v="165"/>
    <x v="4"/>
    <x v="3"/>
    <x v="1"/>
    <x v="0"/>
    <n v="211"/>
    <x v="19"/>
    <s v="VIA PORRAS"/>
    <x v="4"/>
    <x v="63"/>
    <x v="1"/>
    <x v="1"/>
  </r>
  <r>
    <x v="16"/>
    <n v="176719325"/>
    <x v="108"/>
    <x v="4"/>
    <x v="4"/>
    <x v="1"/>
    <x v="0"/>
    <n v="63.77"/>
    <x v="19"/>
    <s v="EL INGENIO"/>
    <x v="4"/>
    <x v="63"/>
    <x v="1"/>
    <x v="1"/>
  </r>
  <r>
    <x v="23"/>
    <n v="176259407"/>
    <x v="221"/>
    <x v="4"/>
    <x v="5"/>
    <x v="1"/>
    <x v="0"/>
    <n v="14.25"/>
    <x v="19"/>
    <s v="PLAZA TOCUMEN"/>
    <x v="4"/>
    <x v="55"/>
    <x v="1"/>
    <x v="1"/>
  </r>
  <r>
    <x v="24"/>
    <n v="175758174"/>
    <x v="122"/>
    <x v="4"/>
    <x v="6"/>
    <x v="1"/>
    <x v="0"/>
    <n v="90"/>
    <x v="19"/>
    <s v="SANTIAGO"/>
    <x v="4"/>
    <x v="69"/>
    <x v="1"/>
    <x v="1"/>
  </r>
  <r>
    <x v="16"/>
    <n v="176719325"/>
    <x v="170"/>
    <x v="4"/>
    <x v="6"/>
    <x v="1"/>
    <x v="0"/>
    <n v="128.04"/>
    <x v="19"/>
    <s v="SANTIAGO"/>
    <x v="4"/>
    <x v="63"/>
    <x v="1"/>
    <x v="1"/>
  </r>
  <r>
    <x v="20"/>
    <n v="176033141"/>
    <x v="224"/>
    <x v="4"/>
    <x v="8"/>
    <x v="1"/>
    <x v="0"/>
    <n v="152.08000000000001"/>
    <x v="19"/>
    <s v="HATO PINTADO"/>
    <x v="4"/>
    <x v="26"/>
    <x v="1"/>
    <x v="1"/>
  </r>
  <r>
    <x v="20"/>
    <n v="176033141"/>
    <x v="225"/>
    <x v="4"/>
    <x v="64"/>
    <x v="1"/>
    <x v="0"/>
    <n v="102.39"/>
    <x v="19"/>
    <s v="RIO ABAJO"/>
    <x v="4"/>
    <x v="26"/>
    <x v="1"/>
    <x v="1"/>
  </r>
  <r>
    <x v="20"/>
    <n v="176033141"/>
    <x v="124"/>
    <x v="4"/>
    <x v="44"/>
    <x v="1"/>
    <x v="0"/>
    <n v="28.82"/>
    <x v="19"/>
    <s v="LA CHORRERA"/>
    <x v="4"/>
    <x v="26"/>
    <x v="1"/>
    <x v="1"/>
  </r>
  <r>
    <x v="7"/>
    <n v="176451890"/>
    <x v="226"/>
    <x v="4"/>
    <x v="9"/>
    <x v="1"/>
    <x v="0"/>
    <n v="49.46"/>
    <x v="19"/>
    <s v="LOS ANGELES"/>
    <x v="4"/>
    <x v="29"/>
    <x v="1"/>
    <x v="1"/>
  </r>
  <r>
    <x v="23"/>
    <n v="176259407"/>
    <x v="227"/>
    <x v="4"/>
    <x v="10"/>
    <x v="1"/>
    <x v="0"/>
    <n v="126.25"/>
    <x v="19"/>
    <s v="VILLA LUCRE"/>
    <x v="4"/>
    <x v="55"/>
    <x v="1"/>
    <x v="1"/>
  </r>
  <r>
    <x v="16"/>
    <n v="176719325"/>
    <x v="113"/>
    <x v="4"/>
    <x v="45"/>
    <x v="1"/>
    <x v="0"/>
    <n v="29.96"/>
    <x v="19"/>
    <s v="VIA ESPANA"/>
    <x v="4"/>
    <x v="63"/>
    <x v="1"/>
    <x v="1"/>
  </r>
  <r>
    <x v="23"/>
    <n v="176259407"/>
    <x v="225"/>
    <x v="4"/>
    <x v="13"/>
    <x v="1"/>
    <x v="0"/>
    <n v="84.6"/>
    <x v="19"/>
    <s v="LOS PUEBLOS"/>
    <x v="4"/>
    <x v="55"/>
    <x v="1"/>
    <x v="1"/>
  </r>
  <r>
    <x v="8"/>
    <n v="177000559"/>
    <x v="165"/>
    <x v="4"/>
    <x v="14"/>
    <x v="1"/>
    <x v="0"/>
    <n v="169.85"/>
    <x v="20"/>
    <s v="TRANSISTMICA"/>
    <x v="4"/>
    <x v="71"/>
    <x v="1"/>
    <x v="1"/>
  </r>
  <r>
    <x v="24"/>
    <n v="175758174"/>
    <x v="224"/>
    <x v="4"/>
    <x v="46"/>
    <x v="1"/>
    <x v="0"/>
    <n v="85.12"/>
    <x v="19"/>
    <s v="ZONA LIBRE"/>
    <x v="4"/>
    <x v="69"/>
    <x v="1"/>
    <x v="1"/>
  </r>
  <r>
    <x v="23"/>
    <n v="176259407"/>
    <x v="125"/>
    <x v="4"/>
    <x v="47"/>
    <x v="1"/>
    <x v="0"/>
    <n v="71.92"/>
    <x v="19"/>
    <s v="PLAZA GALAPAGO"/>
    <x v="4"/>
    <x v="55"/>
    <x v="1"/>
    <x v="1"/>
  </r>
  <r>
    <x v="20"/>
    <n v="176033141"/>
    <x v="170"/>
    <x v="4"/>
    <x v="15"/>
    <x v="1"/>
    <x v="0"/>
    <n v="45.48"/>
    <x v="19"/>
    <s v="PARQUE LEFEVRE"/>
    <x v="4"/>
    <x v="26"/>
    <x v="1"/>
    <x v="1"/>
  </r>
  <r>
    <x v="23"/>
    <n v="176259407"/>
    <x v="228"/>
    <x v="4"/>
    <x v="48"/>
    <x v="1"/>
    <x v="0"/>
    <n v="15.98"/>
    <x v="19"/>
    <s v="CORONADO"/>
    <x v="4"/>
    <x v="55"/>
    <x v="1"/>
    <x v="1"/>
  </r>
  <r>
    <x v="16"/>
    <n v="176719325"/>
    <x v="196"/>
    <x v="4"/>
    <x v="23"/>
    <x v="1"/>
    <x v="0"/>
    <n v="47"/>
    <x v="19"/>
    <s v="COSTA DEL ESTE"/>
    <x v="4"/>
    <x v="63"/>
    <x v="1"/>
    <x v="1"/>
  </r>
  <r>
    <x v="16"/>
    <n v="176719325"/>
    <x v="178"/>
    <x v="4"/>
    <x v="24"/>
    <x v="1"/>
    <x v="0"/>
    <n v="0.01"/>
    <x v="19"/>
    <s v="MULTI PLAZA"/>
    <x v="4"/>
    <x v="63"/>
    <x v="1"/>
    <x v="1"/>
  </r>
  <r>
    <x v="16"/>
    <n v="176719325"/>
    <x v="229"/>
    <x v="4"/>
    <x v="24"/>
    <x v="1"/>
    <x v="6"/>
    <n v="0"/>
    <x v="19"/>
    <s v="MULTI PLAZA"/>
    <x v="4"/>
    <x v="63"/>
    <x v="1"/>
    <x v="1"/>
  </r>
  <r>
    <x v="8"/>
    <n v="177000559"/>
    <x v="129"/>
    <x v="4"/>
    <x v="24"/>
    <x v="1"/>
    <x v="0"/>
    <n v="52.89"/>
    <x v="19"/>
    <s v="MULTI PLAZA"/>
    <x v="4"/>
    <x v="71"/>
    <x v="1"/>
    <x v="1"/>
  </r>
  <r>
    <x v="20"/>
    <n v="176033141"/>
    <x v="204"/>
    <x v="4"/>
    <x v="25"/>
    <x v="1"/>
    <x v="0"/>
    <n v="13.92"/>
    <x v="20"/>
    <s v="TERMINAL DE ALBROOK"/>
    <x v="4"/>
    <x v="26"/>
    <x v="1"/>
    <x v="1"/>
  </r>
  <r>
    <x v="7"/>
    <n v="176451890"/>
    <x v="230"/>
    <x v="4"/>
    <x v="25"/>
    <x v="1"/>
    <x v="0"/>
    <n v="29.77"/>
    <x v="19"/>
    <s v="TERMINAL DE ALBROOK"/>
    <x v="4"/>
    <x v="29"/>
    <x v="1"/>
    <x v="1"/>
  </r>
  <r>
    <x v="23"/>
    <n v="176259407"/>
    <x v="142"/>
    <x v="4"/>
    <x v="27"/>
    <x v="1"/>
    <x v="0"/>
    <n v="65.489999999999995"/>
    <x v="19"/>
    <s v="BRISAS DEL GOLF"/>
    <x v="4"/>
    <x v="55"/>
    <x v="1"/>
    <x v="1"/>
  </r>
  <r>
    <x v="16"/>
    <n v="176719325"/>
    <x v="231"/>
    <x v="4"/>
    <x v="51"/>
    <x v="1"/>
    <x v="0"/>
    <n v="86.93"/>
    <x v="19"/>
    <s v="AGUADULCE"/>
    <x v="4"/>
    <x v="63"/>
    <x v="1"/>
    <x v="1"/>
  </r>
  <r>
    <x v="6"/>
    <n v="176880462"/>
    <x v="232"/>
    <x v="4"/>
    <x v="51"/>
    <x v="1"/>
    <x v="0"/>
    <n v="16.82"/>
    <x v="20"/>
    <s v="AGUADULCE"/>
    <x v="4"/>
    <x v="68"/>
    <x v="1"/>
    <x v="1"/>
  </r>
  <r>
    <x v="24"/>
    <n v="175758174"/>
    <x v="1"/>
    <x v="4"/>
    <x v="30"/>
    <x v="1"/>
    <x v="0"/>
    <n v="45"/>
    <x v="19"/>
    <s v="BUSINESS PARK"/>
    <x v="4"/>
    <x v="69"/>
    <x v="1"/>
    <x v="1"/>
  </r>
  <r>
    <x v="23"/>
    <n v="176259407"/>
    <x v="233"/>
    <x v="4"/>
    <x v="30"/>
    <x v="1"/>
    <x v="0"/>
    <n v="25"/>
    <x v="19"/>
    <s v="BUSINESS PARK"/>
    <x v="4"/>
    <x v="55"/>
    <x v="1"/>
    <x v="1"/>
  </r>
  <r>
    <x v="10"/>
    <n v="176777716"/>
    <x v="234"/>
    <x v="4"/>
    <x v="31"/>
    <x v="1"/>
    <x v="0"/>
    <n v="29.33"/>
    <x v="20"/>
    <s v="SAN FRANCISCO"/>
    <x v="4"/>
    <x v="52"/>
    <x v="1"/>
    <x v="1"/>
  </r>
  <r>
    <x v="20"/>
    <n v="176033141"/>
    <x v="112"/>
    <x v="4"/>
    <x v="32"/>
    <x v="1"/>
    <x v="0"/>
    <n v="40.299999999999997"/>
    <x v="19"/>
    <s v="PLAZA BANCO GENERAL"/>
    <x v="4"/>
    <x v="26"/>
    <x v="1"/>
    <x v="1"/>
  </r>
  <r>
    <x v="16"/>
    <n v="176719325"/>
    <x v="215"/>
    <x v="4"/>
    <x v="32"/>
    <x v="1"/>
    <x v="0"/>
    <n v="35.659999999999997"/>
    <x v="19"/>
    <s v="PLAZA BANCO GENERAL"/>
    <x v="4"/>
    <x v="63"/>
    <x v="1"/>
    <x v="1"/>
  </r>
  <r>
    <x v="24"/>
    <n v="175758174"/>
    <x v="235"/>
    <x v="4"/>
    <x v="53"/>
    <x v="1"/>
    <x v="0"/>
    <n v="81.2"/>
    <x v="19"/>
    <s v="PLAZA CAROLINA"/>
    <x v="4"/>
    <x v="69"/>
    <x v="1"/>
    <x v="1"/>
  </r>
  <r>
    <x v="20"/>
    <n v="176033141"/>
    <x v="8"/>
    <x v="4"/>
    <x v="36"/>
    <x v="1"/>
    <x v="0"/>
    <n v="24.5"/>
    <x v="19"/>
    <s v="VIA SIMON BOLIVAR"/>
    <x v="4"/>
    <x v="26"/>
    <x v="1"/>
    <x v="1"/>
  </r>
  <r>
    <x v="21"/>
    <n v="176389998"/>
    <x v="236"/>
    <x v="4"/>
    <x v="37"/>
    <x v="1"/>
    <x v="0"/>
    <n v="47.57"/>
    <x v="20"/>
    <s v="JUSTO AROSEMENA"/>
    <x v="4"/>
    <x v="30"/>
    <x v="1"/>
    <x v="1"/>
  </r>
  <r>
    <x v="23"/>
    <n v="176259407"/>
    <x v="237"/>
    <x v="4"/>
    <x v="38"/>
    <x v="1"/>
    <x v="0"/>
    <n v="63.22"/>
    <x v="19"/>
    <s v="BOULEVARD EL DORADO"/>
    <x v="4"/>
    <x v="55"/>
    <x v="1"/>
    <x v="1"/>
  </r>
  <r>
    <x v="7"/>
    <n v="176451890"/>
    <x v="238"/>
    <x v="4"/>
    <x v="38"/>
    <x v="1"/>
    <x v="0"/>
    <n v="30"/>
    <x v="20"/>
    <s v="BOULEVARD EL DORADO"/>
    <x v="4"/>
    <x v="29"/>
    <x v="1"/>
    <x v="1"/>
  </r>
  <r>
    <x v="24"/>
    <n v="175758174"/>
    <x v="239"/>
    <x v="4"/>
    <x v="63"/>
    <x v="1"/>
    <x v="0"/>
    <n v="40.86"/>
    <x v="19"/>
    <s v="SANTIAGO INTERAMERICANA"/>
    <x v="4"/>
    <x v="69"/>
    <x v="1"/>
    <x v="1"/>
  </r>
  <r>
    <x v="11"/>
    <n v="175977772"/>
    <x v="1"/>
    <x v="4"/>
    <x v="40"/>
    <x v="1"/>
    <x v="0"/>
    <n v="34.549999999999997"/>
    <x v="20"/>
    <s v="VILLA ZAITA"/>
    <x v="4"/>
    <x v="21"/>
    <x v="1"/>
    <x v="1"/>
  </r>
  <r>
    <x v="16"/>
    <n v="176719325"/>
    <x v="167"/>
    <x v="4"/>
    <x v="55"/>
    <x v="1"/>
    <x v="0"/>
    <n v="15.95"/>
    <x v="19"/>
    <s v="AZUERO TERMINAL PLAZA"/>
    <x v="4"/>
    <x v="63"/>
    <x v="1"/>
    <x v="1"/>
  </r>
  <r>
    <x v="23"/>
    <n v="176259407"/>
    <x v="240"/>
    <x v="4"/>
    <x v="65"/>
    <x v="1"/>
    <x v="0"/>
    <n v="21.57"/>
    <x v="19"/>
    <s v="TOWN CENTER COSTA DEL ESTE"/>
    <x v="4"/>
    <x v="55"/>
    <x v="1"/>
    <x v="1"/>
  </r>
  <r>
    <x v="7"/>
    <n v="176451890"/>
    <x v="241"/>
    <x v="4"/>
    <x v="56"/>
    <x v="1"/>
    <x v="0"/>
    <n v="91.99"/>
    <x v="19"/>
    <s v="COSTA VERDE"/>
    <x v="4"/>
    <x v="29"/>
    <x v="1"/>
    <x v="1"/>
  </r>
  <r>
    <x v="23"/>
    <n v="176259407"/>
    <x v="131"/>
    <x v="4"/>
    <x v="58"/>
    <x v="1"/>
    <x v="0"/>
    <n v="58.05"/>
    <x v="19"/>
    <s v="SAN MATEO"/>
    <x v="4"/>
    <x v="55"/>
    <x v="1"/>
    <x v="1"/>
  </r>
  <r>
    <x v="20"/>
    <n v="176033141"/>
    <x v="228"/>
    <x v="4"/>
    <x v="59"/>
    <x v="1"/>
    <x v="0"/>
    <n v="33"/>
    <x v="19"/>
    <s v="PASEO ARRAIJAN"/>
    <x v="4"/>
    <x v="26"/>
    <x v="1"/>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4.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5.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Tabla dinámica3" cacheId="0" applyNumberFormats="0" applyBorderFormats="0" applyFontFormats="0" applyPatternFormats="0" applyAlignmentFormats="0" applyWidthHeightFormats="1" dataCaption="Valores" errorCaption="0" showError="1" missingCaption="0" updatedVersion="5" minRefreshableVersion="3" rowGrandTotals="0" itemPrintTitles="1" createdVersion="5" indent="0" outline="1" outlineData="1" multipleFieldFilters="0" fieldListSortAscending="1">
  <location ref="AD7:AF13" firstHeaderRow="0" firstDataRow="1" firstDataCol="1" rowPageCount="2" colPageCount="1"/>
  <pivotFields count="6">
    <pivotField axis="axisPage" showAll="0" defaultSubtotal="0">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s>
    </pivotField>
    <pivotField showAll="0"/>
    <pivotField axis="axisRow" showAll="0" defaultSubtotal="0">
      <items count="6">
        <item x="4"/>
        <item n="BRINDIS PARTICIPACIÓN" x="0"/>
        <item n="CELEBRACIONES" x="3"/>
        <item x="1"/>
        <item n="RECONOCIMIENTOS" x="5"/>
        <item n="VIÁTICOS" x="2"/>
      </items>
    </pivotField>
    <pivotField dataField="1" showAll="0" defaultSubtotal="0"/>
    <pivotField dataField="1" showAll="0" defaultSubtotal="0"/>
    <pivotField axis="axisPage" showAll="0" defaultSubtotal="0">
      <items count="1">
        <item x="0"/>
      </items>
    </pivotField>
  </pivotFields>
  <rowFields count="1">
    <field x="2"/>
  </rowFields>
  <rowItems count="6">
    <i>
      <x/>
    </i>
    <i>
      <x v="1"/>
    </i>
    <i>
      <x v="2"/>
    </i>
    <i>
      <x v="3"/>
    </i>
    <i>
      <x v="4"/>
    </i>
    <i>
      <x v="5"/>
    </i>
  </rowItems>
  <colFields count="1">
    <field x="-2"/>
  </colFields>
  <colItems count="2">
    <i>
      <x/>
    </i>
    <i i="1">
      <x v="1"/>
    </i>
  </colItems>
  <pageFields count="2">
    <pageField fld="5" item="0" hier="-1"/>
    <pageField fld="0" item="33" hier="-1"/>
  </pageFields>
  <dataFields count="2">
    <dataField name="Suma de BALANCE" fld="3" baseField="0" baseItem="0"/>
    <dataField name="Suma de PLA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T2" cacheId="1" applyNumberFormats="0" applyBorderFormats="0" applyFontFormats="0" applyPatternFormats="0" applyAlignmentFormats="0" applyWidthHeightFormats="1" dataCaption="Valores" updatedVersion="6" minRefreshableVersion="3" rowGrandTotals="0" itemPrintTitles="1" createdVersion="5" indent="0" compact="0" compactData="0" multipleFieldFilters="0" fieldListSortAscending="1">
  <location ref="AJ7:AP16" firstHeaderRow="0" firstDataRow="1" firstDataCol="5" rowPageCount="2" colPageCount="1"/>
  <pivotFields count="15">
    <pivotField axis="axisRow" compact="0" numFmtId="169" outline="0" showAll="0" defaultSubtotal="0">
      <items count="368">
        <item x="305"/>
        <item x="152"/>
        <item x="91"/>
        <item x="213"/>
        <item x="31"/>
        <item x="366"/>
        <item x="244"/>
        <item x="274"/>
        <item x="304"/>
        <item x="335"/>
        <item x="151"/>
        <item x="90"/>
        <item x="182"/>
        <item x="212"/>
        <item x="30"/>
        <item x="365"/>
        <item x="243"/>
        <item x="121"/>
        <item x="273"/>
        <item x="303"/>
        <item x="334"/>
        <item x="150"/>
        <item x="89"/>
        <item x="181"/>
        <item x="211"/>
        <item x="60"/>
        <item x="29"/>
        <item x="364"/>
        <item x="242"/>
        <item x="120"/>
        <item x="272"/>
        <item x="302"/>
        <item x="333"/>
        <item x="149"/>
        <item x="88"/>
        <item x="180"/>
        <item x="210"/>
        <item x="59"/>
        <item x="28"/>
        <item x="363"/>
        <item x="241"/>
        <item x="119"/>
        <item x="271"/>
        <item x="301"/>
        <item x="332"/>
        <item x="148"/>
        <item x="87"/>
        <item x="179"/>
        <item x="209"/>
        <item x="58"/>
        <item x="27"/>
        <item x="362"/>
        <item x="240"/>
        <item x="118"/>
        <item x="270"/>
        <item x="300"/>
        <item x="331"/>
        <item x="147"/>
        <item x="86"/>
        <item x="178"/>
        <item x="208"/>
        <item x="57"/>
        <item x="26"/>
        <item x="361"/>
        <item x="239"/>
        <item x="117"/>
        <item x="269"/>
        <item x="299"/>
        <item x="330"/>
        <item x="146"/>
        <item x="85"/>
        <item x="177"/>
        <item x="207"/>
        <item x="56"/>
        <item x="25"/>
        <item x="360"/>
        <item x="238"/>
        <item x="116"/>
        <item x="268"/>
        <item x="298"/>
        <item x="329"/>
        <item x="145"/>
        <item x="84"/>
        <item x="176"/>
        <item x="206"/>
        <item x="55"/>
        <item x="24"/>
        <item x="359"/>
        <item x="237"/>
        <item x="115"/>
        <item x="267"/>
        <item x="297"/>
        <item x="328"/>
        <item x="144"/>
        <item x="83"/>
        <item x="175"/>
        <item x="205"/>
        <item x="54"/>
        <item x="23"/>
        <item x="358"/>
        <item x="236"/>
        <item x="114"/>
        <item x="266"/>
        <item x="296"/>
        <item x="327"/>
        <item x="143"/>
        <item x="82"/>
        <item x="174"/>
        <item x="204"/>
        <item x="53"/>
        <item x="22"/>
        <item x="357"/>
        <item x="235"/>
        <item x="113"/>
        <item x="265"/>
        <item x="295"/>
        <item x="326"/>
        <item x="142"/>
        <item x="81"/>
        <item x="173"/>
        <item x="203"/>
        <item x="52"/>
        <item x="21"/>
        <item x="356"/>
        <item x="234"/>
        <item x="112"/>
        <item x="264"/>
        <item x="294"/>
        <item x="325"/>
        <item x="141"/>
        <item x="80"/>
        <item x="172"/>
        <item x="202"/>
        <item x="51"/>
        <item x="20"/>
        <item x="355"/>
        <item x="233"/>
        <item x="111"/>
        <item x="263"/>
        <item x="293"/>
        <item x="324"/>
        <item x="140"/>
        <item x="79"/>
        <item x="171"/>
        <item x="201"/>
        <item x="50"/>
        <item x="19"/>
        <item x="354"/>
        <item x="232"/>
        <item x="110"/>
        <item x="262"/>
        <item x="292"/>
        <item x="323"/>
        <item x="139"/>
        <item x="78"/>
        <item x="170"/>
        <item x="200"/>
        <item x="49"/>
        <item x="18"/>
        <item x="353"/>
        <item x="231"/>
        <item x="109"/>
        <item x="261"/>
        <item x="291"/>
        <item x="322"/>
        <item x="138"/>
        <item x="77"/>
        <item x="169"/>
        <item x="199"/>
        <item x="48"/>
        <item x="17"/>
        <item x="352"/>
        <item x="230"/>
        <item x="108"/>
        <item x="260"/>
        <item x="290"/>
        <item x="321"/>
        <item x="137"/>
        <item x="76"/>
        <item x="168"/>
        <item x="198"/>
        <item x="47"/>
        <item x="16"/>
        <item x="351"/>
        <item x="229"/>
        <item x="107"/>
        <item x="259"/>
        <item x="289"/>
        <item x="320"/>
        <item x="136"/>
        <item x="75"/>
        <item x="167"/>
        <item x="197"/>
        <item x="46"/>
        <item x="15"/>
        <item x="350"/>
        <item x="228"/>
        <item x="106"/>
        <item x="258"/>
        <item x="288"/>
        <item x="319"/>
        <item x="135"/>
        <item x="74"/>
        <item x="166"/>
        <item x="196"/>
        <item x="45"/>
        <item x="14"/>
        <item x="349"/>
        <item x="227"/>
        <item x="105"/>
        <item x="257"/>
        <item x="287"/>
        <item x="318"/>
        <item x="134"/>
        <item x="73"/>
        <item x="165"/>
        <item x="195"/>
        <item x="44"/>
        <item x="13"/>
        <item x="348"/>
        <item x="226"/>
        <item x="104"/>
        <item x="256"/>
        <item x="286"/>
        <item x="317"/>
        <item x="133"/>
        <item x="72"/>
        <item x="164"/>
        <item x="194"/>
        <item x="43"/>
        <item x="12"/>
        <item x="347"/>
        <item x="225"/>
        <item x="103"/>
        <item x="255"/>
        <item x="285"/>
        <item x="316"/>
        <item x="132"/>
        <item x="71"/>
        <item x="163"/>
        <item x="193"/>
        <item x="42"/>
        <item x="11"/>
        <item x="346"/>
        <item x="224"/>
        <item x="102"/>
        <item x="254"/>
        <item x="284"/>
        <item x="315"/>
        <item x="131"/>
        <item x="70"/>
        <item x="162"/>
        <item x="192"/>
        <item x="41"/>
        <item x="10"/>
        <item x="345"/>
        <item x="223"/>
        <item x="101"/>
        <item x="253"/>
        <item x="283"/>
        <item x="314"/>
        <item x="130"/>
        <item x="69"/>
        <item x="161"/>
        <item x="191"/>
        <item x="40"/>
        <item x="9"/>
        <item x="344"/>
        <item x="222"/>
        <item x="100"/>
        <item x="252"/>
        <item x="282"/>
        <item x="313"/>
        <item x="129"/>
        <item x="68"/>
        <item x="160"/>
        <item x="190"/>
        <item x="39"/>
        <item x="8"/>
        <item x="343"/>
        <item x="221"/>
        <item x="99"/>
        <item x="251"/>
        <item x="281"/>
        <item x="312"/>
        <item x="128"/>
        <item x="67"/>
        <item x="159"/>
        <item x="189"/>
        <item x="38"/>
        <item x="7"/>
        <item x="342"/>
        <item x="220"/>
        <item x="98"/>
        <item x="250"/>
        <item x="280"/>
        <item x="311"/>
        <item x="127"/>
        <item x="66"/>
        <item x="158"/>
        <item x="188"/>
        <item x="37"/>
        <item x="6"/>
        <item x="341"/>
        <item x="219"/>
        <item x="97"/>
        <item x="249"/>
        <item x="279"/>
        <item x="310"/>
        <item x="126"/>
        <item x="65"/>
        <item x="157"/>
        <item x="187"/>
        <item x="36"/>
        <item x="5"/>
        <item x="340"/>
        <item x="218"/>
        <item x="96"/>
        <item x="248"/>
        <item x="278"/>
        <item x="309"/>
        <item x="125"/>
        <item x="64"/>
        <item x="156"/>
        <item x="186"/>
        <item x="35"/>
        <item x="4"/>
        <item x="339"/>
        <item x="217"/>
        <item x="95"/>
        <item x="247"/>
        <item x="277"/>
        <item x="308"/>
        <item x="124"/>
        <item x="63"/>
        <item x="155"/>
        <item x="185"/>
        <item x="34"/>
        <item x="3"/>
        <item x="338"/>
        <item x="216"/>
        <item x="94"/>
        <item x="246"/>
        <item x="276"/>
        <item x="307"/>
        <item x="123"/>
        <item x="62"/>
        <item x="154"/>
        <item x="184"/>
        <item x="33"/>
        <item x="2"/>
        <item x="337"/>
        <item x="215"/>
        <item x="93"/>
        <item x="245"/>
        <item x="275"/>
        <item x="306"/>
        <item x="122"/>
        <item x="61"/>
        <item x="153"/>
        <item x="183"/>
        <item x="32"/>
        <item x="1"/>
        <item x="336"/>
        <item x="214"/>
        <item x="92"/>
        <item x="367"/>
        <item x="0"/>
      </items>
    </pivotField>
    <pivotField compact="0" outline="0" showAll="0"/>
    <pivotField axis="axisRow" compact="0" outline="0" showAll="0" defaultSubtotal="0">
      <items count="242">
        <item x="32"/>
        <item x="42"/>
        <item x="122"/>
        <item x="221"/>
        <item x="56"/>
        <item x="138"/>
        <item x="126"/>
        <item x="240"/>
        <item x="151"/>
        <item x="121"/>
        <item x="0"/>
        <item x="224"/>
        <item x="131"/>
        <item x="137"/>
        <item x="227"/>
        <item x="225"/>
        <item x="1"/>
        <item x="124"/>
        <item x="125"/>
        <item x="127"/>
        <item x="235"/>
        <item x="2"/>
        <item x="228"/>
        <item x="3"/>
        <item x="165"/>
        <item x="136"/>
        <item x="103"/>
        <item x="142"/>
        <item x="143"/>
        <item x="108"/>
        <item x="109"/>
        <item x="233"/>
        <item x="189"/>
        <item x="197"/>
        <item x="123"/>
        <item x="141"/>
        <item x="105"/>
        <item x="4"/>
        <item x="129"/>
        <item x="241"/>
        <item x="128"/>
        <item x="170"/>
        <item x="106"/>
        <item x="159"/>
        <item x="118"/>
        <item x="111"/>
        <item x="104"/>
        <item x="175"/>
        <item x="167"/>
        <item x="182"/>
        <item x="236"/>
        <item x="204"/>
        <item x="156"/>
        <item x="180"/>
        <item x="155"/>
        <item x="133"/>
        <item x="226"/>
        <item x="132"/>
        <item x="5"/>
        <item x="169"/>
        <item x="139"/>
        <item x="6"/>
        <item x="223"/>
        <item x="144"/>
        <item x="112"/>
        <item x="7"/>
        <item x="134"/>
        <item x="116"/>
        <item x="114"/>
        <item x="8"/>
        <item x="202"/>
        <item x="149"/>
        <item x="130"/>
        <item x="9"/>
        <item x="140"/>
        <item x="107"/>
        <item x="222"/>
        <item x="110"/>
        <item x="117"/>
        <item x="146"/>
        <item x="145"/>
        <item x="147"/>
        <item x="10"/>
        <item x="172"/>
        <item x="113"/>
        <item x="174"/>
        <item x="230"/>
        <item x="176"/>
        <item x="181"/>
        <item x="115"/>
        <item x="11"/>
        <item x="135"/>
        <item x="12"/>
        <item x="13"/>
        <item x="14"/>
        <item x="190"/>
        <item x="198"/>
        <item x="199"/>
        <item x="177"/>
        <item x="15"/>
        <item x="161"/>
        <item x="16"/>
        <item x="232"/>
        <item x="154"/>
        <item x="17"/>
        <item x="18"/>
        <item x="160"/>
        <item x="164"/>
        <item x="19"/>
        <item x="162"/>
        <item x="217"/>
        <item x="168"/>
        <item x="239"/>
        <item x="173"/>
        <item x="188"/>
        <item x="194"/>
        <item x="196"/>
        <item x="191"/>
        <item x="216"/>
        <item x="178"/>
        <item x="229"/>
        <item x="158"/>
        <item x="183"/>
        <item x="185"/>
        <item x="148"/>
        <item x="119"/>
        <item x="166"/>
        <item x="20"/>
        <item x="231"/>
        <item x="186"/>
        <item x="21"/>
        <item x="171"/>
        <item x="22"/>
        <item x="23"/>
        <item x="24"/>
        <item x="215"/>
        <item x="25"/>
        <item x="192"/>
        <item x="200"/>
        <item x="150"/>
        <item x="203"/>
        <item x="205"/>
        <item x="201"/>
        <item x="152"/>
        <item x="153"/>
        <item x="237"/>
        <item x="209"/>
        <item x="26"/>
        <item x="27"/>
        <item x="28"/>
        <item x="206"/>
        <item x="29"/>
        <item x="30"/>
        <item x="31"/>
        <item x="33"/>
        <item x="218"/>
        <item x="34"/>
        <item x="35"/>
        <item x="36"/>
        <item x="37"/>
        <item x="38"/>
        <item x="157"/>
        <item x="208"/>
        <item x="163"/>
        <item x="39"/>
        <item x="40"/>
        <item x="41"/>
        <item x="43"/>
        <item x="44"/>
        <item x="45"/>
        <item x="46"/>
        <item x="179"/>
        <item x="47"/>
        <item x="48"/>
        <item x="49"/>
        <item x="238"/>
        <item x="210"/>
        <item x="184"/>
        <item x="50"/>
        <item x="51"/>
        <item x="52"/>
        <item x="53"/>
        <item x="187"/>
        <item x="234"/>
        <item x="54"/>
        <item x="211"/>
        <item x="193"/>
        <item x="195"/>
        <item x="55"/>
        <item x="212"/>
        <item x="57"/>
        <item x="59"/>
        <item x="58"/>
        <item x="61"/>
        <item x="60"/>
        <item x="62"/>
        <item x="64"/>
        <item x="63"/>
        <item x="65"/>
        <item x="213"/>
        <item x="219"/>
        <item x="67"/>
        <item x="66"/>
        <item x="69"/>
        <item x="68"/>
        <item x="70"/>
        <item x="71"/>
        <item x="73"/>
        <item x="72"/>
        <item x="74"/>
        <item x="207"/>
        <item x="76"/>
        <item x="75"/>
        <item x="77"/>
        <item x="78"/>
        <item x="79"/>
        <item x="80"/>
        <item x="82"/>
        <item x="81"/>
        <item x="83"/>
        <item x="84"/>
        <item x="86"/>
        <item x="85"/>
        <item x="88"/>
        <item x="87"/>
        <item x="89"/>
        <item x="90"/>
        <item x="214"/>
        <item x="220"/>
        <item x="120"/>
        <item x="92"/>
        <item x="91"/>
        <item x="94"/>
        <item x="93"/>
        <item x="96"/>
        <item x="95"/>
        <item x="98"/>
        <item x="97"/>
        <item x="100"/>
        <item x="99"/>
        <item x="101"/>
        <item x="102"/>
      </items>
    </pivotField>
    <pivotField compact="0" outline="0" showAll="0"/>
    <pivotField axis="axisPage" compact="0" outline="0" showAll="0">
      <items count="67">
        <item x="0"/>
        <item x="1"/>
        <item x="2"/>
        <item x="42"/>
        <item x="3"/>
        <item x="4"/>
        <item x="43"/>
        <item x="5"/>
        <item x="6"/>
        <item x="7"/>
        <item x="8"/>
        <item x="64"/>
        <item x="44"/>
        <item x="9"/>
        <item x="10"/>
        <item x="11"/>
        <item x="45"/>
        <item x="12"/>
        <item x="13"/>
        <item x="14"/>
        <item x="46"/>
        <item x="47"/>
        <item x="15"/>
        <item x="16"/>
        <item x="17"/>
        <item x="48"/>
        <item x="18"/>
        <item x="19"/>
        <item x="49"/>
        <item x="20"/>
        <item x="21"/>
        <item x="50"/>
        <item x="22"/>
        <item x="23"/>
        <item x="24"/>
        <item x="25"/>
        <item x="26"/>
        <item x="27"/>
        <item x="28"/>
        <item x="51"/>
        <item x="52"/>
        <item x="29"/>
        <item x="61"/>
        <item x="30"/>
        <item x="31"/>
        <item x="32"/>
        <item x="33"/>
        <item x="34"/>
        <item x="62"/>
        <item x="35"/>
        <item x="53"/>
        <item x="36"/>
        <item x="37"/>
        <item x="38"/>
        <item x="39"/>
        <item x="63"/>
        <item x="54"/>
        <item x="40"/>
        <item x="55"/>
        <item x="65"/>
        <item x="56"/>
        <item x="57"/>
        <item x="58"/>
        <item x="41"/>
        <item x="59"/>
        <item x="60"/>
        <item t="default"/>
      </items>
    </pivotField>
    <pivotField compact="0" outline="0" showAll="0">
      <items count="4">
        <item x="1"/>
        <item x="2"/>
        <item x="0"/>
        <item t="default"/>
      </items>
    </pivotField>
    <pivotField dataField="1" compact="0" outline="0" showAll="0"/>
    <pivotField dataField="1" compact="0" outline="0" showAll="0"/>
    <pivotField axis="axisRow" compact="0" outline="0" showAll="0" defaultSubtotal="0">
      <items count="21">
        <item x="16"/>
        <item x="10"/>
        <item x="5"/>
        <item x="13"/>
        <item x="6"/>
        <item x="11"/>
        <item x="20"/>
        <item x="14"/>
        <item x="18"/>
        <item x="15"/>
        <item x="19"/>
        <item x="8"/>
        <item x="12"/>
        <item x="3"/>
        <item x="1"/>
        <item x="0"/>
        <item x="2"/>
        <item x="17"/>
        <item x="9"/>
        <item x="4"/>
        <item x="7"/>
      </items>
    </pivotField>
    <pivotField compact="0" outline="0" showAll="0"/>
    <pivotField compact="0" outline="0" showAll="0"/>
    <pivotField axis="axisRow" compact="0" outline="0" showAll="0">
      <items count="74">
        <item x="58"/>
        <item x="4"/>
        <item x="12"/>
        <item x="53"/>
        <item x="54"/>
        <item x="56"/>
        <item x="13"/>
        <item x="57"/>
        <item x="14"/>
        <item x="60"/>
        <item x="61"/>
        <item x="16"/>
        <item x="62"/>
        <item x="17"/>
        <item x="19"/>
        <item x="20"/>
        <item x="22"/>
        <item x="24"/>
        <item x="5"/>
        <item x="27"/>
        <item x="28"/>
        <item x="31"/>
        <item x="32"/>
        <item x="33"/>
        <item x="34"/>
        <item x="35"/>
        <item x="6"/>
        <item x="36"/>
        <item x="37"/>
        <item x="38"/>
        <item x="40"/>
        <item x="7"/>
        <item x="42"/>
        <item x="43"/>
        <item x="8"/>
        <item x="9"/>
        <item x="46"/>
        <item x="47"/>
        <item x="48"/>
        <item x="49"/>
        <item x="50"/>
        <item x="51"/>
        <item x="10"/>
        <item x="11"/>
        <item x="59"/>
        <item x="23"/>
        <item x="18"/>
        <item x="72"/>
        <item x="39"/>
        <item x="69"/>
        <item x="66"/>
        <item x="3"/>
        <item x="25"/>
        <item x="21"/>
        <item x="26"/>
        <item x="1"/>
        <item x="44"/>
        <item x="15"/>
        <item x="55"/>
        <item x="2"/>
        <item x="70"/>
        <item x="30"/>
        <item x="29"/>
        <item x="67"/>
        <item x="45"/>
        <item x="64"/>
        <item x="63"/>
        <item x="52"/>
        <item x="0"/>
        <item x="65"/>
        <item x="68"/>
        <item x="41"/>
        <item x="71"/>
        <item t="default"/>
      </items>
    </pivotField>
    <pivotField compact="0" outline="0" showAll="0"/>
    <pivotField axis="axisRow" compact="0" outline="0" showAll="0" sortType="ascending" defaultSubtotal="0">
      <items count="3">
        <item x="1"/>
        <item x="2"/>
        <item x="0"/>
      </items>
    </pivotField>
    <pivotField axis="axisPage" compact="0" outline="0" showAll="0" defaultSubtotal="0">
      <items count="3">
        <item x="0"/>
        <item x="1"/>
        <item x="2"/>
      </items>
    </pivotField>
  </pivotFields>
  <rowFields count="5">
    <field x="2"/>
    <field x="0"/>
    <field x="13"/>
    <field x="8"/>
    <field x="11"/>
  </rowFields>
  <rowItems count="9">
    <i>
      <x/>
      <x v="52"/>
      <x/>
      <x v="13"/>
      <x v="24"/>
    </i>
    <i>
      <x v="23"/>
      <x v="208"/>
      <x v="1"/>
      <x/>
      <x v="58"/>
    </i>
    <i>
      <x v="42"/>
      <x v="292"/>
      <x v="1"/>
      <x/>
      <x v="52"/>
    </i>
    <i>
      <x v="52"/>
      <x v="220"/>
      <x v="1"/>
      <x/>
      <x v="57"/>
    </i>
    <i>
      <x v="64"/>
      <x v="280"/>
      <x v="1"/>
      <x v="19"/>
      <x v="53"/>
    </i>
    <i>
      <x v="161"/>
      <x v="88"/>
      <x v="1"/>
      <x/>
      <x v="67"/>
    </i>
    <i>
      <x v="178"/>
      <x v="256"/>
      <x v="1"/>
      <x v="14"/>
      <x v="55"/>
    </i>
    <i>
      <x v="179"/>
      <x v="76"/>
      <x v="1"/>
      <x v="15"/>
      <x v="68"/>
    </i>
    <i>
      <x v="180"/>
      <x v="256"/>
      <x v="2"/>
      <x v="14"/>
      <x v="55"/>
    </i>
  </rowItems>
  <colFields count="1">
    <field x="-2"/>
  </colFields>
  <colItems count="2">
    <i>
      <x/>
    </i>
    <i i="1">
      <x v="1"/>
    </i>
  </colItems>
  <pageFields count="2">
    <pageField fld="14" item="1" hier="-1"/>
    <pageField fld="4" item="29" hier="-1"/>
  </pageFields>
  <dataFields count="2">
    <dataField name="Suma de as_debito" fld="7" baseField="0" baseItem="0"/>
    <dataField name="Suma de as_credito"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Tabla dinámica1" cacheId="4" applyNumberFormats="0" applyBorderFormats="0" applyFontFormats="0" applyPatternFormats="0" applyAlignmentFormats="0" applyWidthHeightFormats="1" dataCaption="Valores" updatedVersion="6"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1" hier="-1"/>
    <pageField fld="0" hier="-1"/>
  </pageFields>
  <dataFields count="2">
    <dataField name="Suma de Balance" fld="3" baseField="2" baseItem="0" numFmtId="171"/>
    <dataField name="Suma de Plan" fld="4"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Tabla dinámica2" cacheId="2" applyNumberFormats="0" applyBorderFormats="0" applyFontFormats="0" applyPatternFormats="0" applyAlignmentFormats="0" applyWidthHeightFormats="1" dataCaption="Valores" updatedVersion="6" minRefreshableVersion="3" showDrill="0" rowGrandTotals="0" colGrandTotals="0" itemPrintTitles="1" createdVersion="5" indent="0" outline="1" outlineData="1" multipleFieldFilters="0" fieldListSortAscending="1" customListSort="0">
  <location ref="G8:L560"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1"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552">
    <i>
      <x v="265"/>
      <x v="3"/>
      <x v="2"/>
      <x v="267"/>
      <x v="3209"/>
      <x v="611"/>
    </i>
    <i r="4">
      <x v="3443"/>
      <x v="611"/>
    </i>
    <i r="1">
      <x v="5"/>
      <x v="68"/>
      <x v="267"/>
      <x v="3022"/>
      <x v="611"/>
    </i>
    <i r="1">
      <x v="10"/>
      <x v="68"/>
      <x v="267"/>
      <x v="3274"/>
      <x v="611"/>
    </i>
    <i r="1">
      <x v="15"/>
      <x v="14"/>
      <x v="267"/>
      <x v="1657"/>
      <x v="611"/>
    </i>
    <i r="1">
      <x v="16"/>
      <x v="68"/>
      <x v="267"/>
      <x v="3393"/>
      <x v="611"/>
    </i>
    <i r="1">
      <x v="20"/>
      <x v="14"/>
      <x v="267"/>
      <x v="2748"/>
      <x v="611"/>
    </i>
    <i r="1">
      <x v="24"/>
      <x v="62"/>
      <x v="267"/>
      <x v="2"/>
      <x v="611"/>
    </i>
    <i r="2">
      <x v="68"/>
      <x v="267"/>
      <x v="2738"/>
      <x v="611"/>
    </i>
    <i r="1">
      <x v="27"/>
      <x v="2"/>
      <x v="267"/>
      <x v="1701"/>
      <x v="611"/>
    </i>
    <i r="4">
      <x v="2969"/>
      <x v="611"/>
    </i>
    <i r="4">
      <x v="3209"/>
      <x v="611"/>
    </i>
    <i r="4">
      <x v="3443"/>
      <x v="611"/>
    </i>
    <i r="1">
      <x v="37"/>
      <x v="68"/>
      <x v="267"/>
      <x v="3450"/>
      <x v="611"/>
    </i>
    <i r="1">
      <x v="38"/>
      <x v="14"/>
      <x v="267"/>
      <x v="2342"/>
      <x v="611"/>
    </i>
    <i r="1">
      <x v="40"/>
      <x v="2"/>
      <x v="267"/>
      <x v="3443"/>
      <x v="611"/>
    </i>
    <i r="2">
      <x v="21"/>
      <x v="398"/>
      <x v="3509"/>
      <x v="611"/>
    </i>
    <i r="2">
      <x v="22"/>
      <x v="428"/>
      <x v="3393"/>
      <x v="611"/>
    </i>
    <i>
      <x v="266"/>
      <x v="3"/>
      <x v="2"/>
      <x v="266"/>
      <x v="3443"/>
      <x v="611"/>
    </i>
    <i r="1">
      <x v="5"/>
      <x v="17"/>
      <x v="266"/>
      <x v="2232"/>
      <x v="611"/>
    </i>
    <i r="1">
      <x v="10"/>
      <x v="68"/>
      <x v="266"/>
      <x v="1127"/>
      <x v="611"/>
    </i>
    <i r="1">
      <x v="16"/>
      <x v="68"/>
      <x v="266"/>
      <x v="53"/>
      <x v="611"/>
    </i>
    <i r="1">
      <x v="18"/>
      <x v="68"/>
      <x v="266"/>
      <x v="1227"/>
      <x v="611"/>
    </i>
    <i r="1">
      <x v="20"/>
      <x v="68"/>
      <x v="266"/>
      <x v="529"/>
      <x v="611"/>
    </i>
    <i r="1">
      <x v="24"/>
      <x v="2"/>
      <x v="266"/>
      <x v="2369"/>
      <x v="611"/>
    </i>
    <i r="2">
      <x v="17"/>
      <x v="266"/>
      <x v="1813"/>
      <x v="611"/>
    </i>
    <i r="2">
      <x v="68"/>
      <x v="266"/>
      <x v="910"/>
      <x v="611"/>
    </i>
    <i r="1">
      <x v="25"/>
      <x v="19"/>
      <x v="266"/>
      <x v="55"/>
      <x v="611"/>
    </i>
    <i r="2">
      <x v="68"/>
      <x v="266"/>
      <x v="480"/>
      <x v="611"/>
    </i>
    <i r="1">
      <x v="27"/>
      <x v="2"/>
      <x v="266"/>
      <x v="2690"/>
      <x v="611"/>
    </i>
    <i r="4">
      <x v="3209"/>
      <x v="611"/>
    </i>
    <i r="4">
      <x v="3443"/>
      <x v="611"/>
    </i>
    <i r="1">
      <x v="31"/>
      <x v="19"/>
      <x v="266"/>
      <x v="2572"/>
      <x v="611"/>
    </i>
    <i r="1">
      <x v="32"/>
      <x v="68"/>
      <x v="266"/>
      <x v="2528"/>
      <x v="611"/>
    </i>
    <i r="1">
      <x v="34"/>
      <x v="68"/>
      <x v="266"/>
      <x v="620"/>
      <x v="611"/>
    </i>
    <i r="1">
      <x v="35"/>
      <x v="2"/>
      <x v="266"/>
      <x v="2042"/>
      <x v="611"/>
    </i>
    <i r="2">
      <x v="67"/>
      <x v="266"/>
      <x v="1935"/>
      <x v="611"/>
    </i>
    <i r="2">
      <x v="68"/>
      <x v="266"/>
      <x v="105"/>
      <x v="611"/>
    </i>
    <i r="1">
      <x v="37"/>
      <x v="67"/>
      <x v="266"/>
      <x v="1935"/>
      <x v="611"/>
    </i>
    <i r="1">
      <x v="40"/>
      <x v="17"/>
      <x v="266"/>
      <x v="1164"/>
      <x v="611"/>
    </i>
    <i r="4">
      <x v="1429"/>
      <x v="611"/>
    </i>
    <i r="4">
      <x v="1621"/>
      <x v="611"/>
    </i>
    <i r="4">
      <x v="2970"/>
      <x v="611"/>
    </i>
    <i r="2">
      <x v="18"/>
      <x v="266"/>
      <x v="1364"/>
      <x v="611"/>
    </i>
    <i r="4">
      <x v="1752"/>
      <x v="611"/>
    </i>
    <i r="4">
      <x v="1799"/>
      <x v="611"/>
    </i>
    <i r="4">
      <x v="1841"/>
      <x v="611"/>
    </i>
    <i r="4">
      <x v="1987"/>
      <x v="611"/>
    </i>
    <i r="4">
      <x v="2032"/>
      <x v="611"/>
    </i>
    <i r="4">
      <x v="2656"/>
      <x v="611"/>
    </i>
    <i r="4">
      <x v="2814"/>
      <x v="611"/>
    </i>
    <i r="4">
      <x v="2981"/>
      <x v="611"/>
    </i>
    <i r="4">
      <x v="3041"/>
      <x v="611"/>
    </i>
    <i r="2">
      <x v="22"/>
      <x v="408"/>
      <x v="3530"/>
      <x v="611"/>
    </i>
    <i r="3">
      <x v="450"/>
      <x v="3546"/>
      <x v="611"/>
    </i>
    <i r="2">
      <x v="67"/>
      <x v="266"/>
      <x v="886"/>
      <x v="611"/>
    </i>
    <i r="2">
      <x v="68"/>
      <x v="266"/>
      <x v="3424"/>
      <x v="611"/>
    </i>
    <i>
      <x v="267"/>
      <x v="3"/>
      <x v="2"/>
      <x v="265"/>
      <x v="3209"/>
      <x v="611"/>
    </i>
    <i r="1">
      <x v="16"/>
      <x v="68"/>
      <x v="265"/>
      <x v="3272"/>
      <x v="611"/>
    </i>
    <i r="1">
      <x v="27"/>
      <x v="2"/>
      <x v="265"/>
      <x v="1621"/>
      <x v="611"/>
    </i>
    <i r="4">
      <x v="1814"/>
      <x v="611"/>
    </i>
    <i r="4">
      <x v="2305"/>
      <x v="611"/>
    </i>
    <i r="4">
      <x v="2486"/>
      <x v="611"/>
    </i>
    <i r="4">
      <x v="2690"/>
      <x v="611"/>
    </i>
    <i r="4">
      <x v="3209"/>
      <x v="611"/>
    </i>
    <i r="4">
      <x v="3443"/>
      <x v="611"/>
    </i>
    <i r="1">
      <x v="37"/>
      <x v="2"/>
      <x v="265"/>
      <x v="3393"/>
      <x v="611"/>
    </i>
    <i r="2">
      <x v="14"/>
      <x v="265"/>
      <x v="2900"/>
      <x v="611"/>
    </i>
    <i r="2">
      <x v="68"/>
      <x v="265"/>
      <x v="3517"/>
      <x v="611"/>
    </i>
    <i r="1">
      <x v="40"/>
      <x v="2"/>
      <x v="265"/>
      <x v="3443"/>
      <x v="611"/>
    </i>
    <i r="2">
      <x v="22"/>
      <x v="387"/>
      <x v="3542"/>
      <x v="611"/>
    </i>
    <i>
      <x v="268"/>
      <x v="4"/>
      <x v="68"/>
      <x v="264"/>
      <x v="2231"/>
      <x v="611"/>
    </i>
    <i r="1">
      <x v="12"/>
      <x v="14"/>
      <x v="264"/>
      <x v="780"/>
      <x v="611"/>
    </i>
    <i r="1">
      <x v="24"/>
      <x v="17"/>
      <x v="264"/>
      <x v="3072"/>
      <x v="611"/>
    </i>
    <i r="1">
      <x v="25"/>
      <x v="2"/>
      <x v="264"/>
      <x v="2271"/>
      <x v="611"/>
    </i>
    <i r="1">
      <x v="27"/>
      <x v="2"/>
      <x v="264"/>
      <x v="1701"/>
      <x v="611"/>
    </i>
    <i r="4">
      <x v="2027"/>
      <x v="611"/>
    </i>
    <i r="4">
      <x v="2150"/>
      <x v="611"/>
    </i>
    <i r="4">
      <x v="2486"/>
      <x v="611"/>
    </i>
    <i r="4">
      <x v="2690"/>
      <x v="611"/>
    </i>
    <i r="4">
      <x v="2969"/>
      <x v="611"/>
    </i>
    <i r="4">
      <x v="3209"/>
      <x v="611"/>
    </i>
    <i r="4">
      <x v="3443"/>
      <x v="611"/>
    </i>
    <i r="2">
      <x v="68"/>
      <x v="264"/>
      <x v="618"/>
      <x v="611"/>
    </i>
    <i r="1">
      <x v="32"/>
      <x v="68"/>
      <x v="264"/>
      <x v="970"/>
      <x v="611"/>
    </i>
    <i r="1">
      <x v="34"/>
      <x v="68"/>
      <x v="264"/>
      <x v="1857"/>
      <x v="611"/>
    </i>
    <i r="1">
      <x v="37"/>
      <x v="68"/>
      <x v="264"/>
      <x v="3513"/>
      <x v="611"/>
    </i>
    <i r="1">
      <x v="40"/>
      <x v="2"/>
      <x v="264"/>
      <x v="3209"/>
      <x v="611"/>
    </i>
    <i r="2">
      <x v="18"/>
      <x v="264"/>
      <x v="1668"/>
      <x v="611"/>
    </i>
    <i r="4">
      <x v="1978"/>
      <x v="611"/>
    </i>
    <i r="4">
      <x v="2156"/>
      <x v="611"/>
    </i>
    <i r="4">
      <x v="2289"/>
      <x v="611"/>
    </i>
    <i r="4">
      <x v="2716"/>
      <x v="611"/>
    </i>
    <i r="4">
      <x v="2947"/>
      <x v="611"/>
    </i>
    <i r="4">
      <x v="3398"/>
      <x v="611"/>
    </i>
    <i r="2">
      <x v="22"/>
      <x v="401"/>
      <x v="3535"/>
      <x v="611"/>
    </i>
    <i r="3">
      <x v="403"/>
      <x v="3039"/>
      <x v="611"/>
    </i>
    <i r="3">
      <x v="425"/>
      <x v="3537"/>
      <x v="611"/>
    </i>
    <i>
      <x v="269"/>
      <x v="2"/>
      <x v="2"/>
      <x v="262"/>
      <x v="1171"/>
      <x v="611"/>
    </i>
    <i r="1">
      <x v="3"/>
      <x v="2"/>
      <x v="262"/>
      <x v="3443"/>
      <x v="611"/>
    </i>
    <i r="1">
      <x v="5"/>
      <x v="14"/>
      <x v="262"/>
      <x v="2748"/>
      <x v="611"/>
    </i>
    <i r="1">
      <x v="15"/>
      <x v="2"/>
      <x v="262"/>
      <x v="3069"/>
      <x v="611"/>
    </i>
    <i r="1">
      <x v="20"/>
      <x v="16"/>
      <x v="262"/>
      <x v="1749"/>
      <x v="611"/>
    </i>
    <i r="2">
      <x v="68"/>
      <x v="262"/>
      <x v="3002"/>
      <x v="611"/>
    </i>
    <i r="1">
      <x v="25"/>
      <x v="68"/>
      <x v="262"/>
      <x v="2886"/>
      <x v="611"/>
    </i>
    <i r="1">
      <x v="27"/>
      <x v="2"/>
      <x v="262"/>
      <x v="1814"/>
      <x v="611"/>
    </i>
    <i r="4">
      <x v="2150"/>
      <x v="611"/>
    </i>
    <i r="4">
      <x v="2969"/>
      <x v="611"/>
    </i>
    <i r="4">
      <x v="3209"/>
      <x v="611"/>
    </i>
    <i r="4">
      <x v="3443"/>
      <x v="611"/>
    </i>
    <i r="2">
      <x v="59"/>
      <x v="263"/>
      <x v="1460"/>
      <x v="611"/>
    </i>
    <i r="2">
      <x v="68"/>
      <x v="262"/>
      <x v="1240"/>
      <x v="611"/>
    </i>
    <i r="1">
      <x v="28"/>
      <x v="17"/>
      <x v="262"/>
      <x v="3506"/>
      <x v="611"/>
    </i>
    <i r="1">
      <x v="32"/>
      <x v="68"/>
      <x v="262"/>
      <x v="652"/>
      <x v="611"/>
    </i>
    <i r="1">
      <x v="38"/>
      <x v="17"/>
      <x v="262"/>
      <x v="1267"/>
      <x v="611"/>
    </i>
    <i r="1">
      <x v="40"/>
      <x v="17"/>
      <x v="262"/>
      <x v="2590"/>
      <x v="611"/>
    </i>
    <i r="2">
      <x v="18"/>
      <x v="262"/>
      <x v="1154"/>
      <x v="611"/>
    </i>
    <i r="4">
      <x v="2022"/>
      <x v="611"/>
    </i>
    <i r="4">
      <x v="2192"/>
      <x v="611"/>
    </i>
    <i r="4">
      <x v="2433"/>
      <x v="611"/>
    </i>
    <i r="4">
      <x v="2568"/>
      <x v="611"/>
    </i>
    <i r="4">
      <x v="2912"/>
      <x v="611"/>
    </i>
    <i r="2">
      <x v="21"/>
      <x v="398"/>
      <x v="3393"/>
      <x v="611"/>
    </i>
    <i r="2">
      <x v="22"/>
      <x v="403"/>
      <x v="3039"/>
      <x v="611"/>
    </i>
    <i>
      <x v="270"/>
      <x v="15"/>
      <x v="14"/>
      <x v="261"/>
      <x v="1735"/>
      <x v="611"/>
    </i>
    <i r="1">
      <x v="27"/>
      <x v="2"/>
      <x v="261"/>
      <x v="2969"/>
      <x v="611"/>
    </i>
    <i r="4">
      <x v="3209"/>
      <x v="611"/>
    </i>
    <i r="4">
      <x v="3443"/>
      <x v="611"/>
    </i>
    <i r="1">
      <x v="34"/>
      <x v="68"/>
      <x v="261"/>
      <x v="2536"/>
      <x v="611"/>
    </i>
    <i r="1">
      <x v="37"/>
      <x v="68"/>
      <x v="261"/>
      <x v="2969"/>
      <x v="611"/>
    </i>
    <i r="1">
      <x v="38"/>
      <x v="2"/>
      <x v="261"/>
      <x v="3324"/>
      <x v="611"/>
    </i>
    <i r="2">
      <x v="17"/>
      <x v="261"/>
      <x v="3564"/>
      <x v="393"/>
    </i>
    <i r="1">
      <x v="40"/>
      <x v="22"/>
      <x v="378"/>
      <x v="3512"/>
      <x v="611"/>
    </i>
    <i r="3">
      <x v="419"/>
      <x v="3200"/>
      <x v="611"/>
    </i>
    <i r="3">
      <x v="427"/>
      <x v="3528"/>
      <x v="611"/>
    </i>
    <i r="2">
      <x v="68"/>
      <x v="261"/>
      <x v="3341"/>
      <x v="611"/>
    </i>
    <i>
      <x v="271"/>
      <x v="2"/>
      <x v="2"/>
      <x v="260"/>
      <x v="3253"/>
      <x v="611"/>
    </i>
    <i r="1">
      <x v="3"/>
      <x v="2"/>
      <x v="260"/>
      <x v="3443"/>
      <x v="611"/>
    </i>
    <i r="1">
      <x v="15"/>
      <x v="19"/>
      <x v="260"/>
      <x v="2788"/>
      <x v="611"/>
    </i>
    <i r="1">
      <x v="18"/>
      <x v="68"/>
      <x v="260"/>
      <x v="3443"/>
      <x v="611"/>
    </i>
    <i r="1">
      <x v="24"/>
      <x v="17"/>
      <x v="260"/>
      <x v="2766"/>
      <x v="611"/>
    </i>
    <i r="1">
      <x v="27"/>
      <x v="2"/>
      <x v="260"/>
      <x v="2150"/>
      <x v="611"/>
    </i>
    <i r="4">
      <x v="3209"/>
      <x v="611"/>
    </i>
    <i r="4">
      <x v="3443"/>
      <x v="611"/>
    </i>
    <i r="1">
      <x v="38"/>
      <x v="62"/>
      <x v="260"/>
      <x v="1673"/>
      <x v="611"/>
    </i>
    <i r="1">
      <x v="40"/>
      <x v="2"/>
      <x v="260"/>
      <x v="2969"/>
      <x v="611"/>
    </i>
    <i r="2">
      <x v="18"/>
      <x v="260"/>
      <x v="2402"/>
      <x v="611"/>
    </i>
    <i r="4">
      <x v="2499"/>
      <x v="611"/>
    </i>
    <i r="4">
      <x v="2669"/>
      <x v="611"/>
    </i>
    <i r="4">
      <x v="2670"/>
      <x v="611"/>
    </i>
    <i r="4">
      <x v="3084"/>
      <x v="611"/>
    </i>
    <i r="2">
      <x v="22"/>
      <x v="412"/>
      <x v="3550"/>
      <x v="611"/>
    </i>
    <i r="3">
      <x v="431"/>
      <x v="3499"/>
      <x v="611"/>
    </i>
    <i r="2">
      <x v="68"/>
      <x v="260"/>
      <x v="2086"/>
      <x v="611"/>
    </i>
    <i r="4">
      <x v="3501"/>
      <x v="611"/>
    </i>
    <i>
      <x v="272"/>
      <x v="1"/>
      <x v="68"/>
      <x v="258"/>
      <x v="3387"/>
      <x v="611"/>
    </i>
    <i r="1">
      <x v="2"/>
      <x v="17"/>
      <x v="258"/>
      <x v="256"/>
      <x v="611"/>
    </i>
    <i r="2">
      <x v="18"/>
      <x v="258"/>
      <x v="3507"/>
      <x v="611"/>
    </i>
    <i r="1">
      <x v="3"/>
      <x v="2"/>
      <x v="258"/>
      <x v="3443"/>
      <x v="611"/>
    </i>
    <i r="2">
      <x v="33"/>
      <x v="259"/>
      <x v="694"/>
      <x v="611"/>
    </i>
    <i r="4">
      <x v="715"/>
      <x v="611"/>
    </i>
    <i r="4">
      <x v="1263"/>
      <x v="611"/>
    </i>
    <i r="4">
      <x v="1508"/>
      <x v="611"/>
    </i>
    <i r="4">
      <x v="1514"/>
      <x v="611"/>
    </i>
    <i r="4">
      <x v="2084"/>
      <x v="611"/>
    </i>
    <i r="4">
      <x v="2417"/>
      <x v="611"/>
    </i>
    <i r="4">
      <x v="2485"/>
      <x v="611"/>
    </i>
    <i r="4">
      <x v="2539"/>
      <x v="611"/>
    </i>
    <i r="4">
      <x v="2680"/>
      <x v="611"/>
    </i>
    <i r="4">
      <x v="2689"/>
      <x v="611"/>
    </i>
    <i r="4">
      <x v="2841"/>
      <x v="611"/>
    </i>
    <i r="4">
      <x v="2856"/>
      <x v="611"/>
    </i>
    <i r="4">
      <x v="2914"/>
      <x v="611"/>
    </i>
    <i r="4">
      <x v="3266"/>
      <x v="611"/>
    </i>
    <i r="4">
      <x v="3325"/>
      <x v="611"/>
    </i>
    <i r="4">
      <x v="3404"/>
      <x v="611"/>
    </i>
    <i r="1">
      <x v="13"/>
      <x v="33"/>
      <x v="259"/>
      <x v="2522"/>
      <x v="611"/>
    </i>
    <i r="1">
      <x v="15"/>
      <x v="33"/>
      <x v="259"/>
      <x v="398"/>
      <x v="611"/>
    </i>
    <i r="1">
      <x v="16"/>
      <x v="14"/>
      <x v="258"/>
      <x v="1788"/>
      <x v="611"/>
    </i>
    <i r="2">
      <x v="33"/>
      <x v="259"/>
      <x v="48"/>
      <x v="611"/>
    </i>
    <i r="2">
      <x v="68"/>
      <x v="258"/>
      <x v="2977"/>
      <x v="611"/>
    </i>
    <i r="1">
      <x v="18"/>
      <x v="14"/>
      <x v="258"/>
      <x v="1995"/>
      <x v="611"/>
    </i>
    <i r="2">
      <x v="33"/>
      <x v="259"/>
      <x v="97"/>
      <x v="611"/>
    </i>
    <i r="1">
      <x v="22"/>
      <x v="33"/>
      <x v="259"/>
      <x v="3028"/>
      <x v="611"/>
    </i>
    <i r="1">
      <x v="24"/>
      <x v="33"/>
      <x v="259"/>
      <x v="45"/>
      <x v="611"/>
    </i>
    <i r="1">
      <x v="27"/>
      <x v="2"/>
      <x v="258"/>
      <x v="3209"/>
      <x v="611"/>
    </i>
    <i r="2">
      <x v="33"/>
      <x v="259"/>
      <x v="135"/>
      <x v="611"/>
    </i>
    <i r="4">
      <x v="285"/>
      <x v="611"/>
    </i>
    <i r="4">
      <x v="292"/>
      <x v="611"/>
    </i>
    <i r="4">
      <x v="346"/>
      <x v="611"/>
    </i>
    <i r="4">
      <x v="347"/>
      <x v="611"/>
    </i>
    <i r="4">
      <x v="367"/>
      <x v="611"/>
    </i>
    <i r="4">
      <x v="507"/>
      <x v="611"/>
    </i>
    <i r="4">
      <x v="519"/>
      <x v="611"/>
    </i>
    <i r="4">
      <x v="633"/>
      <x v="611"/>
    </i>
    <i r="4">
      <x v="640"/>
      <x v="611"/>
    </i>
    <i r="4">
      <x v="642"/>
      <x v="611"/>
    </i>
    <i r="4">
      <x v="651"/>
      <x v="611"/>
    </i>
    <i r="4">
      <x v="660"/>
      <x v="611"/>
    </i>
    <i r="4">
      <x v="752"/>
      <x v="611"/>
    </i>
    <i r="4">
      <x v="842"/>
      <x v="611"/>
    </i>
    <i r="4">
      <x v="866"/>
      <x v="611"/>
    </i>
    <i r="4">
      <x v="961"/>
      <x v="611"/>
    </i>
    <i r="4">
      <x v="1072"/>
      <x v="611"/>
    </i>
    <i r="4">
      <x v="1330"/>
      <x v="611"/>
    </i>
    <i r="4">
      <x v="1380"/>
      <x v="611"/>
    </i>
    <i r="4">
      <x v="1690"/>
      <x v="611"/>
    </i>
    <i r="4">
      <x v="2932"/>
      <x v="611"/>
    </i>
    <i r="4">
      <x v="3391"/>
      <x v="611"/>
    </i>
    <i r="4">
      <x v="3405"/>
      <x v="611"/>
    </i>
    <i r="1">
      <x v="28"/>
      <x v="17"/>
      <x v="258"/>
      <x v="1663"/>
      <x v="611"/>
    </i>
    <i r="1">
      <x v="30"/>
      <x v="33"/>
      <x v="259"/>
      <x v="672"/>
      <x v="611"/>
    </i>
    <i r="1">
      <x v="37"/>
      <x v="33"/>
      <x v="259"/>
      <x v="3135"/>
      <x v="611"/>
    </i>
    <i r="2">
      <x v="68"/>
      <x v="258"/>
      <x v="3272"/>
      <x v="611"/>
    </i>
    <i r="1">
      <x v="38"/>
      <x v="33"/>
      <x v="259"/>
      <x v="156"/>
      <x v="611"/>
    </i>
    <i r="1">
      <x v="40"/>
      <x v="2"/>
      <x v="258"/>
      <x v="2690"/>
      <x v="611"/>
    </i>
    <i r="2">
      <x v="14"/>
      <x v="258"/>
      <x v="2748"/>
      <x v="611"/>
    </i>
    <i r="4">
      <x v="2928"/>
      <x v="611"/>
    </i>
    <i r="2">
      <x v="17"/>
      <x v="258"/>
      <x v="3410"/>
      <x v="611"/>
    </i>
    <i r="2">
      <x v="18"/>
      <x v="258"/>
      <x v="1635"/>
      <x v="611"/>
    </i>
    <i r="4">
      <x v="1915"/>
      <x v="611"/>
    </i>
    <i r="4">
      <x v="2363"/>
      <x v="611"/>
    </i>
    <i r="4">
      <x v="3064"/>
      <x v="611"/>
    </i>
    <i r="4">
      <x v="3125"/>
      <x v="611"/>
    </i>
    <i r="4">
      <x v="3275"/>
      <x v="611"/>
    </i>
    <i r="2">
      <x v="22"/>
      <x v="416"/>
      <x v="3239"/>
      <x v="611"/>
    </i>
    <i r="3">
      <x v="434"/>
      <x v="3409"/>
      <x v="611"/>
    </i>
    <i r="3">
      <x v="435"/>
      <x v="3341"/>
      <x v="611"/>
    </i>
    <i r="2">
      <x v="33"/>
      <x v="259"/>
      <x v="570"/>
      <x v="611"/>
    </i>
    <i r="4">
      <x v="1720"/>
      <x v="611"/>
    </i>
    <i r="4">
      <x v="1743"/>
      <x v="611"/>
    </i>
    <i r="4">
      <x v="1759"/>
      <x v="611"/>
    </i>
    <i r="4">
      <x v="1880"/>
      <x v="611"/>
    </i>
    <i r="4">
      <x v="1977"/>
      <x v="611"/>
    </i>
    <i r="4">
      <x v="2199"/>
      <x v="611"/>
    </i>
    <i r="4">
      <x v="2535"/>
      <x v="611"/>
    </i>
    <i r="2">
      <x v="68"/>
      <x v="258"/>
      <x v="3341"/>
      <x v="611"/>
    </i>
    <i>
      <x v="273"/>
      <x v="40"/>
      <x v="22"/>
      <x v="425"/>
      <x v="3485"/>
      <x v="611"/>
    </i>
    <i>
      <x v="274"/>
      <x v="3"/>
      <x v="2"/>
      <x v="257"/>
      <x v="2969"/>
      <x v="611"/>
    </i>
    <i r="4">
      <x v="3443"/>
      <x v="611"/>
    </i>
    <i r="1">
      <x v="24"/>
      <x v="16"/>
      <x v="257"/>
      <x v="2264"/>
      <x v="611"/>
    </i>
    <i r="2">
      <x v="17"/>
      <x v="257"/>
      <x v="2014"/>
      <x v="611"/>
    </i>
    <i r="1">
      <x v="27"/>
      <x v="2"/>
      <x v="257"/>
      <x v="2305"/>
      <x v="611"/>
    </i>
    <i r="4">
      <x v="2486"/>
      <x v="611"/>
    </i>
    <i r="4">
      <x v="3209"/>
      <x v="611"/>
    </i>
    <i r="4">
      <x v="3443"/>
      <x v="611"/>
    </i>
    <i r="1">
      <x v="37"/>
      <x v="68"/>
      <x v="257"/>
      <x v="3360"/>
      <x v="611"/>
    </i>
    <i r="1">
      <x v="40"/>
      <x v="2"/>
      <x v="257"/>
      <x v="3443"/>
      <x v="611"/>
    </i>
    <i r="2">
      <x v="18"/>
      <x v="257"/>
      <x v="2617"/>
      <x v="611"/>
    </i>
    <i r="4">
      <x v="2940"/>
      <x v="611"/>
    </i>
    <i r="2">
      <x v="22"/>
      <x v="418"/>
      <x v="2896"/>
      <x v="611"/>
    </i>
    <i r="3">
      <x v="434"/>
      <x v="3523"/>
      <x v="611"/>
    </i>
    <i r="3">
      <x v="450"/>
      <x v="3537"/>
      <x v="611"/>
    </i>
    <i>
      <x v="275"/>
      <x v="13"/>
      <x v="68"/>
      <x v="256"/>
      <x v="2930"/>
      <x v="611"/>
    </i>
    <i r="1">
      <x v="37"/>
      <x v="68"/>
      <x v="256"/>
      <x v="3150"/>
      <x v="611"/>
    </i>
    <i r="1">
      <x v="40"/>
      <x v="2"/>
      <x v="256"/>
      <x v="3443"/>
      <x v="611"/>
    </i>
    <i r="2">
      <x v="18"/>
      <x v="256"/>
      <x v="3564"/>
      <x v="603"/>
    </i>
    <i r="2">
      <x v="22"/>
      <x v="418"/>
      <x v="2896"/>
      <x v="611"/>
    </i>
    <i r="3">
      <x v="420"/>
      <x v="3537"/>
      <x v="611"/>
    </i>
    <i r="2">
      <x v="68"/>
      <x v="256"/>
      <x v="3341"/>
      <x v="611"/>
    </i>
    <i>
      <x v="276"/>
      <x v="2"/>
      <x v="16"/>
      <x v="255"/>
      <x v="797"/>
      <x v="611"/>
    </i>
    <i r="2">
      <x v="68"/>
      <x v="255"/>
      <x v="3371"/>
      <x v="611"/>
    </i>
    <i r="1">
      <x v="9"/>
      <x v="68"/>
      <x v="255"/>
      <x v="846"/>
      <x v="611"/>
    </i>
    <i r="1">
      <x v="24"/>
      <x v="18"/>
      <x v="255"/>
      <x v="3010"/>
      <x v="611"/>
    </i>
    <i r="1">
      <x v="25"/>
      <x v="2"/>
      <x v="255"/>
      <x v="1289"/>
      <x v="611"/>
    </i>
    <i r="1">
      <x v="27"/>
      <x v="2"/>
      <x v="255"/>
      <x v="2027"/>
      <x v="611"/>
    </i>
    <i r="4">
      <x v="2486"/>
      <x v="611"/>
    </i>
    <i r="4">
      <x v="3209"/>
      <x v="611"/>
    </i>
    <i r="4">
      <x v="3443"/>
      <x v="611"/>
    </i>
    <i r="2">
      <x v="68"/>
      <x v="255"/>
      <x v="1218"/>
      <x v="611"/>
    </i>
    <i r="1">
      <x v="33"/>
      <x v="68"/>
      <x v="255"/>
      <x v="1373"/>
      <x v="611"/>
    </i>
    <i r="1">
      <x v="37"/>
      <x v="2"/>
      <x v="255"/>
      <x v="3393"/>
      <x v="611"/>
    </i>
    <i r="1">
      <x v="40"/>
      <x v="2"/>
      <x v="255"/>
      <x v="1356"/>
      <x v="611"/>
    </i>
    <i r="2">
      <x v="16"/>
      <x v="255"/>
      <x v="2264"/>
      <x v="611"/>
    </i>
    <i r="2">
      <x v="17"/>
      <x v="255"/>
      <x v="2009"/>
      <x v="611"/>
    </i>
    <i r="2">
      <x v="18"/>
      <x v="255"/>
      <x v="1268"/>
      <x v="611"/>
    </i>
    <i r="4">
      <x v="1405"/>
      <x v="611"/>
    </i>
    <i r="4">
      <x v="1653"/>
      <x v="611"/>
    </i>
    <i r="4">
      <x v="2712"/>
      <x v="611"/>
    </i>
    <i r="4">
      <x v="3016"/>
      <x v="611"/>
    </i>
    <i r="4">
      <x v="3117"/>
      <x v="611"/>
    </i>
    <i r="4">
      <x v="3432"/>
      <x v="611"/>
    </i>
    <i r="2">
      <x v="22"/>
      <x v="387"/>
      <x v="3432"/>
      <x v="611"/>
    </i>
    <i r="3">
      <x v="444"/>
      <x v="3537"/>
      <x v="611"/>
    </i>
    <i>
      <x v="277"/>
      <x/>
      <x v="19"/>
      <x v="254"/>
      <x v="3564"/>
      <x v="431"/>
    </i>
    <i r="1">
      <x v="2"/>
      <x v="19"/>
      <x v="254"/>
      <x v="3564"/>
      <x v="268"/>
    </i>
    <i r="1">
      <x v="3"/>
      <x v="2"/>
      <x v="254"/>
      <x v="3443"/>
      <x v="611"/>
    </i>
    <i r="2">
      <x v="68"/>
      <x v="254"/>
      <x v="1080"/>
      <x v="611"/>
    </i>
    <i r="1">
      <x v="16"/>
      <x v="68"/>
      <x v="254"/>
      <x v="3070"/>
      <x v="611"/>
    </i>
    <i r="1">
      <x v="20"/>
      <x v="14"/>
      <x v="254"/>
      <x v="2486"/>
      <x v="611"/>
    </i>
    <i r="1">
      <x v="25"/>
      <x v="2"/>
      <x v="254"/>
      <x v="1172"/>
      <x v="611"/>
    </i>
    <i r="1">
      <x v="27"/>
      <x v="2"/>
      <x v="254"/>
      <x v="2305"/>
      <x v="611"/>
    </i>
    <i r="4">
      <x v="2486"/>
      <x v="611"/>
    </i>
    <i r="4">
      <x v="2969"/>
      <x v="611"/>
    </i>
    <i r="4">
      <x v="3209"/>
      <x v="611"/>
    </i>
    <i r="4">
      <x v="3443"/>
      <x v="611"/>
    </i>
    <i r="2">
      <x v="68"/>
      <x v="254"/>
      <x v="289"/>
      <x v="611"/>
    </i>
    <i r="1">
      <x v="28"/>
      <x v="19"/>
      <x v="254"/>
      <x v="3564"/>
      <x v="608"/>
    </i>
    <i r="1">
      <x v="31"/>
      <x v="19"/>
      <x v="254"/>
      <x v="3564"/>
      <x v="566"/>
    </i>
    <i r="1">
      <x v="34"/>
      <x v="68"/>
      <x v="254"/>
      <x v="2264"/>
      <x v="611"/>
    </i>
    <i r="1">
      <x v="37"/>
      <x v="19"/>
      <x v="254"/>
      <x v="3564"/>
      <x v="360"/>
    </i>
    <i r="1">
      <x v="38"/>
      <x v="19"/>
      <x v="254"/>
      <x v="3564"/>
      <x v="190"/>
    </i>
    <i r="1">
      <x v="40"/>
      <x v="17"/>
      <x v="254"/>
      <x v="1486"/>
      <x v="611"/>
    </i>
    <i r="2">
      <x v="22"/>
      <x v="389"/>
      <x v="3509"/>
      <x v="611"/>
    </i>
    <i r="3">
      <x v="404"/>
      <x v="3022"/>
      <x v="611"/>
    </i>
    <i r="3">
      <x v="430"/>
      <x v="3537"/>
      <x v="611"/>
    </i>
    <i r="2">
      <x v="68"/>
      <x v="254"/>
      <x v="1497"/>
      <x v="611"/>
    </i>
    <i>
      <x v="278"/>
      <x/>
      <x v="19"/>
      <x v="252"/>
      <x v="1069"/>
      <x v="611"/>
    </i>
    <i r="1">
      <x v="2"/>
      <x v="19"/>
      <x v="252"/>
      <x v="280"/>
      <x v="611"/>
    </i>
    <i r="1">
      <x v="13"/>
      <x v="68"/>
      <x v="252"/>
      <x v="2038"/>
      <x v="611"/>
    </i>
    <i r="1">
      <x v="15"/>
      <x v="68"/>
      <x v="252"/>
      <x v="2969"/>
      <x v="611"/>
    </i>
    <i r="1">
      <x v="18"/>
      <x v="68"/>
      <x v="252"/>
      <x v="1544"/>
      <x v="611"/>
    </i>
    <i r="1">
      <x v="20"/>
      <x v="67"/>
      <x v="252"/>
      <x v="2868"/>
      <x v="611"/>
    </i>
    <i r="1">
      <x v="22"/>
      <x v="68"/>
      <x v="252"/>
      <x v="2318"/>
      <x v="611"/>
    </i>
    <i r="1">
      <x v="24"/>
      <x v="68"/>
      <x v="252"/>
      <x v="2969"/>
      <x v="611"/>
    </i>
    <i r="1">
      <x v="28"/>
      <x v="19"/>
      <x v="252"/>
      <x v="3556"/>
      <x v="611"/>
    </i>
    <i r="1">
      <x v="31"/>
      <x v="2"/>
      <x v="252"/>
      <x v="1883"/>
      <x v="611"/>
    </i>
    <i r="2">
      <x v="19"/>
      <x v="252"/>
      <x v="2347"/>
      <x v="611"/>
    </i>
    <i r="1">
      <x v="37"/>
      <x v="19"/>
      <x v="252"/>
      <x v="613"/>
      <x v="611"/>
    </i>
    <i r="2">
      <x v="68"/>
      <x v="252"/>
      <x v="3093"/>
      <x v="611"/>
    </i>
    <i r="1">
      <x v="38"/>
      <x v="19"/>
      <x v="252"/>
      <x v="119"/>
      <x v="611"/>
    </i>
    <i r="2">
      <x v="59"/>
      <x v="253"/>
      <x v="3545"/>
      <x v="611"/>
    </i>
    <i r="1">
      <x v="40"/>
      <x v="22"/>
      <x v="404"/>
      <x v="3022"/>
      <x v="611"/>
    </i>
    <i r="3">
      <x v="445"/>
      <x v="3422"/>
      <x v="611"/>
    </i>
    <i>
      <x v="279"/>
      <x v="10"/>
      <x v="14"/>
      <x v="251"/>
      <x v="412"/>
      <x v="611"/>
    </i>
    <i r="1">
      <x v="11"/>
      <x v="2"/>
      <x v="251"/>
      <x v="3329"/>
      <x v="611"/>
    </i>
    <i r="1">
      <x v="18"/>
      <x v="68"/>
      <x v="251"/>
      <x v="2924"/>
      <x v="611"/>
    </i>
    <i r="1">
      <x v="24"/>
      <x v="14"/>
      <x v="251"/>
      <x v="1998"/>
      <x v="611"/>
    </i>
    <i r="1">
      <x v="27"/>
      <x v="2"/>
      <x v="251"/>
      <x v="1621"/>
      <x v="611"/>
    </i>
    <i r="4">
      <x v="1814"/>
      <x v="611"/>
    </i>
    <i r="4">
      <x v="2027"/>
      <x v="611"/>
    </i>
    <i r="4">
      <x v="2150"/>
      <x v="611"/>
    </i>
    <i r="4">
      <x v="2486"/>
      <x v="611"/>
    </i>
    <i r="4">
      <x v="2690"/>
      <x v="611"/>
    </i>
    <i r="4">
      <x v="2969"/>
      <x v="611"/>
    </i>
    <i r="4">
      <x v="3209"/>
      <x v="611"/>
    </i>
    <i r="4">
      <x v="3443"/>
      <x v="611"/>
    </i>
    <i r="1">
      <x v="40"/>
      <x v="68"/>
      <x v="251"/>
      <x v="2486"/>
      <x v="611"/>
    </i>
    <i r="4">
      <x v="3341"/>
      <x v="611"/>
    </i>
    <i>
      <x v="280"/>
      <x v="13"/>
      <x v="19"/>
      <x v="250"/>
      <x v="3564"/>
      <x v="597"/>
    </i>
    <i r="1">
      <x v="27"/>
      <x v="2"/>
      <x v="250"/>
      <x v="2150"/>
      <x v="611"/>
    </i>
    <i r="1">
      <x v="40"/>
      <x v="68"/>
      <x v="250"/>
      <x v="3123"/>
      <x v="611"/>
    </i>
    <i>
      <x v="281"/>
      <x v="1"/>
      <x v="17"/>
      <x v="249"/>
      <x v="2012"/>
      <x v="611"/>
    </i>
    <i r="1">
      <x v="3"/>
      <x v="2"/>
      <x v="249"/>
      <x v="3443"/>
      <x v="611"/>
    </i>
    <i r="1">
      <x v="16"/>
      <x v="68"/>
      <x v="249"/>
      <x v="2164"/>
      <x v="611"/>
    </i>
    <i r="1">
      <x v="24"/>
      <x v="14"/>
      <x v="249"/>
      <x v="2673"/>
      <x v="611"/>
    </i>
    <i r="2">
      <x v="17"/>
      <x v="249"/>
      <x v="3564"/>
      <x v="531"/>
    </i>
    <i r="2">
      <x v="18"/>
      <x v="249"/>
      <x v="2686"/>
      <x v="611"/>
    </i>
    <i r="1">
      <x v="27"/>
      <x v="2"/>
      <x v="249"/>
      <x v="1909"/>
      <x v="611"/>
    </i>
    <i r="4">
      <x v="2150"/>
      <x v="611"/>
    </i>
    <i r="4">
      <x v="2969"/>
      <x v="611"/>
    </i>
    <i r="4">
      <x v="3209"/>
      <x v="611"/>
    </i>
    <i r="4">
      <x v="3443"/>
      <x v="611"/>
    </i>
    <i r="1">
      <x v="32"/>
      <x v="19"/>
      <x v="249"/>
      <x v="2617"/>
      <x v="611"/>
    </i>
    <i r="1">
      <x v="33"/>
      <x v="18"/>
      <x v="249"/>
      <x v="2996"/>
      <x v="611"/>
    </i>
    <i r="1">
      <x v="35"/>
      <x v="17"/>
      <x v="249"/>
      <x v="3051"/>
      <x v="611"/>
    </i>
    <i r="2">
      <x v="19"/>
      <x v="249"/>
      <x v="1018"/>
      <x v="611"/>
    </i>
    <i r="1">
      <x v="37"/>
      <x v="68"/>
      <x v="249"/>
      <x v="2735"/>
      <x v="611"/>
    </i>
    <i r="1">
      <x v="40"/>
      <x v="2"/>
      <x v="249"/>
      <x v="3443"/>
      <x v="611"/>
    </i>
    <i r="2">
      <x v="17"/>
      <x v="249"/>
      <x v="2452"/>
      <x v="611"/>
    </i>
    <i r="2">
      <x v="18"/>
      <x v="249"/>
      <x v="1734"/>
      <x v="611"/>
    </i>
    <i r="4">
      <x v="1778"/>
      <x v="611"/>
    </i>
    <i r="4">
      <x v="2141"/>
      <x v="611"/>
    </i>
    <i r="4">
      <x v="2435"/>
      <x v="611"/>
    </i>
    <i r="4">
      <x v="2554"/>
      <x v="611"/>
    </i>
    <i r="4">
      <x v="2704"/>
      <x v="611"/>
    </i>
    <i r="4">
      <x v="3361"/>
      <x v="611"/>
    </i>
    <i r="2">
      <x v="19"/>
      <x v="249"/>
      <x v="2817"/>
      <x v="611"/>
    </i>
    <i r="2">
      <x v="22"/>
      <x v="403"/>
      <x v="3039"/>
      <x v="611"/>
    </i>
    <i r="3">
      <x v="412"/>
      <x v="3387"/>
      <x v="611"/>
    </i>
    <i r="3">
      <x v="450"/>
      <x v="3549"/>
      <x v="611"/>
    </i>
    <i r="2">
      <x v="68"/>
      <x v="249"/>
      <x v="2725"/>
      <x v="611"/>
    </i>
    <i>
      <x v="282"/>
      <x v="3"/>
      <x v="2"/>
      <x v="248"/>
      <x v="2969"/>
      <x v="611"/>
    </i>
    <i r="4">
      <x v="3443"/>
      <x v="611"/>
    </i>
    <i r="1">
      <x v="16"/>
      <x v="68"/>
      <x v="248"/>
      <x v="3448"/>
      <x v="611"/>
    </i>
    <i r="1">
      <x v="18"/>
      <x v="62"/>
      <x v="248"/>
      <x v="2264"/>
      <x v="611"/>
    </i>
    <i r="1">
      <x v="19"/>
      <x v="14"/>
      <x v="248"/>
      <x v="343"/>
      <x v="611"/>
    </i>
    <i r="1">
      <x v="27"/>
      <x v="2"/>
      <x v="248"/>
      <x v="3209"/>
      <x v="611"/>
    </i>
    <i r="4">
      <x v="3443"/>
      <x v="611"/>
    </i>
    <i r="1">
      <x v="37"/>
      <x v="2"/>
      <x v="248"/>
      <x v="2090"/>
      <x v="611"/>
    </i>
    <i r="2">
      <x v="14"/>
      <x v="248"/>
      <x v="2665"/>
      <x v="611"/>
    </i>
    <i r="2">
      <x v="68"/>
      <x v="248"/>
      <x v="3393"/>
      <x v="611"/>
    </i>
    <i r="1">
      <x v="40"/>
      <x v="22"/>
      <x v="394"/>
      <x v="3418"/>
      <x v="611"/>
    </i>
    <i r="3">
      <x v="396"/>
      <x v="3186"/>
      <x v="611"/>
    </i>
    <i r="3">
      <x v="414"/>
      <x v="2622"/>
      <x v="611"/>
    </i>
    <i r="3">
      <x v="419"/>
      <x v="3198"/>
      <x v="611"/>
    </i>
    <i r="3">
      <x v="427"/>
      <x v="3050"/>
      <x v="611"/>
    </i>
    <i r="3">
      <x v="434"/>
      <x v="3198"/>
      <x v="611"/>
    </i>
    <i r="2">
      <x v="68"/>
      <x v="248"/>
      <x v="2513"/>
      <x v="611"/>
    </i>
    <i r="4">
      <x v="2748"/>
      <x v="611"/>
    </i>
    <i>
      <x v="283"/>
      <x v="3"/>
      <x v="2"/>
      <x v="247"/>
      <x v="2150"/>
      <x v="611"/>
    </i>
    <i r="1">
      <x v="10"/>
      <x v="19"/>
      <x v="247"/>
      <x v="3564"/>
      <x v="586"/>
    </i>
    <i r="1">
      <x v="12"/>
      <x v="19"/>
      <x v="247"/>
      <x v="3274"/>
      <x v="611"/>
    </i>
    <i r="1">
      <x v="27"/>
      <x v="2"/>
      <x v="247"/>
      <x v="2486"/>
      <x v="611"/>
    </i>
    <i r="4">
      <x v="3209"/>
      <x v="611"/>
    </i>
    <i r="4">
      <x v="3443"/>
      <x v="611"/>
    </i>
    <i r="1">
      <x v="32"/>
      <x v="68"/>
      <x v="247"/>
      <x v="2153"/>
      <x v="611"/>
    </i>
    <i r="1">
      <x v="40"/>
      <x v="17"/>
      <x v="247"/>
      <x v="3564"/>
      <x v="599"/>
    </i>
    <i r="2">
      <x v="22"/>
      <x v="410"/>
      <x v="3198"/>
      <x v="611"/>
    </i>
    <i>
      <x v="284"/>
      <x v="3"/>
      <x v="2"/>
      <x v="246"/>
      <x v="3443"/>
      <x v="611"/>
    </i>
    <i r="1">
      <x v="10"/>
      <x v="68"/>
      <x v="246"/>
      <x v="580"/>
      <x v="611"/>
    </i>
    <i r="1">
      <x v="12"/>
      <x v="68"/>
      <x v="246"/>
      <x v="3509"/>
      <x v="611"/>
    </i>
    <i r="1">
      <x v="13"/>
      <x v="68"/>
      <x v="246"/>
      <x v="3393"/>
      <x v="611"/>
    </i>
    <i r="1">
      <x v="15"/>
      <x v="68"/>
      <x v="246"/>
      <x v="235"/>
      <x v="611"/>
    </i>
    <i r="1">
      <x v="16"/>
      <x v="16"/>
      <x v="246"/>
      <x v="2930"/>
      <x v="611"/>
    </i>
    <i r="1">
      <x v="18"/>
      <x v="68"/>
      <x v="246"/>
      <x v="2251"/>
      <x v="611"/>
    </i>
    <i r="1">
      <x v="24"/>
      <x v="17"/>
      <x v="246"/>
      <x v="3160"/>
      <x v="611"/>
    </i>
    <i r="2">
      <x v="68"/>
      <x v="246"/>
      <x v="1136"/>
      <x v="611"/>
    </i>
    <i r="1">
      <x v="25"/>
      <x v="68"/>
      <x v="246"/>
      <x v="3393"/>
      <x v="611"/>
    </i>
    <i r="1">
      <x v="27"/>
      <x v="2"/>
      <x v="246"/>
      <x v="3443"/>
      <x v="611"/>
    </i>
    <i r="1">
      <x v="31"/>
      <x v="17"/>
      <x v="246"/>
      <x v="2704"/>
      <x v="611"/>
    </i>
    <i r="1">
      <x v="34"/>
      <x v="67"/>
      <x v="246"/>
      <x v="2390"/>
      <x v="611"/>
    </i>
    <i r="1">
      <x v="35"/>
      <x v="68"/>
      <x v="246"/>
      <x v="435"/>
      <x v="611"/>
    </i>
    <i r="1">
      <x v="40"/>
      <x v="17"/>
      <x v="246"/>
      <x v="1238"/>
      <x v="611"/>
    </i>
    <i r="4">
      <x v="1892"/>
      <x v="611"/>
    </i>
    <i r="4">
      <x v="2908"/>
      <x v="611"/>
    </i>
    <i r="4">
      <x v="2970"/>
      <x v="611"/>
    </i>
    <i r="4">
      <x v="2973"/>
      <x v="611"/>
    </i>
    <i r="2">
      <x v="18"/>
      <x v="246"/>
      <x v="1585"/>
      <x v="611"/>
    </i>
    <i r="4">
      <x v="1605"/>
      <x v="611"/>
    </i>
    <i r="4">
      <x v="2393"/>
      <x v="611"/>
    </i>
    <i r="4">
      <x v="2899"/>
      <x v="611"/>
    </i>
    <i>
      <x v="285"/>
      <x v="1"/>
      <x v="47"/>
      <x v="245"/>
      <x v="428"/>
      <x v="611"/>
    </i>
    <i r="1">
      <x v="3"/>
      <x v="2"/>
      <x v="244"/>
      <x v="3443"/>
      <x v="611"/>
    </i>
    <i r="2">
      <x v="47"/>
      <x v="245"/>
      <x v="817"/>
      <x v="611"/>
    </i>
    <i r="4">
      <x v="1014"/>
      <x v="611"/>
    </i>
    <i r="4">
      <x v="1225"/>
      <x v="611"/>
    </i>
    <i r="4">
      <x v="1381"/>
      <x v="611"/>
    </i>
    <i r="4">
      <x v="1757"/>
      <x v="611"/>
    </i>
    <i r="4">
      <x v="1852"/>
      <x v="611"/>
    </i>
    <i r="4">
      <x v="1884"/>
      <x v="611"/>
    </i>
    <i r="4">
      <x v="2238"/>
      <x v="611"/>
    </i>
    <i r="4">
      <x v="2533"/>
      <x v="611"/>
    </i>
    <i r="4">
      <x v="2545"/>
      <x v="611"/>
    </i>
    <i r="4">
      <x v="2685"/>
      <x v="611"/>
    </i>
    <i r="4">
      <x v="2709"/>
      <x v="611"/>
    </i>
    <i r="4">
      <x v="3115"/>
      <x v="611"/>
    </i>
    <i r="4">
      <x v="3357"/>
      <x v="611"/>
    </i>
    <i r="4">
      <x v="3386"/>
      <x v="611"/>
    </i>
    <i r="1">
      <x v="9"/>
      <x v="14"/>
      <x v="244"/>
      <x v="79"/>
      <x v="611"/>
    </i>
    <i r="1">
      <x v="10"/>
      <x v="67"/>
      <x v="244"/>
      <x v="2259"/>
      <x v="611"/>
    </i>
    <i r="1">
      <x v="13"/>
      <x v="68"/>
      <x v="244"/>
      <x v="3393"/>
      <x v="611"/>
    </i>
    <i r="1">
      <x v="15"/>
      <x v="47"/>
      <x v="245"/>
      <x v="709"/>
      <x v="611"/>
    </i>
    <i r="1">
      <x v="16"/>
      <x v="47"/>
      <x v="245"/>
      <x v="6"/>
      <x v="611"/>
    </i>
    <i r="1">
      <x v="27"/>
      <x v="2"/>
      <x v="244"/>
      <x v="2486"/>
      <x v="611"/>
    </i>
    <i r="4">
      <x v="2969"/>
      <x v="611"/>
    </i>
    <i r="4">
      <x v="3443"/>
      <x v="611"/>
    </i>
    <i r="2">
      <x v="17"/>
      <x v="244"/>
      <x v="3564"/>
      <x v="580"/>
    </i>
    <i r="2">
      <x v="47"/>
      <x v="245"/>
      <x v="104"/>
      <x v="611"/>
    </i>
    <i r="4">
      <x v="162"/>
      <x v="611"/>
    </i>
    <i r="4">
      <x v="177"/>
      <x v="611"/>
    </i>
    <i r="4">
      <x v="191"/>
      <x v="611"/>
    </i>
    <i r="4">
      <x v="232"/>
      <x v="611"/>
    </i>
    <i r="4">
      <x v="271"/>
      <x v="611"/>
    </i>
    <i r="4">
      <x v="314"/>
      <x v="611"/>
    </i>
    <i r="4">
      <x v="385"/>
      <x v="611"/>
    </i>
    <i r="4">
      <x v="422"/>
      <x v="611"/>
    </i>
    <i r="4">
      <x v="466"/>
      <x v="611"/>
    </i>
    <i r="4">
      <x v="483"/>
      <x v="611"/>
    </i>
    <i r="4">
      <x v="641"/>
      <x v="611"/>
    </i>
    <i r="4">
      <x v="747"/>
      <x v="611"/>
    </i>
    <i r="4">
      <x v="806"/>
      <x v="611"/>
    </i>
    <i r="4">
      <x v="870"/>
      <x v="611"/>
    </i>
    <i r="4">
      <x v="871"/>
      <x v="611"/>
    </i>
    <i r="4">
      <x v="932"/>
      <x v="611"/>
    </i>
    <i r="4">
      <x v="968"/>
      <x v="611"/>
    </i>
    <i r="4">
      <x v="980"/>
      <x v="611"/>
    </i>
    <i r="4">
      <x v="1173"/>
      <x v="611"/>
    </i>
    <i r="4">
      <x v="1404"/>
      <x v="611"/>
    </i>
    <i r="4">
      <x v="2076"/>
      <x v="611"/>
    </i>
    <i r="4">
      <x v="2102"/>
      <x v="611"/>
    </i>
    <i r="4">
      <x v="2701"/>
      <x v="611"/>
    </i>
    <i r="4">
      <x v="2796"/>
      <x v="611"/>
    </i>
    <i r="4">
      <x v="2919"/>
      <x v="611"/>
    </i>
    <i r="4">
      <x v="3111"/>
      <x v="611"/>
    </i>
    <i r="2">
      <x v="68"/>
      <x v="244"/>
      <x v="2969"/>
      <x v="611"/>
    </i>
    <i r="1">
      <x v="30"/>
      <x v="2"/>
      <x v="244"/>
      <x v="772"/>
      <x v="611"/>
    </i>
    <i r="1">
      <x v="37"/>
      <x v="47"/>
      <x v="245"/>
      <x v="3276"/>
      <x v="611"/>
    </i>
    <i r="2">
      <x v="68"/>
      <x v="244"/>
      <x v="3233"/>
      <x v="611"/>
    </i>
    <i r="1">
      <x v="38"/>
      <x v="47"/>
      <x v="245"/>
      <x v="301"/>
      <x v="611"/>
    </i>
    <i r="1">
      <x v="40"/>
      <x v="22"/>
      <x v="387"/>
      <x v="3451"/>
      <x v="611"/>
    </i>
    <i r="2">
      <x v="47"/>
      <x v="245"/>
      <x v="682"/>
      <x v="611"/>
    </i>
    <i r="4">
      <x v="1560"/>
      <x v="611"/>
    </i>
    <i r="4">
      <x v="1660"/>
      <x v="611"/>
    </i>
    <i r="4">
      <x v="2107"/>
      <x v="611"/>
    </i>
    <i r="4">
      <x v="2255"/>
      <x v="611"/>
    </i>
    <i r="4">
      <x v="2498"/>
      <x v="611"/>
    </i>
    <i r="2">
      <x v="68"/>
      <x v="244"/>
      <x v="3341"/>
      <x v="611"/>
    </i>
    <i>
      <x v="286"/>
      <x v="13"/>
      <x v="68"/>
      <x v="243"/>
      <x v="2969"/>
      <x v="611"/>
    </i>
    <i r="1">
      <x v="24"/>
      <x v="17"/>
      <x v="243"/>
      <x v="2969"/>
      <x v="611"/>
    </i>
    <i r="2">
      <x v="68"/>
      <x v="243"/>
      <x v="2104"/>
      <x v="611"/>
    </i>
    <i r="1">
      <x v="27"/>
      <x v="2"/>
      <x v="243"/>
      <x v="3209"/>
      <x v="611"/>
    </i>
    <i r="1">
      <x v="28"/>
      <x v="18"/>
      <x v="243"/>
      <x v="1561"/>
      <x v="611"/>
    </i>
    <i r="1">
      <x v="33"/>
      <x v="19"/>
      <x v="243"/>
      <x v="1979"/>
      <x v="611"/>
    </i>
    <i r="1">
      <x v="40"/>
      <x v="14"/>
      <x v="243"/>
      <x v="1055"/>
      <x v="611"/>
    </i>
    <i r="2">
      <x v="16"/>
      <x v="243"/>
      <x v="2748"/>
      <x v="611"/>
    </i>
    <i r="4">
      <x v="3143"/>
      <x v="611"/>
    </i>
    <i r="2">
      <x v="17"/>
      <x v="243"/>
      <x v="2154"/>
      <x v="611"/>
    </i>
    <i r="4">
      <x v="2469"/>
      <x v="611"/>
    </i>
    <i r="4">
      <x v="2588"/>
      <x v="611"/>
    </i>
    <i r="4">
      <x v="3388"/>
      <x v="611"/>
    </i>
    <i r="2">
      <x v="18"/>
      <x v="243"/>
      <x v="1170"/>
      <x v="611"/>
    </i>
    <i r="4">
      <x v="1446"/>
      <x v="611"/>
    </i>
    <i r="4">
      <x v="1638"/>
      <x v="611"/>
    </i>
    <i r="4">
      <x v="2299"/>
      <x v="611"/>
    </i>
    <i r="4">
      <x v="2803"/>
      <x v="611"/>
    </i>
    <i r="4">
      <x v="3380"/>
      <x v="611"/>
    </i>
    <i r="2">
      <x v="22"/>
      <x v="389"/>
      <x v="3341"/>
      <x v="611"/>
    </i>
    <i r="3">
      <x v="391"/>
      <x v="3544"/>
      <x v="611"/>
    </i>
    <i r="3">
      <x v="420"/>
      <x v="3541"/>
      <x v="611"/>
    </i>
    <i r="2">
      <x v="68"/>
      <x v="243"/>
      <x v="2725"/>
      <x v="611"/>
    </i>
    <i>
      <x v="287"/>
      <x v="16"/>
      <x v="16"/>
      <x v="242"/>
      <x v="1102"/>
      <x v="611"/>
    </i>
    <i r="1">
      <x v="20"/>
      <x v="2"/>
      <x v="242"/>
      <x v="1440"/>
      <x v="611"/>
    </i>
    <i r="1">
      <x v="24"/>
      <x v="68"/>
      <x v="242"/>
      <x v="1356"/>
      <x v="611"/>
    </i>
    <i r="1">
      <x v="25"/>
      <x v="2"/>
      <x v="242"/>
      <x v="2169"/>
      <x v="611"/>
    </i>
    <i r="2">
      <x v="68"/>
      <x v="242"/>
      <x v="3249"/>
      <x v="611"/>
    </i>
    <i r="1">
      <x v="27"/>
      <x v="2"/>
      <x v="242"/>
      <x v="3209"/>
      <x v="611"/>
    </i>
    <i r="4">
      <x v="3443"/>
      <x v="611"/>
    </i>
    <i r="1">
      <x v="32"/>
      <x v="68"/>
      <x v="242"/>
      <x v="931"/>
      <x v="611"/>
    </i>
    <i r="1">
      <x v="35"/>
      <x v="68"/>
      <x v="242"/>
      <x v="1420"/>
      <x v="611"/>
    </i>
    <i r="1">
      <x v="40"/>
      <x v="2"/>
      <x v="242"/>
      <x v="3443"/>
      <x v="611"/>
    </i>
    <i r="2">
      <x v="17"/>
      <x v="242"/>
      <x v="3222"/>
      <x v="611"/>
    </i>
    <i r="2">
      <x v="19"/>
      <x v="242"/>
      <x v="2644"/>
      <x v="611"/>
    </i>
    <i r="2">
      <x v="22"/>
      <x v="399"/>
      <x v="2969"/>
      <x v="611"/>
    </i>
    <i r="3">
      <x v="427"/>
      <x v="3518"/>
      <x v="611"/>
    </i>
    <i>
      <x v="288"/>
      <x v="3"/>
      <x v="2"/>
      <x v="241"/>
      <x v="3443"/>
      <x v="611"/>
    </i>
    <i r="1">
      <x v="12"/>
      <x v="19"/>
      <x v="241"/>
      <x v="2817"/>
      <x v="611"/>
    </i>
    <i r="1">
      <x v="15"/>
      <x v="2"/>
      <x v="241"/>
      <x v="3420"/>
      <x v="611"/>
    </i>
    <i r="1">
      <x v="24"/>
      <x v="65"/>
      <x v="371"/>
      <x v="3564"/>
      <x v="20"/>
    </i>
    <i r="1">
      <x v="27"/>
      <x v="2"/>
      <x v="241"/>
      <x v="3209"/>
      <x v="611"/>
    </i>
    <i r="4">
      <x v="3443"/>
      <x v="611"/>
    </i>
    <i r="1">
      <x v="30"/>
      <x v="14"/>
      <x v="241"/>
      <x v="21"/>
      <x v="611"/>
    </i>
    <i r="1">
      <x v="33"/>
      <x v="68"/>
      <x v="241"/>
      <x v="2434"/>
      <x v="611"/>
    </i>
    <i r="1">
      <x v="37"/>
      <x v="68"/>
      <x v="241"/>
      <x v="3509"/>
      <x v="611"/>
    </i>
    <i r="1">
      <x v="40"/>
      <x v="2"/>
      <x v="241"/>
      <x v="3443"/>
      <x v="611"/>
    </i>
    <i r="2">
      <x v="19"/>
      <x v="241"/>
      <x v="3564"/>
      <x v="485"/>
    </i>
    <i r="5">
      <x v="536"/>
    </i>
    <i r="2">
      <x v="22"/>
      <x v="418"/>
      <x v="3422"/>
      <x v="611"/>
    </i>
    <i r="3">
      <x v="427"/>
      <x v="3518"/>
      <x v="611"/>
    </i>
    <i r="2">
      <x v="68"/>
      <x v="241"/>
      <x v="3123"/>
      <x v="611"/>
    </i>
    <i>
      <x v="289"/>
      <x v="1"/>
      <x v="68"/>
      <x v="240"/>
      <x v="1628"/>
      <x v="611"/>
    </i>
    <i r="1">
      <x v="13"/>
      <x v="67"/>
      <x v="240"/>
      <x v="3098"/>
      <x v="611"/>
    </i>
    <i r="1">
      <x v="27"/>
      <x v="2"/>
      <x v="240"/>
      <x v="2690"/>
      <x v="611"/>
    </i>
    <i r="4">
      <x v="2969"/>
      <x v="611"/>
    </i>
    <i r="4">
      <x v="3209"/>
      <x v="611"/>
    </i>
    <i r="4">
      <x v="3443"/>
      <x v="611"/>
    </i>
    <i r="1">
      <x v="40"/>
      <x v="2"/>
      <x v="240"/>
      <x v="3443"/>
      <x v="611"/>
    </i>
    <i r="2">
      <x v="22"/>
      <x v="418"/>
      <x v="3422"/>
      <x v="611"/>
    </i>
    <i r="2">
      <x v="68"/>
      <x v="240"/>
      <x v="3123"/>
      <x v="611"/>
    </i>
    <i>
      <x v="290"/>
      <x v="40"/>
      <x v="22"/>
      <x v="377"/>
      <x v="3542"/>
      <x v="611"/>
    </i>
    <i r="3">
      <x v="384"/>
      <x v="3546"/>
      <x v="611"/>
    </i>
    <i r="3">
      <x v="397"/>
      <x v="3478"/>
      <x v="611"/>
    </i>
  </rowItems>
  <colItems count="1">
    <i/>
  </colItems>
  <pageFields count="3">
    <pageField fld="4" item="1" hier="-1"/>
    <pageField fld="0" hier="-1"/>
    <pageField fld="2" item="4"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Tabla dinámica5" cacheId="3" applyNumberFormats="0" applyBorderFormats="0" applyFontFormats="0" applyPatternFormats="0" applyAlignmentFormats="0" applyWidthHeightFormats="1" dataCaption="Valores" updatedVersion="6" minRefreshableVersion="3" showDrill="0" rowGrandTotals="0" colGrandTotals="0" itemPrintTitles="1" createdVersion="5" indent="0" outline="1" outlineData="1" multipleFieldFilters="0" rowHeaderCaption="Todos los meses…" fieldListSortAscending="1">
  <location ref="T8:T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i>
    <i>
      <x v="1"/>
    </i>
    <i>
      <x v="2"/>
    </i>
    <i>
      <x v="3"/>
    </i>
    <i>
      <x v="4"/>
    </i>
    <i>
      <x v="5"/>
    </i>
    <i>
      <x v="6"/>
    </i>
  </rowItems>
  <colItems count="1">
    <i/>
  </colItems>
  <pageFields count="1">
    <pageField fld="4"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Tabla dinámica4" cacheId="3"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P8:P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B2:N39"/>
  <sheetViews>
    <sheetView showGridLines="0" topLeftCell="A7" zoomScale="115" zoomScaleNormal="115" workbookViewId="0">
      <selection activeCell="N2" sqref="N2"/>
    </sheetView>
  </sheetViews>
  <sheetFormatPr baseColWidth="10" defaultRowHeight="13.2" x14ac:dyDescent="0.25"/>
  <cols>
    <col min="1" max="1" width="1.44140625" style="50" customWidth="1"/>
    <col min="2" max="13" width="11.44140625" style="50"/>
    <col min="14" max="14" width="19.88671875" style="50" customWidth="1"/>
    <col min="15" max="256" width="11.44140625" style="50"/>
    <col min="257" max="257" width="1.44140625" style="50" customWidth="1"/>
    <col min="258" max="269" width="11.44140625" style="50"/>
    <col min="270" max="270" width="19.88671875" style="50" customWidth="1"/>
    <col min="271" max="512" width="11.44140625" style="50"/>
    <col min="513" max="513" width="1.44140625" style="50" customWidth="1"/>
    <col min="514" max="525" width="11.44140625" style="50"/>
    <col min="526" max="526" width="19.88671875" style="50" customWidth="1"/>
    <col min="527" max="768" width="11.44140625" style="50"/>
    <col min="769" max="769" width="1.44140625" style="50" customWidth="1"/>
    <col min="770" max="781" width="11.44140625" style="50"/>
    <col min="782" max="782" width="19.88671875" style="50" customWidth="1"/>
    <col min="783" max="1024" width="11.44140625" style="50"/>
    <col min="1025" max="1025" width="1.44140625" style="50" customWidth="1"/>
    <col min="1026" max="1037" width="11.44140625" style="50"/>
    <col min="1038" max="1038" width="19.88671875" style="50" customWidth="1"/>
    <col min="1039" max="1280" width="11.44140625" style="50"/>
    <col min="1281" max="1281" width="1.44140625" style="50" customWidth="1"/>
    <col min="1282" max="1293" width="11.44140625" style="50"/>
    <col min="1294" max="1294" width="19.88671875" style="50" customWidth="1"/>
    <col min="1295" max="1536" width="11.44140625" style="50"/>
    <col min="1537" max="1537" width="1.44140625" style="50" customWidth="1"/>
    <col min="1538" max="1549" width="11.44140625" style="50"/>
    <col min="1550" max="1550" width="19.88671875" style="50" customWidth="1"/>
    <col min="1551" max="1792" width="11.44140625" style="50"/>
    <col min="1793" max="1793" width="1.44140625" style="50" customWidth="1"/>
    <col min="1794" max="1805" width="11.44140625" style="50"/>
    <col min="1806" max="1806" width="19.88671875" style="50" customWidth="1"/>
    <col min="1807" max="2048" width="11.44140625" style="50"/>
    <col min="2049" max="2049" width="1.44140625" style="50" customWidth="1"/>
    <col min="2050" max="2061" width="11.44140625" style="50"/>
    <col min="2062" max="2062" width="19.88671875" style="50" customWidth="1"/>
    <col min="2063" max="2304" width="11.44140625" style="50"/>
    <col min="2305" max="2305" width="1.44140625" style="50" customWidth="1"/>
    <col min="2306" max="2317" width="11.44140625" style="50"/>
    <col min="2318" max="2318" width="19.88671875" style="50" customWidth="1"/>
    <col min="2319" max="2560" width="11.44140625" style="50"/>
    <col min="2561" max="2561" width="1.44140625" style="50" customWidth="1"/>
    <col min="2562" max="2573" width="11.44140625" style="50"/>
    <col min="2574" max="2574" width="19.88671875" style="50" customWidth="1"/>
    <col min="2575" max="2816" width="11.44140625" style="50"/>
    <col min="2817" max="2817" width="1.44140625" style="50" customWidth="1"/>
    <col min="2818" max="2829" width="11.44140625" style="50"/>
    <col min="2830" max="2830" width="19.88671875" style="50" customWidth="1"/>
    <col min="2831" max="3072" width="11.44140625" style="50"/>
    <col min="3073" max="3073" width="1.44140625" style="50" customWidth="1"/>
    <col min="3074" max="3085" width="11.44140625" style="50"/>
    <col min="3086" max="3086" width="19.88671875" style="50" customWidth="1"/>
    <col min="3087" max="3328" width="11.44140625" style="50"/>
    <col min="3329" max="3329" width="1.44140625" style="50" customWidth="1"/>
    <col min="3330" max="3341" width="11.44140625" style="50"/>
    <col min="3342" max="3342" width="19.88671875" style="50" customWidth="1"/>
    <col min="3343" max="3584" width="11.44140625" style="50"/>
    <col min="3585" max="3585" width="1.44140625" style="50" customWidth="1"/>
    <col min="3586" max="3597" width="11.44140625" style="50"/>
    <col min="3598" max="3598" width="19.88671875" style="50" customWidth="1"/>
    <col min="3599" max="3840" width="11.44140625" style="50"/>
    <col min="3841" max="3841" width="1.44140625" style="50" customWidth="1"/>
    <col min="3842" max="3853" width="11.44140625" style="50"/>
    <col min="3854" max="3854" width="19.88671875" style="50" customWidth="1"/>
    <col min="3855" max="4096" width="11.44140625" style="50"/>
    <col min="4097" max="4097" width="1.44140625" style="50" customWidth="1"/>
    <col min="4098" max="4109" width="11.44140625" style="50"/>
    <col min="4110" max="4110" width="19.88671875" style="50" customWidth="1"/>
    <col min="4111" max="4352" width="11.44140625" style="50"/>
    <col min="4353" max="4353" width="1.44140625" style="50" customWidth="1"/>
    <col min="4354" max="4365" width="11.44140625" style="50"/>
    <col min="4366" max="4366" width="19.88671875" style="50" customWidth="1"/>
    <col min="4367" max="4608" width="11.44140625" style="50"/>
    <col min="4609" max="4609" width="1.44140625" style="50" customWidth="1"/>
    <col min="4610" max="4621" width="11.44140625" style="50"/>
    <col min="4622" max="4622" width="19.88671875" style="50" customWidth="1"/>
    <col min="4623" max="4864" width="11.44140625" style="50"/>
    <col min="4865" max="4865" width="1.44140625" style="50" customWidth="1"/>
    <col min="4866" max="4877" width="11.44140625" style="50"/>
    <col min="4878" max="4878" width="19.88671875" style="50" customWidth="1"/>
    <col min="4879" max="5120" width="11.44140625" style="50"/>
    <col min="5121" max="5121" width="1.44140625" style="50" customWidth="1"/>
    <col min="5122" max="5133" width="11.44140625" style="50"/>
    <col min="5134" max="5134" width="19.88671875" style="50" customWidth="1"/>
    <col min="5135" max="5376" width="11.44140625" style="50"/>
    <col min="5377" max="5377" width="1.44140625" style="50" customWidth="1"/>
    <col min="5378" max="5389" width="11.44140625" style="50"/>
    <col min="5390" max="5390" width="19.88671875" style="50" customWidth="1"/>
    <col min="5391" max="5632" width="11.44140625" style="50"/>
    <col min="5633" max="5633" width="1.44140625" style="50" customWidth="1"/>
    <col min="5634" max="5645" width="11.44140625" style="50"/>
    <col min="5646" max="5646" width="19.88671875" style="50" customWidth="1"/>
    <col min="5647" max="5888" width="11.44140625" style="50"/>
    <col min="5889" max="5889" width="1.44140625" style="50" customWidth="1"/>
    <col min="5890" max="5901" width="11.44140625" style="50"/>
    <col min="5902" max="5902" width="19.88671875" style="50" customWidth="1"/>
    <col min="5903" max="6144" width="11.44140625" style="50"/>
    <col min="6145" max="6145" width="1.44140625" style="50" customWidth="1"/>
    <col min="6146" max="6157" width="11.44140625" style="50"/>
    <col min="6158" max="6158" width="19.88671875" style="50" customWidth="1"/>
    <col min="6159" max="6400" width="11.44140625" style="50"/>
    <col min="6401" max="6401" width="1.44140625" style="50" customWidth="1"/>
    <col min="6402" max="6413" width="11.44140625" style="50"/>
    <col min="6414" max="6414" width="19.88671875" style="50" customWidth="1"/>
    <col min="6415" max="6656" width="11.44140625" style="50"/>
    <col min="6657" max="6657" width="1.44140625" style="50" customWidth="1"/>
    <col min="6658" max="6669" width="11.44140625" style="50"/>
    <col min="6670" max="6670" width="19.88671875" style="50" customWidth="1"/>
    <col min="6671" max="6912" width="11.44140625" style="50"/>
    <col min="6913" max="6913" width="1.44140625" style="50" customWidth="1"/>
    <col min="6914" max="6925" width="11.44140625" style="50"/>
    <col min="6926" max="6926" width="19.88671875" style="50" customWidth="1"/>
    <col min="6927" max="7168" width="11.44140625" style="50"/>
    <col min="7169" max="7169" width="1.44140625" style="50" customWidth="1"/>
    <col min="7170" max="7181" width="11.44140625" style="50"/>
    <col min="7182" max="7182" width="19.88671875" style="50" customWidth="1"/>
    <col min="7183" max="7424" width="11.44140625" style="50"/>
    <col min="7425" max="7425" width="1.44140625" style="50" customWidth="1"/>
    <col min="7426" max="7437" width="11.44140625" style="50"/>
    <col min="7438" max="7438" width="19.88671875" style="50" customWidth="1"/>
    <col min="7439" max="7680" width="11.44140625" style="50"/>
    <col min="7681" max="7681" width="1.44140625" style="50" customWidth="1"/>
    <col min="7682" max="7693" width="11.44140625" style="50"/>
    <col min="7694" max="7694" width="19.88671875" style="50" customWidth="1"/>
    <col min="7695" max="7936" width="11.44140625" style="50"/>
    <col min="7937" max="7937" width="1.44140625" style="50" customWidth="1"/>
    <col min="7938" max="7949" width="11.44140625" style="50"/>
    <col min="7950" max="7950" width="19.88671875" style="50" customWidth="1"/>
    <col min="7951" max="8192" width="11.44140625" style="50"/>
    <col min="8193" max="8193" width="1.44140625" style="50" customWidth="1"/>
    <col min="8194" max="8205" width="11.44140625" style="50"/>
    <col min="8206" max="8206" width="19.88671875" style="50" customWidth="1"/>
    <col min="8207" max="8448" width="11.44140625" style="50"/>
    <col min="8449" max="8449" width="1.44140625" style="50" customWidth="1"/>
    <col min="8450" max="8461" width="11.44140625" style="50"/>
    <col min="8462" max="8462" width="19.88671875" style="50" customWidth="1"/>
    <col min="8463" max="8704" width="11.44140625" style="50"/>
    <col min="8705" max="8705" width="1.44140625" style="50" customWidth="1"/>
    <col min="8706" max="8717" width="11.44140625" style="50"/>
    <col min="8718" max="8718" width="19.88671875" style="50" customWidth="1"/>
    <col min="8719" max="8960" width="11.44140625" style="50"/>
    <col min="8961" max="8961" width="1.44140625" style="50" customWidth="1"/>
    <col min="8962" max="8973" width="11.44140625" style="50"/>
    <col min="8974" max="8974" width="19.88671875" style="50" customWidth="1"/>
    <col min="8975" max="9216" width="11.44140625" style="50"/>
    <col min="9217" max="9217" width="1.44140625" style="50" customWidth="1"/>
    <col min="9218" max="9229" width="11.44140625" style="50"/>
    <col min="9230" max="9230" width="19.88671875" style="50" customWidth="1"/>
    <col min="9231" max="9472" width="11.44140625" style="50"/>
    <col min="9473" max="9473" width="1.44140625" style="50" customWidth="1"/>
    <col min="9474" max="9485" width="11.44140625" style="50"/>
    <col min="9486" max="9486" width="19.88671875" style="50" customWidth="1"/>
    <col min="9487" max="9728" width="11.44140625" style="50"/>
    <col min="9729" max="9729" width="1.44140625" style="50" customWidth="1"/>
    <col min="9730" max="9741" width="11.44140625" style="50"/>
    <col min="9742" max="9742" width="19.88671875" style="50" customWidth="1"/>
    <col min="9743" max="9984" width="11.44140625" style="50"/>
    <col min="9985" max="9985" width="1.44140625" style="50" customWidth="1"/>
    <col min="9986" max="9997" width="11.44140625" style="50"/>
    <col min="9998" max="9998" width="19.88671875" style="50" customWidth="1"/>
    <col min="9999" max="10240" width="11.44140625" style="50"/>
    <col min="10241" max="10241" width="1.44140625" style="50" customWidth="1"/>
    <col min="10242" max="10253" width="11.44140625" style="50"/>
    <col min="10254" max="10254" width="19.88671875" style="50" customWidth="1"/>
    <col min="10255" max="10496" width="11.44140625" style="50"/>
    <col min="10497" max="10497" width="1.44140625" style="50" customWidth="1"/>
    <col min="10498" max="10509" width="11.44140625" style="50"/>
    <col min="10510" max="10510" width="19.88671875" style="50" customWidth="1"/>
    <col min="10511" max="10752" width="11.44140625" style="50"/>
    <col min="10753" max="10753" width="1.44140625" style="50" customWidth="1"/>
    <col min="10754" max="10765" width="11.44140625" style="50"/>
    <col min="10766" max="10766" width="19.88671875" style="50" customWidth="1"/>
    <col min="10767" max="11008" width="11.44140625" style="50"/>
    <col min="11009" max="11009" width="1.44140625" style="50" customWidth="1"/>
    <col min="11010" max="11021" width="11.44140625" style="50"/>
    <col min="11022" max="11022" width="19.88671875" style="50" customWidth="1"/>
    <col min="11023" max="11264" width="11.44140625" style="50"/>
    <col min="11265" max="11265" width="1.44140625" style="50" customWidth="1"/>
    <col min="11266" max="11277" width="11.44140625" style="50"/>
    <col min="11278" max="11278" width="19.88671875" style="50" customWidth="1"/>
    <col min="11279" max="11520" width="11.44140625" style="50"/>
    <col min="11521" max="11521" width="1.44140625" style="50" customWidth="1"/>
    <col min="11522" max="11533" width="11.44140625" style="50"/>
    <col min="11534" max="11534" width="19.88671875" style="50" customWidth="1"/>
    <col min="11535" max="11776" width="11.44140625" style="50"/>
    <col min="11777" max="11777" width="1.44140625" style="50" customWidth="1"/>
    <col min="11778" max="11789" width="11.44140625" style="50"/>
    <col min="11790" max="11790" width="19.88671875" style="50" customWidth="1"/>
    <col min="11791" max="12032" width="11.44140625" style="50"/>
    <col min="12033" max="12033" width="1.44140625" style="50" customWidth="1"/>
    <col min="12034" max="12045" width="11.44140625" style="50"/>
    <col min="12046" max="12046" width="19.88671875" style="50" customWidth="1"/>
    <col min="12047" max="12288" width="11.44140625" style="50"/>
    <col min="12289" max="12289" width="1.44140625" style="50" customWidth="1"/>
    <col min="12290" max="12301" width="11.44140625" style="50"/>
    <col min="12302" max="12302" width="19.88671875" style="50" customWidth="1"/>
    <col min="12303" max="12544" width="11.44140625" style="50"/>
    <col min="12545" max="12545" width="1.44140625" style="50" customWidth="1"/>
    <col min="12546" max="12557" width="11.44140625" style="50"/>
    <col min="12558" max="12558" width="19.88671875" style="50" customWidth="1"/>
    <col min="12559" max="12800" width="11.44140625" style="50"/>
    <col min="12801" max="12801" width="1.44140625" style="50" customWidth="1"/>
    <col min="12802" max="12813" width="11.44140625" style="50"/>
    <col min="12814" max="12814" width="19.88671875" style="50" customWidth="1"/>
    <col min="12815" max="13056" width="11.44140625" style="50"/>
    <col min="13057" max="13057" width="1.44140625" style="50" customWidth="1"/>
    <col min="13058" max="13069" width="11.44140625" style="50"/>
    <col min="13070" max="13070" width="19.88671875" style="50" customWidth="1"/>
    <col min="13071" max="13312" width="11.44140625" style="50"/>
    <col min="13313" max="13313" width="1.44140625" style="50" customWidth="1"/>
    <col min="13314" max="13325" width="11.44140625" style="50"/>
    <col min="13326" max="13326" width="19.88671875" style="50" customWidth="1"/>
    <col min="13327" max="13568" width="11.44140625" style="50"/>
    <col min="13569" max="13569" width="1.44140625" style="50" customWidth="1"/>
    <col min="13570" max="13581" width="11.44140625" style="50"/>
    <col min="13582" max="13582" width="19.88671875" style="50" customWidth="1"/>
    <col min="13583" max="13824" width="11.44140625" style="50"/>
    <col min="13825" max="13825" width="1.44140625" style="50" customWidth="1"/>
    <col min="13826" max="13837" width="11.44140625" style="50"/>
    <col min="13838" max="13838" width="19.88671875" style="50" customWidth="1"/>
    <col min="13839" max="14080" width="11.44140625" style="50"/>
    <col min="14081" max="14081" width="1.44140625" style="50" customWidth="1"/>
    <col min="14082" max="14093" width="11.44140625" style="50"/>
    <col min="14094" max="14094" width="19.88671875" style="50" customWidth="1"/>
    <col min="14095" max="14336" width="11.44140625" style="50"/>
    <col min="14337" max="14337" width="1.44140625" style="50" customWidth="1"/>
    <col min="14338" max="14349" width="11.44140625" style="50"/>
    <col min="14350" max="14350" width="19.88671875" style="50" customWidth="1"/>
    <col min="14351" max="14592" width="11.44140625" style="50"/>
    <col min="14593" max="14593" width="1.44140625" style="50" customWidth="1"/>
    <col min="14594" max="14605" width="11.44140625" style="50"/>
    <col min="14606" max="14606" width="19.88671875" style="50" customWidth="1"/>
    <col min="14607" max="14848" width="11.44140625" style="50"/>
    <col min="14849" max="14849" width="1.44140625" style="50" customWidth="1"/>
    <col min="14850" max="14861" width="11.44140625" style="50"/>
    <col min="14862" max="14862" width="19.88671875" style="50" customWidth="1"/>
    <col min="14863" max="15104" width="11.44140625" style="50"/>
    <col min="15105" max="15105" width="1.44140625" style="50" customWidth="1"/>
    <col min="15106" max="15117" width="11.44140625" style="50"/>
    <col min="15118" max="15118" width="19.88671875" style="50" customWidth="1"/>
    <col min="15119" max="15360" width="11.44140625" style="50"/>
    <col min="15361" max="15361" width="1.44140625" style="50" customWidth="1"/>
    <col min="15362" max="15373" width="11.44140625" style="50"/>
    <col min="15374" max="15374" width="19.88671875" style="50" customWidth="1"/>
    <col min="15375" max="15616" width="11.44140625" style="50"/>
    <col min="15617" max="15617" width="1.44140625" style="50" customWidth="1"/>
    <col min="15618" max="15629" width="11.44140625" style="50"/>
    <col min="15630" max="15630" width="19.88671875" style="50" customWidth="1"/>
    <col min="15631" max="15872" width="11.44140625" style="50"/>
    <col min="15873" max="15873" width="1.44140625" style="50" customWidth="1"/>
    <col min="15874" max="15885" width="11.44140625" style="50"/>
    <col min="15886" max="15886" width="19.88671875" style="50" customWidth="1"/>
    <col min="15887" max="16128" width="11.44140625" style="50"/>
    <col min="16129" max="16129" width="1.44140625" style="50" customWidth="1"/>
    <col min="16130" max="16141" width="11.44140625" style="50"/>
    <col min="16142" max="16142" width="19.88671875" style="50" customWidth="1"/>
    <col min="16143" max="16384" width="11.44140625" style="50"/>
  </cols>
  <sheetData>
    <row r="2" spans="2:14" ht="32.25" customHeight="1" x14ac:dyDescent="0.3">
      <c r="B2" s="69" t="s">
        <v>87</v>
      </c>
      <c r="M2" s="68" t="s">
        <v>86</v>
      </c>
      <c r="N2" s="67">
        <f ca="1">VALUE(INFO("RELEASE"))</f>
        <v>16</v>
      </c>
    </row>
    <row r="3" spans="2:14" ht="26.25" customHeight="1" x14ac:dyDescent="0.25">
      <c r="B3" s="66" t="s">
        <v>85</v>
      </c>
      <c r="C3" s="65"/>
    </row>
    <row r="4" spans="2:14" ht="13.8" x14ac:dyDescent="0.25">
      <c r="B4" s="64" t="s">
        <v>84</v>
      </c>
    </row>
    <row r="5" spans="2:14" ht="13.8" x14ac:dyDescent="0.25">
      <c r="B5" s="64" t="s">
        <v>83</v>
      </c>
    </row>
    <row r="6" spans="2:14" ht="13.8" x14ac:dyDescent="0.25">
      <c r="B6" s="63"/>
    </row>
    <row r="7" spans="2:14" ht="13.8" x14ac:dyDescent="0.25">
      <c r="B7" s="62" t="str">
        <f ca="1">"Su versión actual de Microsoft Office Excel es "&amp;IF(VALUE(INFO("RELEASE"))&gt;=12,"2007","97-2003")</f>
        <v>Su versión actual de Microsoft Office Excel es 2007</v>
      </c>
    </row>
    <row r="8" spans="2:14" ht="13.8" x14ac:dyDescent="0.25">
      <c r="B8" s="62"/>
    </row>
    <row r="9" spans="2:14" ht="13.8" x14ac:dyDescent="0.25">
      <c r="B9" s="107" t="s">
        <v>82</v>
      </c>
      <c r="C9" s="108"/>
      <c r="D9" s="108"/>
      <c r="E9" s="108"/>
      <c r="F9" s="108"/>
      <c r="G9" s="108"/>
      <c r="H9" s="109"/>
      <c r="I9" s="107" t="s">
        <v>81</v>
      </c>
      <c r="J9" s="108"/>
      <c r="K9" s="108"/>
      <c r="L9" s="108"/>
      <c r="M9" s="108"/>
      <c r="N9" s="108"/>
    </row>
    <row r="10" spans="2:14" ht="10.5" customHeight="1" x14ac:dyDescent="0.25">
      <c r="B10" s="61"/>
      <c r="C10" s="55"/>
      <c r="D10" s="55"/>
      <c r="E10" s="55"/>
      <c r="F10" s="55"/>
      <c r="G10" s="55"/>
      <c r="H10" s="55"/>
      <c r="I10" s="60"/>
      <c r="J10" s="59"/>
      <c r="K10" s="55"/>
      <c r="L10" s="55"/>
      <c r="M10" s="55"/>
      <c r="N10" s="54"/>
    </row>
    <row r="11" spans="2:14" ht="13.8" x14ac:dyDescent="0.25">
      <c r="B11" s="58" t="s">
        <v>80</v>
      </c>
      <c r="C11" s="55"/>
      <c r="D11" s="55"/>
      <c r="E11" s="55"/>
      <c r="F11" s="55"/>
      <c r="G11" s="55"/>
      <c r="H11" s="55"/>
      <c r="I11" s="58" t="s">
        <v>79</v>
      </c>
      <c r="J11" s="55"/>
      <c r="K11" s="55"/>
      <c r="L11" s="55"/>
      <c r="M11" s="55"/>
      <c r="N11" s="54"/>
    </row>
    <row r="12" spans="2:14" ht="13.8" x14ac:dyDescent="0.25">
      <c r="B12" s="58" t="s">
        <v>78</v>
      </c>
      <c r="C12" s="55"/>
      <c r="D12" s="55"/>
      <c r="E12" s="55"/>
      <c r="F12" s="55"/>
      <c r="G12" s="55"/>
      <c r="H12" s="55"/>
      <c r="I12" s="58" t="s">
        <v>77</v>
      </c>
      <c r="J12" s="55"/>
      <c r="K12" s="57"/>
      <c r="L12" s="55"/>
      <c r="M12" s="55"/>
      <c r="N12" s="54"/>
    </row>
    <row r="13" spans="2:14" x14ac:dyDescent="0.25">
      <c r="B13" s="56"/>
      <c r="C13" s="55"/>
      <c r="D13" s="55"/>
      <c r="E13" s="55"/>
      <c r="F13" s="55"/>
      <c r="G13" s="55"/>
      <c r="H13" s="55"/>
      <c r="I13" s="56"/>
      <c r="J13" s="55"/>
      <c r="K13" s="55"/>
      <c r="L13" s="55"/>
      <c r="M13" s="55"/>
      <c r="N13" s="54"/>
    </row>
    <row r="14" spans="2:14" x14ac:dyDescent="0.25">
      <c r="B14" s="56"/>
      <c r="C14" s="55"/>
      <c r="D14" s="55"/>
      <c r="E14" s="55"/>
      <c r="F14" s="55"/>
      <c r="G14" s="55"/>
      <c r="H14" s="55"/>
      <c r="I14" s="56"/>
      <c r="J14" s="55"/>
      <c r="K14" s="55"/>
      <c r="L14" s="55"/>
      <c r="M14" s="55"/>
      <c r="N14" s="54"/>
    </row>
    <row r="15" spans="2:14" x14ac:dyDescent="0.25">
      <c r="B15" s="56"/>
      <c r="C15" s="55"/>
      <c r="D15" s="55"/>
      <c r="E15" s="55"/>
      <c r="F15" s="55"/>
      <c r="G15" s="55"/>
      <c r="H15" s="55"/>
      <c r="I15" s="56"/>
      <c r="J15" s="55"/>
      <c r="K15" s="55"/>
      <c r="L15" s="55"/>
      <c r="M15" s="55"/>
      <c r="N15" s="54"/>
    </row>
    <row r="16" spans="2:14" x14ac:dyDescent="0.25">
      <c r="B16" s="56"/>
      <c r="C16" s="55"/>
      <c r="D16" s="55"/>
      <c r="E16" s="55"/>
      <c r="F16" s="55"/>
      <c r="G16" s="55"/>
      <c r="H16" s="55"/>
      <c r="I16" s="56"/>
      <c r="J16" s="55"/>
      <c r="K16" s="55"/>
      <c r="L16" s="55"/>
      <c r="M16" s="55"/>
      <c r="N16" s="54"/>
    </row>
    <row r="17" spans="2:14" x14ac:dyDescent="0.25">
      <c r="B17" s="56"/>
      <c r="C17" s="55"/>
      <c r="D17" s="55"/>
      <c r="E17" s="55"/>
      <c r="F17" s="55"/>
      <c r="G17" s="55"/>
      <c r="H17" s="55"/>
      <c r="I17" s="56"/>
      <c r="J17" s="55"/>
      <c r="K17" s="55"/>
      <c r="L17" s="55"/>
      <c r="M17" s="55"/>
      <c r="N17" s="54"/>
    </row>
    <row r="18" spans="2:14" x14ac:dyDescent="0.25">
      <c r="B18" s="56"/>
      <c r="C18" s="55"/>
      <c r="D18" s="55"/>
      <c r="E18" s="55"/>
      <c r="F18" s="55"/>
      <c r="G18" s="55"/>
      <c r="H18" s="55"/>
      <c r="I18" s="56"/>
      <c r="J18" s="55"/>
      <c r="K18" s="55"/>
      <c r="L18" s="55"/>
      <c r="M18" s="55"/>
      <c r="N18" s="54"/>
    </row>
    <row r="19" spans="2:14" x14ac:dyDescent="0.25">
      <c r="B19" s="56"/>
      <c r="C19" s="55"/>
      <c r="D19" s="55"/>
      <c r="E19" s="55"/>
      <c r="F19" s="55"/>
      <c r="G19" s="55"/>
      <c r="H19" s="55"/>
      <c r="I19" s="56"/>
      <c r="J19" s="55"/>
      <c r="K19" s="55"/>
      <c r="L19" s="55"/>
      <c r="M19" s="55"/>
      <c r="N19" s="54"/>
    </row>
    <row r="20" spans="2:14" x14ac:dyDescent="0.25">
      <c r="B20" s="56"/>
      <c r="C20" s="55"/>
      <c r="D20" s="55"/>
      <c r="E20" s="55"/>
      <c r="F20" s="55"/>
      <c r="G20" s="55"/>
      <c r="H20" s="55"/>
      <c r="I20" s="56"/>
      <c r="J20" s="55"/>
      <c r="K20" s="55"/>
      <c r="L20" s="55"/>
      <c r="M20" s="55"/>
      <c r="N20" s="54"/>
    </row>
    <row r="21" spans="2:14" x14ac:dyDescent="0.25">
      <c r="B21" s="56"/>
      <c r="C21" s="55"/>
      <c r="D21" s="55"/>
      <c r="E21" s="55"/>
      <c r="F21" s="55"/>
      <c r="G21" s="55"/>
      <c r="H21" s="55"/>
      <c r="I21" s="56"/>
      <c r="J21" s="55"/>
      <c r="K21" s="55"/>
      <c r="L21" s="55"/>
      <c r="M21" s="55"/>
      <c r="N21" s="54"/>
    </row>
    <row r="22" spans="2:14" x14ac:dyDescent="0.25">
      <c r="B22" s="56"/>
      <c r="C22" s="55"/>
      <c r="D22" s="55"/>
      <c r="E22" s="55"/>
      <c r="F22" s="55"/>
      <c r="G22" s="55"/>
      <c r="H22" s="55"/>
      <c r="I22" s="56"/>
      <c r="J22" s="55"/>
      <c r="K22" s="55"/>
      <c r="L22" s="55"/>
      <c r="M22" s="55"/>
      <c r="N22" s="54"/>
    </row>
    <row r="23" spans="2:14" x14ac:dyDescent="0.25">
      <c r="B23" s="56"/>
      <c r="C23" s="55"/>
      <c r="D23" s="55"/>
      <c r="E23" s="55"/>
      <c r="F23" s="55"/>
      <c r="G23" s="55"/>
      <c r="H23" s="55"/>
      <c r="I23" s="56"/>
      <c r="J23" s="55"/>
      <c r="K23" s="55"/>
      <c r="L23" s="55"/>
      <c r="M23" s="55"/>
      <c r="N23" s="54"/>
    </row>
    <row r="24" spans="2:14" x14ac:dyDescent="0.25">
      <c r="B24" s="56"/>
      <c r="C24" s="55"/>
      <c r="D24" s="55"/>
      <c r="E24" s="55"/>
      <c r="F24" s="55"/>
      <c r="G24" s="55"/>
      <c r="H24" s="55"/>
      <c r="I24" s="56"/>
      <c r="J24" s="55"/>
      <c r="K24" s="55"/>
      <c r="L24" s="55"/>
      <c r="M24" s="55"/>
      <c r="N24" s="54"/>
    </row>
    <row r="25" spans="2:14" x14ac:dyDescent="0.25">
      <c r="B25" s="56"/>
      <c r="C25" s="55"/>
      <c r="D25" s="55"/>
      <c r="E25" s="55"/>
      <c r="F25" s="55"/>
      <c r="G25" s="55"/>
      <c r="H25" s="55"/>
      <c r="I25" s="56"/>
      <c r="J25" s="55"/>
      <c r="K25" s="55"/>
      <c r="L25" s="55"/>
      <c r="M25" s="55"/>
      <c r="N25" s="54"/>
    </row>
    <row r="26" spans="2:14" x14ac:dyDescent="0.25">
      <c r="B26" s="56"/>
      <c r="C26" s="55"/>
      <c r="D26" s="55"/>
      <c r="E26" s="55"/>
      <c r="F26" s="55"/>
      <c r="G26" s="55"/>
      <c r="H26" s="55"/>
      <c r="I26" s="56"/>
      <c r="J26" s="55"/>
      <c r="K26" s="55"/>
      <c r="L26" s="55"/>
      <c r="M26" s="55"/>
      <c r="N26" s="54"/>
    </row>
    <row r="27" spans="2:14" x14ac:dyDescent="0.25">
      <c r="B27" s="56"/>
      <c r="C27" s="55"/>
      <c r="D27" s="55"/>
      <c r="E27" s="55"/>
      <c r="F27" s="55"/>
      <c r="G27" s="55"/>
      <c r="H27" s="55"/>
      <c r="I27" s="56"/>
      <c r="J27" s="55"/>
      <c r="K27" s="55"/>
      <c r="L27" s="55"/>
      <c r="M27" s="55"/>
      <c r="N27" s="54"/>
    </row>
    <row r="28" spans="2:14" x14ac:dyDescent="0.25">
      <c r="B28" s="56"/>
      <c r="C28" s="55"/>
      <c r="D28" s="55"/>
      <c r="E28" s="55"/>
      <c r="F28" s="55"/>
      <c r="G28" s="55"/>
      <c r="H28" s="55"/>
      <c r="I28" s="56"/>
      <c r="J28" s="55"/>
      <c r="K28" s="55"/>
      <c r="L28" s="55"/>
      <c r="M28" s="55"/>
      <c r="N28" s="54"/>
    </row>
    <row r="29" spans="2:14" x14ac:dyDescent="0.25">
      <c r="B29" s="56"/>
      <c r="C29" s="55"/>
      <c r="D29" s="55"/>
      <c r="E29" s="55"/>
      <c r="F29" s="55"/>
      <c r="G29" s="55"/>
      <c r="H29" s="55"/>
      <c r="I29" s="56"/>
      <c r="J29" s="55"/>
      <c r="K29" s="55"/>
      <c r="L29" s="55"/>
      <c r="M29" s="55"/>
      <c r="N29" s="54"/>
    </row>
    <row r="30" spans="2:14" x14ac:dyDescent="0.25">
      <c r="B30" s="56"/>
      <c r="C30" s="55"/>
      <c r="D30" s="55"/>
      <c r="E30" s="55"/>
      <c r="F30" s="55"/>
      <c r="G30" s="55"/>
      <c r="H30" s="55"/>
      <c r="I30" s="56"/>
      <c r="J30" s="55"/>
      <c r="K30" s="55"/>
      <c r="L30" s="55"/>
      <c r="M30" s="55"/>
      <c r="N30" s="54"/>
    </row>
    <row r="31" spans="2:14" x14ac:dyDescent="0.25">
      <c r="B31" s="56"/>
      <c r="C31" s="55"/>
      <c r="D31" s="55"/>
      <c r="E31" s="55"/>
      <c r="F31" s="55"/>
      <c r="G31" s="55"/>
      <c r="H31" s="55"/>
      <c r="I31" s="56"/>
      <c r="J31" s="55"/>
      <c r="K31" s="55"/>
      <c r="L31" s="55"/>
      <c r="M31" s="55"/>
      <c r="N31" s="54"/>
    </row>
    <row r="32" spans="2:14" x14ac:dyDescent="0.25">
      <c r="B32" s="56"/>
      <c r="C32" s="55"/>
      <c r="D32" s="55"/>
      <c r="E32" s="55"/>
      <c r="F32" s="55"/>
      <c r="G32" s="55"/>
      <c r="H32" s="55"/>
      <c r="I32" s="56"/>
      <c r="J32" s="55"/>
      <c r="K32" s="55"/>
      <c r="L32" s="55"/>
      <c r="M32" s="55"/>
      <c r="N32" s="54"/>
    </row>
    <row r="33" spans="2:14" x14ac:dyDescent="0.25">
      <c r="B33" s="56"/>
      <c r="C33" s="55"/>
      <c r="D33" s="55"/>
      <c r="E33" s="55"/>
      <c r="F33" s="55"/>
      <c r="G33" s="55"/>
      <c r="H33" s="55"/>
      <c r="I33" s="56"/>
      <c r="J33" s="55"/>
      <c r="K33" s="55"/>
      <c r="L33" s="55"/>
      <c r="M33" s="55"/>
      <c r="N33" s="54"/>
    </row>
    <row r="34" spans="2:14" x14ac:dyDescent="0.25">
      <c r="B34" s="56"/>
      <c r="C34" s="55"/>
      <c r="D34" s="55"/>
      <c r="E34" s="55"/>
      <c r="F34" s="55"/>
      <c r="G34" s="55"/>
      <c r="H34" s="55"/>
      <c r="I34" s="56"/>
      <c r="J34" s="55"/>
      <c r="K34" s="55"/>
      <c r="L34" s="55"/>
      <c r="M34" s="55"/>
      <c r="N34" s="54"/>
    </row>
    <row r="35" spans="2:14" x14ac:dyDescent="0.25">
      <c r="B35" s="56"/>
      <c r="C35" s="55"/>
      <c r="D35" s="55"/>
      <c r="E35" s="55"/>
      <c r="F35" s="55"/>
      <c r="G35" s="55"/>
      <c r="H35" s="55"/>
      <c r="I35" s="56"/>
      <c r="J35" s="55"/>
      <c r="K35" s="55"/>
      <c r="L35" s="55"/>
      <c r="M35" s="55"/>
      <c r="N35" s="54"/>
    </row>
    <row r="36" spans="2:14" x14ac:dyDescent="0.25">
      <c r="B36" s="56"/>
      <c r="C36" s="55"/>
      <c r="D36" s="55"/>
      <c r="E36" s="55"/>
      <c r="F36" s="55"/>
      <c r="G36" s="55"/>
      <c r="H36" s="55"/>
      <c r="I36" s="56"/>
      <c r="J36" s="55"/>
      <c r="K36" s="55"/>
      <c r="L36" s="55"/>
      <c r="M36" s="55"/>
      <c r="N36" s="54"/>
    </row>
    <row r="37" spans="2:14" x14ac:dyDescent="0.25">
      <c r="B37" s="56"/>
      <c r="C37" s="55"/>
      <c r="D37" s="55"/>
      <c r="E37" s="55"/>
      <c r="F37" s="55"/>
      <c r="G37" s="55"/>
      <c r="H37" s="55"/>
      <c r="I37" s="56"/>
      <c r="J37" s="55"/>
      <c r="K37" s="55"/>
      <c r="L37" s="55"/>
      <c r="M37" s="55"/>
      <c r="N37" s="54"/>
    </row>
    <row r="38" spans="2:14" x14ac:dyDescent="0.25">
      <c r="B38" s="56"/>
      <c r="C38" s="55"/>
      <c r="D38" s="55"/>
      <c r="E38" s="55"/>
      <c r="F38" s="55"/>
      <c r="G38" s="55"/>
      <c r="H38" s="55"/>
      <c r="I38" s="56"/>
      <c r="J38" s="55"/>
      <c r="K38" s="55"/>
      <c r="L38" s="55"/>
      <c r="M38" s="55"/>
      <c r="N38" s="54"/>
    </row>
    <row r="39" spans="2:14" x14ac:dyDescent="0.25">
      <c r="B39" s="53"/>
      <c r="C39" s="52"/>
      <c r="D39" s="52"/>
      <c r="E39" s="52"/>
      <c r="F39" s="52"/>
      <c r="G39" s="52"/>
      <c r="H39" s="52"/>
      <c r="I39" s="53"/>
      <c r="J39" s="52"/>
      <c r="K39" s="52"/>
      <c r="L39" s="52"/>
      <c r="M39" s="52"/>
      <c r="N39" s="51"/>
    </row>
  </sheetData>
  <sheetProtection password="CF7A" sheet="1" objects="1" scenarios="1" selectLockedCells="1" selectUnlockedCells="1"/>
  <mergeCells count="2">
    <mergeCell ref="B9:H9"/>
    <mergeCell ref="I9:N9"/>
  </mergeCells>
  <conditionalFormatting sqref="B9:H9">
    <cfRule type="expression" dxfId="12" priority="2" stopIfTrue="1">
      <formula>AND($N$2=12)</formula>
    </cfRule>
  </conditionalFormatting>
  <conditionalFormatting sqref="I9:N9">
    <cfRule type="expression" dxfId="11"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B34"/>
  <sheetViews>
    <sheetView showGridLines="0" tabSelected="1" topLeftCell="A24" zoomScale="70" zoomScaleNormal="70" workbookViewId="0">
      <selection activeCell="AF33" sqref="AF33"/>
    </sheetView>
  </sheetViews>
  <sheetFormatPr baseColWidth="10" defaultColWidth="9.109375" defaultRowHeight="14.4" x14ac:dyDescent="0.3"/>
  <cols>
    <col min="1" max="1" width="2.5546875" customWidth="1"/>
    <col min="2" max="2" width="3.44140625" customWidth="1"/>
    <col min="3" max="3" width="8.44140625" customWidth="1"/>
    <col min="4" max="4" width="8.88671875" customWidth="1"/>
    <col min="5" max="5" width="6.88671875" customWidth="1"/>
    <col min="6" max="6" width="8" customWidth="1"/>
    <col min="7" max="7" width="11.88671875" customWidth="1"/>
    <col min="8" max="8" width="4.88671875" customWidth="1"/>
    <col min="9" max="9" width="6.88671875" customWidth="1"/>
    <col min="10" max="11" width="8" customWidth="1"/>
    <col min="12" max="13" width="6.88671875" customWidth="1"/>
    <col min="14" max="15" width="8" customWidth="1"/>
    <col min="16" max="17" width="6.88671875" customWidth="1"/>
    <col min="18" max="19" width="8" customWidth="1"/>
    <col min="20" max="21" width="6.88671875" customWidth="1"/>
    <col min="22" max="23" width="8" customWidth="1"/>
    <col min="24" max="25" width="6.88671875" customWidth="1"/>
    <col min="26" max="27" width="8" customWidth="1"/>
    <col min="28" max="28" width="7.44140625" customWidth="1"/>
    <col min="29" max="29" width="3.44140625" customWidth="1"/>
    <col min="30" max="30" width="2.6640625" customWidth="1"/>
  </cols>
  <sheetData>
    <row r="1" spans="1:16382" ht="7.5" customHeight="1" x14ac:dyDescent="0.3">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row>
    <row r="2" spans="1:16382" ht="18" customHeight="1" x14ac:dyDescent="0.3">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row>
    <row r="3" spans="1:16382" ht="8.25" customHeight="1" x14ac:dyDescent="0.3">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row>
    <row r="4" spans="1:16382" ht="18" customHeight="1" x14ac:dyDescent="0.3">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row>
    <row r="5" spans="1:16382" s="30" customFormat="1" ht="7.5" customHeight="1" x14ac:dyDescent="0.3">
      <c r="A5" s="70"/>
      <c r="B5" s="70"/>
      <c r="C5" s="70"/>
      <c r="D5" s="70"/>
      <c r="E5" s="70"/>
      <c r="F5" s="70"/>
      <c r="G5" s="70"/>
      <c r="H5" s="70"/>
      <c r="I5" s="70"/>
      <c r="J5" s="70"/>
      <c r="K5" s="70"/>
      <c r="L5" s="70"/>
      <c r="M5" s="70"/>
      <c r="N5" s="70"/>
      <c r="O5" s="70"/>
      <c r="P5" s="70"/>
      <c r="Q5" s="70"/>
      <c r="R5" s="70"/>
      <c r="S5" s="70"/>
      <c r="T5" s="70"/>
      <c r="U5" s="70"/>
      <c r="V5" s="70"/>
      <c r="W5" s="70"/>
      <c r="X5" s="70"/>
      <c r="Y5" s="70"/>
      <c r="Z5" s="70"/>
      <c r="AA5" s="70"/>
      <c r="AB5" s="70"/>
      <c r="AC5" s="70"/>
      <c r="AD5" s="70"/>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3">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3">
      <c r="D7" s="118"/>
      <c r="E7" s="118"/>
      <c r="F7" s="118"/>
      <c r="G7" s="118"/>
      <c r="H7" s="118"/>
      <c r="I7" s="118"/>
      <c r="N7" s="5"/>
      <c r="R7" s="5"/>
    </row>
    <row r="8" spans="1:16382" ht="15.75" customHeight="1" x14ac:dyDescent="0.3">
      <c r="D8" s="118"/>
      <c r="E8" s="118"/>
      <c r="F8" s="118"/>
      <c r="G8" s="118"/>
      <c r="H8" s="118"/>
      <c r="I8" s="118"/>
    </row>
    <row r="9" spans="1:16382" ht="7.5" customHeight="1" x14ac:dyDescent="0.3">
      <c r="B9" s="9"/>
      <c r="C9" s="9"/>
      <c r="D9" s="78"/>
      <c r="E9" s="76" t="s">
        <v>1</v>
      </c>
      <c r="F9" s="77" t="str">
        <f>E9</f>
        <v>Horas extras</v>
      </c>
      <c r="G9" s="77" t="str">
        <f>F9</f>
        <v>Horas extras</v>
      </c>
      <c r="H9" s="77" t="str">
        <f>G9</f>
        <v>Horas extras</v>
      </c>
      <c r="I9" s="76" t="s">
        <v>2</v>
      </c>
      <c r="J9" s="77" t="str">
        <f>I9</f>
        <v>Alimentación</v>
      </c>
      <c r="K9" s="77" t="str">
        <f>J9</f>
        <v>Alimentación</v>
      </c>
      <c r="L9" s="77" t="str">
        <f>K9</f>
        <v>Alimentación</v>
      </c>
      <c r="M9" s="77" t="s">
        <v>3</v>
      </c>
      <c r="N9" s="77" t="str">
        <f>M9</f>
        <v>Viáticos</v>
      </c>
      <c r="O9" s="77" t="str">
        <f>N9</f>
        <v>Viáticos</v>
      </c>
      <c r="P9" s="77" t="str">
        <f>O9</f>
        <v>Viáticos</v>
      </c>
      <c r="Q9" s="77" t="s">
        <v>4</v>
      </c>
      <c r="R9" s="77" t="str">
        <f>Q9</f>
        <v>Reconocimientos</v>
      </c>
      <c r="S9" s="77" t="str">
        <f>R9</f>
        <v>Reconocimientos</v>
      </c>
      <c r="T9" s="77" t="str">
        <f>S9</f>
        <v>Reconocimientos</v>
      </c>
      <c r="U9" s="77" t="s">
        <v>5</v>
      </c>
      <c r="V9" s="77" t="str">
        <f>U9</f>
        <v>Celebraciones</v>
      </c>
      <c r="W9" s="77" t="str">
        <f>V9</f>
        <v>Celebraciones</v>
      </c>
      <c r="X9" s="77" t="str">
        <f>W9</f>
        <v>Celebraciones</v>
      </c>
      <c r="Y9" s="77" t="s">
        <v>22</v>
      </c>
      <c r="Z9" s="77" t="str">
        <f>Y9</f>
        <v>Brindis participación</v>
      </c>
      <c r="AA9" s="77" t="str">
        <f>Z9</f>
        <v>Brindis participación</v>
      </c>
      <c r="AB9" s="77" t="str">
        <f>AA9</f>
        <v>Brindis participación</v>
      </c>
      <c r="AC9" s="9"/>
    </row>
    <row r="10" spans="1:16382" ht="11.25" customHeight="1" x14ac:dyDescent="0.3">
      <c r="B10" s="9"/>
      <c r="C10" s="9"/>
      <c r="D10" s="78"/>
      <c r="E10" s="76"/>
      <c r="F10" s="77"/>
      <c r="G10" s="77"/>
      <c r="H10" s="77"/>
      <c r="I10" s="76"/>
      <c r="J10" s="122"/>
      <c r="K10" s="122"/>
      <c r="L10" s="77"/>
      <c r="M10" s="77"/>
      <c r="N10" s="77"/>
      <c r="O10" s="77"/>
      <c r="P10" s="77"/>
      <c r="Q10" s="77"/>
      <c r="R10" s="77"/>
      <c r="S10" s="77"/>
      <c r="T10" s="77"/>
      <c r="U10" s="77"/>
      <c r="V10" s="77"/>
      <c r="W10" s="77"/>
      <c r="X10" s="77"/>
      <c r="Y10" s="77"/>
      <c r="Z10" s="77"/>
      <c r="AA10" s="77"/>
      <c r="AB10" s="77"/>
      <c r="AC10" s="9"/>
    </row>
    <row r="11" spans="1:16382" ht="36.75" customHeight="1" x14ac:dyDescent="0.35">
      <c r="B11" s="79"/>
      <c r="C11" s="80"/>
      <c r="D11" s="81"/>
      <c r="E11" s="125" t="s">
        <v>1</v>
      </c>
      <c r="F11" s="125"/>
      <c r="G11" s="125"/>
      <c r="H11" s="125"/>
      <c r="I11" s="124" t="s">
        <v>2</v>
      </c>
      <c r="J11" s="124"/>
      <c r="K11" s="124"/>
      <c r="L11" s="124"/>
      <c r="M11" s="124" t="s">
        <v>3</v>
      </c>
      <c r="N11" s="124"/>
      <c r="O11" s="124"/>
      <c r="P11" s="124"/>
      <c r="Q11" s="124" t="s">
        <v>4</v>
      </c>
      <c r="R11" s="124"/>
      <c r="S11" s="124"/>
      <c r="T11" s="124"/>
      <c r="U11" s="124" t="s">
        <v>5</v>
      </c>
      <c r="V11" s="124"/>
      <c r="W11" s="124"/>
      <c r="X11" s="124"/>
      <c r="Y11" s="124" t="s">
        <v>22</v>
      </c>
      <c r="Z11" s="124"/>
      <c r="AA11" s="124"/>
      <c r="AB11" s="124"/>
      <c r="AC11" s="11"/>
    </row>
    <row r="12" spans="1:16382" ht="11.25" customHeight="1" x14ac:dyDescent="0.3">
      <c r="B12" s="82"/>
      <c r="C12" s="113"/>
      <c r="D12" s="113"/>
      <c r="E12" s="119" t="str">
        <f>IFERROR(HYPERLINK(highlightSeries(E11)),"6")</f>
        <v>6</v>
      </c>
      <c r="F12" s="119"/>
      <c r="G12" s="119"/>
      <c r="H12" s="119"/>
      <c r="I12" s="119" t="str">
        <f>IFERROR(HYPERLINK(highlightSeries(I11)),"6")</f>
        <v>6</v>
      </c>
      <c r="J12" s="119"/>
      <c r="K12" s="119"/>
      <c r="L12" s="119"/>
      <c r="M12" s="119" t="str">
        <f>IFERROR(HYPERLINK(highlightSeries(M11)),"6")</f>
        <v>6</v>
      </c>
      <c r="N12" s="119"/>
      <c r="O12" s="119"/>
      <c r="P12" s="119"/>
      <c r="Q12" s="119" t="str">
        <f>IFERROR(HYPERLINK(highlightSeries(Q11)),"6")</f>
        <v>6</v>
      </c>
      <c r="R12" s="119"/>
      <c r="S12" s="119"/>
      <c r="T12" s="119"/>
      <c r="U12" s="119" t="str">
        <f>IFERROR(HYPERLINK(highlightSeries(U11)),"6")</f>
        <v>6</v>
      </c>
      <c r="V12" s="119"/>
      <c r="W12" s="119"/>
      <c r="X12" s="119"/>
      <c r="Y12" s="119" t="str">
        <f>IFERROR(HYPERLINK(highlightSeries(Y11)),"6")</f>
        <v>6</v>
      </c>
      <c r="Z12" s="119"/>
      <c r="AA12" s="119"/>
      <c r="AB12" s="119"/>
      <c r="AC12" s="11"/>
    </row>
    <row r="13" spans="1:16382" ht="11.25" customHeight="1" x14ac:dyDescent="0.3">
      <c r="B13" s="82"/>
      <c r="C13" s="83"/>
      <c r="D13" s="83"/>
      <c r="E13" s="92"/>
      <c r="F13" s="92"/>
      <c r="G13" s="92"/>
      <c r="H13" s="92"/>
      <c r="I13" s="92"/>
      <c r="J13" s="92"/>
      <c r="K13" s="92"/>
      <c r="L13" s="92"/>
      <c r="M13" s="92"/>
      <c r="N13" s="92"/>
      <c r="O13" s="92"/>
      <c r="P13" s="92"/>
      <c r="Q13" s="92"/>
      <c r="R13" s="92"/>
      <c r="S13" s="92"/>
      <c r="T13" s="92"/>
      <c r="U13" s="92"/>
      <c r="V13" s="92"/>
      <c r="W13" s="92"/>
      <c r="X13" s="92"/>
      <c r="Y13" s="92"/>
      <c r="Z13" s="92"/>
      <c r="AA13" s="92"/>
      <c r="AB13" s="92"/>
      <c r="AC13" s="11"/>
    </row>
    <row r="14" spans="1:16382" ht="30.75" customHeight="1" x14ac:dyDescent="0.3">
      <c r="B14" s="84"/>
      <c r="C14" s="31" t="s">
        <v>7</v>
      </c>
      <c r="D14" s="32"/>
      <c r="E14" s="102"/>
      <c r="F14" s="120">
        <f>GETPIVOTDATA("Suma de Balance",Tabla!$B$8,"Descripcion","HORAS EXTRAS")</f>
        <v>44529.229999999996</v>
      </c>
      <c r="G14" s="120"/>
      <c r="H14" s="96"/>
      <c r="I14" s="96"/>
      <c r="J14" s="120">
        <f>GETPIVOTDATA("Suma de Balance",Tabla!$B$8,"Descripcion","ALIMENTACIÓN")</f>
        <v>10818.300000000003</v>
      </c>
      <c r="K14" s="120"/>
      <c r="L14" s="96"/>
      <c r="M14" s="96"/>
      <c r="N14" s="120">
        <f>GETPIVOTDATA("Suma de Balance",Tabla!$B$8,"Descripcion","VIATICOS")</f>
        <v>10660.679999999998</v>
      </c>
      <c r="O14" s="120"/>
      <c r="P14" s="96"/>
      <c r="Q14" s="96"/>
      <c r="R14" s="120">
        <f>GETPIVOTDATA("Suma de Balance",Tabla!$B$8,"Descripcion","RECONOCIMIENTO ")</f>
        <v>39.639999999999972</v>
      </c>
      <c r="S14" s="120"/>
      <c r="T14" s="96"/>
      <c r="U14" s="96"/>
      <c r="V14" s="120">
        <f>GETPIVOTDATA("Suma de Balance",Tabla!$B$8,"Descripcion","CELEBRACIONES ")</f>
        <v>9098.8599999999988</v>
      </c>
      <c r="W14" s="120"/>
      <c r="X14" s="96"/>
      <c r="Y14" s="96"/>
      <c r="Z14" s="120">
        <f>GETPIVOTDATA("Suma de Balance",Tabla!$B$8,"Descripcion","BRINDIS DE PARTICIPACIÓN")</f>
        <v>0</v>
      </c>
      <c r="AA14" s="120"/>
      <c r="AB14" s="97"/>
      <c r="AC14" s="84"/>
    </row>
    <row r="15" spans="1:16382" ht="30.75" customHeight="1" x14ac:dyDescent="0.3">
      <c r="B15" s="84"/>
      <c r="C15" s="33" t="s">
        <v>6</v>
      </c>
      <c r="D15" s="32"/>
      <c r="E15" s="102"/>
      <c r="F15" s="121">
        <f>GETPIVOTDATA("Suma de Plan",Tabla!$B$8,"Descripcion","HORAS EXTRAS")</f>
        <v>498104.36420000001</v>
      </c>
      <c r="G15" s="121"/>
      <c r="H15" s="98"/>
      <c r="I15" s="98"/>
      <c r="J15" s="121">
        <f>GETPIVOTDATA("Suma de Plan",Tabla!$B$8,"Descripcion","ALIMENTACIÓN")</f>
        <v>93231.416199999963</v>
      </c>
      <c r="K15" s="121"/>
      <c r="L15" s="98"/>
      <c r="M15" s="98"/>
      <c r="N15" s="121">
        <f>GETPIVOTDATA("Suma de Plan",Tabla!$B$8,"Descripcion","VIATICOS")</f>
        <v>68352.317599999995</v>
      </c>
      <c r="O15" s="121"/>
      <c r="P15" s="98"/>
      <c r="Q15" s="98"/>
      <c r="R15" s="121">
        <f>GETPIVOTDATA("Suma de Plan",Tabla!$B$8,"Descripcion","RECONOCIMIENTO ")</f>
        <v>9540</v>
      </c>
      <c r="S15" s="121"/>
      <c r="T15" s="98"/>
      <c r="U15" s="98"/>
      <c r="V15" s="121">
        <f>GETPIVOTDATA("Suma de Plan",Tabla!$B$8,"Descripcion","CELEBRACIONES ")</f>
        <v>93024</v>
      </c>
      <c r="W15" s="121"/>
      <c r="X15" s="98"/>
      <c r="Y15" s="98"/>
      <c r="Z15" s="121">
        <f>GETPIVOTDATA("Suma de Plan",Tabla!$B$8,"Descripcion","BRINDIS DE PARTICIPACIÓN")</f>
        <v>17628</v>
      </c>
      <c r="AA15" s="121"/>
      <c r="AB15" s="97"/>
      <c r="AC15" s="84"/>
    </row>
    <row r="16" spans="1:16382" ht="30.75" customHeight="1" x14ac:dyDescent="0.3">
      <c r="B16" s="84"/>
      <c r="C16" s="33" t="s">
        <v>9</v>
      </c>
      <c r="D16" s="32"/>
      <c r="E16" s="102"/>
      <c r="F16" s="123">
        <f>F17/F15</f>
        <v>0.910602610214994</v>
      </c>
      <c r="G16" s="123"/>
      <c r="H16" s="99"/>
      <c r="I16" s="99"/>
      <c r="J16" s="123">
        <f>J17/J15</f>
        <v>0.88396293394500636</v>
      </c>
      <c r="K16" s="123"/>
      <c r="L16" s="99"/>
      <c r="M16" s="99"/>
      <c r="N16" s="123">
        <f>N17/N15</f>
        <v>0.84403337919883492</v>
      </c>
      <c r="O16" s="123"/>
      <c r="P16" s="99"/>
      <c r="Q16" s="99"/>
      <c r="R16" s="123">
        <f>R17/R15</f>
        <v>0.99584486373165626</v>
      </c>
      <c r="S16" s="123"/>
      <c r="T16" s="99"/>
      <c r="U16" s="99"/>
      <c r="V16" s="123">
        <f>V17/V15</f>
        <v>0.90218803749569998</v>
      </c>
      <c r="W16" s="123"/>
      <c r="X16" s="99"/>
      <c r="Y16" s="99"/>
      <c r="Z16" s="123">
        <f>Z17/Z15</f>
        <v>1</v>
      </c>
      <c r="AA16" s="123"/>
      <c r="AB16" s="97"/>
      <c r="AC16" s="84"/>
    </row>
    <row r="17" spans="2:29" ht="30.75" customHeight="1" x14ac:dyDescent="0.3">
      <c r="B17" s="84"/>
      <c r="C17" s="33" t="s">
        <v>8</v>
      </c>
      <c r="D17" s="34"/>
      <c r="E17" s="102"/>
      <c r="F17" s="126">
        <f>F15-F14</f>
        <v>453575.13420000003</v>
      </c>
      <c r="G17" s="126"/>
      <c r="H17" s="100"/>
      <c r="I17" s="100"/>
      <c r="J17" s="126">
        <f>J15-J14</f>
        <v>82413.11619999996</v>
      </c>
      <c r="K17" s="126"/>
      <c r="L17" s="100"/>
      <c r="M17" s="100"/>
      <c r="N17" s="126">
        <f>N15-N14</f>
        <v>57691.637599999995</v>
      </c>
      <c r="O17" s="126"/>
      <c r="P17" s="100"/>
      <c r="Q17" s="100"/>
      <c r="R17" s="126">
        <f>R15-R14</f>
        <v>9500.36</v>
      </c>
      <c r="S17" s="126"/>
      <c r="T17" s="100"/>
      <c r="U17" s="100"/>
      <c r="V17" s="126">
        <f>V15-V14</f>
        <v>83925.14</v>
      </c>
      <c r="W17" s="126"/>
      <c r="X17" s="100"/>
      <c r="Y17" s="100"/>
      <c r="Z17" s="126">
        <f>Z15-Z14</f>
        <v>17628</v>
      </c>
      <c r="AA17" s="126"/>
      <c r="AB17" s="97"/>
      <c r="AC17" s="84"/>
    </row>
    <row r="18" spans="2:29" ht="58.5" customHeight="1" x14ac:dyDescent="0.3">
      <c r="B18" s="84"/>
      <c r="C18" s="112"/>
      <c r="D18" s="112"/>
      <c r="E18" s="117">
        <f>1-F16</f>
        <v>8.9397389785005998E-2</v>
      </c>
      <c r="F18" s="117"/>
      <c r="G18" s="117"/>
      <c r="H18" s="117"/>
      <c r="I18" s="101"/>
      <c r="J18" s="103">
        <f>1-J16</f>
        <v>0.11603706605499364</v>
      </c>
      <c r="K18" s="104"/>
      <c r="L18" s="101"/>
      <c r="M18" s="101"/>
      <c r="N18" s="101">
        <f>1-N16</f>
        <v>0.15596662080116508</v>
      </c>
      <c r="O18" s="101"/>
      <c r="P18" s="101"/>
      <c r="Q18" s="101"/>
      <c r="R18" s="101">
        <f>1-R16</f>
        <v>4.1551362683437398E-3</v>
      </c>
      <c r="S18" s="101"/>
      <c r="T18" s="101"/>
      <c r="U18" s="101"/>
      <c r="V18" s="101"/>
      <c r="W18" s="101"/>
      <c r="X18" s="101"/>
      <c r="Y18" s="101"/>
      <c r="Z18" s="101">
        <f>1-Z16</f>
        <v>0</v>
      </c>
      <c r="AA18" s="101"/>
      <c r="AB18" s="97"/>
      <c r="AC18" s="86"/>
    </row>
    <row r="19" spans="2:29" ht="18" customHeight="1" x14ac:dyDescent="0.3">
      <c r="B19" s="82"/>
      <c r="C19" s="115"/>
      <c r="D19" s="115"/>
      <c r="E19" s="116" t="str">
        <f>IF(E11=valSelOption,"5","")</f>
        <v/>
      </c>
      <c r="F19" s="116"/>
      <c r="G19" s="116"/>
      <c r="H19" s="116"/>
      <c r="I19" s="116" t="str">
        <f>IF(I11=valSelOption,"5","")</f>
        <v/>
      </c>
      <c r="J19" s="116"/>
      <c r="K19" s="116"/>
      <c r="L19" s="116"/>
      <c r="M19" s="116" t="str">
        <f>IF(M11=valSelOption,"5","")</f>
        <v/>
      </c>
      <c r="N19" s="116"/>
      <c r="O19" s="116"/>
      <c r="P19" s="116"/>
      <c r="Q19" s="116" t="str">
        <f>IF(Q11=valSelOption,"5","")</f>
        <v/>
      </c>
      <c r="R19" s="116"/>
      <c r="S19" s="116"/>
      <c r="T19" s="116"/>
      <c r="U19" s="116" t="str">
        <f>IF(U11=valSelOption,"5","")</f>
        <v>5</v>
      </c>
      <c r="V19" s="116"/>
      <c r="W19" s="116"/>
      <c r="X19" s="116"/>
      <c r="Y19" s="116" t="str">
        <f>IF(Y11=valSelOption,"5","")</f>
        <v/>
      </c>
      <c r="Z19" s="116"/>
      <c r="AA19" s="116"/>
      <c r="AB19" s="116"/>
      <c r="AC19" s="11"/>
    </row>
    <row r="20" spans="2:29" ht="12.75" customHeight="1" x14ac:dyDescent="0.3">
      <c r="B20" s="82"/>
      <c r="C20" s="113"/>
      <c r="D20" s="113"/>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
    </row>
    <row r="21" spans="2:29" ht="18" customHeight="1" x14ac:dyDescent="0.3">
      <c r="B21" s="82"/>
      <c r="C21" s="83"/>
      <c r="D21" s="83"/>
      <c r="E21" s="85"/>
      <c r="F21" s="85"/>
      <c r="G21" s="85"/>
      <c r="H21" s="85"/>
      <c r="I21" s="85"/>
      <c r="J21" s="85"/>
      <c r="K21" s="85"/>
      <c r="L21" s="85"/>
      <c r="M21" s="85"/>
      <c r="N21" s="85"/>
      <c r="O21" s="85"/>
      <c r="P21" s="85"/>
      <c r="Q21" s="85"/>
      <c r="R21" s="85"/>
      <c r="S21" s="85"/>
      <c r="T21" s="85"/>
      <c r="U21" s="85"/>
      <c r="V21" s="85"/>
      <c r="W21" s="85"/>
      <c r="X21" s="85"/>
      <c r="Y21" s="85"/>
      <c r="Z21" s="85"/>
      <c r="AA21" s="85"/>
      <c r="AB21" s="85"/>
      <c r="AC21" s="11"/>
    </row>
    <row r="22" spans="2:29" s="36" customFormat="1" ht="18" customHeight="1" x14ac:dyDescent="0.3">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29" ht="18" customHeight="1" x14ac:dyDescent="0.3">
      <c r="B23" s="72"/>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5"/>
    </row>
    <row r="24" spans="2:29" ht="18" customHeight="1" thickBot="1" x14ac:dyDescent="0.35">
      <c r="B24" s="82"/>
      <c r="C24" s="83"/>
      <c r="D24" s="83"/>
      <c r="E24" s="85"/>
      <c r="F24" s="85"/>
      <c r="G24" s="85"/>
      <c r="H24" s="85"/>
      <c r="I24" s="85"/>
      <c r="J24" s="85"/>
      <c r="K24" s="85"/>
      <c r="L24" s="85"/>
      <c r="M24" s="85"/>
      <c r="N24" s="85"/>
      <c r="O24" s="85"/>
      <c r="P24" s="85"/>
      <c r="Q24" s="85"/>
      <c r="R24" s="85"/>
      <c r="S24" s="85"/>
      <c r="T24" s="85"/>
      <c r="U24" s="85"/>
      <c r="V24" s="85"/>
      <c r="W24" s="85"/>
      <c r="X24" s="85"/>
      <c r="Y24" s="85"/>
      <c r="Z24" s="85"/>
      <c r="AA24" s="85"/>
      <c r="AB24" s="85"/>
      <c r="AC24" s="11"/>
    </row>
    <row r="25" spans="2:29" ht="30.75" customHeight="1" x14ac:dyDescent="0.3">
      <c r="B25" s="89"/>
      <c r="C25" s="135" t="str">
        <f>IF(Data!$B$10=Dashboard!C34,CHOOSE(Data!$E$26,5,6),"")</f>
        <v/>
      </c>
      <c r="D25" s="136"/>
      <c r="E25" s="148">
        <f>IF(Data!$B$10=Dashboard!E34,CHOOSE(Data!$E$26,5,6),"")</f>
        <v>5</v>
      </c>
      <c r="F25" s="137"/>
      <c r="G25" s="137"/>
      <c r="H25" s="137"/>
      <c r="I25" s="137"/>
      <c r="J25" s="148" t="str">
        <f>IF(Data!$B$10=Dashboard!J34,CHOOSE(Data!$E$26,5,6),"")</f>
        <v/>
      </c>
      <c r="K25" s="137"/>
      <c r="L25" s="137"/>
      <c r="M25" s="137"/>
      <c r="N25" s="137"/>
      <c r="O25" s="137"/>
      <c r="P25" s="135" t="str">
        <f>IF(Data!$B$10=Dashboard!P34,CHOOSE(Data!$E$26,5,6),"")</f>
        <v/>
      </c>
      <c r="Q25" s="136"/>
      <c r="R25" s="136"/>
      <c r="S25" s="136"/>
      <c r="T25" s="136"/>
      <c r="U25" s="136"/>
      <c r="V25" s="136"/>
      <c r="W25" s="153"/>
      <c r="X25" s="138" t="str">
        <f>IF(Data!$B$10=Dashboard!X34,CHOOSE(Data!$E$26,5,6),"")</f>
        <v/>
      </c>
      <c r="Y25" s="139"/>
      <c r="Z25" s="138" t="str">
        <f>IF(Data!$B$10=Dashboard!Z34,CHOOSE(Data!$E$26,5,6),"")</f>
        <v/>
      </c>
      <c r="AA25" s="139"/>
      <c r="AB25">
        <v>1</v>
      </c>
      <c r="AC25" s="87"/>
    </row>
    <row r="26" spans="2:29" ht="27" customHeight="1" x14ac:dyDescent="0.3">
      <c r="B26" s="90" t="str">
        <f t="shared" ref="B26:B30" si="0">IF(ROW()=valRowGrid,4,"")</f>
        <v/>
      </c>
      <c r="C26" s="140">
        <f>IF(INDEX(Tabla!G9:G$1048576,$AB$25)=0,"",INDEX(Tabla!G9:G$1048576,$AB$25))</f>
        <v>43587</v>
      </c>
      <c r="D26" s="111"/>
      <c r="E26" s="149" t="str">
        <f>TRIM(PROPER(IF(INDEX(Tabla!H9:H$1048576,$AB$25)=0,"",INDEX(Tabla!H9:H$1048576,$AB$25))))</f>
        <v>Servicios Personales</v>
      </c>
      <c r="F26" s="110"/>
      <c r="G26" s="110"/>
      <c r="H26" s="110"/>
      <c r="I26" s="110"/>
      <c r="J26" s="149" t="str">
        <f>TRIM(PROPER(IF(INDEX(Tabla!I9:I$1048576,$AB$25)=0,"",INDEX(Tabla!I9:I$1048576,$AB$25))))</f>
        <v>Alimentacion De Empleados Cta Nueva</v>
      </c>
      <c r="K26" s="110"/>
      <c r="L26" s="110"/>
      <c r="M26" s="110"/>
      <c r="N26" s="110"/>
      <c r="O26" s="110"/>
      <c r="P26" s="149" t="str">
        <f>TRIM(PROPER(IF(INDEX(Tabla!J9:J$1048576,$AB$25)=0,"",INDEX(Tabla!J9:J$1048576,$AB$25))))</f>
        <v>Transacciones Del Dia 05/02/2019Spyral - Gestion Administrativa</v>
      </c>
      <c r="Q26" s="110"/>
      <c r="R26" s="110"/>
      <c r="S26" s="110"/>
      <c r="T26" s="110"/>
      <c r="U26" s="110"/>
      <c r="V26" s="110"/>
      <c r="W26" s="154"/>
      <c r="X26" s="127">
        <f>IF(INDEX(Tabla!K9:K$1048576,$AB$25)=0,"",INDEX(Tabla!K9:K$1048576,$AB$25))</f>
        <v>16</v>
      </c>
      <c r="Y26" s="150"/>
      <c r="Z26" s="128">
        <f>IF(INDEX(Tabla!L9:L$1048576,$AB$25)="","",INDEX(Tabla!L9:L$1048576,$AB$25))</f>
        <v>0</v>
      </c>
      <c r="AA26" s="141"/>
      <c r="AB26" s="45"/>
      <c r="AC26" s="87"/>
    </row>
    <row r="27" spans="2:29" ht="27" customHeight="1" x14ac:dyDescent="0.3">
      <c r="B27" s="91" t="str">
        <f t="shared" si="0"/>
        <v/>
      </c>
      <c r="C27" s="140">
        <f>IF(INDEX(Tabla!G10:G$1048576,$AB$25)=0,"",INDEX(Tabla!G10:G$1048576,$AB$25))</f>
        <v>43587</v>
      </c>
      <c r="D27" s="111"/>
      <c r="E27" s="149" t="str">
        <f>TRIM(PROPER(IF(INDEX(Tabla!H10:H$1048576,$AB$25)=0,"",INDEX(Tabla!H10:H$1048576,$AB$25))))</f>
        <v>Servicios Personales</v>
      </c>
      <c r="F27" s="110"/>
      <c r="G27" s="110"/>
      <c r="H27" s="110"/>
      <c r="I27" s="110"/>
      <c r="J27" s="149" t="str">
        <f>TRIM(PROPER(IF(INDEX(Tabla!I10:I$1048576,$AB$25)=0,"",INDEX(Tabla!I10:I$1048576,$AB$25))))</f>
        <v>Alimentacion De Empleados Cta Nueva</v>
      </c>
      <c r="K27" s="110"/>
      <c r="L27" s="110"/>
      <c r="M27" s="110"/>
      <c r="N27" s="110"/>
      <c r="O27" s="110"/>
      <c r="P27" s="149" t="str">
        <f>TRIM(PROPER(IF(INDEX(Tabla!J10:J$1048576,$AB$25)=0,"",INDEX(Tabla!J10:J$1048576,$AB$25))))</f>
        <v>Transacciones Del Dia 05/02/2019Spyral - Gestion Administrativa</v>
      </c>
      <c r="Q27" s="110"/>
      <c r="R27" s="110"/>
      <c r="S27" s="110"/>
      <c r="T27" s="110"/>
      <c r="U27" s="110"/>
      <c r="V27" s="110"/>
      <c r="W27" s="154"/>
      <c r="X27" s="127">
        <f>IF(INDEX(Tabla!K10:K$1048576,$AB$25)=0,"",INDEX(Tabla!K10:K$1048576,$AB$25))</f>
        <v>8</v>
      </c>
      <c r="Y27" s="150"/>
      <c r="Z27" s="128">
        <f>IF(INDEX(Tabla!L10:L$1048576,$AB$25)="","",INDEX(Tabla!L10:L$1048576,$AB$25))</f>
        <v>0</v>
      </c>
      <c r="AA27" s="141"/>
      <c r="AB27" s="45"/>
      <c r="AC27" s="87"/>
    </row>
    <row r="28" spans="2:29" ht="27" customHeight="1" x14ac:dyDescent="0.3">
      <c r="B28" s="91" t="str">
        <f t="shared" si="0"/>
        <v/>
      </c>
      <c r="C28" s="140">
        <f>IF(INDEX(Tabla!G11:G$1048576,$AB$25)=0,"",INDEX(Tabla!G11:G$1048576,$AB$25))</f>
        <v>43587</v>
      </c>
      <c r="D28" s="111"/>
      <c r="E28" s="149" t="str">
        <f>TRIM(PROPER(IF(INDEX(Tabla!H11:H$1048576,$AB$25)=0,"",INDEX(Tabla!H11:H$1048576,$AB$25))))</f>
        <v>Segmento De Negocios</v>
      </c>
      <c r="F28" s="110"/>
      <c r="G28" s="110"/>
      <c r="H28" s="110"/>
      <c r="I28" s="110"/>
      <c r="J28" s="149" t="str">
        <f>TRIM(PROPER(IF(INDEX(Tabla!I11:I$1048576,$AB$25)=0,"",INDEX(Tabla!I11:I$1048576,$AB$25))))</f>
        <v>Viaticos 2</v>
      </c>
      <c r="K28" s="110"/>
      <c r="L28" s="110"/>
      <c r="M28" s="110"/>
      <c r="N28" s="110"/>
      <c r="O28" s="110"/>
      <c r="P28" s="149" t="str">
        <f>TRIM(PROPER(IF(INDEX(Tabla!J11:J$1048576,$AB$25)=0,"",INDEX(Tabla!J11:J$1048576,$AB$25))))</f>
        <v>Transacciones Del Dia 05/02/2019Spyral - Gestion Administrativa</v>
      </c>
      <c r="Q28" s="110"/>
      <c r="R28" s="110"/>
      <c r="S28" s="110"/>
      <c r="T28" s="110"/>
      <c r="U28" s="110"/>
      <c r="V28" s="110"/>
      <c r="W28" s="154"/>
      <c r="X28" s="127">
        <f>IF(INDEX(Tabla!K11:K$1048576,$AB$25)=0,"",INDEX(Tabla!K11:K$1048576,$AB$25))</f>
        <v>22.5</v>
      </c>
      <c r="Y28" s="150"/>
      <c r="Z28" s="128">
        <f>IF(INDEX(Tabla!L11:L$1048576,$AB$25)="","",INDEX(Tabla!L11:L$1048576,$AB$25))</f>
        <v>0</v>
      </c>
      <c r="AA28" s="141"/>
      <c r="AB28" s="45"/>
      <c r="AC28" s="87"/>
    </row>
    <row r="29" spans="2:29" ht="27" customHeight="1" x14ac:dyDescent="0.3">
      <c r="B29" s="91" t="str">
        <f t="shared" si="0"/>
        <v/>
      </c>
      <c r="C29" s="140">
        <f>IF(INDEX(Tabla!G12:G$1048576,$AB$25)=0,"",INDEX(Tabla!G12:G$1048576,$AB$25))</f>
        <v>43587</v>
      </c>
      <c r="D29" s="111"/>
      <c r="E29" s="149" t="str">
        <f>TRIM(PROPER(IF(INDEX(Tabla!H12:H$1048576,$AB$25)=0,"",INDEX(Tabla!H12:H$1048576,$AB$25))))</f>
        <v>Mercadeo</v>
      </c>
      <c r="F29" s="110"/>
      <c r="G29" s="110"/>
      <c r="H29" s="110"/>
      <c r="I29" s="110"/>
      <c r="J29" s="149" t="str">
        <f>TRIM(PROPER(IF(INDEX(Tabla!I12:I$1048576,$AB$25)=0,"",INDEX(Tabla!I12:I$1048576,$AB$25))))</f>
        <v>Viaticos 2</v>
      </c>
      <c r="K29" s="110"/>
      <c r="L29" s="110"/>
      <c r="M29" s="110"/>
      <c r="N29" s="110"/>
      <c r="O29" s="110"/>
      <c r="P29" s="149" t="str">
        <f>TRIM(PROPER(IF(INDEX(Tabla!J12:J$1048576,$AB$25)=0,"",INDEX(Tabla!J12:J$1048576,$AB$25))))</f>
        <v>Transacciones Del Dia 05/02/2019Spyral - Gestion Administrativa</v>
      </c>
      <c r="Q29" s="110"/>
      <c r="R29" s="110"/>
      <c r="S29" s="110"/>
      <c r="T29" s="110"/>
      <c r="U29" s="110"/>
      <c r="V29" s="110"/>
      <c r="W29" s="154"/>
      <c r="X29" s="127">
        <f>IF(INDEX(Tabla!K12:K$1048576,$AB$25)=0,"",INDEX(Tabla!K12:K$1048576,$AB$25))</f>
        <v>14</v>
      </c>
      <c r="Y29" s="150"/>
      <c r="Z29" s="128">
        <f>IF(INDEX(Tabla!L12:L$1048576,$AB$25)="","",INDEX(Tabla!L12:L$1048576,$AB$25))</f>
        <v>0</v>
      </c>
      <c r="AA29" s="141"/>
      <c r="AB29" s="45"/>
      <c r="AC29" s="87"/>
    </row>
    <row r="30" spans="2:29" ht="27" customHeight="1" thickBot="1" x14ac:dyDescent="0.35">
      <c r="B30" s="91" t="str">
        <f t="shared" si="0"/>
        <v/>
      </c>
      <c r="C30" s="142">
        <f>IF(INDEX(Tabla!G13:G$1048576,$AB$25)=0,"",INDEX(Tabla!G13:G$1048576,$AB$25))</f>
        <v>43587</v>
      </c>
      <c r="D30" s="143"/>
      <c r="E30" s="151" t="str">
        <f>TRIM(PROPER(IF(INDEX(Tabla!H13:H$1048576,$AB$25)=0,"",INDEX(Tabla!H13:H$1048576,$AB$25))))</f>
        <v>Gestion Hipotecaria</v>
      </c>
      <c r="F30" s="144"/>
      <c r="G30" s="144"/>
      <c r="H30" s="144"/>
      <c r="I30" s="144"/>
      <c r="J30" s="151" t="str">
        <f>TRIM(PROPER(IF(INDEX(Tabla!I13:I$1048576,$AB$25)=0,"",INDEX(Tabla!I13:I$1048576,$AB$25))))</f>
        <v>Gastos No Deducibles</v>
      </c>
      <c r="K30" s="144"/>
      <c r="L30" s="144"/>
      <c r="M30" s="144"/>
      <c r="N30" s="144"/>
      <c r="O30" s="144"/>
      <c r="P30" s="151" t="str">
        <f>TRIM(PROPER(IF(INDEX(Tabla!J13:J$1048576,$AB$25)=0,"",INDEX(Tabla!J13:J$1048576,$AB$25))))</f>
        <v>Transacciones Del Dia 05/02/2019Spyral - Gestion Administrativa</v>
      </c>
      <c r="Q30" s="144"/>
      <c r="R30" s="144"/>
      <c r="S30" s="144"/>
      <c r="T30" s="144"/>
      <c r="U30" s="144"/>
      <c r="V30" s="144"/>
      <c r="W30" s="155"/>
      <c r="X30" s="145">
        <f>IF(INDEX(Tabla!K13:K$1048576,$AB$25)=0,"",INDEX(Tabla!K13:K$1048576,$AB$25))</f>
        <v>92</v>
      </c>
      <c r="Y30" s="152"/>
      <c r="Z30" s="146">
        <f>IF(INDEX(Tabla!L13:L$1048576,$AB$25)="","",INDEX(Tabla!L13:L$1048576,$AB$25))</f>
        <v>0</v>
      </c>
      <c r="AA30" s="147"/>
      <c r="AB30" s="45"/>
      <c r="AC30" s="87"/>
    </row>
    <row r="31" spans="2:29" x14ac:dyDescent="0.3">
      <c r="B31" s="9"/>
      <c r="C31" s="130"/>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c r="AB31" s="9"/>
      <c r="AC31" s="9"/>
    </row>
    <row r="32" spans="2:29" ht="30" customHeight="1" x14ac:dyDescent="0.3">
      <c r="B32" s="9"/>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9"/>
      <c r="AC32" s="9"/>
    </row>
    <row r="34" spans="3:27" x14ac:dyDescent="0.3">
      <c r="C34" s="129">
        <v>6</v>
      </c>
      <c r="D34" s="129"/>
      <c r="E34" s="131">
        <v>5</v>
      </c>
      <c r="F34" s="131"/>
      <c r="G34" s="131"/>
      <c r="H34" s="131"/>
      <c r="I34" s="131"/>
      <c r="J34" s="129">
        <v>1</v>
      </c>
      <c r="K34" s="129"/>
      <c r="L34" s="129"/>
      <c r="M34" s="129"/>
      <c r="N34" s="129"/>
      <c r="O34" s="129"/>
      <c r="P34" s="129">
        <v>2</v>
      </c>
      <c r="Q34" s="129"/>
      <c r="R34" s="129"/>
      <c r="S34" s="129"/>
      <c r="T34" s="129"/>
      <c r="U34" s="129"/>
      <c r="V34" s="129"/>
      <c r="W34" s="129"/>
      <c r="X34" s="129">
        <v>3</v>
      </c>
      <c r="Y34" s="129"/>
      <c r="Z34" s="129">
        <v>4</v>
      </c>
      <c r="AA34" s="129"/>
    </row>
  </sheetData>
  <sheetProtection selectLockedCells="1" selectUnlockedCells="1"/>
  <dataConsolidate/>
  <mergeCells count="103">
    <mergeCell ref="Z34:AA34"/>
    <mergeCell ref="Z31:AA31"/>
    <mergeCell ref="C34:D34"/>
    <mergeCell ref="E34:I34"/>
    <mergeCell ref="J34:O34"/>
    <mergeCell ref="C31:D31"/>
    <mergeCell ref="E31:I31"/>
    <mergeCell ref="J31:O31"/>
    <mergeCell ref="P31:W31"/>
    <mergeCell ref="X31:Y31"/>
    <mergeCell ref="P34:W34"/>
    <mergeCell ref="X34:Y34"/>
    <mergeCell ref="X27:Y27"/>
    <mergeCell ref="X28:Y28"/>
    <mergeCell ref="Y20:AB20"/>
    <mergeCell ref="Z25:AA25"/>
    <mergeCell ref="Z26:AA26"/>
    <mergeCell ref="Z27:AA27"/>
    <mergeCell ref="Z28:AA28"/>
    <mergeCell ref="Z29:AA29"/>
    <mergeCell ref="Z30:AA30"/>
    <mergeCell ref="X26:Y26"/>
    <mergeCell ref="X29:Y29"/>
    <mergeCell ref="X30:Y30"/>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C26:D26"/>
    <mergeCell ref="E26:I26"/>
    <mergeCell ref="C27:D27"/>
    <mergeCell ref="C28:D28"/>
    <mergeCell ref="C30:D30"/>
    <mergeCell ref="C29:D29"/>
    <mergeCell ref="E27:I27"/>
    <mergeCell ref="E28:I28"/>
    <mergeCell ref="E29:I29"/>
    <mergeCell ref="E30:I30"/>
    <mergeCell ref="P26:W26"/>
    <mergeCell ref="P27:W27"/>
    <mergeCell ref="P28:W28"/>
    <mergeCell ref="P29:W29"/>
    <mergeCell ref="P30:W30"/>
    <mergeCell ref="J26:O26"/>
    <mergeCell ref="J27:O27"/>
    <mergeCell ref="J28:O28"/>
    <mergeCell ref="J29:O29"/>
    <mergeCell ref="J30:O30"/>
  </mergeCells>
  <conditionalFormatting sqref="E11:AB13 E10:J10 L10:AB10">
    <cfRule type="expression" dxfId="10" priority="41">
      <formula>E$9=valSelOption</formula>
    </cfRule>
  </conditionalFormatting>
  <conditionalFormatting sqref="E14:AB18">
    <cfRule type="expression" dxfId="9" priority="19">
      <formula>E$9=valSelOption</formula>
    </cfRule>
  </conditionalFormatting>
  <conditionalFormatting sqref="E19:AB19">
    <cfRule type="expression" dxfId="8" priority="6">
      <formula>E$9=valSelOption</formula>
    </cfRule>
  </conditionalFormatting>
  <conditionalFormatting sqref="E20:AB20">
    <cfRule type="expression" dxfId="7" priority="5">
      <formula>E$9=valSelOption</formula>
    </cfRule>
  </conditionalFormatting>
  <conditionalFormatting sqref="AB26:AB30 C26:C30 E26:E30 X26:X30 P26:P30 J26:J30 Z26:Z30">
    <cfRule type="expression" dxfId="6" priority="3">
      <formula>ROW(C26)=valRowGrid</formula>
    </cfRule>
  </conditionalFormatting>
  <conditionalFormatting sqref="C30">
    <cfRule type="expression" dxfId="5" priority="1">
      <formula>ROW(C30)=valRowGrid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22860</xdr:colOff>
                    <xdr:row>23</xdr:row>
                    <xdr:rowOff>182880</xdr:rowOff>
                  </from>
                  <to>
                    <xdr:col>28</xdr:col>
                    <xdr:colOff>30480</xdr:colOff>
                    <xdr:row>30</xdr:row>
                    <xdr:rowOff>22860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24</xdr:col>
                    <xdr:colOff>441960</xdr:colOff>
                    <xdr:row>1</xdr:row>
                    <xdr:rowOff>160020</xdr:rowOff>
                  </from>
                  <to>
                    <xdr:col>28</xdr:col>
                    <xdr:colOff>45720</xdr:colOff>
                    <xdr:row>3</xdr:row>
                    <xdr:rowOff>121920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10</xdr:col>
                    <xdr:colOff>525780</xdr:colOff>
                    <xdr:row>36</xdr:row>
                    <xdr:rowOff>68580</xdr:rowOff>
                  </from>
                  <to>
                    <xdr:col>11</xdr:col>
                    <xdr:colOff>297180</xdr:colOff>
                    <xdr:row>37</xdr:row>
                    <xdr:rowOff>121920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17</xdr:col>
                    <xdr:colOff>106680</xdr:colOff>
                    <xdr:row>36</xdr:row>
                    <xdr:rowOff>68580</xdr:rowOff>
                  </from>
                  <to>
                    <xdr:col>17</xdr:col>
                    <xdr:colOff>426720</xdr:colOff>
                    <xdr:row>37</xdr:row>
                    <xdr:rowOff>121920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25</xdr:col>
                    <xdr:colOff>53340</xdr:colOff>
                    <xdr:row>36</xdr:row>
                    <xdr:rowOff>68580</xdr:rowOff>
                  </from>
                  <to>
                    <xdr:col>25</xdr:col>
                    <xdr:colOff>373380</xdr:colOff>
                    <xdr:row>37</xdr:row>
                    <xdr:rowOff>121920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441960</xdr:colOff>
                    <xdr:row>36</xdr:row>
                    <xdr:rowOff>68580</xdr:rowOff>
                  </from>
                  <to>
                    <xdr:col>27</xdr:col>
                    <xdr:colOff>220980</xdr:colOff>
                    <xdr:row>37</xdr:row>
                    <xdr:rowOff>121920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6</xdr:col>
                    <xdr:colOff>53340</xdr:colOff>
                    <xdr:row>36</xdr:row>
                    <xdr:rowOff>76200</xdr:rowOff>
                  </from>
                  <to>
                    <xdr:col>6</xdr:col>
                    <xdr:colOff>365760</xdr:colOff>
                    <xdr:row>37</xdr:row>
                    <xdr:rowOff>121920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36</xdr:row>
                    <xdr:rowOff>68580</xdr:rowOff>
                  </from>
                  <to>
                    <xdr:col>4</xdr:col>
                    <xdr:colOff>198120</xdr:colOff>
                    <xdr:row>37</xdr:row>
                    <xdr:rowOff>121920</xdr:rowOff>
                  </to>
                </anchor>
              </controlPr>
            </control>
          </mc:Choice>
        </mc:AlternateContent>
        <mc:AlternateContent xmlns:mc="http://schemas.openxmlformats.org/markup-compatibility/2006">
          <mc:Choice Requires="x14">
            <control shapeId="2063" r:id="rId12" name="List Box 15">
              <controlPr defaultSize="0" autoLine="0" autoPict="0">
                <anchor moveWithCells="1">
                  <from>
                    <xdr:col>16</xdr:col>
                    <xdr:colOff>137160</xdr:colOff>
                    <xdr:row>21</xdr:row>
                    <xdr:rowOff>220980</xdr:rowOff>
                  </from>
                  <to>
                    <xdr:col>19</xdr:col>
                    <xdr:colOff>137160</xdr:colOff>
                    <xdr:row>23</xdr:row>
                    <xdr:rowOff>68580</xdr:rowOff>
                  </to>
                </anchor>
              </controlPr>
            </control>
          </mc:Choice>
        </mc:AlternateContent>
        <mc:AlternateContent xmlns:mc="http://schemas.openxmlformats.org/markup-compatibility/2006">
          <mc:Choice Requires="x14">
            <control shapeId="2064" r:id="rId13" name="Drop Down 16">
              <controlPr defaultSize="0" autoLine="0" autoPict="0" macro="[0]!FiltrarMes">
                <anchor moveWithCells="1">
                  <from>
                    <xdr:col>24</xdr:col>
                    <xdr:colOff>22860</xdr:colOff>
                    <xdr:row>22</xdr:row>
                    <xdr:rowOff>7620</xdr:rowOff>
                  </from>
                  <to>
                    <xdr:col>27</xdr:col>
                    <xdr:colOff>106680</xdr:colOff>
                    <xdr:row>23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C26:C30 E26:E30 X26:X30 P26:P30 J26:J30 Z26:Z30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B2:AP7500"/>
  <sheetViews>
    <sheetView zoomScale="70" zoomScaleNormal="70" workbookViewId="0">
      <selection activeCell="C31" sqref="B28:C31"/>
    </sheetView>
  </sheetViews>
  <sheetFormatPr baseColWidth="10" defaultRowHeight="14.4" x14ac:dyDescent="0.3"/>
  <cols>
    <col min="2" max="2" width="28.6640625" bestFit="1" customWidth="1"/>
    <col min="3" max="3" width="21.6640625" bestFit="1" customWidth="1"/>
    <col min="4" max="4" width="17.33203125" bestFit="1" customWidth="1"/>
    <col min="7" max="7" width="20.88671875" customWidth="1"/>
    <col min="8" max="8" width="30.6640625" customWidth="1"/>
    <col min="9" max="9" width="43.88671875" customWidth="1"/>
    <col min="10" max="10" width="30.6640625" customWidth="1"/>
    <col min="11" max="11" width="12.44140625" bestFit="1" customWidth="1"/>
    <col min="12" max="12" width="13.109375" bestFit="1" customWidth="1"/>
    <col min="15" max="15" width="12.5546875" customWidth="1"/>
    <col min="16" max="16" width="26.109375" customWidth="1"/>
    <col min="19" max="19" width="3.88671875" bestFit="1" customWidth="1"/>
    <col min="20" max="20" width="28" bestFit="1" customWidth="1"/>
    <col min="23" max="23" width="11.6640625" bestFit="1" customWidth="1"/>
    <col min="24" max="24" width="3.88671875" bestFit="1" customWidth="1"/>
  </cols>
  <sheetData>
    <row r="2" spans="2:42" x14ac:dyDescent="0.3">
      <c r="AD2" s="10"/>
      <c r="AE2" s="9"/>
      <c r="AF2" s="9"/>
      <c r="AG2" s="9"/>
      <c r="AH2" s="9"/>
      <c r="AI2" s="9"/>
    </row>
    <row r="3" spans="2:42" x14ac:dyDescent="0.3">
      <c r="AG3" s="9"/>
      <c r="AH3" s="9"/>
      <c r="AI3" s="9"/>
    </row>
    <row r="4" spans="2:42" x14ac:dyDescent="0.3">
      <c r="C4" s="9"/>
      <c r="G4" s="46" t="s">
        <v>94</v>
      </c>
      <c r="H4" s="1">
        <v>2019</v>
      </c>
      <c r="AD4" s="46" t="s">
        <v>47</v>
      </c>
      <c r="AE4" s="1">
        <v>2018</v>
      </c>
      <c r="AF4" s="9"/>
      <c r="AG4" s="9"/>
      <c r="AH4" s="9"/>
      <c r="AI4" s="9"/>
      <c r="AJ4" s="46" t="s">
        <v>49</v>
      </c>
      <c r="AK4" t="s">
        <v>48</v>
      </c>
    </row>
    <row r="5" spans="2:42" x14ac:dyDescent="0.3">
      <c r="B5" s="46" t="s">
        <v>94</v>
      </c>
      <c r="C5" t="s">
        <v>148</v>
      </c>
      <c r="G5" s="46" t="s">
        <v>92</v>
      </c>
      <c r="H5" t="s">
        <v>93</v>
      </c>
      <c r="AD5" s="46" t="s">
        <v>36</v>
      </c>
      <c r="AE5" s="1">
        <v>38</v>
      </c>
      <c r="AF5" s="9"/>
      <c r="AG5" s="9"/>
      <c r="AH5" s="9"/>
      <c r="AI5" s="9"/>
      <c r="AJ5" s="46" t="s">
        <v>35</v>
      </c>
      <c r="AK5" s="1">
        <v>38</v>
      </c>
    </row>
    <row r="6" spans="2:42" x14ac:dyDescent="0.3">
      <c r="B6" s="46" t="s">
        <v>92</v>
      </c>
      <c r="C6" t="s">
        <v>93</v>
      </c>
      <c r="G6" s="46" t="s">
        <v>138</v>
      </c>
      <c r="H6" s="1">
        <v>5</v>
      </c>
      <c r="T6" s="46" t="s">
        <v>94</v>
      </c>
      <c r="U6" s="1">
        <v>2019</v>
      </c>
      <c r="AD6" s="9"/>
      <c r="AE6" s="9"/>
      <c r="AF6" s="9"/>
      <c r="AG6" s="9"/>
      <c r="AH6" s="9"/>
      <c r="AI6" s="9"/>
    </row>
    <row r="7" spans="2:42" x14ac:dyDescent="0.3">
      <c r="AD7" s="46" t="s">
        <v>37</v>
      </c>
      <c r="AE7" t="s">
        <v>42</v>
      </c>
      <c r="AF7" t="s">
        <v>41</v>
      </c>
      <c r="AG7" s="9"/>
      <c r="AH7" s="9"/>
      <c r="AI7" s="9"/>
      <c r="AJ7" s="46" t="s">
        <v>76</v>
      </c>
      <c r="AK7" s="46" t="s">
        <v>58</v>
      </c>
      <c r="AL7" s="46" t="s">
        <v>59</v>
      </c>
      <c r="AM7" s="46" t="s">
        <v>60</v>
      </c>
      <c r="AN7" s="46" t="s">
        <v>65</v>
      </c>
      <c r="AO7" t="s">
        <v>74</v>
      </c>
      <c r="AP7" t="s">
        <v>75</v>
      </c>
    </row>
    <row r="8" spans="2:42" x14ac:dyDescent="0.3">
      <c r="B8" s="46" t="s">
        <v>37</v>
      </c>
      <c r="C8" t="s">
        <v>95</v>
      </c>
      <c r="D8" t="s">
        <v>91</v>
      </c>
      <c r="G8" s="46" t="s">
        <v>37</v>
      </c>
      <c r="H8" s="46" t="s">
        <v>137</v>
      </c>
      <c r="I8" s="46" t="s">
        <v>18</v>
      </c>
      <c r="J8" s="46" t="s">
        <v>17</v>
      </c>
      <c r="K8" s="46" t="s">
        <v>136</v>
      </c>
      <c r="L8" s="46" t="s">
        <v>135</v>
      </c>
      <c r="P8" s="46" t="s">
        <v>37</v>
      </c>
      <c r="T8" s="46" t="s">
        <v>147</v>
      </c>
      <c r="AD8" s="1" t="s">
        <v>38</v>
      </c>
      <c r="AE8" s="48">
        <v>32</v>
      </c>
      <c r="AF8" s="48">
        <v>206.6756</v>
      </c>
      <c r="AG8" s="9"/>
      <c r="AH8" s="9"/>
      <c r="AI8" s="9"/>
      <c r="AJ8">
        <v>1</v>
      </c>
      <c r="AK8" s="49" t="s">
        <v>57</v>
      </c>
      <c r="AL8" t="s">
        <v>26</v>
      </c>
      <c r="AM8" t="s">
        <v>64</v>
      </c>
      <c r="AN8" t="s">
        <v>73</v>
      </c>
      <c r="AO8" s="48">
        <v>17.399999999999999</v>
      </c>
      <c r="AP8" s="48">
        <v>0</v>
      </c>
    </row>
    <row r="9" spans="2:42" x14ac:dyDescent="0.3">
      <c r="B9" s="1" t="s">
        <v>40</v>
      </c>
      <c r="C9" s="94">
        <v>10660.679999999998</v>
      </c>
      <c r="D9" s="94">
        <v>68352.317599999995</v>
      </c>
      <c r="G9" s="93">
        <v>43587</v>
      </c>
      <c r="H9" t="s">
        <v>25</v>
      </c>
      <c r="I9" t="s">
        <v>61</v>
      </c>
      <c r="J9" t="s">
        <v>183</v>
      </c>
      <c r="K9" s="95">
        <v>16</v>
      </c>
      <c r="L9" s="94">
        <v>0</v>
      </c>
      <c r="O9">
        <v>1</v>
      </c>
      <c r="P9" s="1">
        <v>2018</v>
      </c>
      <c r="S9">
        <v>1</v>
      </c>
      <c r="T9" s="1" t="s">
        <v>141</v>
      </c>
      <c r="U9">
        <f>IFERROR(VLOOKUP(T9,$W$9:$X$20,2,0),"")</f>
        <v>1</v>
      </c>
      <c r="W9" s="1" t="s">
        <v>141</v>
      </c>
      <c r="X9">
        <v>1</v>
      </c>
      <c r="AD9" s="1" t="s">
        <v>46</v>
      </c>
      <c r="AE9" s="48">
        <v>0</v>
      </c>
      <c r="AF9" s="48">
        <v>197</v>
      </c>
      <c r="AG9" s="9"/>
      <c r="AH9" s="9"/>
      <c r="AI9" s="9"/>
      <c r="AJ9">
        <v>26</v>
      </c>
      <c r="AK9" s="49" t="s">
        <v>54</v>
      </c>
      <c r="AL9" t="s">
        <v>24</v>
      </c>
      <c r="AM9" t="s">
        <v>61</v>
      </c>
      <c r="AN9" t="s">
        <v>70</v>
      </c>
      <c r="AO9" s="48">
        <v>8</v>
      </c>
      <c r="AP9" s="48">
        <v>0</v>
      </c>
    </row>
    <row r="10" spans="2:42" x14ac:dyDescent="0.3">
      <c r="B10" s="1" t="s">
        <v>90</v>
      </c>
      <c r="C10" s="94">
        <v>39.639999999999972</v>
      </c>
      <c r="D10" s="94">
        <v>9540</v>
      </c>
      <c r="G10" s="93">
        <v>43587</v>
      </c>
      <c r="H10" t="s">
        <v>25</v>
      </c>
      <c r="I10" t="s">
        <v>61</v>
      </c>
      <c r="J10" t="s">
        <v>183</v>
      </c>
      <c r="K10" s="95">
        <v>8</v>
      </c>
      <c r="L10" s="94">
        <v>0</v>
      </c>
      <c r="O10">
        <f t="shared" ref="O10:O73" si="0">IF(P10="","",O9+1)</f>
        <v>2</v>
      </c>
      <c r="P10" s="1">
        <v>2019</v>
      </c>
      <c r="S10">
        <v>2</v>
      </c>
      <c r="T10" s="1" t="s">
        <v>142</v>
      </c>
      <c r="U10">
        <f t="shared" ref="U10:U20" si="1">IFERROR(VLOOKUP(T10,$W$9:$X$20,2,0),"")</f>
        <v>2</v>
      </c>
      <c r="W10" s="1" t="s">
        <v>142</v>
      </c>
      <c r="X10">
        <v>2</v>
      </c>
      <c r="AD10" s="1" t="s">
        <v>45</v>
      </c>
      <c r="AE10" s="48">
        <v>0</v>
      </c>
      <c r="AF10" s="48">
        <v>1044</v>
      </c>
      <c r="AG10" s="9"/>
      <c r="AH10" s="9"/>
      <c r="AI10" s="9"/>
      <c r="AJ10">
        <v>48</v>
      </c>
      <c r="AK10" s="49" t="s">
        <v>50</v>
      </c>
      <c r="AL10" t="s">
        <v>24</v>
      </c>
      <c r="AM10" t="s">
        <v>61</v>
      </c>
      <c r="AN10" t="s">
        <v>66</v>
      </c>
      <c r="AO10" s="48">
        <v>8</v>
      </c>
      <c r="AP10" s="48">
        <v>0</v>
      </c>
    </row>
    <row r="11" spans="2:42" x14ac:dyDescent="0.3">
      <c r="B11" s="1" t="s">
        <v>39</v>
      </c>
      <c r="C11" s="94">
        <v>44529.229999999996</v>
      </c>
      <c r="D11" s="94">
        <v>498104.36420000001</v>
      </c>
      <c r="G11" s="93">
        <v>43587</v>
      </c>
      <c r="H11" t="s">
        <v>159</v>
      </c>
      <c r="I11" t="s">
        <v>107</v>
      </c>
      <c r="J11" t="s">
        <v>183</v>
      </c>
      <c r="K11" s="95">
        <v>22.5</v>
      </c>
      <c r="L11" s="94">
        <v>0</v>
      </c>
      <c r="O11" t="str">
        <f t="shared" si="0"/>
        <v/>
      </c>
      <c r="S11">
        <v>3</v>
      </c>
      <c r="T11" s="1" t="s">
        <v>143</v>
      </c>
      <c r="U11">
        <f t="shared" si="1"/>
        <v>3</v>
      </c>
      <c r="W11" s="1" t="s">
        <v>143</v>
      </c>
      <c r="X11">
        <v>3</v>
      </c>
      <c r="AD11" s="1" t="s">
        <v>39</v>
      </c>
      <c r="AE11" s="48">
        <v>136.03</v>
      </c>
      <c r="AF11" s="48">
        <v>2706.8566999999998</v>
      </c>
      <c r="AG11" s="9"/>
      <c r="AH11" s="9"/>
      <c r="AI11" s="9"/>
      <c r="AJ11">
        <v>66</v>
      </c>
      <c r="AK11" s="49" t="s">
        <v>53</v>
      </c>
      <c r="AL11" t="s">
        <v>24</v>
      </c>
      <c r="AM11" t="s">
        <v>61</v>
      </c>
      <c r="AN11" t="s">
        <v>69</v>
      </c>
      <c r="AO11" s="48">
        <v>8</v>
      </c>
      <c r="AP11" s="48">
        <v>0</v>
      </c>
    </row>
    <row r="12" spans="2:42" x14ac:dyDescent="0.3">
      <c r="B12" s="1" t="s">
        <v>89</v>
      </c>
      <c r="C12" s="94">
        <v>9098.8599999999988</v>
      </c>
      <c r="D12" s="94">
        <v>93024</v>
      </c>
      <c r="G12" s="93">
        <v>43587</v>
      </c>
      <c r="H12" t="s">
        <v>176</v>
      </c>
      <c r="I12" t="s">
        <v>107</v>
      </c>
      <c r="J12" t="s">
        <v>183</v>
      </c>
      <c r="K12" s="95">
        <v>14</v>
      </c>
      <c r="L12" s="94">
        <v>0</v>
      </c>
      <c r="O12" t="str">
        <f t="shared" si="0"/>
        <v/>
      </c>
      <c r="S12">
        <v>4</v>
      </c>
      <c r="T12" s="1" t="s">
        <v>144</v>
      </c>
      <c r="U12">
        <f t="shared" si="1"/>
        <v>4</v>
      </c>
      <c r="W12" s="1" t="s">
        <v>144</v>
      </c>
      <c r="X12">
        <v>4</v>
      </c>
      <c r="AD12" s="1" t="s">
        <v>44</v>
      </c>
      <c r="AE12" s="48">
        <v>0</v>
      </c>
      <c r="AF12" s="48">
        <v>50</v>
      </c>
      <c r="AG12" s="9"/>
      <c r="AH12" s="9"/>
      <c r="AI12" s="9"/>
      <c r="AJ12">
        <v>81</v>
      </c>
      <c r="AK12" s="49" t="s">
        <v>51</v>
      </c>
      <c r="AL12" t="s">
        <v>24</v>
      </c>
      <c r="AM12" t="s">
        <v>40</v>
      </c>
      <c r="AN12" t="s">
        <v>67</v>
      </c>
      <c r="AO12" s="48">
        <v>147.9</v>
      </c>
      <c r="AP12" s="48">
        <v>0</v>
      </c>
    </row>
    <row r="13" spans="2:42" x14ac:dyDescent="0.3">
      <c r="B13" s="1" t="s">
        <v>88</v>
      </c>
      <c r="C13" s="94"/>
      <c r="D13" s="94">
        <v>17628</v>
      </c>
      <c r="G13" s="93">
        <v>43587</v>
      </c>
      <c r="H13" t="s">
        <v>123</v>
      </c>
      <c r="I13" t="s">
        <v>106</v>
      </c>
      <c r="J13" t="s">
        <v>183</v>
      </c>
      <c r="K13" s="95">
        <v>92</v>
      </c>
      <c r="L13" s="94">
        <v>0</v>
      </c>
      <c r="O13" t="str">
        <f t="shared" si="0"/>
        <v/>
      </c>
      <c r="S13">
        <v>5</v>
      </c>
      <c r="T13" s="1" t="s">
        <v>145</v>
      </c>
      <c r="U13">
        <f t="shared" si="1"/>
        <v>5</v>
      </c>
      <c r="W13" s="1" t="s">
        <v>145</v>
      </c>
      <c r="X13">
        <v>5</v>
      </c>
      <c r="AD13" s="1" t="s">
        <v>43</v>
      </c>
      <c r="AE13" s="48">
        <v>165.3</v>
      </c>
      <c r="AF13" s="48">
        <v>1391.5451</v>
      </c>
      <c r="AG13" s="9"/>
      <c r="AH13" s="9"/>
      <c r="AI13" s="9"/>
      <c r="AJ13">
        <v>403</v>
      </c>
      <c r="AK13" s="49" t="s">
        <v>55</v>
      </c>
      <c r="AL13" t="s">
        <v>24</v>
      </c>
      <c r="AM13" t="s">
        <v>61</v>
      </c>
      <c r="AN13" t="s">
        <v>71</v>
      </c>
      <c r="AO13" s="48">
        <v>8</v>
      </c>
      <c r="AP13" s="48">
        <v>0</v>
      </c>
    </row>
    <row r="14" spans="2:42" x14ac:dyDescent="0.3">
      <c r="B14" s="1" t="s">
        <v>38</v>
      </c>
      <c r="C14" s="94">
        <v>10818.300000000003</v>
      </c>
      <c r="D14" s="94">
        <v>93231.416199999963</v>
      </c>
      <c r="G14" s="93">
        <v>43587</v>
      </c>
      <c r="H14" t="s">
        <v>113</v>
      </c>
      <c r="I14" t="s">
        <v>107</v>
      </c>
      <c r="J14" t="s">
        <v>183</v>
      </c>
      <c r="K14" s="95">
        <v>10</v>
      </c>
      <c r="L14" s="94">
        <v>0</v>
      </c>
      <c r="O14" t="str">
        <f t="shared" si="0"/>
        <v/>
      </c>
      <c r="S14">
        <v>6</v>
      </c>
      <c r="T14" s="1" t="s">
        <v>139</v>
      </c>
      <c r="U14">
        <f t="shared" si="1"/>
        <v>6</v>
      </c>
      <c r="W14" s="1" t="s">
        <v>139</v>
      </c>
      <c r="X14">
        <v>6</v>
      </c>
      <c r="AG14" s="9"/>
      <c r="AH14" s="9"/>
      <c r="AI14" s="9"/>
      <c r="AJ14">
        <v>532</v>
      </c>
      <c r="AK14" s="49" t="s">
        <v>52</v>
      </c>
      <c r="AL14" t="s">
        <v>24</v>
      </c>
      <c r="AM14" t="s">
        <v>62</v>
      </c>
      <c r="AN14" t="s">
        <v>68</v>
      </c>
      <c r="AO14" s="48">
        <v>30.02</v>
      </c>
      <c r="AP14" s="48">
        <v>0</v>
      </c>
    </row>
    <row r="15" spans="2:42" x14ac:dyDescent="0.3">
      <c r="G15" s="93">
        <v>43587</v>
      </c>
      <c r="H15" t="s">
        <v>120</v>
      </c>
      <c r="I15" t="s">
        <v>106</v>
      </c>
      <c r="J15" t="s">
        <v>183</v>
      </c>
      <c r="K15" s="95">
        <v>30</v>
      </c>
      <c r="L15" s="94">
        <v>0</v>
      </c>
      <c r="O15" t="str">
        <f t="shared" si="0"/>
        <v/>
      </c>
      <c r="S15">
        <v>7</v>
      </c>
      <c r="T15" s="1" t="s">
        <v>140</v>
      </c>
      <c r="U15">
        <f t="shared" si="1"/>
        <v>7</v>
      </c>
      <c r="W15" s="1" t="s">
        <v>140</v>
      </c>
      <c r="X15">
        <v>7</v>
      </c>
      <c r="AG15" s="9"/>
      <c r="AH15" s="9"/>
      <c r="AI15" s="9"/>
      <c r="AJ15">
        <v>533</v>
      </c>
      <c r="AK15" s="49" t="s">
        <v>56</v>
      </c>
      <c r="AL15" t="s">
        <v>24</v>
      </c>
      <c r="AM15" t="s">
        <v>63</v>
      </c>
      <c r="AN15" t="s">
        <v>72</v>
      </c>
      <c r="AO15" s="48">
        <v>83.43</v>
      </c>
      <c r="AP15" s="48">
        <v>0</v>
      </c>
    </row>
    <row r="16" spans="2:42" x14ac:dyDescent="0.3">
      <c r="G16" s="93">
        <v>43587</v>
      </c>
      <c r="H16" t="s">
        <v>118</v>
      </c>
      <c r="I16" t="s">
        <v>156</v>
      </c>
      <c r="J16" t="s">
        <v>183</v>
      </c>
      <c r="K16" s="95">
        <v>20320</v>
      </c>
      <c r="L16" s="94">
        <v>0</v>
      </c>
      <c r="O16" t="str">
        <f t="shared" si="0"/>
        <v/>
      </c>
      <c r="S16">
        <v>8</v>
      </c>
      <c r="U16" t="str">
        <f t="shared" si="1"/>
        <v/>
      </c>
      <c r="W16" s="1" t="s">
        <v>149</v>
      </c>
      <c r="X16">
        <v>8</v>
      </c>
      <c r="AG16" s="9"/>
      <c r="AH16" s="9"/>
      <c r="AI16" s="9"/>
      <c r="AJ16">
        <v>538</v>
      </c>
      <c r="AK16" s="49" t="s">
        <v>52</v>
      </c>
      <c r="AL16" t="s">
        <v>25</v>
      </c>
      <c r="AM16" t="s">
        <v>62</v>
      </c>
      <c r="AN16" t="s">
        <v>68</v>
      </c>
      <c r="AO16" s="48">
        <v>22.58</v>
      </c>
      <c r="AP16" s="48">
        <v>0</v>
      </c>
    </row>
    <row r="17" spans="7:35" x14ac:dyDescent="0.3">
      <c r="G17" s="93">
        <v>43587</v>
      </c>
      <c r="H17" t="s">
        <v>118</v>
      </c>
      <c r="I17" t="s">
        <v>107</v>
      </c>
      <c r="J17" t="s">
        <v>183</v>
      </c>
      <c r="K17" s="95">
        <v>30.26</v>
      </c>
      <c r="L17" s="94">
        <v>0</v>
      </c>
      <c r="O17" t="str">
        <f t="shared" si="0"/>
        <v/>
      </c>
      <c r="S17">
        <v>9</v>
      </c>
      <c r="U17" t="str">
        <f t="shared" si="1"/>
        <v/>
      </c>
      <c r="W17" s="1" t="s">
        <v>150</v>
      </c>
      <c r="X17">
        <v>9</v>
      </c>
      <c r="AG17" s="9"/>
      <c r="AH17" s="9"/>
      <c r="AI17" s="9"/>
    </row>
    <row r="18" spans="7:35" x14ac:dyDescent="0.3">
      <c r="G18" s="93">
        <v>43587</v>
      </c>
      <c r="H18" t="s">
        <v>24</v>
      </c>
      <c r="I18" t="s">
        <v>61</v>
      </c>
      <c r="J18" t="s">
        <v>183</v>
      </c>
      <c r="K18" s="95">
        <v>88</v>
      </c>
      <c r="L18" s="94">
        <v>0</v>
      </c>
      <c r="O18" t="str">
        <f t="shared" si="0"/>
        <v/>
      </c>
      <c r="S18">
        <v>10</v>
      </c>
      <c r="U18" t="str">
        <f t="shared" si="1"/>
        <v/>
      </c>
      <c r="W18" s="1" t="s">
        <v>151</v>
      </c>
      <c r="X18">
        <v>10</v>
      </c>
      <c r="AG18" s="9"/>
      <c r="AH18" s="9"/>
      <c r="AI18" s="9"/>
    </row>
    <row r="19" spans="7:35" x14ac:dyDescent="0.3">
      <c r="G19" s="93">
        <v>43587</v>
      </c>
      <c r="H19" t="s">
        <v>24</v>
      </c>
      <c r="I19" t="s">
        <v>61</v>
      </c>
      <c r="J19" t="s">
        <v>183</v>
      </c>
      <c r="K19" s="95">
        <v>24</v>
      </c>
      <c r="L19" s="94">
        <v>0</v>
      </c>
      <c r="O19" t="str">
        <f t="shared" si="0"/>
        <v/>
      </c>
      <c r="S19">
        <v>11</v>
      </c>
      <c r="U19" t="str">
        <f t="shared" si="1"/>
        <v/>
      </c>
      <c r="W19" s="1" t="s">
        <v>152</v>
      </c>
      <c r="X19">
        <v>11</v>
      </c>
    </row>
    <row r="20" spans="7:35" x14ac:dyDescent="0.3">
      <c r="G20" s="93">
        <v>43587</v>
      </c>
      <c r="H20" t="s">
        <v>24</v>
      </c>
      <c r="I20" t="s">
        <v>61</v>
      </c>
      <c r="J20" t="s">
        <v>183</v>
      </c>
      <c r="K20" s="95">
        <v>16</v>
      </c>
      <c r="L20" s="94">
        <v>0</v>
      </c>
      <c r="O20" t="str">
        <f t="shared" si="0"/>
        <v/>
      </c>
      <c r="S20">
        <v>12</v>
      </c>
      <c r="U20" t="str">
        <f t="shared" si="1"/>
        <v/>
      </c>
      <c r="W20" s="1" t="s">
        <v>153</v>
      </c>
      <c r="X20">
        <v>12</v>
      </c>
    </row>
    <row r="21" spans="7:35" x14ac:dyDescent="0.3">
      <c r="G21" s="93">
        <v>43587</v>
      </c>
      <c r="H21" t="s">
        <v>24</v>
      </c>
      <c r="I21" t="s">
        <v>61</v>
      </c>
      <c r="J21" t="s">
        <v>183</v>
      </c>
      <c r="K21" s="95">
        <v>8</v>
      </c>
      <c r="L21" s="94">
        <v>0</v>
      </c>
      <c r="O21" t="str">
        <f t="shared" si="0"/>
        <v/>
      </c>
    </row>
    <row r="22" spans="7:35" x14ac:dyDescent="0.3">
      <c r="G22" s="93">
        <v>43587</v>
      </c>
      <c r="H22" t="s">
        <v>111</v>
      </c>
      <c r="I22" t="s">
        <v>107</v>
      </c>
      <c r="J22" t="s">
        <v>183</v>
      </c>
      <c r="K22" s="95">
        <v>7.7</v>
      </c>
      <c r="L22" s="94">
        <v>0</v>
      </c>
      <c r="O22" t="str">
        <f t="shared" si="0"/>
        <v/>
      </c>
    </row>
    <row r="23" spans="7:35" x14ac:dyDescent="0.3">
      <c r="G23" s="93">
        <v>43587</v>
      </c>
      <c r="H23" t="s">
        <v>110</v>
      </c>
      <c r="I23" t="s">
        <v>106</v>
      </c>
      <c r="J23" t="s">
        <v>183</v>
      </c>
      <c r="K23" s="95">
        <v>46.13</v>
      </c>
      <c r="L23" s="94">
        <v>0</v>
      </c>
      <c r="O23" t="str">
        <f t="shared" si="0"/>
        <v/>
      </c>
    </row>
    <row r="24" spans="7:35" x14ac:dyDescent="0.3">
      <c r="G24" s="93">
        <v>43587</v>
      </c>
      <c r="H24" t="s">
        <v>26</v>
      </c>
      <c r="I24" t="s">
        <v>61</v>
      </c>
      <c r="J24" t="s">
        <v>183</v>
      </c>
      <c r="K24" s="95">
        <v>8</v>
      </c>
      <c r="L24" s="94">
        <v>0</v>
      </c>
      <c r="O24" t="str">
        <f t="shared" si="0"/>
        <v/>
      </c>
    </row>
    <row r="25" spans="7:35" x14ac:dyDescent="0.3">
      <c r="G25" s="93">
        <v>43587</v>
      </c>
      <c r="H25" t="s">
        <v>26</v>
      </c>
      <c r="I25" t="s">
        <v>178</v>
      </c>
      <c r="J25" t="s">
        <v>179</v>
      </c>
      <c r="K25" s="95">
        <v>5</v>
      </c>
      <c r="L25" s="94">
        <v>0</v>
      </c>
      <c r="O25" t="str">
        <f t="shared" si="0"/>
        <v/>
      </c>
      <c r="T25" t="s">
        <v>154</v>
      </c>
    </row>
    <row r="26" spans="7:35" x14ac:dyDescent="0.3">
      <c r="G26" s="93">
        <v>43587</v>
      </c>
      <c r="H26" t="s">
        <v>26</v>
      </c>
      <c r="I26" t="s">
        <v>64</v>
      </c>
      <c r="J26" t="s">
        <v>172</v>
      </c>
      <c r="K26" s="95">
        <v>10</v>
      </c>
      <c r="L26" s="94">
        <v>0</v>
      </c>
      <c r="O26" t="str">
        <f t="shared" si="0"/>
        <v/>
      </c>
    </row>
    <row r="27" spans="7:35" x14ac:dyDescent="0.3">
      <c r="G27" s="93">
        <v>43588</v>
      </c>
      <c r="H27" t="s">
        <v>25</v>
      </c>
      <c r="I27" t="s">
        <v>61</v>
      </c>
      <c r="J27" t="s">
        <v>184</v>
      </c>
      <c r="K27" s="95">
        <v>8</v>
      </c>
      <c r="L27" s="94">
        <v>0</v>
      </c>
      <c r="O27" t="str">
        <f t="shared" si="0"/>
        <v/>
      </c>
    </row>
    <row r="28" spans="7:35" x14ac:dyDescent="0.3">
      <c r="G28" s="93">
        <v>43588</v>
      </c>
      <c r="H28" t="s">
        <v>159</v>
      </c>
      <c r="I28" t="s">
        <v>97</v>
      </c>
      <c r="J28" t="s">
        <v>184</v>
      </c>
      <c r="K28" s="95">
        <v>51.51</v>
      </c>
      <c r="L28" s="94">
        <v>0</v>
      </c>
      <c r="O28" t="str">
        <f t="shared" si="0"/>
        <v/>
      </c>
    </row>
    <row r="29" spans="7:35" x14ac:dyDescent="0.3">
      <c r="G29" s="93">
        <v>43588</v>
      </c>
      <c r="H29" t="s">
        <v>176</v>
      </c>
      <c r="I29" t="s">
        <v>107</v>
      </c>
      <c r="J29" t="s">
        <v>184</v>
      </c>
      <c r="K29" s="95">
        <v>170</v>
      </c>
      <c r="L29" s="94">
        <v>0</v>
      </c>
      <c r="O29" t="str">
        <f t="shared" si="0"/>
        <v/>
      </c>
    </row>
    <row r="30" spans="7:35" x14ac:dyDescent="0.3">
      <c r="G30" s="93">
        <v>43588</v>
      </c>
      <c r="H30" t="s">
        <v>113</v>
      </c>
      <c r="I30" t="s">
        <v>107</v>
      </c>
      <c r="J30" t="s">
        <v>184</v>
      </c>
      <c r="K30" s="95">
        <v>2100</v>
      </c>
      <c r="L30" s="94">
        <v>0</v>
      </c>
      <c r="O30" t="str">
        <f t="shared" si="0"/>
        <v/>
      </c>
    </row>
    <row r="31" spans="7:35" x14ac:dyDescent="0.3">
      <c r="G31" s="93">
        <v>43588</v>
      </c>
      <c r="H31" t="s">
        <v>119</v>
      </c>
      <c r="I31" t="s">
        <v>107</v>
      </c>
      <c r="J31" t="s">
        <v>184</v>
      </c>
      <c r="K31" s="95">
        <v>150</v>
      </c>
      <c r="L31" s="94">
        <v>0</v>
      </c>
      <c r="O31" t="str">
        <f t="shared" si="0"/>
        <v/>
      </c>
    </row>
    <row r="32" spans="7:35" x14ac:dyDescent="0.3">
      <c r="G32" s="93">
        <v>43588</v>
      </c>
      <c r="H32" t="s">
        <v>120</v>
      </c>
      <c r="I32" t="s">
        <v>107</v>
      </c>
      <c r="J32" t="s">
        <v>184</v>
      </c>
      <c r="K32" s="95">
        <v>435</v>
      </c>
      <c r="L32" s="94">
        <v>0</v>
      </c>
      <c r="O32" t="str">
        <f t="shared" si="0"/>
        <v/>
      </c>
    </row>
    <row r="33" spans="7:15" x14ac:dyDescent="0.3">
      <c r="G33" s="93">
        <v>43588</v>
      </c>
      <c r="H33" t="s">
        <v>118</v>
      </c>
      <c r="I33" t="s">
        <v>61</v>
      </c>
      <c r="J33" t="s">
        <v>184</v>
      </c>
      <c r="K33" s="95">
        <v>45</v>
      </c>
      <c r="L33" s="94">
        <v>0</v>
      </c>
      <c r="O33" t="str">
        <f t="shared" si="0"/>
        <v/>
      </c>
    </row>
    <row r="34" spans="7:15" x14ac:dyDescent="0.3">
      <c r="G34" s="93">
        <v>43588</v>
      </c>
      <c r="H34" t="s">
        <v>118</v>
      </c>
      <c r="I34" t="s">
        <v>97</v>
      </c>
      <c r="J34" t="s">
        <v>184</v>
      </c>
      <c r="K34" s="95">
        <v>80.02</v>
      </c>
      <c r="L34" s="94">
        <v>0</v>
      </c>
      <c r="O34" t="str">
        <f t="shared" si="0"/>
        <v/>
      </c>
    </row>
    <row r="35" spans="7:15" x14ac:dyDescent="0.3">
      <c r="G35" s="93">
        <v>43588</v>
      </c>
      <c r="H35" t="s">
        <v>118</v>
      </c>
      <c r="I35" t="s">
        <v>107</v>
      </c>
      <c r="J35" t="s">
        <v>184</v>
      </c>
      <c r="K35" s="95">
        <v>235</v>
      </c>
      <c r="L35" s="94">
        <v>0</v>
      </c>
      <c r="O35" t="str">
        <f t="shared" si="0"/>
        <v/>
      </c>
    </row>
    <row r="36" spans="7:15" x14ac:dyDescent="0.3">
      <c r="G36" s="93">
        <v>43588</v>
      </c>
      <c r="H36" t="s">
        <v>161</v>
      </c>
      <c r="I36" t="s">
        <v>108</v>
      </c>
      <c r="J36" t="s">
        <v>184</v>
      </c>
      <c r="K36" s="95">
        <v>2023.13</v>
      </c>
      <c r="L36" s="94">
        <v>0</v>
      </c>
      <c r="O36" t="str">
        <f t="shared" si="0"/>
        <v/>
      </c>
    </row>
    <row r="37" spans="7:15" x14ac:dyDescent="0.3">
      <c r="G37" s="93">
        <v>43588</v>
      </c>
      <c r="H37" t="s">
        <v>161</v>
      </c>
      <c r="I37" t="s">
        <v>107</v>
      </c>
      <c r="J37" t="s">
        <v>184</v>
      </c>
      <c r="K37" s="95">
        <v>475</v>
      </c>
      <c r="L37" s="94">
        <v>0</v>
      </c>
      <c r="O37" t="str">
        <f t="shared" si="0"/>
        <v/>
      </c>
    </row>
    <row r="38" spans="7:15" x14ac:dyDescent="0.3">
      <c r="G38" s="93">
        <v>43588</v>
      </c>
      <c r="H38" t="s">
        <v>24</v>
      </c>
      <c r="I38" t="s">
        <v>61</v>
      </c>
      <c r="J38" t="s">
        <v>184</v>
      </c>
      <c r="K38" s="95">
        <v>32</v>
      </c>
      <c r="L38" s="94">
        <v>0</v>
      </c>
      <c r="O38" t="str">
        <f t="shared" si="0"/>
        <v/>
      </c>
    </row>
    <row r="39" spans="7:15" x14ac:dyDescent="0.3">
      <c r="G39" s="93">
        <v>43588</v>
      </c>
      <c r="H39" t="s">
        <v>24</v>
      </c>
      <c r="I39" t="s">
        <v>61</v>
      </c>
      <c r="J39" t="s">
        <v>184</v>
      </c>
      <c r="K39" s="95">
        <v>16</v>
      </c>
      <c r="L39" s="94">
        <v>0</v>
      </c>
      <c r="O39" t="str">
        <f t="shared" si="0"/>
        <v/>
      </c>
    </row>
    <row r="40" spans="7:15" x14ac:dyDescent="0.3">
      <c r="G40" s="93">
        <v>43588</v>
      </c>
      <c r="H40" t="s">
        <v>24</v>
      </c>
      <c r="I40" t="s">
        <v>61</v>
      </c>
      <c r="J40" t="s">
        <v>184</v>
      </c>
      <c r="K40" s="95">
        <v>8</v>
      </c>
      <c r="L40" s="94">
        <v>0</v>
      </c>
      <c r="O40" t="str">
        <f t="shared" si="0"/>
        <v/>
      </c>
    </row>
    <row r="41" spans="7:15" x14ac:dyDescent="0.3">
      <c r="G41" s="93">
        <v>43588</v>
      </c>
      <c r="H41" t="s">
        <v>129</v>
      </c>
      <c r="I41" t="s">
        <v>108</v>
      </c>
      <c r="J41" t="s">
        <v>184</v>
      </c>
      <c r="K41" s="95">
        <v>36.799999999999997</v>
      </c>
      <c r="L41" s="94">
        <v>0</v>
      </c>
      <c r="O41" t="str">
        <f t="shared" si="0"/>
        <v/>
      </c>
    </row>
    <row r="42" spans="7:15" x14ac:dyDescent="0.3">
      <c r="G42" s="93">
        <v>43588</v>
      </c>
      <c r="H42" t="s">
        <v>112</v>
      </c>
      <c r="I42" t="s">
        <v>107</v>
      </c>
      <c r="J42" t="s">
        <v>184</v>
      </c>
      <c r="K42" s="95">
        <v>38.200000000000003</v>
      </c>
      <c r="L42" s="94">
        <v>0</v>
      </c>
      <c r="O42" t="str">
        <f t="shared" si="0"/>
        <v/>
      </c>
    </row>
    <row r="43" spans="7:15" x14ac:dyDescent="0.3">
      <c r="G43" s="93">
        <v>43588</v>
      </c>
      <c r="H43" t="s">
        <v>117</v>
      </c>
      <c r="I43" t="s">
        <v>107</v>
      </c>
      <c r="J43" t="s">
        <v>184</v>
      </c>
      <c r="K43" s="95">
        <v>379.7</v>
      </c>
      <c r="L43" s="94">
        <v>0</v>
      </c>
      <c r="O43" t="str">
        <f t="shared" si="0"/>
        <v/>
      </c>
    </row>
    <row r="44" spans="7:15" x14ac:dyDescent="0.3">
      <c r="G44" s="93">
        <v>43588</v>
      </c>
      <c r="H44" t="s">
        <v>124</v>
      </c>
      <c r="I44" t="s">
        <v>61</v>
      </c>
      <c r="J44" t="s">
        <v>184</v>
      </c>
      <c r="K44" s="95">
        <v>62.75</v>
      </c>
      <c r="L44" s="94">
        <v>0</v>
      </c>
      <c r="O44" t="str">
        <f t="shared" si="0"/>
        <v/>
      </c>
    </row>
    <row r="45" spans="7:15" x14ac:dyDescent="0.3">
      <c r="G45" s="93">
        <v>43588</v>
      </c>
      <c r="H45" t="s">
        <v>124</v>
      </c>
      <c r="I45" t="s">
        <v>40</v>
      </c>
      <c r="J45" t="s">
        <v>184</v>
      </c>
      <c r="K45" s="95">
        <v>70.23</v>
      </c>
      <c r="L45" s="94">
        <v>0</v>
      </c>
      <c r="O45" t="str">
        <f t="shared" si="0"/>
        <v/>
      </c>
    </row>
    <row r="46" spans="7:15" x14ac:dyDescent="0.3">
      <c r="G46" s="93">
        <v>43588</v>
      </c>
      <c r="H46" t="s">
        <v>124</v>
      </c>
      <c r="I46" t="s">
        <v>107</v>
      </c>
      <c r="J46" t="s">
        <v>184</v>
      </c>
      <c r="K46" s="95">
        <v>1330.46</v>
      </c>
      <c r="L46" s="94">
        <v>0</v>
      </c>
      <c r="O46" t="str">
        <f t="shared" si="0"/>
        <v/>
      </c>
    </row>
    <row r="47" spans="7:15" x14ac:dyDescent="0.3">
      <c r="G47" s="93">
        <v>43588</v>
      </c>
      <c r="H47" t="s">
        <v>111</v>
      </c>
      <c r="I47" t="s">
        <v>40</v>
      </c>
      <c r="J47" t="s">
        <v>184</v>
      </c>
      <c r="K47" s="95">
        <v>70.23</v>
      </c>
      <c r="L47" s="94">
        <v>0</v>
      </c>
      <c r="O47" t="str">
        <f t="shared" si="0"/>
        <v/>
      </c>
    </row>
    <row r="48" spans="7:15" x14ac:dyDescent="0.3">
      <c r="G48" s="93">
        <v>43588</v>
      </c>
      <c r="H48" t="s">
        <v>26</v>
      </c>
      <c r="I48" t="s">
        <v>97</v>
      </c>
      <c r="J48" t="s">
        <v>184</v>
      </c>
      <c r="K48" s="95">
        <v>160.66</v>
      </c>
      <c r="L48" s="94">
        <v>0</v>
      </c>
      <c r="O48" t="str">
        <f t="shared" si="0"/>
        <v/>
      </c>
    </row>
    <row r="49" spans="7:15" x14ac:dyDescent="0.3">
      <c r="G49" s="93">
        <v>43588</v>
      </c>
      <c r="H49" t="s">
        <v>26</v>
      </c>
      <c r="I49" t="s">
        <v>97</v>
      </c>
      <c r="J49" t="s">
        <v>184</v>
      </c>
      <c r="K49" s="95">
        <v>118.89</v>
      </c>
      <c r="L49" s="94">
        <v>0</v>
      </c>
      <c r="O49" t="str">
        <f t="shared" si="0"/>
        <v/>
      </c>
    </row>
    <row r="50" spans="7:15" x14ac:dyDescent="0.3">
      <c r="G50" s="93">
        <v>43588</v>
      </c>
      <c r="H50" t="s">
        <v>26</v>
      </c>
      <c r="I50" t="s">
        <v>97</v>
      </c>
      <c r="J50" t="s">
        <v>184</v>
      </c>
      <c r="K50" s="95">
        <v>96</v>
      </c>
      <c r="L50" s="94">
        <v>0</v>
      </c>
      <c r="O50" t="str">
        <f t="shared" si="0"/>
        <v/>
      </c>
    </row>
    <row r="51" spans="7:15" x14ac:dyDescent="0.3">
      <c r="G51" s="93">
        <v>43588</v>
      </c>
      <c r="H51" t="s">
        <v>26</v>
      </c>
      <c r="I51" t="s">
        <v>97</v>
      </c>
      <c r="J51" t="s">
        <v>184</v>
      </c>
      <c r="K51" s="95">
        <v>23.99</v>
      </c>
      <c r="L51" s="94">
        <v>0</v>
      </c>
      <c r="O51" t="str">
        <f t="shared" si="0"/>
        <v/>
      </c>
    </row>
    <row r="52" spans="7:15" x14ac:dyDescent="0.3">
      <c r="G52" s="93">
        <v>43588</v>
      </c>
      <c r="H52" t="s">
        <v>26</v>
      </c>
      <c r="I52" t="s">
        <v>105</v>
      </c>
      <c r="J52" t="s">
        <v>184</v>
      </c>
      <c r="K52" s="95">
        <v>128.6</v>
      </c>
      <c r="L52" s="94">
        <v>0</v>
      </c>
      <c r="O52" t="str">
        <f t="shared" si="0"/>
        <v/>
      </c>
    </row>
    <row r="53" spans="7:15" x14ac:dyDescent="0.3">
      <c r="G53" s="93">
        <v>43588</v>
      </c>
      <c r="H53" t="s">
        <v>26</v>
      </c>
      <c r="I53" t="s">
        <v>105</v>
      </c>
      <c r="J53" t="s">
        <v>184</v>
      </c>
      <c r="K53" s="95">
        <v>84.3</v>
      </c>
      <c r="L53" s="94">
        <v>0</v>
      </c>
      <c r="O53" t="str">
        <f t="shared" si="0"/>
        <v/>
      </c>
    </row>
    <row r="54" spans="7:15" x14ac:dyDescent="0.3">
      <c r="G54" s="93">
        <v>43588</v>
      </c>
      <c r="H54" t="s">
        <v>26</v>
      </c>
      <c r="I54" t="s">
        <v>105</v>
      </c>
      <c r="J54" t="s">
        <v>184</v>
      </c>
      <c r="K54" s="95">
        <v>81.069999999999993</v>
      </c>
      <c r="L54" s="94">
        <v>0</v>
      </c>
      <c r="O54" t="str">
        <f t="shared" si="0"/>
        <v/>
      </c>
    </row>
    <row r="55" spans="7:15" x14ac:dyDescent="0.3">
      <c r="G55" s="93">
        <v>43588</v>
      </c>
      <c r="H55" t="s">
        <v>26</v>
      </c>
      <c r="I55" t="s">
        <v>105</v>
      </c>
      <c r="J55" t="s">
        <v>184</v>
      </c>
      <c r="K55" s="95">
        <v>77.64</v>
      </c>
      <c r="L55" s="94">
        <v>0</v>
      </c>
      <c r="O55" t="str">
        <f t="shared" si="0"/>
        <v/>
      </c>
    </row>
    <row r="56" spans="7:15" x14ac:dyDescent="0.3">
      <c r="G56" s="93">
        <v>43588</v>
      </c>
      <c r="H56" t="s">
        <v>26</v>
      </c>
      <c r="I56" t="s">
        <v>105</v>
      </c>
      <c r="J56" t="s">
        <v>184</v>
      </c>
      <c r="K56" s="95">
        <v>66.81</v>
      </c>
      <c r="L56" s="94">
        <v>0</v>
      </c>
      <c r="O56" t="str">
        <f t="shared" si="0"/>
        <v/>
      </c>
    </row>
    <row r="57" spans="7:15" x14ac:dyDescent="0.3">
      <c r="G57" s="93">
        <v>43588</v>
      </c>
      <c r="H57" t="s">
        <v>26</v>
      </c>
      <c r="I57" t="s">
        <v>105</v>
      </c>
      <c r="J57" t="s">
        <v>184</v>
      </c>
      <c r="K57" s="95">
        <v>63.7</v>
      </c>
      <c r="L57" s="94">
        <v>0</v>
      </c>
      <c r="O57" t="str">
        <f t="shared" si="0"/>
        <v/>
      </c>
    </row>
    <row r="58" spans="7:15" x14ac:dyDescent="0.3">
      <c r="G58" s="93">
        <v>43588</v>
      </c>
      <c r="H58" t="s">
        <v>26</v>
      </c>
      <c r="I58" t="s">
        <v>105</v>
      </c>
      <c r="J58" t="s">
        <v>184</v>
      </c>
      <c r="K58" s="95">
        <v>33.44</v>
      </c>
      <c r="L58" s="94">
        <v>0</v>
      </c>
      <c r="O58" t="str">
        <f t="shared" si="0"/>
        <v/>
      </c>
    </row>
    <row r="59" spans="7:15" x14ac:dyDescent="0.3">
      <c r="G59" s="93">
        <v>43588</v>
      </c>
      <c r="H59" t="s">
        <v>26</v>
      </c>
      <c r="I59" t="s">
        <v>105</v>
      </c>
      <c r="J59" t="s">
        <v>184</v>
      </c>
      <c r="K59" s="95">
        <v>28.07</v>
      </c>
      <c r="L59" s="94">
        <v>0</v>
      </c>
      <c r="O59" t="str">
        <f t="shared" si="0"/>
        <v/>
      </c>
    </row>
    <row r="60" spans="7:15" x14ac:dyDescent="0.3">
      <c r="G60" s="93">
        <v>43588</v>
      </c>
      <c r="H60" t="s">
        <v>26</v>
      </c>
      <c r="I60" t="s">
        <v>105</v>
      </c>
      <c r="J60" t="s">
        <v>184</v>
      </c>
      <c r="K60" s="95">
        <v>23.76</v>
      </c>
      <c r="L60" s="94">
        <v>0</v>
      </c>
      <c r="O60" t="str">
        <f t="shared" si="0"/>
        <v/>
      </c>
    </row>
    <row r="61" spans="7:15" x14ac:dyDescent="0.3">
      <c r="G61" s="93">
        <v>43588</v>
      </c>
      <c r="H61" t="s">
        <v>26</v>
      </c>
      <c r="I61" t="s">
        <v>105</v>
      </c>
      <c r="J61" t="s">
        <v>184</v>
      </c>
      <c r="K61" s="95">
        <v>21.95</v>
      </c>
      <c r="L61" s="94">
        <v>0</v>
      </c>
      <c r="O61" t="str">
        <f t="shared" si="0"/>
        <v/>
      </c>
    </row>
    <row r="62" spans="7:15" x14ac:dyDescent="0.3">
      <c r="G62" s="93">
        <v>43588</v>
      </c>
      <c r="H62" t="s">
        <v>26</v>
      </c>
      <c r="I62" t="s">
        <v>64</v>
      </c>
      <c r="J62" t="s">
        <v>100</v>
      </c>
      <c r="K62" s="95">
        <v>3.5</v>
      </c>
      <c r="L62" s="94">
        <v>0</v>
      </c>
      <c r="O62" t="str">
        <f t="shared" si="0"/>
        <v/>
      </c>
    </row>
    <row r="63" spans="7:15" x14ac:dyDescent="0.3">
      <c r="G63" s="93">
        <v>43588</v>
      </c>
      <c r="H63" t="s">
        <v>26</v>
      </c>
      <c r="I63" t="s">
        <v>64</v>
      </c>
      <c r="J63" t="s">
        <v>164</v>
      </c>
      <c r="K63" s="95">
        <v>2.25</v>
      </c>
      <c r="L63" s="94">
        <v>0</v>
      </c>
      <c r="O63" t="str">
        <f t="shared" si="0"/>
        <v/>
      </c>
    </row>
    <row r="64" spans="7:15" x14ac:dyDescent="0.3">
      <c r="G64" s="93">
        <v>43588</v>
      </c>
      <c r="H64" t="s">
        <v>26</v>
      </c>
      <c r="I64" t="s">
        <v>40</v>
      </c>
      <c r="J64" t="s">
        <v>184</v>
      </c>
      <c r="K64" s="95">
        <v>245.24</v>
      </c>
      <c r="L64" s="94">
        <v>0</v>
      </c>
      <c r="O64" t="str">
        <f t="shared" si="0"/>
        <v/>
      </c>
    </row>
    <row r="65" spans="7:15" x14ac:dyDescent="0.3">
      <c r="G65" s="93">
        <v>43588</v>
      </c>
      <c r="H65" t="s">
        <v>26</v>
      </c>
      <c r="I65" t="s">
        <v>107</v>
      </c>
      <c r="J65" t="s">
        <v>184</v>
      </c>
      <c r="K65" s="95">
        <v>8.9499999999999993</v>
      </c>
      <c r="L65" s="94">
        <v>0</v>
      </c>
      <c r="O65" t="str">
        <f t="shared" si="0"/>
        <v/>
      </c>
    </row>
    <row r="66" spans="7:15" x14ac:dyDescent="0.3">
      <c r="G66" s="93">
        <v>43589</v>
      </c>
      <c r="H66" t="s">
        <v>25</v>
      </c>
      <c r="I66" t="s">
        <v>61</v>
      </c>
      <c r="J66" t="s">
        <v>185</v>
      </c>
      <c r="K66" s="95">
        <v>16</v>
      </c>
      <c r="L66" s="94">
        <v>0</v>
      </c>
      <c r="O66" t="str">
        <f t="shared" si="0"/>
        <v/>
      </c>
    </row>
    <row r="67" spans="7:15" x14ac:dyDescent="0.3">
      <c r="G67" s="93">
        <v>43589</v>
      </c>
      <c r="H67" t="s">
        <v>113</v>
      </c>
      <c r="I67" t="s">
        <v>107</v>
      </c>
      <c r="J67" t="s">
        <v>185</v>
      </c>
      <c r="K67" s="95">
        <v>14.05</v>
      </c>
      <c r="L67" s="94">
        <v>0</v>
      </c>
      <c r="O67" t="str">
        <f t="shared" si="0"/>
        <v/>
      </c>
    </row>
    <row r="68" spans="7:15" x14ac:dyDescent="0.3">
      <c r="G68" s="93">
        <v>43589</v>
      </c>
      <c r="H68" t="s">
        <v>24</v>
      </c>
      <c r="I68" t="s">
        <v>61</v>
      </c>
      <c r="J68" t="s">
        <v>185</v>
      </c>
      <c r="K68" s="95">
        <v>96</v>
      </c>
      <c r="L68" s="94">
        <v>0</v>
      </c>
      <c r="O68" t="str">
        <f t="shared" si="0"/>
        <v/>
      </c>
    </row>
    <row r="69" spans="7:15" x14ac:dyDescent="0.3">
      <c r="G69" s="93">
        <v>43589</v>
      </c>
      <c r="H69" t="s">
        <v>24</v>
      </c>
      <c r="I69" t="s">
        <v>61</v>
      </c>
      <c r="J69" t="s">
        <v>185</v>
      </c>
      <c r="K69" s="95">
        <v>80</v>
      </c>
      <c r="L69" s="94">
        <v>0</v>
      </c>
      <c r="O69" t="str">
        <f t="shared" si="0"/>
        <v/>
      </c>
    </row>
    <row r="70" spans="7:15" x14ac:dyDescent="0.3">
      <c r="G70" s="93">
        <v>43589</v>
      </c>
      <c r="H70" t="s">
        <v>24</v>
      </c>
      <c r="I70" t="s">
        <v>61</v>
      </c>
      <c r="J70" t="s">
        <v>185</v>
      </c>
      <c r="K70" s="95">
        <v>48</v>
      </c>
      <c r="L70" s="94">
        <v>0</v>
      </c>
      <c r="O70" t="str">
        <f t="shared" si="0"/>
        <v/>
      </c>
    </row>
    <row r="71" spans="7:15" x14ac:dyDescent="0.3">
      <c r="G71" s="93">
        <v>43589</v>
      </c>
      <c r="H71" t="s">
        <v>24</v>
      </c>
      <c r="I71" t="s">
        <v>61</v>
      </c>
      <c r="J71" t="s">
        <v>185</v>
      </c>
      <c r="K71" s="95">
        <v>40</v>
      </c>
      <c r="L71" s="94">
        <v>0</v>
      </c>
      <c r="O71" t="str">
        <f t="shared" si="0"/>
        <v/>
      </c>
    </row>
    <row r="72" spans="7:15" x14ac:dyDescent="0.3">
      <c r="G72" s="93">
        <v>43589</v>
      </c>
      <c r="H72" t="s">
        <v>24</v>
      </c>
      <c r="I72" t="s">
        <v>61</v>
      </c>
      <c r="J72" t="s">
        <v>185</v>
      </c>
      <c r="K72" s="95">
        <v>32</v>
      </c>
      <c r="L72" s="94">
        <v>0</v>
      </c>
      <c r="O72" t="str">
        <f t="shared" si="0"/>
        <v/>
      </c>
    </row>
    <row r="73" spans="7:15" x14ac:dyDescent="0.3">
      <c r="G73" s="93">
        <v>43589</v>
      </c>
      <c r="H73" t="s">
        <v>24</v>
      </c>
      <c r="I73" t="s">
        <v>61</v>
      </c>
      <c r="J73" t="s">
        <v>185</v>
      </c>
      <c r="K73" s="95">
        <v>16</v>
      </c>
      <c r="L73" s="94">
        <v>0</v>
      </c>
      <c r="O73" t="str">
        <f t="shared" si="0"/>
        <v/>
      </c>
    </row>
    <row r="74" spans="7:15" x14ac:dyDescent="0.3">
      <c r="G74" s="93">
        <v>43589</v>
      </c>
      <c r="H74" t="s">
        <v>24</v>
      </c>
      <c r="I74" t="s">
        <v>61</v>
      </c>
      <c r="J74" t="s">
        <v>185</v>
      </c>
      <c r="K74" s="95">
        <v>8</v>
      </c>
      <c r="L74" s="94">
        <v>0</v>
      </c>
      <c r="O74" t="str">
        <f t="shared" ref="O74:O137" si="2">IF(P74="","",O73+1)</f>
        <v/>
      </c>
    </row>
    <row r="75" spans="7:15" x14ac:dyDescent="0.3">
      <c r="G75" s="93">
        <v>43589</v>
      </c>
      <c r="H75" t="s">
        <v>111</v>
      </c>
      <c r="I75" t="s">
        <v>61</v>
      </c>
      <c r="J75" t="s">
        <v>185</v>
      </c>
      <c r="K75" s="95">
        <v>10</v>
      </c>
      <c r="L75" s="94">
        <v>0</v>
      </c>
      <c r="O75" t="str">
        <f t="shared" si="2"/>
        <v/>
      </c>
    </row>
    <row r="76" spans="7:15" x14ac:dyDescent="0.3">
      <c r="G76" s="93">
        <v>43589</v>
      </c>
      <c r="H76" t="s">
        <v>111</v>
      </c>
      <c r="I76" t="s">
        <v>106</v>
      </c>
      <c r="J76" t="s">
        <v>185</v>
      </c>
      <c r="K76" s="95">
        <v>25.95</v>
      </c>
      <c r="L76" s="94">
        <v>0</v>
      </c>
      <c r="O76" t="str">
        <f t="shared" si="2"/>
        <v/>
      </c>
    </row>
    <row r="77" spans="7:15" x14ac:dyDescent="0.3">
      <c r="G77" s="93">
        <v>43589</v>
      </c>
      <c r="H77" t="s">
        <v>111</v>
      </c>
      <c r="I77" t="s">
        <v>107</v>
      </c>
      <c r="J77" t="s">
        <v>185</v>
      </c>
      <c r="K77" s="95">
        <v>4.5999999999999996</v>
      </c>
      <c r="L77" s="94">
        <v>0</v>
      </c>
      <c r="O77" t="str">
        <f t="shared" si="2"/>
        <v/>
      </c>
    </row>
    <row r="78" spans="7:15" x14ac:dyDescent="0.3">
      <c r="G78" s="93">
        <v>43589</v>
      </c>
      <c r="H78" t="s">
        <v>26</v>
      </c>
      <c r="I78" t="s">
        <v>61</v>
      </c>
      <c r="J78" t="s">
        <v>185</v>
      </c>
      <c r="K78" s="95">
        <v>8</v>
      </c>
      <c r="L78" s="94">
        <v>0</v>
      </c>
      <c r="O78" t="str">
        <f t="shared" si="2"/>
        <v/>
      </c>
    </row>
    <row r="79" spans="7:15" x14ac:dyDescent="0.3">
      <c r="G79" s="93">
        <v>43589</v>
      </c>
      <c r="H79" t="s">
        <v>26</v>
      </c>
      <c r="I79" t="s">
        <v>64</v>
      </c>
      <c r="J79" t="s">
        <v>163</v>
      </c>
      <c r="K79" s="95">
        <v>2.65</v>
      </c>
      <c r="L79" s="94">
        <v>0</v>
      </c>
      <c r="O79" t="str">
        <f t="shared" si="2"/>
        <v/>
      </c>
    </row>
    <row r="80" spans="7:15" x14ac:dyDescent="0.3">
      <c r="G80" s="93">
        <v>43591</v>
      </c>
      <c r="H80" t="s">
        <v>180</v>
      </c>
      <c r="I80" t="s">
        <v>107</v>
      </c>
      <c r="J80" t="s">
        <v>186</v>
      </c>
      <c r="K80" s="95">
        <v>51.55</v>
      </c>
      <c r="L80" s="94">
        <v>0</v>
      </c>
      <c r="O80" t="str">
        <f t="shared" si="2"/>
        <v/>
      </c>
    </row>
    <row r="81" spans="7:15" x14ac:dyDescent="0.3">
      <c r="G81" s="93">
        <v>43591</v>
      </c>
      <c r="H81" t="s">
        <v>115</v>
      </c>
      <c r="I81" t="s">
        <v>106</v>
      </c>
      <c r="J81" t="s">
        <v>186</v>
      </c>
      <c r="K81" s="95">
        <v>292.12</v>
      </c>
      <c r="L81" s="94">
        <v>0</v>
      </c>
      <c r="O81" t="str">
        <f t="shared" si="2"/>
        <v/>
      </c>
    </row>
    <row r="82" spans="7:15" x14ac:dyDescent="0.3">
      <c r="G82" s="93">
        <v>43591</v>
      </c>
      <c r="H82" t="s">
        <v>118</v>
      </c>
      <c r="I82" t="s">
        <v>97</v>
      </c>
      <c r="J82" t="s">
        <v>186</v>
      </c>
      <c r="K82" s="95">
        <v>21</v>
      </c>
      <c r="L82" s="94">
        <v>0</v>
      </c>
      <c r="O82" t="str">
        <f t="shared" si="2"/>
        <v/>
      </c>
    </row>
    <row r="83" spans="7:15" x14ac:dyDescent="0.3">
      <c r="G83" s="93">
        <v>43591</v>
      </c>
      <c r="H83" t="s">
        <v>161</v>
      </c>
      <c r="I83" t="s">
        <v>61</v>
      </c>
      <c r="J83" t="s">
        <v>186</v>
      </c>
      <c r="K83" s="95">
        <v>49.79</v>
      </c>
      <c r="L83" s="94">
        <v>0</v>
      </c>
      <c r="O83" t="str">
        <f t="shared" si="2"/>
        <v/>
      </c>
    </row>
    <row r="84" spans="7:15" x14ac:dyDescent="0.3">
      <c r="G84" s="93">
        <v>43591</v>
      </c>
      <c r="H84" t="s">
        <v>24</v>
      </c>
      <c r="I84" t="s">
        <v>61</v>
      </c>
      <c r="J84" t="s">
        <v>186</v>
      </c>
      <c r="K84" s="95">
        <v>88</v>
      </c>
      <c r="L84" s="94">
        <v>0</v>
      </c>
      <c r="O84" t="str">
        <f t="shared" si="2"/>
        <v/>
      </c>
    </row>
    <row r="85" spans="7:15" x14ac:dyDescent="0.3">
      <c r="G85" s="93">
        <v>43591</v>
      </c>
      <c r="H85" t="s">
        <v>24</v>
      </c>
      <c r="I85" t="s">
        <v>61</v>
      </c>
      <c r="J85" t="s">
        <v>186</v>
      </c>
      <c r="K85" s="95">
        <v>64</v>
      </c>
      <c r="L85" s="94">
        <v>0</v>
      </c>
      <c r="O85" t="str">
        <f t="shared" si="2"/>
        <v/>
      </c>
    </row>
    <row r="86" spans="7:15" x14ac:dyDescent="0.3">
      <c r="G86" s="93">
        <v>43591</v>
      </c>
      <c r="H86" t="s">
        <v>24</v>
      </c>
      <c r="I86" t="s">
        <v>61</v>
      </c>
      <c r="J86" t="s">
        <v>186</v>
      </c>
      <c r="K86" s="95">
        <v>56</v>
      </c>
      <c r="L86" s="94">
        <v>0</v>
      </c>
      <c r="O86" t="str">
        <f t="shared" si="2"/>
        <v/>
      </c>
    </row>
    <row r="87" spans="7:15" x14ac:dyDescent="0.3">
      <c r="G87" s="93">
        <v>43591</v>
      </c>
      <c r="H87" t="s">
        <v>24</v>
      </c>
      <c r="I87" t="s">
        <v>61</v>
      </c>
      <c r="J87" t="s">
        <v>186</v>
      </c>
      <c r="K87" s="95">
        <v>40</v>
      </c>
      <c r="L87" s="94">
        <v>0</v>
      </c>
      <c r="O87" t="str">
        <f t="shared" si="2"/>
        <v/>
      </c>
    </row>
    <row r="88" spans="7:15" x14ac:dyDescent="0.3">
      <c r="G88" s="93">
        <v>43591</v>
      </c>
      <c r="H88" t="s">
        <v>24</v>
      </c>
      <c r="I88" t="s">
        <v>61</v>
      </c>
      <c r="J88" t="s">
        <v>186</v>
      </c>
      <c r="K88" s="95">
        <v>32</v>
      </c>
      <c r="L88" s="94">
        <v>0</v>
      </c>
      <c r="O88" t="str">
        <f t="shared" si="2"/>
        <v/>
      </c>
    </row>
    <row r="89" spans="7:15" x14ac:dyDescent="0.3">
      <c r="G89" s="93">
        <v>43591</v>
      </c>
      <c r="H89" t="s">
        <v>24</v>
      </c>
      <c r="I89" t="s">
        <v>61</v>
      </c>
      <c r="J89" t="s">
        <v>186</v>
      </c>
      <c r="K89" s="95">
        <v>24</v>
      </c>
      <c r="L89" s="94">
        <v>0</v>
      </c>
      <c r="O89" t="str">
        <f t="shared" si="2"/>
        <v/>
      </c>
    </row>
    <row r="90" spans="7:15" x14ac:dyDescent="0.3">
      <c r="G90" s="93">
        <v>43591</v>
      </c>
      <c r="H90" t="s">
        <v>24</v>
      </c>
      <c r="I90" t="s">
        <v>61</v>
      </c>
      <c r="J90" t="s">
        <v>186</v>
      </c>
      <c r="K90" s="95">
        <v>16</v>
      </c>
      <c r="L90" s="94">
        <v>0</v>
      </c>
      <c r="O90" t="str">
        <f t="shared" si="2"/>
        <v/>
      </c>
    </row>
    <row r="91" spans="7:15" x14ac:dyDescent="0.3">
      <c r="G91" s="93">
        <v>43591</v>
      </c>
      <c r="H91" t="s">
        <v>24</v>
      </c>
      <c r="I91" t="s">
        <v>61</v>
      </c>
      <c r="J91" t="s">
        <v>186</v>
      </c>
      <c r="K91" s="95">
        <v>8</v>
      </c>
      <c r="L91" s="94">
        <v>0</v>
      </c>
      <c r="O91" t="str">
        <f t="shared" si="2"/>
        <v/>
      </c>
    </row>
    <row r="92" spans="7:15" x14ac:dyDescent="0.3">
      <c r="G92" s="93">
        <v>43591</v>
      </c>
      <c r="H92" t="s">
        <v>24</v>
      </c>
      <c r="I92" t="s">
        <v>107</v>
      </c>
      <c r="J92" t="s">
        <v>186</v>
      </c>
      <c r="K92" s="95">
        <v>380</v>
      </c>
      <c r="L92" s="94">
        <v>0</v>
      </c>
      <c r="O92" t="str">
        <f t="shared" si="2"/>
        <v/>
      </c>
    </row>
    <row r="93" spans="7:15" x14ac:dyDescent="0.3">
      <c r="G93" s="93">
        <v>43591</v>
      </c>
      <c r="H93" t="s">
        <v>112</v>
      </c>
      <c r="I93" t="s">
        <v>107</v>
      </c>
      <c r="J93" t="s">
        <v>186</v>
      </c>
      <c r="K93" s="95">
        <v>213.19</v>
      </c>
      <c r="L93" s="94">
        <v>0</v>
      </c>
      <c r="O93" t="str">
        <f t="shared" si="2"/>
        <v/>
      </c>
    </row>
    <row r="94" spans="7:15" x14ac:dyDescent="0.3">
      <c r="G94" s="93">
        <v>43591</v>
      </c>
      <c r="H94" t="s">
        <v>117</v>
      </c>
      <c r="I94" t="s">
        <v>107</v>
      </c>
      <c r="J94" t="s">
        <v>186</v>
      </c>
      <c r="K94" s="95">
        <v>76.349999999999994</v>
      </c>
      <c r="L94" s="94">
        <v>0</v>
      </c>
      <c r="O94" t="str">
        <f t="shared" si="2"/>
        <v/>
      </c>
    </row>
    <row r="95" spans="7:15" x14ac:dyDescent="0.3">
      <c r="G95" s="93">
        <v>43591</v>
      </c>
      <c r="H95" t="s">
        <v>111</v>
      </c>
      <c r="I95" t="s">
        <v>107</v>
      </c>
      <c r="J95" t="s">
        <v>186</v>
      </c>
      <c r="K95" s="95">
        <v>4.78</v>
      </c>
      <c r="L95" s="94">
        <v>0</v>
      </c>
      <c r="O95" t="str">
        <f t="shared" si="2"/>
        <v/>
      </c>
    </row>
    <row r="96" spans="7:15" x14ac:dyDescent="0.3">
      <c r="G96" s="93">
        <v>43591</v>
      </c>
      <c r="H96" t="s">
        <v>26</v>
      </c>
      <c r="I96" t="s">
        <v>61</v>
      </c>
      <c r="J96" t="s">
        <v>186</v>
      </c>
      <c r="K96" s="95">
        <v>16</v>
      </c>
      <c r="L96" s="94">
        <v>0</v>
      </c>
      <c r="O96" t="str">
        <f t="shared" si="2"/>
        <v/>
      </c>
    </row>
    <row r="97" spans="7:15" x14ac:dyDescent="0.3">
      <c r="G97" s="93">
        <v>43591</v>
      </c>
      <c r="H97" t="s">
        <v>26</v>
      </c>
      <c r="I97" t="s">
        <v>105</v>
      </c>
      <c r="J97" t="s">
        <v>186</v>
      </c>
      <c r="K97" s="95">
        <v>91</v>
      </c>
      <c r="L97" s="94">
        <v>0</v>
      </c>
      <c r="O97" t="str">
        <f t="shared" si="2"/>
        <v/>
      </c>
    </row>
    <row r="98" spans="7:15" x14ac:dyDescent="0.3">
      <c r="G98" s="93">
        <v>43591</v>
      </c>
      <c r="H98" t="s">
        <v>26</v>
      </c>
      <c r="I98" t="s">
        <v>105</v>
      </c>
      <c r="J98" t="s">
        <v>186</v>
      </c>
      <c r="K98" s="95">
        <v>67.069999999999993</v>
      </c>
      <c r="L98" s="94">
        <v>0</v>
      </c>
      <c r="O98" t="str">
        <f t="shared" si="2"/>
        <v/>
      </c>
    </row>
    <row r="99" spans="7:15" x14ac:dyDescent="0.3">
      <c r="G99" s="93">
        <v>43591</v>
      </c>
      <c r="H99" t="s">
        <v>26</v>
      </c>
      <c r="I99" t="s">
        <v>105</v>
      </c>
      <c r="J99" t="s">
        <v>186</v>
      </c>
      <c r="K99" s="95">
        <v>55.52</v>
      </c>
      <c r="L99" s="94">
        <v>0</v>
      </c>
      <c r="O99" t="str">
        <f t="shared" si="2"/>
        <v/>
      </c>
    </row>
    <row r="100" spans="7:15" x14ac:dyDescent="0.3">
      <c r="G100" s="93">
        <v>43591</v>
      </c>
      <c r="H100" t="s">
        <v>26</v>
      </c>
      <c r="I100" t="s">
        <v>105</v>
      </c>
      <c r="J100" t="s">
        <v>186</v>
      </c>
      <c r="K100" s="95">
        <v>48.62</v>
      </c>
      <c r="L100" s="94">
        <v>0</v>
      </c>
      <c r="O100" t="str">
        <f t="shared" si="2"/>
        <v/>
      </c>
    </row>
    <row r="101" spans="7:15" x14ac:dyDescent="0.3">
      <c r="G101" s="93">
        <v>43591</v>
      </c>
      <c r="H101" t="s">
        <v>26</v>
      </c>
      <c r="I101" t="s">
        <v>105</v>
      </c>
      <c r="J101" t="s">
        <v>186</v>
      </c>
      <c r="K101" s="95">
        <v>31.03</v>
      </c>
      <c r="L101" s="94">
        <v>0</v>
      </c>
      <c r="O101" t="str">
        <f t="shared" si="2"/>
        <v/>
      </c>
    </row>
    <row r="102" spans="7:15" x14ac:dyDescent="0.3">
      <c r="G102" s="93">
        <v>43591</v>
      </c>
      <c r="H102" t="s">
        <v>26</v>
      </c>
      <c r="I102" t="s">
        <v>105</v>
      </c>
      <c r="J102" t="s">
        <v>186</v>
      </c>
      <c r="K102" s="95">
        <v>24.57</v>
      </c>
      <c r="L102" s="94">
        <v>0</v>
      </c>
      <c r="O102" t="str">
        <f t="shared" si="2"/>
        <v/>
      </c>
    </row>
    <row r="103" spans="7:15" x14ac:dyDescent="0.3">
      <c r="G103" s="93">
        <v>43591</v>
      </c>
      <c r="H103" t="s">
        <v>26</v>
      </c>
      <c r="I103" t="s">
        <v>105</v>
      </c>
      <c r="J103" t="s">
        <v>186</v>
      </c>
      <c r="K103" s="95">
        <v>9.89</v>
      </c>
      <c r="L103" s="94">
        <v>0</v>
      </c>
      <c r="O103" t="str">
        <f t="shared" si="2"/>
        <v/>
      </c>
    </row>
    <row r="104" spans="7:15" x14ac:dyDescent="0.3">
      <c r="G104" s="93">
        <v>43591</v>
      </c>
      <c r="H104" t="s">
        <v>26</v>
      </c>
      <c r="I104" t="s">
        <v>64</v>
      </c>
      <c r="J104" t="s">
        <v>175</v>
      </c>
      <c r="K104" s="95">
        <v>3.15</v>
      </c>
      <c r="L104" s="94">
        <v>0</v>
      </c>
      <c r="O104" t="str">
        <f t="shared" si="2"/>
        <v/>
      </c>
    </row>
    <row r="105" spans="7:15" x14ac:dyDescent="0.3">
      <c r="G105" s="93">
        <v>43591</v>
      </c>
      <c r="H105" t="s">
        <v>26</v>
      </c>
      <c r="I105" t="s">
        <v>64</v>
      </c>
      <c r="J105" t="s">
        <v>160</v>
      </c>
      <c r="K105" s="95">
        <v>22</v>
      </c>
      <c r="L105" s="94">
        <v>0</v>
      </c>
      <c r="O105" t="str">
        <f t="shared" si="2"/>
        <v/>
      </c>
    </row>
    <row r="106" spans="7:15" x14ac:dyDescent="0.3">
      <c r="G106" s="93">
        <v>43591</v>
      </c>
      <c r="H106" t="s">
        <v>26</v>
      </c>
      <c r="I106" t="s">
        <v>64</v>
      </c>
      <c r="J106" t="s">
        <v>99</v>
      </c>
      <c r="K106" s="95">
        <v>3</v>
      </c>
      <c r="L106" s="94">
        <v>0</v>
      </c>
      <c r="O106" t="str">
        <f t="shared" si="2"/>
        <v/>
      </c>
    </row>
    <row r="107" spans="7:15" x14ac:dyDescent="0.3">
      <c r="G107" s="93">
        <v>43592</v>
      </c>
      <c r="H107" t="s">
        <v>121</v>
      </c>
      <c r="I107" t="s">
        <v>61</v>
      </c>
      <c r="J107" t="s">
        <v>187</v>
      </c>
      <c r="K107" s="95">
        <v>159.9</v>
      </c>
      <c r="L107" s="94">
        <v>0</v>
      </c>
      <c r="O107" t="str">
        <f t="shared" si="2"/>
        <v/>
      </c>
    </row>
    <row r="108" spans="7:15" x14ac:dyDescent="0.3">
      <c r="G108" s="93">
        <v>43592</v>
      </c>
      <c r="H108" t="s">
        <v>25</v>
      </c>
      <c r="I108" t="s">
        <v>61</v>
      </c>
      <c r="J108" t="s">
        <v>187</v>
      </c>
      <c r="K108" s="95">
        <v>8</v>
      </c>
      <c r="L108" s="94">
        <v>0</v>
      </c>
      <c r="O108" t="str">
        <f t="shared" si="2"/>
        <v/>
      </c>
    </row>
    <row r="109" spans="7:15" x14ac:dyDescent="0.3">
      <c r="G109" s="93">
        <v>43592</v>
      </c>
      <c r="H109" t="s">
        <v>159</v>
      </c>
      <c r="I109" t="s">
        <v>106</v>
      </c>
      <c r="J109" t="s">
        <v>187</v>
      </c>
      <c r="K109" s="95">
        <v>30</v>
      </c>
      <c r="L109" s="94">
        <v>0</v>
      </c>
      <c r="O109" t="str">
        <f t="shared" si="2"/>
        <v/>
      </c>
    </row>
    <row r="110" spans="7:15" x14ac:dyDescent="0.3">
      <c r="G110" s="93">
        <v>43592</v>
      </c>
      <c r="H110" t="s">
        <v>123</v>
      </c>
      <c r="I110" t="s">
        <v>61</v>
      </c>
      <c r="J110" t="s">
        <v>187</v>
      </c>
      <c r="K110" s="95">
        <v>21.06</v>
      </c>
      <c r="L110" s="94">
        <v>0</v>
      </c>
      <c r="O110" t="str">
        <f t="shared" si="2"/>
        <v/>
      </c>
    </row>
    <row r="111" spans="7:15" x14ac:dyDescent="0.3">
      <c r="G111" s="93">
        <v>43592</v>
      </c>
      <c r="H111" t="s">
        <v>120</v>
      </c>
      <c r="I111" t="s">
        <v>109</v>
      </c>
      <c r="J111" t="s">
        <v>187</v>
      </c>
      <c r="K111" s="95">
        <v>84.53</v>
      </c>
      <c r="L111" s="94">
        <v>0</v>
      </c>
      <c r="O111" t="str">
        <f t="shared" si="2"/>
        <v/>
      </c>
    </row>
    <row r="112" spans="7:15" x14ac:dyDescent="0.3">
      <c r="G112" s="93">
        <v>43592</v>
      </c>
      <c r="H112" t="s">
        <v>120</v>
      </c>
      <c r="I112" t="s">
        <v>107</v>
      </c>
      <c r="J112" t="s">
        <v>187</v>
      </c>
      <c r="K112" s="95">
        <v>23.05</v>
      </c>
      <c r="L112" s="94">
        <v>0</v>
      </c>
      <c r="O112" t="str">
        <f t="shared" si="2"/>
        <v/>
      </c>
    </row>
    <row r="113" spans="7:15" x14ac:dyDescent="0.3">
      <c r="G113" s="93">
        <v>43592</v>
      </c>
      <c r="H113" t="s">
        <v>161</v>
      </c>
      <c r="I113" t="s">
        <v>107</v>
      </c>
      <c r="J113" t="s">
        <v>187</v>
      </c>
      <c r="K113" s="95">
        <v>26.2</v>
      </c>
      <c r="L113" s="94">
        <v>0</v>
      </c>
      <c r="O113" t="str">
        <f t="shared" si="2"/>
        <v/>
      </c>
    </row>
    <row r="114" spans="7:15" x14ac:dyDescent="0.3">
      <c r="G114" s="93">
        <v>43592</v>
      </c>
      <c r="H114" t="s">
        <v>24</v>
      </c>
      <c r="I114" t="s">
        <v>61</v>
      </c>
      <c r="J114" t="s">
        <v>187</v>
      </c>
      <c r="K114" s="95">
        <v>80</v>
      </c>
      <c r="L114" s="94">
        <v>0</v>
      </c>
      <c r="O114" t="str">
        <f t="shared" si="2"/>
        <v/>
      </c>
    </row>
    <row r="115" spans="7:15" x14ac:dyDescent="0.3">
      <c r="G115" s="93">
        <v>43592</v>
      </c>
      <c r="H115" t="s">
        <v>24</v>
      </c>
      <c r="I115" t="s">
        <v>61</v>
      </c>
      <c r="J115" t="s">
        <v>187</v>
      </c>
      <c r="K115" s="95">
        <v>56</v>
      </c>
      <c r="L115" s="94">
        <v>0</v>
      </c>
      <c r="O115" t="str">
        <f t="shared" si="2"/>
        <v/>
      </c>
    </row>
    <row r="116" spans="7:15" x14ac:dyDescent="0.3">
      <c r="G116" s="93">
        <v>43592</v>
      </c>
      <c r="H116" t="s">
        <v>24</v>
      </c>
      <c r="I116" t="s">
        <v>61</v>
      </c>
      <c r="J116" t="s">
        <v>187</v>
      </c>
      <c r="K116" s="95">
        <v>24</v>
      </c>
      <c r="L116" s="94">
        <v>0</v>
      </c>
      <c r="O116" t="str">
        <f t="shared" si="2"/>
        <v/>
      </c>
    </row>
    <row r="117" spans="7:15" x14ac:dyDescent="0.3">
      <c r="G117" s="93">
        <v>43592</v>
      </c>
      <c r="H117" t="s">
        <v>24</v>
      </c>
      <c r="I117" t="s">
        <v>61</v>
      </c>
      <c r="J117" t="s">
        <v>187</v>
      </c>
      <c r="K117" s="95">
        <v>16</v>
      </c>
      <c r="L117" s="94">
        <v>0</v>
      </c>
      <c r="O117" t="str">
        <f t="shared" si="2"/>
        <v/>
      </c>
    </row>
    <row r="118" spans="7:15" x14ac:dyDescent="0.3">
      <c r="G118" s="93">
        <v>43592</v>
      </c>
      <c r="H118" t="s">
        <v>24</v>
      </c>
      <c r="I118" t="s">
        <v>61</v>
      </c>
      <c r="J118" t="s">
        <v>187</v>
      </c>
      <c r="K118" s="95">
        <v>8</v>
      </c>
      <c r="L118" s="94">
        <v>0</v>
      </c>
      <c r="O118" t="str">
        <f t="shared" si="2"/>
        <v/>
      </c>
    </row>
    <row r="119" spans="7:15" x14ac:dyDescent="0.3">
      <c r="G119" s="93">
        <v>43592</v>
      </c>
      <c r="H119" t="s">
        <v>24</v>
      </c>
      <c r="I119" t="s">
        <v>188</v>
      </c>
      <c r="J119" t="s">
        <v>189</v>
      </c>
      <c r="K119" s="95">
        <v>114.74</v>
      </c>
      <c r="L119" s="94">
        <v>0</v>
      </c>
      <c r="O119" t="str">
        <f t="shared" si="2"/>
        <v/>
      </c>
    </row>
    <row r="120" spans="7:15" x14ac:dyDescent="0.3">
      <c r="G120" s="93">
        <v>43592</v>
      </c>
      <c r="H120" t="s">
        <v>24</v>
      </c>
      <c r="I120" t="s">
        <v>107</v>
      </c>
      <c r="J120" t="s">
        <v>187</v>
      </c>
      <c r="K120" s="95">
        <v>147.9</v>
      </c>
      <c r="L120" s="94">
        <v>0</v>
      </c>
      <c r="O120" t="str">
        <f t="shared" si="2"/>
        <v/>
      </c>
    </row>
    <row r="121" spans="7:15" x14ac:dyDescent="0.3">
      <c r="G121" s="93">
        <v>43592</v>
      </c>
      <c r="H121" t="s">
        <v>126</v>
      </c>
      <c r="I121" t="s">
        <v>97</v>
      </c>
      <c r="J121" t="s">
        <v>187</v>
      </c>
      <c r="K121" s="95">
        <v>5.16</v>
      </c>
      <c r="L121" s="94">
        <v>0</v>
      </c>
      <c r="O121" t="str">
        <f t="shared" si="2"/>
        <v/>
      </c>
    </row>
    <row r="122" spans="7:15" x14ac:dyDescent="0.3">
      <c r="G122" s="93">
        <v>43592</v>
      </c>
      <c r="H122" t="s">
        <v>112</v>
      </c>
      <c r="I122" t="s">
        <v>107</v>
      </c>
      <c r="J122" t="s">
        <v>187</v>
      </c>
      <c r="K122" s="95">
        <v>360.16</v>
      </c>
      <c r="L122" s="94">
        <v>0</v>
      </c>
      <c r="O122" t="str">
        <f t="shared" si="2"/>
        <v/>
      </c>
    </row>
    <row r="123" spans="7:15" x14ac:dyDescent="0.3">
      <c r="G123" s="93">
        <v>43592</v>
      </c>
      <c r="H123" t="s">
        <v>110</v>
      </c>
      <c r="I123" t="s">
        <v>97</v>
      </c>
      <c r="J123" t="s">
        <v>187</v>
      </c>
      <c r="K123" s="95">
        <v>142.87</v>
      </c>
      <c r="L123" s="94">
        <v>0</v>
      </c>
      <c r="O123" t="str">
        <f t="shared" si="2"/>
        <v/>
      </c>
    </row>
    <row r="124" spans="7:15" x14ac:dyDescent="0.3">
      <c r="G124" s="93">
        <v>43592</v>
      </c>
      <c r="H124" t="s">
        <v>26</v>
      </c>
      <c r="I124" t="s">
        <v>97</v>
      </c>
      <c r="J124" t="s">
        <v>187</v>
      </c>
      <c r="K124" s="95">
        <v>35.950000000000003</v>
      </c>
      <c r="L124" s="94">
        <v>0</v>
      </c>
      <c r="O124" t="str">
        <f t="shared" si="2"/>
        <v/>
      </c>
    </row>
    <row r="125" spans="7:15" x14ac:dyDescent="0.3">
      <c r="G125" s="93">
        <v>43592</v>
      </c>
      <c r="H125" t="s">
        <v>26</v>
      </c>
      <c r="I125" t="s">
        <v>105</v>
      </c>
      <c r="J125" t="s">
        <v>187</v>
      </c>
      <c r="K125" s="95">
        <v>163.47999999999999</v>
      </c>
      <c r="L125" s="94">
        <v>0</v>
      </c>
      <c r="O125" t="str">
        <f t="shared" si="2"/>
        <v/>
      </c>
    </row>
    <row r="126" spans="7:15" x14ac:dyDescent="0.3">
      <c r="G126" s="93">
        <v>43592</v>
      </c>
      <c r="H126" t="s">
        <v>26</v>
      </c>
      <c r="I126" t="s">
        <v>105</v>
      </c>
      <c r="J126" t="s">
        <v>187</v>
      </c>
      <c r="K126" s="95">
        <v>64.31</v>
      </c>
      <c r="L126" s="94">
        <v>0</v>
      </c>
      <c r="O126" t="str">
        <f t="shared" si="2"/>
        <v/>
      </c>
    </row>
    <row r="127" spans="7:15" x14ac:dyDescent="0.3">
      <c r="G127" s="93">
        <v>43592</v>
      </c>
      <c r="H127" t="s">
        <v>26</v>
      </c>
      <c r="I127" t="s">
        <v>105</v>
      </c>
      <c r="J127" t="s">
        <v>187</v>
      </c>
      <c r="K127" s="95">
        <v>53.37</v>
      </c>
      <c r="L127" s="94">
        <v>0</v>
      </c>
      <c r="O127" t="str">
        <f t="shared" si="2"/>
        <v/>
      </c>
    </row>
    <row r="128" spans="7:15" x14ac:dyDescent="0.3">
      <c r="G128" s="93">
        <v>43592</v>
      </c>
      <c r="H128" t="s">
        <v>26</v>
      </c>
      <c r="I128" t="s">
        <v>105</v>
      </c>
      <c r="J128" t="s">
        <v>187</v>
      </c>
      <c r="K128" s="95">
        <v>42.03</v>
      </c>
      <c r="L128" s="94">
        <v>0</v>
      </c>
      <c r="O128" t="str">
        <f t="shared" si="2"/>
        <v/>
      </c>
    </row>
    <row r="129" spans="7:15" x14ac:dyDescent="0.3">
      <c r="G129" s="93">
        <v>43592</v>
      </c>
      <c r="H129" t="s">
        <v>26</v>
      </c>
      <c r="I129" t="s">
        <v>105</v>
      </c>
      <c r="J129" t="s">
        <v>187</v>
      </c>
      <c r="K129" s="95">
        <v>36.979999999999997</v>
      </c>
      <c r="L129" s="94">
        <v>0</v>
      </c>
      <c r="O129" t="str">
        <f t="shared" si="2"/>
        <v/>
      </c>
    </row>
    <row r="130" spans="7:15" x14ac:dyDescent="0.3">
      <c r="G130" s="93">
        <v>43592</v>
      </c>
      <c r="H130" t="s">
        <v>26</v>
      </c>
      <c r="I130" t="s">
        <v>105</v>
      </c>
      <c r="J130" t="s">
        <v>187</v>
      </c>
      <c r="K130" s="95">
        <v>25.57</v>
      </c>
      <c r="L130" s="94">
        <v>0</v>
      </c>
      <c r="O130" t="str">
        <f t="shared" si="2"/>
        <v/>
      </c>
    </row>
    <row r="131" spans="7:15" x14ac:dyDescent="0.3">
      <c r="G131" s="93">
        <v>43592</v>
      </c>
      <c r="H131" t="s">
        <v>26</v>
      </c>
      <c r="I131" t="s">
        <v>178</v>
      </c>
      <c r="J131" t="s">
        <v>179</v>
      </c>
      <c r="K131" s="95">
        <v>10</v>
      </c>
      <c r="L131" s="94">
        <v>0</v>
      </c>
      <c r="O131" t="str">
        <f t="shared" si="2"/>
        <v/>
      </c>
    </row>
    <row r="132" spans="7:15" x14ac:dyDescent="0.3">
      <c r="G132" s="93">
        <v>43592</v>
      </c>
      <c r="H132" t="s">
        <v>26</v>
      </c>
      <c r="I132" t="s">
        <v>64</v>
      </c>
      <c r="J132" t="s">
        <v>160</v>
      </c>
      <c r="K132" s="95">
        <v>22</v>
      </c>
      <c r="L132" s="94">
        <v>0</v>
      </c>
      <c r="O132" t="str">
        <f t="shared" si="2"/>
        <v/>
      </c>
    </row>
    <row r="133" spans="7:15" x14ac:dyDescent="0.3">
      <c r="G133" s="93">
        <v>43593</v>
      </c>
      <c r="H133" t="s">
        <v>123</v>
      </c>
      <c r="I133" t="s">
        <v>106</v>
      </c>
      <c r="J133" t="s">
        <v>190</v>
      </c>
      <c r="K133" s="95">
        <v>85.7</v>
      </c>
      <c r="L133" s="94">
        <v>0</v>
      </c>
      <c r="O133" t="str">
        <f t="shared" si="2"/>
        <v/>
      </c>
    </row>
    <row r="134" spans="7:15" x14ac:dyDescent="0.3">
      <c r="G134" s="93">
        <v>43593</v>
      </c>
      <c r="H134" t="s">
        <v>24</v>
      </c>
      <c r="I134" t="s">
        <v>61</v>
      </c>
      <c r="J134" t="s">
        <v>190</v>
      </c>
      <c r="K134" s="95">
        <v>24</v>
      </c>
      <c r="L134" s="94">
        <v>0</v>
      </c>
      <c r="O134" t="str">
        <f t="shared" si="2"/>
        <v/>
      </c>
    </row>
    <row r="135" spans="7:15" x14ac:dyDescent="0.3">
      <c r="G135" s="93">
        <v>43593</v>
      </c>
      <c r="H135" t="s">
        <v>24</v>
      </c>
      <c r="I135" t="s">
        <v>61</v>
      </c>
      <c r="J135" t="s">
        <v>190</v>
      </c>
      <c r="K135" s="95">
        <v>16</v>
      </c>
      <c r="L135" s="94">
        <v>0</v>
      </c>
      <c r="O135" t="str">
        <f t="shared" si="2"/>
        <v/>
      </c>
    </row>
    <row r="136" spans="7:15" x14ac:dyDescent="0.3">
      <c r="G136" s="93">
        <v>43593</v>
      </c>
      <c r="H136" t="s">
        <v>24</v>
      </c>
      <c r="I136" t="s">
        <v>61</v>
      </c>
      <c r="J136" t="s">
        <v>190</v>
      </c>
      <c r="K136" s="95">
        <v>8</v>
      </c>
      <c r="L136" s="94">
        <v>0</v>
      </c>
      <c r="O136" t="str">
        <f t="shared" si="2"/>
        <v/>
      </c>
    </row>
    <row r="137" spans="7:15" x14ac:dyDescent="0.3">
      <c r="G137" s="93">
        <v>43593</v>
      </c>
      <c r="H137" t="s">
        <v>117</v>
      </c>
      <c r="I137" t="s">
        <v>107</v>
      </c>
      <c r="J137" t="s">
        <v>190</v>
      </c>
      <c r="K137" s="95">
        <v>38</v>
      </c>
      <c r="L137" s="94">
        <v>0</v>
      </c>
      <c r="O137" t="str">
        <f t="shared" si="2"/>
        <v/>
      </c>
    </row>
    <row r="138" spans="7:15" x14ac:dyDescent="0.3">
      <c r="G138" s="93">
        <v>43593</v>
      </c>
      <c r="H138" t="s">
        <v>111</v>
      </c>
      <c r="I138" t="s">
        <v>107</v>
      </c>
      <c r="J138" t="s">
        <v>190</v>
      </c>
      <c r="K138" s="95">
        <v>24</v>
      </c>
      <c r="L138" s="94">
        <v>0</v>
      </c>
      <c r="O138" t="str">
        <f t="shared" ref="O138:O201" si="3">IF(P138="","",O137+1)</f>
        <v/>
      </c>
    </row>
    <row r="139" spans="7:15" x14ac:dyDescent="0.3">
      <c r="G139" s="93">
        <v>43593</v>
      </c>
      <c r="H139" t="s">
        <v>110</v>
      </c>
      <c r="I139" t="s">
        <v>61</v>
      </c>
      <c r="J139" t="s">
        <v>190</v>
      </c>
      <c r="K139" s="95">
        <v>12.64</v>
      </c>
      <c r="L139" s="94">
        <v>0</v>
      </c>
      <c r="O139" t="str">
        <f t="shared" si="3"/>
        <v/>
      </c>
    </row>
    <row r="140" spans="7:15" x14ac:dyDescent="0.3">
      <c r="G140" s="93">
        <v>43593</v>
      </c>
      <c r="H140" t="s">
        <v>110</v>
      </c>
      <c r="I140" t="s">
        <v>97</v>
      </c>
      <c r="J140" t="s">
        <v>190</v>
      </c>
      <c r="K140" s="95">
        <v>0</v>
      </c>
      <c r="L140" s="94">
        <v>129.9</v>
      </c>
      <c r="O140" t="str">
        <f t="shared" si="3"/>
        <v/>
      </c>
    </row>
    <row r="141" spans="7:15" x14ac:dyDescent="0.3">
      <c r="G141" s="93">
        <v>43593</v>
      </c>
      <c r="H141" t="s">
        <v>26</v>
      </c>
      <c r="I141" t="s">
        <v>64</v>
      </c>
      <c r="J141" t="s">
        <v>131</v>
      </c>
      <c r="K141" s="95">
        <v>4.8</v>
      </c>
      <c r="L141" s="94">
        <v>0</v>
      </c>
      <c r="O141" t="str">
        <f t="shared" si="3"/>
        <v/>
      </c>
    </row>
    <row r="142" spans="7:15" x14ac:dyDescent="0.3">
      <c r="G142" s="93">
        <v>43593</v>
      </c>
      <c r="H142" t="s">
        <v>26</v>
      </c>
      <c r="I142" t="s">
        <v>64</v>
      </c>
      <c r="J142" t="s">
        <v>155</v>
      </c>
      <c r="K142" s="95">
        <v>16.350000000000001</v>
      </c>
      <c r="L142" s="94">
        <v>0</v>
      </c>
      <c r="O142" t="str">
        <f t="shared" si="3"/>
        <v/>
      </c>
    </row>
    <row r="143" spans="7:15" x14ac:dyDescent="0.3">
      <c r="G143" s="93">
        <v>43593</v>
      </c>
      <c r="H143" t="s">
        <v>26</v>
      </c>
      <c r="I143" t="s">
        <v>64</v>
      </c>
      <c r="J143" t="s">
        <v>171</v>
      </c>
      <c r="K143" s="95">
        <v>3.6</v>
      </c>
      <c r="L143" s="94">
        <v>0</v>
      </c>
      <c r="O143" t="str">
        <f t="shared" si="3"/>
        <v/>
      </c>
    </row>
    <row r="144" spans="7:15" x14ac:dyDescent="0.3">
      <c r="G144" s="93">
        <v>43593</v>
      </c>
      <c r="H144" t="s">
        <v>26</v>
      </c>
      <c r="I144" t="s">
        <v>107</v>
      </c>
      <c r="J144" t="s">
        <v>190</v>
      </c>
      <c r="K144" s="95">
        <v>12</v>
      </c>
      <c r="L144" s="94">
        <v>0</v>
      </c>
      <c r="O144" t="str">
        <f t="shared" si="3"/>
        <v/>
      </c>
    </row>
    <row r="145" spans="7:15" x14ac:dyDescent="0.3">
      <c r="G145" s="93">
        <v>43594</v>
      </c>
      <c r="H145" t="s">
        <v>121</v>
      </c>
      <c r="I145" t="s">
        <v>61</v>
      </c>
      <c r="J145" t="s">
        <v>191</v>
      </c>
      <c r="K145" s="95">
        <v>14.5</v>
      </c>
      <c r="L145" s="94">
        <v>0</v>
      </c>
      <c r="O145" t="str">
        <f t="shared" si="3"/>
        <v/>
      </c>
    </row>
    <row r="146" spans="7:15" x14ac:dyDescent="0.3">
      <c r="G146" s="93">
        <v>43594</v>
      </c>
      <c r="H146" t="s">
        <v>25</v>
      </c>
      <c r="I146" t="s">
        <v>61</v>
      </c>
      <c r="J146" t="s">
        <v>191</v>
      </c>
      <c r="K146" s="95">
        <v>8</v>
      </c>
      <c r="L146" s="94">
        <v>0</v>
      </c>
      <c r="O146" t="str">
        <f t="shared" si="3"/>
        <v/>
      </c>
    </row>
    <row r="147" spans="7:15" x14ac:dyDescent="0.3">
      <c r="G147" s="93">
        <v>43594</v>
      </c>
      <c r="H147" t="s">
        <v>123</v>
      </c>
      <c r="I147" t="s">
        <v>108</v>
      </c>
      <c r="J147" t="s">
        <v>191</v>
      </c>
      <c r="K147" s="95">
        <v>28.95</v>
      </c>
      <c r="L147" s="94">
        <v>0</v>
      </c>
      <c r="O147" t="str">
        <f t="shared" si="3"/>
        <v/>
      </c>
    </row>
    <row r="148" spans="7:15" x14ac:dyDescent="0.3">
      <c r="G148" s="93">
        <v>43594</v>
      </c>
      <c r="H148" t="s">
        <v>119</v>
      </c>
      <c r="I148" t="s">
        <v>107</v>
      </c>
      <c r="J148" t="s">
        <v>191</v>
      </c>
      <c r="K148" s="95">
        <v>8</v>
      </c>
      <c r="L148" s="94">
        <v>0</v>
      </c>
      <c r="O148" t="str">
        <f t="shared" si="3"/>
        <v/>
      </c>
    </row>
    <row r="149" spans="7:15" x14ac:dyDescent="0.3">
      <c r="G149" s="93">
        <v>43594</v>
      </c>
      <c r="H149" t="s">
        <v>118</v>
      </c>
      <c r="I149" t="s">
        <v>97</v>
      </c>
      <c r="J149" t="s">
        <v>191</v>
      </c>
      <c r="K149" s="95">
        <v>29.5</v>
      </c>
      <c r="L149" s="94">
        <v>0</v>
      </c>
      <c r="O149" t="str">
        <f t="shared" si="3"/>
        <v/>
      </c>
    </row>
    <row r="150" spans="7:15" x14ac:dyDescent="0.3">
      <c r="G150" s="93">
        <v>43594</v>
      </c>
      <c r="H150" t="s">
        <v>24</v>
      </c>
      <c r="I150" t="s">
        <v>61</v>
      </c>
      <c r="J150" t="s">
        <v>191</v>
      </c>
      <c r="K150" s="95">
        <v>56</v>
      </c>
      <c r="L150" s="94">
        <v>0</v>
      </c>
      <c r="O150" t="str">
        <f t="shared" si="3"/>
        <v/>
      </c>
    </row>
    <row r="151" spans="7:15" x14ac:dyDescent="0.3">
      <c r="G151" s="93">
        <v>43594</v>
      </c>
      <c r="H151" t="s">
        <v>24</v>
      </c>
      <c r="I151" t="s">
        <v>61</v>
      </c>
      <c r="J151" t="s">
        <v>191</v>
      </c>
      <c r="K151" s="95">
        <v>16</v>
      </c>
      <c r="L151" s="94">
        <v>0</v>
      </c>
      <c r="O151" t="str">
        <f t="shared" si="3"/>
        <v/>
      </c>
    </row>
    <row r="152" spans="7:15" x14ac:dyDescent="0.3">
      <c r="G152" s="93">
        <v>43594</v>
      </c>
      <c r="H152" t="s">
        <v>24</v>
      </c>
      <c r="I152" t="s">
        <v>61</v>
      </c>
      <c r="J152" t="s">
        <v>191</v>
      </c>
      <c r="K152" s="95">
        <v>8</v>
      </c>
      <c r="L152" s="94">
        <v>0</v>
      </c>
      <c r="O152" t="str">
        <f t="shared" si="3"/>
        <v/>
      </c>
    </row>
    <row r="153" spans="7:15" x14ac:dyDescent="0.3">
      <c r="G153" s="93">
        <v>43594</v>
      </c>
      <c r="H153" t="s">
        <v>110</v>
      </c>
      <c r="I153" t="s">
        <v>156</v>
      </c>
      <c r="J153" t="s">
        <v>191</v>
      </c>
      <c r="K153" s="95">
        <v>90.05</v>
      </c>
      <c r="L153" s="94">
        <v>0</v>
      </c>
      <c r="O153" t="str">
        <f t="shared" si="3"/>
        <v/>
      </c>
    </row>
    <row r="154" spans="7:15" x14ac:dyDescent="0.3">
      <c r="G154" s="93">
        <v>43594</v>
      </c>
      <c r="H154" t="s">
        <v>26</v>
      </c>
      <c r="I154" t="s">
        <v>61</v>
      </c>
      <c r="J154" t="s">
        <v>191</v>
      </c>
      <c r="K154" s="95">
        <v>24</v>
      </c>
      <c r="L154" s="94">
        <v>0</v>
      </c>
      <c r="O154" t="str">
        <f t="shared" si="3"/>
        <v/>
      </c>
    </row>
    <row r="155" spans="7:15" x14ac:dyDescent="0.3">
      <c r="G155" s="93">
        <v>43594</v>
      </c>
      <c r="H155" t="s">
        <v>26</v>
      </c>
      <c r="I155" t="s">
        <v>105</v>
      </c>
      <c r="J155" t="s">
        <v>191</v>
      </c>
      <c r="K155" s="95">
        <v>43.38</v>
      </c>
      <c r="L155" s="94">
        <v>0</v>
      </c>
      <c r="O155" t="str">
        <f t="shared" si="3"/>
        <v/>
      </c>
    </row>
    <row r="156" spans="7:15" x14ac:dyDescent="0.3">
      <c r="G156" s="93">
        <v>43594</v>
      </c>
      <c r="H156" t="s">
        <v>26</v>
      </c>
      <c r="I156" t="s">
        <v>105</v>
      </c>
      <c r="J156" t="s">
        <v>191</v>
      </c>
      <c r="K156" s="95">
        <v>39.44</v>
      </c>
      <c r="L156" s="94">
        <v>0</v>
      </c>
      <c r="O156" t="str">
        <f t="shared" si="3"/>
        <v/>
      </c>
    </row>
    <row r="157" spans="7:15" x14ac:dyDescent="0.3">
      <c r="G157" s="93">
        <v>43594</v>
      </c>
      <c r="H157" t="s">
        <v>26</v>
      </c>
      <c r="I157" t="s">
        <v>105</v>
      </c>
      <c r="J157" t="s">
        <v>191</v>
      </c>
      <c r="K157" s="95">
        <v>32.82</v>
      </c>
      <c r="L157" s="94">
        <v>0</v>
      </c>
      <c r="O157" t="str">
        <f t="shared" si="3"/>
        <v/>
      </c>
    </row>
    <row r="158" spans="7:15" x14ac:dyDescent="0.3">
      <c r="G158" s="93">
        <v>43594</v>
      </c>
      <c r="H158" t="s">
        <v>26</v>
      </c>
      <c r="I158" t="s">
        <v>105</v>
      </c>
      <c r="J158" t="s">
        <v>191</v>
      </c>
      <c r="K158" s="95">
        <v>32.799999999999997</v>
      </c>
      <c r="L158" s="94">
        <v>0</v>
      </c>
      <c r="O158" t="str">
        <f t="shared" si="3"/>
        <v/>
      </c>
    </row>
    <row r="159" spans="7:15" x14ac:dyDescent="0.3">
      <c r="G159" s="93">
        <v>43594</v>
      </c>
      <c r="H159" t="s">
        <v>26</v>
      </c>
      <c r="I159" t="s">
        <v>105</v>
      </c>
      <c r="J159" t="s">
        <v>191</v>
      </c>
      <c r="K159" s="95">
        <v>20.67</v>
      </c>
      <c r="L159" s="94">
        <v>0</v>
      </c>
      <c r="O159" t="str">
        <f t="shared" si="3"/>
        <v/>
      </c>
    </row>
    <row r="160" spans="7:15" x14ac:dyDescent="0.3">
      <c r="G160" s="93">
        <v>43594</v>
      </c>
      <c r="H160" t="s">
        <v>26</v>
      </c>
      <c r="I160" t="s">
        <v>64</v>
      </c>
      <c r="J160" t="s">
        <v>177</v>
      </c>
      <c r="K160" s="95">
        <v>1.8</v>
      </c>
      <c r="L160" s="94">
        <v>0</v>
      </c>
      <c r="O160" t="str">
        <f t="shared" si="3"/>
        <v/>
      </c>
    </row>
    <row r="161" spans="7:15" x14ac:dyDescent="0.3">
      <c r="G161" s="93">
        <v>43594</v>
      </c>
      <c r="H161" t="s">
        <v>26</v>
      </c>
      <c r="I161" t="s">
        <v>64</v>
      </c>
      <c r="J161" t="s">
        <v>165</v>
      </c>
      <c r="K161" s="95">
        <v>5.55</v>
      </c>
      <c r="L161" s="94">
        <v>0</v>
      </c>
      <c r="O161" t="str">
        <f t="shared" si="3"/>
        <v/>
      </c>
    </row>
    <row r="162" spans="7:15" x14ac:dyDescent="0.3">
      <c r="G162" s="93">
        <v>43594</v>
      </c>
      <c r="H162" t="s">
        <v>26</v>
      </c>
      <c r="I162" t="s">
        <v>107</v>
      </c>
      <c r="J162" t="s">
        <v>191</v>
      </c>
      <c r="K162" s="95">
        <v>60</v>
      </c>
      <c r="L162" s="94">
        <v>0</v>
      </c>
      <c r="O162" t="str">
        <f t="shared" si="3"/>
        <v/>
      </c>
    </row>
    <row r="163" spans="7:15" x14ac:dyDescent="0.3">
      <c r="G163" s="93">
        <v>43594</v>
      </c>
      <c r="H163" t="s">
        <v>26</v>
      </c>
      <c r="I163" t="s">
        <v>107</v>
      </c>
      <c r="J163" t="s">
        <v>191</v>
      </c>
      <c r="K163" s="95">
        <v>5.4</v>
      </c>
      <c r="L163" s="94">
        <v>0</v>
      </c>
      <c r="O163" t="str">
        <f t="shared" si="3"/>
        <v/>
      </c>
    </row>
    <row r="164" spans="7:15" x14ac:dyDescent="0.3">
      <c r="G164" s="93">
        <v>43595</v>
      </c>
      <c r="H164" t="s">
        <v>127</v>
      </c>
      <c r="I164" t="s">
        <v>107</v>
      </c>
      <c r="J164" t="s">
        <v>192</v>
      </c>
      <c r="K164" s="95">
        <v>10.25</v>
      </c>
      <c r="L164" s="94">
        <v>0</v>
      </c>
      <c r="O164" t="str">
        <f t="shared" si="3"/>
        <v/>
      </c>
    </row>
    <row r="165" spans="7:15" x14ac:dyDescent="0.3">
      <c r="G165" s="93">
        <v>43595</v>
      </c>
      <c r="H165" t="s">
        <v>121</v>
      </c>
      <c r="I165" t="s">
        <v>97</v>
      </c>
      <c r="J165" t="s">
        <v>192</v>
      </c>
      <c r="K165" s="95">
        <v>728.97</v>
      </c>
      <c r="L165" s="94">
        <v>0</v>
      </c>
      <c r="O165" t="str">
        <f t="shared" si="3"/>
        <v/>
      </c>
    </row>
    <row r="166" spans="7:15" x14ac:dyDescent="0.3">
      <c r="G166" s="93">
        <v>43595</v>
      </c>
      <c r="H166" t="s">
        <v>121</v>
      </c>
      <c r="I166" t="s">
        <v>105</v>
      </c>
      <c r="J166" t="s">
        <v>192</v>
      </c>
      <c r="K166" s="95">
        <v>5.08</v>
      </c>
      <c r="L166" s="94">
        <v>0</v>
      </c>
      <c r="O166" t="str">
        <f t="shared" si="3"/>
        <v/>
      </c>
    </row>
    <row r="167" spans="7:15" x14ac:dyDescent="0.3">
      <c r="G167" s="93">
        <v>43595</v>
      </c>
      <c r="H167" t="s">
        <v>25</v>
      </c>
      <c r="I167" t="s">
        <v>61</v>
      </c>
      <c r="J167" t="s">
        <v>192</v>
      </c>
      <c r="K167" s="95">
        <v>8</v>
      </c>
      <c r="L167" s="94">
        <v>0</v>
      </c>
      <c r="O167" t="str">
        <f t="shared" si="3"/>
        <v/>
      </c>
    </row>
    <row r="168" spans="7:15" x14ac:dyDescent="0.3">
      <c r="G168" s="93">
        <v>43595</v>
      </c>
      <c r="H168" t="s">
        <v>25</v>
      </c>
      <c r="I168" t="s">
        <v>193</v>
      </c>
      <c r="J168" t="s">
        <v>194</v>
      </c>
      <c r="K168" s="95">
        <v>334.93</v>
      </c>
      <c r="L168" s="94">
        <v>0</v>
      </c>
      <c r="O168" t="str">
        <f t="shared" si="3"/>
        <v/>
      </c>
    </row>
    <row r="169" spans="7:15" x14ac:dyDescent="0.3">
      <c r="G169" s="93">
        <v>43595</v>
      </c>
      <c r="H169" t="s">
        <v>25</v>
      </c>
      <c r="I169" t="s">
        <v>193</v>
      </c>
      <c r="J169" t="s">
        <v>194</v>
      </c>
      <c r="K169" s="95">
        <v>324.77</v>
      </c>
      <c r="L169" s="94">
        <v>0</v>
      </c>
      <c r="O169" t="str">
        <f t="shared" si="3"/>
        <v/>
      </c>
    </row>
    <row r="170" spans="7:15" x14ac:dyDescent="0.3">
      <c r="G170" s="93">
        <v>43595</v>
      </c>
      <c r="H170" t="s">
        <v>25</v>
      </c>
      <c r="I170" t="s">
        <v>193</v>
      </c>
      <c r="J170" t="s">
        <v>194</v>
      </c>
      <c r="K170" s="95">
        <v>143.35</v>
      </c>
      <c r="L170" s="94">
        <v>0</v>
      </c>
      <c r="O170" t="str">
        <f t="shared" si="3"/>
        <v/>
      </c>
    </row>
    <row r="171" spans="7:15" x14ac:dyDescent="0.3">
      <c r="G171" s="93">
        <v>43595</v>
      </c>
      <c r="H171" t="s">
        <v>25</v>
      </c>
      <c r="I171" t="s">
        <v>193</v>
      </c>
      <c r="J171" t="s">
        <v>194</v>
      </c>
      <c r="K171" s="95">
        <v>108.19</v>
      </c>
      <c r="L171" s="94">
        <v>0</v>
      </c>
      <c r="O171" t="str">
        <f t="shared" si="3"/>
        <v/>
      </c>
    </row>
    <row r="172" spans="7:15" x14ac:dyDescent="0.3">
      <c r="G172" s="93">
        <v>43595</v>
      </c>
      <c r="H172" t="s">
        <v>25</v>
      </c>
      <c r="I172" t="s">
        <v>193</v>
      </c>
      <c r="J172" t="s">
        <v>194</v>
      </c>
      <c r="K172" s="95">
        <v>107.54</v>
      </c>
      <c r="L172" s="94">
        <v>0</v>
      </c>
      <c r="O172" t="str">
        <f t="shared" si="3"/>
        <v/>
      </c>
    </row>
    <row r="173" spans="7:15" x14ac:dyDescent="0.3">
      <c r="G173" s="93">
        <v>43595</v>
      </c>
      <c r="H173" t="s">
        <v>25</v>
      </c>
      <c r="I173" t="s">
        <v>193</v>
      </c>
      <c r="J173" t="s">
        <v>194</v>
      </c>
      <c r="K173" s="95">
        <v>60.14</v>
      </c>
      <c r="L173" s="94">
        <v>0</v>
      </c>
      <c r="O173" t="str">
        <f t="shared" si="3"/>
        <v/>
      </c>
    </row>
    <row r="174" spans="7:15" x14ac:dyDescent="0.3">
      <c r="G174" s="93">
        <v>43595</v>
      </c>
      <c r="H174" t="s">
        <v>25</v>
      </c>
      <c r="I174" t="s">
        <v>193</v>
      </c>
      <c r="J174" t="s">
        <v>194</v>
      </c>
      <c r="K174" s="95">
        <v>42.8</v>
      </c>
      <c r="L174" s="94">
        <v>0</v>
      </c>
      <c r="O174" t="str">
        <f t="shared" si="3"/>
        <v/>
      </c>
    </row>
    <row r="175" spans="7:15" x14ac:dyDescent="0.3">
      <c r="G175" s="93">
        <v>43595</v>
      </c>
      <c r="H175" t="s">
        <v>25</v>
      </c>
      <c r="I175" t="s">
        <v>193</v>
      </c>
      <c r="J175" t="s">
        <v>194</v>
      </c>
      <c r="K175" s="95">
        <v>40.04</v>
      </c>
      <c r="L175" s="94">
        <v>0</v>
      </c>
      <c r="O175" t="str">
        <f t="shared" si="3"/>
        <v/>
      </c>
    </row>
    <row r="176" spans="7:15" x14ac:dyDescent="0.3">
      <c r="G176" s="93">
        <v>43595</v>
      </c>
      <c r="H176" t="s">
        <v>25</v>
      </c>
      <c r="I176" t="s">
        <v>193</v>
      </c>
      <c r="J176" t="s">
        <v>194</v>
      </c>
      <c r="K176" s="95">
        <v>37.83</v>
      </c>
      <c r="L176" s="94">
        <v>0</v>
      </c>
      <c r="O176" t="str">
        <f t="shared" si="3"/>
        <v/>
      </c>
    </row>
    <row r="177" spans="7:15" x14ac:dyDescent="0.3">
      <c r="G177" s="93">
        <v>43595</v>
      </c>
      <c r="H177" t="s">
        <v>25</v>
      </c>
      <c r="I177" t="s">
        <v>193</v>
      </c>
      <c r="J177" t="s">
        <v>194</v>
      </c>
      <c r="K177" s="95">
        <v>32.380000000000003</v>
      </c>
      <c r="L177" s="94">
        <v>0</v>
      </c>
      <c r="O177" t="str">
        <f t="shared" si="3"/>
        <v/>
      </c>
    </row>
    <row r="178" spans="7:15" x14ac:dyDescent="0.3">
      <c r="G178" s="93">
        <v>43595</v>
      </c>
      <c r="H178" t="s">
        <v>25</v>
      </c>
      <c r="I178" t="s">
        <v>193</v>
      </c>
      <c r="J178" t="s">
        <v>194</v>
      </c>
      <c r="K178" s="95">
        <v>32.01</v>
      </c>
      <c r="L178" s="94">
        <v>0</v>
      </c>
      <c r="O178" t="str">
        <f t="shared" si="3"/>
        <v/>
      </c>
    </row>
    <row r="179" spans="7:15" x14ac:dyDescent="0.3">
      <c r="G179" s="93">
        <v>43595</v>
      </c>
      <c r="H179" t="s">
        <v>25</v>
      </c>
      <c r="I179" t="s">
        <v>193</v>
      </c>
      <c r="J179" t="s">
        <v>194</v>
      </c>
      <c r="K179" s="95">
        <v>27.47</v>
      </c>
      <c r="L179" s="94">
        <v>0</v>
      </c>
      <c r="O179" t="str">
        <f t="shared" si="3"/>
        <v/>
      </c>
    </row>
    <row r="180" spans="7:15" x14ac:dyDescent="0.3">
      <c r="G180" s="93">
        <v>43595</v>
      </c>
      <c r="H180" t="s">
        <v>25</v>
      </c>
      <c r="I180" t="s">
        <v>193</v>
      </c>
      <c r="J180" t="s">
        <v>194</v>
      </c>
      <c r="K180" s="95">
        <v>27.06</v>
      </c>
      <c r="L180" s="94">
        <v>0</v>
      </c>
      <c r="O180" t="str">
        <f t="shared" si="3"/>
        <v/>
      </c>
    </row>
    <row r="181" spans="7:15" x14ac:dyDescent="0.3">
      <c r="G181" s="93">
        <v>43595</v>
      </c>
      <c r="H181" t="s">
        <v>25</v>
      </c>
      <c r="I181" t="s">
        <v>193</v>
      </c>
      <c r="J181" t="s">
        <v>194</v>
      </c>
      <c r="K181" s="95">
        <v>25.48</v>
      </c>
      <c r="L181" s="94">
        <v>0</v>
      </c>
      <c r="O181" t="str">
        <f t="shared" si="3"/>
        <v/>
      </c>
    </row>
    <row r="182" spans="7:15" x14ac:dyDescent="0.3">
      <c r="G182" s="93">
        <v>43595</v>
      </c>
      <c r="H182" t="s">
        <v>25</v>
      </c>
      <c r="I182" t="s">
        <v>193</v>
      </c>
      <c r="J182" t="s">
        <v>194</v>
      </c>
      <c r="K182" s="95">
        <v>14.18</v>
      </c>
      <c r="L182" s="94">
        <v>0</v>
      </c>
      <c r="O182" t="str">
        <f t="shared" si="3"/>
        <v/>
      </c>
    </row>
    <row r="183" spans="7:15" x14ac:dyDescent="0.3">
      <c r="G183" s="93">
        <v>43595</v>
      </c>
      <c r="H183" t="s">
        <v>25</v>
      </c>
      <c r="I183" t="s">
        <v>193</v>
      </c>
      <c r="J183" t="s">
        <v>194</v>
      </c>
      <c r="K183" s="95">
        <v>12.62</v>
      </c>
      <c r="L183" s="94">
        <v>0</v>
      </c>
      <c r="O183" t="str">
        <f t="shared" si="3"/>
        <v/>
      </c>
    </row>
    <row r="184" spans="7:15" x14ac:dyDescent="0.3">
      <c r="G184" s="93">
        <v>43595</v>
      </c>
      <c r="H184" t="s">
        <v>25</v>
      </c>
      <c r="I184" t="s">
        <v>193</v>
      </c>
      <c r="J184" t="s">
        <v>194</v>
      </c>
      <c r="K184" s="95">
        <v>9.67</v>
      </c>
      <c r="L184" s="94">
        <v>0</v>
      </c>
      <c r="O184" t="str">
        <f t="shared" si="3"/>
        <v/>
      </c>
    </row>
    <row r="185" spans="7:15" x14ac:dyDescent="0.3">
      <c r="G185" s="93">
        <v>43595</v>
      </c>
      <c r="H185" t="s">
        <v>114</v>
      </c>
      <c r="I185" t="s">
        <v>193</v>
      </c>
      <c r="J185" t="s">
        <v>194</v>
      </c>
      <c r="K185" s="95">
        <v>38.590000000000003</v>
      </c>
      <c r="L185" s="94">
        <v>0</v>
      </c>
      <c r="O185" t="str">
        <f t="shared" si="3"/>
        <v/>
      </c>
    </row>
    <row r="186" spans="7:15" x14ac:dyDescent="0.3">
      <c r="G186" s="93">
        <v>43595</v>
      </c>
      <c r="H186" t="s">
        <v>123</v>
      </c>
      <c r="I186" t="s">
        <v>193</v>
      </c>
      <c r="J186" t="s">
        <v>194</v>
      </c>
      <c r="K186" s="95">
        <v>542.38</v>
      </c>
      <c r="L186" s="94">
        <v>0</v>
      </c>
      <c r="O186" t="str">
        <f t="shared" si="3"/>
        <v/>
      </c>
    </row>
    <row r="187" spans="7:15" x14ac:dyDescent="0.3">
      <c r="G187" s="93">
        <v>43595</v>
      </c>
      <c r="H187" t="s">
        <v>113</v>
      </c>
      <c r="I187" t="s">
        <v>106</v>
      </c>
      <c r="J187" t="s">
        <v>192</v>
      </c>
      <c r="K187" s="95">
        <v>81.73</v>
      </c>
      <c r="L187" s="94">
        <v>0</v>
      </c>
      <c r="O187" t="str">
        <f t="shared" si="3"/>
        <v/>
      </c>
    </row>
    <row r="188" spans="7:15" x14ac:dyDescent="0.3">
      <c r="G188" s="93">
        <v>43595</v>
      </c>
      <c r="H188" t="s">
        <v>113</v>
      </c>
      <c r="I188" t="s">
        <v>193</v>
      </c>
      <c r="J188" t="s">
        <v>194</v>
      </c>
      <c r="K188" s="95">
        <v>2309.17</v>
      </c>
      <c r="L188" s="94">
        <v>0</v>
      </c>
      <c r="O188" t="str">
        <f t="shared" si="3"/>
        <v/>
      </c>
    </row>
    <row r="189" spans="7:15" x14ac:dyDescent="0.3">
      <c r="G189" s="93">
        <v>43595</v>
      </c>
      <c r="H189" t="s">
        <v>113</v>
      </c>
      <c r="I189" t="s">
        <v>107</v>
      </c>
      <c r="J189" t="s">
        <v>192</v>
      </c>
      <c r="K189" s="95">
        <v>23.86</v>
      </c>
      <c r="L189" s="94">
        <v>0</v>
      </c>
      <c r="O189" t="str">
        <f t="shared" si="3"/>
        <v/>
      </c>
    </row>
    <row r="190" spans="7:15" x14ac:dyDescent="0.3">
      <c r="G190" s="93">
        <v>43595</v>
      </c>
      <c r="H190" t="s">
        <v>119</v>
      </c>
      <c r="I190" t="s">
        <v>106</v>
      </c>
      <c r="J190" t="s">
        <v>192</v>
      </c>
      <c r="K190" s="95">
        <v>66</v>
      </c>
      <c r="L190" s="94">
        <v>0</v>
      </c>
      <c r="O190" t="str">
        <f t="shared" si="3"/>
        <v/>
      </c>
    </row>
    <row r="191" spans="7:15" x14ac:dyDescent="0.3">
      <c r="G191" s="93">
        <v>43595</v>
      </c>
      <c r="H191" t="s">
        <v>119</v>
      </c>
      <c r="I191" t="s">
        <v>193</v>
      </c>
      <c r="J191" t="s">
        <v>194</v>
      </c>
      <c r="K191" s="95">
        <v>1368.34</v>
      </c>
      <c r="L191" s="94">
        <v>0</v>
      </c>
      <c r="O191" t="str">
        <f t="shared" si="3"/>
        <v/>
      </c>
    </row>
    <row r="192" spans="7:15" x14ac:dyDescent="0.3">
      <c r="G192" s="93">
        <v>43595</v>
      </c>
      <c r="H192" t="s">
        <v>122</v>
      </c>
      <c r="I192" t="s">
        <v>193</v>
      </c>
      <c r="J192" t="s">
        <v>194</v>
      </c>
      <c r="K192" s="95">
        <v>22.38</v>
      </c>
      <c r="L192" s="94">
        <v>0</v>
      </c>
      <c r="O192" t="str">
        <f t="shared" si="3"/>
        <v/>
      </c>
    </row>
    <row r="193" spans="7:15" x14ac:dyDescent="0.3">
      <c r="G193" s="93">
        <v>43595</v>
      </c>
      <c r="H193" t="s">
        <v>118</v>
      </c>
      <c r="I193" t="s">
        <v>193</v>
      </c>
      <c r="J193" t="s">
        <v>194</v>
      </c>
      <c r="K193" s="95">
        <v>2484.4899999999998</v>
      </c>
      <c r="L193" s="94">
        <v>0</v>
      </c>
      <c r="O193" t="str">
        <f t="shared" si="3"/>
        <v/>
      </c>
    </row>
    <row r="194" spans="7:15" x14ac:dyDescent="0.3">
      <c r="G194" s="93">
        <v>43595</v>
      </c>
      <c r="H194" t="s">
        <v>24</v>
      </c>
      <c r="I194" t="s">
        <v>61</v>
      </c>
      <c r="J194" t="s">
        <v>192</v>
      </c>
      <c r="K194" s="95">
        <v>16</v>
      </c>
      <c r="L194" s="94">
        <v>0</v>
      </c>
      <c r="O194" t="str">
        <f t="shared" si="3"/>
        <v/>
      </c>
    </row>
    <row r="195" spans="7:15" x14ac:dyDescent="0.3">
      <c r="G195" s="93">
        <v>43595</v>
      </c>
      <c r="H195" t="s">
        <v>24</v>
      </c>
      <c r="I195" t="s">
        <v>193</v>
      </c>
      <c r="J195" t="s">
        <v>194</v>
      </c>
      <c r="K195" s="95">
        <v>1143.8499999999999</v>
      </c>
      <c r="L195" s="94">
        <v>0</v>
      </c>
      <c r="O195" t="str">
        <f t="shared" si="3"/>
        <v/>
      </c>
    </row>
    <row r="196" spans="7:15" x14ac:dyDescent="0.3">
      <c r="G196" s="93">
        <v>43595</v>
      </c>
      <c r="H196" t="s">
        <v>24</v>
      </c>
      <c r="I196" t="s">
        <v>193</v>
      </c>
      <c r="J196" t="s">
        <v>194</v>
      </c>
      <c r="K196" s="95">
        <v>681.89</v>
      </c>
      <c r="L196" s="94">
        <v>0</v>
      </c>
      <c r="O196" t="str">
        <f t="shared" si="3"/>
        <v/>
      </c>
    </row>
    <row r="197" spans="7:15" x14ac:dyDescent="0.3">
      <c r="G197" s="93">
        <v>43595</v>
      </c>
      <c r="H197" t="s">
        <v>24</v>
      </c>
      <c r="I197" t="s">
        <v>193</v>
      </c>
      <c r="J197" t="s">
        <v>194</v>
      </c>
      <c r="K197" s="95">
        <v>671.12</v>
      </c>
      <c r="L197" s="94">
        <v>0</v>
      </c>
      <c r="O197" t="str">
        <f t="shared" si="3"/>
        <v/>
      </c>
    </row>
    <row r="198" spans="7:15" x14ac:dyDescent="0.3">
      <c r="G198" s="93">
        <v>43595</v>
      </c>
      <c r="H198" t="s">
        <v>24</v>
      </c>
      <c r="I198" t="s">
        <v>193</v>
      </c>
      <c r="J198" t="s">
        <v>194</v>
      </c>
      <c r="K198" s="95">
        <v>597.71</v>
      </c>
      <c r="L198" s="94">
        <v>0</v>
      </c>
      <c r="O198" t="str">
        <f t="shared" si="3"/>
        <v/>
      </c>
    </row>
    <row r="199" spans="7:15" x14ac:dyDescent="0.3">
      <c r="G199" s="93">
        <v>43595</v>
      </c>
      <c r="H199" t="s">
        <v>24</v>
      </c>
      <c r="I199" t="s">
        <v>193</v>
      </c>
      <c r="J199" t="s">
        <v>194</v>
      </c>
      <c r="K199" s="95">
        <v>597.52</v>
      </c>
      <c r="L199" s="94">
        <v>0</v>
      </c>
      <c r="O199" t="str">
        <f t="shared" si="3"/>
        <v/>
      </c>
    </row>
    <row r="200" spans="7:15" x14ac:dyDescent="0.3">
      <c r="G200" s="93">
        <v>43595</v>
      </c>
      <c r="H200" t="s">
        <v>24</v>
      </c>
      <c r="I200" t="s">
        <v>193</v>
      </c>
      <c r="J200" t="s">
        <v>194</v>
      </c>
      <c r="K200" s="95">
        <v>571.58000000000004</v>
      </c>
      <c r="L200" s="94">
        <v>0</v>
      </c>
      <c r="O200" t="str">
        <f t="shared" si="3"/>
        <v/>
      </c>
    </row>
    <row r="201" spans="7:15" x14ac:dyDescent="0.3">
      <c r="G201" s="93">
        <v>43595</v>
      </c>
      <c r="H201" t="s">
        <v>24</v>
      </c>
      <c r="I201" t="s">
        <v>193</v>
      </c>
      <c r="J201" t="s">
        <v>194</v>
      </c>
      <c r="K201" s="95">
        <v>448.2</v>
      </c>
      <c r="L201" s="94">
        <v>0</v>
      </c>
      <c r="O201" t="str">
        <f t="shared" si="3"/>
        <v/>
      </c>
    </row>
    <row r="202" spans="7:15" x14ac:dyDescent="0.3">
      <c r="G202" s="93">
        <v>43595</v>
      </c>
      <c r="H202" t="s">
        <v>24</v>
      </c>
      <c r="I202" t="s">
        <v>193</v>
      </c>
      <c r="J202" t="s">
        <v>194</v>
      </c>
      <c r="K202" s="95">
        <v>440.66</v>
      </c>
      <c r="L202" s="94">
        <v>0</v>
      </c>
      <c r="O202" t="str">
        <f t="shared" ref="O202:O265" si="4">IF(P202="","",O201+1)</f>
        <v/>
      </c>
    </row>
    <row r="203" spans="7:15" x14ac:dyDescent="0.3">
      <c r="G203" s="93">
        <v>43595</v>
      </c>
      <c r="H203" t="s">
        <v>24</v>
      </c>
      <c r="I203" t="s">
        <v>193</v>
      </c>
      <c r="J203" t="s">
        <v>194</v>
      </c>
      <c r="K203" s="95">
        <v>368.43</v>
      </c>
      <c r="L203" s="94">
        <v>0</v>
      </c>
      <c r="O203" t="str">
        <f t="shared" si="4"/>
        <v/>
      </c>
    </row>
    <row r="204" spans="7:15" x14ac:dyDescent="0.3">
      <c r="G204" s="93">
        <v>43595</v>
      </c>
      <c r="H204" t="s">
        <v>24</v>
      </c>
      <c r="I204" t="s">
        <v>193</v>
      </c>
      <c r="J204" t="s">
        <v>194</v>
      </c>
      <c r="K204" s="95">
        <v>365.42</v>
      </c>
      <c r="L204" s="94">
        <v>0</v>
      </c>
      <c r="O204" t="str">
        <f t="shared" si="4"/>
        <v/>
      </c>
    </row>
    <row r="205" spans="7:15" x14ac:dyDescent="0.3">
      <c r="G205" s="93">
        <v>43595</v>
      </c>
      <c r="H205" t="s">
        <v>24</v>
      </c>
      <c r="I205" t="s">
        <v>193</v>
      </c>
      <c r="J205" t="s">
        <v>194</v>
      </c>
      <c r="K205" s="95">
        <v>365.3</v>
      </c>
      <c r="L205" s="94">
        <v>0</v>
      </c>
      <c r="O205" t="str">
        <f t="shared" si="4"/>
        <v/>
      </c>
    </row>
    <row r="206" spans="7:15" x14ac:dyDescent="0.3">
      <c r="G206" s="93">
        <v>43595</v>
      </c>
      <c r="H206" t="s">
        <v>24</v>
      </c>
      <c r="I206" t="s">
        <v>193</v>
      </c>
      <c r="J206" t="s">
        <v>194</v>
      </c>
      <c r="K206" s="95">
        <v>360.46</v>
      </c>
      <c r="L206" s="94">
        <v>0</v>
      </c>
      <c r="O206" t="str">
        <f t="shared" si="4"/>
        <v/>
      </c>
    </row>
    <row r="207" spans="7:15" x14ac:dyDescent="0.3">
      <c r="G207" s="93">
        <v>43595</v>
      </c>
      <c r="H207" t="s">
        <v>24</v>
      </c>
      <c r="I207" t="s">
        <v>193</v>
      </c>
      <c r="J207" t="s">
        <v>194</v>
      </c>
      <c r="K207" s="95">
        <v>355.04</v>
      </c>
      <c r="L207" s="94">
        <v>0</v>
      </c>
      <c r="O207" t="str">
        <f t="shared" si="4"/>
        <v/>
      </c>
    </row>
    <row r="208" spans="7:15" x14ac:dyDescent="0.3">
      <c r="G208" s="93">
        <v>43595</v>
      </c>
      <c r="H208" t="s">
        <v>24</v>
      </c>
      <c r="I208" t="s">
        <v>193</v>
      </c>
      <c r="J208" t="s">
        <v>194</v>
      </c>
      <c r="K208" s="95">
        <v>303.57</v>
      </c>
      <c r="L208" s="94">
        <v>0</v>
      </c>
      <c r="O208" t="str">
        <f t="shared" si="4"/>
        <v/>
      </c>
    </row>
    <row r="209" spans="7:15" x14ac:dyDescent="0.3">
      <c r="G209" s="93">
        <v>43595</v>
      </c>
      <c r="H209" t="s">
        <v>24</v>
      </c>
      <c r="I209" t="s">
        <v>193</v>
      </c>
      <c r="J209" t="s">
        <v>194</v>
      </c>
      <c r="K209" s="95">
        <v>259.92</v>
      </c>
      <c r="L209" s="94">
        <v>0</v>
      </c>
      <c r="O209" t="str">
        <f t="shared" si="4"/>
        <v/>
      </c>
    </row>
    <row r="210" spans="7:15" x14ac:dyDescent="0.3">
      <c r="G210" s="93">
        <v>43595</v>
      </c>
      <c r="H210" t="s">
        <v>24</v>
      </c>
      <c r="I210" t="s">
        <v>193</v>
      </c>
      <c r="J210" t="s">
        <v>194</v>
      </c>
      <c r="K210" s="95">
        <v>252.32</v>
      </c>
      <c r="L210" s="94">
        <v>0</v>
      </c>
      <c r="O210" t="str">
        <f t="shared" si="4"/>
        <v/>
      </c>
    </row>
    <row r="211" spans="7:15" x14ac:dyDescent="0.3">
      <c r="G211" s="93">
        <v>43595</v>
      </c>
      <c r="H211" t="s">
        <v>24</v>
      </c>
      <c r="I211" t="s">
        <v>193</v>
      </c>
      <c r="J211" t="s">
        <v>194</v>
      </c>
      <c r="K211" s="95">
        <v>215.34</v>
      </c>
      <c r="L211" s="94">
        <v>0</v>
      </c>
      <c r="O211" t="str">
        <f t="shared" si="4"/>
        <v/>
      </c>
    </row>
    <row r="212" spans="7:15" x14ac:dyDescent="0.3">
      <c r="G212" s="93">
        <v>43595</v>
      </c>
      <c r="H212" t="s">
        <v>24</v>
      </c>
      <c r="I212" t="s">
        <v>193</v>
      </c>
      <c r="J212" t="s">
        <v>194</v>
      </c>
      <c r="K212" s="95">
        <v>183.98</v>
      </c>
      <c r="L212" s="94">
        <v>0</v>
      </c>
      <c r="O212" t="str">
        <f t="shared" si="4"/>
        <v/>
      </c>
    </row>
    <row r="213" spans="7:15" x14ac:dyDescent="0.3">
      <c r="G213" s="93">
        <v>43595</v>
      </c>
      <c r="H213" t="s">
        <v>24</v>
      </c>
      <c r="I213" t="s">
        <v>193</v>
      </c>
      <c r="J213" t="s">
        <v>194</v>
      </c>
      <c r="K213" s="95">
        <v>132.81</v>
      </c>
      <c r="L213" s="94">
        <v>0</v>
      </c>
      <c r="O213" t="str">
        <f t="shared" si="4"/>
        <v/>
      </c>
    </row>
    <row r="214" spans="7:15" x14ac:dyDescent="0.3">
      <c r="G214" s="93">
        <v>43595</v>
      </c>
      <c r="H214" t="s">
        <v>24</v>
      </c>
      <c r="I214" t="s">
        <v>193</v>
      </c>
      <c r="J214" t="s">
        <v>194</v>
      </c>
      <c r="K214" s="95">
        <v>125.81</v>
      </c>
      <c r="L214" s="94">
        <v>0</v>
      </c>
      <c r="O214" t="str">
        <f t="shared" si="4"/>
        <v/>
      </c>
    </row>
    <row r="215" spans="7:15" x14ac:dyDescent="0.3">
      <c r="G215" s="93">
        <v>43595</v>
      </c>
      <c r="H215" t="s">
        <v>24</v>
      </c>
      <c r="I215" t="s">
        <v>193</v>
      </c>
      <c r="J215" t="s">
        <v>194</v>
      </c>
      <c r="K215" s="95">
        <v>88.69</v>
      </c>
      <c r="L215" s="94">
        <v>0</v>
      </c>
      <c r="O215" t="str">
        <f t="shared" si="4"/>
        <v/>
      </c>
    </row>
    <row r="216" spans="7:15" x14ac:dyDescent="0.3">
      <c r="G216" s="93">
        <v>43595</v>
      </c>
      <c r="H216" t="s">
        <v>24</v>
      </c>
      <c r="I216" t="s">
        <v>193</v>
      </c>
      <c r="J216" t="s">
        <v>194</v>
      </c>
      <c r="K216" s="95">
        <v>24.96</v>
      </c>
      <c r="L216" s="94">
        <v>0</v>
      </c>
      <c r="O216" t="str">
        <f t="shared" si="4"/>
        <v/>
      </c>
    </row>
    <row r="217" spans="7:15" x14ac:dyDescent="0.3">
      <c r="G217" s="93">
        <v>43595</v>
      </c>
      <c r="H217" t="s">
        <v>24</v>
      </c>
      <c r="I217" t="s">
        <v>193</v>
      </c>
      <c r="J217" t="s">
        <v>194</v>
      </c>
      <c r="K217" s="95">
        <v>10.050000000000001</v>
      </c>
      <c r="L217" s="94">
        <v>0</v>
      </c>
      <c r="O217" t="str">
        <f t="shared" si="4"/>
        <v/>
      </c>
    </row>
    <row r="218" spans="7:15" x14ac:dyDescent="0.3">
      <c r="G218" s="93">
        <v>43595</v>
      </c>
      <c r="H218" t="s">
        <v>24</v>
      </c>
      <c r="I218" t="s">
        <v>193</v>
      </c>
      <c r="J218" t="s">
        <v>194</v>
      </c>
      <c r="K218" s="95">
        <v>9.66</v>
      </c>
      <c r="L218" s="94">
        <v>0</v>
      </c>
      <c r="O218" t="str">
        <f t="shared" si="4"/>
        <v/>
      </c>
    </row>
    <row r="219" spans="7:15" x14ac:dyDescent="0.3">
      <c r="G219" s="93">
        <v>43595</v>
      </c>
      <c r="H219" t="s">
        <v>126</v>
      </c>
      <c r="I219" t="s">
        <v>97</v>
      </c>
      <c r="J219" t="s">
        <v>192</v>
      </c>
      <c r="K219" s="95">
        <v>91.6</v>
      </c>
      <c r="L219" s="94">
        <v>0</v>
      </c>
      <c r="O219" t="str">
        <f t="shared" si="4"/>
        <v/>
      </c>
    </row>
    <row r="220" spans="7:15" x14ac:dyDescent="0.3">
      <c r="G220" s="93">
        <v>43595</v>
      </c>
      <c r="H220" t="s">
        <v>130</v>
      </c>
      <c r="I220" t="s">
        <v>193</v>
      </c>
      <c r="J220" t="s">
        <v>194</v>
      </c>
      <c r="K220" s="95">
        <v>344.62</v>
      </c>
      <c r="L220" s="94">
        <v>0</v>
      </c>
      <c r="O220" t="str">
        <f t="shared" si="4"/>
        <v/>
      </c>
    </row>
    <row r="221" spans="7:15" x14ac:dyDescent="0.3">
      <c r="G221" s="93">
        <v>43595</v>
      </c>
      <c r="H221" t="s">
        <v>111</v>
      </c>
      <c r="I221" t="s">
        <v>193</v>
      </c>
      <c r="J221" t="s">
        <v>194</v>
      </c>
      <c r="K221" s="95">
        <v>18.37</v>
      </c>
      <c r="L221" s="94">
        <v>0</v>
      </c>
      <c r="O221" t="str">
        <f t="shared" si="4"/>
        <v/>
      </c>
    </row>
    <row r="222" spans="7:15" x14ac:dyDescent="0.3">
      <c r="G222" s="93">
        <v>43595</v>
      </c>
      <c r="H222" t="s">
        <v>111</v>
      </c>
      <c r="I222" t="s">
        <v>107</v>
      </c>
      <c r="J222" t="s">
        <v>192</v>
      </c>
      <c r="K222" s="95">
        <v>14.05</v>
      </c>
      <c r="L222" s="94">
        <v>0</v>
      </c>
      <c r="O222" t="str">
        <f t="shared" si="4"/>
        <v/>
      </c>
    </row>
    <row r="223" spans="7:15" x14ac:dyDescent="0.3">
      <c r="G223" s="93">
        <v>43595</v>
      </c>
      <c r="H223" t="s">
        <v>110</v>
      </c>
      <c r="I223" t="s">
        <v>193</v>
      </c>
      <c r="J223" t="s">
        <v>194</v>
      </c>
      <c r="K223" s="95">
        <v>1065.6300000000001</v>
      </c>
      <c r="L223" s="94">
        <v>0</v>
      </c>
      <c r="O223" t="str">
        <f t="shared" si="4"/>
        <v/>
      </c>
    </row>
    <row r="224" spans="7:15" x14ac:dyDescent="0.3">
      <c r="G224" s="93">
        <v>43595</v>
      </c>
      <c r="H224" t="s">
        <v>26</v>
      </c>
      <c r="I224" t="s">
        <v>61</v>
      </c>
      <c r="J224" t="s">
        <v>192</v>
      </c>
      <c r="K224" s="95">
        <v>32</v>
      </c>
      <c r="L224" s="94">
        <v>0</v>
      </c>
      <c r="O224" t="str">
        <f t="shared" si="4"/>
        <v/>
      </c>
    </row>
    <row r="225" spans="7:15" x14ac:dyDescent="0.3">
      <c r="G225" s="93">
        <v>43595</v>
      </c>
      <c r="H225" t="s">
        <v>26</v>
      </c>
      <c r="I225" t="s">
        <v>106</v>
      </c>
      <c r="J225" t="s">
        <v>192</v>
      </c>
      <c r="K225" s="95">
        <v>30</v>
      </c>
      <c r="L225" s="94">
        <v>0</v>
      </c>
      <c r="O225" t="str">
        <f t="shared" si="4"/>
        <v/>
      </c>
    </row>
    <row r="226" spans="7:15" x14ac:dyDescent="0.3">
      <c r="G226" s="93">
        <v>43595</v>
      </c>
      <c r="H226" t="s">
        <v>26</v>
      </c>
      <c r="I226" t="s">
        <v>106</v>
      </c>
      <c r="J226" t="s">
        <v>192</v>
      </c>
      <c r="K226" s="95">
        <v>25.06</v>
      </c>
      <c r="L226" s="94">
        <v>0</v>
      </c>
      <c r="O226" t="str">
        <f t="shared" si="4"/>
        <v/>
      </c>
    </row>
    <row r="227" spans="7:15" x14ac:dyDescent="0.3">
      <c r="G227" s="93">
        <v>43595</v>
      </c>
      <c r="H227" t="s">
        <v>26</v>
      </c>
      <c r="I227" t="s">
        <v>97</v>
      </c>
      <c r="J227" t="s">
        <v>192</v>
      </c>
      <c r="K227" s="95">
        <v>9.5</v>
      </c>
      <c r="L227" s="94">
        <v>0</v>
      </c>
      <c r="O227" t="str">
        <f t="shared" si="4"/>
        <v/>
      </c>
    </row>
    <row r="228" spans="7:15" x14ac:dyDescent="0.3">
      <c r="G228" s="93">
        <v>43595</v>
      </c>
      <c r="H228" t="s">
        <v>26</v>
      </c>
      <c r="I228" t="s">
        <v>105</v>
      </c>
      <c r="J228" t="s">
        <v>192</v>
      </c>
      <c r="K228" s="95">
        <v>94.69</v>
      </c>
      <c r="L228" s="94">
        <v>0</v>
      </c>
      <c r="O228" t="str">
        <f t="shared" si="4"/>
        <v/>
      </c>
    </row>
    <row r="229" spans="7:15" x14ac:dyDescent="0.3">
      <c r="G229" s="93">
        <v>43595</v>
      </c>
      <c r="H229" t="s">
        <v>26</v>
      </c>
      <c r="I229" t="s">
        <v>105</v>
      </c>
      <c r="J229" t="s">
        <v>192</v>
      </c>
      <c r="K229" s="95">
        <v>71.5</v>
      </c>
      <c r="L229" s="94">
        <v>0</v>
      </c>
      <c r="O229" t="str">
        <f t="shared" si="4"/>
        <v/>
      </c>
    </row>
    <row r="230" spans="7:15" x14ac:dyDescent="0.3">
      <c r="G230" s="93">
        <v>43595</v>
      </c>
      <c r="H230" t="s">
        <v>26</v>
      </c>
      <c r="I230" t="s">
        <v>105</v>
      </c>
      <c r="J230" t="s">
        <v>192</v>
      </c>
      <c r="K230" s="95">
        <v>45.28</v>
      </c>
      <c r="L230" s="94">
        <v>0</v>
      </c>
      <c r="O230" t="str">
        <f t="shared" si="4"/>
        <v/>
      </c>
    </row>
    <row r="231" spans="7:15" x14ac:dyDescent="0.3">
      <c r="G231" s="93">
        <v>43595</v>
      </c>
      <c r="H231" t="s">
        <v>26</v>
      </c>
      <c r="I231" t="s">
        <v>105</v>
      </c>
      <c r="J231" t="s">
        <v>192</v>
      </c>
      <c r="K231" s="95">
        <v>21.2</v>
      </c>
      <c r="L231" s="94">
        <v>0</v>
      </c>
      <c r="O231" t="str">
        <f t="shared" si="4"/>
        <v/>
      </c>
    </row>
    <row r="232" spans="7:15" x14ac:dyDescent="0.3">
      <c r="G232" s="93">
        <v>43595</v>
      </c>
      <c r="H232" t="s">
        <v>26</v>
      </c>
      <c r="I232" t="s">
        <v>105</v>
      </c>
      <c r="J232" t="s">
        <v>192</v>
      </c>
      <c r="K232" s="95">
        <v>18.88</v>
      </c>
      <c r="L232" s="94">
        <v>0</v>
      </c>
      <c r="O232" t="str">
        <f t="shared" si="4"/>
        <v/>
      </c>
    </row>
    <row r="233" spans="7:15" x14ac:dyDescent="0.3">
      <c r="G233" s="93">
        <v>43595</v>
      </c>
      <c r="H233" t="s">
        <v>26</v>
      </c>
      <c r="I233" t="s">
        <v>105</v>
      </c>
      <c r="J233" t="s">
        <v>192</v>
      </c>
      <c r="K233" s="95">
        <v>13.99</v>
      </c>
      <c r="L233" s="94">
        <v>0</v>
      </c>
      <c r="O233" t="str">
        <f t="shared" si="4"/>
        <v/>
      </c>
    </row>
    <row r="234" spans="7:15" x14ac:dyDescent="0.3">
      <c r="G234" s="93">
        <v>43595</v>
      </c>
      <c r="H234" t="s">
        <v>26</v>
      </c>
      <c r="I234" t="s">
        <v>64</v>
      </c>
      <c r="J234" t="s">
        <v>167</v>
      </c>
      <c r="K234" s="95">
        <v>15</v>
      </c>
      <c r="L234" s="94">
        <v>0</v>
      </c>
      <c r="O234" t="str">
        <f t="shared" si="4"/>
        <v/>
      </c>
    </row>
    <row r="235" spans="7:15" x14ac:dyDescent="0.3">
      <c r="G235" s="93">
        <v>43595</v>
      </c>
      <c r="H235" t="s">
        <v>26</v>
      </c>
      <c r="I235" t="s">
        <v>64</v>
      </c>
      <c r="J235" t="s">
        <v>166</v>
      </c>
      <c r="K235" s="95">
        <v>9.5500000000000007</v>
      </c>
      <c r="L235" s="94">
        <v>0</v>
      </c>
      <c r="O235" t="str">
        <f t="shared" si="4"/>
        <v/>
      </c>
    </row>
    <row r="236" spans="7:15" x14ac:dyDescent="0.3">
      <c r="G236" s="93">
        <v>43595</v>
      </c>
      <c r="H236" t="s">
        <v>26</v>
      </c>
      <c r="I236" t="s">
        <v>64</v>
      </c>
      <c r="J236" t="s">
        <v>104</v>
      </c>
      <c r="K236" s="95">
        <v>12</v>
      </c>
      <c r="L236" s="94">
        <v>0</v>
      </c>
      <c r="O236" t="str">
        <f t="shared" si="4"/>
        <v/>
      </c>
    </row>
    <row r="237" spans="7:15" x14ac:dyDescent="0.3">
      <c r="G237" s="93">
        <v>43595</v>
      </c>
      <c r="H237" t="s">
        <v>26</v>
      </c>
      <c r="I237" t="s">
        <v>193</v>
      </c>
      <c r="J237" t="s">
        <v>194</v>
      </c>
      <c r="K237" s="95">
        <v>409.39</v>
      </c>
      <c r="L237" s="94">
        <v>0</v>
      </c>
      <c r="O237" t="str">
        <f t="shared" si="4"/>
        <v/>
      </c>
    </row>
    <row r="238" spans="7:15" x14ac:dyDescent="0.3">
      <c r="G238" s="93">
        <v>43595</v>
      </c>
      <c r="H238" t="s">
        <v>26</v>
      </c>
      <c r="I238" t="s">
        <v>193</v>
      </c>
      <c r="J238" t="s">
        <v>194</v>
      </c>
      <c r="K238" s="95">
        <v>86.68</v>
      </c>
      <c r="L238" s="94">
        <v>0</v>
      </c>
      <c r="O238" t="str">
        <f t="shared" si="4"/>
        <v/>
      </c>
    </row>
    <row r="239" spans="7:15" x14ac:dyDescent="0.3">
      <c r="G239" s="93">
        <v>43595</v>
      </c>
      <c r="H239" t="s">
        <v>26</v>
      </c>
      <c r="I239" t="s">
        <v>193</v>
      </c>
      <c r="J239" t="s">
        <v>194</v>
      </c>
      <c r="K239" s="95">
        <v>85.06</v>
      </c>
      <c r="L239" s="94">
        <v>0</v>
      </c>
      <c r="O239" t="str">
        <f t="shared" si="4"/>
        <v/>
      </c>
    </row>
    <row r="240" spans="7:15" x14ac:dyDescent="0.3">
      <c r="G240" s="93">
        <v>43595</v>
      </c>
      <c r="H240" t="s">
        <v>26</v>
      </c>
      <c r="I240" t="s">
        <v>193</v>
      </c>
      <c r="J240" t="s">
        <v>194</v>
      </c>
      <c r="K240" s="95">
        <v>83.57</v>
      </c>
      <c r="L240" s="94">
        <v>0</v>
      </c>
      <c r="O240" t="str">
        <f t="shared" si="4"/>
        <v/>
      </c>
    </row>
    <row r="241" spans="7:15" x14ac:dyDescent="0.3">
      <c r="G241" s="93">
        <v>43595</v>
      </c>
      <c r="H241" t="s">
        <v>26</v>
      </c>
      <c r="I241" t="s">
        <v>193</v>
      </c>
      <c r="J241" t="s">
        <v>194</v>
      </c>
      <c r="K241" s="95">
        <v>74.62</v>
      </c>
      <c r="L241" s="94">
        <v>0</v>
      </c>
      <c r="O241" t="str">
        <f t="shared" si="4"/>
        <v/>
      </c>
    </row>
    <row r="242" spans="7:15" x14ac:dyDescent="0.3">
      <c r="G242" s="93">
        <v>43595</v>
      </c>
      <c r="H242" t="s">
        <v>26</v>
      </c>
      <c r="I242" t="s">
        <v>193</v>
      </c>
      <c r="J242" t="s">
        <v>194</v>
      </c>
      <c r="K242" s="95">
        <v>67.13</v>
      </c>
      <c r="L242" s="94">
        <v>0</v>
      </c>
      <c r="O242" t="str">
        <f t="shared" si="4"/>
        <v/>
      </c>
    </row>
    <row r="243" spans="7:15" x14ac:dyDescent="0.3">
      <c r="G243" s="93">
        <v>43595</v>
      </c>
      <c r="H243" t="s">
        <v>26</v>
      </c>
      <c r="I243" t="s">
        <v>193</v>
      </c>
      <c r="J243" t="s">
        <v>194</v>
      </c>
      <c r="K243" s="95">
        <v>52.97</v>
      </c>
      <c r="L243" s="94">
        <v>0</v>
      </c>
      <c r="O243" t="str">
        <f t="shared" si="4"/>
        <v/>
      </c>
    </row>
    <row r="244" spans="7:15" x14ac:dyDescent="0.3">
      <c r="G244" s="93">
        <v>43595</v>
      </c>
      <c r="H244" t="s">
        <v>26</v>
      </c>
      <c r="I244" t="s">
        <v>193</v>
      </c>
      <c r="J244" t="s">
        <v>194</v>
      </c>
      <c r="K244" s="95">
        <v>38.03</v>
      </c>
      <c r="L244" s="94">
        <v>0</v>
      </c>
      <c r="O244" t="str">
        <f t="shared" si="4"/>
        <v/>
      </c>
    </row>
    <row r="245" spans="7:15" x14ac:dyDescent="0.3">
      <c r="G245" s="93">
        <v>43595</v>
      </c>
      <c r="H245" t="s">
        <v>26</v>
      </c>
      <c r="I245" t="s">
        <v>107</v>
      </c>
      <c r="J245" t="s">
        <v>192</v>
      </c>
      <c r="K245" s="95">
        <v>12</v>
      </c>
      <c r="L245" s="94">
        <v>0</v>
      </c>
      <c r="O245" t="str">
        <f t="shared" si="4"/>
        <v/>
      </c>
    </row>
    <row r="246" spans="7:15" x14ac:dyDescent="0.3">
      <c r="G246" s="93">
        <v>43596</v>
      </c>
      <c r="H246" t="s">
        <v>26</v>
      </c>
      <c r="I246" t="s">
        <v>64</v>
      </c>
      <c r="J246" t="s">
        <v>99</v>
      </c>
      <c r="K246" s="95">
        <v>6.4</v>
      </c>
      <c r="L246" s="94">
        <v>0</v>
      </c>
      <c r="O246" t="str">
        <f t="shared" si="4"/>
        <v/>
      </c>
    </row>
    <row r="247" spans="7:15" x14ac:dyDescent="0.3">
      <c r="G247" s="93">
        <v>43598</v>
      </c>
      <c r="H247" t="s">
        <v>25</v>
      </c>
      <c r="I247" t="s">
        <v>61</v>
      </c>
      <c r="J247" t="s">
        <v>195</v>
      </c>
      <c r="K247" s="95">
        <v>24</v>
      </c>
      <c r="L247" s="94">
        <v>0</v>
      </c>
      <c r="O247" t="str">
        <f t="shared" si="4"/>
        <v/>
      </c>
    </row>
    <row r="248" spans="7:15" x14ac:dyDescent="0.3">
      <c r="G248" s="93">
        <v>43598</v>
      </c>
      <c r="H248" t="s">
        <v>25</v>
      </c>
      <c r="I248" t="s">
        <v>61</v>
      </c>
      <c r="J248" t="s">
        <v>195</v>
      </c>
      <c r="K248" s="95">
        <v>8</v>
      </c>
      <c r="L248" s="94">
        <v>0</v>
      </c>
      <c r="O248" t="str">
        <f t="shared" si="4"/>
        <v/>
      </c>
    </row>
    <row r="249" spans="7:15" x14ac:dyDescent="0.3">
      <c r="G249" s="93">
        <v>43598</v>
      </c>
      <c r="H249" t="s">
        <v>118</v>
      </c>
      <c r="I249" t="s">
        <v>109</v>
      </c>
      <c r="J249" t="s">
        <v>195</v>
      </c>
      <c r="K249" s="95">
        <v>50</v>
      </c>
      <c r="L249" s="94">
        <v>0</v>
      </c>
      <c r="O249" t="str">
        <f t="shared" si="4"/>
        <v/>
      </c>
    </row>
    <row r="250" spans="7:15" x14ac:dyDescent="0.3">
      <c r="G250" s="93">
        <v>43598</v>
      </c>
      <c r="H250" t="s">
        <v>118</v>
      </c>
      <c r="I250" t="s">
        <v>97</v>
      </c>
      <c r="J250" t="s">
        <v>195</v>
      </c>
      <c r="K250" s="95">
        <v>64.650000000000006</v>
      </c>
      <c r="L250" s="94">
        <v>0</v>
      </c>
      <c r="O250" t="str">
        <f t="shared" si="4"/>
        <v/>
      </c>
    </row>
    <row r="251" spans="7:15" x14ac:dyDescent="0.3">
      <c r="G251" s="93">
        <v>43598</v>
      </c>
      <c r="H251" t="s">
        <v>24</v>
      </c>
      <c r="I251" t="s">
        <v>61</v>
      </c>
      <c r="J251" t="s">
        <v>195</v>
      </c>
      <c r="K251" s="95">
        <v>48</v>
      </c>
      <c r="L251" s="94">
        <v>0</v>
      </c>
      <c r="O251" t="str">
        <f t="shared" si="4"/>
        <v/>
      </c>
    </row>
    <row r="252" spans="7:15" x14ac:dyDescent="0.3">
      <c r="G252" s="93">
        <v>43598</v>
      </c>
      <c r="H252" t="s">
        <v>24</v>
      </c>
      <c r="I252" t="s">
        <v>61</v>
      </c>
      <c r="J252" t="s">
        <v>195</v>
      </c>
      <c r="K252" s="95">
        <v>40</v>
      </c>
      <c r="L252" s="94">
        <v>0</v>
      </c>
      <c r="O252" t="str">
        <f t="shared" si="4"/>
        <v/>
      </c>
    </row>
    <row r="253" spans="7:15" x14ac:dyDescent="0.3">
      <c r="G253" s="93">
        <v>43598</v>
      </c>
      <c r="H253" t="s">
        <v>24</v>
      </c>
      <c r="I253" t="s">
        <v>61</v>
      </c>
      <c r="J253" t="s">
        <v>195</v>
      </c>
      <c r="K253" s="95">
        <v>16</v>
      </c>
      <c r="L253" s="94">
        <v>0</v>
      </c>
      <c r="O253" t="str">
        <f t="shared" si="4"/>
        <v/>
      </c>
    </row>
    <row r="254" spans="7:15" x14ac:dyDescent="0.3">
      <c r="G254" s="93">
        <v>43598</v>
      </c>
      <c r="H254" t="s">
        <v>24</v>
      </c>
      <c r="I254" t="s">
        <v>61</v>
      </c>
      <c r="J254" t="s">
        <v>195</v>
      </c>
      <c r="K254" s="95">
        <v>8</v>
      </c>
      <c r="L254" s="94">
        <v>0</v>
      </c>
      <c r="O254" t="str">
        <f t="shared" si="4"/>
        <v/>
      </c>
    </row>
    <row r="255" spans="7:15" x14ac:dyDescent="0.3">
      <c r="G255" s="93">
        <v>43598</v>
      </c>
      <c r="H255" t="s">
        <v>111</v>
      </c>
      <c r="I255" t="s">
        <v>107</v>
      </c>
      <c r="J255" t="s">
        <v>195</v>
      </c>
      <c r="K255" s="95">
        <v>11</v>
      </c>
      <c r="L255" s="94">
        <v>0</v>
      </c>
      <c r="O255" t="str">
        <f t="shared" si="4"/>
        <v/>
      </c>
    </row>
    <row r="256" spans="7:15" x14ac:dyDescent="0.3">
      <c r="G256" s="93">
        <v>43598</v>
      </c>
      <c r="H256" t="s">
        <v>26</v>
      </c>
      <c r="I256" t="s">
        <v>61</v>
      </c>
      <c r="J256" t="s">
        <v>195</v>
      </c>
      <c r="K256" s="95">
        <v>8</v>
      </c>
      <c r="L256" s="94">
        <v>0</v>
      </c>
      <c r="O256" t="str">
        <f t="shared" si="4"/>
        <v/>
      </c>
    </row>
    <row r="257" spans="7:15" x14ac:dyDescent="0.3">
      <c r="G257" s="93">
        <v>43598</v>
      </c>
      <c r="H257" t="s">
        <v>26</v>
      </c>
      <c r="I257" t="s">
        <v>105</v>
      </c>
      <c r="J257" t="s">
        <v>195</v>
      </c>
      <c r="K257" s="95">
        <v>35</v>
      </c>
      <c r="L257" s="94">
        <v>0</v>
      </c>
      <c r="O257" t="str">
        <f t="shared" si="4"/>
        <v/>
      </c>
    </row>
    <row r="258" spans="7:15" x14ac:dyDescent="0.3">
      <c r="G258" s="93">
        <v>43598</v>
      </c>
      <c r="H258" t="s">
        <v>26</v>
      </c>
      <c r="I258" t="s">
        <v>105</v>
      </c>
      <c r="J258" t="s">
        <v>195</v>
      </c>
      <c r="K258" s="95">
        <v>24.82</v>
      </c>
      <c r="L258" s="94">
        <v>0</v>
      </c>
      <c r="O258" t="str">
        <f t="shared" si="4"/>
        <v/>
      </c>
    </row>
    <row r="259" spans="7:15" x14ac:dyDescent="0.3">
      <c r="G259" s="93">
        <v>43598</v>
      </c>
      <c r="H259" t="s">
        <v>26</v>
      </c>
      <c r="I259" t="s">
        <v>64</v>
      </c>
      <c r="J259" t="s">
        <v>162</v>
      </c>
      <c r="K259" s="95">
        <v>26</v>
      </c>
      <c r="L259" s="94">
        <v>0</v>
      </c>
      <c r="O259" t="str">
        <f t="shared" si="4"/>
        <v/>
      </c>
    </row>
    <row r="260" spans="7:15" x14ac:dyDescent="0.3">
      <c r="G260" s="93">
        <v>43598</v>
      </c>
      <c r="H260" t="s">
        <v>26</v>
      </c>
      <c r="I260" t="s">
        <v>64</v>
      </c>
      <c r="J260" t="s">
        <v>166</v>
      </c>
      <c r="K260" s="95">
        <v>4.2</v>
      </c>
      <c r="L260" s="94">
        <v>0</v>
      </c>
      <c r="O260" t="str">
        <f t="shared" si="4"/>
        <v/>
      </c>
    </row>
    <row r="261" spans="7:15" x14ac:dyDescent="0.3">
      <c r="G261" s="93">
        <v>43598</v>
      </c>
      <c r="H261" t="s">
        <v>26</v>
      </c>
      <c r="I261" t="s">
        <v>64</v>
      </c>
      <c r="J261" t="s">
        <v>164</v>
      </c>
      <c r="K261" s="95">
        <v>3</v>
      </c>
      <c r="L261" s="94">
        <v>0</v>
      </c>
      <c r="O261" t="str">
        <f t="shared" si="4"/>
        <v/>
      </c>
    </row>
    <row r="262" spans="7:15" x14ac:dyDescent="0.3">
      <c r="G262" s="93">
        <v>43599</v>
      </c>
      <c r="H262" t="s">
        <v>114</v>
      </c>
      <c r="I262" t="s">
        <v>107</v>
      </c>
      <c r="J262" t="s">
        <v>196</v>
      </c>
      <c r="K262" s="95">
        <v>25</v>
      </c>
      <c r="L262" s="94">
        <v>0</v>
      </c>
      <c r="O262" t="str">
        <f t="shared" si="4"/>
        <v/>
      </c>
    </row>
    <row r="263" spans="7:15" x14ac:dyDescent="0.3">
      <c r="G263" s="93">
        <v>43599</v>
      </c>
      <c r="H263" t="s">
        <v>111</v>
      </c>
      <c r="I263" t="s">
        <v>107</v>
      </c>
      <c r="J263" t="s">
        <v>196</v>
      </c>
      <c r="K263" s="95">
        <v>17.68</v>
      </c>
      <c r="L263" s="94">
        <v>0</v>
      </c>
      <c r="O263" t="str">
        <f t="shared" si="4"/>
        <v/>
      </c>
    </row>
    <row r="264" spans="7:15" x14ac:dyDescent="0.3">
      <c r="G264" s="93">
        <v>43599</v>
      </c>
      <c r="H264" t="s">
        <v>26</v>
      </c>
      <c r="I264" t="s">
        <v>61</v>
      </c>
      <c r="J264" t="s">
        <v>196</v>
      </c>
      <c r="K264" s="95">
        <v>8</v>
      </c>
      <c r="L264" s="94">
        <v>0</v>
      </c>
      <c r="O264" t="str">
        <f t="shared" si="4"/>
        <v/>
      </c>
    </row>
    <row r="265" spans="7:15" x14ac:dyDescent="0.3">
      <c r="G265" s="93">
        <v>43599</v>
      </c>
      <c r="H265" t="s">
        <v>26</v>
      </c>
      <c r="I265" t="s">
        <v>105</v>
      </c>
      <c r="J265" t="s">
        <v>196</v>
      </c>
      <c r="K265" s="95">
        <v>0</v>
      </c>
      <c r="L265" s="94">
        <v>5</v>
      </c>
      <c r="O265" t="str">
        <f t="shared" si="4"/>
        <v/>
      </c>
    </row>
    <row r="266" spans="7:15" x14ac:dyDescent="0.3">
      <c r="G266" s="93">
        <v>43599</v>
      </c>
      <c r="H266" t="s">
        <v>26</v>
      </c>
      <c r="I266" t="s">
        <v>64</v>
      </c>
      <c r="J266" t="s">
        <v>162</v>
      </c>
      <c r="K266" s="95">
        <v>26</v>
      </c>
      <c r="L266" s="94">
        <v>0</v>
      </c>
      <c r="O266" t="str">
        <f t="shared" ref="O266:O329" si="5">IF(P266="","",O265+1)</f>
        <v/>
      </c>
    </row>
    <row r="267" spans="7:15" x14ac:dyDescent="0.3">
      <c r="G267" s="93">
        <v>43599</v>
      </c>
      <c r="H267" t="s">
        <v>26</v>
      </c>
      <c r="I267" t="s">
        <v>64</v>
      </c>
      <c r="J267" t="s">
        <v>102</v>
      </c>
      <c r="K267" s="95">
        <v>3</v>
      </c>
      <c r="L267" s="94">
        <v>0</v>
      </c>
      <c r="O267" t="str">
        <f t="shared" si="5"/>
        <v/>
      </c>
    </row>
    <row r="268" spans="7:15" x14ac:dyDescent="0.3">
      <c r="G268" s="93">
        <v>43599</v>
      </c>
      <c r="H268" t="s">
        <v>26</v>
      </c>
      <c r="I268" t="s">
        <v>107</v>
      </c>
      <c r="J268" t="s">
        <v>196</v>
      </c>
      <c r="K268" s="95">
        <v>12</v>
      </c>
      <c r="L268" s="94">
        <v>0</v>
      </c>
      <c r="O268" t="str">
        <f t="shared" si="5"/>
        <v/>
      </c>
    </row>
    <row r="269" spans="7:15" x14ac:dyDescent="0.3">
      <c r="G269" s="93">
        <v>43600</v>
      </c>
      <c r="H269" t="s">
        <v>121</v>
      </c>
      <c r="I269" t="s">
        <v>109</v>
      </c>
      <c r="J269" t="s">
        <v>197</v>
      </c>
      <c r="K269" s="95">
        <v>281.52999999999997</v>
      </c>
      <c r="L269" s="94">
        <v>0</v>
      </c>
      <c r="O269" t="str">
        <f t="shared" si="5"/>
        <v/>
      </c>
    </row>
    <row r="270" spans="7:15" x14ac:dyDescent="0.3">
      <c r="G270" s="93">
        <v>43600</v>
      </c>
      <c r="H270" t="s">
        <v>121</v>
      </c>
      <c r="I270" t="s">
        <v>107</v>
      </c>
      <c r="J270" t="s">
        <v>197</v>
      </c>
      <c r="K270" s="95">
        <v>10.7</v>
      </c>
      <c r="L270" s="94">
        <v>0</v>
      </c>
      <c r="O270" t="str">
        <f t="shared" si="5"/>
        <v/>
      </c>
    </row>
    <row r="271" spans="7:15" x14ac:dyDescent="0.3">
      <c r="G271" s="93">
        <v>43600</v>
      </c>
      <c r="H271" t="s">
        <v>169</v>
      </c>
      <c r="I271" t="s">
        <v>107</v>
      </c>
      <c r="J271" t="s">
        <v>197</v>
      </c>
      <c r="K271" s="95">
        <v>258.66000000000003</v>
      </c>
      <c r="L271" s="94">
        <v>0</v>
      </c>
      <c r="O271" t="str">
        <f t="shared" si="5"/>
        <v/>
      </c>
    </row>
    <row r="272" spans="7:15" x14ac:dyDescent="0.3">
      <c r="G272" s="93">
        <v>43600</v>
      </c>
      <c r="H272" t="s">
        <v>118</v>
      </c>
      <c r="I272" t="s">
        <v>105</v>
      </c>
      <c r="J272" t="s">
        <v>197</v>
      </c>
      <c r="K272" s="95">
        <v>22.86</v>
      </c>
      <c r="L272" s="94">
        <v>0</v>
      </c>
      <c r="O272" t="str">
        <f t="shared" si="5"/>
        <v/>
      </c>
    </row>
    <row r="273" spans="7:15" x14ac:dyDescent="0.3">
      <c r="G273" s="93">
        <v>43600</v>
      </c>
      <c r="H273" t="s">
        <v>161</v>
      </c>
      <c r="I273" t="s">
        <v>61</v>
      </c>
      <c r="J273" t="s">
        <v>197</v>
      </c>
      <c r="K273" s="95">
        <v>138.59</v>
      </c>
      <c r="L273" s="94">
        <v>0</v>
      </c>
      <c r="O273" t="str">
        <f t="shared" si="5"/>
        <v/>
      </c>
    </row>
    <row r="274" spans="7:15" x14ac:dyDescent="0.3">
      <c r="G274" s="93">
        <v>43600</v>
      </c>
      <c r="H274" t="s">
        <v>24</v>
      </c>
      <c r="I274" t="s">
        <v>61</v>
      </c>
      <c r="J274" t="s">
        <v>197</v>
      </c>
      <c r="K274" s="95">
        <v>64</v>
      </c>
      <c r="L274" s="94">
        <v>0</v>
      </c>
      <c r="O274" t="str">
        <f t="shared" si="5"/>
        <v/>
      </c>
    </row>
    <row r="275" spans="7:15" x14ac:dyDescent="0.3">
      <c r="G275" s="93">
        <v>43600</v>
      </c>
      <c r="H275" t="s">
        <v>24</v>
      </c>
      <c r="I275" t="s">
        <v>61</v>
      </c>
      <c r="J275" t="s">
        <v>197</v>
      </c>
      <c r="K275" s="95">
        <v>40</v>
      </c>
      <c r="L275" s="94">
        <v>0</v>
      </c>
      <c r="O275" t="str">
        <f t="shared" si="5"/>
        <v/>
      </c>
    </row>
    <row r="276" spans="7:15" x14ac:dyDescent="0.3">
      <c r="G276" s="93">
        <v>43600</v>
      </c>
      <c r="H276" t="s">
        <v>24</v>
      </c>
      <c r="I276" t="s">
        <v>61</v>
      </c>
      <c r="J276" t="s">
        <v>197</v>
      </c>
      <c r="K276" s="95">
        <v>16</v>
      </c>
      <c r="L276" s="94">
        <v>0</v>
      </c>
      <c r="O276" t="str">
        <f t="shared" si="5"/>
        <v/>
      </c>
    </row>
    <row r="277" spans="7:15" x14ac:dyDescent="0.3">
      <c r="G277" s="93">
        <v>43600</v>
      </c>
      <c r="H277" t="s">
        <v>24</v>
      </c>
      <c r="I277" t="s">
        <v>61</v>
      </c>
      <c r="J277" t="s">
        <v>197</v>
      </c>
      <c r="K277" s="95">
        <v>8</v>
      </c>
      <c r="L277" s="94">
        <v>0</v>
      </c>
      <c r="O277" t="str">
        <f t="shared" si="5"/>
        <v/>
      </c>
    </row>
    <row r="278" spans="7:15" x14ac:dyDescent="0.3">
      <c r="G278" s="93">
        <v>43600</v>
      </c>
      <c r="H278" t="s">
        <v>24</v>
      </c>
      <c r="I278" t="s">
        <v>107</v>
      </c>
      <c r="J278" t="s">
        <v>197</v>
      </c>
      <c r="K278" s="95">
        <v>152</v>
      </c>
      <c r="L278" s="94">
        <v>0</v>
      </c>
      <c r="O278" t="str">
        <f t="shared" si="5"/>
        <v/>
      </c>
    </row>
    <row r="279" spans="7:15" x14ac:dyDescent="0.3">
      <c r="G279" s="93">
        <v>43600</v>
      </c>
      <c r="H279" t="s">
        <v>125</v>
      </c>
      <c r="I279" t="s">
        <v>107</v>
      </c>
      <c r="J279" t="s">
        <v>197</v>
      </c>
      <c r="K279" s="95">
        <v>127.12</v>
      </c>
      <c r="L279" s="94">
        <v>0</v>
      </c>
      <c r="O279" t="str">
        <f t="shared" si="5"/>
        <v/>
      </c>
    </row>
    <row r="280" spans="7:15" x14ac:dyDescent="0.3">
      <c r="G280" s="93">
        <v>43600</v>
      </c>
      <c r="H280" t="s">
        <v>111</v>
      </c>
      <c r="I280" t="s">
        <v>61</v>
      </c>
      <c r="J280" t="s">
        <v>197</v>
      </c>
      <c r="K280" s="95">
        <v>10</v>
      </c>
      <c r="L280" s="94">
        <v>0</v>
      </c>
      <c r="O280" t="str">
        <f t="shared" si="5"/>
        <v/>
      </c>
    </row>
    <row r="281" spans="7:15" x14ac:dyDescent="0.3">
      <c r="G281" s="93">
        <v>43600</v>
      </c>
      <c r="H281" t="s">
        <v>26</v>
      </c>
      <c r="I281" t="s">
        <v>61</v>
      </c>
      <c r="J281" t="s">
        <v>197</v>
      </c>
      <c r="K281" s="95">
        <v>130</v>
      </c>
      <c r="L281" s="94">
        <v>0</v>
      </c>
      <c r="O281" t="str">
        <f t="shared" si="5"/>
        <v/>
      </c>
    </row>
    <row r="282" spans="7:15" x14ac:dyDescent="0.3">
      <c r="G282" s="93">
        <v>43600</v>
      </c>
      <c r="H282" t="s">
        <v>26</v>
      </c>
      <c r="I282" t="s">
        <v>109</v>
      </c>
      <c r="J282" t="s">
        <v>197</v>
      </c>
      <c r="K282" s="95">
        <v>50</v>
      </c>
      <c r="L282" s="94">
        <v>0</v>
      </c>
      <c r="O282" t="str">
        <f t="shared" si="5"/>
        <v/>
      </c>
    </row>
    <row r="283" spans="7:15" x14ac:dyDescent="0.3">
      <c r="G283" s="93">
        <v>43600</v>
      </c>
      <c r="H283" t="s">
        <v>26</v>
      </c>
      <c r="I283" t="s">
        <v>97</v>
      </c>
      <c r="J283" t="s">
        <v>197</v>
      </c>
      <c r="K283" s="95">
        <v>64.95</v>
      </c>
      <c r="L283" s="94">
        <v>0</v>
      </c>
      <c r="O283" t="str">
        <f t="shared" si="5"/>
        <v/>
      </c>
    </row>
    <row r="284" spans="7:15" x14ac:dyDescent="0.3">
      <c r="G284" s="93">
        <v>43600</v>
      </c>
      <c r="H284" t="s">
        <v>26</v>
      </c>
      <c r="I284" t="s">
        <v>105</v>
      </c>
      <c r="J284" t="s">
        <v>197</v>
      </c>
      <c r="K284" s="95">
        <v>142.61000000000001</v>
      </c>
      <c r="L284" s="94">
        <v>0</v>
      </c>
      <c r="O284" t="str">
        <f t="shared" si="5"/>
        <v/>
      </c>
    </row>
    <row r="285" spans="7:15" x14ac:dyDescent="0.3">
      <c r="G285" s="93">
        <v>43600</v>
      </c>
      <c r="H285" t="s">
        <v>26</v>
      </c>
      <c r="I285" t="s">
        <v>105</v>
      </c>
      <c r="J285" t="s">
        <v>197</v>
      </c>
      <c r="K285" s="95">
        <v>122.34</v>
      </c>
      <c r="L285" s="94">
        <v>0</v>
      </c>
      <c r="O285" t="str">
        <f t="shared" si="5"/>
        <v/>
      </c>
    </row>
    <row r="286" spans="7:15" x14ac:dyDescent="0.3">
      <c r="G286" s="93">
        <v>43600</v>
      </c>
      <c r="H286" t="s">
        <v>26</v>
      </c>
      <c r="I286" t="s">
        <v>105</v>
      </c>
      <c r="J286" t="s">
        <v>197</v>
      </c>
      <c r="K286" s="95">
        <v>92.79</v>
      </c>
      <c r="L286" s="94">
        <v>0</v>
      </c>
      <c r="O286" t="str">
        <f t="shared" si="5"/>
        <v/>
      </c>
    </row>
    <row r="287" spans="7:15" x14ac:dyDescent="0.3">
      <c r="G287" s="93">
        <v>43600</v>
      </c>
      <c r="H287" t="s">
        <v>26</v>
      </c>
      <c r="I287" t="s">
        <v>105</v>
      </c>
      <c r="J287" t="s">
        <v>197</v>
      </c>
      <c r="K287" s="95">
        <v>31.14</v>
      </c>
      <c r="L287" s="94">
        <v>0</v>
      </c>
      <c r="O287" t="str">
        <f t="shared" si="5"/>
        <v/>
      </c>
    </row>
    <row r="288" spans="7:15" x14ac:dyDescent="0.3">
      <c r="G288" s="93">
        <v>43600</v>
      </c>
      <c r="H288" t="s">
        <v>26</v>
      </c>
      <c r="I288" t="s">
        <v>105</v>
      </c>
      <c r="J288" t="s">
        <v>197</v>
      </c>
      <c r="K288" s="95">
        <v>22.65</v>
      </c>
      <c r="L288" s="94">
        <v>0</v>
      </c>
      <c r="O288" t="str">
        <f t="shared" si="5"/>
        <v/>
      </c>
    </row>
    <row r="289" spans="7:15" x14ac:dyDescent="0.3">
      <c r="G289" s="93">
        <v>43600</v>
      </c>
      <c r="H289" t="s">
        <v>26</v>
      </c>
      <c r="I289" t="s">
        <v>105</v>
      </c>
      <c r="J289" t="s">
        <v>197</v>
      </c>
      <c r="K289" s="95">
        <v>19.29</v>
      </c>
      <c r="L289" s="94">
        <v>0</v>
      </c>
      <c r="O289" t="str">
        <f t="shared" si="5"/>
        <v/>
      </c>
    </row>
    <row r="290" spans="7:15" x14ac:dyDescent="0.3">
      <c r="G290" s="93">
        <v>43600</v>
      </c>
      <c r="H290" t="s">
        <v>26</v>
      </c>
      <c r="I290" t="s">
        <v>105</v>
      </c>
      <c r="J290" t="s">
        <v>197</v>
      </c>
      <c r="K290" s="95">
        <v>8.6999999999999993</v>
      </c>
      <c r="L290" s="94">
        <v>0</v>
      </c>
      <c r="O290" t="str">
        <f t="shared" si="5"/>
        <v/>
      </c>
    </row>
    <row r="291" spans="7:15" x14ac:dyDescent="0.3">
      <c r="G291" s="93">
        <v>43600</v>
      </c>
      <c r="H291" t="s">
        <v>26</v>
      </c>
      <c r="I291" t="s">
        <v>64</v>
      </c>
      <c r="J291" t="s">
        <v>163</v>
      </c>
      <c r="K291" s="95">
        <v>8.6999999999999993</v>
      </c>
      <c r="L291" s="94">
        <v>0</v>
      </c>
      <c r="O291" t="str">
        <f t="shared" si="5"/>
        <v/>
      </c>
    </row>
    <row r="292" spans="7:15" x14ac:dyDescent="0.3">
      <c r="G292" s="93">
        <v>43600</v>
      </c>
      <c r="H292" t="s">
        <v>26</v>
      </c>
      <c r="I292" t="s">
        <v>64</v>
      </c>
      <c r="J292" t="s">
        <v>168</v>
      </c>
      <c r="K292" s="95">
        <v>3</v>
      </c>
      <c r="L292" s="94">
        <v>0</v>
      </c>
      <c r="O292" t="str">
        <f t="shared" si="5"/>
        <v/>
      </c>
    </row>
    <row r="293" spans="7:15" x14ac:dyDescent="0.3">
      <c r="G293" s="93">
        <v>43601</v>
      </c>
      <c r="H293" t="s">
        <v>128</v>
      </c>
      <c r="I293" t="s">
        <v>108</v>
      </c>
      <c r="J293" t="s">
        <v>198</v>
      </c>
      <c r="K293" s="95">
        <v>0</v>
      </c>
      <c r="L293" s="94">
        <v>92.1</v>
      </c>
      <c r="O293" t="str">
        <f t="shared" si="5"/>
        <v/>
      </c>
    </row>
    <row r="294" spans="7:15" x14ac:dyDescent="0.3">
      <c r="G294" s="93">
        <v>43601</v>
      </c>
      <c r="H294" t="s">
        <v>121</v>
      </c>
      <c r="I294" t="s">
        <v>108</v>
      </c>
      <c r="J294" t="s">
        <v>198</v>
      </c>
      <c r="K294" s="95">
        <v>0</v>
      </c>
      <c r="L294" s="94">
        <v>342.3</v>
      </c>
      <c r="O294" t="str">
        <f t="shared" si="5"/>
        <v/>
      </c>
    </row>
    <row r="295" spans="7:15" x14ac:dyDescent="0.3">
      <c r="G295" s="93">
        <v>43601</v>
      </c>
      <c r="H295" t="s">
        <v>25</v>
      </c>
      <c r="I295" t="s">
        <v>61</v>
      </c>
      <c r="J295" t="s">
        <v>198</v>
      </c>
      <c r="K295" s="95">
        <v>8</v>
      </c>
      <c r="L295" s="94">
        <v>0</v>
      </c>
      <c r="O295" t="str">
        <f t="shared" si="5"/>
        <v/>
      </c>
    </row>
    <row r="296" spans="7:15" x14ac:dyDescent="0.3">
      <c r="G296" s="93">
        <v>43601</v>
      </c>
      <c r="H296" t="s">
        <v>25</v>
      </c>
      <c r="I296" t="s">
        <v>107</v>
      </c>
      <c r="J296" t="s">
        <v>198</v>
      </c>
      <c r="K296" s="95">
        <v>182</v>
      </c>
      <c r="L296" s="94">
        <v>0</v>
      </c>
      <c r="O296" t="str">
        <f t="shared" si="5"/>
        <v/>
      </c>
    </row>
    <row r="297" spans="7:15" x14ac:dyDescent="0.3">
      <c r="G297" s="93">
        <v>43601</v>
      </c>
      <c r="H297" t="s">
        <v>113</v>
      </c>
      <c r="I297" t="s">
        <v>107</v>
      </c>
      <c r="J297" t="s">
        <v>198</v>
      </c>
      <c r="K297" s="95">
        <v>21.05</v>
      </c>
      <c r="L297" s="94">
        <v>0</v>
      </c>
      <c r="O297" t="str">
        <f t="shared" si="5"/>
        <v/>
      </c>
    </row>
    <row r="298" spans="7:15" x14ac:dyDescent="0.3">
      <c r="G298" s="93">
        <v>43601</v>
      </c>
      <c r="H298" t="s">
        <v>120</v>
      </c>
      <c r="I298" t="s">
        <v>106</v>
      </c>
      <c r="J298" t="s">
        <v>198</v>
      </c>
      <c r="K298" s="95">
        <v>40</v>
      </c>
      <c r="L298" s="94">
        <v>0</v>
      </c>
      <c r="O298" t="str">
        <f t="shared" si="5"/>
        <v/>
      </c>
    </row>
    <row r="299" spans="7:15" x14ac:dyDescent="0.3">
      <c r="G299" s="93">
        <v>43601</v>
      </c>
      <c r="H299" t="s">
        <v>161</v>
      </c>
      <c r="I299" t="s">
        <v>61</v>
      </c>
      <c r="J299" t="s">
        <v>198</v>
      </c>
      <c r="K299" s="95">
        <v>159.80000000000001</v>
      </c>
      <c r="L299" s="94">
        <v>0</v>
      </c>
      <c r="O299" t="str">
        <f t="shared" si="5"/>
        <v/>
      </c>
    </row>
    <row r="300" spans="7:15" x14ac:dyDescent="0.3">
      <c r="G300" s="93">
        <v>43601</v>
      </c>
      <c r="H300" t="s">
        <v>24</v>
      </c>
      <c r="I300" t="s">
        <v>61</v>
      </c>
      <c r="J300" t="s">
        <v>198</v>
      </c>
      <c r="K300" s="95">
        <v>48</v>
      </c>
      <c r="L300" s="94">
        <v>0</v>
      </c>
      <c r="O300" t="str">
        <f t="shared" si="5"/>
        <v/>
      </c>
    </row>
    <row r="301" spans="7:15" x14ac:dyDescent="0.3">
      <c r="G301" s="93">
        <v>43601</v>
      </c>
      <c r="H301" t="s">
        <v>24</v>
      </c>
      <c r="I301" t="s">
        <v>61</v>
      </c>
      <c r="J301" t="s">
        <v>198</v>
      </c>
      <c r="K301" s="95">
        <v>40</v>
      </c>
      <c r="L301" s="94">
        <v>0</v>
      </c>
      <c r="O301" t="str">
        <f t="shared" si="5"/>
        <v/>
      </c>
    </row>
    <row r="302" spans="7:15" x14ac:dyDescent="0.3">
      <c r="G302" s="93">
        <v>43601</v>
      </c>
      <c r="H302" t="s">
        <v>24</v>
      </c>
      <c r="I302" t="s">
        <v>61</v>
      </c>
      <c r="J302" t="s">
        <v>198</v>
      </c>
      <c r="K302" s="95">
        <v>24</v>
      </c>
      <c r="L302" s="94">
        <v>0</v>
      </c>
      <c r="O302" t="str">
        <f t="shared" si="5"/>
        <v/>
      </c>
    </row>
    <row r="303" spans="7:15" x14ac:dyDescent="0.3">
      <c r="G303" s="93">
        <v>43601</v>
      </c>
      <c r="H303" t="s">
        <v>24</v>
      </c>
      <c r="I303" t="s">
        <v>61</v>
      </c>
      <c r="J303" t="s">
        <v>198</v>
      </c>
      <c r="K303" s="95">
        <v>16</v>
      </c>
      <c r="L303" s="94">
        <v>0</v>
      </c>
      <c r="O303" t="str">
        <f t="shared" si="5"/>
        <v/>
      </c>
    </row>
    <row r="304" spans="7:15" x14ac:dyDescent="0.3">
      <c r="G304" s="93">
        <v>43601</v>
      </c>
      <c r="H304" t="s">
        <v>24</v>
      </c>
      <c r="I304" t="s">
        <v>61</v>
      </c>
      <c r="J304" t="s">
        <v>198</v>
      </c>
      <c r="K304" s="95">
        <v>8</v>
      </c>
      <c r="L304" s="94">
        <v>0</v>
      </c>
      <c r="O304" t="str">
        <f t="shared" si="5"/>
        <v/>
      </c>
    </row>
    <row r="305" spans="7:15" x14ac:dyDescent="0.3">
      <c r="G305" s="93">
        <v>43601</v>
      </c>
      <c r="H305" t="s">
        <v>24</v>
      </c>
      <c r="I305" t="s">
        <v>107</v>
      </c>
      <c r="J305" t="s">
        <v>198</v>
      </c>
      <c r="K305" s="95">
        <v>676</v>
      </c>
      <c r="L305" s="94">
        <v>0</v>
      </c>
      <c r="O305" t="str">
        <f t="shared" si="5"/>
        <v/>
      </c>
    </row>
    <row r="306" spans="7:15" x14ac:dyDescent="0.3">
      <c r="G306" s="93">
        <v>43601</v>
      </c>
      <c r="H306" t="s">
        <v>126</v>
      </c>
      <c r="I306" t="s">
        <v>108</v>
      </c>
      <c r="J306" t="s">
        <v>198</v>
      </c>
      <c r="K306" s="95">
        <v>0</v>
      </c>
      <c r="L306" s="94">
        <v>0.6</v>
      </c>
      <c r="O306" t="str">
        <f t="shared" si="5"/>
        <v/>
      </c>
    </row>
    <row r="307" spans="7:15" x14ac:dyDescent="0.3">
      <c r="G307" s="93">
        <v>43601</v>
      </c>
      <c r="H307" t="s">
        <v>129</v>
      </c>
      <c r="I307" t="s">
        <v>108</v>
      </c>
      <c r="J307" t="s">
        <v>198</v>
      </c>
      <c r="K307" s="95">
        <v>0</v>
      </c>
      <c r="L307" s="94">
        <v>23</v>
      </c>
      <c r="O307" t="str">
        <f t="shared" si="5"/>
        <v/>
      </c>
    </row>
    <row r="308" spans="7:15" x14ac:dyDescent="0.3">
      <c r="G308" s="93">
        <v>43601</v>
      </c>
      <c r="H308" t="s">
        <v>117</v>
      </c>
      <c r="I308" t="s">
        <v>107</v>
      </c>
      <c r="J308" t="s">
        <v>198</v>
      </c>
      <c r="K308" s="95">
        <v>50</v>
      </c>
      <c r="L308" s="94">
        <v>0</v>
      </c>
      <c r="O308" t="str">
        <f t="shared" si="5"/>
        <v/>
      </c>
    </row>
    <row r="309" spans="7:15" x14ac:dyDescent="0.3">
      <c r="G309" s="93">
        <v>43601</v>
      </c>
      <c r="H309" t="s">
        <v>111</v>
      </c>
      <c r="I309" t="s">
        <v>108</v>
      </c>
      <c r="J309" t="s">
        <v>198</v>
      </c>
      <c r="K309" s="95">
        <v>0</v>
      </c>
      <c r="L309" s="94">
        <v>191.9</v>
      </c>
      <c r="O309" t="str">
        <f t="shared" si="5"/>
        <v/>
      </c>
    </row>
    <row r="310" spans="7:15" x14ac:dyDescent="0.3">
      <c r="G310" s="93">
        <v>43601</v>
      </c>
      <c r="H310" t="s">
        <v>110</v>
      </c>
      <c r="I310" t="s">
        <v>108</v>
      </c>
      <c r="J310" t="s">
        <v>198</v>
      </c>
      <c r="K310" s="95">
        <v>0</v>
      </c>
      <c r="L310" s="94">
        <v>614.4</v>
      </c>
      <c r="O310" t="str">
        <f t="shared" si="5"/>
        <v/>
      </c>
    </row>
    <row r="311" spans="7:15" x14ac:dyDescent="0.3">
      <c r="G311" s="93">
        <v>43601</v>
      </c>
      <c r="H311" t="s">
        <v>26</v>
      </c>
      <c r="I311" t="s">
        <v>97</v>
      </c>
      <c r="J311" t="s">
        <v>198</v>
      </c>
      <c r="K311" s="95">
        <v>112</v>
      </c>
      <c r="L311" s="94">
        <v>0</v>
      </c>
      <c r="O311" t="str">
        <f t="shared" si="5"/>
        <v/>
      </c>
    </row>
    <row r="312" spans="7:15" x14ac:dyDescent="0.3">
      <c r="G312" s="93">
        <v>43601</v>
      </c>
      <c r="H312" t="s">
        <v>26</v>
      </c>
      <c r="I312" t="s">
        <v>64</v>
      </c>
      <c r="J312" t="s">
        <v>101</v>
      </c>
      <c r="K312" s="95">
        <v>5</v>
      </c>
      <c r="L312" s="94">
        <v>0</v>
      </c>
      <c r="O312" t="str">
        <f t="shared" si="5"/>
        <v/>
      </c>
    </row>
    <row r="313" spans="7:15" x14ac:dyDescent="0.3">
      <c r="G313" s="93">
        <v>43601</v>
      </c>
      <c r="H313" t="s">
        <v>26</v>
      </c>
      <c r="I313" t="s">
        <v>64</v>
      </c>
      <c r="J313" t="s">
        <v>132</v>
      </c>
      <c r="K313" s="95">
        <v>22.5</v>
      </c>
      <c r="L313" s="94">
        <v>0</v>
      </c>
      <c r="O313" t="str">
        <f t="shared" si="5"/>
        <v/>
      </c>
    </row>
    <row r="314" spans="7:15" x14ac:dyDescent="0.3">
      <c r="G314" s="93">
        <v>43601</v>
      </c>
      <c r="H314" t="s">
        <v>26</v>
      </c>
      <c r="I314" t="s">
        <v>64</v>
      </c>
      <c r="J314" t="s">
        <v>98</v>
      </c>
      <c r="K314" s="95">
        <v>3</v>
      </c>
      <c r="L314" s="94">
        <v>0</v>
      </c>
      <c r="O314" t="str">
        <f t="shared" si="5"/>
        <v/>
      </c>
    </row>
    <row r="315" spans="7:15" x14ac:dyDescent="0.3">
      <c r="G315" s="93">
        <v>43601</v>
      </c>
      <c r="H315" t="s">
        <v>26</v>
      </c>
      <c r="I315" t="s">
        <v>107</v>
      </c>
      <c r="J315" t="s">
        <v>198</v>
      </c>
      <c r="K315" s="95">
        <v>110.5</v>
      </c>
      <c r="L315" s="94">
        <v>0</v>
      </c>
      <c r="O315" t="str">
        <f t="shared" si="5"/>
        <v/>
      </c>
    </row>
    <row r="316" spans="7:15" x14ac:dyDescent="0.3">
      <c r="G316" s="93">
        <v>43602</v>
      </c>
      <c r="H316" t="s">
        <v>128</v>
      </c>
      <c r="I316" t="s">
        <v>108</v>
      </c>
      <c r="J316" t="s">
        <v>199</v>
      </c>
      <c r="K316" s="95">
        <v>184.2</v>
      </c>
      <c r="L316" s="94">
        <v>0</v>
      </c>
      <c r="O316" t="str">
        <f t="shared" si="5"/>
        <v/>
      </c>
    </row>
    <row r="317" spans="7:15" x14ac:dyDescent="0.3">
      <c r="G317" s="93">
        <v>43602</v>
      </c>
      <c r="H317" t="s">
        <v>121</v>
      </c>
      <c r="I317" t="s">
        <v>108</v>
      </c>
      <c r="J317" t="s">
        <v>199</v>
      </c>
      <c r="K317" s="95">
        <v>684.6</v>
      </c>
      <c r="L317" s="94">
        <v>0</v>
      </c>
      <c r="O317" t="str">
        <f t="shared" si="5"/>
        <v/>
      </c>
    </row>
    <row r="318" spans="7:15" x14ac:dyDescent="0.3">
      <c r="G318" s="93">
        <v>43602</v>
      </c>
      <c r="H318" t="s">
        <v>114</v>
      </c>
      <c r="I318" t="s">
        <v>107</v>
      </c>
      <c r="J318" t="s">
        <v>199</v>
      </c>
      <c r="K318" s="95">
        <v>63.2</v>
      </c>
      <c r="L318" s="94">
        <v>0</v>
      </c>
      <c r="O318" t="str">
        <f t="shared" si="5"/>
        <v/>
      </c>
    </row>
    <row r="319" spans="7:15" x14ac:dyDescent="0.3">
      <c r="G319" s="93">
        <v>43602</v>
      </c>
      <c r="H319" t="s">
        <v>123</v>
      </c>
      <c r="I319" t="s">
        <v>107</v>
      </c>
      <c r="J319" t="s">
        <v>199</v>
      </c>
      <c r="K319" s="95">
        <v>24</v>
      </c>
      <c r="L319" s="94">
        <v>0</v>
      </c>
      <c r="O319" t="str">
        <f t="shared" si="5"/>
        <v/>
      </c>
    </row>
    <row r="320" spans="7:15" x14ac:dyDescent="0.3">
      <c r="G320" s="93">
        <v>43602</v>
      </c>
      <c r="H320" t="s">
        <v>119</v>
      </c>
      <c r="I320" t="s">
        <v>107</v>
      </c>
      <c r="J320" t="s">
        <v>199</v>
      </c>
      <c r="K320" s="95">
        <v>103.5</v>
      </c>
      <c r="L320" s="94">
        <v>0</v>
      </c>
      <c r="O320" t="str">
        <f t="shared" si="5"/>
        <v/>
      </c>
    </row>
    <row r="321" spans="7:15" x14ac:dyDescent="0.3">
      <c r="G321" s="93">
        <v>43602</v>
      </c>
      <c r="H321" t="s">
        <v>120</v>
      </c>
      <c r="I321" t="s">
        <v>40</v>
      </c>
      <c r="J321" t="s">
        <v>199</v>
      </c>
      <c r="K321" s="95">
        <v>26.78</v>
      </c>
      <c r="L321" s="94">
        <v>0</v>
      </c>
      <c r="O321" t="str">
        <f t="shared" si="5"/>
        <v/>
      </c>
    </row>
    <row r="322" spans="7:15" x14ac:dyDescent="0.3">
      <c r="G322" s="93">
        <v>43602</v>
      </c>
      <c r="H322" t="s">
        <v>122</v>
      </c>
      <c r="I322" t="s">
        <v>107</v>
      </c>
      <c r="J322" t="s">
        <v>199</v>
      </c>
      <c r="K322" s="95">
        <v>47.45</v>
      </c>
      <c r="L322" s="94">
        <v>0</v>
      </c>
      <c r="O322" t="str">
        <f t="shared" si="5"/>
        <v/>
      </c>
    </row>
    <row r="323" spans="7:15" x14ac:dyDescent="0.3">
      <c r="G323" s="93">
        <v>43602</v>
      </c>
      <c r="H323" t="s">
        <v>118</v>
      </c>
      <c r="I323" t="s">
        <v>107</v>
      </c>
      <c r="J323" t="s">
        <v>199</v>
      </c>
      <c r="K323" s="95">
        <v>24</v>
      </c>
      <c r="L323" s="94">
        <v>0</v>
      </c>
      <c r="O323" t="str">
        <f t="shared" si="5"/>
        <v/>
      </c>
    </row>
    <row r="324" spans="7:15" x14ac:dyDescent="0.3">
      <c r="G324" s="93">
        <v>43602</v>
      </c>
      <c r="H324" t="s">
        <v>126</v>
      </c>
      <c r="I324" t="s">
        <v>108</v>
      </c>
      <c r="J324" t="s">
        <v>199</v>
      </c>
      <c r="K324" s="95">
        <v>1.2</v>
      </c>
      <c r="L324" s="94">
        <v>0</v>
      </c>
      <c r="O324" t="str">
        <f t="shared" si="5"/>
        <v/>
      </c>
    </row>
    <row r="325" spans="7:15" x14ac:dyDescent="0.3">
      <c r="G325" s="93">
        <v>43602</v>
      </c>
      <c r="H325" t="s">
        <v>129</v>
      </c>
      <c r="I325" t="s">
        <v>61</v>
      </c>
      <c r="J325" t="s">
        <v>199</v>
      </c>
      <c r="K325" s="95">
        <v>74.099999999999994</v>
      </c>
      <c r="L325" s="94">
        <v>0</v>
      </c>
      <c r="O325" t="str">
        <f t="shared" si="5"/>
        <v/>
      </c>
    </row>
    <row r="326" spans="7:15" x14ac:dyDescent="0.3">
      <c r="G326" s="93">
        <v>43602</v>
      </c>
      <c r="H326" t="s">
        <v>129</v>
      </c>
      <c r="I326" t="s">
        <v>108</v>
      </c>
      <c r="J326" t="s">
        <v>199</v>
      </c>
      <c r="K326" s="95">
        <v>46</v>
      </c>
      <c r="L326" s="94">
        <v>0</v>
      </c>
      <c r="O326" t="str">
        <f t="shared" si="5"/>
        <v/>
      </c>
    </row>
    <row r="327" spans="7:15" x14ac:dyDescent="0.3">
      <c r="G327" s="93">
        <v>43602</v>
      </c>
      <c r="H327" t="s">
        <v>111</v>
      </c>
      <c r="I327" t="s">
        <v>108</v>
      </c>
      <c r="J327" t="s">
        <v>199</v>
      </c>
      <c r="K327" s="95">
        <v>383.8</v>
      </c>
      <c r="L327" s="94">
        <v>0</v>
      </c>
      <c r="O327" t="str">
        <f t="shared" si="5"/>
        <v/>
      </c>
    </row>
    <row r="328" spans="7:15" x14ac:dyDescent="0.3">
      <c r="G328" s="93">
        <v>43602</v>
      </c>
      <c r="H328" t="s">
        <v>111</v>
      </c>
      <c r="I328" t="s">
        <v>107</v>
      </c>
      <c r="J328" t="s">
        <v>199</v>
      </c>
      <c r="K328" s="95">
        <v>20.22</v>
      </c>
      <c r="L328" s="94">
        <v>0</v>
      </c>
      <c r="O328" t="str">
        <f t="shared" si="5"/>
        <v/>
      </c>
    </row>
    <row r="329" spans="7:15" x14ac:dyDescent="0.3">
      <c r="G329" s="93">
        <v>43602</v>
      </c>
      <c r="H329" t="s">
        <v>110</v>
      </c>
      <c r="I329" t="s">
        <v>108</v>
      </c>
      <c r="J329" t="s">
        <v>199</v>
      </c>
      <c r="K329" s="95">
        <v>1228.8</v>
      </c>
      <c r="L329" s="94">
        <v>0</v>
      </c>
      <c r="O329" t="str">
        <f t="shared" si="5"/>
        <v/>
      </c>
    </row>
    <row r="330" spans="7:15" x14ac:dyDescent="0.3">
      <c r="G330" s="93">
        <v>43602</v>
      </c>
      <c r="H330" t="s">
        <v>110</v>
      </c>
      <c r="I330" t="s">
        <v>188</v>
      </c>
      <c r="J330" t="s">
        <v>200</v>
      </c>
      <c r="K330" s="95">
        <v>2.27</v>
      </c>
      <c r="L330" s="94">
        <v>0</v>
      </c>
      <c r="O330" t="str">
        <f t="shared" ref="O330:O393" si="6">IF(P330="","",O329+1)</f>
        <v/>
      </c>
    </row>
    <row r="331" spans="7:15" x14ac:dyDescent="0.3">
      <c r="G331" s="93">
        <v>43602</v>
      </c>
      <c r="H331" t="s">
        <v>26</v>
      </c>
      <c r="I331" t="s">
        <v>64</v>
      </c>
      <c r="J331" t="s">
        <v>132</v>
      </c>
      <c r="K331" s="95">
        <v>22.5</v>
      </c>
      <c r="L331" s="94">
        <v>0</v>
      </c>
      <c r="O331" t="str">
        <f t="shared" si="6"/>
        <v/>
      </c>
    </row>
    <row r="332" spans="7:15" x14ac:dyDescent="0.3">
      <c r="G332" s="93">
        <v>43602</v>
      </c>
      <c r="H332" t="s">
        <v>26</v>
      </c>
      <c r="I332" t="s">
        <v>64</v>
      </c>
      <c r="J332" t="s">
        <v>157</v>
      </c>
      <c r="K332" s="95">
        <v>9</v>
      </c>
      <c r="L332" s="94">
        <v>0</v>
      </c>
      <c r="O332" t="str">
        <f t="shared" si="6"/>
        <v/>
      </c>
    </row>
    <row r="333" spans="7:15" x14ac:dyDescent="0.3">
      <c r="G333" s="93">
        <v>43603</v>
      </c>
      <c r="H333" t="s">
        <v>176</v>
      </c>
      <c r="I333" t="s">
        <v>106</v>
      </c>
      <c r="J333" t="s">
        <v>201</v>
      </c>
      <c r="K333" s="95">
        <v>526.63</v>
      </c>
      <c r="L333" s="94">
        <v>0</v>
      </c>
      <c r="O333" t="str">
        <f t="shared" si="6"/>
        <v/>
      </c>
    </row>
    <row r="334" spans="7:15" x14ac:dyDescent="0.3">
      <c r="G334" s="93">
        <v>43603</v>
      </c>
      <c r="H334" t="s">
        <v>116</v>
      </c>
      <c r="I334" t="s">
        <v>61</v>
      </c>
      <c r="J334" t="s">
        <v>201</v>
      </c>
      <c r="K334" s="95">
        <v>12.5</v>
      </c>
      <c r="L334" s="94">
        <v>0</v>
      </c>
      <c r="O334" t="str">
        <f t="shared" si="6"/>
        <v/>
      </c>
    </row>
    <row r="335" spans="7:15" x14ac:dyDescent="0.3">
      <c r="G335" s="93">
        <v>43603</v>
      </c>
      <c r="H335" t="s">
        <v>119</v>
      </c>
      <c r="I335" t="s">
        <v>107</v>
      </c>
      <c r="J335" t="s">
        <v>201</v>
      </c>
      <c r="K335" s="95">
        <v>25.2</v>
      </c>
      <c r="L335" s="94">
        <v>0</v>
      </c>
      <c r="O335" t="str">
        <f t="shared" si="6"/>
        <v/>
      </c>
    </row>
    <row r="336" spans="7:15" x14ac:dyDescent="0.3">
      <c r="G336" s="93">
        <v>43603</v>
      </c>
      <c r="H336" t="s">
        <v>118</v>
      </c>
      <c r="I336" t="s">
        <v>106</v>
      </c>
      <c r="J336" t="s">
        <v>201</v>
      </c>
      <c r="K336" s="95">
        <v>65.75</v>
      </c>
      <c r="L336" s="94">
        <v>0</v>
      </c>
      <c r="O336" t="str">
        <f t="shared" si="6"/>
        <v/>
      </c>
    </row>
    <row r="337" spans="7:15" x14ac:dyDescent="0.3">
      <c r="G337" s="93">
        <v>43603</v>
      </c>
      <c r="H337" t="s">
        <v>24</v>
      </c>
      <c r="I337" t="s">
        <v>61</v>
      </c>
      <c r="J337" t="s">
        <v>201</v>
      </c>
      <c r="K337" s="95">
        <v>96</v>
      </c>
      <c r="L337" s="94">
        <v>0</v>
      </c>
      <c r="O337" t="str">
        <f t="shared" si="6"/>
        <v/>
      </c>
    </row>
    <row r="338" spans="7:15" x14ac:dyDescent="0.3">
      <c r="G338" s="93">
        <v>43603</v>
      </c>
      <c r="H338" t="s">
        <v>24</v>
      </c>
      <c r="I338" t="s">
        <v>61</v>
      </c>
      <c r="J338" t="s">
        <v>201</v>
      </c>
      <c r="K338" s="95">
        <v>80</v>
      </c>
      <c r="L338" s="94">
        <v>0</v>
      </c>
      <c r="O338" t="str">
        <f t="shared" si="6"/>
        <v/>
      </c>
    </row>
    <row r="339" spans="7:15" x14ac:dyDescent="0.3">
      <c r="G339" s="93">
        <v>43603</v>
      </c>
      <c r="H339" t="s">
        <v>24</v>
      </c>
      <c r="I339" t="s">
        <v>61</v>
      </c>
      <c r="J339" t="s">
        <v>201</v>
      </c>
      <c r="K339" s="95">
        <v>64</v>
      </c>
      <c r="L339" s="94">
        <v>0</v>
      </c>
      <c r="O339" t="str">
        <f t="shared" si="6"/>
        <v/>
      </c>
    </row>
    <row r="340" spans="7:15" x14ac:dyDescent="0.3">
      <c r="G340" s="93">
        <v>43603</v>
      </c>
      <c r="H340" t="s">
        <v>24</v>
      </c>
      <c r="I340" t="s">
        <v>61</v>
      </c>
      <c r="J340" t="s">
        <v>201</v>
      </c>
      <c r="K340" s="95">
        <v>56</v>
      </c>
      <c r="L340" s="94">
        <v>0</v>
      </c>
      <c r="O340" t="str">
        <f t="shared" si="6"/>
        <v/>
      </c>
    </row>
    <row r="341" spans="7:15" x14ac:dyDescent="0.3">
      <c r="G341" s="93">
        <v>43603</v>
      </c>
      <c r="H341" t="s">
        <v>24</v>
      </c>
      <c r="I341" t="s">
        <v>61</v>
      </c>
      <c r="J341" t="s">
        <v>201</v>
      </c>
      <c r="K341" s="95">
        <v>40</v>
      </c>
      <c r="L341" s="94">
        <v>0</v>
      </c>
      <c r="O341" t="str">
        <f t="shared" si="6"/>
        <v/>
      </c>
    </row>
    <row r="342" spans="7:15" x14ac:dyDescent="0.3">
      <c r="G342" s="93">
        <v>43603</v>
      </c>
      <c r="H342" t="s">
        <v>24</v>
      </c>
      <c r="I342" t="s">
        <v>61</v>
      </c>
      <c r="J342" t="s">
        <v>201</v>
      </c>
      <c r="K342" s="95">
        <v>32</v>
      </c>
      <c r="L342" s="94">
        <v>0</v>
      </c>
      <c r="O342" t="str">
        <f t="shared" si="6"/>
        <v/>
      </c>
    </row>
    <row r="343" spans="7:15" x14ac:dyDescent="0.3">
      <c r="G343" s="93">
        <v>43603</v>
      </c>
      <c r="H343" t="s">
        <v>24</v>
      </c>
      <c r="I343" t="s">
        <v>61</v>
      </c>
      <c r="J343" t="s">
        <v>201</v>
      </c>
      <c r="K343" s="95">
        <v>24</v>
      </c>
      <c r="L343" s="94">
        <v>0</v>
      </c>
      <c r="O343" t="str">
        <f t="shared" si="6"/>
        <v/>
      </c>
    </row>
    <row r="344" spans="7:15" x14ac:dyDescent="0.3">
      <c r="G344" s="93">
        <v>43603</v>
      </c>
      <c r="H344" t="s">
        <v>24</v>
      </c>
      <c r="I344" t="s">
        <v>61</v>
      </c>
      <c r="J344" t="s">
        <v>201</v>
      </c>
      <c r="K344" s="95">
        <v>16</v>
      </c>
      <c r="L344" s="94">
        <v>0</v>
      </c>
      <c r="O344" t="str">
        <f t="shared" si="6"/>
        <v/>
      </c>
    </row>
    <row r="345" spans="7:15" x14ac:dyDescent="0.3">
      <c r="G345" s="93">
        <v>43603</v>
      </c>
      <c r="H345" t="s">
        <v>24</v>
      </c>
      <c r="I345" t="s">
        <v>61</v>
      </c>
      <c r="J345" t="s">
        <v>201</v>
      </c>
      <c r="K345" s="95">
        <v>8</v>
      </c>
      <c r="L345" s="94">
        <v>0</v>
      </c>
      <c r="O345" t="str">
        <f t="shared" si="6"/>
        <v/>
      </c>
    </row>
    <row r="346" spans="7:15" x14ac:dyDescent="0.3">
      <c r="G346" s="93">
        <v>43603</v>
      </c>
      <c r="H346" t="s">
        <v>26</v>
      </c>
      <c r="I346" t="s">
        <v>107</v>
      </c>
      <c r="J346" t="s">
        <v>201</v>
      </c>
      <c r="K346" s="95">
        <v>40</v>
      </c>
      <c r="L346" s="94">
        <v>0</v>
      </c>
      <c r="O346" t="str">
        <f t="shared" si="6"/>
        <v/>
      </c>
    </row>
    <row r="347" spans="7:15" x14ac:dyDescent="0.3">
      <c r="G347" s="93">
        <v>43603</v>
      </c>
      <c r="H347" t="s">
        <v>26</v>
      </c>
      <c r="I347" t="s">
        <v>107</v>
      </c>
      <c r="J347" t="s">
        <v>201</v>
      </c>
      <c r="K347" s="95">
        <v>12</v>
      </c>
      <c r="L347" s="94">
        <v>0</v>
      </c>
      <c r="O347" t="str">
        <f t="shared" si="6"/>
        <v/>
      </c>
    </row>
    <row r="348" spans="7:15" x14ac:dyDescent="0.3">
      <c r="G348" s="93">
        <v>43605</v>
      </c>
      <c r="H348" t="s">
        <v>114</v>
      </c>
      <c r="I348" t="s">
        <v>108</v>
      </c>
      <c r="J348" t="s">
        <v>202</v>
      </c>
      <c r="K348" s="95">
        <v>0</v>
      </c>
      <c r="L348" s="94">
        <v>9.1999999999999993</v>
      </c>
      <c r="O348" t="str">
        <f t="shared" si="6"/>
        <v/>
      </c>
    </row>
    <row r="349" spans="7:15" x14ac:dyDescent="0.3">
      <c r="G349" s="93">
        <v>43605</v>
      </c>
      <c r="H349" t="s">
        <v>24</v>
      </c>
      <c r="I349" t="s">
        <v>61</v>
      </c>
      <c r="J349" t="s">
        <v>202</v>
      </c>
      <c r="K349" s="95">
        <v>56</v>
      </c>
      <c r="L349" s="94">
        <v>0</v>
      </c>
      <c r="O349" t="str">
        <f t="shared" si="6"/>
        <v/>
      </c>
    </row>
    <row r="350" spans="7:15" x14ac:dyDescent="0.3">
      <c r="G350" s="93">
        <v>43605</v>
      </c>
      <c r="H350" t="s">
        <v>26</v>
      </c>
      <c r="I350" t="s">
        <v>107</v>
      </c>
      <c r="J350" t="s">
        <v>202</v>
      </c>
      <c r="K350" s="95">
        <v>19</v>
      </c>
      <c r="L350" s="94">
        <v>0</v>
      </c>
      <c r="O350" t="str">
        <f t="shared" si="6"/>
        <v/>
      </c>
    </row>
    <row r="351" spans="7:15" x14ac:dyDescent="0.3">
      <c r="G351" s="93">
        <v>43606</v>
      </c>
      <c r="H351" t="s">
        <v>127</v>
      </c>
      <c r="I351" t="s">
        <v>97</v>
      </c>
      <c r="J351" t="s">
        <v>203</v>
      </c>
      <c r="K351" s="95">
        <v>64.86</v>
      </c>
      <c r="L351" s="94">
        <v>0</v>
      </c>
      <c r="O351" t="str">
        <f t="shared" si="6"/>
        <v/>
      </c>
    </row>
    <row r="352" spans="7:15" x14ac:dyDescent="0.3">
      <c r="G352" s="93">
        <v>43606</v>
      </c>
      <c r="H352" t="s">
        <v>25</v>
      </c>
      <c r="I352" t="s">
        <v>61</v>
      </c>
      <c r="J352" t="s">
        <v>203</v>
      </c>
      <c r="K352" s="95">
        <v>8</v>
      </c>
      <c r="L352" s="94">
        <v>0</v>
      </c>
      <c r="O352" t="str">
        <f t="shared" si="6"/>
        <v/>
      </c>
    </row>
    <row r="353" spans="7:15" x14ac:dyDescent="0.3">
      <c r="G353" s="93">
        <v>43606</v>
      </c>
      <c r="H353" t="s">
        <v>113</v>
      </c>
      <c r="I353" t="s">
        <v>107</v>
      </c>
      <c r="J353" t="s">
        <v>203</v>
      </c>
      <c r="K353" s="95">
        <v>55</v>
      </c>
      <c r="L353" s="94">
        <v>0</v>
      </c>
      <c r="O353" t="str">
        <f t="shared" si="6"/>
        <v/>
      </c>
    </row>
    <row r="354" spans="7:15" x14ac:dyDescent="0.3">
      <c r="G354" s="93">
        <v>43606</v>
      </c>
      <c r="H354" t="s">
        <v>118</v>
      </c>
      <c r="I354" t="s">
        <v>106</v>
      </c>
      <c r="J354" t="s">
        <v>203</v>
      </c>
      <c r="K354" s="95">
        <v>32.68</v>
      </c>
      <c r="L354" s="94">
        <v>0</v>
      </c>
      <c r="O354" t="str">
        <f t="shared" si="6"/>
        <v/>
      </c>
    </row>
    <row r="355" spans="7:15" x14ac:dyDescent="0.3">
      <c r="G355" s="93">
        <v>43606</v>
      </c>
      <c r="H355" t="s">
        <v>118</v>
      </c>
      <c r="I355" t="s">
        <v>97</v>
      </c>
      <c r="J355" t="s">
        <v>203</v>
      </c>
      <c r="K355" s="95">
        <v>0</v>
      </c>
      <c r="L355" s="94">
        <v>33.36</v>
      </c>
      <c r="O355" t="str">
        <f t="shared" si="6"/>
        <v/>
      </c>
    </row>
    <row r="356" spans="7:15" x14ac:dyDescent="0.3">
      <c r="G356" s="93">
        <v>43606</v>
      </c>
      <c r="H356" t="s">
        <v>118</v>
      </c>
      <c r="I356" t="s">
        <v>105</v>
      </c>
      <c r="J356" t="s">
        <v>203</v>
      </c>
      <c r="K356" s="95">
        <v>32.1</v>
      </c>
      <c r="L356" s="94">
        <v>0</v>
      </c>
      <c r="O356" t="str">
        <f t="shared" si="6"/>
        <v/>
      </c>
    </row>
    <row r="357" spans="7:15" x14ac:dyDescent="0.3">
      <c r="G357" s="93">
        <v>43606</v>
      </c>
      <c r="H357" t="s">
        <v>24</v>
      </c>
      <c r="I357" t="s">
        <v>61</v>
      </c>
      <c r="J357" t="s">
        <v>203</v>
      </c>
      <c r="K357" s="95">
        <v>72</v>
      </c>
      <c r="L357" s="94">
        <v>0</v>
      </c>
      <c r="O357" t="str">
        <f t="shared" si="6"/>
        <v/>
      </c>
    </row>
    <row r="358" spans="7:15" x14ac:dyDescent="0.3">
      <c r="G358" s="93">
        <v>43606</v>
      </c>
      <c r="H358" t="s">
        <v>24</v>
      </c>
      <c r="I358" t="s">
        <v>61</v>
      </c>
      <c r="J358" t="s">
        <v>203</v>
      </c>
      <c r="K358" s="95">
        <v>56</v>
      </c>
      <c r="L358" s="94">
        <v>0</v>
      </c>
      <c r="O358" t="str">
        <f t="shared" si="6"/>
        <v/>
      </c>
    </row>
    <row r="359" spans="7:15" x14ac:dyDescent="0.3">
      <c r="G359" s="93">
        <v>43606</v>
      </c>
      <c r="H359" t="s">
        <v>24</v>
      </c>
      <c r="I359" t="s">
        <v>61</v>
      </c>
      <c r="J359" t="s">
        <v>203</v>
      </c>
      <c r="K359" s="95">
        <v>24</v>
      </c>
      <c r="L359" s="94">
        <v>0</v>
      </c>
      <c r="O359" t="str">
        <f t="shared" si="6"/>
        <v/>
      </c>
    </row>
    <row r="360" spans="7:15" x14ac:dyDescent="0.3">
      <c r="G360" s="93">
        <v>43606</v>
      </c>
      <c r="H360" t="s">
        <v>24</v>
      </c>
      <c r="I360" t="s">
        <v>61</v>
      </c>
      <c r="J360" t="s">
        <v>203</v>
      </c>
      <c r="K360" s="95">
        <v>16</v>
      </c>
      <c r="L360" s="94">
        <v>0</v>
      </c>
      <c r="O360" t="str">
        <f t="shared" si="6"/>
        <v/>
      </c>
    </row>
    <row r="361" spans="7:15" x14ac:dyDescent="0.3">
      <c r="G361" s="93">
        <v>43606</v>
      </c>
      <c r="H361" t="s">
        <v>24</v>
      </c>
      <c r="I361" t="s">
        <v>61</v>
      </c>
      <c r="J361" t="s">
        <v>203</v>
      </c>
      <c r="K361" s="95">
        <v>8</v>
      </c>
      <c r="L361" s="94">
        <v>0</v>
      </c>
      <c r="O361" t="str">
        <f t="shared" si="6"/>
        <v/>
      </c>
    </row>
    <row r="362" spans="7:15" x14ac:dyDescent="0.3">
      <c r="G362" s="93">
        <v>43606</v>
      </c>
      <c r="H362" t="s">
        <v>112</v>
      </c>
      <c r="I362" t="s">
        <v>108</v>
      </c>
      <c r="J362" t="s">
        <v>203</v>
      </c>
      <c r="K362" s="95">
        <v>35</v>
      </c>
      <c r="L362" s="94">
        <v>0</v>
      </c>
      <c r="O362" t="str">
        <f t="shared" si="6"/>
        <v/>
      </c>
    </row>
    <row r="363" spans="7:15" x14ac:dyDescent="0.3">
      <c r="G363" s="93">
        <v>43606</v>
      </c>
      <c r="H363" t="s">
        <v>125</v>
      </c>
      <c r="I363" t="s">
        <v>105</v>
      </c>
      <c r="J363" t="s">
        <v>203</v>
      </c>
      <c r="K363" s="95">
        <v>23.29</v>
      </c>
      <c r="L363" s="94">
        <v>0</v>
      </c>
      <c r="O363" t="str">
        <f t="shared" si="6"/>
        <v/>
      </c>
    </row>
    <row r="364" spans="7:15" x14ac:dyDescent="0.3">
      <c r="G364" s="93">
        <v>43606</v>
      </c>
      <c r="H364" t="s">
        <v>124</v>
      </c>
      <c r="I364" t="s">
        <v>97</v>
      </c>
      <c r="J364" t="s">
        <v>203</v>
      </c>
      <c r="K364" s="95">
        <v>21.58</v>
      </c>
      <c r="L364" s="94">
        <v>0</v>
      </c>
      <c r="O364" t="str">
        <f t="shared" si="6"/>
        <v/>
      </c>
    </row>
    <row r="365" spans="7:15" x14ac:dyDescent="0.3">
      <c r="G365" s="93">
        <v>43606</v>
      </c>
      <c r="H365" t="s">
        <v>124</v>
      </c>
      <c r="I365" t="s">
        <v>108</v>
      </c>
      <c r="J365" t="s">
        <v>203</v>
      </c>
      <c r="K365" s="95">
        <v>197.95</v>
      </c>
      <c r="L365" s="94">
        <v>0</v>
      </c>
      <c r="O365" t="str">
        <f t="shared" si="6"/>
        <v/>
      </c>
    </row>
    <row r="366" spans="7:15" x14ac:dyDescent="0.3">
      <c r="G366" s="93">
        <v>43606</v>
      </c>
      <c r="H366" t="s">
        <v>111</v>
      </c>
      <c r="I366" t="s">
        <v>107</v>
      </c>
      <c r="J366" t="s">
        <v>203</v>
      </c>
      <c r="K366" s="95">
        <v>30.35</v>
      </c>
      <c r="L366" s="94">
        <v>0</v>
      </c>
      <c r="O366" t="str">
        <f t="shared" si="6"/>
        <v/>
      </c>
    </row>
    <row r="367" spans="7:15" x14ac:dyDescent="0.3">
      <c r="G367" s="93">
        <v>43606</v>
      </c>
      <c r="H367" t="s">
        <v>26</v>
      </c>
      <c r="I367" t="s">
        <v>61</v>
      </c>
      <c r="J367" t="s">
        <v>203</v>
      </c>
      <c r="K367" s="95">
        <v>8</v>
      </c>
      <c r="L367" s="94">
        <v>0</v>
      </c>
      <c r="O367" t="str">
        <f t="shared" si="6"/>
        <v/>
      </c>
    </row>
    <row r="368" spans="7:15" x14ac:dyDescent="0.3">
      <c r="G368" s="93">
        <v>43606</v>
      </c>
      <c r="H368" t="s">
        <v>26</v>
      </c>
      <c r="I368" t="s">
        <v>97</v>
      </c>
      <c r="J368" t="s">
        <v>203</v>
      </c>
      <c r="K368" s="95">
        <v>41.3</v>
      </c>
      <c r="L368" s="94">
        <v>0</v>
      </c>
      <c r="O368" t="str">
        <f t="shared" si="6"/>
        <v/>
      </c>
    </row>
    <row r="369" spans="7:15" x14ac:dyDescent="0.3">
      <c r="G369" s="93">
        <v>43606</v>
      </c>
      <c r="H369" t="s">
        <v>26</v>
      </c>
      <c r="I369" t="s">
        <v>105</v>
      </c>
      <c r="J369" t="s">
        <v>203</v>
      </c>
      <c r="K369" s="95">
        <v>85.82</v>
      </c>
      <c r="L369" s="94">
        <v>0</v>
      </c>
      <c r="O369" t="str">
        <f t="shared" si="6"/>
        <v/>
      </c>
    </row>
    <row r="370" spans="7:15" x14ac:dyDescent="0.3">
      <c r="G370" s="93">
        <v>43606</v>
      </c>
      <c r="H370" t="s">
        <v>26</v>
      </c>
      <c r="I370" t="s">
        <v>105</v>
      </c>
      <c r="J370" t="s">
        <v>203</v>
      </c>
      <c r="K370" s="95">
        <v>82.55</v>
      </c>
      <c r="L370" s="94">
        <v>0</v>
      </c>
      <c r="O370" t="str">
        <f t="shared" si="6"/>
        <v/>
      </c>
    </row>
    <row r="371" spans="7:15" x14ac:dyDescent="0.3">
      <c r="G371" s="93">
        <v>43606</v>
      </c>
      <c r="H371" t="s">
        <v>26</v>
      </c>
      <c r="I371" t="s">
        <v>105</v>
      </c>
      <c r="J371" t="s">
        <v>203</v>
      </c>
      <c r="K371" s="95">
        <v>56.62</v>
      </c>
      <c r="L371" s="94">
        <v>0</v>
      </c>
      <c r="O371" t="str">
        <f t="shared" si="6"/>
        <v/>
      </c>
    </row>
    <row r="372" spans="7:15" x14ac:dyDescent="0.3">
      <c r="G372" s="93">
        <v>43606</v>
      </c>
      <c r="H372" t="s">
        <v>26</v>
      </c>
      <c r="I372" t="s">
        <v>105</v>
      </c>
      <c r="J372" t="s">
        <v>203</v>
      </c>
      <c r="K372" s="95">
        <v>41.97</v>
      </c>
      <c r="L372" s="94">
        <v>0</v>
      </c>
      <c r="O372" t="str">
        <f t="shared" si="6"/>
        <v/>
      </c>
    </row>
    <row r="373" spans="7:15" x14ac:dyDescent="0.3">
      <c r="G373" s="93">
        <v>43606</v>
      </c>
      <c r="H373" t="s">
        <v>26</v>
      </c>
      <c r="I373" t="s">
        <v>105</v>
      </c>
      <c r="J373" t="s">
        <v>203</v>
      </c>
      <c r="K373" s="95">
        <v>37.31</v>
      </c>
      <c r="L373" s="94">
        <v>0</v>
      </c>
      <c r="O373" t="str">
        <f t="shared" si="6"/>
        <v/>
      </c>
    </row>
    <row r="374" spans="7:15" x14ac:dyDescent="0.3">
      <c r="G374" s="93">
        <v>43606</v>
      </c>
      <c r="H374" t="s">
        <v>26</v>
      </c>
      <c r="I374" t="s">
        <v>105</v>
      </c>
      <c r="J374" t="s">
        <v>203</v>
      </c>
      <c r="K374" s="95">
        <v>31.5</v>
      </c>
      <c r="L374" s="94">
        <v>0</v>
      </c>
      <c r="O374" t="str">
        <f t="shared" si="6"/>
        <v/>
      </c>
    </row>
    <row r="375" spans="7:15" x14ac:dyDescent="0.3">
      <c r="G375" s="93">
        <v>43606</v>
      </c>
      <c r="H375" t="s">
        <v>26</v>
      </c>
      <c r="I375" t="s">
        <v>105</v>
      </c>
      <c r="J375" t="s">
        <v>203</v>
      </c>
      <c r="K375" s="95">
        <v>10.99</v>
      </c>
      <c r="L375" s="94">
        <v>0</v>
      </c>
      <c r="O375" t="str">
        <f t="shared" si="6"/>
        <v/>
      </c>
    </row>
    <row r="376" spans="7:15" x14ac:dyDescent="0.3">
      <c r="G376" s="93">
        <v>43606</v>
      </c>
      <c r="H376" t="s">
        <v>26</v>
      </c>
      <c r="I376" t="s">
        <v>108</v>
      </c>
      <c r="J376" t="s">
        <v>203</v>
      </c>
      <c r="K376" s="95">
        <v>28</v>
      </c>
      <c r="L376" s="94">
        <v>0</v>
      </c>
      <c r="O376" t="str">
        <f t="shared" si="6"/>
        <v/>
      </c>
    </row>
    <row r="377" spans="7:15" x14ac:dyDescent="0.3">
      <c r="G377" s="93">
        <v>43606</v>
      </c>
      <c r="H377" t="s">
        <v>26</v>
      </c>
      <c r="I377" t="s">
        <v>64</v>
      </c>
      <c r="J377" t="s">
        <v>160</v>
      </c>
      <c r="K377" s="95">
        <v>22</v>
      </c>
      <c r="L377" s="94">
        <v>0</v>
      </c>
      <c r="O377" t="str">
        <f t="shared" si="6"/>
        <v/>
      </c>
    </row>
    <row r="378" spans="7:15" x14ac:dyDescent="0.3">
      <c r="G378" s="93">
        <v>43606</v>
      </c>
      <c r="H378" t="s">
        <v>26</v>
      </c>
      <c r="I378" t="s">
        <v>64</v>
      </c>
      <c r="J378" t="s">
        <v>177</v>
      </c>
      <c r="K378" s="95">
        <v>10.25</v>
      </c>
      <c r="L378" s="94">
        <v>0</v>
      </c>
      <c r="O378" t="str">
        <f t="shared" si="6"/>
        <v/>
      </c>
    </row>
    <row r="379" spans="7:15" x14ac:dyDescent="0.3">
      <c r="G379" s="93">
        <v>43606</v>
      </c>
      <c r="H379" t="s">
        <v>26</v>
      </c>
      <c r="I379" t="s">
        <v>64</v>
      </c>
      <c r="J379" t="s">
        <v>164</v>
      </c>
      <c r="K379" s="95">
        <v>2</v>
      </c>
      <c r="L379" s="94">
        <v>0</v>
      </c>
      <c r="O379" t="str">
        <f t="shared" si="6"/>
        <v/>
      </c>
    </row>
    <row r="380" spans="7:15" x14ac:dyDescent="0.3">
      <c r="G380" s="93">
        <v>43606</v>
      </c>
      <c r="H380" t="s">
        <v>26</v>
      </c>
      <c r="I380" t="s">
        <v>107</v>
      </c>
      <c r="J380" t="s">
        <v>203</v>
      </c>
      <c r="K380" s="95">
        <v>30.77</v>
      </c>
      <c r="L380" s="94">
        <v>0</v>
      </c>
      <c r="O380" t="str">
        <f t="shared" si="6"/>
        <v/>
      </c>
    </row>
    <row r="381" spans="7:15" x14ac:dyDescent="0.3">
      <c r="G381" s="93">
        <v>43607</v>
      </c>
      <c r="H381" t="s">
        <v>25</v>
      </c>
      <c r="I381" t="s">
        <v>61</v>
      </c>
      <c r="J381" t="s">
        <v>204</v>
      </c>
      <c r="K381" s="95">
        <v>24</v>
      </c>
      <c r="L381" s="94">
        <v>0</v>
      </c>
      <c r="O381" t="str">
        <f t="shared" si="6"/>
        <v/>
      </c>
    </row>
    <row r="382" spans="7:15" x14ac:dyDescent="0.3">
      <c r="G382" s="93">
        <v>43607</v>
      </c>
      <c r="H382" t="s">
        <v>25</v>
      </c>
      <c r="I382" t="s">
        <v>61</v>
      </c>
      <c r="J382" t="s">
        <v>204</v>
      </c>
      <c r="K382" s="95">
        <v>8</v>
      </c>
      <c r="L382" s="94">
        <v>0</v>
      </c>
      <c r="O382" t="str">
        <f t="shared" si="6"/>
        <v/>
      </c>
    </row>
    <row r="383" spans="7:15" x14ac:dyDescent="0.3">
      <c r="G383" s="93">
        <v>43607</v>
      </c>
      <c r="H383" t="s">
        <v>113</v>
      </c>
      <c r="I383" t="s">
        <v>107</v>
      </c>
      <c r="J383" t="s">
        <v>204</v>
      </c>
      <c r="K383" s="95">
        <v>7.78</v>
      </c>
      <c r="L383" s="94">
        <v>0</v>
      </c>
      <c r="O383" t="str">
        <f t="shared" si="6"/>
        <v/>
      </c>
    </row>
    <row r="384" spans="7:15" x14ac:dyDescent="0.3">
      <c r="G384" s="93">
        <v>43607</v>
      </c>
      <c r="H384" t="s">
        <v>119</v>
      </c>
      <c r="I384" t="s">
        <v>156</v>
      </c>
      <c r="J384" t="s">
        <v>204</v>
      </c>
      <c r="K384" s="95">
        <v>50</v>
      </c>
      <c r="L384" s="94">
        <v>0</v>
      </c>
      <c r="O384" t="str">
        <f t="shared" si="6"/>
        <v/>
      </c>
    </row>
    <row r="385" spans="7:15" x14ac:dyDescent="0.3">
      <c r="G385" s="93">
        <v>43607</v>
      </c>
      <c r="H385" t="s">
        <v>182</v>
      </c>
      <c r="I385" t="s">
        <v>106</v>
      </c>
      <c r="J385" t="s">
        <v>204</v>
      </c>
      <c r="K385" s="95">
        <v>600</v>
      </c>
      <c r="L385" s="94">
        <v>0</v>
      </c>
      <c r="O385" t="str">
        <f t="shared" si="6"/>
        <v/>
      </c>
    </row>
    <row r="386" spans="7:15" x14ac:dyDescent="0.3">
      <c r="G386" s="93">
        <v>43607</v>
      </c>
      <c r="H386" t="s">
        <v>24</v>
      </c>
      <c r="I386" t="s">
        <v>61</v>
      </c>
      <c r="J386" t="s">
        <v>204</v>
      </c>
      <c r="K386" s="95">
        <v>16</v>
      </c>
      <c r="L386" s="94">
        <v>0</v>
      </c>
      <c r="O386" t="str">
        <f t="shared" si="6"/>
        <v/>
      </c>
    </row>
    <row r="387" spans="7:15" x14ac:dyDescent="0.3">
      <c r="G387" s="93">
        <v>43607</v>
      </c>
      <c r="H387" t="s">
        <v>24</v>
      </c>
      <c r="I387" t="s">
        <v>61</v>
      </c>
      <c r="J387" t="s">
        <v>204</v>
      </c>
      <c r="K387" s="95">
        <v>8</v>
      </c>
      <c r="L387" s="94">
        <v>0</v>
      </c>
      <c r="O387" t="str">
        <f t="shared" si="6"/>
        <v/>
      </c>
    </row>
    <row r="388" spans="7:15" x14ac:dyDescent="0.3">
      <c r="G388" s="93">
        <v>43607</v>
      </c>
      <c r="H388" t="s">
        <v>111</v>
      </c>
      <c r="I388" t="s">
        <v>61</v>
      </c>
      <c r="J388" t="s">
        <v>204</v>
      </c>
      <c r="K388" s="95">
        <v>59.8</v>
      </c>
      <c r="L388" s="94">
        <v>0</v>
      </c>
      <c r="O388" t="str">
        <f t="shared" si="6"/>
        <v/>
      </c>
    </row>
    <row r="389" spans="7:15" x14ac:dyDescent="0.3">
      <c r="G389" s="93">
        <v>43607</v>
      </c>
      <c r="H389" t="s">
        <v>111</v>
      </c>
      <c r="I389" t="s">
        <v>106</v>
      </c>
      <c r="J389" t="s">
        <v>204</v>
      </c>
      <c r="K389" s="95">
        <v>33</v>
      </c>
      <c r="L389" s="94">
        <v>0</v>
      </c>
      <c r="O389" t="str">
        <f t="shared" si="6"/>
        <v/>
      </c>
    </row>
    <row r="390" spans="7:15" x14ac:dyDescent="0.3">
      <c r="G390" s="93">
        <v>43607</v>
      </c>
      <c r="H390" t="s">
        <v>111</v>
      </c>
      <c r="I390" t="s">
        <v>107</v>
      </c>
      <c r="J390" t="s">
        <v>204</v>
      </c>
      <c r="K390" s="95">
        <v>10</v>
      </c>
      <c r="L390" s="94">
        <v>0</v>
      </c>
      <c r="O390" t="str">
        <f t="shared" si="6"/>
        <v/>
      </c>
    </row>
    <row r="391" spans="7:15" x14ac:dyDescent="0.3">
      <c r="G391" s="93">
        <v>43607</v>
      </c>
      <c r="H391" t="s">
        <v>26</v>
      </c>
      <c r="I391" t="s">
        <v>64</v>
      </c>
      <c r="J391" t="s">
        <v>174</v>
      </c>
      <c r="K391" s="95">
        <v>9.1999999999999993</v>
      </c>
      <c r="L391" s="94">
        <v>0</v>
      </c>
      <c r="O391" t="str">
        <f t="shared" si="6"/>
        <v/>
      </c>
    </row>
    <row r="392" spans="7:15" x14ac:dyDescent="0.3">
      <c r="G392" s="93">
        <v>43607</v>
      </c>
      <c r="H392" t="s">
        <v>26</v>
      </c>
      <c r="I392" t="s">
        <v>64</v>
      </c>
      <c r="J392" t="s">
        <v>158</v>
      </c>
      <c r="K392" s="95">
        <v>16.7</v>
      </c>
      <c r="L392" s="94">
        <v>0</v>
      </c>
      <c r="O392" t="str">
        <f t="shared" si="6"/>
        <v/>
      </c>
    </row>
    <row r="393" spans="7:15" x14ac:dyDescent="0.3">
      <c r="G393" s="93">
        <v>43607</v>
      </c>
      <c r="H393" t="s">
        <v>26</v>
      </c>
      <c r="I393" t="s">
        <v>64</v>
      </c>
      <c r="J393" t="s">
        <v>73</v>
      </c>
      <c r="K393" s="95">
        <v>34.799999999999997</v>
      </c>
      <c r="L393" s="94">
        <v>0</v>
      </c>
      <c r="O393" t="str">
        <f t="shared" si="6"/>
        <v/>
      </c>
    </row>
    <row r="394" spans="7:15" x14ac:dyDescent="0.3">
      <c r="G394" s="93">
        <v>43607</v>
      </c>
      <c r="H394" t="s">
        <v>26</v>
      </c>
      <c r="I394" t="s">
        <v>64</v>
      </c>
      <c r="J394" t="s">
        <v>155</v>
      </c>
      <c r="K394" s="95">
        <v>16.399999999999999</v>
      </c>
      <c r="L394" s="94">
        <v>0</v>
      </c>
      <c r="O394" t="str">
        <f t="shared" ref="O394:O457" si="7">IF(P394="","",O393+1)</f>
        <v/>
      </c>
    </row>
    <row r="395" spans="7:15" x14ac:dyDescent="0.3">
      <c r="G395" s="93">
        <v>43607</v>
      </c>
      <c r="H395" t="s">
        <v>26</v>
      </c>
      <c r="I395" t="s">
        <v>64</v>
      </c>
      <c r="J395" t="s">
        <v>171</v>
      </c>
      <c r="K395" s="95">
        <v>21.6</v>
      </c>
      <c r="L395" s="94">
        <v>0</v>
      </c>
      <c r="O395" t="str">
        <f t="shared" si="7"/>
        <v/>
      </c>
    </row>
    <row r="396" spans="7:15" x14ac:dyDescent="0.3">
      <c r="G396" s="93">
        <v>43607</v>
      </c>
      <c r="H396" t="s">
        <v>26</v>
      </c>
      <c r="I396" t="s">
        <v>64</v>
      </c>
      <c r="J396" t="s">
        <v>166</v>
      </c>
      <c r="K396" s="95">
        <v>16.399999999999999</v>
      </c>
      <c r="L396" s="94">
        <v>0</v>
      </c>
      <c r="O396" t="str">
        <f t="shared" si="7"/>
        <v/>
      </c>
    </row>
    <row r="397" spans="7:15" x14ac:dyDescent="0.3">
      <c r="G397" s="93">
        <v>43607</v>
      </c>
      <c r="H397" t="s">
        <v>26</v>
      </c>
      <c r="I397" t="s">
        <v>107</v>
      </c>
      <c r="J397" t="s">
        <v>204</v>
      </c>
      <c r="K397" s="95">
        <v>39</v>
      </c>
      <c r="L397" s="94">
        <v>0</v>
      </c>
      <c r="O397" t="str">
        <f t="shared" si="7"/>
        <v/>
      </c>
    </row>
    <row r="398" spans="7:15" x14ac:dyDescent="0.3">
      <c r="G398" s="93">
        <v>43607</v>
      </c>
      <c r="H398" t="s">
        <v>26</v>
      </c>
      <c r="I398" t="s">
        <v>107</v>
      </c>
      <c r="J398" t="s">
        <v>204</v>
      </c>
      <c r="K398" s="95">
        <v>30</v>
      </c>
      <c r="L398" s="94">
        <v>0</v>
      </c>
      <c r="O398" t="str">
        <f t="shared" si="7"/>
        <v/>
      </c>
    </row>
    <row r="399" spans="7:15" x14ac:dyDescent="0.3">
      <c r="G399" s="93">
        <v>43608</v>
      </c>
      <c r="H399" t="s">
        <v>25</v>
      </c>
      <c r="I399" t="s">
        <v>61</v>
      </c>
      <c r="J399" t="s">
        <v>205</v>
      </c>
      <c r="K399" s="95">
        <v>56</v>
      </c>
      <c r="L399" s="94">
        <v>0</v>
      </c>
      <c r="O399" t="str">
        <f t="shared" si="7"/>
        <v/>
      </c>
    </row>
    <row r="400" spans="7:15" x14ac:dyDescent="0.3">
      <c r="G400" s="93">
        <v>43608</v>
      </c>
      <c r="H400" t="s">
        <v>176</v>
      </c>
      <c r="I400" t="s">
        <v>108</v>
      </c>
      <c r="J400" t="s">
        <v>205</v>
      </c>
      <c r="K400" s="95">
        <v>0</v>
      </c>
      <c r="L400" s="94">
        <v>14</v>
      </c>
      <c r="O400" t="str">
        <f t="shared" si="7"/>
        <v/>
      </c>
    </row>
    <row r="401" spans="7:15" x14ac:dyDescent="0.3">
      <c r="G401" s="93">
        <v>43608</v>
      </c>
      <c r="H401" t="s">
        <v>115</v>
      </c>
      <c r="I401" t="s">
        <v>108</v>
      </c>
      <c r="J401" t="s">
        <v>205</v>
      </c>
      <c r="K401" s="95">
        <v>14</v>
      </c>
      <c r="L401" s="94">
        <v>0</v>
      </c>
      <c r="O401" t="str">
        <f t="shared" si="7"/>
        <v/>
      </c>
    </row>
    <row r="402" spans="7:15" x14ac:dyDescent="0.3">
      <c r="G402" s="93">
        <v>43608</v>
      </c>
      <c r="H402" t="s">
        <v>24</v>
      </c>
      <c r="I402" t="s">
        <v>61</v>
      </c>
      <c r="J402" t="s">
        <v>205</v>
      </c>
      <c r="K402" s="95">
        <v>40</v>
      </c>
      <c r="L402" s="94">
        <v>0</v>
      </c>
      <c r="O402" t="str">
        <f t="shared" si="7"/>
        <v/>
      </c>
    </row>
    <row r="403" spans="7:15" x14ac:dyDescent="0.3">
      <c r="G403" s="93">
        <v>43608</v>
      </c>
      <c r="H403" t="s">
        <v>24</v>
      </c>
      <c r="I403" t="s">
        <v>61</v>
      </c>
      <c r="J403" t="s">
        <v>205</v>
      </c>
      <c r="K403" s="95">
        <v>16</v>
      </c>
      <c r="L403" s="94">
        <v>0</v>
      </c>
      <c r="O403" t="str">
        <f t="shared" si="7"/>
        <v/>
      </c>
    </row>
    <row r="404" spans="7:15" x14ac:dyDescent="0.3">
      <c r="G404" s="93">
        <v>43608</v>
      </c>
      <c r="H404" t="s">
        <v>24</v>
      </c>
      <c r="I404" t="s">
        <v>61</v>
      </c>
      <c r="J404" t="s">
        <v>205</v>
      </c>
      <c r="K404" s="95">
        <v>8</v>
      </c>
      <c r="L404" s="94">
        <v>0</v>
      </c>
      <c r="O404" t="str">
        <f t="shared" si="7"/>
        <v/>
      </c>
    </row>
    <row r="405" spans="7:15" x14ac:dyDescent="0.3">
      <c r="G405" s="93">
        <v>43608</v>
      </c>
      <c r="H405" t="s">
        <v>112</v>
      </c>
      <c r="I405" t="s">
        <v>107</v>
      </c>
      <c r="J405" t="s">
        <v>205</v>
      </c>
      <c r="K405" s="95">
        <v>55.75</v>
      </c>
      <c r="L405" s="94">
        <v>0</v>
      </c>
      <c r="O405" t="str">
        <f t="shared" si="7"/>
        <v/>
      </c>
    </row>
    <row r="406" spans="7:15" x14ac:dyDescent="0.3">
      <c r="G406" s="93">
        <v>43608</v>
      </c>
      <c r="H406" t="s">
        <v>26</v>
      </c>
      <c r="I406" t="s">
        <v>97</v>
      </c>
      <c r="J406" t="s">
        <v>205</v>
      </c>
      <c r="K406" s="95">
        <v>0</v>
      </c>
      <c r="L406" s="94">
        <v>8</v>
      </c>
      <c r="O406" t="str">
        <f t="shared" si="7"/>
        <v/>
      </c>
    </row>
    <row r="407" spans="7:15" x14ac:dyDescent="0.3">
      <c r="G407" s="93">
        <v>43608</v>
      </c>
      <c r="H407" t="s">
        <v>26</v>
      </c>
      <c r="I407" t="s">
        <v>64</v>
      </c>
      <c r="J407" t="s">
        <v>181</v>
      </c>
      <c r="K407" s="95">
        <v>16.399999999999999</v>
      </c>
      <c r="L407" s="94">
        <v>0</v>
      </c>
      <c r="O407" t="str">
        <f t="shared" si="7"/>
        <v/>
      </c>
    </row>
    <row r="408" spans="7:15" x14ac:dyDescent="0.3">
      <c r="G408" s="93">
        <v>43609</v>
      </c>
      <c r="H408" t="s">
        <v>25</v>
      </c>
      <c r="I408" t="s">
        <v>61</v>
      </c>
      <c r="J408" t="s">
        <v>206</v>
      </c>
      <c r="K408" s="95">
        <v>8</v>
      </c>
      <c r="L408" s="94">
        <v>0</v>
      </c>
      <c r="O408" t="str">
        <f t="shared" si="7"/>
        <v/>
      </c>
    </row>
    <row r="409" spans="7:15" x14ac:dyDescent="0.3">
      <c r="G409" s="93">
        <v>43609</v>
      </c>
      <c r="H409" t="s">
        <v>176</v>
      </c>
      <c r="I409" t="s">
        <v>107</v>
      </c>
      <c r="J409" t="s">
        <v>206</v>
      </c>
      <c r="K409" s="95">
        <v>401</v>
      </c>
      <c r="L409" s="94">
        <v>0</v>
      </c>
      <c r="O409" t="str">
        <f t="shared" si="7"/>
        <v/>
      </c>
    </row>
    <row r="410" spans="7:15" x14ac:dyDescent="0.3">
      <c r="G410" s="93">
        <v>43609</v>
      </c>
      <c r="H410" t="s">
        <v>115</v>
      </c>
      <c r="I410" t="s">
        <v>107</v>
      </c>
      <c r="J410" t="s">
        <v>206</v>
      </c>
      <c r="K410" s="95">
        <v>5</v>
      </c>
      <c r="L410" s="94">
        <v>0</v>
      </c>
      <c r="O410" t="str">
        <f t="shared" si="7"/>
        <v/>
      </c>
    </row>
    <row r="411" spans="7:15" x14ac:dyDescent="0.3">
      <c r="G411" s="93">
        <v>43609</v>
      </c>
      <c r="H411" t="s">
        <v>114</v>
      </c>
      <c r="I411" t="s">
        <v>107</v>
      </c>
      <c r="J411" t="s">
        <v>206</v>
      </c>
      <c r="K411" s="95">
        <v>10</v>
      </c>
      <c r="L411" s="94">
        <v>0</v>
      </c>
      <c r="O411" t="str">
        <f t="shared" si="7"/>
        <v/>
      </c>
    </row>
    <row r="412" spans="7:15" x14ac:dyDescent="0.3">
      <c r="G412" s="93">
        <v>43609</v>
      </c>
      <c r="H412" t="s">
        <v>123</v>
      </c>
      <c r="I412" t="s">
        <v>107</v>
      </c>
      <c r="J412" t="s">
        <v>206</v>
      </c>
      <c r="K412" s="95">
        <v>796.6</v>
      </c>
      <c r="L412" s="94">
        <v>0</v>
      </c>
      <c r="O412" t="str">
        <f t="shared" si="7"/>
        <v/>
      </c>
    </row>
    <row r="413" spans="7:15" x14ac:dyDescent="0.3">
      <c r="G413" s="93">
        <v>43609</v>
      </c>
      <c r="H413" t="s">
        <v>113</v>
      </c>
      <c r="I413" t="s">
        <v>109</v>
      </c>
      <c r="J413" t="s">
        <v>206</v>
      </c>
      <c r="K413" s="95">
        <v>25</v>
      </c>
      <c r="L413" s="94">
        <v>0</v>
      </c>
      <c r="O413" t="str">
        <f t="shared" si="7"/>
        <v/>
      </c>
    </row>
    <row r="414" spans="7:15" x14ac:dyDescent="0.3">
      <c r="G414" s="93">
        <v>43609</v>
      </c>
      <c r="H414" t="s">
        <v>119</v>
      </c>
      <c r="I414" t="s">
        <v>107</v>
      </c>
      <c r="J414" t="s">
        <v>206</v>
      </c>
      <c r="K414" s="95">
        <v>50.5</v>
      </c>
      <c r="L414" s="94">
        <v>0</v>
      </c>
      <c r="O414" t="str">
        <f t="shared" si="7"/>
        <v/>
      </c>
    </row>
    <row r="415" spans="7:15" x14ac:dyDescent="0.3">
      <c r="G415" s="93">
        <v>43609</v>
      </c>
      <c r="H415" t="s">
        <v>118</v>
      </c>
      <c r="I415" t="s">
        <v>97</v>
      </c>
      <c r="J415" t="s">
        <v>206</v>
      </c>
      <c r="K415" s="95">
        <v>17.5</v>
      </c>
      <c r="L415" s="94">
        <v>0</v>
      </c>
      <c r="O415" t="str">
        <f t="shared" si="7"/>
        <v/>
      </c>
    </row>
    <row r="416" spans="7:15" x14ac:dyDescent="0.3">
      <c r="G416" s="93">
        <v>43609</v>
      </c>
      <c r="H416" t="s">
        <v>118</v>
      </c>
      <c r="I416" t="s">
        <v>107</v>
      </c>
      <c r="J416" t="s">
        <v>206</v>
      </c>
      <c r="K416" s="95">
        <v>167.3</v>
      </c>
      <c r="L416" s="94">
        <v>0</v>
      </c>
      <c r="O416" t="str">
        <f t="shared" si="7"/>
        <v/>
      </c>
    </row>
    <row r="417" spans="7:15" x14ac:dyDescent="0.3">
      <c r="G417" s="93">
        <v>43609</v>
      </c>
      <c r="H417" t="s">
        <v>161</v>
      </c>
      <c r="I417" t="s">
        <v>107</v>
      </c>
      <c r="J417" t="s">
        <v>206</v>
      </c>
      <c r="K417" s="95">
        <v>10</v>
      </c>
      <c r="L417" s="94">
        <v>0</v>
      </c>
      <c r="O417" t="str">
        <f t="shared" si="7"/>
        <v/>
      </c>
    </row>
    <row r="418" spans="7:15" x14ac:dyDescent="0.3">
      <c r="G418" s="93">
        <v>43609</v>
      </c>
      <c r="H418" t="s">
        <v>24</v>
      </c>
      <c r="I418" t="s">
        <v>61</v>
      </c>
      <c r="J418" t="s">
        <v>206</v>
      </c>
      <c r="K418" s="95">
        <v>8</v>
      </c>
      <c r="L418" s="94">
        <v>0</v>
      </c>
      <c r="O418" t="str">
        <f t="shared" si="7"/>
        <v/>
      </c>
    </row>
    <row r="419" spans="7:15" x14ac:dyDescent="0.3">
      <c r="G419" s="93">
        <v>43609</v>
      </c>
      <c r="H419" t="s">
        <v>129</v>
      </c>
      <c r="I419" t="s">
        <v>97</v>
      </c>
      <c r="J419" t="s">
        <v>206</v>
      </c>
      <c r="K419" s="95">
        <v>31.5</v>
      </c>
      <c r="L419" s="94">
        <v>0</v>
      </c>
      <c r="O419" t="str">
        <f t="shared" si="7"/>
        <v/>
      </c>
    </row>
    <row r="420" spans="7:15" x14ac:dyDescent="0.3">
      <c r="G420" s="93">
        <v>43609</v>
      </c>
      <c r="H420" t="s">
        <v>117</v>
      </c>
      <c r="I420" t="s">
        <v>40</v>
      </c>
      <c r="J420" t="s">
        <v>206</v>
      </c>
      <c r="K420" s="95">
        <v>44</v>
      </c>
      <c r="L420" s="94">
        <v>0</v>
      </c>
      <c r="O420" t="str">
        <f t="shared" si="7"/>
        <v/>
      </c>
    </row>
    <row r="421" spans="7:15" x14ac:dyDescent="0.3">
      <c r="G421" s="93">
        <v>43609</v>
      </c>
      <c r="H421" t="s">
        <v>124</v>
      </c>
      <c r="I421" t="s">
        <v>107</v>
      </c>
      <c r="J421" t="s">
        <v>206</v>
      </c>
      <c r="K421" s="95">
        <v>514.4</v>
      </c>
      <c r="L421" s="94">
        <v>0</v>
      </c>
      <c r="O421" t="str">
        <f t="shared" si="7"/>
        <v/>
      </c>
    </row>
    <row r="422" spans="7:15" x14ac:dyDescent="0.3">
      <c r="G422" s="93">
        <v>43609</v>
      </c>
      <c r="H422" t="s">
        <v>26</v>
      </c>
      <c r="I422" t="s">
        <v>97</v>
      </c>
      <c r="J422" t="s">
        <v>206</v>
      </c>
      <c r="K422" s="95">
        <v>148</v>
      </c>
      <c r="L422" s="94">
        <v>0</v>
      </c>
      <c r="O422" t="str">
        <f t="shared" si="7"/>
        <v/>
      </c>
    </row>
    <row r="423" spans="7:15" x14ac:dyDescent="0.3">
      <c r="G423" s="93">
        <v>43609</v>
      </c>
      <c r="H423" t="s">
        <v>26</v>
      </c>
      <c r="I423" t="s">
        <v>97</v>
      </c>
      <c r="J423" t="s">
        <v>206</v>
      </c>
      <c r="K423" s="95">
        <v>73.319999999999993</v>
      </c>
      <c r="L423" s="94">
        <v>0</v>
      </c>
      <c r="O423" t="str">
        <f t="shared" si="7"/>
        <v/>
      </c>
    </row>
    <row r="424" spans="7:15" x14ac:dyDescent="0.3">
      <c r="G424" s="93">
        <v>43609</v>
      </c>
      <c r="H424" t="s">
        <v>26</v>
      </c>
      <c r="I424" t="s">
        <v>97</v>
      </c>
      <c r="J424" t="s">
        <v>206</v>
      </c>
      <c r="K424" s="95">
        <v>25.66</v>
      </c>
      <c r="L424" s="94">
        <v>0</v>
      </c>
      <c r="O424" t="str">
        <f t="shared" si="7"/>
        <v/>
      </c>
    </row>
    <row r="425" spans="7:15" x14ac:dyDescent="0.3">
      <c r="G425" s="93">
        <v>43609</v>
      </c>
      <c r="H425" t="s">
        <v>26</v>
      </c>
      <c r="I425" t="s">
        <v>97</v>
      </c>
      <c r="J425" t="s">
        <v>206</v>
      </c>
      <c r="K425" s="95">
        <v>23.99</v>
      </c>
      <c r="L425" s="94">
        <v>0</v>
      </c>
      <c r="O425" t="str">
        <f t="shared" si="7"/>
        <v/>
      </c>
    </row>
    <row r="426" spans="7:15" x14ac:dyDescent="0.3">
      <c r="G426" s="93">
        <v>43609</v>
      </c>
      <c r="H426" t="s">
        <v>26</v>
      </c>
      <c r="I426" t="s">
        <v>97</v>
      </c>
      <c r="J426" t="s">
        <v>206</v>
      </c>
      <c r="K426" s="95">
        <v>23.95</v>
      </c>
      <c r="L426" s="94">
        <v>0</v>
      </c>
      <c r="O426" t="str">
        <f t="shared" si="7"/>
        <v/>
      </c>
    </row>
    <row r="427" spans="7:15" x14ac:dyDescent="0.3">
      <c r="G427" s="93">
        <v>43609</v>
      </c>
      <c r="H427" t="s">
        <v>26</v>
      </c>
      <c r="I427" t="s">
        <v>105</v>
      </c>
      <c r="J427" t="s">
        <v>206</v>
      </c>
      <c r="K427" s="95">
        <v>99.51</v>
      </c>
      <c r="L427" s="94">
        <v>0</v>
      </c>
      <c r="O427" t="str">
        <f t="shared" si="7"/>
        <v/>
      </c>
    </row>
    <row r="428" spans="7:15" x14ac:dyDescent="0.3">
      <c r="G428" s="93">
        <v>43609</v>
      </c>
      <c r="H428" t="s">
        <v>26</v>
      </c>
      <c r="I428" t="s">
        <v>105</v>
      </c>
      <c r="J428" t="s">
        <v>206</v>
      </c>
      <c r="K428" s="95">
        <v>97.75</v>
      </c>
      <c r="L428" s="94">
        <v>0</v>
      </c>
      <c r="O428" t="str">
        <f t="shared" si="7"/>
        <v/>
      </c>
    </row>
    <row r="429" spans="7:15" x14ac:dyDescent="0.3">
      <c r="G429" s="93">
        <v>43609</v>
      </c>
      <c r="H429" t="s">
        <v>26</v>
      </c>
      <c r="I429" t="s">
        <v>105</v>
      </c>
      <c r="J429" t="s">
        <v>206</v>
      </c>
      <c r="K429" s="95">
        <v>43.73</v>
      </c>
      <c r="L429" s="94">
        <v>0</v>
      </c>
      <c r="O429" t="str">
        <f t="shared" si="7"/>
        <v/>
      </c>
    </row>
    <row r="430" spans="7:15" x14ac:dyDescent="0.3">
      <c r="G430" s="93">
        <v>43609</v>
      </c>
      <c r="H430" t="s">
        <v>26</v>
      </c>
      <c r="I430" t="s">
        <v>105</v>
      </c>
      <c r="J430" t="s">
        <v>206</v>
      </c>
      <c r="K430" s="95">
        <v>25.97</v>
      </c>
      <c r="L430" s="94">
        <v>0</v>
      </c>
      <c r="O430" t="str">
        <f t="shared" si="7"/>
        <v/>
      </c>
    </row>
    <row r="431" spans="7:15" x14ac:dyDescent="0.3">
      <c r="G431" s="93">
        <v>43610</v>
      </c>
      <c r="H431" t="s">
        <v>127</v>
      </c>
      <c r="I431" t="s">
        <v>207</v>
      </c>
      <c r="J431" t="s">
        <v>208</v>
      </c>
      <c r="K431" s="95">
        <v>516.86</v>
      </c>
      <c r="L431" s="94">
        <v>0</v>
      </c>
      <c r="O431" t="str">
        <f t="shared" si="7"/>
        <v/>
      </c>
    </row>
    <row r="432" spans="7:15" x14ac:dyDescent="0.3">
      <c r="G432" s="93">
        <v>43610</v>
      </c>
      <c r="H432" t="s">
        <v>25</v>
      </c>
      <c r="I432" t="s">
        <v>61</v>
      </c>
      <c r="J432" t="s">
        <v>209</v>
      </c>
      <c r="K432" s="95">
        <v>8</v>
      </c>
      <c r="L432" s="94">
        <v>0</v>
      </c>
      <c r="O432" t="str">
        <f t="shared" si="7"/>
        <v/>
      </c>
    </row>
    <row r="433" spans="7:15" x14ac:dyDescent="0.3">
      <c r="G433" s="93">
        <v>43610</v>
      </c>
      <c r="H433" t="s">
        <v>25</v>
      </c>
      <c r="I433" t="s">
        <v>207</v>
      </c>
      <c r="J433" t="s">
        <v>208</v>
      </c>
      <c r="K433" s="95">
        <v>269.23</v>
      </c>
      <c r="L433" s="94">
        <v>0</v>
      </c>
      <c r="O433" t="str">
        <f t="shared" si="7"/>
        <v/>
      </c>
    </row>
    <row r="434" spans="7:15" x14ac:dyDescent="0.3">
      <c r="G434" s="93">
        <v>43610</v>
      </c>
      <c r="H434" t="s">
        <v>25</v>
      </c>
      <c r="I434" t="s">
        <v>207</v>
      </c>
      <c r="J434" t="s">
        <v>208</v>
      </c>
      <c r="K434" s="95">
        <v>199.9</v>
      </c>
      <c r="L434" s="94">
        <v>0</v>
      </c>
      <c r="O434" t="str">
        <f t="shared" si="7"/>
        <v/>
      </c>
    </row>
    <row r="435" spans="7:15" x14ac:dyDescent="0.3">
      <c r="G435" s="93">
        <v>43610</v>
      </c>
      <c r="H435" t="s">
        <v>25</v>
      </c>
      <c r="I435" t="s">
        <v>207</v>
      </c>
      <c r="J435" t="s">
        <v>208</v>
      </c>
      <c r="K435" s="95">
        <v>150.13</v>
      </c>
      <c r="L435" s="94">
        <v>0</v>
      </c>
      <c r="O435" t="str">
        <f t="shared" si="7"/>
        <v/>
      </c>
    </row>
    <row r="436" spans="7:15" x14ac:dyDescent="0.3">
      <c r="G436" s="93">
        <v>43610</v>
      </c>
      <c r="H436" t="s">
        <v>25</v>
      </c>
      <c r="I436" t="s">
        <v>207</v>
      </c>
      <c r="J436" t="s">
        <v>208</v>
      </c>
      <c r="K436" s="95">
        <v>125.74</v>
      </c>
      <c r="L436" s="94">
        <v>0</v>
      </c>
      <c r="O436" t="str">
        <f t="shared" si="7"/>
        <v/>
      </c>
    </row>
    <row r="437" spans="7:15" x14ac:dyDescent="0.3">
      <c r="G437" s="93">
        <v>43610</v>
      </c>
      <c r="H437" t="s">
        <v>25</v>
      </c>
      <c r="I437" t="s">
        <v>207</v>
      </c>
      <c r="J437" t="s">
        <v>208</v>
      </c>
      <c r="K437" s="95">
        <v>83.96</v>
      </c>
      <c r="L437" s="94">
        <v>0</v>
      </c>
      <c r="O437" t="str">
        <f t="shared" si="7"/>
        <v/>
      </c>
    </row>
    <row r="438" spans="7:15" x14ac:dyDescent="0.3">
      <c r="G438" s="93">
        <v>43610</v>
      </c>
      <c r="H438" t="s">
        <v>25</v>
      </c>
      <c r="I438" t="s">
        <v>207</v>
      </c>
      <c r="J438" t="s">
        <v>208</v>
      </c>
      <c r="K438" s="95">
        <v>76.97</v>
      </c>
      <c r="L438" s="94">
        <v>0</v>
      </c>
      <c r="O438" t="str">
        <f t="shared" si="7"/>
        <v/>
      </c>
    </row>
    <row r="439" spans="7:15" x14ac:dyDescent="0.3">
      <c r="G439" s="93">
        <v>43610</v>
      </c>
      <c r="H439" t="s">
        <v>25</v>
      </c>
      <c r="I439" t="s">
        <v>207</v>
      </c>
      <c r="J439" t="s">
        <v>208</v>
      </c>
      <c r="K439" s="95">
        <v>73.849999999999994</v>
      </c>
      <c r="L439" s="94">
        <v>0</v>
      </c>
      <c r="O439" t="str">
        <f t="shared" si="7"/>
        <v/>
      </c>
    </row>
    <row r="440" spans="7:15" x14ac:dyDescent="0.3">
      <c r="G440" s="93">
        <v>43610</v>
      </c>
      <c r="H440" t="s">
        <v>25</v>
      </c>
      <c r="I440" t="s">
        <v>207</v>
      </c>
      <c r="J440" t="s">
        <v>208</v>
      </c>
      <c r="K440" s="95">
        <v>51.31</v>
      </c>
      <c r="L440" s="94">
        <v>0</v>
      </c>
      <c r="O440" t="str">
        <f t="shared" si="7"/>
        <v/>
      </c>
    </row>
    <row r="441" spans="7:15" x14ac:dyDescent="0.3">
      <c r="G441" s="93">
        <v>43610</v>
      </c>
      <c r="H441" t="s">
        <v>25</v>
      </c>
      <c r="I441" t="s">
        <v>207</v>
      </c>
      <c r="J441" t="s">
        <v>208</v>
      </c>
      <c r="K441" s="95">
        <v>38.090000000000003</v>
      </c>
      <c r="L441" s="94">
        <v>0</v>
      </c>
      <c r="O441" t="str">
        <f t="shared" si="7"/>
        <v/>
      </c>
    </row>
    <row r="442" spans="7:15" x14ac:dyDescent="0.3">
      <c r="G442" s="93">
        <v>43610</v>
      </c>
      <c r="H442" t="s">
        <v>25</v>
      </c>
      <c r="I442" t="s">
        <v>207</v>
      </c>
      <c r="J442" t="s">
        <v>208</v>
      </c>
      <c r="K442" s="95">
        <v>37.630000000000003</v>
      </c>
      <c r="L442" s="94">
        <v>0</v>
      </c>
      <c r="O442" t="str">
        <f t="shared" si="7"/>
        <v/>
      </c>
    </row>
    <row r="443" spans="7:15" x14ac:dyDescent="0.3">
      <c r="G443" s="93">
        <v>43610</v>
      </c>
      <c r="H443" t="s">
        <v>25</v>
      </c>
      <c r="I443" t="s">
        <v>207</v>
      </c>
      <c r="J443" t="s">
        <v>208</v>
      </c>
      <c r="K443" s="95">
        <v>32.130000000000003</v>
      </c>
      <c r="L443" s="94">
        <v>0</v>
      </c>
      <c r="O443" t="str">
        <f t="shared" si="7"/>
        <v/>
      </c>
    </row>
    <row r="444" spans="7:15" x14ac:dyDescent="0.3">
      <c r="G444" s="93">
        <v>43610</v>
      </c>
      <c r="H444" t="s">
        <v>25</v>
      </c>
      <c r="I444" t="s">
        <v>207</v>
      </c>
      <c r="J444" t="s">
        <v>208</v>
      </c>
      <c r="K444" s="95">
        <v>31.22</v>
      </c>
      <c r="L444" s="94">
        <v>0</v>
      </c>
      <c r="O444" t="str">
        <f t="shared" si="7"/>
        <v/>
      </c>
    </row>
    <row r="445" spans="7:15" x14ac:dyDescent="0.3">
      <c r="G445" s="93">
        <v>43610</v>
      </c>
      <c r="H445" t="s">
        <v>25</v>
      </c>
      <c r="I445" t="s">
        <v>207</v>
      </c>
      <c r="J445" t="s">
        <v>208</v>
      </c>
      <c r="K445" s="95">
        <v>19.329999999999998</v>
      </c>
      <c r="L445" s="94">
        <v>0</v>
      </c>
      <c r="O445" t="str">
        <f t="shared" si="7"/>
        <v/>
      </c>
    </row>
    <row r="446" spans="7:15" x14ac:dyDescent="0.3">
      <c r="G446" s="93">
        <v>43610</v>
      </c>
      <c r="H446" t="s">
        <v>25</v>
      </c>
      <c r="I446" t="s">
        <v>207</v>
      </c>
      <c r="J446" t="s">
        <v>208</v>
      </c>
      <c r="K446" s="95">
        <v>11.08</v>
      </c>
      <c r="L446" s="94">
        <v>0</v>
      </c>
      <c r="O446" t="str">
        <f t="shared" si="7"/>
        <v/>
      </c>
    </row>
    <row r="447" spans="7:15" x14ac:dyDescent="0.3">
      <c r="G447" s="93">
        <v>43610</v>
      </c>
      <c r="H447" t="s">
        <v>25</v>
      </c>
      <c r="I447" t="s">
        <v>207</v>
      </c>
      <c r="J447" t="s">
        <v>208</v>
      </c>
      <c r="K447" s="95">
        <v>10.27</v>
      </c>
      <c r="L447" s="94">
        <v>0</v>
      </c>
      <c r="O447" t="str">
        <f t="shared" si="7"/>
        <v/>
      </c>
    </row>
    <row r="448" spans="7:15" x14ac:dyDescent="0.3">
      <c r="G448" s="93">
        <v>43610</v>
      </c>
      <c r="H448" t="s">
        <v>169</v>
      </c>
      <c r="I448" t="s">
        <v>106</v>
      </c>
      <c r="J448" t="s">
        <v>209</v>
      </c>
      <c r="K448" s="95">
        <v>1501.66</v>
      </c>
      <c r="L448" s="94">
        <v>0</v>
      </c>
      <c r="O448" t="str">
        <f t="shared" si="7"/>
        <v/>
      </c>
    </row>
    <row r="449" spans="7:15" x14ac:dyDescent="0.3">
      <c r="G449" s="93">
        <v>43610</v>
      </c>
      <c r="H449" t="s">
        <v>176</v>
      </c>
      <c r="I449" t="s">
        <v>40</v>
      </c>
      <c r="J449" t="s">
        <v>209</v>
      </c>
      <c r="K449" s="95">
        <v>50.25</v>
      </c>
      <c r="L449" s="94">
        <v>0</v>
      </c>
      <c r="O449" t="str">
        <f t="shared" si="7"/>
        <v/>
      </c>
    </row>
    <row r="450" spans="7:15" x14ac:dyDescent="0.3">
      <c r="G450" s="93">
        <v>43610</v>
      </c>
      <c r="H450" t="s">
        <v>114</v>
      </c>
      <c r="I450" t="s">
        <v>107</v>
      </c>
      <c r="J450" t="s">
        <v>209</v>
      </c>
      <c r="K450" s="95">
        <v>10</v>
      </c>
      <c r="L450" s="94">
        <v>0</v>
      </c>
      <c r="O450" t="str">
        <f t="shared" si="7"/>
        <v/>
      </c>
    </row>
    <row r="451" spans="7:15" x14ac:dyDescent="0.3">
      <c r="G451" s="93">
        <v>43610</v>
      </c>
      <c r="H451" t="s">
        <v>123</v>
      </c>
      <c r="I451" t="s">
        <v>207</v>
      </c>
      <c r="J451" t="s">
        <v>208</v>
      </c>
      <c r="K451" s="95">
        <v>328.77</v>
      </c>
      <c r="L451" s="94">
        <v>0</v>
      </c>
      <c r="O451" t="str">
        <f t="shared" si="7"/>
        <v/>
      </c>
    </row>
    <row r="452" spans="7:15" x14ac:dyDescent="0.3">
      <c r="G452" s="93">
        <v>43610</v>
      </c>
      <c r="H452" t="s">
        <v>113</v>
      </c>
      <c r="I452" t="s">
        <v>207</v>
      </c>
      <c r="J452" t="s">
        <v>208</v>
      </c>
      <c r="K452" s="95">
        <v>11432.58</v>
      </c>
      <c r="L452" s="94">
        <v>0</v>
      </c>
      <c r="O452" t="str">
        <f t="shared" si="7"/>
        <v/>
      </c>
    </row>
    <row r="453" spans="7:15" x14ac:dyDescent="0.3">
      <c r="G453" s="93">
        <v>43610</v>
      </c>
      <c r="H453" t="s">
        <v>24</v>
      </c>
      <c r="I453" t="s">
        <v>61</v>
      </c>
      <c r="J453" t="s">
        <v>209</v>
      </c>
      <c r="K453" s="95">
        <v>40</v>
      </c>
      <c r="L453" s="94">
        <v>0</v>
      </c>
      <c r="O453" t="str">
        <f t="shared" si="7"/>
        <v/>
      </c>
    </row>
    <row r="454" spans="7:15" x14ac:dyDescent="0.3">
      <c r="G454" s="93">
        <v>43610</v>
      </c>
      <c r="H454" t="s">
        <v>24</v>
      </c>
      <c r="I454" t="s">
        <v>61</v>
      </c>
      <c r="J454" t="s">
        <v>209</v>
      </c>
      <c r="K454" s="95">
        <v>24</v>
      </c>
      <c r="L454" s="94">
        <v>0</v>
      </c>
      <c r="O454" t="str">
        <f t="shared" si="7"/>
        <v/>
      </c>
    </row>
    <row r="455" spans="7:15" x14ac:dyDescent="0.3">
      <c r="G455" s="93">
        <v>43610</v>
      </c>
      <c r="H455" t="s">
        <v>24</v>
      </c>
      <c r="I455" t="s">
        <v>61</v>
      </c>
      <c r="J455" t="s">
        <v>209</v>
      </c>
      <c r="K455" s="95">
        <v>8</v>
      </c>
      <c r="L455" s="94">
        <v>0</v>
      </c>
      <c r="O455" t="str">
        <f t="shared" si="7"/>
        <v/>
      </c>
    </row>
    <row r="456" spans="7:15" x14ac:dyDescent="0.3">
      <c r="G456" s="93">
        <v>43610</v>
      </c>
      <c r="H456" t="s">
        <v>24</v>
      </c>
      <c r="I456" t="s">
        <v>97</v>
      </c>
      <c r="J456" t="s">
        <v>209</v>
      </c>
      <c r="K456" s="95">
        <v>0</v>
      </c>
      <c r="L456" s="94">
        <v>16</v>
      </c>
      <c r="O456" t="str">
        <f t="shared" si="7"/>
        <v/>
      </c>
    </row>
    <row r="457" spans="7:15" x14ac:dyDescent="0.3">
      <c r="G457" s="93">
        <v>43610</v>
      </c>
      <c r="H457" t="s">
        <v>24</v>
      </c>
      <c r="I457" t="s">
        <v>207</v>
      </c>
      <c r="J457" t="s">
        <v>208</v>
      </c>
      <c r="K457" s="95">
        <v>1334.36</v>
      </c>
      <c r="L457" s="94">
        <v>0</v>
      </c>
      <c r="O457" t="str">
        <f t="shared" si="7"/>
        <v/>
      </c>
    </row>
    <row r="458" spans="7:15" x14ac:dyDescent="0.3">
      <c r="G458" s="93">
        <v>43610</v>
      </c>
      <c r="H458" t="s">
        <v>24</v>
      </c>
      <c r="I458" t="s">
        <v>207</v>
      </c>
      <c r="J458" t="s">
        <v>208</v>
      </c>
      <c r="K458" s="95">
        <v>1045.49</v>
      </c>
      <c r="L458" s="94">
        <v>0</v>
      </c>
      <c r="O458" t="str">
        <f t="shared" ref="O458:O521" si="8">IF(P458="","",O457+1)</f>
        <v/>
      </c>
    </row>
    <row r="459" spans="7:15" x14ac:dyDescent="0.3">
      <c r="G459" s="93">
        <v>43610</v>
      </c>
      <c r="H459" t="s">
        <v>24</v>
      </c>
      <c r="I459" t="s">
        <v>207</v>
      </c>
      <c r="J459" t="s">
        <v>208</v>
      </c>
      <c r="K459" s="95">
        <v>980.37</v>
      </c>
      <c r="L459" s="94">
        <v>0</v>
      </c>
      <c r="O459" t="str">
        <f t="shared" si="8"/>
        <v/>
      </c>
    </row>
    <row r="460" spans="7:15" x14ac:dyDescent="0.3">
      <c r="G460" s="93">
        <v>43610</v>
      </c>
      <c r="H460" t="s">
        <v>24</v>
      </c>
      <c r="I460" t="s">
        <v>207</v>
      </c>
      <c r="J460" t="s">
        <v>208</v>
      </c>
      <c r="K460" s="95">
        <v>936.65</v>
      </c>
      <c r="L460" s="94">
        <v>0</v>
      </c>
      <c r="O460" t="str">
        <f t="shared" si="8"/>
        <v/>
      </c>
    </row>
    <row r="461" spans="7:15" x14ac:dyDescent="0.3">
      <c r="G461" s="93">
        <v>43610</v>
      </c>
      <c r="H461" t="s">
        <v>24</v>
      </c>
      <c r="I461" t="s">
        <v>207</v>
      </c>
      <c r="J461" t="s">
        <v>208</v>
      </c>
      <c r="K461" s="95">
        <v>808.05</v>
      </c>
      <c r="L461" s="94">
        <v>0</v>
      </c>
      <c r="O461" t="str">
        <f t="shared" si="8"/>
        <v/>
      </c>
    </row>
    <row r="462" spans="7:15" x14ac:dyDescent="0.3">
      <c r="G462" s="93">
        <v>43610</v>
      </c>
      <c r="H462" t="s">
        <v>24</v>
      </c>
      <c r="I462" t="s">
        <v>207</v>
      </c>
      <c r="J462" t="s">
        <v>208</v>
      </c>
      <c r="K462" s="95">
        <v>703.22</v>
      </c>
      <c r="L462" s="94">
        <v>0</v>
      </c>
      <c r="O462" t="str">
        <f t="shared" si="8"/>
        <v/>
      </c>
    </row>
    <row r="463" spans="7:15" x14ac:dyDescent="0.3">
      <c r="G463" s="93">
        <v>43610</v>
      </c>
      <c r="H463" t="s">
        <v>24</v>
      </c>
      <c r="I463" t="s">
        <v>207</v>
      </c>
      <c r="J463" t="s">
        <v>208</v>
      </c>
      <c r="K463" s="95">
        <v>637.09</v>
      </c>
      <c r="L463" s="94">
        <v>0</v>
      </c>
      <c r="O463" t="str">
        <f t="shared" si="8"/>
        <v/>
      </c>
    </row>
    <row r="464" spans="7:15" x14ac:dyDescent="0.3">
      <c r="G464" s="93">
        <v>43610</v>
      </c>
      <c r="H464" t="s">
        <v>24</v>
      </c>
      <c r="I464" t="s">
        <v>207</v>
      </c>
      <c r="J464" t="s">
        <v>208</v>
      </c>
      <c r="K464" s="95">
        <v>554.16</v>
      </c>
      <c r="L464" s="94">
        <v>0</v>
      </c>
      <c r="O464" t="str">
        <f t="shared" si="8"/>
        <v/>
      </c>
    </row>
    <row r="465" spans="7:15" x14ac:dyDescent="0.3">
      <c r="G465" s="93">
        <v>43610</v>
      </c>
      <c r="H465" t="s">
        <v>24</v>
      </c>
      <c r="I465" t="s">
        <v>207</v>
      </c>
      <c r="J465" t="s">
        <v>208</v>
      </c>
      <c r="K465" s="95">
        <v>522.20000000000005</v>
      </c>
      <c r="L465" s="94">
        <v>0</v>
      </c>
      <c r="O465" t="str">
        <f t="shared" si="8"/>
        <v/>
      </c>
    </row>
    <row r="466" spans="7:15" x14ac:dyDescent="0.3">
      <c r="G466" s="93">
        <v>43610</v>
      </c>
      <c r="H466" t="s">
        <v>24</v>
      </c>
      <c r="I466" t="s">
        <v>207</v>
      </c>
      <c r="J466" t="s">
        <v>208</v>
      </c>
      <c r="K466" s="95">
        <v>486.39</v>
      </c>
      <c r="L466" s="94">
        <v>0</v>
      </c>
      <c r="O466" t="str">
        <f t="shared" si="8"/>
        <v/>
      </c>
    </row>
    <row r="467" spans="7:15" x14ac:dyDescent="0.3">
      <c r="G467" s="93">
        <v>43610</v>
      </c>
      <c r="H467" t="s">
        <v>24</v>
      </c>
      <c r="I467" t="s">
        <v>207</v>
      </c>
      <c r="J467" t="s">
        <v>208</v>
      </c>
      <c r="K467" s="95">
        <v>473.77</v>
      </c>
      <c r="L467" s="94">
        <v>0</v>
      </c>
      <c r="O467" t="str">
        <f t="shared" si="8"/>
        <v/>
      </c>
    </row>
    <row r="468" spans="7:15" x14ac:dyDescent="0.3">
      <c r="G468" s="93">
        <v>43610</v>
      </c>
      <c r="H468" t="s">
        <v>24</v>
      </c>
      <c r="I468" t="s">
        <v>207</v>
      </c>
      <c r="J468" t="s">
        <v>208</v>
      </c>
      <c r="K468" s="95">
        <v>365.4</v>
      </c>
      <c r="L468" s="94">
        <v>0</v>
      </c>
      <c r="O468" t="str">
        <f t="shared" si="8"/>
        <v/>
      </c>
    </row>
    <row r="469" spans="7:15" x14ac:dyDescent="0.3">
      <c r="G469" s="93">
        <v>43610</v>
      </c>
      <c r="H469" t="s">
        <v>24</v>
      </c>
      <c r="I469" t="s">
        <v>207</v>
      </c>
      <c r="J469" t="s">
        <v>208</v>
      </c>
      <c r="K469" s="95">
        <v>305.62</v>
      </c>
      <c r="L469" s="94">
        <v>0</v>
      </c>
      <c r="O469" t="str">
        <f t="shared" si="8"/>
        <v/>
      </c>
    </row>
    <row r="470" spans="7:15" x14ac:dyDescent="0.3">
      <c r="G470" s="93">
        <v>43610</v>
      </c>
      <c r="H470" t="s">
        <v>24</v>
      </c>
      <c r="I470" t="s">
        <v>207</v>
      </c>
      <c r="J470" t="s">
        <v>208</v>
      </c>
      <c r="K470" s="95">
        <v>277.51</v>
      </c>
      <c r="L470" s="94">
        <v>0</v>
      </c>
      <c r="O470" t="str">
        <f t="shared" si="8"/>
        <v/>
      </c>
    </row>
    <row r="471" spans="7:15" x14ac:dyDescent="0.3">
      <c r="G471" s="93">
        <v>43610</v>
      </c>
      <c r="H471" t="s">
        <v>24</v>
      </c>
      <c r="I471" t="s">
        <v>207</v>
      </c>
      <c r="J471" t="s">
        <v>208</v>
      </c>
      <c r="K471" s="95">
        <v>250.17</v>
      </c>
      <c r="L471" s="94">
        <v>0</v>
      </c>
      <c r="O471" t="str">
        <f t="shared" si="8"/>
        <v/>
      </c>
    </row>
    <row r="472" spans="7:15" x14ac:dyDescent="0.3">
      <c r="G472" s="93">
        <v>43610</v>
      </c>
      <c r="H472" t="s">
        <v>24</v>
      </c>
      <c r="I472" t="s">
        <v>207</v>
      </c>
      <c r="J472" t="s">
        <v>208</v>
      </c>
      <c r="K472" s="95">
        <v>250.08</v>
      </c>
      <c r="L472" s="94">
        <v>0</v>
      </c>
      <c r="O472" t="str">
        <f t="shared" si="8"/>
        <v/>
      </c>
    </row>
    <row r="473" spans="7:15" x14ac:dyDescent="0.3">
      <c r="G473" s="93">
        <v>43610</v>
      </c>
      <c r="H473" t="s">
        <v>24</v>
      </c>
      <c r="I473" t="s">
        <v>207</v>
      </c>
      <c r="J473" t="s">
        <v>208</v>
      </c>
      <c r="K473" s="95">
        <v>226.28</v>
      </c>
      <c r="L473" s="94">
        <v>0</v>
      </c>
      <c r="O473" t="str">
        <f t="shared" si="8"/>
        <v/>
      </c>
    </row>
    <row r="474" spans="7:15" x14ac:dyDescent="0.3">
      <c r="G474" s="93">
        <v>43610</v>
      </c>
      <c r="H474" t="s">
        <v>24</v>
      </c>
      <c r="I474" t="s">
        <v>207</v>
      </c>
      <c r="J474" t="s">
        <v>208</v>
      </c>
      <c r="K474" s="95">
        <v>213.47</v>
      </c>
      <c r="L474" s="94">
        <v>0</v>
      </c>
      <c r="O474" t="str">
        <f t="shared" si="8"/>
        <v/>
      </c>
    </row>
    <row r="475" spans="7:15" x14ac:dyDescent="0.3">
      <c r="G475" s="93">
        <v>43610</v>
      </c>
      <c r="H475" t="s">
        <v>24</v>
      </c>
      <c r="I475" t="s">
        <v>207</v>
      </c>
      <c r="J475" t="s">
        <v>208</v>
      </c>
      <c r="K475" s="95">
        <v>210.56</v>
      </c>
      <c r="L475" s="94">
        <v>0</v>
      </c>
      <c r="O475" t="str">
        <f t="shared" si="8"/>
        <v/>
      </c>
    </row>
    <row r="476" spans="7:15" x14ac:dyDescent="0.3">
      <c r="G476" s="93">
        <v>43610</v>
      </c>
      <c r="H476" t="s">
        <v>24</v>
      </c>
      <c r="I476" t="s">
        <v>207</v>
      </c>
      <c r="J476" t="s">
        <v>208</v>
      </c>
      <c r="K476" s="95">
        <v>159.69999999999999</v>
      </c>
      <c r="L476" s="94">
        <v>0</v>
      </c>
      <c r="O476" t="str">
        <f t="shared" si="8"/>
        <v/>
      </c>
    </row>
    <row r="477" spans="7:15" x14ac:dyDescent="0.3">
      <c r="G477" s="93">
        <v>43610</v>
      </c>
      <c r="H477" t="s">
        <v>24</v>
      </c>
      <c r="I477" t="s">
        <v>207</v>
      </c>
      <c r="J477" t="s">
        <v>208</v>
      </c>
      <c r="K477" s="95">
        <v>122.35</v>
      </c>
      <c r="L477" s="94">
        <v>0</v>
      </c>
      <c r="O477" t="str">
        <f t="shared" si="8"/>
        <v/>
      </c>
    </row>
    <row r="478" spans="7:15" x14ac:dyDescent="0.3">
      <c r="G478" s="93">
        <v>43610</v>
      </c>
      <c r="H478" t="s">
        <v>24</v>
      </c>
      <c r="I478" t="s">
        <v>207</v>
      </c>
      <c r="J478" t="s">
        <v>208</v>
      </c>
      <c r="K478" s="95">
        <v>60.62</v>
      </c>
      <c r="L478" s="94">
        <v>0</v>
      </c>
      <c r="O478" t="str">
        <f t="shared" si="8"/>
        <v/>
      </c>
    </row>
    <row r="479" spans="7:15" x14ac:dyDescent="0.3">
      <c r="G479" s="93">
        <v>43610</v>
      </c>
      <c r="H479" t="s">
        <v>24</v>
      </c>
      <c r="I479" t="s">
        <v>207</v>
      </c>
      <c r="J479" t="s">
        <v>208</v>
      </c>
      <c r="K479" s="95">
        <v>59.16</v>
      </c>
      <c r="L479" s="94">
        <v>0</v>
      </c>
      <c r="O479" t="str">
        <f t="shared" si="8"/>
        <v/>
      </c>
    </row>
    <row r="480" spans="7:15" x14ac:dyDescent="0.3">
      <c r="G480" s="93">
        <v>43610</v>
      </c>
      <c r="H480" t="s">
        <v>24</v>
      </c>
      <c r="I480" t="s">
        <v>207</v>
      </c>
      <c r="J480" t="s">
        <v>208</v>
      </c>
      <c r="K480" s="95">
        <v>31.65</v>
      </c>
      <c r="L480" s="94">
        <v>0</v>
      </c>
      <c r="O480" t="str">
        <f t="shared" si="8"/>
        <v/>
      </c>
    </row>
    <row r="481" spans="7:15" x14ac:dyDescent="0.3">
      <c r="G481" s="93">
        <v>43610</v>
      </c>
      <c r="H481" t="s">
        <v>24</v>
      </c>
      <c r="I481" t="s">
        <v>207</v>
      </c>
      <c r="J481" t="s">
        <v>208</v>
      </c>
      <c r="K481" s="95">
        <v>28.72</v>
      </c>
      <c r="L481" s="94">
        <v>0</v>
      </c>
      <c r="O481" t="str">
        <f t="shared" si="8"/>
        <v/>
      </c>
    </row>
    <row r="482" spans="7:15" x14ac:dyDescent="0.3">
      <c r="G482" s="93">
        <v>43610</v>
      </c>
      <c r="H482" t="s">
        <v>24</v>
      </c>
      <c r="I482" t="s">
        <v>207</v>
      </c>
      <c r="J482" t="s">
        <v>208</v>
      </c>
      <c r="K482" s="95">
        <v>25.31</v>
      </c>
      <c r="L482" s="94">
        <v>0</v>
      </c>
      <c r="O482" t="str">
        <f t="shared" si="8"/>
        <v/>
      </c>
    </row>
    <row r="483" spans="7:15" x14ac:dyDescent="0.3">
      <c r="G483" s="93">
        <v>43610</v>
      </c>
      <c r="H483" t="s">
        <v>24</v>
      </c>
      <c r="I483" t="s">
        <v>207</v>
      </c>
      <c r="J483" t="s">
        <v>208</v>
      </c>
      <c r="K483" s="95">
        <v>19.39</v>
      </c>
      <c r="L483" s="94">
        <v>0</v>
      </c>
      <c r="O483" t="str">
        <f t="shared" si="8"/>
        <v/>
      </c>
    </row>
    <row r="484" spans="7:15" x14ac:dyDescent="0.3">
      <c r="G484" s="93">
        <v>43610</v>
      </c>
      <c r="H484" t="s">
        <v>24</v>
      </c>
      <c r="I484" t="s">
        <v>107</v>
      </c>
      <c r="J484" t="s">
        <v>209</v>
      </c>
      <c r="K484" s="95">
        <v>24</v>
      </c>
      <c r="L484" s="94">
        <v>0</v>
      </c>
      <c r="O484" t="str">
        <f t="shared" si="8"/>
        <v/>
      </c>
    </row>
    <row r="485" spans="7:15" x14ac:dyDescent="0.3">
      <c r="G485" s="93">
        <v>43610</v>
      </c>
      <c r="H485" t="s">
        <v>130</v>
      </c>
      <c r="I485" t="s">
        <v>61</v>
      </c>
      <c r="J485" t="s">
        <v>209</v>
      </c>
      <c r="K485" s="95">
        <v>294.75</v>
      </c>
      <c r="L485" s="94">
        <v>0</v>
      </c>
      <c r="O485" t="str">
        <f t="shared" si="8"/>
        <v/>
      </c>
    </row>
    <row r="486" spans="7:15" x14ac:dyDescent="0.3">
      <c r="G486" s="93">
        <v>43610</v>
      </c>
      <c r="H486" t="s">
        <v>111</v>
      </c>
      <c r="I486" t="s">
        <v>207</v>
      </c>
      <c r="J486" t="s">
        <v>208</v>
      </c>
      <c r="K486" s="95">
        <v>13.97</v>
      </c>
      <c r="L486" s="94">
        <v>0</v>
      </c>
      <c r="O486" t="str">
        <f t="shared" si="8"/>
        <v/>
      </c>
    </row>
    <row r="487" spans="7:15" x14ac:dyDescent="0.3">
      <c r="G487" s="93">
        <v>43610</v>
      </c>
      <c r="H487" t="s">
        <v>111</v>
      </c>
      <c r="I487" t="s">
        <v>107</v>
      </c>
      <c r="J487" t="s">
        <v>209</v>
      </c>
      <c r="K487" s="95">
        <v>15.35</v>
      </c>
      <c r="L487" s="94">
        <v>0</v>
      </c>
      <c r="O487" t="str">
        <f t="shared" si="8"/>
        <v/>
      </c>
    </row>
    <row r="488" spans="7:15" x14ac:dyDescent="0.3">
      <c r="G488" s="93">
        <v>43610</v>
      </c>
      <c r="H488" t="s">
        <v>110</v>
      </c>
      <c r="I488" t="s">
        <v>207</v>
      </c>
      <c r="J488" t="s">
        <v>208</v>
      </c>
      <c r="K488" s="95">
        <v>653.96</v>
      </c>
      <c r="L488" s="94">
        <v>0</v>
      </c>
      <c r="O488" t="str">
        <f t="shared" si="8"/>
        <v/>
      </c>
    </row>
    <row r="489" spans="7:15" x14ac:dyDescent="0.3">
      <c r="G489" s="93">
        <v>43610</v>
      </c>
      <c r="H489" t="s">
        <v>26</v>
      </c>
      <c r="I489" t="s">
        <v>64</v>
      </c>
      <c r="J489" t="s">
        <v>163</v>
      </c>
      <c r="K489" s="95">
        <v>7.65</v>
      </c>
      <c r="L489" s="94">
        <v>0</v>
      </c>
      <c r="O489" t="str">
        <f t="shared" si="8"/>
        <v/>
      </c>
    </row>
    <row r="490" spans="7:15" x14ac:dyDescent="0.3">
      <c r="G490" s="93">
        <v>43610</v>
      </c>
      <c r="H490" t="s">
        <v>26</v>
      </c>
      <c r="I490" t="s">
        <v>207</v>
      </c>
      <c r="J490" t="s">
        <v>208</v>
      </c>
      <c r="K490" s="95">
        <v>341.28</v>
      </c>
      <c r="L490" s="94">
        <v>0</v>
      </c>
      <c r="O490" t="str">
        <f t="shared" si="8"/>
        <v/>
      </c>
    </row>
    <row r="491" spans="7:15" x14ac:dyDescent="0.3">
      <c r="G491" s="93">
        <v>43610</v>
      </c>
      <c r="H491" t="s">
        <v>26</v>
      </c>
      <c r="I491" t="s">
        <v>207</v>
      </c>
      <c r="J491" t="s">
        <v>208</v>
      </c>
      <c r="K491" s="95">
        <v>101.66</v>
      </c>
      <c r="L491" s="94">
        <v>0</v>
      </c>
      <c r="O491" t="str">
        <f t="shared" si="8"/>
        <v/>
      </c>
    </row>
    <row r="492" spans="7:15" x14ac:dyDescent="0.3">
      <c r="G492" s="93">
        <v>43610</v>
      </c>
      <c r="H492" t="s">
        <v>26</v>
      </c>
      <c r="I492" t="s">
        <v>207</v>
      </c>
      <c r="J492" t="s">
        <v>208</v>
      </c>
      <c r="K492" s="95">
        <v>91.9</v>
      </c>
      <c r="L492" s="94">
        <v>0</v>
      </c>
      <c r="O492" t="str">
        <f t="shared" si="8"/>
        <v/>
      </c>
    </row>
    <row r="493" spans="7:15" x14ac:dyDescent="0.3">
      <c r="G493" s="93">
        <v>43610</v>
      </c>
      <c r="H493" t="s">
        <v>26</v>
      </c>
      <c r="I493" t="s">
        <v>207</v>
      </c>
      <c r="J493" t="s">
        <v>208</v>
      </c>
      <c r="K493" s="95">
        <v>58.94</v>
      </c>
      <c r="L493" s="94">
        <v>0</v>
      </c>
      <c r="O493" t="str">
        <f t="shared" si="8"/>
        <v/>
      </c>
    </row>
    <row r="494" spans="7:15" x14ac:dyDescent="0.3">
      <c r="G494" s="93">
        <v>43610</v>
      </c>
      <c r="H494" t="s">
        <v>26</v>
      </c>
      <c r="I494" t="s">
        <v>207</v>
      </c>
      <c r="J494" t="s">
        <v>208</v>
      </c>
      <c r="K494" s="95">
        <v>50.38</v>
      </c>
      <c r="L494" s="94">
        <v>0</v>
      </c>
      <c r="O494" t="str">
        <f t="shared" si="8"/>
        <v/>
      </c>
    </row>
    <row r="495" spans="7:15" x14ac:dyDescent="0.3">
      <c r="G495" s="93">
        <v>43610</v>
      </c>
      <c r="H495" t="s">
        <v>26</v>
      </c>
      <c r="I495" t="s">
        <v>207</v>
      </c>
      <c r="J495" t="s">
        <v>208</v>
      </c>
      <c r="K495" s="95">
        <v>39.479999999999997</v>
      </c>
      <c r="L495" s="94">
        <v>0</v>
      </c>
      <c r="O495" t="str">
        <f t="shared" si="8"/>
        <v/>
      </c>
    </row>
    <row r="496" spans="7:15" x14ac:dyDescent="0.3">
      <c r="G496" s="93">
        <v>43610</v>
      </c>
      <c r="H496" t="s">
        <v>26</v>
      </c>
      <c r="I496" t="s">
        <v>107</v>
      </c>
      <c r="J496" t="s">
        <v>209</v>
      </c>
      <c r="K496" s="95">
        <v>12</v>
      </c>
      <c r="L496" s="94">
        <v>0</v>
      </c>
      <c r="O496" t="str">
        <f t="shared" si="8"/>
        <v/>
      </c>
    </row>
    <row r="497" spans="7:15" x14ac:dyDescent="0.3">
      <c r="G497" s="93">
        <v>43612</v>
      </c>
      <c r="H497" t="s">
        <v>114</v>
      </c>
      <c r="I497" t="s">
        <v>107</v>
      </c>
      <c r="J497" t="s">
        <v>210</v>
      </c>
      <c r="K497" s="95">
        <v>24</v>
      </c>
      <c r="L497" s="94">
        <v>0</v>
      </c>
      <c r="O497" t="str">
        <f t="shared" si="8"/>
        <v/>
      </c>
    </row>
    <row r="498" spans="7:15" x14ac:dyDescent="0.3">
      <c r="G498" s="93">
        <v>43612</v>
      </c>
      <c r="H498" t="s">
        <v>118</v>
      </c>
      <c r="I498" t="s">
        <v>97</v>
      </c>
      <c r="J498" t="s">
        <v>210</v>
      </c>
      <c r="K498" s="95">
        <v>24</v>
      </c>
      <c r="L498" s="94">
        <v>0</v>
      </c>
      <c r="O498" t="str">
        <f t="shared" si="8"/>
        <v/>
      </c>
    </row>
    <row r="499" spans="7:15" x14ac:dyDescent="0.3">
      <c r="G499" s="93">
        <v>43612</v>
      </c>
      <c r="H499" t="s">
        <v>118</v>
      </c>
      <c r="I499" t="s">
        <v>107</v>
      </c>
      <c r="J499" t="s">
        <v>210</v>
      </c>
      <c r="K499" s="95">
        <v>59</v>
      </c>
      <c r="L499" s="94">
        <v>0</v>
      </c>
      <c r="O499" t="str">
        <f t="shared" si="8"/>
        <v/>
      </c>
    </row>
    <row r="500" spans="7:15" x14ac:dyDescent="0.3">
      <c r="G500" s="93">
        <v>43612</v>
      </c>
      <c r="H500" t="s">
        <v>24</v>
      </c>
      <c r="I500" t="s">
        <v>61</v>
      </c>
      <c r="J500" t="s">
        <v>210</v>
      </c>
      <c r="K500" s="95">
        <v>16</v>
      </c>
      <c r="L500" s="94">
        <v>0</v>
      </c>
      <c r="O500" t="str">
        <f t="shared" si="8"/>
        <v/>
      </c>
    </row>
    <row r="501" spans="7:15" x14ac:dyDescent="0.3">
      <c r="G501" s="93">
        <v>43612</v>
      </c>
      <c r="H501" t="s">
        <v>126</v>
      </c>
      <c r="I501" t="s">
        <v>105</v>
      </c>
      <c r="J501" t="s">
        <v>210</v>
      </c>
      <c r="K501" s="95">
        <v>101.65</v>
      </c>
      <c r="L501" s="94">
        <v>0</v>
      </c>
      <c r="O501" t="str">
        <f t="shared" si="8"/>
        <v/>
      </c>
    </row>
    <row r="502" spans="7:15" x14ac:dyDescent="0.3">
      <c r="G502" s="93">
        <v>43612</v>
      </c>
      <c r="H502" t="s">
        <v>125</v>
      </c>
      <c r="I502" t="s">
        <v>108</v>
      </c>
      <c r="J502" t="s">
        <v>210</v>
      </c>
      <c r="K502" s="95">
        <v>67</v>
      </c>
      <c r="L502" s="94">
        <v>0</v>
      </c>
      <c r="O502" t="str">
        <f t="shared" si="8"/>
        <v/>
      </c>
    </row>
    <row r="503" spans="7:15" x14ac:dyDescent="0.3">
      <c r="G503" s="93">
        <v>43612</v>
      </c>
      <c r="H503" t="s">
        <v>26</v>
      </c>
      <c r="I503" t="s">
        <v>106</v>
      </c>
      <c r="J503" t="s">
        <v>210</v>
      </c>
      <c r="K503" s="95">
        <v>187.5</v>
      </c>
      <c r="L503" s="94">
        <v>0</v>
      </c>
      <c r="O503" t="str">
        <f t="shared" si="8"/>
        <v/>
      </c>
    </row>
    <row r="504" spans="7:15" x14ac:dyDescent="0.3">
      <c r="G504" s="93">
        <v>43612</v>
      </c>
      <c r="H504" t="s">
        <v>26</v>
      </c>
      <c r="I504" t="s">
        <v>109</v>
      </c>
      <c r="J504" t="s">
        <v>210</v>
      </c>
      <c r="K504" s="95">
        <v>30</v>
      </c>
      <c r="L504" s="94">
        <v>0</v>
      </c>
      <c r="O504" t="str">
        <f t="shared" si="8"/>
        <v/>
      </c>
    </row>
    <row r="505" spans="7:15" x14ac:dyDescent="0.3">
      <c r="G505" s="93">
        <v>43612</v>
      </c>
      <c r="H505" t="s">
        <v>26</v>
      </c>
      <c r="I505" t="s">
        <v>109</v>
      </c>
      <c r="J505" t="s">
        <v>210</v>
      </c>
      <c r="K505" s="95">
        <v>17.989999999999998</v>
      </c>
      <c r="L505" s="94">
        <v>0</v>
      </c>
      <c r="O505" t="str">
        <f t="shared" si="8"/>
        <v/>
      </c>
    </row>
    <row r="506" spans="7:15" x14ac:dyDescent="0.3">
      <c r="G506" s="93">
        <v>43612</v>
      </c>
      <c r="H506" t="s">
        <v>26</v>
      </c>
      <c r="I506" t="s">
        <v>97</v>
      </c>
      <c r="J506" t="s">
        <v>210</v>
      </c>
      <c r="K506" s="95">
        <v>55.64</v>
      </c>
      <c r="L506" s="94">
        <v>0</v>
      </c>
      <c r="O506" t="str">
        <f t="shared" si="8"/>
        <v/>
      </c>
    </row>
    <row r="507" spans="7:15" x14ac:dyDescent="0.3">
      <c r="G507" s="93">
        <v>43612</v>
      </c>
      <c r="H507" t="s">
        <v>26</v>
      </c>
      <c r="I507" t="s">
        <v>97</v>
      </c>
      <c r="J507" t="s">
        <v>210</v>
      </c>
      <c r="K507" s="95">
        <v>40.5</v>
      </c>
      <c r="L507" s="94">
        <v>0</v>
      </c>
      <c r="O507" t="str">
        <f t="shared" si="8"/>
        <v/>
      </c>
    </row>
    <row r="508" spans="7:15" x14ac:dyDescent="0.3">
      <c r="G508" s="93">
        <v>43612</v>
      </c>
      <c r="H508" t="s">
        <v>26</v>
      </c>
      <c r="I508" t="s">
        <v>97</v>
      </c>
      <c r="J508" t="s">
        <v>210</v>
      </c>
      <c r="K508" s="95">
        <v>35.979999999999997</v>
      </c>
      <c r="L508" s="94">
        <v>0</v>
      </c>
      <c r="O508" t="str">
        <f t="shared" si="8"/>
        <v/>
      </c>
    </row>
    <row r="509" spans="7:15" x14ac:dyDescent="0.3">
      <c r="G509" s="93">
        <v>43612</v>
      </c>
      <c r="H509" t="s">
        <v>26</v>
      </c>
      <c r="I509" t="s">
        <v>97</v>
      </c>
      <c r="J509" t="s">
        <v>210</v>
      </c>
      <c r="K509" s="95">
        <v>10.199999999999999</v>
      </c>
      <c r="L509" s="94">
        <v>0</v>
      </c>
      <c r="O509" t="str">
        <f t="shared" si="8"/>
        <v/>
      </c>
    </row>
    <row r="510" spans="7:15" x14ac:dyDescent="0.3">
      <c r="G510" s="93">
        <v>43612</v>
      </c>
      <c r="H510" t="s">
        <v>26</v>
      </c>
      <c r="I510" t="s">
        <v>105</v>
      </c>
      <c r="J510" t="s">
        <v>210</v>
      </c>
      <c r="K510" s="95">
        <v>160</v>
      </c>
      <c r="L510" s="94">
        <v>0</v>
      </c>
      <c r="O510" t="str">
        <f t="shared" si="8"/>
        <v/>
      </c>
    </row>
    <row r="511" spans="7:15" x14ac:dyDescent="0.3">
      <c r="G511" s="93">
        <v>43612</v>
      </c>
      <c r="H511" t="s">
        <v>26</v>
      </c>
      <c r="I511" t="s">
        <v>105</v>
      </c>
      <c r="J511" t="s">
        <v>210</v>
      </c>
      <c r="K511" s="95">
        <v>116.42</v>
      </c>
      <c r="L511" s="94">
        <v>0</v>
      </c>
      <c r="O511" t="str">
        <f t="shared" si="8"/>
        <v/>
      </c>
    </row>
    <row r="512" spans="7:15" x14ac:dyDescent="0.3">
      <c r="G512" s="93">
        <v>43612</v>
      </c>
      <c r="H512" t="s">
        <v>26</v>
      </c>
      <c r="I512" t="s">
        <v>105</v>
      </c>
      <c r="J512" t="s">
        <v>210</v>
      </c>
      <c r="K512" s="95">
        <v>94.47</v>
      </c>
      <c r="L512" s="94">
        <v>0</v>
      </c>
      <c r="O512" t="str">
        <f t="shared" si="8"/>
        <v/>
      </c>
    </row>
    <row r="513" spans="7:15" x14ac:dyDescent="0.3">
      <c r="G513" s="93">
        <v>43612</v>
      </c>
      <c r="H513" t="s">
        <v>26</v>
      </c>
      <c r="I513" t="s">
        <v>105</v>
      </c>
      <c r="J513" t="s">
        <v>210</v>
      </c>
      <c r="K513" s="95">
        <v>48.16</v>
      </c>
      <c r="L513" s="94">
        <v>0</v>
      </c>
      <c r="O513" t="str">
        <f t="shared" si="8"/>
        <v/>
      </c>
    </row>
    <row r="514" spans="7:15" x14ac:dyDescent="0.3">
      <c r="G514" s="93">
        <v>43612</v>
      </c>
      <c r="H514" t="s">
        <v>26</v>
      </c>
      <c r="I514" t="s">
        <v>105</v>
      </c>
      <c r="J514" t="s">
        <v>210</v>
      </c>
      <c r="K514" s="95">
        <v>28.39</v>
      </c>
      <c r="L514" s="94">
        <v>0</v>
      </c>
      <c r="O514" t="str">
        <f t="shared" si="8"/>
        <v/>
      </c>
    </row>
    <row r="515" spans="7:15" x14ac:dyDescent="0.3">
      <c r="G515" s="93">
        <v>43612</v>
      </c>
      <c r="H515" t="s">
        <v>26</v>
      </c>
      <c r="I515" t="s">
        <v>105</v>
      </c>
      <c r="J515" t="s">
        <v>210</v>
      </c>
      <c r="K515" s="95">
        <v>10.49</v>
      </c>
      <c r="L515" s="94">
        <v>0</v>
      </c>
      <c r="O515" t="str">
        <f t="shared" si="8"/>
        <v/>
      </c>
    </row>
    <row r="516" spans="7:15" x14ac:dyDescent="0.3">
      <c r="G516" s="93">
        <v>43612</v>
      </c>
      <c r="H516" t="s">
        <v>26</v>
      </c>
      <c r="I516" t="s">
        <v>64</v>
      </c>
      <c r="J516" t="s">
        <v>101</v>
      </c>
      <c r="K516" s="95">
        <v>12</v>
      </c>
      <c r="L516" s="94">
        <v>0</v>
      </c>
      <c r="O516" t="str">
        <f t="shared" si="8"/>
        <v/>
      </c>
    </row>
    <row r="517" spans="7:15" x14ac:dyDescent="0.3">
      <c r="G517" s="93">
        <v>43612</v>
      </c>
      <c r="H517" t="s">
        <v>26</v>
      </c>
      <c r="I517" t="s">
        <v>64</v>
      </c>
      <c r="J517" t="s">
        <v>96</v>
      </c>
      <c r="K517" s="95">
        <v>2.4</v>
      </c>
      <c r="L517" s="94">
        <v>0</v>
      </c>
      <c r="O517" t="str">
        <f t="shared" si="8"/>
        <v/>
      </c>
    </row>
    <row r="518" spans="7:15" x14ac:dyDescent="0.3">
      <c r="G518" s="93">
        <v>43612</v>
      </c>
      <c r="H518" t="s">
        <v>26</v>
      </c>
      <c r="I518" t="s">
        <v>64</v>
      </c>
      <c r="J518" t="s">
        <v>102</v>
      </c>
      <c r="K518" s="95">
        <v>2.7</v>
      </c>
      <c r="L518" s="94">
        <v>0</v>
      </c>
      <c r="O518" t="str">
        <f t="shared" si="8"/>
        <v/>
      </c>
    </row>
    <row r="519" spans="7:15" x14ac:dyDescent="0.3">
      <c r="G519" s="93">
        <v>43612</v>
      </c>
      <c r="H519" t="s">
        <v>26</v>
      </c>
      <c r="I519" t="s">
        <v>107</v>
      </c>
      <c r="J519" t="s">
        <v>210</v>
      </c>
      <c r="K519" s="95">
        <v>30.77</v>
      </c>
      <c r="L519" s="94">
        <v>0</v>
      </c>
      <c r="O519" t="str">
        <f t="shared" si="8"/>
        <v/>
      </c>
    </row>
    <row r="520" spans="7:15" x14ac:dyDescent="0.3">
      <c r="G520" s="93">
        <v>43613</v>
      </c>
      <c r="H520" t="s">
        <v>113</v>
      </c>
      <c r="I520" t="s">
        <v>109</v>
      </c>
      <c r="J520" t="s">
        <v>211</v>
      </c>
      <c r="K520" s="95">
        <v>175</v>
      </c>
      <c r="L520" s="94">
        <v>0</v>
      </c>
      <c r="O520" t="str">
        <f t="shared" si="8"/>
        <v/>
      </c>
    </row>
    <row r="521" spans="7:15" x14ac:dyDescent="0.3">
      <c r="G521" s="93">
        <v>43613</v>
      </c>
      <c r="H521" t="s">
        <v>120</v>
      </c>
      <c r="I521" t="s">
        <v>61</v>
      </c>
      <c r="J521" t="s">
        <v>211</v>
      </c>
      <c r="K521" s="95">
        <v>117.45</v>
      </c>
      <c r="L521" s="94">
        <v>0</v>
      </c>
      <c r="O521" t="str">
        <f t="shared" si="8"/>
        <v/>
      </c>
    </row>
    <row r="522" spans="7:15" x14ac:dyDescent="0.3">
      <c r="G522" s="93">
        <v>43613</v>
      </c>
      <c r="H522" t="s">
        <v>118</v>
      </c>
      <c r="I522" t="s">
        <v>107</v>
      </c>
      <c r="J522" t="s">
        <v>211</v>
      </c>
      <c r="K522" s="95">
        <v>130</v>
      </c>
      <c r="L522" s="94">
        <v>0</v>
      </c>
      <c r="O522" t="str">
        <f t="shared" ref="O522:O585" si="9">IF(P522="","",O521+1)</f>
        <v/>
      </c>
    </row>
    <row r="523" spans="7:15" x14ac:dyDescent="0.3">
      <c r="G523" s="93">
        <v>43613</v>
      </c>
      <c r="H523" t="s">
        <v>161</v>
      </c>
      <c r="I523" t="s">
        <v>61</v>
      </c>
      <c r="J523" t="s">
        <v>211</v>
      </c>
      <c r="K523" s="95">
        <v>54.57</v>
      </c>
      <c r="L523" s="94">
        <v>0</v>
      </c>
      <c r="O523" t="str">
        <f t="shared" si="9"/>
        <v/>
      </c>
    </row>
    <row r="524" spans="7:15" x14ac:dyDescent="0.3">
      <c r="G524" s="93">
        <v>43613</v>
      </c>
      <c r="H524" t="s">
        <v>161</v>
      </c>
      <c r="I524" t="s">
        <v>107</v>
      </c>
      <c r="J524" t="s">
        <v>211</v>
      </c>
      <c r="K524" s="95">
        <v>14.6</v>
      </c>
      <c r="L524" s="94">
        <v>0</v>
      </c>
      <c r="O524" t="str">
        <f t="shared" si="9"/>
        <v/>
      </c>
    </row>
    <row r="525" spans="7:15" x14ac:dyDescent="0.3">
      <c r="G525" s="93">
        <v>43613</v>
      </c>
      <c r="H525" t="s">
        <v>24</v>
      </c>
      <c r="I525" t="s">
        <v>61</v>
      </c>
      <c r="J525" t="s">
        <v>211</v>
      </c>
      <c r="K525" s="95">
        <v>16</v>
      </c>
      <c r="L525" s="94">
        <v>0</v>
      </c>
      <c r="O525" t="str">
        <f t="shared" si="9"/>
        <v/>
      </c>
    </row>
    <row r="526" spans="7:15" x14ac:dyDescent="0.3">
      <c r="G526" s="93">
        <v>43613</v>
      </c>
      <c r="H526" t="s">
        <v>24</v>
      </c>
      <c r="I526" t="s">
        <v>61</v>
      </c>
      <c r="J526" t="s">
        <v>211</v>
      </c>
      <c r="K526" s="95">
        <v>8</v>
      </c>
      <c r="L526" s="94">
        <v>0</v>
      </c>
      <c r="O526" t="str">
        <f t="shared" si="9"/>
        <v/>
      </c>
    </row>
    <row r="527" spans="7:15" x14ac:dyDescent="0.3">
      <c r="G527" s="93">
        <v>43613</v>
      </c>
      <c r="H527" t="s">
        <v>112</v>
      </c>
      <c r="I527" t="s">
        <v>107</v>
      </c>
      <c r="J527" t="s">
        <v>211</v>
      </c>
      <c r="K527" s="95">
        <v>226.93</v>
      </c>
      <c r="L527" s="94">
        <v>0</v>
      </c>
      <c r="O527" t="str">
        <f t="shared" si="9"/>
        <v/>
      </c>
    </row>
    <row r="528" spans="7:15" x14ac:dyDescent="0.3">
      <c r="G528" s="93">
        <v>43613</v>
      </c>
      <c r="H528" t="s">
        <v>124</v>
      </c>
      <c r="I528" t="s">
        <v>107</v>
      </c>
      <c r="J528" t="s">
        <v>211</v>
      </c>
      <c r="K528" s="95">
        <v>120.41</v>
      </c>
      <c r="L528" s="94">
        <v>0</v>
      </c>
      <c r="O528" t="str">
        <f t="shared" si="9"/>
        <v/>
      </c>
    </row>
    <row r="529" spans="7:15" x14ac:dyDescent="0.3">
      <c r="G529" s="93">
        <v>43613</v>
      </c>
      <c r="H529" t="s">
        <v>26</v>
      </c>
      <c r="I529" t="s">
        <v>61</v>
      </c>
      <c r="J529" t="s">
        <v>211</v>
      </c>
      <c r="K529" s="95">
        <v>8</v>
      </c>
      <c r="L529" s="94">
        <v>0</v>
      </c>
      <c r="O529" t="str">
        <f t="shared" si="9"/>
        <v/>
      </c>
    </row>
    <row r="530" spans="7:15" x14ac:dyDescent="0.3">
      <c r="G530" s="93">
        <v>43613</v>
      </c>
      <c r="H530" t="s">
        <v>26</v>
      </c>
      <c r="I530" t="s">
        <v>97</v>
      </c>
      <c r="J530" t="s">
        <v>211</v>
      </c>
      <c r="K530" s="95">
        <v>15.66</v>
      </c>
      <c r="L530" s="94">
        <v>0</v>
      </c>
      <c r="O530" t="str">
        <f t="shared" si="9"/>
        <v/>
      </c>
    </row>
    <row r="531" spans="7:15" x14ac:dyDescent="0.3">
      <c r="G531" s="93">
        <v>43613</v>
      </c>
      <c r="H531" t="s">
        <v>26</v>
      </c>
      <c r="I531" t="s">
        <v>108</v>
      </c>
      <c r="J531" t="s">
        <v>211</v>
      </c>
      <c r="K531" s="95">
        <v>34</v>
      </c>
      <c r="L531" s="94">
        <v>0</v>
      </c>
      <c r="O531" t="str">
        <f t="shared" si="9"/>
        <v/>
      </c>
    </row>
    <row r="532" spans="7:15" x14ac:dyDescent="0.3">
      <c r="G532" s="93">
        <v>43613</v>
      </c>
      <c r="H532" t="s">
        <v>26</v>
      </c>
      <c r="I532" t="s">
        <v>64</v>
      </c>
      <c r="J532" t="s">
        <v>103</v>
      </c>
      <c r="K532" s="95">
        <v>24</v>
      </c>
      <c r="L532" s="94">
        <v>0</v>
      </c>
      <c r="O532" t="str">
        <f t="shared" si="9"/>
        <v/>
      </c>
    </row>
    <row r="533" spans="7:15" x14ac:dyDescent="0.3">
      <c r="G533" s="93">
        <v>43613</v>
      </c>
      <c r="H533" t="s">
        <v>26</v>
      </c>
      <c r="I533" t="s">
        <v>64</v>
      </c>
      <c r="J533" t="s">
        <v>171</v>
      </c>
      <c r="K533" s="95">
        <v>4.5</v>
      </c>
      <c r="L533" s="94">
        <v>0</v>
      </c>
      <c r="O533" t="str">
        <f t="shared" si="9"/>
        <v/>
      </c>
    </row>
    <row r="534" spans="7:15" x14ac:dyDescent="0.3">
      <c r="G534" s="93">
        <v>43614</v>
      </c>
      <c r="H534" t="s">
        <v>25</v>
      </c>
      <c r="I534" t="s">
        <v>61</v>
      </c>
      <c r="J534" t="s">
        <v>212</v>
      </c>
      <c r="K534" s="95">
        <v>8</v>
      </c>
      <c r="L534" s="94">
        <v>0</v>
      </c>
      <c r="O534" t="str">
        <f t="shared" si="9"/>
        <v/>
      </c>
    </row>
    <row r="535" spans="7:15" x14ac:dyDescent="0.3">
      <c r="G535" s="93">
        <v>43614</v>
      </c>
      <c r="H535" t="s">
        <v>115</v>
      </c>
      <c r="I535" t="s">
        <v>108</v>
      </c>
      <c r="J535" t="s">
        <v>212</v>
      </c>
      <c r="K535" s="95">
        <v>28</v>
      </c>
      <c r="L535" s="94">
        <v>0</v>
      </c>
      <c r="O535" t="str">
        <f t="shared" si="9"/>
        <v/>
      </c>
    </row>
    <row r="536" spans="7:15" x14ac:dyDescent="0.3">
      <c r="G536" s="93">
        <v>43614</v>
      </c>
      <c r="H536" t="s">
        <v>123</v>
      </c>
      <c r="I536" t="s">
        <v>61</v>
      </c>
      <c r="J536" t="s">
        <v>212</v>
      </c>
      <c r="K536" s="95">
        <v>9.08</v>
      </c>
      <c r="L536" s="94">
        <v>0</v>
      </c>
      <c r="O536" t="str">
        <f t="shared" si="9"/>
        <v/>
      </c>
    </row>
    <row r="537" spans="7:15" x14ac:dyDescent="0.3">
      <c r="G537" s="93">
        <v>43614</v>
      </c>
      <c r="H537" t="s">
        <v>118</v>
      </c>
      <c r="I537" t="s">
        <v>213</v>
      </c>
      <c r="J537" t="s">
        <v>173</v>
      </c>
      <c r="K537" s="95">
        <v>0</v>
      </c>
      <c r="L537" s="94">
        <v>10400</v>
      </c>
      <c r="O537" t="str">
        <f t="shared" si="9"/>
        <v/>
      </c>
    </row>
    <row r="538" spans="7:15" x14ac:dyDescent="0.3">
      <c r="G538" s="93">
        <v>43614</v>
      </c>
      <c r="H538" t="s">
        <v>24</v>
      </c>
      <c r="I538" t="s">
        <v>61</v>
      </c>
      <c r="J538" t="s">
        <v>212</v>
      </c>
      <c r="K538" s="95">
        <v>16</v>
      </c>
      <c r="L538" s="94">
        <v>0</v>
      </c>
      <c r="O538" t="str">
        <f t="shared" si="9"/>
        <v/>
      </c>
    </row>
    <row r="539" spans="7:15" x14ac:dyDescent="0.3">
      <c r="G539" s="93">
        <v>43614</v>
      </c>
      <c r="H539" t="s">
        <v>24</v>
      </c>
      <c r="I539" t="s">
        <v>61</v>
      </c>
      <c r="J539" t="s">
        <v>212</v>
      </c>
      <c r="K539" s="95">
        <v>8</v>
      </c>
      <c r="L539" s="94">
        <v>0</v>
      </c>
      <c r="O539" t="str">
        <f t="shared" si="9"/>
        <v/>
      </c>
    </row>
    <row r="540" spans="7:15" x14ac:dyDescent="0.3">
      <c r="G540" s="93">
        <v>43614</v>
      </c>
      <c r="H540" t="s">
        <v>130</v>
      </c>
      <c r="I540" t="s">
        <v>106</v>
      </c>
      <c r="J540" t="s">
        <v>212</v>
      </c>
      <c r="K540" s="95">
        <v>3909</v>
      </c>
      <c r="L540" s="94">
        <v>0</v>
      </c>
      <c r="O540" t="str">
        <f t="shared" si="9"/>
        <v/>
      </c>
    </row>
    <row r="541" spans="7:15" x14ac:dyDescent="0.3">
      <c r="G541" s="93">
        <v>43614</v>
      </c>
      <c r="H541" t="s">
        <v>125</v>
      </c>
      <c r="I541" t="s">
        <v>107</v>
      </c>
      <c r="J541" t="s">
        <v>212</v>
      </c>
      <c r="K541" s="95">
        <v>42</v>
      </c>
      <c r="L541" s="94">
        <v>0</v>
      </c>
      <c r="O541" t="str">
        <f t="shared" si="9"/>
        <v/>
      </c>
    </row>
    <row r="542" spans="7:15" x14ac:dyDescent="0.3">
      <c r="G542" s="93">
        <v>43614</v>
      </c>
      <c r="H542" t="s">
        <v>111</v>
      </c>
      <c r="I542" t="s">
        <v>107</v>
      </c>
      <c r="J542" t="s">
        <v>212</v>
      </c>
      <c r="K542" s="95">
        <v>5</v>
      </c>
      <c r="L542" s="94">
        <v>0</v>
      </c>
      <c r="O542" t="str">
        <f t="shared" si="9"/>
        <v/>
      </c>
    </row>
    <row r="543" spans="7:15" x14ac:dyDescent="0.3">
      <c r="G543" s="93">
        <v>43614</v>
      </c>
      <c r="H543" t="s">
        <v>26</v>
      </c>
      <c r="I543" t="s">
        <v>61</v>
      </c>
      <c r="J543" t="s">
        <v>212</v>
      </c>
      <c r="K543" s="95">
        <v>8</v>
      </c>
      <c r="L543" s="94">
        <v>0</v>
      </c>
      <c r="O543" t="str">
        <f t="shared" si="9"/>
        <v/>
      </c>
    </row>
    <row r="544" spans="7:15" x14ac:dyDescent="0.3">
      <c r="G544" s="93">
        <v>43614</v>
      </c>
      <c r="H544" t="s">
        <v>26</v>
      </c>
      <c r="I544" t="s">
        <v>108</v>
      </c>
      <c r="J544" t="s">
        <v>212</v>
      </c>
      <c r="K544" s="95">
        <v>0</v>
      </c>
      <c r="L544" s="94">
        <v>57</v>
      </c>
      <c r="O544" t="str">
        <f t="shared" si="9"/>
        <v/>
      </c>
    </row>
    <row r="545" spans="7:15" x14ac:dyDescent="0.3">
      <c r="G545" s="93">
        <v>43614</v>
      </c>
      <c r="H545" t="s">
        <v>26</v>
      </c>
      <c r="I545" t="s">
        <v>108</v>
      </c>
      <c r="J545" t="s">
        <v>212</v>
      </c>
      <c r="L545" s="94">
        <v>30.77</v>
      </c>
      <c r="O545" t="str">
        <f t="shared" si="9"/>
        <v/>
      </c>
    </row>
    <row r="546" spans="7:15" x14ac:dyDescent="0.3">
      <c r="G546" s="93">
        <v>43614</v>
      </c>
      <c r="H546" t="s">
        <v>26</v>
      </c>
      <c r="I546" t="s">
        <v>64</v>
      </c>
      <c r="J546" t="s">
        <v>162</v>
      </c>
      <c r="K546" s="95">
        <v>9</v>
      </c>
      <c r="L546" s="94">
        <v>0</v>
      </c>
      <c r="O546" t="str">
        <f t="shared" si="9"/>
        <v/>
      </c>
    </row>
    <row r="547" spans="7:15" x14ac:dyDescent="0.3">
      <c r="G547" s="93">
        <v>43614</v>
      </c>
      <c r="H547" t="s">
        <v>26</v>
      </c>
      <c r="I547" t="s">
        <v>64</v>
      </c>
      <c r="J547" t="s">
        <v>171</v>
      </c>
      <c r="K547" s="95">
        <v>4.5</v>
      </c>
      <c r="L547" s="94">
        <v>0</v>
      </c>
      <c r="O547" t="str">
        <f t="shared" si="9"/>
        <v/>
      </c>
    </row>
    <row r="548" spans="7:15" x14ac:dyDescent="0.3">
      <c r="G548" s="93">
        <v>43614</v>
      </c>
      <c r="H548" t="s">
        <v>26</v>
      </c>
      <c r="I548" t="s">
        <v>107</v>
      </c>
      <c r="J548" t="s">
        <v>212</v>
      </c>
      <c r="K548" s="95">
        <v>19</v>
      </c>
      <c r="L548" s="94">
        <v>0</v>
      </c>
      <c r="O548" t="str">
        <f t="shared" si="9"/>
        <v/>
      </c>
    </row>
    <row r="549" spans="7:15" x14ac:dyDescent="0.3">
      <c r="G549" s="93">
        <v>43615</v>
      </c>
      <c r="H549" t="s">
        <v>127</v>
      </c>
      <c r="I549" t="s">
        <v>107</v>
      </c>
      <c r="J549" t="s">
        <v>214</v>
      </c>
      <c r="K549" s="95">
        <v>95.6</v>
      </c>
      <c r="L549" s="94">
        <v>0</v>
      </c>
      <c r="O549" t="str">
        <f t="shared" si="9"/>
        <v/>
      </c>
    </row>
    <row r="550" spans="7:15" x14ac:dyDescent="0.3">
      <c r="G550" s="93">
        <v>43615</v>
      </c>
      <c r="H550" t="s">
        <v>114</v>
      </c>
      <c r="I550" t="s">
        <v>40</v>
      </c>
      <c r="J550" t="s">
        <v>214</v>
      </c>
      <c r="K550" s="95">
        <v>20</v>
      </c>
      <c r="L550" s="94">
        <v>0</v>
      </c>
      <c r="O550" t="str">
        <f t="shared" si="9"/>
        <v/>
      </c>
    </row>
    <row r="551" spans="7:15" x14ac:dyDescent="0.3">
      <c r="G551" s="93">
        <v>43615</v>
      </c>
      <c r="H551" t="s">
        <v>24</v>
      </c>
      <c r="I551" t="s">
        <v>61</v>
      </c>
      <c r="J551" t="s">
        <v>214</v>
      </c>
      <c r="K551" s="95">
        <v>32</v>
      </c>
      <c r="L551" s="94">
        <v>0</v>
      </c>
      <c r="O551" t="str">
        <f t="shared" si="9"/>
        <v/>
      </c>
    </row>
    <row r="552" spans="7:15" x14ac:dyDescent="0.3">
      <c r="G552" s="93">
        <v>43615</v>
      </c>
      <c r="H552" t="s">
        <v>24</v>
      </c>
      <c r="I552" t="s">
        <v>61</v>
      </c>
      <c r="J552" t="s">
        <v>214</v>
      </c>
      <c r="K552" s="95">
        <v>24</v>
      </c>
      <c r="L552" s="94">
        <v>0</v>
      </c>
      <c r="O552" t="str">
        <f t="shared" si="9"/>
        <v/>
      </c>
    </row>
    <row r="553" spans="7:15" x14ac:dyDescent="0.3">
      <c r="G553" s="93">
        <v>43615</v>
      </c>
      <c r="H553" t="s">
        <v>24</v>
      </c>
      <c r="I553" t="s">
        <v>61</v>
      </c>
      <c r="J553" t="s">
        <v>214</v>
      </c>
      <c r="K553" s="95">
        <v>16</v>
      </c>
      <c r="L553" s="94">
        <v>0</v>
      </c>
      <c r="O553" t="str">
        <f t="shared" si="9"/>
        <v/>
      </c>
    </row>
    <row r="554" spans="7:15" x14ac:dyDescent="0.3">
      <c r="G554" s="93">
        <v>43615</v>
      </c>
      <c r="H554" t="s">
        <v>24</v>
      </c>
      <c r="I554" t="s">
        <v>61</v>
      </c>
      <c r="J554" t="s">
        <v>214</v>
      </c>
      <c r="K554" s="95">
        <v>8</v>
      </c>
      <c r="L554" s="94">
        <v>0</v>
      </c>
      <c r="O554" t="str">
        <f t="shared" si="9"/>
        <v/>
      </c>
    </row>
    <row r="555" spans="7:15" x14ac:dyDescent="0.3">
      <c r="G555" s="93">
        <v>43615</v>
      </c>
      <c r="H555" t="s">
        <v>26</v>
      </c>
      <c r="I555" t="s">
        <v>61</v>
      </c>
      <c r="J555" t="s">
        <v>214</v>
      </c>
      <c r="K555" s="95">
        <v>8</v>
      </c>
      <c r="L555" s="94">
        <v>0</v>
      </c>
      <c r="O555" t="str">
        <f t="shared" si="9"/>
        <v/>
      </c>
    </row>
    <row r="556" spans="7:15" x14ac:dyDescent="0.3">
      <c r="G556" s="93">
        <v>43615</v>
      </c>
      <c r="H556" t="s">
        <v>26</v>
      </c>
      <c r="I556" t="s">
        <v>64</v>
      </c>
      <c r="J556" t="s">
        <v>162</v>
      </c>
      <c r="K556" s="95">
        <v>9</v>
      </c>
      <c r="L556" s="94">
        <v>0</v>
      </c>
      <c r="O556" t="str">
        <f t="shared" si="9"/>
        <v/>
      </c>
    </row>
    <row r="557" spans="7:15" x14ac:dyDescent="0.3">
      <c r="G557" s="93">
        <v>43615</v>
      </c>
      <c r="H557" t="s">
        <v>26</v>
      </c>
      <c r="I557" t="s">
        <v>107</v>
      </c>
      <c r="J557" t="s">
        <v>214</v>
      </c>
      <c r="K557" s="95">
        <v>19</v>
      </c>
      <c r="L557" s="94">
        <v>0</v>
      </c>
      <c r="O557" t="str">
        <f t="shared" si="9"/>
        <v/>
      </c>
    </row>
    <row r="558" spans="7:15" x14ac:dyDescent="0.3">
      <c r="G558" s="93">
        <v>43616</v>
      </c>
      <c r="H558" t="s">
        <v>26</v>
      </c>
      <c r="I558" t="s">
        <v>64</v>
      </c>
      <c r="J558" t="s">
        <v>215</v>
      </c>
      <c r="K558" s="95">
        <v>2.65</v>
      </c>
      <c r="L558" s="94">
        <v>0</v>
      </c>
      <c r="O558" t="str">
        <f t="shared" si="9"/>
        <v/>
      </c>
    </row>
    <row r="559" spans="7:15" x14ac:dyDescent="0.3">
      <c r="G559" s="93">
        <v>43616</v>
      </c>
      <c r="H559" t="s">
        <v>26</v>
      </c>
      <c r="I559" t="s">
        <v>64</v>
      </c>
      <c r="J559" t="s">
        <v>133</v>
      </c>
      <c r="K559" s="95">
        <v>2.25</v>
      </c>
      <c r="L559" s="94">
        <v>0</v>
      </c>
      <c r="O559" t="str">
        <f t="shared" si="9"/>
        <v/>
      </c>
    </row>
    <row r="560" spans="7:15" x14ac:dyDescent="0.3">
      <c r="G560" s="93">
        <v>43616</v>
      </c>
      <c r="H560" t="s">
        <v>26</v>
      </c>
      <c r="I560" t="s">
        <v>64</v>
      </c>
      <c r="J560" t="s">
        <v>170</v>
      </c>
      <c r="K560" s="95">
        <v>6.75</v>
      </c>
      <c r="L560" s="94">
        <v>0</v>
      </c>
      <c r="O560" t="str">
        <f t="shared" si="9"/>
        <v/>
      </c>
    </row>
    <row r="561" spans="15:15" x14ac:dyDescent="0.3">
      <c r="O561" t="str">
        <f t="shared" si="9"/>
        <v/>
      </c>
    </row>
    <row r="562" spans="15:15" x14ac:dyDescent="0.3">
      <c r="O562" t="str">
        <f t="shared" si="9"/>
        <v/>
      </c>
    </row>
    <row r="563" spans="15:15" x14ac:dyDescent="0.3">
      <c r="O563" t="str">
        <f t="shared" si="9"/>
        <v/>
      </c>
    </row>
    <row r="564" spans="15:15" x14ac:dyDescent="0.3">
      <c r="O564" t="str">
        <f t="shared" si="9"/>
        <v/>
      </c>
    </row>
    <row r="565" spans="15:15" x14ac:dyDescent="0.3">
      <c r="O565" t="str">
        <f t="shared" si="9"/>
        <v/>
      </c>
    </row>
    <row r="566" spans="15:15" x14ac:dyDescent="0.3">
      <c r="O566" t="str">
        <f t="shared" si="9"/>
        <v/>
      </c>
    </row>
    <row r="567" spans="15:15" x14ac:dyDescent="0.3">
      <c r="O567" t="str">
        <f t="shared" si="9"/>
        <v/>
      </c>
    </row>
    <row r="568" spans="15:15" x14ac:dyDescent="0.3">
      <c r="O568" t="str">
        <f t="shared" si="9"/>
        <v/>
      </c>
    </row>
    <row r="569" spans="15:15" x14ac:dyDescent="0.3">
      <c r="O569" t="str">
        <f t="shared" si="9"/>
        <v/>
      </c>
    </row>
    <row r="570" spans="15:15" x14ac:dyDescent="0.3">
      <c r="O570" t="str">
        <f t="shared" si="9"/>
        <v/>
      </c>
    </row>
    <row r="571" spans="15:15" x14ac:dyDescent="0.3">
      <c r="O571" t="str">
        <f t="shared" si="9"/>
        <v/>
      </c>
    </row>
    <row r="572" spans="15:15" x14ac:dyDescent="0.3">
      <c r="O572" t="str">
        <f t="shared" si="9"/>
        <v/>
      </c>
    </row>
    <row r="573" spans="15:15" x14ac:dyDescent="0.3">
      <c r="O573" t="str">
        <f t="shared" si="9"/>
        <v/>
      </c>
    </row>
    <row r="574" spans="15:15" x14ac:dyDescent="0.3">
      <c r="O574" t="str">
        <f t="shared" si="9"/>
        <v/>
      </c>
    </row>
    <row r="575" spans="15:15" x14ac:dyDescent="0.3">
      <c r="O575" t="str">
        <f t="shared" si="9"/>
        <v/>
      </c>
    </row>
    <row r="576" spans="15:15" x14ac:dyDescent="0.3">
      <c r="O576" t="str">
        <f t="shared" si="9"/>
        <v/>
      </c>
    </row>
    <row r="577" spans="15:15" x14ac:dyDescent="0.3">
      <c r="O577" t="str">
        <f t="shared" si="9"/>
        <v/>
      </c>
    </row>
    <row r="578" spans="15:15" x14ac:dyDescent="0.3">
      <c r="O578" t="str">
        <f t="shared" si="9"/>
        <v/>
      </c>
    </row>
    <row r="579" spans="15:15" x14ac:dyDescent="0.3">
      <c r="O579" t="str">
        <f t="shared" si="9"/>
        <v/>
      </c>
    </row>
    <row r="580" spans="15:15" x14ac:dyDescent="0.3">
      <c r="O580" t="str">
        <f t="shared" si="9"/>
        <v/>
      </c>
    </row>
    <row r="581" spans="15:15" x14ac:dyDescent="0.3">
      <c r="O581" t="str">
        <f t="shared" si="9"/>
        <v/>
      </c>
    </row>
    <row r="582" spans="15:15" x14ac:dyDescent="0.3">
      <c r="O582" t="str">
        <f t="shared" si="9"/>
        <v/>
      </c>
    </row>
    <row r="583" spans="15:15" x14ac:dyDescent="0.3">
      <c r="O583" t="str">
        <f t="shared" si="9"/>
        <v/>
      </c>
    </row>
    <row r="584" spans="15:15" x14ac:dyDescent="0.3">
      <c r="O584" t="str">
        <f t="shared" si="9"/>
        <v/>
      </c>
    </row>
    <row r="585" spans="15:15" x14ac:dyDescent="0.3">
      <c r="O585" t="str">
        <f t="shared" si="9"/>
        <v/>
      </c>
    </row>
    <row r="586" spans="15:15" x14ac:dyDescent="0.3">
      <c r="O586" t="str">
        <f t="shared" ref="O586:O649" si="10">IF(P586="","",O585+1)</f>
        <v/>
      </c>
    </row>
    <row r="587" spans="15:15" x14ac:dyDescent="0.3">
      <c r="O587" t="str">
        <f t="shared" si="10"/>
        <v/>
      </c>
    </row>
    <row r="588" spans="15:15" x14ac:dyDescent="0.3">
      <c r="O588" t="str">
        <f t="shared" si="10"/>
        <v/>
      </c>
    </row>
    <row r="589" spans="15:15" x14ac:dyDescent="0.3">
      <c r="O589" t="str">
        <f t="shared" si="10"/>
        <v/>
      </c>
    </row>
    <row r="590" spans="15:15" x14ac:dyDescent="0.3">
      <c r="O590" t="str">
        <f t="shared" si="10"/>
        <v/>
      </c>
    </row>
    <row r="591" spans="15:15" x14ac:dyDescent="0.3">
      <c r="O591" t="str">
        <f t="shared" si="10"/>
        <v/>
      </c>
    </row>
    <row r="592" spans="15:15" x14ac:dyDescent="0.3">
      <c r="O592" t="str">
        <f t="shared" si="10"/>
        <v/>
      </c>
    </row>
    <row r="593" spans="15:15" x14ac:dyDescent="0.3">
      <c r="O593" t="str">
        <f t="shared" si="10"/>
        <v/>
      </c>
    </row>
    <row r="594" spans="15:15" x14ac:dyDescent="0.3">
      <c r="O594" t="str">
        <f t="shared" si="10"/>
        <v/>
      </c>
    </row>
    <row r="595" spans="15:15" x14ac:dyDescent="0.3">
      <c r="O595" t="str">
        <f t="shared" si="10"/>
        <v/>
      </c>
    </row>
    <row r="596" spans="15:15" x14ac:dyDescent="0.3">
      <c r="O596" t="str">
        <f t="shared" si="10"/>
        <v/>
      </c>
    </row>
    <row r="597" spans="15:15" x14ac:dyDescent="0.3">
      <c r="O597" t="str">
        <f t="shared" si="10"/>
        <v/>
      </c>
    </row>
    <row r="598" spans="15:15" x14ac:dyDescent="0.3">
      <c r="O598" t="str">
        <f t="shared" si="10"/>
        <v/>
      </c>
    </row>
    <row r="599" spans="15:15" x14ac:dyDescent="0.3">
      <c r="O599" t="str">
        <f t="shared" si="10"/>
        <v/>
      </c>
    </row>
    <row r="600" spans="15:15" x14ac:dyDescent="0.3">
      <c r="O600" t="str">
        <f t="shared" si="10"/>
        <v/>
      </c>
    </row>
    <row r="601" spans="15:15" x14ac:dyDescent="0.3">
      <c r="O601" t="str">
        <f t="shared" si="10"/>
        <v/>
      </c>
    </row>
    <row r="602" spans="15:15" x14ac:dyDescent="0.3">
      <c r="O602" t="str">
        <f t="shared" si="10"/>
        <v/>
      </c>
    </row>
    <row r="603" spans="15:15" x14ac:dyDescent="0.3">
      <c r="O603" t="str">
        <f t="shared" si="10"/>
        <v/>
      </c>
    </row>
    <row r="604" spans="15:15" x14ac:dyDescent="0.3">
      <c r="O604" t="str">
        <f t="shared" si="10"/>
        <v/>
      </c>
    </row>
    <row r="605" spans="15:15" x14ac:dyDescent="0.3">
      <c r="O605" t="str">
        <f t="shared" si="10"/>
        <v/>
      </c>
    </row>
    <row r="606" spans="15:15" x14ac:dyDescent="0.3">
      <c r="O606" t="str">
        <f t="shared" si="10"/>
        <v/>
      </c>
    </row>
    <row r="607" spans="15:15" x14ac:dyDescent="0.3">
      <c r="O607" t="str">
        <f t="shared" si="10"/>
        <v/>
      </c>
    </row>
    <row r="608" spans="15:15" x14ac:dyDescent="0.3">
      <c r="O608" t="str">
        <f t="shared" si="10"/>
        <v/>
      </c>
    </row>
    <row r="609" spans="15:15" x14ac:dyDescent="0.3">
      <c r="O609" t="str">
        <f t="shared" si="10"/>
        <v/>
      </c>
    </row>
    <row r="610" spans="15:15" x14ac:dyDescent="0.3">
      <c r="O610" t="str">
        <f t="shared" si="10"/>
        <v/>
      </c>
    </row>
    <row r="611" spans="15:15" x14ac:dyDescent="0.3">
      <c r="O611" t="str">
        <f t="shared" si="10"/>
        <v/>
      </c>
    </row>
    <row r="612" spans="15:15" x14ac:dyDescent="0.3">
      <c r="O612" t="str">
        <f t="shared" si="10"/>
        <v/>
      </c>
    </row>
    <row r="613" spans="15:15" x14ac:dyDescent="0.3">
      <c r="O613" t="str">
        <f t="shared" si="10"/>
        <v/>
      </c>
    </row>
    <row r="614" spans="15:15" x14ac:dyDescent="0.3">
      <c r="O614" t="str">
        <f t="shared" si="10"/>
        <v/>
      </c>
    </row>
    <row r="615" spans="15:15" x14ac:dyDescent="0.3">
      <c r="O615" t="str">
        <f t="shared" si="10"/>
        <v/>
      </c>
    </row>
    <row r="616" spans="15:15" x14ac:dyDescent="0.3">
      <c r="O616" t="str">
        <f t="shared" si="10"/>
        <v/>
      </c>
    </row>
    <row r="617" spans="15:15" x14ac:dyDescent="0.3">
      <c r="O617" t="str">
        <f t="shared" si="10"/>
        <v/>
      </c>
    </row>
    <row r="618" spans="15:15" x14ac:dyDescent="0.3">
      <c r="O618" t="str">
        <f t="shared" si="10"/>
        <v/>
      </c>
    </row>
    <row r="619" spans="15:15" x14ac:dyDescent="0.3">
      <c r="O619" t="str">
        <f t="shared" si="10"/>
        <v/>
      </c>
    </row>
    <row r="620" spans="15:15" x14ac:dyDescent="0.3">
      <c r="O620" t="str">
        <f t="shared" si="10"/>
        <v/>
      </c>
    </row>
    <row r="621" spans="15:15" x14ac:dyDescent="0.3">
      <c r="O621" t="str">
        <f t="shared" si="10"/>
        <v/>
      </c>
    </row>
    <row r="622" spans="15:15" x14ac:dyDescent="0.3">
      <c r="O622" t="str">
        <f t="shared" si="10"/>
        <v/>
      </c>
    </row>
    <row r="623" spans="15:15" x14ac:dyDescent="0.3">
      <c r="O623" t="str">
        <f t="shared" si="10"/>
        <v/>
      </c>
    </row>
    <row r="624" spans="15:15" x14ac:dyDescent="0.3">
      <c r="O624" t="str">
        <f t="shared" si="10"/>
        <v/>
      </c>
    </row>
    <row r="625" spans="15:15" x14ac:dyDescent="0.3">
      <c r="O625" t="str">
        <f t="shared" si="10"/>
        <v/>
      </c>
    </row>
    <row r="626" spans="15:15" x14ac:dyDescent="0.3">
      <c r="O626" t="str">
        <f t="shared" si="10"/>
        <v/>
      </c>
    </row>
    <row r="627" spans="15:15" x14ac:dyDescent="0.3">
      <c r="O627" t="str">
        <f t="shared" si="10"/>
        <v/>
      </c>
    </row>
    <row r="628" spans="15:15" x14ac:dyDescent="0.3">
      <c r="O628" t="str">
        <f t="shared" si="10"/>
        <v/>
      </c>
    </row>
    <row r="629" spans="15:15" x14ac:dyDescent="0.3">
      <c r="O629" t="str">
        <f t="shared" si="10"/>
        <v/>
      </c>
    </row>
    <row r="630" spans="15:15" x14ac:dyDescent="0.3">
      <c r="O630" t="str">
        <f t="shared" si="10"/>
        <v/>
      </c>
    </row>
    <row r="631" spans="15:15" x14ac:dyDescent="0.3">
      <c r="O631" t="str">
        <f t="shared" si="10"/>
        <v/>
      </c>
    </row>
    <row r="632" spans="15:15" x14ac:dyDescent="0.3">
      <c r="O632" t="str">
        <f t="shared" si="10"/>
        <v/>
      </c>
    </row>
    <row r="633" spans="15:15" x14ac:dyDescent="0.3">
      <c r="O633" t="str">
        <f t="shared" si="10"/>
        <v/>
      </c>
    </row>
    <row r="634" spans="15:15" x14ac:dyDescent="0.3">
      <c r="O634" t="str">
        <f t="shared" si="10"/>
        <v/>
      </c>
    </row>
    <row r="635" spans="15:15" x14ac:dyDescent="0.3">
      <c r="O635" t="str">
        <f t="shared" si="10"/>
        <v/>
      </c>
    </row>
    <row r="636" spans="15:15" x14ac:dyDescent="0.3">
      <c r="O636" t="str">
        <f t="shared" si="10"/>
        <v/>
      </c>
    </row>
    <row r="637" spans="15:15" x14ac:dyDescent="0.3">
      <c r="O637" t="str">
        <f t="shared" si="10"/>
        <v/>
      </c>
    </row>
    <row r="638" spans="15:15" x14ac:dyDescent="0.3">
      <c r="O638" t="str">
        <f t="shared" si="10"/>
        <v/>
      </c>
    </row>
    <row r="639" spans="15:15" x14ac:dyDescent="0.3">
      <c r="O639" t="str">
        <f t="shared" si="10"/>
        <v/>
      </c>
    </row>
    <row r="640" spans="15:15" x14ac:dyDescent="0.3">
      <c r="O640" t="str">
        <f t="shared" si="10"/>
        <v/>
      </c>
    </row>
    <row r="641" spans="15:15" x14ac:dyDescent="0.3">
      <c r="O641" t="str">
        <f t="shared" si="10"/>
        <v/>
      </c>
    </row>
    <row r="642" spans="15:15" x14ac:dyDescent="0.3">
      <c r="O642" t="str">
        <f t="shared" si="10"/>
        <v/>
      </c>
    </row>
    <row r="643" spans="15:15" x14ac:dyDescent="0.3">
      <c r="O643" t="str">
        <f t="shared" si="10"/>
        <v/>
      </c>
    </row>
    <row r="644" spans="15:15" x14ac:dyDescent="0.3">
      <c r="O644" t="str">
        <f t="shared" si="10"/>
        <v/>
      </c>
    </row>
    <row r="645" spans="15:15" x14ac:dyDescent="0.3">
      <c r="O645" t="str">
        <f t="shared" si="10"/>
        <v/>
      </c>
    </row>
    <row r="646" spans="15:15" x14ac:dyDescent="0.3">
      <c r="O646" t="str">
        <f t="shared" si="10"/>
        <v/>
      </c>
    </row>
    <row r="647" spans="15:15" x14ac:dyDescent="0.3">
      <c r="O647" t="str">
        <f t="shared" si="10"/>
        <v/>
      </c>
    </row>
    <row r="648" spans="15:15" x14ac:dyDescent="0.3">
      <c r="O648" t="str">
        <f t="shared" si="10"/>
        <v/>
      </c>
    </row>
    <row r="649" spans="15:15" x14ac:dyDescent="0.3">
      <c r="O649" t="str">
        <f t="shared" si="10"/>
        <v/>
      </c>
    </row>
    <row r="650" spans="15:15" x14ac:dyDescent="0.3">
      <c r="O650" t="str">
        <f t="shared" ref="O650:O713" si="11">IF(P650="","",O649+1)</f>
        <v/>
      </c>
    </row>
    <row r="651" spans="15:15" x14ac:dyDescent="0.3">
      <c r="O651" t="str">
        <f t="shared" si="11"/>
        <v/>
      </c>
    </row>
    <row r="652" spans="15:15" x14ac:dyDescent="0.3">
      <c r="O652" t="str">
        <f t="shared" si="11"/>
        <v/>
      </c>
    </row>
    <row r="653" spans="15:15" x14ac:dyDescent="0.3">
      <c r="O653" t="str">
        <f t="shared" si="11"/>
        <v/>
      </c>
    </row>
    <row r="654" spans="15:15" x14ac:dyDescent="0.3">
      <c r="O654" t="str">
        <f t="shared" si="11"/>
        <v/>
      </c>
    </row>
    <row r="655" spans="15:15" x14ac:dyDescent="0.3">
      <c r="O655" t="str">
        <f t="shared" si="11"/>
        <v/>
      </c>
    </row>
    <row r="656" spans="15:15" x14ac:dyDescent="0.3">
      <c r="O656" t="str">
        <f t="shared" si="11"/>
        <v/>
      </c>
    </row>
    <row r="657" spans="15:15" x14ac:dyDescent="0.3">
      <c r="O657" t="str">
        <f t="shared" si="11"/>
        <v/>
      </c>
    </row>
    <row r="658" spans="15:15" x14ac:dyDescent="0.3">
      <c r="O658" t="str">
        <f t="shared" si="11"/>
        <v/>
      </c>
    </row>
    <row r="659" spans="15:15" x14ac:dyDescent="0.3">
      <c r="O659" t="str">
        <f t="shared" si="11"/>
        <v/>
      </c>
    </row>
    <row r="660" spans="15:15" x14ac:dyDescent="0.3">
      <c r="O660" t="str">
        <f t="shared" si="11"/>
        <v/>
      </c>
    </row>
    <row r="661" spans="15:15" x14ac:dyDescent="0.3">
      <c r="O661" t="str">
        <f t="shared" si="11"/>
        <v/>
      </c>
    </row>
    <row r="662" spans="15:15" x14ac:dyDescent="0.3">
      <c r="O662" t="str">
        <f t="shared" si="11"/>
        <v/>
      </c>
    </row>
    <row r="663" spans="15:15" x14ac:dyDescent="0.3">
      <c r="O663" t="str">
        <f t="shared" si="11"/>
        <v/>
      </c>
    </row>
    <row r="664" spans="15:15" x14ac:dyDescent="0.3">
      <c r="O664" t="str">
        <f t="shared" si="11"/>
        <v/>
      </c>
    </row>
    <row r="665" spans="15:15" x14ac:dyDescent="0.3">
      <c r="O665" t="str">
        <f t="shared" si="11"/>
        <v/>
      </c>
    </row>
    <row r="666" spans="15:15" x14ac:dyDescent="0.3">
      <c r="O666" t="str">
        <f t="shared" si="11"/>
        <v/>
      </c>
    </row>
    <row r="667" spans="15:15" x14ac:dyDescent="0.3">
      <c r="O667" t="str">
        <f t="shared" si="11"/>
        <v/>
      </c>
    </row>
    <row r="668" spans="15:15" x14ac:dyDescent="0.3">
      <c r="O668" t="str">
        <f t="shared" si="11"/>
        <v/>
      </c>
    </row>
    <row r="669" spans="15:15" x14ac:dyDescent="0.3">
      <c r="O669" t="str">
        <f t="shared" si="11"/>
        <v/>
      </c>
    </row>
    <row r="670" spans="15:15" x14ac:dyDescent="0.3">
      <c r="O670" t="str">
        <f t="shared" si="11"/>
        <v/>
      </c>
    </row>
    <row r="671" spans="15:15" x14ac:dyDescent="0.3">
      <c r="O671" t="str">
        <f t="shared" si="11"/>
        <v/>
      </c>
    </row>
    <row r="672" spans="15:15" x14ac:dyDescent="0.3">
      <c r="O672" t="str">
        <f t="shared" si="11"/>
        <v/>
      </c>
    </row>
    <row r="673" spans="15:15" x14ac:dyDescent="0.3">
      <c r="O673" t="str">
        <f t="shared" si="11"/>
        <v/>
      </c>
    </row>
    <row r="674" spans="15:15" x14ac:dyDescent="0.3">
      <c r="O674" t="str">
        <f t="shared" si="11"/>
        <v/>
      </c>
    </row>
    <row r="675" spans="15:15" x14ac:dyDescent="0.3">
      <c r="O675" t="str">
        <f t="shared" si="11"/>
        <v/>
      </c>
    </row>
    <row r="676" spans="15:15" x14ac:dyDescent="0.3">
      <c r="O676" t="str">
        <f t="shared" si="11"/>
        <v/>
      </c>
    </row>
    <row r="677" spans="15:15" x14ac:dyDescent="0.3">
      <c r="O677" t="str">
        <f t="shared" si="11"/>
        <v/>
      </c>
    </row>
    <row r="678" spans="15:15" x14ac:dyDescent="0.3">
      <c r="O678" t="str">
        <f t="shared" si="11"/>
        <v/>
      </c>
    </row>
    <row r="679" spans="15:15" x14ac:dyDescent="0.3">
      <c r="O679" t="str">
        <f t="shared" si="11"/>
        <v/>
      </c>
    </row>
    <row r="680" spans="15:15" x14ac:dyDescent="0.3">
      <c r="O680" t="str">
        <f t="shared" si="11"/>
        <v/>
      </c>
    </row>
    <row r="681" spans="15:15" x14ac:dyDescent="0.3">
      <c r="O681" t="str">
        <f t="shared" si="11"/>
        <v/>
      </c>
    </row>
    <row r="682" spans="15:15" x14ac:dyDescent="0.3">
      <c r="O682" t="str">
        <f t="shared" si="11"/>
        <v/>
      </c>
    </row>
    <row r="683" spans="15:15" x14ac:dyDescent="0.3">
      <c r="O683" t="str">
        <f t="shared" si="11"/>
        <v/>
      </c>
    </row>
    <row r="684" spans="15:15" x14ac:dyDescent="0.3">
      <c r="O684" t="str">
        <f t="shared" si="11"/>
        <v/>
      </c>
    </row>
    <row r="685" spans="15:15" x14ac:dyDescent="0.3">
      <c r="O685" t="str">
        <f t="shared" si="11"/>
        <v/>
      </c>
    </row>
    <row r="686" spans="15:15" x14ac:dyDescent="0.3">
      <c r="O686" t="str">
        <f t="shared" si="11"/>
        <v/>
      </c>
    </row>
    <row r="687" spans="15:15" x14ac:dyDescent="0.3">
      <c r="O687" t="str">
        <f t="shared" si="11"/>
        <v/>
      </c>
    </row>
    <row r="688" spans="15:15" x14ac:dyDescent="0.3">
      <c r="O688" t="str">
        <f t="shared" si="11"/>
        <v/>
      </c>
    </row>
    <row r="689" spans="15:15" x14ac:dyDescent="0.3">
      <c r="O689" t="str">
        <f t="shared" si="11"/>
        <v/>
      </c>
    </row>
    <row r="690" spans="15:15" x14ac:dyDescent="0.3">
      <c r="O690" t="str">
        <f t="shared" si="11"/>
        <v/>
      </c>
    </row>
    <row r="691" spans="15:15" x14ac:dyDescent="0.3">
      <c r="O691" t="str">
        <f t="shared" si="11"/>
        <v/>
      </c>
    </row>
    <row r="692" spans="15:15" x14ac:dyDescent="0.3">
      <c r="O692" t="str">
        <f t="shared" si="11"/>
        <v/>
      </c>
    </row>
    <row r="693" spans="15:15" x14ac:dyDescent="0.3">
      <c r="O693" t="str">
        <f t="shared" si="11"/>
        <v/>
      </c>
    </row>
    <row r="694" spans="15:15" x14ac:dyDescent="0.3">
      <c r="O694" t="str">
        <f t="shared" si="11"/>
        <v/>
      </c>
    </row>
    <row r="695" spans="15:15" x14ac:dyDescent="0.3">
      <c r="O695" t="str">
        <f t="shared" si="11"/>
        <v/>
      </c>
    </row>
    <row r="696" spans="15:15" x14ac:dyDescent="0.3">
      <c r="O696" t="str">
        <f t="shared" si="11"/>
        <v/>
      </c>
    </row>
    <row r="697" spans="15:15" x14ac:dyDescent="0.3">
      <c r="O697" t="str">
        <f t="shared" si="11"/>
        <v/>
      </c>
    </row>
    <row r="698" spans="15:15" x14ac:dyDescent="0.3">
      <c r="O698" t="str">
        <f t="shared" si="11"/>
        <v/>
      </c>
    </row>
    <row r="699" spans="15:15" x14ac:dyDescent="0.3">
      <c r="O699" t="str">
        <f t="shared" si="11"/>
        <v/>
      </c>
    </row>
    <row r="700" spans="15:15" x14ac:dyDescent="0.3">
      <c r="O700" t="str">
        <f t="shared" si="11"/>
        <v/>
      </c>
    </row>
    <row r="701" spans="15:15" x14ac:dyDescent="0.3">
      <c r="O701" t="str">
        <f t="shared" si="11"/>
        <v/>
      </c>
    </row>
    <row r="702" spans="15:15" x14ac:dyDescent="0.3">
      <c r="O702" t="str">
        <f t="shared" si="11"/>
        <v/>
      </c>
    </row>
    <row r="703" spans="15:15" x14ac:dyDescent="0.3">
      <c r="O703" t="str">
        <f t="shared" si="11"/>
        <v/>
      </c>
    </row>
    <row r="704" spans="15:15" x14ac:dyDescent="0.3">
      <c r="O704" t="str">
        <f t="shared" si="11"/>
        <v/>
      </c>
    </row>
    <row r="705" spans="15:15" x14ac:dyDescent="0.3">
      <c r="O705" t="str">
        <f t="shared" si="11"/>
        <v/>
      </c>
    </row>
    <row r="706" spans="15:15" x14ac:dyDescent="0.3">
      <c r="O706" t="str">
        <f t="shared" si="11"/>
        <v/>
      </c>
    </row>
    <row r="707" spans="15:15" x14ac:dyDescent="0.3">
      <c r="O707" t="str">
        <f t="shared" si="11"/>
        <v/>
      </c>
    </row>
    <row r="708" spans="15:15" x14ac:dyDescent="0.3">
      <c r="O708" t="str">
        <f t="shared" si="11"/>
        <v/>
      </c>
    </row>
    <row r="709" spans="15:15" x14ac:dyDescent="0.3">
      <c r="O709" t="str">
        <f t="shared" si="11"/>
        <v/>
      </c>
    </row>
    <row r="710" spans="15:15" x14ac:dyDescent="0.3">
      <c r="O710" t="str">
        <f t="shared" si="11"/>
        <v/>
      </c>
    </row>
    <row r="711" spans="15:15" x14ac:dyDescent="0.3">
      <c r="O711" t="str">
        <f t="shared" si="11"/>
        <v/>
      </c>
    </row>
    <row r="712" spans="15:15" x14ac:dyDescent="0.3">
      <c r="O712" t="str">
        <f t="shared" si="11"/>
        <v/>
      </c>
    </row>
    <row r="713" spans="15:15" x14ac:dyDescent="0.3">
      <c r="O713" t="str">
        <f t="shared" si="11"/>
        <v/>
      </c>
    </row>
    <row r="714" spans="15:15" x14ac:dyDescent="0.3">
      <c r="O714" t="str">
        <f t="shared" ref="O714:O777" si="12">IF(P714="","",O713+1)</f>
        <v/>
      </c>
    </row>
    <row r="715" spans="15:15" x14ac:dyDescent="0.3">
      <c r="O715" t="str">
        <f t="shared" si="12"/>
        <v/>
      </c>
    </row>
    <row r="716" spans="15:15" x14ac:dyDescent="0.3">
      <c r="O716" t="str">
        <f t="shared" si="12"/>
        <v/>
      </c>
    </row>
    <row r="717" spans="15:15" x14ac:dyDescent="0.3">
      <c r="O717" t="str">
        <f t="shared" si="12"/>
        <v/>
      </c>
    </row>
    <row r="718" spans="15:15" x14ac:dyDescent="0.3">
      <c r="O718" t="str">
        <f t="shared" si="12"/>
        <v/>
      </c>
    </row>
    <row r="719" spans="15:15" x14ac:dyDescent="0.3">
      <c r="O719" t="str">
        <f t="shared" si="12"/>
        <v/>
      </c>
    </row>
    <row r="720" spans="15:15" x14ac:dyDescent="0.3">
      <c r="O720" t="str">
        <f t="shared" si="12"/>
        <v/>
      </c>
    </row>
    <row r="721" spans="15:15" x14ac:dyDescent="0.3">
      <c r="O721" t="str">
        <f t="shared" si="12"/>
        <v/>
      </c>
    </row>
    <row r="722" spans="15:15" x14ac:dyDescent="0.3">
      <c r="O722" t="str">
        <f t="shared" si="12"/>
        <v/>
      </c>
    </row>
    <row r="723" spans="15:15" x14ac:dyDescent="0.3">
      <c r="O723" t="str">
        <f t="shared" si="12"/>
        <v/>
      </c>
    </row>
    <row r="724" spans="15:15" x14ac:dyDescent="0.3">
      <c r="O724" t="str">
        <f t="shared" si="12"/>
        <v/>
      </c>
    </row>
    <row r="725" spans="15:15" x14ac:dyDescent="0.3">
      <c r="O725" t="str">
        <f t="shared" si="12"/>
        <v/>
      </c>
    </row>
    <row r="726" spans="15:15" x14ac:dyDescent="0.3">
      <c r="O726" t="str">
        <f t="shared" si="12"/>
        <v/>
      </c>
    </row>
    <row r="727" spans="15:15" x14ac:dyDescent="0.3">
      <c r="O727" t="str">
        <f t="shared" si="12"/>
        <v/>
      </c>
    </row>
    <row r="728" spans="15:15" x14ac:dyDescent="0.3">
      <c r="O728" t="str">
        <f t="shared" si="12"/>
        <v/>
      </c>
    </row>
    <row r="729" spans="15:15" x14ac:dyDescent="0.3">
      <c r="O729" t="str">
        <f t="shared" si="12"/>
        <v/>
      </c>
    </row>
    <row r="730" spans="15:15" x14ac:dyDescent="0.3">
      <c r="O730" t="str">
        <f t="shared" si="12"/>
        <v/>
      </c>
    </row>
    <row r="731" spans="15:15" x14ac:dyDescent="0.3">
      <c r="O731" t="str">
        <f t="shared" si="12"/>
        <v/>
      </c>
    </row>
    <row r="732" spans="15:15" x14ac:dyDescent="0.3">
      <c r="O732" t="str">
        <f t="shared" si="12"/>
        <v/>
      </c>
    </row>
    <row r="733" spans="15:15" x14ac:dyDescent="0.3">
      <c r="O733" t="str">
        <f t="shared" si="12"/>
        <v/>
      </c>
    </row>
    <row r="734" spans="15:15" x14ac:dyDescent="0.3">
      <c r="O734" t="str">
        <f t="shared" si="12"/>
        <v/>
      </c>
    </row>
    <row r="735" spans="15:15" x14ac:dyDescent="0.3">
      <c r="O735" t="str">
        <f t="shared" si="12"/>
        <v/>
      </c>
    </row>
    <row r="736" spans="15:15" x14ac:dyDescent="0.3">
      <c r="O736" t="str">
        <f t="shared" si="12"/>
        <v/>
      </c>
    </row>
    <row r="737" spans="15:15" x14ac:dyDescent="0.3">
      <c r="O737" t="str">
        <f t="shared" si="12"/>
        <v/>
      </c>
    </row>
    <row r="738" spans="15:15" x14ac:dyDescent="0.3">
      <c r="O738" t="str">
        <f t="shared" si="12"/>
        <v/>
      </c>
    </row>
    <row r="739" spans="15:15" x14ac:dyDescent="0.3">
      <c r="O739" t="str">
        <f t="shared" si="12"/>
        <v/>
      </c>
    </row>
    <row r="740" spans="15:15" x14ac:dyDescent="0.3">
      <c r="O740" t="str">
        <f t="shared" si="12"/>
        <v/>
      </c>
    </row>
    <row r="741" spans="15:15" x14ac:dyDescent="0.3">
      <c r="O741" t="str">
        <f t="shared" si="12"/>
        <v/>
      </c>
    </row>
    <row r="742" spans="15:15" x14ac:dyDescent="0.3">
      <c r="O742" t="str">
        <f t="shared" si="12"/>
        <v/>
      </c>
    </row>
    <row r="743" spans="15:15" x14ac:dyDescent="0.3">
      <c r="O743" t="str">
        <f t="shared" si="12"/>
        <v/>
      </c>
    </row>
    <row r="744" spans="15:15" x14ac:dyDescent="0.3">
      <c r="O744" t="str">
        <f t="shared" si="12"/>
        <v/>
      </c>
    </row>
    <row r="745" spans="15:15" x14ac:dyDescent="0.3">
      <c r="O745" t="str">
        <f t="shared" si="12"/>
        <v/>
      </c>
    </row>
    <row r="746" spans="15:15" x14ac:dyDescent="0.3">
      <c r="O746" t="str">
        <f t="shared" si="12"/>
        <v/>
      </c>
    </row>
    <row r="747" spans="15:15" x14ac:dyDescent="0.3">
      <c r="O747" t="str">
        <f t="shared" si="12"/>
        <v/>
      </c>
    </row>
    <row r="748" spans="15:15" x14ac:dyDescent="0.3">
      <c r="O748" t="str">
        <f t="shared" si="12"/>
        <v/>
      </c>
    </row>
    <row r="749" spans="15:15" x14ac:dyDescent="0.3">
      <c r="O749" t="str">
        <f t="shared" si="12"/>
        <v/>
      </c>
    </row>
    <row r="750" spans="15:15" x14ac:dyDescent="0.3">
      <c r="O750" t="str">
        <f t="shared" si="12"/>
        <v/>
      </c>
    </row>
    <row r="751" spans="15:15" x14ac:dyDescent="0.3">
      <c r="O751" t="str">
        <f t="shared" si="12"/>
        <v/>
      </c>
    </row>
    <row r="752" spans="15:15" x14ac:dyDescent="0.3">
      <c r="O752" t="str">
        <f t="shared" si="12"/>
        <v/>
      </c>
    </row>
    <row r="753" spans="15:15" x14ac:dyDescent="0.3">
      <c r="O753" t="str">
        <f t="shared" si="12"/>
        <v/>
      </c>
    </row>
    <row r="754" spans="15:15" x14ac:dyDescent="0.3">
      <c r="O754" t="str">
        <f t="shared" si="12"/>
        <v/>
      </c>
    </row>
    <row r="755" spans="15:15" x14ac:dyDescent="0.3">
      <c r="O755" t="str">
        <f t="shared" si="12"/>
        <v/>
      </c>
    </row>
    <row r="756" spans="15:15" x14ac:dyDescent="0.3">
      <c r="O756" t="str">
        <f t="shared" si="12"/>
        <v/>
      </c>
    </row>
    <row r="757" spans="15:15" x14ac:dyDescent="0.3">
      <c r="O757" t="str">
        <f t="shared" si="12"/>
        <v/>
      </c>
    </row>
    <row r="758" spans="15:15" x14ac:dyDescent="0.3">
      <c r="O758" t="str">
        <f t="shared" si="12"/>
        <v/>
      </c>
    </row>
    <row r="759" spans="15:15" x14ac:dyDescent="0.3">
      <c r="O759" t="str">
        <f t="shared" si="12"/>
        <v/>
      </c>
    </row>
    <row r="760" spans="15:15" x14ac:dyDescent="0.3">
      <c r="O760" t="str">
        <f t="shared" si="12"/>
        <v/>
      </c>
    </row>
    <row r="761" spans="15:15" x14ac:dyDescent="0.3">
      <c r="O761" t="str">
        <f t="shared" si="12"/>
        <v/>
      </c>
    </row>
    <row r="762" spans="15:15" x14ac:dyDescent="0.3">
      <c r="O762" t="str">
        <f t="shared" si="12"/>
        <v/>
      </c>
    </row>
    <row r="763" spans="15:15" x14ac:dyDescent="0.3">
      <c r="O763" t="str">
        <f t="shared" si="12"/>
        <v/>
      </c>
    </row>
    <row r="764" spans="15:15" x14ac:dyDescent="0.3">
      <c r="O764" t="str">
        <f t="shared" si="12"/>
        <v/>
      </c>
    </row>
    <row r="765" spans="15:15" x14ac:dyDescent="0.3">
      <c r="O765" t="str">
        <f t="shared" si="12"/>
        <v/>
      </c>
    </row>
    <row r="766" spans="15:15" x14ac:dyDescent="0.3">
      <c r="O766" t="str">
        <f t="shared" si="12"/>
        <v/>
      </c>
    </row>
    <row r="767" spans="15:15" x14ac:dyDescent="0.3">
      <c r="O767" t="str">
        <f t="shared" si="12"/>
        <v/>
      </c>
    </row>
    <row r="768" spans="15:15" x14ac:dyDescent="0.3">
      <c r="O768" t="str">
        <f t="shared" si="12"/>
        <v/>
      </c>
    </row>
    <row r="769" spans="15:15" x14ac:dyDescent="0.3">
      <c r="O769" t="str">
        <f t="shared" si="12"/>
        <v/>
      </c>
    </row>
    <row r="770" spans="15:15" x14ac:dyDescent="0.3">
      <c r="O770" t="str">
        <f t="shared" si="12"/>
        <v/>
      </c>
    </row>
    <row r="771" spans="15:15" x14ac:dyDescent="0.3">
      <c r="O771" t="str">
        <f t="shared" si="12"/>
        <v/>
      </c>
    </row>
    <row r="772" spans="15:15" x14ac:dyDescent="0.3">
      <c r="O772" t="str">
        <f t="shared" si="12"/>
        <v/>
      </c>
    </row>
    <row r="773" spans="15:15" x14ac:dyDescent="0.3">
      <c r="O773" t="str">
        <f t="shared" si="12"/>
        <v/>
      </c>
    </row>
    <row r="774" spans="15:15" x14ac:dyDescent="0.3">
      <c r="O774" t="str">
        <f t="shared" si="12"/>
        <v/>
      </c>
    </row>
    <row r="775" spans="15:15" x14ac:dyDescent="0.3">
      <c r="O775" t="str">
        <f t="shared" si="12"/>
        <v/>
      </c>
    </row>
    <row r="776" spans="15:15" x14ac:dyDescent="0.3">
      <c r="O776" t="str">
        <f t="shared" si="12"/>
        <v/>
      </c>
    </row>
    <row r="777" spans="15:15" x14ac:dyDescent="0.3">
      <c r="O777" t="str">
        <f t="shared" si="12"/>
        <v/>
      </c>
    </row>
    <row r="778" spans="15:15" x14ac:dyDescent="0.3">
      <c r="O778" t="str">
        <f t="shared" ref="O778:O841" si="13">IF(P778="","",O777+1)</f>
        <v/>
      </c>
    </row>
    <row r="779" spans="15:15" x14ac:dyDescent="0.3">
      <c r="O779" t="str">
        <f t="shared" si="13"/>
        <v/>
      </c>
    </row>
    <row r="780" spans="15:15" x14ac:dyDescent="0.3">
      <c r="O780" t="str">
        <f t="shared" si="13"/>
        <v/>
      </c>
    </row>
    <row r="781" spans="15:15" x14ac:dyDescent="0.3">
      <c r="O781" t="str">
        <f t="shared" si="13"/>
        <v/>
      </c>
    </row>
    <row r="782" spans="15:15" x14ac:dyDescent="0.3">
      <c r="O782" t="str">
        <f t="shared" si="13"/>
        <v/>
      </c>
    </row>
    <row r="783" spans="15:15" x14ac:dyDescent="0.3">
      <c r="O783" t="str">
        <f t="shared" si="13"/>
        <v/>
      </c>
    </row>
    <row r="784" spans="15:15" x14ac:dyDescent="0.3">
      <c r="O784" t="str">
        <f t="shared" si="13"/>
        <v/>
      </c>
    </row>
    <row r="785" spans="15:15" x14ac:dyDescent="0.3">
      <c r="O785" t="str">
        <f t="shared" si="13"/>
        <v/>
      </c>
    </row>
    <row r="786" spans="15:15" x14ac:dyDescent="0.3">
      <c r="O786" t="str">
        <f t="shared" si="13"/>
        <v/>
      </c>
    </row>
    <row r="787" spans="15:15" x14ac:dyDescent="0.3">
      <c r="O787" t="str">
        <f t="shared" si="13"/>
        <v/>
      </c>
    </row>
    <row r="788" spans="15:15" x14ac:dyDescent="0.3">
      <c r="O788" t="str">
        <f t="shared" si="13"/>
        <v/>
      </c>
    </row>
    <row r="789" spans="15:15" x14ac:dyDescent="0.3">
      <c r="O789" t="str">
        <f t="shared" si="13"/>
        <v/>
      </c>
    </row>
    <row r="790" spans="15:15" x14ac:dyDescent="0.3">
      <c r="O790" t="str">
        <f t="shared" si="13"/>
        <v/>
      </c>
    </row>
    <row r="791" spans="15:15" x14ac:dyDescent="0.3">
      <c r="O791" t="str">
        <f t="shared" si="13"/>
        <v/>
      </c>
    </row>
    <row r="792" spans="15:15" x14ac:dyDescent="0.3">
      <c r="O792" t="str">
        <f t="shared" si="13"/>
        <v/>
      </c>
    </row>
    <row r="793" spans="15:15" x14ac:dyDescent="0.3">
      <c r="O793" t="str">
        <f t="shared" si="13"/>
        <v/>
      </c>
    </row>
    <row r="794" spans="15:15" x14ac:dyDescent="0.3">
      <c r="O794" t="str">
        <f t="shared" si="13"/>
        <v/>
      </c>
    </row>
    <row r="795" spans="15:15" x14ac:dyDescent="0.3">
      <c r="O795" t="str">
        <f t="shared" si="13"/>
        <v/>
      </c>
    </row>
    <row r="796" spans="15:15" x14ac:dyDescent="0.3">
      <c r="O796" t="str">
        <f t="shared" si="13"/>
        <v/>
      </c>
    </row>
    <row r="797" spans="15:15" x14ac:dyDescent="0.3">
      <c r="O797" t="str">
        <f t="shared" si="13"/>
        <v/>
      </c>
    </row>
    <row r="798" spans="15:15" x14ac:dyDescent="0.3">
      <c r="O798" t="str">
        <f t="shared" si="13"/>
        <v/>
      </c>
    </row>
    <row r="799" spans="15:15" x14ac:dyDescent="0.3">
      <c r="O799" t="str">
        <f t="shared" si="13"/>
        <v/>
      </c>
    </row>
    <row r="800" spans="15:15" x14ac:dyDescent="0.3">
      <c r="O800" t="str">
        <f t="shared" si="13"/>
        <v/>
      </c>
    </row>
    <row r="801" spans="15:15" x14ac:dyDescent="0.3">
      <c r="O801" t="str">
        <f t="shared" si="13"/>
        <v/>
      </c>
    </row>
    <row r="802" spans="15:15" x14ac:dyDescent="0.3">
      <c r="O802" t="str">
        <f t="shared" si="13"/>
        <v/>
      </c>
    </row>
    <row r="803" spans="15:15" x14ac:dyDescent="0.3">
      <c r="O803" t="str">
        <f t="shared" si="13"/>
        <v/>
      </c>
    </row>
    <row r="804" spans="15:15" x14ac:dyDescent="0.3">
      <c r="O804" t="str">
        <f t="shared" si="13"/>
        <v/>
      </c>
    </row>
    <row r="805" spans="15:15" x14ac:dyDescent="0.3">
      <c r="O805" t="str">
        <f t="shared" si="13"/>
        <v/>
      </c>
    </row>
    <row r="806" spans="15:15" x14ac:dyDescent="0.3">
      <c r="O806" t="str">
        <f t="shared" si="13"/>
        <v/>
      </c>
    </row>
    <row r="807" spans="15:15" x14ac:dyDescent="0.3">
      <c r="O807" t="str">
        <f t="shared" si="13"/>
        <v/>
      </c>
    </row>
    <row r="808" spans="15:15" x14ac:dyDescent="0.3">
      <c r="O808" t="str">
        <f t="shared" si="13"/>
        <v/>
      </c>
    </row>
    <row r="809" spans="15:15" x14ac:dyDescent="0.3">
      <c r="O809" t="str">
        <f t="shared" si="13"/>
        <v/>
      </c>
    </row>
    <row r="810" spans="15:15" x14ac:dyDescent="0.3">
      <c r="O810" t="str">
        <f t="shared" si="13"/>
        <v/>
      </c>
    </row>
    <row r="811" spans="15:15" x14ac:dyDescent="0.3">
      <c r="O811" t="str">
        <f t="shared" si="13"/>
        <v/>
      </c>
    </row>
    <row r="812" spans="15:15" x14ac:dyDescent="0.3">
      <c r="O812" t="str">
        <f t="shared" si="13"/>
        <v/>
      </c>
    </row>
    <row r="813" spans="15:15" x14ac:dyDescent="0.3">
      <c r="O813" t="str">
        <f t="shared" si="13"/>
        <v/>
      </c>
    </row>
    <row r="814" spans="15:15" x14ac:dyDescent="0.3">
      <c r="O814" t="str">
        <f t="shared" si="13"/>
        <v/>
      </c>
    </row>
    <row r="815" spans="15:15" x14ac:dyDescent="0.3">
      <c r="O815" t="str">
        <f t="shared" si="13"/>
        <v/>
      </c>
    </row>
    <row r="816" spans="15:15" x14ac:dyDescent="0.3">
      <c r="O816" t="str">
        <f t="shared" si="13"/>
        <v/>
      </c>
    </row>
    <row r="817" spans="15:15" x14ac:dyDescent="0.3">
      <c r="O817" t="str">
        <f t="shared" si="13"/>
        <v/>
      </c>
    </row>
    <row r="818" spans="15:15" x14ac:dyDescent="0.3">
      <c r="O818" t="str">
        <f t="shared" si="13"/>
        <v/>
      </c>
    </row>
    <row r="819" spans="15:15" x14ac:dyDescent="0.3">
      <c r="O819" t="str">
        <f t="shared" si="13"/>
        <v/>
      </c>
    </row>
    <row r="820" spans="15:15" x14ac:dyDescent="0.3">
      <c r="O820" t="str">
        <f t="shared" si="13"/>
        <v/>
      </c>
    </row>
    <row r="821" spans="15:15" x14ac:dyDescent="0.3">
      <c r="O821" t="str">
        <f t="shared" si="13"/>
        <v/>
      </c>
    </row>
    <row r="822" spans="15:15" x14ac:dyDescent="0.3">
      <c r="O822" t="str">
        <f t="shared" si="13"/>
        <v/>
      </c>
    </row>
    <row r="823" spans="15:15" x14ac:dyDescent="0.3">
      <c r="O823" t="str">
        <f t="shared" si="13"/>
        <v/>
      </c>
    </row>
    <row r="824" spans="15:15" x14ac:dyDescent="0.3">
      <c r="O824" t="str">
        <f t="shared" si="13"/>
        <v/>
      </c>
    </row>
    <row r="825" spans="15:15" x14ac:dyDescent="0.3">
      <c r="O825" t="str">
        <f t="shared" si="13"/>
        <v/>
      </c>
    </row>
    <row r="826" spans="15:15" x14ac:dyDescent="0.3">
      <c r="O826" t="str">
        <f t="shared" si="13"/>
        <v/>
      </c>
    </row>
    <row r="827" spans="15:15" x14ac:dyDescent="0.3">
      <c r="O827" t="str">
        <f t="shared" si="13"/>
        <v/>
      </c>
    </row>
    <row r="828" spans="15:15" x14ac:dyDescent="0.3">
      <c r="O828" t="str">
        <f t="shared" si="13"/>
        <v/>
      </c>
    </row>
    <row r="829" spans="15:15" x14ac:dyDescent="0.3">
      <c r="O829" t="str">
        <f t="shared" si="13"/>
        <v/>
      </c>
    </row>
    <row r="830" spans="15:15" x14ac:dyDescent="0.3">
      <c r="O830" t="str">
        <f t="shared" si="13"/>
        <v/>
      </c>
    </row>
    <row r="831" spans="15:15" x14ac:dyDescent="0.3">
      <c r="O831" t="str">
        <f t="shared" si="13"/>
        <v/>
      </c>
    </row>
    <row r="832" spans="15:15" x14ac:dyDescent="0.3">
      <c r="O832" t="str">
        <f t="shared" si="13"/>
        <v/>
      </c>
    </row>
    <row r="833" spans="15:15" x14ac:dyDescent="0.3">
      <c r="O833" t="str">
        <f t="shared" si="13"/>
        <v/>
      </c>
    </row>
    <row r="834" spans="15:15" x14ac:dyDescent="0.3">
      <c r="O834" t="str">
        <f t="shared" si="13"/>
        <v/>
      </c>
    </row>
    <row r="835" spans="15:15" x14ac:dyDescent="0.3">
      <c r="O835" t="str">
        <f t="shared" si="13"/>
        <v/>
      </c>
    </row>
    <row r="836" spans="15:15" x14ac:dyDescent="0.3">
      <c r="O836" t="str">
        <f t="shared" si="13"/>
        <v/>
      </c>
    </row>
    <row r="837" spans="15:15" x14ac:dyDescent="0.3">
      <c r="O837" t="str">
        <f t="shared" si="13"/>
        <v/>
      </c>
    </row>
    <row r="838" spans="15:15" x14ac:dyDescent="0.3">
      <c r="O838" t="str">
        <f t="shared" si="13"/>
        <v/>
      </c>
    </row>
    <row r="839" spans="15:15" x14ac:dyDescent="0.3">
      <c r="O839" t="str">
        <f t="shared" si="13"/>
        <v/>
      </c>
    </row>
    <row r="840" spans="15:15" x14ac:dyDescent="0.3">
      <c r="O840" t="str">
        <f t="shared" si="13"/>
        <v/>
      </c>
    </row>
    <row r="841" spans="15:15" x14ac:dyDescent="0.3">
      <c r="O841" t="str">
        <f t="shared" si="13"/>
        <v/>
      </c>
    </row>
    <row r="842" spans="15:15" x14ac:dyDescent="0.3">
      <c r="O842" t="str">
        <f t="shared" ref="O842:O905" si="14">IF(P842="","",O841+1)</f>
        <v/>
      </c>
    </row>
    <row r="843" spans="15:15" x14ac:dyDescent="0.3">
      <c r="O843" t="str">
        <f t="shared" si="14"/>
        <v/>
      </c>
    </row>
    <row r="844" spans="15:15" x14ac:dyDescent="0.3">
      <c r="O844" t="str">
        <f t="shared" si="14"/>
        <v/>
      </c>
    </row>
    <row r="845" spans="15:15" x14ac:dyDescent="0.3">
      <c r="O845" t="str">
        <f t="shared" si="14"/>
        <v/>
      </c>
    </row>
    <row r="846" spans="15:15" x14ac:dyDescent="0.3">
      <c r="O846" t="str">
        <f t="shared" si="14"/>
        <v/>
      </c>
    </row>
    <row r="847" spans="15:15" x14ac:dyDescent="0.3">
      <c r="O847" t="str">
        <f t="shared" si="14"/>
        <v/>
      </c>
    </row>
    <row r="848" spans="15:15" x14ac:dyDescent="0.3">
      <c r="O848" t="str">
        <f t="shared" si="14"/>
        <v/>
      </c>
    </row>
    <row r="849" spans="15:15" x14ac:dyDescent="0.3">
      <c r="O849" t="str">
        <f t="shared" si="14"/>
        <v/>
      </c>
    </row>
    <row r="850" spans="15:15" x14ac:dyDescent="0.3">
      <c r="O850" t="str">
        <f t="shared" si="14"/>
        <v/>
      </c>
    </row>
    <row r="851" spans="15:15" x14ac:dyDescent="0.3">
      <c r="O851" t="str">
        <f t="shared" si="14"/>
        <v/>
      </c>
    </row>
    <row r="852" spans="15:15" x14ac:dyDescent="0.3">
      <c r="O852" t="str">
        <f t="shared" si="14"/>
        <v/>
      </c>
    </row>
    <row r="853" spans="15:15" x14ac:dyDescent="0.3">
      <c r="O853" t="str">
        <f t="shared" si="14"/>
        <v/>
      </c>
    </row>
    <row r="854" spans="15:15" x14ac:dyDescent="0.3">
      <c r="O854" t="str">
        <f t="shared" si="14"/>
        <v/>
      </c>
    </row>
    <row r="855" spans="15:15" x14ac:dyDescent="0.3">
      <c r="O855" t="str">
        <f t="shared" si="14"/>
        <v/>
      </c>
    </row>
    <row r="856" spans="15:15" x14ac:dyDescent="0.3">
      <c r="O856" t="str">
        <f t="shared" si="14"/>
        <v/>
      </c>
    </row>
    <row r="857" spans="15:15" x14ac:dyDescent="0.3">
      <c r="O857" t="str">
        <f t="shared" si="14"/>
        <v/>
      </c>
    </row>
    <row r="858" spans="15:15" x14ac:dyDescent="0.3">
      <c r="O858" t="str">
        <f t="shared" si="14"/>
        <v/>
      </c>
    </row>
    <row r="859" spans="15:15" x14ac:dyDescent="0.3">
      <c r="O859" t="str">
        <f t="shared" si="14"/>
        <v/>
      </c>
    </row>
    <row r="860" spans="15:15" x14ac:dyDescent="0.3">
      <c r="O860" t="str">
        <f t="shared" si="14"/>
        <v/>
      </c>
    </row>
    <row r="861" spans="15:15" x14ac:dyDescent="0.3">
      <c r="O861" t="str">
        <f t="shared" si="14"/>
        <v/>
      </c>
    </row>
    <row r="862" spans="15:15" x14ac:dyDescent="0.3">
      <c r="O862" t="str">
        <f t="shared" si="14"/>
        <v/>
      </c>
    </row>
    <row r="863" spans="15:15" x14ac:dyDescent="0.3">
      <c r="O863" t="str">
        <f t="shared" si="14"/>
        <v/>
      </c>
    </row>
    <row r="864" spans="15:15" x14ac:dyDescent="0.3">
      <c r="O864" t="str">
        <f t="shared" si="14"/>
        <v/>
      </c>
    </row>
    <row r="865" spans="15:15" x14ac:dyDescent="0.3">
      <c r="O865" t="str">
        <f t="shared" si="14"/>
        <v/>
      </c>
    </row>
    <row r="866" spans="15:15" x14ac:dyDescent="0.3">
      <c r="O866" t="str">
        <f t="shared" si="14"/>
        <v/>
      </c>
    </row>
    <row r="867" spans="15:15" x14ac:dyDescent="0.3">
      <c r="O867" t="str">
        <f t="shared" si="14"/>
        <v/>
      </c>
    </row>
    <row r="868" spans="15:15" x14ac:dyDescent="0.3">
      <c r="O868" t="str">
        <f t="shared" si="14"/>
        <v/>
      </c>
    </row>
    <row r="869" spans="15:15" x14ac:dyDescent="0.3">
      <c r="O869" t="str">
        <f t="shared" si="14"/>
        <v/>
      </c>
    </row>
    <row r="870" spans="15:15" x14ac:dyDescent="0.3">
      <c r="O870" t="str">
        <f t="shared" si="14"/>
        <v/>
      </c>
    </row>
    <row r="871" spans="15:15" x14ac:dyDescent="0.3">
      <c r="O871" t="str">
        <f t="shared" si="14"/>
        <v/>
      </c>
    </row>
    <row r="872" spans="15:15" x14ac:dyDescent="0.3">
      <c r="O872" t="str">
        <f t="shared" si="14"/>
        <v/>
      </c>
    </row>
    <row r="873" spans="15:15" x14ac:dyDescent="0.3">
      <c r="O873" t="str">
        <f t="shared" si="14"/>
        <v/>
      </c>
    </row>
    <row r="874" spans="15:15" x14ac:dyDescent="0.3">
      <c r="O874" t="str">
        <f t="shared" si="14"/>
        <v/>
      </c>
    </row>
    <row r="875" spans="15:15" x14ac:dyDescent="0.3">
      <c r="O875" t="str">
        <f t="shared" si="14"/>
        <v/>
      </c>
    </row>
    <row r="876" spans="15:15" x14ac:dyDescent="0.3">
      <c r="O876" t="str">
        <f t="shared" si="14"/>
        <v/>
      </c>
    </row>
    <row r="877" spans="15:15" x14ac:dyDescent="0.3">
      <c r="O877" t="str">
        <f t="shared" si="14"/>
        <v/>
      </c>
    </row>
    <row r="878" spans="15:15" x14ac:dyDescent="0.3">
      <c r="O878" t="str">
        <f t="shared" si="14"/>
        <v/>
      </c>
    </row>
    <row r="879" spans="15:15" x14ac:dyDescent="0.3">
      <c r="O879" t="str">
        <f t="shared" si="14"/>
        <v/>
      </c>
    </row>
    <row r="880" spans="15:15" x14ac:dyDescent="0.3">
      <c r="O880" t="str">
        <f t="shared" si="14"/>
        <v/>
      </c>
    </row>
    <row r="881" spans="15:15" x14ac:dyDescent="0.3">
      <c r="O881" t="str">
        <f t="shared" si="14"/>
        <v/>
      </c>
    </row>
    <row r="882" spans="15:15" x14ac:dyDescent="0.3">
      <c r="O882" t="str">
        <f t="shared" si="14"/>
        <v/>
      </c>
    </row>
    <row r="883" spans="15:15" x14ac:dyDescent="0.3">
      <c r="O883" t="str">
        <f t="shared" si="14"/>
        <v/>
      </c>
    </row>
    <row r="884" spans="15:15" x14ac:dyDescent="0.3">
      <c r="O884" t="str">
        <f t="shared" si="14"/>
        <v/>
      </c>
    </row>
    <row r="885" spans="15:15" x14ac:dyDescent="0.3">
      <c r="O885" t="str">
        <f t="shared" si="14"/>
        <v/>
      </c>
    </row>
    <row r="886" spans="15:15" x14ac:dyDescent="0.3">
      <c r="O886" t="str">
        <f t="shared" si="14"/>
        <v/>
      </c>
    </row>
    <row r="887" spans="15:15" x14ac:dyDescent="0.3">
      <c r="O887" t="str">
        <f t="shared" si="14"/>
        <v/>
      </c>
    </row>
    <row r="888" spans="15:15" x14ac:dyDescent="0.3">
      <c r="O888" t="str">
        <f t="shared" si="14"/>
        <v/>
      </c>
    </row>
    <row r="889" spans="15:15" x14ac:dyDescent="0.3">
      <c r="O889" t="str">
        <f t="shared" si="14"/>
        <v/>
      </c>
    </row>
    <row r="890" spans="15:15" x14ac:dyDescent="0.3">
      <c r="O890" t="str">
        <f t="shared" si="14"/>
        <v/>
      </c>
    </row>
    <row r="891" spans="15:15" x14ac:dyDescent="0.3">
      <c r="O891" t="str">
        <f t="shared" si="14"/>
        <v/>
      </c>
    </row>
    <row r="892" spans="15:15" x14ac:dyDescent="0.3">
      <c r="O892" t="str">
        <f t="shared" si="14"/>
        <v/>
      </c>
    </row>
    <row r="893" spans="15:15" x14ac:dyDescent="0.3">
      <c r="O893" t="str">
        <f t="shared" si="14"/>
        <v/>
      </c>
    </row>
    <row r="894" spans="15:15" x14ac:dyDescent="0.3">
      <c r="O894" t="str">
        <f t="shared" si="14"/>
        <v/>
      </c>
    </row>
    <row r="895" spans="15:15" x14ac:dyDescent="0.3">
      <c r="O895" t="str">
        <f t="shared" si="14"/>
        <v/>
      </c>
    </row>
    <row r="896" spans="15:15" x14ac:dyDescent="0.3">
      <c r="O896" t="str">
        <f t="shared" si="14"/>
        <v/>
      </c>
    </row>
    <row r="897" spans="15:15" x14ac:dyDescent="0.3">
      <c r="O897" t="str">
        <f t="shared" si="14"/>
        <v/>
      </c>
    </row>
    <row r="898" spans="15:15" x14ac:dyDescent="0.3">
      <c r="O898" t="str">
        <f t="shared" si="14"/>
        <v/>
      </c>
    </row>
    <row r="899" spans="15:15" x14ac:dyDescent="0.3">
      <c r="O899" t="str">
        <f t="shared" si="14"/>
        <v/>
      </c>
    </row>
    <row r="900" spans="15:15" x14ac:dyDescent="0.3">
      <c r="O900" t="str">
        <f t="shared" si="14"/>
        <v/>
      </c>
    </row>
    <row r="901" spans="15:15" x14ac:dyDescent="0.3">
      <c r="O901" t="str">
        <f t="shared" si="14"/>
        <v/>
      </c>
    </row>
    <row r="902" spans="15:15" x14ac:dyDescent="0.3">
      <c r="O902" t="str">
        <f t="shared" si="14"/>
        <v/>
      </c>
    </row>
    <row r="903" spans="15:15" x14ac:dyDescent="0.3">
      <c r="O903" t="str">
        <f t="shared" si="14"/>
        <v/>
      </c>
    </row>
    <row r="904" spans="15:15" x14ac:dyDescent="0.3">
      <c r="O904" t="str">
        <f t="shared" si="14"/>
        <v/>
      </c>
    </row>
    <row r="905" spans="15:15" x14ac:dyDescent="0.3">
      <c r="O905" t="str">
        <f t="shared" si="14"/>
        <v/>
      </c>
    </row>
    <row r="906" spans="15:15" x14ac:dyDescent="0.3">
      <c r="O906" t="str">
        <f t="shared" ref="O906:O969" si="15">IF(P906="","",O905+1)</f>
        <v/>
      </c>
    </row>
    <row r="907" spans="15:15" x14ac:dyDescent="0.3">
      <c r="O907" t="str">
        <f t="shared" si="15"/>
        <v/>
      </c>
    </row>
    <row r="908" spans="15:15" x14ac:dyDescent="0.3">
      <c r="O908" t="str">
        <f t="shared" si="15"/>
        <v/>
      </c>
    </row>
    <row r="909" spans="15:15" x14ac:dyDescent="0.3">
      <c r="O909" t="str">
        <f t="shared" si="15"/>
        <v/>
      </c>
    </row>
    <row r="910" spans="15:15" x14ac:dyDescent="0.3">
      <c r="O910" t="str">
        <f t="shared" si="15"/>
        <v/>
      </c>
    </row>
    <row r="911" spans="15:15" x14ac:dyDescent="0.3">
      <c r="O911" t="str">
        <f t="shared" si="15"/>
        <v/>
      </c>
    </row>
    <row r="912" spans="15:15" x14ac:dyDescent="0.3">
      <c r="O912" t="str">
        <f t="shared" si="15"/>
        <v/>
      </c>
    </row>
    <row r="913" spans="15:15" x14ac:dyDescent="0.3">
      <c r="O913" t="str">
        <f t="shared" si="15"/>
        <v/>
      </c>
    </row>
    <row r="914" spans="15:15" x14ac:dyDescent="0.3">
      <c r="O914" t="str">
        <f t="shared" si="15"/>
        <v/>
      </c>
    </row>
    <row r="915" spans="15:15" x14ac:dyDescent="0.3">
      <c r="O915" t="str">
        <f t="shared" si="15"/>
        <v/>
      </c>
    </row>
    <row r="916" spans="15:15" x14ac:dyDescent="0.3">
      <c r="O916" t="str">
        <f t="shared" si="15"/>
        <v/>
      </c>
    </row>
    <row r="917" spans="15:15" x14ac:dyDescent="0.3">
      <c r="O917" t="str">
        <f t="shared" si="15"/>
        <v/>
      </c>
    </row>
    <row r="918" spans="15:15" x14ac:dyDescent="0.3">
      <c r="O918" t="str">
        <f t="shared" si="15"/>
        <v/>
      </c>
    </row>
    <row r="919" spans="15:15" x14ac:dyDescent="0.3">
      <c r="O919" t="str">
        <f t="shared" si="15"/>
        <v/>
      </c>
    </row>
    <row r="920" spans="15:15" x14ac:dyDescent="0.3">
      <c r="O920" t="str">
        <f t="shared" si="15"/>
        <v/>
      </c>
    </row>
    <row r="921" spans="15:15" x14ac:dyDescent="0.3">
      <c r="O921" t="str">
        <f t="shared" si="15"/>
        <v/>
      </c>
    </row>
    <row r="922" spans="15:15" x14ac:dyDescent="0.3">
      <c r="O922" t="str">
        <f t="shared" si="15"/>
        <v/>
      </c>
    </row>
    <row r="923" spans="15:15" x14ac:dyDescent="0.3">
      <c r="O923" t="str">
        <f t="shared" si="15"/>
        <v/>
      </c>
    </row>
    <row r="924" spans="15:15" x14ac:dyDescent="0.3">
      <c r="O924" t="str">
        <f t="shared" si="15"/>
        <v/>
      </c>
    </row>
    <row r="925" spans="15:15" x14ac:dyDescent="0.3">
      <c r="O925" t="str">
        <f t="shared" si="15"/>
        <v/>
      </c>
    </row>
    <row r="926" spans="15:15" x14ac:dyDescent="0.3">
      <c r="O926" t="str">
        <f t="shared" si="15"/>
        <v/>
      </c>
    </row>
    <row r="927" spans="15:15" x14ac:dyDescent="0.3">
      <c r="O927" t="str">
        <f t="shared" si="15"/>
        <v/>
      </c>
    </row>
    <row r="928" spans="15:15" x14ac:dyDescent="0.3">
      <c r="O928" t="str">
        <f t="shared" si="15"/>
        <v/>
      </c>
    </row>
    <row r="929" spans="15:15" x14ac:dyDescent="0.3">
      <c r="O929" t="str">
        <f t="shared" si="15"/>
        <v/>
      </c>
    </row>
    <row r="930" spans="15:15" x14ac:dyDescent="0.3">
      <c r="O930" t="str">
        <f t="shared" si="15"/>
        <v/>
      </c>
    </row>
    <row r="931" spans="15:15" x14ac:dyDescent="0.3">
      <c r="O931" t="str">
        <f t="shared" si="15"/>
        <v/>
      </c>
    </row>
    <row r="932" spans="15:15" x14ac:dyDescent="0.3">
      <c r="O932" t="str">
        <f t="shared" si="15"/>
        <v/>
      </c>
    </row>
    <row r="933" spans="15:15" x14ac:dyDescent="0.3">
      <c r="O933" t="str">
        <f t="shared" si="15"/>
        <v/>
      </c>
    </row>
    <row r="934" spans="15:15" x14ac:dyDescent="0.3">
      <c r="O934" t="str">
        <f t="shared" si="15"/>
        <v/>
      </c>
    </row>
    <row r="935" spans="15:15" x14ac:dyDescent="0.3">
      <c r="O935" t="str">
        <f t="shared" si="15"/>
        <v/>
      </c>
    </row>
    <row r="936" spans="15:15" x14ac:dyDescent="0.3">
      <c r="O936" t="str">
        <f t="shared" si="15"/>
        <v/>
      </c>
    </row>
    <row r="937" spans="15:15" x14ac:dyDescent="0.3">
      <c r="O937" t="str">
        <f t="shared" si="15"/>
        <v/>
      </c>
    </row>
    <row r="938" spans="15:15" x14ac:dyDescent="0.3">
      <c r="O938" t="str">
        <f t="shared" si="15"/>
        <v/>
      </c>
    </row>
    <row r="939" spans="15:15" x14ac:dyDescent="0.3">
      <c r="O939" t="str">
        <f t="shared" si="15"/>
        <v/>
      </c>
    </row>
    <row r="940" spans="15:15" x14ac:dyDescent="0.3">
      <c r="O940" t="str">
        <f t="shared" si="15"/>
        <v/>
      </c>
    </row>
    <row r="941" spans="15:15" x14ac:dyDescent="0.3">
      <c r="O941" t="str">
        <f t="shared" si="15"/>
        <v/>
      </c>
    </row>
    <row r="942" spans="15:15" x14ac:dyDescent="0.3">
      <c r="O942" t="str">
        <f t="shared" si="15"/>
        <v/>
      </c>
    </row>
    <row r="943" spans="15:15" x14ac:dyDescent="0.3">
      <c r="O943" t="str">
        <f t="shared" si="15"/>
        <v/>
      </c>
    </row>
    <row r="944" spans="15:15" x14ac:dyDescent="0.3">
      <c r="O944" t="str">
        <f t="shared" si="15"/>
        <v/>
      </c>
    </row>
    <row r="945" spans="15:15" x14ac:dyDescent="0.3">
      <c r="O945" t="str">
        <f t="shared" si="15"/>
        <v/>
      </c>
    </row>
    <row r="946" spans="15:15" x14ac:dyDescent="0.3">
      <c r="O946" t="str">
        <f t="shared" si="15"/>
        <v/>
      </c>
    </row>
    <row r="947" spans="15:15" x14ac:dyDescent="0.3">
      <c r="O947" t="str">
        <f t="shared" si="15"/>
        <v/>
      </c>
    </row>
    <row r="948" spans="15:15" x14ac:dyDescent="0.3">
      <c r="O948" t="str">
        <f t="shared" si="15"/>
        <v/>
      </c>
    </row>
    <row r="949" spans="15:15" x14ac:dyDescent="0.3">
      <c r="O949" t="str">
        <f t="shared" si="15"/>
        <v/>
      </c>
    </row>
    <row r="950" spans="15:15" x14ac:dyDescent="0.3">
      <c r="O950" t="str">
        <f t="shared" si="15"/>
        <v/>
      </c>
    </row>
    <row r="951" spans="15:15" x14ac:dyDescent="0.3">
      <c r="O951" t="str">
        <f t="shared" si="15"/>
        <v/>
      </c>
    </row>
    <row r="952" spans="15:15" x14ac:dyDescent="0.3">
      <c r="O952" t="str">
        <f t="shared" si="15"/>
        <v/>
      </c>
    </row>
    <row r="953" spans="15:15" x14ac:dyDescent="0.3">
      <c r="O953" t="str">
        <f t="shared" si="15"/>
        <v/>
      </c>
    </row>
    <row r="954" spans="15:15" x14ac:dyDescent="0.3">
      <c r="O954" t="str">
        <f t="shared" si="15"/>
        <v/>
      </c>
    </row>
    <row r="955" spans="15:15" x14ac:dyDescent="0.3">
      <c r="O955" t="str">
        <f t="shared" si="15"/>
        <v/>
      </c>
    </row>
    <row r="956" spans="15:15" x14ac:dyDescent="0.3">
      <c r="O956" t="str">
        <f t="shared" si="15"/>
        <v/>
      </c>
    </row>
    <row r="957" spans="15:15" x14ac:dyDescent="0.3">
      <c r="O957" t="str">
        <f t="shared" si="15"/>
        <v/>
      </c>
    </row>
    <row r="958" spans="15:15" x14ac:dyDescent="0.3">
      <c r="O958" t="str">
        <f t="shared" si="15"/>
        <v/>
      </c>
    </row>
    <row r="959" spans="15:15" x14ac:dyDescent="0.3">
      <c r="O959" t="str">
        <f t="shared" si="15"/>
        <v/>
      </c>
    </row>
    <row r="960" spans="15:15" x14ac:dyDescent="0.3">
      <c r="O960" t="str">
        <f t="shared" si="15"/>
        <v/>
      </c>
    </row>
    <row r="961" spans="15:15" x14ac:dyDescent="0.3">
      <c r="O961" t="str">
        <f t="shared" si="15"/>
        <v/>
      </c>
    </row>
    <row r="962" spans="15:15" x14ac:dyDescent="0.3">
      <c r="O962" t="str">
        <f t="shared" si="15"/>
        <v/>
      </c>
    </row>
    <row r="963" spans="15:15" x14ac:dyDescent="0.3">
      <c r="O963" t="str">
        <f t="shared" si="15"/>
        <v/>
      </c>
    </row>
    <row r="964" spans="15:15" x14ac:dyDescent="0.3">
      <c r="O964" t="str">
        <f t="shared" si="15"/>
        <v/>
      </c>
    </row>
    <row r="965" spans="15:15" x14ac:dyDescent="0.3">
      <c r="O965" t="str">
        <f t="shared" si="15"/>
        <v/>
      </c>
    </row>
    <row r="966" spans="15:15" x14ac:dyDescent="0.3">
      <c r="O966" t="str">
        <f t="shared" si="15"/>
        <v/>
      </c>
    </row>
    <row r="967" spans="15:15" x14ac:dyDescent="0.3">
      <c r="O967" t="str">
        <f t="shared" si="15"/>
        <v/>
      </c>
    </row>
    <row r="968" spans="15:15" x14ac:dyDescent="0.3">
      <c r="O968" t="str">
        <f t="shared" si="15"/>
        <v/>
      </c>
    </row>
    <row r="969" spans="15:15" x14ac:dyDescent="0.3">
      <c r="O969" t="str">
        <f t="shared" si="15"/>
        <v/>
      </c>
    </row>
    <row r="970" spans="15:15" x14ac:dyDescent="0.3">
      <c r="O970" t="str">
        <f t="shared" ref="O970:O1033" si="16">IF(P970="","",O969+1)</f>
        <v/>
      </c>
    </row>
    <row r="971" spans="15:15" x14ac:dyDescent="0.3">
      <c r="O971" t="str">
        <f t="shared" si="16"/>
        <v/>
      </c>
    </row>
    <row r="972" spans="15:15" x14ac:dyDescent="0.3">
      <c r="O972" t="str">
        <f t="shared" si="16"/>
        <v/>
      </c>
    </row>
    <row r="973" spans="15:15" x14ac:dyDescent="0.3">
      <c r="O973" t="str">
        <f t="shared" si="16"/>
        <v/>
      </c>
    </row>
    <row r="974" spans="15:15" x14ac:dyDescent="0.3">
      <c r="O974" t="str">
        <f t="shared" si="16"/>
        <v/>
      </c>
    </row>
    <row r="975" spans="15:15" x14ac:dyDescent="0.3">
      <c r="O975" t="str">
        <f t="shared" si="16"/>
        <v/>
      </c>
    </row>
    <row r="976" spans="15:15" x14ac:dyDescent="0.3">
      <c r="O976" t="str">
        <f t="shared" si="16"/>
        <v/>
      </c>
    </row>
    <row r="977" spans="15:15" x14ac:dyDescent="0.3">
      <c r="O977" t="str">
        <f t="shared" si="16"/>
        <v/>
      </c>
    </row>
    <row r="978" spans="15:15" x14ac:dyDescent="0.3">
      <c r="O978" t="str">
        <f t="shared" si="16"/>
        <v/>
      </c>
    </row>
    <row r="979" spans="15:15" x14ac:dyDescent="0.3">
      <c r="O979" t="str">
        <f t="shared" si="16"/>
        <v/>
      </c>
    </row>
    <row r="980" spans="15:15" x14ac:dyDescent="0.3">
      <c r="O980" t="str">
        <f t="shared" si="16"/>
        <v/>
      </c>
    </row>
    <row r="981" spans="15:15" x14ac:dyDescent="0.3">
      <c r="O981" t="str">
        <f t="shared" si="16"/>
        <v/>
      </c>
    </row>
    <row r="982" spans="15:15" x14ac:dyDescent="0.3">
      <c r="O982" t="str">
        <f t="shared" si="16"/>
        <v/>
      </c>
    </row>
    <row r="983" spans="15:15" x14ac:dyDescent="0.3">
      <c r="O983" t="str">
        <f t="shared" si="16"/>
        <v/>
      </c>
    </row>
    <row r="984" spans="15:15" x14ac:dyDescent="0.3">
      <c r="O984" t="str">
        <f t="shared" si="16"/>
        <v/>
      </c>
    </row>
    <row r="985" spans="15:15" x14ac:dyDescent="0.3">
      <c r="O985" t="str">
        <f t="shared" si="16"/>
        <v/>
      </c>
    </row>
    <row r="986" spans="15:15" x14ac:dyDescent="0.3">
      <c r="O986" t="str">
        <f t="shared" si="16"/>
        <v/>
      </c>
    </row>
    <row r="987" spans="15:15" x14ac:dyDescent="0.3">
      <c r="O987" t="str">
        <f t="shared" si="16"/>
        <v/>
      </c>
    </row>
    <row r="988" spans="15:15" x14ac:dyDescent="0.3">
      <c r="O988" t="str">
        <f t="shared" si="16"/>
        <v/>
      </c>
    </row>
    <row r="989" spans="15:15" x14ac:dyDescent="0.3">
      <c r="O989" t="str">
        <f t="shared" si="16"/>
        <v/>
      </c>
    </row>
    <row r="990" spans="15:15" x14ac:dyDescent="0.3">
      <c r="O990" t="str">
        <f t="shared" si="16"/>
        <v/>
      </c>
    </row>
    <row r="991" spans="15:15" x14ac:dyDescent="0.3">
      <c r="O991" t="str">
        <f t="shared" si="16"/>
        <v/>
      </c>
    </row>
    <row r="992" spans="15:15" x14ac:dyDescent="0.3">
      <c r="O992" t="str">
        <f t="shared" si="16"/>
        <v/>
      </c>
    </row>
    <row r="993" spans="15:15" x14ac:dyDescent="0.3">
      <c r="O993" t="str">
        <f t="shared" si="16"/>
        <v/>
      </c>
    </row>
    <row r="994" spans="15:15" x14ac:dyDescent="0.3">
      <c r="O994" t="str">
        <f t="shared" si="16"/>
        <v/>
      </c>
    </row>
    <row r="995" spans="15:15" x14ac:dyDescent="0.3">
      <c r="O995" t="str">
        <f t="shared" si="16"/>
        <v/>
      </c>
    </row>
    <row r="996" spans="15:15" x14ac:dyDescent="0.3">
      <c r="O996" t="str">
        <f t="shared" si="16"/>
        <v/>
      </c>
    </row>
    <row r="997" spans="15:15" x14ac:dyDescent="0.3">
      <c r="O997" t="str">
        <f t="shared" si="16"/>
        <v/>
      </c>
    </row>
    <row r="998" spans="15:15" x14ac:dyDescent="0.3">
      <c r="O998" t="str">
        <f t="shared" si="16"/>
        <v/>
      </c>
    </row>
    <row r="999" spans="15:15" x14ac:dyDescent="0.3">
      <c r="O999" t="str">
        <f t="shared" si="16"/>
        <v/>
      </c>
    </row>
    <row r="1000" spans="15:15" x14ac:dyDescent="0.3">
      <c r="O1000" t="str">
        <f t="shared" si="16"/>
        <v/>
      </c>
    </row>
    <row r="1001" spans="15:15" x14ac:dyDescent="0.3">
      <c r="O1001" t="str">
        <f t="shared" si="16"/>
        <v/>
      </c>
    </row>
    <row r="1002" spans="15:15" x14ac:dyDescent="0.3">
      <c r="O1002" t="str">
        <f t="shared" si="16"/>
        <v/>
      </c>
    </row>
    <row r="1003" spans="15:15" x14ac:dyDescent="0.3">
      <c r="O1003" t="str">
        <f t="shared" si="16"/>
        <v/>
      </c>
    </row>
    <row r="1004" spans="15:15" x14ac:dyDescent="0.3">
      <c r="O1004" t="str">
        <f t="shared" si="16"/>
        <v/>
      </c>
    </row>
    <row r="1005" spans="15:15" x14ac:dyDescent="0.3">
      <c r="O1005" t="str">
        <f t="shared" si="16"/>
        <v/>
      </c>
    </row>
    <row r="1006" spans="15:15" x14ac:dyDescent="0.3">
      <c r="O1006" t="str">
        <f t="shared" si="16"/>
        <v/>
      </c>
    </row>
    <row r="1007" spans="15:15" x14ac:dyDescent="0.3">
      <c r="O1007" t="str">
        <f t="shared" si="16"/>
        <v/>
      </c>
    </row>
    <row r="1008" spans="15:15" x14ac:dyDescent="0.3">
      <c r="O1008" t="str">
        <f t="shared" si="16"/>
        <v/>
      </c>
    </row>
    <row r="1009" spans="15:15" x14ac:dyDescent="0.3">
      <c r="O1009" t="str">
        <f t="shared" si="16"/>
        <v/>
      </c>
    </row>
    <row r="1010" spans="15:15" x14ac:dyDescent="0.3">
      <c r="O1010" t="str">
        <f t="shared" si="16"/>
        <v/>
      </c>
    </row>
    <row r="1011" spans="15:15" x14ac:dyDescent="0.3">
      <c r="O1011" t="str">
        <f t="shared" si="16"/>
        <v/>
      </c>
    </row>
    <row r="1012" spans="15:15" x14ac:dyDescent="0.3">
      <c r="O1012" t="str">
        <f t="shared" si="16"/>
        <v/>
      </c>
    </row>
    <row r="1013" spans="15:15" x14ac:dyDescent="0.3">
      <c r="O1013" t="str">
        <f t="shared" si="16"/>
        <v/>
      </c>
    </row>
    <row r="1014" spans="15:15" x14ac:dyDescent="0.3">
      <c r="O1014" t="str">
        <f t="shared" si="16"/>
        <v/>
      </c>
    </row>
    <row r="1015" spans="15:15" x14ac:dyDescent="0.3">
      <c r="O1015" t="str">
        <f t="shared" si="16"/>
        <v/>
      </c>
    </row>
    <row r="1016" spans="15:15" x14ac:dyDescent="0.3">
      <c r="O1016" t="str">
        <f t="shared" si="16"/>
        <v/>
      </c>
    </row>
    <row r="1017" spans="15:15" x14ac:dyDescent="0.3">
      <c r="O1017" t="str">
        <f t="shared" si="16"/>
        <v/>
      </c>
    </row>
    <row r="1018" spans="15:15" x14ac:dyDescent="0.3">
      <c r="O1018" t="str">
        <f t="shared" si="16"/>
        <v/>
      </c>
    </row>
    <row r="1019" spans="15:15" x14ac:dyDescent="0.3">
      <c r="O1019" t="str">
        <f t="shared" si="16"/>
        <v/>
      </c>
    </row>
    <row r="1020" spans="15:15" x14ac:dyDescent="0.3">
      <c r="O1020" t="str">
        <f t="shared" si="16"/>
        <v/>
      </c>
    </row>
    <row r="1021" spans="15:15" x14ac:dyDescent="0.3">
      <c r="O1021" t="str">
        <f t="shared" si="16"/>
        <v/>
      </c>
    </row>
    <row r="1022" spans="15:15" x14ac:dyDescent="0.3">
      <c r="O1022" t="str">
        <f t="shared" si="16"/>
        <v/>
      </c>
    </row>
    <row r="1023" spans="15:15" x14ac:dyDescent="0.3">
      <c r="O1023" t="str">
        <f t="shared" si="16"/>
        <v/>
      </c>
    </row>
    <row r="1024" spans="15:15" x14ac:dyDescent="0.3">
      <c r="O1024" t="str">
        <f t="shared" si="16"/>
        <v/>
      </c>
    </row>
    <row r="1025" spans="15:15" x14ac:dyDescent="0.3">
      <c r="O1025" t="str">
        <f t="shared" si="16"/>
        <v/>
      </c>
    </row>
    <row r="1026" spans="15:15" x14ac:dyDescent="0.3">
      <c r="O1026" t="str">
        <f t="shared" si="16"/>
        <v/>
      </c>
    </row>
    <row r="1027" spans="15:15" x14ac:dyDescent="0.3">
      <c r="O1027" t="str">
        <f t="shared" si="16"/>
        <v/>
      </c>
    </row>
    <row r="1028" spans="15:15" x14ac:dyDescent="0.3">
      <c r="O1028" t="str">
        <f t="shared" si="16"/>
        <v/>
      </c>
    </row>
    <row r="1029" spans="15:15" x14ac:dyDescent="0.3">
      <c r="O1029" t="str">
        <f t="shared" si="16"/>
        <v/>
      </c>
    </row>
    <row r="1030" spans="15:15" x14ac:dyDescent="0.3">
      <c r="O1030" t="str">
        <f t="shared" si="16"/>
        <v/>
      </c>
    </row>
    <row r="1031" spans="15:15" x14ac:dyDescent="0.3">
      <c r="O1031" t="str">
        <f t="shared" si="16"/>
        <v/>
      </c>
    </row>
    <row r="1032" spans="15:15" x14ac:dyDescent="0.3">
      <c r="O1032" t="str">
        <f t="shared" si="16"/>
        <v/>
      </c>
    </row>
    <row r="1033" spans="15:15" x14ac:dyDescent="0.3">
      <c r="O1033" t="str">
        <f t="shared" si="16"/>
        <v/>
      </c>
    </row>
    <row r="1034" spans="15:15" x14ac:dyDescent="0.3">
      <c r="O1034" t="str">
        <f t="shared" ref="O1034:O1097" si="17">IF(P1034="","",O1033+1)</f>
        <v/>
      </c>
    </row>
    <row r="1035" spans="15:15" x14ac:dyDescent="0.3">
      <c r="O1035" t="str">
        <f t="shared" si="17"/>
        <v/>
      </c>
    </row>
    <row r="1036" spans="15:15" x14ac:dyDescent="0.3">
      <c r="O1036" t="str">
        <f t="shared" si="17"/>
        <v/>
      </c>
    </row>
    <row r="1037" spans="15:15" x14ac:dyDescent="0.3">
      <c r="O1037" t="str">
        <f t="shared" si="17"/>
        <v/>
      </c>
    </row>
    <row r="1038" spans="15:15" x14ac:dyDescent="0.3">
      <c r="O1038" t="str">
        <f t="shared" si="17"/>
        <v/>
      </c>
    </row>
    <row r="1039" spans="15:15" x14ac:dyDescent="0.3">
      <c r="O1039" t="str">
        <f t="shared" si="17"/>
        <v/>
      </c>
    </row>
    <row r="1040" spans="15:15" x14ac:dyDescent="0.3">
      <c r="O1040" t="str">
        <f t="shared" si="17"/>
        <v/>
      </c>
    </row>
    <row r="1041" spans="15:15" x14ac:dyDescent="0.3">
      <c r="O1041" t="str">
        <f t="shared" si="17"/>
        <v/>
      </c>
    </row>
    <row r="1042" spans="15:15" x14ac:dyDescent="0.3">
      <c r="O1042" t="str">
        <f t="shared" si="17"/>
        <v/>
      </c>
    </row>
    <row r="1043" spans="15:15" x14ac:dyDescent="0.3">
      <c r="O1043" t="str">
        <f t="shared" si="17"/>
        <v/>
      </c>
    </row>
    <row r="1044" spans="15:15" x14ac:dyDescent="0.3">
      <c r="O1044" t="str">
        <f t="shared" si="17"/>
        <v/>
      </c>
    </row>
    <row r="1045" spans="15:15" x14ac:dyDescent="0.3">
      <c r="O1045" t="str">
        <f t="shared" si="17"/>
        <v/>
      </c>
    </row>
    <row r="1046" spans="15:15" x14ac:dyDescent="0.3">
      <c r="O1046" t="str">
        <f t="shared" si="17"/>
        <v/>
      </c>
    </row>
    <row r="1047" spans="15:15" x14ac:dyDescent="0.3">
      <c r="O1047" t="str">
        <f t="shared" si="17"/>
        <v/>
      </c>
    </row>
    <row r="1048" spans="15:15" x14ac:dyDescent="0.3">
      <c r="O1048" t="str">
        <f t="shared" si="17"/>
        <v/>
      </c>
    </row>
    <row r="1049" spans="15:15" x14ac:dyDescent="0.3">
      <c r="O1049" t="str">
        <f t="shared" si="17"/>
        <v/>
      </c>
    </row>
    <row r="1050" spans="15:15" x14ac:dyDescent="0.3">
      <c r="O1050" t="str">
        <f t="shared" si="17"/>
        <v/>
      </c>
    </row>
    <row r="1051" spans="15:15" x14ac:dyDescent="0.3">
      <c r="O1051" t="str">
        <f t="shared" si="17"/>
        <v/>
      </c>
    </row>
    <row r="1052" spans="15:15" x14ac:dyDescent="0.3">
      <c r="O1052" t="str">
        <f t="shared" si="17"/>
        <v/>
      </c>
    </row>
    <row r="1053" spans="15:15" x14ac:dyDescent="0.3">
      <c r="O1053" t="str">
        <f t="shared" si="17"/>
        <v/>
      </c>
    </row>
    <row r="1054" spans="15:15" x14ac:dyDescent="0.3">
      <c r="O1054" t="str">
        <f t="shared" si="17"/>
        <v/>
      </c>
    </row>
    <row r="1055" spans="15:15" x14ac:dyDescent="0.3">
      <c r="O1055" t="str">
        <f t="shared" si="17"/>
        <v/>
      </c>
    </row>
    <row r="1056" spans="15:15" x14ac:dyDescent="0.3">
      <c r="O1056" t="str">
        <f t="shared" si="17"/>
        <v/>
      </c>
    </row>
    <row r="1057" spans="15:15" x14ac:dyDescent="0.3">
      <c r="O1057" t="str">
        <f t="shared" si="17"/>
        <v/>
      </c>
    </row>
    <row r="1058" spans="15:15" x14ac:dyDescent="0.3">
      <c r="O1058" t="str">
        <f t="shared" si="17"/>
        <v/>
      </c>
    </row>
    <row r="1059" spans="15:15" x14ac:dyDescent="0.3">
      <c r="O1059" t="str">
        <f t="shared" si="17"/>
        <v/>
      </c>
    </row>
    <row r="1060" spans="15:15" x14ac:dyDescent="0.3">
      <c r="O1060" t="str">
        <f t="shared" si="17"/>
        <v/>
      </c>
    </row>
    <row r="1061" spans="15:15" x14ac:dyDescent="0.3">
      <c r="O1061" t="str">
        <f t="shared" si="17"/>
        <v/>
      </c>
    </row>
    <row r="1062" spans="15:15" x14ac:dyDescent="0.3">
      <c r="O1062" t="str">
        <f t="shared" si="17"/>
        <v/>
      </c>
    </row>
    <row r="1063" spans="15:15" x14ac:dyDescent="0.3">
      <c r="O1063" t="str">
        <f t="shared" si="17"/>
        <v/>
      </c>
    </row>
    <row r="1064" spans="15:15" x14ac:dyDescent="0.3">
      <c r="O1064" t="str">
        <f t="shared" si="17"/>
        <v/>
      </c>
    </row>
    <row r="1065" spans="15:15" x14ac:dyDescent="0.3">
      <c r="O1065" t="str">
        <f t="shared" si="17"/>
        <v/>
      </c>
    </row>
    <row r="1066" spans="15:15" x14ac:dyDescent="0.3">
      <c r="O1066" t="str">
        <f t="shared" si="17"/>
        <v/>
      </c>
    </row>
    <row r="1067" spans="15:15" x14ac:dyDescent="0.3">
      <c r="O1067" t="str">
        <f t="shared" si="17"/>
        <v/>
      </c>
    </row>
    <row r="1068" spans="15:15" x14ac:dyDescent="0.3">
      <c r="O1068" t="str">
        <f t="shared" si="17"/>
        <v/>
      </c>
    </row>
    <row r="1069" spans="15:15" x14ac:dyDescent="0.3">
      <c r="O1069" t="str">
        <f t="shared" si="17"/>
        <v/>
      </c>
    </row>
    <row r="1070" spans="15:15" x14ac:dyDescent="0.3">
      <c r="O1070" t="str">
        <f t="shared" si="17"/>
        <v/>
      </c>
    </row>
    <row r="1071" spans="15:15" x14ac:dyDescent="0.3">
      <c r="O1071" t="str">
        <f t="shared" si="17"/>
        <v/>
      </c>
    </row>
    <row r="1072" spans="15:15" x14ac:dyDescent="0.3">
      <c r="O1072" t="str">
        <f t="shared" si="17"/>
        <v/>
      </c>
    </row>
    <row r="1073" spans="15:15" x14ac:dyDescent="0.3">
      <c r="O1073" t="str">
        <f t="shared" si="17"/>
        <v/>
      </c>
    </row>
    <row r="1074" spans="15:15" x14ac:dyDescent="0.3">
      <c r="O1074" t="str">
        <f t="shared" si="17"/>
        <v/>
      </c>
    </row>
    <row r="1075" spans="15:15" x14ac:dyDescent="0.3">
      <c r="O1075" t="str">
        <f t="shared" si="17"/>
        <v/>
      </c>
    </row>
    <row r="1076" spans="15:15" x14ac:dyDescent="0.3">
      <c r="O1076" t="str">
        <f t="shared" si="17"/>
        <v/>
      </c>
    </row>
    <row r="1077" spans="15:15" x14ac:dyDescent="0.3">
      <c r="O1077" t="str">
        <f t="shared" si="17"/>
        <v/>
      </c>
    </row>
    <row r="1078" spans="15:15" x14ac:dyDescent="0.3">
      <c r="O1078" t="str">
        <f t="shared" si="17"/>
        <v/>
      </c>
    </row>
    <row r="1079" spans="15:15" x14ac:dyDescent="0.3">
      <c r="O1079" t="str">
        <f t="shared" si="17"/>
        <v/>
      </c>
    </row>
    <row r="1080" spans="15:15" x14ac:dyDescent="0.3">
      <c r="O1080" t="str">
        <f t="shared" si="17"/>
        <v/>
      </c>
    </row>
    <row r="1081" spans="15:15" x14ac:dyDescent="0.3">
      <c r="O1081" t="str">
        <f t="shared" si="17"/>
        <v/>
      </c>
    </row>
    <row r="1082" spans="15:15" x14ac:dyDescent="0.3">
      <c r="O1082" t="str">
        <f t="shared" si="17"/>
        <v/>
      </c>
    </row>
    <row r="1083" spans="15:15" x14ac:dyDescent="0.3">
      <c r="O1083" t="str">
        <f t="shared" si="17"/>
        <v/>
      </c>
    </row>
    <row r="1084" spans="15:15" x14ac:dyDescent="0.3">
      <c r="O1084" t="str">
        <f t="shared" si="17"/>
        <v/>
      </c>
    </row>
    <row r="1085" spans="15:15" x14ac:dyDescent="0.3">
      <c r="O1085" t="str">
        <f t="shared" si="17"/>
        <v/>
      </c>
    </row>
    <row r="1086" spans="15:15" x14ac:dyDescent="0.3">
      <c r="O1086" t="str">
        <f t="shared" si="17"/>
        <v/>
      </c>
    </row>
    <row r="1087" spans="15:15" x14ac:dyDescent="0.3">
      <c r="O1087" t="str">
        <f t="shared" si="17"/>
        <v/>
      </c>
    </row>
    <row r="1088" spans="15:15" x14ac:dyDescent="0.3">
      <c r="O1088" t="str">
        <f t="shared" si="17"/>
        <v/>
      </c>
    </row>
    <row r="1089" spans="15:15" x14ac:dyDescent="0.3">
      <c r="O1089" t="str">
        <f t="shared" si="17"/>
        <v/>
      </c>
    </row>
    <row r="1090" spans="15:15" x14ac:dyDescent="0.3">
      <c r="O1090" t="str">
        <f t="shared" si="17"/>
        <v/>
      </c>
    </row>
    <row r="1091" spans="15:15" x14ac:dyDescent="0.3">
      <c r="O1091" t="str">
        <f t="shared" si="17"/>
        <v/>
      </c>
    </row>
    <row r="1092" spans="15:15" x14ac:dyDescent="0.3">
      <c r="O1092" t="str">
        <f t="shared" si="17"/>
        <v/>
      </c>
    </row>
    <row r="1093" spans="15:15" x14ac:dyDescent="0.3">
      <c r="O1093" t="str">
        <f t="shared" si="17"/>
        <v/>
      </c>
    </row>
    <row r="1094" spans="15:15" x14ac:dyDescent="0.3">
      <c r="O1094" t="str">
        <f t="shared" si="17"/>
        <v/>
      </c>
    </row>
    <row r="1095" spans="15:15" x14ac:dyDescent="0.3">
      <c r="O1095" t="str">
        <f t="shared" si="17"/>
        <v/>
      </c>
    </row>
    <row r="1096" spans="15:15" x14ac:dyDescent="0.3">
      <c r="O1096" t="str">
        <f t="shared" si="17"/>
        <v/>
      </c>
    </row>
    <row r="1097" spans="15:15" x14ac:dyDescent="0.3">
      <c r="O1097" t="str">
        <f t="shared" si="17"/>
        <v/>
      </c>
    </row>
    <row r="1098" spans="15:15" x14ac:dyDescent="0.3">
      <c r="O1098" t="str">
        <f t="shared" ref="O1098:O1161" si="18">IF(P1098="","",O1097+1)</f>
        <v/>
      </c>
    </row>
    <row r="1099" spans="15:15" x14ac:dyDescent="0.3">
      <c r="O1099" t="str">
        <f t="shared" si="18"/>
        <v/>
      </c>
    </row>
    <row r="1100" spans="15:15" x14ac:dyDescent="0.3">
      <c r="O1100" t="str">
        <f t="shared" si="18"/>
        <v/>
      </c>
    </row>
    <row r="1101" spans="15:15" x14ac:dyDescent="0.3">
      <c r="O1101" t="str">
        <f t="shared" si="18"/>
        <v/>
      </c>
    </row>
    <row r="1102" spans="15:15" x14ac:dyDescent="0.3">
      <c r="O1102" t="str">
        <f t="shared" si="18"/>
        <v/>
      </c>
    </row>
    <row r="1103" spans="15:15" x14ac:dyDescent="0.3">
      <c r="O1103" t="str">
        <f t="shared" si="18"/>
        <v/>
      </c>
    </row>
    <row r="1104" spans="15:15" x14ac:dyDescent="0.3">
      <c r="O1104" t="str">
        <f t="shared" si="18"/>
        <v/>
      </c>
    </row>
    <row r="1105" spans="15:15" x14ac:dyDescent="0.3">
      <c r="O1105" t="str">
        <f t="shared" si="18"/>
        <v/>
      </c>
    </row>
    <row r="1106" spans="15:15" x14ac:dyDescent="0.3">
      <c r="O1106" t="str">
        <f t="shared" si="18"/>
        <v/>
      </c>
    </row>
    <row r="1107" spans="15:15" x14ac:dyDescent="0.3">
      <c r="O1107" t="str">
        <f t="shared" si="18"/>
        <v/>
      </c>
    </row>
    <row r="1108" spans="15:15" x14ac:dyDescent="0.3">
      <c r="O1108" t="str">
        <f t="shared" si="18"/>
        <v/>
      </c>
    </row>
    <row r="1109" spans="15:15" x14ac:dyDescent="0.3">
      <c r="O1109" t="str">
        <f t="shared" si="18"/>
        <v/>
      </c>
    </row>
    <row r="1110" spans="15:15" x14ac:dyDescent="0.3">
      <c r="O1110" t="str">
        <f t="shared" si="18"/>
        <v/>
      </c>
    </row>
    <row r="1111" spans="15:15" x14ac:dyDescent="0.3">
      <c r="O1111" t="str">
        <f t="shared" si="18"/>
        <v/>
      </c>
    </row>
    <row r="1112" spans="15:15" x14ac:dyDescent="0.3">
      <c r="O1112" t="str">
        <f t="shared" si="18"/>
        <v/>
      </c>
    </row>
    <row r="1113" spans="15:15" x14ac:dyDescent="0.3">
      <c r="O1113" t="str">
        <f t="shared" si="18"/>
        <v/>
      </c>
    </row>
    <row r="1114" spans="15:15" x14ac:dyDescent="0.3">
      <c r="O1114" t="str">
        <f t="shared" si="18"/>
        <v/>
      </c>
    </row>
    <row r="1115" spans="15:15" x14ac:dyDescent="0.3">
      <c r="O1115" t="str">
        <f t="shared" si="18"/>
        <v/>
      </c>
    </row>
    <row r="1116" spans="15:15" x14ac:dyDescent="0.3">
      <c r="O1116" t="str">
        <f t="shared" si="18"/>
        <v/>
      </c>
    </row>
    <row r="1117" spans="15:15" x14ac:dyDescent="0.3">
      <c r="O1117" t="str">
        <f t="shared" si="18"/>
        <v/>
      </c>
    </row>
    <row r="1118" spans="15:15" x14ac:dyDescent="0.3">
      <c r="O1118" t="str">
        <f t="shared" si="18"/>
        <v/>
      </c>
    </row>
    <row r="1119" spans="15:15" x14ac:dyDescent="0.3">
      <c r="O1119" t="str">
        <f t="shared" si="18"/>
        <v/>
      </c>
    </row>
    <row r="1120" spans="15:15" x14ac:dyDescent="0.3">
      <c r="O1120" t="str">
        <f t="shared" si="18"/>
        <v/>
      </c>
    </row>
    <row r="1121" spans="15:15" x14ac:dyDescent="0.3">
      <c r="O1121" t="str">
        <f t="shared" si="18"/>
        <v/>
      </c>
    </row>
    <row r="1122" spans="15:15" x14ac:dyDescent="0.3">
      <c r="O1122" t="str">
        <f t="shared" si="18"/>
        <v/>
      </c>
    </row>
    <row r="1123" spans="15:15" x14ac:dyDescent="0.3">
      <c r="O1123" t="str">
        <f t="shared" si="18"/>
        <v/>
      </c>
    </row>
    <row r="1124" spans="15:15" x14ac:dyDescent="0.3">
      <c r="O1124" t="str">
        <f t="shared" si="18"/>
        <v/>
      </c>
    </row>
    <row r="1125" spans="15:15" x14ac:dyDescent="0.3">
      <c r="O1125" t="str">
        <f t="shared" si="18"/>
        <v/>
      </c>
    </row>
    <row r="1126" spans="15:15" x14ac:dyDescent="0.3">
      <c r="O1126" t="str">
        <f t="shared" si="18"/>
        <v/>
      </c>
    </row>
    <row r="1127" spans="15:15" x14ac:dyDescent="0.3">
      <c r="O1127" t="str">
        <f t="shared" si="18"/>
        <v/>
      </c>
    </row>
    <row r="1128" spans="15:15" x14ac:dyDescent="0.3">
      <c r="O1128" t="str">
        <f t="shared" si="18"/>
        <v/>
      </c>
    </row>
    <row r="1129" spans="15:15" x14ac:dyDescent="0.3">
      <c r="O1129" t="str">
        <f t="shared" si="18"/>
        <v/>
      </c>
    </row>
    <row r="1130" spans="15:15" x14ac:dyDescent="0.3">
      <c r="O1130" t="str">
        <f t="shared" si="18"/>
        <v/>
      </c>
    </row>
    <row r="1131" spans="15:15" x14ac:dyDescent="0.3">
      <c r="O1131" t="str">
        <f t="shared" si="18"/>
        <v/>
      </c>
    </row>
    <row r="1132" spans="15:15" x14ac:dyDescent="0.3">
      <c r="O1132" t="str">
        <f t="shared" si="18"/>
        <v/>
      </c>
    </row>
    <row r="1133" spans="15:15" x14ac:dyDescent="0.3">
      <c r="O1133" t="str">
        <f t="shared" si="18"/>
        <v/>
      </c>
    </row>
    <row r="1134" spans="15:15" x14ac:dyDescent="0.3">
      <c r="O1134" t="str">
        <f t="shared" si="18"/>
        <v/>
      </c>
    </row>
    <row r="1135" spans="15:15" x14ac:dyDescent="0.3">
      <c r="O1135" t="str">
        <f t="shared" si="18"/>
        <v/>
      </c>
    </row>
    <row r="1136" spans="15:15" x14ac:dyDescent="0.3">
      <c r="O1136" t="str">
        <f t="shared" si="18"/>
        <v/>
      </c>
    </row>
    <row r="1137" spans="15:15" x14ac:dyDescent="0.3">
      <c r="O1137" t="str">
        <f t="shared" si="18"/>
        <v/>
      </c>
    </row>
    <row r="1138" spans="15:15" x14ac:dyDescent="0.3">
      <c r="O1138" t="str">
        <f t="shared" si="18"/>
        <v/>
      </c>
    </row>
    <row r="1139" spans="15:15" x14ac:dyDescent="0.3">
      <c r="O1139" t="str">
        <f t="shared" si="18"/>
        <v/>
      </c>
    </row>
    <row r="1140" spans="15:15" x14ac:dyDescent="0.3">
      <c r="O1140" t="str">
        <f t="shared" si="18"/>
        <v/>
      </c>
    </row>
    <row r="1141" spans="15:15" x14ac:dyDescent="0.3">
      <c r="O1141" t="str">
        <f t="shared" si="18"/>
        <v/>
      </c>
    </row>
    <row r="1142" spans="15:15" x14ac:dyDescent="0.3">
      <c r="O1142" t="str">
        <f t="shared" si="18"/>
        <v/>
      </c>
    </row>
    <row r="1143" spans="15:15" x14ac:dyDescent="0.3">
      <c r="O1143" t="str">
        <f t="shared" si="18"/>
        <v/>
      </c>
    </row>
    <row r="1144" spans="15:15" x14ac:dyDescent="0.3">
      <c r="O1144" t="str">
        <f t="shared" si="18"/>
        <v/>
      </c>
    </row>
    <row r="1145" spans="15:15" x14ac:dyDescent="0.3">
      <c r="O1145" t="str">
        <f t="shared" si="18"/>
        <v/>
      </c>
    </row>
    <row r="1146" spans="15:15" x14ac:dyDescent="0.3">
      <c r="O1146" t="str">
        <f t="shared" si="18"/>
        <v/>
      </c>
    </row>
    <row r="1147" spans="15:15" x14ac:dyDescent="0.3">
      <c r="O1147" t="str">
        <f t="shared" si="18"/>
        <v/>
      </c>
    </row>
    <row r="1148" spans="15:15" x14ac:dyDescent="0.3">
      <c r="O1148" t="str">
        <f t="shared" si="18"/>
        <v/>
      </c>
    </row>
    <row r="1149" spans="15:15" x14ac:dyDescent="0.3">
      <c r="O1149" t="str">
        <f t="shared" si="18"/>
        <v/>
      </c>
    </row>
    <row r="1150" spans="15:15" x14ac:dyDescent="0.3">
      <c r="O1150" t="str">
        <f t="shared" si="18"/>
        <v/>
      </c>
    </row>
    <row r="1151" spans="15:15" x14ac:dyDescent="0.3">
      <c r="O1151" t="str">
        <f t="shared" si="18"/>
        <v/>
      </c>
    </row>
    <row r="1152" spans="15:15" x14ac:dyDescent="0.3">
      <c r="O1152" t="str">
        <f t="shared" si="18"/>
        <v/>
      </c>
    </row>
    <row r="1153" spans="15:15" x14ac:dyDescent="0.3">
      <c r="O1153" t="str">
        <f t="shared" si="18"/>
        <v/>
      </c>
    </row>
    <row r="1154" spans="15:15" x14ac:dyDescent="0.3">
      <c r="O1154" t="str">
        <f t="shared" si="18"/>
        <v/>
      </c>
    </row>
    <row r="1155" spans="15:15" x14ac:dyDescent="0.3">
      <c r="O1155" t="str">
        <f t="shared" si="18"/>
        <v/>
      </c>
    </row>
    <row r="1156" spans="15:15" x14ac:dyDescent="0.3">
      <c r="O1156" t="str">
        <f t="shared" si="18"/>
        <v/>
      </c>
    </row>
    <row r="1157" spans="15:15" x14ac:dyDescent="0.3">
      <c r="O1157" t="str">
        <f t="shared" si="18"/>
        <v/>
      </c>
    </row>
    <row r="1158" spans="15:15" x14ac:dyDescent="0.3">
      <c r="O1158" t="str">
        <f t="shared" si="18"/>
        <v/>
      </c>
    </row>
    <row r="1159" spans="15:15" x14ac:dyDescent="0.3">
      <c r="O1159" t="str">
        <f t="shared" si="18"/>
        <v/>
      </c>
    </row>
    <row r="1160" spans="15:15" x14ac:dyDescent="0.3">
      <c r="O1160" t="str">
        <f t="shared" si="18"/>
        <v/>
      </c>
    </row>
    <row r="1161" spans="15:15" x14ac:dyDescent="0.3">
      <c r="O1161" t="str">
        <f t="shared" si="18"/>
        <v/>
      </c>
    </row>
    <row r="1162" spans="15:15" x14ac:dyDescent="0.3">
      <c r="O1162" t="str">
        <f t="shared" ref="O1162:O1225" si="19">IF(P1162="","",O1161+1)</f>
        <v/>
      </c>
    </row>
    <row r="1163" spans="15:15" x14ac:dyDescent="0.3">
      <c r="O1163" t="str">
        <f t="shared" si="19"/>
        <v/>
      </c>
    </row>
    <row r="1164" spans="15:15" x14ac:dyDescent="0.3">
      <c r="O1164" t="str">
        <f t="shared" si="19"/>
        <v/>
      </c>
    </row>
    <row r="1165" spans="15:15" x14ac:dyDescent="0.3">
      <c r="O1165" t="str">
        <f t="shared" si="19"/>
        <v/>
      </c>
    </row>
    <row r="1166" spans="15:15" x14ac:dyDescent="0.3">
      <c r="O1166" t="str">
        <f t="shared" si="19"/>
        <v/>
      </c>
    </row>
    <row r="1167" spans="15:15" x14ac:dyDescent="0.3">
      <c r="O1167" t="str">
        <f t="shared" si="19"/>
        <v/>
      </c>
    </row>
    <row r="1168" spans="15:15" x14ac:dyDescent="0.3">
      <c r="O1168" t="str">
        <f t="shared" si="19"/>
        <v/>
      </c>
    </row>
    <row r="1169" spans="15:15" x14ac:dyDescent="0.3">
      <c r="O1169" t="str">
        <f t="shared" si="19"/>
        <v/>
      </c>
    </row>
    <row r="1170" spans="15:15" x14ac:dyDescent="0.3">
      <c r="O1170" t="str">
        <f t="shared" si="19"/>
        <v/>
      </c>
    </row>
    <row r="1171" spans="15:15" x14ac:dyDescent="0.3">
      <c r="O1171" t="str">
        <f t="shared" si="19"/>
        <v/>
      </c>
    </row>
    <row r="1172" spans="15:15" x14ac:dyDescent="0.3">
      <c r="O1172" t="str">
        <f t="shared" si="19"/>
        <v/>
      </c>
    </row>
    <row r="1173" spans="15:15" x14ac:dyDescent="0.3">
      <c r="O1173" t="str">
        <f t="shared" si="19"/>
        <v/>
      </c>
    </row>
    <row r="1174" spans="15:15" x14ac:dyDescent="0.3">
      <c r="O1174" t="str">
        <f t="shared" si="19"/>
        <v/>
      </c>
    </row>
    <row r="1175" spans="15:15" x14ac:dyDescent="0.3">
      <c r="O1175" t="str">
        <f t="shared" si="19"/>
        <v/>
      </c>
    </row>
    <row r="1176" spans="15:15" x14ac:dyDescent="0.3">
      <c r="O1176" t="str">
        <f t="shared" si="19"/>
        <v/>
      </c>
    </row>
    <row r="1177" spans="15:15" x14ac:dyDescent="0.3">
      <c r="O1177" t="str">
        <f t="shared" si="19"/>
        <v/>
      </c>
    </row>
    <row r="1178" spans="15:15" x14ac:dyDescent="0.3">
      <c r="O1178" t="str">
        <f t="shared" si="19"/>
        <v/>
      </c>
    </row>
    <row r="1179" spans="15:15" x14ac:dyDescent="0.3">
      <c r="O1179" t="str">
        <f t="shared" si="19"/>
        <v/>
      </c>
    </row>
    <row r="1180" spans="15:15" x14ac:dyDescent="0.3">
      <c r="O1180" t="str">
        <f t="shared" si="19"/>
        <v/>
      </c>
    </row>
    <row r="1181" spans="15:15" x14ac:dyDescent="0.3">
      <c r="O1181" t="str">
        <f t="shared" si="19"/>
        <v/>
      </c>
    </row>
    <row r="1182" spans="15:15" x14ac:dyDescent="0.3">
      <c r="O1182" t="str">
        <f t="shared" si="19"/>
        <v/>
      </c>
    </row>
    <row r="1183" spans="15:15" x14ac:dyDescent="0.3">
      <c r="O1183" t="str">
        <f t="shared" si="19"/>
        <v/>
      </c>
    </row>
    <row r="1184" spans="15:15" x14ac:dyDescent="0.3">
      <c r="O1184" t="str">
        <f t="shared" si="19"/>
        <v/>
      </c>
    </row>
    <row r="1185" spans="15:15" x14ac:dyDescent="0.3">
      <c r="O1185" t="str">
        <f t="shared" si="19"/>
        <v/>
      </c>
    </row>
    <row r="1186" spans="15:15" x14ac:dyDescent="0.3">
      <c r="O1186" t="str">
        <f t="shared" si="19"/>
        <v/>
      </c>
    </row>
    <row r="1187" spans="15:15" x14ac:dyDescent="0.3">
      <c r="O1187" t="str">
        <f t="shared" si="19"/>
        <v/>
      </c>
    </row>
    <row r="1188" spans="15:15" x14ac:dyDescent="0.3">
      <c r="O1188" t="str">
        <f t="shared" si="19"/>
        <v/>
      </c>
    </row>
    <row r="1189" spans="15:15" x14ac:dyDescent="0.3">
      <c r="O1189" t="str">
        <f t="shared" si="19"/>
        <v/>
      </c>
    </row>
    <row r="1190" spans="15:15" x14ac:dyDescent="0.3">
      <c r="O1190" t="str">
        <f t="shared" si="19"/>
        <v/>
      </c>
    </row>
    <row r="1191" spans="15:15" x14ac:dyDescent="0.3">
      <c r="O1191" t="str">
        <f t="shared" si="19"/>
        <v/>
      </c>
    </row>
    <row r="1192" spans="15:15" x14ac:dyDescent="0.3">
      <c r="O1192" t="str">
        <f t="shared" si="19"/>
        <v/>
      </c>
    </row>
    <row r="1193" spans="15:15" x14ac:dyDescent="0.3">
      <c r="O1193" t="str">
        <f t="shared" si="19"/>
        <v/>
      </c>
    </row>
    <row r="1194" spans="15:15" x14ac:dyDescent="0.3">
      <c r="O1194" t="str">
        <f t="shared" si="19"/>
        <v/>
      </c>
    </row>
    <row r="1195" spans="15:15" x14ac:dyDescent="0.3">
      <c r="O1195" t="str">
        <f t="shared" si="19"/>
        <v/>
      </c>
    </row>
    <row r="1196" spans="15:15" x14ac:dyDescent="0.3">
      <c r="O1196" t="str">
        <f t="shared" si="19"/>
        <v/>
      </c>
    </row>
    <row r="1197" spans="15:15" x14ac:dyDescent="0.3">
      <c r="O1197" t="str">
        <f t="shared" si="19"/>
        <v/>
      </c>
    </row>
    <row r="1198" spans="15:15" x14ac:dyDescent="0.3">
      <c r="O1198" t="str">
        <f t="shared" si="19"/>
        <v/>
      </c>
    </row>
    <row r="1199" spans="15:15" x14ac:dyDescent="0.3">
      <c r="O1199" t="str">
        <f t="shared" si="19"/>
        <v/>
      </c>
    </row>
    <row r="1200" spans="15:15" x14ac:dyDescent="0.3">
      <c r="O1200" t="str">
        <f t="shared" si="19"/>
        <v/>
      </c>
    </row>
    <row r="1201" spans="15:15" x14ac:dyDescent="0.3">
      <c r="O1201" t="str">
        <f t="shared" si="19"/>
        <v/>
      </c>
    </row>
    <row r="1202" spans="15:15" x14ac:dyDescent="0.3">
      <c r="O1202" t="str">
        <f t="shared" si="19"/>
        <v/>
      </c>
    </row>
    <row r="1203" spans="15:15" x14ac:dyDescent="0.3">
      <c r="O1203" t="str">
        <f t="shared" si="19"/>
        <v/>
      </c>
    </row>
    <row r="1204" spans="15:15" x14ac:dyDescent="0.3">
      <c r="O1204" t="str">
        <f t="shared" si="19"/>
        <v/>
      </c>
    </row>
    <row r="1205" spans="15:15" x14ac:dyDescent="0.3">
      <c r="O1205" t="str">
        <f t="shared" si="19"/>
        <v/>
      </c>
    </row>
    <row r="1206" spans="15:15" x14ac:dyDescent="0.3">
      <c r="O1206" t="str">
        <f t="shared" si="19"/>
        <v/>
      </c>
    </row>
    <row r="1207" spans="15:15" x14ac:dyDescent="0.3">
      <c r="O1207" t="str">
        <f t="shared" si="19"/>
        <v/>
      </c>
    </row>
    <row r="1208" spans="15:15" x14ac:dyDescent="0.3">
      <c r="O1208" t="str">
        <f t="shared" si="19"/>
        <v/>
      </c>
    </row>
    <row r="1209" spans="15:15" x14ac:dyDescent="0.3">
      <c r="O1209" t="str">
        <f t="shared" si="19"/>
        <v/>
      </c>
    </row>
    <row r="1210" spans="15:15" x14ac:dyDescent="0.3">
      <c r="O1210" t="str">
        <f t="shared" si="19"/>
        <v/>
      </c>
    </row>
    <row r="1211" spans="15:15" x14ac:dyDescent="0.3">
      <c r="O1211" t="str">
        <f t="shared" si="19"/>
        <v/>
      </c>
    </row>
    <row r="1212" spans="15:15" x14ac:dyDescent="0.3">
      <c r="O1212" t="str">
        <f t="shared" si="19"/>
        <v/>
      </c>
    </row>
    <row r="1213" spans="15:15" x14ac:dyDescent="0.3">
      <c r="O1213" t="str">
        <f t="shared" si="19"/>
        <v/>
      </c>
    </row>
    <row r="1214" spans="15:15" x14ac:dyDescent="0.3">
      <c r="O1214" t="str">
        <f t="shared" si="19"/>
        <v/>
      </c>
    </row>
    <row r="1215" spans="15:15" x14ac:dyDescent="0.3">
      <c r="O1215" t="str">
        <f t="shared" si="19"/>
        <v/>
      </c>
    </row>
    <row r="1216" spans="15:15" x14ac:dyDescent="0.3">
      <c r="O1216" t="str">
        <f t="shared" si="19"/>
        <v/>
      </c>
    </row>
    <row r="1217" spans="15:15" x14ac:dyDescent="0.3">
      <c r="O1217" t="str">
        <f t="shared" si="19"/>
        <v/>
      </c>
    </row>
    <row r="1218" spans="15:15" x14ac:dyDescent="0.3">
      <c r="O1218" t="str">
        <f t="shared" si="19"/>
        <v/>
      </c>
    </row>
    <row r="1219" spans="15:15" x14ac:dyDescent="0.3">
      <c r="O1219" t="str">
        <f t="shared" si="19"/>
        <v/>
      </c>
    </row>
    <row r="1220" spans="15:15" x14ac:dyDescent="0.3">
      <c r="O1220" t="str">
        <f t="shared" si="19"/>
        <v/>
      </c>
    </row>
    <row r="1221" spans="15:15" x14ac:dyDescent="0.3">
      <c r="O1221" t="str">
        <f t="shared" si="19"/>
        <v/>
      </c>
    </row>
    <row r="1222" spans="15:15" x14ac:dyDescent="0.3">
      <c r="O1222" t="str">
        <f t="shared" si="19"/>
        <v/>
      </c>
    </row>
    <row r="1223" spans="15:15" x14ac:dyDescent="0.3">
      <c r="O1223" t="str">
        <f t="shared" si="19"/>
        <v/>
      </c>
    </row>
    <row r="1224" spans="15:15" x14ac:dyDescent="0.3">
      <c r="O1224" t="str">
        <f t="shared" si="19"/>
        <v/>
      </c>
    </row>
    <row r="1225" spans="15:15" x14ac:dyDescent="0.3">
      <c r="O1225" t="str">
        <f t="shared" si="19"/>
        <v/>
      </c>
    </row>
    <row r="1226" spans="15:15" x14ac:dyDescent="0.3">
      <c r="O1226" t="str">
        <f t="shared" ref="O1226:O1289" si="20">IF(P1226="","",O1225+1)</f>
        <v/>
      </c>
    </row>
    <row r="1227" spans="15:15" x14ac:dyDescent="0.3">
      <c r="O1227" t="str">
        <f t="shared" si="20"/>
        <v/>
      </c>
    </row>
    <row r="1228" spans="15:15" x14ac:dyDescent="0.3">
      <c r="O1228" t="str">
        <f t="shared" si="20"/>
        <v/>
      </c>
    </row>
    <row r="1229" spans="15:15" x14ac:dyDescent="0.3">
      <c r="O1229" t="str">
        <f t="shared" si="20"/>
        <v/>
      </c>
    </row>
    <row r="1230" spans="15:15" x14ac:dyDescent="0.3">
      <c r="O1230" t="str">
        <f t="shared" si="20"/>
        <v/>
      </c>
    </row>
    <row r="1231" spans="15:15" x14ac:dyDescent="0.3">
      <c r="O1231" t="str">
        <f t="shared" si="20"/>
        <v/>
      </c>
    </row>
    <row r="1232" spans="15:15" x14ac:dyDescent="0.3">
      <c r="O1232" t="str">
        <f t="shared" si="20"/>
        <v/>
      </c>
    </row>
    <row r="1233" spans="15:15" x14ac:dyDescent="0.3">
      <c r="O1233" t="str">
        <f t="shared" si="20"/>
        <v/>
      </c>
    </row>
    <row r="1234" spans="15:15" x14ac:dyDescent="0.3">
      <c r="O1234" t="str">
        <f t="shared" si="20"/>
        <v/>
      </c>
    </row>
    <row r="1235" spans="15:15" x14ac:dyDescent="0.3">
      <c r="O1235" t="str">
        <f t="shared" si="20"/>
        <v/>
      </c>
    </row>
    <row r="1236" spans="15:15" x14ac:dyDescent="0.3">
      <c r="O1236" t="str">
        <f t="shared" si="20"/>
        <v/>
      </c>
    </row>
    <row r="1237" spans="15:15" x14ac:dyDescent="0.3">
      <c r="O1237" t="str">
        <f t="shared" si="20"/>
        <v/>
      </c>
    </row>
    <row r="1238" spans="15:15" x14ac:dyDescent="0.3">
      <c r="O1238" t="str">
        <f t="shared" si="20"/>
        <v/>
      </c>
    </row>
    <row r="1239" spans="15:15" x14ac:dyDescent="0.3">
      <c r="O1239" t="str">
        <f t="shared" si="20"/>
        <v/>
      </c>
    </row>
    <row r="1240" spans="15:15" x14ac:dyDescent="0.3">
      <c r="O1240" t="str">
        <f t="shared" si="20"/>
        <v/>
      </c>
    </row>
    <row r="1241" spans="15:15" x14ac:dyDescent="0.3">
      <c r="O1241" t="str">
        <f t="shared" si="20"/>
        <v/>
      </c>
    </row>
    <row r="1242" spans="15:15" x14ac:dyDescent="0.3">
      <c r="O1242" t="str">
        <f t="shared" si="20"/>
        <v/>
      </c>
    </row>
    <row r="1243" spans="15:15" x14ac:dyDescent="0.3">
      <c r="O1243" t="str">
        <f t="shared" si="20"/>
        <v/>
      </c>
    </row>
    <row r="1244" spans="15:15" x14ac:dyDescent="0.3">
      <c r="O1244" t="str">
        <f t="shared" si="20"/>
        <v/>
      </c>
    </row>
    <row r="1245" spans="15:15" x14ac:dyDescent="0.3">
      <c r="O1245" t="str">
        <f t="shared" si="20"/>
        <v/>
      </c>
    </row>
    <row r="1246" spans="15:15" x14ac:dyDescent="0.3">
      <c r="O1246" t="str">
        <f t="shared" si="20"/>
        <v/>
      </c>
    </row>
    <row r="1247" spans="15:15" x14ac:dyDescent="0.3">
      <c r="O1247" t="str">
        <f t="shared" si="20"/>
        <v/>
      </c>
    </row>
    <row r="1248" spans="15:15" x14ac:dyDescent="0.3">
      <c r="O1248" t="str">
        <f t="shared" si="20"/>
        <v/>
      </c>
    </row>
    <row r="1249" spans="15:15" x14ac:dyDescent="0.3">
      <c r="O1249" t="str">
        <f t="shared" si="20"/>
        <v/>
      </c>
    </row>
    <row r="1250" spans="15:15" x14ac:dyDescent="0.3">
      <c r="O1250" t="str">
        <f t="shared" si="20"/>
        <v/>
      </c>
    </row>
    <row r="1251" spans="15:15" x14ac:dyDescent="0.3">
      <c r="O1251" t="str">
        <f t="shared" si="20"/>
        <v/>
      </c>
    </row>
    <row r="1252" spans="15:15" x14ac:dyDescent="0.3">
      <c r="O1252" t="str">
        <f t="shared" si="20"/>
        <v/>
      </c>
    </row>
    <row r="1253" spans="15:15" x14ac:dyDescent="0.3">
      <c r="O1253" t="str">
        <f t="shared" si="20"/>
        <v/>
      </c>
    </row>
    <row r="1254" spans="15:15" x14ac:dyDescent="0.3">
      <c r="O1254" t="str">
        <f t="shared" si="20"/>
        <v/>
      </c>
    </row>
    <row r="1255" spans="15:15" x14ac:dyDescent="0.3">
      <c r="O1255" t="str">
        <f t="shared" si="20"/>
        <v/>
      </c>
    </row>
    <row r="1256" spans="15:15" x14ac:dyDescent="0.3">
      <c r="O1256" t="str">
        <f t="shared" si="20"/>
        <v/>
      </c>
    </row>
    <row r="1257" spans="15:15" x14ac:dyDescent="0.3">
      <c r="O1257" t="str">
        <f t="shared" si="20"/>
        <v/>
      </c>
    </row>
    <row r="1258" spans="15:15" x14ac:dyDescent="0.3">
      <c r="O1258" t="str">
        <f t="shared" si="20"/>
        <v/>
      </c>
    </row>
    <row r="1259" spans="15:15" x14ac:dyDescent="0.3">
      <c r="O1259" t="str">
        <f t="shared" si="20"/>
        <v/>
      </c>
    </row>
    <row r="1260" spans="15:15" x14ac:dyDescent="0.3">
      <c r="O1260" t="str">
        <f t="shared" si="20"/>
        <v/>
      </c>
    </row>
    <row r="1261" spans="15:15" x14ac:dyDescent="0.3">
      <c r="O1261" t="str">
        <f t="shared" si="20"/>
        <v/>
      </c>
    </row>
    <row r="1262" spans="15:15" x14ac:dyDescent="0.3">
      <c r="O1262" t="str">
        <f t="shared" si="20"/>
        <v/>
      </c>
    </row>
    <row r="1263" spans="15:15" x14ac:dyDescent="0.3">
      <c r="O1263" t="str">
        <f t="shared" si="20"/>
        <v/>
      </c>
    </row>
    <row r="1264" spans="15:15" x14ac:dyDescent="0.3">
      <c r="O1264" t="str">
        <f t="shared" si="20"/>
        <v/>
      </c>
    </row>
    <row r="1265" spans="15:15" x14ac:dyDescent="0.3">
      <c r="O1265" t="str">
        <f t="shared" si="20"/>
        <v/>
      </c>
    </row>
    <row r="1266" spans="15:15" x14ac:dyDescent="0.3">
      <c r="O1266" t="str">
        <f t="shared" si="20"/>
        <v/>
      </c>
    </row>
    <row r="1267" spans="15:15" x14ac:dyDescent="0.3">
      <c r="O1267" t="str">
        <f t="shared" si="20"/>
        <v/>
      </c>
    </row>
    <row r="1268" spans="15:15" x14ac:dyDescent="0.3">
      <c r="O1268" t="str">
        <f t="shared" si="20"/>
        <v/>
      </c>
    </row>
    <row r="1269" spans="15:15" x14ac:dyDescent="0.3">
      <c r="O1269" t="str">
        <f t="shared" si="20"/>
        <v/>
      </c>
    </row>
    <row r="1270" spans="15:15" x14ac:dyDescent="0.3">
      <c r="O1270" t="str">
        <f t="shared" si="20"/>
        <v/>
      </c>
    </row>
    <row r="1271" spans="15:15" x14ac:dyDescent="0.3">
      <c r="O1271" t="str">
        <f t="shared" si="20"/>
        <v/>
      </c>
    </row>
    <row r="1272" spans="15:15" x14ac:dyDescent="0.3">
      <c r="O1272" t="str">
        <f t="shared" si="20"/>
        <v/>
      </c>
    </row>
    <row r="1273" spans="15:15" x14ac:dyDescent="0.3">
      <c r="O1273" t="str">
        <f t="shared" si="20"/>
        <v/>
      </c>
    </row>
    <row r="1274" spans="15:15" x14ac:dyDescent="0.3">
      <c r="O1274" t="str">
        <f t="shared" si="20"/>
        <v/>
      </c>
    </row>
    <row r="1275" spans="15:15" x14ac:dyDescent="0.3">
      <c r="O1275" t="str">
        <f t="shared" si="20"/>
        <v/>
      </c>
    </row>
    <row r="1276" spans="15:15" x14ac:dyDescent="0.3">
      <c r="O1276" t="str">
        <f t="shared" si="20"/>
        <v/>
      </c>
    </row>
    <row r="1277" spans="15:15" x14ac:dyDescent="0.3">
      <c r="O1277" t="str">
        <f t="shared" si="20"/>
        <v/>
      </c>
    </row>
    <row r="1278" spans="15:15" x14ac:dyDescent="0.3">
      <c r="O1278" t="str">
        <f t="shared" si="20"/>
        <v/>
      </c>
    </row>
    <row r="1279" spans="15:15" x14ac:dyDescent="0.3">
      <c r="O1279" t="str">
        <f t="shared" si="20"/>
        <v/>
      </c>
    </row>
    <row r="1280" spans="15:15" x14ac:dyDescent="0.3">
      <c r="O1280" t="str">
        <f t="shared" si="20"/>
        <v/>
      </c>
    </row>
    <row r="1281" spans="15:15" x14ac:dyDescent="0.3">
      <c r="O1281" t="str">
        <f t="shared" si="20"/>
        <v/>
      </c>
    </row>
    <row r="1282" spans="15:15" x14ac:dyDescent="0.3">
      <c r="O1282" t="str">
        <f t="shared" si="20"/>
        <v/>
      </c>
    </row>
    <row r="1283" spans="15:15" x14ac:dyDescent="0.3">
      <c r="O1283" t="str">
        <f t="shared" si="20"/>
        <v/>
      </c>
    </row>
    <row r="1284" spans="15:15" x14ac:dyDescent="0.3">
      <c r="O1284" t="str">
        <f t="shared" si="20"/>
        <v/>
      </c>
    </row>
    <row r="1285" spans="15:15" x14ac:dyDescent="0.3">
      <c r="O1285" t="str">
        <f t="shared" si="20"/>
        <v/>
      </c>
    </row>
    <row r="1286" spans="15:15" x14ac:dyDescent="0.3">
      <c r="O1286" t="str">
        <f t="shared" si="20"/>
        <v/>
      </c>
    </row>
    <row r="1287" spans="15:15" x14ac:dyDescent="0.3">
      <c r="O1287" t="str">
        <f t="shared" si="20"/>
        <v/>
      </c>
    </row>
    <row r="1288" spans="15:15" x14ac:dyDescent="0.3">
      <c r="O1288" t="str">
        <f t="shared" si="20"/>
        <v/>
      </c>
    </row>
    <row r="1289" spans="15:15" x14ac:dyDescent="0.3">
      <c r="O1289" t="str">
        <f t="shared" si="20"/>
        <v/>
      </c>
    </row>
    <row r="1290" spans="15:15" x14ac:dyDescent="0.3">
      <c r="O1290" t="str">
        <f t="shared" ref="O1290:O1353" si="21">IF(P1290="","",O1289+1)</f>
        <v/>
      </c>
    </row>
    <row r="1291" spans="15:15" x14ac:dyDescent="0.3">
      <c r="O1291" t="str">
        <f t="shared" si="21"/>
        <v/>
      </c>
    </row>
    <row r="1292" spans="15:15" x14ac:dyDescent="0.3">
      <c r="O1292" t="str">
        <f t="shared" si="21"/>
        <v/>
      </c>
    </row>
    <row r="1293" spans="15:15" x14ac:dyDescent="0.3">
      <c r="O1293" t="str">
        <f t="shared" si="21"/>
        <v/>
      </c>
    </row>
    <row r="1294" spans="15:15" x14ac:dyDescent="0.3">
      <c r="O1294" t="str">
        <f t="shared" si="21"/>
        <v/>
      </c>
    </row>
    <row r="1295" spans="15:15" x14ac:dyDescent="0.3">
      <c r="O1295" t="str">
        <f t="shared" si="21"/>
        <v/>
      </c>
    </row>
    <row r="1296" spans="15:15" x14ac:dyDescent="0.3">
      <c r="O1296" t="str">
        <f t="shared" si="21"/>
        <v/>
      </c>
    </row>
    <row r="1297" spans="15:15" x14ac:dyDescent="0.3">
      <c r="O1297" t="str">
        <f t="shared" si="21"/>
        <v/>
      </c>
    </row>
    <row r="1298" spans="15:15" x14ac:dyDescent="0.3">
      <c r="O1298" t="str">
        <f t="shared" si="21"/>
        <v/>
      </c>
    </row>
    <row r="1299" spans="15:15" x14ac:dyDescent="0.3">
      <c r="O1299" t="str">
        <f t="shared" si="21"/>
        <v/>
      </c>
    </row>
    <row r="1300" spans="15:15" x14ac:dyDescent="0.3">
      <c r="O1300" t="str">
        <f t="shared" si="21"/>
        <v/>
      </c>
    </row>
    <row r="1301" spans="15:15" x14ac:dyDescent="0.3">
      <c r="O1301" t="str">
        <f t="shared" si="21"/>
        <v/>
      </c>
    </row>
    <row r="1302" spans="15:15" x14ac:dyDescent="0.3">
      <c r="O1302" t="str">
        <f t="shared" si="21"/>
        <v/>
      </c>
    </row>
    <row r="1303" spans="15:15" x14ac:dyDescent="0.3">
      <c r="O1303" t="str">
        <f t="shared" si="21"/>
        <v/>
      </c>
    </row>
    <row r="1304" spans="15:15" x14ac:dyDescent="0.3">
      <c r="O1304" t="str">
        <f t="shared" si="21"/>
        <v/>
      </c>
    </row>
    <row r="1305" spans="15:15" x14ac:dyDescent="0.3">
      <c r="O1305" t="str">
        <f t="shared" si="21"/>
        <v/>
      </c>
    </row>
    <row r="1306" spans="15:15" x14ac:dyDescent="0.3">
      <c r="O1306" t="str">
        <f t="shared" si="21"/>
        <v/>
      </c>
    </row>
    <row r="1307" spans="15:15" x14ac:dyDescent="0.3">
      <c r="O1307" t="str">
        <f t="shared" si="21"/>
        <v/>
      </c>
    </row>
    <row r="1308" spans="15:15" x14ac:dyDescent="0.3">
      <c r="O1308" t="str">
        <f t="shared" si="21"/>
        <v/>
      </c>
    </row>
    <row r="1309" spans="15:15" x14ac:dyDescent="0.3">
      <c r="O1309" t="str">
        <f t="shared" si="21"/>
        <v/>
      </c>
    </row>
    <row r="1310" spans="15:15" x14ac:dyDescent="0.3">
      <c r="O1310" t="str">
        <f t="shared" si="21"/>
        <v/>
      </c>
    </row>
    <row r="1311" spans="15:15" x14ac:dyDescent="0.3">
      <c r="O1311" t="str">
        <f t="shared" si="21"/>
        <v/>
      </c>
    </row>
    <row r="1312" spans="15:15" x14ac:dyDescent="0.3">
      <c r="O1312" t="str">
        <f t="shared" si="21"/>
        <v/>
      </c>
    </row>
    <row r="1313" spans="15:15" x14ac:dyDescent="0.3">
      <c r="O1313" t="str">
        <f t="shared" si="21"/>
        <v/>
      </c>
    </row>
    <row r="1314" spans="15:15" x14ac:dyDescent="0.3">
      <c r="O1314" t="str">
        <f t="shared" si="21"/>
        <v/>
      </c>
    </row>
    <row r="1315" spans="15:15" x14ac:dyDescent="0.3">
      <c r="O1315" t="str">
        <f t="shared" si="21"/>
        <v/>
      </c>
    </row>
    <row r="1316" spans="15:15" x14ac:dyDescent="0.3">
      <c r="O1316" t="str">
        <f t="shared" si="21"/>
        <v/>
      </c>
    </row>
    <row r="1317" spans="15:15" x14ac:dyDescent="0.3">
      <c r="O1317" t="str">
        <f t="shared" si="21"/>
        <v/>
      </c>
    </row>
    <row r="1318" spans="15:15" x14ac:dyDescent="0.3">
      <c r="O1318" t="str">
        <f t="shared" si="21"/>
        <v/>
      </c>
    </row>
    <row r="1319" spans="15:15" x14ac:dyDescent="0.3">
      <c r="O1319" t="str">
        <f t="shared" si="21"/>
        <v/>
      </c>
    </row>
    <row r="1320" spans="15:15" x14ac:dyDescent="0.3">
      <c r="O1320" t="str">
        <f t="shared" si="21"/>
        <v/>
      </c>
    </row>
    <row r="1321" spans="15:15" x14ac:dyDescent="0.3">
      <c r="O1321" t="str">
        <f t="shared" si="21"/>
        <v/>
      </c>
    </row>
    <row r="1322" spans="15:15" x14ac:dyDescent="0.3">
      <c r="O1322" t="str">
        <f t="shared" si="21"/>
        <v/>
      </c>
    </row>
    <row r="1323" spans="15:15" x14ac:dyDescent="0.3">
      <c r="O1323" t="str">
        <f t="shared" si="21"/>
        <v/>
      </c>
    </row>
    <row r="1324" spans="15:15" x14ac:dyDescent="0.3">
      <c r="O1324" t="str">
        <f t="shared" si="21"/>
        <v/>
      </c>
    </row>
    <row r="1325" spans="15:15" x14ac:dyDescent="0.3">
      <c r="O1325" t="str">
        <f t="shared" si="21"/>
        <v/>
      </c>
    </row>
    <row r="1326" spans="15:15" x14ac:dyDescent="0.3">
      <c r="O1326" t="str">
        <f t="shared" si="21"/>
        <v/>
      </c>
    </row>
    <row r="1327" spans="15:15" x14ac:dyDescent="0.3">
      <c r="O1327" t="str">
        <f t="shared" si="21"/>
        <v/>
      </c>
    </row>
    <row r="1328" spans="15:15" x14ac:dyDescent="0.3">
      <c r="O1328" t="str">
        <f t="shared" si="21"/>
        <v/>
      </c>
    </row>
    <row r="1329" spans="15:15" x14ac:dyDescent="0.3">
      <c r="O1329" t="str">
        <f t="shared" si="21"/>
        <v/>
      </c>
    </row>
    <row r="1330" spans="15:15" x14ac:dyDescent="0.3">
      <c r="O1330" t="str">
        <f t="shared" si="21"/>
        <v/>
      </c>
    </row>
    <row r="1331" spans="15:15" x14ac:dyDescent="0.3">
      <c r="O1331" t="str">
        <f t="shared" si="21"/>
        <v/>
      </c>
    </row>
    <row r="1332" spans="15:15" x14ac:dyDescent="0.3">
      <c r="O1332" t="str">
        <f t="shared" si="21"/>
        <v/>
      </c>
    </row>
    <row r="1333" spans="15:15" x14ac:dyDescent="0.3">
      <c r="O1333" t="str">
        <f t="shared" si="21"/>
        <v/>
      </c>
    </row>
    <row r="1334" spans="15:15" x14ac:dyDescent="0.3">
      <c r="O1334" t="str">
        <f t="shared" si="21"/>
        <v/>
      </c>
    </row>
    <row r="1335" spans="15:15" x14ac:dyDescent="0.3">
      <c r="O1335" t="str">
        <f t="shared" si="21"/>
        <v/>
      </c>
    </row>
    <row r="1336" spans="15:15" x14ac:dyDescent="0.3">
      <c r="O1336" t="str">
        <f t="shared" si="21"/>
        <v/>
      </c>
    </row>
    <row r="1337" spans="15:15" x14ac:dyDescent="0.3">
      <c r="O1337" t="str">
        <f t="shared" si="21"/>
        <v/>
      </c>
    </row>
    <row r="1338" spans="15:15" x14ac:dyDescent="0.3">
      <c r="O1338" t="str">
        <f t="shared" si="21"/>
        <v/>
      </c>
    </row>
    <row r="1339" spans="15:15" x14ac:dyDescent="0.3">
      <c r="O1339" t="str">
        <f t="shared" si="21"/>
        <v/>
      </c>
    </row>
    <row r="1340" spans="15:15" x14ac:dyDescent="0.3">
      <c r="O1340" t="str">
        <f t="shared" si="21"/>
        <v/>
      </c>
    </row>
    <row r="1341" spans="15:15" x14ac:dyDescent="0.3">
      <c r="O1341" t="str">
        <f t="shared" si="21"/>
        <v/>
      </c>
    </row>
    <row r="1342" spans="15:15" x14ac:dyDescent="0.3">
      <c r="O1342" t="str">
        <f t="shared" si="21"/>
        <v/>
      </c>
    </row>
    <row r="1343" spans="15:15" x14ac:dyDescent="0.3">
      <c r="O1343" t="str">
        <f t="shared" si="21"/>
        <v/>
      </c>
    </row>
    <row r="1344" spans="15:15" x14ac:dyDescent="0.3">
      <c r="O1344" t="str">
        <f t="shared" si="21"/>
        <v/>
      </c>
    </row>
    <row r="1345" spans="15:15" x14ac:dyDescent="0.3">
      <c r="O1345" t="str">
        <f t="shared" si="21"/>
        <v/>
      </c>
    </row>
    <row r="1346" spans="15:15" x14ac:dyDescent="0.3">
      <c r="O1346" t="str">
        <f t="shared" si="21"/>
        <v/>
      </c>
    </row>
    <row r="1347" spans="15:15" x14ac:dyDescent="0.3">
      <c r="O1347" t="str">
        <f t="shared" si="21"/>
        <v/>
      </c>
    </row>
    <row r="1348" spans="15:15" x14ac:dyDescent="0.3">
      <c r="O1348" t="str">
        <f t="shared" si="21"/>
        <v/>
      </c>
    </row>
    <row r="1349" spans="15:15" x14ac:dyDescent="0.3">
      <c r="O1349" t="str">
        <f t="shared" si="21"/>
        <v/>
      </c>
    </row>
    <row r="1350" spans="15:15" x14ac:dyDescent="0.3">
      <c r="O1350" t="str">
        <f t="shared" si="21"/>
        <v/>
      </c>
    </row>
    <row r="1351" spans="15:15" x14ac:dyDescent="0.3">
      <c r="O1351" t="str">
        <f t="shared" si="21"/>
        <v/>
      </c>
    </row>
    <row r="1352" spans="15:15" x14ac:dyDescent="0.3">
      <c r="O1352" t="str">
        <f t="shared" si="21"/>
        <v/>
      </c>
    </row>
    <row r="1353" spans="15:15" x14ac:dyDescent="0.3">
      <c r="O1353" t="str">
        <f t="shared" si="21"/>
        <v/>
      </c>
    </row>
    <row r="1354" spans="15:15" x14ac:dyDescent="0.3">
      <c r="O1354" t="str">
        <f t="shared" ref="O1354:O1417" si="22">IF(P1354="","",O1353+1)</f>
        <v/>
      </c>
    </row>
    <row r="1355" spans="15:15" x14ac:dyDescent="0.3">
      <c r="O1355" t="str">
        <f t="shared" si="22"/>
        <v/>
      </c>
    </row>
    <row r="1356" spans="15:15" x14ac:dyDescent="0.3">
      <c r="O1356" t="str">
        <f t="shared" si="22"/>
        <v/>
      </c>
    </row>
    <row r="1357" spans="15:15" x14ac:dyDescent="0.3">
      <c r="O1357" t="str">
        <f t="shared" si="22"/>
        <v/>
      </c>
    </row>
    <row r="1358" spans="15:15" x14ac:dyDescent="0.3">
      <c r="O1358" t="str">
        <f t="shared" si="22"/>
        <v/>
      </c>
    </row>
    <row r="1359" spans="15:15" x14ac:dyDescent="0.3">
      <c r="O1359" t="str">
        <f t="shared" si="22"/>
        <v/>
      </c>
    </row>
    <row r="1360" spans="15:15" x14ac:dyDescent="0.3">
      <c r="O1360" t="str">
        <f t="shared" si="22"/>
        <v/>
      </c>
    </row>
    <row r="1361" spans="15:15" x14ac:dyDescent="0.3">
      <c r="O1361" t="str">
        <f t="shared" si="22"/>
        <v/>
      </c>
    </row>
    <row r="1362" spans="15:15" x14ac:dyDescent="0.3">
      <c r="O1362" t="str">
        <f t="shared" si="22"/>
        <v/>
      </c>
    </row>
    <row r="1363" spans="15:15" x14ac:dyDescent="0.3">
      <c r="O1363" t="str">
        <f t="shared" si="22"/>
        <v/>
      </c>
    </row>
    <row r="1364" spans="15:15" x14ac:dyDescent="0.3">
      <c r="O1364" t="str">
        <f t="shared" si="22"/>
        <v/>
      </c>
    </row>
    <row r="1365" spans="15:15" x14ac:dyDescent="0.3">
      <c r="O1365" t="str">
        <f t="shared" si="22"/>
        <v/>
      </c>
    </row>
    <row r="1366" spans="15:15" x14ac:dyDescent="0.3">
      <c r="O1366" t="str">
        <f t="shared" si="22"/>
        <v/>
      </c>
    </row>
    <row r="1367" spans="15:15" x14ac:dyDescent="0.3">
      <c r="O1367" t="str">
        <f t="shared" si="22"/>
        <v/>
      </c>
    </row>
    <row r="1368" spans="15:15" x14ac:dyDescent="0.3">
      <c r="O1368" t="str">
        <f t="shared" si="22"/>
        <v/>
      </c>
    </row>
    <row r="1369" spans="15:15" x14ac:dyDescent="0.3">
      <c r="O1369" t="str">
        <f t="shared" si="22"/>
        <v/>
      </c>
    </row>
    <row r="1370" spans="15:15" x14ac:dyDescent="0.3">
      <c r="O1370" t="str">
        <f t="shared" si="22"/>
        <v/>
      </c>
    </row>
    <row r="1371" spans="15:15" x14ac:dyDescent="0.3">
      <c r="O1371" t="str">
        <f t="shared" si="22"/>
        <v/>
      </c>
    </row>
    <row r="1372" spans="15:15" x14ac:dyDescent="0.3">
      <c r="O1372" t="str">
        <f t="shared" si="22"/>
        <v/>
      </c>
    </row>
    <row r="1373" spans="15:15" x14ac:dyDescent="0.3">
      <c r="O1373" t="str">
        <f t="shared" si="22"/>
        <v/>
      </c>
    </row>
    <row r="1374" spans="15:15" x14ac:dyDescent="0.3">
      <c r="O1374" t="str">
        <f t="shared" si="22"/>
        <v/>
      </c>
    </row>
    <row r="1375" spans="15:15" x14ac:dyDescent="0.3">
      <c r="O1375" t="str">
        <f t="shared" si="22"/>
        <v/>
      </c>
    </row>
    <row r="1376" spans="15:15" x14ac:dyDescent="0.3">
      <c r="O1376" t="str">
        <f t="shared" si="22"/>
        <v/>
      </c>
    </row>
    <row r="1377" spans="15:15" x14ac:dyDescent="0.3">
      <c r="O1377" t="str">
        <f t="shared" si="22"/>
        <v/>
      </c>
    </row>
    <row r="1378" spans="15:15" x14ac:dyDescent="0.3">
      <c r="O1378" t="str">
        <f t="shared" si="22"/>
        <v/>
      </c>
    </row>
    <row r="1379" spans="15:15" x14ac:dyDescent="0.3">
      <c r="O1379" t="str">
        <f t="shared" si="22"/>
        <v/>
      </c>
    </row>
    <row r="1380" spans="15:15" x14ac:dyDescent="0.3">
      <c r="O1380" t="str">
        <f t="shared" si="22"/>
        <v/>
      </c>
    </row>
    <row r="1381" spans="15:15" x14ac:dyDescent="0.3">
      <c r="O1381" t="str">
        <f t="shared" si="22"/>
        <v/>
      </c>
    </row>
    <row r="1382" spans="15:15" x14ac:dyDescent="0.3">
      <c r="O1382" t="str">
        <f t="shared" si="22"/>
        <v/>
      </c>
    </row>
    <row r="1383" spans="15:15" x14ac:dyDescent="0.3">
      <c r="O1383" t="str">
        <f t="shared" si="22"/>
        <v/>
      </c>
    </row>
    <row r="1384" spans="15:15" x14ac:dyDescent="0.3">
      <c r="O1384" t="str">
        <f t="shared" si="22"/>
        <v/>
      </c>
    </row>
    <row r="1385" spans="15:15" x14ac:dyDescent="0.3">
      <c r="O1385" t="str">
        <f t="shared" si="22"/>
        <v/>
      </c>
    </row>
    <row r="1386" spans="15:15" x14ac:dyDescent="0.3">
      <c r="O1386" t="str">
        <f t="shared" si="22"/>
        <v/>
      </c>
    </row>
    <row r="1387" spans="15:15" x14ac:dyDescent="0.3">
      <c r="O1387" t="str">
        <f t="shared" si="22"/>
        <v/>
      </c>
    </row>
    <row r="1388" spans="15:15" x14ac:dyDescent="0.3">
      <c r="O1388" t="str">
        <f t="shared" si="22"/>
        <v/>
      </c>
    </row>
    <row r="1389" spans="15:15" x14ac:dyDescent="0.3">
      <c r="O1389" t="str">
        <f t="shared" si="22"/>
        <v/>
      </c>
    </row>
    <row r="1390" spans="15:15" x14ac:dyDescent="0.3">
      <c r="O1390" t="str">
        <f t="shared" si="22"/>
        <v/>
      </c>
    </row>
    <row r="1391" spans="15:15" x14ac:dyDescent="0.3">
      <c r="O1391" t="str">
        <f t="shared" si="22"/>
        <v/>
      </c>
    </row>
    <row r="1392" spans="15:15" x14ac:dyDescent="0.3">
      <c r="O1392" t="str">
        <f t="shared" si="22"/>
        <v/>
      </c>
    </row>
    <row r="1393" spans="15:15" x14ac:dyDescent="0.3">
      <c r="O1393" t="str">
        <f t="shared" si="22"/>
        <v/>
      </c>
    </row>
    <row r="1394" spans="15:15" x14ac:dyDescent="0.3">
      <c r="O1394" t="str">
        <f t="shared" si="22"/>
        <v/>
      </c>
    </row>
    <row r="1395" spans="15:15" x14ac:dyDescent="0.3">
      <c r="O1395" t="str">
        <f t="shared" si="22"/>
        <v/>
      </c>
    </row>
    <row r="1396" spans="15:15" x14ac:dyDescent="0.3">
      <c r="O1396" t="str">
        <f t="shared" si="22"/>
        <v/>
      </c>
    </row>
    <row r="1397" spans="15:15" x14ac:dyDescent="0.3">
      <c r="O1397" t="str">
        <f t="shared" si="22"/>
        <v/>
      </c>
    </row>
    <row r="1398" spans="15:15" x14ac:dyDescent="0.3">
      <c r="O1398" t="str">
        <f t="shared" si="22"/>
        <v/>
      </c>
    </row>
    <row r="1399" spans="15:15" x14ac:dyDescent="0.3">
      <c r="O1399" t="str">
        <f t="shared" si="22"/>
        <v/>
      </c>
    </row>
    <row r="1400" spans="15:15" x14ac:dyDescent="0.3">
      <c r="O1400" t="str">
        <f t="shared" si="22"/>
        <v/>
      </c>
    </row>
    <row r="1401" spans="15:15" x14ac:dyDescent="0.3">
      <c r="O1401" t="str">
        <f t="shared" si="22"/>
        <v/>
      </c>
    </row>
    <row r="1402" spans="15:15" x14ac:dyDescent="0.3">
      <c r="O1402" t="str">
        <f t="shared" si="22"/>
        <v/>
      </c>
    </row>
    <row r="1403" spans="15:15" x14ac:dyDescent="0.3">
      <c r="O1403" t="str">
        <f t="shared" si="22"/>
        <v/>
      </c>
    </row>
    <row r="1404" spans="15:15" x14ac:dyDescent="0.3">
      <c r="O1404" t="str">
        <f t="shared" si="22"/>
        <v/>
      </c>
    </row>
    <row r="1405" spans="15:15" x14ac:dyDescent="0.3">
      <c r="O1405" t="str">
        <f t="shared" si="22"/>
        <v/>
      </c>
    </row>
    <row r="1406" spans="15:15" x14ac:dyDescent="0.3">
      <c r="O1406" t="str">
        <f t="shared" si="22"/>
        <v/>
      </c>
    </row>
    <row r="1407" spans="15:15" x14ac:dyDescent="0.3">
      <c r="O1407" t="str">
        <f t="shared" si="22"/>
        <v/>
      </c>
    </row>
    <row r="1408" spans="15:15" x14ac:dyDescent="0.3">
      <c r="O1408" t="str">
        <f t="shared" si="22"/>
        <v/>
      </c>
    </row>
    <row r="1409" spans="15:15" x14ac:dyDescent="0.3">
      <c r="O1409" t="str">
        <f t="shared" si="22"/>
        <v/>
      </c>
    </row>
    <row r="1410" spans="15:15" x14ac:dyDescent="0.3">
      <c r="O1410" t="str">
        <f t="shared" si="22"/>
        <v/>
      </c>
    </row>
    <row r="1411" spans="15:15" x14ac:dyDescent="0.3">
      <c r="O1411" t="str">
        <f t="shared" si="22"/>
        <v/>
      </c>
    </row>
    <row r="1412" spans="15:15" x14ac:dyDescent="0.3">
      <c r="O1412" t="str">
        <f t="shared" si="22"/>
        <v/>
      </c>
    </row>
    <row r="1413" spans="15:15" x14ac:dyDescent="0.3">
      <c r="O1413" t="str">
        <f t="shared" si="22"/>
        <v/>
      </c>
    </row>
    <row r="1414" spans="15:15" x14ac:dyDescent="0.3">
      <c r="O1414" t="str">
        <f t="shared" si="22"/>
        <v/>
      </c>
    </row>
    <row r="1415" spans="15:15" x14ac:dyDescent="0.3">
      <c r="O1415" t="str">
        <f t="shared" si="22"/>
        <v/>
      </c>
    </row>
    <row r="1416" spans="15:15" x14ac:dyDescent="0.3">
      <c r="O1416" t="str">
        <f t="shared" si="22"/>
        <v/>
      </c>
    </row>
    <row r="1417" spans="15:15" x14ac:dyDescent="0.3">
      <c r="O1417" t="str">
        <f t="shared" si="22"/>
        <v/>
      </c>
    </row>
    <row r="1418" spans="15:15" x14ac:dyDescent="0.3">
      <c r="O1418" t="str">
        <f t="shared" ref="O1418:O1481" si="23">IF(P1418="","",O1417+1)</f>
        <v/>
      </c>
    </row>
    <row r="1419" spans="15:15" x14ac:dyDescent="0.3">
      <c r="O1419" t="str">
        <f t="shared" si="23"/>
        <v/>
      </c>
    </row>
    <row r="1420" spans="15:15" x14ac:dyDescent="0.3">
      <c r="O1420" t="str">
        <f t="shared" si="23"/>
        <v/>
      </c>
    </row>
    <row r="1421" spans="15:15" x14ac:dyDescent="0.3">
      <c r="O1421" t="str">
        <f t="shared" si="23"/>
        <v/>
      </c>
    </row>
    <row r="1422" spans="15:15" x14ac:dyDescent="0.3">
      <c r="O1422" t="str">
        <f t="shared" si="23"/>
        <v/>
      </c>
    </row>
    <row r="1423" spans="15:15" x14ac:dyDescent="0.3">
      <c r="O1423" t="str">
        <f t="shared" si="23"/>
        <v/>
      </c>
    </row>
    <row r="1424" spans="15:15" x14ac:dyDescent="0.3">
      <c r="O1424" t="str">
        <f t="shared" si="23"/>
        <v/>
      </c>
    </row>
    <row r="1425" spans="15:15" x14ac:dyDescent="0.3">
      <c r="O1425" t="str">
        <f t="shared" si="23"/>
        <v/>
      </c>
    </row>
    <row r="1426" spans="15:15" x14ac:dyDescent="0.3">
      <c r="O1426" t="str">
        <f t="shared" si="23"/>
        <v/>
      </c>
    </row>
    <row r="1427" spans="15:15" x14ac:dyDescent="0.3">
      <c r="O1427" t="str">
        <f t="shared" si="23"/>
        <v/>
      </c>
    </row>
    <row r="1428" spans="15:15" x14ac:dyDescent="0.3">
      <c r="O1428" t="str">
        <f t="shared" si="23"/>
        <v/>
      </c>
    </row>
    <row r="1429" spans="15:15" x14ac:dyDescent="0.3">
      <c r="O1429" t="str">
        <f t="shared" si="23"/>
        <v/>
      </c>
    </row>
    <row r="1430" spans="15:15" x14ac:dyDescent="0.3">
      <c r="O1430" t="str">
        <f t="shared" si="23"/>
        <v/>
      </c>
    </row>
    <row r="1431" spans="15:15" x14ac:dyDescent="0.3">
      <c r="O1431" t="str">
        <f t="shared" si="23"/>
        <v/>
      </c>
    </row>
    <row r="1432" spans="15:15" x14ac:dyDescent="0.3">
      <c r="O1432" t="str">
        <f t="shared" si="23"/>
        <v/>
      </c>
    </row>
    <row r="1433" spans="15:15" x14ac:dyDescent="0.3">
      <c r="O1433" t="str">
        <f t="shared" si="23"/>
        <v/>
      </c>
    </row>
    <row r="1434" spans="15:15" x14ac:dyDescent="0.3">
      <c r="O1434" t="str">
        <f t="shared" si="23"/>
        <v/>
      </c>
    </row>
    <row r="1435" spans="15:15" x14ac:dyDescent="0.3">
      <c r="O1435" t="str">
        <f t="shared" si="23"/>
        <v/>
      </c>
    </row>
    <row r="1436" spans="15:15" x14ac:dyDescent="0.3">
      <c r="O1436" t="str">
        <f t="shared" si="23"/>
        <v/>
      </c>
    </row>
    <row r="1437" spans="15:15" x14ac:dyDescent="0.3">
      <c r="O1437" t="str">
        <f t="shared" si="23"/>
        <v/>
      </c>
    </row>
    <row r="1438" spans="15:15" x14ac:dyDescent="0.3">
      <c r="O1438" t="str">
        <f t="shared" si="23"/>
        <v/>
      </c>
    </row>
    <row r="1439" spans="15:15" x14ac:dyDescent="0.3">
      <c r="O1439" t="str">
        <f t="shared" si="23"/>
        <v/>
      </c>
    </row>
    <row r="1440" spans="15:15" x14ac:dyDescent="0.3">
      <c r="O1440" t="str">
        <f t="shared" si="23"/>
        <v/>
      </c>
    </row>
    <row r="1441" spans="15:15" x14ac:dyDescent="0.3">
      <c r="O1441" t="str">
        <f t="shared" si="23"/>
        <v/>
      </c>
    </row>
    <row r="1442" spans="15:15" x14ac:dyDescent="0.3">
      <c r="O1442" t="str">
        <f t="shared" si="23"/>
        <v/>
      </c>
    </row>
    <row r="1443" spans="15:15" x14ac:dyDescent="0.3">
      <c r="O1443" t="str">
        <f t="shared" si="23"/>
        <v/>
      </c>
    </row>
    <row r="1444" spans="15:15" x14ac:dyDescent="0.3">
      <c r="O1444" t="str">
        <f t="shared" si="23"/>
        <v/>
      </c>
    </row>
    <row r="1445" spans="15:15" x14ac:dyDescent="0.3">
      <c r="O1445" t="str">
        <f t="shared" si="23"/>
        <v/>
      </c>
    </row>
    <row r="1446" spans="15:15" x14ac:dyDescent="0.3">
      <c r="O1446" t="str">
        <f t="shared" si="23"/>
        <v/>
      </c>
    </row>
    <row r="1447" spans="15:15" x14ac:dyDescent="0.3">
      <c r="O1447" t="str">
        <f t="shared" si="23"/>
        <v/>
      </c>
    </row>
    <row r="1448" spans="15:15" x14ac:dyDescent="0.3">
      <c r="O1448" t="str">
        <f t="shared" si="23"/>
        <v/>
      </c>
    </row>
    <row r="1449" spans="15:15" x14ac:dyDescent="0.3">
      <c r="O1449" t="str">
        <f t="shared" si="23"/>
        <v/>
      </c>
    </row>
    <row r="1450" spans="15:15" x14ac:dyDescent="0.3">
      <c r="O1450" t="str">
        <f t="shared" si="23"/>
        <v/>
      </c>
    </row>
    <row r="1451" spans="15:15" x14ac:dyDescent="0.3">
      <c r="O1451" t="str">
        <f t="shared" si="23"/>
        <v/>
      </c>
    </row>
    <row r="1452" spans="15:15" x14ac:dyDescent="0.3">
      <c r="O1452" t="str">
        <f t="shared" si="23"/>
        <v/>
      </c>
    </row>
    <row r="1453" spans="15:15" x14ac:dyDescent="0.3">
      <c r="O1453" t="str">
        <f t="shared" si="23"/>
        <v/>
      </c>
    </row>
    <row r="1454" spans="15:15" x14ac:dyDescent="0.3">
      <c r="O1454" t="str">
        <f t="shared" si="23"/>
        <v/>
      </c>
    </row>
    <row r="1455" spans="15:15" x14ac:dyDescent="0.3">
      <c r="O1455" t="str">
        <f t="shared" si="23"/>
        <v/>
      </c>
    </row>
    <row r="1456" spans="15:15" x14ac:dyDescent="0.3">
      <c r="O1456" t="str">
        <f t="shared" si="23"/>
        <v/>
      </c>
    </row>
    <row r="1457" spans="15:15" x14ac:dyDescent="0.3">
      <c r="O1457" t="str">
        <f t="shared" si="23"/>
        <v/>
      </c>
    </row>
    <row r="1458" spans="15:15" x14ac:dyDescent="0.3">
      <c r="O1458" t="str">
        <f t="shared" si="23"/>
        <v/>
      </c>
    </row>
    <row r="1459" spans="15:15" x14ac:dyDescent="0.3">
      <c r="O1459" t="str">
        <f t="shared" si="23"/>
        <v/>
      </c>
    </row>
    <row r="1460" spans="15:15" x14ac:dyDescent="0.3">
      <c r="O1460" t="str">
        <f t="shared" si="23"/>
        <v/>
      </c>
    </row>
    <row r="1461" spans="15:15" x14ac:dyDescent="0.3">
      <c r="O1461" t="str">
        <f t="shared" si="23"/>
        <v/>
      </c>
    </row>
    <row r="1462" spans="15:15" x14ac:dyDescent="0.3">
      <c r="O1462" t="str">
        <f t="shared" si="23"/>
        <v/>
      </c>
    </row>
    <row r="1463" spans="15:15" x14ac:dyDescent="0.3">
      <c r="O1463" t="str">
        <f t="shared" si="23"/>
        <v/>
      </c>
    </row>
    <row r="1464" spans="15:15" x14ac:dyDescent="0.3">
      <c r="O1464" t="str">
        <f t="shared" si="23"/>
        <v/>
      </c>
    </row>
    <row r="1465" spans="15:15" x14ac:dyDescent="0.3">
      <c r="O1465" t="str">
        <f t="shared" si="23"/>
        <v/>
      </c>
    </row>
    <row r="1466" spans="15:15" x14ac:dyDescent="0.3">
      <c r="O1466" t="str">
        <f t="shared" si="23"/>
        <v/>
      </c>
    </row>
    <row r="1467" spans="15:15" x14ac:dyDescent="0.3">
      <c r="O1467" t="str">
        <f t="shared" si="23"/>
        <v/>
      </c>
    </row>
    <row r="1468" spans="15:15" x14ac:dyDescent="0.3">
      <c r="O1468" t="str">
        <f t="shared" si="23"/>
        <v/>
      </c>
    </row>
    <row r="1469" spans="15:15" x14ac:dyDescent="0.3">
      <c r="O1469" t="str">
        <f t="shared" si="23"/>
        <v/>
      </c>
    </row>
    <row r="1470" spans="15:15" x14ac:dyDescent="0.3">
      <c r="O1470" t="str">
        <f t="shared" si="23"/>
        <v/>
      </c>
    </row>
    <row r="1471" spans="15:15" x14ac:dyDescent="0.3">
      <c r="O1471" t="str">
        <f t="shared" si="23"/>
        <v/>
      </c>
    </row>
    <row r="1472" spans="15:15" x14ac:dyDescent="0.3">
      <c r="O1472" t="str">
        <f t="shared" si="23"/>
        <v/>
      </c>
    </row>
    <row r="1473" spans="15:15" x14ac:dyDescent="0.3">
      <c r="O1473" t="str">
        <f t="shared" si="23"/>
        <v/>
      </c>
    </row>
    <row r="1474" spans="15:15" x14ac:dyDescent="0.3">
      <c r="O1474" t="str">
        <f t="shared" si="23"/>
        <v/>
      </c>
    </row>
    <row r="1475" spans="15:15" x14ac:dyDescent="0.3">
      <c r="O1475" t="str">
        <f t="shared" si="23"/>
        <v/>
      </c>
    </row>
    <row r="1476" spans="15:15" x14ac:dyDescent="0.3">
      <c r="O1476" t="str">
        <f t="shared" si="23"/>
        <v/>
      </c>
    </row>
    <row r="1477" spans="15:15" x14ac:dyDescent="0.3">
      <c r="O1477" t="str">
        <f t="shared" si="23"/>
        <v/>
      </c>
    </row>
    <row r="1478" spans="15:15" x14ac:dyDescent="0.3">
      <c r="O1478" t="str">
        <f t="shared" si="23"/>
        <v/>
      </c>
    </row>
    <row r="1479" spans="15:15" x14ac:dyDescent="0.3">
      <c r="O1479" t="str">
        <f t="shared" si="23"/>
        <v/>
      </c>
    </row>
    <row r="1480" spans="15:15" x14ac:dyDescent="0.3">
      <c r="O1480" t="str">
        <f t="shared" si="23"/>
        <v/>
      </c>
    </row>
    <row r="1481" spans="15:15" x14ac:dyDescent="0.3">
      <c r="O1481" t="str">
        <f t="shared" si="23"/>
        <v/>
      </c>
    </row>
    <row r="1482" spans="15:15" x14ac:dyDescent="0.3">
      <c r="O1482" t="str">
        <f t="shared" ref="O1482:O1545" si="24">IF(P1482="","",O1481+1)</f>
        <v/>
      </c>
    </row>
    <row r="1483" spans="15:15" x14ac:dyDescent="0.3">
      <c r="O1483" t="str">
        <f t="shared" si="24"/>
        <v/>
      </c>
    </row>
    <row r="1484" spans="15:15" x14ac:dyDescent="0.3">
      <c r="O1484" t="str">
        <f t="shared" si="24"/>
        <v/>
      </c>
    </row>
    <row r="1485" spans="15:15" x14ac:dyDescent="0.3">
      <c r="O1485" t="str">
        <f t="shared" si="24"/>
        <v/>
      </c>
    </row>
    <row r="1486" spans="15:15" x14ac:dyDescent="0.3">
      <c r="O1486" t="str">
        <f t="shared" si="24"/>
        <v/>
      </c>
    </row>
    <row r="1487" spans="15:15" x14ac:dyDescent="0.3">
      <c r="O1487" t="str">
        <f t="shared" si="24"/>
        <v/>
      </c>
    </row>
    <row r="1488" spans="15:15" x14ac:dyDescent="0.3">
      <c r="O1488" t="str">
        <f t="shared" si="24"/>
        <v/>
      </c>
    </row>
    <row r="1489" spans="15:15" x14ac:dyDescent="0.3">
      <c r="O1489" t="str">
        <f t="shared" si="24"/>
        <v/>
      </c>
    </row>
    <row r="1490" spans="15:15" x14ac:dyDescent="0.3">
      <c r="O1490" t="str">
        <f t="shared" si="24"/>
        <v/>
      </c>
    </row>
    <row r="1491" spans="15:15" x14ac:dyDescent="0.3">
      <c r="O1491" t="str">
        <f t="shared" si="24"/>
        <v/>
      </c>
    </row>
    <row r="1492" spans="15:15" x14ac:dyDescent="0.3">
      <c r="O1492" t="str">
        <f t="shared" si="24"/>
        <v/>
      </c>
    </row>
    <row r="1493" spans="15:15" x14ac:dyDescent="0.3">
      <c r="O1493" t="str">
        <f t="shared" si="24"/>
        <v/>
      </c>
    </row>
    <row r="1494" spans="15:15" x14ac:dyDescent="0.3">
      <c r="O1494" t="str">
        <f t="shared" si="24"/>
        <v/>
      </c>
    </row>
    <row r="1495" spans="15:15" x14ac:dyDescent="0.3">
      <c r="O1495" t="str">
        <f t="shared" si="24"/>
        <v/>
      </c>
    </row>
    <row r="1496" spans="15:15" x14ac:dyDescent="0.3">
      <c r="O1496" t="str">
        <f t="shared" si="24"/>
        <v/>
      </c>
    </row>
    <row r="1497" spans="15:15" x14ac:dyDescent="0.3">
      <c r="O1497" t="str">
        <f t="shared" si="24"/>
        <v/>
      </c>
    </row>
    <row r="1498" spans="15:15" x14ac:dyDescent="0.3">
      <c r="O1498" t="str">
        <f t="shared" si="24"/>
        <v/>
      </c>
    </row>
    <row r="1499" spans="15:15" x14ac:dyDescent="0.3">
      <c r="O1499" t="str">
        <f t="shared" si="24"/>
        <v/>
      </c>
    </row>
    <row r="1500" spans="15:15" x14ac:dyDescent="0.3">
      <c r="O1500" t="str">
        <f t="shared" si="24"/>
        <v/>
      </c>
    </row>
    <row r="1501" spans="15:15" x14ac:dyDescent="0.3">
      <c r="O1501" t="str">
        <f t="shared" si="24"/>
        <v/>
      </c>
    </row>
    <row r="1502" spans="15:15" x14ac:dyDescent="0.3">
      <c r="O1502" t="str">
        <f t="shared" si="24"/>
        <v/>
      </c>
    </row>
    <row r="1503" spans="15:15" x14ac:dyDescent="0.3">
      <c r="O1503" t="str">
        <f t="shared" si="24"/>
        <v/>
      </c>
    </row>
    <row r="1504" spans="15:15" x14ac:dyDescent="0.3">
      <c r="O1504" t="str">
        <f t="shared" si="24"/>
        <v/>
      </c>
    </row>
    <row r="1505" spans="15:15" x14ac:dyDescent="0.3">
      <c r="O1505" t="str">
        <f t="shared" si="24"/>
        <v/>
      </c>
    </row>
    <row r="1506" spans="15:15" x14ac:dyDescent="0.3">
      <c r="O1506" t="str">
        <f t="shared" si="24"/>
        <v/>
      </c>
    </row>
    <row r="1507" spans="15:15" x14ac:dyDescent="0.3">
      <c r="O1507" t="str">
        <f t="shared" si="24"/>
        <v/>
      </c>
    </row>
    <row r="1508" spans="15:15" x14ac:dyDescent="0.3">
      <c r="O1508" t="str">
        <f t="shared" si="24"/>
        <v/>
      </c>
    </row>
    <row r="1509" spans="15:15" x14ac:dyDescent="0.3">
      <c r="O1509" t="str">
        <f t="shared" si="24"/>
        <v/>
      </c>
    </row>
    <row r="1510" spans="15:15" x14ac:dyDescent="0.3">
      <c r="O1510" t="str">
        <f t="shared" si="24"/>
        <v/>
      </c>
    </row>
    <row r="1511" spans="15:15" x14ac:dyDescent="0.3">
      <c r="O1511" t="str">
        <f t="shared" si="24"/>
        <v/>
      </c>
    </row>
    <row r="1512" spans="15:15" x14ac:dyDescent="0.3">
      <c r="O1512" t="str">
        <f t="shared" si="24"/>
        <v/>
      </c>
    </row>
    <row r="1513" spans="15:15" x14ac:dyDescent="0.3">
      <c r="O1513" t="str">
        <f t="shared" si="24"/>
        <v/>
      </c>
    </row>
    <row r="1514" spans="15:15" x14ac:dyDescent="0.3">
      <c r="O1514" t="str">
        <f t="shared" si="24"/>
        <v/>
      </c>
    </row>
    <row r="1515" spans="15:15" x14ac:dyDescent="0.3">
      <c r="O1515" t="str">
        <f t="shared" si="24"/>
        <v/>
      </c>
    </row>
    <row r="1516" spans="15:15" x14ac:dyDescent="0.3">
      <c r="O1516" t="str">
        <f t="shared" si="24"/>
        <v/>
      </c>
    </row>
    <row r="1517" spans="15:15" x14ac:dyDescent="0.3">
      <c r="O1517" t="str">
        <f t="shared" si="24"/>
        <v/>
      </c>
    </row>
    <row r="1518" spans="15:15" x14ac:dyDescent="0.3">
      <c r="O1518" t="str">
        <f t="shared" si="24"/>
        <v/>
      </c>
    </row>
    <row r="1519" spans="15:15" x14ac:dyDescent="0.3">
      <c r="O1519" t="str">
        <f t="shared" si="24"/>
        <v/>
      </c>
    </row>
    <row r="1520" spans="15:15" x14ac:dyDescent="0.3">
      <c r="O1520" t="str">
        <f t="shared" si="24"/>
        <v/>
      </c>
    </row>
    <row r="1521" spans="15:15" x14ac:dyDescent="0.3">
      <c r="O1521" t="str">
        <f t="shared" si="24"/>
        <v/>
      </c>
    </row>
    <row r="1522" spans="15:15" x14ac:dyDescent="0.3">
      <c r="O1522" t="str">
        <f t="shared" si="24"/>
        <v/>
      </c>
    </row>
    <row r="1523" spans="15:15" x14ac:dyDescent="0.3">
      <c r="O1523" t="str">
        <f t="shared" si="24"/>
        <v/>
      </c>
    </row>
    <row r="1524" spans="15:15" x14ac:dyDescent="0.3">
      <c r="O1524" t="str">
        <f t="shared" si="24"/>
        <v/>
      </c>
    </row>
    <row r="1525" spans="15:15" x14ac:dyDescent="0.3">
      <c r="O1525" t="str">
        <f t="shared" si="24"/>
        <v/>
      </c>
    </row>
    <row r="1526" spans="15:15" x14ac:dyDescent="0.3">
      <c r="O1526" t="str">
        <f t="shared" si="24"/>
        <v/>
      </c>
    </row>
    <row r="1527" spans="15:15" x14ac:dyDescent="0.3">
      <c r="O1527" t="str">
        <f t="shared" si="24"/>
        <v/>
      </c>
    </row>
    <row r="1528" spans="15:15" x14ac:dyDescent="0.3">
      <c r="O1528" t="str">
        <f t="shared" si="24"/>
        <v/>
      </c>
    </row>
    <row r="1529" spans="15:15" x14ac:dyDescent="0.3">
      <c r="O1529" t="str">
        <f t="shared" si="24"/>
        <v/>
      </c>
    </row>
    <row r="1530" spans="15:15" x14ac:dyDescent="0.3">
      <c r="O1530" t="str">
        <f t="shared" si="24"/>
        <v/>
      </c>
    </row>
    <row r="1531" spans="15:15" x14ac:dyDescent="0.3">
      <c r="O1531" t="str">
        <f t="shared" si="24"/>
        <v/>
      </c>
    </row>
    <row r="1532" spans="15:15" x14ac:dyDescent="0.3">
      <c r="O1532" t="str">
        <f t="shared" si="24"/>
        <v/>
      </c>
    </row>
    <row r="1533" spans="15:15" x14ac:dyDescent="0.3">
      <c r="O1533" t="str">
        <f t="shared" si="24"/>
        <v/>
      </c>
    </row>
    <row r="1534" spans="15:15" x14ac:dyDescent="0.3">
      <c r="O1534" t="str">
        <f t="shared" si="24"/>
        <v/>
      </c>
    </row>
    <row r="1535" spans="15:15" x14ac:dyDescent="0.3">
      <c r="O1535" t="str">
        <f t="shared" si="24"/>
        <v/>
      </c>
    </row>
    <row r="1536" spans="15:15" x14ac:dyDescent="0.3">
      <c r="O1536" t="str">
        <f t="shared" si="24"/>
        <v/>
      </c>
    </row>
    <row r="1537" spans="15:15" x14ac:dyDescent="0.3">
      <c r="O1537" t="str">
        <f t="shared" si="24"/>
        <v/>
      </c>
    </row>
    <row r="1538" spans="15:15" x14ac:dyDescent="0.3">
      <c r="O1538" t="str">
        <f t="shared" si="24"/>
        <v/>
      </c>
    </row>
    <row r="1539" spans="15:15" x14ac:dyDescent="0.3">
      <c r="O1539" t="str">
        <f t="shared" si="24"/>
        <v/>
      </c>
    </row>
    <row r="1540" spans="15:15" x14ac:dyDescent="0.3">
      <c r="O1540" t="str">
        <f t="shared" si="24"/>
        <v/>
      </c>
    </row>
    <row r="1541" spans="15:15" x14ac:dyDescent="0.3">
      <c r="O1541" t="str">
        <f t="shared" si="24"/>
        <v/>
      </c>
    </row>
    <row r="1542" spans="15:15" x14ac:dyDescent="0.3">
      <c r="O1542" t="str">
        <f t="shared" si="24"/>
        <v/>
      </c>
    </row>
    <row r="1543" spans="15:15" x14ac:dyDescent="0.3">
      <c r="O1543" t="str">
        <f t="shared" si="24"/>
        <v/>
      </c>
    </row>
    <row r="1544" spans="15:15" x14ac:dyDescent="0.3">
      <c r="O1544" t="str">
        <f t="shared" si="24"/>
        <v/>
      </c>
    </row>
    <row r="1545" spans="15:15" x14ac:dyDescent="0.3">
      <c r="O1545" t="str">
        <f t="shared" si="24"/>
        <v/>
      </c>
    </row>
    <row r="1546" spans="15:15" x14ac:dyDescent="0.3">
      <c r="O1546" t="str">
        <f t="shared" ref="O1546:O1609" si="25">IF(P1546="","",O1545+1)</f>
        <v/>
      </c>
    </row>
    <row r="1547" spans="15:15" x14ac:dyDescent="0.3">
      <c r="O1547" t="str">
        <f t="shared" si="25"/>
        <v/>
      </c>
    </row>
    <row r="1548" spans="15:15" x14ac:dyDescent="0.3">
      <c r="O1548" t="str">
        <f t="shared" si="25"/>
        <v/>
      </c>
    </row>
    <row r="1549" spans="15:15" x14ac:dyDescent="0.3">
      <c r="O1549" t="str">
        <f t="shared" si="25"/>
        <v/>
      </c>
    </row>
    <row r="1550" spans="15:15" x14ac:dyDescent="0.3">
      <c r="O1550" t="str">
        <f t="shared" si="25"/>
        <v/>
      </c>
    </row>
    <row r="1551" spans="15:15" x14ac:dyDescent="0.3">
      <c r="O1551" t="str">
        <f t="shared" si="25"/>
        <v/>
      </c>
    </row>
    <row r="1552" spans="15:15" x14ac:dyDescent="0.3">
      <c r="O1552" t="str">
        <f t="shared" si="25"/>
        <v/>
      </c>
    </row>
    <row r="1553" spans="15:15" x14ac:dyDescent="0.3">
      <c r="O1553" t="str">
        <f t="shared" si="25"/>
        <v/>
      </c>
    </row>
    <row r="1554" spans="15:15" x14ac:dyDescent="0.3">
      <c r="O1554" t="str">
        <f t="shared" si="25"/>
        <v/>
      </c>
    </row>
    <row r="1555" spans="15:15" x14ac:dyDescent="0.3">
      <c r="O1555" t="str">
        <f t="shared" si="25"/>
        <v/>
      </c>
    </row>
    <row r="1556" spans="15:15" x14ac:dyDescent="0.3">
      <c r="O1556" t="str">
        <f t="shared" si="25"/>
        <v/>
      </c>
    </row>
    <row r="1557" spans="15:15" x14ac:dyDescent="0.3">
      <c r="O1557" t="str">
        <f t="shared" si="25"/>
        <v/>
      </c>
    </row>
    <row r="1558" spans="15:15" x14ac:dyDescent="0.3">
      <c r="O1558" t="str">
        <f t="shared" si="25"/>
        <v/>
      </c>
    </row>
    <row r="1559" spans="15:15" x14ac:dyDescent="0.3">
      <c r="O1559" t="str">
        <f t="shared" si="25"/>
        <v/>
      </c>
    </row>
    <row r="1560" spans="15:15" x14ac:dyDescent="0.3">
      <c r="O1560" t="str">
        <f t="shared" si="25"/>
        <v/>
      </c>
    </row>
    <row r="1561" spans="15:15" x14ac:dyDescent="0.3">
      <c r="O1561" t="str">
        <f t="shared" si="25"/>
        <v/>
      </c>
    </row>
    <row r="1562" spans="15:15" x14ac:dyDescent="0.3">
      <c r="O1562" t="str">
        <f t="shared" si="25"/>
        <v/>
      </c>
    </row>
    <row r="1563" spans="15:15" x14ac:dyDescent="0.3">
      <c r="O1563" t="str">
        <f t="shared" si="25"/>
        <v/>
      </c>
    </row>
    <row r="1564" spans="15:15" x14ac:dyDescent="0.3">
      <c r="O1564" t="str">
        <f t="shared" si="25"/>
        <v/>
      </c>
    </row>
    <row r="1565" spans="15:15" x14ac:dyDescent="0.3">
      <c r="O1565" t="str">
        <f t="shared" si="25"/>
        <v/>
      </c>
    </row>
    <row r="1566" spans="15:15" x14ac:dyDescent="0.3">
      <c r="O1566" t="str">
        <f t="shared" si="25"/>
        <v/>
      </c>
    </row>
    <row r="1567" spans="15:15" x14ac:dyDescent="0.3">
      <c r="O1567" t="str">
        <f t="shared" si="25"/>
        <v/>
      </c>
    </row>
    <row r="1568" spans="15:15" x14ac:dyDescent="0.3">
      <c r="O1568" t="str">
        <f t="shared" si="25"/>
        <v/>
      </c>
    </row>
    <row r="1569" spans="15:15" x14ac:dyDescent="0.3">
      <c r="O1569" t="str">
        <f t="shared" si="25"/>
        <v/>
      </c>
    </row>
    <row r="1570" spans="15:15" x14ac:dyDescent="0.3">
      <c r="O1570" t="str">
        <f t="shared" si="25"/>
        <v/>
      </c>
    </row>
    <row r="1571" spans="15:15" x14ac:dyDescent="0.3">
      <c r="O1571" t="str">
        <f t="shared" si="25"/>
        <v/>
      </c>
    </row>
    <row r="1572" spans="15:15" x14ac:dyDescent="0.3">
      <c r="O1572" t="str">
        <f t="shared" si="25"/>
        <v/>
      </c>
    </row>
    <row r="1573" spans="15:15" x14ac:dyDescent="0.3">
      <c r="O1573" t="str">
        <f t="shared" si="25"/>
        <v/>
      </c>
    </row>
    <row r="1574" spans="15:15" x14ac:dyDescent="0.3">
      <c r="O1574" t="str">
        <f t="shared" si="25"/>
        <v/>
      </c>
    </row>
    <row r="1575" spans="15:15" x14ac:dyDescent="0.3">
      <c r="O1575" t="str">
        <f t="shared" si="25"/>
        <v/>
      </c>
    </row>
    <row r="1576" spans="15:15" x14ac:dyDescent="0.3">
      <c r="O1576" t="str">
        <f t="shared" si="25"/>
        <v/>
      </c>
    </row>
    <row r="1577" spans="15:15" x14ac:dyDescent="0.3">
      <c r="O1577" t="str">
        <f t="shared" si="25"/>
        <v/>
      </c>
    </row>
    <row r="1578" spans="15:15" x14ac:dyDescent="0.3">
      <c r="O1578" t="str">
        <f t="shared" si="25"/>
        <v/>
      </c>
    </row>
    <row r="1579" spans="15:15" x14ac:dyDescent="0.3">
      <c r="O1579" t="str">
        <f t="shared" si="25"/>
        <v/>
      </c>
    </row>
    <row r="1580" spans="15:15" x14ac:dyDescent="0.3">
      <c r="O1580" t="str">
        <f t="shared" si="25"/>
        <v/>
      </c>
    </row>
    <row r="1581" spans="15:15" x14ac:dyDescent="0.3">
      <c r="O1581" t="str">
        <f t="shared" si="25"/>
        <v/>
      </c>
    </row>
    <row r="1582" spans="15:15" x14ac:dyDescent="0.3">
      <c r="O1582" t="str">
        <f t="shared" si="25"/>
        <v/>
      </c>
    </row>
    <row r="1583" spans="15:15" x14ac:dyDescent="0.3">
      <c r="O1583" t="str">
        <f t="shared" si="25"/>
        <v/>
      </c>
    </row>
    <row r="1584" spans="15:15" x14ac:dyDescent="0.3">
      <c r="O1584" t="str">
        <f t="shared" si="25"/>
        <v/>
      </c>
    </row>
    <row r="1585" spans="15:15" x14ac:dyDescent="0.3">
      <c r="O1585" t="str">
        <f t="shared" si="25"/>
        <v/>
      </c>
    </row>
    <row r="1586" spans="15:15" x14ac:dyDescent="0.3">
      <c r="O1586" t="str">
        <f t="shared" si="25"/>
        <v/>
      </c>
    </row>
    <row r="1587" spans="15:15" x14ac:dyDescent="0.3">
      <c r="O1587" t="str">
        <f t="shared" si="25"/>
        <v/>
      </c>
    </row>
    <row r="1588" spans="15:15" x14ac:dyDescent="0.3">
      <c r="O1588" t="str">
        <f t="shared" si="25"/>
        <v/>
      </c>
    </row>
    <row r="1589" spans="15:15" x14ac:dyDescent="0.3">
      <c r="O1589" t="str">
        <f t="shared" si="25"/>
        <v/>
      </c>
    </row>
    <row r="1590" spans="15:15" x14ac:dyDescent="0.3">
      <c r="O1590" t="str">
        <f t="shared" si="25"/>
        <v/>
      </c>
    </row>
    <row r="1591" spans="15:15" x14ac:dyDescent="0.3">
      <c r="O1591" t="str">
        <f t="shared" si="25"/>
        <v/>
      </c>
    </row>
    <row r="1592" spans="15:15" x14ac:dyDescent="0.3">
      <c r="O1592" t="str">
        <f t="shared" si="25"/>
        <v/>
      </c>
    </row>
    <row r="1593" spans="15:15" x14ac:dyDescent="0.3">
      <c r="O1593" t="str">
        <f t="shared" si="25"/>
        <v/>
      </c>
    </row>
    <row r="1594" spans="15:15" x14ac:dyDescent="0.3">
      <c r="O1594" t="str">
        <f t="shared" si="25"/>
        <v/>
      </c>
    </row>
    <row r="1595" spans="15:15" x14ac:dyDescent="0.3">
      <c r="O1595" t="str">
        <f t="shared" si="25"/>
        <v/>
      </c>
    </row>
    <row r="1596" spans="15:15" x14ac:dyDescent="0.3">
      <c r="O1596" t="str">
        <f t="shared" si="25"/>
        <v/>
      </c>
    </row>
    <row r="1597" spans="15:15" x14ac:dyDescent="0.3">
      <c r="O1597" t="str">
        <f t="shared" si="25"/>
        <v/>
      </c>
    </row>
    <row r="1598" spans="15:15" x14ac:dyDescent="0.3">
      <c r="O1598" t="str">
        <f t="shared" si="25"/>
        <v/>
      </c>
    </row>
    <row r="1599" spans="15:15" x14ac:dyDescent="0.3">
      <c r="O1599" t="str">
        <f t="shared" si="25"/>
        <v/>
      </c>
    </row>
    <row r="1600" spans="15:15" x14ac:dyDescent="0.3">
      <c r="O1600" t="str">
        <f t="shared" si="25"/>
        <v/>
      </c>
    </row>
    <row r="1601" spans="15:15" x14ac:dyDescent="0.3">
      <c r="O1601" t="str">
        <f t="shared" si="25"/>
        <v/>
      </c>
    </row>
    <row r="1602" spans="15:15" x14ac:dyDescent="0.3">
      <c r="O1602" t="str">
        <f t="shared" si="25"/>
        <v/>
      </c>
    </row>
    <row r="1603" spans="15:15" x14ac:dyDescent="0.3">
      <c r="O1603" t="str">
        <f t="shared" si="25"/>
        <v/>
      </c>
    </row>
    <row r="1604" spans="15:15" x14ac:dyDescent="0.3">
      <c r="O1604" t="str">
        <f t="shared" si="25"/>
        <v/>
      </c>
    </row>
    <row r="1605" spans="15:15" x14ac:dyDescent="0.3">
      <c r="O1605" t="str">
        <f t="shared" si="25"/>
        <v/>
      </c>
    </row>
    <row r="1606" spans="15:15" x14ac:dyDescent="0.3">
      <c r="O1606" t="str">
        <f t="shared" si="25"/>
        <v/>
      </c>
    </row>
    <row r="1607" spans="15:15" x14ac:dyDescent="0.3">
      <c r="O1607" t="str">
        <f t="shared" si="25"/>
        <v/>
      </c>
    </row>
    <row r="1608" spans="15:15" x14ac:dyDescent="0.3">
      <c r="O1608" t="str">
        <f t="shared" si="25"/>
        <v/>
      </c>
    </row>
    <row r="1609" spans="15:15" x14ac:dyDescent="0.3">
      <c r="O1609" t="str">
        <f t="shared" si="25"/>
        <v/>
      </c>
    </row>
    <row r="1610" spans="15:15" x14ac:dyDescent="0.3">
      <c r="O1610" t="str">
        <f t="shared" ref="O1610:O1673" si="26">IF(P1610="","",O1609+1)</f>
        <v/>
      </c>
    </row>
    <row r="1611" spans="15:15" x14ac:dyDescent="0.3">
      <c r="O1611" t="str">
        <f t="shared" si="26"/>
        <v/>
      </c>
    </row>
    <row r="1612" spans="15:15" x14ac:dyDescent="0.3">
      <c r="O1612" t="str">
        <f t="shared" si="26"/>
        <v/>
      </c>
    </row>
    <row r="1613" spans="15:15" x14ac:dyDescent="0.3">
      <c r="O1613" t="str">
        <f t="shared" si="26"/>
        <v/>
      </c>
    </row>
    <row r="1614" spans="15:15" x14ac:dyDescent="0.3">
      <c r="O1614" t="str">
        <f t="shared" si="26"/>
        <v/>
      </c>
    </row>
    <row r="1615" spans="15:15" x14ac:dyDescent="0.3">
      <c r="O1615" t="str">
        <f t="shared" si="26"/>
        <v/>
      </c>
    </row>
    <row r="1616" spans="15:15" x14ac:dyDescent="0.3">
      <c r="O1616" t="str">
        <f t="shared" si="26"/>
        <v/>
      </c>
    </row>
    <row r="1617" spans="15:15" x14ac:dyDescent="0.3">
      <c r="O1617" t="str">
        <f t="shared" si="26"/>
        <v/>
      </c>
    </row>
    <row r="1618" spans="15:15" x14ac:dyDescent="0.3">
      <c r="O1618" t="str">
        <f t="shared" si="26"/>
        <v/>
      </c>
    </row>
    <row r="1619" spans="15:15" x14ac:dyDescent="0.3">
      <c r="O1619" t="str">
        <f t="shared" si="26"/>
        <v/>
      </c>
    </row>
    <row r="1620" spans="15:15" x14ac:dyDescent="0.3">
      <c r="O1620" t="str">
        <f t="shared" si="26"/>
        <v/>
      </c>
    </row>
    <row r="1621" spans="15:15" x14ac:dyDescent="0.3">
      <c r="O1621" t="str">
        <f t="shared" si="26"/>
        <v/>
      </c>
    </row>
    <row r="1622" spans="15:15" x14ac:dyDescent="0.3">
      <c r="O1622" t="str">
        <f t="shared" si="26"/>
        <v/>
      </c>
    </row>
    <row r="1623" spans="15:15" x14ac:dyDescent="0.3">
      <c r="O1623" t="str">
        <f t="shared" si="26"/>
        <v/>
      </c>
    </row>
    <row r="1624" spans="15:15" x14ac:dyDescent="0.3">
      <c r="O1624" t="str">
        <f t="shared" si="26"/>
        <v/>
      </c>
    </row>
    <row r="1625" spans="15:15" x14ac:dyDescent="0.3">
      <c r="O1625" t="str">
        <f t="shared" si="26"/>
        <v/>
      </c>
    </row>
    <row r="1626" spans="15:15" x14ac:dyDescent="0.3">
      <c r="O1626" t="str">
        <f t="shared" si="26"/>
        <v/>
      </c>
    </row>
    <row r="1627" spans="15:15" x14ac:dyDescent="0.3">
      <c r="O1627" t="str">
        <f t="shared" si="26"/>
        <v/>
      </c>
    </row>
    <row r="1628" spans="15:15" x14ac:dyDescent="0.3">
      <c r="O1628" t="str">
        <f t="shared" si="26"/>
        <v/>
      </c>
    </row>
    <row r="1629" spans="15:15" x14ac:dyDescent="0.3">
      <c r="O1629" t="str">
        <f t="shared" si="26"/>
        <v/>
      </c>
    </row>
    <row r="1630" spans="15:15" x14ac:dyDescent="0.3">
      <c r="O1630" t="str">
        <f t="shared" si="26"/>
        <v/>
      </c>
    </row>
    <row r="1631" spans="15:15" x14ac:dyDescent="0.3">
      <c r="O1631" t="str">
        <f t="shared" si="26"/>
        <v/>
      </c>
    </row>
    <row r="1632" spans="15:15" x14ac:dyDescent="0.3">
      <c r="O1632" t="str">
        <f t="shared" si="26"/>
        <v/>
      </c>
    </row>
    <row r="1633" spans="15:15" x14ac:dyDescent="0.3">
      <c r="O1633" t="str">
        <f t="shared" si="26"/>
        <v/>
      </c>
    </row>
    <row r="1634" spans="15:15" x14ac:dyDescent="0.3">
      <c r="O1634" t="str">
        <f t="shared" si="26"/>
        <v/>
      </c>
    </row>
    <row r="1635" spans="15:15" x14ac:dyDescent="0.3">
      <c r="O1635" t="str">
        <f t="shared" si="26"/>
        <v/>
      </c>
    </row>
    <row r="1636" spans="15:15" x14ac:dyDescent="0.3">
      <c r="O1636" t="str">
        <f t="shared" si="26"/>
        <v/>
      </c>
    </row>
    <row r="1637" spans="15:15" x14ac:dyDescent="0.3">
      <c r="O1637" t="str">
        <f t="shared" si="26"/>
        <v/>
      </c>
    </row>
    <row r="1638" spans="15:15" x14ac:dyDescent="0.3">
      <c r="O1638" t="str">
        <f t="shared" si="26"/>
        <v/>
      </c>
    </row>
    <row r="1639" spans="15:15" x14ac:dyDescent="0.3">
      <c r="O1639" t="str">
        <f t="shared" si="26"/>
        <v/>
      </c>
    </row>
    <row r="1640" spans="15:15" x14ac:dyDescent="0.3">
      <c r="O1640" t="str">
        <f t="shared" si="26"/>
        <v/>
      </c>
    </row>
    <row r="1641" spans="15:15" x14ac:dyDescent="0.3">
      <c r="O1641" t="str">
        <f t="shared" si="26"/>
        <v/>
      </c>
    </row>
    <row r="1642" spans="15:15" x14ac:dyDescent="0.3">
      <c r="O1642" t="str">
        <f t="shared" si="26"/>
        <v/>
      </c>
    </row>
    <row r="1643" spans="15:15" x14ac:dyDescent="0.3">
      <c r="O1643" t="str">
        <f t="shared" si="26"/>
        <v/>
      </c>
    </row>
    <row r="1644" spans="15:15" x14ac:dyDescent="0.3">
      <c r="O1644" t="str">
        <f t="shared" si="26"/>
        <v/>
      </c>
    </row>
    <row r="1645" spans="15:15" x14ac:dyDescent="0.3">
      <c r="O1645" t="str">
        <f t="shared" si="26"/>
        <v/>
      </c>
    </row>
    <row r="1646" spans="15:15" x14ac:dyDescent="0.3">
      <c r="O1646" t="str">
        <f t="shared" si="26"/>
        <v/>
      </c>
    </row>
    <row r="1647" spans="15:15" x14ac:dyDescent="0.3">
      <c r="O1647" t="str">
        <f t="shared" si="26"/>
        <v/>
      </c>
    </row>
    <row r="1648" spans="15:15" x14ac:dyDescent="0.3">
      <c r="O1648" t="str">
        <f t="shared" si="26"/>
        <v/>
      </c>
    </row>
    <row r="1649" spans="15:15" x14ac:dyDescent="0.3">
      <c r="O1649" t="str">
        <f t="shared" si="26"/>
        <v/>
      </c>
    </row>
    <row r="1650" spans="15:15" x14ac:dyDescent="0.3">
      <c r="O1650" t="str">
        <f t="shared" si="26"/>
        <v/>
      </c>
    </row>
    <row r="1651" spans="15:15" x14ac:dyDescent="0.3">
      <c r="O1651" t="str">
        <f t="shared" si="26"/>
        <v/>
      </c>
    </row>
    <row r="1652" spans="15:15" x14ac:dyDescent="0.3">
      <c r="O1652" t="str">
        <f t="shared" si="26"/>
        <v/>
      </c>
    </row>
    <row r="1653" spans="15:15" x14ac:dyDescent="0.3">
      <c r="O1653" t="str">
        <f t="shared" si="26"/>
        <v/>
      </c>
    </row>
    <row r="1654" spans="15:15" x14ac:dyDescent="0.3">
      <c r="O1654" t="str">
        <f t="shared" si="26"/>
        <v/>
      </c>
    </row>
    <row r="1655" spans="15:15" x14ac:dyDescent="0.3">
      <c r="O1655" t="str">
        <f t="shared" si="26"/>
        <v/>
      </c>
    </row>
    <row r="1656" spans="15:15" x14ac:dyDescent="0.3">
      <c r="O1656" t="str">
        <f t="shared" si="26"/>
        <v/>
      </c>
    </row>
    <row r="1657" spans="15:15" x14ac:dyDescent="0.3">
      <c r="O1657" t="str">
        <f t="shared" si="26"/>
        <v/>
      </c>
    </row>
    <row r="1658" spans="15:15" x14ac:dyDescent="0.3">
      <c r="O1658" t="str">
        <f t="shared" si="26"/>
        <v/>
      </c>
    </row>
    <row r="1659" spans="15:15" x14ac:dyDescent="0.3">
      <c r="O1659" t="str">
        <f t="shared" si="26"/>
        <v/>
      </c>
    </row>
    <row r="1660" spans="15:15" x14ac:dyDescent="0.3">
      <c r="O1660" t="str">
        <f t="shared" si="26"/>
        <v/>
      </c>
    </row>
    <row r="1661" spans="15:15" x14ac:dyDescent="0.3">
      <c r="O1661" t="str">
        <f t="shared" si="26"/>
        <v/>
      </c>
    </row>
    <row r="1662" spans="15:15" x14ac:dyDescent="0.3">
      <c r="O1662" t="str">
        <f t="shared" si="26"/>
        <v/>
      </c>
    </row>
    <row r="1663" spans="15:15" x14ac:dyDescent="0.3">
      <c r="O1663" t="str">
        <f t="shared" si="26"/>
        <v/>
      </c>
    </row>
    <row r="1664" spans="15:15" x14ac:dyDescent="0.3">
      <c r="O1664" t="str">
        <f t="shared" si="26"/>
        <v/>
      </c>
    </row>
    <row r="1665" spans="15:15" x14ac:dyDescent="0.3">
      <c r="O1665" t="str">
        <f t="shared" si="26"/>
        <v/>
      </c>
    </row>
    <row r="1666" spans="15:15" x14ac:dyDescent="0.3">
      <c r="O1666" t="str">
        <f t="shared" si="26"/>
        <v/>
      </c>
    </row>
    <row r="1667" spans="15:15" x14ac:dyDescent="0.3">
      <c r="O1667" t="str">
        <f t="shared" si="26"/>
        <v/>
      </c>
    </row>
    <row r="1668" spans="15:15" x14ac:dyDescent="0.3">
      <c r="O1668" t="str">
        <f t="shared" si="26"/>
        <v/>
      </c>
    </row>
    <row r="1669" spans="15:15" x14ac:dyDescent="0.3">
      <c r="O1669" t="str">
        <f t="shared" si="26"/>
        <v/>
      </c>
    </row>
    <row r="1670" spans="15:15" x14ac:dyDescent="0.3">
      <c r="O1670" t="str">
        <f t="shared" si="26"/>
        <v/>
      </c>
    </row>
    <row r="1671" spans="15:15" x14ac:dyDescent="0.3">
      <c r="O1671" t="str">
        <f t="shared" si="26"/>
        <v/>
      </c>
    </row>
    <row r="1672" spans="15:15" x14ac:dyDescent="0.3">
      <c r="O1672" t="str">
        <f t="shared" si="26"/>
        <v/>
      </c>
    </row>
    <row r="1673" spans="15:15" x14ac:dyDescent="0.3">
      <c r="O1673" t="str">
        <f t="shared" si="26"/>
        <v/>
      </c>
    </row>
    <row r="1674" spans="15:15" x14ac:dyDescent="0.3">
      <c r="O1674" t="str">
        <f t="shared" ref="O1674:O1737" si="27">IF(P1674="","",O1673+1)</f>
        <v/>
      </c>
    </row>
    <row r="1675" spans="15:15" x14ac:dyDescent="0.3">
      <c r="O1675" t="str">
        <f t="shared" si="27"/>
        <v/>
      </c>
    </row>
    <row r="1676" spans="15:15" x14ac:dyDescent="0.3">
      <c r="O1676" t="str">
        <f t="shared" si="27"/>
        <v/>
      </c>
    </row>
    <row r="1677" spans="15:15" x14ac:dyDescent="0.3">
      <c r="O1677" t="str">
        <f t="shared" si="27"/>
        <v/>
      </c>
    </row>
    <row r="1678" spans="15:15" x14ac:dyDescent="0.3">
      <c r="O1678" t="str">
        <f t="shared" si="27"/>
        <v/>
      </c>
    </row>
    <row r="1679" spans="15:15" x14ac:dyDescent="0.3">
      <c r="O1679" t="str">
        <f t="shared" si="27"/>
        <v/>
      </c>
    </row>
    <row r="1680" spans="15:15" x14ac:dyDescent="0.3">
      <c r="O1680" t="str">
        <f t="shared" si="27"/>
        <v/>
      </c>
    </row>
    <row r="1681" spans="15:15" x14ac:dyDescent="0.3">
      <c r="O1681" t="str">
        <f t="shared" si="27"/>
        <v/>
      </c>
    </row>
    <row r="1682" spans="15:15" x14ac:dyDescent="0.3">
      <c r="O1682" t="str">
        <f t="shared" si="27"/>
        <v/>
      </c>
    </row>
    <row r="1683" spans="15:15" x14ac:dyDescent="0.3">
      <c r="O1683" t="str">
        <f t="shared" si="27"/>
        <v/>
      </c>
    </row>
    <row r="1684" spans="15:15" x14ac:dyDescent="0.3">
      <c r="O1684" t="str">
        <f t="shared" si="27"/>
        <v/>
      </c>
    </row>
    <row r="1685" spans="15:15" x14ac:dyDescent="0.3">
      <c r="O1685" t="str">
        <f t="shared" si="27"/>
        <v/>
      </c>
    </row>
    <row r="1686" spans="15:15" x14ac:dyDescent="0.3">
      <c r="O1686" t="str">
        <f t="shared" si="27"/>
        <v/>
      </c>
    </row>
    <row r="1687" spans="15:15" x14ac:dyDescent="0.3">
      <c r="O1687" t="str">
        <f t="shared" si="27"/>
        <v/>
      </c>
    </row>
    <row r="1688" spans="15:15" x14ac:dyDescent="0.3">
      <c r="O1688" t="str">
        <f t="shared" si="27"/>
        <v/>
      </c>
    </row>
    <row r="1689" spans="15:15" x14ac:dyDescent="0.3">
      <c r="O1689" t="str">
        <f t="shared" si="27"/>
        <v/>
      </c>
    </row>
    <row r="1690" spans="15:15" x14ac:dyDescent="0.3">
      <c r="O1690" t="str">
        <f t="shared" si="27"/>
        <v/>
      </c>
    </row>
    <row r="1691" spans="15:15" x14ac:dyDescent="0.3">
      <c r="O1691" t="str">
        <f t="shared" si="27"/>
        <v/>
      </c>
    </row>
    <row r="1692" spans="15:15" x14ac:dyDescent="0.3">
      <c r="O1692" t="str">
        <f t="shared" si="27"/>
        <v/>
      </c>
    </row>
    <row r="1693" spans="15:15" x14ac:dyDescent="0.3">
      <c r="O1693" t="str">
        <f t="shared" si="27"/>
        <v/>
      </c>
    </row>
    <row r="1694" spans="15:15" x14ac:dyDescent="0.3">
      <c r="O1694" t="str">
        <f t="shared" si="27"/>
        <v/>
      </c>
    </row>
    <row r="1695" spans="15:15" x14ac:dyDescent="0.3">
      <c r="O1695" t="str">
        <f t="shared" si="27"/>
        <v/>
      </c>
    </row>
    <row r="1696" spans="15:15" x14ac:dyDescent="0.3">
      <c r="O1696" t="str">
        <f t="shared" si="27"/>
        <v/>
      </c>
    </row>
    <row r="1697" spans="15:15" x14ac:dyDescent="0.3">
      <c r="O1697" t="str">
        <f t="shared" si="27"/>
        <v/>
      </c>
    </row>
    <row r="1698" spans="15:15" x14ac:dyDescent="0.3">
      <c r="O1698" t="str">
        <f t="shared" si="27"/>
        <v/>
      </c>
    </row>
    <row r="1699" spans="15:15" x14ac:dyDescent="0.3">
      <c r="O1699" t="str">
        <f t="shared" si="27"/>
        <v/>
      </c>
    </row>
    <row r="1700" spans="15:15" x14ac:dyDescent="0.3">
      <c r="O1700" t="str">
        <f t="shared" si="27"/>
        <v/>
      </c>
    </row>
    <row r="1701" spans="15:15" x14ac:dyDescent="0.3">
      <c r="O1701" t="str">
        <f t="shared" si="27"/>
        <v/>
      </c>
    </row>
    <row r="1702" spans="15:15" x14ac:dyDescent="0.3">
      <c r="O1702" t="str">
        <f t="shared" si="27"/>
        <v/>
      </c>
    </row>
    <row r="1703" spans="15:15" x14ac:dyDescent="0.3">
      <c r="O1703" t="str">
        <f t="shared" si="27"/>
        <v/>
      </c>
    </row>
    <row r="1704" spans="15:15" x14ac:dyDescent="0.3">
      <c r="O1704" t="str">
        <f t="shared" si="27"/>
        <v/>
      </c>
    </row>
    <row r="1705" spans="15:15" x14ac:dyDescent="0.3">
      <c r="O1705" t="str">
        <f t="shared" si="27"/>
        <v/>
      </c>
    </row>
    <row r="1706" spans="15:15" x14ac:dyDescent="0.3">
      <c r="O1706" t="str">
        <f t="shared" si="27"/>
        <v/>
      </c>
    </row>
    <row r="1707" spans="15:15" x14ac:dyDescent="0.3">
      <c r="O1707" t="str">
        <f t="shared" si="27"/>
        <v/>
      </c>
    </row>
    <row r="1708" spans="15:15" x14ac:dyDescent="0.3">
      <c r="O1708" t="str">
        <f t="shared" si="27"/>
        <v/>
      </c>
    </row>
    <row r="1709" spans="15:15" x14ac:dyDescent="0.3">
      <c r="O1709" t="str">
        <f t="shared" si="27"/>
        <v/>
      </c>
    </row>
    <row r="1710" spans="15:15" x14ac:dyDescent="0.3">
      <c r="O1710" t="str">
        <f t="shared" si="27"/>
        <v/>
      </c>
    </row>
    <row r="1711" spans="15:15" x14ac:dyDescent="0.3">
      <c r="O1711" t="str">
        <f t="shared" si="27"/>
        <v/>
      </c>
    </row>
    <row r="1712" spans="15:15" x14ac:dyDescent="0.3">
      <c r="O1712" t="str">
        <f t="shared" si="27"/>
        <v/>
      </c>
    </row>
    <row r="1713" spans="15:15" x14ac:dyDescent="0.3">
      <c r="O1713" t="str">
        <f t="shared" si="27"/>
        <v/>
      </c>
    </row>
    <row r="1714" spans="15:15" x14ac:dyDescent="0.3">
      <c r="O1714" t="str">
        <f t="shared" si="27"/>
        <v/>
      </c>
    </row>
    <row r="1715" spans="15:15" x14ac:dyDescent="0.3">
      <c r="O1715" t="str">
        <f t="shared" si="27"/>
        <v/>
      </c>
    </row>
    <row r="1716" spans="15:15" x14ac:dyDescent="0.3">
      <c r="O1716" t="str">
        <f t="shared" si="27"/>
        <v/>
      </c>
    </row>
    <row r="1717" spans="15:15" x14ac:dyDescent="0.3">
      <c r="O1717" t="str">
        <f t="shared" si="27"/>
        <v/>
      </c>
    </row>
    <row r="1718" spans="15:15" x14ac:dyDescent="0.3">
      <c r="O1718" t="str">
        <f t="shared" si="27"/>
        <v/>
      </c>
    </row>
    <row r="1719" spans="15:15" x14ac:dyDescent="0.3">
      <c r="O1719" t="str">
        <f t="shared" si="27"/>
        <v/>
      </c>
    </row>
    <row r="1720" spans="15:15" x14ac:dyDescent="0.3">
      <c r="O1720" t="str">
        <f t="shared" si="27"/>
        <v/>
      </c>
    </row>
    <row r="1721" spans="15:15" x14ac:dyDescent="0.3">
      <c r="O1721" t="str">
        <f t="shared" si="27"/>
        <v/>
      </c>
    </row>
    <row r="1722" spans="15:15" x14ac:dyDescent="0.3">
      <c r="O1722" t="str">
        <f t="shared" si="27"/>
        <v/>
      </c>
    </row>
    <row r="1723" spans="15:15" x14ac:dyDescent="0.3">
      <c r="O1723" t="str">
        <f t="shared" si="27"/>
        <v/>
      </c>
    </row>
    <row r="1724" spans="15:15" x14ac:dyDescent="0.3">
      <c r="O1724" t="str">
        <f t="shared" si="27"/>
        <v/>
      </c>
    </row>
    <row r="1725" spans="15:15" x14ac:dyDescent="0.3">
      <c r="O1725" t="str">
        <f t="shared" si="27"/>
        <v/>
      </c>
    </row>
    <row r="1726" spans="15:15" x14ac:dyDescent="0.3">
      <c r="O1726" t="str">
        <f t="shared" si="27"/>
        <v/>
      </c>
    </row>
    <row r="1727" spans="15:15" x14ac:dyDescent="0.3">
      <c r="O1727" t="str">
        <f t="shared" si="27"/>
        <v/>
      </c>
    </row>
    <row r="1728" spans="15:15" x14ac:dyDescent="0.3">
      <c r="O1728" t="str">
        <f t="shared" si="27"/>
        <v/>
      </c>
    </row>
    <row r="1729" spans="15:15" x14ac:dyDescent="0.3">
      <c r="O1729" t="str">
        <f t="shared" si="27"/>
        <v/>
      </c>
    </row>
    <row r="1730" spans="15:15" x14ac:dyDescent="0.3">
      <c r="O1730" t="str">
        <f t="shared" si="27"/>
        <v/>
      </c>
    </row>
    <row r="1731" spans="15:15" x14ac:dyDescent="0.3">
      <c r="O1731" t="str">
        <f t="shared" si="27"/>
        <v/>
      </c>
    </row>
    <row r="1732" spans="15:15" x14ac:dyDescent="0.3">
      <c r="O1732" t="str">
        <f t="shared" si="27"/>
        <v/>
      </c>
    </row>
    <row r="1733" spans="15:15" x14ac:dyDescent="0.3">
      <c r="O1733" t="str">
        <f t="shared" si="27"/>
        <v/>
      </c>
    </row>
    <row r="1734" spans="15:15" x14ac:dyDescent="0.3">
      <c r="O1734" t="str">
        <f t="shared" si="27"/>
        <v/>
      </c>
    </row>
    <row r="1735" spans="15:15" x14ac:dyDescent="0.3">
      <c r="O1735" t="str">
        <f t="shared" si="27"/>
        <v/>
      </c>
    </row>
    <row r="1736" spans="15:15" x14ac:dyDescent="0.3">
      <c r="O1736" t="str">
        <f t="shared" si="27"/>
        <v/>
      </c>
    </row>
    <row r="1737" spans="15:15" x14ac:dyDescent="0.3">
      <c r="O1737" t="str">
        <f t="shared" si="27"/>
        <v/>
      </c>
    </row>
    <row r="1738" spans="15:15" x14ac:dyDescent="0.3">
      <c r="O1738" t="str">
        <f t="shared" ref="O1738:O1801" si="28">IF(P1738="","",O1737+1)</f>
        <v/>
      </c>
    </row>
    <row r="1739" spans="15:15" x14ac:dyDescent="0.3">
      <c r="O1739" t="str">
        <f t="shared" si="28"/>
        <v/>
      </c>
    </row>
    <row r="1740" spans="15:15" x14ac:dyDescent="0.3">
      <c r="O1740" t="str">
        <f t="shared" si="28"/>
        <v/>
      </c>
    </row>
    <row r="1741" spans="15:15" x14ac:dyDescent="0.3">
      <c r="O1741" t="str">
        <f t="shared" si="28"/>
        <v/>
      </c>
    </row>
    <row r="1742" spans="15:15" x14ac:dyDescent="0.3">
      <c r="O1742" t="str">
        <f t="shared" si="28"/>
        <v/>
      </c>
    </row>
    <row r="1743" spans="15:15" x14ac:dyDescent="0.3">
      <c r="O1743" t="str">
        <f t="shared" si="28"/>
        <v/>
      </c>
    </row>
    <row r="1744" spans="15:15" x14ac:dyDescent="0.3">
      <c r="O1744" t="str">
        <f t="shared" si="28"/>
        <v/>
      </c>
    </row>
    <row r="1745" spans="15:15" x14ac:dyDescent="0.3">
      <c r="O1745" t="str">
        <f t="shared" si="28"/>
        <v/>
      </c>
    </row>
    <row r="1746" spans="15:15" x14ac:dyDescent="0.3">
      <c r="O1746" t="str">
        <f t="shared" si="28"/>
        <v/>
      </c>
    </row>
    <row r="1747" spans="15:15" x14ac:dyDescent="0.3">
      <c r="O1747" t="str">
        <f t="shared" si="28"/>
        <v/>
      </c>
    </row>
    <row r="1748" spans="15:15" x14ac:dyDescent="0.3">
      <c r="O1748" t="str">
        <f t="shared" si="28"/>
        <v/>
      </c>
    </row>
    <row r="1749" spans="15:15" x14ac:dyDescent="0.3">
      <c r="O1749" t="str">
        <f t="shared" si="28"/>
        <v/>
      </c>
    </row>
    <row r="1750" spans="15:15" x14ac:dyDescent="0.3">
      <c r="O1750" t="str">
        <f t="shared" si="28"/>
        <v/>
      </c>
    </row>
    <row r="1751" spans="15:15" x14ac:dyDescent="0.3">
      <c r="O1751" t="str">
        <f t="shared" si="28"/>
        <v/>
      </c>
    </row>
    <row r="1752" spans="15:15" x14ac:dyDescent="0.3">
      <c r="O1752" t="str">
        <f t="shared" si="28"/>
        <v/>
      </c>
    </row>
    <row r="1753" spans="15:15" x14ac:dyDescent="0.3">
      <c r="O1753" t="str">
        <f t="shared" si="28"/>
        <v/>
      </c>
    </row>
    <row r="1754" spans="15:15" x14ac:dyDescent="0.3">
      <c r="O1754" t="str">
        <f t="shared" si="28"/>
        <v/>
      </c>
    </row>
    <row r="1755" spans="15:15" x14ac:dyDescent="0.3">
      <c r="O1755" t="str">
        <f t="shared" si="28"/>
        <v/>
      </c>
    </row>
    <row r="1756" spans="15:15" x14ac:dyDescent="0.3">
      <c r="O1756" t="str">
        <f t="shared" si="28"/>
        <v/>
      </c>
    </row>
    <row r="1757" spans="15:15" x14ac:dyDescent="0.3">
      <c r="O1757" t="str">
        <f t="shared" si="28"/>
        <v/>
      </c>
    </row>
    <row r="1758" spans="15:15" x14ac:dyDescent="0.3">
      <c r="O1758" t="str">
        <f t="shared" si="28"/>
        <v/>
      </c>
    </row>
    <row r="1759" spans="15:15" x14ac:dyDescent="0.3">
      <c r="O1759" t="str">
        <f t="shared" si="28"/>
        <v/>
      </c>
    </row>
    <row r="1760" spans="15:15" x14ac:dyDescent="0.3">
      <c r="O1760" t="str">
        <f t="shared" si="28"/>
        <v/>
      </c>
    </row>
    <row r="1761" spans="15:15" x14ac:dyDescent="0.3">
      <c r="O1761" t="str">
        <f t="shared" si="28"/>
        <v/>
      </c>
    </row>
    <row r="1762" spans="15:15" x14ac:dyDescent="0.3">
      <c r="O1762" t="str">
        <f t="shared" si="28"/>
        <v/>
      </c>
    </row>
    <row r="1763" spans="15:15" x14ac:dyDescent="0.3">
      <c r="O1763" t="str">
        <f t="shared" si="28"/>
        <v/>
      </c>
    </row>
    <row r="1764" spans="15:15" x14ac:dyDescent="0.3">
      <c r="O1764" t="str">
        <f t="shared" si="28"/>
        <v/>
      </c>
    </row>
    <row r="1765" spans="15:15" x14ac:dyDescent="0.3">
      <c r="O1765" t="str">
        <f t="shared" si="28"/>
        <v/>
      </c>
    </row>
    <row r="1766" spans="15:15" x14ac:dyDescent="0.3">
      <c r="O1766" t="str">
        <f t="shared" si="28"/>
        <v/>
      </c>
    </row>
    <row r="1767" spans="15:15" x14ac:dyDescent="0.3">
      <c r="O1767" t="str">
        <f t="shared" si="28"/>
        <v/>
      </c>
    </row>
    <row r="1768" spans="15:15" x14ac:dyDescent="0.3">
      <c r="O1768" t="str">
        <f t="shared" si="28"/>
        <v/>
      </c>
    </row>
    <row r="1769" spans="15:15" x14ac:dyDescent="0.3">
      <c r="O1769" t="str">
        <f t="shared" si="28"/>
        <v/>
      </c>
    </row>
    <row r="1770" spans="15:15" x14ac:dyDescent="0.3">
      <c r="O1770" t="str">
        <f t="shared" si="28"/>
        <v/>
      </c>
    </row>
    <row r="1771" spans="15:15" x14ac:dyDescent="0.3">
      <c r="O1771" t="str">
        <f t="shared" si="28"/>
        <v/>
      </c>
    </row>
    <row r="1772" spans="15:15" x14ac:dyDescent="0.3">
      <c r="O1772" t="str">
        <f t="shared" si="28"/>
        <v/>
      </c>
    </row>
    <row r="1773" spans="15:15" x14ac:dyDescent="0.3">
      <c r="O1773" t="str">
        <f t="shared" si="28"/>
        <v/>
      </c>
    </row>
    <row r="1774" spans="15:15" x14ac:dyDescent="0.3">
      <c r="O1774" t="str">
        <f t="shared" si="28"/>
        <v/>
      </c>
    </row>
    <row r="1775" spans="15:15" x14ac:dyDescent="0.3">
      <c r="O1775" t="str">
        <f t="shared" si="28"/>
        <v/>
      </c>
    </row>
    <row r="1776" spans="15:15" x14ac:dyDescent="0.3">
      <c r="O1776" t="str">
        <f t="shared" si="28"/>
        <v/>
      </c>
    </row>
    <row r="1777" spans="15:15" x14ac:dyDescent="0.3">
      <c r="O1777" t="str">
        <f t="shared" si="28"/>
        <v/>
      </c>
    </row>
    <row r="1778" spans="15:15" x14ac:dyDescent="0.3">
      <c r="O1778" t="str">
        <f t="shared" si="28"/>
        <v/>
      </c>
    </row>
    <row r="1779" spans="15:15" x14ac:dyDescent="0.3">
      <c r="O1779" t="str">
        <f t="shared" si="28"/>
        <v/>
      </c>
    </row>
    <row r="1780" spans="15:15" x14ac:dyDescent="0.3">
      <c r="O1780" t="str">
        <f t="shared" si="28"/>
        <v/>
      </c>
    </row>
    <row r="1781" spans="15:15" x14ac:dyDescent="0.3">
      <c r="O1781" t="str">
        <f t="shared" si="28"/>
        <v/>
      </c>
    </row>
    <row r="1782" spans="15:15" x14ac:dyDescent="0.3">
      <c r="O1782" t="str">
        <f t="shared" si="28"/>
        <v/>
      </c>
    </row>
    <row r="1783" spans="15:15" x14ac:dyDescent="0.3">
      <c r="O1783" t="str">
        <f t="shared" si="28"/>
        <v/>
      </c>
    </row>
    <row r="1784" spans="15:15" x14ac:dyDescent="0.3">
      <c r="O1784" t="str">
        <f t="shared" si="28"/>
        <v/>
      </c>
    </row>
    <row r="1785" spans="15:15" x14ac:dyDescent="0.3">
      <c r="O1785" t="str">
        <f t="shared" si="28"/>
        <v/>
      </c>
    </row>
    <row r="1786" spans="15:15" x14ac:dyDescent="0.3">
      <c r="O1786" t="str">
        <f t="shared" si="28"/>
        <v/>
      </c>
    </row>
    <row r="1787" spans="15:15" x14ac:dyDescent="0.3">
      <c r="O1787" t="str">
        <f t="shared" si="28"/>
        <v/>
      </c>
    </row>
    <row r="1788" spans="15:15" x14ac:dyDescent="0.3">
      <c r="O1788" t="str">
        <f t="shared" si="28"/>
        <v/>
      </c>
    </row>
    <row r="1789" spans="15:15" x14ac:dyDescent="0.3">
      <c r="O1789" t="str">
        <f t="shared" si="28"/>
        <v/>
      </c>
    </row>
    <row r="1790" spans="15:15" x14ac:dyDescent="0.3">
      <c r="O1790" t="str">
        <f t="shared" si="28"/>
        <v/>
      </c>
    </row>
    <row r="1791" spans="15:15" x14ac:dyDescent="0.3">
      <c r="O1791" t="str">
        <f t="shared" si="28"/>
        <v/>
      </c>
    </row>
    <row r="1792" spans="15:15" x14ac:dyDescent="0.3">
      <c r="O1792" t="str">
        <f t="shared" si="28"/>
        <v/>
      </c>
    </row>
    <row r="1793" spans="15:15" x14ac:dyDescent="0.3">
      <c r="O1793" t="str">
        <f t="shared" si="28"/>
        <v/>
      </c>
    </row>
    <row r="1794" spans="15:15" x14ac:dyDescent="0.3">
      <c r="O1794" t="str">
        <f t="shared" si="28"/>
        <v/>
      </c>
    </row>
    <row r="1795" spans="15:15" x14ac:dyDescent="0.3">
      <c r="O1795" t="str">
        <f t="shared" si="28"/>
        <v/>
      </c>
    </row>
    <row r="1796" spans="15:15" x14ac:dyDescent="0.3">
      <c r="O1796" t="str">
        <f t="shared" si="28"/>
        <v/>
      </c>
    </row>
    <row r="1797" spans="15:15" x14ac:dyDescent="0.3">
      <c r="O1797" t="str">
        <f t="shared" si="28"/>
        <v/>
      </c>
    </row>
    <row r="1798" spans="15:15" x14ac:dyDescent="0.3">
      <c r="O1798" t="str">
        <f t="shared" si="28"/>
        <v/>
      </c>
    </row>
    <row r="1799" spans="15:15" x14ac:dyDescent="0.3">
      <c r="O1799" t="str">
        <f t="shared" si="28"/>
        <v/>
      </c>
    </row>
    <row r="1800" spans="15:15" x14ac:dyDescent="0.3">
      <c r="O1800" t="str">
        <f t="shared" si="28"/>
        <v/>
      </c>
    </row>
    <row r="1801" spans="15:15" x14ac:dyDescent="0.3">
      <c r="O1801" t="str">
        <f t="shared" si="28"/>
        <v/>
      </c>
    </row>
    <row r="1802" spans="15:15" x14ac:dyDescent="0.3">
      <c r="O1802" t="str">
        <f t="shared" ref="O1802:O1865" si="29">IF(P1802="","",O1801+1)</f>
        <v/>
      </c>
    </row>
    <row r="1803" spans="15:15" x14ac:dyDescent="0.3">
      <c r="O1803" t="str">
        <f t="shared" si="29"/>
        <v/>
      </c>
    </row>
    <row r="1804" spans="15:15" x14ac:dyDescent="0.3">
      <c r="O1804" t="str">
        <f t="shared" si="29"/>
        <v/>
      </c>
    </row>
    <row r="1805" spans="15:15" x14ac:dyDescent="0.3">
      <c r="O1805" t="str">
        <f t="shared" si="29"/>
        <v/>
      </c>
    </row>
    <row r="1806" spans="15:15" x14ac:dyDescent="0.3">
      <c r="O1806" t="str">
        <f t="shared" si="29"/>
        <v/>
      </c>
    </row>
    <row r="1807" spans="15:15" x14ac:dyDescent="0.3">
      <c r="O1807" t="str">
        <f t="shared" si="29"/>
        <v/>
      </c>
    </row>
    <row r="1808" spans="15:15" x14ac:dyDescent="0.3">
      <c r="O1808" t="str">
        <f t="shared" si="29"/>
        <v/>
      </c>
    </row>
    <row r="1809" spans="15:15" x14ac:dyDescent="0.3">
      <c r="O1809" t="str">
        <f t="shared" si="29"/>
        <v/>
      </c>
    </row>
    <row r="1810" spans="15:15" x14ac:dyDescent="0.3">
      <c r="O1810" t="str">
        <f t="shared" si="29"/>
        <v/>
      </c>
    </row>
    <row r="1811" spans="15:15" x14ac:dyDescent="0.3">
      <c r="O1811" t="str">
        <f t="shared" si="29"/>
        <v/>
      </c>
    </row>
    <row r="1812" spans="15:15" x14ac:dyDescent="0.3">
      <c r="O1812" t="str">
        <f t="shared" si="29"/>
        <v/>
      </c>
    </row>
    <row r="1813" spans="15:15" x14ac:dyDescent="0.3">
      <c r="O1813" t="str">
        <f t="shared" si="29"/>
        <v/>
      </c>
    </row>
    <row r="1814" spans="15:15" x14ac:dyDescent="0.3">
      <c r="O1814" t="str">
        <f t="shared" si="29"/>
        <v/>
      </c>
    </row>
    <row r="1815" spans="15:15" x14ac:dyDescent="0.3">
      <c r="O1815" t="str">
        <f t="shared" si="29"/>
        <v/>
      </c>
    </row>
    <row r="1816" spans="15:15" x14ac:dyDescent="0.3">
      <c r="O1816" t="str">
        <f t="shared" si="29"/>
        <v/>
      </c>
    </row>
    <row r="1817" spans="15:15" x14ac:dyDescent="0.3">
      <c r="O1817" t="str">
        <f t="shared" si="29"/>
        <v/>
      </c>
    </row>
    <row r="1818" spans="15:15" x14ac:dyDescent="0.3">
      <c r="O1818" t="str">
        <f t="shared" si="29"/>
        <v/>
      </c>
    </row>
    <row r="1819" spans="15:15" x14ac:dyDescent="0.3">
      <c r="O1819" t="str">
        <f t="shared" si="29"/>
        <v/>
      </c>
    </row>
    <row r="1820" spans="15:15" x14ac:dyDescent="0.3">
      <c r="O1820" t="str">
        <f t="shared" si="29"/>
        <v/>
      </c>
    </row>
    <row r="1821" spans="15:15" x14ac:dyDescent="0.3">
      <c r="O1821" t="str">
        <f t="shared" si="29"/>
        <v/>
      </c>
    </row>
    <row r="1822" spans="15:15" x14ac:dyDescent="0.3">
      <c r="O1822" t="str">
        <f t="shared" si="29"/>
        <v/>
      </c>
    </row>
    <row r="1823" spans="15:15" x14ac:dyDescent="0.3">
      <c r="O1823" t="str">
        <f t="shared" si="29"/>
        <v/>
      </c>
    </row>
    <row r="1824" spans="15:15" x14ac:dyDescent="0.3">
      <c r="O1824" t="str">
        <f t="shared" si="29"/>
        <v/>
      </c>
    </row>
    <row r="1825" spans="15:15" x14ac:dyDescent="0.3">
      <c r="O1825" t="str">
        <f t="shared" si="29"/>
        <v/>
      </c>
    </row>
    <row r="1826" spans="15:15" x14ac:dyDescent="0.3">
      <c r="O1826" t="str">
        <f t="shared" si="29"/>
        <v/>
      </c>
    </row>
    <row r="1827" spans="15:15" x14ac:dyDescent="0.3">
      <c r="O1827" t="str">
        <f t="shared" si="29"/>
        <v/>
      </c>
    </row>
    <row r="1828" spans="15:15" x14ac:dyDescent="0.3">
      <c r="O1828" t="str">
        <f t="shared" si="29"/>
        <v/>
      </c>
    </row>
    <row r="1829" spans="15:15" x14ac:dyDescent="0.3">
      <c r="O1829" t="str">
        <f t="shared" si="29"/>
        <v/>
      </c>
    </row>
    <row r="1830" spans="15:15" x14ac:dyDescent="0.3">
      <c r="O1830" t="str">
        <f t="shared" si="29"/>
        <v/>
      </c>
    </row>
    <row r="1831" spans="15:15" x14ac:dyDescent="0.3">
      <c r="O1831" t="str">
        <f t="shared" si="29"/>
        <v/>
      </c>
    </row>
    <row r="1832" spans="15:15" x14ac:dyDescent="0.3">
      <c r="O1832" t="str">
        <f t="shared" si="29"/>
        <v/>
      </c>
    </row>
    <row r="1833" spans="15:15" x14ac:dyDescent="0.3">
      <c r="O1833" t="str">
        <f t="shared" si="29"/>
        <v/>
      </c>
    </row>
    <row r="1834" spans="15:15" x14ac:dyDescent="0.3">
      <c r="O1834" t="str">
        <f t="shared" si="29"/>
        <v/>
      </c>
    </row>
    <row r="1835" spans="15:15" x14ac:dyDescent="0.3">
      <c r="O1835" t="str">
        <f t="shared" si="29"/>
        <v/>
      </c>
    </row>
    <row r="1836" spans="15:15" x14ac:dyDescent="0.3">
      <c r="O1836" t="str">
        <f t="shared" si="29"/>
        <v/>
      </c>
    </row>
    <row r="1837" spans="15:15" x14ac:dyDescent="0.3">
      <c r="O1837" t="str">
        <f t="shared" si="29"/>
        <v/>
      </c>
    </row>
    <row r="1838" spans="15:15" x14ac:dyDescent="0.3">
      <c r="O1838" t="str">
        <f t="shared" si="29"/>
        <v/>
      </c>
    </row>
    <row r="1839" spans="15:15" x14ac:dyDescent="0.3">
      <c r="O1839" t="str">
        <f t="shared" si="29"/>
        <v/>
      </c>
    </row>
    <row r="1840" spans="15:15" x14ac:dyDescent="0.3">
      <c r="O1840" t="str">
        <f t="shared" si="29"/>
        <v/>
      </c>
    </row>
    <row r="1841" spans="15:15" x14ac:dyDescent="0.3">
      <c r="O1841" t="str">
        <f t="shared" si="29"/>
        <v/>
      </c>
    </row>
    <row r="1842" spans="15:15" x14ac:dyDescent="0.3">
      <c r="O1842" t="str">
        <f t="shared" si="29"/>
        <v/>
      </c>
    </row>
    <row r="1843" spans="15:15" x14ac:dyDescent="0.3">
      <c r="O1843" t="str">
        <f t="shared" si="29"/>
        <v/>
      </c>
    </row>
    <row r="1844" spans="15:15" x14ac:dyDescent="0.3">
      <c r="O1844" t="str">
        <f t="shared" si="29"/>
        <v/>
      </c>
    </row>
    <row r="1845" spans="15:15" x14ac:dyDescent="0.3">
      <c r="O1845" t="str">
        <f t="shared" si="29"/>
        <v/>
      </c>
    </row>
    <row r="1846" spans="15:15" x14ac:dyDescent="0.3">
      <c r="O1846" t="str">
        <f t="shared" si="29"/>
        <v/>
      </c>
    </row>
    <row r="1847" spans="15:15" x14ac:dyDescent="0.3">
      <c r="O1847" t="str">
        <f t="shared" si="29"/>
        <v/>
      </c>
    </row>
    <row r="1848" spans="15:15" x14ac:dyDescent="0.3">
      <c r="O1848" t="str">
        <f t="shared" si="29"/>
        <v/>
      </c>
    </row>
    <row r="1849" spans="15:15" x14ac:dyDescent="0.3">
      <c r="O1849" t="str">
        <f t="shared" si="29"/>
        <v/>
      </c>
    </row>
    <row r="1850" spans="15:15" x14ac:dyDescent="0.3">
      <c r="O1850" t="str">
        <f t="shared" si="29"/>
        <v/>
      </c>
    </row>
    <row r="1851" spans="15:15" x14ac:dyDescent="0.3">
      <c r="O1851" t="str">
        <f t="shared" si="29"/>
        <v/>
      </c>
    </row>
    <row r="1852" spans="15:15" x14ac:dyDescent="0.3">
      <c r="O1852" t="str">
        <f t="shared" si="29"/>
        <v/>
      </c>
    </row>
    <row r="1853" spans="15:15" x14ac:dyDescent="0.3">
      <c r="O1853" t="str">
        <f t="shared" si="29"/>
        <v/>
      </c>
    </row>
    <row r="1854" spans="15:15" x14ac:dyDescent="0.3">
      <c r="O1854" t="str">
        <f t="shared" si="29"/>
        <v/>
      </c>
    </row>
    <row r="1855" spans="15:15" x14ac:dyDescent="0.3">
      <c r="O1855" t="str">
        <f t="shared" si="29"/>
        <v/>
      </c>
    </row>
    <row r="1856" spans="15:15" x14ac:dyDescent="0.3">
      <c r="O1856" t="str">
        <f t="shared" si="29"/>
        <v/>
      </c>
    </row>
    <row r="1857" spans="15:15" x14ac:dyDescent="0.3">
      <c r="O1857" t="str">
        <f t="shared" si="29"/>
        <v/>
      </c>
    </row>
    <row r="1858" spans="15:15" x14ac:dyDescent="0.3">
      <c r="O1858" t="str">
        <f t="shared" si="29"/>
        <v/>
      </c>
    </row>
    <row r="1859" spans="15:15" x14ac:dyDescent="0.3">
      <c r="O1859" t="str">
        <f t="shared" si="29"/>
        <v/>
      </c>
    </row>
    <row r="1860" spans="15:15" x14ac:dyDescent="0.3">
      <c r="O1860" t="str">
        <f t="shared" si="29"/>
        <v/>
      </c>
    </row>
    <row r="1861" spans="15:15" x14ac:dyDescent="0.3">
      <c r="O1861" t="str">
        <f t="shared" si="29"/>
        <v/>
      </c>
    </row>
    <row r="1862" spans="15:15" x14ac:dyDescent="0.3">
      <c r="O1862" t="str">
        <f t="shared" si="29"/>
        <v/>
      </c>
    </row>
    <row r="1863" spans="15:15" x14ac:dyDescent="0.3">
      <c r="O1863" t="str">
        <f t="shared" si="29"/>
        <v/>
      </c>
    </row>
    <row r="1864" spans="15:15" x14ac:dyDescent="0.3">
      <c r="O1864" t="str">
        <f t="shared" si="29"/>
        <v/>
      </c>
    </row>
    <row r="1865" spans="15:15" x14ac:dyDescent="0.3">
      <c r="O1865" t="str">
        <f t="shared" si="29"/>
        <v/>
      </c>
    </row>
    <row r="1866" spans="15:15" x14ac:dyDescent="0.3">
      <c r="O1866" t="str">
        <f t="shared" ref="O1866:O1929" si="30">IF(P1866="","",O1865+1)</f>
        <v/>
      </c>
    </row>
    <row r="1867" spans="15:15" x14ac:dyDescent="0.3">
      <c r="O1867" t="str">
        <f t="shared" si="30"/>
        <v/>
      </c>
    </row>
    <row r="1868" spans="15:15" x14ac:dyDescent="0.3">
      <c r="O1868" t="str">
        <f t="shared" si="30"/>
        <v/>
      </c>
    </row>
    <row r="1869" spans="15:15" x14ac:dyDescent="0.3">
      <c r="O1869" t="str">
        <f t="shared" si="30"/>
        <v/>
      </c>
    </row>
    <row r="1870" spans="15:15" x14ac:dyDescent="0.3">
      <c r="O1870" t="str">
        <f t="shared" si="30"/>
        <v/>
      </c>
    </row>
    <row r="1871" spans="15:15" x14ac:dyDescent="0.3">
      <c r="O1871" t="str">
        <f t="shared" si="30"/>
        <v/>
      </c>
    </row>
    <row r="1872" spans="15:15" x14ac:dyDescent="0.3">
      <c r="O1872" t="str">
        <f t="shared" si="30"/>
        <v/>
      </c>
    </row>
    <row r="1873" spans="15:15" x14ac:dyDescent="0.3">
      <c r="O1873" t="str">
        <f t="shared" si="30"/>
        <v/>
      </c>
    </row>
    <row r="1874" spans="15:15" x14ac:dyDescent="0.3">
      <c r="O1874" t="str">
        <f t="shared" si="30"/>
        <v/>
      </c>
    </row>
    <row r="1875" spans="15:15" x14ac:dyDescent="0.3">
      <c r="O1875" t="str">
        <f t="shared" si="30"/>
        <v/>
      </c>
    </row>
    <row r="1876" spans="15:15" x14ac:dyDescent="0.3">
      <c r="O1876" t="str">
        <f t="shared" si="30"/>
        <v/>
      </c>
    </row>
    <row r="1877" spans="15:15" x14ac:dyDescent="0.3">
      <c r="O1877" t="str">
        <f t="shared" si="30"/>
        <v/>
      </c>
    </row>
    <row r="1878" spans="15:15" x14ac:dyDescent="0.3">
      <c r="O1878" t="str">
        <f t="shared" si="30"/>
        <v/>
      </c>
    </row>
    <row r="1879" spans="15:15" x14ac:dyDescent="0.3">
      <c r="O1879" t="str">
        <f t="shared" si="30"/>
        <v/>
      </c>
    </row>
    <row r="1880" spans="15:15" x14ac:dyDescent="0.3">
      <c r="O1880" t="str">
        <f t="shared" si="30"/>
        <v/>
      </c>
    </row>
    <row r="1881" spans="15:15" x14ac:dyDescent="0.3">
      <c r="O1881" t="str">
        <f t="shared" si="30"/>
        <v/>
      </c>
    </row>
    <row r="1882" spans="15:15" x14ac:dyDescent="0.3">
      <c r="O1882" t="str">
        <f t="shared" si="30"/>
        <v/>
      </c>
    </row>
    <row r="1883" spans="15:15" x14ac:dyDescent="0.3">
      <c r="O1883" t="str">
        <f t="shared" si="30"/>
        <v/>
      </c>
    </row>
    <row r="1884" spans="15:15" x14ac:dyDescent="0.3">
      <c r="O1884" t="str">
        <f t="shared" si="30"/>
        <v/>
      </c>
    </row>
    <row r="1885" spans="15:15" x14ac:dyDescent="0.3">
      <c r="O1885" t="str">
        <f t="shared" si="30"/>
        <v/>
      </c>
    </row>
    <row r="1886" spans="15:15" x14ac:dyDescent="0.3">
      <c r="O1886" t="str">
        <f t="shared" si="30"/>
        <v/>
      </c>
    </row>
    <row r="1887" spans="15:15" x14ac:dyDescent="0.3">
      <c r="O1887" t="str">
        <f t="shared" si="30"/>
        <v/>
      </c>
    </row>
    <row r="1888" spans="15:15" x14ac:dyDescent="0.3">
      <c r="O1888" t="str">
        <f t="shared" si="30"/>
        <v/>
      </c>
    </row>
    <row r="1889" spans="15:15" x14ac:dyDescent="0.3">
      <c r="O1889" t="str">
        <f t="shared" si="30"/>
        <v/>
      </c>
    </row>
    <row r="1890" spans="15:15" x14ac:dyDescent="0.3">
      <c r="O1890" t="str">
        <f t="shared" si="30"/>
        <v/>
      </c>
    </row>
    <row r="1891" spans="15:15" x14ac:dyDescent="0.3">
      <c r="O1891" t="str">
        <f t="shared" si="30"/>
        <v/>
      </c>
    </row>
    <row r="1892" spans="15:15" x14ac:dyDescent="0.3">
      <c r="O1892" t="str">
        <f t="shared" si="30"/>
        <v/>
      </c>
    </row>
    <row r="1893" spans="15:15" x14ac:dyDescent="0.3">
      <c r="O1893" t="str">
        <f t="shared" si="30"/>
        <v/>
      </c>
    </row>
    <row r="1894" spans="15:15" x14ac:dyDescent="0.3">
      <c r="O1894" t="str">
        <f t="shared" si="30"/>
        <v/>
      </c>
    </row>
    <row r="1895" spans="15:15" x14ac:dyDescent="0.3">
      <c r="O1895" t="str">
        <f t="shared" si="30"/>
        <v/>
      </c>
    </row>
    <row r="1896" spans="15:15" x14ac:dyDescent="0.3">
      <c r="O1896" t="str">
        <f t="shared" si="30"/>
        <v/>
      </c>
    </row>
    <row r="1897" spans="15:15" x14ac:dyDescent="0.3">
      <c r="O1897" t="str">
        <f t="shared" si="30"/>
        <v/>
      </c>
    </row>
    <row r="1898" spans="15:15" x14ac:dyDescent="0.3">
      <c r="O1898" t="str">
        <f t="shared" si="30"/>
        <v/>
      </c>
    </row>
    <row r="1899" spans="15:15" x14ac:dyDescent="0.3">
      <c r="O1899" t="str">
        <f t="shared" si="30"/>
        <v/>
      </c>
    </row>
    <row r="1900" spans="15:15" x14ac:dyDescent="0.3">
      <c r="O1900" t="str">
        <f t="shared" si="30"/>
        <v/>
      </c>
    </row>
    <row r="1901" spans="15:15" x14ac:dyDescent="0.3">
      <c r="O1901" t="str">
        <f t="shared" si="30"/>
        <v/>
      </c>
    </row>
    <row r="1902" spans="15:15" x14ac:dyDescent="0.3">
      <c r="O1902" t="str">
        <f t="shared" si="30"/>
        <v/>
      </c>
    </row>
    <row r="1903" spans="15:15" x14ac:dyDescent="0.3">
      <c r="O1903" t="str">
        <f t="shared" si="30"/>
        <v/>
      </c>
    </row>
    <row r="1904" spans="15:15" x14ac:dyDescent="0.3">
      <c r="O1904" t="str">
        <f t="shared" si="30"/>
        <v/>
      </c>
    </row>
    <row r="1905" spans="15:15" x14ac:dyDescent="0.3">
      <c r="O1905" t="str">
        <f t="shared" si="30"/>
        <v/>
      </c>
    </row>
    <row r="1906" spans="15:15" x14ac:dyDescent="0.3">
      <c r="O1906" t="str">
        <f t="shared" si="30"/>
        <v/>
      </c>
    </row>
    <row r="1907" spans="15:15" x14ac:dyDescent="0.3">
      <c r="O1907" t="str">
        <f t="shared" si="30"/>
        <v/>
      </c>
    </row>
    <row r="1908" spans="15:15" x14ac:dyDescent="0.3">
      <c r="O1908" t="str">
        <f t="shared" si="30"/>
        <v/>
      </c>
    </row>
    <row r="1909" spans="15:15" x14ac:dyDescent="0.3">
      <c r="O1909" t="str">
        <f t="shared" si="30"/>
        <v/>
      </c>
    </row>
    <row r="1910" spans="15:15" x14ac:dyDescent="0.3">
      <c r="O1910" t="str">
        <f t="shared" si="30"/>
        <v/>
      </c>
    </row>
    <row r="1911" spans="15:15" x14ac:dyDescent="0.3">
      <c r="O1911" t="str">
        <f t="shared" si="30"/>
        <v/>
      </c>
    </row>
    <row r="1912" spans="15:15" x14ac:dyDescent="0.3">
      <c r="O1912" t="str">
        <f t="shared" si="30"/>
        <v/>
      </c>
    </row>
    <row r="1913" spans="15:15" x14ac:dyDescent="0.3">
      <c r="O1913" t="str">
        <f t="shared" si="30"/>
        <v/>
      </c>
    </row>
    <row r="1914" spans="15:15" x14ac:dyDescent="0.3">
      <c r="O1914" t="str">
        <f t="shared" si="30"/>
        <v/>
      </c>
    </row>
    <row r="1915" spans="15:15" x14ac:dyDescent="0.3">
      <c r="O1915" t="str">
        <f t="shared" si="30"/>
        <v/>
      </c>
    </row>
    <row r="1916" spans="15:15" x14ac:dyDescent="0.3">
      <c r="O1916" t="str">
        <f t="shared" si="30"/>
        <v/>
      </c>
    </row>
    <row r="1917" spans="15:15" x14ac:dyDescent="0.3">
      <c r="O1917" t="str">
        <f t="shared" si="30"/>
        <v/>
      </c>
    </row>
    <row r="1918" spans="15:15" x14ac:dyDescent="0.3">
      <c r="O1918" t="str">
        <f t="shared" si="30"/>
        <v/>
      </c>
    </row>
    <row r="1919" spans="15:15" x14ac:dyDescent="0.3">
      <c r="O1919" t="str">
        <f t="shared" si="30"/>
        <v/>
      </c>
    </row>
    <row r="1920" spans="15:15" x14ac:dyDescent="0.3">
      <c r="O1920" t="str">
        <f t="shared" si="30"/>
        <v/>
      </c>
    </row>
    <row r="1921" spans="15:15" x14ac:dyDescent="0.3">
      <c r="O1921" t="str">
        <f t="shared" si="30"/>
        <v/>
      </c>
    </row>
    <row r="1922" spans="15:15" x14ac:dyDescent="0.3">
      <c r="O1922" t="str">
        <f t="shared" si="30"/>
        <v/>
      </c>
    </row>
    <row r="1923" spans="15:15" x14ac:dyDescent="0.3">
      <c r="O1923" t="str">
        <f t="shared" si="30"/>
        <v/>
      </c>
    </row>
    <row r="1924" spans="15:15" x14ac:dyDescent="0.3">
      <c r="O1924" t="str">
        <f t="shared" si="30"/>
        <v/>
      </c>
    </row>
    <row r="1925" spans="15:15" x14ac:dyDescent="0.3">
      <c r="O1925" t="str">
        <f t="shared" si="30"/>
        <v/>
      </c>
    </row>
    <row r="1926" spans="15:15" x14ac:dyDescent="0.3">
      <c r="O1926" t="str">
        <f t="shared" si="30"/>
        <v/>
      </c>
    </row>
    <row r="1927" spans="15:15" x14ac:dyDescent="0.3">
      <c r="O1927" t="str">
        <f t="shared" si="30"/>
        <v/>
      </c>
    </row>
    <row r="1928" spans="15:15" x14ac:dyDescent="0.3">
      <c r="O1928" t="str">
        <f t="shared" si="30"/>
        <v/>
      </c>
    </row>
    <row r="1929" spans="15:15" x14ac:dyDescent="0.3">
      <c r="O1929" t="str">
        <f t="shared" si="30"/>
        <v/>
      </c>
    </row>
    <row r="1930" spans="15:15" x14ac:dyDescent="0.3">
      <c r="O1930" t="str">
        <f t="shared" ref="O1930:O1993" si="31">IF(P1930="","",O1929+1)</f>
        <v/>
      </c>
    </row>
    <row r="1931" spans="15:15" x14ac:dyDescent="0.3">
      <c r="O1931" t="str">
        <f t="shared" si="31"/>
        <v/>
      </c>
    </row>
    <row r="1932" spans="15:15" x14ac:dyDescent="0.3">
      <c r="O1932" t="str">
        <f t="shared" si="31"/>
        <v/>
      </c>
    </row>
    <row r="1933" spans="15:15" x14ac:dyDescent="0.3">
      <c r="O1933" t="str">
        <f t="shared" si="31"/>
        <v/>
      </c>
    </row>
    <row r="1934" spans="15:15" x14ac:dyDescent="0.3">
      <c r="O1934" t="str">
        <f t="shared" si="31"/>
        <v/>
      </c>
    </row>
    <row r="1935" spans="15:15" x14ac:dyDescent="0.3">
      <c r="O1935" t="str">
        <f t="shared" si="31"/>
        <v/>
      </c>
    </row>
    <row r="1936" spans="15:15" x14ac:dyDescent="0.3">
      <c r="O1936" t="str">
        <f t="shared" si="31"/>
        <v/>
      </c>
    </row>
    <row r="1937" spans="15:15" x14ac:dyDescent="0.3">
      <c r="O1937" t="str">
        <f t="shared" si="31"/>
        <v/>
      </c>
    </row>
    <row r="1938" spans="15:15" x14ac:dyDescent="0.3">
      <c r="O1938" t="str">
        <f t="shared" si="31"/>
        <v/>
      </c>
    </row>
    <row r="1939" spans="15:15" x14ac:dyDescent="0.3">
      <c r="O1939" t="str">
        <f t="shared" si="31"/>
        <v/>
      </c>
    </row>
    <row r="1940" spans="15:15" x14ac:dyDescent="0.3">
      <c r="O1940" t="str">
        <f t="shared" si="31"/>
        <v/>
      </c>
    </row>
    <row r="1941" spans="15:15" x14ac:dyDescent="0.3">
      <c r="O1941" t="str">
        <f t="shared" si="31"/>
        <v/>
      </c>
    </row>
    <row r="1942" spans="15:15" x14ac:dyDescent="0.3">
      <c r="O1942" t="str">
        <f t="shared" si="31"/>
        <v/>
      </c>
    </row>
    <row r="1943" spans="15:15" x14ac:dyDescent="0.3">
      <c r="O1943" t="str">
        <f t="shared" si="31"/>
        <v/>
      </c>
    </row>
    <row r="1944" spans="15:15" x14ac:dyDescent="0.3">
      <c r="O1944" t="str">
        <f t="shared" si="31"/>
        <v/>
      </c>
    </row>
    <row r="1945" spans="15:15" x14ac:dyDescent="0.3">
      <c r="O1945" t="str">
        <f t="shared" si="31"/>
        <v/>
      </c>
    </row>
    <row r="1946" spans="15:15" x14ac:dyDescent="0.3">
      <c r="O1946" t="str">
        <f t="shared" si="31"/>
        <v/>
      </c>
    </row>
    <row r="1947" spans="15:15" x14ac:dyDescent="0.3">
      <c r="O1947" t="str">
        <f t="shared" si="31"/>
        <v/>
      </c>
    </row>
    <row r="1948" spans="15:15" x14ac:dyDescent="0.3">
      <c r="O1948" t="str">
        <f t="shared" si="31"/>
        <v/>
      </c>
    </row>
    <row r="1949" spans="15:15" x14ac:dyDescent="0.3">
      <c r="O1949" t="str">
        <f t="shared" si="31"/>
        <v/>
      </c>
    </row>
    <row r="1950" spans="15:15" x14ac:dyDescent="0.3">
      <c r="O1950" t="str">
        <f t="shared" si="31"/>
        <v/>
      </c>
    </row>
    <row r="1951" spans="15:15" x14ac:dyDescent="0.3">
      <c r="O1951" t="str">
        <f t="shared" si="31"/>
        <v/>
      </c>
    </row>
    <row r="1952" spans="15:15" x14ac:dyDescent="0.3">
      <c r="O1952" t="str">
        <f t="shared" si="31"/>
        <v/>
      </c>
    </row>
    <row r="1953" spans="15:15" x14ac:dyDescent="0.3">
      <c r="O1953" t="str">
        <f t="shared" si="31"/>
        <v/>
      </c>
    </row>
    <row r="1954" spans="15:15" x14ac:dyDescent="0.3">
      <c r="O1954" t="str">
        <f t="shared" si="31"/>
        <v/>
      </c>
    </row>
    <row r="1955" spans="15:15" x14ac:dyDescent="0.3">
      <c r="O1955" t="str">
        <f t="shared" si="31"/>
        <v/>
      </c>
    </row>
    <row r="1956" spans="15:15" x14ac:dyDescent="0.3">
      <c r="O1956" t="str">
        <f t="shared" si="31"/>
        <v/>
      </c>
    </row>
    <row r="1957" spans="15:15" x14ac:dyDescent="0.3">
      <c r="O1957" t="str">
        <f t="shared" si="31"/>
        <v/>
      </c>
    </row>
    <row r="1958" spans="15:15" x14ac:dyDescent="0.3">
      <c r="O1958" t="str">
        <f t="shared" si="31"/>
        <v/>
      </c>
    </row>
    <row r="1959" spans="15:15" x14ac:dyDescent="0.3">
      <c r="O1959" t="str">
        <f t="shared" si="31"/>
        <v/>
      </c>
    </row>
    <row r="1960" spans="15:15" x14ac:dyDescent="0.3">
      <c r="O1960" t="str">
        <f t="shared" si="31"/>
        <v/>
      </c>
    </row>
    <row r="1961" spans="15:15" x14ac:dyDescent="0.3">
      <c r="O1961" t="str">
        <f t="shared" si="31"/>
        <v/>
      </c>
    </row>
    <row r="1962" spans="15:15" x14ac:dyDescent="0.3">
      <c r="O1962" t="str">
        <f t="shared" si="31"/>
        <v/>
      </c>
    </row>
    <row r="1963" spans="15:15" x14ac:dyDescent="0.3">
      <c r="O1963" t="str">
        <f t="shared" si="31"/>
        <v/>
      </c>
    </row>
    <row r="1964" spans="15:15" x14ac:dyDescent="0.3">
      <c r="O1964" t="str">
        <f t="shared" si="31"/>
        <v/>
      </c>
    </row>
    <row r="1965" spans="15:15" x14ac:dyDescent="0.3">
      <c r="O1965" t="str">
        <f t="shared" si="31"/>
        <v/>
      </c>
    </row>
    <row r="1966" spans="15:15" x14ac:dyDescent="0.3">
      <c r="O1966" t="str">
        <f t="shared" si="31"/>
        <v/>
      </c>
    </row>
    <row r="1967" spans="15:15" x14ac:dyDescent="0.3">
      <c r="O1967" t="str">
        <f t="shared" si="31"/>
        <v/>
      </c>
    </row>
    <row r="1968" spans="15:15" x14ac:dyDescent="0.3">
      <c r="O1968" t="str">
        <f t="shared" si="31"/>
        <v/>
      </c>
    </row>
    <row r="1969" spans="15:15" x14ac:dyDescent="0.3">
      <c r="O1969" t="str">
        <f t="shared" si="31"/>
        <v/>
      </c>
    </row>
    <row r="1970" spans="15:15" x14ac:dyDescent="0.3">
      <c r="O1970" t="str">
        <f t="shared" si="31"/>
        <v/>
      </c>
    </row>
    <row r="1971" spans="15:15" x14ac:dyDescent="0.3">
      <c r="O1971" t="str">
        <f t="shared" si="31"/>
        <v/>
      </c>
    </row>
    <row r="1972" spans="15:15" x14ac:dyDescent="0.3">
      <c r="O1972" t="str">
        <f t="shared" si="31"/>
        <v/>
      </c>
    </row>
    <row r="1973" spans="15:15" x14ac:dyDescent="0.3">
      <c r="O1973" t="str">
        <f t="shared" si="31"/>
        <v/>
      </c>
    </row>
    <row r="1974" spans="15:15" x14ac:dyDescent="0.3">
      <c r="O1974" t="str">
        <f t="shared" si="31"/>
        <v/>
      </c>
    </row>
    <row r="1975" spans="15:15" x14ac:dyDescent="0.3">
      <c r="O1975" t="str">
        <f t="shared" si="31"/>
        <v/>
      </c>
    </row>
    <row r="1976" spans="15:15" x14ac:dyDescent="0.3">
      <c r="O1976" t="str">
        <f t="shared" si="31"/>
        <v/>
      </c>
    </row>
    <row r="1977" spans="15:15" x14ac:dyDescent="0.3">
      <c r="O1977" t="str">
        <f t="shared" si="31"/>
        <v/>
      </c>
    </row>
    <row r="1978" spans="15:15" x14ac:dyDescent="0.3">
      <c r="O1978" t="str">
        <f t="shared" si="31"/>
        <v/>
      </c>
    </row>
    <row r="1979" spans="15:15" x14ac:dyDescent="0.3">
      <c r="O1979" t="str">
        <f t="shared" si="31"/>
        <v/>
      </c>
    </row>
    <row r="1980" spans="15:15" x14ac:dyDescent="0.3">
      <c r="O1980" t="str">
        <f t="shared" si="31"/>
        <v/>
      </c>
    </row>
    <row r="1981" spans="15:15" x14ac:dyDescent="0.3">
      <c r="O1981" t="str">
        <f t="shared" si="31"/>
        <v/>
      </c>
    </row>
    <row r="1982" spans="15:15" x14ac:dyDescent="0.3">
      <c r="O1982" t="str">
        <f t="shared" si="31"/>
        <v/>
      </c>
    </row>
    <row r="1983" spans="15:15" x14ac:dyDescent="0.3">
      <c r="O1983" t="str">
        <f t="shared" si="31"/>
        <v/>
      </c>
    </row>
    <row r="1984" spans="15:15" x14ac:dyDescent="0.3">
      <c r="O1984" t="str">
        <f t="shared" si="31"/>
        <v/>
      </c>
    </row>
    <row r="1985" spans="15:15" x14ac:dyDescent="0.3">
      <c r="O1985" t="str">
        <f t="shared" si="31"/>
        <v/>
      </c>
    </row>
    <row r="1986" spans="15:15" x14ac:dyDescent="0.3">
      <c r="O1986" t="str">
        <f t="shared" si="31"/>
        <v/>
      </c>
    </row>
    <row r="1987" spans="15:15" x14ac:dyDescent="0.3">
      <c r="O1987" t="str">
        <f t="shared" si="31"/>
        <v/>
      </c>
    </row>
    <row r="1988" spans="15:15" x14ac:dyDescent="0.3">
      <c r="O1988" t="str">
        <f t="shared" si="31"/>
        <v/>
      </c>
    </row>
    <row r="1989" spans="15:15" x14ac:dyDescent="0.3">
      <c r="O1989" t="str">
        <f t="shared" si="31"/>
        <v/>
      </c>
    </row>
    <row r="1990" spans="15:15" x14ac:dyDescent="0.3">
      <c r="O1990" t="str">
        <f t="shared" si="31"/>
        <v/>
      </c>
    </row>
    <row r="1991" spans="15:15" x14ac:dyDescent="0.3">
      <c r="O1991" t="str">
        <f t="shared" si="31"/>
        <v/>
      </c>
    </row>
    <row r="1992" spans="15:15" x14ac:dyDescent="0.3">
      <c r="O1992" t="str">
        <f t="shared" si="31"/>
        <v/>
      </c>
    </row>
    <row r="1993" spans="15:15" x14ac:dyDescent="0.3">
      <c r="O1993" t="str">
        <f t="shared" si="31"/>
        <v/>
      </c>
    </row>
    <row r="1994" spans="15:15" x14ac:dyDescent="0.3">
      <c r="O1994" t="str">
        <f t="shared" ref="O1994:O2057" si="32">IF(P1994="","",O1993+1)</f>
        <v/>
      </c>
    </row>
    <row r="1995" spans="15:15" x14ac:dyDescent="0.3">
      <c r="O1995" t="str">
        <f t="shared" si="32"/>
        <v/>
      </c>
    </row>
    <row r="1996" spans="15:15" x14ac:dyDescent="0.3">
      <c r="O1996" t="str">
        <f t="shared" si="32"/>
        <v/>
      </c>
    </row>
    <row r="1997" spans="15:15" x14ac:dyDescent="0.3">
      <c r="O1997" t="str">
        <f t="shared" si="32"/>
        <v/>
      </c>
    </row>
    <row r="1998" spans="15:15" x14ac:dyDescent="0.3">
      <c r="O1998" t="str">
        <f t="shared" si="32"/>
        <v/>
      </c>
    </row>
    <row r="1999" spans="15:15" x14ac:dyDescent="0.3">
      <c r="O1999" t="str">
        <f t="shared" si="32"/>
        <v/>
      </c>
    </row>
    <row r="2000" spans="15:15" x14ac:dyDescent="0.3">
      <c r="O2000" t="str">
        <f t="shared" si="32"/>
        <v/>
      </c>
    </row>
    <row r="2001" spans="15:15" x14ac:dyDescent="0.3">
      <c r="O2001" t="str">
        <f t="shared" si="32"/>
        <v/>
      </c>
    </row>
    <row r="2002" spans="15:15" x14ac:dyDescent="0.3">
      <c r="O2002" t="str">
        <f t="shared" si="32"/>
        <v/>
      </c>
    </row>
    <row r="2003" spans="15:15" x14ac:dyDescent="0.3">
      <c r="O2003" t="str">
        <f t="shared" si="32"/>
        <v/>
      </c>
    </row>
    <row r="2004" spans="15:15" x14ac:dyDescent="0.3">
      <c r="O2004" t="str">
        <f t="shared" si="32"/>
        <v/>
      </c>
    </row>
    <row r="2005" spans="15:15" x14ac:dyDescent="0.3">
      <c r="O2005" t="str">
        <f t="shared" si="32"/>
        <v/>
      </c>
    </row>
    <row r="2006" spans="15:15" x14ac:dyDescent="0.3">
      <c r="O2006" t="str">
        <f t="shared" si="32"/>
        <v/>
      </c>
    </row>
    <row r="2007" spans="15:15" x14ac:dyDescent="0.3">
      <c r="O2007" t="str">
        <f t="shared" si="32"/>
        <v/>
      </c>
    </row>
    <row r="2008" spans="15:15" x14ac:dyDescent="0.3">
      <c r="O2008" t="str">
        <f t="shared" si="32"/>
        <v/>
      </c>
    </row>
    <row r="2009" spans="15:15" x14ac:dyDescent="0.3">
      <c r="O2009" t="str">
        <f t="shared" si="32"/>
        <v/>
      </c>
    </row>
    <row r="2010" spans="15:15" x14ac:dyDescent="0.3">
      <c r="O2010" t="str">
        <f t="shared" si="32"/>
        <v/>
      </c>
    </row>
    <row r="2011" spans="15:15" x14ac:dyDescent="0.3">
      <c r="O2011" t="str">
        <f t="shared" si="32"/>
        <v/>
      </c>
    </row>
    <row r="2012" spans="15:15" x14ac:dyDescent="0.3">
      <c r="O2012" t="str">
        <f t="shared" si="32"/>
        <v/>
      </c>
    </row>
    <row r="2013" spans="15:15" x14ac:dyDescent="0.3">
      <c r="O2013" t="str">
        <f t="shared" si="32"/>
        <v/>
      </c>
    </row>
    <row r="2014" spans="15:15" x14ac:dyDescent="0.3">
      <c r="O2014" t="str">
        <f t="shared" si="32"/>
        <v/>
      </c>
    </row>
    <row r="2015" spans="15:15" x14ac:dyDescent="0.3">
      <c r="O2015" t="str">
        <f t="shared" si="32"/>
        <v/>
      </c>
    </row>
    <row r="2016" spans="15:15" x14ac:dyDescent="0.3">
      <c r="O2016" t="str">
        <f t="shared" si="32"/>
        <v/>
      </c>
    </row>
    <row r="2017" spans="15:15" x14ac:dyDescent="0.3">
      <c r="O2017" t="str">
        <f t="shared" si="32"/>
        <v/>
      </c>
    </row>
    <row r="2018" spans="15:15" x14ac:dyDescent="0.3">
      <c r="O2018" t="str">
        <f t="shared" si="32"/>
        <v/>
      </c>
    </row>
    <row r="2019" spans="15:15" x14ac:dyDescent="0.3">
      <c r="O2019" t="str">
        <f t="shared" si="32"/>
        <v/>
      </c>
    </row>
    <row r="2020" spans="15:15" x14ac:dyDescent="0.3">
      <c r="O2020" t="str">
        <f t="shared" si="32"/>
        <v/>
      </c>
    </row>
    <row r="2021" spans="15:15" x14ac:dyDescent="0.3">
      <c r="O2021" t="str">
        <f t="shared" si="32"/>
        <v/>
      </c>
    </row>
    <row r="2022" spans="15:15" x14ac:dyDescent="0.3">
      <c r="O2022" t="str">
        <f t="shared" si="32"/>
        <v/>
      </c>
    </row>
    <row r="2023" spans="15:15" x14ac:dyDescent="0.3">
      <c r="O2023" t="str">
        <f t="shared" si="32"/>
        <v/>
      </c>
    </row>
    <row r="2024" spans="15:15" x14ac:dyDescent="0.3">
      <c r="O2024" t="str">
        <f t="shared" si="32"/>
        <v/>
      </c>
    </row>
    <row r="2025" spans="15:15" x14ac:dyDescent="0.3">
      <c r="O2025" t="str">
        <f t="shared" si="32"/>
        <v/>
      </c>
    </row>
    <row r="2026" spans="15:15" x14ac:dyDescent="0.3">
      <c r="O2026" t="str">
        <f t="shared" si="32"/>
        <v/>
      </c>
    </row>
    <row r="2027" spans="15:15" x14ac:dyDescent="0.3">
      <c r="O2027" t="str">
        <f t="shared" si="32"/>
        <v/>
      </c>
    </row>
    <row r="2028" spans="15:15" x14ac:dyDescent="0.3">
      <c r="O2028" t="str">
        <f t="shared" si="32"/>
        <v/>
      </c>
    </row>
    <row r="2029" spans="15:15" x14ac:dyDescent="0.3">
      <c r="O2029" t="str">
        <f t="shared" si="32"/>
        <v/>
      </c>
    </row>
    <row r="2030" spans="15:15" x14ac:dyDescent="0.3">
      <c r="O2030" t="str">
        <f t="shared" si="32"/>
        <v/>
      </c>
    </row>
    <row r="2031" spans="15:15" x14ac:dyDescent="0.3">
      <c r="O2031" t="str">
        <f t="shared" si="32"/>
        <v/>
      </c>
    </row>
    <row r="2032" spans="15:15" x14ac:dyDescent="0.3">
      <c r="O2032" t="str">
        <f t="shared" si="32"/>
        <v/>
      </c>
    </row>
    <row r="2033" spans="15:15" x14ac:dyDescent="0.3">
      <c r="O2033" t="str">
        <f t="shared" si="32"/>
        <v/>
      </c>
    </row>
    <row r="2034" spans="15:15" x14ac:dyDescent="0.3">
      <c r="O2034" t="str">
        <f t="shared" si="32"/>
        <v/>
      </c>
    </row>
    <row r="2035" spans="15:15" x14ac:dyDescent="0.3">
      <c r="O2035" t="str">
        <f t="shared" si="32"/>
        <v/>
      </c>
    </row>
    <row r="2036" spans="15:15" x14ac:dyDescent="0.3">
      <c r="O2036" t="str">
        <f t="shared" si="32"/>
        <v/>
      </c>
    </row>
    <row r="2037" spans="15:15" x14ac:dyDescent="0.3">
      <c r="O2037" t="str">
        <f t="shared" si="32"/>
        <v/>
      </c>
    </row>
    <row r="2038" spans="15:15" x14ac:dyDescent="0.3">
      <c r="O2038" t="str">
        <f t="shared" si="32"/>
        <v/>
      </c>
    </row>
    <row r="2039" spans="15:15" x14ac:dyDescent="0.3">
      <c r="O2039" t="str">
        <f t="shared" si="32"/>
        <v/>
      </c>
    </row>
    <row r="2040" spans="15:15" x14ac:dyDescent="0.3">
      <c r="O2040" t="str">
        <f t="shared" si="32"/>
        <v/>
      </c>
    </row>
    <row r="2041" spans="15:15" x14ac:dyDescent="0.3">
      <c r="O2041" t="str">
        <f t="shared" si="32"/>
        <v/>
      </c>
    </row>
    <row r="2042" spans="15:15" x14ac:dyDescent="0.3">
      <c r="O2042" t="str">
        <f t="shared" si="32"/>
        <v/>
      </c>
    </row>
    <row r="2043" spans="15:15" x14ac:dyDescent="0.3">
      <c r="O2043" t="str">
        <f t="shared" si="32"/>
        <v/>
      </c>
    </row>
    <row r="2044" spans="15:15" x14ac:dyDescent="0.3">
      <c r="O2044" t="str">
        <f t="shared" si="32"/>
        <v/>
      </c>
    </row>
    <row r="2045" spans="15:15" x14ac:dyDescent="0.3">
      <c r="O2045" t="str">
        <f t="shared" si="32"/>
        <v/>
      </c>
    </row>
    <row r="2046" spans="15:15" x14ac:dyDescent="0.3">
      <c r="O2046" t="str">
        <f t="shared" si="32"/>
        <v/>
      </c>
    </row>
    <row r="2047" spans="15:15" x14ac:dyDescent="0.3">
      <c r="O2047" t="str">
        <f t="shared" si="32"/>
        <v/>
      </c>
    </row>
    <row r="2048" spans="15:15" x14ac:dyDescent="0.3">
      <c r="O2048" t="str">
        <f t="shared" si="32"/>
        <v/>
      </c>
    </row>
    <row r="2049" spans="15:15" x14ac:dyDescent="0.3">
      <c r="O2049" t="str">
        <f t="shared" si="32"/>
        <v/>
      </c>
    </row>
    <row r="2050" spans="15:15" x14ac:dyDescent="0.3">
      <c r="O2050" t="str">
        <f t="shared" si="32"/>
        <v/>
      </c>
    </row>
    <row r="2051" spans="15:15" x14ac:dyDescent="0.3">
      <c r="O2051" t="str">
        <f t="shared" si="32"/>
        <v/>
      </c>
    </row>
    <row r="2052" spans="15:15" x14ac:dyDescent="0.3">
      <c r="O2052" t="str">
        <f t="shared" si="32"/>
        <v/>
      </c>
    </row>
    <row r="2053" spans="15:15" x14ac:dyDescent="0.3">
      <c r="O2053" t="str">
        <f t="shared" si="32"/>
        <v/>
      </c>
    </row>
    <row r="2054" spans="15:15" x14ac:dyDescent="0.3">
      <c r="O2054" t="str">
        <f t="shared" si="32"/>
        <v/>
      </c>
    </row>
    <row r="2055" spans="15:15" x14ac:dyDescent="0.3">
      <c r="O2055" t="str">
        <f t="shared" si="32"/>
        <v/>
      </c>
    </row>
    <row r="2056" spans="15:15" x14ac:dyDescent="0.3">
      <c r="O2056" t="str">
        <f t="shared" si="32"/>
        <v/>
      </c>
    </row>
    <row r="2057" spans="15:15" x14ac:dyDescent="0.3">
      <c r="O2057" t="str">
        <f t="shared" si="32"/>
        <v/>
      </c>
    </row>
    <row r="2058" spans="15:15" x14ac:dyDescent="0.3">
      <c r="O2058" t="str">
        <f t="shared" ref="O2058:O2121" si="33">IF(P2058="","",O2057+1)</f>
        <v/>
      </c>
    </row>
    <row r="2059" spans="15:15" x14ac:dyDescent="0.3">
      <c r="O2059" t="str">
        <f t="shared" si="33"/>
        <v/>
      </c>
    </row>
    <row r="2060" spans="15:15" x14ac:dyDescent="0.3">
      <c r="O2060" t="str">
        <f t="shared" si="33"/>
        <v/>
      </c>
    </row>
    <row r="2061" spans="15:15" x14ac:dyDescent="0.3">
      <c r="O2061" t="str">
        <f t="shared" si="33"/>
        <v/>
      </c>
    </row>
    <row r="2062" spans="15:15" x14ac:dyDescent="0.3">
      <c r="O2062" t="str">
        <f t="shared" si="33"/>
        <v/>
      </c>
    </row>
    <row r="2063" spans="15:15" x14ac:dyDescent="0.3">
      <c r="O2063" t="str">
        <f t="shared" si="33"/>
        <v/>
      </c>
    </row>
    <row r="2064" spans="15:15" x14ac:dyDescent="0.3">
      <c r="O2064" t="str">
        <f t="shared" si="33"/>
        <v/>
      </c>
    </row>
    <row r="2065" spans="15:15" x14ac:dyDescent="0.3">
      <c r="O2065" t="str">
        <f t="shared" si="33"/>
        <v/>
      </c>
    </row>
    <row r="2066" spans="15:15" x14ac:dyDescent="0.3">
      <c r="O2066" t="str">
        <f t="shared" si="33"/>
        <v/>
      </c>
    </row>
    <row r="2067" spans="15:15" x14ac:dyDescent="0.3">
      <c r="O2067" t="str">
        <f t="shared" si="33"/>
        <v/>
      </c>
    </row>
    <row r="2068" spans="15:15" x14ac:dyDescent="0.3">
      <c r="O2068" t="str">
        <f t="shared" si="33"/>
        <v/>
      </c>
    </row>
    <row r="2069" spans="15:15" x14ac:dyDescent="0.3">
      <c r="O2069" t="str">
        <f t="shared" si="33"/>
        <v/>
      </c>
    </row>
    <row r="2070" spans="15:15" x14ac:dyDescent="0.3">
      <c r="O2070" t="str">
        <f t="shared" si="33"/>
        <v/>
      </c>
    </row>
    <row r="2071" spans="15:15" x14ac:dyDescent="0.3">
      <c r="O2071" t="str">
        <f t="shared" si="33"/>
        <v/>
      </c>
    </row>
    <row r="2072" spans="15:15" x14ac:dyDescent="0.3">
      <c r="O2072" t="str">
        <f t="shared" si="33"/>
        <v/>
      </c>
    </row>
    <row r="2073" spans="15:15" x14ac:dyDescent="0.3">
      <c r="O2073" t="str">
        <f t="shared" si="33"/>
        <v/>
      </c>
    </row>
    <row r="2074" spans="15:15" x14ac:dyDescent="0.3">
      <c r="O2074" t="str">
        <f t="shared" si="33"/>
        <v/>
      </c>
    </row>
    <row r="2075" spans="15:15" x14ac:dyDescent="0.3">
      <c r="O2075" t="str">
        <f t="shared" si="33"/>
        <v/>
      </c>
    </row>
    <row r="2076" spans="15:15" x14ac:dyDescent="0.3">
      <c r="O2076" t="str">
        <f t="shared" si="33"/>
        <v/>
      </c>
    </row>
    <row r="2077" spans="15:15" x14ac:dyDescent="0.3">
      <c r="O2077" t="str">
        <f t="shared" si="33"/>
        <v/>
      </c>
    </row>
    <row r="2078" spans="15:15" x14ac:dyDescent="0.3">
      <c r="O2078" t="str">
        <f t="shared" si="33"/>
        <v/>
      </c>
    </row>
    <row r="2079" spans="15:15" x14ac:dyDescent="0.3">
      <c r="O2079" t="str">
        <f t="shared" si="33"/>
        <v/>
      </c>
    </row>
    <row r="2080" spans="15:15" x14ac:dyDescent="0.3">
      <c r="O2080" t="str">
        <f t="shared" si="33"/>
        <v/>
      </c>
    </row>
    <row r="2081" spans="15:15" x14ac:dyDescent="0.3">
      <c r="O2081" t="str">
        <f t="shared" si="33"/>
        <v/>
      </c>
    </row>
    <row r="2082" spans="15:15" x14ac:dyDescent="0.3">
      <c r="O2082" t="str">
        <f t="shared" si="33"/>
        <v/>
      </c>
    </row>
    <row r="2083" spans="15:15" x14ac:dyDescent="0.3">
      <c r="O2083" t="str">
        <f t="shared" si="33"/>
        <v/>
      </c>
    </row>
    <row r="2084" spans="15:15" x14ac:dyDescent="0.3">
      <c r="O2084" t="str">
        <f t="shared" si="33"/>
        <v/>
      </c>
    </row>
    <row r="2085" spans="15:15" x14ac:dyDescent="0.3">
      <c r="O2085" t="str">
        <f t="shared" si="33"/>
        <v/>
      </c>
    </row>
    <row r="2086" spans="15:15" x14ac:dyDescent="0.3">
      <c r="O2086" t="str">
        <f t="shared" si="33"/>
        <v/>
      </c>
    </row>
    <row r="2087" spans="15:15" x14ac:dyDescent="0.3">
      <c r="O2087" t="str">
        <f t="shared" si="33"/>
        <v/>
      </c>
    </row>
    <row r="2088" spans="15:15" x14ac:dyDescent="0.3">
      <c r="O2088" t="str">
        <f t="shared" si="33"/>
        <v/>
      </c>
    </row>
    <row r="2089" spans="15:15" x14ac:dyDescent="0.3">
      <c r="O2089" t="str">
        <f t="shared" si="33"/>
        <v/>
      </c>
    </row>
    <row r="2090" spans="15:15" x14ac:dyDescent="0.3">
      <c r="O2090" t="str">
        <f t="shared" si="33"/>
        <v/>
      </c>
    </row>
    <row r="2091" spans="15:15" x14ac:dyDescent="0.3">
      <c r="O2091" t="str">
        <f t="shared" si="33"/>
        <v/>
      </c>
    </row>
    <row r="2092" spans="15:15" x14ac:dyDescent="0.3">
      <c r="O2092" t="str">
        <f t="shared" si="33"/>
        <v/>
      </c>
    </row>
    <row r="2093" spans="15:15" x14ac:dyDescent="0.3">
      <c r="O2093" t="str">
        <f t="shared" si="33"/>
        <v/>
      </c>
    </row>
    <row r="2094" spans="15:15" x14ac:dyDescent="0.3">
      <c r="O2094" t="str">
        <f t="shared" si="33"/>
        <v/>
      </c>
    </row>
    <row r="2095" spans="15:15" x14ac:dyDescent="0.3">
      <c r="O2095" t="str">
        <f t="shared" si="33"/>
        <v/>
      </c>
    </row>
    <row r="2096" spans="15:15" x14ac:dyDescent="0.3">
      <c r="O2096" t="str">
        <f t="shared" si="33"/>
        <v/>
      </c>
    </row>
    <row r="2097" spans="15:15" x14ac:dyDescent="0.3">
      <c r="O2097" t="str">
        <f t="shared" si="33"/>
        <v/>
      </c>
    </row>
    <row r="2098" spans="15:15" x14ac:dyDescent="0.3">
      <c r="O2098" t="str">
        <f t="shared" si="33"/>
        <v/>
      </c>
    </row>
    <row r="2099" spans="15:15" x14ac:dyDescent="0.3">
      <c r="O2099" t="str">
        <f t="shared" si="33"/>
        <v/>
      </c>
    </row>
    <row r="2100" spans="15:15" x14ac:dyDescent="0.3">
      <c r="O2100" t="str">
        <f t="shared" si="33"/>
        <v/>
      </c>
    </row>
    <row r="2101" spans="15:15" x14ac:dyDescent="0.3">
      <c r="O2101" t="str">
        <f t="shared" si="33"/>
        <v/>
      </c>
    </row>
    <row r="2102" spans="15:15" x14ac:dyDescent="0.3">
      <c r="O2102" t="str">
        <f t="shared" si="33"/>
        <v/>
      </c>
    </row>
    <row r="2103" spans="15:15" x14ac:dyDescent="0.3">
      <c r="O2103" t="str">
        <f t="shared" si="33"/>
        <v/>
      </c>
    </row>
    <row r="2104" spans="15:15" x14ac:dyDescent="0.3">
      <c r="O2104" t="str">
        <f t="shared" si="33"/>
        <v/>
      </c>
    </row>
    <row r="2105" spans="15:15" x14ac:dyDescent="0.3">
      <c r="O2105" t="str">
        <f t="shared" si="33"/>
        <v/>
      </c>
    </row>
    <row r="2106" spans="15:15" x14ac:dyDescent="0.3">
      <c r="O2106" t="str">
        <f t="shared" si="33"/>
        <v/>
      </c>
    </row>
    <row r="2107" spans="15:15" x14ac:dyDescent="0.3">
      <c r="O2107" t="str">
        <f t="shared" si="33"/>
        <v/>
      </c>
    </row>
    <row r="2108" spans="15:15" x14ac:dyDescent="0.3">
      <c r="O2108" t="str">
        <f t="shared" si="33"/>
        <v/>
      </c>
    </row>
    <row r="2109" spans="15:15" x14ac:dyDescent="0.3">
      <c r="O2109" t="str">
        <f t="shared" si="33"/>
        <v/>
      </c>
    </row>
    <row r="2110" spans="15:15" x14ac:dyDescent="0.3">
      <c r="O2110" t="str">
        <f t="shared" si="33"/>
        <v/>
      </c>
    </row>
    <row r="2111" spans="15:15" x14ac:dyDescent="0.3">
      <c r="O2111" t="str">
        <f t="shared" si="33"/>
        <v/>
      </c>
    </row>
    <row r="2112" spans="15:15" x14ac:dyDescent="0.3">
      <c r="O2112" t="str">
        <f t="shared" si="33"/>
        <v/>
      </c>
    </row>
    <row r="2113" spans="15:15" x14ac:dyDescent="0.3">
      <c r="O2113" t="str">
        <f t="shared" si="33"/>
        <v/>
      </c>
    </row>
    <row r="2114" spans="15:15" x14ac:dyDescent="0.3">
      <c r="O2114" t="str">
        <f t="shared" si="33"/>
        <v/>
      </c>
    </row>
    <row r="2115" spans="15:15" x14ac:dyDescent="0.3">
      <c r="O2115" t="str">
        <f t="shared" si="33"/>
        <v/>
      </c>
    </row>
    <row r="2116" spans="15:15" x14ac:dyDescent="0.3">
      <c r="O2116" t="str">
        <f t="shared" si="33"/>
        <v/>
      </c>
    </row>
    <row r="2117" spans="15:15" x14ac:dyDescent="0.3">
      <c r="O2117" t="str">
        <f t="shared" si="33"/>
        <v/>
      </c>
    </row>
    <row r="2118" spans="15:15" x14ac:dyDescent="0.3">
      <c r="O2118" t="str">
        <f t="shared" si="33"/>
        <v/>
      </c>
    </row>
    <row r="2119" spans="15:15" x14ac:dyDescent="0.3">
      <c r="O2119" t="str">
        <f t="shared" si="33"/>
        <v/>
      </c>
    </row>
    <row r="2120" spans="15:15" x14ac:dyDescent="0.3">
      <c r="O2120" t="str">
        <f t="shared" si="33"/>
        <v/>
      </c>
    </row>
    <row r="2121" spans="15:15" x14ac:dyDescent="0.3">
      <c r="O2121" t="str">
        <f t="shared" si="33"/>
        <v/>
      </c>
    </row>
    <row r="2122" spans="15:15" x14ac:dyDescent="0.3">
      <c r="O2122" t="str">
        <f t="shared" ref="O2122:O2185" si="34">IF(P2122="","",O2121+1)</f>
        <v/>
      </c>
    </row>
    <row r="2123" spans="15:15" x14ac:dyDescent="0.3">
      <c r="O2123" t="str">
        <f t="shared" si="34"/>
        <v/>
      </c>
    </row>
    <row r="2124" spans="15:15" x14ac:dyDescent="0.3">
      <c r="O2124" t="str">
        <f t="shared" si="34"/>
        <v/>
      </c>
    </row>
    <row r="2125" spans="15:15" x14ac:dyDescent="0.3">
      <c r="O2125" t="str">
        <f t="shared" si="34"/>
        <v/>
      </c>
    </row>
    <row r="2126" spans="15:15" x14ac:dyDescent="0.3">
      <c r="O2126" t="str">
        <f t="shared" si="34"/>
        <v/>
      </c>
    </row>
    <row r="2127" spans="15:15" x14ac:dyDescent="0.3">
      <c r="O2127" t="str">
        <f t="shared" si="34"/>
        <v/>
      </c>
    </row>
    <row r="2128" spans="15:15" x14ac:dyDescent="0.3">
      <c r="O2128" t="str">
        <f t="shared" si="34"/>
        <v/>
      </c>
    </row>
    <row r="2129" spans="15:15" x14ac:dyDescent="0.3">
      <c r="O2129" t="str">
        <f t="shared" si="34"/>
        <v/>
      </c>
    </row>
    <row r="2130" spans="15:15" x14ac:dyDescent="0.3">
      <c r="O2130" t="str">
        <f t="shared" si="34"/>
        <v/>
      </c>
    </row>
    <row r="2131" spans="15:15" x14ac:dyDescent="0.3">
      <c r="O2131" t="str">
        <f t="shared" si="34"/>
        <v/>
      </c>
    </row>
    <row r="2132" spans="15:15" x14ac:dyDescent="0.3">
      <c r="O2132" t="str">
        <f t="shared" si="34"/>
        <v/>
      </c>
    </row>
    <row r="2133" spans="15:15" x14ac:dyDescent="0.3">
      <c r="O2133" t="str">
        <f t="shared" si="34"/>
        <v/>
      </c>
    </row>
    <row r="2134" spans="15:15" x14ac:dyDescent="0.3">
      <c r="O2134" t="str">
        <f t="shared" si="34"/>
        <v/>
      </c>
    </row>
    <row r="2135" spans="15:15" x14ac:dyDescent="0.3">
      <c r="O2135" t="str">
        <f t="shared" si="34"/>
        <v/>
      </c>
    </row>
    <row r="2136" spans="15:15" x14ac:dyDescent="0.3">
      <c r="O2136" t="str">
        <f t="shared" si="34"/>
        <v/>
      </c>
    </row>
    <row r="2137" spans="15:15" x14ac:dyDescent="0.3">
      <c r="O2137" t="str">
        <f t="shared" si="34"/>
        <v/>
      </c>
    </row>
    <row r="2138" spans="15:15" x14ac:dyDescent="0.3">
      <c r="O2138" t="str">
        <f t="shared" si="34"/>
        <v/>
      </c>
    </row>
    <row r="2139" spans="15:15" x14ac:dyDescent="0.3">
      <c r="O2139" t="str">
        <f t="shared" si="34"/>
        <v/>
      </c>
    </row>
    <row r="2140" spans="15:15" x14ac:dyDescent="0.3">
      <c r="O2140" t="str">
        <f t="shared" si="34"/>
        <v/>
      </c>
    </row>
    <row r="2141" spans="15:15" x14ac:dyDescent="0.3">
      <c r="O2141" t="str">
        <f t="shared" si="34"/>
        <v/>
      </c>
    </row>
    <row r="2142" spans="15:15" x14ac:dyDescent="0.3">
      <c r="O2142" t="str">
        <f t="shared" si="34"/>
        <v/>
      </c>
    </row>
    <row r="2143" spans="15:15" x14ac:dyDescent="0.3">
      <c r="O2143" t="str">
        <f t="shared" si="34"/>
        <v/>
      </c>
    </row>
    <row r="2144" spans="15:15" x14ac:dyDescent="0.3">
      <c r="O2144" t="str">
        <f t="shared" si="34"/>
        <v/>
      </c>
    </row>
    <row r="2145" spans="15:15" x14ac:dyDescent="0.3">
      <c r="O2145" t="str">
        <f t="shared" si="34"/>
        <v/>
      </c>
    </row>
    <row r="2146" spans="15:15" x14ac:dyDescent="0.3">
      <c r="O2146" t="str">
        <f t="shared" si="34"/>
        <v/>
      </c>
    </row>
    <row r="2147" spans="15:15" x14ac:dyDescent="0.3">
      <c r="O2147" t="str">
        <f t="shared" si="34"/>
        <v/>
      </c>
    </row>
    <row r="2148" spans="15:15" x14ac:dyDescent="0.3">
      <c r="O2148" t="str">
        <f t="shared" si="34"/>
        <v/>
      </c>
    </row>
    <row r="2149" spans="15:15" x14ac:dyDescent="0.3">
      <c r="O2149" t="str">
        <f t="shared" si="34"/>
        <v/>
      </c>
    </row>
    <row r="2150" spans="15:15" x14ac:dyDescent="0.3">
      <c r="O2150" t="str">
        <f t="shared" si="34"/>
        <v/>
      </c>
    </row>
    <row r="2151" spans="15:15" x14ac:dyDescent="0.3">
      <c r="O2151" t="str">
        <f t="shared" si="34"/>
        <v/>
      </c>
    </row>
    <row r="2152" spans="15:15" x14ac:dyDescent="0.3">
      <c r="O2152" t="str">
        <f t="shared" si="34"/>
        <v/>
      </c>
    </row>
    <row r="2153" spans="15:15" x14ac:dyDescent="0.3">
      <c r="O2153" t="str">
        <f t="shared" si="34"/>
        <v/>
      </c>
    </row>
    <row r="2154" spans="15:15" x14ac:dyDescent="0.3">
      <c r="O2154" t="str">
        <f t="shared" si="34"/>
        <v/>
      </c>
    </row>
    <row r="2155" spans="15:15" x14ac:dyDescent="0.3">
      <c r="O2155" t="str">
        <f t="shared" si="34"/>
        <v/>
      </c>
    </row>
    <row r="2156" spans="15:15" x14ac:dyDescent="0.3">
      <c r="O2156" t="str">
        <f t="shared" si="34"/>
        <v/>
      </c>
    </row>
    <row r="2157" spans="15:15" x14ac:dyDescent="0.3">
      <c r="O2157" t="str">
        <f t="shared" si="34"/>
        <v/>
      </c>
    </row>
    <row r="2158" spans="15:15" x14ac:dyDescent="0.3">
      <c r="O2158" t="str">
        <f t="shared" si="34"/>
        <v/>
      </c>
    </row>
    <row r="2159" spans="15:15" x14ac:dyDescent="0.3">
      <c r="O2159" t="str">
        <f t="shared" si="34"/>
        <v/>
      </c>
    </row>
    <row r="2160" spans="15:15" x14ac:dyDescent="0.3">
      <c r="O2160" t="str">
        <f t="shared" si="34"/>
        <v/>
      </c>
    </row>
    <row r="2161" spans="15:15" x14ac:dyDescent="0.3">
      <c r="O2161" t="str">
        <f t="shared" si="34"/>
        <v/>
      </c>
    </row>
    <row r="2162" spans="15:15" x14ac:dyDescent="0.3">
      <c r="O2162" t="str">
        <f t="shared" si="34"/>
        <v/>
      </c>
    </row>
    <row r="2163" spans="15:15" x14ac:dyDescent="0.3">
      <c r="O2163" t="str">
        <f t="shared" si="34"/>
        <v/>
      </c>
    </row>
    <row r="2164" spans="15:15" x14ac:dyDescent="0.3">
      <c r="O2164" t="str">
        <f t="shared" si="34"/>
        <v/>
      </c>
    </row>
    <row r="2165" spans="15:15" x14ac:dyDescent="0.3">
      <c r="O2165" t="str">
        <f t="shared" si="34"/>
        <v/>
      </c>
    </row>
    <row r="2166" spans="15:15" x14ac:dyDescent="0.3">
      <c r="O2166" t="str">
        <f t="shared" si="34"/>
        <v/>
      </c>
    </row>
    <row r="2167" spans="15:15" x14ac:dyDescent="0.3">
      <c r="O2167" t="str">
        <f t="shared" si="34"/>
        <v/>
      </c>
    </row>
    <row r="2168" spans="15:15" x14ac:dyDescent="0.3">
      <c r="O2168" t="str">
        <f t="shared" si="34"/>
        <v/>
      </c>
    </row>
    <row r="2169" spans="15:15" x14ac:dyDescent="0.3">
      <c r="O2169" t="str">
        <f t="shared" si="34"/>
        <v/>
      </c>
    </row>
    <row r="2170" spans="15:15" x14ac:dyDescent="0.3">
      <c r="O2170" t="str">
        <f t="shared" si="34"/>
        <v/>
      </c>
    </row>
    <row r="2171" spans="15:15" x14ac:dyDescent="0.3">
      <c r="O2171" t="str">
        <f t="shared" si="34"/>
        <v/>
      </c>
    </row>
    <row r="2172" spans="15:15" x14ac:dyDescent="0.3">
      <c r="O2172" t="str">
        <f t="shared" si="34"/>
        <v/>
      </c>
    </row>
    <row r="2173" spans="15:15" x14ac:dyDescent="0.3">
      <c r="O2173" t="str">
        <f t="shared" si="34"/>
        <v/>
      </c>
    </row>
    <row r="2174" spans="15:15" x14ac:dyDescent="0.3">
      <c r="O2174" t="str">
        <f t="shared" si="34"/>
        <v/>
      </c>
    </row>
    <row r="2175" spans="15:15" x14ac:dyDescent="0.3">
      <c r="O2175" t="str">
        <f t="shared" si="34"/>
        <v/>
      </c>
    </row>
    <row r="2176" spans="15:15" x14ac:dyDescent="0.3">
      <c r="O2176" t="str">
        <f t="shared" si="34"/>
        <v/>
      </c>
    </row>
    <row r="2177" spans="15:15" x14ac:dyDescent="0.3">
      <c r="O2177" t="str">
        <f t="shared" si="34"/>
        <v/>
      </c>
    </row>
    <row r="2178" spans="15:15" x14ac:dyDescent="0.3">
      <c r="O2178" t="str">
        <f t="shared" si="34"/>
        <v/>
      </c>
    </row>
    <row r="2179" spans="15:15" x14ac:dyDescent="0.3">
      <c r="O2179" t="str">
        <f t="shared" si="34"/>
        <v/>
      </c>
    </row>
    <row r="2180" spans="15:15" x14ac:dyDescent="0.3">
      <c r="O2180" t="str">
        <f t="shared" si="34"/>
        <v/>
      </c>
    </row>
    <row r="2181" spans="15:15" x14ac:dyDescent="0.3">
      <c r="O2181" t="str">
        <f t="shared" si="34"/>
        <v/>
      </c>
    </row>
    <row r="2182" spans="15:15" x14ac:dyDescent="0.3">
      <c r="O2182" t="str">
        <f t="shared" si="34"/>
        <v/>
      </c>
    </row>
    <row r="2183" spans="15:15" x14ac:dyDescent="0.3">
      <c r="O2183" t="str">
        <f t="shared" si="34"/>
        <v/>
      </c>
    </row>
    <row r="2184" spans="15:15" x14ac:dyDescent="0.3">
      <c r="O2184" t="str">
        <f t="shared" si="34"/>
        <v/>
      </c>
    </row>
    <row r="2185" spans="15:15" x14ac:dyDescent="0.3">
      <c r="O2185" t="str">
        <f t="shared" si="34"/>
        <v/>
      </c>
    </row>
    <row r="2186" spans="15:15" x14ac:dyDescent="0.3">
      <c r="O2186" t="str">
        <f t="shared" ref="O2186:O2249" si="35">IF(P2186="","",O2185+1)</f>
        <v/>
      </c>
    </row>
    <row r="2187" spans="15:15" x14ac:dyDescent="0.3">
      <c r="O2187" t="str">
        <f t="shared" si="35"/>
        <v/>
      </c>
    </row>
    <row r="2188" spans="15:15" x14ac:dyDescent="0.3">
      <c r="O2188" t="str">
        <f t="shared" si="35"/>
        <v/>
      </c>
    </row>
    <row r="2189" spans="15:15" x14ac:dyDescent="0.3">
      <c r="O2189" t="str">
        <f t="shared" si="35"/>
        <v/>
      </c>
    </row>
    <row r="2190" spans="15:15" x14ac:dyDescent="0.3">
      <c r="O2190" t="str">
        <f t="shared" si="35"/>
        <v/>
      </c>
    </row>
    <row r="2191" spans="15:15" x14ac:dyDescent="0.3">
      <c r="O2191" t="str">
        <f t="shared" si="35"/>
        <v/>
      </c>
    </row>
    <row r="2192" spans="15:15" x14ac:dyDescent="0.3">
      <c r="O2192" t="str">
        <f t="shared" si="35"/>
        <v/>
      </c>
    </row>
    <row r="2193" spans="15:15" x14ac:dyDescent="0.3">
      <c r="O2193" t="str">
        <f t="shared" si="35"/>
        <v/>
      </c>
    </row>
    <row r="2194" spans="15:15" x14ac:dyDescent="0.3">
      <c r="O2194" t="str">
        <f t="shared" si="35"/>
        <v/>
      </c>
    </row>
    <row r="2195" spans="15:15" x14ac:dyDescent="0.3">
      <c r="O2195" t="str">
        <f t="shared" si="35"/>
        <v/>
      </c>
    </row>
    <row r="2196" spans="15:15" x14ac:dyDescent="0.3">
      <c r="O2196" t="str">
        <f t="shared" si="35"/>
        <v/>
      </c>
    </row>
    <row r="2197" spans="15:15" x14ac:dyDescent="0.3">
      <c r="O2197" t="str">
        <f t="shared" si="35"/>
        <v/>
      </c>
    </row>
    <row r="2198" spans="15:15" x14ac:dyDescent="0.3">
      <c r="O2198" t="str">
        <f t="shared" si="35"/>
        <v/>
      </c>
    </row>
    <row r="2199" spans="15:15" x14ac:dyDescent="0.3">
      <c r="O2199" t="str">
        <f t="shared" si="35"/>
        <v/>
      </c>
    </row>
    <row r="2200" spans="15:15" x14ac:dyDescent="0.3">
      <c r="O2200" t="str">
        <f t="shared" si="35"/>
        <v/>
      </c>
    </row>
    <row r="2201" spans="15:15" x14ac:dyDescent="0.3">
      <c r="O2201" t="str">
        <f t="shared" si="35"/>
        <v/>
      </c>
    </row>
    <row r="2202" spans="15:15" x14ac:dyDescent="0.3">
      <c r="O2202" t="str">
        <f t="shared" si="35"/>
        <v/>
      </c>
    </row>
    <row r="2203" spans="15:15" x14ac:dyDescent="0.3">
      <c r="O2203" t="str">
        <f t="shared" si="35"/>
        <v/>
      </c>
    </row>
    <row r="2204" spans="15:15" x14ac:dyDescent="0.3">
      <c r="O2204" t="str">
        <f t="shared" si="35"/>
        <v/>
      </c>
    </row>
    <row r="2205" spans="15:15" x14ac:dyDescent="0.3">
      <c r="O2205" t="str">
        <f t="shared" si="35"/>
        <v/>
      </c>
    </row>
    <row r="2206" spans="15:15" x14ac:dyDescent="0.3">
      <c r="O2206" t="str">
        <f t="shared" si="35"/>
        <v/>
      </c>
    </row>
    <row r="2207" spans="15:15" x14ac:dyDescent="0.3">
      <c r="O2207" t="str">
        <f t="shared" si="35"/>
        <v/>
      </c>
    </row>
    <row r="2208" spans="15:15" x14ac:dyDescent="0.3">
      <c r="O2208" t="str">
        <f t="shared" si="35"/>
        <v/>
      </c>
    </row>
    <row r="2209" spans="15:15" x14ac:dyDescent="0.3">
      <c r="O2209" t="str">
        <f t="shared" si="35"/>
        <v/>
      </c>
    </row>
    <row r="2210" spans="15:15" x14ac:dyDescent="0.3">
      <c r="O2210" t="str">
        <f t="shared" si="35"/>
        <v/>
      </c>
    </row>
    <row r="2211" spans="15:15" x14ac:dyDescent="0.3">
      <c r="O2211" t="str">
        <f t="shared" si="35"/>
        <v/>
      </c>
    </row>
    <row r="2212" spans="15:15" x14ac:dyDescent="0.3">
      <c r="O2212" t="str">
        <f t="shared" si="35"/>
        <v/>
      </c>
    </row>
    <row r="2213" spans="15:15" x14ac:dyDescent="0.3">
      <c r="O2213" t="str">
        <f t="shared" si="35"/>
        <v/>
      </c>
    </row>
    <row r="2214" spans="15:15" x14ac:dyDescent="0.3">
      <c r="O2214" t="str">
        <f t="shared" si="35"/>
        <v/>
      </c>
    </row>
    <row r="2215" spans="15:15" x14ac:dyDescent="0.3">
      <c r="O2215" t="str">
        <f t="shared" si="35"/>
        <v/>
      </c>
    </row>
    <row r="2216" spans="15:15" x14ac:dyDescent="0.3">
      <c r="O2216" t="str">
        <f t="shared" si="35"/>
        <v/>
      </c>
    </row>
    <row r="2217" spans="15:15" x14ac:dyDescent="0.3">
      <c r="O2217" t="str">
        <f t="shared" si="35"/>
        <v/>
      </c>
    </row>
    <row r="2218" spans="15:15" x14ac:dyDescent="0.3">
      <c r="O2218" t="str">
        <f t="shared" si="35"/>
        <v/>
      </c>
    </row>
    <row r="2219" spans="15:15" x14ac:dyDescent="0.3">
      <c r="O2219" t="str">
        <f t="shared" si="35"/>
        <v/>
      </c>
    </row>
    <row r="2220" spans="15:15" x14ac:dyDescent="0.3">
      <c r="O2220" t="str">
        <f t="shared" si="35"/>
        <v/>
      </c>
    </row>
    <row r="2221" spans="15:15" x14ac:dyDescent="0.3">
      <c r="O2221" t="str">
        <f t="shared" si="35"/>
        <v/>
      </c>
    </row>
    <row r="2222" spans="15:15" x14ac:dyDescent="0.3">
      <c r="O2222" t="str">
        <f t="shared" si="35"/>
        <v/>
      </c>
    </row>
    <row r="2223" spans="15:15" x14ac:dyDescent="0.3">
      <c r="O2223" t="str">
        <f t="shared" si="35"/>
        <v/>
      </c>
    </row>
    <row r="2224" spans="15:15" x14ac:dyDescent="0.3">
      <c r="O2224" t="str">
        <f t="shared" si="35"/>
        <v/>
      </c>
    </row>
    <row r="2225" spans="15:15" x14ac:dyDescent="0.3">
      <c r="O2225" t="str">
        <f t="shared" si="35"/>
        <v/>
      </c>
    </row>
    <row r="2226" spans="15:15" x14ac:dyDescent="0.3">
      <c r="O2226" t="str">
        <f t="shared" si="35"/>
        <v/>
      </c>
    </row>
    <row r="2227" spans="15:15" x14ac:dyDescent="0.3">
      <c r="O2227" t="str">
        <f t="shared" si="35"/>
        <v/>
      </c>
    </row>
    <row r="2228" spans="15:15" x14ac:dyDescent="0.3">
      <c r="O2228" t="str">
        <f t="shared" si="35"/>
        <v/>
      </c>
    </row>
    <row r="2229" spans="15:15" x14ac:dyDescent="0.3">
      <c r="O2229" t="str">
        <f t="shared" si="35"/>
        <v/>
      </c>
    </row>
    <row r="2230" spans="15:15" x14ac:dyDescent="0.3">
      <c r="O2230" t="str">
        <f t="shared" si="35"/>
        <v/>
      </c>
    </row>
    <row r="2231" spans="15:15" x14ac:dyDescent="0.3">
      <c r="O2231" t="str">
        <f t="shared" si="35"/>
        <v/>
      </c>
    </row>
    <row r="2232" spans="15:15" x14ac:dyDescent="0.3">
      <c r="O2232" t="str">
        <f t="shared" si="35"/>
        <v/>
      </c>
    </row>
    <row r="2233" spans="15:15" x14ac:dyDescent="0.3">
      <c r="O2233" t="str">
        <f t="shared" si="35"/>
        <v/>
      </c>
    </row>
    <row r="2234" spans="15:15" x14ac:dyDescent="0.3">
      <c r="O2234" t="str">
        <f t="shared" si="35"/>
        <v/>
      </c>
    </row>
    <row r="2235" spans="15:15" x14ac:dyDescent="0.3">
      <c r="O2235" t="str">
        <f t="shared" si="35"/>
        <v/>
      </c>
    </row>
    <row r="2236" spans="15:15" x14ac:dyDescent="0.3">
      <c r="O2236" t="str">
        <f t="shared" si="35"/>
        <v/>
      </c>
    </row>
    <row r="2237" spans="15:15" x14ac:dyDescent="0.3">
      <c r="O2237" t="str">
        <f t="shared" si="35"/>
        <v/>
      </c>
    </row>
    <row r="2238" spans="15:15" x14ac:dyDescent="0.3">
      <c r="O2238" t="str">
        <f t="shared" si="35"/>
        <v/>
      </c>
    </row>
    <row r="2239" spans="15:15" x14ac:dyDescent="0.3">
      <c r="O2239" t="str">
        <f t="shared" si="35"/>
        <v/>
      </c>
    </row>
    <row r="2240" spans="15:15" x14ac:dyDescent="0.3">
      <c r="O2240" t="str">
        <f t="shared" si="35"/>
        <v/>
      </c>
    </row>
    <row r="2241" spans="15:15" x14ac:dyDescent="0.3">
      <c r="O2241" t="str">
        <f t="shared" si="35"/>
        <v/>
      </c>
    </row>
    <row r="2242" spans="15:15" x14ac:dyDescent="0.3">
      <c r="O2242" t="str">
        <f t="shared" si="35"/>
        <v/>
      </c>
    </row>
    <row r="2243" spans="15:15" x14ac:dyDescent="0.3">
      <c r="O2243" t="str">
        <f t="shared" si="35"/>
        <v/>
      </c>
    </row>
    <row r="2244" spans="15:15" x14ac:dyDescent="0.3">
      <c r="O2244" t="str">
        <f t="shared" si="35"/>
        <v/>
      </c>
    </row>
    <row r="2245" spans="15:15" x14ac:dyDescent="0.3">
      <c r="O2245" t="str">
        <f t="shared" si="35"/>
        <v/>
      </c>
    </row>
    <row r="2246" spans="15:15" x14ac:dyDescent="0.3">
      <c r="O2246" t="str">
        <f t="shared" si="35"/>
        <v/>
      </c>
    </row>
    <row r="2247" spans="15:15" x14ac:dyDescent="0.3">
      <c r="O2247" t="str">
        <f t="shared" si="35"/>
        <v/>
      </c>
    </row>
    <row r="2248" spans="15:15" x14ac:dyDescent="0.3">
      <c r="O2248" t="str">
        <f t="shared" si="35"/>
        <v/>
      </c>
    </row>
    <row r="2249" spans="15:15" x14ac:dyDescent="0.3">
      <c r="O2249" t="str">
        <f t="shared" si="35"/>
        <v/>
      </c>
    </row>
    <row r="2250" spans="15:15" x14ac:dyDescent="0.3">
      <c r="O2250" t="str">
        <f t="shared" ref="O2250:O2313" si="36">IF(P2250="","",O2249+1)</f>
        <v/>
      </c>
    </row>
    <row r="2251" spans="15:15" x14ac:dyDescent="0.3">
      <c r="O2251" t="str">
        <f t="shared" si="36"/>
        <v/>
      </c>
    </row>
    <row r="2252" spans="15:15" x14ac:dyDescent="0.3">
      <c r="O2252" t="str">
        <f t="shared" si="36"/>
        <v/>
      </c>
    </row>
    <row r="2253" spans="15:15" x14ac:dyDescent="0.3">
      <c r="O2253" t="str">
        <f t="shared" si="36"/>
        <v/>
      </c>
    </row>
    <row r="2254" spans="15:15" x14ac:dyDescent="0.3">
      <c r="O2254" t="str">
        <f t="shared" si="36"/>
        <v/>
      </c>
    </row>
    <row r="2255" spans="15:15" x14ac:dyDescent="0.3">
      <c r="O2255" t="str">
        <f t="shared" si="36"/>
        <v/>
      </c>
    </row>
    <row r="2256" spans="15:15" x14ac:dyDescent="0.3">
      <c r="O2256" t="str">
        <f t="shared" si="36"/>
        <v/>
      </c>
    </row>
    <row r="2257" spans="15:15" x14ac:dyDescent="0.3">
      <c r="O2257" t="str">
        <f t="shared" si="36"/>
        <v/>
      </c>
    </row>
    <row r="2258" spans="15:15" x14ac:dyDescent="0.3">
      <c r="O2258" t="str">
        <f t="shared" si="36"/>
        <v/>
      </c>
    </row>
    <row r="2259" spans="15:15" x14ac:dyDescent="0.3">
      <c r="O2259" t="str">
        <f t="shared" si="36"/>
        <v/>
      </c>
    </row>
    <row r="2260" spans="15:15" x14ac:dyDescent="0.3">
      <c r="O2260" t="str">
        <f t="shared" si="36"/>
        <v/>
      </c>
    </row>
    <row r="2261" spans="15:15" x14ac:dyDescent="0.3">
      <c r="O2261" t="str">
        <f t="shared" si="36"/>
        <v/>
      </c>
    </row>
    <row r="2262" spans="15:15" x14ac:dyDescent="0.3">
      <c r="O2262" t="str">
        <f t="shared" si="36"/>
        <v/>
      </c>
    </row>
    <row r="2263" spans="15:15" x14ac:dyDescent="0.3">
      <c r="O2263" t="str">
        <f t="shared" si="36"/>
        <v/>
      </c>
    </row>
    <row r="2264" spans="15:15" x14ac:dyDescent="0.3">
      <c r="O2264" t="str">
        <f t="shared" si="36"/>
        <v/>
      </c>
    </row>
    <row r="2265" spans="15:15" x14ac:dyDescent="0.3">
      <c r="O2265" t="str">
        <f t="shared" si="36"/>
        <v/>
      </c>
    </row>
    <row r="2266" spans="15:15" x14ac:dyDescent="0.3">
      <c r="O2266" t="str">
        <f t="shared" si="36"/>
        <v/>
      </c>
    </row>
    <row r="2267" spans="15:15" x14ac:dyDescent="0.3">
      <c r="O2267" t="str">
        <f t="shared" si="36"/>
        <v/>
      </c>
    </row>
    <row r="2268" spans="15:15" x14ac:dyDescent="0.3">
      <c r="O2268" t="str">
        <f t="shared" si="36"/>
        <v/>
      </c>
    </row>
    <row r="2269" spans="15:15" x14ac:dyDescent="0.3">
      <c r="O2269" t="str">
        <f t="shared" si="36"/>
        <v/>
      </c>
    </row>
    <row r="2270" spans="15:15" x14ac:dyDescent="0.3">
      <c r="O2270" t="str">
        <f t="shared" si="36"/>
        <v/>
      </c>
    </row>
    <row r="2271" spans="15:15" x14ac:dyDescent="0.3">
      <c r="O2271" t="str">
        <f t="shared" si="36"/>
        <v/>
      </c>
    </row>
    <row r="2272" spans="15:15" x14ac:dyDescent="0.3">
      <c r="O2272" t="str">
        <f t="shared" si="36"/>
        <v/>
      </c>
    </row>
    <row r="2273" spans="15:15" x14ac:dyDescent="0.3">
      <c r="O2273" t="str">
        <f t="shared" si="36"/>
        <v/>
      </c>
    </row>
    <row r="2274" spans="15:15" x14ac:dyDescent="0.3">
      <c r="O2274" t="str">
        <f t="shared" si="36"/>
        <v/>
      </c>
    </row>
    <row r="2275" spans="15:15" x14ac:dyDescent="0.3">
      <c r="O2275" t="str">
        <f t="shared" si="36"/>
        <v/>
      </c>
    </row>
    <row r="2276" spans="15:15" x14ac:dyDescent="0.3">
      <c r="O2276" t="str">
        <f t="shared" si="36"/>
        <v/>
      </c>
    </row>
    <row r="2277" spans="15:15" x14ac:dyDescent="0.3">
      <c r="O2277" t="str">
        <f t="shared" si="36"/>
        <v/>
      </c>
    </row>
    <row r="2278" spans="15:15" x14ac:dyDescent="0.3">
      <c r="O2278" t="str">
        <f t="shared" si="36"/>
        <v/>
      </c>
    </row>
    <row r="2279" spans="15:15" x14ac:dyDescent="0.3">
      <c r="O2279" t="str">
        <f t="shared" si="36"/>
        <v/>
      </c>
    </row>
    <row r="2280" spans="15:15" x14ac:dyDescent="0.3">
      <c r="O2280" t="str">
        <f t="shared" si="36"/>
        <v/>
      </c>
    </row>
    <row r="2281" spans="15:15" x14ac:dyDescent="0.3">
      <c r="O2281" t="str">
        <f t="shared" si="36"/>
        <v/>
      </c>
    </row>
    <row r="2282" spans="15:15" x14ac:dyDescent="0.3">
      <c r="O2282" t="str">
        <f t="shared" si="36"/>
        <v/>
      </c>
    </row>
    <row r="2283" spans="15:15" x14ac:dyDescent="0.3">
      <c r="O2283" t="str">
        <f t="shared" si="36"/>
        <v/>
      </c>
    </row>
    <row r="2284" spans="15:15" x14ac:dyDescent="0.3">
      <c r="O2284" t="str">
        <f t="shared" si="36"/>
        <v/>
      </c>
    </row>
    <row r="2285" spans="15:15" x14ac:dyDescent="0.3">
      <c r="O2285" t="str">
        <f t="shared" si="36"/>
        <v/>
      </c>
    </row>
    <row r="2286" spans="15:15" x14ac:dyDescent="0.3">
      <c r="O2286" t="str">
        <f t="shared" si="36"/>
        <v/>
      </c>
    </row>
    <row r="2287" spans="15:15" x14ac:dyDescent="0.3">
      <c r="O2287" t="str">
        <f t="shared" si="36"/>
        <v/>
      </c>
    </row>
    <row r="2288" spans="15:15" x14ac:dyDescent="0.3">
      <c r="O2288" t="str">
        <f t="shared" si="36"/>
        <v/>
      </c>
    </row>
    <row r="2289" spans="15:15" x14ac:dyDescent="0.3">
      <c r="O2289" t="str">
        <f t="shared" si="36"/>
        <v/>
      </c>
    </row>
    <row r="2290" spans="15:15" x14ac:dyDescent="0.3">
      <c r="O2290" t="str">
        <f t="shared" si="36"/>
        <v/>
      </c>
    </row>
    <row r="2291" spans="15:15" x14ac:dyDescent="0.3">
      <c r="O2291" t="str">
        <f t="shared" si="36"/>
        <v/>
      </c>
    </row>
    <row r="2292" spans="15:15" x14ac:dyDescent="0.3">
      <c r="O2292" t="str">
        <f t="shared" si="36"/>
        <v/>
      </c>
    </row>
    <row r="2293" spans="15:15" x14ac:dyDescent="0.3">
      <c r="O2293" t="str">
        <f t="shared" si="36"/>
        <v/>
      </c>
    </row>
    <row r="2294" spans="15:15" x14ac:dyDescent="0.3">
      <c r="O2294" t="str">
        <f t="shared" si="36"/>
        <v/>
      </c>
    </row>
    <row r="2295" spans="15:15" x14ac:dyDescent="0.3">
      <c r="O2295" t="str">
        <f t="shared" si="36"/>
        <v/>
      </c>
    </row>
    <row r="2296" spans="15:15" x14ac:dyDescent="0.3">
      <c r="O2296" t="str">
        <f t="shared" si="36"/>
        <v/>
      </c>
    </row>
    <row r="2297" spans="15:15" x14ac:dyDescent="0.3">
      <c r="O2297" t="str">
        <f t="shared" si="36"/>
        <v/>
      </c>
    </row>
    <row r="2298" spans="15:15" x14ac:dyDescent="0.3">
      <c r="O2298" t="str">
        <f t="shared" si="36"/>
        <v/>
      </c>
    </row>
    <row r="2299" spans="15:15" x14ac:dyDescent="0.3">
      <c r="O2299" t="str">
        <f t="shared" si="36"/>
        <v/>
      </c>
    </row>
    <row r="2300" spans="15:15" x14ac:dyDescent="0.3">
      <c r="O2300" t="str">
        <f t="shared" si="36"/>
        <v/>
      </c>
    </row>
    <row r="2301" spans="15:15" x14ac:dyDescent="0.3">
      <c r="O2301" t="str">
        <f t="shared" si="36"/>
        <v/>
      </c>
    </row>
    <row r="2302" spans="15:15" x14ac:dyDescent="0.3">
      <c r="O2302" t="str">
        <f t="shared" si="36"/>
        <v/>
      </c>
    </row>
    <row r="2303" spans="15:15" x14ac:dyDescent="0.3">
      <c r="O2303" t="str">
        <f t="shared" si="36"/>
        <v/>
      </c>
    </row>
    <row r="2304" spans="15:15" x14ac:dyDescent="0.3">
      <c r="O2304" t="str">
        <f t="shared" si="36"/>
        <v/>
      </c>
    </row>
    <row r="2305" spans="15:15" x14ac:dyDescent="0.3">
      <c r="O2305" t="str">
        <f t="shared" si="36"/>
        <v/>
      </c>
    </row>
    <row r="2306" spans="15:15" x14ac:dyDescent="0.3">
      <c r="O2306" t="str">
        <f t="shared" si="36"/>
        <v/>
      </c>
    </row>
    <row r="2307" spans="15:15" x14ac:dyDescent="0.3">
      <c r="O2307" t="str">
        <f t="shared" si="36"/>
        <v/>
      </c>
    </row>
    <row r="2308" spans="15:15" x14ac:dyDescent="0.3">
      <c r="O2308" t="str">
        <f t="shared" si="36"/>
        <v/>
      </c>
    </row>
    <row r="2309" spans="15:15" x14ac:dyDescent="0.3">
      <c r="O2309" t="str">
        <f t="shared" si="36"/>
        <v/>
      </c>
    </row>
    <row r="2310" spans="15:15" x14ac:dyDescent="0.3">
      <c r="O2310" t="str">
        <f t="shared" si="36"/>
        <v/>
      </c>
    </row>
    <row r="2311" spans="15:15" x14ac:dyDescent="0.3">
      <c r="O2311" t="str">
        <f t="shared" si="36"/>
        <v/>
      </c>
    </row>
    <row r="2312" spans="15:15" x14ac:dyDescent="0.3">
      <c r="O2312" t="str">
        <f t="shared" si="36"/>
        <v/>
      </c>
    </row>
    <row r="2313" spans="15:15" x14ac:dyDescent="0.3">
      <c r="O2313" t="str">
        <f t="shared" si="36"/>
        <v/>
      </c>
    </row>
    <row r="2314" spans="15:15" x14ac:dyDescent="0.3">
      <c r="O2314" t="str">
        <f t="shared" ref="O2314:O2377" si="37">IF(P2314="","",O2313+1)</f>
        <v/>
      </c>
    </row>
    <row r="2315" spans="15:15" x14ac:dyDescent="0.3">
      <c r="O2315" t="str">
        <f t="shared" si="37"/>
        <v/>
      </c>
    </row>
    <row r="2316" spans="15:15" x14ac:dyDescent="0.3">
      <c r="O2316" t="str">
        <f t="shared" si="37"/>
        <v/>
      </c>
    </row>
    <row r="2317" spans="15:15" x14ac:dyDescent="0.3">
      <c r="O2317" t="str">
        <f t="shared" si="37"/>
        <v/>
      </c>
    </row>
    <row r="2318" spans="15:15" x14ac:dyDescent="0.3">
      <c r="O2318" t="str">
        <f t="shared" si="37"/>
        <v/>
      </c>
    </row>
    <row r="2319" spans="15:15" x14ac:dyDescent="0.3">
      <c r="O2319" t="str">
        <f t="shared" si="37"/>
        <v/>
      </c>
    </row>
    <row r="2320" spans="15:15" x14ac:dyDescent="0.3">
      <c r="O2320" t="str">
        <f t="shared" si="37"/>
        <v/>
      </c>
    </row>
    <row r="2321" spans="15:15" x14ac:dyDescent="0.3">
      <c r="O2321" t="str">
        <f t="shared" si="37"/>
        <v/>
      </c>
    </row>
    <row r="2322" spans="15:15" x14ac:dyDescent="0.3">
      <c r="O2322" t="str">
        <f t="shared" si="37"/>
        <v/>
      </c>
    </row>
    <row r="2323" spans="15:15" x14ac:dyDescent="0.3">
      <c r="O2323" t="str">
        <f t="shared" si="37"/>
        <v/>
      </c>
    </row>
    <row r="2324" spans="15:15" x14ac:dyDescent="0.3">
      <c r="O2324" t="str">
        <f t="shared" si="37"/>
        <v/>
      </c>
    </row>
    <row r="2325" spans="15:15" x14ac:dyDescent="0.3">
      <c r="O2325" t="str">
        <f t="shared" si="37"/>
        <v/>
      </c>
    </row>
    <row r="2326" spans="15:15" x14ac:dyDescent="0.3">
      <c r="O2326" t="str">
        <f t="shared" si="37"/>
        <v/>
      </c>
    </row>
    <row r="2327" spans="15:15" x14ac:dyDescent="0.3">
      <c r="O2327" t="str">
        <f t="shared" si="37"/>
        <v/>
      </c>
    </row>
    <row r="2328" spans="15:15" x14ac:dyDescent="0.3">
      <c r="O2328" t="str">
        <f t="shared" si="37"/>
        <v/>
      </c>
    </row>
    <row r="2329" spans="15:15" x14ac:dyDescent="0.3">
      <c r="O2329" t="str">
        <f t="shared" si="37"/>
        <v/>
      </c>
    </row>
    <row r="2330" spans="15:15" x14ac:dyDescent="0.3">
      <c r="O2330" t="str">
        <f t="shared" si="37"/>
        <v/>
      </c>
    </row>
    <row r="2331" spans="15:15" x14ac:dyDescent="0.3">
      <c r="O2331" t="str">
        <f t="shared" si="37"/>
        <v/>
      </c>
    </row>
    <row r="2332" spans="15:15" x14ac:dyDescent="0.3">
      <c r="O2332" t="str">
        <f t="shared" si="37"/>
        <v/>
      </c>
    </row>
    <row r="2333" spans="15:15" x14ac:dyDescent="0.3">
      <c r="O2333" t="str">
        <f t="shared" si="37"/>
        <v/>
      </c>
    </row>
    <row r="2334" spans="15:15" x14ac:dyDescent="0.3">
      <c r="O2334" t="str">
        <f t="shared" si="37"/>
        <v/>
      </c>
    </row>
    <row r="2335" spans="15:15" x14ac:dyDescent="0.3">
      <c r="O2335" t="str">
        <f t="shared" si="37"/>
        <v/>
      </c>
    </row>
    <row r="2336" spans="15:15" x14ac:dyDescent="0.3">
      <c r="O2336" t="str">
        <f t="shared" si="37"/>
        <v/>
      </c>
    </row>
    <row r="2337" spans="15:15" x14ac:dyDescent="0.3">
      <c r="O2337" t="str">
        <f t="shared" si="37"/>
        <v/>
      </c>
    </row>
    <row r="2338" spans="15:15" x14ac:dyDescent="0.3">
      <c r="O2338" t="str">
        <f t="shared" si="37"/>
        <v/>
      </c>
    </row>
    <row r="2339" spans="15:15" x14ac:dyDescent="0.3">
      <c r="O2339" t="str">
        <f t="shared" si="37"/>
        <v/>
      </c>
    </row>
    <row r="2340" spans="15:15" x14ac:dyDescent="0.3">
      <c r="O2340" t="str">
        <f t="shared" si="37"/>
        <v/>
      </c>
    </row>
    <row r="2341" spans="15:15" x14ac:dyDescent="0.3">
      <c r="O2341" t="str">
        <f t="shared" si="37"/>
        <v/>
      </c>
    </row>
    <row r="2342" spans="15:15" x14ac:dyDescent="0.3">
      <c r="O2342" t="str">
        <f t="shared" si="37"/>
        <v/>
      </c>
    </row>
    <row r="2343" spans="15:15" x14ac:dyDescent="0.3">
      <c r="O2343" t="str">
        <f t="shared" si="37"/>
        <v/>
      </c>
    </row>
    <row r="2344" spans="15:15" x14ac:dyDescent="0.3">
      <c r="O2344" t="str">
        <f t="shared" si="37"/>
        <v/>
      </c>
    </row>
    <row r="2345" spans="15:15" x14ac:dyDescent="0.3">
      <c r="O2345" t="str">
        <f t="shared" si="37"/>
        <v/>
      </c>
    </row>
    <row r="2346" spans="15:15" x14ac:dyDescent="0.3">
      <c r="O2346" t="str">
        <f t="shared" si="37"/>
        <v/>
      </c>
    </row>
    <row r="2347" spans="15:15" x14ac:dyDescent="0.3">
      <c r="O2347" t="str">
        <f t="shared" si="37"/>
        <v/>
      </c>
    </row>
    <row r="2348" spans="15:15" x14ac:dyDescent="0.3">
      <c r="O2348" t="str">
        <f t="shared" si="37"/>
        <v/>
      </c>
    </row>
    <row r="2349" spans="15:15" x14ac:dyDescent="0.3">
      <c r="O2349" t="str">
        <f t="shared" si="37"/>
        <v/>
      </c>
    </row>
    <row r="2350" spans="15:15" x14ac:dyDescent="0.3">
      <c r="O2350" t="str">
        <f t="shared" si="37"/>
        <v/>
      </c>
    </row>
    <row r="2351" spans="15:15" x14ac:dyDescent="0.3">
      <c r="O2351" t="str">
        <f t="shared" si="37"/>
        <v/>
      </c>
    </row>
    <row r="2352" spans="15:15" x14ac:dyDescent="0.3">
      <c r="O2352" t="str">
        <f t="shared" si="37"/>
        <v/>
      </c>
    </row>
    <row r="2353" spans="15:15" x14ac:dyDescent="0.3">
      <c r="O2353" t="str">
        <f t="shared" si="37"/>
        <v/>
      </c>
    </row>
    <row r="2354" spans="15:15" x14ac:dyDescent="0.3">
      <c r="O2354" t="str">
        <f t="shared" si="37"/>
        <v/>
      </c>
    </row>
    <row r="2355" spans="15:15" x14ac:dyDescent="0.3">
      <c r="O2355" t="str">
        <f t="shared" si="37"/>
        <v/>
      </c>
    </row>
    <row r="2356" spans="15:15" x14ac:dyDescent="0.3">
      <c r="O2356" t="str">
        <f t="shared" si="37"/>
        <v/>
      </c>
    </row>
    <row r="2357" spans="15:15" x14ac:dyDescent="0.3">
      <c r="O2357" t="str">
        <f t="shared" si="37"/>
        <v/>
      </c>
    </row>
    <row r="2358" spans="15:15" x14ac:dyDescent="0.3">
      <c r="O2358" t="str">
        <f t="shared" si="37"/>
        <v/>
      </c>
    </row>
    <row r="2359" spans="15:15" x14ac:dyDescent="0.3">
      <c r="O2359" t="str">
        <f t="shared" si="37"/>
        <v/>
      </c>
    </row>
    <row r="2360" spans="15:15" x14ac:dyDescent="0.3">
      <c r="O2360" t="str">
        <f t="shared" si="37"/>
        <v/>
      </c>
    </row>
    <row r="2361" spans="15:15" x14ac:dyDescent="0.3">
      <c r="O2361" t="str">
        <f t="shared" si="37"/>
        <v/>
      </c>
    </row>
    <row r="2362" spans="15:15" x14ac:dyDescent="0.3">
      <c r="O2362" t="str">
        <f t="shared" si="37"/>
        <v/>
      </c>
    </row>
    <row r="2363" spans="15:15" x14ac:dyDescent="0.3">
      <c r="O2363" t="str">
        <f t="shared" si="37"/>
        <v/>
      </c>
    </row>
    <row r="2364" spans="15:15" x14ac:dyDescent="0.3">
      <c r="O2364" t="str">
        <f t="shared" si="37"/>
        <v/>
      </c>
    </row>
    <row r="2365" spans="15:15" x14ac:dyDescent="0.3">
      <c r="O2365" t="str">
        <f t="shared" si="37"/>
        <v/>
      </c>
    </row>
    <row r="2366" spans="15:15" x14ac:dyDescent="0.3">
      <c r="O2366" t="str">
        <f t="shared" si="37"/>
        <v/>
      </c>
    </row>
    <row r="2367" spans="15:15" x14ac:dyDescent="0.3">
      <c r="O2367" t="str">
        <f t="shared" si="37"/>
        <v/>
      </c>
    </row>
    <row r="2368" spans="15:15" x14ac:dyDescent="0.3">
      <c r="O2368" t="str">
        <f t="shared" si="37"/>
        <v/>
      </c>
    </row>
    <row r="2369" spans="15:15" x14ac:dyDescent="0.3">
      <c r="O2369" t="str">
        <f t="shared" si="37"/>
        <v/>
      </c>
    </row>
    <row r="2370" spans="15:15" x14ac:dyDescent="0.3">
      <c r="O2370" t="str">
        <f t="shared" si="37"/>
        <v/>
      </c>
    </row>
    <row r="2371" spans="15:15" x14ac:dyDescent="0.3">
      <c r="O2371" t="str">
        <f t="shared" si="37"/>
        <v/>
      </c>
    </row>
    <row r="2372" spans="15:15" x14ac:dyDescent="0.3">
      <c r="O2372" t="str">
        <f t="shared" si="37"/>
        <v/>
      </c>
    </row>
    <row r="2373" spans="15:15" x14ac:dyDescent="0.3">
      <c r="O2373" t="str">
        <f t="shared" si="37"/>
        <v/>
      </c>
    </row>
    <row r="2374" spans="15:15" x14ac:dyDescent="0.3">
      <c r="O2374" t="str">
        <f t="shared" si="37"/>
        <v/>
      </c>
    </row>
    <row r="2375" spans="15:15" x14ac:dyDescent="0.3">
      <c r="O2375" t="str">
        <f t="shared" si="37"/>
        <v/>
      </c>
    </row>
    <row r="2376" spans="15:15" x14ac:dyDescent="0.3">
      <c r="O2376" t="str">
        <f t="shared" si="37"/>
        <v/>
      </c>
    </row>
    <row r="2377" spans="15:15" x14ac:dyDescent="0.3">
      <c r="O2377" t="str">
        <f t="shared" si="37"/>
        <v/>
      </c>
    </row>
    <row r="2378" spans="15:15" x14ac:dyDescent="0.3">
      <c r="O2378" t="str">
        <f t="shared" ref="O2378:O2441" si="38">IF(P2378="","",O2377+1)</f>
        <v/>
      </c>
    </row>
    <row r="2379" spans="15:15" x14ac:dyDescent="0.3">
      <c r="O2379" t="str">
        <f t="shared" si="38"/>
        <v/>
      </c>
    </row>
    <row r="2380" spans="15:15" x14ac:dyDescent="0.3">
      <c r="O2380" t="str">
        <f t="shared" si="38"/>
        <v/>
      </c>
    </row>
    <row r="2381" spans="15:15" x14ac:dyDescent="0.3">
      <c r="O2381" t="str">
        <f t="shared" si="38"/>
        <v/>
      </c>
    </row>
    <row r="2382" spans="15:15" x14ac:dyDescent="0.3">
      <c r="O2382" t="str">
        <f t="shared" si="38"/>
        <v/>
      </c>
    </row>
    <row r="2383" spans="15:15" x14ac:dyDescent="0.3">
      <c r="O2383" t="str">
        <f t="shared" si="38"/>
        <v/>
      </c>
    </row>
    <row r="2384" spans="15:15" x14ac:dyDescent="0.3">
      <c r="O2384" t="str">
        <f t="shared" si="38"/>
        <v/>
      </c>
    </row>
    <row r="2385" spans="15:15" x14ac:dyDescent="0.3">
      <c r="O2385" t="str">
        <f t="shared" si="38"/>
        <v/>
      </c>
    </row>
    <row r="2386" spans="15:15" x14ac:dyDescent="0.3">
      <c r="O2386" t="str">
        <f t="shared" si="38"/>
        <v/>
      </c>
    </row>
    <row r="2387" spans="15:15" x14ac:dyDescent="0.3">
      <c r="O2387" t="str">
        <f t="shared" si="38"/>
        <v/>
      </c>
    </row>
    <row r="2388" spans="15:15" x14ac:dyDescent="0.3">
      <c r="O2388" t="str">
        <f t="shared" si="38"/>
        <v/>
      </c>
    </row>
    <row r="2389" spans="15:15" x14ac:dyDescent="0.3">
      <c r="O2389" t="str">
        <f t="shared" si="38"/>
        <v/>
      </c>
    </row>
    <row r="2390" spans="15:15" x14ac:dyDescent="0.3">
      <c r="O2390" t="str">
        <f t="shared" si="38"/>
        <v/>
      </c>
    </row>
    <row r="2391" spans="15:15" x14ac:dyDescent="0.3">
      <c r="O2391" t="str">
        <f t="shared" si="38"/>
        <v/>
      </c>
    </row>
    <row r="2392" spans="15:15" x14ac:dyDescent="0.3">
      <c r="O2392" t="str">
        <f t="shared" si="38"/>
        <v/>
      </c>
    </row>
    <row r="2393" spans="15:15" x14ac:dyDescent="0.3">
      <c r="O2393" t="str">
        <f t="shared" si="38"/>
        <v/>
      </c>
    </row>
    <row r="2394" spans="15:15" x14ac:dyDescent="0.3">
      <c r="O2394" t="str">
        <f t="shared" si="38"/>
        <v/>
      </c>
    </row>
    <row r="2395" spans="15:15" x14ac:dyDescent="0.3">
      <c r="O2395" t="str">
        <f t="shared" si="38"/>
        <v/>
      </c>
    </row>
    <row r="2396" spans="15:15" x14ac:dyDescent="0.3">
      <c r="O2396" t="str">
        <f t="shared" si="38"/>
        <v/>
      </c>
    </row>
    <row r="2397" spans="15:15" x14ac:dyDescent="0.3">
      <c r="O2397" t="str">
        <f t="shared" si="38"/>
        <v/>
      </c>
    </row>
    <row r="2398" spans="15:15" x14ac:dyDescent="0.3">
      <c r="O2398" t="str">
        <f t="shared" si="38"/>
        <v/>
      </c>
    </row>
    <row r="2399" spans="15:15" x14ac:dyDescent="0.3">
      <c r="O2399" t="str">
        <f t="shared" si="38"/>
        <v/>
      </c>
    </row>
    <row r="2400" spans="15:15" x14ac:dyDescent="0.3">
      <c r="O2400" t="str">
        <f t="shared" si="38"/>
        <v/>
      </c>
    </row>
    <row r="2401" spans="15:15" x14ac:dyDescent="0.3">
      <c r="O2401" t="str">
        <f t="shared" si="38"/>
        <v/>
      </c>
    </row>
    <row r="2402" spans="15:15" x14ac:dyDescent="0.3">
      <c r="O2402" t="str">
        <f t="shared" si="38"/>
        <v/>
      </c>
    </row>
    <row r="2403" spans="15:15" x14ac:dyDescent="0.3">
      <c r="O2403" t="str">
        <f t="shared" si="38"/>
        <v/>
      </c>
    </row>
    <row r="2404" spans="15:15" x14ac:dyDescent="0.3">
      <c r="O2404" t="str">
        <f t="shared" si="38"/>
        <v/>
      </c>
    </row>
    <row r="2405" spans="15:15" x14ac:dyDescent="0.3">
      <c r="O2405" t="str">
        <f t="shared" si="38"/>
        <v/>
      </c>
    </row>
    <row r="2406" spans="15:15" x14ac:dyDescent="0.3">
      <c r="O2406" t="str">
        <f t="shared" si="38"/>
        <v/>
      </c>
    </row>
    <row r="2407" spans="15:15" x14ac:dyDescent="0.3">
      <c r="O2407" t="str">
        <f t="shared" si="38"/>
        <v/>
      </c>
    </row>
    <row r="2408" spans="15:15" x14ac:dyDescent="0.3">
      <c r="O2408" t="str">
        <f t="shared" si="38"/>
        <v/>
      </c>
    </row>
    <row r="2409" spans="15:15" x14ac:dyDescent="0.3">
      <c r="O2409" t="str">
        <f t="shared" si="38"/>
        <v/>
      </c>
    </row>
    <row r="2410" spans="15:15" x14ac:dyDescent="0.3">
      <c r="O2410" t="str">
        <f t="shared" si="38"/>
        <v/>
      </c>
    </row>
    <row r="2411" spans="15:15" x14ac:dyDescent="0.3">
      <c r="O2411" t="str">
        <f t="shared" si="38"/>
        <v/>
      </c>
    </row>
    <row r="2412" spans="15:15" x14ac:dyDescent="0.3">
      <c r="O2412" t="str">
        <f t="shared" si="38"/>
        <v/>
      </c>
    </row>
    <row r="2413" spans="15:15" x14ac:dyDescent="0.3">
      <c r="O2413" t="str">
        <f t="shared" si="38"/>
        <v/>
      </c>
    </row>
    <row r="2414" spans="15:15" x14ac:dyDescent="0.3">
      <c r="O2414" t="str">
        <f t="shared" si="38"/>
        <v/>
      </c>
    </row>
    <row r="2415" spans="15:15" x14ac:dyDescent="0.3">
      <c r="O2415" t="str">
        <f t="shared" si="38"/>
        <v/>
      </c>
    </row>
    <row r="2416" spans="15:15" x14ac:dyDescent="0.3">
      <c r="O2416" t="str">
        <f t="shared" si="38"/>
        <v/>
      </c>
    </row>
    <row r="2417" spans="15:15" x14ac:dyDescent="0.3">
      <c r="O2417" t="str">
        <f t="shared" si="38"/>
        <v/>
      </c>
    </row>
    <row r="2418" spans="15:15" x14ac:dyDescent="0.3">
      <c r="O2418" t="str">
        <f t="shared" si="38"/>
        <v/>
      </c>
    </row>
    <row r="2419" spans="15:15" x14ac:dyDescent="0.3">
      <c r="O2419" t="str">
        <f t="shared" si="38"/>
        <v/>
      </c>
    </row>
    <row r="2420" spans="15:15" x14ac:dyDescent="0.3">
      <c r="O2420" t="str">
        <f t="shared" si="38"/>
        <v/>
      </c>
    </row>
    <row r="2421" spans="15:15" x14ac:dyDescent="0.3">
      <c r="O2421" t="str">
        <f t="shared" si="38"/>
        <v/>
      </c>
    </row>
    <row r="2422" spans="15:15" x14ac:dyDescent="0.3">
      <c r="O2422" t="str">
        <f t="shared" si="38"/>
        <v/>
      </c>
    </row>
    <row r="2423" spans="15:15" x14ac:dyDescent="0.3">
      <c r="O2423" t="str">
        <f t="shared" si="38"/>
        <v/>
      </c>
    </row>
    <row r="2424" spans="15:15" x14ac:dyDescent="0.3">
      <c r="O2424" t="str">
        <f t="shared" si="38"/>
        <v/>
      </c>
    </row>
    <row r="2425" spans="15:15" x14ac:dyDescent="0.3">
      <c r="O2425" t="str">
        <f t="shared" si="38"/>
        <v/>
      </c>
    </row>
    <row r="2426" spans="15:15" x14ac:dyDescent="0.3">
      <c r="O2426" t="str">
        <f t="shared" si="38"/>
        <v/>
      </c>
    </row>
    <row r="2427" spans="15:15" x14ac:dyDescent="0.3">
      <c r="O2427" t="str">
        <f t="shared" si="38"/>
        <v/>
      </c>
    </row>
    <row r="2428" spans="15:15" x14ac:dyDescent="0.3">
      <c r="O2428" t="str">
        <f t="shared" si="38"/>
        <v/>
      </c>
    </row>
    <row r="2429" spans="15:15" x14ac:dyDescent="0.3">
      <c r="O2429" t="str">
        <f t="shared" si="38"/>
        <v/>
      </c>
    </row>
    <row r="2430" spans="15:15" x14ac:dyDescent="0.3">
      <c r="O2430" t="str">
        <f t="shared" si="38"/>
        <v/>
      </c>
    </row>
    <row r="2431" spans="15:15" x14ac:dyDescent="0.3">
      <c r="O2431" t="str">
        <f t="shared" si="38"/>
        <v/>
      </c>
    </row>
    <row r="2432" spans="15:15" x14ac:dyDescent="0.3">
      <c r="O2432" t="str">
        <f t="shared" si="38"/>
        <v/>
      </c>
    </row>
    <row r="2433" spans="15:15" x14ac:dyDescent="0.3">
      <c r="O2433" t="str">
        <f t="shared" si="38"/>
        <v/>
      </c>
    </row>
    <row r="2434" spans="15:15" x14ac:dyDescent="0.3">
      <c r="O2434" t="str">
        <f t="shared" si="38"/>
        <v/>
      </c>
    </row>
    <row r="2435" spans="15:15" x14ac:dyDescent="0.3">
      <c r="O2435" t="str">
        <f t="shared" si="38"/>
        <v/>
      </c>
    </row>
    <row r="2436" spans="15:15" x14ac:dyDescent="0.3">
      <c r="O2436" t="str">
        <f t="shared" si="38"/>
        <v/>
      </c>
    </row>
    <row r="2437" spans="15:15" x14ac:dyDescent="0.3">
      <c r="O2437" t="str">
        <f t="shared" si="38"/>
        <v/>
      </c>
    </row>
    <row r="2438" spans="15:15" x14ac:dyDescent="0.3">
      <c r="O2438" t="str">
        <f t="shared" si="38"/>
        <v/>
      </c>
    </row>
    <row r="2439" spans="15:15" x14ac:dyDescent="0.3">
      <c r="O2439" t="str">
        <f t="shared" si="38"/>
        <v/>
      </c>
    </row>
    <row r="2440" spans="15:15" x14ac:dyDescent="0.3">
      <c r="O2440" t="str">
        <f t="shared" si="38"/>
        <v/>
      </c>
    </row>
    <row r="2441" spans="15:15" x14ac:dyDescent="0.3">
      <c r="O2441" t="str">
        <f t="shared" si="38"/>
        <v/>
      </c>
    </row>
    <row r="2442" spans="15:15" x14ac:dyDescent="0.3">
      <c r="O2442" t="str">
        <f t="shared" ref="O2442:O2505" si="39">IF(P2442="","",O2441+1)</f>
        <v/>
      </c>
    </row>
    <row r="2443" spans="15:15" x14ac:dyDescent="0.3">
      <c r="O2443" t="str">
        <f t="shared" si="39"/>
        <v/>
      </c>
    </row>
    <row r="2444" spans="15:15" x14ac:dyDescent="0.3">
      <c r="O2444" t="str">
        <f t="shared" si="39"/>
        <v/>
      </c>
    </row>
    <row r="2445" spans="15:15" x14ac:dyDescent="0.3">
      <c r="O2445" t="str">
        <f t="shared" si="39"/>
        <v/>
      </c>
    </row>
    <row r="2446" spans="15:15" x14ac:dyDescent="0.3">
      <c r="O2446" t="str">
        <f t="shared" si="39"/>
        <v/>
      </c>
    </row>
    <row r="2447" spans="15:15" x14ac:dyDescent="0.3">
      <c r="O2447" t="str">
        <f t="shared" si="39"/>
        <v/>
      </c>
    </row>
    <row r="2448" spans="15:15" x14ac:dyDescent="0.3">
      <c r="O2448" t="str">
        <f t="shared" si="39"/>
        <v/>
      </c>
    </row>
    <row r="2449" spans="15:15" x14ac:dyDescent="0.3">
      <c r="O2449" t="str">
        <f t="shared" si="39"/>
        <v/>
      </c>
    </row>
    <row r="2450" spans="15:15" x14ac:dyDescent="0.3">
      <c r="O2450" t="str">
        <f t="shared" si="39"/>
        <v/>
      </c>
    </row>
    <row r="2451" spans="15:15" x14ac:dyDescent="0.3">
      <c r="O2451" t="str">
        <f t="shared" si="39"/>
        <v/>
      </c>
    </row>
    <row r="2452" spans="15:15" x14ac:dyDescent="0.3">
      <c r="O2452" t="str">
        <f t="shared" si="39"/>
        <v/>
      </c>
    </row>
    <row r="2453" spans="15:15" x14ac:dyDescent="0.3">
      <c r="O2453" t="str">
        <f t="shared" si="39"/>
        <v/>
      </c>
    </row>
    <row r="2454" spans="15:15" x14ac:dyDescent="0.3">
      <c r="O2454" t="str">
        <f t="shared" si="39"/>
        <v/>
      </c>
    </row>
    <row r="2455" spans="15:15" x14ac:dyDescent="0.3">
      <c r="O2455" t="str">
        <f t="shared" si="39"/>
        <v/>
      </c>
    </row>
    <row r="2456" spans="15:15" x14ac:dyDescent="0.3">
      <c r="O2456" t="str">
        <f t="shared" si="39"/>
        <v/>
      </c>
    </row>
    <row r="2457" spans="15:15" x14ac:dyDescent="0.3">
      <c r="O2457" t="str">
        <f t="shared" si="39"/>
        <v/>
      </c>
    </row>
    <row r="2458" spans="15:15" x14ac:dyDescent="0.3">
      <c r="O2458" t="str">
        <f t="shared" si="39"/>
        <v/>
      </c>
    </row>
    <row r="2459" spans="15:15" x14ac:dyDescent="0.3">
      <c r="O2459" t="str">
        <f t="shared" si="39"/>
        <v/>
      </c>
    </row>
    <row r="2460" spans="15:15" x14ac:dyDescent="0.3">
      <c r="O2460" t="str">
        <f t="shared" si="39"/>
        <v/>
      </c>
    </row>
    <row r="2461" spans="15:15" x14ac:dyDescent="0.3">
      <c r="O2461" t="str">
        <f t="shared" si="39"/>
        <v/>
      </c>
    </row>
    <row r="2462" spans="15:15" x14ac:dyDescent="0.3">
      <c r="O2462" t="str">
        <f t="shared" si="39"/>
        <v/>
      </c>
    </row>
    <row r="2463" spans="15:15" x14ac:dyDescent="0.3">
      <c r="O2463" t="str">
        <f t="shared" si="39"/>
        <v/>
      </c>
    </row>
    <row r="2464" spans="15:15" x14ac:dyDescent="0.3">
      <c r="O2464" t="str">
        <f t="shared" si="39"/>
        <v/>
      </c>
    </row>
    <row r="2465" spans="15:15" x14ac:dyDescent="0.3">
      <c r="O2465" t="str">
        <f t="shared" si="39"/>
        <v/>
      </c>
    </row>
    <row r="2466" spans="15:15" x14ac:dyDescent="0.3">
      <c r="O2466" t="str">
        <f t="shared" si="39"/>
        <v/>
      </c>
    </row>
    <row r="2467" spans="15:15" x14ac:dyDescent="0.3">
      <c r="O2467" t="str">
        <f t="shared" si="39"/>
        <v/>
      </c>
    </row>
    <row r="2468" spans="15:15" x14ac:dyDescent="0.3">
      <c r="O2468" t="str">
        <f t="shared" si="39"/>
        <v/>
      </c>
    </row>
    <row r="2469" spans="15:15" x14ac:dyDescent="0.3">
      <c r="O2469" t="str">
        <f t="shared" si="39"/>
        <v/>
      </c>
    </row>
    <row r="2470" spans="15:15" x14ac:dyDescent="0.3">
      <c r="O2470" t="str">
        <f t="shared" si="39"/>
        <v/>
      </c>
    </row>
    <row r="2471" spans="15:15" x14ac:dyDescent="0.3">
      <c r="O2471" t="str">
        <f t="shared" si="39"/>
        <v/>
      </c>
    </row>
    <row r="2472" spans="15:15" x14ac:dyDescent="0.3">
      <c r="O2472" t="str">
        <f t="shared" si="39"/>
        <v/>
      </c>
    </row>
    <row r="2473" spans="15:15" x14ac:dyDescent="0.3">
      <c r="O2473" t="str">
        <f t="shared" si="39"/>
        <v/>
      </c>
    </row>
    <row r="2474" spans="15:15" x14ac:dyDescent="0.3">
      <c r="O2474" t="str">
        <f t="shared" si="39"/>
        <v/>
      </c>
    </row>
    <row r="2475" spans="15:15" x14ac:dyDescent="0.3">
      <c r="O2475" t="str">
        <f t="shared" si="39"/>
        <v/>
      </c>
    </row>
    <row r="2476" spans="15:15" x14ac:dyDescent="0.3">
      <c r="O2476" t="str">
        <f t="shared" si="39"/>
        <v/>
      </c>
    </row>
    <row r="2477" spans="15:15" x14ac:dyDescent="0.3">
      <c r="O2477" t="str">
        <f t="shared" si="39"/>
        <v/>
      </c>
    </row>
    <row r="2478" spans="15:15" x14ac:dyDescent="0.3">
      <c r="O2478" t="str">
        <f t="shared" si="39"/>
        <v/>
      </c>
    </row>
    <row r="2479" spans="15:15" x14ac:dyDescent="0.3">
      <c r="O2479" t="str">
        <f t="shared" si="39"/>
        <v/>
      </c>
    </row>
    <row r="2480" spans="15:15" x14ac:dyDescent="0.3">
      <c r="O2480" t="str">
        <f t="shared" si="39"/>
        <v/>
      </c>
    </row>
    <row r="2481" spans="15:15" x14ac:dyDescent="0.3">
      <c r="O2481" t="str">
        <f t="shared" si="39"/>
        <v/>
      </c>
    </row>
    <row r="2482" spans="15:15" x14ac:dyDescent="0.3">
      <c r="O2482" t="str">
        <f t="shared" si="39"/>
        <v/>
      </c>
    </row>
    <row r="2483" spans="15:15" x14ac:dyDescent="0.3">
      <c r="O2483" t="str">
        <f t="shared" si="39"/>
        <v/>
      </c>
    </row>
    <row r="2484" spans="15:15" x14ac:dyDescent="0.3">
      <c r="O2484" t="str">
        <f t="shared" si="39"/>
        <v/>
      </c>
    </row>
    <row r="2485" spans="15:15" x14ac:dyDescent="0.3">
      <c r="O2485" t="str">
        <f t="shared" si="39"/>
        <v/>
      </c>
    </row>
    <row r="2486" spans="15:15" x14ac:dyDescent="0.3">
      <c r="O2486" t="str">
        <f t="shared" si="39"/>
        <v/>
      </c>
    </row>
    <row r="2487" spans="15:15" x14ac:dyDescent="0.3">
      <c r="O2487" t="str">
        <f t="shared" si="39"/>
        <v/>
      </c>
    </row>
    <row r="2488" spans="15:15" x14ac:dyDescent="0.3">
      <c r="O2488" t="str">
        <f t="shared" si="39"/>
        <v/>
      </c>
    </row>
    <row r="2489" spans="15:15" x14ac:dyDescent="0.3">
      <c r="O2489" t="str">
        <f t="shared" si="39"/>
        <v/>
      </c>
    </row>
    <row r="2490" spans="15:15" x14ac:dyDescent="0.3">
      <c r="O2490" t="str">
        <f t="shared" si="39"/>
        <v/>
      </c>
    </row>
    <row r="2491" spans="15:15" x14ac:dyDescent="0.3">
      <c r="O2491" t="str">
        <f t="shared" si="39"/>
        <v/>
      </c>
    </row>
    <row r="2492" spans="15:15" x14ac:dyDescent="0.3">
      <c r="O2492" t="str">
        <f t="shared" si="39"/>
        <v/>
      </c>
    </row>
    <row r="2493" spans="15:15" x14ac:dyDescent="0.3">
      <c r="O2493" t="str">
        <f t="shared" si="39"/>
        <v/>
      </c>
    </row>
    <row r="2494" spans="15:15" x14ac:dyDescent="0.3">
      <c r="O2494" t="str">
        <f t="shared" si="39"/>
        <v/>
      </c>
    </row>
    <row r="2495" spans="15:15" x14ac:dyDescent="0.3">
      <c r="O2495" t="str">
        <f t="shared" si="39"/>
        <v/>
      </c>
    </row>
    <row r="2496" spans="15:15" x14ac:dyDescent="0.3">
      <c r="O2496" t="str">
        <f t="shared" si="39"/>
        <v/>
      </c>
    </row>
    <row r="2497" spans="15:15" x14ac:dyDescent="0.3">
      <c r="O2497" t="str">
        <f t="shared" si="39"/>
        <v/>
      </c>
    </row>
    <row r="2498" spans="15:15" x14ac:dyDescent="0.3">
      <c r="O2498" t="str">
        <f t="shared" si="39"/>
        <v/>
      </c>
    </row>
    <row r="2499" spans="15:15" x14ac:dyDescent="0.3">
      <c r="O2499" t="str">
        <f t="shared" si="39"/>
        <v/>
      </c>
    </row>
    <row r="2500" spans="15:15" x14ac:dyDescent="0.3">
      <c r="O2500" t="str">
        <f t="shared" si="39"/>
        <v/>
      </c>
    </row>
    <row r="2501" spans="15:15" x14ac:dyDescent="0.3">
      <c r="O2501" t="str">
        <f t="shared" si="39"/>
        <v/>
      </c>
    </row>
    <row r="2502" spans="15:15" x14ac:dyDescent="0.3">
      <c r="O2502" t="str">
        <f t="shared" si="39"/>
        <v/>
      </c>
    </row>
    <row r="2503" spans="15:15" x14ac:dyDescent="0.3">
      <c r="O2503" t="str">
        <f t="shared" si="39"/>
        <v/>
      </c>
    </row>
    <row r="2504" spans="15:15" x14ac:dyDescent="0.3">
      <c r="O2504" t="str">
        <f t="shared" si="39"/>
        <v/>
      </c>
    </row>
    <row r="2505" spans="15:15" x14ac:dyDescent="0.3">
      <c r="O2505" t="str">
        <f t="shared" si="39"/>
        <v/>
      </c>
    </row>
    <row r="2506" spans="15:15" x14ac:dyDescent="0.3">
      <c r="O2506" t="str">
        <f t="shared" ref="O2506:O2569" si="40">IF(P2506="","",O2505+1)</f>
        <v/>
      </c>
    </row>
    <row r="2507" spans="15:15" x14ac:dyDescent="0.3">
      <c r="O2507" t="str">
        <f t="shared" si="40"/>
        <v/>
      </c>
    </row>
    <row r="2508" spans="15:15" x14ac:dyDescent="0.3">
      <c r="O2508" t="str">
        <f t="shared" si="40"/>
        <v/>
      </c>
    </row>
    <row r="2509" spans="15:15" x14ac:dyDescent="0.3">
      <c r="O2509" t="str">
        <f t="shared" si="40"/>
        <v/>
      </c>
    </row>
    <row r="2510" spans="15:15" x14ac:dyDescent="0.3">
      <c r="O2510" t="str">
        <f t="shared" si="40"/>
        <v/>
      </c>
    </row>
    <row r="2511" spans="15:15" x14ac:dyDescent="0.3">
      <c r="O2511" t="str">
        <f t="shared" si="40"/>
        <v/>
      </c>
    </row>
    <row r="2512" spans="15:15" x14ac:dyDescent="0.3">
      <c r="O2512" t="str">
        <f t="shared" si="40"/>
        <v/>
      </c>
    </row>
    <row r="2513" spans="15:15" x14ac:dyDescent="0.3">
      <c r="O2513" t="str">
        <f t="shared" si="40"/>
        <v/>
      </c>
    </row>
    <row r="2514" spans="15:15" x14ac:dyDescent="0.3">
      <c r="O2514" t="str">
        <f t="shared" si="40"/>
        <v/>
      </c>
    </row>
    <row r="2515" spans="15:15" x14ac:dyDescent="0.3">
      <c r="O2515" t="str">
        <f t="shared" si="40"/>
        <v/>
      </c>
    </row>
    <row r="2516" spans="15:15" x14ac:dyDescent="0.3">
      <c r="O2516" t="str">
        <f t="shared" si="40"/>
        <v/>
      </c>
    </row>
    <row r="2517" spans="15:15" x14ac:dyDescent="0.3">
      <c r="O2517" t="str">
        <f t="shared" si="40"/>
        <v/>
      </c>
    </row>
    <row r="2518" spans="15:15" x14ac:dyDescent="0.3">
      <c r="O2518" t="str">
        <f t="shared" si="40"/>
        <v/>
      </c>
    </row>
    <row r="2519" spans="15:15" x14ac:dyDescent="0.3">
      <c r="O2519" t="str">
        <f t="shared" si="40"/>
        <v/>
      </c>
    </row>
    <row r="2520" spans="15:15" x14ac:dyDescent="0.3">
      <c r="O2520" t="str">
        <f t="shared" si="40"/>
        <v/>
      </c>
    </row>
    <row r="2521" spans="15:15" x14ac:dyDescent="0.3">
      <c r="O2521" t="str">
        <f t="shared" si="40"/>
        <v/>
      </c>
    </row>
    <row r="2522" spans="15:15" x14ac:dyDescent="0.3">
      <c r="O2522" t="str">
        <f t="shared" si="40"/>
        <v/>
      </c>
    </row>
    <row r="2523" spans="15:15" x14ac:dyDescent="0.3">
      <c r="O2523" t="str">
        <f t="shared" si="40"/>
        <v/>
      </c>
    </row>
    <row r="2524" spans="15:15" x14ac:dyDescent="0.3">
      <c r="O2524" t="str">
        <f t="shared" si="40"/>
        <v/>
      </c>
    </row>
    <row r="2525" spans="15:15" x14ac:dyDescent="0.3">
      <c r="O2525" t="str">
        <f t="shared" si="40"/>
        <v/>
      </c>
    </row>
    <row r="2526" spans="15:15" x14ac:dyDescent="0.3">
      <c r="O2526" t="str">
        <f t="shared" si="40"/>
        <v/>
      </c>
    </row>
    <row r="2527" spans="15:15" x14ac:dyDescent="0.3">
      <c r="O2527" t="str">
        <f t="shared" si="40"/>
        <v/>
      </c>
    </row>
    <row r="2528" spans="15:15" x14ac:dyDescent="0.3">
      <c r="O2528" t="str">
        <f t="shared" si="40"/>
        <v/>
      </c>
    </row>
    <row r="2529" spans="15:15" x14ac:dyDescent="0.3">
      <c r="O2529" t="str">
        <f t="shared" si="40"/>
        <v/>
      </c>
    </row>
    <row r="2530" spans="15:15" x14ac:dyDescent="0.3">
      <c r="O2530" t="str">
        <f t="shared" si="40"/>
        <v/>
      </c>
    </row>
    <row r="2531" spans="15:15" x14ac:dyDescent="0.3">
      <c r="O2531" t="str">
        <f t="shared" si="40"/>
        <v/>
      </c>
    </row>
    <row r="2532" spans="15:15" x14ac:dyDescent="0.3">
      <c r="O2532" t="str">
        <f t="shared" si="40"/>
        <v/>
      </c>
    </row>
    <row r="2533" spans="15:15" x14ac:dyDescent="0.3">
      <c r="O2533" t="str">
        <f t="shared" si="40"/>
        <v/>
      </c>
    </row>
    <row r="2534" spans="15:15" x14ac:dyDescent="0.3">
      <c r="O2534" t="str">
        <f t="shared" si="40"/>
        <v/>
      </c>
    </row>
    <row r="2535" spans="15:15" x14ac:dyDescent="0.3">
      <c r="O2535" t="str">
        <f t="shared" si="40"/>
        <v/>
      </c>
    </row>
    <row r="2536" spans="15:15" x14ac:dyDescent="0.3">
      <c r="O2536" t="str">
        <f t="shared" si="40"/>
        <v/>
      </c>
    </row>
    <row r="2537" spans="15:15" x14ac:dyDescent="0.3">
      <c r="O2537" t="str">
        <f t="shared" si="40"/>
        <v/>
      </c>
    </row>
    <row r="2538" spans="15:15" x14ac:dyDescent="0.3">
      <c r="O2538" t="str">
        <f t="shared" si="40"/>
        <v/>
      </c>
    </row>
    <row r="2539" spans="15:15" x14ac:dyDescent="0.3">
      <c r="O2539" t="str">
        <f t="shared" si="40"/>
        <v/>
      </c>
    </row>
    <row r="2540" spans="15:15" x14ac:dyDescent="0.3">
      <c r="O2540" t="str">
        <f t="shared" si="40"/>
        <v/>
      </c>
    </row>
    <row r="2541" spans="15:15" x14ac:dyDescent="0.3">
      <c r="O2541" t="str">
        <f t="shared" si="40"/>
        <v/>
      </c>
    </row>
    <row r="2542" spans="15:15" x14ac:dyDescent="0.3">
      <c r="O2542" t="str">
        <f t="shared" si="40"/>
        <v/>
      </c>
    </row>
    <row r="2543" spans="15:15" x14ac:dyDescent="0.3">
      <c r="O2543" t="str">
        <f t="shared" si="40"/>
        <v/>
      </c>
    </row>
    <row r="2544" spans="15:15" x14ac:dyDescent="0.3">
      <c r="O2544" t="str">
        <f t="shared" si="40"/>
        <v/>
      </c>
    </row>
    <row r="2545" spans="15:15" x14ac:dyDescent="0.3">
      <c r="O2545" t="str">
        <f t="shared" si="40"/>
        <v/>
      </c>
    </row>
    <row r="2546" spans="15:15" x14ac:dyDescent="0.3">
      <c r="O2546" t="str">
        <f t="shared" si="40"/>
        <v/>
      </c>
    </row>
    <row r="2547" spans="15:15" x14ac:dyDescent="0.3">
      <c r="O2547" t="str">
        <f t="shared" si="40"/>
        <v/>
      </c>
    </row>
    <row r="2548" spans="15:15" x14ac:dyDescent="0.3">
      <c r="O2548" t="str">
        <f t="shared" si="40"/>
        <v/>
      </c>
    </row>
    <row r="2549" spans="15:15" x14ac:dyDescent="0.3">
      <c r="O2549" t="str">
        <f t="shared" si="40"/>
        <v/>
      </c>
    </row>
    <row r="2550" spans="15:15" x14ac:dyDescent="0.3">
      <c r="O2550" t="str">
        <f t="shared" si="40"/>
        <v/>
      </c>
    </row>
    <row r="2551" spans="15:15" x14ac:dyDescent="0.3">
      <c r="O2551" t="str">
        <f t="shared" si="40"/>
        <v/>
      </c>
    </row>
    <row r="2552" spans="15:15" x14ac:dyDescent="0.3">
      <c r="O2552" t="str">
        <f t="shared" si="40"/>
        <v/>
      </c>
    </row>
    <row r="2553" spans="15:15" x14ac:dyDescent="0.3">
      <c r="O2553" t="str">
        <f t="shared" si="40"/>
        <v/>
      </c>
    </row>
    <row r="2554" spans="15:15" x14ac:dyDescent="0.3">
      <c r="O2554" t="str">
        <f t="shared" si="40"/>
        <v/>
      </c>
    </row>
    <row r="2555" spans="15:15" x14ac:dyDescent="0.3">
      <c r="O2555" t="str">
        <f t="shared" si="40"/>
        <v/>
      </c>
    </row>
    <row r="2556" spans="15:15" x14ac:dyDescent="0.3">
      <c r="O2556" t="str">
        <f t="shared" si="40"/>
        <v/>
      </c>
    </row>
    <row r="2557" spans="15:15" x14ac:dyDescent="0.3">
      <c r="O2557" t="str">
        <f t="shared" si="40"/>
        <v/>
      </c>
    </row>
    <row r="2558" spans="15:15" x14ac:dyDescent="0.3">
      <c r="O2558" t="str">
        <f t="shared" si="40"/>
        <v/>
      </c>
    </row>
    <row r="2559" spans="15:15" x14ac:dyDescent="0.3">
      <c r="O2559" t="str">
        <f t="shared" si="40"/>
        <v/>
      </c>
    </row>
    <row r="2560" spans="15:15" x14ac:dyDescent="0.3">
      <c r="O2560" t="str">
        <f t="shared" si="40"/>
        <v/>
      </c>
    </row>
    <row r="2561" spans="15:15" x14ac:dyDescent="0.3">
      <c r="O2561" t="str">
        <f t="shared" si="40"/>
        <v/>
      </c>
    </row>
    <row r="2562" spans="15:15" x14ac:dyDescent="0.3">
      <c r="O2562" t="str">
        <f t="shared" si="40"/>
        <v/>
      </c>
    </row>
    <row r="2563" spans="15:15" x14ac:dyDescent="0.3">
      <c r="O2563" t="str">
        <f t="shared" si="40"/>
        <v/>
      </c>
    </row>
    <row r="2564" spans="15:15" x14ac:dyDescent="0.3">
      <c r="O2564" t="str">
        <f t="shared" si="40"/>
        <v/>
      </c>
    </row>
    <row r="2565" spans="15:15" x14ac:dyDescent="0.3">
      <c r="O2565" t="str">
        <f t="shared" si="40"/>
        <v/>
      </c>
    </row>
    <row r="2566" spans="15:15" x14ac:dyDescent="0.3">
      <c r="O2566" t="str">
        <f t="shared" si="40"/>
        <v/>
      </c>
    </row>
    <row r="2567" spans="15:15" x14ac:dyDescent="0.3">
      <c r="O2567" t="str">
        <f t="shared" si="40"/>
        <v/>
      </c>
    </row>
    <row r="2568" spans="15:15" x14ac:dyDescent="0.3">
      <c r="O2568" t="str">
        <f t="shared" si="40"/>
        <v/>
      </c>
    </row>
    <row r="2569" spans="15:15" x14ac:dyDescent="0.3">
      <c r="O2569" t="str">
        <f t="shared" si="40"/>
        <v/>
      </c>
    </row>
    <row r="2570" spans="15:15" x14ac:dyDescent="0.3">
      <c r="O2570" t="str">
        <f t="shared" ref="O2570:O2633" si="41">IF(P2570="","",O2569+1)</f>
        <v/>
      </c>
    </row>
    <row r="2571" spans="15:15" x14ac:dyDescent="0.3">
      <c r="O2571" t="str">
        <f t="shared" si="41"/>
        <v/>
      </c>
    </row>
    <row r="2572" spans="15:15" x14ac:dyDescent="0.3">
      <c r="O2572" t="str">
        <f t="shared" si="41"/>
        <v/>
      </c>
    </row>
    <row r="2573" spans="15:15" x14ac:dyDescent="0.3">
      <c r="O2573" t="str">
        <f t="shared" si="41"/>
        <v/>
      </c>
    </row>
    <row r="2574" spans="15:15" x14ac:dyDescent="0.3">
      <c r="O2574" t="str">
        <f t="shared" si="41"/>
        <v/>
      </c>
    </row>
    <row r="2575" spans="15:15" x14ac:dyDescent="0.3">
      <c r="O2575" t="str">
        <f t="shared" si="41"/>
        <v/>
      </c>
    </row>
    <row r="2576" spans="15:15" x14ac:dyDescent="0.3">
      <c r="O2576" t="str">
        <f t="shared" si="41"/>
        <v/>
      </c>
    </row>
    <row r="2577" spans="15:15" x14ac:dyDescent="0.3">
      <c r="O2577" t="str">
        <f t="shared" si="41"/>
        <v/>
      </c>
    </row>
    <row r="2578" spans="15:15" x14ac:dyDescent="0.3">
      <c r="O2578" t="str">
        <f t="shared" si="41"/>
        <v/>
      </c>
    </row>
    <row r="2579" spans="15:15" x14ac:dyDescent="0.3">
      <c r="O2579" t="str">
        <f t="shared" si="41"/>
        <v/>
      </c>
    </row>
    <row r="2580" spans="15:15" x14ac:dyDescent="0.3">
      <c r="O2580" t="str">
        <f t="shared" si="41"/>
        <v/>
      </c>
    </row>
    <row r="2581" spans="15:15" x14ac:dyDescent="0.3">
      <c r="O2581" t="str">
        <f t="shared" si="41"/>
        <v/>
      </c>
    </row>
    <row r="2582" spans="15:15" x14ac:dyDescent="0.3">
      <c r="O2582" t="str">
        <f t="shared" si="41"/>
        <v/>
      </c>
    </row>
    <row r="2583" spans="15:15" x14ac:dyDescent="0.3">
      <c r="O2583" t="str">
        <f t="shared" si="41"/>
        <v/>
      </c>
    </row>
    <row r="2584" spans="15:15" x14ac:dyDescent="0.3">
      <c r="O2584" t="str">
        <f t="shared" si="41"/>
        <v/>
      </c>
    </row>
    <row r="2585" spans="15:15" x14ac:dyDescent="0.3">
      <c r="O2585" t="str">
        <f t="shared" si="41"/>
        <v/>
      </c>
    </row>
    <row r="2586" spans="15:15" x14ac:dyDescent="0.3">
      <c r="O2586" t="str">
        <f t="shared" si="41"/>
        <v/>
      </c>
    </row>
    <row r="2587" spans="15:15" x14ac:dyDescent="0.3">
      <c r="O2587" t="str">
        <f t="shared" si="41"/>
        <v/>
      </c>
    </row>
    <row r="2588" spans="15:15" x14ac:dyDescent="0.3">
      <c r="O2588" t="str">
        <f t="shared" si="41"/>
        <v/>
      </c>
    </row>
    <row r="2589" spans="15:15" x14ac:dyDescent="0.3">
      <c r="O2589" t="str">
        <f t="shared" si="41"/>
        <v/>
      </c>
    </row>
    <row r="2590" spans="15:15" x14ac:dyDescent="0.3">
      <c r="O2590" t="str">
        <f t="shared" si="41"/>
        <v/>
      </c>
    </row>
    <row r="2591" spans="15:15" x14ac:dyDescent="0.3">
      <c r="O2591" t="str">
        <f t="shared" si="41"/>
        <v/>
      </c>
    </row>
    <row r="2592" spans="15:15" x14ac:dyDescent="0.3">
      <c r="O2592" t="str">
        <f t="shared" si="41"/>
        <v/>
      </c>
    </row>
    <row r="2593" spans="15:15" x14ac:dyDescent="0.3">
      <c r="O2593" t="str">
        <f t="shared" si="41"/>
        <v/>
      </c>
    </row>
    <row r="2594" spans="15:15" x14ac:dyDescent="0.3">
      <c r="O2594" t="str">
        <f t="shared" si="41"/>
        <v/>
      </c>
    </row>
    <row r="2595" spans="15:15" x14ac:dyDescent="0.3">
      <c r="O2595" t="str">
        <f t="shared" si="41"/>
        <v/>
      </c>
    </row>
    <row r="2596" spans="15:15" x14ac:dyDescent="0.3">
      <c r="O2596" t="str">
        <f t="shared" si="41"/>
        <v/>
      </c>
    </row>
    <row r="2597" spans="15:15" x14ac:dyDescent="0.3">
      <c r="O2597" t="str">
        <f t="shared" si="41"/>
        <v/>
      </c>
    </row>
    <row r="2598" spans="15:15" x14ac:dyDescent="0.3">
      <c r="O2598" t="str">
        <f t="shared" si="41"/>
        <v/>
      </c>
    </row>
    <row r="2599" spans="15:15" x14ac:dyDescent="0.3">
      <c r="O2599" t="str">
        <f t="shared" si="41"/>
        <v/>
      </c>
    </row>
    <row r="2600" spans="15:15" x14ac:dyDescent="0.3">
      <c r="O2600" t="str">
        <f t="shared" si="41"/>
        <v/>
      </c>
    </row>
    <row r="2601" spans="15:15" x14ac:dyDescent="0.3">
      <c r="O2601" t="str">
        <f t="shared" si="41"/>
        <v/>
      </c>
    </row>
    <row r="2602" spans="15:15" x14ac:dyDescent="0.3">
      <c r="O2602" t="str">
        <f t="shared" si="41"/>
        <v/>
      </c>
    </row>
    <row r="2603" spans="15:15" x14ac:dyDescent="0.3">
      <c r="O2603" t="str">
        <f t="shared" si="41"/>
        <v/>
      </c>
    </row>
    <row r="2604" spans="15:15" x14ac:dyDescent="0.3">
      <c r="O2604" t="str">
        <f t="shared" si="41"/>
        <v/>
      </c>
    </row>
    <row r="2605" spans="15:15" x14ac:dyDescent="0.3">
      <c r="O2605" t="str">
        <f t="shared" si="41"/>
        <v/>
      </c>
    </row>
    <row r="2606" spans="15:15" x14ac:dyDescent="0.3">
      <c r="O2606" t="str">
        <f t="shared" si="41"/>
        <v/>
      </c>
    </row>
    <row r="2607" spans="15:15" x14ac:dyDescent="0.3">
      <c r="O2607" t="str">
        <f t="shared" si="41"/>
        <v/>
      </c>
    </row>
    <row r="2608" spans="15:15" x14ac:dyDescent="0.3">
      <c r="O2608" t="str">
        <f t="shared" si="41"/>
        <v/>
      </c>
    </row>
    <row r="2609" spans="15:15" x14ac:dyDescent="0.3">
      <c r="O2609" t="str">
        <f t="shared" si="41"/>
        <v/>
      </c>
    </row>
    <row r="2610" spans="15:15" x14ac:dyDescent="0.3">
      <c r="O2610" t="str">
        <f t="shared" si="41"/>
        <v/>
      </c>
    </row>
    <row r="2611" spans="15:15" x14ac:dyDescent="0.3">
      <c r="O2611" t="str">
        <f t="shared" si="41"/>
        <v/>
      </c>
    </row>
    <row r="2612" spans="15:15" x14ac:dyDescent="0.3">
      <c r="O2612" t="str">
        <f t="shared" si="41"/>
        <v/>
      </c>
    </row>
    <row r="2613" spans="15:15" x14ac:dyDescent="0.3">
      <c r="O2613" t="str">
        <f t="shared" si="41"/>
        <v/>
      </c>
    </row>
    <row r="2614" spans="15:15" x14ac:dyDescent="0.3">
      <c r="O2614" t="str">
        <f t="shared" si="41"/>
        <v/>
      </c>
    </row>
    <row r="2615" spans="15:15" x14ac:dyDescent="0.3">
      <c r="O2615" t="str">
        <f t="shared" si="41"/>
        <v/>
      </c>
    </row>
    <row r="2616" spans="15:15" x14ac:dyDescent="0.3">
      <c r="O2616" t="str">
        <f t="shared" si="41"/>
        <v/>
      </c>
    </row>
    <row r="2617" spans="15:15" x14ac:dyDescent="0.3">
      <c r="O2617" t="str">
        <f t="shared" si="41"/>
        <v/>
      </c>
    </row>
    <row r="2618" spans="15:15" x14ac:dyDescent="0.3">
      <c r="O2618" t="str">
        <f t="shared" si="41"/>
        <v/>
      </c>
    </row>
    <row r="2619" spans="15:15" x14ac:dyDescent="0.3">
      <c r="O2619" t="str">
        <f t="shared" si="41"/>
        <v/>
      </c>
    </row>
    <row r="2620" spans="15:15" x14ac:dyDescent="0.3">
      <c r="O2620" t="str">
        <f t="shared" si="41"/>
        <v/>
      </c>
    </row>
    <row r="2621" spans="15:15" x14ac:dyDescent="0.3">
      <c r="O2621" t="str">
        <f t="shared" si="41"/>
        <v/>
      </c>
    </row>
    <row r="2622" spans="15:15" x14ac:dyDescent="0.3">
      <c r="O2622" t="str">
        <f t="shared" si="41"/>
        <v/>
      </c>
    </row>
    <row r="2623" spans="15:15" x14ac:dyDescent="0.3">
      <c r="O2623" t="str">
        <f t="shared" si="41"/>
        <v/>
      </c>
    </row>
    <row r="2624" spans="15:15" x14ac:dyDescent="0.3">
      <c r="O2624" t="str">
        <f t="shared" si="41"/>
        <v/>
      </c>
    </row>
    <row r="2625" spans="15:15" x14ac:dyDescent="0.3">
      <c r="O2625" t="str">
        <f t="shared" si="41"/>
        <v/>
      </c>
    </row>
    <row r="2626" spans="15:15" x14ac:dyDescent="0.3">
      <c r="O2626" t="str">
        <f t="shared" si="41"/>
        <v/>
      </c>
    </row>
    <row r="2627" spans="15:15" x14ac:dyDescent="0.3">
      <c r="O2627" t="str">
        <f t="shared" si="41"/>
        <v/>
      </c>
    </row>
    <row r="2628" spans="15:15" x14ac:dyDescent="0.3">
      <c r="O2628" t="str">
        <f t="shared" si="41"/>
        <v/>
      </c>
    </row>
    <row r="2629" spans="15:15" x14ac:dyDescent="0.3">
      <c r="O2629" t="str">
        <f t="shared" si="41"/>
        <v/>
      </c>
    </row>
    <row r="2630" spans="15:15" x14ac:dyDescent="0.3">
      <c r="O2630" t="str">
        <f t="shared" si="41"/>
        <v/>
      </c>
    </row>
    <row r="2631" spans="15:15" x14ac:dyDescent="0.3">
      <c r="O2631" t="str">
        <f t="shared" si="41"/>
        <v/>
      </c>
    </row>
    <row r="2632" spans="15:15" x14ac:dyDescent="0.3">
      <c r="O2632" t="str">
        <f t="shared" si="41"/>
        <v/>
      </c>
    </row>
    <row r="2633" spans="15:15" x14ac:dyDescent="0.3">
      <c r="O2633" t="str">
        <f t="shared" si="41"/>
        <v/>
      </c>
    </row>
    <row r="2634" spans="15:15" x14ac:dyDescent="0.3">
      <c r="O2634" t="str">
        <f t="shared" ref="O2634:O2697" si="42">IF(P2634="","",O2633+1)</f>
        <v/>
      </c>
    </row>
    <row r="2635" spans="15:15" x14ac:dyDescent="0.3">
      <c r="O2635" t="str">
        <f t="shared" si="42"/>
        <v/>
      </c>
    </row>
    <row r="2636" spans="15:15" x14ac:dyDescent="0.3">
      <c r="O2636" t="str">
        <f t="shared" si="42"/>
        <v/>
      </c>
    </row>
    <row r="2637" spans="15:15" x14ac:dyDescent="0.3">
      <c r="O2637" t="str">
        <f t="shared" si="42"/>
        <v/>
      </c>
    </row>
    <row r="2638" spans="15:15" x14ac:dyDescent="0.3">
      <c r="O2638" t="str">
        <f t="shared" si="42"/>
        <v/>
      </c>
    </row>
    <row r="2639" spans="15:15" x14ac:dyDescent="0.3">
      <c r="O2639" t="str">
        <f t="shared" si="42"/>
        <v/>
      </c>
    </row>
    <row r="2640" spans="15:15" x14ac:dyDescent="0.3">
      <c r="O2640" t="str">
        <f t="shared" si="42"/>
        <v/>
      </c>
    </row>
    <row r="2641" spans="15:15" x14ac:dyDescent="0.3">
      <c r="O2641" t="str">
        <f t="shared" si="42"/>
        <v/>
      </c>
    </row>
    <row r="2642" spans="15:15" x14ac:dyDescent="0.3">
      <c r="O2642" t="str">
        <f t="shared" si="42"/>
        <v/>
      </c>
    </row>
    <row r="2643" spans="15:15" x14ac:dyDescent="0.3">
      <c r="O2643" t="str">
        <f t="shared" si="42"/>
        <v/>
      </c>
    </row>
    <row r="2644" spans="15:15" x14ac:dyDescent="0.3">
      <c r="O2644" t="str">
        <f t="shared" si="42"/>
        <v/>
      </c>
    </row>
    <row r="2645" spans="15:15" x14ac:dyDescent="0.3">
      <c r="O2645" t="str">
        <f t="shared" si="42"/>
        <v/>
      </c>
    </row>
    <row r="2646" spans="15:15" x14ac:dyDescent="0.3">
      <c r="O2646" t="str">
        <f t="shared" si="42"/>
        <v/>
      </c>
    </row>
    <row r="2647" spans="15:15" x14ac:dyDescent="0.3">
      <c r="O2647" t="str">
        <f t="shared" si="42"/>
        <v/>
      </c>
    </row>
    <row r="2648" spans="15:15" x14ac:dyDescent="0.3">
      <c r="O2648" t="str">
        <f t="shared" si="42"/>
        <v/>
      </c>
    </row>
    <row r="2649" spans="15:15" x14ac:dyDescent="0.3">
      <c r="O2649" t="str">
        <f t="shared" si="42"/>
        <v/>
      </c>
    </row>
    <row r="2650" spans="15:15" x14ac:dyDescent="0.3">
      <c r="O2650" t="str">
        <f t="shared" si="42"/>
        <v/>
      </c>
    </row>
    <row r="2651" spans="15:15" x14ac:dyDescent="0.3">
      <c r="O2651" t="str">
        <f t="shared" si="42"/>
        <v/>
      </c>
    </row>
    <row r="2652" spans="15:15" x14ac:dyDescent="0.3">
      <c r="O2652" t="str">
        <f t="shared" si="42"/>
        <v/>
      </c>
    </row>
    <row r="2653" spans="15:15" x14ac:dyDescent="0.3">
      <c r="O2653" t="str">
        <f t="shared" si="42"/>
        <v/>
      </c>
    </row>
    <row r="2654" spans="15:15" x14ac:dyDescent="0.3">
      <c r="O2654" t="str">
        <f t="shared" si="42"/>
        <v/>
      </c>
    </row>
    <row r="2655" spans="15:15" x14ac:dyDescent="0.3">
      <c r="O2655" t="str">
        <f t="shared" si="42"/>
        <v/>
      </c>
    </row>
    <row r="2656" spans="15:15" x14ac:dyDescent="0.3">
      <c r="O2656" t="str">
        <f t="shared" si="42"/>
        <v/>
      </c>
    </row>
    <row r="2657" spans="15:15" x14ac:dyDescent="0.3">
      <c r="O2657" t="str">
        <f t="shared" si="42"/>
        <v/>
      </c>
    </row>
    <row r="2658" spans="15:15" x14ac:dyDescent="0.3">
      <c r="O2658" t="str">
        <f t="shared" si="42"/>
        <v/>
      </c>
    </row>
    <row r="2659" spans="15:15" x14ac:dyDescent="0.3">
      <c r="O2659" t="str">
        <f t="shared" si="42"/>
        <v/>
      </c>
    </row>
    <row r="2660" spans="15:15" x14ac:dyDescent="0.3">
      <c r="O2660" t="str">
        <f t="shared" si="42"/>
        <v/>
      </c>
    </row>
    <row r="2661" spans="15:15" x14ac:dyDescent="0.3">
      <c r="O2661" t="str">
        <f t="shared" si="42"/>
        <v/>
      </c>
    </row>
    <row r="2662" spans="15:15" x14ac:dyDescent="0.3">
      <c r="O2662" t="str">
        <f t="shared" si="42"/>
        <v/>
      </c>
    </row>
    <row r="2663" spans="15:15" x14ac:dyDescent="0.3">
      <c r="O2663" t="str">
        <f t="shared" si="42"/>
        <v/>
      </c>
    </row>
    <row r="2664" spans="15:15" x14ac:dyDescent="0.3">
      <c r="O2664" t="str">
        <f t="shared" si="42"/>
        <v/>
      </c>
    </row>
    <row r="2665" spans="15:15" x14ac:dyDescent="0.3">
      <c r="O2665" t="str">
        <f t="shared" si="42"/>
        <v/>
      </c>
    </row>
    <row r="2666" spans="15:15" x14ac:dyDescent="0.3">
      <c r="O2666" t="str">
        <f t="shared" si="42"/>
        <v/>
      </c>
    </row>
    <row r="2667" spans="15:15" x14ac:dyDescent="0.3">
      <c r="O2667" t="str">
        <f t="shared" si="42"/>
        <v/>
      </c>
    </row>
    <row r="2668" spans="15:15" x14ac:dyDescent="0.3">
      <c r="O2668" t="str">
        <f t="shared" si="42"/>
        <v/>
      </c>
    </row>
    <row r="2669" spans="15:15" x14ac:dyDescent="0.3">
      <c r="O2669" t="str">
        <f t="shared" si="42"/>
        <v/>
      </c>
    </row>
    <row r="2670" spans="15:15" x14ac:dyDescent="0.3">
      <c r="O2670" t="str">
        <f t="shared" si="42"/>
        <v/>
      </c>
    </row>
    <row r="2671" spans="15:15" x14ac:dyDescent="0.3">
      <c r="O2671" t="str">
        <f t="shared" si="42"/>
        <v/>
      </c>
    </row>
    <row r="2672" spans="15:15" x14ac:dyDescent="0.3">
      <c r="O2672" t="str">
        <f t="shared" si="42"/>
        <v/>
      </c>
    </row>
    <row r="2673" spans="15:15" x14ac:dyDescent="0.3">
      <c r="O2673" t="str">
        <f t="shared" si="42"/>
        <v/>
      </c>
    </row>
    <row r="2674" spans="15:15" x14ac:dyDescent="0.3">
      <c r="O2674" t="str">
        <f t="shared" si="42"/>
        <v/>
      </c>
    </row>
    <row r="2675" spans="15:15" x14ac:dyDescent="0.3">
      <c r="O2675" t="str">
        <f t="shared" si="42"/>
        <v/>
      </c>
    </row>
    <row r="2676" spans="15:15" x14ac:dyDescent="0.3">
      <c r="O2676" t="str">
        <f t="shared" si="42"/>
        <v/>
      </c>
    </row>
    <row r="2677" spans="15:15" x14ac:dyDescent="0.3">
      <c r="O2677" t="str">
        <f t="shared" si="42"/>
        <v/>
      </c>
    </row>
    <row r="2678" spans="15:15" x14ac:dyDescent="0.3">
      <c r="O2678" t="str">
        <f t="shared" si="42"/>
        <v/>
      </c>
    </row>
    <row r="2679" spans="15:15" x14ac:dyDescent="0.3">
      <c r="O2679" t="str">
        <f t="shared" si="42"/>
        <v/>
      </c>
    </row>
    <row r="2680" spans="15:15" x14ac:dyDescent="0.3">
      <c r="O2680" t="str">
        <f t="shared" si="42"/>
        <v/>
      </c>
    </row>
    <row r="2681" spans="15:15" x14ac:dyDescent="0.3">
      <c r="O2681" t="str">
        <f t="shared" si="42"/>
        <v/>
      </c>
    </row>
    <row r="2682" spans="15:15" x14ac:dyDescent="0.3">
      <c r="O2682" t="str">
        <f t="shared" si="42"/>
        <v/>
      </c>
    </row>
    <row r="2683" spans="15:15" x14ac:dyDescent="0.3">
      <c r="O2683" t="str">
        <f t="shared" si="42"/>
        <v/>
      </c>
    </row>
    <row r="2684" spans="15:15" x14ac:dyDescent="0.3">
      <c r="O2684" t="str">
        <f t="shared" si="42"/>
        <v/>
      </c>
    </row>
    <row r="2685" spans="15:15" x14ac:dyDescent="0.3">
      <c r="O2685" t="str">
        <f t="shared" si="42"/>
        <v/>
      </c>
    </row>
    <row r="2686" spans="15:15" x14ac:dyDescent="0.3">
      <c r="O2686" t="str">
        <f t="shared" si="42"/>
        <v/>
      </c>
    </row>
    <row r="2687" spans="15:15" x14ac:dyDescent="0.3">
      <c r="O2687" t="str">
        <f t="shared" si="42"/>
        <v/>
      </c>
    </row>
    <row r="2688" spans="15:15" x14ac:dyDescent="0.3">
      <c r="O2688" t="str">
        <f t="shared" si="42"/>
        <v/>
      </c>
    </row>
    <row r="2689" spans="15:15" x14ac:dyDescent="0.3">
      <c r="O2689" t="str">
        <f t="shared" si="42"/>
        <v/>
      </c>
    </row>
    <row r="2690" spans="15:15" x14ac:dyDescent="0.3">
      <c r="O2690" t="str">
        <f t="shared" si="42"/>
        <v/>
      </c>
    </row>
    <row r="2691" spans="15:15" x14ac:dyDescent="0.3">
      <c r="O2691" t="str">
        <f t="shared" si="42"/>
        <v/>
      </c>
    </row>
    <row r="2692" spans="15:15" x14ac:dyDescent="0.3">
      <c r="O2692" t="str">
        <f t="shared" si="42"/>
        <v/>
      </c>
    </row>
    <row r="2693" spans="15:15" x14ac:dyDescent="0.3">
      <c r="O2693" t="str">
        <f t="shared" si="42"/>
        <v/>
      </c>
    </row>
    <row r="2694" spans="15:15" x14ac:dyDescent="0.3">
      <c r="O2694" t="str">
        <f t="shared" si="42"/>
        <v/>
      </c>
    </row>
    <row r="2695" spans="15:15" x14ac:dyDescent="0.3">
      <c r="O2695" t="str">
        <f t="shared" si="42"/>
        <v/>
      </c>
    </row>
    <row r="2696" spans="15:15" x14ac:dyDescent="0.3">
      <c r="O2696" t="str">
        <f t="shared" si="42"/>
        <v/>
      </c>
    </row>
    <row r="2697" spans="15:15" x14ac:dyDescent="0.3">
      <c r="O2697" t="str">
        <f t="shared" si="42"/>
        <v/>
      </c>
    </row>
    <row r="2698" spans="15:15" x14ac:dyDescent="0.3">
      <c r="O2698" t="str">
        <f t="shared" ref="O2698:O2761" si="43">IF(P2698="","",O2697+1)</f>
        <v/>
      </c>
    </row>
    <row r="2699" spans="15:15" x14ac:dyDescent="0.3">
      <c r="O2699" t="str">
        <f t="shared" si="43"/>
        <v/>
      </c>
    </row>
    <row r="2700" spans="15:15" x14ac:dyDescent="0.3">
      <c r="O2700" t="str">
        <f t="shared" si="43"/>
        <v/>
      </c>
    </row>
    <row r="2701" spans="15:15" x14ac:dyDescent="0.3">
      <c r="O2701" t="str">
        <f t="shared" si="43"/>
        <v/>
      </c>
    </row>
    <row r="2702" spans="15:15" x14ac:dyDescent="0.3">
      <c r="O2702" t="str">
        <f t="shared" si="43"/>
        <v/>
      </c>
    </row>
    <row r="2703" spans="15:15" x14ac:dyDescent="0.3">
      <c r="O2703" t="str">
        <f t="shared" si="43"/>
        <v/>
      </c>
    </row>
    <row r="2704" spans="15:15" x14ac:dyDescent="0.3">
      <c r="O2704" t="str">
        <f t="shared" si="43"/>
        <v/>
      </c>
    </row>
    <row r="2705" spans="15:15" x14ac:dyDescent="0.3">
      <c r="O2705" t="str">
        <f t="shared" si="43"/>
        <v/>
      </c>
    </row>
    <row r="2706" spans="15:15" x14ac:dyDescent="0.3">
      <c r="O2706" t="str">
        <f t="shared" si="43"/>
        <v/>
      </c>
    </row>
    <row r="2707" spans="15:15" x14ac:dyDescent="0.3">
      <c r="O2707" t="str">
        <f t="shared" si="43"/>
        <v/>
      </c>
    </row>
    <row r="2708" spans="15:15" x14ac:dyDescent="0.3">
      <c r="O2708" t="str">
        <f t="shared" si="43"/>
        <v/>
      </c>
    </row>
    <row r="2709" spans="15:15" x14ac:dyDescent="0.3">
      <c r="O2709" t="str">
        <f t="shared" si="43"/>
        <v/>
      </c>
    </row>
    <row r="2710" spans="15:15" x14ac:dyDescent="0.3">
      <c r="O2710" t="str">
        <f t="shared" si="43"/>
        <v/>
      </c>
    </row>
    <row r="2711" spans="15:15" x14ac:dyDescent="0.3">
      <c r="O2711" t="str">
        <f t="shared" si="43"/>
        <v/>
      </c>
    </row>
    <row r="2712" spans="15:15" x14ac:dyDescent="0.3">
      <c r="O2712" t="str">
        <f t="shared" si="43"/>
        <v/>
      </c>
    </row>
    <row r="2713" spans="15:15" x14ac:dyDescent="0.3">
      <c r="O2713" t="str">
        <f t="shared" si="43"/>
        <v/>
      </c>
    </row>
    <row r="2714" spans="15:15" x14ac:dyDescent="0.3">
      <c r="O2714" t="str">
        <f t="shared" si="43"/>
        <v/>
      </c>
    </row>
    <row r="2715" spans="15:15" x14ac:dyDescent="0.3">
      <c r="O2715" t="str">
        <f t="shared" si="43"/>
        <v/>
      </c>
    </row>
    <row r="2716" spans="15:15" x14ac:dyDescent="0.3">
      <c r="O2716" t="str">
        <f t="shared" si="43"/>
        <v/>
      </c>
    </row>
    <row r="2717" spans="15:15" x14ac:dyDescent="0.3">
      <c r="O2717" t="str">
        <f t="shared" si="43"/>
        <v/>
      </c>
    </row>
    <row r="2718" spans="15:15" x14ac:dyDescent="0.3">
      <c r="O2718" t="str">
        <f t="shared" si="43"/>
        <v/>
      </c>
    </row>
    <row r="2719" spans="15:15" x14ac:dyDescent="0.3">
      <c r="O2719" t="str">
        <f t="shared" si="43"/>
        <v/>
      </c>
    </row>
    <row r="2720" spans="15:15" x14ac:dyDescent="0.3">
      <c r="O2720" t="str">
        <f t="shared" si="43"/>
        <v/>
      </c>
    </row>
    <row r="2721" spans="15:15" x14ac:dyDescent="0.3">
      <c r="O2721" t="str">
        <f t="shared" si="43"/>
        <v/>
      </c>
    </row>
    <row r="2722" spans="15:15" x14ac:dyDescent="0.3">
      <c r="O2722" t="str">
        <f t="shared" si="43"/>
        <v/>
      </c>
    </row>
    <row r="2723" spans="15:15" x14ac:dyDescent="0.3">
      <c r="O2723" t="str">
        <f t="shared" si="43"/>
        <v/>
      </c>
    </row>
    <row r="2724" spans="15:15" x14ac:dyDescent="0.3">
      <c r="O2724" t="str">
        <f t="shared" si="43"/>
        <v/>
      </c>
    </row>
    <row r="2725" spans="15:15" x14ac:dyDescent="0.3">
      <c r="O2725" t="str">
        <f t="shared" si="43"/>
        <v/>
      </c>
    </row>
    <row r="2726" spans="15:15" x14ac:dyDescent="0.3">
      <c r="O2726" t="str">
        <f t="shared" si="43"/>
        <v/>
      </c>
    </row>
    <row r="2727" spans="15:15" x14ac:dyDescent="0.3">
      <c r="O2727" t="str">
        <f t="shared" si="43"/>
        <v/>
      </c>
    </row>
    <row r="2728" spans="15:15" x14ac:dyDescent="0.3">
      <c r="O2728" t="str">
        <f t="shared" si="43"/>
        <v/>
      </c>
    </row>
    <row r="2729" spans="15:15" x14ac:dyDescent="0.3">
      <c r="O2729" t="str">
        <f t="shared" si="43"/>
        <v/>
      </c>
    </row>
    <row r="2730" spans="15:15" x14ac:dyDescent="0.3">
      <c r="O2730" t="str">
        <f t="shared" si="43"/>
        <v/>
      </c>
    </row>
    <row r="2731" spans="15:15" x14ac:dyDescent="0.3">
      <c r="O2731" t="str">
        <f t="shared" si="43"/>
        <v/>
      </c>
    </row>
    <row r="2732" spans="15:15" x14ac:dyDescent="0.3">
      <c r="O2732" t="str">
        <f t="shared" si="43"/>
        <v/>
      </c>
    </row>
    <row r="2733" spans="15:15" x14ac:dyDescent="0.3">
      <c r="O2733" t="str">
        <f t="shared" si="43"/>
        <v/>
      </c>
    </row>
    <row r="2734" spans="15:15" x14ac:dyDescent="0.3">
      <c r="O2734" t="str">
        <f t="shared" si="43"/>
        <v/>
      </c>
    </row>
    <row r="2735" spans="15:15" x14ac:dyDescent="0.3">
      <c r="O2735" t="str">
        <f t="shared" si="43"/>
        <v/>
      </c>
    </row>
    <row r="2736" spans="15:15" x14ac:dyDescent="0.3">
      <c r="O2736" t="str">
        <f t="shared" si="43"/>
        <v/>
      </c>
    </row>
    <row r="2737" spans="15:15" x14ac:dyDescent="0.3">
      <c r="O2737" t="str">
        <f t="shared" si="43"/>
        <v/>
      </c>
    </row>
    <row r="2738" spans="15:15" x14ac:dyDescent="0.3">
      <c r="O2738" t="str">
        <f t="shared" si="43"/>
        <v/>
      </c>
    </row>
    <row r="2739" spans="15:15" x14ac:dyDescent="0.3">
      <c r="O2739" t="str">
        <f t="shared" si="43"/>
        <v/>
      </c>
    </row>
    <row r="2740" spans="15:15" x14ac:dyDescent="0.3">
      <c r="O2740" t="str">
        <f t="shared" si="43"/>
        <v/>
      </c>
    </row>
    <row r="2741" spans="15:15" x14ac:dyDescent="0.3">
      <c r="O2741" t="str">
        <f t="shared" si="43"/>
        <v/>
      </c>
    </row>
    <row r="2742" spans="15:15" x14ac:dyDescent="0.3">
      <c r="O2742" t="str">
        <f t="shared" si="43"/>
        <v/>
      </c>
    </row>
    <row r="2743" spans="15:15" x14ac:dyDescent="0.3">
      <c r="O2743" t="str">
        <f t="shared" si="43"/>
        <v/>
      </c>
    </row>
    <row r="2744" spans="15:15" x14ac:dyDescent="0.3">
      <c r="O2744" t="str">
        <f t="shared" si="43"/>
        <v/>
      </c>
    </row>
    <row r="2745" spans="15:15" x14ac:dyDescent="0.3">
      <c r="O2745" t="str">
        <f t="shared" si="43"/>
        <v/>
      </c>
    </row>
    <row r="2746" spans="15:15" x14ac:dyDescent="0.3">
      <c r="O2746" t="str">
        <f t="shared" si="43"/>
        <v/>
      </c>
    </row>
    <row r="2747" spans="15:15" x14ac:dyDescent="0.3">
      <c r="O2747" t="str">
        <f t="shared" si="43"/>
        <v/>
      </c>
    </row>
    <row r="2748" spans="15:15" x14ac:dyDescent="0.3">
      <c r="O2748" t="str">
        <f t="shared" si="43"/>
        <v/>
      </c>
    </row>
    <row r="2749" spans="15:15" x14ac:dyDescent="0.3">
      <c r="O2749" t="str">
        <f t="shared" si="43"/>
        <v/>
      </c>
    </row>
    <row r="2750" spans="15:15" x14ac:dyDescent="0.3">
      <c r="O2750" t="str">
        <f t="shared" si="43"/>
        <v/>
      </c>
    </row>
    <row r="2751" spans="15:15" x14ac:dyDescent="0.3">
      <c r="O2751" t="str">
        <f t="shared" si="43"/>
        <v/>
      </c>
    </row>
    <row r="2752" spans="15:15" x14ac:dyDescent="0.3">
      <c r="O2752" t="str">
        <f t="shared" si="43"/>
        <v/>
      </c>
    </row>
    <row r="2753" spans="15:15" x14ac:dyDescent="0.3">
      <c r="O2753" t="str">
        <f t="shared" si="43"/>
        <v/>
      </c>
    </row>
    <row r="2754" spans="15:15" x14ac:dyDescent="0.3">
      <c r="O2754" t="str">
        <f t="shared" si="43"/>
        <v/>
      </c>
    </row>
    <row r="2755" spans="15:15" x14ac:dyDescent="0.3">
      <c r="O2755" t="str">
        <f t="shared" si="43"/>
        <v/>
      </c>
    </row>
    <row r="2756" spans="15:15" x14ac:dyDescent="0.3">
      <c r="O2756" t="str">
        <f t="shared" si="43"/>
        <v/>
      </c>
    </row>
    <row r="2757" spans="15:15" x14ac:dyDescent="0.3">
      <c r="O2757" t="str">
        <f t="shared" si="43"/>
        <v/>
      </c>
    </row>
    <row r="2758" spans="15:15" x14ac:dyDescent="0.3">
      <c r="O2758" t="str">
        <f t="shared" si="43"/>
        <v/>
      </c>
    </row>
    <row r="2759" spans="15:15" x14ac:dyDescent="0.3">
      <c r="O2759" t="str">
        <f t="shared" si="43"/>
        <v/>
      </c>
    </row>
    <row r="2760" spans="15:15" x14ac:dyDescent="0.3">
      <c r="O2760" t="str">
        <f t="shared" si="43"/>
        <v/>
      </c>
    </row>
    <row r="2761" spans="15:15" x14ac:dyDescent="0.3">
      <c r="O2761" t="str">
        <f t="shared" si="43"/>
        <v/>
      </c>
    </row>
    <row r="2762" spans="15:15" x14ac:dyDescent="0.3">
      <c r="O2762" t="str">
        <f t="shared" ref="O2762:O2825" si="44">IF(P2762="","",O2761+1)</f>
        <v/>
      </c>
    </row>
    <row r="2763" spans="15:15" x14ac:dyDescent="0.3">
      <c r="O2763" t="str">
        <f t="shared" si="44"/>
        <v/>
      </c>
    </row>
    <row r="2764" spans="15:15" x14ac:dyDescent="0.3">
      <c r="O2764" t="str">
        <f t="shared" si="44"/>
        <v/>
      </c>
    </row>
    <row r="2765" spans="15:15" x14ac:dyDescent="0.3">
      <c r="O2765" t="str">
        <f t="shared" si="44"/>
        <v/>
      </c>
    </row>
    <row r="2766" spans="15:15" x14ac:dyDescent="0.3">
      <c r="O2766" t="str">
        <f t="shared" si="44"/>
        <v/>
      </c>
    </row>
    <row r="2767" spans="15:15" x14ac:dyDescent="0.3">
      <c r="O2767" t="str">
        <f t="shared" si="44"/>
        <v/>
      </c>
    </row>
    <row r="2768" spans="15:15" x14ac:dyDescent="0.3">
      <c r="O2768" t="str">
        <f t="shared" si="44"/>
        <v/>
      </c>
    </row>
    <row r="2769" spans="15:15" x14ac:dyDescent="0.3">
      <c r="O2769" t="str">
        <f t="shared" si="44"/>
        <v/>
      </c>
    </row>
    <row r="2770" spans="15:15" x14ac:dyDescent="0.3">
      <c r="O2770" t="str">
        <f t="shared" si="44"/>
        <v/>
      </c>
    </row>
    <row r="2771" spans="15:15" x14ac:dyDescent="0.3">
      <c r="O2771" t="str">
        <f t="shared" si="44"/>
        <v/>
      </c>
    </row>
    <row r="2772" spans="15:15" x14ac:dyDescent="0.3">
      <c r="O2772" t="str">
        <f t="shared" si="44"/>
        <v/>
      </c>
    </row>
    <row r="2773" spans="15:15" x14ac:dyDescent="0.3">
      <c r="O2773" t="str">
        <f t="shared" si="44"/>
        <v/>
      </c>
    </row>
    <row r="2774" spans="15:15" x14ac:dyDescent="0.3">
      <c r="O2774" t="str">
        <f t="shared" si="44"/>
        <v/>
      </c>
    </row>
    <row r="2775" spans="15:15" x14ac:dyDescent="0.3">
      <c r="O2775" t="str">
        <f t="shared" si="44"/>
        <v/>
      </c>
    </row>
    <row r="2776" spans="15:15" x14ac:dyDescent="0.3">
      <c r="O2776" t="str">
        <f t="shared" si="44"/>
        <v/>
      </c>
    </row>
    <row r="2777" spans="15:15" x14ac:dyDescent="0.3">
      <c r="O2777" t="str">
        <f t="shared" si="44"/>
        <v/>
      </c>
    </row>
    <row r="2778" spans="15:15" x14ac:dyDescent="0.3">
      <c r="O2778" t="str">
        <f t="shared" si="44"/>
        <v/>
      </c>
    </row>
    <row r="2779" spans="15:15" x14ac:dyDescent="0.3">
      <c r="O2779" t="str">
        <f t="shared" si="44"/>
        <v/>
      </c>
    </row>
    <row r="2780" spans="15:15" x14ac:dyDescent="0.3">
      <c r="O2780" t="str">
        <f t="shared" si="44"/>
        <v/>
      </c>
    </row>
    <row r="2781" spans="15:15" x14ac:dyDescent="0.3">
      <c r="O2781" t="str">
        <f t="shared" si="44"/>
        <v/>
      </c>
    </row>
    <row r="2782" spans="15:15" x14ac:dyDescent="0.3">
      <c r="O2782" t="str">
        <f t="shared" si="44"/>
        <v/>
      </c>
    </row>
    <row r="2783" spans="15:15" x14ac:dyDescent="0.3">
      <c r="O2783" t="str">
        <f t="shared" si="44"/>
        <v/>
      </c>
    </row>
    <row r="2784" spans="15:15" x14ac:dyDescent="0.3">
      <c r="O2784" t="str">
        <f t="shared" si="44"/>
        <v/>
      </c>
    </row>
    <row r="2785" spans="15:15" x14ac:dyDescent="0.3">
      <c r="O2785" t="str">
        <f t="shared" si="44"/>
        <v/>
      </c>
    </row>
    <row r="2786" spans="15:15" x14ac:dyDescent="0.3">
      <c r="O2786" t="str">
        <f t="shared" si="44"/>
        <v/>
      </c>
    </row>
    <row r="2787" spans="15:15" x14ac:dyDescent="0.3">
      <c r="O2787" t="str">
        <f t="shared" si="44"/>
        <v/>
      </c>
    </row>
    <row r="2788" spans="15:15" x14ac:dyDescent="0.3">
      <c r="O2788" t="str">
        <f t="shared" si="44"/>
        <v/>
      </c>
    </row>
    <row r="2789" spans="15:15" x14ac:dyDescent="0.3">
      <c r="O2789" t="str">
        <f t="shared" si="44"/>
        <v/>
      </c>
    </row>
    <row r="2790" spans="15:15" x14ac:dyDescent="0.3">
      <c r="O2790" t="str">
        <f t="shared" si="44"/>
        <v/>
      </c>
    </row>
    <row r="2791" spans="15:15" x14ac:dyDescent="0.3">
      <c r="O2791" t="str">
        <f t="shared" si="44"/>
        <v/>
      </c>
    </row>
    <row r="2792" spans="15:15" x14ac:dyDescent="0.3">
      <c r="O2792" t="str">
        <f t="shared" si="44"/>
        <v/>
      </c>
    </row>
    <row r="2793" spans="15:15" x14ac:dyDescent="0.3">
      <c r="O2793" t="str">
        <f t="shared" si="44"/>
        <v/>
      </c>
    </row>
    <row r="2794" spans="15:15" x14ac:dyDescent="0.3">
      <c r="O2794" t="str">
        <f t="shared" si="44"/>
        <v/>
      </c>
    </row>
    <row r="2795" spans="15:15" x14ac:dyDescent="0.3">
      <c r="O2795" t="str">
        <f t="shared" si="44"/>
        <v/>
      </c>
    </row>
    <row r="2796" spans="15:15" x14ac:dyDescent="0.3">
      <c r="O2796" t="str">
        <f t="shared" si="44"/>
        <v/>
      </c>
    </row>
    <row r="2797" spans="15:15" x14ac:dyDescent="0.3">
      <c r="O2797" t="str">
        <f t="shared" si="44"/>
        <v/>
      </c>
    </row>
    <row r="2798" spans="15:15" x14ac:dyDescent="0.3">
      <c r="O2798" t="str">
        <f t="shared" si="44"/>
        <v/>
      </c>
    </row>
    <row r="2799" spans="15:15" x14ac:dyDescent="0.3">
      <c r="O2799" t="str">
        <f t="shared" si="44"/>
        <v/>
      </c>
    </row>
    <row r="2800" spans="15:15" x14ac:dyDescent="0.3">
      <c r="O2800" t="str">
        <f t="shared" si="44"/>
        <v/>
      </c>
    </row>
    <row r="2801" spans="15:15" x14ac:dyDescent="0.3">
      <c r="O2801" t="str">
        <f t="shared" si="44"/>
        <v/>
      </c>
    </row>
    <row r="2802" spans="15:15" x14ac:dyDescent="0.3">
      <c r="O2802" t="str">
        <f t="shared" si="44"/>
        <v/>
      </c>
    </row>
    <row r="2803" spans="15:15" x14ac:dyDescent="0.3">
      <c r="O2803" t="str">
        <f t="shared" si="44"/>
        <v/>
      </c>
    </row>
    <row r="2804" spans="15:15" x14ac:dyDescent="0.3">
      <c r="O2804" t="str">
        <f t="shared" si="44"/>
        <v/>
      </c>
    </row>
    <row r="2805" spans="15:15" x14ac:dyDescent="0.3">
      <c r="O2805" t="str">
        <f t="shared" si="44"/>
        <v/>
      </c>
    </row>
    <row r="2806" spans="15:15" x14ac:dyDescent="0.3">
      <c r="O2806" t="str">
        <f t="shared" si="44"/>
        <v/>
      </c>
    </row>
    <row r="2807" spans="15:15" x14ac:dyDescent="0.3">
      <c r="O2807" t="str">
        <f t="shared" si="44"/>
        <v/>
      </c>
    </row>
    <row r="2808" spans="15:15" x14ac:dyDescent="0.3">
      <c r="O2808" t="str">
        <f t="shared" si="44"/>
        <v/>
      </c>
    </row>
    <row r="2809" spans="15:15" x14ac:dyDescent="0.3">
      <c r="O2809" t="str">
        <f t="shared" si="44"/>
        <v/>
      </c>
    </row>
    <row r="2810" spans="15:15" x14ac:dyDescent="0.3">
      <c r="O2810" t="str">
        <f t="shared" si="44"/>
        <v/>
      </c>
    </row>
    <row r="2811" spans="15:15" x14ac:dyDescent="0.3">
      <c r="O2811" t="str">
        <f t="shared" si="44"/>
        <v/>
      </c>
    </row>
    <row r="2812" spans="15:15" x14ac:dyDescent="0.3">
      <c r="O2812" t="str">
        <f t="shared" si="44"/>
        <v/>
      </c>
    </row>
    <row r="2813" spans="15:15" x14ac:dyDescent="0.3">
      <c r="O2813" t="str">
        <f t="shared" si="44"/>
        <v/>
      </c>
    </row>
    <row r="2814" spans="15:15" x14ac:dyDescent="0.3">
      <c r="O2814" t="str">
        <f t="shared" si="44"/>
        <v/>
      </c>
    </row>
    <row r="2815" spans="15:15" x14ac:dyDescent="0.3">
      <c r="O2815" t="str">
        <f t="shared" si="44"/>
        <v/>
      </c>
    </row>
    <row r="2816" spans="15:15" x14ac:dyDescent="0.3">
      <c r="O2816" t="str">
        <f t="shared" si="44"/>
        <v/>
      </c>
    </row>
    <row r="2817" spans="15:15" x14ac:dyDescent="0.3">
      <c r="O2817" t="str">
        <f t="shared" si="44"/>
        <v/>
      </c>
    </row>
    <row r="2818" spans="15:15" x14ac:dyDescent="0.3">
      <c r="O2818" t="str">
        <f t="shared" si="44"/>
        <v/>
      </c>
    </row>
    <row r="2819" spans="15:15" x14ac:dyDescent="0.3">
      <c r="O2819" t="str">
        <f t="shared" si="44"/>
        <v/>
      </c>
    </row>
    <row r="2820" spans="15:15" x14ac:dyDescent="0.3">
      <c r="O2820" t="str">
        <f t="shared" si="44"/>
        <v/>
      </c>
    </row>
    <row r="2821" spans="15:15" x14ac:dyDescent="0.3">
      <c r="O2821" t="str">
        <f t="shared" si="44"/>
        <v/>
      </c>
    </row>
    <row r="2822" spans="15:15" x14ac:dyDescent="0.3">
      <c r="O2822" t="str">
        <f t="shared" si="44"/>
        <v/>
      </c>
    </row>
    <row r="2823" spans="15:15" x14ac:dyDescent="0.3">
      <c r="O2823" t="str">
        <f t="shared" si="44"/>
        <v/>
      </c>
    </row>
    <row r="2824" spans="15:15" x14ac:dyDescent="0.3">
      <c r="O2824" t="str">
        <f t="shared" si="44"/>
        <v/>
      </c>
    </row>
    <row r="2825" spans="15:15" x14ac:dyDescent="0.3">
      <c r="O2825" t="str">
        <f t="shared" si="44"/>
        <v/>
      </c>
    </row>
    <row r="2826" spans="15:15" x14ac:dyDescent="0.3">
      <c r="O2826" t="str">
        <f t="shared" ref="O2826:O2889" si="45">IF(P2826="","",O2825+1)</f>
        <v/>
      </c>
    </row>
    <row r="2827" spans="15:15" x14ac:dyDescent="0.3">
      <c r="O2827" t="str">
        <f t="shared" si="45"/>
        <v/>
      </c>
    </row>
    <row r="2828" spans="15:15" x14ac:dyDescent="0.3">
      <c r="O2828" t="str">
        <f t="shared" si="45"/>
        <v/>
      </c>
    </row>
    <row r="2829" spans="15:15" x14ac:dyDescent="0.3">
      <c r="O2829" t="str">
        <f t="shared" si="45"/>
        <v/>
      </c>
    </row>
    <row r="2830" spans="15:15" x14ac:dyDescent="0.3">
      <c r="O2830" t="str">
        <f t="shared" si="45"/>
        <v/>
      </c>
    </row>
    <row r="2831" spans="15:15" x14ac:dyDescent="0.3">
      <c r="O2831" t="str">
        <f t="shared" si="45"/>
        <v/>
      </c>
    </row>
    <row r="2832" spans="15:15" x14ac:dyDescent="0.3">
      <c r="O2832" t="str">
        <f t="shared" si="45"/>
        <v/>
      </c>
    </row>
    <row r="2833" spans="15:15" x14ac:dyDescent="0.3">
      <c r="O2833" t="str">
        <f t="shared" si="45"/>
        <v/>
      </c>
    </row>
    <row r="2834" spans="15:15" x14ac:dyDescent="0.3">
      <c r="O2834" t="str">
        <f t="shared" si="45"/>
        <v/>
      </c>
    </row>
    <row r="2835" spans="15:15" x14ac:dyDescent="0.3">
      <c r="O2835" t="str">
        <f t="shared" si="45"/>
        <v/>
      </c>
    </row>
    <row r="2836" spans="15:15" x14ac:dyDescent="0.3">
      <c r="O2836" t="str">
        <f t="shared" si="45"/>
        <v/>
      </c>
    </row>
    <row r="2837" spans="15:15" x14ac:dyDescent="0.3">
      <c r="O2837" t="str">
        <f t="shared" si="45"/>
        <v/>
      </c>
    </row>
    <row r="2838" spans="15:15" x14ac:dyDescent="0.3">
      <c r="O2838" t="str">
        <f t="shared" si="45"/>
        <v/>
      </c>
    </row>
    <row r="2839" spans="15:15" x14ac:dyDescent="0.3">
      <c r="O2839" t="str">
        <f t="shared" si="45"/>
        <v/>
      </c>
    </row>
    <row r="2840" spans="15:15" x14ac:dyDescent="0.3">
      <c r="O2840" t="str">
        <f t="shared" si="45"/>
        <v/>
      </c>
    </row>
    <row r="2841" spans="15:15" x14ac:dyDescent="0.3">
      <c r="O2841" t="str">
        <f t="shared" si="45"/>
        <v/>
      </c>
    </row>
    <row r="2842" spans="15:15" x14ac:dyDescent="0.3">
      <c r="O2842" t="str">
        <f t="shared" si="45"/>
        <v/>
      </c>
    </row>
    <row r="2843" spans="15:15" x14ac:dyDescent="0.3">
      <c r="O2843" t="str">
        <f t="shared" si="45"/>
        <v/>
      </c>
    </row>
    <row r="2844" spans="15:15" x14ac:dyDescent="0.3">
      <c r="O2844" t="str">
        <f t="shared" si="45"/>
        <v/>
      </c>
    </row>
    <row r="2845" spans="15:15" x14ac:dyDescent="0.3">
      <c r="O2845" t="str">
        <f t="shared" si="45"/>
        <v/>
      </c>
    </row>
    <row r="2846" spans="15:15" x14ac:dyDescent="0.3">
      <c r="O2846" t="str">
        <f t="shared" si="45"/>
        <v/>
      </c>
    </row>
    <row r="2847" spans="15:15" x14ac:dyDescent="0.3">
      <c r="O2847" t="str">
        <f t="shared" si="45"/>
        <v/>
      </c>
    </row>
    <row r="2848" spans="15:15" x14ac:dyDescent="0.3">
      <c r="O2848" t="str">
        <f t="shared" si="45"/>
        <v/>
      </c>
    </row>
    <row r="2849" spans="15:15" x14ac:dyDescent="0.3">
      <c r="O2849" t="str">
        <f t="shared" si="45"/>
        <v/>
      </c>
    </row>
    <row r="2850" spans="15:15" x14ac:dyDescent="0.3">
      <c r="O2850" t="str">
        <f t="shared" si="45"/>
        <v/>
      </c>
    </row>
    <row r="2851" spans="15:15" x14ac:dyDescent="0.3">
      <c r="O2851" t="str">
        <f t="shared" si="45"/>
        <v/>
      </c>
    </row>
    <row r="2852" spans="15:15" x14ac:dyDescent="0.3">
      <c r="O2852" t="str">
        <f t="shared" si="45"/>
        <v/>
      </c>
    </row>
    <row r="2853" spans="15:15" x14ac:dyDescent="0.3">
      <c r="O2853" t="str">
        <f t="shared" si="45"/>
        <v/>
      </c>
    </row>
    <row r="2854" spans="15:15" x14ac:dyDescent="0.3">
      <c r="O2854" t="str">
        <f t="shared" si="45"/>
        <v/>
      </c>
    </row>
    <row r="2855" spans="15:15" x14ac:dyDescent="0.3">
      <c r="O2855" t="str">
        <f t="shared" si="45"/>
        <v/>
      </c>
    </row>
    <row r="2856" spans="15:15" x14ac:dyDescent="0.3">
      <c r="O2856" t="str">
        <f t="shared" si="45"/>
        <v/>
      </c>
    </row>
    <row r="2857" spans="15:15" x14ac:dyDescent="0.3">
      <c r="O2857" t="str">
        <f t="shared" si="45"/>
        <v/>
      </c>
    </row>
    <row r="2858" spans="15:15" x14ac:dyDescent="0.3">
      <c r="O2858" t="str">
        <f t="shared" si="45"/>
        <v/>
      </c>
    </row>
    <row r="2859" spans="15:15" x14ac:dyDescent="0.3">
      <c r="O2859" t="str">
        <f t="shared" si="45"/>
        <v/>
      </c>
    </row>
    <row r="2860" spans="15:15" x14ac:dyDescent="0.3">
      <c r="O2860" t="str">
        <f t="shared" si="45"/>
        <v/>
      </c>
    </row>
    <row r="2861" spans="15:15" x14ac:dyDescent="0.3">
      <c r="O2861" t="str">
        <f t="shared" si="45"/>
        <v/>
      </c>
    </row>
    <row r="2862" spans="15:15" x14ac:dyDescent="0.3">
      <c r="O2862" t="str">
        <f t="shared" si="45"/>
        <v/>
      </c>
    </row>
    <row r="2863" spans="15:15" x14ac:dyDescent="0.3">
      <c r="O2863" t="str">
        <f t="shared" si="45"/>
        <v/>
      </c>
    </row>
    <row r="2864" spans="15:15" x14ac:dyDescent="0.3">
      <c r="O2864" t="str">
        <f t="shared" si="45"/>
        <v/>
      </c>
    </row>
    <row r="2865" spans="15:15" x14ac:dyDescent="0.3">
      <c r="O2865" t="str">
        <f t="shared" si="45"/>
        <v/>
      </c>
    </row>
    <row r="2866" spans="15:15" x14ac:dyDescent="0.3">
      <c r="O2866" t="str">
        <f t="shared" si="45"/>
        <v/>
      </c>
    </row>
    <row r="2867" spans="15:15" x14ac:dyDescent="0.3">
      <c r="O2867" t="str">
        <f t="shared" si="45"/>
        <v/>
      </c>
    </row>
    <row r="2868" spans="15:15" x14ac:dyDescent="0.3">
      <c r="O2868" t="str">
        <f t="shared" si="45"/>
        <v/>
      </c>
    </row>
    <row r="2869" spans="15:15" x14ac:dyDescent="0.3">
      <c r="O2869" t="str">
        <f t="shared" si="45"/>
        <v/>
      </c>
    </row>
    <row r="2870" spans="15:15" x14ac:dyDescent="0.3">
      <c r="O2870" t="str">
        <f t="shared" si="45"/>
        <v/>
      </c>
    </row>
    <row r="2871" spans="15:15" x14ac:dyDescent="0.3">
      <c r="O2871" t="str">
        <f t="shared" si="45"/>
        <v/>
      </c>
    </row>
    <row r="2872" spans="15:15" x14ac:dyDescent="0.3">
      <c r="O2872" t="str">
        <f t="shared" si="45"/>
        <v/>
      </c>
    </row>
    <row r="2873" spans="15:15" x14ac:dyDescent="0.3">
      <c r="O2873" t="str">
        <f t="shared" si="45"/>
        <v/>
      </c>
    </row>
    <row r="2874" spans="15:15" x14ac:dyDescent="0.3">
      <c r="O2874" t="str">
        <f t="shared" si="45"/>
        <v/>
      </c>
    </row>
    <row r="2875" spans="15:15" x14ac:dyDescent="0.3">
      <c r="O2875" t="str">
        <f t="shared" si="45"/>
        <v/>
      </c>
    </row>
    <row r="2876" spans="15:15" x14ac:dyDescent="0.3">
      <c r="O2876" t="str">
        <f t="shared" si="45"/>
        <v/>
      </c>
    </row>
    <row r="2877" spans="15:15" x14ac:dyDescent="0.3">
      <c r="O2877" t="str">
        <f t="shared" si="45"/>
        <v/>
      </c>
    </row>
    <row r="2878" spans="15:15" x14ac:dyDescent="0.3">
      <c r="O2878" t="str">
        <f t="shared" si="45"/>
        <v/>
      </c>
    </row>
    <row r="2879" spans="15:15" x14ac:dyDescent="0.3">
      <c r="O2879" t="str">
        <f t="shared" si="45"/>
        <v/>
      </c>
    </row>
    <row r="2880" spans="15:15" x14ac:dyDescent="0.3">
      <c r="O2880" t="str">
        <f t="shared" si="45"/>
        <v/>
      </c>
    </row>
    <row r="2881" spans="15:15" x14ac:dyDescent="0.3">
      <c r="O2881" t="str">
        <f t="shared" si="45"/>
        <v/>
      </c>
    </row>
    <row r="2882" spans="15:15" x14ac:dyDescent="0.3">
      <c r="O2882" t="str">
        <f t="shared" si="45"/>
        <v/>
      </c>
    </row>
    <row r="2883" spans="15:15" x14ac:dyDescent="0.3">
      <c r="O2883" t="str">
        <f t="shared" si="45"/>
        <v/>
      </c>
    </row>
    <row r="2884" spans="15:15" x14ac:dyDescent="0.3">
      <c r="O2884" t="str">
        <f t="shared" si="45"/>
        <v/>
      </c>
    </row>
    <row r="2885" spans="15:15" x14ac:dyDescent="0.3">
      <c r="O2885" t="str">
        <f t="shared" si="45"/>
        <v/>
      </c>
    </row>
    <row r="2886" spans="15:15" x14ac:dyDescent="0.3">
      <c r="O2886" t="str">
        <f t="shared" si="45"/>
        <v/>
      </c>
    </row>
    <row r="2887" spans="15:15" x14ac:dyDescent="0.3">
      <c r="O2887" t="str">
        <f t="shared" si="45"/>
        <v/>
      </c>
    </row>
    <row r="2888" spans="15:15" x14ac:dyDescent="0.3">
      <c r="O2888" t="str">
        <f t="shared" si="45"/>
        <v/>
      </c>
    </row>
    <row r="2889" spans="15:15" x14ac:dyDescent="0.3">
      <c r="O2889" t="str">
        <f t="shared" si="45"/>
        <v/>
      </c>
    </row>
    <row r="2890" spans="15:15" x14ac:dyDescent="0.3">
      <c r="O2890" t="str">
        <f t="shared" ref="O2890:O2953" si="46">IF(P2890="","",O2889+1)</f>
        <v/>
      </c>
    </row>
    <row r="2891" spans="15:15" x14ac:dyDescent="0.3">
      <c r="O2891" t="str">
        <f t="shared" si="46"/>
        <v/>
      </c>
    </row>
    <row r="2892" spans="15:15" x14ac:dyDescent="0.3">
      <c r="O2892" t="str">
        <f t="shared" si="46"/>
        <v/>
      </c>
    </row>
    <row r="2893" spans="15:15" x14ac:dyDescent="0.3">
      <c r="O2893" t="str">
        <f t="shared" si="46"/>
        <v/>
      </c>
    </row>
    <row r="2894" spans="15:15" x14ac:dyDescent="0.3">
      <c r="O2894" t="str">
        <f t="shared" si="46"/>
        <v/>
      </c>
    </row>
    <row r="2895" spans="15:15" x14ac:dyDescent="0.3">
      <c r="O2895" t="str">
        <f t="shared" si="46"/>
        <v/>
      </c>
    </row>
    <row r="2896" spans="15:15" x14ac:dyDescent="0.3">
      <c r="O2896" t="str">
        <f t="shared" si="46"/>
        <v/>
      </c>
    </row>
    <row r="2897" spans="15:15" x14ac:dyDescent="0.3">
      <c r="O2897" t="str">
        <f t="shared" si="46"/>
        <v/>
      </c>
    </row>
    <row r="2898" spans="15:15" x14ac:dyDescent="0.3">
      <c r="O2898" t="str">
        <f t="shared" si="46"/>
        <v/>
      </c>
    </row>
    <row r="2899" spans="15:15" x14ac:dyDescent="0.3">
      <c r="O2899" t="str">
        <f t="shared" si="46"/>
        <v/>
      </c>
    </row>
    <row r="2900" spans="15:15" x14ac:dyDescent="0.3">
      <c r="O2900" t="str">
        <f t="shared" si="46"/>
        <v/>
      </c>
    </row>
    <row r="2901" spans="15:15" x14ac:dyDescent="0.3">
      <c r="O2901" t="str">
        <f t="shared" si="46"/>
        <v/>
      </c>
    </row>
    <row r="2902" spans="15:15" x14ac:dyDescent="0.3">
      <c r="O2902" t="str">
        <f t="shared" si="46"/>
        <v/>
      </c>
    </row>
    <row r="2903" spans="15:15" x14ac:dyDescent="0.3">
      <c r="O2903" t="str">
        <f t="shared" si="46"/>
        <v/>
      </c>
    </row>
    <row r="2904" spans="15:15" x14ac:dyDescent="0.3">
      <c r="O2904" t="str">
        <f t="shared" si="46"/>
        <v/>
      </c>
    </row>
    <row r="2905" spans="15:15" x14ac:dyDescent="0.3">
      <c r="O2905" t="str">
        <f t="shared" si="46"/>
        <v/>
      </c>
    </row>
    <row r="2906" spans="15:15" x14ac:dyDescent="0.3">
      <c r="O2906" t="str">
        <f t="shared" si="46"/>
        <v/>
      </c>
    </row>
    <row r="2907" spans="15:15" x14ac:dyDescent="0.3">
      <c r="O2907" t="str">
        <f t="shared" si="46"/>
        <v/>
      </c>
    </row>
    <row r="2908" spans="15:15" x14ac:dyDescent="0.3">
      <c r="O2908" t="str">
        <f t="shared" si="46"/>
        <v/>
      </c>
    </row>
    <row r="2909" spans="15:15" x14ac:dyDescent="0.3">
      <c r="O2909" t="str">
        <f t="shared" si="46"/>
        <v/>
      </c>
    </row>
    <row r="2910" spans="15:15" x14ac:dyDescent="0.3">
      <c r="O2910" t="str">
        <f t="shared" si="46"/>
        <v/>
      </c>
    </row>
    <row r="2911" spans="15:15" x14ac:dyDescent="0.3">
      <c r="O2911" t="str">
        <f t="shared" si="46"/>
        <v/>
      </c>
    </row>
    <row r="2912" spans="15:15" x14ac:dyDescent="0.3">
      <c r="O2912" t="str">
        <f t="shared" si="46"/>
        <v/>
      </c>
    </row>
    <row r="2913" spans="15:15" x14ac:dyDescent="0.3">
      <c r="O2913" t="str">
        <f t="shared" si="46"/>
        <v/>
      </c>
    </row>
    <row r="2914" spans="15:15" x14ac:dyDescent="0.3">
      <c r="O2914" t="str">
        <f t="shared" si="46"/>
        <v/>
      </c>
    </row>
    <row r="2915" spans="15:15" x14ac:dyDescent="0.3">
      <c r="O2915" t="str">
        <f t="shared" si="46"/>
        <v/>
      </c>
    </row>
    <row r="2916" spans="15:15" x14ac:dyDescent="0.3">
      <c r="O2916" t="str">
        <f t="shared" si="46"/>
        <v/>
      </c>
    </row>
    <row r="2917" spans="15:15" x14ac:dyDescent="0.3">
      <c r="O2917" t="str">
        <f t="shared" si="46"/>
        <v/>
      </c>
    </row>
    <row r="2918" spans="15:15" x14ac:dyDescent="0.3">
      <c r="O2918" t="str">
        <f t="shared" si="46"/>
        <v/>
      </c>
    </row>
    <row r="2919" spans="15:15" x14ac:dyDescent="0.3">
      <c r="O2919" t="str">
        <f t="shared" si="46"/>
        <v/>
      </c>
    </row>
    <row r="2920" spans="15:15" x14ac:dyDescent="0.3">
      <c r="O2920" t="str">
        <f t="shared" si="46"/>
        <v/>
      </c>
    </row>
    <row r="2921" spans="15:15" x14ac:dyDescent="0.3">
      <c r="O2921" t="str">
        <f t="shared" si="46"/>
        <v/>
      </c>
    </row>
    <row r="2922" spans="15:15" x14ac:dyDescent="0.3">
      <c r="O2922" t="str">
        <f t="shared" si="46"/>
        <v/>
      </c>
    </row>
    <row r="2923" spans="15:15" x14ac:dyDescent="0.3">
      <c r="O2923" t="str">
        <f t="shared" si="46"/>
        <v/>
      </c>
    </row>
    <row r="2924" spans="15:15" x14ac:dyDescent="0.3">
      <c r="O2924" t="str">
        <f t="shared" si="46"/>
        <v/>
      </c>
    </row>
    <row r="2925" spans="15:15" x14ac:dyDescent="0.3">
      <c r="O2925" t="str">
        <f t="shared" si="46"/>
        <v/>
      </c>
    </row>
    <row r="2926" spans="15:15" x14ac:dyDescent="0.3">
      <c r="O2926" t="str">
        <f t="shared" si="46"/>
        <v/>
      </c>
    </row>
    <row r="2927" spans="15:15" x14ac:dyDescent="0.3">
      <c r="O2927" t="str">
        <f t="shared" si="46"/>
        <v/>
      </c>
    </row>
    <row r="2928" spans="15:15" x14ac:dyDescent="0.3">
      <c r="O2928" t="str">
        <f t="shared" si="46"/>
        <v/>
      </c>
    </row>
    <row r="2929" spans="15:15" x14ac:dyDescent="0.3">
      <c r="O2929" t="str">
        <f t="shared" si="46"/>
        <v/>
      </c>
    </row>
    <row r="2930" spans="15:15" x14ac:dyDescent="0.3">
      <c r="O2930" t="str">
        <f t="shared" si="46"/>
        <v/>
      </c>
    </row>
    <row r="2931" spans="15:15" x14ac:dyDescent="0.3">
      <c r="O2931" t="str">
        <f t="shared" si="46"/>
        <v/>
      </c>
    </row>
    <row r="2932" spans="15:15" x14ac:dyDescent="0.3">
      <c r="O2932" t="str">
        <f t="shared" si="46"/>
        <v/>
      </c>
    </row>
    <row r="2933" spans="15:15" x14ac:dyDescent="0.3">
      <c r="O2933" t="str">
        <f t="shared" si="46"/>
        <v/>
      </c>
    </row>
    <row r="2934" spans="15:15" x14ac:dyDescent="0.3">
      <c r="O2934" t="str">
        <f t="shared" si="46"/>
        <v/>
      </c>
    </row>
    <row r="2935" spans="15:15" x14ac:dyDescent="0.3">
      <c r="O2935" t="str">
        <f t="shared" si="46"/>
        <v/>
      </c>
    </row>
    <row r="2936" spans="15:15" x14ac:dyDescent="0.3">
      <c r="O2936" t="str">
        <f t="shared" si="46"/>
        <v/>
      </c>
    </row>
    <row r="2937" spans="15:15" x14ac:dyDescent="0.3">
      <c r="O2937" t="str">
        <f t="shared" si="46"/>
        <v/>
      </c>
    </row>
    <row r="2938" spans="15:15" x14ac:dyDescent="0.3">
      <c r="O2938" t="str">
        <f t="shared" si="46"/>
        <v/>
      </c>
    </row>
    <row r="2939" spans="15:15" x14ac:dyDescent="0.3">
      <c r="O2939" t="str">
        <f t="shared" si="46"/>
        <v/>
      </c>
    </row>
    <row r="2940" spans="15:15" x14ac:dyDescent="0.3">
      <c r="O2940" t="str">
        <f t="shared" si="46"/>
        <v/>
      </c>
    </row>
    <row r="2941" spans="15:15" x14ac:dyDescent="0.3">
      <c r="O2941" t="str">
        <f t="shared" si="46"/>
        <v/>
      </c>
    </row>
    <row r="2942" spans="15:15" x14ac:dyDescent="0.3">
      <c r="O2942" t="str">
        <f t="shared" si="46"/>
        <v/>
      </c>
    </row>
    <row r="2943" spans="15:15" x14ac:dyDescent="0.3">
      <c r="O2943" t="str">
        <f t="shared" si="46"/>
        <v/>
      </c>
    </row>
    <row r="2944" spans="15:15" x14ac:dyDescent="0.3">
      <c r="O2944" t="str">
        <f t="shared" si="46"/>
        <v/>
      </c>
    </row>
    <row r="2945" spans="15:15" x14ac:dyDescent="0.3">
      <c r="O2945" t="str">
        <f t="shared" si="46"/>
        <v/>
      </c>
    </row>
    <row r="2946" spans="15:15" x14ac:dyDescent="0.3">
      <c r="O2946" t="str">
        <f t="shared" si="46"/>
        <v/>
      </c>
    </row>
    <row r="2947" spans="15:15" x14ac:dyDescent="0.3">
      <c r="O2947" t="str">
        <f t="shared" si="46"/>
        <v/>
      </c>
    </row>
    <row r="2948" spans="15:15" x14ac:dyDescent="0.3">
      <c r="O2948" t="str">
        <f t="shared" si="46"/>
        <v/>
      </c>
    </row>
    <row r="2949" spans="15:15" x14ac:dyDescent="0.3">
      <c r="O2949" t="str">
        <f t="shared" si="46"/>
        <v/>
      </c>
    </row>
    <row r="2950" spans="15:15" x14ac:dyDescent="0.3">
      <c r="O2950" t="str">
        <f t="shared" si="46"/>
        <v/>
      </c>
    </row>
    <row r="2951" spans="15:15" x14ac:dyDescent="0.3">
      <c r="O2951" t="str">
        <f t="shared" si="46"/>
        <v/>
      </c>
    </row>
    <row r="2952" spans="15:15" x14ac:dyDescent="0.3">
      <c r="O2952" t="str">
        <f t="shared" si="46"/>
        <v/>
      </c>
    </row>
    <row r="2953" spans="15:15" x14ac:dyDescent="0.3">
      <c r="O2953" t="str">
        <f t="shared" si="46"/>
        <v/>
      </c>
    </row>
    <row r="2954" spans="15:15" x14ac:dyDescent="0.3">
      <c r="O2954" t="str">
        <f t="shared" ref="O2954:O3017" si="47">IF(P2954="","",O2953+1)</f>
        <v/>
      </c>
    </row>
    <row r="2955" spans="15:15" x14ac:dyDescent="0.3">
      <c r="O2955" t="str">
        <f t="shared" si="47"/>
        <v/>
      </c>
    </row>
    <row r="2956" spans="15:15" x14ac:dyDescent="0.3">
      <c r="O2956" t="str">
        <f t="shared" si="47"/>
        <v/>
      </c>
    </row>
    <row r="2957" spans="15:15" x14ac:dyDescent="0.3">
      <c r="O2957" t="str">
        <f t="shared" si="47"/>
        <v/>
      </c>
    </row>
    <row r="2958" spans="15:15" x14ac:dyDescent="0.3">
      <c r="O2958" t="str">
        <f t="shared" si="47"/>
        <v/>
      </c>
    </row>
    <row r="2959" spans="15:15" x14ac:dyDescent="0.3">
      <c r="O2959" t="str">
        <f t="shared" si="47"/>
        <v/>
      </c>
    </row>
    <row r="2960" spans="15:15" x14ac:dyDescent="0.3">
      <c r="O2960" t="str">
        <f t="shared" si="47"/>
        <v/>
      </c>
    </row>
    <row r="2961" spans="15:15" x14ac:dyDescent="0.3">
      <c r="O2961" t="str">
        <f t="shared" si="47"/>
        <v/>
      </c>
    </row>
    <row r="2962" spans="15:15" x14ac:dyDescent="0.3">
      <c r="O2962" t="str">
        <f t="shared" si="47"/>
        <v/>
      </c>
    </row>
    <row r="2963" spans="15:15" x14ac:dyDescent="0.3">
      <c r="O2963" t="str">
        <f t="shared" si="47"/>
        <v/>
      </c>
    </row>
    <row r="2964" spans="15:15" x14ac:dyDescent="0.3">
      <c r="O2964" t="str">
        <f t="shared" si="47"/>
        <v/>
      </c>
    </row>
    <row r="2965" spans="15:15" x14ac:dyDescent="0.3">
      <c r="O2965" t="str">
        <f t="shared" si="47"/>
        <v/>
      </c>
    </row>
    <row r="2966" spans="15:15" x14ac:dyDescent="0.3">
      <c r="O2966" t="str">
        <f t="shared" si="47"/>
        <v/>
      </c>
    </row>
    <row r="2967" spans="15:15" x14ac:dyDescent="0.3">
      <c r="O2967" t="str">
        <f t="shared" si="47"/>
        <v/>
      </c>
    </row>
    <row r="2968" spans="15:15" x14ac:dyDescent="0.3">
      <c r="O2968" t="str">
        <f t="shared" si="47"/>
        <v/>
      </c>
    </row>
    <row r="2969" spans="15:15" x14ac:dyDescent="0.3">
      <c r="O2969" t="str">
        <f t="shared" si="47"/>
        <v/>
      </c>
    </row>
    <row r="2970" spans="15:15" x14ac:dyDescent="0.3">
      <c r="O2970" t="str">
        <f t="shared" si="47"/>
        <v/>
      </c>
    </row>
    <row r="2971" spans="15:15" x14ac:dyDescent="0.3">
      <c r="O2971" t="str">
        <f t="shared" si="47"/>
        <v/>
      </c>
    </row>
    <row r="2972" spans="15:15" x14ac:dyDescent="0.3">
      <c r="O2972" t="str">
        <f t="shared" si="47"/>
        <v/>
      </c>
    </row>
    <row r="2973" spans="15:15" x14ac:dyDescent="0.3">
      <c r="O2973" t="str">
        <f t="shared" si="47"/>
        <v/>
      </c>
    </row>
    <row r="2974" spans="15:15" x14ac:dyDescent="0.3">
      <c r="O2974" t="str">
        <f t="shared" si="47"/>
        <v/>
      </c>
    </row>
    <row r="2975" spans="15:15" x14ac:dyDescent="0.3">
      <c r="O2975" t="str">
        <f t="shared" si="47"/>
        <v/>
      </c>
    </row>
    <row r="2976" spans="15:15" x14ac:dyDescent="0.3">
      <c r="O2976" t="str">
        <f t="shared" si="47"/>
        <v/>
      </c>
    </row>
    <row r="2977" spans="15:15" x14ac:dyDescent="0.3">
      <c r="O2977" t="str">
        <f t="shared" si="47"/>
        <v/>
      </c>
    </row>
    <row r="2978" spans="15:15" x14ac:dyDescent="0.3">
      <c r="O2978" t="str">
        <f t="shared" si="47"/>
        <v/>
      </c>
    </row>
    <row r="2979" spans="15:15" x14ac:dyDescent="0.3">
      <c r="O2979" t="str">
        <f t="shared" si="47"/>
        <v/>
      </c>
    </row>
    <row r="2980" spans="15:15" x14ac:dyDescent="0.3">
      <c r="O2980" t="str">
        <f t="shared" si="47"/>
        <v/>
      </c>
    </row>
    <row r="2981" spans="15:15" x14ac:dyDescent="0.3">
      <c r="O2981" t="str">
        <f t="shared" si="47"/>
        <v/>
      </c>
    </row>
    <row r="2982" spans="15:15" x14ac:dyDescent="0.3">
      <c r="O2982" t="str">
        <f t="shared" si="47"/>
        <v/>
      </c>
    </row>
    <row r="2983" spans="15:15" x14ac:dyDescent="0.3">
      <c r="O2983" t="str">
        <f t="shared" si="47"/>
        <v/>
      </c>
    </row>
    <row r="2984" spans="15:15" x14ac:dyDescent="0.3">
      <c r="O2984" t="str">
        <f t="shared" si="47"/>
        <v/>
      </c>
    </row>
    <row r="2985" spans="15:15" x14ac:dyDescent="0.3">
      <c r="O2985" t="str">
        <f t="shared" si="47"/>
        <v/>
      </c>
    </row>
    <row r="2986" spans="15:15" x14ac:dyDescent="0.3">
      <c r="O2986" t="str">
        <f t="shared" si="47"/>
        <v/>
      </c>
    </row>
    <row r="2987" spans="15:15" x14ac:dyDescent="0.3">
      <c r="O2987" t="str">
        <f t="shared" si="47"/>
        <v/>
      </c>
    </row>
    <row r="2988" spans="15:15" x14ac:dyDescent="0.3">
      <c r="O2988" t="str">
        <f t="shared" si="47"/>
        <v/>
      </c>
    </row>
    <row r="2989" spans="15:15" x14ac:dyDescent="0.3">
      <c r="O2989" t="str">
        <f t="shared" si="47"/>
        <v/>
      </c>
    </row>
    <row r="2990" spans="15:15" x14ac:dyDescent="0.3">
      <c r="O2990" t="str">
        <f t="shared" si="47"/>
        <v/>
      </c>
    </row>
    <row r="2991" spans="15:15" x14ac:dyDescent="0.3">
      <c r="O2991" t="str">
        <f t="shared" si="47"/>
        <v/>
      </c>
    </row>
    <row r="2992" spans="15:15" x14ac:dyDescent="0.3">
      <c r="O2992" t="str">
        <f t="shared" si="47"/>
        <v/>
      </c>
    </row>
    <row r="2993" spans="15:15" x14ac:dyDescent="0.3">
      <c r="O2993" t="str">
        <f t="shared" si="47"/>
        <v/>
      </c>
    </row>
    <row r="2994" spans="15:15" x14ac:dyDescent="0.3">
      <c r="O2994" t="str">
        <f t="shared" si="47"/>
        <v/>
      </c>
    </row>
    <row r="2995" spans="15:15" x14ac:dyDescent="0.3">
      <c r="O2995" t="str">
        <f t="shared" si="47"/>
        <v/>
      </c>
    </row>
    <row r="2996" spans="15:15" x14ac:dyDescent="0.3">
      <c r="O2996" t="str">
        <f t="shared" si="47"/>
        <v/>
      </c>
    </row>
    <row r="2997" spans="15:15" x14ac:dyDescent="0.3">
      <c r="O2997" t="str">
        <f t="shared" si="47"/>
        <v/>
      </c>
    </row>
    <row r="2998" spans="15:15" x14ac:dyDescent="0.3">
      <c r="O2998" t="str">
        <f t="shared" si="47"/>
        <v/>
      </c>
    </row>
    <row r="2999" spans="15:15" x14ac:dyDescent="0.3">
      <c r="O2999" t="str">
        <f t="shared" si="47"/>
        <v/>
      </c>
    </row>
    <row r="3000" spans="15:15" x14ac:dyDescent="0.3">
      <c r="O3000" t="str">
        <f t="shared" si="47"/>
        <v/>
      </c>
    </row>
    <row r="3001" spans="15:15" x14ac:dyDescent="0.3">
      <c r="O3001" t="str">
        <f t="shared" si="47"/>
        <v/>
      </c>
    </row>
    <row r="3002" spans="15:15" x14ac:dyDescent="0.3">
      <c r="O3002" t="str">
        <f t="shared" si="47"/>
        <v/>
      </c>
    </row>
    <row r="3003" spans="15:15" x14ac:dyDescent="0.3">
      <c r="O3003" t="str">
        <f t="shared" si="47"/>
        <v/>
      </c>
    </row>
    <row r="3004" spans="15:15" x14ac:dyDescent="0.3">
      <c r="O3004" t="str">
        <f t="shared" si="47"/>
        <v/>
      </c>
    </row>
    <row r="3005" spans="15:15" x14ac:dyDescent="0.3">
      <c r="O3005" t="str">
        <f t="shared" si="47"/>
        <v/>
      </c>
    </row>
    <row r="3006" spans="15:15" x14ac:dyDescent="0.3">
      <c r="O3006" t="str">
        <f t="shared" si="47"/>
        <v/>
      </c>
    </row>
    <row r="3007" spans="15:15" x14ac:dyDescent="0.3">
      <c r="O3007" t="str">
        <f t="shared" si="47"/>
        <v/>
      </c>
    </row>
    <row r="3008" spans="15:15" x14ac:dyDescent="0.3">
      <c r="O3008" t="str">
        <f t="shared" si="47"/>
        <v/>
      </c>
    </row>
    <row r="3009" spans="15:15" x14ac:dyDescent="0.3">
      <c r="O3009" t="str">
        <f t="shared" si="47"/>
        <v/>
      </c>
    </row>
    <row r="3010" spans="15:15" x14ac:dyDescent="0.3">
      <c r="O3010" t="str">
        <f t="shared" si="47"/>
        <v/>
      </c>
    </row>
    <row r="3011" spans="15:15" x14ac:dyDescent="0.3">
      <c r="O3011" t="str">
        <f t="shared" si="47"/>
        <v/>
      </c>
    </row>
    <row r="3012" spans="15:15" x14ac:dyDescent="0.3">
      <c r="O3012" t="str">
        <f t="shared" si="47"/>
        <v/>
      </c>
    </row>
    <row r="3013" spans="15:15" x14ac:dyDescent="0.3">
      <c r="O3013" t="str">
        <f t="shared" si="47"/>
        <v/>
      </c>
    </row>
    <row r="3014" spans="15:15" x14ac:dyDescent="0.3">
      <c r="O3014" t="str">
        <f t="shared" si="47"/>
        <v/>
      </c>
    </row>
    <row r="3015" spans="15:15" x14ac:dyDescent="0.3">
      <c r="O3015" t="str">
        <f t="shared" si="47"/>
        <v/>
      </c>
    </row>
    <row r="3016" spans="15:15" x14ac:dyDescent="0.3">
      <c r="O3016" t="str">
        <f t="shared" si="47"/>
        <v/>
      </c>
    </row>
    <row r="3017" spans="15:15" x14ac:dyDescent="0.3">
      <c r="O3017" t="str">
        <f t="shared" si="47"/>
        <v/>
      </c>
    </row>
    <row r="3018" spans="15:15" x14ac:dyDescent="0.3">
      <c r="O3018" t="str">
        <f t="shared" ref="O3018:O3081" si="48">IF(P3018="","",O3017+1)</f>
        <v/>
      </c>
    </row>
    <row r="3019" spans="15:15" x14ac:dyDescent="0.3">
      <c r="O3019" t="str">
        <f t="shared" si="48"/>
        <v/>
      </c>
    </row>
    <row r="3020" spans="15:15" x14ac:dyDescent="0.3">
      <c r="O3020" t="str">
        <f t="shared" si="48"/>
        <v/>
      </c>
    </row>
    <row r="3021" spans="15:15" x14ac:dyDescent="0.3">
      <c r="O3021" t="str">
        <f t="shared" si="48"/>
        <v/>
      </c>
    </row>
    <row r="3022" spans="15:15" x14ac:dyDescent="0.3">
      <c r="O3022" t="str">
        <f t="shared" si="48"/>
        <v/>
      </c>
    </row>
    <row r="3023" spans="15:15" x14ac:dyDescent="0.3">
      <c r="O3023" t="str">
        <f t="shared" si="48"/>
        <v/>
      </c>
    </row>
    <row r="3024" spans="15:15" x14ac:dyDescent="0.3">
      <c r="O3024" t="str">
        <f t="shared" si="48"/>
        <v/>
      </c>
    </row>
    <row r="3025" spans="15:15" x14ac:dyDescent="0.3">
      <c r="O3025" t="str">
        <f t="shared" si="48"/>
        <v/>
      </c>
    </row>
    <row r="3026" spans="15:15" x14ac:dyDescent="0.3">
      <c r="O3026" t="str">
        <f t="shared" si="48"/>
        <v/>
      </c>
    </row>
    <row r="3027" spans="15:15" x14ac:dyDescent="0.3">
      <c r="O3027" t="str">
        <f t="shared" si="48"/>
        <v/>
      </c>
    </row>
    <row r="3028" spans="15:15" x14ac:dyDescent="0.3">
      <c r="O3028" t="str">
        <f t="shared" si="48"/>
        <v/>
      </c>
    </row>
    <row r="3029" spans="15:15" x14ac:dyDescent="0.3">
      <c r="O3029" t="str">
        <f t="shared" si="48"/>
        <v/>
      </c>
    </row>
    <row r="3030" spans="15:15" x14ac:dyDescent="0.3">
      <c r="O3030" t="str">
        <f t="shared" si="48"/>
        <v/>
      </c>
    </row>
    <row r="3031" spans="15:15" x14ac:dyDescent="0.3">
      <c r="O3031" t="str">
        <f t="shared" si="48"/>
        <v/>
      </c>
    </row>
    <row r="3032" spans="15:15" x14ac:dyDescent="0.3">
      <c r="O3032" t="str">
        <f t="shared" si="48"/>
        <v/>
      </c>
    </row>
    <row r="3033" spans="15:15" x14ac:dyDescent="0.3">
      <c r="O3033" t="str">
        <f t="shared" si="48"/>
        <v/>
      </c>
    </row>
    <row r="3034" spans="15:15" x14ac:dyDescent="0.3">
      <c r="O3034" t="str">
        <f t="shared" si="48"/>
        <v/>
      </c>
    </row>
    <row r="3035" spans="15:15" x14ac:dyDescent="0.3">
      <c r="O3035" t="str">
        <f t="shared" si="48"/>
        <v/>
      </c>
    </row>
    <row r="3036" spans="15:15" x14ac:dyDescent="0.3">
      <c r="O3036" t="str">
        <f t="shared" si="48"/>
        <v/>
      </c>
    </row>
    <row r="3037" spans="15:15" x14ac:dyDescent="0.3">
      <c r="O3037" t="str">
        <f t="shared" si="48"/>
        <v/>
      </c>
    </row>
    <row r="3038" spans="15:15" x14ac:dyDescent="0.3">
      <c r="O3038" t="str">
        <f t="shared" si="48"/>
        <v/>
      </c>
    </row>
    <row r="3039" spans="15:15" x14ac:dyDescent="0.3">
      <c r="O3039" t="str">
        <f t="shared" si="48"/>
        <v/>
      </c>
    </row>
    <row r="3040" spans="15:15" x14ac:dyDescent="0.3">
      <c r="O3040" t="str">
        <f t="shared" si="48"/>
        <v/>
      </c>
    </row>
    <row r="3041" spans="15:15" x14ac:dyDescent="0.3">
      <c r="O3041" t="str">
        <f t="shared" si="48"/>
        <v/>
      </c>
    </row>
    <row r="3042" spans="15:15" x14ac:dyDescent="0.3">
      <c r="O3042" t="str">
        <f t="shared" si="48"/>
        <v/>
      </c>
    </row>
    <row r="3043" spans="15:15" x14ac:dyDescent="0.3">
      <c r="O3043" t="str">
        <f t="shared" si="48"/>
        <v/>
      </c>
    </row>
    <row r="3044" spans="15:15" x14ac:dyDescent="0.3">
      <c r="O3044" t="str">
        <f t="shared" si="48"/>
        <v/>
      </c>
    </row>
    <row r="3045" spans="15:15" x14ac:dyDescent="0.3">
      <c r="O3045" t="str">
        <f t="shared" si="48"/>
        <v/>
      </c>
    </row>
    <row r="3046" spans="15:15" x14ac:dyDescent="0.3">
      <c r="O3046" t="str">
        <f t="shared" si="48"/>
        <v/>
      </c>
    </row>
    <row r="3047" spans="15:15" x14ac:dyDescent="0.3">
      <c r="O3047" t="str">
        <f t="shared" si="48"/>
        <v/>
      </c>
    </row>
    <row r="3048" spans="15:15" x14ac:dyDescent="0.3">
      <c r="O3048" t="str">
        <f t="shared" si="48"/>
        <v/>
      </c>
    </row>
    <row r="3049" spans="15:15" x14ac:dyDescent="0.3">
      <c r="O3049" t="str">
        <f t="shared" si="48"/>
        <v/>
      </c>
    </row>
    <row r="3050" spans="15:15" x14ac:dyDescent="0.3">
      <c r="O3050" t="str">
        <f t="shared" si="48"/>
        <v/>
      </c>
    </row>
    <row r="3051" spans="15:15" x14ac:dyDescent="0.3">
      <c r="O3051" t="str">
        <f t="shared" si="48"/>
        <v/>
      </c>
    </row>
    <row r="3052" spans="15:15" x14ac:dyDescent="0.3">
      <c r="O3052" t="str">
        <f t="shared" si="48"/>
        <v/>
      </c>
    </row>
    <row r="3053" spans="15:15" x14ac:dyDescent="0.3">
      <c r="O3053" t="str">
        <f t="shared" si="48"/>
        <v/>
      </c>
    </row>
    <row r="3054" spans="15:15" x14ac:dyDescent="0.3">
      <c r="O3054" t="str">
        <f t="shared" si="48"/>
        <v/>
      </c>
    </row>
    <row r="3055" spans="15:15" x14ac:dyDescent="0.3">
      <c r="O3055" t="str">
        <f t="shared" si="48"/>
        <v/>
      </c>
    </row>
    <row r="3056" spans="15:15" x14ac:dyDescent="0.3">
      <c r="O3056" t="str">
        <f t="shared" si="48"/>
        <v/>
      </c>
    </row>
    <row r="3057" spans="15:15" x14ac:dyDescent="0.3">
      <c r="O3057" t="str">
        <f t="shared" si="48"/>
        <v/>
      </c>
    </row>
    <row r="3058" spans="15:15" x14ac:dyDescent="0.3">
      <c r="O3058" t="str">
        <f t="shared" si="48"/>
        <v/>
      </c>
    </row>
    <row r="3059" spans="15:15" x14ac:dyDescent="0.3">
      <c r="O3059" t="str">
        <f t="shared" si="48"/>
        <v/>
      </c>
    </row>
    <row r="3060" spans="15:15" x14ac:dyDescent="0.3">
      <c r="O3060" t="str">
        <f t="shared" si="48"/>
        <v/>
      </c>
    </row>
    <row r="3061" spans="15:15" x14ac:dyDescent="0.3">
      <c r="O3061" t="str">
        <f t="shared" si="48"/>
        <v/>
      </c>
    </row>
    <row r="3062" spans="15:15" x14ac:dyDescent="0.3">
      <c r="O3062" t="str">
        <f t="shared" si="48"/>
        <v/>
      </c>
    </row>
    <row r="3063" spans="15:15" x14ac:dyDescent="0.3">
      <c r="O3063" t="str">
        <f t="shared" si="48"/>
        <v/>
      </c>
    </row>
    <row r="3064" spans="15:15" x14ac:dyDescent="0.3">
      <c r="O3064" t="str">
        <f t="shared" si="48"/>
        <v/>
      </c>
    </row>
    <row r="3065" spans="15:15" x14ac:dyDescent="0.3">
      <c r="O3065" t="str">
        <f t="shared" si="48"/>
        <v/>
      </c>
    </row>
    <row r="3066" spans="15:15" x14ac:dyDescent="0.3">
      <c r="O3066" t="str">
        <f t="shared" si="48"/>
        <v/>
      </c>
    </row>
    <row r="3067" spans="15:15" x14ac:dyDescent="0.3">
      <c r="O3067" t="str">
        <f t="shared" si="48"/>
        <v/>
      </c>
    </row>
    <row r="3068" spans="15:15" x14ac:dyDescent="0.3">
      <c r="O3068" t="str">
        <f t="shared" si="48"/>
        <v/>
      </c>
    </row>
    <row r="3069" spans="15:15" x14ac:dyDescent="0.3">
      <c r="O3069" t="str">
        <f t="shared" si="48"/>
        <v/>
      </c>
    </row>
    <row r="3070" spans="15:15" x14ac:dyDescent="0.3">
      <c r="O3070" t="str">
        <f t="shared" si="48"/>
        <v/>
      </c>
    </row>
    <row r="3071" spans="15:15" x14ac:dyDescent="0.3">
      <c r="O3071" t="str">
        <f t="shared" si="48"/>
        <v/>
      </c>
    </row>
    <row r="3072" spans="15:15" x14ac:dyDescent="0.3">
      <c r="O3072" t="str">
        <f t="shared" si="48"/>
        <v/>
      </c>
    </row>
    <row r="3073" spans="15:15" x14ac:dyDescent="0.3">
      <c r="O3073" t="str">
        <f t="shared" si="48"/>
        <v/>
      </c>
    </row>
    <row r="3074" spans="15:15" x14ac:dyDescent="0.3">
      <c r="O3074" t="str">
        <f t="shared" si="48"/>
        <v/>
      </c>
    </row>
    <row r="3075" spans="15:15" x14ac:dyDescent="0.3">
      <c r="O3075" t="str">
        <f t="shared" si="48"/>
        <v/>
      </c>
    </row>
    <row r="3076" spans="15:15" x14ac:dyDescent="0.3">
      <c r="O3076" t="str">
        <f t="shared" si="48"/>
        <v/>
      </c>
    </row>
    <row r="3077" spans="15:15" x14ac:dyDescent="0.3">
      <c r="O3077" t="str">
        <f t="shared" si="48"/>
        <v/>
      </c>
    </row>
    <row r="3078" spans="15:15" x14ac:dyDescent="0.3">
      <c r="O3078" t="str">
        <f t="shared" si="48"/>
        <v/>
      </c>
    </row>
    <row r="3079" spans="15:15" x14ac:dyDescent="0.3">
      <c r="O3079" t="str">
        <f t="shared" si="48"/>
        <v/>
      </c>
    </row>
    <row r="3080" spans="15:15" x14ac:dyDescent="0.3">
      <c r="O3080" t="str">
        <f t="shared" si="48"/>
        <v/>
      </c>
    </row>
    <row r="3081" spans="15:15" x14ac:dyDescent="0.3">
      <c r="O3081" t="str">
        <f t="shared" si="48"/>
        <v/>
      </c>
    </row>
    <row r="3082" spans="15:15" x14ac:dyDescent="0.3">
      <c r="O3082" t="str">
        <f t="shared" ref="O3082:O3145" si="49">IF(P3082="","",O3081+1)</f>
        <v/>
      </c>
    </row>
    <row r="3083" spans="15:15" x14ac:dyDescent="0.3">
      <c r="O3083" t="str">
        <f t="shared" si="49"/>
        <v/>
      </c>
    </row>
    <row r="3084" spans="15:15" x14ac:dyDescent="0.3">
      <c r="O3084" t="str">
        <f t="shared" si="49"/>
        <v/>
      </c>
    </row>
    <row r="3085" spans="15:15" x14ac:dyDescent="0.3">
      <c r="O3085" t="str">
        <f t="shared" si="49"/>
        <v/>
      </c>
    </row>
    <row r="3086" spans="15:15" x14ac:dyDescent="0.3">
      <c r="O3086" t="str">
        <f t="shared" si="49"/>
        <v/>
      </c>
    </row>
    <row r="3087" spans="15:15" x14ac:dyDescent="0.3">
      <c r="O3087" t="str">
        <f t="shared" si="49"/>
        <v/>
      </c>
    </row>
    <row r="3088" spans="15:15" x14ac:dyDescent="0.3">
      <c r="O3088" t="str">
        <f t="shared" si="49"/>
        <v/>
      </c>
    </row>
    <row r="3089" spans="15:15" x14ac:dyDescent="0.3">
      <c r="O3089" t="str">
        <f t="shared" si="49"/>
        <v/>
      </c>
    </row>
    <row r="3090" spans="15:15" x14ac:dyDescent="0.3">
      <c r="O3090" t="str">
        <f t="shared" si="49"/>
        <v/>
      </c>
    </row>
    <row r="3091" spans="15:15" x14ac:dyDescent="0.3">
      <c r="O3091" t="str">
        <f t="shared" si="49"/>
        <v/>
      </c>
    </row>
    <row r="3092" spans="15:15" x14ac:dyDescent="0.3">
      <c r="O3092" t="str">
        <f t="shared" si="49"/>
        <v/>
      </c>
    </row>
    <row r="3093" spans="15:15" x14ac:dyDescent="0.3">
      <c r="O3093" t="str">
        <f t="shared" si="49"/>
        <v/>
      </c>
    </row>
    <row r="3094" spans="15:15" x14ac:dyDescent="0.3">
      <c r="O3094" t="str">
        <f t="shared" si="49"/>
        <v/>
      </c>
    </row>
    <row r="3095" spans="15:15" x14ac:dyDescent="0.3">
      <c r="O3095" t="str">
        <f t="shared" si="49"/>
        <v/>
      </c>
    </row>
    <row r="3096" spans="15:15" x14ac:dyDescent="0.3">
      <c r="O3096" t="str">
        <f t="shared" si="49"/>
        <v/>
      </c>
    </row>
    <row r="3097" spans="15:15" x14ac:dyDescent="0.3">
      <c r="O3097" t="str">
        <f t="shared" si="49"/>
        <v/>
      </c>
    </row>
    <row r="3098" spans="15:15" x14ac:dyDescent="0.3">
      <c r="O3098" t="str">
        <f t="shared" si="49"/>
        <v/>
      </c>
    </row>
    <row r="3099" spans="15:15" x14ac:dyDescent="0.3">
      <c r="O3099" t="str">
        <f t="shared" si="49"/>
        <v/>
      </c>
    </row>
    <row r="3100" spans="15:15" x14ac:dyDescent="0.3">
      <c r="O3100" t="str">
        <f t="shared" si="49"/>
        <v/>
      </c>
    </row>
    <row r="3101" spans="15:15" x14ac:dyDescent="0.3">
      <c r="O3101" t="str">
        <f t="shared" si="49"/>
        <v/>
      </c>
    </row>
    <row r="3102" spans="15:15" x14ac:dyDescent="0.3">
      <c r="O3102" t="str">
        <f t="shared" si="49"/>
        <v/>
      </c>
    </row>
    <row r="3103" spans="15:15" x14ac:dyDescent="0.3">
      <c r="O3103" t="str">
        <f t="shared" si="49"/>
        <v/>
      </c>
    </row>
    <row r="3104" spans="15:15" x14ac:dyDescent="0.3">
      <c r="O3104" t="str">
        <f t="shared" si="49"/>
        <v/>
      </c>
    </row>
    <row r="3105" spans="15:15" x14ac:dyDescent="0.3">
      <c r="O3105" t="str">
        <f t="shared" si="49"/>
        <v/>
      </c>
    </row>
    <row r="3106" spans="15:15" x14ac:dyDescent="0.3">
      <c r="O3106" t="str">
        <f t="shared" si="49"/>
        <v/>
      </c>
    </row>
    <row r="3107" spans="15:15" x14ac:dyDescent="0.3">
      <c r="O3107" t="str">
        <f t="shared" si="49"/>
        <v/>
      </c>
    </row>
    <row r="3108" spans="15:15" x14ac:dyDescent="0.3">
      <c r="O3108" t="str">
        <f t="shared" si="49"/>
        <v/>
      </c>
    </row>
    <row r="3109" spans="15:15" x14ac:dyDescent="0.3">
      <c r="O3109" t="str">
        <f t="shared" si="49"/>
        <v/>
      </c>
    </row>
    <row r="3110" spans="15:15" x14ac:dyDescent="0.3">
      <c r="O3110" t="str">
        <f t="shared" si="49"/>
        <v/>
      </c>
    </row>
    <row r="3111" spans="15:15" x14ac:dyDescent="0.3">
      <c r="O3111" t="str">
        <f t="shared" si="49"/>
        <v/>
      </c>
    </row>
    <row r="3112" spans="15:15" x14ac:dyDescent="0.3">
      <c r="O3112" t="str">
        <f t="shared" si="49"/>
        <v/>
      </c>
    </row>
    <row r="3113" spans="15:15" x14ac:dyDescent="0.3">
      <c r="O3113" t="str">
        <f t="shared" si="49"/>
        <v/>
      </c>
    </row>
    <row r="3114" spans="15:15" x14ac:dyDescent="0.3">
      <c r="O3114" t="str">
        <f t="shared" si="49"/>
        <v/>
      </c>
    </row>
    <row r="3115" spans="15:15" x14ac:dyDescent="0.3">
      <c r="O3115" t="str">
        <f t="shared" si="49"/>
        <v/>
      </c>
    </row>
    <row r="3116" spans="15:15" x14ac:dyDescent="0.3">
      <c r="O3116" t="str">
        <f t="shared" si="49"/>
        <v/>
      </c>
    </row>
    <row r="3117" spans="15:15" x14ac:dyDescent="0.3">
      <c r="O3117" t="str">
        <f t="shared" si="49"/>
        <v/>
      </c>
    </row>
    <row r="3118" spans="15:15" x14ac:dyDescent="0.3">
      <c r="O3118" t="str">
        <f t="shared" si="49"/>
        <v/>
      </c>
    </row>
    <row r="3119" spans="15:15" x14ac:dyDescent="0.3">
      <c r="O3119" t="str">
        <f t="shared" si="49"/>
        <v/>
      </c>
    </row>
    <row r="3120" spans="15:15" x14ac:dyDescent="0.3">
      <c r="O3120" t="str">
        <f t="shared" si="49"/>
        <v/>
      </c>
    </row>
    <row r="3121" spans="15:15" x14ac:dyDescent="0.3">
      <c r="O3121" t="str">
        <f t="shared" si="49"/>
        <v/>
      </c>
    </row>
    <row r="3122" spans="15:15" x14ac:dyDescent="0.3">
      <c r="O3122" t="str">
        <f t="shared" si="49"/>
        <v/>
      </c>
    </row>
    <row r="3123" spans="15:15" x14ac:dyDescent="0.3">
      <c r="O3123" t="str">
        <f t="shared" si="49"/>
        <v/>
      </c>
    </row>
    <row r="3124" spans="15:15" x14ac:dyDescent="0.3">
      <c r="O3124" t="str">
        <f t="shared" si="49"/>
        <v/>
      </c>
    </row>
    <row r="3125" spans="15:15" x14ac:dyDescent="0.3">
      <c r="O3125" t="str">
        <f t="shared" si="49"/>
        <v/>
      </c>
    </row>
    <row r="3126" spans="15:15" x14ac:dyDescent="0.3">
      <c r="O3126" t="str">
        <f t="shared" si="49"/>
        <v/>
      </c>
    </row>
    <row r="3127" spans="15:15" x14ac:dyDescent="0.3">
      <c r="O3127" t="str">
        <f t="shared" si="49"/>
        <v/>
      </c>
    </row>
    <row r="3128" spans="15:15" x14ac:dyDescent="0.3">
      <c r="O3128" t="str">
        <f t="shared" si="49"/>
        <v/>
      </c>
    </row>
    <row r="3129" spans="15:15" x14ac:dyDescent="0.3">
      <c r="O3129" t="str">
        <f t="shared" si="49"/>
        <v/>
      </c>
    </row>
    <row r="3130" spans="15:15" x14ac:dyDescent="0.3">
      <c r="O3130" t="str">
        <f t="shared" si="49"/>
        <v/>
      </c>
    </row>
    <row r="3131" spans="15:15" x14ac:dyDescent="0.3">
      <c r="O3131" t="str">
        <f t="shared" si="49"/>
        <v/>
      </c>
    </row>
    <row r="3132" spans="15:15" x14ac:dyDescent="0.3">
      <c r="O3132" t="str">
        <f t="shared" si="49"/>
        <v/>
      </c>
    </row>
    <row r="3133" spans="15:15" x14ac:dyDescent="0.3">
      <c r="O3133" t="str">
        <f t="shared" si="49"/>
        <v/>
      </c>
    </row>
    <row r="3134" spans="15:15" x14ac:dyDescent="0.3">
      <c r="O3134" t="str">
        <f t="shared" si="49"/>
        <v/>
      </c>
    </row>
    <row r="3135" spans="15:15" x14ac:dyDescent="0.3">
      <c r="O3135" t="str">
        <f t="shared" si="49"/>
        <v/>
      </c>
    </row>
    <row r="3136" spans="15:15" x14ac:dyDescent="0.3">
      <c r="O3136" t="str">
        <f t="shared" si="49"/>
        <v/>
      </c>
    </row>
    <row r="3137" spans="15:15" x14ac:dyDescent="0.3">
      <c r="O3137" t="str">
        <f t="shared" si="49"/>
        <v/>
      </c>
    </row>
    <row r="3138" spans="15:15" x14ac:dyDescent="0.3">
      <c r="O3138" t="str">
        <f t="shared" si="49"/>
        <v/>
      </c>
    </row>
    <row r="3139" spans="15:15" x14ac:dyDescent="0.3">
      <c r="O3139" t="str">
        <f t="shared" si="49"/>
        <v/>
      </c>
    </row>
    <row r="3140" spans="15:15" x14ac:dyDescent="0.3">
      <c r="O3140" t="str">
        <f t="shared" si="49"/>
        <v/>
      </c>
    </row>
    <row r="3141" spans="15:15" x14ac:dyDescent="0.3">
      <c r="O3141" t="str">
        <f t="shared" si="49"/>
        <v/>
      </c>
    </row>
    <row r="3142" spans="15:15" x14ac:dyDescent="0.3">
      <c r="O3142" t="str">
        <f t="shared" si="49"/>
        <v/>
      </c>
    </row>
    <row r="3143" spans="15:15" x14ac:dyDescent="0.3">
      <c r="O3143" t="str">
        <f t="shared" si="49"/>
        <v/>
      </c>
    </row>
    <row r="3144" spans="15:15" x14ac:dyDescent="0.3">
      <c r="O3144" t="str">
        <f t="shared" si="49"/>
        <v/>
      </c>
    </row>
    <row r="3145" spans="15:15" x14ac:dyDescent="0.3">
      <c r="O3145" t="str">
        <f t="shared" si="49"/>
        <v/>
      </c>
    </row>
    <row r="3146" spans="15:15" x14ac:dyDescent="0.3">
      <c r="O3146" t="str">
        <f t="shared" ref="O3146:O3209" si="50">IF(P3146="","",O3145+1)</f>
        <v/>
      </c>
    </row>
    <row r="3147" spans="15:15" x14ac:dyDescent="0.3">
      <c r="O3147" t="str">
        <f t="shared" si="50"/>
        <v/>
      </c>
    </row>
    <row r="3148" spans="15:15" x14ac:dyDescent="0.3">
      <c r="O3148" t="str">
        <f t="shared" si="50"/>
        <v/>
      </c>
    </row>
    <row r="3149" spans="15:15" x14ac:dyDescent="0.3">
      <c r="O3149" t="str">
        <f t="shared" si="50"/>
        <v/>
      </c>
    </row>
    <row r="3150" spans="15:15" x14ac:dyDescent="0.3">
      <c r="O3150" t="str">
        <f t="shared" si="50"/>
        <v/>
      </c>
    </row>
    <row r="3151" spans="15:15" x14ac:dyDescent="0.3">
      <c r="O3151" t="str">
        <f t="shared" si="50"/>
        <v/>
      </c>
    </row>
    <row r="3152" spans="15:15" x14ac:dyDescent="0.3">
      <c r="O3152" t="str">
        <f t="shared" si="50"/>
        <v/>
      </c>
    </row>
    <row r="3153" spans="15:15" x14ac:dyDescent="0.3">
      <c r="O3153" t="str">
        <f t="shared" si="50"/>
        <v/>
      </c>
    </row>
    <row r="3154" spans="15:15" x14ac:dyDescent="0.3">
      <c r="O3154" t="str">
        <f t="shared" si="50"/>
        <v/>
      </c>
    </row>
    <row r="3155" spans="15:15" x14ac:dyDescent="0.3">
      <c r="O3155" t="str">
        <f t="shared" si="50"/>
        <v/>
      </c>
    </row>
    <row r="3156" spans="15:15" x14ac:dyDescent="0.3">
      <c r="O3156" t="str">
        <f t="shared" si="50"/>
        <v/>
      </c>
    </row>
    <row r="3157" spans="15:15" x14ac:dyDescent="0.3">
      <c r="O3157" t="str">
        <f t="shared" si="50"/>
        <v/>
      </c>
    </row>
    <row r="3158" spans="15:15" x14ac:dyDescent="0.3">
      <c r="O3158" t="str">
        <f t="shared" si="50"/>
        <v/>
      </c>
    </row>
    <row r="3159" spans="15:15" x14ac:dyDescent="0.3">
      <c r="O3159" t="str">
        <f t="shared" si="50"/>
        <v/>
      </c>
    </row>
    <row r="3160" spans="15:15" x14ac:dyDescent="0.3">
      <c r="O3160" t="str">
        <f t="shared" si="50"/>
        <v/>
      </c>
    </row>
    <row r="3161" spans="15:15" x14ac:dyDescent="0.3">
      <c r="O3161" t="str">
        <f t="shared" si="50"/>
        <v/>
      </c>
    </row>
    <row r="3162" spans="15:15" x14ac:dyDescent="0.3">
      <c r="O3162" t="str">
        <f t="shared" si="50"/>
        <v/>
      </c>
    </row>
    <row r="3163" spans="15:15" x14ac:dyDescent="0.3">
      <c r="O3163" t="str">
        <f t="shared" si="50"/>
        <v/>
      </c>
    </row>
    <row r="3164" spans="15:15" x14ac:dyDescent="0.3">
      <c r="O3164" t="str">
        <f t="shared" si="50"/>
        <v/>
      </c>
    </row>
    <row r="3165" spans="15:15" x14ac:dyDescent="0.3">
      <c r="O3165" t="str">
        <f t="shared" si="50"/>
        <v/>
      </c>
    </row>
    <row r="3166" spans="15:15" x14ac:dyDescent="0.3">
      <c r="O3166" t="str">
        <f t="shared" si="50"/>
        <v/>
      </c>
    </row>
    <row r="3167" spans="15:15" x14ac:dyDescent="0.3">
      <c r="O3167" t="str">
        <f t="shared" si="50"/>
        <v/>
      </c>
    </row>
    <row r="3168" spans="15:15" x14ac:dyDescent="0.3">
      <c r="O3168" t="str">
        <f t="shared" si="50"/>
        <v/>
      </c>
    </row>
    <row r="3169" spans="15:15" x14ac:dyDescent="0.3">
      <c r="O3169" t="str">
        <f t="shared" si="50"/>
        <v/>
      </c>
    </row>
    <row r="3170" spans="15:15" x14ac:dyDescent="0.3">
      <c r="O3170" t="str">
        <f t="shared" si="50"/>
        <v/>
      </c>
    </row>
    <row r="3171" spans="15:15" x14ac:dyDescent="0.3">
      <c r="O3171" t="str">
        <f t="shared" si="50"/>
        <v/>
      </c>
    </row>
    <row r="3172" spans="15:15" x14ac:dyDescent="0.3">
      <c r="O3172" t="str">
        <f t="shared" si="50"/>
        <v/>
      </c>
    </row>
    <row r="3173" spans="15:15" x14ac:dyDescent="0.3">
      <c r="O3173" t="str">
        <f t="shared" si="50"/>
        <v/>
      </c>
    </row>
    <row r="3174" spans="15:15" x14ac:dyDescent="0.3">
      <c r="O3174" t="str">
        <f t="shared" si="50"/>
        <v/>
      </c>
    </row>
    <row r="3175" spans="15:15" x14ac:dyDescent="0.3">
      <c r="O3175" t="str">
        <f t="shared" si="50"/>
        <v/>
      </c>
    </row>
    <row r="3176" spans="15:15" x14ac:dyDescent="0.3">
      <c r="O3176" t="str">
        <f t="shared" si="50"/>
        <v/>
      </c>
    </row>
    <row r="3177" spans="15:15" x14ac:dyDescent="0.3">
      <c r="O3177" t="str">
        <f t="shared" si="50"/>
        <v/>
      </c>
    </row>
    <row r="3178" spans="15:15" x14ac:dyDescent="0.3">
      <c r="O3178" t="str">
        <f t="shared" si="50"/>
        <v/>
      </c>
    </row>
    <row r="3179" spans="15:15" x14ac:dyDescent="0.3">
      <c r="O3179" t="str">
        <f t="shared" si="50"/>
        <v/>
      </c>
    </row>
    <row r="3180" spans="15:15" x14ac:dyDescent="0.3">
      <c r="O3180" t="str">
        <f t="shared" si="50"/>
        <v/>
      </c>
    </row>
    <row r="3181" spans="15:15" x14ac:dyDescent="0.3">
      <c r="O3181" t="str">
        <f t="shared" si="50"/>
        <v/>
      </c>
    </row>
    <row r="3182" spans="15:15" x14ac:dyDescent="0.3">
      <c r="O3182" t="str">
        <f t="shared" si="50"/>
        <v/>
      </c>
    </row>
    <row r="3183" spans="15:15" x14ac:dyDescent="0.3">
      <c r="O3183" t="str">
        <f t="shared" si="50"/>
        <v/>
      </c>
    </row>
    <row r="3184" spans="15:15" x14ac:dyDescent="0.3">
      <c r="O3184" t="str">
        <f t="shared" si="50"/>
        <v/>
      </c>
    </row>
    <row r="3185" spans="15:15" x14ac:dyDescent="0.3">
      <c r="O3185" t="str">
        <f t="shared" si="50"/>
        <v/>
      </c>
    </row>
    <row r="3186" spans="15:15" x14ac:dyDescent="0.3">
      <c r="O3186" t="str">
        <f t="shared" si="50"/>
        <v/>
      </c>
    </row>
    <row r="3187" spans="15:15" x14ac:dyDescent="0.3">
      <c r="O3187" t="str">
        <f t="shared" si="50"/>
        <v/>
      </c>
    </row>
    <row r="3188" spans="15:15" x14ac:dyDescent="0.3">
      <c r="O3188" t="str">
        <f t="shared" si="50"/>
        <v/>
      </c>
    </row>
    <row r="3189" spans="15:15" x14ac:dyDescent="0.3">
      <c r="O3189" t="str">
        <f t="shared" si="50"/>
        <v/>
      </c>
    </row>
    <row r="3190" spans="15:15" x14ac:dyDescent="0.3">
      <c r="O3190" t="str">
        <f t="shared" si="50"/>
        <v/>
      </c>
    </row>
    <row r="3191" spans="15:15" x14ac:dyDescent="0.3">
      <c r="O3191" t="str">
        <f t="shared" si="50"/>
        <v/>
      </c>
    </row>
    <row r="3192" spans="15:15" x14ac:dyDescent="0.3">
      <c r="O3192" t="str">
        <f t="shared" si="50"/>
        <v/>
      </c>
    </row>
    <row r="3193" spans="15:15" x14ac:dyDescent="0.3">
      <c r="O3193" t="str">
        <f t="shared" si="50"/>
        <v/>
      </c>
    </row>
    <row r="3194" spans="15:15" x14ac:dyDescent="0.3">
      <c r="O3194" t="str">
        <f t="shared" si="50"/>
        <v/>
      </c>
    </row>
    <row r="3195" spans="15:15" x14ac:dyDescent="0.3">
      <c r="O3195" t="str">
        <f t="shared" si="50"/>
        <v/>
      </c>
    </row>
    <row r="3196" spans="15:15" x14ac:dyDescent="0.3">
      <c r="O3196" t="str">
        <f t="shared" si="50"/>
        <v/>
      </c>
    </row>
    <row r="3197" spans="15:15" x14ac:dyDescent="0.3">
      <c r="O3197" t="str">
        <f t="shared" si="50"/>
        <v/>
      </c>
    </row>
    <row r="3198" spans="15:15" x14ac:dyDescent="0.3">
      <c r="O3198" t="str">
        <f t="shared" si="50"/>
        <v/>
      </c>
    </row>
    <row r="3199" spans="15:15" x14ac:dyDescent="0.3">
      <c r="O3199" t="str">
        <f t="shared" si="50"/>
        <v/>
      </c>
    </row>
    <row r="3200" spans="15:15" x14ac:dyDescent="0.3">
      <c r="O3200" t="str">
        <f t="shared" si="50"/>
        <v/>
      </c>
    </row>
    <row r="3201" spans="15:15" x14ac:dyDescent="0.3">
      <c r="O3201" t="str">
        <f t="shared" si="50"/>
        <v/>
      </c>
    </row>
    <row r="3202" spans="15:15" x14ac:dyDescent="0.3">
      <c r="O3202" t="str">
        <f t="shared" si="50"/>
        <v/>
      </c>
    </row>
    <row r="3203" spans="15:15" x14ac:dyDescent="0.3">
      <c r="O3203" t="str">
        <f t="shared" si="50"/>
        <v/>
      </c>
    </row>
    <row r="3204" spans="15:15" x14ac:dyDescent="0.3">
      <c r="O3204" t="str">
        <f t="shared" si="50"/>
        <v/>
      </c>
    </row>
    <row r="3205" spans="15:15" x14ac:dyDescent="0.3">
      <c r="O3205" t="str">
        <f t="shared" si="50"/>
        <v/>
      </c>
    </row>
    <row r="3206" spans="15:15" x14ac:dyDescent="0.3">
      <c r="O3206" t="str">
        <f t="shared" si="50"/>
        <v/>
      </c>
    </row>
    <row r="3207" spans="15:15" x14ac:dyDescent="0.3">
      <c r="O3207" t="str">
        <f t="shared" si="50"/>
        <v/>
      </c>
    </row>
    <row r="3208" spans="15:15" x14ac:dyDescent="0.3">
      <c r="O3208" t="str">
        <f t="shared" si="50"/>
        <v/>
      </c>
    </row>
    <row r="3209" spans="15:15" x14ac:dyDescent="0.3">
      <c r="O3209" t="str">
        <f t="shared" si="50"/>
        <v/>
      </c>
    </row>
    <row r="3210" spans="15:15" x14ac:dyDescent="0.3">
      <c r="O3210" t="str">
        <f t="shared" ref="O3210:O3273" si="51">IF(P3210="","",O3209+1)</f>
        <v/>
      </c>
    </row>
    <row r="3211" spans="15:15" x14ac:dyDescent="0.3">
      <c r="O3211" t="str">
        <f t="shared" si="51"/>
        <v/>
      </c>
    </row>
    <row r="3212" spans="15:15" x14ac:dyDescent="0.3">
      <c r="O3212" t="str">
        <f t="shared" si="51"/>
        <v/>
      </c>
    </row>
    <row r="3213" spans="15:15" x14ac:dyDescent="0.3">
      <c r="O3213" t="str">
        <f t="shared" si="51"/>
        <v/>
      </c>
    </row>
    <row r="3214" spans="15:15" x14ac:dyDescent="0.3">
      <c r="O3214" t="str">
        <f t="shared" si="51"/>
        <v/>
      </c>
    </row>
    <row r="3215" spans="15:15" x14ac:dyDescent="0.3">
      <c r="O3215" t="str">
        <f t="shared" si="51"/>
        <v/>
      </c>
    </row>
    <row r="3216" spans="15:15" x14ac:dyDescent="0.3">
      <c r="O3216" t="str">
        <f t="shared" si="51"/>
        <v/>
      </c>
    </row>
    <row r="3217" spans="15:15" x14ac:dyDescent="0.3">
      <c r="O3217" t="str">
        <f t="shared" si="51"/>
        <v/>
      </c>
    </row>
    <row r="3218" spans="15:15" x14ac:dyDescent="0.3">
      <c r="O3218" t="str">
        <f t="shared" si="51"/>
        <v/>
      </c>
    </row>
    <row r="3219" spans="15:15" x14ac:dyDescent="0.3">
      <c r="O3219" t="str">
        <f t="shared" si="51"/>
        <v/>
      </c>
    </row>
    <row r="3220" spans="15:15" x14ac:dyDescent="0.3">
      <c r="O3220" t="str">
        <f t="shared" si="51"/>
        <v/>
      </c>
    </row>
    <row r="3221" spans="15:15" x14ac:dyDescent="0.3">
      <c r="O3221" t="str">
        <f t="shared" si="51"/>
        <v/>
      </c>
    </row>
    <row r="3222" spans="15:15" x14ac:dyDescent="0.3">
      <c r="O3222" t="str">
        <f t="shared" si="51"/>
        <v/>
      </c>
    </row>
    <row r="3223" spans="15:15" x14ac:dyDescent="0.3">
      <c r="O3223" t="str">
        <f t="shared" si="51"/>
        <v/>
      </c>
    </row>
    <row r="3224" spans="15:15" x14ac:dyDescent="0.3">
      <c r="O3224" t="str">
        <f t="shared" si="51"/>
        <v/>
      </c>
    </row>
    <row r="3225" spans="15:15" x14ac:dyDescent="0.3">
      <c r="O3225" t="str">
        <f t="shared" si="51"/>
        <v/>
      </c>
    </row>
    <row r="3226" spans="15:15" x14ac:dyDescent="0.3">
      <c r="O3226" t="str">
        <f t="shared" si="51"/>
        <v/>
      </c>
    </row>
    <row r="3227" spans="15:15" x14ac:dyDescent="0.3">
      <c r="O3227" t="str">
        <f t="shared" si="51"/>
        <v/>
      </c>
    </row>
    <row r="3228" spans="15:15" x14ac:dyDescent="0.3">
      <c r="O3228" t="str">
        <f t="shared" si="51"/>
        <v/>
      </c>
    </row>
    <row r="3229" spans="15:15" x14ac:dyDescent="0.3">
      <c r="O3229" t="str">
        <f t="shared" si="51"/>
        <v/>
      </c>
    </row>
    <row r="3230" spans="15:15" x14ac:dyDescent="0.3">
      <c r="O3230" t="str">
        <f t="shared" si="51"/>
        <v/>
      </c>
    </row>
    <row r="3231" spans="15:15" x14ac:dyDescent="0.3">
      <c r="O3231" t="str">
        <f t="shared" si="51"/>
        <v/>
      </c>
    </row>
    <row r="3232" spans="15:15" x14ac:dyDescent="0.3">
      <c r="O3232" t="str">
        <f t="shared" si="51"/>
        <v/>
      </c>
    </row>
    <row r="3233" spans="15:15" x14ac:dyDescent="0.3">
      <c r="O3233" t="str">
        <f t="shared" si="51"/>
        <v/>
      </c>
    </row>
    <row r="3234" spans="15:15" x14ac:dyDescent="0.3">
      <c r="O3234" t="str">
        <f t="shared" si="51"/>
        <v/>
      </c>
    </row>
    <row r="3235" spans="15:15" x14ac:dyDescent="0.3">
      <c r="O3235" t="str">
        <f t="shared" si="51"/>
        <v/>
      </c>
    </row>
    <row r="3236" spans="15:15" x14ac:dyDescent="0.3">
      <c r="O3236" t="str">
        <f t="shared" si="51"/>
        <v/>
      </c>
    </row>
    <row r="3237" spans="15:15" x14ac:dyDescent="0.3">
      <c r="O3237" t="str">
        <f t="shared" si="51"/>
        <v/>
      </c>
    </row>
    <row r="3238" spans="15:15" x14ac:dyDescent="0.3">
      <c r="O3238" t="str">
        <f t="shared" si="51"/>
        <v/>
      </c>
    </row>
    <row r="3239" spans="15:15" x14ac:dyDescent="0.3">
      <c r="O3239" t="str">
        <f t="shared" si="51"/>
        <v/>
      </c>
    </row>
    <row r="3240" spans="15:15" x14ac:dyDescent="0.3">
      <c r="O3240" t="str">
        <f t="shared" si="51"/>
        <v/>
      </c>
    </row>
    <row r="3241" spans="15:15" x14ac:dyDescent="0.3">
      <c r="O3241" t="str">
        <f t="shared" si="51"/>
        <v/>
      </c>
    </row>
    <row r="3242" spans="15:15" x14ac:dyDescent="0.3">
      <c r="O3242" t="str">
        <f t="shared" si="51"/>
        <v/>
      </c>
    </row>
    <row r="3243" spans="15:15" x14ac:dyDescent="0.3">
      <c r="O3243" t="str">
        <f t="shared" si="51"/>
        <v/>
      </c>
    </row>
    <row r="3244" spans="15:15" x14ac:dyDescent="0.3">
      <c r="O3244" t="str">
        <f t="shared" si="51"/>
        <v/>
      </c>
    </row>
    <row r="3245" spans="15:15" x14ac:dyDescent="0.3">
      <c r="O3245" t="str">
        <f t="shared" si="51"/>
        <v/>
      </c>
    </row>
    <row r="3246" spans="15:15" x14ac:dyDescent="0.3">
      <c r="O3246" t="str">
        <f t="shared" si="51"/>
        <v/>
      </c>
    </row>
    <row r="3247" spans="15:15" x14ac:dyDescent="0.3">
      <c r="O3247" t="str">
        <f t="shared" si="51"/>
        <v/>
      </c>
    </row>
    <row r="3248" spans="15:15" x14ac:dyDescent="0.3">
      <c r="O3248" t="str">
        <f t="shared" si="51"/>
        <v/>
      </c>
    </row>
    <row r="3249" spans="15:15" x14ac:dyDescent="0.3">
      <c r="O3249" t="str">
        <f t="shared" si="51"/>
        <v/>
      </c>
    </row>
    <row r="3250" spans="15:15" x14ac:dyDescent="0.3">
      <c r="O3250" t="str">
        <f t="shared" si="51"/>
        <v/>
      </c>
    </row>
    <row r="3251" spans="15:15" x14ac:dyDescent="0.3">
      <c r="O3251" t="str">
        <f t="shared" si="51"/>
        <v/>
      </c>
    </row>
    <row r="3252" spans="15:15" x14ac:dyDescent="0.3">
      <c r="O3252" t="str">
        <f t="shared" si="51"/>
        <v/>
      </c>
    </row>
    <row r="3253" spans="15:15" x14ac:dyDescent="0.3">
      <c r="O3253" t="str">
        <f t="shared" si="51"/>
        <v/>
      </c>
    </row>
    <row r="3254" spans="15:15" x14ac:dyDescent="0.3">
      <c r="O3254" t="str">
        <f t="shared" si="51"/>
        <v/>
      </c>
    </row>
    <row r="3255" spans="15:15" x14ac:dyDescent="0.3">
      <c r="O3255" t="str">
        <f t="shared" si="51"/>
        <v/>
      </c>
    </row>
    <row r="3256" spans="15:15" x14ac:dyDescent="0.3">
      <c r="O3256" t="str">
        <f t="shared" si="51"/>
        <v/>
      </c>
    </row>
    <row r="3257" spans="15:15" x14ac:dyDescent="0.3">
      <c r="O3257" t="str">
        <f t="shared" si="51"/>
        <v/>
      </c>
    </row>
    <row r="3258" spans="15:15" x14ac:dyDescent="0.3">
      <c r="O3258" t="str">
        <f t="shared" si="51"/>
        <v/>
      </c>
    </row>
    <row r="3259" spans="15:15" x14ac:dyDescent="0.3">
      <c r="O3259" t="str">
        <f t="shared" si="51"/>
        <v/>
      </c>
    </row>
    <row r="3260" spans="15:15" x14ac:dyDescent="0.3">
      <c r="O3260" t="str">
        <f t="shared" si="51"/>
        <v/>
      </c>
    </row>
    <row r="3261" spans="15:15" x14ac:dyDescent="0.3">
      <c r="O3261" t="str">
        <f t="shared" si="51"/>
        <v/>
      </c>
    </row>
    <row r="3262" spans="15:15" x14ac:dyDescent="0.3">
      <c r="O3262" t="str">
        <f t="shared" si="51"/>
        <v/>
      </c>
    </row>
    <row r="3263" spans="15:15" x14ac:dyDescent="0.3">
      <c r="O3263" t="str">
        <f t="shared" si="51"/>
        <v/>
      </c>
    </row>
    <row r="3264" spans="15:15" x14ac:dyDescent="0.3">
      <c r="O3264" t="str">
        <f t="shared" si="51"/>
        <v/>
      </c>
    </row>
    <row r="3265" spans="15:15" x14ac:dyDescent="0.3">
      <c r="O3265" t="str">
        <f t="shared" si="51"/>
        <v/>
      </c>
    </row>
    <row r="3266" spans="15:15" x14ac:dyDescent="0.3">
      <c r="O3266" t="str">
        <f t="shared" si="51"/>
        <v/>
      </c>
    </row>
    <row r="3267" spans="15:15" x14ac:dyDescent="0.3">
      <c r="O3267" t="str">
        <f t="shared" si="51"/>
        <v/>
      </c>
    </row>
    <row r="3268" spans="15:15" x14ac:dyDescent="0.3">
      <c r="O3268" t="str">
        <f t="shared" si="51"/>
        <v/>
      </c>
    </row>
    <row r="3269" spans="15:15" x14ac:dyDescent="0.3">
      <c r="O3269" t="str">
        <f t="shared" si="51"/>
        <v/>
      </c>
    </row>
    <row r="3270" spans="15:15" x14ac:dyDescent="0.3">
      <c r="O3270" t="str">
        <f t="shared" si="51"/>
        <v/>
      </c>
    </row>
    <row r="3271" spans="15:15" x14ac:dyDescent="0.3">
      <c r="O3271" t="str">
        <f t="shared" si="51"/>
        <v/>
      </c>
    </row>
    <row r="3272" spans="15:15" x14ac:dyDescent="0.3">
      <c r="O3272" t="str">
        <f t="shared" si="51"/>
        <v/>
      </c>
    </row>
    <row r="3273" spans="15:15" x14ac:dyDescent="0.3">
      <c r="O3273" t="str">
        <f t="shared" si="51"/>
        <v/>
      </c>
    </row>
    <row r="3274" spans="15:15" x14ac:dyDescent="0.3">
      <c r="O3274" t="str">
        <f t="shared" ref="O3274:O3337" si="52">IF(P3274="","",O3273+1)</f>
        <v/>
      </c>
    </row>
    <row r="3275" spans="15:15" x14ac:dyDescent="0.3">
      <c r="O3275" t="str">
        <f t="shared" si="52"/>
        <v/>
      </c>
    </row>
    <row r="3276" spans="15:15" x14ac:dyDescent="0.3">
      <c r="O3276" t="str">
        <f t="shared" si="52"/>
        <v/>
      </c>
    </row>
    <row r="3277" spans="15:15" x14ac:dyDescent="0.3">
      <c r="O3277" t="str">
        <f t="shared" si="52"/>
        <v/>
      </c>
    </row>
    <row r="3278" spans="15:15" x14ac:dyDescent="0.3">
      <c r="O3278" t="str">
        <f t="shared" si="52"/>
        <v/>
      </c>
    </row>
    <row r="3279" spans="15:15" x14ac:dyDescent="0.3">
      <c r="O3279" t="str">
        <f t="shared" si="52"/>
        <v/>
      </c>
    </row>
    <row r="3280" spans="15:15" x14ac:dyDescent="0.3">
      <c r="O3280" t="str">
        <f t="shared" si="52"/>
        <v/>
      </c>
    </row>
    <row r="3281" spans="15:15" x14ac:dyDescent="0.3">
      <c r="O3281" t="str">
        <f t="shared" si="52"/>
        <v/>
      </c>
    </row>
    <row r="3282" spans="15:15" x14ac:dyDescent="0.3">
      <c r="O3282" t="str">
        <f t="shared" si="52"/>
        <v/>
      </c>
    </row>
    <row r="3283" spans="15:15" x14ac:dyDescent="0.3">
      <c r="O3283" t="str">
        <f t="shared" si="52"/>
        <v/>
      </c>
    </row>
    <row r="3284" spans="15:15" x14ac:dyDescent="0.3">
      <c r="O3284" t="str">
        <f t="shared" si="52"/>
        <v/>
      </c>
    </row>
    <row r="3285" spans="15:15" x14ac:dyDescent="0.3">
      <c r="O3285" t="str">
        <f t="shared" si="52"/>
        <v/>
      </c>
    </row>
    <row r="3286" spans="15:15" x14ac:dyDescent="0.3">
      <c r="O3286" t="str">
        <f t="shared" si="52"/>
        <v/>
      </c>
    </row>
    <row r="3287" spans="15:15" x14ac:dyDescent="0.3">
      <c r="O3287" t="str">
        <f t="shared" si="52"/>
        <v/>
      </c>
    </row>
    <row r="3288" spans="15:15" x14ac:dyDescent="0.3">
      <c r="O3288" t="str">
        <f t="shared" si="52"/>
        <v/>
      </c>
    </row>
    <row r="3289" spans="15:15" x14ac:dyDescent="0.3">
      <c r="O3289" t="str">
        <f t="shared" si="52"/>
        <v/>
      </c>
    </row>
    <row r="3290" spans="15:15" x14ac:dyDescent="0.3">
      <c r="O3290" t="str">
        <f t="shared" si="52"/>
        <v/>
      </c>
    </row>
    <row r="3291" spans="15:15" x14ac:dyDescent="0.3">
      <c r="O3291" t="str">
        <f t="shared" si="52"/>
        <v/>
      </c>
    </row>
    <row r="3292" spans="15:15" x14ac:dyDescent="0.3">
      <c r="O3292" t="str">
        <f t="shared" si="52"/>
        <v/>
      </c>
    </row>
    <row r="3293" spans="15:15" x14ac:dyDescent="0.3">
      <c r="O3293" t="str">
        <f t="shared" si="52"/>
        <v/>
      </c>
    </row>
    <row r="3294" spans="15:15" x14ac:dyDescent="0.3">
      <c r="O3294" t="str">
        <f t="shared" si="52"/>
        <v/>
      </c>
    </row>
    <row r="3295" spans="15:15" x14ac:dyDescent="0.3">
      <c r="O3295" t="str">
        <f t="shared" si="52"/>
        <v/>
      </c>
    </row>
    <row r="3296" spans="15:15" x14ac:dyDescent="0.3">
      <c r="O3296" t="str">
        <f t="shared" si="52"/>
        <v/>
      </c>
    </row>
    <row r="3297" spans="15:15" x14ac:dyDescent="0.3">
      <c r="O3297" t="str">
        <f t="shared" si="52"/>
        <v/>
      </c>
    </row>
    <row r="3298" spans="15:15" x14ac:dyDescent="0.3">
      <c r="O3298" t="str">
        <f t="shared" si="52"/>
        <v/>
      </c>
    </row>
    <row r="3299" spans="15:15" x14ac:dyDescent="0.3">
      <c r="O3299" t="str">
        <f t="shared" si="52"/>
        <v/>
      </c>
    </row>
    <row r="3300" spans="15:15" x14ac:dyDescent="0.3">
      <c r="O3300" t="str">
        <f t="shared" si="52"/>
        <v/>
      </c>
    </row>
    <row r="3301" spans="15:15" x14ac:dyDescent="0.3">
      <c r="O3301" t="str">
        <f t="shared" si="52"/>
        <v/>
      </c>
    </row>
    <row r="3302" spans="15:15" x14ac:dyDescent="0.3">
      <c r="O3302" t="str">
        <f t="shared" si="52"/>
        <v/>
      </c>
    </row>
    <row r="3303" spans="15:15" x14ac:dyDescent="0.3">
      <c r="O3303" t="str">
        <f t="shared" si="52"/>
        <v/>
      </c>
    </row>
    <row r="3304" spans="15:15" x14ac:dyDescent="0.3">
      <c r="O3304" t="str">
        <f t="shared" si="52"/>
        <v/>
      </c>
    </row>
    <row r="3305" spans="15:15" x14ac:dyDescent="0.3">
      <c r="O3305" t="str">
        <f t="shared" si="52"/>
        <v/>
      </c>
    </row>
    <row r="3306" spans="15:15" x14ac:dyDescent="0.3">
      <c r="O3306" t="str">
        <f t="shared" si="52"/>
        <v/>
      </c>
    </row>
    <row r="3307" spans="15:15" x14ac:dyDescent="0.3">
      <c r="O3307" t="str">
        <f t="shared" si="52"/>
        <v/>
      </c>
    </row>
    <row r="3308" spans="15:15" x14ac:dyDescent="0.3">
      <c r="O3308" t="str">
        <f t="shared" si="52"/>
        <v/>
      </c>
    </row>
    <row r="3309" spans="15:15" x14ac:dyDescent="0.3">
      <c r="O3309" t="str">
        <f t="shared" si="52"/>
        <v/>
      </c>
    </row>
    <row r="3310" spans="15:15" x14ac:dyDescent="0.3">
      <c r="O3310" t="str">
        <f t="shared" si="52"/>
        <v/>
      </c>
    </row>
    <row r="3311" spans="15:15" x14ac:dyDescent="0.3">
      <c r="O3311" t="str">
        <f t="shared" si="52"/>
        <v/>
      </c>
    </row>
    <row r="3312" spans="15:15" x14ac:dyDescent="0.3">
      <c r="O3312" t="str">
        <f t="shared" si="52"/>
        <v/>
      </c>
    </row>
    <row r="3313" spans="15:15" x14ac:dyDescent="0.3">
      <c r="O3313" t="str">
        <f t="shared" si="52"/>
        <v/>
      </c>
    </row>
    <row r="3314" spans="15:15" x14ac:dyDescent="0.3">
      <c r="O3314" t="str">
        <f t="shared" si="52"/>
        <v/>
      </c>
    </row>
    <row r="3315" spans="15:15" x14ac:dyDescent="0.3">
      <c r="O3315" t="str">
        <f t="shared" si="52"/>
        <v/>
      </c>
    </row>
    <row r="3316" spans="15:15" x14ac:dyDescent="0.3">
      <c r="O3316" t="str">
        <f t="shared" si="52"/>
        <v/>
      </c>
    </row>
    <row r="3317" spans="15:15" x14ac:dyDescent="0.3">
      <c r="O3317" t="str">
        <f t="shared" si="52"/>
        <v/>
      </c>
    </row>
    <row r="3318" spans="15:15" x14ac:dyDescent="0.3">
      <c r="O3318" t="str">
        <f t="shared" si="52"/>
        <v/>
      </c>
    </row>
    <row r="3319" spans="15:15" x14ac:dyDescent="0.3">
      <c r="O3319" t="str">
        <f t="shared" si="52"/>
        <v/>
      </c>
    </row>
    <row r="3320" spans="15:15" x14ac:dyDescent="0.3">
      <c r="O3320" t="str">
        <f t="shared" si="52"/>
        <v/>
      </c>
    </row>
    <row r="3321" spans="15:15" x14ac:dyDescent="0.3">
      <c r="O3321" t="str">
        <f t="shared" si="52"/>
        <v/>
      </c>
    </row>
    <row r="3322" spans="15:15" x14ac:dyDescent="0.3">
      <c r="O3322" t="str">
        <f t="shared" si="52"/>
        <v/>
      </c>
    </row>
    <row r="3323" spans="15:15" x14ac:dyDescent="0.3">
      <c r="O3323" t="str">
        <f t="shared" si="52"/>
        <v/>
      </c>
    </row>
    <row r="3324" spans="15:15" x14ac:dyDescent="0.3">
      <c r="O3324" t="str">
        <f t="shared" si="52"/>
        <v/>
      </c>
    </row>
    <row r="3325" spans="15:15" x14ac:dyDescent="0.3">
      <c r="O3325" t="str">
        <f t="shared" si="52"/>
        <v/>
      </c>
    </row>
    <row r="3326" spans="15:15" x14ac:dyDescent="0.3">
      <c r="O3326" t="str">
        <f t="shared" si="52"/>
        <v/>
      </c>
    </row>
    <row r="3327" spans="15:15" x14ac:dyDescent="0.3">
      <c r="O3327" t="str">
        <f t="shared" si="52"/>
        <v/>
      </c>
    </row>
    <row r="3328" spans="15:15" x14ac:dyDescent="0.3">
      <c r="O3328" t="str">
        <f t="shared" si="52"/>
        <v/>
      </c>
    </row>
    <row r="3329" spans="15:15" x14ac:dyDescent="0.3">
      <c r="O3329" t="str">
        <f t="shared" si="52"/>
        <v/>
      </c>
    </row>
    <row r="3330" spans="15:15" x14ac:dyDescent="0.3">
      <c r="O3330" t="str">
        <f t="shared" si="52"/>
        <v/>
      </c>
    </row>
    <row r="3331" spans="15:15" x14ac:dyDescent="0.3">
      <c r="O3331" t="str">
        <f t="shared" si="52"/>
        <v/>
      </c>
    </row>
    <row r="3332" spans="15:15" x14ac:dyDescent="0.3">
      <c r="O3332" t="str">
        <f t="shared" si="52"/>
        <v/>
      </c>
    </row>
    <row r="3333" spans="15:15" x14ac:dyDescent="0.3">
      <c r="O3333" t="str">
        <f t="shared" si="52"/>
        <v/>
      </c>
    </row>
    <row r="3334" spans="15:15" x14ac:dyDescent="0.3">
      <c r="O3334" t="str">
        <f t="shared" si="52"/>
        <v/>
      </c>
    </row>
    <row r="3335" spans="15:15" x14ac:dyDescent="0.3">
      <c r="O3335" t="str">
        <f t="shared" si="52"/>
        <v/>
      </c>
    </row>
    <row r="3336" spans="15:15" x14ac:dyDescent="0.3">
      <c r="O3336" t="str">
        <f t="shared" si="52"/>
        <v/>
      </c>
    </row>
    <row r="3337" spans="15:15" x14ac:dyDescent="0.3">
      <c r="O3337" t="str">
        <f t="shared" si="52"/>
        <v/>
      </c>
    </row>
    <row r="3338" spans="15:15" x14ac:dyDescent="0.3">
      <c r="O3338" t="str">
        <f t="shared" ref="O3338:O3401" si="53">IF(P3338="","",O3337+1)</f>
        <v/>
      </c>
    </row>
    <row r="3339" spans="15:15" x14ac:dyDescent="0.3">
      <c r="O3339" t="str">
        <f t="shared" si="53"/>
        <v/>
      </c>
    </row>
    <row r="3340" spans="15:15" x14ac:dyDescent="0.3">
      <c r="O3340" t="str">
        <f t="shared" si="53"/>
        <v/>
      </c>
    </row>
    <row r="3341" spans="15:15" x14ac:dyDescent="0.3">
      <c r="O3341" t="str">
        <f t="shared" si="53"/>
        <v/>
      </c>
    </row>
    <row r="3342" spans="15:15" x14ac:dyDescent="0.3">
      <c r="O3342" t="str">
        <f t="shared" si="53"/>
        <v/>
      </c>
    </row>
    <row r="3343" spans="15:15" x14ac:dyDescent="0.3">
      <c r="O3343" t="str">
        <f t="shared" si="53"/>
        <v/>
      </c>
    </row>
    <row r="3344" spans="15:15" x14ac:dyDescent="0.3">
      <c r="O3344" t="str">
        <f t="shared" si="53"/>
        <v/>
      </c>
    </row>
    <row r="3345" spans="15:15" x14ac:dyDescent="0.3">
      <c r="O3345" t="str">
        <f t="shared" si="53"/>
        <v/>
      </c>
    </row>
    <row r="3346" spans="15:15" x14ac:dyDescent="0.3">
      <c r="O3346" t="str">
        <f t="shared" si="53"/>
        <v/>
      </c>
    </row>
    <row r="3347" spans="15:15" x14ac:dyDescent="0.3">
      <c r="O3347" t="str">
        <f t="shared" si="53"/>
        <v/>
      </c>
    </row>
    <row r="3348" spans="15:15" x14ac:dyDescent="0.3">
      <c r="O3348" t="str">
        <f t="shared" si="53"/>
        <v/>
      </c>
    </row>
    <row r="3349" spans="15:15" x14ac:dyDescent="0.3">
      <c r="O3349" t="str">
        <f t="shared" si="53"/>
        <v/>
      </c>
    </row>
    <row r="3350" spans="15:15" x14ac:dyDescent="0.3">
      <c r="O3350" t="str">
        <f t="shared" si="53"/>
        <v/>
      </c>
    </row>
    <row r="3351" spans="15:15" x14ac:dyDescent="0.3">
      <c r="O3351" t="str">
        <f t="shared" si="53"/>
        <v/>
      </c>
    </row>
    <row r="3352" spans="15:15" x14ac:dyDescent="0.3">
      <c r="O3352" t="str">
        <f t="shared" si="53"/>
        <v/>
      </c>
    </row>
    <row r="3353" spans="15:15" x14ac:dyDescent="0.3">
      <c r="O3353" t="str">
        <f t="shared" si="53"/>
        <v/>
      </c>
    </row>
    <row r="3354" spans="15:15" x14ac:dyDescent="0.3">
      <c r="O3354" t="str">
        <f t="shared" si="53"/>
        <v/>
      </c>
    </row>
    <row r="3355" spans="15:15" x14ac:dyDescent="0.3">
      <c r="O3355" t="str">
        <f t="shared" si="53"/>
        <v/>
      </c>
    </row>
    <row r="3356" spans="15:15" x14ac:dyDescent="0.3">
      <c r="O3356" t="str">
        <f t="shared" si="53"/>
        <v/>
      </c>
    </row>
    <row r="3357" spans="15:15" x14ac:dyDescent="0.3">
      <c r="O3357" t="str">
        <f t="shared" si="53"/>
        <v/>
      </c>
    </row>
    <row r="3358" spans="15:15" x14ac:dyDescent="0.3">
      <c r="O3358" t="str">
        <f t="shared" si="53"/>
        <v/>
      </c>
    </row>
    <row r="3359" spans="15:15" x14ac:dyDescent="0.3">
      <c r="O3359" t="str">
        <f t="shared" si="53"/>
        <v/>
      </c>
    </row>
    <row r="3360" spans="15:15" x14ac:dyDescent="0.3">
      <c r="O3360" t="str">
        <f t="shared" si="53"/>
        <v/>
      </c>
    </row>
    <row r="3361" spans="15:15" x14ac:dyDescent="0.3">
      <c r="O3361" t="str">
        <f t="shared" si="53"/>
        <v/>
      </c>
    </row>
    <row r="3362" spans="15:15" x14ac:dyDescent="0.3">
      <c r="O3362" t="str">
        <f t="shared" si="53"/>
        <v/>
      </c>
    </row>
    <row r="3363" spans="15:15" x14ac:dyDescent="0.3">
      <c r="O3363" t="str">
        <f t="shared" si="53"/>
        <v/>
      </c>
    </row>
    <row r="3364" spans="15:15" x14ac:dyDescent="0.3">
      <c r="O3364" t="str">
        <f t="shared" si="53"/>
        <v/>
      </c>
    </row>
    <row r="3365" spans="15:15" x14ac:dyDescent="0.3">
      <c r="O3365" t="str">
        <f t="shared" si="53"/>
        <v/>
      </c>
    </row>
    <row r="3366" spans="15:15" x14ac:dyDescent="0.3">
      <c r="O3366" t="str">
        <f t="shared" si="53"/>
        <v/>
      </c>
    </row>
    <row r="3367" spans="15:15" x14ac:dyDescent="0.3">
      <c r="O3367" t="str">
        <f t="shared" si="53"/>
        <v/>
      </c>
    </row>
    <row r="3368" spans="15:15" x14ac:dyDescent="0.3">
      <c r="O3368" t="str">
        <f t="shared" si="53"/>
        <v/>
      </c>
    </row>
    <row r="3369" spans="15:15" x14ac:dyDescent="0.3">
      <c r="O3369" t="str">
        <f t="shared" si="53"/>
        <v/>
      </c>
    </row>
    <row r="3370" spans="15:15" x14ac:dyDescent="0.3">
      <c r="O3370" t="str">
        <f t="shared" si="53"/>
        <v/>
      </c>
    </row>
    <row r="3371" spans="15:15" x14ac:dyDescent="0.3">
      <c r="O3371" t="str">
        <f t="shared" si="53"/>
        <v/>
      </c>
    </row>
    <row r="3372" spans="15:15" x14ac:dyDescent="0.3">
      <c r="O3372" t="str">
        <f t="shared" si="53"/>
        <v/>
      </c>
    </row>
    <row r="3373" spans="15:15" x14ac:dyDescent="0.3">
      <c r="O3373" t="str">
        <f t="shared" si="53"/>
        <v/>
      </c>
    </row>
    <row r="3374" spans="15:15" x14ac:dyDescent="0.3">
      <c r="O3374" t="str">
        <f t="shared" si="53"/>
        <v/>
      </c>
    </row>
    <row r="3375" spans="15:15" x14ac:dyDescent="0.3">
      <c r="O3375" t="str">
        <f t="shared" si="53"/>
        <v/>
      </c>
    </row>
    <row r="3376" spans="15:15" x14ac:dyDescent="0.3">
      <c r="O3376" t="str">
        <f t="shared" si="53"/>
        <v/>
      </c>
    </row>
    <row r="3377" spans="15:15" x14ac:dyDescent="0.3">
      <c r="O3377" t="str">
        <f t="shared" si="53"/>
        <v/>
      </c>
    </row>
    <row r="3378" spans="15:15" x14ac:dyDescent="0.3">
      <c r="O3378" t="str">
        <f t="shared" si="53"/>
        <v/>
      </c>
    </row>
    <row r="3379" spans="15:15" x14ac:dyDescent="0.3">
      <c r="O3379" t="str">
        <f t="shared" si="53"/>
        <v/>
      </c>
    </row>
    <row r="3380" spans="15:15" x14ac:dyDescent="0.3">
      <c r="O3380" t="str">
        <f t="shared" si="53"/>
        <v/>
      </c>
    </row>
    <row r="3381" spans="15:15" x14ac:dyDescent="0.3">
      <c r="O3381" t="str">
        <f t="shared" si="53"/>
        <v/>
      </c>
    </row>
    <row r="3382" spans="15:15" x14ac:dyDescent="0.3">
      <c r="O3382" t="str">
        <f t="shared" si="53"/>
        <v/>
      </c>
    </row>
    <row r="3383" spans="15:15" x14ac:dyDescent="0.3">
      <c r="O3383" t="str">
        <f t="shared" si="53"/>
        <v/>
      </c>
    </row>
    <row r="3384" spans="15:15" x14ac:dyDescent="0.3">
      <c r="O3384" t="str">
        <f t="shared" si="53"/>
        <v/>
      </c>
    </row>
    <row r="3385" spans="15:15" x14ac:dyDescent="0.3">
      <c r="O3385" t="str">
        <f t="shared" si="53"/>
        <v/>
      </c>
    </row>
    <row r="3386" spans="15:15" x14ac:dyDescent="0.3">
      <c r="O3386" t="str">
        <f t="shared" si="53"/>
        <v/>
      </c>
    </row>
    <row r="3387" spans="15:15" x14ac:dyDescent="0.3">
      <c r="O3387" t="str">
        <f t="shared" si="53"/>
        <v/>
      </c>
    </row>
    <row r="3388" spans="15:15" x14ac:dyDescent="0.3">
      <c r="O3388" t="str">
        <f t="shared" si="53"/>
        <v/>
      </c>
    </row>
    <row r="3389" spans="15:15" x14ac:dyDescent="0.3">
      <c r="O3389" t="str">
        <f t="shared" si="53"/>
        <v/>
      </c>
    </row>
    <row r="3390" spans="15:15" x14ac:dyDescent="0.3">
      <c r="O3390" t="str">
        <f t="shared" si="53"/>
        <v/>
      </c>
    </row>
    <row r="3391" spans="15:15" x14ac:dyDescent="0.3">
      <c r="O3391" t="str">
        <f t="shared" si="53"/>
        <v/>
      </c>
    </row>
    <row r="3392" spans="15:15" x14ac:dyDescent="0.3">
      <c r="O3392" t="str">
        <f t="shared" si="53"/>
        <v/>
      </c>
    </row>
    <row r="3393" spans="15:15" x14ac:dyDescent="0.3">
      <c r="O3393" t="str">
        <f t="shared" si="53"/>
        <v/>
      </c>
    </row>
    <row r="3394" spans="15:15" x14ac:dyDescent="0.3">
      <c r="O3394" t="str">
        <f t="shared" si="53"/>
        <v/>
      </c>
    </row>
    <row r="3395" spans="15:15" x14ac:dyDescent="0.3">
      <c r="O3395" t="str">
        <f t="shared" si="53"/>
        <v/>
      </c>
    </row>
    <row r="3396" spans="15:15" x14ac:dyDescent="0.3">
      <c r="O3396" t="str">
        <f t="shared" si="53"/>
        <v/>
      </c>
    </row>
    <row r="3397" spans="15:15" x14ac:dyDescent="0.3">
      <c r="O3397" t="str">
        <f t="shared" si="53"/>
        <v/>
      </c>
    </row>
    <row r="3398" spans="15:15" x14ac:dyDescent="0.3">
      <c r="O3398" t="str">
        <f t="shared" si="53"/>
        <v/>
      </c>
    </row>
    <row r="3399" spans="15:15" x14ac:dyDescent="0.3">
      <c r="O3399" t="str">
        <f t="shared" si="53"/>
        <v/>
      </c>
    </row>
    <row r="3400" spans="15:15" x14ac:dyDescent="0.3">
      <c r="O3400" t="str">
        <f t="shared" si="53"/>
        <v/>
      </c>
    </row>
    <row r="3401" spans="15:15" x14ac:dyDescent="0.3">
      <c r="O3401" t="str">
        <f t="shared" si="53"/>
        <v/>
      </c>
    </row>
    <row r="3402" spans="15:15" x14ac:dyDescent="0.3">
      <c r="O3402" t="str">
        <f t="shared" ref="O3402:O3465" si="54">IF(P3402="","",O3401+1)</f>
        <v/>
      </c>
    </row>
    <row r="3403" spans="15:15" x14ac:dyDescent="0.3">
      <c r="O3403" t="str">
        <f t="shared" si="54"/>
        <v/>
      </c>
    </row>
    <row r="3404" spans="15:15" x14ac:dyDescent="0.3">
      <c r="O3404" t="str">
        <f t="shared" si="54"/>
        <v/>
      </c>
    </row>
    <row r="3405" spans="15:15" x14ac:dyDescent="0.3">
      <c r="O3405" t="str">
        <f t="shared" si="54"/>
        <v/>
      </c>
    </row>
    <row r="3406" spans="15:15" x14ac:dyDescent="0.3">
      <c r="O3406" t="str">
        <f t="shared" si="54"/>
        <v/>
      </c>
    </row>
    <row r="3407" spans="15:15" x14ac:dyDescent="0.3">
      <c r="O3407" t="str">
        <f t="shared" si="54"/>
        <v/>
      </c>
    </row>
    <row r="3408" spans="15:15" x14ac:dyDescent="0.3">
      <c r="O3408" t="str">
        <f t="shared" si="54"/>
        <v/>
      </c>
    </row>
    <row r="3409" spans="15:15" x14ac:dyDescent="0.3">
      <c r="O3409" t="str">
        <f t="shared" si="54"/>
        <v/>
      </c>
    </row>
    <row r="3410" spans="15:15" x14ac:dyDescent="0.3">
      <c r="O3410" t="str">
        <f t="shared" si="54"/>
        <v/>
      </c>
    </row>
    <row r="3411" spans="15:15" x14ac:dyDescent="0.3">
      <c r="O3411" t="str">
        <f t="shared" si="54"/>
        <v/>
      </c>
    </row>
    <row r="3412" spans="15:15" x14ac:dyDescent="0.3">
      <c r="O3412" t="str">
        <f t="shared" si="54"/>
        <v/>
      </c>
    </row>
    <row r="3413" spans="15:15" x14ac:dyDescent="0.3">
      <c r="O3413" t="str">
        <f t="shared" si="54"/>
        <v/>
      </c>
    </row>
    <row r="3414" spans="15:15" x14ac:dyDescent="0.3">
      <c r="O3414" t="str">
        <f t="shared" si="54"/>
        <v/>
      </c>
    </row>
    <row r="3415" spans="15:15" x14ac:dyDescent="0.3">
      <c r="O3415" t="str">
        <f t="shared" si="54"/>
        <v/>
      </c>
    </row>
    <row r="3416" spans="15:15" x14ac:dyDescent="0.3">
      <c r="O3416" t="str">
        <f t="shared" si="54"/>
        <v/>
      </c>
    </row>
    <row r="3417" spans="15:15" x14ac:dyDescent="0.3">
      <c r="O3417" t="str">
        <f t="shared" si="54"/>
        <v/>
      </c>
    </row>
    <row r="3418" spans="15:15" x14ac:dyDescent="0.3">
      <c r="O3418" t="str">
        <f t="shared" si="54"/>
        <v/>
      </c>
    </row>
    <row r="3419" spans="15:15" x14ac:dyDescent="0.3">
      <c r="O3419" t="str">
        <f t="shared" si="54"/>
        <v/>
      </c>
    </row>
    <row r="3420" spans="15:15" x14ac:dyDescent="0.3">
      <c r="O3420" t="str">
        <f t="shared" si="54"/>
        <v/>
      </c>
    </row>
    <row r="3421" spans="15:15" x14ac:dyDescent="0.3">
      <c r="O3421" t="str">
        <f t="shared" si="54"/>
        <v/>
      </c>
    </row>
    <row r="3422" spans="15:15" x14ac:dyDescent="0.3">
      <c r="O3422" t="str">
        <f t="shared" si="54"/>
        <v/>
      </c>
    </row>
    <row r="3423" spans="15:15" x14ac:dyDescent="0.3">
      <c r="O3423" t="str">
        <f t="shared" si="54"/>
        <v/>
      </c>
    </row>
    <row r="3424" spans="15:15" x14ac:dyDescent="0.3">
      <c r="O3424" t="str">
        <f t="shared" si="54"/>
        <v/>
      </c>
    </row>
    <row r="3425" spans="15:15" x14ac:dyDescent="0.3">
      <c r="O3425" t="str">
        <f t="shared" si="54"/>
        <v/>
      </c>
    </row>
    <row r="3426" spans="15:15" x14ac:dyDescent="0.3">
      <c r="O3426" t="str">
        <f t="shared" si="54"/>
        <v/>
      </c>
    </row>
    <row r="3427" spans="15:15" x14ac:dyDescent="0.3">
      <c r="O3427" t="str">
        <f t="shared" si="54"/>
        <v/>
      </c>
    </row>
    <row r="3428" spans="15:15" x14ac:dyDescent="0.3">
      <c r="O3428" t="str">
        <f t="shared" si="54"/>
        <v/>
      </c>
    </row>
    <row r="3429" spans="15:15" x14ac:dyDescent="0.3">
      <c r="O3429" t="str">
        <f t="shared" si="54"/>
        <v/>
      </c>
    </row>
    <row r="3430" spans="15:15" x14ac:dyDescent="0.3">
      <c r="O3430" t="str">
        <f t="shared" si="54"/>
        <v/>
      </c>
    </row>
    <row r="3431" spans="15:15" x14ac:dyDescent="0.3">
      <c r="O3431" t="str">
        <f t="shared" si="54"/>
        <v/>
      </c>
    </row>
    <row r="3432" spans="15:15" x14ac:dyDescent="0.3">
      <c r="O3432" t="str">
        <f t="shared" si="54"/>
        <v/>
      </c>
    </row>
    <row r="3433" spans="15:15" x14ac:dyDescent="0.3">
      <c r="O3433" t="str">
        <f t="shared" si="54"/>
        <v/>
      </c>
    </row>
    <row r="3434" spans="15:15" x14ac:dyDescent="0.3">
      <c r="O3434" t="str">
        <f t="shared" si="54"/>
        <v/>
      </c>
    </row>
    <row r="3435" spans="15:15" x14ac:dyDescent="0.3">
      <c r="O3435" t="str">
        <f t="shared" si="54"/>
        <v/>
      </c>
    </row>
    <row r="3436" spans="15:15" x14ac:dyDescent="0.3">
      <c r="O3436" t="str">
        <f t="shared" si="54"/>
        <v/>
      </c>
    </row>
    <row r="3437" spans="15:15" x14ac:dyDescent="0.3">
      <c r="O3437" t="str">
        <f t="shared" si="54"/>
        <v/>
      </c>
    </row>
    <row r="3438" spans="15:15" x14ac:dyDescent="0.3">
      <c r="O3438" t="str">
        <f t="shared" si="54"/>
        <v/>
      </c>
    </row>
    <row r="3439" spans="15:15" x14ac:dyDescent="0.3">
      <c r="O3439" t="str">
        <f t="shared" si="54"/>
        <v/>
      </c>
    </row>
    <row r="3440" spans="15:15" x14ac:dyDescent="0.3">
      <c r="O3440" t="str">
        <f t="shared" si="54"/>
        <v/>
      </c>
    </row>
    <row r="3441" spans="15:15" x14ac:dyDescent="0.3">
      <c r="O3441" t="str">
        <f t="shared" si="54"/>
        <v/>
      </c>
    </row>
    <row r="3442" spans="15:15" x14ac:dyDescent="0.3">
      <c r="O3442" t="str">
        <f t="shared" si="54"/>
        <v/>
      </c>
    </row>
    <row r="3443" spans="15:15" x14ac:dyDescent="0.3">
      <c r="O3443" t="str">
        <f t="shared" si="54"/>
        <v/>
      </c>
    </row>
    <row r="3444" spans="15:15" x14ac:dyDescent="0.3">
      <c r="O3444" t="str">
        <f t="shared" si="54"/>
        <v/>
      </c>
    </row>
    <row r="3445" spans="15:15" x14ac:dyDescent="0.3">
      <c r="O3445" t="str">
        <f t="shared" si="54"/>
        <v/>
      </c>
    </row>
    <row r="3446" spans="15:15" x14ac:dyDescent="0.3">
      <c r="O3446" t="str">
        <f t="shared" si="54"/>
        <v/>
      </c>
    </row>
    <row r="3447" spans="15:15" x14ac:dyDescent="0.3">
      <c r="O3447" t="str">
        <f t="shared" si="54"/>
        <v/>
      </c>
    </row>
    <row r="3448" spans="15:15" x14ac:dyDescent="0.3">
      <c r="O3448" t="str">
        <f t="shared" si="54"/>
        <v/>
      </c>
    </row>
    <row r="3449" spans="15:15" x14ac:dyDescent="0.3">
      <c r="O3449" t="str">
        <f t="shared" si="54"/>
        <v/>
      </c>
    </row>
    <row r="3450" spans="15:15" x14ac:dyDescent="0.3">
      <c r="O3450" t="str">
        <f t="shared" si="54"/>
        <v/>
      </c>
    </row>
    <row r="3451" spans="15:15" x14ac:dyDescent="0.3">
      <c r="O3451" t="str">
        <f t="shared" si="54"/>
        <v/>
      </c>
    </row>
    <row r="3452" spans="15:15" x14ac:dyDescent="0.3">
      <c r="O3452" t="str">
        <f t="shared" si="54"/>
        <v/>
      </c>
    </row>
    <row r="3453" spans="15:15" x14ac:dyDescent="0.3">
      <c r="O3453" t="str">
        <f t="shared" si="54"/>
        <v/>
      </c>
    </row>
    <row r="3454" spans="15:15" x14ac:dyDescent="0.3">
      <c r="O3454" t="str">
        <f t="shared" si="54"/>
        <v/>
      </c>
    </row>
    <row r="3455" spans="15:15" x14ac:dyDescent="0.3">
      <c r="O3455" t="str">
        <f t="shared" si="54"/>
        <v/>
      </c>
    </row>
    <row r="3456" spans="15:15" x14ac:dyDescent="0.3">
      <c r="O3456" t="str">
        <f t="shared" si="54"/>
        <v/>
      </c>
    </row>
    <row r="3457" spans="15:15" x14ac:dyDescent="0.3">
      <c r="O3457" t="str">
        <f t="shared" si="54"/>
        <v/>
      </c>
    </row>
    <row r="3458" spans="15:15" x14ac:dyDescent="0.3">
      <c r="O3458" t="str">
        <f t="shared" si="54"/>
        <v/>
      </c>
    </row>
    <row r="3459" spans="15:15" x14ac:dyDescent="0.3">
      <c r="O3459" t="str">
        <f t="shared" si="54"/>
        <v/>
      </c>
    </row>
    <row r="3460" spans="15:15" x14ac:dyDescent="0.3">
      <c r="O3460" t="str">
        <f t="shared" si="54"/>
        <v/>
      </c>
    </row>
    <row r="3461" spans="15:15" x14ac:dyDescent="0.3">
      <c r="O3461" t="str">
        <f t="shared" si="54"/>
        <v/>
      </c>
    </row>
    <row r="3462" spans="15:15" x14ac:dyDescent="0.3">
      <c r="O3462" t="str">
        <f t="shared" si="54"/>
        <v/>
      </c>
    </row>
    <row r="3463" spans="15:15" x14ac:dyDescent="0.3">
      <c r="O3463" t="str">
        <f t="shared" si="54"/>
        <v/>
      </c>
    </row>
    <row r="3464" spans="15:15" x14ac:dyDescent="0.3">
      <c r="O3464" t="str">
        <f t="shared" si="54"/>
        <v/>
      </c>
    </row>
    <row r="3465" spans="15:15" x14ac:dyDescent="0.3">
      <c r="O3465" t="str">
        <f t="shared" si="54"/>
        <v/>
      </c>
    </row>
    <row r="3466" spans="15:15" x14ac:dyDescent="0.3">
      <c r="O3466" t="str">
        <f t="shared" ref="O3466:O3529" si="55">IF(P3466="","",O3465+1)</f>
        <v/>
      </c>
    </row>
    <row r="3467" spans="15:15" x14ac:dyDescent="0.3">
      <c r="O3467" t="str">
        <f t="shared" si="55"/>
        <v/>
      </c>
    </row>
    <row r="3468" spans="15:15" x14ac:dyDescent="0.3">
      <c r="O3468" t="str">
        <f t="shared" si="55"/>
        <v/>
      </c>
    </row>
    <row r="3469" spans="15:15" x14ac:dyDescent="0.3">
      <c r="O3469" t="str">
        <f t="shared" si="55"/>
        <v/>
      </c>
    </row>
    <row r="3470" spans="15:15" x14ac:dyDescent="0.3">
      <c r="O3470" t="str">
        <f t="shared" si="55"/>
        <v/>
      </c>
    </row>
    <row r="3471" spans="15:15" x14ac:dyDescent="0.3">
      <c r="O3471" t="str">
        <f t="shared" si="55"/>
        <v/>
      </c>
    </row>
    <row r="3472" spans="15:15" x14ac:dyDescent="0.3">
      <c r="O3472" t="str">
        <f t="shared" si="55"/>
        <v/>
      </c>
    </row>
    <row r="3473" spans="15:15" x14ac:dyDescent="0.3">
      <c r="O3473" t="str">
        <f t="shared" si="55"/>
        <v/>
      </c>
    </row>
    <row r="3474" spans="15:15" x14ac:dyDescent="0.3">
      <c r="O3474" t="str">
        <f t="shared" si="55"/>
        <v/>
      </c>
    </row>
    <row r="3475" spans="15:15" x14ac:dyDescent="0.3">
      <c r="O3475" t="str">
        <f t="shared" si="55"/>
        <v/>
      </c>
    </row>
    <row r="3476" spans="15:15" x14ac:dyDescent="0.3">
      <c r="O3476" t="str">
        <f t="shared" si="55"/>
        <v/>
      </c>
    </row>
    <row r="3477" spans="15:15" x14ac:dyDescent="0.3">
      <c r="O3477" t="str">
        <f t="shared" si="55"/>
        <v/>
      </c>
    </row>
    <row r="3478" spans="15:15" x14ac:dyDescent="0.3">
      <c r="O3478" t="str">
        <f t="shared" si="55"/>
        <v/>
      </c>
    </row>
    <row r="3479" spans="15:15" x14ac:dyDescent="0.3">
      <c r="O3479" t="str">
        <f t="shared" si="55"/>
        <v/>
      </c>
    </row>
    <row r="3480" spans="15:15" x14ac:dyDescent="0.3">
      <c r="O3480" t="str">
        <f t="shared" si="55"/>
        <v/>
      </c>
    </row>
    <row r="3481" spans="15:15" x14ac:dyDescent="0.3">
      <c r="O3481" t="str">
        <f t="shared" si="55"/>
        <v/>
      </c>
    </row>
    <row r="3482" spans="15:15" x14ac:dyDescent="0.3">
      <c r="O3482" t="str">
        <f t="shared" si="55"/>
        <v/>
      </c>
    </row>
    <row r="3483" spans="15:15" x14ac:dyDescent="0.3">
      <c r="O3483" t="str">
        <f t="shared" si="55"/>
        <v/>
      </c>
    </row>
    <row r="3484" spans="15:15" x14ac:dyDescent="0.3">
      <c r="O3484" t="str">
        <f t="shared" si="55"/>
        <v/>
      </c>
    </row>
    <row r="3485" spans="15:15" x14ac:dyDescent="0.3">
      <c r="O3485" t="str">
        <f t="shared" si="55"/>
        <v/>
      </c>
    </row>
    <row r="3486" spans="15:15" x14ac:dyDescent="0.3">
      <c r="O3486" t="str">
        <f t="shared" si="55"/>
        <v/>
      </c>
    </row>
    <row r="3487" spans="15:15" x14ac:dyDescent="0.3">
      <c r="O3487" t="str">
        <f t="shared" si="55"/>
        <v/>
      </c>
    </row>
    <row r="3488" spans="15:15" x14ac:dyDescent="0.3">
      <c r="O3488" t="str">
        <f t="shared" si="55"/>
        <v/>
      </c>
    </row>
    <row r="3489" spans="15:15" x14ac:dyDescent="0.3">
      <c r="O3489" t="str">
        <f t="shared" si="55"/>
        <v/>
      </c>
    </row>
    <row r="3490" spans="15:15" x14ac:dyDescent="0.3">
      <c r="O3490" t="str">
        <f t="shared" si="55"/>
        <v/>
      </c>
    </row>
    <row r="3491" spans="15:15" x14ac:dyDescent="0.3">
      <c r="O3491" t="str">
        <f t="shared" si="55"/>
        <v/>
      </c>
    </row>
    <row r="3492" spans="15:15" x14ac:dyDescent="0.3">
      <c r="O3492" t="str">
        <f t="shared" si="55"/>
        <v/>
      </c>
    </row>
    <row r="3493" spans="15:15" x14ac:dyDescent="0.3">
      <c r="O3493" t="str">
        <f t="shared" si="55"/>
        <v/>
      </c>
    </row>
    <row r="3494" spans="15:15" x14ac:dyDescent="0.3">
      <c r="O3494" t="str">
        <f t="shared" si="55"/>
        <v/>
      </c>
    </row>
    <row r="3495" spans="15:15" x14ac:dyDescent="0.3">
      <c r="O3495" t="str">
        <f t="shared" si="55"/>
        <v/>
      </c>
    </row>
    <row r="3496" spans="15:15" x14ac:dyDescent="0.3">
      <c r="O3496" t="str">
        <f t="shared" si="55"/>
        <v/>
      </c>
    </row>
    <row r="3497" spans="15:15" x14ac:dyDescent="0.3">
      <c r="O3497" t="str">
        <f t="shared" si="55"/>
        <v/>
      </c>
    </row>
    <row r="3498" spans="15:15" x14ac:dyDescent="0.3">
      <c r="O3498" t="str">
        <f t="shared" si="55"/>
        <v/>
      </c>
    </row>
    <row r="3499" spans="15:15" x14ac:dyDescent="0.3">
      <c r="O3499" t="str">
        <f t="shared" si="55"/>
        <v/>
      </c>
    </row>
    <row r="3500" spans="15:15" x14ac:dyDescent="0.3">
      <c r="O3500" t="str">
        <f t="shared" si="55"/>
        <v/>
      </c>
    </row>
    <row r="3501" spans="15:15" x14ac:dyDescent="0.3">
      <c r="O3501" t="str">
        <f t="shared" si="55"/>
        <v/>
      </c>
    </row>
    <row r="3502" spans="15:15" x14ac:dyDescent="0.3">
      <c r="O3502" t="str">
        <f t="shared" si="55"/>
        <v/>
      </c>
    </row>
    <row r="3503" spans="15:15" x14ac:dyDescent="0.3">
      <c r="O3503" t="str">
        <f t="shared" si="55"/>
        <v/>
      </c>
    </row>
    <row r="3504" spans="15:15" x14ac:dyDescent="0.3">
      <c r="O3504" t="str">
        <f t="shared" si="55"/>
        <v/>
      </c>
    </row>
    <row r="3505" spans="15:15" x14ac:dyDescent="0.3">
      <c r="O3505" t="str">
        <f t="shared" si="55"/>
        <v/>
      </c>
    </row>
    <row r="3506" spans="15:15" x14ac:dyDescent="0.3">
      <c r="O3506" t="str">
        <f t="shared" si="55"/>
        <v/>
      </c>
    </row>
    <row r="3507" spans="15:15" x14ac:dyDescent="0.3">
      <c r="O3507" t="str">
        <f t="shared" si="55"/>
        <v/>
      </c>
    </row>
    <row r="3508" spans="15:15" x14ac:dyDescent="0.3">
      <c r="O3508" t="str">
        <f t="shared" si="55"/>
        <v/>
      </c>
    </row>
    <row r="3509" spans="15:15" x14ac:dyDescent="0.3">
      <c r="O3509" t="str">
        <f t="shared" si="55"/>
        <v/>
      </c>
    </row>
    <row r="3510" spans="15:15" x14ac:dyDescent="0.3">
      <c r="O3510" t="str">
        <f t="shared" si="55"/>
        <v/>
      </c>
    </row>
    <row r="3511" spans="15:15" x14ac:dyDescent="0.3">
      <c r="O3511" t="str">
        <f t="shared" si="55"/>
        <v/>
      </c>
    </row>
    <row r="3512" spans="15:15" x14ac:dyDescent="0.3">
      <c r="O3512" t="str">
        <f t="shared" si="55"/>
        <v/>
      </c>
    </row>
    <row r="3513" spans="15:15" x14ac:dyDescent="0.3">
      <c r="O3513" t="str">
        <f t="shared" si="55"/>
        <v/>
      </c>
    </row>
    <row r="3514" spans="15:15" x14ac:dyDescent="0.3">
      <c r="O3514" t="str">
        <f t="shared" si="55"/>
        <v/>
      </c>
    </row>
    <row r="3515" spans="15:15" x14ac:dyDescent="0.3">
      <c r="O3515" t="str">
        <f t="shared" si="55"/>
        <v/>
      </c>
    </row>
    <row r="3516" spans="15:15" x14ac:dyDescent="0.3">
      <c r="O3516" t="str">
        <f t="shared" si="55"/>
        <v/>
      </c>
    </row>
    <row r="3517" spans="15:15" x14ac:dyDescent="0.3">
      <c r="O3517" t="str">
        <f t="shared" si="55"/>
        <v/>
      </c>
    </row>
    <row r="3518" spans="15:15" x14ac:dyDescent="0.3">
      <c r="O3518" t="str">
        <f t="shared" si="55"/>
        <v/>
      </c>
    </row>
    <row r="3519" spans="15:15" x14ac:dyDescent="0.3">
      <c r="O3519" t="str">
        <f t="shared" si="55"/>
        <v/>
      </c>
    </row>
    <row r="3520" spans="15:15" x14ac:dyDescent="0.3">
      <c r="O3520" t="str">
        <f t="shared" si="55"/>
        <v/>
      </c>
    </row>
    <row r="3521" spans="15:15" x14ac:dyDescent="0.3">
      <c r="O3521" t="str">
        <f t="shared" si="55"/>
        <v/>
      </c>
    </row>
    <row r="3522" spans="15:15" x14ac:dyDescent="0.3">
      <c r="O3522" t="str">
        <f t="shared" si="55"/>
        <v/>
      </c>
    </row>
    <row r="3523" spans="15:15" x14ac:dyDescent="0.3">
      <c r="O3523" t="str">
        <f t="shared" si="55"/>
        <v/>
      </c>
    </row>
    <row r="3524" spans="15:15" x14ac:dyDescent="0.3">
      <c r="O3524" t="str">
        <f t="shared" si="55"/>
        <v/>
      </c>
    </row>
    <row r="3525" spans="15:15" x14ac:dyDescent="0.3">
      <c r="O3525" t="str">
        <f t="shared" si="55"/>
        <v/>
      </c>
    </row>
    <row r="3526" spans="15:15" x14ac:dyDescent="0.3">
      <c r="O3526" t="str">
        <f t="shared" si="55"/>
        <v/>
      </c>
    </row>
    <row r="3527" spans="15:15" x14ac:dyDescent="0.3">
      <c r="O3527" t="str">
        <f t="shared" si="55"/>
        <v/>
      </c>
    </row>
    <row r="3528" spans="15:15" x14ac:dyDescent="0.3">
      <c r="O3528" t="str">
        <f t="shared" si="55"/>
        <v/>
      </c>
    </row>
    <row r="3529" spans="15:15" x14ac:dyDescent="0.3">
      <c r="O3529" t="str">
        <f t="shared" si="55"/>
        <v/>
      </c>
    </row>
    <row r="3530" spans="15:15" x14ac:dyDescent="0.3">
      <c r="O3530" t="str">
        <f t="shared" ref="O3530:O3593" si="56">IF(P3530="","",O3529+1)</f>
        <v/>
      </c>
    </row>
    <row r="3531" spans="15:15" x14ac:dyDescent="0.3">
      <c r="O3531" t="str">
        <f t="shared" si="56"/>
        <v/>
      </c>
    </row>
    <row r="3532" spans="15:15" x14ac:dyDescent="0.3">
      <c r="O3532" t="str">
        <f t="shared" si="56"/>
        <v/>
      </c>
    </row>
    <row r="3533" spans="15:15" x14ac:dyDescent="0.3">
      <c r="O3533" t="str">
        <f t="shared" si="56"/>
        <v/>
      </c>
    </row>
    <row r="3534" spans="15:15" x14ac:dyDescent="0.3">
      <c r="O3534" t="str">
        <f t="shared" si="56"/>
        <v/>
      </c>
    </row>
    <row r="3535" spans="15:15" x14ac:dyDescent="0.3">
      <c r="O3535" t="str">
        <f t="shared" si="56"/>
        <v/>
      </c>
    </row>
    <row r="3536" spans="15:15" x14ac:dyDescent="0.3">
      <c r="O3536" t="str">
        <f t="shared" si="56"/>
        <v/>
      </c>
    </row>
    <row r="3537" spans="15:15" x14ac:dyDescent="0.3">
      <c r="O3537" t="str">
        <f t="shared" si="56"/>
        <v/>
      </c>
    </row>
    <row r="3538" spans="15:15" x14ac:dyDescent="0.3">
      <c r="O3538" t="str">
        <f t="shared" si="56"/>
        <v/>
      </c>
    </row>
    <row r="3539" spans="15:15" x14ac:dyDescent="0.3">
      <c r="O3539" t="str">
        <f t="shared" si="56"/>
        <v/>
      </c>
    </row>
    <row r="3540" spans="15:15" x14ac:dyDescent="0.3">
      <c r="O3540" t="str">
        <f t="shared" si="56"/>
        <v/>
      </c>
    </row>
    <row r="3541" spans="15:15" x14ac:dyDescent="0.3">
      <c r="O3541" t="str">
        <f t="shared" si="56"/>
        <v/>
      </c>
    </row>
    <row r="3542" spans="15:15" x14ac:dyDescent="0.3">
      <c r="O3542" t="str">
        <f t="shared" si="56"/>
        <v/>
      </c>
    </row>
    <row r="3543" spans="15:15" x14ac:dyDescent="0.3">
      <c r="O3543" t="str">
        <f t="shared" si="56"/>
        <v/>
      </c>
    </row>
    <row r="3544" spans="15:15" x14ac:dyDescent="0.3">
      <c r="O3544" t="str">
        <f t="shared" si="56"/>
        <v/>
      </c>
    </row>
    <row r="3545" spans="15:15" x14ac:dyDescent="0.3">
      <c r="O3545" t="str">
        <f t="shared" si="56"/>
        <v/>
      </c>
    </row>
    <row r="3546" spans="15:15" x14ac:dyDescent="0.3">
      <c r="O3546" t="str">
        <f t="shared" si="56"/>
        <v/>
      </c>
    </row>
    <row r="3547" spans="15:15" x14ac:dyDescent="0.3">
      <c r="O3547" t="str">
        <f t="shared" si="56"/>
        <v/>
      </c>
    </row>
    <row r="3548" spans="15:15" x14ac:dyDescent="0.3">
      <c r="O3548" t="str">
        <f t="shared" si="56"/>
        <v/>
      </c>
    </row>
    <row r="3549" spans="15:15" x14ac:dyDescent="0.3">
      <c r="O3549" t="str">
        <f t="shared" si="56"/>
        <v/>
      </c>
    </row>
    <row r="3550" spans="15:15" x14ac:dyDescent="0.3">
      <c r="O3550" t="str">
        <f t="shared" si="56"/>
        <v/>
      </c>
    </row>
    <row r="3551" spans="15:15" x14ac:dyDescent="0.3">
      <c r="O3551" t="str">
        <f t="shared" si="56"/>
        <v/>
      </c>
    </row>
    <row r="3552" spans="15:15" x14ac:dyDescent="0.3">
      <c r="O3552" t="str">
        <f t="shared" si="56"/>
        <v/>
      </c>
    </row>
    <row r="3553" spans="15:15" x14ac:dyDescent="0.3">
      <c r="O3553" t="str">
        <f t="shared" si="56"/>
        <v/>
      </c>
    </row>
    <row r="3554" spans="15:15" x14ac:dyDescent="0.3">
      <c r="O3554" t="str">
        <f t="shared" si="56"/>
        <v/>
      </c>
    </row>
    <row r="3555" spans="15:15" x14ac:dyDescent="0.3">
      <c r="O3555" t="str">
        <f t="shared" si="56"/>
        <v/>
      </c>
    </row>
    <row r="3556" spans="15:15" x14ac:dyDescent="0.3">
      <c r="O3556" t="str">
        <f t="shared" si="56"/>
        <v/>
      </c>
    </row>
    <row r="3557" spans="15:15" x14ac:dyDescent="0.3">
      <c r="O3557" t="str">
        <f t="shared" si="56"/>
        <v/>
      </c>
    </row>
    <row r="3558" spans="15:15" x14ac:dyDescent="0.3">
      <c r="O3558" t="str">
        <f t="shared" si="56"/>
        <v/>
      </c>
    </row>
    <row r="3559" spans="15:15" x14ac:dyDescent="0.3">
      <c r="O3559" t="str">
        <f t="shared" si="56"/>
        <v/>
      </c>
    </row>
    <row r="3560" spans="15:15" x14ac:dyDescent="0.3">
      <c r="O3560" t="str">
        <f t="shared" si="56"/>
        <v/>
      </c>
    </row>
    <row r="3561" spans="15:15" x14ac:dyDescent="0.3">
      <c r="O3561" t="str">
        <f t="shared" si="56"/>
        <v/>
      </c>
    </row>
    <row r="3562" spans="15:15" x14ac:dyDescent="0.3">
      <c r="O3562" t="str">
        <f t="shared" si="56"/>
        <v/>
      </c>
    </row>
    <row r="3563" spans="15:15" x14ac:dyDescent="0.3">
      <c r="O3563" t="str">
        <f t="shared" si="56"/>
        <v/>
      </c>
    </row>
    <row r="3564" spans="15:15" x14ac:dyDescent="0.3">
      <c r="O3564" t="str">
        <f t="shared" si="56"/>
        <v/>
      </c>
    </row>
    <row r="3565" spans="15:15" x14ac:dyDescent="0.3">
      <c r="O3565" t="str">
        <f t="shared" si="56"/>
        <v/>
      </c>
    </row>
    <row r="3566" spans="15:15" x14ac:dyDescent="0.3">
      <c r="O3566" t="str">
        <f t="shared" si="56"/>
        <v/>
      </c>
    </row>
    <row r="3567" spans="15:15" x14ac:dyDescent="0.3">
      <c r="O3567" t="str">
        <f t="shared" si="56"/>
        <v/>
      </c>
    </row>
    <row r="3568" spans="15:15" x14ac:dyDescent="0.3">
      <c r="O3568" t="str">
        <f t="shared" si="56"/>
        <v/>
      </c>
    </row>
    <row r="3569" spans="15:15" x14ac:dyDescent="0.3">
      <c r="O3569" t="str">
        <f t="shared" si="56"/>
        <v/>
      </c>
    </row>
    <row r="3570" spans="15:15" x14ac:dyDescent="0.3">
      <c r="O3570" t="str">
        <f t="shared" si="56"/>
        <v/>
      </c>
    </row>
    <row r="3571" spans="15:15" x14ac:dyDescent="0.3">
      <c r="O3571" t="str">
        <f t="shared" si="56"/>
        <v/>
      </c>
    </row>
    <row r="3572" spans="15:15" x14ac:dyDescent="0.3">
      <c r="O3572" t="str">
        <f t="shared" si="56"/>
        <v/>
      </c>
    </row>
    <row r="3573" spans="15:15" x14ac:dyDescent="0.3">
      <c r="O3573" t="str">
        <f t="shared" si="56"/>
        <v/>
      </c>
    </row>
    <row r="3574" spans="15:15" x14ac:dyDescent="0.3">
      <c r="O3574" t="str">
        <f t="shared" si="56"/>
        <v/>
      </c>
    </row>
    <row r="3575" spans="15:15" x14ac:dyDescent="0.3">
      <c r="O3575" t="str">
        <f t="shared" si="56"/>
        <v/>
      </c>
    </row>
    <row r="3576" spans="15:15" x14ac:dyDescent="0.3">
      <c r="O3576" t="str">
        <f t="shared" si="56"/>
        <v/>
      </c>
    </row>
    <row r="3577" spans="15:15" x14ac:dyDescent="0.3">
      <c r="O3577" t="str">
        <f t="shared" si="56"/>
        <v/>
      </c>
    </row>
    <row r="3578" spans="15:15" x14ac:dyDescent="0.3">
      <c r="O3578" t="str">
        <f t="shared" si="56"/>
        <v/>
      </c>
    </row>
    <row r="3579" spans="15:15" x14ac:dyDescent="0.3">
      <c r="O3579" t="str">
        <f t="shared" si="56"/>
        <v/>
      </c>
    </row>
    <row r="3580" spans="15:15" x14ac:dyDescent="0.3">
      <c r="O3580" t="str">
        <f t="shared" si="56"/>
        <v/>
      </c>
    </row>
    <row r="3581" spans="15:15" x14ac:dyDescent="0.3">
      <c r="O3581" t="str">
        <f t="shared" si="56"/>
        <v/>
      </c>
    </row>
    <row r="3582" spans="15:15" x14ac:dyDescent="0.3">
      <c r="O3582" t="str">
        <f t="shared" si="56"/>
        <v/>
      </c>
    </row>
    <row r="3583" spans="15:15" x14ac:dyDescent="0.3">
      <c r="O3583" t="str">
        <f t="shared" si="56"/>
        <v/>
      </c>
    </row>
    <row r="3584" spans="15:15" x14ac:dyDescent="0.3">
      <c r="O3584" t="str">
        <f t="shared" si="56"/>
        <v/>
      </c>
    </row>
    <row r="3585" spans="15:15" x14ac:dyDescent="0.3">
      <c r="O3585" t="str">
        <f t="shared" si="56"/>
        <v/>
      </c>
    </row>
    <row r="3586" spans="15:15" x14ac:dyDescent="0.3">
      <c r="O3586" t="str">
        <f t="shared" si="56"/>
        <v/>
      </c>
    </row>
    <row r="3587" spans="15:15" x14ac:dyDescent="0.3">
      <c r="O3587" t="str">
        <f t="shared" si="56"/>
        <v/>
      </c>
    </row>
    <row r="3588" spans="15:15" x14ac:dyDescent="0.3">
      <c r="O3588" t="str">
        <f t="shared" si="56"/>
        <v/>
      </c>
    </row>
    <row r="3589" spans="15:15" x14ac:dyDescent="0.3">
      <c r="O3589" t="str">
        <f t="shared" si="56"/>
        <v/>
      </c>
    </row>
    <row r="3590" spans="15:15" x14ac:dyDescent="0.3">
      <c r="O3590" t="str">
        <f t="shared" si="56"/>
        <v/>
      </c>
    </row>
    <row r="3591" spans="15:15" x14ac:dyDescent="0.3">
      <c r="O3591" t="str">
        <f t="shared" si="56"/>
        <v/>
      </c>
    </row>
    <row r="3592" spans="15:15" x14ac:dyDescent="0.3">
      <c r="O3592" t="str">
        <f t="shared" si="56"/>
        <v/>
      </c>
    </row>
    <row r="3593" spans="15:15" x14ac:dyDescent="0.3">
      <c r="O3593" t="str">
        <f t="shared" si="56"/>
        <v/>
      </c>
    </row>
    <row r="3594" spans="15:15" x14ac:dyDescent="0.3">
      <c r="O3594" t="str">
        <f t="shared" ref="O3594:O3657" si="57">IF(P3594="","",O3593+1)</f>
        <v/>
      </c>
    </row>
    <row r="3595" spans="15:15" x14ac:dyDescent="0.3">
      <c r="O3595" t="str">
        <f t="shared" si="57"/>
        <v/>
      </c>
    </row>
    <row r="3596" spans="15:15" x14ac:dyDescent="0.3">
      <c r="O3596" t="str">
        <f t="shared" si="57"/>
        <v/>
      </c>
    </row>
    <row r="3597" spans="15:15" x14ac:dyDescent="0.3">
      <c r="O3597" t="str">
        <f t="shared" si="57"/>
        <v/>
      </c>
    </row>
    <row r="3598" spans="15:15" x14ac:dyDescent="0.3">
      <c r="O3598" t="str">
        <f t="shared" si="57"/>
        <v/>
      </c>
    </row>
    <row r="3599" spans="15:15" x14ac:dyDescent="0.3">
      <c r="O3599" t="str">
        <f t="shared" si="57"/>
        <v/>
      </c>
    </row>
    <row r="3600" spans="15:15" x14ac:dyDescent="0.3">
      <c r="O3600" t="str">
        <f t="shared" si="57"/>
        <v/>
      </c>
    </row>
    <row r="3601" spans="15:15" x14ac:dyDescent="0.3">
      <c r="O3601" t="str">
        <f t="shared" si="57"/>
        <v/>
      </c>
    </row>
    <row r="3602" spans="15:15" x14ac:dyDescent="0.3">
      <c r="O3602" t="str">
        <f t="shared" si="57"/>
        <v/>
      </c>
    </row>
    <row r="3603" spans="15:15" x14ac:dyDescent="0.3">
      <c r="O3603" t="str">
        <f t="shared" si="57"/>
        <v/>
      </c>
    </row>
    <row r="3604" spans="15:15" x14ac:dyDescent="0.3">
      <c r="O3604" t="str">
        <f t="shared" si="57"/>
        <v/>
      </c>
    </row>
    <row r="3605" spans="15:15" x14ac:dyDescent="0.3">
      <c r="O3605" t="str">
        <f t="shared" si="57"/>
        <v/>
      </c>
    </row>
    <row r="3606" spans="15:15" x14ac:dyDescent="0.3">
      <c r="O3606" t="str">
        <f t="shared" si="57"/>
        <v/>
      </c>
    </row>
    <row r="3607" spans="15:15" x14ac:dyDescent="0.3">
      <c r="O3607" t="str">
        <f t="shared" si="57"/>
        <v/>
      </c>
    </row>
    <row r="3608" spans="15:15" x14ac:dyDescent="0.3">
      <c r="O3608" t="str">
        <f t="shared" si="57"/>
        <v/>
      </c>
    </row>
    <row r="3609" spans="15:15" x14ac:dyDescent="0.3">
      <c r="O3609" t="str">
        <f t="shared" si="57"/>
        <v/>
      </c>
    </row>
    <row r="3610" spans="15:15" x14ac:dyDescent="0.3">
      <c r="O3610" t="str">
        <f t="shared" si="57"/>
        <v/>
      </c>
    </row>
    <row r="3611" spans="15:15" x14ac:dyDescent="0.3">
      <c r="O3611" t="str">
        <f t="shared" si="57"/>
        <v/>
      </c>
    </row>
    <row r="3612" spans="15:15" x14ac:dyDescent="0.3">
      <c r="O3612" t="str">
        <f t="shared" si="57"/>
        <v/>
      </c>
    </row>
    <row r="3613" spans="15:15" x14ac:dyDescent="0.3">
      <c r="O3613" t="str">
        <f t="shared" si="57"/>
        <v/>
      </c>
    </row>
    <row r="3614" spans="15:15" x14ac:dyDescent="0.3">
      <c r="O3614" t="str">
        <f t="shared" si="57"/>
        <v/>
      </c>
    </row>
    <row r="3615" spans="15:15" x14ac:dyDescent="0.3">
      <c r="O3615" t="str">
        <f t="shared" si="57"/>
        <v/>
      </c>
    </row>
    <row r="3616" spans="15:15" x14ac:dyDescent="0.3">
      <c r="O3616" t="str">
        <f t="shared" si="57"/>
        <v/>
      </c>
    </row>
    <row r="3617" spans="15:15" x14ac:dyDescent="0.3">
      <c r="O3617" t="str">
        <f t="shared" si="57"/>
        <v/>
      </c>
    </row>
    <row r="3618" spans="15:15" x14ac:dyDescent="0.3">
      <c r="O3618" t="str">
        <f t="shared" si="57"/>
        <v/>
      </c>
    </row>
    <row r="3619" spans="15:15" x14ac:dyDescent="0.3">
      <c r="O3619" t="str">
        <f t="shared" si="57"/>
        <v/>
      </c>
    </row>
    <row r="3620" spans="15:15" x14ac:dyDescent="0.3">
      <c r="O3620" t="str">
        <f t="shared" si="57"/>
        <v/>
      </c>
    </row>
    <row r="3621" spans="15:15" x14ac:dyDescent="0.3">
      <c r="O3621" t="str">
        <f t="shared" si="57"/>
        <v/>
      </c>
    </row>
    <row r="3622" spans="15:15" x14ac:dyDescent="0.3">
      <c r="O3622" t="str">
        <f t="shared" si="57"/>
        <v/>
      </c>
    </row>
    <row r="3623" spans="15:15" x14ac:dyDescent="0.3">
      <c r="O3623" t="str">
        <f t="shared" si="57"/>
        <v/>
      </c>
    </row>
    <row r="3624" spans="15:15" x14ac:dyDescent="0.3">
      <c r="O3624" t="str">
        <f t="shared" si="57"/>
        <v/>
      </c>
    </row>
    <row r="3625" spans="15:15" x14ac:dyDescent="0.3">
      <c r="O3625" t="str">
        <f t="shared" si="57"/>
        <v/>
      </c>
    </row>
    <row r="3626" spans="15:15" x14ac:dyDescent="0.3">
      <c r="O3626" t="str">
        <f t="shared" si="57"/>
        <v/>
      </c>
    </row>
    <row r="3627" spans="15:15" x14ac:dyDescent="0.3">
      <c r="O3627" t="str">
        <f t="shared" si="57"/>
        <v/>
      </c>
    </row>
    <row r="3628" spans="15:15" x14ac:dyDescent="0.3">
      <c r="O3628" t="str">
        <f t="shared" si="57"/>
        <v/>
      </c>
    </row>
    <row r="3629" spans="15:15" x14ac:dyDescent="0.3">
      <c r="O3629" t="str">
        <f t="shared" si="57"/>
        <v/>
      </c>
    </row>
    <row r="3630" spans="15:15" x14ac:dyDescent="0.3">
      <c r="O3630" t="str">
        <f t="shared" si="57"/>
        <v/>
      </c>
    </row>
    <row r="3631" spans="15:15" x14ac:dyDescent="0.3">
      <c r="O3631" t="str">
        <f t="shared" si="57"/>
        <v/>
      </c>
    </row>
    <row r="3632" spans="15:15" x14ac:dyDescent="0.3">
      <c r="O3632" t="str">
        <f t="shared" si="57"/>
        <v/>
      </c>
    </row>
    <row r="3633" spans="15:15" x14ac:dyDescent="0.3">
      <c r="O3633" t="str">
        <f t="shared" si="57"/>
        <v/>
      </c>
    </row>
    <row r="3634" spans="15:15" x14ac:dyDescent="0.3">
      <c r="O3634" t="str">
        <f t="shared" si="57"/>
        <v/>
      </c>
    </row>
    <row r="3635" spans="15:15" x14ac:dyDescent="0.3">
      <c r="O3635" t="str">
        <f t="shared" si="57"/>
        <v/>
      </c>
    </row>
    <row r="3636" spans="15:15" x14ac:dyDescent="0.3">
      <c r="O3636" t="str">
        <f t="shared" si="57"/>
        <v/>
      </c>
    </row>
    <row r="3637" spans="15:15" x14ac:dyDescent="0.3">
      <c r="O3637" t="str">
        <f t="shared" si="57"/>
        <v/>
      </c>
    </row>
    <row r="3638" spans="15:15" x14ac:dyDescent="0.3">
      <c r="O3638" t="str">
        <f t="shared" si="57"/>
        <v/>
      </c>
    </row>
    <row r="3639" spans="15:15" x14ac:dyDescent="0.3">
      <c r="O3639" t="str">
        <f t="shared" si="57"/>
        <v/>
      </c>
    </row>
    <row r="3640" spans="15:15" x14ac:dyDescent="0.3">
      <c r="O3640" t="str">
        <f t="shared" si="57"/>
        <v/>
      </c>
    </row>
    <row r="3641" spans="15:15" x14ac:dyDescent="0.3">
      <c r="O3641" t="str">
        <f t="shared" si="57"/>
        <v/>
      </c>
    </row>
    <row r="3642" spans="15:15" x14ac:dyDescent="0.3">
      <c r="O3642" t="str">
        <f t="shared" si="57"/>
        <v/>
      </c>
    </row>
    <row r="3643" spans="15:15" x14ac:dyDescent="0.3">
      <c r="O3643" t="str">
        <f t="shared" si="57"/>
        <v/>
      </c>
    </row>
    <row r="3644" spans="15:15" x14ac:dyDescent="0.3">
      <c r="O3644" t="str">
        <f t="shared" si="57"/>
        <v/>
      </c>
    </row>
    <row r="3645" spans="15:15" x14ac:dyDescent="0.3">
      <c r="O3645" t="str">
        <f t="shared" si="57"/>
        <v/>
      </c>
    </row>
    <row r="3646" spans="15:15" x14ac:dyDescent="0.3">
      <c r="O3646" t="str">
        <f t="shared" si="57"/>
        <v/>
      </c>
    </row>
    <row r="3647" spans="15:15" x14ac:dyDescent="0.3">
      <c r="O3647" t="str">
        <f t="shared" si="57"/>
        <v/>
      </c>
    </row>
    <row r="3648" spans="15:15" x14ac:dyDescent="0.3">
      <c r="O3648" t="str">
        <f t="shared" si="57"/>
        <v/>
      </c>
    </row>
    <row r="3649" spans="15:15" x14ac:dyDescent="0.3">
      <c r="O3649" t="str">
        <f t="shared" si="57"/>
        <v/>
      </c>
    </row>
    <row r="3650" spans="15:15" x14ac:dyDescent="0.3">
      <c r="O3650" t="str">
        <f t="shared" si="57"/>
        <v/>
      </c>
    </row>
    <row r="3651" spans="15:15" x14ac:dyDescent="0.3">
      <c r="O3651" t="str">
        <f t="shared" si="57"/>
        <v/>
      </c>
    </row>
    <row r="3652" spans="15:15" x14ac:dyDescent="0.3">
      <c r="O3652" t="str">
        <f t="shared" si="57"/>
        <v/>
      </c>
    </row>
    <row r="3653" spans="15:15" x14ac:dyDescent="0.3">
      <c r="O3653" t="str">
        <f t="shared" si="57"/>
        <v/>
      </c>
    </row>
    <row r="3654" spans="15:15" x14ac:dyDescent="0.3">
      <c r="O3654" t="str">
        <f t="shared" si="57"/>
        <v/>
      </c>
    </row>
    <row r="3655" spans="15:15" x14ac:dyDescent="0.3">
      <c r="O3655" t="str">
        <f t="shared" si="57"/>
        <v/>
      </c>
    </row>
    <row r="3656" spans="15:15" x14ac:dyDescent="0.3">
      <c r="O3656" t="str">
        <f t="shared" si="57"/>
        <v/>
      </c>
    </row>
    <row r="3657" spans="15:15" x14ac:dyDescent="0.3">
      <c r="O3657" t="str">
        <f t="shared" si="57"/>
        <v/>
      </c>
    </row>
    <row r="3658" spans="15:15" x14ac:dyDescent="0.3">
      <c r="O3658" t="str">
        <f t="shared" ref="O3658:O3721" si="58">IF(P3658="","",O3657+1)</f>
        <v/>
      </c>
    </row>
    <row r="3659" spans="15:15" x14ac:dyDescent="0.3">
      <c r="O3659" t="str">
        <f t="shared" si="58"/>
        <v/>
      </c>
    </row>
    <row r="3660" spans="15:15" x14ac:dyDescent="0.3">
      <c r="O3660" t="str">
        <f t="shared" si="58"/>
        <v/>
      </c>
    </row>
    <row r="3661" spans="15:15" x14ac:dyDescent="0.3">
      <c r="O3661" t="str">
        <f t="shared" si="58"/>
        <v/>
      </c>
    </row>
    <row r="3662" spans="15:15" x14ac:dyDescent="0.3">
      <c r="O3662" t="str">
        <f t="shared" si="58"/>
        <v/>
      </c>
    </row>
    <row r="3663" spans="15:15" x14ac:dyDescent="0.3">
      <c r="O3663" t="str">
        <f t="shared" si="58"/>
        <v/>
      </c>
    </row>
    <row r="3664" spans="15:15" x14ac:dyDescent="0.3">
      <c r="O3664" t="str">
        <f t="shared" si="58"/>
        <v/>
      </c>
    </row>
    <row r="3665" spans="15:15" x14ac:dyDescent="0.3">
      <c r="O3665" t="str">
        <f t="shared" si="58"/>
        <v/>
      </c>
    </row>
    <row r="3666" spans="15:15" x14ac:dyDescent="0.3">
      <c r="O3666" t="str">
        <f t="shared" si="58"/>
        <v/>
      </c>
    </row>
    <row r="3667" spans="15:15" x14ac:dyDescent="0.3">
      <c r="O3667" t="str">
        <f t="shared" si="58"/>
        <v/>
      </c>
    </row>
    <row r="3668" spans="15:15" x14ac:dyDescent="0.3">
      <c r="O3668" t="str">
        <f t="shared" si="58"/>
        <v/>
      </c>
    </row>
    <row r="3669" spans="15:15" x14ac:dyDescent="0.3">
      <c r="O3669" t="str">
        <f t="shared" si="58"/>
        <v/>
      </c>
    </row>
    <row r="3670" spans="15:15" x14ac:dyDescent="0.3">
      <c r="O3670" t="str">
        <f t="shared" si="58"/>
        <v/>
      </c>
    </row>
    <row r="3671" spans="15:15" x14ac:dyDescent="0.3">
      <c r="O3671" t="str">
        <f t="shared" si="58"/>
        <v/>
      </c>
    </row>
    <row r="3672" spans="15:15" x14ac:dyDescent="0.3">
      <c r="O3672" t="str">
        <f t="shared" si="58"/>
        <v/>
      </c>
    </row>
    <row r="3673" spans="15:15" x14ac:dyDescent="0.3">
      <c r="O3673" t="str">
        <f t="shared" si="58"/>
        <v/>
      </c>
    </row>
    <row r="3674" spans="15:15" x14ac:dyDescent="0.3">
      <c r="O3674" t="str">
        <f t="shared" si="58"/>
        <v/>
      </c>
    </row>
    <row r="3675" spans="15:15" x14ac:dyDescent="0.3">
      <c r="O3675" t="str">
        <f t="shared" si="58"/>
        <v/>
      </c>
    </row>
    <row r="3676" spans="15:15" x14ac:dyDescent="0.3">
      <c r="O3676" t="str">
        <f t="shared" si="58"/>
        <v/>
      </c>
    </row>
    <row r="3677" spans="15:15" x14ac:dyDescent="0.3">
      <c r="O3677" t="str">
        <f t="shared" si="58"/>
        <v/>
      </c>
    </row>
    <row r="3678" spans="15:15" x14ac:dyDescent="0.3">
      <c r="O3678" t="str">
        <f t="shared" si="58"/>
        <v/>
      </c>
    </row>
    <row r="3679" spans="15:15" x14ac:dyDescent="0.3">
      <c r="O3679" t="str">
        <f t="shared" si="58"/>
        <v/>
      </c>
    </row>
    <row r="3680" spans="15:15" x14ac:dyDescent="0.3">
      <c r="O3680" t="str">
        <f t="shared" si="58"/>
        <v/>
      </c>
    </row>
    <row r="3681" spans="15:15" x14ac:dyDescent="0.3">
      <c r="O3681" t="str">
        <f t="shared" si="58"/>
        <v/>
      </c>
    </row>
    <row r="3682" spans="15:15" x14ac:dyDescent="0.3">
      <c r="O3682" t="str">
        <f t="shared" si="58"/>
        <v/>
      </c>
    </row>
    <row r="3683" spans="15:15" x14ac:dyDescent="0.3">
      <c r="O3683" t="str">
        <f t="shared" si="58"/>
        <v/>
      </c>
    </row>
    <row r="3684" spans="15:15" x14ac:dyDescent="0.3">
      <c r="O3684" t="str">
        <f t="shared" si="58"/>
        <v/>
      </c>
    </row>
    <row r="3685" spans="15:15" x14ac:dyDescent="0.3">
      <c r="O3685" t="str">
        <f t="shared" si="58"/>
        <v/>
      </c>
    </row>
    <row r="3686" spans="15:15" x14ac:dyDescent="0.3">
      <c r="O3686" t="str">
        <f t="shared" si="58"/>
        <v/>
      </c>
    </row>
    <row r="3687" spans="15:15" x14ac:dyDescent="0.3">
      <c r="O3687" t="str">
        <f t="shared" si="58"/>
        <v/>
      </c>
    </row>
    <row r="3688" spans="15:15" x14ac:dyDescent="0.3">
      <c r="O3688" t="str">
        <f t="shared" si="58"/>
        <v/>
      </c>
    </row>
    <row r="3689" spans="15:15" x14ac:dyDescent="0.3">
      <c r="O3689" t="str">
        <f t="shared" si="58"/>
        <v/>
      </c>
    </row>
    <row r="3690" spans="15:15" x14ac:dyDescent="0.3">
      <c r="O3690" t="str">
        <f t="shared" si="58"/>
        <v/>
      </c>
    </row>
    <row r="3691" spans="15:15" x14ac:dyDescent="0.3">
      <c r="O3691" t="str">
        <f t="shared" si="58"/>
        <v/>
      </c>
    </row>
    <row r="3692" spans="15:15" x14ac:dyDescent="0.3">
      <c r="O3692" t="str">
        <f t="shared" si="58"/>
        <v/>
      </c>
    </row>
    <row r="3693" spans="15:15" x14ac:dyDescent="0.3">
      <c r="O3693" t="str">
        <f t="shared" si="58"/>
        <v/>
      </c>
    </row>
    <row r="3694" spans="15:15" x14ac:dyDescent="0.3">
      <c r="O3694" t="str">
        <f t="shared" si="58"/>
        <v/>
      </c>
    </row>
    <row r="3695" spans="15:15" x14ac:dyDescent="0.3">
      <c r="O3695" t="str">
        <f t="shared" si="58"/>
        <v/>
      </c>
    </row>
    <row r="3696" spans="15:15" x14ac:dyDescent="0.3">
      <c r="O3696" t="str">
        <f t="shared" si="58"/>
        <v/>
      </c>
    </row>
    <row r="3697" spans="15:15" x14ac:dyDescent="0.3">
      <c r="O3697" t="str">
        <f t="shared" si="58"/>
        <v/>
      </c>
    </row>
    <row r="3698" spans="15:15" x14ac:dyDescent="0.3">
      <c r="O3698" t="str">
        <f t="shared" si="58"/>
        <v/>
      </c>
    </row>
    <row r="3699" spans="15:15" x14ac:dyDescent="0.3">
      <c r="O3699" t="str">
        <f t="shared" si="58"/>
        <v/>
      </c>
    </row>
    <row r="3700" spans="15:15" x14ac:dyDescent="0.3">
      <c r="O3700" t="str">
        <f t="shared" si="58"/>
        <v/>
      </c>
    </row>
    <row r="3701" spans="15:15" x14ac:dyDescent="0.3">
      <c r="O3701" t="str">
        <f t="shared" si="58"/>
        <v/>
      </c>
    </row>
    <row r="3702" spans="15:15" x14ac:dyDescent="0.3">
      <c r="O3702" t="str">
        <f t="shared" si="58"/>
        <v/>
      </c>
    </row>
    <row r="3703" spans="15:15" x14ac:dyDescent="0.3">
      <c r="O3703" t="str">
        <f t="shared" si="58"/>
        <v/>
      </c>
    </row>
    <row r="3704" spans="15:15" x14ac:dyDescent="0.3">
      <c r="O3704" t="str">
        <f t="shared" si="58"/>
        <v/>
      </c>
    </row>
    <row r="3705" spans="15:15" x14ac:dyDescent="0.3">
      <c r="O3705" t="str">
        <f t="shared" si="58"/>
        <v/>
      </c>
    </row>
    <row r="3706" spans="15:15" x14ac:dyDescent="0.3">
      <c r="O3706" t="str">
        <f t="shared" si="58"/>
        <v/>
      </c>
    </row>
    <row r="3707" spans="15:15" x14ac:dyDescent="0.3">
      <c r="O3707" t="str">
        <f t="shared" si="58"/>
        <v/>
      </c>
    </row>
    <row r="3708" spans="15:15" x14ac:dyDescent="0.3">
      <c r="O3708" t="str">
        <f t="shared" si="58"/>
        <v/>
      </c>
    </row>
    <row r="3709" spans="15:15" x14ac:dyDescent="0.3">
      <c r="O3709" t="str">
        <f t="shared" si="58"/>
        <v/>
      </c>
    </row>
    <row r="3710" spans="15:15" x14ac:dyDescent="0.3">
      <c r="O3710" t="str">
        <f t="shared" si="58"/>
        <v/>
      </c>
    </row>
    <row r="3711" spans="15:15" x14ac:dyDescent="0.3">
      <c r="O3711" t="str">
        <f t="shared" si="58"/>
        <v/>
      </c>
    </row>
    <row r="3712" spans="15:15" x14ac:dyDescent="0.3">
      <c r="O3712" t="str">
        <f t="shared" si="58"/>
        <v/>
      </c>
    </row>
    <row r="3713" spans="15:15" x14ac:dyDescent="0.3">
      <c r="O3713" t="str">
        <f t="shared" si="58"/>
        <v/>
      </c>
    </row>
    <row r="3714" spans="15:15" x14ac:dyDescent="0.3">
      <c r="O3714" t="str">
        <f t="shared" si="58"/>
        <v/>
      </c>
    </row>
    <row r="3715" spans="15:15" x14ac:dyDescent="0.3">
      <c r="O3715" t="str">
        <f t="shared" si="58"/>
        <v/>
      </c>
    </row>
    <row r="3716" spans="15:15" x14ac:dyDescent="0.3">
      <c r="O3716" t="str">
        <f t="shared" si="58"/>
        <v/>
      </c>
    </row>
    <row r="3717" spans="15:15" x14ac:dyDescent="0.3">
      <c r="O3717" t="str">
        <f t="shared" si="58"/>
        <v/>
      </c>
    </row>
    <row r="3718" spans="15:15" x14ac:dyDescent="0.3">
      <c r="O3718" t="str">
        <f t="shared" si="58"/>
        <v/>
      </c>
    </row>
    <row r="3719" spans="15:15" x14ac:dyDescent="0.3">
      <c r="O3719" t="str">
        <f t="shared" si="58"/>
        <v/>
      </c>
    </row>
    <row r="3720" spans="15:15" x14ac:dyDescent="0.3">
      <c r="O3720" t="str">
        <f t="shared" si="58"/>
        <v/>
      </c>
    </row>
    <row r="3721" spans="15:15" x14ac:dyDescent="0.3">
      <c r="O3721" t="str">
        <f t="shared" si="58"/>
        <v/>
      </c>
    </row>
    <row r="3722" spans="15:15" x14ac:dyDescent="0.3">
      <c r="O3722" t="str">
        <f t="shared" ref="O3722:O3785" si="59">IF(P3722="","",O3721+1)</f>
        <v/>
      </c>
    </row>
    <row r="3723" spans="15:15" x14ac:dyDescent="0.3">
      <c r="O3723" t="str">
        <f t="shared" si="59"/>
        <v/>
      </c>
    </row>
    <row r="3724" spans="15:15" x14ac:dyDescent="0.3">
      <c r="O3724" t="str">
        <f t="shared" si="59"/>
        <v/>
      </c>
    </row>
    <row r="3725" spans="15:15" x14ac:dyDescent="0.3">
      <c r="O3725" t="str">
        <f t="shared" si="59"/>
        <v/>
      </c>
    </row>
    <row r="3726" spans="15:15" x14ac:dyDescent="0.3">
      <c r="O3726" t="str">
        <f t="shared" si="59"/>
        <v/>
      </c>
    </row>
    <row r="3727" spans="15:15" x14ac:dyDescent="0.3">
      <c r="O3727" t="str">
        <f t="shared" si="59"/>
        <v/>
      </c>
    </row>
    <row r="3728" spans="15:15" x14ac:dyDescent="0.3">
      <c r="O3728" t="str">
        <f t="shared" si="59"/>
        <v/>
      </c>
    </row>
    <row r="3729" spans="15:15" x14ac:dyDescent="0.3">
      <c r="O3729" t="str">
        <f t="shared" si="59"/>
        <v/>
      </c>
    </row>
    <row r="3730" spans="15:15" x14ac:dyDescent="0.3">
      <c r="O3730" t="str">
        <f t="shared" si="59"/>
        <v/>
      </c>
    </row>
    <row r="3731" spans="15:15" x14ac:dyDescent="0.3">
      <c r="O3731" t="str">
        <f t="shared" si="59"/>
        <v/>
      </c>
    </row>
    <row r="3732" spans="15:15" x14ac:dyDescent="0.3">
      <c r="O3732" t="str">
        <f t="shared" si="59"/>
        <v/>
      </c>
    </row>
    <row r="3733" spans="15:15" x14ac:dyDescent="0.3">
      <c r="O3733" t="str">
        <f t="shared" si="59"/>
        <v/>
      </c>
    </row>
    <row r="3734" spans="15:15" x14ac:dyDescent="0.3">
      <c r="O3734" t="str">
        <f t="shared" si="59"/>
        <v/>
      </c>
    </row>
    <row r="3735" spans="15:15" x14ac:dyDescent="0.3">
      <c r="O3735" t="str">
        <f t="shared" si="59"/>
        <v/>
      </c>
    </row>
    <row r="3736" spans="15:15" x14ac:dyDescent="0.3">
      <c r="O3736" t="str">
        <f t="shared" si="59"/>
        <v/>
      </c>
    </row>
    <row r="3737" spans="15:15" x14ac:dyDescent="0.3">
      <c r="O3737" t="str">
        <f t="shared" si="59"/>
        <v/>
      </c>
    </row>
    <row r="3738" spans="15:15" x14ac:dyDescent="0.3">
      <c r="O3738" t="str">
        <f t="shared" si="59"/>
        <v/>
      </c>
    </row>
    <row r="3739" spans="15:15" x14ac:dyDescent="0.3">
      <c r="O3739" t="str">
        <f t="shared" si="59"/>
        <v/>
      </c>
    </row>
    <row r="3740" spans="15:15" x14ac:dyDescent="0.3">
      <c r="O3740" t="str">
        <f t="shared" si="59"/>
        <v/>
      </c>
    </row>
    <row r="3741" spans="15:15" x14ac:dyDescent="0.3">
      <c r="O3741" t="str">
        <f t="shared" si="59"/>
        <v/>
      </c>
    </row>
    <row r="3742" spans="15:15" x14ac:dyDescent="0.3">
      <c r="O3742" t="str">
        <f t="shared" si="59"/>
        <v/>
      </c>
    </row>
    <row r="3743" spans="15:15" x14ac:dyDescent="0.3">
      <c r="O3743" t="str">
        <f t="shared" si="59"/>
        <v/>
      </c>
    </row>
    <row r="3744" spans="15:15" x14ac:dyDescent="0.3">
      <c r="O3744" t="str">
        <f t="shared" si="59"/>
        <v/>
      </c>
    </row>
    <row r="3745" spans="15:15" x14ac:dyDescent="0.3">
      <c r="O3745" t="str">
        <f t="shared" si="59"/>
        <v/>
      </c>
    </row>
    <row r="3746" spans="15:15" x14ac:dyDescent="0.3">
      <c r="O3746" t="str">
        <f t="shared" si="59"/>
        <v/>
      </c>
    </row>
    <row r="3747" spans="15:15" x14ac:dyDescent="0.3">
      <c r="O3747" t="str">
        <f t="shared" si="59"/>
        <v/>
      </c>
    </row>
    <row r="3748" spans="15:15" x14ac:dyDescent="0.3">
      <c r="O3748" t="str">
        <f t="shared" si="59"/>
        <v/>
      </c>
    </row>
    <row r="3749" spans="15:15" x14ac:dyDescent="0.3">
      <c r="O3749" t="str">
        <f t="shared" si="59"/>
        <v/>
      </c>
    </row>
    <row r="3750" spans="15:15" x14ac:dyDescent="0.3">
      <c r="O3750" t="str">
        <f t="shared" si="59"/>
        <v/>
      </c>
    </row>
    <row r="3751" spans="15:15" x14ac:dyDescent="0.3">
      <c r="O3751" t="str">
        <f t="shared" si="59"/>
        <v/>
      </c>
    </row>
    <row r="3752" spans="15:15" x14ac:dyDescent="0.3">
      <c r="O3752" t="str">
        <f t="shared" si="59"/>
        <v/>
      </c>
    </row>
    <row r="3753" spans="15:15" x14ac:dyDescent="0.3">
      <c r="O3753" t="str">
        <f t="shared" si="59"/>
        <v/>
      </c>
    </row>
    <row r="3754" spans="15:15" x14ac:dyDescent="0.3">
      <c r="O3754" t="str">
        <f t="shared" si="59"/>
        <v/>
      </c>
    </row>
    <row r="3755" spans="15:15" x14ac:dyDescent="0.3">
      <c r="O3755" t="str">
        <f t="shared" si="59"/>
        <v/>
      </c>
    </row>
    <row r="3756" spans="15:15" x14ac:dyDescent="0.3">
      <c r="O3756" t="str">
        <f t="shared" si="59"/>
        <v/>
      </c>
    </row>
    <row r="3757" spans="15:15" x14ac:dyDescent="0.3">
      <c r="O3757" t="str">
        <f t="shared" si="59"/>
        <v/>
      </c>
    </row>
    <row r="3758" spans="15:15" x14ac:dyDescent="0.3">
      <c r="O3758" t="str">
        <f t="shared" si="59"/>
        <v/>
      </c>
    </row>
    <row r="3759" spans="15:15" x14ac:dyDescent="0.3">
      <c r="O3759" t="str">
        <f t="shared" si="59"/>
        <v/>
      </c>
    </row>
    <row r="3760" spans="15:15" x14ac:dyDescent="0.3">
      <c r="O3760" t="str">
        <f t="shared" si="59"/>
        <v/>
      </c>
    </row>
    <row r="3761" spans="15:15" x14ac:dyDescent="0.3">
      <c r="O3761" t="str">
        <f t="shared" si="59"/>
        <v/>
      </c>
    </row>
    <row r="3762" spans="15:15" x14ac:dyDescent="0.3">
      <c r="O3762" t="str">
        <f t="shared" si="59"/>
        <v/>
      </c>
    </row>
    <row r="3763" spans="15:15" x14ac:dyDescent="0.3">
      <c r="O3763" t="str">
        <f t="shared" si="59"/>
        <v/>
      </c>
    </row>
    <row r="3764" spans="15:15" x14ac:dyDescent="0.3">
      <c r="O3764" t="str">
        <f t="shared" si="59"/>
        <v/>
      </c>
    </row>
    <row r="3765" spans="15:15" x14ac:dyDescent="0.3">
      <c r="O3765" t="str">
        <f t="shared" si="59"/>
        <v/>
      </c>
    </row>
    <row r="3766" spans="15:15" x14ac:dyDescent="0.3">
      <c r="O3766" t="str">
        <f t="shared" si="59"/>
        <v/>
      </c>
    </row>
    <row r="3767" spans="15:15" x14ac:dyDescent="0.3">
      <c r="O3767" t="str">
        <f t="shared" si="59"/>
        <v/>
      </c>
    </row>
    <row r="3768" spans="15:15" x14ac:dyDescent="0.3">
      <c r="O3768" t="str">
        <f t="shared" si="59"/>
        <v/>
      </c>
    </row>
    <row r="3769" spans="15:15" x14ac:dyDescent="0.3">
      <c r="O3769" t="str">
        <f t="shared" si="59"/>
        <v/>
      </c>
    </row>
    <row r="3770" spans="15:15" x14ac:dyDescent="0.3">
      <c r="O3770" t="str">
        <f t="shared" si="59"/>
        <v/>
      </c>
    </row>
    <row r="3771" spans="15:15" x14ac:dyDescent="0.3">
      <c r="O3771" t="str">
        <f t="shared" si="59"/>
        <v/>
      </c>
    </row>
    <row r="3772" spans="15:15" x14ac:dyDescent="0.3">
      <c r="O3772" t="str">
        <f t="shared" si="59"/>
        <v/>
      </c>
    </row>
    <row r="3773" spans="15:15" x14ac:dyDescent="0.3">
      <c r="O3773" t="str">
        <f t="shared" si="59"/>
        <v/>
      </c>
    </row>
    <row r="3774" spans="15:15" x14ac:dyDescent="0.3">
      <c r="O3774" t="str">
        <f t="shared" si="59"/>
        <v/>
      </c>
    </row>
    <row r="3775" spans="15:15" x14ac:dyDescent="0.3">
      <c r="O3775" t="str">
        <f t="shared" si="59"/>
        <v/>
      </c>
    </row>
    <row r="3776" spans="15:15" x14ac:dyDescent="0.3">
      <c r="O3776" t="str">
        <f t="shared" si="59"/>
        <v/>
      </c>
    </row>
    <row r="3777" spans="15:15" x14ac:dyDescent="0.3">
      <c r="O3777" t="str">
        <f t="shared" si="59"/>
        <v/>
      </c>
    </row>
    <row r="3778" spans="15:15" x14ac:dyDescent="0.3">
      <c r="O3778" t="str">
        <f t="shared" si="59"/>
        <v/>
      </c>
    </row>
    <row r="3779" spans="15:15" x14ac:dyDescent="0.3">
      <c r="O3779" t="str">
        <f t="shared" si="59"/>
        <v/>
      </c>
    </row>
    <row r="3780" spans="15:15" x14ac:dyDescent="0.3">
      <c r="O3780" t="str">
        <f t="shared" si="59"/>
        <v/>
      </c>
    </row>
    <row r="3781" spans="15:15" x14ac:dyDescent="0.3">
      <c r="O3781" t="str">
        <f t="shared" si="59"/>
        <v/>
      </c>
    </row>
    <row r="3782" spans="15:15" x14ac:dyDescent="0.3">
      <c r="O3782" t="str">
        <f t="shared" si="59"/>
        <v/>
      </c>
    </row>
    <row r="3783" spans="15:15" x14ac:dyDescent="0.3">
      <c r="O3783" t="str">
        <f t="shared" si="59"/>
        <v/>
      </c>
    </row>
    <row r="3784" spans="15:15" x14ac:dyDescent="0.3">
      <c r="O3784" t="str">
        <f t="shared" si="59"/>
        <v/>
      </c>
    </row>
    <row r="3785" spans="15:15" x14ac:dyDescent="0.3">
      <c r="O3785" t="str">
        <f t="shared" si="59"/>
        <v/>
      </c>
    </row>
    <row r="3786" spans="15:15" x14ac:dyDescent="0.3">
      <c r="O3786" t="str">
        <f t="shared" ref="O3786:O3849" si="60">IF(P3786="","",O3785+1)</f>
        <v/>
      </c>
    </row>
    <row r="3787" spans="15:15" x14ac:dyDescent="0.3">
      <c r="O3787" t="str">
        <f t="shared" si="60"/>
        <v/>
      </c>
    </row>
    <row r="3788" spans="15:15" x14ac:dyDescent="0.3">
      <c r="O3788" t="str">
        <f t="shared" si="60"/>
        <v/>
      </c>
    </row>
    <row r="3789" spans="15:15" x14ac:dyDescent="0.3">
      <c r="O3789" t="str">
        <f t="shared" si="60"/>
        <v/>
      </c>
    </row>
    <row r="3790" spans="15:15" x14ac:dyDescent="0.3">
      <c r="O3790" t="str">
        <f t="shared" si="60"/>
        <v/>
      </c>
    </row>
    <row r="3791" spans="15:15" x14ac:dyDescent="0.3">
      <c r="O3791" t="str">
        <f t="shared" si="60"/>
        <v/>
      </c>
    </row>
    <row r="3792" spans="15:15" x14ac:dyDescent="0.3">
      <c r="O3792" t="str">
        <f t="shared" si="60"/>
        <v/>
      </c>
    </row>
    <row r="3793" spans="15:15" x14ac:dyDescent="0.3">
      <c r="O3793" t="str">
        <f t="shared" si="60"/>
        <v/>
      </c>
    </row>
    <row r="3794" spans="15:15" x14ac:dyDescent="0.3">
      <c r="O3794" t="str">
        <f t="shared" si="60"/>
        <v/>
      </c>
    </row>
    <row r="3795" spans="15:15" x14ac:dyDescent="0.3">
      <c r="O3795" t="str">
        <f t="shared" si="60"/>
        <v/>
      </c>
    </row>
    <row r="3796" spans="15:15" x14ac:dyDescent="0.3">
      <c r="O3796" t="str">
        <f t="shared" si="60"/>
        <v/>
      </c>
    </row>
    <row r="3797" spans="15:15" x14ac:dyDescent="0.3">
      <c r="O3797" t="str">
        <f t="shared" si="60"/>
        <v/>
      </c>
    </row>
    <row r="3798" spans="15:15" x14ac:dyDescent="0.3">
      <c r="O3798" t="str">
        <f t="shared" si="60"/>
        <v/>
      </c>
    </row>
    <row r="3799" spans="15:15" x14ac:dyDescent="0.3">
      <c r="O3799" t="str">
        <f t="shared" si="60"/>
        <v/>
      </c>
    </row>
    <row r="3800" spans="15:15" x14ac:dyDescent="0.3">
      <c r="O3800" t="str">
        <f t="shared" si="60"/>
        <v/>
      </c>
    </row>
    <row r="3801" spans="15:15" x14ac:dyDescent="0.3">
      <c r="O3801" t="str">
        <f t="shared" si="60"/>
        <v/>
      </c>
    </row>
    <row r="3802" spans="15:15" x14ac:dyDescent="0.3">
      <c r="O3802" t="str">
        <f t="shared" si="60"/>
        <v/>
      </c>
    </row>
    <row r="3803" spans="15:15" x14ac:dyDescent="0.3">
      <c r="O3803" t="str">
        <f t="shared" si="60"/>
        <v/>
      </c>
    </row>
    <row r="3804" spans="15:15" x14ac:dyDescent="0.3">
      <c r="O3804" t="str">
        <f t="shared" si="60"/>
        <v/>
      </c>
    </row>
    <row r="3805" spans="15:15" x14ac:dyDescent="0.3">
      <c r="O3805" t="str">
        <f t="shared" si="60"/>
        <v/>
      </c>
    </row>
    <row r="3806" spans="15:15" x14ac:dyDescent="0.3">
      <c r="O3806" t="str">
        <f t="shared" si="60"/>
        <v/>
      </c>
    </row>
    <row r="3807" spans="15:15" x14ac:dyDescent="0.3">
      <c r="O3807" t="str">
        <f t="shared" si="60"/>
        <v/>
      </c>
    </row>
    <row r="3808" spans="15:15" x14ac:dyDescent="0.3">
      <c r="O3808" t="str">
        <f t="shared" si="60"/>
        <v/>
      </c>
    </row>
    <row r="3809" spans="15:15" x14ac:dyDescent="0.3">
      <c r="O3809" t="str">
        <f t="shared" si="60"/>
        <v/>
      </c>
    </row>
    <row r="3810" spans="15:15" x14ac:dyDescent="0.3">
      <c r="O3810" t="str">
        <f t="shared" si="60"/>
        <v/>
      </c>
    </row>
    <row r="3811" spans="15:15" x14ac:dyDescent="0.3">
      <c r="O3811" t="str">
        <f t="shared" si="60"/>
        <v/>
      </c>
    </row>
    <row r="3812" spans="15:15" x14ac:dyDescent="0.3">
      <c r="O3812" t="str">
        <f t="shared" si="60"/>
        <v/>
      </c>
    </row>
    <row r="3813" spans="15:15" x14ac:dyDescent="0.3">
      <c r="O3813" t="str">
        <f t="shared" si="60"/>
        <v/>
      </c>
    </row>
    <row r="3814" spans="15:15" x14ac:dyDescent="0.3">
      <c r="O3814" t="str">
        <f t="shared" si="60"/>
        <v/>
      </c>
    </row>
    <row r="3815" spans="15:15" x14ac:dyDescent="0.3">
      <c r="O3815" t="str">
        <f t="shared" si="60"/>
        <v/>
      </c>
    </row>
    <row r="3816" spans="15:15" x14ac:dyDescent="0.3">
      <c r="O3816" t="str">
        <f t="shared" si="60"/>
        <v/>
      </c>
    </row>
    <row r="3817" spans="15:15" x14ac:dyDescent="0.3">
      <c r="O3817" t="str">
        <f t="shared" si="60"/>
        <v/>
      </c>
    </row>
    <row r="3818" spans="15:15" x14ac:dyDescent="0.3">
      <c r="O3818" t="str">
        <f t="shared" si="60"/>
        <v/>
      </c>
    </row>
    <row r="3819" spans="15:15" x14ac:dyDescent="0.3">
      <c r="O3819" t="str">
        <f t="shared" si="60"/>
        <v/>
      </c>
    </row>
    <row r="3820" spans="15:15" x14ac:dyDescent="0.3">
      <c r="O3820" t="str">
        <f t="shared" si="60"/>
        <v/>
      </c>
    </row>
    <row r="3821" spans="15:15" x14ac:dyDescent="0.3">
      <c r="O3821" t="str">
        <f t="shared" si="60"/>
        <v/>
      </c>
    </row>
    <row r="3822" spans="15:15" x14ac:dyDescent="0.3">
      <c r="O3822" t="str">
        <f t="shared" si="60"/>
        <v/>
      </c>
    </row>
    <row r="3823" spans="15:15" x14ac:dyDescent="0.3">
      <c r="O3823" t="str">
        <f t="shared" si="60"/>
        <v/>
      </c>
    </row>
    <row r="3824" spans="15:15" x14ac:dyDescent="0.3">
      <c r="O3824" t="str">
        <f t="shared" si="60"/>
        <v/>
      </c>
    </row>
    <row r="3825" spans="15:15" x14ac:dyDescent="0.3">
      <c r="O3825" t="str">
        <f t="shared" si="60"/>
        <v/>
      </c>
    </row>
    <row r="3826" spans="15:15" x14ac:dyDescent="0.3">
      <c r="O3826" t="str">
        <f t="shared" si="60"/>
        <v/>
      </c>
    </row>
    <row r="3827" spans="15:15" x14ac:dyDescent="0.3">
      <c r="O3827" t="str">
        <f t="shared" si="60"/>
        <v/>
      </c>
    </row>
    <row r="3828" spans="15:15" x14ac:dyDescent="0.3">
      <c r="O3828" t="str">
        <f t="shared" si="60"/>
        <v/>
      </c>
    </row>
    <row r="3829" spans="15:15" x14ac:dyDescent="0.3">
      <c r="O3829" t="str">
        <f t="shared" si="60"/>
        <v/>
      </c>
    </row>
    <row r="3830" spans="15:15" x14ac:dyDescent="0.3">
      <c r="O3830" t="str">
        <f t="shared" si="60"/>
        <v/>
      </c>
    </row>
    <row r="3831" spans="15:15" x14ac:dyDescent="0.3">
      <c r="O3831" t="str">
        <f t="shared" si="60"/>
        <v/>
      </c>
    </row>
    <row r="3832" spans="15:15" x14ac:dyDescent="0.3">
      <c r="O3832" t="str">
        <f t="shared" si="60"/>
        <v/>
      </c>
    </row>
    <row r="3833" spans="15:15" x14ac:dyDescent="0.3">
      <c r="O3833" t="str">
        <f t="shared" si="60"/>
        <v/>
      </c>
    </row>
    <row r="3834" spans="15:15" x14ac:dyDescent="0.3">
      <c r="O3834" t="str">
        <f t="shared" si="60"/>
        <v/>
      </c>
    </row>
    <row r="3835" spans="15:15" x14ac:dyDescent="0.3">
      <c r="O3835" t="str">
        <f t="shared" si="60"/>
        <v/>
      </c>
    </row>
    <row r="3836" spans="15:15" x14ac:dyDescent="0.3">
      <c r="O3836" t="str">
        <f t="shared" si="60"/>
        <v/>
      </c>
    </row>
    <row r="3837" spans="15:15" x14ac:dyDescent="0.3">
      <c r="O3837" t="str">
        <f t="shared" si="60"/>
        <v/>
      </c>
    </row>
    <row r="3838" spans="15:15" x14ac:dyDescent="0.3">
      <c r="O3838" t="str">
        <f t="shared" si="60"/>
        <v/>
      </c>
    </row>
    <row r="3839" spans="15:15" x14ac:dyDescent="0.3">
      <c r="O3839" t="str">
        <f t="shared" si="60"/>
        <v/>
      </c>
    </row>
    <row r="3840" spans="15:15" x14ac:dyDescent="0.3">
      <c r="O3840" t="str">
        <f t="shared" si="60"/>
        <v/>
      </c>
    </row>
    <row r="3841" spans="15:15" x14ac:dyDescent="0.3">
      <c r="O3841" t="str">
        <f t="shared" si="60"/>
        <v/>
      </c>
    </row>
    <row r="3842" spans="15:15" x14ac:dyDescent="0.3">
      <c r="O3842" t="str">
        <f t="shared" si="60"/>
        <v/>
      </c>
    </row>
    <row r="3843" spans="15:15" x14ac:dyDescent="0.3">
      <c r="O3843" t="str">
        <f t="shared" si="60"/>
        <v/>
      </c>
    </row>
    <row r="3844" spans="15:15" x14ac:dyDescent="0.3">
      <c r="O3844" t="str">
        <f t="shared" si="60"/>
        <v/>
      </c>
    </row>
    <row r="3845" spans="15:15" x14ac:dyDescent="0.3">
      <c r="O3845" t="str">
        <f t="shared" si="60"/>
        <v/>
      </c>
    </row>
    <row r="3846" spans="15:15" x14ac:dyDescent="0.3">
      <c r="O3846" t="str">
        <f t="shared" si="60"/>
        <v/>
      </c>
    </row>
    <row r="3847" spans="15:15" x14ac:dyDescent="0.3">
      <c r="O3847" t="str">
        <f t="shared" si="60"/>
        <v/>
      </c>
    </row>
    <row r="3848" spans="15:15" x14ac:dyDescent="0.3">
      <c r="O3848" t="str">
        <f t="shared" si="60"/>
        <v/>
      </c>
    </row>
    <row r="3849" spans="15:15" x14ac:dyDescent="0.3">
      <c r="O3849" t="str">
        <f t="shared" si="60"/>
        <v/>
      </c>
    </row>
    <row r="3850" spans="15:15" x14ac:dyDescent="0.3">
      <c r="O3850" t="str">
        <f t="shared" ref="O3850:O3913" si="61">IF(P3850="","",O3849+1)</f>
        <v/>
      </c>
    </row>
    <row r="3851" spans="15:15" x14ac:dyDescent="0.3">
      <c r="O3851" t="str">
        <f t="shared" si="61"/>
        <v/>
      </c>
    </row>
    <row r="3852" spans="15:15" x14ac:dyDescent="0.3">
      <c r="O3852" t="str">
        <f t="shared" si="61"/>
        <v/>
      </c>
    </row>
    <row r="3853" spans="15:15" x14ac:dyDescent="0.3">
      <c r="O3853" t="str">
        <f t="shared" si="61"/>
        <v/>
      </c>
    </row>
    <row r="3854" spans="15:15" x14ac:dyDescent="0.3">
      <c r="O3854" t="str">
        <f t="shared" si="61"/>
        <v/>
      </c>
    </row>
    <row r="3855" spans="15:15" x14ac:dyDescent="0.3">
      <c r="O3855" t="str">
        <f t="shared" si="61"/>
        <v/>
      </c>
    </row>
    <row r="3856" spans="15:15" x14ac:dyDescent="0.3">
      <c r="O3856" t="str">
        <f t="shared" si="61"/>
        <v/>
      </c>
    </row>
    <row r="3857" spans="15:15" x14ac:dyDescent="0.3">
      <c r="O3857" t="str">
        <f t="shared" si="61"/>
        <v/>
      </c>
    </row>
    <row r="3858" spans="15:15" x14ac:dyDescent="0.3">
      <c r="O3858" t="str">
        <f t="shared" si="61"/>
        <v/>
      </c>
    </row>
    <row r="3859" spans="15:15" x14ac:dyDescent="0.3">
      <c r="O3859" t="str">
        <f t="shared" si="61"/>
        <v/>
      </c>
    </row>
    <row r="3860" spans="15:15" x14ac:dyDescent="0.3">
      <c r="O3860" t="str">
        <f t="shared" si="61"/>
        <v/>
      </c>
    </row>
    <row r="3861" spans="15:15" x14ac:dyDescent="0.3">
      <c r="O3861" t="str">
        <f t="shared" si="61"/>
        <v/>
      </c>
    </row>
    <row r="3862" spans="15:15" x14ac:dyDescent="0.3">
      <c r="O3862" t="str">
        <f t="shared" si="61"/>
        <v/>
      </c>
    </row>
    <row r="3863" spans="15:15" x14ac:dyDescent="0.3">
      <c r="O3863" t="str">
        <f t="shared" si="61"/>
        <v/>
      </c>
    </row>
    <row r="3864" spans="15:15" x14ac:dyDescent="0.3">
      <c r="O3864" t="str">
        <f t="shared" si="61"/>
        <v/>
      </c>
    </row>
    <row r="3865" spans="15:15" x14ac:dyDescent="0.3">
      <c r="O3865" t="str">
        <f t="shared" si="61"/>
        <v/>
      </c>
    </row>
    <row r="3866" spans="15:15" x14ac:dyDescent="0.3">
      <c r="O3866" t="str">
        <f t="shared" si="61"/>
        <v/>
      </c>
    </row>
    <row r="3867" spans="15:15" x14ac:dyDescent="0.3">
      <c r="O3867" t="str">
        <f t="shared" si="61"/>
        <v/>
      </c>
    </row>
    <row r="3868" spans="15:15" x14ac:dyDescent="0.3">
      <c r="O3868" t="str">
        <f t="shared" si="61"/>
        <v/>
      </c>
    </row>
    <row r="3869" spans="15:15" x14ac:dyDescent="0.3">
      <c r="O3869" t="str">
        <f t="shared" si="61"/>
        <v/>
      </c>
    </row>
    <row r="3870" spans="15:15" x14ac:dyDescent="0.3">
      <c r="O3870" t="str">
        <f t="shared" si="61"/>
        <v/>
      </c>
    </row>
    <row r="3871" spans="15:15" x14ac:dyDescent="0.3">
      <c r="O3871" t="str">
        <f t="shared" si="61"/>
        <v/>
      </c>
    </row>
    <row r="3872" spans="15:15" x14ac:dyDescent="0.3">
      <c r="O3872" t="str">
        <f t="shared" si="61"/>
        <v/>
      </c>
    </row>
    <row r="3873" spans="15:15" x14ac:dyDescent="0.3">
      <c r="O3873" t="str">
        <f t="shared" si="61"/>
        <v/>
      </c>
    </row>
    <row r="3874" spans="15:15" x14ac:dyDescent="0.3">
      <c r="O3874" t="str">
        <f t="shared" si="61"/>
        <v/>
      </c>
    </row>
    <row r="3875" spans="15:15" x14ac:dyDescent="0.3">
      <c r="O3875" t="str">
        <f t="shared" si="61"/>
        <v/>
      </c>
    </row>
    <row r="3876" spans="15:15" x14ac:dyDescent="0.3">
      <c r="O3876" t="str">
        <f t="shared" si="61"/>
        <v/>
      </c>
    </row>
    <row r="3877" spans="15:15" x14ac:dyDescent="0.3">
      <c r="O3877" t="str">
        <f t="shared" si="61"/>
        <v/>
      </c>
    </row>
    <row r="3878" spans="15:15" x14ac:dyDescent="0.3">
      <c r="O3878" t="str">
        <f t="shared" si="61"/>
        <v/>
      </c>
    </row>
    <row r="3879" spans="15:15" x14ac:dyDescent="0.3">
      <c r="O3879" t="str">
        <f t="shared" si="61"/>
        <v/>
      </c>
    </row>
    <row r="3880" spans="15:15" x14ac:dyDescent="0.3">
      <c r="O3880" t="str">
        <f t="shared" si="61"/>
        <v/>
      </c>
    </row>
    <row r="3881" spans="15:15" x14ac:dyDescent="0.3">
      <c r="O3881" t="str">
        <f t="shared" si="61"/>
        <v/>
      </c>
    </row>
    <row r="3882" spans="15:15" x14ac:dyDescent="0.3">
      <c r="O3882" t="str">
        <f t="shared" si="61"/>
        <v/>
      </c>
    </row>
    <row r="3883" spans="15:15" x14ac:dyDescent="0.3">
      <c r="O3883" t="str">
        <f t="shared" si="61"/>
        <v/>
      </c>
    </row>
    <row r="3884" spans="15:15" x14ac:dyDescent="0.3">
      <c r="O3884" t="str">
        <f t="shared" si="61"/>
        <v/>
      </c>
    </row>
    <row r="3885" spans="15:15" x14ac:dyDescent="0.3">
      <c r="O3885" t="str">
        <f t="shared" si="61"/>
        <v/>
      </c>
    </row>
    <row r="3886" spans="15:15" x14ac:dyDescent="0.3">
      <c r="O3886" t="str">
        <f t="shared" si="61"/>
        <v/>
      </c>
    </row>
    <row r="3887" spans="15:15" x14ac:dyDescent="0.3">
      <c r="O3887" t="str">
        <f t="shared" si="61"/>
        <v/>
      </c>
    </row>
    <row r="3888" spans="15:15" x14ac:dyDescent="0.3">
      <c r="O3888" t="str">
        <f t="shared" si="61"/>
        <v/>
      </c>
    </row>
    <row r="3889" spans="15:15" x14ac:dyDescent="0.3">
      <c r="O3889" t="str">
        <f t="shared" si="61"/>
        <v/>
      </c>
    </row>
    <row r="3890" spans="15:15" x14ac:dyDescent="0.3">
      <c r="O3890" t="str">
        <f t="shared" si="61"/>
        <v/>
      </c>
    </row>
    <row r="3891" spans="15:15" x14ac:dyDescent="0.3">
      <c r="O3891" t="str">
        <f t="shared" si="61"/>
        <v/>
      </c>
    </row>
    <row r="3892" spans="15:15" x14ac:dyDescent="0.3">
      <c r="O3892" t="str">
        <f t="shared" si="61"/>
        <v/>
      </c>
    </row>
    <row r="3893" spans="15:15" x14ac:dyDescent="0.3">
      <c r="O3893" t="str">
        <f t="shared" si="61"/>
        <v/>
      </c>
    </row>
    <row r="3894" spans="15:15" x14ac:dyDescent="0.3">
      <c r="O3894" t="str">
        <f t="shared" si="61"/>
        <v/>
      </c>
    </row>
    <row r="3895" spans="15:15" x14ac:dyDescent="0.3">
      <c r="O3895" t="str">
        <f t="shared" si="61"/>
        <v/>
      </c>
    </row>
    <row r="3896" spans="15:15" x14ac:dyDescent="0.3">
      <c r="O3896" t="str">
        <f t="shared" si="61"/>
        <v/>
      </c>
    </row>
    <row r="3897" spans="15:15" x14ac:dyDescent="0.3">
      <c r="O3897" t="str">
        <f t="shared" si="61"/>
        <v/>
      </c>
    </row>
    <row r="3898" spans="15:15" x14ac:dyDescent="0.3">
      <c r="O3898" t="str">
        <f t="shared" si="61"/>
        <v/>
      </c>
    </row>
    <row r="3899" spans="15:15" x14ac:dyDescent="0.3">
      <c r="O3899" t="str">
        <f t="shared" si="61"/>
        <v/>
      </c>
    </row>
    <row r="3900" spans="15:15" x14ac:dyDescent="0.3">
      <c r="O3900" t="str">
        <f t="shared" si="61"/>
        <v/>
      </c>
    </row>
    <row r="3901" spans="15:15" x14ac:dyDescent="0.3">
      <c r="O3901" t="str">
        <f t="shared" si="61"/>
        <v/>
      </c>
    </row>
    <row r="3902" spans="15:15" x14ac:dyDescent="0.3">
      <c r="O3902" t="str">
        <f t="shared" si="61"/>
        <v/>
      </c>
    </row>
    <row r="3903" spans="15:15" x14ac:dyDescent="0.3">
      <c r="O3903" t="str">
        <f t="shared" si="61"/>
        <v/>
      </c>
    </row>
    <row r="3904" spans="15:15" x14ac:dyDescent="0.3">
      <c r="O3904" t="str">
        <f t="shared" si="61"/>
        <v/>
      </c>
    </row>
    <row r="3905" spans="15:15" x14ac:dyDescent="0.3">
      <c r="O3905" t="str">
        <f t="shared" si="61"/>
        <v/>
      </c>
    </row>
    <row r="3906" spans="15:15" x14ac:dyDescent="0.3">
      <c r="O3906" t="str">
        <f t="shared" si="61"/>
        <v/>
      </c>
    </row>
    <row r="3907" spans="15:15" x14ac:dyDescent="0.3">
      <c r="O3907" t="str">
        <f t="shared" si="61"/>
        <v/>
      </c>
    </row>
    <row r="3908" spans="15:15" x14ac:dyDescent="0.3">
      <c r="O3908" t="str">
        <f t="shared" si="61"/>
        <v/>
      </c>
    </row>
    <row r="3909" spans="15:15" x14ac:dyDescent="0.3">
      <c r="O3909" t="str">
        <f t="shared" si="61"/>
        <v/>
      </c>
    </row>
    <row r="3910" spans="15:15" x14ac:dyDescent="0.3">
      <c r="O3910" t="str">
        <f t="shared" si="61"/>
        <v/>
      </c>
    </row>
    <row r="3911" spans="15:15" x14ac:dyDescent="0.3">
      <c r="O3911" t="str">
        <f t="shared" si="61"/>
        <v/>
      </c>
    </row>
    <row r="3912" spans="15:15" x14ac:dyDescent="0.3">
      <c r="O3912" t="str">
        <f t="shared" si="61"/>
        <v/>
      </c>
    </row>
    <row r="3913" spans="15:15" x14ac:dyDescent="0.3">
      <c r="O3913" t="str">
        <f t="shared" si="61"/>
        <v/>
      </c>
    </row>
    <row r="3914" spans="15:15" x14ac:dyDescent="0.3">
      <c r="O3914" t="str">
        <f t="shared" ref="O3914:O3977" si="62">IF(P3914="","",O3913+1)</f>
        <v/>
      </c>
    </row>
    <row r="3915" spans="15:15" x14ac:dyDescent="0.3">
      <c r="O3915" t="str">
        <f t="shared" si="62"/>
        <v/>
      </c>
    </row>
    <row r="3916" spans="15:15" x14ac:dyDescent="0.3">
      <c r="O3916" t="str">
        <f t="shared" si="62"/>
        <v/>
      </c>
    </row>
    <row r="3917" spans="15:15" x14ac:dyDescent="0.3">
      <c r="O3917" t="str">
        <f t="shared" si="62"/>
        <v/>
      </c>
    </row>
    <row r="3918" spans="15:15" x14ac:dyDescent="0.3">
      <c r="O3918" t="str">
        <f t="shared" si="62"/>
        <v/>
      </c>
    </row>
    <row r="3919" spans="15:15" x14ac:dyDescent="0.3">
      <c r="O3919" t="str">
        <f t="shared" si="62"/>
        <v/>
      </c>
    </row>
    <row r="3920" spans="15:15" x14ac:dyDescent="0.3">
      <c r="O3920" t="str">
        <f t="shared" si="62"/>
        <v/>
      </c>
    </row>
    <row r="3921" spans="15:15" x14ac:dyDescent="0.3">
      <c r="O3921" t="str">
        <f t="shared" si="62"/>
        <v/>
      </c>
    </row>
    <row r="3922" spans="15:15" x14ac:dyDescent="0.3">
      <c r="O3922" t="str">
        <f t="shared" si="62"/>
        <v/>
      </c>
    </row>
    <row r="3923" spans="15:15" x14ac:dyDescent="0.3">
      <c r="O3923" t="str">
        <f t="shared" si="62"/>
        <v/>
      </c>
    </row>
    <row r="3924" spans="15:15" x14ac:dyDescent="0.3">
      <c r="O3924" t="str">
        <f t="shared" si="62"/>
        <v/>
      </c>
    </row>
    <row r="3925" spans="15:15" x14ac:dyDescent="0.3">
      <c r="O3925" t="str">
        <f t="shared" si="62"/>
        <v/>
      </c>
    </row>
    <row r="3926" spans="15:15" x14ac:dyDescent="0.3">
      <c r="O3926" t="str">
        <f t="shared" si="62"/>
        <v/>
      </c>
    </row>
    <row r="3927" spans="15:15" x14ac:dyDescent="0.3">
      <c r="O3927" t="str">
        <f t="shared" si="62"/>
        <v/>
      </c>
    </row>
    <row r="3928" spans="15:15" x14ac:dyDescent="0.3">
      <c r="O3928" t="str">
        <f t="shared" si="62"/>
        <v/>
      </c>
    </row>
    <row r="3929" spans="15:15" x14ac:dyDescent="0.3">
      <c r="O3929" t="str">
        <f t="shared" si="62"/>
        <v/>
      </c>
    </row>
    <row r="3930" spans="15:15" x14ac:dyDescent="0.3">
      <c r="O3930" t="str">
        <f t="shared" si="62"/>
        <v/>
      </c>
    </row>
    <row r="3931" spans="15:15" x14ac:dyDescent="0.3">
      <c r="O3931" t="str">
        <f t="shared" si="62"/>
        <v/>
      </c>
    </row>
    <row r="3932" spans="15:15" x14ac:dyDescent="0.3">
      <c r="O3932" t="str">
        <f t="shared" si="62"/>
        <v/>
      </c>
    </row>
    <row r="3933" spans="15:15" x14ac:dyDescent="0.3">
      <c r="O3933" t="str">
        <f t="shared" si="62"/>
        <v/>
      </c>
    </row>
    <row r="3934" spans="15:15" x14ac:dyDescent="0.3">
      <c r="O3934" t="str">
        <f t="shared" si="62"/>
        <v/>
      </c>
    </row>
    <row r="3935" spans="15:15" x14ac:dyDescent="0.3">
      <c r="O3935" t="str">
        <f t="shared" si="62"/>
        <v/>
      </c>
    </row>
    <row r="3936" spans="15:15" x14ac:dyDescent="0.3">
      <c r="O3936" t="str">
        <f t="shared" si="62"/>
        <v/>
      </c>
    </row>
    <row r="3937" spans="15:15" x14ac:dyDescent="0.3">
      <c r="O3937" t="str">
        <f t="shared" si="62"/>
        <v/>
      </c>
    </row>
    <row r="3938" spans="15:15" x14ac:dyDescent="0.3">
      <c r="O3938" t="str">
        <f t="shared" si="62"/>
        <v/>
      </c>
    </row>
    <row r="3939" spans="15:15" x14ac:dyDescent="0.3">
      <c r="O3939" t="str">
        <f t="shared" si="62"/>
        <v/>
      </c>
    </row>
    <row r="3940" spans="15:15" x14ac:dyDescent="0.3">
      <c r="O3940" t="str">
        <f t="shared" si="62"/>
        <v/>
      </c>
    </row>
    <row r="3941" spans="15:15" x14ac:dyDescent="0.3">
      <c r="O3941" t="str">
        <f t="shared" si="62"/>
        <v/>
      </c>
    </row>
    <row r="3942" spans="15:15" x14ac:dyDescent="0.3">
      <c r="O3942" t="str">
        <f t="shared" si="62"/>
        <v/>
      </c>
    </row>
    <row r="3943" spans="15:15" x14ac:dyDescent="0.3">
      <c r="O3943" t="str">
        <f t="shared" si="62"/>
        <v/>
      </c>
    </row>
    <row r="3944" spans="15:15" x14ac:dyDescent="0.3">
      <c r="O3944" t="str">
        <f t="shared" si="62"/>
        <v/>
      </c>
    </row>
    <row r="3945" spans="15:15" x14ac:dyDescent="0.3">
      <c r="O3945" t="str">
        <f t="shared" si="62"/>
        <v/>
      </c>
    </row>
    <row r="3946" spans="15:15" x14ac:dyDescent="0.3">
      <c r="O3946" t="str">
        <f t="shared" si="62"/>
        <v/>
      </c>
    </row>
    <row r="3947" spans="15:15" x14ac:dyDescent="0.3">
      <c r="O3947" t="str">
        <f t="shared" si="62"/>
        <v/>
      </c>
    </row>
    <row r="3948" spans="15:15" x14ac:dyDescent="0.3">
      <c r="O3948" t="str">
        <f t="shared" si="62"/>
        <v/>
      </c>
    </row>
    <row r="3949" spans="15:15" x14ac:dyDescent="0.3">
      <c r="O3949" t="str">
        <f t="shared" si="62"/>
        <v/>
      </c>
    </row>
    <row r="3950" spans="15:15" x14ac:dyDescent="0.3">
      <c r="O3950" t="str">
        <f t="shared" si="62"/>
        <v/>
      </c>
    </row>
    <row r="3951" spans="15:15" x14ac:dyDescent="0.3">
      <c r="O3951" t="str">
        <f t="shared" si="62"/>
        <v/>
      </c>
    </row>
    <row r="3952" spans="15:15" x14ac:dyDescent="0.3">
      <c r="O3952" t="str">
        <f t="shared" si="62"/>
        <v/>
      </c>
    </row>
    <row r="3953" spans="15:15" x14ac:dyDescent="0.3">
      <c r="O3953" t="str">
        <f t="shared" si="62"/>
        <v/>
      </c>
    </row>
    <row r="3954" spans="15:15" x14ac:dyDescent="0.3">
      <c r="O3954" t="str">
        <f t="shared" si="62"/>
        <v/>
      </c>
    </row>
    <row r="3955" spans="15:15" x14ac:dyDescent="0.3">
      <c r="O3955" t="str">
        <f t="shared" si="62"/>
        <v/>
      </c>
    </row>
    <row r="3956" spans="15:15" x14ac:dyDescent="0.3">
      <c r="O3956" t="str">
        <f t="shared" si="62"/>
        <v/>
      </c>
    </row>
    <row r="3957" spans="15:15" x14ac:dyDescent="0.3">
      <c r="O3957" t="str">
        <f t="shared" si="62"/>
        <v/>
      </c>
    </row>
    <row r="3958" spans="15:15" x14ac:dyDescent="0.3">
      <c r="O3958" t="str">
        <f t="shared" si="62"/>
        <v/>
      </c>
    </row>
    <row r="3959" spans="15:15" x14ac:dyDescent="0.3">
      <c r="O3959" t="str">
        <f t="shared" si="62"/>
        <v/>
      </c>
    </row>
    <row r="3960" spans="15:15" x14ac:dyDescent="0.3">
      <c r="O3960" t="str">
        <f t="shared" si="62"/>
        <v/>
      </c>
    </row>
    <row r="3961" spans="15:15" x14ac:dyDescent="0.3">
      <c r="O3961" t="str">
        <f t="shared" si="62"/>
        <v/>
      </c>
    </row>
    <row r="3962" spans="15:15" x14ac:dyDescent="0.3">
      <c r="O3962" t="str">
        <f t="shared" si="62"/>
        <v/>
      </c>
    </row>
    <row r="3963" spans="15:15" x14ac:dyDescent="0.3">
      <c r="O3963" t="str">
        <f t="shared" si="62"/>
        <v/>
      </c>
    </row>
    <row r="3964" spans="15:15" x14ac:dyDescent="0.3">
      <c r="O3964" t="str">
        <f t="shared" si="62"/>
        <v/>
      </c>
    </row>
    <row r="3965" spans="15:15" x14ac:dyDescent="0.3">
      <c r="O3965" t="str">
        <f t="shared" si="62"/>
        <v/>
      </c>
    </row>
    <row r="3966" spans="15:15" x14ac:dyDescent="0.3">
      <c r="O3966" t="str">
        <f t="shared" si="62"/>
        <v/>
      </c>
    </row>
    <row r="3967" spans="15:15" x14ac:dyDescent="0.3">
      <c r="O3967" t="str">
        <f t="shared" si="62"/>
        <v/>
      </c>
    </row>
    <row r="3968" spans="15:15" x14ac:dyDescent="0.3">
      <c r="O3968" t="str">
        <f t="shared" si="62"/>
        <v/>
      </c>
    </row>
    <row r="3969" spans="15:15" x14ac:dyDescent="0.3">
      <c r="O3969" t="str">
        <f t="shared" si="62"/>
        <v/>
      </c>
    </row>
    <row r="3970" spans="15:15" x14ac:dyDescent="0.3">
      <c r="O3970" t="str">
        <f t="shared" si="62"/>
        <v/>
      </c>
    </row>
    <row r="3971" spans="15:15" x14ac:dyDescent="0.3">
      <c r="O3971" t="str">
        <f t="shared" si="62"/>
        <v/>
      </c>
    </row>
    <row r="3972" spans="15:15" x14ac:dyDescent="0.3">
      <c r="O3972" t="str">
        <f t="shared" si="62"/>
        <v/>
      </c>
    </row>
    <row r="3973" spans="15:15" x14ac:dyDescent="0.3">
      <c r="O3973" t="str">
        <f t="shared" si="62"/>
        <v/>
      </c>
    </row>
    <row r="3974" spans="15:15" x14ac:dyDescent="0.3">
      <c r="O3974" t="str">
        <f t="shared" si="62"/>
        <v/>
      </c>
    </row>
    <row r="3975" spans="15:15" x14ac:dyDescent="0.3">
      <c r="O3975" t="str">
        <f t="shared" si="62"/>
        <v/>
      </c>
    </row>
    <row r="3976" spans="15:15" x14ac:dyDescent="0.3">
      <c r="O3976" t="str">
        <f t="shared" si="62"/>
        <v/>
      </c>
    </row>
    <row r="3977" spans="15:15" x14ac:dyDescent="0.3">
      <c r="O3977" t="str">
        <f t="shared" si="62"/>
        <v/>
      </c>
    </row>
    <row r="3978" spans="15:15" x14ac:dyDescent="0.3">
      <c r="O3978" t="str">
        <f t="shared" ref="O3978:O4041" si="63">IF(P3978="","",O3977+1)</f>
        <v/>
      </c>
    </row>
    <row r="3979" spans="15:15" x14ac:dyDescent="0.3">
      <c r="O3979" t="str">
        <f t="shared" si="63"/>
        <v/>
      </c>
    </row>
    <row r="3980" spans="15:15" x14ac:dyDescent="0.3">
      <c r="O3980" t="str">
        <f t="shared" si="63"/>
        <v/>
      </c>
    </row>
    <row r="3981" spans="15:15" x14ac:dyDescent="0.3">
      <c r="O3981" t="str">
        <f t="shared" si="63"/>
        <v/>
      </c>
    </row>
    <row r="3982" spans="15:15" x14ac:dyDescent="0.3">
      <c r="O3982" t="str">
        <f t="shared" si="63"/>
        <v/>
      </c>
    </row>
    <row r="3983" spans="15:15" x14ac:dyDescent="0.3">
      <c r="O3983" t="str">
        <f t="shared" si="63"/>
        <v/>
      </c>
    </row>
    <row r="3984" spans="15:15" x14ac:dyDescent="0.3">
      <c r="O3984" t="str">
        <f t="shared" si="63"/>
        <v/>
      </c>
    </row>
    <row r="3985" spans="15:15" x14ac:dyDescent="0.3">
      <c r="O3985" t="str">
        <f t="shared" si="63"/>
        <v/>
      </c>
    </row>
    <row r="3986" spans="15:15" x14ac:dyDescent="0.3">
      <c r="O3986" t="str">
        <f t="shared" si="63"/>
        <v/>
      </c>
    </row>
    <row r="3987" spans="15:15" x14ac:dyDescent="0.3">
      <c r="O3987" t="str">
        <f t="shared" si="63"/>
        <v/>
      </c>
    </row>
    <row r="3988" spans="15:15" x14ac:dyDescent="0.3">
      <c r="O3988" t="str">
        <f t="shared" si="63"/>
        <v/>
      </c>
    </row>
    <row r="3989" spans="15:15" x14ac:dyDescent="0.3">
      <c r="O3989" t="str">
        <f t="shared" si="63"/>
        <v/>
      </c>
    </row>
    <row r="3990" spans="15:15" x14ac:dyDescent="0.3">
      <c r="O3990" t="str">
        <f t="shared" si="63"/>
        <v/>
      </c>
    </row>
    <row r="3991" spans="15:15" x14ac:dyDescent="0.3">
      <c r="O3991" t="str">
        <f t="shared" si="63"/>
        <v/>
      </c>
    </row>
    <row r="3992" spans="15:15" x14ac:dyDescent="0.3">
      <c r="O3992" t="str">
        <f t="shared" si="63"/>
        <v/>
      </c>
    </row>
    <row r="3993" spans="15:15" x14ac:dyDescent="0.3">
      <c r="O3993" t="str">
        <f t="shared" si="63"/>
        <v/>
      </c>
    </row>
    <row r="3994" spans="15:15" x14ac:dyDescent="0.3">
      <c r="O3994" t="str">
        <f t="shared" si="63"/>
        <v/>
      </c>
    </row>
    <row r="3995" spans="15:15" x14ac:dyDescent="0.3">
      <c r="O3995" t="str">
        <f t="shared" si="63"/>
        <v/>
      </c>
    </row>
    <row r="3996" spans="15:15" x14ac:dyDescent="0.3">
      <c r="O3996" t="str">
        <f t="shared" si="63"/>
        <v/>
      </c>
    </row>
    <row r="3997" spans="15:15" x14ac:dyDescent="0.3">
      <c r="O3997" t="str">
        <f t="shared" si="63"/>
        <v/>
      </c>
    </row>
    <row r="3998" spans="15:15" x14ac:dyDescent="0.3">
      <c r="O3998" t="str">
        <f t="shared" si="63"/>
        <v/>
      </c>
    </row>
    <row r="3999" spans="15:15" x14ac:dyDescent="0.3">
      <c r="O3999" t="str">
        <f t="shared" si="63"/>
        <v/>
      </c>
    </row>
    <row r="4000" spans="15:15" x14ac:dyDescent="0.3">
      <c r="O4000" t="str">
        <f t="shared" si="63"/>
        <v/>
      </c>
    </row>
    <row r="4001" spans="15:15" x14ac:dyDescent="0.3">
      <c r="O4001" t="str">
        <f t="shared" si="63"/>
        <v/>
      </c>
    </row>
    <row r="4002" spans="15:15" x14ac:dyDescent="0.3">
      <c r="O4002" t="str">
        <f t="shared" si="63"/>
        <v/>
      </c>
    </row>
    <row r="4003" spans="15:15" x14ac:dyDescent="0.3">
      <c r="O4003" t="str">
        <f t="shared" si="63"/>
        <v/>
      </c>
    </row>
    <row r="4004" spans="15:15" x14ac:dyDescent="0.3">
      <c r="O4004" t="str">
        <f t="shared" si="63"/>
        <v/>
      </c>
    </row>
    <row r="4005" spans="15:15" x14ac:dyDescent="0.3">
      <c r="O4005" t="str">
        <f t="shared" si="63"/>
        <v/>
      </c>
    </row>
    <row r="4006" spans="15:15" x14ac:dyDescent="0.3">
      <c r="O4006" t="str">
        <f t="shared" si="63"/>
        <v/>
      </c>
    </row>
    <row r="4007" spans="15:15" x14ac:dyDescent="0.3">
      <c r="O4007" t="str">
        <f t="shared" si="63"/>
        <v/>
      </c>
    </row>
    <row r="4008" spans="15:15" x14ac:dyDescent="0.3">
      <c r="O4008" t="str">
        <f t="shared" si="63"/>
        <v/>
      </c>
    </row>
    <row r="4009" spans="15:15" x14ac:dyDescent="0.3">
      <c r="O4009" t="str">
        <f t="shared" si="63"/>
        <v/>
      </c>
    </row>
    <row r="4010" spans="15:15" x14ac:dyDescent="0.3">
      <c r="O4010" t="str">
        <f t="shared" si="63"/>
        <v/>
      </c>
    </row>
    <row r="4011" spans="15:15" x14ac:dyDescent="0.3">
      <c r="O4011" t="str">
        <f t="shared" si="63"/>
        <v/>
      </c>
    </row>
    <row r="4012" spans="15:15" x14ac:dyDescent="0.3">
      <c r="O4012" t="str">
        <f t="shared" si="63"/>
        <v/>
      </c>
    </row>
    <row r="4013" spans="15:15" x14ac:dyDescent="0.3">
      <c r="O4013" t="str">
        <f t="shared" si="63"/>
        <v/>
      </c>
    </row>
    <row r="4014" spans="15:15" x14ac:dyDescent="0.3">
      <c r="O4014" t="str">
        <f t="shared" si="63"/>
        <v/>
      </c>
    </row>
    <row r="4015" spans="15:15" x14ac:dyDescent="0.3">
      <c r="O4015" t="str">
        <f t="shared" si="63"/>
        <v/>
      </c>
    </row>
    <row r="4016" spans="15:15" x14ac:dyDescent="0.3">
      <c r="O4016" t="str">
        <f t="shared" si="63"/>
        <v/>
      </c>
    </row>
    <row r="4017" spans="15:15" x14ac:dyDescent="0.3">
      <c r="O4017" t="str">
        <f t="shared" si="63"/>
        <v/>
      </c>
    </row>
    <row r="4018" spans="15:15" x14ac:dyDescent="0.3">
      <c r="O4018" t="str">
        <f t="shared" si="63"/>
        <v/>
      </c>
    </row>
    <row r="4019" spans="15:15" x14ac:dyDescent="0.3">
      <c r="O4019" t="str">
        <f t="shared" si="63"/>
        <v/>
      </c>
    </row>
    <row r="4020" spans="15:15" x14ac:dyDescent="0.3">
      <c r="O4020" t="str">
        <f t="shared" si="63"/>
        <v/>
      </c>
    </row>
    <row r="4021" spans="15:15" x14ac:dyDescent="0.3">
      <c r="O4021" t="str">
        <f t="shared" si="63"/>
        <v/>
      </c>
    </row>
    <row r="4022" spans="15:15" x14ac:dyDescent="0.3">
      <c r="O4022" t="str">
        <f t="shared" si="63"/>
        <v/>
      </c>
    </row>
    <row r="4023" spans="15:15" x14ac:dyDescent="0.3">
      <c r="O4023" t="str">
        <f t="shared" si="63"/>
        <v/>
      </c>
    </row>
    <row r="4024" spans="15:15" x14ac:dyDescent="0.3">
      <c r="O4024" t="str">
        <f t="shared" si="63"/>
        <v/>
      </c>
    </row>
    <row r="4025" spans="15:15" x14ac:dyDescent="0.3">
      <c r="O4025" t="str">
        <f t="shared" si="63"/>
        <v/>
      </c>
    </row>
    <row r="4026" spans="15:15" x14ac:dyDescent="0.3">
      <c r="O4026" t="str">
        <f t="shared" si="63"/>
        <v/>
      </c>
    </row>
    <row r="4027" spans="15:15" x14ac:dyDescent="0.3">
      <c r="O4027" t="str">
        <f t="shared" si="63"/>
        <v/>
      </c>
    </row>
    <row r="4028" spans="15:15" x14ac:dyDescent="0.3">
      <c r="O4028" t="str">
        <f t="shared" si="63"/>
        <v/>
      </c>
    </row>
    <row r="4029" spans="15:15" x14ac:dyDescent="0.3">
      <c r="O4029" t="str">
        <f t="shared" si="63"/>
        <v/>
      </c>
    </row>
    <row r="4030" spans="15:15" x14ac:dyDescent="0.3">
      <c r="O4030" t="str">
        <f t="shared" si="63"/>
        <v/>
      </c>
    </row>
    <row r="4031" spans="15:15" x14ac:dyDescent="0.3">
      <c r="O4031" t="str">
        <f t="shared" si="63"/>
        <v/>
      </c>
    </row>
    <row r="4032" spans="15:15" x14ac:dyDescent="0.3">
      <c r="O4032" t="str">
        <f t="shared" si="63"/>
        <v/>
      </c>
    </row>
    <row r="4033" spans="15:15" x14ac:dyDescent="0.3">
      <c r="O4033" t="str">
        <f t="shared" si="63"/>
        <v/>
      </c>
    </row>
    <row r="4034" spans="15:15" x14ac:dyDescent="0.3">
      <c r="O4034" t="str">
        <f t="shared" si="63"/>
        <v/>
      </c>
    </row>
    <row r="4035" spans="15:15" x14ac:dyDescent="0.3">
      <c r="O4035" t="str">
        <f t="shared" si="63"/>
        <v/>
      </c>
    </row>
    <row r="4036" spans="15:15" x14ac:dyDescent="0.3">
      <c r="O4036" t="str">
        <f t="shared" si="63"/>
        <v/>
      </c>
    </row>
    <row r="4037" spans="15:15" x14ac:dyDescent="0.3">
      <c r="O4037" t="str">
        <f t="shared" si="63"/>
        <v/>
      </c>
    </row>
    <row r="4038" spans="15:15" x14ac:dyDescent="0.3">
      <c r="O4038" t="str">
        <f t="shared" si="63"/>
        <v/>
      </c>
    </row>
    <row r="4039" spans="15:15" x14ac:dyDescent="0.3">
      <c r="O4039" t="str">
        <f t="shared" si="63"/>
        <v/>
      </c>
    </row>
    <row r="4040" spans="15:15" x14ac:dyDescent="0.3">
      <c r="O4040" t="str">
        <f t="shared" si="63"/>
        <v/>
      </c>
    </row>
    <row r="4041" spans="15:15" x14ac:dyDescent="0.3">
      <c r="O4041" t="str">
        <f t="shared" si="63"/>
        <v/>
      </c>
    </row>
    <row r="4042" spans="15:15" x14ac:dyDescent="0.3">
      <c r="O4042" t="str">
        <f t="shared" ref="O4042:O4105" si="64">IF(P4042="","",O4041+1)</f>
        <v/>
      </c>
    </row>
    <row r="4043" spans="15:15" x14ac:dyDescent="0.3">
      <c r="O4043" t="str">
        <f t="shared" si="64"/>
        <v/>
      </c>
    </row>
    <row r="4044" spans="15:15" x14ac:dyDescent="0.3">
      <c r="O4044" t="str">
        <f t="shared" si="64"/>
        <v/>
      </c>
    </row>
    <row r="4045" spans="15:15" x14ac:dyDescent="0.3">
      <c r="O4045" t="str">
        <f t="shared" si="64"/>
        <v/>
      </c>
    </row>
    <row r="4046" spans="15:15" x14ac:dyDescent="0.3">
      <c r="O4046" t="str">
        <f t="shared" si="64"/>
        <v/>
      </c>
    </row>
    <row r="4047" spans="15:15" x14ac:dyDescent="0.3">
      <c r="O4047" t="str">
        <f t="shared" si="64"/>
        <v/>
      </c>
    </row>
    <row r="4048" spans="15:15" x14ac:dyDescent="0.3">
      <c r="O4048" t="str">
        <f t="shared" si="64"/>
        <v/>
      </c>
    </row>
    <row r="4049" spans="15:15" x14ac:dyDescent="0.3">
      <c r="O4049" t="str">
        <f t="shared" si="64"/>
        <v/>
      </c>
    </row>
    <row r="4050" spans="15:15" x14ac:dyDescent="0.3">
      <c r="O4050" t="str">
        <f t="shared" si="64"/>
        <v/>
      </c>
    </row>
    <row r="4051" spans="15:15" x14ac:dyDescent="0.3">
      <c r="O4051" t="str">
        <f t="shared" si="64"/>
        <v/>
      </c>
    </row>
    <row r="4052" spans="15:15" x14ac:dyDescent="0.3">
      <c r="O4052" t="str">
        <f t="shared" si="64"/>
        <v/>
      </c>
    </row>
    <row r="4053" spans="15:15" x14ac:dyDescent="0.3">
      <c r="O4053" t="str">
        <f t="shared" si="64"/>
        <v/>
      </c>
    </row>
    <row r="4054" spans="15:15" x14ac:dyDescent="0.3">
      <c r="O4054" t="str">
        <f t="shared" si="64"/>
        <v/>
      </c>
    </row>
    <row r="4055" spans="15:15" x14ac:dyDescent="0.3">
      <c r="O4055" t="str">
        <f t="shared" si="64"/>
        <v/>
      </c>
    </row>
    <row r="4056" spans="15:15" x14ac:dyDescent="0.3">
      <c r="O4056" t="str">
        <f t="shared" si="64"/>
        <v/>
      </c>
    </row>
    <row r="4057" spans="15:15" x14ac:dyDescent="0.3">
      <c r="O4057" t="str">
        <f t="shared" si="64"/>
        <v/>
      </c>
    </row>
    <row r="4058" spans="15:15" x14ac:dyDescent="0.3">
      <c r="O4058" t="str">
        <f t="shared" si="64"/>
        <v/>
      </c>
    </row>
    <row r="4059" spans="15:15" x14ac:dyDescent="0.3">
      <c r="O4059" t="str">
        <f t="shared" si="64"/>
        <v/>
      </c>
    </row>
    <row r="4060" spans="15:15" x14ac:dyDescent="0.3">
      <c r="O4060" t="str">
        <f t="shared" si="64"/>
        <v/>
      </c>
    </row>
    <row r="4061" spans="15:15" x14ac:dyDescent="0.3">
      <c r="O4061" t="str">
        <f t="shared" si="64"/>
        <v/>
      </c>
    </row>
    <row r="4062" spans="15:15" x14ac:dyDescent="0.3">
      <c r="O4062" t="str">
        <f t="shared" si="64"/>
        <v/>
      </c>
    </row>
    <row r="4063" spans="15:15" x14ac:dyDescent="0.3">
      <c r="O4063" t="str">
        <f t="shared" si="64"/>
        <v/>
      </c>
    </row>
    <row r="4064" spans="15:15" x14ac:dyDescent="0.3">
      <c r="O4064" t="str">
        <f t="shared" si="64"/>
        <v/>
      </c>
    </row>
    <row r="4065" spans="15:15" x14ac:dyDescent="0.3">
      <c r="O4065" t="str">
        <f t="shared" si="64"/>
        <v/>
      </c>
    </row>
    <row r="4066" spans="15:15" x14ac:dyDescent="0.3">
      <c r="O4066" t="str">
        <f t="shared" si="64"/>
        <v/>
      </c>
    </row>
    <row r="4067" spans="15:15" x14ac:dyDescent="0.3">
      <c r="O4067" t="str">
        <f t="shared" si="64"/>
        <v/>
      </c>
    </row>
    <row r="4068" spans="15:15" x14ac:dyDescent="0.3">
      <c r="O4068" t="str">
        <f t="shared" si="64"/>
        <v/>
      </c>
    </row>
    <row r="4069" spans="15:15" x14ac:dyDescent="0.3">
      <c r="O4069" t="str">
        <f t="shared" si="64"/>
        <v/>
      </c>
    </row>
    <row r="4070" spans="15:15" x14ac:dyDescent="0.3">
      <c r="O4070" t="str">
        <f t="shared" si="64"/>
        <v/>
      </c>
    </row>
    <row r="4071" spans="15:15" x14ac:dyDescent="0.3">
      <c r="O4071" t="str">
        <f t="shared" si="64"/>
        <v/>
      </c>
    </row>
    <row r="4072" spans="15:15" x14ac:dyDescent="0.3">
      <c r="O4072" t="str">
        <f t="shared" si="64"/>
        <v/>
      </c>
    </row>
    <row r="4073" spans="15:15" x14ac:dyDescent="0.3">
      <c r="O4073" t="str">
        <f t="shared" si="64"/>
        <v/>
      </c>
    </row>
    <row r="4074" spans="15:15" x14ac:dyDescent="0.3">
      <c r="O4074" t="str">
        <f t="shared" si="64"/>
        <v/>
      </c>
    </row>
    <row r="4075" spans="15:15" x14ac:dyDescent="0.3">
      <c r="O4075" t="str">
        <f t="shared" si="64"/>
        <v/>
      </c>
    </row>
    <row r="4076" spans="15:15" x14ac:dyDescent="0.3">
      <c r="O4076" t="str">
        <f t="shared" si="64"/>
        <v/>
      </c>
    </row>
    <row r="4077" spans="15:15" x14ac:dyDescent="0.3">
      <c r="O4077" t="str">
        <f t="shared" si="64"/>
        <v/>
      </c>
    </row>
    <row r="4078" spans="15:15" x14ac:dyDescent="0.3">
      <c r="O4078" t="str">
        <f t="shared" si="64"/>
        <v/>
      </c>
    </row>
    <row r="4079" spans="15:15" x14ac:dyDescent="0.3">
      <c r="O4079" t="str">
        <f t="shared" si="64"/>
        <v/>
      </c>
    </row>
    <row r="4080" spans="15:15" x14ac:dyDescent="0.3">
      <c r="O4080" t="str">
        <f t="shared" si="64"/>
        <v/>
      </c>
    </row>
    <row r="4081" spans="15:15" x14ac:dyDescent="0.3">
      <c r="O4081" t="str">
        <f t="shared" si="64"/>
        <v/>
      </c>
    </row>
    <row r="4082" spans="15:15" x14ac:dyDescent="0.3">
      <c r="O4082" t="str">
        <f t="shared" si="64"/>
        <v/>
      </c>
    </row>
    <row r="4083" spans="15:15" x14ac:dyDescent="0.3">
      <c r="O4083" t="str">
        <f t="shared" si="64"/>
        <v/>
      </c>
    </row>
    <row r="4084" spans="15:15" x14ac:dyDescent="0.3">
      <c r="O4084" t="str">
        <f t="shared" si="64"/>
        <v/>
      </c>
    </row>
    <row r="4085" spans="15:15" x14ac:dyDescent="0.3">
      <c r="O4085" t="str">
        <f t="shared" si="64"/>
        <v/>
      </c>
    </row>
    <row r="4086" spans="15:15" x14ac:dyDescent="0.3">
      <c r="O4086" t="str">
        <f t="shared" si="64"/>
        <v/>
      </c>
    </row>
    <row r="4087" spans="15:15" x14ac:dyDescent="0.3">
      <c r="O4087" t="str">
        <f t="shared" si="64"/>
        <v/>
      </c>
    </row>
    <row r="4088" spans="15:15" x14ac:dyDescent="0.3">
      <c r="O4088" t="str">
        <f t="shared" si="64"/>
        <v/>
      </c>
    </row>
    <row r="4089" spans="15:15" x14ac:dyDescent="0.3">
      <c r="O4089" t="str">
        <f t="shared" si="64"/>
        <v/>
      </c>
    </row>
    <row r="4090" spans="15:15" x14ac:dyDescent="0.3">
      <c r="O4090" t="str">
        <f t="shared" si="64"/>
        <v/>
      </c>
    </row>
    <row r="4091" spans="15:15" x14ac:dyDescent="0.3">
      <c r="O4091" t="str">
        <f t="shared" si="64"/>
        <v/>
      </c>
    </row>
    <row r="4092" spans="15:15" x14ac:dyDescent="0.3">
      <c r="O4092" t="str">
        <f t="shared" si="64"/>
        <v/>
      </c>
    </row>
    <row r="4093" spans="15:15" x14ac:dyDescent="0.3">
      <c r="O4093" t="str">
        <f t="shared" si="64"/>
        <v/>
      </c>
    </row>
    <row r="4094" spans="15:15" x14ac:dyDescent="0.3">
      <c r="O4094" t="str">
        <f t="shared" si="64"/>
        <v/>
      </c>
    </row>
    <row r="4095" spans="15:15" x14ac:dyDescent="0.3">
      <c r="O4095" t="str">
        <f t="shared" si="64"/>
        <v/>
      </c>
    </row>
    <row r="4096" spans="15:15" x14ac:dyDescent="0.3">
      <c r="O4096" t="str">
        <f t="shared" si="64"/>
        <v/>
      </c>
    </row>
    <row r="4097" spans="15:15" x14ac:dyDescent="0.3">
      <c r="O4097" t="str">
        <f t="shared" si="64"/>
        <v/>
      </c>
    </row>
    <row r="4098" spans="15:15" x14ac:dyDescent="0.3">
      <c r="O4098" t="str">
        <f t="shared" si="64"/>
        <v/>
      </c>
    </row>
    <row r="4099" spans="15:15" x14ac:dyDescent="0.3">
      <c r="O4099" t="str">
        <f t="shared" si="64"/>
        <v/>
      </c>
    </row>
    <row r="4100" spans="15:15" x14ac:dyDescent="0.3">
      <c r="O4100" t="str">
        <f t="shared" si="64"/>
        <v/>
      </c>
    </row>
    <row r="4101" spans="15:15" x14ac:dyDescent="0.3">
      <c r="O4101" t="str">
        <f t="shared" si="64"/>
        <v/>
      </c>
    </row>
    <row r="4102" spans="15:15" x14ac:dyDescent="0.3">
      <c r="O4102" t="str">
        <f t="shared" si="64"/>
        <v/>
      </c>
    </row>
    <row r="4103" spans="15:15" x14ac:dyDescent="0.3">
      <c r="O4103" t="str">
        <f t="shared" si="64"/>
        <v/>
      </c>
    </row>
    <row r="4104" spans="15:15" x14ac:dyDescent="0.3">
      <c r="O4104" t="str">
        <f t="shared" si="64"/>
        <v/>
      </c>
    </row>
    <row r="4105" spans="15:15" x14ac:dyDescent="0.3">
      <c r="O4105" t="str">
        <f t="shared" si="64"/>
        <v/>
      </c>
    </row>
    <row r="4106" spans="15:15" x14ac:dyDescent="0.3">
      <c r="O4106" t="str">
        <f t="shared" ref="O4106:O4169" si="65">IF(P4106="","",O4105+1)</f>
        <v/>
      </c>
    </row>
    <row r="4107" spans="15:15" x14ac:dyDescent="0.3">
      <c r="O4107" t="str">
        <f t="shared" si="65"/>
        <v/>
      </c>
    </row>
    <row r="4108" spans="15:15" x14ac:dyDescent="0.3">
      <c r="O4108" t="str">
        <f t="shared" si="65"/>
        <v/>
      </c>
    </row>
    <row r="4109" spans="15:15" x14ac:dyDescent="0.3">
      <c r="O4109" t="str">
        <f t="shared" si="65"/>
        <v/>
      </c>
    </row>
    <row r="4110" spans="15:15" x14ac:dyDescent="0.3">
      <c r="O4110" t="str">
        <f t="shared" si="65"/>
        <v/>
      </c>
    </row>
    <row r="4111" spans="15:15" x14ac:dyDescent="0.3">
      <c r="O4111" t="str">
        <f t="shared" si="65"/>
        <v/>
      </c>
    </row>
    <row r="4112" spans="15:15" x14ac:dyDescent="0.3">
      <c r="O4112" t="str">
        <f t="shared" si="65"/>
        <v/>
      </c>
    </row>
    <row r="4113" spans="15:15" x14ac:dyDescent="0.3">
      <c r="O4113" t="str">
        <f t="shared" si="65"/>
        <v/>
      </c>
    </row>
    <row r="4114" spans="15:15" x14ac:dyDescent="0.3">
      <c r="O4114" t="str">
        <f t="shared" si="65"/>
        <v/>
      </c>
    </row>
    <row r="4115" spans="15:15" x14ac:dyDescent="0.3">
      <c r="O4115" t="str">
        <f t="shared" si="65"/>
        <v/>
      </c>
    </row>
    <row r="4116" spans="15:15" x14ac:dyDescent="0.3">
      <c r="O4116" t="str">
        <f t="shared" si="65"/>
        <v/>
      </c>
    </row>
    <row r="4117" spans="15:15" x14ac:dyDescent="0.3">
      <c r="O4117" t="str">
        <f t="shared" si="65"/>
        <v/>
      </c>
    </row>
    <row r="4118" spans="15:15" x14ac:dyDescent="0.3">
      <c r="O4118" t="str">
        <f t="shared" si="65"/>
        <v/>
      </c>
    </row>
    <row r="4119" spans="15:15" x14ac:dyDescent="0.3">
      <c r="O4119" t="str">
        <f t="shared" si="65"/>
        <v/>
      </c>
    </row>
    <row r="4120" spans="15:15" x14ac:dyDescent="0.3">
      <c r="O4120" t="str">
        <f t="shared" si="65"/>
        <v/>
      </c>
    </row>
    <row r="4121" spans="15:15" x14ac:dyDescent="0.3">
      <c r="O4121" t="str">
        <f t="shared" si="65"/>
        <v/>
      </c>
    </row>
    <row r="4122" spans="15:15" x14ac:dyDescent="0.3">
      <c r="O4122" t="str">
        <f t="shared" si="65"/>
        <v/>
      </c>
    </row>
    <row r="4123" spans="15:15" x14ac:dyDescent="0.3">
      <c r="O4123" t="str">
        <f t="shared" si="65"/>
        <v/>
      </c>
    </row>
    <row r="4124" spans="15:15" x14ac:dyDescent="0.3">
      <c r="O4124" t="str">
        <f t="shared" si="65"/>
        <v/>
      </c>
    </row>
    <row r="4125" spans="15:15" x14ac:dyDescent="0.3">
      <c r="O4125" t="str">
        <f t="shared" si="65"/>
        <v/>
      </c>
    </row>
    <row r="4126" spans="15:15" x14ac:dyDescent="0.3">
      <c r="O4126" t="str">
        <f t="shared" si="65"/>
        <v/>
      </c>
    </row>
    <row r="4127" spans="15:15" x14ac:dyDescent="0.3">
      <c r="O4127" t="str">
        <f t="shared" si="65"/>
        <v/>
      </c>
    </row>
    <row r="4128" spans="15:15" x14ac:dyDescent="0.3">
      <c r="O4128" t="str">
        <f t="shared" si="65"/>
        <v/>
      </c>
    </row>
    <row r="4129" spans="15:15" x14ac:dyDescent="0.3">
      <c r="O4129" t="str">
        <f t="shared" si="65"/>
        <v/>
      </c>
    </row>
    <row r="4130" spans="15:15" x14ac:dyDescent="0.3">
      <c r="O4130" t="str">
        <f t="shared" si="65"/>
        <v/>
      </c>
    </row>
    <row r="4131" spans="15:15" x14ac:dyDescent="0.3">
      <c r="O4131" t="str">
        <f t="shared" si="65"/>
        <v/>
      </c>
    </row>
    <row r="4132" spans="15:15" x14ac:dyDescent="0.3">
      <c r="O4132" t="str">
        <f t="shared" si="65"/>
        <v/>
      </c>
    </row>
    <row r="4133" spans="15:15" x14ac:dyDescent="0.3">
      <c r="O4133" t="str">
        <f t="shared" si="65"/>
        <v/>
      </c>
    </row>
    <row r="4134" spans="15:15" x14ac:dyDescent="0.3">
      <c r="O4134" t="str">
        <f t="shared" si="65"/>
        <v/>
      </c>
    </row>
    <row r="4135" spans="15:15" x14ac:dyDescent="0.3">
      <c r="O4135" t="str">
        <f t="shared" si="65"/>
        <v/>
      </c>
    </row>
    <row r="4136" spans="15:15" x14ac:dyDescent="0.3">
      <c r="O4136" t="str">
        <f t="shared" si="65"/>
        <v/>
      </c>
    </row>
    <row r="4137" spans="15:15" x14ac:dyDescent="0.3">
      <c r="O4137" t="str">
        <f t="shared" si="65"/>
        <v/>
      </c>
    </row>
    <row r="4138" spans="15:15" x14ac:dyDescent="0.3">
      <c r="O4138" t="str">
        <f t="shared" si="65"/>
        <v/>
      </c>
    </row>
    <row r="4139" spans="15:15" x14ac:dyDescent="0.3">
      <c r="O4139" t="str">
        <f t="shared" si="65"/>
        <v/>
      </c>
    </row>
    <row r="4140" spans="15:15" x14ac:dyDescent="0.3">
      <c r="O4140" t="str">
        <f t="shared" si="65"/>
        <v/>
      </c>
    </row>
    <row r="4141" spans="15:15" x14ac:dyDescent="0.3">
      <c r="O4141" t="str">
        <f t="shared" si="65"/>
        <v/>
      </c>
    </row>
    <row r="4142" spans="15:15" x14ac:dyDescent="0.3">
      <c r="O4142" t="str">
        <f t="shared" si="65"/>
        <v/>
      </c>
    </row>
    <row r="4143" spans="15:15" x14ac:dyDescent="0.3">
      <c r="O4143" t="str">
        <f t="shared" si="65"/>
        <v/>
      </c>
    </row>
    <row r="4144" spans="15:15" x14ac:dyDescent="0.3">
      <c r="O4144" t="str">
        <f t="shared" si="65"/>
        <v/>
      </c>
    </row>
    <row r="4145" spans="15:15" x14ac:dyDescent="0.3">
      <c r="O4145" t="str">
        <f t="shared" si="65"/>
        <v/>
      </c>
    </row>
    <row r="4146" spans="15:15" x14ac:dyDescent="0.3">
      <c r="O4146" t="str">
        <f t="shared" si="65"/>
        <v/>
      </c>
    </row>
    <row r="4147" spans="15:15" x14ac:dyDescent="0.3">
      <c r="O4147" t="str">
        <f t="shared" si="65"/>
        <v/>
      </c>
    </row>
    <row r="4148" spans="15:15" x14ac:dyDescent="0.3">
      <c r="O4148" t="str">
        <f t="shared" si="65"/>
        <v/>
      </c>
    </row>
    <row r="4149" spans="15:15" x14ac:dyDescent="0.3">
      <c r="O4149" t="str">
        <f t="shared" si="65"/>
        <v/>
      </c>
    </row>
    <row r="4150" spans="15:15" x14ac:dyDescent="0.3">
      <c r="O4150" t="str">
        <f t="shared" si="65"/>
        <v/>
      </c>
    </row>
    <row r="4151" spans="15:15" x14ac:dyDescent="0.3">
      <c r="O4151" t="str">
        <f t="shared" si="65"/>
        <v/>
      </c>
    </row>
    <row r="4152" spans="15:15" x14ac:dyDescent="0.3">
      <c r="O4152" t="str">
        <f t="shared" si="65"/>
        <v/>
      </c>
    </row>
    <row r="4153" spans="15:15" x14ac:dyDescent="0.3">
      <c r="O4153" t="str">
        <f t="shared" si="65"/>
        <v/>
      </c>
    </row>
    <row r="4154" spans="15:15" x14ac:dyDescent="0.3">
      <c r="O4154" t="str">
        <f t="shared" si="65"/>
        <v/>
      </c>
    </row>
    <row r="4155" spans="15:15" x14ac:dyDescent="0.3">
      <c r="O4155" t="str">
        <f t="shared" si="65"/>
        <v/>
      </c>
    </row>
    <row r="4156" spans="15:15" x14ac:dyDescent="0.3">
      <c r="O4156" t="str">
        <f t="shared" si="65"/>
        <v/>
      </c>
    </row>
    <row r="4157" spans="15:15" x14ac:dyDescent="0.3">
      <c r="O4157" t="str">
        <f t="shared" si="65"/>
        <v/>
      </c>
    </row>
    <row r="4158" spans="15:15" x14ac:dyDescent="0.3">
      <c r="O4158" t="str">
        <f t="shared" si="65"/>
        <v/>
      </c>
    </row>
    <row r="4159" spans="15:15" x14ac:dyDescent="0.3">
      <c r="O4159" t="str">
        <f t="shared" si="65"/>
        <v/>
      </c>
    </row>
    <row r="4160" spans="15:15" x14ac:dyDescent="0.3">
      <c r="O4160" t="str">
        <f t="shared" si="65"/>
        <v/>
      </c>
    </row>
    <row r="4161" spans="15:15" x14ac:dyDescent="0.3">
      <c r="O4161" t="str">
        <f t="shared" si="65"/>
        <v/>
      </c>
    </row>
    <row r="4162" spans="15:15" x14ac:dyDescent="0.3">
      <c r="O4162" t="str">
        <f t="shared" si="65"/>
        <v/>
      </c>
    </row>
    <row r="4163" spans="15:15" x14ac:dyDescent="0.3">
      <c r="O4163" t="str">
        <f t="shared" si="65"/>
        <v/>
      </c>
    </row>
    <row r="4164" spans="15:15" x14ac:dyDescent="0.3">
      <c r="O4164" t="str">
        <f t="shared" si="65"/>
        <v/>
      </c>
    </row>
    <row r="4165" spans="15:15" x14ac:dyDescent="0.3">
      <c r="O4165" t="str">
        <f t="shared" si="65"/>
        <v/>
      </c>
    </row>
    <row r="4166" spans="15:15" x14ac:dyDescent="0.3">
      <c r="O4166" t="str">
        <f t="shared" si="65"/>
        <v/>
      </c>
    </row>
    <row r="4167" spans="15:15" x14ac:dyDescent="0.3">
      <c r="O4167" t="str">
        <f t="shared" si="65"/>
        <v/>
      </c>
    </row>
    <row r="4168" spans="15:15" x14ac:dyDescent="0.3">
      <c r="O4168" t="str">
        <f t="shared" si="65"/>
        <v/>
      </c>
    </row>
    <row r="4169" spans="15:15" x14ac:dyDescent="0.3">
      <c r="O4169" t="str">
        <f t="shared" si="65"/>
        <v/>
      </c>
    </row>
    <row r="4170" spans="15:15" x14ac:dyDescent="0.3">
      <c r="O4170" t="str">
        <f t="shared" ref="O4170:O4233" si="66">IF(P4170="","",O4169+1)</f>
        <v/>
      </c>
    </row>
    <row r="4171" spans="15:15" x14ac:dyDescent="0.3">
      <c r="O4171" t="str">
        <f t="shared" si="66"/>
        <v/>
      </c>
    </row>
    <row r="4172" spans="15:15" x14ac:dyDescent="0.3">
      <c r="O4172" t="str">
        <f t="shared" si="66"/>
        <v/>
      </c>
    </row>
    <row r="4173" spans="15:15" x14ac:dyDescent="0.3">
      <c r="O4173" t="str">
        <f t="shared" si="66"/>
        <v/>
      </c>
    </row>
    <row r="4174" spans="15:15" x14ac:dyDescent="0.3">
      <c r="O4174" t="str">
        <f t="shared" si="66"/>
        <v/>
      </c>
    </row>
    <row r="4175" spans="15:15" x14ac:dyDescent="0.3">
      <c r="O4175" t="str">
        <f t="shared" si="66"/>
        <v/>
      </c>
    </row>
    <row r="4176" spans="15:15" x14ac:dyDescent="0.3">
      <c r="O4176" t="str">
        <f t="shared" si="66"/>
        <v/>
      </c>
    </row>
    <row r="4177" spans="15:15" x14ac:dyDescent="0.3">
      <c r="O4177" t="str">
        <f t="shared" si="66"/>
        <v/>
      </c>
    </row>
    <row r="4178" spans="15:15" x14ac:dyDescent="0.3">
      <c r="O4178" t="str">
        <f t="shared" si="66"/>
        <v/>
      </c>
    </row>
    <row r="4179" spans="15:15" x14ac:dyDescent="0.3">
      <c r="O4179" t="str">
        <f t="shared" si="66"/>
        <v/>
      </c>
    </row>
    <row r="4180" spans="15:15" x14ac:dyDescent="0.3">
      <c r="O4180" t="str">
        <f t="shared" si="66"/>
        <v/>
      </c>
    </row>
    <row r="4181" spans="15:15" x14ac:dyDescent="0.3">
      <c r="O4181" t="str">
        <f t="shared" si="66"/>
        <v/>
      </c>
    </row>
    <row r="4182" spans="15:15" x14ac:dyDescent="0.3">
      <c r="O4182" t="str">
        <f t="shared" si="66"/>
        <v/>
      </c>
    </row>
    <row r="4183" spans="15:15" x14ac:dyDescent="0.3">
      <c r="O4183" t="str">
        <f t="shared" si="66"/>
        <v/>
      </c>
    </row>
    <row r="4184" spans="15:15" x14ac:dyDescent="0.3">
      <c r="O4184" t="str">
        <f t="shared" si="66"/>
        <v/>
      </c>
    </row>
    <row r="4185" spans="15:15" x14ac:dyDescent="0.3">
      <c r="O4185" t="str">
        <f t="shared" si="66"/>
        <v/>
      </c>
    </row>
    <row r="4186" spans="15:15" x14ac:dyDescent="0.3">
      <c r="O4186" t="str">
        <f t="shared" si="66"/>
        <v/>
      </c>
    </row>
    <row r="4187" spans="15:15" x14ac:dyDescent="0.3">
      <c r="O4187" t="str">
        <f t="shared" si="66"/>
        <v/>
      </c>
    </row>
    <row r="4188" spans="15:15" x14ac:dyDescent="0.3">
      <c r="O4188" t="str">
        <f t="shared" si="66"/>
        <v/>
      </c>
    </row>
    <row r="4189" spans="15:15" x14ac:dyDescent="0.3">
      <c r="O4189" t="str">
        <f t="shared" si="66"/>
        <v/>
      </c>
    </row>
    <row r="4190" spans="15:15" x14ac:dyDescent="0.3">
      <c r="O4190" t="str">
        <f t="shared" si="66"/>
        <v/>
      </c>
    </row>
    <row r="4191" spans="15:15" x14ac:dyDescent="0.3">
      <c r="O4191" t="str">
        <f t="shared" si="66"/>
        <v/>
      </c>
    </row>
    <row r="4192" spans="15:15" x14ac:dyDescent="0.3">
      <c r="O4192" t="str">
        <f t="shared" si="66"/>
        <v/>
      </c>
    </row>
    <row r="4193" spans="15:15" x14ac:dyDescent="0.3">
      <c r="O4193" t="str">
        <f t="shared" si="66"/>
        <v/>
      </c>
    </row>
    <row r="4194" spans="15:15" x14ac:dyDescent="0.3">
      <c r="O4194" t="str">
        <f t="shared" si="66"/>
        <v/>
      </c>
    </row>
    <row r="4195" spans="15:15" x14ac:dyDescent="0.3">
      <c r="O4195" t="str">
        <f t="shared" si="66"/>
        <v/>
      </c>
    </row>
    <row r="4196" spans="15:15" x14ac:dyDescent="0.3">
      <c r="O4196" t="str">
        <f t="shared" si="66"/>
        <v/>
      </c>
    </row>
    <row r="4197" spans="15:15" x14ac:dyDescent="0.3">
      <c r="O4197" t="str">
        <f t="shared" si="66"/>
        <v/>
      </c>
    </row>
    <row r="4198" spans="15:15" x14ac:dyDescent="0.3">
      <c r="O4198" t="str">
        <f t="shared" si="66"/>
        <v/>
      </c>
    </row>
    <row r="4199" spans="15:15" x14ac:dyDescent="0.3">
      <c r="O4199" t="str">
        <f t="shared" si="66"/>
        <v/>
      </c>
    </row>
    <row r="4200" spans="15:15" x14ac:dyDescent="0.3">
      <c r="O4200" t="str">
        <f t="shared" si="66"/>
        <v/>
      </c>
    </row>
    <row r="4201" spans="15:15" x14ac:dyDescent="0.3">
      <c r="O4201" t="str">
        <f t="shared" si="66"/>
        <v/>
      </c>
    </row>
    <row r="4202" spans="15:15" x14ac:dyDescent="0.3">
      <c r="O4202" t="str">
        <f t="shared" si="66"/>
        <v/>
      </c>
    </row>
    <row r="4203" spans="15:15" x14ac:dyDescent="0.3">
      <c r="O4203" t="str">
        <f t="shared" si="66"/>
        <v/>
      </c>
    </row>
    <row r="4204" spans="15:15" x14ac:dyDescent="0.3">
      <c r="O4204" t="str">
        <f t="shared" si="66"/>
        <v/>
      </c>
    </row>
    <row r="4205" spans="15:15" x14ac:dyDescent="0.3">
      <c r="O4205" t="str">
        <f t="shared" si="66"/>
        <v/>
      </c>
    </row>
    <row r="4206" spans="15:15" x14ac:dyDescent="0.3">
      <c r="O4206" t="str">
        <f t="shared" si="66"/>
        <v/>
      </c>
    </row>
    <row r="4207" spans="15:15" x14ac:dyDescent="0.3">
      <c r="O4207" t="str">
        <f t="shared" si="66"/>
        <v/>
      </c>
    </row>
    <row r="4208" spans="15:15" x14ac:dyDescent="0.3">
      <c r="O4208" t="str">
        <f t="shared" si="66"/>
        <v/>
      </c>
    </row>
    <row r="4209" spans="15:15" x14ac:dyDescent="0.3">
      <c r="O4209" t="str">
        <f t="shared" si="66"/>
        <v/>
      </c>
    </row>
    <row r="4210" spans="15:15" x14ac:dyDescent="0.3">
      <c r="O4210" t="str">
        <f t="shared" si="66"/>
        <v/>
      </c>
    </row>
    <row r="4211" spans="15:15" x14ac:dyDescent="0.3">
      <c r="O4211" t="str">
        <f t="shared" si="66"/>
        <v/>
      </c>
    </row>
    <row r="4212" spans="15:15" x14ac:dyDescent="0.3">
      <c r="O4212" t="str">
        <f t="shared" si="66"/>
        <v/>
      </c>
    </row>
    <row r="4213" spans="15:15" x14ac:dyDescent="0.3">
      <c r="O4213" t="str">
        <f t="shared" si="66"/>
        <v/>
      </c>
    </row>
    <row r="4214" spans="15:15" x14ac:dyDescent="0.3">
      <c r="O4214" t="str">
        <f t="shared" si="66"/>
        <v/>
      </c>
    </row>
    <row r="4215" spans="15:15" x14ac:dyDescent="0.3">
      <c r="O4215" t="str">
        <f t="shared" si="66"/>
        <v/>
      </c>
    </row>
    <row r="4216" spans="15:15" x14ac:dyDescent="0.3">
      <c r="O4216" t="str">
        <f t="shared" si="66"/>
        <v/>
      </c>
    </row>
    <row r="4217" spans="15:15" x14ac:dyDescent="0.3">
      <c r="O4217" t="str">
        <f t="shared" si="66"/>
        <v/>
      </c>
    </row>
    <row r="4218" spans="15:15" x14ac:dyDescent="0.3">
      <c r="O4218" t="str">
        <f t="shared" si="66"/>
        <v/>
      </c>
    </row>
    <row r="4219" spans="15:15" x14ac:dyDescent="0.3">
      <c r="O4219" t="str">
        <f t="shared" si="66"/>
        <v/>
      </c>
    </row>
    <row r="4220" spans="15:15" x14ac:dyDescent="0.3">
      <c r="O4220" t="str">
        <f t="shared" si="66"/>
        <v/>
      </c>
    </row>
    <row r="4221" spans="15:15" x14ac:dyDescent="0.3">
      <c r="O4221" t="str">
        <f t="shared" si="66"/>
        <v/>
      </c>
    </row>
    <row r="4222" spans="15:15" x14ac:dyDescent="0.3">
      <c r="O4222" t="str">
        <f t="shared" si="66"/>
        <v/>
      </c>
    </row>
    <row r="4223" spans="15:15" x14ac:dyDescent="0.3">
      <c r="O4223" t="str">
        <f t="shared" si="66"/>
        <v/>
      </c>
    </row>
    <row r="4224" spans="15:15" x14ac:dyDescent="0.3">
      <c r="O4224" t="str">
        <f t="shared" si="66"/>
        <v/>
      </c>
    </row>
    <row r="4225" spans="15:15" x14ac:dyDescent="0.3">
      <c r="O4225" t="str">
        <f t="shared" si="66"/>
        <v/>
      </c>
    </row>
    <row r="4226" spans="15:15" x14ac:dyDescent="0.3">
      <c r="O4226" t="str">
        <f t="shared" si="66"/>
        <v/>
      </c>
    </row>
    <row r="4227" spans="15:15" x14ac:dyDescent="0.3">
      <c r="O4227" t="str">
        <f t="shared" si="66"/>
        <v/>
      </c>
    </row>
    <row r="4228" spans="15:15" x14ac:dyDescent="0.3">
      <c r="O4228" t="str">
        <f t="shared" si="66"/>
        <v/>
      </c>
    </row>
    <row r="4229" spans="15:15" x14ac:dyDescent="0.3">
      <c r="O4229" t="str">
        <f t="shared" si="66"/>
        <v/>
      </c>
    </row>
    <row r="4230" spans="15:15" x14ac:dyDescent="0.3">
      <c r="O4230" t="str">
        <f t="shared" si="66"/>
        <v/>
      </c>
    </row>
    <row r="4231" spans="15:15" x14ac:dyDescent="0.3">
      <c r="O4231" t="str">
        <f t="shared" si="66"/>
        <v/>
      </c>
    </row>
    <row r="4232" spans="15:15" x14ac:dyDescent="0.3">
      <c r="O4232" t="str">
        <f t="shared" si="66"/>
        <v/>
      </c>
    </row>
    <row r="4233" spans="15:15" x14ac:dyDescent="0.3">
      <c r="O4233" t="str">
        <f t="shared" si="66"/>
        <v/>
      </c>
    </row>
    <row r="4234" spans="15:15" x14ac:dyDescent="0.3">
      <c r="O4234" t="str">
        <f t="shared" ref="O4234:O4297" si="67">IF(P4234="","",O4233+1)</f>
        <v/>
      </c>
    </row>
    <row r="4235" spans="15:15" x14ac:dyDescent="0.3">
      <c r="O4235" t="str">
        <f t="shared" si="67"/>
        <v/>
      </c>
    </row>
    <row r="4236" spans="15:15" x14ac:dyDescent="0.3">
      <c r="O4236" t="str">
        <f t="shared" si="67"/>
        <v/>
      </c>
    </row>
    <row r="4237" spans="15:15" x14ac:dyDescent="0.3">
      <c r="O4237" t="str">
        <f t="shared" si="67"/>
        <v/>
      </c>
    </row>
    <row r="4238" spans="15:15" x14ac:dyDescent="0.3">
      <c r="O4238" t="str">
        <f t="shared" si="67"/>
        <v/>
      </c>
    </row>
    <row r="4239" spans="15:15" x14ac:dyDescent="0.3">
      <c r="O4239" t="str">
        <f t="shared" si="67"/>
        <v/>
      </c>
    </row>
    <row r="4240" spans="15:15" x14ac:dyDescent="0.3">
      <c r="O4240" t="str">
        <f t="shared" si="67"/>
        <v/>
      </c>
    </row>
    <row r="4241" spans="15:15" x14ac:dyDescent="0.3">
      <c r="O4241" t="str">
        <f t="shared" si="67"/>
        <v/>
      </c>
    </row>
    <row r="4242" spans="15:15" x14ac:dyDescent="0.3">
      <c r="O4242" t="str">
        <f t="shared" si="67"/>
        <v/>
      </c>
    </row>
    <row r="4243" spans="15:15" x14ac:dyDescent="0.3">
      <c r="O4243" t="str">
        <f t="shared" si="67"/>
        <v/>
      </c>
    </row>
    <row r="4244" spans="15:15" x14ac:dyDescent="0.3">
      <c r="O4244" t="str">
        <f t="shared" si="67"/>
        <v/>
      </c>
    </row>
    <row r="4245" spans="15:15" x14ac:dyDescent="0.3">
      <c r="O4245" t="str">
        <f t="shared" si="67"/>
        <v/>
      </c>
    </row>
    <row r="4246" spans="15:15" x14ac:dyDescent="0.3">
      <c r="O4246" t="str">
        <f t="shared" si="67"/>
        <v/>
      </c>
    </row>
    <row r="4247" spans="15:15" x14ac:dyDescent="0.3">
      <c r="O4247" t="str">
        <f t="shared" si="67"/>
        <v/>
      </c>
    </row>
    <row r="4248" spans="15:15" x14ac:dyDescent="0.3">
      <c r="O4248" t="str">
        <f t="shared" si="67"/>
        <v/>
      </c>
    </row>
    <row r="4249" spans="15:15" x14ac:dyDescent="0.3">
      <c r="O4249" t="str">
        <f t="shared" si="67"/>
        <v/>
      </c>
    </row>
    <row r="4250" spans="15:15" x14ac:dyDescent="0.3">
      <c r="O4250" t="str">
        <f t="shared" si="67"/>
        <v/>
      </c>
    </row>
    <row r="4251" spans="15:15" x14ac:dyDescent="0.3">
      <c r="O4251" t="str">
        <f t="shared" si="67"/>
        <v/>
      </c>
    </row>
    <row r="4252" spans="15:15" x14ac:dyDescent="0.3">
      <c r="O4252" t="str">
        <f t="shared" si="67"/>
        <v/>
      </c>
    </row>
    <row r="4253" spans="15:15" x14ac:dyDescent="0.3">
      <c r="O4253" t="str">
        <f t="shared" si="67"/>
        <v/>
      </c>
    </row>
    <row r="4254" spans="15:15" x14ac:dyDescent="0.3">
      <c r="O4254" t="str">
        <f t="shared" si="67"/>
        <v/>
      </c>
    </row>
    <row r="4255" spans="15:15" x14ac:dyDescent="0.3">
      <c r="O4255" t="str">
        <f t="shared" si="67"/>
        <v/>
      </c>
    </row>
    <row r="4256" spans="15:15" x14ac:dyDescent="0.3">
      <c r="O4256" t="str">
        <f t="shared" si="67"/>
        <v/>
      </c>
    </row>
    <row r="4257" spans="15:15" x14ac:dyDescent="0.3">
      <c r="O4257" t="str">
        <f t="shared" si="67"/>
        <v/>
      </c>
    </row>
    <row r="4258" spans="15:15" x14ac:dyDescent="0.3">
      <c r="O4258" t="str">
        <f t="shared" si="67"/>
        <v/>
      </c>
    </row>
    <row r="4259" spans="15:15" x14ac:dyDescent="0.3">
      <c r="O4259" t="str">
        <f t="shared" si="67"/>
        <v/>
      </c>
    </row>
    <row r="4260" spans="15:15" x14ac:dyDescent="0.3">
      <c r="O4260" t="str">
        <f t="shared" si="67"/>
        <v/>
      </c>
    </row>
    <row r="4261" spans="15:15" x14ac:dyDescent="0.3">
      <c r="O4261" t="str">
        <f t="shared" si="67"/>
        <v/>
      </c>
    </row>
    <row r="4262" spans="15:15" x14ac:dyDescent="0.3">
      <c r="O4262" t="str">
        <f t="shared" si="67"/>
        <v/>
      </c>
    </row>
    <row r="4263" spans="15:15" x14ac:dyDescent="0.3">
      <c r="O4263" t="str">
        <f t="shared" si="67"/>
        <v/>
      </c>
    </row>
    <row r="4264" spans="15:15" x14ac:dyDescent="0.3">
      <c r="O4264" t="str">
        <f t="shared" si="67"/>
        <v/>
      </c>
    </row>
    <row r="4265" spans="15:15" x14ac:dyDescent="0.3">
      <c r="O4265" t="str">
        <f t="shared" si="67"/>
        <v/>
      </c>
    </row>
    <row r="4266" spans="15:15" x14ac:dyDescent="0.3">
      <c r="O4266" t="str">
        <f t="shared" si="67"/>
        <v/>
      </c>
    </row>
    <row r="4267" spans="15:15" x14ac:dyDescent="0.3">
      <c r="O4267" t="str">
        <f t="shared" si="67"/>
        <v/>
      </c>
    </row>
    <row r="4268" spans="15:15" x14ac:dyDescent="0.3">
      <c r="O4268" t="str">
        <f t="shared" si="67"/>
        <v/>
      </c>
    </row>
    <row r="4269" spans="15:15" x14ac:dyDescent="0.3">
      <c r="O4269" t="str">
        <f t="shared" si="67"/>
        <v/>
      </c>
    </row>
    <row r="4270" spans="15:15" x14ac:dyDescent="0.3">
      <c r="O4270" t="str">
        <f t="shared" si="67"/>
        <v/>
      </c>
    </row>
    <row r="4271" spans="15:15" x14ac:dyDescent="0.3">
      <c r="O4271" t="str">
        <f t="shared" si="67"/>
        <v/>
      </c>
    </row>
    <row r="4272" spans="15:15" x14ac:dyDescent="0.3">
      <c r="O4272" t="str">
        <f t="shared" si="67"/>
        <v/>
      </c>
    </row>
    <row r="4273" spans="15:15" x14ac:dyDescent="0.3">
      <c r="O4273" t="str">
        <f t="shared" si="67"/>
        <v/>
      </c>
    </row>
    <row r="4274" spans="15:15" x14ac:dyDescent="0.3">
      <c r="O4274" t="str">
        <f t="shared" si="67"/>
        <v/>
      </c>
    </row>
    <row r="4275" spans="15:15" x14ac:dyDescent="0.3">
      <c r="O4275" t="str">
        <f t="shared" si="67"/>
        <v/>
      </c>
    </row>
    <row r="4276" spans="15:15" x14ac:dyDescent="0.3">
      <c r="O4276" t="str">
        <f t="shared" si="67"/>
        <v/>
      </c>
    </row>
    <row r="4277" spans="15:15" x14ac:dyDescent="0.3">
      <c r="O4277" t="str">
        <f t="shared" si="67"/>
        <v/>
      </c>
    </row>
    <row r="4278" spans="15:15" x14ac:dyDescent="0.3">
      <c r="O4278" t="str">
        <f t="shared" si="67"/>
        <v/>
      </c>
    </row>
    <row r="4279" spans="15:15" x14ac:dyDescent="0.3">
      <c r="O4279" t="str">
        <f t="shared" si="67"/>
        <v/>
      </c>
    </row>
    <row r="4280" spans="15:15" x14ac:dyDescent="0.3">
      <c r="O4280" t="str">
        <f t="shared" si="67"/>
        <v/>
      </c>
    </row>
    <row r="4281" spans="15:15" x14ac:dyDescent="0.3">
      <c r="O4281" t="str">
        <f t="shared" si="67"/>
        <v/>
      </c>
    </row>
    <row r="4282" spans="15:15" x14ac:dyDescent="0.3">
      <c r="O4282" t="str">
        <f t="shared" si="67"/>
        <v/>
      </c>
    </row>
    <row r="4283" spans="15:15" x14ac:dyDescent="0.3">
      <c r="O4283" t="str">
        <f t="shared" si="67"/>
        <v/>
      </c>
    </row>
    <row r="4284" spans="15:15" x14ac:dyDescent="0.3">
      <c r="O4284" t="str">
        <f t="shared" si="67"/>
        <v/>
      </c>
    </row>
    <row r="4285" spans="15:15" x14ac:dyDescent="0.3">
      <c r="O4285" t="str">
        <f t="shared" si="67"/>
        <v/>
      </c>
    </row>
    <row r="4286" spans="15:15" x14ac:dyDescent="0.3">
      <c r="O4286" t="str">
        <f t="shared" si="67"/>
        <v/>
      </c>
    </row>
    <row r="4287" spans="15:15" x14ac:dyDescent="0.3">
      <c r="O4287" t="str">
        <f t="shared" si="67"/>
        <v/>
      </c>
    </row>
    <row r="4288" spans="15:15" x14ac:dyDescent="0.3">
      <c r="O4288" t="str">
        <f t="shared" si="67"/>
        <v/>
      </c>
    </row>
    <row r="4289" spans="15:15" x14ac:dyDescent="0.3">
      <c r="O4289" t="str">
        <f t="shared" si="67"/>
        <v/>
      </c>
    </row>
    <row r="4290" spans="15:15" x14ac:dyDescent="0.3">
      <c r="O4290" t="str">
        <f t="shared" si="67"/>
        <v/>
      </c>
    </row>
    <row r="4291" spans="15:15" x14ac:dyDescent="0.3">
      <c r="O4291" t="str">
        <f t="shared" si="67"/>
        <v/>
      </c>
    </row>
    <row r="4292" spans="15:15" x14ac:dyDescent="0.3">
      <c r="O4292" t="str">
        <f t="shared" si="67"/>
        <v/>
      </c>
    </row>
    <row r="4293" spans="15:15" x14ac:dyDescent="0.3">
      <c r="O4293" t="str">
        <f t="shared" si="67"/>
        <v/>
      </c>
    </row>
    <row r="4294" spans="15:15" x14ac:dyDescent="0.3">
      <c r="O4294" t="str">
        <f t="shared" si="67"/>
        <v/>
      </c>
    </row>
    <row r="4295" spans="15:15" x14ac:dyDescent="0.3">
      <c r="O4295" t="str">
        <f t="shared" si="67"/>
        <v/>
      </c>
    </row>
    <row r="4296" spans="15:15" x14ac:dyDescent="0.3">
      <c r="O4296" t="str">
        <f t="shared" si="67"/>
        <v/>
      </c>
    </row>
    <row r="4297" spans="15:15" x14ac:dyDescent="0.3">
      <c r="O4297" t="str">
        <f t="shared" si="67"/>
        <v/>
      </c>
    </row>
    <row r="4298" spans="15:15" x14ac:dyDescent="0.3">
      <c r="O4298" t="str">
        <f t="shared" ref="O4298:O4361" si="68">IF(P4298="","",O4297+1)</f>
        <v/>
      </c>
    </row>
    <row r="4299" spans="15:15" x14ac:dyDescent="0.3">
      <c r="O4299" t="str">
        <f t="shared" si="68"/>
        <v/>
      </c>
    </row>
    <row r="4300" spans="15:15" x14ac:dyDescent="0.3">
      <c r="O4300" t="str">
        <f t="shared" si="68"/>
        <v/>
      </c>
    </row>
    <row r="4301" spans="15:15" x14ac:dyDescent="0.3">
      <c r="O4301" t="str">
        <f t="shared" si="68"/>
        <v/>
      </c>
    </row>
    <row r="4302" spans="15:15" x14ac:dyDescent="0.3">
      <c r="O4302" t="str">
        <f t="shared" si="68"/>
        <v/>
      </c>
    </row>
    <row r="4303" spans="15:15" x14ac:dyDescent="0.3">
      <c r="O4303" t="str">
        <f t="shared" si="68"/>
        <v/>
      </c>
    </row>
    <row r="4304" spans="15:15" x14ac:dyDescent="0.3">
      <c r="O4304" t="str">
        <f t="shared" si="68"/>
        <v/>
      </c>
    </row>
    <row r="4305" spans="15:15" x14ac:dyDescent="0.3">
      <c r="O4305" t="str">
        <f t="shared" si="68"/>
        <v/>
      </c>
    </row>
    <row r="4306" spans="15:15" x14ac:dyDescent="0.3">
      <c r="O4306" t="str">
        <f t="shared" si="68"/>
        <v/>
      </c>
    </row>
    <row r="4307" spans="15:15" x14ac:dyDescent="0.3">
      <c r="O4307" t="str">
        <f t="shared" si="68"/>
        <v/>
      </c>
    </row>
    <row r="4308" spans="15:15" x14ac:dyDescent="0.3">
      <c r="O4308" t="str">
        <f t="shared" si="68"/>
        <v/>
      </c>
    </row>
    <row r="4309" spans="15:15" x14ac:dyDescent="0.3">
      <c r="O4309" t="str">
        <f t="shared" si="68"/>
        <v/>
      </c>
    </row>
    <row r="4310" spans="15:15" x14ac:dyDescent="0.3">
      <c r="O4310" t="str">
        <f t="shared" si="68"/>
        <v/>
      </c>
    </row>
    <row r="4311" spans="15:15" x14ac:dyDescent="0.3">
      <c r="O4311" t="str">
        <f t="shared" si="68"/>
        <v/>
      </c>
    </row>
    <row r="4312" spans="15:15" x14ac:dyDescent="0.3">
      <c r="O4312" t="str">
        <f t="shared" si="68"/>
        <v/>
      </c>
    </row>
    <row r="4313" spans="15:15" x14ac:dyDescent="0.3">
      <c r="O4313" t="str">
        <f t="shared" si="68"/>
        <v/>
      </c>
    </row>
    <row r="4314" spans="15:15" x14ac:dyDescent="0.3">
      <c r="O4314" t="str">
        <f t="shared" si="68"/>
        <v/>
      </c>
    </row>
    <row r="4315" spans="15:15" x14ac:dyDescent="0.3">
      <c r="O4315" t="str">
        <f t="shared" si="68"/>
        <v/>
      </c>
    </row>
    <row r="4316" spans="15:15" x14ac:dyDescent="0.3">
      <c r="O4316" t="str">
        <f t="shared" si="68"/>
        <v/>
      </c>
    </row>
    <row r="4317" spans="15:15" x14ac:dyDescent="0.3">
      <c r="O4317" t="str">
        <f t="shared" si="68"/>
        <v/>
      </c>
    </row>
    <row r="4318" spans="15:15" x14ac:dyDescent="0.3">
      <c r="O4318" t="str">
        <f t="shared" si="68"/>
        <v/>
      </c>
    </row>
    <row r="4319" spans="15:15" x14ac:dyDescent="0.3">
      <c r="O4319" t="str">
        <f t="shared" si="68"/>
        <v/>
      </c>
    </row>
    <row r="4320" spans="15:15" x14ac:dyDescent="0.3">
      <c r="O4320" t="str">
        <f t="shared" si="68"/>
        <v/>
      </c>
    </row>
    <row r="4321" spans="15:15" x14ac:dyDescent="0.3">
      <c r="O4321" t="str">
        <f t="shared" si="68"/>
        <v/>
      </c>
    </row>
    <row r="4322" spans="15:15" x14ac:dyDescent="0.3">
      <c r="O4322" t="str">
        <f t="shared" si="68"/>
        <v/>
      </c>
    </row>
    <row r="4323" spans="15:15" x14ac:dyDescent="0.3">
      <c r="O4323" t="str">
        <f t="shared" si="68"/>
        <v/>
      </c>
    </row>
    <row r="4324" spans="15:15" x14ac:dyDescent="0.3">
      <c r="O4324" t="str">
        <f t="shared" si="68"/>
        <v/>
      </c>
    </row>
    <row r="4325" spans="15:15" x14ac:dyDescent="0.3">
      <c r="O4325" t="str">
        <f t="shared" si="68"/>
        <v/>
      </c>
    </row>
    <row r="4326" spans="15:15" x14ac:dyDescent="0.3">
      <c r="O4326" t="str">
        <f t="shared" si="68"/>
        <v/>
      </c>
    </row>
    <row r="4327" spans="15:15" x14ac:dyDescent="0.3">
      <c r="O4327" t="str">
        <f t="shared" si="68"/>
        <v/>
      </c>
    </row>
    <row r="4328" spans="15:15" x14ac:dyDescent="0.3">
      <c r="O4328" t="str">
        <f t="shared" si="68"/>
        <v/>
      </c>
    </row>
    <row r="4329" spans="15:15" x14ac:dyDescent="0.3">
      <c r="O4329" t="str">
        <f t="shared" si="68"/>
        <v/>
      </c>
    </row>
    <row r="4330" spans="15:15" x14ac:dyDescent="0.3">
      <c r="O4330" t="str">
        <f t="shared" si="68"/>
        <v/>
      </c>
    </row>
    <row r="4331" spans="15:15" x14ac:dyDescent="0.3">
      <c r="O4331" t="str">
        <f t="shared" si="68"/>
        <v/>
      </c>
    </row>
    <row r="4332" spans="15:15" x14ac:dyDescent="0.3">
      <c r="O4332" t="str">
        <f t="shared" si="68"/>
        <v/>
      </c>
    </row>
    <row r="4333" spans="15:15" x14ac:dyDescent="0.3">
      <c r="O4333" t="str">
        <f t="shared" si="68"/>
        <v/>
      </c>
    </row>
    <row r="4334" spans="15:15" x14ac:dyDescent="0.3">
      <c r="O4334" t="str">
        <f t="shared" si="68"/>
        <v/>
      </c>
    </row>
    <row r="4335" spans="15:15" x14ac:dyDescent="0.3">
      <c r="O4335" t="str">
        <f t="shared" si="68"/>
        <v/>
      </c>
    </row>
    <row r="4336" spans="15:15" x14ac:dyDescent="0.3">
      <c r="O4336" t="str">
        <f t="shared" si="68"/>
        <v/>
      </c>
    </row>
    <row r="4337" spans="15:15" x14ac:dyDescent="0.3">
      <c r="O4337" t="str">
        <f t="shared" si="68"/>
        <v/>
      </c>
    </row>
    <row r="4338" spans="15:15" x14ac:dyDescent="0.3">
      <c r="O4338" t="str">
        <f t="shared" si="68"/>
        <v/>
      </c>
    </row>
    <row r="4339" spans="15:15" x14ac:dyDescent="0.3">
      <c r="O4339" t="str">
        <f t="shared" si="68"/>
        <v/>
      </c>
    </row>
    <row r="4340" spans="15:15" x14ac:dyDescent="0.3">
      <c r="O4340" t="str">
        <f t="shared" si="68"/>
        <v/>
      </c>
    </row>
    <row r="4341" spans="15:15" x14ac:dyDescent="0.3">
      <c r="O4341" t="str">
        <f t="shared" si="68"/>
        <v/>
      </c>
    </row>
    <row r="4342" spans="15:15" x14ac:dyDescent="0.3">
      <c r="O4342" t="str">
        <f t="shared" si="68"/>
        <v/>
      </c>
    </row>
    <row r="4343" spans="15:15" x14ac:dyDescent="0.3">
      <c r="O4343" t="str">
        <f t="shared" si="68"/>
        <v/>
      </c>
    </row>
    <row r="4344" spans="15:15" x14ac:dyDescent="0.3">
      <c r="O4344" t="str">
        <f t="shared" si="68"/>
        <v/>
      </c>
    </row>
    <row r="4345" spans="15:15" x14ac:dyDescent="0.3">
      <c r="O4345" t="str">
        <f t="shared" si="68"/>
        <v/>
      </c>
    </row>
    <row r="4346" spans="15:15" x14ac:dyDescent="0.3">
      <c r="O4346" t="str">
        <f t="shared" si="68"/>
        <v/>
      </c>
    </row>
    <row r="4347" spans="15:15" x14ac:dyDescent="0.3">
      <c r="O4347" t="str">
        <f t="shared" si="68"/>
        <v/>
      </c>
    </row>
    <row r="4348" spans="15:15" x14ac:dyDescent="0.3">
      <c r="O4348" t="str">
        <f t="shared" si="68"/>
        <v/>
      </c>
    </row>
    <row r="4349" spans="15:15" x14ac:dyDescent="0.3">
      <c r="O4349" t="str">
        <f t="shared" si="68"/>
        <v/>
      </c>
    </row>
    <row r="4350" spans="15:15" x14ac:dyDescent="0.3">
      <c r="O4350" t="str">
        <f t="shared" si="68"/>
        <v/>
      </c>
    </row>
    <row r="4351" spans="15:15" x14ac:dyDescent="0.3">
      <c r="O4351" t="str">
        <f t="shared" si="68"/>
        <v/>
      </c>
    </row>
    <row r="4352" spans="15:15" x14ac:dyDescent="0.3">
      <c r="O4352" t="str">
        <f t="shared" si="68"/>
        <v/>
      </c>
    </row>
    <row r="4353" spans="15:15" x14ac:dyDescent="0.3">
      <c r="O4353" t="str">
        <f t="shared" si="68"/>
        <v/>
      </c>
    </row>
    <row r="4354" spans="15:15" x14ac:dyDescent="0.3">
      <c r="O4354" t="str">
        <f t="shared" si="68"/>
        <v/>
      </c>
    </row>
    <row r="4355" spans="15:15" x14ac:dyDescent="0.3">
      <c r="O4355" t="str">
        <f t="shared" si="68"/>
        <v/>
      </c>
    </row>
    <row r="4356" spans="15:15" x14ac:dyDescent="0.3">
      <c r="O4356" t="str">
        <f t="shared" si="68"/>
        <v/>
      </c>
    </row>
    <row r="4357" spans="15:15" x14ac:dyDescent="0.3">
      <c r="O4357" t="str">
        <f t="shared" si="68"/>
        <v/>
      </c>
    </row>
    <row r="4358" spans="15:15" x14ac:dyDescent="0.3">
      <c r="O4358" t="str">
        <f t="shared" si="68"/>
        <v/>
      </c>
    </row>
    <row r="4359" spans="15:15" x14ac:dyDescent="0.3">
      <c r="O4359" t="str">
        <f t="shared" si="68"/>
        <v/>
      </c>
    </row>
    <row r="4360" spans="15:15" x14ac:dyDescent="0.3">
      <c r="O4360" t="str">
        <f t="shared" si="68"/>
        <v/>
      </c>
    </row>
    <row r="4361" spans="15:15" x14ac:dyDescent="0.3">
      <c r="O4361" t="str">
        <f t="shared" si="68"/>
        <v/>
      </c>
    </row>
    <row r="4362" spans="15:15" x14ac:dyDescent="0.3">
      <c r="O4362" t="str">
        <f t="shared" ref="O4362:O4425" si="69">IF(P4362="","",O4361+1)</f>
        <v/>
      </c>
    </row>
    <row r="4363" spans="15:15" x14ac:dyDescent="0.3">
      <c r="O4363" t="str">
        <f t="shared" si="69"/>
        <v/>
      </c>
    </row>
    <row r="4364" spans="15:15" x14ac:dyDescent="0.3">
      <c r="O4364" t="str">
        <f t="shared" si="69"/>
        <v/>
      </c>
    </row>
    <row r="4365" spans="15:15" x14ac:dyDescent="0.3">
      <c r="O4365" t="str">
        <f t="shared" si="69"/>
        <v/>
      </c>
    </row>
    <row r="4366" spans="15:15" x14ac:dyDescent="0.3">
      <c r="O4366" t="str">
        <f t="shared" si="69"/>
        <v/>
      </c>
    </row>
    <row r="4367" spans="15:15" x14ac:dyDescent="0.3">
      <c r="O4367" t="str">
        <f t="shared" si="69"/>
        <v/>
      </c>
    </row>
    <row r="4368" spans="15:15" x14ac:dyDescent="0.3">
      <c r="O4368" t="str">
        <f t="shared" si="69"/>
        <v/>
      </c>
    </row>
    <row r="4369" spans="15:15" x14ac:dyDescent="0.3">
      <c r="O4369" t="str">
        <f t="shared" si="69"/>
        <v/>
      </c>
    </row>
    <row r="4370" spans="15:15" x14ac:dyDescent="0.3">
      <c r="O4370" t="str">
        <f t="shared" si="69"/>
        <v/>
      </c>
    </row>
    <row r="4371" spans="15:15" x14ac:dyDescent="0.3">
      <c r="O4371" t="str">
        <f t="shared" si="69"/>
        <v/>
      </c>
    </row>
    <row r="4372" spans="15:15" x14ac:dyDescent="0.3">
      <c r="O4372" t="str">
        <f t="shared" si="69"/>
        <v/>
      </c>
    </row>
    <row r="4373" spans="15:15" x14ac:dyDescent="0.3">
      <c r="O4373" t="str">
        <f t="shared" si="69"/>
        <v/>
      </c>
    </row>
    <row r="4374" spans="15:15" x14ac:dyDescent="0.3">
      <c r="O4374" t="str">
        <f t="shared" si="69"/>
        <v/>
      </c>
    </row>
    <row r="4375" spans="15:15" x14ac:dyDescent="0.3">
      <c r="O4375" t="str">
        <f t="shared" si="69"/>
        <v/>
      </c>
    </row>
    <row r="4376" spans="15:15" x14ac:dyDescent="0.3">
      <c r="O4376" t="str">
        <f t="shared" si="69"/>
        <v/>
      </c>
    </row>
    <row r="4377" spans="15:15" x14ac:dyDescent="0.3">
      <c r="O4377" t="str">
        <f t="shared" si="69"/>
        <v/>
      </c>
    </row>
    <row r="4378" spans="15:15" x14ac:dyDescent="0.3">
      <c r="O4378" t="str">
        <f t="shared" si="69"/>
        <v/>
      </c>
    </row>
    <row r="4379" spans="15:15" x14ac:dyDescent="0.3">
      <c r="O4379" t="str">
        <f t="shared" si="69"/>
        <v/>
      </c>
    </row>
    <row r="4380" spans="15:15" x14ac:dyDescent="0.3">
      <c r="O4380" t="str">
        <f t="shared" si="69"/>
        <v/>
      </c>
    </row>
    <row r="4381" spans="15:15" x14ac:dyDescent="0.3">
      <c r="O4381" t="str">
        <f t="shared" si="69"/>
        <v/>
      </c>
    </row>
    <row r="4382" spans="15:15" x14ac:dyDescent="0.3">
      <c r="O4382" t="str">
        <f t="shared" si="69"/>
        <v/>
      </c>
    </row>
    <row r="4383" spans="15:15" x14ac:dyDescent="0.3">
      <c r="O4383" t="str">
        <f t="shared" si="69"/>
        <v/>
      </c>
    </row>
    <row r="4384" spans="15:15" x14ac:dyDescent="0.3">
      <c r="O4384" t="str">
        <f t="shared" si="69"/>
        <v/>
      </c>
    </row>
    <row r="4385" spans="15:15" x14ac:dyDescent="0.3">
      <c r="O4385" t="str">
        <f t="shared" si="69"/>
        <v/>
      </c>
    </row>
    <row r="4386" spans="15:15" x14ac:dyDescent="0.3">
      <c r="O4386" t="str">
        <f t="shared" si="69"/>
        <v/>
      </c>
    </row>
    <row r="4387" spans="15:15" x14ac:dyDescent="0.3">
      <c r="O4387" t="str">
        <f t="shared" si="69"/>
        <v/>
      </c>
    </row>
    <row r="4388" spans="15:15" x14ac:dyDescent="0.3">
      <c r="O4388" t="str">
        <f t="shared" si="69"/>
        <v/>
      </c>
    </row>
    <row r="4389" spans="15:15" x14ac:dyDescent="0.3">
      <c r="O4389" t="str">
        <f t="shared" si="69"/>
        <v/>
      </c>
    </row>
    <row r="4390" spans="15:15" x14ac:dyDescent="0.3">
      <c r="O4390" t="str">
        <f t="shared" si="69"/>
        <v/>
      </c>
    </row>
    <row r="4391" spans="15:15" x14ac:dyDescent="0.3">
      <c r="O4391" t="str">
        <f t="shared" si="69"/>
        <v/>
      </c>
    </row>
    <row r="4392" spans="15:15" x14ac:dyDescent="0.3">
      <c r="O4392" t="str">
        <f t="shared" si="69"/>
        <v/>
      </c>
    </row>
    <row r="4393" spans="15:15" x14ac:dyDescent="0.3">
      <c r="O4393" t="str">
        <f t="shared" si="69"/>
        <v/>
      </c>
    </row>
    <row r="4394" spans="15:15" x14ac:dyDescent="0.3">
      <c r="O4394" t="str">
        <f t="shared" si="69"/>
        <v/>
      </c>
    </row>
    <row r="4395" spans="15:15" x14ac:dyDescent="0.3">
      <c r="O4395" t="str">
        <f t="shared" si="69"/>
        <v/>
      </c>
    </row>
    <row r="4396" spans="15:15" x14ac:dyDescent="0.3">
      <c r="O4396" t="str">
        <f t="shared" si="69"/>
        <v/>
      </c>
    </row>
    <row r="4397" spans="15:15" x14ac:dyDescent="0.3">
      <c r="O4397" t="str">
        <f t="shared" si="69"/>
        <v/>
      </c>
    </row>
    <row r="4398" spans="15:15" x14ac:dyDescent="0.3">
      <c r="O4398" t="str">
        <f t="shared" si="69"/>
        <v/>
      </c>
    </row>
    <row r="4399" spans="15:15" x14ac:dyDescent="0.3">
      <c r="O4399" t="str">
        <f t="shared" si="69"/>
        <v/>
      </c>
    </row>
    <row r="4400" spans="15:15" x14ac:dyDescent="0.3">
      <c r="O4400" t="str">
        <f t="shared" si="69"/>
        <v/>
      </c>
    </row>
    <row r="4401" spans="15:15" x14ac:dyDescent="0.3">
      <c r="O4401" t="str">
        <f t="shared" si="69"/>
        <v/>
      </c>
    </row>
    <row r="4402" spans="15:15" x14ac:dyDescent="0.3">
      <c r="O4402" t="str">
        <f t="shared" si="69"/>
        <v/>
      </c>
    </row>
    <row r="4403" spans="15:15" x14ac:dyDescent="0.3">
      <c r="O4403" t="str">
        <f t="shared" si="69"/>
        <v/>
      </c>
    </row>
    <row r="4404" spans="15:15" x14ac:dyDescent="0.3">
      <c r="O4404" t="str">
        <f t="shared" si="69"/>
        <v/>
      </c>
    </row>
    <row r="4405" spans="15:15" x14ac:dyDescent="0.3">
      <c r="O4405" t="str">
        <f t="shared" si="69"/>
        <v/>
      </c>
    </row>
    <row r="4406" spans="15:15" x14ac:dyDescent="0.3">
      <c r="O4406" t="str">
        <f t="shared" si="69"/>
        <v/>
      </c>
    </row>
    <row r="4407" spans="15:15" x14ac:dyDescent="0.3">
      <c r="O4407" t="str">
        <f t="shared" si="69"/>
        <v/>
      </c>
    </row>
    <row r="4408" spans="15:15" x14ac:dyDescent="0.3">
      <c r="O4408" t="str">
        <f t="shared" si="69"/>
        <v/>
      </c>
    </row>
    <row r="4409" spans="15:15" x14ac:dyDescent="0.3">
      <c r="O4409" t="str">
        <f t="shared" si="69"/>
        <v/>
      </c>
    </row>
    <row r="4410" spans="15:15" x14ac:dyDescent="0.3">
      <c r="O4410" t="str">
        <f t="shared" si="69"/>
        <v/>
      </c>
    </row>
    <row r="4411" spans="15:15" x14ac:dyDescent="0.3">
      <c r="O4411" t="str">
        <f t="shared" si="69"/>
        <v/>
      </c>
    </row>
    <row r="4412" spans="15:15" x14ac:dyDescent="0.3">
      <c r="O4412" t="str">
        <f t="shared" si="69"/>
        <v/>
      </c>
    </row>
    <row r="4413" spans="15:15" x14ac:dyDescent="0.3">
      <c r="O4413" t="str">
        <f t="shared" si="69"/>
        <v/>
      </c>
    </row>
    <row r="4414" spans="15:15" x14ac:dyDescent="0.3">
      <c r="O4414" t="str">
        <f t="shared" si="69"/>
        <v/>
      </c>
    </row>
    <row r="4415" spans="15:15" x14ac:dyDescent="0.3">
      <c r="O4415" t="str">
        <f t="shared" si="69"/>
        <v/>
      </c>
    </row>
    <row r="4416" spans="15:15" x14ac:dyDescent="0.3">
      <c r="O4416" t="str">
        <f t="shared" si="69"/>
        <v/>
      </c>
    </row>
    <row r="4417" spans="15:15" x14ac:dyDescent="0.3">
      <c r="O4417" t="str">
        <f t="shared" si="69"/>
        <v/>
      </c>
    </row>
    <row r="4418" spans="15:15" x14ac:dyDescent="0.3">
      <c r="O4418" t="str">
        <f t="shared" si="69"/>
        <v/>
      </c>
    </row>
    <row r="4419" spans="15:15" x14ac:dyDescent="0.3">
      <c r="O4419" t="str">
        <f t="shared" si="69"/>
        <v/>
      </c>
    </row>
    <row r="4420" spans="15:15" x14ac:dyDescent="0.3">
      <c r="O4420" t="str">
        <f t="shared" si="69"/>
        <v/>
      </c>
    </row>
    <row r="4421" spans="15:15" x14ac:dyDescent="0.3">
      <c r="O4421" t="str">
        <f t="shared" si="69"/>
        <v/>
      </c>
    </row>
    <row r="4422" spans="15:15" x14ac:dyDescent="0.3">
      <c r="O4422" t="str">
        <f t="shared" si="69"/>
        <v/>
      </c>
    </row>
    <row r="4423" spans="15:15" x14ac:dyDescent="0.3">
      <c r="O4423" t="str">
        <f t="shared" si="69"/>
        <v/>
      </c>
    </row>
    <row r="4424" spans="15:15" x14ac:dyDescent="0.3">
      <c r="O4424" t="str">
        <f t="shared" si="69"/>
        <v/>
      </c>
    </row>
    <row r="4425" spans="15:15" x14ac:dyDescent="0.3">
      <c r="O4425" t="str">
        <f t="shared" si="69"/>
        <v/>
      </c>
    </row>
    <row r="4426" spans="15:15" x14ac:dyDescent="0.3">
      <c r="O4426" t="str">
        <f t="shared" ref="O4426:O4489" si="70">IF(P4426="","",O4425+1)</f>
        <v/>
      </c>
    </row>
    <row r="4427" spans="15:15" x14ac:dyDescent="0.3">
      <c r="O4427" t="str">
        <f t="shared" si="70"/>
        <v/>
      </c>
    </row>
    <row r="4428" spans="15:15" x14ac:dyDescent="0.3">
      <c r="O4428" t="str">
        <f t="shared" si="70"/>
        <v/>
      </c>
    </row>
    <row r="4429" spans="15:15" x14ac:dyDescent="0.3">
      <c r="O4429" t="str">
        <f t="shared" si="70"/>
        <v/>
      </c>
    </row>
    <row r="4430" spans="15:15" x14ac:dyDescent="0.3">
      <c r="O4430" t="str">
        <f t="shared" si="70"/>
        <v/>
      </c>
    </row>
    <row r="4431" spans="15:15" x14ac:dyDescent="0.3">
      <c r="O4431" t="str">
        <f t="shared" si="70"/>
        <v/>
      </c>
    </row>
    <row r="4432" spans="15:15" x14ac:dyDescent="0.3">
      <c r="O4432" t="str">
        <f t="shared" si="70"/>
        <v/>
      </c>
    </row>
    <row r="4433" spans="15:15" x14ac:dyDescent="0.3">
      <c r="O4433" t="str">
        <f t="shared" si="70"/>
        <v/>
      </c>
    </row>
    <row r="4434" spans="15:15" x14ac:dyDescent="0.3">
      <c r="O4434" t="str">
        <f t="shared" si="70"/>
        <v/>
      </c>
    </row>
    <row r="4435" spans="15:15" x14ac:dyDescent="0.3">
      <c r="O4435" t="str">
        <f t="shared" si="70"/>
        <v/>
      </c>
    </row>
    <row r="4436" spans="15:15" x14ac:dyDescent="0.3">
      <c r="O4436" t="str">
        <f t="shared" si="70"/>
        <v/>
      </c>
    </row>
    <row r="4437" spans="15:15" x14ac:dyDescent="0.3">
      <c r="O4437" t="str">
        <f t="shared" si="70"/>
        <v/>
      </c>
    </row>
    <row r="4438" spans="15:15" x14ac:dyDescent="0.3">
      <c r="O4438" t="str">
        <f t="shared" si="70"/>
        <v/>
      </c>
    </row>
    <row r="4439" spans="15:15" x14ac:dyDescent="0.3">
      <c r="O4439" t="str">
        <f t="shared" si="70"/>
        <v/>
      </c>
    </row>
    <row r="4440" spans="15:15" x14ac:dyDescent="0.3">
      <c r="O4440" t="str">
        <f t="shared" si="70"/>
        <v/>
      </c>
    </row>
    <row r="4441" spans="15:15" x14ac:dyDescent="0.3">
      <c r="O4441" t="str">
        <f t="shared" si="70"/>
        <v/>
      </c>
    </row>
    <row r="4442" spans="15:15" x14ac:dyDescent="0.3">
      <c r="O4442" t="str">
        <f t="shared" si="70"/>
        <v/>
      </c>
    </row>
    <row r="4443" spans="15:15" x14ac:dyDescent="0.3">
      <c r="O4443" t="str">
        <f t="shared" si="70"/>
        <v/>
      </c>
    </row>
    <row r="4444" spans="15:15" x14ac:dyDescent="0.3">
      <c r="O4444" t="str">
        <f t="shared" si="70"/>
        <v/>
      </c>
    </row>
    <row r="4445" spans="15:15" x14ac:dyDescent="0.3">
      <c r="O4445" t="str">
        <f t="shared" si="70"/>
        <v/>
      </c>
    </row>
    <row r="4446" spans="15:15" x14ac:dyDescent="0.3">
      <c r="O4446" t="str">
        <f t="shared" si="70"/>
        <v/>
      </c>
    </row>
    <row r="4447" spans="15:15" x14ac:dyDescent="0.3">
      <c r="O4447" t="str">
        <f t="shared" si="70"/>
        <v/>
      </c>
    </row>
    <row r="4448" spans="15:15" x14ac:dyDescent="0.3">
      <c r="O4448" t="str">
        <f t="shared" si="70"/>
        <v/>
      </c>
    </row>
    <row r="4449" spans="15:15" x14ac:dyDescent="0.3">
      <c r="O4449" t="str">
        <f t="shared" si="70"/>
        <v/>
      </c>
    </row>
    <row r="4450" spans="15:15" x14ac:dyDescent="0.3">
      <c r="O4450" t="str">
        <f t="shared" si="70"/>
        <v/>
      </c>
    </row>
    <row r="4451" spans="15:15" x14ac:dyDescent="0.3">
      <c r="O4451" t="str">
        <f t="shared" si="70"/>
        <v/>
      </c>
    </row>
    <row r="4452" spans="15:15" x14ac:dyDescent="0.3">
      <c r="O4452" t="str">
        <f t="shared" si="70"/>
        <v/>
      </c>
    </row>
    <row r="4453" spans="15:15" x14ac:dyDescent="0.3">
      <c r="O4453" t="str">
        <f t="shared" si="70"/>
        <v/>
      </c>
    </row>
    <row r="4454" spans="15:15" x14ac:dyDescent="0.3">
      <c r="O4454" t="str">
        <f t="shared" si="70"/>
        <v/>
      </c>
    </row>
    <row r="4455" spans="15:15" x14ac:dyDescent="0.3">
      <c r="O4455" t="str">
        <f t="shared" si="70"/>
        <v/>
      </c>
    </row>
    <row r="4456" spans="15:15" x14ac:dyDescent="0.3">
      <c r="O4456" t="str">
        <f t="shared" si="70"/>
        <v/>
      </c>
    </row>
    <row r="4457" spans="15:15" x14ac:dyDescent="0.3">
      <c r="O4457" t="str">
        <f t="shared" si="70"/>
        <v/>
      </c>
    </row>
    <row r="4458" spans="15:15" x14ac:dyDescent="0.3">
      <c r="O4458" t="str">
        <f t="shared" si="70"/>
        <v/>
      </c>
    </row>
    <row r="4459" spans="15:15" x14ac:dyDescent="0.3">
      <c r="O4459" t="str">
        <f t="shared" si="70"/>
        <v/>
      </c>
    </row>
    <row r="4460" spans="15:15" x14ac:dyDescent="0.3">
      <c r="O4460" t="str">
        <f t="shared" si="70"/>
        <v/>
      </c>
    </row>
    <row r="4461" spans="15:15" x14ac:dyDescent="0.3">
      <c r="O4461" t="str">
        <f t="shared" si="70"/>
        <v/>
      </c>
    </row>
    <row r="4462" spans="15:15" x14ac:dyDescent="0.3">
      <c r="O4462" t="str">
        <f t="shared" si="70"/>
        <v/>
      </c>
    </row>
    <row r="4463" spans="15:15" x14ac:dyDescent="0.3">
      <c r="O4463" t="str">
        <f t="shared" si="70"/>
        <v/>
      </c>
    </row>
    <row r="4464" spans="15:15" x14ac:dyDescent="0.3">
      <c r="O4464" t="str">
        <f t="shared" si="70"/>
        <v/>
      </c>
    </row>
    <row r="4465" spans="15:15" x14ac:dyDescent="0.3">
      <c r="O4465" t="str">
        <f t="shared" si="70"/>
        <v/>
      </c>
    </row>
    <row r="4466" spans="15:15" x14ac:dyDescent="0.3">
      <c r="O4466" t="str">
        <f t="shared" si="70"/>
        <v/>
      </c>
    </row>
    <row r="4467" spans="15:15" x14ac:dyDescent="0.3">
      <c r="O4467" t="str">
        <f t="shared" si="70"/>
        <v/>
      </c>
    </row>
    <row r="4468" spans="15:15" x14ac:dyDescent="0.3">
      <c r="O4468" t="str">
        <f t="shared" si="70"/>
        <v/>
      </c>
    </row>
    <row r="4469" spans="15:15" x14ac:dyDescent="0.3">
      <c r="O4469" t="str">
        <f t="shared" si="70"/>
        <v/>
      </c>
    </row>
    <row r="4470" spans="15:15" x14ac:dyDescent="0.3">
      <c r="O4470" t="str">
        <f t="shared" si="70"/>
        <v/>
      </c>
    </row>
    <row r="4471" spans="15:15" x14ac:dyDescent="0.3">
      <c r="O4471" t="str">
        <f t="shared" si="70"/>
        <v/>
      </c>
    </row>
    <row r="4472" spans="15:15" x14ac:dyDescent="0.3">
      <c r="O4472" t="str">
        <f t="shared" si="70"/>
        <v/>
      </c>
    </row>
    <row r="4473" spans="15:15" x14ac:dyDescent="0.3">
      <c r="O4473" t="str">
        <f t="shared" si="70"/>
        <v/>
      </c>
    </row>
    <row r="4474" spans="15:15" x14ac:dyDescent="0.3">
      <c r="O4474" t="str">
        <f t="shared" si="70"/>
        <v/>
      </c>
    </row>
    <row r="4475" spans="15:15" x14ac:dyDescent="0.3">
      <c r="O4475" t="str">
        <f t="shared" si="70"/>
        <v/>
      </c>
    </row>
    <row r="4476" spans="15:15" x14ac:dyDescent="0.3">
      <c r="O4476" t="str">
        <f t="shared" si="70"/>
        <v/>
      </c>
    </row>
    <row r="4477" spans="15:15" x14ac:dyDescent="0.3">
      <c r="O4477" t="str">
        <f t="shared" si="70"/>
        <v/>
      </c>
    </row>
    <row r="4478" spans="15:15" x14ac:dyDescent="0.3">
      <c r="O4478" t="str">
        <f t="shared" si="70"/>
        <v/>
      </c>
    </row>
    <row r="4479" spans="15:15" x14ac:dyDescent="0.3">
      <c r="O4479" t="str">
        <f t="shared" si="70"/>
        <v/>
      </c>
    </row>
    <row r="4480" spans="15:15" x14ac:dyDescent="0.3">
      <c r="O4480" t="str">
        <f t="shared" si="70"/>
        <v/>
      </c>
    </row>
    <row r="4481" spans="15:15" x14ac:dyDescent="0.3">
      <c r="O4481" t="str">
        <f t="shared" si="70"/>
        <v/>
      </c>
    </row>
    <row r="4482" spans="15:15" x14ac:dyDescent="0.3">
      <c r="O4482" t="str">
        <f t="shared" si="70"/>
        <v/>
      </c>
    </row>
    <row r="4483" spans="15:15" x14ac:dyDescent="0.3">
      <c r="O4483" t="str">
        <f t="shared" si="70"/>
        <v/>
      </c>
    </row>
    <row r="4484" spans="15:15" x14ac:dyDescent="0.3">
      <c r="O4484" t="str">
        <f t="shared" si="70"/>
        <v/>
      </c>
    </row>
    <row r="4485" spans="15:15" x14ac:dyDescent="0.3">
      <c r="O4485" t="str">
        <f t="shared" si="70"/>
        <v/>
      </c>
    </row>
    <row r="4486" spans="15:15" x14ac:dyDescent="0.3">
      <c r="O4486" t="str">
        <f t="shared" si="70"/>
        <v/>
      </c>
    </row>
    <row r="4487" spans="15:15" x14ac:dyDescent="0.3">
      <c r="O4487" t="str">
        <f t="shared" si="70"/>
        <v/>
      </c>
    </row>
    <row r="4488" spans="15:15" x14ac:dyDescent="0.3">
      <c r="O4488" t="str">
        <f t="shared" si="70"/>
        <v/>
      </c>
    </row>
    <row r="4489" spans="15:15" x14ac:dyDescent="0.3">
      <c r="O4489" t="str">
        <f t="shared" si="70"/>
        <v/>
      </c>
    </row>
    <row r="4490" spans="15:15" x14ac:dyDescent="0.3">
      <c r="O4490" t="str">
        <f t="shared" ref="O4490:O4553" si="71">IF(P4490="","",O4489+1)</f>
        <v/>
      </c>
    </row>
    <row r="4491" spans="15:15" x14ac:dyDescent="0.3">
      <c r="O4491" t="str">
        <f t="shared" si="71"/>
        <v/>
      </c>
    </row>
    <row r="4492" spans="15:15" x14ac:dyDescent="0.3">
      <c r="O4492" t="str">
        <f t="shared" si="71"/>
        <v/>
      </c>
    </row>
    <row r="4493" spans="15:15" x14ac:dyDescent="0.3">
      <c r="O4493" t="str">
        <f t="shared" si="71"/>
        <v/>
      </c>
    </row>
    <row r="4494" spans="15:15" x14ac:dyDescent="0.3">
      <c r="O4494" t="str">
        <f t="shared" si="71"/>
        <v/>
      </c>
    </row>
    <row r="4495" spans="15:15" x14ac:dyDescent="0.3">
      <c r="O4495" t="str">
        <f t="shared" si="71"/>
        <v/>
      </c>
    </row>
    <row r="4496" spans="15:15" x14ac:dyDescent="0.3">
      <c r="O4496" t="str">
        <f t="shared" si="71"/>
        <v/>
      </c>
    </row>
    <row r="4497" spans="15:15" x14ac:dyDescent="0.3">
      <c r="O4497" t="str">
        <f t="shared" si="71"/>
        <v/>
      </c>
    </row>
    <row r="4498" spans="15:15" x14ac:dyDescent="0.3">
      <c r="O4498" t="str">
        <f t="shared" si="71"/>
        <v/>
      </c>
    </row>
    <row r="4499" spans="15:15" x14ac:dyDescent="0.3">
      <c r="O4499" t="str">
        <f t="shared" si="71"/>
        <v/>
      </c>
    </row>
    <row r="4500" spans="15:15" x14ac:dyDescent="0.3">
      <c r="O4500" t="str">
        <f t="shared" si="71"/>
        <v/>
      </c>
    </row>
    <row r="4501" spans="15:15" x14ac:dyDescent="0.3">
      <c r="O4501" t="str">
        <f t="shared" si="71"/>
        <v/>
      </c>
    </row>
    <row r="4502" spans="15:15" x14ac:dyDescent="0.3">
      <c r="O4502" t="str">
        <f t="shared" si="71"/>
        <v/>
      </c>
    </row>
    <row r="4503" spans="15:15" x14ac:dyDescent="0.3">
      <c r="O4503" t="str">
        <f t="shared" si="71"/>
        <v/>
      </c>
    </row>
    <row r="4504" spans="15:15" x14ac:dyDescent="0.3">
      <c r="O4504" t="str">
        <f t="shared" si="71"/>
        <v/>
      </c>
    </row>
    <row r="4505" spans="15:15" x14ac:dyDescent="0.3">
      <c r="O4505" t="str">
        <f t="shared" si="71"/>
        <v/>
      </c>
    </row>
    <row r="4506" spans="15:15" x14ac:dyDescent="0.3">
      <c r="O4506" t="str">
        <f t="shared" si="71"/>
        <v/>
      </c>
    </row>
    <row r="4507" spans="15:15" x14ac:dyDescent="0.3">
      <c r="O4507" t="str">
        <f t="shared" si="71"/>
        <v/>
      </c>
    </row>
    <row r="4508" spans="15:15" x14ac:dyDescent="0.3">
      <c r="O4508" t="str">
        <f t="shared" si="71"/>
        <v/>
      </c>
    </row>
    <row r="4509" spans="15:15" x14ac:dyDescent="0.3">
      <c r="O4509" t="str">
        <f t="shared" si="71"/>
        <v/>
      </c>
    </row>
    <row r="4510" spans="15:15" x14ac:dyDescent="0.3">
      <c r="O4510" t="str">
        <f t="shared" si="71"/>
        <v/>
      </c>
    </row>
    <row r="4511" spans="15:15" x14ac:dyDescent="0.3">
      <c r="O4511" t="str">
        <f t="shared" si="71"/>
        <v/>
      </c>
    </row>
    <row r="4512" spans="15:15" x14ac:dyDescent="0.3">
      <c r="O4512" t="str">
        <f t="shared" si="71"/>
        <v/>
      </c>
    </row>
    <row r="4513" spans="15:15" x14ac:dyDescent="0.3">
      <c r="O4513" t="str">
        <f t="shared" si="71"/>
        <v/>
      </c>
    </row>
    <row r="4514" spans="15:15" x14ac:dyDescent="0.3">
      <c r="O4514" t="str">
        <f t="shared" si="71"/>
        <v/>
      </c>
    </row>
    <row r="4515" spans="15:15" x14ac:dyDescent="0.3">
      <c r="O4515" t="str">
        <f t="shared" si="71"/>
        <v/>
      </c>
    </row>
    <row r="4516" spans="15:15" x14ac:dyDescent="0.3">
      <c r="O4516" t="str">
        <f t="shared" si="71"/>
        <v/>
      </c>
    </row>
    <row r="4517" spans="15:15" x14ac:dyDescent="0.3">
      <c r="O4517" t="str">
        <f t="shared" si="71"/>
        <v/>
      </c>
    </row>
    <row r="4518" spans="15:15" x14ac:dyDescent="0.3">
      <c r="O4518" t="str">
        <f t="shared" si="71"/>
        <v/>
      </c>
    </row>
    <row r="4519" spans="15:15" x14ac:dyDescent="0.3">
      <c r="O4519" t="str">
        <f t="shared" si="71"/>
        <v/>
      </c>
    </row>
    <row r="4520" spans="15:15" x14ac:dyDescent="0.3">
      <c r="O4520" t="str">
        <f t="shared" si="71"/>
        <v/>
      </c>
    </row>
    <row r="4521" spans="15:15" x14ac:dyDescent="0.3">
      <c r="O4521" t="str">
        <f t="shared" si="71"/>
        <v/>
      </c>
    </row>
    <row r="4522" spans="15:15" x14ac:dyDescent="0.3">
      <c r="O4522" t="str">
        <f t="shared" si="71"/>
        <v/>
      </c>
    </row>
    <row r="4523" spans="15:15" x14ac:dyDescent="0.3">
      <c r="O4523" t="str">
        <f t="shared" si="71"/>
        <v/>
      </c>
    </row>
    <row r="4524" spans="15:15" x14ac:dyDescent="0.3">
      <c r="O4524" t="str">
        <f t="shared" si="71"/>
        <v/>
      </c>
    </row>
    <row r="4525" spans="15:15" x14ac:dyDescent="0.3">
      <c r="O4525" t="str">
        <f t="shared" si="71"/>
        <v/>
      </c>
    </row>
    <row r="4526" spans="15:15" x14ac:dyDescent="0.3">
      <c r="O4526" t="str">
        <f t="shared" si="71"/>
        <v/>
      </c>
    </row>
    <row r="4527" spans="15:15" x14ac:dyDescent="0.3">
      <c r="O4527" t="str">
        <f t="shared" si="71"/>
        <v/>
      </c>
    </row>
    <row r="4528" spans="15:15" x14ac:dyDescent="0.3">
      <c r="O4528" t="str">
        <f t="shared" si="71"/>
        <v/>
      </c>
    </row>
    <row r="4529" spans="15:15" x14ac:dyDescent="0.3">
      <c r="O4529" t="str">
        <f t="shared" si="71"/>
        <v/>
      </c>
    </row>
    <row r="4530" spans="15:15" x14ac:dyDescent="0.3">
      <c r="O4530" t="str">
        <f t="shared" si="71"/>
        <v/>
      </c>
    </row>
    <row r="4531" spans="15:15" x14ac:dyDescent="0.3">
      <c r="O4531" t="str">
        <f t="shared" si="71"/>
        <v/>
      </c>
    </row>
    <row r="4532" spans="15:15" x14ac:dyDescent="0.3">
      <c r="O4532" t="str">
        <f t="shared" si="71"/>
        <v/>
      </c>
    </row>
    <row r="4533" spans="15:15" x14ac:dyDescent="0.3">
      <c r="O4533" t="str">
        <f t="shared" si="71"/>
        <v/>
      </c>
    </row>
    <row r="4534" spans="15:15" x14ac:dyDescent="0.3">
      <c r="O4534" t="str">
        <f t="shared" si="71"/>
        <v/>
      </c>
    </row>
    <row r="4535" spans="15:15" x14ac:dyDescent="0.3">
      <c r="O4535" t="str">
        <f t="shared" si="71"/>
        <v/>
      </c>
    </row>
    <row r="4536" spans="15:15" x14ac:dyDescent="0.3">
      <c r="O4536" t="str">
        <f t="shared" si="71"/>
        <v/>
      </c>
    </row>
    <row r="4537" spans="15:15" x14ac:dyDescent="0.3">
      <c r="O4537" t="str">
        <f t="shared" si="71"/>
        <v/>
      </c>
    </row>
    <row r="4538" spans="15:15" x14ac:dyDescent="0.3">
      <c r="O4538" t="str">
        <f t="shared" si="71"/>
        <v/>
      </c>
    </row>
    <row r="4539" spans="15:15" x14ac:dyDescent="0.3">
      <c r="O4539" t="str">
        <f t="shared" si="71"/>
        <v/>
      </c>
    </row>
    <row r="4540" spans="15:15" x14ac:dyDescent="0.3">
      <c r="O4540" t="str">
        <f t="shared" si="71"/>
        <v/>
      </c>
    </row>
    <row r="4541" spans="15:15" x14ac:dyDescent="0.3">
      <c r="O4541" t="str">
        <f t="shared" si="71"/>
        <v/>
      </c>
    </row>
    <row r="4542" spans="15:15" x14ac:dyDescent="0.3">
      <c r="O4542" t="str">
        <f t="shared" si="71"/>
        <v/>
      </c>
    </row>
    <row r="4543" spans="15:15" x14ac:dyDescent="0.3">
      <c r="O4543" t="str">
        <f t="shared" si="71"/>
        <v/>
      </c>
    </row>
    <row r="4544" spans="15:15" x14ac:dyDescent="0.3">
      <c r="O4544" t="str">
        <f t="shared" si="71"/>
        <v/>
      </c>
    </row>
    <row r="4545" spans="15:15" x14ac:dyDescent="0.3">
      <c r="O4545" t="str">
        <f t="shared" si="71"/>
        <v/>
      </c>
    </row>
    <row r="4546" spans="15:15" x14ac:dyDescent="0.3">
      <c r="O4546" t="str">
        <f t="shared" si="71"/>
        <v/>
      </c>
    </row>
    <row r="4547" spans="15:15" x14ac:dyDescent="0.3">
      <c r="O4547" t="str">
        <f t="shared" si="71"/>
        <v/>
      </c>
    </row>
    <row r="4548" spans="15:15" x14ac:dyDescent="0.3">
      <c r="O4548" t="str">
        <f t="shared" si="71"/>
        <v/>
      </c>
    </row>
    <row r="4549" spans="15:15" x14ac:dyDescent="0.3">
      <c r="O4549" t="str">
        <f t="shared" si="71"/>
        <v/>
      </c>
    </row>
    <row r="4550" spans="15:15" x14ac:dyDescent="0.3">
      <c r="O4550" t="str">
        <f t="shared" si="71"/>
        <v/>
      </c>
    </row>
    <row r="4551" spans="15:15" x14ac:dyDescent="0.3">
      <c r="O4551" t="str">
        <f t="shared" si="71"/>
        <v/>
      </c>
    </row>
    <row r="4552" spans="15:15" x14ac:dyDescent="0.3">
      <c r="O4552" t="str">
        <f t="shared" si="71"/>
        <v/>
      </c>
    </row>
    <row r="4553" spans="15:15" x14ac:dyDescent="0.3">
      <c r="O4553" t="str">
        <f t="shared" si="71"/>
        <v/>
      </c>
    </row>
    <row r="4554" spans="15:15" x14ac:dyDescent="0.3">
      <c r="O4554" t="str">
        <f t="shared" ref="O4554:O4617" si="72">IF(P4554="","",O4553+1)</f>
        <v/>
      </c>
    </row>
    <row r="4555" spans="15:15" x14ac:dyDescent="0.3">
      <c r="O4555" t="str">
        <f t="shared" si="72"/>
        <v/>
      </c>
    </row>
    <row r="4556" spans="15:15" x14ac:dyDescent="0.3">
      <c r="O4556" t="str">
        <f t="shared" si="72"/>
        <v/>
      </c>
    </row>
    <row r="4557" spans="15:15" x14ac:dyDescent="0.3">
      <c r="O4557" t="str">
        <f t="shared" si="72"/>
        <v/>
      </c>
    </row>
    <row r="4558" spans="15:15" x14ac:dyDescent="0.3">
      <c r="O4558" t="str">
        <f t="shared" si="72"/>
        <v/>
      </c>
    </row>
    <row r="4559" spans="15:15" x14ac:dyDescent="0.3">
      <c r="O4559" t="str">
        <f t="shared" si="72"/>
        <v/>
      </c>
    </row>
    <row r="4560" spans="15:15" x14ac:dyDescent="0.3">
      <c r="O4560" t="str">
        <f t="shared" si="72"/>
        <v/>
      </c>
    </row>
    <row r="4561" spans="15:15" x14ac:dyDescent="0.3">
      <c r="O4561" t="str">
        <f t="shared" si="72"/>
        <v/>
      </c>
    </row>
    <row r="4562" spans="15:15" x14ac:dyDescent="0.3">
      <c r="O4562" t="str">
        <f t="shared" si="72"/>
        <v/>
      </c>
    </row>
    <row r="4563" spans="15:15" x14ac:dyDescent="0.3">
      <c r="O4563" t="str">
        <f t="shared" si="72"/>
        <v/>
      </c>
    </row>
    <row r="4564" spans="15:15" x14ac:dyDescent="0.3">
      <c r="O4564" t="str">
        <f t="shared" si="72"/>
        <v/>
      </c>
    </row>
    <row r="4565" spans="15:15" x14ac:dyDescent="0.3">
      <c r="O4565" t="str">
        <f t="shared" si="72"/>
        <v/>
      </c>
    </row>
    <row r="4566" spans="15:15" x14ac:dyDescent="0.3">
      <c r="O4566" t="str">
        <f t="shared" si="72"/>
        <v/>
      </c>
    </row>
    <row r="4567" spans="15:15" x14ac:dyDescent="0.3">
      <c r="O4567" t="str">
        <f t="shared" si="72"/>
        <v/>
      </c>
    </row>
    <row r="4568" spans="15:15" x14ac:dyDescent="0.3">
      <c r="O4568" t="str">
        <f t="shared" si="72"/>
        <v/>
      </c>
    </row>
    <row r="4569" spans="15:15" x14ac:dyDescent="0.3">
      <c r="O4569" t="str">
        <f t="shared" si="72"/>
        <v/>
      </c>
    </row>
    <row r="4570" spans="15:15" x14ac:dyDescent="0.3">
      <c r="O4570" t="str">
        <f t="shared" si="72"/>
        <v/>
      </c>
    </row>
    <row r="4571" spans="15:15" x14ac:dyDescent="0.3">
      <c r="O4571" t="str">
        <f t="shared" si="72"/>
        <v/>
      </c>
    </row>
    <row r="4572" spans="15:15" x14ac:dyDescent="0.3">
      <c r="O4572" t="str">
        <f t="shared" si="72"/>
        <v/>
      </c>
    </row>
    <row r="4573" spans="15:15" x14ac:dyDescent="0.3">
      <c r="O4573" t="str">
        <f t="shared" si="72"/>
        <v/>
      </c>
    </row>
    <row r="4574" spans="15:15" x14ac:dyDescent="0.3">
      <c r="O4574" t="str">
        <f t="shared" si="72"/>
        <v/>
      </c>
    </row>
    <row r="4575" spans="15:15" x14ac:dyDescent="0.3">
      <c r="O4575" t="str">
        <f t="shared" si="72"/>
        <v/>
      </c>
    </row>
    <row r="4576" spans="15:15" x14ac:dyDescent="0.3">
      <c r="O4576" t="str">
        <f t="shared" si="72"/>
        <v/>
      </c>
    </row>
    <row r="4577" spans="15:15" x14ac:dyDescent="0.3">
      <c r="O4577" t="str">
        <f t="shared" si="72"/>
        <v/>
      </c>
    </row>
    <row r="4578" spans="15:15" x14ac:dyDescent="0.3">
      <c r="O4578" t="str">
        <f t="shared" si="72"/>
        <v/>
      </c>
    </row>
    <row r="4579" spans="15:15" x14ac:dyDescent="0.3">
      <c r="O4579" t="str">
        <f t="shared" si="72"/>
        <v/>
      </c>
    </row>
    <row r="4580" spans="15:15" x14ac:dyDescent="0.3">
      <c r="O4580" t="str">
        <f t="shared" si="72"/>
        <v/>
      </c>
    </row>
    <row r="4581" spans="15:15" x14ac:dyDescent="0.3">
      <c r="O4581" t="str">
        <f t="shared" si="72"/>
        <v/>
      </c>
    </row>
    <row r="4582" spans="15:15" x14ac:dyDescent="0.3">
      <c r="O4582" t="str">
        <f t="shared" si="72"/>
        <v/>
      </c>
    </row>
    <row r="4583" spans="15:15" x14ac:dyDescent="0.3">
      <c r="O4583" t="str">
        <f t="shared" si="72"/>
        <v/>
      </c>
    </row>
    <row r="4584" spans="15:15" x14ac:dyDescent="0.3">
      <c r="O4584" t="str">
        <f t="shared" si="72"/>
        <v/>
      </c>
    </row>
    <row r="4585" spans="15:15" x14ac:dyDescent="0.3">
      <c r="O4585" t="str">
        <f t="shared" si="72"/>
        <v/>
      </c>
    </row>
    <row r="4586" spans="15:15" x14ac:dyDescent="0.3">
      <c r="O4586" t="str">
        <f t="shared" si="72"/>
        <v/>
      </c>
    </row>
    <row r="4587" spans="15:15" x14ac:dyDescent="0.3">
      <c r="O4587" t="str">
        <f t="shared" si="72"/>
        <v/>
      </c>
    </row>
    <row r="4588" spans="15:15" x14ac:dyDescent="0.3">
      <c r="O4588" t="str">
        <f t="shared" si="72"/>
        <v/>
      </c>
    </row>
    <row r="4589" spans="15:15" x14ac:dyDescent="0.3">
      <c r="O4589" t="str">
        <f t="shared" si="72"/>
        <v/>
      </c>
    </row>
    <row r="4590" spans="15:15" x14ac:dyDescent="0.3">
      <c r="O4590" t="str">
        <f t="shared" si="72"/>
        <v/>
      </c>
    </row>
    <row r="4591" spans="15:15" x14ac:dyDescent="0.3">
      <c r="O4591" t="str">
        <f t="shared" si="72"/>
        <v/>
      </c>
    </row>
    <row r="4592" spans="15:15" x14ac:dyDescent="0.3">
      <c r="O4592" t="str">
        <f t="shared" si="72"/>
        <v/>
      </c>
    </row>
    <row r="4593" spans="15:15" x14ac:dyDescent="0.3">
      <c r="O4593" t="str">
        <f t="shared" si="72"/>
        <v/>
      </c>
    </row>
    <row r="4594" spans="15:15" x14ac:dyDescent="0.3">
      <c r="O4594" t="str">
        <f t="shared" si="72"/>
        <v/>
      </c>
    </row>
    <row r="4595" spans="15:15" x14ac:dyDescent="0.3">
      <c r="O4595" t="str">
        <f t="shared" si="72"/>
        <v/>
      </c>
    </row>
    <row r="4596" spans="15:15" x14ac:dyDescent="0.3">
      <c r="O4596" t="str">
        <f t="shared" si="72"/>
        <v/>
      </c>
    </row>
    <row r="4597" spans="15:15" x14ac:dyDescent="0.3">
      <c r="O4597" t="str">
        <f t="shared" si="72"/>
        <v/>
      </c>
    </row>
    <row r="4598" spans="15:15" x14ac:dyDescent="0.3">
      <c r="O4598" t="str">
        <f t="shared" si="72"/>
        <v/>
      </c>
    </row>
    <row r="4599" spans="15:15" x14ac:dyDescent="0.3">
      <c r="O4599" t="str">
        <f t="shared" si="72"/>
        <v/>
      </c>
    </row>
    <row r="4600" spans="15:15" x14ac:dyDescent="0.3">
      <c r="O4600" t="str">
        <f t="shared" si="72"/>
        <v/>
      </c>
    </row>
    <row r="4601" spans="15:15" x14ac:dyDescent="0.3">
      <c r="O4601" t="str">
        <f t="shared" si="72"/>
        <v/>
      </c>
    </row>
    <row r="4602" spans="15:15" x14ac:dyDescent="0.3">
      <c r="O4602" t="str">
        <f t="shared" si="72"/>
        <v/>
      </c>
    </row>
    <row r="4603" spans="15:15" x14ac:dyDescent="0.3">
      <c r="O4603" t="str">
        <f t="shared" si="72"/>
        <v/>
      </c>
    </row>
    <row r="4604" spans="15:15" x14ac:dyDescent="0.3">
      <c r="O4604" t="str">
        <f t="shared" si="72"/>
        <v/>
      </c>
    </row>
    <row r="4605" spans="15:15" x14ac:dyDescent="0.3">
      <c r="O4605" t="str">
        <f t="shared" si="72"/>
        <v/>
      </c>
    </row>
    <row r="4606" spans="15:15" x14ac:dyDescent="0.3">
      <c r="O4606" t="str">
        <f t="shared" si="72"/>
        <v/>
      </c>
    </row>
    <row r="4607" spans="15:15" x14ac:dyDescent="0.3">
      <c r="O4607" t="str">
        <f t="shared" si="72"/>
        <v/>
      </c>
    </row>
    <row r="4608" spans="15:15" x14ac:dyDescent="0.3">
      <c r="O4608" t="str">
        <f t="shared" si="72"/>
        <v/>
      </c>
    </row>
    <row r="4609" spans="15:15" x14ac:dyDescent="0.3">
      <c r="O4609" t="str">
        <f t="shared" si="72"/>
        <v/>
      </c>
    </row>
    <row r="4610" spans="15:15" x14ac:dyDescent="0.3">
      <c r="O4610" t="str">
        <f t="shared" si="72"/>
        <v/>
      </c>
    </row>
    <row r="4611" spans="15:15" x14ac:dyDescent="0.3">
      <c r="O4611" t="str">
        <f t="shared" si="72"/>
        <v/>
      </c>
    </row>
    <row r="4612" spans="15:15" x14ac:dyDescent="0.3">
      <c r="O4612" t="str">
        <f t="shared" si="72"/>
        <v/>
      </c>
    </row>
    <row r="4613" spans="15:15" x14ac:dyDescent="0.3">
      <c r="O4613" t="str">
        <f t="shared" si="72"/>
        <v/>
      </c>
    </row>
    <row r="4614" spans="15:15" x14ac:dyDescent="0.3">
      <c r="O4614" t="str">
        <f t="shared" si="72"/>
        <v/>
      </c>
    </row>
    <row r="4615" spans="15:15" x14ac:dyDescent="0.3">
      <c r="O4615" t="str">
        <f t="shared" si="72"/>
        <v/>
      </c>
    </row>
    <row r="4616" spans="15:15" x14ac:dyDescent="0.3">
      <c r="O4616" t="str">
        <f t="shared" si="72"/>
        <v/>
      </c>
    </row>
    <row r="4617" spans="15:15" x14ac:dyDescent="0.3">
      <c r="O4617" t="str">
        <f t="shared" si="72"/>
        <v/>
      </c>
    </row>
    <row r="4618" spans="15:15" x14ac:dyDescent="0.3">
      <c r="O4618" t="str">
        <f t="shared" ref="O4618:O4681" si="73">IF(P4618="","",O4617+1)</f>
        <v/>
      </c>
    </row>
    <row r="4619" spans="15:15" x14ac:dyDescent="0.3">
      <c r="O4619" t="str">
        <f t="shared" si="73"/>
        <v/>
      </c>
    </row>
    <row r="4620" spans="15:15" x14ac:dyDescent="0.3">
      <c r="O4620" t="str">
        <f t="shared" si="73"/>
        <v/>
      </c>
    </row>
    <row r="4621" spans="15:15" x14ac:dyDescent="0.3">
      <c r="O4621" t="str">
        <f t="shared" si="73"/>
        <v/>
      </c>
    </row>
    <row r="4622" spans="15:15" x14ac:dyDescent="0.3">
      <c r="O4622" t="str">
        <f t="shared" si="73"/>
        <v/>
      </c>
    </row>
    <row r="4623" spans="15:15" x14ac:dyDescent="0.3">
      <c r="O4623" t="str">
        <f t="shared" si="73"/>
        <v/>
      </c>
    </row>
    <row r="4624" spans="15:15" x14ac:dyDescent="0.3">
      <c r="O4624" t="str">
        <f t="shared" si="73"/>
        <v/>
      </c>
    </row>
    <row r="4625" spans="15:15" x14ac:dyDescent="0.3">
      <c r="O4625" t="str">
        <f t="shared" si="73"/>
        <v/>
      </c>
    </row>
    <row r="4626" spans="15:15" x14ac:dyDescent="0.3">
      <c r="O4626" t="str">
        <f t="shared" si="73"/>
        <v/>
      </c>
    </row>
    <row r="4627" spans="15:15" x14ac:dyDescent="0.3">
      <c r="O4627" t="str">
        <f t="shared" si="73"/>
        <v/>
      </c>
    </row>
    <row r="4628" spans="15:15" x14ac:dyDescent="0.3">
      <c r="O4628" t="str">
        <f t="shared" si="73"/>
        <v/>
      </c>
    </row>
    <row r="4629" spans="15:15" x14ac:dyDescent="0.3">
      <c r="O4629" t="str">
        <f t="shared" si="73"/>
        <v/>
      </c>
    </row>
    <row r="4630" spans="15:15" x14ac:dyDescent="0.3">
      <c r="O4630" t="str">
        <f t="shared" si="73"/>
        <v/>
      </c>
    </row>
    <row r="4631" spans="15:15" x14ac:dyDescent="0.3">
      <c r="O4631" t="str">
        <f t="shared" si="73"/>
        <v/>
      </c>
    </row>
    <row r="4632" spans="15:15" x14ac:dyDescent="0.3">
      <c r="O4632" t="str">
        <f t="shared" si="73"/>
        <v/>
      </c>
    </row>
    <row r="4633" spans="15:15" x14ac:dyDescent="0.3">
      <c r="O4633" t="str">
        <f t="shared" si="73"/>
        <v/>
      </c>
    </row>
    <row r="4634" spans="15:15" x14ac:dyDescent="0.3">
      <c r="O4634" t="str">
        <f t="shared" si="73"/>
        <v/>
      </c>
    </row>
    <row r="4635" spans="15:15" x14ac:dyDescent="0.3">
      <c r="O4635" t="str">
        <f t="shared" si="73"/>
        <v/>
      </c>
    </row>
    <row r="4636" spans="15:15" x14ac:dyDescent="0.3">
      <c r="O4636" t="str">
        <f t="shared" si="73"/>
        <v/>
      </c>
    </row>
    <row r="4637" spans="15:15" x14ac:dyDescent="0.3">
      <c r="O4637" t="str">
        <f t="shared" si="73"/>
        <v/>
      </c>
    </row>
    <row r="4638" spans="15:15" x14ac:dyDescent="0.3">
      <c r="O4638" t="str">
        <f t="shared" si="73"/>
        <v/>
      </c>
    </row>
    <row r="4639" spans="15:15" x14ac:dyDescent="0.3">
      <c r="O4639" t="str">
        <f t="shared" si="73"/>
        <v/>
      </c>
    </row>
    <row r="4640" spans="15:15" x14ac:dyDescent="0.3">
      <c r="O4640" t="str">
        <f t="shared" si="73"/>
        <v/>
      </c>
    </row>
    <row r="4641" spans="15:15" x14ac:dyDescent="0.3">
      <c r="O4641" t="str">
        <f t="shared" si="73"/>
        <v/>
      </c>
    </row>
    <row r="4642" spans="15:15" x14ac:dyDescent="0.3">
      <c r="O4642" t="str">
        <f t="shared" si="73"/>
        <v/>
      </c>
    </row>
    <row r="4643" spans="15:15" x14ac:dyDescent="0.3">
      <c r="O4643" t="str">
        <f t="shared" si="73"/>
        <v/>
      </c>
    </row>
    <row r="4644" spans="15:15" x14ac:dyDescent="0.3">
      <c r="O4644" t="str">
        <f t="shared" si="73"/>
        <v/>
      </c>
    </row>
    <row r="4645" spans="15:15" x14ac:dyDescent="0.3">
      <c r="O4645" t="str">
        <f t="shared" si="73"/>
        <v/>
      </c>
    </row>
    <row r="4646" spans="15:15" x14ac:dyDescent="0.3">
      <c r="O4646" t="str">
        <f t="shared" si="73"/>
        <v/>
      </c>
    </row>
    <row r="4647" spans="15:15" x14ac:dyDescent="0.3">
      <c r="O4647" t="str">
        <f t="shared" si="73"/>
        <v/>
      </c>
    </row>
    <row r="4648" spans="15:15" x14ac:dyDescent="0.3">
      <c r="O4648" t="str">
        <f t="shared" si="73"/>
        <v/>
      </c>
    </row>
    <row r="4649" spans="15:15" x14ac:dyDescent="0.3">
      <c r="O4649" t="str">
        <f t="shared" si="73"/>
        <v/>
      </c>
    </row>
    <row r="4650" spans="15:15" x14ac:dyDescent="0.3">
      <c r="O4650" t="str">
        <f t="shared" si="73"/>
        <v/>
      </c>
    </row>
    <row r="4651" spans="15:15" x14ac:dyDescent="0.3">
      <c r="O4651" t="str">
        <f t="shared" si="73"/>
        <v/>
      </c>
    </row>
    <row r="4652" spans="15:15" x14ac:dyDescent="0.3">
      <c r="O4652" t="str">
        <f t="shared" si="73"/>
        <v/>
      </c>
    </row>
    <row r="4653" spans="15:15" x14ac:dyDescent="0.3">
      <c r="O4653" t="str">
        <f t="shared" si="73"/>
        <v/>
      </c>
    </row>
    <row r="4654" spans="15:15" x14ac:dyDescent="0.3">
      <c r="O4654" t="str">
        <f t="shared" si="73"/>
        <v/>
      </c>
    </row>
    <row r="4655" spans="15:15" x14ac:dyDescent="0.3">
      <c r="O4655" t="str">
        <f t="shared" si="73"/>
        <v/>
      </c>
    </row>
    <row r="4656" spans="15:15" x14ac:dyDescent="0.3">
      <c r="O4656" t="str">
        <f t="shared" si="73"/>
        <v/>
      </c>
    </row>
    <row r="4657" spans="15:15" x14ac:dyDescent="0.3">
      <c r="O4657" t="str">
        <f t="shared" si="73"/>
        <v/>
      </c>
    </row>
    <row r="4658" spans="15:15" x14ac:dyDescent="0.3">
      <c r="O4658" t="str">
        <f t="shared" si="73"/>
        <v/>
      </c>
    </row>
    <row r="4659" spans="15:15" x14ac:dyDescent="0.3">
      <c r="O4659" t="str">
        <f t="shared" si="73"/>
        <v/>
      </c>
    </row>
    <row r="4660" spans="15:15" x14ac:dyDescent="0.3">
      <c r="O4660" t="str">
        <f t="shared" si="73"/>
        <v/>
      </c>
    </row>
    <row r="4661" spans="15:15" x14ac:dyDescent="0.3">
      <c r="O4661" t="str">
        <f t="shared" si="73"/>
        <v/>
      </c>
    </row>
    <row r="4662" spans="15:15" x14ac:dyDescent="0.3">
      <c r="O4662" t="str">
        <f t="shared" si="73"/>
        <v/>
      </c>
    </row>
    <row r="4663" spans="15:15" x14ac:dyDescent="0.3">
      <c r="O4663" t="str">
        <f t="shared" si="73"/>
        <v/>
      </c>
    </row>
    <row r="4664" spans="15:15" x14ac:dyDescent="0.3">
      <c r="O4664" t="str">
        <f t="shared" si="73"/>
        <v/>
      </c>
    </row>
    <row r="4665" spans="15:15" x14ac:dyDescent="0.3">
      <c r="O4665" t="str">
        <f t="shared" si="73"/>
        <v/>
      </c>
    </row>
    <row r="4666" spans="15:15" x14ac:dyDescent="0.3">
      <c r="O4666" t="str">
        <f t="shared" si="73"/>
        <v/>
      </c>
    </row>
    <row r="4667" spans="15:15" x14ac:dyDescent="0.3">
      <c r="O4667" t="str">
        <f t="shared" si="73"/>
        <v/>
      </c>
    </row>
    <row r="4668" spans="15:15" x14ac:dyDescent="0.3">
      <c r="O4668" t="str">
        <f t="shared" si="73"/>
        <v/>
      </c>
    </row>
    <row r="4669" spans="15:15" x14ac:dyDescent="0.3">
      <c r="O4669" t="str">
        <f t="shared" si="73"/>
        <v/>
      </c>
    </row>
    <row r="4670" spans="15:15" x14ac:dyDescent="0.3">
      <c r="O4670" t="str">
        <f t="shared" si="73"/>
        <v/>
      </c>
    </row>
    <row r="4671" spans="15:15" x14ac:dyDescent="0.3">
      <c r="O4671" t="str">
        <f t="shared" si="73"/>
        <v/>
      </c>
    </row>
    <row r="4672" spans="15:15" x14ac:dyDescent="0.3">
      <c r="O4672" t="str">
        <f t="shared" si="73"/>
        <v/>
      </c>
    </row>
    <row r="4673" spans="15:15" x14ac:dyDescent="0.3">
      <c r="O4673" t="str">
        <f t="shared" si="73"/>
        <v/>
      </c>
    </row>
    <row r="4674" spans="15:15" x14ac:dyDescent="0.3">
      <c r="O4674" t="str">
        <f t="shared" si="73"/>
        <v/>
      </c>
    </row>
    <row r="4675" spans="15:15" x14ac:dyDescent="0.3">
      <c r="O4675" t="str">
        <f t="shared" si="73"/>
        <v/>
      </c>
    </row>
    <row r="4676" spans="15:15" x14ac:dyDescent="0.3">
      <c r="O4676" t="str">
        <f t="shared" si="73"/>
        <v/>
      </c>
    </row>
    <row r="4677" spans="15:15" x14ac:dyDescent="0.3">
      <c r="O4677" t="str">
        <f t="shared" si="73"/>
        <v/>
      </c>
    </row>
    <row r="4678" spans="15:15" x14ac:dyDescent="0.3">
      <c r="O4678" t="str">
        <f t="shared" si="73"/>
        <v/>
      </c>
    </row>
    <row r="4679" spans="15:15" x14ac:dyDescent="0.3">
      <c r="O4679" t="str">
        <f t="shared" si="73"/>
        <v/>
      </c>
    </row>
    <row r="4680" spans="15:15" x14ac:dyDescent="0.3">
      <c r="O4680" t="str">
        <f t="shared" si="73"/>
        <v/>
      </c>
    </row>
    <row r="4681" spans="15:15" x14ac:dyDescent="0.3">
      <c r="O4681" t="str">
        <f t="shared" si="73"/>
        <v/>
      </c>
    </row>
    <row r="4682" spans="15:15" x14ac:dyDescent="0.3">
      <c r="O4682" t="str">
        <f t="shared" ref="O4682:O4745" si="74">IF(P4682="","",O4681+1)</f>
        <v/>
      </c>
    </row>
    <row r="4683" spans="15:15" x14ac:dyDescent="0.3">
      <c r="O4683" t="str">
        <f t="shared" si="74"/>
        <v/>
      </c>
    </row>
    <row r="4684" spans="15:15" x14ac:dyDescent="0.3">
      <c r="O4684" t="str">
        <f t="shared" si="74"/>
        <v/>
      </c>
    </row>
    <row r="4685" spans="15:15" x14ac:dyDescent="0.3">
      <c r="O4685" t="str">
        <f t="shared" si="74"/>
        <v/>
      </c>
    </row>
    <row r="4686" spans="15:15" x14ac:dyDescent="0.3">
      <c r="O4686" t="str">
        <f t="shared" si="74"/>
        <v/>
      </c>
    </row>
    <row r="4687" spans="15:15" x14ac:dyDescent="0.3">
      <c r="O4687" t="str">
        <f t="shared" si="74"/>
        <v/>
      </c>
    </row>
    <row r="4688" spans="15:15" x14ac:dyDescent="0.3">
      <c r="O4688" t="str">
        <f t="shared" si="74"/>
        <v/>
      </c>
    </row>
    <row r="4689" spans="15:15" x14ac:dyDescent="0.3">
      <c r="O4689" t="str">
        <f t="shared" si="74"/>
        <v/>
      </c>
    </row>
    <row r="4690" spans="15:15" x14ac:dyDescent="0.3">
      <c r="O4690" t="str">
        <f t="shared" si="74"/>
        <v/>
      </c>
    </row>
    <row r="4691" spans="15:15" x14ac:dyDescent="0.3">
      <c r="O4691" t="str">
        <f t="shared" si="74"/>
        <v/>
      </c>
    </row>
    <row r="4692" spans="15:15" x14ac:dyDescent="0.3">
      <c r="O4692" t="str">
        <f t="shared" si="74"/>
        <v/>
      </c>
    </row>
    <row r="4693" spans="15:15" x14ac:dyDescent="0.3">
      <c r="O4693" t="str">
        <f t="shared" si="74"/>
        <v/>
      </c>
    </row>
    <row r="4694" spans="15:15" x14ac:dyDescent="0.3">
      <c r="O4694" t="str">
        <f t="shared" si="74"/>
        <v/>
      </c>
    </row>
    <row r="4695" spans="15:15" x14ac:dyDescent="0.3">
      <c r="O4695" t="str">
        <f t="shared" si="74"/>
        <v/>
      </c>
    </row>
    <row r="4696" spans="15:15" x14ac:dyDescent="0.3">
      <c r="O4696" t="str">
        <f t="shared" si="74"/>
        <v/>
      </c>
    </row>
    <row r="4697" spans="15:15" x14ac:dyDescent="0.3">
      <c r="O4697" t="str">
        <f t="shared" si="74"/>
        <v/>
      </c>
    </row>
    <row r="4698" spans="15:15" x14ac:dyDescent="0.3">
      <c r="O4698" t="str">
        <f t="shared" si="74"/>
        <v/>
      </c>
    </row>
    <row r="4699" spans="15:15" x14ac:dyDescent="0.3">
      <c r="O4699" t="str">
        <f t="shared" si="74"/>
        <v/>
      </c>
    </row>
    <row r="4700" spans="15:15" x14ac:dyDescent="0.3">
      <c r="O4700" t="str">
        <f t="shared" si="74"/>
        <v/>
      </c>
    </row>
    <row r="4701" spans="15:15" x14ac:dyDescent="0.3">
      <c r="O4701" t="str">
        <f t="shared" si="74"/>
        <v/>
      </c>
    </row>
    <row r="4702" spans="15:15" x14ac:dyDescent="0.3">
      <c r="O4702" t="str">
        <f t="shared" si="74"/>
        <v/>
      </c>
    </row>
    <row r="4703" spans="15:15" x14ac:dyDescent="0.3">
      <c r="O4703" t="str">
        <f t="shared" si="74"/>
        <v/>
      </c>
    </row>
    <row r="4704" spans="15:15" x14ac:dyDescent="0.3">
      <c r="O4704" t="str">
        <f t="shared" si="74"/>
        <v/>
      </c>
    </row>
    <row r="4705" spans="15:15" x14ac:dyDescent="0.3">
      <c r="O4705" t="str">
        <f t="shared" si="74"/>
        <v/>
      </c>
    </row>
    <row r="4706" spans="15:15" x14ac:dyDescent="0.3">
      <c r="O4706" t="str">
        <f t="shared" si="74"/>
        <v/>
      </c>
    </row>
    <row r="4707" spans="15:15" x14ac:dyDescent="0.3">
      <c r="O4707" t="str">
        <f t="shared" si="74"/>
        <v/>
      </c>
    </row>
    <row r="4708" spans="15:15" x14ac:dyDescent="0.3">
      <c r="O4708" t="str">
        <f t="shared" si="74"/>
        <v/>
      </c>
    </row>
    <row r="4709" spans="15:15" x14ac:dyDescent="0.3">
      <c r="O4709" t="str">
        <f t="shared" si="74"/>
        <v/>
      </c>
    </row>
    <row r="4710" spans="15:15" x14ac:dyDescent="0.3">
      <c r="O4710" t="str">
        <f t="shared" si="74"/>
        <v/>
      </c>
    </row>
    <row r="4711" spans="15:15" x14ac:dyDescent="0.3">
      <c r="O4711" t="str">
        <f t="shared" si="74"/>
        <v/>
      </c>
    </row>
    <row r="4712" spans="15:15" x14ac:dyDescent="0.3">
      <c r="O4712" t="str">
        <f t="shared" si="74"/>
        <v/>
      </c>
    </row>
    <row r="4713" spans="15:15" x14ac:dyDescent="0.3">
      <c r="O4713" t="str">
        <f t="shared" si="74"/>
        <v/>
      </c>
    </row>
    <row r="4714" spans="15:15" x14ac:dyDescent="0.3">
      <c r="O4714" t="str">
        <f t="shared" si="74"/>
        <v/>
      </c>
    </row>
    <row r="4715" spans="15:15" x14ac:dyDescent="0.3">
      <c r="O4715" t="str">
        <f t="shared" si="74"/>
        <v/>
      </c>
    </row>
    <row r="4716" spans="15:15" x14ac:dyDescent="0.3">
      <c r="O4716" t="str">
        <f t="shared" si="74"/>
        <v/>
      </c>
    </row>
    <row r="4717" spans="15:15" x14ac:dyDescent="0.3">
      <c r="O4717" t="str">
        <f t="shared" si="74"/>
        <v/>
      </c>
    </row>
    <row r="4718" spans="15:15" x14ac:dyDescent="0.3">
      <c r="O4718" t="str">
        <f t="shared" si="74"/>
        <v/>
      </c>
    </row>
    <row r="4719" spans="15:15" x14ac:dyDescent="0.3">
      <c r="O4719" t="str">
        <f t="shared" si="74"/>
        <v/>
      </c>
    </row>
    <row r="4720" spans="15:15" x14ac:dyDescent="0.3">
      <c r="O4720" t="str">
        <f t="shared" si="74"/>
        <v/>
      </c>
    </row>
    <row r="4721" spans="15:15" x14ac:dyDescent="0.3">
      <c r="O4721" t="str">
        <f t="shared" si="74"/>
        <v/>
      </c>
    </row>
    <row r="4722" spans="15:15" x14ac:dyDescent="0.3">
      <c r="O4722" t="str">
        <f t="shared" si="74"/>
        <v/>
      </c>
    </row>
    <row r="4723" spans="15:15" x14ac:dyDescent="0.3">
      <c r="O4723" t="str">
        <f t="shared" si="74"/>
        <v/>
      </c>
    </row>
    <row r="4724" spans="15:15" x14ac:dyDescent="0.3">
      <c r="O4724" t="str">
        <f t="shared" si="74"/>
        <v/>
      </c>
    </row>
    <row r="4725" spans="15:15" x14ac:dyDescent="0.3">
      <c r="O4725" t="str">
        <f t="shared" si="74"/>
        <v/>
      </c>
    </row>
    <row r="4726" spans="15:15" x14ac:dyDescent="0.3">
      <c r="O4726" t="str">
        <f t="shared" si="74"/>
        <v/>
      </c>
    </row>
    <row r="4727" spans="15:15" x14ac:dyDescent="0.3">
      <c r="O4727" t="str">
        <f t="shared" si="74"/>
        <v/>
      </c>
    </row>
    <row r="4728" spans="15:15" x14ac:dyDescent="0.3">
      <c r="O4728" t="str">
        <f t="shared" si="74"/>
        <v/>
      </c>
    </row>
    <row r="4729" spans="15:15" x14ac:dyDescent="0.3">
      <c r="O4729" t="str">
        <f t="shared" si="74"/>
        <v/>
      </c>
    </row>
    <row r="4730" spans="15:15" x14ac:dyDescent="0.3">
      <c r="O4730" t="str">
        <f t="shared" si="74"/>
        <v/>
      </c>
    </row>
    <row r="4731" spans="15:15" x14ac:dyDescent="0.3">
      <c r="O4731" t="str">
        <f t="shared" si="74"/>
        <v/>
      </c>
    </row>
    <row r="4732" spans="15:15" x14ac:dyDescent="0.3">
      <c r="O4732" t="str">
        <f t="shared" si="74"/>
        <v/>
      </c>
    </row>
    <row r="4733" spans="15:15" x14ac:dyDescent="0.3">
      <c r="O4733" t="str">
        <f t="shared" si="74"/>
        <v/>
      </c>
    </row>
    <row r="4734" spans="15:15" x14ac:dyDescent="0.3">
      <c r="O4734" t="str">
        <f t="shared" si="74"/>
        <v/>
      </c>
    </row>
    <row r="4735" spans="15:15" x14ac:dyDescent="0.3">
      <c r="O4735" t="str">
        <f t="shared" si="74"/>
        <v/>
      </c>
    </row>
    <row r="4736" spans="15:15" x14ac:dyDescent="0.3">
      <c r="O4736" t="str">
        <f t="shared" si="74"/>
        <v/>
      </c>
    </row>
    <row r="4737" spans="15:15" x14ac:dyDescent="0.3">
      <c r="O4737" t="str">
        <f t="shared" si="74"/>
        <v/>
      </c>
    </row>
    <row r="4738" spans="15:15" x14ac:dyDescent="0.3">
      <c r="O4738" t="str">
        <f t="shared" si="74"/>
        <v/>
      </c>
    </row>
    <row r="4739" spans="15:15" x14ac:dyDescent="0.3">
      <c r="O4739" t="str">
        <f t="shared" si="74"/>
        <v/>
      </c>
    </row>
    <row r="4740" spans="15:15" x14ac:dyDescent="0.3">
      <c r="O4740" t="str">
        <f t="shared" si="74"/>
        <v/>
      </c>
    </row>
    <row r="4741" spans="15:15" x14ac:dyDescent="0.3">
      <c r="O4741" t="str">
        <f t="shared" si="74"/>
        <v/>
      </c>
    </row>
    <row r="4742" spans="15:15" x14ac:dyDescent="0.3">
      <c r="O4742" t="str">
        <f t="shared" si="74"/>
        <v/>
      </c>
    </row>
    <row r="4743" spans="15:15" x14ac:dyDescent="0.3">
      <c r="O4743" t="str">
        <f t="shared" si="74"/>
        <v/>
      </c>
    </row>
    <row r="4744" spans="15:15" x14ac:dyDescent="0.3">
      <c r="O4744" t="str">
        <f t="shared" si="74"/>
        <v/>
      </c>
    </row>
    <row r="4745" spans="15:15" x14ac:dyDescent="0.3">
      <c r="O4745" t="str">
        <f t="shared" si="74"/>
        <v/>
      </c>
    </row>
    <row r="4746" spans="15:15" x14ac:dyDescent="0.3">
      <c r="O4746" t="str">
        <f t="shared" ref="O4746:O4809" si="75">IF(P4746="","",O4745+1)</f>
        <v/>
      </c>
    </row>
    <row r="4747" spans="15:15" x14ac:dyDescent="0.3">
      <c r="O4747" t="str">
        <f t="shared" si="75"/>
        <v/>
      </c>
    </row>
    <row r="4748" spans="15:15" x14ac:dyDescent="0.3">
      <c r="O4748" t="str">
        <f t="shared" si="75"/>
        <v/>
      </c>
    </row>
    <row r="4749" spans="15:15" x14ac:dyDescent="0.3">
      <c r="O4749" t="str">
        <f t="shared" si="75"/>
        <v/>
      </c>
    </row>
    <row r="4750" spans="15:15" x14ac:dyDescent="0.3">
      <c r="O4750" t="str">
        <f t="shared" si="75"/>
        <v/>
      </c>
    </row>
    <row r="4751" spans="15:15" x14ac:dyDescent="0.3">
      <c r="O4751" t="str">
        <f t="shared" si="75"/>
        <v/>
      </c>
    </row>
    <row r="4752" spans="15:15" x14ac:dyDescent="0.3">
      <c r="O4752" t="str">
        <f t="shared" si="75"/>
        <v/>
      </c>
    </row>
    <row r="4753" spans="15:15" x14ac:dyDescent="0.3">
      <c r="O4753" t="str">
        <f t="shared" si="75"/>
        <v/>
      </c>
    </row>
    <row r="4754" spans="15:15" x14ac:dyDescent="0.3">
      <c r="O4754" t="str">
        <f t="shared" si="75"/>
        <v/>
      </c>
    </row>
    <row r="4755" spans="15:15" x14ac:dyDescent="0.3">
      <c r="O4755" t="str">
        <f t="shared" si="75"/>
        <v/>
      </c>
    </row>
    <row r="4756" spans="15:15" x14ac:dyDescent="0.3">
      <c r="O4756" t="str">
        <f t="shared" si="75"/>
        <v/>
      </c>
    </row>
    <row r="4757" spans="15:15" x14ac:dyDescent="0.3">
      <c r="O4757" t="str">
        <f t="shared" si="75"/>
        <v/>
      </c>
    </row>
    <row r="4758" spans="15:15" x14ac:dyDescent="0.3">
      <c r="O4758" t="str">
        <f t="shared" si="75"/>
        <v/>
      </c>
    </row>
    <row r="4759" spans="15:15" x14ac:dyDescent="0.3">
      <c r="O4759" t="str">
        <f t="shared" si="75"/>
        <v/>
      </c>
    </row>
    <row r="4760" spans="15:15" x14ac:dyDescent="0.3">
      <c r="O4760" t="str">
        <f t="shared" si="75"/>
        <v/>
      </c>
    </row>
    <row r="4761" spans="15:15" x14ac:dyDescent="0.3">
      <c r="O4761" t="str">
        <f t="shared" si="75"/>
        <v/>
      </c>
    </row>
    <row r="4762" spans="15:15" x14ac:dyDescent="0.3">
      <c r="O4762" t="str">
        <f t="shared" si="75"/>
        <v/>
      </c>
    </row>
    <row r="4763" spans="15:15" x14ac:dyDescent="0.3">
      <c r="O4763" t="str">
        <f t="shared" si="75"/>
        <v/>
      </c>
    </row>
    <row r="4764" spans="15:15" x14ac:dyDescent="0.3">
      <c r="O4764" t="str">
        <f t="shared" si="75"/>
        <v/>
      </c>
    </row>
    <row r="4765" spans="15:15" x14ac:dyDescent="0.3">
      <c r="O4765" t="str">
        <f t="shared" si="75"/>
        <v/>
      </c>
    </row>
    <row r="4766" spans="15:15" x14ac:dyDescent="0.3">
      <c r="O4766" t="str">
        <f t="shared" si="75"/>
        <v/>
      </c>
    </row>
    <row r="4767" spans="15:15" x14ac:dyDescent="0.3">
      <c r="O4767" t="str">
        <f t="shared" si="75"/>
        <v/>
      </c>
    </row>
    <row r="4768" spans="15:15" x14ac:dyDescent="0.3">
      <c r="O4768" t="str">
        <f t="shared" si="75"/>
        <v/>
      </c>
    </row>
    <row r="4769" spans="15:15" x14ac:dyDescent="0.3">
      <c r="O4769" t="str">
        <f t="shared" si="75"/>
        <v/>
      </c>
    </row>
    <row r="4770" spans="15:15" x14ac:dyDescent="0.3">
      <c r="O4770" t="str">
        <f t="shared" si="75"/>
        <v/>
      </c>
    </row>
    <row r="4771" spans="15:15" x14ac:dyDescent="0.3">
      <c r="O4771" t="str">
        <f t="shared" si="75"/>
        <v/>
      </c>
    </row>
    <row r="4772" spans="15:15" x14ac:dyDescent="0.3">
      <c r="O4772" t="str">
        <f t="shared" si="75"/>
        <v/>
      </c>
    </row>
    <row r="4773" spans="15:15" x14ac:dyDescent="0.3">
      <c r="O4773" t="str">
        <f t="shared" si="75"/>
        <v/>
      </c>
    </row>
    <row r="4774" spans="15:15" x14ac:dyDescent="0.3">
      <c r="O4774" t="str">
        <f t="shared" si="75"/>
        <v/>
      </c>
    </row>
    <row r="4775" spans="15:15" x14ac:dyDescent="0.3">
      <c r="O4775" t="str">
        <f t="shared" si="75"/>
        <v/>
      </c>
    </row>
    <row r="4776" spans="15:15" x14ac:dyDescent="0.3">
      <c r="O4776" t="str">
        <f t="shared" si="75"/>
        <v/>
      </c>
    </row>
    <row r="4777" spans="15:15" x14ac:dyDescent="0.3">
      <c r="O4777" t="str">
        <f t="shared" si="75"/>
        <v/>
      </c>
    </row>
    <row r="4778" spans="15:15" x14ac:dyDescent="0.3">
      <c r="O4778" t="str">
        <f t="shared" si="75"/>
        <v/>
      </c>
    </row>
    <row r="4779" spans="15:15" x14ac:dyDescent="0.3">
      <c r="O4779" t="str">
        <f t="shared" si="75"/>
        <v/>
      </c>
    </row>
    <row r="4780" spans="15:15" x14ac:dyDescent="0.3">
      <c r="O4780" t="str">
        <f t="shared" si="75"/>
        <v/>
      </c>
    </row>
    <row r="4781" spans="15:15" x14ac:dyDescent="0.3">
      <c r="O4781" t="str">
        <f t="shared" si="75"/>
        <v/>
      </c>
    </row>
    <row r="4782" spans="15:15" x14ac:dyDescent="0.3">
      <c r="O4782" t="str">
        <f t="shared" si="75"/>
        <v/>
      </c>
    </row>
    <row r="4783" spans="15:15" x14ac:dyDescent="0.3">
      <c r="O4783" t="str">
        <f t="shared" si="75"/>
        <v/>
      </c>
    </row>
    <row r="4784" spans="15:15" x14ac:dyDescent="0.3">
      <c r="O4784" t="str">
        <f t="shared" si="75"/>
        <v/>
      </c>
    </row>
    <row r="4785" spans="15:15" x14ac:dyDescent="0.3">
      <c r="O4785" t="str">
        <f t="shared" si="75"/>
        <v/>
      </c>
    </row>
    <row r="4786" spans="15:15" x14ac:dyDescent="0.3">
      <c r="O4786" t="str">
        <f t="shared" si="75"/>
        <v/>
      </c>
    </row>
    <row r="4787" spans="15:15" x14ac:dyDescent="0.3">
      <c r="O4787" t="str">
        <f t="shared" si="75"/>
        <v/>
      </c>
    </row>
    <row r="4788" spans="15:15" x14ac:dyDescent="0.3">
      <c r="O4788" t="str">
        <f t="shared" si="75"/>
        <v/>
      </c>
    </row>
    <row r="4789" spans="15:15" x14ac:dyDescent="0.3">
      <c r="O4789" t="str">
        <f t="shared" si="75"/>
        <v/>
      </c>
    </row>
    <row r="4790" spans="15:15" x14ac:dyDescent="0.3">
      <c r="O4790" t="str">
        <f t="shared" si="75"/>
        <v/>
      </c>
    </row>
    <row r="4791" spans="15:15" x14ac:dyDescent="0.3">
      <c r="O4791" t="str">
        <f t="shared" si="75"/>
        <v/>
      </c>
    </row>
    <row r="4792" spans="15:15" x14ac:dyDescent="0.3">
      <c r="O4792" t="str">
        <f t="shared" si="75"/>
        <v/>
      </c>
    </row>
    <row r="4793" spans="15:15" x14ac:dyDescent="0.3">
      <c r="O4793" t="str">
        <f t="shared" si="75"/>
        <v/>
      </c>
    </row>
    <row r="4794" spans="15:15" x14ac:dyDescent="0.3">
      <c r="O4794" t="str">
        <f t="shared" si="75"/>
        <v/>
      </c>
    </row>
    <row r="4795" spans="15:15" x14ac:dyDescent="0.3">
      <c r="O4795" t="str">
        <f t="shared" si="75"/>
        <v/>
      </c>
    </row>
    <row r="4796" spans="15:15" x14ac:dyDescent="0.3">
      <c r="O4796" t="str">
        <f t="shared" si="75"/>
        <v/>
      </c>
    </row>
    <row r="4797" spans="15:15" x14ac:dyDescent="0.3">
      <c r="O4797" t="str">
        <f t="shared" si="75"/>
        <v/>
      </c>
    </row>
    <row r="4798" spans="15:15" x14ac:dyDescent="0.3">
      <c r="O4798" t="str">
        <f t="shared" si="75"/>
        <v/>
      </c>
    </row>
    <row r="4799" spans="15:15" x14ac:dyDescent="0.3">
      <c r="O4799" t="str">
        <f t="shared" si="75"/>
        <v/>
      </c>
    </row>
    <row r="4800" spans="15:15" x14ac:dyDescent="0.3">
      <c r="O4800" t="str">
        <f t="shared" si="75"/>
        <v/>
      </c>
    </row>
    <row r="4801" spans="15:15" x14ac:dyDescent="0.3">
      <c r="O4801" t="str">
        <f t="shared" si="75"/>
        <v/>
      </c>
    </row>
    <row r="4802" spans="15:15" x14ac:dyDescent="0.3">
      <c r="O4802" t="str">
        <f t="shared" si="75"/>
        <v/>
      </c>
    </row>
    <row r="4803" spans="15:15" x14ac:dyDescent="0.3">
      <c r="O4803" t="str">
        <f t="shared" si="75"/>
        <v/>
      </c>
    </row>
    <row r="4804" spans="15:15" x14ac:dyDescent="0.3">
      <c r="O4804" t="str">
        <f t="shared" si="75"/>
        <v/>
      </c>
    </row>
    <row r="4805" spans="15:15" x14ac:dyDescent="0.3">
      <c r="O4805" t="str">
        <f t="shared" si="75"/>
        <v/>
      </c>
    </row>
    <row r="4806" spans="15:15" x14ac:dyDescent="0.3">
      <c r="O4806" t="str">
        <f t="shared" si="75"/>
        <v/>
      </c>
    </row>
    <row r="4807" spans="15:15" x14ac:dyDescent="0.3">
      <c r="O4807" t="str">
        <f t="shared" si="75"/>
        <v/>
      </c>
    </row>
    <row r="4808" spans="15:15" x14ac:dyDescent="0.3">
      <c r="O4808" t="str">
        <f t="shared" si="75"/>
        <v/>
      </c>
    </row>
    <row r="4809" spans="15:15" x14ac:dyDescent="0.3">
      <c r="O4809" t="str">
        <f t="shared" si="75"/>
        <v/>
      </c>
    </row>
    <row r="4810" spans="15:15" x14ac:dyDescent="0.3">
      <c r="O4810" t="str">
        <f t="shared" ref="O4810:O4873" si="76">IF(P4810="","",O4809+1)</f>
        <v/>
      </c>
    </row>
    <row r="4811" spans="15:15" x14ac:dyDescent="0.3">
      <c r="O4811" t="str">
        <f t="shared" si="76"/>
        <v/>
      </c>
    </row>
    <row r="4812" spans="15:15" x14ac:dyDescent="0.3">
      <c r="O4812" t="str">
        <f t="shared" si="76"/>
        <v/>
      </c>
    </row>
    <row r="4813" spans="15:15" x14ac:dyDescent="0.3">
      <c r="O4813" t="str">
        <f t="shared" si="76"/>
        <v/>
      </c>
    </row>
    <row r="4814" spans="15:15" x14ac:dyDescent="0.3">
      <c r="O4814" t="str">
        <f t="shared" si="76"/>
        <v/>
      </c>
    </row>
    <row r="4815" spans="15:15" x14ac:dyDescent="0.3">
      <c r="O4815" t="str">
        <f t="shared" si="76"/>
        <v/>
      </c>
    </row>
    <row r="4816" spans="15:15" x14ac:dyDescent="0.3">
      <c r="O4816" t="str">
        <f t="shared" si="76"/>
        <v/>
      </c>
    </row>
    <row r="4817" spans="15:15" x14ac:dyDescent="0.3">
      <c r="O4817" t="str">
        <f t="shared" si="76"/>
        <v/>
      </c>
    </row>
    <row r="4818" spans="15:15" x14ac:dyDescent="0.3">
      <c r="O4818" t="str">
        <f t="shared" si="76"/>
        <v/>
      </c>
    </row>
    <row r="4819" spans="15:15" x14ac:dyDescent="0.3">
      <c r="O4819" t="str">
        <f t="shared" si="76"/>
        <v/>
      </c>
    </row>
    <row r="4820" spans="15:15" x14ac:dyDescent="0.3">
      <c r="O4820" t="str">
        <f t="shared" si="76"/>
        <v/>
      </c>
    </row>
    <row r="4821" spans="15:15" x14ac:dyDescent="0.3">
      <c r="O4821" t="str">
        <f t="shared" si="76"/>
        <v/>
      </c>
    </row>
    <row r="4822" spans="15:15" x14ac:dyDescent="0.3">
      <c r="O4822" t="str">
        <f t="shared" si="76"/>
        <v/>
      </c>
    </row>
    <row r="4823" spans="15:15" x14ac:dyDescent="0.3">
      <c r="O4823" t="str">
        <f t="shared" si="76"/>
        <v/>
      </c>
    </row>
    <row r="4824" spans="15:15" x14ac:dyDescent="0.3">
      <c r="O4824" t="str">
        <f t="shared" si="76"/>
        <v/>
      </c>
    </row>
    <row r="4825" spans="15:15" x14ac:dyDescent="0.3">
      <c r="O4825" t="str">
        <f t="shared" si="76"/>
        <v/>
      </c>
    </row>
    <row r="4826" spans="15:15" x14ac:dyDescent="0.3">
      <c r="O4826" t="str">
        <f t="shared" si="76"/>
        <v/>
      </c>
    </row>
    <row r="4827" spans="15:15" x14ac:dyDescent="0.3">
      <c r="O4827" t="str">
        <f t="shared" si="76"/>
        <v/>
      </c>
    </row>
    <row r="4828" spans="15:15" x14ac:dyDescent="0.3">
      <c r="O4828" t="str">
        <f t="shared" si="76"/>
        <v/>
      </c>
    </row>
    <row r="4829" spans="15:15" x14ac:dyDescent="0.3">
      <c r="O4829" t="str">
        <f t="shared" si="76"/>
        <v/>
      </c>
    </row>
    <row r="4830" spans="15:15" x14ac:dyDescent="0.3">
      <c r="O4830" t="str">
        <f t="shared" si="76"/>
        <v/>
      </c>
    </row>
    <row r="4831" spans="15:15" x14ac:dyDescent="0.3">
      <c r="O4831" t="str">
        <f t="shared" si="76"/>
        <v/>
      </c>
    </row>
    <row r="4832" spans="15:15" x14ac:dyDescent="0.3">
      <c r="O4832" t="str">
        <f t="shared" si="76"/>
        <v/>
      </c>
    </row>
    <row r="4833" spans="15:15" x14ac:dyDescent="0.3">
      <c r="O4833" t="str">
        <f t="shared" si="76"/>
        <v/>
      </c>
    </row>
    <row r="4834" spans="15:15" x14ac:dyDescent="0.3">
      <c r="O4834" t="str">
        <f t="shared" si="76"/>
        <v/>
      </c>
    </row>
    <row r="4835" spans="15:15" x14ac:dyDescent="0.3">
      <c r="O4835" t="str">
        <f t="shared" si="76"/>
        <v/>
      </c>
    </row>
    <row r="4836" spans="15:15" x14ac:dyDescent="0.3">
      <c r="O4836" t="str">
        <f t="shared" si="76"/>
        <v/>
      </c>
    </row>
    <row r="4837" spans="15:15" x14ac:dyDescent="0.3">
      <c r="O4837" t="str">
        <f t="shared" si="76"/>
        <v/>
      </c>
    </row>
    <row r="4838" spans="15:15" x14ac:dyDescent="0.3">
      <c r="O4838" t="str">
        <f t="shared" si="76"/>
        <v/>
      </c>
    </row>
    <row r="4839" spans="15:15" x14ac:dyDescent="0.3">
      <c r="O4839" t="str">
        <f t="shared" si="76"/>
        <v/>
      </c>
    </row>
    <row r="4840" spans="15:15" x14ac:dyDescent="0.3">
      <c r="O4840" t="str">
        <f t="shared" si="76"/>
        <v/>
      </c>
    </row>
    <row r="4841" spans="15:15" x14ac:dyDescent="0.3">
      <c r="O4841" t="str">
        <f t="shared" si="76"/>
        <v/>
      </c>
    </row>
    <row r="4842" spans="15:15" x14ac:dyDescent="0.3">
      <c r="O4842" t="str">
        <f t="shared" si="76"/>
        <v/>
      </c>
    </row>
    <row r="4843" spans="15:15" x14ac:dyDescent="0.3">
      <c r="O4843" t="str">
        <f t="shared" si="76"/>
        <v/>
      </c>
    </row>
    <row r="4844" spans="15:15" x14ac:dyDescent="0.3">
      <c r="O4844" t="str">
        <f t="shared" si="76"/>
        <v/>
      </c>
    </row>
    <row r="4845" spans="15:15" x14ac:dyDescent="0.3">
      <c r="O4845" t="str">
        <f t="shared" si="76"/>
        <v/>
      </c>
    </row>
    <row r="4846" spans="15:15" x14ac:dyDescent="0.3">
      <c r="O4846" t="str">
        <f t="shared" si="76"/>
        <v/>
      </c>
    </row>
    <row r="4847" spans="15:15" x14ac:dyDescent="0.3">
      <c r="O4847" t="str">
        <f t="shared" si="76"/>
        <v/>
      </c>
    </row>
    <row r="4848" spans="15:15" x14ac:dyDescent="0.3">
      <c r="O4848" t="str">
        <f t="shared" si="76"/>
        <v/>
      </c>
    </row>
    <row r="4849" spans="15:15" x14ac:dyDescent="0.3">
      <c r="O4849" t="str">
        <f t="shared" si="76"/>
        <v/>
      </c>
    </row>
    <row r="4850" spans="15:15" x14ac:dyDescent="0.3">
      <c r="O4850" t="str">
        <f t="shared" si="76"/>
        <v/>
      </c>
    </row>
    <row r="4851" spans="15:15" x14ac:dyDescent="0.3">
      <c r="O4851" t="str">
        <f t="shared" si="76"/>
        <v/>
      </c>
    </row>
    <row r="4852" spans="15:15" x14ac:dyDescent="0.3">
      <c r="O4852" t="str">
        <f t="shared" si="76"/>
        <v/>
      </c>
    </row>
    <row r="4853" spans="15:15" x14ac:dyDescent="0.3">
      <c r="O4853" t="str">
        <f t="shared" si="76"/>
        <v/>
      </c>
    </row>
    <row r="4854" spans="15:15" x14ac:dyDescent="0.3">
      <c r="O4854" t="str">
        <f t="shared" si="76"/>
        <v/>
      </c>
    </row>
    <row r="4855" spans="15:15" x14ac:dyDescent="0.3">
      <c r="O4855" t="str">
        <f t="shared" si="76"/>
        <v/>
      </c>
    </row>
    <row r="4856" spans="15:15" x14ac:dyDescent="0.3">
      <c r="O4856" t="str">
        <f t="shared" si="76"/>
        <v/>
      </c>
    </row>
    <row r="4857" spans="15:15" x14ac:dyDescent="0.3">
      <c r="O4857" t="str">
        <f t="shared" si="76"/>
        <v/>
      </c>
    </row>
    <row r="4858" spans="15:15" x14ac:dyDescent="0.3">
      <c r="O4858" t="str">
        <f t="shared" si="76"/>
        <v/>
      </c>
    </row>
    <row r="4859" spans="15:15" x14ac:dyDescent="0.3">
      <c r="O4859" t="str">
        <f t="shared" si="76"/>
        <v/>
      </c>
    </row>
    <row r="4860" spans="15:15" x14ac:dyDescent="0.3">
      <c r="O4860" t="str">
        <f t="shared" si="76"/>
        <v/>
      </c>
    </row>
    <row r="4861" spans="15:15" x14ac:dyDescent="0.3">
      <c r="O4861" t="str">
        <f t="shared" si="76"/>
        <v/>
      </c>
    </row>
    <row r="4862" spans="15:15" x14ac:dyDescent="0.3">
      <c r="O4862" t="str">
        <f t="shared" si="76"/>
        <v/>
      </c>
    </row>
    <row r="4863" spans="15:15" x14ac:dyDescent="0.3">
      <c r="O4863" t="str">
        <f t="shared" si="76"/>
        <v/>
      </c>
    </row>
    <row r="4864" spans="15:15" x14ac:dyDescent="0.3">
      <c r="O4864" t="str">
        <f t="shared" si="76"/>
        <v/>
      </c>
    </row>
    <row r="4865" spans="15:15" x14ac:dyDescent="0.3">
      <c r="O4865" t="str">
        <f t="shared" si="76"/>
        <v/>
      </c>
    </row>
    <row r="4866" spans="15:15" x14ac:dyDescent="0.3">
      <c r="O4866" t="str">
        <f t="shared" si="76"/>
        <v/>
      </c>
    </row>
    <row r="4867" spans="15:15" x14ac:dyDescent="0.3">
      <c r="O4867" t="str">
        <f t="shared" si="76"/>
        <v/>
      </c>
    </row>
    <row r="4868" spans="15:15" x14ac:dyDescent="0.3">
      <c r="O4868" t="str">
        <f t="shared" si="76"/>
        <v/>
      </c>
    </row>
    <row r="4869" spans="15:15" x14ac:dyDescent="0.3">
      <c r="O4869" t="str">
        <f t="shared" si="76"/>
        <v/>
      </c>
    </row>
    <row r="4870" spans="15:15" x14ac:dyDescent="0.3">
      <c r="O4870" t="str">
        <f t="shared" si="76"/>
        <v/>
      </c>
    </row>
    <row r="4871" spans="15:15" x14ac:dyDescent="0.3">
      <c r="O4871" t="str">
        <f t="shared" si="76"/>
        <v/>
      </c>
    </row>
    <row r="4872" spans="15:15" x14ac:dyDescent="0.3">
      <c r="O4872" t="str">
        <f t="shared" si="76"/>
        <v/>
      </c>
    </row>
    <row r="4873" spans="15:15" x14ac:dyDescent="0.3">
      <c r="O4873" t="str">
        <f t="shared" si="76"/>
        <v/>
      </c>
    </row>
    <row r="4874" spans="15:15" x14ac:dyDescent="0.3">
      <c r="O4874" t="str">
        <f t="shared" ref="O4874:O4937" si="77">IF(P4874="","",O4873+1)</f>
        <v/>
      </c>
    </row>
    <row r="4875" spans="15:15" x14ac:dyDescent="0.3">
      <c r="O4875" t="str">
        <f t="shared" si="77"/>
        <v/>
      </c>
    </row>
    <row r="4876" spans="15:15" x14ac:dyDescent="0.3">
      <c r="O4876" t="str">
        <f t="shared" si="77"/>
        <v/>
      </c>
    </row>
    <row r="4877" spans="15:15" x14ac:dyDescent="0.3">
      <c r="O4877" t="str">
        <f t="shared" si="77"/>
        <v/>
      </c>
    </row>
    <row r="4878" spans="15:15" x14ac:dyDescent="0.3">
      <c r="O4878" t="str">
        <f t="shared" si="77"/>
        <v/>
      </c>
    </row>
    <row r="4879" spans="15:15" x14ac:dyDescent="0.3">
      <c r="O4879" t="str">
        <f t="shared" si="77"/>
        <v/>
      </c>
    </row>
    <row r="4880" spans="15:15" x14ac:dyDescent="0.3">
      <c r="O4880" t="str">
        <f t="shared" si="77"/>
        <v/>
      </c>
    </row>
    <row r="4881" spans="15:15" x14ac:dyDescent="0.3">
      <c r="O4881" t="str">
        <f t="shared" si="77"/>
        <v/>
      </c>
    </row>
    <row r="4882" spans="15:15" x14ac:dyDescent="0.3">
      <c r="O4882" t="str">
        <f t="shared" si="77"/>
        <v/>
      </c>
    </row>
    <row r="4883" spans="15:15" x14ac:dyDescent="0.3">
      <c r="O4883" t="str">
        <f t="shared" si="77"/>
        <v/>
      </c>
    </row>
    <row r="4884" spans="15:15" x14ac:dyDescent="0.3">
      <c r="O4884" t="str">
        <f t="shared" si="77"/>
        <v/>
      </c>
    </row>
    <row r="4885" spans="15:15" x14ac:dyDescent="0.3">
      <c r="O4885" t="str">
        <f t="shared" si="77"/>
        <v/>
      </c>
    </row>
    <row r="4886" spans="15:15" x14ac:dyDescent="0.3">
      <c r="O4886" t="str">
        <f t="shared" si="77"/>
        <v/>
      </c>
    </row>
    <row r="4887" spans="15:15" x14ac:dyDescent="0.3">
      <c r="O4887" t="str">
        <f t="shared" si="77"/>
        <v/>
      </c>
    </row>
    <row r="4888" spans="15:15" x14ac:dyDescent="0.3">
      <c r="O4888" t="str">
        <f t="shared" si="77"/>
        <v/>
      </c>
    </row>
    <row r="4889" spans="15:15" x14ac:dyDescent="0.3">
      <c r="O4889" t="str">
        <f t="shared" si="77"/>
        <v/>
      </c>
    </row>
    <row r="4890" spans="15:15" x14ac:dyDescent="0.3">
      <c r="O4890" t="str">
        <f t="shared" si="77"/>
        <v/>
      </c>
    </row>
    <row r="4891" spans="15:15" x14ac:dyDescent="0.3">
      <c r="O4891" t="str">
        <f t="shared" si="77"/>
        <v/>
      </c>
    </row>
    <row r="4892" spans="15:15" x14ac:dyDescent="0.3">
      <c r="O4892" t="str">
        <f t="shared" si="77"/>
        <v/>
      </c>
    </row>
    <row r="4893" spans="15:15" x14ac:dyDescent="0.3">
      <c r="O4893" t="str">
        <f t="shared" si="77"/>
        <v/>
      </c>
    </row>
    <row r="4894" spans="15:15" x14ac:dyDescent="0.3">
      <c r="O4894" t="str">
        <f t="shared" si="77"/>
        <v/>
      </c>
    </row>
    <row r="4895" spans="15:15" x14ac:dyDescent="0.3">
      <c r="O4895" t="str">
        <f t="shared" si="77"/>
        <v/>
      </c>
    </row>
    <row r="4896" spans="15:15" x14ac:dyDescent="0.3">
      <c r="O4896" t="str">
        <f t="shared" si="77"/>
        <v/>
      </c>
    </row>
    <row r="4897" spans="15:15" x14ac:dyDescent="0.3">
      <c r="O4897" t="str">
        <f t="shared" si="77"/>
        <v/>
      </c>
    </row>
    <row r="4898" spans="15:15" x14ac:dyDescent="0.3">
      <c r="O4898" t="str">
        <f t="shared" si="77"/>
        <v/>
      </c>
    </row>
    <row r="4899" spans="15:15" x14ac:dyDescent="0.3">
      <c r="O4899" t="str">
        <f t="shared" si="77"/>
        <v/>
      </c>
    </row>
    <row r="4900" spans="15:15" x14ac:dyDescent="0.3">
      <c r="O4900" t="str">
        <f t="shared" si="77"/>
        <v/>
      </c>
    </row>
    <row r="4901" spans="15:15" x14ac:dyDescent="0.3">
      <c r="O4901" t="str">
        <f t="shared" si="77"/>
        <v/>
      </c>
    </row>
    <row r="4902" spans="15:15" x14ac:dyDescent="0.3">
      <c r="O4902" t="str">
        <f t="shared" si="77"/>
        <v/>
      </c>
    </row>
    <row r="4903" spans="15:15" x14ac:dyDescent="0.3">
      <c r="O4903" t="str">
        <f t="shared" si="77"/>
        <v/>
      </c>
    </row>
    <row r="4904" spans="15:15" x14ac:dyDescent="0.3">
      <c r="O4904" t="str">
        <f t="shared" si="77"/>
        <v/>
      </c>
    </row>
    <row r="4905" spans="15:15" x14ac:dyDescent="0.3">
      <c r="O4905" t="str">
        <f t="shared" si="77"/>
        <v/>
      </c>
    </row>
    <row r="4906" spans="15:15" x14ac:dyDescent="0.3">
      <c r="O4906" t="str">
        <f t="shared" si="77"/>
        <v/>
      </c>
    </row>
    <row r="4907" spans="15:15" x14ac:dyDescent="0.3">
      <c r="O4907" t="str">
        <f t="shared" si="77"/>
        <v/>
      </c>
    </row>
    <row r="4908" spans="15:15" x14ac:dyDescent="0.3">
      <c r="O4908" t="str">
        <f t="shared" si="77"/>
        <v/>
      </c>
    </row>
    <row r="4909" spans="15:15" x14ac:dyDescent="0.3">
      <c r="O4909" t="str">
        <f t="shared" si="77"/>
        <v/>
      </c>
    </row>
    <row r="4910" spans="15:15" x14ac:dyDescent="0.3">
      <c r="O4910" t="str">
        <f t="shared" si="77"/>
        <v/>
      </c>
    </row>
    <row r="4911" spans="15:15" x14ac:dyDescent="0.3">
      <c r="O4911" t="str">
        <f t="shared" si="77"/>
        <v/>
      </c>
    </row>
    <row r="4912" spans="15:15" x14ac:dyDescent="0.3">
      <c r="O4912" t="str">
        <f t="shared" si="77"/>
        <v/>
      </c>
    </row>
    <row r="4913" spans="15:15" x14ac:dyDescent="0.3">
      <c r="O4913" t="str">
        <f t="shared" si="77"/>
        <v/>
      </c>
    </row>
    <row r="4914" spans="15:15" x14ac:dyDescent="0.3">
      <c r="O4914" t="str">
        <f t="shared" si="77"/>
        <v/>
      </c>
    </row>
    <row r="4915" spans="15:15" x14ac:dyDescent="0.3">
      <c r="O4915" t="str">
        <f t="shared" si="77"/>
        <v/>
      </c>
    </row>
    <row r="4916" spans="15:15" x14ac:dyDescent="0.3">
      <c r="O4916" t="str">
        <f t="shared" si="77"/>
        <v/>
      </c>
    </row>
    <row r="4917" spans="15:15" x14ac:dyDescent="0.3">
      <c r="O4917" t="str">
        <f t="shared" si="77"/>
        <v/>
      </c>
    </row>
    <row r="4918" spans="15:15" x14ac:dyDescent="0.3">
      <c r="O4918" t="str">
        <f t="shared" si="77"/>
        <v/>
      </c>
    </row>
    <row r="4919" spans="15:15" x14ac:dyDescent="0.3">
      <c r="O4919" t="str">
        <f t="shared" si="77"/>
        <v/>
      </c>
    </row>
    <row r="4920" spans="15:15" x14ac:dyDescent="0.3">
      <c r="O4920" t="str">
        <f t="shared" si="77"/>
        <v/>
      </c>
    </row>
    <row r="4921" spans="15:15" x14ac:dyDescent="0.3">
      <c r="O4921" t="str">
        <f t="shared" si="77"/>
        <v/>
      </c>
    </row>
    <row r="4922" spans="15:15" x14ac:dyDescent="0.3">
      <c r="O4922" t="str">
        <f t="shared" si="77"/>
        <v/>
      </c>
    </row>
    <row r="4923" spans="15:15" x14ac:dyDescent="0.3">
      <c r="O4923" t="str">
        <f t="shared" si="77"/>
        <v/>
      </c>
    </row>
    <row r="4924" spans="15:15" x14ac:dyDescent="0.3">
      <c r="O4924" t="str">
        <f t="shared" si="77"/>
        <v/>
      </c>
    </row>
    <row r="4925" spans="15:15" x14ac:dyDescent="0.3">
      <c r="O4925" t="str">
        <f t="shared" si="77"/>
        <v/>
      </c>
    </row>
    <row r="4926" spans="15:15" x14ac:dyDescent="0.3">
      <c r="O4926" t="str">
        <f t="shared" si="77"/>
        <v/>
      </c>
    </row>
    <row r="4927" spans="15:15" x14ac:dyDescent="0.3">
      <c r="O4927" t="str">
        <f t="shared" si="77"/>
        <v/>
      </c>
    </row>
    <row r="4928" spans="15:15" x14ac:dyDescent="0.3">
      <c r="O4928" t="str">
        <f t="shared" si="77"/>
        <v/>
      </c>
    </row>
    <row r="4929" spans="15:15" x14ac:dyDescent="0.3">
      <c r="O4929" t="str">
        <f t="shared" si="77"/>
        <v/>
      </c>
    </row>
    <row r="4930" spans="15:15" x14ac:dyDescent="0.3">
      <c r="O4930" t="str">
        <f t="shared" si="77"/>
        <v/>
      </c>
    </row>
    <row r="4931" spans="15:15" x14ac:dyDescent="0.3">
      <c r="O4931" t="str">
        <f t="shared" si="77"/>
        <v/>
      </c>
    </row>
    <row r="4932" spans="15:15" x14ac:dyDescent="0.3">
      <c r="O4932" t="str">
        <f t="shared" si="77"/>
        <v/>
      </c>
    </row>
    <row r="4933" spans="15:15" x14ac:dyDescent="0.3">
      <c r="O4933" t="str">
        <f t="shared" si="77"/>
        <v/>
      </c>
    </row>
    <row r="4934" spans="15:15" x14ac:dyDescent="0.3">
      <c r="O4934" t="str">
        <f t="shared" si="77"/>
        <v/>
      </c>
    </row>
    <row r="4935" spans="15:15" x14ac:dyDescent="0.3">
      <c r="O4935" t="str">
        <f t="shared" si="77"/>
        <v/>
      </c>
    </row>
    <row r="4936" spans="15:15" x14ac:dyDescent="0.3">
      <c r="O4936" t="str">
        <f t="shared" si="77"/>
        <v/>
      </c>
    </row>
    <row r="4937" spans="15:15" x14ac:dyDescent="0.3">
      <c r="O4937" t="str">
        <f t="shared" si="77"/>
        <v/>
      </c>
    </row>
    <row r="4938" spans="15:15" x14ac:dyDescent="0.3">
      <c r="O4938" t="str">
        <f t="shared" ref="O4938:O5001" si="78">IF(P4938="","",O4937+1)</f>
        <v/>
      </c>
    </row>
    <row r="4939" spans="15:15" x14ac:dyDescent="0.3">
      <c r="O4939" t="str">
        <f t="shared" si="78"/>
        <v/>
      </c>
    </row>
    <row r="4940" spans="15:15" x14ac:dyDescent="0.3">
      <c r="O4940" t="str">
        <f t="shared" si="78"/>
        <v/>
      </c>
    </row>
    <row r="4941" spans="15:15" x14ac:dyDescent="0.3">
      <c r="O4941" t="str">
        <f t="shared" si="78"/>
        <v/>
      </c>
    </row>
    <row r="4942" spans="15:15" x14ac:dyDescent="0.3">
      <c r="O4942" t="str">
        <f t="shared" si="78"/>
        <v/>
      </c>
    </row>
    <row r="4943" spans="15:15" x14ac:dyDescent="0.3">
      <c r="O4943" t="str">
        <f t="shared" si="78"/>
        <v/>
      </c>
    </row>
    <row r="4944" spans="15:15" x14ac:dyDescent="0.3">
      <c r="O4944" t="str">
        <f t="shared" si="78"/>
        <v/>
      </c>
    </row>
    <row r="4945" spans="15:15" x14ac:dyDescent="0.3">
      <c r="O4945" t="str">
        <f t="shared" si="78"/>
        <v/>
      </c>
    </row>
    <row r="4946" spans="15:15" x14ac:dyDescent="0.3">
      <c r="O4946" t="str">
        <f t="shared" si="78"/>
        <v/>
      </c>
    </row>
    <row r="4947" spans="15:15" x14ac:dyDescent="0.3">
      <c r="O4947" t="str">
        <f t="shared" si="78"/>
        <v/>
      </c>
    </row>
    <row r="4948" spans="15:15" x14ac:dyDescent="0.3">
      <c r="O4948" t="str">
        <f t="shared" si="78"/>
        <v/>
      </c>
    </row>
    <row r="4949" spans="15:15" x14ac:dyDescent="0.3">
      <c r="O4949" t="str">
        <f t="shared" si="78"/>
        <v/>
      </c>
    </row>
    <row r="4950" spans="15:15" x14ac:dyDescent="0.3">
      <c r="O4950" t="str">
        <f t="shared" si="78"/>
        <v/>
      </c>
    </row>
    <row r="4951" spans="15:15" x14ac:dyDescent="0.3">
      <c r="O4951" t="str">
        <f t="shared" si="78"/>
        <v/>
      </c>
    </row>
    <row r="4952" spans="15:15" x14ac:dyDescent="0.3">
      <c r="O4952" t="str">
        <f t="shared" si="78"/>
        <v/>
      </c>
    </row>
    <row r="4953" spans="15:15" x14ac:dyDescent="0.3">
      <c r="O4953" t="str">
        <f t="shared" si="78"/>
        <v/>
      </c>
    </row>
    <row r="4954" spans="15:15" x14ac:dyDescent="0.3">
      <c r="O4954" t="str">
        <f t="shared" si="78"/>
        <v/>
      </c>
    </row>
    <row r="4955" spans="15:15" x14ac:dyDescent="0.3">
      <c r="O4955" t="str">
        <f t="shared" si="78"/>
        <v/>
      </c>
    </row>
    <row r="4956" spans="15:15" x14ac:dyDescent="0.3">
      <c r="O4956" t="str">
        <f t="shared" si="78"/>
        <v/>
      </c>
    </row>
    <row r="4957" spans="15:15" x14ac:dyDescent="0.3">
      <c r="O4957" t="str">
        <f t="shared" si="78"/>
        <v/>
      </c>
    </row>
    <row r="4958" spans="15:15" x14ac:dyDescent="0.3">
      <c r="O4958" t="str">
        <f t="shared" si="78"/>
        <v/>
      </c>
    </row>
    <row r="4959" spans="15:15" x14ac:dyDescent="0.3">
      <c r="O4959" t="str">
        <f t="shared" si="78"/>
        <v/>
      </c>
    </row>
    <row r="4960" spans="15:15" x14ac:dyDescent="0.3">
      <c r="O4960" t="str">
        <f t="shared" si="78"/>
        <v/>
      </c>
    </row>
    <row r="4961" spans="15:15" x14ac:dyDescent="0.3">
      <c r="O4961" t="str">
        <f t="shared" si="78"/>
        <v/>
      </c>
    </row>
    <row r="4962" spans="15:15" x14ac:dyDescent="0.3">
      <c r="O4962" t="str">
        <f t="shared" si="78"/>
        <v/>
      </c>
    </row>
    <row r="4963" spans="15:15" x14ac:dyDescent="0.3">
      <c r="O4963" t="str">
        <f t="shared" si="78"/>
        <v/>
      </c>
    </row>
    <row r="4964" spans="15:15" x14ac:dyDescent="0.3">
      <c r="O4964" t="str">
        <f t="shared" si="78"/>
        <v/>
      </c>
    </row>
    <row r="4965" spans="15:15" x14ac:dyDescent="0.3">
      <c r="O4965" t="str">
        <f t="shared" si="78"/>
        <v/>
      </c>
    </row>
    <row r="4966" spans="15:15" x14ac:dyDescent="0.3">
      <c r="O4966" t="str">
        <f t="shared" si="78"/>
        <v/>
      </c>
    </row>
    <row r="4967" spans="15:15" x14ac:dyDescent="0.3">
      <c r="O4967" t="str">
        <f t="shared" si="78"/>
        <v/>
      </c>
    </row>
    <row r="4968" spans="15:15" x14ac:dyDescent="0.3">
      <c r="O4968" t="str">
        <f t="shared" si="78"/>
        <v/>
      </c>
    </row>
    <row r="4969" spans="15:15" x14ac:dyDescent="0.3">
      <c r="O4969" t="str">
        <f t="shared" si="78"/>
        <v/>
      </c>
    </row>
    <row r="4970" spans="15:15" x14ac:dyDescent="0.3">
      <c r="O4970" t="str">
        <f t="shared" si="78"/>
        <v/>
      </c>
    </row>
    <row r="4971" spans="15:15" x14ac:dyDescent="0.3">
      <c r="O4971" t="str">
        <f t="shared" si="78"/>
        <v/>
      </c>
    </row>
    <row r="4972" spans="15:15" x14ac:dyDescent="0.3">
      <c r="O4972" t="str">
        <f t="shared" si="78"/>
        <v/>
      </c>
    </row>
    <row r="4973" spans="15:15" x14ac:dyDescent="0.3">
      <c r="O4973" t="str">
        <f t="shared" si="78"/>
        <v/>
      </c>
    </row>
    <row r="4974" spans="15:15" x14ac:dyDescent="0.3">
      <c r="O4974" t="str">
        <f t="shared" si="78"/>
        <v/>
      </c>
    </row>
    <row r="4975" spans="15:15" x14ac:dyDescent="0.3">
      <c r="O4975" t="str">
        <f t="shared" si="78"/>
        <v/>
      </c>
    </row>
    <row r="4976" spans="15:15" x14ac:dyDescent="0.3">
      <c r="O4976" t="str">
        <f t="shared" si="78"/>
        <v/>
      </c>
    </row>
    <row r="4977" spans="15:15" x14ac:dyDescent="0.3">
      <c r="O4977" t="str">
        <f t="shared" si="78"/>
        <v/>
      </c>
    </row>
    <row r="4978" spans="15:15" x14ac:dyDescent="0.3">
      <c r="O4978" t="str">
        <f t="shared" si="78"/>
        <v/>
      </c>
    </row>
    <row r="4979" spans="15:15" x14ac:dyDescent="0.3">
      <c r="O4979" t="str">
        <f t="shared" si="78"/>
        <v/>
      </c>
    </row>
    <row r="4980" spans="15:15" x14ac:dyDescent="0.3">
      <c r="O4980" t="str">
        <f t="shared" si="78"/>
        <v/>
      </c>
    </row>
    <row r="4981" spans="15:15" x14ac:dyDescent="0.3">
      <c r="O4981" t="str">
        <f t="shared" si="78"/>
        <v/>
      </c>
    </row>
    <row r="4982" spans="15:15" x14ac:dyDescent="0.3">
      <c r="O4982" t="str">
        <f t="shared" si="78"/>
        <v/>
      </c>
    </row>
    <row r="4983" spans="15:15" x14ac:dyDescent="0.3">
      <c r="O4983" t="str">
        <f t="shared" si="78"/>
        <v/>
      </c>
    </row>
    <row r="4984" spans="15:15" x14ac:dyDescent="0.3">
      <c r="O4984" t="str">
        <f t="shared" si="78"/>
        <v/>
      </c>
    </row>
    <row r="4985" spans="15:15" x14ac:dyDescent="0.3">
      <c r="O4985" t="str">
        <f t="shared" si="78"/>
        <v/>
      </c>
    </row>
    <row r="4986" spans="15:15" x14ac:dyDescent="0.3">
      <c r="O4986" t="str">
        <f t="shared" si="78"/>
        <v/>
      </c>
    </row>
    <row r="4987" spans="15:15" x14ac:dyDescent="0.3">
      <c r="O4987" t="str">
        <f t="shared" si="78"/>
        <v/>
      </c>
    </row>
    <row r="4988" spans="15:15" x14ac:dyDescent="0.3">
      <c r="O4988" t="str">
        <f t="shared" si="78"/>
        <v/>
      </c>
    </row>
    <row r="4989" spans="15:15" x14ac:dyDescent="0.3">
      <c r="O4989" t="str">
        <f t="shared" si="78"/>
        <v/>
      </c>
    </row>
    <row r="4990" spans="15:15" x14ac:dyDescent="0.3">
      <c r="O4990" t="str">
        <f t="shared" si="78"/>
        <v/>
      </c>
    </row>
    <row r="4991" spans="15:15" x14ac:dyDescent="0.3">
      <c r="O4991" t="str">
        <f t="shared" si="78"/>
        <v/>
      </c>
    </row>
    <row r="4992" spans="15:15" x14ac:dyDescent="0.3">
      <c r="O4992" t="str">
        <f t="shared" si="78"/>
        <v/>
      </c>
    </row>
    <row r="4993" spans="15:15" x14ac:dyDescent="0.3">
      <c r="O4993" t="str">
        <f t="shared" si="78"/>
        <v/>
      </c>
    </row>
    <row r="4994" spans="15:15" x14ac:dyDescent="0.3">
      <c r="O4994" t="str">
        <f t="shared" si="78"/>
        <v/>
      </c>
    </row>
    <row r="4995" spans="15:15" x14ac:dyDescent="0.3">
      <c r="O4995" t="str">
        <f t="shared" si="78"/>
        <v/>
      </c>
    </row>
    <row r="4996" spans="15:15" x14ac:dyDescent="0.3">
      <c r="O4996" t="str">
        <f t="shared" si="78"/>
        <v/>
      </c>
    </row>
    <row r="4997" spans="15:15" x14ac:dyDescent="0.3">
      <c r="O4997" t="str">
        <f t="shared" si="78"/>
        <v/>
      </c>
    </row>
    <row r="4998" spans="15:15" x14ac:dyDescent="0.3">
      <c r="O4998" t="str">
        <f t="shared" si="78"/>
        <v/>
      </c>
    </row>
    <row r="4999" spans="15:15" x14ac:dyDescent="0.3">
      <c r="O4999" t="str">
        <f t="shared" si="78"/>
        <v/>
      </c>
    </row>
    <row r="5000" spans="15:15" x14ac:dyDescent="0.3">
      <c r="O5000" t="str">
        <f t="shared" si="78"/>
        <v/>
      </c>
    </row>
    <row r="5001" spans="15:15" x14ac:dyDescent="0.3">
      <c r="O5001" t="str">
        <f t="shared" si="78"/>
        <v/>
      </c>
    </row>
    <row r="5002" spans="15:15" x14ac:dyDescent="0.3">
      <c r="O5002" t="str">
        <f t="shared" ref="O5002:O5065" si="79">IF(P5002="","",O5001+1)</f>
        <v/>
      </c>
    </row>
    <row r="5003" spans="15:15" x14ac:dyDescent="0.3">
      <c r="O5003" t="str">
        <f t="shared" si="79"/>
        <v/>
      </c>
    </row>
    <row r="5004" spans="15:15" x14ac:dyDescent="0.3">
      <c r="O5004" t="str">
        <f t="shared" si="79"/>
        <v/>
      </c>
    </row>
    <row r="5005" spans="15:15" x14ac:dyDescent="0.3">
      <c r="O5005" t="str">
        <f t="shared" si="79"/>
        <v/>
      </c>
    </row>
    <row r="5006" spans="15:15" x14ac:dyDescent="0.3">
      <c r="O5006" t="str">
        <f t="shared" si="79"/>
        <v/>
      </c>
    </row>
    <row r="5007" spans="15:15" x14ac:dyDescent="0.3">
      <c r="O5007" t="str">
        <f t="shared" si="79"/>
        <v/>
      </c>
    </row>
    <row r="5008" spans="15:15" x14ac:dyDescent="0.3">
      <c r="O5008" t="str">
        <f t="shared" si="79"/>
        <v/>
      </c>
    </row>
    <row r="5009" spans="15:15" x14ac:dyDescent="0.3">
      <c r="O5009" t="str">
        <f t="shared" si="79"/>
        <v/>
      </c>
    </row>
    <row r="5010" spans="15:15" x14ac:dyDescent="0.3">
      <c r="O5010" t="str">
        <f t="shared" si="79"/>
        <v/>
      </c>
    </row>
    <row r="5011" spans="15:15" x14ac:dyDescent="0.3">
      <c r="O5011" t="str">
        <f t="shared" si="79"/>
        <v/>
      </c>
    </row>
    <row r="5012" spans="15:15" x14ac:dyDescent="0.3">
      <c r="O5012" t="str">
        <f t="shared" si="79"/>
        <v/>
      </c>
    </row>
    <row r="5013" spans="15:15" x14ac:dyDescent="0.3">
      <c r="O5013" t="str">
        <f t="shared" si="79"/>
        <v/>
      </c>
    </row>
    <row r="5014" spans="15:15" x14ac:dyDescent="0.3">
      <c r="O5014" t="str">
        <f t="shared" si="79"/>
        <v/>
      </c>
    </row>
    <row r="5015" spans="15:15" x14ac:dyDescent="0.3">
      <c r="O5015" t="str">
        <f t="shared" si="79"/>
        <v/>
      </c>
    </row>
    <row r="5016" spans="15:15" x14ac:dyDescent="0.3">
      <c r="O5016" t="str">
        <f t="shared" si="79"/>
        <v/>
      </c>
    </row>
    <row r="5017" spans="15:15" x14ac:dyDescent="0.3">
      <c r="O5017" t="str">
        <f t="shared" si="79"/>
        <v/>
      </c>
    </row>
    <row r="5018" spans="15:15" x14ac:dyDescent="0.3">
      <c r="O5018" t="str">
        <f t="shared" si="79"/>
        <v/>
      </c>
    </row>
    <row r="5019" spans="15:15" x14ac:dyDescent="0.3">
      <c r="O5019" t="str">
        <f t="shared" si="79"/>
        <v/>
      </c>
    </row>
    <row r="5020" spans="15:15" x14ac:dyDescent="0.3">
      <c r="O5020" t="str">
        <f t="shared" si="79"/>
        <v/>
      </c>
    </row>
    <row r="5021" spans="15:15" x14ac:dyDescent="0.3">
      <c r="O5021" t="str">
        <f t="shared" si="79"/>
        <v/>
      </c>
    </row>
    <row r="5022" spans="15:15" x14ac:dyDescent="0.3">
      <c r="O5022" t="str">
        <f t="shared" si="79"/>
        <v/>
      </c>
    </row>
    <row r="5023" spans="15:15" x14ac:dyDescent="0.3">
      <c r="O5023" t="str">
        <f t="shared" si="79"/>
        <v/>
      </c>
    </row>
    <row r="5024" spans="15:15" x14ac:dyDescent="0.3">
      <c r="O5024" t="str">
        <f t="shared" si="79"/>
        <v/>
      </c>
    </row>
    <row r="5025" spans="15:15" x14ac:dyDescent="0.3">
      <c r="O5025" t="str">
        <f t="shared" si="79"/>
        <v/>
      </c>
    </row>
    <row r="5026" spans="15:15" x14ac:dyDescent="0.3">
      <c r="O5026" t="str">
        <f t="shared" si="79"/>
        <v/>
      </c>
    </row>
    <row r="5027" spans="15:15" x14ac:dyDescent="0.3">
      <c r="O5027" t="str">
        <f t="shared" si="79"/>
        <v/>
      </c>
    </row>
    <row r="5028" spans="15:15" x14ac:dyDescent="0.3">
      <c r="O5028" t="str">
        <f t="shared" si="79"/>
        <v/>
      </c>
    </row>
    <row r="5029" spans="15:15" x14ac:dyDescent="0.3">
      <c r="O5029" t="str">
        <f t="shared" si="79"/>
        <v/>
      </c>
    </row>
    <row r="5030" spans="15:15" x14ac:dyDescent="0.3">
      <c r="O5030" t="str">
        <f t="shared" si="79"/>
        <v/>
      </c>
    </row>
    <row r="5031" spans="15:15" x14ac:dyDescent="0.3">
      <c r="O5031" t="str">
        <f t="shared" si="79"/>
        <v/>
      </c>
    </row>
    <row r="5032" spans="15:15" x14ac:dyDescent="0.3">
      <c r="O5032" t="str">
        <f t="shared" si="79"/>
        <v/>
      </c>
    </row>
    <row r="5033" spans="15:15" x14ac:dyDescent="0.3">
      <c r="O5033" t="str">
        <f t="shared" si="79"/>
        <v/>
      </c>
    </row>
    <row r="5034" spans="15:15" x14ac:dyDescent="0.3">
      <c r="O5034" t="str">
        <f t="shared" si="79"/>
        <v/>
      </c>
    </row>
    <row r="5035" spans="15:15" x14ac:dyDescent="0.3">
      <c r="O5035" t="str">
        <f t="shared" si="79"/>
        <v/>
      </c>
    </row>
    <row r="5036" spans="15:15" x14ac:dyDescent="0.3">
      <c r="O5036" t="str">
        <f t="shared" si="79"/>
        <v/>
      </c>
    </row>
    <row r="5037" spans="15:15" x14ac:dyDescent="0.3">
      <c r="O5037" t="str">
        <f t="shared" si="79"/>
        <v/>
      </c>
    </row>
    <row r="5038" spans="15:15" x14ac:dyDescent="0.3">
      <c r="O5038" t="str">
        <f t="shared" si="79"/>
        <v/>
      </c>
    </row>
    <row r="5039" spans="15:15" x14ac:dyDescent="0.3">
      <c r="O5039" t="str">
        <f t="shared" si="79"/>
        <v/>
      </c>
    </row>
    <row r="5040" spans="15:15" x14ac:dyDescent="0.3">
      <c r="O5040" t="str">
        <f t="shared" si="79"/>
        <v/>
      </c>
    </row>
    <row r="5041" spans="15:15" x14ac:dyDescent="0.3">
      <c r="O5041" t="str">
        <f t="shared" si="79"/>
        <v/>
      </c>
    </row>
    <row r="5042" spans="15:15" x14ac:dyDescent="0.3">
      <c r="O5042" t="str">
        <f t="shared" si="79"/>
        <v/>
      </c>
    </row>
    <row r="5043" spans="15:15" x14ac:dyDescent="0.3">
      <c r="O5043" t="str">
        <f t="shared" si="79"/>
        <v/>
      </c>
    </row>
    <row r="5044" spans="15:15" x14ac:dyDescent="0.3">
      <c r="O5044" t="str">
        <f t="shared" si="79"/>
        <v/>
      </c>
    </row>
    <row r="5045" spans="15:15" x14ac:dyDescent="0.3">
      <c r="O5045" t="str">
        <f t="shared" si="79"/>
        <v/>
      </c>
    </row>
    <row r="5046" spans="15:15" x14ac:dyDescent="0.3">
      <c r="O5046" t="str">
        <f t="shared" si="79"/>
        <v/>
      </c>
    </row>
    <row r="5047" spans="15:15" x14ac:dyDescent="0.3">
      <c r="O5047" t="str">
        <f t="shared" si="79"/>
        <v/>
      </c>
    </row>
    <row r="5048" spans="15:15" x14ac:dyDescent="0.3">
      <c r="O5048" t="str">
        <f t="shared" si="79"/>
        <v/>
      </c>
    </row>
    <row r="5049" spans="15:15" x14ac:dyDescent="0.3">
      <c r="O5049" t="str">
        <f t="shared" si="79"/>
        <v/>
      </c>
    </row>
    <row r="5050" spans="15:15" x14ac:dyDescent="0.3">
      <c r="O5050" t="str">
        <f t="shared" si="79"/>
        <v/>
      </c>
    </row>
    <row r="5051" spans="15:15" x14ac:dyDescent="0.3">
      <c r="O5051" t="str">
        <f t="shared" si="79"/>
        <v/>
      </c>
    </row>
    <row r="5052" spans="15:15" x14ac:dyDescent="0.3">
      <c r="O5052" t="str">
        <f t="shared" si="79"/>
        <v/>
      </c>
    </row>
    <row r="5053" spans="15:15" x14ac:dyDescent="0.3">
      <c r="O5053" t="str">
        <f t="shared" si="79"/>
        <v/>
      </c>
    </row>
    <row r="5054" spans="15:15" x14ac:dyDescent="0.3">
      <c r="O5054" t="str">
        <f t="shared" si="79"/>
        <v/>
      </c>
    </row>
    <row r="5055" spans="15:15" x14ac:dyDescent="0.3">
      <c r="O5055" t="str">
        <f t="shared" si="79"/>
        <v/>
      </c>
    </row>
    <row r="5056" spans="15:15" x14ac:dyDescent="0.3">
      <c r="O5056" t="str">
        <f t="shared" si="79"/>
        <v/>
      </c>
    </row>
    <row r="5057" spans="15:15" x14ac:dyDescent="0.3">
      <c r="O5057" t="str">
        <f t="shared" si="79"/>
        <v/>
      </c>
    </row>
    <row r="5058" spans="15:15" x14ac:dyDescent="0.3">
      <c r="O5058" t="str">
        <f t="shared" si="79"/>
        <v/>
      </c>
    </row>
    <row r="5059" spans="15:15" x14ac:dyDescent="0.3">
      <c r="O5059" t="str">
        <f t="shared" si="79"/>
        <v/>
      </c>
    </row>
    <row r="5060" spans="15:15" x14ac:dyDescent="0.3">
      <c r="O5060" t="str">
        <f t="shared" si="79"/>
        <v/>
      </c>
    </row>
    <row r="5061" spans="15:15" x14ac:dyDescent="0.3">
      <c r="O5061" t="str">
        <f t="shared" si="79"/>
        <v/>
      </c>
    </row>
    <row r="5062" spans="15:15" x14ac:dyDescent="0.3">
      <c r="O5062" t="str">
        <f t="shared" si="79"/>
        <v/>
      </c>
    </row>
    <row r="5063" spans="15:15" x14ac:dyDescent="0.3">
      <c r="O5063" t="str">
        <f t="shared" si="79"/>
        <v/>
      </c>
    </row>
    <row r="5064" spans="15:15" x14ac:dyDescent="0.3">
      <c r="O5064" t="str">
        <f t="shared" si="79"/>
        <v/>
      </c>
    </row>
    <row r="5065" spans="15:15" x14ac:dyDescent="0.3">
      <c r="O5065" t="str">
        <f t="shared" si="79"/>
        <v/>
      </c>
    </row>
    <row r="5066" spans="15:15" x14ac:dyDescent="0.3">
      <c r="O5066" t="str">
        <f t="shared" ref="O5066:O5129" si="80">IF(P5066="","",O5065+1)</f>
        <v/>
      </c>
    </row>
    <row r="5067" spans="15:15" x14ac:dyDescent="0.3">
      <c r="O5067" t="str">
        <f t="shared" si="80"/>
        <v/>
      </c>
    </row>
    <row r="5068" spans="15:15" x14ac:dyDescent="0.3">
      <c r="O5068" t="str">
        <f t="shared" si="80"/>
        <v/>
      </c>
    </row>
    <row r="5069" spans="15:15" x14ac:dyDescent="0.3">
      <c r="O5069" t="str">
        <f t="shared" si="80"/>
        <v/>
      </c>
    </row>
    <row r="5070" spans="15:15" x14ac:dyDescent="0.3">
      <c r="O5070" t="str">
        <f t="shared" si="80"/>
        <v/>
      </c>
    </row>
    <row r="5071" spans="15:15" x14ac:dyDescent="0.3">
      <c r="O5071" t="str">
        <f t="shared" si="80"/>
        <v/>
      </c>
    </row>
    <row r="5072" spans="15:15" x14ac:dyDescent="0.3">
      <c r="O5072" t="str">
        <f t="shared" si="80"/>
        <v/>
      </c>
    </row>
    <row r="5073" spans="15:15" x14ac:dyDescent="0.3">
      <c r="O5073" t="str">
        <f t="shared" si="80"/>
        <v/>
      </c>
    </row>
    <row r="5074" spans="15:15" x14ac:dyDescent="0.3">
      <c r="O5074" t="str">
        <f t="shared" si="80"/>
        <v/>
      </c>
    </row>
    <row r="5075" spans="15:15" x14ac:dyDescent="0.3">
      <c r="O5075" t="str">
        <f t="shared" si="80"/>
        <v/>
      </c>
    </row>
    <row r="5076" spans="15:15" x14ac:dyDescent="0.3">
      <c r="O5076" t="str">
        <f t="shared" si="80"/>
        <v/>
      </c>
    </row>
    <row r="5077" spans="15:15" x14ac:dyDescent="0.3">
      <c r="O5077" t="str">
        <f t="shared" si="80"/>
        <v/>
      </c>
    </row>
    <row r="5078" spans="15:15" x14ac:dyDescent="0.3">
      <c r="O5078" t="str">
        <f t="shared" si="80"/>
        <v/>
      </c>
    </row>
    <row r="5079" spans="15:15" x14ac:dyDescent="0.3">
      <c r="O5079" t="str">
        <f t="shared" si="80"/>
        <v/>
      </c>
    </row>
    <row r="5080" spans="15:15" x14ac:dyDescent="0.3">
      <c r="O5080" t="str">
        <f t="shared" si="80"/>
        <v/>
      </c>
    </row>
    <row r="5081" spans="15:15" x14ac:dyDescent="0.3">
      <c r="O5081" t="str">
        <f t="shared" si="80"/>
        <v/>
      </c>
    </row>
    <row r="5082" spans="15:15" x14ac:dyDescent="0.3">
      <c r="O5082" t="str">
        <f t="shared" si="80"/>
        <v/>
      </c>
    </row>
    <row r="5083" spans="15:15" x14ac:dyDescent="0.3">
      <c r="O5083" t="str">
        <f t="shared" si="80"/>
        <v/>
      </c>
    </row>
    <row r="5084" spans="15:15" x14ac:dyDescent="0.3">
      <c r="O5084" t="str">
        <f t="shared" si="80"/>
        <v/>
      </c>
    </row>
    <row r="5085" spans="15:15" x14ac:dyDescent="0.3">
      <c r="O5085" t="str">
        <f t="shared" si="80"/>
        <v/>
      </c>
    </row>
    <row r="5086" spans="15:15" x14ac:dyDescent="0.3">
      <c r="O5086" t="str">
        <f t="shared" si="80"/>
        <v/>
      </c>
    </row>
    <row r="5087" spans="15:15" x14ac:dyDescent="0.3">
      <c r="O5087" t="str">
        <f t="shared" si="80"/>
        <v/>
      </c>
    </row>
    <row r="5088" spans="15:15" x14ac:dyDescent="0.3">
      <c r="O5088" t="str">
        <f t="shared" si="80"/>
        <v/>
      </c>
    </row>
    <row r="5089" spans="15:15" x14ac:dyDescent="0.3">
      <c r="O5089" t="str">
        <f t="shared" si="80"/>
        <v/>
      </c>
    </row>
    <row r="5090" spans="15:15" x14ac:dyDescent="0.3">
      <c r="O5090" t="str">
        <f t="shared" si="80"/>
        <v/>
      </c>
    </row>
    <row r="5091" spans="15:15" x14ac:dyDescent="0.3">
      <c r="O5091" t="str">
        <f t="shared" si="80"/>
        <v/>
      </c>
    </row>
    <row r="5092" spans="15:15" x14ac:dyDescent="0.3">
      <c r="O5092" t="str">
        <f t="shared" si="80"/>
        <v/>
      </c>
    </row>
    <row r="5093" spans="15:15" x14ac:dyDescent="0.3">
      <c r="O5093" t="str">
        <f t="shared" si="80"/>
        <v/>
      </c>
    </row>
    <row r="5094" spans="15:15" x14ac:dyDescent="0.3">
      <c r="O5094" t="str">
        <f t="shared" si="80"/>
        <v/>
      </c>
    </row>
    <row r="5095" spans="15:15" x14ac:dyDescent="0.3">
      <c r="O5095" t="str">
        <f t="shared" si="80"/>
        <v/>
      </c>
    </row>
    <row r="5096" spans="15:15" x14ac:dyDescent="0.3">
      <c r="O5096" t="str">
        <f t="shared" si="80"/>
        <v/>
      </c>
    </row>
    <row r="5097" spans="15:15" x14ac:dyDescent="0.3">
      <c r="O5097" t="str">
        <f t="shared" si="80"/>
        <v/>
      </c>
    </row>
    <row r="5098" spans="15:15" x14ac:dyDescent="0.3">
      <c r="O5098" t="str">
        <f t="shared" si="80"/>
        <v/>
      </c>
    </row>
    <row r="5099" spans="15:15" x14ac:dyDescent="0.3">
      <c r="O5099" t="str">
        <f t="shared" si="80"/>
        <v/>
      </c>
    </row>
    <row r="5100" spans="15:15" x14ac:dyDescent="0.3">
      <c r="O5100" t="str">
        <f t="shared" si="80"/>
        <v/>
      </c>
    </row>
    <row r="5101" spans="15:15" x14ac:dyDescent="0.3">
      <c r="O5101" t="str">
        <f t="shared" si="80"/>
        <v/>
      </c>
    </row>
    <row r="5102" spans="15:15" x14ac:dyDescent="0.3">
      <c r="O5102" t="str">
        <f t="shared" si="80"/>
        <v/>
      </c>
    </row>
    <row r="5103" spans="15:15" x14ac:dyDescent="0.3">
      <c r="O5103" t="str">
        <f t="shared" si="80"/>
        <v/>
      </c>
    </row>
    <row r="5104" spans="15:15" x14ac:dyDescent="0.3">
      <c r="O5104" t="str">
        <f t="shared" si="80"/>
        <v/>
      </c>
    </row>
    <row r="5105" spans="15:15" x14ac:dyDescent="0.3">
      <c r="O5105" t="str">
        <f t="shared" si="80"/>
        <v/>
      </c>
    </row>
    <row r="5106" spans="15:15" x14ac:dyDescent="0.3">
      <c r="O5106" t="str">
        <f t="shared" si="80"/>
        <v/>
      </c>
    </row>
    <row r="5107" spans="15:15" x14ac:dyDescent="0.3">
      <c r="O5107" t="str">
        <f t="shared" si="80"/>
        <v/>
      </c>
    </row>
    <row r="5108" spans="15:15" x14ac:dyDescent="0.3">
      <c r="O5108" t="str">
        <f t="shared" si="80"/>
        <v/>
      </c>
    </row>
    <row r="5109" spans="15:15" x14ac:dyDescent="0.3">
      <c r="O5109" t="str">
        <f t="shared" si="80"/>
        <v/>
      </c>
    </row>
    <row r="5110" spans="15:15" x14ac:dyDescent="0.3">
      <c r="O5110" t="str">
        <f t="shared" si="80"/>
        <v/>
      </c>
    </row>
    <row r="5111" spans="15:15" x14ac:dyDescent="0.3">
      <c r="O5111" t="str">
        <f t="shared" si="80"/>
        <v/>
      </c>
    </row>
    <row r="5112" spans="15:15" x14ac:dyDescent="0.3">
      <c r="O5112" t="str">
        <f t="shared" si="80"/>
        <v/>
      </c>
    </row>
    <row r="5113" spans="15:15" x14ac:dyDescent="0.3">
      <c r="O5113" t="str">
        <f t="shared" si="80"/>
        <v/>
      </c>
    </row>
    <row r="5114" spans="15:15" x14ac:dyDescent="0.3">
      <c r="O5114" t="str">
        <f t="shared" si="80"/>
        <v/>
      </c>
    </row>
    <row r="5115" spans="15:15" x14ac:dyDescent="0.3">
      <c r="O5115" t="str">
        <f t="shared" si="80"/>
        <v/>
      </c>
    </row>
    <row r="5116" spans="15:15" x14ac:dyDescent="0.3">
      <c r="O5116" t="str">
        <f t="shared" si="80"/>
        <v/>
      </c>
    </row>
    <row r="5117" spans="15:15" x14ac:dyDescent="0.3">
      <c r="O5117" t="str">
        <f t="shared" si="80"/>
        <v/>
      </c>
    </row>
    <row r="5118" spans="15:15" x14ac:dyDescent="0.3">
      <c r="O5118" t="str">
        <f t="shared" si="80"/>
        <v/>
      </c>
    </row>
    <row r="5119" spans="15:15" x14ac:dyDescent="0.3">
      <c r="O5119" t="str">
        <f t="shared" si="80"/>
        <v/>
      </c>
    </row>
    <row r="5120" spans="15:15" x14ac:dyDescent="0.3">
      <c r="O5120" t="str">
        <f t="shared" si="80"/>
        <v/>
      </c>
    </row>
    <row r="5121" spans="15:15" x14ac:dyDescent="0.3">
      <c r="O5121" t="str">
        <f t="shared" si="80"/>
        <v/>
      </c>
    </row>
    <row r="5122" spans="15:15" x14ac:dyDescent="0.3">
      <c r="O5122" t="str">
        <f t="shared" si="80"/>
        <v/>
      </c>
    </row>
    <row r="5123" spans="15:15" x14ac:dyDescent="0.3">
      <c r="O5123" t="str">
        <f t="shared" si="80"/>
        <v/>
      </c>
    </row>
    <row r="5124" spans="15:15" x14ac:dyDescent="0.3">
      <c r="O5124" t="str">
        <f t="shared" si="80"/>
        <v/>
      </c>
    </row>
    <row r="5125" spans="15:15" x14ac:dyDescent="0.3">
      <c r="O5125" t="str">
        <f t="shared" si="80"/>
        <v/>
      </c>
    </row>
    <row r="5126" spans="15:15" x14ac:dyDescent="0.3">
      <c r="O5126" t="str">
        <f t="shared" si="80"/>
        <v/>
      </c>
    </row>
    <row r="5127" spans="15:15" x14ac:dyDescent="0.3">
      <c r="O5127" t="str">
        <f t="shared" si="80"/>
        <v/>
      </c>
    </row>
    <row r="5128" spans="15:15" x14ac:dyDescent="0.3">
      <c r="O5128" t="str">
        <f t="shared" si="80"/>
        <v/>
      </c>
    </row>
    <row r="5129" spans="15:15" x14ac:dyDescent="0.3">
      <c r="O5129" t="str">
        <f t="shared" si="80"/>
        <v/>
      </c>
    </row>
    <row r="5130" spans="15:15" x14ac:dyDescent="0.3">
      <c r="O5130" t="str">
        <f t="shared" ref="O5130:O5193" si="81">IF(P5130="","",O5129+1)</f>
        <v/>
      </c>
    </row>
    <row r="5131" spans="15:15" x14ac:dyDescent="0.3">
      <c r="O5131" t="str">
        <f t="shared" si="81"/>
        <v/>
      </c>
    </row>
    <row r="5132" spans="15:15" x14ac:dyDescent="0.3">
      <c r="O5132" t="str">
        <f t="shared" si="81"/>
        <v/>
      </c>
    </row>
    <row r="5133" spans="15:15" x14ac:dyDescent="0.3">
      <c r="O5133" t="str">
        <f t="shared" si="81"/>
        <v/>
      </c>
    </row>
    <row r="5134" spans="15:15" x14ac:dyDescent="0.3">
      <c r="O5134" t="str">
        <f t="shared" si="81"/>
        <v/>
      </c>
    </row>
    <row r="5135" spans="15:15" x14ac:dyDescent="0.3">
      <c r="O5135" t="str">
        <f t="shared" si="81"/>
        <v/>
      </c>
    </row>
    <row r="5136" spans="15:15" x14ac:dyDescent="0.3">
      <c r="O5136" t="str">
        <f t="shared" si="81"/>
        <v/>
      </c>
    </row>
    <row r="5137" spans="15:15" x14ac:dyDescent="0.3">
      <c r="O5137" t="str">
        <f t="shared" si="81"/>
        <v/>
      </c>
    </row>
    <row r="5138" spans="15:15" x14ac:dyDescent="0.3">
      <c r="O5138" t="str">
        <f t="shared" si="81"/>
        <v/>
      </c>
    </row>
    <row r="5139" spans="15:15" x14ac:dyDescent="0.3">
      <c r="O5139" t="str">
        <f t="shared" si="81"/>
        <v/>
      </c>
    </row>
    <row r="5140" spans="15:15" x14ac:dyDescent="0.3">
      <c r="O5140" t="str">
        <f t="shared" si="81"/>
        <v/>
      </c>
    </row>
    <row r="5141" spans="15:15" x14ac:dyDescent="0.3">
      <c r="O5141" t="str">
        <f t="shared" si="81"/>
        <v/>
      </c>
    </row>
    <row r="5142" spans="15:15" x14ac:dyDescent="0.3">
      <c r="O5142" t="str">
        <f t="shared" si="81"/>
        <v/>
      </c>
    </row>
    <row r="5143" spans="15:15" x14ac:dyDescent="0.3">
      <c r="O5143" t="str">
        <f t="shared" si="81"/>
        <v/>
      </c>
    </row>
    <row r="5144" spans="15:15" x14ac:dyDescent="0.3">
      <c r="O5144" t="str">
        <f t="shared" si="81"/>
        <v/>
      </c>
    </row>
    <row r="5145" spans="15:15" x14ac:dyDescent="0.3">
      <c r="O5145" t="str">
        <f t="shared" si="81"/>
        <v/>
      </c>
    </row>
    <row r="5146" spans="15:15" x14ac:dyDescent="0.3">
      <c r="O5146" t="str">
        <f t="shared" si="81"/>
        <v/>
      </c>
    </row>
    <row r="5147" spans="15:15" x14ac:dyDescent="0.3">
      <c r="O5147" t="str">
        <f t="shared" si="81"/>
        <v/>
      </c>
    </row>
    <row r="5148" spans="15:15" x14ac:dyDescent="0.3">
      <c r="O5148" t="str">
        <f t="shared" si="81"/>
        <v/>
      </c>
    </row>
    <row r="5149" spans="15:15" x14ac:dyDescent="0.3">
      <c r="O5149" t="str">
        <f t="shared" si="81"/>
        <v/>
      </c>
    </row>
    <row r="5150" spans="15:15" x14ac:dyDescent="0.3">
      <c r="O5150" t="str">
        <f t="shared" si="81"/>
        <v/>
      </c>
    </row>
    <row r="5151" spans="15:15" x14ac:dyDescent="0.3">
      <c r="O5151" t="str">
        <f t="shared" si="81"/>
        <v/>
      </c>
    </row>
    <row r="5152" spans="15:15" x14ac:dyDescent="0.3">
      <c r="O5152" t="str">
        <f t="shared" si="81"/>
        <v/>
      </c>
    </row>
    <row r="5153" spans="15:15" x14ac:dyDescent="0.3">
      <c r="O5153" t="str">
        <f t="shared" si="81"/>
        <v/>
      </c>
    </row>
    <row r="5154" spans="15:15" x14ac:dyDescent="0.3">
      <c r="O5154" t="str">
        <f t="shared" si="81"/>
        <v/>
      </c>
    </row>
    <row r="5155" spans="15:15" x14ac:dyDescent="0.3">
      <c r="O5155" t="str">
        <f t="shared" si="81"/>
        <v/>
      </c>
    </row>
    <row r="5156" spans="15:15" x14ac:dyDescent="0.3">
      <c r="O5156" t="str">
        <f t="shared" si="81"/>
        <v/>
      </c>
    </row>
    <row r="5157" spans="15:15" x14ac:dyDescent="0.3">
      <c r="O5157" t="str">
        <f t="shared" si="81"/>
        <v/>
      </c>
    </row>
    <row r="5158" spans="15:15" x14ac:dyDescent="0.3">
      <c r="O5158" t="str">
        <f t="shared" si="81"/>
        <v/>
      </c>
    </row>
    <row r="5159" spans="15:15" x14ac:dyDescent="0.3">
      <c r="O5159" t="str">
        <f t="shared" si="81"/>
        <v/>
      </c>
    </row>
    <row r="5160" spans="15:15" x14ac:dyDescent="0.3">
      <c r="O5160" t="str">
        <f t="shared" si="81"/>
        <v/>
      </c>
    </row>
    <row r="5161" spans="15:15" x14ac:dyDescent="0.3">
      <c r="O5161" t="str">
        <f t="shared" si="81"/>
        <v/>
      </c>
    </row>
    <row r="5162" spans="15:15" x14ac:dyDescent="0.3">
      <c r="O5162" t="str">
        <f t="shared" si="81"/>
        <v/>
      </c>
    </row>
    <row r="5163" spans="15:15" x14ac:dyDescent="0.3">
      <c r="O5163" t="str">
        <f t="shared" si="81"/>
        <v/>
      </c>
    </row>
    <row r="5164" spans="15:15" x14ac:dyDescent="0.3">
      <c r="O5164" t="str">
        <f t="shared" si="81"/>
        <v/>
      </c>
    </row>
    <row r="5165" spans="15:15" x14ac:dyDescent="0.3">
      <c r="O5165" t="str">
        <f t="shared" si="81"/>
        <v/>
      </c>
    </row>
    <row r="5166" spans="15:15" x14ac:dyDescent="0.3">
      <c r="O5166" t="str">
        <f t="shared" si="81"/>
        <v/>
      </c>
    </row>
    <row r="5167" spans="15:15" x14ac:dyDescent="0.3">
      <c r="O5167" t="str">
        <f t="shared" si="81"/>
        <v/>
      </c>
    </row>
    <row r="5168" spans="15:15" x14ac:dyDescent="0.3">
      <c r="O5168" t="str">
        <f t="shared" si="81"/>
        <v/>
      </c>
    </row>
    <row r="5169" spans="15:15" x14ac:dyDescent="0.3">
      <c r="O5169" t="str">
        <f t="shared" si="81"/>
        <v/>
      </c>
    </row>
    <row r="5170" spans="15:15" x14ac:dyDescent="0.3">
      <c r="O5170" t="str">
        <f t="shared" si="81"/>
        <v/>
      </c>
    </row>
    <row r="5171" spans="15:15" x14ac:dyDescent="0.3">
      <c r="O5171" t="str">
        <f t="shared" si="81"/>
        <v/>
      </c>
    </row>
    <row r="5172" spans="15:15" x14ac:dyDescent="0.3">
      <c r="O5172" t="str">
        <f t="shared" si="81"/>
        <v/>
      </c>
    </row>
    <row r="5173" spans="15:15" x14ac:dyDescent="0.3">
      <c r="O5173" t="str">
        <f t="shared" si="81"/>
        <v/>
      </c>
    </row>
    <row r="5174" spans="15:15" x14ac:dyDescent="0.3">
      <c r="O5174" t="str">
        <f t="shared" si="81"/>
        <v/>
      </c>
    </row>
    <row r="5175" spans="15:15" x14ac:dyDescent="0.3">
      <c r="O5175" t="str">
        <f t="shared" si="81"/>
        <v/>
      </c>
    </row>
    <row r="5176" spans="15:15" x14ac:dyDescent="0.3">
      <c r="O5176" t="str">
        <f t="shared" si="81"/>
        <v/>
      </c>
    </row>
    <row r="5177" spans="15:15" x14ac:dyDescent="0.3">
      <c r="O5177" t="str">
        <f t="shared" si="81"/>
        <v/>
      </c>
    </row>
    <row r="5178" spans="15:15" x14ac:dyDescent="0.3">
      <c r="O5178" t="str">
        <f t="shared" si="81"/>
        <v/>
      </c>
    </row>
    <row r="5179" spans="15:15" x14ac:dyDescent="0.3">
      <c r="O5179" t="str">
        <f t="shared" si="81"/>
        <v/>
      </c>
    </row>
    <row r="5180" spans="15:15" x14ac:dyDescent="0.3">
      <c r="O5180" t="str">
        <f t="shared" si="81"/>
        <v/>
      </c>
    </row>
    <row r="5181" spans="15:15" x14ac:dyDescent="0.3">
      <c r="O5181" t="str">
        <f t="shared" si="81"/>
        <v/>
      </c>
    </row>
    <row r="5182" spans="15:15" x14ac:dyDescent="0.3">
      <c r="O5182" t="str">
        <f t="shared" si="81"/>
        <v/>
      </c>
    </row>
    <row r="5183" spans="15:15" x14ac:dyDescent="0.3">
      <c r="O5183" t="str">
        <f t="shared" si="81"/>
        <v/>
      </c>
    </row>
    <row r="5184" spans="15:15" x14ac:dyDescent="0.3">
      <c r="O5184" t="str">
        <f t="shared" si="81"/>
        <v/>
      </c>
    </row>
    <row r="5185" spans="15:15" x14ac:dyDescent="0.3">
      <c r="O5185" t="str">
        <f t="shared" si="81"/>
        <v/>
      </c>
    </row>
    <row r="5186" spans="15:15" x14ac:dyDescent="0.3">
      <c r="O5186" t="str">
        <f t="shared" si="81"/>
        <v/>
      </c>
    </row>
    <row r="5187" spans="15:15" x14ac:dyDescent="0.3">
      <c r="O5187" t="str">
        <f t="shared" si="81"/>
        <v/>
      </c>
    </row>
    <row r="5188" spans="15:15" x14ac:dyDescent="0.3">
      <c r="O5188" t="str">
        <f t="shared" si="81"/>
        <v/>
      </c>
    </row>
    <row r="5189" spans="15:15" x14ac:dyDescent="0.3">
      <c r="O5189" t="str">
        <f t="shared" si="81"/>
        <v/>
      </c>
    </row>
    <row r="5190" spans="15:15" x14ac:dyDescent="0.3">
      <c r="O5190" t="str">
        <f t="shared" si="81"/>
        <v/>
      </c>
    </row>
    <row r="5191" spans="15:15" x14ac:dyDescent="0.3">
      <c r="O5191" t="str">
        <f t="shared" si="81"/>
        <v/>
      </c>
    </row>
    <row r="5192" spans="15:15" x14ac:dyDescent="0.3">
      <c r="O5192" t="str">
        <f t="shared" si="81"/>
        <v/>
      </c>
    </row>
    <row r="5193" spans="15:15" x14ac:dyDescent="0.3">
      <c r="O5193" t="str">
        <f t="shared" si="81"/>
        <v/>
      </c>
    </row>
    <row r="5194" spans="15:15" x14ac:dyDescent="0.3">
      <c r="O5194" t="str">
        <f t="shared" ref="O5194:O5257" si="82">IF(P5194="","",O5193+1)</f>
        <v/>
      </c>
    </row>
    <row r="5195" spans="15:15" x14ac:dyDescent="0.3">
      <c r="O5195" t="str">
        <f t="shared" si="82"/>
        <v/>
      </c>
    </row>
    <row r="5196" spans="15:15" x14ac:dyDescent="0.3">
      <c r="O5196" t="str">
        <f t="shared" si="82"/>
        <v/>
      </c>
    </row>
    <row r="5197" spans="15:15" x14ac:dyDescent="0.3">
      <c r="O5197" t="str">
        <f t="shared" si="82"/>
        <v/>
      </c>
    </row>
    <row r="5198" spans="15:15" x14ac:dyDescent="0.3">
      <c r="O5198" t="str">
        <f t="shared" si="82"/>
        <v/>
      </c>
    </row>
    <row r="5199" spans="15:15" x14ac:dyDescent="0.3">
      <c r="O5199" t="str">
        <f t="shared" si="82"/>
        <v/>
      </c>
    </row>
    <row r="5200" spans="15:15" x14ac:dyDescent="0.3">
      <c r="O5200" t="str">
        <f t="shared" si="82"/>
        <v/>
      </c>
    </row>
    <row r="5201" spans="15:15" x14ac:dyDescent="0.3">
      <c r="O5201" t="str">
        <f t="shared" si="82"/>
        <v/>
      </c>
    </row>
    <row r="5202" spans="15:15" x14ac:dyDescent="0.3">
      <c r="O5202" t="str">
        <f t="shared" si="82"/>
        <v/>
      </c>
    </row>
    <row r="5203" spans="15:15" x14ac:dyDescent="0.3">
      <c r="O5203" t="str">
        <f t="shared" si="82"/>
        <v/>
      </c>
    </row>
    <row r="5204" spans="15:15" x14ac:dyDescent="0.3">
      <c r="O5204" t="str">
        <f t="shared" si="82"/>
        <v/>
      </c>
    </row>
    <row r="5205" spans="15:15" x14ac:dyDescent="0.3">
      <c r="O5205" t="str">
        <f t="shared" si="82"/>
        <v/>
      </c>
    </row>
    <row r="5206" spans="15:15" x14ac:dyDescent="0.3">
      <c r="O5206" t="str">
        <f t="shared" si="82"/>
        <v/>
      </c>
    </row>
    <row r="5207" spans="15:15" x14ac:dyDescent="0.3">
      <c r="O5207" t="str">
        <f t="shared" si="82"/>
        <v/>
      </c>
    </row>
    <row r="5208" spans="15:15" x14ac:dyDescent="0.3">
      <c r="O5208" t="str">
        <f t="shared" si="82"/>
        <v/>
      </c>
    </row>
    <row r="5209" spans="15:15" x14ac:dyDescent="0.3">
      <c r="O5209" t="str">
        <f t="shared" si="82"/>
        <v/>
      </c>
    </row>
    <row r="5210" spans="15:15" x14ac:dyDescent="0.3">
      <c r="O5210" t="str">
        <f t="shared" si="82"/>
        <v/>
      </c>
    </row>
    <row r="5211" spans="15:15" x14ac:dyDescent="0.3">
      <c r="O5211" t="str">
        <f t="shared" si="82"/>
        <v/>
      </c>
    </row>
    <row r="5212" spans="15:15" x14ac:dyDescent="0.3">
      <c r="O5212" t="str">
        <f t="shared" si="82"/>
        <v/>
      </c>
    </row>
    <row r="5213" spans="15:15" x14ac:dyDescent="0.3">
      <c r="O5213" t="str">
        <f t="shared" si="82"/>
        <v/>
      </c>
    </row>
    <row r="5214" spans="15:15" x14ac:dyDescent="0.3">
      <c r="O5214" t="str">
        <f t="shared" si="82"/>
        <v/>
      </c>
    </row>
    <row r="5215" spans="15:15" x14ac:dyDescent="0.3">
      <c r="O5215" t="str">
        <f t="shared" si="82"/>
        <v/>
      </c>
    </row>
    <row r="5216" spans="15:15" x14ac:dyDescent="0.3">
      <c r="O5216" t="str">
        <f t="shared" si="82"/>
        <v/>
      </c>
    </row>
    <row r="5217" spans="15:15" x14ac:dyDescent="0.3">
      <c r="O5217" t="str">
        <f t="shared" si="82"/>
        <v/>
      </c>
    </row>
    <row r="5218" spans="15:15" x14ac:dyDescent="0.3">
      <c r="O5218" t="str">
        <f t="shared" si="82"/>
        <v/>
      </c>
    </row>
    <row r="5219" spans="15:15" x14ac:dyDescent="0.3">
      <c r="O5219" t="str">
        <f t="shared" si="82"/>
        <v/>
      </c>
    </row>
    <row r="5220" spans="15:15" x14ac:dyDescent="0.3">
      <c r="O5220" t="str">
        <f t="shared" si="82"/>
        <v/>
      </c>
    </row>
    <row r="5221" spans="15:15" x14ac:dyDescent="0.3">
      <c r="O5221" t="str">
        <f t="shared" si="82"/>
        <v/>
      </c>
    </row>
    <row r="5222" spans="15:15" x14ac:dyDescent="0.3">
      <c r="O5222" t="str">
        <f t="shared" si="82"/>
        <v/>
      </c>
    </row>
    <row r="5223" spans="15:15" x14ac:dyDescent="0.3">
      <c r="O5223" t="str">
        <f t="shared" si="82"/>
        <v/>
      </c>
    </row>
    <row r="5224" spans="15:15" x14ac:dyDescent="0.3">
      <c r="O5224" t="str">
        <f t="shared" si="82"/>
        <v/>
      </c>
    </row>
    <row r="5225" spans="15:15" x14ac:dyDescent="0.3">
      <c r="O5225" t="str">
        <f t="shared" si="82"/>
        <v/>
      </c>
    </row>
    <row r="5226" spans="15:15" x14ac:dyDescent="0.3">
      <c r="O5226" t="str">
        <f t="shared" si="82"/>
        <v/>
      </c>
    </row>
    <row r="5227" spans="15:15" x14ac:dyDescent="0.3">
      <c r="O5227" t="str">
        <f t="shared" si="82"/>
        <v/>
      </c>
    </row>
    <row r="5228" spans="15:15" x14ac:dyDescent="0.3">
      <c r="O5228" t="str">
        <f t="shared" si="82"/>
        <v/>
      </c>
    </row>
    <row r="5229" spans="15:15" x14ac:dyDescent="0.3">
      <c r="O5229" t="str">
        <f t="shared" si="82"/>
        <v/>
      </c>
    </row>
    <row r="5230" spans="15:15" x14ac:dyDescent="0.3">
      <c r="O5230" t="str">
        <f t="shared" si="82"/>
        <v/>
      </c>
    </row>
    <row r="5231" spans="15:15" x14ac:dyDescent="0.3">
      <c r="O5231" t="str">
        <f t="shared" si="82"/>
        <v/>
      </c>
    </row>
    <row r="5232" spans="15:15" x14ac:dyDescent="0.3">
      <c r="O5232" t="str">
        <f t="shared" si="82"/>
        <v/>
      </c>
    </row>
    <row r="5233" spans="15:15" x14ac:dyDescent="0.3">
      <c r="O5233" t="str">
        <f t="shared" si="82"/>
        <v/>
      </c>
    </row>
    <row r="5234" spans="15:15" x14ac:dyDescent="0.3">
      <c r="O5234" t="str">
        <f t="shared" si="82"/>
        <v/>
      </c>
    </row>
    <row r="5235" spans="15:15" x14ac:dyDescent="0.3">
      <c r="O5235" t="str">
        <f t="shared" si="82"/>
        <v/>
      </c>
    </row>
    <row r="5236" spans="15:15" x14ac:dyDescent="0.3">
      <c r="O5236" t="str">
        <f t="shared" si="82"/>
        <v/>
      </c>
    </row>
    <row r="5237" spans="15:15" x14ac:dyDescent="0.3">
      <c r="O5237" t="str">
        <f t="shared" si="82"/>
        <v/>
      </c>
    </row>
    <row r="5238" spans="15:15" x14ac:dyDescent="0.3">
      <c r="O5238" t="str">
        <f t="shared" si="82"/>
        <v/>
      </c>
    </row>
    <row r="5239" spans="15:15" x14ac:dyDescent="0.3">
      <c r="O5239" t="str">
        <f t="shared" si="82"/>
        <v/>
      </c>
    </row>
    <row r="5240" spans="15:15" x14ac:dyDescent="0.3">
      <c r="O5240" t="str">
        <f t="shared" si="82"/>
        <v/>
      </c>
    </row>
    <row r="5241" spans="15:15" x14ac:dyDescent="0.3">
      <c r="O5241" t="str">
        <f t="shared" si="82"/>
        <v/>
      </c>
    </row>
    <row r="5242" spans="15:15" x14ac:dyDescent="0.3">
      <c r="O5242" t="str">
        <f t="shared" si="82"/>
        <v/>
      </c>
    </row>
    <row r="5243" spans="15:15" x14ac:dyDescent="0.3">
      <c r="O5243" t="str">
        <f t="shared" si="82"/>
        <v/>
      </c>
    </row>
    <row r="5244" spans="15:15" x14ac:dyDescent="0.3">
      <c r="O5244" t="str">
        <f t="shared" si="82"/>
        <v/>
      </c>
    </row>
    <row r="5245" spans="15:15" x14ac:dyDescent="0.3">
      <c r="O5245" t="str">
        <f t="shared" si="82"/>
        <v/>
      </c>
    </row>
    <row r="5246" spans="15:15" x14ac:dyDescent="0.3">
      <c r="O5246" t="str">
        <f t="shared" si="82"/>
        <v/>
      </c>
    </row>
    <row r="5247" spans="15:15" x14ac:dyDescent="0.3">
      <c r="O5247" t="str">
        <f t="shared" si="82"/>
        <v/>
      </c>
    </row>
    <row r="5248" spans="15:15" x14ac:dyDescent="0.3">
      <c r="O5248" t="str">
        <f t="shared" si="82"/>
        <v/>
      </c>
    </row>
    <row r="5249" spans="15:15" x14ac:dyDescent="0.3">
      <c r="O5249" t="str">
        <f t="shared" si="82"/>
        <v/>
      </c>
    </row>
    <row r="5250" spans="15:15" x14ac:dyDescent="0.3">
      <c r="O5250" t="str">
        <f t="shared" si="82"/>
        <v/>
      </c>
    </row>
    <row r="5251" spans="15:15" x14ac:dyDescent="0.3">
      <c r="O5251" t="str">
        <f t="shared" si="82"/>
        <v/>
      </c>
    </row>
    <row r="5252" spans="15:15" x14ac:dyDescent="0.3">
      <c r="O5252" t="str">
        <f t="shared" si="82"/>
        <v/>
      </c>
    </row>
    <row r="5253" spans="15:15" x14ac:dyDescent="0.3">
      <c r="O5253" t="str">
        <f t="shared" si="82"/>
        <v/>
      </c>
    </row>
    <row r="5254" spans="15:15" x14ac:dyDescent="0.3">
      <c r="O5254" t="str">
        <f t="shared" si="82"/>
        <v/>
      </c>
    </row>
    <row r="5255" spans="15:15" x14ac:dyDescent="0.3">
      <c r="O5255" t="str">
        <f t="shared" si="82"/>
        <v/>
      </c>
    </row>
    <row r="5256" spans="15:15" x14ac:dyDescent="0.3">
      <c r="O5256" t="str">
        <f t="shared" si="82"/>
        <v/>
      </c>
    </row>
    <row r="5257" spans="15:15" x14ac:dyDescent="0.3">
      <c r="O5257" t="str">
        <f t="shared" si="82"/>
        <v/>
      </c>
    </row>
    <row r="5258" spans="15:15" x14ac:dyDescent="0.3">
      <c r="O5258" t="str">
        <f t="shared" ref="O5258:O5321" si="83">IF(P5258="","",O5257+1)</f>
        <v/>
      </c>
    </row>
    <row r="5259" spans="15:15" x14ac:dyDescent="0.3">
      <c r="O5259" t="str">
        <f t="shared" si="83"/>
        <v/>
      </c>
    </row>
    <row r="5260" spans="15:15" x14ac:dyDescent="0.3">
      <c r="O5260" t="str">
        <f t="shared" si="83"/>
        <v/>
      </c>
    </row>
    <row r="5261" spans="15:15" x14ac:dyDescent="0.3">
      <c r="O5261" t="str">
        <f t="shared" si="83"/>
        <v/>
      </c>
    </row>
    <row r="5262" spans="15:15" x14ac:dyDescent="0.3">
      <c r="O5262" t="str">
        <f t="shared" si="83"/>
        <v/>
      </c>
    </row>
    <row r="5263" spans="15:15" x14ac:dyDescent="0.3">
      <c r="O5263" t="str">
        <f t="shared" si="83"/>
        <v/>
      </c>
    </row>
    <row r="5264" spans="15:15" x14ac:dyDescent="0.3">
      <c r="O5264" t="str">
        <f t="shared" si="83"/>
        <v/>
      </c>
    </row>
    <row r="5265" spans="15:15" x14ac:dyDescent="0.3">
      <c r="O5265" t="str">
        <f t="shared" si="83"/>
        <v/>
      </c>
    </row>
    <row r="5266" spans="15:15" x14ac:dyDescent="0.3">
      <c r="O5266" t="str">
        <f t="shared" si="83"/>
        <v/>
      </c>
    </row>
    <row r="5267" spans="15:15" x14ac:dyDescent="0.3">
      <c r="O5267" t="str">
        <f t="shared" si="83"/>
        <v/>
      </c>
    </row>
    <row r="5268" spans="15:15" x14ac:dyDescent="0.3">
      <c r="O5268" t="str">
        <f t="shared" si="83"/>
        <v/>
      </c>
    </row>
    <row r="5269" spans="15:15" x14ac:dyDescent="0.3">
      <c r="O5269" t="str">
        <f t="shared" si="83"/>
        <v/>
      </c>
    </row>
    <row r="5270" spans="15:15" x14ac:dyDescent="0.3">
      <c r="O5270" t="str">
        <f t="shared" si="83"/>
        <v/>
      </c>
    </row>
    <row r="5271" spans="15:15" x14ac:dyDescent="0.3">
      <c r="O5271" t="str">
        <f t="shared" si="83"/>
        <v/>
      </c>
    </row>
    <row r="5272" spans="15:15" x14ac:dyDescent="0.3">
      <c r="O5272" t="str">
        <f t="shared" si="83"/>
        <v/>
      </c>
    </row>
    <row r="5273" spans="15:15" x14ac:dyDescent="0.3">
      <c r="O5273" t="str">
        <f t="shared" si="83"/>
        <v/>
      </c>
    </row>
    <row r="5274" spans="15:15" x14ac:dyDescent="0.3">
      <c r="O5274" t="str">
        <f t="shared" si="83"/>
        <v/>
      </c>
    </row>
    <row r="5275" spans="15:15" x14ac:dyDescent="0.3">
      <c r="O5275" t="str">
        <f t="shared" si="83"/>
        <v/>
      </c>
    </row>
    <row r="5276" spans="15:15" x14ac:dyDescent="0.3">
      <c r="O5276" t="str">
        <f t="shared" si="83"/>
        <v/>
      </c>
    </row>
    <row r="5277" spans="15:15" x14ac:dyDescent="0.3">
      <c r="O5277" t="str">
        <f t="shared" si="83"/>
        <v/>
      </c>
    </row>
    <row r="5278" spans="15:15" x14ac:dyDescent="0.3">
      <c r="O5278" t="str">
        <f t="shared" si="83"/>
        <v/>
      </c>
    </row>
    <row r="5279" spans="15:15" x14ac:dyDescent="0.3">
      <c r="O5279" t="str">
        <f t="shared" si="83"/>
        <v/>
      </c>
    </row>
    <row r="5280" spans="15:15" x14ac:dyDescent="0.3">
      <c r="O5280" t="str">
        <f t="shared" si="83"/>
        <v/>
      </c>
    </row>
    <row r="5281" spans="15:15" x14ac:dyDescent="0.3">
      <c r="O5281" t="str">
        <f t="shared" si="83"/>
        <v/>
      </c>
    </row>
    <row r="5282" spans="15:15" x14ac:dyDescent="0.3">
      <c r="O5282" t="str">
        <f t="shared" si="83"/>
        <v/>
      </c>
    </row>
    <row r="5283" spans="15:15" x14ac:dyDescent="0.3">
      <c r="O5283" t="str">
        <f t="shared" si="83"/>
        <v/>
      </c>
    </row>
    <row r="5284" spans="15:15" x14ac:dyDescent="0.3">
      <c r="O5284" t="str">
        <f t="shared" si="83"/>
        <v/>
      </c>
    </row>
    <row r="5285" spans="15:15" x14ac:dyDescent="0.3">
      <c r="O5285" t="str">
        <f t="shared" si="83"/>
        <v/>
      </c>
    </row>
    <row r="5286" spans="15:15" x14ac:dyDescent="0.3">
      <c r="O5286" t="str">
        <f t="shared" si="83"/>
        <v/>
      </c>
    </row>
    <row r="5287" spans="15:15" x14ac:dyDescent="0.3">
      <c r="O5287" t="str">
        <f t="shared" si="83"/>
        <v/>
      </c>
    </row>
    <row r="5288" spans="15:15" x14ac:dyDescent="0.3">
      <c r="O5288" t="str">
        <f t="shared" si="83"/>
        <v/>
      </c>
    </row>
    <row r="5289" spans="15:15" x14ac:dyDescent="0.3">
      <c r="O5289" t="str">
        <f t="shared" si="83"/>
        <v/>
      </c>
    </row>
    <row r="5290" spans="15:15" x14ac:dyDescent="0.3">
      <c r="O5290" t="str">
        <f t="shared" si="83"/>
        <v/>
      </c>
    </row>
    <row r="5291" spans="15:15" x14ac:dyDescent="0.3">
      <c r="O5291" t="str">
        <f t="shared" si="83"/>
        <v/>
      </c>
    </row>
    <row r="5292" spans="15:15" x14ac:dyDescent="0.3">
      <c r="O5292" t="str">
        <f t="shared" si="83"/>
        <v/>
      </c>
    </row>
    <row r="5293" spans="15:15" x14ac:dyDescent="0.3">
      <c r="O5293" t="str">
        <f t="shared" si="83"/>
        <v/>
      </c>
    </row>
    <row r="5294" spans="15:15" x14ac:dyDescent="0.3">
      <c r="O5294" t="str">
        <f t="shared" si="83"/>
        <v/>
      </c>
    </row>
    <row r="5295" spans="15:15" x14ac:dyDescent="0.3">
      <c r="O5295" t="str">
        <f t="shared" si="83"/>
        <v/>
      </c>
    </row>
    <row r="5296" spans="15:15" x14ac:dyDescent="0.3">
      <c r="O5296" t="str">
        <f t="shared" si="83"/>
        <v/>
      </c>
    </row>
    <row r="5297" spans="15:15" x14ac:dyDescent="0.3">
      <c r="O5297" t="str">
        <f t="shared" si="83"/>
        <v/>
      </c>
    </row>
    <row r="5298" spans="15:15" x14ac:dyDescent="0.3">
      <c r="O5298" t="str">
        <f t="shared" si="83"/>
        <v/>
      </c>
    </row>
    <row r="5299" spans="15:15" x14ac:dyDescent="0.3">
      <c r="O5299" t="str">
        <f t="shared" si="83"/>
        <v/>
      </c>
    </row>
    <row r="5300" spans="15:15" x14ac:dyDescent="0.3">
      <c r="O5300" t="str">
        <f t="shared" si="83"/>
        <v/>
      </c>
    </row>
    <row r="5301" spans="15:15" x14ac:dyDescent="0.3">
      <c r="O5301" t="str">
        <f t="shared" si="83"/>
        <v/>
      </c>
    </row>
    <row r="5302" spans="15:15" x14ac:dyDescent="0.3">
      <c r="O5302" t="str">
        <f t="shared" si="83"/>
        <v/>
      </c>
    </row>
    <row r="5303" spans="15:15" x14ac:dyDescent="0.3">
      <c r="O5303" t="str">
        <f t="shared" si="83"/>
        <v/>
      </c>
    </row>
    <row r="5304" spans="15:15" x14ac:dyDescent="0.3">
      <c r="O5304" t="str">
        <f t="shared" si="83"/>
        <v/>
      </c>
    </row>
    <row r="5305" spans="15:15" x14ac:dyDescent="0.3">
      <c r="O5305" t="str">
        <f t="shared" si="83"/>
        <v/>
      </c>
    </row>
    <row r="5306" spans="15:15" x14ac:dyDescent="0.3">
      <c r="O5306" t="str">
        <f t="shared" si="83"/>
        <v/>
      </c>
    </row>
    <row r="5307" spans="15:15" x14ac:dyDescent="0.3">
      <c r="O5307" t="str">
        <f t="shared" si="83"/>
        <v/>
      </c>
    </row>
    <row r="5308" spans="15:15" x14ac:dyDescent="0.3">
      <c r="O5308" t="str">
        <f t="shared" si="83"/>
        <v/>
      </c>
    </row>
    <row r="5309" spans="15:15" x14ac:dyDescent="0.3">
      <c r="O5309" t="str">
        <f t="shared" si="83"/>
        <v/>
      </c>
    </row>
    <row r="5310" spans="15:15" x14ac:dyDescent="0.3">
      <c r="O5310" t="str">
        <f t="shared" si="83"/>
        <v/>
      </c>
    </row>
    <row r="5311" spans="15:15" x14ac:dyDescent="0.3">
      <c r="O5311" t="str">
        <f t="shared" si="83"/>
        <v/>
      </c>
    </row>
    <row r="5312" spans="15:15" x14ac:dyDescent="0.3">
      <c r="O5312" t="str">
        <f t="shared" si="83"/>
        <v/>
      </c>
    </row>
    <row r="5313" spans="15:15" x14ac:dyDescent="0.3">
      <c r="O5313" t="str">
        <f t="shared" si="83"/>
        <v/>
      </c>
    </row>
    <row r="5314" spans="15:15" x14ac:dyDescent="0.3">
      <c r="O5314" t="str">
        <f t="shared" si="83"/>
        <v/>
      </c>
    </row>
    <row r="5315" spans="15:15" x14ac:dyDescent="0.3">
      <c r="O5315" t="str">
        <f t="shared" si="83"/>
        <v/>
      </c>
    </row>
    <row r="5316" spans="15:15" x14ac:dyDescent="0.3">
      <c r="O5316" t="str">
        <f t="shared" si="83"/>
        <v/>
      </c>
    </row>
    <row r="5317" spans="15:15" x14ac:dyDescent="0.3">
      <c r="O5317" t="str">
        <f t="shared" si="83"/>
        <v/>
      </c>
    </row>
    <row r="5318" spans="15:15" x14ac:dyDescent="0.3">
      <c r="O5318" t="str">
        <f t="shared" si="83"/>
        <v/>
      </c>
    </row>
    <row r="5319" spans="15:15" x14ac:dyDescent="0.3">
      <c r="O5319" t="str">
        <f t="shared" si="83"/>
        <v/>
      </c>
    </row>
    <row r="5320" spans="15:15" x14ac:dyDescent="0.3">
      <c r="O5320" t="str">
        <f t="shared" si="83"/>
        <v/>
      </c>
    </row>
    <row r="5321" spans="15:15" x14ac:dyDescent="0.3">
      <c r="O5321" t="str">
        <f t="shared" si="83"/>
        <v/>
      </c>
    </row>
    <row r="5322" spans="15:15" x14ac:dyDescent="0.3">
      <c r="O5322" t="str">
        <f t="shared" ref="O5322:O5385" si="84">IF(P5322="","",O5321+1)</f>
        <v/>
      </c>
    </row>
    <row r="5323" spans="15:15" x14ac:dyDescent="0.3">
      <c r="O5323" t="str">
        <f t="shared" si="84"/>
        <v/>
      </c>
    </row>
    <row r="5324" spans="15:15" x14ac:dyDescent="0.3">
      <c r="O5324" t="str">
        <f t="shared" si="84"/>
        <v/>
      </c>
    </row>
    <row r="5325" spans="15:15" x14ac:dyDescent="0.3">
      <c r="O5325" t="str">
        <f t="shared" si="84"/>
        <v/>
      </c>
    </row>
    <row r="5326" spans="15:15" x14ac:dyDescent="0.3">
      <c r="O5326" t="str">
        <f t="shared" si="84"/>
        <v/>
      </c>
    </row>
    <row r="5327" spans="15:15" x14ac:dyDescent="0.3">
      <c r="O5327" t="str">
        <f t="shared" si="84"/>
        <v/>
      </c>
    </row>
    <row r="5328" spans="15:15" x14ac:dyDescent="0.3">
      <c r="O5328" t="str">
        <f t="shared" si="84"/>
        <v/>
      </c>
    </row>
    <row r="5329" spans="15:15" x14ac:dyDescent="0.3">
      <c r="O5329" t="str">
        <f t="shared" si="84"/>
        <v/>
      </c>
    </row>
    <row r="5330" spans="15:15" x14ac:dyDescent="0.3">
      <c r="O5330" t="str">
        <f t="shared" si="84"/>
        <v/>
      </c>
    </row>
    <row r="5331" spans="15:15" x14ac:dyDescent="0.3">
      <c r="O5331" t="str">
        <f t="shared" si="84"/>
        <v/>
      </c>
    </row>
    <row r="5332" spans="15:15" x14ac:dyDescent="0.3">
      <c r="O5332" t="str">
        <f t="shared" si="84"/>
        <v/>
      </c>
    </row>
    <row r="5333" spans="15:15" x14ac:dyDescent="0.3">
      <c r="O5333" t="str">
        <f t="shared" si="84"/>
        <v/>
      </c>
    </row>
    <row r="5334" spans="15:15" x14ac:dyDescent="0.3">
      <c r="O5334" t="str">
        <f t="shared" si="84"/>
        <v/>
      </c>
    </row>
    <row r="5335" spans="15:15" x14ac:dyDescent="0.3">
      <c r="O5335" t="str">
        <f t="shared" si="84"/>
        <v/>
      </c>
    </row>
    <row r="5336" spans="15:15" x14ac:dyDescent="0.3">
      <c r="O5336" t="str">
        <f t="shared" si="84"/>
        <v/>
      </c>
    </row>
    <row r="5337" spans="15:15" x14ac:dyDescent="0.3">
      <c r="O5337" t="str">
        <f t="shared" si="84"/>
        <v/>
      </c>
    </row>
    <row r="5338" spans="15:15" x14ac:dyDescent="0.3">
      <c r="O5338" t="str">
        <f t="shared" si="84"/>
        <v/>
      </c>
    </row>
    <row r="5339" spans="15:15" x14ac:dyDescent="0.3">
      <c r="O5339" t="str">
        <f t="shared" si="84"/>
        <v/>
      </c>
    </row>
    <row r="5340" spans="15:15" x14ac:dyDescent="0.3">
      <c r="O5340" t="str">
        <f t="shared" si="84"/>
        <v/>
      </c>
    </row>
    <row r="5341" spans="15:15" x14ac:dyDescent="0.3">
      <c r="O5341" t="str">
        <f t="shared" si="84"/>
        <v/>
      </c>
    </row>
    <row r="5342" spans="15:15" x14ac:dyDescent="0.3">
      <c r="O5342" t="str">
        <f t="shared" si="84"/>
        <v/>
      </c>
    </row>
    <row r="5343" spans="15:15" x14ac:dyDescent="0.3">
      <c r="O5343" t="str">
        <f t="shared" si="84"/>
        <v/>
      </c>
    </row>
    <row r="5344" spans="15:15" x14ac:dyDescent="0.3">
      <c r="O5344" t="str">
        <f t="shared" si="84"/>
        <v/>
      </c>
    </row>
    <row r="5345" spans="15:15" x14ac:dyDescent="0.3">
      <c r="O5345" t="str">
        <f t="shared" si="84"/>
        <v/>
      </c>
    </row>
    <row r="5346" spans="15:15" x14ac:dyDescent="0.3">
      <c r="O5346" t="str">
        <f t="shared" si="84"/>
        <v/>
      </c>
    </row>
    <row r="5347" spans="15:15" x14ac:dyDescent="0.3">
      <c r="O5347" t="str">
        <f t="shared" si="84"/>
        <v/>
      </c>
    </row>
    <row r="5348" spans="15:15" x14ac:dyDescent="0.3">
      <c r="O5348" t="str">
        <f t="shared" si="84"/>
        <v/>
      </c>
    </row>
    <row r="5349" spans="15:15" x14ac:dyDescent="0.3">
      <c r="O5349" t="str">
        <f t="shared" si="84"/>
        <v/>
      </c>
    </row>
    <row r="5350" spans="15:15" x14ac:dyDescent="0.3">
      <c r="O5350" t="str">
        <f t="shared" si="84"/>
        <v/>
      </c>
    </row>
    <row r="5351" spans="15:15" x14ac:dyDescent="0.3">
      <c r="O5351" t="str">
        <f t="shared" si="84"/>
        <v/>
      </c>
    </row>
    <row r="5352" spans="15:15" x14ac:dyDescent="0.3">
      <c r="O5352" t="str">
        <f t="shared" si="84"/>
        <v/>
      </c>
    </row>
    <row r="5353" spans="15:15" x14ac:dyDescent="0.3">
      <c r="O5353" t="str">
        <f t="shared" si="84"/>
        <v/>
      </c>
    </row>
    <row r="5354" spans="15:15" x14ac:dyDescent="0.3">
      <c r="O5354" t="str">
        <f t="shared" si="84"/>
        <v/>
      </c>
    </row>
    <row r="5355" spans="15:15" x14ac:dyDescent="0.3">
      <c r="O5355" t="str">
        <f t="shared" si="84"/>
        <v/>
      </c>
    </row>
    <row r="5356" spans="15:15" x14ac:dyDescent="0.3">
      <c r="O5356" t="str">
        <f t="shared" si="84"/>
        <v/>
      </c>
    </row>
    <row r="5357" spans="15:15" x14ac:dyDescent="0.3">
      <c r="O5357" t="str">
        <f t="shared" si="84"/>
        <v/>
      </c>
    </row>
    <row r="5358" spans="15:15" x14ac:dyDescent="0.3">
      <c r="O5358" t="str">
        <f t="shared" si="84"/>
        <v/>
      </c>
    </row>
    <row r="5359" spans="15:15" x14ac:dyDescent="0.3">
      <c r="O5359" t="str">
        <f t="shared" si="84"/>
        <v/>
      </c>
    </row>
    <row r="5360" spans="15:15" x14ac:dyDescent="0.3">
      <c r="O5360" t="str">
        <f t="shared" si="84"/>
        <v/>
      </c>
    </row>
    <row r="5361" spans="15:15" x14ac:dyDescent="0.3">
      <c r="O5361" t="str">
        <f t="shared" si="84"/>
        <v/>
      </c>
    </row>
    <row r="5362" spans="15:15" x14ac:dyDescent="0.3">
      <c r="O5362" t="str">
        <f t="shared" si="84"/>
        <v/>
      </c>
    </row>
    <row r="5363" spans="15:15" x14ac:dyDescent="0.3">
      <c r="O5363" t="str">
        <f t="shared" si="84"/>
        <v/>
      </c>
    </row>
    <row r="5364" spans="15:15" x14ac:dyDescent="0.3">
      <c r="O5364" t="str">
        <f t="shared" si="84"/>
        <v/>
      </c>
    </row>
    <row r="5365" spans="15:15" x14ac:dyDescent="0.3">
      <c r="O5365" t="str">
        <f t="shared" si="84"/>
        <v/>
      </c>
    </row>
    <row r="5366" spans="15:15" x14ac:dyDescent="0.3">
      <c r="O5366" t="str">
        <f t="shared" si="84"/>
        <v/>
      </c>
    </row>
    <row r="5367" spans="15:15" x14ac:dyDescent="0.3">
      <c r="O5367" t="str">
        <f t="shared" si="84"/>
        <v/>
      </c>
    </row>
    <row r="5368" spans="15:15" x14ac:dyDescent="0.3">
      <c r="O5368" t="str">
        <f t="shared" si="84"/>
        <v/>
      </c>
    </row>
    <row r="5369" spans="15:15" x14ac:dyDescent="0.3">
      <c r="O5369" t="str">
        <f t="shared" si="84"/>
        <v/>
      </c>
    </row>
    <row r="5370" spans="15:15" x14ac:dyDescent="0.3">
      <c r="O5370" t="str">
        <f t="shared" si="84"/>
        <v/>
      </c>
    </row>
    <row r="5371" spans="15:15" x14ac:dyDescent="0.3">
      <c r="O5371" t="str">
        <f t="shared" si="84"/>
        <v/>
      </c>
    </row>
    <row r="5372" spans="15:15" x14ac:dyDescent="0.3">
      <c r="O5372" t="str">
        <f t="shared" si="84"/>
        <v/>
      </c>
    </row>
    <row r="5373" spans="15:15" x14ac:dyDescent="0.3">
      <c r="O5373" t="str">
        <f t="shared" si="84"/>
        <v/>
      </c>
    </row>
    <row r="5374" spans="15:15" x14ac:dyDescent="0.3">
      <c r="O5374" t="str">
        <f t="shared" si="84"/>
        <v/>
      </c>
    </row>
    <row r="5375" spans="15:15" x14ac:dyDescent="0.3">
      <c r="O5375" t="str">
        <f t="shared" si="84"/>
        <v/>
      </c>
    </row>
    <row r="5376" spans="15:15" x14ac:dyDescent="0.3">
      <c r="O5376" t="str">
        <f t="shared" si="84"/>
        <v/>
      </c>
    </row>
    <row r="5377" spans="15:15" x14ac:dyDescent="0.3">
      <c r="O5377" t="str">
        <f t="shared" si="84"/>
        <v/>
      </c>
    </row>
    <row r="5378" spans="15:15" x14ac:dyDescent="0.3">
      <c r="O5378" t="str">
        <f t="shared" si="84"/>
        <v/>
      </c>
    </row>
    <row r="5379" spans="15:15" x14ac:dyDescent="0.3">
      <c r="O5379" t="str">
        <f t="shared" si="84"/>
        <v/>
      </c>
    </row>
    <row r="5380" spans="15:15" x14ac:dyDescent="0.3">
      <c r="O5380" t="str">
        <f t="shared" si="84"/>
        <v/>
      </c>
    </row>
    <row r="5381" spans="15:15" x14ac:dyDescent="0.3">
      <c r="O5381" t="str">
        <f t="shared" si="84"/>
        <v/>
      </c>
    </row>
    <row r="5382" spans="15:15" x14ac:dyDescent="0.3">
      <c r="O5382" t="str">
        <f t="shared" si="84"/>
        <v/>
      </c>
    </row>
    <row r="5383" spans="15:15" x14ac:dyDescent="0.3">
      <c r="O5383" t="str">
        <f t="shared" si="84"/>
        <v/>
      </c>
    </row>
    <row r="5384" spans="15:15" x14ac:dyDescent="0.3">
      <c r="O5384" t="str">
        <f t="shared" si="84"/>
        <v/>
      </c>
    </row>
    <row r="5385" spans="15:15" x14ac:dyDescent="0.3">
      <c r="O5385" t="str">
        <f t="shared" si="84"/>
        <v/>
      </c>
    </row>
    <row r="5386" spans="15:15" x14ac:dyDescent="0.3">
      <c r="O5386" t="str">
        <f t="shared" ref="O5386:O5449" si="85">IF(P5386="","",O5385+1)</f>
        <v/>
      </c>
    </row>
    <row r="5387" spans="15:15" x14ac:dyDescent="0.3">
      <c r="O5387" t="str">
        <f t="shared" si="85"/>
        <v/>
      </c>
    </row>
    <row r="5388" spans="15:15" x14ac:dyDescent="0.3">
      <c r="O5388" t="str">
        <f t="shared" si="85"/>
        <v/>
      </c>
    </row>
    <row r="5389" spans="15:15" x14ac:dyDescent="0.3">
      <c r="O5389" t="str">
        <f t="shared" si="85"/>
        <v/>
      </c>
    </row>
    <row r="5390" spans="15:15" x14ac:dyDescent="0.3">
      <c r="O5390" t="str">
        <f t="shared" si="85"/>
        <v/>
      </c>
    </row>
    <row r="5391" spans="15:15" x14ac:dyDescent="0.3">
      <c r="O5391" t="str">
        <f t="shared" si="85"/>
        <v/>
      </c>
    </row>
    <row r="5392" spans="15:15" x14ac:dyDescent="0.3">
      <c r="O5392" t="str">
        <f t="shared" si="85"/>
        <v/>
      </c>
    </row>
    <row r="5393" spans="15:15" x14ac:dyDescent="0.3">
      <c r="O5393" t="str">
        <f t="shared" si="85"/>
        <v/>
      </c>
    </row>
    <row r="5394" spans="15:15" x14ac:dyDescent="0.3">
      <c r="O5394" t="str">
        <f t="shared" si="85"/>
        <v/>
      </c>
    </row>
    <row r="5395" spans="15:15" x14ac:dyDescent="0.3">
      <c r="O5395" t="str">
        <f t="shared" si="85"/>
        <v/>
      </c>
    </row>
    <row r="5396" spans="15:15" x14ac:dyDescent="0.3">
      <c r="O5396" t="str">
        <f t="shared" si="85"/>
        <v/>
      </c>
    </row>
    <row r="5397" spans="15:15" x14ac:dyDescent="0.3">
      <c r="O5397" t="str">
        <f t="shared" si="85"/>
        <v/>
      </c>
    </row>
    <row r="5398" spans="15:15" x14ac:dyDescent="0.3">
      <c r="O5398" t="str">
        <f t="shared" si="85"/>
        <v/>
      </c>
    </row>
    <row r="5399" spans="15:15" x14ac:dyDescent="0.3">
      <c r="O5399" t="str">
        <f t="shared" si="85"/>
        <v/>
      </c>
    </row>
    <row r="5400" spans="15:15" x14ac:dyDescent="0.3">
      <c r="O5400" t="str">
        <f t="shared" si="85"/>
        <v/>
      </c>
    </row>
    <row r="5401" spans="15:15" x14ac:dyDescent="0.3">
      <c r="O5401" t="str">
        <f t="shared" si="85"/>
        <v/>
      </c>
    </row>
    <row r="5402" spans="15:15" x14ac:dyDescent="0.3">
      <c r="O5402" t="str">
        <f t="shared" si="85"/>
        <v/>
      </c>
    </row>
    <row r="5403" spans="15:15" x14ac:dyDescent="0.3">
      <c r="O5403" t="str">
        <f t="shared" si="85"/>
        <v/>
      </c>
    </row>
    <row r="5404" spans="15:15" x14ac:dyDescent="0.3">
      <c r="O5404" t="str">
        <f t="shared" si="85"/>
        <v/>
      </c>
    </row>
    <row r="5405" spans="15:15" x14ac:dyDescent="0.3">
      <c r="O5405" t="str">
        <f t="shared" si="85"/>
        <v/>
      </c>
    </row>
    <row r="5406" spans="15:15" x14ac:dyDescent="0.3">
      <c r="O5406" t="str">
        <f t="shared" si="85"/>
        <v/>
      </c>
    </row>
    <row r="5407" spans="15:15" x14ac:dyDescent="0.3">
      <c r="O5407" t="str">
        <f t="shared" si="85"/>
        <v/>
      </c>
    </row>
    <row r="5408" spans="15:15" x14ac:dyDescent="0.3">
      <c r="O5408" t="str">
        <f t="shared" si="85"/>
        <v/>
      </c>
    </row>
    <row r="5409" spans="15:15" x14ac:dyDescent="0.3">
      <c r="O5409" t="str">
        <f t="shared" si="85"/>
        <v/>
      </c>
    </row>
    <row r="5410" spans="15:15" x14ac:dyDescent="0.3">
      <c r="O5410" t="str">
        <f t="shared" si="85"/>
        <v/>
      </c>
    </row>
    <row r="5411" spans="15:15" x14ac:dyDescent="0.3">
      <c r="O5411" t="str">
        <f t="shared" si="85"/>
        <v/>
      </c>
    </row>
    <row r="5412" spans="15:15" x14ac:dyDescent="0.3">
      <c r="O5412" t="str">
        <f t="shared" si="85"/>
        <v/>
      </c>
    </row>
    <row r="5413" spans="15:15" x14ac:dyDescent="0.3">
      <c r="O5413" t="str">
        <f t="shared" si="85"/>
        <v/>
      </c>
    </row>
    <row r="5414" spans="15:15" x14ac:dyDescent="0.3">
      <c r="O5414" t="str">
        <f t="shared" si="85"/>
        <v/>
      </c>
    </row>
    <row r="5415" spans="15:15" x14ac:dyDescent="0.3">
      <c r="O5415" t="str">
        <f t="shared" si="85"/>
        <v/>
      </c>
    </row>
    <row r="5416" spans="15:15" x14ac:dyDescent="0.3">
      <c r="O5416" t="str">
        <f t="shared" si="85"/>
        <v/>
      </c>
    </row>
    <row r="5417" spans="15:15" x14ac:dyDescent="0.3">
      <c r="O5417" t="str">
        <f t="shared" si="85"/>
        <v/>
      </c>
    </row>
    <row r="5418" spans="15:15" x14ac:dyDescent="0.3">
      <c r="O5418" t="str">
        <f t="shared" si="85"/>
        <v/>
      </c>
    </row>
    <row r="5419" spans="15:15" x14ac:dyDescent="0.3">
      <c r="O5419" t="str">
        <f t="shared" si="85"/>
        <v/>
      </c>
    </row>
    <row r="5420" spans="15:15" x14ac:dyDescent="0.3">
      <c r="O5420" t="str">
        <f t="shared" si="85"/>
        <v/>
      </c>
    </row>
    <row r="5421" spans="15:15" x14ac:dyDescent="0.3">
      <c r="O5421" t="str">
        <f t="shared" si="85"/>
        <v/>
      </c>
    </row>
    <row r="5422" spans="15:15" x14ac:dyDescent="0.3">
      <c r="O5422" t="str">
        <f t="shared" si="85"/>
        <v/>
      </c>
    </row>
    <row r="5423" spans="15:15" x14ac:dyDescent="0.3">
      <c r="O5423" t="str">
        <f t="shared" si="85"/>
        <v/>
      </c>
    </row>
    <row r="5424" spans="15:15" x14ac:dyDescent="0.3">
      <c r="O5424" t="str">
        <f t="shared" si="85"/>
        <v/>
      </c>
    </row>
    <row r="5425" spans="15:15" x14ac:dyDescent="0.3">
      <c r="O5425" t="str">
        <f t="shared" si="85"/>
        <v/>
      </c>
    </row>
    <row r="5426" spans="15:15" x14ac:dyDescent="0.3">
      <c r="O5426" t="str">
        <f t="shared" si="85"/>
        <v/>
      </c>
    </row>
    <row r="5427" spans="15:15" x14ac:dyDescent="0.3">
      <c r="O5427" t="str">
        <f t="shared" si="85"/>
        <v/>
      </c>
    </row>
    <row r="5428" spans="15:15" x14ac:dyDescent="0.3">
      <c r="O5428" t="str">
        <f t="shared" si="85"/>
        <v/>
      </c>
    </row>
    <row r="5429" spans="15:15" x14ac:dyDescent="0.3">
      <c r="O5429" t="str">
        <f t="shared" si="85"/>
        <v/>
      </c>
    </row>
    <row r="5430" spans="15:15" x14ac:dyDescent="0.3">
      <c r="O5430" t="str">
        <f t="shared" si="85"/>
        <v/>
      </c>
    </row>
    <row r="5431" spans="15:15" x14ac:dyDescent="0.3">
      <c r="O5431" t="str">
        <f t="shared" si="85"/>
        <v/>
      </c>
    </row>
    <row r="5432" spans="15:15" x14ac:dyDescent="0.3">
      <c r="O5432" t="str">
        <f t="shared" si="85"/>
        <v/>
      </c>
    </row>
    <row r="5433" spans="15:15" x14ac:dyDescent="0.3">
      <c r="O5433" t="str">
        <f t="shared" si="85"/>
        <v/>
      </c>
    </row>
    <row r="5434" spans="15:15" x14ac:dyDescent="0.3">
      <c r="O5434" t="str">
        <f t="shared" si="85"/>
        <v/>
      </c>
    </row>
    <row r="5435" spans="15:15" x14ac:dyDescent="0.3">
      <c r="O5435" t="str">
        <f t="shared" si="85"/>
        <v/>
      </c>
    </row>
    <row r="5436" spans="15:15" x14ac:dyDescent="0.3">
      <c r="O5436" t="str">
        <f t="shared" si="85"/>
        <v/>
      </c>
    </row>
    <row r="5437" spans="15:15" x14ac:dyDescent="0.3">
      <c r="O5437" t="str">
        <f t="shared" si="85"/>
        <v/>
      </c>
    </row>
    <row r="5438" spans="15:15" x14ac:dyDescent="0.3">
      <c r="O5438" t="str">
        <f t="shared" si="85"/>
        <v/>
      </c>
    </row>
    <row r="5439" spans="15:15" x14ac:dyDescent="0.3">
      <c r="O5439" t="str">
        <f t="shared" si="85"/>
        <v/>
      </c>
    </row>
    <row r="5440" spans="15:15" x14ac:dyDescent="0.3">
      <c r="O5440" t="str">
        <f t="shared" si="85"/>
        <v/>
      </c>
    </row>
    <row r="5441" spans="15:15" x14ac:dyDescent="0.3">
      <c r="O5441" t="str">
        <f t="shared" si="85"/>
        <v/>
      </c>
    </row>
    <row r="5442" spans="15:15" x14ac:dyDescent="0.3">
      <c r="O5442" t="str">
        <f t="shared" si="85"/>
        <v/>
      </c>
    </row>
    <row r="5443" spans="15:15" x14ac:dyDescent="0.3">
      <c r="O5443" t="str">
        <f t="shared" si="85"/>
        <v/>
      </c>
    </row>
    <row r="5444" spans="15:15" x14ac:dyDescent="0.3">
      <c r="O5444" t="str">
        <f t="shared" si="85"/>
        <v/>
      </c>
    </row>
    <row r="5445" spans="15:15" x14ac:dyDescent="0.3">
      <c r="O5445" t="str">
        <f t="shared" si="85"/>
        <v/>
      </c>
    </row>
    <row r="5446" spans="15:15" x14ac:dyDescent="0.3">
      <c r="O5446" t="str">
        <f t="shared" si="85"/>
        <v/>
      </c>
    </row>
    <row r="5447" spans="15:15" x14ac:dyDescent="0.3">
      <c r="O5447" t="str">
        <f t="shared" si="85"/>
        <v/>
      </c>
    </row>
    <row r="5448" spans="15:15" x14ac:dyDescent="0.3">
      <c r="O5448" t="str">
        <f t="shared" si="85"/>
        <v/>
      </c>
    </row>
    <row r="5449" spans="15:15" x14ac:dyDescent="0.3">
      <c r="O5449" t="str">
        <f t="shared" si="85"/>
        <v/>
      </c>
    </row>
    <row r="5450" spans="15:15" x14ac:dyDescent="0.3">
      <c r="O5450" t="str">
        <f t="shared" ref="O5450:O5513" si="86">IF(P5450="","",O5449+1)</f>
        <v/>
      </c>
    </row>
    <row r="5451" spans="15:15" x14ac:dyDescent="0.3">
      <c r="O5451" t="str">
        <f t="shared" si="86"/>
        <v/>
      </c>
    </row>
    <row r="5452" spans="15:15" x14ac:dyDescent="0.3">
      <c r="O5452" t="str">
        <f t="shared" si="86"/>
        <v/>
      </c>
    </row>
    <row r="5453" spans="15:15" x14ac:dyDescent="0.3">
      <c r="O5453" t="str">
        <f t="shared" si="86"/>
        <v/>
      </c>
    </row>
    <row r="5454" spans="15:15" x14ac:dyDescent="0.3">
      <c r="O5454" t="str">
        <f t="shared" si="86"/>
        <v/>
      </c>
    </row>
    <row r="5455" spans="15:15" x14ac:dyDescent="0.3">
      <c r="O5455" t="str">
        <f t="shared" si="86"/>
        <v/>
      </c>
    </row>
    <row r="5456" spans="15:15" x14ac:dyDescent="0.3">
      <c r="O5456" t="str">
        <f t="shared" si="86"/>
        <v/>
      </c>
    </row>
    <row r="5457" spans="15:15" x14ac:dyDescent="0.3">
      <c r="O5457" t="str">
        <f t="shared" si="86"/>
        <v/>
      </c>
    </row>
    <row r="5458" spans="15:15" x14ac:dyDescent="0.3">
      <c r="O5458" t="str">
        <f t="shared" si="86"/>
        <v/>
      </c>
    </row>
    <row r="5459" spans="15:15" x14ac:dyDescent="0.3">
      <c r="O5459" t="str">
        <f t="shared" si="86"/>
        <v/>
      </c>
    </row>
    <row r="5460" spans="15:15" x14ac:dyDescent="0.3">
      <c r="O5460" t="str">
        <f t="shared" si="86"/>
        <v/>
      </c>
    </row>
    <row r="5461" spans="15:15" x14ac:dyDescent="0.3">
      <c r="O5461" t="str">
        <f t="shared" si="86"/>
        <v/>
      </c>
    </row>
    <row r="5462" spans="15:15" x14ac:dyDescent="0.3">
      <c r="O5462" t="str">
        <f t="shared" si="86"/>
        <v/>
      </c>
    </row>
    <row r="5463" spans="15:15" x14ac:dyDescent="0.3">
      <c r="O5463" t="str">
        <f t="shared" si="86"/>
        <v/>
      </c>
    </row>
    <row r="5464" spans="15:15" x14ac:dyDescent="0.3">
      <c r="O5464" t="str">
        <f t="shared" si="86"/>
        <v/>
      </c>
    </row>
    <row r="5465" spans="15:15" x14ac:dyDescent="0.3">
      <c r="O5465" t="str">
        <f t="shared" si="86"/>
        <v/>
      </c>
    </row>
    <row r="5466" spans="15:15" x14ac:dyDescent="0.3">
      <c r="O5466" t="str">
        <f t="shared" si="86"/>
        <v/>
      </c>
    </row>
    <row r="5467" spans="15:15" x14ac:dyDescent="0.3">
      <c r="O5467" t="str">
        <f t="shared" si="86"/>
        <v/>
      </c>
    </row>
    <row r="5468" spans="15:15" x14ac:dyDescent="0.3">
      <c r="O5468" t="str">
        <f t="shared" si="86"/>
        <v/>
      </c>
    </row>
    <row r="5469" spans="15:15" x14ac:dyDescent="0.3">
      <c r="O5469" t="str">
        <f t="shared" si="86"/>
        <v/>
      </c>
    </row>
    <row r="5470" spans="15:15" x14ac:dyDescent="0.3">
      <c r="O5470" t="str">
        <f t="shared" si="86"/>
        <v/>
      </c>
    </row>
    <row r="5471" spans="15:15" x14ac:dyDescent="0.3">
      <c r="O5471" t="str">
        <f t="shared" si="86"/>
        <v/>
      </c>
    </row>
    <row r="5472" spans="15:15" x14ac:dyDescent="0.3">
      <c r="O5472" t="str">
        <f t="shared" si="86"/>
        <v/>
      </c>
    </row>
    <row r="5473" spans="15:15" x14ac:dyDescent="0.3">
      <c r="O5473" t="str">
        <f t="shared" si="86"/>
        <v/>
      </c>
    </row>
    <row r="5474" spans="15:15" x14ac:dyDescent="0.3">
      <c r="O5474" t="str">
        <f t="shared" si="86"/>
        <v/>
      </c>
    </row>
    <row r="5475" spans="15:15" x14ac:dyDescent="0.3">
      <c r="O5475" t="str">
        <f t="shared" si="86"/>
        <v/>
      </c>
    </row>
    <row r="5476" spans="15:15" x14ac:dyDescent="0.3">
      <c r="O5476" t="str">
        <f t="shared" si="86"/>
        <v/>
      </c>
    </row>
    <row r="5477" spans="15:15" x14ac:dyDescent="0.3">
      <c r="O5477" t="str">
        <f t="shared" si="86"/>
        <v/>
      </c>
    </row>
    <row r="5478" spans="15:15" x14ac:dyDescent="0.3">
      <c r="O5478" t="str">
        <f t="shared" si="86"/>
        <v/>
      </c>
    </row>
    <row r="5479" spans="15:15" x14ac:dyDescent="0.3">
      <c r="O5479" t="str">
        <f t="shared" si="86"/>
        <v/>
      </c>
    </row>
    <row r="5480" spans="15:15" x14ac:dyDescent="0.3">
      <c r="O5480" t="str">
        <f t="shared" si="86"/>
        <v/>
      </c>
    </row>
    <row r="5481" spans="15:15" x14ac:dyDescent="0.3">
      <c r="O5481" t="str">
        <f t="shared" si="86"/>
        <v/>
      </c>
    </row>
    <row r="5482" spans="15:15" x14ac:dyDescent="0.3">
      <c r="O5482" t="str">
        <f t="shared" si="86"/>
        <v/>
      </c>
    </row>
    <row r="5483" spans="15:15" x14ac:dyDescent="0.3">
      <c r="O5483" t="str">
        <f t="shared" si="86"/>
        <v/>
      </c>
    </row>
    <row r="5484" spans="15:15" x14ac:dyDescent="0.3">
      <c r="O5484" t="str">
        <f t="shared" si="86"/>
        <v/>
      </c>
    </row>
    <row r="5485" spans="15:15" x14ac:dyDescent="0.3">
      <c r="O5485" t="str">
        <f t="shared" si="86"/>
        <v/>
      </c>
    </row>
    <row r="5486" spans="15:15" x14ac:dyDescent="0.3">
      <c r="O5486" t="str">
        <f t="shared" si="86"/>
        <v/>
      </c>
    </row>
    <row r="5487" spans="15:15" x14ac:dyDescent="0.3">
      <c r="O5487" t="str">
        <f t="shared" si="86"/>
        <v/>
      </c>
    </row>
    <row r="5488" spans="15:15" x14ac:dyDescent="0.3">
      <c r="O5488" t="str">
        <f t="shared" si="86"/>
        <v/>
      </c>
    </row>
    <row r="5489" spans="15:15" x14ac:dyDescent="0.3">
      <c r="O5489" t="str">
        <f t="shared" si="86"/>
        <v/>
      </c>
    </row>
    <row r="5490" spans="15:15" x14ac:dyDescent="0.3">
      <c r="O5490" t="str">
        <f t="shared" si="86"/>
        <v/>
      </c>
    </row>
    <row r="5491" spans="15:15" x14ac:dyDescent="0.3">
      <c r="O5491" t="str">
        <f t="shared" si="86"/>
        <v/>
      </c>
    </row>
    <row r="5492" spans="15:15" x14ac:dyDescent="0.3">
      <c r="O5492" t="str">
        <f t="shared" si="86"/>
        <v/>
      </c>
    </row>
    <row r="5493" spans="15:15" x14ac:dyDescent="0.3">
      <c r="O5493" t="str">
        <f t="shared" si="86"/>
        <v/>
      </c>
    </row>
    <row r="5494" spans="15:15" x14ac:dyDescent="0.3">
      <c r="O5494" t="str">
        <f t="shared" si="86"/>
        <v/>
      </c>
    </row>
    <row r="5495" spans="15:15" x14ac:dyDescent="0.3">
      <c r="O5495" t="str">
        <f t="shared" si="86"/>
        <v/>
      </c>
    </row>
    <row r="5496" spans="15:15" x14ac:dyDescent="0.3">
      <c r="O5496" t="str">
        <f t="shared" si="86"/>
        <v/>
      </c>
    </row>
    <row r="5497" spans="15:15" x14ac:dyDescent="0.3">
      <c r="O5497" t="str">
        <f t="shared" si="86"/>
        <v/>
      </c>
    </row>
    <row r="5498" spans="15:15" x14ac:dyDescent="0.3">
      <c r="O5498" t="str">
        <f t="shared" si="86"/>
        <v/>
      </c>
    </row>
    <row r="5499" spans="15:15" x14ac:dyDescent="0.3">
      <c r="O5499" t="str">
        <f t="shared" si="86"/>
        <v/>
      </c>
    </row>
    <row r="5500" spans="15:15" x14ac:dyDescent="0.3">
      <c r="O5500" t="str">
        <f t="shared" si="86"/>
        <v/>
      </c>
    </row>
    <row r="5501" spans="15:15" x14ac:dyDescent="0.3">
      <c r="O5501" t="str">
        <f t="shared" si="86"/>
        <v/>
      </c>
    </row>
    <row r="5502" spans="15:15" x14ac:dyDescent="0.3">
      <c r="O5502" t="str">
        <f t="shared" si="86"/>
        <v/>
      </c>
    </row>
    <row r="5503" spans="15:15" x14ac:dyDescent="0.3">
      <c r="O5503" t="str">
        <f t="shared" si="86"/>
        <v/>
      </c>
    </row>
    <row r="5504" spans="15:15" x14ac:dyDescent="0.3">
      <c r="O5504" t="str">
        <f t="shared" si="86"/>
        <v/>
      </c>
    </row>
    <row r="5505" spans="15:15" x14ac:dyDescent="0.3">
      <c r="O5505" t="str">
        <f t="shared" si="86"/>
        <v/>
      </c>
    </row>
    <row r="5506" spans="15:15" x14ac:dyDescent="0.3">
      <c r="O5506" t="str">
        <f t="shared" si="86"/>
        <v/>
      </c>
    </row>
    <row r="5507" spans="15:15" x14ac:dyDescent="0.3">
      <c r="O5507" t="str">
        <f t="shared" si="86"/>
        <v/>
      </c>
    </row>
    <row r="5508" spans="15:15" x14ac:dyDescent="0.3">
      <c r="O5508" t="str">
        <f t="shared" si="86"/>
        <v/>
      </c>
    </row>
    <row r="5509" spans="15:15" x14ac:dyDescent="0.3">
      <c r="O5509" t="str">
        <f t="shared" si="86"/>
        <v/>
      </c>
    </row>
    <row r="5510" spans="15:15" x14ac:dyDescent="0.3">
      <c r="O5510" t="str">
        <f t="shared" si="86"/>
        <v/>
      </c>
    </row>
    <row r="5511" spans="15:15" x14ac:dyDescent="0.3">
      <c r="O5511" t="str">
        <f t="shared" si="86"/>
        <v/>
      </c>
    </row>
    <row r="5512" spans="15:15" x14ac:dyDescent="0.3">
      <c r="O5512" t="str">
        <f t="shared" si="86"/>
        <v/>
      </c>
    </row>
    <row r="5513" spans="15:15" x14ac:dyDescent="0.3">
      <c r="O5513" t="str">
        <f t="shared" si="86"/>
        <v/>
      </c>
    </row>
    <row r="5514" spans="15:15" x14ac:dyDescent="0.3">
      <c r="O5514" t="str">
        <f t="shared" ref="O5514:O5577" si="87">IF(P5514="","",O5513+1)</f>
        <v/>
      </c>
    </row>
    <row r="5515" spans="15:15" x14ac:dyDescent="0.3">
      <c r="O5515" t="str">
        <f t="shared" si="87"/>
        <v/>
      </c>
    </row>
    <row r="5516" spans="15:15" x14ac:dyDescent="0.3">
      <c r="O5516" t="str">
        <f t="shared" si="87"/>
        <v/>
      </c>
    </row>
    <row r="5517" spans="15:15" x14ac:dyDescent="0.3">
      <c r="O5517" t="str">
        <f t="shared" si="87"/>
        <v/>
      </c>
    </row>
    <row r="5518" spans="15:15" x14ac:dyDescent="0.3">
      <c r="O5518" t="str">
        <f t="shared" si="87"/>
        <v/>
      </c>
    </row>
    <row r="5519" spans="15:15" x14ac:dyDescent="0.3">
      <c r="O5519" t="str">
        <f t="shared" si="87"/>
        <v/>
      </c>
    </row>
    <row r="5520" spans="15:15" x14ac:dyDescent="0.3">
      <c r="O5520" t="str">
        <f t="shared" si="87"/>
        <v/>
      </c>
    </row>
    <row r="5521" spans="15:15" x14ac:dyDescent="0.3">
      <c r="O5521" t="str">
        <f t="shared" si="87"/>
        <v/>
      </c>
    </row>
    <row r="5522" spans="15:15" x14ac:dyDescent="0.3">
      <c r="O5522" t="str">
        <f t="shared" si="87"/>
        <v/>
      </c>
    </row>
    <row r="5523" spans="15:15" x14ac:dyDescent="0.3">
      <c r="O5523" t="str">
        <f t="shared" si="87"/>
        <v/>
      </c>
    </row>
    <row r="5524" spans="15:15" x14ac:dyDescent="0.3">
      <c r="O5524" t="str">
        <f t="shared" si="87"/>
        <v/>
      </c>
    </row>
    <row r="5525" spans="15:15" x14ac:dyDescent="0.3">
      <c r="O5525" t="str">
        <f t="shared" si="87"/>
        <v/>
      </c>
    </row>
    <row r="5526" spans="15:15" x14ac:dyDescent="0.3">
      <c r="O5526" t="str">
        <f t="shared" si="87"/>
        <v/>
      </c>
    </row>
    <row r="5527" spans="15:15" x14ac:dyDescent="0.3">
      <c r="O5527" t="str">
        <f t="shared" si="87"/>
        <v/>
      </c>
    </row>
    <row r="5528" spans="15:15" x14ac:dyDescent="0.3">
      <c r="O5528" t="str">
        <f t="shared" si="87"/>
        <v/>
      </c>
    </row>
    <row r="5529" spans="15:15" x14ac:dyDescent="0.3">
      <c r="O5529" t="str">
        <f t="shared" si="87"/>
        <v/>
      </c>
    </row>
    <row r="5530" spans="15:15" x14ac:dyDescent="0.3">
      <c r="O5530" t="str">
        <f t="shared" si="87"/>
        <v/>
      </c>
    </row>
    <row r="5531" spans="15:15" x14ac:dyDescent="0.3">
      <c r="O5531" t="str">
        <f t="shared" si="87"/>
        <v/>
      </c>
    </row>
    <row r="5532" spans="15:15" x14ac:dyDescent="0.3">
      <c r="O5532" t="str">
        <f t="shared" si="87"/>
        <v/>
      </c>
    </row>
    <row r="5533" spans="15:15" x14ac:dyDescent="0.3">
      <c r="O5533" t="str">
        <f t="shared" si="87"/>
        <v/>
      </c>
    </row>
    <row r="5534" spans="15:15" x14ac:dyDescent="0.3">
      <c r="O5534" t="str">
        <f t="shared" si="87"/>
        <v/>
      </c>
    </row>
    <row r="5535" spans="15:15" x14ac:dyDescent="0.3">
      <c r="O5535" t="str">
        <f t="shared" si="87"/>
        <v/>
      </c>
    </row>
    <row r="5536" spans="15:15" x14ac:dyDescent="0.3">
      <c r="O5536" t="str">
        <f t="shared" si="87"/>
        <v/>
      </c>
    </row>
    <row r="5537" spans="15:15" x14ac:dyDescent="0.3">
      <c r="O5537" t="str">
        <f t="shared" si="87"/>
        <v/>
      </c>
    </row>
    <row r="5538" spans="15:15" x14ac:dyDescent="0.3">
      <c r="O5538" t="str">
        <f t="shared" si="87"/>
        <v/>
      </c>
    </row>
    <row r="5539" spans="15:15" x14ac:dyDescent="0.3">
      <c r="O5539" t="str">
        <f t="shared" si="87"/>
        <v/>
      </c>
    </row>
    <row r="5540" spans="15:15" x14ac:dyDescent="0.3">
      <c r="O5540" t="str">
        <f t="shared" si="87"/>
        <v/>
      </c>
    </row>
    <row r="5541" spans="15:15" x14ac:dyDescent="0.3">
      <c r="O5541" t="str">
        <f t="shared" si="87"/>
        <v/>
      </c>
    </row>
    <row r="5542" spans="15:15" x14ac:dyDescent="0.3">
      <c r="O5542" t="str">
        <f t="shared" si="87"/>
        <v/>
      </c>
    </row>
    <row r="5543" spans="15:15" x14ac:dyDescent="0.3">
      <c r="O5543" t="str">
        <f t="shared" si="87"/>
        <v/>
      </c>
    </row>
    <row r="5544" spans="15:15" x14ac:dyDescent="0.3">
      <c r="O5544" t="str">
        <f t="shared" si="87"/>
        <v/>
      </c>
    </row>
    <row r="5545" spans="15:15" x14ac:dyDescent="0.3">
      <c r="O5545" t="str">
        <f t="shared" si="87"/>
        <v/>
      </c>
    </row>
    <row r="5546" spans="15:15" x14ac:dyDescent="0.3">
      <c r="O5546" t="str">
        <f t="shared" si="87"/>
        <v/>
      </c>
    </row>
    <row r="5547" spans="15:15" x14ac:dyDescent="0.3">
      <c r="O5547" t="str">
        <f t="shared" si="87"/>
        <v/>
      </c>
    </row>
    <row r="5548" spans="15:15" x14ac:dyDescent="0.3">
      <c r="O5548" t="str">
        <f t="shared" si="87"/>
        <v/>
      </c>
    </row>
    <row r="5549" spans="15:15" x14ac:dyDescent="0.3">
      <c r="O5549" t="str">
        <f t="shared" si="87"/>
        <v/>
      </c>
    </row>
    <row r="5550" spans="15:15" x14ac:dyDescent="0.3">
      <c r="O5550" t="str">
        <f t="shared" si="87"/>
        <v/>
      </c>
    </row>
    <row r="5551" spans="15:15" x14ac:dyDescent="0.3">
      <c r="O5551" t="str">
        <f t="shared" si="87"/>
        <v/>
      </c>
    </row>
    <row r="5552" spans="15:15" x14ac:dyDescent="0.3">
      <c r="O5552" t="str">
        <f t="shared" si="87"/>
        <v/>
      </c>
    </row>
    <row r="5553" spans="15:15" x14ac:dyDescent="0.3">
      <c r="O5553" t="str">
        <f t="shared" si="87"/>
        <v/>
      </c>
    </row>
    <row r="5554" spans="15:15" x14ac:dyDescent="0.3">
      <c r="O5554" t="str">
        <f t="shared" si="87"/>
        <v/>
      </c>
    </row>
    <row r="5555" spans="15:15" x14ac:dyDescent="0.3">
      <c r="O5555" t="str">
        <f t="shared" si="87"/>
        <v/>
      </c>
    </row>
    <row r="5556" spans="15:15" x14ac:dyDescent="0.3">
      <c r="O5556" t="str">
        <f t="shared" si="87"/>
        <v/>
      </c>
    </row>
    <row r="5557" spans="15:15" x14ac:dyDescent="0.3">
      <c r="O5557" t="str">
        <f t="shared" si="87"/>
        <v/>
      </c>
    </row>
    <row r="5558" spans="15:15" x14ac:dyDescent="0.3">
      <c r="O5558" t="str">
        <f t="shared" si="87"/>
        <v/>
      </c>
    </row>
    <row r="5559" spans="15:15" x14ac:dyDescent="0.3">
      <c r="O5559" t="str">
        <f t="shared" si="87"/>
        <v/>
      </c>
    </row>
    <row r="5560" spans="15:15" x14ac:dyDescent="0.3">
      <c r="O5560" t="str">
        <f t="shared" si="87"/>
        <v/>
      </c>
    </row>
    <row r="5561" spans="15:15" x14ac:dyDescent="0.3">
      <c r="O5561" t="str">
        <f t="shared" si="87"/>
        <v/>
      </c>
    </row>
    <row r="5562" spans="15:15" x14ac:dyDescent="0.3">
      <c r="O5562" t="str">
        <f t="shared" si="87"/>
        <v/>
      </c>
    </row>
    <row r="5563" spans="15:15" x14ac:dyDescent="0.3">
      <c r="O5563" t="str">
        <f t="shared" si="87"/>
        <v/>
      </c>
    </row>
    <row r="5564" spans="15:15" x14ac:dyDescent="0.3">
      <c r="O5564" t="str">
        <f t="shared" si="87"/>
        <v/>
      </c>
    </row>
    <row r="5565" spans="15:15" x14ac:dyDescent="0.3">
      <c r="O5565" t="str">
        <f t="shared" si="87"/>
        <v/>
      </c>
    </row>
    <row r="5566" spans="15:15" x14ac:dyDescent="0.3">
      <c r="O5566" t="str">
        <f t="shared" si="87"/>
        <v/>
      </c>
    </row>
    <row r="5567" spans="15:15" x14ac:dyDescent="0.3">
      <c r="O5567" t="str">
        <f t="shared" si="87"/>
        <v/>
      </c>
    </row>
    <row r="5568" spans="15:15" x14ac:dyDescent="0.3">
      <c r="O5568" t="str">
        <f t="shared" si="87"/>
        <v/>
      </c>
    </row>
    <row r="5569" spans="15:15" x14ac:dyDescent="0.3">
      <c r="O5569" t="str">
        <f t="shared" si="87"/>
        <v/>
      </c>
    </row>
    <row r="5570" spans="15:15" x14ac:dyDescent="0.3">
      <c r="O5570" t="str">
        <f t="shared" si="87"/>
        <v/>
      </c>
    </row>
    <row r="5571" spans="15:15" x14ac:dyDescent="0.3">
      <c r="O5571" t="str">
        <f t="shared" si="87"/>
        <v/>
      </c>
    </row>
    <row r="5572" spans="15:15" x14ac:dyDescent="0.3">
      <c r="O5572" t="str">
        <f t="shared" si="87"/>
        <v/>
      </c>
    </row>
    <row r="5573" spans="15:15" x14ac:dyDescent="0.3">
      <c r="O5573" t="str">
        <f t="shared" si="87"/>
        <v/>
      </c>
    </row>
    <row r="5574" spans="15:15" x14ac:dyDescent="0.3">
      <c r="O5574" t="str">
        <f t="shared" si="87"/>
        <v/>
      </c>
    </row>
    <row r="5575" spans="15:15" x14ac:dyDescent="0.3">
      <c r="O5575" t="str">
        <f t="shared" si="87"/>
        <v/>
      </c>
    </row>
    <row r="5576" spans="15:15" x14ac:dyDescent="0.3">
      <c r="O5576" t="str">
        <f t="shared" si="87"/>
        <v/>
      </c>
    </row>
    <row r="5577" spans="15:15" x14ac:dyDescent="0.3">
      <c r="O5577" t="str">
        <f t="shared" si="87"/>
        <v/>
      </c>
    </row>
    <row r="5578" spans="15:15" x14ac:dyDescent="0.3">
      <c r="O5578" t="str">
        <f t="shared" ref="O5578:O5641" si="88">IF(P5578="","",O5577+1)</f>
        <v/>
      </c>
    </row>
    <row r="5579" spans="15:15" x14ac:dyDescent="0.3">
      <c r="O5579" t="str">
        <f t="shared" si="88"/>
        <v/>
      </c>
    </row>
    <row r="5580" spans="15:15" x14ac:dyDescent="0.3">
      <c r="O5580" t="str">
        <f t="shared" si="88"/>
        <v/>
      </c>
    </row>
    <row r="5581" spans="15:15" x14ac:dyDescent="0.3">
      <c r="O5581" t="str">
        <f t="shared" si="88"/>
        <v/>
      </c>
    </row>
    <row r="5582" spans="15:15" x14ac:dyDescent="0.3">
      <c r="O5582" t="str">
        <f t="shared" si="88"/>
        <v/>
      </c>
    </row>
    <row r="5583" spans="15:15" x14ac:dyDescent="0.3">
      <c r="O5583" t="str">
        <f t="shared" si="88"/>
        <v/>
      </c>
    </row>
    <row r="5584" spans="15:15" x14ac:dyDescent="0.3">
      <c r="O5584" t="str">
        <f t="shared" si="88"/>
        <v/>
      </c>
    </row>
    <row r="5585" spans="15:15" x14ac:dyDescent="0.3">
      <c r="O5585" t="str">
        <f t="shared" si="88"/>
        <v/>
      </c>
    </row>
    <row r="5586" spans="15:15" x14ac:dyDescent="0.3">
      <c r="O5586" t="str">
        <f t="shared" si="88"/>
        <v/>
      </c>
    </row>
    <row r="5587" spans="15:15" x14ac:dyDescent="0.3">
      <c r="O5587" t="str">
        <f t="shared" si="88"/>
        <v/>
      </c>
    </row>
    <row r="5588" spans="15:15" x14ac:dyDescent="0.3">
      <c r="O5588" t="str">
        <f t="shared" si="88"/>
        <v/>
      </c>
    </row>
    <row r="5589" spans="15:15" x14ac:dyDescent="0.3">
      <c r="O5589" t="str">
        <f t="shared" si="88"/>
        <v/>
      </c>
    </row>
    <row r="5590" spans="15:15" x14ac:dyDescent="0.3">
      <c r="O5590" t="str">
        <f t="shared" si="88"/>
        <v/>
      </c>
    </row>
    <row r="5591" spans="15:15" x14ac:dyDescent="0.3">
      <c r="O5591" t="str">
        <f t="shared" si="88"/>
        <v/>
      </c>
    </row>
    <row r="5592" spans="15:15" x14ac:dyDescent="0.3">
      <c r="O5592" t="str">
        <f t="shared" si="88"/>
        <v/>
      </c>
    </row>
    <row r="5593" spans="15:15" x14ac:dyDescent="0.3">
      <c r="O5593" t="str">
        <f t="shared" si="88"/>
        <v/>
      </c>
    </row>
    <row r="5594" spans="15:15" x14ac:dyDescent="0.3">
      <c r="O5594" t="str">
        <f t="shared" si="88"/>
        <v/>
      </c>
    </row>
    <row r="5595" spans="15:15" x14ac:dyDescent="0.3">
      <c r="O5595" t="str">
        <f t="shared" si="88"/>
        <v/>
      </c>
    </row>
    <row r="5596" spans="15:15" x14ac:dyDescent="0.3">
      <c r="O5596" t="str">
        <f t="shared" si="88"/>
        <v/>
      </c>
    </row>
    <row r="5597" spans="15:15" x14ac:dyDescent="0.3">
      <c r="O5597" t="str">
        <f t="shared" si="88"/>
        <v/>
      </c>
    </row>
    <row r="5598" spans="15:15" x14ac:dyDescent="0.3">
      <c r="O5598" t="str">
        <f t="shared" si="88"/>
        <v/>
      </c>
    </row>
    <row r="5599" spans="15:15" x14ac:dyDescent="0.3">
      <c r="O5599" t="str">
        <f t="shared" si="88"/>
        <v/>
      </c>
    </row>
    <row r="5600" spans="15:15" x14ac:dyDescent="0.3">
      <c r="O5600" t="str">
        <f t="shared" si="88"/>
        <v/>
      </c>
    </row>
    <row r="5601" spans="15:15" x14ac:dyDescent="0.3">
      <c r="O5601" t="str">
        <f t="shared" si="88"/>
        <v/>
      </c>
    </row>
    <row r="5602" spans="15:15" x14ac:dyDescent="0.3">
      <c r="O5602" t="str">
        <f t="shared" si="88"/>
        <v/>
      </c>
    </row>
    <row r="5603" spans="15:15" x14ac:dyDescent="0.3">
      <c r="O5603" t="str">
        <f t="shared" si="88"/>
        <v/>
      </c>
    </row>
    <row r="5604" spans="15:15" x14ac:dyDescent="0.3">
      <c r="O5604" t="str">
        <f t="shared" si="88"/>
        <v/>
      </c>
    </row>
    <row r="5605" spans="15:15" x14ac:dyDescent="0.3">
      <c r="O5605" t="str">
        <f t="shared" si="88"/>
        <v/>
      </c>
    </row>
    <row r="5606" spans="15:15" x14ac:dyDescent="0.3">
      <c r="O5606" t="str">
        <f t="shared" si="88"/>
        <v/>
      </c>
    </row>
    <row r="5607" spans="15:15" x14ac:dyDescent="0.3">
      <c r="O5607" t="str">
        <f t="shared" si="88"/>
        <v/>
      </c>
    </row>
    <row r="5608" spans="15:15" x14ac:dyDescent="0.3">
      <c r="O5608" t="str">
        <f t="shared" si="88"/>
        <v/>
      </c>
    </row>
    <row r="5609" spans="15:15" x14ac:dyDescent="0.3">
      <c r="O5609" t="str">
        <f t="shared" si="88"/>
        <v/>
      </c>
    </row>
    <row r="5610" spans="15:15" x14ac:dyDescent="0.3">
      <c r="O5610" t="str">
        <f t="shared" si="88"/>
        <v/>
      </c>
    </row>
    <row r="5611" spans="15:15" x14ac:dyDescent="0.3">
      <c r="O5611" t="str">
        <f t="shared" si="88"/>
        <v/>
      </c>
    </row>
    <row r="5612" spans="15:15" x14ac:dyDescent="0.3">
      <c r="O5612" t="str">
        <f t="shared" si="88"/>
        <v/>
      </c>
    </row>
    <row r="5613" spans="15:15" x14ac:dyDescent="0.3">
      <c r="O5613" t="str">
        <f t="shared" si="88"/>
        <v/>
      </c>
    </row>
    <row r="5614" spans="15:15" x14ac:dyDescent="0.3">
      <c r="O5614" t="str">
        <f t="shared" si="88"/>
        <v/>
      </c>
    </row>
    <row r="5615" spans="15:15" x14ac:dyDescent="0.3">
      <c r="O5615" t="str">
        <f t="shared" si="88"/>
        <v/>
      </c>
    </row>
    <row r="5616" spans="15:15" x14ac:dyDescent="0.3">
      <c r="O5616" t="str">
        <f t="shared" si="88"/>
        <v/>
      </c>
    </row>
    <row r="5617" spans="15:15" x14ac:dyDescent="0.3">
      <c r="O5617" t="str">
        <f t="shared" si="88"/>
        <v/>
      </c>
    </row>
    <row r="5618" spans="15:15" x14ac:dyDescent="0.3">
      <c r="O5618" t="str">
        <f t="shared" si="88"/>
        <v/>
      </c>
    </row>
    <row r="5619" spans="15:15" x14ac:dyDescent="0.3">
      <c r="O5619" t="str">
        <f t="shared" si="88"/>
        <v/>
      </c>
    </row>
    <row r="5620" spans="15:15" x14ac:dyDescent="0.3">
      <c r="O5620" t="str">
        <f t="shared" si="88"/>
        <v/>
      </c>
    </row>
    <row r="5621" spans="15:15" x14ac:dyDescent="0.3">
      <c r="O5621" t="str">
        <f t="shared" si="88"/>
        <v/>
      </c>
    </row>
    <row r="5622" spans="15:15" x14ac:dyDescent="0.3">
      <c r="O5622" t="str">
        <f t="shared" si="88"/>
        <v/>
      </c>
    </row>
    <row r="5623" spans="15:15" x14ac:dyDescent="0.3">
      <c r="O5623" t="str">
        <f t="shared" si="88"/>
        <v/>
      </c>
    </row>
    <row r="5624" spans="15:15" x14ac:dyDescent="0.3">
      <c r="O5624" t="str">
        <f t="shared" si="88"/>
        <v/>
      </c>
    </row>
    <row r="5625" spans="15:15" x14ac:dyDescent="0.3">
      <c r="O5625" t="str">
        <f t="shared" si="88"/>
        <v/>
      </c>
    </row>
    <row r="5626" spans="15:15" x14ac:dyDescent="0.3">
      <c r="O5626" t="str">
        <f t="shared" si="88"/>
        <v/>
      </c>
    </row>
    <row r="5627" spans="15:15" x14ac:dyDescent="0.3">
      <c r="O5627" t="str">
        <f t="shared" si="88"/>
        <v/>
      </c>
    </row>
    <row r="5628" spans="15:15" x14ac:dyDescent="0.3">
      <c r="O5628" t="str">
        <f t="shared" si="88"/>
        <v/>
      </c>
    </row>
    <row r="5629" spans="15:15" x14ac:dyDescent="0.3">
      <c r="O5629" t="str">
        <f t="shared" si="88"/>
        <v/>
      </c>
    </row>
    <row r="5630" spans="15:15" x14ac:dyDescent="0.3">
      <c r="O5630" t="str">
        <f t="shared" si="88"/>
        <v/>
      </c>
    </row>
    <row r="5631" spans="15:15" x14ac:dyDescent="0.3">
      <c r="O5631" t="str">
        <f t="shared" si="88"/>
        <v/>
      </c>
    </row>
    <row r="5632" spans="15:15" x14ac:dyDescent="0.3">
      <c r="O5632" t="str">
        <f t="shared" si="88"/>
        <v/>
      </c>
    </row>
    <row r="5633" spans="15:15" x14ac:dyDescent="0.3">
      <c r="O5633" t="str">
        <f t="shared" si="88"/>
        <v/>
      </c>
    </row>
    <row r="5634" spans="15:15" x14ac:dyDescent="0.3">
      <c r="O5634" t="str">
        <f t="shared" si="88"/>
        <v/>
      </c>
    </row>
    <row r="5635" spans="15:15" x14ac:dyDescent="0.3">
      <c r="O5635" t="str">
        <f t="shared" si="88"/>
        <v/>
      </c>
    </row>
    <row r="5636" spans="15:15" x14ac:dyDescent="0.3">
      <c r="O5636" t="str">
        <f t="shared" si="88"/>
        <v/>
      </c>
    </row>
    <row r="5637" spans="15:15" x14ac:dyDescent="0.3">
      <c r="O5637" t="str">
        <f t="shared" si="88"/>
        <v/>
      </c>
    </row>
    <row r="5638" spans="15:15" x14ac:dyDescent="0.3">
      <c r="O5638" t="str">
        <f t="shared" si="88"/>
        <v/>
      </c>
    </row>
    <row r="5639" spans="15:15" x14ac:dyDescent="0.3">
      <c r="O5639" t="str">
        <f t="shared" si="88"/>
        <v/>
      </c>
    </row>
    <row r="5640" spans="15:15" x14ac:dyDescent="0.3">
      <c r="O5640" t="str">
        <f t="shared" si="88"/>
        <v/>
      </c>
    </row>
    <row r="5641" spans="15:15" x14ac:dyDescent="0.3">
      <c r="O5641" t="str">
        <f t="shared" si="88"/>
        <v/>
      </c>
    </row>
    <row r="5642" spans="15:15" x14ac:dyDescent="0.3">
      <c r="O5642" t="str">
        <f t="shared" ref="O5642:O5705" si="89">IF(P5642="","",O5641+1)</f>
        <v/>
      </c>
    </row>
    <row r="5643" spans="15:15" x14ac:dyDescent="0.3">
      <c r="O5643" t="str">
        <f t="shared" si="89"/>
        <v/>
      </c>
    </row>
    <row r="5644" spans="15:15" x14ac:dyDescent="0.3">
      <c r="O5644" t="str">
        <f t="shared" si="89"/>
        <v/>
      </c>
    </row>
    <row r="5645" spans="15:15" x14ac:dyDescent="0.3">
      <c r="O5645" t="str">
        <f t="shared" si="89"/>
        <v/>
      </c>
    </row>
    <row r="5646" spans="15:15" x14ac:dyDescent="0.3">
      <c r="O5646" t="str">
        <f t="shared" si="89"/>
        <v/>
      </c>
    </row>
    <row r="5647" spans="15:15" x14ac:dyDescent="0.3">
      <c r="O5647" t="str">
        <f t="shared" si="89"/>
        <v/>
      </c>
    </row>
    <row r="5648" spans="15:15" x14ac:dyDescent="0.3">
      <c r="O5648" t="str">
        <f t="shared" si="89"/>
        <v/>
      </c>
    </row>
    <row r="5649" spans="15:15" x14ac:dyDescent="0.3">
      <c r="O5649" t="str">
        <f t="shared" si="89"/>
        <v/>
      </c>
    </row>
    <row r="5650" spans="15:15" x14ac:dyDescent="0.3">
      <c r="O5650" t="str">
        <f t="shared" si="89"/>
        <v/>
      </c>
    </row>
    <row r="5651" spans="15:15" x14ac:dyDescent="0.3">
      <c r="O5651" t="str">
        <f t="shared" si="89"/>
        <v/>
      </c>
    </row>
    <row r="5652" spans="15:15" x14ac:dyDescent="0.3">
      <c r="O5652" t="str">
        <f t="shared" si="89"/>
        <v/>
      </c>
    </row>
    <row r="5653" spans="15:15" x14ac:dyDescent="0.3">
      <c r="O5653" t="str">
        <f t="shared" si="89"/>
        <v/>
      </c>
    </row>
    <row r="5654" spans="15:15" x14ac:dyDescent="0.3">
      <c r="O5654" t="str">
        <f t="shared" si="89"/>
        <v/>
      </c>
    </row>
    <row r="5655" spans="15:15" x14ac:dyDescent="0.3">
      <c r="O5655" t="str">
        <f t="shared" si="89"/>
        <v/>
      </c>
    </row>
    <row r="5656" spans="15:15" x14ac:dyDescent="0.3">
      <c r="O5656" t="str">
        <f t="shared" si="89"/>
        <v/>
      </c>
    </row>
    <row r="5657" spans="15:15" x14ac:dyDescent="0.3">
      <c r="O5657" t="str">
        <f t="shared" si="89"/>
        <v/>
      </c>
    </row>
    <row r="5658" spans="15:15" x14ac:dyDescent="0.3">
      <c r="O5658" t="str">
        <f t="shared" si="89"/>
        <v/>
      </c>
    </row>
    <row r="5659" spans="15:15" x14ac:dyDescent="0.3">
      <c r="O5659" t="str">
        <f t="shared" si="89"/>
        <v/>
      </c>
    </row>
    <row r="5660" spans="15:15" x14ac:dyDescent="0.3">
      <c r="O5660" t="str">
        <f t="shared" si="89"/>
        <v/>
      </c>
    </row>
    <row r="5661" spans="15:15" x14ac:dyDescent="0.3">
      <c r="O5661" t="str">
        <f t="shared" si="89"/>
        <v/>
      </c>
    </row>
    <row r="5662" spans="15:15" x14ac:dyDescent="0.3">
      <c r="O5662" t="str">
        <f t="shared" si="89"/>
        <v/>
      </c>
    </row>
    <row r="5663" spans="15:15" x14ac:dyDescent="0.3">
      <c r="O5663" t="str">
        <f t="shared" si="89"/>
        <v/>
      </c>
    </row>
    <row r="5664" spans="15:15" x14ac:dyDescent="0.3">
      <c r="O5664" t="str">
        <f t="shared" si="89"/>
        <v/>
      </c>
    </row>
    <row r="5665" spans="15:15" x14ac:dyDescent="0.3">
      <c r="O5665" t="str">
        <f t="shared" si="89"/>
        <v/>
      </c>
    </row>
    <row r="5666" spans="15:15" x14ac:dyDescent="0.3">
      <c r="O5666" t="str">
        <f t="shared" si="89"/>
        <v/>
      </c>
    </row>
    <row r="5667" spans="15:15" x14ac:dyDescent="0.3">
      <c r="O5667" t="str">
        <f t="shared" si="89"/>
        <v/>
      </c>
    </row>
    <row r="5668" spans="15:15" x14ac:dyDescent="0.3">
      <c r="O5668" t="str">
        <f t="shared" si="89"/>
        <v/>
      </c>
    </row>
    <row r="5669" spans="15:15" x14ac:dyDescent="0.3">
      <c r="O5669" t="str">
        <f t="shared" si="89"/>
        <v/>
      </c>
    </row>
    <row r="5670" spans="15:15" x14ac:dyDescent="0.3">
      <c r="O5670" t="str">
        <f t="shared" si="89"/>
        <v/>
      </c>
    </row>
    <row r="5671" spans="15:15" x14ac:dyDescent="0.3">
      <c r="O5671" t="str">
        <f t="shared" si="89"/>
        <v/>
      </c>
    </row>
    <row r="5672" spans="15:15" x14ac:dyDescent="0.3">
      <c r="O5672" t="str">
        <f t="shared" si="89"/>
        <v/>
      </c>
    </row>
    <row r="5673" spans="15:15" x14ac:dyDescent="0.3">
      <c r="O5673" t="str">
        <f t="shared" si="89"/>
        <v/>
      </c>
    </row>
    <row r="5674" spans="15:15" x14ac:dyDescent="0.3">
      <c r="O5674" t="str">
        <f t="shared" si="89"/>
        <v/>
      </c>
    </row>
    <row r="5675" spans="15:15" x14ac:dyDescent="0.3">
      <c r="O5675" t="str">
        <f t="shared" si="89"/>
        <v/>
      </c>
    </row>
    <row r="5676" spans="15:15" x14ac:dyDescent="0.3">
      <c r="O5676" t="str">
        <f t="shared" si="89"/>
        <v/>
      </c>
    </row>
    <row r="5677" spans="15:15" x14ac:dyDescent="0.3">
      <c r="O5677" t="str">
        <f t="shared" si="89"/>
        <v/>
      </c>
    </row>
    <row r="5678" spans="15:15" x14ac:dyDescent="0.3">
      <c r="O5678" t="str">
        <f t="shared" si="89"/>
        <v/>
      </c>
    </row>
    <row r="5679" spans="15:15" x14ac:dyDescent="0.3">
      <c r="O5679" t="str">
        <f t="shared" si="89"/>
        <v/>
      </c>
    </row>
    <row r="5680" spans="15:15" x14ac:dyDescent="0.3">
      <c r="O5680" t="str">
        <f t="shared" si="89"/>
        <v/>
      </c>
    </row>
    <row r="5681" spans="15:15" x14ac:dyDescent="0.3">
      <c r="O5681" t="str">
        <f t="shared" si="89"/>
        <v/>
      </c>
    </row>
    <row r="5682" spans="15:15" x14ac:dyDescent="0.3">
      <c r="O5682" t="str">
        <f t="shared" si="89"/>
        <v/>
      </c>
    </row>
    <row r="5683" spans="15:15" x14ac:dyDescent="0.3">
      <c r="O5683" t="str">
        <f t="shared" si="89"/>
        <v/>
      </c>
    </row>
    <row r="5684" spans="15:15" x14ac:dyDescent="0.3">
      <c r="O5684" t="str">
        <f t="shared" si="89"/>
        <v/>
      </c>
    </row>
    <row r="5685" spans="15:15" x14ac:dyDescent="0.3">
      <c r="O5685" t="str">
        <f t="shared" si="89"/>
        <v/>
      </c>
    </row>
    <row r="5686" spans="15:15" x14ac:dyDescent="0.3">
      <c r="O5686" t="str">
        <f t="shared" si="89"/>
        <v/>
      </c>
    </row>
    <row r="5687" spans="15:15" x14ac:dyDescent="0.3">
      <c r="O5687" t="str">
        <f t="shared" si="89"/>
        <v/>
      </c>
    </row>
    <row r="5688" spans="15:15" x14ac:dyDescent="0.3">
      <c r="O5688" t="str">
        <f t="shared" si="89"/>
        <v/>
      </c>
    </row>
    <row r="5689" spans="15:15" x14ac:dyDescent="0.3">
      <c r="O5689" t="str">
        <f t="shared" si="89"/>
        <v/>
      </c>
    </row>
    <row r="5690" spans="15:15" x14ac:dyDescent="0.3">
      <c r="O5690" t="str">
        <f t="shared" si="89"/>
        <v/>
      </c>
    </row>
    <row r="5691" spans="15:15" x14ac:dyDescent="0.3">
      <c r="O5691" t="str">
        <f t="shared" si="89"/>
        <v/>
      </c>
    </row>
    <row r="5692" spans="15:15" x14ac:dyDescent="0.3">
      <c r="O5692" t="str">
        <f t="shared" si="89"/>
        <v/>
      </c>
    </row>
    <row r="5693" spans="15:15" x14ac:dyDescent="0.3">
      <c r="O5693" t="str">
        <f t="shared" si="89"/>
        <v/>
      </c>
    </row>
    <row r="5694" spans="15:15" x14ac:dyDescent="0.3">
      <c r="O5694" t="str">
        <f t="shared" si="89"/>
        <v/>
      </c>
    </row>
    <row r="5695" spans="15:15" x14ac:dyDescent="0.3">
      <c r="O5695" t="str">
        <f t="shared" si="89"/>
        <v/>
      </c>
    </row>
    <row r="5696" spans="15:15" x14ac:dyDescent="0.3">
      <c r="O5696" t="str">
        <f t="shared" si="89"/>
        <v/>
      </c>
    </row>
    <row r="5697" spans="15:15" x14ac:dyDescent="0.3">
      <c r="O5697" t="str">
        <f t="shared" si="89"/>
        <v/>
      </c>
    </row>
    <row r="5698" spans="15:15" x14ac:dyDescent="0.3">
      <c r="O5698" t="str">
        <f t="shared" si="89"/>
        <v/>
      </c>
    </row>
    <row r="5699" spans="15:15" x14ac:dyDescent="0.3">
      <c r="O5699" t="str">
        <f t="shared" si="89"/>
        <v/>
      </c>
    </row>
    <row r="5700" spans="15:15" x14ac:dyDescent="0.3">
      <c r="O5700" t="str">
        <f t="shared" si="89"/>
        <v/>
      </c>
    </row>
    <row r="5701" spans="15:15" x14ac:dyDescent="0.3">
      <c r="O5701" t="str">
        <f t="shared" si="89"/>
        <v/>
      </c>
    </row>
    <row r="5702" spans="15:15" x14ac:dyDescent="0.3">
      <c r="O5702" t="str">
        <f t="shared" si="89"/>
        <v/>
      </c>
    </row>
    <row r="5703" spans="15:15" x14ac:dyDescent="0.3">
      <c r="O5703" t="str">
        <f t="shared" si="89"/>
        <v/>
      </c>
    </row>
    <row r="5704" spans="15:15" x14ac:dyDescent="0.3">
      <c r="O5704" t="str">
        <f t="shared" si="89"/>
        <v/>
      </c>
    </row>
    <row r="5705" spans="15:15" x14ac:dyDescent="0.3">
      <c r="O5705" t="str">
        <f t="shared" si="89"/>
        <v/>
      </c>
    </row>
    <row r="5706" spans="15:15" x14ac:dyDescent="0.3">
      <c r="O5706" t="str">
        <f t="shared" ref="O5706:O5769" si="90">IF(P5706="","",O5705+1)</f>
        <v/>
      </c>
    </row>
    <row r="5707" spans="15:15" x14ac:dyDescent="0.3">
      <c r="O5707" t="str">
        <f t="shared" si="90"/>
        <v/>
      </c>
    </row>
    <row r="5708" spans="15:15" x14ac:dyDescent="0.3">
      <c r="O5708" t="str">
        <f t="shared" si="90"/>
        <v/>
      </c>
    </row>
    <row r="5709" spans="15:15" x14ac:dyDescent="0.3">
      <c r="O5709" t="str">
        <f t="shared" si="90"/>
        <v/>
      </c>
    </row>
    <row r="5710" spans="15:15" x14ac:dyDescent="0.3">
      <c r="O5710" t="str">
        <f t="shared" si="90"/>
        <v/>
      </c>
    </row>
    <row r="5711" spans="15:15" x14ac:dyDescent="0.3">
      <c r="O5711" t="str">
        <f t="shared" si="90"/>
        <v/>
      </c>
    </row>
    <row r="5712" spans="15:15" x14ac:dyDescent="0.3">
      <c r="O5712" t="str">
        <f t="shared" si="90"/>
        <v/>
      </c>
    </row>
    <row r="5713" spans="15:15" x14ac:dyDescent="0.3">
      <c r="O5713" t="str">
        <f t="shared" si="90"/>
        <v/>
      </c>
    </row>
    <row r="5714" spans="15:15" x14ac:dyDescent="0.3">
      <c r="O5714" t="str">
        <f t="shared" si="90"/>
        <v/>
      </c>
    </row>
    <row r="5715" spans="15:15" x14ac:dyDescent="0.3">
      <c r="O5715" t="str">
        <f t="shared" si="90"/>
        <v/>
      </c>
    </row>
    <row r="5716" spans="15:15" x14ac:dyDescent="0.3">
      <c r="O5716" t="str">
        <f t="shared" si="90"/>
        <v/>
      </c>
    </row>
    <row r="5717" spans="15:15" x14ac:dyDescent="0.3">
      <c r="O5717" t="str">
        <f t="shared" si="90"/>
        <v/>
      </c>
    </row>
    <row r="5718" spans="15:15" x14ac:dyDescent="0.3">
      <c r="O5718" t="str">
        <f t="shared" si="90"/>
        <v/>
      </c>
    </row>
    <row r="5719" spans="15:15" x14ac:dyDescent="0.3">
      <c r="O5719" t="str">
        <f t="shared" si="90"/>
        <v/>
      </c>
    </row>
    <row r="5720" spans="15:15" x14ac:dyDescent="0.3">
      <c r="O5720" t="str">
        <f t="shared" si="90"/>
        <v/>
      </c>
    </row>
    <row r="5721" spans="15:15" x14ac:dyDescent="0.3">
      <c r="O5721" t="str">
        <f t="shared" si="90"/>
        <v/>
      </c>
    </row>
    <row r="5722" spans="15:15" x14ac:dyDescent="0.3">
      <c r="O5722" t="str">
        <f t="shared" si="90"/>
        <v/>
      </c>
    </row>
    <row r="5723" spans="15:15" x14ac:dyDescent="0.3">
      <c r="O5723" t="str">
        <f t="shared" si="90"/>
        <v/>
      </c>
    </row>
    <row r="5724" spans="15:15" x14ac:dyDescent="0.3">
      <c r="O5724" t="str">
        <f t="shared" si="90"/>
        <v/>
      </c>
    </row>
    <row r="5725" spans="15:15" x14ac:dyDescent="0.3">
      <c r="O5725" t="str">
        <f t="shared" si="90"/>
        <v/>
      </c>
    </row>
    <row r="5726" spans="15:15" x14ac:dyDescent="0.3">
      <c r="O5726" t="str">
        <f t="shared" si="90"/>
        <v/>
      </c>
    </row>
    <row r="5727" spans="15:15" x14ac:dyDescent="0.3">
      <c r="O5727" t="str">
        <f t="shared" si="90"/>
        <v/>
      </c>
    </row>
    <row r="5728" spans="15:15" x14ac:dyDescent="0.3">
      <c r="O5728" t="str">
        <f t="shared" si="90"/>
        <v/>
      </c>
    </row>
    <row r="5729" spans="15:15" x14ac:dyDescent="0.3">
      <c r="O5729" t="str">
        <f t="shared" si="90"/>
        <v/>
      </c>
    </row>
    <row r="5730" spans="15:15" x14ac:dyDescent="0.3">
      <c r="O5730" t="str">
        <f t="shared" si="90"/>
        <v/>
      </c>
    </row>
    <row r="5731" spans="15:15" x14ac:dyDescent="0.3">
      <c r="O5731" t="str">
        <f t="shared" si="90"/>
        <v/>
      </c>
    </row>
    <row r="5732" spans="15:15" x14ac:dyDescent="0.3">
      <c r="O5732" t="str">
        <f t="shared" si="90"/>
        <v/>
      </c>
    </row>
    <row r="5733" spans="15:15" x14ac:dyDescent="0.3">
      <c r="O5733" t="str">
        <f t="shared" si="90"/>
        <v/>
      </c>
    </row>
    <row r="5734" spans="15:15" x14ac:dyDescent="0.3">
      <c r="O5734" t="str">
        <f t="shared" si="90"/>
        <v/>
      </c>
    </row>
    <row r="5735" spans="15:15" x14ac:dyDescent="0.3">
      <c r="O5735" t="str">
        <f t="shared" si="90"/>
        <v/>
      </c>
    </row>
    <row r="5736" spans="15:15" x14ac:dyDescent="0.3">
      <c r="O5736" t="str">
        <f t="shared" si="90"/>
        <v/>
      </c>
    </row>
    <row r="5737" spans="15:15" x14ac:dyDescent="0.3">
      <c r="O5737" t="str">
        <f t="shared" si="90"/>
        <v/>
      </c>
    </row>
    <row r="5738" spans="15:15" x14ac:dyDescent="0.3">
      <c r="O5738" t="str">
        <f t="shared" si="90"/>
        <v/>
      </c>
    </row>
    <row r="5739" spans="15:15" x14ac:dyDescent="0.3">
      <c r="O5739" t="str">
        <f t="shared" si="90"/>
        <v/>
      </c>
    </row>
    <row r="5740" spans="15:15" x14ac:dyDescent="0.3">
      <c r="O5740" t="str">
        <f t="shared" si="90"/>
        <v/>
      </c>
    </row>
    <row r="5741" spans="15:15" x14ac:dyDescent="0.3">
      <c r="O5741" t="str">
        <f t="shared" si="90"/>
        <v/>
      </c>
    </row>
    <row r="5742" spans="15:15" x14ac:dyDescent="0.3">
      <c r="O5742" t="str">
        <f t="shared" si="90"/>
        <v/>
      </c>
    </row>
    <row r="5743" spans="15:15" x14ac:dyDescent="0.3">
      <c r="O5743" t="str">
        <f t="shared" si="90"/>
        <v/>
      </c>
    </row>
    <row r="5744" spans="15:15" x14ac:dyDescent="0.3">
      <c r="O5744" t="str">
        <f t="shared" si="90"/>
        <v/>
      </c>
    </row>
    <row r="5745" spans="15:15" x14ac:dyDescent="0.3">
      <c r="O5745" t="str">
        <f t="shared" si="90"/>
        <v/>
      </c>
    </row>
    <row r="5746" spans="15:15" x14ac:dyDescent="0.3">
      <c r="O5746" t="str">
        <f t="shared" si="90"/>
        <v/>
      </c>
    </row>
    <row r="5747" spans="15:15" x14ac:dyDescent="0.3">
      <c r="O5747" t="str">
        <f t="shared" si="90"/>
        <v/>
      </c>
    </row>
    <row r="5748" spans="15:15" x14ac:dyDescent="0.3">
      <c r="O5748" t="str">
        <f t="shared" si="90"/>
        <v/>
      </c>
    </row>
    <row r="5749" spans="15:15" x14ac:dyDescent="0.3">
      <c r="O5749" t="str">
        <f t="shared" si="90"/>
        <v/>
      </c>
    </row>
    <row r="5750" spans="15:15" x14ac:dyDescent="0.3">
      <c r="O5750" t="str">
        <f t="shared" si="90"/>
        <v/>
      </c>
    </row>
    <row r="5751" spans="15:15" x14ac:dyDescent="0.3">
      <c r="O5751" t="str">
        <f t="shared" si="90"/>
        <v/>
      </c>
    </row>
    <row r="5752" spans="15:15" x14ac:dyDescent="0.3">
      <c r="O5752" t="str">
        <f t="shared" si="90"/>
        <v/>
      </c>
    </row>
    <row r="5753" spans="15:15" x14ac:dyDescent="0.3">
      <c r="O5753" t="str">
        <f t="shared" si="90"/>
        <v/>
      </c>
    </row>
    <row r="5754" spans="15:15" x14ac:dyDescent="0.3">
      <c r="O5754" t="str">
        <f t="shared" si="90"/>
        <v/>
      </c>
    </row>
    <row r="5755" spans="15:15" x14ac:dyDescent="0.3">
      <c r="O5755" t="str">
        <f t="shared" si="90"/>
        <v/>
      </c>
    </row>
    <row r="5756" spans="15:15" x14ac:dyDescent="0.3">
      <c r="O5756" t="str">
        <f t="shared" si="90"/>
        <v/>
      </c>
    </row>
    <row r="5757" spans="15:15" x14ac:dyDescent="0.3">
      <c r="O5757" t="str">
        <f t="shared" si="90"/>
        <v/>
      </c>
    </row>
    <row r="5758" spans="15:15" x14ac:dyDescent="0.3">
      <c r="O5758" t="str">
        <f t="shared" si="90"/>
        <v/>
      </c>
    </row>
    <row r="5759" spans="15:15" x14ac:dyDescent="0.3">
      <c r="O5759" t="str">
        <f t="shared" si="90"/>
        <v/>
      </c>
    </row>
    <row r="5760" spans="15:15" x14ac:dyDescent="0.3">
      <c r="O5760" t="str">
        <f t="shared" si="90"/>
        <v/>
      </c>
    </row>
    <row r="5761" spans="15:15" x14ac:dyDescent="0.3">
      <c r="O5761" t="str">
        <f t="shared" si="90"/>
        <v/>
      </c>
    </row>
    <row r="5762" spans="15:15" x14ac:dyDescent="0.3">
      <c r="O5762" t="str">
        <f t="shared" si="90"/>
        <v/>
      </c>
    </row>
    <row r="5763" spans="15:15" x14ac:dyDescent="0.3">
      <c r="O5763" t="str">
        <f t="shared" si="90"/>
        <v/>
      </c>
    </row>
    <row r="5764" spans="15:15" x14ac:dyDescent="0.3">
      <c r="O5764" t="str">
        <f t="shared" si="90"/>
        <v/>
      </c>
    </row>
    <row r="5765" spans="15:15" x14ac:dyDescent="0.3">
      <c r="O5765" t="str">
        <f t="shared" si="90"/>
        <v/>
      </c>
    </row>
    <row r="5766" spans="15:15" x14ac:dyDescent="0.3">
      <c r="O5766" t="str">
        <f t="shared" si="90"/>
        <v/>
      </c>
    </row>
    <row r="5767" spans="15:15" x14ac:dyDescent="0.3">
      <c r="O5767" t="str">
        <f t="shared" si="90"/>
        <v/>
      </c>
    </row>
    <row r="5768" spans="15:15" x14ac:dyDescent="0.3">
      <c r="O5768" t="str">
        <f t="shared" si="90"/>
        <v/>
      </c>
    </row>
    <row r="5769" spans="15:15" x14ac:dyDescent="0.3">
      <c r="O5769" t="str">
        <f t="shared" si="90"/>
        <v/>
      </c>
    </row>
    <row r="5770" spans="15:15" x14ac:dyDescent="0.3">
      <c r="O5770" t="str">
        <f t="shared" ref="O5770:O5833" si="91">IF(P5770="","",O5769+1)</f>
        <v/>
      </c>
    </row>
    <row r="5771" spans="15:15" x14ac:dyDescent="0.3">
      <c r="O5771" t="str">
        <f t="shared" si="91"/>
        <v/>
      </c>
    </row>
    <row r="5772" spans="15:15" x14ac:dyDescent="0.3">
      <c r="O5772" t="str">
        <f t="shared" si="91"/>
        <v/>
      </c>
    </row>
    <row r="5773" spans="15:15" x14ac:dyDescent="0.3">
      <c r="O5773" t="str">
        <f t="shared" si="91"/>
        <v/>
      </c>
    </row>
    <row r="5774" spans="15:15" x14ac:dyDescent="0.3">
      <c r="O5774" t="str">
        <f t="shared" si="91"/>
        <v/>
      </c>
    </row>
    <row r="5775" spans="15:15" x14ac:dyDescent="0.3">
      <c r="O5775" t="str">
        <f t="shared" si="91"/>
        <v/>
      </c>
    </row>
    <row r="5776" spans="15:15" x14ac:dyDescent="0.3">
      <c r="O5776" t="str">
        <f t="shared" si="91"/>
        <v/>
      </c>
    </row>
    <row r="5777" spans="15:15" x14ac:dyDescent="0.3">
      <c r="O5777" t="str">
        <f t="shared" si="91"/>
        <v/>
      </c>
    </row>
    <row r="5778" spans="15:15" x14ac:dyDescent="0.3">
      <c r="O5778" t="str">
        <f t="shared" si="91"/>
        <v/>
      </c>
    </row>
    <row r="5779" spans="15:15" x14ac:dyDescent="0.3">
      <c r="O5779" t="str">
        <f t="shared" si="91"/>
        <v/>
      </c>
    </row>
    <row r="5780" spans="15:15" x14ac:dyDescent="0.3">
      <c r="O5780" t="str">
        <f t="shared" si="91"/>
        <v/>
      </c>
    </row>
    <row r="5781" spans="15:15" x14ac:dyDescent="0.3">
      <c r="O5781" t="str">
        <f t="shared" si="91"/>
        <v/>
      </c>
    </row>
    <row r="5782" spans="15:15" x14ac:dyDescent="0.3">
      <c r="O5782" t="str">
        <f t="shared" si="91"/>
        <v/>
      </c>
    </row>
    <row r="5783" spans="15:15" x14ac:dyDescent="0.3">
      <c r="O5783" t="str">
        <f t="shared" si="91"/>
        <v/>
      </c>
    </row>
    <row r="5784" spans="15:15" x14ac:dyDescent="0.3">
      <c r="O5784" t="str">
        <f t="shared" si="91"/>
        <v/>
      </c>
    </row>
    <row r="5785" spans="15:15" x14ac:dyDescent="0.3">
      <c r="O5785" t="str">
        <f t="shared" si="91"/>
        <v/>
      </c>
    </row>
    <row r="5786" spans="15:15" x14ac:dyDescent="0.3">
      <c r="O5786" t="str">
        <f t="shared" si="91"/>
        <v/>
      </c>
    </row>
    <row r="5787" spans="15:15" x14ac:dyDescent="0.3">
      <c r="O5787" t="str">
        <f t="shared" si="91"/>
        <v/>
      </c>
    </row>
    <row r="5788" spans="15:15" x14ac:dyDescent="0.3">
      <c r="O5788" t="str">
        <f t="shared" si="91"/>
        <v/>
      </c>
    </row>
    <row r="5789" spans="15:15" x14ac:dyDescent="0.3">
      <c r="O5789" t="str">
        <f t="shared" si="91"/>
        <v/>
      </c>
    </row>
    <row r="5790" spans="15:15" x14ac:dyDescent="0.3">
      <c r="O5790" t="str">
        <f t="shared" si="91"/>
        <v/>
      </c>
    </row>
    <row r="5791" spans="15:15" x14ac:dyDescent="0.3">
      <c r="O5791" t="str">
        <f t="shared" si="91"/>
        <v/>
      </c>
    </row>
    <row r="5792" spans="15:15" x14ac:dyDescent="0.3">
      <c r="O5792" t="str">
        <f t="shared" si="91"/>
        <v/>
      </c>
    </row>
    <row r="5793" spans="15:15" x14ac:dyDescent="0.3">
      <c r="O5793" t="str">
        <f t="shared" si="91"/>
        <v/>
      </c>
    </row>
    <row r="5794" spans="15:15" x14ac:dyDescent="0.3">
      <c r="O5794" t="str">
        <f t="shared" si="91"/>
        <v/>
      </c>
    </row>
    <row r="5795" spans="15:15" x14ac:dyDescent="0.3">
      <c r="O5795" t="str">
        <f t="shared" si="91"/>
        <v/>
      </c>
    </row>
    <row r="5796" spans="15:15" x14ac:dyDescent="0.3">
      <c r="O5796" t="str">
        <f t="shared" si="91"/>
        <v/>
      </c>
    </row>
    <row r="5797" spans="15:15" x14ac:dyDescent="0.3">
      <c r="O5797" t="str">
        <f t="shared" si="91"/>
        <v/>
      </c>
    </row>
    <row r="5798" spans="15:15" x14ac:dyDescent="0.3">
      <c r="O5798" t="str">
        <f t="shared" si="91"/>
        <v/>
      </c>
    </row>
    <row r="5799" spans="15:15" x14ac:dyDescent="0.3">
      <c r="O5799" t="str">
        <f t="shared" si="91"/>
        <v/>
      </c>
    </row>
    <row r="5800" spans="15:15" x14ac:dyDescent="0.3">
      <c r="O5800" t="str">
        <f t="shared" si="91"/>
        <v/>
      </c>
    </row>
    <row r="5801" spans="15:15" x14ac:dyDescent="0.3">
      <c r="O5801" t="str">
        <f t="shared" si="91"/>
        <v/>
      </c>
    </row>
    <row r="5802" spans="15:15" x14ac:dyDescent="0.3">
      <c r="O5802" t="str">
        <f t="shared" si="91"/>
        <v/>
      </c>
    </row>
    <row r="5803" spans="15:15" x14ac:dyDescent="0.3">
      <c r="O5803" t="str">
        <f t="shared" si="91"/>
        <v/>
      </c>
    </row>
    <row r="5804" spans="15:15" x14ac:dyDescent="0.3">
      <c r="O5804" t="str">
        <f t="shared" si="91"/>
        <v/>
      </c>
    </row>
    <row r="5805" spans="15:15" x14ac:dyDescent="0.3">
      <c r="O5805" t="str">
        <f t="shared" si="91"/>
        <v/>
      </c>
    </row>
    <row r="5806" spans="15:15" x14ac:dyDescent="0.3">
      <c r="O5806" t="str">
        <f t="shared" si="91"/>
        <v/>
      </c>
    </row>
    <row r="5807" spans="15:15" x14ac:dyDescent="0.3">
      <c r="O5807" t="str">
        <f t="shared" si="91"/>
        <v/>
      </c>
    </row>
    <row r="5808" spans="15:15" x14ac:dyDescent="0.3">
      <c r="O5808" t="str">
        <f t="shared" si="91"/>
        <v/>
      </c>
    </row>
    <row r="5809" spans="15:15" x14ac:dyDescent="0.3">
      <c r="O5809" t="str">
        <f t="shared" si="91"/>
        <v/>
      </c>
    </row>
    <row r="5810" spans="15:15" x14ac:dyDescent="0.3">
      <c r="O5810" t="str">
        <f t="shared" si="91"/>
        <v/>
      </c>
    </row>
    <row r="5811" spans="15:15" x14ac:dyDescent="0.3">
      <c r="O5811" t="str">
        <f t="shared" si="91"/>
        <v/>
      </c>
    </row>
    <row r="5812" spans="15:15" x14ac:dyDescent="0.3">
      <c r="O5812" t="str">
        <f t="shared" si="91"/>
        <v/>
      </c>
    </row>
    <row r="5813" spans="15:15" x14ac:dyDescent="0.3">
      <c r="O5813" t="str">
        <f t="shared" si="91"/>
        <v/>
      </c>
    </row>
    <row r="5814" spans="15:15" x14ac:dyDescent="0.3">
      <c r="O5814" t="str">
        <f t="shared" si="91"/>
        <v/>
      </c>
    </row>
    <row r="5815" spans="15:15" x14ac:dyDescent="0.3">
      <c r="O5815" t="str">
        <f t="shared" si="91"/>
        <v/>
      </c>
    </row>
    <row r="5816" spans="15:15" x14ac:dyDescent="0.3">
      <c r="O5816" t="str">
        <f t="shared" si="91"/>
        <v/>
      </c>
    </row>
    <row r="5817" spans="15:15" x14ac:dyDescent="0.3">
      <c r="O5817" t="str">
        <f t="shared" si="91"/>
        <v/>
      </c>
    </row>
    <row r="5818" spans="15:15" x14ac:dyDescent="0.3">
      <c r="O5818" t="str">
        <f t="shared" si="91"/>
        <v/>
      </c>
    </row>
    <row r="5819" spans="15:15" x14ac:dyDescent="0.3">
      <c r="O5819" t="str">
        <f t="shared" si="91"/>
        <v/>
      </c>
    </row>
    <row r="5820" spans="15:15" x14ac:dyDescent="0.3">
      <c r="O5820" t="str">
        <f t="shared" si="91"/>
        <v/>
      </c>
    </row>
    <row r="5821" spans="15:15" x14ac:dyDescent="0.3">
      <c r="O5821" t="str">
        <f t="shared" si="91"/>
        <v/>
      </c>
    </row>
    <row r="5822" spans="15:15" x14ac:dyDescent="0.3">
      <c r="O5822" t="str">
        <f t="shared" si="91"/>
        <v/>
      </c>
    </row>
    <row r="5823" spans="15:15" x14ac:dyDescent="0.3">
      <c r="O5823" t="str">
        <f t="shared" si="91"/>
        <v/>
      </c>
    </row>
    <row r="5824" spans="15:15" x14ac:dyDescent="0.3">
      <c r="O5824" t="str">
        <f t="shared" si="91"/>
        <v/>
      </c>
    </row>
    <row r="5825" spans="15:15" x14ac:dyDescent="0.3">
      <c r="O5825" t="str">
        <f t="shared" si="91"/>
        <v/>
      </c>
    </row>
    <row r="5826" spans="15:15" x14ac:dyDescent="0.3">
      <c r="O5826" t="str">
        <f t="shared" si="91"/>
        <v/>
      </c>
    </row>
    <row r="5827" spans="15:15" x14ac:dyDescent="0.3">
      <c r="O5827" t="str">
        <f t="shared" si="91"/>
        <v/>
      </c>
    </row>
    <row r="5828" spans="15:15" x14ac:dyDescent="0.3">
      <c r="O5828" t="str">
        <f t="shared" si="91"/>
        <v/>
      </c>
    </row>
    <row r="5829" spans="15:15" x14ac:dyDescent="0.3">
      <c r="O5829" t="str">
        <f t="shared" si="91"/>
        <v/>
      </c>
    </row>
    <row r="5830" spans="15:15" x14ac:dyDescent="0.3">
      <c r="O5830" t="str">
        <f t="shared" si="91"/>
        <v/>
      </c>
    </row>
    <row r="5831" spans="15:15" x14ac:dyDescent="0.3">
      <c r="O5831" t="str">
        <f t="shared" si="91"/>
        <v/>
      </c>
    </row>
    <row r="5832" spans="15:15" x14ac:dyDescent="0.3">
      <c r="O5832" t="str">
        <f t="shared" si="91"/>
        <v/>
      </c>
    </row>
    <row r="5833" spans="15:15" x14ac:dyDescent="0.3">
      <c r="O5833" t="str">
        <f t="shared" si="91"/>
        <v/>
      </c>
    </row>
    <row r="5834" spans="15:15" x14ac:dyDescent="0.3">
      <c r="O5834" t="str">
        <f t="shared" ref="O5834:O5897" si="92">IF(P5834="","",O5833+1)</f>
        <v/>
      </c>
    </row>
    <row r="5835" spans="15:15" x14ac:dyDescent="0.3">
      <c r="O5835" t="str">
        <f t="shared" si="92"/>
        <v/>
      </c>
    </row>
    <row r="5836" spans="15:15" x14ac:dyDescent="0.3">
      <c r="O5836" t="str">
        <f t="shared" si="92"/>
        <v/>
      </c>
    </row>
    <row r="5837" spans="15:15" x14ac:dyDescent="0.3">
      <c r="O5837" t="str">
        <f t="shared" si="92"/>
        <v/>
      </c>
    </row>
    <row r="5838" spans="15:15" x14ac:dyDescent="0.3">
      <c r="O5838" t="str">
        <f t="shared" si="92"/>
        <v/>
      </c>
    </row>
    <row r="5839" spans="15:15" x14ac:dyDescent="0.3">
      <c r="O5839" t="str">
        <f t="shared" si="92"/>
        <v/>
      </c>
    </row>
    <row r="5840" spans="15:15" x14ac:dyDescent="0.3">
      <c r="O5840" t="str">
        <f t="shared" si="92"/>
        <v/>
      </c>
    </row>
    <row r="5841" spans="15:15" x14ac:dyDescent="0.3">
      <c r="O5841" t="str">
        <f t="shared" si="92"/>
        <v/>
      </c>
    </row>
    <row r="5842" spans="15:15" x14ac:dyDescent="0.3">
      <c r="O5842" t="str">
        <f t="shared" si="92"/>
        <v/>
      </c>
    </row>
    <row r="5843" spans="15:15" x14ac:dyDescent="0.3">
      <c r="O5843" t="str">
        <f t="shared" si="92"/>
        <v/>
      </c>
    </row>
    <row r="5844" spans="15:15" x14ac:dyDescent="0.3">
      <c r="O5844" t="str">
        <f t="shared" si="92"/>
        <v/>
      </c>
    </row>
    <row r="5845" spans="15:15" x14ac:dyDescent="0.3">
      <c r="O5845" t="str">
        <f t="shared" si="92"/>
        <v/>
      </c>
    </row>
    <row r="5846" spans="15:15" x14ac:dyDescent="0.3">
      <c r="O5846" t="str">
        <f t="shared" si="92"/>
        <v/>
      </c>
    </row>
    <row r="5847" spans="15:15" x14ac:dyDescent="0.3">
      <c r="O5847" t="str">
        <f t="shared" si="92"/>
        <v/>
      </c>
    </row>
    <row r="5848" spans="15:15" x14ac:dyDescent="0.3">
      <c r="O5848" t="str">
        <f t="shared" si="92"/>
        <v/>
      </c>
    </row>
    <row r="5849" spans="15:15" x14ac:dyDescent="0.3">
      <c r="O5849" t="str">
        <f t="shared" si="92"/>
        <v/>
      </c>
    </row>
    <row r="5850" spans="15:15" x14ac:dyDescent="0.3">
      <c r="O5850" t="str">
        <f t="shared" si="92"/>
        <v/>
      </c>
    </row>
    <row r="5851" spans="15:15" x14ac:dyDescent="0.3">
      <c r="O5851" t="str">
        <f t="shared" si="92"/>
        <v/>
      </c>
    </row>
    <row r="5852" spans="15:15" x14ac:dyDescent="0.3">
      <c r="O5852" t="str">
        <f t="shared" si="92"/>
        <v/>
      </c>
    </row>
    <row r="5853" spans="15:15" x14ac:dyDescent="0.3">
      <c r="O5853" t="str">
        <f t="shared" si="92"/>
        <v/>
      </c>
    </row>
    <row r="5854" spans="15:15" x14ac:dyDescent="0.3">
      <c r="O5854" t="str">
        <f t="shared" si="92"/>
        <v/>
      </c>
    </row>
    <row r="5855" spans="15:15" x14ac:dyDescent="0.3">
      <c r="O5855" t="str">
        <f t="shared" si="92"/>
        <v/>
      </c>
    </row>
    <row r="5856" spans="15:15" x14ac:dyDescent="0.3">
      <c r="O5856" t="str">
        <f t="shared" si="92"/>
        <v/>
      </c>
    </row>
    <row r="5857" spans="15:15" x14ac:dyDescent="0.3">
      <c r="O5857" t="str">
        <f t="shared" si="92"/>
        <v/>
      </c>
    </row>
    <row r="5858" spans="15:15" x14ac:dyDescent="0.3">
      <c r="O5858" t="str">
        <f t="shared" si="92"/>
        <v/>
      </c>
    </row>
    <row r="5859" spans="15:15" x14ac:dyDescent="0.3">
      <c r="O5859" t="str">
        <f t="shared" si="92"/>
        <v/>
      </c>
    </row>
    <row r="5860" spans="15:15" x14ac:dyDescent="0.3">
      <c r="O5860" t="str">
        <f t="shared" si="92"/>
        <v/>
      </c>
    </row>
    <row r="5861" spans="15:15" x14ac:dyDescent="0.3">
      <c r="O5861" t="str">
        <f t="shared" si="92"/>
        <v/>
      </c>
    </row>
    <row r="5862" spans="15:15" x14ac:dyDescent="0.3">
      <c r="O5862" t="str">
        <f t="shared" si="92"/>
        <v/>
      </c>
    </row>
    <row r="5863" spans="15:15" x14ac:dyDescent="0.3">
      <c r="O5863" t="str">
        <f t="shared" si="92"/>
        <v/>
      </c>
    </row>
    <row r="5864" spans="15:15" x14ac:dyDescent="0.3">
      <c r="O5864" t="str">
        <f t="shared" si="92"/>
        <v/>
      </c>
    </row>
    <row r="5865" spans="15:15" x14ac:dyDescent="0.3">
      <c r="O5865" t="str">
        <f t="shared" si="92"/>
        <v/>
      </c>
    </row>
    <row r="5866" spans="15:15" x14ac:dyDescent="0.3">
      <c r="O5866" t="str">
        <f t="shared" si="92"/>
        <v/>
      </c>
    </row>
    <row r="5867" spans="15:15" x14ac:dyDescent="0.3">
      <c r="O5867" t="str">
        <f t="shared" si="92"/>
        <v/>
      </c>
    </row>
    <row r="5868" spans="15:15" x14ac:dyDescent="0.3">
      <c r="O5868" t="str">
        <f t="shared" si="92"/>
        <v/>
      </c>
    </row>
    <row r="5869" spans="15:15" x14ac:dyDescent="0.3">
      <c r="O5869" t="str">
        <f t="shared" si="92"/>
        <v/>
      </c>
    </row>
    <row r="5870" spans="15:15" x14ac:dyDescent="0.3">
      <c r="O5870" t="str">
        <f t="shared" si="92"/>
        <v/>
      </c>
    </row>
    <row r="5871" spans="15:15" x14ac:dyDescent="0.3">
      <c r="O5871" t="str">
        <f t="shared" si="92"/>
        <v/>
      </c>
    </row>
    <row r="5872" spans="15:15" x14ac:dyDescent="0.3">
      <c r="O5872" t="str">
        <f t="shared" si="92"/>
        <v/>
      </c>
    </row>
    <row r="5873" spans="15:15" x14ac:dyDescent="0.3">
      <c r="O5873" t="str">
        <f t="shared" si="92"/>
        <v/>
      </c>
    </row>
    <row r="5874" spans="15:15" x14ac:dyDescent="0.3">
      <c r="O5874" t="str">
        <f t="shared" si="92"/>
        <v/>
      </c>
    </row>
    <row r="5875" spans="15:15" x14ac:dyDescent="0.3">
      <c r="O5875" t="str">
        <f t="shared" si="92"/>
        <v/>
      </c>
    </row>
    <row r="5876" spans="15:15" x14ac:dyDescent="0.3">
      <c r="O5876" t="str">
        <f t="shared" si="92"/>
        <v/>
      </c>
    </row>
    <row r="5877" spans="15:15" x14ac:dyDescent="0.3">
      <c r="O5877" t="str">
        <f t="shared" si="92"/>
        <v/>
      </c>
    </row>
    <row r="5878" spans="15:15" x14ac:dyDescent="0.3">
      <c r="O5878" t="str">
        <f t="shared" si="92"/>
        <v/>
      </c>
    </row>
    <row r="5879" spans="15:15" x14ac:dyDescent="0.3">
      <c r="O5879" t="str">
        <f t="shared" si="92"/>
        <v/>
      </c>
    </row>
    <row r="5880" spans="15:15" x14ac:dyDescent="0.3">
      <c r="O5880" t="str">
        <f t="shared" si="92"/>
        <v/>
      </c>
    </row>
    <row r="5881" spans="15:15" x14ac:dyDescent="0.3">
      <c r="O5881" t="str">
        <f t="shared" si="92"/>
        <v/>
      </c>
    </row>
    <row r="5882" spans="15:15" x14ac:dyDescent="0.3">
      <c r="O5882" t="str">
        <f t="shared" si="92"/>
        <v/>
      </c>
    </row>
    <row r="5883" spans="15:15" x14ac:dyDescent="0.3">
      <c r="O5883" t="str">
        <f t="shared" si="92"/>
        <v/>
      </c>
    </row>
    <row r="5884" spans="15:15" x14ac:dyDescent="0.3">
      <c r="O5884" t="str">
        <f t="shared" si="92"/>
        <v/>
      </c>
    </row>
    <row r="5885" spans="15:15" x14ac:dyDescent="0.3">
      <c r="O5885" t="str">
        <f t="shared" si="92"/>
        <v/>
      </c>
    </row>
    <row r="5886" spans="15:15" x14ac:dyDescent="0.3">
      <c r="O5886" t="str">
        <f t="shared" si="92"/>
        <v/>
      </c>
    </row>
    <row r="5887" spans="15:15" x14ac:dyDescent="0.3">
      <c r="O5887" t="str">
        <f t="shared" si="92"/>
        <v/>
      </c>
    </row>
    <row r="5888" spans="15:15" x14ac:dyDescent="0.3">
      <c r="O5888" t="str">
        <f t="shared" si="92"/>
        <v/>
      </c>
    </row>
    <row r="5889" spans="15:15" x14ac:dyDescent="0.3">
      <c r="O5889" t="str">
        <f t="shared" si="92"/>
        <v/>
      </c>
    </row>
    <row r="5890" spans="15:15" x14ac:dyDescent="0.3">
      <c r="O5890" t="str">
        <f t="shared" si="92"/>
        <v/>
      </c>
    </row>
    <row r="5891" spans="15:15" x14ac:dyDescent="0.3">
      <c r="O5891" t="str">
        <f t="shared" si="92"/>
        <v/>
      </c>
    </row>
    <row r="5892" spans="15:15" x14ac:dyDescent="0.3">
      <c r="O5892" t="str">
        <f t="shared" si="92"/>
        <v/>
      </c>
    </row>
    <row r="5893" spans="15:15" x14ac:dyDescent="0.3">
      <c r="O5893" t="str">
        <f t="shared" si="92"/>
        <v/>
      </c>
    </row>
    <row r="5894" spans="15:15" x14ac:dyDescent="0.3">
      <c r="O5894" t="str">
        <f t="shared" si="92"/>
        <v/>
      </c>
    </row>
    <row r="5895" spans="15:15" x14ac:dyDescent="0.3">
      <c r="O5895" t="str">
        <f t="shared" si="92"/>
        <v/>
      </c>
    </row>
    <row r="5896" spans="15:15" x14ac:dyDescent="0.3">
      <c r="O5896" t="str">
        <f t="shared" si="92"/>
        <v/>
      </c>
    </row>
    <row r="5897" spans="15:15" x14ac:dyDescent="0.3">
      <c r="O5897" t="str">
        <f t="shared" si="92"/>
        <v/>
      </c>
    </row>
    <row r="5898" spans="15:15" x14ac:dyDescent="0.3">
      <c r="O5898" t="str">
        <f t="shared" ref="O5898:O5961" si="93">IF(P5898="","",O5897+1)</f>
        <v/>
      </c>
    </row>
    <row r="5899" spans="15:15" x14ac:dyDescent="0.3">
      <c r="O5899" t="str">
        <f t="shared" si="93"/>
        <v/>
      </c>
    </row>
    <row r="5900" spans="15:15" x14ac:dyDescent="0.3">
      <c r="O5900" t="str">
        <f t="shared" si="93"/>
        <v/>
      </c>
    </row>
    <row r="5901" spans="15:15" x14ac:dyDescent="0.3">
      <c r="O5901" t="str">
        <f t="shared" si="93"/>
        <v/>
      </c>
    </row>
    <row r="5902" spans="15:15" x14ac:dyDescent="0.3">
      <c r="O5902" t="str">
        <f t="shared" si="93"/>
        <v/>
      </c>
    </row>
    <row r="5903" spans="15:15" x14ac:dyDescent="0.3">
      <c r="O5903" t="str">
        <f t="shared" si="93"/>
        <v/>
      </c>
    </row>
    <row r="5904" spans="15:15" x14ac:dyDescent="0.3">
      <c r="O5904" t="str">
        <f t="shared" si="93"/>
        <v/>
      </c>
    </row>
    <row r="5905" spans="15:15" x14ac:dyDescent="0.3">
      <c r="O5905" t="str">
        <f t="shared" si="93"/>
        <v/>
      </c>
    </row>
    <row r="5906" spans="15:15" x14ac:dyDescent="0.3">
      <c r="O5906" t="str">
        <f t="shared" si="93"/>
        <v/>
      </c>
    </row>
    <row r="5907" spans="15:15" x14ac:dyDescent="0.3">
      <c r="O5907" t="str">
        <f t="shared" si="93"/>
        <v/>
      </c>
    </row>
    <row r="5908" spans="15:15" x14ac:dyDescent="0.3">
      <c r="O5908" t="str">
        <f t="shared" si="93"/>
        <v/>
      </c>
    </row>
    <row r="5909" spans="15:15" x14ac:dyDescent="0.3">
      <c r="O5909" t="str">
        <f t="shared" si="93"/>
        <v/>
      </c>
    </row>
    <row r="5910" spans="15:15" x14ac:dyDescent="0.3">
      <c r="O5910" t="str">
        <f t="shared" si="93"/>
        <v/>
      </c>
    </row>
    <row r="5911" spans="15:15" x14ac:dyDescent="0.3">
      <c r="O5911" t="str">
        <f t="shared" si="93"/>
        <v/>
      </c>
    </row>
    <row r="5912" spans="15:15" x14ac:dyDescent="0.3">
      <c r="O5912" t="str">
        <f t="shared" si="93"/>
        <v/>
      </c>
    </row>
    <row r="5913" spans="15:15" x14ac:dyDescent="0.3">
      <c r="O5913" t="str">
        <f t="shared" si="93"/>
        <v/>
      </c>
    </row>
    <row r="5914" spans="15:15" x14ac:dyDescent="0.3">
      <c r="O5914" t="str">
        <f t="shared" si="93"/>
        <v/>
      </c>
    </row>
    <row r="5915" spans="15:15" x14ac:dyDescent="0.3">
      <c r="O5915" t="str">
        <f t="shared" si="93"/>
        <v/>
      </c>
    </row>
    <row r="5916" spans="15:15" x14ac:dyDescent="0.3">
      <c r="O5916" t="str">
        <f t="shared" si="93"/>
        <v/>
      </c>
    </row>
    <row r="5917" spans="15:15" x14ac:dyDescent="0.3">
      <c r="O5917" t="str">
        <f t="shared" si="93"/>
        <v/>
      </c>
    </row>
    <row r="5918" spans="15:15" x14ac:dyDescent="0.3">
      <c r="O5918" t="str">
        <f t="shared" si="93"/>
        <v/>
      </c>
    </row>
    <row r="5919" spans="15:15" x14ac:dyDescent="0.3">
      <c r="O5919" t="str">
        <f t="shared" si="93"/>
        <v/>
      </c>
    </row>
    <row r="5920" spans="15:15" x14ac:dyDescent="0.3">
      <c r="O5920" t="str">
        <f t="shared" si="93"/>
        <v/>
      </c>
    </row>
    <row r="5921" spans="15:15" x14ac:dyDescent="0.3">
      <c r="O5921" t="str">
        <f t="shared" si="93"/>
        <v/>
      </c>
    </row>
    <row r="5922" spans="15:15" x14ac:dyDescent="0.3">
      <c r="O5922" t="str">
        <f t="shared" si="93"/>
        <v/>
      </c>
    </row>
    <row r="5923" spans="15:15" x14ac:dyDescent="0.3">
      <c r="O5923" t="str">
        <f t="shared" si="93"/>
        <v/>
      </c>
    </row>
    <row r="5924" spans="15:15" x14ac:dyDescent="0.3">
      <c r="O5924" t="str">
        <f t="shared" si="93"/>
        <v/>
      </c>
    </row>
    <row r="5925" spans="15:15" x14ac:dyDescent="0.3">
      <c r="O5925" t="str">
        <f t="shared" si="93"/>
        <v/>
      </c>
    </row>
    <row r="5926" spans="15:15" x14ac:dyDescent="0.3">
      <c r="O5926" t="str">
        <f t="shared" si="93"/>
        <v/>
      </c>
    </row>
    <row r="5927" spans="15:15" x14ac:dyDescent="0.3">
      <c r="O5927" t="str">
        <f t="shared" si="93"/>
        <v/>
      </c>
    </row>
    <row r="5928" spans="15:15" x14ac:dyDescent="0.3">
      <c r="O5928" t="str">
        <f t="shared" si="93"/>
        <v/>
      </c>
    </row>
    <row r="5929" spans="15:15" x14ac:dyDescent="0.3">
      <c r="O5929" t="str">
        <f t="shared" si="93"/>
        <v/>
      </c>
    </row>
    <row r="5930" spans="15:15" x14ac:dyDescent="0.3">
      <c r="O5930" t="str">
        <f t="shared" si="93"/>
        <v/>
      </c>
    </row>
    <row r="5931" spans="15:15" x14ac:dyDescent="0.3">
      <c r="O5931" t="str">
        <f t="shared" si="93"/>
        <v/>
      </c>
    </row>
    <row r="5932" spans="15:15" x14ac:dyDescent="0.3">
      <c r="O5932" t="str">
        <f t="shared" si="93"/>
        <v/>
      </c>
    </row>
    <row r="5933" spans="15:15" x14ac:dyDescent="0.3">
      <c r="O5933" t="str">
        <f t="shared" si="93"/>
        <v/>
      </c>
    </row>
    <row r="5934" spans="15:15" x14ac:dyDescent="0.3">
      <c r="O5934" t="str">
        <f t="shared" si="93"/>
        <v/>
      </c>
    </row>
    <row r="5935" spans="15:15" x14ac:dyDescent="0.3">
      <c r="O5935" t="str">
        <f t="shared" si="93"/>
        <v/>
      </c>
    </row>
    <row r="5936" spans="15:15" x14ac:dyDescent="0.3">
      <c r="O5936" t="str">
        <f t="shared" si="93"/>
        <v/>
      </c>
    </row>
    <row r="5937" spans="15:15" x14ac:dyDescent="0.3">
      <c r="O5937" t="str">
        <f t="shared" si="93"/>
        <v/>
      </c>
    </row>
    <row r="5938" spans="15:15" x14ac:dyDescent="0.3">
      <c r="O5938" t="str">
        <f t="shared" si="93"/>
        <v/>
      </c>
    </row>
    <row r="5939" spans="15:15" x14ac:dyDescent="0.3">
      <c r="O5939" t="str">
        <f t="shared" si="93"/>
        <v/>
      </c>
    </row>
    <row r="5940" spans="15:15" x14ac:dyDescent="0.3">
      <c r="O5940" t="str">
        <f t="shared" si="93"/>
        <v/>
      </c>
    </row>
    <row r="5941" spans="15:15" x14ac:dyDescent="0.3">
      <c r="O5941" t="str">
        <f t="shared" si="93"/>
        <v/>
      </c>
    </row>
    <row r="5942" spans="15:15" x14ac:dyDescent="0.3">
      <c r="O5942" t="str">
        <f t="shared" si="93"/>
        <v/>
      </c>
    </row>
    <row r="5943" spans="15:15" x14ac:dyDescent="0.3">
      <c r="O5943" t="str">
        <f t="shared" si="93"/>
        <v/>
      </c>
    </row>
    <row r="5944" spans="15:15" x14ac:dyDescent="0.3">
      <c r="O5944" t="str">
        <f t="shared" si="93"/>
        <v/>
      </c>
    </row>
    <row r="5945" spans="15:15" x14ac:dyDescent="0.3">
      <c r="O5945" t="str">
        <f t="shared" si="93"/>
        <v/>
      </c>
    </row>
    <row r="5946" spans="15:15" x14ac:dyDescent="0.3">
      <c r="O5946" t="str">
        <f t="shared" si="93"/>
        <v/>
      </c>
    </row>
    <row r="5947" spans="15:15" x14ac:dyDescent="0.3">
      <c r="O5947" t="str">
        <f t="shared" si="93"/>
        <v/>
      </c>
    </row>
    <row r="5948" spans="15:15" x14ac:dyDescent="0.3">
      <c r="O5948" t="str">
        <f t="shared" si="93"/>
        <v/>
      </c>
    </row>
    <row r="5949" spans="15:15" x14ac:dyDescent="0.3">
      <c r="O5949" t="str">
        <f t="shared" si="93"/>
        <v/>
      </c>
    </row>
    <row r="5950" spans="15:15" x14ac:dyDescent="0.3">
      <c r="O5950" t="str">
        <f t="shared" si="93"/>
        <v/>
      </c>
    </row>
    <row r="5951" spans="15:15" x14ac:dyDescent="0.3">
      <c r="O5951" t="str">
        <f t="shared" si="93"/>
        <v/>
      </c>
    </row>
    <row r="5952" spans="15:15" x14ac:dyDescent="0.3">
      <c r="O5952" t="str">
        <f t="shared" si="93"/>
        <v/>
      </c>
    </row>
    <row r="5953" spans="15:15" x14ac:dyDescent="0.3">
      <c r="O5953" t="str">
        <f t="shared" si="93"/>
        <v/>
      </c>
    </row>
    <row r="5954" spans="15:15" x14ac:dyDescent="0.3">
      <c r="O5954" t="str">
        <f t="shared" si="93"/>
        <v/>
      </c>
    </row>
    <row r="5955" spans="15:15" x14ac:dyDescent="0.3">
      <c r="O5955" t="str">
        <f t="shared" si="93"/>
        <v/>
      </c>
    </row>
    <row r="5956" spans="15:15" x14ac:dyDescent="0.3">
      <c r="O5956" t="str">
        <f t="shared" si="93"/>
        <v/>
      </c>
    </row>
    <row r="5957" spans="15:15" x14ac:dyDescent="0.3">
      <c r="O5957" t="str">
        <f t="shared" si="93"/>
        <v/>
      </c>
    </row>
    <row r="5958" spans="15:15" x14ac:dyDescent="0.3">
      <c r="O5958" t="str">
        <f t="shared" si="93"/>
        <v/>
      </c>
    </row>
    <row r="5959" spans="15:15" x14ac:dyDescent="0.3">
      <c r="O5959" t="str">
        <f t="shared" si="93"/>
        <v/>
      </c>
    </row>
    <row r="5960" spans="15:15" x14ac:dyDescent="0.3">
      <c r="O5960" t="str">
        <f t="shared" si="93"/>
        <v/>
      </c>
    </row>
    <row r="5961" spans="15:15" x14ac:dyDescent="0.3">
      <c r="O5961" t="str">
        <f t="shared" si="93"/>
        <v/>
      </c>
    </row>
    <row r="5962" spans="15:15" x14ac:dyDescent="0.3">
      <c r="O5962" t="str">
        <f t="shared" ref="O5962:O6025" si="94">IF(P5962="","",O5961+1)</f>
        <v/>
      </c>
    </row>
    <row r="5963" spans="15:15" x14ac:dyDescent="0.3">
      <c r="O5963" t="str">
        <f t="shared" si="94"/>
        <v/>
      </c>
    </row>
    <row r="5964" spans="15:15" x14ac:dyDescent="0.3">
      <c r="O5964" t="str">
        <f t="shared" si="94"/>
        <v/>
      </c>
    </row>
    <row r="5965" spans="15:15" x14ac:dyDescent="0.3">
      <c r="O5965" t="str">
        <f t="shared" si="94"/>
        <v/>
      </c>
    </row>
    <row r="5966" spans="15:15" x14ac:dyDescent="0.3">
      <c r="O5966" t="str">
        <f t="shared" si="94"/>
        <v/>
      </c>
    </row>
    <row r="5967" spans="15:15" x14ac:dyDescent="0.3">
      <c r="O5967" t="str">
        <f t="shared" si="94"/>
        <v/>
      </c>
    </row>
    <row r="5968" spans="15:15" x14ac:dyDescent="0.3">
      <c r="O5968" t="str">
        <f t="shared" si="94"/>
        <v/>
      </c>
    </row>
    <row r="5969" spans="15:15" x14ac:dyDescent="0.3">
      <c r="O5969" t="str">
        <f t="shared" si="94"/>
        <v/>
      </c>
    </row>
    <row r="5970" spans="15:15" x14ac:dyDescent="0.3">
      <c r="O5970" t="str">
        <f t="shared" si="94"/>
        <v/>
      </c>
    </row>
    <row r="5971" spans="15:15" x14ac:dyDescent="0.3">
      <c r="O5971" t="str">
        <f t="shared" si="94"/>
        <v/>
      </c>
    </row>
    <row r="5972" spans="15:15" x14ac:dyDescent="0.3">
      <c r="O5972" t="str">
        <f t="shared" si="94"/>
        <v/>
      </c>
    </row>
    <row r="5973" spans="15:15" x14ac:dyDescent="0.3">
      <c r="O5973" t="str">
        <f t="shared" si="94"/>
        <v/>
      </c>
    </row>
    <row r="5974" spans="15:15" x14ac:dyDescent="0.3">
      <c r="O5974" t="str">
        <f t="shared" si="94"/>
        <v/>
      </c>
    </row>
    <row r="5975" spans="15:15" x14ac:dyDescent="0.3">
      <c r="O5975" t="str">
        <f t="shared" si="94"/>
        <v/>
      </c>
    </row>
    <row r="5976" spans="15:15" x14ac:dyDescent="0.3">
      <c r="O5976" t="str">
        <f t="shared" si="94"/>
        <v/>
      </c>
    </row>
    <row r="5977" spans="15:15" x14ac:dyDescent="0.3">
      <c r="O5977" t="str">
        <f t="shared" si="94"/>
        <v/>
      </c>
    </row>
    <row r="5978" spans="15:15" x14ac:dyDescent="0.3">
      <c r="O5978" t="str">
        <f t="shared" si="94"/>
        <v/>
      </c>
    </row>
    <row r="5979" spans="15:15" x14ac:dyDescent="0.3">
      <c r="O5979" t="str">
        <f t="shared" si="94"/>
        <v/>
      </c>
    </row>
    <row r="5980" spans="15:15" x14ac:dyDescent="0.3">
      <c r="O5980" t="str">
        <f t="shared" si="94"/>
        <v/>
      </c>
    </row>
    <row r="5981" spans="15:15" x14ac:dyDescent="0.3">
      <c r="O5981" t="str">
        <f t="shared" si="94"/>
        <v/>
      </c>
    </row>
    <row r="5982" spans="15:15" x14ac:dyDescent="0.3">
      <c r="O5982" t="str">
        <f t="shared" si="94"/>
        <v/>
      </c>
    </row>
    <row r="5983" spans="15:15" x14ac:dyDescent="0.3">
      <c r="O5983" t="str">
        <f t="shared" si="94"/>
        <v/>
      </c>
    </row>
    <row r="5984" spans="15:15" x14ac:dyDescent="0.3">
      <c r="O5984" t="str">
        <f t="shared" si="94"/>
        <v/>
      </c>
    </row>
    <row r="5985" spans="15:15" x14ac:dyDescent="0.3">
      <c r="O5985" t="str">
        <f t="shared" si="94"/>
        <v/>
      </c>
    </row>
    <row r="5986" spans="15:15" x14ac:dyDescent="0.3">
      <c r="O5986" t="str">
        <f t="shared" si="94"/>
        <v/>
      </c>
    </row>
    <row r="5987" spans="15:15" x14ac:dyDescent="0.3">
      <c r="O5987" t="str">
        <f t="shared" si="94"/>
        <v/>
      </c>
    </row>
    <row r="5988" spans="15:15" x14ac:dyDescent="0.3">
      <c r="O5988" t="str">
        <f t="shared" si="94"/>
        <v/>
      </c>
    </row>
    <row r="5989" spans="15:15" x14ac:dyDescent="0.3">
      <c r="O5989" t="str">
        <f t="shared" si="94"/>
        <v/>
      </c>
    </row>
    <row r="5990" spans="15:15" x14ac:dyDescent="0.3">
      <c r="O5990" t="str">
        <f t="shared" si="94"/>
        <v/>
      </c>
    </row>
    <row r="5991" spans="15:15" x14ac:dyDescent="0.3">
      <c r="O5991" t="str">
        <f t="shared" si="94"/>
        <v/>
      </c>
    </row>
    <row r="5992" spans="15:15" x14ac:dyDescent="0.3">
      <c r="O5992" t="str">
        <f t="shared" si="94"/>
        <v/>
      </c>
    </row>
    <row r="5993" spans="15:15" x14ac:dyDescent="0.3">
      <c r="O5993" t="str">
        <f t="shared" si="94"/>
        <v/>
      </c>
    </row>
    <row r="5994" spans="15:15" x14ac:dyDescent="0.3">
      <c r="O5994" t="str">
        <f t="shared" si="94"/>
        <v/>
      </c>
    </row>
    <row r="5995" spans="15:15" x14ac:dyDescent="0.3">
      <c r="O5995" t="str">
        <f t="shared" si="94"/>
        <v/>
      </c>
    </row>
    <row r="5996" spans="15:15" x14ac:dyDescent="0.3">
      <c r="O5996" t="str">
        <f t="shared" si="94"/>
        <v/>
      </c>
    </row>
    <row r="5997" spans="15:15" x14ac:dyDescent="0.3">
      <c r="O5997" t="str">
        <f t="shared" si="94"/>
        <v/>
      </c>
    </row>
    <row r="5998" spans="15:15" x14ac:dyDescent="0.3">
      <c r="O5998" t="str">
        <f t="shared" si="94"/>
        <v/>
      </c>
    </row>
    <row r="5999" spans="15:15" x14ac:dyDescent="0.3">
      <c r="O5999" t="str">
        <f t="shared" si="94"/>
        <v/>
      </c>
    </row>
    <row r="6000" spans="15:15" x14ac:dyDescent="0.3">
      <c r="O6000" t="str">
        <f t="shared" si="94"/>
        <v/>
      </c>
    </row>
    <row r="6001" spans="15:15" x14ac:dyDescent="0.3">
      <c r="O6001" t="str">
        <f t="shared" si="94"/>
        <v/>
      </c>
    </row>
    <row r="6002" spans="15:15" x14ac:dyDescent="0.3">
      <c r="O6002" t="str">
        <f t="shared" si="94"/>
        <v/>
      </c>
    </row>
    <row r="6003" spans="15:15" x14ac:dyDescent="0.3">
      <c r="O6003" t="str">
        <f t="shared" si="94"/>
        <v/>
      </c>
    </row>
    <row r="6004" spans="15:15" x14ac:dyDescent="0.3">
      <c r="O6004" t="str">
        <f t="shared" si="94"/>
        <v/>
      </c>
    </row>
    <row r="6005" spans="15:15" x14ac:dyDescent="0.3">
      <c r="O6005" t="str">
        <f t="shared" si="94"/>
        <v/>
      </c>
    </row>
    <row r="6006" spans="15:15" x14ac:dyDescent="0.3">
      <c r="O6006" t="str">
        <f t="shared" si="94"/>
        <v/>
      </c>
    </row>
    <row r="6007" spans="15:15" x14ac:dyDescent="0.3">
      <c r="O6007" t="str">
        <f t="shared" si="94"/>
        <v/>
      </c>
    </row>
    <row r="6008" spans="15:15" x14ac:dyDescent="0.3">
      <c r="O6008" t="str">
        <f t="shared" si="94"/>
        <v/>
      </c>
    </row>
    <row r="6009" spans="15:15" x14ac:dyDescent="0.3">
      <c r="O6009" t="str">
        <f t="shared" si="94"/>
        <v/>
      </c>
    </row>
    <row r="6010" spans="15:15" x14ac:dyDescent="0.3">
      <c r="O6010" t="str">
        <f t="shared" si="94"/>
        <v/>
      </c>
    </row>
    <row r="6011" spans="15:15" x14ac:dyDescent="0.3">
      <c r="O6011" t="str">
        <f t="shared" si="94"/>
        <v/>
      </c>
    </row>
    <row r="6012" spans="15:15" x14ac:dyDescent="0.3">
      <c r="O6012" t="str">
        <f t="shared" si="94"/>
        <v/>
      </c>
    </row>
    <row r="6013" spans="15:15" x14ac:dyDescent="0.3">
      <c r="O6013" t="str">
        <f t="shared" si="94"/>
        <v/>
      </c>
    </row>
    <row r="6014" spans="15:15" x14ac:dyDescent="0.3">
      <c r="O6014" t="str">
        <f t="shared" si="94"/>
        <v/>
      </c>
    </row>
    <row r="6015" spans="15:15" x14ac:dyDescent="0.3">
      <c r="O6015" t="str">
        <f t="shared" si="94"/>
        <v/>
      </c>
    </row>
    <row r="6016" spans="15:15" x14ac:dyDescent="0.3">
      <c r="O6016" t="str">
        <f t="shared" si="94"/>
        <v/>
      </c>
    </row>
    <row r="6017" spans="15:15" x14ac:dyDescent="0.3">
      <c r="O6017" t="str">
        <f t="shared" si="94"/>
        <v/>
      </c>
    </row>
    <row r="6018" spans="15:15" x14ac:dyDescent="0.3">
      <c r="O6018" t="str">
        <f t="shared" si="94"/>
        <v/>
      </c>
    </row>
    <row r="6019" spans="15:15" x14ac:dyDescent="0.3">
      <c r="O6019" t="str">
        <f t="shared" si="94"/>
        <v/>
      </c>
    </row>
    <row r="6020" spans="15:15" x14ac:dyDescent="0.3">
      <c r="O6020" t="str">
        <f t="shared" si="94"/>
        <v/>
      </c>
    </row>
    <row r="6021" spans="15:15" x14ac:dyDescent="0.3">
      <c r="O6021" t="str">
        <f t="shared" si="94"/>
        <v/>
      </c>
    </row>
    <row r="6022" spans="15:15" x14ac:dyDescent="0.3">
      <c r="O6022" t="str">
        <f t="shared" si="94"/>
        <v/>
      </c>
    </row>
    <row r="6023" spans="15:15" x14ac:dyDescent="0.3">
      <c r="O6023" t="str">
        <f t="shared" si="94"/>
        <v/>
      </c>
    </row>
    <row r="6024" spans="15:15" x14ac:dyDescent="0.3">
      <c r="O6024" t="str">
        <f t="shared" si="94"/>
        <v/>
      </c>
    </row>
    <row r="6025" spans="15:15" x14ac:dyDescent="0.3">
      <c r="O6025" t="str">
        <f t="shared" si="94"/>
        <v/>
      </c>
    </row>
    <row r="6026" spans="15:15" x14ac:dyDescent="0.3">
      <c r="O6026" t="str">
        <f t="shared" ref="O6026:O6089" si="95">IF(P6026="","",O6025+1)</f>
        <v/>
      </c>
    </row>
    <row r="6027" spans="15:15" x14ac:dyDescent="0.3">
      <c r="O6027" t="str">
        <f t="shared" si="95"/>
        <v/>
      </c>
    </row>
    <row r="6028" spans="15:15" x14ac:dyDescent="0.3">
      <c r="O6028" t="str">
        <f t="shared" si="95"/>
        <v/>
      </c>
    </row>
    <row r="6029" spans="15:15" x14ac:dyDescent="0.3">
      <c r="O6029" t="str">
        <f t="shared" si="95"/>
        <v/>
      </c>
    </row>
    <row r="6030" spans="15:15" x14ac:dyDescent="0.3">
      <c r="O6030" t="str">
        <f t="shared" si="95"/>
        <v/>
      </c>
    </row>
    <row r="6031" spans="15:15" x14ac:dyDescent="0.3">
      <c r="O6031" t="str">
        <f t="shared" si="95"/>
        <v/>
      </c>
    </row>
    <row r="6032" spans="15:15" x14ac:dyDescent="0.3">
      <c r="O6032" t="str">
        <f t="shared" si="95"/>
        <v/>
      </c>
    </row>
    <row r="6033" spans="15:15" x14ac:dyDescent="0.3">
      <c r="O6033" t="str">
        <f t="shared" si="95"/>
        <v/>
      </c>
    </row>
    <row r="6034" spans="15:15" x14ac:dyDescent="0.3">
      <c r="O6034" t="str">
        <f t="shared" si="95"/>
        <v/>
      </c>
    </row>
    <row r="6035" spans="15:15" x14ac:dyDescent="0.3">
      <c r="O6035" t="str">
        <f t="shared" si="95"/>
        <v/>
      </c>
    </row>
    <row r="6036" spans="15:15" x14ac:dyDescent="0.3">
      <c r="O6036" t="str">
        <f t="shared" si="95"/>
        <v/>
      </c>
    </row>
    <row r="6037" spans="15:15" x14ac:dyDescent="0.3">
      <c r="O6037" t="str">
        <f t="shared" si="95"/>
        <v/>
      </c>
    </row>
    <row r="6038" spans="15:15" x14ac:dyDescent="0.3">
      <c r="O6038" t="str">
        <f t="shared" si="95"/>
        <v/>
      </c>
    </row>
    <row r="6039" spans="15:15" x14ac:dyDescent="0.3">
      <c r="O6039" t="str">
        <f t="shared" si="95"/>
        <v/>
      </c>
    </row>
    <row r="6040" spans="15:15" x14ac:dyDescent="0.3">
      <c r="O6040" t="str">
        <f t="shared" si="95"/>
        <v/>
      </c>
    </row>
    <row r="6041" spans="15:15" x14ac:dyDescent="0.3">
      <c r="O6041" t="str">
        <f t="shared" si="95"/>
        <v/>
      </c>
    </row>
    <row r="6042" spans="15:15" x14ac:dyDescent="0.3">
      <c r="O6042" t="str">
        <f t="shared" si="95"/>
        <v/>
      </c>
    </row>
    <row r="6043" spans="15:15" x14ac:dyDescent="0.3">
      <c r="O6043" t="str">
        <f t="shared" si="95"/>
        <v/>
      </c>
    </row>
    <row r="6044" spans="15:15" x14ac:dyDescent="0.3">
      <c r="O6044" t="str">
        <f t="shared" si="95"/>
        <v/>
      </c>
    </row>
    <row r="6045" spans="15:15" x14ac:dyDescent="0.3">
      <c r="O6045" t="str">
        <f t="shared" si="95"/>
        <v/>
      </c>
    </row>
    <row r="6046" spans="15:15" x14ac:dyDescent="0.3">
      <c r="O6046" t="str">
        <f t="shared" si="95"/>
        <v/>
      </c>
    </row>
    <row r="6047" spans="15:15" x14ac:dyDescent="0.3">
      <c r="O6047" t="str">
        <f t="shared" si="95"/>
        <v/>
      </c>
    </row>
    <row r="6048" spans="15:15" x14ac:dyDescent="0.3">
      <c r="O6048" t="str">
        <f t="shared" si="95"/>
        <v/>
      </c>
    </row>
    <row r="6049" spans="15:15" x14ac:dyDescent="0.3">
      <c r="O6049" t="str">
        <f t="shared" si="95"/>
        <v/>
      </c>
    </row>
    <row r="6050" spans="15:15" x14ac:dyDescent="0.3">
      <c r="O6050" t="str">
        <f t="shared" si="95"/>
        <v/>
      </c>
    </row>
    <row r="6051" spans="15:15" x14ac:dyDescent="0.3">
      <c r="O6051" t="str">
        <f t="shared" si="95"/>
        <v/>
      </c>
    </row>
    <row r="6052" spans="15:15" x14ac:dyDescent="0.3">
      <c r="O6052" t="str">
        <f t="shared" si="95"/>
        <v/>
      </c>
    </row>
    <row r="6053" spans="15:15" x14ac:dyDescent="0.3">
      <c r="O6053" t="str">
        <f t="shared" si="95"/>
        <v/>
      </c>
    </row>
    <row r="6054" spans="15:15" x14ac:dyDescent="0.3">
      <c r="O6054" t="str">
        <f t="shared" si="95"/>
        <v/>
      </c>
    </row>
    <row r="6055" spans="15:15" x14ac:dyDescent="0.3">
      <c r="O6055" t="str">
        <f t="shared" si="95"/>
        <v/>
      </c>
    </row>
    <row r="6056" spans="15:15" x14ac:dyDescent="0.3">
      <c r="O6056" t="str">
        <f t="shared" si="95"/>
        <v/>
      </c>
    </row>
    <row r="6057" spans="15:15" x14ac:dyDescent="0.3">
      <c r="O6057" t="str">
        <f t="shared" si="95"/>
        <v/>
      </c>
    </row>
    <row r="6058" spans="15:15" x14ac:dyDescent="0.3">
      <c r="O6058" t="str">
        <f t="shared" si="95"/>
        <v/>
      </c>
    </row>
    <row r="6059" spans="15:15" x14ac:dyDescent="0.3">
      <c r="O6059" t="str">
        <f t="shared" si="95"/>
        <v/>
      </c>
    </row>
    <row r="6060" spans="15:15" x14ac:dyDescent="0.3">
      <c r="O6060" t="str">
        <f t="shared" si="95"/>
        <v/>
      </c>
    </row>
    <row r="6061" spans="15:15" x14ac:dyDescent="0.3">
      <c r="O6061" t="str">
        <f t="shared" si="95"/>
        <v/>
      </c>
    </row>
    <row r="6062" spans="15:15" x14ac:dyDescent="0.3">
      <c r="O6062" t="str">
        <f t="shared" si="95"/>
        <v/>
      </c>
    </row>
    <row r="6063" spans="15:15" x14ac:dyDescent="0.3">
      <c r="O6063" t="str">
        <f t="shared" si="95"/>
        <v/>
      </c>
    </row>
    <row r="6064" spans="15:15" x14ac:dyDescent="0.3">
      <c r="O6064" t="str">
        <f t="shared" si="95"/>
        <v/>
      </c>
    </row>
    <row r="6065" spans="15:15" x14ac:dyDescent="0.3">
      <c r="O6065" t="str">
        <f t="shared" si="95"/>
        <v/>
      </c>
    </row>
    <row r="6066" spans="15:15" x14ac:dyDescent="0.3">
      <c r="O6066" t="str">
        <f t="shared" si="95"/>
        <v/>
      </c>
    </row>
    <row r="6067" spans="15:15" x14ac:dyDescent="0.3">
      <c r="O6067" t="str">
        <f t="shared" si="95"/>
        <v/>
      </c>
    </row>
    <row r="6068" spans="15:15" x14ac:dyDescent="0.3">
      <c r="O6068" t="str">
        <f t="shared" si="95"/>
        <v/>
      </c>
    </row>
    <row r="6069" spans="15:15" x14ac:dyDescent="0.3">
      <c r="O6069" t="str">
        <f t="shared" si="95"/>
        <v/>
      </c>
    </row>
    <row r="6070" spans="15:15" x14ac:dyDescent="0.3">
      <c r="O6070" t="str">
        <f t="shared" si="95"/>
        <v/>
      </c>
    </row>
    <row r="6071" spans="15:15" x14ac:dyDescent="0.3">
      <c r="O6071" t="str">
        <f t="shared" si="95"/>
        <v/>
      </c>
    </row>
    <row r="6072" spans="15:15" x14ac:dyDescent="0.3">
      <c r="O6072" t="str">
        <f t="shared" si="95"/>
        <v/>
      </c>
    </row>
    <row r="6073" spans="15:15" x14ac:dyDescent="0.3">
      <c r="O6073" t="str">
        <f t="shared" si="95"/>
        <v/>
      </c>
    </row>
    <row r="6074" spans="15:15" x14ac:dyDescent="0.3">
      <c r="O6074" t="str">
        <f t="shared" si="95"/>
        <v/>
      </c>
    </row>
    <row r="6075" spans="15:15" x14ac:dyDescent="0.3">
      <c r="O6075" t="str">
        <f t="shared" si="95"/>
        <v/>
      </c>
    </row>
    <row r="6076" spans="15:15" x14ac:dyDescent="0.3">
      <c r="O6076" t="str">
        <f t="shared" si="95"/>
        <v/>
      </c>
    </row>
    <row r="6077" spans="15:15" x14ac:dyDescent="0.3">
      <c r="O6077" t="str">
        <f t="shared" si="95"/>
        <v/>
      </c>
    </row>
    <row r="6078" spans="15:15" x14ac:dyDescent="0.3">
      <c r="O6078" t="str">
        <f t="shared" si="95"/>
        <v/>
      </c>
    </row>
    <row r="6079" spans="15:15" x14ac:dyDescent="0.3">
      <c r="O6079" t="str">
        <f t="shared" si="95"/>
        <v/>
      </c>
    </row>
    <row r="6080" spans="15:15" x14ac:dyDescent="0.3">
      <c r="O6080" t="str">
        <f t="shared" si="95"/>
        <v/>
      </c>
    </row>
    <row r="6081" spans="15:15" x14ac:dyDescent="0.3">
      <c r="O6081" t="str">
        <f t="shared" si="95"/>
        <v/>
      </c>
    </row>
    <row r="6082" spans="15:15" x14ac:dyDescent="0.3">
      <c r="O6082" t="str">
        <f t="shared" si="95"/>
        <v/>
      </c>
    </row>
    <row r="6083" spans="15:15" x14ac:dyDescent="0.3">
      <c r="O6083" t="str">
        <f t="shared" si="95"/>
        <v/>
      </c>
    </row>
    <row r="6084" spans="15:15" x14ac:dyDescent="0.3">
      <c r="O6084" t="str">
        <f t="shared" si="95"/>
        <v/>
      </c>
    </row>
    <row r="6085" spans="15:15" x14ac:dyDescent="0.3">
      <c r="O6085" t="str">
        <f t="shared" si="95"/>
        <v/>
      </c>
    </row>
    <row r="6086" spans="15:15" x14ac:dyDescent="0.3">
      <c r="O6086" t="str">
        <f t="shared" si="95"/>
        <v/>
      </c>
    </row>
    <row r="6087" spans="15:15" x14ac:dyDescent="0.3">
      <c r="O6087" t="str">
        <f t="shared" si="95"/>
        <v/>
      </c>
    </row>
    <row r="6088" spans="15:15" x14ac:dyDescent="0.3">
      <c r="O6088" t="str">
        <f t="shared" si="95"/>
        <v/>
      </c>
    </row>
    <row r="6089" spans="15:15" x14ac:dyDescent="0.3">
      <c r="O6089" t="str">
        <f t="shared" si="95"/>
        <v/>
      </c>
    </row>
    <row r="6090" spans="15:15" x14ac:dyDescent="0.3">
      <c r="O6090" t="str">
        <f t="shared" ref="O6090:O6153" si="96">IF(P6090="","",O6089+1)</f>
        <v/>
      </c>
    </row>
    <row r="6091" spans="15:15" x14ac:dyDescent="0.3">
      <c r="O6091" t="str">
        <f t="shared" si="96"/>
        <v/>
      </c>
    </row>
    <row r="6092" spans="15:15" x14ac:dyDescent="0.3">
      <c r="O6092" t="str">
        <f t="shared" si="96"/>
        <v/>
      </c>
    </row>
    <row r="6093" spans="15:15" x14ac:dyDescent="0.3">
      <c r="O6093" t="str">
        <f t="shared" si="96"/>
        <v/>
      </c>
    </row>
    <row r="6094" spans="15:15" x14ac:dyDescent="0.3">
      <c r="O6094" t="str">
        <f t="shared" si="96"/>
        <v/>
      </c>
    </row>
    <row r="6095" spans="15:15" x14ac:dyDescent="0.3">
      <c r="O6095" t="str">
        <f t="shared" si="96"/>
        <v/>
      </c>
    </row>
    <row r="6096" spans="15:15" x14ac:dyDescent="0.3">
      <c r="O6096" t="str">
        <f t="shared" si="96"/>
        <v/>
      </c>
    </row>
    <row r="6097" spans="15:15" x14ac:dyDescent="0.3">
      <c r="O6097" t="str">
        <f t="shared" si="96"/>
        <v/>
      </c>
    </row>
    <row r="6098" spans="15:15" x14ac:dyDescent="0.3">
      <c r="O6098" t="str">
        <f t="shared" si="96"/>
        <v/>
      </c>
    </row>
    <row r="6099" spans="15:15" x14ac:dyDescent="0.3">
      <c r="O6099" t="str">
        <f t="shared" si="96"/>
        <v/>
      </c>
    </row>
    <row r="6100" spans="15:15" x14ac:dyDescent="0.3">
      <c r="O6100" t="str">
        <f t="shared" si="96"/>
        <v/>
      </c>
    </row>
    <row r="6101" spans="15:15" x14ac:dyDescent="0.3">
      <c r="O6101" t="str">
        <f t="shared" si="96"/>
        <v/>
      </c>
    </row>
    <row r="6102" spans="15:15" x14ac:dyDescent="0.3">
      <c r="O6102" t="str">
        <f t="shared" si="96"/>
        <v/>
      </c>
    </row>
    <row r="6103" spans="15:15" x14ac:dyDescent="0.3">
      <c r="O6103" t="str">
        <f t="shared" si="96"/>
        <v/>
      </c>
    </row>
    <row r="6104" spans="15:15" x14ac:dyDescent="0.3">
      <c r="O6104" t="str">
        <f t="shared" si="96"/>
        <v/>
      </c>
    </row>
    <row r="6105" spans="15:15" x14ac:dyDescent="0.3">
      <c r="O6105" t="str">
        <f t="shared" si="96"/>
        <v/>
      </c>
    </row>
    <row r="6106" spans="15:15" x14ac:dyDescent="0.3">
      <c r="O6106" t="str">
        <f t="shared" si="96"/>
        <v/>
      </c>
    </row>
    <row r="6107" spans="15:15" x14ac:dyDescent="0.3">
      <c r="O6107" t="str">
        <f t="shared" si="96"/>
        <v/>
      </c>
    </row>
    <row r="6108" spans="15:15" x14ac:dyDescent="0.3">
      <c r="O6108" t="str">
        <f t="shared" si="96"/>
        <v/>
      </c>
    </row>
    <row r="6109" spans="15:15" x14ac:dyDescent="0.3">
      <c r="O6109" t="str">
        <f t="shared" si="96"/>
        <v/>
      </c>
    </row>
    <row r="6110" spans="15:15" x14ac:dyDescent="0.3">
      <c r="O6110" t="str">
        <f t="shared" si="96"/>
        <v/>
      </c>
    </row>
    <row r="6111" spans="15:15" x14ac:dyDescent="0.3">
      <c r="O6111" t="str">
        <f t="shared" si="96"/>
        <v/>
      </c>
    </row>
    <row r="6112" spans="15:15" x14ac:dyDescent="0.3">
      <c r="O6112" t="str">
        <f t="shared" si="96"/>
        <v/>
      </c>
    </row>
    <row r="6113" spans="15:15" x14ac:dyDescent="0.3">
      <c r="O6113" t="str">
        <f t="shared" si="96"/>
        <v/>
      </c>
    </row>
    <row r="6114" spans="15:15" x14ac:dyDescent="0.3">
      <c r="O6114" t="str">
        <f t="shared" si="96"/>
        <v/>
      </c>
    </row>
    <row r="6115" spans="15:15" x14ac:dyDescent="0.3">
      <c r="O6115" t="str">
        <f t="shared" si="96"/>
        <v/>
      </c>
    </row>
    <row r="6116" spans="15:15" x14ac:dyDescent="0.3">
      <c r="O6116" t="str">
        <f t="shared" si="96"/>
        <v/>
      </c>
    </row>
    <row r="6117" spans="15:15" x14ac:dyDescent="0.3">
      <c r="O6117" t="str">
        <f t="shared" si="96"/>
        <v/>
      </c>
    </row>
    <row r="6118" spans="15:15" x14ac:dyDescent="0.3">
      <c r="O6118" t="str">
        <f t="shared" si="96"/>
        <v/>
      </c>
    </row>
    <row r="6119" spans="15:15" x14ac:dyDescent="0.3">
      <c r="O6119" t="str">
        <f t="shared" si="96"/>
        <v/>
      </c>
    </row>
    <row r="6120" spans="15:15" x14ac:dyDescent="0.3">
      <c r="O6120" t="str">
        <f t="shared" si="96"/>
        <v/>
      </c>
    </row>
    <row r="6121" spans="15:15" x14ac:dyDescent="0.3">
      <c r="O6121" t="str">
        <f t="shared" si="96"/>
        <v/>
      </c>
    </row>
    <row r="6122" spans="15:15" x14ac:dyDescent="0.3">
      <c r="O6122" t="str">
        <f t="shared" si="96"/>
        <v/>
      </c>
    </row>
    <row r="6123" spans="15:15" x14ac:dyDescent="0.3">
      <c r="O6123" t="str">
        <f t="shared" si="96"/>
        <v/>
      </c>
    </row>
    <row r="6124" spans="15:15" x14ac:dyDescent="0.3">
      <c r="O6124" t="str">
        <f t="shared" si="96"/>
        <v/>
      </c>
    </row>
    <row r="6125" spans="15:15" x14ac:dyDescent="0.3">
      <c r="O6125" t="str">
        <f t="shared" si="96"/>
        <v/>
      </c>
    </row>
    <row r="6126" spans="15:15" x14ac:dyDescent="0.3">
      <c r="O6126" t="str">
        <f t="shared" si="96"/>
        <v/>
      </c>
    </row>
    <row r="6127" spans="15:15" x14ac:dyDescent="0.3">
      <c r="O6127" t="str">
        <f t="shared" si="96"/>
        <v/>
      </c>
    </row>
    <row r="6128" spans="15:15" x14ac:dyDescent="0.3">
      <c r="O6128" t="str">
        <f t="shared" si="96"/>
        <v/>
      </c>
    </row>
    <row r="6129" spans="15:15" x14ac:dyDescent="0.3">
      <c r="O6129" t="str">
        <f t="shared" si="96"/>
        <v/>
      </c>
    </row>
    <row r="6130" spans="15:15" x14ac:dyDescent="0.3">
      <c r="O6130" t="str">
        <f t="shared" si="96"/>
        <v/>
      </c>
    </row>
    <row r="6131" spans="15:15" x14ac:dyDescent="0.3">
      <c r="O6131" t="str">
        <f t="shared" si="96"/>
        <v/>
      </c>
    </row>
    <row r="6132" spans="15:15" x14ac:dyDescent="0.3">
      <c r="O6132" t="str">
        <f t="shared" si="96"/>
        <v/>
      </c>
    </row>
    <row r="6133" spans="15:15" x14ac:dyDescent="0.3">
      <c r="O6133" t="str">
        <f t="shared" si="96"/>
        <v/>
      </c>
    </row>
    <row r="6134" spans="15:15" x14ac:dyDescent="0.3">
      <c r="O6134" t="str">
        <f t="shared" si="96"/>
        <v/>
      </c>
    </row>
    <row r="6135" spans="15:15" x14ac:dyDescent="0.3">
      <c r="O6135" t="str">
        <f t="shared" si="96"/>
        <v/>
      </c>
    </row>
    <row r="6136" spans="15:15" x14ac:dyDescent="0.3">
      <c r="O6136" t="str">
        <f t="shared" si="96"/>
        <v/>
      </c>
    </row>
    <row r="6137" spans="15:15" x14ac:dyDescent="0.3">
      <c r="O6137" t="str">
        <f t="shared" si="96"/>
        <v/>
      </c>
    </row>
    <row r="6138" spans="15:15" x14ac:dyDescent="0.3">
      <c r="O6138" t="str">
        <f t="shared" si="96"/>
        <v/>
      </c>
    </row>
    <row r="6139" spans="15:15" x14ac:dyDescent="0.3">
      <c r="O6139" t="str">
        <f t="shared" si="96"/>
        <v/>
      </c>
    </row>
    <row r="6140" spans="15:15" x14ac:dyDescent="0.3">
      <c r="O6140" t="str">
        <f t="shared" si="96"/>
        <v/>
      </c>
    </row>
    <row r="6141" spans="15:15" x14ac:dyDescent="0.3">
      <c r="O6141" t="str">
        <f t="shared" si="96"/>
        <v/>
      </c>
    </row>
    <row r="6142" spans="15:15" x14ac:dyDescent="0.3">
      <c r="O6142" t="str">
        <f t="shared" si="96"/>
        <v/>
      </c>
    </row>
    <row r="6143" spans="15:15" x14ac:dyDescent="0.3">
      <c r="O6143" t="str">
        <f t="shared" si="96"/>
        <v/>
      </c>
    </row>
    <row r="6144" spans="15:15" x14ac:dyDescent="0.3">
      <c r="O6144" t="str">
        <f t="shared" si="96"/>
        <v/>
      </c>
    </row>
    <row r="6145" spans="15:15" x14ac:dyDescent="0.3">
      <c r="O6145" t="str">
        <f t="shared" si="96"/>
        <v/>
      </c>
    </row>
    <row r="6146" spans="15:15" x14ac:dyDescent="0.3">
      <c r="O6146" t="str">
        <f t="shared" si="96"/>
        <v/>
      </c>
    </row>
    <row r="6147" spans="15:15" x14ac:dyDescent="0.3">
      <c r="O6147" t="str">
        <f t="shared" si="96"/>
        <v/>
      </c>
    </row>
    <row r="6148" spans="15:15" x14ac:dyDescent="0.3">
      <c r="O6148" t="str">
        <f t="shared" si="96"/>
        <v/>
      </c>
    </row>
    <row r="6149" spans="15:15" x14ac:dyDescent="0.3">
      <c r="O6149" t="str">
        <f t="shared" si="96"/>
        <v/>
      </c>
    </row>
    <row r="6150" spans="15:15" x14ac:dyDescent="0.3">
      <c r="O6150" t="str">
        <f t="shared" si="96"/>
        <v/>
      </c>
    </row>
    <row r="6151" spans="15:15" x14ac:dyDescent="0.3">
      <c r="O6151" t="str">
        <f t="shared" si="96"/>
        <v/>
      </c>
    </row>
    <row r="6152" spans="15:15" x14ac:dyDescent="0.3">
      <c r="O6152" t="str">
        <f t="shared" si="96"/>
        <v/>
      </c>
    </row>
    <row r="6153" spans="15:15" x14ac:dyDescent="0.3">
      <c r="O6153" t="str">
        <f t="shared" si="96"/>
        <v/>
      </c>
    </row>
    <row r="6154" spans="15:15" x14ac:dyDescent="0.3">
      <c r="O6154" t="str">
        <f t="shared" ref="O6154:O6217" si="97">IF(P6154="","",O6153+1)</f>
        <v/>
      </c>
    </row>
    <row r="6155" spans="15:15" x14ac:dyDescent="0.3">
      <c r="O6155" t="str">
        <f t="shared" si="97"/>
        <v/>
      </c>
    </row>
    <row r="6156" spans="15:15" x14ac:dyDescent="0.3">
      <c r="O6156" t="str">
        <f t="shared" si="97"/>
        <v/>
      </c>
    </row>
    <row r="6157" spans="15:15" x14ac:dyDescent="0.3">
      <c r="O6157" t="str">
        <f t="shared" si="97"/>
        <v/>
      </c>
    </row>
    <row r="6158" spans="15:15" x14ac:dyDescent="0.3">
      <c r="O6158" t="str">
        <f t="shared" si="97"/>
        <v/>
      </c>
    </row>
    <row r="6159" spans="15:15" x14ac:dyDescent="0.3">
      <c r="O6159" t="str">
        <f t="shared" si="97"/>
        <v/>
      </c>
    </row>
    <row r="6160" spans="15:15" x14ac:dyDescent="0.3">
      <c r="O6160" t="str">
        <f t="shared" si="97"/>
        <v/>
      </c>
    </row>
    <row r="6161" spans="15:15" x14ac:dyDescent="0.3">
      <c r="O6161" t="str">
        <f t="shared" si="97"/>
        <v/>
      </c>
    </row>
    <row r="6162" spans="15:15" x14ac:dyDescent="0.3">
      <c r="O6162" t="str">
        <f t="shared" si="97"/>
        <v/>
      </c>
    </row>
    <row r="6163" spans="15:15" x14ac:dyDescent="0.3">
      <c r="O6163" t="str">
        <f t="shared" si="97"/>
        <v/>
      </c>
    </row>
    <row r="6164" spans="15:15" x14ac:dyDescent="0.3">
      <c r="O6164" t="str">
        <f t="shared" si="97"/>
        <v/>
      </c>
    </row>
    <row r="6165" spans="15:15" x14ac:dyDescent="0.3">
      <c r="O6165" t="str">
        <f t="shared" si="97"/>
        <v/>
      </c>
    </row>
    <row r="6166" spans="15:15" x14ac:dyDescent="0.3">
      <c r="O6166" t="str">
        <f t="shared" si="97"/>
        <v/>
      </c>
    </row>
    <row r="6167" spans="15:15" x14ac:dyDescent="0.3">
      <c r="O6167" t="str">
        <f t="shared" si="97"/>
        <v/>
      </c>
    </row>
    <row r="6168" spans="15:15" x14ac:dyDescent="0.3">
      <c r="O6168" t="str">
        <f t="shared" si="97"/>
        <v/>
      </c>
    </row>
    <row r="6169" spans="15:15" x14ac:dyDescent="0.3">
      <c r="O6169" t="str">
        <f t="shared" si="97"/>
        <v/>
      </c>
    </row>
    <row r="6170" spans="15:15" x14ac:dyDescent="0.3">
      <c r="O6170" t="str">
        <f t="shared" si="97"/>
        <v/>
      </c>
    </row>
    <row r="6171" spans="15:15" x14ac:dyDescent="0.3">
      <c r="O6171" t="str">
        <f t="shared" si="97"/>
        <v/>
      </c>
    </row>
    <row r="6172" spans="15:15" x14ac:dyDescent="0.3">
      <c r="O6172" t="str">
        <f t="shared" si="97"/>
        <v/>
      </c>
    </row>
    <row r="6173" spans="15:15" x14ac:dyDescent="0.3">
      <c r="O6173" t="str">
        <f t="shared" si="97"/>
        <v/>
      </c>
    </row>
    <row r="6174" spans="15:15" x14ac:dyDescent="0.3">
      <c r="O6174" t="str">
        <f t="shared" si="97"/>
        <v/>
      </c>
    </row>
    <row r="6175" spans="15:15" x14ac:dyDescent="0.3">
      <c r="O6175" t="str">
        <f t="shared" si="97"/>
        <v/>
      </c>
    </row>
    <row r="6176" spans="15:15" x14ac:dyDescent="0.3">
      <c r="O6176" t="str">
        <f t="shared" si="97"/>
        <v/>
      </c>
    </row>
    <row r="6177" spans="15:15" x14ac:dyDescent="0.3">
      <c r="O6177" t="str">
        <f t="shared" si="97"/>
        <v/>
      </c>
    </row>
    <row r="6178" spans="15:15" x14ac:dyDescent="0.3">
      <c r="O6178" t="str">
        <f t="shared" si="97"/>
        <v/>
      </c>
    </row>
    <row r="6179" spans="15:15" x14ac:dyDescent="0.3">
      <c r="O6179" t="str">
        <f t="shared" si="97"/>
        <v/>
      </c>
    </row>
    <row r="6180" spans="15:15" x14ac:dyDescent="0.3">
      <c r="O6180" t="str">
        <f t="shared" si="97"/>
        <v/>
      </c>
    </row>
    <row r="6181" spans="15:15" x14ac:dyDescent="0.3">
      <c r="O6181" t="str">
        <f t="shared" si="97"/>
        <v/>
      </c>
    </row>
    <row r="6182" spans="15:15" x14ac:dyDescent="0.3">
      <c r="O6182" t="str">
        <f t="shared" si="97"/>
        <v/>
      </c>
    </row>
    <row r="6183" spans="15:15" x14ac:dyDescent="0.3">
      <c r="O6183" t="str">
        <f t="shared" si="97"/>
        <v/>
      </c>
    </row>
    <row r="6184" spans="15:15" x14ac:dyDescent="0.3">
      <c r="O6184" t="str">
        <f t="shared" si="97"/>
        <v/>
      </c>
    </row>
    <row r="6185" spans="15:15" x14ac:dyDescent="0.3">
      <c r="O6185" t="str">
        <f t="shared" si="97"/>
        <v/>
      </c>
    </row>
    <row r="6186" spans="15:15" x14ac:dyDescent="0.3">
      <c r="O6186" t="str">
        <f t="shared" si="97"/>
        <v/>
      </c>
    </row>
    <row r="6187" spans="15:15" x14ac:dyDescent="0.3">
      <c r="O6187" t="str">
        <f t="shared" si="97"/>
        <v/>
      </c>
    </row>
    <row r="6188" spans="15:15" x14ac:dyDescent="0.3">
      <c r="O6188" t="str">
        <f t="shared" si="97"/>
        <v/>
      </c>
    </row>
    <row r="6189" spans="15:15" x14ac:dyDescent="0.3">
      <c r="O6189" t="str">
        <f t="shared" si="97"/>
        <v/>
      </c>
    </row>
    <row r="6190" spans="15:15" x14ac:dyDescent="0.3">
      <c r="O6190" t="str">
        <f t="shared" si="97"/>
        <v/>
      </c>
    </row>
    <row r="6191" spans="15:15" x14ac:dyDescent="0.3">
      <c r="O6191" t="str">
        <f t="shared" si="97"/>
        <v/>
      </c>
    </row>
    <row r="6192" spans="15:15" x14ac:dyDescent="0.3">
      <c r="O6192" t="str">
        <f t="shared" si="97"/>
        <v/>
      </c>
    </row>
    <row r="6193" spans="15:15" x14ac:dyDescent="0.3">
      <c r="O6193" t="str">
        <f t="shared" si="97"/>
        <v/>
      </c>
    </row>
    <row r="6194" spans="15:15" x14ac:dyDescent="0.3">
      <c r="O6194" t="str">
        <f t="shared" si="97"/>
        <v/>
      </c>
    </row>
    <row r="6195" spans="15:15" x14ac:dyDescent="0.3">
      <c r="O6195" t="str">
        <f t="shared" si="97"/>
        <v/>
      </c>
    </row>
    <row r="6196" spans="15:15" x14ac:dyDescent="0.3">
      <c r="O6196" t="str">
        <f t="shared" si="97"/>
        <v/>
      </c>
    </row>
    <row r="6197" spans="15:15" x14ac:dyDescent="0.3">
      <c r="O6197" t="str">
        <f t="shared" si="97"/>
        <v/>
      </c>
    </row>
    <row r="6198" spans="15:15" x14ac:dyDescent="0.3">
      <c r="O6198" t="str">
        <f t="shared" si="97"/>
        <v/>
      </c>
    </row>
    <row r="6199" spans="15:15" x14ac:dyDescent="0.3">
      <c r="O6199" t="str">
        <f t="shared" si="97"/>
        <v/>
      </c>
    </row>
    <row r="6200" spans="15:15" x14ac:dyDescent="0.3">
      <c r="O6200" t="str">
        <f t="shared" si="97"/>
        <v/>
      </c>
    </row>
    <row r="6201" spans="15:15" x14ac:dyDescent="0.3">
      <c r="O6201" t="str">
        <f t="shared" si="97"/>
        <v/>
      </c>
    </row>
    <row r="6202" spans="15:15" x14ac:dyDescent="0.3">
      <c r="O6202" t="str">
        <f t="shared" si="97"/>
        <v/>
      </c>
    </row>
    <row r="6203" spans="15:15" x14ac:dyDescent="0.3">
      <c r="O6203" t="str">
        <f t="shared" si="97"/>
        <v/>
      </c>
    </row>
    <row r="6204" spans="15:15" x14ac:dyDescent="0.3">
      <c r="O6204" t="str">
        <f t="shared" si="97"/>
        <v/>
      </c>
    </row>
    <row r="6205" spans="15:15" x14ac:dyDescent="0.3">
      <c r="O6205" t="str">
        <f t="shared" si="97"/>
        <v/>
      </c>
    </row>
    <row r="6206" spans="15:15" x14ac:dyDescent="0.3">
      <c r="O6206" t="str">
        <f t="shared" si="97"/>
        <v/>
      </c>
    </row>
    <row r="6207" spans="15:15" x14ac:dyDescent="0.3">
      <c r="O6207" t="str">
        <f t="shared" si="97"/>
        <v/>
      </c>
    </row>
    <row r="6208" spans="15:15" x14ac:dyDescent="0.3">
      <c r="O6208" t="str">
        <f t="shared" si="97"/>
        <v/>
      </c>
    </row>
    <row r="6209" spans="15:15" x14ac:dyDescent="0.3">
      <c r="O6209" t="str">
        <f t="shared" si="97"/>
        <v/>
      </c>
    </row>
    <row r="6210" spans="15:15" x14ac:dyDescent="0.3">
      <c r="O6210" t="str">
        <f t="shared" si="97"/>
        <v/>
      </c>
    </row>
    <row r="6211" spans="15:15" x14ac:dyDescent="0.3">
      <c r="O6211" t="str">
        <f t="shared" si="97"/>
        <v/>
      </c>
    </row>
    <row r="6212" spans="15:15" x14ac:dyDescent="0.3">
      <c r="O6212" t="str">
        <f t="shared" si="97"/>
        <v/>
      </c>
    </row>
    <row r="6213" spans="15:15" x14ac:dyDescent="0.3">
      <c r="O6213" t="str">
        <f t="shared" si="97"/>
        <v/>
      </c>
    </row>
    <row r="6214" spans="15:15" x14ac:dyDescent="0.3">
      <c r="O6214" t="str">
        <f t="shared" si="97"/>
        <v/>
      </c>
    </row>
    <row r="6215" spans="15:15" x14ac:dyDescent="0.3">
      <c r="O6215" t="str">
        <f t="shared" si="97"/>
        <v/>
      </c>
    </row>
    <row r="6216" spans="15:15" x14ac:dyDescent="0.3">
      <c r="O6216" t="str">
        <f t="shared" si="97"/>
        <v/>
      </c>
    </row>
    <row r="6217" spans="15:15" x14ac:dyDescent="0.3">
      <c r="O6217" t="str">
        <f t="shared" si="97"/>
        <v/>
      </c>
    </row>
    <row r="6218" spans="15:15" x14ac:dyDescent="0.3">
      <c r="O6218" t="str">
        <f t="shared" ref="O6218:O6281" si="98">IF(P6218="","",O6217+1)</f>
        <v/>
      </c>
    </row>
    <row r="6219" spans="15:15" x14ac:dyDescent="0.3">
      <c r="O6219" t="str">
        <f t="shared" si="98"/>
        <v/>
      </c>
    </row>
    <row r="6220" spans="15:15" x14ac:dyDescent="0.3">
      <c r="O6220" t="str">
        <f t="shared" si="98"/>
        <v/>
      </c>
    </row>
    <row r="6221" spans="15:15" x14ac:dyDescent="0.3">
      <c r="O6221" t="str">
        <f t="shared" si="98"/>
        <v/>
      </c>
    </row>
    <row r="6222" spans="15:15" x14ac:dyDescent="0.3">
      <c r="O6222" t="str">
        <f t="shared" si="98"/>
        <v/>
      </c>
    </row>
    <row r="6223" spans="15:15" x14ac:dyDescent="0.3">
      <c r="O6223" t="str">
        <f t="shared" si="98"/>
        <v/>
      </c>
    </row>
    <row r="6224" spans="15:15" x14ac:dyDescent="0.3">
      <c r="O6224" t="str">
        <f t="shared" si="98"/>
        <v/>
      </c>
    </row>
    <row r="6225" spans="15:15" x14ac:dyDescent="0.3">
      <c r="O6225" t="str">
        <f t="shared" si="98"/>
        <v/>
      </c>
    </row>
    <row r="6226" spans="15:15" x14ac:dyDescent="0.3">
      <c r="O6226" t="str">
        <f t="shared" si="98"/>
        <v/>
      </c>
    </row>
    <row r="6227" spans="15:15" x14ac:dyDescent="0.3">
      <c r="O6227" t="str">
        <f t="shared" si="98"/>
        <v/>
      </c>
    </row>
    <row r="6228" spans="15:15" x14ac:dyDescent="0.3">
      <c r="O6228" t="str">
        <f t="shared" si="98"/>
        <v/>
      </c>
    </row>
    <row r="6229" spans="15:15" x14ac:dyDescent="0.3">
      <c r="O6229" t="str">
        <f t="shared" si="98"/>
        <v/>
      </c>
    </row>
    <row r="6230" spans="15:15" x14ac:dyDescent="0.3">
      <c r="O6230" t="str">
        <f t="shared" si="98"/>
        <v/>
      </c>
    </row>
    <row r="6231" spans="15:15" x14ac:dyDescent="0.3">
      <c r="O6231" t="str">
        <f t="shared" si="98"/>
        <v/>
      </c>
    </row>
    <row r="6232" spans="15:15" x14ac:dyDescent="0.3">
      <c r="O6232" t="str">
        <f t="shared" si="98"/>
        <v/>
      </c>
    </row>
    <row r="6233" spans="15:15" x14ac:dyDescent="0.3">
      <c r="O6233" t="str">
        <f t="shared" si="98"/>
        <v/>
      </c>
    </row>
    <row r="6234" spans="15:15" x14ac:dyDescent="0.3">
      <c r="O6234" t="str">
        <f t="shared" si="98"/>
        <v/>
      </c>
    </row>
    <row r="6235" spans="15:15" x14ac:dyDescent="0.3">
      <c r="O6235" t="str">
        <f t="shared" si="98"/>
        <v/>
      </c>
    </row>
    <row r="6236" spans="15:15" x14ac:dyDescent="0.3">
      <c r="O6236" t="str">
        <f t="shared" si="98"/>
        <v/>
      </c>
    </row>
    <row r="6237" spans="15:15" x14ac:dyDescent="0.3">
      <c r="O6237" t="str">
        <f t="shared" si="98"/>
        <v/>
      </c>
    </row>
    <row r="6238" spans="15:15" x14ac:dyDescent="0.3">
      <c r="O6238" t="str">
        <f t="shared" si="98"/>
        <v/>
      </c>
    </row>
    <row r="6239" spans="15:15" x14ac:dyDescent="0.3">
      <c r="O6239" t="str">
        <f t="shared" si="98"/>
        <v/>
      </c>
    </row>
    <row r="6240" spans="15:15" x14ac:dyDescent="0.3">
      <c r="O6240" t="str">
        <f t="shared" si="98"/>
        <v/>
      </c>
    </row>
    <row r="6241" spans="15:15" x14ac:dyDescent="0.3">
      <c r="O6241" t="str">
        <f t="shared" si="98"/>
        <v/>
      </c>
    </row>
    <row r="6242" spans="15:15" x14ac:dyDescent="0.3">
      <c r="O6242" t="str">
        <f t="shared" si="98"/>
        <v/>
      </c>
    </row>
    <row r="6243" spans="15:15" x14ac:dyDescent="0.3">
      <c r="O6243" t="str">
        <f t="shared" si="98"/>
        <v/>
      </c>
    </row>
    <row r="6244" spans="15:15" x14ac:dyDescent="0.3">
      <c r="O6244" t="str">
        <f t="shared" si="98"/>
        <v/>
      </c>
    </row>
    <row r="6245" spans="15:15" x14ac:dyDescent="0.3">
      <c r="O6245" t="str">
        <f t="shared" si="98"/>
        <v/>
      </c>
    </row>
    <row r="6246" spans="15:15" x14ac:dyDescent="0.3">
      <c r="O6246" t="str">
        <f t="shared" si="98"/>
        <v/>
      </c>
    </row>
    <row r="6247" spans="15:15" x14ac:dyDescent="0.3">
      <c r="O6247" t="str">
        <f t="shared" si="98"/>
        <v/>
      </c>
    </row>
    <row r="6248" spans="15:15" x14ac:dyDescent="0.3">
      <c r="O6248" t="str">
        <f t="shared" si="98"/>
        <v/>
      </c>
    </row>
    <row r="6249" spans="15:15" x14ac:dyDescent="0.3">
      <c r="O6249" t="str">
        <f t="shared" si="98"/>
        <v/>
      </c>
    </row>
    <row r="6250" spans="15:15" x14ac:dyDescent="0.3">
      <c r="O6250" t="str">
        <f t="shared" si="98"/>
        <v/>
      </c>
    </row>
    <row r="6251" spans="15:15" x14ac:dyDescent="0.3">
      <c r="O6251" t="str">
        <f t="shared" si="98"/>
        <v/>
      </c>
    </row>
    <row r="6252" spans="15:15" x14ac:dyDescent="0.3">
      <c r="O6252" t="str">
        <f t="shared" si="98"/>
        <v/>
      </c>
    </row>
    <row r="6253" spans="15:15" x14ac:dyDescent="0.3">
      <c r="O6253" t="str">
        <f t="shared" si="98"/>
        <v/>
      </c>
    </row>
    <row r="6254" spans="15:15" x14ac:dyDescent="0.3">
      <c r="O6254" t="str">
        <f t="shared" si="98"/>
        <v/>
      </c>
    </row>
    <row r="6255" spans="15:15" x14ac:dyDescent="0.3">
      <c r="O6255" t="str">
        <f t="shared" si="98"/>
        <v/>
      </c>
    </row>
    <row r="6256" spans="15:15" x14ac:dyDescent="0.3">
      <c r="O6256" t="str">
        <f t="shared" si="98"/>
        <v/>
      </c>
    </row>
    <row r="6257" spans="15:15" x14ac:dyDescent="0.3">
      <c r="O6257" t="str">
        <f t="shared" si="98"/>
        <v/>
      </c>
    </row>
    <row r="6258" spans="15:15" x14ac:dyDescent="0.3">
      <c r="O6258" t="str">
        <f t="shared" si="98"/>
        <v/>
      </c>
    </row>
    <row r="6259" spans="15:15" x14ac:dyDescent="0.3">
      <c r="O6259" t="str">
        <f t="shared" si="98"/>
        <v/>
      </c>
    </row>
    <row r="6260" spans="15:15" x14ac:dyDescent="0.3">
      <c r="O6260" t="str">
        <f t="shared" si="98"/>
        <v/>
      </c>
    </row>
    <row r="6261" spans="15:15" x14ac:dyDescent="0.3">
      <c r="O6261" t="str">
        <f t="shared" si="98"/>
        <v/>
      </c>
    </row>
    <row r="6262" spans="15:15" x14ac:dyDescent="0.3">
      <c r="O6262" t="str">
        <f t="shared" si="98"/>
        <v/>
      </c>
    </row>
    <row r="6263" spans="15:15" x14ac:dyDescent="0.3">
      <c r="O6263" t="str">
        <f t="shared" si="98"/>
        <v/>
      </c>
    </row>
    <row r="6264" spans="15:15" x14ac:dyDescent="0.3">
      <c r="O6264" t="str">
        <f t="shared" si="98"/>
        <v/>
      </c>
    </row>
    <row r="6265" spans="15:15" x14ac:dyDescent="0.3">
      <c r="O6265" t="str">
        <f t="shared" si="98"/>
        <v/>
      </c>
    </row>
    <row r="6266" spans="15:15" x14ac:dyDescent="0.3">
      <c r="O6266" t="str">
        <f t="shared" si="98"/>
        <v/>
      </c>
    </row>
    <row r="6267" spans="15:15" x14ac:dyDescent="0.3">
      <c r="O6267" t="str">
        <f t="shared" si="98"/>
        <v/>
      </c>
    </row>
    <row r="6268" spans="15:15" x14ac:dyDescent="0.3">
      <c r="O6268" t="str">
        <f t="shared" si="98"/>
        <v/>
      </c>
    </row>
    <row r="6269" spans="15:15" x14ac:dyDescent="0.3">
      <c r="O6269" t="str">
        <f t="shared" si="98"/>
        <v/>
      </c>
    </row>
    <row r="6270" spans="15:15" x14ac:dyDescent="0.3">
      <c r="O6270" t="str">
        <f t="shared" si="98"/>
        <v/>
      </c>
    </row>
    <row r="6271" spans="15:15" x14ac:dyDescent="0.3">
      <c r="O6271" t="str">
        <f t="shared" si="98"/>
        <v/>
      </c>
    </row>
    <row r="6272" spans="15:15" x14ac:dyDescent="0.3">
      <c r="O6272" t="str">
        <f t="shared" si="98"/>
        <v/>
      </c>
    </row>
    <row r="6273" spans="15:15" x14ac:dyDescent="0.3">
      <c r="O6273" t="str">
        <f t="shared" si="98"/>
        <v/>
      </c>
    </row>
    <row r="6274" spans="15:15" x14ac:dyDescent="0.3">
      <c r="O6274" t="str">
        <f t="shared" si="98"/>
        <v/>
      </c>
    </row>
    <row r="6275" spans="15:15" x14ac:dyDescent="0.3">
      <c r="O6275" t="str">
        <f t="shared" si="98"/>
        <v/>
      </c>
    </row>
    <row r="6276" spans="15:15" x14ac:dyDescent="0.3">
      <c r="O6276" t="str">
        <f t="shared" si="98"/>
        <v/>
      </c>
    </row>
    <row r="6277" spans="15:15" x14ac:dyDescent="0.3">
      <c r="O6277" t="str">
        <f t="shared" si="98"/>
        <v/>
      </c>
    </row>
    <row r="6278" spans="15:15" x14ac:dyDescent="0.3">
      <c r="O6278" t="str">
        <f t="shared" si="98"/>
        <v/>
      </c>
    </row>
    <row r="6279" spans="15:15" x14ac:dyDescent="0.3">
      <c r="O6279" t="str">
        <f t="shared" si="98"/>
        <v/>
      </c>
    </row>
    <row r="6280" spans="15:15" x14ac:dyDescent="0.3">
      <c r="O6280" t="str">
        <f t="shared" si="98"/>
        <v/>
      </c>
    </row>
    <row r="6281" spans="15:15" x14ac:dyDescent="0.3">
      <c r="O6281" t="str">
        <f t="shared" si="98"/>
        <v/>
      </c>
    </row>
    <row r="6282" spans="15:15" x14ac:dyDescent="0.3">
      <c r="O6282" t="str">
        <f t="shared" ref="O6282:O6345" si="99">IF(P6282="","",O6281+1)</f>
        <v/>
      </c>
    </row>
    <row r="6283" spans="15:15" x14ac:dyDescent="0.3">
      <c r="O6283" t="str">
        <f t="shared" si="99"/>
        <v/>
      </c>
    </row>
    <row r="6284" spans="15:15" x14ac:dyDescent="0.3">
      <c r="O6284" t="str">
        <f t="shared" si="99"/>
        <v/>
      </c>
    </row>
    <row r="6285" spans="15:15" x14ac:dyDescent="0.3">
      <c r="O6285" t="str">
        <f t="shared" si="99"/>
        <v/>
      </c>
    </row>
    <row r="6286" spans="15:15" x14ac:dyDescent="0.3">
      <c r="O6286" t="str">
        <f t="shared" si="99"/>
        <v/>
      </c>
    </row>
    <row r="6287" spans="15:15" x14ac:dyDescent="0.3">
      <c r="O6287" t="str">
        <f t="shared" si="99"/>
        <v/>
      </c>
    </row>
    <row r="6288" spans="15:15" x14ac:dyDescent="0.3">
      <c r="O6288" t="str">
        <f t="shared" si="99"/>
        <v/>
      </c>
    </row>
    <row r="6289" spans="15:15" x14ac:dyDescent="0.3">
      <c r="O6289" t="str">
        <f t="shared" si="99"/>
        <v/>
      </c>
    </row>
    <row r="6290" spans="15:15" x14ac:dyDescent="0.3">
      <c r="O6290" t="str">
        <f t="shared" si="99"/>
        <v/>
      </c>
    </row>
    <row r="6291" spans="15:15" x14ac:dyDescent="0.3">
      <c r="O6291" t="str">
        <f t="shared" si="99"/>
        <v/>
      </c>
    </row>
    <row r="6292" spans="15:15" x14ac:dyDescent="0.3">
      <c r="O6292" t="str">
        <f t="shared" si="99"/>
        <v/>
      </c>
    </row>
    <row r="6293" spans="15:15" x14ac:dyDescent="0.3">
      <c r="O6293" t="str">
        <f t="shared" si="99"/>
        <v/>
      </c>
    </row>
    <row r="6294" spans="15:15" x14ac:dyDescent="0.3">
      <c r="O6294" t="str">
        <f t="shared" si="99"/>
        <v/>
      </c>
    </row>
    <row r="6295" spans="15:15" x14ac:dyDescent="0.3">
      <c r="O6295" t="str">
        <f t="shared" si="99"/>
        <v/>
      </c>
    </row>
    <row r="6296" spans="15:15" x14ac:dyDescent="0.3">
      <c r="O6296" t="str">
        <f t="shared" si="99"/>
        <v/>
      </c>
    </row>
    <row r="6297" spans="15:15" x14ac:dyDescent="0.3">
      <c r="O6297" t="str">
        <f t="shared" si="99"/>
        <v/>
      </c>
    </row>
    <row r="6298" spans="15:15" x14ac:dyDescent="0.3">
      <c r="O6298" t="str">
        <f t="shared" si="99"/>
        <v/>
      </c>
    </row>
    <row r="6299" spans="15:15" x14ac:dyDescent="0.3">
      <c r="O6299" t="str">
        <f t="shared" si="99"/>
        <v/>
      </c>
    </row>
    <row r="6300" spans="15:15" x14ac:dyDescent="0.3">
      <c r="O6300" t="str">
        <f t="shared" si="99"/>
        <v/>
      </c>
    </row>
    <row r="6301" spans="15:15" x14ac:dyDescent="0.3">
      <c r="O6301" t="str">
        <f t="shared" si="99"/>
        <v/>
      </c>
    </row>
    <row r="6302" spans="15:15" x14ac:dyDescent="0.3">
      <c r="O6302" t="str">
        <f t="shared" si="99"/>
        <v/>
      </c>
    </row>
    <row r="6303" spans="15:15" x14ac:dyDescent="0.3">
      <c r="O6303" t="str">
        <f t="shared" si="99"/>
        <v/>
      </c>
    </row>
    <row r="6304" spans="15:15" x14ac:dyDescent="0.3">
      <c r="O6304" t="str">
        <f t="shared" si="99"/>
        <v/>
      </c>
    </row>
    <row r="6305" spans="15:15" x14ac:dyDescent="0.3">
      <c r="O6305" t="str">
        <f t="shared" si="99"/>
        <v/>
      </c>
    </row>
    <row r="6306" spans="15:15" x14ac:dyDescent="0.3">
      <c r="O6306" t="str">
        <f t="shared" si="99"/>
        <v/>
      </c>
    </row>
    <row r="6307" spans="15:15" x14ac:dyDescent="0.3">
      <c r="O6307" t="str">
        <f t="shared" si="99"/>
        <v/>
      </c>
    </row>
    <row r="6308" spans="15:15" x14ac:dyDescent="0.3">
      <c r="O6308" t="str">
        <f t="shared" si="99"/>
        <v/>
      </c>
    </row>
    <row r="6309" spans="15:15" x14ac:dyDescent="0.3">
      <c r="O6309" t="str">
        <f t="shared" si="99"/>
        <v/>
      </c>
    </row>
    <row r="6310" spans="15:15" x14ac:dyDescent="0.3">
      <c r="O6310" t="str">
        <f t="shared" si="99"/>
        <v/>
      </c>
    </row>
    <row r="6311" spans="15:15" x14ac:dyDescent="0.3">
      <c r="O6311" t="str">
        <f t="shared" si="99"/>
        <v/>
      </c>
    </row>
    <row r="6312" spans="15:15" x14ac:dyDescent="0.3">
      <c r="O6312" t="str">
        <f t="shared" si="99"/>
        <v/>
      </c>
    </row>
    <row r="6313" spans="15:15" x14ac:dyDescent="0.3">
      <c r="O6313" t="str">
        <f t="shared" si="99"/>
        <v/>
      </c>
    </row>
    <row r="6314" spans="15:15" x14ac:dyDescent="0.3">
      <c r="O6314" t="str">
        <f t="shared" si="99"/>
        <v/>
      </c>
    </row>
    <row r="6315" spans="15:15" x14ac:dyDescent="0.3">
      <c r="O6315" t="str">
        <f t="shared" si="99"/>
        <v/>
      </c>
    </row>
    <row r="6316" spans="15:15" x14ac:dyDescent="0.3">
      <c r="O6316" t="str">
        <f t="shared" si="99"/>
        <v/>
      </c>
    </row>
    <row r="6317" spans="15:15" x14ac:dyDescent="0.3">
      <c r="O6317" t="str">
        <f t="shared" si="99"/>
        <v/>
      </c>
    </row>
    <row r="6318" spans="15:15" x14ac:dyDescent="0.3">
      <c r="O6318" t="str">
        <f t="shared" si="99"/>
        <v/>
      </c>
    </row>
    <row r="6319" spans="15:15" x14ac:dyDescent="0.3">
      <c r="O6319" t="str">
        <f t="shared" si="99"/>
        <v/>
      </c>
    </row>
    <row r="6320" spans="15:15" x14ac:dyDescent="0.3">
      <c r="O6320" t="str">
        <f t="shared" si="99"/>
        <v/>
      </c>
    </row>
    <row r="6321" spans="15:15" x14ac:dyDescent="0.3">
      <c r="O6321" t="str">
        <f t="shared" si="99"/>
        <v/>
      </c>
    </row>
    <row r="6322" spans="15:15" x14ac:dyDescent="0.3">
      <c r="O6322" t="str">
        <f t="shared" si="99"/>
        <v/>
      </c>
    </row>
    <row r="6323" spans="15:15" x14ac:dyDescent="0.3">
      <c r="O6323" t="str">
        <f t="shared" si="99"/>
        <v/>
      </c>
    </row>
    <row r="6324" spans="15:15" x14ac:dyDescent="0.3">
      <c r="O6324" t="str">
        <f t="shared" si="99"/>
        <v/>
      </c>
    </row>
    <row r="6325" spans="15:15" x14ac:dyDescent="0.3">
      <c r="O6325" t="str">
        <f t="shared" si="99"/>
        <v/>
      </c>
    </row>
    <row r="6326" spans="15:15" x14ac:dyDescent="0.3">
      <c r="O6326" t="str">
        <f t="shared" si="99"/>
        <v/>
      </c>
    </row>
    <row r="6327" spans="15:15" x14ac:dyDescent="0.3">
      <c r="O6327" t="str">
        <f t="shared" si="99"/>
        <v/>
      </c>
    </row>
    <row r="6328" spans="15:15" x14ac:dyDescent="0.3">
      <c r="O6328" t="str">
        <f t="shared" si="99"/>
        <v/>
      </c>
    </row>
    <row r="6329" spans="15:15" x14ac:dyDescent="0.3">
      <c r="O6329" t="str">
        <f t="shared" si="99"/>
        <v/>
      </c>
    </row>
    <row r="6330" spans="15:15" x14ac:dyDescent="0.3">
      <c r="O6330" t="str">
        <f t="shared" si="99"/>
        <v/>
      </c>
    </row>
    <row r="6331" spans="15:15" x14ac:dyDescent="0.3">
      <c r="O6331" t="str">
        <f t="shared" si="99"/>
        <v/>
      </c>
    </row>
    <row r="6332" spans="15:15" x14ac:dyDescent="0.3">
      <c r="O6332" t="str">
        <f t="shared" si="99"/>
        <v/>
      </c>
    </row>
    <row r="6333" spans="15:15" x14ac:dyDescent="0.3">
      <c r="O6333" t="str">
        <f t="shared" si="99"/>
        <v/>
      </c>
    </row>
    <row r="6334" spans="15:15" x14ac:dyDescent="0.3">
      <c r="O6334" t="str">
        <f t="shared" si="99"/>
        <v/>
      </c>
    </row>
    <row r="6335" spans="15:15" x14ac:dyDescent="0.3">
      <c r="O6335" t="str">
        <f t="shared" si="99"/>
        <v/>
      </c>
    </row>
    <row r="6336" spans="15:15" x14ac:dyDescent="0.3">
      <c r="O6336" t="str">
        <f t="shared" si="99"/>
        <v/>
      </c>
    </row>
    <row r="6337" spans="15:15" x14ac:dyDescent="0.3">
      <c r="O6337" t="str">
        <f t="shared" si="99"/>
        <v/>
      </c>
    </row>
    <row r="6338" spans="15:15" x14ac:dyDescent="0.3">
      <c r="O6338" t="str">
        <f t="shared" si="99"/>
        <v/>
      </c>
    </row>
    <row r="6339" spans="15:15" x14ac:dyDescent="0.3">
      <c r="O6339" t="str">
        <f t="shared" si="99"/>
        <v/>
      </c>
    </row>
    <row r="6340" spans="15:15" x14ac:dyDescent="0.3">
      <c r="O6340" t="str">
        <f t="shared" si="99"/>
        <v/>
      </c>
    </row>
    <row r="6341" spans="15:15" x14ac:dyDescent="0.3">
      <c r="O6341" t="str">
        <f t="shared" si="99"/>
        <v/>
      </c>
    </row>
    <row r="6342" spans="15:15" x14ac:dyDescent="0.3">
      <c r="O6342" t="str">
        <f t="shared" si="99"/>
        <v/>
      </c>
    </row>
    <row r="6343" spans="15:15" x14ac:dyDescent="0.3">
      <c r="O6343" t="str">
        <f t="shared" si="99"/>
        <v/>
      </c>
    </row>
    <row r="6344" spans="15:15" x14ac:dyDescent="0.3">
      <c r="O6344" t="str">
        <f t="shared" si="99"/>
        <v/>
      </c>
    </row>
    <row r="6345" spans="15:15" x14ac:dyDescent="0.3">
      <c r="O6345" t="str">
        <f t="shared" si="99"/>
        <v/>
      </c>
    </row>
    <row r="6346" spans="15:15" x14ac:dyDescent="0.3">
      <c r="O6346" t="str">
        <f t="shared" ref="O6346:O6409" si="100">IF(P6346="","",O6345+1)</f>
        <v/>
      </c>
    </row>
    <row r="6347" spans="15:15" x14ac:dyDescent="0.3">
      <c r="O6347" t="str">
        <f t="shared" si="100"/>
        <v/>
      </c>
    </row>
    <row r="6348" spans="15:15" x14ac:dyDescent="0.3">
      <c r="O6348" t="str">
        <f t="shared" si="100"/>
        <v/>
      </c>
    </row>
    <row r="6349" spans="15:15" x14ac:dyDescent="0.3">
      <c r="O6349" t="str">
        <f t="shared" si="100"/>
        <v/>
      </c>
    </row>
    <row r="6350" spans="15:15" x14ac:dyDescent="0.3">
      <c r="O6350" t="str">
        <f t="shared" si="100"/>
        <v/>
      </c>
    </row>
    <row r="6351" spans="15:15" x14ac:dyDescent="0.3">
      <c r="O6351" t="str">
        <f t="shared" si="100"/>
        <v/>
      </c>
    </row>
    <row r="6352" spans="15:15" x14ac:dyDescent="0.3">
      <c r="O6352" t="str">
        <f t="shared" si="100"/>
        <v/>
      </c>
    </row>
    <row r="6353" spans="15:15" x14ac:dyDescent="0.3">
      <c r="O6353" t="str">
        <f t="shared" si="100"/>
        <v/>
      </c>
    </row>
    <row r="6354" spans="15:15" x14ac:dyDescent="0.3">
      <c r="O6354" t="str">
        <f t="shared" si="100"/>
        <v/>
      </c>
    </row>
    <row r="6355" spans="15:15" x14ac:dyDescent="0.3">
      <c r="O6355" t="str">
        <f t="shared" si="100"/>
        <v/>
      </c>
    </row>
    <row r="6356" spans="15:15" x14ac:dyDescent="0.3">
      <c r="O6356" t="str">
        <f t="shared" si="100"/>
        <v/>
      </c>
    </row>
    <row r="6357" spans="15:15" x14ac:dyDescent="0.3">
      <c r="O6357" t="str">
        <f t="shared" si="100"/>
        <v/>
      </c>
    </row>
    <row r="6358" spans="15:15" x14ac:dyDescent="0.3">
      <c r="O6358" t="str">
        <f t="shared" si="100"/>
        <v/>
      </c>
    </row>
    <row r="6359" spans="15:15" x14ac:dyDescent="0.3">
      <c r="O6359" t="str">
        <f t="shared" si="100"/>
        <v/>
      </c>
    </row>
    <row r="6360" spans="15:15" x14ac:dyDescent="0.3">
      <c r="O6360" t="str">
        <f t="shared" si="100"/>
        <v/>
      </c>
    </row>
    <row r="6361" spans="15:15" x14ac:dyDescent="0.3">
      <c r="O6361" t="str">
        <f t="shared" si="100"/>
        <v/>
      </c>
    </row>
    <row r="6362" spans="15:15" x14ac:dyDescent="0.3">
      <c r="O6362" t="str">
        <f t="shared" si="100"/>
        <v/>
      </c>
    </row>
    <row r="6363" spans="15:15" x14ac:dyDescent="0.3">
      <c r="O6363" t="str">
        <f t="shared" si="100"/>
        <v/>
      </c>
    </row>
    <row r="6364" spans="15:15" x14ac:dyDescent="0.3">
      <c r="O6364" t="str">
        <f t="shared" si="100"/>
        <v/>
      </c>
    </row>
    <row r="6365" spans="15:15" x14ac:dyDescent="0.3">
      <c r="O6365" t="str">
        <f t="shared" si="100"/>
        <v/>
      </c>
    </row>
    <row r="6366" spans="15:15" x14ac:dyDescent="0.3">
      <c r="O6366" t="str">
        <f t="shared" si="100"/>
        <v/>
      </c>
    </row>
    <row r="6367" spans="15:15" x14ac:dyDescent="0.3">
      <c r="O6367" t="str">
        <f t="shared" si="100"/>
        <v/>
      </c>
    </row>
    <row r="6368" spans="15:15" x14ac:dyDescent="0.3">
      <c r="O6368" t="str">
        <f t="shared" si="100"/>
        <v/>
      </c>
    </row>
    <row r="6369" spans="15:15" x14ac:dyDescent="0.3">
      <c r="O6369" t="str">
        <f t="shared" si="100"/>
        <v/>
      </c>
    </row>
    <row r="6370" spans="15:15" x14ac:dyDescent="0.3">
      <c r="O6370" t="str">
        <f t="shared" si="100"/>
        <v/>
      </c>
    </row>
    <row r="6371" spans="15:15" x14ac:dyDescent="0.3">
      <c r="O6371" t="str">
        <f t="shared" si="100"/>
        <v/>
      </c>
    </row>
    <row r="6372" spans="15:15" x14ac:dyDescent="0.3">
      <c r="O6372" t="str">
        <f t="shared" si="100"/>
        <v/>
      </c>
    </row>
    <row r="6373" spans="15:15" x14ac:dyDescent="0.3">
      <c r="O6373" t="str">
        <f t="shared" si="100"/>
        <v/>
      </c>
    </row>
    <row r="6374" spans="15:15" x14ac:dyDescent="0.3">
      <c r="O6374" t="str">
        <f t="shared" si="100"/>
        <v/>
      </c>
    </row>
    <row r="6375" spans="15:15" x14ac:dyDescent="0.3">
      <c r="O6375" t="str">
        <f t="shared" si="100"/>
        <v/>
      </c>
    </row>
    <row r="6376" spans="15:15" x14ac:dyDescent="0.3">
      <c r="O6376" t="str">
        <f t="shared" si="100"/>
        <v/>
      </c>
    </row>
    <row r="6377" spans="15:15" x14ac:dyDescent="0.3">
      <c r="O6377" t="str">
        <f t="shared" si="100"/>
        <v/>
      </c>
    </row>
    <row r="6378" spans="15:15" x14ac:dyDescent="0.3">
      <c r="O6378" t="str">
        <f t="shared" si="100"/>
        <v/>
      </c>
    </row>
    <row r="6379" spans="15:15" x14ac:dyDescent="0.3">
      <c r="O6379" t="str">
        <f t="shared" si="100"/>
        <v/>
      </c>
    </row>
    <row r="6380" spans="15:15" x14ac:dyDescent="0.3">
      <c r="O6380" t="str">
        <f t="shared" si="100"/>
        <v/>
      </c>
    </row>
    <row r="6381" spans="15:15" x14ac:dyDescent="0.3">
      <c r="O6381" t="str">
        <f t="shared" si="100"/>
        <v/>
      </c>
    </row>
    <row r="6382" spans="15:15" x14ac:dyDescent="0.3">
      <c r="O6382" t="str">
        <f t="shared" si="100"/>
        <v/>
      </c>
    </row>
    <row r="6383" spans="15:15" x14ac:dyDescent="0.3">
      <c r="O6383" t="str">
        <f t="shared" si="100"/>
        <v/>
      </c>
    </row>
    <row r="6384" spans="15:15" x14ac:dyDescent="0.3">
      <c r="O6384" t="str">
        <f t="shared" si="100"/>
        <v/>
      </c>
    </row>
    <row r="6385" spans="15:15" x14ac:dyDescent="0.3">
      <c r="O6385" t="str">
        <f t="shared" si="100"/>
        <v/>
      </c>
    </row>
    <row r="6386" spans="15:15" x14ac:dyDescent="0.3">
      <c r="O6386" t="str">
        <f t="shared" si="100"/>
        <v/>
      </c>
    </row>
    <row r="6387" spans="15:15" x14ac:dyDescent="0.3">
      <c r="O6387" t="str">
        <f t="shared" si="100"/>
        <v/>
      </c>
    </row>
    <row r="6388" spans="15:15" x14ac:dyDescent="0.3">
      <c r="O6388" t="str">
        <f t="shared" si="100"/>
        <v/>
      </c>
    </row>
    <row r="6389" spans="15:15" x14ac:dyDescent="0.3">
      <c r="O6389" t="str">
        <f t="shared" si="100"/>
        <v/>
      </c>
    </row>
    <row r="6390" spans="15:15" x14ac:dyDescent="0.3">
      <c r="O6390" t="str">
        <f t="shared" si="100"/>
        <v/>
      </c>
    </row>
    <row r="6391" spans="15:15" x14ac:dyDescent="0.3">
      <c r="O6391" t="str">
        <f t="shared" si="100"/>
        <v/>
      </c>
    </row>
    <row r="6392" spans="15:15" x14ac:dyDescent="0.3">
      <c r="O6392" t="str">
        <f t="shared" si="100"/>
        <v/>
      </c>
    </row>
    <row r="6393" spans="15:15" x14ac:dyDescent="0.3">
      <c r="O6393" t="str">
        <f t="shared" si="100"/>
        <v/>
      </c>
    </row>
    <row r="6394" spans="15:15" x14ac:dyDescent="0.3">
      <c r="O6394" t="str">
        <f t="shared" si="100"/>
        <v/>
      </c>
    </row>
    <row r="6395" spans="15:15" x14ac:dyDescent="0.3">
      <c r="O6395" t="str">
        <f t="shared" si="100"/>
        <v/>
      </c>
    </row>
    <row r="6396" spans="15:15" x14ac:dyDescent="0.3">
      <c r="O6396" t="str">
        <f t="shared" si="100"/>
        <v/>
      </c>
    </row>
    <row r="6397" spans="15:15" x14ac:dyDescent="0.3">
      <c r="O6397" t="str">
        <f t="shared" si="100"/>
        <v/>
      </c>
    </row>
    <row r="6398" spans="15:15" x14ac:dyDescent="0.3">
      <c r="O6398" t="str">
        <f t="shared" si="100"/>
        <v/>
      </c>
    </row>
    <row r="6399" spans="15:15" x14ac:dyDescent="0.3">
      <c r="O6399" t="str">
        <f t="shared" si="100"/>
        <v/>
      </c>
    </row>
    <row r="6400" spans="15:15" x14ac:dyDescent="0.3">
      <c r="O6400" t="str">
        <f t="shared" si="100"/>
        <v/>
      </c>
    </row>
    <row r="6401" spans="15:15" x14ac:dyDescent="0.3">
      <c r="O6401" t="str">
        <f t="shared" si="100"/>
        <v/>
      </c>
    </row>
    <row r="6402" spans="15:15" x14ac:dyDescent="0.3">
      <c r="O6402" t="str">
        <f t="shared" si="100"/>
        <v/>
      </c>
    </row>
    <row r="6403" spans="15:15" x14ac:dyDescent="0.3">
      <c r="O6403" t="str">
        <f t="shared" si="100"/>
        <v/>
      </c>
    </row>
    <row r="6404" spans="15:15" x14ac:dyDescent="0.3">
      <c r="O6404" t="str">
        <f t="shared" si="100"/>
        <v/>
      </c>
    </row>
    <row r="6405" spans="15:15" x14ac:dyDescent="0.3">
      <c r="O6405" t="str">
        <f t="shared" si="100"/>
        <v/>
      </c>
    </row>
    <row r="6406" spans="15:15" x14ac:dyDescent="0.3">
      <c r="O6406" t="str">
        <f t="shared" si="100"/>
        <v/>
      </c>
    </row>
    <row r="6407" spans="15:15" x14ac:dyDescent="0.3">
      <c r="O6407" t="str">
        <f t="shared" si="100"/>
        <v/>
      </c>
    </row>
    <row r="6408" spans="15:15" x14ac:dyDescent="0.3">
      <c r="O6408" t="str">
        <f t="shared" si="100"/>
        <v/>
      </c>
    </row>
    <row r="6409" spans="15:15" x14ac:dyDescent="0.3">
      <c r="O6409" t="str">
        <f t="shared" si="100"/>
        <v/>
      </c>
    </row>
    <row r="6410" spans="15:15" x14ac:dyDescent="0.3">
      <c r="O6410" t="str">
        <f t="shared" ref="O6410:O6473" si="101">IF(P6410="","",O6409+1)</f>
        <v/>
      </c>
    </row>
    <row r="6411" spans="15:15" x14ac:dyDescent="0.3">
      <c r="O6411" t="str">
        <f t="shared" si="101"/>
        <v/>
      </c>
    </row>
    <row r="6412" spans="15:15" x14ac:dyDescent="0.3">
      <c r="O6412" t="str">
        <f t="shared" si="101"/>
        <v/>
      </c>
    </row>
    <row r="6413" spans="15:15" x14ac:dyDescent="0.3">
      <c r="O6413" t="str">
        <f t="shared" si="101"/>
        <v/>
      </c>
    </row>
    <row r="6414" spans="15:15" x14ac:dyDescent="0.3">
      <c r="O6414" t="str">
        <f t="shared" si="101"/>
        <v/>
      </c>
    </row>
    <row r="6415" spans="15:15" x14ac:dyDescent="0.3">
      <c r="O6415" t="str">
        <f t="shared" si="101"/>
        <v/>
      </c>
    </row>
    <row r="6416" spans="15:15" x14ac:dyDescent="0.3">
      <c r="O6416" t="str">
        <f t="shared" si="101"/>
        <v/>
      </c>
    </row>
    <row r="6417" spans="15:15" x14ac:dyDescent="0.3">
      <c r="O6417" t="str">
        <f t="shared" si="101"/>
        <v/>
      </c>
    </row>
    <row r="6418" spans="15:15" x14ac:dyDescent="0.3">
      <c r="O6418" t="str">
        <f t="shared" si="101"/>
        <v/>
      </c>
    </row>
    <row r="6419" spans="15:15" x14ac:dyDescent="0.3">
      <c r="O6419" t="str">
        <f t="shared" si="101"/>
        <v/>
      </c>
    </row>
    <row r="6420" spans="15:15" x14ac:dyDescent="0.3">
      <c r="O6420" t="str">
        <f t="shared" si="101"/>
        <v/>
      </c>
    </row>
    <row r="6421" spans="15:15" x14ac:dyDescent="0.3">
      <c r="O6421" t="str">
        <f t="shared" si="101"/>
        <v/>
      </c>
    </row>
    <row r="6422" spans="15:15" x14ac:dyDescent="0.3">
      <c r="O6422" t="str">
        <f t="shared" si="101"/>
        <v/>
      </c>
    </row>
    <row r="6423" spans="15:15" x14ac:dyDescent="0.3">
      <c r="O6423" t="str">
        <f t="shared" si="101"/>
        <v/>
      </c>
    </row>
    <row r="6424" spans="15:15" x14ac:dyDescent="0.3">
      <c r="O6424" t="str">
        <f t="shared" si="101"/>
        <v/>
      </c>
    </row>
    <row r="6425" spans="15:15" x14ac:dyDescent="0.3">
      <c r="O6425" t="str">
        <f t="shared" si="101"/>
        <v/>
      </c>
    </row>
    <row r="6426" spans="15:15" x14ac:dyDescent="0.3">
      <c r="O6426" t="str">
        <f t="shared" si="101"/>
        <v/>
      </c>
    </row>
    <row r="6427" spans="15:15" x14ac:dyDescent="0.3">
      <c r="O6427" t="str">
        <f t="shared" si="101"/>
        <v/>
      </c>
    </row>
    <row r="6428" spans="15:15" x14ac:dyDescent="0.3">
      <c r="O6428" t="str">
        <f t="shared" si="101"/>
        <v/>
      </c>
    </row>
    <row r="6429" spans="15:15" x14ac:dyDescent="0.3">
      <c r="O6429" t="str">
        <f t="shared" si="101"/>
        <v/>
      </c>
    </row>
    <row r="6430" spans="15:15" x14ac:dyDescent="0.3">
      <c r="O6430" t="str">
        <f t="shared" si="101"/>
        <v/>
      </c>
    </row>
    <row r="6431" spans="15:15" x14ac:dyDescent="0.3">
      <c r="O6431" t="str">
        <f t="shared" si="101"/>
        <v/>
      </c>
    </row>
    <row r="6432" spans="15:15" x14ac:dyDescent="0.3">
      <c r="O6432" t="str">
        <f t="shared" si="101"/>
        <v/>
      </c>
    </row>
    <row r="6433" spans="15:15" x14ac:dyDescent="0.3">
      <c r="O6433" t="str">
        <f t="shared" si="101"/>
        <v/>
      </c>
    </row>
    <row r="6434" spans="15:15" x14ac:dyDescent="0.3">
      <c r="O6434" t="str">
        <f t="shared" si="101"/>
        <v/>
      </c>
    </row>
    <row r="6435" spans="15:15" x14ac:dyDescent="0.3">
      <c r="O6435" t="str">
        <f t="shared" si="101"/>
        <v/>
      </c>
    </row>
    <row r="6436" spans="15:15" x14ac:dyDescent="0.3">
      <c r="O6436" t="str">
        <f t="shared" si="101"/>
        <v/>
      </c>
    </row>
    <row r="6437" spans="15:15" x14ac:dyDescent="0.3">
      <c r="O6437" t="str">
        <f t="shared" si="101"/>
        <v/>
      </c>
    </row>
    <row r="6438" spans="15:15" x14ac:dyDescent="0.3">
      <c r="O6438" t="str">
        <f t="shared" si="101"/>
        <v/>
      </c>
    </row>
    <row r="6439" spans="15:15" x14ac:dyDescent="0.3">
      <c r="O6439" t="str">
        <f t="shared" si="101"/>
        <v/>
      </c>
    </row>
    <row r="6440" spans="15:15" x14ac:dyDescent="0.3">
      <c r="O6440" t="str">
        <f t="shared" si="101"/>
        <v/>
      </c>
    </row>
    <row r="6441" spans="15:15" x14ac:dyDescent="0.3">
      <c r="O6441" t="str">
        <f t="shared" si="101"/>
        <v/>
      </c>
    </row>
    <row r="6442" spans="15:15" x14ac:dyDescent="0.3">
      <c r="O6442" t="str">
        <f t="shared" si="101"/>
        <v/>
      </c>
    </row>
    <row r="6443" spans="15:15" x14ac:dyDescent="0.3">
      <c r="O6443" t="str">
        <f t="shared" si="101"/>
        <v/>
      </c>
    </row>
    <row r="6444" spans="15:15" x14ac:dyDescent="0.3">
      <c r="O6444" t="str">
        <f t="shared" si="101"/>
        <v/>
      </c>
    </row>
    <row r="6445" spans="15:15" x14ac:dyDescent="0.3">
      <c r="O6445" t="str">
        <f t="shared" si="101"/>
        <v/>
      </c>
    </row>
    <row r="6446" spans="15:15" x14ac:dyDescent="0.3">
      <c r="O6446" t="str">
        <f t="shared" si="101"/>
        <v/>
      </c>
    </row>
    <row r="6447" spans="15:15" x14ac:dyDescent="0.3">
      <c r="O6447" t="str">
        <f t="shared" si="101"/>
        <v/>
      </c>
    </row>
    <row r="6448" spans="15:15" x14ac:dyDescent="0.3">
      <c r="O6448" t="str">
        <f t="shared" si="101"/>
        <v/>
      </c>
    </row>
    <row r="6449" spans="15:15" x14ac:dyDescent="0.3">
      <c r="O6449" t="str">
        <f t="shared" si="101"/>
        <v/>
      </c>
    </row>
    <row r="6450" spans="15:15" x14ac:dyDescent="0.3">
      <c r="O6450" t="str">
        <f t="shared" si="101"/>
        <v/>
      </c>
    </row>
    <row r="6451" spans="15:15" x14ac:dyDescent="0.3">
      <c r="O6451" t="str">
        <f t="shared" si="101"/>
        <v/>
      </c>
    </row>
    <row r="6452" spans="15:15" x14ac:dyDescent="0.3">
      <c r="O6452" t="str">
        <f t="shared" si="101"/>
        <v/>
      </c>
    </row>
    <row r="6453" spans="15:15" x14ac:dyDescent="0.3">
      <c r="O6453" t="str">
        <f t="shared" si="101"/>
        <v/>
      </c>
    </row>
    <row r="6454" spans="15:15" x14ac:dyDescent="0.3">
      <c r="O6454" t="str">
        <f t="shared" si="101"/>
        <v/>
      </c>
    </row>
    <row r="6455" spans="15:15" x14ac:dyDescent="0.3">
      <c r="O6455" t="str">
        <f t="shared" si="101"/>
        <v/>
      </c>
    </row>
    <row r="6456" spans="15:15" x14ac:dyDescent="0.3">
      <c r="O6456" t="str">
        <f t="shared" si="101"/>
        <v/>
      </c>
    </row>
    <row r="6457" spans="15:15" x14ac:dyDescent="0.3">
      <c r="O6457" t="str">
        <f t="shared" si="101"/>
        <v/>
      </c>
    </row>
    <row r="6458" spans="15:15" x14ac:dyDescent="0.3">
      <c r="O6458" t="str">
        <f t="shared" si="101"/>
        <v/>
      </c>
    </row>
    <row r="6459" spans="15:15" x14ac:dyDescent="0.3">
      <c r="O6459" t="str">
        <f t="shared" si="101"/>
        <v/>
      </c>
    </row>
    <row r="6460" spans="15:15" x14ac:dyDescent="0.3">
      <c r="O6460" t="str">
        <f t="shared" si="101"/>
        <v/>
      </c>
    </row>
    <row r="6461" spans="15:15" x14ac:dyDescent="0.3">
      <c r="O6461" t="str">
        <f t="shared" si="101"/>
        <v/>
      </c>
    </row>
    <row r="6462" spans="15:15" x14ac:dyDescent="0.3">
      <c r="O6462" t="str">
        <f t="shared" si="101"/>
        <v/>
      </c>
    </row>
    <row r="6463" spans="15:15" x14ac:dyDescent="0.3">
      <c r="O6463" t="str">
        <f t="shared" si="101"/>
        <v/>
      </c>
    </row>
    <row r="6464" spans="15:15" x14ac:dyDescent="0.3">
      <c r="O6464" t="str">
        <f t="shared" si="101"/>
        <v/>
      </c>
    </row>
    <row r="6465" spans="15:15" x14ac:dyDescent="0.3">
      <c r="O6465" t="str">
        <f t="shared" si="101"/>
        <v/>
      </c>
    </row>
    <row r="6466" spans="15:15" x14ac:dyDescent="0.3">
      <c r="O6466" t="str">
        <f t="shared" si="101"/>
        <v/>
      </c>
    </row>
    <row r="6467" spans="15:15" x14ac:dyDescent="0.3">
      <c r="O6467" t="str">
        <f t="shared" si="101"/>
        <v/>
      </c>
    </row>
    <row r="6468" spans="15:15" x14ac:dyDescent="0.3">
      <c r="O6468" t="str">
        <f t="shared" si="101"/>
        <v/>
      </c>
    </row>
    <row r="6469" spans="15:15" x14ac:dyDescent="0.3">
      <c r="O6469" t="str">
        <f t="shared" si="101"/>
        <v/>
      </c>
    </row>
    <row r="6470" spans="15:15" x14ac:dyDescent="0.3">
      <c r="O6470" t="str">
        <f t="shared" si="101"/>
        <v/>
      </c>
    </row>
    <row r="6471" spans="15:15" x14ac:dyDescent="0.3">
      <c r="O6471" t="str">
        <f t="shared" si="101"/>
        <v/>
      </c>
    </row>
    <row r="6472" spans="15:15" x14ac:dyDescent="0.3">
      <c r="O6472" t="str">
        <f t="shared" si="101"/>
        <v/>
      </c>
    </row>
    <row r="6473" spans="15:15" x14ac:dyDescent="0.3">
      <c r="O6473" t="str">
        <f t="shared" si="101"/>
        <v/>
      </c>
    </row>
    <row r="6474" spans="15:15" x14ac:dyDescent="0.3">
      <c r="O6474" t="str">
        <f t="shared" ref="O6474:O6537" si="102">IF(P6474="","",O6473+1)</f>
        <v/>
      </c>
    </row>
    <row r="6475" spans="15:15" x14ac:dyDescent="0.3">
      <c r="O6475" t="str">
        <f t="shared" si="102"/>
        <v/>
      </c>
    </row>
    <row r="6476" spans="15:15" x14ac:dyDescent="0.3">
      <c r="O6476" t="str">
        <f t="shared" si="102"/>
        <v/>
      </c>
    </row>
    <row r="6477" spans="15:15" x14ac:dyDescent="0.3">
      <c r="O6477" t="str">
        <f t="shared" si="102"/>
        <v/>
      </c>
    </row>
    <row r="6478" spans="15:15" x14ac:dyDescent="0.3">
      <c r="O6478" t="str">
        <f t="shared" si="102"/>
        <v/>
      </c>
    </row>
    <row r="6479" spans="15:15" x14ac:dyDescent="0.3">
      <c r="O6479" t="str">
        <f t="shared" si="102"/>
        <v/>
      </c>
    </row>
    <row r="6480" spans="15:15" x14ac:dyDescent="0.3">
      <c r="O6480" t="str">
        <f t="shared" si="102"/>
        <v/>
      </c>
    </row>
    <row r="6481" spans="15:15" x14ac:dyDescent="0.3">
      <c r="O6481" t="str">
        <f t="shared" si="102"/>
        <v/>
      </c>
    </row>
    <row r="6482" spans="15:15" x14ac:dyDescent="0.3">
      <c r="O6482" t="str">
        <f t="shared" si="102"/>
        <v/>
      </c>
    </row>
    <row r="6483" spans="15:15" x14ac:dyDescent="0.3">
      <c r="O6483" t="str">
        <f t="shared" si="102"/>
        <v/>
      </c>
    </row>
    <row r="6484" spans="15:15" x14ac:dyDescent="0.3">
      <c r="O6484" t="str">
        <f t="shared" si="102"/>
        <v/>
      </c>
    </row>
    <row r="6485" spans="15:15" x14ac:dyDescent="0.3">
      <c r="O6485" t="str">
        <f t="shared" si="102"/>
        <v/>
      </c>
    </row>
    <row r="6486" spans="15:15" x14ac:dyDescent="0.3">
      <c r="O6486" t="str">
        <f t="shared" si="102"/>
        <v/>
      </c>
    </row>
    <row r="6487" spans="15:15" x14ac:dyDescent="0.3">
      <c r="O6487" t="str">
        <f t="shared" si="102"/>
        <v/>
      </c>
    </row>
    <row r="6488" spans="15:15" x14ac:dyDescent="0.3">
      <c r="O6488" t="str">
        <f t="shared" si="102"/>
        <v/>
      </c>
    </row>
    <row r="6489" spans="15:15" x14ac:dyDescent="0.3">
      <c r="O6489" t="str">
        <f t="shared" si="102"/>
        <v/>
      </c>
    </row>
    <row r="6490" spans="15:15" x14ac:dyDescent="0.3">
      <c r="O6490" t="str">
        <f t="shared" si="102"/>
        <v/>
      </c>
    </row>
    <row r="6491" spans="15:15" x14ac:dyDescent="0.3">
      <c r="O6491" t="str">
        <f t="shared" si="102"/>
        <v/>
      </c>
    </row>
    <row r="6492" spans="15:15" x14ac:dyDescent="0.3">
      <c r="O6492" t="str">
        <f t="shared" si="102"/>
        <v/>
      </c>
    </row>
    <row r="6493" spans="15:15" x14ac:dyDescent="0.3">
      <c r="O6493" t="str">
        <f t="shared" si="102"/>
        <v/>
      </c>
    </row>
    <row r="6494" spans="15:15" x14ac:dyDescent="0.3">
      <c r="O6494" t="str">
        <f t="shared" si="102"/>
        <v/>
      </c>
    </row>
    <row r="6495" spans="15:15" x14ac:dyDescent="0.3">
      <c r="O6495" t="str">
        <f t="shared" si="102"/>
        <v/>
      </c>
    </row>
    <row r="6496" spans="15:15" x14ac:dyDescent="0.3">
      <c r="O6496" t="str">
        <f t="shared" si="102"/>
        <v/>
      </c>
    </row>
    <row r="6497" spans="15:15" x14ac:dyDescent="0.3">
      <c r="O6497" t="str">
        <f t="shared" si="102"/>
        <v/>
      </c>
    </row>
    <row r="6498" spans="15:15" x14ac:dyDescent="0.3">
      <c r="O6498" t="str">
        <f t="shared" si="102"/>
        <v/>
      </c>
    </row>
    <row r="6499" spans="15:15" x14ac:dyDescent="0.3">
      <c r="O6499" t="str">
        <f t="shared" si="102"/>
        <v/>
      </c>
    </row>
    <row r="6500" spans="15:15" x14ac:dyDescent="0.3">
      <c r="O6500" t="str">
        <f t="shared" si="102"/>
        <v/>
      </c>
    </row>
    <row r="6501" spans="15:15" x14ac:dyDescent="0.3">
      <c r="O6501" t="str">
        <f t="shared" si="102"/>
        <v/>
      </c>
    </row>
    <row r="6502" spans="15:15" x14ac:dyDescent="0.3">
      <c r="O6502" t="str">
        <f t="shared" si="102"/>
        <v/>
      </c>
    </row>
    <row r="6503" spans="15:15" x14ac:dyDescent="0.3">
      <c r="O6503" t="str">
        <f t="shared" si="102"/>
        <v/>
      </c>
    </row>
    <row r="6504" spans="15:15" x14ac:dyDescent="0.3">
      <c r="O6504" t="str">
        <f t="shared" si="102"/>
        <v/>
      </c>
    </row>
    <row r="6505" spans="15:15" x14ac:dyDescent="0.3">
      <c r="O6505" t="str">
        <f t="shared" si="102"/>
        <v/>
      </c>
    </row>
    <row r="6506" spans="15:15" x14ac:dyDescent="0.3">
      <c r="O6506" t="str">
        <f t="shared" si="102"/>
        <v/>
      </c>
    </row>
    <row r="6507" spans="15:15" x14ac:dyDescent="0.3">
      <c r="O6507" t="str">
        <f t="shared" si="102"/>
        <v/>
      </c>
    </row>
    <row r="6508" spans="15:15" x14ac:dyDescent="0.3">
      <c r="O6508" t="str">
        <f t="shared" si="102"/>
        <v/>
      </c>
    </row>
    <row r="6509" spans="15:15" x14ac:dyDescent="0.3">
      <c r="O6509" t="str">
        <f t="shared" si="102"/>
        <v/>
      </c>
    </row>
    <row r="6510" spans="15:15" x14ac:dyDescent="0.3">
      <c r="O6510" t="str">
        <f t="shared" si="102"/>
        <v/>
      </c>
    </row>
    <row r="6511" spans="15:15" x14ac:dyDescent="0.3">
      <c r="O6511" t="str">
        <f t="shared" si="102"/>
        <v/>
      </c>
    </row>
    <row r="6512" spans="15:15" x14ac:dyDescent="0.3">
      <c r="O6512" t="str">
        <f t="shared" si="102"/>
        <v/>
      </c>
    </row>
    <row r="6513" spans="15:15" x14ac:dyDescent="0.3">
      <c r="O6513" t="str">
        <f t="shared" si="102"/>
        <v/>
      </c>
    </row>
    <row r="6514" spans="15:15" x14ac:dyDescent="0.3">
      <c r="O6514" t="str">
        <f t="shared" si="102"/>
        <v/>
      </c>
    </row>
    <row r="6515" spans="15:15" x14ac:dyDescent="0.3">
      <c r="O6515" t="str">
        <f t="shared" si="102"/>
        <v/>
      </c>
    </row>
    <row r="6516" spans="15:15" x14ac:dyDescent="0.3">
      <c r="O6516" t="str">
        <f t="shared" si="102"/>
        <v/>
      </c>
    </row>
    <row r="6517" spans="15:15" x14ac:dyDescent="0.3">
      <c r="O6517" t="str">
        <f t="shared" si="102"/>
        <v/>
      </c>
    </row>
    <row r="6518" spans="15:15" x14ac:dyDescent="0.3">
      <c r="O6518" t="str">
        <f t="shared" si="102"/>
        <v/>
      </c>
    </row>
    <row r="6519" spans="15:15" x14ac:dyDescent="0.3">
      <c r="O6519" t="str">
        <f t="shared" si="102"/>
        <v/>
      </c>
    </row>
    <row r="6520" spans="15:15" x14ac:dyDescent="0.3">
      <c r="O6520" t="str">
        <f t="shared" si="102"/>
        <v/>
      </c>
    </row>
    <row r="6521" spans="15:15" x14ac:dyDescent="0.3">
      <c r="O6521" t="str">
        <f t="shared" si="102"/>
        <v/>
      </c>
    </row>
    <row r="6522" spans="15:15" x14ac:dyDescent="0.3">
      <c r="O6522" t="str">
        <f t="shared" si="102"/>
        <v/>
      </c>
    </row>
    <row r="6523" spans="15:15" x14ac:dyDescent="0.3">
      <c r="O6523" t="str">
        <f t="shared" si="102"/>
        <v/>
      </c>
    </row>
    <row r="6524" spans="15:15" x14ac:dyDescent="0.3">
      <c r="O6524" t="str">
        <f t="shared" si="102"/>
        <v/>
      </c>
    </row>
    <row r="6525" spans="15:15" x14ac:dyDescent="0.3">
      <c r="O6525" t="str">
        <f t="shared" si="102"/>
        <v/>
      </c>
    </row>
    <row r="6526" spans="15:15" x14ac:dyDescent="0.3">
      <c r="O6526" t="str">
        <f t="shared" si="102"/>
        <v/>
      </c>
    </row>
    <row r="6527" spans="15:15" x14ac:dyDescent="0.3">
      <c r="O6527" t="str">
        <f t="shared" si="102"/>
        <v/>
      </c>
    </row>
    <row r="6528" spans="15:15" x14ac:dyDescent="0.3">
      <c r="O6528" t="str">
        <f t="shared" si="102"/>
        <v/>
      </c>
    </row>
    <row r="6529" spans="15:15" x14ac:dyDescent="0.3">
      <c r="O6529" t="str">
        <f t="shared" si="102"/>
        <v/>
      </c>
    </row>
    <row r="6530" spans="15:15" x14ac:dyDescent="0.3">
      <c r="O6530" t="str">
        <f t="shared" si="102"/>
        <v/>
      </c>
    </row>
    <row r="6531" spans="15:15" x14ac:dyDescent="0.3">
      <c r="O6531" t="str">
        <f t="shared" si="102"/>
        <v/>
      </c>
    </row>
    <row r="6532" spans="15:15" x14ac:dyDescent="0.3">
      <c r="O6532" t="str">
        <f t="shared" si="102"/>
        <v/>
      </c>
    </row>
    <row r="6533" spans="15:15" x14ac:dyDescent="0.3">
      <c r="O6533" t="str">
        <f t="shared" si="102"/>
        <v/>
      </c>
    </row>
    <row r="6534" spans="15:15" x14ac:dyDescent="0.3">
      <c r="O6534" t="str">
        <f t="shared" si="102"/>
        <v/>
      </c>
    </row>
    <row r="6535" spans="15:15" x14ac:dyDescent="0.3">
      <c r="O6535" t="str">
        <f t="shared" si="102"/>
        <v/>
      </c>
    </row>
    <row r="6536" spans="15:15" x14ac:dyDescent="0.3">
      <c r="O6536" t="str">
        <f t="shared" si="102"/>
        <v/>
      </c>
    </row>
    <row r="6537" spans="15:15" x14ac:dyDescent="0.3">
      <c r="O6537" t="str">
        <f t="shared" si="102"/>
        <v/>
      </c>
    </row>
    <row r="6538" spans="15:15" x14ac:dyDescent="0.3">
      <c r="O6538" t="str">
        <f t="shared" ref="O6538:O6601" si="103">IF(P6538="","",O6537+1)</f>
        <v/>
      </c>
    </row>
    <row r="6539" spans="15:15" x14ac:dyDescent="0.3">
      <c r="O6539" t="str">
        <f t="shared" si="103"/>
        <v/>
      </c>
    </row>
    <row r="6540" spans="15:15" x14ac:dyDescent="0.3">
      <c r="O6540" t="str">
        <f t="shared" si="103"/>
        <v/>
      </c>
    </row>
    <row r="6541" spans="15:15" x14ac:dyDescent="0.3">
      <c r="O6541" t="str">
        <f t="shared" si="103"/>
        <v/>
      </c>
    </row>
    <row r="6542" spans="15:15" x14ac:dyDescent="0.3">
      <c r="O6542" t="str">
        <f t="shared" si="103"/>
        <v/>
      </c>
    </row>
    <row r="6543" spans="15:15" x14ac:dyDescent="0.3">
      <c r="O6543" t="str">
        <f t="shared" si="103"/>
        <v/>
      </c>
    </row>
    <row r="6544" spans="15:15" x14ac:dyDescent="0.3">
      <c r="O6544" t="str">
        <f t="shared" si="103"/>
        <v/>
      </c>
    </row>
    <row r="6545" spans="15:15" x14ac:dyDescent="0.3">
      <c r="O6545" t="str">
        <f t="shared" si="103"/>
        <v/>
      </c>
    </row>
    <row r="6546" spans="15:15" x14ac:dyDescent="0.3">
      <c r="O6546" t="str">
        <f t="shared" si="103"/>
        <v/>
      </c>
    </row>
    <row r="6547" spans="15:15" x14ac:dyDescent="0.3">
      <c r="O6547" t="str">
        <f t="shared" si="103"/>
        <v/>
      </c>
    </row>
    <row r="6548" spans="15:15" x14ac:dyDescent="0.3">
      <c r="O6548" t="str">
        <f t="shared" si="103"/>
        <v/>
      </c>
    </row>
    <row r="6549" spans="15:15" x14ac:dyDescent="0.3">
      <c r="O6549" t="str">
        <f t="shared" si="103"/>
        <v/>
      </c>
    </row>
    <row r="6550" spans="15:15" x14ac:dyDescent="0.3">
      <c r="O6550" t="str">
        <f t="shared" si="103"/>
        <v/>
      </c>
    </row>
    <row r="6551" spans="15:15" x14ac:dyDescent="0.3">
      <c r="O6551" t="str">
        <f t="shared" si="103"/>
        <v/>
      </c>
    </row>
    <row r="6552" spans="15:15" x14ac:dyDescent="0.3">
      <c r="O6552" t="str">
        <f t="shared" si="103"/>
        <v/>
      </c>
    </row>
    <row r="6553" spans="15:15" x14ac:dyDescent="0.3">
      <c r="O6553" t="str">
        <f t="shared" si="103"/>
        <v/>
      </c>
    </row>
    <row r="6554" spans="15:15" x14ac:dyDescent="0.3">
      <c r="O6554" t="str">
        <f t="shared" si="103"/>
        <v/>
      </c>
    </row>
    <row r="6555" spans="15:15" x14ac:dyDescent="0.3">
      <c r="O6555" t="str">
        <f t="shared" si="103"/>
        <v/>
      </c>
    </row>
    <row r="6556" spans="15:15" x14ac:dyDescent="0.3">
      <c r="O6556" t="str">
        <f t="shared" si="103"/>
        <v/>
      </c>
    </row>
    <row r="6557" spans="15:15" x14ac:dyDescent="0.3">
      <c r="O6557" t="str">
        <f t="shared" si="103"/>
        <v/>
      </c>
    </row>
    <row r="6558" spans="15:15" x14ac:dyDescent="0.3">
      <c r="O6558" t="str">
        <f t="shared" si="103"/>
        <v/>
      </c>
    </row>
    <row r="6559" spans="15:15" x14ac:dyDescent="0.3">
      <c r="O6559" t="str">
        <f t="shared" si="103"/>
        <v/>
      </c>
    </row>
    <row r="6560" spans="15:15" x14ac:dyDescent="0.3">
      <c r="O6560" t="str">
        <f t="shared" si="103"/>
        <v/>
      </c>
    </row>
    <row r="6561" spans="15:15" x14ac:dyDescent="0.3">
      <c r="O6561" t="str">
        <f t="shared" si="103"/>
        <v/>
      </c>
    </row>
    <row r="6562" spans="15:15" x14ac:dyDescent="0.3">
      <c r="O6562" t="str">
        <f t="shared" si="103"/>
        <v/>
      </c>
    </row>
    <row r="6563" spans="15:15" x14ac:dyDescent="0.3">
      <c r="O6563" t="str">
        <f t="shared" si="103"/>
        <v/>
      </c>
    </row>
    <row r="6564" spans="15:15" x14ac:dyDescent="0.3">
      <c r="O6564" t="str">
        <f t="shared" si="103"/>
        <v/>
      </c>
    </row>
    <row r="6565" spans="15:15" x14ac:dyDescent="0.3">
      <c r="O6565" t="str">
        <f t="shared" si="103"/>
        <v/>
      </c>
    </row>
    <row r="6566" spans="15:15" x14ac:dyDescent="0.3">
      <c r="O6566" t="str">
        <f t="shared" si="103"/>
        <v/>
      </c>
    </row>
    <row r="6567" spans="15:15" x14ac:dyDescent="0.3">
      <c r="O6567" t="str">
        <f t="shared" si="103"/>
        <v/>
      </c>
    </row>
    <row r="6568" spans="15:15" x14ac:dyDescent="0.3">
      <c r="O6568" t="str">
        <f t="shared" si="103"/>
        <v/>
      </c>
    </row>
    <row r="6569" spans="15:15" x14ac:dyDescent="0.3">
      <c r="O6569" t="str">
        <f t="shared" si="103"/>
        <v/>
      </c>
    </row>
    <row r="6570" spans="15:15" x14ac:dyDescent="0.3">
      <c r="O6570" t="str">
        <f t="shared" si="103"/>
        <v/>
      </c>
    </row>
    <row r="6571" spans="15:15" x14ac:dyDescent="0.3">
      <c r="O6571" t="str">
        <f t="shared" si="103"/>
        <v/>
      </c>
    </row>
    <row r="6572" spans="15:15" x14ac:dyDescent="0.3">
      <c r="O6572" t="str">
        <f t="shared" si="103"/>
        <v/>
      </c>
    </row>
    <row r="6573" spans="15:15" x14ac:dyDescent="0.3">
      <c r="O6573" t="str">
        <f t="shared" si="103"/>
        <v/>
      </c>
    </row>
    <row r="6574" spans="15:15" x14ac:dyDescent="0.3">
      <c r="O6574" t="str">
        <f t="shared" si="103"/>
        <v/>
      </c>
    </row>
    <row r="6575" spans="15:15" x14ac:dyDescent="0.3">
      <c r="O6575" t="str">
        <f t="shared" si="103"/>
        <v/>
      </c>
    </row>
    <row r="6576" spans="15:15" x14ac:dyDescent="0.3">
      <c r="O6576" t="str">
        <f t="shared" si="103"/>
        <v/>
      </c>
    </row>
    <row r="6577" spans="15:15" x14ac:dyDescent="0.3">
      <c r="O6577" t="str">
        <f t="shared" si="103"/>
        <v/>
      </c>
    </row>
    <row r="6578" spans="15:15" x14ac:dyDescent="0.3">
      <c r="O6578" t="str">
        <f t="shared" si="103"/>
        <v/>
      </c>
    </row>
    <row r="6579" spans="15:15" x14ac:dyDescent="0.3">
      <c r="O6579" t="str">
        <f t="shared" si="103"/>
        <v/>
      </c>
    </row>
    <row r="6580" spans="15:15" x14ac:dyDescent="0.3">
      <c r="O6580" t="str">
        <f t="shared" si="103"/>
        <v/>
      </c>
    </row>
    <row r="6581" spans="15:15" x14ac:dyDescent="0.3">
      <c r="O6581" t="str">
        <f t="shared" si="103"/>
        <v/>
      </c>
    </row>
    <row r="6582" spans="15:15" x14ac:dyDescent="0.3">
      <c r="O6582" t="str">
        <f t="shared" si="103"/>
        <v/>
      </c>
    </row>
    <row r="6583" spans="15:15" x14ac:dyDescent="0.3">
      <c r="O6583" t="str">
        <f t="shared" si="103"/>
        <v/>
      </c>
    </row>
    <row r="6584" spans="15:15" x14ac:dyDescent="0.3">
      <c r="O6584" t="str">
        <f t="shared" si="103"/>
        <v/>
      </c>
    </row>
    <row r="6585" spans="15:15" x14ac:dyDescent="0.3">
      <c r="O6585" t="str">
        <f t="shared" si="103"/>
        <v/>
      </c>
    </row>
    <row r="6586" spans="15:15" x14ac:dyDescent="0.3">
      <c r="O6586" t="str">
        <f t="shared" si="103"/>
        <v/>
      </c>
    </row>
    <row r="6587" spans="15:15" x14ac:dyDescent="0.3">
      <c r="O6587" t="str">
        <f t="shared" si="103"/>
        <v/>
      </c>
    </row>
    <row r="6588" spans="15:15" x14ac:dyDescent="0.3">
      <c r="O6588" t="str">
        <f t="shared" si="103"/>
        <v/>
      </c>
    </row>
    <row r="6589" spans="15:15" x14ac:dyDescent="0.3">
      <c r="O6589" t="str">
        <f t="shared" si="103"/>
        <v/>
      </c>
    </row>
    <row r="6590" spans="15:15" x14ac:dyDescent="0.3">
      <c r="O6590" t="str">
        <f t="shared" si="103"/>
        <v/>
      </c>
    </row>
    <row r="6591" spans="15:15" x14ac:dyDescent="0.3">
      <c r="O6591" t="str">
        <f t="shared" si="103"/>
        <v/>
      </c>
    </row>
    <row r="6592" spans="15:15" x14ac:dyDescent="0.3">
      <c r="O6592" t="str">
        <f t="shared" si="103"/>
        <v/>
      </c>
    </row>
    <row r="6593" spans="15:15" x14ac:dyDescent="0.3">
      <c r="O6593" t="str">
        <f t="shared" si="103"/>
        <v/>
      </c>
    </row>
    <row r="6594" spans="15:15" x14ac:dyDescent="0.3">
      <c r="O6594" t="str">
        <f t="shared" si="103"/>
        <v/>
      </c>
    </row>
    <row r="6595" spans="15:15" x14ac:dyDescent="0.3">
      <c r="O6595" t="str">
        <f t="shared" si="103"/>
        <v/>
      </c>
    </row>
    <row r="6596" spans="15:15" x14ac:dyDescent="0.3">
      <c r="O6596" t="str">
        <f t="shared" si="103"/>
        <v/>
      </c>
    </row>
    <row r="6597" spans="15:15" x14ac:dyDescent="0.3">
      <c r="O6597" t="str">
        <f t="shared" si="103"/>
        <v/>
      </c>
    </row>
    <row r="6598" spans="15:15" x14ac:dyDescent="0.3">
      <c r="O6598" t="str">
        <f t="shared" si="103"/>
        <v/>
      </c>
    </row>
    <row r="6599" spans="15:15" x14ac:dyDescent="0.3">
      <c r="O6599" t="str">
        <f t="shared" si="103"/>
        <v/>
      </c>
    </row>
    <row r="6600" spans="15:15" x14ac:dyDescent="0.3">
      <c r="O6600" t="str">
        <f t="shared" si="103"/>
        <v/>
      </c>
    </row>
    <row r="6601" spans="15:15" x14ac:dyDescent="0.3">
      <c r="O6601" t="str">
        <f t="shared" si="103"/>
        <v/>
      </c>
    </row>
    <row r="6602" spans="15:15" x14ac:dyDescent="0.3">
      <c r="O6602" t="str">
        <f t="shared" ref="O6602:O6665" si="104">IF(P6602="","",O6601+1)</f>
        <v/>
      </c>
    </row>
    <row r="6603" spans="15:15" x14ac:dyDescent="0.3">
      <c r="O6603" t="str">
        <f t="shared" si="104"/>
        <v/>
      </c>
    </row>
    <row r="6604" spans="15:15" x14ac:dyDescent="0.3">
      <c r="O6604" t="str">
        <f t="shared" si="104"/>
        <v/>
      </c>
    </row>
    <row r="6605" spans="15:15" x14ac:dyDescent="0.3">
      <c r="O6605" t="str">
        <f t="shared" si="104"/>
        <v/>
      </c>
    </row>
    <row r="6606" spans="15:15" x14ac:dyDescent="0.3">
      <c r="O6606" t="str">
        <f t="shared" si="104"/>
        <v/>
      </c>
    </row>
    <row r="6607" spans="15:15" x14ac:dyDescent="0.3">
      <c r="O6607" t="str">
        <f t="shared" si="104"/>
        <v/>
      </c>
    </row>
    <row r="6608" spans="15:15" x14ac:dyDescent="0.3">
      <c r="O6608" t="str">
        <f t="shared" si="104"/>
        <v/>
      </c>
    </row>
    <row r="6609" spans="15:15" x14ac:dyDescent="0.3">
      <c r="O6609" t="str">
        <f t="shared" si="104"/>
        <v/>
      </c>
    </row>
    <row r="6610" spans="15:15" x14ac:dyDescent="0.3">
      <c r="O6610" t="str">
        <f t="shared" si="104"/>
        <v/>
      </c>
    </row>
    <row r="6611" spans="15:15" x14ac:dyDescent="0.3">
      <c r="O6611" t="str">
        <f t="shared" si="104"/>
        <v/>
      </c>
    </row>
    <row r="6612" spans="15:15" x14ac:dyDescent="0.3">
      <c r="O6612" t="str">
        <f t="shared" si="104"/>
        <v/>
      </c>
    </row>
    <row r="6613" spans="15:15" x14ac:dyDescent="0.3">
      <c r="O6613" t="str">
        <f t="shared" si="104"/>
        <v/>
      </c>
    </row>
    <row r="6614" spans="15:15" x14ac:dyDescent="0.3">
      <c r="O6614" t="str">
        <f t="shared" si="104"/>
        <v/>
      </c>
    </row>
    <row r="6615" spans="15:15" x14ac:dyDescent="0.3">
      <c r="O6615" t="str">
        <f t="shared" si="104"/>
        <v/>
      </c>
    </row>
    <row r="6616" spans="15:15" x14ac:dyDescent="0.3">
      <c r="O6616" t="str">
        <f t="shared" si="104"/>
        <v/>
      </c>
    </row>
    <row r="6617" spans="15:15" x14ac:dyDescent="0.3">
      <c r="O6617" t="str">
        <f t="shared" si="104"/>
        <v/>
      </c>
    </row>
    <row r="6618" spans="15:15" x14ac:dyDescent="0.3">
      <c r="O6618" t="str">
        <f t="shared" si="104"/>
        <v/>
      </c>
    </row>
    <row r="6619" spans="15:15" x14ac:dyDescent="0.3">
      <c r="O6619" t="str">
        <f t="shared" si="104"/>
        <v/>
      </c>
    </row>
    <row r="6620" spans="15:15" x14ac:dyDescent="0.3">
      <c r="O6620" t="str">
        <f t="shared" si="104"/>
        <v/>
      </c>
    </row>
    <row r="6621" spans="15:15" x14ac:dyDescent="0.3">
      <c r="O6621" t="str">
        <f t="shared" si="104"/>
        <v/>
      </c>
    </row>
    <row r="6622" spans="15:15" x14ac:dyDescent="0.3">
      <c r="O6622" t="str">
        <f t="shared" si="104"/>
        <v/>
      </c>
    </row>
    <row r="6623" spans="15:15" x14ac:dyDescent="0.3">
      <c r="O6623" t="str">
        <f t="shared" si="104"/>
        <v/>
      </c>
    </row>
    <row r="6624" spans="15:15" x14ac:dyDescent="0.3">
      <c r="O6624" t="str">
        <f t="shared" si="104"/>
        <v/>
      </c>
    </row>
    <row r="6625" spans="15:15" x14ac:dyDescent="0.3">
      <c r="O6625" t="str">
        <f t="shared" si="104"/>
        <v/>
      </c>
    </row>
    <row r="6626" spans="15:15" x14ac:dyDescent="0.3">
      <c r="O6626" t="str">
        <f t="shared" si="104"/>
        <v/>
      </c>
    </row>
    <row r="6627" spans="15:15" x14ac:dyDescent="0.3">
      <c r="O6627" t="str">
        <f t="shared" si="104"/>
        <v/>
      </c>
    </row>
    <row r="6628" spans="15:15" x14ac:dyDescent="0.3">
      <c r="O6628" t="str">
        <f t="shared" si="104"/>
        <v/>
      </c>
    </row>
    <row r="6629" spans="15:15" x14ac:dyDescent="0.3">
      <c r="O6629" t="str">
        <f t="shared" si="104"/>
        <v/>
      </c>
    </row>
    <row r="6630" spans="15:15" x14ac:dyDescent="0.3">
      <c r="O6630" t="str">
        <f t="shared" si="104"/>
        <v/>
      </c>
    </row>
    <row r="6631" spans="15:15" x14ac:dyDescent="0.3">
      <c r="O6631" t="str">
        <f t="shared" si="104"/>
        <v/>
      </c>
    </row>
    <row r="6632" spans="15:15" x14ac:dyDescent="0.3">
      <c r="O6632" t="str">
        <f t="shared" si="104"/>
        <v/>
      </c>
    </row>
    <row r="6633" spans="15:15" x14ac:dyDescent="0.3">
      <c r="O6633" t="str">
        <f t="shared" si="104"/>
        <v/>
      </c>
    </row>
    <row r="6634" spans="15:15" x14ac:dyDescent="0.3">
      <c r="O6634" t="str">
        <f t="shared" si="104"/>
        <v/>
      </c>
    </row>
    <row r="6635" spans="15:15" x14ac:dyDescent="0.3">
      <c r="O6635" t="str">
        <f t="shared" si="104"/>
        <v/>
      </c>
    </row>
    <row r="6636" spans="15:15" x14ac:dyDescent="0.3">
      <c r="O6636" t="str">
        <f t="shared" si="104"/>
        <v/>
      </c>
    </row>
    <row r="6637" spans="15:15" x14ac:dyDescent="0.3">
      <c r="O6637" t="str">
        <f t="shared" si="104"/>
        <v/>
      </c>
    </row>
    <row r="6638" spans="15:15" x14ac:dyDescent="0.3">
      <c r="O6638" t="str">
        <f t="shared" si="104"/>
        <v/>
      </c>
    </row>
    <row r="6639" spans="15:15" x14ac:dyDescent="0.3">
      <c r="O6639" t="str">
        <f t="shared" si="104"/>
        <v/>
      </c>
    </row>
    <row r="6640" spans="15:15" x14ac:dyDescent="0.3">
      <c r="O6640" t="str">
        <f t="shared" si="104"/>
        <v/>
      </c>
    </row>
    <row r="6641" spans="15:15" x14ac:dyDescent="0.3">
      <c r="O6641" t="str">
        <f t="shared" si="104"/>
        <v/>
      </c>
    </row>
    <row r="6642" spans="15:15" x14ac:dyDescent="0.3">
      <c r="O6642" t="str">
        <f t="shared" si="104"/>
        <v/>
      </c>
    </row>
    <row r="6643" spans="15:15" x14ac:dyDescent="0.3">
      <c r="O6643" t="str">
        <f t="shared" si="104"/>
        <v/>
      </c>
    </row>
    <row r="6644" spans="15:15" x14ac:dyDescent="0.3">
      <c r="O6644" t="str">
        <f t="shared" si="104"/>
        <v/>
      </c>
    </row>
    <row r="6645" spans="15:15" x14ac:dyDescent="0.3">
      <c r="O6645" t="str">
        <f t="shared" si="104"/>
        <v/>
      </c>
    </row>
    <row r="6646" spans="15:15" x14ac:dyDescent="0.3">
      <c r="O6646" t="str">
        <f t="shared" si="104"/>
        <v/>
      </c>
    </row>
    <row r="6647" spans="15:15" x14ac:dyDescent="0.3">
      <c r="O6647" t="str">
        <f t="shared" si="104"/>
        <v/>
      </c>
    </row>
    <row r="6648" spans="15:15" x14ac:dyDescent="0.3">
      <c r="O6648" t="str">
        <f t="shared" si="104"/>
        <v/>
      </c>
    </row>
    <row r="6649" spans="15:15" x14ac:dyDescent="0.3">
      <c r="O6649" t="str">
        <f t="shared" si="104"/>
        <v/>
      </c>
    </row>
    <row r="6650" spans="15:15" x14ac:dyDescent="0.3">
      <c r="O6650" t="str">
        <f t="shared" si="104"/>
        <v/>
      </c>
    </row>
    <row r="6651" spans="15:15" x14ac:dyDescent="0.3">
      <c r="O6651" t="str">
        <f t="shared" si="104"/>
        <v/>
      </c>
    </row>
    <row r="6652" spans="15:15" x14ac:dyDescent="0.3">
      <c r="O6652" t="str">
        <f t="shared" si="104"/>
        <v/>
      </c>
    </row>
    <row r="6653" spans="15:15" x14ac:dyDescent="0.3">
      <c r="O6653" t="str">
        <f t="shared" si="104"/>
        <v/>
      </c>
    </row>
    <row r="6654" spans="15:15" x14ac:dyDescent="0.3">
      <c r="O6654" t="str">
        <f t="shared" si="104"/>
        <v/>
      </c>
    </row>
    <row r="6655" spans="15:15" x14ac:dyDescent="0.3">
      <c r="O6655" t="str">
        <f t="shared" si="104"/>
        <v/>
      </c>
    </row>
    <row r="6656" spans="15:15" x14ac:dyDescent="0.3">
      <c r="O6656" t="str">
        <f t="shared" si="104"/>
        <v/>
      </c>
    </row>
    <row r="6657" spans="15:15" x14ac:dyDescent="0.3">
      <c r="O6657" t="str">
        <f t="shared" si="104"/>
        <v/>
      </c>
    </row>
    <row r="6658" spans="15:15" x14ac:dyDescent="0.3">
      <c r="O6658" t="str">
        <f t="shared" si="104"/>
        <v/>
      </c>
    </row>
    <row r="6659" spans="15:15" x14ac:dyDescent="0.3">
      <c r="O6659" t="str">
        <f t="shared" si="104"/>
        <v/>
      </c>
    </row>
    <row r="6660" spans="15:15" x14ac:dyDescent="0.3">
      <c r="O6660" t="str">
        <f t="shared" si="104"/>
        <v/>
      </c>
    </row>
    <row r="6661" spans="15:15" x14ac:dyDescent="0.3">
      <c r="O6661" t="str">
        <f t="shared" si="104"/>
        <v/>
      </c>
    </row>
    <row r="6662" spans="15:15" x14ac:dyDescent="0.3">
      <c r="O6662" t="str">
        <f t="shared" si="104"/>
        <v/>
      </c>
    </row>
    <row r="6663" spans="15:15" x14ac:dyDescent="0.3">
      <c r="O6663" t="str">
        <f t="shared" si="104"/>
        <v/>
      </c>
    </row>
    <row r="6664" spans="15:15" x14ac:dyDescent="0.3">
      <c r="O6664" t="str">
        <f t="shared" si="104"/>
        <v/>
      </c>
    </row>
    <row r="6665" spans="15:15" x14ac:dyDescent="0.3">
      <c r="O6665" t="str">
        <f t="shared" si="104"/>
        <v/>
      </c>
    </row>
    <row r="6666" spans="15:15" x14ac:dyDescent="0.3">
      <c r="O6666" t="str">
        <f t="shared" ref="O6666:O6729" si="105">IF(P6666="","",O6665+1)</f>
        <v/>
      </c>
    </row>
    <row r="6667" spans="15:15" x14ac:dyDescent="0.3">
      <c r="O6667" t="str">
        <f t="shared" si="105"/>
        <v/>
      </c>
    </row>
    <row r="6668" spans="15:15" x14ac:dyDescent="0.3">
      <c r="O6668" t="str">
        <f t="shared" si="105"/>
        <v/>
      </c>
    </row>
    <row r="6669" spans="15:15" x14ac:dyDescent="0.3">
      <c r="O6669" t="str">
        <f t="shared" si="105"/>
        <v/>
      </c>
    </row>
    <row r="6670" spans="15:15" x14ac:dyDescent="0.3">
      <c r="O6670" t="str">
        <f t="shared" si="105"/>
        <v/>
      </c>
    </row>
    <row r="6671" spans="15:15" x14ac:dyDescent="0.3">
      <c r="O6671" t="str">
        <f t="shared" si="105"/>
        <v/>
      </c>
    </row>
    <row r="6672" spans="15:15" x14ac:dyDescent="0.3">
      <c r="O6672" t="str">
        <f t="shared" si="105"/>
        <v/>
      </c>
    </row>
    <row r="6673" spans="15:15" x14ac:dyDescent="0.3">
      <c r="O6673" t="str">
        <f t="shared" si="105"/>
        <v/>
      </c>
    </row>
    <row r="6674" spans="15:15" x14ac:dyDescent="0.3">
      <c r="O6674" t="str">
        <f t="shared" si="105"/>
        <v/>
      </c>
    </row>
    <row r="6675" spans="15:15" x14ac:dyDescent="0.3">
      <c r="O6675" t="str">
        <f t="shared" si="105"/>
        <v/>
      </c>
    </row>
    <row r="6676" spans="15:15" x14ac:dyDescent="0.3">
      <c r="O6676" t="str">
        <f t="shared" si="105"/>
        <v/>
      </c>
    </row>
    <row r="6677" spans="15:15" x14ac:dyDescent="0.3">
      <c r="O6677" t="str">
        <f t="shared" si="105"/>
        <v/>
      </c>
    </row>
    <row r="6678" spans="15:15" x14ac:dyDescent="0.3">
      <c r="O6678" t="str">
        <f t="shared" si="105"/>
        <v/>
      </c>
    </row>
    <row r="6679" spans="15:15" x14ac:dyDescent="0.3">
      <c r="O6679" t="str">
        <f t="shared" si="105"/>
        <v/>
      </c>
    </row>
    <row r="6680" spans="15:15" x14ac:dyDescent="0.3">
      <c r="O6680" t="str">
        <f t="shared" si="105"/>
        <v/>
      </c>
    </row>
    <row r="6681" spans="15:15" x14ac:dyDescent="0.3">
      <c r="O6681" t="str">
        <f t="shared" si="105"/>
        <v/>
      </c>
    </row>
    <row r="6682" spans="15:15" x14ac:dyDescent="0.3">
      <c r="O6682" t="str">
        <f t="shared" si="105"/>
        <v/>
      </c>
    </row>
    <row r="6683" spans="15:15" x14ac:dyDescent="0.3">
      <c r="O6683" t="str">
        <f t="shared" si="105"/>
        <v/>
      </c>
    </row>
    <row r="6684" spans="15:15" x14ac:dyDescent="0.3">
      <c r="O6684" t="str">
        <f t="shared" si="105"/>
        <v/>
      </c>
    </row>
    <row r="6685" spans="15:15" x14ac:dyDescent="0.3">
      <c r="O6685" t="str">
        <f t="shared" si="105"/>
        <v/>
      </c>
    </row>
    <row r="6686" spans="15:15" x14ac:dyDescent="0.3">
      <c r="O6686" t="str">
        <f t="shared" si="105"/>
        <v/>
      </c>
    </row>
    <row r="6687" spans="15:15" x14ac:dyDescent="0.3">
      <c r="O6687" t="str">
        <f t="shared" si="105"/>
        <v/>
      </c>
    </row>
    <row r="6688" spans="15:15" x14ac:dyDescent="0.3">
      <c r="O6688" t="str">
        <f t="shared" si="105"/>
        <v/>
      </c>
    </row>
    <row r="6689" spans="15:15" x14ac:dyDescent="0.3">
      <c r="O6689" t="str">
        <f t="shared" si="105"/>
        <v/>
      </c>
    </row>
    <row r="6690" spans="15:15" x14ac:dyDescent="0.3">
      <c r="O6690" t="str">
        <f t="shared" si="105"/>
        <v/>
      </c>
    </row>
    <row r="6691" spans="15:15" x14ac:dyDescent="0.3">
      <c r="O6691" t="str">
        <f t="shared" si="105"/>
        <v/>
      </c>
    </row>
    <row r="6692" spans="15:15" x14ac:dyDescent="0.3">
      <c r="O6692" t="str">
        <f t="shared" si="105"/>
        <v/>
      </c>
    </row>
    <row r="6693" spans="15:15" x14ac:dyDescent="0.3">
      <c r="O6693" t="str">
        <f t="shared" si="105"/>
        <v/>
      </c>
    </row>
    <row r="6694" spans="15:15" x14ac:dyDescent="0.3">
      <c r="O6694" t="str">
        <f t="shared" si="105"/>
        <v/>
      </c>
    </row>
    <row r="6695" spans="15:15" x14ac:dyDescent="0.3">
      <c r="O6695" t="str">
        <f t="shared" si="105"/>
        <v/>
      </c>
    </row>
    <row r="6696" spans="15:15" x14ac:dyDescent="0.3">
      <c r="O6696" t="str">
        <f t="shared" si="105"/>
        <v/>
      </c>
    </row>
    <row r="6697" spans="15:15" x14ac:dyDescent="0.3">
      <c r="O6697" t="str">
        <f t="shared" si="105"/>
        <v/>
      </c>
    </row>
    <row r="6698" spans="15:15" x14ac:dyDescent="0.3">
      <c r="O6698" t="str">
        <f t="shared" si="105"/>
        <v/>
      </c>
    </row>
    <row r="6699" spans="15:15" x14ac:dyDescent="0.3">
      <c r="O6699" t="str">
        <f t="shared" si="105"/>
        <v/>
      </c>
    </row>
    <row r="6700" spans="15:15" x14ac:dyDescent="0.3">
      <c r="O6700" t="str">
        <f t="shared" si="105"/>
        <v/>
      </c>
    </row>
    <row r="6701" spans="15:15" x14ac:dyDescent="0.3">
      <c r="O6701" t="str">
        <f t="shared" si="105"/>
        <v/>
      </c>
    </row>
    <row r="6702" spans="15:15" x14ac:dyDescent="0.3">
      <c r="O6702" t="str">
        <f t="shared" si="105"/>
        <v/>
      </c>
    </row>
    <row r="6703" spans="15:15" x14ac:dyDescent="0.3">
      <c r="O6703" t="str">
        <f t="shared" si="105"/>
        <v/>
      </c>
    </row>
    <row r="6704" spans="15:15" x14ac:dyDescent="0.3">
      <c r="O6704" t="str">
        <f t="shared" si="105"/>
        <v/>
      </c>
    </row>
    <row r="6705" spans="15:15" x14ac:dyDescent="0.3">
      <c r="O6705" t="str">
        <f t="shared" si="105"/>
        <v/>
      </c>
    </row>
    <row r="6706" spans="15:15" x14ac:dyDescent="0.3">
      <c r="O6706" t="str">
        <f t="shared" si="105"/>
        <v/>
      </c>
    </row>
    <row r="6707" spans="15:15" x14ac:dyDescent="0.3">
      <c r="O6707" t="str">
        <f t="shared" si="105"/>
        <v/>
      </c>
    </row>
    <row r="6708" spans="15:15" x14ac:dyDescent="0.3">
      <c r="O6708" t="str">
        <f t="shared" si="105"/>
        <v/>
      </c>
    </row>
    <row r="6709" spans="15:15" x14ac:dyDescent="0.3">
      <c r="O6709" t="str">
        <f t="shared" si="105"/>
        <v/>
      </c>
    </row>
    <row r="6710" spans="15:15" x14ac:dyDescent="0.3">
      <c r="O6710" t="str">
        <f t="shared" si="105"/>
        <v/>
      </c>
    </row>
    <row r="6711" spans="15:15" x14ac:dyDescent="0.3">
      <c r="O6711" t="str">
        <f t="shared" si="105"/>
        <v/>
      </c>
    </row>
    <row r="6712" spans="15:15" x14ac:dyDescent="0.3">
      <c r="O6712" t="str">
        <f t="shared" si="105"/>
        <v/>
      </c>
    </row>
    <row r="6713" spans="15:15" x14ac:dyDescent="0.3">
      <c r="O6713" t="str">
        <f t="shared" si="105"/>
        <v/>
      </c>
    </row>
    <row r="6714" spans="15:15" x14ac:dyDescent="0.3">
      <c r="O6714" t="str">
        <f t="shared" si="105"/>
        <v/>
      </c>
    </row>
    <row r="6715" spans="15:15" x14ac:dyDescent="0.3">
      <c r="O6715" t="str">
        <f t="shared" si="105"/>
        <v/>
      </c>
    </row>
    <row r="6716" spans="15:15" x14ac:dyDescent="0.3">
      <c r="O6716" t="str">
        <f t="shared" si="105"/>
        <v/>
      </c>
    </row>
    <row r="6717" spans="15:15" x14ac:dyDescent="0.3">
      <c r="O6717" t="str">
        <f t="shared" si="105"/>
        <v/>
      </c>
    </row>
    <row r="6718" spans="15:15" x14ac:dyDescent="0.3">
      <c r="O6718" t="str">
        <f t="shared" si="105"/>
        <v/>
      </c>
    </row>
    <row r="6719" spans="15:15" x14ac:dyDescent="0.3">
      <c r="O6719" t="str">
        <f t="shared" si="105"/>
        <v/>
      </c>
    </row>
    <row r="6720" spans="15:15" x14ac:dyDescent="0.3">
      <c r="O6720" t="str">
        <f t="shared" si="105"/>
        <v/>
      </c>
    </row>
    <row r="6721" spans="15:15" x14ac:dyDescent="0.3">
      <c r="O6721" t="str">
        <f t="shared" si="105"/>
        <v/>
      </c>
    </row>
    <row r="6722" spans="15:15" x14ac:dyDescent="0.3">
      <c r="O6722" t="str">
        <f t="shared" si="105"/>
        <v/>
      </c>
    </row>
    <row r="6723" spans="15:15" x14ac:dyDescent="0.3">
      <c r="O6723" t="str">
        <f t="shared" si="105"/>
        <v/>
      </c>
    </row>
    <row r="6724" spans="15:15" x14ac:dyDescent="0.3">
      <c r="O6724" t="str">
        <f t="shared" si="105"/>
        <v/>
      </c>
    </row>
    <row r="6725" spans="15:15" x14ac:dyDescent="0.3">
      <c r="O6725" t="str">
        <f t="shared" si="105"/>
        <v/>
      </c>
    </row>
    <row r="6726" spans="15:15" x14ac:dyDescent="0.3">
      <c r="O6726" t="str">
        <f t="shared" si="105"/>
        <v/>
      </c>
    </row>
    <row r="6727" spans="15:15" x14ac:dyDescent="0.3">
      <c r="O6727" t="str">
        <f t="shared" si="105"/>
        <v/>
      </c>
    </row>
    <row r="6728" spans="15:15" x14ac:dyDescent="0.3">
      <c r="O6728" t="str">
        <f t="shared" si="105"/>
        <v/>
      </c>
    </row>
    <row r="6729" spans="15:15" x14ac:dyDescent="0.3">
      <c r="O6729" t="str">
        <f t="shared" si="105"/>
        <v/>
      </c>
    </row>
    <row r="6730" spans="15:15" x14ac:dyDescent="0.3">
      <c r="O6730" t="str">
        <f t="shared" ref="O6730:O6793" si="106">IF(P6730="","",O6729+1)</f>
        <v/>
      </c>
    </row>
    <row r="6731" spans="15:15" x14ac:dyDescent="0.3">
      <c r="O6731" t="str">
        <f t="shared" si="106"/>
        <v/>
      </c>
    </row>
    <row r="6732" spans="15:15" x14ac:dyDescent="0.3">
      <c r="O6732" t="str">
        <f t="shared" si="106"/>
        <v/>
      </c>
    </row>
    <row r="6733" spans="15:15" x14ac:dyDescent="0.3">
      <c r="O6733" t="str">
        <f t="shared" si="106"/>
        <v/>
      </c>
    </row>
    <row r="6734" spans="15:15" x14ac:dyDescent="0.3">
      <c r="O6734" t="str">
        <f t="shared" si="106"/>
        <v/>
      </c>
    </row>
    <row r="6735" spans="15:15" x14ac:dyDescent="0.3">
      <c r="O6735" t="str">
        <f t="shared" si="106"/>
        <v/>
      </c>
    </row>
    <row r="6736" spans="15:15" x14ac:dyDescent="0.3">
      <c r="O6736" t="str">
        <f t="shared" si="106"/>
        <v/>
      </c>
    </row>
    <row r="6737" spans="15:15" x14ac:dyDescent="0.3">
      <c r="O6737" t="str">
        <f t="shared" si="106"/>
        <v/>
      </c>
    </row>
    <row r="6738" spans="15:15" x14ac:dyDescent="0.3">
      <c r="O6738" t="str">
        <f t="shared" si="106"/>
        <v/>
      </c>
    </row>
    <row r="6739" spans="15:15" x14ac:dyDescent="0.3">
      <c r="O6739" t="str">
        <f t="shared" si="106"/>
        <v/>
      </c>
    </row>
    <row r="6740" spans="15:15" x14ac:dyDescent="0.3">
      <c r="O6740" t="str">
        <f t="shared" si="106"/>
        <v/>
      </c>
    </row>
    <row r="6741" spans="15:15" x14ac:dyDescent="0.3">
      <c r="O6741" t="str">
        <f t="shared" si="106"/>
        <v/>
      </c>
    </row>
    <row r="6742" spans="15:15" x14ac:dyDescent="0.3">
      <c r="O6742" t="str">
        <f t="shared" si="106"/>
        <v/>
      </c>
    </row>
    <row r="6743" spans="15:15" x14ac:dyDescent="0.3">
      <c r="O6743" t="str">
        <f t="shared" si="106"/>
        <v/>
      </c>
    </row>
    <row r="6744" spans="15:15" x14ac:dyDescent="0.3">
      <c r="O6744" t="str">
        <f t="shared" si="106"/>
        <v/>
      </c>
    </row>
    <row r="6745" spans="15:15" x14ac:dyDescent="0.3">
      <c r="O6745" t="str">
        <f t="shared" si="106"/>
        <v/>
      </c>
    </row>
    <row r="6746" spans="15:15" x14ac:dyDescent="0.3">
      <c r="O6746" t="str">
        <f t="shared" si="106"/>
        <v/>
      </c>
    </row>
    <row r="6747" spans="15:15" x14ac:dyDescent="0.3">
      <c r="O6747" t="str">
        <f t="shared" si="106"/>
        <v/>
      </c>
    </row>
    <row r="6748" spans="15:15" x14ac:dyDescent="0.3">
      <c r="O6748" t="str">
        <f t="shared" si="106"/>
        <v/>
      </c>
    </row>
    <row r="6749" spans="15:15" x14ac:dyDescent="0.3">
      <c r="O6749" t="str">
        <f t="shared" si="106"/>
        <v/>
      </c>
    </row>
    <row r="6750" spans="15:15" x14ac:dyDescent="0.3">
      <c r="O6750" t="str">
        <f t="shared" si="106"/>
        <v/>
      </c>
    </row>
    <row r="6751" spans="15:15" x14ac:dyDescent="0.3">
      <c r="O6751" t="str">
        <f t="shared" si="106"/>
        <v/>
      </c>
    </row>
    <row r="6752" spans="15:15" x14ac:dyDescent="0.3">
      <c r="O6752" t="str">
        <f t="shared" si="106"/>
        <v/>
      </c>
    </row>
    <row r="6753" spans="15:15" x14ac:dyDescent="0.3">
      <c r="O6753" t="str">
        <f t="shared" si="106"/>
        <v/>
      </c>
    </row>
    <row r="6754" spans="15:15" x14ac:dyDescent="0.3">
      <c r="O6754" t="str">
        <f t="shared" si="106"/>
        <v/>
      </c>
    </row>
    <row r="6755" spans="15:15" x14ac:dyDescent="0.3">
      <c r="O6755" t="str">
        <f t="shared" si="106"/>
        <v/>
      </c>
    </row>
    <row r="6756" spans="15:15" x14ac:dyDescent="0.3">
      <c r="O6756" t="str">
        <f t="shared" si="106"/>
        <v/>
      </c>
    </row>
    <row r="6757" spans="15:15" x14ac:dyDescent="0.3">
      <c r="O6757" t="str">
        <f t="shared" si="106"/>
        <v/>
      </c>
    </row>
    <row r="6758" spans="15:15" x14ac:dyDescent="0.3">
      <c r="O6758" t="str">
        <f t="shared" si="106"/>
        <v/>
      </c>
    </row>
    <row r="6759" spans="15:15" x14ac:dyDescent="0.3">
      <c r="O6759" t="str">
        <f t="shared" si="106"/>
        <v/>
      </c>
    </row>
    <row r="6760" spans="15:15" x14ac:dyDescent="0.3">
      <c r="O6760" t="str">
        <f t="shared" si="106"/>
        <v/>
      </c>
    </row>
    <row r="6761" spans="15:15" x14ac:dyDescent="0.3">
      <c r="O6761" t="str">
        <f t="shared" si="106"/>
        <v/>
      </c>
    </row>
    <row r="6762" spans="15:15" x14ac:dyDescent="0.3">
      <c r="O6762" t="str">
        <f t="shared" si="106"/>
        <v/>
      </c>
    </row>
    <row r="6763" spans="15:15" x14ac:dyDescent="0.3">
      <c r="O6763" t="str">
        <f t="shared" si="106"/>
        <v/>
      </c>
    </row>
    <row r="6764" spans="15:15" x14ac:dyDescent="0.3">
      <c r="O6764" t="str">
        <f t="shared" si="106"/>
        <v/>
      </c>
    </row>
    <row r="6765" spans="15:15" x14ac:dyDescent="0.3">
      <c r="O6765" t="str">
        <f t="shared" si="106"/>
        <v/>
      </c>
    </row>
    <row r="6766" spans="15:15" x14ac:dyDescent="0.3">
      <c r="O6766" t="str">
        <f t="shared" si="106"/>
        <v/>
      </c>
    </row>
    <row r="6767" spans="15:15" x14ac:dyDescent="0.3">
      <c r="O6767" t="str">
        <f t="shared" si="106"/>
        <v/>
      </c>
    </row>
    <row r="6768" spans="15:15" x14ac:dyDescent="0.3">
      <c r="O6768" t="str">
        <f t="shared" si="106"/>
        <v/>
      </c>
    </row>
    <row r="6769" spans="15:15" x14ac:dyDescent="0.3">
      <c r="O6769" t="str">
        <f t="shared" si="106"/>
        <v/>
      </c>
    </row>
    <row r="6770" spans="15:15" x14ac:dyDescent="0.3">
      <c r="O6770" t="str">
        <f t="shared" si="106"/>
        <v/>
      </c>
    </row>
    <row r="6771" spans="15:15" x14ac:dyDescent="0.3">
      <c r="O6771" t="str">
        <f t="shared" si="106"/>
        <v/>
      </c>
    </row>
    <row r="6772" spans="15:15" x14ac:dyDescent="0.3">
      <c r="O6772" t="str">
        <f t="shared" si="106"/>
        <v/>
      </c>
    </row>
    <row r="6773" spans="15:15" x14ac:dyDescent="0.3">
      <c r="O6773" t="str">
        <f t="shared" si="106"/>
        <v/>
      </c>
    </row>
    <row r="6774" spans="15:15" x14ac:dyDescent="0.3">
      <c r="O6774" t="str">
        <f t="shared" si="106"/>
        <v/>
      </c>
    </row>
    <row r="6775" spans="15:15" x14ac:dyDescent="0.3">
      <c r="O6775" t="str">
        <f t="shared" si="106"/>
        <v/>
      </c>
    </row>
    <row r="6776" spans="15:15" x14ac:dyDescent="0.3">
      <c r="O6776" t="str">
        <f t="shared" si="106"/>
        <v/>
      </c>
    </row>
    <row r="6777" spans="15:15" x14ac:dyDescent="0.3">
      <c r="O6777" t="str">
        <f t="shared" si="106"/>
        <v/>
      </c>
    </row>
    <row r="6778" spans="15:15" x14ac:dyDescent="0.3">
      <c r="O6778" t="str">
        <f t="shared" si="106"/>
        <v/>
      </c>
    </row>
    <row r="6779" spans="15:15" x14ac:dyDescent="0.3">
      <c r="O6779" t="str">
        <f t="shared" si="106"/>
        <v/>
      </c>
    </row>
    <row r="6780" spans="15:15" x14ac:dyDescent="0.3">
      <c r="O6780" t="str">
        <f t="shared" si="106"/>
        <v/>
      </c>
    </row>
    <row r="6781" spans="15:15" x14ac:dyDescent="0.3">
      <c r="O6781" t="str">
        <f t="shared" si="106"/>
        <v/>
      </c>
    </row>
    <row r="6782" spans="15:15" x14ac:dyDescent="0.3">
      <c r="O6782" t="str">
        <f t="shared" si="106"/>
        <v/>
      </c>
    </row>
    <row r="6783" spans="15:15" x14ac:dyDescent="0.3">
      <c r="O6783" t="str">
        <f t="shared" si="106"/>
        <v/>
      </c>
    </row>
    <row r="6784" spans="15:15" x14ac:dyDescent="0.3">
      <c r="O6784" t="str">
        <f t="shared" si="106"/>
        <v/>
      </c>
    </row>
    <row r="6785" spans="15:15" x14ac:dyDescent="0.3">
      <c r="O6785" t="str">
        <f t="shared" si="106"/>
        <v/>
      </c>
    </row>
    <row r="6786" spans="15:15" x14ac:dyDescent="0.3">
      <c r="O6786" t="str">
        <f t="shared" si="106"/>
        <v/>
      </c>
    </row>
    <row r="6787" spans="15:15" x14ac:dyDescent="0.3">
      <c r="O6787" t="str">
        <f t="shared" si="106"/>
        <v/>
      </c>
    </row>
    <row r="6788" spans="15:15" x14ac:dyDescent="0.3">
      <c r="O6788" t="str">
        <f t="shared" si="106"/>
        <v/>
      </c>
    </row>
    <row r="6789" spans="15:15" x14ac:dyDescent="0.3">
      <c r="O6789" t="str">
        <f t="shared" si="106"/>
        <v/>
      </c>
    </row>
    <row r="6790" spans="15:15" x14ac:dyDescent="0.3">
      <c r="O6790" t="str">
        <f t="shared" si="106"/>
        <v/>
      </c>
    </row>
    <row r="6791" spans="15:15" x14ac:dyDescent="0.3">
      <c r="O6791" t="str">
        <f t="shared" si="106"/>
        <v/>
      </c>
    </row>
    <row r="6792" spans="15:15" x14ac:dyDescent="0.3">
      <c r="O6792" t="str">
        <f t="shared" si="106"/>
        <v/>
      </c>
    </row>
    <row r="6793" spans="15:15" x14ac:dyDescent="0.3">
      <c r="O6793" t="str">
        <f t="shared" si="106"/>
        <v/>
      </c>
    </row>
    <row r="6794" spans="15:15" x14ac:dyDescent="0.3">
      <c r="O6794" t="str">
        <f t="shared" ref="O6794:O6857" si="107">IF(P6794="","",O6793+1)</f>
        <v/>
      </c>
    </row>
    <row r="6795" spans="15:15" x14ac:dyDescent="0.3">
      <c r="O6795" t="str">
        <f t="shared" si="107"/>
        <v/>
      </c>
    </row>
    <row r="6796" spans="15:15" x14ac:dyDescent="0.3">
      <c r="O6796" t="str">
        <f t="shared" si="107"/>
        <v/>
      </c>
    </row>
    <row r="6797" spans="15:15" x14ac:dyDescent="0.3">
      <c r="O6797" t="str">
        <f t="shared" si="107"/>
        <v/>
      </c>
    </row>
    <row r="6798" spans="15:15" x14ac:dyDescent="0.3">
      <c r="O6798" t="str">
        <f t="shared" si="107"/>
        <v/>
      </c>
    </row>
    <row r="6799" spans="15:15" x14ac:dyDescent="0.3">
      <c r="O6799" t="str">
        <f t="shared" si="107"/>
        <v/>
      </c>
    </row>
    <row r="6800" spans="15:15" x14ac:dyDescent="0.3">
      <c r="O6800" t="str">
        <f t="shared" si="107"/>
        <v/>
      </c>
    </row>
    <row r="6801" spans="15:15" x14ac:dyDescent="0.3">
      <c r="O6801" t="str">
        <f t="shared" si="107"/>
        <v/>
      </c>
    </row>
    <row r="6802" spans="15:15" x14ac:dyDescent="0.3">
      <c r="O6802" t="str">
        <f t="shared" si="107"/>
        <v/>
      </c>
    </row>
    <row r="6803" spans="15:15" x14ac:dyDescent="0.3">
      <c r="O6803" t="str">
        <f t="shared" si="107"/>
        <v/>
      </c>
    </row>
    <row r="6804" spans="15:15" x14ac:dyDescent="0.3">
      <c r="O6804" t="str">
        <f t="shared" si="107"/>
        <v/>
      </c>
    </row>
    <row r="6805" spans="15:15" x14ac:dyDescent="0.3">
      <c r="O6805" t="str">
        <f t="shared" si="107"/>
        <v/>
      </c>
    </row>
    <row r="6806" spans="15:15" x14ac:dyDescent="0.3">
      <c r="O6806" t="str">
        <f t="shared" si="107"/>
        <v/>
      </c>
    </row>
    <row r="6807" spans="15:15" x14ac:dyDescent="0.3">
      <c r="O6807" t="str">
        <f t="shared" si="107"/>
        <v/>
      </c>
    </row>
    <row r="6808" spans="15:15" x14ac:dyDescent="0.3">
      <c r="O6808" t="str">
        <f t="shared" si="107"/>
        <v/>
      </c>
    </row>
    <row r="6809" spans="15:15" x14ac:dyDescent="0.3">
      <c r="O6809" t="str">
        <f t="shared" si="107"/>
        <v/>
      </c>
    </row>
    <row r="6810" spans="15:15" x14ac:dyDescent="0.3">
      <c r="O6810" t="str">
        <f t="shared" si="107"/>
        <v/>
      </c>
    </row>
    <row r="6811" spans="15:15" x14ac:dyDescent="0.3">
      <c r="O6811" t="str">
        <f t="shared" si="107"/>
        <v/>
      </c>
    </row>
    <row r="6812" spans="15:15" x14ac:dyDescent="0.3">
      <c r="O6812" t="str">
        <f t="shared" si="107"/>
        <v/>
      </c>
    </row>
    <row r="6813" spans="15:15" x14ac:dyDescent="0.3">
      <c r="O6813" t="str">
        <f t="shared" si="107"/>
        <v/>
      </c>
    </row>
    <row r="6814" spans="15:15" x14ac:dyDescent="0.3">
      <c r="O6814" t="str">
        <f t="shared" si="107"/>
        <v/>
      </c>
    </row>
    <row r="6815" spans="15:15" x14ac:dyDescent="0.3">
      <c r="O6815" t="str">
        <f t="shared" si="107"/>
        <v/>
      </c>
    </row>
    <row r="6816" spans="15:15" x14ac:dyDescent="0.3">
      <c r="O6816" t="str">
        <f t="shared" si="107"/>
        <v/>
      </c>
    </row>
    <row r="6817" spans="15:15" x14ac:dyDescent="0.3">
      <c r="O6817" t="str">
        <f t="shared" si="107"/>
        <v/>
      </c>
    </row>
    <row r="6818" spans="15:15" x14ac:dyDescent="0.3">
      <c r="O6818" t="str">
        <f t="shared" si="107"/>
        <v/>
      </c>
    </row>
    <row r="6819" spans="15:15" x14ac:dyDescent="0.3">
      <c r="O6819" t="str">
        <f t="shared" si="107"/>
        <v/>
      </c>
    </row>
    <row r="6820" spans="15:15" x14ac:dyDescent="0.3">
      <c r="O6820" t="str">
        <f t="shared" si="107"/>
        <v/>
      </c>
    </row>
    <row r="6821" spans="15:15" x14ac:dyDescent="0.3">
      <c r="O6821" t="str">
        <f t="shared" si="107"/>
        <v/>
      </c>
    </row>
    <row r="6822" spans="15:15" x14ac:dyDescent="0.3">
      <c r="O6822" t="str">
        <f t="shared" si="107"/>
        <v/>
      </c>
    </row>
    <row r="6823" spans="15:15" x14ac:dyDescent="0.3">
      <c r="O6823" t="str">
        <f t="shared" si="107"/>
        <v/>
      </c>
    </row>
    <row r="6824" spans="15:15" x14ac:dyDescent="0.3">
      <c r="O6824" t="str">
        <f t="shared" si="107"/>
        <v/>
      </c>
    </row>
    <row r="6825" spans="15:15" x14ac:dyDescent="0.3">
      <c r="O6825" t="str">
        <f t="shared" si="107"/>
        <v/>
      </c>
    </row>
    <row r="6826" spans="15:15" x14ac:dyDescent="0.3">
      <c r="O6826" t="str">
        <f t="shared" si="107"/>
        <v/>
      </c>
    </row>
    <row r="6827" spans="15:15" x14ac:dyDescent="0.3">
      <c r="O6827" t="str">
        <f t="shared" si="107"/>
        <v/>
      </c>
    </row>
    <row r="6828" spans="15:15" x14ac:dyDescent="0.3">
      <c r="O6828" t="str">
        <f t="shared" si="107"/>
        <v/>
      </c>
    </row>
    <row r="6829" spans="15:15" x14ac:dyDescent="0.3">
      <c r="O6829" t="str">
        <f t="shared" si="107"/>
        <v/>
      </c>
    </row>
    <row r="6830" spans="15:15" x14ac:dyDescent="0.3">
      <c r="O6830" t="str">
        <f t="shared" si="107"/>
        <v/>
      </c>
    </row>
    <row r="6831" spans="15:15" x14ac:dyDescent="0.3">
      <c r="O6831" t="str">
        <f t="shared" si="107"/>
        <v/>
      </c>
    </row>
    <row r="6832" spans="15:15" x14ac:dyDescent="0.3">
      <c r="O6832" t="str">
        <f t="shared" si="107"/>
        <v/>
      </c>
    </row>
    <row r="6833" spans="15:15" x14ac:dyDescent="0.3">
      <c r="O6833" t="str">
        <f t="shared" si="107"/>
        <v/>
      </c>
    </row>
    <row r="6834" spans="15:15" x14ac:dyDescent="0.3">
      <c r="O6834" t="str">
        <f t="shared" si="107"/>
        <v/>
      </c>
    </row>
    <row r="6835" spans="15:15" x14ac:dyDescent="0.3">
      <c r="O6835" t="str">
        <f t="shared" si="107"/>
        <v/>
      </c>
    </row>
    <row r="6836" spans="15:15" x14ac:dyDescent="0.3">
      <c r="O6836" t="str">
        <f t="shared" si="107"/>
        <v/>
      </c>
    </row>
    <row r="6837" spans="15:15" x14ac:dyDescent="0.3">
      <c r="O6837" t="str">
        <f t="shared" si="107"/>
        <v/>
      </c>
    </row>
    <row r="6838" spans="15:15" x14ac:dyDescent="0.3">
      <c r="O6838" t="str">
        <f t="shared" si="107"/>
        <v/>
      </c>
    </row>
    <row r="6839" spans="15:15" x14ac:dyDescent="0.3">
      <c r="O6839" t="str">
        <f t="shared" si="107"/>
        <v/>
      </c>
    </row>
    <row r="6840" spans="15:15" x14ac:dyDescent="0.3">
      <c r="O6840" t="str">
        <f t="shared" si="107"/>
        <v/>
      </c>
    </row>
    <row r="6841" spans="15:15" x14ac:dyDescent="0.3">
      <c r="O6841" t="str">
        <f t="shared" si="107"/>
        <v/>
      </c>
    </row>
    <row r="6842" spans="15:15" x14ac:dyDescent="0.3">
      <c r="O6842" t="str">
        <f t="shared" si="107"/>
        <v/>
      </c>
    </row>
    <row r="6843" spans="15:15" x14ac:dyDescent="0.3">
      <c r="O6843" t="str">
        <f t="shared" si="107"/>
        <v/>
      </c>
    </row>
    <row r="6844" spans="15:15" x14ac:dyDescent="0.3">
      <c r="O6844" t="str">
        <f t="shared" si="107"/>
        <v/>
      </c>
    </row>
    <row r="6845" spans="15:15" x14ac:dyDescent="0.3">
      <c r="O6845" t="str">
        <f t="shared" si="107"/>
        <v/>
      </c>
    </row>
    <row r="6846" spans="15:15" x14ac:dyDescent="0.3">
      <c r="O6846" t="str">
        <f t="shared" si="107"/>
        <v/>
      </c>
    </row>
    <row r="6847" spans="15:15" x14ac:dyDescent="0.3">
      <c r="O6847" t="str">
        <f t="shared" si="107"/>
        <v/>
      </c>
    </row>
    <row r="6848" spans="15:15" x14ac:dyDescent="0.3">
      <c r="O6848" t="str">
        <f t="shared" si="107"/>
        <v/>
      </c>
    </row>
    <row r="6849" spans="15:15" x14ac:dyDescent="0.3">
      <c r="O6849" t="str">
        <f t="shared" si="107"/>
        <v/>
      </c>
    </row>
    <row r="6850" spans="15:15" x14ac:dyDescent="0.3">
      <c r="O6850" t="str">
        <f t="shared" si="107"/>
        <v/>
      </c>
    </row>
    <row r="6851" spans="15:15" x14ac:dyDescent="0.3">
      <c r="O6851" t="str">
        <f t="shared" si="107"/>
        <v/>
      </c>
    </row>
    <row r="6852" spans="15:15" x14ac:dyDescent="0.3">
      <c r="O6852" t="str">
        <f t="shared" si="107"/>
        <v/>
      </c>
    </row>
    <row r="6853" spans="15:15" x14ac:dyDescent="0.3">
      <c r="O6853" t="str">
        <f t="shared" si="107"/>
        <v/>
      </c>
    </row>
    <row r="6854" spans="15:15" x14ac:dyDescent="0.3">
      <c r="O6854" t="str">
        <f t="shared" si="107"/>
        <v/>
      </c>
    </row>
    <row r="6855" spans="15:15" x14ac:dyDescent="0.3">
      <c r="O6855" t="str">
        <f t="shared" si="107"/>
        <v/>
      </c>
    </row>
    <row r="6856" spans="15:15" x14ac:dyDescent="0.3">
      <c r="O6856" t="str">
        <f t="shared" si="107"/>
        <v/>
      </c>
    </row>
    <row r="6857" spans="15:15" x14ac:dyDescent="0.3">
      <c r="O6857" t="str">
        <f t="shared" si="107"/>
        <v/>
      </c>
    </row>
    <row r="6858" spans="15:15" x14ac:dyDescent="0.3">
      <c r="O6858" t="str">
        <f t="shared" ref="O6858:O6921" si="108">IF(P6858="","",O6857+1)</f>
        <v/>
      </c>
    </row>
    <row r="6859" spans="15:15" x14ac:dyDescent="0.3">
      <c r="O6859" t="str">
        <f t="shared" si="108"/>
        <v/>
      </c>
    </row>
    <row r="6860" spans="15:15" x14ac:dyDescent="0.3">
      <c r="O6860" t="str">
        <f t="shared" si="108"/>
        <v/>
      </c>
    </row>
    <row r="6861" spans="15:15" x14ac:dyDescent="0.3">
      <c r="O6861" t="str">
        <f t="shared" si="108"/>
        <v/>
      </c>
    </row>
    <row r="6862" spans="15:15" x14ac:dyDescent="0.3">
      <c r="O6862" t="str">
        <f t="shared" si="108"/>
        <v/>
      </c>
    </row>
    <row r="6863" spans="15:15" x14ac:dyDescent="0.3">
      <c r="O6863" t="str">
        <f t="shared" si="108"/>
        <v/>
      </c>
    </row>
    <row r="6864" spans="15:15" x14ac:dyDescent="0.3">
      <c r="O6864" t="str">
        <f t="shared" si="108"/>
        <v/>
      </c>
    </row>
    <row r="6865" spans="15:15" x14ac:dyDescent="0.3">
      <c r="O6865" t="str">
        <f t="shared" si="108"/>
        <v/>
      </c>
    </row>
    <row r="6866" spans="15:15" x14ac:dyDescent="0.3">
      <c r="O6866" t="str">
        <f t="shared" si="108"/>
        <v/>
      </c>
    </row>
    <row r="6867" spans="15:15" x14ac:dyDescent="0.3">
      <c r="O6867" t="str">
        <f t="shared" si="108"/>
        <v/>
      </c>
    </row>
    <row r="6868" spans="15:15" x14ac:dyDescent="0.3">
      <c r="O6868" t="str">
        <f t="shared" si="108"/>
        <v/>
      </c>
    </row>
    <row r="6869" spans="15:15" x14ac:dyDescent="0.3">
      <c r="O6869" t="str">
        <f t="shared" si="108"/>
        <v/>
      </c>
    </row>
    <row r="6870" spans="15:15" x14ac:dyDescent="0.3">
      <c r="O6870" t="str">
        <f t="shared" si="108"/>
        <v/>
      </c>
    </row>
    <row r="6871" spans="15:15" x14ac:dyDescent="0.3">
      <c r="O6871" t="str">
        <f t="shared" si="108"/>
        <v/>
      </c>
    </row>
    <row r="6872" spans="15:15" x14ac:dyDescent="0.3">
      <c r="O6872" t="str">
        <f t="shared" si="108"/>
        <v/>
      </c>
    </row>
    <row r="6873" spans="15:15" x14ac:dyDescent="0.3">
      <c r="O6873" t="str">
        <f t="shared" si="108"/>
        <v/>
      </c>
    </row>
    <row r="6874" spans="15:15" x14ac:dyDescent="0.3">
      <c r="O6874" t="str">
        <f t="shared" si="108"/>
        <v/>
      </c>
    </row>
    <row r="6875" spans="15:15" x14ac:dyDescent="0.3">
      <c r="O6875" t="str">
        <f t="shared" si="108"/>
        <v/>
      </c>
    </row>
    <row r="6876" spans="15:15" x14ac:dyDescent="0.3">
      <c r="O6876" t="str">
        <f t="shared" si="108"/>
        <v/>
      </c>
    </row>
    <row r="6877" spans="15:15" x14ac:dyDescent="0.3">
      <c r="O6877" t="str">
        <f t="shared" si="108"/>
        <v/>
      </c>
    </row>
    <row r="6878" spans="15:15" x14ac:dyDescent="0.3">
      <c r="O6878" t="str">
        <f t="shared" si="108"/>
        <v/>
      </c>
    </row>
    <row r="6879" spans="15:15" x14ac:dyDescent="0.3">
      <c r="O6879" t="str">
        <f t="shared" si="108"/>
        <v/>
      </c>
    </row>
    <row r="6880" spans="15:15" x14ac:dyDescent="0.3">
      <c r="O6880" t="str">
        <f t="shared" si="108"/>
        <v/>
      </c>
    </row>
    <row r="6881" spans="15:15" x14ac:dyDescent="0.3">
      <c r="O6881" t="str">
        <f t="shared" si="108"/>
        <v/>
      </c>
    </row>
    <row r="6882" spans="15:15" x14ac:dyDescent="0.3">
      <c r="O6882" t="str">
        <f t="shared" si="108"/>
        <v/>
      </c>
    </row>
    <row r="6883" spans="15:15" x14ac:dyDescent="0.3">
      <c r="O6883" t="str">
        <f t="shared" si="108"/>
        <v/>
      </c>
    </row>
    <row r="6884" spans="15:15" x14ac:dyDescent="0.3">
      <c r="O6884" t="str">
        <f t="shared" si="108"/>
        <v/>
      </c>
    </row>
    <row r="6885" spans="15:15" x14ac:dyDescent="0.3">
      <c r="O6885" t="str">
        <f t="shared" si="108"/>
        <v/>
      </c>
    </row>
    <row r="6886" spans="15:15" x14ac:dyDescent="0.3">
      <c r="O6886" t="str">
        <f t="shared" si="108"/>
        <v/>
      </c>
    </row>
    <row r="6887" spans="15:15" x14ac:dyDescent="0.3">
      <c r="O6887" t="str">
        <f t="shared" si="108"/>
        <v/>
      </c>
    </row>
    <row r="6888" spans="15:15" x14ac:dyDescent="0.3">
      <c r="O6888" t="str">
        <f t="shared" si="108"/>
        <v/>
      </c>
    </row>
    <row r="6889" spans="15:15" x14ac:dyDescent="0.3">
      <c r="O6889" t="str">
        <f t="shared" si="108"/>
        <v/>
      </c>
    </row>
    <row r="6890" spans="15:15" x14ac:dyDescent="0.3">
      <c r="O6890" t="str">
        <f t="shared" si="108"/>
        <v/>
      </c>
    </row>
    <row r="6891" spans="15:15" x14ac:dyDescent="0.3">
      <c r="O6891" t="str">
        <f t="shared" si="108"/>
        <v/>
      </c>
    </row>
    <row r="6892" spans="15:15" x14ac:dyDescent="0.3">
      <c r="O6892" t="str">
        <f t="shared" si="108"/>
        <v/>
      </c>
    </row>
    <row r="6893" spans="15:15" x14ac:dyDescent="0.3">
      <c r="O6893" t="str">
        <f t="shared" si="108"/>
        <v/>
      </c>
    </row>
    <row r="6894" spans="15:15" x14ac:dyDescent="0.3">
      <c r="O6894" t="str">
        <f t="shared" si="108"/>
        <v/>
      </c>
    </row>
    <row r="6895" spans="15:15" x14ac:dyDescent="0.3">
      <c r="O6895" t="str">
        <f t="shared" si="108"/>
        <v/>
      </c>
    </row>
    <row r="6896" spans="15:15" x14ac:dyDescent="0.3">
      <c r="O6896" t="str">
        <f t="shared" si="108"/>
        <v/>
      </c>
    </row>
    <row r="6897" spans="15:15" x14ac:dyDescent="0.3">
      <c r="O6897" t="str">
        <f t="shared" si="108"/>
        <v/>
      </c>
    </row>
    <row r="6898" spans="15:15" x14ac:dyDescent="0.3">
      <c r="O6898" t="str">
        <f t="shared" si="108"/>
        <v/>
      </c>
    </row>
    <row r="6899" spans="15:15" x14ac:dyDescent="0.3">
      <c r="O6899" t="str">
        <f t="shared" si="108"/>
        <v/>
      </c>
    </row>
    <row r="6900" spans="15:15" x14ac:dyDescent="0.3">
      <c r="O6900" t="str">
        <f t="shared" si="108"/>
        <v/>
      </c>
    </row>
    <row r="6901" spans="15:15" x14ac:dyDescent="0.3">
      <c r="O6901" t="str">
        <f t="shared" si="108"/>
        <v/>
      </c>
    </row>
    <row r="6902" spans="15:15" x14ac:dyDescent="0.3">
      <c r="O6902" t="str">
        <f t="shared" si="108"/>
        <v/>
      </c>
    </row>
    <row r="6903" spans="15:15" x14ac:dyDescent="0.3">
      <c r="O6903" t="str">
        <f t="shared" si="108"/>
        <v/>
      </c>
    </row>
    <row r="6904" spans="15:15" x14ac:dyDescent="0.3">
      <c r="O6904" t="str">
        <f t="shared" si="108"/>
        <v/>
      </c>
    </row>
    <row r="6905" spans="15:15" x14ac:dyDescent="0.3">
      <c r="O6905" t="str">
        <f t="shared" si="108"/>
        <v/>
      </c>
    </row>
    <row r="6906" spans="15:15" x14ac:dyDescent="0.3">
      <c r="O6906" t="str">
        <f t="shared" si="108"/>
        <v/>
      </c>
    </row>
    <row r="6907" spans="15:15" x14ac:dyDescent="0.3">
      <c r="O6907" t="str">
        <f t="shared" si="108"/>
        <v/>
      </c>
    </row>
    <row r="6908" spans="15:15" x14ac:dyDescent="0.3">
      <c r="O6908" t="str">
        <f t="shared" si="108"/>
        <v/>
      </c>
    </row>
    <row r="6909" spans="15:15" x14ac:dyDescent="0.3">
      <c r="O6909" t="str">
        <f t="shared" si="108"/>
        <v/>
      </c>
    </row>
    <row r="6910" spans="15:15" x14ac:dyDescent="0.3">
      <c r="O6910" t="str">
        <f t="shared" si="108"/>
        <v/>
      </c>
    </row>
    <row r="6911" spans="15:15" x14ac:dyDescent="0.3">
      <c r="O6911" t="str">
        <f t="shared" si="108"/>
        <v/>
      </c>
    </row>
    <row r="6912" spans="15:15" x14ac:dyDescent="0.3">
      <c r="O6912" t="str">
        <f t="shared" si="108"/>
        <v/>
      </c>
    </row>
    <row r="6913" spans="15:15" x14ac:dyDescent="0.3">
      <c r="O6913" t="str">
        <f t="shared" si="108"/>
        <v/>
      </c>
    </row>
    <row r="6914" spans="15:15" x14ac:dyDescent="0.3">
      <c r="O6914" t="str">
        <f t="shared" si="108"/>
        <v/>
      </c>
    </row>
    <row r="6915" spans="15:15" x14ac:dyDescent="0.3">
      <c r="O6915" t="str">
        <f t="shared" si="108"/>
        <v/>
      </c>
    </row>
    <row r="6916" spans="15:15" x14ac:dyDescent="0.3">
      <c r="O6916" t="str">
        <f t="shared" si="108"/>
        <v/>
      </c>
    </row>
    <row r="6917" spans="15:15" x14ac:dyDescent="0.3">
      <c r="O6917" t="str">
        <f t="shared" si="108"/>
        <v/>
      </c>
    </row>
    <row r="6918" spans="15:15" x14ac:dyDescent="0.3">
      <c r="O6918" t="str">
        <f t="shared" si="108"/>
        <v/>
      </c>
    </row>
    <row r="6919" spans="15:15" x14ac:dyDescent="0.3">
      <c r="O6919" t="str">
        <f t="shared" si="108"/>
        <v/>
      </c>
    </row>
    <row r="6920" spans="15:15" x14ac:dyDescent="0.3">
      <c r="O6920" t="str">
        <f t="shared" si="108"/>
        <v/>
      </c>
    </row>
    <row r="6921" spans="15:15" x14ac:dyDescent="0.3">
      <c r="O6921" t="str">
        <f t="shared" si="108"/>
        <v/>
      </c>
    </row>
    <row r="6922" spans="15:15" x14ac:dyDescent="0.3">
      <c r="O6922" t="str">
        <f t="shared" ref="O6922:O6985" si="109">IF(P6922="","",O6921+1)</f>
        <v/>
      </c>
    </row>
    <row r="6923" spans="15:15" x14ac:dyDescent="0.3">
      <c r="O6923" t="str">
        <f t="shared" si="109"/>
        <v/>
      </c>
    </row>
    <row r="6924" spans="15:15" x14ac:dyDescent="0.3">
      <c r="O6924" t="str">
        <f t="shared" si="109"/>
        <v/>
      </c>
    </row>
    <row r="6925" spans="15:15" x14ac:dyDescent="0.3">
      <c r="O6925" t="str">
        <f t="shared" si="109"/>
        <v/>
      </c>
    </row>
    <row r="6926" spans="15:15" x14ac:dyDescent="0.3">
      <c r="O6926" t="str">
        <f t="shared" si="109"/>
        <v/>
      </c>
    </row>
    <row r="6927" spans="15:15" x14ac:dyDescent="0.3">
      <c r="O6927" t="str">
        <f t="shared" si="109"/>
        <v/>
      </c>
    </row>
    <row r="6928" spans="15:15" x14ac:dyDescent="0.3">
      <c r="O6928" t="str">
        <f t="shared" si="109"/>
        <v/>
      </c>
    </row>
    <row r="6929" spans="15:15" x14ac:dyDescent="0.3">
      <c r="O6929" t="str">
        <f t="shared" si="109"/>
        <v/>
      </c>
    </row>
    <row r="6930" spans="15:15" x14ac:dyDescent="0.3">
      <c r="O6930" t="str">
        <f t="shared" si="109"/>
        <v/>
      </c>
    </row>
    <row r="6931" spans="15:15" x14ac:dyDescent="0.3">
      <c r="O6931" t="str">
        <f t="shared" si="109"/>
        <v/>
      </c>
    </row>
    <row r="6932" spans="15:15" x14ac:dyDescent="0.3">
      <c r="O6932" t="str">
        <f t="shared" si="109"/>
        <v/>
      </c>
    </row>
    <row r="6933" spans="15:15" x14ac:dyDescent="0.3">
      <c r="O6933" t="str">
        <f t="shared" si="109"/>
        <v/>
      </c>
    </row>
    <row r="6934" spans="15:15" x14ac:dyDescent="0.3">
      <c r="O6934" t="str">
        <f t="shared" si="109"/>
        <v/>
      </c>
    </row>
    <row r="6935" spans="15:15" x14ac:dyDescent="0.3">
      <c r="O6935" t="str">
        <f t="shared" si="109"/>
        <v/>
      </c>
    </row>
    <row r="6936" spans="15:15" x14ac:dyDescent="0.3">
      <c r="O6936" t="str">
        <f t="shared" si="109"/>
        <v/>
      </c>
    </row>
    <row r="6937" spans="15:15" x14ac:dyDescent="0.3">
      <c r="O6937" t="str">
        <f t="shared" si="109"/>
        <v/>
      </c>
    </row>
    <row r="6938" spans="15:15" x14ac:dyDescent="0.3">
      <c r="O6938" t="str">
        <f t="shared" si="109"/>
        <v/>
      </c>
    </row>
    <row r="6939" spans="15:15" x14ac:dyDescent="0.3">
      <c r="O6939" t="str">
        <f t="shared" si="109"/>
        <v/>
      </c>
    </row>
    <row r="6940" spans="15:15" x14ac:dyDescent="0.3">
      <c r="O6940" t="str">
        <f t="shared" si="109"/>
        <v/>
      </c>
    </row>
    <row r="6941" spans="15:15" x14ac:dyDescent="0.3">
      <c r="O6941" t="str">
        <f t="shared" si="109"/>
        <v/>
      </c>
    </row>
    <row r="6942" spans="15:15" x14ac:dyDescent="0.3">
      <c r="O6942" t="str">
        <f t="shared" si="109"/>
        <v/>
      </c>
    </row>
    <row r="6943" spans="15:15" x14ac:dyDescent="0.3">
      <c r="O6943" t="str">
        <f t="shared" si="109"/>
        <v/>
      </c>
    </row>
    <row r="6944" spans="15:15" x14ac:dyDescent="0.3">
      <c r="O6944" t="str">
        <f t="shared" si="109"/>
        <v/>
      </c>
    </row>
    <row r="6945" spans="15:15" x14ac:dyDescent="0.3">
      <c r="O6945" t="str">
        <f t="shared" si="109"/>
        <v/>
      </c>
    </row>
    <row r="6946" spans="15:15" x14ac:dyDescent="0.3">
      <c r="O6946" t="str">
        <f t="shared" si="109"/>
        <v/>
      </c>
    </row>
    <row r="6947" spans="15:15" x14ac:dyDescent="0.3">
      <c r="O6947" t="str">
        <f t="shared" si="109"/>
        <v/>
      </c>
    </row>
    <row r="6948" spans="15:15" x14ac:dyDescent="0.3">
      <c r="O6948" t="str">
        <f t="shared" si="109"/>
        <v/>
      </c>
    </row>
    <row r="6949" spans="15:15" x14ac:dyDescent="0.3">
      <c r="O6949" t="str">
        <f t="shared" si="109"/>
        <v/>
      </c>
    </row>
    <row r="6950" spans="15:15" x14ac:dyDescent="0.3">
      <c r="O6950" t="str">
        <f t="shared" si="109"/>
        <v/>
      </c>
    </row>
    <row r="6951" spans="15:15" x14ac:dyDescent="0.3">
      <c r="O6951" t="str">
        <f t="shared" si="109"/>
        <v/>
      </c>
    </row>
    <row r="6952" spans="15:15" x14ac:dyDescent="0.3">
      <c r="O6952" t="str">
        <f t="shared" si="109"/>
        <v/>
      </c>
    </row>
    <row r="6953" spans="15:15" x14ac:dyDescent="0.3">
      <c r="O6953" t="str">
        <f t="shared" si="109"/>
        <v/>
      </c>
    </row>
    <row r="6954" spans="15:15" x14ac:dyDescent="0.3">
      <c r="O6954" t="str">
        <f t="shared" si="109"/>
        <v/>
      </c>
    </row>
    <row r="6955" spans="15:15" x14ac:dyDescent="0.3">
      <c r="O6955" t="str">
        <f t="shared" si="109"/>
        <v/>
      </c>
    </row>
    <row r="6956" spans="15:15" x14ac:dyDescent="0.3">
      <c r="O6956" t="str">
        <f t="shared" si="109"/>
        <v/>
      </c>
    </row>
    <row r="6957" spans="15:15" x14ac:dyDescent="0.3">
      <c r="O6957" t="str">
        <f t="shared" si="109"/>
        <v/>
      </c>
    </row>
    <row r="6958" spans="15:15" x14ac:dyDescent="0.3">
      <c r="O6958" t="str">
        <f t="shared" si="109"/>
        <v/>
      </c>
    </row>
    <row r="6959" spans="15:15" x14ac:dyDescent="0.3">
      <c r="O6959" t="str">
        <f t="shared" si="109"/>
        <v/>
      </c>
    </row>
    <row r="6960" spans="15:15" x14ac:dyDescent="0.3">
      <c r="O6960" t="str">
        <f t="shared" si="109"/>
        <v/>
      </c>
    </row>
    <row r="6961" spans="15:15" x14ac:dyDescent="0.3">
      <c r="O6961" t="str">
        <f t="shared" si="109"/>
        <v/>
      </c>
    </row>
    <row r="6962" spans="15:15" x14ac:dyDescent="0.3">
      <c r="O6962" t="str">
        <f t="shared" si="109"/>
        <v/>
      </c>
    </row>
    <row r="6963" spans="15:15" x14ac:dyDescent="0.3">
      <c r="O6963" t="str">
        <f t="shared" si="109"/>
        <v/>
      </c>
    </row>
    <row r="6964" spans="15:15" x14ac:dyDescent="0.3">
      <c r="O6964" t="str">
        <f t="shared" si="109"/>
        <v/>
      </c>
    </row>
    <row r="6965" spans="15:15" x14ac:dyDescent="0.3">
      <c r="O6965" t="str">
        <f t="shared" si="109"/>
        <v/>
      </c>
    </row>
    <row r="6966" spans="15:15" x14ac:dyDescent="0.3">
      <c r="O6966" t="str">
        <f t="shared" si="109"/>
        <v/>
      </c>
    </row>
    <row r="6967" spans="15:15" x14ac:dyDescent="0.3">
      <c r="O6967" t="str">
        <f t="shared" si="109"/>
        <v/>
      </c>
    </row>
    <row r="6968" spans="15:15" x14ac:dyDescent="0.3">
      <c r="O6968" t="str">
        <f t="shared" si="109"/>
        <v/>
      </c>
    </row>
    <row r="6969" spans="15:15" x14ac:dyDescent="0.3">
      <c r="O6969" t="str">
        <f t="shared" si="109"/>
        <v/>
      </c>
    </row>
    <row r="6970" spans="15:15" x14ac:dyDescent="0.3">
      <c r="O6970" t="str">
        <f t="shared" si="109"/>
        <v/>
      </c>
    </row>
    <row r="6971" spans="15:15" x14ac:dyDescent="0.3">
      <c r="O6971" t="str">
        <f t="shared" si="109"/>
        <v/>
      </c>
    </row>
    <row r="6972" spans="15:15" x14ac:dyDescent="0.3">
      <c r="O6972" t="str">
        <f t="shared" si="109"/>
        <v/>
      </c>
    </row>
    <row r="6973" spans="15:15" x14ac:dyDescent="0.3">
      <c r="O6973" t="str">
        <f t="shared" si="109"/>
        <v/>
      </c>
    </row>
    <row r="6974" spans="15:15" x14ac:dyDescent="0.3">
      <c r="O6974" t="str">
        <f t="shared" si="109"/>
        <v/>
      </c>
    </row>
    <row r="6975" spans="15:15" x14ac:dyDescent="0.3">
      <c r="O6975" t="str">
        <f t="shared" si="109"/>
        <v/>
      </c>
    </row>
    <row r="6976" spans="15:15" x14ac:dyDescent="0.3">
      <c r="O6976" t="str">
        <f t="shared" si="109"/>
        <v/>
      </c>
    </row>
    <row r="6977" spans="15:15" x14ac:dyDescent="0.3">
      <c r="O6977" t="str">
        <f t="shared" si="109"/>
        <v/>
      </c>
    </row>
    <row r="6978" spans="15:15" x14ac:dyDescent="0.3">
      <c r="O6978" t="str">
        <f t="shared" si="109"/>
        <v/>
      </c>
    </row>
    <row r="6979" spans="15:15" x14ac:dyDescent="0.3">
      <c r="O6979" t="str">
        <f t="shared" si="109"/>
        <v/>
      </c>
    </row>
    <row r="6980" spans="15:15" x14ac:dyDescent="0.3">
      <c r="O6980" t="str">
        <f t="shared" si="109"/>
        <v/>
      </c>
    </row>
    <row r="6981" spans="15:15" x14ac:dyDescent="0.3">
      <c r="O6981" t="str">
        <f t="shared" si="109"/>
        <v/>
      </c>
    </row>
    <row r="6982" spans="15:15" x14ac:dyDescent="0.3">
      <c r="O6982" t="str">
        <f t="shared" si="109"/>
        <v/>
      </c>
    </row>
    <row r="6983" spans="15:15" x14ac:dyDescent="0.3">
      <c r="O6983" t="str">
        <f t="shared" si="109"/>
        <v/>
      </c>
    </row>
    <row r="6984" spans="15:15" x14ac:dyDescent="0.3">
      <c r="O6984" t="str">
        <f t="shared" si="109"/>
        <v/>
      </c>
    </row>
    <row r="6985" spans="15:15" x14ac:dyDescent="0.3">
      <c r="O6985" t="str">
        <f t="shared" si="109"/>
        <v/>
      </c>
    </row>
    <row r="6986" spans="15:15" x14ac:dyDescent="0.3">
      <c r="O6986" t="str">
        <f t="shared" ref="O6986:O7049" si="110">IF(P6986="","",O6985+1)</f>
        <v/>
      </c>
    </row>
    <row r="6987" spans="15:15" x14ac:dyDescent="0.3">
      <c r="O6987" t="str">
        <f t="shared" si="110"/>
        <v/>
      </c>
    </row>
    <row r="6988" spans="15:15" x14ac:dyDescent="0.3">
      <c r="O6988" t="str">
        <f t="shared" si="110"/>
        <v/>
      </c>
    </row>
    <row r="6989" spans="15:15" x14ac:dyDescent="0.3">
      <c r="O6989" t="str">
        <f t="shared" si="110"/>
        <v/>
      </c>
    </row>
    <row r="6990" spans="15:15" x14ac:dyDescent="0.3">
      <c r="O6990" t="str">
        <f t="shared" si="110"/>
        <v/>
      </c>
    </row>
    <row r="6991" spans="15:15" x14ac:dyDescent="0.3">
      <c r="O6991" t="str">
        <f t="shared" si="110"/>
        <v/>
      </c>
    </row>
    <row r="6992" spans="15:15" x14ac:dyDescent="0.3">
      <c r="O6992" t="str">
        <f t="shared" si="110"/>
        <v/>
      </c>
    </row>
    <row r="6993" spans="15:15" x14ac:dyDescent="0.3">
      <c r="O6993" t="str">
        <f t="shared" si="110"/>
        <v/>
      </c>
    </row>
    <row r="6994" spans="15:15" x14ac:dyDescent="0.3">
      <c r="O6994" t="str">
        <f t="shared" si="110"/>
        <v/>
      </c>
    </row>
    <row r="6995" spans="15:15" x14ac:dyDescent="0.3">
      <c r="O6995" t="str">
        <f t="shared" si="110"/>
        <v/>
      </c>
    </row>
    <row r="6996" spans="15:15" x14ac:dyDescent="0.3">
      <c r="O6996" t="str">
        <f t="shared" si="110"/>
        <v/>
      </c>
    </row>
    <row r="6997" spans="15:15" x14ac:dyDescent="0.3">
      <c r="O6997" t="str">
        <f t="shared" si="110"/>
        <v/>
      </c>
    </row>
    <row r="6998" spans="15:15" x14ac:dyDescent="0.3">
      <c r="O6998" t="str">
        <f t="shared" si="110"/>
        <v/>
      </c>
    </row>
    <row r="6999" spans="15:15" x14ac:dyDescent="0.3">
      <c r="O6999" t="str">
        <f t="shared" si="110"/>
        <v/>
      </c>
    </row>
    <row r="7000" spans="15:15" x14ac:dyDescent="0.3">
      <c r="O7000" t="str">
        <f t="shared" si="110"/>
        <v/>
      </c>
    </row>
    <row r="7001" spans="15:15" x14ac:dyDescent="0.3">
      <c r="O7001" t="str">
        <f t="shared" si="110"/>
        <v/>
      </c>
    </row>
    <row r="7002" spans="15:15" x14ac:dyDescent="0.3">
      <c r="O7002" t="str">
        <f t="shared" si="110"/>
        <v/>
      </c>
    </row>
    <row r="7003" spans="15:15" x14ac:dyDescent="0.3">
      <c r="O7003" t="str">
        <f t="shared" si="110"/>
        <v/>
      </c>
    </row>
    <row r="7004" spans="15:15" x14ac:dyDescent="0.3">
      <c r="O7004" t="str">
        <f t="shared" si="110"/>
        <v/>
      </c>
    </row>
    <row r="7005" spans="15:15" x14ac:dyDescent="0.3">
      <c r="O7005" t="str">
        <f t="shared" si="110"/>
        <v/>
      </c>
    </row>
    <row r="7006" spans="15:15" x14ac:dyDescent="0.3">
      <c r="O7006" t="str">
        <f t="shared" si="110"/>
        <v/>
      </c>
    </row>
    <row r="7007" spans="15:15" x14ac:dyDescent="0.3">
      <c r="O7007" t="str">
        <f t="shared" si="110"/>
        <v/>
      </c>
    </row>
    <row r="7008" spans="15:15" x14ac:dyDescent="0.3">
      <c r="O7008" t="str">
        <f t="shared" si="110"/>
        <v/>
      </c>
    </row>
    <row r="7009" spans="15:15" x14ac:dyDescent="0.3">
      <c r="O7009" t="str">
        <f t="shared" si="110"/>
        <v/>
      </c>
    </row>
    <row r="7010" spans="15:15" x14ac:dyDescent="0.3">
      <c r="O7010" t="str">
        <f t="shared" si="110"/>
        <v/>
      </c>
    </row>
    <row r="7011" spans="15:15" x14ac:dyDescent="0.3">
      <c r="O7011" t="str">
        <f t="shared" si="110"/>
        <v/>
      </c>
    </row>
    <row r="7012" spans="15:15" x14ac:dyDescent="0.3">
      <c r="O7012" t="str">
        <f t="shared" si="110"/>
        <v/>
      </c>
    </row>
    <row r="7013" spans="15:15" x14ac:dyDescent="0.3">
      <c r="O7013" t="str">
        <f t="shared" si="110"/>
        <v/>
      </c>
    </row>
    <row r="7014" spans="15:15" x14ac:dyDescent="0.3">
      <c r="O7014" t="str">
        <f t="shared" si="110"/>
        <v/>
      </c>
    </row>
    <row r="7015" spans="15:15" x14ac:dyDescent="0.3">
      <c r="O7015" t="str">
        <f t="shared" si="110"/>
        <v/>
      </c>
    </row>
    <row r="7016" spans="15:15" x14ac:dyDescent="0.3">
      <c r="O7016" t="str">
        <f t="shared" si="110"/>
        <v/>
      </c>
    </row>
    <row r="7017" spans="15:15" x14ac:dyDescent="0.3">
      <c r="O7017" t="str">
        <f t="shared" si="110"/>
        <v/>
      </c>
    </row>
    <row r="7018" spans="15:15" x14ac:dyDescent="0.3">
      <c r="O7018" t="str">
        <f t="shared" si="110"/>
        <v/>
      </c>
    </row>
    <row r="7019" spans="15:15" x14ac:dyDescent="0.3">
      <c r="O7019" t="str">
        <f t="shared" si="110"/>
        <v/>
      </c>
    </row>
    <row r="7020" spans="15:15" x14ac:dyDescent="0.3">
      <c r="O7020" t="str">
        <f t="shared" si="110"/>
        <v/>
      </c>
    </row>
    <row r="7021" spans="15:15" x14ac:dyDescent="0.3">
      <c r="O7021" t="str">
        <f t="shared" si="110"/>
        <v/>
      </c>
    </row>
    <row r="7022" spans="15:15" x14ac:dyDescent="0.3">
      <c r="O7022" t="str">
        <f t="shared" si="110"/>
        <v/>
      </c>
    </row>
    <row r="7023" spans="15:15" x14ac:dyDescent="0.3">
      <c r="O7023" t="str">
        <f t="shared" si="110"/>
        <v/>
      </c>
    </row>
    <row r="7024" spans="15:15" x14ac:dyDescent="0.3">
      <c r="O7024" t="str">
        <f t="shared" si="110"/>
        <v/>
      </c>
    </row>
    <row r="7025" spans="15:15" x14ac:dyDescent="0.3">
      <c r="O7025" t="str">
        <f t="shared" si="110"/>
        <v/>
      </c>
    </row>
    <row r="7026" spans="15:15" x14ac:dyDescent="0.3">
      <c r="O7026" t="str">
        <f t="shared" si="110"/>
        <v/>
      </c>
    </row>
    <row r="7027" spans="15:15" x14ac:dyDescent="0.3">
      <c r="O7027" t="str">
        <f t="shared" si="110"/>
        <v/>
      </c>
    </row>
    <row r="7028" spans="15:15" x14ac:dyDescent="0.3">
      <c r="O7028" t="str">
        <f t="shared" si="110"/>
        <v/>
      </c>
    </row>
    <row r="7029" spans="15:15" x14ac:dyDescent="0.3">
      <c r="O7029" t="str">
        <f t="shared" si="110"/>
        <v/>
      </c>
    </row>
    <row r="7030" spans="15:15" x14ac:dyDescent="0.3">
      <c r="O7030" t="str">
        <f t="shared" si="110"/>
        <v/>
      </c>
    </row>
    <row r="7031" spans="15:15" x14ac:dyDescent="0.3">
      <c r="O7031" t="str">
        <f t="shared" si="110"/>
        <v/>
      </c>
    </row>
    <row r="7032" spans="15:15" x14ac:dyDescent="0.3">
      <c r="O7032" t="str">
        <f t="shared" si="110"/>
        <v/>
      </c>
    </row>
    <row r="7033" spans="15:15" x14ac:dyDescent="0.3">
      <c r="O7033" t="str">
        <f t="shared" si="110"/>
        <v/>
      </c>
    </row>
    <row r="7034" spans="15:15" x14ac:dyDescent="0.3">
      <c r="O7034" t="str">
        <f t="shared" si="110"/>
        <v/>
      </c>
    </row>
    <row r="7035" spans="15:15" x14ac:dyDescent="0.3">
      <c r="O7035" t="str">
        <f t="shared" si="110"/>
        <v/>
      </c>
    </row>
    <row r="7036" spans="15:15" x14ac:dyDescent="0.3">
      <c r="O7036" t="str">
        <f t="shared" si="110"/>
        <v/>
      </c>
    </row>
    <row r="7037" spans="15:15" x14ac:dyDescent="0.3">
      <c r="O7037" t="str">
        <f t="shared" si="110"/>
        <v/>
      </c>
    </row>
    <row r="7038" spans="15:15" x14ac:dyDescent="0.3">
      <c r="O7038" t="str">
        <f t="shared" si="110"/>
        <v/>
      </c>
    </row>
    <row r="7039" spans="15:15" x14ac:dyDescent="0.3">
      <c r="O7039" t="str">
        <f t="shared" si="110"/>
        <v/>
      </c>
    </row>
    <row r="7040" spans="15:15" x14ac:dyDescent="0.3">
      <c r="O7040" t="str">
        <f t="shared" si="110"/>
        <v/>
      </c>
    </row>
    <row r="7041" spans="15:15" x14ac:dyDescent="0.3">
      <c r="O7041" t="str">
        <f t="shared" si="110"/>
        <v/>
      </c>
    </row>
    <row r="7042" spans="15:15" x14ac:dyDescent="0.3">
      <c r="O7042" t="str">
        <f t="shared" si="110"/>
        <v/>
      </c>
    </row>
    <row r="7043" spans="15:15" x14ac:dyDescent="0.3">
      <c r="O7043" t="str">
        <f t="shared" si="110"/>
        <v/>
      </c>
    </row>
    <row r="7044" spans="15:15" x14ac:dyDescent="0.3">
      <c r="O7044" t="str">
        <f t="shared" si="110"/>
        <v/>
      </c>
    </row>
    <row r="7045" spans="15:15" x14ac:dyDescent="0.3">
      <c r="O7045" t="str">
        <f t="shared" si="110"/>
        <v/>
      </c>
    </row>
    <row r="7046" spans="15:15" x14ac:dyDescent="0.3">
      <c r="O7046" t="str">
        <f t="shared" si="110"/>
        <v/>
      </c>
    </row>
    <row r="7047" spans="15:15" x14ac:dyDescent="0.3">
      <c r="O7047" t="str">
        <f t="shared" si="110"/>
        <v/>
      </c>
    </row>
    <row r="7048" spans="15:15" x14ac:dyDescent="0.3">
      <c r="O7048" t="str">
        <f t="shared" si="110"/>
        <v/>
      </c>
    </row>
    <row r="7049" spans="15:15" x14ac:dyDescent="0.3">
      <c r="O7049" t="str">
        <f t="shared" si="110"/>
        <v/>
      </c>
    </row>
    <row r="7050" spans="15:15" x14ac:dyDescent="0.3">
      <c r="O7050" t="str">
        <f t="shared" ref="O7050:O7113" si="111">IF(P7050="","",O7049+1)</f>
        <v/>
      </c>
    </row>
    <row r="7051" spans="15:15" x14ac:dyDescent="0.3">
      <c r="O7051" t="str">
        <f t="shared" si="111"/>
        <v/>
      </c>
    </row>
    <row r="7052" spans="15:15" x14ac:dyDescent="0.3">
      <c r="O7052" t="str">
        <f t="shared" si="111"/>
        <v/>
      </c>
    </row>
    <row r="7053" spans="15:15" x14ac:dyDescent="0.3">
      <c r="O7053" t="str">
        <f t="shared" si="111"/>
        <v/>
      </c>
    </row>
    <row r="7054" spans="15:15" x14ac:dyDescent="0.3">
      <c r="O7054" t="str">
        <f t="shared" si="111"/>
        <v/>
      </c>
    </row>
    <row r="7055" spans="15:15" x14ac:dyDescent="0.3">
      <c r="O7055" t="str">
        <f t="shared" si="111"/>
        <v/>
      </c>
    </row>
    <row r="7056" spans="15:15" x14ac:dyDescent="0.3">
      <c r="O7056" t="str">
        <f t="shared" si="111"/>
        <v/>
      </c>
    </row>
    <row r="7057" spans="15:15" x14ac:dyDescent="0.3">
      <c r="O7057" t="str">
        <f t="shared" si="111"/>
        <v/>
      </c>
    </row>
    <row r="7058" spans="15:15" x14ac:dyDescent="0.3">
      <c r="O7058" t="str">
        <f t="shared" si="111"/>
        <v/>
      </c>
    </row>
    <row r="7059" spans="15:15" x14ac:dyDescent="0.3">
      <c r="O7059" t="str">
        <f t="shared" si="111"/>
        <v/>
      </c>
    </row>
    <row r="7060" spans="15:15" x14ac:dyDescent="0.3">
      <c r="O7060" t="str">
        <f t="shared" si="111"/>
        <v/>
      </c>
    </row>
    <row r="7061" spans="15:15" x14ac:dyDescent="0.3">
      <c r="O7061" t="str">
        <f t="shared" si="111"/>
        <v/>
      </c>
    </row>
    <row r="7062" spans="15:15" x14ac:dyDescent="0.3">
      <c r="O7062" t="str">
        <f t="shared" si="111"/>
        <v/>
      </c>
    </row>
    <row r="7063" spans="15:15" x14ac:dyDescent="0.3">
      <c r="O7063" t="str">
        <f t="shared" si="111"/>
        <v/>
      </c>
    </row>
    <row r="7064" spans="15:15" x14ac:dyDescent="0.3">
      <c r="O7064" t="str">
        <f t="shared" si="111"/>
        <v/>
      </c>
    </row>
    <row r="7065" spans="15:15" x14ac:dyDescent="0.3">
      <c r="O7065" t="str">
        <f t="shared" si="111"/>
        <v/>
      </c>
    </row>
    <row r="7066" spans="15:15" x14ac:dyDescent="0.3">
      <c r="O7066" t="str">
        <f t="shared" si="111"/>
        <v/>
      </c>
    </row>
    <row r="7067" spans="15:15" x14ac:dyDescent="0.3">
      <c r="O7067" t="str">
        <f t="shared" si="111"/>
        <v/>
      </c>
    </row>
    <row r="7068" spans="15:15" x14ac:dyDescent="0.3">
      <c r="O7068" t="str">
        <f t="shared" si="111"/>
        <v/>
      </c>
    </row>
    <row r="7069" spans="15:15" x14ac:dyDescent="0.3">
      <c r="O7069" t="str">
        <f t="shared" si="111"/>
        <v/>
      </c>
    </row>
    <row r="7070" spans="15:15" x14ac:dyDescent="0.3">
      <c r="O7070" t="str">
        <f t="shared" si="111"/>
        <v/>
      </c>
    </row>
    <row r="7071" spans="15:15" x14ac:dyDescent="0.3">
      <c r="O7071" t="str">
        <f t="shared" si="111"/>
        <v/>
      </c>
    </row>
    <row r="7072" spans="15:15" x14ac:dyDescent="0.3">
      <c r="O7072" t="str">
        <f t="shared" si="111"/>
        <v/>
      </c>
    </row>
    <row r="7073" spans="15:15" x14ac:dyDescent="0.3">
      <c r="O7073" t="str">
        <f t="shared" si="111"/>
        <v/>
      </c>
    </row>
    <row r="7074" spans="15:15" x14ac:dyDescent="0.3">
      <c r="O7074" t="str">
        <f t="shared" si="111"/>
        <v/>
      </c>
    </row>
    <row r="7075" spans="15:15" x14ac:dyDescent="0.3">
      <c r="O7075" t="str">
        <f t="shared" si="111"/>
        <v/>
      </c>
    </row>
    <row r="7076" spans="15:15" x14ac:dyDescent="0.3">
      <c r="O7076" t="str">
        <f t="shared" si="111"/>
        <v/>
      </c>
    </row>
    <row r="7077" spans="15:15" x14ac:dyDescent="0.3">
      <c r="O7077" t="str">
        <f t="shared" si="111"/>
        <v/>
      </c>
    </row>
    <row r="7078" spans="15:15" x14ac:dyDescent="0.3">
      <c r="O7078" t="str">
        <f t="shared" si="111"/>
        <v/>
      </c>
    </row>
    <row r="7079" spans="15:15" x14ac:dyDescent="0.3">
      <c r="O7079" t="str">
        <f t="shared" si="111"/>
        <v/>
      </c>
    </row>
    <row r="7080" spans="15:15" x14ac:dyDescent="0.3">
      <c r="O7080" t="str">
        <f t="shared" si="111"/>
        <v/>
      </c>
    </row>
    <row r="7081" spans="15:15" x14ac:dyDescent="0.3">
      <c r="O7081" t="str">
        <f t="shared" si="111"/>
        <v/>
      </c>
    </row>
    <row r="7082" spans="15:15" x14ac:dyDescent="0.3">
      <c r="O7082" t="str">
        <f t="shared" si="111"/>
        <v/>
      </c>
    </row>
    <row r="7083" spans="15:15" x14ac:dyDescent="0.3">
      <c r="O7083" t="str">
        <f t="shared" si="111"/>
        <v/>
      </c>
    </row>
    <row r="7084" spans="15:15" x14ac:dyDescent="0.3">
      <c r="O7084" t="str">
        <f t="shared" si="111"/>
        <v/>
      </c>
    </row>
    <row r="7085" spans="15:15" x14ac:dyDescent="0.3">
      <c r="O7085" t="str">
        <f t="shared" si="111"/>
        <v/>
      </c>
    </row>
    <row r="7086" spans="15:15" x14ac:dyDescent="0.3">
      <c r="O7086" t="str">
        <f t="shared" si="111"/>
        <v/>
      </c>
    </row>
    <row r="7087" spans="15:15" x14ac:dyDescent="0.3">
      <c r="O7087" t="str">
        <f t="shared" si="111"/>
        <v/>
      </c>
    </row>
    <row r="7088" spans="15:15" x14ac:dyDescent="0.3">
      <c r="O7088" t="str">
        <f t="shared" si="111"/>
        <v/>
      </c>
    </row>
    <row r="7089" spans="15:15" x14ac:dyDescent="0.3">
      <c r="O7089" t="str">
        <f t="shared" si="111"/>
        <v/>
      </c>
    </row>
    <row r="7090" spans="15:15" x14ac:dyDescent="0.3">
      <c r="O7090" t="str">
        <f t="shared" si="111"/>
        <v/>
      </c>
    </row>
    <row r="7091" spans="15:15" x14ac:dyDescent="0.3">
      <c r="O7091" t="str">
        <f t="shared" si="111"/>
        <v/>
      </c>
    </row>
    <row r="7092" spans="15:15" x14ac:dyDescent="0.3">
      <c r="O7092" t="str">
        <f t="shared" si="111"/>
        <v/>
      </c>
    </row>
    <row r="7093" spans="15:15" x14ac:dyDescent="0.3">
      <c r="O7093" t="str">
        <f t="shared" si="111"/>
        <v/>
      </c>
    </row>
    <row r="7094" spans="15:15" x14ac:dyDescent="0.3">
      <c r="O7094" t="str">
        <f t="shared" si="111"/>
        <v/>
      </c>
    </row>
    <row r="7095" spans="15:15" x14ac:dyDescent="0.3">
      <c r="O7095" t="str">
        <f t="shared" si="111"/>
        <v/>
      </c>
    </row>
    <row r="7096" spans="15:15" x14ac:dyDescent="0.3">
      <c r="O7096" t="str">
        <f t="shared" si="111"/>
        <v/>
      </c>
    </row>
    <row r="7097" spans="15:15" x14ac:dyDescent="0.3">
      <c r="O7097" t="str">
        <f t="shared" si="111"/>
        <v/>
      </c>
    </row>
    <row r="7098" spans="15:15" x14ac:dyDescent="0.3">
      <c r="O7098" t="str">
        <f t="shared" si="111"/>
        <v/>
      </c>
    </row>
    <row r="7099" spans="15:15" x14ac:dyDescent="0.3">
      <c r="O7099" t="str">
        <f t="shared" si="111"/>
        <v/>
      </c>
    </row>
    <row r="7100" spans="15:15" x14ac:dyDescent="0.3">
      <c r="O7100" t="str">
        <f t="shared" si="111"/>
        <v/>
      </c>
    </row>
    <row r="7101" spans="15:15" x14ac:dyDescent="0.3">
      <c r="O7101" t="str">
        <f t="shared" si="111"/>
        <v/>
      </c>
    </row>
    <row r="7102" spans="15:15" x14ac:dyDescent="0.3">
      <c r="O7102" t="str">
        <f t="shared" si="111"/>
        <v/>
      </c>
    </row>
    <row r="7103" spans="15:15" x14ac:dyDescent="0.3">
      <c r="O7103" t="str">
        <f t="shared" si="111"/>
        <v/>
      </c>
    </row>
    <row r="7104" spans="15:15" x14ac:dyDescent="0.3">
      <c r="O7104" t="str">
        <f t="shared" si="111"/>
        <v/>
      </c>
    </row>
    <row r="7105" spans="15:15" x14ac:dyDescent="0.3">
      <c r="O7105" t="str">
        <f t="shared" si="111"/>
        <v/>
      </c>
    </row>
    <row r="7106" spans="15:15" x14ac:dyDescent="0.3">
      <c r="O7106" t="str">
        <f t="shared" si="111"/>
        <v/>
      </c>
    </row>
    <row r="7107" spans="15:15" x14ac:dyDescent="0.3">
      <c r="O7107" t="str">
        <f t="shared" si="111"/>
        <v/>
      </c>
    </row>
    <row r="7108" spans="15:15" x14ac:dyDescent="0.3">
      <c r="O7108" t="str">
        <f t="shared" si="111"/>
        <v/>
      </c>
    </row>
    <row r="7109" spans="15:15" x14ac:dyDescent="0.3">
      <c r="O7109" t="str">
        <f t="shared" si="111"/>
        <v/>
      </c>
    </row>
    <row r="7110" spans="15:15" x14ac:dyDescent="0.3">
      <c r="O7110" t="str">
        <f t="shared" si="111"/>
        <v/>
      </c>
    </row>
    <row r="7111" spans="15:15" x14ac:dyDescent="0.3">
      <c r="O7111" t="str">
        <f t="shared" si="111"/>
        <v/>
      </c>
    </row>
    <row r="7112" spans="15:15" x14ac:dyDescent="0.3">
      <c r="O7112" t="str">
        <f t="shared" si="111"/>
        <v/>
      </c>
    </row>
    <row r="7113" spans="15:15" x14ac:dyDescent="0.3">
      <c r="O7113" t="str">
        <f t="shared" si="111"/>
        <v/>
      </c>
    </row>
    <row r="7114" spans="15:15" x14ac:dyDescent="0.3">
      <c r="O7114" t="str">
        <f t="shared" ref="O7114:O7177" si="112">IF(P7114="","",O7113+1)</f>
        <v/>
      </c>
    </row>
    <row r="7115" spans="15:15" x14ac:dyDescent="0.3">
      <c r="O7115" t="str">
        <f t="shared" si="112"/>
        <v/>
      </c>
    </row>
    <row r="7116" spans="15:15" x14ac:dyDescent="0.3">
      <c r="O7116" t="str">
        <f t="shared" si="112"/>
        <v/>
      </c>
    </row>
    <row r="7117" spans="15:15" x14ac:dyDescent="0.3">
      <c r="O7117" t="str">
        <f t="shared" si="112"/>
        <v/>
      </c>
    </row>
    <row r="7118" spans="15:15" x14ac:dyDescent="0.3">
      <c r="O7118" t="str">
        <f t="shared" si="112"/>
        <v/>
      </c>
    </row>
    <row r="7119" spans="15:15" x14ac:dyDescent="0.3">
      <c r="O7119" t="str">
        <f t="shared" si="112"/>
        <v/>
      </c>
    </row>
    <row r="7120" spans="15:15" x14ac:dyDescent="0.3">
      <c r="O7120" t="str">
        <f t="shared" si="112"/>
        <v/>
      </c>
    </row>
    <row r="7121" spans="15:15" x14ac:dyDescent="0.3">
      <c r="O7121" t="str">
        <f t="shared" si="112"/>
        <v/>
      </c>
    </row>
    <row r="7122" spans="15:15" x14ac:dyDescent="0.3">
      <c r="O7122" t="str">
        <f t="shared" si="112"/>
        <v/>
      </c>
    </row>
    <row r="7123" spans="15:15" x14ac:dyDescent="0.3">
      <c r="O7123" t="str">
        <f t="shared" si="112"/>
        <v/>
      </c>
    </row>
    <row r="7124" spans="15:15" x14ac:dyDescent="0.3">
      <c r="O7124" t="str">
        <f t="shared" si="112"/>
        <v/>
      </c>
    </row>
    <row r="7125" spans="15:15" x14ac:dyDescent="0.3">
      <c r="O7125" t="str">
        <f t="shared" si="112"/>
        <v/>
      </c>
    </row>
    <row r="7126" spans="15:15" x14ac:dyDescent="0.3">
      <c r="O7126" t="str">
        <f t="shared" si="112"/>
        <v/>
      </c>
    </row>
    <row r="7127" spans="15:15" x14ac:dyDescent="0.3">
      <c r="O7127" t="str">
        <f t="shared" si="112"/>
        <v/>
      </c>
    </row>
    <row r="7128" spans="15:15" x14ac:dyDescent="0.3">
      <c r="O7128" t="str">
        <f t="shared" si="112"/>
        <v/>
      </c>
    </row>
    <row r="7129" spans="15:15" x14ac:dyDescent="0.3">
      <c r="O7129" t="str">
        <f t="shared" si="112"/>
        <v/>
      </c>
    </row>
    <row r="7130" spans="15:15" x14ac:dyDescent="0.3">
      <c r="O7130" t="str">
        <f t="shared" si="112"/>
        <v/>
      </c>
    </row>
    <row r="7131" spans="15:15" x14ac:dyDescent="0.3">
      <c r="O7131" t="str">
        <f t="shared" si="112"/>
        <v/>
      </c>
    </row>
    <row r="7132" spans="15:15" x14ac:dyDescent="0.3">
      <c r="O7132" t="str">
        <f t="shared" si="112"/>
        <v/>
      </c>
    </row>
    <row r="7133" spans="15:15" x14ac:dyDescent="0.3">
      <c r="O7133" t="str">
        <f t="shared" si="112"/>
        <v/>
      </c>
    </row>
    <row r="7134" spans="15:15" x14ac:dyDescent="0.3">
      <c r="O7134" t="str">
        <f t="shared" si="112"/>
        <v/>
      </c>
    </row>
    <row r="7135" spans="15:15" x14ac:dyDescent="0.3">
      <c r="O7135" t="str">
        <f t="shared" si="112"/>
        <v/>
      </c>
    </row>
    <row r="7136" spans="15:15" x14ac:dyDescent="0.3">
      <c r="O7136" t="str">
        <f t="shared" si="112"/>
        <v/>
      </c>
    </row>
    <row r="7137" spans="15:15" x14ac:dyDescent="0.3">
      <c r="O7137" t="str">
        <f t="shared" si="112"/>
        <v/>
      </c>
    </row>
    <row r="7138" spans="15:15" x14ac:dyDescent="0.3">
      <c r="O7138" t="str">
        <f t="shared" si="112"/>
        <v/>
      </c>
    </row>
    <row r="7139" spans="15:15" x14ac:dyDescent="0.3">
      <c r="O7139" t="str">
        <f t="shared" si="112"/>
        <v/>
      </c>
    </row>
    <row r="7140" spans="15:15" x14ac:dyDescent="0.3">
      <c r="O7140" t="str">
        <f t="shared" si="112"/>
        <v/>
      </c>
    </row>
    <row r="7141" spans="15:15" x14ac:dyDescent="0.3">
      <c r="O7141" t="str">
        <f t="shared" si="112"/>
        <v/>
      </c>
    </row>
    <row r="7142" spans="15:15" x14ac:dyDescent="0.3">
      <c r="O7142" t="str">
        <f t="shared" si="112"/>
        <v/>
      </c>
    </row>
    <row r="7143" spans="15:15" x14ac:dyDescent="0.3">
      <c r="O7143" t="str">
        <f t="shared" si="112"/>
        <v/>
      </c>
    </row>
    <row r="7144" spans="15:15" x14ac:dyDescent="0.3">
      <c r="O7144" t="str">
        <f t="shared" si="112"/>
        <v/>
      </c>
    </row>
    <row r="7145" spans="15:15" x14ac:dyDescent="0.3">
      <c r="O7145" t="str">
        <f t="shared" si="112"/>
        <v/>
      </c>
    </row>
    <row r="7146" spans="15:15" x14ac:dyDescent="0.3">
      <c r="O7146" t="str">
        <f t="shared" si="112"/>
        <v/>
      </c>
    </row>
    <row r="7147" spans="15:15" x14ac:dyDescent="0.3">
      <c r="O7147" t="str">
        <f t="shared" si="112"/>
        <v/>
      </c>
    </row>
    <row r="7148" spans="15:15" x14ac:dyDescent="0.3">
      <c r="O7148" t="str">
        <f t="shared" si="112"/>
        <v/>
      </c>
    </row>
    <row r="7149" spans="15:15" x14ac:dyDescent="0.3">
      <c r="O7149" t="str">
        <f t="shared" si="112"/>
        <v/>
      </c>
    </row>
    <row r="7150" spans="15:15" x14ac:dyDescent="0.3">
      <c r="O7150" t="str">
        <f t="shared" si="112"/>
        <v/>
      </c>
    </row>
    <row r="7151" spans="15:15" x14ac:dyDescent="0.3">
      <c r="O7151" t="str">
        <f t="shared" si="112"/>
        <v/>
      </c>
    </row>
    <row r="7152" spans="15:15" x14ac:dyDescent="0.3">
      <c r="O7152" t="str">
        <f t="shared" si="112"/>
        <v/>
      </c>
    </row>
    <row r="7153" spans="15:15" x14ac:dyDescent="0.3">
      <c r="O7153" t="str">
        <f t="shared" si="112"/>
        <v/>
      </c>
    </row>
    <row r="7154" spans="15:15" x14ac:dyDescent="0.3">
      <c r="O7154" t="str">
        <f t="shared" si="112"/>
        <v/>
      </c>
    </row>
    <row r="7155" spans="15:15" x14ac:dyDescent="0.3">
      <c r="O7155" t="str">
        <f t="shared" si="112"/>
        <v/>
      </c>
    </row>
    <row r="7156" spans="15:15" x14ac:dyDescent="0.3">
      <c r="O7156" t="str">
        <f t="shared" si="112"/>
        <v/>
      </c>
    </row>
    <row r="7157" spans="15:15" x14ac:dyDescent="0.3">
      <c r="O7157" t="str">
        <f t="shared" si="112"/>
        <v/>
      </c>
    </row>
    <row r="7158" spans="15:15" x14ac:dyDescent="0.3">
      <c r="O7158" t="str">
        <f t="shared" si="112"/>
        <v/>
      </c>
    </row>
    <row r="7159" spans="15:15" x14ac:dyDescent="0.3">
      <c r="O7159" t="str">
        <f t="shared" si="112"/>
        <v/>
      </c>
    </row>
    <row r="7160" spans="15:15" x14ac:dyDescent="0.3">
      <c r="O7160" t="str">
        <f t="shared" si="112"/>
        <v/>
      </c>
    </row>
    <row r="7161" spans="15:15" x14ac:dyDescent="0.3">
      <c r="O7161" t="str">
        <f t="shared" si="112"/>
        <v/>
      </c>
    </row>
    <row r="7162" spans="15:15" x14ac:dyDescent="0.3">
      <c r="O7162" t="str">
        <f t="shared" si="112"/>
        <v/>
      </c>
    </row>
    <row r="7163" spans="15:15" x14ac:dyDescent="0.3">
      <c r="O7163" t="str">
        <f t="shared" si="112"/>
        <v/>
      </c>
    </row>
    <row r="7164" spans="15:15" x14ac:dyDescent="0.3">
      <c r="O7164" t="str">
        <f t="shared" si="112"/>
        <v/>
      </c>
    </row>
    <row r="7165" spans="15:15" x14ac:dyDescent="0.3">
      <c r="O7165" t="str">
        <f t="shared" si="112"/>
        <v/>
      </c>
    </row>
    <row r="7166" spans="15:15" x14ac:dyDescent="0.3">
      <c r="O7166" t="str">
        <f t="shared" si="112"/>
        <v/>
      </c>
    </row>
    <row r="7167" spans="15:15" x14ac:dyDescent="0.3">
      <c r="O7167" t="str">
        <f t="shared" si="112"/>
        <v/>
      </c>
    </row>
    <row r="7168" spans="15:15" x14ac:dyDescent="0.3">
      <c r="O7168" t="str">
        <f t="shared" si="112"/>
        <v/>
      </c>
    </row>
    <row r="7169" spans="15:15" x14ac:dyDescent="0.3">
      <c r="O7169" t="str">
        <f t="shared" si="112"/>
        <v/>
      </c>
    </row>
    <row r="7170" spans="15:15" x14ac:dyDescent="0.3">
      <c r="O7170" t="str">
        <f t="shared" si="112"/>
        <v/>
      </c>
    </row>
    <row r="7171" spans="15:15" x14ac:dyDescent="0.3">
      <c r="O7171" t="str">
        <f t="shared" si="112"/>
        <v/>
      </c>
    </row>
    <row r="7172" spans="15:15" x14ac:dyDescent="0.3">
      <c r="O7172" t="str">
        <f t="shared" si="112"/>
        <v/>
      </c>
    </row>
    <row r="7173" spans="15:15" x14ac:dyDescent="0.3">
      <c r="O7173" t="str">
        <f t="shared" si="112"/>
        <v/>
      </c>
    </row>
    <row r="7174" spans="15:15" x14ac:dyDescent="0.3">
      <c r="O7174" t="str">
        <f t="shared" si="112"/>
        <v/>
      </c>
    </row>
    <row r="7175" spans="15:15" x14ac:dyDescent="0.3">
      <c r="O7175" t="str">
        <f t="shared" si="112"/>
        <v/>
      </c>
    </row>
    <row r="7176" spans="15:15" x14ac:dyDescent="0.3">
      <c r="O7176" t="str">
        <f t="shared" si="112"/>
        <v/>
      </c>
    </row>
    <row r="7177" spans="15:15" x14ac:dyDescent="0.3">
      <c r="O7177" t="str">
        <f t="shared" si="112"/>
        <v/>
      </c>
    </row>
    <row r="7178" spans="15:15" x14ac:dyDescent="0.3">
      <c r="O7178" t="str">
        <f t="shared" ref="O7178:O7241" si="113">IF(P7178="","",O7177+1)</f>
        <v/>
      </c>
    </row>
    <row r="7179" spans="15:15" x14ac:dyDescent="0.3">
      <c r="O7179" t="str">
        <f t="shared" si="113"/>
        <v/>
      </c>
    </row>
    <row r="7180" spans="15:15" x14ac:dyDescent="0.3">
      <c r="O7180" t="str">
        <f t="shared" si="113"/>
        <v/>
      </c>
    </row>
    <row r="7181" spans="15:15" x14ac:dyDescent="0.3">
      <c r="O7181" t="str">
        <f t="shared" si="113"/>
        <v/>
      </c>
    </row>
    <row r="7182" spans="15:15" x14ac:dyDescent="0.3">
      <c r="O7182" t="str">
        <f t="shared" si="113"/>
        <v/>
      </c>
    </row>
    <row r="7183" spans="15:15" x14ac:dyDescent="0.3">
      <c r="O7183" t="str">
        <f t="shared" si="113"/>
        <v/>
      </c>
    </row>
    <row r="7184" spans="15:15" x14ac:dyDescent="0.3">
      <c r="O7184" t="str">
        <f t="shared" si="113"/>
        <v/>
      </c>
    </row>
    <row r="7185" spans="15:15" x14ac:dyDescent="0.3">
      <c r="O7185" t="str">
        <f t="shared" si="113"/>
        <v/>
      </c>
    </row>
    <row r="7186" spans="15:15" x14ac:dyDescent="0.3">
      <c r="O7186" t="str">
        <f t="shared" si="113"/>
        <v/>
      </c>
    </row>
    <row r="7187" spans="15:15" x14ac:dyDescent="0.3">
      <c r="O7187" t="str">
        <f t="shared" si="113"/>
        <v/>
      </c>
    </row>
    <row r="7188" spans="15:15" x14ac:dyDescent="0.3">
      <c r="O7188" t="str">
        <f t="shared" si="113"/>
        <v/>
      </c>
    </row>
    <row r="7189" spans="15:15" x14ac:dyDescent="0.3">
      <c r="O7189" t="str">
        <f t="shared" si="113"/>
        <v/>
      </c>
    </row>
    <row r="7190" spans="15:15" x14ac:dyDescent="0.3">
      <c r="O7190" t="str">
        <f t="shared" si="113"/>
        <v/>
      </c>
    </row>
    <row r="7191" spans="15:15" x14ac:dyDescent="0.3">
      <c r="O7191" t="str">
        <f t="shared" si="113"/>
        <v/>
      </c>
    </row>
    <row r="7192" spans="15:15" x14ac:dyDescent="0.3">
      <c r="O7192" t="str">
        <f t="shared" si="113"/>
        <v/>
      </c>
    </row>
    <row r="7193" spans="15:15" x14ac:dyDescent="0.3">
      <c r="O7193" t="str">
        <f t="shared" si="113"/>
        <v/>
      </c>
    </row>
    <row r="7194" spans="15:15" x14ac:dyDescent="0.3">
      <c r="O7194" t="str">
        <f t="shared" si="113"/>
        <v/>
      </c>
    </row>
    <row r="7195" spans="15:15" x14ac:dyDescent="0.3">
      <c r="O7195" t="str">
        <f t="shared" si="113"/>
        <v/>
      </c>
    </row>
    <row r="7196" spans="15:15" x14ac:dyDescent="0.3">
      <c r="O7196" t="str">
        <f t="shared" si="113"/>
        <v/>
      </c>
    </row>
    <row r="7197" spans="15:15" x14ac:dyDescent="0.3">
      <c r="O7197" t="str">
        <f t="shared" si="113"/>
        <v/>
      </c>
    </row>
    <row r="7198" spans="15:15" x14ac:dyDescent="0.3">
      <c r="O7198" t="str">
        <f t="shared" si="113"/>
        <v/>
      </c>
    </row>
    <row r="7199" spans="15:15" x14ac:dyDescent="0.3">
      <c r="O7199" t="str">
        <f t="shared" si="113"/>
        <v/>
      </c>
    </row>
    <row r="7200" spans="15:15" x14ac:dyDescent="0.3">
      <c r="O7200" t="str">
        <f t="shared" si="113"/>
        <v/>
      </c>
    </row>
    <row r="7201" spans="15:15" x14ac:dyDescent="0.3">
      <c r="O7201" t="str">
        <f t="shared" si="113"/>
        <v/>
      </c>
    </row>
    <row r="7202" spans="15:15" x14ac:dyDescent="0.3">
      <c r="O7202" t="str">
        <f t="shared" si="113"/>
        <v/>
      </c>
    </row>
    <row r="7203" spans="15:15" x14ac:dyDescent="0.3">
      <c r="O7203" t="str">
        <f t="shared" si="113"/>
        <v/>
      </c>
    </row>
    <row r="7204" spans="15:15" x14ac:dyDescent="0.3">
      <c r="O7204" t="str">
        <f t="shared" si="113"/>
        <v/>
      </c>
    </row>
    <row r="7205" spans="15:15" x14ac:dyDescent="0.3">
      <c r="O7205" t="str">
        <f t="shared" si="113"/>
        <v/>
      </c>
    </row>
    <row r="7206" spans="15:15" x14ac:dyDescent="0.3">
      <c r="O7206" t="str">
        <f t="shared" si="113"/>
        <v/>
      </c>
    </row>
    <row r="7207" spans="15:15" x14ac:dyDescent="0.3">
      <c r="O7207" t="str">
        <f t="shared" si="113"/>
        <v/>
      </c>
    </row>
    <row r="7208" spans="15:15" x14ac:dyDescent="0.3">
      <c r="O7208" t="str">
        <f t="shared" si="113"/>
        <v/>
      </c>
    </row>
    <row r="7209" spans="15:15" x14ac:dyDescent="0.3">
      <c r="O7209" t="str">
        <f t="shared" si="113"/>
        <v/>
      </c>
    </row>
    <row r="7210" spans="15:15" x14ac:dyDescent="0.3">
      <c r="O7210" t="str">
        <f t="shared" si="113"/>
        <v/>
      </c>
    </row>
    <row r="7211" spans="15:15" x14ac:dyDescent="0.3">
      <c r="O7211" t="str">
        <f t="shared" si="113"/>
        <v/>
      </c>
    </row>
    <row r="7212" spans="15:15" x14ac:dyDescent="0.3">
      <c r="O7212" t="str">
        <f t="shared" si="113"/>
        <v/>
      </c>
    </row>
    <row r="7213" spans="15:15" x14ac:dyDescent="0.3">
      <c r="O7213" t="str">
        <f t="shared" si="113"/>
        <v/>
      </c>
    </row>
    <row r="7214" spans="15:15" x14ac:dyDescent="0.3">
      <c r="O7214" t="str">
        <f t="shared" si="113"/>
        <v/>
      </c>
    </row>
    <row r="7215" spans="15:15" x14ac:dyDescent="0.3">
      <c r="O7215" t="str">
        <f t="shared" si="113"/>
        <v/>
      </c>
    </row>
    <row r="7216" spans="15:15" x14ac:dyDescent="0.3">
      <c r="O7216" t="str">
        <f t="shared" si="113"/>
        <v/>
      </c>
    </row>
    <row r="7217" spans="15:15" x14ac:dyDescent="0.3">
      <c r="O7217" t="str">
        <f t="shared" si="113"/>
        <v/>
      </c>
    </row>
    <row r="7218" spans="15:15" x14ac:dyDescent="0.3">
      <c r="O7218" t="str">
        <f t="shared" si="113"/>
        <v/>
      </c>
    </row>
    <row r="7219" spans="15:15" x14ac:dyDescent="0.3">
      <c r="O7219" t="str">
        <f t="shared" si="113"/>
        <v/>
      </c>
    </row>
    <row r="7220" spans="15:15" x14ac:dyDescent="0.3">
      <c r="O7220" t="str">
        <f t="shared" si="113"/>
        <v/>
      </c>
    </row>
    <row r="7221" spans="15:15" x14ac:dyDescent="0.3">
      <c r="O7221" t="str">
        <f t="shared" si="113"/>
        <v/>
      </c>
    </row>
    <row r="7222" spans="15:15" x14ac:dyDescent="0.3">
      <c r="O7222" t="str">
        <f t="shared" si="113"/>
        <v/>
      </c>
    </row>
    <row r="7223" spans="15:15" x14ac:dyDescent="0.3">
      <c r="O7223" t="str">
        <f t="shared" si="113"/>
        <v/>
      </c>
    </row>
    <row r="7224" spans="15:15" x14ac:dyDescent="0.3">
      <c r="O7224" t="str">
        <f t="shared" si="113"/>
        <v/>
      </c>
    </row>
    <row r="7225" spans="15:15" x14ac:dyDescent="0.3">
      <c r="O7225" t="str">
        <f t="shared" si="113"/>
        <v/>
      </c>
    </row>
    <row r="7226" spans="15:15" x14ac:dyDescent="0.3">
      <c r="O7226" t="str">
        <f t="shared" si="113"/>
        <v/>
      </c>
    </row>
    <row r="7227" spans="15:15" x14ac:dyDescent="0.3">
      <c r="O7227" t="str">
        <f t="shared" si="113"/>
        <v/>
      </c>
    </row>
    <row r="7228" spans="15:15" x14ac:dyDescent="0.3">
      <c r="O7228" t="str">
        <f t="shared" si="113"/>
        <v/>
      </c>
    </row>
    <row r="7229" spans="15:15" x14ac:dyDescent="0.3">
      <c r="O7229" t="str">
        <f t="shared" si="113"/>
        <v/>
      </c>
    </row>
    <row r="7230" spans="15:15" x14ac:dyDescent="0.3">
      <c r="O7230" t="str">
        <f t="shared" si="113"/>
        <v/>
      </c>
    </row>
    <row r="7231" spans="15:15" x14ac:dyDescent="0.3">
      <c r="O7231" t="str">
        <f t="shared" si="113"/>
        <v/>
      </c>
    </row>
    <row r="7232" spans="15:15" x14ac:dyDescent="0.3">
      <c r="O7232" t="str">
        <f t="shared" si="113"/>
        <v/>
      </c>
    </row>
    <row r="7233" spans="15:15" x14ac:dyDescent="0.3">
      <c r="O7233" t="str">
        <f t="shared" si="113"/>
        <v/>
      </c>
    </row>
    <row r="7234" spans="15:15" x14ac:dyDescent="0.3">
      <c r="O7234" t="str">
        <f t="shared" si="113"/>
        <v/>
      </c>
    </row>
    <row r="7235" spans="15:15" x14ac:dyDescent="0.3">
      <c r="O7235" t="str">
        <f t="shared" si="113"/>
        <v/>
      </c>
    </row>
    <row r="7236" spans="15:15" x14ac:dyDescent="0.3">
      <c r="O7236" t="str">
        <f t="shared" si="113"/>
        <v/>
      </c>
    </row>
    <row r="7237" spans="15:15" x14ac:dyDescent="0.3">
      <c r="O7237" t="str">
        <f t="shared" si="113"/>
        <v/>
      </c>
    </row>
    <row r="7238" spans="15:15" x14ac:dyDescent="0.3">
      <c r="O7238" t="str">
        <f t="shared" si="113"/>
        <v/>
      </c>
    </row>
    <row r="7239" spans="15:15" x14ac:dyDescent="0.3">
      <c r="O7239" t="str">
        <f t="shared" si="113"/>
        <v/>
      </c>
    </row>
    <row r="7240" spans="15:15" x14ac:dyDescent="0.3">
      <c r="O7240" t="str">
        <f t="shared" si="113"/>
        <v/>
      </c>
    </row>
    <row r="7241" spans="15:15" x14ac:dyDescent="0.3">
      <c r="O7241" t="str">
        <f t="shared" si="113"/>
        <v/>
      </c>
    </row>
    <row r="7242" spans="15:15" x14ac:dyDescent="0.3">
      <c r="O7242" t="str">
        <f t="shared" ref="O7242:O7305" si="114">IF(P7242="","",O7241+1)</f>
        <v/>
      </c>
    </row>
    <row r="7243" spans="15:15" x14ac:dyDescent="0.3">
      <c r="O7243" t="str">
        <f t="shared" si="114"/>
        <v/>
      </c>
    </row>
    <row r="7244" spans="15:15" x14ac:dyDescent="0.3">
      <c r="O7244" t="str">
        <f t="shared" si="114"/>
        <v/>
      </c>
    </row>
    <row r="7245" spans="15:15" x14ac:dyDescent="0.3">
      <c r="O7245" t="str">
        <f t="shared" si="114"/>
        <v/>
      </c>
    </row>
    <row r="7246" spans="15:15" x14ac:dyDescent="0.3">
      <c r="O7246" t="str">
        <f t="shared" si="114"/>
        <v/>
      </c>
    </row>
    <row r="7247" spans="15:15" x14ac:dyDescent="0.3">
      <c r="O7247" t="str">
        <f t="shared" si="114"/>
        <v/>
      </c>
    </row>
    <row r="7248" spans="15:15" x14ac:dyDescent="0.3">
      <c r="O7248" t="str">
        <f t="shared" si="114"/>
        <v/>
      </c>
    </row>
    <row r="7249" spans="15:15" x14ac:dyDescent="0.3">
      <c r="O7249" t="str">
        <f t="shared" si="114"/>
        <v/>
      </c>
    </row>
    <row r="7250" spans="15:15" x14ac:dyDescent="0.3">
      <c r="O7250" t="str">
        <f t="shared" si="114"/>
        <v/>
      </c>
    </row>
    <row r="7251" spans="15:15" x14ac:dyDescent="0.3">
      <c r="O7251" t="str">
        <f t="shared" si="114"/>
        <v/>
      </c>
    </row>
    <row r="7252" spans="15:15" x14ac:dyDescent="0.3">
      <c r="O7252" t="str">
        <f t="shared" si="114"/>
        <v/>
      </c>
    </row>
    <row r="7253" spans="15:15" x14ac:dyDescent="0.3">
      <c r="O7253" t="str">
        <f t="shared" si="114"/>
        <v/>
      </c>
    </row>
    <row r="7254" spans="15:15" x14ac:dyDescent="0.3">
      <c r="O7254" t="str">
        <f t="shared" si="114"/>
        <v/>
      </c>
    </row>
    <row r="7255" spans="15:15" x14ac:dyDescent="0.3">
      <c r="O7255" t="str">
        <f t="shared" si="114"/>
        <v/>
      </c>
    </row>
    <row r="7256" spans="15:15" x14ac:dyDescent="0.3">
      <c r="O7256" t="str">
        <f t="shared" si="114"/>
        <v/>
      </c>
    </row>
    <row r="7257" spans="15:15" x14ac:dyDescent="0.3">
      <c r="O7257" t="str">
        <f t="shared" si="114"/>
        <v/>
      </c>
    </row>
    <row r="7258" spans="15:15" x14ac:dyDescent="0.3">
      <c r="O7258" t="str">
        <f t="shared" si="114"/>
        <v/>
      </c>
    </row>
    <row r="7259" spans="15:15" x14ac:dyDescent="0.3">
      <c r="O7259" t="str">
        <f t="shared" si="114"/>
        <v/>
      </c>
    </row>
    <row r="7260" spans="15:15" x14ac:dyDescent="0.3">
      <c r="O7260" t="str">
        <f t="shared" si="114"/>
        <v/>
      </c>
    </row>
    <row r="7261" spans="15:15" x14ac:dyDescent="0.3">
      <c r="O7261" t="str">
        <f t="shared" si="114"/>
        <v/>
      </c>
    </row>
    <row r="7262" spans="15:15" x14ac:dyDescent="0.3">
      <c r="O7262" t="str">
        <f t="shared" si="114"/>
        <v/>
      </c>
    </row>
    <row r="7263" spans="15:15" x14ac:dyDescent="0.3">
      <c r="O7263" t="str">
        <f t="shared" si="114"/>
        <v/>
      </c>
    </row>
    <row r="7264" spans="15:15" x14ac:dyDescent="0.3">
      <c r="O7264" t="str">
        <f t="shared" si="114"/>
        <v/>
      </c>
    </row>
    <row r="7265" spans="15:15" x14ac:dyDescent="0.3">
      <c r="O7265" t="str">
        <f t="shared" si="114"/>
        <v/>
      </c>
    </row>
    <row r="7266" spans="15:15" x14ac:dyDescent="0.3">
      <c r="O7266" t="str">
        <f t="shared" si="114"/>
        <v/>
      </c>
    </row>
    <row r="7267" spans="15:15" x14ac:dyDescent="0.3">
      <c r="O7267" t="str">
        <f t="shared" si="114"/>
        <v/>
      </c>
    </row>
    <row r="7268" spans="15:15" x14ac:dyDescent="0.3">
      <c r="O7268" t="str">
        <f t="shared" si="114"/>
        <v/>
      </c>
    </row>
    <row r="7269" spans="15:15" x14ac:dyDescent="0.3">
      <c r="O7269" t="str">
        <f t="shared" si="114"/>
        <v/>
      </c>
    </row>
    <row r="7270" spans="15:15" x14ac:dyDescent="0.3">
      <c r="O7270" t="str">
        <f t="shared" si="114"/>
        <v/>
      </c>
    </row>
    <row r="7271" spans="15:15" x14ac:dyDescent="0.3">
      <c r="O7271" t="str">
        <f t="shared" si="114"/>
        <v/>
      </c>
    </row>
    <row r="7272" spans="15:15" x14ac:dyDescent="0.3">
      <c r="O7272" t="str">
        <f t="shared" si="114"/>
        <v/>
      </c>
    </row>
    <row r="7273" spans="15:15" x14ac:dyDescent="0.3">
      <c r="O7273" t="str">
        <f t="shared" si="114"/>
        <v/>
      </c>
    </row>
    <row r="7274" spans="15:15" x14ac:dyDescent="0.3">
      <c r="O7274" t="str">
        <f t="shared" si="114"/>
        <v/>
      </c>
    </row>
    <row r="7275" spans="15:15" x14ac:dyDescent="0.3">
      <c r="O7275" t="str">
        <f t="shared" si="114"/>
        <v/>
      </c>
    </row>
    <row r="7276" spans="15:15" x14ac:dyDescent="0.3">
      <c r="O7276" t="str">
        <f t="shared" si="114"/>
        <v/>
      </c>
    </row>
    <row r="7277" spans="15:15" x14ac:dyDescent="0.3">
      <c r="O7277" t="str">
        <f t="shared" si="114"/>
        <v/>
      </c>
    </row>
    <row r="7278" spans="15:15" x14ac:dyDescent="0.3">
      <c r="O7278" t="str">
        <f t="shared" si="114"/>
        <v/>
      </c>
    </row>
    <row r="7279" spans="15:15" x14ac:dyDescent="0.3">
      <c r="O7279" t="str">
        <f t="shared" si="114"/>
        <v/>
      </c>
    </row>
    <row r="7280" spans="15:15" x14ac:dyDescent="0.3">
      <c r="O7280" t="str">
        <f t="shared" si="114"/>
        <v/>
      </c>
    </row>
    <row r="7281" spans="15:15" x14ac:dyDescent="0.3">
      <c r="O7281" t="str">
        <f t="shared" si="114"/>
        <v/>
      </c>
    </row>
    <row r="7282" spans="15:15" x14ac:dyDescent="0.3">
      <c r="O7282" t="str">
        <f t="shared" si="114"/>
        <v/>
      </c>
    </row>
    <row r="7283" spans="15:15" x14ac:dyDescent="0.3">
      <c r="O7283" t="str">
        <f t="shared" si="114"/>
        <v/>
      </c>
    </row>
    <row r="7284" spans="15:15" x14ac:dyDescent="0.3">
      <c r="O7284" t="str">
        <f t="shared" si="114"/>
        <v/>
      </c>
    </row>
    <row r="7285" spans="15:15" x14ac:dyDescent="0.3">
      <c r="O7285" t="str">
        <f t="shared" si="114"/>
        <v/>
      </c>
    </row>
    <row r="7286" spans="15:15" x14ac:dyDescent="0.3">
      <c r="O7286" t="str">
        <f t="shared" si="114"/>
        <v/>
      </c>
    </row>
    <row r="7287" spans="15:15" x14ac:dyDescent="0.3">
      <c r="O7287" t="str">
        <f t="shared" si="114"/>
        <v/>
      </c>
    </row>
    <row r="7288" spans="15:15" x14ac:dyDescent="0.3">
      <c r="O7288" t="str">
        <f t="shared" si="114"/>
        <v/>
      </c>
    </row>
    <row r="7289" spans="15:15" x14ac:dyDescent="0.3">
      <c r="O7289" t="str">
        <f t="shared" si="114"/>
        <v/>
      </c>
    </row>
    <row r="7290" spans="15:15" x14ac:dyDescent="0.3">
      <c r="O7290" t="str">
        <f t="shared" si="114"/>
        <v/>
      </c>
    </row>
    <row r="7291" spans="15:15" x14ac:dyDescent="0.3">
      <c r="O7291" t="str">
        <f t="shared" si="114"/>
        <v/>
      </c>
    </row>
    <row r="7292" spans="15:15" x14ac:dyDescent="0.3">
      <c r="O7292" t="str">
        <f t="shared" si="114"/>
        <v/>
      </c>
    </row>
    <row r="7293" spans="15:15" x14ac:dyDescent="0.3">
      <c r="O7293" t="str">
        <f t="shared" si="114"/>
        <v/>
      </c>
    </row>
    <row r="7294" spans="15:15" x14ac:dyDescent="0.3">
      <c r="O7294" t="str">
        <f t="shared" si="114"/>
        <v/>
      </c>
    </row>
    <row r="7295" spans="15:15" x14ac:dyDescent="0.3">
      <c r="O7295" t="str">
        <f t="shared" si="114"/>
        <v/>
      </c>
    </row>
    <row r="7296" spans="15:15" x14ac:dyDescent="0.3">
      <c r="O7296" t="str">
        <f t="shared" si="114"/>
        <v/>
      </c>
    </row>
    <row r="7297" spans="15:15" x14ac:dyDescent="0.3">
      <c r="O7297" t="str">
        <f t="shared" si="114"/>
        <v/>
      </c>
    </row>
    <row r="7298" spans="15:15" x14ac:dyDescent="0.3">
      <c r="O7298" t="str">
        <f t="shared" si="114"/>
        <v/>
      </c>
    </row>
    <row r="7299" spans="15:15" x14ac:dyDescent="0.3">
      <c r="O7299" t="str">
        <f t="shared" si="114"/>
        <v/>
      </c>
    </row>
    <row r="7300" spans="15:15" x14ac:dyDescent="0.3">
      <c r="O7300" t="str">
        <f t="shared" si="114"/>
        <v/>
      </c>
    </row>
    <row r="7301" spans="15:15" x14ac:dyDescent="0.3">
      <c r="O7301" t="str">
        <f t="shared" si="114"/>
        <v/>
      </c>
    </row>
    <row r="7302" spans="15:15" x14ac:dyDescent="0.3">
      <c r="O7302" t="str">
        <f t="shared" si="114"/>
        <v/>
      </c>
    </row>
    <row r="7303" spans="15:15" x14ac:dyDescent="0.3">
      <c r="O7303" t="str">
        <f t="shared" si="114"/>
        <v/>
      </c>
    </row>
    <row r="7304" spans="15:15" x14ac:dyDescent="0.3">
      <c r="O7304" t="str">
        <f t="shared" si="114"/>
        <v/>
      </c>
    </row>
    <row r="7305" spans="15:15" x14ac:dyDescent="0.3">
      <c r="O7305" t="str">
        <f t="shared" si="114"/>
        <v/>
      </c>
    </row>
    <row r="7306" spans="15:15" x14ac:dyDescent="0.3">
      <c r="O7306" t="str">
        <f t="shared" ref="O7306:O7369" si="115">IF(P7306="","",O7305+1)</f>
        <v/>
      </c>
    </row>
    <row r="7307" spans="15:15" x14ac:dyDescent="0.3">
      <c r="O7307" t="str">
        <f t="shared" si="115"/>
        <v/>
      </c>
    </row>
    <row r="7308" spans="15:15" x14ac:dyDescent="0.3">
      <c r="O7308" t="str">
        <f t="shared" si="115"/>
        <v/>
      </c>
    </row>
    <row r="7309" spans="15:15" x14ac:dyDescent="0.3">
      <c r="O7309" t="str">
        <f t="shared" si="115"/>
        <v/>
      </c>
    </row>
    <row r="7310" spans="15:15" x14ac:dyDescent="0.3">
      <c r="O7310" t="str">
        <f t="shared" si="115"/>
        <v/>
      </c>
    </row>
    <row r="7311" spans="15:15" x14ac:dyDescent="0.3">
      <c r="O7311" t="str">
        <f t="shared" si="115"/>
        <v/>
      </c>
    </row>
    <row r="7312" spans="15:15" x14ac:dyDescent="0.3">
      <c r="O7312" t="str">
        <f t="shared" si="115"/>
        <v/>
      </c>
    </row>
    <row r="7313" spans="15:15" x14ac:dyDescent="0.3">
      <c r="O7313" t="str">
        <f t="shared" si="115"/>
        <v/>
      </c>
    </row>
    <row r="7314" spans="15:15" x14ac:dyDescent="0.3">
      <c r="O7314" t="str">
        <f t="shared" si="115"/>
        <v/>
      </c>
    </row>
    <row r="7315" spans="15:15" x14ac:dyDescent="0.3">
      <c r="O7315" t="str">
        <f t="shared" si="115"/>
        <v/>
      </c>
    </row>
    <row r="7316" spans="15:15" x14ac:dyDescent="0.3">
      <c r="O7316" t="str">
        <f t="shared" si="115"/>
        <v/>
      </c>
    </row>
    <row r="7317" spans="15:15" x14ac:dyDescent="0.3">
      <c r="O7317" t="str">
        <f t="shared" si="115"/>
        <v/>
      </c>
    </row>
    <row r="7318" spans="15:15" x14ac:dyDescent="0.3">
      <c r="O7318" t="str">
        <f t="shared" si="115"/>
        <v/>
      </c>
    </row>
    <row r="7319" spans="15:15" x14ac:dyDescent="0.3">
      <c r="O7319" t="str">
        <f t="shared" si="115"/>
        <v/>
      </c>
    </row>
    <row r="7320" spans="15:15" x14ac:dyDescent="0.3">
      <c r="O7320" t="str">
        <f t="shared" si="115"/>
        <v/>
      </c>
    </row>
    <row r="7321" spans="15:15" x14ac:dyDescent="0.3">
      <c r="O7321" t="str">
        <f t="shared" si="115"/>
        <v/>
      </c>
    </row>
    <row r="7322" spans="15:15" x14ac:dyDescent="0.3">
      <c r="O7322" t="str">
        <f t="shared" si="115"/>
        <v/>
      </c>
    </row>
    <row r="7323" spans="15:15" x14ac:dyDescent="0.3">
      <c r="O7323" t="str">
        <f t="shared" si="115"/>
        <v/>
      </c>
    </row>
    <row r="7324" spans="15:15" x14ac:dyDescent="0.3">
      <c r="O7324" t="str">
        <f t="shared" si="115"/>
        <v/>
      </c>
    </row>
    <row r="7325" spans="15:15" x14ac:dyDescent="0.3">
      <c r="O7325" t="str">
        <f t="shared" si="115"/>
        <v/>
      </c>
    </row>
    <row r="7326" spans="15:15" x14ac:dyDescent="0.3">
      <c r="O7326" t="str">
        <f t="shared" si="115"/>
        <v/>
      </c>
    </row>
    <row r="7327" spans="15:15" x14ac:dyDescent="0.3">
      <c r="O7327" t="str">
        <f t="shared" si="115"/>
        <v/>
      </c>
    </row>
    <row r="7328" spans="15:15" x14ac:dyDescent="0.3">
      <c r="O7328" t="str">
        <f t="shared" si="115"/>
        <v/>
      </c>
    </row>
    <row r="7329" spans="15:15" x14ac:dyDescent="0.3">
      <c r="O7329" t="str">
        <f t="shared" si="115"/>
        <v/>
      </c>
    </row>
    <row r="7330" spans="15:15" x14ac:dyDescent="0.3">
      <c r="O7330" t="str">
        <f t="shared" si="115"/>
        <v/>
      </c>
    </row>
    <row r="7331" spans="15:15" x14ac:dyDescent="0.3">
      <c r="O7331" t="str">
        <f t="shared" si="115"/>
        <v/>
      </c>
    </row>
    <row r="7332" spans="15:15" x14ac:dyDescent="0.3">
      <c r="O7332" t="str">
        <f t="shared" si="115"/>
        <v/>
      </c>
    </row>
    <row r="7333" spans="15:15" x14ac:dyDescent="0.3">
      <c r="O7333" t="str">
        <f t="shared" si="115"/>
        <v/>
      </c>
    </row>
    <row r="7334" spans="15:15" x14ac:dyDescent="0.3">
      <c r="O7334" t="str">
        <f t="shared" si="115"/>
        <v/>
      </c>
    </row>
    <row r="7335" spans="15:15" x14ac:dyDescent="0.3">
      <c r="O7335" t="str">
        <f t="shared" si="115"/>
        <v/>
      </c>
    </row>
    <row r="7336" spans="15:15" x14ac:dyDescent="0.3">
      <c r="O7336" t="str">
        <f t="shared" si="115"/>
        <v/>
      </c>
    </row>
    <row r="7337" spans="15:15" x14ac:dyDescent="0.3">
      <c r="O7337" t="str">
        <f t="shared" si="115"/>
        <v/>
      </c>
    </row>
    <row r="7338" spans="15:15" x14ac:dyDescent="0.3">
      <c r="O7338" t="str">
        <f t="shared" si="115"/>
        <v/>
      </c>
    </row>
    <row r="7339" spans="15:15" x14ac:dyDescent="0.3">
      <c r="O7339" t="str">
        <f t="shared" si="115"/>
        <v/>
      </c>
    </row>
    <row r="7340" spans="15:15" x14ac:dyDescent="0.3">
      <c r="O7340" t="str">
        <f t="shared" si="115"/>
        <v/>
      </c>
    </row>
    <row r="7341" spans="15:15" x14ac:dyDescent="0.3">
      <c r="O7341" t="str">
        <f t="shared" si="115"/>
        <v/>
      </c>
    </row>
    <row r="7342" spans="15:15" x14ac:dyDescent="0.3">
      <c r="O7342" t="str">
        <f t="shared" si="115"/>
        <v/>
      </c>
    </row>
    <row r="7343" spans="15:15" x14ac:dyDescent="0.3">
      <c r="O7343" t="str">
        <f t="shared" si="115"/>
        <v/>
      </c>
    </row>
    <row r="7344" spans="15:15" x14ac:dyDescent="0.3">
      <c r="O7344" t="str">
        <f t="shared" si="115"/>
        <v/>
      </c>
    </row>
    <row r="7345" spans="15:15" x14ac:dyDescent="0.3">
      <c r="O7345" t="str">
        <f t="shared" si="115"/>
        <v/>
      </c>
    </row>
    <row r="7346" spans="15:15" x14ac:dyDescent="0.3">
      <c r="O7346" t="str">
        <f t="shared" si="115"/>
        <v/>
      </c>
    </row>
    <row r="7347" spans="15:15" x14ac:dyDescent="0.3">
      <c r="O7347" t="str">
        <f t="shared" si="115"/>
        <v/>
      </c>
    </row>
    <row r="7348" spans="15:15" x14ac:dyDescent="0.3">
      <c r="O7348" t="str">
        <f t="shared" si="115"/>
        <v/>
      </c>
    </row>
    <row r="7349" spans="15:15" x14ac:dyDescent="0.3">
      <c r="O7349" t="str">
        <f t="shared" si="115"/>
        <v/>
      </c>
    </row>
    <row r="7350" spans="15:15" x14ac:dyDescent="0.3">
      <c r="O7350" t="str">
        <f t="shared" si="115"/>
        <v/>
      </c>
    </row>
    <row r="7351" spans="15:15" x14ac:dyDescent="0.3">
      <c r="O7351" t="str">
        <f t="shared" si="115"/>
        <v/>
      </c>
    </row>
    <row r="7352" spans="15:15" x14ac:dyDescent="0.3">
      <c r="O7352" t="str">
        <f t="shared" si="115"/>
        <v/>
      </c>
    </row>
    <row r="7353" spans="15:15" x14ac:dyDescent="0.3">
      <c r="O7353" t="str">
        <f t="shared" si="115"/>
        <v/>
      </c>
    </row>
    <row r="7354" spans="15:15" x14ac:dyDescent="0.3">
      <c r="O7354" t="str">
        <f t="shared" si="115"/>
        <v/>
      </c>
    </row>
    <row r="7355" spans="15:15" x14ac:dyDescent="0.3">
      <c r="O7355" t="str">
        <f t="shared" si="115"/>
        <v/>
      </c>
    </row>
    <row r="7356" spans="15:15" x14ac:dyDescent="0.3">
      <c r="O7356" t="str">
        <f t="shared" si="115"/>
        <v/>
      </c>
    </row>
    <row r="7357" spans="15:15" x14ac:dyDescent="0.3">
      <c r="O7357" t="str">
        <f t="shared" si="115"/>
        <v/>
      </c>
    </row>
    <row r="7358" spans="15:15" x14ac:dyDescent="0.3">
      <c r="O7358" t="str">
        <f t="shared" si="115"/>
        <v/>
      </c>
    </row>
    <row r="7359" spans="15:15" x14ac:dyDescent="0.3">
      <c r="O7359" t="str">
        <f t="shared" si="115"/>
        <v/>
      </c>
    </row>
    <row r="7360" spans="15:15" x14ac:dyDescent="0.3">
      <c r="O7360" t="str">
        <f t="shared" si="115"/>
        <v/>
      </c>
    </row>
    <row r="7361" spans="15:15" x14ac:dyDescent="0.3">
      <c r="O7361" t="str">
        <f t="shared" si="115"/>
        <v/>
      </c>
    </row>
    <row r="7362" spans="15:15" x14ac:dyDescent="0.3">
      <c r="O7362" t="str">
        <f t="shared" si="115"/>
        <v/>
      </c>
    </row>
    <row r="7363" spans="15:15" x14ac:dyDescent="0.3">
      <c r="O7363" t="str">
        <f t="shared" si="115"/>
        <v/>
      </c>
    </row>
    <row r="7364" spans="15:15" x14ac:dyDescent="0.3">
      <c r="O7364" t="str">
        <f t="shared" si="115"/>
        <v/>
      </c>
    </row>
    <row r="7365" spans="15:15" x14ac:dyDescent="0.3">
      <c r="O7365" t="str">
        <f t="shared" si="115"/>
        <v/>
      </c>
    </row>
    <row r="7366" spans="15:15" x14ac:dyDescent="0.3">
      <c r="O7366" t="str">
        <f t="shared" si="115"/>
        <v/>
      </c>
    </row>
    <row r="7367" spans="15:15" x14ac:dyDescent="0.3">
      <c r="O7367" t="str">
        <f t="shared" si="115"/>
        <v/>
      </c>
    </row>
    <row r="7368" spans="15:15" x14ac:dyDescent="0.3">
      <c r="O7368" t="str">
        <f t="shared" si="115"/>
        <v/>
      </c>
    </row>
    <row r="7369" spans="15:15" x14ac:dyDescent="0.3">
      <c r="O7369" t="str">
        <f t="shared" si="115"/>
        <v/>
      </c>
    </row>
    <row r="7370" spans="15:15" x14ac:dyDescent="0.3">
      <c r="O7370" t="str">
        <f t="shared" ref="O7370:O7433" si="116">IF(P7370="","",O7369+1)</f>
        <v/>
      </c>
    </row>
    <row r="7371" spans="15:15" x14ac:dyDescent="0.3">
      <c r="O7371" t="str">
        <f t="shared" si="116"/>
        <v/>
      </c>
    </row>
    <row r="7372" spans="15:15" x14ac:dyDescent="0.3">
      <c r="O7372" t="str">
        <f t="shared" si="116"/>
        <v/>
      </c>
    </row>
    <row r="7373" spans="15:15" x14ac:dyDescent="0.3">
      <c r="O7373" t="str">
        <f t="shared" si="116"/>
        <v/>
      </c>
    </row>
    <row r="7374" spans="15:15" x14ac:dyDescent="0.3">
      <c r="O7374" t="str">
        <f t="shared" si="116"/>
        <v/>
      </c>
    </row>
    <row r="7375" spans="15:15" x14ac:dyDescent="0.3">
      <c r="O7375" t="str">
        <f t="shared" si="116"/>
        <v/>
      </c>
    </row>
    <row r="7376" spans="15:15" x14ac:dyDescent="0.3">
      <c r="O7376" t="str">
        <f t="shared" si="116"/>
        <v/>
      </c>
    </row>
    <row r="7377" spans="15:15" x14ac:dyDescent="0.3">
      <c r="O7377" t="str">
        <f t="shared" si="116"/>
        <v/>
      </c>
    </row>
    <row r="7378" spans="15:15" x14ac:dyDescent="0.3">
      <c r="O7378" t="str">
        <f t="shared" si="116"/>
        <v/>
      </c>
    </row>
    <row r="7379" spans="15:15" x14ac:dyDescent="0.3">
      <c r="O7379" t="str">
        <f t="shared" si="116"/>
        <v/>
      </c>
    </row>
    <row r="7380" spans="15:15" x14ac:dyDescent="0.3">
      <c r="O7380" t="str">
        <f t="shared" si="116"/>
        <v/>
      </c>
    </row>
    <row r="7381" spans="15:15" x14ac:dyDescent="0.3">
      <c r="O7381" t="str">
        <f t="shared" si="116"/>
        <v/>
      </c>
    </row>
    <row r="7382" spans="15:15" x14ac:dyDescent="0.3">
      <c r="O7382" t="str">
        <f t="shared" si="116"/>
        <v/>
      </c>
    </row>
    <row r="7383" spans="15:15" x14ac:dyDescent="0.3">
      <c r="O7383" t="str">
        <f t="shared" si="116"/>
        <v/>
      </c>
    </row>
    <row r="7384" spans="15:15" x14ac:dyDescent="0.3">
      <c r="O7384" t="str">
        <f t="shared" si="116"/>
        <v/>
      </c>
    </row>
    <row r="7385" spans="15:15" x14ac:dyDescent="0.3">
      <c r="O7385" t="str">
        <f t="shared" si="116"/>
        <v/>
      </c>
    </row>
    <row r="7386" spans="15:15" x14ac:dyDescent="0.3">
      <c r="O7386" t="str">
        <f t="shared" si="116"/>
        <v/>
      </c>
    </row>
    <row r="7387" spans="15:15" x14ac:dyDescent="0.3">
      <c r="O7387" t="str">
        <f t="shared" si="116"/>
        <v/>
      </c>
    </row>
    <row r="7388" spans="15:15" x14ac:dyDescent="0.3">
      <c r="O7388" t="str">
        <f t="shared" si="116"/>
        <v/>
      </c>
    </row>
    <row r="7389" spans="15:15" x14ac:dyDescent="0.3">
      <c r="O7389" t="str">
        <f t="shared" si="116"/>
        <v/>
      </c>
    </row>
    <row r="7390" spans="15:15" x14ac:dyDescent="0.3">
      <c r="O7390" t="str">
        <f t="shared" si="116"/>
        <v/>
      </c>
    </row>
    <row r="7391" spans="15:15" x14ac:dyDescent="0.3">
      <c r="O7391" t="str">
        <f t="shared" si="116"/>
        <v/>
      </c>
    </row>
    <row r="7392" spans="15:15" x14ac:dyDescent="0.3">
      <c r="O7392" t="str">
        <f t="shared" si="116"/>
        <v/>
      </c>
    </row>
    <row r="7393" spans="15:15" x14ac:dyDescent="0.3">
      <c r="O7393" t="str">
        <f t="shared" si="116"/>
        <v/>
      </c>
    </row>
    <row r="7394" spans="15:15" x14ac:dyDescent="0.3">
      <c r="O7394" t="str">
        <f t="shared" si="116"/>
        <v/>
      </c>
    </row>
    <row r="7395" spans="15:15" x14ac:dyDescent="0.3">
      <c r="O7395" t="str">
        <f t="shared" si="116"/>
        <v/>
      </c>
    </row>
    <row r="7396" spans="15:15" x14ac:dyDescent="0.3">
      <c r="O7396" t="str">
        <f t="shared" si="116"/>
        <v/>
      </c>
    </row>
    <row r="7397" spans="15:15" x14ac:dyDescent="0.3">
      <c r="O7397" t="str">
        <f t="shared" si="116"/>
        <v/>
      </c>
    </row>
    <row r="7398" spans="15:15" x14ac:dyDescent="0.3">
      <c r="O7398" t="str">
        <f t="shared" si="116"/>
        <v/>
      </c>
    </row>
    <row r="7399" spans="15:15" x14ac:dyDescent="0.3">
      <c r="O7399" t="str">
        <f t="shared" si="116"/>
        <v/>
      </c>
    </row>
    <row r="7400" spans="15:15" x14ac:dyDescent="0.3">
      <c r="O7400" t="str">
        <f t="shared" si="116"/>
        <v/>
      </c>
    </row>
    <row r="7401" spans="15:15" x14ac:dyDescent="0.3">
      <c r="O7401" t="str">
        <f t="shared" si="116"/>
        <v/>
      </c>
    </row>
    <row r="7402" spans="15:15" x14ac:dyDescent="0.3">
      <c r="O7402" t="str">
        <f t="shared" si="116"/>
        <v/>
      </c>
    </row>
    <row r="7403" spans="15:15" x14ac:dyDescent="0.3">
      <c r="O7403" t="str">
        <f t="shared" si="116"/>
        <v/>
      </c>
    </row>
    <row r="7404" spans="15:15" x14ac:dyDescent="0.3">
      <c r="O7404" t="str">
        <f t="shared" si="116"/>
        <v/>
      </c>
    </row>
    <row r="7405" spans="15:15" x14ac:dyDescent="0.3">
      <c r="O7405" t="str">
        <f t="shared" si="116"/>
        <v/>
      </c>
    </row>
    <row r="7406" spans="15:15" x14ac:dyDescent="0.3">
      <c r="O7406" t="str">
        <f t="shared" si="116"/>
        <v/>
      </c>
    </row>
    <row r="7407" spans="15:15" x14ac:dyDescent="0.3">
      <c r="O7407" t="str">
        <f t="shared" si="116"/>
        <v/>
      </c>
    </row>
    <row r="7408" spans="15:15" x14ac:dyDescent="0.3">
      <c r="O7408" t="str">
        <f t="shared" si="116"/>
        <v/>
      </c>
    </row>
    <row r="7409" spans="15:15" x14ac:dyDescent="0.3">
      <c r="O7409" t="str">
        <f t="shared" si="116"/>
        <v/>
      </c>
    </row>
    <row r="7410" spans="15:15" x14ac:dyDescent="0.3">
      <c r="O7410" t="str">
        <f t="shared" si="116"/>
        <v/>
      </c>
    </row>
    <row r="7411" spans="15:15" x14ac:dyDescent="0.3">
      <c r="O7411" t="str">
        <f t="shared" si="116"/>
        <v/>
      </c>
    </row>
    <row r="7412" spans="15:15" x14ac:dyDescent="0.3">
      <c r="O7412" t="str">
        <f t="shared" si="116"/>
        <v/>
      </c>
    </row>
    <row r="7413" spans="15:15" x14ac:dyDescent="0.3">
      <c r="O7413" t="str">
        <f t="shared" si="116"/>
        <v/>
      </c>
    </row>
    <row r="7414" spans="15:15" x14ac:dyDescent="0.3">
      <c r="O7414" t="str">
        <f t="shared" si="116"/>
        <v/>
      </c>
    </row>
    <row r="7415" spans="15:15" x14ac:dyDescent="0.3">
      <c r="O7415" t="str">
        <f t="shared" si="116"/>
        <v/>
      </c>
    </row>
    <row r="7416" spans="15:15" x14ac:dyDescent="0.3">
      <c r="O7416" t="str">
        <f t="shared" si="116"/>
        <v/>
      </c>
    </row>
    <row r="7417" spans="15:15" x14ac:dyDescent="0.3">
      <c r="O7417" t="str">
        <f t="shared" si="116"/>
        <v/>
      </c>
    </row>
    <row r="7418" spans="15:15" x14ac:dyDescent="0.3">
      <c r="O7418" t="str">
        <f t="shared" si="116"/>
        <v/>
      </c>
    </row>
    <row r="7419" spans="15:15" x14ac:dyDescent="0.3">
      <c r="O7419" t="str">
        <f t="shared" si="116"/>
        <v/>
      </c>
    </row>
    <row r="7420" spans="15:15" x14ac:dyDescent="0.3">
      <c r="O7420" t="str">
        <f t="shared" si="116"/>
        <v/>
      </c>
    </row>
    <row r="7421" spans="15:15" x14ac:dyDescent="0.3">
      <c r="O7421" t="str">
        <f t="shared" si="116"/>
        <v/>
      </c>
    </row>
    <row r="7422" spans="15:15" x14ac:dyDescent="0.3">
      <c r="O7422" t="str">
        <f t="shared" si="116"/>
        <v/>
      </c>
    </row>
    <row r="7423" spans="15:15" x14ac:dyDescent="0.3">
      <c r="O7423" t="str">
        <f t="shared" si="116"/>
        <v/>
      </c>
    </row>
    <row r="7424" spans="15:15" x14ac:dyDescent="0.3">
      <c r="O7424" t="str">
        <f t="shared" si="116"/>
        <v/>
      </c>
    </row>
    <row r="7425" spans="15:15" x14ac:dyDescent="0.3">
      <c r="O7425" t="str">
        <f t="shared" si="116"/>
        <v/>
      </c>
    </row>
    <row r="7426" spans="15:15" x14ac:dyDescent="0.3">
      <c r="O7426" t="str">
        <f t="shared" si="116"/>
        <v/>
      </c>
    </row>
    <row r="7427" spans="15:15" x14ac:dyDescent="0.3">
      <c r="O7427" t="str">
        <f t="shared" si="116"/>
        <v/>
      </c>
    </row>
    <row r="7428" spans="15:15" x14ac:dyDescent="0.3">
      <c r="O7428" t="str">
        <f t="shared" si="116"/>
        <v/>
      </c>
    </row>
    <row r="7429" spans="15:15" x14ac:dyDescent="0.3">
      <c r="O7429" t="str">
        <f t="shared" si="116"/>
        <v/>
      </c>
    </row>
    <row r="7430" spans="15:15" x14ac:dyDescent="0.3">
      <c r="O7430" t="str">
        <f t="shared" si="116"/>
        <v/>
      </c>
    </row>
    <row r="7431" spans="15:15" x14ac:dyDescent="0.3">
      <c r="O7431" t="str">
        <f t="shared" si="116"/>
        <v/>
      </c>
    </row>
    <row r="7432" spans="15:15" x14ac:dyDescent="0.3">
      <c r="O7432" t="str">
        <f t="shared" si="116"/>
        <v/>
      </c>
    </row>
    <row r="7433" spans="15:15" x14ac:dyDescent="0.3">
      <c r="O7433" t="str">
        <f t="shared" si="116"/>
        <v/>
      </c>
    </row>
    <row r="7434" spans="15:15" x14ac:dyDescent="0.3">
      <c r="O7434" t="str">
        <f t="shared" ref="O7434:O7497" si="117">IF(P7434="","",O7433+1)</f>
        <v/>
      </c>
    </row>
    <row r="7435" spans="15:15" x14ac:dyDescent="0.3">
      <c r="O7435" t="str">
        <f t="shared" si="117"/>
        <v/>
      </c>
    </row>
    <row r="7436" spans="15:15" x14ac:dyDescent="0.3">
      <c r="O7436" t="str">
        <f t="shared" si="117"/>
        <v/>
      </c>
    </row>
    <row r="7437" spans="15:15" x14ac:dyDescent="0.3">
      <c r="O7437" t="str">
        <f t="shared" si="117"/>
        <v/>
      </c>
    </row>
    <row r="7438" spans="15:15" x14ac:dyDescent="0.3">
      <c r="O7438" t="str">
        <f t="shared" si="117"/>
        <v/>
      </c>
    </row>
    <row r="7439" spans="15:15" x14ac:dyDescent="0.3">
      <c r="O7439" t="str">
        <f t="shared" si="117"/>
        <v/>
      </c>
    </row>
    <row r="7440" spans="15:15" x14ac:dyDescent="0.3">
      <c r="O7440" t="str">
        <f t="shared" si="117"/>
        <v/>
      </c>
    </row>
    <row r="7441" spans="15:15" x14ac:dyDescent="0.3">
      <c r="O7441" t="str">
        <f t="shared" si="117"/>
        <v/>
      </c>
    </row>
    <row r="7442" spans="15:15" x14ac:dyDescent="0.3">
      <c r="O7442" t="str">
        <f t="shared" si="117"/>
        <v/>
      </c>
    </row>
    <row r="7443" spans="15:15" x14ac:dyDescent="0.3">
      <c r="O7443" t="str">
        <f t="shared" si="117"/>
        <v/>
      </c>
    </row>
    <row r="7444" spans="15:15" x14ac:dyDescent="0.3">
      <c r="O7444" t="str">
        <f t="shared" si="117"/>
        <v/>
      </c>
    </row>
    <row r="7445" spans="15:15" x14ac:dyDescent="0.3">
      <c r="O7445" t="str">
        <f t="shared" si="117"/>
        <v/>
      </c>
    </row>
    <row r="7446" spans="15:15" x14ac:dyDescent="0.3">
      <c r="O7446" t="str">
        <f t="shared" si="117"/>
        <v/>
      </c>
    </row>
    <row r="7447" spans="15:15" x14ac:dyDescent="0.3">
      <c r="O7447" t="str">
        <f t="shared" si="117"/>
        <v/>
      </c>
    </row>
    <row r="7448" spans="15:15" x14ac:dyDescent="0.3">
      <c r="O7448" t="str">
        <f t="shared" si="117"/>
        <v/>
      </c>
    </row>
    <row r="7449" spans="15:15" x14ac:dyDescent="0.3">
      <c r="O7449" t="str">
        <f t="shared" si="117"/>
        <v/>
      </c>
    </row>
    <row r="7450" spans="15:15" x14ac:dyDescent="0.3">
      <c r="O7450" t="str">
        <f t="shared" si="117"/>
        <v/>
      </c>
    </row>
    <row r="7451" spans="15:15" x14ac:dyDescent="0.3">
      <c r="O7451" t="str">
        <f t="shared" si="117"/>
        <v/>
      </c>
    </row>
    <row r="7452" spans="15:15" x14ac:dyDescent="0.3">
      <c r="O7452" t="str">
        <f t="shared" si="117"/>
        <v/>
      </c>
    </row>
    <row r="7453" spans="15:15" x14ac:dyDescent="0.3">
      <c r="O7453" t="str">
        <f t="shared" si="117"/>
        <v/>
      </c>
    </row>
    <row r="7454" spans="15:15" x14ac:dyDescent="0.3">
      <c r="O7454" t="str">
        <f t="shared" si="117"/>
        <v/>
      </c>
    </row>
    <row r="7455" spans="15:15" x14ac:dyDescent="0.3">
      <c r="O7455" t="str">
        <f t="shared" si="117"/>
        <v/>
      </c>
    </row>
    <row r="7456" spans="15:15" x14ac:dyDescent="0.3">
      <c r="O7456" t="str">
        <f t="shared" si="117"/>
        <v/>
      </c>
    </row>
    <row r="7457" spans="15:15" x14ac:dyDescent="0.3">
      <c r="O7457" t="str">
        <f t="shared" si="117"/>
        <v/>
      </c>
    </row>
    <row r="7458" spans="15:15" x14ac:dyDescent="0.3">
      <c r="O7458" t="str">
        <f t="shared" si="117"/>
        <v/>
      </c>
    </row>
    <row r="7459" spans="15:15" x14ac:dyDescent="0.3">
      <c r="O7459" t="str">
        <f t="shared" si="117"/>
        <v/>
      </c>
    </row>
    <row r="7460" spans="15:15" x14ac:dyDescent="0.3">
      <c r="O7460" t="str">
        <f t="shared" si="117"/>
        <v/>
      </c>
    </row>
    <row r="7461" spans="15:15" x14ac:dyDescent="0.3">
      <c r="O7461" t="str">
        <f t="shared" si="117"/>
        <v/>
      </c>
    </row>
    <row r="7462" spans="15:15" x14ac:dyDescent="0.3">
      <c r="O7462" t="str">
        <f t="shared" si="117"/>
        <v/>
      </c>
    </row>
    <row r="7463" spans="15:15" x14ac:dyDescent="0.3">
      <c r="O7463" t="str">
        <f t="shared" si="117"/>
        <v/>
      </c>
    </row>
    <row r="7464" spans="15:15" x14ac:dyDescent="0.3">
      <c r="O7464" t="str">
        <f t="shared" si="117"/>
        <v/>
      </c>
    </row>
    <row r="7465" spans="15:15" x14ac:dyDescent="0.3">
      <c r="O7465" t="str">
        <f t="shared" si="117"/>
        <v/>
      </c>
    </row>
    <row r="7466" spans="15:15" x14ac:dyDescent="0.3">
      <c r="O7466" t="str">
        <f t="shared" si="117"/>
        <v/>
      </c>
    </row>
    <row r="7467" spans="15:15" x14ac:dyDescent="0.3">
      <c r="O7467" t="str">
        <f t="shared" si="117"/>
        <v/>
      </c>
    </row>
    <row r="7468" spans="15:15" x14ac:dyDescent="0.3">
      <c r="O7468" t="str">
        <f t="shared" si="117"/>
        <v/>
      </c>
    </row>
    <row r="7469" spans="15:15" x14ac:dyDescent="0.3">
      <c r="O7469" t="str">
        <f t="shared" si="117"/>
        <v/>
      </c>
    </row>
    <row r="7470" spans="15:15" x14ac:dyDescent="0.3">
      <c r="O7470" t="str">
        <f t="shared" si="117"/>
        <v/>
      </c>
    </row>
    <row r="7471" spans="15:15" x14ac:dyDescent="0.3">
      <c r="O7471" t="str">
        <f t="shared" si="117"/>
        <v/>
      </c>
    </row>
    <row r="7472" spans="15:15" x14ac:dyDescent="0.3">
      <c r="O7472" t="str">
        <f t="shared" si="117"/>
        <v/>
      </c>
    </row>
    <row r="7473" spans="15:15" x14ac:dyDescent="0.3">
      <c r="O7473" t="str">
        <f t="shared" si="117"/>
        <v/>
      </c>
    </row>
    <row r="7474" spans="15:15" x14ac:dyDescent="0.3">
      <c r="O7474" t="str">
        <f t="shared" si="117"/>
        <v/>
      </c>
    </row>
    <row r="7475" spans="15:15" x14ac:dyDescent="0.3">
      <c r="O7475" t="str">
        <f t="shared" si="117"/>
        <v/>
      </c>
    </row>
    <row r="7476" spans="15:15" x14ac:dyDescent="0.3">
      <c r="O7476" t="str">
        <f t="shared" si="117"/>
        <v/>
      </c>
    </row>
    <row r="7477" spans="15:15" x14ac:dyDescent="0.3">
      <c r="O7477" t="str">
        <f t="shared" si="117"/>
        <v/>
      </c>
    </row>
    <row r="7478" spans="15:15" x14ac:dyDescent="0.3">
      <c r="O7478" t="str">
        <f t="shared" si="117"/>
        <v/>
      </c>
    </row>
    <row r="7479" spans="15:15" x14ac:dyDescent="0.3">
      <c r="O7479" t="str">
        <f t="shared" si="117"/>
        <v/>
      </c>
    </row>
    <row r="7480" spans="15:15" x14ac:dyDescent="0.3">
      <c r="O7480" t="str">
        <f t="shared" si="117"/>
        <v/>
      </c>
    </row>
    <row r="7481" spans="15:15" x14ac:dyDescent="0.3">
      <c r="O7481" t="str">
        <f t="shared" si="117"/>
        <v/>
      </c>
    </row>
    <row r="7482" spans="15:15" x14ac:dyDescent="0.3">
      <c r="O7482" t="str">
        <f t="shared" si="117"/>
        <v/>
      </c>
    </row>
    <row r="7483" spans="15:15" x14ac:dyDescent="0.3">
      <c r="O7483" t="str">
        <f t="shared" si="117"/>
        <v/>
      </c>
    </row>
    <row r="7484" spans="15:15" x14ac:dyDescent="0.3">
      <c r="O7484" t="str">
        <f t="shared" si="117"/>
        <v/>
      </c>
    </row>
    <row r="7485" spans="15:15" x14ac:dyDescent="0.3">
      <c r="O7485" t="str">
        <f t="shared" si="117"/>
        <v/>
      </c>
    </row>
    <row r="7486" spans="15:15" x14ac:dyDescent="0.3">
      <c r="O7486" t="str">
        <f t="shared" si="117"/>
        <v/>
      </c>
    </row>
    <row r="7487" spans="15:15" x14ac:dyDescent="0.3">
      <c r="O7487" t="str">
        <f t="shared" si="117"/>
        <v/>
      </c>
    </row>
    <row r="7488" spans="15:15" x14ac:dyDescent="0.3">
      <c r="O7488" t="str">
        <f t="shared" si="117"/>
        <v/>
      </c>
    </row>
    <row r="7489" spans="15:15" x14ac:dyDescent="0.3">
      <c r="O7489" t="str">
        <f t="shared" si="117"/>
        <v/>
      </c>
    </row>
    <row r="7490" spans="15:15" x14ac:dyDescent="0.3">
      <c r="O7490" t="str">
        <f t="shared" si="117"/>
        <v/>
      </c>
    </row>
    <row r="7491" spans="15:15" x14ac:dyDescent="0.3">
      <c r="O7491" t="str">
        <f t="shared" si="117"/>
        <v/>
      </c>
    </row>
    <row r="7492" spans="15:15" x14ac:dyDescent="0.3">
      <c r="O7492" t="str">
        <f t="shared" si="117"/>
        <v/>
      </c>
    </row>
    <row r="7493" spans="15:15" x14ac:dyDescent="0.3">
      <c r="O7493" t="str">
        <f t="shared" si="117"/>
        <v/>
      </c>
    </row>
    <row r="7494" spans="15:15" x14ac:dyDescent="0.3">
      <c r="O7494" t="str">
        <f t="shared" si="117"/>
        <v/>
      </c>
    </row>
    <row r="7495" spans="15:15" x14ac:dyDescent="0.3">
      <c r="O7495" t="str">
        <f t="shared" si="117"/>
        <v/>
      </c>
    </row>
    <row r="7496" spans="15:15" x14ac:dyDescent="0.3">
      <c r="O7496" t="str">
        <f t="shared" si="117"/>
        <v/>
      </c>
    </row>
    <row r="7497" spans="15:15" x14ac:dyDescent="0.3">
      <c r="O7497" t="str">
        <f t="shared" si="117"/>
        <v/>
      </c>
    </row>
    <row r="7498" spans="15:15" x14ac:dyDescent="0.3">
      <c r="O7498" t="str">
        <f t="shared" ref="O7498:O7500" si="118">IF(P7498="","",O7497+1)</f>
        <v/>
      </c>
    </row>
    <row r="7499" spans="15:15" x14ac:dyDescent="0.3">
      <c r="O7499" t="str">
        <f t="shared" si="118"/>
        <v/>
      </c>
    </row>
    <row r="7500" spans="15:15" x14ac:dyDescent="0.3">
      <c r="O7500" t="str">
        <f t="shared" si="118"/>
        <v/>
      </c>
    </row>
  </sheetData>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E142"/>
  <sheetViews>
    <sheetView showGridLines="0" zoomScale="98" zoomScaleNormal="100" workbookViewId="0">
      <selection activeCell="B27" sqref="B27"/>
    </sheetView>
  </sheetViews>
  <sheetFormatPr baseColWidth="10" defaultColWidth="9.109375" defaultRowHeight="14.4" x14ac:dyDescent="0.3"/>
  <cols>
    <col min="2" max="2" width="11.88671875" style="9" customWidth="1"/>
    <col min="3" max="4" width="9.109375" style="9"/>
    <col min="5" max="5" width="7.6640625" style="9" customWidth="1"/>
    <col min="6" max="7" width="9.109375" style="9"/>
  </cols>
  <sheetData>
    <row r="1" spans="2:8" x14ac:dyDescent="0.3">
      <c r="B1" s="10"/>
    </row>
    <row r="2" spans="2:8" x14ac:dyDescent="0.3">
      <c r="B2" s="10"/>
    </row>
    <row r="3" spans="2:8" x14ac:dyDescent="0.3">
      <c r="B3" s="40"/>
      <c r="C3" s="41" t="str">
        <f t="array" ref="C3:H3">TRANSPOSE(Leyenda!$A$1:$B$6)</f>
        <v>Alimentación</v>
      </c>
      <c r="D3" s="41" t="str">
        <v>Viáticos</v>
      </c>
      <c r="E3" s="41" t="str">
        <v>Reconocimientos</v>
      </c>
      <c r="F3" s="41" t="str">
        <v>Celebraciones</v>
      </c>
      <c r="G3" s="41" t="str">
        <v>Brindis participación</v>
      </c>
      <c r="H3" s="41" t="str">
        <v>Horas extras</v>
      </c>
    </row>
    <row r="4" spans="2:8" x14ac:dyDescent="0.3">
      <c r="B4" s="40" t="s">
        <v>28</v>
      </c>
      <c r="C4" s="40">
        <f>Dashboard!J16</f>
        <v>0.88396293394500636</v>
      </c>
      <c r="D4" s="40">
        <f>Dashboard!N16</f>
        <v>0.84403337919883492</v>
      </c>
      <c r="E4" s="40">
        <f>Dashboard!R16</f>
        <v>0.99584486373165626</v>
      </c>
      <c r="F4" s="40">
        <f>Dashboard!V16</f>
        <v>0.90218803749569998</v>
      </c>
      <c r="G4" s="40">
        <f>Dashboard!Z16</f>
        <v>1</v>
      </c>
      <c r="H4" s="42">
        <f>Dashboard!F16</f>
        <v>0.910602610214994</v>
      </c>
    </row>
    <row r="5" spans="2:8" x14ac:dyDescent="0.3">
      <c r="B5" s="40" t="s">
        <v>29</v>
      </c>
      <c r="C5" s="40">
        <f t="shared" ref="C5:H5" si="0">IF(valSelOption&lt;&gt;C$3,1-C4,0)</f>
        <v>0.11603706605499364</v>
      </c>
      <c r="D5" s="40">
        <f t="shared" si="0"/>
        <v>0.15596662080116508</v>
      </c>
      <c r="E5" s="40">
        <f t="shared" si="0"/>
        <v>4.1551362683437398E-3</v>
      </c>
      <c r="F5" s="40">
        <f t="shared" si="0"/>
        <v>0</v>
      </c>
      <c r="G5" s="40">
        <f t="shared" si="0"/>
        <v>0</v>
      </c>
      <c r="H5" s="40">
        <f t="shared" si="0"/>
        <v>8.9397389785005998E-2</v>
      </c>
    </row>
    <row r="6" spans="2:8" x14ac:dyDescent="0.3">
      <c r="B6" s="40" t="s">
        <v>30</v>
      </c>
      <c r="C6" s="40">
        <f t="shared" ref="C6:H6" si="1">IF(valSelOption=C$3,1-C4,0)</f>
        <v>0</v>
      </c>
      <c r="D6" s="40">
        <f t="shared" si="1"/>
        <v>0</v>
      </c>
      <c r="E6" s="40">
        <f t="shared" si="1"/>
        <v>0</v>
      </c>
      <c r="F6" s="40">
        <f t="shared" si="1"/>
        <v>9.7811962504300021E-2</v>
      </c>
      <c r="G6" s="40">
        <f t="shared" si="1"/>
        <v>0</v>
      </c>
      <c r="H6" s="40">
        <f t="shared" si="1"/>
        <v>0</v>
      </c>
    </row>
    <row r="7" spans="2:8" x14ac:dyDescent="0.3">
      <c r="B7" s="10"/>
    </row>
    <row r="8" spans="2:8" x14ac:dyDescent="0.3">
      <c r="B8" s="10"/>
    </row>
    <row r="9" spans="2:8" x14ac:dyDescent="0.3">
      <c r="B9" s="10"/>
    </row>
    <row r="10" spans="2:8" x14ac:dyDescent="0.3">
      <c r="B10" s="43">
        <v>5</v>
      </c>
      <c r="C10" s="44" t="str">
        <f>INDEX(B14:C19,MATCH(B10,C14:C19,),1)</f>
        <v>Área</v>
      </c>
      <c r="D10" s="41" t="str">
        <f>VLOOKUP(B10,$C$14:$E$19,3,)</f>
        <v>ar_descripcion</v>
      </c>
      <c r="G10" s="9" t="s">
        <v>18</v>
      </c>
    </row>
    <row r="11" spans="2:8" x14ac:dyDescent="0.3">
      <c r="B11" s="105"/>
      <c r="C11" s="106"/>
      <c r="D11" s="87"/>
    </row>
    <row r="12" spans="2:8" x14ac:dyDescent="0.3">
      <c r="B12" s="105"/>
      <c r="C12" s="106"/>
      <c r="D12" s="87"/>
    </row>
    <row r="13" spans="2:8" x14ac:dyDescent="0.3">
      <c r="B13" s="10"/>
    </row>
    <row r="14" spans="2:8" x14ac:dyDescent="0.3">
      <c r="B14" s="10" t="s">
        <v>16</v>
      </c>
      <c r="C14" s="9">
        <v>6</v>
      </c>
      <c r="D14" s="10" t="str">
        <f>B14</f>
        <v>Fecha</v>
      </c>
      <c r="E14" s="9" t="str">
        <f t="array" ref="E14:E19">TRANSPOSE(Tabla!AK7:AP7)</f>
        <v>as_fecha_tran</v>
      </c>
    </row>
    <row r="15" spans="2:8" x14ac:dyDescent="0.3">
      <c r="B15" s="10" t="s">
        <v>27</v>
      </c>
      <c r="C15" s="9">
        <v>5</v>
      </c>
      <c r="D15" s="10" t="str">
        <f t="shared" ref="D15:D22" si="2">B15</f>
        <v>Área</v>
      </c>
      <c r="E15" s="9" t="str">
        <v>ar_descripcion</v>
      </c>
    </row>
    <row r="16" spans="2:8" x14ac:dyDescent="0.3">
      <c r="B16" s="10" t="s">
        <v>18</v>
      </c>
      <c r="C16" s="9">
        <v>1</v>
      </c>
      <c r="D16" s="10" t="str">
        <f t="shared" si="2"/>
        <v>Asiento</v>
      </c>
      <c r="E16" s="9" t="str">
        <v>as_concepto</v>
      </c>
    </row>
    <row r="17" spans="1:83" x14ac:dyDescent="0.3">
      <c r="B17" s="10" t="s">
        <v>17</v>
      </c>
      <c r="C17" s="9">
        <v>2</v>
      </c>
      <c r="D17" s="10" t="str">
        <f t="shared" si="2"/>
        <v>Comprobante</v>
      </c>
      <c r="E17" s="9" t="str">
        <v>co_descripcion</v>
      </c>
    </row>
    <row r="18" spans="1:83" x14ac:dyDescent="0.3">
      <c r="B18" s="10" t="s">
        <v>19</v>
      </c>
      <c r="C18" s="9">
        <v>3</v>
      </c>
      <c r="D18" s="10" t="str">
        <f t="shared" si="2"/>
        <v>Débito</v>
      </c>
      <c r="E18" s="9" t="str">
        <v>Suma de as_debito</v>
      </c>
    </row>
    <row r="19" spans="1:83" x14ac:dyDescent="0.3">
      <c r="B19" s="10" t="s">
        <v>20</v>
      </c>
      <c r="C19" s="9">
        <v>4</v>
      </c>
      <c r="D19" s="10" t="str">
        <f t="shared" si="2"/>
        <v>Crédito</v>
      </c>
      <c r="E19" s="9" t="str">
        <v>Suma de as_credito</v>
      </c>
    </row>
    <row r="20" spans="1:83" x14ac:dyDescent="0.3">
      <c r="B20" s="10" t="s">
        <v>146</v>
      </c>
      <c r="C20" s="9">
        <v>68</v>
      </c>
      <c r="D20" s="10" t="str">
        <f t="shared" si="2"/>
        <v>Barra</v>
      </c>
    </row>
    <row r="21" spans="1:83" x14ac:dyDescent="0.3">
      <c r="B21" s="10" t="s">
        <v>94</v>
      </c>
      <c r="C21" s="9">
        <v>2</v>
      </c>
      <c r="D21" s="10" t="str">
        <f t="shared" si="2"/>
        <v>Año</v>
      </c>
      <c r="E21">
        <f>VLOOKUP(C21,Tabla!O:P,2,0)</f>
        <v>2019</v>
      </c>
    </row>
    <row r="22" spans="1:83" x14ac:dyDescent="0.3">
      <c r="B22" s="10" t="s">
        <v>134</v>
      </c>
      <c r="C22" s="9">
        <v>5</v>
      </c>
      <c r="D22" s="10" t="str">
        <f t="shared" si="2"/>
        <v>Mes</v>
      </c>
      <c r="E22" s="9">
        <f>VLOOKUP(C22,Tabla!$S$9:$U$20,3,0)</f>
        <v>5</v>
      </c>
    </row>
    <row r="23" spans="1:83" x14ac:dyDescent="0.3">
      <c r="B23" s="10"/>
      <c r="D23" s="10"/>
    </row>
    <row r="24" spans="1:83" x14ac:dyDescent="0.3">
      <c r="B24" s="10"/>
      <c r="D24" s="10"/>
    </row>
    <row r="25" spans="1:83" x14ac:dyDescent="0.3">
      <c r="B25" s="10"/>
      <c r="D25" s="10"/>
    </row>
    <row r="26" spans="1:83" x14ac:dyDescent="0.3">
      <c r="B26" s="10" t="s">
        <v>31</v>
      </c>
      <c r="D26" s="9" t="s">
        <v>33</v>
      </c>
      <c r="E26" s="9">
        <v>1</v>
      </c>
      <c r="F26" s="9" t="str">
        <f>CHOOSE(E26,"xlAscending","xlDescending")</f>
        <v>xlAscending</v>
      </c>
    </row>
    <row r="27" spans="1:83" x14ac:dyDescent="0.3">
      <c r="B27" s="10" t="s">
        <v>32</v>
      </c>
    </row>
    <row r="30" spans="1:83" x14ac:dyDescent="0.3">
      <c r="B30"/>
      <c r="C30"/>
      <c r="D30"/>
      <c r="E30"/>
      <c r="F30"/>
      <c r="G30"/>
      <c r="J30" s="1"/>
      <c r="M30" s="3"/>
    </row>
    <row r="31" spans="1:83" x14ac:dyDescent="0.3">
      <c r="B31" t="s">
        <v>0</v>
      </c>
      <c r="C31" s="2" t="s">
        <v>5</v>
      </c>
      <c r="D31"/>
      <c r="E31"/>
      <c r="F31"/>
      <c r="G31"/>
      <c r="J31" s="1"/>
      <c r="M31" s="3"/>
      <c r="N31" s="8"/>
    </row>
    <row r="32" spans="1:83" x14ac:dyDescent="0.3">
      <c r="A32" s="13"/>
      <c r="B32" s="13" t="s">
        <v>34</v>
      </c>
      <c r="C32" s="47">
        <v>33</v>
      </c>
      <c r="D32" s="13"/>
      <c r="E32" s="13"/>
      <c r="F32" s="13"/>
      <c r="G32" s="13"/>
      <c r="H32" s="13"/>
      <c r="I32" s="13"/>
      <c r="J32" s="15"/>
      <c r="K32" s="13"/>
      <c r="L32" s="13"/>
      <c r="M32" s="12"/>
      <c r="N32" s="13"/>
      <c r="O32" s="13"/>
      <c r="P32" s="13"/>
      <c r="Q32" s="13"/>
      <c r="R32" s="13"/>
      <c r="S32" s="13"/>
      <c r="T32" s="13"/>
      <c r="U32" s="13"/>
      <c r="V32" s="13"/>
      <c r="W32" s="13"/>
      <c r="X32" s="13"/>
      <c r="Y32" s="13"/>
      <c r="Z32" s="13"/>
      <c r="AA32" s="16"/>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row>
    <row r="33" spans="1:83" x14ac:dyDescent="0.3">
      <c r="A33" s="13"/>
      <c r="B33" s="16"/>
      <c r="C33" s="13"/>
      <c r="D33" s="17"/>
      <c r="E33" s="13"/>
      <c r="F33" s="13"/>
      <c r="G33" s="14"/>
      <c r="H33" s="17"/>
      <c r="I33" s="13"/>
      <c r="J33" s="15"/>
      <c r="K33" s="13"/>
      <c r="L33" s="13"/>
      <c r="M33" s="12"/>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row>
    <row r="34" spans="1:83" x14ac:dyDescent="0.3">
      <c r="A34" s="13"/>
      <c r="B34" s="16"/>
      <c r="C34" s="13"/>
      <c r="D34" s="13"/>
      <c r="E34" s="13"/>
      <c r="F34" s="13"/>
      <c r="G34" s="13"/>
      <c r="H34" s="13"/>
      <c r="I34" s="14"/>
      <c r="J34" s="14"/>
      <c r="K34" s="14"/>
      <c r="L34" s="14"/>
      <c r="M34" s="14"/>
      <c r="N34" s="18"/>
      <c r="O34" s="18"/>
      <c r="P34" s="18"/>
      <c r="Q34" s="18"/>
      <c r="R34" s="18"/>
      <c r="S34" s="19"/>
      <c r="T34" s="19"/>
      <c r="U34" s="19"/>
      <c r="V34" s="19"/>
      <c r="W34" s="19"/>
      <c r="X34" s="13"/>
      <c r="Y34" s="20"/>
      <c r="Z34" s="13"/>
      <c r="AA34" s="14"/>
      <c r="AB34" s="14"/>
      <c r="AC34" s="14"/>
      <c r="AD34" s="14"/>
      <c r="AE34" s="14"/>
      <c r="AF34" s="13"/>
      <c r="AG34" s="16"/>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row>
    <row r="35" spans="1:83" x14ac:dyDescent="0.3">
      <c r="A35" s="13"/>
      <c r="B35" s="15"/>
      <c r="C35" s="13"/>
      <c r="D35" s="13"/>
      <c r="E35" s="13"/>
      <c r="F35" s="13"/>
      <c r="G35" s="13"/>
      <c r="H35" s="13"/>
      <c r="I35" s="21"/>
      <c r="J35" s="21"/>
      <c r="K35" s="21"/>
      <c r="L35" s="21"/>
      <c r="M35" s="21"/>
      <c r="N35" s="22"/>
      <c r="O35" s="22"/>
      <c r="P35" s="22"/>
      <c r="Q35" s="22"/>
      <c r="R35" s="22"/>
      <c r="S35" s="23"/>
      <c r="T35" s="23"/>
      <c r="U35" s="23"/>
      <c r="V35" s="23"/>
      <c r="W35" s="23"/>
      <c r="X35" s="13"/>
      <c r="Y35" s="20"/>
      <c r="Z35" s="13"/>
      <c r="AA35" s="14"/>
      <c r="AB35" s="14"/>
      <c r="AC35" s="14"/>
      <c r="AD35" s="14"/>
      <c r="AE35" s="14"/>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row>
    <row r="36" spans="1:83" x14ac:dyDescent="0.3">
      <c r="A36" s="13"/>
      <c r="B36" s="15"/>
      <c r="C36" s="13"/>
      <c r="D36" s="13"/>
      <c r="E36" s="13"/>
      <c r="F36" s="13"/>
      <c r="G36" s="13"/>
      <c r="H36" s="13"/>
      <c r="I36" s="21"/>
      <c r="J36" s="21"/>
      <c r="K36" s="21"/>
      <c r="L36" s="21"/>
      <c r="M36" s="21"/>
      <c r="N36" s="22"/>
      <c r="O36" s="22"/>
      <c r="P36" s="22"/>
      <c r="Q36" s="22"/>
      <c r="R36" s="22"/>
      <c r="S36" s="23"/>
      <c r="T36" s="23"/>
      <c r="U36" s="23"/>
      <c r="V36" s="23"/>
      <c r="W36" s="23"/>
      <c r="X36" s="13"/>
      <c r="Y36" s="20"/>
      <c r="Z36" s="13"/>
      <c r="AA36" s="14"/>
      <c r="AB36" s="14"/>
      <c r="AC36" s="14"/>
      <c r="AD36" s="14"/>
      <c r="AE36" s="14"/>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row>
    <row r="37" spans="1:83" x14ac:dyDescent="0.3">
      <c r="A37" s="13"/>
      <c r="B37" s="15"/>
      <c r="C37" s="13"/>
      <c r="D37" s="13"/>
      <c r="E37" s="13"/>
      <c r="F37" s="13"/>
      <c r="G37" s="13"/>
      <c r="H37" s="13"/>
      <c r="I37" s="21"/>
      <c r="J37" s="21"/>
      <c r="K37" s="21"/>
      <c r="L37" s="21"/>
      <c r="M37" s="21"/>
      <c r="N37" s="22"/>
      <c r="O37" s="22"/>
      <c r="P37" s="22"/>
      <c r="Q37" s="22"/>
      <c r="R37" s="22"/>
      <c r="S37" s="23"/>
      <c r="T37" s="23"/>
      <c r="U37" s="23"/>
      <c r="V37" s="23"/>
      <c r="W37" s="23"/>
      <c r="X37" s="13"/>
      <c r="Y37" s="20"/>
      <c r="Z37" s="13"/>
      <c r="AA37" s="14"/>
      <c r="AB37" s="14"/>
      <c r="AC37" s="14"/>
      <c r="AD37" s="14"/>
      <c r="AE37" s="14"/>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row>
    <row r="38" spans="1:83" x14ac:dyDescent="0.3">
      <c r="A38" s="13"/>
      <c r="B38" s="15"/>
      <c r="C38" s="13"/>
      <c r="D38" s="13"/>
      <c r="E38" s="13"/>
      <c r="F38" s="13"/>
      <c r="G38" s="13"/>
      <c r="H38" s="13"/>
      <c r="I38" s="21"/>
      <c r="J38" s="21"/>
      <c r="K38" s="21"/>
      <c r="L38" s="21"/>
      <c r="M38" s="21"/>
      <c r="N38" s="22"/>
      <c r="O38" s="22"/>
      <c r="P38" s="22"/>
      <c r="Q38" s="22"/>
      <c r="R38" s="22"/>
      <c r="S38" s="23"/>
      <c r="T38" s="23"/>
      <c r="U38" s="23"/>
      <c r="V38" s="23"/>
      <c r="W38" s="23"/>
      <c r="X38" s="13"/>
      <c r="Y38" s="20"/>
      <c r="Z38" s="13"/>
      <c r="AA38" s="16"/>
      <c r="AB38" s="13"/>
      <c r="AC38" s="13"/>
      <c r="AD38" s="13"/>
      <c r="AE38" s="13"/>
      <c r="AF38" s="13"/>
      <c r="AG38" s="16"/>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row>
    <row r="39" spans="1:83" x14ac:dyDescent="0.3">
      <c r="A39" s="13"/>
      <c r="B39" s="15"/>
      <c r="C39" s="13"/>
      <c r="D39" s="13"/>
      <c r="E39" s="13"/>
      <c r="F39" s="13"/>
      <c r="G39" s="13"/>
      <c r="H39" s="13"/>
      <c r="I39" s="21"/>
      <c r="J39" s="21"/>
      <c r="K39" s="21"/>
      <c r="L39" s="21"/>
      <c r="M39" s="21"/>
      <c r="N39" s="22"/>
      <c r="O39" s="22"/>
      <c r="P39" s="22"/>
      <c r="Q39" s="22"/>
      <c r="R39" s="22"/>
      <c r="S39" s="23"/>
      <c r="T39" s="23"/>
      <c r="U39" s="23"/>
      <c r="V39" s="23"/>
      <c r="W39" s="2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row>
    <row r="40" spans="1:83" x14ac:dyDescent="0.3">
      <c r="A40" s="13"/>
      <c r="B40" s="15"/>
      <c r="C40" s="13"/>
      <c r="D40" s="13"/>
      <c r="E40" s="13"/>
      <c r="F40" s="13"/>
      <c r="G40" s="13"/>
      <c r="H40" s="13"/>
      <c r="I40" s="21"/>
      <c r="J40" s="21"/>
      <c r="K40" s="21"/>
      <c r="L40" s="21"/>
      <c r="M40" s="21"/>
      <c r="N40" s="22"/>
      <c r="O40" s="22"/>
      <c r="P40" s="22"/>
      <c r="Q40" s="22"/>
      <c r="R40" s="22"/>
      <c r="S40" s="23"/>
      <c r="T40" s="23"/>
      <c r="U40" s="23"/>
      <c r="V40" s="23"/>
      <c r="W40" s="2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row>
    <row r="41" spans="1:83" x14ac:dyDescent="0.3">
      <c r="A41" s="13"/>
      <c r="B41" s="15"/>
      <c r="C41" s="13"/>
      <c r="D41" s="13"/>
      <c r="E41" s="13"/>
      <c r="F41" s="13"/>
      <c r="G41" s="13"/>
      <c r="H41" s="13"/>
      <c r="I41" s="21"/>
      <c r="J41" s="21"/>
      <c r="K41" s="21"/>
      <c r="L41" s="21"/>
      <c r="M41" s="21"/>
      <c r="N41" s="22"/>
      <c r="O41" s="22"/>
      <c r="P41" s="22"/>
      <c r="Q41" s="22"/>
      <c r="R41" s="22"/>
      <c r="S41" s="23"/>
      <c r="T41" s="23"/>
      <c r="U41" s="23"/>
      <c r="V41" s="23"/>
      <c r="W41" s="2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row>
    <row r="42" spans="1:83" x14ac:dyDescent="0.3">
      <c r="A42" s="13"/>
      <c r="B42" s="15"/>
      <c r="C42" s="13"/>
      <c r="D42" s="13"/>
      <c r="E42" s="13"/>
      <c r="F42" s="13"/>
      <c r="G42" s="13"/>
      <c r="H42" s="13"/>
      <c r="I42" s="21"/>
      <c r="J42" s="21"/>
      <c r="K42" s="21"/>
      <c r="L42" s="21"/>
      <c r="M42" s="21"/>
      <c r="N42" s="22"/>
      <c r="O42" s="22"/>
      <c r="P42" s="22"/>
      <c r="Q42" s="22"/>
      <c r="R42" s="22"/>
      <c r="S42" s="23"/>
      <c r="T42" s="23"/>
      <c r="U42" s="23"/>
      <c r="V42" s="23"/>
      <c r="W42" s="2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row>
    <row r="43" spans="1:83" x14ac:dyDescent="0.3">
      <c r="A43" s="13"/>
      <c r="B43" s="15"/>
      <c r="C43" s="13"/>
      <c r="D43" s="13"/>
      <c r="E43" s="13"/>
      <c r="F43" s="13"/>
      <c r="G43" s="13"/>
      <c r="H43" s="13"/>
      <c r="I43" s="21"/>
      <c r="J43" s="21"/>
      <c r="K43" s="21"/>
      <c r="L43" s="21"/>
      <c r="M43" s="21"/>
      <c r="N43" s="22"/>
      <c r="O43" s="22"/>
      <c r="P43" s="22"/>
      <c r="Q43" s="22"/>
      <c r="R43" s="22"/>
      <c r="S43" s="23"/>
      <c r="T43" s="23"/>
      <c r="U43" s="23"/>
      <c r="V43" s="23"/>
      <c r="W43" s="2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row>
    <row r="44" spans="1:83" x14ac:dyDescent="0.3">
      <c r="A44" s="13"/>
      <c r="B44" s="15"/>
      <c r="C44" s="13"/>
      <c r="D44" s="13"/>
      <c r="E44" s="13"/>
      <c r="F44" s="13"/>
      <c r="G44" s="13"/>
      <c r="H44" s="13"/>
      <c r="I44" s="21"/>
      <c r="J44" s="21"/>
      <c r="K44" s="21"/>
      <c r="L44" s="21"/>
      <c r="M44" s="21"/>
      <c r="N44" s="22"/>
      <c r="O44" s="22"/>
      <c r="P44" s="22"/>
      <c r="Q44" s="22"/>
      <c r="R44" s="22"/>
      <c r="S44" s="23"/>
      <c r="T44" s="23"/>
      <c r="U44" s="23"/>
      <c r="V44" s="23"/>
      <c r="W44" s="23"/>
      <c r="X44" s="13"/>
      <c r="Y44" s="13"/>
      <c r="Z44" s="13"/>
      <c r="AA44" s="20"/>
      <c r="AB44" s="13"/>
      <c r="AC44" s="20"/>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row>
    <row r="45" spans="1:83" x14ac:dyDescent="0.3">
      <c r="A45" s="13"/>
      <c r="B45" s="13"/>
      <c r="C45" s="13"/>
      <c r="D45" s="13"/>
      <c r="E45" s="13"/>
      <c r="F45" s="13"/>
      <c r="G45" s="13"/>
      <c r="H45" s="13"/>
      <c r="I45" s="13"/>
      <c r="J45" s="15"/>
      <c r="K45" s="13"/>
      <c r="L45" s="13"/>
      <c r="M45" s="12"/>
      <c r="N45" s="13"/>
      <c r="O45" s="13"/>
      <c r="P45" s="13"/>
      <c r="Q45" s="13"/>
      <c r="R45" s="13"/>
      <c r="S45" s="13"/>
      <c r="T45" s="13"/>
      <c r="U45" s="13"/>
      <c r="V45" s="13"/>
      <c r="W45" s="13"/>
      <c r="X45" s="13"/>
      <c r="Y45" s="13"/>
      <c r="Z45" s="13"/>
      <c r="AA45" s="20"/>
      <c r="AB45" s="13"/>
      <c r="AC45" s="20"/>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row>
    <row r="46" spans="1:83" x14ac:dyDescent="0.3">
      <c r="A46" s="13"/>
      <c r="B46" s="13"/>
      <c r="C46" s="13"/>
      <c r="D46" s="13"/>
      <c r="E46" s="12"/>
      <c r="F46" s="13"/>
      <c r="G46" s="13"/>
      <c r="H46" s="13"/>
      <c r="I46" s="13"/>
      <c r="J46" s="15"/>
      <c r="K46" s="13"/>
      <c r="L46" s="13"/>
      <c r="M46" s="12"/>
      <c r="N46" s="13"/>
      <c r="O46" s="13"/>
      <c r="P46" s="24"/>
      <c r="Q46" s="24"/>
      <c r="R46" s="24"/>
      <c r="S46" s="24"/>
      <c r="T46" s="24"/>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row>
    <row r="47" spans="1:83" x14ac:dyDescent="0.3">
      <c r="A47" s="13"/>
      <c r="B47" s="16"/>
      <c r="C47" s="13"/>
      <c r="D47" s="13"/>
      <c r="E47" s="13"/>
      <c r="F47" s="13"/>
      <c r="G47" s="13"/>
      <c r="H47" s="13"/>
      <c r="I47" s="13"/>
      <c r="J47" s="25"/>
      <c r="K47" s="13"/>
      <c r="L47" s="13"/>
      <c r="M47" s="12"/>
      <c r="N47" s="16"/>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row>
    <row r="48" spans="1:83" x14ac:dyDescent="0.3">
      <c r="A48" s="13"/>
      <c r="B48" s="16"/>
      <c r="C48" s="16"/>
      <c r="D48" s="26"/>
      <c r="E48" s="26"/>
      <c r="F48" s="26"/>
      <c r="G48" s="26"/>
      <c r="H48" s="26"/>
      <c r="I48" s="13"/>
      <c r="J48" s="25"/>
      <c r="K48" s="16"/>
      <c r="L48" s="13"/>
      <c r="M48" s="27"/>
      <c r="N48" s="16"/>
      <c r="O48" s="16"/>
      <c r="P48" s="16"/>
      <c r="Q48" s="16"/>
      <c r="R48" s="16"/>
      <c r="S48" s="16"/>
      <c r="T48" s="16"/>
      <c r="U48" s="26"/>
      <c r="V48" s="26"/>
      <c r="W48" s="26"/>
      <c r="X48" s="26"/>
      <c r="Y48" s="26"/>
      <c r="Z48" s="13"/>
      <c r="AA48" s="13"/>
      <c r="AB48" s="13"/>
      <c r="AC48" s="13"/>
      <c r="AD48" s="13"/>
      <c r="AE48" s="13"/>
      <c r="AF48" s="12"/>
      <c r="AG48" s="12"/>
      <c r="AH48" s="12"/>
      <c r="AI48" s="12"/>
      <c r="AJ48" s="12"/>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row>
    <row r="49" spans="1:83" x14ac:dyDescent="0.3">
      <c r="A49" s="13"/>
      <c r="B49" s="15"/>
      <c r="C49" s="13"/>
      <c r="D49" s="13"/>
      <c r="E49" s="13"/>
      <c r="F49" s="13"/>
      <c r="G49" s="13"/>
      <c r="H49" s="13"/>
      <c r="I49" s="13"/>
      <c r="J49" s="15"/>
      <c r="K49" s="13"/>
      <c r="L49" s="13"/>
      <c r="M49" s="12"/>
      <c r="N49" s="13"/>
      <c r="O49" s="13"/>
      <c r="P49" s="13"/>
      <c r="Q49" s="13"/>
      <c r="R49" s="13"/>
      <c r="S49" s="13"/>
      <c r="T49" s="13"/>
      <c r="U49" s="28"/>
      <c r="V49" s="28"/>
      <c r="W49" s="29"/>
      <c r="X49" s="28"/>
      <c r="Y49" s="28"/>
      <c r="Z49" s="13"/>
      <c r="AA49" s="13"/>
      <c r="AB49" s="13"/>
      <c r="AC49" s="13"/>
      <c r="AD49" s="13"/>
      <c r="AE49" s="13"/>
      <c r="AF49" s="12"/>
      <c r="AG49" s="12"/>
      <c r="AH49" s="12"/>
      <c r="AI49" s="12"/>
      <c r="AJ49" s="12"/>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row>
    <row r="50" spans="1:83" x14ac:dyDescent="0.3">
      <c r="A50" s="13"/>
      <c r="B50" s="15"/>
      <c r="C50" s="13"/>
      <c r="D50" s="13"/>
      <c r="E50" s="13"/>
      <c r="F50" s="13"/>
      <c r="G50" s="13"/>
      <c r="H50" s="13"/>
      <c r="I50" s="13"/>
      <c r="J50" s="15"/>
      <c r="K50" s="13"/>
      <c r="L50" s="13"/>
      <c r="M50" s="12"/>
      <c r="N50" s="13"/>
      <c r="O50" s="13"/>
      <c r="P50" s="13"/>
      <c r="Q50" s="13"/>
      <c r="R50" s="13"/>
      <c r="S50" s="13"/>
      <c r="T50" s="13"/>
      <c r="U50" s="28"/>
      <c r="V50" s="28"/>
      <c r="W50" s="29"/>
      <c r="X50" s="28"/>
      <c r="Y50" s="28"/>
      <c r="Z50" s="13"/>
      <c r="AA50" s="13"/>
      <c r="AB50" s="13"/>
      <c r="AC50" s="13"/>
      <c r="AD50" s="13"/>
      <c r="AE50" s="13"/>
      <c r="AF50" s="12"/>
      <c r="AG50" s="12"/>
      <c r="AH50" s="12"/>
      <c r="AI50" s="12"/>
      <c r="AJ50" s="12"/>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row>
    <row r="51" spans="1:83" x14ac:dyDescent="0.3">
      <c r="A51" s="13"/>
      <c r="B51" s="15"/>
      <c r="C51" s="13"/>
      <c r="D51" s="13"/>
      <c r="E51" s="13"/>
      <c r="F51" s="13"/>
      <c r="G51" s="13"/>
      <c r="H51" s="13"/>
      <c r="I51" s="13"/>
      <c r="J51" s="15"/>
      <c r="K51" s="13"/>
      <c r="L51" s="13"/>
      <c r="M51" s="12"/>
      <c r="N51" s="13"/>
      <c r="O51" s="13"/>
      <c r="P51" s="13"/>
      <c r="Q51" s="13"/>
      <c r="R51" s="13"/>
      <c r="S51" s="13"/>
      <c r="T51" s="13"/>
      <c r="U51" s="28"/>
      <c r="V51" s="28"/>
      <c r="W51" s="29"/>
      <c r="X51" s="28"/>
      <c r="Y51" s="28"/>
      <c r="Z51" s="13"/>
      <c r="AA51" s="13"/>
      <c r="AB51" s="13"/>
      <c r="AC51" s="13"/>
      <c r="AD51" s="13"/>
      <c r="AE51" s="13"/>
      <c r="AF51" s="12"/>
      <c r="AG51" s="12"/>
      <c r="AH51" s="12"/>
      <c r="AI51" s="12"/>
      <c r="AJ51" s="12"/>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row>
    <row r="52" spans="1:83" x14ac:dyDescent="0.3">
      <c r="A52" s="13"/>
      <c r="B52" s="15"/>
      <c r="C52" s="13"/>
      <c r="D52" s="13"/>
      <c r="E52" s="13"/>
      <c r="F52" s="13"/>
      <c r="G52" s="13"/>
      <c r="H52" s="13"/>
      <c r="I52" s="13"/>
      <c r="J52" s="15"/>
      <c r="K52" s="13"/>
      <c r="L52" s="13"/>
      <c r="M52" s="12"/>
      <c r="N52" s="13"/>
      <c r="O52" s="13"/>
      <c r="P52" s="13"/>
      <c r="Q52" s="13"/>
      <c r="R52" s="13"/>
      <c r="S52" s="13"/>
      <c r="T52" s="13"/>
      <c r="U52" s="28"/>
      <c r="V52" s="28"/>
      <c r="W52" s="29"/>
      <c r="X52" s="28"/>
      <c r="Y52" s="28"/>
      <c r="Z52" s="13"/>
      <c r="AA52" s="13"/>
      <c r="AB52" s="13"/>
      <c r="AC52" s="13"/>
      <c r="AD52" s="13"/>
      <c r="AE52" s="13"/>
      <c r="AF52" s="12"/>
      <c r="AG52" s="12"/>
      <c r="AH52" s="12"/>
      <c r="AI52" s="12"/>
      <c r="AJ52" s="12"/>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row>
    <row r="53" spans="1:83" x14ac:dyDescent="0.3">
      <c r="A53" s="13"/>
      <c r="B53" s="15"/>
      <c r="C53" s="13"/>
      <c r="D53" s="13"/>
      <c r="E53" s="13"/>
      <c r="F53" s="13"/>
      <c r="G53" s="13"/>
      <c r="H53" s="13"/>
      <c r="I53" s="13"/>
      <c r="J53" s="15"/>
      <c r="K53" s="13"/>
      <c r="L53" s="13"/>
      <c r="M53" s="12"/>
      <c r="N53" s="13"/>
      <c r="O53" s="13"/>
      <c r="P53" s="13"/>
      <c r="Q53" s="13"/>
      <c r="R53" s="13"/>
      <c r="S53" s="13"/>
      <c r="T53" s="13"/>
      <c r="U53" s="28"/>
      <c r="V53" s="28"/>
      <c r="W53" s="29"/>
      <c r="X53" s="28"/>
      <c r="Y53" s="28"/>
      <c r="Z53" s="13"/>
      <c r="AA53" s="13"/>
      <c r="AB53" s="13"/>
      <c r="AC53" s="13"/>
      <c r="AD53" s="13"/>
      <c r="AE53" s="13"/>
      <c r="AF53" s="12"/>
      <c r="AG53" s="12"/>
      <c r="AH53" s="12"/>
      <c r="AI53" s="12"/>
      <c r="AJ53" s="12"/>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row>
    <row r="54" spans="1:83" x14ac:dyDescent="0.3">
      <c r="A54" s="13"/>
      <c r="B54" s="15"/>
      <c r="C54" s="13"/>
      <c r="D54" s="13"/>
      <c r="E54" s="13"/>
      <c r="F54" s="13"/>
      <c r="G54" s="13"/>
      <c r="H54" s="13"/>
      <c r="I54" s="13"/>
      <c r="J54" s="15"/>
      <c r="K54" s="13"/>
      <c r="L54" s="13"/>
      <c r="M54" s="12"/>
      <c r="N54" s="13"/>
      <c r="O54" s="13"/>
      <c r="P54" s="13"/>
      <c r="Q54" s="13"/>
      <c r="R54" s="13"/>
      <c r="S54" s="13"/>
      <c r="T54" s="13"/>
      <c r="U54" s="28"/>
      <c r="V54" s="28"/>
      <c r="W54" s="29"/>
      <c r="X54" s="28"/>
      <c r="Y54" s="28"/>
      <c r="Z54" s="13"/>
      <c r="AA54" s="13"/>
      <c r="AB54" s="13"/>
      <c r="AC54" s="13"/>
      <c r="AD54" s="13"/>
      <c r="AE54" s="13"/>
      <c r="AF54" s="12"/>
      <c r="AG54" s="12"/>
      <c r="AH54" s="12"/>
      <c r="AI54" s="12"/>
      <c r="AJ54" s="12"/>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row>
    <row r="55" spans="1:83" x14ac:dyDescent="0.3">
      <c r="A55" s="13"/>
      <c r="B55" s="15"/>
      <c r="C55" s="13"/>
      <c r="D55" s="13"/>
      <c r="E55" s="13"/>
      <c r="F55" s="13"/>
      <c r="G55" s="13"/>
      <c r="H55" s="13"/>
      <c r="I55" s="13"/>
      <c r="J55" s="15"/>
      <c r="K55" s="13"/>
      <c r="L55" s="13"/>
      <c r="M55" s="12"/>
      <c r="N55" s="13"/>
      <c r="O55" s="13"/>
      <c r="P55" s="13"/>
      <c r="Q55" s="13"/>
      <c r="R55" s="13"/>
      <c r="S55" s="13"/>
      <c r="T55" s="13"/>
      <c r="U55" s="28"/>
      <c r="V55" s="28"/>
      <c r="W55" s="29"/>
      <c r="X55" s="28"/>
      <c r="Y55" s="28"/>
      <c r="Z55" s="13"/>
      <c r="AA55" s="13"/>
      <c r="AB55" s="13"/>
      <c r="AC55" s="13"/>
      <c r="AD55" s="13"/>
      <c r="AE55" s="13"/>
      <c r="AF55" s="12"/>
      <c r="AG55" s="12"/>
      <c r="AH55" s="12"/>
      <c r="AI55" s="12"/>
      <c r="AJ55" s="12"/>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row>
    <row r="56" spans="1:83" x14ac:dyDescent="0.3">
      <c r="A56" s="13"/>
      <c r="B56" s="15"/>
      <c r="C56" s="13"/>
      <c r="D56" s="13"/>
      <c r="E56" s="13"/>
      <c r="F56" s="13"/>
      <c r="G56" s="13"/>
      <c r="H56" s="13"/>
      <c r="I56" s="13"/>
      <c r="J56" s="15"/>
      <c r="K56" s="13"/>
      <c r="L56" s="13"/>
      <c r="M56" s="12"/>
      <c r="N56" s="13"/>
      <c r="O56" s="13"/>
      <c r="P56" s="13"/>
      <c r="Q56" s="13"/>
      <c r="R56" s="13"/>
      <c r="S56" s="13"/>
      <c r="T56" s="13"/>
      <c r="U56" s="28"/>
      <c r="V56" s="28"/>
      <c r="W56" s="29"/>
      <c r="X56" s="28"/>
      <c r="Y56" s="28"/>
      <c r="Z56" s="13"/>
      <c r="AA56" s="13"/>
      <c r="AB56" s="13"/>
      <c r="AC56" s="13"/>
      <c r="AD56" s="13"/>
      <c r="AE56" s="13"/>
      <c r="AF56" s="12"/>
      <c r="AG56" s="12"/>
      <c r="AH56" s="12"/>
      <c r="AI56" s="12"/>
      <c r="AJ56" s="12"/>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row>
    <row r="57" spans="1:83" x14ac:dyDescent="0.3">
      <c r="A57" s="13"/>
      <c r="B57" s="15"/>
      <c r="C57" s="13"/>
      <c r="D57" s="13"/>
      <c r="E57" s="13"/>
      <c r="F57" s="13"/>
      <c r="G57" s="13"/>
      <c r="H57" s="13"/>
      <c r="I57" s="13"/>
      <c r="J57" s="15"/>
      <c r="K57" s="13"/>
      <c r="L57" s="13"/>
      <c r="M57" s="12"/>
      <c r="N57" s="13"/>
      <c r="O57" s="13"/>
      <c r="P57" s="13"/>
      <c r="Q57" s="13"/>
      <c r="R57" s="13"/>
      <c r="S57" s="13"/>
      <c r="T57" s="13"/>
      <c r="U57" s="28"/>
      <c r="V57" s="28"/>
      <c r="W57" s="29"/>
      <c r="X57" s="28"/>
      <c r="Y57" s="28"/>
      <c r="Z57" s="13"/>
      <c r="AA57" s="13"/>
      <c r="AB57" s="13"/>
      <c r="AC57" s="13"/>
      <c r="AD57" s="13"/>
      <c r="AE57" s="13"/>
      <c r="AF57" s="12"/>
      <c r="AG57" s="12"/>
      <c r="AH57" s="12"/>
      <c r="AI57" s="12"/>
      <c r="AJ57" s="12"/>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row>
    <row r="58" spans="1:83" x14ac:dyDescent="0.3">
      <c r="A58" s="13"/>
      <c r="B58" s="15"/>
      <c r="C58" s="13"/>
      <c r="D58" s="13"/>
      <c r="E58" s="13"/>
      <c r="F58" s="13"/>
      <c r="G58" s="13"/>
      <c r="H58" s="13"/>
      <c r="I58" s="13"/>
      <c r="J58" s="15"/>
      <c r="K58" s="13"/>
      <c r="L58" s="13"/>
      <c r="M58" s="12"/>
      <c r="N58" s="13"/>
      <c r="O58" s="13"/>
      <c r="P58" s="13"/>
      <c r="Q58" s="13"/>
      <c r="R58" s="13"/>
      <c r="S58" s="13"/>
      <c r="T58" s="13"/>
      <c r="U58" s="28"/>
      <c r="V58" s="28"/>
      <c r="W58" s="29"/>
      <c r="X58" s="28"/>
      <c r="Y58" s="28"/>
      <c r="Z58" s="13"/>
      <c r="AA58" s="13"/>
      <c r="AB58" s="13"/>
      <c r="AC58" s="13"/>
      <c r="AD58" s="13"/>
      <c r="AE58" s="13"/>
      <c r="AF58" s="12"/>
      <c r="AG58" s="12"/>
      <c r="AH58" s="12"/>
      <c r="AI58" s="12"/>
      <c r="AJ58" s="12"/>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row>
    <row r="59" spans="1:83" x14ac:dyDescent="0.3">
      <c r="A59" s="13"/>
      <c r="B59" s="15"/>
      <c r="C59" s="13"/>
      <c r="D59" s="13"/>
      <c r="E59" s="13"/>
      <c r="F59" s="13"/>
      <c r="G59" s="13"/>
      <c r="H59" s="13"/>
      <c r="I59" s="13"/>
      <c r="J59" s="15"/>
      <c r="K59" s="13"/>
      <c r="L59" s="13"/>
      <c r="M59" s="12"/>
      <c r="N59" s="13"/>
      <c r="O59" s="13"/>
      <c r="P59" s="13"/>
      <c r="Q59" s="13"/>
      <c r="R59" s="13"/>
      <c r="S59" s="13"/>
      <c r="T59" s="13"/>
      <c r="U59" s="28"/>
      <c r="V59" s="28"/>
      <c r="W59" s="29"/>
      <c r="X59" s="28"/>
      <c r="Y59" s="28"/>
      <c r="Z59" s="13"/>
      <c r="AA59" s="13"/>
      <c r="AB59" s="13"/>
      <c r="AC59" s="13"/>
      <c r="AD59" s="13"/>
      <c r="AE59" s="13"/>
      <c r="AF59" s="12"/>
      <c r="AG59" s="12"/>
      <c r="AH59" s="12"/>
      <c r="AI59" s="12"/>
      <c r="AJ59" s="12"/>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row>
    <row r="60" spans="1:83" x14ac:dyDescent="0.3">
      <c r="A60" s="13"/>
      <c r="B60" s="15"/>
      <c r="C60" s="13"/>
      <c r="D60" s="13"/>
      <c r="E60" s="13"/>
      <c r="F60" s="13"/>
      <c r="G60" s="13"/>
      <c r="H60" s="13"/>
      <c r="I60" s="13"/>
      <c r="J60" s="15"/>
      <c r="K60" s="13"/>
      <c r="L60" s="13"/>
      <c r="M60" s="12"/>
      <c r="N60" s="13"/>
      <c r="O60" s="13"/>
      <c r="P60" s="13"/>
      <c r="Q60" s="13"/>
      <c r="R60" s="13"/>
      <c r="S60" s="13"/>
      <c r="T60" s="13"/>
      <c r="U60" s="28"/>
      <c r="V60" s="28"/>
      <c r="W60" s="29"/>
      <c r="X60" s="28"/>
      <c r="Y60" s="28"/>
      <c r="Z60" s="13"/>
      <c r="AA60" s="13"/>
      <c r="AB60" s="13"/>
      <c r="AC60" s="13"/>
      <c r="AD60" s="13"/>
      <c r="AE60" s="13"/>
      <c r="AF60" s="12"/>
      <c r="AG60" s="12"/>
      <c r="AH60" s="12"/>
      <c r="AI60" s="12"/>
      <c r="AJ60" s="12"/>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row>
    <row r="61" spans="1:83" x14ac:dyDescent="0.3">
      <c r="A61" s="13"/>
      <c r="B61" s="15"/>
      <c r="C61" s="13"/>
      <c r="D61" s="13"/>
      <c r="E61" s="13"/>
      <c r="F61" s="13"/>
      <c r="G61" s="13"/>
      <c r="H61" s="13"/>
      <c r="I61" s="13"/>
      <c r="J61" s="15"/>
      <c r="K61" s="13"/>
      <c r="L61" s="13"/>
      <c r="M61" s="12"/>
      <c r="N61" s="13"/>
      <c r="O61" s="13"/>
      <c r="P61" s="13"/>
      <c r="Q61" s="13"/>
      <c r="R61" s="13"/>
      <c r="S61" s="13"/>
      <c r="T61" s="13"/>
      <c r="U61" s="28"/>
      <c r="V61" s="28"/>
      <c r="W61" s="29"/>
      <c r="X61" s="28"/>
      <c r="Y61" s="28"/>
      <c r="Z61" s="13"/>
      <c r="AA61" s="13"/>
      <c r="AB61" s="13"/>
      <c r="AC61" s="13"/>
      <c r="AD61" s="13"/>
      <c r="AE61" s="13"/>
      <c r="AF61" s="12"/>
      <c r="AG61" s="12"/>
      <c r="AH61" s="12"/>
      <c r="AI61" s="12"/>
      <c r="AJ61" s="12"/>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row>
    <row r="62" spans="1:83" x14ac:dyDescent="0.3">
      <c r="A62" s="13"/>
      <c r="B62" s="15"/>
      <c r="C62" s="13"/>
      <c r="D62" s="13"/>
      <c r="E62" s="13"/>
      <c r="F62" s="13"/>
      <c r="G62" s="13"/>
      <c r="H62" s="13"/>
      <c r="I62" s="13"/>
      <c r="J62" s="15"/>
      <c r="K62" s="13"/>
      <c r="L62" s="13"/>
      <c r="M62" s="12"/>
      <c r="N62" s="13"/>
      <c r="O62" s="13"/>
      <c r="P62" s="13"/>
      <c r="Q62" s="13"/>
      <c r="R62" s="13"/>
      <c r="S62" s="13"/>
      <c r="T62" s="13"/>
      <c r="U62" s="28"/>
      <c r="V62" s="28"/>
      <c r="W62" s="29"/>
      <c r="X62" s="28"/>
      <c r="Y62" s="28"/>
      <c r="Z62" s="13"/>
      <c r="AA62" s="13"/>
      <c r="AB62" s="13"/>
      <c r="AC62" s="13"/>
      <c r="AD62" s="13"/>
      <c r="AE62" s="13"/>
      <c r="AF62" s="12"/>
      <c r="AG62" s="12"/>
      <c r="AH62" s="12"/>
      <c r="AI62" s="12"/>
      <c r="AJ62" s="12"/>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row>
    <row r="63" spans="1:83" x14ac:dyDescent="0.3">
      <c r="A63" s="13"/>
      <c r="B63" s="15"/>
      <c r="C63" s="13"/>
      <c r="D63" s="13"/>
      <c r="E63" s="13"/>
      <c r="F63" s="13"/>
      <c r="G63" s="13"/>
      <c r="H63" s="13"/>
      <c r="I63" s="13"/>
      <c r="J63" s="15"/>
      <c r="K63" s="13"/>
      <c r="L63" s="13"/>
      <c r="M63" s="12"/>
      <c r="N63" s="13"/>
      <c r="O63" s="13"/>
      <c r="P63" s="13"/>
      <c r="Q63" s="13"/>
      <c r="R63" s="13"/>
      <c r="S63" s="13"/>
      <c r="T63" s="13"/>
      <c r="U63" s="28"/>
      <c r="V63" s="28"/>
      <c r="W63" s="29"/>
      <c r="X63" s="28"/>
      <c r="Y63" s="28"/>
      <c r="Z63" s="13"/>
      <c r="AA63" s="13"/>
      <c r="AB63" s="13"/>
      <c r="AC63" s="13"/>
      <c r="AD63" s="13"/>
      <c r="AE63" s="13"/>
      <c r="AF63" s="12"/>
      <c r="AG63" s="12"/>
      <c r="AH63" s="12"/>
      <c r="AI63" s="12"/>
      <c r="AJ63" s="12"/>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row>
    <row r="64" spans="1:83" x14ac:dyDescent="0.3">
      <c r="A64" s="13"/>
      <c r="B64" s="15"/>
      <c r="C64" s="13"/>
      <c r="D64" s="13"/>
      <c r="E64" s="13"/>
      <c r="F64" s="13"/>
      <c r="G64" s="13"/>
      <c r="H64" s="13"/>
      <c r="I64" s="13"/>
      <c r="J64" s="15"/>
      <c r="K64" s="13"/>
      <c r="L64" s="13"/>
      <c r="M64" s="12"/>
      <c r="N64" s="13"/>
      <c r="O64" s="13"/>
      <c r="P64" s="13"/>
      <c r="Q64" s="13"/>
      <c r="R64" s="13"/>
      <c r="S64" s="13"/>
      <c r="T64" s="13"/>
      <c r="U64" s="28"/>
      <c r="V64" s="28"/>
      <c r="W64" s="29"/>
      <c r="X64" s="28"/>
      <c r="Y64" s="28"/>
      <c r="Z64" s="13"/>
      <c r="AA64" s="13"/>
      <c r="AB64" s="13"/>
      <c r="AC64" s="13"/>
      <c r="AD64" s="13"/>
      <c r="AE64" s="13"/>
      <c r="AF64" s="12"/>
      <c r="AG64" s="12"/>
      <c r="AH64" s="12"/>
      <c r="AI64" s="12"/>
      <c r="AJ64" s="12"/>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row>
    <row r="65" spans="1:83" x14ac:dyDescent="0.3">
      <c r="A65" s="13"/>
      <c r="B65" s="15"/>
      <c r="C65" s="13"/>
      <c r="D65" s="13"/>
      <c r="E65" s="13"/>
      <c r="F65" s="13"/>
      <c r="G65" s="13"/>
      <c r="H65" s="13"/>
      <c r="I65" s="13"/>
      <c r="J65" s="15"/>
      <c r="K65" s="13"/>
      <c r="L65" s="13"/>
      <c r="M65" s="12"/>
      <c r="N65" s="13"/>
      <c r="O65" s="13"/>
      <c r="P65" s="13"/>
      <c r="Q65" s="13"/>
      <c r="R65" s="13"/>
      <c r="S65" s="13"/>
      <c r="T65" s="13"/>
      <c r="U65" s="28"/>
      <c r="V65" s="28"/>
      <c r="W65" s="29"/>
      <c r="X65" s="28"/>
      <c r="Y65" s="28"/>
      <c r="Z65" s="13"/>
      <c r="AA65" s="13"/>
      <c r="AB65" s="13"/>
      <c r="AC65" s="13"/>
      <c r="AD65" s="13"/>
      <c r="AE65" s="13"/>
      <c r="AF65" s="12"/>
      <c r="AG65" s="12"/>
      <c r="AH65" s="12"/>
      <c r="AI65" s="12"/>
      <c r="AJ65" s="12"/>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row>
    <row r="66" spans="1:83" x14ac:dyDescent="0.3">
      <c r="A66" s="13"/>
      <c r="B66" s="15"/>
      <c r="C66" s="13"/>
      <c r="D66" s="13"/>
      <c r="E66" s="13"/>
      <c r="F66" s="13"/>
      <c r="G66" s="13"/>
      <c r="H66" s="13"/>
      <c r="I66" s="13"/>
      <c r="J66" s="15"/>
      <c r="K66" s="13"/>
      <c r="L66" s="13"/>
      <c r="M66" s="12"/>
      <c r="N66" s="13"/>
      <c r="O66" s="13"/>
      <c r="P66" s="13"/>
      <c r="Q66" s="13"/>
      <c r="R66" s="13"/>
      <c r="S66" s="13"/>
      <c r="T66" s="13"/>
      <c r="U66" s="28"/>
      <c r="V66" s="28"/>
      <c r="W66" s="29"/>
      <c r="X66" s="28"/>
      <c r="Y66" s="28"/>
      <c r="Z66" s="13"/>
      <c r="AA66" s="13"/>
      <c r="AB66" s="13"/>
      <c r="AC66" s="13"/>
      <c r="AD66" s="13"/>
      <c r="AE66" s="13"/>
      <c r="AF66" s="12"/>
      <c r="AG66" s="12"/>
      <c r="AH66" s="12"/>
      <c r="AI66" s="12"/>
      <c r="AJ66" s="12"/>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row>
    <row r="67" spans="1:83" x14ac:dyDescent="0.3">
      <c r="A67" s="13"/>
      <c r="B67" s="15"/>
      <c r="C67" s="13"/>
      <c r="D67" s="13"/>
      <c r="E67" s="13"/>
      <c r="F67" s="13"/>
      <c r="G67" s="13"/>
      <c r="H67" s="13"/>
      <c r="I67" s="13"/>
      <c r="J67" s="15"/>
      <c r="K67" s="13"/>
      <c r="L67" s="13"/>
      <c r="M67" s="12"/>
      <c r="N67" s="13"/>
      <c r="O67" s="13"/>
      <c r="P67" s="13"/>
      <c r="Q67" s="13"/>
      <c r="R67" s="13"/>
      <c r="S67" s="13"/>
      <c r="T67" s="13"/>
      <c r="U67" s="28"/>
      <c r="V67" s="28"/>
      <c r="W67" s="29"/>
      <c r="X67" s="28"/>
      <c r="Y67" s="28"/>
      <c r="Z67" s="13"/>
      <c r="AA67" s="13"/>
      <c r="AB67" s="13"/>
      <c r="AC67" s="13"/>
      <c r="AD67" s="13"/>
      <c r="AE67" s="13"/>
      <c r="AF67" s="12"/>
      <c r="AG67" s="12"/>
      <c r="AH67" s="12"/>
      <c r="AI67" s="12"/>
      <c r="AJ67" s="12"/>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row>
    <row r="68" spans="1:83" x14ac:dyDescent="0.3">
      <c r="A68" s="13"/>
      <c r="B68" s="15"/>
      <c r="C68" s="13"/>
      <c r="D68" s="13"/>
      <c r="E68" s="13"/>
      <c r="F68" s="13"/>
      <c r="G68" s="13"/>
      <c r="H68" s="13"/>
      <c r="I68" s="13"/>
      <c r="J68" s="15"/>
      <c r="K68" s="13"/>
      <c r="L68" s="13"/>
      <c r="M68" s="12"/>
      <c r="N68" s="13"/>
      <c r="O68" s="13"/>
      <c r="P68" s="13"/>
      <c r="Q68" s="13"/>
      <c r="R68" s="13"/>
      <c r="S68" s="13"/>
      <c r="T68" s="13"/>
      <c r="U68" s="28"/>
      <c r="V68" s="28"/>
      <c r="W68" s="29"/>
      <c r="X68" s="28"/>
      <c r="Y68" s="28"/>
      <c r="Z68" s="13"/>
      <c r="AA68" s="13"/>
      <c r="AB68" s="13"/>
      <c r="AC68" s="13"/>
      <c r="AD68" s="13"/>
      <c r="AE68" s="13"/>
      <c r="AF68" s="12"/>
      <c r="AG68" s="12"/>
      <c r="AH68" s="12"/>
      <c r="AI68" s="12"/>
      <c r="AJ68" s="12"/>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row>
    <row r="69" spans="1:83" x14ac:dyDescent="0.3">
      <c r="A69" s="13"/>
      <c r="B69" s="15"/>
      <c r="C69" s="13"/>
      <c r="D69" s="13"/>
      <c r="E69" s="13"/>
      <c r="F69" s="13"/>
      <c r="G69" s="13"/>
      <c r="H69" s="13"/>
      <c r="I69" s="13"/>
      <c r="J69" s="15"/>
      <c r="K69" s="13"/>
      <c r="L69" s="13"/>
      <c r="M69" s="12"/>
      <c r="N69" s="13"/>
      <c r="O69" s="13"/>
      <c r="P69" s="13"/>
      <c r="Q69" s="13"/>
      <c r="R69" s="13"/>
      <c r="S69" s="13"/>
      <c r="T69" s="13"/>
      <c r="U69" s="28"/>
      <c r="V69" s="28"/>
      <c r="W69" s="29"/>
      <c r="X69" s="28"/>
      <c r="Y69" s="28"/>
      <c r="Z69" s="13"/>
      <c r="AA69" s="13"/>
      <c r="AB69" s="13"/>
      <c r="AC69" s="13"/>
      <c r="AD69" s="13"/>
      <c r="AE69" s="13"/>
      <c r="AF69" s="12"/>
      <c r="AG69" s="12"/>
      <c r="AH69" s="12"/>
      <c r="AI69" s="12"/>
      <c r="AJ69" s="12"/>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row>
    <row r="70" spans="1:83" x14ac:dyDescent="0.3">
      <c r="A70" s="13"/>
      <c r="B70" s="15"/>
      <c r="C70" s="13"/>
      <c r="D70" s="13"/>
      <c r="E70" s="13"/>
      <c r="F70" s="13"/>
      <c r="G70" s="13"/>
      <c r="H70" s="13"/>
      <c r="I70" s="13"/>
      <c r="J70" s="15"/>
      <c r="K70" s="13"/>
      <c r="L70" s="13"/>
      <c r="M70" s="12"/>
      <c r="N70" s="13"/>
      <c r="O70" s="13"/>
      <c r="P70" s="13"/>
      <c r="Q70" s="13"/>
      <c r="R70" s="13"/>
      <c r="S70" s="13"/>
      <c r="T70" s="13"/>
      <c r="U70" s="28"/>
      <c r="V70" s="28"/>
      <c r="W70" s="29"/>
      <c r="X70" s="28"/>
      <c r="Y70" s="28"/>
      <c r="Z70" s="13"/>
      <c r="AA70" s="13"/>
      <c r="AB70" s="13"/>
      <c r="AC70" s="13"/>
      <c r="AD70" s="13"/>
      <c r="AE70" s="13"/>
      <c r="AF70" s="12"/>
      <c r="AG70" s="12"/>
      <c r="AH70" s="12"/>
      <c r="AI70" s="12"/>
      <c r="AJ70" s="12"/>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row>
    <row r="71" spans="1:83" x14ac:dyDescent="0.3">
      <c r="A71" s="13"/>
      <c r="B71" s="15"/>
      <c r="C71" s="13"/>
      <c r="D71" s="13"/>
      <c r="E71" s="13"/>
      <c r="F71" s="13"/>
      <c r="G71" s="13"/>
      <c r="H71" s="13"/>
      <c r="I71" s="13"/>
      <c r="J71" s="15"/>
      <c r="K71" s="13"/>
      <c r="L71" s="13"/>
      <c r="M71" s="12"/>
      <c r="N71" s="13"/>
      <c r="O71" s="13"/>
      <c r="P71" s="13"/>
      <c r="Q71" s="13"/>
      <c r="R71" s="13"/>
      <c r="S71" s="13"/>
      <c r="T71" s="13"/>
      <c r="U71" s="28"/>
      <c r="V71" s="28"/>
      <c r="W71" s="29"/>
      <c r="X71" s="28"/>
      <c r="Y71" s="28"/>
      <c r="Z71" s="13"/>
      <c r="AA71" s="13"/>
      <c r="AB71" s="13"/>
      <c r="AC71" s="13"/>
      <c r="AD71" s="13"/>
      <c r="AE71" s="13"/>
      <c r="AF71" s="12"/>
      <c r="AG71" s="12"/>
      <c r="AH71" s="12"/>
      <c r="AI71" s="12"/>
      <c r="AJ71" s="12"/>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row>
    <row r="72" spans="1:83" x14ac:dyDescent="0.3">
      <c r="A72" s="13"/>
      <c r="B72" s="15"/>
      <c r="C72" s="13"/>
      <c r="D72" s="13"/>
      <c r="E72" s="13"/>
      <c r="F72" s="13"/>
      <c r="G72" s="13"/>
      <c r="H72" s="13"/>
      <c r="I72" s="13"/>
      <c r="J72" s="15"/>
      <c r="K72" s="13"/>
      <c r="L72" s="13"/>
      <c r="M72" s="12"/>
      <c r="N72" s="13"/>
      <c r="O72" s="13"/>
      <c r="P72" s="13"/>
      <c r="Q72" s="13"/>
      <c r="R72" s="13"/>
      <c r="S72" s="13"/>
      <c r="T72" s="13"/>
      <c r="U72" s="28"/>
      <c r="V72" s="28"/>
      <c r="W72" s="29"/>
      <c r="X72" s="28"/>
      <c r="Y72" s="28"/>
      <c r="Z72" s="13"/>
      <c r="AA72" s="13"/>
      <c r="AB72" s="13"/>
      <c r="AC72" s="13"/>
      <c r="AD72" s="13"/>
      <c r="AE72" s="13"/>
      <c r="AF72" s="12"/>
      <c r="AG72" s="12"/>
      <c r="AH72" s="12"/>
      <c r="AI72" s="12"/>
      <c r="AJ72" s="12"/>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row>
    <row r="73" spans="1:83" x14ac:dyDescent="0.3">
      <c r="A73" s="13"/>
      <c r="B73" s="15"/>
      <c r="C73" s="13"/>
      <c r="D73" s="13"/>
      <c r="E73" s="13"/>
      <c r="F73" s="13"/>
      <c r="G73" s="13"/>
      <c r="H73" s="13"/>
      <c r="I73" s="13"/>
      <c r="J73" s="15"/>
      <c r="K73" s="13"/>
      <c r="L73" s="13"/>
      <c r="M73" s="12"/>
      <c r="N73" s="13"/>
      <c r="O73" s="13"/>
      <c r="P73" s="13"/>
      <c r="Q73" s="13"/>
      <c r="R73" s="13"/>
      <c r="S73" s="13"/>
      <c r="T73" s="13"/>
      <c r="U73" s="28"/>
      <c r="V73" s="28"/>
      <c r="W73" s="29"/>
      <c r="X73" s="28"/>
      <c r="Y73" s="28"/>
      <c r="Z73" s="13"/>
      <c r="AA73" s="13"/>
      <c r="AB73" s="13"/>
      <c r="AC73" s="13"/>
      <c r="AD73" s="13"/>
      <c r="AE73" s="13"/>
      <c r="AF73" s="12"/>
      <c r="AG73" s="12"/>
      <c r="AH73" s="12"/>
      <c r="AI73" s="12"/>
      <c r="AJ73" s="12"/>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row>
    <row r="74" spans="1:83" x14ac:dyDescent="0.3">
      <c r="A74" s="13"/>
      <c r="B74" s="15"/>
      <c r="C74" s="13"/>
      <c r="D74" s="13"/>
      <c r="E74" s="13"/>
      <c r="F74" s="13"/>
      <c r="G74" s="13"/>
      <c r="H74" s="13"/>
      <c r="I74" s="13"/>
      <c r="J74" s="15"/>
      <c r="K74" s="13"/>
      <c r="L74" s="13"/>
      <c r="M74" s="12"/>
      <c r="N74" s="13"/>
      <c r="O74" s="13"/>
      <c r="P74" s="13"/>
      <c r="Q74" s="13"/>
      <c r="R74" s="13"/>
      <c r="S74" s="13"/>
      <c r="T74" s="13"/>
      <c r="U74" s="28"/>
      <c r="V74" s="28"/>
      <c r="W74" s="29"/>
      <c r="X74" s="28"/>
      <c r="Y74" s="28"/>
      <c r="Z74" s="13"/>
      <c r="AA74" s="13"/>
      <c r="AB74" s="13"/>
      <c r="AC74" s="13"/>
      <c r="AD74" s="13"/>
      <c r="AE74" s="13"/>
      <c r="AF74" s="12"/>
      <c r="AG74" s="12"/>
      <c r="AH74" s="12"/>
      <c r="AI74" s="12"/>
      <c r="AJ74" s="12"/>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row>
    <row r="75" spans="1:83" x14ac:dyDescent="0.3">
      <c r="A75" s="13"/>
      <c r="B75" s="15"/>
      <c r="C75" s="13"/>
      <c r="D75" s="13"/>
      <c r="E75" s="13"/>
      <c r="F75" s="13"/>
      <c r="G75" s="13"/>
      <c r="H75" s="13"/>
      <c r="I75" s="13"/>
      <c r="J75" s="15"/>
      <c r="K75" s="13"/>
      <c r="L75" s="13"/>
      <c r="M75" s="12"/>
      <c r="N75" s="13"/>
      <c r="O75" s="13"/>
      <c r="P75" s="13"/>
      <c r="Q75" s="13"/>
      <c r="R75" s="13"/>
      <c r="S75" s="13"/>
      <c r="T75" s="13"/>
      <c r="U75" s="28"/>
      <c r="V75" s="28"/>
      <c r="W75" s="29"/>
      <c r="X75" s="28"/>
      <c r="Y75" s="28"/>
      <c r="Z75" s="13"/>
      <c r="AA75" s="13"/>
      <c r="AB75" s="13"/>
      <c r="AC75" s="13"/>
      <c r="AD75" s="13"/>
      <c r="AE75" s="13"/>
      <c r="AF75" s="12"/>
      <c r="AG75" s="12"/>
      <c r="AH75" s="12"/>
      <c r="AI75" s="12"/>
      <c r="AJ75" s="12"/>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row>
    <row r="76" spans="1:83" x14ac:dyDescent="0.3">
      <c r="A76" s="13"/>
      <c r="B76" s="15"/>
      <c r="C76" s="13"/>
      <c r="D76" s="13"/>
      <c r="E76" s="13"/>
      <c r="F76" s="13"/>
      <c r="G76" s="13"/>
      <c r="H76" s="13"/>
      <c r="I76" s="13"/>
      <c r="J76" s="15"/>
      <c r="K76" s="13"/>
      <c r="L76" s="13"/>
      <c r="M76" s="12"/>
      <c r="N76" s="13"/>
      <c r="O76" s="13"/>
      <c r="P76" s="13"/>
      <c r="Q76" s="13"/>
      <c r="R76" s="13"/>
      <c r="S76" s="13"/>
      <c r="T76" s="13"/>
      <c r="U76" s="28"/>
      <c r="V76" s="28"/>
      <c r="W76" s="29"/>
      <c r="X76" s="28"/>
      <c r="Y76" s="28"/>
      <c r="Z76" s="13"/>
      <c r="AA76" s="13"/>
      <c r="AB76" s="13"/>
      <c r="AC76" s="13"/>
      <c r="AD76" s="13"/>
      <c r="AE76" s="13"/>
      <c r="AF76" s="12"/>
      <c r="AG76" s="12"/>
      <c r="AH76" s="12"/>
      <c r="AI76" s="12"/>
      <c r="AJ76" s="12"/>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row>
    <row r="77" spans="1:83" x14ac:dyDescent="0.3">
      <c r="A77" s="13"/>
      <c r="B77" s="15"/>
      <c r="C77" s="13"/>
      <c r="D77" s="13"/>
      <c r="E77" s="13"/>
      <c r="F77" s="13"/>
      <c r="G77" s="13"/>
      <c r="H77" s="13"/>
      <c r="I77" s="13"/>
      <c r="J77" s="15"/>
      <c r="K77" s="13"/>
      <c r="L77" s="13"/>
      <c r="M77" s="12"/>
      <c r="N77" s="13"/>
      <c r="O77" s="13"/>
      <c r="P77" s="13"/>
      <c r="Q77" s="13"/>
      <c r="R77" s="13"/>
      <c r="S77" s="13"/>
      <c r="T77" s="13"/>
      <c r="U77" s="28"/>
      <c r="V77" s="28"/>
      <c r="W77" s="29"/>
      <c r="X77" s="28"/>
      <c r="Y77" s="28"/>
      <c r="Z77" s="13"/>
      <c r="AA77" s="13"/>
      <c r="AB77" s="13"/>
      <c r="AC77" s="13"/>
      <c r="AD77" s="13"/>
      <c r="AE77" s="13"/>
      <c r="AF77" s="12"/>
      <c r="AG77" s="12"/>
      <c r="AH77" s="12"/>
      <c r="AI77" s="12"/>
      <c r="AJ77" s="12"/>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row>
    <row r="78" spans="1:83" x14ac:dyDescent="0.3">
      <c r="A78" s="13"/>
      <c r="B78" s="15"/>
      <c r="C78" s="13"/>
      <c r="D78" s="13"/>
      <c r="E78" s="13"/>
      <c r="F78" s="13"/>
      <c r="G78" s="13"/>
      <c r="H78" s="13"/>
      <c r="I78" s="13"/>
      <c r="J78" s="15"/>
      <c r="K78" s="13"/>
      <c r="L78" s="13"/>
      <c r="M78" s="12"/>
      <c r="N78" s="13"/>
      <c r="O78" s="13"/>
      <c r="P78" s="13"/>
      <c r="Q78" s="13"/>
      <c r="R78" s="13"/>
      <c r="S78" s="13"/>
      <c r="T78" s="13"/>
      <c r="U78" s="28"/>
      <c r="V78" s="28"/>
      <c r="W78" s="29"/>
      <c r="X78" s="28"/>
      <c r="Y78" s="28"/>
      <c r="Z78" s="13"/>
      <c r="AA78" s="13"/>
      <c r="AB78" s="13"/>
      <c r="AC78" s="13"/>
      <c r="AD78" s="13"/>
      <c r="AE78" s="13"/>
      <c r="AF78" s="12"/>
      <c r="AG78" s="12"/>
      <c r="AH78" s="12"/>
      <c r="AI78" s="12"/>
      <c r="AJ78" s="12"/>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row>
    <row r="79" spans="1:83" x14ac:dyDescent="0.3">
      <c r="A79" s="13"/>
      <c r="B79" s="15"/>
      <c r="C79" s="13"/>
      <c r="D79" s="13"/>
      <c r="E79" s="13"/>
      <c r="F79" s="13"/>
      <c r="G79" s="13"/>
      <c r="H79" s="13"/>
      <c r="I79" s="13"/>
      <c r="J79" s="15"/>
      <c r="K79" s="13"/>
      <c r="L79" s="13"/>
      <c r="M79" s="12"/>
      <c r="N79" s="13"/>
      <c r="O79" s="13"/>
      <c r="P79" s="13"/>
      <c r="Q79" s="13"/>
      <c r="R79" s="13"/>
      <c r="S79" s="13"/>
      <c r="T79" s="13"/>
      <c r="U79" s="28"/>
      <c r="V79" s="28"/>
      <c r="W79" s="29"/>
      <c r="X79" s="28"/>
      <c r="Y79" s="28"/>
      <c r="Z79" s="13"/>
      <c r="AA79" s="13"/>
      <c r="AB79" s="13"/>
      <c r="AC79" s="13"/>
      <c r="AD79" s="13"/>
      <c r="AE79" s="13"/>
      <c r="AF79" s="12"/>
      <c r="AG79" s="12"/>
      <c r="AH79" s="12"/>
      <c r="AI79" s="12"/>
      <c r="AJ79" s="12"/>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row>
    <row r="80" spans="1:83" x14ac:dyDescent="0.3">
      <c r="A80" s="13"/>
      <c r="B80" s="15"/>
      <c r="C80" s="13"/>
      <c r="D80" s="13"/>
      <c r="E80" s="13"/>
      <c r="F80" s="13"/>
      <c r="G80" s="13"/>
      <c r="H80" s="13"/>
      <c r="I80" s="13"/>
      <c r="J80" s="15"/>
      <c r="K80" s="13"/>
      <c r="L80" s="13"/>
      <c r="M80" s="12"/>
      <c r="N80" s="13"/>
      <c r="O80" s="13"/>
      <c r="P80" s="13"/>
      <c r="Q80" s="13"/>
      <c r="R80" s="13"/>
      <c r="S80" s="13"/>
      <c r="T80" s="13"/>
      <c r="U80" s="28"/>
      <c r="V80" s="28"/>
      <c r="W80" s="29"/>
      <c r="X80" s="28"/>
      <c r="Y80" s="28"/>
      <c r="Z80" s="13"/>
      <c r="AA80" s="13"/>
      <c r="AB80" s="13"/>
      <c r="AC80" s="13"/>
      <c r="AD80" s="13"/>
      <c r="AE80" s="13"/>
      <c r="AF80" s="12"/>
      <c r="AG80" s="12"/>
      <c r="AH80" s="12"/>
      <c r="AI80" s="12"/>
      <c r="AJ80" s="12"/>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row>
    <row r="81" spans="1:83" x14ac:dyDescent="0.3">
      <c r="A81" s="13"/>
      <c r="B81" s="15"/>
      <c r="C81" s="13"/>
      <c r="D81" s="13"/>
      <c r="E81" s="13"/>
      <c r="F81" s="13"/>
      <c r="G81" s="13"/>
      <c r="H81" s="13"/>
      <c r="I81" s="13"/>
      <c r="J81" s="15"/>
      <c r="K81" s="13"/>
      <c r="L81" s="13"/>
      <c r="M81" s="12"/>
      <c r="N81" s="13"/>
      <c r="O81" s="13"/>
      <c r="P81" s="13"/>
      <c r="Q81" s="13"/>
      <c r="R81" s="13"/>
      <c r="S81" s="13"/>
      <c r="T81" s="13"/>
      <c r="U81" s="28"/>
      <c r="V81" s="28"/>
      <c r="W81" s="29"/>
      <c r="X81" s="28"/>
      <c r="Y81" s="28"/>
      <c r="Z81" s="13"/>
      <c r="AA81" s="13"/>
      <c r="AB81" s="13"/>
      <c r="AC81" s="13"/>
      <c r="AD81" s="13"/>
      <c r="AE81" s="13"/>
      <c r="AF81" s="12"/>
      <c r="AG81" s="12"/>
      <c r="AH81" s="12"/>
      <c r="AI81" s="12"/>
      <c r="AJ81" s="12"/>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row>
    <row r="82" spans="1:83" x14ac:dyDescent="0.3">
      <c r="A82" s="13"/>
      <c r="B82" s="15"/>
      <c r="C82" s="13"/>
      <c r="D82" s="13"/>
      <c r="E82" s="13"/>
      <c r="F82" s="13"/>
      <c r="G82" s="13"/>
      <c r="H82" s="13"/>
      <c r="I82" s="13"/>
      <c r="J82" s="15"/>
      <c r="K82" s="13"/>
      <c r="L82" s="13"/>
      <c r="M82" s="12"/>
      <c r="N82" s="13"/>
      <c r="O82" s="13"/>
      <c r="P82" s="13"/>
      <c r="Q82" s="13"/>
      <c r="R82" s="13"/>
      <c r="S82" s="13"/>
      <c r="T82" s="13"/>
      <c r="U82" s="28"/>
      <c r="V82" s="28"/>
      <c r="W82" s="29"/>
      <c r="X82" s="28"/>
      <c r="Y82" s="28"/>
      <c r="Z82" s="13"/>
      <c r="AA82" s="13"/>
      <c r="AB82" s="13"/>
      <c r="AC82" s="13"/>
      <c r="AD82" s="13"/>
      <c r="AE82" s="13"/>
      <c r="AF82" s="12"/>
      <c r="AG82" s="12"/>
      <c r="AH82" s="12"/>
      <c r="AI82" s="12"/>
      <c r="AJ82" s="12"/>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row>
    <row r="83" spans="1:83" x14ac:dyDescent="0.3">
      <c r="A83" s="13"/>
      <c r="B83" s="15"/>
      <c r="C83" s="13"/>
      <c r="D83" s="13"/>
      <c r="E83" s="13"/>
      <c r="F83" s="13"/>
      <c r="G83" s="13"/>
      <c r="H83" s="13"/>
      <c r="I83" s="13"/>
      <c r="J83" s="15"/>
      <c r="K83" s="13"/>
      <c r="L83" s="13"/>
      <c r="M83" s="12"/>
      <c r="N83" s="13"/>
      <c r="O83" s="13"/>
      <c r="P83" s="13"/>
      <c r="Q83" s="13"/>
      <c r="R83" s="13"/>
      <c r="S83" s="13"/>
      <c r="T83" s="13"/>
      <c r="U83" s="28"/>
      <c r="V83" s="28"/>
      <c r="W83" s="29"/>
      <c r="X83" s="28"/>
      <c r="Y83" s="28"/>
      <c r="Z83" s="13"/>
      <c r="AA83" s="13"/>
      <c r="AB83" s="13"/>
      <c r="AC83" s="13"/>
      <c r="AD83" s="13"/>
      <c r="AE83" s="13"/>
      <c r="AF83" s="12"/>
      <c r="AG83" s="12"/>
      <c r="AH83" s="12"/>
      <c r="AI83" s="12"/>
      <c r="AJ83" s="12"/>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row>
    <row r="84" spans="1:83" x14ac:dyDescent="0.3">
      <c r="A84" s="13"/>
      <c r="B84" s="15"/>
      <c r="C84" s="13"/>
      <c r="D84" s="13"/>
      <c r="E84" s="13"/>
      <c r="F84" s="13"/>
      <c r="G84" s="13"/>
      <c r="H84" s="13"/>
      <c r="I84" s="13"/>
      <c r="J84" s="15"/>
      <c r="K84" s="13"/>
      <c r="L84" s="13"/>
      <c r="M84" s="12"/>
      <c r="N84" s="13"/>
      <c r="O84" s="13"/>
      <c r="P84" s="13"/>
      <c r="Q84" s="13"/>
      <c r="R84" s="13"/>
      <c r="S84" s="13"/>
      <c r="T84" s="13"/>
      <c r="U84" s="28"/>
      <c r="V84" s="28"/>
      <c r="W84" s="29"/>
      <c r="X84" s="28"/>
      <c r="Y84" s="28"/>
      <c r="Z84" s="13"/>
      <c r="AA84" s="13"/>
      <c r="AB84" s="13"/>
      <c r="AC84" s="13"/>
      <c r="AD84" s="13"/>
      <c r="AE84" s="13"/>
      <c r="AF84" s="12"/>
      <c r="AG84" s="12"/>
      <c r="AH84" s="12"/>
      <c r="AI84" s="12"/>
      <c r="AJ84" s="12"/>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row>
    <row r="85" spans="1:83" x14ac:dyDescent="0.3">
      <c r="A85" s="13"/>
      <c r="B85" s="15"/>
      <c r="C85" s="13"/>
      <c r="D85" s="13"/>
      <c r="E85" s="13"/>
      <c r="F85" s="13"/>
      <c r="G85" s="13"/>
      <c r="H85" s="13"/>
      <c r="I85" s="13"/>
      <c r="J85" s="15"/>
      <c r="K85" s="13"/>
      <c r="L85" s="13"/>
      <c r="M85" s="12"/>
      <c r="N85" s="13"/>
      <c r="O85" s="13"/>
      <c r="P85" s="13"/>
      <c r="Q85" s="13"/>
      <c r="R85" s="13"/>
      <c r="S85" s="13"/>
      <c r="T85" s="13"/>
      <c r="U85" s="28"/>
      <c r="V85" s="28"/>
      <c r="W85" s="29"/>
      <c r="X85" s="28"/>
      <c r="Y85" s="28"/>
      <c r="Z85" s="13"/>
      <c r="AA85" s="13"/>
      <c r="AB85" s="13"/>
      <c r="AC85" s="13"/>
      <c r="AD85" s="13"/>
      <c r="AE85" s="13"/>
      <c r="AF85" s="12"/>
      <c r="AG85" s="12"/>
      <c r="AH85" s="12"/>
      <c r="AI85" s="12"/>
      <c r="AJ85" s="12"/>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row>
    <row r="86" spans="1:83" x14ac:dyDescent="0.3">
      <c r="A86" s="13"/>
      <c r="B86" s="15"/>
      <c r="C86" s="13"/>
      <c r="D86" s="13"/>
      <c r="E86" s="13"/>
      <c r="F86" s="13"/>
      <c r="G86" s="13"/>
      <c r="H86" s="13"/>
      <c r="I86" s="13"/>
      <c r="J86" s="15"/>
      <c r="K86" s="13"/>
      <c r="L86" s="13"/>
      <c r="M86" s="12"/>
      <c r="N86" s="13"/>
      <c r="O86" s="13"/>
      <c r="P86" s="13"/>
      <c r="Q86" s="13"/>
      <c r="R86" s="13"/>
      <c r="S86" s="13"/>
      <c r="T86" s="13"/>
      <c r="U86" s="28"/>
      <c r="V86" s="28"/>
      <c r="W86" s="29"/>
      <c r="X86" s="28"/>
      <c r="Y86" s="28"/>
      <c r="Z86" s="13"/>
      <c r="AA86" s="13"/>
      <c r="AB86" s="13"/>
      <c r="AC86" s="13"/>
      <c r="AD86" s="13"/>
      <c r="AE86" s="13"/>
      <c r="AF86" s="12"/>
      <c r="AG86" s="12"/>
      <c r="AH86" s="12"/>
      <c r="AI86" s="12"/>
      <c r="AJ86" s="12"/>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row>
    <row r="87" spans="1:83" x14ac:dyDescent="0.3">
      <c r="A87" s="13"/>
      <c r="B87" s="15"/>
      <c r="C87" s="13"/>
      <c r="D87" s="13"/>
      <c r="E87" s="13"/>
      <c r="F87" s="13"/>
      <c r="G87" s="13"/>
      <c r="H87" s="13"/>
      <c r="I87" s="13"/>
      <c r="J87" s="15"/>
      <c r="K87" s="13"/>
      <c r="L87" s="13"/>
      <c r="M87" s="12"/>
      <c r="N87" s="13"/>
      <c r="O87" s="13"/>
      <c r="P87" s="13"/>
      <c r="Q87" s="13"/>
      <c r="R87" s="13"/>
      <c r="S87" s="13"/>
      <c r="T87" s="13"/>
      <c r="U87" s="28"/>
      <c r="V87" s="28"/>
      <c r="W87" s="29"/>
      <c r="X87" s="28"/>
      <c r="Y87" s="28"/>
      <c r="Z87" s="13"/>
      <c r="AA87" s="13"/>
      <c r="AB87" s="13"/>
      <c r="AC87" s="13"/>
      <c r="AD87" s="13"/>
      <c r="AE87" s="13"/>
      <c r="AF87" s="12"/>
      <c r="AG87" s="12"/>
      <c r="AH87" s="12"/>
      <c r="AI87" s="12"/>
      <c r="AJ87" s="12"/>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row>
    <row r="88" spans="1:83" x14ac:dyDescent="0.3">
      <c r="A88" s="13"/>
      <c r="B88" s="15"/>
      <c r="C88" s="13"/>
      <c r="D88" s="13"/>
      <c r="E88" s="13"/>
      <c r="F88" s="13"/>
      <c r="G88" s="13"/>
      <c r="H88" s="13"/>
      <c r="I88" s="13"/>
      <c r="J88" s="15"/>
      <c r="K88" s="13"/>
      <c r="L88" s="13"/>
      <c r="M88" s="12"/>
      <c r="N88" s="13"/>
      <c r="O88" s="13"/>
      <c r="P88" s="13"/>
      <c r="Q88" s="13"/>
      <c r="R88" s="13"/>
      <c r="S88" s="13"/>
      <c r="T88" s="13"/>
      <c r="U88" s="28"/>
      <c r="V88" s="28"/>
      <c r="W88" s="29"/>
      <c r="X88" s="28"/>
      <c r="Y88" s="28"/>
      <c r="Z88" s="13"/>
      <c r="AA88" s="13"/>
      <c r="AB88" s="13"/>
      <c r="AC88" s="13"/>
      <c r="AD88" s="13"/>
      <c r="AE88" s="13"/>
      <c r="AF88" s="12"/>
      <c r="AG88" s="12"/>
      <c r="AH88" s="12"/>
      <c r="AI88" s="12"/>
      <c r="AJ88" s="12"/>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row>
    <row r="89" spans="1:83" x14ac:dyDescent="0.3">
      <c r="A89" s="13"/>
      <c r="B89" s="15"/>
      <c r="C89" s="13"/>
      <c r="D89" s="13"/>
      <c r="E89" s="13"/>
      <c r="F89" s="13"/>
      <c r="G89" s="13"/>
      <c r="H89" s="13"/>
      <c r="I89" s="13"/>
      <c r="J89" s="15"/>
      <c r="K89" s="13"/>
      <c r="L89" s="13"/>
      <c r="M89" s="12"/>
      <c r="N89" s="13"/>
      <c r="O89" s="13"/>
      <c r="P89" s="13"/>
      <c r="Q89" s="13"/>
      <c r="R89" s="13"/>
      <c r="S89" s="13"/>
      <c r="T89" s="13"/>
      <c r="U89" s="28"/>
      <c r="V89" s="28"/>
      <c r="W89" s="29"/>
      <c r="X89" s="28"/>
      <c r="Y89" s="28"/>
      <c r="Z89" s="13"/>
      <c r="AA89" s="13"/>
      <c r="AB89" s="13"/>
      <c r="AC89" s="13"/>
      <c r="AD89" s="13"/>
      <c r="AE89" s="13"/>
      <c r="AF89" s="12"/>
      <c r="AG89" s="12"/>
      <c r="AH89" s="12"/>
      <c r="AI89" s="12"/>
      <c r="AJ89" s="12"/>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row>
    <row r="90" spans="1:83" x14ac:dyDescent="0.3">
      <c r="A90" s="13"/>
      <c r="B90" s="15"/>
      <c r="C90" s="13"/>
      <c r="D90" s="13"/>
      <c r="E90" s="13"/>
      <c r="F90" s="13"/>
      <c r="G90" s="13"/>
      <c r="H90" s="13"/>
      <c r="I90" s="13"/>
      <c r="J90" s="15"/>
      <c r="K90" s="13"/>
      <c r="L90" s="13"/>
      <c r="M90" s="12"/>
      <c r="N90" s="13"/>
      <c r="O90" s="13"/>
      <c r="P90" s="13"/>
      <c r="Q90" s="13"/>
      <c r="R90" s="13"/>
      <c r="S90" s="13"/>
      <c r="T90" s="13"/>
      <c r="U90" s="28"/>
      <c r="V90" s="28"/>
      <c r="W90" s="29"/>
      <c r="X90" s="28"/>
      <c r="Y90" s="28"/>
      <c r="Z90" s="13"/>
      <c r="AA90" s="13"/>
      <c r="AB90" s="13"/>
      <c r="AC90" s="13"/>
      <c r="AD90" s="13"/>
      <c r="AE90" s="13"/>
      <c r="AF90" s="12"/>
      <c r="AG90" s="12"/>
      <c r="AH90" s="12"/>
      <c r="AI90" s="12"/>
      <c r="AJ90" s="12"/>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row>
    <row r="91" spans="1:83" x14ac:dyDescent="0.3">
      <c r="A91" s="13"/>
      <c r="B91" s="15"/>
      <c r="C91" s="13"/>
      <c r="D91" s="13"/>
      <c r="E91" s="13"/>
      <c r="F91" s="13"/>
      <c r="G91" s="13"/>
      <c r="H91" s="13"/>
      <c r="I91" s="13"/>
      <c r="J91" s="15"/>
      <c r="K91" s="13"/>
      <c r="L91" s="13"/>
      <c r="M91" s="12"/>
      <c r="N91" s="13"/>
      <c r="O91" s="13"/>
      <c r="P91" s="13"/>
      <c r="Q91" s="13"/>
      <c r="R91" s="13"/>
      <c r="S91" s="13"/>
      <c r="T91" s="13"/>
      <c r="U91" s="28"/>
      <c r="V91" s="28"/>
      <c r="W91" s="29"/>
      <c r="X91" s="28"/>
      <c r="Y91" s="28"/>
      <c r="Z91" s="13"/>
      <c r="AA91" s="13"/>
      <c r="AB91" s="13"/>
      <c r="AC91" s="13"/>
      <c r="AD91" s="13"/>
      <c r="AE91" s="13"/>
      <c r="AF91" s="12"/>
      <c r="AG91" s="12"/>
      <c r="AH91" s="12"/>
      <c r="AI91" s="12"/>
      <c r="AJ91" s="12"/>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row>
    <row r="92" spans="1:83" x14ac:dyDescent="0.3">
      <c r="A92" s="13"/>
      <c r="B92" s="15"/>
      <c r="C92" s="13"/>
      <c r="D92" s="13"/>
      <c r="E92" s="13"/>
      <c r="F92" s="13"/>
      <c r="G92" s="13"/>
      <c r="H92" s="13"/>
      <c r="I92" s="13"/>
      <c r="J92" s="15"/>
      <c r="K92" s="13"/>
      <c r="L92" s="13"/>
      <c r="M92" s="12"/>
      <c r="N92" s="13"/>
      <c r="O92" s="13"/>
      <c r="P92" s="13"/>
      <c r="Q92" s="13"/>
      <c r="R92" s="13"/>
      <c r="S92" s="13"/>
      <c r="T92" s="13"/>
      <c r="U92" s="28"/>
      <c r="V92" s="28"/>
      <c r="W92" s="29"/>
      <c r="X92" s="28"/>
      <c r="Y92" s="28"/>
      <c r="Z92" s="13"/>
      <c r="AA92" s="13"/>
      <c r="AB92" s="13"/>
      <c r="AC92" s="13"/>
      <c r="AD92" s="13"/>
      <c r="AE92" s="13"/>
      <c r="AF92" s="12"/>
      <c r="AG92" s="12"/>
      <c r="AH92" s="12"/>
      <c r="AI92" s="12"/>
      <c r="AJ92" s="12"/>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row>
    <row r="93" spans="1:83" x14ac:dyDescent="0.3">
      <c r="A93" s="13"/>
      <c r="B93" s="15"/>
      <c r="C93" s="13"/>
      <c r="D93" s="13"/>
      <c r="E93" s="13"/>
      <c r="F93" s="13"/>
      <c r="G93" s="13"/>
      <c r="H93" s="13"/>
      <c r="I93" s="13"/>
      <c r="J93" s="15"/>
      <c r="K93" s="13"/>
      <c r="L93" s="13"/>
      <c r="M93" s="12"/>
      <c r="N93" s="13"/>
      <c r="O93" s="13"/>
      <c r="P93" s="13"/>
      <c r="Q93" s="13"/>
      <c r="R93" s="13"/>
      <c r="S93" s="13"/>
      <c r="T93" s="13"/>
      <c r="U93" s="28"/>
      <c r="V93" s="28"/>
      <c r="W93" s="29"/>
      <c r="X93" s="28"/>
      <c r="Y93" s="28"/>
      <c r="Z93" s="13"/>
      <c r="AA93" s="13"/>
      <c r="AB93" s="13"/>
      <c r="AC93" s="13"/>
      <c r="AD93" s="13"/>
      <c r="AE93" s="13"/>
      <c r="AF93" s="12"/>
      <c r="AG93" s="12"/>
      <c r="AH93" s="12"/>
      <c r="AI93" s="12"/>
      <c r="AJ93" s="12"/>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row>
    <row r="94" spans="1:83" x14ac:dyDescent="0.3">
      <c r="A94" s="13"/>
      <c r="B94" s="15"/>
      <c r="C94" s="13"/>
      <c r="D94" s="13"/>
      <c r="E94" s="13"/>
      <c r="F94" s="13"/>
      <c r="G94" s="13"/>
      <c r="H94" s="13"/>
      <c r="I94" s="13"/>
      <c r="J94" s="15"/>
      <c r="K94" s="13"/>
      <c r="L94" s="13"/>
      <c r="M94" s="12"/>
      <c r="N94" s="13"/>
      <c r="O94" s="13"/>
      <c r="P94" s="13"/>
      <c r="Q94" s="13"/>
      <c r="R94" s="13"/>
      <c r="S94" s="13"/>
      <c r="T94" s="13"/>
      <c r="U94" s="28"/>
      <c r="V94" s="28"/>
      <c r="W94" s="29"/>
      <c r="X94" s="28"/>
      <c r="Y94" s="28"/>
      <c r="Z94" s="13"/>
      <c r="AA94" s="13"/>
      <c r="AB94" s="13"/>
      <c r="AC94" s="13"/>
      <c r="AD94" s="13"/>
      <c r="AE94" s="13"/>
      <c r="AF94" s="12"/>
      <c r="AG94" s="12"/>
      <c r="AH94" s="12"/>
      <c r="AI94" s="12"/>
      <c r="AJ94" s="12"/>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row>
    <row r="95" spans="1:83" x14ac:dyDescent="0.3">
      <c r="A95" s="13"/>
      <c r="B95" s="15"/>
      <c r="C95" s="13"/>
      <c r="D95" s="13"/>
      <c r="E95" s="13"/>
      <c r="F95" s="13"/>
      <c r="G95" s="13"/>
      <c r="H95" s="13"/>
      <c r="I95" s="13"/>
      <c r="J95" s="15"/>
      <c r="K95" s="13"/>
      <c r="L95" s="13"/>
      <c r="M95" s="12"/>
      <c r="N95" s="13"/>
      <c r="O95" s="13"/>
      <c r="P95" s="13"/>
      <c r="Q95" s="13"/>
      <c r="R95" s="13"/>
      <c r="S95" s="13"/>
      <c r="T95" s="13"/>
      <c r="U95" s="28"/>
      <c r="V95" s="28"/>
      <c r="W95" s="29"/>
      <c r="X95" s="28"/>
      <c r="Y95" s="28"/>
      <c r="Z95" s="13"/>
      <c r="AA95" s="13"/>
      <c r="AB95" s="13"/>
      <c r="AC95" s="13"/>
      <c r="AD95" s="13"/>
      <c r="AE95" s="13"/>
      <c r="AF95" s="12"/>
      <c r="AG95" s="12"/>
      <c r="AH95" s="12"/>
      <c r="AI95" s="12"/>
      <c r="AJ95" s="12"/>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row>
    <row r="96" spans="1:83" x14ac:dyDescent="0.3">
      <c r="A96" s="13"/>
      <c r="B96" s="15"/>
      <c r="C96" s="13"/>
      <c r="D96" s="13"/>
      <c r="E96" s="13"/>
      <c r="F96" s="13"/>
      <c r="G96" s="13"/>
      <c r="H96" s="13"/>
      <c r="I96" s="13"/>
      <c r="J96" s="15"/>
      <c r="K96" s="13"/>
      <c r="L96" s="13"/>
      <c r="M96" s="12"/>
      <c r="N96" s="13"/>
      <c r="O96" s="13"/>
      <c r="P96" s="13"/>
      <c r="Q96" s="13"/>
      <c r="R96" s="13"/>
      <c r="S96" s="13"/>
      <c r="T96" s="13"/>
      <c r="U96" s="28"/>
      <c r="V96" s="28"/>
      <c r="W96" s="29"/>
      <c r="X96" s="28"/>
      <c r="Y96" s="28"/>
      <c r="Z96" s="13"/>
      <c r="AA96" s="13"/>
      <c r="AB96" s="13"/>
      <c r="AC96" s="13"/>
      <c r="AD96" s="13"/>
      <c r="AE96" s="13"/>
      <c r="AF96" s="12"/>
      <c r="AG96" s="12"/>
      <c r="AH96" s="12"/>
      <c r="AI96" s="12"/>
      <c r="AJ96" s="12"/>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row>
    <row r="97" spans="1:83" x14ac:dyDescent="0.3">
      <c r="A97" s="13"/>
      <c r="B97" s="15"/>
      <c r="C97" s="13"/>
      <c r="D97" s="13"/>
      <c r="E97" s="13"/>
      <c r="F97" s="13"/>
      <c r="G97" s="13"/>
      <c r="H97" s="13"/>
      <c r="I97" s="13"/>
      <c r="J97" s="15"/>
      <c r="K97" s="13"/>
      <c r="L97" s="13"/>
      <c r="M97" s="12"/>
      <c r="N97" s="13"/>
      <c r="O97" s="13"/>
      <c r="P97" s="13"/>
      <c r="Q97" s="13"/>
      <c r="R97" s="13"/>
      <c r="S97" s="13"/>
      <c r="T97" s="13"/>
      <c r="U97" s="28"/>
      <c r="V97" s="28"/>
      <c r="W97" s="29"/>
      <c r="X97" s="28"/>
      <c r="Y97" s="28"/>
      <c r="Z97" s="13"/>
      <c r="AA97" s="13"/>
      <c r="AB97" s="13"/>
      <c r="AC97" s="13"/>
      <c r="AD97" s="13"/>
      <c r="AE97" s="13"/>
      <c r="AF97" s="12"/>
      <c r="AG97" s="12"/>
      <c r="AH97" s="12"/>
      <c r="AI97" s="12"/>
      <c r="AJ97" s="12"/>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row>
    <row r="98" spans="1:83" x14ac:dyDescent="0.3">
      <c r="A98" s="13"/>
      <c r="B98" s="15"/>
      <c r="C98" s="13"/>
      <c r="D98" s="13"/>
      <c r="E98" s="13"/>
      <c r="F98" s="13"/>
      <c r="G98" s="13"/>
      <c r="H98" s="13"/>
      <c r="I98" s="13"/>
      <c r="J98" s="15"/>
      <c r="K98" s="13"/>
      <c r="L98" s="13"/>
      <c r="M98" s="12"/>
      <c r="N98" s="13"/>
      <c r="O98" s="13"/>
      <c r="P98" s="13"/>
      <c r="Q98" s="13"/>
      <c r="R98" s="13"/>
      <c r="S98" s="13"/>
      <c r="T98" s="13"/>
      <c r="U98" s="28"/>
      <c r="V98" s="28"/>
      <c r="W98" s="29"/>
      <c r="X98" s="28"/>
      <c r="Y98" s="28"/>
      <c r="Z98" s="13"/>
      <c r="AA98" s="13"/>
      <c r="AB98" s="13"/>
      <c r="AC98" s="13"/>
      <c r="AD98" s="13"/>
      <c r="AE98" s="13"/>
      <c r="AF98" s="12"/>
      <c r="AG98" s="12"/>
      <c r="AH98" s="12"/>
      <c r="AI98" s="12"/>
      <c r="AJ98" s="12"/>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row>
    <row r="99" spans="1:83" x14ac:dyDescent="0.3">
      <c r="A99" s="13"/>
      <c r="B99" s="15"/>
      <c r="C99" s="13"/>
      <c r="D99" s="13"/>
      <c r="E99" s="13"/>
      <c r="F99" s="13"/>
      <c r="G99" s="13"/>
      <c r="H99" s="13"/>
      <c r="I99" s="13"/>
      <c r="J99" s="15"/>
      <c r="K99" s="13"/>
      <c r="L99" s="13"/>
      <c r="M99" s="12"/>
      <c r="N99" s="13"/>
      <c r="O99" s="13"/>
      <c r="P99" s="13"/>
      <c r="Q99" s="13"/>
      <c r="R99" s="13"/>
      <c r="S99" s="13"/>
      <c r="T99" s="13"/>
      <c r="U99" s="28"/>
      <c r="V99" s="28"/>
      <c r="W99" s="29"/>
      <c r="X99" s="28"/>
      <c r="Y99" s="28"/>
      <c r="Z99" s="13"/>
      <c r="AA99" s="13"/>
      <c r="AB99" s="13"/>
      <c r="AC99" s="13"/>
      <c r="AD99" s="13"/>
      <c r="AE99" s="13"/>
      <c r="AF99" s="12"/>
      <c r="AG99" s="12"/>
      <c r="AH99" s="12"/>
      <c r="AI99" s="12"/>
      <c r="AJ99" s="12"/>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row>
    <row r="100" spans="1:83" x14ac:dyDescent="0.3">
      <c r="A100" s="13"/>
      <c r="B100" s="15"/>
      <c r="C100" s="13"/>
      <c r="D100" s="13"/>
      <c r="E100" s="13"/>
      <c r="F100" s="13"/>
      <c r="G100" s="13"/>
      <c r="H100" s="13"/>
      <c r="I100" s="13"/>
      <c r="J100" s="15"/>
      <c r="K100" s="13"/>
      <c r="L100" s="13"/>
      <c r="M100" s="12"/>
      <c r="N100" s="13"/>
      <c r="O100" s="13"/>
      <c r="P100" s="13"/>
      <c r="Q100" s="13"/>
      <c r="R100" s="13"/>
      <c r="S100" s="13"/>
      <c r="T100" s="13"/>
      <c r="U100" s="28"/>
      <c r="V100" s="28"/>
      <c r="W100" s="29"/>
      <c r="X100" s="28"/>
      <c r="Y100" s="28"/>
      <c r="Z100" s="13"/>
      <c r="AA100" s="13"/>
      <c r="AB100" s="13"/>
      <c r="AC100" s="13"/>
      <c r="AD100" s="13"/>
      <c r="AE100" s="13"/>
      <c r="AF100" s="12"/>
      <c r="AG100" s="12"/>
      <c r="AH100" s="12"/>
      <c r="AI100" s="12"/>
      <c r="AJ100" s="12"/>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row>
    <row r="101" spans="1:83" x14ac:dyDescent="0.3">
      <c r="A101" s="13"/>
      <c r="B101" s="15"/>
      <c r="C101" s="13"/>
      <c r="D101" s="13"/>
      <c r="E101" s="13"/>
      <c r="F101" s="13"/>
      <c r="G101" s="13"/>
      <c r="H101" s="13"/>
      <c r="I101" s="13"/>
      <c r="J101" s="15"/>
      <c r="K101" s="13"/>
      <c r="L101" s="13"/>
      <c r="M101" s="12"/>
      <c r="N101" s="13"/>
      <c r="O101" s="13"/>
      <c r="P101" s="13"/>
      <c r="Q101" s="13"/>
      <c r="R101" s="13"/>
      <c r="S101" s="13"/>
      <c r="T101" s="13"/>
      <c r="U101" s="28"/>
      <c r="V101" s="28"/>
      <c r="W101" s="29"/>
      <c r="X101" s="28"/>
      <c r="Y101" s="28"/>
      <c r="Z101" s="13"/>
      <c r="AA101" s="13"/>
      <c r="AB101" s="13"/>
      <c r="AC101" s="13"/>
      <c r="AD101" s="13"/>
      <c r="AE101" s="13"/>
      <c r="AF101" s="12"/>
      <c r="AG101" s="12"/>
      <c r="AH101" s="12"/>
      <c r="AI101" s="12"/>
      <c r="AJ101" s="12"/>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row>
    <row r="102" spans="1:83" x14ac:dyDescent="0.3">
      <c r="A102" s="13"/>
      <c r="B102" s="15"/>
      <c r="C102" s="13"/>
      <c r="D102" s="13"/>
      <c r="E102" s="13"/>
      <c r="F102" s="13"/>
      <c r="G102" s="13"/>
      <c r="H102" s="13"/>
      <c r="I102" s="13"/>
      <c r="J102" s="15"/>
      <c r="K102" s="13"/>
      <c r="L102" s="13"/>
      <c r="M102" s="12"/>
      <c r="N102" s="13"/>
      <c r="O102" s="13"/>
      <c r="P102" s="13"/>
      <c r="Q102" s="13"/>
      <c r="R102" s="13"/>
      <c r="S102" s="13"/>
      <c r="T102" s="13"/>
      <c r="U102" s="28"/>
      <c r="V102" s="28"/>
      <c r="W102" s="29"/>
      <c r="X102" s="28"/>
      <c r="Y102" s="28"/>
      <c r="Z102" s="13"/>
      <c r="AA102" s="13"/>
      <c r="AB102" s="13"/>
      <c r="AC102" s="13"/>
      <c r="AD102" s="13"/>
      <c r="AE102" s="13"/>
      <c r="AF102" s="12"/>
      <c r="AG102" s="12"/>
      <c r="AH102" s="12"/>
      <c r="AI102" s="12"/>
      <c r="AJ102" s="12"/>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row>
    <row r="103" spans="1:83" x14ac:dyDescent="0.3">
      <c r="A103" s="13"/>
      <c r="B103" s="15"/>
      <c r="C103" s="13"/>
      <c r="D103" s="13"/>
      <c r="E103" s="13"/>
      <c r="F103" s="13"/>
      <c r="G103" s="13"/>
      <c r="H103" s="13"/>
      <c r="I103" s="13"/>
      <c r="J103" s="15"/>
      <c r="K103" s="13"/>
      <c r="L103" s="13"/>
      <c r="M103" s="12"/>
      <c r="N103" s="13"/>
      <c r="O103" s="13"/>
      <c r="P103" s="13"/>
      <c r="Q103" s="13"/>
      <c r="R103" s="13"/>
      <c r="S103" s="13"/>
      <c r="T103" s="13"/>
      <c r="U103" s="28"/>
      <c r="V103" s="28"/>
      <c r="W103" s="29"/>
      <c r="X103" s="28"/>
      <c r="Y103" s="28"/>
      <c r="Z103" s="13"/>
      <c r="AA103" s="13"/>
      <c r="AB103" s="13"/>
      <c r="AC103" s="13"/>
      <c r="AD103" s="13"/>
      <c r="AE103" s="13"/>
      <c r="AF103" s="12"/>
      <c r="AG103" s="12"/>
      <c r="AH103" s="12"/>
      <c r="AI103" s="12"/>
      <c r="AJ103" s="12"/>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row>
    <row r="104" spans="1:83" x14ac:dyDescent="0.3">
      <c r="A104" s="13"/>
      <c r="B104" s="15"/>
      <c r="C104" s="13"/>
      <c r="D104" s="13"/>
      <c r="E104" s="13"/>
      <c r="F104" s="13"/>
      <c r="G104" s="13"/>
      <c r="H104" s="13"/>
      <c r="I104" s="13"/>
      <c r="J104" s="15"/>
      <c r="K104" s="13"/>
      <c r="L104" s="13"/>
      <c r="M104" s="12"/>
      <c r="N104" s="13"/>
      <c r="O104" s="13"/>
      <c r="P104" s="13"/>
      <c r="Q104" s="13"/>
      <c r="R104" s="13"/>
      <c r="S104" s="13"/>
      <c r="T104" s="13"/>
      <c r="U104" s="28"/>
      <c r="V104" s="28"/>
      <c r="W104" s="29"/>
      <c r="X104" s="28"/>
      <c r="Y104" s="28"/>
      <c r="Z104" s="13"/>
      <c r="AA104" s="13"/>
      <c r="AB104" s="13"/>
      <c r="AC104" s="13"/>
      <c r="AD104" s="13"/>
      <c r="AE104" s="13"/>
      <c r="AF104" s="12"/>
      <c r="AG104" s="12"/>
      <c r="AH104" s="12"/>
      <c r="AI104" s="12"/>
      <c r="AJ104" s="12"/>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row>
    <row r="105" spans="1:83" x14ac:dyDescent="0.3">
      <c r="A105" s="13"/>
      <c r="B105" s="15"/>
      <c r="C105" s="13"/>
      <c r="D105" s="13"/>
      <c r="E105" s="13"/>
      <c r="F105" s="13"/>
      <c r="G105" s="13"/>
      <c r="H105" s="13"/>
      <c r="I105" s="13"/>
      <c r="J105" s="15"/>
      <c r="K105" s="13"/>
      <c r="L105" s="13"/>
      <c r="M105" s="12"/>
      <c r="N105" s="13"/>
      <c r="O105" s="13"/>
      <c r="P105" s="13"/>
      <c r="Q105" s="13"/>
      <c r="R105" s="13"/>
      <c r="S105" s="13"/>
      <c r="T105" s="13"/>
      <c r="U105" s="28"/>
      <c r="V105" s="28"/>
      <c r="W105" s="29"/>
      <c r="X105" s="28"/>
      <c r="Y105" s="28"/>
      <c r="Z105" s="13"/>
      <c r="AA105" s="13"/>
      <c r="AB105" s="13"/>
      <c r="AC105" s="13"/>
      <c r="AD105" s="13"/>
      <c r="AE105" s="13"/>
      <c r="AF105" s="12"/>
      <c r="AG105" s="12"/>
      <c r="AH105" s="12"/>
      <c r="AI105" s="12"/>
      <c r="AJ105" s="12"/>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row>
    <row r="106" spans="1:83" x14ac:dyDescent="0.3">
      <c r="A106" s="13"/>
      <c r="B106" s="15"/>
      <c r="C106" s="13"/>
      <c r="D106" s="13"/>
      <c r="E106" s="13"/>
      <c r="F106" s="13"/>
      <c r="G106" s="13"/>
      <c r="H106" s="13"/>
      <c r="I106" s="13"/>
      <c r="J106" s="15"/>
      <c r="K106" s="13"/>
      <c r="L106" s="13"/>
      <c r="M106" s="12"/>
      <c r="N106" s="13"/>
      <c r="O106" s="13"/>
      <c r="P106" s="13"/>
      <c r="Q106" s="13"/>
      <c r="R106" s="13"/>
      <c r="S106" s="13"/>
      <c r="T106" s="13"/>
      <c r="U106" s="28"/>
      <c r="V106" s="28"/>
      <c r="W106" s="29"/>
      <c r="X106" s="28"/>
      <c r="Y106" s="28"/>
      <c r="Z106" s="13"/>
      <c r="AA106" s="13"/>
      <c r="AB106" s="13"/>
      <c r="AC106" s="13"/>
      <c r="AD106" s="13"/>
      <c r="AE106" s="13"/>
      <c r="AF106" s="12"/>
      <c r="AG106" s="12"/>
      <c r="AH106" s="12"/>
      <c r="AI106" s="12"/>
      <c r="AJ106" s="12"/>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row>
    <row r="107" spans="1:83" x14ac:dyDescent="0.3">
      <c r="A107" s="13"/>
      <c r="B107" s="15"/>
      <c r="C107" s="13"/>
      <c r="D107" s="13"/>
      <c r="E107" s="13"/>
      <c r="F107" s="13"/>
      <c r="G107" s="13"/>
      <c r="H107" s="13"/>
      <c r="I107" s="13"/>
      <c r="J107" s="15"/>
      <c r="K107" s="13"/>
      <c r="L107" s="13"/>
      <c r="M107" s="12"/>
      <c r="N107" s="13"/>
      <c r="O107" s="13"/>
      <c r="P107" s="13"/>
      <c r="Q107" s="13"/>
      <c r="R107" s="13"/>
      <c r="S107" s="13"/>
      <c r="T107" s="13"/>
      <c r="U107" s="28"/>
      <c r="V107" s="28"/>
      <c r="W107" s="29"/>
      <c r="X107" s="28"/>
      <c r="Y107" s="28"/>
      <c r="Z107" s="13"/>
      <c r="AA107" s="13"/>
      <c r="AB107" s="13"/>
      <c r="AC107" s="13"/>
      <c r="AD107" s="13"/>
      <c r="AE107" s="13"/>
      <c r="AF107" s="12"/>
      <c r="AG107" s="12"/>
      <c r="AH107" s="12"/>
      <c r="AI107" s="12"/>
      <c r="AJ107" s="12"/>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row>
    <row r="108" spans="1:83" x14ac:dyDescent="0.3">
      <c r="A108" s="13"/>
      <c r="B108" s="15"/>
      <c r="C108" s="13"/>
      <c r="D108" s="13"/>
      <c r="E108" s="13"/>
      <c r="F108" s="13"/>
      <c r="G108" s="13"/>
      <c r="H108" s="13"/>
      <c r="I108" s="13"/>
      <c r="J108" s="15"/>
      <c r="K108" s="13"/>
      <c r="L108" s="13"/>
      <c r="M108" s="12"/>
      <c r="N108" s="13"/>
      <c r="O108" s="13"/>
      <c r="P108" s="13"/>
      <c r="Q108" s="13"/>
      <c r="R108" s="13"/>
      <c r="S108" s="13"/>
      <c r="T108" s="13"/>
      <c r="U108" s="28"/>
      <c r="V108" s="28"/>
      <c r="W108" s="29"/>
      <c r="X108" s="28"/>
      <c r="Y108" s="28"/>
      <c r="Z108" s="13"/>
      <c r="AA108" s="13"/>
      <c r="AB108" s="13"/>
      <c r="AC108" s="13"/>
      <c r="AD108" s="13"/>
      <c r="AE108" s="13"/>
      <c r="AF108" s="12"/>
      <c r="AG108" s="12"/>
      <c r="AH108" s="12"/>
      <c r="AI108" s="12"/>
      <c r="AJ108" s="12"/>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row>
    <row r="109" spans="1:83" x14ac:dyDescent="0.3">
      <c r="A109" s="13"/>
      <c r="B109" s="15"/>
      <c r="C109" s="13"/>
      <c r="D109" s="13"/>
      <c r="E109" s="13"/>
      <c r="F109" s="13"/>
      <c r="G109" s="13"/>
      <c r="H109" s="13"/>
      <c r="I109" s="13"/>
      <c r="J109" s="15"/>
      <c r="K109" s="13"/>
      <c r="L109" s="13"/>
      <c r="M109" s="12"/>
      <c r="N109" s="13"/>
      <c r="O109" s="13"/>
      <c r="P109" s="13"/>
      <c r="Q109" s="13"/>
      <c r="R109" s="13"/>
      <c r="S109" s="13"/>
      <c r="T109" s="13"/>
      <c r="U109" s="28"/>
      <c r="V109" s="28"/>
      <c r="W109" s="29"/>
      <c r="X109" s="28"/>
      <c r="Y109" s="28"/>
      <c r="Z109" s="13"/>
      <c r="AA109" s="13"/>
      <c r="AB109" s="13"/>
      <c r="AC109" s="13"/>
      <c r="AD109" s="13"/>
      <c r="AE109" s="13"/>
      <c r="AF109" s="12"/>
      <c r="AG109" s="12"/>
      <c r="AH109" s="12"/>
      <c r="AI109" s="12"/>
      <c r="AJ109" s="12"/>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row>
    <row r="110" spans="1:83" x14ac:dyDescent="0.3">
      <c r="A110" s="13"/>
      <c r="B110" s="15"/>
      <c r="C110" s="13"/>
      <c r="D110" s="13"/>
      <c r="E110" s="13"/>
      <c r="F110" s="13"/>
      <c r="G110" s="13"/>
      <c r="H110" s="13"/>
      <c r="I110" s="13"/>
      <c r="J110" s="15"/>
      <c r="K110" s="13"/>
      <c r="L110" s="13"/>
      <c r="M110" s="12"/>
      <c r="N110" s="13"/>
      <c r="O110" s="13"/>
      <c r="P110" s="13"/>
      <c r="Q110" s="13"/>
      <c r="R110" s="13"/>
      <c r="S110" s="13"/>
      <c r="T110" s="13"/>
      <c r="U110" s="28"/>
      <c r="V110" s="28"/>
      <c r="W110" s="29"/>
      <c r="X110" s="28"/>
      <c r="Y110" s="28"/>
      <c r="Z110" s="13"/>
      <c r="AA110" s="13"/>
      <c r="AB110" s="13"/>
      <c r="AC110" s="13"/>
      <c r="AD110" s="13"/>
      <c r="AE110" s="13"/>
      <c r="AF110" s="12"/>
      <c r="AG110" s="12"/>
      <c r="AH110" s="12"/>
      <c r="AI110" s="12"/>
      <c r="AJ110" s="12"/>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row>
    <row r="111" spans="1:83" x14ac:dyDescent="0.3">
      <c r="A111" s="13"/>
      <c r="B111" s="15"/>
      <c r="C111" s="13"/>
      <c r="D111" s="13"/>
      <c r="E111" s="13"/>
      <c r="F111" s="13"/>
      <c r="G111" s="13"/>
      <c r="H111" s="13"/>
      <c r="I111" s="13"/>
      <c r="J111" s="15"/>
      <c r="K111" s="13"/>
      <c r="L111" s="13"/>
      <c r="M111" s="12"/>
      <c r="N111" s="13"/>
      <c r="O111" s="13"/>
      <c r="P111" s="13"/>
      <c r="Q111" s="13"/>
      <c r="R111" s="13"/>
      <c r="S111" s="13"/>
      <c r="T111" s="13"/>
      <c r="U111" s="28"/>
      <c r="V111" s="28"/>
      <c r="W111" s="29"/>
      <c r="X111" s="28"/>
      <c r="Y111" s="28"/>
      <c r="Z111" s="13"/>
      <c r="AA111" s="13"/>
      <c r="AB111" s="13"/>
      <c r="AC111" s="13"/>
      <c r="AD111" s="13"/>
      <c r="AE111" s="13"/>
      <c r="AF111" s="12"/>
      <c r="AG111" s="12"/>
      <c r="AH111" s="12"/>
      <c r="AI111" s="12"/>
      <c r="AJ111" s="12"/>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row>
    <row r="112" spans="1:83" x14ac:dyDescent="0.3">
      <c r="A112" s="13"/>
      <c r="B112" s="15"/>
      <c r="C112" s="13"/>
      <c r="D112" s="13"/>
      <c r="E112" s="13"/>
      <c r="F112" s="13"/>
      <c r="G112" s="13"/>
      <c r="H112" s="13"/>
      <c r="I112" s="13"/>
      <c r="J112" s="15"/>
      <c r="K112" s="13"/>
      <c r="L112" s="13"/>
      <c r="M112" s="12"/>
      <c r="N112" s="13"/>
      <c r="O112" s="13"/>
      <c r="P112" s="13"/>
      <c r="Q112" s="13"/>
      <c r="R112" s="13"/>
      <c r="S112" s="13"/>
      <c r="T112" s="13"/>
      <c r="U112" s="28"/>
      <c r="V112" s="28"/>
      <c r="W112" s="29"/>
      <c r="X112" s="28"/>
      <c r="Y112" s="28"/>
      <c r="Z112" s="13"/>
      <c r="AA112" s="13"/>
      <c r="AB112" s="13"/>
      <c r="AC112" s="13"/>
      <c r="AD112" s="13"/>
      <c r="AE112" s="13"/>
      <c r="AF112" s="12"/>
      <c r="AG112" s="12"/>
      <c r="AH112" s="12"/>
      <c r="AI112" s="12"/>
      <c r="AJ112" s="12"/>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row>
    <row r="113" spans="1:83" x14ac:dyDescent="0.3">
      <c r="A113" s="13"/>
      <c r="B113" s="15"/>
      <c r="C113" s="13"/>
      <c r="D113" s="13"/>
      <c r="E113" s="13"/>
      <c r="F113" s="13"/>
      <c r="G113" s="13"/>
      <c r="H113" s="13"/>
      <c r="I113" s="13"/>
      <c r="J113" s="15"/>
      <c r="K113" s="13"/>
      <c r="L113" s="13"/>
      <c r="M113" s="12"/>
      <c r="N113" s="13"/>
      <c r="O113" s="13"/>
      <c r="P113" s="13"/>
      <c r="Q113" s="13"/>
      <c r="R113" s="13"/>
      <c r="S113" s="13"/>
      <c r="T113" s="13"/>
      <c r="U113" s="28"/>
      <c r="V113" s="28"/>
      <c r="W113" s="29"/>
      <c r="X113" s="28"/>
      <c r="Y113" s="28"/>
      <c r="Z113" s="13"/>
      <c r="AA113" s="13"/>
      <c r="AB113" s="13"/>
      <c r="AC113" s="13"/>
      <c r="AD113" s="13"/>
      <c r="AE113" s="13"/>
      <c r="AF113" s="12"/>
      <c r="AG113" s="12"/>
      <c r="AH113" s="12"/>
      <c r="AI113" s="12"/>
      <c r="AJ113" s="12"/>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row>
    <row r="114" spans="1:83" x14ac:dyDescent="0.3">
      <c r="A114" s="13"/>
      <c r="B114" s="15"/>
      <c r="C114" s="13"/>
      <c r="D114" s="13"/>
      <c r="E114" s="13"/>
      <c r="F114" s="13"/>
      <c r="G114" s="13"/>
      <c r="H114" s="13"/>
      <c r="I114" s="13"/>
      <c r="J114" s="15"/>
      <c r="K114" s="13"/>
      <c r="L114" s="13"/>
      <c r="M114" s="12"/>
      <c r="N114" s="13"/>
      <c r="O114" s="13"/>
      <c r="P114" s="13"/>
      <c r="Q114" s="13"/>
      <c r="R114" s="13"/>
      <c r="S114" s="13"/>
      <c r="T114" s="13"/>
      <c r="U114" s="28"/>
      <c r="V114" s="28"/>
      <c r="W114" s="29"/>
      <c r="X114" s="28"/>
      <c r="Y114" s="28"/>
      <c r="Z114" s="13"/>
      <c r="AA114" s="13"/>
      <c r="AB114" s="13"/>
      <c r="AC114" s="13"/>
      <c r="AD114" s="13"/>
      <c r="AE114" s="13"/>
      <c r="AF114" s="12"/>
      <c r="AG114" s="12"/>
      <c r="AH114" s="12"/>
      <c r="AI114" s="12"/>
      <c r="AJ114" s="12"/>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row>
    <row r="115" spans="1:83" x14ac:dyDescent="0.3">
      <c r="A115" s="13"/>
      <c r="B115" s="15"/>
      <c r="C115" s="13"/>
      <c r="D115" s="13"/>
      <c r="E115" s="13"/>
      <c r="F115" s="13"/>
      <c r="G115" s="13"/>
      <c r="H115" s="13"/>
      <c r="I115" s="13"/>
      <c r="J115" s="15"/>
      <c r="K115" s="13"/>
      <c r="L115" s="13"/>
      <c r="M115" s="12"/>
      <c r="N115" s="13"/>
      <c r="O115" s="13"/>
      <c r="P115" s="13"/>
      <c r="Q115" s="13"/>
      <c r="R115" s="13"/>
      <c r="S115" s="13"/>
      <c r="T115" s="13"/>
      <c r="U115" s="28"/>
      <c r="V115" s="28"/>
      <c r="W115" s="29"/>
      <c r="X115" s="28"/>
      <c r="Y115" s="28"/>
      <c r="Z115" s="13"/>
      <c r="AA115" s="13"/>
      <c r="AB115" s="13"/>
      <c r="AC115" s="13"/>
      <c r="AD115" s="13"/>
      <c r="AE115" s="13"/>
      <c r="AF115" s="12"/>
      <c r="AG115" s="12"/>
      <c r="AH115" s="12"/>
      <c r="AI115" s="12"/>
      <c r="AJ115" s="12"/>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row>
    <row r="116" spans="1:83" x14ac:dyDescent="0.3">
      <c r="A116" s="13"/>
      <c r="B116" s="15"/>
      <c r="C116" s="13"/>
      <c r="D116" s="13"/>
      <c r="E116" s="13"/>
      <c r="F116" s="13"/>
      <c r="G116" s="13"/>
      <c r="H116" s="13"/>
      <c r="I116" s="13"/>
      <c r="J116" s="15"/>
      <c r="K116" s="13"/>
      <c r="L116" s="13"/>
      <c r="M116" s="12"/>
      <c r="N116" s="13"/>
      <c r="O116" s="13"/>
      <c r="P116" s="13"/>
      <c r="Q116" s="13"/>
      <c r="R116" s="13"/>
      <c r="S116" s="13"/>
      <c r="T116" s="13"/>
      <c r="U116" s="28"/>
      <c r="V116" s="28"/>
      <c r="W116" s="29"/>
      <c r="X116" s="28"/>
      <c r="Y116" s="28"/>
      <c r="Z116" s="13"/>
      <c r="AA116" s="13"/>
      <c r="AB116" s="13"/>
      <c r="AC116" s="13"/>
      <c r="AD116" s="13"/>
      <c r="AE116" s="13"/>
      <c r="AF116" s="12"/>
      <c r="AG116" s="12"/>
      <c r="AH116" s="12"/>
      <c r="AI116" s="12"/>
      <c r="AJ116" s="12"/>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row>
    <row r="117" spans="1:83" x14ac:dyDescent="0.3">
      <c r="A117" s="13"/>
      <c r="B117" s="15"/>
      <c r="C117" s="13"/>
      <c r="D117" s="13"/>
      <c r="E117" s="13"/>
      <c r="F117" s="13"/>
      <c r="G117" s="13"/>
      <c r="H117" s="13"/>
      <c r="I117" s="13"/>
      <c r="J117" s="15"/>
      <c r="K117" s="13"/>
      <c r="L117" s="13"/>
      <c r="M117" s="12"/>
      <c r="N117" s="13"/>
      <c r="O117" s="13"/>
      <c r="P117" s="13"/>
      <c r="Q117" s="13"/>
      <c r="R117" s="13"/>
      <c r="S117" s="13"/>
      <c r="T117" s="13"/>
      <c r="U117" s="28"/>
      <c r="V117" s="28"/>
      <c r="W117" s="29"/>
      <c r="X117" s="28"/>
      <c r="Y117" s="28"/>
      <c r="Z117" s="13"/>
      <c r="AA117" s="13"/>
      <c r="AB117" s="13"/>
      <c r="AC117" s="13"/>
      <c r="AD117" s="13"/>
      <c r="AE117" s="13"/>
      <c r="AF117" s="12"/>
      <c r="AG117" s="12"/>
      <c r="AH117" s="12"/>
      <c r="AI117" s="12"/>
      <c r="AJ117" s="12"/>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row>
    <row r="118" spans="1:83" x14ac:dyDescent="0.3">
      <c r="A118" s="13"/>
      <c r="B118" s="15"/>
      <c r="C118" s="13"/>
      <c r="D118" s="13"/>
      <c r="E118" s="13"/>
      <c r="F118" s="13"/>
      <c r="G118" s="13"/>
      <c r="H118" s="13"/>
      <c r="I118" s="13"/>
      <c r="J118" s="15"/>
      <c r="K118" s="13"/>
      <c r="L118" s="13"/>
      <c r="M118" s="12"/>
      <c r="N118" s="13"/>
      <c r="O118" s="13"/>
      <c r="P118" s="13"/>
      <c r="Q118" s="13"/>
      <c r="R118" s="13"/>
      <c r="S118" s="13"/>
      <c r="T118" s="13"/>
      <c r="U118" s="28"/>
      <c r="V118" s="28"/>
      <c r="W118" s="29"/>
      <c r="X118" s="28"/>
      <c r="Y118" s="28"/>
      <c r="Z118" s="13"/>
      <c r="AA118" s="13"/>
      <c r="AB118" s="13"/>
      <c r="AC118" s="13"/>
      <c r="AD118" s="13"/>
      <c r="AE118" s="13"/>
      <c r="AF118" s="12"/>
      <c r="AG118" s="12"/>
      <c r="AH118" s="12"/>
      <c r="AI118" s="12"/>
      <c r="AJ118" s="12"/>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row>
    <row r="119" spans="1:83" x14ac:dyDescent="0.3">
      <c r="A119" s="13"/>
      <c r="B119" s="15"/>
      <c r="C119" s="13"/>
      <c r="D119" s="13"/>
      <c r="E119" s="13"/>
      <c r="F119" s="13"/>
      <c r="G119" s="13"/>
      <c r="H119" s="13"/>
      <c r="I119" s="13"/>
      <c r="J119" s="15"/>
      <c r="K119" s="13"/>
      <c r="L119" s="13"/>
      <c r="M119" s="12"/>
      <c r="N119" s="13"/>
      <c r="O119" s="13"/>
      <c r="P119" s="13"/>
      <c r="Q119" s="13"/>
      <c r="R119" s="13"/>
      <c r="S119" s="13"/>
      <c r="T119" s="13"/>
      <c r="U119" s="28"/>
      <c r="V119" s="28"/>
      <c r="W119" s="29"/>
      <c r="X119" s="28"/>
      <c r="Y119" s="28"/>
      <c r="Z119" s="13"/>
      <c r="AA119" s="13"/>
      <c r="AB119" s="13"/>
      <c r="AC119" s="13"/>
      <c r="AD119" s="13"/>
      <c r="AE119" s="13"/>
      <c r="AF119" s="12"/>
      <c r="AG119" s="12"/>
      <c r="AH119" s="12"/>
      <c r="AI119" s="12"/>
      <c r="AJ119" s="12"/>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row>
    <row r="120" spans="1:83" x14ac:dyDescent="0.3">
      <c r="A120" s="13"/>
      <c r="B120" s="15"/>
      <c r="C120" s="13"/>
      <c r="D120" s="13"/>
      <c r="E120" s="13"/>
      <c r="F120" s="13"/>
      <c r="G120" s="13"/>
      <c r="H120" s="13"/>
      <c r="I120" s="13"/>
      <c r="J120" s="15"/>
      <c r="K120" s="13"/>
      <c r="L120" s="13"/>
      <c r="M120" s="12"/>
      <c r="N120" s="13"/>
      <c r="O120" s="13"/>
      <c r="P120" s="13"/>
      <c r="Q120" s="13"/>
      <c r="R120" s="13"/>
      <c r="S120" s="13"/>
      <c r="T120" s="13"/>
      <c r="U120" s="28"/>
      <c r="V120" s="28"/>
      <c r="W120" s="29"/>
      <c r="X120" s="28"/>
      <c r="Y120" s="28"/>
      <c r="Z120" s="13"/>
      <c r="AA120" s="13"/>
      <c r="AB120" s="13"/>
      <c r="AC120" s="13"/>
      <c r="AD120" s="13"/>
      <c r="AE120" s="13"/>
      <c r="AF120" s="12"/>
      <c r="AG120" s="12"/>
      <c r="AH120" s="12"/>
      <c r="AI120" s="12"/>
      <c r="AJ120" s="12"/>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row>
    <row r="121" spans="1:83" x14ac:dyDescent="0.3">
      <c r="A121" s="13"/>
      <c r="B121" s="15"/>
      <c r="C121" s="13"/>
      <c r="D121" s="13"/>
      <c r="E121" s="13"/>
      <c r="F121" s="13"/>
      <c r="G121" s="13"/>
      <c r="H121" s="13"/>
      <c r="I121" s="13"/>
      <c r="J121" s="15"/>
      <c r="K121" s="13"/>
      <c r="L121" s="13"/>
      <c r="M121" s="12"/>
      <c r="N121" s="13"/>
      <c r="O121" s="13"/>
      <c r="P121" s="13"/>
      <c r="Q121" s="13"/>
      <c r="R121" s="13"/>
      <c r="S121" s="13"/>
      <c r="T121" s="13"/>
      <c r="U121" s="28"/>
      <c r="V121" s="28"/>
      <c r="W121" s="29"/>
      <c r="X121" s="28"/>
      <c r="Y121" s="28"/>
      <c r="Z121" s="13"/>
      <c r="AA121" s="13"/>
      <c r="AB121" s="13"/>
      <c r="AC121" s="13"/>
      <c r="AD121" s="13"/>
      <c r="AE121" s="13"/>
      <c r="AF121" s="12"/>
      <c r="AG121" s="12"/>
      <c r="AH121" s="12"/>
      <c r="AI121" s="12"/>
      <c r="AJ121" s="12"/>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row>
    <row r="122" spans="1:83" x14ac:dyDescent="0.3">
      <c r="A122" s="13"/>
      <c r="B122" s="15"/>
      <c r="C122" s="13"/>
      <c r="D122" s="13"/>
      <c r="E122" s="13"/>
      <c r="F122" s="13"/>
      <c r="G122" s="13"/>
      <c r="H122" s="13"/>
      <c r="I122" s="13"/>
      <c r="J122" s="15"/>
      <c r="K122" s="13"/>
      <c r="L122" s="13"/>
      <c r="M122" s="12"/>
      <c r="N122" s="13"/>
      <c r="O122" s="13"/>
      <c r="P122" s="13"/>
      <c r="Q122" s="13"/>
      <c r="R122" s="13"/>
      <c r="S122" s="13"/>
      <c r="T122" s="13"/>
      <c r="U122" s="28"/>
      <c r="V122" s="28"/>
      <c r="W122" s="29"/>
      <c r="X122" s="28"/>
      <c r="Y122" s="28"/>
      <c r="Z122" s="13"/>
      <c r="AA122" s="13"/>
      <c r="AB122" s="13"/>
      <c r="AC122" s="13"/>
      <c r="AD122" s="13"/>
      <c r="AE122" s="13"/>
      <c r="AF122" s="12"/>
      <c r="AG122" s="12"/>
      <c r="AH122" s="12"/>
      <c r="AI122" s="12"/>
      <c r="AJ122" s="12"/>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row>
    <row r="123" spans="1:83" x14ac:dyDescent="0.3">
      <c r="A123" s="13"/>
      <c r="B123" s="15"/>
      <c r="C123" s="13"/>
      <c r="D123" s="13"/>
      <c r="E123" s="13"/>
      <c r="F123" s="13"/>
      <c r="G123" s="13"/>
      <c r="H123" s="13"/>
      <c r="I123" s="13"/>
      <c r="J123" s="15"/>
      <c r="K123" s="13"/>
      <c r="L123" s="13"/>
      <c r="M123" s="12"/>
      <c r="N123" s="13"/>
      <c r="O123" s="13"/>
      <c r="P123" s="13"/>
      <c r="Q123" s="13"/>
      <c r="R123" s="13"/>
      <c r="S123" s="13"/>
      <c r="T123" s="13"/>
      <c r="U123" s="28"/>
      <c r="V123" s="28"/>
      <c r="W123" s="29"/>
      <c r="X123" s="28"/>
      <c r="Y123" s="28"/>
      <c r="Z123" s="13"/>
      <c r="AA123" s="13"/>
      <c r="AB123" s="13"/>
      <c r="AC123" s="13"/>
      <c r="AD123" s="13"/>
      <c r="AE123" s="13"/>
      <c r="AF123" s="12"/>
      <c r="AG123" s="12"/>
      <c r="AH123" s="12"/>
      <c r="AI123" s="12"/>
      <c r="AJ123" s="12"/>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row>
    <row r="124" spans="1:83" x14ac:dyDescent="0.3">
      <c r="A124" s="13"/>
      <c r="B124" s="15"/>
      <c r="C124" s="13"/>
      <c r="D124" s="13"/>
      <c r="E124" s="13"/>
      <c r="F124" s="13"/>
      <c r="G124" s="13"/>
      <c r="H124" s="13"/>
      <c r="I124" s="13"/>
      <c r="J124" s="15"/>
      <c r="K124" s="13"/>
      <c r="L124" s="13"/>
      <c r="M124" s="12"/>
      <c r="N124" s="13"/>
      <c r="O124" s="13"/>
      <c r="P124" s="13"/>
      <c r="Q124" s="13"/>
      <c r="R124" s="13"/>
      <c r="S124" s="13"/>
      <c r="T124" s="13"/>
      <c r="U124" s="28"/>
      <c r="V124" s="28"/>
      <c r="W124" s="29"/>
      <c r="X124" s="28"/>
      <c r="Y124" s="28"/>
      <c r="Z124" s="13"/>
      <c r="AA124" s="13"/>
      <c r="AB124" s="13"/>
      <c r="AC124" s="13"/>
      <c r="AD124" s="13"/>
      <c r="AE124" s="13"/>
      <c r="AF124" s="12"/>
      <c r="AG124" s="12"/>
      <c r="AH124" s="12"/>
      <c r="AI124" s="12"/>
      <c r="AJ124" s="12"/>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row>
    <row r="125" spans="1:83" x14ac:dyDescent="0.3">
      <c r="A125" s="13"/>
      <c r="B125" s="15"/>
      <c r="C125" s="13"/>
      <c r="D125" s="13"/>
      <c r="E125" s="13"/>
      <c r="F125" s="13"/>
      <c r="G125" s="13"/>
      <c r="H125" s="13"/>
      <c r="I125" s="13"/>
      <c r="J125" s="15"/>
      <c r="K125" s="13"/>
      <c r="L125" s="13"/>
      <c r="M125" s="12"/>
      <c r="N125" s="13"/>
      <c r="O125" s="13"/>
      <c r="P125" s="13"/>
      <c r="Q125" s="13"/>
      <c r="R125" s="13"/>
      <c r="S125" s="13"/>
      <c r="T125" s="13"/>
      <c r="U125" s="28"/>
      <c r="V125" s="28"/>
      <c r="W125" s="29"/>
      <c r="X125" s="28"/>
      <c r="Y125" s="28"/>
      <c r="Z125" s="13"/>
      <c r="AA125" s="13"/>
      <c r="AB125" s="13"/>
      <c r="AC125" s="13"/>
      <c r="AD125" s="13"/>
      <c r="AE125" s="13"/>
      <c r="AF125" s="12"/>
      <c r="AG125" s="12"/>
      <c r="AH125" s="12"/>
      <c r="AI125" s="12"/>
      <c r="AJ125" s="12"/>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row>
    <row r="126" spans="1:83" x14ac:dyDescent="0.3">
      <c r="A126" s="13"/>
      <c r="B126" s="15"/>
      <c r="C126" s="13"/>
      <c r="D126" s="13"/>
      <c r="E126" s="13"/>
      <c r="F126" s="13"/>
      <c r="G126" s="13"/>
      <c r="H126" s="13"/>
      <c r="I126" s="13"/>
      <c r="J126" s="15"/>
      <c r="K126" s="13"/>
      <c r="L126" s="13"/>
      <c r="M126" s="12"/>
      <c r="N126" s="13"/>
      <c r="O126" s="13"/>
      <c r="P126" s="13"/>
      <c r="Q126" s="13"/>
      <c r="R126" s="13"/>
      <c r="S126" s="13"/>
      <c r="T126" s="13"/>
      <c r="U126" s="28"/>
      <c r="V126" s="28"/>
      <c r="W126" s="29"/>
      <c r="X126" s="28"/>
      <c r="Y126" s="28"/>
      <c r="Z126" s="13"/>
      <c r="AA126" s="13"/>
      <c r="AB126" s="13"/>
      <c r="AC126" s="13"/>
      <c r="AD126" s="13"/>
      <c r="AE126" s="13"/>
      <c r="AF126" s="12"/>
      <c r="AG126" s="12"/>
      <c r="AH126" s="12"/>
      <c r="AI126" s="12"/>
      <c r="AJ126" s="12"/>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row>
    <row r="127" spans="1:83" x14ac:dyDescent="0.3">
      <c r="A127" s="13"/>
      <c r="B127" s="15"/>
      <c r="C127" s="13"/>
      <c r="D127" s="13"/>
      <c r="E127" s="13"/>
      <c r="F127" s="13"/>
      <c r="G127" s="13"/>
      <c r="H127" s="13"/>
      <c r="I127" s="13"/>
      <c r="J127" s="15"/>
      <c r="K127" s="13"/>
      <c r="L127" s="13"/>
      <c r="M127" s="12"/>
      <c r="N127" s="13"/>
      <c r="O127" s="13"/>
      <c r="P127" s="13"/>
      <c r="Q127" s="13"/>
      <c r="R127" s="13"/>
      <c r="S127" s="13"/>
      <c r="T127" s="13"/>
      <c r="U127" s="28"/>
      <c r="V127" s="28"/>
      <c r="W127" s="29"/>
      <c r="X127" s="28"/>
      <c r="Y127" s="28"/>
      <c r="Z127" s="13"/>
      <c r="AA127" s="13"/>
      <c r="AB127" s="13"/>
      <c r="AC127" s="13"/>
      <c r="AD127" s="13"/>
      <c r="AE127" s="13"/>
      <c r="AF127" s="12"/>
      <c r="AG127" s="12"/>
      <c r="AH127" s="12"/>
      <c r="AI127" s="12"/>
      <c r="AJ127" s="12"/>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row>
    <row r="128" spans="1:83" x14ac:dyDescent="0.3">
      <c r="A128" s="13"/>
      <c r="B128" s="15"/>
      <c r="C128" s="13"/>
      <c r="D128" s="13"/>
      <c r="E128" s="13"/>
      <c r="F128" s="13"/>
      <c r="G128" s="13"/>
      <c r="H128" s="13"/>
      <c r="I128" s="13"/>
      <c r="J128" s="15"/>
      <c r="K128" s="13"/>
      <c r="L128" s="13"/>
      <c r="M128" s="12"/>
      <c r="N128" s="13"/>
      <c r="O128" s="13"/>
      <c r="P128" s="13"/>
      <c r="Q128" s="13"/>
      <c r="R128" s="13"/>
      <c r="S128" s="13"/>
      <c r="T128" s="13"/>
      <c r="U128" s="28"/>
      <c r="V128" s="28"/>
      <c r="W128" s="29"/>
      <c r="X128" s="28"/>
      <c r="Y128" s="28"/>
      <c r="Z128" s="13"/>
      <c r="AA128" s="13"/>
      <c r="AB128" s="13"/>
      <c r="AC128" s="13"/>
      <c r="AD128" s="13"/>
      <c r="AE128" s="13"/>
      <c r="AF128" s="12"/>
      <c r="AG128" s="12"/>
      <c r="AH128" s="12"/>
      <c r="AI128" s="12"/>
      <c r="AJ128" s="12"/>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row>
    <row r="129" spans="1:83" x14ac:dyDescent="0.3">
      <c r="A129" s="13"/>
      <c r="B129" s="15"/>
      <c r="C129" s="13"/>
      <c r="D129" s="13"/>
      <c r="E129" s="13"/>
      <c r="F129" s="13"/>
      <c r="G129" s="13"/>
      <c r="H129" s="13"/>
      <c r="I129" s="13"/>
      <c r="J129" s="15"/>
      <c r="K129" s="13"/>
      <c r="L129" s="13"/>
      <c r="M129" s="12"/>
      <c r="N129" s="13"/>
      <c r="O129" s="13"/>
      <c r="P129" s="13"/>
      <c r="Q129" s="13"/>
      <c r="R129" s="13"/>
      <c r="S129" s="13"/>
      <c r="T129" s="13"/>
      <c r="U129" s="28"/>
      <c r="V129" s="28"/>
      <c r="W129" s="29"/>
      <c r="X129" s="28"/>
      <c r="Y129" s="28"/>
      <c r="Z129" s="13"/>
      <c r="AA129" s="13"/>
      <c r="AB129" s="13"/>
      <c r="AC129" s="13"/>
      <c r="AD129" s="13"/>
      <c r="AE129" s="13"/>
      <c r="AF129" s="12"/>
      <c r="AG129" s="12"/>
      <c r="AH129" s="12"/>
      <c r="AI129" s="12"/>
      <c r="AJ129" s="12"/>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row>
    <row r="130" spans="1:83" x14ac:dyDescent="0.3">
      <c r="A130" s="13"/>
      <c r="B130" s="15"/>
      <c r="C130" s="13"/>
      <c r="D130" s="13"/>
      <c r="E130" s="13"/>
      <c r="F130" s="13"/>
      <c r="G130" s="13"/>
      <c r="H130" s="13"/>
      <c r="I130" s="13"/>
      <c r="J130" s="15"/>
      <c r="K130" s="13"/>
      <c r="L130" s="13"/>
      <c r="M130" s="12"/>
      <c r="N130" s="13"/>
      <c r="O130" s="13"/>
      <c r="P130" s="13"/>
      <c r="Q130" s="13"/>
      <c r="R130" s="13"/>
      <c r="S130" s="13"/>
      <c r="T130" s="13"/>
      <c r="U130" s="28"/>
      <c r="V130" s="28"/>
      <c r="W130" s="29"/>
      <c r="X130" s="28"/>
      <c r="Y130" s="28"/>
      <c r="Z130" s="13"/>
      <c r="AA130" s="13"/>
      <c r="AB130" s="13"/>
      <c r="AC130" s="13"/>
      <c r="AD130" s="13"/>
      <c r="AE130" s="13"/>
      <c r="AF130" s="12"/>
      <c r="AG130" s="12"/>
      <c r="AH130" s="12"/>
      <c r="AI130" s="12"/>
      <c r="AJ130" s="12"/>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row>
    <row r="131" spans="1:83" x14ac:dyDescent="0.3">
      <c r="A131" s="13"/>
      <c r="B131" s="15"/>
      <c r="C131" s="13"/>
      <c r="D131" s="13"/>
      <c r="E131" s="13"/>
      <c r="F131" s="13"/>
      <c r="G131" s="13"/>
      <c r="H131" s="13"/>
      <c r="I131" s="13"/>
      <c r="J131" s="15"/>
      <c r="K131" s="13"/>
      <c r="L131" s="13"/>
      <c r="M131" s="12"/>
      <c r="N131" s="13"/>
      <c r="O131" s="13"/>
      <c r="P131" s="13"/>
      <c r="Q131" s="13"/>
      <c r="R131" s="13"/>
      <c r="S131" s="13"/>
      <c r="T131" s="13"/>
      <c r="U131" s="28"/>
      <c r="V131" s="28"/>
      <c r="W131" s="29"/>
      <c r="X131" s="28"/>
      <c r="Y131" s="28"/>
      <c r="Z131" s="13"/>
      <c r="AA131" s="13"/>
      <c r="AB131" s="13"/>
      <c r="AC131" s="13"/>
      <c r="AD131" s="13"/>
      <c r="AE131" s="13"/>
      <c r="AF131" s="12"/>
      <c r="AG131" s="12"/>
      <c r="AH131" s="12"/>
      <c r="AI131" s="12"/>
      <c r="AJ131" s="12"/>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row>
    <row r="132" spans="1:83" x14ac:dyDescent="0.3">
      <c r="A132" s="13"/>
      <c r="B132" s="15"/>
      <c r="C132" s="13"/>
      <c r="D132" s="13"/>
      <c r="E132" s="13"/>
      <c r="F132" s="13"/>
      <c r="G132" s="13"/>
      <c r="H132" s="13"/>
      <c r="I132" s="13"/>
      <c r="J132" s="15"/>
      <c r="K132" s="13"/>
      <c r="L132" s="13"/>
      <c r="M132" s="12"/>
      <c r="N132" s="13"/>
      <c r="O132" s="13"/>
      <c r="P132" s="13"/>
      <c r="Q132" s="13"/>
      <c r="R132" s="13"/>
      <c r="S132" s="13"/>
      <c r="T132" s="13"/>
      <c r="U132" s="28"/>
      <c r="V132" s="28"/>
      <c r="W132" s="29"/>
      <c r="X132" s="28"/>
      <c r="Y132" s="28"/>
      <c r="Z132" s="13"/>
      <c r="AA132" s="13"/>
      <c r="AB132" s="13"/>
      <c r="AC132" s="13"/>
      <c r="AD132" s="13"/>
      <c r="AE132" s="13"/>
      <c r="AF132" s="12"/>
      <c r="AG132" s="12"/>
      <c r="AH132" s="12"/>
      <c r="AI132" s="12"/>
      <c r="AJ132" s="12"/>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row>
    <row r="133" spans="1:83" x14ac:dyDescent="0.3">
      <c r="A133" s="13"/>
      <c r="B133" s="15"/>
      <c r="C133" s="13"/>
      <c r="D133" s="13"/>
      <c r="E133" s="13"/>
      <c r="F133" s="13"/>
      <c r="G133" s="13"/>
      <c r="H133" s="13"/>
      <c r="I133" s="13"/>
      <c r="J133" s="15"/>
      <c r="K133" s="13"/>
      <c r="L133" s="13"/>
      <c r="M133" s="12"/>
      <c r="N133" s="13"/>
      <c r="O133" s="13"/>
      <c r="P133" s="13"/>
      <c r="Q133" s="13"/>
      <c r="R133" s="13"/>
      <c r="S133" s="13"/>
      <c r="T133" s="13"/>
      <c r="U133" s="28"/>
      <c r="V133" s="28"/>
      <c r="W133" s="29"/>
      <c r="X133" s="28"/>
      <c r="Y133" s="28"/>
      <c r="Z133" s="13"/>
      <c r="AA133" s="13"/>
      <c r="AB133" s="13"/>
      <c r="AC133" s="13"/>
      <c r="AD133" s="13"/>
      <c r="AE133" s="13"/>
      <c r="AF133" s="12"/>
      <c r="AG133" s="12"/>
      <c r="AH133" s="12"/>
      <c r="AI133" s="12"/>
      <c r="AJ133" s="12"/>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row>
    <row r="134" spans="1:83" x14ac:dyDescent="0.3">
      <c r="A134" s="13"/>
      <c r="B134" s="15"/>
      <c r="C134" s="13"/>
      <c r="D134" s="13"/>
      <c r="E134" s="13"/>
      <c r="F134" s="13"/>
      <c r="G134" s="13"/>
      <c r="H134" s="13"/>
      <c r="I134" s="13"/>
      <c r="J134" s="15"/>
      <c r="K134" s="13"/>
      <c r="L134" s="13"/>
      <c r="M134" s="12"/>
      <c r="N134" s="13"/>
      <c r="O134" s="13"/>
      <c r="P134" s="13"/>
      <c r="Q134" s="13"/>
      <c r="R134" s="13"/>
      <c r="S134" s="13"/>
      <c r="T134" s="13"/>
      <c r="U134" s="28"/>
      <c r="V134" s="28"/>
      <c r="W134" s="29"/>
      <c r="X134" s="28"/>
      <c r="Y134" s="28"/>
      <c r="Z134" s="13"/>
      <c r="AA134" s="13"/>
      <c r="AB134" s="13"/>
      <c r="AC134" s="13"/>
      <c r="AD134" s="13"/>
      <c r="AE134" s="13"/>
      <c r="AF134" s="12"/>
      <c r="AG134" s="12"/>
      <c r="AH134" s="12"/>
      <c r="AI134" s="12"/>
      <c r="AJ134" s="12"/>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row>
    <row r="135" spans="1:83" x14ac:dyDescent="0.3">
      <c r="A135" s="13"/>
      <c r="B135" s="15"/>
      <c r="C135" s="13"/>
      <c r="D135" s="13"/>
      <c r="E135" s="13"/>
      <c r="F135" s="13"/>
      <c r="G135" s="13"/>
      <c r="H135" s="13"/>
      <c r="I135" s="13"/>
      <c r="J135" s="15"/>
      <c r="K135" s="13"/>
      <c r="L135" s="13"/>
      <c r="M135" s="12"/>
      <c r="N135" s="13"/>
      <c r="O135" s="13"/>
      <c r="P135" s="13"/>
      <c r="Q135" s="13"/>
      <c r="R135" s="13"/>
      <c r="S135" s="13"/>
      <c r="T135" s="13"/>
      <c r="U135" s="28"/>
      <c r="V135" s="28"/>
      <c r="W135" s="29"/>
      <c r="X135" s="28"/>
      <c r="Y135" s="28"/>
      <c r="Z135" s="13"/>
      <c r="AA135" s="13"/>
      <c r="AB135" s="13"/>
      <c r="AC135" s="13"/>
      <c r="AD135" s="13"/>
      <c r="AE135" s="13"/>
      <c r="AF135" s="12"/>
      <c r="AG135" s="12"/>
      <c r="AH135" s="12"/>
      <c r="AI135" s="12"/>
      <c r="AJ135" s="12"/>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row>
    <row r="136" spans="1:83" x14ac:dyDescent="0.3">
      <c r="A136" s="13"/>
      <c r="B136" s="15"/>
      <c r="C136" s="13"/>
      <c r="D136" s="13"/>
      <c r="E136" s="13"/>
      <c r="F136" s="13"/>
      <c r="G136" s="13"/>
      <c r="H136" s="13"/>
      <c r="I136" s="13"/>
      <c r="J136" s="15"/>
      <c r="K136" s="13"/>
      <c r="L136" s="13"/>
      <c r="M136" s="12"/>
      <c r="N136" s="13"/>
      <c r="O136" s="13"/>
      <c r="P136" s="13"/>
      <c r="Q136" s="13"/>
      <c r="R136" s="13"/>
      <c r="S136" s="13"/>
      <c r="T136" s="13"/>
      <c r="U136" s="28"/>
      <c r="V136" s="28"/>
      <c r="W136" s="29"/>
      <c r="X136" s="28"/>
      <c r="Y136" s="28"/>
      <c r="Z136" s="13"/>
      <c r="AA136" s="13"/>
      <c r="AB136" s="13"/>
      <c r="AC136" s="13"/>
      <c r="AD136" s="13"/>
      <c r="AE136" s="13"/>
      <c r="AF136" s="12"/>
      <c r="AG136" s="12"/>
      <c r="AH136" s="12"/>
      <c r="AI136" s="12"/>
      <c r="AJ136" s="12"/>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row>
    <row r="137" spans="1:83" x14ac:dyDescent="0.3">
      <c r="A137" s="13"/>
      <c r="B137" s="15"/>
      <c r="C137" s="13"/>
      <c r="D137" s="13"/>
      <c r="E137" s="13"/>
      <c r="F137" s="13"/>
      <c r="G137" s="13"/>
      <c r="H137" s="13"/>
      <c r="I137" s="13"/>
      <c r="J137" s="15"/>
      <c r="K137" s="13"/>
      <c r="L137" s="13"/>
      <c r="M137" s="12"/>
      <c r="N137" s="13"/>
      <c r="O137" s="13"/>
      <c r="P137" s="13"/>
      <c r="Q137" s="13"/>
      <c r="R137" s="13"/>
      <c r="S137" s="13"/>
      <c r="T137" s="13"/>
      <c r="U137" s="28"/>
      <c r="V137" s="28"/>
      <c r="W137" s="29"/>
      <c r="X137" s="28"/>
      <c r="Y137" s="28"/>
      <c r="Z137" s="13"/>
      <c r="AA137" s="13"/>
      <c r="AB137" s="13"/>
      <c r="AC137" s="13"/>
      <c r="AD137" s="13"/>
      <c r="AE137" s="13"/>
      <c r="AF137" s="12"/>
      <c r="AG137" s="12"/>
      <c r="AH137" s="12"/>
      <c r="AI137" s="12"/>
      <c r="AJ137" s="12"/>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row>
    <row r="138" spans="1:83" x14ac:dyDescent="0.3">
      <c r="A138" s="13"/>
      <c r="B138" s="15"/>
      <c r="C138" s="13"/>
      <c r="D138" s="13"/>
      <c r="E138" s="13"/>
      <c r="F138" s="13"/>
      <c r="G138" s="13"/>
      <c r="H138" s="13"/>
      <c r="I138" s="13"/>
      <c r="J138" s="15"/>
      <c r="K138" s="13"/>
      <c r="L138" s="13"/>
      <c r="M138" s="12"/>
      <c r="N138" s="13"/>
      <c r="O138" s="13"/>
      <c r="P138" s="13"/>
      <c r="Q138" s="13"/>
      <c r="R138" s="13"/>
      <c r="S138" s="13"/>
      <c r="T138" s="13"/>
      <c r="U138" s="28"/>
      <c r="V138" s="28"/>
      <c r="W138" s="29"/>
      <c r="X138" s="28"/>
      <c r="Y138" s="28"/>
      <c r="Z138" s="13"/>
      <c r="AA138" s="13"/>
      <c r="AB138" s="13"/>
      <c r="AC138" s="13"/>
      <c r="AD138" s="13"/>
      <c r="AE138" s="13"/>
      <c r="AF138" s="12"/>
      <c r="AG138" s="12"/>
      <c r="AH138" s="12"/>
      <c r="AI138" s="12"/>
      <c r="AJ138" s="12"/>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row>
    <row r="139" spans="1:83" x14ac:dyDescent="0.3">
      <c r="A139" s="13"/>
      <c r="B139" s="15"/>
      <c r="C139" s="13"/>
      <c r="D139" s="13"/>
      <c r="E139" s="13"/>
      <c r="F139" s="13"/>
      <c r="G139" s="13"/>
      <c r="H139" s="13"/>
      <c r="I139" s="13"/>
      <c r="J139" s="15"/>
      <c r="K139" s="13"/>
      <c r="L139" s="13"/>
      <c r="M139" s="12"/>
      <c r="N139" s="13"/>
      <c r="O139" s="13"/>
      <c r="P139" s="13"/>
      <c r="Q139" s="13"/>
      <c r="R139" s="13"/>
      <c r="S139" s="13"/>
      <c r="T139" s="13"/>
      <c r="U139" s="28"/>
      <c r="V139" s="28"/>
      <c r="W139" s="29"/>
      <c r="X139" s="28"/>
      <c r="Y139" s="28"/>
      <c r="Z139" s="13"/>
      <c r="AA139" s="13"/>
      <c r="AB139" s="13"/>
      <c r="AC139" s="13"/>
      <c r="AD139" s="13"/>
      <c r="AE139" s="13"/>
      <c r="AF139" s="12"/>
      <c r="AG139" s="12"/>
      <c r="AH139" s="12"/>
      <c r="AI139" s="12"/>
      <c r="AJ139" s="12"/>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row>
    <row r="140" spans="1:83" x14ac:dyDescent="0.3">
      <c r="A140" s="13"/>
      <c r="B140" s="15"/>
      <c r="C140" s="13"/>
      <c r="D140" s="13"/>
      <c r="E140" s="13"/>
      <c r="F140" s="13"/>
      <c r="G140" s="13"/>
      <c r="H140" s="13"/>
      <c r="I140" s="13"/>
      <c r="J140" s="15"/>
      <c r="K140" s="13"/>
      <c r="L140" s="13"/>
      <c r="M140" s="12"/>
      <c r="N140" s="13"/>
      <c r="O140" s="13"/>
      <c r="P140" s="13"/>
      <c r="Q140" s="13"/>
      <c r="R140" s="13"/>
      <c r="S140" s="13"/>
      <c r="T140" s="13"/>
      <c r="U140" s="28"/>
      <c r="V140" s="28"/>
      <c r="W140" s="29"/>
      <c r="X140" s="28"/>
      <c r="Y140" s="28"/>
      <c r="Z140" s="13"/>
      <c r="AA140" s="13"/>
      <c r="AB140" s="13"/>
      <c r="AC140" s="13"/>
      <c r="AD140" s="13"/>
      <c r="AE140" s="13"/>
      <c r="AF140" s="12"/>
      <c r="AG140" s="12"/>
      <c r="AH140" s="12"/>
      <c r="AI140" s="12"/>
      <c r="AJ140" s="12"/>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row>
    <row r="141" spans="1:83" x14ac:dyDescent="0.3">
      <c r="A141" s="13"/>
      <c r="B141" s="15"/>
      <c r="C141" s="13"/>
      <c r="D141" s="13"/>
      <c r="E141" s="13"/>
      <c r="F141" s="13"/>
      <c r="G141" s="13"/>
      <c r="H141" s="13"/>
      <c r="I141" s="13"/>
      <c r="J141" s="15"/>
      <c r="K141" s="13"/>
      <c r="L141" s="13"/>
      <c r="M141" s="12"/>
      <c r="N141" s="13"/>
      <c r="O141" s="13"/>
      <c r="P141" s="13"/>
      <c r="Q141" s="13"/>
      <c r="R141" s="13"/>
      <c r="S141" s="13"/>
      <c r="T141" s="13"/>
      <c r="U141" s="28"/>
      <c r="V141" s="28"/>
      <c r="W141" s="29"/>
      <c r="X141" s="28"/>
      <c r="Y141" s="28"/>
      <c r="Z141" s="13"/>
      <c r="AA141" s="13"/>
      <c r="AB141" s="13"/>
      <c r="AC141" s="13"/>
      <c r="AD141" s="13"/>
      <c r="AE141" s="13"/>
      <c r="AF141" s="12"/>
      <c r="AG141" s="12"/>
      <c r="AH141" s="12"/>
      <c r="AI141" s="12"/>
      <c r="AJ141" s="12"/>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row>
    <row r="142" spans="1:83" x14ac:dyDescent="0.3">
      <c r="A142" s="13"/>
      <c r="B142" s="15"/>
      <c r="C142" s="13"/>
      <c r="D142" s="13"/>
      <c r="E142" s="13"/>
      <c r="F142" s="13"/>
      <c r="G142" s="13"/>
      <c r="H142" s="13"/>
      <c r="I142" s="13"/>
      <c r="J142" s="15"/>
      <c r="K142" s="13"/>
      <c r="L142" s="13"/>
      <c r="M142" s="12"/>
      <c r="N142" s="13"/>
      <c r="O142" s="13"/>
      <c r="P142" s="13"/>
      <c r="Q142" s="13"/>
      <c r="R142" s="13"/>
      <c r="S142" s="13"/>
      <c r="T142" s="13"/>
      <c r="U142" s="28"/>
      <c r="V142" s="28"/>
      <c r="W142" s="29"/>
      <c r="X142" s="28"/>
      <c r="Y142" s="28"/>
      <c r="Z142" s="13"/>
      <c r="AA142" s="13"/>
      <c r="AB142" s="13"/>
      <c r="AC142" s="13"/>
      <c r="AD142" s="13"/>
      <c r="AE142" s="13"/>
      <c r="AF142" s="12"/>
      <c r="AG142" s="12"/>
      <c r="AH142" s="12"/>
      <c r="AI142" s="12"/>
      <c r="AJ142" s="12"/>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3:AJ254"/>
  <sheetViews>
    <sheetView showGridLines="0" zoomScale="70" zoomScaleNormal="70" workbookViewId="0">
      <selection activeCell="J22" sqref="A1:J22"/>
    </sheetView>
  </sheetViews>
  <sheetFormatPr baseColWidth="10" defaultColWidth="9.109375" defaultRowHeight="14.4" x14ac:dyDescent="0.3"/>
  <cols>
    <col min="1" max="1" width="2.109375" customWidth="1"/>
    <col min="2" max="2" width="16.5546875" bestFit="1" customWidth="1"/>
    <col min="3" max="3" width="19.109375" bestFit="1" customWidth="1"/>
    <col min="9" max="9" width="9" customWidth="1"/>
    <col min="10" max="10" width="9" style="1" customWidth="1"/>
    <col min="11" max="12" width="9" customWidth="1"/>
    <col min="13" max="13" width="9" style="3" customWidth="1"/>
    <col min="15" max="15" width="16.88671875" customWidth="1"/>
  </cols>
  <sheetData>
    <row r="3" s="13" customFormat="1" x14ac:dyDescent="0.3"/>
    <row r="4" s="13" customFormat="1" x14ac:dyDescent="0.3"/>
    <row r="5" s="13" customFormat="1" x14ac:dyDescent="0.3"/>
    <row r="6" s="13" customFormat="1" x14ac:dyDescent="0.3"/>
    <row r="7" s="13" customFormat="1" x14ac:dyDescent="0.3"/>
    <row r="8" s="13" customFormat="1" x14ac:dyDescent="0.3"/>
    <row r="9" s="13" customFormat="1" x14ac:dyDescent="0.3"/>
    <row r="10" s="13" customFormat="1" x14ac:dyDescent="0.3"/>
    <row r="11" s="13" customFormat="1" x14ac:dyDescent="0.3"/>
    <row r="12" s="13" customFormat="1" x14ac:dyDescent="0.3"/>
    <row r="13" s="13" customFormat="1" x14ac:dyDescent="0.3"/>
    <row r="14" s="13" customFormat="1" x14ac:dyDescent="0.3"/>
    <row r="15" s="13" customFormat="1" x14ac:dyDescent="0.3"/>
    <row r="16" s="13" customFormat="1" x14ac:dyDescent="0.3"/>
    <row r="17" s="13" customFormat="1" x14ac:dyDescent="0.3"/>
    <row r="18" s="13" customFormat="1" x14ac:dyDescent="0.3"/>
    <row r="19" s="13" customFormat="1" x14ac:dyDescent="0.3"/>
    <row r="20" s="13" customFormat="1" x14ac:dyDescent="0.3"/>
    <row r="21" s="13" customFormat="1" x14ac:dyDescent="0.3"/>
    <row r="22" s="13" customFormat="1" x14ac:dyDescent="0.3"/>
    <row r="23" s="13" customFormat="1" x14ac:dyDescent="0.3"/>
    <row r="24" s="13" customFormat="1" x14ac:dyDescent="0.3"/>
    <row r="25" s="13" customFormat="1" x14ac:dyDescent="0.3"/>
    <row r="26" s="13" customFormat="1" x14ac:dyDescent="0.3"/>
    <row r="27" s="13" customFormat="1" x14ac:dyDescent="0.3"/>
    <row r="28" s="13" customFormat="1" x14ac:dyDescent="0.3"/>
    <row r="29" s="13" customFormat="1" x14ac:dyDescent="0.3"/>
    <row r="30" s="13" customFormat="1" x14ac:dyDescent="0.3"/>
    <row r="31" s="13" customFormat="1" x14ac:dyDescent="0.3"/>
    <row r="32" s="13" customFormat="1" x14ac:dyDescent="0.3"/>
    <row r="33" s="13" customFormat="1" x14ac:dyDescent="0.3"/>
    <row r="34" s="13" customFormat="1" x14ac:dyDescent="0.3"/>
    <row r="35" s="13" customFormat="1" x14ac:dyDescent="0.3"/>
    <row r="36" s="13" customFormat="1" x14ac:dyDescent="0.3"/>
    <row r="37" s="13" customFormat="1" x14ac:dyDescent="0.3"/>
    <row r="38" s="13" customFormat="1" x14ac:dyDescent="0.3"/>
    <row r="39" s="13" customFormat="1" x14ac:dyDescent="0.3"/>
    <row r="40" s="13" customFormat="1" x14ac:dyDescent="0.3"/>
    <row r="41" s="13" customFormat="1" x14ac:dyDescent="0.3"/>
    <row r="42" s="13" customFormat="1" x14ac:dyDescent="0.3"/>
    <row r="43" s="13" customFormat="1" x14ac:dyDescent="0.3"/>
    <row r="44" s="13" customFormat="1" x14ac:dyDescent="0.3"/>
    <row r="45" s="13" customFormat="1" x14ac:dyDescent="0.3"/>
    <row r="46" s="13" customFormat="1" x14ac:dyDescent="0.3"/>
    <row r="47" s="13" customFormat="1" x14ac:dyDescent="0.3"/>
    <row r="48" s="13" customFormat="1" x14ac:dyDescent="0.3"/>
    <row r="49" s="13" customFormat="1" x14ac:dyDescent="0.3"/>
    <row r="50" s="13" customFormat="1" x14ac:dyDescent="0.3"/>
    <row r="51" s="13" customFormat="1" x14ac:dyDescent="0.3"/>
    <row r="52" s="13" customFormat="1" x14ac:dyDescent="0.3"/>
    <row r="53" s="13" customFormat="1" x14ac:dyDescent="0.3"/>
    <row r="54" s="13" customFormat="1" x14ac:dyDescent="0.3"/>
    <row r="55" s="13" customFormat="1" x14ac:dyDescent="0.3"/>
    <row r="56" s="13" customFormat="1" x14ac:dyDescent="0.3"/>
    <row r="57" s="13" customFormat="1" x14ac:dyDescent="0.3"/>
    <row r="58" s="13" customFormat="1" x14ac:dyDescent="0.3"/>
    <row r="59" s="13" customFormat="1" x14ac:dyDescent="0.3"/>
    <row r="60" s="13" customFormat="1" x14ac:dyDescent="0.3"/>
    <row r="61" s="13" customFormat="1" x14ac:dyDescent="0.3"/>
    <row r="62" s="13" customFormat="1" x14ac:dyDescent="0.3"/>
    <row r="63" s="13" customFormat="1" x14ac:dyDescent="0.3"/>
    <row r="64" s="13" customFormat="1" x14ac:dyDescent="0.3"/>
    <row r="65" s="13" customFormat="1" x14ac:dyDescent="0.3"/>
    <row r="66" s="13" customFormat="1" x14ac:dyDescent="0.3"/>
    <row r="67" s="13" customFormat="1" x14ac:dyDescent="0.3"/>
    <row r="68" s="13" customFormat="1" x14ac:dyDescent="0.3"/>
    <row r="69" s="13" customFormat="1" x14ac:dyDescent="0.3"/>
    <row r="70" s="13" customFormat="1" x14ac:dyDescent="0.3"/>
    <row r="71" s="13" customFormat="1" x14ac:dyDescent="0.3"/>
    <row r="72" s="13" customFormat="1" x14ac:dyDescent="0.3"/>
    <row r="73" s="13" customFormat="1" x14ac:dyDescent="0.3"/>
    <row r="74" s="13" customFormat="1" x14ac:dyDescent="0.3"/>
    <row r="75" s="13" customFormat="1" x14ac:dyDescent="0.3"/>
    <row r="76" s="13" customFormat="1" x14ac:dyDescent="0.3"/>
    <row r="77" s="13" customFormat="1" x14ac:dyDescent="0.3"/>
    <row r="78" s="13" customFormat="1" x14ac:dyDescent="0.3"/>
    <row r="79" s="13" customFormat="1" x14ac:dyDescent="0.3"/>
    <row r="80" s="13" customFormat="1" x14ac:dyDescent="0.3"/>
    <row r="81" s="13" customFormat="1" x14ac:dyDescent="0.3"/>
    <row r="82" s="13" customFormat="1" x14ac:dyDescent="0.3"/>
    <row r="83" s="13" customFormat="1" x14ac:dyDescent="0.3"/>
    <row r="84" s="13" customFormat="1" x14ac:dyDescent="0.3"/>
    <row r="85" s="13" customFormat="1" x14ac:dyDescent="0.3"/>
    <row r="86" s="13" customFormat="1" x14ac:dyDescent="0.3"/>
    <row r="87" s="13" customFormat="1" x14ac:dyDescent="0.3"/>
    <row r="88" s="13" customFormat="1" x14ac:dyDescent="0.3"/>
    <row r="89" s="13" customFormat="1" x14ac:dyDescent="0.3"/>
    <row r="90" s="13" customFormat="1" x14ac:dyDescent="0.3"/>
    <row r="91" s="13" customFormat="1" x14ac:dyDescent="0.3"/>
    <row r="92" s="13" customFormat="1" x14ac:dyDescent="0.3"/>
    <row r="93" s="13" customFormat="1" x14ac:dyDescent="0.3"/>
    <row r="94" s="13" customFormat="1" x14ac:dyDescent="0.3"/>
    <row r="95" s="13" customFormat="1" x14ac:dyDescent="0.3"/>
    <row r="96" s="13" customFormat="1" x14ac:dyDescent="0.3"/>
    <row r="97" s="13" customFormat="1" x14ac:dyDescent="0.3"/>
    <row r="98" s="13" customFormat="1" x14ac:dyDescent="0.3"/>
    <row r="99" s="13" customFormat="1" x14ac:dyDescent="0.3"/>
    <row r="100" s="13" customFormat="1" x14ac:dyDescent="0.3"/>
    <row r="101" s="13" customFormat="1" x14ac:dyDescent="0.3"/>
    <row r="102" s="13" customFormat="1" x14ac:dyDescent="0.3"/>
    <row r="103" s="13" customFormat="1" x14ac:dyDescent="0.3"/>
    <row r="104" s="13" customFormat="1" x14ac:dyDescent="0.3"/>
    <row r="105" s="13" customFormat="1" x14ac:dyDescent="0.3"/>
    <row r="106" s="13" customFormat="1" x14ac:dyDescent="0.3"/>
    <row r="107" s="13" customFormat="1" x14ac:dyDescent="0.3"/>
    <row r="108" s="13" customFormat="1" x14ac:dyDescent="0.3"/>
    <row r="109" s="13" customFormat="1" x14ac:dyDescent="0.3"/>
    <row r="110" s="13" customFormat="1" x14ac:dyDescent="0.3"/>
    <row r="111" s="13" customFormat="1" x14ac:dyDescent="0.3"/>
    <row r="112" s="13" customFormat="1" x14ac:dyDescent="0.3"/>
    <row r="113" spans="2:36" s="13" customFormat="1" x14ac:dyDescent="0.3"/>
    <row r="114" spans="2:36" s="13" customFormat="1" x14ac:dyDescent="0.3">
      <c r="B114" s="15"/>
      <c r="J114" s="15"/>
      <c r="M114" s="12"/>
      <c r="U114" s="28"/>
      <c r="V114" s="28"/>
      <c r="W114" s="29"/>
      <c r="X114" s="28"/>
      <c r="Y114" s="28"/>
      <c r="AF114" s="12"/>
      <c r="AG114" s="12"/>
      <c r="AH114" s="12"/>
      <c r="AI114" s="12"/>
      <c r="AJ114" s="12"/>
    </row>
    <row r="115" spans="2:36" s="13" customFormat="1" x14ac:dyDescent="0.3">
      <c r="B115" s="15"/>
      <c r="J115" s="15"/>
      <c r="M115" s="12"/>
      <c r="U115" s="28"/>
      <c r="V115" s="28"/>
      <c r="W115" s="29"/>
      <c r="X115" s="28"/>
      <c r="Y115" s="28"/>
      <c r="AF115" s="12"/>
      <c r="AG115" s="12"/>
      <c r="AH115" s="12"/>
      <c r="AI115" s="12"/>
      <c r="AJ115" s="12"/>
    </row>
    <row r="116" spans="2:36" s="13" customFormat="1" x14ac:dyDescent="0.3">
      <c r="B116" s="15"/>
      <c r="J116" s="15"/>
      <c r="M116" s="12"/>
      <c r="U116" s="28"/>
      <c r="V116" s="28"/>
      <c r="W116" s="29"/>
      <c r="X116" s="28"/>
      <c r="Y116" s="28"/>
      <c r="AF116" s="12"/>
      <c r="AG116" s="12"/>
      <c r="AH116" s="12"/>
      <c r="AI116" s="12"/>
      <c r="AJ116" s="12"/>
    </row>
    <row r="117" spans="2:36" s="13" customFormat="1" x14ac:dyDescent="0.3">
      <c r="B117" s="15"/>
      <c r="J117" s="15"/>
      <c r="M117" s="12"/>
      <c r="U117" s="28"/>
      <c r="V117" s="28"/>
      <c r="W117" s="29"/>
      <c r="X117" s="28"/>
      <c r="Y117" s="28"/>
      <c r="AF117" s="12"/>
      <c r="AG117" s="12"/>
      <c r="AH117" s="12"/>
      <c r="AI117" s="12"/>
      <c r="AJ117" s="12"/>
    </row>
    <row r="118" spans="2:36" s="13" customFormat="1" x14ac:dyDescent="0.3">
      <c r="B118" s="15"/>
      <c r="J118" s="15"/>
      <c r="M118" s="12"/>
      <c r="U118" s="28"/>
      <c r="V118" s="28"/>
      <c r="W118" s="29"/>
      <c r="X118" s="28"/>
      <c r="Y118" s="28"/>
      <c r="AF118" s="12"/>
      <c r="AG118" s="12"/>
      <c r="AH118" s="12"/>
      <c r="AI118" s="12"/>
      <c r="AJ118" s="12"/>
    </row>
    <row r="119" spans="2:36" s="13" customFormat="1" x14ac:dyDescent="0.3">
      <c r="B119" s="15"/>
      <c r="J119" s="15"/>
      <c r="M119" s="12"/>
      <c r="U119" s="28"/>
      <c r="V119" s="28"/>
      <c r="W119" s="29"/>
      <c r="X119" s="28"/>
      <c r="Y119" s="28"/>
      <c r="AF119" s="12"/>
      <c r="AG119" s="12"/>
      <c r="AH119" s="12"/>
      <c r="AI119" s="12"/>
      <c r="AJ119" s="12"/>
    </row>
    <row r="120" spans="2:36" s="13" customFormat="1" x14ac:dyDescent="0.3">
      <c r="J120" s="15"/>
      <c r="M120" s="12"/>
    </row>
    <row r="121" spans="2:36" s="13" customFormat="1" x14ac:dyDescent="0.3">
      <c r="J121" s="15"/>
      <c r="M121" s="12"/>
    </row>
    <row r="122" spans="2:36" s="13" customFormat="1" x14ac:dyDescent="0.3">
      <c r="J122" s="15"/>
      <c r="M122" s="12"/>
    </row>
    <row r="123" spans="2:36" s="13" customFormat="1" x14ac:dyDescent="0.3">
      <c r="J123" s="15"/>
      <c r="M123" s="12"/>
    </row>
    <row r="124" spans="2:36" s="13" customFormat="1" x14ac:dyDescent="0.3">
      <c r="J124" s="15"/>
      <c r="M124" s="12"/>
    </row>
    <row r="125" spans="2:36" s="13" customFormat="1" x14ac:dyDescent="0.3">
      <c r="J125" s="15"/>
      <c r="M125" s="12"/>
    </row>
    <row r="126" spans="2:36" s="13" customFormat="1" x14ac:dyDescent="0.3">
      <c r="J126" s="15"/>
      <c r="M126" s="12"/>
    </row>
    <row r="127" spans="2:36" s="13" customFormat="1" x14ac:dyDescent="0.3">
      <c r="J127" s="15"/>
      <c r="M127" s="12"/>
    </row>
    <row r="128" spans="2:36" s="13" customFormat="1" x14ac:dyDescent="0.3">
      <c r="J128" s="15"/>
      <c r="M128" s="12"/>
    </row>
    <row r="129" spans="10:13" s="13" customFormat="1" x14ac:dyDescent="0.3">
      <c r="J129" s="15"/>
      <c r="M129" s="12"/>
    </row>
    <row r="130" spans="10:13" s="13" customFormat="1" x14ac:dyDescent="0.3">
      <c r="J130" s="15"/>
      <c r="M130" s="12"/>
    </row>
    <row r="131" spans="10:13" s="13" customFormat="1" x14ac:dyDescent="0.3">
      <c r="J131" s="15"/>
      <c r="M131" s="12"/>
    </row>
    <row r="132" spans="10:13" s="13" customFormat="1" x14ac:dyDescent="0.3">
      <c r="J132" s="15"/>
      <c r="M132" s="12"/>
    </row>
    <row r="133" spans="10:13" s="13" customFormat="1" x14ac:dyDescent="0.3">
      <c r="J133" s="15"/>
      <c r="M133" s="12"/>
    </row>
    <row r="134" spans="10:13" s="13" customFormat="1" x14ac:dyDescent="0.3">
      <c r="J134" s="15"/>
      <c r="M134" s="12"/>
    </row>
    <row r="135" spans="10:13" s="13" customFormat="1" x14ac:dyDescent="0.3">
      <c r="J135" s="15"/>
      <c r="M135" s="12"/>
    </row>
    <row r="136" spans="10:13" s="13" customFormat="1" x14ac:dyDescent="0.3">
      <c r="J136" s="15"/>
      <c r="M136" s="12"/>
    </row>
    <row r="137" spans="10:13" s="13" customFormat="1" x14ac:dyDescent="0.3">
      <c r="J137" s="15"/>
      <c r="M137" s="12"/>
    </row>
    <row r="138" spans="10:13" s="13" customFormat="1" x14ac:dyDescent="0.3">
      <c r="J138" s="15"/>
      <c r="M138" s="12"/>
    </row>
    <row r="139" spans="10:13" s="13" customFormat="1" x14ac:dyDescent="0.3">
      <c r="J139" s="15"/>
      <c r="M139" s="12"/>
    </row>
    <row r="140" spans="10:13" s="13" customFormat="1" x14ac:dyDescent="0.3">
      <c r="J140" s="15"/>
      <c r="M140" s="12"/>
    </row>
    <row r="141" spans="10:13" s="13" customFormat="1" x14ac:dyDescent="0.3">
      <c r="J141" s="15"/>
      <c r="M141" s="12"/>
    </row>
    <row r="142" spans="10:13" s="13" customFormat="1" x14ac:dyDescent="0.3">
      <c r="J142" s="15"/>
      <c r="M142" s="12"/>
    </row>
    <row r="143" spans="10:13" s="13" customFormat="1" x14ac:dyDescent="0.3">
      <c r="J143" s="15"/>
      <c r="M143" s="12"/>
    </row>
    <row r="144" spans="10:13" s="13" customFormat="1" x14ac:dyDescent="0.3">
      <c r="J144" s="15"/>
      <c r="M144" s="12"/>
    </row>
    <row r="145" spans="10:13" s="13" customFormat="1" x14ac:dyDescent="0.3">
      <c r="J145" s="15"/>
      <c r="M145" s="12"/>
    </row>
    <row r="146" spans="10:13" s="13" customFormat="1" x14ac:dyDescent="0.3">
      <c r="J146" s="15"/>
      <c r="M146" s="12"/>
    </row>
    <row r="147" spans="10:13" s="13" customFormat="1" x14ac:dyDescent="0.3">
      <c r="J147" s="15"/>
      <c r="M147" s="12"/>
    </row>
    <row r="148" spans="10:13" s="13" customFormat="1" x14ac:dyDescent="0.3">
      <c r="J148" s="15"/>
      <c r="M148" s="12"/>
    </row>
    <row r="149" spans="10:13" s="13" customFormat="1" x14ac:dyDescent="0.3">
      <c r="J149" s="15"/>
      <c r="M149" s="12"/>
    </row>
    <row r="150" spans="10:13" s="13" customFormat="1" x14ac:dyDescent="0.3">
      <c r="J150" s="15"/>
      <c r="M150" s="12"/>
    </row>
    <row r="151" spans="10:13" s="13" customFormat="1" x14ac:dyDescent="0.3">
      <c r="J151" s="15"/>
      <c r="M151" s="12"/>
    </row>
    <row r="152" spans="10:13" s="13" customFormat="1" x14ac:dyDescent="0.3">
      <c r="J152" s="15"/>
      <c r="M152" s="12"/>
    </row>
    <row r="153" spans="10:13" s="13" customFormat="1" x14ac:dyDescent="0.3">
      <c r="J153" s="15"/>
      <c r="M153" s="12"/>
    </row>
    <row r="154" spans="10:13" s="13" customFormat="1" x14ac:dyDescent="0.3">
      <c r="J154" s="15"/>
      <c r="M154" s="12"/>
    </row>
    <row r="155" spans="10:13" s="13" customFormat="1" x14ac:dyDescent="0.3">
      <c r="J155" s="15"/>
      <c r="M155" s="12"/>
    </row>
    <row r="156" spans="10:13" s="13" customFormat="1" x14ac:dyDescent="0.3">
      <c r="J156" s="15"/>
      <c r="M156" s="12"/>
    </row>
    <row r="157" spans="10:13" s="13" customFormat="1" x14ac:dyDescent="0.3">
      <c r="J157" s="15"/>
      <c r="M157" s="12"/>
    </row>
    <row r="158" spans="10:13" s="13" customFormat="1" x14ac:dyDescent="0.3">
      <c r="J158" s="15"/>
      <c r="M158" s="12"/>
    </row>
    <row r="159" spans="10:13" s="13" customFormat="1" x14ac:dyDescent="0.3">
      <c r="J159" s="15"/>
      <c r="M159" s="12"/>
    </row>
    <row r="160" spans="10:13" s="13" customFormat="1" x14ac:dyDescent="0.3">
      <c r="J160" s="15"/>
      <c r="M160" s="12"/>
    </row>
    <row r="161" spans="10:13" s="13" customFormat="1" x14ac:dyDescent="0.3">
      <c r="J161" s="15"/>
      <c r="M161" s="12"/>
    </row>
    <row r="162" spans="10:13" s="13" customFormat="1" x14ac:dyDescent="0.3">
      <c r="J162" s="15"/>
      <c r="M162" s="12"/>
    </row>
    <row r="163" spans="10:13" s="13" customFormat="1" x14ac:dyDescent="0.3">
      <c r="J163" s="15"/>
      <c r="M163" s="12"/>
    </row>
    <row r="164" spans="10:13" s="13" customFormat="1" x14ac:dyDescent="0.3">
      <c r="J164" s="15"/>
      <c r="M164" s="12"/>
    </row>
    <row r="165" spans="10:13" s="13" customFormat="1" x14ac:dyDescent="0.3">
      <c r="J165" s="15"/>
      <c r="M165" s="12"/>
    </row>
    <row r="166" spans="10:13" s="13" customFormat="1" x14ac:dyDescent="0.3">
      <c r="J166" s="15"/>
      <c r="M166" s="12"/>
    </row>
    <row r="167" spans="10:13" s="13" customFormat="1" x14ac:dyDescent="0.3">
      <c r="J167" s="15"/>
      <c r="M167" s="12"/>
    </row>
    <row r="168" spans="10:13" s="13" customFormat="1" x14ac:dyDescent="0.3">
      <c r="J168" s="15"/>
      <c r="M168" s="12"/>
    </row>
    <row r="169" spans="10:13" s="13" customFormat="1" x14ac:dyDescent="0.3">
      <c r="J169" s="15"/>
      <c r="M169" s="12"/>
    </row>
    <row r="170" spans="10:13" s="13" customFormat="1" x14ac:dyDescent="0.3">
      <c r="J170" s="15"/>
      <c r="M170" s="12"/>
    </row>
    <row r="171" spans="10:13" s="13" customFormat="1" x14ac:dyDescent="0.3">
      <c r="J171" s="15"/>
      <c r="M171" s="12"/>
    </row>
    <row r="172" spans="10:13" s="13" customFormat="1" x14ac:dyDescent="0.3">
      <c r="J172" s="15"/>
      <c r="M172" s="12"/>
    </row>
    <row r="173" spans="10:13" s="13" customFormat="1" x14ac:dyDescent="0.3">
      <c r="J173" s="15"/>
      <c r="M173" s="12"/>
    </row>
    <row r="174" spans="10:13" s="13" customFormat="1" x14ac:dyDescent="0.3">
      <c r="J174" s="15"/>
      <c r="M174" s="12"/>
    </row>
    <row r="175" spans="10:13" s="13" customFormat="1" x14ac:dyDescent="0.3">
      <c r="J175" s="15"/>
      <c r="M175" s="12"/>
    </row>
    <row r="176" spans="10:13" s="13" customFormat="1" x14ac:dyDescent="0.3">
      <c r="J176" s="15"/>
      <c r="M176" s="12"/>
    </row>
    <row r="177" spans="10:13" s="13" customFormat="1" x14ac:dyDescent="0.3">
      <c r="J177" s="15"/>
      <c r="M177" s="12"/>
    </row>
    <row r="178" spans="10:13" s="13" customFormat="1" x14ac:dyDescent="0.3">
      <c r="J178" s="15"/>
      <c r="M178" s="12"/>
    </row>
    <row r="179" spans="10:13" s="13" customFormat="1" x14ac:dyDescent="0.3">
      <c r="J179" s="15"/>
      <c r="M179" s="12"/>
    </row>
    <row r="180" spans="10:13" s="13" customFormat="1" x14ac:dyDescent="0.3">
      <c r="J180" s="15"/>
      <c r="M180" s="12"/>
    </row>
    <row r="181" spans="10:13" s="13" customFormat="1" x14ac:dyDescent="0.3">
      <c r="J181" s="15"/>
      <c r="M181" s="12"/>
    </row>
    <row r="182" spans="10:13" s="13" customFormat="1" x14ac:dyDescent="0.3">
      <c r="J182" s="15"/>
      <c r="M182" s="12"/>
    </row>
    <row r="183" spans="10:13" s="13" customFormat="1" x14ac:dyDescent="0.3">
      <c r="J183" s="15"/>
      <c r="M183" s="12"/>
    </row>
    <row r="184" spans="10:13" s="13" customFormat="1" x14ac:dyDescent="0.3">
      <c r="J184" s="15"/>
      <c r="M184" s="12"/>
    </row>
    <row r="185" spans="10:13" s="13" customFormat="1" x14ac:dyDescent="0.3">
      <c r="J185" s="15"/>
      <c r="M185" s="12"/>
    </row>
    <row r="186" spans="10:13" s="13" customFormat="1" x14ac:dyDescent="0.3">
      <c r="J186" s="15"/>
      <c r="M186" s="12"/>
    </row>
    <row r="187" spans="10:13" s="13" customFormat="1" x14ac:dyDescent="0.3">
      <c r="J187" s="15"/>
      <c r="M187" s="12"/>
    </row>
    <row r="188" spans="10:13" s="13" customFormat="1" x14ac:dyDescent="0.3">
      <c r="J188" s="15"/>
      <c r="M188" s="12"/>
    </row>
    <row r="189" spans="10:13" s="13" customFormat="1" x14ac:dyDescent="0.3">
      <c r="J189" s="15"/>
      <c r="M189" s="12"/>
    </row>
    <row r="190" spans="10:13" s="13" customFormat="1" x14ac:dyDescent="0.3">
      <c r="J190" s="15"/>
      <c r="M190" s="12"/>
    </row>
    <row r="191" spans="10:13" s="13" customFormat="1" x14ac:dyDescent="0.3">
      <c r="J191" s="15"/>
      <c r="M191" s="12"/>
    </row>
    <row r="192" spans="10:13" s="13" customFormat="1" x14ac:dyDescent="0.3">
      <c r="J192" s="15"/>
      <c r="M192" s="12"/>
    </row>
    <row r="193" spans="10:13" s="13" customFormat="1" x14ac:dyDescent="0.3">
      <c r="J193" s="15"/>
      <c r="M193" s="12"/>
    </row>
    <row r="194" spans="10:13" s="13" customFormat="1" x14ac:dyDescent="0.3">
      <c r="J194" s="15"/>
      <c r="M194" s="12"/>
    </row>
    <row r="195" spans="10:13" s="13" customFormat="1" x14ac:dyDescent="0.3">
      <c r="J195" s="15"/>
      <c r="M195" s="12"/>
    </row>
    <row r="196" spans="10:13" s="13" customFormat="1" x14ac:dyDescent="0.3">
      <c r="J196" s="15"/>
      <c r="M196" s="12"/>
    </row>
    <row r="197" spans="10:13" s="13" customFormat="1" x14ac:dyDescent="0.3">
      <c r="J197" s="15"/>
      <c r="M197" s="12"/>
    </row>
    <row r="198" spans="10:13" s="13" customFormat="1" x14ac:dyDescent="0.3">
      <c r="J198" s="15"/>
      <c r="M198" s="12"/>
    </row>
    <row r="199" spans="10:13" s="13" customFormat="1" x14ac:dyDescent="0.3">
      <c r="J199" s="15"/>
      <c r="M199" s="12"/>
    </row>
    <row r="200" spans="10:13" s="13" customFormat="1" x14ac:dyDescent="0.3">
      <c r="J200" s="15"/>
      <c r="M200" s="12"/>
    </row>
    <row r="201" spans="10:13" s="13" customFormat="1" x14ac:dyDescent="0.3">
      <c r="J201" s="15"/>
      <c r="M201" s="12"/>
    </row>
    <row r="202" spans="10:13" s="13" customFormat="1" x14ac:dyDescent="0.3">
      <c r="J202" s="15"/>
      <c r="M202" s="12"/>
    </row>
    <row r="203" spans="10:13" s="13" customFormat="1" x14ac:dyDescent="0.3">
      <c r="J203" s="15"/>
      <c r="M203" s="12"/>
    </row>
    <row r="204" spans="10:13" s="13" customFormat="1" x14ac:dyDescent="0.3">
      <c r="J204" s="15"/>
      <c r="M204" s="12"/>
    </row>
    <row r="205" spans="10:13" s="13" customFormat="1" x14ac:dyDescent="0.3">
      <c r="J205" s="15"/>
      <c r="M205" s="12"/>
    </row>
    <row r="206" spans="10:13" s="13" customFormat="1" x14ac:dyDescent="0.3">
      <c r="J206" s="15"/>
      <c r="M206" s="12"/>
    </row>
    <row r="207" spans="10:13" s="13" customFormat="1" x14ac:dyDescent="0.3">
      <c r="J207" s="15"/>
      <c r="M207" s="12"/>
    </row>
    <row r="208" spans="10:13" s="13" customFormat="1" x14ac:dyDescent="0.3">
      <c r="J208" s="15"/>
      <c r="M208" s="12"/>
    </row>
    <row r="209" spans="10:13" s="13" customFormat="1" x14ac:dyDescent="0.3">
      <c r="J209" s="15"/>
      <c r="M209" s="12"/>
    </row>
    <row r="210" spans="10:13" s="13" customFormat="1" x14ac:dyDescent="0.3">
      <c r="J210" s="15"/>
      <c r="M210" s="12"/>
    </row>
    <row r="211" spans="10:13" s="13" customFormat="1" x14ac:dyDescent="0.3">
      <c r="J211" s="15"/>
      <c r="M211" s="12"/>
    </row>
    <row r="212" spans="10:13" s="13" customFormat="1" x14ac:dyDescent="0.3">
      <c r="J212" s="15"/>
      <c r="M212" s="12"/>
    </row>
    <row r="213" spans="10:13" s="13" customFormat="1" x14ac:dyDescent="0.3">
      <c r="J213" s="15"/>
      <c r="M213" s="12"/>
    </row>
    <row r="214" spans="10:13" s="13" customFormat="1" x14ac:dyDescent="0.3">
      <c r="J214" s="15"/>
      <c r="M214" s="12"/>
    </row>
    <row r="215" spans="10:13" s="13" customFormat="1" x14ac:dyDescent="0.3">
      <c r="J215" s="15"/>
      <c r="M215" s="12"/>
    </row>
    <row r="216" spans="10:13" s="13" customFormat="1" x14ac:dyDescent="0.3">
      <c r="J216" s="15"/>
      <c r="M216" s="12"/>
    </row>
    <row r="217" spans="10:13" s="13" customFormat="1" x14ac:dyDescent="0.3">
      <c r="J217" s="15"/>
      <c r="M217" s="12"/>
    </row>
    <row r="218" spans="10:13" s="13" customFormat="1" x14ac:dyDescent="0.3">
      <c r="J218" s="15"/>
      <c r="M218" s="12"/>
    </row>
    <row r="219" spans="10:13" s="13" customFormat="1" x14ac:dyDescent="0.3">
      <c r="J219" s="15"/>
      <c r="M219" s="12"/>
    </row>
    <row r="220" spans="10:13" s="13" customFormat="1" x14ac:dyDescent="0.3">
      <c r="J220" s="15"/>
      <c r="M220" s="12"/>
    </row>
    <row r="221" spans="10:13" s="13" customFormat="1" x14ac:dyDescent="0.3">
      <c r="J221" s="15"/>
      <c r="M221" s="12"/>
    </row>
    <row r="222" spans="10:13" s="13" customFormat="1" x14ac:dyDescent="0.3">
      <c r="J222" s="15"/>
      <c r="M222" s="12"/>
    </row>
    <row r="223" spans="10:13" s="13" customFormat="1" x14ac:dyDescent="0.3">
      <c r="J223" s="15"/>
      <c r="M223" s="12"/>
    </row>
    <row r="224" spans="10:13" s="13" customFormat="1" x14ac:dyDescent="0.3">
      <c r="J224" s="15"/>
      <c r="M224" s="12"/>
    </row>
    <row r="225" spans="10:13" s="13" customFormat="1" x14ac:dyDescent="0.3">
      <c r="J225" s="15"/>
      <c r="M225" s="12"/>
    </row>
    <row r="226" spans="10:13" s="13" customFormat="1" x14ac:dyDescent="0.3">
      <c r="J226" s="15"/>
      <c r="M226" s="12"/>
    </row>
    <row r="227" spans="10:13" s="13" customFormat="1" x14ac:dyDescent="0.3">
      <c r="J227" s="15"/>
      <c r="M227" s="12"/>
    </row>
    <row r="228" spans="10:13" s="13" customFormat="1" x14ac:dyDescent="0.3">
      <c r="J228" s="15"/>
      <c r="M228" s="12"/>
    </row>
    <row r="229" spans="10:13" s="13" customFormat="1" x14ac:dyDescent="0.3">
      <c r="J229" s="15"/>
      <c r="M229" s="12"/>
    </row>
    <row r="230" spans="10:13" s="13" customFormat="1" x14ac:dyDescent="0.3">
      <c r="J230" s="15"/>
      <c r="M230" s="12"/>
    </row>
    <row r="231" spans="10:13" s="13" customFormat="1" x14ac:dyDescent="0.3">
      <c r="J231" s="15"/>
      <c r="M231" s="12"/>
    </row>
    <row r="232" spans="10:13" s="13" customFormat="1" x14ac:dyDescent="0.3">
      <c r="J232" s="15"/>
      <c r="M232" s="12"/>
    </row>
    <row r="233" spans="10:13" s="13" customFormat="1" x14ac:dyDescent="0.3">
      <c r="J233" s="15"/>
      <c r="M233" s="12"/>
    </row>
    <row r="234" spans="10:13" s="13" customFormat="1" x14ac:dyDescent="0.3">
      <c r="J234" s="15"/>
      <c r="M234" s="12"/>
    </row>
    <row r="235" spans="10:13" s="13" customFormat="1" x14ac:dyDescent="0.3">
      <c r="J235" s="15"/>
      <c r="M235" s="12"/>
    </row>
    <row r="236" spans="10:13" s="13" customFormat="1" x14ac:dyDescent="0.3">
      <c r="J236" s="15"/>
      <c r="M236" s="12"/>
    </row>
    <row r="237" spans="10:13" s="13" customFormat="1" x14ac:dyDescent="0.3">
      <c r="J237" s="15"/>
      <c r="M237" s="12"/>
    </row>
    <row r="238" spans="10:13" s="13" customFormat="1" x14ac:dyDescent="0.3">
      <c r="J238" s="15"/>
      <c r="M238" s="12"/>
    </row>
    <row r="239" spans="10:13" s="13" customFormat="1" x14ac:dyDescent="0.3">
      <c r="J239" s="15"/>
      <c r="M239" s="12"/>
    </row>
    <row r="240" spans="10:13" s="13" customFormat="1" x14ac:dyDescent="0.3">
      <c r="J240" s="15"/>
      <c r="M240" s="12"/>
    </row>
    <row r="241" spans="10:13" s="13" customFormat="1" x14ac:dyDescent="0.3">
      <c r="J241" s="15"/>
      <c r="M241" s="12"/>
    </row>
    <row r="242" spans="10:13" s="13" customFormat="1" x14ac:dyDescent="0.3">
      <c r="J242" s="15"/>
      <c r="M242" s="12"/>
    </row>
    <row r="243" spans="10:13" s="13" customFormat="1" x14ac:dyDescent="0.3">
      <c r="J243" s="15"/>
      <c r="M243" s="12"/>
    </row>
    <row r="244" spans="10:13" s="13" customFormat="1" x14ac:dyDescent="0.3">
      <c r="J244" s="15"/>
      <c r="M244" s="12"/>
    </row>
    <row r="245" spans="10:13" s="13" customFormat="1" x14ac:dyDescent="0.3">
      <c r="J245" s="15"/>
      <c r="M245" s="12"/>
    </row>
    <row r="246" spans="10:13" s="13" customFormat="1" x14ac:dyDescent="0.3">
      <c r="J246" s="15"/>
      <c r="M246" s="12"/>
    </row>
    <row r="247" spans="10:13" s="13" customFormat="1" x14ac:dyDescent="0.3">
      <c r="J247" s="15"/>
      <c r="M247" s="12"/>
    </row>
    <row r="248" spans="10:13" s="13" customFormat="1" x14ac:dyDescent="0.3">
      <c r="J248" s="15"/>
      <c r="M248" s="12"/>
    </row>
    <row r="249" spans="10:13" s="13" customFormat="1" x14ac:dyDescent="0.3">
      <c r="J249" s="15"/>
      <c r="M249" s="12"/>
    </row>
    <row r="250" spans="10:13" s="13" customFormat="1" x14ac:dyDescent="0.3">
      <c r="J250" s="15"/>
      <c r="M250" s="12"/>
    </row>
    <row r="251" spans="10:13" s="13" customFormat="1" x14ac:dyDescent="0.3">
      <c r="J251" s="15"/>
      <c r="M251" s="12"/>
    </row>
    <row r="252" spans="10:13" s="13" customFormat="1" x14ac:dyDescent="0.3">
      <c r="J252" s="15"/>
      <c r="M252" s="12"/>
    </row>
    <row r="253" spans="10:13" s="13" customFormat="1" x14ac:dyDescent="0.3">
      <c r="J253" s="15"/>
      <c r="M253" s="12"/>
    </row>
    <row r="254" spans="10:13" s="13" customFormat="1" x14ac:dyDescent="0.3">
      <c r="J254" s="15"/>
      <c r="M254"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H6"/>
  <sheetViews>
    <sheetView zoomScale="115" zoomScaleNormal="115" workbookViewId="0">
      <selection activeCell="C13" sqref="C13"/>
    </sheetView>
  </sheetViews>
  <sheetFormatPr baseColWidth="10" defaultRowHeight="14.4" x14ac:dyDescent="0.3"/>
  <cols>
    <col min="2" max="2" width="20.109375" customWidth="1"/>
  </cols>
  <sheetData>
    <row r="1" spans="1:8" ht="95.25" customHeight="1" x14ac:dyDescent="0.3">
      <c r="A1" s="132" t="s">
        <v>2</v>
      </c>
      <c r="B1" s="132"/>
      <c r="C1" s="133" t="s">
        <v>23</v>
      </c>
      <c r="D1" s="133"/>
      <c r="E1" s="133"/>
      <c r="F1" s="133"/>
      <c r="G1" s="133"/>
      <c r="H1" s="133"/>
    </row>
    <row r="2" spans="1:8" ht="69.75" customHeight="1" x14ac:dyDescent="0.3">
      <c r="A2" s="132" t="s">
        <v>3</v>
      </c>
      <c r="B2" s="132" t="s">
        <v>10</v>
      </c>
      <c r="C2" s="134" t="s">
        <v>21</v>
      </c>
      <c r="D2" s="134"/>
      <c r="E2" s="134"/>
      <c r="F2" s="134"/>
      <c r="G2" s="134"/>
      <c r="H2" s="134"/>
    </row>
    <row r="3" spans="1:8" ht="45.75" customHeight="1" x14ac:dyDescent="0.3">
      <c r="A3" s="132" t="s">
        <v>4</v>
      </c>
      <c r="B3" s="132" t="s">
        <v>11</v>
      </c>
      <c r="C3" s="133" t="s">
        <v>15</v>
      </c>
      <c r="D3" s="133"/>
      <c r="E3" s="133"/>
      <c r="F3" s="133"/>
      <c r="G3" s="133"/>
      <c r="H3" s="133"/>
    </row>
    <row r="4" spans="1:8" ht="32.25" customHeight="1" x14ac:dyDescent="0.3">
      <c r="A4" s="132" t="s">
        <v>5</v>
      </c>
      <c r="B4" s="132"/>
      <c r="C4" s="133" t="s">
        <v>14</v>
      </c>
      <c r="D4" s="133"/>
      <c r="E4" s="133"/>
      <c r="F4" s="133"/>
      <c r="G4" s="133"/>
      <c r="H4" s="133"/>
    </row>
    <row r="5" spans="1:8" ht="20.25" customHeight="1" x14ac:dyDescent="0.3">
      <c r="A5" s="132" t="s">
        <v>22</v>
      </c>
      <c r="B5" s="132" t="s">
        <v>12</v>
      </c>
      <c r="C5" s="133" t="s">
        <v>13</v>
      </c>
      <c r="D5" s="133"/>
      <c r="E5" s="133"/>
      <c r="F5" s="133"/>
      <c r="G5" s="133"/>
      <c r="H5" s="133"/>
    </row>
    <row r="6" spans="1:8" ht="46.5" customHeight="1" x14ac:dyDescent="0.3">
      <c r="A6" s="132" t="s">
        <v>1</v>
      </c>
      <c r="B6" s="132"/>
      <c r="C6" s="133"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33"/>
      <c r="E6" s="133"/>
      <c r="F6" s="133"/>
      <c r="G6" s="133"/>
      <c r="H6" s="133"/>
    </row>
  </sheetData>
  <mergeCells count="12">
    <mergeCell ref="A1:B1"/>
    <mergeCell ref="C1:H1"/>
    <mergeCell ref="A2:B2"/>
    <mergeCell ref="C2:H2"/>
    <mergeCell ref="A3:B3"/>
    <mergeCell ref="C3:H3"/>
    <mergeCell ref="A5:B5"/>
    <mergeCell ref="C5:H5"/>
    <mergeCell ref="A4:B4"/>
    <mergeCell ref="C4:H4"/>
    <mergeCell ref="A6:B6"/>
    <mergeCell ref="C6:H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53981BD7-EE46-45B8-A9DF-8FCE107BFC40}">
  <ds:schemaRefs>
    <ds:schemaRef ds:uri="http://schemas.microsoft.com/PowerBIAddIn"/>
  </ds:schemaRefs>
</ds:datastoreItem>
</file>

<file path=customXml/itemProps2.xml><?xml version="1.0" encoding="utf-8"?>
<ds:datastoreItem xmlns:ds="http://schemas.openxmlformats.org/officeDocument/2006/customXml" ds:itemID="{D7936572-C408-40C8-9B5A-7201FB56DE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11</vt:i4>
      </vt:variant>
    </vt:vector>
  </HeadingPairs>
  <TitlesOfParts>
    <vt:vector size="16" baseType="lpstr">
      <vt:lpstr>Dashboard</vt:lpstr>
      <vt:lpstr>Tabla</vt:lpstr>
      <vt:lpstr>Data</vt:lpstr>
      <vt:lpstr>Cálculos</vt:lpstr>
      <vt:lpstr>Leyenda</vt:lpstr>
      <vt:lpstr>Año</vt:lpstr>
      <vt:lpstr>ClOrd</vt:lpstr>
      <vt:lpstr>FiltroAño1</vt:lpstr>
      <vt:lpstr>FiltroAño2</vt:lpstr>
      <vt:lpstr>FiltroAño3</vt:lpstr>
      <vt:lpstr>FiltroMes1</vt:lpstr>
      <vt:lpstr>Mes</vt:lpstr>
      <vt:lpstr>orderfld</vt:lpstr>
      <vt:lpstr>ranrowgrid</vt:lpstr>
      <vt:lpstr>valRowGrid</vt:lpstr>
      <vt:lpstr>valSelOption</vt:lpstr>
    </vt:vector>
  </TitlesOfParts>
  <Company>Chandoo.org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JAH</cp:lastModifiedBy>
  <cp:lastPrinted>2018-09-27T18:16:17Z</cp:lastPrinted>
  <dcterms:created xsi:type="dcterms:W3CDTF">2011-02-09T04:29:44Z</dcterms:created>
  <dcterms:modified xsi:type="dcterms:W3CDTF">2019-08-28T05:01:40Z</dcterms:modified>
</cp:coreProperties>
</file>